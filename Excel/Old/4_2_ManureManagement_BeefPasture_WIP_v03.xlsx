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310A0FED-3915-432D-B7EC-5643F9049889}" xr6:coauthVersionLast="47" xr6:coauthVersionMax="47" xr10:uidLastSave="{00000000-0000-0000-0000-000000000000}"/>
  <bookViews>
    <workbookView xWindow="2340" yWindow="2340" windowWidth="21600" windowHeight="12645" firstSheet="9" activeTab="9" xr2:uid="{992023F3-CAB7-4E5B-A348-08D563A0EF40}"/>
  </bookViews>
  <sheets>
    <sheet name="Home" sheetId="71" r:id="rId1"/>
    <sheet name="Results" sheetId="13" r:id="rId2"/>
    <sheet name="Input - Site" sheetId="15" r:id="rId3"/>
    <sheet name="Input - Pasture Beef" sheetId="70" r:id="rId4"/>
    <sheet name="4.2.1.1-2 Methane" sheetId="69" r:id="rId5"/>
    <sheet name="4.2.1.3-4 Soil direct N20" sheetId="76" r:id="rId6"/>
    <sheet name="4.2.1.5-6 Soil Atmos Dep" sheetId="97" r:id="rId7"/>
    <sheet name="4.2.1.7-8 Soil leach runoff" sheetId="98" r:id="rId8"/>
    <sheet name="Constants - Pature Beef" sheetId="79" r:id="rId9"/>
    <sheet name="Constants - Common" sheetId="104" r:id="rId10"/>
    <sheet name="Constants - Livestock" sheetId="43" r:id="rId11"/>
    <sheet name="Acknowledgements" sheetId="72" r:id="rId12"/>
    <sheet name="Tab template" sheetId="74" r:id="rId13"/>
  </sheets>
  <externalReferences>
    <externalReference r:id="rId14"/>
  </externalReference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9">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9">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9">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9">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9">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EntericMethane_PastureBeef_Equations.VEERG_3_2_1_1__1_TotalAnnualMethaneFromEntericFermentation">_xlfn.LAMBDA(_xlpm.D_j,_xlpm.M_jkl,_xlpm.N_jkl, (_xlpm.D_j * _xlpm.M_jkl * _xlpm.N_jkl) * 10 ^ -3)</definedName>
    <definedName name="EntericMethane_PastureBeef_Equations.VEERG_3_2_1_1__1_TotalAnnualMethaneFromEntericFermentation_Arguments">_xlfn.LAMBDA(_xlfn.MAKEARRAY(3, 2, _xlfn.LAMBDA(_xlpm.r,_xlpm.c, INDEX({"D_j","number of days the animal is on the farm in each time-period (days)";"M_jkl","daily production of enteric methane in each time-period, class and subclass (kg CH4/head/day)";"N_jkl","number of beef cattle in each time-period, class and subclass (head)"}, _xlpm.r, _xlpm.c))))</definedName>
    <definedName name="EntericMethane_PastureBeef_Equations.VEERG_3_2_1_1__1_TotalAnnualMethaneFromEntericFermentation_LatexEquation">_xlfn.LAMBDA("E_{enteric}=\sum_{j}\sum_{k}\sum_{l}(D_j\times M_{jkl}\times N_{jkl})\times 10^{-3}")</definedName>
    <definedName name="EntericMethane_PastureBeef_Equations.VEERG_3_2_1_1__1_TotalAnnualMethaneFromEntericFermentation_NIRReference">_xlfn.LAMBDA("")</definedName>
    <definedName name="EntericMethane_PastureBeef_Equations.VEERG_3_2_1_1__1_TotalAnnualMethaneFromEntericFermentation_Source">_xlfn.LAMBDA("VEERG 2026: 3.2.1.1, Equation (1)")</definedName>
    <definedName name="EntericMethane_PastureBeef_Equations.VEERG_3_2_1_1__1_TotalAnnualMethaneFromEntericFermentation_Title">_xlfn.LAMBDA("Total annual methane production from enteric fermentation in grazing beef cattle")</definedName>
    <definedName name="EntericMethane_PastureBeef_Equations.VEERG_3_2_1_1__1_TotalAnnualMethaneFromEntericFermentation_Unit">_xlfn.LAMBDA("t CH4")</definedName>
    <definedName name="EntericMethane_PastureBeef_Equations.VEERG_3_2_1_1__1_TotalAnnualMethaneFromEntericFermentation_Variable">_xlfn.LAMBDA("E_enteric")</definedName>
    <definedName name="EntericMethane_PastureBeef_Equations.VEERG_3_2_1_1__2_DailyEntericMethaneProduction">_xlfn.LAMBDA(_xlpm.I_jkl, 20.7 * _xlpm.I_jkl * 10 ^ -3)</definedName>
    <definedName name="EntericMethane_PastureBeef_Equations.VEERG_3_2_1_1__2_DailyEntericMethaneProduction_Arguments">_xlfn.LAMBDA(_xlfn.MAKEARRAY(1, 2, _xlfn.LAMBDA(_xlpm.r,_xlpm.c, INDEX({"I_jkl","dry matter intake (kg DM/head/day)"}, _xlpm.r, _xlpm.c))))</definedName>
    <definedName name="EntericMethane_PastureBeef_Equations.VEERG_3_2_1_1__2_DailyEntericMethaneProduction_LatexEquation">_xlfn.LAMBDA("M_{jkl}=20.7\times I_{jkl}\times 10^{-3}")</definedName>
    <definedName name="EntericMethane_PastureBeef_Equations.VEERG_3_2_1_1__2_DailyEntericMethaneProduction_NIRReference">_xlfn.LAMBDA("Charmley et al. (2015)")</definedName>
    <definedName name="EntericMethane_PastureBeef_Equations.VEERG_3_2_1_1__2_DailyEntericMethaneProduction_Source">_xlfn.LAMBDA("VEERG 2026: 3.2.1.1, Equation (2)")</definedName>
    <definedName name="EntericMethane_PastureBeef_Equations.VEERG_3_2_1_1__2_DailyEntericMethaneProduction_Title">_xlfn.LAMBDA("Daily production of enteric methane")</definedName>
    <definedName name="EntericMethane_PastureBeef_Equations.VEERG_3_2_1_1__2_DailyEntericMethaneProduction_Unit">_xlfn.LAMBDA("kg CH4/head/day")</definedName>
    <definedName name="EntericMethane_PastureBeef_Equations.VEERG_3_2_1_1__2_DailyEntericMethaneProduction_Variable">_xlfn.LAMBDA("M_jkl")</definedName>
    <definedName name="EntericMethane_PastureBeef_Equations.VEERG_3_2_1_1__3_FeedIntakeForGrazingBeef">_xlfn.LAMBDA(_xlpm.W_jkl,_xlpm.LWG_jkl,_xlpm.MA_jk45, (1.185 + 0.00454 * _xlpm.W_jkl - 0.0000026 * _xlpm.W_jkl ^ 2 + 0.315 * _xlpm.LWG_jkl) ^ 2 * _xlpm.MA_jk45)</definedName>
    <definedName name="EntericMethane_PastureBeef_Equations.VEERG_3_2_1_1__3_FeedIntakeForGrazingBeef_Arguments">_xlfn.LAMBDA(_xlfn.MAKEARRAY(3, 2, _xlfn.LAMBDA(_xlpm.r,_xlpm.c, INDEX({"W_jkl","liveweight (kg)";"LWG_jkl","live weight gain (kg/head/day)";"MA_jk45","additional intake for milk production in cows greater than 2 years (kg/head/day)"}, _xlpm.r, _xlpm.c))))</definedName>
    <definedName name="EntericMethane_PastureBeef_Equations.VEERG_3_2_1_1__3_FeedIntakeForGrazingBeef_LatexEquation">_xlfn.LAMBDA("I_{jkl}=(1.185+0.00454\times W_{jkl}-0.0000026\times W_{jkl}^{2}+0.315\times LWG_{jkl})^2\times MA_{jk=4,5}")</definedName>
    <definedName name="EntericMethane_PastureBeef_Equations.VEERG_3_2_1_1__3_FeedIntakeForGrazingBeef_NIRReference">_xlfn.LAMBDA("Minson and McDonald (1987)")</definedName>
    <definedName name="EntericMethane_PastureBeef_Equations.VEERG_3_2_1_1__3_FeedIntakeForGrazingBeef_Source">_xlfn.LAMBDA("VEERG 2026: 3.2.1.1, Equation (3)")</definedName>
    <definedName name="EntericMethane_PastureBeef_Equations.VEERG_3_2_1_1__3_FeedIntakeForGrazingBeef_Title">_xlfn.LAMBDA("Feed intake for grazing beef cattle")</definedName>
    <definedName name="EntericMethane_PastureBeef_Equations.VEERG_3_2_1_1__3_FeedIntakeForGrazingBeef_Unit">_xlfn.LAMBDA("kg DM/head/day")</definedName>
    <definedName name="EntericMethane_PastureBeef_Equations.VEERG_3_2_1_1__3_FeedIntakeForGrazingBeef_Variable">_xlfn.LAMBDA("I_jkl")</definedName>
    <definedName name="EntericMethane_PastureBeef_Equations.VEERG_3_2_1_1__4_AdditionalIntakeForMilkProduction">_xlfn.LAMBDA(_xlpm.LC_jk45,_xlpm.FA_jk45, (_xlpm.LC_jk45 * _xlpm.FA_jk45) + (1 - _xlpm.LC_jk45))</definedName>
    <definedName name="EntericMethane_PastureBeef_Equations.VEERG_3_2_1_1__4_AdditionalIntakeForMilkProduction_Arguments">_xlfn.LAMBDA(_xlfn.MAKEARRAY(3, 2, _xlfn.LAMBDA(_xlpm.r,_xlpm.c, INDEX({"LC_jk45","proportion of cows greater than 1 year in calf in the season of calving expressed as a fraction";"FA_jk45","feed adjustment value for lactating cows in the season of calving and the season immediately after calving expressed as a fraction";"b","breed of cattle"}, _xlpm.r, _xlpm.c))))</definedName>
    <definedName name="EntericMethane_PastureBeef_Equations.VEERG_3_2_1_1__4_AdditionalIntakeForMilkProduction_ArgumentsVariation">_xlfn.LAMBDA(_xlfn.MAKEARRAY(5, 2, _xlfn.LAMBDA(_xlpm.r,_xlpm.c, INDEX({"LC_jk45curr","proportion of cows greater than 1 year in calf in the season of calving expressed as a fraction";"LC_jk45prev","proportion of cows greater than 1 year in calf in the previous season of calving expressed as a fraction";"FA_jk45calv","feed adjustment value for lactating cows in the season of calving expressed as a fraction";"FA_jk45after","feed adjustment value for lactating cows in the season immediately after calving expressed as a fraction";"b","breed of cattle"}, _xlpm.r, _xlpm.c))))</definedName>
    <definedName name="EntericMethane_PastureBeef_Equations.VEERG_3_2_1_1__4_AdditionalIntakeForMilkProduction_LatexEquation">_xlfn.LAMBDA("MA_{jk=4,5}=(LC_{jk=4,5}\times FA_{jk=4,5})+(1-LC_{jk=4,5})")</definedName>
    <definedName name="EntericMethane_PastureBeef_Equations.VEERG_3_2_1_1__4_AdditionalIntakeForMilkProduction_LatexEquationVariation">_xlfn.LAMBDA("MA_{jk=4,5}=((LC_{jk=4,5,curr}\times FA_{jk=4,5,calv})+(LC_{jk=4,5,prev}\times FA_{jk=4,5,after}))+(1-(LC_{jk=4,5,curr}+LC_{jk=4,5,prev}))")</definedName>
    <definedName name="EntericMethane_PastureBeef_Equations.VEERG_3_2_1_1__4_AdditionalIntakeForMilkProduction_NIRReference">_xlfn.LAMBDA("")</definedName>
    <definedName name="EntericMethane_PastureBeef_Equations.VEERG_3_2_1_1__4_AdditionalIntakeForMilkProduction_Source">_xlfn.LAMBDA("VEERG 2026: 3.2.1.1, Equation (4)")</definedName>
    <definedName name="EntericMethane_PastureBeef_Equations.VEERG_3_2_1_1__4_AdditionalIntakeForMilkProduction_Title">_xlfn.LAMBDA("Additional intake for milk production in the season of calving and the season after calving")</definedName>
    <definedName name="EntericMethane_PastureBeef_Equations.VEERG_3_2_1_1__4_AdditionalIntakeForMilkProduction_Unit">_xlfn.LAMBDA("fraction")</definedName>
    <definedName name="EntericMethane_PastureBeef_Equations.VEERG_3_2_1_1__4_AdditionalIntakeForMilkProduction_Variable">_xlfn.LAMBDA("MA_jk45")</definedName>
    <definedName name="EntericMethane_PastureBeef_Equations.VEERG_3_2_1_1__4_AdditionalIntakeForMilkProduction_Variation">_xlfn.LAMBDA("VARIATION ON SOURCE: Expanded equation to account for season after calving, rather than doing the same equation twice for both seasons")</definedName>
    <definedName name="EntericMethane_PastureBeef_Equations.VEERG_3_2_1_1__4_AdditionalIntakeForMilkProductionVariation">_xlfn.LAMBDA(_xlpm.LC_jk45curr,_xlpm.LC_jk45prev,_xlpm.FA_jk45calv,_xlpm.FA_jk45after, ((_xlpm.LC_jk45curr * _xlpm.FA_jk45calv) + (_xlpm.LC_jk45prev * _xlpm.FA_jk45after)) + (1 - (_xlpm.LC_jk45curr + _xlpm.LC_jk45prev)))</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GetFirstCalvingSeason">_xlfn.LAMBDA(_xlpm.CalvingPercentArray,_xlpm.SeasonArray, INDEX(_xlpm.SeasonArray, MATCH(TRUE, _xlpm.CalvingPercentArray &gt; 0, 0)))</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MS_PastureBeef_Methane_Equations.VEERG_4_2_1_1__1_TotalAnnualMethaneProductionFromManureManagement">_xlfn.LAMBDA(_xlpm.N_jkl,_xlpm.M_jklm,_xlpm.D_j, (_xlpm.N_jkl * _xlpm.M_jklm * _xlpm.D_j) * 10 ^ -3)</definedName>
    <definedName name="MMS_PastureBeef_Methane_Equations.VEERG_4_2_1_1__1_TotalAnnualMethaneProductionFromManureManagement_Arguments">_xlfn.LAMBDA(_xlfn.MAKEARRAY(3, 2, _xlfn.LAMBDA(_xlpm.r,_xlpm.c, INDEX({"N_jkl","number of beef cattle in each time-period, class and subclass (head)";"M_jklm","methane production from manure in each time-period, class, subclass and MMS (kg/head/day)";"D_j","number of days in each time-period for each input class (days)"}, _xlpm.r, _xlpm.c))))</definedName>
    <definedName name="MMS_PastureBeef_Methane_Equations.VEERG_4_2_1_1__1_TotalAnnualMethaneProductionFromManureManagement_LatexEquation">_xlfn.LAMBDA("E_{CH4}=\sum_{j}\sum_{k}\sum_{l}\sum_{m}(N_{jkl}\times M_{jklm}\times D_j)\times 10^{-3}")</definedName>
    <definedName name="MMS_PastureBeef_Methane_Equations.VEERG_4_2_1_1__1_TotalAnnualMethaneProductionFromManureManagement_NIRReference">_xlfn.LAMBDA("")</definedName>
    <definedName name="MMS_PastureBeef_Methane_Equations.VEERG_4_2_1_1__1_TotalAnnualMethaneProductionFromManureManagement_Source">_xlfn.LAMBDA("VEERG 2026: 4.2.1.1, Equation (1)")</definedName>
    <definedName name="MMS_PastureBeef_Methane_Equations.VEERG_4_2_1_1__1_TotalAnnualMethaneProductionFromManureManagement_Title">_xlfn.LAMBDA("Total annual methane production from manure management for grazing beef cattle")</definedName>
    <definedName name="MMS_PastureBeef_Methane_Equations.VEERG_4_2_1_1__1_TotalAnnualMethaneProductionFromManureManagement_Unit">_xlfn.LAMBDA("t CH4")</definedName>
    <definedName name="MMS_PastureBeef_Methane_Equations.VEERG_4_2_1_1__1_TotalAnnualMethaneProductionFromManureManagement_Variable">_xlfn.LAMBDA("E_CH4")</definedName>
    <definedName name="MMS_PastureBeef_Methane_Equations.VEERG_4_2_1_1__2_MethaneProductionFromManure">_xlfn.LAMBDA(_xlpm.VS_jkl,_xlpm.B_o,_xlpm.MMS_m,_xlpm.MCF_im,_xlpm.rho, _xlpm.VS_jkl * _xlpm.B_o * _xlpm.MMS_m * _xlpm.MCF_im * _xlpm.rho)</definedName>
    <definedName name="MMS_PastureBeef_Methane_Equations.VEERG_4_2_1_1__2_MethaneProductionFromManure_Arguments">_xlfn.LAMBDA(_xlfn.MAKEARRAY(7, 2, _xlfn.LAMBDA(_xlpm.r,_xlpm.c, INDEX({"VS_jkl","volatile solid production (kg/day)";"B_o","emissions potential (m3 CH4/kg VS)";"MMS_m","fraction of waste in each manure management system";"MCF_im","methane conversion factor for temperature zone and MMS";"rho","density of methane (kg/m3)";"i","state";"i","region"}, _xlpm.r, _xlpm.c))))</definedName>
    <definedName name="MMS_PastureBeef_Methane_Equations.VEERG_4_2_1_1__2_MethaneProductionFromManure_LatexEquation">_xlfn.LAMBDA("M_{jklm}=VS_{jkl}\times B_o\times MMS_m\times MCF_{im}\times \rho")</definedName>
    <definedName name="MMS_PastureBeef_Methane_Equations.VEERG_4_2_1_1__2_MethaneProductionFromManure_NIRReference">_xlfn.LAMBDA("")</definedName>
    <definedName name="MMS_PastureBeef_Methane_Equations.VEERG_4_2_1_1__2_MethaneProductionFromManure_Source">_xlfn.LAMBDA("VEERG 2026: 4.2.1.1, Equation (2)")</definedName>
    <definedName name="MMS_PastureBeef_Methane_Equations.VEERG_4_2_1_1__2_MethaneProductionFromManure_Title">_xlfn.LAMBDA("Methane production from the manure of grazing beef cattle")</definedName>
    <definedName name="MMS_PastureBeef_Methane_Equations.VEERG_4_2_1_1__2_MethaneProductionFromManure_Unit">_xlfn.LAMBDA("kg CH4/head/day")</definedName>
    <definedName name="MMS_PastureBeef_Methane_Equations.VEERG_4_2_1_1__2_MethaneProductionFromManure_Variable">_xlfn.LAMBDA("M_jklm")</definedName>
    <definedName name="MMS_PastureBeef_Methane_Equations.VEERG_4_2_1_1__3_VolatileSolidProductionFromGrazingBeef">_xlfn.LAMBDA(_xlpm.I_jkl,_xlpm.DMD_jkl,_xlpm.A, (_xlpm.I_jkl * (1 - _xlpm.DMD_jkl) + (0.04 * _xlpm.I_jkl)) * (1 - _xlpm.A))</definedName>
    <definedName name="MMS_PastureBeef_Methane_Equations.VEERG_4_2_1_1__3_VolatileSolidProductionFromGrazingBeef_Arguments">_xlfn.LAMBDA(_xlfn.MAKEARRAY(3, 2, _xlfn.LAMBDA(_xlpm.r,_xlpm.c, INDEX({"I_jkl","dry matter intake as calculated in Chapter 3 Section 3.2.1 (kg/head/day)";"DMD_jkl","dry matter digestibility expressed as a fraction";"A","ash content of feed intake expressed as a fraction"}, _xlpm.r, _xlpm.c))))</definedName>
    <definedName name="MMS_PastureBeef_Methane_Equations.VEERG_4_2_1_1__3_VolatileSolidProductionFromGrazingBeef_LatexEquation">_xlfn.LAMBDA("VS_{jkl}=(I_{jkl}\times (1-DMD_{jkl})+(0.04\times I_{jkl}))\times (1-A)")</definedName>
    <definedName name="MMS_PastureBeef_Methane_Equations.VEERG_4_2_1_1__3_VolatileSolidProductionFromGrazingBeef_NIRReference">_xlfn.LAMBDA("")</definedName>
    <definedName name="MMS_PastureBeef_Methane_Equations.VEERG_4_2_1_1__3_VolatileSolidProductionFromGrazingBeef_Source">_xlfn.LAMBDA("VEERG 2026: 4.2.1.1, Equation (3)")</definedName>
    <definedName name="MMS_PastureBeef_Methane_Equations.VEERG_4_2_1_1__3_VolatileSolidProductionFromGrazingBeef_Title">_xlfn.LAMBDA("Volatile solid production from grazing beef")</definedName>
    <definedName name="MMS_PastureBeef_Methane_Equations.VEERG_4_2_1_1__3_VolatileSolidProductionFromGrazingBeef_Unit">_xlfn.LAMBDA("kg/head/day")</definedName>
    <definedName name="MMS_PastureBeef_Methane_Equations.VEERG_4_2_1_1__3_VolatileSolidProductionFromGrazingBeef_Variable">_xlfn.LAMBDA("VS_jkl")</definedName>
    <definedName name="MMS_PastureBeef_Soil_AtmosphericDeposition_Equations.VEERG_4_2_1_5__1_AtmosphericDepositionEmissionsFromUrineAndDungOnPasture">_xlfn.LAMBDA(_xlpm.M_vol,_xlpm.EF_N2O,_xlpm.C_N2O, _xlpm.M_vol * _xlpm.EF_N2O * _xlpm.C_N2O * 10 ^ -3)</definedName>
    <definedName name="MMS_PastureBeef_Soil_AtmosphericDeposition_Equations.VEERG_4_2_1_5__1_AtmosphericDepositionEmissionsFromUrineAndDungOnPasture_Arguments">_xlfn.LAMBDA(_xlfn.MAKEARRAY(6, 2, _xlfn.LAMBDA(_xlpm.r,_xlpm.c, INDEX({"M_vol","mass of nitrogen volatilised from urine and faeces deposited on pasture (kg N)";"EF_N2O","nitrous oxide emission factor for atmospheric deposition (kg N2O-N/kg N)";"C_N2O","factor to convert elemental mass of N2O to molecular mass";"j","production system";"i","irrigation method";"r","rainfall zone"}, _xlpm.r, _xlpm.c))))</definedName>
    <definedName name="MMS_PastureBeef_Soil_AtmosphericDeposition_Equations.VEERG_4_2_1_5__1_AtmosphericDepositionEmissionsFromUrineAndDungOnPasture_LatexEquation">_xlfn.LAMBDA("E_{N2O,ad}=M_{vol}\times EF_{N2O}\times C_{N2O}\times 10^{-3}")</definedName>
    <definedName name="MMS_PastureBeef_Soil_AtmosphericDeposition_Equations.VEERG_4_2_1_5__1_AtmosphericDepositionEmissionsFromUrineAndDungOnPasture_NIRReference">_xlfn.LAMBDA("")</definedName>
    <definedName name="MMS_PastureBeef_Soil_AtmosphericDeposition_Equations.VEERG_4_2_1_5__1_AtmosphericDepositionEmissionsFromUrineAndDungOnPasture_Source">_xlfn.LAMBDA("VEERG 2026: 4.2.1.5, Equation (1)")</definedName>
    <definedName name="MMS_PastureBeef_Soil_AtmosphericDeposition_Equations.VEERG_4_2_1_5__1_AtmosphericDepositionEmissionsFromUrineAndDungOnPasture_Title">_xlfn.LAMBDA("Atmospheric deposition emissions from urine and dung deposited on pasture")</definedName>
    <definedName name="MMS_PastureBeef_Soil_AtmosphericDeposition_Equations.VEERG_4_2_1_5__1_AtmosphericDepositionEmissionsFromUrineAndDungOnPasture_Unit">_xlfn.LAMBDA("t N2O")</definedName>
    <definedName name="MMS_PastureBeef_Soil_AtmosphericDeposition_Equations.VEERG_4_2_1_5__1_AtmosphericDepositionEmissionsFromUrineAndDungOnPasture_Variable">_xlfn.LAMBDA("E_N2Oad")</definedName>
    <definedName name="MMS_PastureBeef_Soil_AtmosphericDeposition_Equations.VEERG_4_2_1_5__2_MassOfNitrogenVolatilisedOnPasture">_xlfn.LAMBDA(_xlpm.AE,_xlpm.FracGASMsoil, _xlpm.AE * _xlpm.FracGASMsoil)</definedName>
    <definedName name="MMS_PastureBeef_Soil_AtmosphericDeposition_Equations.VEERG_4_2_1_5__2_MassOfNitrogenVolatilisedOnPasture_Arguments">_xlfn.LAMBDA(_xlfn.MAKEARRAY(2, 2, _xlfn.LAMBDA(_xlpm.r,_xlpm.c, INDEX({"AE","total mass of nitrogen excreted on PRP for beef cattle (kg N)";"FracGASMsoil","fraction of nitrogen volatilised from urine and faeces deposited on pasture ((kg NH3-N + NOx-N)/kg N)"}, _xlpm.r, _xlpm.c))))</definedName>
    <definedName name="MMS_PastureBeef_Soil_AtmosphericDeposition_Equations.VEERG_4_2_1_5__2_MassOfNitrogenVolatilisedOnPasture_LatexEquation">_xlfn.LAMBDA("M_{vol}=AE\times FracGASMsoil")</definedName>
    <definedName name="MMS_PastureBeef_Soil_AtmosphericDeposition_Equations.VEERG_4_2_1_5__2_MassOfNitrogenVolatilisedOnPasture_NIRReference">_xlfn.LAMBDA("")</definedName>
    <definedName name="MMS_PastureBeef_Soil_AtmosphericDeposition_Equations.VEERG_4_2_1_5__2_MassOfNitrogenVolatilisedOnPasture_Source">_xlfn.LAMBDA("VEERG 2026: 4.2.1.5, Equation (2)")</definedName>
    <definedName name="MMS_PastureBeef_Soil_AtmosphericDeposition_Equations.VEERG_4_2_1_5__2_MassOfNitrogenVolatilisedOnPasture_Title">_xlfn.LAMBDA("Mass of nitrogen volatilised")</definedName>
    <definedName name="MMS_PastureBeef_Soil_AtmosphericDeposition_Equations.VEERG_4_2_1_5__2_MassOfNitrogenVolatilisedOnPasture_Unit">_xlfn.LAMBDA("kg N")</definedName>
    <definedName name="MMS_PastureBeef_Soil_AtmosphericDeposition_Equations.VEERG_4_2_1_5__2_MassOfNitrogenVolatilisedOnPasture_Variable">_xlfn.LAMBDA("M_vol")</definedName>
    <definedName name="MMS_PastureBeef_Soil_LeachingAndRunoff.VEERG_4_2_1_7__1_LeachingAndRunoffEmissionsFromUrineAndDungOnPasture">_xlfn.LAMBDA(_xlpm.M_leach,_xlpm.EF_leach,_xlpm.C_N2O, _xlpm.M_leach * _xlpm.EF_leach * _xlpm.C_N2O * 10 ^ -3)</definedName>
    <definedName name="MMS_PastureBeef_Soil_LeachingAndRunoff.VEERG_4_2_1_7__1_LeachingAndRunoffEmissionsFromUrineAndDungOnPasture_Arguments">_xlfn.LAMBDA(_xlfn.MAKEARRAY(3, 2, _xlfn.LAMBDA(_xlpm.r,_xlpm.c, INDEX({"M_leach","mass of nitrogen lost to leaching and runoff (kg N)";"EF_leach","emission factor for leaching and runoff (kg N2O-N/kg N)";"C_N2O","factor to convert elemental mass of N2O to molecular mass"}, _xlpm.r, _xlpm.c))))</definedName>
    <definedName name="MMS_PastureBeef_Soil_LeachingAndRunoff.VEERG_4_2_1_7__1_LeachingAndRunoffEmissionsFromUrineAndDungOnPasture_LatexEquation">_xlfn.LAMBDA("E_{N2O,leach}=M_{leach}\times EF_{leach}\times C_{N2O}\times 10^{-3}")</definedName>
    <definedName name="MMS_PastureBeef_Soil_LeachingAndRunoff.VEERG_4_2_1_7__1_LeachingAndRunoffEmissionsFromUrineAndDungOnPasture_NIRReference">_xlfn.LAMBDA("")</definedName>
    <definedName name="MMS_PastureBeef_Soil_LeachingAndRunoff.VEERG_4_2_1_7__1_LeachingAndRunoffEmissionsFromUrineAndDungOnPasture_Source">_xlfn.LAMBDA("VEERG 2026: 4.2.1.7, Equation (1)")</definedName>
    <definedName name="MMS_PastureBeef_Soil_LeachingAndRunoff.VEERG_4_2_1_7__1_LeachingAndRunoffEmissionsFromUrineAndDungOnPasture_Title">_xlfn.LAMBDA("Leaching and runoff emissions from urine and dung deposited on pasture")</definedName>
    <definedName name="MMS_PastureBeef_Soil_LeachingAndRunoff.VEERG_4_2_1_7__1_LeachingAndRunoffEmissionsFromUrineAndDungOnPasture_Unit">_xlfn.LAMBDA("t N2O")</definedName>
    <definedName name="MMS_PastureBeef_Soil_LeachingAndRunoff.VEERG_4_2_1_7__1_LeachingAndRunoffEmissionsFromUrineAndDungOnPasture_Variable">_xlfn.LAMBDA("E_N2Oleach")</definedName>
    <definedName name="MMS_PastureBeef_Soil_LeachingAndRunoff.VEERG_4_2_1_7__2_MassOfNitrogenLostToLeachingAndRunoffOnPasture">_xlfn.LAMBDA(_xlpm.AE,_xlpm.FracWet,_xlpm.FracLEACH, _xlpm.AE * _xlpm.FracWet * _xlpm.FracLEACH)</definedName>
    <definedName name="MMS_PastureBeef_Soil_LeachingAndRunoff.VEERG_4_2_1_7__2_MassOfNitrogenLostToLeachingAndRunoffOnPasture_Arguments">_xlfn.LAMBDA(_xlfn.MAKEARRAY(6, 2, _xlfn.LAMBDA(_xlpm.r,_xlpm.c, INDEX({"AE","total mass of nitrogen excreted on PRP for beef cattle (kg N)";"FracWet","fraction of N available for leaching and runoff";"FracLEACH","fraction of all N that is lost through leaching and runoff";"z","location in leaching zone";"j","production system";"ir","irrigation method"}, _xlpm.r, _xlpm.c))))</definedName>
    <definedName name="MMS_PastureBeef_Soil_LeachingAndRunoff.VEERG_4_2_1_7__2_MassOfNitrogenLostToLeachingAndRunoffOnPasture_LatexEquation">_xlfn.LAMBDA("M_{leach}=AE\times FracWet\times FracLEACH")</definedName>
    <definedName name="MMS_PastureBeef_Soil_LeachingAndRunoff.VEERG_4_2_1_7__2_MassOfNitrogenLostToLeachingAndRunoffOnPasture_NIRReference">_xlfn.LAMBDA("")</definedName>
    <definedName name="MMS_PastureBeef_Soil_LeachingAndRunoff.VEERG_4_2_1_7__2_MassOfNitrogenLostToLeachingAndRunoffOnPasture_Source">_xlfn.LAMBDA("VEERG 2026: 4.2.1.7, Equation (2)")</definedName>
    <definedName name="MMS_PastureBeef_Soil_LeachingAndRunoff.VEERG_4_2_1_7__2_MassOfNitrogenLostToLeachingAndRunoffOnPasture_Title">_xlfn.LAMBDA("Mass of nitrogen lost to leaching and runoff")</definedName>
    <definedName name="MMS_PastureBeef_Soil_LeachingAndRunoff.VEERG_4_2_1_7__2_MassOfNitrogenLostToLeachingAndRunoffOnPasture_Unit">_xlfn.LAMBDA("kg N")</definedName>
    <definedName name="MMS_PastureBeef_Soil_LeachingAndRunoff.VEERG_4_2_1_7__2_MassOfNitrogenLostToLeachingAndRunoffOnPasture_Variable">_xlfn.LAMBDA("M_leach")</definedName>
    <definedName name="MMS_PastureBeef_Soil_N2ODirect_Equations.VEERG_4_2_1_3__1_DirectNitrousOxideEmissionsOnPasture">_xlfn.LAMBDA(_xlpm.AE,_xlpm.EF_PRP,_xlpm.C_N2O, _xlpm.AE * _xlpm.EF_PRP * _xlpm.C_N2O * 10 ^ -3)</definedName>
    <definedName name="MMS_PastureBeef_Soil_N2ODirect_Equations.VEERG_4_2_1_3__1_DirectNitrousOxideEmissionsOnPasture_Arguments">_xlfn.LAMBDA(_xlfn.MAKEARRAY(4, 2, _xlfn.LAMBDA(_xlpm.r,_xlpm.c, INDEX({"AE","total mass of nitrogen excreted on PRP for beef cattle (kg N)";"EF_PRP","emission factor for nitrous oxide from urine and dung deposited to soil (kg N2O-N/kg N deposited)";"C_N2O","factor to convert elemental mass of nitrous oxide to molecular mass";"z","wet or dry climate zone"}, _xlpm.r, _xlpm.c))))</definedName>
    <definedName name="MMS_PastureBeef_Soil_N2ODirect_Equations.VEERG_4_2_1_3__1_DirectNitrousOxideEmissionsOnPasture_LatexEquation">_xlfn.LAMBDA("E_{N2O,dir}=AE\times EF_{PRP}\times C_{N2O}\times 10^{-3}")</definedName>
    <definedName name="MMS_PastureBeef_Soil_N2ODirect_Equations.VEERG_4_2_1_3__1_DirectNitrousOxideEmissionsOnPasture_NIRReference">_xlfn.LAMBDA("")</definedName>
    <definedName name="MMS_PastureBeef_Soil_N2ODirect_Equations.VEERG_4_2_1_3__1_DirectNitrousOxideEmissionsOnPasture_Source">_xlfn.LAMBDA("VEERG 2026: 4.2.1.3, Equation (1)")</definedName>
    <definedName name="MMS_PastureBeef_Soil_N2ODirect_Equations.VEERG_4_2_1_3__1_DirectNitrousOxideEmissionsOnPasture_Title">_xlfn.LAMBDA("Total annual direct nitrous oxide emissions from agricultural soils from deposition of urine and dung")</definedName>
    <definedName name="MMS_PastureBeef_Soil_N2ODirect_Equations.VEERG_4_2_1_3__1_DirectNitrousOxideEmissionsOnPasture_Unit">_xlfn.LAMBDA("t N2O")</definedName>
    <definedName name="MMS_PastureBeef_Soil_N2ODirect_Equations.VEERG_4_2_1_3__1_DirectNitrousOxideEmissionsOnPasture_Variable">_xlfn.LAMBDA("E_N2Odir")</definedName>
    <definedName name="MMS_PastureBeef_Soil_N2ODirect_Equations.VEERG_4_2_1_3__2_TotalNitrogenExcretedToPastureRangeAndPaddock">_xlfn.LAMBDA(_xlpm.N_jkl,_xlpm.NE_jkl,_xlpm.D_j, SUM((_xlpm.N_jkl * _xlpm.NE_jkl) * _xlpm.D_j))</definedName>
    <definedName name="MMS_PastureBeef_Soil_N2ODirect_Equations.VEERG_4_2_1_3__2_TotalNitrogenExcretedToPastureRangeAndPaddock_Arguments">_xlfn.LAMBDA(_xlfn.MAKEARRAY(3, 2, _xlfn.LAMBDA(_xlpm.r,_xlpm.c, INDEX({"N_jkl","number of beef cattle by time-period, class and subclass (head)";"NE_jkl","nitrogen excreted in each time-period, by each class and subclass (kg N/head/day)";"D_j","number of days in each time-period (days)"}, _xlpm.r, _xlpm.c))))</definedName>
    <definedName name="MMS_PastureBeef_Soil_N2ODirect_Equations.VEERG_4_2_1_3__2_TotalNitrogenExcretedToPastureRangeAndPaddock_LatexEquation">_xlfn.LAMBDA("AE=\sum_{j}\sum_{k}\sum_{l}(N_{jkl}\times NE_{jkl}\times D_j)")</definedName>
    <definedName name="MMS_PastureBeef_Soil_N2ODirect_Equations.VEERG_4_2_1_3__2_TotalNitrogenExcretedToPastureRangeAndPaddock_NIRReference">_xlfn.LAMBDA("")</definedName>
    <definedName name="MMS_PastureBeef_Soil_N2ODirect_Equations.VEERG_4_2_1_3__2_TotalNitrogenExcretedToPastureRangeAndPaddock_Source">_xlfn.LAMBDA("VEERG 2026: 4.2.1.3, Equation (2)")</definedName>
    <definedName name="MMS_PastureBeef_Soil_N2ODirect_Equations.VEERG_4_2_1_3__2_TotalNitrogenExcretedToPastureRangeAndPaddock_Title">_xlfn.LAMBDA("Total nitrogen excreted to pasture, range and paddock")</definedName>
    <definedName name="MMS_PastureBeef_Soil_N2ODirect_Equations.VEERG_4_2_1_3__2_TotalNitrogenExcretedToPastureRangeAndPaddock_Unit">_xlfn.LAMBDA("kg N")</definedName>
    <definedName name="MMS_PastureBeef_Soil_N2ODirect_Equations.VEERG_4_2_1_3__2_TotalNitrogenExcretedToPastureRangeAndPaddock_Variable">_xlfn.LAMBDA("AE")</definedName>
    <definedName name="MMS_PastureBeef_Soil_N2ODirect_Equations.VEERG_4_2_1_3__3_NitrogenExcreted">_xlfn.LAMBDA(_xlpm.I_jkl,_xlpm.CP_j,_xlpm.MC_jk136,_xlpm.NR_jkl,_xlpm.W_jkl, ((_xlpm.I_jkl * _xlpm.CP_j) / 6.25) + ((0.032 * _xlpm.MC_jk136) / 6.38) - _xlpm.NR_jkl - ((1.1 * 10 ^ -4 * _xlpm.W_jkl ^ 0.75) / 6.25))</definedName>
    <definedName name="MMS_PastureBeef_Soil_N2ODirect_Equations.VEERG_4_2_1_3__3_NitrogenExcreted_Arguments">_xlfn.LAMBDA(_xlfn.MAKEARRAY(7, 2, _xlfn.LAMBDA(_xlpm.r,_xlpm.c, INDEX({"I_jkl","dry matter intake as calculated in Chapter 3 Section 3.2.1 (kg DM/head/day)";"CP_j","crude protein content of dry matter intake";"MC_jk136","milk intake (kg/head/day)";"NR_jkl","the amount of nitrogen retained by the body (kg N/head/day)";"W_jkl","liveweight (kg/head)";"b","breed of cattle";"s","Calving season"}, _xlpm.r, _xlpm.c))))</definedName>
    <definedName name="MMS_PastureBeef_Soil_N2ODirect_Equations.VEERG_4_2_1_3__3_NitrogenExcreted_LatexEquation">_xlfn.LAMBDA("NE_{jkl}= (I_{jkl}\times CP_j \div 6.25)  + (0.032\times MC_{jk=1,3,6} \div 6.38)  - NR_{jkl} - \left[ (1.1\times 10^{-4}\times W_{jkl}^{0.75}) \div  6.25 \right]")</definedName>
    <definedName name="MMS_PastureBeef_Soil_N2ODirect_Equations.VEERG_4_2_1_3__3_NitrogenExcreted_NIRReference">_xlfn.LAMBDA("")</definedName>
    <definedName name="MMS_PastureBeef_Soil_N2ODirect_Equations.VEERG_4_2_1_3__3_NitrogenExcreted_Source">_xlfn.LAMBDA("VEERG 2026: 4.2.1.3, Equation (3)")</definedName>
    <definedName name="MMS_PastureBeef_Soil_N2ODirect_Equations.VEERG_4_2_1_3__3_NitrogenExcreted_Title">_xlfn.LAMBDA("Nitrogen excreted")</definedName>
    <definedName name="MMS_PastureBeef_Soil_N2ODirect_Equations.VEERG_4_2_1_3__3_NitrogenExcreted_Unit">_xlfn.LAMBDA("kg N/head/day")</definedName>
    <definedName name="MMS_PastureBeef_Soil_N2ODirect_Equations.VEERG_4_2_1_3__3_NitrogenExcreted_Variable">_xlfn.LAMBDA("NE_jkl")</definedName>
    <definedName name="MMS_PastureBeef_Soil_N2ODirect_Equations.VEERG_4_2_1_3__4_NitrogenRetainedByBody">_xlfn.LAMBDA(_xlpm.MP_jk5,_xlpm.L_jkl,_xlpm.Z_jkl,_xlpm.LWG_jkl, ((0.032 * _xlpm.MP_jk5) / 6.38) + (((0.212 - 0.008 * (_xlpm.L_jkl - 2) - ((0.14 - 0.008 * (_xlpm.L_jkl - 2)) / (1 + EXP(-6 * (_xlpm.Z_jkl - 0.4))))) * (_xlpm.LWG_jkl * 0.92)) / 6.25))</definedName>
    <definedName name="MMS_PastureBeef_Soil_N2ODirect_Equations.VEERG_4_2_1_3__4_NitrogenRetainedByBody_Arguments">_xlfn.LAMBDA(_xlfn.MAKEARRAY(4, 2, _xlfn.LAMBDA(_xlpm.r,_xlpm.c, INDEX({"MP_jk5","milk production (kg/head/day)";"L_jkl","intake relative to that needed for maintenance";"Z_jkl","relative size";"LWG_jkl","liveweight gain (kg/head/day)"}, _xlpm.r, _xlpm.c))))</definedName>
    <definedName name="MMS_PastureBeef_Soil_N2ODirect_Equations.VEERG_4_2_1_3__4_NitrogenRetainedByBody_LatexEquation">_xlfn.LAMBDA("NR_{jkl}=(0.032 \times MP_{jk=5} \div 6.38) + \left { \left { 0.212 - 0.008 \times (L_{jkl} -2) - \left[ \frac{0.140-0.008 \times (L_{jkl} - 2)}{1+e^{(-6 \times (Z_{jkl}-0.4))}} \right] \right} \times (LWG_{jkl} \times 0.92) \right} \div 6.25")</definedName>
    <definedName name="MMS_PastureBeef_Soil_N2ODirect_Equations.VEERG_4_2_1_3__4_NitrogenRetainedByBody_NIRReference">_xlfn.LAMBDA("")</definedName>
    <definedName name="MMS_PastureBeef_Soil_N2ODirect_Equations.VEERG_4_2_1_3__4_NitrogenRetainedByBody_Source">_xlfn.LAMBDA("VEERG 2026: 4.2.1.3, Equation (4)")</definedName>
    <definedName name="MMS_PastureBeef_Soil_N2ODirect_Equations.VEERG_4_2_1_3__4_NitrogenRetainedByBody_Title">_xlfn.LAMBDA("Amount of nitrogen retained by the body")</definedName>
    <definedName name="MMS_PastureBeef_Soil_N2ODirect_Equations.VEERG_4_2_1_3__4_NitrogenRetainedByBody_Unit">_xlfn.LAMBDA("kg N/head/day")</definedName>
    <definedName name="MMS_PastureBeef_Soil_N2ODirect_Equations.VEERG_4_2_1_3__4_NitrogenRetainedByBody_Variable">_xlfn.LAMBDA("NR_jkl")</definedName>
    <definedName name="MMS_PastureBeef_Soil_N2ODirect_Equations.VEERG_4_2_1_3__5_MilkProductionForCalvingSeason">_xlfn.LAMBDA(_xlpm.LC_jk5,_xlpm.DMP_jk5, _xlpm.LC_jk5 * _xlpm.DMP_jk5)</definedName>
    <definedName name="MMS_PastureBeef_Soil_N2ODirect_Equations.VEERG_4_2_1_3__5_MilkProductionForCalvingSeason_Arguments">_xlfn.LAMBDA(_xlfn.MAKEARRAY(3, 2, _xlfn.LAMBDA(_xlpm.r,_xlpm.c, INDEX({"LC_jk5","proportion of cows greater than 2 years lactating for the season of calving and season after calving expressed as a fraction";"DMP_jk5","daily milk production (kg/head/day)";"b","breed of cattle"}, _xlpm.r, _xlpm.c))))</definedName>
    <definedName name="MMS_PastureBeef_Soil_N2ODirect_Equations.VEERG_4_2_1_3__5_MilkProductionForCalvingSeason_ArgumentsVariation">_xlfn.LAMBDA(_xlfn.MAKEARRAY(5, 2, _xlfn.LAMBDA(_xlpm.r,_xlpm.c, INDEX({"LC_jk5curr","proportion of cows greater than 2 years lactating for the season of calving";"LC_jk5prev","proportion of cows greater than 2 years lactating for the season after calving";"DMP_jk5calv","daily milk production for the season of calving (kg/head/day)";"DMP_jk5after","daily milk production for the season after calving (kg/head/day)";"b","breed of cattle"}, _xlpm.r, _xlpm.c))))</definedName>
    <definedName name="MMS_PastureBeef_Soil_N2ODirect_Equations.VEERG_4_2_1_3__5_MilkProductionForCalvingSeason_LatexEquation">_xlfn.LAMBDA("MP_{jk=5}=LC_{jk=5}\times DMP_{jk=5}")</definedName>
    <definedName name="MMS_PastureBeef_Soil_N2ODirect_Equations.VEERG_4_2_1_3__5_MilkProductionForCalvingSeason_LatexEquationVariation">_xlfn.LAMBDA("MP_{jk=5}=(LC_{jk=5,current}\times DMP_{jk=5,calv})+(LC_{jk=5,prev}\times DMP_{jk=5,after})")</definedName>
    <definedName name="MMS_PastureBeef_Soil_N2ODirect_Equations.VEERG_4_2_1_3__5_MilkProductionForCalvingSeason_NIRReference">_xlfn.LAMBDA("")</definedName>
    <definedName name="MMS_PastureBeef_Soil_N2ODirect_Equations.VEERG_4_2_1_3__5_MilkProductionForCalvingSeason_Source">_xlfn.LAMBDA("VEERG 2026: 4.2.1.3, Equation (5)")</definedName>
    <definedName name="MMS_PastureBeef_Soil_N2ODirect_Equations.VEERG_4_2_1_3__5_MilkProductionForCalvingSeason_Title">_xlfn.LAMBDA("Milk production for the season of calving and season after calving")</definedName>
    <definedName name="MMS_PastureBeef_Soil_N2ODirect_Equations.VEERG_4_2_1_3__5_MilkProductionForCalvingSeason_Unit">_xlfn.LAMBDA("kg/head/day")</definedName>
    <definedName name="MMS_PastureBeef_Soil_N2ODirect_Equations.VEERG_4_2_1_3__5_MilkProductionForCalvingSeason_Variable">_xlfn.LAMBDA("MP_jk5")</definedName>
    <definedName name="MMS_PastureBeef_Soil_N2ODirect_Equations.VEERG_4_2_1_3__5_MilkProductionForCalvingSeason_Variation">_xlfn.LAMBDA("VARIATION ON SOURCE: Split LC and DMP into calving season and after calving season values.")</definedName>
    <definedName name="MMS_PastureBeef_Soil_N2ODirect_Equations.VEERG_4_2_1_3__5_MilkProductionForCalvingSeasonVariation">_xlfn.LAMBDA(_xlpm.LC_jk5curr,_xlpm.LC_jk5prev,_xlpm.DMP_jk5calv,_xlpm.DMP_jk5after, (_xlpm.LC_jk5curr * _xlpm.DMP_jk5calv) + (_xlpm.LC_jk5prev * _xlpm.DMP_jk5after))</definedName>
    <definedName name="MMS_PastureBeef_Soil_N2ODirect_Equations.VEERG_4_2_1_3__6_IntakeRelativeToMaintenance">_xlfn.LAMBDA(_xlpm.I_jkl,_xlpm.W_jkl, _xlpm.I_jkl / ((1.185 + 0.00454 * _xlpm.W_jkl - 0.0000026 * _xlpm.W_jkl ^ 2) ^ 2))</definedName>
    <definedName name="MMS_PastureBeef_Soil_N2ODirect_Equations.VEERG_4_2_1_3__6_IntakeRelativeToMaintenance_Arguments">_xlfn.LAMBDA(_xlfn.MAKEARRAY(2, 2, _xlfn.LAMBDA(_xlpm.r,_xlpm.c, INDEX({"I_jkl","dry matter intake as calculated in Chapter 3 Section 3.2.1 (kg DM/head/day)";"W_jkl","liveweight (kg/head)"}, _xlpm.r, _xlpm.c))))</definedName>
    <definedName name="MMS_PastureBeef_Soil_N2ODirect_Equations.VEERG_4_2_1_3__6_IntakeRelativeToMaintenance_LatexEquation">_xlfn.LAMBDA("L_{jkl}=\frac{I_{jkl}}{(1.185+0.00454\times W_{jkl}-0.0000026\times W_{jkl}^{2})^{2}}")</definedName>
    <definedName name="MMS_PastureBeef_Soil_N2ODirect_Equations.VEERG_4_2_1_3__6_IntakeRelativeToMaintenance_NIRReference">_xlfn.LAMBDA("")</definedName>
    <definedName name="MMS_PastureBeef_Soil_N2ODirect_Equations.VEERG_4_2_1_3__6_IntakeRelativeToMaintenance_Source">_xlfn.LAMBDA("VEERG 2026: 4.2.1.3, Equation (6)")</definedName>
    <definedName name="MMS_PastureBeef_Soil_N2ODirect_Equations.VEERG_4_2_1_3__6_IntakeRelativeToMaintenance_Title">_xlfn.LAMBDA("Intake relative to that needed for maintenance")</definedName>
    <definedName name="MMS_PastureBeef_Soil_N2ODirect_Equations.VEERG_4_2_1_3__6_IntakeRelativeToMaintenance_Unit">_xlfn.LAMBDA("ratio")</definedName>
    <definedName name="MMS_PastureBeef_Soil_N2ODirect_Equations.VEERG_4_2_1_3__6_IntakeRelativeToMaintenance_Variable">_xlfn.LAMBDA("L_jkl")</definedName>
    <definedName name="MMS_PastureBeef_Soil_N2ODirect_Equations.VEERG_4_2_1_3__7_RelativeSize">_xlfn.LAMBDA(_xlpm.W_jkl,_xlpm.SRW_k, _xlpm.W_jkl / _xlpm.SRW_k)</definedName>
    <definedName name="MMS_PastureBeef_Soil_N2ODirect_Equations.VEERG_4_2_1_3__7_RelativeSize_Arguments">_xlfn.LAMBDA(_xlfn.MAKEARRAY(3, 2, _xlfn.LAMBDA(_xlpm.r,_xlpm.c, INDEX({"W_jkl","liveweight (kg)";"SRW_k","standard reference weight (kg)";"i","state"}, _xlpm.r, _xlpm.c))))</definedName>
    <definedName name="MMS_PastureBeef_Soil_N2ODirect_Equations.VEERG_4_2_1_3__7_RelativeSize_LatexEquation">_xlfn.LAMBDA("Z_{jkl}=\frac{W_{jkl}}{SRW_k}")</definedName>
    <definedName name="MMS_PastureBeef_Soil_N2ODirect_Equations.VEERG_4_2_1_3__7_RelativeSize_NIRReference">_xlfn.LAMBDA("")</definedName>
    <definedName name="MMS_PastureBeef_Soil_N2ODirect_Equations.VEERG_4_2_1_3__7_RelativeSize_Source">_xlfn.LAMBDA("VEERG 2026: 4.2.1.3, Equation (7)")</definedName>
    <definedName name="MMS_PastureBeef_Soil_N2ODirect_Equations.VEERG_4_2_1_3__7_RelativeSize_Title">_xlfn.LAMBDA("Relative size of the cattle")</definedName>
    <definedName name="MMS_PastureBeef_Soil_N2ODirect_Equations.VEERG_4_2_1_3__7_RelativeSize_Unit">_xlfn.LAMBDA("ratio")</definedName>
    <definedName name="MMS_PastureBeef_Soil_N2ODirect_Equations.VEERG_4_2_1_3__7_RelativeSize_Variable">_xlfn.LAMBDA("Z_jkl")</definedName>
    <definedName name="Range_LivestockStartingValues">#REF!</definedName>
    <definedName name="SourceData_PastureBeef.SourceData_PastureBeef_AshContentOfFeedIntake_Data">_xlfn.LAMBDA(0.08)</definedName>
    <definedName name="SourceData_PastureBeef.SourceData_PastureBeef_AshContentOfFeedIntake_Source">_xlfn.LAMBDA("VEERG 2026: 4.2.2.3 CONSTANTS")</definedName>
    <definedName name="SourceData_PastureBeef.SourceData_PastureBeef_AshContentOfFeedIntake_Title">_xlfn.LAMBDA("Ash content of feed intake")</definedName>
    <definedName name="SourceData_PastureBeef.SourceData_PastureBeef_AshContentOfFeedIntake_Unit">_xlfn.LAMBDA("fraction")</definedName>
    <definedName name="SourceData_PastureBeef.SourceData_PastureBeef_AshContentOfFeedIntake_Variable">_xlfn.LAMBDA("A")</definedName>
    <definedName name="SourceData_PastureBeef.SourceData_PastureBeef_AshContentOfFeedIntake_Variation">_xlfn.LAMBDA("")</definedName>
    <definedName name="SourceData_PastureBeef.SourceData_PastureBeef_CrudeProteinContent_Data">_xlfn.LAMBDA(_xlfn.MAKEARRAY(16, 6, _xlfn.LAMBDA(_xlpm.r,_xlpm.c, INDEX({"State","Region","Spring","Summer","Autumn","Winter";"ACT","n/a",0.07,0.13,0.1,0.06;"NSW","n/a",0.07,0.13,0.1,0.06;"NT","Alice Springs",0.058,0.092,0.075,0.053;"NT","Barkly",0.058,0.092,0.075,0.053;"NT","Northern",0.058,0.092,0.075,0.053;"QLD","High",0.072,0.099,0.078,0.059;"QLD","Moderate/High",0.072,0.099,0.078,0.059;"QLD","Moderate/Low",0.072,0.099,0.078,0.059;"QLD","Low",0.072,0.099,0.078,0.059;"SA","n/a",0.16,0.07,0.09,0.2;"TAS","n/a",0.2,0.1,0.16,0.2;"VIC","n/a",0.25,0.07,0.1,0.21;"WA","South West",0.2,0.09,0.06,0.2;"WA","Pilbara",0.04,0.12,0.09,0.06;"WA","Kimberley",0.04,0.12,0.09,0.06}, _xlpm.r, _xlpm.c))))</definedName>
    <definedName name="SourceData_PastureBeef.SourceData_PastureBeef_CrudeProteinContent_Source">_xlfn.LAMBDA("VEERG 2026: Table A.1.2.6")</definedName>
    <definedName name="SourceData_PastureBeef.SourceData_PastureBeef_CrudeProteinContent_Title">_xlfn.LAMBDA("Beef pasture cattle - Crude protein content of feed intake (fraction) (CPj)")</definedName>
    <definedName name="SourceData_PastureBeef.SourceData_PastureBeef_CrudeProteinContent_Unit">_xlfn.LAMBDA("fraction")</definedName>
    <definedName name="SourceData_PastureBeef.SourceData_PastureBeef_CrudeProteinContent_Variable">_xlfn.LAMBDA("CPj")</definedName>
    <definedName name="SourceData_PastureBeef.SourceData_PastureBeef_CrudeProteinContent_Variation">_xlfn.LAMBDA("VARIATION ON SOURCE: Split ACT and NSW into separate rows. Duplicated QLD and NT rows with regions from table A.1.2.2 to aid lookup")</definedName>
    <definedName name="SourceData_PastureBeef.SourceData_PastureBeef_DryMatterDigestibility_Data">_xlfn.LAMBDA(_xlfn.MAKEARRAY(16, 6, _xlfn.LAMBDA(_xlpm.r,_xlpm.c, INDEX({"State","Region","Spring","Summer","Autumn","Winter";"ACT","n/a",0.55,0.65,0.6,0.5;"NSW","n/a",0.55,0.65,0.6,0.5;"NT","Alice Springs",0.55,0.61,0.57,0.54;"NT","Barkly",0.55,0.61,0.57,0.54;"NT","Northern",0.55,0.61,0.57,0.54;"QLD","High",0.53,0.57,0.55,0.51;"QLD","Moderate/High",0.53,0.57,0.55,0.51;"QLD","Moderate/Low",0.53,0.57,0.55,0.51;"QLD","Low",0.53,0.57,0.55,0.51;"SA","n/a",0.7,0.55,0.55,0.75;"TAS","n/a",0.75,0.6,0.7,0.75;"VIC","n/a",0.8,0.55,0.6,0.76;"WA","South West",0.8,0.58,0.5,0.75;"WA","Pilbara",0.4,0.65,0.55,0.45;"WA","Kimberley",0.4,0.65,0.55,0.45}, _xlpm.r, _xlpm.c))))</definedName>
    <definedName name="SourceData_PastureBeef.SourceData_PastureBeef_DryMatterDigestibility_Source">_xlfn.LAMBDA("VEERG 2026: Table A.1.2.5")</definedName>
    <definedName name="SourceData_PastureBeef.SourceData_PastureBeef_DryMatterDigestibility_Title">_xlfn.LAMBDA("Beef pasture cattle - Dry matter digestibility of feed intake (fraction) (DMDj)")</definedName>
    <definedName name="SourceData_PastureBeef.SourceData_PastureBeef_DryMatterDigestibility_Unit">_xlfn.LAMBDA("fraction")</definedName>
    <definedName name="SourceData_PastureBeef.SourceData_PastureBeef_DryMatterDigestibility_Variable">_xlfn.LAMBDA("DMDj")</definedName>
    <definedName name="SourceData_PastureBeef.SourceData_PastureBeef_DryMatterDigestibility_Variation">_xlfn.LAMBDA("VARIATION ON SOURCE: Split ACT and NSW into separate rows. Duplicated QLD and NT rows with regions from table A.1.2.2 to aid lookup")</definedName>
    <definedName name="SourceData_PastureBeef.SourceData_PastureBeef_FeedAdjustmentAndMilkProduction_Data">_xlfn.LAMBDA(_xlfn.MAKEARRAY(9, 4, _xlfn.LAMBDA(_xlpm.r,_xlpm.c, INDEX({"Breed","Season","Feed adjustment (MCjk=1,3,6)","Milk intake / production (DMPjk=5)";"Hereford or Shorthorn breeds","Spring",1.3,6;"Hereford or Shorthorn breeds","Summer",1.1,4;"Hereford or Shorthorn breeds","Autumn",0,0;"Hereford or Shorthorn breeds","Winter",0,0;"Northern Brahman cross breed","Spring",0,0;"Northern Brahman cross breed","Summer",1.3,4;"Northern Brahman cross breed","Autumn",1.1,3;"Northern Brahman cross breed","Winter",0,0}, _xlpm.r, _xlpm.c))))</definedName>
    <definedName name="SourceData_PastureBeef.SourceData_PastureBeef_FeedAdjustmentAndMilkProduction_Source">_xlfn.LAMBDA("VEERG 2026: Table A.1.2.7")</definedName>
    <definedName name="SourceData_PastureBeef.SourceData_PastureBeef_FeedAdjustmentAndMilkProduction_Title">_xlfn.LAMBDA("Beef pasture cattle - Feed intake adjustment and milk production (kg/head/day)")</definedName>
    <definedName name="SourceData_PastureBeef.SourceData_PastureBeef_FeedAdjustmentAndMilkProduction_Unit">_xlfn.LAMBDA("")</definedName>
    <definedName name="SourceData_PastureBeef.SourceData_PastureBeef_FeedAdjustmentAndMilkProduction_Variable">_xlfn.LAMBDA("MCjk=1,3,6; DMPjk=5")</definedName>
    <definedName name="SourceData_PastureBeef.SourceData_PastureBeef_FeedAdjustmentAndMilkProduction_Variation">_xlfn.LAMBDA("")</definedName>
    <definedName name="SourceData_PastureBeef.SourceData_PastureBeef_FracGASMSoil_Data">_xlfn.LAMBDA(0.21)</definedName>
    <definedName name="SourceData_PastureBeef.SourceData_PastureBeef_FracGASMSoil_Source">_xlfn.LAMBDA("VEERG 2026: 4.2.2.3 CONSTANTS")</definedName>
    <definedName name="SourceData_PastureBeef.SourceData_PastureBeef_FracGASMSoil_Title">_xlfn.LAMBDA("Fraction of nitrogen volatilised from urine and faeces deposited on pasture")</definedName>
    <definedName name="SourceData_PastureBeef.SourceData_PastureBeef_FracGASMSoil_Unit">_xlfn.LAMBDA("fraction")</definedName>
    <definedName name="SourceData_PastureBeef.SourceData_PastureBeef_FracGASMSoil_Variable">_xlfn.LAMBDA("FracGASMSoil")</definedName>
    <definedName name="SourceData_PastureBeef.SourceData_PastureBeef_FracGASMSoil_Variation">_xlfn.LAMBDA("")</definedName>
    <definedName name="SourceData_PastureBeef.SourceData_PastureBeef_FracLEACH_Data">_xlfn.LAMBDA(0.24)</definedName>
    <definedName name="SourceData_PastureBeef.SourceData_PastureBeef_FracLEACH_Source">_xlfn.LAMBDA("VEERG 2026: 4.2.2.3 CONSTANTS")</definedName>
    <definedName name="SourceData_PastureBeef.SourceData_PastureBeef_FracLEACH_Title">_xlfn.LAMBDA("Default fraction of N that is lost through leaching and runoff")</definedName>
    <definedName name="SourceData_PastureBeef.SourceData_PastureBeef_FracLEACH_Unit">_xlfn.LAMBDA("fraction")</definedName>
    <definedName name="SourceData_PastureBeef.SourceData_PastureBeef_FracLEACH_Variable">_xlfn.LAMBDA("FracLEACH")</definedName>
    <definedName name="SourceData_PastureBeef.SourceData_PastureBeef_FracLEACH_Variation">_xlfn.LAMBDA("")</definedName>
    <definedName name="SourceData_PastureBeef.SourceData_PastureBeef_FractionOfManureToMMS_Data">_xlfn.LAMBDA(_xlfn.MAKEARRAY(16, 4, _xlfn.LAMBDA(_xlpm.r,_xlpm.c, INDEX({"State","Region","Pasture range and paddock","Uncovered Anaerobic lagoon";"ACT","n/a",99.192,0.808;"NSW","n/a",99.452,0.548;"SA","n/a",99.759,0.241;"TAS","n/a",99.122,0.878;"VIC","n/a",98.894,1.106;"WA","South West",99.622,0.378;"WA","Pilbara",99.999,0.001;"WA","Kimberley",99.999,0.001;"NT","Alice Springs",99.999,0.001;"NT","Barkly",99.994,0.006;"NT","Northern",99.999,0.001;"QLD","High",99.773,0.227;"QLD","Moderate/High",99.898,0.102;"QLD","Moderate/Low",99.979,0.021;"QLD","Low",99.977,0.023}, _xlpm.r, _xlpm.c))))</definedName>
    <definedName name="SourceData_PastureBeef.SourceData_PastureBeef_FractionOfManureToMMS_Source">_xlfn.LAMBDA("VEERG 2026: Table A.1.2.9")</definedName>
    <definedName name="SourceData_PastureBeef.SourceData_PastureBeef_FractionOfManureToMMS_Title">_xlfn.LAMBDA("Beef pasture cattle - Fraction of manure to each manure management system (fraction) (MMSm)")</definedName>
    <definedName name="SourceData_PastureBeef.SourceData_PastureBeef_FractionOfManureToMMS_Unit">_xlfn.LAMBDA("fraction")</definedName>
    <definedName name="SourceData_PastureBeef.SourceData_PastureBeef_FractionOfManureToMMS_Variable">_xlfn.LAMBDA("MMSm")</definedName>
    <definedName name="SourceData_PastureBeef.SourceData_PastureBeef_FractionOfManureToMMS_Variation">_xlfn.LAMBDA("VARIATION ON SOURCE: Removed comma from 'Pasture range and paddock' to aid lookup")</definedName>
    <definedName name="SourceData_PastureBeef.SourceData_PastureBeef_Liveweight_Data">_xlfn.LAMBDA(_xlfn.MAKEARRAY(29, 10, _xlfn.LAMBDA(_xlpm.r,_xlpm.c, INDEX({"State","Region","Season","Bull &lt; 1","Bull &gt; 1","Cow &lt; 1","Cow 1-2","Cow &gt; 2","Steer &lt; 1","Steer &gt; 1";"ACT/NSW","n/a","Spring",80,480,75,300,440,75,380;"ACT/NSW","n/a","Summer",170,520,160,360,470,160,420;"ACT/NSW","n/a","Autumn",240,550,220,390,490,220,450;"ACT/NSW","n/a","Winter",280,560,260,410,500,260,460;"South Australia","n/a","Spring",250,800,220,400,500,230,420;"South Australia","n/a","Summer",320,800,280,420,500,290,420;"South Australia","n/a","Autumn",80,700,70,300,450,75,400;"South Australia","n/a","Winter",160,700,140,350,450,150,400;"Tasmania","n/a","Spring",105,700,85,300,490,90,480;"Tasmania","n/a","Summer",480,750,150,350,530,160,460;"Tasmania","n/a","Autumn",250,725,200,360,500,215,490;"Tasmania","n/a","Winter",260,700,210,380,460,230,470;"Victoria","n/a","Spring",250,820,240,410,560,240,510;"Victoria","n/a","Summer",280,850,260,440,550,270,520;"Victoria","n/a","Autumn",100,700,95,300,450,95,410;"Victoria","n/a","Winter",150,720,140,320,470,140,440;"Western Australia","South West","Spring",340,800,260,420,550,300,480;"Western Australia","South West","Summer",380,780,300,450,530,340,470;"Western Australia","South West","Autumn",100,680,80,320,480,100,340;"Western Australia","South West","Winter",190,700,150,330,490,170,360;"Western Australia","Pilbara","Spring",80,450,70,260,340,80,370;"Western Australia","Pilbara","Summer",150,500,140,310,360,150,400;"Western Australia","Pilbara","Autumn",230,550,220,330,380,230,420;"Western Australia","Pilbara","Winter",250,500,240,340,360,250,390;"Western Australia","Kimberley","Spring",220,500,180,300,320,210,340;"Western Australia","Kimberley","Summer",110,550,90,220,380,100,390;"Western Australia","Kimberley","Autumn",170,600,140,270,390,160,430;"Western Australia","Kimberley","Winter",200,550,150,280,350,190,400}, _xlpm.r, _xlpm.c))))</definedName>
    <definedName name="SourceData_PastureBeef.SourceData_PastureBeef_Liveweight_Source">_xlfn.LAMBDA("VEERG 2026: Table A.1.2.1")</definedName>
    <definedName name="SourceData_PastureBeef.SourceData_PastureBeef_Liveweight_Title">_xlfn.LAMBDA("Beef pasture cattle - Liveweight (kg) (Wjkl)")</definedName>
    <definedName name="SourceData_PastureBeef.SourceData_PastureBeef_Liveweight_Unit">_xlfn.LAMBDA("kg")</definedName>
    <definedName name="SourceData_PastureBeef.SourceData_PastureBeef_Liveweight_Variable">_xlfn.LAMBDA("Wjkl")</definedName>
    <definedName name="SourceData_PastureBeef.SourceData_PastureBeef_Liveweight_Variation">_xlfn.LAMBDA("")</definedName>
    <definedName name="SourceData_PastureBeef.SourceData_PastureBeef_LiveweightGain_Data">_xlfn.LAMBDA(_xlfn.MAKEARRAY(29, 10, _xlfn.LAMBDA(_xlpm.r,_xlpm.c, INDEX({"State","Region","Season","Bull &lt;1","Bull &gt;1","Cow &lt;1","Cow 1-2","Cow &gt;2","Steer &lt;1","Steer &gt;1";"ACT/NSW","n/a","Spring",0.5,0.2,0.5,0.4,0.3,0.5,0.4;"ACT/NSW","n/a","Summer",1,0.4,0.9,0.7,0.3,0.9,0.4;"ACT/NSW","n/a","Autumn",0.8,0.3,0.7,0.3,0.2,0.7,0.3;"ACT/NSW","n/a","Winter",0.4,0.1,0.4,0.2,0.1,0.4,0.1;"South Australia","n/a","Spring",0.99,1.1,0.88,0.55,0.55,0.88,0.22;"South Australia","n/a","Summer",0.77,0,0.66,0.22,0,0.66,0;"South Australia","n/a","Autumn",0.9,-1.1,0.7,0.22,-0.55,0.8,-0.22;"South Australia","n/a","Winter",0.88,0,0.77,0.55,0,0.82,0;"Tasmania","n/a","Spring",1,0.5,1,1,-0.44,1,0.5;"Tasmania","n/a","Summer",0.82,0.55,0.71,0.55,0.99,0.77,0.5;"Tasmania","n/a","Autumn",0.77,0.5,0.55,0.11,-0.33,0.6,0.33;"Tasmania","n/a","Winter",0.11,-0.27,0.11,0.22,-0.44,0.16,-0.22;"Victoria","n/a","Spring",1.1,1.1,1.1,0.99,0.99,1.1,0.77;"Victoria","n/a","Summer",0.33,0.33,0.22,0.33,-0.1,0.33,0.11;"Victoria","n/a","Autumn",0.5,0.2,0.55,0.44,0.2,0.55,0.2;"Victoria","n/a","Winter",0.55,0.22,0.49,0.22,0.22,0.49,0.33;"Western Australia","South West","Spring",1.64,1.1,1.21,0.99,0.66,1.42,1.1;"Western Australia","South West","Summer",0.44,-0.22,0.44,0.33,-0.22,0.44,-0.11;"Western Australia","South West","Autumn",0.6,0,0.6,0.22,-0.55,0.6,0;"Western Australia","South West","Winter",0.99,0.22,0.77,0.11,0.11,0.77,0.44;"Western Australia","Pilbara","Spring",0.7,-0.55,0.7,0.22,-0.22,0.7,-0.22;"Western Australia","Pilbara","Summer",0.77,0.55,0.77,0.66,0.55,0.77,0.33;"Western Australia","Pilbara","Autumn",0.88,0.55,0.88,0.22,0.22,0.88,0.22;"Western Australia","Pilbara","Winter",0.22,-0.55,0.22,0.11,-0.22,0.22,-0.33;"Western Australia","Kimberley","Spring",0.22,-0.55,0.33,0.22,-0.33,0.22,-0.55;"Western Australia","Kimberley","Summer",0.8,0.55,0.7,0.44,0.66,0.8,0.55;"Western Australia","Kimberley","Autumn",0.66,0.55,0.55,0.55,0.11,0.66,0.55;"Western Australia","Kimberley","Winter",0.33,-0.55,0.11,0.11,-0.44,0.33,-0.55}, _xlpm.r, _xlpm.c))))</definedName>
    <definedName name="SourceData_PastureBeef.SourceData_PastureBeef_LiveweightGain_Source">_xlfn.LAMBDA("VEERG 2026: Table A.1.2.3")</definedName>
    <definedName name="SourceData_PastureBeef.SourceData_PastureBeef_LiveweightGain_Title">_xlfn.LAMBDA("Beef pasture cattle - Liveweight gain (kg) (LWGjkl)")</definedName>
    <definedName name="SourceData_PastureBeef.SourceData_PastureBeef_LiveweightGain_Unit">_xlfn.LAMBDA("kg")</definedName>
    <definedName name="SourceData_PastureBeef.SourceData_PastureBeef_LiveweightGain_Variable">_xlfn.LAMBDA("LWGjkl")</definedName>
    <definedName name="SourceData_PastureBeef.SourceData_PastureBeef_LiveweightGain_Variation">_xlfn.LAMBDA("VARIATION ON SOURCE: Replaced 'n/a' with 'South West' for first four rows of Western Australia to be consistent with table A.1.2.1")</definedName>
    <definedName name="SourceData_PastureBeef.SourceData_PastureBeef_LiveweightGainNTQLD_Data">_xlfn.LAMBDA(_xlfn.MAKEARRAY(29, 13, _xlfn.LAMBDA(_xlpm.r,_xlpm.c, INDEX({"State","Region","Season","Bull &lt;1","Bull &gt;1","Cow &lt;1","Cow 1-2","Cow 2-3","Cow &gt;3","Steer &lt;1","Steer 1-2","Steer 2-3","Steer &gt;3";"Northern Territory","Alice Springs","Spring",0.22,-0.23,0.25,0.17,0.18,-0.28,0.32,0.24,0.25,-0.05;"Northern Territory","Alice Springs","Summer",0.66,0.2,0.62,0.54,0.38,0.27,0.75,0.64,0.55,0.48;"Northern Territory","Alice Springs","Autumn",0.49,0.13,0.54,0.45,0.35,0.15,0.63,0.54,0.42,0.26;"Northern Territory","Alice Springs","Winter",0.27,-0.8,0.22,0.09,0.12,0.02,0.25,0.18,0.12,0.03;"Northern Territory","Barkly","Spring",0.22,-0.44,0.2,0.21,0.18,0.01,0.12,0.09,"NO","NO";"Northern Territory","Barkly","Summer",0.66,0.22,0.68,0.22,0.24,0.25,0.64,0.37,"NO","NO";"Northern Territory","Barkly","Autumn",0.49,0.05,0.64,0.25,0.29,0.12,0.57,0.49,"NO","NO";"Northern Territory","Barkly","Winter",0.27,-0.27,0.31,0.29,0.19,0.04,0.26,0.28,"NO","NO";"Northern Territory","Northern","Spring",0.22,-0.44,0,0.15,0.08,0.17,0.06,0.02,-0.14,"NO";"Northern Territory","Northern","Summer",0.66,0.22,0.79,0.4,0.38,0.27,0.8,0.16,0.3,"NO";"Northern Territory","Northern","Autumn",0.49,0.05,0.55,0.38,0.36,0.06,0.58,0.23,0.4,"NO";"Northern Territory","Northern","Winter",0.27,-0.27,0.02,0.09,0.16,-0.04,0.21,0.03,0.11,"NO";"Queensland","High","Spring",0.27,-0.19,0.38,0.25,0.07,0.05,0.52,0.55,0.19,0.6;"Queensland","High","Summer",0.16,0.16,0.8,0.57,0.76,0.49,0.84,0.51,0.36,0.17;"Queensland","High","Autumn",0.45,0.1,0.49,0.41,0.4,0.17,0.54,0.64,-0.05,0.32;"Queensland","High","Winter",0.51,-0.07,0.13,-0.09,-0.13,0.07,0.25,0.71,0.17,0.43;"Queensland","Moderate/High","Spring",-0.12,-0.19,0.41,0.09,0.41,-0.19,0.07,1.07,-0.08,0;"Queensland","Moderate/High","Summer",0.65,0.19,0.65,0.51,0.18,0.63,1.3,0.48,1.12,0.38;"Queensland","Moderate/High","Autumn",0.7,0.13,0.52,0.34,0.02,0.04,0.77,0.42,0.12,0.74;"Queensland","Moderate/High","Winter",0.32,-0.06,0.25,0.19,-0.1,-0.02,0.02,0.23,-0.13,0;"Queensland","Moderate/Low","Spring",0.62,-0.19,0.37,0.41,0.06,-0.02,0.47,0.44,0.3,0.13;"Queensland","Moderate/Low","Summer",0.05,0.19,0.31,0.54,0.53,0.15,0.28,0.57,0.42,0.4;"Queensland","Moderate/Low","Autumn",0.33,0.13,0.39,0.36,0.26,0.11,0.4,0.44,0.37,-0.01;"Queensland","Moderate/Low","Winter",0.61,-0.06,0.21,0.18,0.12,0.06,0.29,0.41,0.41,-0.15;"Queensland","Low","Spring",-0.2,0.02,0.24,0.3,0.23,-0.05,0.34,0.3,0.57,0.52;"Queensland","Low","Summer",0.62,0.21,0.25,0.32,0.47,0.31,0.14,0.4,0.26,0.43;"Queensland","Low","Autumn",0.4,0.13,0.12,0.27,0.3,0.08,0.13,0.24,0.15,0.21;"Queensland","Low","Winter",0.08,0.04,0.06,0.18,0.11,-0.07,0.13,0.16,0.4,0.33}, _xlpm.r, _xlpm.c))))</definedName>
    <definedName name="SourceData_PastureBeef.SourceData_PastureBeef_LiveweightGainNTQLD_Source">_xlfn.LAMBDA("VEERG 2026: Table A.1.2.4")</definedName>
    <definedName name="SourceData_PastureBeef.SourceData_PastureBeef_LiveweightGainNTQLD_Title">_xlfn.LAMBDA("Beef pasture cattle - Liveweight gain (kg) (LWGjkl) for NT and QLD")</definedName>
    <definedName name="SourceData_PastureBeef.SourceData_PastureBeef_LiveweightGainNTQLD_Unit">_xlfn.LAMBDA("kg")</definedName>
    <definedName name="SourceData_PastureBeef.SourceData_PastureBeef_LiveweightGainNTQLD_Variable">_xlfn.LAMBDA("LWGjkl")</definedName>
    <definedName name="SourceData_PastureBeef.SourceData_PastureBeef_LiveweightGainNTQLD_Variation">_xlfn.LAMBDA("")</definedName>
    <definedName name="SourceData_PastureBeef.SourceData_PastureBeef_LiveweightNTQLD_Data">_xlfn.LAMBDA(_xlfn.MAKEARRAY(29, 13, _xlfn.LAMBDA(_xlpm.r,_xlpm.c, INDEX({"State","Region","Season","Bull &lt;1","Bull &gt;1","Cows &lt;1","Cows 1-2","Cows 2-3","Cows &gt;3","Steer &lt;1","Steer 1-2","Steer 2-3","Steer &gt;3";"Northern Territory","Alice Springs","Spring",220,706,208,323,415,467,223,371,493,585;"Northern Territory","Alice Springs","Summer",110,703,112,256,368,465,108,280,421,543;"Northern Territory","Alice Springs","Autumn",170,721,169,306,392,464,176,339,470,580;"Northern Territory","Alice Springs","Winter",200,727,211,338,432,492,222,377,498,590;"Northern Territory","Barkly","Spring",220,620,227,319,398,452,216,334,"NO","NO";"Northern Territory","Barkly","Summer",110,650,108,262,346,430,111,236,"NO","NO";"Northern Territory","Barkly","Autumn",170,670,170,266,363,444,169,282,"NO","NO";"Northern Territory","Barkly","Winter",200,660,225,307,398,452,214,326,"NO","NO";"Northern Territory","Northern","Spring",220,620,177,267,365,406,231,249,324,"NO";"Northern Territory","Northern","Summer",110,650,102,203,299,380,102,218,263,"NO";"Northern Territory","Northern","Autumn",170,670,173,250,336,414,175,243,304,"NO";"Northern Territory","Northern","Winter",200,660,202,272,365,390,208,260,337,"NO";"Queensland","High","Spring",260,705,215,302,416,519,234,455,551,660;"Queensland","High","Summer",153,703,118,277,397,483,111,304,521,547;"Queensland","High","Autumn",168,718,191,319,440,506,188,326,520,582;"Queensland","High","Winter",235,722,207,352,470,514,209,421,512,605;"Queensland","Moderate/High","Spring",230,674,217,344,357,467,242,370,550,620;"Queensland","Moderate/High","Summer",113,669,113,283,361,477,120,273,545,553;"Queensland","Moderate/High","Autumn",172,685,172,309,376,471,238,329,573,620;"Queensland","Moderate/High","Winter",241,692,208,344,364,484,260,350,567,620;"Queensland","Moderate/Low","Spring",236,674,178,310,428,466,193,370,519,565;"Queensland","Moderate/Low","Summer",120,669,112,250,390,448,115,273,433,556;"Queensland","Moderate/Low","Autumn",125,685,140,277,407,455,141,296,445,593;"Queensland","Moderate/Low","Winter",180,692,183,316,438,468,189,354,500,553;"Queensland","Low","Spring",190,617,174,265,371,415,170,272,392,531;"Queensland","Low","Summer",119,591,140,205,310,405,133,218,315,445;"Queensland","Low","Autumn",175,610,163,232,351,427,146,242,320,471;"Queensland","Low","Winter",192,615,162,255,364,420,157,261,342,484}, _xlpm.r, _xlpm.c))))</definedName>
    <definedName name="SourceData_PastureBeef.SourceData_PastureBeef_LiveweightNTQLD_Source">_xlfn.LAMBDA("VEERG 2026: Table A.1.2.2")</definedName>
    <definedName name="SourceData_PastureBeef.SourceData_PastureBeef_LiveweightNTQLD_Title">_xlfn.LAMBDA("Beef pasture cattle - Liveweight (kg) (Wjkl) for NT and QLD")</definedName>
    <definedName name="SourceData_PastureBeef.SourceData_PastureBeef_LiveweightNTQLD_Unit">_xlfn.LAMBDA("kg")</definedName>
    <definedName name="SourceData_PastureBeef.SourceData_PastureBeef_LiveweightNTQLD_Variable">_xlfn.LAMBDA("Wjkl")</definedName>
    <definedName name="SourceData_PastureBeef.SourceData_PastureBeef_LiveweightNTQLD_Variation">_xlfn.LAMBDA("")</definedName>
    <definedName name="SourceData_PastureBeef.SourceData_PastureBeef_MethaneConversionFactorPerRegion_Data">_xlfn.LAMBDA(_xlfn.MAKEARRAY(16, 4, _xlfn.LAMBDA(_xlpm.r,_xlpm.c, INDEX({"State","Region","Pasture range and paddock","Uncovered Anaerobic lagoon";"ACT","n/a",0.0047,0.71;"NSW","n/a",0.0047,0.75;"SA","n/a",0.0047,0.74;"TAS","n/a",0.0047,0.7;"VIC","n/a",0.0047,0.74;"WA","South West",0.0047,0.76;"WA","Pilbara",0.0047,0.76;"WA","Kimberley",0.0047,0.76;"NT","Alice Springs",0.0047,0.8;"NT","Barkly",0.0047,0.8;"NT","Northern",0.0047,0.8;"QLD","High",0.0047,0.78;"QLD","Moderate/High",0.0047,0.78;"QLD","Moderate/Low",0.0047,0.78;"QLD","Low",0.0047,0.78}, _xlpm.r, _xlpm.c))))</definedName>
    <definedName name="SourceData_PastureBeef.SourceData_PastureBeef_MethaneConversionFactorPerRegion_Source">_xlfn.LAMBDA("VEERG 2026: Table A.1.2.10")</definedName>
    <definedName name="SourceData_PastureBeef.SourceData_PastureBeef_MethaneConversionFactorPerRegion_Title">_xlfn.LAMBDA("Beef pasture cattle - Methane conversion factor per region (fraction) (MCFim)")</definedName>
    <definedName name="SourceData_PastureBeef.SourceData_PastureBeef_MethaneConversionFactorPerRegion_Unit">_xlfn.LAMBDA("fraction")</definedName>
    <definedName name="SourceData_PastureBeef.SourceData_PastureBeef_MethaneConversionFactorPerRegion_Variable">_xlfn.LAMBDA("MCFim")</definedName>
    <definedName name="SourceData_PastureBeef.SourceData_PastureBeef_MethaneConversionFactorPerRegion_Variation">_xlfn.LAMBDA("VARIATION ON SOURCE: Removed comma from 'Pasture range and paddock' to aid lookup")</definedName>
    <definedName name="SourceData_PastureBeef.SourceData_PastureBeef_MethaneEmissionsPotential_Data">_xlfn.LAMBDA(0.19)</definedName>
    <definedName name="SourceData_PastureBeef.SourceData_PastureBeef_MethaneEmissionsPotential_Source">_xlfn.LAMBDA("VEERG 2026: 4.2.2.3 CONSTANTS")</definedName>
    <definedName name="SourceData_PastureBeef.SourceData_PastureBeef_MethaneEmissionsPotential_Title">_xlfn.LAMBDA("Methane emissions potential")</definedName>
    <definedName name="SourceData_PastureBeef.SourceData_PastureBeef_MethaneEmissionsPotential_Unit">_xlfn.LAMBDA("m3 CH4 / kg VS")</definedName>
    <definedName name="SourceData_PastureBeef.SourceData_PastureBeef_MethaneEmissionsPotential_Variable">_xlfn.LAMBDA("B0")</definedName>
    <definedName name="SourceData_PastureBeef.SourceData_PastureBeef_MethaneEmissionsPotential_Variation">_xlfn.LAMBDA("")</definedName>
    <definedName name="SourceData_PastureBeef.SourceData_PastureBeef_StandardReferenceWeights_Data">_xlfn.LAMBDA(_xlfn.MAKEARRAY(9, 9, _xlfn.LAMBDA(_xlpm.r,_xlpm.c, INDEX({"State","Bulls &lt;1","Bulls &gt;1","Cows &lt;1","Cows 1-2","Cows &gt;2","Steer &lt;1","Steer &gt;1","State abbreviation";"ACT",700,700,500,500,500,600,600,"ACT";"NSW",700,700,500,500,500,600,600,"NSW";"Northern Territory",770,770,550,550,550,660,660,"NT";"Queensland",770,770,550,550,550,660,660,"QLD";"South Australia",770,770,550,550,550,660,660,"SA";"Tasmania",770,770,550,550,550,660,660,"TAS";"Victoria",770,770,550,550,550,660,660,"VIC";"Western Australia",770,770,550,550,550,660,660,"WA"}, _xlpm.r, _xlpm.c))))</definedName>
    <definedName name="SourceData_PastureBeef.SourceData_PastureBeef_StandardReferenceWeights_Source">_xlfn.LAMBDA("VEERG 2026: Table A.1.2.8")</definedName>
    <definedName name="SourceData_PastureBeef.SourceData_PastureBeef_StandardReferenceWeights_Title">_xlfn.LAMBDA("Beef pasture cattle - Standard reference weights (kg) (SRWk)")</definedName>
    <definedName name="SourceData_PastureBeef.SourceData_PastureBeef_StandardReferenceWeights_Unit">_xlfn.LAMBDA("kg")</definedName>
    <definedName name="SourceData_PastureBeef.SourceData_PastureBeef_StandardReferenceWeights_Variable">_xlfn.LAMBDA("SRWk")</definedName>
    <definedName name="SourceData_PastureBeef.SourceData_PastureBeef_StandardReferenceWeights_Variation">_xlfn.LAMBDA("VARIATION ON SOURCE: Split ACT and NSW into separate rows. Added 'State abbreviation' column to aid lookup.")</definedName>
    <definedName name="Step1">#REF!</definedName>
    <definedName name="Step2">#REF!</definedName>
    <definedName name="Step3">#REF!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 i="79" l="1"/>
  <c r="D8" i="79"/>
  <c r="G33" i="98"/>
  <c r="G158" i="69"/>
  <c r="N177" i="70"/>
  <c r="M177" i="70"/>
  <c r="L177" i="70"/>
  <c r="K177" i="70"/>
  <c r="J177" i="70"/>
  <c r="I177" i="70"/>
  <c r="H177" i="70"/>
  <c r="G177" i="70"/>
  <c r="F177" i="70"/>
  <c r="E177" i="70"/>
  <c r="N176" i="70"/>
  <c r="M176" i="70"/>
  <c r="L176" i="70"/>
  <c r="K176" i="70"/>
  <c r="J176" i="70"/>
  <c r="I176" i="70"/>
  <c r="H176" i="70"/>
  <c r="G176" i="70"/>
  <c r="F176" i="70"/>
  <c r="E176" i="70"/>
  <c r="N175" i="70"/>
  <c r="M175" i="70"/>
  <c r="L175" i="70"/>
  <c r="K175" i="70"/>
  <c r="J175" i="70"/>
  <c r="I175" i="70"/>
  <c r="H175" i="70"/>
  <c r="G175" i="70"/>
  <c r="F175" i="70"/>
  <c r="E175" i="70"/>
  <c r="N174" i="70"/>
  <c r="M174" i="70"/>
  <c r="L174" i="70"/>
  <c r="K174" i="70"/>
  <c r="J174" i="70"/>
  <c r="I174" i="70"/>
  <c r="H174" i="70"/>
  <c r="G174" i="70"/>
  <c r="F174" i="70"/>
  <c r="E174" i="70"/>
  <c r="N173" i="70"/>
  <c r="M173" i="70"/>
  <c r="L173" i="70"/>
  <c r="K173" i="70"/>
  <c r="J173" i="70"/>
  <c r="I173" i="70"/>
  <c r="H173" i="70"/>
  <c r="G173" i="70"/>
  <c r="F173" i="70"/>
  <c r="E173" i="70"/>
  <c r="N172" i="70"/>
  <c r="M172" i="70"/>
  <c r="L172" i="70"/>
  <c r="K172" i="70"/>
  <c r="J172" i="70"/>
  <c r="I172" i="70"/>
  <c r="H172" i="70"/>
  <c r="G172" i="70"/>
  <c r="F172" i="70"/>
  <c r="E172" i="70"/>
  <c r="N171" i="70"/>
  <c r="M171" i="70"/>
  <c r="L171" i="70"/>
  <c r="K171" i="70"/>
  <c r="J171" i="70"/>
  <c r="I171" i="70"/>
  <c r="H171" i="70"/>
  <c r="G171" i="70"/>
  <c r="F171" i="70"/>
  <c r="E171" i="70"/>
  <c r="N170" i="70"/>
  <c r="M170" i="70"/>
  <c r="L170" i="70"/>
  <c r="K170" i="70"/>
  <c r="J170" i="70"/>
  <c r="I170" i="70"/>
  <c r="H170" i="70"/>
  <c r="G170" i="70"/>
  <c r="F170" i="70"/>
  <c r="E170" i="70"/>
  <c r="N169" i="70"/>
  <c r="M169" i="70"/>
  <c r="L169" i="70"/>
  <c r="K169" i="70"/>
  <c r="J169" i="70"/>
  <c r="I169" i="70"/>
  <c r="H169" i="70"/>
  <c r="G169" i="70"/>
  <c r="F169" i="70"/>
  <c r="E169" i="70"/>
  <c r="N168" i="70"/>
  <c r="M168" i="70"/>
  <c r="L168" i="70"/>
  <c r="K168" i="70"/>
  <c r="J168" i="70"/>
  <c r="I168" i="70"/>
  <c r="H168" i="70"/>
  <c r="G168" i="70"/>
  <c r="F168" i="70"/>
  <c r="E168" i="70"/>
  <c r="N167" i="70"/>
  <c r="M167" i="70"/>
  <c r="L167" i="70"/>
  <c r="K167" i="70"/>
  <c r="J167" i="70"/>
  <c r="I167" i="70"/>
  <c r="H167" i="70"/>
  <c r="G167" i="70"/>
  <c r="F167" i="70"/>
  <c r="E167" i="70"/>
  <c r="N166" i="70"/>
  <c r="M166" i="70"/>
  <c r="L166" i="70"/>
  <c r="K166" i="70"/>
  <c r="J166" i="70"/>
  <c r="I166" i="70"/>
  <c r="H166" i="70"/>
  <c r="G166" i="70"/>
  <c r="F166" i="70"/>
  <c r="E166" i="70"/>
  <c r="N155" i="70"/>
  <c r="M155" i="70"/>
  <c r="L155" i="70"/>
  <c r="K155" i="70"/>
  <c r="J155" i="70"/>
  <c r="I155" i="70"/>
  <c r="H155" i="70"/>
  <c r="G155" i="70"/>
  <c r="F155" i="70"/>
  <c r="E155" i="70"/>
  <c r="N154" i="70"/>
  <c r="M154" i="70"/>
  <c r="L154" i="70"/>
  <c r="K154" i="70"/>
  <c r="J154" i="70"/>
  <c r="I154" i="70"/>
  <c r="H154" i="70"/>
  <c r="G154" i="70"/>
  <c r="F154" i="70"/>
  <c r="E154" i="70"/>
  <c r="N153" i="70"/>
  <c r="M153" i="70"/>
  <c r="L153" i="70"/>
  <c r="K153" i="70"/>
  <c r="J153" i="70"/>
  <c r="I153" i="70"/>
  <c r="H153" i="70"/>
  <c r="G153" i="70"/>
  <c r="F153" i="70"/>
  <c r="E153" i="70"/>
  <c r="N152" i="70"/>
  <c r="M152" i="70"/>
  <c r="L152" i="70"/>
  <c r="K152" i="70"/>
  <c r="J152" i="70"/>
  <c r="I152" i="70"/>
  <c r="H152" i="70"/>
  <c r="G152" i="70"/>
  <c r="F152" i="70"/>
  <c r="E152" i="70"/>
  <c r="N151" i="70"/>
  <c r="M151" i="70"/>
  <c r="L151" i="70"/>
  <c r="K151" i="70"/>
  <c r="J151" i="70"/>
  <c r="I151" i="70"/>
  <c r="H151" i="70"/>
  <c r="G151" i="70"/>
  <c r="F151" i="70"/>
  <c r="E151" i="70"/>
  <c r="N150" i="70"/>
  <c r="M150" i="70"/>
  <c r="L150" i="70"/>
  <c r="K150" i="70"/>
  <c r="J150" i="70"/>
  <c r="I150" i="70"/>
  <c r="H150" i="70"/>
  <c r="G150" i="70"/>
  <c r="F150" i="70"/>
  <c r="E150" i="70"/>
  <c r="N149" i="70"/>
  <c r="M149" i="70"/>
  <c r="L149" i="70"/>
  <c r="K149" i="70"/>
  <c r="J149" i="70"/>
  <c r="I149" i="70"/>
  <c r="H149" i="70"/>
  <c r="G149" i="70"/>
  <c r="F149" i="70"/>
  <c r="E149" i="70"/>
  <c r="N148" i="70"/>
  <c r="M148" i="70"/>
  <c r="L148" i="70"/>
  <c r="K148" i="70"/>
  <c r="J148" i="70"/>
  <c r="I148" i="70"/>
  <c r="H148" i="70"/>
  <c r="G148" i="70"/>
  <c r="F148" i="70"/>
  <c r="E148" i="70"/>
  <c r="N147" i="70"/>
  <c r="M147" i="70"/>
  <c r="L147" i="70"/>
  <c r="K147" i="70"/>
  <c r="J147" i="70"/>
  <c r="I147" i="70"/>
  <c r="H147" i="70"/>
  <c r="G147" i="70"/>
  <c r="F147" i="70"/>
  <c r="E147" i="70"/>
  <c r="N146" i="70"/>
  <c r="M146" i="70"/>
  <c r="L146" i="70"/>
  <c r="K146" i="70"/>
  <c r="J146" i="70"/>
  <c r="I146" i="70"/>
  <c r="H146" i="70"/>
  <c r="G146" i="70"/>
  <c r="F146" i="70"/>
  <c r="E146" i="70"/>
  <c r="N145" i="70"/>
  <c r="M145" i="70"/>
  <c r="L145" i="70"/>
  <c r="K145" i="70"/>
  <c r="J145" i="70"/>
  <c r="I145" i="70"/>
  <c r="H145" i="70"/>
  <c r="G145" i="70"/>
  <c r="F145" i="70"/>
  <c r="E145" i="70"/>
  <c r="N144" i="70"/>
  <c r="M144" i="70"/>
  <c r="L144" i="70"/>
  <c r="K144" i="70"/>
  <c r="J144" i="70"/>
  <c r="I144" i="70"/>
  <c r="H144" i="70"/>
  <c r="G144" i="70"/>
  <c r="F144" i="70"/>
  <c r="E144" i="70"/>
  <c r="N99" i="70"/>
  <c r="M99" i="70"/>
  <c r="L99" i="70"/>
  <c r="K99" i="70"/>
  <c r="J99" i="70"/>
  <c r="I99" i="70"/>
  <c r="H99" i="70"/>
  <c r="G99" i="70"/>
  <c r="F99" i="70"/>
  <c r="E99" i="70"/>
  <c r="N98" i="70"/>
  <c r="M98" i="70"/>
  <c r="L98" i="70"/>
  <c r="K98" i="70"/>
  <c r="J98" i="70"/>
  <c r="I98" i="70"/>
  <c r="H98" i="70"/>
  <c r="G98" i="70"/>
  <c r="F98" i="70"/>
  <c r="E98" i="70"/>
  <c r="N97" i="70"/>
  <c r="M97" i="70"/>
  <c r="L97" i="70"/>
  <c r="K97" i="70"/>
  <c r="J97" i="70"/>
  <c r="I97" i="70"/>
  <c r="H97" i="70"/>
  <c r="G97" i="70"/>
  <c r="F97" i="70"/>
  <c r="E97" i="70"/>
  <c r="N96" i="70"/>
  <c r="M96" i="70"/>
  <c r="L96" i="70"/>
  <c r="K96" i="70"/>
  <c r="J96" i="70"/>
  <c r="I96" i="70"/>
  <c r="H96" i="70"/>
  <c r="G96" i="70"/>
  <c r="F96" i="70"/>
  <c r="E96" i="70"/>
  <c r="N95" i="70"/>
  <c r="M95" i="70"/>
  <c r="L95" i="70"/>
  <c r="K95" i="70"/>
  <c r="J95" i="70"/>
  <c r="I95" i="70"/>
  <c r="H95" i="70"/>
  <c r="G95" i="70"/>
  <c r="F95" i="70"/>
  <c r="E95" i="70"/>
  <c r="N94" i="70"/>
  <c r="M94" i="70"/>
  <c r="L94" i="70"/>
  <c r="K94" i="70"/>
  <c r="J94" i="70"/>
  <c r="I94" i="70"/>
  <c r="H94" i="70"/>
  <c r="G94" i="70"/>
  <c r="F94" i="70"/>
  <c r="E94" i="70"/>
  <c r="N93" i="70"/>
  <c r="M93" i="70"/>
  <c r="L93" i="70"/>
  <c r="K93" i="70"/>
  <c r="J93" i="70"/>
  <c r="I93" i="70"/>
  <c r="H93" i="70"/>
  <c r="G93" i="70"/>
  <c r="F93" i="70"/>
  <c r="E93" i="70"/>
  <c r="N92" i="70"/>
  <c r="M92" i="70"/>
  <c r="L92" i="70"/>
  <c r="K92" i="70"/>
  <c r="J92" i="70"/>
  <c r="I92" i="70"/>
  <c r="H92" i="70"/>
  <c r="G92" i="70"/>
  <c r="F92" i="70"/>
  <c r="E92" i="70"/>
  <c r="N91" i="70"/>
  <c r="M91" i="70"/>
  <c r="L91" i="70"/>
  <c r="K91" i="70"/>
  <c r="J91" i="70"/>
  <c r="I91" i="70"/>
  <c r="H91" i="70"/>
  <c r="G91" i="70"/>
  <c r="F91" i="70"/>
  <c r="E91" i="70"/>
  <c r="N90" i="70"/>
  <c r="M90" i="70"/>
  <c r="L90" i="70"/>
  <c r="K90" i="70"/>
  <c r="J90" i="70"/>
  <c r="I90" i="70"/>
  <c r="H90" i="70"/>
  <c r="G90" i="70"/>
  <c r="F90" i="70"/>
  <c r="E90" i="70"/>
  <c r="N89" i="70"/>
  <c r="M89" i="70"/>
  <c r="L89" i="70"/>
  <c r="K89" i="70"/>
  <c r="J89" i="70"/>
  <c r="I89" i="70"/>
  <c r="H89" i="70"/>
  <c r="G89" i="70"/>
  <c r="F89" i="70"/>
  <c r="E89" i="70"/>
  <c r="N88" i="70"/>
  <c r="M88" i="70"/>
  <c r="L88" i="70"/>
  <c r="K88" i="70"/>
  <c r="J88" i="70"/>
  <c r="I88" i="70"/>
  <c r="H88" i="70"/>
  <c r="G88" i="70"/>
  <c r="F88" i="70"/>
  <c r="E88" i="70"/>
  <c r="N77" i="70"/>
  <c r="M77" i="70"/>
  <c r="L77" i="70"/>
  <c r="K77" i="70"/>
  <c r="J77" i="70"/>
  <c r="I77" i="70"/>
  <c r="H77" i="70"/>
  <c r="G77" i="70"/>
  <c r="F77" i="70"/>
  <c r="E77" i="70"/>
  <c r="N76" i="70"/>
  <c r="M76" i="70"/>
  <c r="L76" i="70"/>
  <c r="K76" i="70"/>
  <c r="J76" i="70"/>
  <c r="I76" i="70"/>
  <c r="H76" i="70"/>
  <c r="G76" i="70"/>
  <c r="F76" i="70"/>
  <c r="E76" i="70"/>
  <c r="N75" i="70"/>
  <c r="M75" i="70"/>
  <c r="L75" i="70"/>
  <c r="K75" i="70"/>
  <c r="J75" i="70"/>
  <c r="I75" i="70"/>
  <c r="H75" i="70"/>
  <c r="G75" i="70"/>
  <c r="F75" i="70"/>
  <c r="E75" i="70"/>
  <c r="N74" i="70"/>
  <c r="M74" i="70"/>
  <c r="L74" i="70"/>
  <c r="K74" i="70"/>
  <c r="J74" i="70"/>
  <c r="I74" i="70"/>
  <c r="H74" i="70"/>
  <c r="G74" i="70"/>
  <c r="F74" i="70"/>
  <c r="E74" i="70"/>
  <c r="N73" i="70"/>
  <c r="M73" i="70"/>
  <c r="L73" i="70"/>
  <c r="K73" i="70"/>
  <c r="J73" i="70"/>
  <c r="I73" i="70"/>
  <c r="H73" i="70"/>
  <c r="G73" i="70"/>
  <c r="F73" i="70"/>
  <c r="E73" i="70"/>
  <c r="N72" i="70"/>
  <c r="M72" i="70"/>
  <c r="L72" i="70"/>
  <c r="K72" i="70"/>
  <c r="J72" i="70"/>
  <c r="I72" i="70"/>
  <c r="H72" i="70"/>
  <c r="G72" i="70"/>
  <c r="F72" i="70"/>
  <c r="E72" i="70"/>
  <c r="N71" i="70"/>
  <c r="M71" i="70"/>
  <c r="L71" i="70"/>
  <c r="K71" i="70"/>
  <c r="J71" i="70"/>
  <c r="I71" i="70"/>
  <c r="H71" i="70"/>
  <c r="G71" i="70"/>
  <c r="F71" i="70"/>
  <c r="E71" i="70"/>
  <c r="N70" i="70"/>
  <c r="M70" i="70"/>
  <c r="L70" i="70"/>
  <c r="K70" i="70"/>
  <c r="J70" i="70"/>
  <c r="I70" i="70"/>
  <c r="H70" i="70"/>
  <c r="G70" i="70"/>
  <c r="F70" i="70"/>
  <c r="E70" i="70"/>
  <c r="N69" i="70"/>
  <c r="M69" i="70"/>
  <c r="L69" i="70"/>
  <c r="K69" i="70"/>
  <c r="J69" i="70"/>
  <c r="I69" i="70"/>
  <c r="H69" i="70"/>
  <c r="G69" i="70"/>
  <c r="F69" i="70"/>
  <c r="E69" i="70"/>
  <c r="N68" i="70"/>
  <c r="M68" i="70"/>
  <c r="L68" i="70"/>
  <c r="K68" i="70"/>
  <c r="J68" i="70"/>
  <c r="I68" i="70"/>
  <c r="H68" i="70"/>
  <c r="G68" i="70"/>
  <c r="F68" i="70"/>
  <c r="E68" i="70"/>
  <c r="N67" i="70"/>
  <c r="M67" i="70"/>
  <c r="L67" i="70"/>
  <c r="K67" i="70"/>
  <c r="J67" i="70"/>
  <c r="I67" i="70"/>
  <c r="H67" i="70"/>
  <c r="G67" i="70"/>
  <c r="F67" i="70"/>
  <c r="E67" i="70"/>
  <c r="N66" i="70"/>
  <c r="M66" i="70"/>
  <c r="L66" i="70"/>
  <c r="K66" i="70"/>
  <c r="J66" i="70"/>
  <c r="I66" i="70"/>
  <c r="H66" i="70"/>
  <c r="G66" i="70"/>
  <c r="F66" i="70"/>
  <c r="E66" i="70"/>
  <c r="H225" i="76"/>
  <c r="G14" i="98"/>
  <c r="H29" i="97"/>
  <c r="E30" i="15"/>
  <c r="E33" i="15"/>
  <c r="E32" i="15"/>
  <c r="E31" i="15"/>
  <c r="G34" i="98"/>
  <c r="H30" i="97"/>
  <c r="H226" i="76"/>
  <c r="N39" i="98"/>
  <c r="G39" i="98"/>
  <c r="O38" i="97"/>
  <c r="G38" i="97"/>
  <c r="W266" i="76"/>
  <c r="G232" i="76"/>
  <c r="W279" i="69"/>
  <c r="G247" i="69"/>
  <c r="M28" i="76"/>
  <c r="L28" i="76"/>
  <c r="K28" i="76"/>
  <c r="J28" i="76"/>
  <c r="I28" i="76"/>
  <c r="H28" i="76"/>
  <c r="G28" i="76"/>
  <c r="F28" i="76"/>
  <c r="E28" i="76"/>
  <c r="D28" i="76"/>
  <c r="E172" i="69"/>
  <c r="E171" i="69"/>
  <c r="E186" i="70"/>
  <c r="E185" i="70"/>
  <c r="N163" i="70"/>
  <c r="M163" i="70"/>
  <c r="L163" i="70"/>
  <c r="K163" i="70"/>
  <c r="J163" i="70"/>
  <c r="I163" i="70"/>
  <c r="H163" i="70"/>
  <c r="G163" i="70"/>
  <c r="F163" i="70"/>
  <c r="E163" i="70"/>
  <c r="N162" i="70"/>
  <c r="M162" i="70"/>
  <c r="L162" i="70"/>
  <c r="K162" i="70"/>
  <c r="J162" i="70"/>
  <c r="I162" i="70"/>
  <c r="H162" i="70"/>
  <c r="G162" i="70"/>
  <c r="F162" i="70"/>
  <c r="E162" i="70"/>
  <c r="N161" i="70"/>
  <c r="M161" i="70"/>
  <c r="L161" i="70"/>
  <c r="K161" i="70"/>
  <c r="J161" i="70"/>
  <c r="I161" i="70"/>
  <c r="H161" i="70"/>
  <c r="G161" i="70"/>
  <c r="F161" i="70"/>
  <c r="E161" i="70"/>
  <c r="N160" i="70"/>
  <c r="M160" i="70"/>
  <c r="L160" i="70"/>
  <c r="K160" i="70"/>
  <c r="J160" i="70"/>
  <c r="I160" i="70"/>
  <c r="H160" i="70"/>
  <c r="G160" i="70"/>
  <c r="F160" i="70"/>
  <c r="E160" i="70"/>
  <c r="N141" i="70"/>
  <c r="M141" i="70"/>
  <c r="L141" i="70"/>
  <c r="K141" i="70"/>
  <c r="J141" i="70"/>
  <c r="I141" i="70"/>
  <c r="H141" i="70"/>
  <c r="G141" i="70"/>
  <c r="F141" i="70"/>
  <c r="E141" i="70"/>
  <c r="N140" i="70"/>
  <c r="M140" i="70"/>
  <c r="L140" i="70"/>
  <c r="K140" i="70"/>
  <c r="J140" i="70"/>
  <c r="I140" i="70"/>
  <c r="H140" i="70"/>
  <c r="G140" i="70"/>
  <c r="F140" i="70"/>
  <c r="E140" i="70"/>
  <c r="N139" i="70"/>
  <c r="M139" i="70"/>
  <c r="L139" i="70"/>
  <c r="K139" i="70"/>
  <c r="J139" i="70"/>
  <c r="I139" i="70"/>
  <c r="H139" i="70"/>
  <c r="G139" i="70"/>
  <c r="F139" i="70"/>
  <c r="E139" i="70"/>
  <c r="N138" i="70"/>
  <c r="M138" i="70"/>
  <c r="L138" i="70"/>
  <c r="K138" i="70"/>
  <c r="J138" i="70"/>
  <c r="I138" i="70"/>
  <c r="H138" i="70"/>
  <c r="G138" i="70"/>
  <c r="F138" i="70"/>
  <c r="E138" i="70"/>
  <c r="N85" i="70"/>
  <c r="M85" i="70"/>
  <c r="L85" i="70"/>
  <c r="K85" i="70"/>
  <c r="J85" i="70"/>
  <c r="I85" i="70"/>
  <c r="H85" i="70"/>
  <c r="G85" i="70"/>
  <c r="F85" i="70"/>
  <c r="E85" i="70"/>
  <c r="N84" i="70"/>
  <c r="M84" i="70"/>
  <c r="L84" i="70"/>
  <c r="K84" i="70"/>
  <c r="J84" i="70"/>
  <c r="I84" i="70"/>
  <c r="H84" i="70"/>
  <c r="G84" i="70"/>
  <c r="F84" i="70"/>
  <c r="E84" i="70"/>
  <c r="N83" i="70"/>
  <c r="M83" i="70"/>
  <c r="L83" i="70"/>
  <c r="K83" i="70"/>
  <c r="J83" i="70"/>
  <c r="I83" i="70"/>
  <c r="H83" i="70"/>
  <c r="G83" i="70"/>
  <c r="F83" i="70"/>
  <c r="E83" i="70"/>
  <c r="N82" i="70"/>
  <c r="M82" i="70"/>
  <c r="L82" i="70"/>
  <c r="K82" i="70"/>
  <c r="J82" i="70"/>
  <c r="I82" i="70"/>
  <c r="H82" i="70"/>
  <c r="G82" i="70"/>
  <c r="F82" i="70"/>
  <c r="E82" i="70"/>
  <c r="N63" i="70"/>
  <c r="M63" i="70"/>
  <c r="L63" i="70"/>
  <c r="K63" i="70"/>
  <c r="J63" i="70"/>
  <c r="I63" i="70"/>
  <c r="H63" i="70"/>
  <c r="G63" i="70"/>
  <c r="F63" i="70"/>
  <c r="E63" i="70"/>
  <c r="N62" i="70"/>
  <c r="M62" i="70"/>
  <c r="L62" i="70"/>
  <c r="K62" i="70"/>
  <c r="J62" i="70"/>
  <c r="I62" i="70"/>
  <c r="H62" i="70"/>
  <c r="G62" i="70"/>
  <c r="F62" i="70"/>
  <c r="E62" i="70"/>
  <c r="N61" i="70"/>
  <c r="M61" i="70"/>
  <c r="L61" i="70"/>
  <c r="K61" i="70"/>
  <c r="J61" i="70"/>
  <c r="I61" i="70"/>
  <c r="H61" i="70"/>
  <c r="G61" i="70"/>
  <c r="F61" i="70"/>
  <c r="E61" i="70"/>
  <c r="N60" i="70"/>
  <c r="M60" i="70"/>
  <c r="L60" i="70"/>
  <c r="K60" i="70"/>
  <c r="J60" i="70"/>
  <c r="I60" i="70"/>
  <c r="H60" i="70"/>
  <c r="G60" i="70"/>
  <c r="F60" i="70"/>
  <c r="E60" i="70"/>
  <c r="S250" i="104" a="1"/>
  <c r="S250" i="104" s="1"/>
  <c r="R250" i="104" a="1"/>
  <c r="R250" i="104" s="1"/>
  <c r="Q250" i="104" a="1"/>
  <c r="Q250" i="104" s="1"/>
  <c r="P250" i="104" a="1"/>
  <c r="P250" i="104" s="1"/>
  <c r="O250" i="104" a="1"/>
  <c r="O250" i="104" s="1"/>
  <c r="N250" i="104" a="1"/>
  <c r="N250" i="104" s="1"/>
  <c r="M250" i="104" a="1"/>
  <c r="M250" i="104" s="1"/>
  <c r="L250" i="104" a="1"/>
  <c r="L250" i="104" s="1"/>
  <c r="K250" i="104" a="1"/>
  <c r="K250" i="104" s="1"/>
  <c r="J250" i="104" a="1"/>
  <c r="J250" i="104" s="1"/>
  <c r="I250" i="104" a="1"/>
  <c r="I250" i="104" s="1"/>
  <c r="H250" i="104" a="1"/>
  <c r="H250" i="104" s="1"/>
  <c r="G250" i="104" a="1"/>
  <c r="G250" i="104" s="1"/>
  <c r="F250" i="104" a="1"/>
  <c r="F250" i="104" s="1"/>
  <c r="E250" i="104" a="1"/>
  <c r="E250" i="104" s="1"/>
  <c r="D250" i="104" a="1"/>
  <c r="D250" i="104" s="1"/>
  <c r="S249" i="104" a="1"/>
  <c r="S249" i="104" s="1"/>
  <c r="R249" i="104" a="1"/>
  <c r="R249" i="104" s="1"/>
  <c r="Q249" i="104" a="1"/>
  <c r="Q249" i="104" s="1"/>
  <c r="P249" i="104" a="1"/>
  <c r="P249" i="104" s="1"/>
  <c r="O249" i="104" a="1"/>
  <c r="O249" i="104" s="1"/>
  <c r="N249" i="104" a="1"/>
  <c r="N249" i="104" s="1"/>
  <c r="M249" i="104" a="1"/>
  <c r="M249" i="104" s="1"/>
  <c r="L249" i="104" a="1"/>
  <c r="L249" i="104" s="1"/>
  <c r="K249" i="104" a="1"/>
  <c r="K249" i="104" s="1"/>
  <c r="J249" i="104" a="1"/>
  <c r="J249" i="104" s="1"/>
  <c r="I249" i="104" a="1"/>
  <c r="I249" i="104" s="1"/>
  <c r="H249" i="104" a="1"/>
  <c r="H249" i="104" s="1"/>
  <c r="G249" i="104" a="1"/>
  <c r="G249" i="104" s="1"/>
  <c r="F249" i="104" a="1"/>
  <c r="F249" i="104" s="1"/>
  <c r="E249" i="104" a="1"/>
  <c r="E249" i="104" s="1"/>
  <c r="D249" i="104" a="1"/>
  <c r="D249" i="104" s="1"/>
  <c r="S248" i="104" a="1"/>
  <c r="S248" i="104" s="1"/>
  <c r="R248" i="104" a="1"/>
  <c r="R248" i="104" s="1"/>
  <c r="Q248" i="104" a="1"/>
  <c r="Q248" i="104" s="1"/>
  <c r="P248" i="104" a="1"/>
  <c r="P248" i="104" s="1"/>
  <c r="O248" i="104" a="1"/>
  <c r="O248" i="104" s="1"/>
  <c r="N248" i="104" a="1"/>
  <c r="N248" i="104" s="1"/>
  <c r="M248" i="104" a="1"/>
  <c r="M248" i="104" s="1"/>
  <c r="L248" i="104" a="1"/>
  <c r="L248" i="104" s="1"/>
  <c r="K248" i="104" a="1"/>
  <c r="K248" i="104" s="1"/>
  <c r="J248" i="104" a="1"/>
  <c r="J248" i="104" s="1"/>
  <c r="I248" i="104" a="1"/>
  <c r="I248" i="104" s="1"/>
  <c r="H248" i="104" a="1"/>
  <c r="H248" i="104" s="1"/>
  <c r="G248" i="104" a="1"/>
  <c r="G248" i="104" s="1"/>
  <c r="F248" i="104" a="1"/>
  <c r="F248" i="104" s="1"/>
  <c r="E248" i="104" a="1"/>
  <c r="E248" i="104" s="1"/>
  <c r="D248" i="104" a="1"/>
  <c r="D248" i="104" s="1"/>
  <c r="S247" i="104" a="1"/>
  <c r="S247" i="104" s="1"/>
  <c r="R247" i="104" a="1"/>
  <c r="R247" i="104" s="1"/>
  <c r="Q247" i="104" a="1"/>
  <c r="Q247" i="104" s="1"/>
  <c r="P247" i="104" a="1"/>
  <c r="P247" i="104" s="1"/>
  <c r="O247" i="104" a="1"/>
  <c r="O247" i="104" s="1"/>
  <c r="N247" i="104" a="1"/>
  <c r="N247" i="104" s="1"/>
  <c r="M247" i="104" a="1"/>
  <c r="M247" i="104" s="1"/>
  <c r="L247" i="104" a="1"/>
  <c r="L247" i="104" s="1"/>
  <c r="K247" i="104" a="1"/>
  <c r="K247" i="104" s="1"/>
  <c r="J247" i="104" a="1"/>
  <c r="J247" i="104" s="1"/>
  <c r="I247" i="104" a="1"/>
  <c r="I247" i="104" s="1"/>
  <c r="H247" i="104" a="1"/>
  <c r="H247" i="104" s="1"/>
  <c r="G247" i="104" a="1"/>
  <c r="G247" i="104" s="1"/>
  <c r="F247" i="104" a="1"/>
  <c r="F247" i="104" s="1"/>
  <c r="E247" i="104" a="1"/>
  <c r="E247" i="104" s="1"/>
  <c r="D247" i="104" a="1"/>
  <c r="D247" i="104" s="1"/>
  <c r="S246" i="104" a="1"/>
  <c r="S246" i="104" s="1"/>
  <c r="R246" i="104" a="1"/>
  <c r="R246" i="104" s="1"/>
  <c r="Q246" i="104" a="1"/>
  <c r="Q246" i="104" s="1"/>
  <c r="P246" i="104" a="1"/>
  <c r="P246" i="104" s="1"/>
  <c r="O246" i="104" a="1"/>
  <c r="O246" i="104" s="1"/>
  <c r="N246" i="104" a="1"/>
  <c r="N246" i="104" s="1"/>
  <c r="M246" i="104" a="1"/>
  <c r="M246" i="104" s="1"/>
  <c r="L246" i="104" a="1"/>
  <c r="L246" i="104" s="1"/>
  <c r="K246" i="104" a="1"/>
  <c r="K246" i="104" s="1"/>
  <c r="J246" i="104" a="1"/>
  <c r="J246" i="104" s="1"/>
  <c r="I246" i="104" a="1"/>
  <c r="I246" i="104" s="1"/>
  <c r="H246" i="104" a="1"/>
  <c r="H246" i="104" s="1"/>
  <c r="G246" i="104" a="1"/>
  <c r="G246" i="104" s="1"/>
  <c r="F246" i="104" a="1"/>
  <c r="F246" i="104" s="1"/>
  <c r="E246" i="104" a="1"/>
  <c r="E246" i="104" s="1"/>
  <c r="D246" i="104" a="1"/>
  <c r="D246" i="104" s="1"/>
  <c r="S245" i="104" a="1"/>
  <c r="S245" i="104" s="1"/>
  <c r="R245" i="104" a="1"/>
  <c r="R245" i="104" s="1"/>
  <c r="Q245" i="104" a="1"/>
  <c r="Q245" i="104" s="1"/>
  <c r="P245" i="104" a="1"/>
  <c r="P245" i="104" s="1"/>
  <c r="O245" i="104" a="1"/>
  <c r="O245" i="104" s="1"/>
  <c r="N245" i="104" a="1"/>
  <c r="N245" i="104" s="1"/>
  <c r="M245" i="104" a="1"/>
  <c r="M245" i="104" s="1"/>
  <c r="L245" i="104" a="1"/>
  <c r="L245" i="104" s="1"/>
  <c r="K245" i="104" a="1"/>
  <c r="K245" i="104" s="1"/>
  <c r="J245" i="104" a="1"/>
  <c r="J245" i="104" s="1"/>
  <c r="I245" i="104" a="1"/>
  <c r="I245" i="104" s="1"/>
  <c r="H245" i="104" a="1"/>
  <c r="H245" i="104" s="1"/>
  <c r="G245" i="104" a="1"/>
  <c r="G245" i="104" s="1"/>
  <c r="F245" i="104" a="1"/>
  <c r="F245" i="104" s="1"/>
  <c r="E245" i="104" a="1"/>
  <c r="E245" i="104" s="1"/>
  <c r="D245" i="104" a="1"/>
  <c r="D245" i="104" s="1"/>
  <c r="S244" i="104" a="1"/>
  <c r="S244" i="104" s="1"/>
  <c r="R244" i="104" a="1"/>
  <c r="R244" i="104" s="1"/>
  <c r="Q244" i="104" a="1"/>
  <c r="Q244" i="104" s="1"/>
  <c r="P244" i="104" a="1"/>
  <c r="P244" i="104" s="1"/>
  <c r="O244" i="104" a="1"/>
  <c r="O244" i="104" s="1"/>
  <c r="N244" i="104" a="1"/>
  <c r="N244" i="104" s="1"/>
  <c r="M244" i="104" a="1"/>
  <c r="M244" i="104" s="1"/>
  <c r="L244" i="104" a="1"/>
  <c r="L244" i="104" s="1"/>
  <c r="K244" i="104" a="1"/>
  <c r="K244" i="104" s="1"/>
  <c r="J244" i="104" a="1"/>
  <c r="J244" i="104" s="1"/>
  <c r="I244" i="104" a="1"/>
  <c r="I244" i="104" s="1"/>
  <c r="H244" i="104" a="1"/>
  <c r="H244" i="104" s="1"/>
  <c r="G244" i="104" a="1"/>
  <c r="G244" i="104" s="1"/>
  <c r="F244" i="104" a="1"/>
  <c r="F244" i="104" s="1"/>
  <c r="E244" i="104" a="1"/>
  <c r="E244" i="104" s="1"/>
  <c r="D244" i="104" a="1"/>
  <c r="D244" i="104" s="1"/>
  <c r="S243" i="104" a="1"/>
  <c r="S243" i="104" s="1"/>
  <c r="R243" i="104" a="1"/>
  <c r="R243" i="104" s="1"/>
  <c r="Q243" i="104" a="1"/>
  <c r="Q243" i="104" s="1"/>
  <c r="P243" i="104" a="1"/>
  <c r="P243" i="104" s="1"/>
  <c r="O243" i="104" a="1"/>
  <c r="O243" i="104" s="1"/>
  <c r="N243" i="104" a="1"/>
  <c r="N243" i="104" s="1"/>
  <c r="M243" i="104" a="1"/>
  <c r="M243" i="104" s="1"/>
  <c r="L243" i="104" a="1"/>
  <c r="L243" i="104" s="1"/>
  <c r="K243" i="104" a="1"/>
  <c r="K243" i="104" s="1"/>
  <c r="J243" i="104" a="1"/>
  <c r="J243" i="104" s="1"/>
  <c r="I243" i="104" a="1"/>
  <c r="I243" i="104" s="1"/>
  <c r="H243" i="104" a="1"/>
  <c r="H243" i="104" s="1"/>
  <c r="G243" i="104" a="1"/>
  <c r="G243" i="104" s="1"/>
  <c r="F243" i="104" a="1"/>
  <c r="F243" i="104" s="1"/>
  <c r="E243" i="104" a="1"/>
  <c r="E243" i="104" s="1"/>
  <c r="D243" i="104" a="1"/>
  <c r="D243" i="104" s="1"/>
  <c r="S242" i="104" a="1"/>
  <c r="S242" i="104" s="1"/>
  <c r="R242" i="104" a="1"/>
  <c r="R242" i="104" s="1"/>
  <c r="Q242" i="104" a="1"/>
  <c r="Q242" i="104" s="1"/>
  <c r="P242" i="104" a="1"/>
  <c r="P242" i="104" s="1"/>
  <c r="O242" i="104" a="1"/>
  <c r="O242" i="104" s="1"/>
  <c r="N242" i="104" a="1"/>
  <c r="N242" i="104" s="1"/>
  <c r="M242" i="104" a="1"/>
  <c r="M242" i="104" s="1"/>
  <c r="L242" i="104" a="1"/>
  <c r="L242" i="104" s="1"/>
  <c r="K242" i="104" a="1"/>
  <c r="K242" i="104" s="1"/>
  <c r="J242" i="104" a="1"/>
  <c r="J242" i="104" s="1"/>
  <c r="I242" i="104" a="1"/>
  <c r="I242" i="104" s="1"/>
  <c r="H242" i="104" a="1"/>
  <c r="H242" i="104" s="1"/>
  <c r="G242" i="104" a="1"/>
  <c r="G242" i="104" s="1"/>
  <c r="F242" i="104" a="1"/>
  <c r="F242" i="104" s="1"/>
  <c r="E242" i="104" a="1"/>
  <c r="E242" i="104" s="1"/>
  <c r="D242" i="104" a="1"/>
  <c r="D242" i="104" s="1"/>
  <c r="S241" i="104" a="1"/>
  <c r="S241" i="104" s="1"/>
  <c r="R241" i="104" a="1"/>
  <c r="R241" i="104" s="1"/>
  <c r="Q241" i="104" a="1"/>
  <c r="Q241" i="104" s="1"/>
  <c r="P241" i="104" a="1"/>
  <c r="P241" i="104" s="1"/>
  <c r="O241" i="104" a="1"/>
  <c r="O241" i="104" s="1"/>
  <c r="N241" i="104" a="1"/>
  <c r="N241" i="104" s="1"/>
  <c r="M241" i="104" a="1"/>
  <c r="M241" i="104" s="1"/>
  <c r="L241" i="104" a="1"/>
  <c r="L241" i="104" s="1"/>
  <c r="K241" i="104" a="1"/>
  <c r="K241" i="104" s="1"/>
  <c r="J241" i="104" a="1"/>
  <c r="J241" i="104" s="1"/>
  <c r="I241" i="104" a="1"/>
  <c r="I241" i="104" s="1"/>
  <c r="H241" i="104" a="1"/>
  <c r="H241" i="104" s="1"/>
  <c r="G241" i="104" a="1"/>
  <c r="G241" i="104" s="1"/>
  <c r="F241" i="104" a="1"/>
  <c r="F241" i="104" s="1"/>
  <c r="E241" i="104" a="1"/>
  <c r="E241" i="104" s="1"/>
  <c r="D241" i="104" a="1"/>
  <c r="D241" i="104" s="1"/>
  <c r="S240" i="104" a="1"/>
  <c r="S240" i="104" s="1"/>
  <c r="R240" i="104" a="1"/>
  <c r="R240" i="104" s="1"/>
  <c r="Q240" i="104" a="1"/>
  <c r="Q240" i="104" s="1"/>
  <c r="P240" i="104" a="1"/>
  <c r="P240" i="104" s="1"/>
  <c r="O240" i="104" a="1"/>
  <c r="O240" i="104" s="1"/>
  <c r="N240" i="104" a="1"/>
  <c r="N240" i="104" s="1"/>
  <c r="M240" i="104" a="1"/>
  <c r="M240" i="104" s="1"/>
  <c r="L240" i="104" a="1"/>
  <c r="L240" i="104" s="1"/>
  <c r="K240" i="104" a="1"/>
  <c r="K240" i="104" s="1"/>
  <c r="J240" i="104" a="1"/>
  <c r="J240" i="104" s="1"/>
  <c r="I240" i="104" a="1"/>
  <c r="I240" i="104" s="1"/>
  <c r="H240" i="104" a="1"/>
  <c r="H240" i="104" s="1"/>
  <c r="G240" i="104" a="1"/>
  <c r="G240" i="104" s="1"/>
  <c r="F240" i="104" a="1"/>
  <c r="F240" i="104" s="1"/>
  <c r="E240" i="104" a="1"/>
  <c r="E240" i="104" s="1"/>
  <c r="D240" i="104" a="1"/>
  <c r="D240" i="104" s="1"/>
  <c r="S239" i="104" a="1"/>
  <c r="S239" i="104" s="1"/>
  <c r="R239" i="104" a="1"/>
  <c r="R239" i="104" s="1"/>
  <c r="Q239" i="104" a="1"/>
  <c r="Q239" i="104" s="1"/>
  <c r="P239" i="104" a="1"/>
  <c r="P239" i="104" s="1"/>
  <c r="O239" i="104" a="1"/>
  <c r="O239" i="104" s="1"/>
  <c r="N239" i="104" a="1"/>
  <c r="N239" i="104" s="1"/>
  <c r="M239" i="104" a="1"/>
  <c r="M239" i="104" s="1"/>
  <c r="L239" i="104" a="1"/>
  <c r="L239" i="104" s="1"/>
  <c r="K239" i="104" a="1"/>
  <c r="K239" i="104" s="1"/>
  <c r="J239" i="104" a="1"/>
  <c r="J239" i="104" s="1"/>
  <c r="I239" i="104" a="1"/>
  <c r="I239" i="104" s="1"/>
  <c r="H239" i="104" a="1"/>
  <c r="H239" i="104" s="1"/>
  <c r="G239" i="104" a="1"/>
  <c r="G239" i="104" s="1"/>
  <c r="F239" i="104" a="1"/>
  <c r="F239" i="104" s="1"/>
  <c r="E239" i="104" a="1"/>
  <c r="E239" i="104" s="1"/>
  <c r="D239" i="104" a="1"/>
  <c r="D239" i="104" s="1"/>
  <c r="S238" i="104" a="1"/>
  <c r="S238" i="104" s="1"/>
  <c r="R238" i="104" a="1"/>
  <c r="R238" i="104" s="1"/>
  <c r="Q238" i="104" a="1"/>
  <c r="Q238" i="104" s="1"/>
  <c r="P238" i="104" a="1"/>
  <c r="P238" i="104" s="1"/>
  <c r="O238" i="104" a="1"/>
  <c r="O238" i="104" s="1"/>
  <c r="N238" i="104" a="1"/>
  <c r="N238" i="104" s="1"/>
  <c r="M238" i="104" a="1"/>
  <c r="M238" i="104" s="1"/>
  <c r="L238" i="104" a="1"/>
  <c r="L238" i="104" s="1"/>
  <c r="K238" i="104" a="1"/>
  <c r="K238" i="104" s="1"/>
  <c r="J238" i="104" a="1"/>
  <c r="J238" i="104" s="1"/>
  <c r="I238" i="104" a="1"/>
  <c r="I238" i="104" s="1"/>
  <c r="H238" i="104" a="1"/>
  <c r="H238" i="104" s="1"/>
  <c r="G238" i="104" a="1"/>
  <c r="G238" i="104" s="1"/>
  <c r="F238" i="104" a="1"/>
  <c r="F238" i="104" s="1"/>
  <c r="E238" i="104" a="1"/>
  <c r="E238" i="104" s="1"/>
  <c r="D238" i="104" a="1"/>
  <c r="D238" i="104" s="1"/>
  <c r="S237" i="104" a="1"/>
  <c r="S237" i="104" s="1"/>
  <c r="R237" i="104" a="1"/>
  <c r="R237" i="104" s="1"/>
  <c r="Q237" i="104" a="1"/>
  <c r="Q237" i="104" s="1"/>
  <c r="P237" i="104" a="1"/>
  <c r="P237" i="104" s="1"/>
  <c r="O237" i="104" a="1"/>
  <c r="O237" i="104" s="1"/>
  <c r="N237" i="104" a="1"/>
  <c r="N237" i="104" s="1"/>
  <c r="M237" i="104" a="1"/>
  <c r="M237" i="104" s="1"/>
  <c r="L237" i="104" a="1"/>
  <c r="L237" i="104" s="1"/>
  <c r="K237" i="104" a="1"/>
  <c r="K237" i="104" s="1"/>
  <c r="J237" i="104" a="1"/>
  <c r="J237" i="104" s="1"/>
  <c r="I237" i="104" a="1"/>
  <c r="I237" i="104" s="1"/>
  <c r="H237" i="104" a="1"/>
  <c r="H237" i="104" s="1"/>
  <c r="G237" i="104" a="1"/>
  <c r="G237" i="104" s="1"/>
  <c r="F237" i="104" a="1"/>
  <c r="F237" i="104" s="1"/>
  <c r="E237" i="104" a="1"/>
  <c r="E237" i="104" s="1"/>
  <c r="D237" i="104" a="1"/>
  <c r="D237" i="104" s="1"/>
  <c r="S236" i="104" a="1"/>
  <c r="S236" i="104" s="1"/>
  <c r="R236" i="104" a="1"/>
  <c r="R236" i="104" s="1"/>
  <c r="Q236" i="104" a="1"/>
  <c r="Q236" i="104" s="1"/>
  <c r="P236" i="104" a="1"/>
  <c r="P236" i="104" s="1"/>
  <c r="O236" i="104" a="1"/>
  <c r="O236" i="104" s="1"/>
  <c r="N236" i="104" a="1"/>
  <c r="N236" i="104" s="1"/>
  <c r="M236" i="104" a="1"/>
  <c r="M236" i="104" s="1"/>
  <c r="L236" i="104" a="1"/>
  <c r="L236" i="104" s="1"/>
  <c r="K236" i="104" a="1"/>
  <c r="K236" i="104" s="1"/>
  <c r="J236" i="104" a="1"/>
  <c r="J236" i="104" s="1"/>
  <c r="I236" i="104" a="1"/>
  <c r="I236" i="104" s="1"/>
  <c r="H236" i="104" a="1"/>
  <c r="H236" i="104" s="1"/>
  <c r="G236" i="104" a="1"/>
  <c r="G236" i="104" s="1"/>
  <c r="F236" i="104" a="1"/>
  <c r="F236" i="104" s="1"/>
  <c r="E236" i="104" a="1"/>
  <c r="E236" i="104" s="1"/>
  <c r="D236" i="104" a="1"/>
  <c r="D236" i="104" s="1"/>
  <c r="S235" i="104" a="1"/>
  <c r="S235" i="104" s="1"/>
  <c r="R235" i="104" a="1"/>
  <c r="R235" i="104" s="1"/>
  <c r="Q235" i="104" a="1"/>
  <c r="Q235" i="104" s="1"/>
  <c r="P235" i="104" a="1"/>
  <c r="P235" i="104" s="1"/>
  <c r="O235" i="104" a="1"/>
  <c r="O235" i="104" s="1"/>
  <c r="N235" i="104" a="1"/>
  <c r="N235" i="104" s="1"/>
  <c r="M235" i="104" a="1"/>
  <c r="M235" i="104" s="1"/>
  <c r="L235" i="104" a="1"/>
  <c r="L235" i="104" s="1"/>
  <c r="K235" i="104" a="1"/>
  <c r="K235" i="104" s="1"/>
  <c r="J235" i="104" a="1"/>
  <c r="J235" i="104" s="1"/>
  <c r="I235" i="104" a="1"/>
  <c r="I235" i="104" s="1"/>
  <c r="H235" i="104" a="1"/>
  <c r="H235" i="104" s="1"/>
  <c r="G235" i="104" a="1"/>
  <c r="G235" i="104" s="1"/>
  <c r="F235" i="104" a="1"/>
  <c r="F235" i="104" s="1"/>
  <c r="E235" i="104" a="1"/>
  <c r="E235" i="104" s="1"/>
  <c r="D235" i="104" a="1"/>
  <c r="D235" i="104" s="1"/>
  <c r="S234" i="104" a="1"/>
  <c r="S234" i="104" s="1"/>
  <c r="R234" i="104" a="1"/>
  <c r="R234" i="104" s="1"/>
  <c r="Q234" i="104" a="1"/>
  <c r="Q234" i="104" s="1"/>
  <c r="P234" i="104" a="1"/>
  <c r="P234" i="104" s="1"/>
  <c r="O234" i="104" a="1"/>
  <c r="O234" i="104" s="1"/>
  <c r="N234" i="104" a="1"/>
  <c r="N234" i="104" s="1"/>
  <c r="M234" i="104" a="1"/>
  <c r="M234" i="104" s="1"/>
  <c r="L234" i="104" a="1"/>
  <c r="L234" i="104" s="1"/>
  <c r="K234" i="104" a="1"/>
  <c r="K234" i="104" s="1"/>
  <c r="J234" i="104" a="1"/>
  <c r="J234" i="104" s="1"/>
  <c r="I234" i="104" a="1"/>
  <c r="I234" i="104" s="1"/>
  <c r="H234" i="104" a="1"/>
  <c r="H234" i="104" s="1"/>
  <c r="G234" i="104" a="1"/>
  <c r="G234" i="104" s="1"/>
  <c r="F234" i="104" a="1"/>
  <c r="F234" i="104" s="1"/>
  <c r="E234" i="104" a="1"/>
  <c r="E234" i="104" s="1"/>
  <c r="D234" i="104" a="1"/>
  <c r="D234" i="104" s="1"/>
  <c r="S233" i="104" a="1"/>
  <c r="S233" i="104" s="1"/>
  <c r="R233" i="104" a="1"/>
  <c r="R233" i="104" s="1"/>
  <c r="Q233" i="104" a="1"/>
  <c r="Q233" i="104" s="1"/>
  <c r="P233" i="104" a="1"/>
  <c r="P233" i="104" s="1"/>
  <c r="O233" i="104" a="1"/>
  <c r="O233" i="104" s="1"/>
  <c r="N233" i="104" a="1"/>
  <c r="N233" i="104" s="1"/>
  <c r="M233" i="104" a="1"/>
  <c r="M233" i="104" s="1"/>
  <c r="L233" i="104" a="1"/>
  <c r="L233" i="104" s="1"/>
  <c r="K233" i="104" a="1"/>
  <c r="K233" i="104" s="1"/>
  <c r="J233" i="104" a="1"/>
  <c r="J233" i="104" s="1"/>
  <c r="I233" i="104" a="1"/>
  <c r="I233" i="104" s="1"/>
  <c r="H233" i="104" a="1"/>
  <c r="H233" i="104" s="1"/>
  <c r="G233" i="104" a="1"/>
  <c r="G233" i="104" s="1"/>
  <c r="F233" i="104" a="1"/>
  <c r="F233" i="104" s="1"/>
  <c r="E233" i="104" a="1"/>
  <c r="E233" i="104" s="1"/>
  <c r="D233" i="104" a="1"/>
  <c r="D233" i="104" s="1"/>
  <c r="S232" i="104" a="1"/>
  <c r="S232" i="104" s="1"/>
  <c r="R232" i="104" a="1"/>
  <c r="R232" i="104" s="1"/>
  <c r="Q232" i="104" a="1"/>
  <c r="Q232" i="104" s="1"/>
  <c r="P232" i="104" a="1"/>
  <c r="P232" i="104" s="1"/>
  <c r="O232" i="104" a="1"/>
  <c r="O232" i="104" s="1"/>
  <c r="N232" i="104" a="1"/>
  <c r="N232" i="104" s="1"/>
  <c r="M232" i="104" a="1"/>
  <c r="M232" i="104" s="1"/>
  <c r="L232" i="104" a="1"/>
  <c r="L232" i="104" s="1"/>
  <c r="K232" i="104" a="1"/>
  <c r="K232" i="104" s="1"/>
  <c r="J232" i="104" a="1"/>
  <c r="J232" i="104" s="1"/>
  <c r="I232" i="104" a="1"/>
  <c r="I232" i="104" s="1"/>
  <c r="H232" i="104" a="1"/>
  <c r="H232" i="104" s="1"/>
  <c r="G232" i="104" a="1"/>
  <c r="G232" i="104" s="1"/>
  <c r="F232" i="104" a="1"/>
  <c r="F232" i="104" s="1"/>
  <c r="E232" i="104" a="1"/>
  <c r="E232" i="104" s="1"/>
  <c r="D232" i="104" a="1"/>
  <c r="D232" i="104" s="1"/>
  <c r="D229" i="104" a="1"/>
  <c r="D229" i="104" s="1"/>
  <c r="D228" i="104" a="1"/>
  <c r="D228" i="104" s="1"/>
  <c r="D227" i="104"/>
  <c r="D227" i="104" a="1"/>
  <c r="E224" i="104" a="1"/>
  <c r="E224" i="104" s="1"/>
  <c r="D224" i="104" a="1"/>
  <c r="D224" i="104" s="1"/>
  <c r="E223" i="104" a="1"/>
  <c r="E223" i="104" s="1"/>
  <c r="D223" i="104" a="1"/>
  <c r="D223" i="104" s="1"/>
  <c r="E222" i="104" a="1"/>
  <c r="E222" i="104" s="1"/>
  <c r="D222" i="104" a="1"/>
  <c r="D222" i="104" s="1"/>
  <c r="E221" i="104" a="1"/>
  <c r="E221" i="104" s="1"/>
  <c r="D221" i="104" a="1"/>
  <c r="D221" i="104" s="1"/>
  <c r="E220" i="104" a="1"/>
  <c r="E220" i="104" s="1"/>
  <c r="D220" i="104" a="1"/>
  <c r="D220" i="104" s="1"/>
  <c r="E219" i="104" a="1"/>
  <c r="E219" i="104" s="1"/>
  <c r="D219" i="104" a="1"/>
  <c r="D219" i="104" s="1"/>
  <c r="E218" i="104" a="1"/>
  <c r="E218" i="104" s="1"/>
  <c r="D218" i="104" a="1"/>
  <c r="D218" i="104" s="1"/>
  <c r="E217" i="104" a="1"/>
  <c r="E217" i="104" s="1"/>
  <c r="D217" i="104" a="1"/>
  <c r="D217" i="104" s="1"/>
  <c r="E216" i="104" a="1"/>
  <c r="E216" i="104" s="1"/>
  <c r="D216" i="104" a="1"/>
  <c r="D216" i="104" s="1"/>
  <c r="E215" i="104" a="1"/>
  <c r="E215" i="104" s="1"/>
  <c r="D215" i="104" a="1"/>
  <c r="D215" i="104" s="1"/>
  <c r="E214" i="104" a="1"/>
  <c r="E214" i="104" s="1"/>
  <c r="D214" i="104" a="1"/>
  <c r="D214" i="104" s="1"/>
  <c r="E213" i="104" a="1"/>
  <c r="E213" i="104" s="1"/>
  <c r="D213" i="104" a="1"/>
  <c r="D213" i="104" s="1"/>
  <c r="D211" i="104" a="1"/>
  <c r="D211" i="104" s="1"/>
  <c r="E208" i="104" a="1"/>
  <c r="E208" i="104" s="1"/>
  <c r="D208" i="104" a="1"/>
  <c r="D208" i="104" s="1"/>
  <c r="E207" i="104" a="1"/>
  <c r="E207" i="104" s="1"/>
  <c r="D207" i="104" a="1"/>
  <c r="D207" i="104" s="1"/>
  <c r="D205" i="104" a="1"/>
  <c r="D205" i="104" s="1"/>
  <c r="D204" i="104" a="1"/>
  <c r="D204" i="104" s="1"/>
  <c r="D203" i="104" a="1"/>
  <c r="D203" i="104" s="1"/>
  <c r="D202" i="104"/>
  <c r="D202" i="104" a="1"/>
  <c r="H199" i="104" a="1"/>
  <c r="H199" i="104" s="1"/>
  <c r="G199" i="104" a="1"/>
  <c r="G199" i="104" s="1"/>
  <c r="F199" i="104" a="1"/>
  <c r="F199" i="104" s="1"/>
  <c r="E199" i="104" a="1"/>
  <c r="E199" i="104" s="1"/>
  <c r="D199" i="104" a="1"/>
  <c r="D199" i="104" s="1"/>
  <c r="H198" i="104" a="1"/>
  <c r="H198" i="104" s="1"/>
  <c r="G198" i="104" a="1"/>
  <c r="G198" i="104" s="1"/>
  <c r="F198" i="104" a="1"/>
  <c r="F198" i="104" s="1"/>
  <c r="E198" i="104" a="1"/>
  <c r="E198" i="104" s="1"/>
  <c r="D198" i="104" a="1"/>
  <c r="D198" i="104" s="1"/>
  <c r="H197" i="104" a="1"/>
  <c r="H197" i="104" s="1"/>
  <c r="G197" i="104" a="1"/>
  <c r="G197" i="104" s="1"/>
  <c r="F197" i="104" a="1"/>
  <c r="F197" i="104" s="1"/>
  <c r="E197" i="104" a="1"/>
  <c r="E197" i="104" s="1"/>
  <c r="D197" i="104" a="1"/>
  <c r="D197" i="104" s="1"/>
  <c r="H196" i="104" a="1"/>
  <c r="H196" i="104" s="1"/>
  <c r="G196" i="104" a="1"/>
  <c r="G196" i="104" s="1"/>
  <c r="F196" i="104" a="1"/>
  <c r="F196" i="104" s="1"/>
  <c r="E196" i="104" a="1"/>
  <c r="E196" i="104" s="1"/>
  <c r="D196" i="104" a="1"/>
  <c r="D196" i="104" s="1"/>
  <c r="H195" i="104" a="1"/>
  <c r="H195" i="104" s="1"/>
  <c r="G195" i="104" a="1"/>
  <c r="G195" i="104" s="1"/>
  <c r="F195" i="104" a="1"/>
  <c r="F195" i="104" s="1"/>
  <c r="E195" i="104" a="1"/>
  <c r="E195" i="104" s="1"/>
  <c r="D195" i="104" a="1"/>
  <c r="D195" i="104" s="1"/>
  <c r="H194" i="104" a="1"/>
  <c r="H194" i="104" s="1"/>
  <c r="G194" i="104" a="1"/>
  <c r="G194" i="104" s="1"/>
  <c r="F194" i="104" a="1"/>
  <c r="F194" i="104" s="1"/>
  <c r="E194" i="104" a="1"/>
  <c r="E194" i="104" s="1"/>
  <c r="D194" i="104" a="1"/>
  <c r="D194" i="104" s="1"/>
  <c r="H193" i="104" a="1"/>
  <c r="H193" i="104" s="1"/>
  <c r="G193" i="104" a="1"/>
  <c r="G193" i="104" s="1"/>
  <c r="F193" i="104" a="1"/>
  <c r="F193" i="104" s="1"/>
  <c r="E193" i="104" a="1"/>
  <c r="E193" i="104" s="1"/>
  <c r="D193" i="104" a="1"/>
  <c r="D193" i="104" s="1"/>
  <c r="H192" i="104" a="1"/>
  <c r="H192" i="104" s="1"/>
  <c r="G192" i="104" a="1"/>
  <c r="G192" i="104" s="1"/>
  <c r="F192" i="104" a="1"/>
  <c r="F192" i="104" s="1"/>
  <c r="E192" i="104" a="1"/>
  <c r="E192" i="104" s="1"/>
  <c r="D192" i="104" a="1"/>
  <c r="D192" i="104" s="1"/>
  <c r="H191" i="104" a="1"/>
  <c r="H191" i="104" s="1"/>
  <c r="G191" i="104" a="1"/>
  <c r="G191" i="104" s="1"/>
  <c r="F191" i="104" a="1"/>
  <c r="F191" i="104" s="1"/>
  <c r="E191" i="104" a="1"/>
  <c r="E191" i="104" s="1"/>
  <c r="D191" i="104" a="1"/>
  <c r="D191" i="104" s="1"/>
  <c r="H190" i="104" a="1"/>
  <c r="H190" i="104" s="1"/>
  <c r="G190" i="104" a="1"/>
  <c r="G190" i="104" s="1"/>
  <c r="F190" i="104" a="1"/>
  <c r="F190" i="104" s="1"/>
  <c r="E190" i="104" a="1"/>
  <c r="E190" i="104" s="1"/>
  <c r="D190" i="104" a="1"/>
  <c r="D190" i="104" s="1"/>
  <c r="H189" i="104" a="1"/>
  <c r="H189" i="104" s="1"/>
  <c r="G189" i="104" a="1"/>
  <c r="G189" i="104" s="1"/>
  <c r="F189" i="104" a="1"/>
  <c r="F189" i="104" s="1"/>
  <c r="E189" i="104" a="1"/>
  <c r="E189" i="104" s="1"/>
  <c r="D189" i="104" a="1"/>
  <c r="D189" i="104" s="1"/>
  <c r="H188" i="104" a="1"/>
  <c r="H188" i="104" s="1"/>
  <c r="G188" i="104" a="1"/>
  <c r="G188" i="104" s="1"/>
  <c r="F188" i="104" a="1"/>
  <c r="F188" i="104" s="1"/>
  <c r="E188" i="104" a="1"/>
  <c r="E188" i="104" s="1"/>
  <c r="D188" i="104" a="1"/>
  <c r="D188" i="104" s="1"/>
  <c r="H187" i="104" a="1"/>
  <c r="H187" i="104" s="1"/>
  <c r="G187" i="104" a="1"/>
  <c r="G187" i="104" s="1"/>
  <c r="F187" i="104" a="1"/>
  <c r="F187" i="104" s="1"/>
  <c r="E187" i="104" a="1"/>
  <c r="E187" i="104" s="1"/>
  <c r="D187" i="104" a="1"/>
  <c r="D187" i="104" s="1"/>
  <c r="D181" i="104" a="1"/>
  <c r="D181" i="104" s="1"/>
  <c r="D180" i="104" a="1"/>
  <c r="D180" i="104" s="1"/>
  <c r="D179" i="104" a="1"/>
  <c r="D179" i="104" s="1"/>
  <c r="D178" i="104" a="1"/>
  <c r="D178" i="104" s="1"/>
  <c r="E175" i="104" a="1"/>
  <c r="E175" i="104" s="1"/>
  <c r="D175" i="104"/>
  <c r="D175" i="104" a="1"/>
  <c r="D174" i="104" a="1"/>
  <c r="D174" i="104" s="1"/>
  <c r="D173" i="104" a="1"/>
  <c r="D173" i="104" s="1"/>
  <c r="D170" i="104" a="1"/>
  <c r="D170" i="104" s="1"/>
  <c r="D169" i="104" a="1"/>
  <c r="D169" i="104" s="1"/>
  <c r="D168" i="104" a="1"/>
  <c r="D168" i="104" s="1"/>
  <c r="D167" i="104" a="1"/>
  <c r="D167" i="104" s="1"/>
  <c r="D164" i="104" a="1"/>
  <c r="D164" i="104" s="1"/>
  <c r="D163" i="104" a="1"/>
  <c r="D163" i="104" s="1"/>
  <c r="D162" i="104" a="1"/>
  <c r="D162" i="104" s="1"/>
  <c r="D161" i="104" a="1"/>
  <c r="D161" i="104" s="1"/>
  <c r="E158" i="104" a="1"/>
  <c r="E158" i="104" s="1"/>
  <c r="D158" i="104" a="1"/>
  <c r="D158" i="104" s="1"/>
  <c r="E157" i="104" a="1"/>
  <c r="E157" i="104" s="1"/>
  <c r="D157" i="104" a="1"/>
  <c r="D157" i="104" s="1"/>
  <c r="E156" i="104" a="1"/>
  <c r="E156" i="104" s="1"/>
  <c r="D156" i="104" a="1"/>
  <c r="D156" i="104" s="1"/>
  <c r="E155" i="104" a="1"/>
  <c r="E155" i="104" s="1"/>
  <c r="D155" i="104" a="1"/>
  <c r="D155" i="104" s="1"/>
  <c r="E154" i="104" a="1"/>
  <c r="E154" i="104" s="1"/>
  <c r="D154" i="104" a="1"/>
  <c r="D154" i="104" s="1"/>
  <c r="D151" i="104" a="1"/>
  <c r="D151" i="104" s="1"/>
  <c r="D150" i="104" a="1"/>
  <c r="D150" i="104" s="1"/>
  <c r="E147" i="104" a="1"/>
  <c r="E147" i="104" s="1"/>
  <c r="D147" i="104" a="1"/>
  <c r="D147" i="104" s="1"/>
  <c r="E146" i="104" a="1"/>
  <c r="E146" i="104" s="1"/>
  <c r="D146" i="104" a="1"/>
  <c r="D146" i="104" s="1"/>
  <c r="E145" i="104" a="1"/>
  <c r="E145" i="104" s="1"/>
  <c r="D145" i="104" a="1"/>
  <c r="D145" i="104" s="1"/>
  <c r="E144" i="104" a="1"/>
  <c r="E144" i="104" s="1"/>
  <c r="D144" i="104" a="1"/>
  <c r="D144" i="104" s="1"/>
  <c r="E143" i="104" a="1"/>
  <c r="E143" i="104" s="1"/>
  <c r="D143" i="104" a="1"/>
  <c r="D143" i="104" s="1"/>
  <c r="D141" i="104" a="1"/>
  <c r="D141" i="104" s="1"/>
  <c r="D140" i="104" a="1"/>
  <c r="D140" i="104" s="1"/>
  <c r="D139" i="104" a="1"/>
  <c r="D139" i="104" s="1"/>
  <c r="E136" i="104" a="1"/>
  <c r="E136" i="104" s="1"/>
  <c r="D136" i="104" a="1"/>
  <c r="D136" i="104" s="1"/>
  <c r="E135" i="104" a="1"/>
  <c r="E135" i="104" s="1"/>
  <c r="D135" i="104" a="1"/>
  <c r="D135" i="104" s="1"/>
  <c r="D133" i="104" a="1"/>
  <c r="D133" i="104" s="1"/>
  <c r="D132" i="104" a="1"/>
  <c r="D132" i="104" s="1"/>
  <c r="E129" i="104" a="1"/>
  <c r="E129" i="104" s="1"/>
  <c r="D129" i="104" a="1"/>
  <c r="D129" i="104" s="1"/>
  <c r="E128" i="104" a="1"/>
  <c r="E128" i="104" s="1"/>
  <c r="D128" i="104" a="1"/>
  <c r="D128" i="104" s="1"/>
  <c r="D125" i="104"/>
  <c r="D125" i="104" a="1"/>
  <c r="D124" i="104" a="1"/>
  <c r="D124" i="104" s="1"/>
  <c r="G121" i="104" a="1"/>
  <c r="G121" i="104" s="1"/>
  <c r="F121" i="104" a="1"/>
  <c r="F121" i="104" s="1"/>
  <c r="E121" i="104" a="1"/>
  <c r="E121" i="104" s="1"/>
  <c r="D121" i="104" a="1"/>
  <c r="D121" i="104" s="1"/>
  <c r="G120" i="104" a="1"/>
  <c r="G120" i="104" s="1"/>
  <c r="F120" i="104" a="1"/>
  <c r="F120" i="104" s="1"/>
  <c r="E120" i="104" a="1"/>
  <c r="E120" i="104" s="1"/>
  <c r="D120" i="104" a="1"/>
  <c r="D120" i="104" s="1"/>
  <c r="D117" i="104" a="1"/>
  <c r="D117" i="104" s="1"/>
  <c r="D116" i="104"/>
  <c r="D116" i="104" a="1"/>
  <c r="D115" i="104" a="1"/>
  <c r="D115" i="104" s="1"/>
  <c r="G112" i="104" a="1"/>
  <c r="G112" i="104" s="1"/>
  <c r="F112" i="104" a="1"/>
  <c r="F112" i="104" s="1"/>
  <c r="E112" i="104" a="1"/>
  <c r="E112" i="104" s="1"/>
  <c r="D112" i="104" a="1"/>
  <c r="D112" i="104" s="1"/>
  <c r="G111" i="104" a="1"/>
  <c r="G111" i="104" s="1"/>
  <c r="F111" i="104" a="1"/>
  <c r="F111" i="104" s="1"/>
  <c r="E111" i="104" a="1"/>
  <c r="E111" i="104" s="1"/>
  <c r="D111" i="104" a="1"/>
  <c r="D111" i="104" s="1"/>
  <c r="G110" i="104" a="1"/>
  <c r="G110" i="104" s="1"/>
  <c r="F110" i="104" a="1"/>
  <c r="F110" i="104" s="1"/>
  <c r="E110" i="104" a="1"/>
  <c r="E110" i="104" s="1"/>
  <c r="D110" i="104" a="1"/>
  <c r="D110" i="104" s="1"/>
  <c r="D107" i="104" a="1"/>
  <c r="D107" i="104" s="1"/>
  <c r="D106" i="104" a="1"/>
  <c r="D106" i="104" s="1"/>
  <c r="D105" i="104" a="1"/>
  <c r="D105" i="104" s="1"/>
  <c r="D98" i="104" a="1"/>
  <c r="D98" i="104" s="1"/>
  <c r="S97" i="104" a="1"/>
  <c r="S97" i="104" s="1"/>
  <c r="R97" i="104" a="1"/>
  <c r="R97" i="104" s="1"/>
  <c r="Q97" i="104" a="1"/>
  <c r="Q97" i="104" s="1"/>
  <c r="P97" i="104" a="1"/>
  <c r="P97" i="104" s="1"/>
  <c r="O97" i="104" a="1"/>
  <c r="O97" i="104" s="1"/>
  <c r="N97" i="104" a="1"/>
  <c r="N97" i="104" s="1"/>
  <c r="M97" i="104" a="1"/>
  <c r="M97" i="104" s="1"/>
  <c r="L97" i="104" a="1"/>
  <c r="L97" i="104" s="1"/>
  <c r="K97" i="104" a="1"/>
  <c r="K97" i="104" s="1"/>
  <c r="J97" i="104" a="1"/>
  <c r="J97" i="104" s="1"/>
  <c r="I97" i="104" a="1"/>
  <c r="I97" i="104" s="1"/>
  <c r="H97" i="104" a="1"/>
  <c r="H97" i="104" s="1"/>
  <c r="G97" i="104" a="1"/>
  <c r="G97" i="104" s="1"/>
  <c r="F97" i="104" a="1"/>
  <c r="F97" i="104" s="1"/>
  <c r="E97" i="104" a="1"/>
  <c r="E97" i="104" s="1"/>
  <c r="D97" i="104" a="1"/>
  <c r="D97" i="104" s="1"/>
  <c r="S96" i="104" a="1"/>
  <c r="S96" i="104" s="1"/>
  <c r="R96" i="104" a="1"/>
  <c r="R96" i="104" s="1"/>
  <c r="Q96" i="104" a="1"/>
  <c r="Q96" i="104" s="1"/>
  <c r="P96" i="104" a="1"/>
  <c r="P96" i="104" s="1"/>
  <c r="O96" i="104" a="1"/>
  <c r="O96" i="104" s="1"/>
  <c r="N96" i="104" a="1"/>
  <c r="N96" i="104" s="1"/>
  <c r="M96" i="104" a="1"/>
  <c r="M96" i="104" s="1"/>
  <c r="L96" i="104" a="1"/>
  <c r="L96" i="104" s="1"/>
  <c r="K96" i="104" a="1"/>
  <c r="K96" i="104" s="1"/>
  <c r="J96" i="104" a="1"/>
  <c r="J96" i="104" s="1"/>
  <c r="I96" i="104" a="1"/>
  <c r="I96" i="104" s="1"/>
  <c r="H96" i="104" a="1"/>
  <c r="H96" i="104" s="1"/>
  <c r="G96" i="104" a="1"/>
  <c r="G96" i="104" s="1"/>
  <c r="F96" i="104" a="1"/>
  <c r="F96" i="104" s="1"/>
  <c r="E96" i="104" a="1"/>
  <c r="E96" i="104" s="1"/>
  <c r="D96" i="104" a="1"/>
  <c r="D96" i="104" s="1"/>
  <c r="S95" i="104" a="1"/>
  <c r="S95" i="104" s="1"/>
  <c r="R95" i="104" a="1"/>
  <c r="R95" i="104" s="1"/>
  <c r="Q95" i="104" a="1"/>
  <c r="Q95" i="104" s="1"/>
  <c r="P95" i="104" a="1"/>
  <c r="P95" i="104" s="1"/>
  <c r="O95" i="104" a="1"/>
  <c r="O95" i="104" s="1"/>
  <c r="N95" i="104" a="1"/>
  <c r="N95" i="104" s="1"/>
  <c r="M95" i="104" a="1"/>
  <c r="M95" i="104" s="1"/>
  <c r="L95" i="104" a="1"/>
  <c r="L95" i="104" s="1"/>
  <c r="K95" i="104" a="1"/>
  <c r="K95" i="104" s="1"/>
  <c r="J95" i="104" a="1"/>
  <c r="J95" i="104" s="1"/>
  <c r="I95" i="104" a="1"/>
  <c r="I95" i="104" s="1"/>
  <c r="H95" i="104" a="1"/>
  <c r="H95" i="104" s="1"/>
  <c r="G95" i="104" a="1"/>
  <c r="G95" i="104" s="1"/>
  <c r="F95" i="104" a="1"/>
  <c r="F95" i="104" s="1"/>
  <c r="E95" i="104" a="1"/>
  <c r="E95" i="104" s="1"/>
  <c r="D95" i="104" a="1"/>
  <c r="D95" i="104" s="1"/>
  <c r="S94" i="104" a="1"/>
  <c r="S94" i="104" s="1"/>
  <c r="R94" i="104" a="1"/>
  <c r="R94" i="104" s="1"/>
  <c r="Q94" i="104" a="1"/>
  <c r="Q94" i="104" s="1"/>
  <c r="P94" i="104" a="1"/>
  <c r="P94" i="104" s="1"/>
  <c r="O94" i="104" a="1"/>
  <c r="O94" i="104" s="1"/>
  <c r="N94" i="104" a="1"/>
  <c r="N94" i="104" s="1"/>
  <c r="M94" i="104" a="1"/>
  <c r="M94" i="104" s="1"/>
  <c r="L94" i="104" a="1"/>
  <c r="L94" i="104" s="1"/>
  <c r="K94" i="104" a="1"/>
  <c r="K94" i="104" s="1"/>
  <c r="J94" i="104" a="1"/>
  <c r="J94" i="104" s="1"/>
  <c r="I94" i="104" a="1"/>
  <c r="I94" i="104" s="1"/>
  <c r="H94" i="104" a="1"/>
  <c r="H94" i="104" s="1"/>
  <c r="G94" i="104" a="1"/>
  <c r="G94" i="104" s="1"/>
  <c r="F94" i="104" a="1"/>
  <c r="F94" i="104" s="1"/>
  <c r="E94" i="104" a="1"/>
  <c r="E94" i="104" s="1"/>
  <c r="D94" i="104" a="1"/>
  <c r="D94" i="104" s="1"/>
  <c r="S93" i="104" a="1"/>
  <c r="S93" i="104" s="1"/>
  <c r="R93" i="104" a="1"/>
  <c r="R93" i="104" s="1"/>
  <c r="Q93" i="104" a="1"/>
  <c r="Q93" i="104" s="1"/>
  <c r="P93" i="104" a="1"/>
  <c r="P93" i="104" s="1"/>
  <c r="O93" i="104" a="1"/>
  <c r="O93" i="104" s="1"/>
  <c r="N93" i="104" a="1"/>
  <c r="N93" i="104" s="1"/>
  <c r="M93" i="104" a="1"/>
  <c r="M93" i="104" s="1"/>
  <c r="L93" i="104" a="1"/>
  <c r="L93" i="104" s="1"/>
  <c r="K93" i="104" a="1"/>
  <c r="K93" i="104" s="1"/>
  <c r="J93" i="104" a="1"/>
  <c r="J93" i="104" s="1"/>
  <c r="I93" i="104" a="1"/>
  <c r="I93" i="104" s="1"/>
  <c r="H93" i="104" a="1"/>
  <c r="H93" i="104" s="1"/>
  <c r="G93" i="104" a="1"/>
  <c r="G93" i="104" s="1"/>
  <c r="F93" i="104" a="1"/>
  <c r="F93" i="104" s="1"/>
  <c r="E93" i="104" a="1"/>
  <c r="E93" i="104" s="1"/>
  <c r="D93" i="104" a="1"/>
  <c r="D93" i="104" s="1"/>
  <c r="S92" i="104" a="1"/>
  <c r="S92" i="104" s="1"/>
  <c r="R92" i="104" a="1"/>
  <c r="R92" i="104" s="1"/>
  <c r="Q92" i="104" a="1"/>
  <c r="Q92" i="104" s="1"/>
  <c r="P92" i="104" a="1"/>
  <c r="P92" i="104" s="1"/>
  <c r="O92" i="104" a="1"/>
  <c r="O92" i="104" s="1"/>
  <c r="N92" i="104" a="1"/>
  <c r="N92" i="104" s="1"/>
  <c r="M92" i="104" a="1"/>
  <c r="M92" i="104" s="1"/>
  <c r="L92" i="104" a="1"/>
  <c r="L92" i="104" s="1"/>
  <c r="K92" i="104" a="1"/>
  <c r="K92" i="104" s="1"/>
  <c r="J92" i="104" a="1"/>
  <c r="J92" i="104" s="1"/>
  <c r="I92" i="104" a="1"/>
  <c r="I92" i="104" s="1"/>
  <c r="H92" i="104" a="1"/>
  <c r="H92" i="104" s="1"/>
  <c r="G92" i="104" a="1"/>
  <c r="G92" i="104" s="1"/>
  <c r="F92" i="104" a="1"/>
  <c r="F92" i="104" s="1"/>
  <c r="E92" i="104" a="1"/>
  <c r="E92" i="104" s="1"/>
  <c r="D92" i="104" a="1"/>
  <c r="D92" i="104" s="1"/>
  <c r="S91" i="104" a="1"/>
  <c r="S91" i="104" s="1"/>
  <c r="R91" i="104" a="1"/>
  <c r="R91" i="104" s="1"/>
  <c r="Q91" i="104" a="1"/>
  <c r="Q91" i="104" s="1"/>
  <c r="P91" i="104" a="1"/>
  <c r="P91" i="104" s="1"/>
  <c r="O91" i="104" a="1"/>
  <c r="O91" i="104" s="1"/>
  <c r="N91" i="104" a="1"/>
  <c r="N91" i="104" s="1"/>
  <c r="M91" i="104" a="1"/>
  <c r="M91" i="104" s="1"/>
  <c r="L91" i="104" a="1"/>
  <c r="L91" i="104" s="1"/>
  <c r="K91" i="104" a="1"/>
  <c r="K91" i="104" s="1"/>
  <c r="J91" i="104" a="1"/>
  <c r="J91" i="104" s="1"/>
  <c r="I91" i="104" a="1"/>
  <c r="I91" i="104" s="1"/>
  <c r="H91" i="104" a="1"/>
  <c r="H91" i="104" s="1"/>
  <c r="G91" i="104" a="1"/>
  <c r="G91" i="104" s="1"/>
  <c r="F91" i="104" a="1"/>
  <c r="F91" i="104" s="1"/>
  <c r="E91" i="104" a="1"/>
  <c r="E91" i="104" s="1"/>
  <c r="D91" i="104" a="1"/>
  <c r="D91" i="104" s="1"/>
  <c r="S90" i="104" a="1"/>
  <c r="S90" i="104" s="1"/>
  <c r="R90" i="104" a="1"/>
  <c r="R90" i="104" s="1"/>
  <c r="Q90" i="104" a="1"/>
  <c r="Q90" i="104" s="1"/>
  <c r="P90" i="104" a="1"/>
  <c r="P90" i="104" s="1"/>
  <c r="O90" i="104" a="1"/>
  <c r="O90" i="104" s="1"/>
  <c r="N90" i="104" a="1"/>
  <c r="N90" i="104" s="1"/>
  <c r="M90" i="104" a="1"/>
  <c r="M90" i="104" s="1"/>
  <c r="L90" i="104" a="1"/>
  <c r="L90" i="104" s="1"/>
  <c r="K90" i="104" a="1"/>
  <c r="K90" i="104" s="1"/>
  <c r="J90" i="104" a="1"/>
  <c r="J90" i="104" s="1"/>
  <c r="I90" i="104" a="1"/>
  <c r="I90" i="104" s="1"/>
  <c r="H90" i="104" a="1"/>
  <c r="H90" i="104" s="1"/>
  <c r="G90" i="104" a="1"/>
  <c r="G90" i="104" s="1"/>
  <c r="F90" i="104" a="1"/>
  <c r="F90" i="104" s="1"/>
  <c r="E90" i="104" a="1"/>
  <c r="E90" i="104" s="1"/>
  <c r="D90" i="104" a="1"/>
  <c r="D90" i="104" s="1"/>
  <c r="D83" i="104" a="1"/>
  <c r="D83" i="104" s="1"/>
  <c r="D82" i="104" a="1"/>
  <c r="D82" i="104" s="1"/>
  <c r="D81" i="104" a="1"/>
  <c r="D81" i="104" s="1"/>
  <c r="E77" i="104" a="1"/>
  <c r="E77" i="104" s="1"/>
  <c r="D77" i="104" a="1"/>
  <c r="D77" i="104" s="1"/>
  <c r="E76" i="104" a="1"/>
  <c r="E76" i="104" s="1"/>
  <c r="D76" i="104" a="1"/>
  <c r="D76" i="104" s="1"/>
  <c r="E75" i="104" a="1"/>
  <c r="E75" i="104" s="1"/>
  <c r="D75" i="104" a="1"/>
  <c r="D75" i="104" s="1"/>
  <c r="E74" i="104" a="1"/>
  <c r="E74" i="104" s="1"/>
  <c r="D74" i="104" a="1"/>
  <c r="D74" i="104" s="1"/>
  <c r="E73" i="104" a="1"/>
  <c r="E73" i="104" s="1"/>
  <c r="D73" i="104" a="1"/>
  <c r="D73" i="104" s="1"/>
  <c r="E72" i="104" a="1"/>
  <c r="E72" i="104" s="1"/>
  <c r="D72" i="104" a="1"/>
  <c r="D72" i="104" s="1"/>
  <c r="E71" i="104" a="1"/>
  <c r="E71" i="104" s="1"/>
  <c r="D71" i="104" a="1"/>
  <c r="D71" i="104" s="1"/>
  <c r="E70" i="104" a="1"/>
  <c r="E70" i="104" s="1"/>
  <c r="D70" i="104" a="1"/>
  <c r="D70" i="104" s="1"/>
  <c r="E69" i="104" a="1"/>
  <c r="E69" i="104" s="1"/>
  <c r="D69" i="104" a="1"/>
  <c r="D69" i="104" s="1"/>
  <c r="E68" i="104" a="1"/>
  <c r="E68" i="104" s="1"/>
  <c r="D68" i="104" a="1"/>
  <c r="D68" i="104" s="1"/>
  <c r="E67" i="104" a="1"/>
  <c r="E67" i="104" s="1"/>
  <c r="D67" i="104" a="1"/>
  <c r="D67" i="104" s="1"/>
  <c r="E66" i="104" a="1"/>
  <c r="E66" i="104" s="1"/>
  <c r="D66" i="104" a="1"/>
  <c r="D66" i="104" s="1"/>
  <c r="E65" i="104" a="1"/>
  <c r="E65" i="104" s="1"/>
  <c r="D65" i="104" a="1"/>
  <c r="D65" i="104" s="1"/>
  <c r="E64" i="104" a="1"/>
  <c r="E64" i="104" s="1"/>
  <c r="D64" i="104" a="1"/>
  <c r="D64" i="104" s="1"/>
  <c r="D59" i="104" a="1"/>
  <c r="D59" i="104" s="1"/>
  <c r="D58" i="104" a="1"/>
  <c r="D58" i="104" s="1"/>
  <c r="D57" i="104" a="1"/>
  <c r="D57" i="104" s="1"/>
  <c r="G54" i="104" a="1"/>
  <c r="G54" i="104" s="1"/>
  <c r="F54" i="104" a="1"/>
  <c r="F54" i="104" s="1"/>
  <c r="E54" i="104" a="1"/>
  <c r="E54" i="104" s="1"/>
  <c r="D54" i="104" a="1"/>
  <c r="D54" i="104" s="1"/>
  <c r="G53" i="104" a="1"/>
  <c r="G53" i="104" s="1"/>
  <c r="F53" i="104" a="1"/>
  <c r="F53" i="104" s="1"/>
  <c r="E53" i="104" a="1"/>
  <c r="E53" i="104" s="1"/>
  <c r="D53" i="104" a="1"/>
  <c r="D53" i="104" s="1"/>
  <c r="G52" i="104" a="1"/>
  <c r="G52" i="104" s="1"/>
  <c r="F52" i="104" a="1"/>
  <c r="F52" i="104" s="1"/>
  <c r="E52" i="104" a="1"/>
  <c r="E52" i="104" s="1"/>
  <c r="D52" i="104" a="1"/>
  <c r="D52" i="104" s="1"/>
  <c r="G51" i="104" a="1"/>
  <c r="G51" i="104" s="1"/>
  <c r="F51" i="104" a="1"/>
  <c r="F51" i="104" s="1"/>
  <c r="E51" i="104" a="1"/>
  <c r="E51" i="104" s="1"/>
  <c r="D51" i="104" a="1"/>
  <c r="D51" i="104" s="1"/>
  <c r="G50" i="104" a="1"/>
  <c r="G50" i="104" s="1"/>
  <c r="F50" i="104" a="1"/>
  <c r="F50" i="104" s="1"/>
  <c r="E50" i="104" a="1"/>
  <c r="E50" i="104" s="1"/>
  <c r="D50" i="104" a="1"/>
  <c r="D50" i="104" s="1"/>
  <c r="G49" i="104" a="1"/>
  <c r="G49" i="104" s="1"/>
  <c r="F49" i="104" a="1"/>
  <c r="F49" i="104" s="1"/>
  <c r="E49" i="104" a="1"/>
  <c r="E49" i="104" s="1"/>
  <c r="D49" i="104" a="1"/>
  <c r="D49" i="104" s="1"/>
  <c r="G48" i="104" a="1"/>
  <c r="G48" i="104" s="1"/>
  <c r="F48" i="104" a="1"/>
  <c r="F48" i="104" s="1"/>
  <c r="E48" i="104" a="1"/>
  <c r="E48" i="104" s="1"/>
  <c r="D48" i="104" a="1"/>
  <c r="D48" i="104" s="1"/>
  <c r="D46" i="104" a="1"/>
  <c r="D46" i="104" s="1"/>
  <c r="D45" i="104" a="1"/>
  <c r="D45" i="104" s="1"/>
  <c r="E43" i="104" a="1"/>
  <c r="E43" i="104" s="1"/>
  <c r="D43" i="104" a="1"/>
  <c r="D43" i="104" s="1"/>
  <c r="E42" i="104" a="1"/>
  <c r="E42" i="104" s="1"/>
  <c r="D42" i="104" a="1"/>
  <c r="D42" i="104" s="1"/>
  <c r="E41" i="104" a="1"/>
  <c r="E41" i="104" s="1"/>
  <c r="D41" i="104" a="1"/>
  <c r="D41" i="104" s="1"/>
  <c r="E40" i="104" a="1"/>
  <c r="E40" i="104" s="1"/>
  <c r="D40" i="104" a="1"/>
  <c r="D40" i="104" s="1"/>
  <c r="E39" i="104" a="1"/>
  <c r="E39" i="104" s="1"/>
  <c r="D39" i="104" a="1"/>
  <c r="D39" i="104" s="1"/>
  <c r="E38" i="104" a="1"/>
  <c r="E38" i="104" s="1"/>
  <c r="D38" i="104" a="1"/>
  <c r="D38" i="104" s="1"/>
  <c r="E37" i="104" a="1"/>
  <c r="E37" i="104" s="1"/>
  <c r="D37" i="104" a="1"/>
  <c r="D37" i="104" s="1"/>
  <c r="D35" i="104" a="1"/>
  <c r="D35" i="104" s="1"/>
  <c r="D34" i="104" a="1"/>
  <c r="D34" i="104" s="1"/>
  <c r="D30" i="104" a="1"/>
  <c r="D30" i="104" s="1"/>
  <c r="D29" i="104" a="1"/>
  <c r="D29" i="104" s="1"/>
  <c r="D28" i="104" a="1"/>
  <c r="D28" i="104" s="1"/>
  <c r="D27" i="104" a="1"/>
  <c r="D27" i="104" s="1"/>
  <c r="D26" i="104" a="1"/>
  <c r="D26" i="104" s="1"/>
  <c r="D25" i="104" a="1"/>
  <c r="D25" i="104" s="1"/>
  <c r="D24" i="104" a="1"/>
  <c r="D24" i="104" s="1"/>
  <c r="D23" i="104" a="1"/>
  <c r="D23" i="104" s="1"/>
  <c r="D22" i="104" a="1"/>
  <c r="D22" i="104" s="1"/>
  <c r="D21" i="104" a="1"/>
  <c r="D21" i="104" s="1"/>
  <c r="D19" i="104" a="1"/>
  <c r="D19" i="104" s="1"/>
  <c r="D18" i="104" a="1"/>
  <c r="D18" i="104" s="1"/>
  <c r="F14" i="104" a="1"/>
  <c r="F14" i="104" s="1"/>
  <c r="E14" i="104" a="1"/>
  <c r="E14" i="104" s="1"/>
  <c r="D14" i="104" a="1"/>
  <c r="D14" i="104" s="1"/>
  <c r="F13" i="104" a="1"/>
  <c r="F13" i="104" s="1"/>
  <c r="E13" i="104" a="1"/>
  <c r="E13" i="104" s="1"/>
  <c r="D13" i="104" a="1"/>
  <c r="D13" i="104" s="1"/>
  <c r="F12" i="104" a="1"/>
  <c r="F12" i="104" s="1"/>
  <c r="E12" i="104" a="1"/>
  <c r="E12" i="104" s="1"/>
  <c r="D12" i="104" a="1"/>
  <c r="D12" i="104" s="1"/>
  <c r="F11" i="104" a="1"/>
  <c r="F11" i="104" s="1"/>
  <c r="E11" i="104" a="1"/>
  <c r="E11" i="104" s="1"/>
  <c r="D11" i="104" a="1"/>
  <c r="D11" i="104" s="1"/>
  <c r="F10" i="104" a="1"/>
  <c r="F10" i="104" s="1"/>
  <c r="E10" i="104" a="1"/>
  <c r="E10" i="104" s="1"/>
  <c r="D10" i="104" a="1"/>
  <c r="D10" i="104" s="1"/>
  <c r="F9" i="104" a="1"/>
  <c r="F9" i="104" s="1"/>
  <c r="E9" i="104" a="1"/>
  <c r="E9" i="104" s="1"/>
  <c r="D9" i="104" a="1"/>
  <c r="D9" i="104" s="1"/>
  <c r="F8" i="104" a="1"/>
  <c r="F8" i="104" s="1"/>
  <c r="E8" i="104" a="1"/>
  <c r="E8" i="104" s="1"/>
  <c r="D8" i="104" a="1"/>
  <c r="D8" i="104" s="1"/>
  <c r="F7" i="104" a="1"/>
  <c r="F7" i="104" s="1"/>
  <c r="E7" i="104" a="1"/>
  <c r="E7" i="104" s="1"/>
  <c r="D7" i="104" a="1"/>
  <c r="D7" i="104" s="1"/>
  <c r="D5" i="104" a="1"/>
  <c r="D5" i="104" s="1"/>
  <c r="W158" i="76"/>
  <c r="T187" i="76"/>
  <c r="T186" i="76"/>
  <c r="T185" i="76"/>
  <c r="T184" i="76"/>
  <c r="W157" i="76"/>
  <c r="W156" i="76"/>
  <c r="W155" i="76"/>
  <c r="W154" i="76"/>
  <c r="W153" i="76"/>
  <c r="T153" i="76" a="1"/>
  <c r="T153" i="76" s="1"/>
  <c r="G147" i="76"/>
  <c r="E110" i="70" a="1"/>
  <c r="E110" i="70" s="1"/>
  <c r="G148" i="76" s="1"/>
  <c r="H54" i="104" l="1"/>
  <c r="H48" i="104"/>
  <c r="H50" i="104"/>
  <c r="E164" i="76" a="1"/>
  <c r="E164" i="76" s="1"/>
  <c r="E163" i="76" a="1"/>
  <c r="E163" i="76" s="1"/>
  <c r="E162" i="76" a="1"/>
  <c r="E162" i="76" s="1"/>
  <c r="E161" i="76" a="1"/>
  <c r="E161" i="76" s="1"/>
  <c r="H53" i="104"/>
  <c r="H49" i="104"/>
  <c r="H52" i="104"/>
  <c r="H51" i="104"/>
  <c r="M41" i="98" a="1"/>
  <c r="M41" i="98" s="1"/>
  <c r="K38" i="98" a="1"/>
  <c r="K38" i="98" s="1"/>
  <c r="K32" i="98" a="1"/>
  <c r="K32" i="98" s="1"/>
  <c r="F41" i="98" a="1"/>
  <c r="F41" i="98" s="1"/>
  <c r="D38" i="98" a="1"/>
  <c r="D38" i="98" s="1"/>
  <c r="D32" i="98" a="1"/>
  <c r="D32" i="98" s="1"/>
  <c r="E30" i="98" a="1"/>
  <c r="E30" i="98" s="1"/>
  <c r="M36" i="98" s="1"/>
  <c r="E29" i="98" a="1"/>
  <c r="E29" i="98" s="1"/>
  <c r="D25" i="98" a="1"/>
  <c r="D25" i="98" s="1"/>
  <c r="D24" i="98" a="1"/>
  <c r="D24" i="98" s="1"/>
  <c r="K13" i="98" a="1"/>
  <c r="K13" i="98" s="1"/>
  <c r="G18" i="98"/>
  <c r="G17" i="98"/>
  <c r="G16" i="98"/>
  <c r="D13" i="98" a="1"/>
  <c r="D13" i="98" s="1"/>
  <c r="E11" i="98" a="1"/>
  <c r="E11" i="98" s="1"/>
  <c r="F20" i="98" s="1"/>
  <c r="E10" i="98" a="1"/>
  <c r="E10" i="98" s="1"/>
  <c r="D6" i="98" a="1"/>
  <c r="D6" i="98" s="1"/>
  <c r="D5" i="98" a="1"/>
  <c r="D5" i="98" s="1"/>
  <c r="N40" i="97" a="1"/>
  <c r="N40" i="97" s="1"/>
  <c r="L37" i="97" a="1"/>
  <c r="L37" i="97" s="1"/>
  <c r="L28" i="97" a="1"/>
  <c r="L28" i="97" s="1"/>
  <c r="N16" i="97"/>
  <c r="L13" i="97" a="1"/>
  <c r="L13" i="97" s="1"/>
  <c r="F40" i="97" a="1"/>
  <c r="F40" i="97" s="1"/>
  <c r="D37" i="97" a="1"/>
  <c r="D37" i="97" s="1"/>
  <c r="H32" i="97"/>
  <c r="H31" i="97"/>
  <c r="D28" i="97" a="1"/>
  <c r="D28" i="97" s="1"/>
  <c r="E26" i="97" a="1"/>
  <c r="E26" i="97" s="1"/>
  <c r="F35" i="97" s="1"/>
  <c r="G9" i="13" s="1"/>
  <c r="E25" i="97" a="1"/>
  <c r="E25" i="97" s="1"/>
  <c r="D21" i="97" a="1"/>
  <c r="D21" i="97" s="1"/>
  <c r="D20" i="97" a="1"/>
  <c r="D20" i="97" s="1"/>
  <c r="D438" i="79" a="1"/>
  <c r="D438" i="79" s="1"/>
  <c r="G15" i="98" s="1"/>
  <c r="D437" i="79" a="1"/>
  <c r="D437" i="79" s="1"/>
  <c r="D436" i="79" a="1"/>
  <c r="D436" i="79" s="1"/>
  <c r="D435" i="79" a="1"/>
  <c r="D435" i="79" s="1"/>
  <c r="D434" i="79" a="1"/>
  <c r="D434" i="79" s="1"/>
  <c r="D432" i="79" a="1"/>
  <c r="D432" i="79" s="1"/>
  <c r="H14" i="97" s="1"/>
  <c r="D431" i="79" a="1"/>
  <c r="D431" i="79" s="1"/>
  <c r="D430" i="79" a="1"/>
  <c r="D430" i="79" s="1"/>
  <c r="D429" i="79" a="1"/>
  <c r="D429" i="79" s="1"/>
  <c r="D428" i="79" a="1"/>
  <c r="D428" i="79" s="1"/>
  <c r="E26" i="98" a="1"/>
  <c r="E7" i="97" a="1"/>
  <c r="E22" i="97" a="1"/>
  <c r="E7" i="98" a="1"/>
  <c r="N35" i="97" l="1"/>
  <c r="F36" i="98"/>
  <c r="G10" i="13" s="1"/>
  <c r="E26" i="98"/>
  <c r="M20" i="98"/>
  <c r="E7" i="98"/>
  <c r="E22" i="97"/>
  <c r="E7" i="97"/>
  <c r="D13" i="97" l="1" a="1"/>
  <c r="D13" i="97" s="1"/>
  <c r="E11" i="97" a="1"/>
  <c r="E11" i="97" s="1"/>
  <c r="F16" i="97" s="1"/>
  <c r="E10" i="97" a="1"/>
  <c r="E10" i="97" s="1"/>
  <c r="D6" i="97" a="1"/>
  <c r="D6" i="97" s="1"/>
  <c r="D5" i="97" a="1"/>
  <c r="D5" i="97" s="1"/>
  <c r="T261" i="76" a="1"/>
  <c r="T261" i="76" s="1"/>
  <c r="D224" i="76" a="1"/>
  <c r="D224" i="76" s="1"/>
  <c r="E222" i="76" a="1"/>
  <c r="E222" i="76" s="1"/>
  <c r="F229" i="76" s="1"/>
  <c r="E221" i="76" a="1"/>
  <c r="E221" i="76" s="1"/>
  <c r="D217" i="76" a="1"/>
  <c r="D217" i="76" s="1"/>
  <c r="D216" i="76" a="1"/>
  <c r="D216" i="76" s="1"/>
  <c r="T207" i="76" a="1"/>
  <c r="T207" i="76" s="1"/>
  <c r="D184" i="76" a="1"/>
  <c r="D184" i="76" s="1"/>
  <c r="E182" i="76" a="1"/>
  <c r="E182" i="76" s="1"/>
  <c r="AE253" i="76" s="1"/>
  <c r="E181" i="76" a="1"/>
  <c r="E181" i="76" s="1"/>
  <c r="D177" i="76" a="1"/>
  <c r="D177" i="76" s="1"/>
  <c r="D176" i="76" a="1"/>
  <c r="D176" i="76" s="1"/>
  <c r="T151" i="76" a="1"/>
  <c r="T151" i="76" s="1"/>
  <c r="D142" i="76" a="1"/>
  <c r="D142" i="76" s="1"/>
  <c r="E140" i="76" a="1"/>
  <c r="E140" i="76" s="1"/>
  <c r="AE202" i="76" s="1"/>
  <c r="E139" i="76" a="1"/>
  <c r="E139" i="76" s="1"/>
  <c r="D135" i="76" a="1"/>
  <c r="D135" i="76" s="1"/>
  <c r="D134" i="76" a="1"/>
  <c r="D134" i="76" s="1"/>
  <c r="T115" i="76" a="1"/>
  <c r="T115" i="76" s="1"/>
  <c r="D111" i="76" a="1"/>
  <c r="D111" i="76" s="1"/>
  <c r="E109" i="76" a="1"/>
  <c r="E109" i="76" s="1"/>
  <c r="E108" i="76" a="1"/>
  <c r="E108" i="76" s="1"/>
  <c r="D103" i="76" a="1"/>
  <c r="D103" i="76" s="1"/>
  <c r="D102" i="76" a="1"/>
  <c r="D102" i="76" s="1"/>
  <c r="T87" i="76" a="1"/>
  <c r="T87" i="76" s="1"/>
  <c r="D78" i="76" a="1"/>
  <c r="D78" i="76" s="1"/>
  <c r="E76" i="76" a="1"/>
  <c r="E76" i="76" s="1"/>
  <c r="AE111" i="76" s="1"/>
  <c r="E75" i="76" a="1"/>
  <c r="E75" i="76" s="1"/>
  <c r="D71" i="76" a="1"/>
  <c r="D71" i="76" s="1"/>
  <c r="D70" i="76" a="1"/>
  <c r="D70" i="76" s="1"/>
  <c r="D69" i="76" a="1"/>
  <c r="D69" i="76" s="1"/>
  <c r="T51" i="76" a="1"/>
  <c r="T51" i="76" s="1"/>
  <c r="D48" i="76" a="1"/>
  <c r="D48" i="76" s="1"/>
  <c r="E46" i="76" a="1"/>
  <c r="E46" i="76" s="1"/>
  <c r="AE82" i="76" s="1"/>
  <c r="E45" i="76" a="1"/>
  <c r="E45" i="76" s="1"/>
  <c r="D41" i="76" a="1"/>
  <c r="D41" i="76" s="1"/>
  <c r="D40" i="76" a="1"/>
  <c r="D40" i="76" s="1"/>
  <c r="D13" i="76" a="1"/>
  <c r="D13" i="76" s="1"/>
  <c r="E11" i="76" a="1"/>
  <c r="E11" i="76" s="1"/>
  <c r="AE37" i="76" s="1"/>
  <c r="E10" i="76" a="1"/>
  <c r="E10" i="76" s="1"/>
  <c r="D6" i="76" a="1"/>
  <c r="D6" i="76" s="1"/>
  <c r="D5" i="76" a="1"/>
  <c r="D5" i="76" s="1"/>
  <c r="V268" i="76" a="1"/>
  <c r="V268" i="76" s="1"/>
  <c r="T265" i="76" a="1"/>
  <c r="T265" i="76" s="1"/>
  <c r="T255" i="76"/>
  <c r="T254" i="76"/>
  <c r="T253" i="76"/>
  <c r="T252" i="76"/>
  <c r="T251" i="76"/>
  <c r="T250" i="76"/>
  <c r="T249" i="76"/>
  <c r="T248" i="76"/>
  <c r="T247" i="76"/>
  <c r="T246" i="76"/>
  <c r="T245" i="76"/>
  <c r="T244" i="76"/>
  <c r="T239" i="76"/>
  <c r="T238" i="76"/>
  <c r="T237" i="76"/>
  <c r="T236" i="76"/>
  <c r="T235" i="76"/>
  <c r="T234" i="76"/>
  <c r="T233" i="76"/>
  <c r="T232" i="76"/>
  <c r="T231" i="76"/>
  <c r="T230" i="76"/>
  <c r="T229" i="76"/>
  <c r="T228" i="76"/>
  <c r="AD223" i="76"/>
  <c r="AC223" i="76"/>
  <c r="AB223" i="76"/>
  <c r="AA223" i="76"/>
  <c r="Z223" i="76"/>
  <c r="Y223" i="76"/>
  <c r="X223" i="76"/>
  <c r="W223" i="76"/>
  <c r="V223" i="76"/>
  <c r="U223" i="76"/>
  <c r="AD222" i="76"/>
  <c r="AC222" i="76"/>
  <c r="AB222" i="76"/>
  <c r="AA222" i="76"/>
  <c r="Z222" i="76"/>
  <c r="Y222" i="76"/>
  <c r="X222" i="76"/>
  <c r="W222" i="76"/>
  <c r="V222" i="76"/>
  <c r="U222" i="76"/>
  <c r="AD221" i="76"/>
  <c r="AC221" i="76"/>
  <c r="AB221" i="76"/>
  <c r="AA221" i="76"/>
  <c r="Z221" i="76"/>
  <c r="Y221" i="76"/>
  <c r="X221" i="76"/>
  <c r="W221" i="76"/>
  <c r="V221" i="76"/>
  <c r="U221" i="76"/>
  <c r="AD220" i="76"/>
  <c r="AC220" i="76"/>
  <c r="AB220" i="76"/>
  <c r="AA220" i="76"/>
  <c r="Z220" i="76"/>
  <c r="Y220" i="76"/>
  <c r="X220" i="76"/>
  <c r="W220" i="76"/>
  <c r="V220" i="76"/>
  <c r="U220" i="76"/>
  <c r="AD219" i="76"/>
  <c r="AC219" i="76"/>
  <c r="AB219" i="76"/>
  <c r="AA219" i="76"/>
  <c r="Z219" i="76"/>
  <c r="Y219" i="76"/>
  <c r="X219" i="76"/>
  <c r="W219" i="76"/>
  <c r="V219" i="76"/>
  <c r="U219" i="76"/>
  <c r="AD218" i="76"/>
  <c r="AC218" i="76"/>
  <c r="AB218" i="76"/>
  <c r="AA218" i="76"/>
  <c r="Z218" i="76"/>
  <c r="Y218" i="76"/>
  <c r="X218" i="76"/>
  <c r="W218" i="76"/>
  <c r="V218" i="76"/>
  <c r="U218" i="76"/>
  <c r="AD217" i="76"/>
  <c r="AC217" i="76"/>
  <c r="AB217" i="76"/>
  <c r="AA217" i="76"/>
  <c r="Z217" i="76"/>
  <c r="Y217" i="76"/>
  <c r="X217" i="76"/>
  <c r="W217" i="76"/>
  <c r="V217" i="76"/>
  <c r="U217" i="76"/>
  <c r="AD216" i="76"/>
  <c r="AC216" i="76"/>
  <c r="AB216" i="76"/>
  <c r="AA216" i="76"/>
  <c r="Z216" i="76"/>
  <c r="Y216" i="76"/>
  <c r="X216" i="76"/>
  <c r="W216" i="76"/>
  <c r="V216" i="76"/>
  <c r="U216" i="76"/>
  <c r="AD215" i="76"/>
  <c r="AC215" i="76"/>
  <c r="AB215" i="76"/>
  <c r="AA215" i="76"/>
  <c r="Z215" i="76"/>
  <c r="Y215" i="76"/>
  <c r="X215" i="76"/>
  <c r="W215" i="76"/>
  <c r="V215" i="76"/>
  <c r="U215" i="76"/>
  <c r="AD214" i="76"/>
  <c r="AC214" i="76"/>
  <c r="AB214" i="76"/>
  <c r="AA214" i="76"/>
  <c r="Z214" i="76"/>
  <c r="Y214" i="76"/>
  <c r="X214" i="76"/>
  <c r="W214" i="76"/>
  <c r="V214" i="76"/>
  <c r="U214" i="76"/>
  <c r="AD213" i="76"/>
  <c r="AC213" i="76"/>
  <c r="AB213" i="76"/>
  <c r="AA213" i="76"/>
  <c r="Z213" i="76"/>
  <c r="Y213" i="76"/>
  <c r="X213" i="76"/>
  <c r="W213" i="76"/>
  <c r="V213" i="76"/>
  <c r="U213" i="76"/>
  <c r="AD212" i="76"/>
  <c r="AC212" i="76"/>
  <c r="AB212" i="76"/>
  <c r="AA212" i="76"/>
  <c r="Z212" i="76"/>
  <c r="Y212" i="76"/>
  <c r="X212" i="76"/>
  <c r="W212" i="76"/>
  <c r="V212" i="76"/>
  <c r="U212" i="76"/>
  <c r="T223" i="76"/>
  <c r="T222" i="76"/>
  <c r="T221" i="76"/>
  <c r="T220" i="76"/>
  <c r="T219" i="76"/>
  <c r="T218" i="76"/>
  <c r="T217" i="76"/>
  <c r="T216" i="76"/>
  <c r="T215" i="76"/>
  <c r="T214" i="76"/>
  <c r="T213" i="76"/>
  <c r="T212" i="76"/>
  <c r="T203" i="76"/>
  <c r="T202" i="76"/>
  <c r="T201" i="76"/>
  <c r="T200" i="76"/>
  <c r="T199" i="76"/>
  <c r="T198" i="76"/>
  <c r="T197" i="76"/>
  <c r="T196" i="76"/>
  <c r="T195" i="76"/>
  <c r="T194" i="76"/>
  <c r="T193" i="76"/>
  <c r="T192" i="76"/>
  <c r="T179" i="76"/>
  <c r="T178" i="76"/>
  <c r="T177" i="76"/>
  <c r="T176" i="76"/>
  <c r="T175" i="76"/>
  <c r="T174" i="76"/>
  <c r="T173" i="76"/>
  <c r="T172" i="76"/>
  <c r="T171" i="76"/>
  <c r="T170" i="76"/>
  <c r="T169" i="76"/>
  <c r="T168" i="76"/>
  <c r="T147" i="76"/>
  <c r="T146" i="76"/>
  <c r="T145" i="76"/>
  <c r="T144" i="76"/>
  <c r="T143" i="76"/>
  <c r="T142" i="76"/>
  <c r="T141" i="76"/>
  <c r="T140" i="76"/>
  <c r="T139" i="76"/>
  <c r="T138" i="76"/>
  <c r="T137" i="76"/>
  <c r="T136" i="76"/>
  <c r="T131" i="76"/>
  <c r="T130" i="76"/>
  <c r="T129" i="76"/>
  <c r="T128" i="76"/>
  <c r="T127" i="76"/>
  <c r="T126" i="76"/>
  <c r="T125" i="76"/>
  <c r="T124" i="76"/>
  <c r="T123" i="76"/>
  <c r="T122" i="76"/>
  <c r="T121" i="76"/>
  <c r="T120" i="76"/>
  <c r="T111" i="76"/>
  <c r="T110" i="76"/>
  <c r="T109" i="76"/>
  <c r="T108" i="76"/>
  <c r="T107" i="76"/>
  <c r="T106" i="76"/>
  <c r="T105" i="76"/>
  <c r="T104" i="76"/>
  <c r="T103" i="76"/>
  <c r="T102" i="76"/>
  <c r="T101" i="76"/>
  <c r="T100" i="76"/>
  <c r="T83" i="76"/>
  <c r="T82" i="76"/>
  <c r="T81" i="76"/>
  <c r="T80" i="76"/>
  <c r="T79" i="76"/>
  <c r="T78" i="76"/>
  <c r="T77" i="76"/>
  <c r="T76" i="76"/>
  <c r="T75" i="76"/>
  <c r="T74" i="76"/>
  <c r="T73" i="76"/>
  <c r="T72" i="76"/>
  <c r="T67" i="76"/>
  <c r="T66" i="76"/>
  <c r="T65" i="76"/>
  <c r="T64" i="76"/>
  <c r="T63" i="76"/>
  <c r="T62" i="76"/>
  <c r="T61" i="76"/>
  <c r="T60" i="76"/>
  <c r="T59" i="76"/>
  <c r="T58" i="76"/>
  <c r="T57" i="76"/>
  <c r="T56" i="76"/>
  <c r="A20" i="43"/>
  <c r="A19" i="43"/>
  <c r="A18" i="43"/>
  <c r="A17" i="43"/>
  <c r="A14" i="43"/>
  <c r="A13" i="43"/>
  <c r="A12" i="43"/>
  <c r="A11" i="43"/>
  <c r="A8" i="43"/>
  <c r="A7" i="43"/>
  <c r="A4" i="43"/>
  <c r="A3" i="43"/>
  <c r="A20" i="79"/>
  <c r="A19" i="79"/>
  <c r="A18" i="79"/>
  <c r="A17" i="79"/>
  <c r="A14" i="79"/>
  <c r="A13" i="79"/>
  <c r="A12" i="79"/>
  <c r="A11" i="79"/>
  <c r="A8" i="79"/>
  <c r="A7" i="79"/>
  <c r="A4" i="79"/>
  <c r="A3" i="79"/>
  <c r="A20" i="97"/>
  <c r="A19" i="97"/>
  <c r="A18" i="97"/>
  <c r="A17" i="97"/>
  <c r="A14" i="97"/>
  <c r="A13" i="97"/>
  <c r="A12" i="97"/>
  <c r="A11" i="97"/>
  <c r="A8" i="97"/>
  <c r="A7" i="97"/>
  <c r="A4" i="97"/>
  <c r="A3" i="97"/>
  <c r="A20" i="76"/>
  <c r="A19" i="76"/>
  <c r="A18" i="76"/>
  <c r="A17" i="76"/>
  <c r="A14" i="76"/>
  <c r="A13" i="76"/>
  <c r="A12" i="76"/>
  <c r="A11" i="76"/>
  <c r="A8" i="76"/>
  <c r="A7" i="76"/>
  <c r="A4" i="76"/>
  <c r="A3" i="76"/>
  <c r="A20" i="69"/>
  <c r="A19" i="69"/>
  <c r="A18" i="69"/>
  <c r="A17" i="69"/>
  <c r="A14" i="69"/>
  <c r="A13" i="69"/>
  <c r="A12" i="69"/>
  <c r="A11" i="69"/>
  <c r="A8" i="69"/>
  <c r="A7" i="69"/>
  <c r="A4" i="69"/>
  <c r="A3" i="69"/>
  <c r="A20" i="70"/>
  <c r="A19" i="70"/>
  <c r="A18" i="70"/>
  <c r="A17" i="70"/>
  <c r="A14" i="70"/>
  <c r="A13" i="70"/>
  <c r="A12" i="70"/>
  <c r="A11" i="70"/>
  <c r="A8" i="70"/>
  <c r="A7" i="70"/>
  <c r="A4" i="70"/>
  <c r="A3" i="70"/>
  <c r="A20" i="15"/>
  <c r="A19" i="15"/>
  <c r="A18" i="15"/>
  <c r="A17" i="15"/>
  <c r="A14" i="15"/>
  <c r="A13" i="15"/>
  <c r="A12" i="15"/>
  <c r="A11" i="15"/>
  <c r="A8" i="15"/>
  <c r="A7" i="15"/>
  <c r="A4" i="15"/>
  <c r="A3" i="15"/>
  <c r="A20" i="13"/>
  <c r="A19" i="13"/>
  <c r="A18" i="13"/>
  <c r="A17" i="13"/>
  <c r="A14" i="13"/>
  <c r="A13" i="13"/>
  <c r="A12" i="13"/>
  <c r="A11" i="13"/>
  <c r="A8" i="13"/>
  <c r="A7" i="13"/>
  <c r="A4" i="13"/>
  <c r="A3" i="13"/>
  <c r="A8" i="98"/>
  <c r="A11" i="98"/>
  <c r="A12" i="98"/>
  <c r="A13" i="98"/>
  <c r="A14" i="98"/>
  <c r="A17" i="98"/>
  <c r="D231" i="76" a="1"/>
  <c r="D231" i="76" s="1"/>
  <c r="F234" i="76" a="1"/>
  <c r="F234" i="76" s="1"/>
  <c r="H224" i="76"/>
  <c r="H185" i="76"/>
  <c r="H184" i="76"/>
  <c r="H186" i="76"/>
  <c r="N202" i="76"/>
  <c r="M202" i="76"/>
  <c r="L202" i="76"/>
  <c r="K202" i="76"/>
  <c r="J202" i="76"/>
  <c r="I202" i="76"/>
  <c r="H202" i="76"/>
  <c r="G202" i="76"/>
  <c r="F202" i="76"/>
  <c r="E202" i="76"/>
  <c r="N201" i="76"/>
  <c r="M201" i="76"/>
  <c r="L201" i="76"/>
  <c r="K201" i="76"/>
  <c r="J201" i="76"/>
  <c r="I201" i="76"/>
  <c r="H201" i="76"/>
  <c r="G201" i="76"/>
  <c r="F201" i="76"/>
  <c r="E201" i="76"/>
  <c r="N200" i="76"/>
  <c r="M200" i="76"/>
  <c r="L200" i="76"/>
  <c r="K200" i="76"/>
  <c r="J200" i="76"/>
  <c r="I200" i="76"/>
  <c r="H200" i="76"/>
  <c r="G200" i="76"/>
  <c r="F200" i="76"/>
  <c r="E200" i="76"/>
  <c r="N199" i="76"/>
  <c r="M199" i="76"/>
  <c r="L199" i="76"/>
  <c r="K199" i="76"/>
  <c r="J199" i="76"/>
  <c r="I199" i="76"/>
  <c r="H199" i="76"/>
  <c r="G199" i="76"/>
  <c r="F199" i="76"/>
  <c r="E199" i="76"/>
  <c r="N194" i="76"/>
  <c r="M194" i="76"/>
  <c r="L194" i="76"/>
  <c r="K194" i="76"/>
  <c r="J194" i="76"/>
  <c r="I194" i="76"/>
  <c r="H194" i="76"/>
  <c r="G194" i="76"/>
  <c r="F194" i="76"/>
  <c r="E194" i="76"/>
  <c r="N193" i="76"/>
  <c r="M193" i="76"/>
  <c r="L193" i="76"/>
  <c r="K193" i="76"/>
  <c r="J193" i="76"/>
  <c r="I193" i="76"/>
  <c r="H193" i="76"/>
  <c r="G193" i="76"/>
  <c r="F193" i="76"/>
  <c r="E193" i="76"/>
  <c r="N192" i="76"/>
  <c r="M192" i="76"/>
  <c r="L192" i="76"/>
  <c r="K192" i="76"/>
  <c r="J192" i="76"/>
  <c r="I192" i="76"/>
  <c r="H192" i="76"/>
  <c r="G192" i="76"/>
  <c r="F192" i="76"/>
  <c r="E192" i="76"/>
  <c r="N191" i="76"/>
  <c r="M191" i="76"/>
  <c r="L191" i="76"/>
  <c r="K191" i="76"/>
  <c r="J191" i="76"/>
  <c r="I191" i="76"/>
  <c r="H191" i="76"/>
  <c r="G191" i="76"/>
  <c r="F191" i="76"/>
  <c r="E191" i="76"/>
  <c r="G144" i="76"/>
  <c r="G143" i="76"/>
  <c r="G146" i="76"/>
  <c r="G145" i="76"/>
  <c r="G142" i="76"/>
  <c r="D122" i="76"/>
  <c r="D121" i="76"/>
  <c r="D120" i="76"/>
  <c r="D119" i="76"/>
  <c r="G114" i="76"/>
  <c r="G112" i="76"/>
  <c r="G111" i="76"/>
  <c r="G113" i="76"/>
  <c r="D98" i="76"/>
  <c r="D97" i="76"/>
  <c r="D96" i="76"/>
  <c r="D95" i="76"/>
  <c r="I79" i="76"/>
  <c r="I82" i="76"/>
  <c r="I78" i="76"/>
  <c r="G49" i="76"/>
  <c r="G48" i="76"/>
  <c r="T47" i="76"/>
  <c r="T46" i="76"/>
  <c r="T45" i="76"/>
  <c r="T44" i="76"/>
  <c r="T43" i="76"/>
  <c r="T42" i="76"/>
  <c r="T41" i="76"/>
  <c r="T40" i="76"/>
  <c r="T39" i="76"/>
  <c r="T38" i="76"/>
  <c r="T37" i="76"/>
  <c r="T36" i="76"/>
  <c r="T31" i="76"/>
  <c r="T30" i="76"/>
  <c r="T29" i="76"/>
  <c r="T28" i="76"/>
  <c r="T27" i="76"/>
  <c r="T26" i="76"/>
  <c r="T25" i="76"/>
  <c r="T24" i="76"/>
  <c r="T23" i="76"/>
  <c r="T22" i="76"/>
  <c r="T21" i="76"/>
  <c r="T20" i="76"/>
  <c r="D36" i="76"/>
  <c r="D35" i="76"/>
  <c r="D34" i="76"/>
  <c r="D33" i="76"/>
  <c r="D20" i="76"/>
  <c r="F14" i="76"/>
  <c r="F15" i="76"/>
  <c r="F13" i="76"/>
  <c r="D23" i="76"/>
  <c r="D22" i="76"/>
  <c r="D21" i="76"/>
  <c r="V281" i="69" a="1"/>
  <c r="V281" i="69" s="1"/>
  <c r="T278" i="69" a="1"/>
  <c r="T278" i="69" s="1"/>
  <c r="U274" i="69"/>
  <c r="U273" i="69"/>
  <c r="U272" i="69"/>
  <c r="U271" i="69"/>
  <c r="U270" i="69"/>
  <c r="U269" i="69"/>
  <c r="U268" i="69"/>
  <c r="U267" i="69"/>
  <c r="U266" i="69"/>
  <c r="U265" i="69"/>
  <c r="U264" i="69"/>
  <c r="U263" i="69"/>
  <c r="U251" i="69"/>
  <c r="U262" i="69"/>
  <c r="U261" i="69"/>
  <c r="U260" i="69"/>
  <c r="U259" i="69"/>
  <c r="U258" i="69"/>
  <c r="U257" i="69"/>
  <c r="U256" i="69"/>
  <c r="U255" i="69"/>
  <c r="U254" i="69"/>
  <c r="U253" i="69"/>
  <c r="U252" i="69"/>
  <c r="T274" i="69"/>
  <c r="T273" i="69"/>
  <c r="T272" i="69"/>
  <c r="T271" i="69"/>
  <c r="T270" i="69"/>
  <c r="T269" i="69"/>
  <c r="T268" i="69"/>
  <c r="T267" i="69"/>
  <c r="T266" i="69"/>
  <c r="T265" i="69"/>
  <c r="T264" i="69"/>
  <c r="T263" i="69"/>
  <c r="T262" i="69"/>
  <c r="T261" i="69"/>
  <c r="T260" i="69"/>
  <c r="T259" i="69"/>
  <c r="T258" i="69"/>
  <c r="T257" i="69"/>
  <c r="T256" i="69"/>
  <c r="T255" i="69"/>
  <c r="T254" i="69"/>
  <c r="T253" i="69"/>
  <c r="T252" i="69"/>
  <c r="T251" i="69"/>
  <c r="H212" i="69"/>
  <c r="H214" i="69"/>
  <c r="T246" i="69"/>
  <c r="T245" i="69"/>
  <c r="T244" i="69"/>
  <c r="T243" i="69"/>
  <c r="T242" i="69"/>
  <c r="T241" i="69"/>
  <c r="T240" i="69"/>
  <c r="T239" i="69"/>
  <c r="T238" i="69"/>
  <c r="T237" i="69"/>
  <c r="T236" i="69"/>
  <c r="T235" i="69"/>
  <c r="AD230" i="69"/>
  <c r="AC230" i="69"/>
  <c r="AB230" i="69"/>
  <c r="AA230" i="69"/>
  <c r="Z230" i="69"/>
  <c r="Y230" i="69"/>
  <c r="X230" i="69"/>
  <c r="W230" i="69"/>
  <c r="V230" i="69"/>
  <c r="U230" i="69"/>
  <c r="AD229" i="69"/>
  <c r="AC229" i="69"/>
  <c r="AB229" i="69"/>
  <c r="AA229" i="69"/>
  <c r="Z229" i="69"/>
  <c r="Y229" i="69"/>
  <c r="X229" i="69"/>
  <c r="W229" i="69"/>
  <c r="V229" i="69"/>
  <c r="U229" i="69"/>
  <c r="AD228" i="69"/>
  <c r="AC228" i="69"/>
  <c r="AB228" i="69"/>
  <c r="AA228" i="69"/>
  <c r="Z228" i="69"/>
  <c r="Y228" i="69"/>
  <c r="X228" i="69"/>
  <c r="W228" i="69"/>
  <c r="V228" i="69"/>
  <c r="U228" i="69"/>
  <c r="AD227" i="69"/>
  <c r="AC227" i="69"/>
  <c r="AB227" i="69"/>
  <c r="AA227" i="69"/>
  <c r="Z227" i="69"/>
  <c r="Y227" i="69"/>
  <c r="X227" i="69"/>
  <c r="W227" i="69"/>
  <c r="V227" i="69"/>
  <c r="U227" i="69"/>
  <c r="AD226" i="69"/>
  <c r="AC226" i="69"/>
  <c r="AB226" i="69"/>
  <c r="AA226" i="69"/>
  <c r="Z226" i="69"/>
  <c r="Y226" i="69"/>
  <c r="X226" i="69"/>
  <c r="W226" i="69"/>
  <c r="V226" i="69"/>
  <c r="U226" i="69"/>
  <c r="AD225" i="69"/>
  <c r="AC225" i="69"/>
  <c r="AB225" i="69"/>
  <c r="AA225" i="69"/>
  <c r="Z225" i="69"/>
  <c r="Y225" i="69"/>
  <c r="X225" i="69"/>
  <c r="W225" i="69"/>
  <c r="V225" i="69"/>
  <c r="U225" i="69"/>
  <c r="AD224" i="69"/>
  <c r="AC224" i="69"/>
  <c r="AB224" i="69"/>
  <c r="AA224" i="69"/>
  <c r="Z224" i="69"/>
  <c r="Y224" i="69"/>
  <c r="X224" i="69"/>
  <c r="W224" i="69"/>
  <c r="V224" i="69"/>
  <c r="U224" i="69"/>
  <c r="AD223" i="69"/>
  <c r="AC223" i="69"/>
  <c r="AB223" i="69"/>
  <c r="AA223" i="69"/>
  <c r="Z223" i="69"/>
  <c r="Y223" i="69"/>
  <c r="X223" i="69"/>
  <c r="W223" i="69"/>
  <c r="V223" i="69"/>
  <c r="U223" i="69"/>
  <c r="AD222" i="69"/>
  <c r="AC222" i="69"/>
  <c r="AB222" i="69"/>
  <c r="AA222" i="69"/>
  <c r="Z222" i="69"/>
  <c r="Y222" i="69"/>
  <c r="X222" i="69"/>
  <c r="W222" i="69"/>
  <c r="V222" i="69"/>
  <c r="U222" i="69"/>
  <c r="AD221" i="69"/>
  <c r="AC221" i="69"/>
  <c r="AB221" i="69"/>
  <c r="AA221" i="69"/>
  <c r="Z221" i="69"/>
  <c r="Y221" i="69"/>
  <c r="X221" i="69"/>
  <c r="W221" i="69"/>
  <c r="V221" i="69"/>
  <c r="U221" i="69"/>
  <c r="AD220" i="69"/>
  <c r="AC220" i="69"/>
  <c r="AB220" i="69"/>
  <c r="AA220" i="69"/>
  <c r="Z220" i="69"/>
  <c r="Y220" i="69"/>
  <c r="X220" i="69"/>
  <c r="W220" i="69"/>
  <c r="V220" i="69"/>
  <c r="U220" i="69"/>
  <c r="AD219" i="69"/>
  <c r="AC219" i="69"/>
  <c r="AB219" i="69"/>
  <c r="AA219" i="69"/>
  <c r="Z219" i="69"/>
  <c r="Y219" i="69"/>
  <c r="X219" i="69"/>
  <c r="W219" i="69"/>
  <c r="V219" i="69"/>
  <c r="U219" i="69"/>
  <c r="T230" i="69"/>
  <c r="T229" i="69"/>
  <c r="T228" i="69"/>
  <c r="T227" i="69"/>
  <c r="T226" i="69"/>
  <c r="T225" i="69"/>
  <c r="T224" i="69"/>
  <c r="T223" i="69"/>
  <c r="T222" i="69"/>
  <c r="T221" i="69"/>
  <c r="T220" i="69"/>
  <c r="T219" i="69"/>
  <c r="D246" i="69" a="1"/>
  <c r="D246" i="69" s="1"/>
  <c r="F249" i="69" a="1"/>
  <c r="F249" i="69" s="1"/>
  <c r="D242" i="69"/>
  <c r="D241" i="69"/>
  <c r="D240" i="69"/>
  <c r="D239" i="69"/>
  <c r="D238" i="69"/>
  <c r="D237" i="69"/>
  <c r="D236" i="69"/>
  <c r="D235" i="69"/>
  <c r="D204" i="69" a="1"/>
  <c r="D204" i="69" s="1"/>
  <c r="N230" i="69"/>
  <c r="M230" i="69"/>
  <c r="L230" i="69"/>
  <c r="K230" i="69"/>
  <c r="J230" i="69"/>
  <c r="I230" i="69"/>
  <c r="H230" i="69"/>
  <c r="G230" i="69"/>
  <c r="F230" i="69"/>
  <c r="E230" i="69"/>
  <c r="N229" i="69"/>
  <c r="M229" i="69"/>
  <c r="L229" i="69"/>
  <c r="K229" i="69"/>
  <c r="J229" i="69"/>
  <c r="I229" i="69"/>
  <c r="H229" i="69"/>
  <c r="G229" i="69"/>
  <c r="F229" i="69"/>
  <c r="E229" i="69"/>
  <c r="N228" i="69"/>
  <c r="M228" i="69"/>
  <c r="L228" i="69"/>
  <c r="K228" i="69"/>
  <c r="J228" i="69"/>
  <c r="I228" i="69"/>
  <c r="H228" i="69"/>
  <c r="G228" i="69"/>
  <c r="F228" i="69"/>
  <c r="E228" i="69"/>
  <c r="N227" i="69"/>
  <c r="M227" i="69"/>
  <c r="L227" i="69"/>
  <c r="K227" i="69"/>
  <c r="J227" i="69"/>
  <c r="I227" i="69"/>
  <c r="H227" i="69"/>
  <c r="G227" i="69"/>
  <c r="F227" i="69"/>
  <c r="E227" i="69"/>
  <c r="N222" i="69"/>
  <c r="M222" i="69"/>
  <c r="L222" i="69"/>
  <c r="K222" i="69"/>
  <c r="J222" i="69"/>
  <c r="I222" i="69"/>
  <c r="H222" i="69"/>
  <c r="G222" i="69"/>
  <c r="F222" i="69"/>
  <c r="E222" i="69"/>
  <c r="N221" i="69"/>
  <c r="M221" i="69"/>
  <c r="L221" i="69"/>
  <c r="K221" i="69"/>
  <c r="J221" i="69"/>
  <c r="I221" i="69"/>
  <c r="H221" i="69"/>
  <c r="G221" i="69"/>
  <c r="F221" i="69"/>
  <c r="E221" i="69"/>
  <c r="N220" i="69"/>
  <c r="M220" i="69"/>
  <c r="L220" i="69"/>
  <c r="K220" i="69"/>
  <c r="J220" i="69"/>
  <c r="I220" i="69"/>
  <c r="H220" i="69"/>
  <c r="G220" i="69"/>
  <c r="F220" i="69"/>
  <c r="E220" i="69"/>
  <c r="N219" i="69"/>
  <c r="M219" i="69"/>
  <c r="L219" i="69"/>
  <c r="K219" i="69"/>
  <c r="J219" i="69"/>
  <c r="I219" i="69"/>
  <c r="H219" i="69"/>
  <c r="G219" i="69"/>
  <c r="F219" i="69"/>
  <c r="E219" i="69"/>
  <c r="H213" i="69"/>
  <c r="D212" i="69" a="1"/>
  <c r="D212" i="69" s="1"/>
  <c r="E210" i="69" a="1"/>
  <c r="E210" i="69" s="1"/>
  <c r="AF268" i="69" s="1"/>
  <c r="E209" i="69" a="1"/>
  <c r="E209" i="69" s="1"/>
  <c r="D205" i="69" a="1"/>
  <c r="D205" i="69" s="1"/>
  <c r="T200" i="69"/>
  <c r="T199" i="69"/>
  <c r="T198" i="69"/>
  <c r="T197" i="69"/>
  <c r="T196" i="69"/>
  <c r="T195" i="69"/>
  <c r="T194" i="69"/>
  <c r="T193" i="69"/>
  <c r="T192" i="69"/>
  <c r="T188" i="69"/>
  <c r="T187" i="69"/>
  <c r="T186" i="69"/>
  <c r="T185" i="69"/>
  <c r="T184" i="69"/>
  <c r="T183" i="69"/>
  <c r="T182" i="69"/>
  <c r="T181" i="69"/>
  <c r="T191" i="69"/>
  <c r="T190" i="69"/>
  <c r="T189" i="69"/>
  <c r="T180" i="69"/>
  <c r="T179" i="69"/>
  <c r="T178" i="69"/>
  <c r="T177" i="69"/>
  <c r="D184" i="69"/>
  <c r="D183" i="69"/>
  <c r="D182" i="69"/>
  <c r="D180" i="69"/>
  <c r="D179" i="69"/>
  <c r="D178" i="69"/>
  <c r="D147" i="69" a="1"/>
  <c r="D147" i="69" s="1"/>
  <c r="D181" i="69"/>
  <c r="D177" i="69"/>
  <c r="G160" i="69"/>
  <c r="D172" i="69"/>
  <c r="D171" i="69"/>
  <c r="D166" i="69"/>
  <c r="D165" i="69"/>
  <c r="G157" i="69"/>
  <c r="G156" i="69"/>
  <c r="G159" i="69"/>
  <c r="D426" i="79" a="1"/>
  <c r="D426" i="79" s="1"/>
  <c r="G155" i="69" s="1"/>
  <c r="D425" i="79" a="1"/>
  <c r="D425" i="79" s="1"/>
  <c r="D424" i="79" a="1"/>
  <c r="D424" i="79" s="1"/>
  <c r="D423" i="79" a="1"/>
  <c r="D423" i="79" s="1"/>
  <c r="D422" i="79" a="1"/>
  <c r="D422" i="79" s="1"/>
  <c r="G154" i="69"/>
  <c r="D154" i="69" a="1"/>
  <c r="D154" i="69" s="1"/>
  <c r="E152" i="69" a="1"/>
  <c r="E152" i="69" s="1"/>
  <c r="AF194" i="69" s="1"/>
  <c r="E151" i="69" a="1"/>
  <c r="E151" i="69" s="1"/>
  <c r="D146" i="69" a="1"/>
  <c r="D146" i="69" s="1"/>
  <c r="T115" i="69"/>
  <c r="T131" i="69" s="1"/>
  <c r="U177" i="69" s="1"/>
  <c r="D177" i="70"/>
  <c r="D176" i="70"/>
  <c r="T125" i="69" s="1"/>
  <c r="T141" i="69" s="1"/>
  <c r="U187" i="69" s="1"/>
  <c r="D175" i="70"/>
  <c r="T124" i="69" s="1"/>
  <c r="T140" i="69" s="1"/>
  <c r="U186" i="69" s="1"/>
  <c r="D174" i="70"/>
  <c r="T123" i="69" s="1"/>
  <c r="T139" i="69" s="1"/>
  <c r="D173" i="70"/>
  <c r="T122" i="69" s="1"/>
  <c r="T138" i="69" s="1"/>
  <c r="D172" i="70"/>
  <c r="T121" i="69" s="1"/>
  <c r="T137" i="69" s="1"/>
  <c r="D171" i="70"/>
  <c r="T120" i="69" s="1"/>
  <c r="T136" i="69" s="1"/>
  <c r="D170" i="70"/>
  <c r="T119" i="69" s="1"/>
  <c r="T135" i="69" s="1"/>
  <c r="D169" i="70"/>
  <c r="T118" i="69" s="1"/>
  <c r="T134" i="69" s="1"/>
  <c r="U180" i="69" s="1"/>
  <c r="D168" i="70"/>
  <c r="T117" i="69" s="1"/>
  <c r="T133" i="69" s="1"/>
  <c r="U179" i="69" s="1"/>
  <c r="D167" i="70"/>
  <c r="T116" i="69" s="1"/>
  <c r="T132" i="69" s="1"/>
  <c r="U178" i="69" s="1"/>
  <c r="D166" i="70"/>
  <c r="D155" i="70"/>
  <c r="D154" i="70"/>
  <c r="D153" i="70"/>
  <c r="D152" i="70"/>
  <c r="D151" i="70"/>
  <c r="D150" i="70"/>
  <c r="D149" i="70"/>
  <c r="D148" i="70"/>
  <c r="D147" i="70"/>
  <c r="D146" i="70"/>
  <c r="D145" i="70"/>
  <c r="D144" i="70"/>
  <c r="G109" i="69"/>
  <c r="D420" i="79" a="1"/>
  <c r="D420" i="79" s="1"/>
  <c r="G110" i="69" s="1"/>
  <c r="D419" i="79" a="1"/>
  <c r="D419" i="79" s="1"/>
  <c r="D418" i="79" a="1"/>
  <c r="D418" i="79" s="1"/>
  <c r="D417" i="79" a="1"/>
  <c r="D417" i="79" s="1"/>
  <c r="D416" i="79" a="1"/>
  <c r="D416" i="79" s="1"/>
  <c r="G108" i="69"/>
  <c r="T95" i="69"/>
  <c r="T94" i="69"/>
  <c r="T93" i="69"/>
  <c r="T92" i="69"/>
  <c r="T91" i="69"/>
  <c r="T90" i="69"/>
  <c r="T89" i="69"/>
  <c r="T88" i="69"/>
  <c r="T87" i="69"/>
  <c r="T86" i="69"/>
  <c r="T85" i="69"/>
  <c r="T84" i="69"/>
  <c r="T79" i="69"/>
  <c r="T78" i="69"/>
  <c r="T77" i="69"/>
  <c r="T76" i="69"/>
  <c r="T75" i="69"/>
  <c r="T74" i="69"/>
  <c r="T73" i="69"/>
  <c r="T72" i="69"/>
  <c r="T71" i="69"/>
  <c r="T70" i="69"/>
  <c r="T69" i="69"/>
  <c r="T68" i="69"/>
  <c r="G131" i="70"/>
  <c r="W25" i="69" s="1"/>
  <c r="W95" i="76" s="1"/>
  <c r="F131" i="70"/>
  <c r="V25" i="69" s="1"/>
  <c r="V95" i="76" s="1"/>
  <c r="G130" i="70"/>
  <c r="W24" i="69" s="1"/>
  <c r="W94" i="76" s="1"/>
  <c r="F130" i="70"/>
  <c r="V24" i="69" s="1"/>
  <c r="V94" i="76" s="1"/>
  <c r="G129" i="70"/>
  <c r="W23" i="69" s="1"/>
  <c r="W93" i="76" s="1"/>
  <c r="F129" i="70"/>
  <c r="V23" i="69" s="1"/>
  <c r="V93" i="76" s="1"/>
  <c r="G128" i="70"/>
  <c r="W22" i="69" s="1"/>
  <c r="W92" i="76" s="1"/>
  <c r="F128" i="70"/>
  <c r="V22" i="69" s="1"/>
  <c r="V92" i="76" s="1"/>
  <c r="E131" i="70"/>
  <c r="U25" i="69" s="1"/>
  <c r="U95" i="76" s="1"/>
  <c r="E130" i="70"/>
  <c r="U24" i="69" s="1"/>
  <c r="U94" i="76" s="1"/>
  <c r="E129" i="70"/>
  <c r="U23" i="69" s="1"/>
  <c r="U93" i="76" s="1"/>
  <c r="E128" i="70"/>
  <c r="T63" i="69"/>
  <c r="T62" i="69"/>
  <c r="T61" i="69"/>
  <c r="T60" i="69"/>
  <c r="T59" i="69"/>
  <c r="T58" i="69"/>
  <c r="T57" i="69"/>
  <c r="T56" i="69"/>
  <c r="T55" i="69"/>
  <c r="T54" i="69"/>
  <c r="T53" i="69"/>
  <c r="T52" i="69"/>
  <c r="H14" i="69"/>
  <c r="D13" i="69" a="1"/>
  <c r="D13" i="69" s="1"/>
  <c r="H13" i="69"/>
  <c r="J13" i="69" a="1"/>
  <c r="J13" i="69" s="1"/>
  <c r="E136" i="76" a="1"/>
  <c r="E206" i="69" a="1"/>
  <c r="E148" i="69" a="1"/>
  <c r="E39" i="69" a="1"/>
  <c r="E72" i="76" a="1"/>
  <c r="E42" i="76" a="1"/>
  <c r="E218" i="76" a="1"/>
  <c r="E104" i="76" a="1"/>
  <c r="E101" i="69" a="1"/>
  <c r="E178" i="76" a="1"/>
  <c r="E7" i="76" a="1"/>
  <c r="U22" i="69" l="1"/>
  <c r="U92" i="76" s="1"/>
  <c r="U196" i="69"/>
  <c r="U184" i="69"/>
  <c r="U185" i="69"/>
  <c r="U197" i="69"/>
  <c r="U195" i="69"/>
  <c r="U183" i="69"/>
  <c r="U193" i="69"/>
  <c r="U181" i="69"/>
  <c r="U182" i="69"/>
  <c r="U194" i="69"/>
  <c r="T126" i="69"/>
  <c r="T142" i="69" s="1"/>
  <c r="U188" i="69" s="1"/>
  <c r="U198" i="69"/>
  <c r="U199" i="69"/>
  <c r="U200" i="69"/>
  <c r="U189" i="69"/>
  <c r="U190" i="69"/>
  <c r="U191" i="69"/>
  <c r="U192" i="69"/>
  <c r="P183" i="69"/>
  <c r="AF185" i="69"/>
  <c r="P177" i="69"/>
  <c r="AF255" i="69"/>
  <c r="AF190" i="69"/>
  <c r="AF256" i="69"/>
  <c r="AF195" i="69"/>
  <c r="AF264" i="69"/>
  <c r="AF193" i="69"/>
  <c r="AF257" i="69"/>
  <c r="AF196" i="69"/>
  <c r="AF267" i="69"/>
  <c r="AF189" i="69"/>
  <c r="AF253" i="69"/>
  <c r="AF197" i="69"/>
  <c r="AF181" i="69"/>
  <c r="AF198" i="69"/>
  <c r="P238" i="69"/>
  <c r="AF270" i="69"/>
  <c r="P184" i="69"/>
  <c r="AF187" i="69"/>
  <c r="AF188" i="69"/>
  <c r="AF179" i="69"/>
  <c r="AF269" i="69"/>
  <c r="AF182" i="69"/>
  <c r="AF199" i="69"/>
  <c r="P239" i="69"/>
  <c r="AF271" i="69"/>
  <c r="P236" i="69"/>
  <c r="P180" i="69"/>
  <c r="AF183" i="69"/>
  <c r="AF200" i="69"/>
  <c r="P240" i="69"/>
  <c r="AF186" i="69"/>
  <c r="P182" i="69"/>
  <c r="AF184" i="69"/>
  <c r="P242" i="69"/>
  <c r="AF259" i="69"/>
  <c r="AF273" i="69"/>
  <c r="P178" i="69"/>
  <c r="AF177" i="69"/>
  <c r="AF191" i="69"/>
  <c r="AF260" i="69"/>
  <c r="AF274" i="69"/>
  <c r="P179" i="69"/>
  <c r="AF178" i="69"/>
  <c r="AF192" i="69"/>
  <c r="F244" i="69"/>
  <c r="AF261" i="69"/>
  <c r="P241" i="69"/>
  <c r="AF258" i="69"/>
  <c r="AF272" i="69"/>
  <c r="AF262" i="69"/>
  <c r="P181" i="69"/>
  <c r="AF180" i="69"/>
  <c r="AF263" i="69"/>
  <c r="AF251" i="69"/>
  <c r="AF265" i="69"/>
  <c r="P235" i="69"/>
  <c r="AF252" i="69"/>
  <c r="AF266" i="69"/>
  <c r="P237" i="69"/>
  <c r="AF254" i="69"/>
  <c r="O95" i="76"/>
  <c r="AE38" i="76"/>
  <c r="AE103" i="76"/>
  <c r="AE39" i="76"/>
  <c r="AE106" i="76"/>
  <c r="O64" i="76"/>
  <c r="AE40" i="76"/>
  <c r="AE109" i="76"/>
  <c r="O63" i="76"/>
  <c r="AE72" i="76"/>
  <c r="O65" i="76"/>
  <c r="AE77" i="76"/>
  <c r="AE83" i="76"/>
  <c r="O96" i="76"/>
  <c r="AE80" i="76"/>
  <c r="O97" i="76"/>
  <c r="AE100" i="76"/>
  <c r="AE74" i="76"/>
  <c r="AE101" i="76"/>
  <c r="AE141" i="76"/>
  <c r="AE139" i="76"/>
  <c r="AE140" i="76"/>
  <c r="AE147" i="76"/>
  <c r="AE145" i="76"/>
  <c r="AE144" i="76"/>
  <c r="AE138" i="76"/>
  <c r="AE136" i="76"/>
  <c r="O130" i="76"/>
  <c r="AE143" i="76"/>
  <c r="AE137" i="76"/>
  <c r="O127" i="76"/>
  <c r="O129" i="76"/>
  <c r="O128" i="76"/>
  <c r="AE146" i="76"/>
  <c r="AE142" i="76"/>
  <c r="O171" i="76"/>
  <c r="AE203" i="76"/>
  <c r="AE254" i="76"/>
  <c r="AE255" i="76"/>
  <c r="V257" i="76"/>
  <c r="AE73" i="76"/>
  <c r="AE102" i="76"/>
  <c r="AE193" i="76"/>
  <c r="AE244" i="76"/>
  <c r="V263" i="76"/>
  <c r="O207" i="76"/>
  <c r="AE75" i="76"/>
  <c r="AE104" i="76"/>
  <c r="AE195" i="76"/>
  <c r="AE246" i="76"/>
  <c r="AE45" i="76"/>
  <c r="O98" i="76"/>
  <c r="O208" i="76"/>
  <c r="AE76" i="76"/>
  <c r="AE105" i="76"/>
  <c r="AE196" i="76"/>
  <c r="AE247" i="76"/>
  <c r="AE197" i="76"/>
  <c r="AE248" i="76"/>
  <c r="AE43" i="76"/>
  <c r="AE46" i="76"/>
  <c r="O209" i="76"/>
  <c r="AE47" i="76"/>
  <c r="O210" i="76"/>
  <c r="AE78" i="76"/>
  <c r="AE107" i="76"/>
  <c r="AE198" i="76"/>
  <c r="AE249" i="76"/>
  <c r="O172" i="76"/>
  <c r="AE192" i="76"/>
  <c r="AE42" i="76"/>
  <c r="O33" i="76"/>
  <c r="F212" i="76"/>
  <c r="AE79" i="76"/>
  <c r="AE108" i="76"/>
  <c r="AE199" i="76"/>
  <c r="AE250" i="76"/>
  <c r="AE200" i="76"/>
  <c r="AE251" i="76"/>
  <c r="AE41" i="76"/>
  <c r="O35" i="76"/>
  <c r="AE36" i="76"/>
  <c r="O169" i="76"/>
  <c r="AE81" i="76"/>
  <c r="AE110" i="76"/>
  <c r="AE201" i="76"/>
  <c r="AE252" i="76"/>
  <c r="AE194" i="76"/>
  <c r="AE245" i="76"/>
  <c r="AE44" i="76"/>
  <c r="O34" i="76"/>
  <c r="O36" i="76"/>
  <c r="O62" i="76"/>
  <c r="O170" i="76"/>
  <c r="E218" i="76"/>
  <c r="E178" i="76"/>
  <c r="E136" i="76"/>
  <c r="E104" i="76"/>
  <c r="E72" i="76"/>
  <c r="E42" i="76"/>
  <c r="E7" i="76"/>
  <c r="E206" i="69"/>
  <c r="E148" i="69"/>
  <c r="E101" i="69"/>
  <c r="E39" i="69"/>
  <c r="G46" i="69" l="1"/>
  <c r="G45" i="69"/>
  <c r="D71" i="69"/>
  <c r="D70" i="69"/>
  <c r="D69" i="69"/>
  <c r="D68" i="69"/>
  <c r="D55" i="69"/>
  <c r="D54" i="69"/>
  <c r="D53" i="69"/>
  <c r="D52" i="69"/>
  <c r="G47" i="69"/>
  <c r="D45" i="69" a="1"/>
  <c r="D45" i="69" s="1"/>
  <c r="E43" i="69" a="1"/>
  <c r="E43" i="69" s="1"/>
  <c r="E42" i="69" a="1"/>
  <c r="E42" i="69" s="1"/>
  <c r="D38" i="69" a="1"/>
  <c r="D38" i="69" s="1"/>
  <c r="D37" i="69" a="1"/>
  <c r="D37" i="69" s="1"/>
  <c r="D22" i="69"/>
  <c r="D87" i="76" s="1"/>
  <c r="D23" i="69"/>
  <c r="D88" i="76" s="1"/>
  <c r="H17" i="69"/>
  <c r="G413" i="79" a="1"/>
  <c r="G413" i="79" s="1"/>
  <c r="F413" i="79" a="1"/>
  <c r="F413" i="79" s="1"/>
  <c r="E413" i="79" a="1"/>
  <c r="E413" i="79" s="1"/>
  <c r="D413" i="79" a="1"/>
  <c r="D413" i="79" s="1"/>
  <c r="G412" i="79" a="1"/>
  <c r="G412" i="79" s="1"/>
  <c r="F412" i="79" a="1"/>
  <c r="F412" i="79" s="1"/>
  <c r="E412" i="79" a="1"/>
  <c r="E412" i="79" s="1"/>
  <c r="D412" i="79" a="1"/>
  <c r="D412" i="79" s="1"/>
  <c r="G411" i="79" a="1"/>
  <c r="G411" i="79" s="1"/>
  <c r="F411" i="79" a="1"/>
  <c r="F411" i="79" s="1"/>
  <c r="E411" i="79" a="1"/>
  <c r="E411" i="79" s="1"/>
  <c r="D411" i="79" a="1"/>
  <c r="D411" i="79" s="1"/>
  <c r="G410" i="79" a="1"/>
  <c r="G410" i="79" s="1"/>
  <c r="F410" i="79" a="1"/>
  <c r="F410" i="79" s="1"/>
  <c r="E410" i="79" a="1"/>
  <c r="E410" i="79" s="1"/>
  <c r="D410" i="79" a="1"/>
  <c r="D410" i="79" s="1"/>
  <c r="G409" i="79" a="1"/>
  <c r="G409" i="79" s="1"/>
  <c r="F409" i="79" a="1"/>
  <c r="F409" i="79" s="1"/>
  <c r="E409" i="79" a="1"/>
  <c r="E409" i="79" s="1"/>
  <c r="D409" i="79" a="1"/>
  <c r="D409" i="79" s="1"/>
  <c r="G408" i="79" a="1"/>
  <c r="G408" i="79" s="1"/>
  <c r="F408" i="79" a="1"/>
  <c r="F408" i="79" s="1"/>
  <c r="E408" i="79" a="1"/>
  <c r="E408" i="79" s="1"/>
  <c r="D408" i="79" a="1"/>
  <c r="D408" i="79" s="1"/>
  <c r="G407" i="79" a="1"/>
  <c r="G407" i="79" s="1"/>
  <c r="F407" i="79" a="1"/>
  <c r="F407" i="79" s="1"/>
  <c r="E407" i="79" a="1"/>
  <c r="E407" i="79" s="1"/>
  <c r="D407" i="79" a="1"/>
  <c r="D407" i="79" s="1"/>
  <c r="G406" i="79" a="1"/>
  <c r="G406" i="79" s="1"/>
  <c r="F406" i="79" a="1"/>
  <c r="F406" i="79" s="1"/>
  <c r="E406" i="79" a="1"/>
  <c r="E406" i="79" s="1"/>
  <c r="D406" i="79" a="1"/>
  <c r="D406" i="79" s="1"/>
  <c r="G405" i="79" a="1"/>
  <c r="G405" i="79" s="1"/>
  <c r="F405" i="79" a="1"/>
  <c r="F405" i="79" s="1"/>
  <c r="E405" i="79" a="1"/>
  <c r="E405" i="79" s="1"/>
  <c r="D405" i="79" a="1"/>
  <c r="D405" i="79" s="1"/>
  <c r="G404" i="79" a="1"/>
  <c r="G404" i="79" s="1"/>
  <c r="F404" i="79" a="1"/>
  <c r="F404" i="79" s="1"/>
  <c r="E404" i="79" a="1"/>
  <c r="E404" i="79" s="1"/>
  <c r="D404" i="79" a="1"/>
  <c r="D404" i="79" s="1"/>
  <c r="G403" i="79" a="1"/>
  <c r="G403" i="79" s="1"/>
  <c r="F403" i="79" a="1"/>
  <c r="F403" i="79" s="1"/>
  <c r="E403" i="79" a="1"/>
  <c r="E403" i="79" s="1"/>
  <c r="D403" i="79" a="1"/>
  <c r="D403" i="79" s="1"/>
  <c r="G402" i="79" a="1"/>
  <c r="G402" i="79" s="1"/>
  <c r="F402" i="79" a="1"/>
  <c r="F402" i="79" s="1"/>
  <c r="E402" i="79" a="1"/>
  <c r="E402" i="79" s="1"/>
  <c r="D402" i="79" a="1"/>
  <c r="D402" i="79" s="1"/>
  <c r="G401" i="79" a="1"/>
  <c r="G401" i="79" s="1"/>
  <c r="F401" i="79" a="1"/>
  <c r="F401" i="79" s="1"/>
  <c r="E401" i="79" a="1"/>
  <c r="E401" i="79" s="1"/>
  <c r="D401" i="79" a="1"/>
  <c r="D401" i="79" s="1"/>
  <c r="G400" i="79" a="1"/>
  <c r="G400" i="79" s="1"/>
  <c r="F400" i="79" a="1"/>
  <c r="F400" i="79" s="1"/>
  <c r="E400" i="79" a="1"/>
  <c r="E400" i="79" s="1"/>
  <c r="D400" i="79" a="1"/>
  <c r="D400" i="79" s="1"/>
  <c r="G399" i="79" a="1"/>
  <c r="G399" i="79" s="1"/>
  <c r="F399" i="79" a="1"/>
  <c r="F399" i="79" s="1"/>
  <c r="E399" i="79" a="1"/>
  <c r="E399" i="79" s="1"/>
  <c r="D399" i="79" a="1"/>
  <c r="D399" i="79" s="1"/>
  <c r="D397" i="79" a="1"/>
  <c r="D397" i="79" s="1"/>
  <c r="D396" i="79" a="1"/>
  <c r="D396" i="79" s="1"/>
  <c r="D395" i="79" a="1"/>
  <c r="D395" i="79" s="1"/>
  <c r="D394" i="79" a="1"/>
  <c r="D394" i="79" s="1"/>
  <c r="D393" i="79" a="1"/>
  <c r="D393" i="79" s="1"/>
  <c r="D390" i="79" a="1"/>
  <c r="D390" i="79" s="1"/>
  <c r="E390" i="79" a="1"/>
  <c r="E390" i="79" s="1"/>
  <c r="F390" i="79" a="1"/>
  <c r="F390" i="79" s="1"/>
  <c r="G390" i="79" a="1"/>
  <c r="G390" i="79" s="1"/>
  <c r="D389" i="79" a="1"/>
  <c r="D389" i="79" s="1"/>
  <c r="E389" i="79" a="1"/>
  <c r="E389" i="79" s="1"/>
  <c r="F389" i="79" a="1"/>
  <c r="F389" i="79" s="1"/>
  <c r="G389" i="79" a="1"/>
  <c r="G389" i="79" s="1"/>
  <c r="D388" i="79" a="1"/>
  <c r="D388" i="79" s="1"/>
  <c r="E388" i="79" a="1"/>
  <c r="E388" i="79" s="1"/>
  <c r="F388" i="79" a="1"/>
  <c r="F388" i="79" s="1"/>
  <c r="G388" i="79" a="1"/>
  <c r="G388" i="79" s="1"/>
  <c r="D387" i="79" a="1"/>
  <c r="D387" i="79" s="1"/>
  <c r="E387" i="79" a="1"/>
  <c r="E387" i="79" s="1"/>
  <c r="F387" i="79" a="1"/>
  <c r="F387" i="79" s="1"/>
  <c r="G387" i="79" a="1"/>
  <c r="G387" i="79" s="1"/>
  <c r="D386" i="79" a="1"/>
  <c r="D386" i="79" s="1"/>
  <c r="E386" i="79" a="1"/>
  <c r="E386" i="79" s="1"/>
  <c r="F386" i="79" a="1"/>
  <c r="F386" i="79" s="1"/>
  <c r="G386" i="79" a="1"/>
  <c r="G386" i="79" s="1"/>
  <c r="D385" i="79" a="1"/>
  <c r="D385" i="79" s="1"/>
  <c r="E385" i="79" a="1"/>
  <c r="E385" i="79" s="1"/>
  <c r="F385" i="79" a="1"/>
  <c r="F385" i="79" s="1"/>
  <c r="G385" i="79" a="1"/>
  <c r="G385" i="79" s="1"/>
  <c r="D384" i="79" a="1"/>
  <c r="D384" i="79" s="1"/>
  <c r="E384" i="79" a="1"/>
  <c r="E384" i="79" s="1"/>
  <c r="F384" i="79" a="1"/>
  <c r="F384" i="79" s="1"/>
  <c r="G384" i="79" a="1"/>
  <c r="G384" i="79" s="1"/>
  <c r="D383" i="79" a="1"/>
  <c r="D383" i="79" s="1"/>
  <c r="E383" i="79" a="1"/>
  <c r="E383" i="79" s="1"/>
  <c r="F383" i="79" a="1"/>
  <c r="F383" i="79" s="1"/>
  <c r="G383" i="79" a="1"/>
  <c r="G383" i="79" s="1"/>
  <c r="D382" i="79" a="1"/>
  <c r="D382" i="79" s="1"/>
  <c r="E382" i="79" a="1"/>
  <c r="E382" i="79" s="1"/>
  <c r="F382" i="79" a="1"/>
  <c r="F382" i="79" s="1"/>
  <c r="G382" i="79" a="1"/>
  <c r="G382" i="79" s="1"/>
  <c r="D381" i="79" a="1"/>
  <c r="D381" i="79" s="1"/>
  <c r="E381" i="79" a="1"/>
  <c r="E381" i="79" s="1"/>
  <c r="F381" i="79" a="1"/>
  <c r="F381" i="79" s="1"/>
  <c r="G381" i="79" a="1"/>
  <c r="G381" i="79" s="1"/>
  <c r="D380" i="79" a="1"/>
  <c r="D380" i="79" s="1"/>
  <c r="E380" i="79" a="1"/>
  <c r="E380" i="79" s="1"/>
  <c r="F380" i="79" a="1"/>
  <c r="F380" i="79" s="1"/>
  <c r="G380" i="79" a="1"/>
  <c r="G380" i="79" s="1"/>
  <c r="D379" i="79" a="1"/>
  <c r="D379" i="79" s="1"/>
  <c r="E379" i="79" a="1"/>
  <c r="E379" i="79" s="1"/>
  <c r="F379" i="79" a="1"/>
  <c r="F379" i="79" s="1"/>
  <c r="G379" i="79" a="1"/>
  <c r="G379" i="79" s="1"/>
  <c r="D378" i="79" a="1"/>
  <c r="D378" i="79" s="1"/>
  <c r="E378" i="79" a="1"/>
  <c r="E378" i="79" s="1"/>
  <c r="F378" i="79" a="1"/>
  <c r="F378" i="79" s="1"/>
  <c r="G378" i="79" a="1"/>
  <c r="G378" i="79" s="1"/>
  <c r="D377" i="79" a="1"/>
  <c r="D377" i="79" s="1"/>
  <c r="E377" i="79" a="1"/>
  <c r="E377" i="79" s="1"/>
  <c r="F377" i="79" a="1"/>
  <c r="F377" i="79" s="1"/>
  <c r="G377" i="79" a="1"/>
  <c r="G377" i="79" s="1"/>
  <c r="G376" i="79" a="1"/>
  <c r="G376" i="79" s="1"/>
  <c r="F376" i="79" a="1"/>
  <c r="F376" i="79" s="1"/>
  <c r="E376" i="79" a="1"/>
  <c r="E376" i="79" s="1"/>
  <c r="D376" i="79" a="1"/>
  <c r="D376" i="79" s="1"/>
  <c r="D374" i="79" a="1"/>
  <c r="D374" i="79" s="1"/>
  <c r="D373" i="79" a="1"/>
  <c r="D373" i="79" s="1"/>
  <c r="D372" i="79" a="1"/>
  <c r="D372" i="79" s="1"/>
  <c r="D371" i="79" a="1"/>
  <c r="D371" i="79" s="1"/>
  <c r="D370" i="79" a="1"/>
  <c r="D370" i="79" s="1"/>
  <c r="D356" i="79" a="1"/>
  <c r="D356" i="79" s="1"/>
  <c r="D367" i="79" s="1"/>
  <c r="E356" i="79" a="1"/>
  <c r="E356" i="79" s="1"/>
  <c r="E367" i="79" s="1"/>
  <c r="F356" i="79" a="1"/>
  <c r="F356" i="79" s="1"/>
  <c r="F367" i="79" s="1"/>
  <c r="G356" i="79" a="1"/>
  <c r="G356" i="79" s="1"/>
  <c r="G367" i="79" s="1"/>
  <c r="H356" i="79" a="1"/>
  <c r="H356" i="79" s="1"/>
  <c r="H367" i="79" s="1"/>
  <c r="I356" i="79" a="1"/>
  <c r="I356" i="79" s="1"/>
  <c r="I367" i="79" s="1"/>
  <c r="J356" i="79" a="1"/>
  <c r="J356" i="79" s="1"/>
  <c r="K367" i="79" s="1"/>
  <c r="K356" i="79" a="1"/>
  <c r="K356" i="79" s="1"/>
  <c r="N367" i="79" s="1"/>
  <c r="L356" i="79" a="1"/>
  <c r="L356" i="79" s="1"/>
  <c r="O367" i="79" s="1"/>
  <c r="D355" i="79" a="1"/>
  <c r="D355" i="79" s="1"/>
  <c r="D366" i="79" s="1"/>
  <c r="E355" i="79" a="1"/>
  <c r="E355" i="79" s="1"/>
  <c r="E366" i="79" s="1"/>
  <c r="F355" i="79" a="1"/>
  <c r="F355" i="79" s="1"/>
  <c r="F366" i="79" s="1"/>
  <c r="G355" i="79" a="1"/>
  <c r="G355" i="79" s="1"/>
  <c r="G366" i="79" s="1"/>
  <c r="H355" i="79" a="1"/>
  <c r="H355" i="79" s="1"/>
  <c r="H366" i="79" s="1"/>
  <c r="I355" i="79" a="1"/>
  <c r="I355" i="79" s="1"/>
  <c r="I366" i="79" s="1"/>
  <c r="J355" i="79" a="1"/>
  <c r="J355" i="79" s="1"/>
  <c r="K366" i="79" s="1"/>
  <c r="K355" i="79" a="1"/>
  <c r="K355" i="79" s="1"/>
  <c r="M366" i="79" s="1"/>
  <c r="L355" i="79" a="1"/>
  <c r="L355" i="79" s="1"/>
  <c r="O366" i="79" s="1"/>
  <c r="D354" i="79" a="1"/>
  <c r="D354" i="79" s="1"/>
  <c r="D365" i="79" s="1"/>
  <c r="E354" i="79" a="1"/>
  <c r="E354" i="79" s="1"/>
  <c r="E365" i="79" s="1"/>
  <c r="F354" i="79" a="1"/>
  <c r="F354" i="79" s="1"/>
  <c r="F365" i="79" s="1"/>
  <c r="G354" i="79" a="1"/>
  <c r="G354" i="79" s="1"/>
  <c r="G365" i="79" s="1"/>
  <c r="H354" i="79" a="1"/>
  <c r="H354" i="79" s="1"/>
  <c r="H365" i="79" s="1"/>
  <c r="I354" i="79" a="1"/>
  <c r="I354" i="79" s="1"/>
  <c r="J365" i="79" s="1"/>
  <c r="J354" i="79" a="1"/>
  <c r="J354" i="79" s="1"/>
  <c r="K365" i="79" s="1"/>
  <c r="K354" i="79" a="1"/>
  <c r="K354" i="79" s="1"/>
  <c r="L365" i="79" s="1"/>
  <c r="L354" i="79" a="1"/>
  <c r="L354" i="79" s="1"/>
  <c r="O365" i="79" s="1"/>
  <c r="D353" i="79" a="1"/>
  <c r="D353" i="79" s="1"/>
  <c r="D364" i="79" s="1"/>
  <c r="E353" i="79" a="1"/>
  <c r="E353" i="79" s="1"/>
  <c r="E364" i="79" s="1"/>
  <c r="F353" i="79" a="1"/>
  <c r="F353" i="79" s="1"/>
  <c r="F364" i="79" s="1"/>
  <c r="G353" i="79" a="1"/>
  <c r="G353" i="79" s="1"/>
  <c r="G364" i="79" s="1"/>
  <c r="H353" i="79" a="1"/>
  <c r="H353" i="79" s="1"/>
  <c r="H364" i="79" s="1"/>
  <c r="I353" i="79" a="1"/>
  <c r="I353" i="79" s="1"/>
  <c r="J364" i="79" s="1"/>
  <c r="J353" i="79" a="1"/>
  <c r="J353" i="79" s="1"/>
  <c r="K364" i="79" s="1"/>
  <c r="K353" i="79" a="1"/>
  <c r="K353" i="79" s="1"/>
  <c r="L364" i="79" s="1"/>
  <c r="L353" i="79" a="1"/>
  <c r="L353" i="79" s="1"/>
  <c r="O364" i="79" s="1"/>
  <c r="D352" i="79" a="1"/>
  <c r="D352" i="79" s="1"/>
  <c r="D363" i="79" s="1"/>
  <c r="E352" i="79" a="1"/>
  <c r="E352" i="79" s="1"/>
  <c r="E363" i="79" s="1"/>
  <c r="F352" i="79" a="1"/>
  <c r="F352" i="79" s="1"/>
  <c r="F363" i="79" s="1"/>
  <c r="G352" i="79" a="1"/>
  <c r="G352" i="79" s="1"/>
  <c r="G363" i="79" s="1"/>
  <c r="H352" i="79" a="1"/>
  <c r="H352" i="79" s="1"/>
  <c r="H363" i="79" s="1"/>
  <c r="I352" i="79" a="1"/>
  <c r="I352" i="79" s="1"/>
  <c r="I363" i="79" s="1"/>
  <c r="J352" i="79" a="1"/>
  <c r="J352" i="79" s="1"/>
  <c r="K363" i="79" s="1"/>
  <c r="K352" i="79" a="1"/>
  <c r="K352" i="79" s="1"/>
  <c r="M363" i="79" s="1"/>
  <c r="L352" i="79" a="1"/>
  <c r="L352" i="79" s="1"/>
  <c r="O363" i="79" s="1"/>
  <c r="D351" i="79" a="1"/>
  <c r="D351" i="79" s="1"/>
  <c r="D362" i="79" s="1"/>
  <c r="E351" i="79" a="1"/>
  <c r="E351" i="79" s="1"/>
  <c r="E362" i="79" s="1"/>
  <c r="F351" i="79" a="1"/>
  <c r="F351" i="79" s="1"/>
  <c r="F362" i="79" s="1"/>
  <c r="G351" i="79" a="1"/>
  <c r="G351" i="79" s="1"/>
  <c r="G362" i="79" s="1"/>
  <c r="H351" i="79" a="1"/>
  <c r="H351" i="79" s="1"/>
  <c r="H362" i="79" s="1"/>
  <c r="I351" i="79" a="1"/>
  <c r="I351" i="79" s="1"/>
  <c r="I362" i="79" s="1"/>
  <c r="J351" i="79" a="1"/>
  <c r="J351" i="79" s="1"/>
  <c r="K362" i="79" s="1"/>
  <c r="K351" i="79" a="1"/>
  <c r="K351" i="79" s="1"/>
  <c r="N362" i="79" s="1"/>
  <c r="L351" i="79" a="1"/>
  <c r="L351" i="79" s="1"/>
  <c r="O362" i="79" s="1"/>
  <c r="D350" i="79" a="1"/>
  <c r="D350" i="79" s="1"/>
  <c r="D361" i="79" s="1"/>
  <c r="E350" i="79" a="1"/>
  <c r="E350" i="79" s="1"/>
  <c r="E361" i="79" s="1"/>
  <c r="F350" i="79" a="1"/>
  <c r="F350" i="79" s="1"/>
  <c r="F361" i="79" s="1"/>
  <c r="G350" i="79" a="1"/>
  <c r="G350" i="79" s="1"/>
  <c r="G361" i="79" s="1"/>
  <c r="H350" i="79" a="1"/>
  <c r="H350" i="79" s="1"/>
  <c r="H361" i="79" s="1"/>
  <c r="I350" i="79" a="1"/>
  <c r="I350" i="79" s="1"/>
  <c r="J361" i="79" s="1"/>
  <c r="J350" i="79" a="1"/>
  <c r="J350" i="79" s="1"/>
  <c r="K361" i="79" s="1"/>
  <c r="K350" i="79" a="1"/>
  <c r="K350" i="79" s="1"/>
  <c r="N361" i="79" s="1"/>
  <c r="L350" i="79" a="1"/>
  <c r="L350" i="79" s="1"/>
  <c r="O361" i="79" s="1"/>
  <c r="L349" i="79" a="1"/>
  <c r="L349" i="79" s="1"/>
  <c r="O360" i="79" s="1"/>
  <c r="K349" i="79" a="1"/>
  <c r="K349" i="79" s="1"/>
  <c r="N360" i="79" s="1"/>
  <c r="J349" i="79" a="1"/>
  <c r="J349" i="79" s="1"/>
  <c r="K360" i="79" s="1"/>
  <c r="I349" i="79" a="1"/>
  <c r="I349" i="79" s="1"/>
  <c r="J360" i="79" s="1"/>
  <c r="H349" i="79" a="1"/>
  <c r="H349" i="79" s="1"/>
  <c r="H360" i="79" s="1"/>
  <c r="G349" i="79" a="1"/>
  <c r="G349" i="79" s="1"/>
  <c r="G360" i="79" s="1"/>
  <c r="F349" i="79" a="1"/>
  <c r="F349" i="79" s="1"/>
  <c r="F360" i="79" s="1"/>
  <c r="E349" i="79" a="1"/>
  <c r="E349" i="79" s="1"/>
  <c r="E360" i="79" s="1"/>
  <c r="D349" i="79" a="1"/>
  <c r="D349" i="79" s="1"/>
  <c r="D360" i="79" s="1"/>
  <c r="D347" i="79" a="1"/>
  <c r="D347" i="79" s="1"/>
  <c r="D346" i="79" a="1"/>
  <c r="D346" i="79" s="1"/>
  <c r="D345" i="79" a="1"/>
  <c r="D345" i="79" s="1"/>
  <c r="D344" i="79" a="1"/>
  <c r="D344" i="79" s="1"/>
  <c r="D343" i="79" a="1"/>
  <c r="D343" i="79" s="1"/>
  <c r="D340" i="79" a="1"/>
  <c r="D340" i="79" s="1"/>
  <c r="E340" i="79" a="1"/>
  <c r="E340" i="79" s="1"/>
  <c r="F340" i="79" a="1"/>
  <c r="F340" i="79" s="1"/>
  <c r="G340" i="79" a="1"/>
  <c r="G340" i="79" s="1"/>
  <c r="D339" i="79" a="1"/>
  <c r="D339" i="79" s="1"/>
  <c r="I336" i="79" s="1"/>
  <c r="E339" i="79" a="1"/>
  <c r="E339" i="79" s="1"/>
  <c r="F339" i="79" a="1"/>
  <c r="F339" i="79" s="1"/>
  <c r="K336" i="79" s="1"/>
  <c r="G339" i="79" a="1"/>
  <c r="G339" i="79" s="1"/>
  <c r="L336" i="79" s="1"/>
  <c r="D338" i="79" a="1"/>
  <c r="D338" i="79" s="1"/>
  <c r="I335" i="79" s="1"/>
  <c r="E338" i="79" a="1"/>
  <c r="E338" i="79" s="1"/>
  <c r="F338" i="79" a="1"/>
  <c r="F338" i="79" s="1"/>
  <c r="K335" i="79" s="1"/>
  <c r="G338" i="79" a="1"/>
  <c r="G338" i="79" s="1"/>
  <c r="L335" i="79" s="1"/>
  <c r="D337" i="79" a="1"/>
  <c r="D337" i="79" s="1"/>
  <c r="E337" i="79" a="1"/>
  <c r="E337" i="79" s="1"/>
  <c r="F337" i="79" a="1"/>
  <c r="F337" i="79" s="1"/>
  <c r="G337" i="79" a="1"/>
  <c r="G337" i="79" s="1"/>
  <c r="D336" i="79" a="1"/>
  <c r="D336" i="79" s="1"/>
  <c r="E336" i="79" a="1"/>
  <c r="E336" i="79" s="1"/>
  <c r="F336" i="79" a="1"/>
  <c r="F336" i="79" s="1"/>
  <c r="G336" i="79" a="1"/>
  <c r="G336" i="79" s="1"/>
  <c r="D335" i="79" a="1"/>
  <c r="D335" i="79" s="1"/>
  <c r="E335" i="79" a="1"/>
  <c r="E335" i="79" s="1"/>
  <c r="F335" i="79" a="1"/>
  <c r="F335" i="79" s="1"/>
  <c r="G335" i="79" a="1"/>
  <c r="G335" i="79" s="1"/>
  <c r="D334" i="79" a="1"/>
  <c r="D334" i="79" s="1"/>
  <c r="I334" i="79" s="1"/>
  <c r="E334" i="79" a="1"/>
  <c r="E334" i="79" s="1"/>
  <c r="F334" i="79" a="1"/>
  <c r="F334" i="79" s="1"/>
  <c r="K334" i="79" s="1"/>
  <c r="G334" i="79" a="1"/>
  <c r="G334" i="79" s="1"/>
  <c r="L334" i="79" s="1"/>
  <c r="G333" i="79" a="1"/>
  <c r="G333" i="79" s="1"/>
  <c r="L333" i="79" s="1"/>
  <c r="F333" i="79" a="1"/>
  <c r="F333" i="79" s="1"/>
  <c r="K333" i="79" s="1"/>
  <c r="E333" i="79" a="1"/>
  <c r="E333" i="79" s="1"/>
  <c r="D333" i="79" a="1"/>
  <c r="D333" i="79" s="1"/>
  <c r="I333" i="79" s="1"/>
  <c r="D331" i="79" a="1"/>
  <c r="D331" i="79" s="1"/>
  <c r="D330" i="79" a="1"/>
  <c r="D330" i="79" s="1"/>
  <c r="D329" i="79" a="1"/>
  <c r="D329" i="79" s="1"/>
  <c r="I326" i="79" a="1"/>
  <c r="I326" i="79" s="1"/>
  <c r="H326" i="79" a="1"/>
  <c r="H326" i="79" s="1"/>
  <c r="G326" i="79" a="1"/>
  <c r="G326" i="79" s="1"/>
  <c r="F326" i="79" a="1"/>
  <c r="F326" i="79" s="1"/>
  <c r="E326" i="79" a="1"/>
  <c r="E326" i="79" s="1"/>
  <c r="D326" i="79" a="1"/>
  <c r="D326" i="79" s="1"/>
  <c r="I325" i="79" a="1"/>
  <c r="I325" i="79" s="1"/>
  <c r="H325" i="79" a="1"/>
  <c r="H325" i="79" s="1"/>
  <c r="G325" i="79" a="1"/>
  <c r="G325" i="79" s="1"/>
  <c r="F325" i="79" a="1"/>
  <c r="F325" i="79" s="1"/>
  <c r="E325" i="79" a="1"/>
  <c r="E325" i="79" s="1"/>
  <c r="D325" i="79" a="1"/>
  <c r="D325" i="79" s="1"/>
  <c r="I324" i="79" a="1"/>
  <c r="I324" i="79" s="1"/>
  <c r="H324" i="79" a="1"/>
  <c r="H324" i="79" s="1"/>
  <c r="G324" i="79" a="1"/>
  <c r="G324" i="79" s="1"/>
  <c r="F324" i="79" a="1"/>
  <c r="F324" i="79" s="1"/>
  <c r="E324" i="79" a="1"/>
  <c r="E324" i="79" s="1"/>
  <c r="D324" i="79" a="1"/>
  <c r="D324" i="79" s="1"/>
  <c r="I323" i="79" a="1"/>
  <c r="I323" i="79" s="1"/>
  <c r="H323" i="79" a="1"/>
  <c r="H323" i="79" s="1"/>
  <c r="G323" i="79" a="1"/>
  <c r="G323" i="79" s="1"/>
  <c r="F323" i="79" a="1"/>
  <c r="F323" i="79" s="1"/>
  <c r="E323" i="79" a="1"/>
  <c r="E323" i="79" s="1"/>
  <c r="D323" i="79" a="1"/>
  <c r="D323" i="79" s="1"/>
  <c r="I322" i="79" a="1"/>
  <c r="I322" i="79" s="1"/>
  <c r="H322" i="79" a="1"/>
  <c r="H322" i="79" s="1"/>
  <c r="G322" i="79" a="1"/>
  <c r="G322" i="79" s="1"/>
  <c r="F322" i="79" a="1"/>
  <c r="F322" i="79" s="1"/>
  <c r="E322" i="79" a="1"/>
  <c r="E322" i="79" s="1"/>
  <c r="D322" i="79" a="1"/>
  <c r="D322" i="79" s="1"/>
  <c r="I321" i="79" a="1"/>
  <c r="I321" i="79" s="1"/>
  <c r="H321" i="79" a="1"/>
  <c r="H321" i="79" s="1"/>
  <c r="G321" i="79" a="1"/>
  <c r="G321" i="79" s="1"/>
  <c r="F321" i="79" a="1"/>
  <c r="F321" i="79" s="1"/>
  <c r="E321" i="79" a="1"/>
  <c r="E321" i="79" s="1"/>
  <c r="D321" i="79" a="1"/>
  <c r="D321" i="79" s="1"/>
  <c r="I320" i="79" a="1"/>
  <c r="I320" i="79" s="1"/>
  <c r="H320" i="79" a="1"/>
  <c r="H320" i="79" s="1"/>
  <c r="G320" i="79" a="1"/>
  <c r="G320" i="79" s="1"/>
  <c r="F320" i="79" a="1"/>
  <c r="F320" i="79" s="1"/>
  <c r="E320" i="79" a="1"/>
  <c r="E320" i="79" s="1"/>
  <c r="D320" i="79" a="1"/>
  <c r="D320" i="79" s="1"/>
  <c r="I319" i="79" a="1"/>
  <c r="I319" i="79" s="1"/>
  <c r="H319" i="79" a="1"/>
  <c r="H319" i="79" s="1"/>
  <c r="G319" i="79" a="1"/>
  <c r="G319" i="79" s="1"/>
  <c r="F319" i="79" a="1"/>
  <c r="F319" i="79" s="1"/>
  <c r="E319" i="79" a="1"/>
  <c r="E319" i="79" s="1"/>
  <c r="D319" i="79" a="1"/>
  <c r="D319" i="79" s="1"/>
  <c r="I318" i="79" a="1"/>
  <c r="I318" i="79" s="1"/>
  <c r="H318" i="79" a="1"/>
  <c r="H318" i="79" s="1"/>
  <c r="G318" i="79" a="1"/>
  <c r="G318" i="79" s="1"/>
  <c r="F318" i="79" a="1"/>
  <c r="F318" i="79" s="1"/>
  <c r="E318" i="79" a="1"/>
  <c r="E318" i="79" s="1"/>
  <c r="D318" i="79" a="1"/>
  <c r="D318" i="79" s="1"/>
  <c r="I317" i="79" a="1"/>
  <c r="I317" i="79" s="1"/>
  <c r="H317" i="79" a="1"/>
  <c r="H317" i="79" s="1"/>
  <c r="G317" i="79" a="1"/>
  <c r="G317" i="79" s="1"/>
  <c r="F317" i="79" a="1"/>
  <c r="F317" i="79" s="1"/>
  <c r="E317" i="79" a="1"/>
  <c r="E317" i="79" s="1"/>
  <c r="D317" i="79" a="1"/>
  <c r="D317" i="79" s="1"/>
  <c r="I316" i="79" a="1"/>
  <c r="I316" i="79" s="1"/>
  <c r="H316" i="79" a="1"/>
  <c r="H316" i="79" s="1"/>
  <c r="G316" i="79" a="1"/>
  <c r="G316" i="79" s="1"/>
  <c r="F316" i="79" a="1"/>
  <c r="F316" i="79" s="1"/>
  <c r="E316" i="79" a="1"/>
  <c r="E316" i="79" s="1"/>
  <c r="D316" i="79" a="1"/>
  <c r="D316" i="79" s="1"/>
  <c r="I315" i="79" a="1"/>
  <c r="I315" i="79" s="1"/>
  <c r="H315" i="79" a="1"/>
  <c r="H315" i="79" s="1"/>
  <c r="G315" i="79" a="1"/>
  <c r="G315" i="79" s="1"/>
  <c r="F315" i="79" a="1"/>
  <c r="F315" i="79" s="1"/>
  <c r="E315" i="79" a="1"/>
  <c r="E315" i="79" s="1"/>
  <c r="D315" i="79" a="1"/>
  <c r="D315" i="79" s="1"/>
  <c r="I314" i="79" a="1"/>
  <c r="I314" i="79" s="1"/>
  <c r="H314" i="79" a="1"/>
  <c r="H314" i="79" s="1"/>
  <c r="G314" i="79" a="1"/>
  <c r="G314" i="79" s="1"/>
  <c r="F314" i="79" a="1"/>
  <c r="F314" i="79" s="1"/>
  <c r="E314" i="79" a="1"/>
  <c r="E314" i="79" s="1"/>
  <c r="D314" i="79" a="1"/>
  <c r="D314" i="79" s="1"/>
  <c r="I313" i="79" a="1"/>
  <c r="I313" i="79" s="1"/>
  <c r="H313" i="79" a="1"/>
  <c r="H313" i="79" s="1"/>
  <c r="G313" i="79" a="1"/>
  <c r="G313" i="79" s="1"/>
  <c r="F313" i="79" a="1"/>
  <c r="F313" i="79" s="1"/>
  <c r="E313" i="79" a="1"/>
  <c r="E313" i="79" s="1"/>
  <c r="D313" i="79" a="1"/>
  <c r="D313" i="79" s="1"/>
  <c r="I312" i="79" a="1"/>
  <c r="I312" i="79" s="1"/>
  <c r="H312" i="79" a="1"/>
  <c r="H312" i="79" s="1"/>
  <c r="G312" i="79" a="1"/>
  <c r="G312" i="79" s="1"/>
  <c r="F312" i="79" a="1"/>
  <c r="F312" i="79" s="1"/>
  <c r="E312" i="79" a="1"/>
  <c r="E312" i="79" s="1"/>
  <c r="D312" i="79" a="1"/>
  <c r="D312" i="79" s="1"/>
  <c r="D310" i="79" a="1"/>
  <c r="D310" i="79" s="1"/>
  <c r="D309" i="79" a="1"/>
  <c r="D309" i="79" s="1"/>
  <c r="D308" i="79" a="1"/>
  <c r="D308" i="79" s="1"/>
  <c r="D307" i="79" a="1"/>
  <c r="D307" i="79" s="1"/>
  <c r="D306" i="79" a="1"/>
  <c r="D306" i="79" s="1"/>
  <c r="D303" i="79" a="1"/>
  <c r="D303" i="79" s="1"/>
  <c r="E303" i="79" a="1"/>
  <c r="E303" i="79" s="1"/>
  <c r="F303" i="79" a="1"/>
  <c r="F303" i="79" s="1"/>
  <c r="G303" i="79" a="1"/>
  <c r="G303" i="79" s="1"/>
  <c r="H303" i="79" a="1"/>
  <c r="H303" i="79" s="1"/>
  <c r="I303" i="79" a="1"/>
  <c r="I303" i="79" s="1"/>
  <c r="D302" i="79" a="1"/>
  <c r="D302" i="79" s="1"/>
  <c r="E302" i="79" a="1"/>
  <c r="E302" i="79" s="1"/>
  <c r="F302" i="79" a="1"/>
  <c r="F302" i="79" s="1"/>
  <c r="G302" i="79" a="1"/>
  <c r="G302" i="79" s="1"/>
  <c r="H302" i="79" a="1"/>
  <c r="H302" i="79" s="1"/>
  <c r="I302" i="79" a="1"/>
  <c r="I302" i="79" s="1"/>
  <c r="D301" i="79" a="1"/>
  <c r="D301" i="79" s="1"/>
  <c r="E301" i="79" a="1"/>
  <c r="E301" i="79" s="1"/>
  <c r="F301" i="79" a="1"/>
  <c r="F301" i="79" s="1"/>
  <c r="G301" i="79" a="1"/>
  <c r="G301" i="79" s="1"/>
  <c r="H301" i="79" a="1"/>
  <c r="H301" i="79" s="1"/>
  <c r="I301" i="79" a="1"/>
  <c r="I301" i="79" s="1"/>
  <c r="D300" i="79" a="1"/>
  <c r="D300" i="79" s="1"/>
  <c r="E300" i="79" a="1"/>
  <c r="E300" i="79" s="1"/>
  <c r="F300" i="79" a="1"/>
  <c r="F300" i="79" s="1"/>
  <c r="G300" i="79" a="1"/>
  <c r="G300" i="79" s="1"/>
  <c r="H300" i="79" a="1"/>
  <c r="H300" i="79" s="1"/>
  <c r="I300" i="79" a="1"/>
  <c r="I300" i="79" s="1"/>
  <c r="D299" i="79" a="1"/>
  <c r="D299" i="79" s="1"/>
  <c r="E299" i="79" a="1"/>
  <c r="E299" i="79" s="1"/>
  <c r="F299" i="79" a="1"/>
  <c r="F299" i="79" s="1"/>
  <c r="G299" i="79" a="1"/>
  <c r="G299" i="79" s="1"/>
  <c r="H299" i="79" a="1"/>
  <c r="H299" i="79" s="1"/>
  <c r="I299" i="79" a="1"/>
  <c r="I299" i="79" s="1"/>
  <c r="D298" i="79" a="1"/>
  <c r="D298" i="79" s="1"/>
  <c r="E298" i="79" a="1"/>
  <c r="E298" i="79" s="1"/>
  <c r="F298" i="79" a="1"/>
  <c r="F298" i="79" s="1"/>
  <c r="G298" i="79" a="1"/>
  <c r="G298" i="79" s="1"/>
  <c r="H298" i="79" a="1"/>
  <c r="H298" i="79" s="1"/>
  <c r="I298" i="79" a="1"/>
  <c r="I298" i="79" s="1"/>
  <c r="D297" i="79" a="1"/>
  <c r="D297" i="79" s="1"/>
  <c r="E297" i="79" a="1"/>
  <c r="E297" i="79" s="1"/>
  <c r="F297" i="79" a="1"/>
  <c r="F297" i="79" s="1"/>
  <c r="G297" i="79" a="1"/>
  <c r="G297" i="79" s="1"/>
  <c r="H297" i="79" a="1"/>
  <c r="H297" i="79" s="1"/>
  <c r="I297" i="79" a="1"/>
  <c r="I297" i="79" s="1"/>
  <c r="D296" i="79" a="1"/>
  <c r="D296" i="79" s="1"/>
  <c r="E296" i="79" a="1"/>
  <c r="E296" i="79" s="1"/>
  <c r="F296" i="79" a="1"/>
  <c r="F296" i="79" s="1"/>
  <c r="G296" i="79" a="1"/>
  <c r="G296" i="79" s="1"/>
  <c r="H296" i="79" a="1"/>
  <c r="H296" i="79" s="1"/>
  <c r="I296" i="79" a="1"/>
  <c r="I296" i="79" s="1"/>
  <c r="D295" i="79" a="1"/>
  <c r="D295" i="79" s="1"/>
  <c r="E295" i="79" a="1"/>
  <c r="E295" i="79" s="1"/>
  <c r="F295" i="79" a="1"/>
  <c r="F295" i="79" s="1"/>
  <c r="G295" i="79" a="1"/>
  <c r="G295" i="79" s="1"/>
  <c r="H295" i="79" a="1"/>
  <c r="H295" i="79" s="1"/>
  <c r="I295" i="79" a="1"/>
  <c r="I295" i="79" s="1"/>
  <c r="D294" i="79" a="1"/>
  <c r="D294" i="79" s="1"/>
  <c r="E294" i="79" a="1"/>
  <c r="E294" i="79" s="1"/>
  <c r="F294" i="79" a="1"/>
  <c r="F294" i="79" s="1"/>
  <c r="G294" i="79" a="1"/>
  <c r="G294" i="79" s="1"/>
  <c r="H294" i="79" a="1"/>
  <c r="H294" i="79" s="1"/>
  <c r="I294" i="79" a="1"/>
  <c r="I294" i="79" s="1"/>
  <c r="D293" i="79" a="1"/>
  <c r="D293" i="79" s="1"/>
  <c r="E293" i="79" a="1"/>
  <c r="E293" i="79" s="1"/>
  <c r="F293" i="79" a="1"/>
  <c r="F293" i="79" s="1"/>
  <c r="G293" i="79" a="1"/>
  <c r="G293" i="79" s="1"/>
  <c r="H293" i="79" a="1"/>
  <c r="H293" i="79" s="1"/>
  <c r="I293" i="79" a="1"/>
  <c r="I293" i="79" s="1"/>
  <c r="D292" i="79" a="1"/>
  <c r="D292" i="79" s="1"/>
  <c r="E292" i="79" a="1"/>
  <c r="E292" i="79" s="1"/>
  <c r="F292" i="79" a="1"/>
  <c r="F292" i="79" s="1"/>
  <c r="G292" i="79" a="1"/>
  <c r="G292" i="79" s="1"/>
  <c r="H292" i="79" a="1"/>
  <c r="H292" i="79" s="1"/>
  <c r="I292" i="79" a="1"/>
  <c r="I292" i="79" s="1"/>
  <c r="D291" i="79" a="1"/>
  <c r="D291" i="79" s="1"/>
  <c r="E291" i="79" a="1"/>
  <c r="E291" i="79" s="1"/>
  <c r="F291" i="79" a="1"/>
  <c r="F291" i="79" s="1"/>
  <c r="G291" i="79" a="1"/>
  <c r="G291" i="79" s="1"/>
  <c r="H291" i="79" a="1"/>
  <c r="H291" i="79" s="1"/>
  <c r="I291" i="79" a="1"/>
  <c r="I291" i="79" s="1"/>
  <c r="D290" i="79" a="1"/>
  <c r="D290" i="79" s="1"/>
  <c r="E290" i="79" a="1"/>
  <c r="E290" i="79" s="1"/>
  <c r="F290" i="79" a="1"/>
  <c r="F290" i="79" s="1"/>
  <c r="G290" i="79" a="1"/>
  <c r="G290" i="79" s="1"/>
  <c r="H290" i="79" a="1"/>
  <c r="H290" i="79" s="1"/>
  <c r="I290" i="79" a="1"/>
  <c r="I290" i="79" s="1"/>
  <c r="I289" i="79" a="1"/>
  <c r="I289" i="79" s="1"/>
  <c r="H289" i="79" a="1"/>
  <c r="H289" i="79" s="1"/>
  <c r="G289" i="79" a="1"/>
  <c r="G289" i="79" s="1"/>
  <c r="F289" i="79" a="1"/>
  <c r="F289" i="79" s="1"/>
  <c r="E289" i="79" a="1"/>
  <c r="E289" i="79" s="1"/>
  <c r="D289" i="79" a="1"/>
  <c r="D289" i="79" s="1"/>
  <c r="D287" i="79" a="1"/>
  <c r="D287" i="79" s="1"/>
  <c r="D286" i="79" a="1"/>
  <c r="D286" i="79" s="1"/>
  <c r="D285" i="79" a="1"/>
  <c r="D285" i="79" s="1"/>
  <c r="D284" i="79" a="1"/>
  <c r="D284" i="79" s="1"/>
  <c r="D283" i="79" a="1"/>
  <c r="D283" i="79" s="1"/>
  <c r="G25" i="69"/>
  <c r="G90" i="76" s="1"/>
  <c r="F25" i="69"/>
  <c r="F90" i="76" s="1"/>
  <c r="E25" i="69"/>
  <c r="E90" i="76" s="1"/>
  <c r="G24" i="69"/>
  <c r="G89" i="76" s="1"/>
  <c r="F24" i="69"/>
  <c r="F89" i="76" s="1"/>
  <c r="E24" i="69"/>
  <c r="E89" i="76" s="1"/>
  <c r="G23" i="69"/>
  <c r="G88" i="76" s="1"/>
  <c r="F23" i="69"/>
  <c r="F88" i="76" s="1"/>
  <c r="E23" i="69"/>
  <c r="E88" i="76" s="1"/>
  <c r="G22" i="69"/>
  <c r="G87" i="76" s="1"/>
  <c r="F22" i="69"/>
  <c r="F87" i="76" s="1"/>
  <c r="E22" i="69"/>
  <c r="E87" i="76" s="1"/>
  <c r="D25" i="69"/>
  <c r="D90" i="76" s="1"/>
  <c r="D24" i="69"/>
  <c r="D89" i="76" s="1"/>
  <c r="D116" i="70"/>
  <c r="G125" i="70"/>
  <c r="F125" i="70"/>
  <c r="E125" i="70"/>
  <c r="D124" i="70"/>
  <c r="D123" i="70"/>
  <c r="D122" i="70"/>
  <c r="D131" i="70" s="1"/>
  <c r="D121" i="70"/>
  <c r="D120" i="70"/>
  <c r="D119" i="70"/>
  <c r="D118" i="70"/>
  <c r="D117" i="70"/>
  <c r="D115" i="70"/>
  <c r="D114" i="70"/>
  <c r="D113" i="70"/>
  <c r="G108" i="70"/>
  <c r="F108" i="70"/>
  <c r="E108" i="70"/>
  <c r="D215" i="79" a="1"/>
  <c r="D215" i="79" s="1"/>
  <c r="E215" i="79" a="1"/>
  <c r="E215" i="79" s="1"/>
  <c r="E280" i="79" s="1"/>
  <c r="F215" i="79" a="1"/>
  <c r="F215" i="79" s="1"/>
  <c r="F280" i="79" s="1"/>
  <c r="G215" i="79" a="1"/>
  <c r="G215" i="79" s="1"/>
  <c r="G280" i="79" s="1"/>
  <c r="H215" i="79" a="1"/>
  <c r="H215" i="79" s="1"/>
  <c r="H280" i="79" s="1"/>
  <c r="I215" i="79" a="1"/>
  <c r="I215" i="79" s="1"/>
  <c r="I280" i="79" s="1"/>
  <c r="J215" i="79" a="1"/>
  <c r="J215" i="79" s="1"/>
  <c r="J280" i="79" s="1"/>
  <c r="K215" i="79" a="1"/>
  <c r="K215" i="79" s="1"/>
  <c r="K280" i="79" s="1"/>
  <c r="L215" i="79" a="1"/>
  <c r="L215" i="79" s="1"/>
  <c r="L280" i="79" s="1"/>
  <c r="M215" i="79" a="1"/>
  <c r="M215" i="79" s="1"/>
  <c r="M280" i="79" s="1"/>
  <c r="N215" i="79" a="1"/>
  <c r="N215" i="79" s="1"/>
  <c r="N280" i="79" s="1"/>
  <c r="O215" i="79" a="1"/>
  <c r="O215" i="79" s="1"/>
  <c r="O280" i="79" s="1"/>
  <c r="P215" i="79" a="1"/>
  <c r="P215" i="79" s="1"/>
  <c r="P280" i="79" s="1"/>
  <c r="D214" i="79" a="1"/>
  <c r="D214" i="79" s="1"/>
  <c r="E214" i="79" a="1"/>
  <c r="E214" i="79" s="1"/>
  <c r="E279" i="79" s="1"/>
  <c r="F214" i="79" a="1"/>
  <c r="F214" i="79" s="1"/>
  <c r="F279" i="79" s="1"/>
  <c r="G214" i="79" a="1"/>
  <c r="G214" i="79" s="1"/>
  <c r="G279" i="79" s="1"/>
  <c r="H214" i="79" a="1"/>
  <c r="H214" i="79" s="1"/>
  <c r="H279" i="79" s="1"/>
  <c r="I214" i="79" a="1"/>
  <c r="I214" i="79" s="1"/>
  <c r="I279" i="79" s="1"/>
  <c r="J214" i="79" a="1"/>
  <c r="J214" i="79" s="1"/>
  <c r="J279" i="79" s="1"/>
  <c r="K214" i="79" a="1"/>
  <c r="K214" i="79" s="1"/>
  <c r="K279" i="79" s="1"/>
  <c r="L214" i="79" a="1"/>
  <c r="L214" i="79" s="1"/>
  <c r="L279" i="79" s="1"/>
  <c r="M214" i="79" a="1"/>
  <c r="M214" i="79" s="1"/>
  <c r="M279" i="79" s="1"/>
  <c r="N214" i="79" a="1"/>
  <c r="N214" i="79" s="1"/>
  <c r="N279" i="79" s="1"/>
  <c r="O214" i="79" a="1"/>
  <c r="O214" i="79" s="1"/>
  <c r="O279" i="79" s="1"/>
  <c r="P214" i="79" a="1"/>
  <c r="P214" i="79" s="1"/>
  <c r="P279" i="79" s="1"/>
  <c r="D213" i="79" a="1"/>
  <c r="D213" i="79" s="1"/>
  <c r="E213" i="79" a="1"/>
  <c r="E213" i="79" s="1"/>
  <c r="E278" i="79" s="1"/>
  <c r="F213" i="79" a="1"/>
  <c r="F213" i="79" s="1"/>
  <c r="F278" i="79" s="1"/>
  <c r="G213" i="79" a="1"/>
  <c r="G213" i="79" s="1"/>
  <c r="G278" i="79" s="1"/>
  <c r="H213" i="79" a="1"/>
  <c r="H213" i="79" s="1"/>
  <c r="H278" i="79" s="1"/>
  <c r="I213" i="79" a="1"/>
  <c r="I213" i="79" s="1"/>
  <c r="I278" i="79" s="1"/>
  <c r="J213" i="79" a="1"/>
  <c r="J213" i="79" s="1"/>
  <c r="J278" i="79" s="1"/>
  <c r="K213" i="79" a="1"/>
  <c r="K213" i="79" s="1"/>
  <c r="K278" i="79" s="1"/>
  <c r="L213" i="79" a="1"/>
  <c r="L213" i="79" s="1"/>
  <c r="L278" i="79" s="1"/>
  <c r="M213" i="79" a="1"/>
  <c r="M213" i="79" s="1"/>
  <c r="M278" i="79" s="1"/>
  <c r="N213" i="79" a="1"/>
  <c r="N213" i="79" s="1"/>
  <c r="N278" i="79" s="1"/>
  <c r="O213" i="79" a="1"/>
  <c r="O213" i="79" s="1"/>
  <c r="O278" i="79" s="1"/>
  <c r="P213" i="79" a="1"/>
  <c r="P213" i="79" s="1"/>
  <c r="P278" i="79" s="1"/>
  <c r="D212" i="79" a="1"/>
  <c r="D212" i="79" s="1"/>
  <c r="E212" i="79" a="1"/>
  <c r="E212" i="79" s="1"/>
  <c r="E277" i="79" s="1"/>
  <c r="F212" i="79" a="1"/>
  <c r="F212" i="79" s="1"/>
  <c r="F277" i="79" s="1"/>
  <c r="G212" i="79" a="1"/>
  <c r="G212" i="79" s="1"/>
  <c r="G277" i="79" s="1"/>
  <c r="H212" i="79" a="1"/>
  <c r="H212" i="79" s="1"/>
  <c r="H277" i="79" s="1"/>
  <c r="I212" i="79" a="1"/>
  <c r="I212" i="79" s="1"/>
  <c r="I277" i="79" s="1"/>
  <c r="J212" i="79" a="1"/>
  <c r="J212" i="79" s="1"/>
  <c r="J277" i="79" s="1"/>
  <c r="K212" i="79" a="1"/>
  <c r="K212" i="79" s="1"/>
  <c r="K277" i="79" s="1"/>
  <c r="L212" i="79" a="1"/>
  <c r="L212" i="79" s="1"/>
  <c r="L277" i="79" s="1"/>
  <c r="M212" i="79" a="1"/>
  <c r="M212" i="79" s="1"/>
  <c r="M277" i="79" s="1"/>
  <c r="N212" i="79" a="1"/>
  <c r="N212" i="79" s="1"/>
  <c r="N277" i="79" s="1"/>
  <c r="O212" i="79" a="1"/>
  <c r="O212" i="79" s="1"/>
  <c r="O277" i="79" s="1"/>
  <c r="P212" i="79" a="1"/>
  <c r="P212" i="79" s="1"/>
  <c r="P277" i="79" s="1"/>
  <c r="D211" i="79" a="1"/>
  <c r="D211" i="79" s="1"/>
  <c r="E211" i="79" a="1"/>
  <c r="E211" i="79" s="1"/>
  <c r="E276" i="79" s="1"/>
  <c r="F211" i="79" a="1"/>
  <c r="F211" i="79" s="1"/>
  <c r="F276" i="79" s="1"/>
  <c r="G211" i="79" a="1"/>
  <c r="G211" i="79" s="1"/>
  <c r="G276" i="79" s="1"/>
  <c r="H211" i="79" a="1"/>
  <c r="H211" i="79" s="1"/>
  <c r="H276" i="79" s="1"/>
  <c r="I211" i="79" a="1"/>
  <c r="I211" i="79" s="1"/>
  <c r="I276" i="79" s="1"/>
  <c r="J211" i="79" a="1"/>
  <c r="J211" i="79" s="1"/>
  <c r="J276" i="79" s="1"/>
  <c r="K211" i="79" a="1"/>
  <c r="K211" i="79" s="1"/>
  <c r="K276" i="79" s="1"/>
  <c r="L211" i="79" a="1"/>
  <c r="L211" i="79" s="1"/>
  <c r="L276" i="79" s="1"/>
  <c r="M211" i="79" a="1"/>
  <c r="M211" i="79" s="1"/>
  <c r="M276" i="79" s="1"/>
  <c r="N211" i="79" a="1"/>
  <c r="N211" i="79" s="1"/>
  <c r="N276" i="79" s="1"/>
  <c r="O211" i="79" a="1"/>
  <c r="O211" i="79" s="1"/>
  <c r="O276" i="79" s="1"/>
  <c r="P211" i="79" a="1"/>
  <c r="P211" i="79" s="1"/>
  <c r="P276" i="79" s="1"/>
  <c r="D210" i="79" a="1"/>
  <c r="D210" i="79" s="1"/>
  <c r="E210" i="79" a="1"/>
  <c r="E210" i="79" s="1"/>
  <c r="E275" i="79" s="1"/>
  <c r="F210" i="79" a="1"/>
  <c r="F210" i="79" s="1"/>
  <c r="F275" i="79" s="1"/>
  <c r="G210" i="79" a="1"/>
  <c r="G210" i="79" s="1"/>
  <c r="G275" i="79" s="1"/>
  <c r="H210" i="79" a="1"/>
  <c r="H210" i="79" s="1"/>
  <c r="H275" i="79" s="1"/>
  <c r="I210" i="79" a="1"/>
  <c r="I210" i="79" s="1"/>
  <c r="I275" i="79" s="1"/>
  <c r="J210" i="79" a="1"/>
  <c r="J210" i="79" s="1"/>
  <c r="J275" i="79" s="1"/>
  <c r="K210" i="79" a="1"/>
  <c r="K210" i="79" s="1"/>
  <c r="K275" i="79" s="1"/>
  <c r="L210" i="79" a="1"/>
  <c r="L210" i="79" s="1"/>
  <c r="L275" i="79" s="1"/>
  <c r="M210" i="79" a="1"/>
  <c r="M210" i="79" s="1"/>
  <c r="M275" i="79" s="1"/>
  <c r="N210" i="79" a="1"/>
  <c r="N210" i="79" s="1"/>
  <c r="N275" i="79" s="1"/>
  <c r="O210" i="79" a="1"/>
  <c r="O210" i="79" s="1"/>
  <c r="O275" i="79" s="1"/>
  <c r="P210" i="79" a="1"/>
  <c r="P210" i="79" s="1"/>
  <c r="P275" i="79" s="1"/>
  <c r="D209" i="79" a="1"/>
  <c r="D209" i="79" s="1"/>
  <c r="E209" i="79" a="1"/>
  <c r="E209" i="79" s="1"/>
  <c r="E274" i="79" s="1"/>
  <c r="F209" i="79" a="1"/>
  <c r="F209" i="79" s="1"/>
  <c r="F274" i="79" s="1"/>
  <c r="G209" i="79" a="1"/>
  <c r="G209" i="79" s="1"/>
  <c r="G274" i="79" s="1"/>
  <c r="H209" i="79" a="1"/>
  <c r="H209" i="79" s="1"/>
  <c r="H274" i="79" s="1"/>
  <c r="I209" i="79" a="1"/>
  <c r="I209" i="79" s="1"/>
  <c r="I274" i="79" s="1"/>
  <c r="J209" i="79" a="1"/>
  <c r="J209" i="79" s="1"/>
  <c r="J274" i="79" s="1"/>
  <c r="K209" i="79" a="1"/>
  <c r="K209" i="79" s="1"/>
  <c r="K274" i="79" s="1"/>
  <c r="L209" i="79" a="1"/>
  <c r="L209" i="79" s="1"/>
  <c r="L274" i="79" s="1"/>
  <c r="M209" i="79" a="1"/>
  <c r="M209" i="79" s="1"/>
  <c r="M274" i="79" s="1"/>
  <c r="N209" i="79" a="1"/>
  <c r="N209" i="79" s="1"/>
  <c r="N274" i="79" s="1"/>
  <c r="O209" i="79" a="1"/>
  <c r="O209" i="79" s="1"/>
  <c r="O274" i="79" s="1"/>
  <c r="P209" i="79" a="1"/>
  <c r="P209" i="79" s="1"/>
  <c r="P274" i="79" s="1"/>
  <c r="D208" i="79" a="1"/>
  <c r="D208" i="79" s="1"/>
  <c r="E208" i="79" a="1"/>
  <c r="E208" i="79" s="1"/>
  <c r="E273" i="79" s="1"/>
  <c r="F208" i="79" a="1"/>
  <c r="F208" i="79" s="1"/>
  <c r="F273" i="79" s="1"/>
  <c r="G208" i="79" a="1"/>
  <c r="G208" i="79" s="1"/>
  <c r="G273" i="79" s="1"/>
  <c r="H208" i="79" a="1"/>
  <c r="H208" i="79" s="1"/>
  <c r="H273" i="79" s="1"/>
  <c r="I208" i="79" a="1"/>
  <c r="I208" i="79" s="1"/>
  <c r="I273" i="79" s="1"/>
  <c r="J208" i="79" a="1"/>
  <c r="J208" i="79" s="1"/>
  <c r="J273" i="79" s="1"/>
  <c r="K208" i="79" a="1"/>
  <c r="K208" i="79" s="1"/>
  <c r="K273" i="79" s="1"/>
  <c r="L208" i="79" a="1"/>
  <c r="L208" i="79" s="1"/>
  <c r="L273" i="79" s="1"/>
  <c r="M208" i="79" a="1"/>
  <c r="M208" i="79" s="1"/>
  <c r="M273" i="79" s="1"/>
  <c r="N208" i="79" a="1"/>
  <c r="N208" i="79" s="1"/>
  <c r="N273" i="79" s="1"/>
  <c r="O208" i="79" a="1"/>
  <c r="O208" i="79" s="1"/>
  <c r="O273" i="79" s="1"/>
  <c r="P208" i="79" a="1"/>
  <c r="P208" i="79" s="1"/>
  <c r="P273" i="79" s="1"/>
  <c r="D207" i="79" a="1"/>
  <c r="D207" i="79" s="1"/>
  <c r="E207" i="79" a="1"/>
  <c r="E207" i="79" s="1"/>
  <c r="E272" i="79" s="1"/>
  <c r="F207" i="79" a="1"/>
  <c r="F207" i="79" s="1"/>
  <c r="F272" i="79" s="1"/>
  <c r="G207" i="79" a="1"/>
  <c r="G207" i="79" s="1"/>
  <c r="G272" i="79" s="1"/>
  <c r="H207" i="79" a="1"/>
  <c r="H207" i="79" s="1"/>
  <c r="H272" i="79" s="1"/>
  <c r="I207" i="79" a="1"/>
  <c r="I207" i="79" s="1"/>
  <c r="I272" i="79" s="1"/>
  <c r="J207" i="79" a="1"/>
  <c r="J207" i="79" s="1"/>
  <c r="J272" i="79" s="1"/>
  <c r="K207" i="79" a="1"/>
  <c r="K207" i="79" s="1"/>
  <c r="K272" i="79" s="1"/>
  <c r="L207" i="79" a="1"/>
  <c r="L207" i="79" s="1"/>
  <c r="L272" i="79" s="1"/>
  <c r="M207" i="79" a="1"/>
  <c r="M207" i="79" s="1"/>
  <c r="M272" i="79" s="1"/>
  <c r="N207" i="79" a="1"/>
  <c r="N207" i="79" s="1"/>
  <c r="N272" i="79" s="1"/>
  <c r="O207" i="79" a="1"/>
  <c r="O207" i="79" s="1"/>
  <c r="O272" i="79" s="1"/>
  <c r="P207" i="79" a="1"/>
  <c r="P207" i="79" s="1"/>
  <c r="P272" i="79" s="1"/>
  <c r="D206" i="79" a="1"/>
  <c r="D206" i="79" s="1"/>
  <c r="E206" i="79" a="1"/>
  <c r="E206" i="79" s="1"/>
  <c r="E271" i="79" s="1"/>
  <c r="F206" i="79" a="1"/>
  <c r="F206" i="79" s="1"/>
  <c r="F271" i="79" s="1"/>
  <c r="G206" i="79" a="1"/>
  <c r="G206" i="79" s="1"/>
  <c r="G271" i="79" s="1"/>
  <c r="H206" i="79" a="1"/>
  <c r="H206" i="79" s="1"/>
  <c r="H271" i="79" s="1"/>
  <c r="I206" i="79" a="1"/>
  <c r="I206" i="79" s="1"/>
  <c r="I271" i="79" s="1"/>
  <c r="J206" i="79" a="1"/>
  <c r="J206" i="79" s="1"/>
  <c r="J271" i="79" s="1"/>
  <c r="K206" i="79" a="1"/>
  <c r="K206" i="79" s="1"/>
  <c r="K271" i="79" s="1"/>
  <c r="L206" i="79" a="1"/>
  <c r="L206" i="79" s="1"/>
  <c r="L271" i="79" s="1"/>
  <c r="M206" i="79" a="1"/>
  <c r="M206" i="79" s="1"/>
  <c r="M271" i="79" s="1"/>
  <c r="N206" i="79" a="1"/>
  <c r="N206" i="79" s="1"/>
  <c r="N271" i="79" s="1"/>
  <c r="O206" i="79" a="1"/>
  <c r="O206" i="79" s="1"/>
  <c r="O271" i="79" s="1"/>
  <c r="P206" i="79" a="1"/>
  <c r="P206" i="79" s="1"/>
  <c r="P271" i="79" s="1"/>
  <c r="D205" i="79" a="1"/>
  <c r="D205" i="79" s="1"/>
  <c r="E205" i="79" a="1"/>
  <c r="E205" i="79" s="1"/>
  <c r="E270" i="79" s="1"/>
  <c r="F205" i="79" a="1"/>
  <c r="F205" i="79" s="1"/>
  <c r="F270" i="79" s="1"/>
  <c r="G205" i="79" a="1"/>
  <c r="G205" i="79" s="1"/>
  <c r="G270" i="79" s="1"/>
  <c r="H205" i="79" a="1"/>
  <c r="H205" i="79" s="1"/>
  <c r="H270" i="79" s="1"/>
  <c r="I205" i="79" a="1"/>
  <c r="I205" i="79" s="1"/>
  <c r="I270" i="79" s="1"/>
  <c r="J205" i="79" a="1"/>
  <c r="J205" i="79" s="1"/>
  <c r="J270" i="79" s="1"/>
  <c r="K205" i="79" a="1"/>
  <c r="K205" i="79" s="1"/>
  <c r="K270" i="79" s="1"/>
  <c r="L205" i="79" a="1"/>
  <c r="L205" i="79" s="1"/>
  <c r="L270" i="79" s="1"/>
  <c r="M205" i="79" a="1"/>
  <c r="M205" i="79" s="1"/>
  <c r="M270" i="79" s="1"/>
  <c r="N205" i="79" a="1"/>
  <c r="N205" i="79" s="1"/>
  <c r="N270" i="79" s="1"/>
  <c r="O205" i="79" a="1"/>
  <c r="O205" i="79" s="1"/>
  <c r="O270" i="79" s="1"/>
  <c r="P205" i="79" a="1"/>
  <c r="P205" i="79" s="1"/>
  <c r="P270" i="79" s="1"/>
  <c r="D204" i="79" a="1"/>
  <c r="D204" i="79" s="1"/>
  <c r="E204" i="79" a="1"/>
  <c r="E204" i="79" s="1"/>
  <c r="E269" i="79" s="1"/>
  <c r="F204" i="79" a="1"/>
  <c r="F204" i="79" s="1"/>
  <c r="F269" i="79" s="1"/>
  <c r="G204" i="79" a="1"/>
  <c r="G204" i="79" s="1"/>
  <c r="G269" i="79" s="1"/>
  <c r="H204" i="79" a="1"/>
  <c r="H204" i="79" s="1"/>
  <c r="H269" i="79" s="1"/>
  <c r="I204" i="79" a="1"/>
  <c r="I204" i="79" s="1"/>
  <c r="I269" i="79" s="1"/>
  <c r="J204" i="79" a="1"/>
  <c r="J204" i="79" s="1"/>
  <c r="J269" i="79" s="1"/>
  <c r="K204" i="79" a="1"/>
  <c r="K204" i="79" s="1"/>
  <c r="K269" i="79" s="1"/>
  <c r="L204" i="79" a="1"/>
  <c r="L204" i="79" s="1"/>
  <c r="L269" i="79" s="1"/>
  <c r="M204" i="79" a="1"/>
  <c r="M204" i="79" s="1"/>
  <c r="M269" i="79" s="1"/>
  <c r="N204" i="79" a="1"/>
  <c r="N204" i="79" s="1"/>
  <c r="N269" i="79" s="1"/>
  <c r="O204" i="79" a="1"/>
  <c r="O204" i="79" s="1"/>
  <c r="O269" i="79" s="1"/>
  <c r="P204" i="79" a="1"/>
  <c r="P204" i="79" s="1"/>
  <c r="P269" i="79" s="1"/>
  <c r="D203" i="79" a="1"/>
  <c r="D203" i="79" s="1"/>
  <c r="E203" i="79" a="1"/>
  <c r="E203" i="79" s="1"/>
  <c r="E268" i="79" s="1"/>
  <c r="F203" i="79" a="1"/>
  <c r="F203" i="79" s="1"/>
  <c r="F268" i="79" s="1"/>
  <c r="G203" i="79" a="1"/>
  <c r="G203" i="79" s="1"/>
  <c r="G268" i="79" s="1"/>
  <c r="H203" i="79" a="1"/>
  <c r="H203" i="79" s="1"/>
  <c r="H268" i="79" s="1"/>
  <c r="I203" i="79" a="1"/>
  <c r="I203" i="79" s="1"/>
  <c r="I268" i="79" s="1"/>
  <c r="J203" i="79" a="1"/>
  <c r="J203" i="79" s="1"/>
  <c r="J268" i="79" s="1"/>
  <c r="K203" i="79" a="1"/>
  <c r="K203" i="79" s="1"/>
  <c r="K268" i="79" s="1"/>
  <c r="L203" i="79" a="1"/>
  <c r="L203" i="79" s="1"/>
  <c r="L268" i="79" s="1"/>
  <c r="M203" i="79" a="1"/>
  <c r="M203" i="79" s="1"/>
  <c r="M268" i="79" s="1"/>
  <c r="N203" i="79" a="1"/>
  <c r="N203" i="79" s="1"/>
  <c r="N268" i="79" s="1"/>
  <c r="O203" i="79" a="1"/>
  <c r="O203" i="79" s="1"/>
  <c r="O268" i="79" s="1"/>
  <c r="P203" i="79" a="1"/>
  <c r="P203" i="79" s="1"/>
  <c r="P268" i="79" s="1"/>
  <c r="D202" i="79" a="1"/>
  <c r="D202" i="79" s="1"/>
  <c r="E202" i="79" a="1"/>
  <c r="E202" i="79" s="1"/>
  <c r="E267" i="79" s="1"/>
  <c r="F202" i="79" a="1"/>
  <c r="F202" i="79" s="1"/>
  <c r="F267" i="79" s="1"/>
  <c r="G202" i="79" a="1"/>
  <c r="G202" i="79" s="1"/>
  <c r="G267" i="79" s="1"/>
  <c r="H202" i="79" a="1"/>
  <c r="H202" i="79" s="1"/>
  <c r="H267" i="79" s="1"/>
  <c r="I202" i="79" a="1"/>
  <c r="I202" i="79" s="1"/>
  <c r="I267" i="79" s="1"/>
  <c r="J202" i="79" a="1"/>
  <c r="J202" i="79" s="1"/>
  <c r="J267" i="79" s="1"/>
  <c r="K202" i="79" a="1"/>
  <c r="K202" i="79" s="1"/>
  <c r="K267" i="79" s="1"/>
  <c r="L202" i="79" a="1"/>
  <c r="L202" i="79" s="1"/>
  <c r="L267" i="79" s="1"/>
  <c r="M202" i="79" a="1"/>
  <c r="M202" i="79" s="1"/>
  <c r="M267" i="79" s="1"/>
  <c r="N202" i="79" a="1"/>
  <c r="N202" i="79" s="1"/>
  <c r="N267" i="79" s="1"/>
  <c r="O202" i="79" a="1"/>
  <c r="O202" i="79" s="1"/>
  <c r="O267" i="79" s="1"/>
  <c r="P202" i="79" a="1"/>
  <c r="P202" i="79" s="1"/>
  <c r="P267" i="79" s="1"/>
  <c r="D201" i="79" a="1"/>
  <c r="D201" i="79" s="1"/>
  <c r="E201" i="79" a="1"/>
  <c r="E201" i="79" s="1"/>
  <c r="E266" i="79" s="1"/>
  <c r="F201" i="79" a="1"/>
  <c r="F201" i="79" s="1"/>
  <c r="F266" i="79" s="1"/>
  <c r="G201" i="79" a="1"/>
  <c r="G201" i="79" s="1"/>
  <c r="G266" i="79" s="1"/>
  <c r="H201" i="79" a="1"/>
  <c r="H201" i="79" s="1"/>
  <c r="H266" i="79" s="1"/>
  <c r="I201" i="79" a="1"/>
  <c r="I201" i="79" s="1"/>
  <c r="I266" i="79" s="1"/>
  <c r="J201" i="79" a="1"/>
  <c r="J201" i="79" s="1"/>
  <c r="J266" i="79" s="1"/>
  <c r="K201" i="79" a="1"/>
  <c r="K201" i="79" s="1"/>
  <c r="K266" i="79" s="1"/>
  <c r="L201" i="79" a="1"/>
  <c r="L201" i="79" s="1"/>
  <c r="L266" i="79" s="1"/>
  <c r="M201" i="79" a="1"/>
  <c r="M201" i="79" s="1"/>
  <c r="M266" i="79" s="1"/>
  <c r="N201" i="79" a="1"/>
  <c r="N201" i="79" s="1"/>
  <c r="N266" i="79" s="1"/>
  <c r="O201" i="79" a="1"/>
  <c r="O201" i="79" s="1"/>
  <c r="O266" i="79" s="1"/>
  <c r="P201" i="79" a="1"/>
  <c r="P201" i="79" s="1"/>
  <c r="P266" i="79" s="1"/>
  <c r="D200" i="79" a="1"/>
  <c r="D200" i="79" s="1"/>
  <c r="E200" i="79" a="1"/>
  <c r="E200" i="79" s="1"/>
  <c r="E265" i="79" s="1"/>
  <c r="F200" i="79" a="1"/>
  <c r="F200" i="79" s="1"/>
  <c r="F265" i="79" s="1"/>
  <c r="G200" i="79" a="1"/>
  <c r="G200" i="79" s="1"/>
  <c r="G265" i="79" s="1"/>
  <c r="H200" i="79" a="1"/>
  <c r="H200" i="79" s="1"/>
  <c r="H265" i="79" s="1"/>
  <c r="I200" i="79" a="1"/>
  <c r="I200" i="79" s="1"/>
  <c r="I265" i="79" s="1"/>
  <c r="J200" i="79" a="1"/>
  <c r="J200" i="79" s="1"/>
  <c r="J265" i="79" s="1"/>
  <c r="K200" i="79" a="1"/>
  <c r="K200" i="79" s="1"/>
  <c r="K265" i="79" s="1"/>
  <c r="L200" i="79" a="1"/>
  <c r="L200" i="79" s="1"/>
  <c r="L265" i="79" s="1"/>
  <c r="M200" i="79" a="1"/>
  <c r="M200" i="79" s="1"/>
  <c r="M265" i="79" s="1"/>
  <c r="N200" i="79" a="1"/>
  <c r="N200" i="79" s="1"/>
  <c r="N265" i="79" s="1"/>
  <c r="O200" i="79" a="1"/>
  <c r="O200" i="79" s="1"/>
  <c r="O265" i="79" s="1"/>
  <c r="P200" i="79" a="1"/>
  <c r="P200" i="79" s="1"/>
  <c r="P265" i="79" s="1"/>
  <c r="D199" i="79" a="1"/>
  <c r="D199" i="79" s="1"/>
  <c r="E199" i="79" a="1"/>
  <c r="E199" i="79" s="1"/>
  <c r="E264" i="79" s="1"/>
  <c r="F199" i="79" a="1"/>
  <c r="F199" i="79" s="1"/>
  <c r="F264" i="79" s="1"/>
  <c r="G199" i="79" a="1"/>
  <c r="G199" i="79" s="1"/>
  <c r="G264" i="79" s="1"/>
  <c r="H199" i="79" a="1"/>
  <c r="H199" i="79" s="1"/>
  <c r="H264" i="79" s="1"/>
  <c r="I199" i="79" a="1"/>
  <c r="I199" i="79" s="1"/>
  <c r="I264" i="79" s="1"/>
  <c r="J199" i="79" a="1"/>
  <c r="J199" i="79" s="1"/>
  <c r="J264" i="79" s="1"/>
  <c r="K199" i="79" a="1"/>
  <c r="K199" i="79" s="1"/>
  <c r="K264" i="79" s="1"/>
  <c r="L199" i="79" a="1"/>
  <c r="L199" i="79" s="1"/>
  <c r="L264" i="79" s="1"/>
  <c r="M199" i="79" a="1"/>
  <c r="M199" i="79" s="1"/>
  <c r="M264" i="79" s="1"/>
  <c r="N199" i="79" a="1"/>
  <c r="N199" i="79" s="1"/>
  <c r="N264" i="79" s="1"/>
  <c r="O199" i="79" a="1"/>
  <c r="O199" i="79" s="1"/>
  <c r="O264" i="79" s="1"/>
  <c r="P199" i="79" a="1"/>
  <c r="P199" i="79" s="1"/>
  <c r="P264" i="79" s="1"/>
  <c r="D198" i="79" a="1"/>
  <c r="D198" i="79" s="1"/>
  <c r="E198" i="79" a="1"/>
  <c r="E198" i="79" s="1"/>
  <c r="E263" i="79" s="1"/>
  <c r="F198" i="79" a="1"/>
  <c r="F198" i="79" s="1"/>
  <c r="F263" i="79" s="1"/>
  <c r="G198" i="79" a="1"/>
  <c r="G198" i="79" s="1"/>
  <c r="G263" i="79" s="1"/>
  <c r="H198" i="79" a="1"/>
  <c r="H198" i="79" s="1"/>
  <c r="H263" i="79" s="1"/>
  <c r="I198" i="79" a="1"/>
  <c r="I198" i="79" s="1"/>
  <c r="I263" i="79" s="1"/>
  <c r="J198" i="79" a="1"/>
  <c r="J198" i="79" s="1"/>
  <c r="J263" i="79" s="1"/>
  <c r="K198" i="79" a="1"/>
  <c r="K198" i="79" s="1"/>
  <c r="K263" i="79" s="1"/>
  <c r="L198" i="79" a="1"/>
  <c r="L198" i="79" s="1"/>
  <c r="L263" i="79" s="1"/>
  <c r="M198" i="79" a="1"/>
  <c r="M198" i="79" s="1"/>
  <c r="M263" i="79" s="1"/>
  <c r="N198" i="79" a="1"/>
  <c r="N198" i="79" s="1"/>
  <c r="N263" i="79" s="1"/>
  <c r="O198" i="79" a="1"/>
  <c r="O198" i="79" s="1"/>
  <c r="O263" i="79" s="1"/>
  <c r="P198" i="79" a="1"/>
  <c r="P198" i="79" s="1"/>
  <c r="P263" i="79" s="1"/>
  <c r="D197" i="79" a="1"/>
  <c r="D197" i="79" s="1"/>
  <c r="E197" i="79" a="1"/>
  <c r="E197" i="79" s="1"/>
  <c r="E262" i="79" s="1"/>
  <c r="F197" i="79" a="1"/>
  <c r="F197" i="79" s="1"/>
  <c r="F262" i="79" s="1"/>
  <c r="G197" i="79" a="1"/>
  <c r="G197" i="79" s="1"/>
  <c r="G262" i="79" s="1"/>
  <c r="H197" i="79" a="1"/>
  <c r="H197" i="79" s="1"/>
  <c r="H262" i="79" s="1"/>
  <c r="I197" i="79" a="1"/>
  <c r="I197" i="79" s="1"/>
  <c r="I262" i="79" s="1"/>
  <c r="J197" i="79" a="1"/>
  <c r="J197" i="79" s="1"/>
  <c r="J262" i="79" s="1"/>
  <c r="K197" i="79" a="1"/>
  <c r="K197" i="79" s="1"/>
  <c r="K262" i="79" s="1"/>
  <c r="L197" i="79" a="1"/>
  <c r="L197" i="79" s="1"/>
  <c r="L262" i="79" s="1"/>
  <c r="M197" i="79" a="1"/>
  <c r="M197" i="79" s="1"/>
  <c r="M262" i="79" s="1"/>
  <c r="N197" i="79" a="1"/>
  <c r="N197" i="79" s="1"/>
  <c r="N262" i="79" s="1"/>
  <c r="O197" i="79" a="1"/>
  <c r="O197" i="79" s="1"/>
  <c r="O262" i="79" s="1"/>
  <c r="P197" i="79" a="1"/>
  <c r="P197" i="79" s="1"/>
  <c r="P262" i="79" s="1"/>
  <c r="D196" i="79" a="1"/>
  <c r="D196" i="79" s="1"/>
  <c r="E196" i="79" a="1"/>
  <c r="E196" i="79" s="1"/>
  <c r="E261" i="79" s="1"/>
  <c r="F196" i="79" a="1"/>
  <c r="F196" i="79" s="1"/>
  <c r="F261" i="79" s="1"/>
  <c r="G196" i="79" a="1"/>
  <c r="G196" i="79" s="1"/>
  <c r="G261" i="79" s="1"/>
  <c r="H196" i="79" a="1"/>
  <c r="H196" i="79" s="1"/>
  <c r="H261" i="79" s="1"/>
  <c r="I196" i="79" a="1"/>
  <c r="I196" i="79" s="1"/>
  <c r="I261" i="79" s="1"/>
  <c r="J196" i="79" a="1"/>
  <c r="J196" i="79" s="1"/>
  <c r="J261" i="79" s="1"/>
  <c r="K196" i="79" a="1"/>
  <c r="K196" i="79" s="1"/>
  <c r="K261" i="79" s="1"/>
  <c r="L196" i="79" a="1"/>
  <c r="L196" i="79" s="1"/>
  <c r="L261" i="79" s="1"/>
  <c r="M196" i="79" a="1"/>
  <c r="M196" i="79" s="1"/>
  <c r="M261" i="79" s="1"/>
  <c r="N196" i="79" a="1"/>
  <c r="N196" i="79" s="1"/>
  <c r="N261" i="79" s="1"/>
  <c r="O196" i="79" a="1"/>
  <c r="O196" i="79" s="1"/>
  <c r="O261" i="79" s="1"/>
  <c r="P196" i="79" a="1"/>
  <c r="P196" i="79" s="1"/>
  <c r="P261" i="79" s="1"/>
  <c r="D195" i="79" a="1"/>
  <c r="D195" i="79" s="1"/>
  <c r="E195" i="79" a="1"/>
  <c r="E195" i="79" s="1"/>
  <c r="E260" i="79" s="1"/>
  <c r="F195" i="79" a="1"/>
  <c r="F195" i="79" s="1"/>
  <c r="F260" i="79" s="1"/>
  <c r="G195" i="79" a="1"/>
  <c r="G195" i="79" s="1"/>
  <c r="G260" i="79" s="1"/>
  <c r="H195" i="79" a="1"/>
  <c r="H195" i="79" s="1"/>
  <c r="H260" i="79" s="1"/>
  <c r="I195" i="79" a="1"/>
  <c r="I195" i="79" s="1"/>
  <c r="I260" i="79" s="1"/>
  <c r="J195" i="79" a="1"/>
  <c r="J195" i="79" s="1"/>
  <c r="J260" i="79" s="1"/>
  <c r="K195" i="79" a="1"/>
  <c r="K195" i="79" s="1"/>
  <c r="K260" i="79" s="1"/>
  <c r="L195" i="79" a="1"/>
  <c r="L195" i="79" s="1"/>
  <c r="L260" i="79" s="1"/>
  <c r="M195" i="79" a="1"/>
  <c r="M195" i="79" s="1"/>
  <c r="M260" i="79" s="1"/>
  <c r="N195" i="79" a="1"/>
  <c r="N195" i="79" s="1"/>
  <c r="N260" i="79" s="1"/>
  <c r="O195" i="79" a="1"/>
  <c r="O195" i="79" s="1"/>
  <c r="O260" i="79" s="1"/>
  <c r="P195" i="79" a="1"/>
  <c r="P195" i="79" s="1"/>
  <c r="P260" i="79" s="1"/>
  <c r="D194" i="79" a="1"/>
  <c r="D194" i="79" s="1"/>
  <c r="E194" i="79" a="1"/>
  <c r="E194" i="79" s="1"/>
  <c r="E259" i="79" s="1"/>
  <c r="F194" i="79" a="1"/>
  <c r="F194" i="79" s="1"/>
  <c r="F259" i="79" s="1"/>
  <c r="G194" i="79" a="1"/>
  <c r="G194" i="79" s="1"/>
  <c r="G259" i="79" s="1"/>
  <c r="H194" i="79" a="1"/>
  <c r="H194" i="79" s="1"/>
  <c r="H259" i="79" s="1"/>
  <c r="I194" i="79" a="1"/>
  <c r="I194" i="79" s="1"/>
  <c r="I259" i="79" s="1"/>
  <c r="J194" i="79" a="1"/>
  <c r="J194" i="79" s="1"/>
  <c r="J259" i="79" s="1"/>
  <c r="K194" i="79" a="1"/>
  <c r="K194" i="79" s="1"/>
  <c r="K259" i="79" s="1"/>
  <c r="L194" i="79" a="1"/>
  <c r="L194" i="79" s="1"/>
  <c r="L259" i="79" s="1"/>
  <c r="M194" i="79" a="1"/>
  <c r="M194" i="79" s="1"/>
  <c r="M259" i="79" s="1"/>
  <c r="N194" i="79" a="1"/>
  <c r="N194" i="79" s="1"/>
  <c r="N259" i="79" s="1"/>
  <c r="O194" i="79" a="1"/>
  <c r="O194" i="79" s="1"/>
  <c r="O259" i="79" s="1"/>
  <c r="P194" i="79" a="1"/>
  <c r="P194" i="79" s="1"/>
  <c r="P259" i="79" s="1"/>
  <c r="D193" i="79" a="1"/>
  <c r="D193" i="79" s="1"/>
  <c r="E193" i="79" a="1"/>
  <c r="E193" i="79" s="1"/>
  <c r="E258" i="79" s="1"/>
  <c r="F193" i="79" a="1"/>
  <c r="F193" i="79" s="1"/>
  <c r="F258" i="79" s="1"/>
  <c r="G193" i="79" a="1"/>
  <c r="G193" i="79" s="1"/>
  <c r="G258" i="79" s="1"/>
  <c r="H193" i="79" a="1"/>
  <c r="H193" i="79" s="1"/>
  <c r="H258" i="79" s="1"/>
  <c r="I193" i="79" a="1"/>
  <c r="I193" i="79" s="1"/>
  <c r="I258" i="79" s="1"/>
  <c r="J193" i="79" a="1"/>
  <c r="J193" i="79" s="1"/>
  <c r="J258" i="79" s="1"/>
  <c r="K193" i="79" a="1"/>
  <c r="K193" i="79" s="1"/>
  <c r="K258" i="79" s="1"/>
  <c r="L193" i="79" a="1"/>
  <c r="L193" i="79" s="1"/>
  <c r="L258" i="79" s="1"/>
  <c r="M193" i="79" a="1"/>
  <c r="M193" i="79" s="1"/>
  <c r="M258" i="79" s="1"/>
  <c r="N193" i="79" a="1"/>
  <c r="N193" i="79" s="1"/>
  <c r="N258" i="79" s="1"/>
  <c r="O193" i="79" a="1"/>
  <c r="O193" i="79" s="1"/>
  <c r="O258" i="79" s="1"/>
  <c r="P193" i="79" a="1"/>
  <c r="P193" i="79" s="1"/>
  <c r="P258" i="79" s="1"/>
  <c r="D192" i="79" a="1"/>
  <c r="D192" i="79" s="1"/>
  <c r="E192" i="79" a="1"/>
  <c r="E192" i="79" s="1"/>
  <c r="E257" i="79" s="1"/>
  <c r="F192" i="79" a="1"/>
  <c r="F192" i="79" s="1"/>
  <c r="F257" i="79" s="1"/>
  <c r="G192" i="79" a="1"/>
  <c r="G192" i="79" s="1"/>
  <c r="G257" i="79" s="1"/>
  <c r="H192" i="79" a="1"/>
  <c r="H192" i="79" s="1"/>
  <c r="H257" i="79" s="1"/>
  <c r="I192" i="79" a="1"/>
  <c r="I192" i="79" s="1"/>
  <c r="I257" i="79" s="1"/>
  <c r="J192" i="79" a="1"/>
  <c r="J192" i="79" s="1"/>
  <c r="J257" i="79" s="1"/>
  <c r="K192" i="79" a="1"/>
  <c r="K192" i="79" s="1"/>
  <c r="K257" i="79" s="1"/>
  <c r="L192" i="79" a="1"/>
  <c r="L192" i="79" s="1"/>
  <c r="L257" i="79" s="1"/>
  <c r="M192" i="79" a="1"/>
  <c r="M192" i="79" s="1"/>
  <c r="M257" i="79" s="1"/>
  <c r="N192" i="79" a="1"/>
  <c r="N192" i="79" s="1"/>
  <c r="N257" i="79" s="1"/>
  <c r="O192" i="79" a="1"/>
  <c r="O192" i="79" s="1"/>
  <c r="O257" i="79" s="1"/>
  <c r="P192" i="79" a="1"/>
  <c r="P192" i="79" s="1"/>
  <c r="P257" i="79" s="1"/>
  <c r="D191" i="79" a="1"/>
  <c r="D191" i="79" s="1"/>
  <c r="E191" i="79" a="1"/>
  <c r="E191" i="79" s="1"/>
  <c r="E256" i="79" s="1"/>
  <c r="F191" i="79" a="1"/>
  <c r="F191" i="79" s="1"/>
  <c r="F256" i="79" s="1"/>
  <c r="G191" i="79" a="1"/>
  <c r="G191" i="79" s="1"/>
  <c r="G256" i="79" s="1"/>
  <c r="H191" i="79" a="1"/>
  <c r="H191" i="79" s="1"/>
  <c r="H256" i="79" s="1"/>
  <c r="I191" i="79" a="1"/>
  <c r="I191" i="79" s="1"/>
  <c r="I256" i="79" s="1"/>
  <c r="J191" i="79" a="1"/>
  <c r="J191" i="79" s="1"/>
  <c r="J256" i="79" s="1"/>
  <c r="K191" i="79" a="1"/>
  <c r="K191" i="79" s="1"/>
  <c r="K256" i="79" s="1"/>
  <c r="L191" i="79" a="1"/>
  <c r="L191" i="79" s="1"/>
  <c r="L256" i="79" s="1"/>
  <c r="M191" i="79" a="1"/>
  <c r="M191" i="79" s="1"/>
  <c r="M256" i="79" s="1"/>
  <c r="N191" i="79" a="1"/>
  <c r="N191" i="79" s="1"/>
  <c r="N256" i="79" s="1"/>
  <c r="O191" i="79" a="1"/>
  <c r="O191" i="79" s="1"/>
  <c r="O256" i="79" s="1"/>
  <c r="P191" i="79" a="1"/>
  <c r="P191" i="79" s="1"/>
  <c r="P256" i="79" s="1"/>
  <c r="D190" i="79" a="1"/>
  <c r="D190" i="79" s="1"/>
  <c r="E190" i="79" a="1"/>
  <c r="E190" i="79" s="1"/>
  <c r="E255" i="79" s="1"/>
  <c r="F190" i="79" a="1"/>
  <c r="F190" i="79" s="1"/>
  <c r="F255" i="79" s="1"/>
  <c r="G190" i="79" a="1"/>
  <c r="G190" i="79" s="1"/>
  <c r="G255" i="79" s="1"/>
  <c r="H190" i="79" a="1"/>
  <c r="H190" i="79" s="1"/>
  <c r="H255" i="79" s="1"/>
  <c r="I190" i="79" a="1"/>
  <c r="I190" i="79" s="1"/>
  <c r="I255" i="79" s="1"/>
  <c r="J190" i="79" a="1"/>
  <c r="J190" i="79" s="1"/>
  <c r="J255" i="79" s="1"/>
  <c r="K190" i="79" a="1"/>
  <c r="K190" i="79" s="1"/>
  <c r="K255" i="79" s="1"/>
  <c r="L190" i="79" a="1"/>
  <c r="L190" i="79" s="1"/>
  <c r="L255" i="79" s="1"/>
  <c r="M190" i="79" a="1"/>
  <c r="M190" i="79" s="1"/>
  <c r="M255" i="79" s="1"/>
  <c r="N190" i="79" a="1"/>
  <c r="N190" i="79" s="1"/>
  <c r="N255" i="79" s="1"/>
  <c r="O190" i="79" a="1"/>
  <c r="O190" i="79" s="1"/>
  <c r="O255" i="79" s="1"/>
  <c r="P190" i="79" a="1"/>
  <c r="P190" i="79" s="1"/>
  <c r="P255" i="79" s="1"/>
  <c r="D189" i="79" a="1"/>
  <c r="D189" i="79" s="1"/>
  <c r="E189" i="79" a="1"/>
  <c r="E189" i="79" s="1"/>
  <c r="E254" i="79" s="1"/>
  <c r="F189" i="79" a="1"/>
  <c r="F189" i="79" s="1"/>
  <c r="F254" i="79" s="1"/>
  <c r="G189" i="79" a="1"/>
  <c r="G189" i="79" s="1"/>
  <c r="G254" i="79" s="1"/>
  <c r="H189" i="79" a="1"/>
  <c r="H189" i="79" s="1"/>
  <c r="H254" i="79" s="1"/>
  <c r="I189" i="79" a="1"/>
  <c r="I189" i="79" s="1"/>
  <c r="I254" i="79" s="1"/>
  <c r="J189" i="79" a="1"/>
  <c r="J189" i="79" s="1"/>
  <c r="J254" i="79" s="1"/>
  <c r="K189" i="79" a="1"/>
  <c r="K189" i="79" s="1"/>
  <c r="K254" i="79" s="1"/>
  <c r="L189" i="79" a="1"/>
  <c r="L189" i="79" s="1"/>
  <c r="L254" i="79" s="1"/>
  <c r="M189" i="79" a="1"/>
  <c r="M189" i="79" s="1"/>
  <c r="M254" i="79" s="1"/>
  <c r="N189" i="79" a="1"/>
  <c r="N189" i="79" s="1"/>
  <c r="N254" i="79" s="1"/>
  <c r="O189" i="79" a="1"/>
  <c r="O189" i="79" s="1"/>
  <c r="O254" i="79" s="1"/>
  <c r="P189" i="79" a="1"/>
  <c r="P189" i="79" s="1"/>
  <c r="P254" i="79" s="1"/>
  <c r="P188" i="79" a="1"/>
  <c r="P188" i="79" s="1"/>
  <c r="P253" i="79" s="1"/>
  <c r="O188" i="79" a="1"/>
  <c r="O188" i="79" s="1"/>
  <c r="O253" i="79" s="1"/>
  <c r="N188" i="79" a="1"/>
  <c r="N188" i="79" s="1"/>
  <c r="N253" i="79" s="1"/>
  <c r="M188" i="79" a="1"/>
  <c r="M188" i="79" s="1"/>
  <c r="M253" i="79" s="1"/>
  <c r="L188" i="79" a="1"/>
  <c r="L188" i="79" s="1"/>
  <c r="L253" i="79" s="1"/>
  <c r="K188" i="79" a="1"/>
  <c r="K188" i="79" s="1"/>
  <c r="K253" i="79" s="1"/>
  <c r="J188" i="79" a="1"/>
  <c r="J188" i="79" s="1"/>
  <c r="J253" i="79" s="1"/>
  <c r="I188" i="79" a="1"/>
  <c r="I188" i="79" s="1"/>
  <c r="I253" i="79" s="1"/>
  <c r="H188" i="79" a="1"/>
  <c r="H188" i="79" s="1"/>
  <c r="H253" i="79" s="1"/>
  <c r="G188" i="79" a="1"/>
  <c r="G188" i="79" s="1"/>
  <c r="G253" i="79" s="1"/>
  <c r="F188" i="79" a="1"/>
  <c r="F188" i="79" s="1"/>
  <c r="F253" i="79" s="1"/>
  <c r="E188" i="79" a="1"/>
  <c r="E188" i="79" s="1"/>
  <c r="E253" i="79" s="1"/>
  <c r="D188" i="79" a="1"/>
  <c r="D188" i="79" s="1"/>
  <c r="D186" i="79" a="1"/>
  <c r="D186" i="79" s="1"/>
  <c r="D185" i="79" a="1"/>
  <c r="D185" i="79" s="1"/>
  <c r="D184" i="79" a="1"/>
  <c r="D184" i="79" s="1"/>
  <c r="D183" i="79" a="1"/>
  <c r="D183" i="79" s="1"/>
  <c r="D180" i="79" a="1"/>
  <c r="D180" i="79" s="1"/>
  <c r="E180" i="79" a="1"/>
  <c r="E180" i="79" s="1"/>
  <c r="E252" i="79" s="1"/>
  <c r="F180" i="79" a="1"/>
  <c r="F180" i="79" s="1"/>
  <c r="F252" i="79" s="1"/>
  <c r="G180" i="79" a="1"/>
  <c r="G180" i="79" s="1"/>
  <c r="G252" i="79" s="1"/>
  <c r="H180" i="79" a="1"/>
  <c r="H180" i="79" s="1"/>
  <c r="H252" i="79" s="1"/>
  <c r="I180" i="79" a="1"/>
  <c r="I180" i="79" s="1"/>
  <c r="I252" i="79" s="1"/>
  <c r="J180" i="79" a="1"/>
  <c r="J180" i="79" s="1"/>
  <c r="J252" i="79" s="1"/>
  <c r="K180" i="79" a="1"/>
  <c r="K180" i="79" s="1"/>
  <c r="L252" i="79" s="1"/>
  <c r="L180" i="79" a="1"/>
  <c r="L180" i="79" s="1"/>
  <c r="M252" i="79" s="1"/>
  <c r="M180" i="79" a="1"/>
  <c r="M180" i="79" s="1"/>
  <c r="P252" i="79" s="1"/>
  <c r="D179" i="79" a="1"/>
  <c r="D179" i="79" s="1"/>
  <c r="E179" i="79" a="1"/>
  <c r="E179" i="79" s="1"/>
  <c r="E251" i="79" s="1"/>
  <c r="F179" i="79" a="1"/>
  <c r="F179" i="79" s="1"/>
  <c r="F251" i="79" s="1"/>
  <c r="G179" i="79" a="1"/>
  <c r="G179" i="79" s="1"/>
  <c r="G251" i="79" s="1"/>
  <c r="H179" i="79" a="1"/>
  <c r="H179" i="79" s="1"/>
  <c r="H251" i="79" s="1"/>
  <c r="I179" i="79" a="1"/>
  <c r="I179" i="79" s="1"/>
  <c r="I251" i="79" s="1"/>
  <c r="J179" i="79" a="1"/>
  <c r="J179" i="79" s="1"/>
  <c r="J251" i="79" s="1"/>
  <c r="K179" i="79" a="1"/>
  <c r="K179" i="79" s="1"/>
  <c r="K251" i="79" s="1"/>
  <c r="L179" i="79" a="1"/>
  <c r="L179" i="79" s="1"/>
  <c r="M251" i="79" s="1"/>
  <c r="M179" i="79" a="1"/>
  <c r="M179" i="79" s="1"/>
  <c r="P251" i="79" s="1"/>
  <c r="D178" i="79" a="1"/>
  <c r="D178" i="79" s="1"/>
  <c r="E178" i="79" a="1"/>
  <c r="E178" i="79" s="1"/>
  <c r="E250" i="79" s="1"/>
  <c r="F178" i="79" a="1"/>
  <c r="F178" i="79" s="1"/>
  <c r="F250" i="79" s="1"/>
  <c r="G178" i="79" a="1"/>
  <c r="G178" i="79" s="1"/>
  <c r="G250" i="79" s="1"/>
  <c r="H178" i="79" a="1"/>
  <c r="H178" i="79" s="1"/>
  <c r="H250" i="79" s="1"/>
  <c r="I178" i="79" a="1"/>
  <c r="I178" i="79" s="1"/>
  <c r="I250" i="79" s="1"/>
  <c r="J178" i="79" a="1"/>
  <c r="J178" i="79" s="1"/>
  <c r="J250" i="79" s="1"/>
  <c r="K178" i="79" a="1"/>
  <c r="K178" i="79" s="1"/>
  <c r="L250" i="79" s="1"/>
  <c r="L178" i="79" a="1"/>
  <c r="L178" i="79" s="1"/>
  <c r="M250" i="79" s="1"/>
  <c r="M178" i="79" a="1"/>
  <c r="M178" i="79" s="1"/>
  <c r="N250" i="79" s="1"/>
  <c r="D177" i="79" a="1"/>
  <c r="D177" i="79" s="1"/>
  <c r="E177" i="79" a="1"/>
  <c r="E177" i="79" s="1"/>
  <c r="E249" i="79" s="1"/>
  <c r="F177" i="79" a="1"/>
  <c r="F177" i="79" s="1"/>
  <c r="F249" i="79" s="1"/>
  <c r="G177" i="79" a="1"/>
  <c r="G177" i="79" s="1"/>
  <c r="G249" i="79" s="1"/>
  <c r="H177" i="79" a="1"/>
  <c r="H177" i="79" s="1"/>
  <c r="H249" i="79" s="1"/>
  <c r="I177" i="79" a="1"/>
  <c r="I177" i="79" s="1"/>
  <c r="I249" i="79" s="1"/>
  <c r="J177" i="79" a="1"/>
  <c r="J177" i="79" s="1"/>
  <c r="J249" i="79" s="1"/>
  <c r="K177" i="79" a="1"/>
  <c r="K177" i="79" s="1"/>
  <c r="L249" i="79" s="1"/>
  <c r="L177" i="79" a="1"/>
  <c r="L177" i="79" s="1"/>
  <c r="M249" i="79" s="1"/>
  <c r="M177" i="79" a="1"/>
  <c r="M177" i="79" s="1"/>
  <c r="N249" i="79" s="1"/>
  <c r="D176" i="79" a="1"/>
  <c r="D176" i="79" s="1"/>
  <c r="E176" i="79" a="1"/>
  <c r="E176" i="79" s="1"/>
  <c r="E248" i="79" s="1"/>
  <c r="F176" i="79" a="1"/>
  <c r="F176" i="79" s="1"/>
  <c r="F248" i="79" s="1"/>
  <c r="G176" i="79" a="1"/>
  <c r="G176" i="79" s="1"/>
  <c r="G248" i="79" s="1"/>
  <c r="H176" i="79" a="1"/>
  <c r="H176" i="79" s="1"/>
  <c r="H248" i="79" s="1"/>
  <c r="I176" i="79" a="1"/>
  <c r="I176" i="79" s="1"/>
  <c r="I248" i="79" s="1"/>
  <c r="J176" i="79" a="1"/>
  <c r="J176" i="79" s="1"/>
  <c r="J248" i="79" s="1"/>
  <c r="K176" i="79" a="1"/>
  <c r="K176" i="79" s="1"/>
  <c r="K248" i="79" s="1"/>
  <c r="L176" i="79" a="1"/>
  <c r="L176" i="79" s="1"/>
  <c r="M248" i="79" s="1"/>
  <c r="M176" i="79" a="1"/>
  <c r="M176" i="79" s="1"/>
  <c r="N248" i="79" s="1"/>
  <c r="D175" i="79" a="1"/>
  <c r="D175" i="79" s="1"/>
  <c r="E175" i="79" a="1"/>
  <c r="E175" i="79" s="1"/>
  <c r="E247" i="79" s="1"/>
  <c r="F175" i="79" a="1"/>
  <c r="F175" i="79" s="1"/>
  <c r="F247" i="79" s="1"/>
  <c r="G175" i="79" a="1"/>
  <c r="G175" i="79" s="1"/>
  <c r="G247" i="79" s="1"/>
  <c r="H175" i="79" a="1"/>
  <c r="H175" i="79" s="1"/>
  <c r="H247" i="79" s="1"/>
  <c r="I175" i="79" a="1"/>
  <c r="I175" i="79" s="1"/>
  <c r="I247" i="79" s="1"/>
  <c r="J175" i="79" a="1"/>
  <c r="J175" i="79" s="1"/>
  <c r="J247" i="79" s="1"/>
  <c r="K175" i="79" a="1"/>
  <c r="K175" i="79" s="1"/>
  <c r="K247" i="79" s="1"/>
  <c r="L175" i="79" a="1"/>
  <c r="L175" i="79" s="1"/>
  <c r="M247" i="79" s="1"/>
  <c r="M175" i="79" a="1"/>
  <c r="M175" i="79" s="1"/>
  <c r="N247" i="79" s="1"/>
  <c r="D174" i="79" a="1"/>
  <c r="D174" i="79" s="1"/>
  <c r="E174" i="79" a="1"/>
  <c r="E174" i="79" s="1"/>
  <c r="E246" i="79" s="1"/>
  <c r="F174" i="79" a="1"/>
  <c r="F174" i="79" s="1"/>
  <c r="F246" i="79" s="1"/>
  <c r="G174" i="79" a="1"/>
  <c r="G174" i="79" s="1"/>
  <c r="G246" i="79" s="1"/>
  <c r="H174" i="79" a="1"/>
  <c r="H174" i="79" s="1"/>
  <c r="H246" i="79" s="1"/>
  <c r="I174" i="79" a="1"/>
  <c r="I174" i="79" s="1"/>
  <c r="I246" i="79" s="1"/>
  <c r="J174" i="79" a="1"/>
  <c r="J174" i="79" s="1"/>
  <c r="J246" i="79" s="1"/>
  <c r="K174" i="79" a="1"/>
  <c r="K174" i="79" s="1"/>
  <c r="L246" i="79" s="1"/>
  <c r="L174" i="79" a="1"/>
  <c r="L174" i="79" s="1"/>
  <c r="M246" i="79" s="1"/>
  <c r="M174" i="79" a="1"/>
  <c r="M174" i="79" s="1"/>
  <c r="O246" i="79" s="1"/>
  <c r="D173" i="79" a="1"/>
  <c r="D173" i="79" s="1"/>
  <c r="E173" i="79" a="1"/>
  <c r="E173" i="79" s="1"/>
  <c r="E245" i="79" s="1"/>
  <c r="F173" i="79" a="1"/>
  <c r="F173" i="79" s="1"/>
  <c r="F245" i="79" s="1"/>
  <c r="G173" i="79" a="1"/>
  <c r="G173" i="79" s="1"/>
  <c r="G245" i="79" s="1"/>
  <c r="H173" i="79" a="1"/>
  <c r="H173" i="79" s="1"/>
  <c r="H245" i="79" s="1"/>
  <c r="I173" i="79" a="1"/>
  <c r="I173" i="79" s="1"/>
  <c r="I245" i="79" s="1"/>
  <c r="J173" i="79" a="1"/>
  <c r="J173" i="79" s="1"/>
  <c r="J245" i="79" s="1"/>
  <c r="K173" i="79" a="1"/>
  <c r="K173" i="79" s="1"/>
  <c r="L245" i="79" s="1"/>
  <c r="L173" i="79" a="1"/>
  <c r="L173" i="79" s="1"/>
  <c r="M245" i="79" s="1"/>
  <c r="M173" i="79" a="1"/>
  <c r="M173" i="79" s="1"/>
  <c r="P245" i="79" s="1"/>
  <c r="D172" i="79" a="1"/>
  <c r="D172" i="79" s="1"/>
  <c r="E172" i="79" a="1"/>
  <c r="E172" i="79" s="1"/>
  <c r="E244" i="79" s="1"/>
  <c r="F172" i="79" a="1"/>
  <c r="F172" i="79" s="1"/>
  <c r="F244" i="79" s="1"/>
  <c r="G172" i="79" a="1"/>
  <c r="G172" i="79" s="1"/>
  <c r="G244" i="79" s="1"/>
  <c r="H172" i="79" a="1"/>
  <c r="H172" i="79" s="1"/>
  <c r="H244" i="79" s="1"/>
  <c r="I172" i="79" a="1"/>
  <c r="I172" i="79" s="1"/>
  <c r="I244" i="79" s="1"/>
  <c r="J172" i="79" a="1"/>
  <c r="J172" i="79" s="1"/>
  <c r="J244" i="79" s="1"/>
  <c r="K172" i="79" a="1"/>
  <c r="K172" i="79" s="1"/>
  <c r="L244" i="79" s="1"/>
  <c r="L172" i="79" a="1"/>
  <c r="L172" i="79" s="1"/>
  <c r="M244" i="79" s="1"/>
  <c r="M172" i="79" a="1"/>
  <c r="M172" i="79" s="1"/>
  <c r="P244" i="79" s="1"/>
  <c r="D171" i="79" a="1"/>
  <c r="D171" i="79" s="1"/>
  <c r="E171" i="79" a="1"/>
  <c r="E171" i="79" s="1"/>
  <c r="E243" i="79" s="1"/>
  <c r="F171" i="79" a="1"/>
  <c r="F171" i="79" s="1"/>
  <c r="F243" i="79" s="1"/>
  <c r="G171" i="79" a="1"/>
  <c r="G171" i="79" s="1"/>
  <c r="G243" i="79" s="1"/>
  <c r="H171" i="79" a="1"/>
  <c r="H171" i="79" s="1"/>
  <c r="H243" i="79" s="1"/>
  <c r="I171" i="79" a="1"/>
  <c r="I171" i="79" s="1"/>
  <c r="I243" i="79" s="1"/>
  <c r="J171" i="79" a="1"/>
  <c r="J171" i="79" s="1"/>
  <c r="J243" i="79" s="1"/>
  <c r="K171" i="79" a="1"/>
  <c r="K171" i="79" s="1"/>
  <c r="L243" i="79" s="1"/>
  <c r="L171" i="79" a="1"/>
  <c r="L171" i="79" s="1"/>
  <c r="M243" i="79" s="1"/>
  <c r="M171" i="79" a="1"/>
  <c r="M171" i="79" s="1"/>
  <c r="P243" i="79" s="1"/>
  <c r="D170" i="79" a="1"/>
  <c r="D170" i="79" s="1"/>
  <c r="E170" i="79" a="1"/>
  <c r="E170" i="79" s="1"/>
  <c r="E242" i="79" s="1"/>
  <c r="F170" i="79" a="1"/>
  <c r="F170" i="79" s="1"/>
  <c r="F242" i="79" s="1"/>
  <c r="G170" i="79" a="1"/>
  <c r="G170" i="79" s="1"/>
  <c r="G242" i="79" s="1"/>
  <c r="H170" i="79" a="1"/>
  <c r="H170" i="79" s="1"/>
  <c r="H242" i="79" s="1"/>
  <c r="I170" i="79" a="1"/>
  <c r="I170" i="79" s="1"/>
  <c r="I242" i="79" s="1"/>
  <c r="J170" i="79" a="1"/>
  <c r="J170" i="79" s="1"/>
  <c r="J242" i="79" s="1"/>
  <c r="K170" i="79" a="1"/>
  <c r="K170" i="79" s="1"/>
  <c r="K242" i="79" s="1"/>
  <c r="L170" i="79" a="1"/>
  <c r="L170" i="79" s="1"/>
  <c r="M242" i="79" s="1"/>
  <c r="M170" i="79" a="1"/>
  <c r="M170" i="79" s="1"/>
  <c r="P242" i="79" s="1"/>
  <c r="D169" i="79" a="1"/>
  <c r="D169" i="79" s="1"/>
  <c r="E169" i="79" a="1"/>
  <c r="E169" i="79" s="1"/>
  <c r="E241" i="79" s="1"/>
  <c r="F169" i="79" a="1"/>
  <c r="F169" i="79" s="1"/>
  <c r="F241" i="79" s="1"/>
  <c r="G169" i="79" a="1"/>
  <c r="G169" i="79" s="1"/>
  <c r="G241" i="79" s="1"/>
  <c r="H169" i="79" a="1"/>
  <c r="H169" i="79" s="1"/>
  <c r="H241" i="79" s="1"/>
  <c r="I169" i="79" a="1"/>
  <c r="I169" i="79" s="1"/>
  <c r="I241" i="79" s="1"/>
  <c r="J169" i="79" a="1"/>
  <c r="J169" i="79" s="1"/>
  <c r="J241" i="79" s="1"/>
  <c r="K169" i="79" a="1"/>
  <c r="K169" i="79" s="1"/>
  <c r="L241" i="79" s="1"/>
  <c r="L169" i="79" a="1"/>
  <c r="L169" i="79" s="1"/>
  <c r="M241" i="79" s="1"/>
  <c r="M169" i="79" a="1"/>
  <c r="M169" i="79" s="1"/>
  <c r="P241" i="79" s="1"/>
  <c r="D168" i="79" a="1"/>
  <c r="D168" i="79" s="1"/>
  <c r="E168" i="79" a="1"/>
  <c r="E168" i="79" s="1"/>
  <c r="F168" i="79" a="1"/>
  <c r="F168" i="79" s="1"/>
  <c r="F240" i="79" s="1"/>
  <c r="G168" i="79" a="1"/>
  <c r="G168" i="79" s="1"/>
  <c r="G240" i="79" s="1"/>
  <c r="H168" i="79" a="1"/>
  <c r="H168" i="79" s="1"/>
  <c r="H240" i="79" s="1"/>
  <c r="I168" i="79" a="1"/>
  <c r="I168" i="79" s="1"/>
  <c r="I240" i="79" s="1"/>
  <c r="J168" i="79" a="1"/>
  <c r="J168" i="79" s="1"/>
  <c r="J240" i="79" s="1"/>
  <c r="K168" i="79" a="1"/>
  <c r="K168" i="79" s="1"/>
  <c r="K240" i="79" s="1"/>
  <c r="L168" i="79" a="1"/>
  <c r="L168" i="79" s="1"/>
  <c r="M240" i="79" s="1"/>
  <c r="M168" i="79" a="1"/>
  <c r="M168" i="79" s="1"/>
  <c r="N240" i="79" s="1"/>
  <c r="D167" i="79" a="1"/>
  <c r="D167" i="79" s="1"/>
  <c r="E167" i="79" a="1"/>
  <c r="E167" i="79" s="1"/>
  <c r="F167" i="79" a="1"/>
  <c r="F167" i="79" s="1"/>
  <c r="F239" i="79" s="1"/>
  <c r="G167" i="79" a="1"/>
  <c r="G167" i="79" s="1"/>
  <c r="G239" i="79" s="1"/>
  <c r="H167" i="79" a="1"/>
  <c r="H167" i="79" s="1"/>
  <c r="H239" i="79" s="1"/>
  <c r="I167" i="79" a="1"/>
  <c r="I167" i="79" s="1"/>
  <c r="I239" i="79" s="1"/>
  <c r="J167" i="79" a="1"/>
  <c r="J167" i="79" s="1"/>
  <c r="J239" i="79" s="1"/>
  <c r="K167" i="79" a="1"/>
  <c r="K167" i="79" s="1"/>
  <c r="K239" i="79" s="1"/>
  <c r="L167" i="79" a="1"/>
  <c r="L167" i="79" s="1"/>
  <c r="M239" i="79" s="1"/>
  <c r="M167" i="79" a="1"/>
  <c r="M167" i="79" s="1"/>
  <c r="O239" i="79" s="1"/>
  <c r="D166" i="79" a="1"/>
  <c r="D166" i="79" s="1"/>
  <c r="E166" i="79" a="1"/>
  <c r="E166" i="79" s="1"/>
  <c r="F166" i="79" a="1"/>
  <c r="F166" i="79" s="1"/>
  <c r="F238" i="79" s="1"/>
  <c r="G166" i="79" a="1"/>
  <c r="G166" i="79" s="1"/>
  <c r="G238" i="79" s="1"/>
  <c r="H166" i="79" a="1"/>
  <c r="H166" i="79" s="1"/>
  <c r="H238" i="79" s="1"/>
  <c r="I166" i="79" a="1"/>
  <c r="I166" i="79" s="1"/>
  <c r="I238" i="79" s="1"/>
  <c r="J166" i="79" a="1"/>
  <c r="J166" i="79" s="1"/>
  <c r="J238" i="79" s="1"/>
  <c r="K166" i="79" a="1"/>
  <c r="K166" i="79" s="1"/>
  <c r="L238" i="79" s="1"/>
  <c r="L166" i="79" a="1"/>
  <c r="L166" i="79" s="1"/>
  <c r="M238" i="79" s="1"/>
  <c r="M166" i="79" a="1"/>
  <c r="M166" i="79" s="1"/>
  <c r="P238" i="79" s="1"/>
  <c r="D165" i="79" a="1"/>
  <c r="D165" i="79" s="1"/>
  <c r="E165" i="79" a="1"/>
  <c r="E165" i="79" s="1"/>
  <c r="F165" i="79" a="1"/>
  <c r="F165" i="79" s="1"/>
  <c r="F237" i="79" s="1"/>
  <c r="G165" i="79" a="1"/>
  <c r="G165" i="79" s="1"/>
  <c r="G237" i="79" s="1"/>
  <c r="H165" i="79" a="1"/>
  <c r="H165" i="79" s="1"/>
  <c r="H237" i="79" s="1"/>
  <c r="I165" i="79" a="1"/>
  <c r="I165" i="79" s="1"/>
  <c r="I237" i="79" s="1"/>
  <c r="J165" i="79" a="1"/>
  <c r="J165" i="79" s="1"/>
  <c r="J237" i="79" s="1"/>
  <c r="K165" i="79" a="1"/>
  <c r="K165" i="79" s="1"/>
  <c r="K237" i="79" s="1"/>
  <c r="L165" i="79" a="1"/>
  <c r="L165" i="79" s="1"/>
  <c r="M237" i="79" s="1"/>
  <c r="M165" i="79" a="1"/>
  <c r="M165" i="79" s="1"/>
  <c r="P237" i="79" s="1"/>
  <c r="D164" i="79" a="1"/>
  <c r="D164" i="79" s="1"/>
  <c r="E164" i="79" a="1"/>
  <c r="E164" i="79" s="1"/>
  <c r="F164" i="79" a="1"/>
  <c r="F164" i="79" s="1"/>
  <c r="F236" i="79" s="1"/>
  <c r="G164" i="79" a="1"/>
  <c r="G164" i="79" s="1"/>
  <c r="G236" i="79" s="1"/>
  <c r="H164" i="79" a="1"/>
  <c r="H164" i="79" s="1"/>
  <c r="H236" i="79" s="1"/>
  <c r="I164" i="79" a="1"/>
  <c r="I164" i="79" s="1"/>
  <c r="I236" i="79" s="1"/>
  <c r="J164" i="79" a="1"/>
  <c r="J164" i="79" s="1"/>
  <c r="J236" i="79" s="1"/>
  <c r="K164" i="79" a="1"/>
  <c r="K164" i="79" s="1"/>
  <c r="L236" i="79" s="1"/>
  <c r="L164" i="79" a="1"/>
  <c r="L164" i="79" s="1"/>
  <c r="M236" i="79" s="1"/>
  <c r="M164" i="79" a="1"/>
  <c r="M164" i="79" s="1"/>
  <c r="N236" i="79" s="1"/>
  <c r="D163" i="79" a="1"/>
  <c r="D163" i="79" s="1"/>
  <c r="E163" i="79" a="1"/>
  <c r="E163" i="79" s="1"/>
  <c r="F163" i="79" a="1"/>
  <c r="F163" i="79" s="1"/>
  <c r="F235" i="79" s="1"/>
  <c r="G163" i="79" a="1"/>
  <c r="G163" i="79" s="1"/>
  <c r="G235" i="79" s="1"/>
  <c r="H163" i="79" a="1"/>
  <c r="H163" i="79" s="1"/>
  <c r="H235" i="79" s="1"/>
  <c r="I163" i="79" a="1"/>
  <c r="I163" i="79" s="1"/>
  <c r="I235" i="79" s="1"/>
  <c r="J163" i="79" a="1"/>
  <c r="J163" i="79" s="1"/>
  <c r="J235" i="79" s="1"/>
  <c r="K163" i="79" a="1"/>
  <c r="K163" i="79" s="1"/>
  <c r="L235" i="79" s="1"/>
  <c r="L163" i="79" a="1"/>
  <c r="L163" i="79" s="1"/>
  <c r="M235" i="79" s="1"/>
  <c r="M163" i="79" a="1"/>
  <c r="M163" i="79" s="1"/>
  <c r="N235" i="79" s="1"/>
  <c r="D162" i="79" a="1"/>
  <c r="D162" i="79" s="1"/>
  <c r="E162" i="79" a="1"/>
  <c r="E162" i="79" s="1"/>
  <c r="F162" i="79" a="1"/>
  <c r="F162" i="79" s="1"/>
  <c r="F234" i="79" s="1"/>
  <c r="G162" i="79" a="1"/>
  <c r="G162" i="79" s="1"/>
  <c r="G234" i="79" s="1"/>
  <c r="H162" i="79" a="1"/>
  <c r="H162" i="79" s="1"/>
  <c r="H234" i="79" s="1"/>
  <c r="I162" i="79" a="1"/>
  <c r="I162" i="79" s="1"/>
  <c r="I234" i="79" s="1"/>
  <c r="J162" i="79" a="1"/>
  <c r="J162" i="79" s="1"/>
  <c r="J234" i="79" s="1"/>
  <c r="K162" i="79" a="1"/>
  <c r="K162" i="79" s="1"/>
  <c r="K234" i="79" s="1"/>
  <c r="L162" i="79" a="1"/>
  <c r="L162" i="79" s="1"/>
  <c r="M234" i="79" s="1"/>
  <c r="M162" i="79" a="1"/>
  <c r="M162" i="79" s="1"/>
  <c r="N234" i="79" s="1"/>
  <c r="D161" i="79" a="1"/>
  <c r="D161" i="79" s="1"/>
  <c r="E161" i="79" a="1"/>
  <c r="E161" i="79" s="1"/>
  <c r="F161" i="79" a="1"/>
  <c r="F161" i="79" s="1"/>
  <c r="F233" i="79" s="1"/>
  <c r="G161" i="79" a="1"/>
  <c r="G161" i="79" s="1"/>
  <c r="G233" i="79" s="1"/>
  <c r="H161" i="79" a="1"/>
  <c r="H161" i="79" s="1"/>
  <c r="H233" i="79" s="1"/>
  <c r="I161" i="79" a="1"/>
  <c r="I161" i="79" s="1"/>
  <c r="I233" i="79" s="1"/>
  <c r="J161" i="79" a="1"/>
  <c r="J161" i="79" s="1"/>
  <c r="J233" i="79" s="1"/>
  <c r="K161" i="79" a="1"/>
  <c r="K161" i="79" s="1"/>
  <c r="K233" i="79" s="1"/>
  <c r="L161" i="79" a="1"/>
  <c r="L161" i="79" s="1"/>
  <c r="M233" i="79" s="1"/>
  <c r="M161" i="79" a="1"/>
  <c r="M161" i="79" s="1"/>
  <c r="N233" i="79" s="1"/>
  <c r="D160" i="79" a="1"/>
  <c r="D160" i="79" s="1"/>
  <c r="E160" i="79" a="1"/>
  <c r="E160" i="79" s="1"/>
  <c r="F160" i="79" a="1"/>
  <c r="F160" i="79" s="1"/>
  <c r="F232" i="79" s="1"/>
  <c r="G160" i="79" a="1"/>
  <c r="G160" i="79" s="1"/>
  <c r="G232" i="79" s="1"/>
  <c r="H160" i="79" a="1"/>
  <c r="H160" i="79" s="1"/>
  <c r="H232" i="79" s="1"/>
  <c r="I160" i="79" a="1"/>
  <c r="I160" i="79" s="1"/>
  <c r="I232" i="79" s="1"/>
  <c r="J160" i="79" a="1"/>
  <c r="J160" i="79" s="1"/>
  <c r="J232" i="79" s="1"/>
  <c r="K160" i="79" a="1"/>
  <c r="K160" i="79" s="1"/>
  <c r="L232" i="79" s="1"/>
  <c r="L160" i="79" a="1"/>
  <c r="L160" i="79" s="1"/>
  <c r="M232" i="79" s="1"/>
  <c r="M160" i="79" a="1"/>
  <c r="M160" i="79" s="1"/>
  <c r="O232" i="79" s="1"/>
  <c r="D159" i="79" a="1"/>
  <c r="D159" i="79" s="1"/>
  <c r="E159" i="79" a="1"/>
  <c r="E159" i="79" s="1"/>
  <c r="F159" i="79" a="1"/>
  <c r="F159" i="79" s="1"/>
  <c r="F231" i="79" s="1"/>
  <c r="G159" i="79" a="1"/>
  <c r="G159" i="79" s="1"/>
  <c r="G231" i="79" s="1"/>
  <c r="H159" i="79" a="1"/>
  <c r="H159" i="79" s="1"/>
  <c r="H231" i="79" s="1"/>
  <c r="I159" i="79" a="1"/>
  <c r="I159" i="79" s="1"/>
  <c r="I231" i="79" s="1"/>
  <c r="J159" i="79" a="1"/>
  <c r="J159" i="79" s="1"/>
  <c r="J231" i="79" s="1"/>
  <c r="K159" i="79" a="1"/>
  <c r="K159" i="79" s="1"/>
  <c r="L231" i="79" s="1"/>
  <c r="L159" i="79" a="1"/>
  <c r="L159" i="79" s="1"/>
  <c r="M231" i="79" s="1"/>
  <c r="M159" i="79" a="1"/>
  <c r="M159" i="79" s="1"/>
  <c r="P231" i="79" s="1"/>
  <c r="D158" i="79" a="1"/>
  <c r="D158" i="79" s="1"/>
  <c r="E158" i="79" a="1"/>
  <c r="E158" i="79" s="1"/>
  <c r="F158" i="79" a="1"/>
  <c r="F158" i="79" s="1"/>
  <c r="F230" i="79" s="1"/>
  <c r="G158" i="79" a="1"/>
  <c r="G158" i="79" s="1"/>
  <c r="G230" i="79" s="1"/>
  <c r="H158" i="79" a="1"/>
  <c r="H158" i="79" s="1"/>
  <c r="H230" i="79" s="1"/>
  <c r="I158" i="79" a="1"/>
  <c r="I158" i="79" s="1"/>
  <c r="I230" i="79" s="1"/>
  <c r="J158" i="79" a="1"/>
  <c r="J158" i="79" s="1"/>
  <c r="J230" i="79" s="1"/>
  <c r="K158" i="79" a="1"/>
  <c r="K158" i="79" s="1"/>
  <c r="L230" i="79" s="1"/>
  <c r="L158" i="79" a="1"/>
  <c r="L158" i="79" s="1"/>
  <c r="M230" i="79" s="1"/>
  <c r="M158" i="79" a="1"/>
  <c r="M158" i="79" s="1"/>
  <c r="P230" i="79" s="1"/>
  <c r="D157" i="79" a="1"/>
  <c r="D157" i="79" s="1"/>
  <c r="E157" i="79" a="1"/>
  <c r="E157" i="79" s="1"/>
  <c r="F157" i="79" a="1"/>
  <c r="F157" i="79" s="1"/>
  <c r="F229" i="79" s="1"/>
  <c r="G157" i="79" a="1"/>
  <c r="G157" i="79" s="1"/>
  <c r="G229" i="79" s="1"/>
  <c r="H157" i="79" a="1"/>
  <c r="H157" i="79" s="1"/>
  <c r="H229" i="79" s="1"/>
  <c r="I157" i="79" a="1"/>
  <c r="I157" i="79" s="1"/>
  <c r="I229" i="79" s="1"/>
  <c r="J157" i="79" a="1"/>
  <c r="J157" i="79" s="1"/>
  <c r="J229" i="79" s="1"/>
  <c r="K157" i="79" a="1"/>
  <c r="K157" i="79" s="1"/>
  <c r="L229" i="79" s="1"/>
  <c r="L157" i="79" a="1"/>
  <c r="L157" i="79" s="1"/>
  <c r="M229" i="79" s="1"/>
  <c r="M157" i="79" a="1"/>
  <c r="M157" i="79" s="1"/>
  <c r="P229" i="79" s="1"/>
  <c r="D156" i="79" a="1"/>
  <c r="D156" i="79" s="1"/>
  <c r="E156" i="79" a="1"/>
  <c r="E156" i="79" s="1"/>
  <c r="F156" i="79" a="1"/>
  <c r="F156" i="79" s="1"/>
  <c r="F224" i="79" s="1"/>
  <c r="G156" i="79" a="1"/>
  <c r="G156" i="79" s="1"/>
  <c r="G228" i="79" s="1"/>
  <c r="H156" i="79" a="1"/>
  <c r="H156" i="79" s="1"/>
  <c r="H224" i="79" s="1"/>
  <c r="I156" i="79" a="1"/>
  <c r="I156" i="79" s="1"/>
  <c r="I224" i="79" s="1"/>
  <c r="J156" i="79" a="1"/>
  <c r="J156" i="79" s="1"/>
  <c r="J224" i="79" s="1"/>
  <c r="K156" i="79" a="1"/>
  <c r="K156" i="79" s="1"/>
  <c r="L228" i="79" s="1"/>
  <c r="L156" i="79" a="1"/>
  <c r="L156" i="79" s="1"/>
  <c r="M224" i="79" s="1"/>
  <c r="M156" i="79" a="1"/>
  <c r="M156" i="79" s="1"/>
  <c r="P224" i="79" s="1"/>
  <c r="D155" i="79" a="1"/>
  <c r="D155" i="79" s="1"/>
  <c r="E155" i="79" a="1"/>
  <c r="E155" i="79" s="1"/>
  <c r="F155" i="79" a="1"/>
  <c r="F155" i="79" s="1"/>
  <c r="F227" i="79" s="1"/>
  <c r="G155" i="79" a="1"/>
  <c r="G155" i="79" s="1"/>
  <c r="G223" i="79" s="1"/>
  <c r="H155" i="79" a="1"/>
  <c r="H155" i="79" s="1"/>
  <c r="H223" i="79" s="1"/>
  <c r="I155" i="79" a="1"/>
  <c r="I155" i="79" s="1"/>
  <c r="I223" i="79" s="1"/>
  <c r="J155" i="79" a="1"/>
  <c r="J155" i="79" s="1"/>
  <c r="J223" i="79" s="1"/>
  <c r="K155" i="79" a="1"/>
  <c r="K155" i="79" s="1"/>
  <c r="K223" i="79" s="1"/>
  <c r="L155" i="79" a="1"/>
  <c r="L155" i="79" s="1"/>
  <c r="M223" i="79" s="1"/>
  <c r="M155" i="79" a="1"/>
  <c r="M155" i="79" s="1"/>
  <c r="N227" i="79" s="1"/>
  <c r="D154" i="79" a="1"/>
  <c r="D154" i="79" s="1"/>
  <c r="E154" i="79" a="1"/>
  <c r="E154" i="79" s="1"/>
  <c r="F154" i="79" a="1"/>
  <c r="F154" i="79" s="1"/>
  <c r="F226" i="79" s="1"/>
  <c r="G154" i="79" a="1"/>
  <c r="G154" i="79" s="1"/>
  <c r="G222" i="79" s="1"/>
  <c r="H154" i="79" a="1"/>
  <c r="H154" i="79" s="1"/>
  <c r="H222" i="79" s="1"/>
  <c r="I154" i="79" a="1"/>
  <c r="I154" i="79" s="1"/>
  <c r="I222" i="79" s="1"/>
  <c r="J154" i="79" a="1"/>
  <c r="J154" i="79" s="1"/>
  <c r="J222" i="79" s="1"/>
  <c r="K154" i="79" a="1"/>
  <c r="K154" i="79" s="1"/>
  <c r="K222" i="79" s="1"/>
  <c r="L154" i="79" a="1"/>
  <c r="L154" i="79" s="1"/>
  <c r="M222" i="79" s="1"/>
  <c r="M154" i="79" a="1"/>
  <c r="M154" i="79" s="1"/>
  <c r="N226" i="79" s="1"/>
  <c r="M153" i="79" a="1"/>
  <c r="M153" i="79" s="1"/>
  <c r="P221" i="79" s="1"/>
  <c r="L153" i="79" a="1"/>
  <c r="L153" i="79" s="1"/>
  <c r="M221" i="79" s="1"/>
  <c r="K153" i="79" a="1"/>
  <c r="K153" i="79" s="1"/>
  <c r="L221" i="79" s="1"/>
  <c r="J153" i="79" a="1"/>
  <c r="J153" i="79" s="1"/>
  <c r="J221" i="79" s="1"/>
  <c r="I153" i="79" a="1"/>
  <c r="I153" i="79" s="1"/>
  <c r="I221" i="79" s="1"/>
  <c r="H153" i="79" a="1"/>
  <c r="H153" i="79" s="1"/>
  <c r="H221" i="79" s="1"/>
  <c r="G153" i="79" a="1"/>
  <c r="G153" i="79" s="1"/>
  <c r="G225" i="79" s="1"/>
  <c r="F153" i="79" a="1"/>
  <c r="F153" i="79" s="1"/>
  <c r="F225" i="79" s="1"/>
  <c r="E153" i="79" a="1"/>
  <c r="E153" i="79" s="1"/>
  <c r="D153" i="79" a="1"/>
  <c r="D153" i="79" s="1"/>
  <c r="D151" i="79" a="1"/>
  <c r="D151" i="79" s="1"/>
  <c r="D150" i="79" a="1"/>
  <c r="D150" i="79" s="1"/>
  <c r="D149" i="79" a="1"/>
  <c r="D149" i="79" s="1"/>
  <c r="D148" i="79" a="1"/>
  <c r="D148" i="79" s="1"/>
  <c r="D99" i="70"/>
  <c r="D98" i="70"/>
  <c r="D97" i="70"/>
  <c r="D96" i="70"/>
  <c r="D95" i="70"/>
  <c r="D94" i="70"/>
  <c r="D93" i="70"/>
  <c r="D92" i="70"/>
  <c r="D91" i="70"/>
  <c r="D90" i="70"/>
  <c r="D89" i="70"/>
  <c r="D88" i="70"/>
  <c r="E7" i="70"/>
  <c r="D81" i="79" a="1"/>
  <c r="D81" i="79" s="1"/>
  <c r="E81" i="79" a="1"/>
  <c r="E81" i="79" s="1"/>
  <c r="E145" i="79" s="1"/>
  <c r="F81" i="79" a="1"/>
  <c r="F81" i="79" s="1"/>
  <c r="F145" i="79" s="1"/>
  <c r="G81" i="79" a="1"/>
  <c r="G81" i="79" s="1"/>
  <c r="G145" i="79" s="1"/>
  <c r="H81" i="79" a="1"/>
  <c r="H81" i="79" s="1"/>
  <c r="H145" i="79" s="1"/>
  <c r="I81" i="79" a="1"/>
  <c r="I81" i="79" s="1"/>
  <c r="I145" i="79" s="1"/>
  <c r="J81" i="79" a="1"/>
  <c r="J81" i="79" s="1"/>
  <c r="J145" i="79" s="1"/>
  <c r="K81" i="79" a="1"/>
  <c r="K81" i="79" s="1"/>
  <c r="K145" i="79" s="1"/>
  <c r="L81" i="79" a="1"/>
  <c r="L81" i="79" s="1"/>
  <c r="L145" i="79" s="1"/>
  <c r="M81" i="79" a="1"/>
  <c r="M81" i="79" s="1"/>
  <c r="M145" i="79" s="1"/>
  <c r="N81" i="79" a="1"/>
  <c r="N81" i="79" s="1"/>
  <c r="N145" i="79" s="1"/>
  <c r="O81" i="79" a="1"/>
  <c r="O81" i="79" s="1"/>
  <c r="O145" i="79" s="1"/>
  <c r="P81" i="79" a="1"/>
  <c r="P81" i="79" s="1"/>
  <c r="P145" i="79" s="1"/>
  <c r="D80" i="79" a="1"/>
  <c r="D80" i="79" s="1"/>
  <c r="E80" i="79" a="1"/>
  <c r="E80" i="79" s="1"/>
  <c r="E144" i="79" s="1"/>
  <c r="F80" i="79" a="1"/>
  <c r="F80" i="79" s="1"/>
  <c r="F144" i="79" s="1"/>
  <c r="G80" i="79" a="1"/>
  <c r="G80" i="79" s="1"/>
  <c r="G144" i="79" s="1"/>
  <c r="H80" i="79" a="1"/>
  <c r="H80" i="79" s="1"/>
  <c r="H144" i="79" s="1"/>
  <c r="I80" i="79" a="1"/>
  <c r="I80" i="79" s="1"/>
  <c r="I144" i="79" s="1"/>
  <c r="J80" i="79" a="1"/>
  <c r="J80" i="79" s="1"/>
  <c r="J144" i="79" s="1"/>
  <c r="K80" i="79" a="1"/>
  <c r="K80" i="79" s="1"/>
  <c r="K144" i="79" s="1"/>
  <c r="L80" i="79" a="1"/>
  <c r="L80" i="79" s="1"/>
  <c r="L144" i="79" s="1"/>
  <c r="M80" i="79" a="1"/>
  <c r="M80" i="79" s="1"/>
  <c r="M144" i="79" s="1"/>
  <c r="N80" i="79" a="1"/>
  <c r="N80" i="79" s="1"/>
  <c r="N144" i="79" s="1"/>
  <c r="O80" i="79" a="1"/>
  <c r="O80" i="79" s="1"/>
  <c r="O144" i="79" s="1"/>
  <c r="P80" i="79" a="1"/>
  <c r="P80" i="79" s="1"/>
  <c r="P144" i="79" s="1"/>
  <c r="D79" i="79" a="1"/>
  <c r="D79" i="79" s="1"/>
  <c r="E79" i="79" a="1"/>
  <c r="E79" i="79" s="1"/>
  <c r="E143" i="79" s="1"/>
  <c r="F79" i="79" a="1"/>
  <c r="F79" i="79" s="1"/>
  <c r="F143" i="79" s="1"/>
  <c r="G79" i="79" a="1"/>
  <c r="G79" i="79" s="1"/>
  <c r="G143" i="79" s="1"/>
  <c r="H79" i="79" a="1"/>
  <c r="H79" i="79" s="1"/>
  <c r="H143" i="79" s="1"/>
  <c r="I79" i="79" a="1"/>
  <c r="I79" i="79" s="1"/>
  <c r="I143" i="79" s="1"/>
  <c r="J79" i="79" a="1"/>
  <c r="J79" i="79" s="1"/>
  <c r="J143" i="79" s="1"/>
  <c r="K79" i="79" a="1"/>
  <c r="K79" i="79" s="1"/>
  <c r="K143" i="79" s="1"/>
  <c r="L79" i="79" a="1"/>
  <c r="L79" i="79" s="1"/>
  <c r="L143" i="79" s="1"/>
  <c r="M79" i="79" a="1"/>
  <c r="M79" i="79" s="1"/>
  <c r="M143" i="79" s="1"/>
  <c r="N79" i="79" a="1"/>
  <c r="N79" i="79" s="1"/>
  <c r="N143" i="79" s="1"/>
  <c r="O79" i="79" a="1"/>
  <c r="O79" i="79" s="1"/>
  <c r="O143" i="79" s="1"/>
  <c r="P79" i="79" a="1"/>
  <c r="P79" i="79" s="1"/>
  <c r="P143" i="79" s="1"/>
  <c r="D78" i="79" a="1"/>
  <c r="D78" i="79" s="1"/>
  <c r="E78" i="79" a="1"/>
  <c r="E78" i="79" s="1"/>
  <c r="E142" i="79" s="1"/>
  <c r="F78" i="79" a="1"/>
  <c r="F78" i="79" s="1"/>
  <c r="F142" i="79" s="1"/>
  <c r="G78" i="79" a="1"/>
  <c r="G78" i="79" s="1"/>
  <c r="G142" i="79" s="1"/>
  <c r="H78" i="79" a="1"/>
  <c r="H78" i="79" s="1"/>
  <c r="H142" i="79" s="1"/>
  <c r="I78" i="79" a="1"/>
  <c r="I78" i="79" s="1"/>
  <c r="I142" i="79" s="1"/>
  <c r="J78" i="79" a="1"/>
  <c r="J78" i="79" s="1"/>
  <c r="J142" i="79" s="1"/>
  <c r="K78" i="79" a="1"/>
  <c r="K78" i="79" s="1"/>
  <c r="K142" i="79" s="1"/>
  <c r="L78" i="79" a="1"/>
  <c r="L78" i="79" s="1"/>
  <c r="L142" i="79" s="1"/>
  <c r="M78" i="79" a="1"/>
  <c r="M78" i="79" s="1"/>
  <c r="M142" i="79" s="1"/>
  <c r="N78" i="79" a="1"/>
  <c r="N78" i="79" s="1"/>
  <c r="N142" i="79" s="1"/>
  <c r="O78" i="79" a="1"/>
  <c r="O78" i="79" s="1"/>
  <c r="O142" i="79" s="1"/>
  <c r="P78" i="79" a="1"/>
  <c r="P78" i="79" s="1"/>
  <c r="P142" i="79" s="1"/>
  <c r="D77" i="79" a="1"/>
  <c r="D77" i="79" s="1"/>
  <c r="E77" i="79" a="1"/>
  <c r="E77" i="79" s="1"/>
  <c r="E141" i="79" s="1"/>
  <c r="F77" i="79" a="1"/>
  <c r="F77" i="79" s="1"/>
  <c r="F141" i="79" s="1"/>
  <c r="G77" i="79" a="1"/>
  <c r="G77" i="79" s="1"/>
  <c r="G141" i="79" s="1"/>
  <c r="H77" i="79" a="1"/>
  <c r="H77" i="79" s="1"/>
  <c r="H141" i="79" s="1"/>
  <c r="I77" i="79" a="1"/>
  <c r="I77" i="79" s="1"/>
  <c r="I141" i="79" s="1"/>
  <c r="J77" i="79" a="1"/>
  <c r="J77" i="79" s="1"/>
  <c r="J141" i="79" s="1"/>
  <c r="K77" i="79" a="1"/>
  <c r="K77" i="79" s="1"/>
  <c r="K141" i="79" s="1"/>
  <c r="L77" i="79" a="1"/>
  <c r="L77" i="79" s="1"/>
  <c r="L141" i="79" s="1"/>
  <c r="M77" i="79" a="1"/>
  <c r="M77" i="79" s="1"/>
  <c r="M141" i="79" s="1"/>
  <c r="N77" i="79" a="1"/>
  <c r="N77" i="79" s="1"/>
  <c r="N141" i="79" s="1"/>
  <c r="O77" i="79" a="1"/>
  <c r="O77" i="79" s="1"/>
  <c r="O141" i="79" s="1"/>
  <c r="P77" i="79" a="1"/>
  <c r="P77" i="79" s="1"/>
  <c r="P141" i="79" s="1"/>
  <c r="D76" i="79" a="1"/>
  <c r="D76" i="79" s="1"/>
  <c r="E76" i="79" a="1"/>
  <c r="E76" i="79" s="1"/>
  <c r="E140" i="79" s="1"/>
  <c r="F76" i="79" a="1"/>
  <c r="F76" i="79" s="1"/>
  <c r="F140" i="79" s="1"/>
  <c r="G76" i="79" a="1"/>
  <c r="G76" i="79" s="1"/>
  <c r="G140" i="79" s="1"/>
  <c r="H76" i="79" a="1"/>
  <c r="H76" i="79" s="1"/>
  <c r="H140" i="79" s="1"/>
  <c r="I76" i="79" a="1"/>
  <c r="I76" i="79" s="1"/>
  <c r="I140" i="79" s="1"/>
  <c r="J76" i="79" a="1"/>
  <c r="J76" i="79" s="1"/>
  <c r="J140" i="79" s="1"/>
  <c r="K76" i="79" a="1"/>
  <c r="K76" i="79" s="1"/>
  <c r="K140" i="79" s="1"/>
  <c r="L76" i="79" a="1"/>
  <c r="L76" i="79" s="1"/>
  <c r="L140" i="79" s="1"/>
  <c r="M76" i="79" a="1"/>
  <c r="M76" i="79" s="1"/>
  <c r="M140" i="79" s="1"/>
  <c r="N76" i="79" a="1"/>
  <c r="N76" i="79" s="1"/>
  <c r="N140" i="79" s="1"/>
  <c r="O76" i="79" a="1"/>
  <c r="O76" i="79" s="1"/>
  <c r="O140" i="79" s="1"/>
  <c r="P76" i="79" a="1"/>
  <c r="P76" i="79" s="1"/>
  <c r="P140" i="79" s="1"/>
  <c r="D75" i="79" a="1"/>
  <c r="D75" i="79" s="1"/>
  <c r="E75" i="79" a="1"/>
  <c r="E75" i="79" s="1"/>
  <c r="E139" i="79" s="1"/>
  <c r="F75" i="79" a="1"/>
  <c r="F75" i="79" s="1"/>
  <c r="F139" i="79" s="1"/>
  <c r="G75" i="79" a="1"/>
  <c r="G75" i="79" s="1"/>
  <c r="G139" i="79" s="1"/>
  <c r="H75" i="79" a="1"/>
  <c r="H75" i="79" s="1"/>
  <c r="H139" i="79" s="1"/>
  <c r="I75" i="79" a="1"/>
  <c r="I75" i="79" s="1"/>
  <c r="I139" i="79" s="1"/>
  <c r="J75" i="79" a="1"/>
  <c r="J75" i="79" s="1"/>
  <c r="J139" i="79" s="1"/>
  <c r="K75" i="79" a="1"/>
  <c r="K75" i="79" s="1"/>
  <c r="K139" i="79" s="1"/>
  <c r="L75" i="79" a="1"/>
  <c r="L75" i="79" s="1"/>
  <c r="L139" i="79" s="1"/>
  <c r="M75" i="79" a="1"/>
  <c r="M75" i="79" s="1"/>
  <c r="M139" i="79" s="1"/>
  <c r="N75" i="79" a="1"/>
  <c r="N75" i="79" s="1"/>
  <c r="N139" i="79" s="1"/>
  <c r="O75" i="79" a="1"/>
  <c r="O75" i="79" s="1"/>
  <c r="O139" i="79" s="1"/>
  <c r="P75" i="79" a="1"/>
  <c r="P75" i="79" s="1"/>
  <c r="P139" i="79" s="1"/>
  <c r="D74" i="79" a="1"/>
  <c r="D74" i="79" s="1"/>
  <c r="E74" i="79" a="1"/>
  <c r="E74" i="79" s="1"/>
  <c r="E138" i="79" s="1"/>
  <c r="F74" i="79" a="1"/>
  <c r="F74" i="79" s="1"/>
  <c r="F138" i="79" s="1"/>
  <c r="G74" i="79" a="1"/>
  <c r="G74" i="79" s="1"/>
  <c r="G138" i="79" s="1"/>
  <c r="H74" i="79" a="1"/>
  <c r="H74" i="79" s="1"/>
  <c r="H138" i="79" s="1"/>
  <c r="I74" i="79" a="1"/>
  <c r="I74" i="79" s="1"/>
  <c r="I138" i="79" s="1"/>
  <c r="J74" i="79" a="1"/>
  <c r="J74" i="79" s="1"/>
  <c r="J138" i="79" s="1"/>
  <c r="K74" i="79" a="1"/>
  <c r="K74" i="79" s="1"/>
  <c r="K138" i="79" s="1"/>
  <c r="L74" i="79" a="1"/>
  <c r="L74" i="79" s="1"/>
  <c r="L138" i="79" s="1"/>
  <c r="M74" i="79" a="1"/>
  <c r="M74" i="79" s="1"/>
  <c r="M138" i="79" s="1"/>
  <c r="N74" i="79" a="1"/>
  <c r="N74" i="79" s="1"/>
  <c r="N138" i="79" s="1"/>
  <c r="O74" i="79" a="1"/>
  <c r="O74" i="79" s="1"/>
  <c r="O138" i="79" s="1"/>
  <c r="P74" i="79" a="1"/>
  <c r="P74" i="79" s="1"/>
  <c r="P138" i="79" s="1"/>
  <c r="D73" i="79" a="1"/>
  <c r="D73" i="79" s="1"/>
  <c r="E73" i="79" a="1"/>
  <c r="E73" i="79" s="1"/>
  <c r="E137" i="79" s="1"/>
  <c r="F73" i="79" a="1"/>
  <c r="F73" i="79" s="1"/>
  <c r="F137" i="79" s="1"/>
  <c r="G73" i="79" a="1"/>
  <c r="G73" i="79" s="1"/>
  <c r="G137" i="79" s="1"/>
  <c r="H73" i="79" a="1"/>
  <c r="H73" i="79" s="1"/>
  <c r="H137" i="79" s="1"/>
  <c r="I73" i="79" a="1"/>
  <c r="I73" i="79" s="1"/>
  <c r="I137" i="79" s="1"/>
  <c r="J73" i="79" a="1"/>
  <c r="J73" i="79" s="1"/>
  <c r="J137" i="79" s="1"/>
  <c r="K73" i="79" a="1"/>
  <c r="K73" i="79" s="1"/>
  <c r="K137" i="79" s="1"/>
  <c r="L73" i="79" a="1"/>
  <c r="L73" i="79" s="1"/>
  <c r="L137" i="79" s="1"/>
  <c r="M73" i="79" a="1"/>
  <c r="M73" i="79" s="1"/>
  <c r="M137" i="79" s="1"/>
  <c r="N73" i="79" a="1"/>
  <c r="N73" i="79" s="1"/>
  <c r="N137" i="79" s="1"/>
  <c r="O73" i="79" a="1"/>
  <c r="O73" i="79" s="1"/>
  <c r="O137" i="79" s="1"/>
  <c r="P73" i="79" a="1"/>
  <c r="P73" i="79" s="1"/>
  <c r="P137" i="79" s="1"/>
  <c r="D72" i="79" a="1"/>
  <c r="D72" i="79" s="1"/>
  <c r="E72" i="79" a="1"/>
  <c r="E72" i="79" s="1"/>
  <c r="E136" i="79" s="1"/>
  <c r="F72" i="79" a="1"/>
  <c r="F72" i="79" s="1"/>
  <c r="F136" i="79" s="1"/>
  <c r="G72" i="79" a="1"/>
  <c r="G72" i="79" s="1"/>
  <c r="G136" i="79" s="1"/>
  <c r="H72" i="79" a="1"/>
  <c r="H72" i="79" s="1"/>
  <c r="H136" i="79" s="1"/>
  <c r="I72" i="79" a="1"/>
  <c r="I72" i="79" s="1"/>
  <c r="I136" i="79" s="1"/>
  <c r="J72" i="79" a="1"/>
  <c r="J72" i="79" s="1"/>
  <c r="J136" i="79" s="1"/>
  <c r="K72" i="79" a="1"/>
  <c r="K72" i="79" s="1"/>
  <c r="K136" i="79" s="1"/>
  <c r="L72" i="79" a="1"/>
  <c r="L72" i="79" s="1"/>
  <c r="L136" i="79" s="1"/>
  <c r="M72" i="79" a="1"/>
  <c r="M72" i="79" s="1"/>
  <c r="M136" i="79" s="1"/>
  <c r="N72" i="79" a="1"/>
  <c r="N72" i="79" s="1"/>
  <c r="N136" i="79" s="1"/>
  <c r="O72" i="79" a="1"/>
  <c r="O72" i="79" s="1"/>
  <c r="O136" i="79" s="1"/>
  <c r="P72" i="79" a="1"/>
  <c r="P72" i="79" s="1"/>
  <c r="P136" i="79" s="1"/>
  <c r="D71" i="79" a="1"/>
  <c r="D71" i="79" s="1"/>
  <c r="E71" i="79" a="1"/>
  <c r="E71" i="79" s="1"/>
  <c r="E135" i="79" s="1"/>
  <c r="F71" i="79" a="1"/>
  <c r="F71" i="79" s="1"/>
  <c r="F135" i="79" s="1"/>
  <c r="G71" i="79" a="1"/>
  <c r="G71" i="79" s="1"/>
  <c r="G135" i="79" s="1"/>
  <c r="H71" i="79" a="1"/>
  <c r="H71" i="79" s="1"/>
  <c r="H135" i="79" s="1"/>
  <c r="I71" i="79" a="1"/>
  <c r="I71" i="79" s="1"/>
  <c r="I135" i="79" s="1"/>
  <c r="J71" i="79" a="1"/>
  <c r="J71" i="79" s="1"/>
  <c r="J135" i="79" s="1"/>
  <c r="K71" i="79" a="1"/>
  <c r="K71" i="79" s="1"/>
  <c r="K135" i="79" s="1"/>
  <c r="L71" i="79" a="1"/>
  <c r="L71" i="79" s="1"/>
  <c r="L135" i="79" s="1"/>
  <c r="M71" i="79" a="1"/>
  <c r="M71" i="79" s="1"/>
  <c r="M135" i="79" s="1"/>
  <c r="N71" i="79" a="1"/>
  <c r="N71" i="79" s="1"/>
  <c r="N135" i="79" s="1"/>
  <c r="O71" i="79" a="1"/>
  <c r="O71" i="79" s="1"/>
  <c r="O135" i="79" s="1"/>
  <c r="P71" i="79" a="1"/>
  <c r="P71" i="79" s="1"/>
  <c r="P135" i="79" s="1"/>
  <c r="D70" i="79" a="1"/>
  <c r="D70" i="79" s="1"/>
  <c r="E70" i="79" a="1"/>
  <c r="E70" i="79" s="1"/>
  <c r="E134" i="79" s="1"/>
  <c r="F70" i="79" a="1"/>
  <c r="F70" i="79" s="1"/>
  <c r="F134" i="79" s="1"/>
  <c r="G70" i="79" a="1"/>
  <c r="G70" i="79" s="1"/>
  <c r="G134" i="79" s="1"/>
  <c r="H70" i="79" a="1"/>
  <c r="H70" i="79" s="1"/>
  <c r="H134" i="79" s="1"/>
  <c r="I70" i="79" a="1"/>
  <c r="I70" i="79" s="1"/>
  <c r="I134" i="79" s="1"/>
  <c r="J70" i="79" a="1"/>
  <c r="J70" i="79" s="1"/>
  <c r="J134" i="79" s="1"/>
  <c r="K70" i="79" a="1"/>
  <c r="K70" i="79" s="1"/>
  <c r="K134" i="79" s="1"/>
  <c r="L70" i="79" a="1"/>
  <c r="L70" i="79" s="1"/>
  <c r="L134" i="79" s="1"/>
  <c r="M70" i="79" a="1"/>
  <c r="M70" i="79" s="1"/>
  <c r="M134" i="79" s="1"/>
  <c r="N70" i="79" a="1"/>
  <c r="N70" i="79" s="1"/>
  <c r="N134" i="79" s="1"/>
  <c r="O70" i="79" a="1"/>
  <c r="O70" i="79" s="1"/>
  <c r="O134" i="79" s="1"/>
  <c r="P70" i="79" a="1"/>
  <c r="P70" i="79" s="1"/>
  <c r="P134" i="79" s="1"/>
  <c r="D69" i="79" a="1"/>
  <c r="D69" i="79" s="1"/>
  <c r="E69" i="79" a="1"/>
  <c r="E69" i="79" s="1"/>
  <c r="E133" i="79" s="1"/>
  <c r="F69" i="79" a="1"/>
  <c r="F69" i="79" s="1"/>
  <c r="F133" i="79" s="1"/>
  <c r="G69" i="79" a="1"/>
  <c r="G69" i="79" s="1"/>
  <c r="G133" i="79" s="1"/>
  <c r="H69" i="79" a="1"/>
  <c r="H69" i="79" s="1"/>
  <c r="H133" i="79" s="1"/>
  <c r="I69" i="79" a="1"/>
  <c r="I69" i="79" s="1"/>
  <c r="I133" i="79" s="1"/>
  <c r="J69" i="79" a="1"/>
  <c r="J69" i="79" s="1"/>
  <c r="J133" i="79" s="1"/>
  <c r="K69" i="79" a="1"/>
  <c r="K69" i="79" s="1"/>
  <c r="K133" i="79" s="1"/>
  <c r="L69" i="79" a="1"/>
  <c r="L69" i="79" s="1"/>
  <c r="L133" i="79" s="1"/>
  <c r="M69" i="79" a="1"/>
  <c r="M69" i="79" s="1"/>
  <c r="M133" i="79" s="1"/>
  <c r="N69" i="79" a="1"/>
  <c r="N69" i="79" s="1"/>
  <c r="N133" i="79" s="1"/>
  <c r="O69" i="79" a="1"/>
  <c r="O69" i="79" s="1"/>
  <c r="O133" i="79" s="1"/>
  <c r="P69" i="79" a="1"/>
  <c r="P69" i="79" s="1"/>
  <c r="P133" i="79" s="1"/>
  <c r="D68" i="79" a="1"/>
  <c r="D68" i="79" s="1"/>
  <c r="E68" i="79" a="1"/>
  <c r="E68" i="79" s="1"/>
  <c r="E132" i="79" s="1"/>
  <c r="F68" i="79" a="1"/>
  <c r="F68" i="79" s="1"/>
  <c r="F132" i="79" s="1"/>
  <c r="G68" i="79" a="1"/>
  <c r="G68" i="79" s="1"/>
  <c r="G132" i="79" s="1"/>
  <c r="H68" i="79" a="1"/>
  <c r="H68" i="79" s="1"/>
  <c r="H132" i="79" s="1"/>
  <c r="I68" i="79" a="1"/>
  <c r="I68" i="79" s="1"/>
  <c r="I132" i="79" s="1"/>
  <c r="J68" i="79" a="1"/>
  <c r="J68" i="79" s="1"/>
  <c r="J132" i="79" s="1"/>
  <c r="K68" i="79" a="1"/>
  <c r="K68" i="79" s="1"/>
  <c r="K132" i="79" s="1"/>
  <c r="L68" i="79" a="1"/>
  <c r="L68" i="79" s="1"/>
  <c r="L132" i="79" s="1"/>
  <c r="M68" i="79" a="1"/>
  <c r="M68" i="79" s="1"/>
  <c r="M132" i="79" s="1"/>
  <c r="N68" i="79" a="1"/>
  <c r="N68" i="79" s="1"/>
  <c r="N132" i="79" s="1"/>
  <c r="O68" i="79" a="1"/>
  <c r="O68" i="79" s="1"/>
  <c r="O132" i="79" s="1"/>
  <c r="P68" i="79" a="1"/>
  <c r="P68" i="79" s="1"/>
  <c r="P132" i="79" s="1"/>
  <c r="D67" i="79" a="1"/>
  <c r="D67" i="79" s="1"/>
  <c r="E67" i="79" a="1"/>
  <c r="E67" i="79" s="1"/>
  <c r="E131" i="79" s="1"/>
  <c r="F67" i="79" a="1"/>
  <c r="F67" i="79" s="1"/>
  <c r="F131" i="79" s="1"/>
  <c r="G67" i="79" a="1"/>
  <c r="G67" i="79" s="1"/>
  <c r="G131" i="79" s="1"/>
  <c r="H67" i="79" a="1"/>
  <c r="H67" i="79" s="1"/>
  <c r="H131" i="79" s="1"/>
  <c r="I67" i="79" a="1"/>
  <c r="I67" i="79" s="1"/>
  <c r="I131" i="79" s="1"/>
  <c r="J67" i="79" a="1"/>
  <c r="J67" i="79" s="1"/>
  <c r="J131" i="79" s="1"/>
  <c r="K67" i="79" a="1"/>
  <c r="K67" i="79" s="1"/>
  <c r="K131" i="79" s="1"/>
  <c r="L67" i="79" a="1"/>
  <c r="L67" i="79" s="1"/>
  <c r="L131" i="79" s="1"/>
  <c r="M67" i="79" a="1"/>
  <c r="M67" i="79" s="1"/>
  <c r="M131" i="79" s="1"/>
  <c r="N67" i="79" a="1"/>
  <c r="N67" i="79" s="1"/>
  <c r="N131" i="79" s="1"/>
  <c r="O67" i="79" a="1"/>
  <c r="O67" i="79" s="1"/>
  <c r="O131" i="79" s="1"/>
  <c r="P67" i="79" a="1"/>
  <c r="P67" i="79" s="1"/>
  <c r="P131" i="79" s="1"/>
  <c r="D66" i="79" a="1"/>
  <c r="D66" i="79" s="1"/>
  <c r="E66" i="79" a="1"/>
  <c r="E66" i="79" s="1"/>
  <c r="E130" i="79" s="1"/>
  <c r="F66" i="79" a="1"/>
  <c r="F66" i="79" s="1"/>
  <c r="F130" i="79" s="1"/>
  <c r="G66" i="79" a="1"/>
  <c r="G66" i="79" s="1"/>
  <c r="G130" i="79" s="1"/>
  <c r="H66" i="79" a="1"/>
  <c r="H66" i="79" s="1"/>
  <c r="H130" i="79" s="1"/>
  <c r="I66" i="79" a="1"/>
  <c r="I66" i="79" s="1"/>
  <c r="I130" i="79" s="1"/>
  <c r="J66" i="79" a="1"/>
  <c r="J66" i="79" s="1"/>
  <c r="J130" i="79" s="1"/>
  <c r="K66" i="79" a="1"/>
  <c r="K66" i="79" s="1"/>
  <c r="K130" i="79" s="1"/>
  <c r="L66" i="79" a="1"/>
  <c r="L66" i="79" s="1"/>
  <c r="L130" i="79" s="1"/>
  <c r="M66" i="79" a="1"/>
  <c r="M66" i="79" s="1"/>
  <c r="M130" i="79" s="1"/>
  <c r="N66" i="79" a="1"/>
  <c r="N66" i="79" s="1"/>
  <c r="N130" i="79" s="1"/>
  <c r="O66" i="79" a="1"/>
  <c r="O66" i="79" s="1"/>
  <c r="O130" i="79" s="1"/>
  <c r="P66" i="79" a="1"/>
  <c r="P66" i="79" s="1"/>
  <c r="P130" i="79" s="1"/>
  <c r="D65" i="79" a="1"/>
  <c r="D65" i="79" s="1"/>
  <c r="E65" i="79" a="1"/>
  <c r="E65" i="79" s="1"/>
  <c r="E129" i="79" s="1"/>
  <c r="F65" i="79" a="1"/>
  <c r="F65" i="79" s="1"/>
  <c r="F129" i="79" s="1"/>
  <c r="G65" i="79" a="1"/>
  <c r="G65" i="79" s="1"/>
  <c r="G129" i="79" s="1"/>
  <c r="H65" i="79" a="1"/>
  <c r="H65" i="79" s="1"/>
  <c r="H129" i="79" s="1"/>
  <c r="I65" i="79" a="1"/>
  <c r="I65" i="79" s="1"/>
  <c r="I129" i="79" s="1"/>
  <c r="J65" i="79" a="1"/>
  <c r="J65" i="79" s="1"/>
  <c r="J129" i="79" s="1"/>
  <c r="K65" i="79" a="1"/>
  <c r="K65" i="79" s="1"/>
  <c r="K129" i="79" s="1"/>
  <c r="L65" i="79" a="1"/>
  <c r="L65" i="79" s="1"/>
  <c r="L129" i="79" s="1"/>
  <c r="M65" i="79" a="1"/>
  <c r="M65" i="79" s="1"/>
  <c r="M129" i="79" s="1"/>
  <c r="N65" i="79" a="1"/>
  <c r="N65" i="79" s="1"/>
  <c r="N129" i="79" s="1"/>
  <c r="O65" i="79" a="1"/>
  <c r="O65" i="79" s="1"/>
  <c r="O129" i="79" s="1"/>
  <c r="P65" i="79" a="1"/>
  <c r="P65" i="79" s="1"/>
  <c r="P129" i="79" s="1"/>
  <c r="D64" i="79" a="1"/>
  <c r="D64" i="79" s="1"/>
  <c r="E64" i="79" a="1"/>
  <c r="E64" i="79" s="1"/>
  <c r="E128" i="79" s="1"/>
  <c r="F64" i="79" a="1"/>
  <c r="F64" i="79" s="1"/>
  <c r="F128" i="79" s="1"/>
  <c r="G64" i="79" a="1"/>
  <c r="G64" i="79" s="1"/>
  <c r="G128" i="79" s="1"/>
  <c r="H64" i="79" a="1"/>
  <c r="H64" i="79" s="1"/>
  <c r="H128" i="79" s="1"/>
  <c r="I64" i="79" a="1"/>
  <c r="I64" i="79" s="1"/>
  <c r="I128" i="79" s="1"/>
  <c r="J64" i="79" a="1"/>
  <c r="J64" i="79" s="1"/>
  <c r="J128" i="79" s="1"/>
  <c r="K64" i="79" a="1"/>
  <c r="K64" i="79" s="1"/>
  <c r="K128" i="79" s="1"/>
  <c r="L64" i="79" a="1"/>
  <c r="L64" i="79" s="1"/>
  <c r="L128" i="79" s="1"/>
  <c r="M64" i="79" a="1"/>
  <c r="M64" i="79" s="1"/>
  <c r="M128" i="79" s="1"/>
  <c r="N64" i="79" a="1"/>
  <c r="N64" i="79" s="1"/>
  <c r="N128" i="79" s="1"/>
  <c r="O64" i="79" a="1"/>
  <c r="O64" i="79" s="1"/>
  <c r="O128" i="79" s="1"/>
  <c r="P64" i="79" a="1"/>
  <c r="P64" i="79" s="1"/>
  <c r="P128" i="79" s="1"/>
  <c r="D63" i="79" a="1"/>
  <c r="D63" i="79" s="1"/>
  <c r="E63" i="79" a="1"/>
  <c r="E63" i="79" s="1"/>
  <c r="E127" i="79" s="1"/>
  <c r="F63" i="79" a="1"/>
  <c r="F63" i="79" s="1"/>
  <c r="F127" i="79" s="1"/>
  <c r="G63" i="79" a="1"/>
  <c r="G63" i="79" s="1"/>
  <c r="G127" i="79" s="1"/>
  <c r="H63" i="79" a="1"/>
  <c r="H63" i="79" s="1"/>
  <c r="H127" i="79" s="1"/>
  <c r="I63" i="79" a="1"/>
  <c r="I63" i="79" s="1"/>
  <c r="I127" i="79" s="1"/>
  <c r="J63" i="79" a="1"/>
  <c r="J63" i="79" s="1"/>
  <c r="J127" i="79" s="1"/>
  <c r="K63" i="79" a="1"/>
  <c r="K63" i="79" s="1"/>
  <c r="K127" i="79" s="1"/>
  <c r="L63" i="79" a="1"/>
  <c r="L63" i="79" s="1"/>
  <c r="L127" i="79" s="1"/>
  <c r="M63" i="79" a="1"/>
  <c r="M63" i="79" s="1"/>
  <c r="M127" i="79" s="1"/>
  <c r="N63" i="79" a="1"/>
  <c r="N63" i="79" s="1"/>
  <c r="N127" i="79" s="1"/>
  <c r="O63" i="79" a="1"/>
  <c r="O63" i="79" s="1"/>
  <c r="O127" i="79" s="1"/>
  <c r="P63" i="79" a="1"/>
  <c r="P63" i="79" s="1"/>
  <c r="P127" i="79" s="1"/>
  <c r="D62" i="79" a="1"/>
  <c r="D62" i="79" s="1"/>
  <c r="E62" i="79" a="1"/>
  <c r="E62" i="79" s="1"/>
  <c r="E126" i="79" s="1"/>
  <c r="F62" i="79" a="1"/>
  <c r="F62" i="79" s="1"/>
  <c r="F126" i="79" s="1"/>
  <c r="G62" i="79" a="1"/>
  <c r="G62" i="79" s="1"/>
  <c r="G126" i="79" s="1"/>
  <c r="H62" i="79" a="1"/>
  <c r="H62" i="79" s="1"/>
  <c r="H126" i="79" s="1"/>
  <c r="I62" i="79" a="1"/>
  <c r="I62" i="79" s="1"/>
  <c r="I126" i="79" s="1"/>
  <c r="J62" i="79" a="1"/>
  <c r="J62" i="79" s="1"/>
  <c r="J126" i="79" s="1"/>
  <c r="K62" i="79" a="1"/>
  <c r="K62" i="79" s="1"/>
  <c r="K126" i="79" s="1"/>
  <c r="L62" i="79" a="1"/>
  <c r="L62" i="79" s="1"/>
  <c r="L126" i="79" s="1"/>
  <c r="M62" i="79" a="1"/>
  <c r="M62" i="79" s="1"/>
  <c r="M126" i="79" s="1"/>
  <c r="N62" i="79" a="1"/>
  <c r="N62" i="79" s="1"/>
  <c r="N126" i="79" s="1"/>
  <c r="O62" i="79" a="1"/>
  <c r="O62" i="79" s="1"/>
  <c r="O126" i="79" s="1"/>
  <c r="P62" i="79" a="1"/>
  <c r="P62" i="79" s="1"/>
  <c r="P126" i="79" s="1"/>
  <c r="D61" i="79" a="1"/>
  <c r="D61" i="79" s="1"/>
  <c r="E61" i="79" a="1"/>
  <c r="E61" i="79" s="1"/>
  <c r="E125" i="79" s="1"/>
  <c r="F61" i="79" a="1"/>
  <c r="F61" i="79" s="1"/>
  <c r="F125" i="79" s="1"/>
  <c r="G61" i="79" a="1"/>
  <c r="G61" i="79" s="1"/>
  <c r="G125" i="79" s="1"/>
  <c r="H61" i="79" a="1"/>
  <c r="H61" i="79" s="1"/>
  <c r="H125" i="79" s="1"/>
  <c r="I61" i="79" a="1"/>
  <c r="I61" i="79" s="1"/>
  <c r="I125" i="79" s="1"/>
  <c r="J61" i="79" a="1"/>
  <c r="J61" i="79" s="1"/>
  <c r="J125" i="79" s="1"/>
  <c r="K61" i="79" a="1"/>
  <c r="K61" i="79" s="1"/>
  <c r="K125" i="79" s="1"/>
  <c r="L61" i="79" a="1"/>
  <c r="L61" i="79" s="1"/>
  <c r="L125" i="79" s="1"/>
  <c r="M61" i="79" a="1"/>
  <c r="M61" i="79" s="1"/>
  <c r="M125" i="79" s="1"/>
  <c r="N61" i="79" a="1"/>
  <c r="N61" i="79" s="1"/>
  <c r="N125" i="79" s="1"/>
  <c r="O61" i="79" a="1"/>
  <c r="O61" i="79" s="1"/>
  <c r="O125" i="79" s="1"/>
  <c r="P61" i="79" a="1"/>
  <c r="P61" i="79" s="1"/>
  <c r="P125" i="79" s="1"/>
  <c r="D60" i="79" a="1"/>
  <c r="D60" i="79" s="1"/>
  <c r="E60" i="79" a="1"/>
  <c r="E60" i="79" s="1"/>
  <c r="E124" i="79" s="1"/>
  <c r="F60" i="79" a="1"/>
  <c r="F60" i="79" s="1"/>
  <c r="F124" i="79" s="1"/>
  <c r="G60" i="79" a="1"/>
  <c r="G60" i="79" s="1"/>
  <c r="G124" i="79" s="1"/>
  <c r="H60" i="79" a="1"/>
  <c r="H60" i="79" s="1"/>
  <c r="H124" i="79" s="1"/>
  <c r="I60" i="79" a="1"/>
  <c r="I60" i="79" s="1"/>
  <c r="I124" i="79" s="1"/>
  <c r="J60" i="79" a="1"/>
  <c r="J60" i="79" s="1"/>
  <c r="J124" i="79" s="1"/>
  <c r="K60" i="79" a="1"/>
  <c r="K60" i="79" s="1"/>
  <c r="K124" i="79" s="1"/>
  <c r="L60" i="79" a="1"/>
  <c r="L60" i="79" s="1"/>
  <c r="L124" i="79" s="1"/>
  <c r="M60" i="79" a="1"/>
  <c r="M60" i="79" s="1"/>
  <c r="M124" i="79" s="1"/>
  <c r="N60" i="79" a="1"/>
  <c r="N60" i="79" s="1"/>
  <c r="N124" i="79" s="1"/>
  <c r="O60" i="79" a="1"/>
  <c r="O60" i="79" s="1"/>
  <c r="O124" i="79" s="1"/>
  <c r="P60" i="79" a="1"/>
  <c r="P60" i="79" s="1"/>
  <c r="P124" i="79" s="1"/>
  <c r="D59" i="79" a="1"/>
  <c r="D59" i="79" s="1"/>
  <c r="E59" i="79" a="1"/>
  <c r="E59" i="79" s="1"/>
  <c r="E123" i="79" s="1"/>
  <c r="F59" i="79" a="1"/>
  <c r="F59" i="79" s="1"/>
  <c r="F123" i="79" s="1"/>
  <c r="G59" i="79" a="1"/>
  <c r="G59" i="79" s="1"/>
  <c r="G123" i="79" s="1"/>
  <c r="H59" i="79" a="1"/>
  <c r="H59" i="79" s="1"/>
  <c r="H123" i="79" s="1"/>
  <c r="I59" i="79" a="1"/>
  <c r="I59" i="79" s="1"/>
  <c r="I123" i="79" s="1"/>
  <c r="J59" i="79" a="1"/>
  <c r="J59" i="79" s="1"/>
  <c r="J123" i="79" s="1"/>
  <c r="K59" i="79" a="1"/>
  <c r="K59" i="79" s="1"/>
  <c r="K123" i="79" s="1"/>
  <c r="L59" i="79" a="1"/>
  <c r="L59" i="79" s="1"/>
  <c r="L123" i="79" s="1"/>
  <c r="M59" i="79" a="1"/>
  <c r="M59" i="79" s="1"/>
  <c r="M123" i="79" s="1"/>
  <c r="N59" i="79" a="1"/>
  <c r="N59" i="79" s="1"/>
  <c r="N123" i="79" s="1"/>
  <c r="O59" i="79" a="1"/>
  <c r="O59" i="79" s="1"/>
  <c r="O123" i="79" s="1"/>
  <c r="P59" i="79" a="1"/>
  <c r="P59" i="79" s="1"/>
  <c r="P123" i="79" s="1"/>
  <c r="D58" i="79" a="1"/>
  <c r="D58" i="79" s="1"/>
  <c r="E58" i="79" a="1"/>
  <c r="E58" i="79" s="1"/>
  <c r="E122" i="79" s="1"/>
  <c r="F58" i="79" a="1"/>
  <c r="F58" i="79" s="1"/>
  <c r="F122" i="79" s="1"/>
  <c r="G58" i="79" a="1"/>
  <c r="G58" i="79" s="1"/>
  <c r="G122" i="79" s="1"/>
  <c r="H58" i="79" a="1"/>
  <c r="H58" i="79" s="1"/>
  <c r="H122" i="79" s="1"/>
  <c r="I58" i="79" a="1"/>
  <c r="I58" i="79" s="1"/>
  <c r="I122" i="79" s="1"/>
  <c r="J58" i="79" a="1"/>
  <c r="J58" i="79" s="1"/>
  <c r="J122" i="79" s="1"/>
  <c r="K58" i="79" a="1"/>
  <c r="K58" i="79" s="1"/>
  <c r="K122" i="79" s="1"/>
  <c r="L58" i="79" a="1"/>
  <c r="L58" i="79" s="1"/>
  <c r="L122" i="79" s="1"/>
  <c r="M58" i="79" a="1"/>
  <c r="M58" i="79" s="1"/>
  <c r="M122" i="79" s="1"/>
  <c r="N58" i="79" a="1"/>
  <c r="N58" i="79" s="1"/>
  <c r="N122" i="79" s="1"/>
  <c r="O58" i="79" a="1"/>
  <c r="O58" i="79" s="1"/>
  <c r="O122" i="79" s="1"/>
  <c r="P58" i="79" a="1"/>
  <c r="P58" i="79" s="1"/>
  <c r="P122" i="79" s="1"/>
  <c r="D57" i="79" a="1"/>
  <c r="D57" i="79" s="1"/>
  <c r="E57" i="79" a="1"/>
  <c r="E57" i="79" s="1"/>
  <c r="E121" i="79" s="1"/>
  <c r="F57" i="79" a="1"/>
  <c r="F57" i="79" s="1"/>
  <c r="F121" i="79" s="1"/>
  <c r="G57" i="79" a="1"/>
  <c r="G57" i="79" s="1"/>
  <c r="G121" i="79" s="1"/>
  <c r="H57" i="79" a="1"/>
  <c r="H57" i="79" s="1"/>
  <c r="H121" i="79" s="1"/>
  <c r="I57" i="79" a="1"/>
  <c r="I57" i="79" s="1"/>
  <c r="I121" i="79" s="1"/>
  <c r="J57" i="79" a="1"/>
  <c r="J57" i="79" s="1"/>
  <c r="J121" i="79" s="1"/>
  <c r="K57" i="79" a="1"/>
  <c r="K57" i="79" s="1"/>
  <c r="K121" i="79" s="1"/>
  <c r="L57" i="79" a="1"/>
  <c r="L57" i="79" s="1"/>
  <c r="L121" i="79" s="1"/>
  <c r="M57" i="79" a="1"/>
  <c r="M57" i="79" s="1"/>
  <c r="M121" i="79" s="1"/>
  <c r="N57" i="79" a="1"/>
  <c r="N57" i="79" s="1"/>
  <c r="N121" i="79" s="1"/>
  <c r="O57" i="79" a="1"/>
  <c r="O57" i="79" s="1"/>
  <c r="O121" i="79" s="1"/>
  <c r="P57" i="79" a="1"/>
  <c r="P57" i="79" s="1"/>
  <c r="P121" i="79" s="1"/>
  <c r="D56" i="79" a="1"/>
  <c r="D56" i="79" s="1"/>
  <c r="E56" i="79" a="1"/>
  <c r="E56" i="79" s="1"/>
  <c r="E120" i="79" s="1"/>
  <c r="F56" i="79" a="1"/>
  <c r="F56" i="79" s="1"/>
  <c r="F120" i="79" s="1"/>
  <c r="G56" i="79" a="1"/>
  <c r="G56" i="79" s="1"/>
  <c r="G120" i="79" s="1"/>
  <c r="H56" i="79" a="1"/>
  <c r="H56" i="79" s="1"/>
  <c r="H120" i="79" s="1"/>
  <c r="I56" i="79" a="1"/>
  <c r="I56" i="79" s="1"/>
  <c r="I120" i="79" s="1"/>
  <c r="J56" i="79" a="1"/>
  <c r="J56" i="79" s="1"/>
  <c r="J120" i="79" s="1"/>
  <c r="K56" i="79" a="1"/>
  <c r="K56" i="79" s="1"/>
  <c r="K120" i="79" s="1"/>
  <c r="L56" i="79" a="1"/>
  <c r="L56" i="79" s="1"/>
  <c r="L120" i="79" s="1"/>
  <c r="M56" i="79" a="1"/>
  <c r="M56" i="79" s="1"/>
  <c r="M120" i="79" s="1"/>
  <c r="N56" i="79" a="1"/>
  <c r="N56" i="79" s="1"/>
  <c r="N120" i="79" s="1"/>
  <c r="O56" i="79" a="1"/>
  <c r="O56" i="79" s="1"/>
  <c r="O120" i="79" s="1"/>
  <c r="P56" i="79" a="1"/>
  <c r="P56" i="79" s="1"/>
  <c r="P120" i="79" s="1"/>
  <c r="D55" i="79" a="1"/>
  <c r="D55" i="79" s="1"/>
  <c r="E55" i="79" a="1"/>
  <c r="E55" i="79" s="1"/>
  <c r="E119" i="79" s="1"/>
  <c r="F55" i="79" a="1"/>
  <c r="F55" i="79" s="1"/>
  <c r="F119" i="79" s="1"/>
  <c r="G55" i="79" a="1"/>
  <c r="G55" i="79" s="1"/>
  <c r="G119" i="79" s="1"/>
  <c r="H55" i="79" a="1"/>
  <c r="H55" i="79" s="1"/>
  <c r="H119" i="79" s="1"/>
  <c r="I55" i="79" a="1"/>
  <c r="I55" i="79" s="1"/>
  <c r="I119" i="79" s="1"/>
  <c r="J55" i="79" a="1"/>
  <c r="J55" i="79" s="1"/>
  <c r="J119" i="79" s="1"/>
  <c r="K55" i="79" a="1"/>
  <c r="K55" i="79" s="1"/>
  <c r="K119" i="79" s="1"/>
  <c r="L55" i="79" a="1"/>
  <c r="L55" i="79" s="1"/>
  <c r="L119" i="79" s="1"/>
  <c r="M55" i="79" a="1"/>
  <c r="M55" i="79" s="1"/>
  <c r="M119" i="79" s="1"/>
  <c r="N55" i="79" a="1"/>
  <c r="N55" i="79" s="1"/>
  <c r="N119" i="79" s="1"/>
  <c r="O55" i="79" a="1"/>
  <c r="O55" i="79" s="1"/>
  <c r="O119" i="79" s="1"/>
  <c r="P55" i="79" a="1"/>
  <c r="P55" i="79" s="1"/>
  <c r="P119" i="79" s="1"/>
  <c r="P54" i="79" a="1"/>
  <c r="P54" i="79" s="1"/>
  <c r="P118" i="79" s="1"/>
  <c r="O54" i="79" a="1"/>
  <c r="O54" i="79" s="1"/>
  <c r="O118" i="79" s="1"/>
  <c r="N54" i="79" a="1"/>
  <c r="N54" i="79" s="1"/>
  <c r="N118" i="79" s="1"/>
  <c r="M54" i="79" a="1"/>
  <c r="M54" i="79" s="1"/>
  <c r="M118" i="79" s="1"/>
  <c r="L54" i="79" a="1"/>
  <c r="L54" i="79" s="1"/>
  <c r="L118" i="79" s="1"/>
  <c r="K54" i="79" a="1"/>
  <c r="K54" i="79" s="1"/>
  <c r="K118" i="79" s="1"/>
  <c r="J54" i="79" a="1"/>
  <c r="J54" i="79" s="1"/>
  <c r="J118" i="79" s="1"/>
  <c r="I54" i="79" a="1"/>
  <c r="I54" i="79" s="1"/>
  <c r="I118" i="79" s="1"/>
  <c r="H54" i="79" a="1"/>
  <c r="H54" i="79" s="1"/>
  <c r="H118" i="79" s="1"/>
  <c r="G54" i="79" a="1"/>
  <c r="G54" i="79" s="1"/>
  <c r="G118" i="79" s="1"/>
  <c r="F54" i="79" a="1"/>
  <c r="F54" i="79" s="1"/>
  <c r="F118" i="79" s="1"/>
  <c r="E54" i="79" a="1"/>
  <c r="E54" i="79" s="1"/>
  <c r="E118" i="79" s="1"/>
  <c r="D54" i="79" a="1"/>
  <c r="D54" i="79" s="1"/>
  <c r="D52" i="79" a="1"/>
  <c r="D52" i="79" s="1"/>
  <c r="D51" i="79" a="1"/>
  <c r="D51" i="79" s="1"/>
  <c r="D50" i="79" a="1"/>
  <c r="D50" i="79" s="1"/>
  <c r="D49" i="79" a="1"/>
  <c r="D49" i="79" s="1"/>
  <c r="D46" i="79" a="1"/>
  <c r="D46" i="79" s="1"/>
  <c r="E46" i="79" a="1"/>
  <c r="E46" i="79" s="1"/>
  <c r="E117" i="79" s="1"/>
  <c r="F46" i="79" a="1"/>
  <c r="F46" i="79" s="1"/>
  <c r="F117" i="79" s="1"/>
  <c r="G46" i="79" a="1"/>
  <c r="G46" i="79" s="1"/>
  <c r="G117" i="79" s="1"/>
  <c r="H46" i="79" a="1"/>
  <c r="H46" i="79" s="1"/>
  <c r="H117" i="79" s="1"/>
  <c r="I46" i="79" a="1"/>
  <c r="I46" i="79" s="1"/>
  <c r="I117" i="79" s="1"/>
  <c r="J46" i="79" a="1"/>
  <c r="J46" i="79" s="1"/>
  <c r="J117" i="79" s="1"/>
  <c r="K46" i="79" a="1"/>
  <c r="K46" i="79" s="1"/>
  <c r="K117" i="79" s="1"/>
  <c r="L46" i="79" a="1"/>
  <c r="L46" i="79" s="1"/>
  <c r="M117" i="79" s="1"/>
  <c r="M46" i="79" a="1"/>
  <c r="M46" i="79" s="1"/>
  <c r="N117" i="79" s="1"/>
  <c r="D45" i="79" a="1"/>
  <c r="D45" i="79" s="1"/>
  <c r="E45" i="79" a="1"/>
  <c r="E45" i="79" s="1"/>
  <c r="E116" i="79" s="1"/>
  <c r="F45" i="79" a="1"/>
  <c r="F45" i="79" s="1"/>
  <c r="F116" i="79" s="1"/>
  <c r="G45" i="79" a="1"/>
  <c r="G45" i="79" s="1"/>
  <c r="G116" i="79" s="1"/>
  <c r="H45" i="79" a="1"/>
  <c r="H45" i="79" s="1"/>
  <c r="H116" i="79" s="1"/>
  <c r="I45" i="79" a="1"/>
  <c r="I45" i="79" s="1"/>
  <c r="I116" i="79" s="1"/>
  <c r="J45" i="79" a="1"/>
  <c r="J45" i="79" s="1"/>
  <c r="J116" i="79" s="1"/>
  <c r="K45" i="79" a="1"/>
  <c r="K45" i="79" s="1"/>
  <c r="K116" i="79" s="1"/>
  <c r="L45" i="79" a="1"/>
  <c r="L45" i="79" s="1"/>
  <c r="M116" i="79" s="1"/>
  <c r="M45" i="79" a="1"/>
  <c r="M45" i="79" s="1"/>
  <c r="N116" i="79" s="1"/>
  <c r="D44" i="79" a="1"/>
  <c r="D44" i="79" s="1"/>
  <c r="E44" i="79" a="1"/>
  <c r="E44" i="79" s="1"/>
  <c r="E115" i="79" s="1"/>
  <c r="F44" i="79" a="1"/>
  <c r="F44" i="79" s="1"/>
  <c r="F115" i="79" s="1"/>
  <c r="G44" i="79" a="1"/>
  <c r="G44" i="79" s="1"/>
  <c r="G115" i="79" s="1"/>
  <c r="H44" i="79" a="1"/>
  <c r="H44" i="79" s="1"/>
  <c r="H115" i="79" s="1"/>
  <c r="I44" i="79" a="1"/>
  <c r="I44" i="79" s="1"/>
  <c r="I115" i="79" s="1"/>
  <c r="J44" i="79" a="1"/>
  <c r="J44" i="79" s="1"/>
  <c r="J115" i="79" s="1"/>
  <c r="K44" i="79" a="1"/>
  <c r="K44" i="79" s="1"/>
  <c r="K115" i="79" s="1"/>
  <c r="L44" i="79" a="1"/>
  <c r="L44" i="79" s="1"/>
  <c r="M115" i="79" s="1"/>
  <c r="M44" i="79" a="1"/>
  <c r="M44" i="79" s="1"/>
  <c r="N115" i="79" s="1"/>
  <c r="D43" i="79" a="1"/>
  <c r="D43" i="79" s="1"/>
  <c r="E43" i="79" a="1"/>
  <c r="E43" i="79" s="1"/>
  <c r="E114" i="79" s="1"/>
  <c r="F43" i="79" a="1"/>
  <c r="F43" i="79" s="1"/>
  <c r="F114" i="79" s="1"/>
  <c r="G43" i="79" a="1"/>
  <c r="G43" i="79" s="1"/>
  <c r="G114" i="79" s="1"/>
  <c r="H43" i="79" a="1"/>
  <c r="H43" i="79" s="1"/>
  <c r="H114" i="79" s="1"/>
  <c r="I43" i="79" a="1"/>
  <c r="I43" i="79" s="1"/>
  <c r="I114" i="79" s="1"/>
  <c r="J43" i="79" a="1"/>
  <c r="J43" i="79" s="1"/>
  <c r="J114" i="79" s="1"/>
  <c r="K43" i="79" a="1"/>
  <c r="K43" i="79" s="1"/>
  <c r="L114" i="79" s="1"/>
  <c r="L43" i="79" a="1"/>
  <c r="L43" i="79" s="1"/>
  <c r="M114" i="79" s="1"/>
  <c r="M43" i="79" a="1"/>
  <c r="M43" i="79" s="1"/>
  <c r="N114" i="79" s="1"/>
  <c r="D42" i="79" a="1"/>
  <c r="D42" i="79" s="1"/>
  <c r="E42" i="79" a="1"/>
  <c r="E42" i="79" s="1"/>
  <c r="E113" i="79" s="1"/>
  <c r="F42" i="79" a="1"/>
  <c r="F42" i="79" s="1"/>
  <c r="F113" i="79" s="1"/>
  <c r="G42" i="79" a="1"/>
  <c r="G42" i="79" s="1"/>
  <c r="G113" i="79" s="1"/>
  <c r="H42" i="79" a="1"/>
  <c r="H42" i="79" s="1"/>
  <c r="H113" i="79" s="1"/>
  <c r="I42" i="79" a="1"/>
  <c r="I42" i="79" s="1"/>
  <c r="I113" i="79" s="1"/>
  <c r="J42" i="79" a="1"/>
  <c r="J42" i="79" s="1"/>
  <c r="J113" i="79" s="1"/>
  <c r="K42" i="79" a="1"/>
  <c r="K42" i="79" s="1"/>
  <c r="L113" i="79" s="1"/>
  <c r="L42" i="79" a="1"/>
  <c r="L42" i="79" s="1"/>
  <c r="M113" i="79" s="1"/>
  <c r="M42" i="79" a="1"/>
  <c r="M42" i="79" s="1"/>
  <c r="O113" i="79" s="1"/>
  <c r="D41" i="79" a="1"/>
  <c r="D41" i="79" s="1"/>
  <c r="E41" i="79" a="1"/>
  <c r="E41" i="79" s="1"/>
  <c r="E112" i="79" s="1"/>
  <c r="F41" i="79" a="1"/>
  <c r="F41" i="79" s="1"/>
  <c r="F112" i="79" s="1"/>
  <c r="G41" i="79" a="1"/>
  <c r="G41" i="79" s="1"/>
  <c r="G112" i="79" s="1"/>
  <c r="H41" i="79" a="1"/>
  <c r="H41" i="79" s="1"/>
  <c r="H112" i="79" s="1"/>
  <c r="I41" i="79" a="1"/>
  <c r="I41" i="79" s="1"/>
  <c r="I112" i="79" s="1"/>
  <c r="J41" i="79" a="1"/>
  <c r="J41" i="79" s="1"/>
  <c r="J112" i="79" s="1"/>
  <c r="K41" i="79" a="1"/>
  <c r="K41" i="79" s="1"/>
  <c r="L112" i="79" s="1"/>
  <c r="L41" i="79" a="1"/>
  <c r="L41" i="79" s="1"/>
  <c r="M112" i="79" s="1"/>
  <c r="M41" i="79" a="1"/>
  <c r="M41" i="79" s="1"/>
  <c r="P112" i="79" s="1"/>
  <c r="D40" i="79" a="1"/>
  <c r="D40" i="79" s="1"/>
  <c r="E40" i="79" a="1"/>
  <c r="E40" i="79" s="1"/>
  <c r="E111" i="79" s="1"/>
  <c r="F40" i="79" a="1"/>
  <c r="F40" i="79" s="1"/>
  <c r="F111" i="79" s="1"/>
  <c r="G40" i="79" a="1"/>
  <c r="G40" i="79" s="1"/>
  <c r="G111" i="79" s="1"/>
  <c r="H40" i="79" a="1"/>
  <c r="H40" i="79" s="1"/>
  <c r="H111" i="79" s="1"/>
  <c r="I40" i="79" a="1"/>
  <c r="I40" i="79" s="1"/>
  <c r="I111" i="79" s="1"/>
  <c r="J40" i="79" a="1"/>
  <c r="J40" i="79" s="1"/>
  <c r="J111" i="79" s="1"/>
  <c r="K40" i="79" a="1"/>
  <c r="K40" i="79" s="1"/>
  <c r="L111" i="79" s="1"/>
  <c r="L40" i="79" a="1"/>
  <c r="L40" i="79" s="1"/>
  <c r="M111" i="79" s="1"/>
  <c r="M40" i="79" a="1"/>
  <c r="M40" i="79" s="1"/>
  <c r="N111" i="79" s="1"/>
  <c r="D39" i="79" a="1"/>
  <c r="D39" i="79" s="1"/>
  <c r="E39" i="79" a="1"/>
  <c r="E39" i="79" s="1"/>
  <c r="E110" i="79" s="1"/>
  <c r="F39" i="79" a="1"/>
  <c r="F39" i="79" s="1"/>
  <c r="F110" i="79" s="1"/>
  <c r="G39" i="79" a="1"/>
  <c r="G39" i="79" s="1"/>
  <c r="G110" i="79" s="1"/>
  <c r="H39" i="79" a="1"/>
  <c r="H39" i="79" s="1"/>
  <c r="H110" i="79" s="1"/>
  <c r="I39" i="79" a="1"/>
  <c r="I39" i="79" s="1"/>
  <c r="I110" i="79" s="1"/>
  <c r="J39" i="79" a="1"/>
  <c r="J39" i="79" s="1"/>
  <c r="J110" i="79" s="1"/>
  <c r="K39" i="79" a="1"/>
  <c r="K39" i="79" s="1"/>
  <c r="K110" i="79" s="1"/>
  <c r="L39" i="79" a="1"/>
  <c r="L39" i="79" s="1"/>
  <c r="M110" i="79" s="1"/>
  <c r="M39" i="79" a="1"/>
  <c r="M39" i="79" s="1"/>
  <c r="N110" i="79" s="1"/>
  <c r="D38" i="79" a="1"/>
  <c r="D38" i="79" s="1"/>
  <c r="E38" i="79" a="1"/>
  <c r="E38" i="79" s="1"/>
  <c r="E109" i="79" s="1"/>
  <c r="F38" i="79" a="1"/>
  <c r="F38" i="79" s="1"/>
  <c r="F109" i="79" s="1"/>
  <c r="G38" i="79" a="1"/>
  <c r="G38" i="79" s="1"/>
  <c r="G109" i="79" s="1"/>
  <c r="H38" i="79" a="1"/>
  <c r="H38" i="79" s="1"/>
  <c r="H109" i="79" s="1"/>
  <c r="I38" i="79" a="1"/>
  <c r="I38" i="79" s="1"/>
  <c r="I109" i="79" s="1"/>
  <c r="J38" i="79" a="1"/>
  <c r="J38" i="79" s="1"/>
  <c r="J109" i="79" s="1"/>
  <c r="K38" i="79" a="1"/>
  <c r="K38" i="79" s="1"/>
  <c r="L109" i="79" s="1"/>
  <c r="L38" i="79" a="1"/>
  <c r="L38" i="79" s="1"/>
  <c r="M109" i="79" s="1"/>
  <c r="M38" i="79" a="1"/>
  <c r="M38" i="79" s="1"/>
  <c r="N109" i="79" s="1"/>
  <c r="D37" i="79" a="1"/>
  <c r="D37" i="79" s="1"/>
  <c r="E37" i="79" a="1"/>
  <c r="E37" i="79" s="1"/>
  <c r="E108" i="79" s="1"/>
  <c r="F37" i="79" a="1"/>
  <c r="F37" i="79" s="1"/>
  <c r="F108" i="79" s="1"/>
  <c r="G37" i="79" a="1"/>
  <c r="G37" i="79" s="1"/>
  <c r="G108" i="79" s="1"/>
  <c r="H37" i="79" a="1"/>
  <c r="H37" i="79" s="1"/>
  <c r="H108" i="79" s="1"/>
  <c r="I37" i="79" a="1"/>
  <c r="I37" i="79" s="1"/>
  <c r="I108" i="79" s="1"/>
  <c r="J37" i="79" a="1"/>
  <c r="J37" i="79" s="1"/>
  <c r="J108" i="79" s="1"/>
  <c r="K37" i="79" a="1"/>
  <c r="K37" i="79" s="1"/>
  <c r="K108" i="79" s="1"/>
  <c r="L37" i="79" a="1"/>
  <c r="L37" i="79" s="1"/>
  <c r="M108" i="79" s="1"/>
  <c r="M37" i="79" a="1"/>
  <c r="M37" i="79" s="1"/>
  <c r="N108" i="79" s="1"/>
  <c r="D36" i="79" a="1"/>
  <c r="D36" i="79" s="1"/>
  <c r="E36" i="79" a="1"/>
  <c r="E36" i="79" s="1"/>
  <c r="E107" i="79" s="1"/>
  <c r="F36" i="79" a="1"/>
  <c r="F36" i="79" s="1"/>
  <c r="F107" i="79" s="1"/>
  <c r="G36" i="79" a="1"/>
  <c r="G36" i="79" s="1"/>
  <c r="G107" i="79" s="1"/>
  <c r="H36" i="79" a="1"/>
  <c r="H36" i="79" s="1"/>
  <c r="H107" i="79" s="1"/>
  <c r="I36" i="79" a="1"/>
  <c r="I36" i="79" s="1"/>
  <c r="I107" i="79" s="1"/>
  <c r="J36" i="79" a="1"/>
  <c r="J36" i="79" s="1"/>
  <c r="J107" i="79" s="1"/>
  <c r="K36" i="79" a="1"/>
  <c r="K36" i="79" s="1"/>
  <c r="L107" i="79" s="1"/>
  <c r="L36" i="79" a="1"/>
  <c r="L36" i="79" s="1"/>
  <c r="M107" i="79" s="1"/>
  <c r="M36" i="79" a="1"/>
  <c r="M36" i="79" s="1"/>
  <c r="N107" i="79" s="1"/>
  <c r="D35" i="79" a="1"/>
  <c r="D35" i="79" s="1"/>
  <c r="E35" i="79" a="1"/>
  <c r="E35" i="79" s="1"/>
  <c r="E106" i="79" s="1"/>
  <c r="F35" i="79" a="1"/>
  <c r="F35" i="79" s="1"/>
  <c r="F106" i="79" s="1"/>
  <c r="G35" i="79" a="1"/>
  <c r="G35" i="79" s="1"/>
  <c r="G106" i="79" s="1"/>
  <c r="H35" i="79" a="1"/>
  <c r="H35" i="79" s="1"/>
  <c r="H106" i="79" s="1"/>
  <c r="I35" i="79" a="1"/>
  <c r="I35" i="79" s="1"/>
  <c r="I106" i="79" s="1"/>
  <c r="J35" i="79" a="1"/>
  <c r="J35" i="79" s="1"/>
  <c r="J106" i="79" s="1"/>
  <c r="K35" i="79" a="1"/>
  <c r="K35" i="79" s="1"/>
  <c r="K106" i="79" s="1"/>
  <c r="L35" i="79" a="1"/>
  <c r="L35" i="79" s="1"/>
  <c r="M106" i="79" s="1"/>
  <c r="M35" i="79" a="1"/>
  <c r="M35" i="79" s="1"/>
  <c r="O106" i="79" s="1"/>
  <c r="D34" i="79" a="1"/>
  <c r="D34" i="79" s="1"/>
  <c r="E34" i="79" a="1"/>
  <c r="E34" i="79" s="1"/>
  <c r="F34" i="79" a="1"/>
  <c r="F34" i="79" s="1"/>
  <c r="G34" i="79" a="1"/>
  <c r="G34" i="79" s="1"/>
  <c r="G105" i="79" s="1"/>
  <c r="H34" i="79" a="1"/>
  <c r="H34" i="79" s="1"/>
  <c r="H105" i="79" s="1"/>
  <c r="I34" i="79" a="1"/>
  <c r="I34" i="79" s="1"/>
  <c r="I105" i="79" s="1"/>
  <c r="J34" i="79" a="1"/>
  <c r="J34" i="79" s="1"/>
  <c r="J105" i="79" s="1"/>
  <c r="K34" i="79" a="1"/>
  <c r="K34" i="79" s="1"/>
  <c r="K105" i="79" s="1"/>
  <c r="L34" i="79" a="1"/>
  <c r="L34" i="79" s="1"/>
  <c r="M105" i="79" s="1"/>
  <c r="M34" i="79" a="1"/>
  <c r="M34" i="79" s="1"/>
  <c r="N105" i="79" s="1"/>
  <c r="D33" i="79" a="1"/>
  <c r="D33" i="79" s="1"/>
  <c r="E33" i="79" a="1"/>
  <c r="E33" i="79" s="1"/>
  <c r="F33" i="79" a="1"/>
  <c r="F33" i="79" s="1"/>
  <c r="G33" i="79" a="1"/>
  <c r="G33" i="79" s="1"/>
  <c r="G104" i="79" s="1"/>
  <c r="H33" i="79" a="1"/>
  <c r="H33" i="79" s="1"/>
  <c r="H104" i="79" s="1"/>
  <c r="I33" i="79" a="1"/>
  <c r="I33" i="79" s="1"/>
  <c r="I104" i="79" s="1"/>
  <c r="J33" i="79" a="1"/>
  <c r="J33" i="79" s="1"/>
  <c r="J104" i="79" s="1"/>
  <c r="K33" i="79" a="1"/>
  <c r="K33" i="79" s="1"/>
  <c r="K104" i="79" s="1"/>
  <c r="L33" i="79" a="1"/>
  <c r="L33" i="79" s="1"/>
  <c r="M104" i="79" s="1"/>
  <c r="M33" i="79" a="1"/>
  <c r="M33" i="79" s="1"/>
  <c r="N104" i="79" s="1"/>
  <c r="D32" i="79" a="1"/>
  <c r="D32" i="79" s="1"/>
  <c r="E32" i="79" a="1"/>
  <c r="E32" i="79" s="1"/>
  <c r="F32" i="79" a="1"/>
  <c r="F32" i="79" s="1"/>
  <c r="G32" i="79" a="1"/>
  <c r="G32" i="79" s="1"/>
  <c r="G103" i="79" s="1"/>
  <c r="H32" i="79" a="1"/>
  <c r="H32" i="79" s="1"/>
  <c r="H103" i="79" s="1"/>
  <c r="I32" i="79" a="1"/>
  <c r="I32" i="79" s="1"/>
  <c r="I103" i="79" s="1"/>
  <c r="J32" i="79" a="1"/>
  <c r="J32" i="79" s="1"/>
  <c r="J103" i="79" s="1"/>
  <c r="K32" i="79" a="1"/>
  <c r="K32" i="79" s="1"/>
  <c r="K103" i="79" s="1"/>
  <c r="L32" i="79" a="1"/>
  <c r="L32" i="79" s="1"/>
  <c r="M103" i="79" s="1"/>
  <c r="M32" i="79" a="1"/>
  <c r="M32" i="79" s="1"/>
  <c r="O103" i="79" s="1"/>
  <c r="D31" i="79" a="1"/>
  <c r="D31" i="79" s="1"/>
  <c r="E31" i="79" a="1"/>
  <c r="E31" i="79" s="1"/>
  <c r="F31" i="79" a="1"/>
  <c r="F31" i="79" s="1"/>
  <c r="F98" i="79" s="1"/>
  <c r="G31" i="79" a="1"/>
  <c r="G31" i="79" s="1"/>
  <c r="G102" i="79" s="1"/>
  <c r="H31" i="79" a="1"/>
  <c r="H31" i="79" s="1"/>
  <c r="H102" i="79" s="1"/>
  <c r="I31" i="79" a="1"/>
  <c r="I31" i="79" s="1"/>
  <c r="I102" i="79" s="1"/>
  <c r="J31" i="79" a="1"/>
  <c r="J31" i="79" s="1"/>
  <c r="J102" i="79" s="1"/>
  <c r="K31" i="79" a="1"/>
  <c r="K31" i="79" s="1"/>
  <c r="L102" i="79" s="1"/>
  <c r="L31" i="79" a="1"/>
  <c r="L31" i="79" s="1"/>
  <c r="M102" i="79" s="1"/>
  <c r="M31" i="79" a="1"/>
  <c r="M31" i="79" s="1"/>
  <c r="P102" i="79" s="1"/>
  <c r="D30" i="79" a="1"/>
  <c r="D30" i="79" s="1"/>
  <c r="E30" i="79" a="1"/>
  <c r="E30" i="79" s="1"/>
  <c r="F30" i="79" a="1"/>
  <c r="F30" i="79" s="1"/>
  <c r="G30" i="79" a="1"/>
  <c r="G30" i="79" s="1"/>
  <c r="G101" i="79" s="1"/>
  <c r="H30" i="79" a="1"/>
  <c r="H30" i="79" s="1"/>
  <c r="H101" i="79" s="1"/>
  <c r="I30" i="79" a="1"/>
  <c r="I30" i="79" s="1"/>
  <c r="I101" i="79" s="1"/>
  <c r="J30" i="79" a="1"/>
  <c r="J30" i="79" s="1"/>
  <c r="J101" i="79" s="1"/>
  <c r="K30" i="79" a="1"/>
  <c r="K30" i="79" s="1"/>
  <c r="K101" i="79" s="1"/>
  <c r="L30" i="79" a="1"/>
  <c r="L30" i="79" s="1"/>
  <c r="M101" i="79" s="1"/>
  <c r="M30" i="79" a="1"/>
  <c r="M30" i="79" s="1"/>
  <c r="N101" i="79" s="1"/>
  <c r="D29" i="79" a="1"/>
  <c r="D29" i="79" s="1"/>
  <c r="E29" i="79" a="1"/>
  <c r="E29" i="79" s="1"/>
  <c r="F29" i="79" a="1"/>
  <c r="F29" i="79" s="1"/>
  <c r="G29" i="79" a="1"/>
  <c r="G29" i="79" s="1"/>
  <c r="G100" i="79" s="1"/>
  <c r="H29" i="79" a="1"/>
  <c r="H29" i="79" s="1"/>
  <c r="H100" i="79" s="1"/>
  <c r="I29" i="79" a="1"/>
  <c r="I29" i="79" s="1"/>
  <c r="I100" i="79" s="1"/>
  <c r="J29" i="79" a="1"/>
  <c r="J29" i="79" s="1"/>
  <c r="J100" i="79" s="1"/>
  <c r="K29" i="79" a="1"/>
  <c r="K29" i="79" s="1"/>
  <c r="K100" i="79" s="1"/>
  <c r="L29" i="79" a="1"/>
  <c r="L29" i="79" s="1"/>
  <c r="M100" i="79" s="1"/>
  <c r="M29" i="79" a="1"/>
  <c r="M29" i="79" s="1"/>
  <c r="N100" i="79" s="1"/>
  <c r="D28" i="79" a="1"/>
  <c r="D28" i="79" s="1"/>
  <c r="E28" i="79" a="1"/>
  <c r="E28" i="79" s="1"/>
  <c r="F28" i="79" a="1"/>
  <c r="F28" i="79" s="1"/>
  <c r="G28" i="79" a="1"/>
  <c r="G28" i="79" s="1"/>
  <c r="G99" i="79" s="1"/>
  <c r="H28" i="79" a="1"/>
  <c r="H28" i="79" s="1"/>
  <c r="H99" i="79" s="1"/>
  <c r="I28" i="79" a="1"/>
  <c r="I28" i="79" s="1"/>
  <c r="I99" i="79" s="1"/>
  <c r="J28" i="79" a="1"/>
  <c r="J28" i="79" s="1"/>
  <c r="J99" i="79" s="1"/>
  <c r="K28" i="79" a="1"/>
  <c r="K28" i="79" s="1"/>
  <c r="K99" i="79" s="1"/>
  <c r="L28" i="79" a="1"/>
  <c r="L28" i="79" s="1"/>
  <c r="M99" i="79" s="1"/>
  <c r="M28" i="79" a="1"/>
  <c r="M28" i="79" s="1"/>
  <c r="N99" i="79" s="1"/>
  <c r="D27" i="79" a="1"/>
  <c r="D27" i="79" s="1"/>
  <c r="E27" i="79" a="1"/>
  <c r="E27" i="79" s="1"/>
  <c r="F27" i="79" a="1"/>
  <c r="F27" i="79" s="1"/>
  <c r="F94" i="79" s="1"/>
  <c r="G27" i="79" a="1"/>
  <c r="G27" i="79" s="1"/>
  <c r="G98" i="79" s="1"/>
  <c r="H27" i="79" a="1"/>
  <c r="H27" i="79" s="1"/>
  <c r="H98" i="79" s="1"/>
  <c r="I27" i="79" a="1"/>
  <c r="I27" i="79" s="1"/>
  <c r="I98" i="79" s="1"/>
  <c r="J27" i="79" a="1"/>
  <c r="J27" i="79" s="1"/>
  <c r="J98" i="79" s="1"/>
  <c r="K27" i="79" a="1"/>
  <c r="K27" i="79" s="1"/>
  <c r="K98" i="79" s="1"/>
  <c r="L27" i="79" a="1"/>
  <c r="L27" i="79" s="1"/>
  <c r="M98" i="79" s="1"/>
  <c r="M27" i="79" a="1"/>
  <c r="M27" i="79" s="1"/>
  <c r="P98" i="79" s="1"/>
  <c r="D26" i="79" a="1"/>
  <c r="D26" i="79" s="1"/>
  <c r="E26" i="79" a="1"/>
  <c r="E26" i="79" s="1"/>
  <c r="F26" i="79" a="1"/>
  <c r="F26" i="79" s="1"/>
  <c r="G26" i="79" a="1"/>
  <c r="G26" i="79" s="1"/>
  <c r="G97" i="79" s="1"/>
  <c r="H26" i="79" a="1"/>
  <c r="H26" i="79" s="1"/>
  <c r="H97" i="79" s="1"/>
  <c r="I26" i="79" a="1"/>
  <c r="I26" i="79" s="1"/>
  <c r="I97" i="79" s="1"/>
  <c r="J26" i="79" a="1"/>
  <c r="J26" i="79" s="1"/>
  <c r="J97" i="79" s="1"/>
  <c r="K26" i="79" a="1"/>
  <c r="K26" i="79" s="1"/>
  <c r="L97" i="79" s="1"/>
  <c r="L26" i="79" a="1"/>
  <c r="L26" i="79" s="1"/>
  <c r="M97" i="79" s="1"/>
  <c r="M26" i="79" a="1"/>
  <c r="M26" i="79" s="1"/>
  <c r="N97" i="79" s="1"/>
  <c r="D25" i="79" a="1"/>
  <c r="D25" i="79" s="1"/>
  <c r="E25" i="79" a="1"/>
  <c r="E25" i="79" s="1"/>
  <c r="F25" i="79" a="1"/>
  <c r="F25" i="79" s="1"/>
  <c r="G25" i="79" a="1"/>
  <c r="G25" i="79" s="1"/>
  <c r="G96" i="79" s="1"/>
  <c r="H25" i="79" a="1"/>
  <c r="H25" i="79" s="1"/>
  <c r="H96" i="79" s="1"/>
  <c r="I25" i="79" a="1"/>
  <c r="I25" i="79" s="1"/>
  <c r="I96" i="79" s="1"/>
  <c r="J25" i="79" a="1"/>
  <c r="J25" i="79" s="1"/>
  <c r="J96" i="79" s="1"/>
  <c r="K25" i="79" a="1"/>
  <c r="K25" i="79" s="1"/>
  <c r="K96" i="79" s="1"/>
  <c r="L25" i="79" a="1"/>
  <c r="L25" i="79" s="1"/>
  <c r="M96" i="79" s="1"/>
  <c r="M25" i="79" a="1"/>
  <c r="M25" i="79" s="1"/>
  <c r="N96" i="79" s="1"/>
  <c r="D24" i="79" a="1"/>
  <c r="D24" i="79" s="1"/>
  <c r="E24" i="79" a="1"/>
  <c r="E24" i="79" s="1"/>
  <c r="F24" i="79" a="1"/>
  <c r="F24" i="79" s="1"/>
  <c r="G24" i="79" a="1"/>
  <c r="G24" i="79" s="1"/>
  <c r="G95" i="79" s="1"/>
  <c r="H24" i="79" a="1"/>
  <c r="H24" i="79" s="1"/>
  <c r="H95" i="79" s="1"/>
  <c r="I24" i="79" a="1"/>
  <c r="I24" i="79" s="1"/>
  <c r="I95" i="79" s="1"/>
  <c r="J24" i="79" a="1"/>
  <c r="J24" i="79" s="1"/>
  <c r="J95" i="79" s="1"/>
  <c r="K24" i="79" a="1"/>
  <c r="K24" i="79" s="1"/>
  <c r="K95" i="79" s="1"/>
  <c r="L24" i="79" a="1"/>
  <c r="L24" i="79" s="1"/>
  <c r="M95" i="79" s="1"/>
  <c r="M24" i="79" a="1"/>
  <c r="M24" i="79" s="1"/>
  <c r="N95" i="79" s="1"/>
  <c r="D23" i="79" a="1"/>
  <c r="D23" i="79" s="1"/>
  <c r="E23" i="79" a="1"/>
  <c r="E23" i="79" s="1"/>
  <c r="F23" i="79" a="1"/>
  <c r="F23" i="79" s="1"/>
  <c r="F90" i="79" s="1"/>
  <c r="G23" i="79" a="1"/>
  <c r="G23" i="79" s="1"/>
  <c r="G94" i="79" s="1"/>
  <c r="H23" i="79" a="1"/>
  <c r="H23" i="79" s="1"/>
  <c r="H94" i="79" s="1"/>
  <c r="I23" i="79" a="1"/>
  <c r="I23" i="79" s="1"/>
  <c r="I94" i="79" s="1"/>
  <c r="J23" i="79" a="1"/>
  <c r="J23" i="79" s="1"/>
  <c r="J94" i="79" s="1"/>
  <c r="K23" i="79" a="1"/>
  <c r="K23" i="79" s="1"/>
  <c r="K94" i="79" s="1"/>
  <c r="L23" i="79" a="1"/>
  <c r="L23" i="79" s="1"/>
  <c r="M94" i="79" s="1"/>
  <c r="M23" i="79" a="1"/>
  <c r="M23" i="79" s="1"/>
  <c r="O94" i="79" s="1"/>
  <c r="D22" i="79" a="1"/>
  <c r="D22" i="79" s="1"/>
  <c r="E22" i="79" a="1"/>
  <c r="E22" i="79" s="1"/>
  <c r="F22" i="79" a="1"/>
  <c r="F22" i="79" s="1"/>
  <c r="G22" i="79" a="1"/>
  <c r="G22" i="79" s="1"/>
  <c r="G93" i="79" s="1"/>
  <c r="H22" i="79" a="1"/>
  <c r="H22" i="79" s="1"/>
  <c r="H93" i="79" s="1"/>
  <c r="I22" i="79" a="1"/>
  <c r="I22" i="79" s="1"/>
  <c r="I93" i="79" s="1"/>
  <c r="J22" i="79" a="1"/>
  <c r="J22" i="79" s="1"/>
  <c r="J89" i="79" s="1"/>
  <c r="K22" i="79" a="1"/>
  <c r="K22" i="79" s="1"/>
  <c r="L89" i="79" s="1"/>
  <c r="L22" i="79" a="1"/>
  <c r="L22" i="79" s="1"/>
  <c r="M93" i="79" s="1"/>
  <c r="M22" i="79" a="1"/>
  <c r="M22" i="79" s="1"/>
  <c r="N93" i="79" s="1"/>
  <c r="D21" i="79" a="1"/>
  <c r="D21" i="79" s="1"/>
  <c r="E21" i="79" a="1"/>
  <c r="E21" i="79" s="1"/>
  <c r="F21" i="79" a="1"/>
  <c r="F21" i="79" s="1"/>
  <c r="G21" i="79" a="1"/>
  <c r="G21" i="79" s="1"/>
  <c r="G92" i="79" s="1"/>
  <c r="H21" i="79" a="1"/>
  <c r="H21" i="79" s="1"/>
  <c r="H92" i="79" s="1"/>
  <c r="I21" i="79" a="1"/>
  <c r="I21" i="79" s="1"/>
  <c r="I88" i="79" s="1"/>
  <c r="J21" i="79" a="1"/>
  <c r="J21" i="79" s="1"/>
  <c r="J88" i="79" s="1"/>
  <c r="K21" i="79" a="1"/>
  <c r="K21" i="79" s="1"/>
  <c r="L88" i="79" s="1"/>
  <c r="L21" i="79" a="1"/>
  <c r="L21" i="79" s="1"/>
  <c r="M92" i="79" s="1"/>
  <c r="M21" i="79" a="1"/>
  <c r="M21" i="79" s="1"/>
  <c r="N92" i="79" s="1"/>
  <c r="D20" i="79" a="1"/>
  <c r="D20" i="79" s="1"/>
  <c r="E20" i="79" a="1"/>
  <c r="E20" i="79" s="1"/>
  <c r="F20" i="79" a="1"/>
  <c r="F20" i="79" s="1"/>
  <c r="G20" i="79" a="1"/>
  <c r="G20" i="79" s="1"/>
  <c r="G87" i="79" s="1"/>
  <c r="H20" i="79" a="1"/>
  <c r="H20" i="79" s="1"/>
  <c r="H91" i="79" s="1"/>
  <c r="I20" i="79" a="1"/>
  <c r="I20" i="79" s="1"/>
  <c r="I87" i="79" s="1"/>
  <c r="J20" i="79" a="1"/>
  <c r="J20" i="79" s="1"/>
  <c r="J87" i="79" s="1"/>
  <c r="K20" i="79" a="1"/>
  <c r="K20" i="79" s="1"/>
  <c r="K91" i="79" s="1"/>
  <c r="L20" i="79" a="1"/>
  <c r="L20" i="79" s="1"/>
  <c r="M87" i="79" s="1"/>
  <c r="M20" i="79" a="1"/>
  <c r="M20" i="79" s="1"/>
  <c r="N91" i="79" s="1"/>
  <c r="M19" i="79" a="1"/>
  <c r="M19" i="79" s="1"/>
  <c r="N90" i="79" s="1"/>
  <c r="L19" i="79" a="1"/>
  <c r="L19" i="79" s="1"/>
  <c r="M86" i="79" s="1"/>
  <c r="K19" i="79" a="1"/>
  <c r="K19" i="79" s="1"/>
  <c r="K86" i="79" s="1"/>
  <c r="J19" i="79" a="1"/>
  <c r="J19" i="79" s="1"/>
  <c r="J90" i="79" s="1"/>
  <c r="I19" i="79" a="1"/>
  <c r="I19" i="79" s="1"/>
  <c r="I90" i="79" s="1"/>
  <c r="H19" i="79" a="1"/>
  <c r="H19" i="79" s="1"/>
  <c r="H86" i="79" s="1"/>
  <c r="G19" i="79" a="1"/>
  <c r="G19" i="79" s="1"/>
  <c r="G86" i="79" s="1"/>
  <c r="F19" i="79" a="1"/>
  <c r="F19" i="79" s="1"/>
  <c r="F86" i="79" s="1"/>
  <c r="E19" i="79" a="1"/>
  <c r="E19" i="79" s="1"/>
  <c r="D19" i="79" a="1"/>
  <c r="D19" i="79" s="1"/>
  <c r="D17" i="79" a="1"/>
  <c r="D17" i="79" s="1"/>
  <c r="D16" i="79" a="1"/>
  <c r="D16" i="79" s="1"/>
  <c r="D15" i="79" a="1"/>
  <c r="D15" i="79" s="1"/>
  <c r="D14" i="79" a="1"/>
  <c r="D14" i="79" s="1"/>
  <c r="D77" i="70"/>
  <c r="D76" i="70"/>
  <c r="D75" i="70"/>
  <c r="D74" i="70"/>
  <c r="D73" i="70"/>
  <c r="D72" i="70"/>
  <c r="D71" i="70"/>
  <c r="D70" i="70"/>
  <c r="D69" i="70"/>
  <c r="D68" i="70"/>
  <c r="D67" i="70"/>
  <c r="D66" i="70"/>
  <c r="D55" i="70"/>
  <c r="D54" i="70"/>
  <c r="D53" i="70"/>
  <c r="D52" i="70"/>
  <c r="D51" i="70"/>
  <c r="D50" i="70"/>
  <c r="D49" i="70"/>
  <c r="D48" i="70"/>
  <c r="D47" i="70"/>
  <c r="D46" i="70"/>
  <c r="D45" i="70"/>
  <c r="D44" i="70"/>
  <c r="D33" i="70"/>
  <c r="E33" i="70" s="1"/>
  <c r="D32" i="70"/>
  <c r="K32" i="70" s="1"/>
  <c r="D31" i="70"/>
  <c r="L31" i="70" s="1"/>
  <c r="D30" i="70"/>
  <c r="M30" i="70" s="1"/>
  <c r="D29" i="70"/>
  <c r="N29" i="70" s="1"/>
  <c r="D28" i="70"/>
  <c r="N28" i="70" s="1"/>
  <c r="D27" i="70"/>
  <c r="M27" i="70" s="1"/>
  <c r="D26" i="70"/>
  <c r="J26" i="70" s="1"/>
  <c r="D25" i="70"/>
  <c r="N25" i="70" s="1"/>
  <c r="D24" i="70"/>
  <c r="N24" i="70" s="1"/>
  <c r="D23" i="70"/>
  <c r="M23" i="70" s="1"/>
  <c r="D22" i="70"/>
  <c r="K22" i="70" s="1"/>
  <c r="E11" i="69" a="1"/>
  <c r="E11" i="69" s="1"/>
  <c r="E10" i="69" a="1"/>
  <c r="E10" i="69" s="1"/>
  <c r="D6" i="69" a="1"/>
  <c r="D6" i="69" s="1"/>
  <c r="D5" i="69" a="1"/>
  <c r="D5" i="69" s="1"/>
  <c r="D108" i="69" a="1"/>
  <c r="D108" i="69" s="1"/>
  <c r="E106" i="69" a="1"/>
  <c r="E106" i="69" s="1"/>
  <c r="E105" i="69" a="1"/>
  <c r="E105" i="69" s="1"/>
  <c r="D100" i="69" a="1"/>
  <c r="D100" i="69" s="1"/>
  <c r="D99" i="69" a="1"/>
  <c r="D99" i="69" s="1"/>
  <c r="A20" i="98"/>
  <c r="A19" i="98"/>
  <c r="A18" i="98"/>
  <c r="A7" i="98"/>
  <c r="A4" i="98"/>
  <c r="A3" i="98"/>
  <c r="E7" i="69" a="1"/>
  <c r="L163" i="76" l="1" a="1"/>
  <c r="L163" i="76" s="1"/>
  <c r="L161" i="76" a="1"/>
  <c r="L161" i="76" s="1"/>
  <c r="L162" i="76" a="1"/>
  <c r="L162" i="76" s="1"/>
  <c r="H161" i="76" a="1"/>
  <c r="H161" i="76" s="1"/>
  <c r="H163" i="76" a="1"/>
  <c r="H163" i="76" s="1"/>
  <c r="H162" i="76" a="1"/>
  <c r="H162" i="76" s="1"/>
  <c r="H164" i="76" a="1"/>
  <c r="H164" i="76" s="1"/>
  <c r="F164" i="76" a="1"/>
  <c r="F164" i="76" s="1"/>
  <c r="F161" i="76" a="1"/>
  <c r="F161" i="76" s="1"/>
  <c r="F162" i="76" a="1"/>
  <c r="F162" i="76" s="1"/>
  <c r="F163" i="76" a="1"/>
  <c r="F163" i="76" s="1"/>
  <c r="L164" i="76" a="1"/>
  <c r="L164" i="76" s="1"/>
  <c r="AD235" i="76"/>
  <c r="AD242" i="69"/>
  <c r="D128" i="70"/>
  <c r="D129" i="70"/>
  <c r="AC236" i="76"/>
  <c r="AC243" i="69"/>
  <c r="AB237" i="76"/>
  <c r="AB244" i="69"/>
  <c r="AA238" i="76"/>
  <c r="AA245" i="69"/>
  <c r="U239" i="76"/>
  <c r="U246" i="69"/>
  <c r="AD234" i="76"/>
  <c r="AD241" i="69"/>
  <c r="K33" i="70"/>
  <c r="D130" i="70"/>
  <c r="E133" i="70" s="1" a="1"/>
  <c r="E133" i="70" s="1"/>
  <c r="W159" i="76" s="1"/>
  <c r="AA235" i="69"/>
  <c r="AA228" i="76"/>
  <c r="AC229" i="76"/>
  <c r="AC236" i="69"/>
  <c r="T25" i="69"/>
  <c r="T33" i="69"/>
  <c r="T95" i="76"/>
  <c r="AD230" i="76"/>
  <c r="AD237" i="69"/>
  <c r="AD238" i="69"/>
  <c r="AD231" i="76"/>
  <c r="Z232" i="76"/>
  <c r="Z239" i="69"/>
  <c r="AC233" i="76"/>
  <c r="AC240" i="69"/>
  <c r="I81" i="76" a="1"/>
  <c r="I81" i="76" s="1"/>
  <c r="I80" i="76" a="1"/>
  <c r="I80" i="76" s="1"/>
  <c r="H95" i="76" s="1" a="1"/>
  <c r="H95" i="76" s="1"/>
  <c r="AE140" i="69"/>
  <c r="AE139" i="69"/>
  <c r="AE138" i="69"/>
  <c r="AE137" i="69"/>
  <c r="AE136" i="69"/>
  <c r="AE135" i="69"/>
  <c r="AE134" i="69"/>
  <c r="AE133" i="69"/>
  <c r="AE132" i="69"/>
  <c r="AE131" i="69"/>
  <c r="O134" i="69"/>
  <c r="O133" i="69"/>
  <c r="AE142" i="69"/>
  <c r="O132" i="69"/>
  <c r="AE141" i="69"/>
  <c r="O131" i="69"/>
  <c r="AE87" i="69"/>
  <c r="AE59" i="76" s="1"/>
  <c r="AE86" i="69"/>
  <c r="AE58" i="76" s="1"/>
  <c r="AE85" i="69"/>
  <c r="AE57" i="76" s="1"/>
  <c r="AE84" i="69"/>
  <c r="AE56" i="76" s="1"/>
  <c r="AE95" i="69"/>
  <c r="AE67" i="76" s="1"/>
  <c r="AE94" i="69"/>
  <c r="AE66" i="76" s="1"/>
  <c r="AE93" i="69"/>
  <c r="AE65" i="76" s="1"/>
  <c r="AE92" i="69"/>
  <c r="AE64" i="76" s="1"/>
  <c r="AE91" i="69"/>
  <c r="AE63" i="76" s="1"/>
  <c r="AE90" i="69"/>
  <c r="AE62" i="76" s="1"/>
  <c r="AE89" i="69"/>
  <c r="AE61" i="76" s="1"/>
  <c r="AE88" i="69"/>
  <c r="AE60" i="76" s="1"/>
  <c r="O87" i="69"/>
  <c r="O57" i="76" s="1"/>
  <c r="O86" i="69"/>
  <c r="O56" i="76" s="1"/>
  <c r="O85" i="69"/>
  <c r="O55" i="76" s="1"/>
  <c r="O84" i="69"/>
  <c r="O54" i="76" s="1"/>
  <c r="AE32" i="69"/>
  <c r="AE31" i="69"/>
  <c r="AE30" i="69"/>
  <c r="AE33" i="69"/>
  <c r="H16" i="69" a="1"/>
  <c r="H16" i="69" s="1"/>
  <c r="H15" i="69" a="1"/>
  <c r="H15" i="69" s="1"/>
  <c r="F32" i="70"/>
  <c r="O31" i="69"/>
  <c r="O32" i="69"/>
  <c r="O33" i="69"/>
  <c r="O30" i="69"/>
  <c r="E7" i="69"/>
  <c r="L360" i="79"/>
  <c r="N366" i="79"/>
  <c r="J366" i="79"/>
  <c r="N363" i="79"/>
  <c r="I361" i="79"/>
  <c r="L361" i="79"/>
  <c r="M364" i="79"/>
  <c r="J362" i="79"/>
  <c r="L366" i="79"/>
  <c r="N364" i="79"/>
  <c r="J367" i="79"/>
  <c r="M365" i="79"/>
  <c r="L362" i="79"/>
  <c r="N365" i="79"/>
  <c r="I364" i="79"/>
  <c r="J363" i="79"/>
  <c r="L367" i="79"/>
  <c r="L363" i="79"/>
  <c r="M360" i="79"/>
  <c r="M367" i="79"/>
  <c r="M361" i="79"/>
  <c r="I360" i="79"/>
  <c r="I365" i="79"/>
  <c r="M362" i="79"/>
  <c r="K26" i="70"/>
  <c r="M33" i="70"/>
  <c r="E24" i="70"/>
  <c r="F24" i="70"/>
  <c r="G24" i="70"/>
  <c r="M24" i="70"/>
  <c r="F25" i="70"/>
  <c r="G26" i="70"/>
  <c r="I26" i="70"/>
  <c r="F33" i="70"/>
  <c r="H25" i="70"/>
  <c r="N33" i="70"/>
  <c r="M25" i="70"/>
  <c r="H26" i="70"/>
  <c r="I22" i="70"/>
  <c r="H31" i="70"/>
  <c r="E25" i="70"/>
  <c r="L26" i="70"/>
  <c r="G23" i="70"/>
  <c r="I31" i="70"/>
  <c r="H23" i="70"/>
  <c r="M31" i="70"/>
  <c r="G32" i="70"/>
  <c r="I29" i="70"/>
  <c r="M32" i="70"/>
  <c r="E31" i="70"/>
  <c r="E32" i="70"/>
  <c r="F26" i="70"/>
  <c r="G31" i="70"/>
  <c r="N26" i="70"/>
  <c r="H24" i="70"/>
  <c r="M26" i="70"/>
  <c r="H32" i="70"/>
  <c r="E23" i="70"/>
  <c r="I24" i="70"/>
  <c r="I28" i="70"/>
  <c r="L32" i="70"/>
  <c r="J29" i="70"/>
  <c r="E26" i="70"/>
  <c r="G25" i="70"/>
  <c r="G30" i="70"/>
  <c r="G33" i="70"/>
  <c r="E29" i="70"/>
  <c r="H30" i="70"/>
  <c r="E30" i="70"/>
  <c r="L25" i="70"/>
  <c r="I30" i="70"/>
  <c r="L33" i="70"/>
  <c r="F31" i="70"/>
  <c r="F228" i="79"/>
  <c r="G224" i="79"/>
  <c r="N222" i="79"/>
  <c r="H225" i="79"/>
  <c r="H228" i="79"/>
  <c r="M228" i="79"/>
  <c r="K243" i="79"/>
  <c r="L237" i="79"/>
  <c r="N241" i="79"/>
  <c r="L251" i="79"/>
  <c r="P232" i="79"/>
  <c r="P239" i="79"/>
  <c r="P246" i="79"/>
  <c r="N223" i="79"/>
  <c r="I225" i="79"/>
  <c r="I228" i="79"/>
  <c r="N228" i="79"/>
  <c r="K232" i="79"/>
  <c r="K246" i="79"/>
  <c r="N232" i="79"/>
  <c r="L242" i="79"/>
  <c r="N246" i="79"/>
  <c r="O233" i="79"/>
  <c r="O240" i="79"/>
  <c r="O247" i="79"/>
  <c r="N224" i="79"/>
  <c r="J225" i="79"/>
  <c r="J228" i="79"/>
  <c r="N225" i="79"/>
  <c r="K235" i="79"/>
  <c r="K249" i="79"/>
  <c r="L233" i="79"/>
  <c r="N237" i="79"/>
  <c r="L247" i="79"/>
  <c r="N251" i="79"/>
  <c r="P233" i="79"/>
  <c r="P240" i="79"/>
  <c r="P247" i="79"/>
  <c r="N221" i="79"/>
  <c r="G226" i="79"/>
  <c r="K228" i="79"/>
  <c r="O225" i="79"/>
  <c r="K238" i="79"/>
  <c r="K252" i="79"/>
  <c r="N242" i="79"/>
  <c r="O234" i="79"/>
  <c r="O241" i="79"/>
  <c r="O248" i="79"/>
  <c r="K224" i="79"/>
  <c r="O221" i="79"/>
  <c r="H226" i="79"/>
  <c r="K225" i="79"/>
  <c r="P225" i="79"/>
  <c r="K241" i="79"/>
  <c r="K229" i="79"/>
  <c r="P234" i="79"/>
  <c r="P248" i="79"/>
  <c r="K221" i="79"/>
  <c r="I226" i="79"/>
  <c r="L225" i="79"/>
  <c r="O226" i="79"/>
  <c r="K230" i="79"/>
  <c r="K244" i="79"/>
  <c r="L234" i="79"/>
  <c r="N238" i="79"/>
  <c r="L248" i="79"/>
  <c r="N252" i="79"/>
  <c r="O235" i="79"/>
  <c r="O242" i="79"/>
  <c r="O249" i="79"/>
  <c r="O222" i="79"/>
  <c r="J226" i="79"/>
  <c r="M225" i="79"/>
  <c r="P226" i="79"/>
  <c r="L239" i="79"/>
  <c r="N243" i="79"/>
  <c r="N229" i="79"/>
  <c r="P235" i="79"/>
  <c r="P249" i="79"/>
  <c r="L222" i="79"/>
  <c r="P222" i="79"/>
  <c r="K226" i="79"/>
  <c r="L226" i="79"/>
  <c r="O227" i="79"/>
  <c r="K236" i="79"/>
  <c r="K250" i="79"/>
  <c r="O229" i="79"/>
  <c r="O236" i="79"/>
  <c r="O243" i="79"/>
  <c r="O250" i="79"/>
  <c r="L223" i="79"/>
  <c r="O223" i="79"/>
  <c r="G227" i="79"/>
  <c r="M226" i="79"/>
  <c r="P227" i="79"/>
  <c r="N239" i="79"/>
  <c r="P236" i="79"/>
  <c r="P250" i="79"/>
  <c r="L224" i="79"/>
  <c r="P223" i="79"/>
  <c r="H227" i="79"/>
  <c r="O228" i="79"/>
  <c r="N230" i="79"/>
  <c r="L240" i="79"/>
  <c r="N244" i="79"/>
  <c r="O230" i="79"/>
  <c r="O237" i="79"/>
  <c r="O244" i="79"/>
  <c r="O251" i="79"/>
  <c r="F221" i="79"/>
  <c r="O224" i="79"/>
  <c r="I227" i="79"/>
  <c r="L227" i="79"/>
  <c r="P228" i="79"/>
  <c r="K231" i="79"/>
  <c r="K245" i="79"/>
  <c r="F222" i="79"/>
  <c r="J227" i="79"/>
  <c r="M227" i="79"/>
  <c r="O231" i="79"/>
  <c r="O238" i="79"/>
  <c r="O245" i="79"/>
  <c r="O252" i="79"/>
  <c r="F223" i="79"/>
  <c r="G221" i="79"/>
  <c r="K227" i="79"/>
  <c r="N231" i="79"/>
  <c r="N245" i="79"/>
  <c r="F28" i="70"/>
  <c r="L29" i="70"/>
  <c r="J31" i="70"/>
  <c r="H33" i="70"/>
  <c r="N30" i="70"/>
  <c r="G28" i="70"/>
  <c r="M29" i="70"/>
  <c r="K31" i="70"/>
  <c r="I33" i="70"/>
  <c r="N31" i="70"/>
  <c r="K27" i="70"/>
  <c r="L22" i="70"/>
  <c r="J24" i="70"/>
  <c r="E27" i="70"/>
  <c r="M22" i="70"/>
  <c r="K24" i="70"/>
  <c r="E28" i="70"/>
  <c r="F23" i="70"/>
  <c r="L24" i="70"/>
  <c r="H28" i="70"/>
  <c r="F30" i="70"/>
  <c r="J33" i="70"/>
  <c r="N32" i="70"/>
  <c r="J28" i="70"/>
  <c r="I23" i="70"/>
  <c r="K28" i="70"/>
  <c r="N22" i="70"/>
  <c r="K23" i="70"/>
  <c r="I25" i="70"/>
  <c r="G27" i="70"/>
  <c r="M28" i="70"/>
  <c r="K30" i="70"/>
  <c r="I32" i="70"/>
  <c r="N23" i="70"/>
  <c r="J23" i="70"/>
  <c r="F22" i="70"/>
  <c r="L23" i="70"/>
  <c r="J25" i="70"/>
  <c r="H27" i="70"/>
  <c r="F29" i="70"/>
  <c r="L30" i="70"/>
  <c r="J32" i="70"/>
  <c r="F27" i="70"/>
  <c r="L28" i="70"/>
  <c r="J30" i="70"/>
  <c r="G22" i="70"/>
  <c r="K25" i="70"/>
  <c r="I27" i="70"/>
  <c r="G29" i="70"/>
  <c r="E22" i="70"/>
  <c r="H22" i="70"/>
  <c r="J27" i="70"/>
  <c r="H29" i="70"/>
  <c r="N27" i="70"/>
  <c r="J22" i="70"/>
  <c r="L27" i="70"/>
  <c r="K29" i="70"/>
  <c r="H87" i="79"/>
  <c r="K87" i="79"/>
  <c r="N87" i="79"/>
  <c r="G91" i="79"/>
  <c r="K92" i="79"/>
  <c r="O91" i="79"/>
  <c r="K97" i="79"/>
  <c r="O95" i="79"/>
  <c r="L98" i="79"/>
  <c r="O99" i="79"/>
  <c r="L103" i="79"/>
  <c r="P103" i="79"/>
  <c r="L115" i="79"/>
  <c r="P106" i="79"/>
  <c r="P113" i="79"/>
  <c r="G88" i="79"/>
  <c r="K88" i="79"/>
  <c r="O87" i="79"/>
  <c r="K93" i="79"/>
  <c r="O92" i="79"/>
  <c r="L94" i="79"/>
  <c r="O96" i="79"/>
  <c r="L99" i="79"/>
  <c r="P99" i="79"/>
  <c r="L104" i="79"/>
  <c r="O104" i="79"/>
  <c r="L116" i="79"/>
  <c r="N112" i="79"/>
  <c r="O107" i="79"/>
  <c r="O114" i="79"/>
  <c r="H88" i="79"/>
  <c r="K89" i="79"/>
  <c r="P87" i="79"/>
  <c r="I91" i="79"/>
  <c r="L90" i="79"/>
  <c r="O93" i="79"/>
  <c r="L95" i="79"/>
  <c r="O97" i="79"/>
  <c r="L100" i="79"/>
  <c r="O100" i="79"/>
  <c r="L105" i="79"/>
  <c r="P104" i="79"/>
  <c r="L117" i="79"/>
  <c r="P107" i="79"/>
  <c r="P114" i="79"/>
  <c r="G89" i="79"/>
  <c r="L86" i="79"/>
  <c r="N88" i="79"/>
  <c r="J91" i="79"/>
  <c r="L91" i="79"/>
  <c r="O90" i="79"/>
  <c r="L96" i="79"/>
  <c r="P94" i="79"/>
  <c r="L101" i="79"/>
  <c r="P100" i="79"/>
  <c r="O105" i="79"/>
  <c r="N113" i="79"/>
  <c r="O108" i="79"/>
  <c r="O115" i="79"/>
  <c r="H89" i="79"/>
  <c r="L87" i="79"/>
  <c r="O88" i="79"/>
  <c r="L92" i="79"/>
  <c r="P90" i="79"/>
  <c r="P95" i="79"/>
  <c r="O101" i="79"/>
  <c r="P105" i="79"/>
  <c r="K107" i="79"/>
  <c r="K109" i="79"/>
  <c r="K111" i="79"/>
  <c r="K113" i="79"/>
  <c r="P108" i="79"/>
  <c r="P115" i="79"/>
  <c r="I86" i="79"/>
  <c r="P88" i="79"/>
  <c r="L93" i="79"/>
  <c r="P91" i="79"/>
  <c r="P96" i="79"/>
  <c r="P101" i="79"/>
  <c r="N103" i="79"/>
  <c r="L106" i="79"/>
  <c r="O109" i="79"/>
  <c r="O116" i="79"/>
  <c r="N89" i="79"/>
  <c r="I92" i="79"/>
  <c r="M90" i="79"/>
  <c r="P92" i="79"/>
  <c r="P97" i="79"/>
  <c r="F102" i="79"/>
  <c r="P109" i="79"/>
  <c r="P116" i="79"/>
  <c r="O89" i="79"/>
  <c r="J92" i="79"/>
  <c r="M91" i="79"/>
  <c r="P93" i="79"/>
  <c r="L108" i="79"/>
  <c r="O110" i="79"/>
  <c r="O117" i="79"/>
  <c r="I89" i="79"/>
  <c r="P89" i="79"/>
  <c r="P110" i="79"/>
  <c r="P117" i="79"/>
  <c r="J86" i="79"/>
  <c r="M88" i="79"/>
  <c r="L110" i="79"/>
  <c r="O111" i="79"/>
  <c r="M89" i="79"/>
  <c r="G90" i="79"/>
  <c r="N102" i="79"/>
  <c r="P111" i="79"/>
  <c r="N86" i="79"/>
  <c r="H90" i="79"/>
  <c r="J93" i="79"/>
  <c r="N98" i="79"/>
  <c r="O102" i="79"/>
  <c r="K112" i="79"/>
  <c r="K114" i="79"/>
  <c r="O112" i="79"/>
  <c r="O86" i="79"/>
  <c r="K90" i="79"/>
  <c r="N94" i="79"/>
  <c r="O98" i="79"/>
  <c r="K102" i="79"/>
  <c r="N106" i="79"/>
  <c r="P86" i="79"/>
  <c r="U187" i="76" l="1" a="1"/>
  <c r="U187" i="76" s="1"/>
  <c r="U186" i="76" a="1"/>
  <c r="U186" i="76" s="1"/>
  <c r="U185" i="76" a="1"/>
  <c r="U185" i="76" s="1"/>
  <c r="U184" i="76" a="1"/>
  <c r="U184" i="76" s="1"/>
  <c r="W235" i="76"/>
  <c r="W242" i="69"/>
  <c r="AA232" i="76"/>
  <c r="AA239" i="69"/>
  <c r="AA231" i="76"/>
  <c r="AA238" i="69"/>
  <c r="Y245" i="69"/>
  <c r="Y238" i="76"/>
  <c r="AB230" i="76"/>
  <c r="AB237" i="69"/>
  <c r="AD236" i="76"/>
  <c r="AD243" i="69"/>
  <c r="W239" i="76"/>
  <c r="W246" i="69"/>
  <c r="V232" i="76"/>
  <c r="V239" i="69"/>
  <c r="X232" i="76"/>
  <c r="X239" i="69"/>
  <c r="W228" i="76"/>
  <c r="W235" i="69"/>
  <c r="AA236" i="76"/>
  <c r="AA243" i="69"/>
  <c r="V236" i="69"/>
  <c r="V229" i="76"/>
  <c r="X239" i="76"/>
  <c r="X246" i="69"/>
  <c r="W236" i="76"/>
  <c r="W243" i="69"/>
  <c r="U238" i="76"/>
  <c r="U245" i="69"/>
  <c r="AC231" i="76"/>
  <c r="AC238" i="69"/>
  <c r="V238" i="76"/>
  <c r="V245" i="69"/>
  <c r="X234" i="76"/>
  <c r="X241" i="69"/>
  <c r="Z244" i="69"/>
  <c r="Z237" i="76"/>
  <c r="AA242" i="69"/>
  <c r="AA235" i="76"/>
  <c r="V239" i="76"/>
  <c r="V246" i="69"/>
  <c r="AC234" i="76"/>
  <c r="AC241" i="69"/>
  <c r="U244" i="69"/>
  <c r="U237" i="76"/>
  <c r="AB234" i="76"/>
  <c r="AB241" i="69"/>
  <c r="AA230" i="76"/>
  <c r="AA237" i="69"/>
  <c r="AC238" i="76"/>
  <c r="AC245" i="69"/>
  <c r="V233" i="76"/>
  <c r="V240" i="69"/>
  <c r="Y238" i="69"/>
  <c r="Y231" i="76"/>
  <c r="AC228" i="76"/>
  <c r="AC235" i="69"/>
  <c r="V241" i="69"/>
  <c r="V234" i="76"/>
  <c r="Z242" i="69"/>
  <c r="Z235" i="76"/>
  <c r="Y235" i="76"/>
  <c r="Y242" i="69"/>
  <c r="AB233" i="76"/>
  <c r="AB240" i="69"/>
  <c r="Z238" i="76"/>
  <c r="Z245" i="69"/>
  <c r="AA229" i="76"/>
  <c r="AA236" i="69"/>
  <c r="U233" i="76"/>
  <c r="U240" i="69"/>
  <c r="AB238" i="76"/>
  <c r="AB245" i="69"/>
  <c r="W238" i="76"/>
  <c r="W245" i="69"/>
  <c r="Y232" i="76"/>
  <c r="Y239" i="69"/>
  <c r="V236" i="76"/>
  <c r="V243" i="69"/>
  <c r="W241" i="69"/>
  <c r="W234" i="76"/>
  <c r="AC237" i="76"/>
  <c r="AC244" i="69"/>
  <c r="Z229" i="76"/>
  <c r="Z236" i="69"/>
  <c r="X237" i="76"/>
  <c r="X244" i="69"/>
  <c r="U235" i="76"/>
  <c r="U242" i="69"/>
  <c r="V276" i="69" s="1"/>
  <c r="W233" i="76"/>
  <c r="W240" i="69"/>
  <c r="AB236" i="76"/>
  <c r="AB243" i="69"/>
  <c r="Y234" i="76"/>
  <c r="Y241" i="69"/>
  <c r="AA234" i="76"/>
  <c r="AA241" i="69"/>
  <c r="AB228" i="76"/>
  <c r="AB235" i="69"/>
  <c r="V237" i="76"/>
  <c r="V244" i="69"/>
  <c r="Y230" i="76"/>
  <c r="Y237" i="69"/>
  <c r="X229" i="76"/>
  <c r="X236" i="69"/>
  <c r="V231" i="76"/>
  <c r="V238" i="69"/>
  <c r="AD232" i="76"/>
  <c r="AD239" i="69"/>
  <c r="Y233" i="76"/>
  <c r="Y240" i="69"/>
  <c r="W237" i="76"/>
  <c r="W244" i="69"/>
  <c r="Z236" i="76"/>
  <c r="Z243" i="69"/>
  <c r="AD239" i="76"/>
  <c r="AD246" i="69"/>
  <c r="AB235" i="76"/>
  <c r="AB242" i="69"/>
  <c r="X238" i="69"/>
  <c r="X231" i="76"/>
  <c r="AD228" i="76"/>
  <c r="AD235" i="69"/>
  <c r="W232" i="76"/>
  <c r="W239" i="69"/>
  <c r="V235" i="76"/>
  <c r="V242" i="69"/>
  <c r="X235" i="76"/>
  <c r="X242" i="69"/>
  <c r="X240" i="69"/>
  <c r="X233" i="76"/>
  <c r="Y229" i="76"/>
  <c r="Y236" i="69"/>
  <c r="AA233" i="76"/>
  <c r="AA240" i="69"/>
  <c r="AB246" i="69"/>
  <c r="AB239" i="76"/>
  <c r="U229" i="76"/>
  <c r="U236" i="69"/>
  <c r="Y237" i="76"/>
  <c r="Y244" i="69"/>
  <c r="AC230" i="76"/>
  <c r="AC237" i="69"/>
  <c r="T31" i="69"/>
  <c r="T23" i="69"/>
  <c r="T93" i="76"/>
  <c r="X236" i="76"/>
  <c r="X243" i="69"/>
  <c r="Y228" i="76"/>
  <c r="Y235" i="69"/>
  <c r="U232" i="76"/>
  <c r="U239" i="69"/>
  <c r="Z235" i="69"/>
  <c r="Z228" i="76"/>
  <c r="Z230" i="76"/>
  <c r="Z237" i="69"/>
  <c r="AD233" i="76"/>
  <c r="AD240" i="69"/>
  <c r="Z233" i="76"/>
  <c r="Z240" i="69"/>
  <c r="Z231" i="76"/>
  <c r="Z238" i="69"/>
  <c r="Z234" i="76"/>
  <c r="Z241" i="69"/>
  <c r="AD237" i="76"/>
  <c r="AD244" i="69"/>
  <c r="Y236" i="76"/>
  <c r="Y243" i="69"/>
  <c r="X245" i="69"/>
  <c r="X238" i="76"/>
  <c r="W229" i="76"/>
  <c r="W236" i="69"/>
  <c r="W230" i="76"/>
  <c r="W237" i="69"/>
  <c r="T22" i="69"/>
  <c r="T30" i="69"/>
  <c r="T92" i="76"/>
  <c r="AC235" i="76"/>
  <c r="AC242" i="69"/>
  <c r="AD236" i="69"/>
  <c r="AD229" i="76"/>
  <c r="W231" i="76"/>
  <c r="W238" i="69"/>
  <c r="X228" i="76"/>
  <c r="X235" i="69"/>
  <c r="AD238" i="76"/>
  <c r="AD245" i="69"/>
  <c r="AB231" i="76"/>
  <c r="AB238" i="69"/>
  <c r="AB239" i="69"/>
  <c r="AB232" i="76"/>
  <c r="V230" i="76"/>
  <c r="V237" i="69"/>
  <c r="T32" i="69"/>
  <c r="T24" i="69"/>
  <c r="T94" i="76"/>
  <c r="AC246" i="69"/>
  <c r="AC239" i="76"/>
  <c r="U234" i="76"/>
  <c r="U241" i="69"/>
  <c r="AB229" i="76"/>
  <c r="AB236" i="69"/>
  <c r="Y239" i="76"/>
  <c r="Y246" i="69"/>
  <c r="AC239" i="69"/>
  <c r="AC232" i="76"/>
  <c r="U228" i="76"/>
  <c r="U235" i="69"/>
  <c r="V228" i="76"/>
  <c r="V235" i="69"/>
  <c r="Z239" i="76"/>
  <c r="Z246" i="69"/>
  <c r="AA237" i="76"/>
  <c r="AA244" i="69"/>
  <c r="U236" i="76"/>
  <c r="U243" i="69"/>
  <c r="X230" i="76"/>
  <c r="X237" i="69"/>
  <c r="U231" i="76"/>
  <c r="U238" i="69"/>
  <c r="U237" i="69"/>
  <c r="U230" i="76"/>
  <c r="AA239" i="76"/>
  <c r="AA246" i="69"/>
  <c r="Z111" i="76" a="1"/>
  <c r="Z111" i="76" s="1"/>
  <c r="Y108" i="76" a="1"/>
  <c r="Y108" i="76" s="1"/>
  <c r="Y104" i="76" a="1"/>
  <c r="Y104" i="76" s="1"/>
  <c r="Y101" i="76" a="1"/>
  <c r="Y101" i="76" s="1"/>
  <c r="H96" i="76" a="1"/>
  <c r="H96" i="76" s="1"/>
  <c r="Y111" i="76" a="1"/>
  <c r="Y111" i="76" s="1"/>
  <c r="X108" i="76" a="1"/>
  <c r="X108" i="76" s="1"/>
  <c r="X101" i="76" a="1"/>
  <c r="X101" i="76" s="1"/>
  <c r="J95" i="76" a="1"/>
  <c r="J95" i="76" s="1"/>
  <c r="X104" i="76" a="1"/>
  <c r="X104" i="76" s="1"/>
  <c r="Z100" i="76" a="1"/>
  <c r="Z100" i="76" s="1"/>
  <c r="X111" i="76" a="1"/>
  <c r="X111" i="76" s="1"/>
  <c r="Z107" i="76" a="1"/>
  <c r="Z107" i="76" s="1"/>
  <c r="Z103" i="76" a="1"/>
  <c r="Z103" i="76" s="1"/>
  <c r="Y100" i="76" a="1"/>
  <c r="Y100" i="76" s="1"/>
  <c r="I95" i="76" a="1"/>
  <c r="I95" i="76" s="1"/>
  <c r="I96" i="76" a="1"/>
  <c r="I96" i="76" s="1"/>
  <c r="Y107" i="76" a="1"/>
  <c r="Y107" i="76" s="1"/>
  <c r="X100" i="76" a="1"/>
  <c r="X100" i="76" s="1"/>
  <c r="Z110" i="76" a="1"/>
  <c r="Z110" i="76" s="1"/>
  <c r="X107" i="76" a="1"/>
  <c r="X107" i="76" s="1"/>
  <c r="Y103" i="76" a="1"/>
  <c r="Y103" i="76" s="1"/>
  <c r="J98" i="76" a="1"/>
  <c r="J98" i="76" s="1"/>
  <c r="X105" i="76" a="1"/>
  <c r="X105" i="76" s="1"/>
  <c r="Y110" i="76" a="1"/>
  <c r="Y110" i="76" s="1"/>
  <c r="Z106" i="76" a="1"/>
  <c r="Z106" i="76" s="1"/>
  <c r="X103" i="76" a="1"/>
  <c r="X103" i="76" s="1"/>
  <c r="I98" i="76" a="1"/>
  <c r="I98" i="76" s="1"/>
  <c r="X110" i="76" a="1"/>
  <c r="X110" i="76" s="1"/>
  <c r="Y106" i="76" a="1"/>
  <c r="Y106" i="76" s="1"/>
  <c r="H98" i="76" a="1"/>
  <c r="H98" i="76" s="1"/>
  <c r="X106" i="76" a="1"/>
  <c r="X106" i="76" s="1"/>
  <c r="Z102" i="76" a="1"/>
  <c r="Z102" i="76" s="1"/>
  <c r="J97" i="76" a="1"/>
  <c r="J97" i="76" s="1"/>
  <c r="Z109" i="76" a="1"/>
  <c r="Z109" i="76" s="1"/>
  <c r="Z105" i="76" a="1"/>
  <c r="Z105" i="76" s="1"/>
  <c r="Y102" i="76" a="1"/>
  <c r="Y102" i="76" s="1"/>
  <c r="I97" i="76" a="1"/>
  <c r="I97" i="76" s="1"/>
  <c r="Y109" i="76" a="1"/>
  <c r="Y109" i="76" s="1"/>
  <c r="Y105" i="76" a="1"/>
  <c r="Y105" i="76" s="1"/>
  <c r="H97" i="76" a="1"/>
  <c r="H97" i="76" s="1"/>
  <c r="X109" i="76" a="1"/>
  <c r="X109" i="76" s="1"/>
  <c r="X102" i="76" a="1"/>
  <c r="X102" i="76" s="1"/>
  <c r="J96" i="76" a="1"/>
  <c r="J96" i="76" s="1"/>
  <c r="Z108" i="76" a="1"/>
  <c r="Z108" i="76" s="1"/>
  <c r="Z104" i="76" a="1"/>
  <c r="Z104" i="76" s="1"/>
  <c r="Z101" i="76" a="1"/>
  <c r="Z101" i="76" s="1"/>
  <c r="Z30" i="69" a="1"/>
  <c r="Z30" i="69" s="1"/>
  <c r="Y33" i="69" a="1"/>
  <c r="Y33" i="69" s="1"/>
  <c r="Z33" i="69" a="1"/>
  <c r="Z33" i="69" s="1"/>
  <c r="Y31" i="69" a="1"/>
  <c r="Y31" i="69" s="1"/>
  <c r="Z31" i="69" a="1"/>
  <c r="Z31" i="69" s="1"/>
  <c r="Z32" i="69" a="1"/>
  <c r="Z32" i="69" s="1"/>
  <c r="Y32" i="69" a="1"/>
  <c r="Y32" i="69" s="1"/>
  <c r="X32" i="69" a="1"/>
  <c r="X32" i="69" s="1"/>
  <c r="X33" i="69" a="1"/>
  <c r="X33" i="69" s="1"/>
  <c r="Y30" i="69" a="1"/>
  <c r="Y30" i="69" s="1"/>
  <c r="X31" i="69" a="1"/>
  <c r="X31" i="69" s="1"/>
  <c r="X30" i="69" a="1"/>
  <c r="X30" i="69" s="1"/>
  <c r="J32" i="69" a="1"/>
  <c r="J32" i="69" s="1"/>
  <c r="J26" i="69" a="1"/>
  <c r="J26" i="69" s="1"/>
  <c r="I32" i="69" a="1"/>
  <c r="I32" i="69" s="1"/>
  <c r="H32" i="69" a="1"/>
  <c r="H32" i="69" s="1"/>
  <c r="J25" i="69" a="1"/>
  <c r="J25" i="69" s="1"/>
  <c r="J31" i="69" a="1"/>
  <c r="J31" i="69" s="1"/>
  <c r="I31" i="69" a="1"/>
  <c r="I31" i="69" s="1"/>
  <c r="H31" i="69" a="1"/>
  <c r="H31" i="69" s="1"/>
  <c r="J30" i="69" a="1"/>
  <c r="J30" i="69" s="1"/>
  <c r="J24" i="69" a="1"/>
  <c r="J24" i="69" s="1"/>
  <c r="I30" i="69" a="1"/>
  <c r="I30" i="69" s="1"/>
  <c r="J23" i="69" a="1"/>
  <c r="J23" i="69" s="1"/>
  <c r="H30" i="69" a="1"/>
  <c r="H30" i="69" s="1"/>
  <c r="J33" i="69" a="1"/>
  <c r="J33" i="69" s="1"/>
  <c r="I33" i="69" a="1"/>
  <c r="I33" i="69" s="1"/>
  <c r="H33" i="69" a="1"/>
  <c r="H33" i="69" s="1"/>
  <c r="K26" i="69" a="1"/>
  <c r="K26" i="69" s="1"/>
  <c r="K25" i="69" a="1"/>
  <c r="K25" i="69" s="1"/>
  <c r="K24" i="69" a="1"/>
  <c r="K24" i="69" s="1"/>
  <c r="K23" i="69" a="1"/>
  <c r="K23" i="69" s="1"/>
  <c r="AB185" i="76" l="1" a="1"/>
  <c r="AB185" i="76" s="1"/>
  <c r="V185" i="76" a="1"/>
  <c r="V185" i="76" s="1"/>
  <c r="X185" i="76" a="1"/>
  <c r="X185" i="76" s="1"/>
  <c r="AB184" i="76" a="1"/>
  <c r="AB184" i="76" s="1"/>
  <c r="V184" i="76" a="1"/>
  <c r="V184" i="76" s="1"/>
  <c r="X184" i="76" a="1"/>
  <c r="X184" i="76" s="1"/>
  <c r="V186" i="76" a="1"/>
  <c r="V186" i="76" s="1"/>
  <c r="AB186" i="76" a="1"/>
  <c r="AB186" i="76" s="1"/>
  <c r="X186" i="76" a="1"/>
  <c r="X186" i="76" s="1"/>
  <c r="X187" i="76" a="1"/>
  <c r="X187" i="76" s="1"/>
  <c r="V187" i="76" a="1"/>
  <c r="V187" i="76" s="1"/>
  <c r="AB187" i="76" a="1"/>
  <c r="AB187" i="76" s="1"/>
  <c r="L23" i="69"/>
  <c r="L24" i="69"/>
  <c r="L25" i="69"/>
  <c r="L26" i="69"/>
  <c r="E165" i="69" l="1"/>
  <c r="E166" i="69"/>
  <c r="AB22" i="76"/>
  <c r="AB38" i="76" s="1" a="1"/>
  <c r="AB38" i="76" s="1"/>
  <c r="X22" i="76"/>
  <c r="X38" i="76" s="1" a="1"/>
  <c r="X38" i="76" s="1"/>
  <c r="AC22" i="76"/>
  <c r="AC38" i="76" s="1" a="1"/>
  <c r="AC38" i="76" s="1"/>
  <c r="W22" i="76"/>
  <c r="W38" i="76" s="1" a="1"/>
  <c r="W38" i="76" s="1"/>
  <c r="U22" i="76"/>
  <c r="U38" i="76" s="1" a="1"/>
  <c r="U38" i="76" s="1"/>
  <c r="Z22" i="76"/>
  <c r="Z38" i="76" s="1" a="1"/>
  <c r="Z38" i="76" s="1"/>
  <c r="AA22" i="76"/>
  <c r="AA38" i="76" s="1" a="1"/>
  <c r="AA38" i="76" s="1"/>
  <c r="V22" i="76"/>
  <c r="V38" i="76" s="1" a="1"/>
  <c r="V38" i="76" s="1"/>
  <c r="Y22" i="76"/>
  <c r="Y38" i="76" s="1" a="1"/>
  <c r="Y38" i="76" s="1"/>
  <c r="H227" i="76"/>
  <c r="H33" i="97"/>
  <c r="F69" i="69" l="1"/>
  <c r="F120" i="76"/>
  <c r="AC59" i="69"/>
  <c r="AC27" i="76"/>
  <c r="AC43" i="76" s="1" a="1"/>
  <c r="AC43" i="76" s="1"/>
  <c r="I68" i="69"/>
  <c r="I119" i="76"/>
  <c r="X74" i="69"/>
  <c r="X126" i="76"/>
  <c r="AA59" i="69"/>
  <c r="AA27" i="76"/>
  <c r="AA43" i="76" s="1" a="1"/>
  <c r="AA43" i="76" s="1"/>
  <c r="M68" i="69"/>
  <c r="M119" i="76"/>
  <c r="Y62" i="69"/>
  <c r="Y30" i="76"/>
  <c r="Y46" i="76" s="1" a="1"/>
  <c r="Y46" i="76" s="1"/>
  <c r="AD71" i="69"/>
  <c r="AD123" i="76"/>
  <c r="Z76" i="69"/>
  <c r="Z128" i="76"/>
  <c r="Z75" i="69"/>
  <c r="Z127" i="76"/>
  <c r="AB57" i="69"/>
  <c r="AB25" i="76"/>
  <c r="AB41" i="76" s="1" a="1"/>
  <c r="AB41" i="76" s="1"/>
  <c r="AC62" i="69"/>
  <c r="AC30" i="76"/>
  <c r="AC46" i="76" s="1" a="1"/>
  <c r="AC46" i="76" s="1"/>
  <c r="AA61" i="69"/>
  <c r="AA29" i="76"/>
  <c r="AA45" i="76" s="1" a="1"/>
  <c r="AA45" i="76" s="1"/>
  <c r="Y79" i="69"/>
  <c r="Y131" i="76"/>
  <c r="AB59" i="69"/>
  <c r="AB27" i="76"/>
  <c r="AB43" i="76" s="1" a="1"/>
  <c r="AB43" i="76" s="1"/>
  <c r="AA57" i="69"/>
  <c r="AA25" i="76"/>
  <c r="AA41" i="76" s="1" a="1"/>
  <c r="AA41" i="76" s="1"/>
  <c r="Z58" i="69"/>
  <c r="Z26" i="76"/>
  <c r="Z42" i="76" s="1" a="1"/>
  <c r="Z42" i="76" s="1"/>
  <c r="AC78" i="69"/>
  <c r="AC130" i="76"/>
  <c r="U57" i="69"/>
  <c r="U25" i="76"/>
  <c r="U41" i="76" s="1" a="1"/>
  <c r="U41" i="76" s="1"/>
  <c r="AA70" i="69"/>
  <c r="AA122" i="76"/>
  <c r="AC77" i="69"/>
  <c r="AC129" i="76"/>
  <c r="U55" i="69"/>
  <c r="U23" i="76"/>
  <c r="U39" i="76" s="1" a="1"/>
  <c r="U39" i="76" s="1"/>
  <c r="Z57" i="69"/>
  <c r="Z25" i="76"/>
  <c r="Z41" i="76" s="1" a="1"/>
  <c r="Z41" i="76" s="1"/>
  <c r="Y57" i="69"/>
  <c r="Y25" i="76"/>
  <c r="Y41" i="76" s="1" a="1"/>
  <c r="Y41" i="76" s="1"/>
  <c r="X61" i="69"/>
  <c r="X29" i="76"/>
  <c r="X45" i="76" s="1" a="1"/>
  <c r="X45" i="76" s="1"/>
  <c r="F70" i="69"/>
  <c r="F121" i="76"/>
  <c r="Y122" i="69"/>
  <c r="Y175" i="76"/>
  <c r="W115" i="69"/>
  <c r="W168" i="76"/>
  <c r="AD120" i="69"/>
  <c r="AD173" i="76"/>
  <c r="F117" i="69"/>
  <c r="F155" i="76"/>
  <c r="Y116" i="69"/>
  <c r="Y169" i="76"/>
  <c r="G116" i="69"/>
  <c r="G154" i="76"/>
  <c r="V115" i="69"/>
  <c r="V168" i="76"/>
  <c r="AC115" i="69"/>
  <c r="AC168" i="76"/>
  <c r="Y115" i="69"/>
  <c r="Y168" i="76"/>
  <c r="AC124" i="69"/>
  <c r="AC177" i="76"/>
  <c r="M117" i="69"/>
  <c r="M155" i="76"/>
  <c r="V73" i="69"/>
  <c r="V125" i="76"/>
  <c r="Z72" i="69"/>
  <c r="Z124" i="76"/>
  <c r="X58" i="69"/>
  <c r="X26" i="76"/>
  <c r="X42" i="76" s="1" a="1"/>
  <c r="X42" i="76" s="1"/>
  <c r="U75" i="69"/>
  <c r="U127" i="76"/>
  <c r="AA60" i="69"/>
  <c r="AA28" i="76"/>
  <c r="AA44" i="76" s="1" a="1"/>
  <c r="AA44" i="76" s="1"/>
  <c r="AA78" i="69"/>
  <c r="AA130" i="76"/>
  <c r="X60" i="69"/>
  <c r="X28" i="76"/>
  <c r="X44" i="76" s="1" a="1"/>
  <c r="X44" i="76" s="1"/>
  <c r="H70" i="69"/>
  <c r="H121" i="76"/>
  <c r="L70" i="69"/>
  <c r="L121" i="76"/>
  <c r="W72" i="69"/>
  <c r="W124" i="76"/>
  <c r="Y63" i="69"/>
  <c r="Y31" i="76"/>
  <c r="Y47" i="76" s="1" a="1"/>
  <c r="Y47" i="76" s="1"/>
  <c r="X63" i="69"/>
  <c r="X31" i="76"/>
  <c r="X47" i="76" s="1" a="1"/>
  <c r="X47" i="76" s="1"/>
  <c r="H68" i="69"/>
  <c r="H119" i="76"/>
  <c r="W70" i="69"/>
  <c r="W122" i="76"/>
  <c r="G71" i="69"/>
  <c r="G122" i="76"/>
  <c r="AA56" i="69"/>
  <c r="AA24" i="76"/>
  <c r="AA40" i="76" s="1" a="1"/>
  <c r="AA40" i="76" s="1"/>
  <c r="AD57" i="69"/>
  <c r="AD25" i="76"/>
  <c r="AD41" i="76" s="1" a="1"/>
  <c r="AD41" i="76" s="1"/>
  <c r="AA79" i="69"/>
  <c r="AA131" i="76"/>
  <c r="Y60" i="69"/>
  <c r="Y28" i="76"/>
  <c r="Y44" i="76" s="1" a="1"/>
  <c r="Y44" i="76" s="1"/>
  <c r="V70" i="69"/>
  <c r="V122" i="76"/>
  <c r="AA58" i="69"/>
  <c r="AA26" i="76"/>
  <c r="AA42" i="76" s="1" a="1"/>
  <c r="AA42" i="76" s="1"/>
  <c r="I71" i="69"/>
  <c r="I122" i="76"/>
  <c r="F118" i="69"/>
  <c r="F156" i="76"/>
  <c r="F115" i="69"/>
  <c r="F153" i="76"/>
  <c r="W125" i="69"/>
  <c r="W178" i="76"/>
  <c r="G117" i="69"/>
  <c r="G155" i="76"/>
  <c r="AB121" i="69"/>
  <c r="AB174" i="76"/>
  <c r="X126" i="69"/>
  <c r="X179" i="76"/>
  <c r="Y126" i="69"/>
  <c r="Y179" i="76"/>
  <c r="V120" i="69"/>
  <c r="V173" i="76"/>
  <c r="Z122" i="69"/>
  <c r="Z175" i="76"/>
  <c r="I116" i="69"/>
  <c r="I154" i="76"/>
  <c r="Z126" i="69"/>
  <c r="Z179" i="76"/>
  <c r="AB76" i="69"/>
  <c r="AB128" i="76"/>
  <c r="AD68" i="69"/>
  <c r="AD120" i="76"/>
  <c r="AB61" i="69"/>
  <c r="AB29" i="76"/>
  <c r="AB45" i="76" s="1" a="1"/>
  <c r="AB45" i="76" s="1"/>
  <c r="W78" i="69"/>
  <c r="W130" i="76"/>
  <c r="Z59" i="69"/>
  <c r="Z27" i="76"/>
  <c r="Z43" i="76" s="1" a="1"/>
  <c r="Z43" i="76" s="1"/>
  <c r="AC70" i="69"/>
  <c r="AC122" i="76"/>
  <c r="Y68" i="69"/>
  <c r="Y120" i="76"/>
  <c r="V71" i="69"/>
  <c r="V123" i="76"/>
  <c r="M71" i="69"/>
  <c r="M122" i="76"/>
  <c r="Y55" i="69"/>
  <c r="Y23" i="76"/>
  <c r="Y39" i="76" s="1" a="1"/>
  <c r="Y39" i="76" s="1"/>
  <c r="V55" i="69"/>
  <c r="V23" i="76"/>
  <c r="V39" i="76" s="1" a="1"/>
  <c r="V39" i="76" s="1"/>
  <c r="U63" i="69"/>
  <c r="U31" i="76"/>
  <c r="U47" i="76" s="1" a="1"/>
  <c r="U47" i="76" s="1"/>
  <c r="N69" i="69"/>
  <c r="N120" i="76"/>
  <c r="AD59" i="69"/>
  <c r="AD27" i="76"/>
  <c r="AD43" i="76" s="1" a="1"/>
  <c r="AD43" i="76" s="1"/>
  <c r="AC58" i="69"/>
  <c r="AC26" i="76"/>
  <c r="AC42" i="76" s="1" a="1"/>
  <c r="AC42" i="76" s="1"/>
  <c r="X75" i="69"/>
  <c r="X127" i="76"/>
  <c r="V68" i="69"/>
  <c r="V120" i="76"/>
  <c r="Z78" i="69"/>
  <c r="Z130" i="76"/>
  <c r="AC56" i="69"/>
  <c r="AC24" i="76"/>
  <c r="AC40" i="76" s="1" a="1"/>
  <c r="AC40" i="76" s="1"/>
  <c r="L69" i="69"/>
  <c r="L120" i="76"/>
  <c r="H118" i="69"/>
  <c r="H156" i="76"/>
  <c r="U121" i="69"/>
  <c r="U174" i="76"/>
  <c r="I115" i="69"/>
  <c r="I153" i="76"/>
  <c r="U126" i="69"/>
  <c r="U179" i="76"/>
  <c r="AA123" i="69"/>
  <c r="AA176" i="76"/>
  <c r="Z124" i="69"/>
  <c r="Z177" i="76"/>
  <c r="K116" i="69"/>
  <c r="K154" i="76"/>
  <c r="W120" i="69"/>
  <c r="W173" i="76"/>
  <c r="W121" i="69"/>
  <c r="W174" i="76"/>
  <c r="V124" i="69"/>
  <c r="V177" i="76"/>
  <c r="Z119" i="69"/>
  <c r="Z172" i="76"/>
  <c r="AA119" i="69"/>
  <c r="AA172" i="76"/>
  <c r="Z56" i="69"/>
  <c r="Z24" i="76"/>
  <c r="Z40" i="76" s="1" a="1"/>
  <c r="Z40" i="76" s="1"/>
  <c r="AC75" i="69"/>
  <c r="AC127" i="76"/>
  <c r="AD70" i="69"/>
  <c r="AD122" i="76"/>
  <c r="AD62" i="69"/>
  <c r="AD30" i="76"/>
  <c r="AD46" i="76" s="1" a="1"/>
  <c r="AD46" i="76" s="1"/>
  <c r="Y71" i="69"/>
  <c r="Y123" i="76"/>
  <c r="Z63" i="69"/>
  <c r="Z31" i="76"/>
  <c r="Z47" i="76" s="1" a="1"/>
  <c r="Z47" i="76" s="1"/>
  <c r="AD75" i="69"/>
  <c r="AD127" i="76"/>
  <c r="W53" i="69"/>
  <c r="W21" i="76"/>
  <c r="W37" i="76" s="1" a="1"/>
  <c r="W37" i="76" s="1"/>
  <c r="Z71" i="69"/>
  <c r="Z123" i="76"/>
  <c r="Y58" i="69"/>
  <c r="Y26" i="76"/>
  <c r="Y42" i="76" s="1" a="1"/>
  <c r="Y42" i="76" s="1"/>
  <c r="AB52" i="69"/>
  <c r="AB20" i="76"/>
  <c r="AB36" i="76" s="1" a="1"/>
  <c r="AB36" i="76" s="1"/>
  <c r="K69" i="69"/>
  <c r="K120" i="76"/>
  <c r="W124" i="69"/>
  <c r="W177" i="76"/>
  <c r="H115" i="69"/>
  <c r="H153" i="76"/>
  <c r="Z117" i="69"/>
  <c r="Z170" i="76"/>
  <c r="X121" i="69"/>
  <c r="X174" i="76"/>
  <c r="U115" i="69"/>
  <c r="U168" i="76"/>
  <c r="V125" i="69"/>
  <c r="V178" i="76"/>
  <c r="J117" i="69"/>
  <c r="J155" i="76"/>
  <c r="AB119" i="69"/>
  <c r="AB172" i="76"/>
  <c r="W117" i="69"/>
  <c r="W170" i="76"/>
  <c r="M118" i="69"/>
  <c r="M156" i="76"/>
  <c r="W118" i="69"/>
  <c r="W171" i="76"/>
  <c r="AB126" i="69"/>
  <c r="AB179" i="76"/>
  <c r="V59" i="69"/>
  <c r="V27" i="76"/>
  <c r="V43" i="76" s="1" a="1"/>
  <c r="V43" i="76" s="1"/>
  <c r="AB69" i="69"/>
  <c r="AB121" i="76"/>
  <c r="Z79" i="69"/>
  <c r="Z131" i="76"/>
  <c r="W60" i="69"/>
  <c r="W28" i="76"/>
  <c r="W44" i="76" s="1" a="1"/>
  <c r="W44" i="76" s="1"/>
  <c r="Z77" i="69"/>
  <c r="Z129" i="76"/>
  <c r="Z53" i="69"/>
  <c r="Z21" i="76"/>
  <c r="Z37" i="76" s="1" a="1"/>
  <c r="Z37" i="76" s="1"/>
  <c r="U68" i="69"/>
  <c r="U120" i="76"/>
  <c r="AD77" i="69"/>
  <c r="AD129" i="76"/>
  <c r="F68" i="69"/>
  <c r="F119" i="76"/>
  <c r="Y56" i="69"/>
  <c r="Y24" i="76"/>
  <c r="Y40" i="76" s="1" a="1"/>
  <c r="Y40" i="76" s="1"/>
  <c r="W71" i="69"/>
  <c r="W123" i="76"/>
  <c r="W62" i="69"/>
  <c r="W30" i="76"/>
  <c r="W46" i="76" s="1" a="1"/>
  <c r="W46" i="76" s="1"/>
  <c r="X71" i="69"/>
  <c r="X123" i="76"/>
  <c r="Y73" i="69"/>
  <c r="Y125" i="76"/>
  <c r="AA55" i="69"/>
  <c r="AA23" i="76"/>
  <c r="AA39" i="76" s="1" a="1"/>
  <c r="AA39" i="76" s="1"/>
  <c r="H69" i="69"/>
  <c r="H120" i="76"/>
  <c r="E71" i="69"/>
  <c r="E122" i="76"/>
  <c r="I69" i="69"/>
  <c r="I120" i="76"/>
  <c r="Z118" i="69"/>
  <c r="Z171" i="76"/>
  <c r="AC126" i="69"/>
  <c r="AC179" i="76"/>
  <c r="AC121" i="69"/>
  <c r="AC174" i="76"/>
  <c r="L115" i="69"/>
  <c r="L153" i="76"/>
  <c r="AD124" i="69"/>
  <c r="AD177" i="76"/>
  <c r="Z115" i="69"/>
  <c r="Z168" i="76"/>
  <c r="AC117" i="69"/>
  <c r="AC170" i="76"/>
  <c r="Y118" i="69"/>
  <c r="Y171" i="76"/>
  <c r="Z121" i="69"/>
  <c r="Z174" i="76"/>
  <c r="V119" i="69"/>
  <c r="V172" i="76"/>
  <c r="X125" i="69"/>
  <c r="X178" i="76"/>
  <c r="Y125" i="69"/>
  <c r="Y178" i="76"/>
  <c r="X69" i="69"/>
  <c r="X121" i="76"/>
  <c r="AA52" i="69"/>
  <c r="AA20" i="76"/>
  <c r="AA36" i="76" s="1" a="1"/>
  <c r="AA36" i="76" s="1"/>
  <c r="W57" i="69"/>
  <c r="W25" i="76"/>
  <c r="W41" i="76" s="1" a="1"/>
  <c r="W41" i="76" s="1"/>
  <c r="H71" i="69"/>
  <c r="H122" i="76"/>
  <c r="AD79" i="69"/>
  <c r="AD131" i="76"/>
  <c r="G68" i="69"/>
  <c r="G119" i="76"/>
  <c r="AD63" i="69"/>
  <c r="AD31" i="76"/>
  <c r="AD47" i="76" s="1" a="1"/>
  <c r="AD47" i="76" s="1"/>
  <c r="L68" i="69"/>
  <c r="L119" i="76"/>
  <c r="AA71" i="69"/>
  <c r="AA123" i="76"/>
  <c r="Z69" i="69"/>
  <c r="Z121" i="76"/>
  <c r="AD60" i="69"/>
  <c r="AD28" i="76"/>
  <c r="AD44" i="76" s="1" a="1"/>
  <c r="AD44" i="76" s="1"/>
  <c r="W59" i="69"/>
  <c r="W27" i="76"/>
  <c r="W43" i="76" s="1" a="1"/>
  <c r="W43" i="76" s="1"/>
  <c r="AA68" i="69"/>
  <c r="AA120" i="76"/>
  <c r="AC73" i="69"/>
  <c r="AC125" i="76"/>
  <c r="W77" i="69"/>
  <c r="W129" i="76"/>
  <c r="AC55" i="69"/>
  <c r="AC23" i="76"/>
  <c r="AC39" i="76" s="1" a="1"/>
  <c r="AC39" i="76" s="1"/>
  <c r="AB77" i="69"/>
  <c r="AB129" i="76"/>
  <c r="AD52" i="69"/>
  <c r="AD20" i="76"/>
  <c r="AD36" i="76" s="1" a="1"/>
  <c r="AD36" i="76" s="1"/>
  <c r="K71" i="69"/>
  <c r="K122" i="76"/>
  <c r="M69" i="69"/>
  <c r="M120" i="76"/>
  <c r="G69" i="69"/>
  <c r="G120" i="76"/>
  <c r="V126" i="69"/>
  <c r="V179" i="76"/>
  <c r="M115" i="69"/>
  <c r="M153" i="76"/>
  <c r="X120" i="69"/>
  <c r="X173" i="76"/>
  <c r="Y119" i="69"/>
  <c r="Y172" i="76"/>
  <c r="W122" i="69"/>
  <c r="W175" i="76"/>
  <c r="AA115" i="69"/>
  <c r="AA168" i="76"/>
  <c r="H116" i="69"/>
  <c r="H154" i="76"/>
  <c r="I118" i="69"/>
  <c r="I156" i="76"/>
  <c r="AB115" i="69"/>
  <c r="AB168" i="76"/>
  <c r="AA121" i="69"/>
  <c r="AA174" i="76"/>
  <c r="Y123" i="69"/>
  <c r="Y176" i="76"/>
  <c r="U124" i="69"/>
  <c r="U177" i="76"/>
  <c r="Y121" i="69"/>
  <c r="Y174" i="76"/>
  <c r="X72" i="69"/>
  <c r="X124" i="76"/>
  <c r="X77" i="69"/>
  <c r="X129" i="76"/>
  <c r="W79" i="69"/>
  <c r="W131" i="76"/>
  <c r="V63" i="69"/>
  <c r="V31" i="76"/>
  <c r="V47" i="76" s="1" a="1"/>
  <c r="V47" i="76" s="1"/>
  <c r="V58" i="69"/>
  <c r="V26" i="76"/>
  <c r="V42" i="76" s="1" a="1"/>
  <c r="V42" i="76" s="1"/>
  <c r="AA75" i="69"/>
  <c r="AA127" i="76"/>
  <c r="Y75" i="69"/>
  <c r="Y127" i="76"/>
  <c r="F71" i="69"/>
  <c r="F122" i="76"/>
  <c r="X78" i="69"/>
  <c r="X130" i="76"/>
  <c r="AB58" i="69"/>
  <c r="AB26" i="76"/>
  <c r="AB42" i="76" s="1" a="1"/>
  <c r="AB42" i="76" s="1"/>
  <c r="X53" i="69"/>
  <c r="X21" i="76"/>
  <c r="X37" i="76" s="1" a="1"/>
  <c r="X37" i="76" s="1"/>
  <c r="E69" i="69"/>
  <c r="E120" i="76"/>
  <c r="AD73" i="69"/>
  <c r="AD125" i="76"/>
  <c r="V53" i="69"/>
  <c r="V21" i="76"/>
  <c r="V37" i="76" s="1" a="1"/>
  <c r="V37" i="76" s="1"/>
  <c r="Y72" i="69"/>
  <c r="Y124" i="76"/>
  <c r="X76" i="69"/>
  <c r="X128" i="76"/>
  <c r="V69" i="69"/>
  <c r="V121" i="76"/>
  <c r="V60" i="69"/>
  <c r="V28" i="76"/>
  <c r="V44" i="76" s="1" a="1"/>
  <c r="V44" i="76" s="1"/>
  <c r="AB53" i="69"/>
  <c r="AB21" i="76"/>
  <c r="AB37" i="76" s="1" a="1"/>
  <c r="AB37" i="76" s="1"/>
  <c r="AB120" i="69"/>
  <c r="AB173" i="76"/>
  <c r="AA124" i="69"/>
  <c r="AA177" i="76"/>
  <c r="AB123" i="69"/>
  <c r="AB176" i="76"/>
  <c r="K115" i="69"/>
  <c r="K153" i="76"/>
  <c r="U125" i="69"/>
  <c r="U178" i="76"/>
  <c r="AB118" i="69"/>
  <c r="AB171" i="76"/>
  <c r="E116" i="69"/>
  <c r="E154" i="76"/>
  <c r="AC79" i="69"/>
  <c r="AC131" i="76"/>
  <c r="E115" i="69"/>
  <c r="E153" i="76"/>
  <c r="U120" i="69"/>
  <c r="U173" i="76"/>
  <c r="AB125" i="69"/>
  <c r="AB178" i="76"/>
  <c r="AB73" i="69"/>
  <c r="AB125" i="76"/>
  <c r="AB72" i="69"/>
  <c r="AB124" i="76"/>
  <c r="Y61" i="69"/>
  <c r="Y29" i="76"/>
  <c r="Y45" i="76" s="1" a="1"/>
  <c r="Y45" i="76" s="1"/>
  <c r="Y69" i="69"/>
  <c r="Y121" i="76"/>
  <c r="AD78" i="69"/>
  <c r="AD130" i="76"/>
  <c r="W55" i="69"/>
  <c r="W23" i="76"/>
  <c r="W39" i="76" s="1" a="1"/>
  <c r="W39" i="76" s="1"/>
  <c r="U118" i="69"/>
  <c r="U171" i="76"/>
  <c r="K117" i="69"/>
  <c r="K155" i="76"/>
  <c r="L116" i="69"/>
  <c r="L154" i="76"/>
  <c r="AD115" i="69"/>
  <c r="AD168" i="76"/>
  <c r="G115" i="69"/>
  <c r="G153" i="76"/>
  <c r="AC118" i="69"/>
  <c r="AC171" i="76"/>
  <c r="X116" i="69"/>
  <c r="X169" i="76"/>
  <c r="V118" i="69"/>
  <c r="V171" i="76"/>
  <c r="X124" i="69"/>
  <c r="X177" i="76"/>
  <c r="AC125" i="69"/>
  <c r="AC178" i="76"/>
  <c r="W75" i="69"/>
  <c r="W127" i="76"/>
  <c r="Y70" i="69"/>
  <c r="Y122" i="76"/>
  <c r="Z70" i="69"/>
  <c r="Z122" i="76"/>
  <c r="AD54" i="69"/>
  <c r="AD22" i="76"/>
  <c r="AD38" i="76" s="1" a="1"/>
  <c r="AD38" i="76" s="1"/>
  <c r="X79" i="69"/>
  <c r="X131" i="76"/>
  <c r="AC61" i="69"/>
  <c r="AC29" i="76"/>
  <c r="AC45" i="76" s="1" a="1"/>
  <c r="AC45" i="76" s="1"/>
  <c r="V56" i="69"/>
  <c r="V24" i="76"/>
  <c r="V40" i="76" s="1" a="1"/>
  <c r="V40" i="76" s="1"/>
  <c r="AB74" i="69"/>
  <c r="AB126" i="76"/>
  <c r="Z52" i="69"/>
  <c r="Z20" i="76"/>
  <c r="Z36" i="76" s="1" a="1"/>
  <c r="Z36" i="76" s="1"/>
  <c r="V62" i="69"/>
  <c r="V30" i="76"/>
  <c r="V46" i="76" s="1" a="1"/>
  <c r="V46" i="76" s="1"/>
  <c r="AB78" i="69"/>
  <c r="AB130" i="76"/>
  <c r="J69" i="69"/>
  <c r="J120" i="76"/>
  <c r="AC76" i="69"/>
  <c r="AC128" i="76"/>
  <c r="X59" i="69"/>
  <c r="X27" i="76"/>
  <c r="X43" i="76" s="1" a="1"/>
  <c r="X43" i="76" s="1"/>
  <c r="W76" i="69"/>
  <c r="W128" i="76"/>
  <c r="X52" i="69"/>
  <c r="X20" i="76"/>
  <c r="X36" i="76" s="1" a="1"/>
  <c r="X36" i="76" s="1"/>
  <c r="AA72" i="69"/>
  <c r="AA124" i="76"/>
  <c r="AC68" i="69"/>
  <c r="AC120" i="76"/>
  <c r="AC57" i="69"/>
  <c r="AC25" i="76"/>
  <c r="AC41" i="76" s="1" a="1"/>
  <c r="AC41" i="76" s="1"/>
  <c r="AA69" i="69"/>
  <c r="AA121" i="76"/>
  <c r="AD56" i="69"/>
  <c r="AD24" i="76"/>
  <c r="AD40" i="76" s="1" a="1"/>
  <c r="AD40" i="76" s="1"/>
  <c r="AC72" i="69"/>
  <c r="AC124" i="76"/>
  <c r="AC63" i="69"/>
  <c r="AC95" i="69" s="1" a="1"/>
  <c r="AC95" i="69" s="1"/>
  <c r="AC67" i="76" s="1"/>
  <c r="AC31" i="76"/>
  <c r="AC47" i="76" s="1" a="1"/>
  <c r="AC47" i="76" s="1"/>
  <c r="U56" i="69"/>
  <c r="U24" i="76"/>
  <c r="U40" i="76" s="1" a="1"/>
  <c r="U40" i="76" s="1"/>
  <c r="V116" i="69"/>
  <c r="V169" i="76"/>
  <c r="X115" i="69"/>
  <c r="X168" i="76"/>
  <c r="Z123" i="69"/>
  <c r="Z176" i="76"/>
  <c r="G118" i="69"/>
  <c r="G156" i="76"/>
  <c r="W123" i="69"/>
  <c r="W176" i="76"/>
  <c r="U116" i="69"/>
  <c r="U169" i="76"/>
  <c r="X118" i="69"/>
  <c r="X171" i="76"/>
  <c r="AA120" i="69"/>
  <c r="AA173" i="76"/>
  <c r="AD119" i="69"/>
  <c r="AD172" i="76"/>
  <c r="AA77" i="69"/>
  <c r="AA129" i="76"/>
  <c r="AC116" i="69"/>
  <c r="AC169" i="76"/>
  <c r="Y124" i="69"/>
  <c r="Y177" i="76"/>
  <c r="AB68" i="69"/>
  <c r="AB120" i="76"/>
  <c r="J71" i="69"/>
  <c r="J122" i="76"/>
  <c r="V72" i="69"/>
  <c r="V124" i="76"/>
  <c r="U78" i="69"/>
  <c r="U130" i="76"/>
  <c r="I70" i="69"/>
  <c r="I121" i="76"/>
  <c r="K68" i="69"/>
  <c r="K119" i="76"/>
  <c r="J68" i="69"/>
  <c r="J119" i="76"/>
  <c r="U61" i="69"/>
  <c r="U29" i="76"/>
  <c r="U45" i="76" s="1" a="1"/>
  <c r="U45" i="76" s="1"/>
  <c r="AB79" i="69"/>
  <c r="AB131" i="76"/>
  <c r="Z61" i="69"/>
  <c r="Z29" i="76"/>
  <c r="Z45" i="76" s="1" a="1"/>
  <c r="Z45" i="76" s="1"/>
  <c r="G70" i="69"/>
  <c r="G121" i="76"/>
  <c r="AA63" i="69"/>
  <c r="AA31" i="76"/>
  <c r="AA47" i="76" s="1" a="1"/>
  <c r="AA47" i="76" s="1"/>
  <c r="W69" i="69"/>
  <c r="W121" i="76"/>
  <c r="AD61" i="69"/>
  <c r="AD29" i="76"/>
  <c r="AD45" i="76" s="1" a="1"/>
  <c r="AD45" i="76" s="1"/>
  <c r="W58" i="69"/>
  <c r="W26" i="76"/>
  <c r="W42" i="76" s="1" a="1"/>
  <c r="W42" i="76" s="1"/>
  <c r="Z55" i="69"/>
  <c r="Z23" i="76"/>
  <c r="Z39" i="76" s="1" a="1"/>
  <c r="Z39" i="76" s="1"/>
  <c r="W73" i="69"/>
  <c r="W125" i="76"/>
  <c r="AA73" i="69"/>
  <c r="AA125" i="76"/>
  <c r="AC122" i="69"/>
  <c r="AC175" i="76"/>
  <c r="Y120" i="69"/>
  <c r="Y173" i="76"/>
  <c r="AC123" i="69"/>
  <c r="AC176" i="76"/>
  <c r="AC120" i="69"/>
  <c r="AC173" i="76"/>
  <c r="AD126" i="69"/>
  <c r="AD179" i="76"/>
  <c r="V122" i="69"/>
  <c r="V175" i="76"/>
  <c r="U117" i="69"/>
  <c r="U170" i="76"/>
  <c r="Z116" i="69"/>
  <c r="Z169" i="76"/>
  <c r="I117" i="69"/>
  <c r="I155" i="76"/>
  <c r="AD123" i="69"/>
  <c r="AD176" i="76"/>
  <c r="V61" i="69"/>
  <c r="V29" i="76"/>
  <c r="V45" i="76" s="1" a="1"/>
  <c r="V45" i="76" s="1"/>
  <c r="Y77" i="69"/>
  <c r="Y129" i="76"/>
  <c r="U72" i="69"/>
  <c r="U124" i="76"/>
  <c r="AA76" i="69"/>
  <c r="AA128" i="76"/>
  <c r="AB63" i="69"/>
  <c r="AB31" i="76"/>
  <c r="AB47" i="76" s="1" a="1"/>
  <c r="AB47" i="76" s="1"/>
  <c r="AC69" i="69"/>
  <c r="AC121" i="76"/>
  <c r="W68" i="69"/>
  <c r="W120" i="76"/>
  <c r="AB71" i="69"/>
  <c r="AB123" i="76"/>
  <c r="U69" i="69"/>
  <c r="U121" i="76"/>
  <c r="V74" i="69"/>
  <c r="V126" i="76"/>
  <c r="X68" i="69"/>
  <c r="X120" i="76"/>
  <c r="AB60" i="69"/>
  <c r="AB28" i="76"/>
  <c r="AB44" i="76" s="1" a="1"/>
  <c r="AB44" i="76" s="1"/>
  <c r="AD74" i="69"/>
  <c r="AD126" i="76"/>
  <c r="AD58" i="69"/>
  <c r="AD26" i="76"/>
  <c r="AD42" i="76" s="1" a="1"/>
  <c r="AD42" i="76" s="1"/>
  <c r="AB55" i="69"/>
  <c r="AB23" i="76"/>
  <c r="AB39" i="76" s="1" a="1"/>
  <c r="AB39" i="76" s="1"/>
  <c r="AB70" i="69"/>
  <c r="AB122" i="76"/>
  <c r="U62" i="69"/>
  <c r="U30" i="76"/>
  <c r="U46" i="76" s="1" a="1"/>
  <c r="U46" i="76" s="1"/>
  <c r="U79" i="69"/>
  <c r="U131" i="76"/>
  <c r="AC52" i="69"/>
  <c r="AC20" i="76"/>
  <c r="AC36" i="76" s="1" a="1"/>
  <c r="AC36" i="76" s="1"/>
  <c r="E68" i="69"/>
  <c r="E119" i="76"/>
  <c r="X62" i="69"/>
  <c r="X30" i="76"/>
  <c r="X46" i="76" s="1" a="1"/>
  <c r="X46" i="76" s="1"/>
  <c r="Z74" i="69"/>
  <c r="Z126" i="76"/>
  <c r="J115" i="69"/>
  <c r="J153" i="76"/>
  <c r="AB124" i="69"/>
  <c r="AB177" i="76"/>
  <c r="L118" i="69"/>
  <c r="L156" i="76"/>
  <c r="AD116" i="69"/>
  <c r="AD169" i="76"/>
  <c r="X122" i="69"/>
  <c r="X175" i="76"/>
  <c r="J118" i="69"/>
  <c r="J156" i="76"/>
  <c r="E117" i="69"/>
  <c r="E155" i="76"/>
  <c r="N116" i="69"/>
  <c r="N154" i="76"/>
  <c r="J116" i="69"/>
  <c r="J154" i="76"/>
  <c r="AB117" i="69"/>
  <c r="AB170" i="76"/>
  <c r="AA122" i="69"/>
  <c r="AA175" i="76"/>
  <c r="H117" i="69"/>
  <c r="H155" i="76"/>
  <c r="V75" i="69"/>
  <c r="V127" i="76"/>
  <c r="AC53" i="69"/>
  <c r="AC21" i="76"/>
  <c r="AC37" i="76" s="1" a="1"/>
  <c r="AC37" i="76" s="1"/>
  <c r="W52" i="69"/>
  <c r="W20" i="76"/>
  <c r="W36" i="76" s="1" a="1"/>
  <c r="W36" i="76" s="1"/>
  <c r="AA62" i="69"/>
  <c r="AA30" i="76"/>
  <c r="AA46" i="76" s="1" a="1"/>
  <c r="AA46" i="76" s="1"/>
  <c r="Z68" i="69"/>
  <c r="Z120" i="76"/>
  <c r="Y59" i="69"/>
  <c r="Y27" i="76"/>
  <c r="Y43" i="76" s="1" a="1"/>
  <c r="Y43" i="76" s="1"/>
  <c r="X73" i="69"/>
  <c r="X125" i="76"/>
  <c r="U70" i="69"/>
  <c r="U122" i="76"/>
  <c r="V76" i="69"/>
  <c r="V128" i="76"/>
  <c r="Y78" i="69"/>
  <c r="Y130" i="76"/>
  <c r="AB56" i="69"/>
  <c r="AB24" i="76"/>
  <c r="AB40" i="76" s="1" a="1"/>
  <c r="AB40" i="76" s="1"/>
  <c r="V78" i="69"/>
  <c r="V130" i="76"/>
  <c r="W63" i="69"/>
  <c r="W95" i="69" s="1" a="1"/>
  <c r="W95" i="69" s="1"/>
  <c r="W31" i="76"/>
  <c r="W47" i="76" s="1" a="1"/>
  <c r="W47" i="76" s="1"/>
  <c r="U74" i="69"/>
  <c r="U126" i="76"/>
  <c r="U53" i="69"/>
  <c r="U21" i="76"/>
  <c r="U37" i="76" s="1" a="1"/>
  <c r="U37" i="76" s="1"/>
  <c r="AC71" i="69"/>
  <c r="AC123" i="76"/>
  <c r="AD76" i="69"/>
  <c r="AD128" i="76"/>
  <c r="V52" i="69"/>
  <c r="V20" i="76"/>
  <c r="V36" i="76" s="1" a="1"/>
  <c r="V36" i="76" s="1"/>
  <c r="U71" i="69"/>
  <c r="U123" i="76"/>
  <c r="V79" i="69"/>
  <c r="V131" i="76"/>
  <c r="X119" i="69"/>
  <c r="X172" i="76"/>
  <c r="U119" i="69"/>
  <c r="U172" i="76"/>
  <c r="V117" i="69"/>
  <c r="V170" i="76"/>
  <c r="AA126" i="69"/>
  <c r="AA179" i="76"/>
  <c r="K118" i="69"/>
  <c r="K156" i="76"/>
  <c r="X117" i="69"/>
  <c r="X170" i="76"/>
  <c r="AD125" i="69"/>
  <c r="AD178" i="76"/>
  <c r="E118" i="69"/>
  <c r="E156" i="76"/>
  <c r="U122" i="69"/>
  <c r="U175" i="76"/>
  <c r="AA118" i="69"/>
  <c r="AA171" i="76"/>
  <c r="N115" i="69"/>
  <c r="N153" i="76"/>
  <c r="AA117" i="69"/>
  <c r="AA170" i="76"/>
  <c r="AD69" i="69"/>
  <c r="AD121" i="76"/>
  <c r="U52" i="69"/>
  <c r="U20" i="76"/>
  <c r="U36" i="76" s="1" a="1"/>
  <c r="U36" i="76" s="1"/>
  <c r="U60" i="69"/>
  <c r="U28" i="76"/>
  <c r="U44" i="76" s="1" a="1"/>
  <c r="U44" i="76" s="1"/>
  <c r="V57" i="69"/>
  <c r="V25" i="76"/>
  <c r="V41" i="76" s="1" a="1"/>
  <c r="V41" i="76" s="1"/>
  <c r="Y53" i="69"/>
  <c r="Y85" i="69" s="1" a="1"/>
  <c r="Y85" i="69" s="1"/>
  <c r="Y21" i="76"/>
  <c r="Y37" i="76" s="1" a="1"/>
  <c r="Y37" i="76" s="1"/>
  <c r="AD53" i="69"/>
  <c r="AD21" i="76"/>
  <c r="AD37" i="76" s="1" a="1"/>
  <c r="AD37" i="76" s="1"/>
  <c r="J70" i="69"/>
  <c r="J121" i="76"/>
  <c r="N71" i="69"/>
  <c r="N122" i="76"/>
  <c r="X55" i="69"/>
  <c r="X23" i="76"/>
  <c r="X39" i="76" s="1" a="1"/>
  <c r="X39" i="76" s="1"/>
  <c r="U76" i="69"/>
  <c r="U128" i="76"/>
  <c r="AB75" i="69"/>
  <c r="AB91" i="69" s="1" a="1"/>
  <c r="AB91" i="69" s="1"/>
  <c r="AB127" i="76"/>
  <c r="AD55" i="69"/>
  <c r="AD87" i="69" s="1" a="1"/>
  <c r="AD87" i="69" s="1"/>
  <c r="AD23" i="76"/>
  <c r="AD39" i="76" s="1" a="1"/>
  <c r="AD39" i="76" s="1"/>
  <c r="AC74" i="69"/>
  <c r="AC126" i="76"/>
  <c r="U77" i="69"/>
  <c r="U129" i="76"/>
  <c r="AA116" i="69"/>
  <c r="AA169" i="76"/>
  <c r="X123" i="69"/>
  <c r="X176" i="76"/>
  <c r="AA125" i="69"/>
  <c r="AA178" i="76"/>
  <c r="M116" i="69"/>
  <c r="M154" i="76"/>
  <c r="V123" i="69"/>
  <c r="V176" i="76"/>
  <c r="Y117" i="69"/>
  <c r="Y170" i="76"/>
  <c r="N118" i="69"/>
  <c r="N156" i="76"/>
  <c r="V121" i="69"/>
  <c r="V174" i="76"/>
  <c r="AD117" i="69"/>
  <c r="AD170" i="76"/>
  <c r="AD122" i="69"/>
  <c r="AD175" i="76"/>
  <c r="W116" i="69"/>
  <c r="W169" i="76"/>
  <c r="Y76" i="69"/>
  <c r="Y128" i="76"/>
  <c r="AD121" i="69"/>
  <c r="AD174" i="76"/>
  <c r="V77" i="69"/>
  <c r="V129" i="76"/>
  <c r="U58" i="69"/>
  <c r="U26" i="76"/>
  <c r="U42" i="76" s="1" a="1"/>
  <c r="U42" i="76" s="1"/>
  <c r="N68" i="69"/>
  <c r="N119" i="76"/>
  <c r="Y74" i="69"/>
  <c r="Y126" i="76"/>
  <c r="W61" i="69"/>
  <c r="W29" i="76"/>
  <c r="W45" i="76" s="1" a="1"/>
  <c r="W45" i="76" s="1"/>
  <c r="E70" i="69"/>
  <c r="E121" i="76"/>
  <c r="AD72" i="69"/>
  <c r="AD124" i="76"/>
  <c r="X56" i="69"/>
  <c r="X88" i="69" s="1" a="1"/>
  <c r="X88" i="69" s="1"/>
  <c r="X24" i="76"/>
  <c r="X40" i="76" s="1" a="1"/>
  <c r="X40" i="76" s="1"/>
  <c r="AB62" i="69"/>
  <c r="AB30" i="76"/>
  <c r="AB46" i="76" s="1" a="1"/>
  <c r="AB46" i="76" s="1"/>
  <c r="L71" i="69"/>
  <c r="L122" i="76"/>
  <c r="U73" i="69"/>
  <c r="U125" i="76"/>
  <c r="U59" i="69"/>
  <c r="U91" i="69" s="1" a="1"/>
  <c r="U91" i="69" s="1"/>
  <c r="U27" i="76"/>
  <c r="U43" i="76" s="1" a="1"/>
  <c r="U43" i="76" s="1"/>
  <c r="X57" i="69"/>
  <c r="X25" i="76"/>
  <c r="X41" i="76" s="1" a="1"/>
  <c r="X41" i="76" s="1"/>
  <c r="X70" i="69"/>
  <c r="X122" i="76"/>
  <c r="AC60" i="69"/>
  <c r="AC28" i="76"/>
  <c r="AC44" i="76" s="1" a="1"/>
  <c r="AC44" i="76" s="1"/>
  <c r="Z60" i="69"/>
  <c r="Z28" i="76"/>
  <c r="Z44" i="76" s="1" a="1"/>
  <c r="Z44" i="76" s="1"/>
  <c r="Y52" i="69"/>
  <c r="Y20" i="76"/>
  <c r="Y36" i="76" s="1" a="1"/>
  <c r="Y36" i="76" s="1"/>
  <c r="AA74" i="69"/>
  <c r="AA126" i="76"/>
  <c r="Z73" i="69"/>
  <c r="Z125" i="76"/>
  <c r="Z62" i="69"/>
  <c r="Z30" i="76"/>
  <c r="Z46" i="76" s="1" a="1"/>
  <c r="Z46" i="76" s="1"/>
  <c r="AA53" i="69"/>
  <c r="AA21" i="76"/>
  <c r="AA37" i="76" s="1" a="1"/>
  <c r="AA37" i="76" s="1"/>
  <c r="K70" i="69"/>
  <c r="K121" i="76"/>
  <c r="N70" i="69"/>
  <c r="N121" i="76"/>
  <c r="W56" i="69"/>
  <c r="W24" i="76"/>
  <c r="W40" i="76" s="1" a="1"/>
  <c r="W40" i="76" s="1"/>
  <c r="W74" i="69"/>
  <c r="W126" i="76"/>
  <c r="M70" i="69"/>
  <c r="M121" i="76"/>
  <c r="N117" i="69"/>
  <c r="N155" i="76"/>
  <c r="L117" i="69"/>
  <c r="L155" i="76"/>
  <c r="AB122" i="69"/>
  <c r="AB175" i="76"/>
  <c r="Z125" i="69"/>
  <c r="Z178" i="76"/>
  <c r="F116" i="69"/>
  <c r="F154" i="76"/>
  <c r="AD118" i="69"/>
  <c r="AD171" i="76"/>
  <c r="W119" i="69"/>
  <c r="W172" i="76"/>
  <c r="AC119" i="69"/>
  <c r="AC172" i="76"/>
  <c r="AB116" i="69"/>
  <c r="AB169" i="76"/>
  <c r="U123" i="69"/>
  <c r="U176" i="76"/>
  <c r="Z120" i="69"/>
  <c r="Z173" i="76"/>
  <c r="W126" i="69"/>
  <c r="W179" i="76"/>
  <c r="L52" i="69"/>
  <c r="L20" i="76"/>
  <c r="L33" i="76" s="1" a="1"/>
  <c r="L33" i="76" s="1"/>
  <c r="J55" i="69"/>
  <c r="J23" i="76"/>
  <c r="J36" i="76" s="1" a="1"/>
  <c r="J36" i="76" s="1"/>
  <c r="Z54" i="69"/>
  <c r="K54" i="69"/>
  <c r="K22" i="76"/>
  <c r="K35" i="76" s="1" a="1"/>
  <c r="K35" i="76" s="1"/>
  <c r="E55" i="69"/>
  <c r="E23" i="76"/>
  <c r="E36" i="76" s="1" a="1"/>
  <c r="E36" i="76" s="1"/>
  <c r="I54" i="69"/>
  <c r="I22" i="76"/>
  <c r="I35" i="76" s="1" a="1"/>
  <c r="I35" i="76" s="1"/>
  <c r="N54" i="69"/>
  <c r="N22" i="76"/>
  <c r="N35" i="76" s="1" a="1"/>
  <c r="N35" i="76" s="1"/>
  <c r="I52" i="69"/>
  <c r="I20" i="76"/>
  <c r="I33" i="76" s="1" a="1"/>
  <c r="I33" i="76" s="1"/>
  <c r="N52" i="69"/>
  <c r="N20" i="76"/>
  <c r="N33" i="76" s="1" a="1"/>
  <c r="N33" i="76" s="1"/>
  <c r="W54" i="69"/>
  <c r="K52" i="69"/>
  <c r="K20" i="76"/>
  <c r="K33" i="76" s="1" a="1"/>
  <c r="K33" i="76" s="1"/>
  <c r="F55" i="69"/>
  <c r="F23" i="76"/>
  <c r="F36" i="76" s="1" a="1"/>
  <c r="F36" i="76" s="1"/>
  <c r="I53" i="69"/>
  <c r="I21" i="76"/>
  <c r="I34" i="76" s="1" a="1"/>
  <c r="I34" i="76" s="1"/>
  <c r="H52" i="69"/>
  <c r="H84" i="69" s="1" a="1"/>
  <c r="H84" i="69" s="1"/>
  <c r="H20" i="76"/>
  <c r="H33" i="76" s="1" a="1"/>
  <c r="H33" i="76" s="1"/>
  <c r="N55" i="69"/>
  <c r="N23" i="76"/>
  <c r="N36" i="76" s="1" a="1"/>
  <c r="N36" i="76" s="1"/>
  <c r="G55" i="69"/>
  <c r="G23" i="76"/>
  <c r="G36" i="76" s="1" a="1"/>
  <c r="G36" i="76" s="1"/>
  <c r="K53" i="69"/>
  <c r="K21" i="76"/>
  <c r="K34" i="76" s="1" a="1"/>
  <c r="K34" i="76" s="1"/>
  <c r="M55" i="69"/>
  <c r="M23" i="76"/>
  <c r="M36" i="76" s="1" a="1"/>
  <c r="M36" i="76" s="1"/>
  <c r="AB54" i="69"/>
  <c r="AB86" i="69" s="1" a="1"/>
  <c r="AB86" i="69" s="1"/>
  <c r="E52" i="69"/>
  <c r="E20" i="76"/>
  <c r="E33" i="76" s="1" a="1"/>
  <c r="E33" i="76" s="1"/>
  <c r="L55" i="69"/>
  <c r="L23" i="76"/>
  <c r="L36" i="76" s="1" a="1"/>
  <c r="L36" i="76" s="1"/>
  <c r="F53" i="69"/>
  <c r="F21" i="76"/>
  <c r="F34" i="76" s="1" a="1"/>
  <c r="F34" i="76" s="1"/>
  <c r="E54" i="69"/>
  <c r="E22" i="76"/>
  <c r="E35" i="76" s="1" a="1"/>
  <c r="E35" i="76" s="1"/>
  <c r="J54" i="69"/>
  <c r="J22" i="76"/>
  <c r="J35" i="76" s="1" a="1"/>
  <c r="J35" i="76" s="1"/>
  <c r="X54" i="69"/>
  <c r="X86" i="69" s="1" a="1"/>
  <c r="X86" i="69" s="1"/>
  <c r="H54" i="69"/>
  <c r="H22" i="76"/>
  <c r="H35" i="76" s="1" a="1"/>
  <c r="H35" i="76" s="1"/>
  <c r="I55" i="69"/>
  <c r="I23" i="76"/>
  <c r="I36" i="76" s="1" a="1"/>
  <c r="I36" i="76" s="1"/>
  <c r="F52" i="69"/>
  <c r="F20" i="76"/>
  <c r="F33" i="76" s="1" a="1"/>
  <c r="F33" i="76" s="1"/>
  <c r="L54" i="69"/>
  <c r="L22" i="76"/>
  <c r="L35" i="76" s="1" a="1"/>
  <c r="L35" i="76" s="1"/>
  <c r="M52" i="69"/>
  <c r="M20" i="76"/>
  <c r="M33" i="76" s="1" a="1"/>
  <c r="M33" i="76" s="1"/>
  <c r="G53" i="69"/>
  <c r="G21" i="76"/>
  <c r="G34" i="76" s="1" a="1"/>
  <c r="G34" i="76" s="1"/>
  <c r="E53" i="69"/>
  <c r="E21" i="76"/>
  <c r="E34" i="76" s="1" a="1"/>
  <c r="E34" i="76" s="1"/>
  <c r="J52" i="69"/>
  <c r="J20" i="76"/>
  <c r="J33" i="76" s="1" a="1"/>
  <c r="J33" i="76" s="1"/>
  <c r="H55" i="69"/>
  <c r="H23" i="76"/>
  <c r="H36" i="76" s="1" a="1"/>
  <c r="H36" i="76" s="1"/>
  <c r="U54" i="69"/>
  <c r="V54" i="69"/>
  <c r="V86" i="69" s="1" a="1"/>
  <c r="V86" i="69" s="1"/>
  <c r="M53" i="69"/>
  <c r="M21" i="76"/>
  <c r="M34" i="76" s="1" a="1"/>
  <c r="M34" i="76" s="1"/>
  <c r="N53" i="69"/>
  <c r="N21" i="76"/>
  <c r="N34" i="76" s="1" a="1"/>
  <c r="N34" i="76" s="1"/>
  <c r="G54" i="69"/>
  <c r="G22" i="76"/>
  <c r="G35" i="76" s="1" a="1"/>
  <c r="G35" i="76" s="1"/>
  <c r="L53" i="69"/>
  <c r="L21" i="76"/>
  <c r="L34" i="76" s="1" a="1"/>
  <c r="L34" i="76" s="1"/>
  <c r="Y54" i="69"/>
  <c r="AA54" i="69"/>
  <c r="M54" i="69"/>
  <c r="M22" i="76"/>
  <c r="M35" i="76" s="1" a="1"/>
  <c r="M35" i="76" s="1"/>
  <c r="G52" i="69"/>
  <c r="G20" i="76"/>
  <c r="G33" i="76" s="1" a="1"/>
  <c r="G33" i="76" s="1"/>
  <c r="F54" i="69"/>
  <c r="F22" i="76"/>
  <c r="F35" i="76" s="1" a="1"/>
  <c r="F35" i="76" s="1"/>
  <c r="AC54" i="69"/>
  <c r="J53" i="69"/>
  <c r="J21" i="76"/>
  <c r="J34" i="76" s="1" a="1"/>
  <c r="J34" i="76" s="1"/>
  <c r="K55" i="69"/>
  <c r="K23" i="76"/>
  <c r="K36" i="76" s="1" a="1"/>
  <c r="K36" i="76" s="1"/>
  <c r="H53" i="69"/>
  <c r="H21" i="76"/>
  <c r="H34" i="76" s="1" a="1"/>
  <c r="H34" i="76" s="1"/>
  <c r="AB95" i="69" l="1" a="1"/>
  <c r="AB95" i="69" s="1"/>
  <c r="AA87" i="69" a="1"/>
  <c r="AA87" i="69" s="1"/>
  <c r="AA59" i="76" s="1"/>
  <c r="G84" i="69" a="1"/>
  <c r="G84" i="69" s="1"/>
  <c r="G131" i="69" s="1" a="1"/>
  <c r="G131" i="69" s="1"/>
  <c r="H177" i="69" s="1" a="1"/>
  <c r="H177" i="69" s="1"/>
  <c r="H235" i="69" s="1" a="1"/>
  <c r="H235" i="69" s="1"/>
  <c r="W93" i="69" a="1"/>
  <c r="W93" i="69" s="1"/>
  <c r="W140" i="69" s="1" a="1"/>
  <c r="W140" i="69" s="1"/>
  <c r="X186" i="69" s="1" a="1"/>
  <c r="X186" i="69" s="1"/>
  <c r="X260" i="69" s="1" a="1"/>
  <c r="X260" i="69" s="1"/>
  <c r="AA90" i="69" a="1"/>
  <c r="AA90" i="69" s="1"/>
  <c r="AB87" i="69" a="1"/>
  <c r="AB87" i="69" s="1"/>
  <c r="AC90" i="69" a="1"/>
  <c r="AC90" i="69" s="1"/>
  <c r="AC62" i="76" s="1"/>
  <c r="J87" i="69" a="1"/>
  <c r="J87" i="69" s="1"/>
  <c r="J134" i="69" s="1" a="1"/>
  <c r="J134" i="69" s="1"/>
  <c r="K184" i="69" s="1" a="1"/>
  <c r="K184" i="69" s="1"/>
  <c r="K242" i="69" s="1" a="1"/>
  <c r="K242" i="69" s="1"/>
  <c r="U85" i="69" a="1"/>
  <c r="U85" i="69" s="1"/>
  <c r="U132" i="69" s="1" a="1"/>
  <c r="U132" i="69" s="1"/>
  <c r="V178" i="69" s="1" a="1"/>
  <c r="V178" i="69" s="1"/>
  <c r="V252" i="69" s="1" a="1"/>
  <c r="V252" i="69" s="1"/>
  <c r="V91" i="69" a="1"/>
  <c r="V91" i="69" s="1"/>
  <c r="V138" i="69" s="1" a="1"/>
  <c r="V138" i="69" s="1"/>
  <c r="W184" i="69" s="1" a="1"/>
  <c r="W184" i="69" s="1"/>
  <c r="W258" i="69" s="1" a="1"/>
  <c r="W258" i="69" s="1"/>
  <c r="W84" i="69" a="1"/>
  <c r="W84" i="69" s="1"/>
  <c r="W131" i="69" s="1" a="1"/>
  <c r="W131" i="69" s="1"/>
  <c r="X189" i="69" s="1" a="1"/>
  <c r="X189" i="69" s="1"/>
  <c r="X263" i="69" s="1" a="1"/>
  <c r="X263" i="69" s="1"/>
  <c r="AD93" i="69" a="1"/>
  <c r="AD93" i="69" s="1"/>
  <c r="AD140" i="69" s="1" a="1"/>
  <c r="AD140" i="69" s="1"/>
  <c r="AE186" i="69" s="1" a="1"/>
  <c r="AE186" i="69" s="1"/>
  <c r="AE260" i="69" s="1" a="1"/>
  <c r="AE260" i="69" s="1"/>
  <c r="V87" i="69" a="1"/>
  <c r="V87" i="69" s="1"/>
  <c r="V59" i="76" s="1"/>
  <c r="AD85" i="69" a="1"/>
  <c r="AD85" i="69" s="1"/>
  <c r="AD57" i="76" s="1"/>
  <c r="U87" i="69" a="1"/>
  <c r="U87" i="69" s="1"/>
  <c r="U59" i="76" s="1"/>
  <c r="V94" i="69" a="1"/>
  <c r="V94" i="69" s="1"/>
  <c r="V66" i="76" s="1"/>
  <c r="Y93" i="69" a="1"/>
  <c r="Y93" i="69" s="1"/>
  <c r="Y140" i="69" s="1" a="1"/>
  <c r="Y140" i="69" s="1"/>
  <c r="Z186" i="69" s="1" a="1"/>
  <c r="Z186" i="69" s="1"/>
  <c r="Z260" i="69" s="1" a="1"/>
  <c r="Z260" i="69" s="1"/>
  <c r="Z92" i="69" a="1"/>
  <c r="Z92" i="69" s="1"/>
  <c r="Z139" i="69" s="1" a="1"/>
  <c r="Z139" i="69" s="1"/>
  <c r="AA197" i="69" s="1" a="1"/>
  <c r="AA197" i="69" s="1"/>
  <c r="AA271" i="69" s="1" a="1"/>
  <c r="AA271" i="69" s="1"/>
  <c r="AB94" i="69" a="1"/>
  <c r="AB94" i="69" s="1"/>
  <c r="AB141" i="69" s="1" a="1"/>
  <c r="AB141" i="69" s="1"/>
  <c r="AC199" i="69" s="1" a="1"/>
  <c r="AC199" i="69" s="1"/>
  <c r="AC273" i="69" s="1" a="1"/>
  <c r="AC273" i="69" s="1"/>
  <c r="AA89" i="69" a="1"/>
  <c r="AA89" i="69" s="1"/>
  <c r="AA61" i="76" s="1"/>
  <c r="V89" i="69" a="1"/>
  <c r="V89" i="69" s="1"/>
  <c r="V136" i="69" s="1" a="1"/>
  <c r="V136" i="69" s="1"/>
  <c r="W194" i="69" s="1" a="1"/>
  <c r="W194" i="69" s="1"/>
  <c r="W268" i="69" s="1" a="1"/>
  <c r="W268" i="69" s="1"/>
  <c r="V90" i="69" a="1"/>
  <c r="V90" i="69" s="1"/>
  <c r="V137" i="69" s="1" a="1"/>
  <c r="V137" i="69" s="1"/>
  <c r="W195" i="69" s="1" a="1"/>
  <c r="W195" i="69" s="1"/>
  <c r="W269" i="69" s="1" a="1"/>
  <c r="W269" i="69" s="1"/>
  <c r="AD84" i="69" a="1"/>
  <c r="AD84" i="69" s="1"/>
  <c r="AD56" i="76" s="1"/>
  <c r="AD92" i="69" a="1"/>
  <c r="AD92" i="69" s="1"/>
  <c r="AD139" i="69" s="1" a="1"/>
  <c r="AD139" i="69" s="1"/>
  <c r="AE185" i="69" s="1" a="1"/>
  <c r="AE185" i="69" s="1"/>
  <c r="AE259" i="69" s="1" a="1"/>
  <c r="AE259" i="69" s="1"/>
  <c r="Z87" i="69" a="1"/>
  <c r="Z87" i="69" s="1"/>
  <c r="Z59" i="76" s="1"/>
  <c r="AC91" i="69" a="1"/>
  <c r="AC91" i="69" s="1"/>
  <c r="AC63" i="76" s="1"/>
  <c r="AC89" i="69" a="1"/>
  <c r="AC89" i="69" s="1"/>
  <c r="AC136" i="69" s="1" a="1"/>
  <c r="AC136" i="69" s="1"/>
  <c r="AD182" i="69" s="1" a="1"/>
  <c r="AD182" i="69" s="1"/>
  <c r="AD256" i="69" s="1" a="1"/>
  <c r="AD256" i="69" s="1"/>
  <c r="Y87" i="69" a="1"/>
  <c r="Y87" i="69" s="1"/>
  <c r="Y134" i="69" s="1" a="1"/>
  <c r="Y134" i="69" s="1"/>
  <c r="Z192" i="69" s="1" a="1"/>
  <c r="Z192" i="69" s="1"/>
  <c r="Z266" i="69" s="1" a="1"/>
  <c r="Z266" i="69" s="1"/>
  <c r="AA85" i="69" a="1"/>
  <c r="AA85" i="69" s="1"/>
  <c r="AA132" i="69" s="1" a="1"/>
  <c r="AA132" i="69" s="1"/>
  <c r="AB190" i="69" s="1" a="1"/>
  <c r="AB190" i="69" s="1"/>
  <c r="AB264" i="69" s="1" a="1"/>
  <c r="AB264" i="69" s="1"/>
  <c r="AA88" i="69" a="1"/>
  <c r="AA88" i="69" s="1"/>
  <c r="AA60" i="76" s="1"/>
  <c r="W91" i="69" a="1"/>
  <c r="W91" i="69" s="1"/>
  <c r="W138" i="69" s="1" a="1"/>
  <c r="W138" i="69" s="1"/>
  <c r="X184" i="69" s="1" a="1"/>
  <c r="X184" i="69" s="1"/>
  <c r="X258" i="69" s="1" a="1"/>
  <c r="X258" i="69" s="1"/>
  <c r="AC142" i="69" a="1"/>
  <c r="AC142" i="69" s="1"/>
  <c r="AD200" i="69" s="1" a="1"/>
  <c r="AD200" i="69" s="1"/>
  <c r="AD274" i="69" s="1" a="1"/>
  <c r="AD274" i="69" s="1"/>
  <c r="Y95" i="69" a="1"/>
  <c r="Y95" i="69" s="1"/>
  <c r="Y67" i="76" s="1"/>
  <c r="Y84" i="69" a="1"/>
  <c r="Y84" i="69" s="1"/>
  <c r="Y56" i="76" s="1"/>
  <c r="AC93" i="69" a="1"/>
  <c r="AC93" i="69" s="1"/>
  <c r="AC65" i="76" s="1"/>
  <c r="U84" i="69" a="1"/>
  <c r="U84" i="69" s="1"/>
  <c r="U56" i="76" s="1"/>
  <c r="Z84" i="69" a="1"/>
  <c r="Z84" i="69" s="1"/>
  <c r="Z131" i="69" s="1" a="1"/>
  <c r="Z131" i="69" s="1"/>
  <c r="AA177" i="69" s="1" a="1"/>
  <c r="AA177" i="69" s="1"/>
  <c r="AA251" i="69" s="1" a="1"/>
  <c r="AA251" i="69" s="1"/>
  <c r="AA92" i="69" a="1"/>
  <c r="AA92" i="69" s="1"/>
  <c r="AA139" i="69" s="1" a="1"/>
  <c r="AA139" i="69" s="1"/>
  <c r="N84" i="69" a="1"/>
  <c r="N84" i="69" s="1"/>
  <c r="N131" i="69" s="1" a="1"/>
  <c r="N131" i="69" s="1"/>
  <c r="O177" i="69" s="1" a="1"/>
  <c r="O177" i="69" s="1"/>
  <c r="O235" i="69" s="1" a="1"/>
  <c r="O235" i="69" s="1"/>
  <c r="W92" i="69" a="1"/>
  <c r="W92" i="69" s="1"/>
  <c r="W139" i="69" s="1" a="1"/>
  <c r="W139" i="69" s="1"/>
  <c r="X185" i="69" s="1" a="1"/>
  <c r="X185" i="69" s="1"/>
  <c r="X259" i="69" s="1" a="1"/>
  <c r="X259" i="69" s="1"/>
  <c r="AB90" i="69" a="1"/>
  <c r="AB90" i="69" s="1"/>
  <c r="AB137" i="69" s="1" a="1"/>
  <c r="AB137" i="69" s="1"/>
  <c r="AC195" i="69" s="1" a="1"/>
  <c r="AC195" i="69" s="1"/>
  <c r="AC269" i="69" s="1" a="1"/>
  <c r="AC269" i="69" s="1"/>
  <c r="X87" i="69" a="1"/>
  <c r="X87" i="69" s="1"/>
  <c r="X59" i="76" s="1"/>
  <c r="AA95" i="69" a="1"/>
  <c r="AA95" i="69" s="1"/>
  <c r="AA142" i="69" s="1" a="1"/>
  <c r="AA142" i="69" s="1"/>
  <c r="AB188" i="69" s="1" a="1"/>
  <c r="AB188" i="69" s="1"/>
  <c r="AB262" i="69" s="1" a="1"/>
  <c r="AB262" i="69" s="1"/>
  <c r="AD88" i="69" a="1"/>
  <c r="AD88" i="69" s="1"/>
  <c r="AD135" i="69" s="1" a="1"/>
  <c r="AD135" i="69" s="1"/>
  <c r="AE193" i="69" s="1" a="1"/>
  <c r="AE193" i="69" s="1"/>
  <c r="AE267" i="69" s="1" a="1"/>
  <c r="AE267" i="69" s="1"/>
  <c r="V95" i="69" a="1"/>
  <c r="V95" i="69" s="1"/>
  <c r="V67" i="76" s="1"/>
  <c r="W94" i="69" a="1"/>
  <c r="W94" i="69" s="1"/>
  <c r="W141" i="69" s="1" a="1"/>
  <c r="W141" i="69" s="1"/>
  <c r="X199" i="69" s="1" a="1"/>
  <c r="X199" i="69" s="1"/>
  <c r="X273" i="69" s="1" a="1"/>
  <c r="X273" i="69" s="1"/>
  <c r="Z88" i="69" a="1"/>
  <c r="Z88" i="69" s="1"/>
  <c r="Z60" i="76" s="1"/>
  <c r="X90" i="69" a="1"/>
  <c r="X90" i="69" s="1"/>
  <c r="X62" i="76" s="1"/>
  <c r="AC94" i="69" a="1"/>
  <c r="AC94" i="69" s="1"/>
  <c r="AC141" i="69" s="1" a="1"/>
  <c r="AC141" i="69" s="1"/>
  <c r="AA93" i="69" a="1"/>
  <c r="AA93" i="69" s="1"/>
  <c r="AA140" i="69" s="1" a="1"/>
  <c r="AA140" i="69" s="1"/>
  <c r="AB186" i="69" s="1" a="1"/>
  <c r="AB186" i="69" s="1"/>
  <c r="AB260" i="69" s="1" a="1"/>
  <c r="AB260" i="69" s="1"/>
  <c r="AC92" i="69" a="1"/>
  <c r="AC92" i="69" s="1"/>
  <c r="AC139" i="69" s="1" a="1"/>
  <c r="AC139" i="69" s="1"/>
  <c r="AD197" i="69" s="1" a="1"/>
  <c r="AD197" i="69" s="1"/>
  <c r="AD271" i="69" s="1" a="1"/>
  <c r="AD271" i="69" s="1"/>
  <c r="AD95" i="69" a="1"/>
  <c r="AD95" i="69" s="1"/>
  <c r="AD142" i="69" s="1" a="1"/>
  <c r="AD142" i="69" s="1"/>
  <c r="AE188" i="69" s="1" a="1"/>
  <c r="AE188" i="69" s="1"/>
  <c r="AE262" i="69" s="1" a="1"/>
  <c r="AE262" i="69" s="1"/>
  <c r="I86" i="69" a="1"/>
  <c r="I86" i="69" s="1"/>
  <c r="I56" i="76" s="1"/>
  <c r="I64" i="76" s="1" a="1"/>
  <c r="I64" i="76" s="1"/>
  <c r="I129" i="76" s="1" a="1"/>
  <c r="I129" i="76" s="1"/>
  <c r="I171" i="76" s="1" a="1"/>
  <c r="I171" i="76" s="1"/>
  <c r="I209" i="76" s="1" a="1"/>
  <c r="I209" i="76" s="1"/>
  <c r="I85" i="69" a="1"/>
  <c r="I85" i="69" s="1"/>
  <c r="I55" i="76" s="1"/>
  <c r="I63" i="76" s="1" a="1"/>
  <c r="I63" i="76" s="1"/>
  <c r="I128" i="76" s="1" a="1"/>
  <c r="I128" i="76" s="1"/>
  <c r="I170" i="76" s="1" a="1"/>
  <c r="I170" i="76" s="1"/>
  <c r="I208" i="76" s="1" a="1"/>
  <c r="I208" i="76" s="1"/>
  <c r="AC84" i="69" a="1"/>
  <c r="AC84" i="69" s="1"/>
  <c r="AC131" i="69" s="1" a="1"/>
  <c r="AC131" i="69" s="1"/>
  <c r="AD177" i="69" s="1" a="1"/>
  <c r="AD177" i="69" s="1"/>
  <c r="AD251" i="69" s="1" a="1"/>
  <c r="AD251" i="69" s="1"/>
  <c r="W87" i="69" a="1"/>
  <c r="W87" i="69" s="1"/>
  <c r="W134" i="69" s="1" a="1"/>
  <c r="W134" i="69" s="1"/>
  <c r="X192" i="69" s="1" a="1"/>
  <c r="X192" i="69" s="1"/>
  <c r="X266" i="69" s="1" a="1"/>
  <c r="X266" i="69" s="1"/>
  <c r="L87" i="69" a="1"/>
  <c r="L87" i="69" s="1"/>
  <c r="L57" i="76" s="1"/>
  <c r="L65" i="76" s="1" a="1"/>
  <c r="L65" i="76" s="1"/>
  <c r="L130" i="76" s="1" a="1"/>
  <c r="L130" i="76" s="1"/>
  <c r="L172" i="76" s="1" a="1"/>
  <c r="L172" i="76" s="1"/>
  <c r="L210" i="76" s="1" a="1"/>
  <c r="L210" i="76" s="1"/>
  <c r="AC87" i="69" a="1"/>
  <c r="AC87" i="69" s="1"/>
  <c r="AC59" i="76" s="1"/>
  <c r="AD86" i="69" a="1"/>
  <c r="AD86" i="69" s="1"/>
  <c r="AD133" i="69" s="1" a="1"/>
  <c r="AD133" i="69" s="1"/>
  <c r="AE191" i="69" s="1" a="1"/>
  <c r="AE191" i="69" s="1"/>
  <c r="AE265" i="69" s="1" a="1"/>
  <c r="AE265" i="69" s="1"/>
  <c r="AD91" i="69" a="1"/>
  <c r="AD91" i="69" s="1"/>
  <c r="AD138" i="69" s="1" a="1"/>
  <c r="AD138" i="69" s="1"/>
  <c r="AE184" i="69" s="1" a="1"/>
  <c r="AE184" i="69" s="1"/>
  <c r="AE258" i="69" s="1" a="1"/>
  <c r="AE258" i="69" s="1"/>
  <c r="Y94" i="69" a="1"/>
  <c r="Y94" i="69" s="1"/>
  <c r="Y141" i="69" s="1" a="1"/>
  <c r="Y141" i="69" s="1"/>
  <c r="Z187" i="69" s="1" a="1"/>
  <c r="Z187" i="69" s="1"/>
  <c r="Z261" i="69" s="1" a="1"/>
  <c r="Z261" i="69" s="1"/>
  <c r="E85" i="69" a="1"/>
  <c r="E85" i="69" s="1"/>
  <c r="E132" i="69" s="1" a="1"/>
  <c r="E132" i="69" s="1"/>
  <c r="F178" i="69" s="1" a="1"/>
  <c r="F178" i="69" s="1"/>
  <c r="F236" i="69" s="1" a="1"/>
  <c r="F236" i="69" s="1"/>
  <c r="G87" i="69" a="1"/>
  <c r="G87" i="69" s="1"/>
  <c r="G57" i="76" s="1"/>
  <c r="E86" i="69" a="1"/>
  <c r="E86" i="69" s="1"/>
  <c r="E133" i="69" s="1" a="1"/>
  <c r="E133" i="69" s="1"/>
  <c r="F179" i="69" s="1" a="1"/>
  <c r="F179" i="69" s="1"/>
  <c r="F237" i="69" s="1" a="1"/>
  <c r="F237" i="69" s="1"/>
  <c r="Y90" i="69" a="1"/>
  <c r="Y90" i="69" s="1"/>
  <c r="Y62" i="76" s="1"/>
  <c r="X89" i="69" a="1"/>
  <c r="X89" i="69" s="1"/>
  <c r="X136" i="69" s="1" a="1"/>
  <c r="X136" i="69" s="1"/>
  <c r="V92" i="69" a="1"/>
  <c r="V92" i="69" s="1"/>
  <c r="V139" i="69" s="1" a="1"/>
  <c r="V139" i="69" s="1"/>
  <c r="W197" i="69" s="1" a="1"/>
  <c r="W197" i="69" s="1"/>
  <c r="W271" i="69" s="1" a="1"/>
  <c r="W271" i="69" s="1"/>
  <c r="Z91" i="69" a="1"/>
  <c r="Z91" i="69" s="1"/>
  <c r="Z138" i="69" s="1" a="1"/>
  <c r="Z138" i="69" s="1"/>
  <c r="AA196" i="69" s="1" a="1"/>
  <c r="AA196" i="69" s="1"/>
  <c r="AA270" i="69" s="1" a="1"/>
  <c r="AA270" i="69" s="1"/>
  <c r="AD89" i="69" a="1"/>
  <c r="AD89" i="69" s="1"/>
  <c r="AD136" i="69" s="1" a="1"/>
  <c r="AD136" i="69" s="1"/>
  <c r="AE182" i="69" s="1" a="1"/>
  <c r="AE182" i="69" s="1"/>
  <c r="AE256" i="69" s="1" a="1"/>
  <c r="AE256" i="69" s="1"/>
  <c r="W88" i="69" a="1"/>
  <c r="W88" i="69" s="1"/>
  <c r="W60" i="76" s="1"/>
  <c r="AA91" i="69" a="1"/>
  <c r="AA91" i="69" s="1"/>
  <c r="AA138" i="69" s="1" a="1"/>
  <c r="AA138" i="69" s="1"/>
  <c r="AB184" i="69" s="1" a="1"/>
  <c r="AB184" i="69" s="1"/>
  <c r="AB258" i="69" s="1" a="1"/>
  <c r="AB258" i="69" s="1"/>
  <c r="E87" i="69" a="1"/>
  <c r="E87" i="69" s="1"/>
  <c r="E134" i="69" s="1" a="1"/>
  <c r="E134" i="69" s="1"/>
  <c r="F184" i="69" s="1" a="1"/>
  <c r="F184" i="69" s="1"/>
  <c r="F242" i="69" s="1" a="1"/>
  <c r="F242" i="69" s="1"/>
  <c r="Y86" i="69" a="1"/>
  <c r="Y86" i="69" s="1"/>
  <c r="Y58" i="76" s="1"/>
  <c r="AB84" i="69" a="1"/>
  <c r="AB84" i="69" s="1"/>
  <c r="AB131" i="69" s="1" a="1"/>
  <c r="AB131" i="69" s="1"/>
  <c r="AC189" i="69" s="1" a="1"/>
  <c r="AC189" i="69" s="1"/>
  <c r="AC263" i="69" s="1" a="1"/>
  <c r="AC263" i="69" s="1"/>
  <c r="AA94" i="69" a="1"/>
  <c r="AA94" i="69" s="1"/>
  <c r="AA141" i="69" s="1" a="1"/>
  <c r="AA141" i="69" s="1"/>
  <c r="AB199" i="69" s="1" a="1"/>
  <c r="AB199" i="69" s="1"/>
  <c r="AB273" i="69" s="1" a="1"/>
  <c r="AB273" i="69" s="1"/>
  <c r="K87" i="69" a="1"/>
  <c r="K87" i="69" s="1"/>
  <c r="K57" i="76" s="1"/>
  <c r="M85" i="69" a="1"/>
  <c r="M85" i="69" s="1"/>
  <c r="M132" i="69" s="1" a="1"/>
  <c r="M132" i="69" s="1"/>
  <c r="N178" i="69" s="1" a="1"/>
  <c r="N178" i="69" s="1"/>
  <c r="N236" i="69" s="1" a="1"/>
  <c r="N236" i="69" s="1"/>
  <c r="F85" i="69" a="1"/>
  <c r="F85" i="69" s="1"/>
  <c r="F132" i="69" s="1" a="1"/>
  <c r="F132" i="69" s="1"/>
  <c r="G178" i="69" s="1" a="1"/>
  <c r="G178" i="69" s="1"/>
  <c r="G236" i="69" s="1" a="1"/>
  <c r="G236" i="69" s="1"/>
  <c r="X84" i="69" a="1"/>
  <c r="X84" i="69" s="1"/>
  <c r="X131" i="69" s="1" a="1"/>
  <c r="X131" i="69" s="1"/>
  <c r="X95" i="69" a="1"/>
  <c r="X95" i="69" s="1"/>
  <c r="X142" i="69" s="1" a="1"/>
  <c r="X142" i="69" s="1"/>
  <c r="H86" i="69" a="1"/>
  <c r="H86" i="69" s="1"/>
  <c r="H56" i="76" s="1"/>
  <c r="H64" i="76" s="1" a="1"/>
  <c r="H64" i="76" s="1"/>
  <c r="H129" i="76" s="1" a="1"/>
  <c r="H129" i="76" s="1"/>
  <c r="H171" i="76" s="1" a="1"/>
  <c r="H171" i="76" s="1"/>
  <c r="H209" i="76" s="1" a="1"/>
  <c r="H209" i="76" s="1"/>
  <c r="Y89" i="69" a="1"/>
  <c r="Y89" i="69" s="1"/>
  <c r="Y136" i="69" s="1" a="1"/>
  <c r="Y136" i="69" s="1"/>
  <c r="U88" i="69" a="1"/>
  <c r="U88" i="69" s="1"/>
  <c r="U135" i="69" s="1" a="1"/>
  <c r="U135" i="69" s="1"/>
  <c r="W86" i="69" a="1"/>
  <c r="W86" i="69" s="1"/>
  <c r="W133" i="69" s="1" a="1"/>
  <c r="W133" i="69" s="1"/>
  <c r="X179" i="69" s="1" a="1"/>
  <c r="X179" i="69" s="1"/>
  <c r="X253" i="69" s="1" a="1"/>
  <c r="X253" i="69" s="1"/>
  <c r="Z89" i="69" a="1"/>
  <c r="Z89" i="69" s="1"/>
  <c r="Z136" i="69" s="1" a="1"/>
  <c r="Z136" i="69" s="1"/>
  <c r="AA194" i="69" s="1" a="1"/>
  <c r="AA194" i="69" s="1"/>
  <c r="AA268" i="69" s="1" a="1"/>
  <c r="AA268" i="69" s="1"/>
  <c r="V84" i="69" a="1"/>
  <c r="V84" i="69" s="1"/>
  <c r="V131" i="69" s="1" a="1"/>
  <c r="V131" i="69" s="1"/>
  <c r="W189" i="69" s="1" a="1"/>
  <c r="W189" i="69" s="1"/>
  <c r="W263" i="69" s="1" a="1"/>
  <c r="W263" i="69" s="1"/>
  <c r="AB85" i="69" a="1"/>
  <c r="AB85" i="69" s="1"/>
  <c r="AB132" i="69" s="1" a="1"/>
  <c r="AB132" i="69" s="1"/>
  <c r="V88" i="69" a="1"/>
  <c r="V88" i="69" s="1"/>
  <c r="V135" i="69" s="1" a="1"/>
  <c r="V135" i="69" s="1"/>
  <c r="W193" i="69" s="1" a="1"/>
  <c r="W193" i="69" s="1"/>
  <c r="W267" i="69" s="1" a="1"/>
  <c r="W267" i="69" s="1"/>
  <c r="Z85" i="69" a="1"/>
  <c r="Z85" i="69" s="1"/>
  <c r="Z57" i="76" s="1"/>
  <c r="Z93" i="69" a="1"/>
  <c r="Z93" i="69" s="1"/>
  <c r="Z65" i="76" s="1"/>
  <c r="AC88" i="69" a="1"/>
  <c r="AC88" i="69" s="1"/>
  <c r="AC135" i="69" s="1" a="1"/>
  <c r="AC135" i="69" s="1"/>
  <c r="AD193" i="69" s="1" a="1"/>
  <c r="AD193" i="69" s="1"/>
  <c r="AD267" i="69" s="1" a="1"/>
  <c r="AD267" i="69" s="1"/>
  <c r="M84" i="69" a="1"/>
  <c r="M84" i="69" s="1"/>
  <c r="M131" i="69" s="1" a="1"/>
  <c r="M131" i="69" s="1"/>
  <c r="N177" i="69" s="1" a="1"/>
  <c r="N177" i="69" s="1"/>
  <c r="N235" i="69" s="1" a="1"/>
  <c r="N235" i="69" s="1"/>
  <c r="N87" i="69" a="1"/>
  <c r="N87" i="69" s="1"/>
  <c r="N57" i="76" s="1"/>
  <c r="N65" i="76" s="1" a="1"/>
  <c r="N65" i="76" s="1"/>
  <c r="N130" i="76" s="1" a="1"/>
  <c r="N130" i="76" s="1"/>
  <c r="N172" i="76" s="1" a="1"/>
  <c r="N172" i="76" s="1"/>
  <c r="N210" i="76" s="1" a="1"/>
  <c r="N210" i="76" s="1"/>
  <c r="N85" i="69" a="1"/>
  <c r="N85" i="69" s="1"/>
  <c r="N132" i="69" s="1" a="1"/>
  <c r="N132" i="69" s="1"/>
  <c r="L84" i="69" a="1"/>
  <c r="L84" i="69" s="1"/>
  <c r="L131" i="69" s="1" a="1"/>
  <c r="L131" i="69" s="1"/>
  <c r="M177" i="69" s="1" a="1"/>
  <c r="M177" i="69" s="1"/>
  <c r="M235" i="69" s="1" a="1"/>
  <c r="M235" i="69" s="1"/>
  <c r="AD90" i="69" a="1"/>
  <c r="AD90" i="69" s="1"/>
  <c r="AD137" i="69" s="1" a="1"/>
  <c r="AD137" i="69" s="1"/>
  <c r="X91" i="69" a="1"/>
  <c r="X91" i="69" s="1"/>
  <c r="X63" i="76" s="1"/>
  <c r="X85" i="69" a="1"/>
  <c r="X85" i="69" s="1"/>
  <c r="X57" i="76" s="1"/>
  <c r="W89" i="69" a="1"/>
  <c r="W89" i="69" s="1"/>
  <c r="W136" i="69" s="1" a="1"/>
  <c r="W136" i="69" s="1"/>
  <c r="X194" i="69" s="1" a="1"/>
  <c r="X194" i="69" s="1"/>
  <c r="X268" i="69" s="1" a="1"/>
  <c r="X268" i="69" s="1"/>
  <c r="W85" i="69" a="1"/>
  <c r="W85" i="69" s="1"/>
  <c r="W132" i="69" s="1" a="1"/>
  <c r="W132" i="69" s="1"/>
  <c r="U95" i="69" a="1"/>
  <c r="U95" i="69" s="1"/>
  <c r="U142" i="69" s="1" a="1"/>
  <c r="U142" i="69" s="1"/>
  <c r="V200" i="69" s="1" a="1"/>
  <c r="V200" i="69" s="1"/>
  <c r="V274" i="69" s="1" a="1"/>
  <c r="V274" i="69" s="1"/>
  <c r="U89" i="69" a="1"/>
  <c r="U89" i="69" s="1"/>
  <c r="U61" i="76" s="1"/>
  <c r="I84" i="69" a="1"/>
  <c r="I84" i="69" s="1"/>
  <c r="I131" i="69" s="1" a="1"/>
  <c r="I131" i="69" s="1"/>
  <c r="J177" i="69" s="1" a="1"/>
  <c r="J177" i="69" s="1"/>
  <c r="J235" i="69" s="1" a="1"/>
  <c r="J235" i="69" s="1"/>
  <c r="Y91" i="69" a="1"/>
  <c r="Y91" i="69" s="1"/>
  <c r="Y138" i="69" s="1" a="1"/>
  <c r="Y138" i="69" s="1"/>
  <c r="AB92" i="69" a="1"/>
  <c r="AB92" i="69" s="1"/>
  <c r="AB139" i="69" s="1" a="1"/>
  <c r="AB139" i="69" s="1"/>
  <c r="AA84" i="69" a="1"/>
  <c r="AA84" i="69" s="1"/>
  <c r="AA56" i="76" s="1"/>
  <c r="X93" i="69" a="1"/>
  <c r="X93" i="69" s="1"/>
  <c r="X140" i="69" s="1" a="1"/>
  <c r="X140" i="69" s="1"/>
  <c r="AB89" i="69" a="1"/>
  <c r="AB89" i="69" s="1"/>
  <c r="AB61" i="76" s="1"/>
  <c r="AC86" i="69" a="1"/>
  <c r="AC86" i="69" s="1"/>
  <c r="AC58" i="76" s="1"/>
  <c r="U90" i="69" a="1"/>
  <c r="U90" i="69" s="1"/>
  <c r="U137" i="69" s="1" a="1"/>
  <c r="U137" i="69" s="1"/>
  <c r="AB88" i="69" a="1"/>
  <c r="AB88" i="69" s="1"/>
  <c r="AB135" i="69" s="1" a="1"/>
  <c r="AB135" i="69" s="1"/>
  <c r="U86" i="69" a="1"/>
  <c r="U86" i="69" s="1"/>
  <c r="U133" i="69" s="1" a="1"/>
  <c r="U133" i="69" s="1"/>
  <c r="V191" i="69" s="1" a="1"/>
  <c r="V191" i="69" s="1"/>
  <c r="V265" i="69" s="1" a="1"/>
  <c r="V265" i="69" s="1"/>
  <c r="X94" i="69" a="1"/>
  <c r="X94" i="69" s="1"/>
  <c r="X141" i="69" s="1" a="1"/>
  <c r="X141" i="69" s="1"/>
  <c r="Y199" i="69" s="1" a="1"/>
  <c r="Y199" i="69" s="1"/>
  <c r="Y273" i="69" s="1" a="1"/>
  <c r="Y273" i="69" s="1"/>
  <c r="Z95" i="69" a="1"/>
  <c r="Z95" i="69" s="1"/>
  <c r="Z67" i="76" s="1"/>
  <c r="M86" i="69" a="1"/>
  <c r="M86" i="69" s="1"/>
  <c r="M133" i="69" s="1" a="1"/>
  <c r="M133" i="69" s="1"/>
  <c r="N179" i="69" s="1" a="1"/>
  <c r="N179" i="69" s="1"/>
  <c r="N237" i="69" s="1" a="1"/>
  <c r="N237" i="69" s="1"/>
  <c r="H87" i="69" a="1"/>
  <c r="H87" i="69" s="1"/>
  <c r="H134" i="69" s="1" a="1"/>
  <c r="H134" i="69" s="1"/>
  <c r="I180" i="69" s="1" a="1"/>
  <c r="I180" i="69" s="1"/>
  <c r="I238" i="69" s="1" a="1"/>
  <c r="I238" i="69" s="1"/>
  <c r="F84" i="69" a="1"/>
  <c r="F84" i="69" s="1"/>
  <c r="F131" i="69" s="1" a="1"/>
  <c r="F131" i="69" s="1"/>
  <c r="AA86" i="69" a="1"/>
  <c r="AA86" i="69" s="1"/>
  <c r="AA133" i="69" s="1" a="1"/>
  <c r="AA133" i="69" s="1"/>
  <c r="AB179" i="69" s="1" a="1"/>
  <c r="AB179" i="69" s="1"/>
  <c r="AB253" i="69" s="1" a="1"/>
  <c r="AB253" i="69" s="1"/>
  <c r="U94" i="69" a="1"/>
  <c r="U94" i="69" s="1"/>
  <c r="U141" i="69" s="1" a="1"/>
  <c r="U141" i="69" s="1"/>
  <c r="V199" i="69" s="1" a="1"/>
  <c r="V199" i="69" s="1"/>
  <c r="V273" i="69" s="1" a="1"/>
  <c r="V273" i="69" s="1"/>
  <c r="X92" i="69" a="1"/>
  <c r="X92" i="69" s="1"/>
  <c r="X64" i="76" s="1"/>
  <c r="L85" i="69" a="1"/>
  <c r="L85" i="69" s="1"/>
  <c r="L132" i="69" s="1" a="1"/>
  <c r="L132" i="69" s="1"/>
  <c r="J84" i="69" a="1"/>
  <c r="J84" i="69" s="1"/>
  <c r="J131" i="69" s="1" a="1"/>
  <c r="J131" i="69" s="1"/>
  <c r="K181" i="69" s="1" a="1"/>
  <c r="K181" i="69" s="1"/>
  <c r="K239" i="69" s="1" a="1"/>
  <c r="K239" i="69" s="1"/>
  <c r="K85" i="69" a="1"/>
  <c r="K85" i="69" s="1"/>
  <c r="K55" i="76" s="1"/>
  <c r="J85" i="69" a="1"/>
  <c r="J85" i="69" s="1"/>
  <c r="J132" i="69" s="1" a="1"/>
  <c r="J132" i="69" s="1"/>
  <c r="K182" i="69" s="1" a="1"/>
  <c r="K182" i="69" s="1"/>
  <c r="K240" i="69" s="1" a="1"/>
  <c r="K240" i="69" s="1"/>
  <c r="G85" i="69" a="1"/>
  <c r="G85" i="69" s="1"/>
  <c r="G132" i="69" s="1" a="1"/>
  <c r="G132" i="69" s="1"/>
  <c r="H178" i="69" s="1" a="1"/>
  <c r="H178" i="69" s="1"/>
  <c r="H236" i="69" s="1" a="1"/>
  <c r="H236" i="69" s="1"/>
  <c r="L86" i="69" a="1"/>
  <c r="L86" i="69" s="1"/>
  <c r="L133" i="69" s="1" a="1"/>
  <c r="L133" i="69" s="1"/>
  <c r="M179" i="69" s="1" a="1"/>
  <c r="M179" i="69" s="1"/>
  <c r="M237" i="69" s="1" a="1"/>
  <c r="M237" i="69" s="1"/>
  <c r="N86" i="69" a="1"/>
  <c r="N86" i="69" s="1"/>
  <c r="N133" i="69" s="1" a="1"/>
  <c r="N133" i="69" s="1"/>
  <c r="O183" i="69" s="1" a="1"/>
  <c r="O183" i="69" s="1"/>
  <c r="O241" i="69" s="1" a="1"/>
  <c r="O241" i="69" s="1"/>
  <c r="I87" i="69" a="1"/>
  <c r="I87" i="69" s="1"/>
  <c r="I57" i="76" s="1"/>
  <c r="I65" i="76" s="1" a="1"/>
  <c r="I65" i="76" s="1"/>
  <c r="I130" i="76" s="1" a="1"/>
  <c r="I130" i="76" s="1"/>
  <c r="I172" i="76" s="1" a="1"/>
  <c r="I172" i="76" s="1"/>
  <c r="I210" i="76" s="1" a="1"/>
  <c r="I210" i="76" s="1"/>
  <c r="F87" i="69" a="1"/>
  <c r="F87" i="69" s="1"/>
  <c r="F57" i="76" s="1"/>
  <c r="F65" i="76" s="1" a="1"/>
  <c r="F65" i="76" s="1"/>
  <c r="F130" i="76" s="1" a="1"/>
  <c r="F130" i="76" s="1"/>
  <c r="F172" i="76" s="1" a="1"/>
  <c r="F172" i="76" s="1"/>
  <c r="F210" i="76" s="1" a="1"/>
  <c r="F210" i="76" s="1"/>
  <c r="H85" i="69" a="1"/>
  <c r="H85" i="69" s="1"/>
  <c r="H132" i="69" s="1" a="1"/>
  <c r="H132" i="69" s="1"/>
  <c r="I178" i="69" s="1" a="1"/>
  <c r="I178" i="69" s="1"/>
  <c r="I236" i="69" s="1" a="1"/>
  <c r="I236" i="69" s="1"/>
  <c r="M87" i="69" a="1"/>
  <c r="M87" i="69" s="1"/>
  <c r="M134" i="69" s="1" a="1"/>
  <c r="M134" i="69" s="1"/>
  <c r="N180" i="69" s="1" a="1"/>
  <c r="N180" i="69" s="1"/>
  <c r="N238" i="69" s="1" a="1"/>
  <c r="N238" i="69" s="1"/>
  <c r="K84" i="69" a="1"/>
  <c r="K84" i="69" s="1"/>
  <c r="K131" i="69" s="1" a="1"/>
  <c r="K131" i="69" s="1"/>
  <c r="K86" i="69" a="1"/>
  <c r="K86" i="69" s="1"/>
  <c r="K133" i="69" s="1" a="1"/>
  <c r="K133" i="69" s="1"/>
  <c r="F86" i="69" a="1"/>
  <c r="F86" i="69" s="1"/>
  <c r="F56" i="76" s="1"/>
  <c r="F64" i="76" s="1" a="1"/>
  <c r="F64" i="76" s="1"/>
  <c r="F129" i="76" s="1" a="1"/>
  <c r="F129" i="76" s="1"/>
  <c r="F171" i="76" s="1" a="1"/>
  <c r="F171" i="76" s="1"/>
  <c r="F209" i="76" s="1" a="1"/>
  <c r="F209" i="76" s="1"/>
  <c r="Z94" i="69" a="1"/>
  <c r="Z94" i="69" s="1"/>
  <c r="Z141" i="69" s="1" a="1"/>
  <c r="Z141" i="69" s="1"/>
  <c r="AA199" i="69" s="1" a="1"/>
  <c r="AA199" i="69" s="1"/>
  <c r="AA273" i="69" s="1" a="1"/>
  <c r="AA273" i="69" s="1"/>
  <c r="AC85" i="69" a="1"/>
  <c r="AC85" i="69" s="1"/>
  <c r="AC57" i="76" s="1"/>
  <c r="Z90" i="69" a="1"/>
  <c r="Z90" i="69" s="1"/>
  <c r="Z137" i="69" s="1" a="1"/>
  <c r="Z137" i="69" s="1"/>
  <c r="V93" i="69" a="1"/>
  <c r="V93" i="69" s="1"/>
  <c r="V140" i="69" s="1" a="1"/>
  <c r="V140" i="69" s="1"/>
  <c r="W90" i="69" a="1"/>
  <c r="W90" i="69" s="1"/>
  <c r="W137" i="69" s="1" a="1"/>
  <c r="W137" i="69" s="1"/>
  <c r="U93" i="69" a="1"/>
  <c r="U93" i="69" s="1"/>
  <c r="U140" i="69" s="1" a="1"/>
  <c r="U140" i="69" s="1"/>
  <c r="G86" i="69" a="1"/>
  <c r="G86" i="69" s="1"/>
  <c r="G56" i="76" s="1"/>
  <c r="AC83" i="76" a="1"/>
  <c r="AC83" i="76" s="1"/>
  <c r="AC147" i="76" s="1" a="1"/>
  <c r="AC147" i="76" s="1"/>
  <c r="Y92" i="69" a="1"/>
  <c r="Y92" i="69" s="1"/>
  <c r="Y64" i="76" s="1"/>
  <c r="AC137" i="69" a="1"/>
  <c r="AC137" i="69" s="1"/>
  <c r="AD195" i="69" s="1" a="1"/>
  <c r="AD195" i="69" s="1"/>
  <c r="AD269" i="69" s="1" a="1"/>
  <c r="AD269" i="69" s="1"/>
  <c r="AB134" i="69" a="1"/>
  <c r="AB134" i="69" s="1"/>
  <c r="AC192" i="69" s="1" a="1"/>
  <c r="AC192" i="69" s="1"/>
  <c r="AC266" i="69" s="1" a="1"/>
  <c r="AC266" i="69" s="1"/>
  <c r="AB59" i="76"/>
  <c r="AB133" i="69" a="1"/>
  <c r="AB133" i="69" s="1"/>
  <c r="AC191" i="69" s="1" a="1"/>
  <c r="AC191" i="69" s="1"/>
  <c r="AC265" i="69" s="1" a="1"/>
  <c r="AC265" i="69" s="1"/>
  <c r="AB58" i="76"/>
  <c r="E84" i="69" a="1"/>
  <c r="E84" i="69" s="1"/>
  <c r="Y132" i="69" a="1"/>
  <c r="Y132" i="69" s="1"/>
  <c r="Y57" i="76"/>
  <c r="AB138" i="69" a="1"/>
  <c r="AB138" i="69" s="1"/>
  <c r="AC184" i="69" s="1" a="1"/>
  <c r="AC184" i="69" s="1"/>
  <c r="AC258" i="69" s="1" a="1"/>
  <c r="AC258" i="69" s="1"/>
  <c r="AB63" i="76"/>
  <c r="AB142" i="69" a="1"/>
  <c r="AB142" i="69" s="1"/>
  <c r="AC200" i="69" s="1" a="1"/>
  <c r="AC200" i="69" s="1"/>
  <c r="AC274" i="69" s="1" a="1"/>
  <c r="AC274" i="69" s="1"/>
  <c r="AB67" i="76"/>
  <c r="U92" i="69" a="1"/>
  <c r="U92" i="69" s="1"/>
  <c r="J86" i="69" a="1"/>
  <c r="J86" i="69" s="1"/>
  <c r="X135" i="69" a="1"/>
  <c r="X135" i="69" s="1"/>
  <c r="Y193" i="69" s="1" a="1"/>
  <c r="Y193" i="69" s="1"/>
  <c r="Y267" i="69" s="1" a="1"/>
  <c r="Y267" i="69" s="1"/>
  <c r="X60" i="76"/>
  <c r="W142" i="69" a="1"/>
  <c r="W142" i="69" s="1"/>
  <c r="X188" i="69" s="1" a="1"/>
  <c r="X188" i="69" s="1"/>
  <c r="X262" i="69" s="1" a="1"/>
  <c r="X262" i="69" s="1"/>
  <c r="W67" i="76"/>
  <c r="V133" i="69" a="1"/>
  <c r="V133" i="69" s="1"/>
  <c r="W179" i="69" s="1" a="1"/>
  <c r="W179" i="69" s="1"/>
  <c r="W253" i="69" s="1" a="1"/>
  <c r="W253" i="69" s="1"/>
  <c r="V58" i="76"/>
  <c r="U138" i="69" a="1"/>
  <c r="U138" i="69" s="1"/>
  <c r="V196" i="69" s="1" a="1"/>
  <c r="V196" i="69" s="1"/>
  <c r="V270" i="69" s="1" a="1"/>
  <c r="V270" i="69" s="1"/>
  <c r="U63" i="76"/>
  <c r="AA137" i="69" a="1"/>
  <c r="AA137" i="69" s="1"/>
  <c r="AB195" i="69" s="1" a="1"/>
  <c r="AB195" i="69" s="1"/>
  <c r="AB269" i="69" s="1" a="1"/>
  <c r="AB269" i="69" s="1"/>
  <c r="AA62" i="76"/>
  <c r="Y88" i="69" a="1"/>
  <c r="Y88" i="69" s="1"/>
  <c r="AB93" i="69" a="1"/>
  <c r="AB93" i="69" s="1"/>
  <c r="Z86" i="69" a="1"/>
  <c r="Z86" i="69" s="1"/>
  <c r="AD134" i="69" a="1"/>
  <c r="AD134" i="69" s="1"/>
  <c r="AE192" i="69" s="1" a="1"/>
  <c r="AE192" i="69" s="1"/>
  <c r="AE266" i="69" s="1" a="1"/>
  <c r="AE266" i="69" s="1"/>
  <c r="AD59" i="76"/>
  <c r="X133" i="69" a="1"/>
  <c r="X133" i="69" s="1"/>
  <c r="Y191" i="69" s="1" a="1"/>
  <c r="Y191" i="69" s="1"/>
  <c r="Y265" i="69" s="1" a="1"/>
  <c r="Y265" i="69" s="1"/>
  <c r="X58" i="76"/>
  <c r="V85" i="69" a="1"/>
  <c r="V85" i="69" s="1"/>
  <c r="AD94" i="69" a="1"/>
  <c r="AD94" i="69" s="1"/>
  <c r="H131" i="69" a="1"/>
  <c r="H131" i="69" s="1"/>
  <c r="I181" i="69" s="1" a="1"/>
  <c r="I181" i="69" s="1"/>
  <c r="I239" i="69" s="1" a="1"/>
  <c r="I239" i="69" s="1"/>
  <c r="H54" i="76"/>
  <c r="H62" i="76" s="1" a="1"/>
  <c r="H62" i="76" s="1"/>
  <c r="H127" i="76" s="1" a="1"/>
  <c r="H127" i="76" s="1"/>
  <c r="H169" i="76" s="1" a="1"/>
  <c r="H169" i="76" s="1"/>
  <c r="H207" i="76" s="1" a="1"/>
  <c r="H207" i="76" s="1"/>
  <c r="A39" i="74"/>
  <c r="A38" i="74"/>
  <c r="A37" i="74"/>
  <c r="A36" i="74"/>
  <c r="A33" i="74"/>
  <c r="A30" i="74"/>
  <c r="A29" i="74"/>
  <c r="A28" i="74"/>
  <c r="A27" i="74"/>
  <c r="A26" i="74"/>
  <c r="A25" i="74"/>
  <c r="A24" i="74"/>
  <c r="A19" i="74"/>
  <c r="A18" i="74"/>
  <c r="A15" i="74"/>
  <c r="A14" i="74"/>
  <c r="A13" i="74"/>
  <c r="A12" i="74"/>
  <c r="A11" i="74"/>
  <c r="A10" i="74"/>
  <c r="A9" i="74"/>
  <c r="A8" i="74"/>
  <c r="A7" i="74"/>
  <c r="A4" i="74"/>
  <c r="V63" i="76" l="1"/>
  <c r="W56" i="76"/>
  <c r="W65" i="76"/>
  <c r="W81" i="76" s="1" a="1"/>
  <c r="W81" i="76" s="1"/>
  <c r="W145" i="76" s="1" a="1"/>
  <c r="W145" i="76" s="1"/>
  <c r="G54" i="76"/>
  <c r="AA134" i="69" a="1"/>
  <c r="AA134" i="69" s="1"/>
  <c r="AB180" i="69" s="1" a="1"/>
  <c r="AB180" i="69" s="1"/>
  <c r="AB254" i="69" s="1" a="1"/>
  <c r="AB254" i="69" s="1"/>
  <c r="V134" i="69" a="1"/>
  <c r="V134" i="69" s="1"/>
  <c r="W180" i="69" s="1" a="1"/>
  <c r="W180" i="69" s="1"/>
  <c r="W254" i="69" s="1" a="1"/>
  <c r="W254" i="69" s="1"/>
  <c r="X73" i="76" a="1"/>
  <c r="X73" i="76" s="1"/>
  <c r="X137" i="76" s="1" a="1"/>
  <c r="X137" i="76" s="1"/>
  <c r="X193" i="76" s="1" a="1"/>
  <c r="X193" i="76" s="1"/>
  <c r="X75" i="76" a="1"/>
  <c r="X75" i="76" s="1"/>
  <c r="X139" i="76" s="1" a="1"/>
  <c r="X139" i="76" s="1"/>
  <c r="X195" i="76" s="1" a="1"/>
  <c r="X195" i="76" s="1"/>
  <c r="X79" i="76" a="1"/>
  <c r="X79" i="76" s="1"/>
  <c r="X143" i="76" s="1" a="1"/>
  <c r="X143" i="76" s="1"/>
  <c r="X199" i="76" s="1" a="1"/>
  <c r="X199" i="76" s="1"/>
  <c r="V75" i="76" a="1"/>
  <c r="V75" i="76" s="1"/>
  <c r="V139" i="76" s="1" a="1"/>
  <c r="V139" i="76" s="1"/>
  <c r="V195" i="76" s="1" a="1"/>
  <c r="V195" i="76" s="1"/>
  <c r="AC79" i="76" a="1"/>
  <c r="AC79" i="76" s="1"/>
  <c r="AC143" i="76" s="1" a="1"/>
  <c r="AC143" i="76" s="1"/>
  <c r="AC199" i="76" s="1" a="1"/>
  <c r="AC199" i="76" s="1"/>
  <c r="AC74" i="76" a="1"/>
  <c r="AC74" i="76" s="1"/>
  <c r="AC138" i="76" s="1" a="1"/>
  <c r="AC138" i="76" s="1"/>
  <c r="AC194" i="76" s="1" a="1"/>
  <c r="AC194" i="76" s="1"/>
  <c r="Z75" i="76" a="1"/>
  <c r="Z75" i="76" s="1"/>
  <c r="Z139" i="76" s="1" a="1"/>
  <c r="Z139" i="76" s="1"/>
  <c r="Z195" i="76" s="1" a="1"/>
  <c r="Z195" i="76" s="1"/>
  <c r="V79" i="76" a="1"/>
  <c r="V79" i="76" s="1"/>
  <c r="V143" i="76" s="1" a="1"/>
  <c r="V143" i="76" s="1"/>
  <c r="V199" i="76" s="1" a="1"/>
  <c r="V199" i="76" s="1"/>
  <c r="AB74" i="76" a="1"/>
  <c r="AB74" i="76" s="1"/>
  <c r="AB138" i="76" s="1" a="1"/>
  <c r="AB138" i="76" s="1"/>
  <c r="AB194" i="76" s="1" a="1"/>
  <c r="AB194" i="76" s="1"/>
  <c r="AC73" i="76" a="1"/>
  <c r="AC73" i="76" s="1"/>
  <c r="AC137" i="76" s="1" a="1"/>
  <c r="AC137" i="76" s="1"/>
  <c r="AC193" i="76" s="1" a="1"/>
  <c r="AC193" i="76" s="1"/>
  <c r="AB77" i="76" a="1"/>
  <c r="AB77" i="76" s="1"/>
  <c r="AB141" i="76" s="1" a="1"/>
  <c r="AB141" i="76" s="1"/>
  <c r="AB197" i="76" s="1" a="1"/>
  <c r="AB197" i="76" s="1"/>
  <c r="AA78" i="76" a="1"/>
  <c r="AA78" i="76" s="1"/>
  <c r="AA142" i="76" s="1" a="1"/>
  <c r="AA142" i="76" s="1"/>
  <c r="AA198" i="76" s="1" a="1"/>
  <c r="AA198" i="76" s="1"/>
  <c r="AB83" i="76" a="1"/>
  <c r="AB83" i="76" s="1"/>
  <c r="AB147" i="76" s="1" a="1"/>
  <c r="AB147" i="76" s="1"/>
  <c r="AB203" i="76" s="1" a="1"/>
  <c r="AB203" i="76" s="1"/>
  <c r="Y78" i="76" a="1"/>
  <c r="Y78" i="76" s="1"/>
  <c r="Y142" i="76" s="1" a="1"/>
  <c r="Y142" i="76" s="1"/>
  <c r="Y198" i="76" s="1" a="1"/>
  <c r="Y198" i="76" s="1"/>
  <c r="AD72" i="76" a="1"/>
  <c r="AD72" i="76" s="1"/>
  <c r="AD136" i="76" s="1" a="1"/>
  <c r="AD136" i="76" s="1"/>
  <c r="AD192" i="76" s="1" a="1"/>
  <c r="AD192" i="76" s="1"/>
  <c r="X80" i="76" a="1"/>
  <c r="X80" i="76" s="1"/>
  <c r="X144" i="76" s="1" a="1"/>
  <c r="X144" i="76" s="1"/>
  <c r="X200" i="76" s="1" a="1"/>
  <c r="X200" i="76" s="1"/>
  <c r="AC78" i="76" a="1"/>
  <c r="AC78" i="76" s="1"/>
  <c r="AC142" i="76" s="1" a="1"/>
  <c r="AC142" i="76" s="1"/>
  <c r="AC198" i="76" s="1" a="1"/>
  <c r="AC198" i="76" s="1"/>
  <c r="Z81" i="76" a="1"/>
  <c r="Z81" i="76" s="1"/>
  <c r="Z145" i="76" s="1" a="1"/>
  <c r="Z145" i="76" s="1"/>
  <c r="Z201" i="76" s="1" a="1"/>
  <c r="Z201" i="76" s="1"/>
  <c r="X78" i="76" a="1"/>
  <c r="X78" i="76" s="1"/>
  <c r="X142" i="76" s="1" a="1"/>
  <c r="X142" i="76" s="1"/>
  <c r="X198" i="76" s="1" a="1"/>
  <c r="X198" i="76" s="1"/>
  <c r="Y72" i="76" a="1"/>
  <c r="Y72" i="76" s="1"/>
  <c r="Y136" i="76" s="1" a="1"/>
  <c r="Y136" i="76" s="1"/>
  <c r="Y192" i="76" s="1" a="1"/>
  <c r="Y192" i="76" s="1"/>
  <c r="AB75" i="76" a="1"/>
  <c r="AB75" i="76" s="1"/>
  <c r="AB139" i="76" s="1" a="1"/>
  <c r="AB139" i="76" s="1"/>
  <c r="AB195" i="76" s="1" a="1"/>
  <c r="AB195" i="76" s="1"/>
  <c r="V74" i="76" a="1"/>
  <c r="V74" i="76" s="1"/>
  <c r="V138" i="76" s="1" a="1"/>
  <c r="V138" i="76" s="1"/>
  <c r="V194" i="76" s="1" a="1"/>
  <c r="V194" i="76" s="1"/>
  <c r="AB79" i="76" a="1"/>
  <c r="AB79" i="76" s="1"/>
  <c r="AB143" i="76" s="1" a="1"/>
  <c r="AB143" i="76" s="1"/>
  <c r="AB199" i="76" s="1" a="1"/>
  <c r="AB199" i="76" s="1"/>
  <c r="Z73" i="76" a="1"/>
  <c r="Z73" i="76" s="1"/>
  <c r="Z137" i="76" s="1" a="1"/>
  <c r="Z137" i="76" s="1"/>
  <c r="Z193" i="76" s="1" a="1"/>
  <c r="Z193" i="76" s="1"/>
  <c r="Z76" i="76" a="1"/>
  <c r="Z76" i="76" s="1"/>
  <c r="Z140" i="76" s="1" a="1"/>
  <c r="Z140" i="76" s="1"/>
  <c r="Z196" i="76" s="1" a="1"/>
  <c r="Z196" i="76" s="1"/>
  <c r="Y83" i="76" a="1"/>
  <c r="Y83" i="76" s="1"/>
  <c r="Y147" i="76" s="1" a="1"/>
  <c r="Y147" i="76" s="1"/>
  <c r="Y203" i="76" s="1" a="1"/>
  <c r="Y203" i="76" s="1"/>
  <c r="AD75" i="76" a="1"/>
  <c r="AD75" i="76" s="1"/>
  <c r="AD139" i="76" s="1" a="1"/>
  <c r="AD139" i="76" s="1"/>
  <c r="AD195" i="76" s="1" a="1"/>
  <c r="AD195" i="76" s="1"/>
  <c r="X76" i="76" a="1"/>
  <c r="X76" i="76" s="1"/>
  <c r="X140" i="76" s="1" a="1"/>
  <c r="X140" i="76" s="1"/>
  <c r="X196" i="76" s="1" a="1"/>
  <c r="X196" i="76" s="1"/>
  <c r="Y73" i="76" a="1"/>
  <c r="Y73" i="76" s="1"/>
  <c r="Y137" i="76" s="1" a="1"/>
  <c r="Y137" i="76" s="1"/>
  <c r="Y193" i="76" s="1" a="1"/>
  <c r="Y193" i="76" s="1"/>
  <c r="AC81" i="76" a="1"/>
  <c r="AC81" i="76" s="1"/>
  <c r="AC145" i="76" s="1" a="1"/>
  <c r="AC145" i="76" s="1"/>
  <c r="AC201" i="76" s="1" a="1"/>
  <c r="AC201" i="76" s="1"/>
  <c r="X74" i="76" a="1"/>
  <c r="X74" i="76" s="1"/>
  <c r="X138" i="76" s="1" a="1"/>
  <c r="X138" i="76" s="1"/>
  <c r="X194" i="76" s="1" a="1"/>
  <c r="X194" i="76" s="1"/>
  <c r="Y80" i="76" a="1"/>
  <c r="Y80" i="76" s="1"/>
  <c r="Y144" i="76" s="1" a="1"/>
  <c r="Y144" i="76" s="1"/>
  <c r="Y200" i="76" s="1" a="1"/>
  <c r="Y200" i="76" s="1"/>
  <c r="Y74" i="76" a="1"/>
  <c r="Y74" i="76" s="1"/>
  <c r="Y138" i="76" s="1" a="1"/>
  <c r="Y138" i="76" s="1"/>
  <c r="Y194" i="76" s="1" a="1"/>
  <c r="Y194" i="76" s="1"/>
  <c r="V83" i="76" a="1"/>
  <c r="V83" i="76" s="1"/>
  <c r="V147" i="76" s="1" a="1"/>
  <c r="V147" i="76" s="1"/>
  <c r="V203" i="76" s="1" a="1"/>
  <c r="V203" i="76" s="1"/>
  <c r="Z83" i="76" a="1"/>
  <c r="Z83" i="76" s="1"/>
  <c r="Z147" i="76" s="1" a="1"/>
  <c r="Z147" i="76" s="1"/>
  <c r="Z203" i="76" s="1" a="1"/>
  <c r="Z203" i="76" s="1"/>
  <c r="AC75" i="76" a="1"/>
  <c r="AC75" i="76" s="1"/>
  <c r="AC139" i="76" s="1" a="1"/>
  <c r="AC139" i="76" s="1"/>
  <c r="AC195" i="76" s="1" a="1"/>
  <c r="AC195" i="76" s="1"/>
  <c r="V82" i="76" a="1"/>
  <c r="V82" i="76" s="1"/>
  <c r="V146" i="76" s="1" a="1"/>
  <c r="V146" i="76" s="1"/>
  <c r="V202" i="76" s="1" a="1"/>
  <c r="V202" i="76" s="1"/>
  <c r="AD73" i="76" a="1"/>
  <c r="AD73" i="76" s="1"/>
  <c r="AD137" i="76" s="1" a="1"/>
  <c r="AD137" i="76" s="1"/>
  <c r="AD193" i="76" s="1" a="1"/>
  <c r="AD193" i="76" s="1"/>
  <c r="AC203" i="76" a="1"/>
  <c r="AC203" i="76" s="1"/>
  <c r="AC255" i="76" s="1" a="1"/>
  <c r="AC255" i="76" s="1"/>
  <c r="U57" i="76"/>
  <c r="J57" i="76"/>
  <c r="J65" i="76" s="1" a="1"/>
  <c r="J65" i="76" s="1"/>
  <c r="J130" i="76" s="1" a="1"/>
  <c r="J130" i="76" s="1"/>
  <c r="J172" i="76" s="1" a="1"/>
  <c r="J172" i="76" s="1"/>
  <c r="J210" i="76" s="1" a="1"/>
  <c r="J210" i="76" s="1"/>
  <c r="AD65" i="76"/>
  <c r="AD132" i="69" a="1"/>
  <c r="AD132" i="69" s="1"/>
  <c r="AE178" i="69" s="1" a="1"/>
  <c r="AE178" i="69" s="1"/>
  <c r="AE252" i="69" s="1" a="1"/>
  <c r="AE252" i="69" s="1"/>
  <c r="AB66" i="76"/>
  <c r="Z64" i="76"/>
  <c r="U134" i="69" a="1"/>
  <c r="U134" i="69" s="1"/>
  <c r="V180" i="69" s="1" a="1"/>
  <c r="V180" i="69" s="1"/>
  <c r="V254" i="69" s="1" a="1"/>
  <c r="V254" i="69" s="1"/>
  <c r="AD188" i="69" a="1"/>
  <c r="AD188" i="69" s="1"/>
  <c r="AD262" i="69" s="1" a="1"/>
  <c r="AD262" i="69" s="1"/>
  <c r="V141" i="69" a="1"/>
  <c r="V141" i="69" s="1"/>
  <c r="W199" i="69" s="1" a="1"/>
  <c r="W199" i="69" s="1"/>
  <c r="W273" i="69" s="1" a="1"/>
  <c r="W273" i="69" s="1"/>
  <c r="AA136" i="69" a="1"/>
  <c r="AA136" i="69" s="1"/>
  <c r="AB194" i="69" s="1" a="1"/>
  <c r="AB194" i="69" s="1"/>
  <c r="AB268" i="69" s="1" a="1"/>
  <c r="AB268" i="69" s="1"/>
  <c r="G134" i="69" a="1"/>
  <c r="G134" i="69" s="1"/>
  <c r="H180" i="69" s="1" a="1"/>
  <c r="H180" i="69" s="1"/>
  <c r="H238" i="69" s="1" a="1"/>
  <c r="H238" i="69" s="1"/>
  <c r="Y65" i="76"/>
  <c r="AC140" i="69" a="1"/>
  <c r="AC140" i="69" s="1"/>
  <c r="AD198" i="69" s="1" a="1"/>
  <c r="AD198" i="69" s="1"/>
  <c r="AD272" i="69" s="1" a="1"/>
  <c r="AD272" i="69" s="1"/>
  <c r="M55" i="76"/>
  <c r="M63" i="76" s="1" a="1"/>
  <c r="M63" i="76" s="1"/>
  <c r="M128" i="76" s="1" a="1"/>
  <c r="M128" i="76" s="1"/>
  <c r="M170" i="76" s="1" a="1"/>
  <c r="M170" i="76" s="1"/>
  <c r="M208" i="76" s="1" a="1"/>
  <c r="M208" i="76" s="1"/>
  <c r="V62" i="76"/>
  <c r="AD131" i="69" a="1"/>
  <c r="AD131" i="69" s="1"/>
  <c r="AE189" i="69" s="1" a="1"/>
  <c r="AE189" i="69" s="1"/>
  <c r="AE263" i="69" s="1" a="1"/>
  <c r="AE263" i="69" s="1"/>
  <c r="E55" i="76"/>
  <c r="E63" i="76" s="1" a="1"/>
  <c r="E63" i="76" s="1"/>
  <c r="E128" i="76" s="1" a="1"/>
  <c r="E128" i="76" s="1"/>
  <c r="E170" i="76" s="1" a="1"/>
  <c r="E170" i="76" s="1"/>
  <c r="E208" i="76" s="1" a="1"/>
  <c r="E208" i="76" s="1"/>
  <c r="I132" i="69" a="1"/>
  <c r="I132" i="69" s="1"/>
  <c r="J178" i="69" s="1" a="1"/>
  <c r="J178" i="69" s="1"/>
  <c r="J236" i="69" s="1" a="1"/>
  <c r="J236" i="69" s="1"/>
  <c r="AC66" i="76"/>
  <c r="AD64" i="76"/>
  <c r="J55" i="76"/>
  <c r="J63" i="76" s="1" a="1"/>
  <c r="J63" i="76" s="1"/>
  <c r="J128" i="76" s="1" a="1"/>
  <c r="J128" i="76" s="1"/>
  <c r="J170" i="76" s="1" a="1"/>
  <c r="J170" i="76" s="1"/>
  <c r="J208" i="76" s="1" a="1"/>
  <c r="J208" i="76" s="1"/>
  <c r="AC61" i="76"/>
  <c r="AC138" i="69" a="1"/>
  <c r="AC138" i="69" s="1"/>
  <c r="AD184" i="69" s="1" a="1"/>
  <c r="AD184" i="69" s="1"/>
  <c r="AD258" i="69" s="1" a="1"/>
  <c r="AD258" i="69" s="1"/>
  <c r="V61" i="76"/>
  <c r="AA65" i="76"/>
  <c r="F55" i="76"/>
  <c r="F63" i="76" s="1" a="1"/>
  <c r="F63" i="76" s="1"/>
  <c r="F128" i="76" s="1" a="1"/>
  <c r="F128" i="76" s="1"/>
  <c r="F170" i="76" s="1" a="1"/>
  <c r="F170" i="76" s="1"/>
  <c r="F208" i="76" s="1" a="1"/>
  <c r="F208" i="76" s="1"/>
  <c r="X132" i="69" a="1"/>
  <c r="X132" i="69" s="1"/>
  <c r="Y190" i="69" s="1" a="1"/>
  <c r="Y190" i="69" s="1"/>
  <c r="Y264" i="69" s="1" a="1"/>
  <c r="Y264" i="69" s="1"/>
  <c r="X134" i="69" a="1"/>
  <c r="X134" i="69" s="1"/>
  <c r="Y180" i="69" s="1" a="1"/>
  <c r="Y180" i="69" s="1"/>
  <c r="Y254" i="69" s="1" a="1"/>
  <c r="Y254" i="69" s="1"/>
  <c r="Z134" i="69" a="1"/>
  <c r="Z134" i="69" s="1"/>
  <c r="AA180" i="69" s="1" a="1"/>
  <c r="AA180" i="69" s="1"/>
  <c r="AA254" i="69" s="1" a="1"/>
  <c r="AA254" i="69" s="1"/>
  <c r="L134" i="69" a="1"/>
  <c r="L134" i="69" s="1"/>
  <c r="M180" i="69" s="1" a="1"/>
  <c r="M180" i="69" s="1"/>
  <c r="M238" i="69" s="1" a="1"/>
  <c r="M238" i="69" s="1"/>
  <c r="W135" i="69" a="1"/>
  <c r="W135" i="69" s="1"/>
  <c r="X193" i="69" s="1" a="1"/>
  <c r="X193" i="69" s="1"/>
  <c r="X267" i="69" s="1" a="1"/>
  <c r="X267" i="69" s="1"/>
  <c r="X139" i="69" a="1"/>
  <c r="X139" i="69" s="1"/>
  <c r="Y197" i="69" s="1" a="1"/>
  <c r="Y197" i="69" s="1"/>
  <c r="Y271" i="69" s="1" a="1"/>
  <c r="Y271" i="69" s="1"/>
  <c r="U67" i="76"/>
  <c r="Z135" i="69" a="1"/>
  <c r="Z135" i="69" s="1"/>
  <c r="AA181" i="69" s="1" a="1"/>
  <c r="AA181" i="69" s="1"/>
  <c r="AA255" i="69" s="1" a="1"/>
  <c r="AA255" i="69" s="1"/>
  <c r="W59" i="76"/>
  <c r="M57" i="76"/>
  <c r="M65" i="76" s="1" a="1"/>
  <c r="M65" i="76" s="1"/>
  <c r="M130" i="76" s="1" a="1"/>
  <c r="M130" i="76" s="1"/>
  <c r="M172" i="76" s="1" a="1"/>
  <c r="M172" i="76" s="1"/>
  <c r="M210" i="76" s="1" a="1"/>
  <c r="M210" i="76" s="1"/>
  <c r="Y131" i="69" a="1"/>
  <c r="Y131" i="69" s="1"/>
  <c r="Z177" i="69" s="1" a="1"/>
  <c r="Z177" i="69" s="1"/>
  <c r="Z251" i="69" s="1" a="1"/>
  <c r="Z251" i="69" s="1"/>
  <c r="K134" i="69" a="1"/>
  <c r="K134" i="69" s="1"/>
  <c r="L184" i="69" s="1" a="1"/>
  <c r="L184" i="69" s="1"/>
  <c r="L242" i="69" s="1" a="1"/>
  <c r="L242" i="69" s="1"/>
  <c r="W58" i="76"/>
  <c r="X200" i="69" a="1"/>
  <c r="X200" i="69" s="1"/>
  <c r="X274" i="69" s="1" a="1"/>
  <c r="X274" i="69" s="1"/>
  <c r="X137" i="69" a="1"/>
  <c r="X137" i="69" s="1"/>
  <c r="Y195" i="69" s="1" a="1"/>
  <c r="Y195" i="69" s="1"/>
  <c r="Y269" i="69" s="1" a="1"/>
  <c r="Y269" i="69" s="1"/>
  <c r="I134" i="69" a="1"/>
  <c r="I134" i="69" s="1"/>
  <c r="J184" i="69" s="1" a="1"/>
  <c r="J184" i="69" s="1"/>
  <c r="J242" i="69" s="1" a="1"/>
  <c r="J242" i="69" s="1"/>
  <c r="AA57" i="76"/>
  <c r="Z132" i="69" a="1"/>
  <c r="Z132" i="69" s="1"/>
  <c r="AA178" i="69" s="1" a="1"/>
  <c r="AA178" i="69" s="1"/>
  <c r="AA252" i="69" s="1" a="1"/>
  <c r="AA252" i="69" s="1"/>
  <c r="W196" i="69" a="1"/>
  <c r="W196" i="69" s="1"/>
  <c r="W270" i="69" s="1" a="1"/>
  <c r="W270" i="69" s="1"/>
  <c r="E57" i="76"/>
  <c r="E65" i="76" s="1" a="1"/>
  <c r="E65" i="76" s="1"/>
  <c r="E130" i="76" s="1" a="1"/>
  <c r="E130" i="76" s="1"/>
  <c r="E172" i="76" s="1" a="1"/>
  <c r="E172" i="76" s="1"/>
  <c r="E210" i="76" s="1" a="1"/>
  <c r="E210" i="76" s="1"/>
  <c r="AA135" i="69" a="1"/>
  <c r="AA135" i="69" s="1"/>
  <c r="AB181" i="69" s="1" a="1"/>
  <c r="AB181" i="69" s="1"/>
  <c r="AB255" i="69" s="1" a="1"/>
  <c r="AB255" i="69" s="1"/>
  <c r="L56" i="76"/>
  <c r="L64" i="76" s="1" a="1"/>
  <c r="L64" i="76" s="1"/>
  <c r="L129" i="76" s="1" a="1"/>
  <c r="L129" i="76" s="1"/>
  <c r="L171" i="76" s="1" a="1"/>
  <c r="L171" i="76" s="1"/>
  <c r="L209" i="76" s="1" a="1"/>
  <c r="L209" i="76" s="1"/>
  <c r="L54" i="76"/>
  <c r="L62" i="76" s="1" a="1"/>
  <c r="L62" i="76" s="1"/>
  <c r="L127" i="76" s="1" a="1"/>
  <c r="L127" i="76" s="1"/>
  <c r="L169" i="76" s="1" a="1"/>
  <c r="L169" i="76" s="1"/>
  <c r="L207" i="76" s="1" a="1"/>
  <c r="L207" i="76" s="1"/>
  <c r="Y66" i="76"/>
  <c r="AD183" i="69" a="1"/>
  <c r="AD183" i="69" s="1"/>
  <c r="AD257" i="69" s="1" a="1"/>
  <c r="AD257" i="69" s="1"/>
  <c r="AA66" i="76"/>
  <c r="Y142" i="69" a="1"/>
  <c r="Y142" i="69" s="1"/>
  <c r="Z200" i="69" s="1" a="1"/>
  <c r="Z200" i="69" s="1"/>
  <c r="Z274" i="69" s="1" a="1"/>
  <c r="Z274" i="69" s="1"/>
  <c r="V60" i="76"/>
  <c r="H55" i="76"/>
  <c r="H63" i="76" s="1" a="1"/>
  <c r="H63" i="76" s="1"/>
  <c r="H128" i="76" s="1" a="1"/>
  <c r="H128" i="76" s="1"/>
  <c r="H170" i="76" s="1" a="1"/>
  <c r="H170" i="76" s="1"/>
  <c r="H208" i="76" s="1" a="1"/>
  <c r="H208" i="76" s="1"/>
  <c r="I54" i="76"/>
  <c r="I62" i="76" s="1" a="1"/>
  <c r="I62" i="76" s="1"/>
  <c r="I127" i="76" s="1" a="1"/>
  <c r="I127" i="76" s="1"/>
  <c r="I169" i="76" s="1" a="1"/>
  <c r="I169" i="76" s="1"/>
  <c r="I207" i="76" s="1" a="1"/>
  <c r="I207" i="76" s="1"/>
  <c r="U131" i="69" a="1"/>
  <c r="U131" i="69" s="1"/>
  <c r="V177" i="69" s="1" a="1"/>
  <c r="V177" i="69" s="1"/>
  <c r="V251" i="69" s="1" a="1"/>
  <c r="V251" i="69" s="1"/>
  <c r="AE198" i="69" a="1"/>
  <c r="AE198" i="69" s="1"/>
  <c r="AE272" i="69" s="1" a="1"/>
  <c r="AE272" i="69" s="1"/>
  <c r="N54" i="76"/>
  <c r="N62" i="76" s="1" a="1"/>
  <c r="N62" i="76" s="1"/>
  <c r="N127" i="76" s="1" a="1"/>
  <c r="N127" i="76" s="1"/>
  <c r="N169" i="76" s="1" a="1"/>
  <c r="N169" i="76" s="1"/>
  <c r="N207" i="76" s="1" a="1"/>
  <c r="N207" i="76" s="1"/>
  <c r="M54" i="76"/>
  <c r="M62" i="76" s="1" a="1"/>
  <c r="M62" i="76" s="1"/>
  <c r="M127" i="76" s="1" a="1"/>
  <c r="M127" i="76" s="1"/>
  <c r="M169" i="76" s="1" a="1"/>
  <c r="M169" i="76" s="1"/>
  <c r="M207" i="76" s="1" a="1"/>
  <c r="M207" i="76" s="1"/>
  <c r="AD63" i="76"/>
  <c r="V64" i="76"/>
  <c r="G133" i="69" a="1"/>
  <c r="G133" i="69" s="1"/>
  <c r="H179" i="69" s="1" a="1"/>
  <c r="H179" i="69" s="1"/>
  <c r="H237" i="69" s="1" a="1"/>
  <c r="H237" i="69" s="1"/>
  <c r="Y59" i="76"/>
  <c r="AA131" i="69" a="1"/>
  <c r="AA131" i="69" s="1"/>
  <c r="AB189" i="69" s="1" a="1"/>
  <c r="AB189" i="69" s="1"/>
  <c r="AB263" i="69" s="1" a="1"/>
  <c r="AB263" i="69" s="1"/>
  <c r="F133" i="69" a="1"/>
  <c r="F133" i="69" s="1"/>
  <c r="G179" i="69" s="1" a="1"/>
  <c r="G179" i="69" s="1"/>
  <c r="G237" i="69" s="1" a="1"/>
  <c r="G237" i="69" s="1"/>
  <c r="I133" i="69" a="1"/>
  <c r="I133" i="69" s="1"/>
  <c r="J183" i="69" s="1" a="1"/>
  <c r="J183" i="69" s="1"/>
  <c r="J241" i="69" s="1" a="1"/>
  <c r="J241" i="69" s="1"/>
  <c r="E56" i="76"/>
  <c r="E64" i="76" s="1" a="1"/>
  <c r="E64" i="76" s="1"/>
  <c r="E129" i="76" s="1" a="1"/>
  <c r="E129" i="76" s="1"/>
  <c r="E171" i="76" s="1" a="1"/>
  <c r="E171" i="76" s="1"/>
  <c r="E209" i="76" s="1" a="1"/>
  <c r="E209" i="76" s="1"/>
  <c r="AA64" i="76"/>
  <c r="AC64" i="76"/>
  <c r="X61" i="76"/>
  <c r="AB197" i="69" a="1"/>
  <c r="AB197" i="69" s="1"/>
  <c r="AB271" i="69" s="1" a="1"/>
  <c r="AB271" i="69" s="1"/>
  <c r="AB185" i="69" a="1"/>
  <c r="AB185" i="69" s="1"/>
  <c r="AB259" i="69" s="1" a="1"/>
  <c r="AB259" i="69" s="1"/>
  <c r="V142" i="69" a="1"/>
  <c r="V142" i="69" s="1"/>
  <c r="W188" i="69" s="1" a="1"/>
  <c r="W188" i="69" s="1"/>
  <c r="W262" i="69" s="1" a="1"/>
  <c r="W262" i="69" s="1"/>
  <c r="U136" i="69" a="1"/>
  <c r="U136" i="69" s="1"/>
  <c r="V194" i="69" s="1" a="1"/>
  <c r="V194" i="69" s="1"/>
  <c r="V268" i="69" s="1" a="1"/>
  <c r="V268" i="69" s="1"/>
  <c r="M56" i="76"/>
  <c r="M64" i="76" s="1" a="1"/>
  <c r="M64" i="76" s="1"/>
  <c r="M129" i="76" s="1" a="1"/>
  <c r="M129" i="76" s="1"/>
  <c r="M171" i="76" s="1" a="1"/>
  <c r="M171" i="76" s="1"/>
  <c r="M209" i="76" s="1" a="1"/>
  <c r="M209" i="76" s="1"/>
  <c r="W66" i="76"/>
  <c r="AD67" i="76"/>
  <c r="Y139" i="69" a="1"/>
  <c r="Y139" i="69" s="1"/>
  <c r="Z197" i="69" s="1" a="1"/>
  <c r="Z197" i="69" s="1"/>
  <c r="Z271" i="69" s="1" a="1"/>
  <c r="Z271" i="69" s="1"/>
  <c r="AC133" i="69" a="1"/>
  <c r="AC133" i="69" s="1"/>
  <c r="AD179" i="69" s="1" a="1"/>
  <c r="AD179" i="69" s="1"/>
  <c r="AD253" i="69" s="1" a="1"/>
  <c r="AD253" i="69" s="1"/>
  <c r="W63" i="76"/>
  <c r="N184" i="69" a="1"/>
  <c r="N184" i="69" s="1"/>
  <c r="N242" i="69" s="1" a="1"/>
  <c r="N242" i="69" s="1"/>
  <c r="Y133" i="69" a="1"/>
  <c r="Y133" i="69" s="1"/>
  <c r="Z179" i="69" s="1" a="1"/>
  <c r="Z179" i="69" s="1"/>
  <c r="Z253" i="69" s="1" a="1"/>
  <c r="Z253" i="69" s="1"/>
  <c r="AB183" i="69" a="1"/>
  <c r="AB183" i="69" s="1"/>
  <c r="AB257" i="69" s="1" a="1"/>
  <c r="AB257" i="69" s="1"/>
  <c r="X66" i="76"/>
  <c r="Z142" i="69" a="1"/>
  <c r="Z142" i="69" s="1"/>
  <c r="AA188" i="69" s="1" a="1"/>
  <c r="AA188" i="69" s="1"/>
  <c r="AA262" i="69" s="1" a="1"/>
  <c r="AA262" i="69" s="1"/>
  <c r="AD60" i="76"/>
  <c r="AC134" i="69" a="1"/>
  <c r="AC134" i="69" s="1"/>
  <c r="AD192" i="69" s="1" a="1"/>
  <c r="AD192" i="69" s="1"/>
  <c r="AD266" i="69" s="1" a="1"/>
  <c r="AD266" i="69" s="1"/>
  <c r="X56" i="76"/>
  <c r="W64" i="76"/>
  <c r="Y181" i="69" a="1"/>
  <c r="Y181" i="69" s="1"/>
  <c r="Y255" i="69" s="1" a="1"/>
  <c r="Y255" i="69" s="1"/>
  <c r="Z61" i="76"/>
  <c r="Y137" i="69" a="1"/>
  <c r="Y137" i="69" s="1"/>
  <c r="Z195" i="69" s="1" a="1"/>
  <c r="Z195" i="69" s="1"/>
  <c r="Z269" i="69" s="1" a="1"/>
  <c r="Z269" i="69" s="1"/>
  <c r="W61" i="76"/>
  <c r="X191" i="69" a="1"/>
  <c r="X191" i="69" s="1"/>
  <c r="X265" i="69" s="1" a="1"/>
  <c r="X265" i="69" s="1"/>
  <c r="AA67" i="76"/>
  <c r="AB62" i="76"/>
  <c r="U65" i="76"/>
  <c r="W182" i="69" a="1"/>
  <c r="W182" i="69" s="1"/>
  <c r="W256" i="69" s="1" a="1"/>
  <c r="W256" i="69" s="1"/>
  <c r="X196" i="69" a="1"/>
  <c r="X196" i="69" s="1"/>
  <c r="X270" i="69" s="1" a="1"/>
  <c r="X270" i="69" s="1"/>
  <c r="AC56" i="76"/>
  <c r="AA63" i="76"/>
  <c r="Z56" i="76"/>
  <c r="L177" i="69" a="1"/>
  <c r="L177" i="69" s="1"/>
  <c r="L235" i="69" s="1" a="1"/>
  <c r="L235" i="69" s="1"/>
  <c r="L181" i="69" a="1"/>
  <c r="L181" i="69" s="1"/>
  <c r="L239" i="69" s="1" a="1"/>
  <c r="L239" i="69" s="1"/>
  <c r="W191" i="69" a="1"/>
  <c r="W191" i="69" s="1"/>
  <c r="W265" i="69" s="1" a="1"/>
  <c r="W265" i="69" s="1"/>
  <c r="W57" i="76"/>
  <c r="F54" i="76"/>
  <c r="F62" i="76" s="1" a="1"/>
  <c r="F62" i="76" s="1"/>
  <c r="F127" i="76" s="1" a="1"/>
  <c r="F127" i="76" s="1"/>
  <c r="F169" i="76" s="1" a="1"/>
  <c r="F169" i="76" s="1"/>
  <c r="F207" i="76" s="1" a="1"/>
  <c r="F207" i="76" s="1"/>
  <c r="K54" i="76"/>
  <c r="K62" i="76" s="1" a="1"/>
  <c r="K62" i="76" s="1"/>
  <c r="K127" i="76" s="1" a="1"/>
  <c r="K127" i="76" s="1"/>
  <c r="K169" i="76" s="1" a="1"/>
  <c r="K169" i="76" s="1"/>
  <c r="K207" i="76" s="1" a="1"/>
  <c r="K207" i="76" s="1"/>
  <c r="V190" i="69" a="1"/>
  <c r="V190" i="69" s="1"/>
  <c r="V264" i="69" s="1" a="1"/>
  <c r="V264" i="69" s="1"/>
  <c r="X187" i="69" a="1"/>
  <c r="X187" i="69" s="1"/>
  <c r="X261" i="69" s="1" a="1"/>
  <c r="X261" i="69" s="1"/>
  <c r="V56" i="76"/>
  <c r="Z196" i="69" a="1"/>
  <c r="Z196" i="69" s="1"/>
  <c r="Z270" i="69" s="1" a="1"/>
  <c r="Z270" i="69" s="1"/>
  <c r="Z184" i="69" a="1"/>
  <c r="Z184" i="69" s="1"/>
  <c r="Z258" i="69" s="1" a="1"/>
  <c r="Z258" i="69" s="1"/>
  <c r="AC179" i="69" a="1"/>
  <c r="AC179" i="69" s="1"/>
  <c r="AC253" i="69" s="1" a="1"/>
  <c r="AC253" i="69" s="1"/>
  <c r="AD185" i="69" a="1"/>
  <c r="AD185" i="69" s="1"/>
  <c r="AD259" i="69" s="1" a="1"/>
  <c r="AD259" i="69" s="1"/>
  <c r="U66" i="76"/>
  <c r="AC60" i="76"/>
  <c r="AA58" i="76"/>
  <c r="AB200" i="69" a="1"/>
  <c r="AB200" i="69" s="1"/>
  <c r="AB274" i="69" s="1" a="1"/>
  <c r="AB274" i="69" s="1"/>
  <c r="AA185" i="69" a="1"/>
  <c r="AA185" i="69" s="1"/>
  <c r="AA259" i="69" s="1" a="1"/>
  <c r="AA259" i="69" s="1"/>
  <c r="Y63" i="76"/>
  <c r="Z140" i="69" a="1"/>
  <c r="Z140" i="69" s="1"/>
  <c r="AA198" i="69" s="1" a="1"/>
  <c r="AA198" i="69" s="1"/>
  <c r="AA272" i="69" s="1" a="1"/>
  <c r="AA272" i="69" s="1"/>
  <c r="AB64" i="76"/>
  <c r="AC196" i="69" a="1"/>
  <c r="AC196" i="69" s="1"/>
  <c r="AC270" i="69" s="1" a="1"/>
  <c r="AC270" i="69" s="1"/>
  <c r="G177" i="69" a="1"/>
  <c r="G177" i="69" s="1"/>
  <c r="G235" i="69" s="1" a="1"/>
  <c r="G235" i="69" s="1"/>
  <c r="G181" i="69" a="1"/>
  <c r="G181" i="69" s="1"/>
  <c r="G239" i="69" s="1" a="1"/>
  <c r="G239" i="69" s="1"/>
  <c r="W181" i="69" a="1"/>
  <c r="W181" i="69" s="1"/>
  <c r="W255" i="69" s="1" a="1"/>
  <c r="W255" i="69" s="1"/>
  <c r="AD194" i="69" a="1"/>
  <c r="AD194" i="69" s="1"/>
  <c r="AD268" i="69" s="1" a="1"/>
  <c r="AD268" i="69" s="1"/>
  <c r="AC183" i="69" a="1"/>
  <c r="AC183" i="69" s="1"/>
  <c r="AC257" i="69" s="1" a="1"/>
  <c r="AC257" i="69" s="1"/>
  <c r="AD58" i="76"/>
  <c r="AC187" i="69" a="1"/>
  <c r="AC187" i="69" s="1"/>
  <c r="AC261" i="69" s="1" a="1"/>
  <c r="AC261" i="69" s="1"/>
  <c r="AB57" i="76"/>
  <c r="K180" i="69" a="1"/>
  <c r="K180" i="69" s="1"/>
  <c r="K238" i="69" s="1" a="1"/>
  <c r="K238" i="69" s="1"/>
  <c r="Y61" i="76"/>
  <c r="Y194" i="69" a="1"/>
  <c r="Y194" i="69" s="1"/>
  <c r="Y268" i="69" s="1" a="1"/>
  <c r="Y268" i="69" s="1"/>
  <c r="Y182" i="69" a="1"/>
  <c r="Y182" i="69" s="1"/>
  <c r="Y256" i="69" s="1" a="1"/>
  <c r="Y256" i="69" s="1"/>
  <c r="V181" i="69" a="1"/>
  <c r="V181" i="69" s="1"/>
  <c r="V255" i="69" s="1" a="1"/>
  <c r="V255" i="69" s="1"/>
  <c r="V193" i="69" a="1"/>
  <c r="V193" i="69" s="1"/>
  <c r="V267" i="69" s="1" a="1"/>
  <c r="V267" i="69" s="1"/>
  <c r="AE183" i="69" a="1"/>
  <c r="AE183" i="69" s="1"/>
  <c r="AE257" i="69" s="1" a="1"/>
  <c r="AE257" i="69" s="1"/>
  <c r="AE195" i="69" a="1"/>
  <c r="AE195" i="69" s="1"/>
  <c r="AE269" i="69" s="1" a="1"/>
  <c r="AE269" i="69" s="1"/>
  <c r="AC193" i="69" a="1"/>
  <c r="AC193" i="69" s="1"/>
  <c r="AC267" i="69" s="1" a="1"/>
  <c r="AC267" i="69" s="1"/>
  <c r="AC181" i="69" a="1"/>
  <c r="AC181" i="69" s="1"/>
  <c r="AC255" i="69" s="1" a="1"/>
  <c r="AC255" i="69" s="1"/>
  <c r="H181" i="69" a="1"/>
  <c r="H181" i="69" s="1"/>
  <c r="H239" i="69" s="1" a="1"/>
  <c r="H239" i="69" s="1"/>
  <c r="AB60" i="76"/>
  <c r="U60" i="76"/>
  <c r="G182" i="69" a="1"/>
  <c r="G182" i="69" s="1"/>
  <c r="G240" i="69" s="1" a="1"/>
  <c r="G240" i="69" s="1"/>
  <c r="AD62" i="76"/>
  <c r="N183" i="69" a="1"/>
  <c r="N183" i="69" s="1"/>
  <c r="N241" i="69" s="1" a="1"/>
  <c r="N241" i="69" s="1"/>
  <c r="X67" i="76"/>
  <c r="N182" i="69" a="1"/>
  <c r="N182" i="69" s="1"/>
  <c r="N240" i="69" s="1" a="1"/>
  <c r="N240" i="69" s="1"/>
  <c r="AB136" i="69" a="1"/>
  <c r="AB136" i="69" s="1"/>
  <c r="AC194" i="69" s="1" a="1"/>
  <c r="AC194" i="69" s="1"/>
  <c r="AC268" i="69" s="1" a="1"/>
  <c r="AC268" i="69" s="1"/>
  <c r="H133" i="69" a="1"/>
  <c r="H133" i="69" s="1"/>
  <c r="K132" i="69" a="1"/>
  <c r="K132" i="69" s="1"/>
  <c r="L178" i="69" s="1" a="1"/>
  <c r="L178" i="69" s="1"/>
  <c r="L236" i="69" s="1" a="1"/>
  <c r="L236" i="69" s="1"/>
  <c r="AB56" i="76"/>
  <c r="F134" i="69" a="1"/>
  <c r="F134" i="69" s="1"/>
  <c r="G184" i="69" s="1" a="1"/>
  <c r="G184" i="69" s="1"/>
  <c r="G242" i="69" s="1" a="1"/>
  <c r="G242" i="69" s="1"/>
  <c r="M181" i="69" a="1"/>
  <c r="M181" i="69" s="1"/>
  <c r="M239" i="69" s="1" a="1"/>
  <c r="M239" i="69" s="1"/>
  <c r="AD61" i="76"/>
  <c r="Z180" i="69" a="1"/>
  <c r="Z180" i="69" s="1"/>
  <c r="Z254" i="69" s="1" a="1"/>
  <c r="Z254" i="69" s="1"/>
  <c r="L55" i="76"/>
  <c r="L63" i="76" s="1" a="1"/>
  <c r="L63" i="76" s="1"/>
  <c r="L128" i="76" s="1" a="1"/>
  <c r="L128" i="76" s="1"/>
  <c r="L170" i="76" s="1" a="1"/>
  <c r="L170" i="76" s="1"/>
  <c r="L208" i="76" s="1" a="1"/>
  <c r="L208" i="76" s="1"/>
  <c r="N134" i="69" a="1"/>
  <c r="N134" i="69" s="1"/>
  <c r="O184" i="69" s="1" a="1"/>
  <c r="O184" i="69" s="1"/>
  <c r="O242" i="69" s="1" a="1"/>
  <c r="O242" i="69" s="1"/>
  <c r="F182" i="69" a="1"/>
  <c r="F182" i="69" s="1"/>
  <c r="F240" i="69" s="1" a="1"/>
  <c r="F240" i="69" s="1"/>
  <c r="U62" i="76"/>
  <c r="AB198" i="69" a="1"/>
  <c r="AB198" i="69" s="1"/>
  <c r="AB272" i="69" s="1" a="1"/>
  <c r="AB272" i="69" s="1"/>
  <c r="AC132" i="69" a="1"/>
  <c r="AC132" i="69" s="1"/>
  <c r="AD190" i="69" s="1" a="1"/>
  <c r="AD190" i="69" s="1"/>
  <c r="AD264" i="69" s="1" a="1"/>
  <c r="AD264" i="69" s="1"/>
  <c r="M183" i="69" a="1"/>
  <c r="M183" i="69" s="1"/>
  <c r="M241" i="69" s="1" a="1"/>
  <c r="M241" i="69" s="1"/>
  <c r="Z63" i="76"/>
  <c r="G55" i="76"/>
  <c r="G63" i="76" s="1" a="1"/>
  <c r="G63" i="76" s="1"/>
  <c r="G128" i="76" s="1" a="1"/>
  <c r="G128" i="76" s="1"/>
  <c r="G170" i="76" s="1" a="1"/>
  <c r="G170" i="76" s="1"/>
  <c r="G208" i="76" s="1" a="1"/>
  <c r="G208" i="76" s="1"/>
  <c r="N55" i="76"/>
  <c r="N63" i="76" s="1" a="1"/>
  <c r="N63" i="76" s="1"/>
  <c r="N128" i="76" s="1" a="1"/>
  <c r="N128" i="76" s="1"/>
  <c r="N170" i="76" s="1" a="1"/>
  <c r="N170" i="76" s="1"/>
  <c r="N208" i="76" s="1" a="1"/>
  <c r="N208" i="76" s="1"/>
  <c r="H57" i="76"/>
  <c r="H65" i="76" s="1" a="1"/>
  <c r="H65" i="76" s="1"/>
  <c r="H130" i="76" s="1" a="1"/>
  <c r="H130" i="76" s="1"/>
  <c r="H172" i="76" s="1" a="1"/>
  <c r="H172" i="76" s="1"/>
  <c r="H210" i="76" s="1" a="1"/>
  <c r="H210" i="76" s="1"/>
  <c r="W177" i="69" a="1"/>
  <c r="W177" i="69" s="1"/>
  <c r="W251" i="69" s="1" a="1"/>
  <c r="W251" i="69" s="1"/>
  <c r="X178" i="69" a="1"/>
  <c r="X178" i="69" s="1"/>
  <c r="X252" i="69" s="1" a="1"/>
  <c r="X252" i="69" s="1"/>
  <c r="X190" i="69" a="1"/>
  <c r="X190" i="69" s="1"/>
  <c r="X264" i="69" s="1" a="1"/>
  <c r="X264" i="69" s="1"/>
  <c r="AA195" i="69" a="1"/>
  <c r="AA195" i="69" s="1"/>
  <c r="AA269" i="69" s="1" a="1"/>
  <c r="AA269" i="69" s="1"/>
  <c r="AA183" i="69" a="1"/>
  <c r="AA183" i="69" s="1"/>
  <c r="AA257" i="69" s="1" a="1"/>
  <c r="AA257" i="69" s="1"/>
  <c r="V183" i="69" a="1"/>
  <c r="V183" i="69" s="1"/>
  <c r="V257" i="69" s="1" a="1"/>
  <c r="V257" i="69" s="1"/>
  <c r="V195" i="69" a="1"/>
  <c r="V195" i="69" s="1"/>
  <c r="V269" i="69" s="1" a="1"/>
  <c r="V269" i="69" s="1"/>
  <c r="Z194" i="69" a="1"/>
  <c r="Z194" i="69" s="1"/>
  <c r="Z268" i="69" s="1" a="1"/>
  <c r="Z268" i="69" s="1"/>
  <c r="Z182" i="69" a="1"/>
  <c r="Z182" i="69" s="1"/>
  <c r="Z256" i="69" s="1" a="1"/>
  <c r="Z256" i="69" s="1"/>
  <c r="O182" i="69" a="1"/>
  <c r="O182" i="69" s="1"/>
  <c r="O240" i="69" s="1" a="1"/>
  <c r="O240" i="69" s="1"/>
  <c r="O178" i="69" a="1"/>
  <c r="O178" i="69" s="1"/>
  <c r="O236" i="69" s="1" a="1"/>
  <c r="O236" i="69" s="1"/>
  <c r="Y188" i="69" a="1"/>
  <c r="Y188" i="69" s="1"/>
  <c r="Y262" i="69" s="1" a="1"/>
  <c r="Y262" i="69" s="1"/>
  <c r="Y200" i="69" a="1"/>
  <c r="Y200" i="69" s="1"/>
  <c r="Y274" i="69" s="1" a="1"/>
  <c r="Y274" i="69" s="1"/>
  <c r="M182" i="69" a="1"/>
  <c r="M182" i="69" s="1"/>
  <c r="M240" i="69" s="1" a="1"/>
  <c r="M240" i="69" s="1"/>
  <c r="M178" i="69" a="1"/>
  <c r="M178" i="69" s="1"/>
  <c r="M236" i="69" s="1" a="1"/>
  <c r="M236" i="69" s="1"/>
  <c r="Y186" i="69" a="1"/>
  <c r="Y186" i="69" s="1"/>
  <c r="Y260" i="69" s="1" a="1"/>
  <c r="Y260" i="69" s="1"/>
  <c r="Y198" i="69" a="1"/>
  <c r="Y198" i="69" s="1"/>
  <c r="Y272" i="69" s="1" a="1"/>
  <c r="Y272" i="69" s="1"/>
  <c r="Y177" i="69" a="1"/>
  <c r="Y177" i="69" s="1"/>
  <c r="Y251" i="69" s="1" a="1"/>
  <c r="Y251" i="69" s="1"/>
  <c r="Y189" i="69" a="1"/>
  <c r="Y189" i="69" s="1"/>
  <c r="Y263" i="69" s="1" a="1"/>
  <c r="Y263" i="69" s="1"/>
  <c r="AC197" i="69" a="1"/>
  <c r="AC197" i="69" s="1"/>
  <c r="AC271" i="69" s="1" a="1"/>
  <c r="AC271" i="69" s="1"/>
  <c r="AC185" i="69" a="1"/>
  <c r="AC185" i="69" s="1"/>
  <c r="AC259" i="69" s="1" a="1"/>
  <c r="AC259" i="69" s="1"/>
  <c r="V187" i="69" a="1"/>
  <c r="V187" i="69" s="1"/>
  <c r="V261" i="69" s="1" a="1"/>
  <c r="V261" i="69" s="1"/>
  <c r="N56" i="76"/>
  <c r="N64" i="76" s="1" a="1"/>
  <c r="N64" i="76" s="1"/>
  <c r="N129" i="76" s="1" a="1"/>
  <c r="N129" i="76" s="1"/>
  <c r="N171" i="76" s="1" a="1"/>
  <c r="N171" i="76" s="1"/>
  <c r="N209" i="76" s="1" a="1"/>
  <c r="N209" i="76" s="1"/>
  <c r="U58" i="76"/>
  <c r="Z66" i="76"/>
  <c r="X65" i="76"/>
  <c r="AB187" i="69" a="1"/>
  <c r="AB187" i="69" s="1"/>
  <c r="AB261" i="69" s="1" a="1"/>
  <c r="AB261" i="69" s="1"/>
  <c r="Z62" i="76"/>
  <c r="AC177" i="69" a="1"/>
  <c r="AC177" i="69" s="1"/>
  <c r="AC251" i="69" s="1" a="1"/>
  <c r="AC251" i="69" s="1"/>
  <c r="O181" i="69" a="1"/>
  <c r="O181" i="69" s="1"/>
  <c r="O239" i="69" s="1" a="1"/>
  <c r="O239" i="69" s="1"/>
  <c r="W185" i="69" a="1"/>
  <c r="W185" i="69" s="1"/>
  <c r="W259" i="69" s="1" a="1"/>
  <c r="W259" i="69" s="1"/>
  <c r="N181" i="69" a="1"/>
  <c r="N181" i="69" s="1"/>
  <c r="N239" i="69" s="1" a="1"/>
  <c r="N239" i="69" s="1"/>
  <c r="AB192" i="69" a="1"/>
  <c r="AB192" i="69" s="1"/>
  <c r="AB266" i="69" s="1" a="1"/>
  <c r="AB266" i="69" s="1"/>
  <c r="J54" i="76"/>
  <c r="J62" i="76" s="1" a="1"/>
  <c r="J62" i="76" s="1"/>
  <c r="J127" i="76" s="1" a="1"/>
  <c r="J127" i="76" s="1"/>
  <c r="J169" i="76" s="1" a="1"/>
  <c r="J169" i="76" s="1"/>
  <c r="J207" i="76" s="1" a="1"/>
  <c r="J207" i="76" s="1"/>
  <c r="W62" i="76"/>
  <c r="I182" i="69" a="1"/>
  <c r="I182" i="69" s="1"/>
  <c r="I240" i="69" s="1" a="1"/>
  <c r="I240" i="69" s="1"/>
  <c r="AA182" i="69" a="1"/>
  <c r="AA182" i="69" s="1"/>
  <c r="AA256" i="69" s="1" a="1"/>
  <c r="AA256" i="69" s="1"/>
  <c r="AD189" i="69" a="1"/>
  <c r="AD189" i="69" s="1"/>
  <c r="AD263" i="69" s="1" a="1"/>
  <c r="AD263" i="69" s="1"/>
  <c r="AB191" i="69" a="1"/>
  <c r="AB191" i="69" s="1"/>
  <c r="AB265" i="69" s="1" a="1"/>
  <c r="AB265" i="69" s="1"/>
  <c r="Y179" i="69" a="1"/>
  <c r="Y179" i="69" s="1"/>
  <c r="Y253" i="69" s="1" a="1"/>
  <c r="Y253" i="69" s="1"/>
  <c r="AD181" i="69" a="1"/>
  <c r="AD181" i="69" s="1"/>
  <c r="AD255" i="69" s="1" a="1"/>
  <c r="AD255" i="69" s="1"/>
  <c r="V65" i="76"/>
  <c r="X138" i="69" a="1"/>
  <c r="X138" i="69" s="1"/>
  <c r="X180" i="69" a="1"/>
  <c r="X180" i="69" s="1"/>
  <c r="X254" i="69" s="1" a="1"/>
  <c r="X254" i="69" s="1"/>
  <c r="L179" i="69" a="1"/>
  <c r="L179" i="69" s="1"/>
  <c r="L237" i="69" s="1" a="1"/>
  <c r="L237" i="69" s="1"/>
  <c r="L183" i="69" a="1"/>
  <c r="L183" i="69" s="1"/>
  <c r="L241" i="69" s="1" a="1"/>
  <c r="L241" i="69" s="1"/>
  <c r="W186" i="69" a="1"/>
  <c r="W186" i="69" s="1"/>
  <c r="W260" i="69" s="1" a="1"/>
  <c r="W260" i="69" s="1"/>
  <c r="W198" i="69" a="1"/>
  <c r="W198" i="69" s="1"/>
  <c r="W272" i="69" s="1" a="1"/>
  <c r="W272" i="69" s="1"/>
  <c r="O179" i="69" a="1"/>
  <c r="O179" i="69" s="1"/>
  <c r="O237" i="69" s="1" a="1"/>
  <c r="O237" i="69" s="1"/>
  <c r="I184" i="69" a="1"/>
  <c r="I184" i="69" s="1"/>
  <c r="I242" i="69" s="1" a="1"/>
  <c r="I242" i="69" s="1"/>
  <c r="V179" i="69" a="1"/>
  <c r="V179" i="69" s="1"/>
  <c r="V253" i="69" s="1" a="1"/>
  <c r="V253" i="69" s="1"/>
  <c r="AA187" i="69" a="1"/>
  <c r="AA187" i="69" s="1"/>
  <c r="AA261" i="69" s="1" a="1"/>
  <c r="AA261" i="69" s="1"/>
  <c r="K56" i="76"/>
  <c r="K64" i="76" s="1" a="1"/>
  <c r="K64" i="76" s="1"/>
  <c r="K129" i="76" s="1" a="1"/>
  <c r="K129" i="76" s="1"/>
  <c r="K171" i="76" s="1" a="1"/>
  <c r="K171" i="76" s="1"/>
  <c r="K209" i="76" s="1" a="1"/>
  <c r="K209" i="76" s="1"/>
  <c r="V184" i="69" a="1"/>
  <c r="V184" i="69" s="1"/>
  <c r="V258" i="69" s="1" a="1"/>
  <c r="V258" i="69" s="1"/>
  <c r="F183" i="69" a="1"/>
  <c r="F183" i="69" s="1"/>
  <c r="F241" i="69" s="1" a="1"/>
  <c r="F241" i="69" s="1"/>
  <c r="X182" i="69" a="1"/>
  <c r="X182" i="69" s="1"/>
  <c r="X256" i="69" s="1" a="1"/>
  <c r="X256" i="69" s="1"/>
  <c r="V188" i="69" a="1"/>
  <c r="V188" i="69" s="1"/>
  <c r="V262" i="69" s="1" a="1"/>
  <c r="V262" i="69" s="1"/>
  <c r="H182" i="69" a="1"/>
  <c r="H182" i="69" s="1"/>
  <c r="H240" i="69" s="1" a="1"/>
  <c r="H240" i="69" s="1"/>
  <c r="AC180" i="69" a="1"/>
  <c r="AC180" i="69" s="1"/>
  <c r="AC254" i="69" s="1" a="1"/>
  <c r="AC254" i="69" s="1"/>
  <c r="AA189" i="69" a="1"/>
  <c r="AA189" i="69" s="1"/>
  <c r="AA263" i="69" s="1" a="1"/>
  <c r="AA263" i="69" s="1"/>
  <c r="AA184" i="69" a="1"/>
  <c r="AA184" i="69" s="1"/>
  <c r="AA258" i="69" s="1" a="1"/>
  <c r="AA258" i="69" s="1"/>
  <c r="AE196" i="69" a="1"/>
  <c r="AE196" i="69" s="1"/>
  <c r="AE270" i="69" s="1" a="1"/>
  <c r="AE270" i="69" s="1"/>
  <c r="F180" i="69" a="1"/>
  <c r="F180" i="69" s="1"/>
  <c r="F238" i="69" s="1" a="1"/>
  <c r="F238" i="69" s="1"/>
  <c r="W183" i="69" a="1"/>
  <c r="W183" i="69" s="1"/>
  <c r="W257" i="69" s="1" a="1"/>
  <c r="W257" i="69" s="1"/>
  <c r="X198" i="69" a="1"/>
  <c r="X198" i="69" s="1"/>
  <c r="X272" i="69" s="1" a="1"/>
  <c r="X272" i="69" s="1"/>
  <c r="AE197" i="69" a="1"/>
  <c r="AE197" i="69" s="1"/>
  <c r="AE271" i="69" s="1" a="1"/>
  <c r="AE271" i="69" s="1"/>
  <c r="AC188" i="69" a="1"/>
  <c r="AC188" i="69" s="1"/>
  <c r="AC262" i="69" s="1" a="1"/>
  <c r="AC262" i="69" s="1"/>
  <c r="AE179" i="69" a="1"/>
  <c r="AE179" i="69" s="1"/>
  <c r="AE253" i="69" s="1" a="1"/>
  <c r="AE253" i="69" s="1"/>
  <c r="X177" i="69" a="1"/>
  <c r="X177" i="69" s="1"/>
  <c r="X251" i="69" s="1" a="1"/>
  <c r="X251" i="69" s="1"/>
  <c r="AB196" i="69" a="1"/>
  <c r="AB196" i="69" s="1"/>
  <c r="AB270" i="69" s="1" a="1"/>
  <c r="AB270" i="69" s="1"/>
  <c r="Z199" i="69" a="1"/>
  <c r="Z199" i="69" s="1"/>
  <c r="Z273" i="69" s="1" a="1"/>
  <c r="Z273" i="69" s="1"/>
  <c r="K177" i="69" a="1"/>
  <c r="K177" i="69" s="1"/>
  <c r="K235" i="69" s="1" a="1"/>
  <c r="K235" i="69" s="1"/>
  <c r="U77" i="76" a="1"/>
  <c r="U77" i="76" s="1"/>
  <c r="U141" i="76" s="1" a="1"/>
  <c r="U141" i="76" s="1"/>
  <c r="U197" i="76" s="1" a="1"/>
  <c r="U197" i="76" s="1"/>
  <c r="AD199" i="69" a="1"/>
  <c r="AD199" i="69" s="1"/>
  <c r="AD273" i="69" s="1" a="1"/>
  <c r="AD273" i="69" s="1"/>
  <c r="AD187" i="69" a="1"/>
  <c r="AD187" i="69" s="1"/>
  <c r="AD261" i="69" s="1" a="1"/>
  <c r="AD261" i="69" s="1"/>
  <c r="Y135" i="69" a="1"/>
  <c r="Y135" i="69" s="1"/>
  <c r="Y60" i="76"/>
  <c r="AE181" i="69" a="1"/>
  <c r="AE181" i="69" s="1"/>
  <c r="AE255" i="69" s="1" a="1"/>
  <c r="AE255" i="69" s="1"/>
  <c r="W76" i="76" a="1"/>
  <c r="W76" i="76" s="1"/>
  <c r="W140" i="76" s="1" a="1"/>
  <c r="W140" i="76" s="1"/>
  <c r="U75" i="76" a="1"/>
  <c r="U75" i="76" s="1"/>
  <c r="U139" i="76" s="1" a="1"/>
  <c r="U139" i="76" s="1"/>
  <c r="AE194" i="69" a="1"/>
  <c r="AE194" i="69" s="1"/>
  <c r="AE268" i="69" s="1" a="1"/>
  <c r="AE268" i="69" s="1"/>
  <c r="AE177" i="69" a="1"/>
  <c r="AE177" i="69" s="1"/>
  <c r="AE251" i="69" s="1" a="1"/>
  <c r="AE251" i="69" s="1"/>
  <c r="AB178" i="69" a="1"/>
  <c r="AB178" i="69" s="1"/>
  <c r="AB252" i="69" s="1" a="1"/>
  <c r="AB252" i="69" s="1"/>
  <c r="E131" i="69" a="1"/>
  <c r="E131" i="69" s="1"/>
  <c r="E54" i="76"/>
  <c r="K178" i="69" a="1"/>
  <c r="K178" i="69" s="1"/>
  <c r="K236" i="69" s="1" a="1"/>
  <c r="K236" i="69" s="1"/>
  <c r="AA77" i="76" a="1"/>
  <c r="AA77" i="76" s="1"/>
  <c r="AA141" i="76" s="1" a="1"/>
  <c r="AA141" i="76" s="1"/>
  <c r="V198" i="69" a="1"/>
  <c r="V198" i="69" s="1"/>
  <c r="V272" i="69" s="1" a="1"/>
  <c r="V272" i="69" s="1"/>
  <c r="V186" i="69" a="1"/>
  <c r="V186" i="69" s="1"/>
  <c r="V260" i="69" s="1" a="1"/>
  <c r="V260" i="69" s="1"/>
  <c r="X197" i="69" a="1"/>
  <c r="X197" i="69" s="1"/>
  <c r="X271" i="69" s="1" a="1"/>
  <c r="X271" i="69" s="1"/>
  <c r="J181" i="69" a="1"/>
  <c r="J181" i="69" s="1"/>
  <c r="J239" i="69" s="1" a="1"/>
  <c r="J239" i="69" s="1"/>
  <c r="U79" i="76" a="1"/>
  <c r="U79" i="76" s="1"/>
  <c r="U143" i="76" s="1" a="1"/>
  <c r="U143" i="76" s="1"/>
  <c r="U199" i="76" s="1" a="1"/>
  <c r="U199" i="76" s="1"/>
  <c r="W72" i="76" a="1"/>
  <c r="W72" i="76" s="1"/>
  <c r="W136" i="76" s="1" a="1"/>
  <c r="W136" i="76" s="1"/>
  <c r="X195" i="69" a="1"/>
  <c r="X195" i="69" s="1"/>
  <c r="X269" i="69" s="1" a="1"/>
  <c r="X269" i="69" s="1"/>
  <c r="X183" i="69" a="1"/>
  <c r="X183" i="69" s="1"/>
  <c r="X257" i="69" s="1" a="1"/>
  <c r="X257" i="69" s="1"/>
  <c r="G65" i="76" a="1"/>
  <c r="G65" i="76" s="1"/>
  <c r="G130" i="76" s="1" a="1"/>
  <c r="G130" i="76" s="1"/>
  <c r="G172" i="76" s="1" a="1"/>
  <c r="G172" i="76" s="1"/>
  <c r="G210" i="76" s="1" a="1"/>
  <c r="G210" i="76" s="1"/>
  <c r="J133" i="69" a="1"/>
  <c r="J133" i="69" s="1"/>
  <c r="J56" i="76"/>
  <c r="J64" i="76" s="1" a="1"/>
  <c r="J64" i="76" s="1"/>
  <c r="J129" i="76" s="1" a="1"/>
  <c r="J129" i="76" s="1"/>
  <c r="J171" i="76" s="1" a="1"/>
  <c r="J171" i="76" s="1"/>
  <c r="J209" i="76" s="1" a="1"/>
  <c r="J209" i="76" s="1"/>
  <c r="G64" i="76" a="1"/>
  <c r="G64" i="76" s="1"/>
  <c r="G129" i="76" s="1" a="1"/>
  <c r="G129" i="76" s="1"/>
  <c r="G171" i="76" s="1" a="1"/>
  <c r="G171" i="76" s="1"/>
  <c r="G209" i="76" s="1" a="1"/>
  <c r="G209" i="76" s="1"/>
  <c r="Z178" i="69" a="1"/>
  <c r="Z178" i="69" s="1"/>
  <c r="Z252" i="69" s="1" a="1"/>
  <c r="Z252" i="69" s="1"/>
  <c r="Z190" i="69" a="1"/>
  <c r="Z190" i="69" s="1"/>
  <c r="Z264" i="69" s="1" a="1"/>
  <c r="Z264" i="69" s="1"/>
  <c r="AC178" i="69" a="1"/>
  <c r="AC178" i="69" s="1"/>
  <c r="AC252" i="69" s="1" a="1"/>
  <c r="AC252" i="69" s="1"/>
  <c r="AC190" i="69" a="1"/>
  <c r="AC190" i="69" s="1"/>
  <c r="AC264" i="69" s="1" a="1"/>
  <c r="AC264" i="69" s="1"/>
  <c r="K63" i="76" a="1"/>
  <c r="K63" i="76" s="1"/>
  <c r="K128" i="76" s="1" a="1"/>
  <c r="K128" i="76" s="1"/>
  <c r="K170" i="76" s="1" a="1"/>
  <c r="K170" i="76" s="1"/>
  <c r="K208" i="76" s="1" a="1"/>
  <c r="K208" i="76" s="1"/>
  <c r="U139" i="69" a="1"/>
  <c r="U139" i="69" s="1"/>
  <c r="U64" i="76"/>
  <c r="U72" i="76" a="1"/>
  <c r="U72" i="76" s="1"/>
  <c r="U136" i="76" s="1" a="1"/>
  <c r="U136" i="76" s="1"/>
  <c r="U192" i="76" s="1" a="1"/>
  <c r="U192" i="76" s="1"/>
  <c r="AE180" i="69" a="1"/>
  <c r="AE180" i="69" s="1"/>
  <c r="AE254" i="69" s="1" a="1"/>
  <c r="AE254" i="69" s="1"/>
  <c r="W83" i="76" a="1"/>
  <c r="W83" i="76" s="1"/>
  <c r="W147" i="76" s="1" a="1"/>
  <c r="W147" i="76" s="1"/>
  <c r="AD66" i="76"/>
  <c r="AD141" i="69" a="1"/>
  <c r="AD141" i="69" s="1"/>
  <c r="Z198" i="69" a="1"/>
  <c r="Z198" i="69" s="1"/>
  <c r="Z272" i="69" s="1" a="1"/>
  <c r="Z272" i="69" s="1"/>
  <c r="Y187" i="69" a="1"/>
  <c r="Y187" i="69" s="1"/>
  <c r="Y261" i="69" s="1" a="1"/>
  <c r="Y261" i="69" s="1"/>
  <c r="V57" i="76"/>
  <c r="V132" i="69" a="1"/>
  <c r="V132" i="69" s="1"/>
  <c r="Z58" i="76"/>
  <c r="Z133" i="69" a="1"/>
  <c r="Z133" i="69" s="1"/>
  <c r="AA76" i="76" a="1"/>
  <c r="AA76" i="76" s="1"/>
  <c r="AA140" i="76" s="1" a="1"/>
  <c r="AA140" i="76" s="1"/>
  <c r="AA196" i="76" s="1" a="1"/>
  <c r="AA196" i="76" s="1"/>
  <c r="AE200" i="69" a="1"/>
  <c r="AE200" i="69" s="1"/>
  <c r="AE274" i="69" s="1" a="1"/>
  <c r="AE274" i="69" s="1"/>
  <c r="K65" i="76" a="1"/>
  <c r="K65" i="76" s="1"/>
  <c r="K130" i="76" s="1" a="1"/>
  <c r="K130" i="76" s="1"/>
  <c r="K172" i="76" s="1" a="1"/>
  <c r="K172" i="76" s="1"/>
  <c r="K210" i="76" s="1" a="1"/>
  <c r="K210" i="76" s="1"/>
  <c r="AB65" i="76"/>
  <c r="AB140" i="69" a="1"/>
  <c r="AB140" i="69" s="1"/>
  <c r="U73" i="76" a="1"/>
  <c r="U73" i="76" s="1"/>
  <c r="U137" i="76" s="1" a="1"/>
  <c r="U137" i="76" s="1"/>
  <c r="AA75" i="76" a="1"/>
  <c r="AA75" i="76" s="1"/>
  <c r="AA139" i="76" s="1" a="1"/>
  <c r="AA139" i="76" s="1"/>
  <c r="AA72" i="76" a="1"/>
  <c r="AA72" i="76" s="1"/>
  <c r="AA136" i="76" s="1" a="1"/>
  <c r="AA136" i="76" s="1"/>
  <c r="AA192" i="76" s="1" a="1"/>
  <c r="AA192" i="76" s="1"/>
  <c r="G62" i="76" a="1"/>
  <c r="G62" i="76" s="1"/>
  <c r="G127" i="76" s="1" a="1"/>
  <c r="G127" i="76" s="1"/>
  <c r="G169" i="76" s="1" a="1"/>
  <c r="G169" i="76" s="1"/>
  <c r="G207" i="76" s="1" a="1"/>
  <c r="G207" i="76" s="1"/>
  <c r="I177" i="69" a="1"/>
  <c r="I177" i="69" s="1"/>
  <c r="I235" i="69" s="1" a="1"/>
  <c r="I235" i="69" s="1"/>
  <c r="W192" i="69" l="1" a="1"/>
  <c r="W192" i="69" s="1"/>
  <c r="W266" i="69" s="1" a="1"/>
  <c r="W266" i="69" s="1"/>
  <c r="X246" i="76" a="1"/>
  <c r="X246" i="76" s="1"/>
  <c r="X245" i="76" a="1"/>
  <c r="X245" i="76" s="1"/>
  <c r="W79" i="76" a="1"/>
  <c r="W79" i="76" s="1"/>
  <c r="W143" i="76" s="1" a="1"/>
  <c r="W143" i="76" s="1"/>
  <c r="W199" i="76" s="1" a="1"/>
  <c r="W199" i="76" s="1"/>
  <c r="AD78" i="76" a="1"/>
  <c r="AD78" i="76" s="1"/>
  <c r="AD142" i="76" s="1" a="1"/>
  <c r="AD142" i="76" s="1"/>
  <c r="AD198" i="76" s="1" a="1"/>
  <c r="AD198" i="76" s="1"/>
  <c r="Z77" i="76" a="1"/>
  <c r="Z77" i="76" s="1"/>
  <c r="Z141" i="76" s="1" a="1"/>
  <c r="Z141" i="76" s="1"/>
  <c r="Z197" i="76" s="1" a="1"/>
  <c r="Z197" i="76" s="1"/>
  <c r="AD83" i="76" a="1"/>
  <c r="AD83" i="76" s="1"/>
  <c r="AD147" i="76" s="1" a="1"/>
  <c r="AD147" i="76" s="1"/>
  <c r="AD203" i="76" s="1" a="1"/>
  <c r="AD203" i="76" s="1"/>
  <c r="Y75" i="76" a="1"/>
  <c r="Y75" i="76" s="1"/>
  <c r="Y139" i="76" s="1" a="1"/>
  <c r="Y139" i="76" s="1"/>
  <c r="Y195" i="76" s="1" a="1"/>
  <c r="Y195" i="76" s="1"/>
  <c r="Y82" i="76" a="1"/>
  <c r="Y82" i="76" s="1"/>
  <c r="Y146" i="76" s="1" a="1"/>
  <c r="Y146" i="76" s="1"/>
  <c r="Y202" i="76" s="1" a="1"/>
  <c r="Y202" i="76" s="1"/>
  <c r="AC77" i="76" a="1"/>
  <c r="AC77" i="76" s="1"/>
  <c r="AC141" i="76" s="1" a="1"/>
  <c r="AC141" i="76" s="1"/>
  <c r="AC197" i="76" s="1" a="1"/>
  <c r="AC197" i="76" s="1"/>
  <c r="V254" i="76" a="1"/>
  <c r="V254" i="76" s="1"/>
  <c r="Z247" i="76" a="1"/>
  <c r="Z247" i="76" s="1"/>
  <c r="AB73" i="76" a="1"/>
  <c r="AB73" i="76" s="1"/>
  <c r="AB137" i="76" s="1" a="1"/>
  <c r="AB137" i="76" s="1"/>
  <c r="AB193" i="76" s="1" a="1"/>
  <c r="AB193" i="76" s="1"/>
  <c r="AA74" i="76" a="1"/>
  <c r="AA74" i="76" s="1"/>
  <c r="AA138" i="76" s="1" a="1"/>
  <c r="AA138" i="76" s="1"/>
  <c r="AA194" i="76" s="1" a="1"/>
  <c r="AA194" i="76" s="1"/>
  <c r="W82" i="76" a="1"/>
  <c r="W82" i="76" s="1"/>
  <c r="W146" i="76" s="1" a="1"/>
  <c r="W146" i="76" s="1"/>
  <c r="W202" i="76" s="1" a="1"/>
  <c r="W202" i="76" s="1"/>
  <c r="W75" i="76" a="1"/>
  <c r="W75" i="76" s="1"/>
  <c r="W139" i="76" s="1" a="1"/>
  <c r="W139" i="76" s="1"/>
  <c r="W195" i="76" s="1" a="1"/>
  <c r="W195" i="76" s="1"/>
  <c r="Z248" i="76" a="1"/>
  <c r="Z248" i="76" s="1"/>
  <c r="X250" i="76" a="1"/>
  <c r="X250" i="76" s="1"/>
  <c r="AB255" i="76" a="1"/>
  <c r="AB255" i="76" s="1"/>
  <c r="AC76" i="76" a="1"/>
  <c r="AC76" i="76" s="1"/>
  <c r="AC140" i="76" s="1" a="1"/>
  <c r="AC140" i="76" s="1"/>
  <c r="W80" i="76" a="1"/>
  <c r="W80" i="76" s="1"/>
  <c r="W144" i="76" s="1" a="1"/>
  <c r="W144" i="76" s="1"/>
  <c r="W200" i="76" s="1" a="1"/>
  <c r="W200" i="76" s="1"/>
  <c r="V80" i="76" a="1"/>
  <c r="V80" i="76" s="1"/>
  <c r="V144" i="76" s="1" a="1"/>
  <c r="V144" i="76" s="1"/>
  <c r="V200" i="76" s="1" a="1"/>
  <c r="V200" i="76" s="1"/>
  <c r="AD80" i="76" a="1"/>
  <c r="AD80" i="76" s="1"/>
  <c r="AD144" i="76" s="1" a="1"/>
  <c r="AD144" i="76" s="1"/>
  <c r="AD200" i="76" s="1" a="1"/>
  <c r="AD200" i="76" s="1"/>
  <c r="Z80" i="76" a="1"/>
  <c r="Z80" i="76" s="1"/>
  <c r="Z144" i="76" s="1" a="1"/>
  <c r="Z144" i="76" s="1"/>
  <c r="Z200" i="76" s="1" a="1"/>
  <c r="Z200" i="76" s="1"/>
  <c r="AC246" i="76" a="1"/>
  <c r="AC246" i="76" s="1"/>
  <c r="U249" i="76" a="1"/>
  <c r="U249" i="76" s="1"/>
  <c r="U76" i="76" a="1"/>
  <c r="U76" i="76" s="1"/>
  <c r="U140" i="76" s="1" a="1"/>
  <c r="U140" i="76" s="1"/>
  <c r="U196" i="76" s="1" a="1"/>
  <c r="U196" i="76" s="1"/>
  <c r="AB76" i="76" a="1"/>
  <c r="AB76" i="76" s="1"/>
  <c r="AB140" i="76" s="1" a="1"/>
  <c r="AB140" i="76" s="1"/>
  <c r="AB196" i="76" s="1" a="1"/>
  <c r="AB196" i="76" s="1"/>
  <c r="AD74" i="76" a="1"/>
  <c r="AD74" i="76" s="1"/>
  <c r="AD138" i="76" s="1" a="1"/>
  <c r="AD138" i="76" s="1"/>
  <c r="AD194" i="76" s="1" a="1"/>
  <c r="AD194" i="76" s="1"/>
  <c r="U82" i="76" a="1"/>
  <c r="U82" i="76" s="1"/>
  <c r="U146" i="76" s="1" a="1"/>
  <c r="U146" i="76" s="1"/>
  <c r="U202" i="76" s="1" a="1"/>
  <c r="U202" i="76" s="1"/>
  <c r="Z72" i="76" a="1"/>
  <c r="Z72" i="76" s="1"/>
  <c r="Z136" i="76" s="1" a="1"/>
  <c r="Z136" i="76" s="1"/>
  <c r="Z192" i="76" s="1" a="1"/>
  <c r="Z192" i="76" s="1"/>
  <c r="X72" i="76" a="1"/>
  <c r="X72" i="76" s="1"/>
  <c r="X136" i="76" s="1" a="1"/>
  <c r="X136" i="76" s="1"/>
  <c r="X192" i="76" s="1" a="1"/>
  <c r="X192" i="76" s="1"/>
  <c r="AD79" i="76" a="1"/>
  <c r="AD79" i="76" s="1"/>
  <c r="AD143" i="76" s="1" a="1"/>
  <c r="AD143" i="76" s="1"/>
  <c r="AD199" i="76" s="1" a="1"/>
  <c r="AD199" i="76" s="1"/>
  <c r="U83" i="76" a="1"/>
  <c r="U83" i="76" s="1"/>
  <c r="U147" i="76" s="1" a="1"/>
  <c r="U147" i="76" s="1"/>
  <c r="U203" i="76" s="1" a="1"/>
  <c r="U203" i="76" s="1"/>
  <c r="AC82" i="76" a="1"/>
  <c r="AC82" i="76" s="1"/>
  <c r="AC146" i="76" s="1" a="1"/>
  <c r="AC146" i="76" s="1"/>
  <c r="AC202" i="76" s="1" a="1"/>
  <c r="AC202" i="76" s="1"/>
  <c r="AB82" i="76" a="1"/>
  <c r="AB82" i="76" s="1"/>
  <c r="AB146" i="76" s="1" a="1"/>
  <c r="AB146" i="76" s="1"/>
  <c r="AB202" i="76" s="1" a="1"/>
  <c r="AB202" i="76" s="1"/>
  <c r="AC247" i="76" a="1"/>
  <c r="AC247" i="76" s="1"/>
  <c r="Z245" i="76" a="1"/>
  <c r="Z245" i="76" s="1"/>
  <c r="Z253" i="76" a="1"/>
  <c r="Z253" i="76" s="1"/>
  <c r="AA250" i="76" a="1"/>
  <c r="AA250" i="76" s="1"/>
  <c r="AD77" i="76" a="1"/>
  <c r="AD77" i="76" s="1"/>
  <c r="AD141" i="76" s="1" a="1"/>
  <c r="AD141" i="76" s="1"/>
  <c r="AD197" i="76" s="1" a="1"/>
  <c r="AD197" i="76" s="1"/>
  <c r="AC253" i="76" a="1"/>
  <c r="AC253" i="76" s="1"/>
  <c r="AC251" i="76" a="1"/>
  <c r="AC251" i="76" s="1"/>
  <c r="AC72" i="76" a="1"/>
  <c r="AC72" i="76" s="1"/>
  <c r="AC136" i="76" s="1" a="1"/>
  <c r="AC136" i="76" s="1"/>
  <c r="AC192" i="76" s="1" a="1"/>
  <c r="AC192" i="76" s="1"/>
  <c r="AD76" i="76" a="1"/>
  <c r="AD76" i="76" s="1"/>
  <c r="AD140" i="76" s="1" a="1"/>
  <c r="AD140" i="76" s="1"/>
  <c r="AD196" i="76" s="1" a="1"/>
  <c r="AD196" i="76" s="1"/>
  <c r="AD81" i="76" a="1"/>
  <c r="AD81" i="76" s="1"/>
  <c r="AD145" i="76" s="1" a="1"/>
  <c r="AD145" i="76" s="1"/>
  <c r="AD201" i="76" s="1" a="1"/>
  <c r="AD201" i="76" s="1"/>
  <c r="Z255" i="76" a="1"/>
  <c r="Z255" i="76" s="1"/>
  <c r="AB251" i="76" a="1"/>
  <c r="AB251" i="76" s="1"/>
  <c r="AC250" i="76" a="1"/>
  <c r="AC250" i="76" s="1"/>
  <c r="AB249" i="76" a="1"/>
  <c r="AB249" i="76" s="1"/>
  <c r="U251" i="76" a="1"/>
  <c r="U251" i="76" s="1"/>
  <c r="AA79" i="76" a="1"/>
  <c r="AA79" i="76" s="1"/>
  <c r="AA143" i="76" s="1" a="1"/>
  <c r="AA143" i="76" s="1"/>
  <c r="AA199" i="76" s="1" a="1"/>
  <c r="AA199" i="76" s="1"/>
  <c r="V247" i="76" a="1"/>
  <c r="V247" i="76" s="1"/>
  <c r="AB72" i="76" a="1"/>
  <c r="AB72" i="76" s="1"/>
  <c r="AB136" i="76" s="1" a="1"/>
  <c r="AB136" i="76" s="1"/>
  <c r="X82" i="76" a="1"/>
  <c r="X82" i="76" s="1"/>
  <c r="X146" i="76" s="1" a="1"/>
  <c r="X146" i="76" s="1"/>
  <c r="X202" i="76" s="1" a="1"/>
  <c r="X202" i="76" s="1"/>
  <c r="X77" i="76" a="1"/>
  <c r="X77" i="76" s="1"/>
  <c r="X141" i="76" s="1" a="1"/>
  <c r="X141" i="76" s="1"/>
  <c r="X197" i="76" s="1" a="1"/>
  <c r="X197" i="76" s="1"/>
  <c r="AA73" i="76" a="1"/>
  <c r="AA73" i="76" s="1"/>
  <c r="AA137" i="76" s="1" a="1"/>
  <c r="AA137" i="76" s="1"/>
  <c r="AA193" i="76" s="1" a="1"/>
  <c r="AA193" i="76" s="1"/>
  <c r="V78" i="76" a="1"/>
  <c r="V78" i="76" s="1"/>
  <c r="V142" i="76" s="1" a="1"/>
  <c r="V142" i="76" s="1"/>
  <c r="V198" i="76" s="1" a="1"/>
  <c r="V198" i="76" s="1"/>
  <c r="U193" i="76" a="1"/>
  <c r="U193" i="76" s="1"/>
  <c r="U245" i="76" s="1" a="1"/>
  <c r="U245" i="76" s="1"/>
  <c r="V255" i="76" a="1"/>
  <c r="V255" i="76" s="1"/>
  <c r="Y245" i="76" a="1"/>
  <c r="Y245" i="76" s="1"/>
  <c r="V246" i="76" a="1"/>
  <c r="V246" i="76" s="1"/>
  <c r="AC245" i="76" a="1"/>
  <c r="AC245" i="76" s="1"/>
  <c r="V73" i="76" a="1"/>
  <c r="V73" i="76" s="1"/>
  <c r="V137" i="76" s="1" a="1"/>
  <c r="V137" i="76" s="1"/>
  <c r="V193" i="76" s="1" a="1"/>
  <c r="V193" i="76" s="1"/>
  <c r="AA244" i="76" a="1"/>
  <c r="AA244" i="76" s="1"/>
  <c r="V81" i="76" a="1"/>
  <c r="V81" i="76" s="1"/>
  <c r="V145" i="76" s="1" a="1"/>
  <c r="V145" i="76" s="1"/>
  <c r="V201" i="76" s="1" a="1"/>
  <c r="V201" i="76" s="1"/>
  <c r="AE190" i="69" a="1"/>
  <c r="AE190" i="69" s="1"/>
  <c r="AE264" i="69" s="1" a="1"/>
  <c r="AE264" i="69" s="1"/>
  <c r="Z78" i="76" a="1"/>
  <c r="Z78" i="76" s="1"/>
  <c r="Z142" i="76" s="1" a="1"/>
  <c r="Z142" i="76" s="1"/>
  <c r="Z198" i="76" s="1" a="1"/>
  <c r="Z198" i="76" s="1"/>
  <c r="AB81" i="76" a="1"/>
  <c r="AB81" i="76" s="1"/>
  <c r="AB145" i="76" s="1" a="1"/>
  <c r="AB145" i="76" s="1"/>
  <c r="AB201" i="76" s="1" a="1"/>
  <c r="AB201" i="76" s="1"/>
  <c r="U244" i="76" a="1"/>
  <c r="U244" i="76" s="1"/>
  <c r="X81" i="76" a="1"/>
  <c r="X81" i="76" s="1"/>
  <c r="X145" i="76" s="1" a="1"/>
  <c r="X145" i="76" s="1"/>
  <c r="X201" i="76" s="1" a="1"/>
  <c r="X201" i="76" s="1"/>
  <c r="V72" i="76" a="1"/>
  <c r="V72" i="76" s="1"/>
  <c r="V136" i="76" s="1" a="1"/>
  <c r="V136" i="76" s="1"/>
  <c r="V192" i="76" s="1" a="1"/>
  <c r="V192" i="76" s="1"/>
  <c r="U81" i="76" a="1"/>
  <c r="U81" i="76" s="1"/>
  <c r="U145" i="76" s="1" a="1"/>
  <c r="U145" i="76" s="1"/>
  <c r="U201" i="76" s="1" a="1"/>
  <c r="U201" i="76" s="1"/>
  <c r="AC80" i="76" a="1"/>
  <c r="AC80" i="76" s="1"/>
  <c r="AC144" i="76" s="1" a="1"/>
  <c r="AC144" i="76" s="1"/>
  <c r="AC200" i="76" s="1" a="1"/>
  <c r="AC200" i="76" s="1"/>
  <c r="X251" i="76" a="1"/>
  <c r="X251" i="76" s="1"/>
  <c r="AD82" i="76" a="1"/>
  <c r="AD82" i="76" s="1"/>
  <c r="AD146" i="76" s="1" a="1"/>
  <c r="AD146" i="76" s="1"/>
  <c r="AD202" i="76" s="1" a="1"/>
  <c r="AD202" i="76" s="1"/>
  <c r="U80" i="76" a="1"/>
  <c r="U80" i="76" s="1"/>
  <c r="U144" i="76" s="1" a="1"/>
  <c r="U144" i="76" s="1"/>
  <c r="U200" i="76" s="1" a="1"/>
  <c r="U200" i="76" s="1"/>
  <c r="Z82" i="76" a="1"/>
  <c r="Z82" i="76" s="1"/>
  <c r="Z146" i="76" s="1" a="1"/>
  <c r="Z146" i="76" s="1"/>
  <c r="Z202" i="76" s="1" a="1"/>
  <c r="Z202" i="76" s="1"/>
  <c r="Z79" i="76" a="1"/>
  <c r="Z79" i="76" s="1"/>
  <c r="Z143" i="76" s="1" a="1"/>
  <c r="Z143" i="76" s="1"/>
  <c r="Z199" i="76" s="1" a="1"/>
  <c r="Z199" i="76" s="1"/>
  <c r="AB78" i="76" a="1"/>
  <c r="AB78" i="76" s="1"/>
  <c r="AB142" i="76" s="1" a="1"/>
  <c r="AB142" i="76" s="1"/>
  <c r="AB198" i="76" s="1" a="1"/>
  <c r="AB198" i="76" s="1"/>
  <c r="AA80" i="76" a="1"/>
  <c r="AA80" i="76" s="1"/>
  <c r="AA144" i="76" s="1" a="1"/>
  <c r="AA144" i="76" s="1"/>
  <c r="AA200" i="76" s="1" a="1"/>
  <c r="AA200" i="76" s="1"/>
  <c r="Y246" i="76" a="1"/>
  <c r="Y246" i="76" s="1"/>
  <c r="X248" i="76" a="1"/>
  <c r="X248" i="76" s="1"/>
  <c r="AB247" i="76" a="1"/>
  <c r="AB247" i="76" s="1"/>
  <c r="X252" i="76" a="1"/>
  <c r="X252" i="76" s="1"/>
  <c r="AB246" i="76" a="1"/>
  <c r="AB246" i="76" s="1"/>
  <c r="U74" i="76" a="1"/>
  <c r="U74" i="76" s="1"/>
  <c r="U138" i="76" s="1" a="1"/>
  <c r="U138" i="76" s="1"/>
  <c r="U194" i="76" s="1" a="1"/>
  <c r="U194" i="76" s="1"/>
  <c r="AB80" i="76" a="1"/>
  <c r="AB80" i="76" s="1"/>
  <c r="AB144" i="76" s="1" a="1"/>
  <c r="AB144" i="76" s="1"/>
  <c r="AB200" i="76" s="1" a="1"/>
  <c r="AB200" i="76" s="1"/>
  <c r="AA83" i="76" a="1"/>
  <c r="AA83" i="76" s="1"/>
  <c r="AA147" i="76" s="1" a="1"/>
  <c r="AA147" i="76" s="1"/>
  <c r="AA203" i="76" s="1" a="1"/>
  <c r="AA203" i="76" s="1"/>
  <c r="V76" i="76" a="1"/>
  <c r="V76" i="76" s="1"/>
  <c r="V140" i="76" s="1" a="1"/>
  <c r="V140" i="76" s="1"/>
  <c r="V196" i="76" s="1" a="1"/>
  <c r="V196" i="76" s="1"/>
  <c r="Y81" i="76" a="1"/>
  <c r="Y81" i="76" s="1"/>
  <c r="Y145" i="76" s="1" a="1"/>
  <c r="Y145" i="76" s="1"/>
  <c r="Y201" i="76" s="1" a="1"/>
  <c r="Y201" i="76" s="1"/>
  <c r="AD245" i="76" a="1"/>
  <c r="AD245" i="76" s="1"/>
  <c r="AA195" i="76" a="1"/>
  <c r="AA195" i="76" s="1"/>
  <c r="AA247" i="76" s="1" a="1"/>
  <c r="AA247" i="76" s="1"/>
  <c r="X247" i="76" a="1"/>
  <c r="X247" i="76" s="1"/>
  <c r="V251" i="76" a="1"/>
  <c r="V251" i="76" s="1"/>
  <c r="W196" i="76" a="1"/>
  <c r="W196" i="76" s="1"/>
  <c r="W248" i="76" s="1" a="1"/>
  <c r="W248" i="76" s="1"/>
  <c r="Y252" i="76" a="1"/>
  <c r="Y252" i="76" s="1"/>
  <c r="AD247" i="76" a="1"/>
  <c r="AD247" i="76" s="1"/>
  <c r="AA197" i="76" a="1"/>
  <c r="AA197" i="76" s="1"/>
  <c r="AA249" i="76" s="1" a="1"/>
  <c r="AA249" i="76" s="1"/>
  <c r="AD244" i="76" a="1"/>
  <c r="AD244" i="76" s="1"/>
  <c r="Y76" i="76" a="1"/>
  <c r="Y76" i="76" s="1"/>
  <c r="Y140" i="76" s="1" a="1"/>
  <c r="Y140" i="76" s="1"/>
  <c r="Y196" i="76" s="1" a="1"/>
  <c r="Y196" i="76" s="1"/>
  <c r="W78" i="76" a="1"/>
  <c r="W78" i="76" s="1"/>
  <c r="W142" i="76" s="1" a="1"/>
  <c r="W142" i="76" s="1"/>
  <c r="W198" i="76" s="1" a="1"/>
  <c r="W198" i="76" s="1"/>
  <c r="X83" i="76" a="1"/>
  <c r="X83" i="76" s="1"/>
  <c r="X147" i="76" s="1" a="1"/>
  <c r="X147" i="76" s="1"/>
  <c r="X203" i="76" s="1" a="1"/>
  <c r="X203" i="76" s="1"/>
  <c r="Y79" i="76" a="1"/>
  <c r="Y79" i="76" s="1"/>
  <c r="Y143" i="76" s="1" a="1"/>
  <c r="Y143" i="76" s="1"/>
  <c r="Y199" i="76" s="1" a="1"/>
  <c r="Y199" i="76" s="1"/>
  <c r="W77" i="76" a="1"/>
  <c r="W77" i="76" s="1"/>
  <c r="W141" i="76" s="1" a="1"/>
  <c r="W141" i="76" s="1"/>
  <c r="W197" i="76" s="1" a="1"/>
  <c r="W197" i="76" s="1"/>
  <c r="AA82" i="76" a="1"/>
  <c r="AA82" i="76" s="1"/>
  <c r="AA146" i="76" s="1" a="1"/>
  <c r="AA146" i="76" s="1"/>
  <c r="AA202" i="76" s="1" a="1"/>
  <c r="AA202" i="76" s="1"/>
  <c r="V77" i="76" a="1"/>
  <c r="V77" i="76" s="1"/>
  <c r="V141" i="76" s="1" a="1"/>
  <c r="V141" i="76" s="1"/>
  <c r="V197" i="76" s="1" a="1"/>
  <c r="V197" i="76" s="1"/>
  <c r="U195" i="76" a="1"/>
  <c r="U195" i="76" s="1"/>
  <c r="U247" i="76" s="1" a="1"/>
  <c r="U247" i="76" s="1"/>
  <c r="W201" i="76" a="1"/>
  <c r="W201" i="76" s="1"/>
  <c r="W253" i="76" s="1" a="1"/>
  <c r="W253" i="76" s="1"/>
  <c r="W192" i="76" a="1"/>
  <c r="W192" i="76" s="1"/>
  <c r="W244" i="76" s="1" a="1"/>
  <c r="W244" i="76" s="1"/>
  <c r="AA248" i="76" a="1"/>
  <c r="AA248" i="76" s="1"/>
  <c r="W74" i="76" a="1"/>
  <c r="W74" i="76" s="1"/>
  <c r="W138" i="76" s="1" a="1"/>
  <c r="W138" i="76" s="1"/>
  <c r="W194" i="76" s="1" a="1"/>
  <c r="W194" i="76" s="1"/>
  <c r="AA81" i="76" a="1"/>
  <c r="AA81" i="76" s="1"/>
  <c r="AA145" i="76" s="1" a="1"/>
  <c r="AA145" i="76" s="1"/>
  <c r="AA201" i="76" s="1" a="1"/>
  <c r="AA201" i="76" s="1"/>
  <c r="Z74" i="76" a="1"/>
  <c r="Z74" i="76" s="1"/>
  <c r="Z138" i="76" s="1" a="1"/>
  <c r="Z138" i="76" s="1"/>
  <c r="Z194" i="76" s="1" a="1"/>
  <c r="Z194" i="76" s="1"/>
  <c r="U78" i="76" a="1"/>
  <c r="U78" i="76" s="1"/>
  <c r="U142" i="76" s="1" a="1"/>
  <c r="U142" i="76" s="1"/>
  <c r="U198" i="76" s="1" a="1"/>
  <c r="U198" i="76" s="1"/>
  <c r="Y77" i="76" a="1"/>
  <c r="Y77" i="76" s="1"/>
  <c r="Y141" i="76" s="1" a="1"/>
  <c r="Y141" i="76" s="1"/>
  <c r="Y197" i="76" s="1" a="1"/>
  <c r="Y197" i="76" s="1"/>
  <c r="W73" i="76" a="1"/>
  <c r="W73" i="76" s="1"/>
  <c r="W137" i="76" s="1" a="1"/>
  <c r="W137" i="76" s="1"/>
  <c r="W193" i="76" s="1" a="1"/>
  <c r="W193" i="76" s="1"/>
  <c r="W203" i="76" a="1"/>
  <c r="W203" i="76" s="1"/>
  <c r="W255" i="76" s="1" a="1"/>
  <c r="W255" i="76" s="1"/>
  <c r="Y255" i="76" a="1"/>
  <c r="Y255" i="76" s="1"/>
  <c r="Y244" i="76" a="1"/>
  <c r="Y244" i="76" s="1"/>
  <c r="Y250" i="76" a="1"/>
  <c r="Y250" i="76" s="1"/>
  <c r="V192" i="69" a="1"/>
  <c r="V192" i="69" s="1"/>
  <c r="V266" i="69" s="1" a="1"/>
  <c r="V266" i="69" s="1"/>
  <c r="W187" i="69" a="1"/>
  <c r="W187" i="69" s="1"/>
  <c r="W261" i="69" s="1" a="1"/>
  <c r="W261" i="69" s="1"/>
  <c r="AD186" i="69" a="1"/>
  <c r="AD186" i="69" s="1"/>
  <c r="AD260" i="69" s="1" a="1"/>
  <c r="AD260" i="69" s="1"/>
  <c r="H184" i="69" a="1"/>
  <c r="H184" i="69" s="1"/>
  <c r="H242" i="69" s="1" a="1"/>
  <c r="H242" i="69" s="1"/>
  <c r="AB182" i="69" a="1"/>
  <c r="AB182" i="69" s="1"/>
  <c r="AB256" i="69" s="1" a="1"/>
  <c r="AB256" i="69" s="1"/>
  <c r="Y185" i="69" a="1"/>
  <c r="Y185" i="69" s="1"/>
  <c r="Y259" i="69" s="1" a="1"/>
  <c r="Y259" i="69" s="1"/>
  <c r="J182" i="69" a="1"/>
  <c r="J182" i="69" s="1"/>
  <c r="J240" i="69" s="1" a="1"/>
  <c r="J240" i="69" s="1"/>
  <c r="AD196" i="69" a="1"/>
  <c r="AD196" i="69" s="1"/>
  <c r="AD270" i="69" s="1" a="1"/>
  <c r="AD270" i="69" s="1"/>
  <c r="Y192" i="69" a="1"/>
  <c r="Y192" i="69" s="1"/>
  <c r="Y266" i="69" s="1" a="1"/>
  <c r="Y266" i="69" s="1"/>
  <c r="Y178" i="69" a="1"/>
  <c r="Y178" i="69" s="1"/>
  <c r="Y252" i="69" s="1" a="1"/>
  <c r="Y252" i="69" s="1"/>
  <c r="Z189" i="69" a="1"/>
  <c r="Z189" i="69" s="1"/>
  <c r="Z263" i="69" s="1" a="1"/>
  <c r="Z263" i="69" s="1"/>
  <c r="M184" i="69" a="1"/>
  <c r="M184" i="69" s="1"/>
  <c r="M242" i="69" s="1" a="1"/>
  <c r="M242" i="69" s="1"/>
  <c r="AB193" i="69" a="1"/>
  <c r="AB193" i="69" s="1"/>
  <c r="AB267" i="69" s="1" a="1"/>
  <c r="AB267" i="69" s="1"/>
  <c r="X181" i="69" a="1"/>
  <c r="X181" i="69" s="1"/>
  <c r="X255" i="69" s="1" a="1"/>
  <c r="X255" i="69" s="1"/>
  <c r="AA192" i="69" a="1"/>
  <c r="AA192" i="69" s="1"/>
  <c r="AA266" i="69" s="1" a="1"/>
  <c r="AA266" i="69" s="1"/>
  <c r="H183" i="69" a="1"/>
  <c r="H183" i="69" s="1"/>
  <c r="H241" i="69" s="1" a="1"/>
  <c r="H241" i="69" s="1"/>
  <c r="L180" i="69" a="1"/>
  <c r="L180" i="69" s="1"/>
  <c r="L238" i="69" s="1" a="1"/>
  <c r="L238" i="69" s="1"/>
  <c r="AA193" i="69" a="1"/>
  <c r="AA193" i="69" s="1"/>
  <c r="AA267" i="69" s="1" a="1"/>
  <c r="AA267" i="69" s="1"/>
  <c r="AD191" i="69" a="1"/>
  <c r="AD191" i="69" s="1"/>
  <c r="AD265" i="69" s="1" a="1"/>
  <c r="AD265" i="69" s="1"/>
  <c r="Z188" i="69" a="1"/>
  <c r="Z188" i="69" s="1"/>
  <c r="Z262" i="69" s="1" a="1"/>
  <c r="Z262" i="69" s="1"/>
  <c r="J179" i="69" a="1"/>
  <c r="J179" i="69" s="1"/>
  <c r="J237" i="69" s="1" a="1"/>
  <c r="J237" i="69" s="1"/>
  <c r="Y183" i="69" a="1"/>
  <c r="Y183" i="69" s="1"/>
  <c r="Y257" i="69" s="1" a="1"/>
  <c r="Y257" i="69" s="1"/>
  <c r="J180" i="69" a="1"/>
  <c r="J180" i="69" s="1"/>
  <c r="J238" i="69" s="1" a="1"/>
  <c r="J238" i="69" s="1"/>
  <c r="AA186" i="69" a="1"/>
  <c r="AA186" i="69" s="1"/>
  <c r="AA260" i="69" s="1" a="1"/>
  <c r="AA260" i="69" s="1"/>
  <c r="AB177" i="69" a="1"/>
  <c r="AB177" i="69" s="1"/>
  <c r="AB251" i="69" s="1" a="1"/>
  <c r="AB251" i="69" s="1"/>
  <c r="V182" i="69" a="1"/>
  <c r="V182" i="69" s="1"/>
  <c r="V256" i="69" s="1" a="1"/>
  <c r="V256" i="69" s="1"/>
  <c r="AA200" i="69" a="1"/>
  <c r="AA200" i="69" s="1"/>
  <c r="AA274" i="69" s="1" a="1"/>
  <c r="AA274" i="69" s="1"/>
  <c r="AA190" i="69" a="1"/>
  <c r="AA190" i="69" s="1"/>
  <c r="AA264" i="69" s="1" a="1"/>
  <c r="AA264" i="69" s="1"/>
  <c r="V189" i="69" a="1"/>
  <c r="V189" i="69" s="1"/>
  <c r="V263" i="69" s="1" a="1"/>
  <c r="V263" i="69" s="1"/>
  <c r="W200" i="69" a="1"/>
  <c r="W200" i="69" s="1"/>
  <c r="W274" i="69" s="1" a="1"/>
  <c r="W274" i="69" s="1"/>
  <c r="O180" i="69" a="1"/>
  <c r="O180" i="69" s="1"/>
  <c r="O238" i="69" s="1" a="1"/>
  <c r="O238" i="69" s="1"/>
  <c r="Z185" i="69" a="1"/>
  <c r="Z185" i="69" s="1"/>
  <c r="Z259" i="69" s="1" a="1"/>
  <c r="Z259" i="69" s="1"/>
  <c r="G183" i="69" a="1"/>
  <c r="G183" i="69" s="1"/>
  <c r="G241" i="69" s="1" a="1"/>
  <c r="G241" i="69" s="1"/>
  <c r="L182" i="69" a="1"/>
  <c r="L182" i="69" s="1"/>
  <c r="L240" i="69" s="1" a="1"/>
  <c r="L240" i="69" s="1"/>
  <c r="Z191" i="69" a="1"/>
  <c r="Z191" i="69" s="1"/>
  <c r="Z265" i="69" s="1" a="1"/>
  <c r="Z265" i="69" s="1"/>
  <c r="Z183" i="69" a="1"/>
  <c r="Z183" i="69" s="1"/>
  <c r="Z257" i="69" s="1" a="1"/>
  <c r="Z257" i="69" s="1"/>
  <c r="AD180" i="69" a="1"/>
  <c r="AD180" i="69" s="1"/>
  <c r="AD254" i="69" s="1" a="1"/>
  <c r="AD254" i="69" s="1"/>
  <c r="AD178" i="69" a="1"/>
  <c r="AD178" i="69" s="1"/>
  <c r="AD252" i="69" s="1" a="1"/>
  <c r="AD252" i="69" s="1"/>
  <c r="AC182" i="69" a="1"/>
  <c r="AC182" i="69" s="1"/>
  <c r="AC256" i="69" s="1" a="1"/>
  <c r="AC256" i="69" s="1"/>
  <c r="G180" i="69" a="1"/>
  <c r="G180" i="69" s="1"/>
  <c r="G238" i="69" s="1" a="1"/>
  <c r="G238" i="69" s="1"/>
  <c r="I179" i="69" a="1"/>
  <c r="I179" i="69" s="1"/>
  <c r="I237" i="69" s="1" a="1"/>
  <c r="I237" i="69" s="1"/>
  <c r="I183" i="69" a="1"/>
  <c r="I183" i="69" s="1"/>
  <c r="I241" i="69" s="1" a="1"/>
  <c r="I241" i="69" s="1"/>
  <c r="Y184" i="69" a="1"/>
  <c r="Y184" i="69" s="1"/>
  <c r="Y258" i="69" s="1" a="1"/>
  <c r="Y258" i="69" s="1"/>
  <c r="Y196" i="69" a="1"/>
  <c r="Y196" i="69" s="1"/>
  <c r="Y270" i="69" s="1" a="1"/>
  <c r="Y270" i="69" s="1"/>
  <c r="W190" i="69" a="1"/>
  <c r="W190" i="69" s="1"/>
  <c r="W264" i="69" s="1" a="1"/>
  <c r="W264" i="69" s="1"/>
  <c r="W178" i="69" a="1"/>
  <c r="W178" i="69" s="1"/>
  <c r="W252" i="69" s="1" a="1"/>
  <c r="W252" i="69" s="1"/>
  <c r="E62" i="76" a="1"/>
  <c r="E62" i="76" s="1"/>
  <c r="E127" i="76" s="1" a="1"/>
  <c r="E127" i="76" s="1"/>
  <c r="E169" i="76" s="1" a="1"/>
  <c r="E169" i="76" s="1"/>
  <c r="E207" i="76" s="1" a="1"/>
  <c r="E207" i="76" s="1"/>
  <c r="E212" i="76" s="1"/>
  <c r="G13" i="98" s="1"/>
  <c r="E20" i="98" s="1" a="1"/>
  <c r="E20" i="98" s="1"/>
  <c r="V197" i="69" a="1"/>
  <c r="V197" i="69" s="1"/>
  <c r="V271" i="69" s="1" a="1"/>
  <c r="V271" i="69" s="1"/>
  <c r="V185" i="69" a="1"/>
  <c r="V185" i="69" s="1"/>
  <c r="V259" i="69" s="1" a="1"/>
  <c r="V259" i="69" s="1"/>
  <c r="F177" i="69" a="1"/>
  <c r="F177" i="69" s="1"/>
  <c r="F235" i="69" s="1" a="1"/>
  <c r="F235" i="69" s="1"/>
  <c r="F181" i="69" a="1"/>
  <c r="F181" i="69" s="1"/>
  <c r="F239" i="69" s="1" a="1"/>
  <c r="F239" i="69" s="1"/>
  <c r="Z181" i="69" a="1"/>
  <c r="Z181" i="69" s="1"/>
  <c r="Z255" i="69" s="1" a="1"/>
  <c r="Z255" i="69" s="1"/>
  <c r="Z193" i="69" a="1"/>
  <c r="Z193" i="69" s="1"/>
  <c r="Z267" i="69" s="1" a="1"/>
  <c r="Z267" i="69" s="1"/>
  <c r="AE199" i="69" a="1"/>
  <c r="AE199" i="69" s="1"/>
  <c r="AE273" i="69" s="1" a="1"/>
  <c r="AE273" i="69" s="1"/>
  <c r="AE187" i="69" a="1"/>
  <c r="AE187" i="69" s="1"/>
  <c r="AE261" i="69" s="1" a="1"/>
  <c r="AE261" i="69" s="1"/>
  <c r="AA191" i="69" a="1"/>
  <c r="AA191" i="69" s="1"/>
  <c r="AA265" i="69" s="1" a="1"/>
  <c r="AA265" i="69" s="1"/>
  <c r="AA179" i="69" a="1"/>
  <c r="AA179" i="69" s="1"/>
  <c r="AA253" i="69" s="1" a="1"/>
  <c r="AA253" i="69" s="1"/>
  <c r="K179" i="69" a="1"/>
  <c r="K179" i="69" s="1"/>
  <c r="K237" i="69" s="1" a="1"/>
  <c r="K237" i="69" s="1"/>
  <c r="K183" i="69" a="1"/>
  <c r="K183" i="69" s="1"/>
  <c r="K241" i="69" s="1" a="1"/>
  <c r="K241" i="69" s="1"/>
  <c r="AC186" i="69" a="1"/>
  <c r="AC186" i="69" s="1"/>
  <c r="AC260" i="69" s="1" a="1"/>
  <c r="AC260" i="69" s="1"/>
  <c r="AC198" i="69" a="1"/>
  <c r="AC198" i="69" s="1"/>
  <c r="AC272" i="69" s="1" a="1"/>
  <c r="AC272" i="69" s="1"/>
  <c r="F27" i="43" a="1"/>
  <c r="F27" i="43" s="1"/>
  <c r="E27" i="43" a="1"/>
  <c r="E27" i="43" s="1"/>
  <c r="D27" i="43" a="1"/>
  <c r="D27" i="43" s="1"/>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10" i="43" a="1"/>
  <c r="E10" i="43" s="1"/>
  <c r="D10" i="43" a="1"/>
  <c r="D10" i="43" s="1"/>
  <c r="D8" i="43" a="1"/>
  <c r="D8" i="43" s="1"/>
  <c r="D7" i="43" a="1"/>
  <c r="D7" i="43" s="1"/>
  <c r="D6" i="43" a="1"/>
  <c r="D6" i="43" s="1"/>
  <c r="Y251" i="76" l="1" a="1"/>
  <c r="Y251" i="76" s="1"/>
  <c r="X253" i="76" a="1"/>
  <c r="X253" i="76" s="1"/>
  <c r="U255" i="76" a="1"/>
  <c r="U255" i="76" s="1"/>
  <c r="U248" i="76" a="1"/>
  <c r="U248" i="76" s="1"/>
  <c r="AC249" i="76" a="1"/>
  <c r="AC249" i="76" s="1"/>
  <c r="W246" i="76" a="1"/>
  <c r="W246" i="76" s="1"/>
  <c r="X255" i="76" a="1"/>
  <c r="X255" i="76" s="1"/>
  <c r="AD251" i="76" a="1"/>
  <c r="AD251" i="76" s="1"/>
  <c r="Y254" i="76" a="1"/>
  <c r="Y254" i="76" s="1"/>
  <c r="AA253" i="76" a="1"/>
  <c r="AA253" i="76" s="1"/>
  <c r="U252" i="76" a="1"/>
  <c r="U252" i="76" s="1"/>
  <c r="AC244" i="76" a="1"/>
  <c r="AC244" i="76" s="1"/>
  <c r="Y253" i="76" a="1"/>
  <c r="Y253" i="76" s="1"/>
  <c r="AD254" i="76" a="1"/>
  <c r="AD254" i="76" s="1"/>
  <c r="AB253" i="76" a="1"/>
  <c r="AB253" i="76" s="1"/>
  <c r="AA251" i="76" a="1"/>
  <c r="AA251" i="76" s="1"/>
  <c r="AD249" i="76" a="1"/>
  <c r="AD249" i="76" s="1"/>
  <c r="X244" i="76" a="1"/>
  <c r="X244" i="76" s="1"/>
  <c r="W247" i="76" a="1"/>
  <c r="W247" i="76" s="1"/>
  <c r="Y247" i="76" a="1"/>
  <c r="Y247" i="76" s="1"/>
  <c r="V248" i="76" a="1"/>
  <c r="V248" i="76" s="1"/>
  <c r="AA252" i="76" a="1"/>
  <c r="AA252" i="76" s="1"/>
  <c r="Z250" i="76" a="1"/>
  <c r="Z250" i="76" s="1"/>
  <c r="Z252" i="76" a="1"/>
  <c r="Z252" i="76" s="1"/>
  <c r="W245" i="76" a="1"/>
  <c r="W245" i="76" s="1"/>
  <c r="Y248" i="76" a="1"/>
  <c r="Y248" i="76" s="1"/>
  <c r="Z244" i="76" a="1"/>
  <c r="Z244" i="76" s="1"/>
  <c r="W254" i="76" a="1"/>
  <c r="W254" i="76" s="1"/>
  <c r="AD255" i="76" a="1"/>
  <c r="AD255" i="76" s="1"/>
  <c r="AA255" i="76" a="1"/>
  <c r="AA255" i="76" s="1"/>
  <c r="AB250" i="76" a="1"/>
  <c r="AB250" i="76" s="1"/>
  <c r="AA245" i="76" a="1"/>
  <c r="AA245" i="76" s="1"/>
  <c r="AD252" i="76" a="1"/>
  <c r="AD252" i="76" s="1"/>
  <c r="V250" i="76" a="1"/>
  <c r="V250" i="76" s="1"/>
  <c r="Y249" i="76" a="1"/>
  <c r="Y249" i="76" s="1"/>
  <c r="V249" i="76" a="1"/>
  <c r="V249" i="76" s="1"/>
  <c r="AC252" i="76" a="1"/>
  <c r="AC252" i="76" s="1"/>
  <c r="V253" i="76" a="1"/>
  <c r="V253" i="76" s="1"/>
  <c r="U254" i="76" a="1"/>
  <c r="U254" i="76" s="1"/>
  <c r="AA246" i="76" a="1"/>
  <c r="AA246" i="76" s="1"/>
  <c r="Z249" i="76" a="1"/>
  <c r="Z249" i="76" s="1"/>
  <c r="W250" i="76" a="1"/>
  <c r="W250" i="76" s="1"/>
  <c r="AB252" i="76" a="1"/>
  <c r="AB252" i="76" s="1"/>
  <c r="Z251" i="76" a="1"/>
  <c r="Z251" i="76" s="1"/>
  <c r="X249" i="76" a="1"/>
  <c r="X249" i="76" s="1"/>
  <c r="V252" i="76" a="1"/>
  <c r="V252" i="76" s="1"/>
  <c r="U250" i="76" a="1"/>
  <c r="U250" i="76" s="1"/>
  <c r="U253" i="76" a="1"/>
  <c r="U253" i="76" s="1"/>
  <c r="AD253" i="76" a="1"/>
  <c r="AD253" i="76" s="1"/>
  <c r="AB254" i="76" a="1"/>
  <c r="AB254" i="76" s="1"/>
  <c r="AB245" i="76" a="1"/>
  <c r="AB245" i="76" s="1"/>
  <c r="AD250" i="76" a="1"/>
  <c r="AD250" i="76" s="1"/>
  <c r="U246" i="76" a="1"/>
  <c r="U246" i="76" s="1"/>
  <c r="Z254" i="76" a="1"/>
  <c r="Z254" i="76" s="1"/>
  <c r="X254" i="76" a="1"/>
  <c r="X254" i="76" s="1"/>
  <c r="W252" i="76" a="1"/>
  <c r="W252" i="76" s="1"/>
  <c r="AA254" i="76" a="1"/>
  <c r="AA254" i="76" s="1"/>
  <c r="AD246" i="76" a="1"/>
  <c r="AD246" i="76" s="1"/>
  <c r="Z246" i="76" a="1"/>
  <c r="Z246" i="76" s="1"/>
  <c r="W249" i="76" a="1"/>
  <c r="W249" i="76" s="1"/>
  <c r="V244" i="76" a="1"/>
  <c r="V244" i="76" s="1"/>
  <c r="V245" i="76" a="1"/>
  <c r="V245" i="76" s="1"/>
  <c r="AB192" i="76" a="1"/>
  <c r="AB192" i="76" s="1"/>
  <c r="AB244" i="76" s="1" a="1"/>
  <c r="AB244" i="76" s="1"/>
  <c r="AD248" i="76" a="1"/>
  <c r="AD248" i="76" s="1"/>
  <c r="AC254" i="76" a="1"/>
  <c r="AC254" i="76" s="1"/>
  <c r="AB248" i="76" a="1"/>
  <c r="AB248" i="76" s="1"/>
  <c r="AC196" i="76" a="1"/>
  <c r="AC196" i="76" s="1"/>
  <c r="AC248" i="76" s="1" a="1"/>
  <c r="AC248" i="76" s="1"/>
  <c r="W251" i="76" a="1"/>
  <c r="W251" i="76" s="1"/>
  <c r="N32" i="98"/>
  <c r="L36" i="98" s="1" a="1"/>
  <c r="L36" i="98" s="1"/>
  <c r="G32" i="98"/>
  <c r="E36" i="98" s="1" a="1"/>
  <c r="E36" i="98" s="1"/>
  <c r="U276" i="69"/>
  <c r="W278" i="69" s="1"/>
  <c r="U281" i="69" s="1" a="1"/>
  <c r="U281" i="69" s="1"/>
  <c r="I7" i="13" s="1"/>
  <c r="E244" i="69"/>
  <c r="G246" i="69" s="1"/>
  <c r="E249" i="69" s="1" a="1"/>
  <c r="E249" i="69" s="1"/>
  <c r="H7" i="13" s="1"/>
  <c r="E229" i="76" a="1"/>
  <c r="E229" i="76" s="1"/>
  <c r="H13" i="97"/>
  <c r="E16" i="97" s="1" a="1"/>
  <c r="E16" i="97" s="1"/>
  <c r="H28" i="97" s="1"/>
  <c r="E35" i="97" s="1" a="1"/>
  <c r="E35" i="97" s="1"/>
  <c r="E29" i="15"/>
  <c r="U257" i="76" l="1"/>
  <c r="E7" i="13"/>
  <c r="F7" i="13"/>
  <c r="E10" i="13"/>
  <c r="G38" i="98"/>
  <c r="E41" i="98" s="1" a="1"/>
  <c r="E41" i="98" s="1"/>
  <c r="H10" i="13" s="1"/>
  <c r="G37" i="97"/>
  <c r="E40" i="97" s="1" a="1"/>
  <c r="E40" i="97" s="1"/>
  <c r="H9" i="13" s="1"/>
  <c r="E9" i="13"/>
  <c r="F10" i="13"/>
  <c r="N38" i="98"/>
  <c r="L41" i="98" s="1" a="1"/>
  <c r="L41" i="98" s="1"/>
  <c r="I10" i="13" s="1"/>
  <c r="G231" i="76"/>
  <c r="E234" i="76" s="1" a="1"/>
  <c r="E234" i="76" s="1"/>
  <c r="H8" i="13" s="1"/>
  <c r="E8" i="13"/>
  <c r="E13" i="15"/>
  <c r="U263" i="76" l="1" a="1"/>
  <c r="U263" i="76" s="1"/>
  <c r="N13" i="98"/>
  <c r="L20" i="98" s="1" a="1"/>
  <c r="L20" i="98" s="1"/>
  <c r="P13" i="97"/>
  <c r="M16" i="97" s="1" a="1"/>
  <c r="M16" i="97" s="1"/>
  <c r="P28" i="97" s="1"/>
  <c r="M35" i="97" s="1" a="1"/>
  <c r="M35" i="97" s="1"/>
  <c r="H11" i="13"/>
  <c r="O37" i="97" l="1"/>
  <c r="M40" i="97" s="1" a="1"/>
  <c r="M40" i="97" s="1"/>
  <c r="I9" i="13" s="1"/>
  <c r="F9" i="13"/>
  <c r="W265" i="76"/>
  <c r="U268" i="76" s="1" a="1"/>
  <c r="U268" i="76" s="1"/>
  <c r="I8" i="13" s="1"/>
  <c r="F8" i="13"/>
  <c r="I11" i="13"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<sst xmlns="http://schemas.openxmlformats.org/spreadsheetml/2006/main" count="1840" uniqueCount="352">
  <si>
    <t>Home</t>
  </si>
  <si>
    <t>N2O MMS</t>
  </si>
  <si>
    <t>Sources &amp; acknowledgements</t>
  </si>
  <si>
    <t>INPUTS</t>
  </si>
  <si>
    <t>APPENDICES</t>
  </si>
  <si>
    <t>Emissions breakdown</t>
  </si>
  <si>
    <t>Test Farms</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</si>
  <si>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</si>
  <si>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</si>
  <si>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</si>
  <si>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</si>
  <si>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</si>
  <si>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</si>
  <si>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</si>
  <si>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</si>
  <si>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</si>
  <si>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</si>
  <si>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</si>
  <si>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Dry matter digestibility</t>
  </si>
  <si>
    <t>Percent</t>
  </si>
  <si>
    <t>Unit</t>
  </si>
  <si>
    <t>Manure management system</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</si>
  <si>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</si>
  <si>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</si>
  <si>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</si>
  <si>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</si>
  <si>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</si>
  <si>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</si>
  <si>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</si>
  <si>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</si>
  <si>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</si>
  <si>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</si>
  <si>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</si>
  <si>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</si>
  <si>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</si>
  <si>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</si>
  <si>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</si>
  <si>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</si>
  <si>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</si>
  <si>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</si>
  <si>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</si>
  <si>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</si>
  <si>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</si>
  <si>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</si>
  <si>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</si>
  <si>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</si>
  <si>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</si>
  <si>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</si>
  <si>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</si>
  <si>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</si>
  <si>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</si>
  <si>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</si>
  <si>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</si>
  <si>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</si>
  <si>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</si>
  <si>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</si>
  <si>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</si>
  <si>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</si>
  <si>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</si>
  <si>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</si>
  <si>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</si>
  <si>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</si>
  <si>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</si>
  <si>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</si>
  <si>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</si>
  <si>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</si>
  <si>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</si>
  <si>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</si>
  <si>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</si>
  <si>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</si>
  <si>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</si>
  <si>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</si>
  <si>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</si>
  <si>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</si>
  <si>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</si>
  <si>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Freight and transport</t>
  </si>
  <si>
    <t>Enteric methane</t>
  </si>
  <si>
    <t>CALCULATIONS</t>
  </si>
  <si>
    <t>Constants - Common</t>
  </si>
  <si>
    <t>Waste</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</si>
  <si>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</si>
  <si>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</si>
  <si>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</si>
  <si>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</si>
  <si>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</si>
  <si>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</si>
  <si>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</si>
  <si>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</si>
  <si>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</si>
  <si>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</si>
  <si>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</si>
  <si>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</si>
  <si>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</si>
  <si>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</si>
  <si>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</si>
  <si>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</si>
  <si>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</si>
  <si>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</si>
  <si>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</si>
  <si>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MCF</t>
    </r>
    <r>
      <rPr>
        <b/>
        <vertAlign val="subscript"/>
        <sz val="11"/>
        <color rgb="FF183C1B"/>
        <rFont val="Times New Roman"/>
        <family val="1"/>
      </rPr>
      <t>im</t>
    </r>
  </si>
  <si>
    <t>Fraction</t>
  </si>
  <si>
    <t>Herd movement</t>
  </si>
  <si>
    <t>head</t>
  </si>
  <si>
    <t>Head</t>
  </si>
  <si>
    <r>
      <t>E</t>
    </r>
    <r>
      <rPr>
        <vertAlign val="subscript"/>
        <sz val="12"/>
        <color theme="1" tint="0.24994659260841701"/>
        <rFont val="Times New Roman"/>
        <family val="1"/>
      </rPr>
      <t>CO2e</t>
    </r>
  </si>
  <si>
    <t>Crude protein</t>
  </si>
  <si>
    <t>M1_Table_CP_j</t>
  </si>
  <si>
    <t>M2_Table_CP_j</t>
  </si>
  <si>
    <t>Method 1</t>
  </si>
  <si>
    <t>Method 2</t>
  </si>
  <si>
    <r>
      <t>E</t>
    </r>
    <r>
      <rPr>
        <b/>
        <vertAlign val="subscript"/>
        <sz val="16"/>
        <color theme="1" tint="0.24994659260841701"/>
        <rFont val="Times New Roman"/>
        <family val="1"/>
      </rPr>
      <t>N2O,dir</t>
    </r>
  </si>
  <si>
    <t>Volatile solid production (Method 1)</t>
  </si>
  <si>
    <t>Dry matter digestibility (Method 1)</t>
  </si>
  <si>
    <t>Volatile solid production (Method 2)</t>
  </si>
  <si>
    <t>Scope 1 source</t>
  </si>
  <si>
    <t>Production system j</t>
  </si>
  <si>
    <t>EFN2O</t>
  </si>
  <si>
    <t>Production system only</t>
  </si>
  <si>
    <t>Irrigation method</t>
  </si>
  <si>
    <t>Production system</t>
  </si>
  <si>
    <t>Irrigation methods</t>
  </si>
  <si>
    <t>Not irrigated</t>
  </si>
  <si>
    <t>Drip irrigation</t>
  </si>
  <si>
    <t>Sprinkler irrigation</t>
  </si>
  <si>
    <t>Surface irrigation</t>
  </si>
  <si>
    <t>Other irrigation</t>
  </si>
  <si>
    <t>Total</t>
  </si>
  <si>
    <t>GHG Unit</t>
  </si>
  <si>
    <t>CO2-e unit</t>
  </si>
  <si>
    <t>Breed</t>
  </si>
  <si>
    <t>Bulls &gt; 1 year</t>
  </si>
  <si>
    <t>Bulls &lt; 1 year</t>
  </si>
  <si>
    <t>Month</t>
  </si>
  <si>
    <t>kg/head</t>
  </si>
  <si>
    <t>kg/head/day</t>
  </si>
  <si>
    <t>Milk production</t>
  </si>
  <si>
    <t>Method 1 values</t>
  </si>
  <si>
    <t>Method 2 values</t>
  </si>
  <si>
    <t>Pasture range and paddock</t>
  </si>
  <si>
    <t>No</t>
  </si>
  <si>
    <t>Liveweight</t>
  </si>
  <si>
    <t>fraction</t>
  </si>
  <si>
    <t>Dry matter digestibility (Method 2)</t>
  </si>
  <si>
    <t>Feed intake (Method 2)</t>
  </si>
  <si>
    <t>Feed intake (Method 1)</t>
  </si>
  <si>
    <t>M1_Table_MCF_i_m</t>
  </si>
  <si>
    <t>M1_Table_D_j</t>
  </si>
  <si>
    <t>M1_Table_E_CH4</t>
  </si>
  <si>
    <t>t CH4</t>
  </si>
  <si>
    <t>M2_Table_D_j</t>
  </si>
  <si>
    <t>Intake relative to maintenance (Method 1)</t>
  </si>
  <si>
    <t>Intake relative to maintenance (Method 2)</t>
  </si>
  <si>
    <t>Irrigation type i</t>
  </si>
  <si>
    <t>t CO2e</t>
  </si>
  <si>
    <t>EFPRP</t>
  </si>
  <si>
    <t>4.3.1.12-13 Soil leaching and runoff N2O</t>
  </si>
  <si>
    <r>
      <t>E</t>
    </r>
    <r>
      <rPr>
        <b/>
        <vertAlign val="subscript"/>
        <sz val="12"/>
        <color theme="1" tint="0.24994659260841701"/>
        <rFont val="Times New Roman"/>
        <family val="1"/>
      </rPr>
      <t>N2O,leach</t>
    </r>
  </si>
  <si>
    <t>GHG emissions method 1</t>
  </si>
  <si>
    <t>GHG emissions method 2</t>
  </si>
  <si>
    <t>CO2-e emissions method 1</t>
  </si>
  <si>
    <t>CO2-e emissions method 2</t>
  </si>
  <si>
    <t>Input -Pasture Beef</t>
  </si>
  <si>
    <t>4.2 Manure management: Pasture Beef: Results</t>
  </si>
  <si>
    <t>4.2.1.1-2 Manure methane</t>
  </si>
  <si>
    <t>4.2.1.1-2 Manure Methane</t>
  </si>
  <si>
    <t>Cows &lt; 1 year</t>
  </si>
  <si>
    <t>Cows 1-2 years</t>
  </si>
  <si>
    <t>Cows 2-3 years</t>
  </si>
  <si>
    <t>Cows &gt; 3 years</t>
  </si>
  <si>
    <t>Steers &lt; 1 year</t>
  </si>
  <si>
    <t>Steers 1-2 years</t>
  </si>
  <si>
    <t>Steers 2-3 years</t>
  </si>
  <si>
    <t>Steers &gt;3 years</t>
  </si>
  <si>
    <t>Spring</t>
  </si>
  <si>
    <t>Summer</t>
  </si>
  <si>
    <t>Autumn</t>
  </si>
  <si>
    <t>Winter</t>
  </si>
  <si>
    <t>Liveweight gain</t>
  </si>
  <si>
    <t>Duration on farm</t>
  </si>
  <si>
    <t>Method 1 default values (do not edit)</t>
  </si>
  <si>
    <t>Method 2 custom values (edit if known)</t>
  </si>
  <si>
    <r>
      <rPr>
        <b/>
        <sz val="12"/>
        <color rgb="FF0070C0"/>
        <rFont val="Times New Roman"/>
        <family val="1"/>
      </rPr>
      <t>NOTE:</t>
    </r>
    <r>
      <rPr>
        <sz val="12"/>
        <color rgb="FF0070C0"/>
        <rFont val="Times New Roman"/>
        <family val="1"/>
      </rPr>
      <t xml:space="preserve"> VEERG states that under method 2, time periods may be seasons, months or a custom time period. In this example, method 2 time periods are months.</t>
    </r>
  </si>
  <si>
    <t>Constants - Pasture Beef</t>
  </si>
  <si>
    <t>Region</t>
  </si>
  <si>
    <t>Season</t>
  </si>
  <si>
    <t>Bull &lt; 1</t>
  </si>
  <si>
    <t>Bull &gt; 1</t>
  </si>
  <si>
    <t>Cow &lt; 1</t>
  </si>
  <si>
    <t>Cow 1-2</t>
  </si>
  <si>
    <t>Cow &gt; 2</t>
  </si>
  <si>
    <t>Steer &lt; 1</t>
  </si>
  <si>
    <t>Steer &gt; 1</t>
  </si>
  <si>
    <t>Bull &gt;1</t>
  </si>
  <si>
    <t>Cows &lt;1</t>
  </si>
  <si>
    <t>Cows 1-2</t>
  </si>
  <si>
    <t>Cows 2-3</t>
  </si>
  <si>
    <t>Cows &gt;3</t>
  </si>
  <si>
    <t>Steer &lt;1</t>
  </si>
  <si>
    <t>Steer 1-2</t>
  </si>
  <si>
    <t>Steer 2-3</t>
  </si>
  <si>
    <t>Steer &gt;3</t>
  </si>
  <si>
    <t>Beef pasture cattle - Liveweight (kg) (Wjkl) all states</t>
  </si>
  <si>
    <t>n/a</t>
  </si>
  <si>
    <t>Bull &lt;1</t>
  </si>
  <si>
    <t>Livestock production region</t>
  </si>
  <si>
    <t>Kimberley</t>
  </si>
  <si>
    <t>Table_SourceData_PastureBeef_Region_WesternAustralia</t>
  </si>
  <si>
    <t>Table_SourceData_PastureBeef_Region_Queensland</t>
  </si>
  <si>
    <t>Table_SourceData_PastureBeef_Region_NorthernTerritory</t>
  </si>
  <si>
    <t>South West</t>
  </si>
  <si>
    <t>Pilbara</t>
  </si>
  <si>
    <t>Alice Springs</t>
  </si>
  <si>
    <t>Barkly</t>
  </si>
  <si>
    <t>Northern</t>
  </si>
  <si>
    <t>High</t>
  </si>
  <si>
    <t>Moderate/High</t>
  </si>
  <si>
    <t>Moderate/Low</t>
  </si>
  <si>
    <t>Low</t>
  </si>
  <si>
    <t>Western Australia</t>
  </si>
  <si>
    <t>Table_SourceData_PastureBeef_Region_Victoria</t>
  </si>
  <si>
    <t>Table_SourceData_PastureBeef_Region_NewSouthWales</t>
  </si>
  <si>
    <t>Table_SourceData_PastureBeef_Region_SouthAustralia</t>
  </si>
  <si>
    <t>Table_SourceData_PastureBeef_Region_Tasmania</t>
  </si>
  <si>
    <t>Table_SourceData_PastureBeef_Region_ACT</t>
  </si>
  <si>
    <t>Cow &lt;1</t>
  </si>
  <si>
    <t>Cow &gt;2</t>
  </si>
  <si>
    <t>Steer &gt;1</t>
  </si>
  <si>
    <t>Cow 2-3</t>
  </si>
  <si>
    <t>Cow &gt;3</t>
  </si>
  <si>
    <t>Proportion of cows &gt; 1 years in calf in the season of calving</t>
  </si>
  <si>
    <t>Total (Cannot exceed 100%)</t>
  </si>
  <si>
    <t>M1_Table_LC_j_k-4-5</t>
  </si>
  <si>
    <t>Cattle breed</t>
  </si>
  <si>
    <t>Feed adjustment</t>
  </si>
  <si>
    <t>Milk intake/production</t>
  </si>
  <si>
    <t>Bulls &lt;1</t>
  </si>
  <si>
    <t>Bulls &gt;1</t>
  </si>
  <si>
    <t>Cows &gt;2</t>
  </si>
  <si>
    <t>State abbreviation</t>
  </si>
  <si>
    <t>Uncovered Anaerobic lagoon</t>
  </si>
  <si>
    <t>Hereford or Shorthorn breeds</t>
  </si>
  <si>
    <t>M1_Table_MA_j_k-4-5</t>
  </si>
  <si>
    <t>Additional intake for milk production in calving and post-calving seasons (Method 1)</t>
  </si>
  <si>
    <t>M1_Table_LW_j_k_l</t>
  </si>
  <si>
    <t>M1_Table_LWG_j_k_l</t>
  </si>
  <si>
    <t>Liveweight gain (Method 1)</t>
  </si>
  <si>
    <t>Liveweight (Method 1)</t>
  </si>
  <si>
    <t>M1_Table_I_j_k_l</t>
  </si>
  <si>
    <t>Calving season</t>
  </si>
  <si>
    <t>Season after calving</t>
  </si>
  <si>
    <t>VARIATION ON SOURCE: Changed 'Season' values from season names to 'Calving season' and 'Season after calving' to acommodate cases where calving happens outside spring or summer</t>
  </si>
  <si>
    <t>3 month 'season' calculated from method 2 monthly calving rates</t>
  </si>
  <si>
    <t>MAjk45 if done twice and summed</t>
  </si>
  <si>
    <t>M2_Table_LC_j_k-4-5</t>
  </si>
  <si>
    <t>Proportion of cows in calf during season (Method 2)</t>
  </si>
  <si>
    <t>M2_Table_MA_j_k-4-5</t>
  </si>
  <si>
    <t>Additional intake for milk production in calving and post-calving seasons (Method 2)</t>
  </si>
  <si>
    <t>Proportion of cows in calf during season (Method 1)</t>
  </si>
  <si>
    <t>Assumes last year calving was identical to this year</t>
  </si>
  <si>
    <t>M2_Table_LW_j_k_l</t>
  </si>
  <si>
    <t>Liveweight (Method 2)</t>
  </si>
  <si>
    <t>M2_Table_LWG_j_k_l</t>
  </si>
  <si>
    <t>Liveweight gain (Method 2)</t>
  </si>
  <si>
    <t>M2_Table_I_j_k_l</t>
  </si>
  <si>
    <t>Next season</t>
  </si>
  <si>
    <t>M1_Table_DMD_j_k_l</t>
  </si>
  <si>
    <t>M2_Table_DMD_j_k_l</t>
  </si>
  <si>
    <t>M1_Table_VS_j_k_l</t>
  </si>
  <si>
    <t>M2_Table_VS_j_k_l</t>
  </si>
  <si>
    <t>Manure management</t>
  </si>
  <si>
    <t>Are all dams and natural water sources fenced off so cattle cannot access them?</t>
  </si>
  <si>
    <t>Percent in MMS</t>
  </si>
  <si>
    <t>Anaerobic lagoon</t>
  </si>
  <si>
    <t>Typo in VEERG declares unit as fraction when values are percent</t>
  </si>
  <si>
    <t>Fraction of waste in each MMS</t>
  </si>
  <si>
    <t>Table_MMS_m</t>
  </si>
  <si>
    <r>
      <t>MMS</t>
    </r>
    <r>
      <rPr>
        <b/>
        <vertAlign val="subscript"/>
        <sz val="11"/>
        <color rgb="FF183C1B"/>
        <rFont val="Times New Roman"/>
        <family val="1"/>
      </rPr>
      <t>m</t>
    </r>
  </si>
  <si>
    <t>Methane conversion factor</t>
  </si>
  <si>
    <t>M1_Table_M_j_k_l_m</t>
  </si>
  <si>
    <t>Methane production from manure (Method 1)</t>
  </si>
  <si>
    <t>M2_Table_M_j_k_l_m</t>
  </si>
  <si>
    <t>Methane production from manure (Method 2)</t>
  </si>
  <si>
    <t>Do method 2 temperature zone</t>
  </si>
  <si>
    <t>M1_Table_N_j_k_l</t>
  </si>
  <si>
    <t>Number of beef cattle (Method 1)</t>
  </si>
  <si>
    <t>Duration of stay in each time period (Method 1)</t>
  </si>
  <si>
    <t>days</t>
  </si>
  <si>
    <t>Total methane production (Method 1)</t>
  </si>
  <si>
    <t>M2_Table_N_j_k_l</t>
  </si>
  <si>
    <t>Number of beef cattle (Method 2)</t>
  </si>
  <si>
    <t>Duration of stay in each time period (Method 2)</t>
  </si>
  <si>
    <t>M2_Table_E_CH4</t>
  </si>
  <si>
    <t>Total methane production (Method 2)</t>
  </si>
  <si>
    <t>4.2.1.3-4 Manure Direct N2O</t>
  </si>
  <si>
    <t>M1_Table_W_j_k_l</t>
  </si>
  <si>
    <t>Variable is LW in Methane</t>
  </si>
  <si>
    <t>Standard reference weight</t>
  </si>
  <si>
    <t>Table_SRW_k</t>
  </si>
  <si>
    <t>M1_Table_Z_j_k_l</t>
  </si>
  <si>
    <t>Relative size (Method 1)</t>
  </si>
  <si>
    <t>M2_Table_Z_j_k_l</t>
  </si>
  <si>
    <t>Relative size (Method 2)</t>
  </si>
  <si>
    <t>M1_Table_L_j_k_l</t>
  </si>
  <si>
    <t>M1_Table_MP_j_k-4-5</t>
  </si>
  <si>
    <t>Methane equation subscript is 4,5</t>
  </si>
  <si>
    <t>M1_Table_NR_j_k_l</t>
  </si>
  <si>
    <t>Nitrogen retained in the body (Method 1)</t>
  </si>
  <si>
    <t>M1_Table_MC_j_k_1-3-6</t>
  </si>
  <si>
    <t>M1_Table_NE_j_k_l</t>
  </si>
  <si>
    <t>M1_Table_AE</t>
  </si>
  <si>
    <t>Total nitrogen excreted to pasture, range and paddock (Method 1)</t>
  </si>
  <si>
    <t>AE</t>
  </si>
  <si>
    <r>
      <t>E</t>
    </r>
    <r>
      <rPr>
        <b/>
        <vertAlign val="subscript"/>
        <sz val="16"/>
        <color theme="1" tint="0.24994659260841701"/>
        <rFont val="Times New Roman"/>
        <family val="1"/>
      </rPr>
      <t>CH4</t>
    </r>
  </si>
  <si>
    <t>t N2O</t>
  </si>
  <si>
    <t>4.2.1.3-4 Soil direct N2O</t>
  </si>
  <si>
    <t>4.2.1.5-6 Soil atmospheric deposition</t>
  </si>
  <si>
    <t>4.2.1.7-8 Soil leaching and runoff</t>
  </si>
  <si>
    <t>4.2.1.5-6 Soil atmospheric deposition N2O</t>
  </si>
  <si>
    <t>M2_Table_L_j_k_l</t>
  </si>
  <si>
    <t>M2_Table_NR_j_k_l</t>
  </si>
  <si>
    <t>Nitrogen retained in the body (Method 2)</t>
  </si>
  <si>
    <t>Crude protein (Method 2)</t>
  </si>
  <si>
    <t>Crude protein (Method 1)</t>
  </si>
  <si>
    <t>Milk consumption (Method 2)</t>
  </si>
  <si>
    <t>Milk consumption (Method 1)</t>
  </si>
  <si>
    <t>Nitrogen excreted (Method 1)</t>
  </si>
  <si>
    <t>M2_Table_NE_j_k_l</t>
  </si>
  <si>
    <t>Nitrogen excreted (Method 2)</t>
  </si>
  <si>
    <t>M2_Table_AE</t>
  </si>
  <si>
    <t>Total nitrogen excreted to pasture, range and paddock (Method 2)</t>
  </si>
  <si>
    <r>
      <t>M</t>
    </r>
    <r>
      <rPr>
        <b/>
        <vertAlign val="subscript"/>
        <sz val="12"/>
        <color theme="1" tint="0.24994659260841701"/>
        <rFont val="Times New Roman"/>
        <family val="1"/>
      </rPr>
      <t>vol</t>
    </r>
  </si>
  <si>
    <t>Where did the livestock spend most of their time grazing?</t>
  </si>
  <si>
    <t>Pasture beefcrop or pasture production systems</t>
  </si>
  <si>
    <r>
      <t>E</t>
    </r>
    <r>
      <rPr>
        <b/>
        <vertAlign val="subscript"/>
        <sz val="12"/>
        <color theme="1" tint="0.24994659260841701"/>
        <rFont val="Times New Roman"/>
        <family val="1"/>
      </rPr>
      <t>N2O,ad</t>
    </r>
  </si>
  <si>
    <r>
      <t>M</t>
    </r>
    <r>
      <rPr>
        <b/>
        <vertAlign val="subscript"/>
        <sz val="12"/>
        <color theme="1" tint="0.24994659260841701"/>
        <rFont val="Times New Roman"/>
        <family val="1"/>
      </rPr>
      <t>leach</t>
    </r>
  </si>
  <si>
    <t>Acknowledgements</t>
  </si>
  <si>
    <t>First calving 3 month 'season'</t>
  </si>
  <si>
    <t>First calving season</t>
  </si>
  <si>
    <t>Pasture</t>
  </si>
  <si>
    <t>MAT (ºC)</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</si>
  <si>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</si>
  <si>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</si>
  <si>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</si>
  <si>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</si>
  <si>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</si>
  <si>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</si>
  <si>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</si>
  <si>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</si>
  <si>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</si>
  <si>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</si>
  <si>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</si>
  <si>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MAT raw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</si>
</sst>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
  </numFmts>
  <fonts count="60"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b/>
      <vertAlign val="subscript"/>
      <sz val="12"/>
      <color theme="1" tint="0.24994659260841701"/>
      <name val="Times New Roman"/>
      <family val="1"/>
    </font>
    <font>
      <b/>
      <sz val="20"/>
      <color theme="4" tint="-0.249977111117893"/>
      <name val="Times New Roman"/>
      <family val="1"/>
    </font>
  </fonts>
  <fills count="15">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s>
  <borders count="20">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s>
  <cellStyleXfs count="65">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4"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6"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5"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3" fillId="4" borderId="0">
      <alignment horizontal="left" vertical="center"/>
    </xf>
    <xf numFmtId="0" fontId="10" fillId="0" borderId="0"/>
    <xf numFmtId="0" fontId="2" fillId="0" borderId="2">
      <alignment horizontal="center" vertical="center"/>
    </xf>
    <xf numFmtId="0" fontId="49" fillId="4" borderId="0">
      <alignment horizontal="left" vertical="center"/>
    </xf>
    <xf numFmtId="0" fontId="50" fillId="4" borderId="0">
      <alignment horizontal="left" vertical="center"/>
    </xf>
    <xf numFmtId="0" fontId="56" fillId="4" borderId="0">
      <alignment horizontal="left" vertical="center"/>
    </xf>
    <xf numFmtId="0" fontId="48" fillId="11" borderId="0">
      <alignment horizontal="center" vertical="center"/>
    </xf>
    <xf numFmtId="0" fontId="22" fillId="11" borderId="0">
      <alignment horizontal="left" vertical="center" indent="1"/>
    </xf>
  </cellStyleXfs>
  <cellXfs count="120">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4"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46"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8" fillId="0" borderId="0" xfId="5" applyFill="1">
      <alignment horizontal="left" vertical="center"/>
    </xf>
    <xf numFmtId="0" fontId="44"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37" fillId="0" borderId="0" xfId="0" applyFont="1"/>
    <xf numFmtId="0" fontId="40" fillId="4" borderId="1" xfId="8" applyBorder="1">
      <alignment horizontal="left" vertical="center"/>
    </xf>
    <xf numFmtId="9" fontId="2" fillId="0" borderId="2" xfId="17">
      <alignment horizontal="center" vertical="center"/>
    </xf>
    <xf numFmtId="4" fontId="26" fillId="0" borderId="0" xfId="18" applyFont="1" applyBorder="1">
      <alignment horizontal="center" vertical="center"/>
    </xf>
    <xf numFmtId="0" fontId="55"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2" fillId="4" borderId="0" xfId="8" applyFont="1">
      <alignment horizontal="left" vertical="center"/>
    </xf>
    <xf numFmtId="0" fontId="6" fillId="4" borderId="0" xfId="56">
      <alignment horizontal="left" vertical="center"/>
    </xf>
    <xf numFmtId="0" fontId="43"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35" fillId="4" borderId="6"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2" fillId="0" borderId="2" xfId="59">
      <alignment horizontal="center" vertical="center"/>
    </xf>
    <xf numFmtId="0" fontId="45" fillId="0" borderId="0" xfId="35" applyFont="1">
      <alignment horizontal="left" vertical="center" indent="1"/>
    </xf>
    <xf numFmtId="0" fontId="11" fillId="0" borderId="0" xfId="33"/>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6" fillId="13" borderId="10" xfId="41" applyBorder="1">
      <alignment horizontal="left" vertical="center"/>
    </xf>
    <xf numFmtId="0" fontId="46" fillId="13" borderId="12" xfId="41" applyBorder="1">
      <alignment horizontal="left" vertical="center"/>
    </xf>
    <xf numFmtId="0" fontId="46" fillId="13" borderId="14" xfId="41" applyBorder="1">
      <alignment horizontal="left" vertical="center"/>
    </xf>
    <xf numFmtId="0" fontId="46" fillId="13" borderId="13" xfId="41" applyBorder="1">
      <alignment horizontal="left" vertical="center"/>
    </xf>
    <xf numFmtId="0" fontId="46" fillId="13" borderId="15" xfId="41" applyBorder="1">
      <alignment horizontal="left" vertical="center"/>
    </xf>
    <xf numFmtId="0" fontId="46" fillId="13" borderId="17" xfId="41" applyBorder="1">
      <alignment horizontal="left" vertical="center"/>
    </xf>
    <xf numFmtId="0" fontId="46" fillId="13" borderId="11" xfId="41" applyBorder="1">
      <alignment horizontal="left" vertical="center"/>
    </xf>
    <xf numFmtId="0" fontId="46" fillId="13" borderId="16" xfId="41" applyBorder="1">
      <alignment horizontal="left" vertical="center"/>
    </xf>
    <xf numFmtId="0" fontId="46" fillId="13" borderId="18" xfId="41" applyBorder="1">
      <alignment horizontal="left" vertical="center"/>
    </xf>
    <xf numFmtId="0" fontId="47" fillId="13" borderId="9" xfId="41" applyFont="1" applyBorder="1">
      <alignment horizontal="left" vertical="center"/>
    </xf>
    <xf numFmtId="9" fontId="35" fillId="4" borderId="2" xfId="14" applyFont="1" applyFill="1" applyBorder="1" applyAlignment="1">
      <alignment horizontal="center" vertical="center"/>
    </xf>
    <xf numFmtId="0" fontId="50" fillId="4" borderId="0" xfId="61">
      <alignment horizontal="left" vertical="center"/>
    </xf>
    <xf numFmtId="0" fontId="49" fillId="4" borderId="0" xfId="60">
      <alignment horizontal="left" vertical="center"/>
    </xf>
    <xf numFmtId="0" fontId="35" fillId="4" borderId="19" xfId="55" applyBorder="1" applyAlignment="1">
      <alignment horizontal="left" vertical="center"/>
    </xf>
    <xf numFmtId="0" fontId="51" fillId="4" borderId="1" xfId="8" applyFont="1" applyBorder="1">
      <alignment horizontal="left" vertical="center"/>
    </xf>
    <xf numFmtId="0" fontId="52" fillId="4" borderId="1" xfId="8" applyFont="1" applyBorder="1">
      <alignment horizontal="left" vertical="center"/>
    </xf>
    <xf numFmtId="0" fontId="53"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6" fillId="4" borderId="0" xfId="62">
      <alignment horizontal="left" vertical="center"/>
    </xf>
    <xf numFmtId="0" fontId="40" fillId="14" borderId="0" xfId="8" applyFill="1">
      <alignment horizontal="left" vertical="center"/>
    </xf>
    <xf numFmtId="0" fontId="35" fillId="4" borderId="2" xfId="55" applyAlignment="1">
      <alignment vertical="center"/>
    </xf>
    <xf numFmtId="0" fontId="35" fillId="4" borderId="6" xfId="55" applyBorder="1" applyAlignment="1">
      <alignment vertical="center"/>
    </xf>
    <xf numFmtId="0" fontId="35" fillId="4" borderId="7" xfId="55" applyBorder="1" applyAlignment="1">
      <alignment vertical="center"/>
    </xf>
    <xf numFmtId="9" fontId="8" fillId="4" borderId="0" xfId="11">
      <alignment horizontal="center" vertical="center"/>
    </xf>
    <xf numFmtId="164" fontId="8" fillId="4" borderId="0" xfId="10">
      <alignment horizontal="center" vertical="center"/>
    </xf>
    <xf numFmtId="0" fontId="42" fillId="4" borderId="1" xfId="8" applyFont="1" applyBorder="1">
      <alignment horizontal="left" vertical="center"/>
    </xf>
    <xf numFmtId="2" fontId="32" fillId="4" borderId="1" xfId="0" applyNumberFormat="1" applyFont="1" applyFill="1" applyBorder="1" applyAlignment="1">
      <alignment horizontal="center"/>
    </xf>
    <xf numFmtId="0" fontId="48" fillId="11" borderId="0" xfId="63">
      <alignment horizontal="center" vertical="center"/>
    </xf>
    <xf numFmtId="0" fontId="59" fillId="0" borderId="0" xfId="2" applyFont="1"/>
    <xf numFmtId="0" fontId="35" fillId="4" borderId="19" xfId="55" applyBorder="1" applyAlignment="1">
      <alignment vertical="center"/>
    </xf>
    <xf numFmtId="0" fontId="0" fillId="0" borderId="0" xfId="29" applyFont="1" applyFill="1">
      <alignment horizontal="left" vertical="center" indent="1"/>
    </xf>
    <xf numFmtId="170" fontId="35" fillId="4" borderId="2" xfId="14" applyNumberFormat="1" applyFont="1" applyFill="1" applyBorder="1" applyAlignment="1">
      <alignment horizontal="center" vertical="center"/>
    </xf>
  </cellXfs>
  <cellStyles count="65">
    <cellStyle name="Alert" xfId="62" xr:uid="{34EFE908-8095-4010-8F93-8CFE88055637}"/>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s>
  <dxfs count="148">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147"/>
      <tableStyleElement type="headerRow" dxfId="146"/>
      <tableStyleElement type="totalRow" dxfId="145"/>
      <tableStyleElement type="firstColumn" dxfId="144"/>
      <tableStyleElement type="firstRowStripe" dxfId="143"/>
      <tableStyleElement type="secondRowStripe" dxfId="142"/>
    </tableStyle>
    <tableStyle name="Equation table" pivot="0" count="6" xr9:uid="{B247698E-E41D-4CCD-AA0A-C14817E9DE65}">
      <tableStyleElement type="wholeTable" dxfId="141"/>
      <tableStyleElement type="headerRow" dxfId="140"/>
      <tableStyleElement type="totalRow" dxfId="139"/>
      <tableStyleElement type="firstColumn" dxfId="138"/>
      <tableStyleElement type="firstRowStripe" dxfId="137"/>
      <tableStyleElement type="secondRowStripe" dxfId="136"/>
    </tableStyle>
    <tableStyle name="Table Style 1" pivot="0" count="0" xr9:uid="{97B370DB-5463-4A31-9160-5A96BD6A559D}"/>
  </tableStyles>
  <colors>
    <mruColors>
      <color rgb="FFC44340"/>
      <color rgb="FF0C769E"/>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26" Type="http://schemas.openxmlformats.org/officeDocument/2006/relationships/customXml" Target="../customXml/item3.xml"/><Relationship Id="rId3" Type="http://schemas.openxmlformats.org/officeDocument/2006/relationships/worksheet" Target="worksheets/sheet3.xml"/><Relationship Id="rId21" Type="http://schemas.microsoft.com/office/2017/06/relationships/rdRichValueStructure" Target="richData/rdrichvaluestructur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microsoft.com/office/2017/06/relationships/rdRichValueTypes" Target="richData/rdRichValueTypes.xml"/><Relationship Id="rId27"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2</xdr:col>
      <xdr:colOff>309562</xdr:colOff>
      <xdr:row>101</xdr:row>
      <xdr:rowOff>195262</xdr:rowOff>
    </xdr:from>
    <xdr:ext cx="3370218" cy="253339"/>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1762" y="2062162"/>
              <a:ext cx="3370218"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𝑗𝑘𝑙</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0.04×</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𝐴</m:t>
                        </m:r>
                      </m:e>
                    </m:d>
                  </m:oMath>
                </m:oMathPara>
              </a14:m>
              <a:endParaRPr lang="en-AU" sz="1100"/>
            </a:p>
          </xdr:txBody>
        </xdr:sp>
      </mc:Choice>
      <mc:Fallback xmlns="">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1762" y="2062162"/>
              <a:ext cx="3370218"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𝑉𝑆_𝑗𝑘𝑙=(𝐼_𝑗𝑘𝑙×(1−𝐷𝑀𝐷_𝑗𝑘𝑙 )+(0.04×𝐼_𝑗𝑘𝑙 ))×(1−𝐴)</a:t>
              </a:r>
              <a:endParaRPr lang="en-AU" sz="1100"/>
            </a:p>
          </xdr:txBody>
        </xdr:sp>
      </mc:Fallback>
    </mc:AlternateContent>
    <xdr:clientData/>
  </xdr:oneCellAnchor>
  <xdr:oneCellAnchor>
    <xdr:from>
      <xdr:col>6</xdr:col>
      <xdr:colOff>1885950</xdr:colOff>
      <xdr:row>7</xdr:row>
      <xdr:rowOff>128587</xdr:rowOff>
    </xdr:from>
    <xdr:ext cx="3718006" cy="194990"/>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10706100" y="1995487"/>
              <a:ext cx="371800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en-AU" sz="1100" b="0" i="1">
                        <a:solidFill>
                          <a:srgbClr val="C44340"/>
                        </a:solidFill>
                        <a:latin typeface="Cambria Math" panose="02040503050406030204" pitchFamily="18" charset="0"/>
                      </a:rPr>
                      <m:t>ORIGINAL</m:t>
                    </m:r>
                    <m:r>
                      <a:rPr lang="en-AU" sz="1100" b="0" i="1">
                        <a:solidFill>
                          <a:srgbClr val="C44340"/>
                        </a:solidFill>
                        <a:latin typeface="Cambria Math" panose="02040503050406030204" pitchFamily="18" charset="0"/>
                      </a:rPr>
                      <m:t>: </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e>
                    </m:d>
                  </m:oMath>
                </m:oMathPara>
              </a14:m>
              <a:endParaRPr lang="en-AU" sz="1100"/>
            </a:p>
          </xdr:txBody>
        </xdr:sp>
      </mc:Choice>
      <mc:Fallback xmlns="">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10706100" y="1995487"/>
              <a:ext cx="371800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a:solidFill>
                    <a:srgbClr val="C44340"/>
                  </a:solidFill>
                  <a:latin typeface="Cambria Math" panose="02040503050406030204" pitchFamily="18" charset="0"/>
                </a:rPr>
                <a:t>ORIGINAL: </a:t>
              </a:r>
              <a:r>
                <a:rPr lang="en-AU" sz="1100" i="0">
                  <a:latin typeface="Cambria Math" panose="02040503050406030204" pitchFamily="18" charset="0"/>
                </a:rPr>
                <a:t>𝑀𝐴_(𝑗𝑘=4,5)=(𝐿𝐶_(𝑗𝑘=4,5)×𝐹𝐴_(𝑗𝑘=4,5) )+(1−𝐿𝐶_(𝑗𝑘=4,5) )</a:t>
              </a:r>
              <a:endParaRPr lang="en-AU" sz="1100"/>
            </a:p>
          </xdr:txBody>
        </xdr:sp>
      </mc:Fallback>
    </mc:AlternateContent>
    <xdr:clientData/>
  </xdr:oneCellAnchor>
  <xdr:oneCellAnchor>
    <xdr:from>
      <xdr:col>3</xdr:col>
      <xdr:colOff>23812</xdr:colOff>
      <xdr:row>39</xdr:row>
      <xdr:rowOff>128587</xdr:rowOff>
    </xdr:from>
    <xdr:ext cx="5088508" cy="234103"/>
    <mc:AlternateContent xmlns:mc="http://schemas.openxmlformats.org/markup-compatibility/2006" xmlns:a14="http://schemas.microsoft.com/office/drawing/2010/main">
      <mc:Choice Requires="a14">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𝑗𝑘𝑙</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oMath>
                </m:oMathPara>
              </a14:m>
              <a:endParaRPr lang="en-AU" sz="1100"/>
            </a:p>
          </xdr:txBody>
        </xdr:sp>
      </mc:Choice>
      <mc:Fallback xmlns="">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𝐼_𝑗𝑘𝑙=(1.185+0.00454×𝑊_𝑗𝑘𝑙−0.0000026×𝑊_𝑗𝑘𝑙^2+0.315×𝐿𝑊𝐺_𝑗𝑘𝑙 )^2×𝑀𝐴_(𝑗𝑘=4,5)</a:t>
              </a:r>
              <a:endParaRPr lang="en-AU" sz="1100"/>
            </a:p>
          </xdr:txBody>
        </xdr:sp>
      </mc:Fallback>
    </mc:AlternateContent>
    <xdr:clientData/>
  </xdr:oneCellAnchor>
  <xdr:oneCellAnchor>
    <xdr:from>
      <xdr:col>2</xdr:col>
      <xdr:colOff>271462</xdr:colOff>
      <xdr:row>7</xdr:row>
      <xdr:rowOff>90487</xdr:rowOff>
    </xdr:from>
    <xdr:ext cx="6958059" cy="253339"/>
    <mc:AlternateContent xmlns:mc="http://schemas.openxmlformats.org/markup-compatibility/2006" xmlns:a14="http://schemas.microsoft.com/office/drawing/2010/main">
      <mc:Choice Requires="a14">
        <xdr:sp macro="" textlink="">
          <xdr:nvSpPr>
            <xdr:cNvPr id="26" name="TextBox 25">
              <a:extLst>
                <a:ext uri="{FF2B5EF4-FFF2-40B4-BE49-F238E27FC236}">
                  <a16:creationId xmlns:a16="http://schemas.microsoft.com/office/drawing/2014/main" id="{8395D07C-7ED9-6C38-6CDB-E96CFF196D93}"/>
                </a:ext>
              </a:extLst>
            </xdr:cNvPr>
            <xdr:cNvSpPr txBox="1"/>
          </xdr:nvSpPr>
          <xdr:spPr>
            <a:xfrm>
              <a:off x="2633662" y="1957387"/>
              <a:ext cx="695805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𝑐𝑢𝑟𝑟</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𝑐𝑎𝑙𝑣</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𝑝𝑟𝑒𝑣</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𝑎𝑓𝑡𝑒𝑟</m:t>
                                </m:r>
                              </m:sub>
                            </m:sSub>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𝑐𝑢𝑟𝑟</m:t>
                                </m:r>
                              </m:sub>
                            </m:sSub>
                            <m:r>
                              <a:rPr lang="en-AU" sz="1100" i="1">
                                <a:latin typeface="Cambria Math" panose="02040503050406030204" pitchFamily="18" charset="0"/>
                              </a:rPr>
                              <m:t>+</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𝑝𝑟𝑒𝑣</m:t>
                                </m:r>
                              </m:sub>
                            </m:sSub>
                          </m:e>
                        </m:d>
                      </m:e>
                    </m:d>
                  </m:oMath>
                </m:oMathPara>
              </a14:m>
              <a:endParaRPr lang="en-AU" sz="1100"/>
            </a:p>
          </xdr:txBody>
        </xdr:sp>
      </mc:Choice>
      <mc:Fallback xmlns="">
        <xdr:sp macro="" textlink="">
          <xdr:nvSpPr>
            <xdr:cNvPr id="26" name="TextBox 25">
              <a:extLst>
                <a:ext uri="{FF2B5EF4-FFF2-40B4-BE49-F238E27FC236}">
                  <a16:creationId xmlns:a16="http://schemas.microsoft.com/office/drawing/2014/main" id="{8395D07C-7ED9-6C38-6CDB-E96CFF196D93}"/>
                </a:ext>
              </a:extLst>
            </xdr:cNvPr>
            <xdr:cNvSpPr txBox="1"/>
          </xdr:nvSpPr>
          <xdr:spPr>
            <a:xfrm>
              <a:off x="2633662" y="1957387"/>
              <a:ext cx="695805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𝑀𝐴_(𝑗𝑘=4,5)=((𝐿𝐶_(𝑗𝑘=4,5,𝑐𝑢𝑟𝑟)×𝐹𝐴_(𝑗𝑘=4,5,𝑐𝑎𝑙𝑣) )+(𝐿𝐶_(𝑗𝑘=4,5,𝑝𝑟𝑒𝑣)×𝐹𝐴_(𝑗𝑘=4,5,𝑎𝑓𝑡𝑒𝑟) ))+(1−(𝐿𝐶_(𝑗𝑘=4,5,𝑐𝑢𝑟𝑟)+𝐿𝐶_(𝑗𝑘=4,5,𝑝𝑟𝑒𝑣) ))</a:t>
              </a:r>
              <a:endParaRPr lang="en-AU" sz="1100"/>
            </a:p>
          </xdr:txBody>
        </xdr:sp>
      </mc:Fallback>
    </mc:AlternateContent>
    <xdr:clientData/>
  </xdr:oneCellAnchor>
  <xdr:oneCellAnchor>
    <xdr:from>
      <xdr:col>3</xdr:col>
      <xdr:colOff>4762</xdr:colOff>
      <xdr:row>148</xdr:row>
      <xdr:rowOff>90487</xdr:rowOff>
    </xdr:from>
    <xdr:ext cx="2595389" cy="182871"/>
    <mc:AlternateContent xmlns:mc="http://schemas.openxmlformats.org/markup-compatibility/2006" xmlns:a14="http://schemas.microsoft.com/office/drawing/2010/main">
      <mc:Choice Requires="a14">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1287" y="36876037"/>
              <a:ext cx="2595389"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𝑗𝑘𝑙𝑚</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𝐵</m:t>
                        </m:r>
                      </m:e>
                      <m:sub>
                        <m:r>
                          <a:rPr lang="en-AU" sz="1100" i="1">
                            <a:latin typeface="Cambria Math" panose="02040503050406030204" pitchFamily="18" charset="0"/>
                          </a:rPr>
                          <m:t>𝑜</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1287" y="36876037"/>
              <a:ext cx="2595389"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𝑀_𝑗𝑘𝑙𝑚=𝑉𝑆_𝑗𝑘𝑙×𝐵_𝑜×𝑀𝑀𝑆_𝑚×𝑀𝐶𝐹_𝑖𝑚×𝜌</a:t>
              </a:r>
              <a:endParaRPr lang="en-AU" sz="1100"/>
            </a:p>
          </xdr:txBody>
        </xdr:sp>
      </mc:Fallback>
    </mc:AlternateContent>
    <xdr:clientData/>
  </xdr:oneCellAnchor>
  <xdr:oneCellAnchor>
    <xdr:from>
      <xdr:col>3</xdr:col>
      <xdr:colOff>11722</xdr:colOff>
      <xdr:row>206</xdr:row>
      <xdr:rowOff>27946</xdr:rowOff>
    </xdr:from>
    <xdr:ext cx="2957348" cy="429926"/>
    <mc:AlternateContent xmlns:mc="http://schemas.openxmlformats.org/markup-compatibility/2006" xmlns:a14="http://schemas.microsoft.com/office/drawing/2010/main">
      <mc:Choice Requires="a14">
        <xdr:sp macro="" textlink="">
          <xdr:nvSpPr>
            <xdr:cNvPr id="30" name="TextBox 29">
              <a:extLst>
                <a:ext uri="{FF2B5EF4-FFF2-40B4-BE49-F238E27FC236}">
                  <a16:creationId xmlns:a16="http://schemas.microsoft.com/office/drawing/2014/main" id="{5ED4D718-1134-7A52-0811-95B5DD0D6488}"/>
                </a:ext>
              </a:extLst>
            </xdr:cNvPr>
            <xdr:cNvSpPr txBox="1"/>
          </xdr:nvSpPr>
          <xdr:spPr>
            <a:xfrm>
              <a:off x="2693376" y="51477600"/>
              <a:ext cx="2957348"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𝑙</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0" name="TextBox 29">
              <a:extLst>
                <a:ext uri="{FF2B5EF4-FFF2-40B4-BE49-F238E27FC236}">
                  <a16:creationId xmlns:a16="http://schemas.microsoft.com/office/drawing/2014/main" id="{5ED4D718-1134-7A52-0811-95B5DD0D6488}"/>
                </a:ext>
              </a:extLst>
            </xdr:cNvPr>
            <xdr:cNvSpPr txBox="1"/>
          </xdr:nvSpPr>
          <xdr:spPr>
            <a:xfrm>
              <a:off x="2693376" y="51477600"/>
              <a:ext cx="2957348"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𝐸_𝐶𝐻4=∑8_𝑗▒∑8_𝑘▒∑8_𝑙▒∑8_𝑚▒(𝑁_𝑗𝑘𝑙×𝑀_𝑗𝑘𝑙𝑚×𝐷_𝑗 ) ×10^(−3)</a:t>
              </a:r>
              <a:endParaRPr lang="en-AU" sz="1100"/>
            </a:p>
          </xdr:txBody>
        </xdr:sp>
      </mc:Fallback>
    </mc:AlternateContent>
    <xdr:clientData/>
  </xdr:oneCellAnchor>
</xdr:wsDr>
</file>

<file path=xl/drawings/drawing3.xml><?xml version="1.0" encoding="utf-8"?>
<xdr:wsDr xmlns:xdr="http://schemas.openxmlformats.org/drawingml/2006/spreadsheetDrawing" xmlns:a="http://schemas.openxmlformats.org/drawingml/2006/main">
  <xdr:oneCellAnchor>
    <xdr:from>
      <xdr:col>3</xdr:col>
      <xdr:colOff>4762</xdr:colOff>
      <xdr:row>7</xdr:row>
      <xdr:rowOff>47625</xdr:rowOff>
    </xdr:from>
    <xdr:ext cx="797334" cy="350352"/>
    <mc:AlternateContent xmlns:mc="http://schemas.openxmlformats.org/markup-compatibility/2006" xmlns:a14="http://schemas.microsoft.com/office/drawing/2010/main">
      <mc:Choice Requires="a14">
        <xdr:sp macro="" textlink="">
          <xdr:nvSpPr>
            <xdr:cNvPr id="32" name="TextBox 31">
              <a:extLst>
                <a:ext uri="{FF2B5EF4-FFF2-40B4-BE49-F238E27FC236}">
                  <a16:creationId xmlns:a16="http://schemas.microsoft.com/office/drawing/2014/main" id="{7F77F64B-57DD-4670-CAAE-7FB1F2DD530E}"/>
                </a:ext>
              </a:extLst>
            </xdr:cNvPr>
            <xdr:cNvSpPr txBox="1"/>
          </xdr:nvSpPr>
          <xdr:spPr>
            <a:xfrm>
              <a:off x="2681287" y="1914525"/>
              <a:ext cx="797334" cy="3503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𝑗𝑘𝑙</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num>
                      <m:den>
                        <m:r>
                          <a:rPr lang="en-AU" sz="1100" i="1">
                            <a:latin typeface="Cambria Math" panose="02040503050406030204" pitchFamily="18" charset="0"/>
                          </a:rPr>
                          <m:t>𝑆𝑅</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𝑘</m:t>
                            </m:r>
                          </m:sub>
                        </m:sSub>
                      </m:den>
                    </m:f>
                  </m:oMath>
                </m:oMathPara>
              </a14:m>
              <a:endParaRPr lang="en-AU" sz="1100"/>
            </a:p>
          </xdr:txBody>
        </xdr:sp>
      </mc:Choice>
      <mc:Fallback xmlns="">
        <xdr:sp macro="" textlink="">
          <xdr:nvSpPr>
            <xdr:cNvPr id="32" name="TextBox 31">
              <a:extLst>
                <a:ext uri="{FF2B5EF4-FFF2-40B4-BE49-F238E27FC236}">
                  <a16:creationId xmlns:a16="http://schemas.microsoft.com/office/drawing/2014/main" id="{7F77F64B-57DD-4670-CAAE-7FB1F2DD530E}"/>
                </a:ext>
              </a:extLst>
            </xdr:cNvPr>
            <xdr:cNvSpPr txBox="1"/>
          </xdr:nvSpPr>
          <xdr:spPr>
            <a:xfrm>
              <a:off x="2681287" y="1914525"/>
              <a:ext cx="797334" cy="3503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𝑍_𝑗𝑘𝑙=𝑊_𝑗𝑘𝑙/(𝑆𝑅𝑊_𝑘 )</a:t>
              </a:r>
              <a:endParaRPr lang="en-AU" sz="1100"/>
            </a:p>
          </xdr:txBody>
        </xdr:sp>
      </mc:Fallback>
    </mc:AlternateContent>
    <xdr:clientData/>
  </xdr:oneCellAnchor>
  <xdr:oneCellAnchor>
    <xdr:from>
      <xdr:col>2</xdr:col>
      <xdr:colOff>290512</xdr:colOff>
      <xdr:row>42</xdr:row>
      <xdr:rowOff>38100</xdr:rowOff>
    </xdr:from>
    <xdr:ext cx="3303853" cy="426592"/>
    <mc:AlternateContent xmlns:mc="http://schemas.openxmlformats.org/markup-compatibility/2006" xmlns:a14="http://schemas.microsoft.com/office/drawing/2010/main">
      <mc:Choice Requires="a14">
        <xdr:sp macro="" textlink="">
          <xdr:nvSpPr>
            <xdr:cNvPr id="33" name="TextBox 32">
              <a:extLst>
                <a:ext uri="{FF2B5EF4-FFF2-40B4-BE49-F238E27FC236}">
                  <a16:creationId xmlns:a16="http://schemas.microsoft.com/office/drawing/2014/main" id="{5A058CEC-33A7-35FA-5853-766C7B1F9F51}"/>
                </a:ext>
              </a:extLst>
            </xdr:cNvPr>
            <xdr:cNvSpPr txBox="1"/>
          </xdr:nvSpPr>
          <xdr:spPr>
            <a:xfrm>
              <a:off x="2652712" y="10572750"/>
              <a:ext cx="3303853"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𝑗𝑘𝑙</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num>
                      <m:den>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2</m:t>
                                    </m:r>
                                  </m:sup>
                                </m:sSubSup>
                              </m:e>
                            </m:d>
                          </m:e>
                          <m:sup>
                            <m:r>
                              <a:rPr lang="en-AU" sz="1100" i="1">
                                <a:latin typeface="Cambria Math" panose="02040503050406030204" pitchFamily="18" charset="0"/>
                              </a:rPr>
                              <m:t>2</m:t>
                            </m:r>
                          </m:sup>
                        </m:sSup>
                      </m:den>
                    </m:f>
                  </m:oMath>
                </m:oMathPara>
              </a14:m>
              <a:endParaRPr lang="en-AU" sz="1100"/>
            </a:p>
          </xdr:txBody>
        </xdr:sp>
      </mc:Choice>
      <mc:Fallback xmlns="">
        <xdr:sp macro="" textlink="">
          <xdr:nvSpPr>
            <xdr:cNvPr id="33" name="TextBox 32">
              <a:extLst>
                <a:ext uri="{FF2B5EF4-FFF2-40B4-BE49-F238E27FC236}">
                  <a16:creationId xmlns:a16="http://schemas.microsoft.com/office/drawing/2014/main" id="{5A058CEC-33A7-35FA-5853-766C7B1F9F51}"/>
                </a:ext>
              </a:extLst>
            </xdr:cNvPr>
            <xdr:cNvSpPr txBox="1"/>
          </xdr:nvSpPr>
          <xdr:spPr>
            <a:xfrm>
              <a:off x="2652712" y="10572750"/>
              <a:ext cx="3303853"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𝐿_𝑗𝑘𝑙=𝐼_𝑗𝑘𝑙/(1.185+0.00454×𝑊_𝑗𝑘𝑙−0.0000026×𝑊_𝑗𝑘𝑙^2 )^2 </a:t>
              </a:r>
              <a:endParaRPr lang="en-AU" sz="1100"/>
            </a:p>
          </xdr:txBody>
        </xdr:sp>
      </mc:Fallback>
    </mc:AlternateContent>
    <xdr:clientData/>
  </xdr:oneCellAnchor>
  <xdr:oneCellAnchor>
    <xdr:from>
      <xdr:col>7</xdr:col>
      <xdr:colOff>490537</xdr:colOff>
      <xdr:row>72</xdr:row>
      <xdr:rowOff>161925</xdr:rowOff>
    </xdr:from>
    <xdr:ext cx="2458815" cy="182871"/>
    <mc:AlternateContent xmlns:mc="http://schemas.openxmlformats.org/markup-compatibility/2006" xmlns:a14="http://schemas.microsoft.com/office/drawing/2010/main">
      <mc:Choice Requires="a14">
        <xdr:sp macro="" textlink="">
          <xdr:nvSpPr>
            <xdr:cNvPr id="34" name="TextBox 33">
              <a:extLst>
                <a:ext uri="{FF2B5EF4-FFF2-40B4-BE49-F238E27FC236}">
                  <a16:creationId xmlns:a16="http://schemas.microsoft.com/office/drawing/2014/main" id="{D09F3638-EFF8-AB8B-E07E-46FE6C7466E8}"/>
                </a:ext>
              </a:extLst>
            </xdr:cNvPr>
            <xdr:cNvSpPr txBox="1"/>
          </xdr:nvSpPr>
          <xdr:spPr>
            <a:xfrm>
              <a:off x="11358562" y="17878425"/>
              <a:ext cx="245881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en-AU" sz="1100" b="0" i="1">
                        <a:solidFill>
                          <a:srgbClr val="C44340"/>
                        </a:solidFill>
                        <a:latin typeface="Cambria Math" panose="02040503050406030204" pitchFamily="18" charset="0"/>
                      </a:rPr>
                      <m:t>ORIGINAL</m:t>
                    </m:r>
                    <m:r>
                      <a:rPr lang="en-AU" sz="1100" b="0" i="1">
                        <a:solidFill>
                          <a:srgbClr val="C44340"/>
                        </a:solidFill>
                        <a:latin typeface="Cambria Math" panose="02040503050406030204" pitchFamily="18" charset="0"/>
                      </a:rPr>
                      <m:t>: </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𝑗𝑘</m:t>
                        </m:r>
                        <m:r>
                          <a:rPr lang="en-AU" sz="1100" i="1">
                            <a:latin typeface="Cambria Math" panose="02040503050406030204" pitchFamily="18" charset="0"/>
                          </a:rPr>
                          <m:t>=5</m:t>
                        </m:r>
                      </m:sub>
                    </m:sSub>
                    <m:r>
                      <a:rPr lang="en-AU" sz="1100" i="1">
                        <a:latin typeface="Cambria Math" panose="02040503050406030204" pitchFamily="18" charset="0"/>
                      </a:rPr>
                      <m:t>=</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=5</m:t>
                        </m:r>
                      </m:sub>
                    </m:sSub>
                    <m:r>
                      <a:rPr lang="en-AU" sz="1100" i="1">
                        <a:latin typeface="Cambria Math" panose="02040503050406030204" pitchFamily="18" charset="0"/>
                      </a:rPr>
                      <m:t>×</m:t>
                    </m:r>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𝑗𝑘</m:t>
                        </m:r>
                        <m:r>
                          <a:rPr lang="en-AU" sz="1100" i="1">
                            <a:latin typeface="Cambria Math" panose="02040503050406030204" pitchFamily="18" charset="0"/>
                          </a:rPr>
                          <m:t>=5</m:t>
                        </m:r>
                      </m:sub>
                    </m:sSub>
                  </m:oMath>
                </m:oMathPara>
              </a14:m>
              <a:endParaRPr lang="en-AU" sz="1100"/>
            </a:p>
          </xdr:txBody>
        </xdr:sp>
      </mc:Choice>
      <mc:Fallback xmlns="">
        <xdr:sp macro="" textlink="">
          <xdr:nvSpPr>
            <xdr:cNvPr id="34" name="TextBox 33">
              <a:extLst>
                <a:ext uri="{FF2B5EF4-FFF2-40B4-BE49-F238E27FC236}">
                  <a16:creationId xmlns:a16="http://schemas.microsoft.com/office/drawing/2014/main" id="{D09F3638-EFF8-AB8B-E07E-46FE6C7466E8}"/>
                </a:ext>
              </a:extLst>
            </xdr:cNvPr>
            <xdr:cNvSpPr txBox="1"/>
          </xdr:nvSpPr>
          <xdr:spPr>
            <a:xfrm>
              <a:off x="11358562" y="17878425"/>
              <a:ext cx="245881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b="0" i="0">
                  <a:solidFill>
                    <a:srgbClr val="C44340"/>
                  </a:solidFill>
                  <a:latin typeface="Cambria Math" panose="02040503050406030204" pitchFamily="18" charset="0"/>
                </a:rPr>
                <a:t>ORIGINAL: </a:t>
              </a:r>
              <a:r>
                <a:rPr lang="en-AU" sz="1100" i="0">
                  <a:latin typeface="Cambria Math" panose="02040503050406030204" pitchFamily="18" charset="0"/>
                </a:rPr>
                <a:t>𝑀𝑃_(𝑗𝑘=5)=𝐿𝐶_(𝑗𝑘=5)×𝐷𝑀𝑃_(𝑗𝑘=5)</a:t>
              </a:r>
              <a:endParaRPr lang="en-AU" sz="1100"/>
            </a:p>
          </xdr:txBody>
        </xdr:sp>
      </mc:Fallback>
    </mc:AlternateContent>
    <xdr:clientData/>
  </xdr:oneCellAnchor>
  <xdr:oneCellAnchor>
    <xdr:from>
      <xdr:col>3</xdr:col>
      <xdr:colOff>4762</xdr:colOff>
      <xdr:row>72</xdr:row>
      <xdr:rowOff>152400</xdr:rowOff>
    </xdr:from>
    <xdr:ext cx="4483022" cy="194990"/>
    <mc:AlternateContent xmlns:mc="http://schemas.openxmlformats.org/markup-compatibility/2006" xmlns:a14="http://schemas.microsoft.com/office/drawing/2010/main">
      <mc:Choice Requires="a14">
        <xdr:sp macro="" textlink="">
          <xdr:nvSpPr>
            <xdr:cNvPr id="35" name="TextBox 34">
              <a:extLst>
                <a:ext uri="{FF2B5EF4-FFF2-40B4-BE49-F238E27FC236}">
                  <a16:creationId xmlns:a16="http://schemas.microsoft.com/office/drawing/2014/main" id="{57AAE539-5E0A-2DC4-BCB9-9CA6E3134616}"/>
                </a:ext>
              </a:extLst>
            </xdr:cNvPr>
            <xdr:cNvSpPr txBox="1"/>
          </xdr:nvSpPr>
          <xdr:spPr>
            <a:xfrm>
              <a:off x="2681287" y="17868900"/>
              <a:ext cx="448302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𝑗𝑘</m:t>
                        </m:r>
                        <m:r>
                          <a:rPr lang="en-AU" sz="1100" i="1">
                            <a:latin typeface="Cambria Math" panose="02040503050406030204" pitchFamily="18" charset="0"/>
                          </a:rPr>
                          <m:t>=5</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=5,</m:t>
                            </m:r>
                            <m:r>
                              <a:rPr lang="en-AU" sz="1100" i="1">
                                <a:latin typeface="Cambria Math" panose="02040503050406030204" pitchFamily="18" charset="0"/>
                              </a:rPr>
                              <m:t>𝑐𝑢𝑟𝑟𝑒𝑛𝑡</m:t>
                            </m:r>
                          </m:sub>
                        </m:sSub>
                        <m:r>
                          <a:rPr lang="en-AU" sz="1100" i="1">
                            <a:latin typeface="Cambria Math" panose="02040503050406030204" pitchFamily="18" charset="0"/>
                          </a:rPr>
                          <m:t>×</m:t>
                        </m:r>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𝑗𝑘</m:t>
                            </m:r>
                            <m:r>
                              <a:rPr lang="en-AU" sz="1100" i="1">
                                <a:latin typeface="Cambria Math" panose="02040503050406030204" pitchFamily="18" charset="0"/>
                              </a:rPr>
                              <m:t>=5,</m:t>
                            </m:r>
                            <m:r>
                              <a:rPr lang="en-AU" sz="1100" i="1">
                                <a:latin typeface="Cambria Math" panose="02040503050406030204" pitchFamily="18" charset="0"/>
                              </a:rPr>
                              <m:t>𝑐𝑎𝑙𝑣</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=5,</m:t>
                            </m:r>
                            <m:r>
                              <a:rPr lang="en-AU" sz="1100" i="1">
                                <a:latin typeface="Cambria Math" panose="02040503050406030204" pitchFamily="18" charset="0"/>
                              </a:rPr>
                              <m:t>𝑝𝑟𝑒𝑣</m:t>
                            </m:r>
                          </m:sub>
                        </m:sSub>
                        <m:r>
                          <a:rPr lang="en-AU" sz="1100" i="1">
                            <a:latin typeface="Cambria Math" panose="02040503050406030204" pitchFamily="18" charset="0"/>
                          </a:rPr>
                          <m:t>×</m:t>
                        </m:r>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𝑗𝑘</m:t>
                            </m:r>
                            <m:r>
                              <a:rPr lang="en-AU" sz="1100" i="1">
                                <a:latin typeface="Cambria Math" panose="02040503050406030204" pitchFamily="18" charset="0"/>
                              </a:rPr>
                              <m:t>=5,</m:t>
                            </m:r>
                            <m:r>
                              <a:rPr lang="en-AU" sz="1100" i="1">
                                <a:latin typeface="Cambria Math" panose="02040503050406030204" pitchFamily="18" charset="0"/>
                              </a:rPr>
                              <m:t>𝑎𝑓𝑡𝑒𝑟</m:t>
                            </m:r>
                          </m:sub>
                        </m:sSub>
                      </m:e>
                    </m:d>
                  </m:oMath>
                </m:oMathPara>
              </a14:m>
              <a:endParaRPr lang="en-AU" sz="1100"/>
            </a:p>
          </xdr:txBody>
        </xdr:sp>
      </mc:Choice>
      <mc:Fallback xmlns="">
        <xdr:sp macro="" textlink="">
          <xdr:nvSpPr>
            <xdr:cNvPr id="35" name="TextBox 34">
              <a:extLst>
                <a:ext uri="{FF2B5EF4-FFF2-40B4-BE49-F238E27FC236}">
                  <a16:creationId xmlns:a16="http://schemas.microsoft.com/office/drawing/2014/main" id="{57AAE539-5E0A-2DC4-BCB9-9CA6E3134616}"/>
                </a:ext>
              </a:extLst>
            </xdr:cNvPr>
            <xdr:cNvSpPr txBox="1"/>
          </xdr:nvSpPr>
          <xdr:spPr>
            <a:xfrm>
              <a:off x="2681287" y="17868900"/>
              <a:ext cx="448302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𝑀𝑃_(𝑗𝑘=5)=(𝐿𝐶_(𝑗𝑘=5,𝑐𝑢𝑟𝑟𝑒𝑛𝑡)×𝐷𝑀𝑃_(𝑗𝑘=5,𝑐𝑎𝑙𝑣) )+(𝐿𝐶_(𝑗𝑘=5,𝑝𝑟𝑒𝑣)×𝐷𝑀𝑃_(𝑗𝑘=5,𝑎𝑓𝑡𝑒𝑟) )</a:t>
              </a:r>
              <a:endParaRPr lang="en-AU" sz="1100"/>
            </a:p>
          </xdr:txBody>
        </xdr:sp>
      </mc:Fallback>
    </mc:AlternateContent>
    <xdr:clientData/>
  </xdr:oneCellAnchor>
  <xdr:oneCellAnchor>
    <xdr:from>
      <xdr:col>2</xdr:col>
      <xdr:colOff>282388</xdr:colOff>
      <xdr:row>104</xdr:row>
      <xdr:rowOff>47066</xdr:rowOff>
    </xdr:from>
    <xdr:ext cx="7589001" cy="540404"/>
    <mc:AlternateContent xmlns:mc="http://schemas.openxmlformats.org/markup-compatibility/2006" xmlns:a14="http://schemas.microsoft.com/office/drawing/2010/main">
      <mc:Choice Requires="a14">
        <xdr:sp macro="" textlink="">
          <xdr:nvSpPr>
            <xdr:cNvPr id="36" name="TextBox 35">
              <a:extLst>
                <a:ext uri="{FF2B5EF4-FFF2-40B4-BE49-F238E27FC236}">
                  <a16:creationId xmlns:a16="http://schemas.microsoft.com/office/drawing/2014/main" id="{BE535B94-C413-5D65-DEC7-F06F3390788B}"/>
                </a:ext>
              </a:extLst>
            </xdr:cNvPr>
            <xdr:cNvSpPr txBox="1"/>
          </xdr:nvSpPr>
          <xdr:spPr>
            <a:xfrm>
              <a:off x="2648984" y="26086951"/>
              <a:ext cx="7589001" cy="540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0.032×</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𝑗𝑘</m:t>
                            </m:r>
                            <m:r>
                              <a:rPr lang="en-AU" sz="1100" i="1">
                                <a:latin typeface="Cambria Math" panose="02040503050406030204" pitchFamily="18" charset="0"/>
                              </a:rPr>
                              <m:t>=5</m:t>
                            </m:r>
                          </m:sub>
                        </m:sSub>
                        <m:r>
                          <a:rPr lang="en-AU" sz="1100" i="1">
                            <a:latin typeface="Cambria Math" panose="02040503050406030204" pitchFamily="18" charset="0"/>
                          </a:rPr>
                          <m:t>÷6.38</m:t>
                        </m:r>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begChr m:val="{"/>
                            <m:endChr m:val="}"/>
                            <m:ctrlPr>
                              <a:rPr lang="en-AU" sz="1100" i="1">
                                <a:latin typeface="Cambria Math" panose="02040503050406030204" pitchFamily="18" charset="0"/>
                              </a:rPr>
                            </m:ctrlPr>
                          </m:dPr>
                          <m:e>
                            <m:r>
                              <a:rPr lang="en-AU" sz="1100" i="1">
                                <a:latin typeface="Cambria Math" panose="02040503050406030204" pitchFamily="18" charset="0"/>
                              </a:rPr>
                              <m:t>0.212−0.008×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𝑗𝑘𝑙</m:t>
                                    </m:r>
                                  </m:sub>
                                </m:sSub>
                                <m:r>
                                  <a:rPr lang="en-AU" sz="1100" i="1">
                                    <a:latin typeface="Cambria Math" panose="02040503050406030204" pitchFamily="18" charset="0"/>
                                  </a:rPr>
                                  <m:t>−2</m:t>
                                </m:r>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0.140−0.008×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𝑗𝑘𝑙</m:t>
                                            </m:r>
                                          </m:sub>
                                        </m:sSub>
                                        <m:r>
                                          <a:rPr lang="en-AU" sz="1100" i="1">
                                            <a:latin typeface="Cambria Math" panose="02040503050406030204" pitchFamily="18" charset="0"/>
                                          </a:rPr>
                                          <m:t>−2</m:t>
                                        </m:r>
                                      </m:e>
                                    </m:d>
                                  </m:num>
                                  <m:den>
                                    <m:r>
                                      <a:rPr lang="en-AU" sz="1100" i="1">
                                        <a:latin typeface="Cambria Math" panose="02040503050406030204" pitchFamily="18" charset="0"/>
                                      </a:rPr>
                                      <m:t>1+</m:t>
                                    </m:r>
                                    <m:sSup>
                                      <m:sSupPr>
                                        <m:ctrlPr>
                                          <a:rPr lang="en-AU" sz="1100" i="1">
                                            <a:latin typeface="Cambria Math" panose="02040503050406030204" pitchFamily="18" charset="0"/>
                                          </a:rPr>
                                        </m:ctrlPr>
                                      </m:sSupPr>
                                      <m:e>
                                        <m:r>
                                          <a:rPr lang="en-AU" sz="1100" i="1">
                                            <a:latin typeface="Cambria Math" panose="02040503050406030204" pitchFamily="18" charset="0"/>
                                          </a:rPr>
                                          <m:t>𝑒</m:t>
                                        </m:r>
                                      </m:e>
                                      <m:sup>
                                        <m:d>
                                          <m:dPr>
                                            <m:ctrlPr>
                                              <a:rPr lang="en-AU" sz="1100" i="1">
                                                <a:latin typeface="Cambria Math" panose="02040503050406030204" pitchFamily="18" charset="0"/>
                                              </a:rPr>
                                            </m:ctrlPr>
                                          </m:dPr>
                                          <m:e>
                                            <m:r>
                                              <a:rPr lang="en-AU" sz="1100" i="1">
                                                <a:latin typeface="Cambria Math" panose="02040503050406030204" pitchFamily="18" charset="0"/>
                                              </a:rPr>
                                              <m:t>−6×</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𝑗𝑘𝑙</m:t>
                                                    </m:r>
                                                  </m:sub>
                                                </m:sSub>
                                                <m:r>
                                                  <a:rPr lang="en-AU" sz="1100" i="1">
                                                    <a:latin typeface="Cambria Math" panose="02040503050406030204" pitchFamily="18" charset="0"/>
                                                  </a:rPr>
                                                  <m:t>−0.4</m:t>
                                                </m:r>
                                              </m:e>
                                            </m:d>
                                          </m:e>
                                        </m:d>
                                      </m:sup>
                                    </m:sSup>
                                  </m:den>
                                </m:f>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𝑗𝑘𝑙</m:t>
                                </m:r>
                              </m:sub>
                            </m:sSub>
                            <m:r>
                              <a:rPr lang="en-AU" sz="1100" i="1">
                                <a:latin typeface="Cambria Math" panose="02040503050406030204" pitchFamily="18" charset="0"/>
                              </a:rPr>
                              <m:t>×0.92</m:t>
                            </m:r>
                          </m:e>
                        </m:d>
                      </m:e>
                    </m:d>
                    <m:r>
                      <a:rPr lang="en-AU" sz="1100" i="1">
                        <a:latin typeface="Cambria Math" panose="02040503050406030204" pitchFamily="18" charset="0"/>
                      </a:rPr>
                      <m:t>÷6.25</m:t>
                    </m:r>
                  </m:oMath>
                </m:oMathPara>
              </a14:m>
              <a:endParaRPr lang="en-AU" sz="1100"/>
            </a:p>
          </xdr:txBody>
        </xdr:sp>
      </mc:Choice>
      <mc:Fallback xmlns="">
        <xdr:sp macro="" textlink="">
          <xdr:nvSpPr>
            <xdr:cNvPr id="36" name="TextBox 35">
              <a:extLst>
                <a:ext uri="{FF2B5EF4-FFF2-40B4-BE49-F238E27FC236}">
                  <a16:creationId xmlns:a16="http://schemas.microsoft.com/office/drawing/2014/main" id="{BE535B94-C413-5D65-DEC7-F06F3390788B}"/>
                </a:ext>
              </a:extLst>
            </xdr:cNvPr>
            <xdr:cNvSpPr txBox="1"/>
          </xdr:nvSpPr>
          <xdr:spPr>
            <a:xfrm>
              <a:off x="2648984" y="26086951"/>
              <a:ext cx="7589001" cy="540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𝑁𝑅_𝑗𝑘𝑙=(0.032×𝑀𝑃_(𝑗𝑘=5)÷6.38)+{{0.212−0.008×(𝐿_𝑗𝑘𝑙−2)−[(0.140−0.008×(𝐿_𝑗𝑘𝑙−2))/(1+𝑒^((−6×(𝑍_𝑗𝑘𝑙−0.4)) ) )]}×(𝐿𝑊𝐺_𝑗𝑘𝑙×0.92)}÷6.25</a:t>
              </a:r>
              <a:endParaRPr lang="en-AU" sz="1100"/>
            </a:p>
          </xdr:txBody>
        </xdr:sp>
      </mc:Fallback>
    </mc:AlternateContent>
    <xdr:clientData/>
  </xdr:oneCellAnchor>
  <xdr:oneCellAnchor>
    <xdr:from>
      <xdr:col>2</xdr:col>
      <xdr:colOff>300037</xdr:colOff>
      <xdr:row>136</xdr:row>
      <xdr:rowOff>142875</xdr:rowOff>
    </xdr:from>
    <xdr:ext cx="5991640" cy="201209"/>
    <mc:AlternateContent xmlns:mc="http://schemas.openxmlformats.org/markup-compatibility/2006" xmlns:a14="http://schemas.microsoft.com/office/drawing/2010/main">
      <mc:Choice Requires="a14">
        <xdr:sp macro="" textlink="">
          <xdr:nvSpPr>
            <xdr:cNvPr id="47" name="TextBox 46">
              <a:extLst>
                <a:ext uri="{FF2B5EF4-FFF2-40B4-BE49-F238E27FC236}">
                  <a16:creationId xmlns:a16="http://schemas.microsoft.com/office/drawing/2014/main" id="{53F68C54-1CE4-505D-F4DB-E938F689AB7D}"/>
                </a:ext>
              </a:extLst>
            </xdr:cNvPr>
            <xdr:cNvSpPr txBox="1"/>
          </xdr:nvSpPr>
          <xdr:spPr>
            <a:xfrm>
              <a:off x="2662237" y="33956625"/>
              <a:ext cx="5991640" cy="2012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÷6.25</m:t>
                        </m:r>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0.032×</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=1,3,6</m:t>
                            </m:r>
                          </m:sub>
                        </m:sSub>
                        <m:r>
                          <a:rPr lang="en-AU" sz="1100" i="1">
                            <a:latin typeface="Cambria Math" panose="02040503050406030204" pitchFamily="18" charset="0"/>
                          </a:rPr>
                          <m:t>÷6.38</m:t>
                        </m:r>
                      </m:e>
                    </m:d>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1.1×</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−4</m:t>
                                </m:r>
                              </m:sup>
                            </m:sSup>
                            <m:r>
                              <a:rPr lang="en-AU" sz="1100" i="1">
                                <a:latin typeface="Cambria Math" panose="02040503050406030204" pitchFamily="18" charset="0"/>
                              </a:rPr>
                              <m:t>×</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0.75</m:t>
                                </m:r>
                              </m:sup>
                            </m:sSubSup>
                          </m:e>
                        </m:d>
                        <m:r>
                          <a:rPr lang="en-AU" sz="1100" i="1">
                            <a:latin typeface="Cambria Math" panose="02040503050406030204" pitchFamily="18" charset="0"/>
                          </a:rPr>
                          <m:t>÷6.25</m:t>
                        </m:r>
                      </m:e>
                    </m:d>
                  </m:oMath>
                </m:oMathPara>
              </a14:m>
              <a:endParaRPr lang="en-AU" sz="1100"/>
            </a:p>
          </xdr:txBody>
        </xdr:sp>
      </mc:Choice>
      <mc:Fallback xmlns="">
        <xdr:sp macro="" textlink="">
          <xdr:nvSpPr>
            <xdr:cNvPr id="47" name="TextBox 46">
              <a:extLst>
                <a:ext uri="{FF2B5EF4-FFF2-40B4-BE49-F238E27FC236}">
                  <a16:creationId xmlns:a16="http://schemas.microsoft.com/office/drawing/2014/main" id="{53F68C54-1CE4-505D-F4DB-E938F689AB7D}"/>
                </a:ext>
              </a:extLst>
            </xdr:cNvPr>
            <xdr:cNvSpPr txBox="1"/>
          </xdr:nvSpPr>
          <xdr:spPr>
            <a:xfrm>
              <a:off x="2662237" y="33956625"/>
              <a:ext cx="5991640" cy="2012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𝑁𝐸_𝑗𝑘𝑙=(𝐼_𝑗𝑘𝑙×𝐶𝑃_𝑗÷6.25)+(0.032×𝑀𝐶_(𝑗𝑘=1,3,6)÷6.38)−𝑁𝑅_𝑗𝑘𝑙−[(1.1×10^(−4)×𝑊_𝑗𝑘𝑙^0.75 )÷6.25]</a:t>
              </a:r>
              <a:endParaRPr lang="en-AU" sz="1100"/>
            </a:p>
          </xdr:txBody>
        </xdr:sp>
      </mc:Fallback>
    </mc:AlternateContent>
    <xdr:clientData/>
  </xdr:oneCellAnchor>
  <xdr:oneCellAnchor>
    <xdr:from>
      <xdr:col>3</xdr:col>
      <xdr:colOff>4762</xdr:colOff>
      <xdr:row>178</xdr:row>
      <xdr:rowOff>38100</xdr:rowOff>
    </xdr:from>
    <xdr:ext cx="2164952" cy="429926"/>
    <mc:AlternateContent xmlns:mc="http://schemas.openxmlformats.org/markup-compatibility/2006" xmlns:a14="http://schemas.microsoft.com/office/drawing/2010/main">
      <mc:Choice Requires="a14">
        <xdr:sp macro="" textlink="">
          <xdr:nvSpPr>
            <xdr:cNvPr id="49" name="TextBox 48">
              <a:extLst>
                <a:ext uri="{FF2B5EF4-FFF2-40B4-BE49-F238E27FC236}">
                  <a16:creationId xmlns:a16="http://schemas.microsoft.com/office/drawing/2014/main" id="{EB72FD8E-81E4-5978-0605-3B10D357366A}"/>
                </a:ext>
              </a:extLst>
            </xdr:cNvPr>
            <xdr:cNvSpPr txBox="1"/>
          </xdr:nvSpPr>
          <xdr:spPr>
            <a:xfrm>
              <a:off x="2681287" y="43757850"/>
              <a:ext cx="216495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𝐴𝐸</m:t>
                    </m:r>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𝑙</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𝑗𝑘𝑙</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e>
                                </m:d>
                              </m:e>
                            </m:nary>
                          </m:e>
                        </m:nary>
                      </m:e>
                    </m:nary>
                  </m:oMath>
                </m:oMathPara>
              </a14:m>
              <a:endParaRPr lang="en-AU" sz="1100"/>
            </a:p>
          </xdr:txBody>
        </xdr:sp>
      </mc:Choice>
      <mc:Fallback xmlns="">
        <xdr:sp macro="" textlink="">
          <xdr:nvSpPr>
            <xdr:cNvPr id="49" name="TextBox 48">
              <a:extLst>
                <a:ext uri="{FF2B5EF4-FFF2-40B4-BE49-F238E27FC236}">
                  <a16:creationId xmlns:a16="http://schemas.microsoft.com/office/drawing/2014/main" id="{EB72FD8E-81E4-5978-0605-3B10D357366A}"/>
                </a:ext>
              </a:extLst>
            </xdr:cNvPr>
            <xdr:cNvSpPr txBox="1"/>
          </xdr:nvSpPr>
          <xdr:spPr>
            <a:xfrm>
              <a:off x="2681287" y="43757850"/>
              <a:ext cx="216495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𝐴𝐸=∑_𝑗▒∑_𝑘▒∑_𝑙▒(𝑁_𝑗𝑘𝑙×𝑁𝐸_𝑗𝑘𝑙×𝐷_𝑗 ) </a:t>
              </a:r>
              <a:endParaRPr lang="en-AU" sz="1100"/>
            </a:p>
          </xdr:txBody>
        </xdr:sp>
      </mc:Fallback>
    </mc:AlternateContent>
    <xdr:clientData/>
  </xdr:oneCellAnchor>
  <xdr:oneCellAnchor>
    <xdr:from>
      <xdr:col>2</xdr:col>
      <xdr:colOff>309562</xdr:colOff>
      <xdr:row>218</xdr:row>
      <xdr:rowOff>95250</xdr:rowOff>
    </xdr:from>
    <xdr:ext cx="2334870" cy="180114"/>
    <mc:AlternateContent xmlns:mc="http://schemas.openxmlformats.org/markup-compatibility/2006" xmlns:a14="http://schemas.microsoft.com/office/drawing/2010/main">
      <mc:Choice Requires="a14">
        <xdr:sp macro="" textlink="">
          <xdr:nvSpPr>
            <xdr:cNvPr id="50" name="TextBox 49">
              <a:extLst>
                <a:ext uri="{FF2B5EF4-FFF2-40B4-BE49-F238E27FC236}">
                  <a16:creationId xmlns:a16="http://schemas.microsoft.com/office/drawing/2014/main" id="{09ABD1D9-207F-6419-4C52-5C02C7AECD85}"/>
                </a:ext>
              </a:extLst>
            </xdr:cNvPr>
            <xdr:cNvSpPr txBox="1"/>
          </xdr:nvSpPr>
          <xdr:spPr>
            <a:xfrm>
              <a:off x="2671762" y="53721000"/>
              <a:ext cx="233487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r>
                      <a:rPr lang="en-AU" sz="1100" i="1">
                        <a:latin typeface="Cambria Math" panose="02040503050406030204" pitchFamily="18" charset="0"/>
                      </a:rPr>
                      <m:t>𝐴𝐸</m:t>
                    </m:r>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𝑃𝑅𝑃</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0" name="TextBox 49">
              <a:extLst>
                <a:ext uri="{FF2B5EF4-FFF2-40B4-BE49-F238E27FC236}">
                  <a16:creationId xmlns:a16="http://schemas.microsoft.com/office/drawing/2014/main" id="{09ABD1D9-207F-6419-4C52-5C02C7AECD85}"/>
                </a:ext>
              </a:extLst>
            </xdr:cNvPr>
            <xdr:cNvSpPr txBox="1"/>
          </xdr:nvSpPr>
          <xdr:spPr>
            <a:xfrm>
              <a:off x="2671762" y="53721000"/>
              <a:ext cx="233487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𝐸_(𝑁2𝑂,𝑑𝑖𝑟)=𝐴𝐸×𝐸𝐹_𝑃𝑅𝑃×𝐶_𝑁2𝑂×10^(−3)</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4762</xdr:colOff>
      <xdr:row>7</xdr:row>
      <xdr:rowOff>133350</xdr:rowOff>
    </xdr:from>
    <xdr:ext cx="1745413" cy="165366"/>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65113A8E-2D0B-0028-3EEC-52654F15D638}"/>
                </a:ext>
              </a:extLst>
            </xdr:cNvPr>
            <xdr:cNvSpPr txBox="1"/>
          </xdr:nvSpPr>
          <xdr:spPr>
            <a:xfrm>
              <a:off x="2681287" y="2000250"/>
              <a:ext cx="1745413"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sub>
                    </m:sSub>
                    <m:r>
                      <a:rPr lang="en-AU" sz="1100" i="1">
                        <a:latin typeface="Cambria Math" panose="02040503050406030204" pitchFamily="18" charset="0"/>
                      </a:rPr>
                      <m:t>=</m:t>
                    </m:r>
                    <m:r>
                      <a:rPr lang="en-AU" sz="1100" i="1">
                        <a:latin typeface="Cambria Math" panose="02040503050406030204" pitchFamily="18" charset="0"/>
                      </a:rPr>
                      <m:t>𝐴𝐸</m:t>
                    </m:r>
                    <m:r>
                      <a:rPr lang="en-AU" sz="1100" i="1">
                        <a:latin typeface="Cambria Math" panose="02040503050406030204" pitchFamily="18" charset="0"/>
                      </a:rPr>
                      <m:t>×</m:t>
                    </m:r>
                    <m:r>
                      <a:rPr lang="en-AU" sz="1100" i="1">
                        <a:latin typeface="Cambria Math" panose="02040503050406030204" pitchFamily="18" charset="0"/>
                      </a:rPr>
                      <m:t>𝐹𝑟𝑎𝑐𝐺𝐴𝑆𝑀𝑠𝑜𝑖𝑙</m:t>
                    </m:r>
                  </m:oMath>
                </m:oMathPara>
              </a14:m>
              <a:endParaRPr lang="en-AU" sz="1100"/>
            </a:p>
          </xdr:txBody>
        </xdr:sp>
      </mc:Choice>
      <mc:Fallback xmlns="">
        <xdr:sp macro="" textlink="">
          <xdr:nvSpPr>
            <xdr:cNvPr id="5" name="TextBox 4">
              <a:extLst>
                <a:ext uri="{FF2B5EF4-FFF2-40B4-BE49-F238E27FC236}">
                  <a16:creationId xmlns:a16="http://schemas.microsoft.com/office/drawing/2014/main" id="{65113A8E-2D0B-0028-3EEC-52654F15D638}"/>
                </a:ext>
              </a:extLst>
            </xdr:cNvPr>
            <xdr:cNvSpPr txBox="1"/>
          </xdr:nvSpPr>
          <xdr:spPr>
            <a:xfrm>
              <a:off x="2681287" y="2000250"/>
              <a:ext cx="1745413"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𝑀_𝑣𝑜𝑙=𝐴𝐸×𝐹𝑟𝑎𝑐𝐺𝐴𝑆𝑀𝑠𝑜𝑖𝑙</a:t>
              </a:r>
              <a:endParaRPr lang="en-AU" sz="1100"/>
            </a:p>
          </xdr:txBody>
        </xdr:sp>
      </mc:Fallback>
    </mc:AlternateContent>
    <xdr:clientData/>
  </xdr:oneCellAnchor>
  <xdr:oneCellAnchor>
    <xdr:from>
      <xdr:col>2</xdr:col>
      <xdr:colOff>309562</xdr:colOff>
      <xdr:row>22</xdr:row>
      <xdr:rowOff>152400</xdr:rowOff>
    </xdr:from>
    <xdr:ext cx="2410467" cy="180114"/>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BF22B100-4D2C-BDC2-B577-E7AF6106C50D}"/>
                </a:ext>
              </a:extLst>
            </xdr:cNvPr>
            <xdr:cNvSpPr txBox="1"/>
          </xdr:nvSpPr>
          <xdr:spPr>
            <a:xfrm>
              <a:off x="2671762" y="5734050"/>
              <a:ext cx="241046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6" name="TextBox 5">
              <a:extLst>
                <a:ext uri="{FF2B5EF4-FFF2-40B4-BE49-F238E27FC236}">
                  <a16:creationId xmlns:a16="http://schemas.microsoft.com/office/drawing/2014/main" id="{BF22B100-4D2C-BDC2-B577-E7AF6106C50D}"/>
                </a:ext>
              </a:extLst>
            </xdr:cNvPr>
            <xdr:cNvSpPr txBox="1"/>
          </xdr:nvSpPr>
          <xdr:spPr>
            <a:xfrm>
              <a:off x="2671762" y="5734050"/>
              <a:ext cx="241046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𝐸_(𝑁2𝑂,𝑎𝑑)=𝑀_𝑣𝑜𝑙×𝐸𝐹_𝑁2𝑂×𝐶_𝑁2𝑂×10^(−3)</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2</xdr:col>
      <xdr:colOff>300037</xdr:colOff>
      <xdr:row>7</xdr:row>
      <xdr:rowOff>133350</xdr:rowOff>
    </xdr:from>
    <xdr:ext cx="2421624" cy="165366"/>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ED9A4958-7057-2FEE-E1BA-6A1998ADFF7B}"/>
                </a:ext>
              </a:extLst>
            </xdr:cNvPr>
            <xdr:cNvSpPr txBox="1"/>
          </xdr:nvSpPr>
          <xdr:spPr>
            <a:xfrm>
              <a:off x="2662237" y="2000250"/>
              <a:ext cx="2421624"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sub>
                    </m:sSub>
                    <m:r>
                      <a:rPr lang="en-AU" sz="1100" i="1">
                        <a:latin typeface="Cambria Math" panose="02040503050406030204" pitchFamily="18" charset="0"/>
                      </a:rPr>
                      <m:t>=</m:t>
                    </m:r>
                    <m:r>
                      <a:rPr lang="en-AU" sz="1100" i="1">
                        <a:latin typeface="Cambria Math" panose="02040503050406030204" pitchFamily="18" charset="0"/>
                      </a:rPr>
                      <m:t>𝐴𝐸</m:t>
                    </m:r>
                    <m:r>
                      <a:rPr lang="en-AU" sz="1100" i="1">
                        <a:latin typeface="Cambria Math" panose="02040503050406030204" pitchFamily="18" charset="0"/>
                      </a:rPr>
                      <m:t>×</m:t>
                    </m:r>
                    <m:r>
                      <a:rPr lang="en-AU" sz="1100" i="1">
                        <a:latin typeface="Cambria Math" panose="02040503050406030204" pitchFamily="18" charset="0"/>
                      </a:rPr>
                      <m:t>𝐹𝑟𝑎𝑐𝑊𝑒𝑡</m:t>
                    </m:r>
                    <m:r>
                      <a:rPr lang="en-AU" sz="1100" i="1">
                        <a:latin typeface="Cambria Math" panose="02040503050406030204" pitchFamily="18" charset="0"/>
                      </a:rPr>
                      <m:t>×</m:t>
                    </m:r>
                    <m:r>
                      <a:rPr lang="en-AU" sz="1100" i="1">
                        <a:latin typeface="Cambria Math" panose="02040503050406030204" pitchFamily="18" charset="0"/>
                      </a:rPr>
                      <m:t>𝐹𝑟𝑎𝑐𝐿𝐸𝐴𝐶𝐻</m:t>
                    </m:r>
                  </m:oMath>
                </m:oMathPara>
              </a14:m>
              <a:endParaRPr lang="en-AU" sz="1100"/>
            </a:p>
          </xdr:txBody>
        </xdr:sp>
      </mc:Choice>
      <mc:Fallback xmlns="">
        <xdr:sp macro="" textlink="">
          <xdr:nvSpPr>
            <xdr:cNvPr id="7" name="TextBox 6">
              <a:extLst>
                <a:ext uri="{FF2B5EF4-FFF2-40B4-BE49-F238E27FC236}">
                  <a16:creationId xmlns:a16="http://schemas.microsoft.com/office/drawing/2014/main" id="{ED9A4958-7057-2FEE-E1BA-6A1998ADFF7B}"/>
                </a:ext>
              </a:extLst>
            </xdr:cNvPr>
            <xdr:cNvSpPr txBox="1"/>
          </xdr:nvSpPr>
          <xdr:spPr>
            <a:xfrm>
              <a:off x="2662237" y="2000250"/>
              <a:ext cx="2421624"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𝑀_𝑙𝑒𝑎𝑐ℎ=𝐴𝐸×𝐹𝑟𝑎𝑐𝑊𝑒𝑡×𝐹𝑟𝑎𝑐𝐿𝐸𝐴𝐶𝐻</a:t>
              </a:r>
              <a:endParaRPr lang="en-AU" sz="1100"/>
            </a:p>
          </xdr:txBody>
        </xdr:sp>
      </mc:Fallback>
    </mc:AlternateContent>
    <xdr:clientData/>
  </xdr:oneCellAnchor>
  <xdr:oneCellAnchor>
    <xdr:from>
      <xdr:col>2</xdr:col>
      <xdr:colOff>300037</xdr:colOff>
      <xdr:row>26</xdr:row>
      <xdr:rowOff>180975</xdr:rowOff>
    </xdr:from>
    <xdr:ext cx="2731838" cy="180114"/>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145C53C5-600F-2419-A9EA-8A57F3782F48}"/>
                </a:ext>
              </a:extLst>
            </xdr:cNvPr>
            <xdr:cNvSpPr txBox="1"/>
          </xdr:nvSpPr>
          <xdr:spPr>
            <a:xfrm>
              <a:off x="2662237" y="6753225"/>
              <a:ext cx="2731838"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 name="TextBox 7">
              <a:extLst>
                <a:ext uri="{FF2B5EF4-FFF2-40B4-BE49-F238E27FC236}">
                  <a16:creationId xmlns:a16="http://schemas.microsoft.com/office/drawing/2014/main" id="{145C53C5-600F-2419-A9EA-8A57F3782F48}"/>
                </a:ext>
              </a:extLst>
            </xdr:cNvPr>
            <xdr:cNvSpPr txBox="1"/>
          </xdr:nvSpPr>
          <xdr:spPr>
            <a:xfrm>
              <a:off x="2662237" y="6753225"/>
              <a:ext cx="2731838"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𝐸_(𝑁2𝑂,𝑙𝑒𝑎𝑐ℎ)=𝑀_𝑙𝑒𝑎𝑐ℎ×𝐸𝐹_𝑙𝑒𝑎𝑐ℎ×𝐶_𝑁2𝑂×10^(−3)</a:t>
              </a:r>
              <a:endParaRPr lang="en-AU" sz="1100"/>
            </a:p>
          </xdr:txBody>
        </xdr:sp>
      </mc:Fallback>
    </mc:AlternateContent>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htdocs\zneagcrc\GAF-VEERG-Functions\Excel\Common_v02.xlsx" TargetMode="External"/><Relationship Id="rId1" Type="http://schemas.openxmlformats.org/officeDocument/2006/relationships/externalLinkPath" Target="Common_v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ome"/>
      <sheetName val="Constants - Common"/>
      <sheetName val="Acknowledgements"/>
    </sheetNames>
    <sheetDataSet>
      <sheetData sheetId="0"/>
      <sheetData sheetId="1"/>
      <sheetData sheetId="2"/>
    </sheetDataSet>
  </externalBook>
</externalLink>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PastureBeef_CropProdSystems" displayName="Table_SourceData_PastureBeef_CropProdSystems" ref="D7:D9" totalsRowShown="0">
  <autoFilter ref="D7:D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PastureBeef_IrrigationMethods" displayName="Table_SourceData_PastureBeef_IrrigationMethods" ref="G7:G12" totalsRowShown="0">
  <autoFilter ref="G7:G1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430B098F-3F00-49E5-81DA-BAED03622D32}" name="Table_SourceData_PastureBeef_Liveweight" displayName="Table_SourceData_PastureBeef_Liveweight" ref="D18:M46" totalsRowShown="0">
  <autoFilter ref="D18:M46" xr:uid="{430B098F-3F00-49E5-81DA-BAED03622D3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6F9940E0-B71E-4F34-8E86-17127402334F}" name="State">
      <calculatedColumnFormula array="1">Common_InputFunctions.Utility_DisplayArrayInTable(SourceData_PastureBeef.SourceData_PastureBeef_Liveweight_Data(), Table_SourceData_PastureBeef_Liveweight[[#Headers],[State]], 0)</calculatedColumnFormula>
    </tableColumn>
    <tableColumn id="2" xr3:uid="{38CA3063-B977-4919-8D01-06EFE36482DE}" name="Region" dataDxfId="135" dataCellStyle="Content normal">
      <calculatedColumnFormula array="1">Common_InputFunctions.Utility_DisplayArrayInTable(SourceData_PastureBeef.SourceData_PastureBeef_Liveweight_Data(), Table_SourceData_PastureBeef_Liveweight[[#Headers],[State]], 0)</calculatedColumnFormula>
    </tableColumn>
    <tableColumn id="3" xr3:uid="{1B39D08A-DC49-491A-BF70-10F17B43D2EC}" name="Season" dataDxfId="134" dataCellStyle="Content normal">
      <calculatedColumnFormula array="1">Common_InputFunctions.Utility_DisplayArrayInTable(SourceData_PastureBeef.SourceData_PastureBeef_Liveweight_Data(), Table_SourceData_PastureBeef_Liveweight[[#Headers],[State]], 0)</calculatedColumnFormula>
    </tableColumn>
    <tableColumn id="4" xr3:uid="{F6EF719D-5A1B-430D-98D1-4781B3A9DEB2}" name="Bull &lt; 1" dataDxfId="133" dataCellStyle="Content normal">
      <calculatedColumnFormula array="1">Common_InputFunctions.Utility_DisplayArrayInTable(SourceData_PastureBeef.SourceData_PastureBeef_Liveweight_Data(), Table_SourceData_PastureBeef_Liveweight[[#Headers],[State]], 0)</calculatedColumnFormula>
    </tableColumn>
    <tableColumn id="5" xr3:uid="{DC894113-CE3A-4551-9379-DF077519F09C}" name="Bull &gt; 1" dataDxfId="132" dataCellStyle="Content normal">
      <calculatedColumnFormula array="1">Common_InputFunctions.Utility_DisplayArrayInTable(SourceData_PastureBeef.SourceData_PastureBeef_Liveweight_Data(), Table_SourceData_PastureBeef_Liveweight[[#Headers],[State]], 0)</calculatedColumnFormula>
    </tableColumn>
    <tableColumn id="6" xr3:uid="{63B6C130-520E-4961-8E64-F00356E895B7}" name="Cow &lt; 1" dataDxfId="131" dataCellStyle="Content normal">
      <calculatedColumnFormula array="1">Common_InputFunctions.Utility_DisplayArrayInTable(SourceData_PastureBeef.SourceData_PastureBeef_Liveweight_Data(), Table_SourceData_PastureBeef_Liveweight[[#Headers],[State]], 0)</calculatedColumnFormula>
    </tableColumn>
    <tableColumn id="7" xr3:uid="{38288260-5BE1-4BCA-999E-B630950B5E33}" name="Cow 1-2" dataDxfId="130" dataCellStyle="Content normal">
      <calculatedColumnFormula array="1">Common_InputFunctions.Utility_DisplayArrayInTable(SourceData_PastureBeef.SourceData_PastureBeef_Liveweight_Data(), Table_SourceData_PastureBeef_Liveweight[[#Headers],[State]], 0)</calculatedColumnFormula>
    </tableColumn>
    <tableColumn id="8" xr3:uid="{B5F63468-7583-4D67-B9DF-A868BC3E55A2}" name="Cow &gt; 2" dataDxfId="129" dataCellStyle="Content normal">
      <calculatedColumnFormula array="1">Common_InputFunctions.Utility_DisplayArrayInTable(SourceData_PastureBeef.SourceData_PastureBeef_Liveweight_Data(), Table_SourceData_PastureBeef_Liveweight[[#Headers],[State]], 0)</calculatedColumnFormula>
    </tableColumn>
    <tableColumn id="9" xr3:uid="{283FD0FE-EDD7-41EC-9973-F443783222AD}" name="Steer &lt; 1" dataDxfId="128" dataCellStyle="Content normal">
      <calculatedColumnFormula array="1">Common_InputFunctions.Utility_DisplayArrayInTable(SourceData_PastureBeef.SourceData_PastureBeef_Liveweight_Data(), Table_SourceData_PastureBeef_Liveweight[[#Headers],[State]], 0)</calculatedColumnFormula>
    </tableColumn>
    <tableColumn id="10" xr3:uid="{CE95EEDA-53BE-4CAB-B0F9-7EF05E503CB2}" name="Steer &gt; 1" dataDxfId="127" dataCellStyle="Content normal">
      <calculatedColumnFormula array="1">Common_InputFunctions.Utility_DisplayArrayInTable(SourceData_PastureBeef.SourceData_PastureBeef_Liveweight_Data(), Table_SourceData_PastureBeef_Liveweight[[#Headers],[State]],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56498C6E-3CDA-4A1F-A7E7-3227B1B0C952}" name="Table_SourceData_PastureBeef_LiveweightNTQD" displayName="Table_SourceData_PastureBeef_LiveweightNTQD" ref="D53:P81" totalsRowShown="0">
  <autoFilter ref="D53:P81" xr:uid="{56498C6E-3CDA-4A1F-A7E7-3227B1B0C95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851CDAB9-30F3-4D8B-9322-449D46FB99C8}" name="State">
      <calculatedColumnFormula array="1">Common_InputFunctions.Utility_DisplayArrayInTable(SourceData_PastureBeef.SourceData_PastureBeef_LiveweightNTQLD_Data(),Table_SourceData_PastureBeef_LiveweightNTQD[[#Headers],[State]], 0)</calculatedColumnFormula>
    </tableColumn>
    <tableColumn id="2" xr3:uid="{7A0D8CD2-76C4-4CED-A927-35B62C128A2F}" name="Region" dataDxfId="12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3" xr3:uid="{9C971B2C-3210-4D10-A249-F37DCC11CCF4}" name="Season" dataDxfId="125" dataCellStyle="Content normal">
      <calculatedColumnFormula array="1">Common_InputFunctions.Utility_DisplayArrayInTable(SourceData_PastureBeef.SourceData_PastureBeef_LiveweightNTQLD_Data(),Table_SourceData_PastureBeef_LiveweightNTQD[[#Headers],[State]], 0)</calculatedColumnFormula>
    </tableColumn>
    <tableColumn id="4" xr3:uid="{874B4047-1255-451E-B7B9-0DC3F6E18704}" name="Bull &lt;1" dataDxfId="124" dataCellStyle="Content normal">
      <calculatedColumnFormula array="1">Common_InputFunctions.Utility_DisplayArrayInTable(SourceData_PastureBeef.SourceData_PastureBeef_LiveweightNTQLD_Data(),Table_SourceData_PastureBeef_LiveweightNTQD[[#Headers],[State]], 0)</calculatedColumnFormula>
    </tableColumn>
    <tableColumn id="5" xr3:uid="{F0E39248-C239-4D9A-B924-5B4122DD3335}" name="Bull &gt;1" dataDxfId="123" dataCellStyle="Content normal">
      <calculatedColumnFormula array="1">Common_InputFunctions.Utility_DisplayArrayInTable(SourceData_PastureBeef.SourceData_PastureBeef_LiveweightNTQLD_Data(),Table_SourceData_PastureBeef_LiveweightNTQD[[#Headers],[State]], 0)</calculatedColumnFormula>
    </tableColumn>
    <tableColumn id="6" xr3:uid="{1AE79DA0-8BA7-45FE-A02A-E699EC3A7ABE}" name="Cows &lt;1" dataDxfId="122" dataCellStyle="Content normal">
      <calculatedColumnFormula array="1">Common_InputFunctions.Utility_DisplayArrayInTable(SourceData_PastureBeef.SourceData_PastureBeef_LiveweightNTQLD_Data(),Table_SourceData_PastureBeef_LiveweightNTQD[[#Headers],[State]], 0)</calculatedColumnFormula>
    </tableColumn>
    <tableColumn id="7" xr3:uid="{FBAD97A0-6F6A-4351-A5F7-F85183B35F12}" name="Cows 1-2" dataDxfId="121" dataCellStyle="Content normal">
      <calculatedColumnFormula array="1">Common_InputFunctions.Utility_DisplayArrayInTable(SourceData_PastureBeef.SourceData_PastureBeef_LiveweightNTQLD_Data(),Table_SourceData_PastureBeef_LiveweightNTQD[[#Headers],[State]], 0)</calculatedColumnFormula>
    </tableColumn>
    <tableColumn id="8" xr3:uid="{2E379D57-4FC8-4EEB-BA4D-5D7755234A40}" name="Cows 2-3" dataDxfId="12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9" xr3:uid="{8A79EA22-E7F8-4ADE-BBC7-6B462317A590}" name="Cows &gt;3" dataDxfId="119"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0" xr3:uid="{DC9C66B1-DE8A-40D1-9773-6DB37EF483E3}" name="Steer &lt;1" dataDxfId="118"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1" xr3:uid="{C56443C5-8365-44B2-8B18-C7F20BCF6854}" name="Steer 1-2" dataDxfId="117"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2" xr3:uid="{1F279311-B7CE-4F9D-AD79-EC46275AAD28}" name="Steer 2-3" dataDxfId="11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3" xr3:uid="{DA3B02CA-7E51-4609-A37E-AD549F7C7604}" name="Steer &gt;3" dataDxfId="115" dataCellStyle="Content normal">
      <calculatedColumnFormula array="1">Common_InputFunctions.Utility_DisplayArrayInTable(SourceData_PastureBeef.SourceData_PastureBeef_LiveweightNTQLD_Data(),Table_SourceData_PastureBeef_LiveweightNTQD[[#Headers],[State]],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C5E9D0D1-9D34-431E-BF55-46DC48CCCDFA}" name="Table_SourceData_PastureBeef_LiveweightAllStates" displayName="Table_SourceData_PastureBeef_LiveweightAllStates" ref="D85:P145" totalsRowShown="0">
  <autoFilter ref="D85:P145" xr:uid="{C5E9D0D1-9D34-431E-BF55-46DC48CCCDF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4BFB18C8-8542-4B27-B1ED-52A807D58FCB}" name="State"/>
    <tableColumn id="2" xr3:uid="{5E3FC83D-8D61-4FFB-B528-EA89F6CACC37}" name="Region">
      <calculatedColumnFormula>E22</calculatedColumnFormula>
    </tableColumn>
    <tableColumn id="3" xr3:uid="{7B9CA70A-8AEB-4867-ABB8-F1859D395C4D}" name="Season">
      <calculatedColumnFormula>F22</calculatedColumnFormula>
    </tableColumn>
    <tableColumn id="4" xr3:uid="{843E5D58-5F9F-4F3C-8EB3-A370FD63B24A}" name="Bulls &lt; 1 year">
      <calculatedColumnFormula>G22</calculatedColumnFormula>
    </tableColumn>
    <tableColumn id="5" xr3:uid="{4C324F06-AAEC-4A68-965A-1E54933FF29E}" name="Bulls &gt; 1 year">
      <calculatedColumnFormula>H22</calculatedColumnFormula>
    </tableColumn>
    <tableColumn id="6" xr3:uid="{5EA2FB66-FF36-4CA1-8118-FBDBF879D8EF}" name="Cows &lt; 1 year">
      <calculatedColumnFormula>I22</calculatedColumnFormula>
    </tableColumn>
    <tableColumn id="7" xr3:uid="{3353C9E1-9E27-43CE-A436-732C3DA7FD19}" name="Cows 1-2 years">
      <calculatedColumnFormula>J22</calculatedColumnFormula>
    </tableColumn>
    <tableColumn id="8" xr3:uid="{7CB0CDDB-5B6A-47CF-9609-FD987B935A0A}" name="Cows 2-3 years">
      <calculatedColumnFormula>K22</calculatedColumnFormula>
    </tableColumn>
    <tableColumn id="9" xr3:uid="{E87F7365-5FE1-4823-ADF0-44C6E381C335}" name="Cows &gt; 3 years">
      <calculatedColumnFormula>L22</calculatedColumnFormula>
    </tableColumn>
    <tableColumn id="10" xr3:uid="{B543BF91-A5E4-426F-B1EF-10B5AFA9F9CC}" name="Steers &lt; 1 year">
      <calculatedColumnFormula>M22</calculatedColumnFormula>
    </tableColumn>
    <tableColumn id="11" xr3:uid="{8B365310-8B8E-4A3B-ACA1-D9A0013335B7}" name="Steers 1-2 years">
      <calculatedColumnFormula>N22</calculatedColumnFormula>
    </tableColumn>
    <tableColumn id="12" xr3:uid="{96A14213-BDC9-4DA1-9EBD-6FDA5F3800F5}" name="Steers 2-3 years">
      <calculatedColumnFormula>O22</calculatedColumnFormula>
    </tableColumn>
    <tableColumn id="13" xr3:uid="{7C5DDF77-9292-4720-8EF5-364E2B549EE2}" name="Steers &gt;3 years">
      <calculatedColumnFormula>P22</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152B2C3-CC3B-4554-AC62-87093E6D416E}" name="Table_SourceData_PastureBeef_Region_Queensland" displayName="Table_SourceData_PastureBeef_Region_Queensland" ref="Q7:Q11" totalsRowShown="0">
  <autoFilter ref="Q7:Q11" xr:uid="{0152B2C3-CC3B-4554-AC62-87093E6D416E}">
    <filterColumn colId="0" hiddenButton="1"/>
  </autoFilter>
  <tableColumns count="1">
    <tableColumn id="1" xr3:uid="{391B48E4-E5EE-4C93-9B2D-D42BDADF3656}" name="Regio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2B557DC2-537E-4888-B9B7-260F5041B425}" name="Table_SourceData_PastureBeef_Region_NorthernTerritory" displayName="Table_SourceData_PastureBeef_Region_NorthernTerritory" ref="O7:O10" totalsRowShown="0">
  <autoFilter ref="O7:O10" xr:uid="{2B557DC2-537E-4888-B9B7-260F5041B425}">
    <filterColumn colId="0" hiddenButton="1"/>
  </autoFilter>
  <tableColumns count="1">
    <tableColumn id="1" xr3:uid="{9A7F7E79-1720-45BA-AB54-E0D8F6FE5930}" name="Regio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69C19929-4234-4DF1-A517-B50C12615BC1}" name="Table_SourceData_PastureBeef_Region_WesternAustralia" displayName="Table_SourceData_PastureBeef_Region_WesternAustralia" ref="M7:M10" totalsRowShown="0">
  <autoFilter ref="M7:M10" xr:uid="{69C19929-4234-4DF1-A517-B50C12615BC1}">
    <filterColumn colId="0" hiddenButton="1"/>
  </autoFilter>
  <tableColumns count="1">
    <tableColumn id="1" xr3:uid="{919A169E-76EA-47F5-99AF-93B01DC8FD6B}" name="Regio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7D474D93-C1E0-4898-A434-69585070D0B9}" name="Table_SourceData_PastureBeef_Region_Victoria" displayName="Table_SourceData_PastureBeef_Region_Victoria" ref="S7:S8" totalsRowShown="0">
  <autoFilter ref="S7:S8" xr:uid="{7D474D93-C1E0-4898-A434-69585070D0B9}">
    <filterColumn colId="0" hiddenButton="1"/>
  </autoFilter>
  <tableColumns count="1">
    <tableColumn id="1" xr3:uid="{6F49E8B4-83E8-456B-89F0-29B15C8B03EE}" name="Regio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C2ECEA10-DD31-42C9-8624-54C901A6DE17}" name="Table_SourceData_PastureBeef_Region_NewSouthWales" displayName="Table_SourceData_PastureBeef_Region_NewSouthWales" ref="S12:S13" totalsRowShown="0">
  <autoFilter ref="S12:S13" xr:uid="{C2ECEA10-DD31-42C9-8624-54C901A6DE17}">
    <filterColumn colId="0" hiddenButton="1"/>
  </autoFilter>
  <tableColumns count="1">
    <tableColumn id="1" xr3:uid="{2E97A70C-1DDE-4F0C-B840-3C9245B2D40A}" name="Regio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4B45161F-EF95-4623-81B8-A0254915E4F9}" name="Table_SourceData_PastureBeef_Region_SouthAustralia" displayName="Table_SourceData_PastureBeef_Region_SouthAustralia" ref="S17:S18" totalsRowShown="0">
  <autoFilter ref="S17:S18" xr:uid="{4B45161F-EF95-4623-81B8-A0254915E4F9}">
    <filterColumn colId="0" hiddenButton="1"/>
  </autoFilter>
  <tableColumns count="1">
    <tableColumn id="1" xr3:uid="{B9FCA7A0-F775-4D10-A63C-9590F1A4A990}" name="Regio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4E5A7E40-F6AE-4323-873A-9AB20571A18A}" name="Table_SourceData_PastureBeef_Region_Tasmania" displayName="Table_SourceData_PastureBeef_Region_Tasmania" ref="S22:S23" totalsRowShown="0">
  <autoFilter ref="S22:S23" xr:uid="{4E5A7E40-F6AE-4323-873A-9AB20571A18A}">
    <filterColumn colId="0" hiddenButton="1"/>
  </autoFilter>
  <tableColumns count="1">
    <tableColumn id="1" xr3:uid="{942893EE-862F-4951-803A-E0730FEC48A4}" name="Regio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3655B7FD-A2CC-4B05-9668-16F7A54ED6C1}" name="Table_SourceData_PastureBeef_Region_ACT" displayName="Table_SourceData_PastureBeef_Region_ACT" ref="S27:S28" totalsRowShown="0">
  <autoFilter ref="S27:S28" xr:uid="{3655B7FD-A2CC-4B05-9668-16F7A54ED6C1}">
    <filterColumn colId="0" hiddenButton="1"/>
  </autoFilter>
  <tableColumns count="1">
    <tableColumn id="1" xr3:uid="{84B74245-FD6B-4B74-A1AE-BBD31C345FAC}" name="Regio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1BDA4B1D-6D40-4D72-9B20-AC64B61CEA53}" name="Table_SourceData_PastureBeef_LiveweightGain" displayName="Table_SourceData_PastureBeef_LiveweightGain" ref="D152:M180" totalsRowShown="0">
  <autoFilter ref="D152:M180" xr:uid="{1BDA4B1D-6D40-4D72-9B20-AC64B61CEA5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07E5472-BA0D-46AD-A90F-29E8A419958D}" name="State">
      <calculatedColumnFormula array="1">Common_InputFunctions.Utility_DisplayArrayInTable(SourceData_PastureBeef.SourceData_PastureBeef_LiveweightGain_Data(), Table_SourceData_PastureBeef_LiveweightGain[[#Headers],[State]],0)</calculatedColumnFormula>
    </tableColumn>
    <tableColumn id="2" xr3:uid="{96AB3E3A-660F-4D79-8B08-CFEE612D2D23}" name="Region" dataDxfId="114" dataCellStyle="Content normal">
      <calculatedColumnFormula array="1">Common_InputFunctions.Utility_DisplayArrayInTable(SourceData_PastureBeef.SourceData_PastureBeef_LiveweightGain_Data(), Table_SourceData_PastureBeef_LiveweightGain[[#Headers],[State]],0)</calculatedColumnFormula>
    </tableColumn>
    <tableColumn id="3" xr3:uid="{F6362343-58D3-4E0A-A7C0-CA6A4DC83232}" name="Season" dataDxfId="113" dataCellStyle="Content normal">
      <calculatedColumnFormula array="1">Common_InputFunctions.Utility_DisplayArrayInTable(SourceData_PastureBeef.SourceData_PastureBeef_LiveweightGain_Data(), Table_SourceData_PastureBeef_LiveweightGain[[#Headers],[State]],0)</calculatedColumnFormula>
    </tableColumn>
    <tableColumn id="4" xr3:uid="{0BC12CEA-B542-4BC6-970E-B212FC46F0C0}" name="Bull &lt;1" dataDxfId="112" dataCellStyle="Content normal">
      <calculatedColumnFormula array="1">Common_InputFunctions.Utility_DisplayArrayInTable(SourceData_PastureBeef.SourceData_PastureBeef_LiveweightGain_Data(), Table_SourceData_PastureBeef_LiveweightGain[[#Headers],[State]],0)</calculatedColumnFormula>
    </tableColumn>
    <tableColumn id="5" xr3:uid="{97957D93-EE73-4E24-A26A-8B45BA4F9501}" name="Bull &gt;1" dataDxfId="111" dataCellStyle="Content normal">
      <calculatedColumnFormula array="1">Common_InputFunctions.Utility_DisplayArrayInTable(SourceData_PastureBeef.SourceData_PastureBeef_LiveweightGain_Data(), Table_SourceData_PastureBeef_LiveweightGain[[#Headers],[State]],0)</calculatedColumnFormula>
    </tableColumn>
    <tableColumn id="6" xr3:uid="{C05A9E9E-E7B7-4F57-A255-47BC1716DB03}" name="Cow &lt;1" dataDxfId="110" dataCellStyle="Content normal">
      <calculatedColumnFormula array="1">Common_InputFunctions.Utility_DisplayArrayInTable(SourceData_PastureBeef.SourceData_PastureBeef_LiveweightGain_Data(), Table_SourceData_PastureBeef_LiveweightGain[[#Headers],[State]],0)</calculatedColumnFormula>
    </tableColumn>
    <tableColumn id="7" xr3:uid="{0F494211-5D43-45F3-B566-E5E9E7162E3A}" name="Cow 1-2" dataDxfId="109" dataCellStyle="Content normal">
      <calculatedColumnFormula array="1">Common_InputFunctions.Utility_DisplayArrayInTable(SourceData_PastureBeef.SourceData_PastureBeef_LiveweightGain_Data(), Table_SourceData_PastureBeef_LiveweightGain[[#Headers],[State]],0)</calculatedColumnFormula>
    </tableColumn>
    <tableColumn id="8" xr3:uid="{E2A4DDC3-C9FA-4A30-BA7C-286C7DE54328}" name="Cow &gt;2" dataDxfId="108" dataCellStyle="Content normal">
      <calculatedColumnFormula array="1">Common_InputFunctions.Utility_DisplayArrayInTable(SourceData_PastureBeef.SourceData_PastureBeef_LiveweightGain_Data(), Table_SourceData_PastureBeef_LiveweightGain[[#Headers],[State]],0)</calculatedColumnFormula>
    </tableColumn>
    <tableColumn id="9" xr3:uid="{CE59B6A3-1569-4018-B75C-AA81AC437966}" name="Steer &lt;1" dataDxfId="107" dataCellStyle="Content normal">
      <calculatedColumnFormula array="1">Common_InputFunctions.Utility_DisplayArrayInTable(SourceData_PastureBeef.SourceData_PastureBeef_LiveweightGain_Data(), Table_SourceData_PastureBeef_LiveweightGain[[#Headers],[State]],0)</calculatedColumnFormula>
    </tableColumn>
    <tableColumn id="10" xr3:uid="{786DF8A9-A36B-4319-989C-3B2C2913CB47}" name="Steer &gt;1" dataDxfId="106" dataCellStyle="Content normal">
      <calculatedColumnFormula array="1">Common_InputFunctions.Utility_DisplayArrayInTable(SourceData_PastureBeef.SourceData_PastureBeef_LiveweightGain_Data(), Table_SourceData_PastureBeef_LiveweightGain[[#Headers],[State]],0)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9BC52070-7B99-44CF-8B4E-32C43FBD96CF}" name="Table_SourceData_PastureBeef_LiveweightGainNTQLD" displayName="Table_SourceData_PastureBeef_LiveweightGainNTQLD" ref="D187:P215" totalsRowShown="0">
  <autoFilter ref="D187:P215" xr:uid="{9BC52070-7B99-44CF-8B4E-32C43FBD96C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6B06C6EB-DA3D-4A22-9E30-950E17911AE3}" name="State">
      <calculatedColumnFormula array="1">Common_InputFunctions.Utility_DisplayArrayInTable(SourceData_PastureBeef.SourceData_PastureBeef_LiveweightGainNTQLD_Data(),Table_SourceData_PastureBeef_LiveweightGainNTQLD[[#Headers],[State]],0)</calculatedColumnFormula>
    </tableColumn>
    <tableColumn id="2" xr3:uid="{5B265E05-CA11-4FBE-82D4-A83A44DF7BED}" name="Region" dataDxfId="10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3" xr3:uid="{8C0A678D-0ABD-4679-A1E6-4747A9DB7E9C}" name="Season" dataDxfId="10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4" xr3:uid="{1E3E6632-D7F2-4BF9-8D58-28DFC93F3A08}" name="Bull &lt;1" dataDxfId="103"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5" xr3:uid="{16428095-7B16-4F14-9E24-09E3F8F87518}" name="Bull &gt;1" dataDxfId="102"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6" xr3:uid="{F4215E65-73BC-44C9-A47B-670DA4466F63}" name="Cow &lt;1" dataDxfId="101"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7" xr3:uid="{899202C0-CD56-482C-A156-6B1D1C96A13F}" name="Cow 1-2" dataDxfId="100"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8" xr3:uid="{C3633495-5227-4A9A-B8C0-9EAD0E7C2C84}" name="Cow 2-3" dataDxfId="9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9" xr3:uid="{C1D14163-201A-4A37-9224-543F996DB67F}" name="Cow &gt;3" dataDxfId="9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0" xr3:uid="{7FD5AD27-CF7D-47B8-BB42-6B37FADC3ED7}" name="Steer &lt;1" dataDxfId="97"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1" xr3:uid="{391C1EF1-AFF5-4E7A-A3D6-864DE9548681}" name="Steer 1-2" dataDxfId="96"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2" xr3:uid="{434EF34A-03CA-4E1A-B9D8-B28C616615ED}" name="Steer 2-3" dataDxfId="9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3" xr3:uid="{8B699F4A-2876-4966-989C-FBC9A7C34E0F}" name="Steer &gt;3" dataDxfId="9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B94F72DD-5F7F-4594-8B05-AA19A8FE1796}" name="Table_SourceData_PastureBeef_LiveweightGainAllStates" displayName="Table_SourceData_PastureBeef_LiveweightGainAllStates" ref="D220:P280" totalsRowShown="0">
  <autoFilter ref="D220:P280" xr:uid="{B94F72DD-5F7F-4594-8B05-AA19A8FE179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AF572FAD-EE72-4FAE-ABD7-6AE1705D0B0D}" name="State"/>
    <tableColumn id="2" xr3:uid="{6CD6A8DE-3673-4B83-81DE-D962A2D2A485}" name="Region">
      <calculatedColumnFormula>E157</calculatedColumnFormula>
    </tableColumn>
    <tableColumn id="3" xr3:uid="{AC2B56C3-EAA6-4EB7-8AE8-595B24DDA286}" name="Season">
      <calculatedColumnFormula>F157</calculatedColumnFormula>
    </tableColumn>
    <tableColumn id="4" xr3:uid="{08B8437B-3F1B-4B67-96D6-D3205B887359}" name="Bulls &lt; 1 year">
      <calculatedColumnFormula>G157</calculatedColumnFormula>
    </tableColumn>
    <tableColumn id="5" xr3:uid="{CD173C65-37CB-47D4-9539-A607834353CA}" name="Bulls &gt; 1 year">
      <calculatedColumnFormula>H157</calculatedColumnFormula>
    </tableColumn>
    <tableColumn id="6" xr3:uid="{F0F0A114-C329-4154-B2DB-771A6B064444}" name="Cows &lt; 1 year">
      <calculatedColumnFormula>I157</calculatedColumnFormula>
    </tableColumn>
    <tableColumn id="7" xr3:uid="{761E5345-3D87-40AC-B840-E970BEAD4881}" name="Cows 1-2 years">
      <calculatedColumnFormula>J157</calculatedColumnFormula>
    </tableColumn>
    <tableColumn id="8" xr3:uid="{61CEB2F6-1825-4DC6-9E30-29B9B1373F7D}" name="Cows 2-3 years">
      <calculatedColumnFormula>K157</calculatedColumnFormula>
    </tableColumn>
    <tableColumn id="9" xr3:uid="{CB252A06-219C-4E93-8701-6BF8F198053D}" name="Cows &gt; 3 years">
      <calculatedColumnFormula>L157</calculatedColumnFormula>
    </tableColumn>
    <tableColumn id="10" xr3:uid="{6B66DB24-C04A-4D4C-B9BD-CDC6F4F5F354}" name="Steers &lt; 1 year">
      <calculatedColumnFormula>M157</calculatedColumnFormula>
    </tableColumn>
    <tableColumn id="11" xr3:uid="{9C7A5F7A-D394-46BB-8AC1-693C660CFDB6}" name="Steers 1-2 years">
      <calculatedColumnFormula>N157</calculatedColumnFormula>
    </tableColumn>
    <tableColumn id="12" xr3:uid="{83B5303D-9DB1-46F1-BB3E-05B25A2AEFB1}" name="Steers 2-3 years">
      <calculatedColumnFormula>O157</calculatedColumnFormula>
    </tableColumn>
    <tableColumn id="13" xr3:uid="{22665AE4-33C3-49E0-ADD0-40C083DBA62A}" name="Steers &gt;3 years">
      <calculatedColumnFormula>P157</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901924B3-1836-4FF2-9419-A38B530E9158}" name="Table_SourceData_PastureBeef_DryMatterDigestibility" displayName="Table_SourceData_PastureBeef_DryMatterDigestibility" ref="D288:I303" totalsRowShown="0">
  <autoFilter ref="D288:I303" xr:uid="{901924B3-1836-4FF2-9419-A38B530E9158}">
    <filterColumn colId="0" hiddenButton="1"/>
    <filterColumn colId="1" hiddenButton="1"/>
    <filterColumn colId="2" hiddenButton="1"/>
    <filterColumn colId="3" hiddenButton="1"/>
    <filterColumn colId="4" hiddenButton="1"/>
    <filterColumn colId="5" hiddenButton="1"/>
  </autoFilter>
  <tableColumns count="6">
    <tableColumn id="1" xr3:uid="{2DB91F1C-A1D3-4F22-9BE7-626839FBC312}" name="State">
      <calculatedColumnFormula array="1">Common_InputFunctions.Utility_DisplayArrayInTable(SourceData_PastureBeef.SourceData_PastureBeef_DryMatterDigestibility_Data(), Table_SourceData_PastureBeef_DryMatterDigestibility[[#Headers],[State]], 0)</calculatedColumnFormula>
    </tableColumn>
    <tableColumn id="2" xr3:uid="{80718C0A-F8A6-4CEC-A0A5-0F9223452724}" name="Region" dataDxfId="93"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3" xr3:uid="{CB3FCE88-9EEF-4B12-88E8-219C0F2EF649}" name="Spring" dataDxfId="92"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4" xr3:uid="{18D029B1-54E5-4EA2-8BE2-3EBE9F20B5EB}" name="Summer" dataDxfId="91"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5" xr3:uid="{49D61756-A207-4F90-A7E9-F6F1693D8CFB}" name="Autumn" dataDxfId="90"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6" xr3:uid="{9651C4AB-A38F-4907-BB90-C574CA7901F3}" name="Winter" dataDxfId="89"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75841D5E-1F24-46B7-B5F9-1E024F5554ED}" name="Table_SourceData_PastureBeef_CrudeProtein" displayName="Table_SourceData_PastureBeef_CrudeProtein" ref="D311:I326" totalsRowShown="0" dataDxfId="88" dataCellStyle="Content normal">
  <autoFilter ref="D311:I326" xr:uid="{75841D5E-1F24-46B7-B5F9-1E024F5554ED}">
    <filterColumn colId="0" hiddenButton="1"/>
    <filterColumn colId="1" hiddenButton="1"/>
    <filterColumn colId="2" hiddenButton="1"/>
    <filterColumn colId="3" hiddenButton="1"/>
    <filterColumn colId="4" hiddenButton="1"/>
    <filterColumn colId="5" hiddenButton="1"/>
  </autoFilter>
  <tableColumns count="6">
    <tableColumn id="1" xr3:uid="{37381FB6-BFB9-4C30-9A7F-80CC9CE5929E}" name="State" dataDxfId="87"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2" xr3:uid="{B95DC302-3595-47A1-8EDF-3F14F4B53A0E}" name="Region" dataDxfId="86"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3" xr3:uid="{20691273-F4CD-4A97-B9A1-390E998B0A11}" name="Spring" dataDxfId="85"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4" xr3:uid="{67603B70-F958-48B3-8A65-850E548C07A9}" name="Summer" dataDxfId="84"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5" xr3:uid="{4918E742-9217-412D-9836-89562855744E}" name="Autumn" dataDxfId="83"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6" xr3:uid="{92ABF4F6-A507-4003-ADD7-EEFBA65B509A}" name="Winter" dataDxfId="82" dataCellStyle="Content normal">
      <calculatedColumnFormula array="1">Common_InputFunctions.Utility_DisplayArrayInTable(SourceData_PastureBeef.SourceData_PastureBeef_CrudeProteinContent_Data(), Table_SourceData_PastureBeef_CrudeProtein[[#Headers],[State]],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821A673E-F16D-473C-802E-953C84454BC9}" name="Table_SourceData_PastureBeef_FeedIntakeAdjustment" displayName="Table_SourceData_PastureBeef_FeedIntakeAdjustment" ref="D332:G340" totalsRowShown="0">
  <autoFilter ref="D332:G340" xr:uid="{821A673E-F16D-473C-802E-953C84454BC9}">
    <filterColumn colId="0" hiddenButton="1"/>
    <filterColumn colId="1" hiddenButton="1"/>
    <filterColumn colId="2" hiddenButton="1"/>
    <filterColumn colId="3" hiddenButton="1"/>
  </autoFilter>
  <tableColumns count="4">
    <tableColumn id="1" xr3:uid="{C5E09E67-BE9E-48C0-A683-79C53249DA82}" name="Breed">
      <calculatedColumnFormula array="1">Common_InputFunctions.Utility_DisplayArrayInTable(SourceData_PastureBeef.SourceData_PastureBeef_FeedAdjustmentAndMilkProduction_Data(), Table_SourceData_PastureBeef_FeedIntakeAdjustment[[#Headers],[Breed]], 0)</calculatedColumnFormula>
    </tableColumn>
    <tableColumn id="2" xr3:uid="{41EC237B-29BA-486C-8FEC-FD59027EA551}" name="Season" dataDxfId="81"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3" xr3:uid="{6F40D2C4-AAAE-401D-B30A-FCA44C570C62}" name="Feed adjustment" dataDxfId="80"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4" xr3:uid="{41840652-3AF3-4BDE-9A43-43E98303C42A}" name="Milk intake/production" dataDxfId="79"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BB816EB3-DC71-47F4-AF08-1CE512BD24AC}" name="Table_SourceData_PastureBeef_StandardReferenceWeights" displayName="Table_SourceData_PastureBeef_StandardReferenceWeights" ref="D348:L356" totalsRowShown="0">
  <autoFilter ref="D348:L356" xr:uid="{BB816EB3-DC71-47F4-AF08-1CE512BD24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FFF1AA8E-EF59-46FE-973E-BAB0CFD80AEF}" name="State">
      <calculatedColumnFormula array="1">Common_InputFunctions.Utility_DisplayArrayInTable(SourceData_PastureBeef.SourceData_PastureBeef_StandardReferenceWeights_Data(), Table_SourceData_PastureBeef_StandardReferenceWeights[[#Headers],[State]], 0)</calculatedColumnFormula>
    </tableColumn>
    <tableColumn id="2" xr3:uid="{D1E05A7D-993D-469A-9D43-A5BE1AE317B3}" name="Bulls &lt;1" dataDxfId="78"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3" xr3:uid="{AC48B6ED-6C38-43D2-B622-2B8454D957FB}" name="Bulls &gt;1" dataDxfId="77"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4" xr3:uid="{4BF66A43-C069-42EB-9740-E6E3E85BE68B}" name="Cows &lt;1" dataDxfId="76"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5" xr3:uid="{DC973D0B-5946-4CFD-820C-052371D87579}" name="Cows 1-2" dataDxfId="75"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6" xr3:uid="{C606A270-ABAC-4CE9-B701-6CC4AD441270}" name="Cows &gt;2" dataDxfId="74"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7" xr3:uid="{5574626B-C94A-4F90-BD7B-DC3FCB8EE609}" name="Steer &lt;1" dataDxfId="73"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8" xr3:uid="{C38742CD-BEAC-48A8-B5F6-0FA8AC2ECD97}" name="Steer &gt;1" dataDxfId="72"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9" xr3:uid="{17DCCB54-C85D-4733-ACD7-AD13FD4F6EBB}" name="State abbreviation" dataDxfId="71"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690C3A79-36FD-46EF-9464-C7837EBBC93B}" name="Table_SourceData_PastureBeef_StandardReferenceWeightsExpanded" displayName="Table_SourceData_PastureBeef_StandardReferenceWeightsExpanded" ref="D359:O367" totalsRowShown="0">
  <autoFilter ref="D359:O367" xr:uid="{690C3A79-36FD-46EF-9464-C7837EBBC93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3A5A9266-A552-4164-BF08-714CF917C261}" name="State" dataDxfId="70" dataCellStyle="Content normal">
      <calculatedColumnFormula>D349</calculatedColumnFormula>
    </tableColumn>
    <tableColumn id="2" xr3:uid="{B172192B-EDB5-47A5-A010-C82516ED13B5}" name="Bulls &lt; 1 year" dataDxfId="69" dataCellStyle="Content normal">
      <calculatedColumnFormula>E349</calculatedColumnFormula>
    </tableColumn>
    <tableColumn id="3" xr3:uid="{F83B528D-B6D7-4E92-967F-018ED1475D9B}" name="Bulls &gt; 1 year" dataDxfId="68" dataCellStyle="Content normal">
      <calculatedColumnFormula>F349</calculatedColumnFormula>
    </tableColumn>
    <tableColumn id="4" xr3:uid="{E83019D4-F113-4C9E-ADA7-433997A968A1}" name="Cows &lt; 1 year" dataDxfId="67" dataCellStyle="Content normal">
      <calculatedColumnFormula>G349</calculatedColumnFormula>
    </tableColumn>
    <tableColumn id="5" xr3:uid="{B51413B2-710F-409C-8C3C-6B72C8E99B49}" name="Cows 1-2 years" dataDxfId="66" dataCellStyle="Content normal">
      <calculatedColumnFormula>H349</calculatedColumnFormula>
    </tableColumn>
    <tableColumn id="6" xr3:uid="{F7B12596-1E7F-417C-83F5-67964BA7AAAE}" name="Cows 2-3 years" dataDxfId="65" dataCellStyle="Content normal">
      <calculatedColumnFormula>I349</calculatedColumnFormula>
    </tableColumn>
    <tableColumn id="7" xr3:uid="{C1B8EAD9-BCCE-49FF-9E3D-15E99DEC329C}" name="Cows &gt; 3 years" dataDxfId="64" dataCellStyle="Content normal">
      <calculatedColumnFormula>I349</calculatedColumnFormula>
    </tableColumn>
    <tableColumn id="8" xr3:uid="{6AB556D2-AF6C-4E98-9AA1-A8C6DC5F5CA9}" name="Steers &lt; 1 year" dataDxfId="63" dataCellStyle="Content normal">
      <calculatedColumnFormula>J349</calculatedColumnFormula>
    </tableColumn>
    <tableColumn id="9" xr3:uid="{46DC3CBA-6FB0-4A95-A39E-B2179DC8CFE6}" name="Steers 1-2 years" dataDxfId="62" dataCellStyle="Content normal">
      <calculatedColumnFormula>K349</calculatedColumnFormula>
    </tableColumn>
    <tableColumn id="10" xr3:uid="{105CEA90-EFAD-4757-B82A-B19E9A3F2664}" name="Steers 2-3 years" dataDxfId="61" dataCellStyle="Content normal"/>
    <tableColumn id="11" xr3:uid="{5E2A59D6-56CA-4967-885E-8602CA905B74}" name="Steers &gt;3 years" dataDxfId="60" dataCellStyle="Content normal"/>
    <tableColumn id="12" xr3:uid="{1C306FC1-FFBA-4C23-8EAD-1C07A5BAAA50}" name="State abbreviation" dataDxfId="59" dataCellStyle="Content normal"/>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003DF600-7F90-40C8-83F7-83F17E8C8244}" name="Table_SourceData_PastureBeef_FractionManureToMMS" displayName="Table_SourceData_PastureBeef_FractionManureToMMS" ref="D375:G390" totalsRowShown="0">
  <autoFilter ref="D375:G390" xr:uid="{003DF600-7F90-40C8-83F7-83F17E8C8244}">
    <filterColumn colId="0" hiddenButton="1"/>
    <filterColumn colId="1" hiddenButton="1"/>
    <filterColumn colId="2" hiddenButton="1"/>
    <filterColumn colId="3" hiddenButton="1"/>
  </autoFilter>
  <tableColumns count="4">
    <tableColumn id="1" xr3:uid="{84B7B20C-429E-4013-9834-5D11F407BAB6}" name="State">
      <calculatedColumnFormula array="1">Common_InputFunctions.Utility_DisplayArrayInTable(SourceData_PastureBeef.SourceData_PastureBeef_FractionOfManureToMMS_Data(),Table_SourceData_PastureBeef_FractionManureToMMS[[#Headers],[State]], 0)</calculatedColumnFormula>
    </tableColumn>
    <tableColumn id="2" xr3:uid="{7C4D76F5-1E61-40F4-BCDC-9AA38B241306}" name="Region" dataDxfId="58"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3" xr3:uid="{DB443682-C337-4603-8AE9-D538EE8D6D16}" name="Pasture range and paddock" dataDxfId="57"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4" xr3:uid="{1128502F-7C2D-49CA-B51D-61088A46FF10}" name="Uncovered Anaerobic lagoon" dataDxfId="56"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4418AC31-F58F-4AB7-B02E-51D846B94E9A}" name="Table_SourceData_PastureBeef_MethaneConversionFactor" displayName="Table_SourceData_PastureBeef_MethaneConversionFactor" ref="D398:G413" totalsRowShown="0" dataDxfId="55" dataCellStyle="Content normal">
  <autoFilter ref="D398:G413" xr:uid="{4418AC31-F58F-4AB7-B02E-51D846B94E9A}">
    <filterColumn colId="0" hiddenButton="1"/>
    <filterColumn colId="1" hiddenButton="1"/>
    <filterColumn colId="2" hiddenButton="1"/>
    <filterColumn colId="3" hiddenButton="1"/>
  </autoFilter>
  <tableColumns count="4">
    <tableColumn id="1" xr3:uid="{FA5AB519-3BD1-401B-97F4-E6A7CEAD4620}" name="State" dataDxfId="54"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2" xr3:uid="{09FB00D2-1B0E-4A48-92F8-FF9C2B56025B}" name="Region" dataDxfId="53"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3" xr3:uid="{DEAA59F5-1125-4190-ABED-3A0DCE5C7BA9}" name="Pasture range and paddock" dataDxfId="52"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4" xr3:uid="{0D5883BA-A3E5-4561-9B80-AD0BD0398481}" name="Uncovered Anaerobic lagoon" dataDxfId="51"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04F0ADD4-5226-4095-B178-6A0021B7EFDC}" name="Table_SourceData_PastureBeef_FeedIntakeAdjustment_Variation" displayName="Table_SourceData_PastureBeef_FeedIntakeAdjustment_Variation" ref="I332:L336" totalsRowShown="0">
  <autoFilter ref="I332:L336" xr:uid="{04F0ADD4-5226-4095-B178-6A0021B7EFDC}">
    <filterColumn colId="0" hiddenButton="1"/>
    <filterColumn colId="1" hiddenButton="1"/>
    <filterColumn colId="2" hiddenButton="1"/>
    <filterColumn colId="3" hiddenButton="1"/>
  </autoFilter>
  <tableColumns count="4">
    <tableColumn id="1" xr3:uid="{E6C9E05A-E619-4F8F-AD97-95BFEC9D9A14}" name="Breed">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2" xr3:uid="{A0C137D6-0A2E-4259-8A36-00D0DEC7105E}" name="Season" dataDxfId="50"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3" xr3:uid="{CC70AF78-FC32-434F-9A2F-A7F893415AF5}" name="Feed adjustment" dataDxfId="49"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4" xr3:uid="{393B9FE5-EE0E-4DB9-802A-D125DC5DD83D}" name="Milk intake/production" dataDxfId="48"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33B1D119-AE36-4882-A86A-C523EA50793A}"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C7C242BB-51B4-423F-A8D2-BC23E743AC2B}" name="State/Territory">
      <calculatedColumnFormula array="1">Common_InputFunctions.Utility_DisplayArrayInTable(Common_SourceData.Common_SourceData_AustralianStatesTerritories_Data(),Table_AustralianStates[[#Headers],[State/Territory]],0)</calculatedColumnFormula>
    </tableColumn>
    <tableColumn id="2" xr3:uid="{755EF525-9892-4708-8112-D3FC5D810E35}" name="Common Name">
      <calculatedColumnFormula array="1">Common_InputFunctions.Utility_DisplayArrayInTable(Common_SourceData.Common_SourceData_AustralianStatesTerritories_Data(),Table_AustralianStates[[#Headers],[State/Territory]],0)</calculatedColumnFormula>
    </tableColumn>
    <tableColumn id="3" xr3:uid="{F3E1EE38-CE4A-4E0B-B9E9-203FC2D4BCDF}"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6AD9DB27-C0F3-47F1-9E26-32B61AC03A74}" name="Table_WASA4Areas" displayName="Table_WASA4Areas" ref="D20:D30" totalsRowShown="0">
  <autoFilter ref="D20:D30" xr:uid="{5FA81339-C6C8-4D36-BEEA-6C4AEDD9E676}">
    <filterColumn colId="0" hiddenButton="1"/>
  </autoFilter>
  <tableColumns count="1">
    <tableColumn id="1" xr3:uid="{F63BCE24-4288-4C54-84AB-8F2BAEE7932F}"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BE6DF6A3-BEFD-4C6A-8BEF-804415ECB5E4}" name="Table_GWPData" displayName="Table_GWPData" ref="D36:E43" totalsRowShown="0">
  <autoFilter ref="D36:E43" xr:uid="{B8E87A66-3E41-4AD3-925D-01EE21B43D7A}">
    <filterColumn colId="0" hiddenButton="1"/>
    <filterColumn colId="1" hiddenButton="1"/>
  </autoFilter>
  <tableColumns count="2">
    <tableColumn id="1" xr3:uid="{3EB7F9C6-2222-4699-98C4-8D80995BB551}" name="Gas">
      <calculatedColumnFormula array="1">Common_InputFunctions.Utility_DisplayArrayInTable(Common_SourceData.Common_SourceData_GWP_Data(), Table_GWPData[[#Headers],[Gas]], 0)</calculatedColumnFormula>
    </tableColumn>
    <tableColumn id="2" xr3:uid="{5B792409-270E-419D-A290-B3B8D7C30B11}"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DA0DE11D-BE36-4C25-A45B-65CA8679D17C}"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3CF3D168-A12F-43E8-85D7-62E6D0E507B6}" name="Gas">
      <calculatedColumnFormula array="1">Common_InputFunctions.Utility_DisplayArrayInTable(Common_SourceData.Common_SourceData_ConvertGasElementalToMolecular_Data(),Table_GasToMolecularConversionFactor[[#Headers],[Gas]], 0)</calculatedColumnFormula>
    </tableColumn>
    <tableColumn id="5" xr3:uid="{E4EAE0E1-2718-46DB-8C7D-3C9370742BE8}" name="Conversion factor">
      <calculatedColumnFormula array="1">Common_InputFunctions.Utility_DisplayArrayInTable(Common_SourceData.Common_SourceData_ConvertGasElementalToMolecular_Data(),Table_GasToMolecularConversionFactor[[#Headers],[Gas]], 0)</calculatedColumnFormula>
    </tableColumn>
    <tableColumn id="2" xr3:uid="{4646E153-46BA-42A4-ADFA-394C3D97CBC0}" name="Conversion factor 1">
      <calculatedColumnFormula array="1">Common_InputFunctions.Utility_DisplayArrayInTable(Common_SourceData.Common_SourceData_ConvertGasElementalToMolecular_Data(),Table_GasToMolecularConversionFactor[[#Headers],[Gas]], 0)</calculatedColumnFormula>
    </tableColumn>
    <tableColumn id="3" xr3:uid="{7F768D75-330E-4E1B-9C46-A5613B0AEEA6}" name="Conversion factor 2">
      <calculatedColumnFormula array="1">Common_InputFunctions.Utility_DisplayArrayInTable(Common_SourceData.Common_SourceData_ConvertGasElementalToMolecular_Data(),Table_GasToMolecularConversionFactor[[#Headers],[Gas]], 0)</calculatedColumnFormula>
    </tableColumn>
    <tableColumn id="4" xr3:uid="{A4BE4B44-15A5-4798-963B-BB09DAB2460A}"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58B6FD77-14E4-4BE8-9058-941E5E30D9ED}"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20F6EBAD-BA5B-454C-915C-884A9A40AB72}"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0D7AC8D9-9EB0-47D9-806E-AC81058A98BE}" name="MAT"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3" xr3:uid="{64C27ED9-1413-4931-9A4F-D4FFDA5E0746}" name="MAP"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4" xr3:uid="{99C890E6-523A-43B6-8EFF-3CED5099B43B}" name="Frost days per year"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5" xr3:uid="{8404FAB5-F155-4A1D-9D5D-EF231D470CD5}" name="Elevation"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6" xr3:uid="{B2149590-2AA4-472E-85C2-8EEE94F806D4}" name="MAP:PET"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7" xr3:uid="{6FAF9C10-4F71-45EB-937E-A6B48F24AB3A}" name="Min temp" totalsRowDxfId="29" totalsRowCellStyle="Content bold">
      <calculatedColumnFormula array="1">Common_InputFunctions.Utility_DisplayArrayInTable(Common_SourceData.Common_SourceData_ClimateZones_Data(), Table_SourceData_ClimateZones[[#Headers],[Climate zone]], 0)</calculatedColumnFormula>
    </tableColumn>
    <tableColumn id="8" xr3:uid="{07865798-26C0-436E-8D22-A62570ABCFAE}" name="Max temp" totalsRowDxfId="28" totalsRowCellStyle="Content bold">
      <calculatedColumnFormula array="1">Common_InputFunctions.Utility_DisplayArrayInTable(Common_SourceData.Common_SourceData_ClimateZones_Data(), Table_SourceData_ClimateZones[[#Headers],[Climate zone]], 0)</calculatedColumnFormula>
    </tableColumn>
    <tableColumn id="9" xr3:uid="{5EBD3B07-2DF7-4F2C-AE47-709797F0CAFA}" name="Min rainfall" totalsRowDxfId="27" totalsRowCellStyle="Content bold">
      <calculatedColumnFormula array="1">Common_InputFunctions.Utility_DisplayArrayInTable(Common_SourceData.Common_SourceData_ClimateZones_Data(), Table_SourceData_ClimateZones[[#Headers],[Climate zone]], 0)</calculatedColumnFormula>
    </tableColumn>
    <tableColumn id="10" xr3:uid="{523DC766-99EB-4736-9468-530DEFD393C3}" name="Max rainfall" totalsRowDxfId="26" totalsRowCellStyle="Content bold">
      <calculatedColumnFormula array="1">Common_InputFunctions.Utility_DisplayArrayInTable(Common_SourceData.Common_SourceData_ClimateZones_Data(), Table_SourceData_ClimateZones[[#Headers],[Climate zone]], 0)</calculatedColumnFormula>
    </tableColumn>
    <tableColumn id="11" xr3:uid="{9CAC9BDD-B280-46F9-8689-DEF713A90B48}" name="Min frost days" totalsRowDxfId="25" totalsRowCellStyle="Content bold">
      <calculatedColumnFormula array="1">Common_InputFunctions.Utility_DisplayArrayInTable(Common_SourceData.Common_SourceData_ClimateZones_Data(), Table_SourceData_ClimateZones[[#Headers],[Climate zone]], 0)</calculatedColumnFormula>
    </tableColumn>
    <tableColumn id="15" xr3:uid="{50ED932C-C2F2-4BBF-A976-306EF039AFCC}" name="Max frost days" totalsRowDxfId="24" totalsRowCellStyle="Content bold">
      <calculatedColumnFormula array="1">Common_InputFunctions.Utility_DisplayArrayInTable(Common_SourceData.Common_SourceData_ClimateZones_Data(), Table_SourceData_ClimateZones[[#Headers],[Climate zone]], 0)</calculatedColumnFormula>
    </tableColumn>
    <tableColumn id="12" xr3:uid="{97B86707-34B4-491C-B5B6-9C97A2C4B66C}" name="Min elevation" totalsRowDxfId="23" totalsRowCellStyle="Content bold">
      <calculatedColumnFormula array="1">Common_InputFunctions.Utility_DisplayArrayInTable(Common_SourceData.Common_SourceData_ClimateZones_Data(), Table_SourceData_ClimateZones[[#Headers],[Climate zone]], 0)</calculatedColumnFormula>
    </tableColumn>
    <tableColumn id="16" xr3:uid="{291FAF29-BB9B-4F5C-90A2-F932A17B744D}" name="Max elevation" totalsRowDxfId="22" totalsRowCellStyle="Content bold">
      <calculatedColumnFormula array="1">Common_InputFunctions.Utility_DisplayArrayInTable(Common_SourceData.Common_SourceData_ClimateZones_Data(), Table_SourceData_ClimateZones[[#Headers],[Climate zone]], 0)</calculatedColumnFormula>
    </tableColumn>
    <tableColumn id="13" xr3:uid="{2854EE77-5E7B-43E3-A57F-1BDDD57F86CB}" name="Min MAP:PET" totalsRowDxfId="21" totalsRowCellStyle="Content bold">
      <calculatedColumnFormula array="1">Common_InputFunctions.Utility_DisplayArrayInTable(Common_SourceData.Common_SourceData_ClimateZones_Data(), Table_SourceData_ClimateZones[[#Headers],[Climate zone]], 0)</calculatedColumnFormula>
    </tableColumn>
    <tableColumn id="17" xr3:uid="{CD758545-F6EE-4A63-B29E-F48B5FEAF0E2}" name="Max MAP:PET" totalsRowDxfId="20"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6DF7ACF-0C48-4224-99C4-EC5059D1B819}"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2271FBC5-1C52-420B-9141-769BD16BA4B6}"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C2944AC3-AD2E-4190-939D-478DA214D15F}" name="Wet or Dry Zone" totalsRowDxfId="19"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F9DC4EB0-B7E4-4583-BEA5-856AFD9E9776}"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BD121535-0315-4F9E-B52E-C199FA8B2AAB}" name="Temperature Zone">
      <calculatedColumnFormula array="1">Common_InputFunctions.Utility_DisplayArrayInTable(Common_SourceData.Common_SourceData_TemperatureZones_Data(),Table_SourceData_TemperatureZones[[#Headers],[Temperature Zone]],0)</calculatedColumnFormula>
    </tableColumn>
    <tableColumn id="2" xr3:uid="{BCBF1AAD-2CE9-475A-8CDF-928707F7DAA6}" name="MAT">
      <calculatedColumnFormula array="1">Common_InputFunctions.Utility_DisplayArrayInTable(Common_SourceData.Common_SourceData_TemperatureZones_Data(),Table_SourceData_TemperatureZones[[#Headers],[Temperature Zone]],0)</calculatedColumnFormula>
    </tableColumn>
    <tableColumn id="3" xr3:uid="{0B56E810-4EE5-4520-B13A-358A744F042C}" name="Min MAT">
      <calculatedColumnFormula array="1">Common_InputFunctions.Utility_DisplayArrayInTable(Common_SourceData.Common_SourceData_TemperatureZones_Data(),Table_SourceData_TemperatureZones[[#Headers],[Temperature Zone]],0)</calculatedColumnFormula>
    </tableColumn>
    <tableColumn id="4" xr3:uid="{3586F58B-6C8B-4C19-8B74-D9EB642150A7}"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4E0009E0-04B4-4C50-8030-D113C746F927}"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5DF0AF09-AD65-4500-BF8B-3C364B125D3F}" name="Rainfall Zone">
      <calculatedColumnFormula array="1">Common_InputFunctions.Utility_DisplayArrayInTable(Common_SourceData.Common_SourceData_RainfallZones_Data(),Table_SourceData_RainfallZones[[#Headers],[Rainfall Zone]],0)</calculatedColumnFormula>
    </tableColumn>
    <tableColumn id="2" xr3:uid="{3F479EE2-0ADC-48A2-81F6-7195669EC16F}" name="Annual rainfall">
      <calculatedColumnFormula array="1">Common_InputFunctions.Utility_DisplayArrayInTable(Common_SourceData.Common_SourceData_RainfallZones_Data(),Table_SourceData_RainfallZones[[#Headers],[Rainfall Zone]],0)</calculatedColumnFormula>
    </tableColumn>
    <tableColumn id="3" xr3:uid="{66321ADA-6F22-4172-89F0-E78A3A96EF9F}" name="Min rainfall">
      <calculatedColumnFormula array="1">Common_InputFunctions.Utility_DisplayArrayInTable(Common_SourceData.Common_SourceData_RainfallZones_Data(),Table_SourceData_RainfallZones[[#Headers],[Rainfall Zone]],0)</calculatedColumnFormula>
    </tableColumn>
    <tableColumn id="4" xr3:uid="{56980B5B-88EC-4031-8C4A-B19CE7B44C78}"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6D54477F-BE1F-43C2-8F1C-B6AA54EC00D0}"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F217CA27-53C4-4E35-A087-FDDBD9F94030}" name="Leaching Zone">
      <calculatedColumnFormula array="1">Common_InputFunctions.Utility_DisplayArrayInTable(Common_SourceData.Common_SourceData_LeachingZones_Data(), Table_SourceData_LeachingZones[[#Headers],[Leaching Zone]], 0)</calculatedColumnFormula>
    </tableColumn>
    <tableColumn id="2" xr3:uid="{ED90CE9D-0DE4-47F4-A6FB-385401DCE214}"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EB408603-DA46-421E-A8F5-AF040D1456AC}"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3CAC6AF4-946A-4525-B1B5-DE4FB3BF4592}" name="Data source">
      <calculatedColumnFormula array="1">Common_InputFunctions.Utility_DisplayArrayInTable(Common_SourceData.Common_SourceData_DataScores_Scope3_Data(), Table_SourceData_DataScores_Scope3[[#Headers],[Data source]], 0)</calculatedColumnFormula>
    </tableColumn>
    <tableColumn id="2" xr3:uid="{7663365C-00F2-466F-9DFC-03D11587663C}"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20EB687A-8167-441C-A98A-B0093FFF5073}" name="Table_SourceData_FracWET" displayName="Table_SourceData_FracWET" ref="D134:E136" totalsRowShown="0">
  <autoFilter ref="D134:E136" xr:uid="{308E99BE-FE1F-47A4-B2CA-97217277C4E9}">
    <filterColumn colId="0" hiddenButton="1"/>
    <filterColumn colId="1" hiddenButton="1"/>
  </autoFilter>
  <tableColumns count="2">
    <tableColumn id="1" xr3:uid="{E0EDD8E8-5C30-4980-B532-D077D1342F55}" name="Is in leaching zone">
      <calculatedColumnFormula array="1">Common_InputFunctions.Utility_DisplayArrayInTable(Common_SourceData.Common_SourceData_FracWET_Data(),Table_SourceData_FracWET[[#Headers],[Is in leaching zone]],0)</calculatedColumnFormula>
    </tableColumn>
    <tableColumn id="2" xr3:uid="{640C967A-A7E6-47BC-A125-9E34FC97D19B}" name="FracWET" dataDxfId="18">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DBBDED0F-A082-4E38-A730-6B54F1005468}"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78A5E791-7EC8-471A-896B-79D9B8CA6B6D}" name="Production system j">
      <calculatedColumnFormula array="1">Common_InputFunctions.Utility_DisplayArrayInTable(Common_SourceData.Common_SourceData_EFN2O_Data(), Table_SourceData_Common_EFN2O[[#Headers],[Production system j]], 0)</calculatedColumnFormula>
    </tableColumn>
    <tableColumn id="2" xr3:uid="{A43EBE5D-8CC7-4C0A-8046-B8D0E86E212D}" name="EFN2O">
      <calculatedColumnFormula array="1">Common_InputFunctions.Utility_DisplayArrayInTable(Common_SourceData.Common_SourceData_EFN2O_Data(), Table_SourceData_Common_EFN2O[[#Headers],[Production system j]], 0)</calculatedColumnFormula>
    </tableColumn>
    <tableColumn id="3" xr3:uid="{73778775-C182-4844-A8DD-5D29CC4492D9}" name="Production system only">
      <calculatedColumnFormula array="1">Common_InputFunctions.Utility_DisplayArrayInTable(Common_SourceData.Common_SourceData_EFN2O_Data(), Table_SourceData_Common_EFN2O[[#Headers],[Production system j]], 0)</calculatedColumnFormula>
    </tableColumn>
    <tableColumn id="4" xr3:uid="{58F54CB8-EAEE-4B7E-95F9-516199121632}" name="Irrigation method">
      <calculatedColumnFormula array="1">Common_InputFunctions.Utility_DisplayArrayInTable(Common_SourceData.Common_SourceData_EFN2O_Data(), Table_SourceData_Common_EFN2O[[#Headers],[Production system j]], 0)</calculatedColumnFormula>
    </tableColumn>
    <tableColumn id="5" xr3:uid="{195F57C0-0476-4870-9B0B-8DC45478E732}"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8890194F-3644-4E7E-9F32-1D8579630B2C}"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7660F8AF-06C4-444B-909A-C7DEB94C6063}" name="Irrigation type i">
      <calculatedColumnFormula array="1">Common_InputFunctions.Utility_DisplayArrayInTable(Common_SourceData.Common_SourceData_FracWETIrrigation_Data(), Table_SourceData_FracWETIrrigation[[#Headers],[Irrigation type i]], 0)</calculatedColumnFormula>
    </tableColumn>
    <tableColumn id="2" xr3:uid="{50F6B56B-7701-4FFA-96C8-33D110261069}" name="FracWET" dataDxfId="17"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B0FC6200-342C-436C-8038-ED5EAF593768}"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AE507615-79DC-4CFB-8830-FF8BE120BA70}"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834501F0-A89E-4116-BA95-70287FF5C983}" name="EFPRP" dataDxfId="16"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87F4C072-3A77-4172-ABA5-E214F7D5DE6D}"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D831DA29-D20A-4178-8784-FD4E7BF8F065}" name="Month">
      <calculatedColumnFormula array="1">Common_InputFunctions.Utility_DisplayArrayInTable(Common_SourceData.Common_SourceData_MonthsToSeasons_Data(), Table_SourceData_Common_MonthToSeason[[#Headers],[Month]], 0)</calculatedColumnFormula>
    </tableColumn>
    <tableColumn id="2" xr3:uid="{D5DFBC4A-8915-4694-8151-AD8ABD10F441}" name="Season" dataDxfId="15"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C7011D9F-092D-4F38-9A18-3D63607C3A33}"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BEA3BB5D-268F-4AE9-B3B8-0C2F4E50C58C}"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8C94923A-D7C2-4051-BDD8-91C0D35864A5}" name="MAT (ºC)"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ECD5F318-6A9E-40FC-BC79-6EC488136CEC}" name="Anaerobic lagoon"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79BBFE6C-F111-41EC-81E7-F4EAB0A9D5EC}" name="Digester / covered lagoons"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C013E0A3-185E-4369-9171-0F8BF77FDA96}" name="Liquid systems"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6DE5B2E2-CAF4-471D-A0E0-0C926E7FBB62}" name="Daily spread"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E4DABEB7-C68C-43FA-8A3E-E208ED444B93}" name="Composting (passive windrow)"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DE667CF7-6361-4051-B2D3-6F9998387F6A}" name="Solid storage" dataDxfId="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638D4E36-9D97-4B0B-81FF-3F86AD43AFE1}" name="Pit storage" dataDxfId="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0FEC635F-D027-4431-AE82-0E41CC2F15E0}" name="Deep litter" dataDxfId="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094B0ACC-CEDE-430C-AD86-FF115D425BB7}" name="Poultry manure with bedding" dataDxfId="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D99F7296-C242-4F97-9551-5B322DDC23CA}" name="Poultry manure without bedding" dataDxfId="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2D4D342D-7FBD-4C5F-AB1E-FC7ED5C82C79}" name="Direct processing" dataDxfId="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15A7BA27-604E-4278-B1CE-EEF41D9A8F81}" name="Direct application" dataDxfId="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FB987EE2-EC7C-493C-8A4A-AEEBD8F6AD6F}" name="Pasture range and paddock" dataDxfId="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132D4467-904E-487F-8B40-0B769499F342}" name="MAT raw" dataDxfId="0"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53"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18" Type="http://schemas.openxmlformats.org/officeDocument/2006/relationships/table" Target="../tables/table18.xml"/><Relationship Id="rId3" Type="http://schemas.openxmlformats.org/officeDocument/2006/relationships/table" Target="../tables/table3.xml"/><Relationship Id="rId21" Type="http://schemas.openxmlformats.org/officeDocument/2006/relationships/table" Target="../tables/table21.xml"/><Relationship Id="rId7" Type="http://schemas.openxmlformats.org/officeDocument/2006/relationships/table" Target="../tables/table7.xml"/><Relationship Id="rId12" Type="http://schemas.openxmlformats.org/officeDocument/2006/relationships/table" Target="../tables/table12.xml"/><Relationship Id="rId17" Type="http://schemas.openxmlformats.org/officeDocument/2006/relationships/table" Target="../tables/table17.xml"/><Relationship Id="rId2" Type="http://schemas.openxmlformats.org/officeDocument/2006/relationships/table" Target="../tables/table2.xml"/><Relationship Id="rId16" Type="http://schemas.openxmlformats.org/officeDocument/2006/relationships/table" Target="../tables/table16.xml"/><Relationship Id="rId20" Type="http://schemas.openxmlformats.org/officeDocument/2006/relationships/table" Target="../tables/table20.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24" Type="http://schemas.openxmlformats.org/officeDocument/2006/relationships/table" Target="../tables/table24.xml"/><Relationship Id="rId5" Type="http://schemas.openxmlformats.org/officeDocument/2006/relationships/table" Target="../tables/table5.xml"/><Relationship Id="rId15" Type="http://schemas.openxmlformats.org/officeDocument/2006/relationships/table" Target="../tables/table15.xml"/><Relationship Id="rId23" Type="http://schemas.openxmlformats.org/officeDocument/2006/relationships/table" Target="../tables/table23.xml"/><Relationship Id="rId10" Type="http://schemas.openxmlformats.org/officeDocument/2006/relationships/table" Target="../tables/table10.xml"/><Relationship Id="rId19" Type="http://schemas.openxmlformats.org/officeDocument/2006/relationships/table" Target="../tables/table19.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s>
</file>

<file path=xl/worksheets/_rels/sheet10.xml.rels><?xml version="1.0" encoding="UTF-8" standalone="yes"?>
<Relationships xmlns="http://schemas.openxmlformats.org/package/2006/relationships"><Relationship Id="rId8" Type="http://schemas.openxmlformats.org/officeDocument/2006/relationships/table" Target="../tables/table31.xml"/><Relationship Id="rId13" Type="http://schemas.openxmlformats.org/officeDocument/2006/relationships/table" Target="../tables/table36.xml"/><Relationship Id="rId3" Type="http://schemas.openxmlformats.org/officeDocument/2006/relationships/table" Target="../tables/table26.xml"/><Relationship Id="rId7" Type="http://schemas.openxmlformats.org/officeDocument/2006/relationships/table" Target="../tables/table30.xml"/><Relationship Id="rId12" Type="http://schemas.openxmlformats.org/officeDocument/2006/relationships/table" Target="../tables/table35.xml"/><Relationship Id="rId17" Type="http://schemas.openxmlformats.org/officeDocument/2006/relationships/table" Target="../tables/table40.xml"/><Relationship Id="rId2" Type="http://schemas.openxmlformats.org/officeDocument/2006/relationships/table" Target="../tables/table25.xml"/><Relationship Id="rId16" Type="http://schemas.openxmlformats.org/officeDocument/2006/relationships/table" Target="../tables/table39.xml"/><Relationship Id="rId1" Type="http://schemas.openxmlformats.org/officeDocument/2006/relationships/printerSettings" Target="../printerSettings/printerSettings4.bin"/><Relationship Id="rId6" Type="http://schemas.openxmlformats.org/officeDocument/2006/relationships/table" Target="../tables/table29.xml"/><Relationship Id="rId11" Type="http://schemas.openxmlformats.org/officeDocument/2006/relationships/table" Target="../tables/table34.xml"/><Relationship Id="rId5" Type="http://schemas.openxmlformats.org/officeDocument/2006/relationships/table" Target="../tables/table28.xml"/><Relationship Id="rId15" Type="http://schemas.openxmlformats.org/officeDocument/2006/relationships/table" Target="../tables/table38.xml"/><Relationship Id="rId10" Type="http://schemas.openxmlformats.org/officeDocument/2006/relationships/table" Target="../tables/table33.xml"/><Relationship Id="rId4" Type="http://schemas.openxmlformats.org/officeDocument/2006/relationships/table" Target="../tables/table27.xml"/><Relationship Id="rId9" Type="http://schemas.openxmlformats.org/officeDocument/2006/relationships/table" Target="../tables/table32.xml"/><Relationship Id="rId14" Type="http://schemas.openxmlformats.org/officeDocument/2006/relationships/table" Target="../tables/table37.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4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D20" sqref="D20"/>
    </sheetView>
  </sheetViews>
  <sheetFormatPr defaultRowHeight="15" x14ac:dyDescent="0.25"/>
  <cols>
    <col min="1" max="1" width="30.7109375" customWidth="1"/>
    <col min="2" max="3" width="2.7109375" customWidth="1"/>
    <col min="4" max="4" width="78.42578125" customWidth="1"/>
    <col min="5" max="10" width="30.7109375" customWidth="1"/>
    <col min="11" max="11" width="7.42578125" customWidth="1"/>
    <col min="12" max="26" width="28.7109375" customWidth="1"/>
  </cols>
  <sheetData>
    <row r="1" spans="1:11" ht="30" customHeight="1" x14ac:dyDescent="0.35">
      <c r="A1" s="68" t="e" vm="1">
        <v>#VALUE!</v>
      </c>
      <c r="C1" s="116" t="s">
        <v>162</v>
      </c>
    </row>
    <row r="2" spans="1:11" ht="20.100000000000001" customHeight="1" x14ac:dyDescent="0.25">
      <c r="A2" s="9"/>
      <c r="C2" s="9"/>
    </row>
    <row r="3" spans="1:11" ht="20.100000000000001" customHeight="1" x14ac:dyDescent="0.25">
      <c r="A3" s="17" t="str">
        <f>HYPERLINK("#'Home'!A1", "Home")</f>
        <v>Home</v>
      </c>
      <c r="C3" s="22"/>
      <c r="D3" s="22"/>
      <c r="E3" s="22"/>
      <c r="F3" s="22"/>
      <c r="G3" s="22"/>
      <c r="H3" s="22"/>
      <c r="I3" s="22"/>
      <c r="J3" s="22"/>
      <c r="K3" s="22"/>
    </row>
    <row r="4" spans="1:11" ht="20.100000000000001" customHeight="1" x14ac:dyDescent="0.25">
      <c r="A4" s="17" t="str">
        <f>HYPERLINK("#'Results'!A1", "Results")</f>
        <v>Results</v>
      </c>
      <c r="C4" s="22"/>
      <c r="D4" s="6" t="s">
        <v>5</v>
      </c>
      <c r="E4" s="24"/>
      <c r="F4" s="24"/>
      <c r="G4" s="24"/>
      <c r="H4" s="6"/>
      <c r="I4" s="6"/>
      <c r="J4" s="6"/>
      <c r="K4" s="25"/>
    </row>
    <row r="5" spans="1:11" ht="20.100000000000001" customHeight="1" x14ac:dyDescent="0.3">
      <c r="A5" s="16"/>
      <c r="C5" s="22"/>
      <c r="D5" s="26"/>
      <c r="E5" s="27"/>
      <c r="F5" s="27"/>
      <c r="G5" s="27"/>
      <c r="H5" s="24"/>
      <c r="I5" s="22"/>
      <c r="J5" s="22"/>
      <c r="K5" s="22"/>
    </row>
    <row r="6" spans="1:11" ht="20.100000000000001" customHeight="1" x14ac:dyDescent="0.25">
      <c r="A6" s="20" t="s">
        <v>3</v>
      </c>
      <c r="C6" s="22"/>
      <c r="D6" s="115" t="s">
        <v>114</v>
      </c>
      <c r="E6" s="115" t="s">
        <v>157</v>
      </c>
      <c r="F6" s="115" t="s">
        <v>158</v>
      </c>
      <c r="G6" s="115" t="s">
        <v>127</v>
      </c>
      <c r="H6" s="115" t="s">
        <v>159</v>
      </c>
      <c r="I6" s="115" t="s">
        <v>160</v>
      </c>
      <c r="J6" s="115" t="s">
        <v>128</v>
      </c>
      <c r="K6" s="22"/>
    </row>
    <row r="7" spans="1:11" ht="20.100000000000001" customHeight="1" x14ac:dyDescent="0.25">
      <c r="A7" s="17" t="str">
        <f>HYPERLINK("#'Input - Site'!A1", "Site")</f>
        <v>Site</v>
      </c>
      <c r="C7" s="22"/>
      <c r="D7" s="1" t="s">
        <v>163</v>
      </c>
      <c r="E7" s="112">
        <f>'4.2.1.1-2 Methane'!$E$244</f>
        <v>2.1890552792594553</v>
      </c>
      <c r="F7" s="112">
        <f>'4.2.1.1-2 Methane'!U276</f>
        <v>2.1930247440277975</v>
      </c>
      <c r="G7" s="54" t="s">
        <v>148</v>
      </c>
      <c r="H7" s="112">
        <f>'4.2.1.1-2 Methane'!$E$249</f>
        <v>61.293547819264745</v>
      </c>
      <c r="I7" s="112">
        <f>'4.2.1.1-2 Methane'!$U$281</f>
        <v>61.404692832778331</v>
      </c>
      <c r="J7" s="54" t="s">
        <v>153</v>
      </c>
      <c r="K7" s="22"/>
    </row>
    <row r="8" spans="1:11" ht="20.100000000000001" customHeight="1" x14ac:dyDescent="0.25">
      <c r="A8" s="17" t="str">
        <f>HYPERLINK("#'Input - Pasture Beef'!A1", "Pasture Beef")</f>
        <v>Pasture Beef</v>
      </c>
      <c r="C8" s="22"/>
      <c r="D8" s="1" t="s">
        <v>314</v>
      </c>
      <c r="E8" s="112">
        <f>'4.2.1.3-4 Soil direct N20'!$E$229</f>
        <v>0.1867556447941994</v>
      </c>
      <c r="F8" s="112">
        <f>'4.2.1.3-4 Soil direct N20'!$U$263</f>
        <v>0.18838336942849152</v>
      </c>
      <c r="G8" s="54" t="s">
        <v>313</v>
      </c>
      <c r="H8" s="112">
        <f>'4.2.1.3-4 Soil direct N20'!$E$234</f>
        <v>49.490245870462843</v>
      </c>
      <c r="I8" s="112">
        <f>'4.2.1.3-4 Soil direct N20'!$U$268</f>
        <v>49.921592898550252</v>
      </c>
      <c r="J8" s="54" t="s">
        <v>153</v>
      </c>
      <c r="K8" s="22"/>
    </row>
    <row r="9" spans="1:11" ht="20.100000000000001" customHeight="1" x14ac:dyDescent="0.25">
      <c r="A9" s="17"/>
      <c r="C9" s="22"/>
      <c r="D9" s="1" t="s">
        <v>315</v>
      </c>
      <c r="E9" s="112">
        <f>'4.2.1.5-6 Soil Atmos Dep'!$E$35</f>
        <v>3.5296816866103677E-2</v>
      </c>
      <c r="F9" s="112">
        <f>'4.2.1.5-6 Soil Atmos Dep'!$M$35</f>
        <v>3.5604456821984896E-2</v>
      </c>
      <c r="G9" s="54" t="str">
        <f>'4.2.1.5-6 Soil Atmos Dep'!$F$35</f>
        <v>t N2O</v>
      </c>
      <c r="H9" s="112">
        <f>'4.2.1.5-6 Soil Atmos Dep'!$E$40</f>
        <v>9.3536564695174746</v>
      </c>
      <c r="I9" s="112">
        <f>'4.2.1.5-6 Soil Atmos Dep'!$M$40</f>
        <v>9.4351810578259983</v>
      </c>
      <c r="J9" s="54" t="s">
        <v>153</v>
      </c>
      <c r="K9" s="22"/>
    </row>
    <row r="10" spans="1:11" ht="20.100000000000001" customHeight="1" x14ac:dyDescent="0.25">
      <c r="A10" s="19" t="s">
        <v>77</v>
      </c>
      <c r="C10" s="22"/>
      <c r="D10" s="1" t="s">
        <v>316</v>
      </c>
      <c r="E10" s="112">
        <f>'4.2.1.7-8 Soil leach runoff'!$E$36</f>
        <v>0</v>
      </c>
      <c r="F10" s="112">
        <f>'4.2.1.7-8 Soil leach runoff'!$L$36</f>
        <v>0</v>
      </c>
      <c r="G10" s="54" t="str">
        <f>'4.2.1.7-8 Soil leach runoff'!$F$36</f>
        <v>t N2O</v>
      </c>
      <c r="H10" s="112">
        <f>'4.2.1.7-8 Soil leach runoff'!$E$41</f>
        <v>0</v>
      </c>
      <c r="I10" s="112">
        <f>'4.2.1.7-8 Soil leach runoff'!$L$41</f>
        <v>0</v>
      </c>
      <c r="J10" s="54" t="s">
        <v>153</v>
      </c>
      <c r="K10" s="22"/>
    </row>
    <row r="11" spans="1:11" ht="20.100000000000001" customHeight="1" x14ac:dyDescent="0.3">
      <c r="A11" s="17" t="str">
        <f>HYPERLINK("#'4.2.1.1-2 Methane'!A1", "4.2.1.1-2 Methane")</f>
        <v>4.2.1.1-2 Methane</v>
      </c>
      <c r="C11" s="22"/>
      <c r="D11" s="29" t="s">
        <v>126</v>
      </c>
      <c r="E11" s="23"/>
      <c r="F11" s="23"/>
      <c r="G11" s="29"/>
      <c r="H11" s="114">
        <f>SUM(H7:H10)</f>
        <v>120.13745015924506</v>
      </c>
      <c r="I11" s="114">
        <f>SUM(I7:I10)</f>
        <v>120.76146678915458</v>
      </c>
      <c r="J11" s="105" t="s">
        <v>153</v>
      </c>
      <c r="K11" s="22"/>
    </row>
    <row r="12" spans="1:11" ht="20.100000000000001" customHeight="1" x14ac:dyDescent="0.25">
      <c r="A12" s="17" t="str">
        <f>HYPERLINK("#'4.2.1.3-4 Soil direct N2O'!A1", "4.2.1.3-4 Soil direct N2O")</f>
        <v>4.2.1.3-4 Soil direct N2O</v>
      </c>
      <c r="C12" s="22"/>
      <c r="D12" s="1"/>
      <c r="E12" s="1"/>
      <c r="F12" s="1"/>
      <c r="G12" s="24"/>
      <c r="H12" s="22"/>
      <c r="I12" s="1"/>
      <c r="J12" s="1"/>
      <c r="K12" s="22"/>
    </row>
    <row r="13" spans="1:11" ht="20.100000000000001" customHeight="1" x14ac:dyDescent="0.25">
      <c r="A13" s="17" t="str">
        <f>HYPERLINK("#'4.2.1.5-6 Soil Atmos Dep'!A1", "4.2.1.5-6 Soil atm. deposition")</f>
        <v>4.2.1.5-6 Soil atm. deposition</v>
      </c>
      <c r="C13" s="22"/>
      <c r="D13" s="1"/>
      <c r="E13" s="1"/>
      <c r="F13" s="1"/>
      <c r="G13" s="1"/>
      <c r="H13" s="24"/>
      <c r="I13" s="22"/>
      <c r="J13" s="22"/>
      <c r="K13" s="22"/>
    </row>
    <row r="14" spans="1:11" ht="20.100000000000001" customHeight="1" x14ac:dyDescent="0.3">
      <c r="A14" s="17" t="str">
        <f>HYPERLINK("#'4.2.1.7-8 Soil leach runoff'!A1", "4.2.1.7-8 Soil leach &amp; runoff")</f>
        <v>4.2.1.7-8 Soil leach &amp; runoff</v>
      </c>
      <c r="C14" s="22"/>
      <c r="D14" s="1"/>
      <c r="E14" s="1"/>
      <c r="F14" s="1"/>
      <c r="G14" s="1"/>
      <c r="H14" s="27"/>
      <c r="I14" s="22"/>
      <c r="J14" s="22"/>
      <c r="K14" s="22"/>
    </row>
    <row r="15" spans="1:11" ht="20.100000000000001" customHeight="1" x14ac:dyDescent="0.3">
      <c r="A15" s="17"/>
      <c r="C15" s="22"/>
      <c r="D15" s="1"/>
      <c r="E15" s="1"/>
      <c r="F15" s="1"/>
      <c r="G15" s="1"/>
      <c r="H15" s="27"/>
      <c r="I15" s="22"/>
      <c r="J15" s="22"/>
      <c r="K15" s="22"/>
    </row>
    <row r="16" spans="1:11" ht="20.100000000000001" customHeight="1" x14ac:dyDescent="0.3">
      <c r="A16" s="18" t="s">
        <v>4</v>
      </c>
      <c r="C16" s="22"/>
      <c r="D16" s="1"/>
      <c r="E16" s="1"/>
      <c r="F16" s="1"/>
      <c r="G16" s="1"/>
      <c r="H16" s="27"/>
      <c r="I16" s="22"/>
      <c r="J16" s="22"/>
      <c r="K16" s="22"/>
    </row>
    <row r="17" spans="1:11" ht="20.100000000000001" customHeight="1" x14ac:dyDescent="0.3">
      <c r="A17" s="17" t="str">
        <f>HYPERLINK("#'Constants - Pasture Beef'!A1", "Constants - Pasture Beef")</f>
        <v>Constants - Pasture Beef</v>
      </c>
      <c r="C17" s="22"/>
      <c r="D17" s="1"/>
      <c r="E17" s="1"/>
      <c r="F17" s="1"/>
      <c r="G17" s="1"/>
      <c r="H17" s="27"/>
      <c r="I17" s="22"/>
      <c r="J17" s="22"/>
      <c r="K17" s="22"/>
    </row>
    <row r="18" spans="1:11" ht="20.100000000000001" customHeight="1" x14ac:dyDescent="0.3">
      <c r="A18" s="17" t="str">
        <f>HYPERLINK("#'Constants - Livestock'!A1", "Constants - Livestock")</f>
        <v>Constants - Livestock</v>
      </c>
      <c r="C18" s="22"/>
      <c r="D18" s="1"/>
      <c r="E18" s="1"/>
      <c r="F18" s="1"/>
      <c r="G18" s="1"/>
      <c r="H18" s="27"/>
      <c r="I18" s="22"/>
      <c r="J18" s="22"/>
      <c r="K18" s="22"/>
    </row>
    <row r="19" spans="1:11" ht="20.100000000000001" customHeight="1" x14ac:dyDescent="0.3">
      <c r="A19" s="17" t="str">
        <f>HYPERLINK("#'Constants - Common'!A1", "Constants - Common")</f>
        <v>Constants - Common</v>
      </c>
      <c r="C19" s="22"/>
      <c r="D19" s="1"/>
      <c r="E19" s="1"/>
      <c r="F19" s="1"/>
      <c r="G19" s="1"/>
      <c r="H19" s="27"/>
      <c r="I19" s="22"/>
      <c r="J19" s="22"/>
      <c r="K19" s="22"/>
    </row>
    <row r="20" spans="1:11" ht="20.100000000000001" customHeight="1" x14ac:dyDescent="0.3">
      <c r="A20" s="17" t="str">
        <f>HYPERLINK("#'Acknowledgements'!A1", "Acknowledgements")</f>
        <v>Acknowledgements</v>
      </c>
      <c r="C20" s="22"/>
      <c r="D20" s="1"/>
      <c r="E20" s="1"/>
      <c r="F20" s="1"/>
      <c r="G20" s="1"/>
      <c r="H20" s="27"/>
      <c r="I20" s="22"/>
      <c r="J20" s="22"/>
      <c r="K20" s="22"/>
    </row>
    <row r="21" spans="1:11" ht="20.100000000000001" customHeight="1" x14ac:dyDescent="0.3">
      <c r="C21" s="22"/>
      <c r="D21" s="1"/>
      <c r="E21" s="1"/>
      <c r="F21" s="1"/>
      <c r="G21" s="1"/>
      <c r="H21" s="27"/>
      <c r="I21" s="22"/>
      <c r="J21" s="22"/>
      <c r="K21" s="22"/>
    </row>
    <row r="22" spans="1:11" ht="20.100000000000001" customHeight="1" x14ac:dyDescent="0.3">
      <c r="A22" s="17"/>
      <c r="C22" s="22"/>
      <c r="D22" s="1"/>
      <c r="E22" s="1"/>
      <c r="F22" s="1"/>
      <c r="G22" s="1"/>
      <c r="H22" s="27"/>
      <c r="I22" s="22"/>
      <c r="J22" s="22"/>
      <c r="K22" s="22"/>
    </row>
    <row r="23" spans="1:11" ht="20.100000000000001" customHeight="1" x14ac:dyDescent="0.3">
      <c r="A23" s="17"/>
      <c r="C23" s="22"/>
      <c r="D23" s="1"/>
      <c r="E23" s="1"/>
      <c r="F23" s="1"/>
      <c r="G23" s="1"/>
      <c r="H23" s="27"/>
      <c r="I23" s="22"/>
      <c r="J23" s="22"/>
      <c r="K23" s="22"/>
    </row>
    <row r="24" spans="1:11" ht="20.100000000000001" customHeight="1" x14ac:dyDescent="0.3">
      <c r="A24" s="17"/>
      <c r="C24" s="22"/>
      <c r="D24" s="1"/>
      <c r="E24" s="1"/>
      <c r="F24" s="1"/>
      <c r="G24" s="1"/>
      <c r="H24" s="27"/>
      <c r="I24" s="22"/>
      <c r="J24" s="22"/>
      <c r="K24" s="22"/>
    </row>
    <row r="25" spans="1:11" ht="20.100000000000001" customHeight="1" x14ac:dyDescent="0.3">
      <c r="C25" s="22"/>
      <c r="D25" s="1"/>
      <c r="E25" s="1"/>
      <c r="F25" s="1"/>
      <c r="G25" s="1"/>
      <c r="H25" s="27"/>
      <c r="I25" s="22"/>
      <c r="J25" s="22"/>
      <c r="K25" s="22"/>
    </row>
    <row r="26" spans="1:11" ht="20.100000000000001" customHeight="1" x14ac:dyDescent="0.3">
      <c r="C26" s="22"/>
      <c r="D26" s="1"/>
      <c r="E26" s="1"/>
      <c r="F26" s="1"/>
      <c r="G26" s="1"/>
      <c r="H26" s="27"/>
      <c r="I26" s="22"/>
      <c r="J26" s="22"/>
      <c r="K26" s="22"/>
    </row>
    <row r="27" spans="1:11" ht="20.100000000000001" customHeight="1" x14ac:dyDescent="0.25">
      <c r="C27" s="22"/>
      <c r="D27" s="1"/>
      <c r="E27" s="1"/>
      <c r="F27" s="1"/>
      <c r="G27" s="1"/>
      <c r="H27" s="1"/>
      <c r="I27" s="1"/>
      <c r="J27" s="22"/>
      <c r="K27" s="22"/>
    </row>
    <row r="28" spans="1:11" ht="20.100000000000001" customHeight="1" x14ac:dyDescent="0.25">
      <c r="C28" s="22"/>
      <c r="D28" s="1"/>
      <c r="E28" s="1"/>
      <c r="F28" s="1"/>
      <c r="G28" s="1"/>
      <c r="H28" s="1"/>
      <c r="I28" s="1"/>
      <c r="J28" s="22"/>
      <c r="K28" s="22"/>
    </row>
    <row r="29" spans="1:11" ht="20.100000000000001" customHeight="1" x14ac:dyDescent="0.25">
      <c r="C29" s="22"/>
      <c r="D29" s="1"/>
      <c r="E29" s="1"/>
      <c r="F29" s="1"/>
      <c r="G29" s="1"/>
      <c r="H29" s="1"/>
      <c r="I29" s="1"/>
      <c r="J29" s="22"/>
      <c r="K29" s="22"/>
    </row>
    <row r="30" spans="1:11" ht="20.100000000000001" customHeight="1" x14ac:dyDescent="0.25">
      <c r="C30" s="22"/>
      <c r="D30" s="1"/>
      <c r="E30" s="1"/>
      <c r="F30" s="1"/>
      <c r="G30" s="1"/>
      <c r="H30" s="1"/>
      <c r="I30" s="1"/>
      <c r="J30" s="22"/>
      <c r="K30" s="22"/>
    </row>
    <row r="31" spans="1:11" ht="20.100000000000001" customHeight="1" x14ac:dyDescent="0.25">
      <c r="C31" s="22"/>
      <c r="D31" s="1"/>
      <c r="E31" s="1"/>
      <c r="F31" s="1"/>
      <c r="G31" s="1"/>
      <c r="H31" s="1"/>
      <c r="I31" s="1"/>
      <c r="J31" s="22"/>
      <c r="K31" s="22"/>
    </row>
    <row r="32" spans="1:11" ht="20.100000000000001" customHeight="1" x14ac:dyDescent="0.25">
      <c r="C32" s="22"/>
      <c r="D32" s="1"/>
      <c r="E32" s="1"/>
      <c r="F32" s="1"/>
      <c r="G32" s="1"/>
      <c r="H32" s="1"/>
      <c r="I32" s="1"/>
      <c r="J32" s="22"/>
      <c r="K32" s="22"/>
    </row>
    <row r="33" spans="3:11" ht="20.100000000000001" customHeight="1" x14ac:dyDescent="0.25">
      <c r="C33" s="22"/>
      <c r="D33" s="1"/>
      <c r="E33" s="1"/>
      <c r="F33" s="1"/>
      <c r="G33" s="1"/>
      <c r="H33" s="1"/>
      <c r="I33" s="1"/>
      <c r="J33" s="22"/>
      <c r="K33" s="22"/>
    </row>
    <row r="34" spans="3:11" ht="20.100000000000001" customHeight="1" x14ac:dyDescent="0.25">
      <c r="C34" s="22"/>
      <c r="D34" s="1"/>
      <c r="E34" s="1"/>
      <c r="F34" s="1"/>
      <c r="G34" s="1"/>
      <c r="H34" s="1"/>
      <c r="I34" s="22"/>
      <c r="J34" s="22"/>
      <c r="K34" s="22"/>
    </row>
    <row r="35" spans="3:11" ht="20.100000000000001" customHeight="1" x14ac:dyDescent="0.25">
      <c r="C35" s="22"/>
      <c r="D35" s="1"/>
      <c r="E35" s="1"/>
      <c r="F35" s="1"/>
      <c r="G35" s="1"/>
      <c r="H35" s="1"/>
      <c r="I35" s="22"/>
      <c r="J35" s="22"/>
      <c r="K35" s="22"/>
    </row>
    <row r="36" spans="3:11" ht="20.100000000000001" customHeight="1" x14ac:dyDescent="0.25">
      <c r="C36" s="22"/>
      <c r="D36" s="1"/>
      <c r="E36" s="1"/>
      <c r="F36" s="1"/>
      <c r="G36" s="1"/>
      <c r="H36" s="1"/>
      <c r="I36" s="22"/>
      <c r="J36" s="22"/>
      <c r="K36" s="22"/>
    </row>
    <row r="37" spans="3:11" ht="20.100000000000001" customHeight="1" x14ac:dyDescent="0.25">
      <c r="C37" s="22"/>
      <c r="D37" s="1"/>
      <c r="E37" s="1"/>
      <c r="F37" s="1"/>
      <c r="G37" s="1"/>
      <c r="H37" s="1"/>
      <c r="I37" s="22"/>
      <c r="J37" s="22"/>
      <c r="K37" s="22"/>
    </row>
    <row r="38" spans="3:11" ht="20.100000000000001" customHeight="1" x14ac:dyDescent="0.25">
      <c r="C38" s="22"/>
      <c r="D38" s="1"/>
      <c r="E38" s="1"/>
      <c r="F38" s="1"/>
      <c r="G38" s="1"/>
      <c r="H38" s="1"/>
      <c r="I38" s="111"/>
      <c r="J38" s="111"/>
      <c r="K38" s="22"/>
    </row>
    <row r="39" spans="3:11" ht="20.100000000000001" customHeight="1" x14ac:dyDescent="0.25">
      <c r="C39" s="22"/>
      <c r="D39" s="1"/>
      <c r="E39" s="1"/>
      <c r="F39" s="1"/>
      <c r="G39" s="1"/>
      <c r="H39" s="1"/>
      <c r="I39" s="111"/>
      <c r="J39" s="111"/>
      <c r="K39" s="22"/>
    </row>
    <row r="40" spans="3:11" ht="20.100000000000001" customHeight="1" x14ac:dyDescent="0.25">
      <c r="C40" s="22"/>
      <c r="D40" s="1"/>
      <c r="E40" s="1"/>
      <c r="F40" s="1"/>
      <c r="G40" s="1"/>
      <c r="H40" s="1"/>
      <c r="I40" s="111"/>
      <c r="J40" s="111"/>
      <c r="K40" s="22"/>
    </row>
    <row r="41" spans="3:11" ht="20.100000000000001" customHeight="1" x14ac:dyDescent="0.25">
      <c r="C41" s="22"/>
      <c r="D41" s="1"/>
      <c r="E41" s="1"/>
      <c r="F41" s="1"/>
      <c r="G41" s="1"/>
      <c r="H41" s="1"/>
      <c r="I41" s="111"/>
      <c r="J41" s="111"/>
      <c r="K41" s="22"/>
    </row>
    <row r="42" spans="3:11" ht="20.100000000000001" customHeight="1" x14ac:dyDescent="0.25">
      <c r="C42" s="22"/>
      <c r="D42" s="1"/>
      <c r="E42" s="1"/>
      <c r="F42" s="1"/>
      <c r="G42" s="1"/>
      <c r="H42" s="1"/>
      <c r="I42" s="111"/>
      <c r="J42" s="111"/>
      <c r="K42" s="22"/>
    </row>
    <row r="43" spans="3:11" ht="20.100000000000001" customHeight="1" x14ac:dyDescent="0.25">
      <c r="C43" s="22"/>
      <c r="D43" s="1"/>
      <c r="E43" s="1"/>
      <c r="F43" s="1"/>
      <c r="G43" s="1"/>
      <c r="H43" s="1"/>
      <c r="I43" s="111"/>
      <c r="J43" s="111"/>
      <c r="K43" s="22"/>
    </row>
    <row r="44" spans="3:11" ht="20.100000000000001" customHeight="1" x14ac:dyDescent="0.25">
      <c r="C44" s="22"/>
      <c r="D44" s="1"/>
      <c r="E44" s="1"/>
      <c r="F44" s="1"/>
      <c r="G44" s="1"/>
      <c r="H44" s="1"/>
      <c r="I44" s="111"/>
      <c r="J44" s="111"/>
      <c r="K44" s="22"/>
    </row>
    <row r="45" spans="3:11" ht="20.100000000000001" customHeight="1" x14ac:dyDescent="0.25">
      <c r="C45" s="22"/>
      <c r="D45" s="1"/>
      <c r="E45" s="1"/>
      <c r="F45" s="1"/>
      <c r="G45" s="1"/>
      <c r="H45" s="1"/>
      <c r="I45" s="111"/>
      <c r="J45" s="111"/>
      <c r="K45" s="22"/>
    </row>
    <row r="46" spans="3:11" ht="20.100000000000001" customHeight="1" x14ac:dyDescent="0.25">
      <c r="C46" s="22"/>
      <c r="D46" s="1"/>
      <c r="E46" s="1"/>
      <c r="F46" s="1"/>
      <c r="G46" s="1"/>
      <c r="H46" s="1"/>
      <c r="I46" s="111"/>
      <c r="J46" s="111"/>
      <c r="K46" s="22"/>
    </row>
    <row r="47" spans="3:11" ht="20.100000000000001" customHeight="1" x14ac:dyDescent="0.25">
      <c r="C47" s="22"/>
      <c r="D47" s="1"/>
      <c r="E47" s="1"/>
      <c r="F47" s="1"/>
      <c r="G47" s="1"/>
      <c r="H47" s="1"/>
      <c r="I47" s="111"/>
      <c r="J47" s="111"/>
      <c r="K47" s="22"/>
    </row>
    <row r="48" spans="3:11" ht="20.100000000000001" customHeight="1" x14ac:dyDescent="0.25">
      <c r="C48" s="22"/>
      <c r="D48" s="1"/>
      <c r="E48" s="1"/>
      <c r="F48" s="1"/>
      <c r="G48" s="1"/>
      <c r="H48" s="1"/>
      <c r="I48" s="111"/>
      <c r="J48" s="111"/>
      <c r="K48" s="22"/>
    </row>
    <row r="49" spans="3:11" ht="20.100000000000001" customHeight="1" x14ac:dyDescent="0.25">
      <c r="C49" s="22"/>
      <c r="D49" s="1"/>
      <c r="E49" s="1"/>
      <c r="F49" s="1"/>
      <c r="G49" s="1"/>
      <c r="H49" s="111"/>
      <c r="I49" s="111"/>
      <c r="J49" s="111"/>
      <c r="K49" s="22"/>
    </row>
    <row r="50" spans="3:11" ht="20.100000000000001" customHeight="1" x14ac:dyDescent="0.25">
      <c r="C50" s="22"/>
      <c r="D50" s="1"/>
      <c r="E50" s="1"/>
      <c r="F50" s="1"/>
      <c r="G50" s="1"/>
      <c r="H50" s="111"/>
      <c r="I50" s="111"/>
      <c r="J50" s="111"/>
      <c r="K50" s="22"/>
    </row>
    <row r="51" spans="3:11" ht="20.100000000000001" customHeight="1" x14ac:dyDescent="0.25">
      <c r="C51" s="22"/>
      <c r="D51" s="1"/>
      <c r="E51" s="1"/>
      <c r="F51" s="1"/>
      <c r="G51" s="1"/>
      <c r="H51" s="111"/>
      <c r="I51" s="111"/>
      <c r="J51" s="111"/>
      <c r="K51" s="22"/>
    </row>
    <row r="52" spans="3:11" ht="20.100000000000001" customHeight="1" x14ac:dyDescent="0.25">
      <c r="C52" s="22"/>
      <c r="D52" s="1"/>
      <c r="E52" s="1"/>
      <c r="F52" s="1"/>
      <c r="G52" s="1"/>
      <c r="H52" s="111"/>
      <c r="I52" s="111"/>
      <c r="J52" s="111"/>
      <c r="K52" s="22"/>
    </row>
    <row r="53" spans="3:11" ht="20.100000000000001" customHeight="1" x14ac:dyDescent="0.25">
      <c r="C53" s="22"/>
      <c r="D53" s="1"/>
      <c r="E53" s="1"/>
      <c r="F53" s="1"/>
      <c r="G53" s="1"/>
      <c r="H53" s="111"/>
      <c r="I53" s="111"/>
      <c r="J53" s="111"/>
      <c r="K53" s="22"/>
    </row>
    <row r="54" spans="3:11" ht="20.100000000000001" customHeight="1" x14ac:dyDescent="0.25">
      <c r="C54" s="22"/>
      <c r="D54" s="1"/>
      <c r="E54" s="1"/>
      <c r="F54" s="1"/>
      <c r="G54" s="1"/>
      <c r="H54" s="22"/>
      <c r="I54" s="22"/>
      <c r="J54" s="22"/>
      <c r="K54" s="22"/>
    </row>
    <row r="55" spans="3:11" ht="20.100000000000001" customHeight="1" x14ac:dyDescent="0.25">
      <c r="C55" s="22"/>
      <c r="D55" s="1"/>
      <c r="E55" s="1"/>
      <c r="F55" s="1"/>
      <c r="G55" s="1"/>
      <c r="H55" s="22"/>
      <c r="I55" s="22"/>
      <c r="J55" s="22"/>
      <c r="K55" s="22"/>
    </row>
    <row r="56" spans="3:11" ht="20.100000000000001" customHeight="1" x14ac:dyDescent="0.25">
      <c r="C56" s="22"/>
      <c r="D56" s="1"/>
      <c r="E56" s="1"/>
      <c r="F56" s="1"/>
      <c r="G56" s="1"/>
      <c r="H56" s="22"/>
      <c r="I56" s="22"/>
      <c r="J56" s="22"/>
      <c r="K56" s="22"/>
    </row>
    <row r="57" spans="3:11" ht="20.100000000000001" customHeight="1" x14ac:dyDescent="0.25">
      <c r="C57" s="22"/>
      <c r="D57" s="1"/>
      <c r="E57" s="1"/>
      <c r="F57" s="1"/>
      <c r="G57" s="1"/>
      <c r="H57" s="22"/>
      <c r="I57" s="22"/>
      <c r="J57" s="22"/>
      <c r="K57" s="22"/>
    </row>
    <row r="58" spans="3:11" ht="20.100000000000001" customHeight="1" x14ac:dyDescent="0.25">
      <c r="C58" s="22"/>
      <c r="D58" s="1"/>
      <c r="E58" s="30"/>
      <c r="F58" s="28"/>
      <c r="G58" s="22"/>
      <c r="H58" s="22"/>
      <c r="I58" s="22"/>
      <c r="J58" s="22"/>
      <c r="K58" s="22"/>
    </row>
    <row r="59" spans="3:11" ht="20.100000000000001" customHeight="1" x14ac:dyDescent="0.25">
      <c r="C59" s="22"/>
      <c r="D59" s="1"/>
      <c r="E59" s="1"/>
      <c r="F59" s="1"/>
      <c r="G59" s="1"/>
      <c r="H59" s="1"/>
      <c r="I59" s="1"/>
      <c r="J59" s="1"/>
      <c r="K59" s="22"/>
    </row>
    <row r="60" spans="3:11" ht="20.100000000000001" customHeight="1" x14ac:dyDescent="0.25">
      <c r="C60" s="22"/>
      <c r="D60" s="1"/>
      <c r="E60" s="1"/>
      <c r="F60" s="1"/>
      <c r="G60" s="1"/>
      <c r="H60" s="1"/>
      <c r="I60" s="1"/>
      <c r="J60" s="1"/>
      <c r="K60" s="22"/>
    </row>
    <row r="61" spans="3:11" ht="20.100000000000001" customHeight="1" x14ac:dyDescent="0.25">
      <c r="C61" s="22"/>
      <c r="D61" s="1"/>
      <c r="E61" s="1"/>
      <c r="F61" s="1"/>
      <c r="G61" s="1"/>
      <c r="H61" s="1"/>
      <c r="I61" s="1"/>
      <c r="J61" s="1"/>
      <c r="K61" s="22"/>
    </row>
    <row r="62" spans="3:11" ht="20.100000000000001" customHeight="1" x14ac:dyDescent="0.25">
      <c r="C62" s="22"/>
      <c r="D62" s="1"/>
      <c r="E62" s="1"/>
      <c r="F62" s="1"/>
      <c r="G62" s="1"/>
      <c r="H62" s="1"/>
      <c r="I62" s="1"/>
      <c r="J62" s="1"/>
      <c r="K62" s="22"/>
    </row>
    <row r="63" spans="3:11" ht="20.100000000000001" customHeight="1" x14ac:dyDescent="0.25">
      <c r="C63" s="22"/>
      <c r="D63" s="1"/>
      <c r="E63" s="1"/>
      <c r="F63" s="1"/>
      <c r="G63" s="1"/>
      <c r="H63" s="1"/>
      <c r="I63" s="1"/>
      <c r="J63" s="1"/>
      <c r="K63" s="22"/>
    </row>
    <row r="64" spans="3:11" ht="20.100000000000001" customHeight="1" x14ac:dyDescent="0.25">
      <c r="C64" s="22"/>
      <c r="D64" s="1"/>
      <c r="E64" s="1"/>
      <c r="F64" s="1"/>
      <c r="G64" s="1"/>
      <c r="H64" s="1"/>
      <c r="I64" s="1"/>
      <c r="J64" s="1"/>
      <c r="K64" s="22"/>
    </row>
    <row r="65" spans="3:11" ht="20.100000000000001" customHeight="1" x14ac:dyDescent="0.25">
      <c r="C65" s="22"/>
      <c r="D65" s="1"/>
      <c r="E65" s="1"/>
      <c r="F65" s="1"/>
      <c r="G65" s="1"/>
      <c r="H65" s="1"/>
      <c r="I65" s="1"/>
      <c r="J65" s="1"/>
      <c r="K65" s="22"/>
    </row>
    <row r="66" spans="3:11" ht="20.100000000000001" customHeight="1" x14ac:dyDescent="0.25">
      <c r="C66" s="22"/>
      <c r="D66" s="1"/>
      <c r="E66" s="1"/>
      <c r="F66" s="1"/>
      <c r="G66" s="1"/>
      <c r="H66" s="1"/>
      <c r="I66" s="1"/>
      <c r="J66" s="1"/>
      <c r="K66" s="22"/>
    </row>
    <row r="67" spans="3:11" ht="20.100000000000001" customHeight="1" x14ac:dyDescent="0.25">
      <c r="C67" s="22"/>
      <c r="D67" s="1"/>
      <c r="E67" s="1"/>
      <c r="F67" s="1"/>
      <c r="G67" s="1"/>
      <c r="H67" s="1"/>
      <c r="I67" s="1"/>
      <c r="J67" s="1"/>
      <c r="K67" s="22"/>
    </row>
    <row r="68" spans="3:11" ht="20.100000000000001" customHeight="1" x14ac:dyDescent="0.25">
      <c r="C68" s="22"/>
      <c r="D68" s="1"/>
      <c r="E68" s="1"/>
      <c r="F68" s="1"/>
      <c r="G68" s="1"/>
      <c r="H68" s="1"/>
      <c r="I68" s="1"/>
      <c r="J68" s="1"/>
      <c r="K68" s="22"/>
    </row>
    <row r="69" spans="3:11" ht="20.100000000000001" customHeight="1" x14ac:dyDescent="0.25">
      <c r="C69" s="22"/>
      <c r="D69" s="1"/>
      <c r="E69" s="1"/>
      <c r="F69" s="1"/>
      <c r="G69" s="1"/>
      <c r="H69" s="1"/>
      <c r="I69" s="1"/>
      <c r="J69" s="1"/>
      <c r="K69" s="22"/>
    </row>
    <row r="70" spans="3:11" ht="20.100000000000001" customHeight="1" x14ac:dyDescent="0.25">
      <c r="C70" s="22"/>
      <c r="D70" s="1"/>
      <c r="E70" s="1"/>
      <c r="F70" s="1"/>
      <c r="G70" s="1"/>
      <c r="H70" s="1"/>
      <c r="I70" s="1"/>
      <c r="J70" s="1"/>
      <c r="K70" s="22"/>
    </row>
    <row r="71" spans="3:11" ht="20.100000000000001" customHeight="1" x14ac:dyDescent="0.25">
      <c r="C71" s="22"/>
      <c r="D71" s="1"/>
      <c r="E71" s="1"/>
      <c r="F71" s="1"/>
      <c r="G71" s="1"/>
      <c r="H71" s="1"/>
      <c r="I71" s="1"/>
      <c r="J71" s="1"/>
      <c r="K71" s="22"/>
    </row>
    <row r="72" spans="3:11" ht="20.100000000000001" customHeight="1" x14ac:dyDescent="0.25">
      <c r="C72" s="22"/>
      <c r="D72" s="1"/>
      <c r="E72" s="1"/>
      <c r="F72" s="1"/>
      <c r="G72" s="1"/>
      <c r="H72" s="1"/>
      <c r="I72" s="1"/>
      <c r="J72" s="1"/>
      <c r="K72" s="22"/>
    </row>
    <row r="73" spans="3:11" ht="20.100000000000001" customHeight="1" x14ac:dyDescent="0.25">
      <c r="C73" s="22"/>
      <c r="D73" s="1"/>
      <c r="E73" s="1"/>
      <c r="F73" s="1"/>
      <c r="G73" s="1"/>
      <c r="H73" s="1"/>
      <c r="I73" s="1"/>
      <c r="J73" s="1"/>
      <c r="K73" s="22"/>
    </row>
    <row r="74" spans="3:11" ht="20.100000000000001" customHeight="1" x14ac:dyDescent="0.25">
      <c r="C74" s="22"/>
      <c r="D74" s="1"/>
      <c r="E74" s="1"/>
      <c r="F74" s="1"/>
      <c r="G74" s="1"/>
      <c r="H74" s="1"/>
      <c r="I74" s="1"/>
      <c r="J74" s="1"/>
      <c r="K74" s="22"/>
    </row>
    <row r="75" spans="3:11" ht="20.100000000000001" customHeight="1" x14ac:dyDescent="0.25">
      <c r="C75" s="22"/>
      <c r="D75" s="1"/>
      <c r="E75" s="1"/>
      <c r="F75" s="1"/>
      <c r="G75" s="1"/>
      <c r="H75" s="1"/>
      <c r="I75" s="1"/>
      <c r="J75" s="1"/>
      <c r="K75" s="22"/>
    </row>
    <row r="76" spans="3:11" ht="15.75" x14ac:dyDescent="0.25">
      <c r="C76" s="22"/>
      <c r="D76" s="1"/>
      <c r="E76" s="1"/>
      <c r="F76" s="1"/>
      <c r="G76" s="1"/>
      <c r="H76" s="1"/>
      <c r="I76" s="1"/>
      <c r="J76" s="1"/>
      <c r="K76" s="22"/>
    </row>
    <row r="77" spans="3:11" ht="15.75" x14ac:dyDescent="0.25">
      <c r="C77" s="22"/>
      <c r="D77" s="1"/>
      <c r="E77" s="1"/>
      <c r="F77" s="1"/>
      <c r="G77" s="1"/>
      <c r="H77" s="1"/>
      <c r="I77" s="1"/>
      <c r="J77" s="1"/>
      <c r="K77" s="22"/>
    </row>
    <row r="78" spans="3:11" ht="15.75" x14ac:dyDescent="0.25">
      <c r="C78" s="22"/>
      <c r="D78" s="1"/>
      <c r="E78" s="1"/>
      <c r="F78" s="1"/>
      <c r="G78" s="1"/>
      <c r="H78" s="1"/>
      <c r="I78" s="1"/>
      <c r="J78" s="1"/>
      <c r="K78" s="22"/>
    </row>
    <row r="79" spans="3:11" ht="15.75" x14ac:dyDescent="0.25">
      <c r="C79" s="22"/>
      <c r="D79" s="1"/>
      <c r="E79" s="1"/>
      <c r="F79" s="1"/>
      <c r="G79" s="1"/>
      <c r="H79" s="1"/>
      <c r="I79" s="1"/>
      <c r="J79" s="1"/>
      <c r="K79" s="22"/>
    </row>
    <row r="80" spans="3:11" ht="15.75" x14ac:dyDescent="0.25">
      <c r="C80" s="22"/>
      <c r="D80" s="1"/>
      <c r="E80" s="1"/>
      <c r="F80" s="1"/>
      <c r="G80" s="1"/>
      <c r="H80" s="1"/>
      <c r="I80" s="1"/>
      <c r="J80" s="1"/>
      <c r="K80" s="22"/>
    </row>
    <row r="81" spans="3:11" ht="15.75" x14ac:dyDescent="0.25">
      <c r="C81" s="22"/>
      <c r="D81" s="1"/>
      <c r="E81" s="1"/>
      <c r="F81" s="1"/>
      <c r="G81" s="1"/>
      <c r="H81" s="1"/>
      <c r="I81" s="1"/>
      <c r="J81" s="1"/>
      <c r="K81" s="22"/>
    </row>
    <row r="82" spans="3:11" ht="15.75" x14ac:dyDescent="0.25">
      <c r="C82" s="22"/>
      <c r="D82" s="1"/>
      <c r="E82" s="1"/>
      <c r="F82" s="1"/>
      <c r="G82" s="1"/>
      <c r="H82" s="1"/>
      <c r="I82" s="1"/>
      <c r="J82" s="1"/>
      <c r="K82" s="22"/>
    </row>
    <row r="83" spans="3:11" ht="15.75" x14ac:dyDescent="0.25">
      <c r="C83" s="22"/>
      <c r="D83" s="1"/>
      <c r="E83" s="1"/>
      <c r="F83" s="1"/>
      <c r="G83" s="1"/>
      <c r="H83" s="1"/>
      <c r="I83" s="1"/>
      <c r="J83" s="1"/>
      <c r="K83" s="22"/>
    </row>
    <row r="84" spans="3:11" ht="15.75" x14ac:dyDescent="0.25">
      <c r="C84" s="22"/>
      <c r="D84" s="1"/>
      <c r="E84" s="1"/>
      <c r="F84" s="1"/>
      <c r="G84" s="1"/>
      <c r="H84" s="1"/>
      <c r="I84" s="1"/>
      <c r="J84" s="1"/>
      <c r="K84" s="22"/>
    </row>
    <row r="85" spans="3:11" ht="15.75" x14ac:dyDescent="0.25">
      <c r="C85" s="22"/>
      <c r="D85" s="1"/>
      <c r="E85" s="1"/>
      <c r="F85" s="1"/>
      <c r="G85" s="1"/>
      <c r="H85" s="1"/>
      <c r="I85" s="1"/>
      <c r="J85" s="1"/>
      <c r="K85" s="22"/>
    </row>
    <row r="86" spans="3:11" x14ac:dyDescent="0.25">
      <c r="C86" s="22"/>
      <c r="D86" s="22"/>
      <c r="E86" s="22"/>
      <c r="F86" s="22"/>
      <c r="G86" s="22"/>
      <c r="H86" s="22"/>
      <c r="I86" s="22"/>
      <c r="J86" s="22"/>
      <c r="K86" s="22"/>
    </row>
    <row r="87" spans="3:11" x14ac:dyDescent="0.25">
      <c r="C87" s="22"/>
      <c r="D87" s="22"/>
      <c r="E87" s="22"/>
      <c r="F87" s="22"/>
      <c r="G87" s="22"/>
      <c r="H87" s="22"/>
      <c r="I87" s="22"/>
      <c r="J87" s="22"/>
      <c r="K87" s="22"/>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A3" sqref="A3:A23"/>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8" t="e" vm="1">
        <v>#VALUE!</v>
      </c>
      <c r="C1" s="12" t="s">
        <v>92</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HYPERLINK("#'Results'!A1", "Results")</f>
        <v>Results</v>
      </c>
      <c r="C4" s="69"/>
      <c r="D4" s="69"/>
      <c r="E4" s="69"/>
      <c r="F4" s="69"/>
      <c r="G4" s="69"/>
      <c r="H4" s="69"/>
      <c r="I4" s="69"/>
      <c r="J4" s="69"/>
      <c r="K4" s="69"/>
    </row>
    <row r="5" spans="1:24" ht="20.100000000000001" customHeight="1" x14ac:dyDescent="0.25">
      <c r="D5" s="6" t="s">
        <v>15</v>
      </c>
      <c r="N5" s="40"/>
    </row>
    <row r="6" spans="1:24" ht="20.100000000000001" customHeight="1" x14ac:dyDescent="0.25">
      <c r="A6" s="20" t="s">
        <v>3</v>
      </c>
      <c r="D6" s="14"/>
      <c r="N6" s="41"/>
    </row>
    <row r="7" spans="1:24" ht="20.100000000000001" customHeight="1" x14ac:dyDescent="0.25">
      <c r="A7" s="17" t="str">
        <f>HYPERLINK("#'Input - Site'!A1", "Site")</f>
        <v>Site</v>
      </c>
      <c r="D7" s="1" t="s">
        <v>7</v>
      </c>
      <c r="E7" s="33" t="s">
        <v>6</v>
      </c>
      <c r="F7" s="2"/>
    </row>
    <row r="8" spans="1:24" ht="20.100000000000001" customHeight="1" x14ac:dyDescent="0.25">
      <c r="A8" s="17" t="str">
        <f>HYPERLINK("#'Input - Pasture Beef'!A1", "Pasture Beef")</f>
        <v>Pasture Beef</v>
      </c>
      <c r="D8" s="10" t="s">
        <v>73</v>
      </c>
      <c r="E8" s="33" t="s">
        <v>74</v>
      </c>
    </row>
    <row r="9" spans="1:24" ht="20.100000000000001" customHeight="1" x14ac:dyDescent="0.25">
      <c r="A9" s="17"/>
      <c r="N9" s="42"/>
    </row>
    <row r="10" spans="1:24" ht="20.100000000000001" customHeight="1" x14ac:dyDescent="0.25">
      <c r="A10" s="19" t="s">
        <v>77</v>
      </c>
      <c r="D10" s="94" t="s">
        <v>91</v>
      </c>
      <c r="E10" s="92"/>
      <c r="F10" s="95"/>
      <c r="G10" s="89"/>
      <c r="N10" s="42"/>
    </row>
    <row r="11" spans="1:24" ht="20.100000000000001" customHeight="1" x14ac:dyDescent="0.25">
      <c r="A11" s="17" t="str">
        <f>HYPERLINK("#'4.2.1.1-2 Methane'!A1", "4.2.1.1-2 Methane")</f>
        <v>4.2.1.1-2 Methane</v>
      </c>
      <c r="N11" s="43"/>
    </row>
    <row r="12" spans="1:24" ht="20.100000000000001" customHeight="1" x14ac:dyDescent="0.25">
      <c r="A12" s="17" t="str">
        <f>HYPERLINK("#'4.2.1.3-4 Soil direct N2O'!A1", "4.2.1.3-4 Soil direct N2O")</f>
        <v>4.2.1.3-4 Soil direct N2O</v>
      </c>
      <c r="D12" s="10" t="s">
        <v>97</v>
      </c>
      <c r="E12" s="64">
        <v>45292</v>
      </c>
      <c r="F12" s="2" t="s">
        <v>71</v>
      </c>
    </row>
    <row r="13" spans="1:24" ht="20.100000000000001" customHeight="1" x14ac:dyDescent="0.25">
      <c r="A13" s="17" t="str">
        <f>HYPERLINK("#'4.2.1.5-6 Soil Atmos Dep'!A1", "4.2.1.5-6 Soil atm. deposition")</f>
        <v>4.2.1.5-6 Soil atm. deposition</v>
      </c>
      <c r="D13" s="10" t="s">
        <v>98</v>
      </c>
      <c r="E13" s="70">
        <f>DATE(YEAR(E12)+1,MONTH(E12),DAY(E12))-1</f>
        <v>45657</v>
      </c>
      <c r="F13" s="2" t="s">
        <v>17</v>
      </c>
      <c r="N13" s="38"/>
      <c r="O13" s="38"/>
    </row>
    <row r="14" spans="1:24" ht="20.100000000000001" customHeight="1" x14ac:dyDescent="0.25">
      <c r="A14" s="17" t="str">
        <f>HYPERLINK("#'4.2.1.7-8 Soil leach runoff'!A1", "4.2.1.7-8 Soil leach &amp; runoff")</f>
        <v>4.2.1.7-8 Soil leach &amp; runoff</v>
      </c>
      <c r="N14" s="38"/>
      <c r="O14" s="38"/>
    </row>
    <row r="15" spans="1:24" ht="20.100000000000001" customHeight="1" x14ac:dyDescent="0.25">
      <c r="A15" s="17"/>
      <c r="N15" s="38"/>
      <c r="O15" s="38"/>
    </row>
    <row r="16" spans="1:24" ht="20.100000000000001" customHeight="1" x14ac:dyDescent="0.25">
      <c r="A16" s="18" t="s">
        <v>4</v>
      </c>
      <c r="D16" s="6" t="s">
        <v>14</v>
      </c>
      <c r="N16" s="38"/>
      <c r="O16" s="38"/>
    </row>
    <row r="17" spans="1:25" ht="20.100000000000001" customHeight="1" x14ac:dyDescent="0.25">
      <c r="A17" s="17" t="str">
        <f>HYPERLINK("#'Constants - Pasture Beef'!A1", "Constants - Pasture Beef")</f>
        <v>Constants - Pasture Beef</v>
      </c>
    </row>
    <row r="18" spans="1:25" ht="20.100000000000001" customHeight="1" x14ac:dyDescent="0.25">
      <c r="A18" s="17" t="str">
        <f>HYPERLINK("#'Constants - Livestock'!A1", "Constants - Livestock")</f>
        <v>Constants - Livestock</v>
      </c>
      <c r="D18" s="96" t="s">
        <v>16</v>
      </c>
      <c r="E18" s="91"/>
      <c r="F18" s="91"/>
      <c r="G18" s="87"/>
    </row>
    <row r="19" spans="1:25" ht="20.100000000000001" customHeight="1" x14ac:dyDescent="0.25">
      <c r="A19" s="17" t="str">
        <f>HYPERLINK("#'Constants - Common'!A1", "Constants - Common")</f>
        <v>Constants - Common</v>
      </c>
      <c r="D19" s="93" t="s">
        <v>72</v>
      </c>
      <c r="E19" s="90"/>
      <c r="F19" s="90"/>
      <c r="G19" s="88"/>
      <c r="N19" s="40"/>
    </row>
    <row r="20" spans="1:25" ht="20.100000000000001" customHeight="1" x14ac:dyDescent="0.25">
      <c r="A20" s="17" t="str">
        <f>HYPERLINK("#'Acknowledgements'!A1", "Acknowledgements")</f>
        <v>Acknowledgements</v>
      </c>
      <c r="D20" s="1"/>
      <c r="E20" s="31"/>
      <c r="F20" s="2"/>
      <c r="N20" s="41"/>
    </row>
    <row r="21" spans="1:25" ht="20.100000000000001" customHeight="1" x14ac:dyDescent="0.25">
      <c r="A21"/>
      <c r="D21" s="1" t="s">
        <v>8</v>
      </c>
      <c r="E21" s="39" t="s">
        <v>218</v>
      </c>
      <c r="F21" s="2" t="s">
        <v>11</v>
      </c>
    </row>
    <row r="22" spans="1:25" ht="20.100000000000001" customHeight="1" x14ac:dyDescent="0.25">
      <c r="A22" s="17"/>
      <c r="D22" s="1" t="s">
        <v>26</v>
      </c>
      <c r="E22" s="39" t="s">
        <v>35</v>
      </c>
      <c r="F22" s="2" t="s">
        <v>11</v>
      </c>
      <c r="G22" s="1"/>
    </row>
    <row r="23" spans="1:25" ht="20.100000000000001" customHeight="1" x14ac:dyDescent="0.25">
      <c r="A23" s="17"/>
      <c r="D23" s="1" t="s">
        <v>9</v>
      </c>
      <c r="E23" s="39" t="s">
        <v>96</v>
      </c>
      <c r="F23" s="2" t="s">
        <v>11</v>
      </c>
    </row>
    <row r="24" spans="1:25" ht="20.100000000000001" customHeight="1" x14ac:dyDescent="0.25">
      <c r="A24" s="17"/>
      <c r="D24" s="1" t="s">
        <v>40</v>
      </c>
      <c r="E24" s="33">
        <v>307.7</v>
      </c>
      <c r="F24" s="2" t="s">
        <v>54</v>
      </c>
    </row>
    <row r="25" spans="1:25" ht="20.100000000000001" customHeight="1" x14ac:dyDescent="0.25">
      <c r="A25"/>
      <c r="D25" s="1" t="s">
        <v>62</v>
      </c>
      <c r="E25" s="33">
        <v>18</v>
      </c>
      <c r="F25" s="2" t="s">
        <v>12</v>
      </c>
      <c r="N25" s="41"/>
    </row>
    <row r="26" spans="1:25" ht="20.100000000000001" customHeight="1" x14ac:dyDescent="0.25">
      <c r="A26"/>
      <c r="D26" s="1" t="s">
        <v>63</v>
      </c>
      <c r="E26" s="33">
        <v>601</v>
      </c>
      <c r="F26" s="2" t="s">
        <v>13</v>
      </c>
    </row>
    <row r="27" spans="1:25" ht="20.100000000000001" customHeight="1" x14ac:dyDescent="0.25">
      <c r="A27"/>
      <c r="D27" s="10" t="s">
        <v>64</v>
      </c>
      <c r="E27" s="33">
        <v>1326</v>
      </c>
      <c r="F27" s="2" t="s">
        <v>13</v>
      </c>
    </row>
    <row r="28" spans="1:25" ht="20.100000000000001" customHeight="1" x14ac:dyDescent="0.25">
      <c r="A28"/>
      <c r="D28" s="1" t="s">
        <v>65</v>
      </c>
      <c r="E28" s="33">
        <v>7</v>
      </c>
      <c r="F28" s="2" t="s">
        <v>55</v>
      </c>
    </row>
    <row r="29" spans="1:25" ht="20.100000000000001" customHeight="1" x14ac:dyDescent="0.25">
      <c r="A29"/>
      <c r="D29" s="10" t="s">
        <v>61</v>
      </c>
      <c r="E29" s="52">
        <f>E26/E27</f>
        <v>0.45324283559577677</v>
      </c>
      <c r="F29" s="2"/>
    </row>
    <row r="30" spans="1:25" ht="20.100000000000001" customHeight="1" x14ac:dyDescent="0.25">
      <c r="A30"/>
      <c r="D30" s="10" t="s">
        <v>36</v>
      </c>
      <c r="E30" s="52" t="str">
        <f>Common_InputFunctions.Utility_LookupItemFromMinMax(E26,Table_SourceData_RainfallZones[Min rainfall],Table_SourceData_RainfallZones[Max rainfall],Table_SourceData_RainfallZones[Rainfall Zone])</f>
        <v>High rainfall</v>
      </c>
      <c r="G30" s="32"/>
      <c r="L30" s="49"/>
      <c r="M30" s="49"/>
      <c r="N30" s="49"/>
      <c r="O30" s="49"/>
      <c r="P30" s="49"/>
      <c r="Q30" s="49"/>
      <c r="R30" s="49"/>
      <c r="S30" s="49"/>
      <c r="T30" s="49"/>
      <c r="U30" s="49"/>
      <c r="V30" s="49"/>
      <c r="W30" s="49"/>
      <c r="X30" s="49"/>
      <c r="Y30" s="49"/>
    </row>
    <row r="31" spans="1:25" ht="20.100000000000001" customHeight="1" x14ac:dyDescent="0.25">
      <c r="A31"/>
      <c r="D31" s="1" t="s">
        <v>10</v>
      </c>
      <c r="E31" s="52"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1"/>
      <c r="L31" s="47"/>
      <c r="M31" s="47"/>
      <c r="N31" s="47"/>
      <c r="O31" s="47"/>
      <c r="P31" s="47"/>
      <c r="Q31" s="47"/>
      <c r="R31" s="47"/>
      <c r="S31" s="47"/>
      <c r="T31" s="47"/>
      <c r="U31" s="47"/>
      <c r="V31" s="47"/>
      <c r="W31" s="47"/>
      <c r="X31" s="47"/>
      <c r="Y31" s="47"/>
    </row>
    <row r="32" spans="1:25" ht="20.100000000000001" customHeight="1" x14ac:dyDescent="0.25">
      <c r="A32"/>
      <c r="D32" s="1" t="s">
        <v>93</v>
      </c>
      <c r="E32" s="52" t="str">
        <f>Common_InputFunctions.Utility_LookupValueInTable($E$31,Table_SourceData_WetDryZones[Climate zone],Table_SourceData_WetDryZones[Wet or Dry Zone])</f>
        <v>Dry climate zone</v>
      </c>
      <c r="F32" s="1"/>
      <c r="G32" s="31"/>
      <c r="L32" s="47"/>
      <c r="M32" s="47"/>
      <c r="N32" s="47"/>
      <c r="O32" s="47"/>
      <c r="P32" s="47"/>
      <c r="Q32" s="47"/>
      <c r="R32" s="47"/>
      <c r="S32" s="47"/>
      <c r="T32" s="47"/>
      <c r="U32" s="47"/>
      <c r="V32" s="47"/>
      <c r="W32" s="47"/>
      <c r="X32" s="47"/>
      <c r="Y32" s="47"/>
    </row>
    <row r="33" spans="1:25" ht="20.100000000000001" customHeight="1" x14ac:dyDescent="0.25">
      <c r="A33"/>
      <c r="D33" s="1" t="s">
        <v>53</v>
      </c>
      <c r="E33" s="52" t="str">
        <f>Common_InputFunctions.Utility_LookupItemFromMinMax(E25,Table_SourceData_TemperatureZones[Min MAT],Table_SourceData_TemperatureZones[Max MAT],Table_SourceData_TemperatureZones[Temperature Zone])</f>
        <v>Temperate</v>
      </c>
      <c r="G33" s="71"/>
      <c r="L33" s="47"/>
      <c r="M33" s="47"/>
      <c r="N33" s="47"/>
      <c r="O33" s="47"/>
      <c r="P33" s="47"/>
      <c r="Q33" s="47"/>
      <c r="R33" s="47"/>
      <c r="S33" s="47"/>
      <c r="T33" s="47"/>
      <c r="U33" s="47"/>
      <c r="V33" s="47"/>
      <c r="W33" s="47"/>
      <c r="X33" s="47"/>
      <c r="Y33" s="47"/>
    </row>
    <row r="34" spans="1:25" ht="20.100000000000001" customHeight="1" x14ac:dyDescent="0.25">
      <c r="A34"/>
      <c r="J34" s="61"/>
      <c r="K34" s="74"/>
      <c r="L34" s="47"/>
      <c r="M34" s="47"/>
      <c r="N34" s="47"/>
      <c r="O34" s="47"/>
      <c r="P34" s="47"/>
      <c r="Q34" s="47"/>
      <c r="R34" s="47"/>
      <c r="S34" s="47"/>
      <c r="T34" s="47"/>
      <c r="U34" s="47"/>
      <c r="V34" s="47"/>
      <c r="W34" s="47"/>
      <c r="X34" s="47"/>
      <c r="Y34" s="47"/>
    </row>
    <row r="35" spans="1:25" ht="20.100000000000001" customHeight="1" x14ac:dyDescent="0.25">
      <c r="A35"/>
      <c r="J35" s="61"/>
      <c r="K35" s="74"/>
      <c r="L35" s="47"/>
      <c r="M35" s="47"/>
      <c r="N35" s="47"/>
      <c r="O35" s="47"/>
      <c r="P35" s="47"/>
      <c r="Q35" s="47"/>
      <c r="R35" s="47"/>
      <c r="S35" s="47"/>
      <c r="T35" s="47"/>
      <c r="U35" s="47"/>
      <c r="V35" s="47"/>
      <c r="W35" s="47"/>
      <c r="X35" s="47"/>
      <c r="Y35" s="47"/>
    </row>
    <row r="36" spans="1:25" ht="20.100000000000001" customHeight="1" x14ac:dyDescent="0.25">
      <c r="A36"/>
      <c r="D36" s="72"/>
      <c r="E36" s="72"/>
      <c r="F36" s="73"/>
      <c r="G36" s="61"/>
      <c r="H36" s="61"/>
      <c r="I36" s="62"/>
      <c r="J36" s="61"/>
      <c r="K36" s="74"/>
      <c r="L36" s="47"/>
      <c r="M36" s="47"/>
      <c r="N36" s="47"/>
      <c r="O36" s="47"/>
      <c r="P36" s="47"/>
      <c r="Q36" s="47"/>
      <c r="R36" s="47"/>
      <c r="S36" s="47"/>
      <c r="T36" s="47"/>
      <c r="U36" s="47"/>
      <c r="V36" s="47"/>
      <c r="W36" s="47"/>
      <c r="X36" s="47"/>
      <c r="Y36" s="47"/>
    </row>
    <row r="37" spans="1:25" ht="20.100000000000001" customHeight="1" x14ac:dyDescent="0.25">
      <c r="A37"/>
      <c r="D37" s="72"/>
      <c r="E37" s="72"/>
      <c r="F37" s="73"/>
      <c r="G37" s="61"/>
      <c r="H37" s="61"/>
      <c r="I37" s="62"/>
      <c r="J37" s="61"/>
      <c r="K37" s="74"/>
      <c r="L37" s="47"/>
      <c r="M37" s="47"/>
      <c r="N37" s="47"/>
      <c r="O37" s="47"/>
      <c r="P37" s="47"/>
      <c r="Q37" s="47"/>
      <c r="R37" s="47"/>
      <c r="S37" s="47"/>
      <c r="T37" s="47"/>
      <c r="U37" s="47"/>
      <c r="V37" s="47"/>
      <c r="W37" s="47"/>
      <c r="X37" s="47"/>
      <c r="Y37" s="47"/>
    </row>
    <row r="38" spans="1:25" ht="20.100000000000001" customHeight="1" x14ac:dyDescent="0.25">
      <c r="A38"/>
      <c r="D38" s="72"/>
      <c r="E38" s="72"/>
      <c r="F38" s="73"/>
      <c r="G38" s="61"/>
      <c r="H38" s="61"/>
      <c r="I38" s="62"/>
      <c r="J38" s="61"/>
      <c r="K38" s="74"/>
      <c r="L38" s="47"/>
      <c r="M38" s="47"/>
      <c r="N38" s="47"/>
      <c r="O38" s="47"/>
      <c r="P38" s="47"/>
      <c r="Q38" s="47"/>
      <c r="R38" s="47"/>
      <c r="S38" s="47"/>
      <c r="T38" s="47"/>
      <c r="U38" s="47"/>
      <c r="V38" s="47"/>
      <c r="W38" s="47"/>
      <c r="X38" s="47"/>
      <c r="Y38" s="47"/>
    </row>
    <row r="39" spans="1:25" ht="20.100000000000001" customHeight="1" x14ac:dyDescent="0.25">
      <c r="A39"/>
      <c r="D39" s="72"/>
      <c r="E39" s="72"/>
      <c r="F39" s="73"/>
      <c r="G39" s="61"/>
      <c r="H39" s="61"/>
      <c r="I39" s="62"/>
      <c r="J39" s="61"/>
      <c r="K39" s="74"/>
      <c r="L39" s="47"/>
      <c r="M39" s="47"/>
      <c r="N39" s="47"/>
      <c r="O39" s="47"/>
      <c r="P39" s="47"/>
      <c r="Q39" s="47"/>
      <c r="R39" s="47"/>
      <c r="S39" s="47"/>
      <c r="T39" s="47"/>
      <c r="U39" s="47"/>
      <c r="V39" s="47"/>
      <c r="W39" s="47"/>
      <c r="X39" s="47"/>
      <c r="Y39" s="47"/>
    </row>
    <row r="40" spans="1:25" ht="20.100000000000001" customHeight="1" x14ac:dyDescent="0.25">
      <c r="A40"/>
      <c r="D40" s="75"/>
      <c r="E40" s="75"/>
      <c r="F40" s="75"/>
      <c r="G40" s="76"/>
      <c r="H40" s="77"/>
      <c r="I40" s="77"/>
      <c r="J40" s="77"/>
      <c r="K40" s="77"/>
      <c r="L40" s="50"/>
      <c r="M40" s="50"/>
      <c r="N40" s="50"/>
      <c r="O40" s="50"/>
      <c r="P40" s="50"/>
      <c r="Q40" s="50"/>
      <c r="R40" s="50"/>
      <c r="S40" s="50"/>
      <c r="T40" s="50"/>
      <c r="U40" s="50"/>
      <c r="V40" s="50"/>
      <c r="W40" s="50"/>
      <c r="X40" s="50"/>
      <c r="Y40" s="50"/>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6"/>
    </row>
    <row r="47" spans="1:25" ht="20.100000000000001" customHeight="1" x14ac:dyDescent="0.25">
      <c r="D47" s="78"/>
      <c r="E47" s="78"/>
      <c r="F47" s="78"/>
      <c r="G47" s="78"/>
      <c r="H47" s="78"/>
    </row>
    <row r="48" spans="1:25" ht="20.100000000000001" customHeight="1" x14ac:dyDescent="0.25">
      <c r="D48" s="34"/>
      <c r="E48" s="34"/>
      <c r="F48" s="35"/>
      <c r="G48" s="35"/>
      <c r="H48" s="34"/>
    </row>
    <row r="49" spans="4:8" ht="20.100000000000001" customHeight="1" x14ac:dyDescent="0.25">
      <c r="D49" s="34"/>
      <c r="E49" s="34"/>
      <c r="F49" s="35"/>
      <c r="G49" s="35"/>
      <c r="H49" s="34"/>
    </row>
    <row r="50" spans="4:8" ht="20.100000000000001" customHeight="1" x14ac:dyDescent="0.25">
      <c r="D50" s="34"/>
      <c r="E50" s="34"/>
      <c r="F50" s="35"/>
      <c r="G50" s="35"/>
      <c r="H50" s="34"/>
    </row>
    <row r="51" spans="4:8" ht="20.100000000000001" customHeight="1" x14ac:dyDescent="0.25">
      <c r="D51" s="79"/>
      <c r="E51" s="80"/>
      <c r="F51" s="80"/>
      <c r="G51" s="80"/>
      <c r="H51" s="81"/>
    </row>
    <row r="52" spans="4:8" ht="20.100000000000001" customHeight="1" x14ac:dyDescent="0.25"/>
    <row r="53" spans="4:8" ht="20.100000000000001" customHeight="1" x14ac:dyDescent="0.25"/>
    <row r="54" spans="4:8" ht="20.100000000000001" customHeight="1" x14ac:dyDescent="0.25">
      <c r="G54" s="82"/>
    </row>
    <row r="55" spans="4:8" ht="20.100000000000001" customHeight="1" x14ac:dyDescent="0.25">
      <c r="D55" s="6"/>
    </row>
    <row r="56" spans="4:8" ht="20.100000000000001" customHeight="1" x14ac:dyDescent="0.25"/>
    <row r="57" spans="4:8" ht="20.100000000000001" customHeight="1" x14ac:dyDescent="0.25">
      <c r="D57" s="21"/>
      <c r="F57" s="83"/>
    </row>
    <row r="58" spans="4:8" ht="20.100000000000001" customHeight="1" x14ac:dyDescent="0.25">
      <c r="D58" s="1"/>
      <c r="E58" s="84"/>
    </row>
    <row r="59" spans="4:8" ht="20.100000000000001" customHeight="1" x14ac:dyDescent="0.25">
      <c r="D59" s="1"/>
      <c r="E59" s="84"/>
    </row>
    <row r="60" spans="4:8" ht="20.100000000000001" customHeight="1" x14ac:dyDescent="0.25">
      <c r="D60" s="1"/>
      <c r="E60" s="85"/>
    </row>
    <row r="61" spans="4:8" ht="20.100000000000001" customHeight="1" x14ac:dyDescent="0.25">
      <c r="D61" s="1"/>
    </row>
    <row r="62" spans="4:8" ht="20.100000000000001" customHeight="1" x14ac:dyDescent="0.25"/>
    <row r="63" spans="4:8" ht="20.100000000000001" customHeight="1" x14ac:dyDescent="0.25">
      <c r="D63" s="21"/>
    </row>
    <row r="64" spans="4:8" ht="20.100000000000001" customHeight="1" x14ac:dyDescent="0.25">
      <c r="D64" s="1"/>
      <c r="E64" s="84"/>
    </row>
    <row r="65" spans="4:9" ht="20.100000000000001" customHeight="1" x14ac:dyDescent="0.25">
      <c r="D65" s="1"/>
      <c r="E65" s="84"/>
    </row>
    <row r="66" spans="4:9" ht="20.100000000000001" customHeight="1" x14ac:dyDescent="0.25">
      <c r="D66" s="1"/>
      <c r="E66" s="85"/>
    </row>
    <row r="67" spans="4:9" ht="20.100000000000001" customHeight="1" x14ac:dyDescent="0.25"/>
    <row r="68" spans="4:9" ht="20.100000000000001" customHeight="1" x14ac:dyDescent="0.25"/>
    <row r="69" spans="4:9" ht="20.100000000000001" customHeight="1" x14ac:dyDescent="0.25">
      <c r="D69" s="60"/>
      <c r="E69" s="60"/>
      <c r="F69" s="60"/>
      <c r="G69" s="60"/>
      <c r="H69" s="60"/>
      <c r="I69" s="60"/>
    </row>
    <row r="70" spans="4:9" ht="20.100000000000001" customHeight="1" x14ac:dyDescent="0.25">
      <c r="D70" s="60"/>
      <c r="E70" s="60"/>
      <c r="F70" s="60"/>
      <c r="G70" s="60"/>
      <c r="H70" s="60"/>
      <c r="I70" s="60"/>
    </row>
    <row r="71" spans="4:9" ht="20.100000000000001" customHeight="1" x14ac:dyDescent="0.25">
      <c r="D71" s="60"/>
      <c r="E71" s="60"/>
      <c r="F71" s="60"/>
      <c r="G71" s="60"/>
      <c r="H71" s="60"/>
      <c r="I71" s="60"/>
    </row>
    <row r="72" spans="4:9" ht="20.100000000000001" customHeight="1" x14ac:dyDescent="0.25">
      <c r="D72" s="60"/>
      <c r="E72" s="60"/>
      <c r="F72" s="60"/>
      <c r="G72" s="60"/>
      <c r="H72" s="60"/>
      <c r="I72" s="60"/>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6"/>
    </row>
    <row r="79" spans="4:9" ht="20.100000000000001" customHeight="1" x14ac:dyDescent="0.25">
      <c r="D79" s="86"/>
    </row>
    <row r="80" spans="4:9" ht="20.100000000000001" customHeight="1" x14ac:dyDescent="0.25">
      <c r="D80" s="86"/>
    </row>
    <row r="81" spans="4:4" ht="20.100000000000001" customHeight="1" x14ac:dyDescent="0.25">
      <c r="D81" s="86"/>
    </row>
    <row r="82" spans="4:4" ht="20.100000000000001" customHeight="1" x14ac:dyDescent="0.25">
      <c r="D82" s="86"/>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Y356"/>
  <sheetViews>
    <sheetView showGridLines="0" topLeftCell="A174" zoomScale="115" zoomScaleNormal="115" workbookViewId="0">
      <selection activeCell="G195" sqref="G195"/>
    </sheetView>
  </sheetViews>
  <sheetFormatPr defaultRowHeight="15.75" x14ac:dyDescent="0.25"/>
  <cols>
    <col min="1" max="1" width="30.7109375" customWidth="1"/>
    <col min="2" max="2" width="4.7109375" customWidth="1"/>
    <col min="3" max="3" width="4.7109375" style="1" customWidth="1"/>
    <col min="4" max="4" width="79" style="1" customWidth="1"/>
    <col min="5" max="15" width="30.7109375" style="1" customWidth="1"/>
    <col min="16" max="16" width="4.7109375" style="1" customWidth="1"/>
    <col min="17" max="18" width="4.7109375" style="56" customWidth="1"/>
    <col min="19" max="24" width="30.7109375" style="56" customWidth="1"/>
    <col min="25" max="25" width="4.7109375" style="56" customWidth="1"/>
  </cols>
  <sheetData>
    <row r="1" spans="1:25" s="68" customFormat="1" ht="30" customHeight="1" x14ac:dyDescent="0.35">
      <c r="A1" s="68" t="e" vm="1">
        <v>#VALUE!</v>
      </c>
      <c r="C1" s="68" t="s">
        <v>161</v>
      </c>
      <c r="Q1" s="56"/>
      <c r="R1" s="56"/>
      <c r="S1" s="56"/>
      <c r="T1" s="56"/>
      <c r="U1" s="56"/>
      <c r="V1" s="56"/>
      <c r="W1" s="56"/>
      <c r="X1" s="56"/>
      <c r="Y1" s="56"/>
    </row>
    <row r="2" spans="1:25" s="9" customFormat="1" ht="20.100000000000001" customHeight="1" x14ac:dyDescent="0.25">
      <c r="Q2" s="56"/>
      <c r="R2" s="56"/>
      <c r="S2" s="56"/>
      <c r="T2" s="56"/>
      <c r="U2" s="56"/>
      <c r="V2" s="56"/>
      <c r="W2" s="56"/>
      <c r="X2" s="56"/>
      <c r="Y2" s="56"/>
    </row>
    <row r="3" spans="1:25" ht="20.100000000000001" customHeight="1" x14ac:dyDescent="0.25">
      <c r="A3" s="17" t="str">
        <f>HYPERLINK("#'Home'!A1", "Home")</f>
        <v>Home</v>
      </c>
      <c r="C3" s="15"/>
      <c r="D3" s="15"/>
      <c r="E3" s="15"/>
      <c r="F3" s="15"/>
      <c r="G3" s="15"/>
      <c r="H3" s="15"/>
      <c r="I3" s="15"/>
      <c r="J3" s="15"/>
      <c r="K3" s="15"/>
      <c r="L3" s="15"/>
      <c r="M3" s="15"/>
      <c r="N3" s="15"/>
      <c r="O3" s="15"/>
      <c r="P3" s="15"/>
    </row>
    <row r="4" spans="1:25" ht="20.100000000000001" customHeight="1" x14ac:dyDescent="0.25">
      <c r="A4" s="17" t="str">
        <f>HYPERLINK("#'Results'!A1", "Results")</f>
        <v>Results</v>
      </c>
    </row>
    <row r="5" spans="1:25" ht="20.100000000000001" customHeight="1" x14ac:dyDescent="0.25">
      <c r="A5" s="16"/>
      <c r="D5" s="6" t="s">
        <v>101</v>
      </c>
      <c r="P5" s="3"/>
      <c r="T5" s="7"/>
    </row>
    <row r="6" spans="1:25" ht="20.100000000000001" customHeight="1" x14ac:dyDescent="0.25">
      <c r="A6" s="20" t="s">
        <v>3</v>
      </c>
      <c r="P6" s="3"/>
      <c r="T6" s="7"/>
    </row>
    <row r="7" spans="1:25" ht="20.100000000000001" customHeight="1" x14ac:dyDescent="0.25">
      <c r="A7" s="17" t="str">
        <f>HYPERLINK("#'Input - Site'!A1", "Site")</f>
        <v>Site</v>
      </c>
      <c r="D7" s="1" t="s">
        <v>8</v>
      </c>
      <c r="E7" s="52" t="str">
        <f>'Input - Site'!$E$21</f>
        <v>Western Australia</v>
      </c>
      <c r="P7" s="3"/>
      <c r="T7" s="7"/>
    </row>
    <row r="8" spans="1:25" ht="20.100000000000001" customHeight="1" x14ac:dyDescent="0.25">
      <c r="A8" s="17" t="str">
        <f>HYPERLINK("#'Input - Pasture Beef'!A1", "Pasture Beef")</f>
        <v>Pasture Beef</v>
      </c>
      <c r="D8" s="1" t="s">
        <v>204</v>
      </c>
      <c r="E8" s="39" t="s">
        <v>209</v>
      </c>
      <c r="F8" s="2" t="s">
        <v>11</v>
      </c>
      <c r="P8" s="3"/>
      <c r="T8" s="7"/>
    </row>
    <row r="9" spans="1:25" ht="20.100000000000001" customHeight="1" x14ac:dyDescent="0.25">
      <c r="A9" s="17"/>
      <c r="D9" s="1" t="s">
        <v>232</v>
      </c>
      <c r="E9" s="39" t="s">
        <v>240</v>
      </c>
      <c r="F9" s="2" t="s">
        <v>11</v>
      </c>
      <c r="T9" s="7"/>
    </row>
    <row r="10" spans="1:25" ht="20.100000000000001" customHeight="1" x14ac:dyDescent="0.25">
      <c r="A10" s="19" t="s">
        <v>77</v>
      </c>
      <c r="T10" s="7"/>
    </row>
    <row r="11" spans="1:25" ht="20.100000000000001" customHeight="1" x14ac:dyDescent="0.25">
      <c r="A11" s="17" t="str">
        <f>HYPERLINK("#'4.2.1.1-2 Methane'!A1", "4.2.1.1-2 Methane")</f>
        <v>4.2.1.1-2 Methane</v>
      </c>
      <c r="T11" s="7"/>
    </row>
    <row r="12" spans="1:25" ht="20.100000000000001" customHeight="1" x14ac:dyDescent="0.25">
      <c r="A12" s="17" t="str">
        <f>HYPERLINK("#'4.2.1.3-4 Soil direct N2O'!A1", "4.2.1.3-4 Soil direct N2O")</f>
        <v>4.2.1.3-4 Soil direct N2O</v>
      </c>
      <c r="D12" s="94" t="s">
        <v>181</v>
      </c>
      <c r="E12" s="95"/>
      <c r="F12" s="95"/>
      <c r="G12" s="89"/>
      <c r="T12" s="7"/>
    </row>
    <row r="13" spans="1:25" ht="20.100000000000001" customHeight="1" x14ac:dyDescent="0.25">
      <c r="A13" s="17" t="str">
        <f>HYPERLINK("#'4.2.1.5-6 Soil Atmos Dep'!A1", "4.2.1.5-6 Soil atm. deposition")</f>
        <v>4.2.1.5-6 Soil atm. deposition</v>
      </c>
      <c r="T13" s="38"/>
    </row>
    <row r="14" spans="1:25" ht="20.100000000000001" customHeight="1" x14ac:dyDescent="0.25">
      <c r="A14" s="17" t="str">
        <f>HYPERLINK("#'4.2.1.7-8 Soil leach runoff'!A1", "4.2.1.7-8 Soil leach &amp; runoff")</f>
        <v>4.2.1.7-8 Soil leach &amp; runoff</v>
      </c>
      <c r="D14" s="48" t="s">
        <v>178</v>
      </c>
      <c r="T14" s="38"/>
    </row>
    <row r="15" spans="1:25" ht="20.100000000000001" customHeight="1" x14ac:dyDescent="0.25">
      <c r="A15" s="17"/>
      <c r="D15" s="63" t="s">
        <v>179</v>
      </c>
      <c r="E15" s="63" t="s">
        <v>131</v>
      </c>
      <c r="F15" s="63" t="s">
        <v>130</v>
      </c>
      <c r="G15" s="63" t="s">
        <v>165</v>
      </c>
      <c r="H15" s="63" t="s">
        <v>166</v>
      </c>
      <c r="I15" s="63" t="s">
        <v>167</v>
      </c>
      <c r="J15" s="63" t="s">
        <v>168</v>
      </c>
      <c r="K15" s="63" t="s">
        <v>169</v>
      </c>
      <c r="L15" s="63" t="s">
        <v>170</v>
      </c>
      <c r="M15" s="63" t="s">
        <v>171</v>
      </c>
      <c r="N15" s="63" t="s">
        <v>172</v>
      </c>
      <c r="T15" s="38"/>
    </row>
    <row r="16" spans="1:25" ht="20.100000000000001" customHeight="1" x14ac:dyDescent="0.25">
      <c r="A16" s="18" t="s">
        <v>4</v>
      </c>
      <c r="D16" s="1" t="s">
        <v>173</v>
      </c>
      <c r="E16" s="52">
        <v>91.25</v>
      </c>
      <c r="F16" s="52">
        <v>91.25</v>
      </c>
      <c r="G16" s="52">
        <v>91.25</v>
      </c>
      <c r="H16" s="52">
        <v>91.25</v>
      </c>
      <c r="I16" s="52">
        <v>91.25</v>
      </c>
      <c r="J16" s="52">
        <v>91.25</v>
      </c>
      <c r="K16" s="52">
        <v>91.25</v>
      </c>
      <c r="L16" s="52">
        <v>91.25</v>
      </c>
      <c r="M16" s="52">
        <v>91.25</v>
      </c>
      <c r="N16" s="52">
        <v>91.25</v>
      </c>
      <c r="O16" s="2" t="s">
        <v>55</v>
      </c>
      <c r="T16" s="38"/>
    </row>
    <row r="17" spans="1:20" ht="20.100000000000001" customHeight="1" x14ac:dyDescent="0.25">
      <c r="A17" s="17" t="str">
        <f>HYPERLINK("#'Constants - Pasture Beef'!A1", "Constants - Pasture Beef")</f>
        <v>Constants - Pasture Beef</v>
      </c>
      <c r="D17" s="1" t="s">
        <v>174</v>
      </c>
      <c r="E17" s="52">
        <v>91.25</v>
      </c>
      <c r="F17" s="52">
        <v>91.25</v>
      </c>
      <c r="G17" s="52">
        <v>91.25</v>
      </c>
      <c r="H17" s="52">
        <v>91.25</v>
      </c>
      <c r="I17" s="52">
        <v>91.25</v>
      </c>
      <c r="J17" s="52">
        <v>91.25</v>
      </c>
      <c r="K17" s="52">
        <v>91.25</v>
      </c>
      <c r="L17" s="52">
        <v>91.25</v>
      </c>
      <c r="M17" s="52">
        <v>91.25</v>
      </c>
      <c r="N17" s="52">
        <v>91.25</v>
      </c>
      <c r="O17" s="2" t="s">
        <v>55</v>
      </c>
      <c r="T17" s="7"/>
    </row>
    <row r="18" spans="1:20" ht="20.100000000000001" customHeight="1" x14ac:dyDescent="0.25">
      <c r="A18" s="17" t="str">
        <f>HYPERLINK("#'Constants - Livestock'!A1", "Constants - Livestock")</f>
        <v>Constants - Livestock</v>
      </c>
      <c r="D18" s="1" t="s">
        <v>175</v>
      </c>
      <c r="E18" s="52">
        <v>91.25</v>
      </c>
      <c r="F18" s="52">
        <v>91.25</v>
      </c>
      <c r="G18" s="52">
        <v>91.25</v>
      </c>
      <c r="H18" s="52">
        <v>91.25</v>
      </c>
      <c r="I18" s="52">
        <v>91.25</v>
      </c>
      <c r="J18" s="52">
        <v>91.25</v>
      </c>
      <c r="K18" s="52">
        <v>91.25</v>
      </c>
      <c r="L18" s="52">
        <v>91.25</v>
      </c>
      <c r="M18" s="52">
        <v>91.25</v>
      </c>
      <c r="N18" s="52">
        <v>91.25</v>
      </c>
      <c r="O18" s="2" t="s">
        <v>55</v>
      </c>
      <c r="T18" s="7"/>
    </row>
    <row r="19" spans="1:20" ht="20.100000000000001" customHeight="1" x14ac:dyDescent="0.25">
      <c r="A19" s="17" t="str">
        <f>HYPERLINK("#'Constants - Common'!A1", "Constants - Common")</f>
        <v>Constants - Common</v>
      </c>
      <c r="D19" s="1" t="s">
        <v>176</v>
      </c>
      <c r="E19" s="52">
        <v>91.25</v>
      </c>
      <c r="F19" s="52">
        <v>91.25</v>
      </c>
      <c r="G19" s="52">
        <v>91.25</v>
      </c>
      <c r="H19" s="52">
        <v>91.25</v>
      </c>
      <c r="I19" s="52">
        <v>91.25</v>
      </c>
      <c r="J19" s="52">
        <v>91.25</v>
      </c>
      <c r="K19" s="52">
        <v>91.25</v>
      </c>
      <c r="L19" s="52">
        <v>91.25</v>
      </c>
      <c r="M19" s="52">
        <v>91.25</v>
      </c>
      <c r="N19" s="52">
        <v>91.25</v>
      </c>
      <c r="O19" s="2" t="s">
        <v>55</v>
      </c>
      <c r="T19" s="7"/>
    </row>
    <row r="20" spans="1:20" ht="20.100000000000001" customHeight="1" x14ac:dyDescent="0.25">
      <c r="A20" s="17" t="str">
        <f>HYPERLINK("#'Acknowledgements'!A1", "Acknowledgements")</f>
        <v>Acknowledgements</v>
      </c>
      <c r="T20" s="7"/>
    </row>
    <row r="21" spans="1:20" ht="20.100000000000001" customHeight="1" x14ac:dyDescent="0.25">
      <c r="D21" s="63" t="s">
        <v>180</v>
      </c>
      <c r="E21" s="63" t="s">
        <v>131</v>
      </c>
      <c r="F21" s="63" t="s">
        <v>130</v>
      </c>
      <c r="G21" s="63" t="s">
        <v>165</v>
      </c>
      <c r="H21" s="63" t="s">
        <v>166</v>
      </c>
      <c r="I21" s="63" t="s">
        <v>167</v>
      </c>
      <c r="J21" s="63" t="s">
        <v>168</v>
      </c>
      <c r="K21" s="63" t="s">
        <v>169</v>
      </c>
      <c r="L21" s="63" t="s">
        <v>170</v>
      </c>
      <c r="M21" s="63" t="s">
        <v>171</v>
      </c>
      <c r="N21" s="63" t="s">
        <v>172</v>
      </c>
      <c r="T21" s="7"/>
    </row>
    <row r="22" spans="1:20" ht="20.100000000000001" customHeight="1" x14ac:dyDescent="0.25">
      <c r="A22" s="17"/>
      <c r="D22" s="1" t="str">
        <f>TEXT('Input - Site'!$E$12, "mmmm yyyy")</f>
        <v>January 2024</v>
      </c>
      <c r="E22" s="66">
        <f t="shared" ref="E22:N33" si="0">DAY(EOMONTH($D22,0))</f>
        <v>31</v>
      </c>
      <c r="F22" s="66">
        <f t="shared" si="0"/>
        <v>31</v>
      </c>
      <c r="G22" s="66">
        <f t="shared" si="0"/>
        <v>31</v>
      </c>
      <c r="H22" s="66">
        <f t="shared" si="0"/>
        <v>31</v>
      </c>
      <c r="I22" s="66">
        <f t="shared" si="0"/>
        <v>31</v>
      </c>
      <c r="J22" s="66">
        <f t="shared" si="0"/>
        <v>31</v>
      </c>
      <c r="K22" s="66">
        <f t="shared" si="0"/>
        <v>31</v>
      </c>
      <c r="L22" s="66">
        <f t="shared" si="0"/>
        <v>31</v>
      </c>
      <c r="M22" s="66">
        <f t="shared" si="0"/>
        <v>31</v>
      </c>
      <c r="N22" s="66">
        <f t="shared" si="0"/>
        <v>31</v>
      </c>
      <c r="O22" s="2" t="s">
        <v>55</v>
      </c>
      <c r="T22" s="7"/>
    </row>
    <row r="23" spans="1:20" ht="20.100000000000001" customHeight="1" x14ac:dyDescent="0.25">
      <c r="A23" s="17"/>
      <c r="D23" s="1" t="str">
        <f>TEXT(EDATE('Input - Site'!$E$12,1), "mmmm yyyy")</f>
        <v>February 2024</v>
      </c>
      <c r="E23" s="66">
        <f t="shared" si="0"/>
        <v>29</v>
      </c>
      <c r="F23" s="66">
        <f t="shared" si="0"/>
        <v>29</v>
      </c>
      <c r="G23" s="66">
        <f t="shared" si="0"/>
        <v>29</v>
      </c>
      <c r="H23" s="66">
        <f t="shared" si="0"/>
        <v>29</v>
      </c>
      <c r="I23" s="66">
        <f t="shared" si="0"/>
        <v>29</v>
      </c>
      <c r="J23" s="66">
        <f t="shared" si="0"/>
        <v>29</v>
      </c>
      <c r="K23" s="66">
        <f t="shared" si="0"/>
        <v>29</v>
      </c>
      <c r="L23" s="66">
        <f t="shared" si="0"/>
        <v>29</v>
      </c>
      <c r="M23" s="66">
        <f t="shared" si="0"/>
        <v>29</v>
      </c>
      <c r="N23" s="66">
        <f t="shared" si="0"/>
        <v>29</v>
      </c>
      <c r="O23" s="2" t="s">
        <v>55</v>
      </c>
      <c r="T23" s="7"/>
    </row>
    <row r="24" spans="1:20" ht="20.100000000000001" customHeight="1" x14ac:dyDescent="0.25">
      <c r="A24" s="17"/>
      <c r="D24" s="1" t="str">
        <f>TEXT(EDATE('Input - Site'!$E$12,2), "mmmm yyyy")</f>
        <v>March 2024</v>
      </c>
      <c r="E24" s="66">
        <f t="shared" si="0"/>
        <v>31</v>
      </c>
      <c r="F24" s="66">
        <f t="shared" si="0"/>
        <v>31</v>
      </c>
      <c r="G24" s="66">
        <f t="shared" si="0"/>
        <v>31</v>
      </c>
      <c r="H24" s="66">
        <f t="shared" si="0"/>
        <v>31</v>
      </c>
      <c r="I24" s="66">
        <f t="shared" si="0"/>
        <v>31</v>
      </c>
      <c r="J24" s="66">
        <f t="shared" si="0"/>
        <v>31</v>
      </c>
      <c r="K24" s="66">
        <f t="shared" si="0"/>
        <v>31</v>
      </c>
      <c r="L24" s="66">
        <f t="shared" si="0"/>
        <v>31</v>
      </c>
      <c r="M24" s="66">
        <f t="shared" si="0"/>
        <v>31</v>
      </c>
      <c r="N24" s="66">
        <f t="shared" si="0"/>
        <v>31</v>
      </c>
      <c r="O24" s="2" t="s">
        <v>55</v>
      </c>
      <c r="T24" s="7"/>
    </row>
    <row r="25" spans="1:20" ht="20.100000000000001" customHeight="1" x14ac:dyDescent="0.25">
      <c r="D25" s="1" t="str">
        <f>TEXT(EDATE('Input - Site'!$E$12,3), "mmmm yyyy")</f>
        <v>April 2024</v>
      </c>
      <c r="E25" s="66">
        <f t="shared" si="0"/>
        <v>30</v>
      </c>
      <c r="F25" s="66">
        <f t="shared" si="0"/>
        <v>30</v>
      </c>
      <c r="G25" s="66">
        <f t="shared" si="0"/>
        <v>30</v>
      </c>
      <c r="H25" s="66">
        <f t="shared" si="0"/>
        <v>30</v>
      </c>
      <c r="I25" s="66">
        <f t="shared" si="0"/>
        <v>30</v>
      </c>
      <c r="J25" s="66">
        <f t="shared" si="0"/>
        <v>30</v>
      </c>
      <c r="K25" s="66">
        <f t="shared" si="0"/>
        <v>30</v>
      </c>
      <c r="L25" s="66">
        <f t="shared" si="0"/>
        <v>30</v>
      </c>
      <c r="M25" s="66">
        <f t="shared" si="0"/>
        <v>30</v>
      </c>
      <c r="N25" s="66">
        <f t="shared" si="0"/>
        <v>30</v>
      </c>
      <c r="O25" s="2" t="s">
        <v>55</v>
      </c>
      <c r="T25" s="7"/>
    </row>
    <row r="26" spans="1:20" ht="20.100000000000001" customHeight="1" x14ac:dyDescent="0.25">
      <c r="A26" s="17"/>
      <c r="D26" s="1" t="str">
        <f>TEXT(EDATE('Input - Site'!$E$12,4), "mmmm yyyy")</f>
        <v>May 2024</v>
      </c>
      <c r="E26" s="66">
        <f t="shared" si="0"/>
        <v>31</v>
      </c>
      <c r="F26" s="66">
        <f t="shared" si="0"/>
        <v>31</v>
      </c>
      <c r="G26" s="66">
        <f t="shared" si="0"/>
        <v>31</v>
      </c>
      <c r="H26" s="66">
        <f t="shared" si="0"/>
        <v>31</v>
      </c>
      <c r="I26" s="66">
        <f t="shared" si="0"/>
        <v>31</v>
      </c>
      <c r="J26" s="66">
        <f t="shared" si="0"/>
        <v>31</v>
      </c>
      <c r="K26" s="66">
        <f t="shared" si="0"/>
        <v>31</v>
      </c>
      <c r="L26" s="66">
        <f t="shared" si="0"/>
        <v>31</v>
      </c>
      <c r="M26" s="66">
        <f t="shared" si="0"/>
        <v>31</v>
      </c>
      <c r="N26" s="66">
        <f t="shared" si="0"/>
        <v>31</v>
      </c>
      <c r="O26" s="2" t="s">
        <v>55</v>
      </c>
      <c r="T26" s="7"/>
    </row>
    <row r="27" spans="1:20" ht="20.100000000000001" customHeight="1" x14ac:dyDescent="0.25">
      <c r="A27" s="17"/>
      <c r="D27" s="1" t="str">
        <f>TEXT(EDATE('Input - Site'!$E$12,5), "mmmm yyyy")</f>
        <v>June 2024</v>
      </c>
      <c r="E27" s="66">
        <f t="shared" si="0"/>
        <v>30</v>
      </c>
      <c r="F27" s="66">
        <f t="shared" si="0"/>
        <v>30</v>
      </c>
      <c r="G27" s="66">
        <f t="shared" si="0"/>
        <v>30</v>
      </c>
      <c r="H27" s="66">
        <f t="shared" si="0"/>
        <v>30</v>
      </c>
      <c r="I27" s="66">
        <f t="shared" si="0"/>
        <v>30</v>
      </c>
      <c r="J27" s="66">
        <f t="shared" si="0"/>
        <v>30</v>
      </c>
      <c r="K27" s="66">
        <f t="shared" si="0"/>
        <v>30</v>
      </c>
      <c r="L27" s="66">
        <f t="shared" si="0"/>
        <v>30</v>
      </c>
      <c r="M27" s="66">
        <f t="shared" si="0"/>
        <v>30</v>
      </c>
      <c r="N27" s="66">
        <f t="shared" si="0"/>
        <v>30</v>
      </c>
      <c r="O27" s="2" t="s">
        <v>55</v>
      </c>
      <c r="T27" s="7"/>
    </row>
    <row r="28" spans="1:20" ht="20.100000000000001" customHeight="1" x14ac:dyDescent="0.25">
      <c r="A28" s="17"/>
      <c r="D28" s="1" t="str">
        <f>TEXT(EDATE('Input - Site'!$E$12,6), "mmmm yyyy")</f>
        <v>July 2024</v>
      </c>
      <c r="E28" s="66">
        <f t="shared" si="0"/>
        <v>31</v>
      </c>
      <c r="F28" s="66">
        <f t="shared" si="0"/>
        <v>31</v>
      </c>
      <c r="G28" s="66">
        <f t="shared" si="0"/>
        <v>31</v>
      </c>
      <c r="H28" s="66">
        <f t="shared" si="0"/>
        <v>31</v>
      </c>
      <c r="I28" s="66">
        <f t="shared" si="0"/>
        <v>31</v>
      </c>
      <c r="J28" s="66">
        <f t="shared" si="0"/>
        <v>31</v>
      </c>
      <c r="K28" s="66">
        <f t="shared" si="0"/>
        <v>31</v>
      </c>
      <c r="L28" s="66">
        <f t="shared" si="0"/>
        <v>31</v>
      </c>
      <c r="M28" s="66">
        <f t="shared" si="0"/>
        <v>31</v>
      </c>
      <c r="N28" s="66">
        <f t="shared" si="0"/>
        <v>31</v>
      </c>
      <c r="O28" s="2" t="s">
        <v>55</v>
      </c>
      <c r="T28" s="7"/>
    </row>
    <row r="29" spans="1:20" ht="20.100000000000001" customHeight="1" x14ac:dyDescent="0.25">
      <c r="A29" s="17"/>
      <c r="D29" s="1" t="str">
        <f>TEXT(EDATE('Input - Site'!$E$12,7), "mmmm yyyy")</f>
        <v>August 2024</v>
      </c>
      <c r="E29" s="66">
        <f t="shared" si="0"/>
        <v>31</v>
      </c>
      <c r="F29" s="66">
        <f t="shared" si="0"/>
        <v>31</v>
      </c>
      <c r="G29" s="66">
        <f t="shared" si="0"/>
        <v>31</v>
      </c>
      <c r="H29" s="66">
        <f t="shared" si="0"/>
        <v>31</v>
      </c>
      <c r="I29" s="66">
        <f t="shared" si="0"/>
        <v>31</v>
      </c>
      <c r="J29" s="66">
        <f t="shared" si="0"/>
        <v>31</v>
      </c>
      <c r="K29" s="66">
        <f t="shared" si="0"/>
        <v>31</v>
      </c>
      <c r="L29" s="66">
        <f t="shared" si="0"/>
        <v>31</v>
      </c>
      <c r="M29" s="66">
        <f t="shared" si="0"/>
        <v>31</v>
      </c>
      <c r="N29" s="66">
        <f t="shared" si="0"/>
        <v>31</v>
      </c>
      <c r="O29" s="2" t="s">
        <v>55</v>
      </c>
      <c r="T29" s="7"/>
    </row>
    <row r="30" spans="1:20" ht="20.100000000000001" customHeight="1" x14ac:dyDescent="0.25">
      <c r="A30" s="17"/>
      <c r="D30" s="1" t="str">
        <f>TEXT(EDATE('Input - Site'!$E$12,8), "mmmm yyyy")</f>
        <v>September 2024</v>
      </c>
      <c r="E30" s="66">
        <f t="shared" si="0"/>
        <v>30</v>
      </c>
      <c r="F30" s="66">
        <f t="shared" si="0"/>
        <v>30</v>
      </c>
      <c r="G30" s="66">
        <f t="shared" si="0"/>
        <v>30</v>
      </c>
      <c r="H30" s="66">
        <f t="shared" si="0"/>
        <v>30</v>
      </c>
      <c r="I30" s="66">
        <f t="shared" si="0"/>
        <v>30</v>
      </c>
      <c r="J30" s="66">
        <f t="shared" si="0"/>
        <v>30</v>
      </c>
      <c r="K30" s="66">
        <f t="shared" si="0"/>
        <v>30</v>
      </c>
      <c r="L30" s="66">
        <f t="shared" si="0"/>
        <v>30</v>
      </c>
      <c r="M30" s="66">
        <f t="shared" si="0"/>
        <v>30</v>
      </c>
      <c r="N30" s="66">
        <f t="shared" si="0"/>
        <v>30</v>
      </c>
      <c r="O30" s="2" t="s">
        <v>55</v>
      </c>
      <c r="T30" s="7"/>
    </row>
    <row r="31" spans="1:20" ht="20.100000000000001" customHeight="1" x14ac:dyDescent="0.25">
      <c r="A31" s="67"/>
      <c r="D31" s="1" t="str">
        <f>TEXT(EDATE('Input - Site'!$E$12,9), "mmmm yyyy")</f>
        <v>October 2024</v>
      </c>
      <c r="E31" s="66">
        <f t="shared" si="0"/>
        <v>31</v>
      </c>
      <c r="F31" s="66">
        <f t="shared" si="0"/>
        <v>31</v>
      </c>
      <c r="G31" s="66">
        <f t="shared" si="0"/>
        <v>31</v>
      </c>
      <c r="H31" s="66">
        <f t="shared" si="0"/>
        <v>31</v>
      </c>
      <c r="I31" s="66">
        <f t="shared" si="0"/>
        <v>31</v>
      </c>
      <c r="J31" s="66">
        <f t="shared" si="0"/>
        <v>31</v>
      </c>
      <c r="K31" s="66">
        <f t="shared" si="0"/>
        <v>31</v>
      </c>
      <c r="L31" s="66">
        <f t="shared" si="0"/>
        <v>31</v>
      </c>
      <c r="M31" s="66">
        <f t="shared" si="0"/>
        <v>31</v>
      </c>
      <c r="N31" s="66">
        <f t="shared" si="0"/>
        <v>31</v>
      </c>
      <c r="O31" s="2" t="s">
        <v>55</v>
      </c>
      <c r="T31" s="7"/>
    </row>
    <row r="32" spans="1:20" ht="20.100000000000001" customHeight="1" x14ac:dyDescent="0.25">
      <c r="A32" s="67"/>
      <c r="D32" s="1" t="str">
        <f>TEXT(EDATE('Input - Site'!$E$12,10), "mmmm yyyy")</f>
        <v>November 2024</v>
      </c>
      <c r="E32" s="66">
        <f t="shared" si="0"/>
        <v>30</v>
      </c>
      <c r="F32" s="66">
        <f t="shared" si="0"/>
        <v>30</v>
      </c>
      <c r="G32" s="66">
        <f t="shared" si="0"/>
        <v>30</v>
      </c>
      <c r="H32" s="66">
        <f t="shared" si="0"/>
        <v>30</v>
      </c>
      <c r="I32" s="66">
        <f t="shared" si="0"/>
        <v>30</v>
      </c>
      <c r="J32" s="66">
        <f t="shared" si="0"/>
        <v>30</v>
      </c>
      <c r="K32" s="66">
        <f t="shared" si="0"/>
        <v>30</v>
      </c>
      <c r="L32" s="66">
        <f t="shared" si="0"/>
        <v>30</v>
      </c>
      <c r="M32" s="66">
        <f t="shared" si="0"/>
        <v>30</v>
      </c>
      <c r="N32" s="66">
        <f t="shared" si="0"/>
        <v>30</v>
      </c>
      <c r="O32" s="2" t="s">
        <v>55</v>
      </c>
      <c r="T32" s="7"/>
    </row>
    <row r="33" spans="1:20" ht="20.100000000000001" customHeight="1" x14ac:dyDescent="0.25">
      <c r="A33" s="17"/>
      <c r="D33" s="1" t="str">
        <f>TEXT(EDATE('Input - Site'!$E$12,11), "mmmm yyyy")</f>
        <v>December 2024</v>
      </c>
      <c r="E33" s="66">
        <f t="shared" si="0"/>
        <v>31</v>
      </c>
      <c r="F33" s="66">
        <f t="shared" si="0"/>
        <v>31</v>
      </c>
      <c r="G33" s="66">
        <f t="shared" si="0"/>
        <v>31</v>
      </c>
      <c r="H33" s="66">
        <f t="shared" si="0"/>
        <v>31</v>
      </c>
      <c r="I33" s="66">
        <f t="shared" si="0"/>
        <v>31</v>
      </c>
      <c r="J33" s="66">
        <f t="shared" si="0"/>
        <v>31</v>
      </c>
      <c r="K33" s="66">
        <f t="shared" si="0"/>
        <v>31</v>
      </c>
      <c r="L33" s="66">
        <f t="shared" si="0"/>
        <v>31</v>
      </c>
      <c r="M33" s="66">
        <f t="shared" si="0"/>
        <v>31</v>
      </c>
      <c r="N33" s="66">
        <f t="shared" si="0"/>
        <v>31</v>
      </c>
      <c r="O33" s="2" t="s">
        <v>55</v>
      </c>
      <c r="T33" s="7"/>
    </row>
    <row r="34" spans="1:20" ht="20.100000000000001" customHeight="1" x14ac:dyDescent="0.25">
      <c r="T34" s="7"/>
    </row>
    <row r="35" spans="1:20" ht="20.100000000000001" customHeight="1" x14ac:dyDescent="0.25">
      <c r="T35" s="7"/>
    </row>
    <row r="36" spans="1:20" ht="20.100000000000001" customHeight="1" x14ac:dyDescent="0.25">
      <c r="D36" s="48" t="s">
        <v>103</v>
      </c>
      <c r="T36" s="7"/>
    </row>
    <row r="37" spans="1:20" ht="20.100000000000001" customHeight="1" x14ac:dyDescent="0.25">
      <c r="D37" s="63" t="s">
        <v>136</v>
      </c>
      <c r="E37" s="63" t="s">
        <v>131</v>
      </c>
      <c r="F37" s="63" t="s">
        <v>130</v>
      </c>
      <c r="G37" s="63" t="s">
        <v>165</v>
      </c>
      <c r="H37" s="63" t="s">
        <v>166</v>
      </c>
      <c r="I37" s="63" t="s">
        <v>167</v>
      </c>
      <c r="J37" s="63" t="s">
        <v>168</v>
      </c>
      <c r="K37" s="63" t="s">
        <v>169</v>
      </c>
      <c r="L37" s="63" t="s">
        <v>170</v>
      </c>
      <c r="M37" s="63" t="s">
        <v>171</v>
      </c>
      <c r="N37" s="63" t="s">
        <v>172</v>
      </c>
      <c r="T37" s="7"/>
    </row>
    <row r="38" spans="1:20" ht="20.100000000000001" customHeight="1" x14ac:dyDescent="0.25">
      <c r="D38" s="1" t="s">
        <v>173</v>
      </c>
      <c r="E38" s="66">
        <v>100</v>
      </c>
      <c r="F38" s="66">
        <v>100</v>
      </c>
      <c r="G38" s="66">
        <v>100</v>
      </c>
      <c r="H38" s="66">
        <v>100</v>
      </c>
      <c r="I38" s="66">
        <v>100</v>
      </c>
      <c r="J38" s="66">
        <v>100</v>
      </c>
      <c r="K38" s="66">
        <v>100</v>
      </c>
      <c r="L38" s="66">
        <v>100</v>
      </c>
      <c r="M38" s="66">
        <v>100</v>
      </c>
      <c r="N38" s="66">
        <v>100</v>
      </c>
      <c r="O38" s="2" t="s">
        <v>103</v>
      </c>
      <c r="T38" s="7"/>
    </row>
    <row r="39" spans="1:20" ht="20.100000000000001" customHeight="1" x14ac:dyDescent="0.25">
      <c r="A39" s="17"/>
      <c r="D39" s="1" t="s">
        <v>174</v>
      </c>
      <c r="E39" s="66">
        <v>100</v>
      </c>
      <c r="F39" s="66">
        <v>100</v>
      </c>
      <c r="G39" s="66">
        <v>100</v>
      </c>
      <c r="H39" s="66">
        <v>100</v>
      </c>
      <c r="I39" s="66">
        <v>100</v>
      </c>
      <c r="J39" s="66">
        <v>100</v>
      </c>
      <c r="K39" s="66">
        <v>100</v>
      </c>
      <c r="L39" s="66">
        <v>100</v>
      </c>
      <c r="M39" s="66">
        <v>100</v>
      </c>
      <c r="N39" s="66">
        <v>100</v>
      </c>
      <c r="O39" s="2" t="s">
        <v>103</v>
      </c>
      <c r="T39" s="7"/>
    </row>
    <row r="40" spans="1:20" ht="20.100000000000001" customHeight="1" x14ac:dyDescent="0.25">
      <c r="D40" s="1" t="s">
        <v>175</v>
      </c>
      <c r="E40" s="66">
        <v>100</v>
      </c>
      <c r="F40" s="66">
        <v>100</v>
      </c>
      <c r="G40" s="66">
        <v>100</v>
      </c>
      <c r="H40" s="66">
        <v>100</v>
      </c>
      <c r="I40" s="66">
        <v>100</v>
      </c>
      <c r="J40" s="66">
        <v>100</v>
      </c>
      <c r="K40" s="66">
        <v>100</v>
      </c>
      <c r="L40" s="66">
        <v>100</v>
      </c>
      <c r="M40" s="66">
        <v>100</v>
      </c>
      <c r="N40" s="66">
        <v>100</v>
      </c>
      <c r="O40" s="2" t="s">
        <v>103</v>
      </c>
      <c r="T40" s="7"/>
    </row>
    <row r="41" spans="1:20" ht="20.100000000000001" customHeight="1" x14ac:dyDescent="0.25">
      <c r="A41" s="44"/>
      <c r="D41" s="1" t="s">
        <v>176</v>
      </c>
      <c r="E41" s="66">
        <v>100</v>
      </c>
      <c r="F41" s="66">
        <v>100</v>
      </c>
      <c r="G41" s="66">
        <v>100</v>
      </c>
      <c r="H41" s="66">
        <v>100</v>
      </c>
      <c r="I41" s="66">
        <v>100</v>
      </c>
      <c r="J41" s="66">
        <v>100</v>
      </c>
      <c r="K41" s="66">
        <v>100</v>
      </c>
      <c r="L41" s="66">
        <v>100</v>
      </c>
      <c r="M41" s="66">
        <v>100</v>
      </c>
      <c r="N41" s="66">
        <v>100</v>
      </c>
      <c r="O41" s="2" t="s">
        <v>103</v>
      </c>
      <c r="T41" s="7"/>
    </row>
    <row r="42" spans="1:20" ht="20.100000000000001" customHeight="1" x14ac:dyDescent="0.25">
      <c r="O42" s="2"/>
      <c r="T42" s="7"/>
    </row>
    <row r="43" spans="1:20" ht="20.100000000000001" customHeight="1" x14ac:dyDescent="0.25">
      <c r="D43" s="63" t="s">
        <v>137</v>
      </c>
      <c r="E43" s="63" t="s">
        <v>131</v>
      </c>
      <c r="F43" s="63" t="s">
        <v>130</v>
      </c>
      <c r="G43" s="63" t="s">
        <v>165</v>
      </c>
      <c r="H43" s="63" t="s">
        <v>166</v>
      </c>
      <c r="I43" s="63" t="s">
        <v>167</v>
      </c>
      <c r="J43" s="63" t="s">
        <v>168</v>
      </c>
      <c r="K43" s="63" t="s">
        <v>169</v>
      </c>
      <c r="L43" s="63" t="s">
        <v>170</v>
      </c>
      <c r="M43" s="63" t="s">
        <v>171</v>
      </c>
      <c r="N43" s="63" t="s">
        <v>172</v>
      </c>
      <c r="O43" s="2"/>
      <c r="T43" s="7"/>
    </row>
    <row r="44" spans="1:20" ht="20.100000000000001" customHeight="1" x14ac:dyDescent="0.25">
      <c r="D44" s="1" t="str">
        <f>TEXT('Input - Site'!$E$12, "mmmm yyyy")</f>
        <v>January 2024</v>
      </c>
      <c r="E44" s="66">
        <v>100</v>
      </c>
      <c r="F44" s="66">
        <v>100</v>
      </c>
      <c r="G44" s="66">
        <v>100</v>
      </c>
      <c r="H44" s="66">
        <v>100</v>
      </c>
      <c r="I44" s="66">
        <v>100</v>
      </c>
      <c r="J44" s="66">
        <v>100</v>
      </c>
      <c r="K44" s="66">
        <v>100</v>
      </c>
      <c r="L44" s="66">
        <v>100</v>
      </c>
      <c r="M44" s="66">
        <v>100</v>
      </c>
      <c r="N44" s="66">
        <v>100</v>
      </c>
      <c r="O44" s="2" t="s">
        <v>103</v>
      </c>
      <c r="T44" s="7"/>
    </row>
    <row r="45" spans="1:20" ht="20.100000000000001" customHeight="1" x14ac:dyDescent="0.25">
      <c r="D45" s="1" t="str">
        <f>TEXT(EDATE('Input - Site'!$E$12,1), "mmmm yyyy")</f>
        <v>February 2024</v>
      </c>
      <c r="E45" s="66">
        <v>100</v>
      </c>
      <c r="F45" s="66">
        <v>100</v>
      </c>
      <c r="G45" s="66">
        <v>100</v>
      </c>
      <c r="H45" s="66">
        <v>100</v>
      </c>
      <c r="I45" s="66">
        <v>100</v>
      </c>
      <c r="J45" s="66">
        <v>100</v>
      </c>
      <c r="K45" s="66">
        <v>100</v>
      </c>
      <c r="L45" s="66">
        <v>100</v>
      </c>
      <c r="M45" s="66">
        <v>100</v>
      </c>
      <c r="N45" s="66">
        <v>100</v>
      </c>
      <c r="O45" s="2" t="s">
        <v>103</v>
      </c>
      <c r="T45" s="7"/>
    </row>
    <row r="46" spans="1:20" ht="20.100000000000001" customHeight="1" x14ac:dyDescent="0.25">
      <c r="D46" s="1" t="str">
        <f>TEXT(EDATE('Input - Site'!$E$12,2), "mmmm yyyy")</f>
        <v>March 2024</v>
      </c>
      <c r="E46" s="66">
        <v>100</v>
      </c>
      <c r="F46" s="66">
        <v>100</v>
      </c>
      <c r="G46" s="66">
        <v>100</v>
      </c>
      <c r="H46" s="66">
        <v>100</v>
      </c>
      <c r="I46" s="66">
        <v>100</v>
      </c>
      <c r="J46" s="66">
        <v>100</v>
      </c>
      <c r="K46" s="66">
        <v>100</v>
      </c>
      <c r="L46" s="66">
        <v>100</v>
      </c>
      <c r="M46" s="66">
        <v>100</v>
      </c>
      <c r="N46" s="66">
        <v>100</v>
      </c>
      <c r="O46" s="2" t="s">
        <v>103</v>
      </c>
      <c r="T46" s="7"/>
    </row>
    <row r="47" spans="1:20" ht="20.100000000000001" customHeight="1" x14ac:dyDescent="0.25">
      <c r="D47" s="1" t="str">
        <f>TEXT(EDATE('Input - Site'!$E$12,3), "mmmm yyyy")</f>
        <v>April 2024</v>
      </c>
      <c r="E47" s="66">
        <v>100</v>
      </c>
      <c r="F47" s="66">
        <v>100</v>
      </c>
      <c r="G47" s="66">
        <v>100</v>
      </c>
      <c r="H47" s="66">
        <v>100</v>
      </c>
      <c r="I47" s="66">
        <v>100</v>
      </c>
      <c r="J47" s="66">
        <v>100</v>
      </c>
      <c r="K47" s="66">
        <v>100</v>
      </c>
      <c r="L47" s="66">
        <v>100</v>
      </c>
      <c r="M47" s="66">
        <v>100</v>
      </c>
      <c r="N47" s="66">
        <v>100</v>
      </c>
      <c r="O47" s="2" t="s">
        <v>103</v>
      </c>
      <c r="T47" s="7"/>
    </row>
    <row r="48" spans="1:20" ht="20.100000000000001" customHeight="1" x14ac:dyDescent="0.25">
      <c r="D48" s="1" t="str">
        <f>TEXT(EDATE('Input - Site'!$E$12,4), "mmmm yyyy")</f>
        <v>May 2024</v>
      </c>
      <c r="E48" s="66">
        <v>100</v>
      </c>
      <c r="F48" s="66">
        <v>100</v>
      </c>
      <c r="G48" s="66">
        <v>100</v>
      </c>
      <c r="H48" s="66">
        <v>100</v>
      </c>
      <c r="I48" s="66">
        <v>100</v>
      </c>
      <c r="J48" s="66">
        <v>100</v>
      </c>
      <c r="K48" s="66">
        <v>100</v>
      </c>
      <c r="L48" s="66">
        <v>100</v>
      </c>
      <c r="M48" s="66">
        <v>100</v>
      </c>
      <c r="N48" s="66">
        <v>100</v>
      </c>
      <c r="O48" s="2" t="s">
        <v>103</v>
      </c>
      <c r="T48" s="7"/>
    </row>
    <row r="49" spans="4:20" ht="20.100000000000001" customHeight="1" x14ac:dyDescent="0.25">
      <c r="D49" s="1" t="str">
        <f>TEXT(EDATE('Input - Site'!$E$12,5), "mmmm yyyy")</f>
        <v>June 2024</v>
      </c>
      <c r="E49" s="66">
        <v>100</v>
      </c>
      <c r="F49" s="66">
        <v>100</v>
      </c>
      <c r="G49" s="66">
        <v>100</v>
      </c>
      <c r="H49" s="66">
        <v>100</v>
      </c>
      <c r="I49" s="66">
        <v>100</v>
      </c>
      <c r="J49" s="66">
        <v>100</v>
      </c>
      <c r="K49" s="66">
        <v>100</v>
      </c>
      <c r="L49" s="66">
        <v>100</v>
      </c>
      <c r="M49" s="66">
        <v>100</v>
      </c>
      <c r="N49" s="66">
        <v>100</v>
      </c>
      <c r="O49" s="2" t="s">
        <v>103</v>
      </c>
      <c r="T49" s="7"/>
    </row>
    <row r="50" spans="4:20" ht="20.100000000000001" customHeight="1" x14ac:dyDescent="0.25">
      <c r="D50" s="1" t="str">
        <f>TEXT(EDATE('Input - Site'!$E$12,6), "mmmm yyyy")</f>
        <v>July 2024</v>
      </c>
      <c r="E50" s="66">
        <v>100</v>
      </c>
      <c r="F50" s="66">
        <v>100</v>
      </c>
      <c r="G50" s="66">
        <v>100</v>
      </c>
      <c r="H50" s="66">
        <v>100</v>
      </c>
      <c r="I50" s="66">
        <v>100</v>
      </c>
      <c r="J50" s="66">
        <v>100</v>
      </c>
      <c r="K50" s="66">
        <v>100</v>
      </c>
      <c r="L50" s="66">
        <v>100</v>
      </c>
      <c r="M50" s="66">
        <v>100</v>
      </c>
      <c r="N50" s="66">
        <v>100</v>
      </c>
      <c r="O50" s="2" t="s">
        <v>103</v>
      </c>
      <c r="P50" s="3"/>
      <c r="T50" s="7"/>
    </row>
    <row r="51" spans="4:20" ht="20.100000000000001" customHeight="1" x14ac:dyDescent="0.25">
      <c r="D51" s="1" t="str">
        <f>TEXT(EDATE('Input - Site'!$E$12,7), "mmmm yyyy")</f>
        <v>August 2024</v>
      </c>
      <c r="E51" s="66">
        <v>100</v>
      </c>
      <c r="F51" s="66">
        <v>100</v>
      </c>
      <c r="G51" s="66">
        <v>100</v>
      </c>
      <c r="H51" s="66">
        <v>100</v>
      </c>
      <c r="I51" s="66">
        <v>100</v>
      </c>
      <c r="J51" s="66">
        <v>100</v>
      </c>
      <c r="K51" s="66">
        <v>100</v>
      </c>
      <c r="L51" s="66">
        <v>100</v>
      </c>
      <c r="M51" s="66">
        <v>100</v>
      </c>
      <c r="N51" s="66">
        <v>100</v>
      </c>
      <c r="O51" s="2" t="s">
        <v>103</v>
      </c>
      <c r="P51" s="3"/>
      <c r="T51" s="7"/>
    </row>
    <row r="52" spans="4:20" ht="20.100000000000001" customHeight="1" x14ac:dyDescent="0.25">
      <c r="D52" s="1" t="str">
        <f>TEXT(EDATE('Input - Site'!$E$12,8), "mmmm yyyy")</f>
        <v>September 2024</v>
      </c>
      <c r="E52" s="66">
        <v>100</v>
      </c>
      <c r="F52" s="66">
        <v>100</v>
      </c>
      <c r="G52" s="66">
        <v>100</v>
      </c>
      <c r="H52" s="66">
        <v>100</v>
      </c>
      <c r="I52" s="66">
        <v>100</v>
      </c>
      <c r="J52" s="66">
        <v>100</v>
      </c>
      <c r="K52" s="66">
        <v>100</v>
      </c>
      <c r="L52" s="66">
        <v>100</v>
      </c>
      <c r="M52" s="66">
        <v>100</v>
      </c>
      <c r="N52" s="66">
        <v>100</v>
      </c>
      <c r="O52" s="2" t="s">
        <v>103</v>
      </c>
      <c r="P52" s="3"/>
      <c r="T52" s="7"/>
    </row>
    <row r="53" spans="4:20" ht="20.100000000000001" customHeight="1" x14ac:dyDescent="0.25">
      <c r="D53" s="1" t="str">
        <f>TEXT(EDATE('Input - Site'!$E$12,9), "mmmm yyyy")</f>
        <v>October 2024</v>
      </c>
      <c r="E53" s="66">
        <v>100</v>
      </c>
      <c r="F53" s="66">
        <v>100</v>
      </c>
      <c r="G53" s="66">
        <v>100</v>
      </c>
      <c r="H53" s="66">
        <v>100</v>
      </c>
      <c r="I53" s="66">
        <v>100</v>
      </c>
      <c r="J53" s="66">
        <v>100</v>
      </c>
      <c r="K53" s="66">
        <v>100</v>
      </c>
      <c r="L53" s="66">
        <v>100</v>
      </c>
      <c r="M53" s="66">
        <v>100</v>
      </c>
      <c r="N53" s="66">
        <v>100</v>
      </c>
      <c r="O53" s="2" t="s">
        <v>103</v>
      </c>
      <c r="P53" s="3"/>
      <c r="T53" s="7"/>
    </row>
    <row r="54" spans="4:20" ht="20.100000000000001" customHeight="1" x14ac:dyDescent="0.25">
      <c r="D54" s="1" t="str">
        <f>TEXT(EDATE('Input - Site'!$E$12,10), "mmmm yyyy")</f>
        <v>November 2024</v>
      </c>
      <c r="E54" s="66">
        <v>100</v>
      </c>
      <c r="F54" s="66">
        <v>100</v>
      </c>
      <c r="G54" s="66">
        <v>100</v>
      </c>
      <c r="H54" s="66">
        <v>100</v>
      </c>
      <c r="I54" s="66">
        <v>100</v>
      </c>
      <c r="J54" s="66">
        <v>100</v>
      </c>
      <c r="K54" s="66">
        <v>100</v>
      </c>
      <c r="L54" s="66">
        <v>100</v>
      </c>
      <c r="M54" s="66">
        <v>100</v>
      </c>
      <c r="N54" s="66">
        <v>100</v>
      </c>
      <c r="O54" s="2" t="s">
        <v>103</v>
      </c>
      <c r="P54" s="3"/>
      <c r="T54" s="7"/>
    </row>
    <row r="55" spans="4:20" ht="20.100000000000001" customHeight="1" x14ac:dyDescent="0.25">
      <c r="D55" s="1" t="str">
        <f>TEXT(EDATE('Input - Site'!$E$12,11), "mmmm yyyy")</f>
        <v>December 2024</v>
      </c>
      <c r="E55" s="66">
        <v>100</v>
      </c>
      <c r="F55" s="66">
        <v>100</v>
      </c>
      <c r="G55" s="66">
        <v>100</v>
      </c>
      <c r="H55" s="66">
        <v>100</v>
      </c>
      <c r="I55" s="66">
        <v>100</v>
      </c>
      <c r="J55" s="66">
        <v>100</v>
      </c>
      <c r="K55" s="66">
        <v>100</v>
      </c>
      <c r="L55" s="66">
        <v>100</v>
      </c>
      <c r="M55" s="66">
        <v>100</v>
      </c>
      <c r="N55" s="66">
        <v>100</v>
      </c>
      <c r="O55" s="2" t="s">
        <v>103</v>
      </c>
      <c r="P55" s="3"/>
      <c r="T55" s="7"/>
    </row>
    <row r="56" spans="4:20" ht="20.100000000000001" customHeight="1" x14ac:dyDescent="0.25">
      <c r="P56" s="3"/>
      <c r="T56" s="7"/>
    </row>
    <row r="57" spans="4:20" ht="20.100000000000001" customHeight="1" x14ac:dyDescent="0.25">
      <c r="P57" s="3"/>
      <c r="T57" s="7"/>
    </row>
    <row r="58" spans="4:20" ht="20.100000000000001" customHeight="1" x14ac:dyDescent="0.25">
      <c r="D58" s="48" t="s">
        <v>140</v>
      </c>
      <c r="P58" s="3"/>
      <c r="T58" s="7"/>
    </row>
    <row r="59" spans="4:20" ht="20.100000000000001" customHeight="1" x14ac:dyDescent="0.25">
      <c r="D59" s="63" t="s">
        <v>179</v>
      </c>
      <c r="E59" s="63" t="s">
        <v>131</v>
      </c>
      <c r="F59" s="63" t="s">
        <v>130</v>
      </c>
      <c r="G59" s="63" t="s">
        <v>165</v>
      </c>
      <c r="H59" s="63" t="s">
        <v>166</v>
      </c>
      <c r="I59" s="63" t="s">
        <v>167</v>
      </c>
      <c r="J59" s="63" t="s">
        <v>168</v>
      </c>
      <c r="K59" s="63" t="s">
        <v>169</v>
      </c>
      <c r="L59" s="63" t="s">
        <v>170</v>
      </c>
      <c r="M59" s="63" t="s">
        <v>171</v>
      </c>
      <c r="N59" s="63" t="s">
        <v>172</v>
      </c>
      <c r="P59" s="3"/>
      <c r="T59" s="7"/>
    </row>
    <row r="60" spans="4:20" ht="20.100000000000001" customHeight="1" x14ac:dyDescent="0.25">
      <c r="D60" s="1" t="s">
        <v>173</v>
      </c>
      <c r="E60" s="52">
        <f>InputFunctions_PastureBeef.LookupLiveweightFromSeason($E$7,$E$8,$D60,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F60" s="52">
        <f>InputFunctions_PastureBeef.LookupLiveweightFromSeason($E$7,$E$8,$D60,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800</v>
      </c>
      <c r="G60" s="52">
        <f>InputFunctions_PastureBeef.LookupLiveweightFromSeason($E$7,$E$8,$D60,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260</v>
      </c>
      <c r="H60" s="52">
        <f>InputFunctions_PastureBeef.LookupLiveweightFromSeason($E$7,$E$8,$D60,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420</v>
      </c>
      <c r="I60" s="52">
        <f>InputFunctions_PastureBeef.LookupLiveweightFromSeason($E$7,$E$8,$D60,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550</v>
      </c>
      <c r="J60" s="52">
        <f>InputFunctions_PastureBeef.LookupLiveweightFromSeason($E$7,$E$8,$D60,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550</v>
      </c>
      <c r="K60" s="52">
        <f>InputFunctions_PastureBeef.LookupLiveweightFromSeason($E$7,$E$8,$D60,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300</v>
      </c>
      <c r="L60" s="52">
        <f>InputFunctions_PastureBeef.LookupLiveweightFromSeason($E$7,$E$8,$D60,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M60" s="52">
        <f>InputFunctions_PastureBeef.LookupLiveweightFromSeason($E$7,$E$8,$D60,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N60" s="52">
        <f>InputFunctions_PastureBeef.LookupLiveweightFromSeason($E$7,$E$8,$D60,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O60" s="2" t="s">
        <v>133</v>
      </c>
      <c r="P60" s="3"/>
      <c r="T60" s="7"/>
    </row>
    <row r="61" spans="4:20" ht="20.100000000000001" customHeight="1" x14ac:dyDescent="0.25">
      <c r="D61" s="1" t="s">
        <v>174</v>
      </c>
      <c r="E61" s="52">
        <f>InputFunctions_PastureBeef.LookupLiveweightFromSeason($E$7,$E$8,$D61,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380</v>
      </c>
      <c r="F61" s="52">
        <f>InputFunctions_PastureBeef.LookupLiveweightFromSeason($E$7,$E$8,$D61,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780</v>
      </c>
      <c r="G61" s="52">
        <f>InputFunctions_PastureBeef.LookupLiveweightFromSeason($E$7,$E$8,$D61,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300</v>
      </c>
      <c r="H61" s="52">
        <f>InputFunctions_PastureBeef.LookupLiveweightFromSeason($E$7,$E$8,$D61,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450</v>
      </c>
      <c r="I61" s="52">
        <f>InputFunctions_PastureBeef.LookupLiveweightFromSeason($E$7,$E$8,$D61,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530</v>
      </c>
      <c r="J61" s="52">
        <f>InputFunctions_PastureBeef.LookupLiveweightFromSeason($E$7,$E$8,$D61,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530</v>
      </c>
      <c r="K61" s="52">
        <f>InputFunctions_PastureBeef.LookupLiveweightFromSeason($E$7,$E$8,$D61,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L61" s="52">
        <f>InputFunctions_PastureBeef.LookupLiveweightFromSeason($E$7,$E$8,$D61,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M61" s="52">
        <f>InputFunctions_PastureBeef.LookupLiveweightFromSeason($E$7,$E$8,$D61,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N61" s="52">
        <f>InputFunctions_PastureBeef.LookupLiveweightFromSeason($E$7,$E$8,$D61,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O61" s="2" t="s">
        <v>133</v>
      </c>
      <c r="P61" s="3"/>
      <c r="T61" s="7"/>
    </row>
    <row r="62" spans="4:20" ht="20.100000000000001" customHeight="1" x14ac:dyDescent="0.25">
      <c r="D62" s="1" t="s">
        <v>175</v>
      </c>
      <c r="E62" s="52">
        <f>InputFunctions_PastureBeef.LookupLiveweightFromSeason($E$7,$E$8,$D62,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100</v>
      </c>
      <c r="F62" s="52">
        <f>InputFunctions_PastureBeef.LookupLiveweightFromSeason($E$7,$E$8,$D62,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680</v>
      </c>
      <c r="G62" s="52">
        <f>InputFunctions_PastureBeef.LookupLiveweightFromSeason($E$7,$E$8,$D62,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80</v>
      </c>
      <c r="H62" s="52">
        <f>InputFunctions_PastureBeef.LookupLiveweightFromSeason($E$7,$E$8,$D62,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320</v>
      </c>
      <c r="I62" s="52">
        <f>InputFunctions_PastureBeef.LookupLiveweightFromSeason($E$7,$E$8,$D62,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J62" s="52">
        <f>InputFunctions_PastureBeef.LookupLiveweightFromSeason($E$7,$E$8,$D62,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K62" s="52">
        <f>InputFunctions_PastureBeef.LookupLiveweightFromSeason($E$7,$E$8,$D62,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100</v>
      </c>
      <c r="L62" s="52">
        <f>InputFunctions_PastureBeef.LookupLiveweightFromSeason($E$7,$E$8,$D62,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M62" s="52">
        <f>InputFunctions_PastureBeef.LookupLiveweightFromSeason($E$7,$E$8,$D62,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N62" s="52">
        <f>InputFunctions_PastureBeef.LookupLiveweightFromSeason($E$7,$E$8,$D62,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O62" s="2" t="s">
        <v>133</v>
      </c>
      <c r="P62" s="3"/>
      <c r="T62" s="7"/>
    </row>
    <row r="63" spans="4:20" ht="20.100000000000001" customHeight="1" x14ac:dyDescent="0.25">
      <c r="D63" s="1" t="s">
        <v>176</v>
      </c>
      <c r="E63" s="52">
        <f>InputFunctions_PastureBeef.LookupLiveweightFromSeason($E$7,$E$8,$D63,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190</v>
      </c>
      <c r="F63" s="52">
        <f>InputFunctions_PastureBeef.LookupLiveweightFromSeason($E$7,$E$8,$D63,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700</v>
      </c>
      <c r="G63" s="52">
        <f>InputFunctions_PastureBeef.LookupLiveweightFromSeason($E$7,$E$8,$D63,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150</v>
      </c>
      <c r="H63" s="52">
        <f>InputFunctions_PastureBeef.LookupLiveweightFromSeason($E$7,$E$8,$D63,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330</v>
      </c>
      <c r="I63" s="52">
        <f>InputFunctions_PastureBeef.LookupLiveweightFromSeason($E$7,$E$8,$D63,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490</v>
      </c>
      <c r="J63" s="52">
        <f>InputFunctions_PastureBeef.LookupLiveweightFromSeason($E$7,$E$8,$D63,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490</v>
      </c>
      <c r="K63" s="52">
        <f>InputFunctions_PastureBeef.LookupLiveweightFromSeason($E$7,$E$8,$D63,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170</v>
      </c>
      <c r="L63" s="52">
        <f>InputFunctions_PastureBeef.LookupLiveweightFromSeason($E$7,$E$8,$D63,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M63" s="52">
        <f>InputFunctions_PastureBeef.LookupLiveweightFromSeason($E$7,$E$8,$D63,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N63" s="52">
        <f>InputFunctions_PastureBeef.LookupLiveweightFromSeason($E$7,$E$8,$D63,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O63" s="2" t="s">
        <v>133</v>
      </c>
      <c r="P63" s="3"/>
      <c r="T63" s="7"/>
    </row>
    <row r="64" spans="4:20" ht="20.100000000000001" customHeight="1" x14ac:dyDescent="0.25">
      <c r="O64" s="2"/>
      <c r="P64" s="3"/>
      <c r="T64" s="7"/>
    </row>
    <row r="65" spans="4:20" ht="20.100000000000001" customHeight="1" x14ac:dyDescent="0.25">
      <c r="D65" s="63" t="s">
        <v>180</v>
      </c>
      <c r="E65" s="63" t="s">
        <v>131</v>
      </c>
      <c r="F65" s="63" t="s">
        <v>130</v>
      </c>
      <c r="G65" s="63" t="s">
        <v>165</v>
      </c>
      <c r="H65" s="63" t="s">
        <v>166</v>
      </c>
      <c r="I65" s="63" t="s">
        <v>167</v>
      </c>
      <c r="J65" s="63" t="s">
        <v>168</v>
      </c>
      <c r="K65" s="63" t="s">
        <v>169</v>
      </c>
      <c r="L65" s="63" t="s">
        <v>170</v>
      </c>
      <c r="M65" s="63" t="s">
        <v>171</v>
      </c>
      <c r="N65" s="63" t="s">
        <v>172</v>
      </c>
      <c r="O65" s="2"/>
      <c r="P65" s="3"/>
      <c r="T65" s="7"/>
    </row>
    <row r="66" spans="4:20" ht="20.100000000000001" customHeight="1" x14ac:dyDescent="0.25">
      <c r="D66" s="1" t="str">
        <f>TEXT('Input - Site'!$E$12, "mmmm yyyy")</f>
        <v>January 2024</v>
      </c>
      <c r="E66" s="66">
        <f>InputFunctions_PastureBeef.LookupLiveweightFromMonth($E$7,$E$8,$D66,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66" s="66">
        <f>InputFunctions_PastureBeef.LookupLiveweightFromMonth($E$7,$E$8,$D66,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66" s="66">
        <f>InputFunctions_PastureBeef.LookupLiveweightFromMonth($E$7,$E$8,$D66,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66" s="66">
        <f>InputFunctions_PastureBeef.LookupLiveweightFromMonth($E$7,$E$8,$D66,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66" s="66">
        <f>InputFunctions_PastureBeef.LookupLiveweightFromMonth($E$7,$E$8,$D66,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66" s="66">
        <f>InputFunctions_PastureBeef.LookupLiveweightFromMonth($E$7,$E$8,$D66,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66" s="66">
        <f>InputFunctions_PastureBeef.LookupLiveweightFromMonth($E$7,$E$8,$D66,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66" s="66">
        <f>InputFunctions_PastureBeef.LookupLiveweightFromMonth($E$7,$E$8,$D66,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66" s="66">
        <f>InputFunctions_PastureBeef.LookupLiveweightFromMonth($E$7,$E$8,$D66,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66" s="66">
        <f>InputFunctions_PastureBeef.LookupLiveweightFromMonth($E$7,$E$8,$D66,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66" s="2" t="s">
        <v>133</v>
      </c>
      <c r="P66" s="3"/>
      <c r="T66" s="7"/>
    </row>
    <row r="67" spans="4:20" ht="20.100000000000001" customHeight="1" x14ac:dyDescent="0.25">
      <c r="D67" s="1" t="str">
        <f>TEXT(EDATE('Input - Site'!$E$12,1), "mmmm yyyy")</f>
        <v>February 2024</v>
      </c>
      <c r="E67" s="66">
        <f>InputFunctions_PastureBeef.LookupLiveweightFromMonth($E$7,$E$8,$D67,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67" s="66">
        <f>InputFunctions_PastureBeef.LookupLiveweightFromMonth($E$7,$E$8,$D67,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67" s="66">
        <f>InputFunctions_PastureBeef.LookupLiveweightFromMonth($E$7,$E$8,$D67,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67" s="66">
        <f>InputFunctions_PastureBeef.LookupLiveweightFromMonth($E$7,$E$8,$D67,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67" s="66">
        <f>InputFunctions_PastureBeef.LookupLiveweightFromMonth($E$7,$E$8,$D67,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67" s="66">
        <f>InputFunctions_PastureBeef.LookupLiveweightFromMonth($E$7,$E$8,$D67,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67" s="66">
        <f>InputFunctions_PastureBeef.LookupLiveweightFromMonth($E$7,$E$8,$D67,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67" s="66">
        <f>InputFunctions_PastureBeef.LookupLiveweightFromMonth($E$7,$E$8,$D67,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67" s="66">
        <f>InputFunctions_PastureBeef.LookupLiveweightFromMonth($E$7,$E$8,$D67,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67" s="66">
        <f>InputFunctions_PastureBeef.LookupLiveweightFromMonth($E$7,$E$8,$D67,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67" s="2" t="s">
        <v>133</v>
      </c>
      <c r="P67" s="3"/>
      <c r="T67" s="7"/>
    </row>
    <row r="68" spans="4:20" ht="20.100000000000001" customHeight="1" x14ac:dyDescent="0.25">
      <c r="D68" s="1" t="str">
        <f>TEXT(EDATE('Input - Site'!$E$12,2), "mmmm yyyy")</f>
        <v>March 2024</v>
      </c>
      <c r="E68" s="66">
        <f>InputFunctions_PastureBeef.LookupLiveweightFromMonth($E$7,$E$8,$D68,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68" s="66">
        <f>InputFunctions_PastureBeef.LookupLiveweightFromMonth($E$7,$E$8,$D68,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68" s="66">
        <f>InputFunctions_PastureBeef.LookupLiveweightFromMonth($E$7,$E$8,$D68,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68" s="66">
        <f>InputFunctions_PastureBeef.LookupLiveweightFromMonth($E$7,$E$8,$D68,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68" s="66">
        <f>InputFunctions_PastureBeef.LookupLiveweightFromMonth($E$7,$E$8,$D68,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68" s="66">
        <f>InputFunctions_PastureBeef.LookupLiveweightFromMonth($E$7,$E$8,$D68,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68" s="66">
        <f>InputFunctions_PastureBeef.LookupLiveweightFromMonth($E$7,$E$8,$D68,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68" s="66">
        <f>InputFunctions_PastureBeef.LookupLiveweightFromMonth($E$7,$E$8,$D68,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68" s="66">
        <f>InputFunctions_PastureBeef.LookupLiveweightFromMonth($E$7,$E$8,$D68,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68" s="66">
        <f>InputFunctions_PastureBeef.LookupLiveweightFromMonth($E$7,$E$8,$D68,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68" s="2" t="s">
        <v>133</v>
      </c>
      <c r="P68" s="3"/>
      <c r="T68" s="7"/>
    </row>
    <row r="69" spans="4:20" ht="20.100000000000001" customHeight="1" x14ac:dyDescent="0.25">
      <c r="D69" s="1" t="str">
        <f>TEXT(EDATE('Input - Site'!$E$12,3), "mmmm yyyy")</f>
        <v>April 2024</v>
      </c>
      <c r="E69" s="66">
        <f>InputFunctions_PastureBeef.LookupLiveweightFromMonth($E$7,$E$8,$D69,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69" s="66">
        <f>InputFunctions_PastureBeef.LookupLiveweightFromMonth($E$7,$E$8,$D69,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69" s="66">
        <f>InputFunctions_PastureBeef.LookupLiveweightFromMonth($E$7,$E$8,$D69,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69" s="66">
        <f>InputFunctions_PastureBeef.LookupLiveweightFromMonth($E$7,$E$8,$D69,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69" s="66">
        <f>InputFunctions_PastureBeef.LookupLiveweightFromMonth($E$7,$E$8,$D69,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69" s="66">
        <f>InputFunctions_PastureBeef.LookupLiveweightFromMonth($E$7,$E$8,$D69,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69" s="66">
        <f>InputFunctions_PastureBeef.LookupLiveweightFromMonth($E$7,$E$8,$D69,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69" s="66">
        <f>InputFunctions_PastureBeef.LookupLiveweightFromMonth($E$7,$E$8,$D69,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69" s="66">
        <f>InputFunctions_PastureBeef.LookupLiveweightFromMonth($E$7,$E$8,$D69,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69" s="66">
        <f>InputFunctions_PastureBeef.LookupLiveweightFromMonth($E$7,$E$8,$D69,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69" s="2" t="s">
        <v>133</v>
      </c>
      <c r="P69" s="3"/>
      <c r="T69" s="7"/>
    </row>
    <row r="70" spans="4:20" ht="20.100000000000001" customHeight="1" x14ac:dyDescent="0.25">
      <c r="D70" s="1" t="str">
        <f>TEXT(EDATE('Input - Site'!$E$12,4), "mmmm yyyy")</f>
        <v>May 2024</v>
      </c>
      <c r="E70" s="66">
        <f>InputFunctions_PastureBeef.LookupLiveweightFromMonth($E$7,$E$8,$D70,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70" s="66">
        <f>InputFunctions_PastureBeef.LookupLiveweightFromMonth($E$7,$E$8,$D70,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70" s="66">
        <f>InputFunctions_PastureBeef.LookupLiveweightFromMonth($E$7,$E$8,$D70,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70" s="66">
        <f>InputFunctions_PastureBeef.LookupLiveweightFromMonth($E$7,$E$8,$D70,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70" s="66">
        <f>InputFunctions_PastureBeef.LookupLiveweightFromMonth($E$7,$E$8,$D70,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70" s="66">
        <f>InputFunctions_PastureBeef.LookupLiveweightFromMonth($E$7,$E$8,$D70,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70" s="66">
        <f>InputFunctions_PastureBeef.LookupLiveweightFromMonth($E$7,$E$8,$D70,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70" s="66">
        <f>InputFunctions_PastureBeef.LookupLiveweightFromMonth($E$7,$E$8,$D70,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70" s="66">
        <f>InputFunctions_PastureBeef.LookupLiveweightFromMonth($E$7,$E$8,$D70,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70" s="66">
        <f>InputFunctions_PastureBeef.LookupLiveweightFromMonth($E$7,$E$8,$D70,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70" s="2" t="s">
        <v>133</v>
      </c>
      <c r="P70" s="3"/>
      <c r="T70" s="7"/>
    </row>
    <row r="71" spans="4:20" ht="20.100000000000001" customHeight="1" x14ac:dyDescent="0.25">
      <c r="D71" s="1" t="str">
        <f>TEXT(EDATE('Input - Site'!$E$12,5), "mmmm yyyy")</f>
        <v>June 2024</v>
      </c>
      <c r="E71" s="66">
        <f>InputFunctions_PastureBeef.LookupLiveweightFromMonth($E$7,$E$8,$D71,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1" s="66">
        <f>InputFunctions_PastureBeef.LookupLiveweightFromMonth($E$7,$E$8,$D71,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1" s="66">
        <f>InputFunctions_PastureBeef.LookupLiveweightFromMonth($E$7,$E$8,$D71,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1" s="66">
        <f>InputFunctions_PastureBeef.LookupLiveweightFromMonth($E$7,$E$8,$D71,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1" s="66">
        <f>InputFunctions_PastureBeef.LookupLiveweightFromMonth($E$7,$E$8,$D71,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1" s="66">
        <f>InputFunctions_PastureBeef.LookupLiveweightFromMonth($E$7,$E$8,$D71,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1" s="66">
        <f>InputFunctions_PastureBeef.LookupLiveweightFromMonth($E$7,$E$8,$D71,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1" s="66">
        <f>InputFunctions_PastureBeef.LookupLiveweightFromMonth($E$7,$E$8,$D71,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1" s="66">
        <f>InputFunctions_PastureBeef.LookupLiveweightFromMonth($E$7,$E$8,$D71,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1" s="66">
        <f>InputFunctions_PastureBeef.LookupLiveweightFromMonth($E$7,$E$8,$D71,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1" s="2" t="s">
        <v>133</v>
      </c>
      <c r="P71" s="3"/>
      <c r="T71" s="7"/>
    </row>
    <row r="72" spans="4:20" ht="20.100000000000001" customHeight="1" x14ac:dyDescent="0.25">
      <c r="D72" s="1" t="str">
        <f>TEXT(EDATE('Input - Site'!$E$12,6), "mmmm yyyy")</f>
        <v>July 2024</v>
      </c>
      <c r="E72" s="66">
        <f>InputFunctions_PastureBeef.LookupLiveweightFromMonth($E$7,$E$8,$D72,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2" s="66">
        <f>InputFunctions_PastureBeef.LookupLiveweightFromMonth($E$7,$E$8,$D72,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2" s="66">
        <f>InputFunctions_PastureBeef.LookupLiveweightFromMonth($E$7,$E$8,$D72,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2" s="66">
        <f>InputFunctions_PastureBeef.LookupLiveweightFromMonth($E$7,$E$8,$D72,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2" s="66">
        <f>InputFunctions_PastureBeef.LookupLiveweightFromMonth($E$7,$E$8,$D72,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2" s="66">
        <f>InputFunctions_PastureBeef.LookupLiveweightFromMonth($E$7,$E$8,$D72,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2" s="66">
        <f>InputFunctions_PastureBeef.LookupLiveweightFromMonth($E$7,$E$8,$D72,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2" s="66">
        <f>InputFunctions_PastureBeef.LookupLiveweightFromMonth($E$7,$E$8,$D72,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2" s="66">
        <f>InputFunctions_PastureBeef.LookupLiveweightFromMonth($E$7,$E$8,$D72,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2" s="66">
        <f>InputFunctions_PastureBeef.LookupLiveweightFromMonth($E$7,$E$8,$D72,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2" s="2" t="s">
        <v>133</v>
      </c>
      <c r="T72" s="7"/>
    </row>
    <row r="73" spans="4:20" ht="20.100000000000001" customHeight="1" x14ac:dyDescent="0.25">
      <c r="D73" s="1" t="str">
        <f>TEXT(EDATE('Input - Site'!$E$12,7), "mmmm yyyy")</f>
        <v>August 2024</v>
      </c>
      <c r="E73" s="66">
        <f>InputFunctions_PastureBeef.LookupLiveweightFromMonth($E$7,$E$8,$D73,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3" s="66">
        <f>InputFunctions_PastureBeef.LookupLiveweightFromMonth($E$7,$E$8,$D73,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3" s="66">
        <f>InputFunctions_PastureBeef.LookupLiveweightFromMonth($E$7,$E$8,$D73,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3" s="66">
        <f>InputFunctions_PastureBeef.LookupLiveweightFromMonth($E$7,$E$8,$D73,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3" s="66">
        <f>InputFunctions_PastureBeef.LookupLiveweightFromMonth($E$7,$E$8,$D73,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3" s="66">
        <f>InputFunctions_PastureBeef.LookupLiveweightFromMonth($E$7,$E$8,$D73,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3" s="66">
        <f>InputFunctions_PastureBeef.LookupLiveweightFromMonth($E$7,$E$8,$D73,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3" s="66">
        <f>InputFunctions_PastureBeef.LookupLiveweightFromMonth($E$7,$E$8,$D73,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3" s="66">
        <f>InputFunctions_PastureBeef.LookupLiveweightFromMonth($E$7,$E$8,$D73,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3" s="66">
        <f>InputFunctions_PastureBeef.LookupLiveweightFromMonth($E$7,$E$8,$D73,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3" s="2" t="s">
        <v>133</v>
      </c>
      <c r="T73" s="7"/>
    </row>
    <row r="74" spans="4:20" ht="20.100000000000001" customHeight="1" x14ac:dyDescent="0.25">
      <c r="D74" s="1" t="str">
        <f>TEXT(EDATE('Input - Site'!$E$12,8), "mmmm yyyy")</f>
        <v>September 2024</v>
      </c>
      <c r="E74" s="66">
        <f>InputFunctions_PastureBeef.LookupLiveweightFromMonth($E$7,$E$8,$D74,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4" s="66">
        <f>InputFunctions_PastureBeef.LookupLiveweightFromMonth($E$7,$E$8,$D74,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4" s="66">
        <f>InputFunctions_PastureBeef.LookupLiveweightFromMonth($E$7,$E$8,$D74,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4" s="66">
        <f>InputFunctions_PastureBeef.LookupLiveweightFromMonth($E$7,$E$8,$D74,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4" s="66">
        <f>InputFunctions_PastureBeef.LookupLiveweightFromMonth($E$7,$E$8,$D74,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4" s="66">
        <f>InputFunctions_PastureBeef.LookupLiveweightFromMonth($E$7,$E$8,$D74,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4" s="66">
        <f>InputFunctions_PastureBeef.LookupLiveweightFromMonth($E$7,$E$8,$D74,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4" s="66">
        <f>InputFunctions_PastureBeef.LookupLiveweightFromMonth($E$7,$E$8,$D74,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4" s="66">
        <f>InputFunctions_PastureBeef.LookupLiveweightFromMonth($E$7,$E$8,$D74,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4" s="66">
        <f>InputFunctions_PastureBeef.LookupLiveweightFromMonth($E$7,$E$8,$D74,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4" s="2" t="s">
        <v>133</v>
      </c>
      <c r="T74" s="7"/>
    </row>
    <row r="75" spans="4:20" ht="20.100000000000001" customHeight="1" x14ac:dyDescent="0.25">
      <c r="D75" s="1" t="str">
        <f>TEXT(EDATE('Input - Site'!$E$12,9), "mmmm yyyy")</f>
        <v>October 2024</v>
      </c>
      <c r="E75" s="66">
        <f>InputFunctions_PastureBeef.LookupLiveweightFromMonth($E$7,$E$8,$D75,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5" s="66">
        <f>InputFunctions_PastureBeef.LookupLiveweightFromMonth($E$7,$E$8,$D75,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5" s="66">
        <f>InputFunctions_PastureBeef.LookupLiveweightFromMonth($E$7,$E$8,$D75,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5" s="66">
        <f>InputFunctions_PastureBeef.LookupLiveweightFromMonth($E$7,$E$8,$D75,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5" s="66">
        <f>InputFunctions_PastureBeef.LookupLiveweightFromMonth($E$7,$E$8,$D75,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5" s="66">
        <f>InputFunctions_PastureBeef.LookupLiveweightFromMonth($E$7,$E$8,$D75,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5" s="66">
        <f>InputFunctions_PastureBeef.LookupLiveweightFromMonth($E$7,$E$8,$D75,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5" s="66">
        <f>InputFunctions_PastureBeef.LookupLiveweightFromMonth($E$7,$E$8,$D75,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5" s="66">
        <f>InputFunctions_PastureBeef.LookupLiveweightFromMonth($E$7,$E$8,$D75,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5" s="66">
        <f>InputFunctions_PastureBeef.LookupLiveweightFromMonth($E$7,$E$8,$D75,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5" s="2" t="s">
        <v>133</v>
      </c>
      <c r="T75" s="7"/>
    </row>
    <row r="76" spans="4:20" ht="20.100000000000001" customHeight="1" x14ac:dyDescent="0.25">
      <c r="D76" s="1" t="str">
        <f>TEXT(EDATE('Input - Site'!$E$12,10), "mmmm yyyy")</f>
        <v>November 2024</v>
      </c>
      <c r="E76" s="66">
        <f>InputFunctions_PastureBeef.LookupLiveweightFromMonth($E$7,$E$8,$D76,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6" s="66">
        <f>InputFunctions_PastureBeef.LookupLiveweightFromMonth($E$7,$E$8,$D76,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6" s="66">
        <f>InputFunctions_PastureBeef.LookupLiveweightFromMonth($E$7,$E$8,$D76,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6" s="66">
        <f>InputFunctions_PastureBeef.LookupLiveweightFromMonth($E$7,$E$8,$D76,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6" s="66">
        <f>InputFunctions_PastureBeef.LookupLiveweightFromMonth($E$7,$E$8,$D76,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6" s="66">
        <f>InputFunctions_PastureBeef.LookupLiveweightFromMonth($E$7,$E$8,$D76,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6" s="66">
        <f>InputFunctions_PastureBeef.LookupLiveweightFromMonth($E$7,$E$8,$D76,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6" s="66">
        <f>InputFunctions_PastureBeef.LookupLiveweightFromMonth($E$7,$E$8,$D76,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6" s="66">
        <f>InputFunctions_PastureBeef.LookupLiveweightFromMonth($E$7,$E$8,$D76,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6" s="66">
        <f>InputFunctions_PastureBeef.LookupLiveweightFromMonth($E$7,$E$8,$D76,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6" s="2" t="s">
        <v>133</v>
      </c>
      <c r="T76" s="7"/>
    </row>
    <row r="77" spans="4:20" ht="20.100000000000001" customHeight="1" x14ac:dyDescent="0.25">
      <c r="D77" s="1" t="str">
        <f>TEXT(EDATE('Input - Site'!$E$12,11), "mmmm yyyy")</f>
        <v>December 2024</v>
      </c>
      <c r="E77" s="66">
        <f>InputFunctions_PastureBeef.LookupLiveweightFromMonth($E$7,$E$8,$D77,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77" s="66">
        <f>InputFunctions_PastureBeef.LookupLiveweightFromMonth($E$7,$E$8,$D77,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77" s="66">
        <f>InputFunctions_PastureBeef.LookupLiveweightFromMonth($E$7,$E$8,$D77,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77" s="66">
        <f>InputFunctions_PastureBeef.LookupLiveweightFromMonth($E$7,$E$8,$D77,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77" s="66">
        <f>InputFunctions_PastureBeef.LookupLiveweightFromMonth($E$7,$E$8,$D77,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77" s="66">
        <f>InputFunctions_PastureBeef.LookupLiveweightFromMonth($E$7,$E$8,$D77,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77" s="66">
        <f>InputFunctions_PastureBeef.LookupLiveweightFromMonth($E$7,$E$8,$D77,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77" s="66">
        <f>InputFunctions_PastureBeef.LookupLiveweightFromMonth($E$7,$E$8,$D77,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77" s="66">
        <f>InputFunctions_PastureBeef.LookupLiveweightFromMonth($E$7,$E$8,$D77,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77" s="66">
        <f>InputFunctions_PastureBeef.LookupLiveweightFromMonth($E$7,$E$8,$D77,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77" s="2" t="s">
        <v>133</v>
      </c>
      <c r="T77" s="7"/>
    </row>
    <row r="78" spans="4:20" ht="20.100000000000001" customHeight="1" x14ac:dyDescent="0.25">
      <c r="T78" s="7"/>
    </row>
    <row r="79" spans="4:20" ht="20.100000000000001" customHeight="1" x14ac:dyDescent="0.25">
      <c r="T79" s="7"/>
    </row>
    <row r="80" spans="4:20" ht="20.100000000000001" customHeight="1" x14ac:dyDescent="0.25">
      <c r="D80" s="48" t="s">
        <v>177</v>
      </c>
      <c r="T80" s="7"/>
    </row>
    <row r="81" spans="4:20" ht="20.100000000000001" customHeight="1" x14ac:dyDescent="0.25">
      <c r="D81" s="63" t="s">
        <v>179</v>
      </c>
      <c r="E81" s="63" t="s">
        <v>131</v>
      </c>
      <c r="F81" s="63" t="s">
        <v>130</v>
      </c>
      <c r="G81" s="63" t="s">
        <v>165</v>
      </c>
      <c r="H81" s="63" t="s">
        <v>166</v>
      </c>
      <c r="I81" s="63" t="s">
        <v>167</v>
      </c>
      <c r="J81" s="63" t="s">
        <v>168</v>
      </c>
      <c r="K81" s="63" t="s">
        <v>169</v>
      </c>
      <c r="L81" s="63" t="s">
        <v>170</v>
      </c>
      <c r="M81" s="63" t="s">
        <v>171</v>
      </c>
      <c r="N81" s="63" t="s">
        <v>172</v>
      </c>
      <c r="T81" s="7"/>
    </row>
    <row r="82" spans="4:20" ht="20.100000000000001" customHeight="1" x14ac:dyDescent="0.25">
      <c r="D82" s="1" t="s">
        <v>173</v>
      </c>
      <c r="E82" s="52">
        <f>InputFunctions_PastureBeef.LookupLiveweightFromSeason($E$7,$E$8,$D82,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1.64</v>
      </c>
      <c r="F82" s="52">
        <f>InputFunctions_PastureBeef.LookupLiveweightFromSeason($E$7,$E$8,$D82,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G82" s="52">
        <f>InputFunctions_PastureBeef.LookupLiveweightFromSeason($E$7,$E$8,$D82,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1.21</v>
      </c>
      <c r="H82" s="52">
        <f>InputFunctions_PastureBeef.LookupLiveweightFromSeason($E$7,$E$8,$D82,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0.99</v>
      </c>
      <c r="I82" s="52">
        <f>InputFunctions_PastureBeef.LookupLiveweightFromSeason($E$7,$E$8,$D82,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0.66</v>
      </c>
      <c r="J82" s="52">
        <f>InputFunctions_PastureBeef.LookupLiveweightFromSeason($E$7,$E$8,$D82,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0.66</v>
      </c>
      <c r="K82" s="52">
        <f>InputFunctions_PastureBeef.LookupLiveweightFromSeason($E$7,$E$8,$D82,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1.42</v>
      </c>
      <c r="L82" s="52">
        <f>InputFunctions_PastureBeef.LookupLiveweightFromSeason($E$7,$E$8,$D82,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M82" s="52">
        <f>InputFunctions_PastureBeef.LookupLiveweightFromSeason($E$7,$E$8,$D82,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N82" s="52">
        <f>InputFunctions_PastureBeef.LookupLiveweightFromSeason($E$7,$E$8,$D82,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O82" s="2" t="s">
        <v>134</v>
      </c>
      <c r="T82" s="7"/>
    </row>
    <row r="83" spans="4:20" ht="20.100000000000001" customHeight="1" x14ac:dyDescent="0.25">
      <c r="D83" s="1" t="s">
        <v>174</v>
      </c>
      <c r="E83" s="52">
        <f>InputFunctions_PastureBeef.LookupLiveweightFromSeason($E$7,$E$8,$D83,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F83" s="52">
        <f>InputFunctions_PastureBeef.LookupLiveweightFromSeason($E$7,$E$8,$D83,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G83" s="52">
        <f>InputFunctions_PastureBeef.LookupLiveweightFromSeason($E$7,$E$8,$D83,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H83" s="52">
        <f>InputFunctions_PastureBeef.LookupLiveweightFromSeason($E$7,$E$8,$D83,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0.33</v>
      </c>
      <c r="I83" s="52">
        <f>InputFunctions_PastureBeef.LookupLiveweightFromSeason($E$7,$E$8,$D83,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J83" s="52">
        <f>InputFunctions_PastureBeef.LookupLiveweightFromSeason($E$7,$E$8,$D83,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K83" s="52">
        <f>InputFunctions_PastureBeef.LookupLiveweightFromSeason($E$7,$E$8,$D83,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L83" s="52">
        <f>InputFunctions_PastureBeef.LookupLiveweightFromSeason($E$7,$E$8,$D83,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M83" s="52">
        <f>InputFunctions_PastureBeef.LookupLiveweightFromSeason($E$7,$E$8,$D83,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N83" s="52">
        <f>InputFunctions_PastureBeef.LookupLiveweightFromSeason($E$7,$E$8,$D83,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O83" s="2" t="s">
        <v>134</v>
      </c>
      <c r="T83" s="7"/>
    </row>
    <row r="84" spans="4:20" ht="20.100000000000001" customHeight="1" x14ac:dyDescent="0.25">
      <c r="D84" s="1" t="s">
        <v>175</v>
      </c>
      <c r="E84" s="52">
        <f>InputFunctions_PastureBeef.LookupLiveweightFromSeason($E$7,$E$8,$D84,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F84" s="52">
        <f>InputFunctions_PastureBeef.LookupLiveweightFromSeason($E$7,$E$8,$D84,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G84" s="52">
        <f>InputFunctions_PastureBeef.LookupLiveweightFromSeason($E$7,$E$8,$D84,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H84" s="52">
        <f>InputFunctions_PastureBeef.LookupLiveweightFromSeason($E$7,$E$8,$D84,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I84" s="52">
        <f>InputFunctions_PastureBeef.LookupLiveweightFromSeason($E$7,$E$8,$D84,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-0.55000000000000004</v>
      </c>
      <c r="J84" s="52">
        <f>InputFunctions_PastureBeef.LookupLiveweightFromSeason($E$7,$E$8,$D84,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-0.55000000000000004</v>
      </c>
      <c r="K84" s="52">
        <f>InputFunctions_PastureBeef.LookupLiveweightFromSeason($E$7,$E$8,$D84,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L84" s="52">
        <f>InputFunctions_PastureBeef.LookupLiveweightFromSeason($E$7,$E$8,$D84,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M84" s="52">
        <f>InputFunctions_PastureBeef.LookupLiveweightFromSeason($E$7,$E$8,$D84,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N84" s="52">
        <f>InputFunctions_PastureBeef.LookupLiveweightFromSeason($E$7,$E$8,$D84,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O84" s="2" t="s">
        <v>134</v>
      </c>
      <c r="T84" s="7"/>
    </row>
    <row r="85" spans="4:20" ht="20.100000000000001" customHeight="1" x14ac:dyDescent="0.25">
      <c r="D85" s="1" t="s">
        <v>176</v>
      </c>
      <c r="E85" s="52">
        <f>InputFunctions_PastureBeef.LookupLiveweightFromSeason($E$7,$E$8,$D85,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0.99</v>
      </c>
      <c r="F85" s="52">
        <f>InputFunctions_PastureBeef.LookupLiveweightFromSeason($E$7,$E$8,$D85,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G85" s="52">
        <f>InputFunctions_PastureBeef.LookupLiveweightFromSeason($E$7,$E$8,$D85,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0.77</v>
      </c>
      <c r="H85" s="52">
        <f>InputFunctions_PastureBeef.LookupLiveweightFromSeason($E$7,$E$8,$D85,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I85" s="52">
        <f>InputFunctions_PastureBeef.LookupLiveweightFromSeason($E$7,$E$8,$D85,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J85" s="52">
        <f>InputFunctions_PastureBeef.LookupLiveweightFromSeason($E$7,$E$8,$D85,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K85" s="52">
        <f>InputFunctions_PastureBeef.LookupLiveweightFromSeason($E$7,$E$8,$D85,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0.77</v>
      </c>
      <c r="L85" s="52">
        <f>InputFunctions_PastureBeef.LookupLiveweightFromSeason($E$7,$E$8,$D85,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M85" s="52">
        <f>InputFunctions_PastureBeef.LookupLiveweightFromSeason($E$7,$E$8,$D85,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N85" s="52">
        <f>InputFunctions_PastureBeef.LookupLiveweightFromSeason($E$7,$E$8,$D85,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O85" s="2" t="s">
        <v>134</v>
      </c>
      <c r="T85" s="7"/>
    </row>
    <row r="86" spans="4:20" ht="20.100000000000001" customHeight="1" x14ac:dyDescent="0.25">
      <c r="O86" s="2"/>
      <c r="T86" s="7"/>
    </row>
    <row r="87" spans="4:20" ht="20.100000000000001" customHeight="1" x14ac:dyDescent="0.25">
      <c r="D87" s="63" t="s">
        <v>180</v>
      </c>
      <c r="E87" s="63" t="s">
        <v>131</v>
      </c>
      <c r="F87" s="63" t="s">
        <v>130</v>
      </c>
      <c r="G87" s="63" t="s">
        <v>165</v>
      </c>
      <c r="H87" s="63" t="s">
        <v>166</v>
      </c>
      <c r="I87" s="63" t="s">
        <v>167</v>
      </c>
      <c r="J87" s="63" t="s">
        <v>168</v>
      </c>
      <c r="K87" s="63" t="s">
        <v>169</v>
      </c>
      <c r="L87" s="63" t="s">
        <v>170</v>
      </c>
      <c r="M87" s="63" t="s">
        <v>171</v>
      </c>
      <c r="N87" s="63" t="s">
        <v>172</v>
      </c>
      <c r="O87" s="2"/>
      <c r="T87" s="7"/>
    </row>
    <row r="88" spans="4:20" ht="20.100000000000001" customHeight="1" x14ac:dyDescent="0.25">
      <c r="D88" s="1" t="str">
        <f>TEXT('Input - Site'!$E$12, "mmmm yyyy")</f>
        <v>January 2024</v>
      </c>
      <c r="E88" s="66">
        <f>InputFunctions_PastureBeef.LookupLiveweightFromMonth($E$7,$E$8,$D88,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88" s="66">
        <f>InputFunctions_PastureBeef.LookupLiveweightFromMonth($E$7,$E$8,$D88,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88" s="66">
        <f>InputFunctions_PastureBeef.LookupLiveweightFromMonth($E$7,$E$8,$D88,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88" s="66">
        <f>InputFunctions_PastureBeef.LookupLiveweightFromMonth($E$7,$E$8,$D88,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88" s="66">
        <f>InputFunctions_PastureBeef.LookupLiveweightFromMonth($E$7,$E$8,$D88,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88" s="66">
        <f>InputFunctions_PastureBeef.LookupLiveweightFromMonth($E$7,$E$8,$D88,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88" s="66">
        <f>InputFunctions_PastureBeef.LookupLiveweightFromMonth($E$7,$E$8,$D88,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88" s="66">
        <f>InputFunctions_PastureBeef.LookupLiveweightFromMonth($E$7,$E$8,$D88,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88" s="66">
        <f>InputFunctions_PastureBeef.LookupLiveweightFromMonth($E$7,$E$8,$D88,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88" s="66">
        <f>InputFunctions_PastureBeef.LookupLiveweightFromMonth($E$7,$E$8,$D88,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88" s="2" t="s">
        <v>134</v>
      </c>
      <c r="T88" s="7"/>
    </row>
    <row r="89" spans="4:20" ht="20.100000000000001" customHeight="1" x14ac:dyDescent="0.25">
      <c r="D89" s="1" t="str">
        <f>TEXT(EDATE('Input - Site'!$E$12,1), "mmmm yyyy")</f>
        <v>February 2024</v>
      </c>
      <c r="E89" s="66">
        <f>InputFunctions_PastureBeef.LookupLiveweightFromMonth($E$7,$E$8,$D89,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89" s="66">
        <f>InputFunctions_PastureBeef.LookupLiveweightFromMonth($E$7,$E$8,$D89,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89" s="66">
        <f>InputFunctions_PastureBeef.LookupLiveweightFromMonth($E$7,$E$8,$D89,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89" s="66">
        <f>InputFunctions_PastureBeef.LookupLiveweightFromMonth($E$7,$E$8,$D89,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89" s="66">
        <f>InputFunctions_PastureBeef.LookupLiveweightFromMonth($E$7,$E$8,$D89,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89" s="66">
        <f>InputFunctions_PastureBeef.LookupLiveweightFromMonth($E$7,$E$8,$D89,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89" s="66">
        <f>InputFunctions_PastureBeef.LookupLiveweightFromMonth($E$7,$E$8,$D89,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89" s="66">
        <f>InputFunctions_PastureBeef.LookupLiveweightFromMonth($E$7,$E$8,$D89,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89" s="66">
        <f>InputFunctions_PastureBeef.LookupLiveweightFromMonth($E$7,$E$8,$D89,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89" s="66">
        <f>InputFunctions_PastureBeef.LookupLiveweightFromMonth($E$7,$E$8,$D89,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89" s="2" t="s">
        <v>134</v>
      </c>
      <c r="T89" s="7"/>
    </row>
    <row r="90" spans="4:20" ht="20.100000000000001" customHeight="1" x14ac:dyDescent="0.25">
      <c r="D90" s="1" t="str">
        <f>TEXT(EDATE('Input - Site'!$E$12,2), "mmmm yyyy")</f>
        <v>March 2024</v>
      </c>
      <c r="E90" s="66">
        <f>InputFunctions_PastureBeef.LookupLiveweightFromMonth($E$7,$E$8,$D90,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0" s="66">
        <f>InputFunctions_PastureBeef.LookupLiveweightFromMonth($E$7,$E$8,$D90,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0" s="66">
        <f>InputFunctions_PastureBeef.LookupLiveweightFromMonth($E$7,$E$8,$D90,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0" s="66">
        <f>InputFunctions_PastureBeef.LookupLiveweightFromMonth($E$7,$E$8,$D90,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0" s="66">
        <f>InputFunctions_PastureBeef.LookupLiveweightFromMonth($E$7,$E$8,$D90,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0" s="66">
        <f>InputFunctions_PastureBeef.LookupLiveweightFromMonth($E$7,$E$8,$D90,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0" s="66">
        <f>InputFunctions_PastureBeef.LookupLiveweightFromMonth($E$7,$E$8,$D90,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0" s="66">
        <f>InputFunctions_PastureBeef.LookupLiveweightFromMonth($E$7,$E$8,$D90,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0" s="66">
        <f>InputFunctions_PastureBeef.LookupLiveweightFromMonth($E$7,$E$8,$D90,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0" s="66">
        <f>InputFunctions_PastureBeef.LookupLiveweightFromMonth($E$7,$E$8,$D90,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0" s="2" t="s">
        <v>134</v>
      </c>
      <c r="T90" s="7"/>
    </row>
    <row r="91" spans="4:20" ht="20.100000000000001" customHeight="1" x14ac:dyDescent="0.25">
      <c r="D91" s="1" t="str">
        <f>TEXT(EDATE('Input - Site'!$E$12,3), "mmmm yyyy")</f>
        <v>April 2024</v>
      </c>
      <c r="E91" s="66">
        <f>InputFunctions_PastureBeef.LookupLiveweightFromMonth($E$7,$E$8,$D91,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1" s="66">
        <f>InputFunctions_PastureBeef.LookupLiveweightFromMonth($E$7,$E$8,$D91,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1" s="66">
        <f>InputFunctions_PastureBeef.LookupLiveweightFromMonth($E$7,$E$8,$D91,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1" s="66">
        <f>InputFunctions_PastureBeef.LookupLiveweightFromMonth($E$7,$E$8,$D91,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1" s="66">
        <f>InputFunctions_PastureBeef.LookupLiveweightFromMonth($E$7,$E$8,$D91,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1" s="66">
        <f>InputFunctions_PastureBeef.LookupLiveweightFromMonth($E$7,$E$8,$D91,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1" s="66">
        <f>InputFunctions_PastureBeef.LookupLiveweightFromMonth($E$7,$E$8,$D91,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1" s="66">
        <f>InputFunctions_PastureBeef.LookupLiveweightFromMonth($E$7,$E$8,$D91,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1" s="66">
        <f>InputFunctions_PastureBeef.LookupLiveweightFromMonth($E$7,$E$8,$D91,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1" s="66">
        <f>InputFunctions_PastureBeef.LookupLiveweightFromMonth($E$7,$E$8,$D91,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1" s="2" t="s">
        <v>134</v>
      </c>
      <c r="T91" s="7"/>
    </row>
    <row r="92" spans="4:20" ht="20.100000000000001" customHeight="1" x14ac:dyDescent="0.25">
      <c r="D92" s="1" t="str">
        <f>TEXT(EDATE('Input - Site'!$E$12,4), "mmmm yyyy")</f>
        <v>May 2024</v>
      </c>
      <c r="E92" s="66">
        <f>InputFunctions_PastureBeef.LookupLiveweightFromMonth($E$7,$E$8,$D92,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2" s="66">
        <f>InputFunctions_PastureBeef.LookupLiveweightFromMonth($E$7,$E$8,$D92,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2" s="66">
        <f>InputFunctions_PastureBeef.LookupLiveweightFromMonth($E$7,$E$8,$D92,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2" s="66">
        <f>InputFunctions_PastureBeef.LookupLiveweightFromMonth($E$7,$E$8,$D92,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2" s="66">
        <f>InputFunctions_PastureBeef.LookupLiveweightFromMonth($E$7,$E$8,$D92,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2" s="66">
        <f>InputFunctions_PastureBeef.LookupLiveweightFromMonth($E$7,$E$8,$D92,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2" s="66">
        <f>InputFunctions_PastureBeef.LookupLiveweightFromMonth($E$7,$E$8,$D92,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2" s="66">
        <f>InputFunctions_PastureBeef.LookupLiveweightFromMonth($E$7,$E$8,$D92,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2" s="66">
        <f>InputFunctions_PastureBeef.LookupLiveweightFromMonth($E$7,$E$8,$D92,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2" s="66">
        <f>InputFunctions_PastureBeef.LookupLiveweightFromMonth($E$7,$E$8,$D92,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2" s="2" t="s">
        <v>134</v>
      </c>
      <c r="T92" s="7"/>
    </row>
    <row r="93" spans="4:20" ht="20.100000000000001" customHeight="1" x14ac:dyDescent="0.25">
      <c r="D93" s="1" t="str">
        <f>TEXT(EDATE('Input - Site'!$E$12,5), "mmmm yyyy")</f>
        <v>June 2024</v>
      </c>
      <c r="E93" s="66">
        <f>InputFunctions_PastureBeef.LookupLiveweightFromMonth($E$7,$E$8,$D93,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3" s="66">
        <f>InputFunctions_PastureBeef.LookupLiveweightFromMonth($E$7,$E$8,$D93,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3" s="66">
        <f>InputFunctions_PastureBeef.LookupLiveweightFromMonth($E$7,$E$8,$D93,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3" s="66">
        <f>InputFunctions_PastureBeef.LookupLiveweightFromMonth($E$7,$E$8,$D93,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3" s="66">
        <f>InputFunctions_PastureBeef.LookupLiveweightFromMonth($E$7,$E$8,$D93,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3" s="66">
        <f>InputFunctions_PastureBeef.LookupLiveweightFromMonth($E$7,$E$8,$D93,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3" s="66">
        <f>InputFunctions_PastureBeef.LookupLiveweightFromMonth($E$7,$E$8,$D93,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3" s="66">
        <f>InputFunctions_PastureBeef.LookupLiveweightFromMonth($E$7,$E$8,$D93,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3" s="66">
        <f>InputFunctions_PastureBeef.LookupLiveweightFromMonth($E$7,$E$8,$D93,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3" s="66">
        <f>InputFunctions_PastureBeef.LookupLiveweightFromMonth($E$7,$E$8,$D93,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3" s="2" t="s">
        <v>134</v>
      </c>
      <c r="T93" s="7"/>
    </row>
    <row r="94" spans="4:20" ht="20.100000000000001" customHeight="1" x14ac:dyDescent="0.25">
      <c r="D94" s="1" t="str">
        <f>TEXT(EDATE('Input - Site'!$E$12,6), "mmmm yyyy")</f>
        <v>July 2024</v>
      </c>
      <c r="E94" s="66">
        <f>InputFunctions_PastureBeef.LookupLiveweightFromMonth($E$7,$E$8,$D94,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4" s="66">
        <f>InputFunctions_PastureBeef.LookupLiveweightFromMonth($E$7,$E$8,$D94,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4" s="66">
        <f>InputFunctions_PastureBeef.LookupLiveweightFromMonth($E$7,$E$8,$D94,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4" s="66">
        <f>InputFunctions_PastureBeef.LookupLiveweightFromMonth($E$7,$E$8,$D94,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4" s="66">
        <f>InputFunctions_PastureBeef.LookupLiveweightFromMonth($E$7,$E$8,$D94,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4" s="66">
        <f>InputFunctions_PastureBeef.LookupLiveweightFromMonth($E$7,$E$8,$D94,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4" s="66">
        <f>InputFunctions_PastureBeef.LookupLiveweightFromMonth($E$7,$E$8,$D94,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4" s="66">
        <f>InputFunctions_PastureBeef.LookupLiveweightFromMonth($E$7,$E$8,$D94,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4" s="66">
        <f>InputFunctions_PastureBeef.LookupLiveweightFromMonth($E$7,$E$8,$D94,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4" s="66">
        <f>InputFunctions_PastureBeef.LookupLiveweightFromMonth($E$7,$E$8,$D94,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4" s="2" t="s">
        <v>134</v>
      </c>
      <c r="T94" s="7"/>
    </row>
    <row r="95" spans="4:20" ht="20.100000000000001" customHeight="1" x14ac:dyDescent="0.25">
      <c r="D95" s="1" t="str">
        <f>TEXT(EDATE('Input - Site'!$E$12,7), "mmmm yyyy")</f>
        <v>August 2024</v>
      </c>
      <c r="E95" s="66">
        <f>InputFunctions_PastureBeef.LookupLiveweightFromMonth($E$7,$E$8,$D95,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5" s="66">
        <f>InputFunctions_PastureBeef.LookupLiveweightFromMonth($E$7,$E$8,$D95,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5" s="66">
        <f>InputFunctions_PastureBeef.LookupLiveweightFromMonth($E$7,$E$8,$D95,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5" s="66">
        <f>InputFunctions_PastureBeef.LookupLiveweightFromMonth($E$7,$E$8,$D95,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5" s="66">
        <f>InputFunctions_PastureBeef.LookupLiveweightFromMonth($E$7,$E$8,$D95,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5" s="66">
        <f>InputFunctions_PastureBeef.LookupLiveweightFromMonth($E$7,$E$8,$D95,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5" s="66">
        <f>InputFunctions_PastureBeef.LookupLiveweightFromMonth($E$7,$E$8,$D95,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5" s="66">
        <f>InputFunctions_PastureBeef.LookupLiveweightFromMonth($E$7,$E$8,$D95,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5" s="66">
        <f>InputFunctions_PastureBeef.LookupLiveweightFromMonth($E$7,$E$8,$D95,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5" s="66">
        <f>InputFunctions_PastureBeef.LookupLiveweightFromMonth($E$7,$E$8,$D95,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5" s="2" t="s">
        <v>134</v>
      </c>
      <c r="T95" s="7"/>
    </row>
    <row r="96" spans="4:20" ht="20.100000000000001" customHeight="1" x14ac:dyDescent="0.25">
      <c r="D96" s="1" t="str">
        <f>TEXT(EDATE('Input - Site'!$E$12,8), "mmmm yyyy")</f>
        <v>September 2024</v>
      </c>
      <c r="E96" s="66">
        <f>InputFunctions_PastureBeef.LookupLiveweightFromMonth($E$7,$E$8,$D96,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6" s="66">
        <f>InputFunctions_PastureBeef.LookupLiveweightFromMonth($E$7,$E$8,$D96,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6" s="66">
        <f>InputFunctions_PastureBeef.LookupLiveweightFromMonth($E$7,$E$8,$D96,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6" s="66">
        <f>InputFunctions_PastureBeef.LookupLiveweightFromMonth($E$7,$E$8,$D96,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6" s="66">
        <f>InputFunctions_PastureBeef.LookupLiveweightFromMonth($E$7,$E$8,$D96,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6" s="66">
        <f>InputFunctions_PastureBeef.LookupLiveweightFromMonth($E$7,$E$8,$D96,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6" s="66">
        <f>InputFunctions_PastureBeef.LookupLiveweightFromMonth($E$7,$E$8,$D96,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6" s="66">
        <f>InputFunctions_PastureBeef.LookupLiveweightFromMonth($E$7,$E$8,$D96,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6" s="66">
        <f>InputFunctions_PastureBeef.LookupLiveweightFromMonth($E$7,$E$8,$D96,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6" s="66">
        <f>InputFunctions_PastureBeef.LookupLiveweightFromMonth($E$7,$E$8,$D96,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6" s="2" t="s">
        <v>134</v>
      </c>
      <c r="T96" s="7"/>
    </row>
    <row r="97" spans="4:20" ht="20.100000000000001" customHeight="1" x14ac:dyDescent="0.25">
      <c r="D97" s="1" t="str">
        <f>TEXT(EDATE('Input - Site'!$E$12,9), "mmmm yyyy")</f>
        <v>October 2024</v>
      </c>
      <c r="E97" s="66">
        <f>InputFunctions_PastureBeef.LookupLiveweightFromMonth($E$7,$E$8,$D97,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7" s="66">
        <f>InputFunctions_PastureBeef.LookupLiveweightFromMonth($E$7,$E$8,$D97,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7" s="66">
        <f>InputFunctions_PastureBeef.LookupLiveweightFromMonth($E$7,$E$8,$D97,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7" s="66">
        <f>InputFunctions_PastureBeef.LookupLiveweightFromMonth($E$7,$E$8,$D97,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7" s="66">
        <f>InputFunctions_PastureBeef.LookupLiveweightFromMonth($E$7,$E$8,$D97,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7" s="66">
        <f>InputFunctions_PastureBeef.LookupLiveweightFromMonth($E$7,$E$8,$D97,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7" s="66">
        <f>InputFunctions_PastureBeef.LookupLiveweightFromMonth($E$7,$E$8,$D97,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7" s="66">
        <f>InputFunctions_PastureBeef.LookupLiveweightFromMonth($E$7,$E$8,$D97,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7" s="66">
        <f>InputFunctions_PastureBeef.LookupLiveweightFromMonth($E$7,$E$8,$D97,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7" s="66">
        <f>InputFunctions_PastureBeef.LookupLiveweightFromMonth($E$7,$E$8,$D97,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7" s="2" t="s">
        <v>134</v>
      </c>
      <c r="T97" s="7"/>
    </row>
    <row r="98" spans="4:20" ht="20.100000000000001" customHeight="1" x14ac:dyDescent="0.25">
      <c r="D98" s="1" t="str">
        <f>TEXT(EDATE('Input - Site'!$E$12,10), "mmmm yyyy")</f>
        <v>November 2024</v>
      </c>
      <c r="E98" s="66">
        <f>InputFunctions_PastureBeef.LookupLiveweightFromMonth($E$7,$E$8,$D98,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8" s="66">
        <f>InputFunctions_PastureBeef.LookupLiveweightFromMonth($E$7,$E$8,$D98,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8" s="66">
        <f>InputFunctions_PastureBeef.LookupLiveweightFromMonth($E$7,$E$8,$D98,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8" s="66">
        <f>InputFunctions_PastureBeef.LookupLiveweightFromMonth($E$7,$E$8,$D98,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8" s="66">
        <f>InputFunctions_PastureBeef.LookupLiveweightFromMonth($E$7,$E$8,$D98,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8" s="66">
        <f>InputFunctions_PastureBeef.LookupLiveweightFromMonth($E$7,$E$8,$D98,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8" s="66">
        <f>InputFunctions_PastureBeef.LookupLiveweightFromMonth($E$7,$E$8,$D98,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8" s="66">
        <f>InputFunctions_PastureBeef.LookupLiveweightFromMonth($E$7,$E$8,$D98,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8" s="66">
        <f>InputFunctions_PastureBeef.LookupLiveweightFromMonth($E$7,$E$8,$D98,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8" s="66">
        <f>InputFunctions_PastureBeef.LookupLiveweightFromMonth($E$7,$E$8,$D98,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8" s="2" t="s">
        <v>134</v>
      </c>
      <c r="T98" s="7"/>
    </row>
    <row r="99" spans="4:20" ht="20.100000000000001" customHeight="1" x14ac:dyDescent="0.25">
      <c r="D99" s="1" t="str">
        <f>TEXT(EDATE('Input - Site'!$E$12,11), "mmmm yyyy")</f>
        <v>December 2024</v>
      </c>
      <c r="E99" s="66">
        <f>InputFunctions_PastureBeef.LookupLiveweightFromMonth($E$7,$E$8,$D99,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99" s="66">
        <f>InputFunctions_PastureBeef.LookupLiveweightFromMonth($E$7,$E$8,$D99,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9" s="66">
        <f>InputFunctions_PastureBeef.LookupLiveweightFromMonth($E$7,$E$8,$D99,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99" s="66">
        <f>InputFunctions_PastureBeef.LookupLiveweightFromMonth($E$7,$E$8,$D99,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99" s="66">
        <f>InputFunctions_PastureBeef.LookupLiveweightFromMonth($E$7,$E$8,$D99,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99" s="66">
        <f>InputFunctions_PastureBeef.LookupLiveweightFromMonth($E$7,$E$8,$D99,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99" s="66">
        <f>InputFunctions_PastureBeef.LookupLiveweightFromMonth($E$7,$E$8,$D99,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99" s="66">
        <f>InputFunctions_PastureBeef.LookupLiveweightFromMonth($E$7,$E$8,$D99,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99" s="66">
        <f>InputFunctions_PastureBeef.LookupLiveweightFromMonth($E$7,$E$8,$D99,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99" s="66">
        <f>InputFunctions_PastureBeef.LookupLiveweightFromMonth($E$7,$E$8,$D99,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99" s="2" t="s">
        <v>134</v>
      </c>
      <c r="T99" s="7"/>
    </row>
    <row r="100" spans="4:20" ht="20.100000000000001" customHeight="1" x14ac:dyDescent="0.25">
      <c r="T100" s="7"/>
    </row>
    <row r="101" spans="4:20" ht="20.100000000000001" customHeight="1" x14ac:dyDescent="0.25">
      <c r="T101" s="7"/>
    </row>
    <row r="102" spans="4:20" ht="20.100000000000001" customHeight="1" x14ac:dyDescent="0.25">
      <c r="D102" s="48" t="s">
        <v>229</v>
      </c>
      <c r="K102" s="2"/>
      <c r="L102" s="2"/>
      <c r="M102" s="2"/>
      <c r="N102" s="2"/>
      <c r="O102" s="2"/>
      <c r="T102" s="7"/>
    </row>
    <row r="103" spans="4:20" ht="20.100000000000001" customHeight="1" x14ac:dyDescent="0.25">
      <c r="D103" s="63" t="s">
        <v>136</v>
      </c>
      <c r="E103" s="63" t="s">
        <v>166</v>
      </c>
      <c r="F103" s="63" t="s">
        <v>167</v>
      </c>
      <c r="G103" s="63" t="s">
        <v>168</v>
      </c>
      <c r="T103" s="7"/>
    </row>
    <row r="104" spans="4:20" ht="20.100000000000001" customHeight="1" x14ac:dyDescent="0.25">
      <c r="D104" s="1" t="s">
        <v>173</v>
      </c>
      <c r="E104" s="46">
        <v>0.5</v>
      </c>
      <c r="F104" s="46">
        <v>0.5</v>
      </c>
      <c r="G104" s="46">
        <v>0.5</v>
      </c>
      <c r="H104" s="2" t="s">
        <v>19</v>
      </c>
      <c r="T104" s="7"/>
    </row>
    <row r="105" spans="4:20" ht="20.100000000000001" customHeight="1" x14ac:dyDescent="0.25">
      <c r="D105" s="1" t="s">
        <v>174</v>
      </c>
      <c r="E105" s="46">
        <v>0.5</v>
      </c>
      <c r="F105" s="46">
        <v>0.5</v>
      </c>
      <c r="G105" s="46">
        <v>0.5</v>
      </c>
      <c r="H105" s="2" t="s">
        <v>19</v>
      </c>
      <c r="T105" s="7"/>
    </row>
    <row r="106" spans="4:20" ht="20.100000000000001" customHeight="1" x14ac:dyDescent="0.25">
      <c r="D106" s="1" t="s">
        <v>175</v>
      </c>
      <c r="E106" s="46">
        <v>0</v>
      </c>
      <c r="F106" s="46">
        <v>0</v>
      </c>
      <c r="G106" s="46">
        <v>0</v>
      </c>
      <c r="H106" s="2" t="s">
        <v>19</v>
      </c>
      <c r="L106" s="2"/>
      <c r="M106" s="2"/>
      <c r="N106" s="2"/>
      <c r="O106" s="2"/>
      <c r="T106" s="7"/>
    </row>
    <row r="107" spans="4:20" ht="20.100000000000001" customHeight="1" x14ac:dyDescent="0.25">
      <c r="D107" s="1" t="s">
        <v>176</v>
      </c>
      <c r="E107" s="46">
        <v>0</v>
      </c>
      <c r="F107" s="46">
        <v>0</v>
      </c>
      <c r="G107" s="46">
        <v>0</v>
      </c>
      <c r="H107" s="2" t="s">
        <v>19</v>
      </c>
      <c r="L107" s="2"/>
      <c r="M107" s="2"/>
      <c r="N107" s="2"/>
      <c r="O107" s="2"/>
    </row>
    <row r="108" spans="4:20" ht="20.100000000000001" customHeight="1" x14ac:dyDescent="0.25">
      <c r="D108" s="1" t="s">
        <v>230</v>
      </c>
      <c r="E108" s="97">
        <f>SUM(E104:E107)</f>
        <v>1</v>
      </c>
      <c r="F108" s="97">
        <f t="shared" ref="F108:G108" si="1">SUM(F104:F107)</f>
        <v>1</v>
      </c>
      <c r="G108" s="97">
        <f t="shared" si="1"/>
        <v>1</v>
      </c>
    </row>
    <row r="109" spans="4:20" ht="20.100000000000001" customHeight="1" x14ac:dyDescent="0.25"/>
    <row r="110" spans="4:20" ht="20.100000000000001" customHeight="1" x14ac:dyDescent="0.25">
      <c r="D110" s="1" t="s">
        <v>337</v>
      </c>
      <c r="E110" s="52" t="str" cm="1">
        <f t="array" ref="E110">InputFunctions_PastureBeef.GetFirstCalvingSeason(E104:E107,D104:D107)</f>
        <v>Spring</v>
      </c>
    </row>
    <row r="111" spans="4:20" ht="20.100000000000001" customHeight="1" x14ac:dyDescent="0.25"/>
    <row r="112" spans="4:20" ht="20.100000000000001" customHeight="1" x14ac:dyDescent="0.25">
      <c r="D112" s="63" t="s">
        <v>137</v>
      </c>
      <c r="E112" s="63" t="s">
        <v>166</v>
      </c>
      <c r="F112" s="63" t="s">
        <v>167</v>
      </c>
      <c r="G112" s="63" t="s">
        <v>168</v>
      </c>
      <c r="L112" s="2"/>
      <c r="M112" s="2"/>
      <c r="N112" s="2"/>
      <c r="O112" s="2"/>
    </row>
    <row r="113" spans="4:15" ht="20.100000000000001" customHeight="1" x14ac:dyDescent="0.25">
      <c r="D113" s="1" t="str">
        <f>TEXT('Input - Site'!$E$12, "mmmm yyyy")</f>
        <v>January 2024</v>
      </c>
      <c r="E113" s="46">
        <v>0</v>
      </c>
      <c r="F113" s="46">
        <v>0</v>
      </c>
      <c r="G113" s="46">
        <v>0</v>
      </c>
      <c r="H113" s="2" t="s">
        <v>19</v>
      </c>
      <c r="L113" s="2"/>
      <c r="M113" s="2"/>
      <c r="N113" s="2"/>
      <c r="O113" s="2"/>
    </row>
    <row r="114" spans="4:15" ht="20.100000000000001" customHeight="1" x14ac:dyDescent="0.25">
      <c r="D114" s="1" t="str">
        <f>TEXT(EDATE('Input - Site'!$E$12,1), "mmmm yyyy")</f>
        <v>February 2024</v>
      </c>
      <c r="E114" s="46">
        <v>0</v>
      </c>
      <c r="F114" s="46">
        <v>0</v>
      </c>
      <c r="G114" s="46">
        <v>0</v>
      </c>
      <c r="H114" s="2" t="s">
        <v>19</v>
      </c>
    </row>
    <row r="115" spans="4:15" ht="20.100000000000001" customHeight="1" x14ac:dyDescent="0.25">
      <c r="D115" s="1" t="str">
        <f>TEXT(EDATE('Input - Site'!$E$12,2), "mmmm yyyy")</f>
        <v>March 2024</v>
      </c>
      <c r="E115" s="46">
        <v>0</v>
      </c>
      <c r="F115" s="46">
        <v>0</v>
      </c>
      <c r="G115" s="46">
        <v>0</v>
      </c>
      <c r="H115" s="2" t="s">
        <v>19</v>
      </c>
    </row>
    <row r="116" spans="4:15" ht="20.100000000000001" customHeight="1" x14ac:dyDescent="0.25">
      <c r="D116" s="1" t="str">
        <f>TEXT(EDATE('Input - Site'!$E$12,3), "mmmm yyyy")</f>
        <v>April 2024</v>
      </c>
      <c r="E116" s="46">
        <v>0</v>
      </c>
      <c r="F116" s="46">
        <v>0</v>
      </c>
      <c r="G116" s="46">
        <v>0</v>
      </c>
      <c r="H116" s="2" t="s">
        <v>19</v>
      </c>
    </row>
    <row r="117" spans="4:15" ht="20.100000000000001" customHeight="1" x14ac:dyDescent="0.25">
      <c r="D117" s="1" t="str">
        <f>TEXT(EDATE('Input - Site'!$E$12,4), "mmmm yyyy")</f>
        <v>May 2024</v>
      </c>
      <c r="E117" s="46">
        <v>0</v>
      </c>
      <c r="F117" s="46">
        <v>0</v>
      </c>
      <c r="G117" s="46">
        <v>0</v>
      </c>
      <c r="H117" s="2" t="s">
        <v>19</v>
      </c>
    </row>
    <row r="118" spans="4:15" ht="20.100000000000001" customHeight="1" x14ac:dyDescent="0.25">
      <c r="D118" s="1" t="str">
        <f>TEXT(EDATE('Input - Site'!$E$12,5), "mmmm yyyy")</f>
        <v>June 2024</v>
      </c>
      <c r="E118" s="46">
        <v>0</v>
      </c>
      <c r="F118" s="46">
        <v>0</v>
      </c>
      <c r="G118" s="46">
        <v>0</v>
      </c>
      <c r="H118" s="2" t="s">
        <v>19</v>
      </c>
      <c r="K118" s="2"/>
      <c r="L118" s="2"/>
      <c r="M118" s="2"/>
      <c r="N118" s="2"/>
      <c r="O118" s="2"/>
    </row>
    <row r="119" spans="4:15" ht="20.100000000000001" customHeight="1" x14ac:dyDescent="0.25">
      <c r="D119" s="1" t="str">
        <f>TEXT(EDATE('Input - Site'!$E$12,6), "mmmm yyyy")</f>
        <v>July 2024</v>
      </c>
      <c r="E119" s="46">
        <v>0</v>
      </c>
      <c r="F119" s="46">
        <v>0</v>
      </c>
      <c r="G119" s="46">
        <v>0</v>
      </c>
      <c r="H119" s="2" t="s">
        <v>19</v>
      </c>
      <c r="K119" s="2"/>
      <c r="L119" s="2"/>
      <c r="M119" s="2"/>
      <c r="N119" s="2"/>
      <c r="O119" s="2"/>
    </row>
    <row r="120" spans="4:15" ht="20.100000000000001" customHeight="1" x14ac:dyDescent="0.25">
      <c r="D120" s="1" t="str">
        <f>TEXT(EDATE('Input - Site'!$E$12,7), "mmmm yyyy")</f>
        <v>August 2024</v>
      </c>
      <c r="E120" s="46">
        <v>0</v>
      </c>
      <c r="F120" s="46">
        <v>0</v>
      </c>
      <c r="G120" s="46">
        <v>0</v>
      </c>
      <c r="H120" s="2" t="s">
        <v>19</v>
      </c>
    </row>
    <row r="121" spans="4:15" ht="20.100000000000001" customHeight="1" x14ac:dyDescent="0.25">
      <c r="D121" s="1" t="str">
        <f>TEXT(EDATE('Input - Site'!$E$12,8), "mmmm yyyy")</f>
        <v>September 2024</v>
      </c>
      <c r="E121" s="46">
        <v>0.25</v>
      </c>
      <c r="F121" s="46">
        <v>0.25</v>
      </c>
      <c r="G121" s="46">
        <v>0.25</v>
      </c>
      <c r="H121" s="2" t="s">
        <v>19</v>
      </c>
    </row>
    <row r="122" spans="4:15" ht="20.100000000000001" customHeight="1" x14ac:dyDescent="0.25">
      <c r="D122" s="1" t="str">
        <f>TEXT(EDATE('Input - Site'!$E$12,9), "mmmm yyyy")</f>
        <v>October 2024</v>
      </c>
      <c r="E122" s="46">
        <v>0.25</v>
      </c>
      <c r="F122" s="46">
        <v>0.25</v>
      </c>
      <c r="G122" s="46">
        <v>0.25</v>
      </c>
      <c r="H122" s="2" t="s">
        <v>19</v>
      </c>
      <c r="K122" s="2"/>
      <c r="L122" s="2"/>
      <c r="M122" s="2"/>
      <c r="N122" s="2"/>
      <c r="O122" s="2"/>
    </row>
    <row r="123" spans="4:15" ht="20.100000000000001" customHeight="1" x14ac:dyDescent="0.25">
      <c r="D123" s="1" t="str">
        <f>TEXT(EDATE('Input - Site'!$E$12,10), "mmmm yyyy")</f>
        <v>November 2024</v>
      </c>
      <c r="E123" s="46">
        <v>0.25</v>
      </c>
      <c r="F123" s="46">
        <v>0.25</v>
      </c>
      <c r="G123" s="46">
        <v>0.25</v>
      </c>
      <c r="H123" s="2" t="s">
        <v>19</v>
      </c>
      <c r="K123" s="2"/>
      <c r="L123" s="2"/>
      <c r="M123" s="2"/>
      <c r="N123" s="2"/>
      <c r="O123" s="2"/>
    </row>
    <row r="124" spans="4:15" ht="20.100000000000001" customHeight="1" x14ac:dyDescent="0.25">
      <c r="D124" s="1" t="str">
        <f>TEXT(EDATE('Input - Site'!$E$12,11), "mmmm yyyy")</f>
        <v>December 2024</v>
      </c>
      <c r="E124" s="46">
        <v>0.25</v>
      </c>
      <c r="F124" s="46">
        <v>0.25</v>
      </c>
      <c r="G124" s="46">
        <v>0.25</v>
      </c>
      <c r="H124" s="2" t="s">
        <v>19</v>
      </c>
    </row>
    <row r="125" spans="4:15" ht="20.100000000000001" customHeight="1" x14ac:dyDescent="0.25">
      <c r="D125" s="1" t="s">
        <v>230</v>
      </c>
      <c r="E125" s="97">
        <f>SUM(E113:E124)</f>
        <v>1</v>
      </c>
      <c r="F125" s="97">
        <f t="shared" ref="F125:G125" si="2">SUM(F113:F124)</f>
        <v>1</v>
      </c>
      <c r="G125" s="97">
        <f t="shared" si="2"/>
        <v>1</v>
      </c>
    </row>
    <row r="126" spans="4:15" ht="20.100000000000001" customHeight="1" x14ac:dyDescent="0.25"/>
    <row r="127" spans="4:15" ht="20.100000000000001" customHeight="1" x14ac:dyDescent="0.25">
      <c r="D127" s="53" t="s">
        <v>251</v>
      </c>
    </row>
    <row r="128" spans="4:15" ht="20.100000000000001" customHeight="1" x14ac:dyDescent="0.25">
      <c r="D128" s="1" t="str">
        <f>D113 &amp; " to " &amp; D115</f>
        <v>January 2024 to March 2024</v>
      </c>
      <c r="E128" s="97">
        <f>SUM(E113:E115)</f>
        <v>0</v>
      </c>
      <c r="F128" s="97">
        <f>SUM(F113:F115)</f>
        <v>0</v>
      </c>
      <c r="G128" s="97">
        <f>SUM(G113:G115)</f>
        <v>0</v>
      </c>
      <c r="H128" s="2" t="s">
        <v>19</v>
      </c>
    </row>
    <row r="129" spans="4:15" ht="20.100000000000001" customHeight="1" x14ac:dyDescent="0.25">
      <c r="D129" s="1" t="str">
        <f>D116 &amp; " to " &amp; D118</f>
        <v>April 2024 to June 2024</v>
      </c>
      <c r="E129" s="97">
        <f>SUM(E116:E118)</f>
        <v>0</v>
      </c>
      <c r="F129" s="97">
        <f>SUM(F116:F118)</f>
        <v>0</v>
      </c>
      <c r="G129" s="97">
        <f>SUM(G116:G118)</f>
        <v>0</v>
      </c>
      <c r="H129" s="2" t="s">
        <v>19</v>
      </c>
      <c r="K129" s="2"/>
      <c r="L129" s="2"/>
      <c r="M129" s="2"/>
      <c r="N129" s="2"/>
      <c r="O129" s="2"/>
    </row>
    <row r="130" spans="4:15" ht="20.100000000000001" customHeight="1" x14ac:dyDescent="0.25">
      <c r="D130" s="1" t="str">
        <f>D119 &amp; " to " &amp; D121</f>
        <v>July 2024 to September 2024</v>
      </c>
      <c r="E130" s="97">
        <f>SUM(E119:E121)</f>
        <v>0.25</v>
      </c>
      <c r="F130" s="97">
        <f>SUM(F119:F121)</f>
        <v>0.25</v>
      </c>
      <c r="G130" s="97">
        <f>SUM(G119:G121)</f>
        <v>0.25</v>
      </c>
      <c r="H130" s="2" t="s">
        <v>19</v>
      </c>
      <c r="K130" s="2"/>
      <c r="L130" s="2"/>
      <c r="M130" s="2"/>
      <c r="N130" s="2"/>
      <c r="O130" s="2"/>
    </row>
    <row r="131" spans="4:15" ht="20.100000000000001" customHeight="1" x14ac:dyDescent="0.25">
      <c r="D131" s="1" t="str">
        <f>D122 &amp; " to " &amp; D124</f>
        <v>October 2024 to December 2024</v>
      </c>
      <c r="E131" s="97">
        <f>SUM(E122:E124)</f>
        <v>0.75</v>
      </c>
      <c r="F131" s="97">
        <f>SUM(F122:F124)</f>
        <v>0.75</v>
      </c>
      <c r="G131" s="97">
        <f>SUM(G122:G124)</f>
        <v>0.75</v>
      </c>
      <c r="H131" s="2" t="s">
        <v>19</v>
      </c>
      <c r="K131" s="2"/>
      <c r="L131" s="2"/>
      <c r="M131" s="2"/>
      <c r="N131" s="2"/>
      <c r="O131" s="2"/>
    </row>
    <row r="132" spans="4:15" ht="20.100000000000001" customHeight="1" x14ac:dyDescent="0.25"/>
    <row r="133" spans="4:15" ht="20.100000000000001" customHeight="1" x14ac:dyDescent="0.25">
      <c r="D133" s="1" t="s">
        <v>336</v>
      </c>
      <c r="E133" s="52" t="str" cm="1">
        <f t="array" ref="E133">InputFunctions_PastureBeef.GetFirstCalvingSeason(E128:E131,D128:D131)</f>
        <v>July 2024 to September 2024</v>
      </c>
    </row>
    <row r="134" spans="4:15" ht="20.100000000000001" customHeight="1" x14ac:dyDescent="0.25"/>
    <row r="135" spans="4:15" ht="20.100000000000001" customHeight="1" x14ac:dyDescent="0.25"/>
    <row r="136" spans="4:15" ht="20.100000000000001" customHeight="1" x14ac:dyDescent="0.25">
      <c r="D136" s="48" t="s">
        <v>18</v>
      </c>
      <c r="K136" s="2"/>
      <c r="L136" s="2"/>
      <c r="M136" s="2"/>
      <c r="N136" s="2"/>
      <c r="O136" s="2"/>
    </row>
    <row r="137" spans="4:15" ht="20.100000000000001" customHeight="1" x14ac:dyDescent="0.25">
      <c r="D137" s="63" t="s">
        <v>179</v>
      </c>
      <c r="E137" s="63" t="s">
        <v>131</v>
      </c>
      <c r="F137" s="63" t="s">
        <v>130</v>
      </c>
      <c r="G137" s="63" t="s">
        <v>165</v>
      </c>
      <c r="H137" s="63" t="s">
        <v>166</v>
      </c>
      <c r="I137" s="63" t="s">
        <v>167</v>
      </c>
      <c r="J137" s="63" t="s">
        <v>168</v>
      </c>
      <c r="K137" s="63" t="s">
        <v>169</v>
      </c>
      <c r="L137" s="63" t="s">
        <v>170</v>
      </c>
      <c r="M137" s="63" t="s">
        <v>171</v>
      </c>
      <c r="N137" s="63" t="s">
        <v>172</v>
      </c>
    </row>
    <row r="138" spans="4:15" ht="20.100000000000001" customHeight="1" x14ac:dyDescent="0.25">
      <c r="D138" s="1" t="s">
        <v>173</v>
      </c>
      <c r="E138" s="52">
        <f>InputFunctions_PastureBeef.LookupValueFromStateRegionSeason($E$7,$E$8,$D138,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F138" s="52">
        <f>InputFunctions_PastureBeef.LookupValueFromStateRegionSeason($E$7,$E$8,$D138,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G138" s="52">
        <f>InputFunctions_PastureBeef.LookupValueFromStateRegionSeason($E$7,$E$8,$D138,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H138" s="52">
        <f>InputFunctions_PastureBeef.LookupValueFromStateRegionSeason($E$7,$E$8,$D138,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I138" s="52">
        <f>InputFunctions_PastureBeef.LookupValueFromStateRegionSeason($E$7,$E$8,$D138,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J138" s="52">
        <f>InputFunctions_PastureBeef.LookupValueFromStateRegionSeason($E$7,$E$8,$D138,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K138" s="52">
        <f>InputFunctions_PastureBeef.LookupValueFromStateRegionSeason($E$7,$E$8,$D138,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L138" s="52">
        <f>InputFunctions_PastureBeef.LookupValueFromStateRegionSeason($E$7,$E$8,$D138,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M138" s="52">
        <f>InputFunctions_PastureBeef.LookupValueFromStateRegionSeason($E$7,$E$8,$D138,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N138" s="52">
        <f>InputFunctions_PastureBeef.LookupValueFromStateRegionSeason($E$7,$E$8,$D138,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O138" s="2" t="s">
        <v>141</v>
      </c>
    </row>
    <row r="139" spans="4:15" ht="20.100000000000001" customHeight="1" x14ac:dyDescent="0.25">
      <c r="D139" s="1" t="s">
        <v>174</v>
      </c>
      <c r="E139" s="52">
        <f>InputFunctions_PastureBeef.LookupValueFromStateRegionSeason($E$7,$E$8,$D139,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F139" s="52">
        <f>InputFunctions_PastureBeef.LookupValueFromStateRegionSeason($E$7,$E$8,$D139,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G139" s="52">
        <f>InputFunctions_PastureBeef.LookupValueFromStateRegionSeason($E$7,$E$8,$D139,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H139" s="52">
        <f>InputFunctions_PastureBeef.LookupValueFromStateRegionSeason($E$7,$E$8,$D139,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I139" s="52">
        <f>InputFunctions_PastureBeef.LookupValueFromStateRegionSeason($E$7,$E$8,$D139,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J139" s="52">
        <f>InputFunctions_PastureBeef.LookupValueFromStateRegionSeason($E$7,$E$8,$D139,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K139" s="52">
        <f>InputFunctions_PastureBeef.LookupValueFromStateRegionSeason($E$7,$E$8,$D139,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L139" s="52">
        <f>InputFunctions_PastureBeef.LookupValueFromStateRegionSeason($E$7,$E$8,$D139,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M139" s="52">
        <f>InputFunctions_PastureBeef.LookupValueFromStateRegionSeason($E$7,$E$8,$D139,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N139" s="52">
        <f>InputFunctions_PastureBeef.LookupValueFromStateRegionSeason($E$7,$E$8,$D139,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O139" s="2" t="s">
        <v>141</v>
      </c>
    </row>
    <row r="140" spans="4:15" ht="20.100000000000001" customHeight="1" x14ac:dyDescent="0.25">
      <c r="D140" s="1" t="s">
        <v>175</v>
      </c>
      <c r="E140" s="52">
        <f>InputFunctions_PastureBeef.LookupValueFromStateRegionSeason($E$7,$E$8,$D140,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F140" s="52">
        <f>InputFunctions_PastureBeef.LookupValueFromStateRegionSeason($E$7,$E$8,$D140,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G140" s="52">
        <f>InputFunctions_PastureBeef.LookupValueFromStateRegionSeason($E$7,$E$8,$D140,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H140" s="52">
        <f>InputFunctions_PastureBeef.LookupValueFromStateRegionSeason($E$7,$E$8,$D140,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I140" s="52">
        <f>InputFunctions_PastureBeef.LookupValueFromStateRegionSeason($E$7,$E$8,$D140,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J140" s="52">
        <f>InputFunctions_PastureBeef.LookupValueFromStateRegionSeason($E$7,$E$8,$D140,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K140" s="52">
        <f>InputFunctions_PastureBeef.LookupValueFromStateRegionSeason($E$7,$E$8,$D140,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L140" s="52">
        <f>InputFunctions_PastureBeef.LookupValueFromStateRegionSeason($E$7,$E$8,$D140,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M140" s="52">
        <f>InputFunctions_PastureBeef.LookupValueFromStateRegionSeason($E$7,$E$8,$D140,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N140" s="52">
        <f>InputFunctions_PastureBeef.LookupValueFromStateRegionSeason($E$7,$E$8,$D140,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O140" s="2" t="s">
        <v>141</v>
      </c>
    </row>
    <row r="141" spans="4:15" ht="20.100000000000001" customHeight="1" x14ac:dyDescent="0.25">
      <c r="D141" s="1" t="s">
        <v>176</v>
      </c>
      <c r="E141" s="52">
        <f>InputFunctions_PastureBeef.LookupValueFromStateRegionSeason($E$7,$E$8,$D141,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F141" s="52">
        <f>InputFunctions_PastureBeef.LookupValueFromStateRegionSeason($E$7,$E$8,$D141,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G141" s="52">
        <f>InputFunctions_PastureBeef.LookupValueFromStateRegionSeason($E$7,$E$8,$D141,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H141" s="52">
        <f>InputFunctions_PastureBeef.LookupValueFromStateRegionSeason($E$7,$E$8,$D141,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I141" s="52">
        <f>InputFunctions_PastureBeef.LookupValueFromStateRegionSeason($E$7,$E$8,$D141,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J141" s="52">
        <f>InputFunctions_PastureBeef.LookupValueFromStateRegionSeason($E$7,$E$8,$D141,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K141" s="52">
        <f>InputFunctions_PastureBeef.LookupValueFromStateRegionSeason($E$7,$E$8,$D141,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L141" s="52">
        <f>InputFunctions_PastureBeef.LookupValueFromStateRegionSeason($E$7,$E$8,$D141,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M141" s="52">
        <f>InputFunctions_PastureBeef.LookupValueFromStateRegionSeason($E$7,$E$8,$D141,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N141" s="52">
        <f>InputFunctions_PastureBeef.LookupValueFromStateRegionSeason($E$7,$E$8,$D141,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O141" s="2" t="s">
        <v>141</v>
      </c>
    </row>
    <row r="142" spans="4:15" ht="20.100000000000001" customHeight="1" x14ac:dyDescent="0.25"/>
    <row r="143" spans="4:15" ht="20.100000000000001" customHeight="1" x14ac:dyDescent="0.25">
      <c r="D143" s="63" t="s">
        <v>180</v>
      </c>
      <c r="E143" s="63" t="s">
        <v>131</v>
      </c>
      <c r="F143" s="63" t="s">
        <v>130</v>
      </c>
      <c r="G143" s="63" t="s">
        <v>165</v>
      </c>
      <c r="H143" s="63" t="s">
        <v>166</v>
      </c>
      <c r="I143" s="63" t="s">
        <v>167</v>
      </c>
      <c r="J143" s="63" t="s">
        <v>168</v>
      </c>
      <c r="K143" s="63" t="s">
        <v>169</v>
      </c>
      <c r="L143" s="63" t="s">
        <v>170</v>
      </c>
      <c r="M143" s="63" t="s">
        <v>171</v>
      </c>
      <c r="N143" s="63" t="s">
        <v>172</v>
      </c>
    </row>
    <row r="144" spans="4:15" ht="20.100000000000001" customHeight="1" x14ac:dyDescent="0.25">
      <c r="D144" s="1" t="str">
        <f>TEXT('Input - Site'!$E$12, "mmmm yyyy")</f>
        <v>January 2024</v>
      </c>
      <c r="E144" s="66">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44" s="66">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44" s="66">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44" s="66">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44" s="66">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44" s="66">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44" s="66">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44" s="66">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44" s="66">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44" s="66">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44" s="2" t="s">
        <v>141</v>
      </c>
    </row>
    <row r="145" spans="4:15" ht="20.100000000000001" customHeight="1" x14ac:dyDescent="0.25">
      <c r="D145" s="1" t="str">
        <f>TEXT(EDATE('Input - Site'!$E$12,1), "mmmm yyyy")</f>
        <v>February 2024</v>
      </c>
      <c r="E145" s="66">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45" s="66">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45" s="66">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45" s="66">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45" s="66">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45" s="66">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45" s="66">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45" s="66">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45" s="66">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45" s="66">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45" s="2" t="s">
        <v>141</v>
      </c>
    </row>
    <row r="146" spans="4:15" ht="20.100000000000001" customHeight="1" x14ac:dyDescent="0.25">
      <c r="D146" s="1" t="str">
        <f>TEXT(EDATE('Input - Site'!$E$12,2), "mmmm yyyy")</f>
        <v>March 2024</v>
      </c>
      <c r="E146" s="66">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46" s="66">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46" s="66">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46" s="66">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46" s="66">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46" s="66">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46" s="66">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46" s="66">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46" s="66">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46" s="66">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46" s="2" t="s">
        <v>141</v>
      </c>
    </row>
    <row r="147" spans="4:15" ht="20.100000000000001" customHeight="1" x14ac:dyDescent="0.25">
      <c r="D147" s="1" t="str">
        <f>TEXT(EDATE('Input - Site'!$E$12,3), "mmmm yyyy")</f>
        <v>April 2024</v>
      </c>
      <c r="E147" s="66">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47" s="66">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47" s="66">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47" s="66">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47" s="66">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47" s="66">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47" s="66">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47" s="66">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47" s="66">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47" s="66">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47" s="2" t="s">
        <v>141</v>
      </c>
    </row>
    <row r="148" spans="4:15" ht="20.100000000000001" customHeight="1" x14ac:dyDescent="0.25">
      <c r="D148" s="1" t="str">
        <f>TEXT(EDATE('Input - Site'!$E$12,4), "mmmm yyyy")</f>
        <v>May 2024</v>
      </c>
      <c r="E148" s="66">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48" s="66">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48" s="66">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48" s="66">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48" s="66">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48" s="66">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48" s="66">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48" s="66">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48" s="66">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48" s="66">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48" s="2" t="s">
        <v>141</v>
      </c>
    </row>
    <row r="149" spans="4:15" ht="20.100000000000001" customHeight="1" x14ac:dyDescent="0.25">
      <c r="D149" s="1" t="str">
        <f>TEXT(EDATE('Input - Site'!$E$12,5), "mmmm yyyy")</f>
        <v>June 2024</v>
      </c>
      <c r="E149" s="66">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49" s="66">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49" s="66">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49" s="66">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49" s="66">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49" s="66">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49" s="66">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49" s="66">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49" s="66">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49" s="66">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49" s="2" t="s">
        <v>141</v>
      </c>
    </row>
    <row r="150" spans="4:15" ht="20.100000000000001" customHeight="1" x14ac:dyDescent="0.25">
      <c r="D150" s="1" t="str">
        <f>TEXT(EDATE('Input - Site'!$E$12,6), "mmmm yyyy")</f>
        <v>July 2024</v>
      </c>
      <c r="E150" s="66">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50" s="66">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50" s="66">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50" s="66">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50" s="66">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50" s="66">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50" s="66">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50" s="66">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50" s="66">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50" s="66">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50" s="2" t="s">
        <v>141</v>
      </c>
    </row>
    <row r="151" spans="4:15" ht="20.100000000000001" customHeight="1" x14ac:dyDescent="0.25">
      <c r="D151" s="1" t="str">
        <f>TEXT(EDATE('Input - Site'!$E$12,7), "mmmm yyyy")</f>
        <v>August 2024</v>
      </c>
      <c r="E151" s="66">
        <f>InputFunctions_PastureBeef.LookupValueFromStateRegionMonth($E$7,$E$8,$D151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51" s="66">
        <f>InputFunctions_PastureBeef.LookupValueFromStateRegionMonth($E$7,$E$8,$D151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51" s="66">
        <f>InputFunctions_PastureBeef.LookupValueFromStateRegionMonth($E$7,$E$8,$D151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51" s="66">
        <f>InputFunctions_PastureBeef.LookupValueFromStateRegionMonth($E$7,$E$8,$D151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51" s="66">
        <f>InputFunctions_PastureBeef.LookupValueFromStateRegionMonth($E$7,$E$8,$D151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51" s="66">
        <f>InputFunctions_PastureBeef.LookupValueFromStateRegionMonth($E$7,$E$8,$D151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51" s="66">
        <f>InputFunctions_PastureBeef.LookupValueFromStateRegionMonth($E$7,$E$8,$D151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51" s="66">
        <f>InputFunctions_PastureBeef.LookupValueFromStateRegionMonth($E$7,$E$8,$D151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51" s="66">
        <f>InputFunctions_PastureBeef.LookupValueFromStateRegionMonth($E$7,$E$8,$D151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51" s="66">
        <f>InputFunctions_PastureBeef.LookupValueFromStateRegionMonth($E$7,$E$8,$D151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51" s="2" t="s">
        <v>141</v>
      </c>
    </row>
    <row r="152" spans="4:15" ht="20.100000000000001" customHeight="1" x14ac:dyDescent="0.25">
      <c r="D152" s="1" t="str">
        <f>TEXT(EDATE('Input - Site'!$E$12,8), "mmmm yyyy")</f>
        <v>September 2024</v>
      </c>
      <c r="E152" s="66">
        <f>InputFunctions_PastureBeef.LookupValueFromStateRegionMonth($E$7,$E$8,$D152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52" s="66">
        <f>InputFunctions_PastureBeef.LookupValueFromStateRegionMonth($E$7,$E$8,$D152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52" s="66">
        <f>InputFunctions_PastureBeef.LookupValueFromStateRegionMonth($E$7,$E$8,$D152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52" s="66">
        <f>InputFunctions_PastureBeef.LookupValueFromStateRegionMonth($E$7,$E$8,$D152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52" s="66">
        <f>InputFunctions_PastureBeef.LookupValueFromStateRegionMonth($E$7,$E$8,$D152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52" s="66">
        <f>InputFunctions_PastureBeef.LookupValueFromStateRegionMonth($E$7,$E$8,$D152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52" s="66">
        <f>InputFunctions_PastureBeef.LookupValueFromStateRegionMonth($E$7,$E$8,$D152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52" s="66">
        <f>InputFunctions_PastureBeef.LookupValueFromStateRegionMonth($E$7,$E$8,$D152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52" s="66">
        <f>InputFunctions_PastureBeef.LookupValueFromStateRegionMonth($E$7,$E$8,$D152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52" s="66">
        <f>InputFunctions_PastureBeef.LookupValueFromStateRegionMonth($E$7,$E$8,$D152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52" s="2" t="s">
        <v>141</v>
      </c>
    </row>
    <row r="153" spans="4:15" ht="20.100000000000001" customHeight="1" x14ac:dyDescent="0.25">
      <c r="D153" s="1" t="str">
        <f>TEXT(EDATE('Input - Site'!$E$12,9), "mmmm yyyy")</f>
        <v>October 2024</v>
      </c>
      <c r="E153" s="66">
        <f>InputFunctions_PastureBeef.LookupValueFromStateRegionMonth($E$7,$E$8,$D153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53" s="66">
        <f>InputFunctions_PastureBeef.LookupValueFromStateRegionMonth($E$7,$E$8,$D153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53" s="66">
        <f>InputFunctions_PastureBeef.LookupValueFromStateRegionMonth($E$7,$E$8,$D153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53" s="66">
        <f>InputFunctions_PastureBeef.LookupValueFromStateRegionMonth($E$7,$E$8,$D153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53" s="66">
        <f>InputFunctions_PastureBeef.LookupValueFromStateRegionMonth($E$7,$E$8,$D153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53" s="66">
        <f>InputFunctions_PastureBeef.LookupValueFromStateRegionMonth($E$7,$E$8,$D153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53" s="66">
        <f>InputFunctions_PastureBeef.LookupValueFromStateRegionMonth($E$7,$E$8,$D153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53" s="66">
        <f>InputFunctions_PastureBeef.LookupValueFromStateRegionMonth($E$7,$E$8,$D153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53" s="66">
        <f>InputFunctions_PastureBeef.LookupValueFromStateRegionMonth($E$7,$E$8,$D153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53" s="66">
        <f>InputFunctions_PastureBeef.LookupValueFromStateRegionMonth($E$7,$E$8,$D153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53" s="2" t="s">
        <v>141</v>
      </c>
    </row>
    <row r="154" spans="4:15" ht="20.100000000000001" customHeight="1" x14ac:dyDescent="0.25">
      <c r="D154" s="1" t="str">
        <f>TEXT(EDATE('Input - Site'!$E$12,10), "mmmm yyyy")</f>
        <v>November 2024</v>
      </c>
      <c r="E154" s="66">
        <f>InputFunctions_PastureBeef.LookupValueFromStateRegionMonth($E$7,$E$8,$D154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54" s="66">
        <f>InputFunctions_PastureBeef.LookupValueFromStateRegionMonth($E$7,$E$8,$D154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54" s="66">
        <f>InputFunctions_PastureBeef.LookupValueFromStateRegionMonth($E$7,$E$8,$D154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54" s="66">
        <f>InputFunctions_PastureBeef.LookupValueFromStateRegionMonth($E$7,$E$8,$D154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54" s="66">
        <f>InputFunctions_PastureBeef.LookupValueFromStateRegionMonth($E$7,$E$8,$D154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54" s="66">
        <f>InputFunctions_PastureBeef.LookupValueFromStateRegionMonth($E$7,$E$8,$D154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54" s="66">
        <f>InputFunctions_PastureBeef.LookupValueFromStateRegionMonth($E$7,$E$8,$D154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54" s="66">
        <f>InputFunctions_PastureBeef.LookupValueFromStateRegionMonth($E$7,$E$8,$D154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54" s="66">
        <f>InputFunctions_PastureBeef.LookupValueFromStateRegionMonth($E$7,$E$8,$D154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54" s="66">
        <f>InputFunctions_PastureBeef.LookupValueFromStateRegionMonth($E$7,$E$8,$D154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54" s="2" t="s">
        <v>141</v>
      </c>
    </row>
    <row r="155" spans="4:15" ht="20.100000000000001" customHeight="1" x14ac:dyDescent="0.25">
      <c r="D155" s="1" t="str">
        <f>TEXT(EDATE('Input - Site'!$E$12,11), "mmmm yyyy")</f>
        <v>December 2024</v>
      </c>
      <c r="E155" s="66">
        <f>InputFunctions_PastureBeef.LookupValueFromStateRegionMonth($E$7,$E$8,$D155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55" s="66">
        <f>InputFunctions_PastureBeef.LookupValueFromStateRegionMonth($E$7,$E$8,$D155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55" s="66">
        <f>InputFunctions_PastureBeef.LookupValueFromStateRegionMonth($E$7,$E$8,$D155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55" s="66">
        <f>InputFunctions_PastureBeef.LookupValueFromStateRegionMonth($E$7,$E$8,$D155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55" s="66">
        <f>InputFunctions_PastureBeef.LookupValueFromStateRegionMonth($E$7,$E$8,$D155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55" s="66">
        <f>InputFunctions_PastureBeef.LookupValueFromStateRegionMonth($E$7,$E$8,$D155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55" s="66">
        <f>InputFunctions_PastureBeef.LookupValueFromStateRegionMonth($E$7,$E$8,$D155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55" s="66">
        <f>InputFunctions_PastureBeef.LookupValueFromStateRegionMonth($E$7,$E$8,$D155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55" s="66">
        <f>InputFunctions_PastureBeef.LookupValueFromStateRegionMonth($E$7,$E$8,$D155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55" s="66">
        <f>InputFunctions_PastureBeef.LookupValueFromStateRegionMonth($E$7,$E$8,$D155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55" s="2" t="s">
        <v>141</v>
      </c>
    </row>
    <row r="156" spans="4:15" ht="20.100000000000001" customHeight="1" x14ac:dyDescent="0.25"/>
    <row r="157" spans="4:15" ht="20.100000000000001" customHeight="1" x14ac:dyDescent="0.25"/>
    <row r="158" spans="4:15" ht="20.100000000000001" customHeight="1" x14ac:dyDescent="0.25">
      <c r="D158" s="48" t="s">
        <v>105</v>
      </c>
      <c r="K158" s="2"/>
      <c r="L158" s="2"/>
      <c r="M158" s="2"/>
      <c r="N158" s="2"/>
      <c r="O158" s="2"/>
    </row>
    <row r="159" spans="4:15" ht="20.100000000000001" customHeight="1" x14ac:dyDescent="0.25">
      <c r="D159" s="63" t="s">
        <v>179</v>
      </c>
      <c r="E159" s="63" t="s">
        <v>131</v>
      </c>
      <c r="F159" s="63" t="s">
        <v>130</v>
      </c>
      <c r="G159" s="63" t="s">
        <v>165</v>
      </c>
      <c r="H159" s="63" t="s">
        <v>166</v>
      </c>
      <c r="I159" s="63" t="s">
        <v>167</v>
      </c>
      <c r="J159" s="63" t="s">
        <v>168</v>
      </c>
      <c r="K159" s="63" t="s">
        <v>169</v>
      </c>
      <c r="L159" s="63" t="s">
        <v>170</v>
      </c>
      <c r="M159" s="63" t="s">
        <v>171</v>
      </c>
      <c r="N159" s="63" t="s">
        <v>172</v>
      </c>
    </row>
    <row r="160" spans="4:15" ht="20.100000000000001" customHeight="1" x14ac:dyDescent="0.25">
      <c r="D160" s="1" t="s">
        <v>173</v>
      </c>
      <c r="E160" s="52">
        <f>InputFunctions_PastureBeef.LookupValueFromStateRegionSeason($E$7,$E$8,$D160, Table_SourceData_PastureBeef_CrudeProtein[State],Table_SourceData_PastureBeef_CrudeProtein[Region],Table_SourceData_PastureBeef_CrudeProtein[#Headers],Table_SourceData_PastureBeef_CrudeProtein[],Table_AustralianStates[Common Name],Table_AustralianStates[Abbreviation])</f>
        <v>0.2</v>
      </c>
      <c r="F160" s="52">
        <f>InputFunctions_PastureBeef.LookupValueFromStateRegionSeason($E$7,$E$8,$D160, Table_SourceData_PastureBeef_CrudeProtein[State],Table_SourceData_PastureBeef_CrudeProtein[Region],Table_SourceData_PastureBeef_CrudeProtein[#Headers],Table_SourceData_PastureBeef_CrudeProtein[],Table_AustralianStates[Common Name],Table_AustralianStates[Abbreviation])</f>
        <v>0.2</v>
      </c>
      <c r="G160" s="52">
        <f>InputFunctions_PastureBeef.LookupValueFromStateRegionSeason($E$7,$E$8,$D160, Table_SourceData_PastureBeef_CrudeProtein[State],Table_SourceData_PastureBeef_CrudeProtein[Region],Table_SourceData_PastureBeef_CrudeProtein[#Headers],Table_SourceData_PastureBeef_CrudeProtein[],Table_AustralianStates[Common Name],Table_AustralianStates[Abbreviation])</f>
        <v>0.2</v>
      </c>
      <c r="H160" s="52">
        <f>InputFunctions_PastureBeef.LookupValueFromStateRegionSeason($E$7,$E$8,$D160, Table_SourceData_PastureBeef_CrudeProtein[State],Table_SourceData_PastureBeef_CrudeProtein[Region],Table_SourceData_PastureBeef_CrudeProtein[#Headers],Table_SourceData_PastureBeef_CrudeProtein[],Table_AustralianStates[Common Name],Table_AustralianStates[Abbreviation])</f>
        <v>0.2</v>
      </c>
      <c r="I160" s="52">
        <f>InputFunctions_PastureBeef.LookupValueFromStateRegionSeason($E$7,$E$8,$D160, Table_SourceData_PastureBeef_CrudeProtein[State],Table_SourceData_PastureBeef_CrudeProtein[Region],Table_SourceData_PastureBeef_CrudeProtein[#Headers],Table_SourceData_PastureBeef_CrudeProtein[],Table_AustralianStates[Common Name],Table_AustralianStates[Abbreviation])</f>
        <v>0.2</v>
      </c>
      <c r="J160" s="52">
        <f>InputFunctions_PastureBeef.LookupValueFromStateRegionSeason($E$7,$E$8,$D160, Table_SourceData_PastureBeef_CrudeProtein[State],Table_SourceData_PastureBeef_CrudeProtein[Region],Table_SourceData_PastureBeef_CrudeProtein[#Headers],Table_SourceData_PastureBeef_CrudeProtein[],Table_AustralianStates[Common Name],Table_AustralianStates[Abbreviation])</f>
        <v>0.2</v>
      </c>
      <c r="K160" s="52">
        <f>InputFunctions_PastureBeef.LookupValueFromStateRegionSeason($E$7,$E$8,$D160, Table_SourceData_PastureBeef_CrudeProtein[State],Table_SourceData_PastureBeef_CrudeProtein[Region],Table_SourceData_PastureBeef_CrudeProtein[#Headers],Table_SourceData_PastureBeef_CrudeProtein[],Table_AustralianStates[Common Name],Table_AustralianStates[Abbreviation])</f>
        <v>0.2</v>
      </c>
      <c r="L160" s="52">
        <f>InputFunctions_PastureBeef.LookupValueFromStateRegionSeason($E$7,$E$8,$D160, Table_SourceData_PastureBeef_CrudeProtein[State],Table_SourceData_PastureBeef_CrudeProtein[Region],Table_SourceData_PastureBeef_CrudeProtein[#Headers],Table_SourceData_PastureBeef_CrudeProtein[],Table_AustralianStates[Common Name],Table_AustralianStates[Abbreviation])</f>
        <v>0.2</v>
      </c>
      <c r="M160" s="52">
        <f>InputFunctions_PastureBeef.LookupValueFromStateRegionSeason($E$7,$E$8,$D160, Table_SourceData_PastureBeef_CrudeProtein[State],Table_SourceData_PastureBeef_CrudeProtein[Region],Table_SourceData_PastureBeef_CrudeProtein[#Headers],Table_SourceData_PastureBeef_CrudeProtein[],Table_AustralianStates[Common Name],Table_AustralianStates[Abbreviation])</f>
        <v>0.2</v>
      </c>
      <c r="N160" s="52">
        <f>InputFunctions_PastureBeef.LookupValueFromStateRegionSeason($E$7,$E$8,$D160, Table_SourceData_PastureBeef_CrudeProtein[State],Table_SourceData_PastureBeef_CrudeProtein[Region],Table_SourceData_PastureBeef_CrudeProtein[#Headers],Table_SourceData_PastureBeef_CrudeProtein[],Table_AustralianStates[Common Name],Table_AustralianStates[Abbreviation])</f>
        <v>0.2</v>
      </c>
      <c r="O160" s="2" t="s">
        <v>141</v>
      </c>
    </row>
    <row r="161" spans="4:15" ht="20.100000000000001" customHeight="1" x14ac:dyDescent="0.25">
      <c r="D161" s="1" t="s">
        <v>174</v>
      </c>
      <c r="E161" s="52">
        <f>InputFunctions_PastureBeef.LookupValueFromStateRegionSeason($E$7,$E$8,$D161, Table_SourceData_PastureBeef_CrudeProtein[State],Table_SourceData_PastureBeef_CrudeProtein[Region],Table_SourceData_PastureBeef_CrudeProtein[#Headers],Table_SourceData_PastureBeef_CrudeProtein[],Table_AustralianStates[Common Name],Table_AustralianStates[Abbreviation])</f>
        <v>0.09</v>
      </c>
      <c r="F161" s="52">
        <f>InputFunctions_PastureBeef.LookupValueFromStateRegionSeason($E$7,$E$8,$D161, Table_SourceData_PastureBeef_CrudeProtein[State],Table_SourceData_PastureBeef_CrudeProtein[Region],Table_SourceData_PastureBeef_CrudeProtein[#Headers],Table_SourceData_PastureBeef_CrudeProtein[],Table_AustralianStates[Common Name],Table_AustralianStates[Abbreviation])</f>
        <v>0.09</v>
      </c>
      <c r="G161" s="52">
        <f>InputFunctions_PastureBeef.LookupValueFromStateRegionSeason($E$7,$E$8,$D161, Table_SourceData_PastureBeef_CrudeProtein[State],Table_SourceData_PastureBeef_CrudeProtein[Region],Table_SourceData_PastureBeef_CrudeProtein[#Headers],Table_SourceData_PastureBeef_CrudeProtein[],Table_AustralianStates[Common Name],Table_AustralianStates[Abbreviation])</f>
        <v>0.09</v>
      </c>
      <c r="H161" s="52">
        <f>InputFunctions_PastureBeef.LookupValueFromStateRegionSeason($E$7,$E$8,$D161, Table_SourceData_PastureBeef_CrudeProtein[State],Table_SourceData_PastureBeef_CrudeProtein[Region],Table_SourceData_PastureBeef_CrudeProtein[#Headers],Table_SourceData_PastureBeef_CrudeProtein[],Table_AustralianStates[Common Name],Table_AustralianStates[Abbreviation])</f>
        <v>0.09</v>
      </c>
      <c r="I161" s="52">
        <f>InputFunctions_PastureBeef.LookupValueFromStateRegionSeason($E$7,$E$8,$D161, Table_SourceData_PastureBeef_CrudeProtein[State],Table_SourceData_PastureBeef_CrudeProtein[Region],Table_SourceData_PastureBeef_CrudeProtein[#Headers],Table_SourceData_PastureBeef_CrudeProtein[],Table_AustralianStates[Common Name],Table_AustralianStates[Abbreviation])</f>
        <v>0.09</v>
      </c>
      <c r="J161" s="52">
        <f>InputFunctions_PastureBeef.LookupValueFromStateRegionSeason($E$7,$E$8,$D161, Table_SourceData_PastureBeef_CrudeProtein[State],Table_SourceData_PastureBeef_CrudeProtein[Region],Table_SourceData_PastureBeef_CrudeProtein[#Headers],Table_SourceData_PastureBeef_CrudeProtein[],Table_AustralianStates[Common Name],Table_AustralianStates[Abbreviation])</f>
        <v>0.09</v>
      </c>
      <c r="K161" s="52">
        <f>InputFunctions_PastureBeef.LookupValueFromStateRegionSeason($E$7,$E$8,$D161, Table_SourceData_PastureBeef_CrudeProtein[State],Table_SourceData_PastureBeef_CrudeProtein[Region],Table_SourceData_PastureBeef_CrudeProtein[#Headers],Table_SourceData_PastureBeef_CrudeProtein[],Table_AustralianStates[Common Name],Table_AustralianStates[Abbreviation])</f>
        <v>0.09</v>
      </c>
      <c r="L161" s="52">
        <f>InputFunctions_PastureBeef.LookupValueFromStateRegionSeason($E$7,$E$8,$D161, Table_SourceData_PastureBeef_CrudeProtein[State],Table_SourceData_PastureBeef_CrudeProtein[Region],Table_SourceData_PastureBeef_CrudeProtein[#Headers],Table_SourceData_PastureBeef_CrudeProtein[],Table_AustralianStates[Common Name],Table_AustralianStates[Abbreviation])</f>
        <v>0.09</v>
      </c>
      <c r="M161" s="52">
        <f>InputFunctions_PastureBeef.LookupValueFromStateRegionSeason($E$7,$E$8,$D161, Table_SourceData_PastureBeef_CrudeProtein[State],Table_SourceData_PastureBeef_CrudeProtein[Region],Table_SourceData_PastureBeef_CrudeProtein[#Headers],Table_SourceData_PastureBeef_CrudeProtein[],Table_AustralianStates[Common Name],Table_AustralianStates[Abbreviation])</f>
        <v>0.09</v>
      </c>
      <c r="N161" s="52">
        <f>InputFunctions_PastureBeef.LookupValueFromStateRegionSeason($E$7,$E$8,$D161, Table_SourceData_PastureBeef_CrudeProtein[State],Table_SourceData_PastureBeef_CrudeProtein[Region],Table_SourceData_PastureBeef_CrudeProtein[#Headers],Table_SourceData_PastureBeef_CrudeProtein[],Table_AustralianStates[Common Name],Table_AustralianStates[Abbreviation])</f>
        <v>0.09</v>
      </c>
      <c r="O161" s="2" t="s">
        <v>141</v>
      </c>
    </row>
    <row r="162" spans="4:15" ht="20.100000000000001" customHeight="1" x14ac:dyDescent="0.25">
      <c r="D162" s="1" t="s">
        <v>175</v>
      </c>
      <c r="E162" s="52">
        <f>InputFunctions_PastureBeef.LookupValueFromStateRegionSeason($E$7,$E$8,$D162, Table_SourceData_PastureBeef_CrudeProtein[State],Table_SourceData_PastureBeef_CrudeProtein[Region],Table_SourceData_PastureBeef_CrudeProtein[#Headers],Table_SourceData_PastureBeef_CrudeProtein[],Table_AustralianStates[Common Name],Table_AustralianStates[Abbreviation])</f>
        <v>0.06</v>
      </c>
      <c r="F162" s="52">
        <f>InputFunctions_PastureBeef.LookupValueFromStateRegionSeason($E$7,$E$8,$D162, Table_SourceData_PastureBeef_CrudeProtein[State],Table_SourceData_PastureBeef_CrudeProtein[Region],Table_SourceData_PastureBeef_CrudeProtein[#Headers],Table_SourceData_PastureBeef_CrudeProtein[],Table_AustralianStates[Common Name],Table_AustralianStates[Abbreviation])</f>
        <v>0.06</v>
      </c>
      <c r="G162" s="52">
        <f>InputFunctions_PastureBeef.LookupValueFromStateRegionSeason($E$7,$E$8,$D162, Table_SourceData_PastureBeef_CrudeProtein[State],Table_SourceData_PastureBeef_CrudeProtein[Region],Table_SourceData_PastureBeef_CrudeProtein[#Headers],Table_SourceData_PastureBeef_CrudeProtein[],Table_AustralianStates[Common Name],Table_AustralianStates[Abbreviation])</f>
        <v>0.06</v>
      </c>
      <c r="H162" s="52">
        <f>InputFunctions_PastureBeef.LookupValueFromStateRegionSeason($E$7,$E$8,$D162, Table_SourceData_PastureBeef_CrudeProtein[State],Table_SourceData_PastureBeef_CrudeProtein[Region],Table_SourceData_PastureBeef_CrudeProtein[#Headers],Table_SourceData_PastureBeef_CrudeProtein[],Table_AustralianStates[Common Name],Table_AustralianStates[Abbreviation])</f>
        <v>0.06</v>
      </c>
      <c r="I162" s="52">
        <f>InputFunctions_PastureBeef.LookupValueFromStateRegionSeason($E$7,$E$8,$D162, Table_SourceData_PastureBeef_CrudeProtein[State],Table_SourceData_PastureBeef_CrudeProtein[Region],Table_SourceData_PastureBeef_CrudeProtein[#Headers],Table_SourceData_PastureBeef_CrudeProtein[],Table_AustralianStates[Common Name],Table_AustralianStates[Abbreviation])</f>
        <v>0.06</v>
      </c>
      <c r="J162" s="52">
        <f>InputFunctions_PastureBeef.LookupValueFromStateRegionSeason($E$7,$E$8,$D162, Table_SourceData_PastureBeef_CrudeProtein[State],Table_SourceData_PastureBeef_CrudeProtein[Region],Table_SourceData_PastureBeef_CrudeProtein[#Headers],Table_SourceData_PastureBeef_CrudeProtein[],Table_AustralianStates[Common Name],Table_AustralianStates[Abbreviation])</f>
        <v>0.06</v>
      </c>
      <c r="K162" s="52">
        <f>InputFunctions_PastureBeef.LookupValueFromStateRegionSeason($E$7,$E$8,$D162, Table_SourceData_PastureBeef_CrudeProtein[State],Table_SourceData_PastureBeef_CrudeProtein[Region],Table_SourceData_PastureBeef_CrudeProtein[#Headers],Table_SourceData_PastureBeef_CrudeProtein[],Table_AustralianStates[Common Name],Table_AustralianStates[Abbreviation])</f>
        <v>0.06</v>
      </c>
      <c r="L162" s="52">
        <f>InputFunctions_PastureBeef.LookupValueFromStateRegionSeason($E$7,$E$8,$D162, Table_SourceData_PastureBeef_CrudeProtein[State],Table_SourceData_PastureBeef_CrudeProtein[Region],Table_SourceData_PastureBeef_CrudeProtein[#Headers],Table_SourceData_PastureBeef_CrudeProtein[],Table_AustralianStates[Common Name],Table_AustralianStates[Abbreviation])</f>
        <v>0.06</v>
      </c>
      <c r="M162" s="52">
        <f>InputFunctions_PastureBeef.LookupValueFromStateRegionSeason($E$7,$E$8,$D162, Table_SourceData_PastureBeef_CrudeProtein[State],Table_SourceData_PastureBeef_CrudeProtein[Region],Table_SourceData_PastureBeef_CrudeProtein[#Headers],Table_SourceData_PastureBeef_CrudeProtein[],Table_AustralianStates[Common Name],Table_AustralianStates[Abbreviation])</f>
        <v>0.06</v>
      </c>
      <c r="N162" s="52">
        <f>InputFunctions_PastureBeef.LookupValueFromStateRegionSeason($E$7,$E$8,$D162, Table_SourceData_PastureBeef_CrudeProtein[State],Table_SourceData_PastureBeef_CrudeProtein[Region],Table_SourceData_PastureBeef_CrudeProtein[#Headers],Table_SourceData_PastureBeef_CrudeProtein[],Table_AustralianStates[Common Name],Table_AustralianStates[Abbreviation])</f>
        <v>0.06</v>
      </c>
      <c r="O162" s="2" t="s">
        <v>141</v>
      </c>
    </row>
    <row r="163" spans="4:15" ht="20.100000000000001" customHeight="1" x14ac:dyDescent="0.25">
      <c r="D163" s="1" t="s">
        <v>176</v>
      </c>
      <c r="E163" s="52">
        <f>InputFunctions_PastureBeef.LookupValueFromStateRegionSeason($E$7,$E$8,$D163, Table_SourceData_PastureBeef_CrudeProtein[State],Table_SourceData_PastureBeef_CrudeProtein[Region],Table_SourceData_PastureBeef_CrudeProtein[#Headers],Table_SourceData_PastureBeef_CrudeProtein[],Table_AustralianStates[Common Name],Table_AustralianStates[Abbreviation])</f>
        <v>0.2</v>
      </c>
      <c r="F163" s="52">
        <f>InputFunctions_PastureBeef.LookupValueFromStateRegionSeason($E$7,$E$8,$D163, Table_SourceData_PastureBeef_CrudeProtein[State],Table_SourceData_PastureBeef_CrudeProtein[Region],Table_SourceData_PastureBeef_CrudeProtein[#Headers],Table_SourceData_PastureBeef_CrudeProtein[],Table_AustralianStates[Common Name],Table_AustralianStates[Abbreviation])</f>
        <v>0.2</v>
      </c>
      <c r="G163" s="52">
        <f>InputFunctions_PastureBeef.LookupValueFromStateRegionSeason($E$7,$E$8,$D163, Table_SourceData_PastureBeef_CrudeProtein[State],Table_SourceData_PastureBeef_CrudeProtein[Region],Table_SourceData_PastureBeef_CrudeProtein[#Headers],Table_SourceData_PastureBeef_CrudeProtein[],Table_AustralianStates[Common Name],Table_AustralianStates[Abbreviation])</f>
        <v>0.2</v>
      </c>
      <c r="H163" s="52">
        <f>InputFunctions_PastureBeef.LookupValueFromStateRegionSeason($E$7,$E$8,$D163, Table_SourceData_PastureBeef_CrudeProtein[State],Table_SourceData_PastureBeef_CrudeProtein[Region],Table_SourceData_PastureBeef_CrudeProtein[#Headers],Table_SourceData_PastureBeef_CrudeProtein[],Table_AustralianStates[Common Name],Table_AustralianStates[Abbreviation])</f>
        <v>0.2</v>
      </c>
      <c r="I163" s="52">
        <f>InputFunctions_PastureBeef.LookupValueFromStateRegionSeason($E$7,$E$8,$D163, Table_SourceData_PastureBeef_CrudeProtein[State],Table_SourceData_PastureBeef_CrudeProtein[Region],Table_SourceData_PastureBeef_CrudeProtein[#Headers],Table_SourceData_PastureBeef_CrudeProtein[],Table_AustralianStates[Common Name],Table_AustralianStates[Abbreviation])</f>
        <v>0.2</v>
      </c>
      <c r="J163" s="52">
        <f>InputFunctions_PastureBeef.LookupValueFromStateRegionSeason($E$7,$E$8,$D163, Table_SourceData_PastureBeef_CrudeProtein[State],Table_SourceData_PastureBeef_CrudeProtein[Region],Table_SourceData_PastureBeef_CrudeProtein[#Headers],Table_SourceData_PastureBeef_CrudeProtein[],Table_AustralianStates[Common Name],Table_AustralianStates[Abbreviation])</f>
        <v>0.2</v>
      </c>
      <c r="K163" s="52">
        <f>InputFunctions_PastureBeef.LookupValueFromStateRegionSeason($E$7,$E$8,$D163, Table_SourceData_PastureBeef_CrudeProtein[State],Table_SourceData_PastureBeef_CrudeProtein[Region],Table_SourceData_PastureBeef_CrudeProtein[#Headers],Table_SourceData_PastureBeef_CrudeProtein[],Table_AustralianStates[Common Name],Table_AustralianStates[Abbreviation])</f>
        <v>0.2</v>
      </c>
      <c r="L163" s="52">
        <f>InputFunctions_PastureBeef.LookupValueFromStateRegionSeason($E$7,$E$8,$D163, Table_SourceData_PastureBeef_CrudeProtein[State],Table_SourceData_PastureBeef_CrudeProtein[Region],Table_SourceData_PastureBeef_CrudeProtein[#Headers],Table_SourceData_PastureBeef_CrudeProtein[],Table_AustralianStates[Common Name],Table_AustralianStates[Abbreviation])</f>
        <v>0.2</v>
      </c>
      <c r="M163" s="52">
        <f>InputFunctions_PastureBeef.LookupValueFromStateRegionSeason($E$7,$E$8,$D163, Table_SourceData_PastureBeef_CrudeProtein[State],Table_SourceData_PastureBeef_CrudeProtein[Region],Table_SourceData_PastureBeef_CrudeProtein[#Headers],Table_SourceData_PastureBeef_CrudeProtein[],Table_AustralianStates[Common Name],Table_AustralianStates[Abbreviation])</f>
        <v>0.2</v>
      </c>
      <c r="N163" s="52">
        <f>InputFunctions_PastureBeef.LookupValueFromStateRegionSeason($E$7,$E$8,$D163, Table_SourceData_PastureBeef_CrudeProtein[State],Table_SourceData_PastureBeef_CrudeProtein[Region],Table_SourceData_PastureBeef_CrudeProtein[#Headers],Table_SourceData_PastureBeef_CrudeProtein[],Table_AustralianStates[Common Name],Table_AustralianStates[Abbreviation])</f>
        <v>0.2</v>
      </c>
      <c r="O163" s="2" t="s">
        <v>141</v>
      </c>
    </row>
    <row r="164" spans="4:15" ht="20.100000000000001" customHeight="1" x14ac:dyDescent="0.25"/>
    <row r="165" spans="4:15" ht="20.100000000000001" customHeight="1" x14ac:dyDescent="0.25">
      <c r="D165" s="63" t="s">
        <v>180</v>
      </c>
      <c r="E165" s="63" t="s">
        <v>131</v>
      </c>
      <c r="F165" s="63" t="s">
        <v>130</v>
      </c>
      <c r="G165" s="63" t="s">
        <v>165</v>
      </c>
      <c r="H165" s="63" t="s">
        <v>166</v>
      </c>
      <c r="I165" s="63" t="s">
        <v>167</v>
      </c>
      <c r="J165" s="63" t="s">
        <v>168</v>
      </c>
      <c r="K165" s="63" t="s">
        <v>169</v>
      </c>
      <c r="L165" s="63" t="s">
        <v>170</v>
      </c>
      <c r="M165" s="63" t="s">
        <v>171</v>
      </c>
      <c r="N165" s="63" t="s">
        <v>172</v>
      </c>
    </row>
    <row r="166" spans="4:15" x14ac:dyDescent="0.25">
      <c r="D166" s="1" t="str">
        <f>TEXT('Input - Site'!$E$12, "mmmm yyyy")</f>
        <v>January 2024</v>
      </c>
      <c r="E166" s="66">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66" s="66">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66" s="66">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66" s="66">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66" s="66">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66" s="66">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66" s="66">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66" s="66">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66" s="66">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66" s="66">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66" s="2" t="s">
        <v>141</v>
      </c>
    </row>
    <row r="167" spans="4:15" x14ac:dyDescent="0.25">
      <c r="D167" s="1" t="str">
        <f>TEXT(EDATE('Input - Site'!$E$12,1), "mmmm yyyy")</f>
        <v>February 2024</v>
      </c>
      <c r="E167" s="66">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67" s="66">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67" s="66">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67" s="66">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67" s="66">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67" s="66">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67" s="66">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67" s="66">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67" s="66">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67" s="66">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67" s="2" t="s">
        <v>141</v>
      </c>
    </row>
    <row r="168" spans="4:15" x14ac:dyDescent="0.25">
      <c r="D168" s="1" t="str">
        <f>TEXT(EDATE('Input - Site'!$E$12,2), "mmmm yyyy")</f>
        <v>March 2024</v>
      </c>
      <c r="E168" s="66">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68" s="66">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68" s="66">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68" s="66">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68" s="66">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68" s="66">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68" s="66">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68" s="66">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68" s="66">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68" s="66">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68" s="2" t="s">
        <v>141</v>
      </c>
    </row>
    <row r="169" spans="4:15" x14ac:dyDescent="0.25">
      <c r="D169" s="1" t="str">
        <f>TEXT(EDATE('Input - Site'!$E$12,3), "mmmm yyyy")</f>
        <v>April 2024</v>
      </c>
      <c r="E169" s="66">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69" s="66">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69" s="66">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69" s="66">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69" s="66">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69" s="66">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69" s="66">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69" s="66">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69" s="66">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69" s="66">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69" s="2" t="s">
        <v>141</v>
      </c>
    </row>
    <row r="170" spans="4:15" x14ac:dyDescent="0.25">
      <c r="D170" s="1" t="str">
        <f>TEXT(EDATE('Input - Site'!$E$12,4), "mmmm yyyy")</f>
        <v>May 2024</v>
      </c>
      <c r="E170" s="66">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70" s="66">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70" s="66">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70" s="66">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70" s="66">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70" s="66">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70" s="66">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70" s="66">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70" s="66">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70" s="66">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70" s="2" t="s">
        <v>141</v>
      </c>
    </row>
    <row r="171" spans="4:15" x14ac:dyDescent="0.25">
      <c r="D171" s="1" t="str">
        <f>TEXT(EDATE('Input - Site'!$E$12,5), "mmmm yyyy")</f>
        <v>June 2024</v>
      </c>
      <c r="E171" s="66">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71" s="66">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71" s="66">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71" s="66">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71" s="66">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71" s="66">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71" s="66">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71" s="66">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71" s="66">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71" s="66">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71" s="2" t="s">
        <v>141</v>
      </c>
    </row>
    <row r="172" spans="4:15" x14ac:dyDescent="0.25">
      <c r="D172" s="1" t="str">
        <f>TEXT(EDATE('Input - Site'!$E$12,6), "mmmm yyyy")</f>
        <v>July 2024</v>
      </c>
      <c r="E172" s="66">
        <f>InputFunctions_PastureBeef.LookupValueFromStateRegionMonth($E$7,$E$8,$D172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72" s="66">
        <f>InputFunctions_PastureBeef.LookupValueFromStateRegionMonth($E$7,$E$8,$D172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72" s="66">
        <f>InputFunctions_PastureBeef.LookupValueFromStateRegionMonth($E$7,$E$8,$D172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72" s="66">
        <f>InputFunctions_PastureBeef.LookupValueFromStateRegionMonth($E$7,$E$8,$D172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72" s="66">
        <f>InputFunctions_PastureBeef.LookupValueFromStateRegionMonth($E$7,$E$8,$D172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72" s="66">
        <f>InputFunctions_PastureBeef.LookupValueFromStateRegionMonth($E$7,$E$8,$D172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72" s="66">
        <f>InputFunctions_PastureBeef.LookupValueFromStateRegionMonth($E$7,$E$8,$D172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72" s="66">
        <f>InputFunctions_PastureBeef.LookupValueFromStateRegionMonth($E$7,$E$8,$D172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72" s="66">
        <f>InputFunctions_PastureBeef.LookupValueFromStateRegionMonth($E$7,$E$8,$D172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72" s="66">
        <f>InputFunctions_PastureBeef.LookupValueFromStateRegionMonth($E$7,$E$8,$D172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72" s="2" t="s">
        <v>141</v>
      </c>
    </row>
    <row r="173" spans="4:15" x14ac:dyDescent="0.25">
      <c r="D173" s="1" t="str">
        <f>TEXT(EDATE('Input - Site'!$E$12,7), "mmmm yyyy")</f>
        <v>August 2024</v>
      </c>
      <c r="E173" s="66">
        <f>InputFunctions_PastureBeef.LookupValueFromStateRegionMonth($E$7,$E$8,$D173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73" s="66">
        <f>InputFunctions_PastureBeef.LookupValueFromStateRegionMonth($E$7,$E$8,$D173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73" s="66">
        <f>InputFunctions_PastureBeef.LookupValueFromStateRegionMonth($E$7,$E$8,$D173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73" s="66">
        <f>InputFunctions_PastureBeef.LookupValueFromStateRegionMonth($E$7,$E$8,$D173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73" s="66">
        <f>InputFunctions_PastureBeef.LookupValueFromStateRegionMonth($E$7,$E$8,$D173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73" s="66">
        <f>InputFunctions_PastureBeef.LookupValueFromStateRegionMonth($E$7,$E$8,$D173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73" s="66">
        <f>InputFunctions_PastureBeef.LookupValueFromStateRegionMonth($E$7,$E$8,$D173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73" s="66">
        <f>InputFunctions_PastureBeef.LookupValueFromStateRegionMonth($E$7,$E$8,$D173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73" s="66">
        <f>InputFunctions_PastureBeef.LookupValueFromStateRegionMonth($E$7,$E$8,$D173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73" s="66">
        <f>InputFunctions_PastureBeef.LookupValueFromStateRegionMonth($E$7,$E$8,$D173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73" s="2" t="s">
        <v>141</v>
      </c>
    </row>
    <row r="174" spans="4:15" x14ac:dyDescent="0.25">
      <c r="D174" s="1" t="str">
        <f>TEXT(EDATE('Input - Site'!$E$12,8), "mmmm yyyy")</f>
        <v>September 2024</v>
      </c>
      <c r="E174" s="66">
        <f>InputFunctions_PastureBeef.LookupValueFromStateRegionMonth($E$7,$E$8,$D174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74" s="66">
        <f>InputFunctions_PastureBeef.LookupValueFromStateRegionMonth($E$7,$E$8,$D174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74" s="66">
        <f>InputFunctions_PastureBeef.LookupValueFromStateRegionMonth($E$7,$E$8,$D174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74" s="66">
        <f>InputFunctions_PastureBeef.LookupValueFromStateRegionMonth($E$7,$E$8,$D174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74" s="66">
        <f>InputFunctions_PastureBeef.LookupValueFromStateRegionMonth($E$7,$E$8,$D174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74" s="66">
        <f>InputFunctions_PastureBeef.LookupValueFromStateRegionMonth($E$7,$E$8,$D174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74" s="66">
        <f>InputFunctions_PastureBeef.LookupValueFromStateRegionMonth($E$7,$E$8,$D174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74" s="66">
        <f>InputFunctions_PastureBeef.LookupValueFromStateRegionMonth($E$7,$E$8,$D174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74" s="66">
        <f>InputFunctions_PastureBeef.LookupValueFromStateRegionMonth($E$7,$E$8,$D174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74" s="66">
        <f>InputFunctions_PastureBeef.LookupValueFromStateRegionMonth($E$7,$E$8,$D174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74" s="2" t="s">
        <v>141</v>
      </c>
    </row>
    <row r="175" spans="4:15" x14ac:dyDescent="0.25">
      <c r="D175" s="1" t="str">
        <f>TEXT(EDATE('Input - Site'!$E$12,9), "mmmm yyyy")</f>
        <v>October 2024</v>
      </c>
      <c r="E175" s="66">
        <f>InputFunctions_PastureBeef.LookupValueFromStateRegionMonth($E$7,$E$8,$D175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75" s="66">
        <f>InputFunctions_PastureBeef.LookupValueFromStateRegionMonth($E$7,$E$8,$D175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75" s="66">
        <f>InputFunctions_PastureBeef.LookupValueFromStateRegionMonth($E$7,$E$8,$D175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75" s="66">
        <f>InputFunctions_PastureBeef.LookupValueFromStateRegionMonth($E$7,$E$8,$D175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75" s="66">
        <f>InputFunctions_PastureBeef.LookupValueFromStateRegionMonth($E$7,$E$8,$D175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75" s="66">
        <f>InputFunctions_PastureBeef.LookupValueFromStateRegionMonth($E$7,$E$8,$D175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75" s="66">
        <f>InputFunctions_PastureBeef.LookupValueFromStateRegionMonth($E$7,$E$8,$D175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75" s="66">
        <f>InputFunctions_PastureBeef.LookupValueFromStateRegionMonth($E$7,$E$8,$D175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75" s="66">
        <f>InputFunctions_PastureBeef.LookupValueFromStateRegionMonth($E$7,$E$8,$D175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75" s="66">
        <f>InputFunctions_PastureBeef.LookupValueFromStateRegionMonth($E$7,$E$8,$D175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75" s="2" t="s">
        <v>141</v>
      </c>
    </row>
    <row r="176" spans="4:15" x14ac:dyDescent="0.25">
      <c r="D176" s="1" t="str">
        <f>TEXT(EDATE('Input - Site'!$E$12,10), "mmmm yyyy")</f>
        <v>November 2024</v>
      </c>
      <c r="E176" s="66">
        <f>InputFunctions_PastureBeef.LookupValueFromStateRegionMonth($E$7,$E$8,$D176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76" s="66">
        <f>InputFunctions_PastureBeef.LookupValueFromStateRegionMonth($E$7,$E$8,$D176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76" s="66">
        <f>InputFunctions_PastureBeef.LookupValueFromStateRegionMonth($E$7,$E$8,$D176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76" s="66">
        <f>InputFunctions_PastureBeef.LookupValueFromStateRegionMonth($E$7,$E$8,$D176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76" s="66">
        <f>InputFunctions_PastureBeef.LookupValueFromStateRegionMonth($E$7,$E$8,$D176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76" s="66">
        <f>InputFunctions_PastureBeef.LookupValueFromStateRegionMonth($E$7,$E$8,$D176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76" s="66">
        <f>InputFunctions_PastureBeef.LookupValueFromStateRegionMonth($E$7,$E$8,$D176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76" s="66">
        <f>InputFunctions_PastureBeef.LookupValueFromStateRegionMonth($E$7,$E$8,$D176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76" s="66">
        <f>InputFunctions_PastureBeef.LookupValueFromStateRegionMonth($E$7,$E$8,$D176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76" s="66">
        <f>InputFunctions_PastureBeef.LookupValueFromStateRegionMonth($E$7,$E$8,$D176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76" s="2" t="s">
        <v>141</v>
      </c>
    </row>
    <row r="177" spans="4:15" x14ac:dyDescent="0.25">
      <c r="D177" s="1" t="str">
        <f>TEXT(EDATE('Input - Site'!$E$12,11), "mmmm yyyy")</f>
        <v>December 2024</v>
      </c>
      <c r="E177" s="66">
        <f>InputFunctions_PastureBeef.LookupValueFromStateRegionMonth($E$7,$E$8,$D177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77" s="66">
        <f>InputFunctions_PastureBeef.LookupValueFromStateRegionMonth($E$7,$E$8,$D177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77" s="66">
        <f>InputFunctions_PastureBeef.LookupValueFromStateRegionMonth($E$7,$E$8,$D177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77" s="66">
        <f>InputFunctions_PastureBeef.LookupValueFromStateRegionMonth($E$7,$E$8,$D177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77" s="66">
        <f>InputFunctions_PastureBeef.LookupValueFromStateRegionMonth($E$7,$E$8,$D177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77" s="66">
        <f>InputFunctions_PastureBeef.LookupValueFromStateRegionMonth($E$7,$E$8,$D177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77" s="66">
        <f>InputFunctions_PastureBeef.LookupValueFromStateRegionMonth($E$7,$E$8,$D177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77" s="66">
        <f>InputFunctions_PastureBeef.LookupValueFromStateRegionMonth($E$7,$E$8,$D177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77" s="66">
        <f>InputFunctions_PastureBeef.LookupValueFromStateRegionMonth($E$7,$E$8,$D177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77" s="66">
        <f>InputFunctions_PastureBeef.LookupValueFromStateRegionMonth($E$7,$E$8,$D177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77" s="2" t="s">
        <v>141</v>
      </c>
    </row>
    <row r="178" spans="4:15" x14ac:dyDescent="0.25">
      <c r="L178" s="2"/>
      <c r="M178" s="2"/>
      <c r="N178" s="2"/>
      <c r="O178" s="2"/>
    </row>
    <row r="179" spans="4:15" x14ac:dyDescent="0.25">
      <c r="L179" s="2"/>
      <c r="M179" s="2"/>
      <c r="N179" s="2"/>
      <c r="O179" s="2"/>
    </row>
    <row r="180" spans="4:15" ht="18.75" x14ac:dyDescent="0.25">
      <c r="D180" s="48" t="s">
        <v>269</v>
      </c>
      <c r="L180" s="2"/>
      <c r="M180" s="2"/>
      <c r="N180" s="2"/>
      <c r="O180" s="2"/>
    </row>
    <row r="182" spans="4:15" x14ac:dyDescent="0.25">
      <c r="D182" s="1" t="s">
        <v>270</v>
      </c>
      <c r="E182" s="39" t="s">
        <v>139</v>
      </c>
      <c r="F182" s="2" t="s">
        <v>11</v>
      </c>
      <c r="L182" s="2"/>
      <c r="M182" s="2"/>
      <c r="N182" s="2"/>
      <c r="O182" s="2"/>
    </row>
    <row r="184" spans="4:15" x14ac:dyDescent="0.25">
      <c r="D184" s="63" t="s">
        <v>21</v>
      </c>
      <c r="E184" s="63" t="s">
        <v>271</v>
      </c>
      <c r="L184" s="2"/>
      <c r="M184" s="2"/>
      <c r="N184" s="2"/>
      <c r="O184" s="2"/>
    </row>
    <row r="185" spans="4:15" x14ac:dyDescent="0.25">
      <c r="D185" s="1" t="s">
        <v>138</v>
      </c>
      <c r="E185" s="119">
        <f>IF($E$182="Yes", 1,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Name],Table_AustralianStates[Abbreviation]),$E$8,Table_SourceData_PastureBeef_FractionManureToMMS[State],Table_SourceData_PastureBeef_FractionManureToMMS[Region],Table_SourceData_PastureBeef_FractionManureToMMS[Pasture range and paddock]))/100</f>
        <v>0.99621999999999999</v>
      </c>
      <c r="F185" s="2" t="s">
        <v>19</v>
      </c>
      <c r="L185" s="2"/>
      <c r="M185" s="2"/>
      <c r="N185" s="2"/>
      <c r="O185" s="2"/>
    </row>
    <row r="186" spans="4:15" x14ac:dyDescent="0.25">
      <c r="D186" s="1" t="s">
        <v>272</v>
      </c>
      <c r="E186" s="119">
        <f>IF($E$182="Yes", 0,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Name],Table_AustralianStates[Abbreviation]),$E$8,Table_SourceData_PastureBeef_FractionManureToMMS[State],Table_SourceData_PastureBeef_FractionManureToMMS[Region],Table_SourceData_PastureBeef_FractionManureToMMS[Uncovered Anaerobic lagoon]))/100</f>
        <v>3.7799999999999999E-3</v>
      </c>
      <c r="F186" s="2" t="s">
        <v>19</v>
      </c>
      <c r="L186" s="2"/>
      <c r="M186" s="2"/>
      <c r="N186" s="2"/>
      <c r="O186" s="2"/>
    </row>
    <row r="187" spans="4:15" x14ac:dyDescent="0.25">
      <c r="L187" s="2"/>
      <c r="M187" s="2"/>
      <c r="N187" s="2"/>
      <c r="O187" s="2"/>
    </row>
    <row r="189" spans="4:15" x14ac:dyDescent="0.25">
      <c r="D189" s="1" t="s">
        <v>331</v>
      </c>
      <c r="E189" s="39" t="s">
        <v>338</v>
      </c>
      <c r="F189" s="2" t="s">
        <v>11</v>
      </c>
      <c r="L189" s="2"/>
      <c r="M189" s="2"/>
      <c r="N189" s="2"/>
      <c r="O189" s="2"/>
    </row>
    <row r="190" spans="4:15" x14ac:dyDescent="0.25">
      <c r="E190" s="39" t="s">
        <v>121</v>
      </c>
      <c r="F190" s="2" t="s">
        <v>11</v>
      </c>
    </row>
    <row r="195" spans="12:15" x14ac:dyDescent="0.25">
      <c r="L195" s="2"/>
      <c r="M195" s="2"/>
      <c r="N195" s="2"/>
      <c r="O195" s="2"/>
    </row>
    <row r="198" spans="12:15" x14ac:dyDescent="0.25">
      <c r="L198" s="2"/>
      <c r="M198" s="2"/>
      <c r="N198" s="2"/>
      <c r="O198" s="2"/>
    </row>
    <row r="206" spans="12:15" x14ac:dyDescent="0.25">
      <c r="L206" s="2"/>
      <c r="M206" s="2"/>
      <c r="N206" s="2"/>
      <c r="O206" s="2"/>
    </row>
    <row r="207" spans="12:15" x14ac:dyDescent="0.25">
      <c r="L207" s="2"/>
      <c r="M207" s="2"/>
      <c r="N207" s="2"/>
      <c r="O207" s="2"/>
    </row>
    <row r="208" spans="12:15" x14ac:dyDescent="0.25">
      <c r="L208" s="2"/>
      <c r="M208" s="2"/>
      <c r="N208" s="2"/>
      <c r="O208" s="2"/>
    </row>
    <row r="209" spans="12:15" x14ac:dyDescent="0.25">
      <c r="L209" s="2"/>
      <c r="M209" s="2"/>
      <c r="N209" s="2"/>
      <c r="O209" s="2"/>
    </row>
    <row r="210" spans="12:15" x14ac:dyDescent="0.25">
      <c r="L210" s="2"/>
      <c r="M210" s="2"/>
      <c r="N210" s="2"/>
      <c r="O210" s="2"/>
    </row>
    <row r="212" spans="12:15" x14ac:dyDescent="0.25">
      <c r="L212" s="2"/>
      <c r="M212" s="2"/>
      <c r="N212" s="2"/>
      <c r="O212" s="2"/>
    </row>
    <row r="214" spans="12:15" x14ac:dyDescent="0.25">
      <c r="L214" s="2"/>
      <c r="M214" s="2"/>
      <c r="N214" s="2"/>
      <c r="O214" s="2"/>
    </row>
    <row r="215" spans="12:15" x14ac:dyDescent="0.25">
      <c r="L215" s="2"/>
      <c r="M215" s="2"/>
      <c r="N215" s="2"/>
      <c r="O215" s="2"/>
    </row>
    <row r="216" spans="12:15" x14ac:dyDescent="0.25">
      <c r="L216" s="2"/>
      <c r="M216" s="2"/>
      <c r="N216" s="2"/>
      <c r="O216" s="2"/>
    </row>
    <row r="217" spans="12:15" x14ac:dyDescent="0.25">
      <c r="L217" s="2"/>
      <c r="M217" s="2"/>
      <c r="N217" s="2"/>
      <c r="O217" s="2"/>
    </row>
    <row r="219" spans="12:15" x14ac:dyDescent="0.25">
      <c r="L219" s="2"/>
      <c r="M219" s="2"/>
      <c r="N219" s="2"/>
      <c r="O219" s="2"/>
    </row>
    <row r="227" spans="12:15" x14ac:dyDescent="0.25">
      <c r="L227" s="2"/>
      <c r="M227" s="2"/>
      <c r="N227" s="2"/>
      <c r="O227" s="2"/>
    </row>
    <row r="228" spans="12:15" x14ac:dyDescent="0.25">
      <c r="L228" s="2"/>
      <c r="M228" s="2"/>
      <c r="N228" s="2"/>
      <c r="O228" s="2"/>
    </row>
    <row r="229" spans="12:15" x14ac:dyDescent="0.25">
      <c r="L229" s="2"/>
      <c r="M229" s="2"/>
      <c r="N229" s="2"/>
      <c r="O229" s="2"/>
    </row>
    <row r="232" spans="12:15" x14ac:dyDescent="0.25">
      <c r="L232" s="2"/>
      <c r="M232" s="2"/>
      <c r="N232" s="2"/>
      <c r="O232" s="2"/>
    </row>
    <row r="233" spans="12:15" x14ac:dyDescent="0.25">
      <c r="L233" s="2"/>
      <c r="M233" s="2"/>
      <c r="N233" s="2"/>
      <c r="O233" s="2"/>
    </row>
    <row r="234" spans="12:15" x14ac:dyDescent="0.25">
      <c r="L234" s="2"/>
      <c r="M234" s="2"/>
      <c r="N234" s="2"/>
      <c r="O234" s="2"/>
    </row>
    <row r="237" spans="12:15" x14ac:dyDescent="0.25">
      <c r="L237" s="2"/>
      <c r="M237" s="2"/>
      <c r="N237" s="2"/>
      <c r="O237" s="2"/>
    </row>
    <row r="238" spans="12:15" x14ac:dyDescent="0.25">
      <c r="L238" s="2"/>
      <c r="M238" s="2"/>
      <c r="N238" s="2"/>
      <c r="O238" s="2"/>
    </row>
    <row r="239" spans="12:15" x14ac:dyDescent="0.25">
      <c r="L239" s="2"/>
      <c r="M239" s="2"/>
      <c r="N239" s="2"/>
      <c r="O239" s="2"/>
    </row>
    <row r="242" spans="11:15" x14ac:dyDescent="0.25">
      <c r="L242" s="2"/>
      <c r="M242" s="2"/>
      <c r="N242" s="2"/>
      <c r="O242" s="2"/>
    </row>
    <row r="243" spans="11:15" x14ac:dyDescent="0.25">
      <c r="K243" s="2"/>
      <c r="L243" s="2"/>
      <c r="M243" s="2"/>
      <c r="N243" s="2"/>
      <c r="O243" s="2"/>
    </row>
    <row r="244" spans="11:15" x14ac:dyDescent="0.25">
      <c r="L244" s="2"/>
      <c r="M244" s="2"/>
      <c r="N244" s="2"/>
      <c r="O244" s="2"/>
    </row>
    <row r="248" spans="11:15" x14ac:dyDescent="0.25">
      <c r="K248" s="2"/>
    </row>
    <row r="251" spans="11:15" x14ac:dyDescent="0.25">
      <c r="L251" s="2"/>
      <c r="M251" s="2"/>
      <c r="N251" s="2"/>
      <c r="O251" s="2"/>
    </row>
    <row r="252" spans="11:15" x14ac:dyDescent="0.25">
      <c r="L252" s="2"/>
      <c r="M252" s="2"/>
      <c r="N252" s="2"/>
      <c r="O252" s="2"/>
    </row>
    <row r="253" spans="11:15" x14ac:dyDescent="0.25">
      <c r="K253" s="2"/>
      <c r="L253" s="2"/>
      <c r="M253" s="2"/>
      <c r="N253" s="2"/>
      <c r="O253" s="2"/>
    </row>
    <row r="256" spans="11:15" x14ac:dyDescent="0.25">
      <c r="L256" s="2"/>
      <c r="M256" s="2"/>
      <c r="N256" s="2"/>
      <c r="O256" s="2"/>
    </row>
    <row r="257" spans="11:15" x14ac:dyDescent="0.25">
      <c r="L257" s="2"/>
      <c r="M257" s="2"/>
      <c r="N257" s="2"/>
      <c r="O257" s="2"/>
    </row>
    <row r="258" spans="11:15" x14ac:dyDescent="0.25">
      <c r="K258" s="2"/>
      <c r="L258" s="2"/>
      <c r="M258" s="2"/>
      <c r="N258" s="2"/>
      <c r="O258" s="2"/>
    </row>
    <row r="259" spans="11:15" x14ac:dyDescent="0.25">
      <c r="K259" s="2"/>
    </row>
    <row r="260" spans="11:15" x14ac:dyDescent="0.25">
      <c r="K260" s="2"/>
    </row>
    <row r="261" spans="11:15" x14ac:dyDescent="0.25">
      <c r="K261" s="2"/>
      <c r="L261" s="2"/>
      <c r="M261" s="2"/>
      <c r="N261" s="2"/>
      <c r="O261" s="2"/>
    </row>
    <row r="262" spans="11:15" x14ac:dyDescent="0.25">
      <c r="K262" s="2"/>
      <c r="L262" s="2"/>
      <c r="M262" s="2"/>
      <c r="N262" s="2"/>
      <c r="O262" s="2"/>
    </row>
    <row r="263" spans="11:15" x14ac:dyDescent="0.25">
      <c r="L263" s="2"/>
      <c r="M263" s="2"/>
      <c r="N263" s="2"/>
      <c r="O263" s="2"/>
    </row>
    <row r="264" spans="11:15" x14ac:dyDescent="0.25">
      <c r="K264" s="2"/>
    </row>
    <row r="266" spans="11:15" x14ac:dyDescent="0.25">
      <c r="K266" s="2"/>
      <c r="L266" s="2"/>
      <c r="M266" s="2"/>
      <c r="N266" s="2"/>
      <c r="O266" s="2"/>
    </row>
    <row r="267" spans="11:15" x14ac:dyDescent="0.25">
      <c r="K267" s="2"/>
      <c r="L267" s="2"/>
      <c r="M267" s="2"/>
      <c r="N267" s="2"/>
      <c r="O267" s="2"/>
    </row>
    <row r="268" spans="11:15" x14ac:dyDescent="0.25">
      <c r="K268" s="2"/>
      <c r="L268" s="2"/>
      <c r="M268" s="2"/>
      <c r="N268" s="2"/>
      <c r="O268" s="2"/>
    </row>
    <row r="269" spans="11:15" x14ac:dyDescent="0.25">
      <c r="K269" s="2"/>
    </row>
    <row r="271" spans="11:15" x14ac:dyDescent="0.25">
      <c r="K271" s="2"/>
    </row>
    <row r="277" spans="11:11" x14ac:dyDescent="0.25">
      <c r="K277" s="2"/>
    </row>
    <row r="282" spans="11:11" x14ac:dyDescent="0.25">
      <c r="K282" s="2"/>
    </row>
    <row r="287" spans="11:11" x14ac:dyDescent="0.25">
      <c r="K287" s="2"/>
    </row>
    <row r="292" spans="11:11" x14ac:dyDescent="0.25">
      <c r="K292" s="2"/>
    </row>
    <row r="293" spans="11:11" x14ac:dyDescent="0.25">
      <c r="K293" s="2"/>
    </row>
    <row r="294" spans="11:11" x14ac:dyDescent="0.25">
      <c r="K294" s="2"/>
    </row>
    <row r="295" spans="11:11" x14ac:dyDescent="0.25">
      <c r="K295" s="2"/>
    </row>
    <row r="296" spans="11:11" x14ac:dyDescent="0.25">
      <c r="K296" s="2"/>
    </row>
    <row r="298" spans="11:11" x14ac:dyDescent="0.25">
      <c r="K298" s="2"/>
    </row>
    <row r="300" spans="11:11" x14ac:dyDescent="0.25">
      <c r="K300" s="2"/>
    </row>
    <row r="301" spans="11:11" x14ac:dyDescent="0.25">
      <c r="K301" s="2"/>
    </row>
    <row r="302" spans="11:11" x14ac:dyDescent="0.25">
      <c r="K302" s="2"/>
    </row>
    <row r="303" spans="11:11" x14ac:dyDescent="0.25">
      <c r="K303" s="2"/>
    </row>
    <row r="305" spans="11:11" x14ac:dyDescent="0.25">
      <c r="K305" s="2"/>
    </row>
    <row r="313" spans="11:11" x14ac:dyDescent="0.25">
      <c r="K313" s="2"/>
    </row>
    <row r="314" spans="11:11" x14ac:dyDescent="0.25">
      <c r="K314" s="2"/>
    </row>
    <row r="315" spans="11:11" x14ac:dyDescent="0.25">
      <c r="K315" s="2"/>
    </row>
    <row r="318" spans="11:11" x14ac:dyDescent="0.25">
      <c r="K318" s="2"/>
    </row>
    <row r="319" spans="11:11" x14ac:dyDescent="0.25">
      <c r="K319" s="2"/>
    </row>
    <row r="320" spans="11:11" x14ac:dyDescent="0.25">
      <c r="K320" s="2"/>
    </row>
    <row r="323" spans="11:11" x14ac:dyDescent="0.25">
      <c r="K323" s="2"/>
    </row>
    <row r="324" spans="11:11" x14ac:dyDescent="0.25">
      <c r="K324" s="2"/>
    </row>
    <row r="325" spans="11:11" x14ac:dyDescent="0.25">
      <c r="K325" s="2"/>
    </row>
    <row r="328" spans="11:11" x14ac:dyDescent="0.25">
      <c r="K328" s="2"/>
    </row>
    <row r="329" spans="11:11" x14ac:dyDescent="0.25">
      <c r="K329" s="2"/>
    </row>
    <row r="330" spans="11:11" x14ac:dyDescent="0.25">
      <c r="K330" s="2"/>
    </row>
    <row r="337" spans="11:11" x14ac:dyDescent="0.25">
      <c r="K337" s="2"/>
    </row>
    <row r="338" spans="11:11" x14ac:dyDescent="0.25">
      <c r="K338" s="2"/>
    </row>
    <row r="339" spans="11:11" x14ac:dyDescent="0.25">
      <c r="K339" s="2"/>
    </row>
    <row r="342" spans="11:11" x14ac:dyDescent="0.25">
      <c r="K342" s="2"/>
    </row>
    <row r="343" spans="11:11" x14ac:dyDescent="0.25">
      <c r="K343" s="2"/>
    </row>
    <row r="344" spans="11:11" x14ac:dyDescent="0.25">
      <c r="K344" s="2"/>
    </row>
    <row r="347" spans="11:11" x14ac:dyDescent="0.25">
      <c r="K347" s="2"/>
    </row>
    <row r="348" spans="11:11" x14ac:dyDescent="0.25">
      <c r="K348" s="2"/>
    </row>
    <row r="349" spans="11:11" x14ac:dyDescent="0.25">
      <c r="K349" s="2"/>
    </row>
    <row r="352" spans="11:11" x14ac:dyDescent="0.25">
      <c r="K352" s="2"/>
    </row>
    <row r="353" spans="4:11" x14ac:dyDescent="0.25">
      <c r="K353" s="2"/>
    </row>
    <row r="354" spans="4:11" x14ac:dyDescent="0.25">
      <c r="K354" s="2"/>
    </row>
    <row r="356" spans="4:11" x14ac:dyDescent="0.25">
      <c r="D356" s="106"/>
    </row>
  </sheetData>
  <conditionalFormatting sqref="E106:G107 I106:O107">
    <cfRule type="cellIs" dxfId="47" priority="4" operator="lessThan">
      <formula>0</formula>
    </cfRule>
  </conditionalFormatting>
  <conditionalFormatting sqref="E129:G129 I136:O136">
    <cfRule type="cellIs" dxfId="46" priority="9" operator="lessThan">
      <formula>0</formula>
    </cfRule>
  </conditionalFormatting>
  <conditionalFormatting sqref="E102:O102 I118:O119 I122:O123 L178:O180 L182:O182 L184:O187 L189:O189 L195:O195 L198:O198 L206:O210 L212:O212 L214:O217 L219:O219 J223:J225 J228:J230 J243:K243 J248:K248 J253:K253 J258:K262 J264:K264 J266:K269 J271:K271 J277:K277 J282:K282 J287:K287 J292:K296 J298:K298 J300:K303 J305:K305">
    <cfRule type="cellIs" dxfId="45" priority="32" operator="lessThan">
      <formula>0</formula>
    </cfRule>
  </conditionalFormatting>
  <conditionalFormatting sqref="F245:F246">
    <cfRule type="cellIs" dxfId="44" priority="23" operator="lessThan">
      <formula>0</formula>
    </cfRule>
  </conditionalFormatting>
  <conditionalFormatting sqref="F250:F251">
    <cfRule type="cellIs" dxfId="43" priority="22" operator="lessThan">
      <formula>0</formula>
    </cfRule>
  </conditionalFormatting>
  <conditionalFormatting sqref="F255:F256">
    <cfRule type="cellIs" dxfId="42" priority="21" operator="lessThan">
      <formula>0</formula>
    </cfRule>
  </conditionalFormatting>
  <conditionalFormatting sqref="F279:F280">
    <cfRule type="cellIs" dxfId="41" priority="15" operator="lessThan">
      <formula>0</formula>
    </cfRule>
  </conditionalFormatting>
  <conditionalFormatting sqref="F284:F285">
    <cfRule type="cellIs" dxfId="40" priority="14" operator="lessThan">
      <formula>0</formula>
    </cfRule>
  </conditionalFormatting>
  <conditionalFormatting sqref="F289:F290">
    <cfRule type="cellIs" dxfId="39" priority="13" operator="lessThan">
      <formula>0</formula>
    </cfRule>
  </conditionalFormatting>
  <conditionalFormatting sqref="H112:O112 I113:O113">
    <cfRule type="cellIs" dxfId="38" priority="3" operator="lessThan">
      <formula>0</formula>
    </cfRule>
  </conditionalFormatting>
  <conditionalFormatting sqref="I129:O131">
    <cfRule type="cellIs" dxfId="37" priority="8" operator="lessThan">
      <formula>0</formula>
    </cfRule>
  </conditionalFormatting>
  <conditionalFormatting sqref="I158:O158">
    <cfRule type="cellIs" dxfId="36" priority="1" operator="lessThan">
      <formula>0</formula>
    </cfRule>
  </conditionalFormatting>
  <conditionalFormatting sqref="P43:R43">
    <cfRule type="cellIs" dxfId="35" priority="33" operator="lessThan">
      <formula>0</formula>
    </cfRule>
  </conditionalFormatting>
  <dataValidations count="8">
    <dataValidation type="list" allowBlank="1" showInputMessage="1" showErrorMessage="1" sqref="D272" xr:uid="{4E913AB3-F90B-4C35-BCE1-5DBB8FC05107}">
      <formula1>INDIRECT("Table_SourceData_PoultryMMSStage1[MMS]")</formula1>
    </dataValidation>
    <dataValidation type="list" allowBlank="1" showInputMessage="1" showErrorMessage="1" sqref="E220" xr:uid="{9FB53635-991F-44AA-A123-E8ABEF9EE0A6}">
      <formula1>INDIRECT("Table_SourceData_Dairy_ProductionSystemTemplates[Area]")</formula1>
    </dataValidation>
    <dataValidation type="list" allowBlank="1" showInputMessage="1" showErrorMessage="1" sqref="E244 E249 E254 E288 E283 E278 E182" xr:uid="{00A4EA4C-90D3-4150-979D-4D71C7F37A31}">
      <formula1>"Yes, No"</formula1>
    </dataValidation>
    <dataValidation type="list" allowBlank="1" showInputMessage="1" showErrorMessage="1" sqref="E14 E36 E58 E80" xr:uid="{4AE50AD3-14AA-4BCF-9F4A-CDB83D5683F7}">
      <formula1>INDIRECT("Table_SourceData_Dairy_WjCowsHeifers[Breed]")</formula1>
    </dataValidation>
    <dataValidation type="list" allowBlank="1" showInputMessage="1" showErrorMessage="1" sqref="E8" xr:uid="{6FA0CD10-3A4D-4502-BF4B-69419E324406}">
      <formula1>INDIRECT("Table_SourceData_PastureBeef_Region_" &amp; SUBSTITUTE($E$7, " ", "") &amp; "[Region]")</formula1>
    </dataValidation>
    <dataValidation type="list" allowBlank="1" showInputMessage="1" showErrorMessage="1" sqref="E9" xr:uid="{8E842674-99B2-4794-90BA-390F1654D087}">
      <formula1>INDIRECT("Table_SourceData_PastureBeef_FeedIntakeAdjustment[Breed]")</formula1>
    </dataValidation>
    <dataValidation type="list" allowBlank="1" showInputMessage="1" showErrorMessage="1" sqref="E190" xr:uid="{964CB593-5D4D-4584-9033-0C54780AC43E}">
      <formula1>INDIRECT("Table_SourceData_PastureBeef_IrrigationMethods[Irrigation method]")</formula1>
    </dataValidation>
    <dataValidation type="list" allowBlank="1" showInputMessage="1" showErrorMessage="1" sqref="E189" xr:uid="{EB9B83E0-A891-43A7-9523-094EA6EFCDCF}">
      <formula1>INDIRECT("Table_SourceData_PastureBeef_CropProdSystems[Production system]")</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AG281"/>
  <sheetViews>
    <sheetView showGridLines="0" topLeftCell="A3" zoomScaleNormal="100" workbookViewId="0">
      <selection activeCell="G12" sqref="G12"/>
    </sheetView>
  </sheetViews>
  <sheetFormatPr defaultRowHeight="15.75" x14ac:dyDescent="0.25"/>
  <cols>
    <col min="1" max="1" width="30.7109375" customWidth="1"/>
    <col min="2" max="2" width="4.7109375" customWidth="1"/>
    <col min="3" max="3" width="4.7109375" style="1" customWidth="1"/>
    <col min="4" max="16" width="30.7109375" style="1" customWidth="1"/>
    <col min="17" max="17" width="4.7109375" style="1" customWidth="1"/>
    <col min="18" max="18" width="4.7109375" customWidth="1"/>
    <col min="19" max="19" width="4.7109375" style="1" customWidth="1"/>
    <col min="20" max="32" width="30.7109375" style="1" customWidth="1"/>
    <col min="33" max="33" width="4.7109375" style="1" customWidth="1"/>
  </cols>
  <sheetData>
    <row r="1" spans="1:33" s="8" customFormat="1" ht="30" customHeight="1" x14ac:dyDescent="0.35">
      <c r="A1" s="68" t="e" vm="1">
        <v>#VALUE!</v>
      </c>
      <c r="C1" s="8" t="s">
        <v>164</v>
      </c>
    </row>
    <row r="2" spans="1:33" s="9" customFormat="1" ht="20.100000000000001" customHeight="1" x14ac:dyDescent="0.25"/>
    <row r="3" spans="1:33" ht="20.100000000000001" customHeight="1" x14ac:dyDescent="0.25">
      <c r="A3" s="17" t="str">
        <f>HYPERLINK("#'Home'!A1", "Home")</f>
        <v>Home</v>
      </c>
      <c r="C3" s="4"/>
      <c r="D3" s="4" t="s">
        <v>108</v>
      </c>
      <c r="E3" s="4"/>
      <c r="F3" s="4"/>
      <c r="G3" s="4"/>
      <c r="H3" s="4"/>
      <c r="I3" s="4"/>
      <c r="J3" s="4"/>
      <c r="K3" s="4"/>
      <c r="L3" s="4"/>
      <c r="M3" s="4"/>
      <c r="N3" s="4"/>
      <c r="O3" s="4"/>
      <c r="P3" s="4"/>
      <c r="Q3" s="4"/>
      <c r="S3" s="4"/>
      <c r="T3" s="4" t="s">
        <v>109</v>
      </c>
      <c r="U3" s="4"/>
      <c r="V3" s="4"/>
      <c r="W3" s="4"/>
      <c r="X3" s="4"/>
      <c r="Y3" s="4"/>
      <c r="Z3" s="4"/>
      <c r="AA3" s="4"/>
      <c r="AB3" s="4"/>
      <c r="AC3" s="4"/>
      <c r="AD3" s="4"/>
      <c r="AE3" s="4"/>
      <c r="AF3" s="4"/>
      <c r="AG3" s="4"/>
    </row>
    <row r="4" spans="1:33" ht="20.100000000000001" customHeight="1" x14ac:dyDescent="0.25">
      <c r="A4" s="17" t="str">
        <f>HYPERLINK("#'Results'!A1", "Results")</f>
        <v>Results</v>
      </c>
    </row>
    <row r="5" spans="1:33" ht="20.100000000000001" customHeight="1" x14ac:dyDescent="0.25">
      <c r="A5" s="16"/>
      <c r="D5" s="6" t="str" cm="1">
        <f t="array" ref="D5">EntericMethane_PastureBeef_Equations.VEERG_3_2_1_1__4_AdditionalIntakeForMilkProduction_Title()</f>
        <v>Additional intake for milk production in the season of calving and the season after calving</v>
      </c>
    </row>
    <row r="6" spans="1:33" ht="20.100000000000001" customHeight="1" x14ac:dyDescent="0.25">
      <c r="A6" s="20" t="s">
        <v>3</v>
      </c>
      <c r="D6" s="5" t="str" cm="1">
        <f t="array" ref="D6">EntericMethane_PastureBeef_Equations.VEERG_3_2_1_1__4_AdditionalIntakeForMilkProduction_Source()</f>
        <v>VEERG 2026: 3.2.1.1, Equation (4)</v>
      </c>
    </row>
    <row r="7" spans="1:33" ht="20.100000000000001" customHeight="1" x14ac:dyDescent="0.25">
      <c r="A7" s="17" t="str">
        <f>HYPERLINK("#'Input - Site'!A1", "Site")</f>
        <v>Site</v>
      </c>
      <c r="D7" s="13" t="s">
        <v>27</v>
      </c>
      <c r="E7" s="13" t="str" cm="1">
        <f t="array" aca="1" ref="E7" ca="1">Common_InputFunctions.Utility_DisplayFunctionName($H$30)</f>
        <v>=EntericMethane_PastureBeef_Equations.VEERG_3_2_1_1__4_AdditionalIntakeForMilkProductionVariation</v>
      </c>
    </row>
    <row r="8" spans="1:33" ht="20.100000000000001" customHeight="1" x14ac:dyDescent="0.25">
      <c r="A8" s="17" t="str">
        <f>HYPERLINK("#'Input - Pasture Beef'!A1", "Pasture Beef")</f>
        <v>Pasture Beef</v>
      </c>
    </row>
    <row r="9" spans="1:33" ht="20.100000000000001" customHeight="1" x14ac:dyDescent="0.25">
      <c r="A9" s="17"/>
    </row>
    <row r="10" spans="1:33" ht="20.100000000000001" customHeight="1" x14ac:dyDescent="0.25">
      <c r="A10" s="19" t="s">
        <v>77</v>
      </c>
      <c r="D10" s="53" t="s">
        <v>30</v>
      </c>
      <c r="E10" s="1" t="str" cm="1">
        <f t="array" ref="E10">EntericMethane_PastureBeef_Equations.VEERG_3_2_1_1__4_AdditionalIntakeForMilkProduction_Variable()</f>
        <v>MA_jk45</v>
      </c>
    </row>
    <row r="11" spans="1:33" ht="20.100000000000001" customHeight="1" x14ac:dyDescent="0.25">
      <c r="A11" s="17" t="str">
        <f>HYPERLINK("#'4.2.1.1-2 Methane'!A1", "4.2.1.1-2 Methane")</f>
        <v>4.2.1.1-2 Methane</v>
      </c>
      <c r="D11" s="53" t="s">
        <v>20</v>
      </c>
      <c r="E11" s="54" t="str" cm="1">
        <f t="array" ref="E11">EntericMethane_PastureBeef_Equations.VEERG_3_2_1_1__4_AdditionalIntakeForMilkProduction_Unit()</f>
        <v>fraction</v>
      </c>
      <c r="J11" s="107" t="s">
        <v>258</v>
      </c>
    </row>
    <row r="12" spans="1:33" ht="20.100000000000001" customHeight="1" x14ac:dyDescent="0.25">
      <c r="A12" s="17" t="str">
        <f>HYPERLINK("#'4.2.1.3-4 Soil direct N2O'!A1", "4.2.1.3-4 Soil direct N2O")</f>
        <v>4.2.1.3-4 Soil direct N2O</v>
      </c>
    </row>
    <row r="13" spans="1:33" ht="20.100000000000001" customHeight="1" x14ac:dyDescent="0.25">
      <c r="A13" s="17" t="str">
        <f>HYPERLINK("#'4.2.1.5-6 Soil Atmos Dep'!A1", "4.2.1.5-6 Soil atm. deposition")</f>
        <v>4.2.1.5-6 Soil atm. deposition</v>
      </c>
      <c r="D13" s="57" t="str" cm="1">
        <f t="array" ref="D13:E17">EntericMethane_PastureBeef_Equations.VEERG_3_2_1_1__4_AdditionalIntakeForMilkProduction_ArgumentsVariation()</f>
        <v>LC_jk45curr</v>
      </c>
      <c r="E13" s="58" t="str">
        <v>proportion of cows greater than 1 year in calf in the season of calving expressed as a fraction</v>
      </c>
      <c r="F13" s="59"/>
      <c r="G13" s="58"/>
      <c r="H13" s="57" t="str">
        <f>"See " &amp; $D$19</f>
        <v>See M1_Table_LC_j_k-4-5</v>
      </c>
      <c r="J13" s="57" t="str" cm="1">
        <f t="array" ref="J13:K15">EntericMethane_PastureBeef_Equations.VEERG_3_2_1_1__4_AdditionalIntakeForMilkProduction_Arguments()</f>
        <v>LC_jk45</v>
      </c>
      <c r="K13" s="58" t="str">
        <v>proportion of cows greater than 1 year in calf in the season of calving expressed as a fraction</v>
      </c>
      <c r="L13" s="59"/>
      <c r="M13" s="58"/>
      <c r="N13" s="57"/>
    </row>
    <row r="14" spans="1:33" ht="20.100000000000001" customHeight="1" x14ac:dyDescent="0.25">
      <c r="A14" s="17" t="str">
        <f>HYPERLINK("#'4.2.1.7-8 Soil leach runoff'!A1", "4.2.1.7-8 Soil leach &amp; runoff")</f>
        <v>4.2.1.7-8 Soil leach &amp; runoff</v>
      </c>
      <c r="D14" s="57" t="str">
        <v>LC_jk45prev</v>
      </c>
      <c r="E14" s="58" t="str">
        <v>proportion of cows greater than 1 year in calf in the previous season of calving expressed as a fraction</v>
      </c>
      <c r="F14" s="59"/>
      <c r="G14" s="58"/>
      <c r="H14" s="57" t="str">
        <f>"See " &amp; $D$19</f>
        <v>See M1_Table_LC_j_k-4-5</v>
      </c>
      <c r="J14" s="57" t="str">
        <v>FA_jk45</v>
      </c>
      <c r="K14" s="58" t="str">
        <v>feed adjustment value for lactating cows in the season of calving and the season immediately after calving expressed as a fraction</v>
      </c>
      <c r="L14" s="59"/>
      <c r="M14" s="58"/>
      <c r="N14" s="57"/>
    </row>
    <row r="15" spans="1:33" ht="20.100000000000001" customHeight="1" x14ac:dyDescent="0.25">
      <c r="A15" s="17"/>
      <c r="D15" s="57" t="str">
        <v>FA_jk45calv</v>
      </c>
      <c r="E15" s="58" t="str">
        <v>feed adjustment value for lactating cows in the season of calving expressed as a fraction</v>
      </c>
      <c r="F15" s="100"/>
      <c r="G15" s="100"/>
      <c r="H15" s="57" cm="1">
        <f t="array" ref="H15">_xlfn.XLOOKUP(1, (Table_SourceData_PastureBeef_FeedIntakeAdjustment_Variation[Breed]=$H$17)*(Table_SourceData_PastureBeef_FeedIntakeAdjustment_Variation[Season]=+"Calving season"),Table_SourceData_PastureBeef_FeedIntakeAdjustment_Variation[Feed adjustment])</f>
        <v>1.3</v>
      </c>
      <c r="J15" s="57" t="str">
        <v>b</v>
      </c>
      <c r="K15" s="58" t="str">
        <v>breed of cattle</v>
      </c>
      <c r="L15" s="100"/>
      <c r="M15" s="100"/>
      <c r="N15" s="57"/>
    </row>
    <row r="16" spans="1:33" ht="20.100000000000001" customHeight="1" x14ac:dyDescent="0.25">
      <c r="A16" s="18" t="s">
        <v>4</v>
      </c>
      <c r="D16" s="57" t="str">
        <v>FA_jk45after</v>
      </c>
      <c r="E16" s="58" t="str">
        <v>feed adjustment value for lactating cows in the season immediately after calving expressed as a fraction</v>
      </c>
      <c r="F16" s="100"/>
      <c r="G16" s="59"/>
      <c r="H16" s="57" cm="1">
        <f t="array" ref="H16">_xlfn.XLOOKUP(1, (Table_SourceData_PastureBeef_FeedIntakeAdjustment_Variation[Breed]=$H$17)*(Table_SourceData_PastureBeef_FeedIntakeAdjustment_Variation[Season]=+"Season after calving"),Table_SourceData_PastureBeef_FeedIntakeAdjustment_Variation[Feed adjustment])</f>
        <v>1.1000000000000001</v>
      </c>
    </row>
    <row r="17" spans="1:32" ht="20.100000000000001" customHeight="1" x14ac:dyDescent="0.25">
      <c r="A17" s="17" t="str">
        <f>HYPERLINK("#'Constants - Pasture Beef'!A1", "Constants - Pasture Beef")</f>
        <v>Constants - Pasture Beef</v>
      </c>
      <c r="D17" s="57" t="str">
        <v>b</v>
      </c>
      <c r="E17" s="58" t="str">
        <v>breed of cattle</v>
      </c>
      <c r="F17" s="100"/>
      <c r="G17" s="59"/>
      <c r="H17" s="57" t="str">
        <f>'Input - Pasture Beef'!$E$9</f>
        <v>Hereford or Shorthorn breeds</v>
      </c>
    </row>
    <row r="18" spans="1:32" ht="20.100000000000001" customHeight="1" x14ac:dyDescent="0.25">
      <c r="A18" s="17" t="str">
        <f>HYPERLINK("#'Constants - Livestock'!A1", "Constants - Livestock")</f>
        <v>Constants - Livestock</v>
      </c>
    </row>
    <row r="19" spans="1:32" ht="20.100000000000001" customHeight="1" x14ac:dyDescent="0.25">
      <c r="A19" s="17" t="str">
        <f>HYPERLINK("#'Constants - Common'!A1", "Constants - Common")</f>
        <v>Constants - Common</v>
      </c>
      <c r="D19" s="99" t="s">
        <v>231</v>
      </c>
      <c r="T19" s="99" t="s">
        <v>253</v>
      </c>
    </row>
    <row r="20" spans="1:32" ht="20.100000000000001" customHeight="1" x14ac:dyDescent="0.25">
      <c r="A20" s="17" t="str">
        <f>HYPERLINK("#'Acknowledgements'!A1", "Acknowledgements")</f>
        <v>Acknowledgements</v>
      </c>
      <c r="D20" s="98" t="s">
        <v>257</v>
      </c>
      <c r="T20" s="98" t="s">
        <v>254</v>
      </c>
    </row>
    <row r="21" spans="1:32" ht="20.100000000000001" customHeight="1" x14ac:dyDescent="0.25">
      <c r="D21" s="51" t="s">
        <v>184</v>
      </c>
      <c r="E21" s="51" t="s">
        <v>166</v>
      </c>
      <c r="F21" s="51" t="s">
        <v>167</v>
      </c>
      <c r="G21" s="51" t="s">
        <v>168</v>
      </c>
      <c r="J21" s="1" t="s">
        <v>252</v>
      </c>
      <c r="T21" s="51" t="s">
        <v>184</v>
      </c>
      <c r="U21" s="51" t="s">
        <v>166</v>
      </c>
      <c r="V21" s="51" t="s">
        <v>167</v>
      </c>
      <c r="W21" s="51" t="s">
        <v>168</v>
      </c>
    </row>
    <row r="22" spans="1:32" ht="20.100000000000001" customHeight="1" x14ac:dyDescent="0.25">
      <c r="A22" s="17"/>
      <c r="D22" s="52" t="str">
        <f>'Input - Pasture Beef'!D104</f>
        <v>Spring</v>
      </c>
      <c r="E22" s="52">
        <f>'Input - Pasture Beef'!E104</f>
        <v>0.5</v>
      </c>
      <c r="F22" s="52">
        <f>'Input - Pasture Beef'!F104</f>
        <v>0.5</v>
      </c>
      <c r="G22" s="52">
        <f>'Input - Pasture Beef'!G104</f>
        <v>0.5</v>
      </c>
      <c r="H22" s="2" t="s">
        <v>100</v>
      </c>
      <c r="J22" s="1" t="s">
        <v>248</v>
      </c>
      <c r="K22" s="1" t="s">
        <v>264</v>
      </c>
      <c r="T22" s="52" t="str">
        <f>'Input - Pasture Beef'!$D$128</f>
        <v>January 2024 to March 2024</v>
      </c>
      <c r="U22" s="52">
        <f>'Input - Pasture Beef'!E128</f>
        <v>0</v>
      </c>
      <c r="V22" s="52">
        <f>'Input - Pasture Beef'!F128</f>
        <v>0</v>
      </c>
      <c r="W22" s="52">
        <f>'Input - Pasture Beef'!G128</f>
        <v>0</v>
      </c>
      <c r="X22" s="2" t="s">
        <v>100</v>
      </c>
    </row>
    <row r="23" spans="1:32" ht="20.100000000000001" customHeight="1" x14ac:dyDescent="0.25">
      <c r="A23" s="17"/>
      <c r="D23" s="52" t="str">
        <f>'Input - Pasture Beef'!D105</f>
        <v>Summer</v>
      </c>
      <c r="E23" s="52">
        <f>'Input - Pasture Beef'!E105</f>
        <v>0.5</v>
      </c>
      <c r="F23" s="52">
        <f>'Input - Pasture Beef'!F105</f>
        <v>0.5</v>
      </c>
      <c r="G23" s="52">
        <f>'Input - Pasture Beef'!G105</f>
        <v>0.5</v>
      </c>
      <c r="H23" s="2" t="s">
        <v>100</v>
      </c>
      <c r="J23" s="52" cm="1">
        <f t="array" ref="J23">EntericMethane_PastureBeef_Equations.VEERG_3_2_1_1__4_AdditionalIntakeForMilkProduction(E22,$H$15)</f>
        <v>1.1499999999999999</v>
      </c>
      <c r="K23" s="52" cm="1">
        <f t="array" ref="K23">EntericMethane_PastureBeef_Equations.VEERG_3_2_1_1__4_AdditionalIntakeForMilkProduction(E25,$H$16)</f>
        <v>1</v>
      </c>
      <c r="L23" s="107">
        <f>SUM(J23:K23)</f>
        <v>2.15</v>
      </c>
      <c r="T23" s="52" t="str">
        <f>'Input - Pasture Beef'!$D$129</f>
        <v>April 2024 to June 2024</v>
      </c>
      <c r="U23" s="52">
        <f>'Input - Pasture Beef'!E129</f>
        <v>0</v>
      </c>
      <c r="V23" s="52">
        <f>'Input - Pasture Beef'!F129</f>
        <v>0</v>
      </c>
      <c r="W23" s="52">
        <f>'Input - Pasture Beef'!G129</f>
        <v>0</v>
      </c>
      <c r="X23" s="2" t="s">
        <v>100</v>
      </c>
    </row>
    <row r="24" spans="1:32" ht="20.100000000000001" customHeight="1" x14ac:dyDescent="0.25">
      <c r="D24" s="52" t="str">
        <f>'Input - Pasture Beef'!D106</f>
        <v>Autumn</v>
      </c>
      <c r="E24" s="52">
        <f>'Input - Pasture Beef'!E106</f>
        <v>0</v>
      </c>
      <c r="F24" s="52">
        <f>'Input - Pasture Beef'!F106</f>
        <v>0</v>
      </c>
      <c r="G24" s="52">
        <f>'Input - Pasture Beef'!G106</f>
        <v>0</v>
      </c>
      <c r="H24" s="2" t="s">
        <v>100</v>
      </c>
      <c r="J24" s="52" cm="1">
        <f t="array" ref="J24">EntericMethane_PastureBeef_Equations.VEERG_3_2_1_1__4_AdditionalIntakeForMilkProduction(E23,$H$15)</f>
        <v>1.1499999999999999</v>
      </c>
      <c r="K24" s="52" cm="1">
        <f t="array" ref="K24">EntericMethane_PastureBeef_Equations.VEERG_3_2_1_1__4_AdditionalIntakeForMilkProduction(E22,$H$16)</f>
        <v>1.05</v>
      </c>
      <c r="L24" s="107">
        <f>SUM(J24:K24)</f>
        <v>2.2000000000000002</v>
      </c>
      <c r="T24" s="52" t="str">
        <f>'Input - Pasture Beef'!$D$130</f>
        <v>July 2024 to September 2024</v>
      </c>
      <c r="U24" s="52">
        <f>'Input - Pasture Beef'!E130</f>
        <v>0.25</v>
      </c>
      <c r="V24" s="52">
        <f>'Input - Pasture Beef'!F130</f>
        <v>0.25</v>
      </c>
      <c r="W24" s="52">
        <f>'Input - Pasture Beef'!G130</f>
        <v>0.25</v>
      </c>
      <c r="X24" s="2" t="s">
        <v>100</v>
      </c>
    </row>
    <row r="25" spans="1:32" ht="20.100000000000001" customHeight="1" x14ac:dyDescent="0.25">
      <c r="D25" s="52" t="str">
        <f>'Input - Pasture Beef'!D107</f>
        <v>Winter</v>
      </c>
      <c r="E25" s="52">
        <f>'Input - Pasture Beef'!E107</f>
        <v>0</v>
      </c>
      <c r="F25" s="52">
        <f>'Input - Pasture Beef'!F107</f>
        <v>0</v>
      </c>
      <c r="G25" s="52">
        <f>'Input - Pasture Beef'!G107</f>
        <v>0</v>
      </c>
      <c r="H25" s="2" t="s">
        <v>100</v>
      </c>
      <c r="J25" s="52" cm="1">
        <f t="array" ref="J25">EntericMethane_PastureBeef_Equations.VEERG_3_2_1_1__4_AdditionalIntakeForMilkProduction(E24,$H$15)</f>
        <v>1</v>
      </c>
      <c r="K25" s="52" cm="1">
        <f t="array" ref="K25">EntericMethane_PastureBeef_Equations.VEERG_3_2_1_1__4_AdditionalIntakeForMilkProduction(E23,$H$16)</f>
        <v>1.05</v>
      </c>
      <c r="L25" s="107">
        <f t="shared" ref="L25:L26" si="0">SUM(J25:K25)</f>
        <v>2.0499999999999998</v>
      </c>
      <c r="T25" s="52" t="str">
        <f>'Input - Pasture Beef'!$D$131</f>
        <v>October 2024 to December 2024</v>
      </c>
      <c r="U25" s="52">
        <f>'Input - Pasture Beef'!E131</f>
        <v>0.75</v>
      </c>
      <c r="V25" s="52">
        <f>'Input - Pasture Beef'!F131</f>
        <v>0.75</v>
      </c>
      <c r="W25" s="52">
        <f>'Input - Pasture Beef'!G131</f>
        <v>0.75</v>
      </c>
      <c r="X25" s="2" t="s">
        <v>100</v>
      </c>
    </row>
    <row r="26" spans="1:32" ht="20.100000000000001" customHeight="1" x14ac:dyDescent="0.25">
      <c r="J26" s="52" cm="1">
        <f t="array" ref="J26">EntericMethane_PastureBeef_Equations.VEERG_3_2_1_1__4_AdditionalIntakeForMilkProduction(E25,$H$15)</f>
        <v>1</v>
      </c>
      <c r="K26" s="52" cm="1">
        <f t="array" ref="K26">EntericMethane_PastureBeef_Equations.VEERG_3_2_1_1__4_AdditionalIntakeForMilkProduction(E24,$H$16)</f>
        <v>1</v>
      </c>
      <c r="L26" s="107">
        <f t="shared" si="0"/>
        <v>2</v>
      </c>
    </row>
    <row r="27" spans="1:32" ht="20.100000000000001" customHeight="1" x14ac:dyDescent="0.25">
      <c r="D27" s="99" t="s">
        <v>241</v>
      </c>
      <c r="T27" s="99" t="s">
        <v>255</v>
      </c>
    </row>
    <row r="28" spans="1:32" ht="20.100000000000001" customHeight="1" x14ac:dyDescent="0.25">
      <c r="D28" s="98" t="s">
        <v>242</v>
      </c>
      <c r="T28" s="98" t="s">
        <v>256</v>
      </c>
    </row>
    <row r="29" spans="1:32" ht="20.100000000000001" customHeight="1" x14ac:dyDescent="0.25">
      <c r="D29" s="51" t="s">
        <v>184</v>
      </c>
      <c r="E29" s="51" t="s">
        <v>131</v>
      </c>
      <c r="F29" s="51" t="s">
        <v>130</v>
      </c>
      <c r="G29" s="51" t="s">
        <v>165</v>
      </c>
      <c r="H29" s="51" t="s">
        <v>166</v>
      </c>
      <c r="I29" s="51" t="s">
        <v>167</v>
      </c>
      <c r="J29" s="51" t="s">
        <v>168</v>
      </c>
      <c r="K29" s="51" t="s">
        <v>169</v>
      </c>
      <c r="L29" s="51" t="s">
        <v>170</v>
      </c>
      <c r="M29" s="51" t="s">
        <v>171</v>
      </c>
      <c r="N29" s="51" t="s">
        <v>172</v>
      </c>
      <c r="T29" s="51" t="s">
        <v>184</v>
      </c>
      <c r="U29" s="51" t="s">
        <v>131</v>
      </c>
      <c r="V29" s="51" t="s">
        <v>130</v>
      </c>
      <c r="W29" s="51" t="s">
        <v>165</v>
      </c>
      <c r="X29" s="51" t="s">
        <v>166</v>
      </c>
      <c r="Y29" s="51" t="s">
        <v>167</v>
      </c>
      <c r="Z29" s="51" t="s">
        <v>168</v>
      </c>
      <c r="AA29" s="51" t="s">
        <v>169</v>
      </c>
      <c r="AB29" s="51" t="s">
        <v>170</v>
      </c>
      <c r="AC29" s="51" t="s">
        <v>171</v>
      </c>
      <c r="AD29" s="51" t="s">
        <v>172</v>
      </c>
    </row>
    <row r="30" spans="1:32" ht="20.100000000000001" customHeight="1" x14ac:dyDescent="0.25">
      <c r="D30" s="52" t="s">
        <v>173</v>
      </c>
      <c r="E30" s="52">
        <v>1</v>
      </c>
      <c r="F30" s="52">
        <v>1</v>
      </c>
      <c r="G30" s="52">
        <v>1</v>
      </c>
      <c r="H30" s="52" cm="1">
        <f t="array" ref="H30">EntericMethane_PastureBeef_Equations.VEERG_3_2_1_1__4_AdditionalIntakeForMilkProductionVariation(E22,E25,$H$15,$H$16)</f>
        <v>1.1499999999999999</v>
      </c>
      <c r="I30" s="52" cm="1">
        <f t="array" ref="I30">EntericMethane_PastureBeef_Equations.VEERG_3_2_1_1__4_AdditionalIntakeForMilkProductionVariation(F22,F25,$H$15,$H$16)</f>
        <v>1.1499999999999999</v>
      </c>
      <c r="J30" s="52" cm="1">
        <f t="array" ref="J30">EntericMethane_PastureBeef_Equations.VEERG_3_2_1_1__4_AdditionalIntakeForMilkProductionVariation(G22,G25,$H$15,$H$16)</f>
        <v>1.1499999999999999</v>
      </c>
      <c r="K30" s="52">
        <v>1</v>
      </c>
      <c r="L30" s="52">
        <v>1</v>
      </c>
      <c r="M30" s="52">
        <v>1</v>
      </c>
      <c r="N30" s="52">
        <v>1</v>
      </c>
      <c r="O30" s="2" t="str">
        <f>$E$11</f>
        <v>fraction</v>
      </c>
      <c r="P30" s="2"/>
      <c r="T30" s="52" t="str">
        <f>'Input - Pasture Beef'!$D$128</f>
        <v>January 2024 to March 2024</v>
      </c>
      <c r="U30" s="52">
        <v>1</v>
      </c>
      <c r="V30" s="52">
        <v>1</v>
      </c>
      <c r="W30" s="52">
        <v>1</v>
      </c>
      <c r="X30" s="52" cm="1">
        <f t="array" ref="X30">EntericMethane_PastureBeef_Equations.VEERG_3_2_1_1__4_AdditionalIntakeForMilkProductionVariation(U22,U25,$H$15,$H$16)</f>
        <v>1.0750000000000002</v>
      </c>
      <c r="Y30" s="52" cm="1">
        <f t="array" ref="Y30">EntericMethane_PastureBeef_Equations.VEERG_3_2_1_1__4_AdditionalIntakeForMilkProductionVariation(V22,V25,$H$15,$H$16)</f>
        <v>1.0750000000000002</v>
      </c>
      <c r="Z30" s="52" cm="1">
        <f t="array" ref="Z30">EntericMethane_PastureBeef_Equations.VEERG_3_2_1_1__4_AdditionalIntakeForMilkProductionVariation(W22,W25,$H$15,$H$16)</f>
        <v>1.0750000000000002</v>
      </c>
      <c r="AA30" s="52">
        <v>1</v>
      </c>
      <c r="AB30" s="52">
        <v>1</v>
      </c>
      <c r="AC30" s="52">
        <v>1</v>
      </c>
      <c r="AD30" s="52">
        <v>1</v>
      </c>
      <c r="AE30" s="2" t="str">
        <f>$E$11</f>
        <v>fraction</v>
      </c>
      <c r="AF30" s="2"/>
    </row>
    <row r="31" spans="1:32" ht="20.100000000000001" customHeight="1" x14ac:dyDescent="0.25">
      <c r="D31" s="52" t="s">
        <v>174</v>
      </c>
      <c r="E31" s="52">
        <v>1</v>
      </c>
      <c r="F31" s="52">
        <v>1</v>
      </c>
      <c r="G31" s="52">
        <v>1</v>
      </c>
      <c r="H31" s="52" cm="1">
        <f t="array" ref="H31">EntericMethane_PastureBeef_Equations.VEERG_3_2_1_1__4_AdditionalIntakeForMilkProductionVariation(E23,E22,$H$15,$H$16)</f>
        <v>1.2000000000000002</v>
      </c>
      <c r="I31" s="52" cm="1">
        <f t="array" ref="I31">EntericMethane_PastureBeef_Equations.VEERG_3_2_1_1__4_AdditionalIntakeForMilkProductionVariation(F23,F22,$H$15,$H$16)</f>
        <v>1.2000000000000002</v>
      </c>
      <c r="J31" s="52" cm="1">
        <f t="array" ref="J31">EntericMethane_PastureBeef_Equations.VEERG_3_2_1_1__4_AdditionalIntakeForMilkProductionVariation(G23,G22,$H$15,$H$16)</f>
        <v>1.2000000000000002</v>
      </c>
      <c r="K31" s="52">
        <v>1</v>
      </c>
      <c r="L31" s="52">
        <v>1</v>
      </c>
      <c r="M31" s="52">
        <v>1</v>
      </c>
      <c r="N31" s="52">
        <v>1</v>
      </c>
      <c r="O31" s="2" t="str">
        <f t="shared" ref="O31:O33" si="1">$E$11</f>
        <v>fraction</v>
      </c>
      <c r="P31" s="2"/>
      <c r="T31" s="52" t="str">
        <f>'Input - Pasture Beef'!$D$129</f>
        <v>April 2024 to June 2024</v>
      </c>
      <c r="U31" s="52">
        <v>1</v>
      </c>
      <c r="V31" s="52">
        <v>1</v>
      </c>
      <c r="W31" s="52">
        <v>1</v>
      </c>
      <c r="X31" s="52" cm="1">
        <f t="array" ref="X31">EntericMethane_PastureBeef_Equations.VEERG_3_2_1_1__4_AdditionalIntakeForMilkProductionVariation(U23,U22,$H$15,$H$16)</f>
        <v>1</v>
      </c>
      <c r="Y31" s="52" cm="1">
        <f t="array" ref="Y31">EntericMethane_PastureBeef_Equations.VEERG_3_2_1_1__4_AdditionalIntakeForMilkProductionVariation(V23,V22,$H$15,$H$16)</f>
        <v>1</v>
      </c>
      <c r="Z31" s="52" cm="1">
        <f t="array" ref="Z31">EntericMethane_PastureBeef_Equations.VEERG_3_2_1_1__4_AdditionalIntakeForMilkProductionVariation(W23,W22,$H$15,$H$16)</f>
        <v>1</v>
      </c>
      <c r="AA31" s="52">
        <v>1</v>
      </c>
      <c r="AB31" s="52">
        <v>1</v>
      </c>
      <c r="AC31" s="52">
        <v>1</v>
      </c>
      <c r="AD31" s="52">
        <v>1</v>
      </c>
      <c r="AE31" s="2" t="str">
        <f t="shared" ref="AE31:AE33" si="2">$E$11</f>
        <v>fraction</v>
      </c>
      <c r="AF31" s="2"/>
    </row>
    <row r="32" spans="1:32" ht="20.100000000000001" customHeight="1" x14ac:dyDescent="0.25">
      <c r="D32" s="52" t="s">
        <v>175</v>
      </c>
      <c r="E32" s="52">
        <v>1</v>
      </c>
      <c r="F32" s="52">
        <v>1</v>
      </c>
      <c r="G32" s="52">
        <v>1</v>
      </c>
      <c r="H32" s="52" cm="1">
        <f t="array" ref="H32">EntericMethane_PastureBeef_Equations.VEERG_3_2_1_1__4_AdditionalIntakeForMilkProductionVariation(E24,E23,$H$15,$H$16)</f>
        <v>1.05</v>
      </c>
      <c r="I32" s="52" cm="1">
        <f t="array" ref="I32">EntericMethane_PastureBeef_Equations.VEERG_3_2_1_1__4_AdditionalIntakeForMilkProductionVariation(F24,F23,$H$15,$H$16)</f>
        <v>1.05</v>
      </c>
      <c r="J32" s="52" cm="1">
        <f t="array" ref="J32">EntericMethane_PastureBeef_Equations.VEERG_3_2_1_1__4_AdditionalIntakeForMilkProductionVariation(G24,G23,$H$15,$H$16)</f>
        <v>1.05</v>
      </c>
      <c r="K32" s="52">
        <v>1</v>
      </c>
      <c r="L32" s="52">
        <v>1</v>
      </c>
      <c r="M32" s="52">
        <v>1</v>
      </c>
      <c r="N32" s="52">
        <v>1</v>
      </c>
      <c r="O32" s="2" t="str">
        <f t="shared" si="1"/>
        <v>fraction</v>
      </c>
      <c r="P32" s="2"/>
      <c r="T32" s="52" t="str">
        <f>'Input - Pasture Beef'!$D$130</f>
        <v>July 2024 to September 2024</v>
      </c>
      <c r="U32" s="52">
        <v>1</v>
      </c>
      <c r="V32" s="52">
        <v>1</v>
      </c>
      <c r="W32" s="52">
        <v>1</v>
      </c>
      <c r="X32" s="52" cm="1">
        <f t="array" ref="X32">EntericMethane_PastureBeef_Equations.VEERG_3_2_1_1__4_AdditionalIntakeForMilkProductionVariation(U24,U23,$H$15,$H$16)</f>
        <v>1.075</v>
      </c>
      <c r="Y32" s="52" cm="1">
        <f t="array" ref="Y32">EntericMethane_PastureBeef_Equations.VEERG_3_2_1_1__4_AdditionalIntakeForMilkProductionVariation(V24,V23,$H$15,$H$16)</f>
        <v>1.075</v>
      </c>
      <c r="Z32" s="52" cm="1">
        <f t="array" ref="Z32">EntericMethane_PastureBeef_Equations.VEERG_3_2_1_1__4_AdditionalIntakeForMilkProductionVariation(W24,W23,$H$15,$H$16)</f>
        <v>1.075</v>
      </c>
      <c r="AA32" s="52">
        <v>1</v>
      </c>
      <c r="AB32" s="52">
        <v>1</v>
      </c>
      <c r="AC32" s="52">
        <v>1</v>
      </c>
      <c r="AD32" s="52">
        <v>1</v>
      </c>
      <c r="AE32" s="2" t="str">
        <f t="shared" si="2"/>
        <v>fraction</v>
      </c>
      <c r="AF32" s="2"/>
    </row>
    <row r="33" spans="3:32" ht="20.100000000000001" customHeight="1" x14ac:dyDescent="0.25">
      <c r="D33" s="52" t="s">
        <v>176</v>
      </c>
      <c r="E33" s="52">
        <v>1</v>
      </c>
      <c r="F33" s="52">
        <v>1</v>
      </c>
      <c r="G33" s="52">
        <v>1</v>
      </c>
      <c r="H33" s="52" cm="1">
        <f t="array" ref="H33">EntericMethane_PastureBeef_Equations.VEERG_3_2_1_1__4_AdditionalIntakeForMilkProductionVariation(E25,E24,$H$15,$H$16)</f>
        <v>1</v>
      </c>
      <c r="I33" s="52" cm="1">
        <f t="array" ref="I33">EntericMethane_PastureBeef_Equations.VEERG_3_2_1_1__4_AdditionalIntakeForMilkProductionVariation(F25,F24,$H$15,$H$16)</f>
        <v>1</v>
      </c>
      <c r="J33" s="52" cm="1">
        <f t="array" ref="J33">EntericMethane_PastureBeef_Equations.VEERG_3_2_1_1__4_AdditionalIntakeForMilkProductionVariation(G25,G24,$H$15,$H$16)</f>
        <v>1</v>
      </c>
      <c r="K33" s="52">
        <v>1</v>
      </c>
      <c r="L33" s="52">
        <v>1</v>
      </c>
      <c r="M33" s="52">
        <v>1</v>
      </c>
      <c r="N33" s="52">
        <v>1</v>
      </c>
      <c r="O33" s="2" t="str">
        <f t="shared" si="1"/>
        <v>fraction</v>
      </c>
      <c r="P33" s="2"/>
      <c r="T33" s="52" t="str">
        <f>'Input - Pasture Beef'!$D$131</f>
        <v>October 2024 to December 2024</v>
      </c>
      <c r="U33" s="52">
        <v>1</v>
      </c>
      <c r="V33" s="52">
        <v>1</v>
      </c>
      <c r="W33" s="52">
        <v>1</v>
      </c>
      <c r="X33" s="52" cm="1">
        <f t="array" ref="X33">EntericMethane_PastureBeef_Equations.VEERG_3_2_1_1__4_AdditionalIntakeForMilkProductionVariation(U25,U24,$H$15,$H$16)</f>
        <v>1.25</v>
      </c>
      <c r="Y33" s="52" cm="1">
        <f t="array" ref="Y33">EntericMethane_PastureBeef_Equations.VEERG_3_2_1_1__4_AdditionalIntakeForMilkProductionVariation(V25,V24,$H$15,$H$16)</f>
        <v>1.25</v>
      </c>
      <c r="Z33" s="52" cm="1">
        <f t="array" ref="Z33">EntericMethane_PastureBeef_Equations.VEERG_3_2_1_1__4_AdditionalIntakeForMilkProductionVariation(W25,W24,$H$15,$H$16)</f>
        <v>1.25</v>
      </c>
      <c r="AA33" s="52">
        <v>1</v>
      </c>
      <c r="AB33" s="52">
        <v>1</v>
      </c>
      <c r="AC33" s="52">
        <v>1</v>
      </c>
      <c r="AD33" s="52">
        <v>1</v>
      </c>
      <c r="AE33" s="2" t="str">
        <f t="shared" si="2"/>
        <v>fraction</v>
      </c>
      <c r="AF33" s="2"/>
    </row>
    <row r="34" spans="3:32" ht="20.100000000000001" customHeight="1" x14ac:dyDescent="0.25"/>
    <row r="35" spans="3:32" ht="20.100000000000001" customHeight="1" x14ac:dyDescent="0.25"/>
    <row r="36" spans="3:32" ht="20.100000000000001" customHeight="1" x14ac:dyDescent="0.25">
      <c r="C36" s="45"/>
      <c r="D36" s="45"/>
      <c r="E36" s="45"/>
      <c r="F36" s="45"/>
      <c r="G36" s="45"/>
      <c r="H36" s="45"/>
      <c r="I36" s="45"/>
      <c r="J36" s="45"/>
      <c r="K36" s="45"/>
      <c r="L36" s="45"/>
      <c r="M36" s="45"/>
      <c r="N36" s="45"/>
      <c r="O36" s="45"/>
      <c r="P36" s="45"/>
      <c r="Q36" s="45"/>
    </row>
    <row r="37" spans="3:32" ht="20.100000000000001" customHeight="1" x14ac:dyDescent="0.25">
      <c r="D37" s="6" t="str" cm="1">
        <f t="array" ref="D37">EntericMethane_PastureBeef_Equations.VEERG_3_2_1_1__3_FeedIntakeForGrazingBeef_Title()</f>
        <v>Feed intake for grazing beef cattle</v>
      </c>
    </row>
    <row r="38" spans="3:32" ht="20.100000000000001" customHeight="1" x14ac:dyDescent="0.25">
      <c r="D38" s="5" t="str" cm="1">
        <f t="array" ref="D38">EntericMethane_PastureBeef_Equations.VEERG_3_2_1_1__3_FeedIntakeForGrazingBeef_Source()</f>
        <v>VEERG 2026: 3.2.1.1, Equation (3)</v>
      </c>
    </row>
    <row r="39" spans="3:32" ht="20.100000000000001" customHeight="1" x14ac:dyDescent="0.25">
      <c r="D39" s="13" t="s">
        <v>27</v>
      </c>
      <c r="E39" s="13" t="str" cm="1">
        <f t="array" aca="1" ref="E39" ca="1">Common_InputFunctions.Utility_DisplayFunctionName($E$84)</f>
        <v>=EntericMethane_PastureBeef_Equations.VEERG_3_2_1_1__3_FeedIntakeForGrazingBeef</v>
      </c>
    </row>
    <row r="40" spans="3:32" ht="20.100000000000001" customHeight="1" x14ac:dyDescent="0.25"/>
    <row r="41" spans="3:32" ht="20.100000000000001" customHeight="1" x14ac:dyDescent="0.25"/>
    <row r="42" spans="3:32" ht="20.100000000000001" customHeight="1" x14ac:dyDescent="0.25">
      <c r="D42" s="53" t="s">
        <v>30</v>
      </c>
      <c r="E42" s="1" t="str" cm="1">
        <f t="array" ref="E42">EntericMethane_PastureBeef_Equations.VEERG_3_2_1_1__3_FeedIntakeForGrazingBeef_Variable()</f>
        <v>I_jkl</v>
      </c>
    </row>
    <row r="43" spans="3:32" ht="20.100000000000001" customHeight="1" x14ac:dyDescent="0.25">
      <c r="D43" s="53" t="s">
        <v>20</v>
      </c>
      <c r="E43" s="54" t="str" cm="1">
        <f t="array" ref="E43">EntericMethane_PastureBeef_Equations.VEERG_3_2_1_1__3_FeedIntakeForGrazingBeef_Unit()</f>
        <v>kg DM/head/day</v>
      </c>
    </row>
    <row r="44" spans="3:32" ht="20.100000000000001" customHeight="1" x14ac:dyDescent="0.25"/>
    <row r="45" spans="3:32" ht="20.100000000000001" customHeight="1" x14ac:dyDescent="0.25">
      <c r="D45" s="57" t="str" cm="1">
        <f t="array" ref="D45:E47">EntericMethane_PastureBeef_Equations.VEERG_3_2_1_1__3_FeedIntakeForGrazingBeef_Arguments()</f>
        <v>W_jkl</v>
      </c>
      <c r="E45" s="58" t="str">
        <v>liveweight (kg)</v>
      </c>
      <c r="F45" s="59"/>
      <c r="G45" s="57" t="str">
        <f>"See " &amp; D49</f>
        <v>See M1_Table_LW_j_k_l</v>
      </c>
    </row>
    <row r="46" spans="3:32" ht="20.100000000000001" customHeight="1" x14ac:dyDescent="0.25">
      <c r="D46" s="57" t="str">
        <v>LWG_jkl</v>
      </c>
      <c r="E46" s="58" t="str">
        <v>live weight gain (kg/head/day)</v>
      </c>
      <c r="F46" s="59"/>
      <c r="G46" s="57" t="str">
        <f>"See " &amp; D65</f>
        <v>See M1_Table_LWG_j_k_l</v>
      </c>
    </row>
    <row r="47" spans="3:32" ht="20.100000000000001" customHeight="1" x14ac:dyDescent="0.25">
      <c r="D47" s="57" t="str">
        <v>MA_jk45</v>
      </c>
      <c r="E47" s="58" t="str">
        <v>additional intake for milk production in cows greater than 2 years (kg/head/day)</v>
      </c>
      <c r="F47" s="59"/>
      <c r="G47" s="57" t="str">
        <f>"See " &amp; D27</f>
        <v>See M1_Table_MA_j_k-4-5</v>
      </c>
    </row>
    <row r="48" spans="3:32" ht="20.100000000000001" customHeight="1" x14ac:dyDescent="0.25"/>
    <row r="49" spans="4:32" ht="20.100000000000001" customHeight="1" x14ac:dyDescent="0.25">
      <c r="D49" s="99" t="s">
        <v>243</v>
      </c>
      <c r="T49" s="99" t="s">
        <v>259</v>
      </c>
    </row>
    <row r="50" spans="4:32" ht="20.100000000000001" customHeight="1" x14ac:dyDescent="0.25">
      <c r="D50" s="98" t="s">
        <v>246</v>
      </c>
      <c r="T50" s="98" t="s">
        <v>260</v>
      </c>
    </row>
    <row r="51" spans="4:32" ht="20.100000000000001" customHeight="1" x14ac:dyDescent="0.25">
      <c r="D51" s="51" t="s">
        <v>184</v>
      </c>
      <c r="E51" s="51" t="s">
        <v>131</v>
      </c>
      <c r="F51" s="51" t="s">
        <v>130</v>
      </c>
      <c r="G51" s="51" t="s">
        <v>165</v>
      </c>
      <c r="H51" s="51" t="s">
        <v>166</v>
      </c>
      <c r="I51" s="51" t="s">
        <v>167</v>
      </c>
      <c r="J51" s="51" t="s">
        <v>168</v>
      </c>
      <c r="K51" s="51" t="s">
        <v>169</v>
      </c>
      <c r="L51" s="51" t="s">
        <v>170</v>
      </c>
      <c r="M51" s="51" t="s">
        <v>171</v>
      </c>
      <c r="N51" s="51" t="s">
        <v>172</v>
      </c>
      <c r="T51" s="51" t="s">
        <v>132</v>
      </c>
      <c r="U51" s="51" t="s">
        <v>131</v>
      </c>
      <c r="V51" s="51" t="s">
        <v>130</v>
      </c>
      <c r="W51" s="51" t="s">
        <v>165</v>
      </c>
      <c r="X51" s="51" t="s">
        <v>166</v>
      </c>
      <c r="Y51" s="51" t="s">
        <v>167</v>
      </c>
      <c r="Z51" s="51" t="s">
        <v>168</v>
      </c>
      <c r="AA51" s="51" t="s">
        <v>169</v>
      </c>
      <c r="AB51" s="51" t="s">
        <v>170</v>
      </c>
      <c r="AC51" s="51" t="s">
        <v>171</v>
      </c>
      <c r="AD51" s="51" t="s">
        <v>172</v>
      </c>
      <c r="AE51" s="2"/>
      <c r="AF51" s="2"/>
    </row>
    <row r="52" spans="4:32" ht="20.100000000000001" customHeight="1" x14ac:dyDescent="0.25">
      <c r="D52" s="52" t="str">
        <f>'Input - Pasture Beef'!D60</f>
        <v>Spring</v>
      </c>
      <c r="E52" s="52">
        <f>'Input - Pasture Beef'!E60</f>
        <v>340</v>
      </c>
      <c r="F52" s="52">
        <f>'Input - Pasture Beef'!F60</f>
        <v>800</v>
      </c>
      <c r="G52" s="52">
        <f>'Input - Pasture Beef'!G60</f>
        <v>260</v>
      </c>
      <c r="H52" s="52">
        <f>'Input - Pasture Beef'!H60</f>
        <v>420</v>
      </c>
      <c r="I52" s="52">
        <f>'Input - Pasture Beef'!I60</f>
        <v>550</v>
      </c>
      <c r="J52" s="52">
        <f>'Input - Pasture Beef'!J60</f>
        <v>550</v>
      </c>
      <c r="K52" s="52">
        <f>'Input - Pasture Beef'!K60</f>
        <v>300</v>
      </c>
      <c r="L52" s="52">
        <f>'Input - Pasture Beef'!L60</f>
        <v>480</v>
      </c>
      <c r="M52" s="52">
        <f>'Input - Pasture Beef'!M60</f>
        <v>480</v>
      </c>
      <c r="N52" s="52">
        <f>'Input - Pasture Beef'!N60</f>
        <v>480</v>
      </c>
      <c r="O52" s="2" t="s">
        <v>133</v>
      </c>
      <c r="P52" s="2"/>
      <c r="T52" s="52" t="str">
        <f>TEXT('Input - Site'!$E$12, "mmmm yyyy")</f>
        <v>January 2024</v>
      </c>
      <c r="U52" s="52">
        <f>'Input - Pasture Beef'!E66</f>
        <v>380</v>
      </c>
      <c r="V52" s="52">
        <f>'Input - Pasture Beef'!F66</f>
        <v>780</v>
      </c>
      <c r="W52" s="52">
        <f>'Input - Pasture Beef'!G66</f>
        <v>300</v>
      </c>
      <c r="X52" s="52">
        <f>'Input - Pasture Beef'!H66</f>
        <v>450</v>
      </c>
      <c r="Y52" s="52">
        <f>'Input - Pasture Beef'!I66</f>
        <v>530</v>
      </c>
      <c r="Z52" s="52">
        <f>'Input - Pasture Beef'!J66</f>
        <v>530</v>
      </c>
      <c r="AA52" s="52">
        <f>'Input - Pasture Beef'!K66</f>
        <v>340</v>
      </c>
      <c r="AB52" s="52">
        <f>'Input - Pasture Beef'!L66</f>
        <v>470</v>
      </c>
      <c r="AC52" s="52">
        <f>'Input - Pasture Beef'!M66</f>
        <v>470</v>
      </c>
      <c r="AD52" s="52">
        <f>'Input - Pasture Beef'!N66</f>
        <v>470</v>
      </c>
      <c r="AE52" s="2" t="s">
        <v>133</v>
      </c>
      <c r="AF52" s="2"/>
    </row>
    <row r="53" spans="4:32" ht="20.100000000000001" customHeight="1" x14ac:dyDescent="0.25">
      <c r="D53" s="52" t="str">
        <f>'Input - Pasture Beef'!D61</f>
        <v>Summer</v>
      </c>
      <c r="E53" s="52">
        <f>'Input - Pasture Beef'!E61</f>
        <v>380</v>
      </c>
      <c r="F53" s="52">
        <f>'Input - Pasture Beef'!F61</f>
        <v>780</v>
      </c>
      <c r="G53" s="52">
        <f>'Input - Pasture Beef'!G61</f>
        <v>300</v>
      </c>
      <c r="H53" s="52">
        <f>'Input - Pasture Beef'!H61</f>
        <v>450</v>
      </c>
      <c r="I53" s="52">
        <f>'Input - Pasture Beef'!I61</f>
        <v>530</v>
      </c>
      <c r="J53" s="52">
        <f>'Input - Pasture Beef'!J61</f>
        <v>530</v>
      </c>
      <c r="K53" s="52">
        <f>'Input - Pasture Beef'!K61</f>
        <v>340</v>
      </c>
      <c r="L53" s="52">
        <f>'Input - Pasture Beef'!L61</f>
        <v>470</v>
      </c>
      <c r="M53" s="52">
        <f>'Input - Pasture Beef'!M61</f>
        <v>470</v>
      </c>
      <c r="N53" s="52">
        <f>'Input - Pasture Beef'!N61</f>
        <v>470</v>
      </c>
      <c r="O53" s="2" t="s">
        <v>133</v>
      </c>
      <c r="P53" s="2"/>
      <c r="T53" s="52" t="str">
        <f>TEXT(EDATE('Input - Site'!$E$12,1), "mmmm yyyy")</f>
        <v>February 2024</v>
      </c>
      <c r="U53" s="52">
        <f>'Input - Pasture Beef'!E67</f>
        <v>380</v>
      </c>
      <c r="V53" s="52">
        <f>'Input - Pasture Beef'!F67</f>
        <v>780</v>
      </c>
      <c r="W53" s="52">
        <f>'Input - Pasture Beef'!G67</f>
        <v>300</v>
      </c>
      <c r="X53" s="52">
        <f>'Input - Pasture Beef'!H67</f>
        <v>450</v>
      </c>
      <c r="Y53" s="52">
        <f>'Input - Pasture Beef'!I67</f>
        <v>530</v>
      </c>
      <c r="Z53" s="52">
        <f>'Input - Pasture Beef'!J67</f>
        <v>530</v>
      </c>
      <c r="AA53" s="52">
        <f>'Input - Pasture Beef'!K67</f>
        <v>340</v>
      </c>
      <c r="AB53" s="52">
        <f>'Input - Pasture Beef'!L67</f>
        <v>470</v>
      </c>
      <c r="AC53" s="52">
        <f>'Input - Pasture Beef'!M67</f>
        <v>470</v>
      </c>
      <c r="AD53" s="52">
        <f>'Input - Pasture Beef'!N67</f>
        <v>470</v>
      </c>
      <c r="AE53" s="2" t="s">
        <v>133</v>
      </c>
      <c r="AF53" s="2"/>
    </row>
    <row r="54" spans="4:32" ht="20.100000000000001" customHeight="1" x14ac:dyDescent="0.25">
      <c r="D54" s="52" t="str">
        <f>'Input - Pasture Beef'!D62</f>
        <v>Autumn</v>
      </c>
      <c r="E54" s="52">
        <f>'Input - Pasture Beef'!E62</f>
        <v>100</v>
      </c>
      <c r="F54" s="52">
        <f>'Input - Pasture Beef'!F62</f>
        <v>680</v>
      </c>
      <c r="G54" s="52">
        <f>'Input - Pasture Beef'!G62</f>
        <v>80</v>
      </c>
      <c r="H54" s="52">
        <f>'Input - Pasture Beef'!H62</f>
        <v>320</v>
      </c>
      <c r="I54" s="52">
        <f>'Input - Pasture Beef'!I62</f>
        <v>480</v>
      </c>
      <c r="J54" s="52">
        <f>'Input - Pasture Beef'!J62</f>
        <v>480</v>
      </c>
      <c r="K54" s="52">
        <f>'Input - Pasture Beef'!K62</f>
        <v>100</v>
      </c>
      <c r="L54" s="52">
        <f>'Input - Pasture Beef'!L62</f>
        <v>340</v>
      </c>
      <c r="M54" s="52">
        <f>'Input - Pasture Beef'!M62</f>
        <v>340</v>
      </c>
      <c r="N54" s="52">
        <f>'Input - Pasture Beef'!N62</f>
        <v>340</v>
      </c>
      <c r="O54" s="2" t="s">
        <v>133</v>
      </c>
      <c r="P54" s="2"/>
      <c r="T54" s="52" t="str">
        <f>TEXT(EDATE('Input - Site'!$E$12,2), "mmmm yyyy")</f>
        <v>March 2024</v>
      </c>
      <c r="U54" s="52">
        <f>'Input - Pasture Beef'!E68</f>
        <v>100</v>
      </c>
      <c r="V54" s="52">
        <f>'Input - Pasture Beef'!F68</f>
        <v>680</v>
      </c>
      <c r="W54" s="52">
        <f>'Input - Pasture Beef'!G68</f>
        <v>80</v>
      </c>
      <c r="X54" s="52">
        <f>'Input - Pasture Beef'!H68</f>
        <v>320</v>
      </c>
      <c r="Y54" s="52">
        <f>'Input - Pasture Beef'!I68</f>
        <v>480</v>
      </c>
      <c r="Z54" s="52">
        <f>'Input - Pasture Beef'!J68</f>
        <v>480</v>
      </c>
      <c r="AA54" s="52">
        <f>'Input - Pasture Beef'!K68</f>
        <v>100</v>
      </c>
      <c r="AB54" s="52">
        <f>'Input - Pasture Beef'!L68</f>
        <v>340</v>
      </c>
      <c r="AC54" s="52">
        <f>'Input - Pasture Beef'!M68</f>
        <v>340</v>
      </c>
      <c r="AD54" s="52">
        <f>'Input - Pasture Beef'!N68</f>
        <v>340</v>
      </c>
      <c r="AE54" s="2" t="s">
        <v>133</v>
      </c>
      <c r="AF54" s="2"/>
    </row>
    <row r="55" spans="4:32" ht="20.100000000000001" customHeight="1" x14ac:dyDescent="0.25">
      <c r="D55" s="52" t="str">
        <f>'Input - Pasture Beef'!D63</f>
        <v>Winter</v>
      </c>
      <c r="E55" s="52">
        <f>'Input - Pasture Beef'!E63</f>
        <v>190</v>
      </c>
      <c r="F55" s="52">
        <f>'Input - Pasture Beef'!F63</f>
        <v>700</v>
      </c>
      <c r="G55" s="52">
        <f>'Input - Pasture Beef'!G63</f>
        <v>150</v>
      </c>
      <c r="H55" s="52">
        <f>'Input - Pasture Beef'!H63</f>
        <v>330</v>
      </c>
      <c r="I55" s="52">
        <f>'Input - Pasture Beef'!I63</f>
        <v>490</v>
      </c>
      <c r="J55" s="52">
        <f>'Input - Pasture Beef'!J63</f>
        <v>490</v>
      </c>
      <c r="K55" s="52">
        <f>'Input - Pasture Beef'!K63</f>
        <v>170</v>
      </c>
      <c r="L55" s="52">
        <f>'Input - Pasture Beef'!L63</f>
        <v>360</v>
      </c>
      <c r="M55" s="52">
        <f>'Input - Pasture Beef'!M63</f>
        <v>360</v>
      </c>
      <c r="N55" s="52">
        <f>'Input - Pasture Beef'!N63</f>
        <v>360</v>
      </c>
      <c r="O55" s="2" t="s">
        <v>133</v>
      </c>
      <c r="P55" s="2"/>
      <c r="T55" s="52" t="str">
        <f>TEXT(EDATE('Input - Site'!$E$12,3), "mmmm yyyy")</f>
        <v>April 2024</v>
      </c>
      <c r="U55" s="52">
        <f>'Input - Pasture Beef'!E69</f>
        <v>100</v>
      </c>
      <c r="V55" s="52">
        <f>'Input - Pasture Beef'!F69</f>
        <v>680</v>
      </c>
      <c r="W55" s="52">
        <f>'Input - Pasture Beef'!G69</f>
        <v>80</v>
      </c>
      <c r="X55" s="52">
        <f>'Input - Pasture Beef'!H69</f>
        <v>320</v>
      </c>
      <c r="Y55" s="52">
        <f>'Input - Pasture Beef'!I69</f>
        <v>480</v>
      </c>
      <c r="Z55" s="52">
        <f>'Input - Pasture Beef'!J69</f>
        <v>480</v>
      </c>
      <c r="AA55" s="52">
        <f>'Input - Pasture Beef'!K69</f>
        <v>100</v>
      </c>
      <c r="AB55" s="52">
        <f>'Input - Pasture Beef'!L69</f>
        <v>340</v>
      </c>
      <c r="AC55" s="52">
        <f>'Input - Pasture Beef'!M69</f>
        <v>340</v>
      </c>
      <c r="AD55" s="52">
        <f>'Input - Pasture Beef'!N69</f>
        <v>340</v>
      </c>
      <c r="AE55" s="2" t="s">
        <v>133</v>
      </c>
      <c r="AF55" s="2"/>
    </row>
    <row r="56" spans="4:32" ht="20.100000000000001" customHeight="1" x14ac:dyDescent="0.25">
      <c r="T56" s="52" t="str">
        <f>TEXT(EDATE('Input - Site'!$E$12,4), "mmmm yyyy")</f>
        <v>May 2024</v>
      </c>
      <c r="U56" s="52">
        <f>'Input - Pasture Beef'!E70</f>
        <v>100</v>
      </c>
      <c r="V56" s="52">
        <f>'Input - Pasture Beef'!F70</f>
        <v>680</v>
      </c>
      <c r="W56" s="52">
        <f>'Input - Pasture Beef'!G70</f>
        <v>80</v>
      </c>
      <c r="X56" s="52">
        <f>'Input - Pasture Beef'!H70</f>
        <v>320</v>
      </c>
      <c r="Y56" s="52">
        <f>'Input - Pasture Beef'!I70</f>
        <v>480</v>
      </c>
      <c r="Z56" s="52">
        <f>'Input - Pasture Beef'!J70</f>
        <v>480</v>
      </c>
      <c r="AA56" s="52">
        <f>'Input - Pasture Beef'!K70</f>
        <v>100</v>
      </c>
      <c r="AB56" s="52">
        <f>'Input - Pasture Beef'!L70</f>
        <v>340</v>
      </c>
      <c r="AC56" s="52">
        <f>'Input - Pasture Beef'!M70</f>
        <v>340</v>
      </c>
      <c r="AD56" s="52">
        <f>'Input - Pasture Beef'!N70</f>
        <v>340</v>
      </c>
      <c r="AE56" s="2" t="s">
        <v>133</v>
      </c>
      <c r="AF56" s="2"/>
    </row>
    <row r="57" spans="4:32" ht="20.100000000000001" customHeight="1" x14ac:dyDescent="0.25">
      <c r="T57" s="52" t="str">
        <f>TEXT(EDATE('Input - Site'!$E$12,5), "mmmm yyyy")</f>
        <v>June 2024</v>
      </c>
      <c r="U57" s="52">
        <f>'Input - Pasture Beef'!E71</f>
        <v>190</v>
      </c>
      <c r="V57" s="52">
        <f>'Input - Pasture Beef'!F71</f>
        <v>700</v>
      </c>
      <c r="W57" s="52">
        <f>'Input - Pasture Beef'!G71</f>
        <v>150</v>
      </c>
      <c r="X57" s="52">
        <f>'Input - Pasture Beef'!H71</f>
        <v>330</v>
      </c>
      <c r="Y57" s="52">
        <f>'Input - Pasture Beef'!I71</f>
        <v>490</v>
      </c>
      <c r="Z57" s="52">
        <f>'Input - Pasture Beef'!J71</f>
        <v>490</v>
      </c>
      <c r="AA57" s="52">
        <f>'Input - Pasture Beef'!K71</f>
        <v>170</v>
      </c>
      <c r="AB57" s="52">
        <f>'Input - Pasture Beef'!L71</f>
        <v>360</v>
      </c>
      <c r="AC57" s="52">
        <f>'Input - Pasture Beef'!M71</f>
        <v>360</v>
      </c>
      <c r="AD57" s="52">
        <f>'Input - Pasture Beef'!N71</f>
        <v>360</v>
      </c>
      <c r="AE57" s="2" t="s">
        <v>133</v>
      </c>
      <c r="AF57" s="2"/>
    </row>
    <row r="58" spans="4:32" ht="20.100000000000001" customHeight="1" x14ac:dyDescent="0.25">
      <c r="T58" s="52" t="str">
        <f>TEXT(EDATE('Input - Site'!$E$12,6), "mmmm yyyy")</f>
        <v>July 2024</v>
      </c>
      <c r="U58" s="52">
        <f>'Input - Pasture Beef'!E72</f>
        <v>190</v>
      </c>
      <c r="V58" s="52">
        <f>'Input - Pasture Beef'!F72</f>
        <v>700</v>
      </c>
      <c r="W58" s="52">
        <f>'Input - Pasture Beef'!G72</f>
        <v>150</v>
      </c>
      <c r="X58" s="52">
        <f>'Input - Pasture Beef'!H72</f>
        <v>330</v>
      </c>
      <c r="Y58" s="52">
        <f>'Input - Pasture Beef'!I72</f>
        <v>490</v>
      </c>
      <c r="Z58" s="52">
        <f>'Input - Pasture Beef'!J72</f>
        <v>490</v>
      </c>
      <c r="AA58" s="52">
        <f>'Input - Pasture Beef'!K72</f>
        <v>170</v>
      </c>
      <c r="AB58" s="52">
        <f>'Input - Pasture Beef'!L72</f>
        <v>360</v>
      </c>
      <c r="AC58" s="52">
        <f>'Input - Pasture Beef'!M72</f>
        <v>360</v>
      </c>
      <c r="AD58" s="52">
        <f>'Input - Pasture Beef'!N72</f>
        <v>360</v>
      </c>
      <c r="AE58" s="2" t="s">
        <v>133</v>
      </c>
      <c r="AF58" s="2"/>
    </row>
    <row r="59" spans="4:32" ht="20.100000000000001" customHeight="1" x14ac:dyDescent="0.25">
      <c r="T59" s="52" t="str">
        <f>TEXT(EDATE('Input - Site'!$E$12,7), "mmmm yyyy")</f>
        <v>August 2024</v>
      </c>
      <c r="U59" s="52">
        <f>'Input - Pasture Beef'!E73</f>
        <v>190</v>
      </c>
      <c r="V59" s="52">
        <f>'Input - Pasture Beef'!F73</f>
        <v>700</v>
      </c>
      <c r="W59" s="52">
        <f>'Input - Pasture Beef'!G73</f>
        <v>150</v>
      </c>
      <c r="X59" s="52">
        <f>'Input - Pasture Beef'!H73</f>
        <v>330</v>
      </c>
      <c r="Y59" s="52">
        <f>'Input - Pasture Beef'!I73</f>
        <v>490</v>
      </c>
      <c r="Z59" s="52">
        <f>'Input - Pasture Beef'!J73</f>
        <v>490</v>
      </c>
      <c r="AA59" s="52">
        <f>'Input - Pasture Beef'!K73</f>
        <v>170</v>
      </c>
      <c r="AB59" s="52">
        <f>'Input - Pasture Beef'!L73</f>
        <v>360</v>
      </c>
      <c r="AC59" s="52">
        <f>'Input - Pasture Beef'!M73</f>
        <v>360</v>
      </c>
      <c r="AD59" s="52">
        <f>'Input - Pasture Beef'!N73</f>
        <v>360</v>
      </c>
      <c r="AE59" s="2" t="s">
        <v>133</v>
      </c>
      <c r="AF59" s="2"/>
    </row>
    <row r="60" spans="4:32" ht="20.100000000000001" customHeight="1" x14ac:dyDescent="0.25">
      <c r="T60" s="52" t="str">
        <f>TEXT(EDATE('Input - Site'!$E$12,8), "mmmm yyyy")</f>
        <v>September 2024</v>
      </c>
      <c r="U60" s="52">
        <f>'Input - Pasture Beef'!E74</f>
        <v>340</v>
      </c>
      <c r="V60" s="52">
        <f>'Input - Pasture Beef'!F74</f>
        <v>800</v>
      </c>
      <c r="W60" s="52">
        <f>'Input - Pasture Beef'!G74</f>
        <v>260</v>
      </c>
      <c r="X60" s="52">
        <f>'Input - Pasture Beef'!H74</f>
        <v>420</v>
      </c>
      <c r="Y60" s="52">
        <f>'Input - Pasture Beef'!I74</f>
        <v>550</v>
      </c>
      <c r="Z60" s="52">
        <f>'Input - Pasture Beef'!J74</f>
        <v>550</v>
      </c>
      <c r="AA60" s="52">
        <f>'Input - Pasture Beef'!K74</f>
        <v>300</v>
      </c>
      <c r="AB60" s="52">
        <f>'Input - Pasture Beef'!L74</f>
        <v>480</v>
      </c>
      <c r="AC60" s="52">
        <f>'Input - Pasture Beef'!M74</f>
        <v>480</v>
      </c>
      <c r="AD60" s="52">
        <f>'Input - Pasture Beef'!N74</f>
        <v>480</v>
      </c>
      <c r="AE60" s="2" t="s">
        <v>133</v>
      </c>
      <c r="AF60" s="2"/>
    </row>
    <row r="61" spans="4:32" ht="20.100000000000001" customHeight="1" x14ac:dyDescent="0.25">
      <c r="T61" s="52" t="str">
        <f>TEXT(EDATE('Input - Site'!$E$12,9), "mmmm yyyy")</f>
        <v>October 2024</v>
      </c>
      <c r="U61" s="52">
        <f>'Input - Pasture Beef'!E75</f>
        <v>340</v>
      </c>
      <c r="V61" s="52">
        <f>'Input - Pasture Beef'!F75</f>
        <v>800</v>
      </c>
      <c r="W61" s="52">
        <f>'Input - Pasture Beef'!G75</f>
        <v>260</v>
      </c>
      <c r="X61" s="52">
        <f>'Input - Pasture Beef'!H75</f>
        <v>420</v>
      </c>
      <c r="Y61" s="52">
        <f>'Input - Pasture Beef'!I75</f>
        <v>550</v>
      </c>
      <c r="Z61" s="52">
        <f>'Input - Pasture Beef'!J75</f>
        <v>550</v>
      </c>
      <c r="AA61" s="52">
        <f>'Input - Pasture Beef'!K75</f>
        <v>300</v>
      </c>
      <c r="AB61" s="52">
        <f>'Input - Pasture Beef'!L75</f>
        <v>480</v>
      </c>
      <c r="AC61" s="52">
        <f>'Input - Pasture Beef'!M75</f>
        <v>480</v>
      </c>
      <c r="AD61" s="52">
        <f>'Input - Pasture Beef'!N75</f>
        <v>480</v>
      </c>
      <c r="AE61" s="2" t="s">
        <v>133</v>
      </c>
      <c r="AF61" s="2"/>
    </row>
    <row r="62" spans="4:32" ht="20.100000000000001" customHeight="1" x14ac:dyDescent="0.25">
      <c r="T62" s="52" t="str">
        <f>TEXT(EDATE('Input - Site'!$E$12,10), "mmmm yyyy")</f>
        <v>November 2024</v>
      </c>
      <c r="U62" s="52">
        <f>'Input - Pasture Beef'!E76</f>
        <v>340</v>
      </c>
      <c r="V62" s="52">
        <f>'Input - Pasture Beef'!F76</f>
        <v>800</v>
      </c>
      <c r="W62" s="52">
        <f>'Input - Pasture Beef'!G76</f>
        <v>260</v>
      </c>
      <c r="X62" s="52">
        <f>'Input - Pasture Beef'!H76</f>
        <v>420</v>
      </c>
      <c r="Y62" s="52">
        <f>'Input - Pasture Beef'!I76</f>
        <v>550</v>
      </c>
      <c r="Z62" s="52">
        <f>'Input - Pasture Beef'!J76</f>
        <v>550</v>
      </c>
      <c r="AA62" s="52">
        <f>'Input - Pasture Beef'!K76</f>
        <v>300</v>
      </c>
      <c r="AB62" s="52">
        <f>'Input - Pasture Beef'!L76</f>
        <v>480</v>
      </c>
      <c r="AC62" s="52">
        <f>'Input - Pasture Beef'!M76</f>
        <v>480</v>
      </c>
      <c r="AD62" s="52">
        <f>'Input - Pasture Beef'!N76</f>
        <v>480</v>
      </c>
      <c r="AE62" s="2" t="s">
        <v>133</v>
      </c>
      <c r="AF62" s="2"/>
    </row>
    <row r="63" spans="4:32" ht="20.100000000000001" customHeight="1" x14ac:dyDescent="0.25">
      <c r="T63" s="52" t="str">
        <f>TEXT(EDATE('Input - Site'!$E$12,11), "mmmm yyyy")</f>
        <v>December 2024</v>
      </c>
      <c r="U63" s="52">
        <f>'Input - Pasture Beef'!E77</f>
        <v>380</v>
      </c>
      <c r="V63" s="52">
        <f>'Input - Pasture Beef'!F77</f>
        <v>780</v>
      </c>
      <c r="W63" s="52">
        <f>'Input - Pasture Beef'!G77</f>
        <v>300</v>
      </c>
      <c r="X63" s="52">
        <f>'Input - Pasture Beef'!H77</f>
        <v>450</v>
      </c>
      <c r="Y63" s="52">
        <f>'Input - Pasture Beef'!I77</f>
        <v>530</v>
      </c>
      <c r="Z63" s="52">
        <f>'Input - Pasture Beef'!J77</f>
        <v>530</v>
      </c>
      <c r="AA63" s="52">
        <f>'Input - Pasture Beef'!K77</f>
        <v>340</v>
      </c>
      <c r="AB63" s="52">
        <f>'Input - Pasture Beef'!L77</f>
        <v>470</v>
      </c>
      <c r="AC63" s="52">
        <f>'Input - Pasture Beef'!M77</f>
        <v>470</v>
      </c>
      <c r="AD63" s="52">
        <f>'Input - Pasture Beef'!N77</f>
        <v>470</v>
      </c>
      <c r="AE63" s="2" t="s">
        <v>133</v>
      </c>
      <c r="AF63" s="2"/>
    </row>
    <row r="64" spans="4:32" ht="20.100000000000001" customHeight="1" x14ac:dyDescent="0.25"/>
    <row r="65" spans="4:32" ht="20.100000000000001" customHeight="1" x14ac:dyDescent="0.25">
      <c r="D65" s="99" t="s">
        <v>244</v>
      </c>
      <c r="T65" s="99" t="s">
        <v>261</v>
      </c>
    </row>
    <row r="66" spans="4:32" ht="20.100000000000001" customHeight="1" x14ac:dyDescent="0.25">
      <c r="D66" s="98" t="s">
        <v>245</v>
      </c>
      <c r="T66" s="98" t="s">
        <v>262</v>
      </c>
    </row>
    <row r="67" spans="4:32" ht="20.100000000000001" customHeight="1" x14ac:dyDescent="0.25">
      <c r="D67" s="51" t="s">
        <v>184</v>
      </c>
      <c r="E67" s="51" t="s">
        <v>131</v>
      </c>
      <c r="F67" s="51" t="s">
        <v>130</v>
      </c>
      <c r="G67" s="51" t="s">
        <v>165</v>
      </c>
      <c r="H67" s="51" t="s">
        <v>166</v>
      </c>
      <c r="I67" s="51" t="s">
        <v>167</v>
      </c>
      <c r="J67" s="51" t="s">
        <v>168</v>
      </c>
      <c r="K67" s="51" t="s">
        <v>169</v>
      </c>
      <c r="L67" s="51" t="s">
        <v>170</v>
      </c>
      <c r="M67" s="51" t="s">
        <v>171</v>
      </c>
      <c r="N67" s="51" t="s">
        <v>172</v>
      </c>
      <c r="T67" s="51" t="s">
        <v>132</v>
      </c>
      <c r="U67" s="51" t="s">
        <v>131</v>
      </c>
      <c r="V67" s="51" t="s">
        <v>130</v>
      </c>
      <c r="W67" s="51" t="s">
        <v>165</v>
      </c>
      <c r="X67" s="51" t="s">
        <v>166</v>
      </c>
      <c r="Y67" s="51" t="s">
        <v>167</v>
      </c>
      <c r="Z67" s="51" t="s">
        <v>168</v>
      </c>
      <c r="AA67" s="51" t="s">
        <v>169</v>
      </c>
      <c r="AB67" s="51" t="s">
        <v>170</v>
      </c>
      <c r="AC67" s="51" t="s">
        <v>171</v>
      </c>
      <c r="AD67" s="51" t="s">
        <v>172</v>
      </c>
    </row>
    <row r="68" spans="4:32" ht="20.100000000000001" customHeight="1" x14ac:dyDescent="0.25">
      <c r="D68" s="52" t="str">
        <f>'Input - Pasture Beef'!D82</f>
        <v>Spring</v>
      </c>
      <c r="E68" s="52">
        <f>'Input - Pasture Beef'!E82</f>
        <v>1.64</v>
      </c>
      <c r="F68" s="52">
        <f>'Input - Pasture Beef'!F82</f>
        <v>1.1000000000000001</v>
      </c>
      <c r="G68" s="52">
        <f>'Input - Pasture Beef'!G82</f>
        <v>1.21</v>
      </c>
      <c r="H68" s="52">
        <f>'Input - Pasture Beef'!H82</f>
        <v>0.99</v>
      </c>
      <c r="I68" s="52">
        <f>'Input - Pasture Beef'!I82</f>
        <v>0.66</v>
      </c>
      <c r="J68" s="52">
        <f>'Input - Pasture Beef'!J82</f>
        <v>0.66</v>
      </c>
      <c r="K68" s="52">
        <f>'Input - Pasture Beef'!K82</f>
        <v>1.42</v>
      </c>
      <c r="L68" s="52">
        <f>'Input - Pasture Beef'!L82</f>
        <v>1.1000000000000001</v>
      </c>
      <c r="M68" s="52">
        <f>'Input - Pasture Beef'!M82</f>
        <v>1.1000000000000001</v>
      </c>
      <c r="N68" s="52">
        <f>'Input - Pasture Beef'!N82</f>
        <v>1.1000000000000001</v>
      </c>
      <c r="O68" s="2" t="s">
        <v>133</v>
      </c>
      <c r="P68" s="2"/>
      <c r="T68" s="52" t="str">
        <f>TEXT('Input - Site'!$E$12, "mmmm yyyy")</f>
        <v>January 2024</v>
      </c>
      <c r="U68" s="52">
        <f>'Input - Pasture Beef'!E88</f>
        <v>0.44</v>
      </c>
      <c r="V68" s="52">
        <f>'Input - Pasture Beef'!F88</f>
        <v>-0.22</v>
      </c>
      <c r="W68" s="52">
        <f>'Input - Pasture Beef'!G88</f>
        <v>0.44</v>
      </c>
      <c r="X68" s="52">
        <f>'Input - Pasture Beef'!H88</f>
        <v>0.33</v>
      </c>
      <c r="Y68" s="52">
        <f>'Input - Pasture Beef'!I88</f>
        <v>-0.22</v>
      </c>
      <c r="Z68" s="52">
        <f>'Input - Pasture Beef'!J88</f>
        <v>-0.22</v>
      </c>
      <c r="AA68" s="52">
        <f>'Input - Pasture Beef'!K88</f>
        <v>0.44</v>
      </c>
      <c r="AB68" s="52">
        <f>'Input - Pasture Beef'!L88</f>
        <v>-0.11</v>
      </c>
      <c r="AC68" s="52">
        <f>'Input - Pasture Beef'!M88</f>
        <v>-0.11</v>
      </c>
      <c r="AD68" s="52">
        <f>'Input - Pasture Beef'!N88</f>
        <v>-0.11</v>
      </c>
      <c r="AE68" s="2" t="s">
        <v>134</v>
      </c>
      <c r="AF68" s="2"/>
    </row>
    <row r="69" spans="4:32" ht="20.100000000000001" customHeight="1" x14ac:dyDescent="0.25">
      <c r="D69" s="52" t="str">
        <f>'Input - Pasture Beef'!D83</f>
        <v>Summer</v>
      </c>
      <c r="E69" s="52">
        <f>'Input - Pasture Beef'!E83</f>
        <v>0.44</v>
      </c>
      <c r="F69" s="52">
        <f>'Input - Pasture Beef'!F83</f>
        <v>-0.22</v>
      </c>
      <c r="G69" s="52">
        <f>'Input - Pasture Beef'!G83</f>
        <v>0.44</v>
      </c>
      <c r="H69" s="52">
        <f>'Input - Pasture Beef'!H83</f>
        <v>0.33</v>
      </c>
      <c r="I69" s="52">
        <f>'Input - Pasture Beef'!I83</f>
        <v>-0.22</v>
      </c>
      <c r="J69" s="52">
        <f>'Input - Pasture Beef'!J83</f>
        <v>-0.22</v>
      </c>
      <c r="K69" s="52">
        <f>'Input - Pasture Beef'!K83</f>
        <v>0.44</v>
      </c>
      <c r="L69" s="52">
        <f>'Input - Pasture Beef'!L83</f>
        <v>-0.11</v>
      </c>
      <c r="M69" s="52">
        <f>'Input - Pasture Beef'!M83</f>
        <v>-0.11</v>
      </c>
      <c r="N69" s="52">
        <f>'Input - Pasture Beef'!N83</f>
        <v>-0.11</v>
      </c>
      <c r="O69" s="2" t="s">
        <v>133</v>
      </c>
      <c r="P69" s="2"/>
      <c r="T69" s="52" t="str">
        <f>TEXT(EDATE('Input - Site'!$E$12,1), "mmmm yyyy")</f>
        <v>February 2024</v>
      </c>
      <c r="U69" s="52">
        <f>'Input - Pasture Beef'!E89</f>
        <v>0.44</v>
      </c>
      <c r="V69" s="52">
        <f>'Input - Pasture Beef'!F89</f>
        <v>-0.22</v>
      </c>
      <c r="W69" s="52">
        <f>'Input - Pasture Beef'!G89</f>
        <v>0.44</v>
      </c>
      <c r="X69" s="52">
        <f>'Input - Pasture Beef'!H89</f>
        <v>0.33</v>
      </c>
      <c r="Y69" s="52">
        <f>'Input - Pasture Beef'!I89</f>
        <v>-0.22</v>
      </c>
      <c r="Z69" s="52">
        <f>'Input - Pasture Beef'!J89</f>
        <v>-0.22</v>
      </c>
      <c r="AA69" s="52">
        <f>'Input - Pasture Beef'!K89</f>
        <v>0.44</v>
      </c>
      <c r="AB69" s="52">
        <f>'Input - Pasture Beef'!L89</f>
        <v>-0.11</v>
      </c>
      <c r="AC69" s="52">
        <f>'Input - Pasture Beef'!M89</f>
        <v>-0.11</v>
      </c>
      <c r="AD69" s="52">
        <f>'Input - Pasture Beef'!N89</f>
        <v>-0.11</v>
      </c>
      <c r="AE69" s="2" t="s">
        <v>134</v>
      </c>
      <c r="AF69" s="2"/>
    </row>
    <row r="70" spans="4:32" ht="20.100000000000001" customHeight="1" x14ac:dyDescent="0.25">
      <c r="D70" s="52" t="str">
        <f>'Input - Pasture Beef'!D84</f>
        <v>Autumn</v>
      </c>
      <c r="E70" s="52">
        <f>'Input - Pasture Beef'!E84</f>
        <v>0.6</v>
      </c>
      <c r="F70" s="52">
        <f>'Input - Pasture Beef'!F84</f>
        <v>0</v>
      </c>
      <c r="G70" s="52">
        <f>'Input - Pasture Beef'!G84</f>
        <v>0.6</v>
      </c>
      <c r="H70" s="52">
        <f>'Input - Pasture Beef'!H84</f>
        <v>0.22</v>
      </c>
      <c r="I70" s="52">
        <f>'Input - Pasture Beef'!I84</f>
        <v>-0.55000000000000004</v>
      </c>
      <c r="J70" s="52">
        <f>'Input - Pasture Beef'!J84</f>
        <v>-0.55000000000000004</v>
      </c>
      <c r="K70" s="52">
        <f>'Input - Pasture Beef'!K84</f>
        <v>0.6</v>
      </c>
      <c r="L70" s="52">
        <f>'Input - Pasture Beef'!L84</f>
        <v>0</v>
      </c>
      <c r="M70" s="52">
        <f>'Input - Pasture Beef'!M84</f>
        <v>0</v>
      </c>
      <c r="N70" s="52">
        <f>'Input - Pasture Beef'!N84</f>
        <v>0</v>
      </c>
      <c r="O70" s="2" t="s">
        <v>133</v>
      </c>
      <c r="P70" s="2"/>
      <c r="T70" s="52" t="str">
        <f>TEXT(EDATE('Input - Site'!$E$12,2), "mmmm yyyy")</f>
        <v>March 2024</v>
      </c>
      <c r="U70" s="52">
        <f>'Input - Pasture Beef'!E90</f>
        <v>0.6</v>
      </c>
      <c r="V70" s="52">
        <f>'Input - Pasture Beef'!F90</f>
        <v>0</v>
      </c>
      <c r="W70" s="52">
        <f>'Input - Pasture Beef'!G90</f>
        <v>0.6</v>
      </c>
      <c r="X70" s="52">
        <f>'Input - Pasture Beef'!H90</f>
        <v>0.22</v>
      </c>
      <c r="Y70" s="52">
        <f>'Input - Pasture Beef'!I90</f>
        <v>-0.55000000000000004</v>
      </c>
      <c r="Z70" s="52">
        <f>'Input - Pasture Beef'!J90</f>
        <v>-0.55000000000000004</v>
      </c>
      <c r="AA70" s="52">
        <f>'Input - Pasture Beef'!K90</f>
        <v>0.6</v>
      </c>
      <c r="AB70" s="52">
        <f>'Input - Pasture Beef'!L90</f>
        <v>0</v>
      </c>
      <c r="AC70" s="52">
        <f>'Input - Pasture Beef'!M90</f>
        <v>0</v>
      </c>
      <c r="AD70" s="52">
        <f>'Input - Pasture Beef'!N90</f>
        <v>0</v>
      </c>
      <c r="AE70" s="2" t="s">
        <v>134</v>
      </c>
      <c r="AF70" s="2"/>
    </row>
    <row r="71" spans="4:32" ht="20.100000000000001" customHeight="1" x14ac:dyDescent="0.25">
      <c r="D71" s="52" t="str">
        <f>'Input - Pasture Beef'!D85</f>
        <v>Winter</v>
      </c>
      <c r="E71" s="52">
        <f>'Input - Pasture Beef'!E85</f>
        <v>0.99</v>
      </c>
      <c r="F71" s="52">
        <f>'Input - Pasture Beef'!F85</f>
        <v>0.22</v>
      </c>
      <c r="G71" s="52">
        <f>'Input - Pasture Beef'!G85</f>
        <v>0.77</v>
      </c>
      <c r="H71" s="52">
        <f>'Input - Pasture Beef'!H85</f>
        <v>0.11</v>
      </c>
      <c r="I71" s="52">
        <f>'Input - Pasture Beef'!I85</f>
        <v>0.11</v>
      </c>
      <c r="J71" s="52">
        <f>'Input - Pasture Beef'!J85</f>
        <v>0.11</v>
      </c>
      <c r="K71" s="52">
        <f>'Input - Pasture Beef'!K85</f>
        <v>0.77</v>
      </c>
      <c r="L71" s="52">
        <f>'Input - Pasture Beef'!L85</f>
        <v>0.44</v>
      </c>
      <c r="M71" s="52">
        <f>'Input - Pasture Beef'!M85</f>
        <v>0.44</v>
      </c>
      <c r="N71" s="52">
        <f>'Input - Pasture Beef'!N85</f>
        <v>0.44</v>
      </c>
      <c r="O71" s="2" t="s">
        <v>133</v>
      </c>
      <c r="P71" s="2"/>
      <c r="T71" s="52" t="str">
        <f>TEXT(EDATE('Input - Site'!$E$12,3), "mmmm yyyy")</f>
        <v>April 2024</v>
      </c>
      <c r="U71" s="52">
        <f>'Input - Pasture Beef'!E91</f>
        <v>0.6</v>
      </c>
      <c r="V71" s="52">
        <f>'Input - Pasture Beef'!F91</f>
        <v>0</v>
      </c>
      <c r="W71" s="52">
        <f>'Input - Pasture Beef'!G91</f>
        <v>0.6</v>
      </c>
      <c r="X71" s="52">
        <f>'Input - Pasture Beef'!H91</f>
        <v>0.22</v>
      </c>
      <c r="Y71" s="52">
        <f>'Input - Pasture Beef'!I91</f>
        <v>-0.55000000000000004</v>
      </c>
      <c r="Z71" s="52">
        <f>'Input - Pasture Beef'!J91</f>
        <v>-0.55000000000000004</v>
      </c>
      <c r="AA71" s="52">
        <f>'Input - Pasture Beef'!K91</f>
        <v>0.6</v>
      </c>
      <c r="AB71" s="52">
        <f>'Input - Pasture Beef'!L91</f>
        <v>0</v>
      </c>
      <c r="AC71" s="52">
        <f>'Input - Pasture Beef'!M91</f>
        <v>0</v>
      </c>
      <c r="AD71" s="52">
        <f>'Input - Pasture Beef'!N91</f>
        <v>0</v>
      </c>
      <c r="AE71" s="2" t="s">
        <v>134</v>
      </c>
      <c r="AF71" s="2"/>
    </row>
    <row r="72" spans="4:32" ht="20.100000000000001" customHeight="1" x14ac:dyDescent="0.25">
      <c r="T72" s="52" t="str">
        <f>TEXT(EDATE('Input - Site'!$E$12,4), "mmmm yyyy")</f>
        <v>May 2024</v>
      </c>
      <c r="U72" s="52">
        <f>'Input - Pasture Beef'!E92</f>
        <v>0.6</v>
      </c>
      <c r="V72" s="52">
        <f>'Input - Pasture Beef'!F92</f>
        <v>0</v>
      </c>
      <c r="W72" s="52">
        <f>'Input - Pasture Beef'!G92</f>
        <v>0.6</v>
      </c>
      <c r="X72" s="52">
        <f>'Input - Pasture Beef'!H92</f>
        <v>0.22</v>
      </c>
      <c r="Y72" s="52">
        <f>'Input - Pasture Beef'!I92</f>
        <v>-0.55000000000000004</v>
      </c>
      <c r="Z72" s="52">
        <f>'Input - Pasture Beef'!J92</f>
        <v>-0.55000000000000004</v>
      </c>
      <c r="AA72" s="52">
        <f>'Input - Pasture Beef'!K92</f>
        <v>0.6</v>
      </c>
      <c r="AB72" s="52">
        <f>'Input - Pasture Beef'!L92</f>
        <v>0</v>
      </c>
      <c r="AC72" s="52">
        <f>'Input - Pasture Beef'!M92</f>
        <v>0</v>
      </c>
      <c r="AD72" s="52">
        <f>'Input - Pasture Beef'!N92</f>
        <v>0</v>
      </c>
      <c r="AE72" s="2" t="s">
        <v>134</v>
      </c>
      <c r="AF72" s="2"/>
    </row>
    <row r="73" spans="4:32" ht="20.100000000000001" customHeight="1" x14ac:dyDescent="0.25">
      <c r="T73" s="52" t="str">
        <f>TEXT(EDATE('Input - Site'!$E$12,5), "mmmm yyyy")</f>
        <v>June 2024</v>
      </c>
      <c r="U73" s="52">
        <f>'Input - Pasture Beef'!E93</f>
        <v>0.99</v>
      </c>
      <c r="V73" s="52">
        <f>'Input - Pasture Beef'!F93</f>
        <v>0.22</v>
      </c>
      <c r="W73" s="52">
        <f>'Input - Pasture Beef'!G93</f>
        <v>0.77</v>
      </c>
      <c r="X73" s="52">
        <f>'Input - Pasture Beef'!H93</f>
        <v>0.11</v>
      </c>
      <c r="Y73" s="52">
        <f>'Input - Pasture Beef'!I93</f>
        <v>0.11</v>
      </c>
      <c r="Z73" s="52">
        <f>'Input - Pasture Beef'!J93</f>
        <v>0.11</v>
      </c>
      <c r="AA73" s="52">
        <f>'Input - Pasture Beef'!K93</f>
        <v>0.77</v>
      </c>
      <c r="AB73" s="52">
        <f>'Input - Pasture Beef'!L93</f>
        <v>0.44</v>
      </c>
      <c r="AC73" s="52">
        <f>'Input - Pasture Beef'!M93</f>
        <v>0.44</v>
      </c>
      <c r="AD73" s="52">
        <f>'Input - Pasture Beef'!N93</f>
        <v>0.44</v>
      </c>
      <c r="AE73" s="2" t="s">
        <v>134</v>
      </c>
      <c r="AF73" s="2"/>
    </row>
    <row r="74" spans="4:32" ht="20.100000000000001" customHeight="1" x14ac:dyDescent="0.25">
      <c r="T74" s="52" t="str">
        <f>TEXT(EDATE('Input - Site'!$E$12,6), "mmmm yyyy")</f>
        <v>July 2024</v>
      </c>
      <c r="U74" s="52">
        <f>'Input - Pasture Beef'!E94</f>
        <v>0.99</v>
      </c>
      <c r="V74" s="52">
        <f>'Input - Pasture Beef'!F94</f>
        <v>0.22</v>
      </c>
      <c r="W74" s="52">
        <f>'Input - Pasture Beef'!G94</f>
        <v>0.77</v>
      </c>
      <c r="X74" s="52">
        <f>'Input - Pasture Beef'!H94</f>
        <v>0.11</v>
      </c>
      <c r="Y74" s="52">
        <f>'Input - Pasture Beef'!I94</f>
        <v>0.11</v>
      </c>
      <c r="Z74" s="52">
        <f>'Input - Pasture Beef'!J94</f>
        <v>0.11</v>
      </c>
      <c r="AA74" s="52">
        <f>'Input - Pasture Beef'!K94</f>
        <v>0.77</v>
      </c>
      <c r="AB74" s="52">
        <f>'Input - Pasture Beef'!L94</f>
        <v>0.44</v>
      </c>
      <c r="AC74" s="52">
        <f>'Input - Pasture Beef'!M94</f>
        <v>0.44</v>
      </c>
      <c r="AD74" s="52">
        <f>'Input - Pasture Beef'!N94</f>
        <v>0.44</v>
      </c>
      <c r="AE74" s="2" t="s">
        <v>134</v>
      </c>
      <c r="AF74" s="2"/>
    </row>
    <row r="75" spans="4:32" ht="20.100000000000001" customHeight="1" x14ac:dyDescent="0.25">
      <c r="T75" s="52" t="str">
        <f>TEXT(EDATE('Input - Site'!$E$12,7), "mmmm yyyy")</f>
        <v>August 2024</v>
      </c>
      <c r="U75" s="52">
        <f>'Input - Pasture Beef'!E95</f>
        <v>0.99</v>
      </c>
      <c r="V75" s="52">
        <f>'Input - Pasture Beef'!F95</f>
        <v>0.22</v>
      </c>
      <c r="W75" s="52">
        <f>'Input - Pasture Beef'!G95</f>
        <v>0.77</v>
      </c>
      <c r="X75" s="52">
        <f>'Input - Pasture Beef'!H95</f>
        <v>0.11</v>
      </c>
      <c r="Y75" s="52">
        <f>'Input - Pasture Beef'!I95</f>
        <v>0.11</v>
      </c>
      <c r="Z75" s="52">
        <f>'Input - Pasture Beef'!J95</f>
        <v>0.11</v>
      </c>
      <c r="AA75" s="52">
        <f>'Input - Pasture Beef'!K95</f>
        <v>0.77</v>
      </c>
      <c r="AB75" s="52">
        <f>'Input - Pasture Beef'!L95</f>
        <v>0.44</v>
      </c>
      <c r="AC75" s="52">
        <f>'Input - Pasture Beef'!M95</f>
        <v>0.44</v>
      </c>
      <c r="AD75" s="52">
        <f>'Input - Pasture Beef'!N95</f>
        <v>0.44</v>
      </c>
      <c r="AE75" s="2" t="s">
        <v>134</v>
      </c>
      <c r="AF75" s="2"/>
    </row>
    <row r="76" spans="4:32" ht="20.100000000000001" customHeight="1" x14ac:dyDescent="0.25">
      <c r="T76" s="52" t="str">
        <f>TEXT(EDATE('Input - Site'!$E$12,8), "mmmm yyyy")</f>
        <v>September 2024</v>
      </c>
      <c r="U76" s="52">
        <f>'Input - Pasture Beef'!E96</f>
        <v>1.64</v>
      </c>
      <c r="V76" s="52">
        <f>'Input - Pasture Beef'!F96</f>
        <v>1.1000000000000001</v>
      </c>
      <c r="W76" s="52">
        <f>'Input - Pasture Beef'!G96</f>
        <v>1.21</v>
      </c>
      <c r="X76" s="52">
        <f>'Input - Pasture Beef'!H96</f>
        <v>0.99</v>
      </c>
      <c r="Y76" s="52">
        <f>'Input - Pasture Beef'!I96</f>
        <v>0.66</v>
      </c>
      <c r="Z76" s="52">
        <f>'Input - Pasture Beef'!J96</f>
        <v>0.66</v>
      </c>
      <c r="AA76" s="52">
        <f>'Input - Pasture Beef'!K96</f>
        <v>1.42</v>
      </c>
      <c r="AB76" s="52">
        <f>'Input - Pasture Beef'!L96</f>
        <v>1.1000000000000001</v>
      </c>
      <c r="AC76" s="52">
        <f>'Input - Pasture Beef'!M96</f>
        <v>1.1000000000000001</v>
      </c>
      <c r="AD76" s="52">
        <f>'Input - Pasture Beef'!N96</f>
        <v>1.1000000000000001</v>
      </c>
      <c r="AE76" s="2" t="s">
        <v>134</v>
      </c>
      <c r="AF76" s="2"/>
    </row>
    <row r="77" spans="4:32" ht="20.100000000000001" customHeight="1" x14ac:dyDescent="0.25">
      <c r="T77" s="52" t="str">
        <f>TEXT(EDATE('Input - Site'!$E$12,9), "mmmm yyyy")</f>
        <v>October 2024</v>
      </c>
      <c r="U77" s="52">
        <f>'Input - Pasture Beef'!E97</f>
        <v>1.64</v>
      </c>
      <c r="V77" s="52">
        <f>'Input - Pasture Beef'!F97</f>
        <v>1.1000000000000001</v>
      </c>
      <c r="W77" s="52">
        <f>'Input - Pasture Beef'!G97</f>
        <v>1.21</v>
      </c>
      <c r="X77" s="52">
        <f>'Input - Pasture Beef'!H97</f>
        <v>0.99</v>
      </c>
      <c r="Y77" s="52">
        <f>'Input - Pasture Beef'!I97</f>
        <v>0.66</v>
      </c>
      <c r="Z77" s="52">
        <f>'Input - Pasture Beef'!J97</f>
        <v>0.66</v>
      </c>
      <c r="AA77" s="52">
        <f>'Input - Pasture Beef'!K97</f>
        <v>1.42</v>
      </c>
      <c r="AB77" s="52">
        <f>'Input - Pasture Beef'!L97</f>
        <v>1.1000000000000001</v>
      </c>
      <c r="AC77" s="52">
        <f>'Input - Pasture Beef'!M97</f>
        <v>1.1000000000000001</v>
      </c>
      <c r="AD77" s="52">
        <f>'Input - Pasture Beef'!N97</f>
        <v>1.1000000000000001</v>
      </c>
      <c r="AE77" s="2" t="s">
        <v>134</v>
      </c>
      <c r="AF77" s="2"/>
    </row>
    <row r="78" spans="4:32" ht="20.100000000000001" customHeight="1" x14ac:dyDescent="0.25">
      <c r="T78" s="52" t="str">
        <f>TEXT(EDATE('Input - Site'!$E$12,10), "mmmm yyyy")</f>
        <v>November 2024</v>
      </c>
      <c r="U78" s="52">
        <f>'Input - Pasture Beef'!E98</f>
        <v>1.64</v>
      </c>
      <c r="V78" s="52">
        <f>'Input - Pasture Beef'!F98</f>
        <v>1.1000000000000001</v>
      </c>
      <c r="W78" s="52">
        <f>'Input - Pasture Beef'!G98</f>
        <v>1.21</v>
      </c>
      <c r="X78" s="52">
        <f>'Input - Pasture Beef'!H98</f>
        <v>0.99</v>
      </c>
      <c r="Y78" s="52">
        <f>'Input - Pasture Beef'!I98</f>
        <v>0.66</v>
      </c>
      <c r="Z78" s="52">
        <f>'Input - Pasture Beef'!J98</f>
        <v>0.66</v>
      </c>
      <c r="AA78" s="52">
        <f>'Input - Pasture Beef'!K98</f>
        <v>1.42</v>
      </c>
      <c r="AB78" s="52">
        <f>'Input - Pasture Beef'!L98</f>
        <v>1.1000000000000001</v>
      </c>
      <c r="AC78" s="52">
        <f>'Input - Pasture Beef'!M98</f>
        <v>1.1000000000000001</v>
      </c>
      <c r="AD78" s="52">
        <f>'Input - Pasture Beef'!N98</f>
        <v>1.1000000000000001</v>
      </c>
      <c r="AE78" s="2" t="s">
        <v>134</v>
      </c>
      <c r="AF78" s="2"/>
    </row>
    <row r="79" spans="4:32" ht="20.100000000000001" customHeight="1" x14ac:dyDescent="0.25">
      <c r="T79" s="52" t="str">
        <f>TEXT(EDATE('Input - Site'!$E$12,11), "mmmm yyyy")</f>
        <v>December 2024</v>
      </c>
      <c r="U79" s="52">
        <f>'Input - Pasture Beef'!E99</f>
        <v>0.44</v>
      </c>
      <c r="V79" s="52">
        <f>'Input - Pasture Beef'!F99</f>
        <v>-0.22</v>
      </c>
      <c r="W79" s="52">
        <f>'Input - Pasture Beef'!G99</f>
        <v>0.44</v>
      </c>
      <c r="X79" s="52">
        <f>'Input - Pasture Beef'!H99</f>
        <v>0.33</v>
      </c>
      <c r="Y79" s="52">
        <f>'Input - Pasture Beef'!I99</f>
        <v>-0.22</v>
      </c>
      <c r="Z79" s="52">
        <f>'Input - Pasture Beef'!J99</f>
        <v>-0.22</v>
      </c>
      <c r="AA79" s="52">
        <f>'Input - Pasture Beef'!K99</f>
        <v>0.44</v>
      </c>
      <c r="AB79" s="52">
        <f>'Input - Pasture Beef'!L99</f>
        <v>-0.11</v>
      </c>
      <c r="AC79" s="52">
        <f>'Input - Pasture Beef'!M99</f>
        <v>-0.11</v>
      </c>
      <c r="AD79" s="52">
        <f>'Input - Pasture Beef'!N99</f>
        <v>-0.11</v>
      </c>
      <c r="AE79" s="2" t="s">
        <v>134</v>
      </c>
      <c r="AF79" s="2"/>
    </row>
    <row r="80" spans="4:32" ht="20.100000000000001" customHeight="1" x14ac:dyDescent="0.25"/>
    <row r="81" spans="4:32" ht="20.100000000000001" customHeight="1" x14ac:dyDescent="0.25">
      <c r="D81" s="99" t="s">
        <v>247</v>
      </c>
      <c r="T81" s="99" t="s">
        <v>263</v>
      </c>
    </row>
    <row r="82" spans="4:32" ht="20.100000000000001" customHeight="1" x14ac:dyDescent="0.25">
      <c r="D82" s="98" t="s">
        <v>144</v>
      </c>
      <c r="T82" s="98" t="s">
        <v>143</v>
      </c>
    </row>
    <row r="83" spans="4:32" ht="20.100000000000001" customHeight="1" x14ac:dyDescent="0.25">
      <c r="D83" s="51" t="s">
        <v>184</v>
      </c>
      <c r="E83" s="51" t="s">
        <v>131</v>
      </c>
      <c r="F83" s="51" t="s">
        <v>130</v>
      </c>
      <c r="G83" s="51" t="s">
        <v>165</v>
      </c>
      <c r="H83" s="51" t="s">
        <v>166</v>
      </c>
      <c r="I83" s="51" t="s">
        <v>167</v>
      </c>
      <c r="J83" s="51" t="s">
        <v>168</v>
      </c>
      <c r="K83" s="51" t="s">
        <v>169</v>
      </c>
      <c r="L83" s="51" t="s">
        <v>170</v>
      </c>
      <c r="M83" s="51" t="s">
        <v>171</v>
      </c>
      <c r="N83" s="51" t="s">
        <v>172</v>
      </c>
      <c r="T83" s="51" t="s">
        <v>132</v>
      </c>
      <c r="U83" s="51" t="s">
        <v>131</v>
      </c>
      <c r="V83" s="51" t="s">
        <v>130</v>
      </c>
      <c r="W83" s="51" t="s">
        <v>165</v>
      </c>
      <c r="X83" s="51" t="s">
        <v>166</v>
      </c>
      <c r="Y83" s="51" t="s">
        <v>167</v>
      </c>
      <c r="Z83" s="51" t="s">
        <v>168</v>
      </c>
      <c r="AA83" s="51" t="s">
        <v>169</v>
      </c>
      <c r="AB83" s="51" t="s">
        <v>170</v>
      </c>
      <c r="AC83" s="51" t="s">
        <v>171</v>
      </c>
      <c r="AD83" s="51" t="s">
        <v>172</v>
      </c>
    </row>
    <row r="84" spans="4:32" ht="20.100000000000001" customHeight="1" x14ac:dyDescent="0.25">
      <c r="D84" s="52" t="s">
        <v>173</v>
      </c>
      <c r="E84" s="52" cm="1">
        <f t="array" ref="E84">EntericMethane_PastureBeef_Equations.VEERG_3_2_1_1__3_FeedIntakeForGrazingBeef(E52,E68,E30)</f>
        <v>8.6709047296000001</v>
      </c>
      <c r="F84" s="52" cm="1">
        <f t="array" ref="F84">EntericMethane_PastureBeef_Equations.VEERG_3_2_1_1__3_FeedIntakeForGrazingBeef(F52,F68,F30)</f>
        <v>12.246500250000002</v>
      </c>
      <c r="G84" s="52" cm="1">
        <f t="array" ref="G84">EntericMethane_PastureBeef_Equations.VEERG_3_2_1_1__3_FeedIntakeForGrazingBeef(G52,G68,G30)</f>
        <v>6.6089612241000006</v>
      </c>
      <c r="H84" s="52" cm="1">
        <f t="array" ref="H84">EntericMethane_PastureBeef_Equations.VEERG_3_2_1_1__3_FeedIntakeForGrazingBeef(H52,H68,H30)</f>
        <v>9.9740464851150019</v>
      </c>
      <c r="I84" s="52" cm="1">
        <f t="array" ref="I84">EntericMethane_PastureBeef_Equations.VEERG_3_2_1_1__3_FeedIntakeForGrazingBeef(I52,I68,I30)</f>
        <v>11.075755294</v>
      </c>
      <c r="J84" s="52" cm="1">
        <f t="array" ref="J84">EntericMethane_PastureBeef_Equations.VEERG_3_2_1_1__3_FeedIntakeForGrazingBeef(J52,J68,J30)</f>
        <v>11.075755294</v>
      </c>
      <c r="K84" s="52" cm="1">
        <f t="array" ref="K84">EntericMethane_PastureBeef_Equations.VEERG_3_2_1_1__3_FeedIntakeForGrazingBeef(K52,K68,K30)</f>
        <v>7.6192560899999977</v>
      </c>
      <c r="L84" s="52" cm="1">
        <f t="array" ref="L84">EntericMethane_PastureBeef_Equations.VEERG_3_2_1_1__3_FeedIntakeForGrazingBeef(L52,L68,L30)</f>
        <v>9.6824279555999979</v>
      </c>
      <c r="M84" s="52" cm="1">
        <f t="array" ref="M84">EntericMethane_PastureBeef_Equations.VEERG_3_2_1_1__3_FeedIntakeForGrazingBeef(M52,M68,M30)</f>
        <v>9.6824279555999979</v>
      </c>
      <c r="N84" s="52" cm="1">
        <f t="array" ref="N84">EntericMethane_PastureBeef_Equations.VEERG_3_2_1_1__3_FeedIntakeForGrazingBeef(N52,N68,N30)</f>
        <v>9.6824279555999979</v>
      </c>
      <c r="O84" s="2" t="str">
        <f>$E$43</f>
        <v>kg DM/head/day</v>
      </c>
      <c r="P84" s="2"/>
      <c r="T84" s="52" t="str">
        <f>TEXT('Input - Site'!$E$12, "mmmm yyyy")</f>
        <v>January 2024</v>
      </c>
      <c r="U84" s="52" cm="1">
        <f t="array" ref="U84">EntericMethane_PastureBeef_Equations.VEERG_3_2_1_1__3_FeedIntakeForGrazingBeef(U52,U68,U$30)</f>
        <v>7.1468536895999959</v>
      </c>
      <c r="V84" s="52" cm="1">
        <f t="array" ref="V84">EntericMethane_PastureBeef_Equations.VEERG_3_2_1_1__3_FeedIntakeForGrazingBeef(V52,V68,V$30)</f>
        <v>9.4559940036000008</v>
      </c>
      <c r="W84" s="52" cm="1">
        <f t="array" ref="W84">EntericMethane_PastureBeef_Equations.VEERG_3_2_1_1__3_FeedIntakeForGrazingBeef(W52,W68,W$30)</f>
        <v>6.010342559999998</v>
      </c>
      <c r="X84" s="52" cm="1">
        <f t="array" ref="X84">EntericMethane_PastureBeef_Equations.VEERG_3_2_1_1__3_FeedIntakeForGrazingBeef(X52,X68,X$30)</f>
        <v>8.4608409301875014</v>
      </c>
      <c r="Y84" s="52" cm="1">
        <f t="array" ref="Y84">EntericMethane_PastureBeef_Equations.VEERG_3_2_1_1__3_FeedIntakeForGrazingBeef(Y52,Y68,Y$30)</f>
        <v>8.3772677761199983</v>
      </c>
      <c r="Z84" s="52" cm="1">
        <f t="array" ref="Z84">EntericMethane_PastureBeef_Equations.VEERG_3_2_1_1__3_FeedIntakeForGrazingBeef(Z52,Z68,Z$30)</f>
        <v>8.3772677761199983</v>
      </c>
      <c r="AA84" s="52" cm="1">
        <f t="array" ref="AA84">EntericMethane_PastureBeef_Equations.VEERG_3_2_1_1__3_FeedIntakeForGrazingBeef(AA52,AA68,AA$30)</f>
        <v>6.5876408896000003</v>
      </c>
      <c r="AB84" s="52" cm="1">
        <f t="array" ref="AB84">EntericMethane_PastureBeef_Equations.VEERG_3_2_1_1__3_FeedIntakeForGrazingBeef(AB52,AB68,AB$30)</f>
        <v>7.3430702361</v>
      </c>
      <c r="AC84" s="52" cm="1">
        <f t="array" ref="AC84">EntericMethane_PastureBeef_Equations.VEERG_3_2_1_1__3_FeedIntakeForGrazingBeef(AC52,AC68,AC$30)</f>
        <v>7.3430702361</v>
      </c>
      <c r="AD84" s="52" cm="1">
        <f t="array" ref="AD84">EntericMethane_PastureBeef_Equations.VEERG_3_2_1_1__3_FeedIntakeForGrazingBeef(AD52,AD68,AD$30)</f>
        <v>7.3430702361</v>
      </c>
      <c r="AE84" s="2" t="str">
        <f t="shared" ref="AE84:AE95" si="3">$E$43</f>
        <v>kg DM/head/day</v>
      </c>
      <c r="AF84" s="2"/>
    </row>
    <row r="85" spans="4:32" ht="20.100000000000001" customHeight="1" x14ac:dyDescent="0.25">
      <c r="D85" s="52" t="s">
        <v>174</v>
      </c>
      <c r="E85" s="52" cm="1">
        <f t="array" ref="E85">EntericMethane_PastureBeef_Equations.VEERG_3_2_1_1__3_FeedIntakeForGrazingBeef(E53,E69,E31)</f>
        <v>7.1468536895999959</v>
      </c>
      <c r="F85" s="52" cm="1">
        <f t="array" ref="F85">EntericMethane_PastureBeef_Equations.VEERG_3_2_1_1__3_FeedIntakeForGrazingBeef(F53,F69,F31)</f>
        <v>9.4559940036000008</v>
      </c>
      <c r="G85" s="52" cm="1">
        <f t="array" ref="G85">EntericMethane_PastureBeef_Equations.VEERG_3_2_1_1__3_FeedIntakeForGrazingBeef(G53,G69,G31)</f>
        <v>6.010342559999998</v>
      </c>
      <c r="H85" s="52" cm="1">
        <f t="array" ref="H85">EntericMethane_PastureBeef_Equations.VEERG_3_2_1_1__3_FeedIntakeForGrazingBeef(H53,H69,H31)</f>
        <v>9.4446596430000014</v>
      </c>
      <c r="I85" s="52" cm="1">
        <f t="array" ref="I85">EntericMethane_PastureBeef_Equations.VEERG_3_2_1_1__3_FeedIntakeForGrazingBeef(I53,I69,I31)</f>
        <v>9.3513686803199985</v>
      </c>
      <c r="J85" s="52" cm="1">
        <f t="array" ref="J85">EntericMethane_PastureBeef_Equations.VEERG_3_2_1_1__3_FeedIntakeForGrazingBeef(J53,J69,J31)</f>
        <v>9.3513686803199985</v>
      </c>
      <c r="K85" s="52" cm="1">
        <f t="array" ref="K85">EntericMethane_PastureBeef_Equations.VEERG_3_2_1_1__3_FeedIntakeForGrazingBeef(K53,K69,K31)</f>
        <v>6.5876408896000003</v>
      </c>
      <c r="L85" s="52" cm="1">
        <f t="array" ref="L85">EntericMethane_PastureBeef_Equations.VEERG_3_2_1_1__3_FeedIntakeForGrazingBeef(L53,L69,L31)</f>
        <v>7.3430702361</v>
      </c>
      <c r="M85" s="52" cm="1">
        <f t="array" ref="M85">EntericMethane_PastureBeef_Equations.VEERG_3_2_1_1__3_FeedIntakeForGrazingBeef(M53,M69,M31)</f>
        <v>7.3430702361</v>
      </c>
      <c r="N85" s="52" cm="1">
        <f t="array" ref="N85">EntericMethane_PastureBeef_Equations.VEERG_3_2_1_1__3_FeedIntakeForGrazingBeef(N53,N69,N31)</f>
        <v>7.3430702361</v>
      </c>
      <c r="O85" s="2" t="str">
        <f>$E$43</f>
        <v>kg DM/head/day</v>
      </c>
      <c r="P85" s="2"/>
      <c r="T85" s="52" t="str">
        <f>TEXT(EDATE('Input - Site'!$E$12,1), "mmmm yyyy")</f>
        <v>February 2024</v>
      </c>
      <c r="U85" s="52" cm="1">
        <f t="array" ref="U85">EntericMethane_PastureBeef_Equations.VEERG_3_2_1_1__3_FeedIntakeForGrazingBeef(U53,U69,U$30)</f>
        <v>7.1468536895999959</v>
      </c>
      <c r="V85" s="52" cm="1">
        <f t="array" ref="V85">EntericMethane_PastureBeef_Equations.VEERG_3_2_1_1__3_FeedIntakeForGrazingBeef(V53,V69,V$30)</f>
        <v>9.4559940036000008</v>
      </c>
      <c r="W85" s="52" cm="1">
        <f t="array" ref="W85">EntericMethane_PastureBeef_Equations.VEERG_3_2_1_1__3_FeedIntakeForGrazingBeef(W53,W69,W$30)</f>
        <v>6.010342559999998</v>
      </c>
      <c r="X85" s="52" cm="1">
        <f t="array" ref="X85">EntericMethane_PastureBeef_Equations.VEERG_3_2_1_1__3_FeedIntakeForGrazingBeef(X53,X69,X$30)</f>
        <v>8.4608409301875014</v>
      </c>
      <c r="Y85" s="52" cm="1">
        <f t="array" ref="Y85">EntericMethane_PastureBeef_Equations.VEERG_3_2_1_1__3_FeedIntakeForGrazingBeef(Y53,Y69,Y$30)</f>
        <v>8.3772677761199983</v>
      </c>
      <c r="Z85" s="52" cm="1">
        <f t="array" ref="Z85">EntericMethane_PastureBeef_Equations.VEERG_3_2_1_1__3_FeedIntakeForGrazingBeef(Z53,Z69,Z$30)</f>
        <v>8.3772677761199983</v>
      </c>
      <c r="AA85" s="52" cm="1">
        <f t="array" ref="AA85">EntericMethane_PastureBeef_Equations.VEERG_3_2_1_1__3_FeedIntakeForGrazingBeef(AA53,AA69,AA$30)</f>
        <v>6.5876408896000003</v>
      </c>
      <c r="AB85" s="52" cm="1">
        <f t="array" ref="AB85">EntericMethane_PastureBeef_Equations.VEERG_3_2_1_1__3_FeedIntakeForGrazingBeef(AB53,AB69,AB$30)</f>
        <v>7.3430702361</v>
      </c>
      <c r="AC85" s="52" cm="1">
        <f t="array" ref="AC85">EntericMethane_PastureBeef_Equations.VEERG_3_2_1_1__3_FeedIntakeForGrazingBeef(AC53,AC69,AC$30)</f>
        <v>7.3430702361</v>
      </c>
      <c r="AD85" s="52" cm="1">
        <f t="array" ref="AD85">EntericMethane_PastureBeef_Equations.VEERG_3_2_1_1__3_FeedIntakeForGrazingBeef(AD53,AD69,AD$30)</f>
        <v>7.3430702361</v>
      </c>
      <c r="AE85" s="2" t="str">
        <f t="shared" si="3"/>
        <v>kg DM/head/day</v>
      </c>
      <c r="AF85" s="2"/>
    </row>
    <row r="86" spans="4:32" ht="20.100000000000001" customHeight="1" x14ac:dyDescent="0.25">
      <c r="D86" s="52" t="s">
        <v>175</v>
      </c>
      <c r="E86" s="52" cm="1">
        <f t="array" ref="E86">EntericMethane_PastureBeef_Equations.VEERG_3_2_1_1__3_FeedIntakeForGrazingBeef(E54,E70,E32)</f>
        <v>3.247204</v>
      </c>
      <c r="F86" s="52" cm="1">
        <f t="array" ref="F86">EntericMethane_PastureBeef_Equations.VEERG_3_2_1_1__3_FeedIntakeForGrazingBeef(F54,F70,F32)</f>
        <v>9.4246544015999998</v>
      </c>
      <c r="G86" s="52" cm="1">
        <f t="array" ref="G86">EntericMethane_PastureBeef_Equations.VEERG_3_2_1_1__3_FeedIntakeForGrazingBeef(G54,G70,G32)</f>
        <v>2.9603267136000002</v>
      </c>
      <c r="H86" s="52" cm="1">
        <f t="array" ref="H86">EntericMethane_PastureBeef_Equations.VEERG_3_2_1_1__3_FeedIntakeForGrazingBeef(H54,H70,H32)</f>
        <v>6.2556874165799989</v>
      </c>
      <c r="I86" s="52" cm="1">
        <f t="array" ref="I86">EntericMethane_PastureBeef_Equations.VEERG_3_2_1_1__3_FeedIntakeForGrazingBeef(I54,I70,I32)</f>
        <v>7.0538973205049995</v>
      </c>
      <c r="J86" s="52" cm="1">
        <f t="array" ref="J86">EntericMethane_PastureBeef_Equations.VEERG_3_2_1_1__3_FeedIntakeForGrazingBeef(J54,J70,J32)</f>
        <v>7.0538973205049995</v>
      </c>
      <c r="K86" s="52" cm="1">
        <f t="array" ref="K86">EntericMethane_PastureBeef_Equations.VEERG_3_2_1_1__3_FeedIntakeForGrazingBeef(K54,K70,K32)</f>
        <v>3.247204</v>
      </c>
      <c r="L86" s="52" cm="1">
        <f t="array" ref="L86">EntericMethane_PastureBeef_Equations.VEERG_3_2_1_1__3_FeedIntakeForGrazingBeef(L54,L70,L32)</f>
        <v>5.8953782416000013</v>
      </c>
      <c r="M86" s="52" cm="1">
        <f t="array" ref="M86">EntericMethane_PastureBeef_Equations.VEERG_3_2_1_1__3_FeedIntakeForGrazingBeef(M54,M70,M32)</f>
        <v>5.8953782416000013</v>
      </c>
      <c r="N86" s="52" cm="1">
        <f t="array" ref="N86">EntericMethane_PastureBeef_Equations.VEERG_3_2_1_1__3_FeedIntakeForGrazingBeef(N54,N70,N32)</f>
        <v>5.8953782416000013</v>
      </c>
      <c r="O86" s="2" t="str">
        <f>$E$43</f>
        <v>kg DM/head/day</v>
      </c>
      <c r="P86" s="2"/>
      <c r="T86" s="52" t="str">
        <f>TEXT(EDATE('Input - Site'!$E$12,2), "mmmm yyyy")</f>
        <v>March 2024</v>
      </c>
      <c r="U86" s="52" cm="1">
        <f t="array" ref="U86">EntericMethane_PastureBeef_Equations.VEERG_3_2_1_1__3_FeedIntakeForGrazingBeef(U54,U70,U$30)</f>
        <v>3.247204</v>
      </c>
      <c r="V86" s="52" cm="1">
        <f t="array" ref="V86">EntericMethane_PastureBeef_Equations.VEERG_3_2_1_1__3_FeedIntakeForGrazingBeef(V54,V70,V$30)</f>
        <v>9.4246544015999998</v>
      </c>
      <c r="W86" s="52" cm="1">
        <f t="array" ref="W86">EntericMethane_PastureBeef_Equations.VEERG_3_2_1_1__3_FeedIntakeForGrazingBeef(W54,W70,W$30)</f>
        <v>2.9603267136000002</v>
      </c>
      <c r="X86" s="52" cm="1">
        <f t="array" ref="X86">EntericMethane_PastureBeef_Equations.VEERG_3_2_1_1__3_FeedIntakeForGrazingBeef(X54,X70,X$30)</f>
        <v>6.4046323550699995</v>
      </c>
      <c r="Y86" s="52" cm="1">
        <f t="array" ref="Y86">EntericMethane_PastureBeef_Equations.VEERG_3_2_1_1__3_FeedIntakeForGrazingBeef(Y54,Y70,Y$30)</f>
        <v>7.2218472567075001</v>
      </c>
      <c r="Z86" s="52" cm="1">
        <f t="array" ref="Z86">EntericMethane_PastureBeef_Equations.VEERG_3_2_1_1__3_FeedIntakeForGrazingBeef(Z54,Z70,Z$30)</f>
        <v>7.2218472567075001</v>
      </c>
      <c r="AA86" s="52" cm="1">
        <f t="array" ref="AA86">EntericMethane_PastureBeef_Equations.VEERG_3_2_1_1__3_FeedIntakeForGrazingBeef(AA54,AA70,AA$30)</f>
        <v>3.247204</v>
      </c>
      <c r="AB86" s="52" cm="1">
        <f t="array" ref="AB86">EntericMethane_PastureBeef_Equations.VEERG_3_2_1_1__3_FeedIntakeForGrazingBeef(AB54,AB70,AB$30)</f>
        <v>5.8953782416000013</v>
      </c>
      <c r="AC86" s="52" cm="1">
        <f t="array" ref="AC86">EntericMethane_PastureBeef_Equations.VEERG_3_2_1_1__3_FeedIntakeForGrazingBeef(AC54,AC70,AC$30)</f>
        <v>5.8953782416000013</v>
      </c>
      <c r="AD86" s="52" cm="1">
        <f t="array" ref="AD86">EntericMethane_PastureBeef_Equations.VEERG_3_2_1_1__3_FeedIntakeForGrazingBeef(AD54,AD70,AD$30)</f>
        <v>5.8953782416000013</v>
      </c>
      <c r="AE86" s="2" t="str">
        <f t="shared" si="3"/>
        <v>kg DM/head/day</v>
      </c>
      <c r="AF86" s="2"/>
    </row>
    <row r="87" spans="4:32" ht="20.100000000000001" customHeight="1" x14ac:dyDescent="0.25">
      <c r="D87" s="52" t="s">
        <v>176</v>
      </c>
      <c r="E87" s="52" cm="1">
        <f t="array" ref="E87">EntericMethane_PastureBeef_Equations.VEERG_3_2_1_1__3_FeedIntakeForGrazingBeef(E55,E71,E33)</f>
        <v>5.1328980481000004</v>
      </c>
      <c r="F87" s="52" cm="1">
        <f t="array" ref="F87">EntericMethane_PastureBeef_Equations.VEERG_3_2_1_1__3_FeedIntakeForGrazingBeef(F55,F71,F33)</f>
        <v>9.9748588899999984</v>
      </c>
      <c r="G87" s="52" cm="1">
        <f t="array" ref="G87">EntericMethane_PastureBeef_Equations.VEERG_3_2_1_1__3_FeedIntakeForGrazingBeef(G55,G71,G33)</f>
        <v>4.202705002500001</v>
      </c>
      <c r="H87" s="52" cm="1">
        <f t="array" ref="H87">EntericMethane_PastureBeef_Equations.VEERG_3_2_1_1__3_FeedIntakeForGrazingBeef(H55,H71,H33)</f>
        <v>5.9278127841000021</v>
      </c>
      <c r="I87" s="52" cm="1">
        <f t="array" ref="I87">EntericMethane_PastureBeef_Equations.VEERG_3_2_1_1__3_FeedIntakeForGrazingBeef(I55,I71,I33)</f>
        <v>7.952343600099999</v>
      </c>
      <c r="J87" s="52" cm="1">
        <f t="array" ref="J87">EntericMethane_PastureBeef_Equations.VEERG_3_2_1_1__3_FeedIntakeForGrazingBeef(J55,J71,J33)</f>
        <v>7.952343600099999</v>
      </c>
      <c r="K87" s="52" cm="1">
        <f t="array" ref="K87">EntericMethane_PastureBeef_Equations.VEERG_3_2_1_1__3_FeedIntakeForGrazingBeef(K55,K71,K33)</f>
        <v>4.5122681240999984</v>
      </c>
      <c r="L87" s="52" cm="1">
        <f t="array" ref="L87">EntericMethane_PastureBeef_Equations.VEERG_3_2_1_1__3_FeedIntakeForGrazingBeef(L55,L71,L33)</f>
        <v>6.8698506815999991</v>
      </c>
      <c r="M87" s="52" cm="1">
        <f t="array" ref="M87">EntericMethane_PastureBeef_Equations.VEERG_3_2_1_1__3_FeedIntakeForGrazingBeef(M55,M71,M33)</f>
        <v>6.8698506815999991</v>
      </c>
      <c r="N87" s="52" cm="1">
        <f t="array" ref="N87">EntericMethane_PastureBeef_Equations.VEERG_3_2_1_1__3_FeedIntakeForGrazingBeef(N55,N71,N33)</f>
        <v>6.8698506815999991</v>
      </c>
      <c r="O87" s="2" t="str">
        <f>$E$43</f>
        <v>kg DM/head/day</v>
      </c>
      <c r="P87" s="2"/>
      <c r="T87" s="52" t="str">
        <f>TEXT(EDATE('Input - Site'!$E$12,3), "mmmm yyyy")</f>
        <v>April 2024</v>
      </c>
      <c r="U87" s="52" cm="1">
        <f t="array" ref="U87">EntericMethane_PastureBeef_Equations.VEERG_3_2_1_1__3_FeedIntakeForGrazingBeef(U55,U71,U$31)</f>
        <v>3.247204</v>
      </c>
      <c r="V87" s="52" cm="1">
        <f t="array" ref="V87">EntericMethane_PastureBeef_Equations.VEERG_3_2_1_1__3_FeedIntakeForGrazingBeef(V55,V71,V$31)</f>
        <v>9.4246544015999998</v>
      </c>
      <c r="W87" s="52" cm="1">
        <f t="array" ref="W87">EntericMethane_PastureBeef_Equations.VEERG_3_2_1_1__3_FeedIntakeForGrazingBeef(W55,W71,W$31)</f>
        <v>2.9603267136000002</v>
      </c>
      <c r="X87" s="52" cm="1">
        <f t="array" ref="X87">EntericMethane_PastureBeef_Equations.VEERG_3_2_1_1__3_FeedIntakeForGrazingBeef(X55,X71,X$31)</f>
        <v>5.9577975395999987</v>
      </c>
      <c r="Y87" s="52" cm="1">
        <f t="array" ref="Y87">EntericMethane_PastureBeef_Equations.VEERG_3_2_1_1__3_FeedIntakeForGrazingBeef(Y55,Y71,Y$31)</f>
        <v>6.7179974480999993</v>
      </c>
      <c r="Z87" s="52" cm="1">
        <f t="array" ref="Z87">EntericMethane_PastureBeef_Equations.VEERG_3_2_1_1__3_FeedIntakeForGrazingBeef(Z55,Z71,Z$31)</f>
        <v>6.7179974480999993</v>
      </c>
      <c r="AA87" s="52" cm="1">
        <f t="array" ref="AA87">EntericMethane_PastureBeef_Equations.VEERG_3_2_1_1__3_FeedIntakeForGrazingBeef(AA55,AA71,AA$31)</f>
        <v>3.247204</v>
      </c>
      <c r="AB87" s="52" cm="1">
        <f t="array" ref="AB87">EntericMethane_PastureBeef_Equations.VEERG_3_2_1_1__3_FeedIntakeForGrazingBeef(AB55,AB71,AB$31)</f>
        <v>5.8953782416000013</v>
      </c>
      <c r="AC87" s="52" cm="1">
        <f t="array" ref="AC87">EntericMethane_PastureBeef_Equations.VEERG_3_2_1_1__3_FeedIntakeForGrazingBeef(AC55,AC71,AC$31)</f>
        <v>5.8953782416000013</v>
      </c>
      <c r="AD87" s="52" cm="1">
        <f t="array" ref="AD87">EntericMethane_PastureBeef_Equations.VEERG_3_2_1_1__3_FeedIntakeForGrazingBeef(AD55,AD71,AD$31)</f>
        <v>5.8953782416000013</v>
      </c>
      <c r="AE87" s="2" t="str">
        <f t="shared" si="3"/>
        <v>kg DM/head/day</v>
      </c>
      <c r="AF87" s="2"/>
    </row>
    <row r="88" spans="4:32" ht="20.100000000000001" customHeight="1" x14ac:dyDescent="0.25">
      <c r="T88" s="52" t="str">
        <f>TEXT(EDATE('Input - Site'!$E$12,4), "mmmm yyyy")</f>
        <v>May 2024</v>
      </c>
      <c r="U88" s="52" cm="1">
        <f t="array" ref="U88">EntericMethane_PastureBeef_Equations.VEERG_3_2_1_1__3_FeedIntakeForGrazingBeef(U56,U72,U$31)</f>
        <v>3.247204</v>
      </c>
      <c r="V88" s="52" cm="1">
        <f t="array" ref="V88">EntericMethane_PastureBeef_Equations.VEERG_3_2_1_1__3_FeedIntakeForGrazingBeef(V56,V72,V$31)</f>
        <v>9.4246544015999998</v>
      </c>
      <c r="W88" s="52" cm="1">
        <f t="array" ref="W88">EntericMethane_PastureBeef_Equations.VEERG_3_2_1_1__3_FeedIntakeForGrazingBeef(W56,W72,W$31)</f>
        <v>2.9603267136000002</v>
      </c>
      <c r="X88" s="52" cm="1">
        <f t="array" ref="X88">EntericMethane_PastureBeef_Equations.VEERG_3_2_1_1__3_FeedIntakeForGrazingBeef(X56,X72,X$31)</f>
        <v>5.9577975395999987</v>
      </c>
      <c r="Y88" s="52" cm="1">
        <f t="array" ref="Y88">EntericMethane_PastureBeef_Equations.VEERG_3_2_1_1__3_FeedIntakeForGrazingBeef(Y56,Y72,Y$31)</f>
        <v>6.7179974480999993</v>
      </c>
      <c r="Z88" s="52" cm="1">
        <f t="array" ref="Z88">EntericMethane_PastureBeef_Equations.VEERG_3_2_1_1__3_FeedIntakeForGrazingBeef(Z56,Z72,Z$31)</f>
        <v>6.7179974480999993</v>
      </c>
      <c r="AA88" s="52" cm="1">
        <f t="array" ref="AA88">EntericMethane_PastureBeef_Equations.VEERG_3_2_1_1__3_FeedIntakeForGrazingBeef(AA56,AA72,AA$31)</f>
        <v>3.247204</v>
      </c>
      <c r="AB88" s="52" cm="1">
        <f t="array" ref="AB88">EntericMethane_PastureBeef_Equations.VEERG_3_2_1_1__3_FeedIntakeForGrazingBeef(AB56,AB72,AB$31)</f>
        <v>5.8953782416000013</v>
      </c>
      <c r="AC88" s="52" cm="1">
        <f t="array" ref="AC88">EntericMethane_PastureBeef_Equations.VEERG_3_2_1_1__3_FeedIntakeForGrazingBeef(AC56,AC72,AC$31)</f>
        <v>5.8953782416000013</v>
      </c>
      <c r="AD88" s="52" cm="1">
        <f t="array" ref="AD88">EntericMethane_PastureBeef_Equations.VEERG_3_2_1_1__3_FeedIntakeForGrazingBeef(AD56,AD72,AD$31)</f>
        <v>5.8953782416000013</v>
      </c>
      <c r="AE88" s="2" t="str">
        <f t="shared" si="3"/>
        <v>kg DM/head/day</v>
      </c>
      <c r="AF88" s="2"/>
    </row>
    <row r="89" spans="4:32" ht="20.100000000000001" customHeight="1" x14ac:dyDescent="0.25">
      <c r="T89" s="52" t="str">
        <f>TEXT(EDATE('Input - Site'!$E$12,5), "mmmm yyyy")</f>
        <v>June 2024</v>
      </c>
      <c r="U89" s="52" cm="1">
        <f t="array" ref="U89">EntericMethane_PastureBeef_Equations.VEERG_3_2_1_1__3_FeedIntakeForGrazingBeef(U57,U73,U$31)</f>
        <v>5.1328980481000004</v>
      </c>
      <c r="V89" s="52" cm="1">
        <f t="array" ref="V89">EntericMethane_PastureBeef_Equations.VEERG_3_2_1_1__3_FeedIntakeForGrazingBeef(V57,V73,V$31)</f>
        <v>9.9748588899999984</v>
      </c>
      <c r="W89" s="52" cm="1">
        <f t="array" ref="W89">EntericMethane_PastureBeef_Equations.VEERG_3_2_1_1__3_FeedIntakeForGrazingBeef(W57,W73,W$31)</f>
        <v>4.202705002500001</v>
      </c>
      <c r="X89" s="52" cm="1">
        <f t="array" ref="X89">EntericMethane_PastureBeef_Equations.VEERG_3_2_1_1__3_FeedIntakeForGrazingBeef(X57,X73,X$31)</f>
        <v>5.9278127841000021</v>
      </c>
      <c r="Y89" s="52" cm="1">
        <f t="array" ref="Y89">EntericMethane_PastureBeef_Equations.VEERG_3_2_1_1__3_FeedIntakeForGrazingBeef(Y57,Y73,Y$31)</f>
        <v>7.952343600099999</v>
      </c>
      <c r="Z89" s="52" cm="1">
        <f t="array" ref="Z89">EntericMethane_PastureBeef_Equations.VEERG_3_2_1_1__3_FeedIntakeForGrazingBeef(Z57,Z73,Z$31)</f>
        <v>7.952343600099999</v>
      </c>
      <c r="AA89" s="52" cm="1">
        <f t="array" ref="AA89">EntericMethane_PastureBeef_Equations.VEERG_3_2_1_1__3_FeedIntakeForGrazingBeef(AA57,AA73,AA$31)</f>
        <v>4.5122681240999984</v>
      </c>
      <c r="AB89" s="52" cm="1">
        <f t="array" ref="AB89">EntericMethane_PastureBeef_Equations.VEERG_3_2_1_1__3_FeedIntakeForGrazingBeef(AB57,AB73,AB$31)</f>
        <v>6.8698506815999991</v>
      </c>
      <c r="AC89" s="52" cm="1">
        <f t="array" ref="AC89">EntericMethane_PastureBeef_Equations.VEERG_3_2_1_1__3_FeedIntakeForGrazingBeef(AC57,AC73,AC$31)</f>
        <v>6.8698506815999991</v>
      </c>
      <c r="AD89" s="52" cm="1">
        <f t="array" ref="AD89">EntericMethane_PastureBeef_Equations.VEERG_3_2_1_1__3_FeedIntakeForGrazingBeef(AD57,AD73,AD$31)</f>
        <v>6.8698506815999991</v>
      </c>
      <c r="AE89" s="2" t="str">
        <f t="shared" si="3"/>
        <v>kg DM/head/day</v>
      </c>
      <c r="AF89" s="2"/>
    </row>
    <row r="90" spans="4:32" ht="20.100000000000001" customHeight="1" x14ac:dyDescent="0.25">
      <c r="T90" s="52" t="str">
        <f>TEXT(EDATE('Input - Site'!$E$12,6), "mmmm yyyy")</f>
        <v>July 2024</v>
      </c>
      <c r="U90" s="52" cm="1">
        <f t="array" ref="U90">EntericMethane_PastureBeef_Equations.VEERG_3_2_1_1__3_FeedIntakeForGrazingBeef(U58,U74,U$32)</f>
        <v>5.1328980481000004</v>
      </c>
      <c r="V90" s="52" cm="1">
        <f t="array" ref="V90">EntericMethane_PastureBeef_Equations.VEERG_3_2_1_1__3_FeedIntakeForGrazingBeef(V58,V74,V$32)</f>
        <v>9.9748588899999984</v>
      </c>
      <c r="W90" s="52" cm="1">
        <f t="array" ref="W90">EntericMethane_PastureBeef_Equations.VEERG_3_2_1_1__3_FeedIntakeForGrazingBeef(W58,W74,W$32)</f>
        <v>4.202705002500001</v>
      </c>
      <c r="X90" s="52" cm="1">
        <f t="array" ref="X90">EntericMethane_PastureBeef_Equations.VEERG_3_2_1_1__3_FeedIntakeForGrazingBeef(X58,X74,X$32)</f>
        <v>6.3723987429075022</v>
      </c>
      <c r="Y90" s="52" cm="1">
        <f t="array" ref="Y90">EntericMethane_PastureBeef_Equations.VEERG_3_2_1_1__3_FeedIntakeForGrazingBeef(Y58,Y74,Y$32)</f>
        <v>8.5487693701074985</v>
      </c>
      <c r="Z90" s="52" cm="1">
        <f t="array" ref="Z90">EntericMethane_PastureBeef_Equations.VEERG_3_2_1_1__3_FeedIntakeForGrazingBeef(Z58,Z74,Z$32)</f>
        <v>8.5487693701074985</v>
      </c>
      <c r="AA90" s="52" cm="1">
        <f t="array" ref="AA90">EntericMethane_PastureBeef_Equations.VEERG_3_2_1_1__3_FeedIntakeForGrazingBeef(AA58,AA74,AA$32)</f>
        <v>4.5122681240999984</v>
      </c>
      <c r="AB90" s="52" cm="1">
        <f t="array" ref="AB90">EntericMethane_PastureBeef_Equations.VEERG_3_2_1_1__3_FeedIntakeForGrazingBeef(AB58,AB74,AB$32)</f>
        <v>6.8698506815999991</v>
      </c>
      <c r="AC90" s="52" cm="1">
        <f t="array" ref="AC90">EntericMethane_PastureBeef_Equations.VEERG_3_2_1_1__3_FeedIntakeForGrazingBeef(AC58,AC74,AC$32)</f>
        <v>6.8698506815999991</v>
      </c>
      <c r="AD90" s="52" cm="1">
        <f t="array" ref="AD90">EntericMethane_PastureBeef_Equations.VEERG_3_2_1_1__3_FeedIntakeForGrazingBeef(AD58,AD74,AD$32)</f>
        <v>6.8698506815999991</v>
      </c>
      <c r="AE90" s="2" t="str">
        <f t="shared" si="3"/>
        <v>kg DM/head/day</v>
      </c>
      <c r="AF90" s="2"/>
    </row>
    <row r="91" spans="4:32" ht="20.100000000000001" customHeight="1" x14ac:dyDescent="0.25">
      <c r="T91" s="52" t="str">
        <f>TEXT(EDATE('Input - Site'!$E$12,7), "mmmm yyyy")</f>
        <v>August 2024</v>
      </c>
      <c r="U91" s="52" cm="1">
        <f t="array" ref="U91">EntericMethane_PastureBeef_Equations.VEERG_3_2_1_1__3_FeedIntakeForGrazingBeef(U59,U75,U$32)</f>
        <v>5.1328980481000004</v>
      </c>
      <c r="V91" s="52" cm="1">
        <f t="array" ref="V91">EntericMethane_PastureBeef_Equations.VEERG_3_2_1_1__3_FeedIntakeForGrazingBeef(V59,V75,V$32)</f>
        <v>9.9748588899999984</v>
      </c>
      <c r="W91" s="52" cm="1">
        <f t="array" ref="W91">EntericMethane_PastureBeef_Equations.VEERG_3_2_1_1__3_FeedIntakeForGrazingBeef(W59,W75,W$32)</f>
        <v>4.202705002500001</v>
      </c>
      <c r="X91" s="52" cm="1">
        <f t="array" ref="X91">EntericMethane_PastureBeef_Equations.VEERG_3_2_1_1__3_FeedIntakeForGrazingBeef(X59,X75,X$32)</f>
        <v>6.3723987429075022</v>
      </c>
      <c r="Y91" s="52" cm="1">
        <f t="array" ref="Y91">EntericMethane_PastureBeef_Equations.VEERG_3_2_1_1__3_FeedIntakeForGrazingBeef(Y59,Y75,Y$32)</f>
        <v>8.5487693701074985</v>
      </c>
      <c r="Z91" s="52" cm="1">
        <f t="array" ref="Z91">EntericMethane_PastureBeef_Equations.VEERG_3_2_1_1__3_FeedIntakeForGrazingBeef(Z59,Z75,Z$32)</f>
        <v>8.5487693701074985</v>
      </c>
      <c r="AA91" s="52" cm="1">
        <f t="array" ref="AA91">EntericMethane_PastureBeef_Equations.VEERG_3_2_1_1__3_FeedIntakeForGrazingBeef(AA59,AA75,AA$32)</f>
        <v>4.5122681240999984</v>
      </c>
      <c r="AB91" s="52" cm="1">
        <f t="array" ref="AB91">EntericMethane_PastureBeef_Equations.VEERG_3_2_1_1__3_FeedIntakeForGrazingBeef(AB59,AB75,AB$32)</f>
        <v>6.8698506815999991</v>
      </c>
      <c r="AC91" s="52" cm="1">
        <f t="array" ref="AC91">EntericMethane_PastureBeef_Equations.VEERG_3_2_1_1__3_FeedIntakeForGrazingBeef(AC59,AC75,AC$32)</f>
        <v>6.8698506815999991</v>
      </c>
      <c r="AD91" s="52" cm="1">
        <f t="array" ref="AD91">EntericMethane_PastureBeef_Equations.VEERG_3_2_1_1__3_FeedIntakeForGrazingBeef(AD59,AD75,AD$32)</f>
        <v>6.8698506815999991</v>
      </c>
      <c r="AE91" s="2" t="str">
        <f t="shared" si="3"/>
        <v>kg DM/head/day</v>
      </c>
      <c r="AF91" s="2"/>
    </row>
    <row r="92" spans="4:32" ht="20.100000000000001" customHeight="1" x14ac:dyDescent="0.25">
      <c r="T92" s="52" t="str">
        <f>TEXT(EDATE('Input - Site'!$E$12,8), "mmmm yyyy")</f>
        <v>September 2024</v>
      </c>
      <c r="U92" s="52" cm="1">
        <f t="array" ref="U92">EntericMethane_PastureBeef_Equations.VEERG_3_2_1_1__3_FeedIntakeForGrazingBeef(U60,U76,U$32)</f>
        <v>8.6709047296000001</v>
      </c>
      <c r="V92" s="52" cm="1">
        <f t="array" ref="V92">EntericMethane_PastureBeef_Equations.VEERG_3_2_1_1__3_FeedIntakeForGrazingBeef(V60,V76,V$32)</f>
        <v>12.246500250000002</v>
      </c>
      <c r="W92" s="52" cm="1">
        <f t="array" ref="W92">EntericMethane_PastureBeef_Equations.VEERG_3_2_1_1__3_FeedIntakeForGrazingBeef(W60,W76,W$32)</f>
        <v>6.6089612241000006</v>
      </c>
      <c r="X92" s="52" cm="1">
        <f t="array" ref="X92">EntericMethane_PastureBeef_Equations.VEERG_3_2_1_1__3_FeedIntakeForGrazingBeef(X60,X76,X$32)</f>
        <v>9.3235651926075018</v>
      </c>
      <c r="Y92" s="52" cm="1">
        <f t="array" ref="Y92">EntericMethane_PastureBeef_Equations.VEERG_3_2_1_1__3_FeedIntakeForGrazingBeef(Y60,Y76,Y$32)</f>
        <v>10.353423427000001</v>
      </c>
      <c r="Z92" s="52" cm="1">
        <f t="array" ref="Z92">EntericMethane_PastureBeef_Equations.VEERG_3_2_1_1__3_FeedIntakeForGrazingBeef(Z60,Z76,Z$32)</f>
        <v>10.353423427000001</v>
      </c>
      <c r="AA92" s="52" cm="1">
        <f t="array" ref="AA92">EntericMethane_PastureBeef_Equations.VEERG_3_2_1_1__3_FeedIntakeForGrazingBeef(AA60,AA76,AA$32)</f>
        <v>7.6192560899999977</v>
      </c>
      <c r="AB92" s="52" cm="1">
        <f t="array" ref="AB92">EntericMethane_PastureBeef_Equations.VEERG_3_2_1_1__3_FeedIntakeForGrazingBeef(AB60,AB76,AB$32)</f>
        <v>9.6824279555999979</v>
      </c>
      <c r="AC92" s="52" cm="1">
        <f t="array" ref="AC92">EntericMethane_PastureBeef_Equations.VEERG_3_2_1_1__3_FeedIntakeForGrazingBeef(AC60,AC76,AC$32)</f>
        <v>9.6824279555999979</v>
      </c>
      <c r="AD92" s="52" cm="1">
        <f t="array" ref="AD92">EntericMethane_PastureBeef_Equations.VEERG_3_2_1_1__3_FeedIntakeForGrazingBeef(AD60,AD76,AD$32)</f>
        <v>9.6824279555999979</v>
      </c>
      <c r="AE92" s="2" t="str">
        <f t="shared" si="3"/>
        <v>kg DM/head/day</v>
      </c>
      <c r="AF92" s="2"/>
    </row>
    <row r="93" spans="4:32" ht="20.100000000000001" customHeight="1" x14ac:dyDescent="0.25">
      <c r="T93" s="52" t="str">
        <f>TEXT(EDATE('Input - Site'!$E$12,9), "mmmm yyyy")</f>
        <v>October 2024</v>
      </c>
      <c r="U93" s="52" cm="1">
        <f t="array" ref="U93">EntericMethane_PastureBeef_Equations.VEERG_3_2_1_1__3_FeedIntakeForGrazingBeef(U61,U77,U$33)</f>
        <v>8.6709047296000001</v>
      </c>
      <c r="V93" s="52" cm="1">
        <f t="array" ref="V93">EntericMethane_PastureBeef_Equations.VEERG_3_2_1_1__3_FeedIntakeForGrazingBeef(V61,V77,V$33)</f>
        <v>12.246500250000002</v>
      </c>
      <c r="W93" s="52" cm="1">
        <f t="array" ref="W93">EntericMethane_PastureBeef_Equations.VEERG_3_2_1_1__3_FeedIntakeForGrazingBeef(W61,W77,W$33)</f>
        <v>6.6089612241000006</v>
      </c>
      <c r="X93" s="52" cm="1">
        <f t="array" ref="X93">EntericMethane_PastureBeef_Equations.VEERG_3_2_1_1__3_FeedIntakeForGrazingBeef(X61,X77,X$33)</f>
        <v>10.841354875125003</v>
      </c>
      <c r="Y93" s="52" cm="1">
        <f t="array" ref="Y93">EntericMethane_PastureBeef_Equations.VEERG_3_2_1_1__3_FeedIntakeForGrazingBeef(Y61,Y77,Y$33)</f>
        <v>12.038864450000002</v>
      </c>
      <c r="Z93" s="52" cm="1">
        <f t="array" ref="Z93">EntericMethane_PastureBeef_Equations.VEERG_3_2_1_1__3_FeedIntakeForGrazingBeef(Z61,Z77,Z$33)</f>
        <v>12.038864450000002</v>
      </c>
      <c r="AA93" s="52" cm="1">
        <f t="array" ref="AA93">EntericMethane_PastureBeef_Equations.VEERG_3_2_1_1__3_FeedIntakeForGrazingBeef(AA61,AA77,AA$33)</f>
        <v>7.6192560899999977</v>
      </c>
      <c r="AB93" s="52" cm="1">
        <f t="array" ref="AB93">EntericMethane_PastureBeef_Equations.VEERG_3_2_1_1__3_FeedIntakeForGrazingBeef(AB61,AB77,AB$33)</f>
        <v>9.6824279555999979</v>
      </c>
      <c r="AC93" s="52" cm="1">
        <f t="array" ref="AC93">EntericMethane_PastureBeef_Equations.VEERG_3_2_1_1__3_FeedIntakeForGrazingBeef(AC61,AC77,AC$33)</f>
        <v>9.6824279555999979</v>
      </c>
      <c r="AD93" s="52" cm="1">
        <f t="array" ref="AD93">EntericMethane_PastureBeef_Equations.VEERG_3_2_1_1__3_FeedIntakeForGrazingBeef(AD61,AD77,AD$33)</f>
        <v>9.6824279555999979</v>
      </c>
      <c r="AE93" s="2" t="str">
        <f t="shared" si="3"/>
        <v>kg DM/head/day</v>
      </c>
      <c r="AF93" s="2"/>
    </row>
    <row r="94" spans="4:32" ht="20.100000000000001" customHeight="1" x14ac:dyDescent="0.25">
      <c r="T94" s="52" t="str">
        <f>TEXT(EDATE('Input - Site'!$E$12,10), "mmmm yyyy")</f>
        <v>November 2024</v>
      </c>
      <c r="U94" s="52" cm="1">
        <f t="array" ref="U94">EntericMethane_PastureBeef_Equations.VEERG_3_2_1_1__3_FeedIntakeForGrazingBeef(U62,U78,U$33)</f>
        <v>8.6709047296000001</v>
      </c>
      <c r="V94" s="52" cm="1">
        <f t="array" ref="V94">EntericMethane_PastureBeef_Equations.VEERG_3_2_1_1__3_FeedIntakeForGrazingBeef(V62,V78,V$33)</f>
        <v>12.246500250000002</v>
      </c>
      <c r="W94" s="52" cm="1">
        <f t="array" ref="W94">EntericMethane_PastureBeef_Equations.VEERG_3_2_1_1__3_FeedIntakeForGrazingBeef(W62,W78,W$33)</f>
        <v>6.6089612241000006</v>
      </c>
      <c r="X94" s="52" cm="1">
        <f t="array" ref="X94">EntericMethane_PastureBeef_Equations.VEERG_3_2_1_1__3_FeedIntakeForGrazingBeef(X62,X78,X$33)</f>
        <v>10.841354875125003</v>
      </c>
      <c r="Y94" s="52" cm="1">
        <f t="array" ref="Y94">EntericMethane_PastureBeef_Equations.VEERG_3_2_1_1__3_FeedIntakeForGrazingBeef(Y62,Y78,Y$33)</f>
        <v>12.038864450000002</v>
      </c>
      <c r="Z94" s="52" cm="1">
        <f t="array" ref="Z94">EntericMethane_PastureBeef_Equations.VEERG_3_2_1_1__3_FeedIntakeForGrazingBeef(Z62,Z78,Z$33)</f>
        <v>12.038864450000002</v>
      </c>
      <c r="AA94" s="52" cm="1">
        <f t="array" ref="AA94">EntericMethane_PastureBeef_Equations.VEERG_3_2_1_1__3_FeedIntakeForGrazingBeef(AA62,AA78,AA$33)</f>
        <v>7.6192560899999977</v>
      </c>
      <c r="AB94" s="52" cm="1">
        <f t="array" ref="AB94">EntericMethane_PastureBeef_Equations.VEERG_3_2_1_1__3_FeedIntakeForGrazingBeef(AB62,AB78,AB$33)</f>
        <v>9.6824279555999979</v>
      </c>
      <c r="AC94" s="52" cm="1">
        <f t="array" ref="AC94">EntericMethane_PastureBeef_Equations.VEERG_3_2_1_1__3_FeedIntakeForGrazingBeef(AC62,AC78,AC$33)</f>
        <v>9.6824279555999979</v>
      </c>
      <c r="AD94" s="52" cm="1">
        <f t="array" ref="AD94">EntericMethane_PastureBeef_Equations.VEERG_3_2_1_1__3_FeedIntakeForGrazingBeef(AD62,AD78,AD$33)</f>
        <v>9.6824279555999979</v>
      </c>
      <c r="AE94" s="2" t="str">
        <f t="shared" si="3"/>
        <v>kg DM/head/day</v>
      </c>
      <c r="AF94" s="2"/>
    </row>
    <row r="95" spans="4:32" ht="20.100000000000001" customHeight="1" x14ac:dyDescent="0.25">
      <c r="T95" s="52" t="str">
        <f>TEXT(EDATE('Input - Site'!$E$12,11), "mmmm yyyy")</f>
        <v>December 2024</v>
      </c>
      <c r="U95" s="52" cm="1">
        <f t="array" ref="U95">EntericMethane_PastureBeef_Equations.VEERG_3_2_1_1__3_FeedIntakeForGrazingBeef(U63,U79,U$33)</f>
        <v>7.1468536895999959</v>
      </c>
      <c r="V95" s="52" cm="1">
        <f t="array" ref="V95">EntericMethane_PastureBeef_Equations.VEERG_3_2_1_1__3_FeedIntakeForGrazingBeef(V63,V79,V$33)</f>
        <v>9.4559940036000008</v>
      </c>
      <c r="W95" s="52" cm="1">
        <f t="array" ref="W95">EntericMethane_PastureBeef_Equations.VEERG_3_2_1_1__3_FeedIntakeForGrazingBeef(W63,W79,W$33)</f>
        <v>6.010342559999998</v>
      </c>
      <c r="X95" s="52" cm="1">
        <f t="array" ref="X95">EntericMethane_PastureBeef_Equations.VEERG_3_2_1_1__3_FeedIntakeForGrazingBeef(X63,X79,X$33)</f>
        <v>9.838187128125</v>
      </c>
      <c r="Y95" s="52" cm="1">
        <f t="array" ref="Y95">EntericMethane_PastureBeef_Equations.VEERG_3_2_1_1__3_FeedIntakeForGrazingBeef(Y63,Y79,Y$33)</f>
        <v>9.7410090419999982</v>
      </c>
      <c r="Z95" s="52" cm="1">
        <f t="array" ref="Z95">EntericMethane_PastureBeef_Equations.VEERG_3_2_1_1__3_FeedIntakeForGrazingBeef(Z63,Z79,Z$33)</f>
        <v>9.7410090419999982</v>
      </c>
      <c r="AA95" s="52" cm="1">
        <f t="array" ref="AA95">EntericMethane_PastureBeef_Equations.VEERG_3_2_1_1__3_FeedIntakeForGrazingBeef(AA63,AA79,AA$33)</f>
        <v>6.5876408896000003</v>
      </c>
      <c r="AB95" s="52" cm="1">
        <f t="array" ref="AB95">EntericMethane_PastureBeef_Equations.VEERG_3_2_1_1__3_FeedIntakeForGrazingBeef(AB63,AB79,AB$33)</f>
        <v>7.3430702361</v>
      </c>
      <c r="AC95" s="52" cm="1">
        <f t="array" ref="AC95">EntericMethane_PastureBeef_Equations.VEERG_3_2_1_1__3_FeedIntakeForGrazingBeef(AC63,AC79,AC$33)</f>
        <v>7.3430702361</v>
      </c>
      <c r="AD95" s="52" cm="1">
        <f t="array" ref="AD95">EntericMethane_PastureBeef_Equations.VEERG_3_2_1_1__3_FeedIntakeForGrazingBeef(AD63,AD79,AD$33)</f>
        <v>7.3430702361</v>
      </c>
      <c r="AE95" s="2" t="str">
        <f t="shared" si="3"/>
        <v>kg DM/head/day</v>
      </c>
      <c r="AF95" s="2"/>
    </row>
    <row r="96" spans="4:32" ht="20.100000000000001" customHeight="1" x14ac:dyDescent="0.25"/>
    <row r="97" spans="3:33" ht="20.100000000000001" customHeight="1" x14ac:dyDescent="0.25"/>
    <row r="98" spans="3:33" ht="20.100000000000001" customHeight="1" x14ac:dyDescent="0.25">
      <c r="C98" s="45"/>
      <c r="D98" s="45"/>
      <c r="E98" s="45"/>
      <c r="F98" s="45"/>
      <c r="G98" s="45"/>
      <c r="H98" s="45"/>
      <c r="I98" s="45"/>
      <c r="J98" s="45"/>
      <c r="K98" s="45"/>
      <c r="L98" s="45"/>
      <c r="M98" s="45"/>
      <c r="N98" s="45"/>
      <c r="O98" s="45"/>
      <c r="P98" s="45"/>
      <c r="Q98" s="45"/>
      <c r="S98" s="45"/>
      <c r="T98" s="45"/>
      <c r="U98" s="45"/>
      <c r="V98" s="45"/>
      <c r="W98" s="45"/>
      <c r="X98" s="45"/>
      <c r="Y98" s="45"/>
      <c r="Z98" s="45"/>
      <c r="AA98" s="45"/>
      <c r="AB98" s="45"/>
      <c r="AC98" s="45"/>
      <c r="AD98" s="45"/>
      <c r="AE98" s="45"/>
      <c r="AF98" s="45"/>
      <c r="AG98" s="45"/>
    </row>
    <row r="99" spans="3:33" ht="20.100000000000001" customHeight="1" x14ac:dyDescent="0.25">
      <c r="D99" s="6" t="str" cm="1">
        <f t="array" ref="D99">MMS_PastureBeef_Methane_Equations.VEERG_4_2_1_1__3_VolatileSolidProductionFromGrazingBeef_Title()</f>
        <v>Volatile solid production from grazing beef</v>
      </c>
    </row>
    <row r="100" spans="3:33" ht="20.100000000000001" customHeight="1" x14ac:dyDescent="0.25">
      <c r="D100" s="5" t="str" cm="1">
        <f t="array" ref="D100">MMS_PastureBeef_Methane_Equations.VEERG_4_2_1_1__3_VolatileSolidProductionFromGrazingBeef_Source()</f>
        <v>VEERG 2026: 4.2.1.1, Equation (3)</v>
      </c>
    </row>
    <row r="101" spans="3:33" ht="20.100000000000001" customHeight="1" x14ac:dyDescent="0.25">
      <c r="D101" s="13" t="s">
        <v>27</v>
      </c>
      <c r="E101" s="13" t="str" cm="1">
        <f t="array" aca="1" ref="E101" ca="1">Common_InputFunctions.Utility_DisplayFunctionName($E$131)</f>
        <v>=MMS_PastureBeef_Methane_Equations.VEERG_4_2_1_1__3_VolatileSolidProductionFromGrazingBeef</v>
      </c>
    </row>
    <row r="102" spans="3:33" ht="20.100000000000001" customHeight="1" x14ac:dyDescent="0.25"/>
    <row r="103" spans="3:33" ht="20.100000000000001" customHeight="1" x14ac:dyDescent="0.25"/>
    <row r="104" spans="3:33" ht="20.100000000000001" customHeight="1" x14ac:dyDescent="0.25"/>
    <row r="105" spans="3:33" ht="20.100000000000001" customHeight="1" x14ac:dyDescent="0.25">
      <c r="D105" s="53" t="s">
        <v>30</v>
      </c>
      <c r="E105" s="1" t="str" cm="1">
        <f t="array" ref="E105">MMS_PastureBeef_Methane_Equations.VEERG_4_2_1_1__3_VolatileSolidProductionFromGrazingBeef_Variable()</f>
        <v>VS_jkl</v>
      </c>
    </row>
    <row r="106" spans="3:33" ht="20.100000000000001" customHeight="1" x14ac:dyDescent="0.25">
      <c r="D106" s="53" t="s">
        <v>20</v>
      </c>
      <c r="E106" s="54" t="str" cm="1">
        <f t="array" ref="E106">MMS_PastureBeef_Methane_Equations.VEERG_4_2_1_1__3_VolatileSolidProductionFromGrazingBeef_Unit()</f>
        <v>kg/head/day</v>
      </c>
    </row>
    <row r="107" spans="3:33" ht="20.100000000000001" customHeight="1" x14ac:dyDescent="0.25"/>
    <row r="108" spans="3:33" ht="20.100000000000001" customHeight="1" x14ac:dyDescent="0.25">
      <c r="D108" s="57" t="str" cm="1">
        <f t="array" ref="D108:E110">MMS_PastureBeef_Methane_Equations.VEERG_4_2_1_1__3_VolatileSolidProductionFromGrazingBeef_Arguments()</f>
        <v>I_jkl</v>
      </c>
      <c r="E108" s="58" t="str">
        <v>dry matter intake as calculated in Chapter 3 Section 3.2.1 (kg/head/day)</v>
      </c>
      <c r="F108" s="59"/>
      <c r="G108" s="57" t="str">
        <f>"See " &amp; D81</f>
        <v>See M1_Table_I_j_k_l</v>
      </c>
    </row>
    <row r="109" spans="3:33" ht="20.100000000000001" customHeight="1" x14ac:dyDescent="0.25">
      <c r="D109" s="57" t="str">
        <v>DMD_jkl</v>
      </c>
      <c r="E109" s="58" t="str">
        <v>dry matter digestibility expressed as a fraction</v>
      </c>
      <c r="F109" s="59"/>
      <c r="G109" s="57" t="str">
        <f>"See " &amp; D112</f>
        <v>See M1_Table_DMD_j_k_l</v>
      </c>
    </row>
    <row r="110" spans="3:33" ht="20.100000000000001" customHeight="1" x14ac:dyDescent="0.25">
      <c r="D110" s="57" t="str">
        <v>A</v>
      </c>
      <c r="E110" s="58" t="str">
        <v>ash content of feed intake expressed as a fraction</v>
      </c>
      <c r="F110" s="59"/>
      <c r="G110" s="57">
        <f>'Constants - Pature Beef'!$D$420</f>
        <v>0.08</v>
      </c>
    </row>
    <row r="111" spans="3:33" ht="20.100000000000001" customHeight="1" x14ac:dyDescent="0.25"/>
    <row r="112" spans="3:33" ht="20.100000000000001" customHeight="1" x14ac:dyDescent="0.25">
      <c r="D112" s="99" t="s">
        <v>265</v>
      </c>
      <c r="T112" s="99" t="s">
        <v>266</v>
      </c>
    </row>
    <row r="113" spans="4:32" ht="20.100000000000001" customHeight="1" x14ac:dyDescent="0.25">
      <c r="D113" s="98" t="s">
        <v>112</v>
      </c>
      <c r="T113" s="98" t="s">
        <v>142</v>
      </c>
    </row>
    <row r="114" spans="4:32" ht="20.100000000000001" customHeight="1" x14ac:dyDescent="0.25">
      <c r="D114" s="51" t="s">
        <v>184</v>
      </c>
      <c r="E114" s="51" t="s">
        <v>131</v>
      </c>
      <c r="F114" s="51" t="s">
        <v>130</v>
      </c>
      <c r="G114" s="51" t="s">
        <v>165</v>
      </c>
      <c r="H114" s="51" t="s">
        <v>166</v>
      </c>
      <c r="I114" s="51" t="s">
        <v>167</v>
      </c>
      <c r="J114" s="51" t="s">
        <v>168</v>
      </c>
      <c r="K114" s="51" t="s">
        <v>169</v>
      </c>
      <c r="L114" s="51" t="s">
        <v>170</v>
      </c>
      <c r="M114" s="51" t="s">
        <v>171</v>
      </c>
      <c r="N114" s="51" t="s">
        <v>172</v>
      </c>
      <c r="T114" s="51" t="s">
        <v>132</v>
      </c>
      <c r="U114" s="51" t="s">
        <v>131</v>
      </c>
      <c r="V114" s="51" t="s">
        <v>130</v>
      </c>
      <c r="W114" s="51" t="s">
        <v>165</v>
      </c>
      <c r="X114" s="51" t="s">
        <v>166</v>
      </c>
      <c r="Y114" s="51" t="s">
        <v>167</v>
      </c>
      <c r="Z114" s="51" t="s">
        <v>168</v>
      </c>
      <c r="AA114" s="51" t="s">
        <v>169</v>
      </c>
      <c r="AB114" s="51" t="s">
        <v>170</v>
      </c>
      <c r="AC114" s="51" t="s">
        <v>171</v>
      </c>
      <c r="AD114" s="51" t="s">
        <v>172</v>
      </c>
    </row>
    <row r="115" spans="4:32" ht="20.100000000000001" customHeight="1" x14ac:dyDescent="0.25">
      <c r="D115" s="52" t="s">
        <v>173</v>
      </c>
      <c r="E115" s="52">
        <f>'Input - Pasture Beef'!E160</f>
        <v>0.2</v>
      </c>
      <c r="F115" s="52">
        <f>'Input - Pasture Beef'!F160</f>
        <v>0.2</v>
      </c>
      <c r="G115" s="52">
        <f>'Input - Pasture Beef'!G160</f>
        <v>0.2</v>
      </c>
      <c r="H115" s="52">
        <f>'Input - Pasture Beef'!H160</f>
        <v>0.2</v>
      </c>
      <c r="I115" s="52">
        <f>'Input - Pasture Beef'!I160</f>
        <v>0.2</v>
      </c>
      <c r="J115" s="52">
        <f>'Input - Pasture Beef'!J160</f>
        <v>0.2</v>
      </c>
      <c r="K115" s="52">
        <f>'Input - Pasture Beef'!K160</f>
        <v>0.2</v>
      </c>
      <c r="L115" s="52">
        <f>'Input - Pasture Beef'!L160</f>
        <v>0.2</v>
      </c>
      <c r="M115" s="52">
        <f>'Input - Pasture Beef'!M160</f>
        <v>0.2</v>
      </c>
      <c r="N115" s="52">
        <f>'Input - Pasture Beef'!N160</f>
        <v>0.2</v>
      </c>
      <c r="O115" s="2" t="s">
        <v>141</v>
      </c>
      <c r="P115" s="2"/>
      <c r="T115" s="52" t="str">
        <f>'Input - Pasture Beef'!D166</f>
        <v>January 2024</v>
      </c>
      <c r="U115" s="52">
        <f>'Input - Pasture Beef'!E166</f>
        <v>0.09</v>
      </c>
      <c r="V115" s="52">
        <f>'Input - Pasture Beef'!F166</f>
        <v>0.09</v>
      </c>
      <c r="W115" s="52">
        <f>'Input - Pasture Beef'!G166</f>
        <v>0.09</v>
      </c>
      <c r="X115" s="52">
        <f>'Input - Pasture Beef'!H166</f>
        <v>0.09</v>
      </c>
      <c r="Y115" s="52">
        <f>'Input - Pasture Beef'!I166</f>
        <v>0.09</v>
      </c>
      <c r="Z115" s="52">
        <f>'Input - Pasture Beef'!J166</f>
        <v>0.09</v>
      </c>
      <c r="AA115" s="52">
        <f>'Input - Pasture Beef'!K166</f>
        <v>0.09</v>
      </c>
      <c r="AB115" s="52">
        <f>'Input - Pasture Beef'!L166</f>
        <v>0.09</v>
      </c>
      <c r="AC115" s="52">
        <f>'Input - Pasture Beef'!M166</f>
        <v>0.09</v>
      </c>
      <c r="AD115" s="52">
        <f>'Input - Pasture Beef'!N166</f>
        <v>0.09</v>
      </c>
      <c r="AE115" s="2" t="s">
        <v>141</v>
      </c>
      <c r="AF115" s="2"/>
    </row>
    <row r="116" spans="4:32" ht="20.100000000000001" customHeight="1" x14ac:dyDescent="0.25">
      <c r="D116" s="52" t="s">
        <v>174</v>
      </c>
      <c r="E116" s="52">
        <f>'Input - Pasture Beef'!E161</f>
        <v>0.09</v>
      </c>
      <c r="F116" s="52">
        <f>'Input - Pasture Beef'!F161</f>
        <v>0.09</v>
      </c>
      <c r="G116" s="52">
        <f>'Input - Pasture Beef'!G161</f>
        <v>0.09</v>
      </c>
      <c r="H116" s="52">
        <f>'Input - Pasture Beef'!H161</f>
        <v>0.09</v>
      </c>
      <c r="I116" s="52">
        <f>'Input - Pasture Beef'!I161</f>
        <v>0.09</v>
      </c>
      <c r="J116" s="52">
        <f>'Input - Pasture Beef'!J161</f>
        <v>0.09</v>
      </c>
      <c r="K116" s="52">
        <f>'Input - Pasture Beef'!K161</f>
        <v>0.09</v>
      </c>
      <c r="L116" s="52">
        <f>'Input - Pasture Beef'!L161</f>
        <v>0.09</v>
      </c>
      <c r="M116" s="52">
        <f>'Input - Pasture Beef'!M161</f>
        <v>0.09</v>
      </c>
      <c r="N116" s="52">
        <f>'Input - Pasture Beef'!N161</f>
        <v>0.09</v>
      </c>
      <c r="O116" s="2" t="s">
        <v>141</v>
      </c>
      <c r="P116" s="2"/>
      <c r="T116" s="52" t="str">
        <f>'Input - Pasture Beef'!D167</f>
        <v>February 2024</v>
      </c>
      <c r="U116" s="52">
        <f>'Input - Pasture Beef'!E167</f>
        <v>0.09</v>
      </c>
      <c r="V116" s="52">
        <f>'Input - Pasture Beef'!F167</f>
        <v>0.09</v>
      </c>
      <c r="W116" s="52">
        <f>'Input - Pasture Beef'!G167</f>
        <v>0.09</v>
      </c>
      <c r="X116" s="52">
        <f>'Input - Pasture Beef'!H167</f>
        <v>0.09</v>
      </c>
      <c r="Y116" s="52">
        <f>'Input - Pasture Beef'!I167</f>
        <v>0.09</v>
      </c>
      <c r="Z116" s="52">
        <f>'Input - Pasture Beef'!J167</f>
        <v>0.09</v>
      </c>
      <c r="AA116" s="52">
        <f>'Input - Pasture Beef'!K167</f>
        <v>0.09</v>
      </c>
      <c r="AB116" s="52">
        <f>'Input - Pasture Beef'!L167</f>
        <v>0.09</v>
      </c>
      <c r="AC116" s="52">
        <f>'Input - Pasture Beef'!M167</f>
        <v>0.09</v>
      </c>
      <c r="AD116" s="52">
        <f>'Input - Pasture Beef'!N167</f>
        <v>0.09</v>
      </c>
      <c r="AE116" s="2" t="s">
        <v>141</v>
      </c>
      <c r="AF116" s="2"/>
    </row>
    <row r="117" spans="4:32" ht="20.100000000000001" customHeight="1" x14ac:dyDescent="0.25">
      <c r="D117" s="52" t="s">
        <v>175</v>
      </c>
      <c r="E117" s="52">
        <f>'Input - Pasture Beef'!E162</f>
        <v>0.06</v>
      </c>
      <c r="F117" s="52">
        <f>'Input - Pasture Beef'!F162</f>
        <v>0.06</v>
      </c>
      <c r="G117" s="52">
        <f>'Input - Pasture Beef'!G162</f>
        <v>0.06</v>
      </c>
      <c r="H117" s="52">
        <f>'Input - Pasture Beef'!H162</f>
        <v>0.06</v>
      </c>
      <c r="I117" s="52">
        <f>'Input - Pasture Beef'!I162</f>
        <v>0.06</v>
      </c>
      <c r="J117" s="52">
        <f>'Input - Pasture Beef'!J162</f>
        <v>0.06</v>
      </c>
      <c r="K117" s="52">
        <f>'Input - Pasture Beef'!K162</f>
        <v>0.06</v>
      </c>
      <c r="L117" s="52">
        <f>'Input - Pasture Beef'!L162</f>
        <v>0.06</v>
      </c>
      <c r="M117" s="52">
        <f>'Input - Pasture Beef'!M162</f>
        <v>0.06</v>
      </c>
      <c r="N117" s="52">
        <f>'Input - Pasture Beef'!N162</f>
        <v>0.06</v>
      </c>
      <c r="O117" s="2" t="s">
        <v>141</v>
      </c>
      <c r="P117" s="2"/>
      <c r="T117" s="52" t="str">
        <f>'Input - Pasture Beef'!D168</f>
        <v>March 2024</v>
      </c>
      <c r="U117" s="52">
        <f>'Input - Pasture Beef'!E168</f>
        <v>0.06</v>
      </c>
      <c r="V117" s="52">
        <f>'Input - Pasture Beef'!F168</f>
        <v>0.06</v>
      </c>
      <c r="W117" s="52">
        <f>'Input - Pasture Beef'!G168</f>
        <v>0.06</v>
      </c>
      <c r="X117" s="52">
        <f>'Input - Pasture Beef'!H168</f>
        <v>0.06</v>
      </c>
      <c r="Y117" s="52">
        <f>'Input - Pasture Beef'!I168</f>
        <v>0.06</v>
      </c>
      <c r="Z117" s="52">
        <f>'Input - Pasture Beef'!J168</f>
        <v>0.06</v>
      </c>
      <c r="AA117" s="52">
        <f>'Input - Pasture Beef'!K168</f>
        <v>0.06</v>
      </c>
      <c r="AB117" s="52">
        <f>'Input - Pasture Beef'!L168</f>
        <v>0.06</v>
      </c>
      <c r="AC117" s="52">
        <f>'Input - Pasture Beef'!M168</f>
        <v>0.06</v>
      </c>
      <c r="AD117" s="52">
        <f>'Input - Pasture Beef'!N168</f>
        <v>0.06</v>
      </c>
      <c r="AE117" s="2" t="s">
        <v>141</v>
      </c>
      <c r="AF117" s="2"/>
    </row>
    <row r="118" spans="4:32" ht="20.100000000000001" customHeight="1" x14ac:dyDescent="0.25">
      <c r="D118" s="52" t="s">
        <v>176</v>
      </c>
      <c r="E118" s="52">
        <f>'Input - Pasture Beef'!E163</f>
        <v>0.2</v>
      </c>
      <c r="F118" s="52">
        <f>'Input - Pasture Beef'!F163</f>
        <v>0.2</v>
      </c>
      <c r="G118" s="52">
        <f>'Input - Pasture Beef'!G163</f>
        <v>0.2</v>
      </c>
      <c r="H118" s="52">
        <f>'Input - Pasture Beef'!H163</f>
        <v>0.2</v>
      </c>
      <c r="I118" s="52">
        <f>'Input - Pasture Beef'!I163</f>
        <v>0.2</v>
      </c>
      <c r="J118" s="52">
        <f>'Input - Pasture Beef'!J163</f>
        <v>0.2</v>
      </c>
      <c r="K118" s="52">
        <f>'Input - Pasture Beef'!K163</f>
        <v>0.2</v>
      </c>
      <c r="L118" s="52">
        <f>'Input - Pasture Beef'!L163</f>
        <v>0.2</v>
      </c>
      <c r="M118" s="52">
        <f>'Input - Pasture Beef'!M163</f>
        <v>0.2</v>
      </c>
      <c r="N118" s="52">
        <f>'Input - Pasture Beef'!N163</f>
        <v>0.2</v>
      </c>
      <c r="O118" s="2" t="s">
        <v>141</v>
      </c>
      <c r="P118" s="2"/>
      <c r="T118" s="52" t="str">
        <f>'Input - Pasture Beef'!D169</f>
        <v>April 2024</v>
      </c>
      <c r="U118" s="52">
        <f>'Input - Pasture Beef'!E169</f>
        <v>0.06</v>
      </c>
      <c r="V118" s="52">
        <f>'Input - Pasture Beef'!F169</f>
        <v>0.06</v>
      </c>
      <c r="W118" s="52">
        <f>'Input - Pasture Beef'!G169</f>
        <v>0.06</v>
      </c>
      <c r="X118" s="52">
        <f>'Input - Pasture Beef'!H169</f>
        <v>0.06</v>
      </c>
      <c r="Y118" s="52">
        <f>'Input - Pasture Beef'!I169</f>
        <v>0.06</v>
      </c>
      <c r="Z118" s="52">
        <f>'Input - Pasture Beef'!J169</f>
        <v>0.06</v>
      </c>
      <c r="AA118" s="52">
        <f>'Input - Pasture Beef'!K169</f>
        <v>0.06</v>
      </c>
      <c r="AB118" s="52">
        <f>'Input - Pasture Beef'!L169</f>
        <v>0.06</v>
      </c>
      <c r="AC118" s="52">
        <f>'Input - Pasture Beef'!M169</f>
        <v>0.06</v>
      </c>
      <c r="AD118" s="52">
        <f>'Input - Pasture Beef'!N169</f>
        <v>0.06</v>
      </c>
      <c r="AE118" s="2" t="s">
        <v>141</v>
      </c>
      <c r="AF118" s="2"/>
    </row>
    <row r="119" spans="4:32" ht="20.100000000000001" customHeight="1" x14ac:dyDescent="0.25">
      <c r="T119" s="52" t="str">
        <f>'Input - Pasture Beef'!D170</f>
        <v>May 2024</v>
      </c>
      <c r="U119" s="52">
        <f>'Input - Pasture Beef'!E170</f>
        <v>0.06</v>
      </c>
      <c r="V119" s="52">
        <f>'Input - Pasture Beef'!F170</f>
        <v>0.06</v>
      </c>
      <c r="W119" s="52">
        <f>'Input - Pasture Beef'!G170</f>
        <v>0.06</v>
      </c>
      <c r="X119" s="52">
        <f>'Input - Pasture Beef'!H170</f>
        <v>0.06</v>
      </c>
      <c r="Y119" s="52">
        <f>'Input - Pasture Beef'!I170</f>
        <v>0.06</v>
      </c>
      <c r="Z119" s="52">
        <f>'Input - Pasture Beef'!J170</f>
        <v>0.06</v>
      </c>
      <c r="AA119" s="52">
        <f>'Input - Pasture Beef'!K170</f>
        <v>0.06</v>
      </c>
      <c r="AB119" s="52">
        <f>'Input - Pasture Beef'!L170</f>
        <v>0.06</v>
      </c>
      <c r="AC119" s="52">
        <f>'Input - Pasture Beef'!M170</f>
        <v>0.06</v>
      </c>
      <c r="AD119" s="52">
        <f>'Input - Pasture Beef'!N170</f>
        <v>0.06</v>
      </c>
      <c r="AE119" s="2" t="s">
        <v>141</v>
      </c>
      <c r="AF119" s="2"/>
    </row>
    <row r="120" spans="4:32" ht="20.100000000000001" customHeight="1" x14ac:dyDescent="0.25">
      <c r="T120" s="52" t="str">
        <f>'Input - Pasture Beef'!D171</f>
        <v>June 2024</v>
      </c>
      <c r="U120" s="52">
        <f>'Input - Pasture Beef'!E171</f>
        <v>0.2</v>
      </c>
      <c r="V120" s="52">
        <f>'Input - Pasture Beef'!F171</f>
        <v>0.2</v>
      </c>
      <c r="W120" s="52">
        <f>'Input - Pasture Beef'!G171</f>
        <v>0.2</v>
      </c>
      <c r="X120" s="52">
        <f>'Input - Pasture Beef'!H171</f>
        <v>0.2</v>
      </c>
      <c r="Y120" s="52">
        <f>'Input - Pasture Beef'!I171</f>
        <v>0.2</v>
      </c>
      <c r="Z120" s="52">
        <f>'Input - Pasture Beef'!J171</f>
        <v>0.2</v>
      </c>
      <c r="AA120" s="52">
        <f>'Input - Pasture Beef'!K171</f>
        <v>0.2</v>
      </c>
      <c r="AB120" s="52">
        <f>'Input - Pasture Beef'!L171</f>
        <v>0.2</v>
      </c>
      <c r="AC120" s="52">
        <f>'Input - Pasture Beef'!M171</f>
        <v>0.2</v>
      </c>
      <c r="AD120" s="52">
        <f>'Input - Pasture Beef'!N171</f>
        <v>0.2</v>
      </c>
      <c r="AE120" s="2" t="s">
        <v>141</v>
      </c>
      <c r="AF120" s="2"/>
    </row>
    <row r="121" spans="4:32" ht="20.100000000000001" customHeight="1" x14ac:dyDescent="0.25">
      <c r="T121" s="52" t="str">
        <f>'Input - Pasture Beef'!D172</f>
        <v>July 2024</v>
      </c>
      <c r="U121" s="52">
        <f>'Input - Pasture Beef'!E172</f>
        <v>0.2</v>
      </c>
      <c r="V121" s="52">
        <f>'Input - Pasture Beef'!F172</f>
        <v>0.2</v>
      </c>
      <c r="W121" s="52">
        <f>'Input - Pasture Beef'!G172</f>
        <v>0.2</v>
      </c>
      <c r="X121" s="52">
        <f>'Input - Pasture Beef'!H172</f>
        <v>0.2</v>
      </c>
      <c r="Y121" s="52">
        <f>'Input - Pasture Beef'!I172</f>
        <v>0.2</v>
      </c>
      <c r="Z121" s="52">
        <f>'Input - Pasture Beef'!J172</f>
        <v>0.2</v>
      </c>
      <c r="AA121" s="52">
        <f>'Input - Pasture Beef'!K172</f>
        <v>0.2</v>
      </c>
      <c r="AB121" s="52">
        <f>'Input - Pasture Beef'!L172</f>
        <v>0.2</v>
      </c>
      <c r="AC121" s="52">
        <f>'Input - Pasture Beef'!M172</f>
        <v>0.2</v>
      </c>
      <c r="AD121" s="52">
        <f>'Input - Pasture Beef'!N172</f>
        <v>0.2</v>
      </c>
      <c r="AE121" s="2" t="s">
        <v>141</v>
      </c>
      <c r="AF121" s="2"/>
    </row>
    <row r="122" spans="4:32" ht="20.100000000000001" customHeight="1" x14ac:dyDescent="0.25">
      <c r="T122" s="52" t="str">
        <f>'Input - Pasture Beef'!D173</f>
        <v>August 2024</v>
      </c>
      <c r="U122" s="52">
        <f>'Input - Pasture Beef'!E173</f>
        <v>0.2</v>
      </c>
      <c r="V122" s="52">
        <f>'Input - Pasture Beef'!F173</f>
        <v>0.2</v>
      </c>
      <c r="W122" s="52">
        <f>'Input - Pasture Beef'!G173</f>
        <v>0.2</v>
      </c>
      <c r="X122" s="52">
        <f>'Input - Pasture Beef'!H173</f>
        <v>0.2</v>
      </c>
      <c r="Y122" s="52">
        <f>'Input - Pasture Beef'!I173</f>
        <v>0.2</v>
      </c>
      <c r="Z122" s="52">
        <f>'Input - Pasture Beef'!J173</f>
        <v>0.2</v>
      </c>
      <c r="AA122" s="52">
        <f>'Input - Pasture Beef'!K173</f>
        <v>0.2</v>
      </c>
      <c r="AB122" s="52">
        <f>'Input - Pasture Beef'!L173</f>
        <v>0.2</v>
      </c>
      <c r="AC122" s="52">
        <f>'Input - Pasture Beef'!M173</f>
        <v>0.2</v>
      </c>
      <c r="AD122" s="52">
        <f>'Input - Pasture Beef'!N173</f>
        <v>0.2</v>
      </c>
      <c r="AE122" s="2" t="s">
        <v>141</v>
      </c>
      <c r="AF122" s="2"/>
    </row>
    <row r="123" spans="4:32" ht="20.100000000000001" customHeight="1" x14ac:dyDescent="0.25">
      <c r="T123" s="52" t="str">
        <f>'Input - Pasture Beef'!D174</f>
        <v>September 2024</v>
      </c>
      <c r="U123" s="52">
        <f>'Input - Pasture Beef'!E174</f>
        <v>0.2</v>
      </c>
      <c r="V123" s="52">
        <f>'Input - Pasture Beef'!F174</f>
        <v>0.2</v>
      </c>
      <c r="W123" s="52">
        <f>'Input - Pasture Beef'!G174</f>
        <v>0.2</v>
      </c>
      <c r="X123" s="52">
        <f>'Input - Pasture Beef'!H174</f>
        <v>0.2</v>
      </c>
      <c r="Y123" s="52">
        <f>'Input - Pasture Beef'!I174</f>
        <v>0.2</v>
      </c>
      <c r="Z123" s="52">
        <f>'Input - Pasture Beef'!J174</f>
        <v>0.2</v>
      </c>
      <c r="AA123" s="52">
        <f>'Input - Pasture Beef'!K174</f>
        <v>0.2</v>
      </c>
      <c r="AB123" s="52">
        <f>'Input - Pasture Beef'!L174</f>
        <v>0.2</v>
      </c>
      <c r="AC123" s="52">
        <f>'Input - Pasture Beef'!M174</f>
        <v>0.2</v>
      </c>
      <c r="AD123" s="52">
        <f>'Input - Pasture Beef'!N174</f>
        <v>0.2</v>
      </c>
      <c r="AE123" s="2" t="s">
        <v>141</v>
      </c>
      <c r="AF123" s="2"/>
    </row>
    <row r="124" spans="4:32" ht="20.100000000000001" customHeight="1" x14ac:dyDescent="0.25">
      <c r="T124" s="52" t="str">
        <f>'Input - Pasture Beef'!D175</f>
        <v>October 2024</v>
      </c>
      <c r="U124" s="52">
        <f>'Input - Pasture Beef'!E175</f>
        <v>0.2</v>
      </c>
      <c r="V124" s="52">
        <f>'Input - Pasture Beef'!F175</f>
        <v>0.2</v>
      </c>
      <c r="W124" s="52">
        <f>'Input - Pasture Beef'!G175</f>
        <v>0.2</v>
      </c>
      <c r="X124" s="52">
        <f>'Input - Pasture Beef'!H175</f>
        <v>0.2</v>
      </c>
      <c r="Y124" s="52">
        <f>'Input - Pasture Beef'!I175</f>
        <v>0.2</v>
      </c>
      <c r="Z124" s="52">
        <f>'Input - Pasture Beef'!J175</f>
        <v>0.2</v>
      </c>
      <c r="AA124" s="52">
        <f>'Input - Pasture Beef'!K175</f>
        <v>0.2</v>
      </c>
      <c r="AB124" s="52">
        <f>'Input - Pasture Beef'!L175</f>
        <v>0.2</v>
      </c>
      <c r="AC124" s="52">
        <f>'Input - Pasture Beef'!M175</f>
        <v>0.2</v>
      </c>
      <c r="AD124" s="52">
        <f>'Input - Pasture Beef'!N175</f>
        <v>0.2</v>
      </c>
      <c r="AE124" s="2" t="s">
        <v>141</v>
      </c>
      <c r="AF124" s="2"/>
    </row>
    <row r="125" spans="4:32" ht="20.100000000000001" customHeight="1" x14ac:dyDescent="0.25">
      <c r="T125" s="52" t="str">
        <f>'Input - Pasture Beef'!D176</f>
        <v>November 2024</v>
      </c>
      <c r="U125" s="52">
        <f>'Input - Pasture Beef'!E176</f>
        <v>0.2</v>
      </c>
      <c r="V125" s="52">
        <f>'Input - Pasture Beef'!F176</f>
        <v>0.2</v>
      </c>
      <c r="W125" s="52">
        <f>'Input - Pasture Beef'!G176</f>
        <v>0.2</v>
      </c>
      <c r="X125" s="52">
        <f>'Input - Pasture Beef'!H176</f>
        <v>0.2</v>
      </c>
      <c r="Y125" s="52">
        <f>'Input - Pasture Beef'!I176</f>
        <v>0.2</v>
      </c>
      <c r="Z125" s="52">
        <f>'Input - Pasture Beef'!J176</f>
        <v>0.2</v>
      </c>
      <c r="AA125" s="52">
        <f>'Input - Pasture Beef'!K176</f>
        <v>0.2</v>
      </c>
      <c r="AB125" s="52">
        <f>'Input - Pasture Beef'!L176</f>
        <v>0.2</v>
      </c>
      <c r="AC125" s="52">
        <f>'Input - Pasture Beef'!M176</f>
        <v>0.2</v>
      </c>
      <c r="AD125" s="52">
        <f>'Input - Pasture Beef'!N176</f>
        <v>0.2</v>
      </c>
      <c r="AE125" s="2" t="s">
        <v>141</v>
      </c>
      <c r="AF125" s="2"/>
    </row>
    <row r="126" spans="4:32" ht="20.100000000000001" customHeight="1" x14ac:dyDescent="0.25">
      <c r="T126" s="52" t="str">
        <f>'Input - Pasture Beef'!D177</f>
        <v>December 2024</v>
      </c>
      <c r="U126" s="52">
        <f>'Input - Pasture Beef'!E177</f>
        <v>0.09</v>
      </c>
      <c r="V126" s="52">
        <f>'Input - Pasture Beef'!F177</f>
        <v>0.09</v>
      </c>
      <c r="W126" s="52">
        <f>'Input - Pasture Beef'!G177</f>
        <v>0.09</v>
      </c>
      <c r="X126" s="52">
        <f>'Input - Pasture Beef'!H177</f>
        <v>0.09</v>
      </c>
      <c r="Y126" s="52">
        <f>'Input - Pasture Beef'!I177</f>
        <v>0.09</v>
      </c>
      <c r="Z126" s="52">
        <f>'Input - Pasture Beef'!J177</f>
        <v>0.09</v>
      </c>
      <c r="AA126" s="52">
        <f>'Input - Pasture Beef'!K177</f>
        <v>0.09</v>
      </c>
      <c r="AB126" s="52">
        <f>'Input - Pasture Beef'!L177</f>
        <v>0.09</v>
      </c>
      <c r="AC126" s="52">
        <f>'Input - Pasture Beef'!M177</f>
        <v>0.09</v>
      </c>
      <c r="AD126" s="52">
        <f>'Input - Pasture Beef'!N177</f>
        <v>0.09</v>
      </c>
      <c r="AE126" s="2" t="s">
        <v>141</v>
      </c>
      <c r="AF126" s="2"/>
    </row>
    <row r="127" spans="4:32" ht="20.100000000000001" customHeight="1" x14ac:dyDescent="0.25"/>
    <row r="128" spans="4:32" ht="20.100000000000001" customHeight="1" x14ac:dyDescent="0.25">
      <c r="D128" s="99" t="s">
        <v>267</v>
      </c>
      <c r="T128" s="99" t="s">
        <v>268</v>
      </c>
    </row>
    <row r="129" spans="4:32" ht="20.100000000000001" customHeight="1" x14ac:dyDescent="0.25">
      <c r="D129" s="98" t="s">
        <v>111</v>
      </c>
      <c r="T129" s="98" t="s">
        <v>113</v>
      </c>
    </row>
    <row r="130" spans="4:32" ht="20.100000000000001" customHeight="1" x14ac:dyDescent="0.25">
      <c r="D130" s="51" t="s">
        <v>184</v>
      </c>
      <c r="E130" s="51" t="s">
        <v>131</v>
      </c>
      <c r="F130" s="51" t="s">
        <v>130</v>
      </c>
      <c r="G130" s="51" t="s">
        <v>165</v>
      </c>
      <c r="H130" s="51" t="s">
        <v>166</v>
      </c>
      <c r="I130" s="51" t="s">
        <v>167</v>
      </c>
      <c r="J130" s="51" t="s">
        <v>168</v>
      </c>
      <c r="K130" s="51" t="s">
        <v>169</v>
      </c>
      <c r="L130" s="51" t="s">
        <v>170</v>
      </c>
      <c r="M130" s="51" t="s">
        <v>171</v>
      </c>
      <c r="N130" s="51" t="s">
        <v>172</v>
      </c>
      <c r="T130" s="51" t="s">
        <v>132</v>
      </c>
      <c r="U130" s="51" t="s">
        <v>131</v>
      </c>
      <c r="V130" s="51" t="s">
        <v>130</v>
      </c>
      <c r="W130" s="51" t="s">
        <v>165</v>
      </c>
      <c r="X130" s="51" t="s">
        <v>166</v>
      </c>
      <c r="Y130" s="51" t="s">
        <v>167</v>
      </c>
      <c r="Z130" s="51" t="s">
        <v>168</v>
      </c>
      <c r="AA130" s="51" t="s">
        <v>169</v>
      </c>
      <c r="AB130" s="51" t="s">
        <v>170</v>
      </c>
      <c r="AC130" s="51" t="s">
        <v>171</v>
      </c>
      <c r="AD130" s="51" t="s">
        <v>172</v>
      </c>
    </row>
    <row r="131" spans="4:32" ht="20.100000000000001" customHeight="1" x14ac:dyDescent="0.25">
      <c r="D131" s="52" t="s">
        <v>173</v>
      </c>
      <c r="E131" s="52" cm="1">
        <f t="array" ref="E131">MMS_PastureBeef_Methane_Equations.VEERG_4_2_1_1__3_VolatileSolidProductionFromGrazingBeef(E84,E115,$G$110)</f>
        <v>6.7008751750348807</v>
      </c>
      <c r="F131" s="52" cm="1">
        <f t="array" ref="F131">MMS_PastureBeef_Methane_Equations.VEERG_4_2_1_1__3_VolatileSolidProductionFromGrazingBeef(F84,F115,$G$110)</f>
        <v>9.4640953932000045</v>
      </c>
      <c r="G131" s="52" cm="1">
        <f t="array" ref="G131">MMS_PastureBeef_Methane_Equations.VEERG_4_2_1_1__3_VolatileSolidProductionFromGrazingBeef(G84,G115,$G$110)</f>
        <v>5.1074052339844807</v>
      </c>
      <c r="H131" s="52" cm="1">
        <f t="array" ref="H131">MMS_PastureBeef_Methane_Equations.VEERG_4_2_1_1__3_VolatileSolidProductionFromGrazingBeef(H84,H115,$G$110)</f>
        <v>7.7079431236968743</v>
      </c>
      <c r="I131" s="52" cm="1">
        <f t="array" ref="I131">MMS_PastureBeef_Methane_Equations.VEERG_4_2_1_1__3_VolatileSolidProductionFromGrazingBeef(I84,I115,$G$110)</f>
        <v>8.5593436912032015</v>
      </c>
      <c r="J131" s="52" cm="1">
        <f t="array" ref="J131">MMS_PastureBeef_Methane_Equations.VEERG_4_2_1_1__3_VolatileSolidProductionFromGrazingBeef(J84,J115,$G$110)</f>
        <v>8.5593436912032015</v>
      </c>
      <c r="K131" s="52" cm="1">
        <f t="array" ref="K131">MMS_PastureBeef_Methane_Equations.VEERG_4_2_1_1__3_VolatileSolidProductionFromGrazingBeef(K84,K115,$G$110)</f>
        <v>5.8881611063519994</v>
      </c>
      <c r="L131" s="52" cm="1">
        <f t="array" ref="L131">MMS_PastureBeef_Methane_Equations.VEERG_4_2_1_1__3_VolatileSolidProductionFromGrazingBeef(L84,L115,$G$110)</f>
        <v>7.4825803240876798</v>
      </c>
      <c r="M131" s="52" cm="1">
        <f t="array" ref="M131">MMS_PastureBeef_Methane_Equations.VEERG_4_2_1_1__3_VolatileSolidProductionFromGrazingBeef(M84,M115,$G$110)</f>
        <v>7.4825803240876798</v>
      </c>
      <c r="N131" s="52" cm="1">
        <f t="array" ref="N131">MMS_PastureBeef_Methane_Equations.VEERG_4_2_1_1__3_VolatileSolidProductionFromGrazingBeef(N84,N115,$G$110)</f>
        <v>7.4825803240876798</v>
      </c>
      <c r="O131" s="2" t="str">
        <f>$E$106</f>
        <v>kg/head/day</v>
      </c>
      <c r="P131" s="2"/>
      <c r="T131" s="52" t="str">
        <f>T115</f>
        <v>January 2024</v>
      </c>
      <c r="U131" s="52" cm="1">
        <f t="array" ref="U131">MMS_PastureBeef_Methane_Equations.VEERG_4_2_1_1__3_VolatileSolidProductionFromGrazingBeef(U84,U115,$G$110)</f>
        <v>6.2463501247103963</v>
      </c>
      <c r="V131" s="52" cm="1">
        <f t="array" ref="V131">MMS_PastureBeef_Methane_Equations.VEERG_4_2_1_1__3_VolatileSolidProductionFromGrazingBeef(V84,V115,$G$110)</f>
        <v>8.2645387591464008</v>
      </c>
      <c r="W131" s="52" cm="1">
        <f t="array" ref="W131">MMS_PastureBeef_Methane_Equations.VEERG_4_2_1_1__3_VolatileSolidProductionFromGrazingBeef(W84,W115,$G$110)</f>
        <v>5.2530393974399985</v>
      </c>
      <c r="X131" s="52" cm="1">
        <f t="array" ref="X131">MMS_PastureBeef_Methane_Equations.VEERG_4_2_1_1__3_VolatileSolidProductionFromGrazingBeef(X84,X115,$G$110)</f>
        <v>7.3947749729838765</v>
      </c>
      <c r="Y131" s="52" cm="1">
        <f t="array" ref="Y131">MMS_PastureBeef_Methane_Equations.VEERG_4_2_1_1__3_VolatileSolidProductionFromGrazingBeef(Y84,Y115,$G$110)</f>
        <v>7.3217320363288785</v>
      </c>
      <c r="Z131" s="52" cm="1">
        <f t="array" ref="Z131">MMS_PastureBeef_Methane_Equations.VEERG_4_2_1_1__3_VolatileSolidProductionFromGrazingBeef(Z84,Z115,$G$110)</f>
        <v>7.3217320363288785</v>
      </c>
      <c r="AA131" s="52" cm="1">
        <f t="array" ref="AA131">MMS_PastureBeef_Methane_Equations.VEERG_4_2_1_1__3_VolatileSolidProductionFromGrazingBeef(AA84,AA115,$G$110)</f>
        <v>5.7575981375104002</v>
      </c>
      <c r="AB131" s="52" cm="1">
        <f t="array" ref="AB131">MMS_PastureBeef_Methane_Equations.VEERG_4_2_1_1__3_VolatileSolidProductionFromGrazingBeef(AB84,AB115,$G$110)</f>
        <v>6.4178433863514002</v>
      </c>
      <c r="AC131" s="52" cm="1">
        <f t="array" ref="AC131">MMS_PastureBeef_Methane_Equations.VEERG_4_2_1_1__3_VolatileSolidProductionFromGrazingBeef(AC84,AC115,$G$110)</f>
        <v>6.4178433863514002</v>
      </c>
      <c r="AD131" s="52" cm="1">
        <f t="array" ref="AD131">MMS_PastureBeef_Methane_Equations.VEERG_4_2_1_1__3_VolatileSolidProductionFromGrazingBeef(AD84,AD115,$G$110)</f>
        <v>6.4178433863514002</v>
      </c>
      <c r="AE131" s="2" t="str">
        <f t="shared" ref="AE131:AE142" si="4">$E$106</f>
        <v>kg/head/day</v>
      </c>
      <c r="AF131" s="2"/>
    </row>
    <row r="132" spans="4:32" ht="20.100000000000001" customHeight="1" x14ac:dyDescent="0.25">
      <c r="D132" s="52" t="s">
        <v>174</v>
      </c>
      <c r="E132" s="52" cm="1">
        <f t="array" ref="E132">MMS_PastureBeef_Methane_Equations.VEERG_4_2_1_1__3_VolatileSolidProductionFromGrazingBeef(E85,E116,$G$110)</f>
        <v>6.2463501247103963</v>
      </c>
      <c r="F132" s="52" cm="1">
        <f t="array" ref="F132">MMS_PastureBeef_Methane_Equations.VEERG_4_2_1_1__3_VolatileSolidProductionFromGrazingBeef(F85,F116,$G$110)</f>
        <v>8.2645387591464008</v>
      </c>
      <c r="G132" s="52" cm="1">
        <f t="array" ref="G132">MMS_PastureBeef_Methane_Equations.VEERG_4_2_1_1__3_VolatileSolidProductionFromGrazingBeef(G85,G116,$G$110)</f>
        <v>5.2530393974399985</v>
      </c>
      <c r="H132" s="52" cm="1">
        <f t="array" ref="H132">MMS_PastureBeef_Methane_Equations.VEERG_4_2_1_1__3_VolatileSolidProductionFromGrazingBeef(H85,H116,$G$110)</f>
        <v>8.2546325279820021</v>
      </c>
      <c r="I132" s="52" cm="1">
        <f t="array" ref="I132">MMS_PastureBeef_Methane_Equations.VEERG_4_2_1_1__3_VolatileSolidProductionFromGrazingBeef(I85,I116,$G$110)</f>
        <v>8.1730962265996787</v>
      </c>
      <c r="J132" s="52" cm="1">
        <f t="array" ref="J132">MMS_PastureBeef_Methane_Equations.VEERG_4_2_1_1__3_VolatileSolidProductionFromGrazingBeef(J85,J116,$G$110)</f>
        <v>8.1730962265996787</v>
      </c>
      <c r="K132" s="52" cm="1">
        <f t="array" ref="K132">MMS_PastureBeef_Methane_Equations.VEERG_4_2_1_1__3_VolatileSolidProductionFromGrazingBeef(K85,K116,$G$110)</f>
        <v>5.7575981375104002</v>
      </c>
      <c r="L132" s="52" cm="1">
        <f t="array" ref="L132">MMS_PastureBeef_Methane_Equations.VEERG_4_2_1_1__3_VolatileSolidProductionFromGrazingBeef(L85,L116,$G$110)</f>
        <v>6.4178433863514002</v>
      </c>
      <c r="M132" s="52" cm="1">
        <f t="array" ref="M132">MMS_PastureBeef_Methane_Equations.VEERG_4_2_1_1__3_VolatileSolidProductionFromGrazingBeef(M85,M116,$G$110)</f>
        <v>6.4178433863514002</v>
      </c>
      <c r="N132" s="52" cm="1">
        <f t="array" ref="N132">MMS_PastureBeef_Methane_Equations.VEERG_4_2_1_1__3_VolatileSolidProductionFromGrazingBeef(N85,N116,$G$110)</f>
        <v>6.4178433863514002</v>
      </c>
      <c r="O132" s="2" t="str">
        <f t="shared" ref="O132:O134" si="5">$E$106</f>
        <v>kg/head/day</v>
      </c>
      <c r="P132" s="2"/>
      <c r="T132" s="52" t="str">
        <f t="shared" ref="T132:T142" si="6">T116</f>
        <v>February 2024</v>
      </c>
      <c r="U132" s="52" cm="1">
        <f t="array" ref="U132">MMS_PastureBeef_Methane_Equations.VEERG_4_2_1_1__3_VolatileSolidProductionFromGrazingBeef(U85,U116,$G$110)</f>
        <v>6.2463501247103963</v>
      </c>
      <c r="V132" s="52" cm="1">
        <f t="array" ref="V132">MMS_PastureBeef_Methane_Equations.VEERG_4_2_1_1__3_VolatileSolidProductionFromGrazingBeef(V85,V116,$G$110)</f>
        <v>8.2645387591464008</v>
      </c>
      <c r="W132" s="52" cm="1">
        <f t="array" ref="W132">MMS_PastureBeef_Methane_Equations.VEERG_4_2_1_1__3_VolatileSolidProductionFromGrazingBeef(W85,W116,$G$110)</f>
        <v>5.2530393974399985</v>
      </c>
      <c r="X132" s="52" cm="1">
        <f t="array" ref="X132">MMS_PastureBeef_Methane_Equations.VEERG_4_2_1_1__3_VolatileSolidProductionFromGrazingBeef(X85,X116,$G$110)</f>
        <v>7.3947749729838765</v>
      </c>
      <c r="Y132" s="52" cm="1">
        <f t="array" ref="Y132">MMS_PastureBeef_Methane_Equations.VEERG_4_2_1_1__3_VolatileSolidProductionFromGrazingBeef(Y85,Y116,$G$110)</f>
        <v>7.3217320363288785</v>
      </c>
      <c r="Z132" s="52" cm="1">
        <f t="array" ref="Z132">MMS_PastureBeef_Methane_Equations.VEERG_4_2_1_1__3_VolatileSolidProductionFromGrazingBeef(Z85,Z116,$G$110)</f>
        <v>7.3217320363288785</v>
      </c>
      <c r="AA132" s="52" cm="1">
        <f t="array" ref="AA132">MMS_PastureBeef_Methane_Equations.VEERG_4_2_1_1__3_VolatileSolidProductionFromGrazingBeef(AA85,AA116,$G$110)</f>
        <v>5.7575981375104002</v>
      </c>
      <c r="AB132" s="52" cm="1">
        <f t="array" ref="AB132">MMS_PastureBeef_Methane_Equations.VEERG_4_2_1_1__3_VolatileSolidProductionFromGrazingBeef(AB85,AB116,$G$110)</f>
        <v>6.4178433863514002</v>
      </c>
      <c r="AC132" s="52" cm="1">
        <f t="array" ref="AC132">MMS_PastureBeef_Methane_Equations.VEERG_4_2_1_1__3_VolatileSolidProductionFromGrazingBeef(AC85,AC116,$G$110)</f>
        <v>6.4178433863514002</v>
      </c>
      <c r="AD132" s="52" cm="1">
        <f t="array" ref="AD132">MMS_PastureBeef_Methane_Equations.VEERG_4_2_1_1__3_VolatileSolidProductionFromGrazingBeef(AD85,AD116,$G$110)</f>
        <v>6.4178433863514002</v>
      </c>
      <c r="AE132" s="2" t="str">
        <f t="shared" si="4"/>
        <v>kg/head/day</v>
      </c>
      <c r="AF132" s="2"/>
    </row>
    <row r="133" spans="4:32" ht="20.100000000000001" customHeight="1" x14ac:dyDescent="0.25">
      <c r="D133" s="52" t="s">
        <v>175</v>
      </c>
      <c r="E133" s="52" cm="1">
        <f t="array" ref="E133">MMS_PastureBeef_Methane_Equations.VEERG_4_2_1_1__3_VolatileSolidProductionFromGrazingBeef(E86,E117,$G$110)</f>
        <v>2.9276791264000002</v>
      </c>
      <c r="F133" s="52" cm="1">
        <f t="array" ref="F133">MMS_PastureBeef_Methane_Equations.VEERG_4_2_1_1__3_VolatileSolidProductionFromGrazingBeef(F86,F117,$G$110)</f>
        <v>8.4972684084825598</v>
      </c>
      <c r="G133" s="52" cm="1">
        <f t="array" ref="G133">MMS_PastureBeef_Methane_Equations.VEERG_4_2_1_1__3_VolatileSolidProductionFromGrazingBeef(G86,G117,$G$110)</f>
        <v>2.6690305649817603</v>
      </c>
      <c r="H133" s="52" cm="1">
        <f t="array" ref="H133">MMS_PastureBeef_Methane_Equations.VEERG_4_2_1_1__3_VolatileSolidProductionFromGrazingBeef(H86,H117,$G$110)</f>
        <v>5.6401277747885272</v>
      </c>
      <c r="I133" s="52" cm="1">
        <f t="array" ref="I133">MMS_PastureBeef_Methane_Equations.VEERG_4_2_1_1__3_VolatileSolidProductionFromGrazingBeef(I86,I117,$G$110)</f>
        <v>6.3597938241673084</v>
      </c>
      <c r="J133" s="52" cm="1">
        <f t="array" ref="J133">MMS_PastureBeef_Methane_Equations.VEERG_4_2_1_1__3_VolatileSolidProductionFromGrazingBeef(J86,J117,$G$110)</f>
        <v>6.3597938241673084</v>
      </c>
      <c r="K133" s="52" cm="1">
        <f t="array" ref="K133">MMS_PastureBeef_Methane_Equations.VEERG_4_2_1_1__3_VolatileSolidProductionFromGrazingBeef(K86,K117,$G$110)</f>
        <v>2.9276791264000002</v>
      </c>
      <c r="L133" s="52" cm="1">
        <f t="array" ref="L133">MMS_PastureBeef_Methane_Equations.VEERG_4_2_1_1__3_VolatileSolidProductionFromGrazingBeef(L86,L117,$G$110)</f>
        <v>5.3152730226265614</v>
      </c>
      <c r="M133" s="52" cm="1">
        <f t="array" ref="M133">MMS_PastureBeef_Methane_Equations.VEERG_4_2_1_1__3_VolatileSolidProductionFromGrazingBeef(M86,M117,$G$110)</f>
        <v>5.3152730226265614</v>
      </c>
      <c r="N133" s="52" cm="1">
        <f t="array" ref="N133">MMS_PastureBeef_Methane_Equations.VEERG_4_2_1_1__3_VolatileSolidProductionFromGrazingBeef(N86,N117,$G$110)</f>
        <v>5.3152730226265614</v>
      </c>
      <c r="O133" s="2" t="str">
        <f t="shared" si="5"/>
        <v>kg/head/day</v>
      </c>
      <c r="P133" s="2"/>
      <c r="T133" s="52" t="str">
        <f t="shared" si="6"/>
        <v>March 2024</v>
      </c>
      <c r="U133" s="52" cm="1">
        <f t="array" ref="U133">MMS_PastureBeef_Methane_Equations.VEERG_4_2_1_1__3_VolatileSolidProductionFromGrazingBeef(U86,U117,$G$110)</f>
        <v>2.9276791264000002</v>
      </c>
      <c r="V133" s="52" cm="1">
        <f t="array" ref="V133">MMS_PastureBeef_Methane_Equations.VEERG_4_2_1_1__3_VolatileSolidProductionFromGrazingBeef(V86,V117,$G$110)</f>
        <v>8.4972684084825598</v>
      </c>
      <c r="W133" s="52" cm="1">
        <f t="array" ref="W133">MMS_PastureBeef_Methane_Equations.VEERG_4_2_1_1__3_VolatileSolidProductionFromGrazingBeef(W86,W117,$G$110)</f>
        <v>2.6690305649817603</v>
      </c>
      <c r="X133" s="52" cm="1">
        <f t="array" ref="X133">MMS_PastureBeef_Methane_Equations.VEERG_4_2_1_1__3_VolatileSolidProductionFromGrazingBeef(X86,X117,$G$110)</f>
        <v>5.774416531331112</v>
      </c>
      <c r="Y133" s="52" cm="1">
        <f t="array" ref="Y133">MMS_PastureBeef_Methane_Equations.VEERG_4_2_1_1__3_VolatileSolidProductionFromGrazingBeef(Y86,Y117,$G$110)</f>
        <v>6.5112174866474817</v>
      </c>
      <c r="Z133" s="52" cm="1">
        <f t="array" ref="Z133">MMS_PastureBeef_Methane_Equations.VEERG_4_2_1_1__3_VolatileSolidProductionFromGrazingBeef(Z86,Z117,$G$110)</f>
        <v>6.5112174866474817</v>
      </c>
      <c r="AA133" s="52" cm="1">
        <f t="array" ref="AA133">MMS_PastureBeef_Methane_Equations.VEERG_4_2_1_1__3_VolatileSolidProductionFromGrazingBeef(AA86,AA117,$G$110)</f>
        <v>2.9276791264000002</v>
      </c>
      <c r="AB133" s="52" cm="1">
        <f t="array" ref="AB133">MMS_PastureBeef_Methane_Equations.VEERG_4_2_1_1__3_VolatileSolidProductionFromGrazingBeef(AB86,AB117,$G$110)</f>
        <v>5.3152730226265614</v>
      </c>
      <c r="AC133" s="52" cm="1">
        <f t="array" ref="AC133">MMS_PastureBeef_Methane_Equations.VEERG_4_2_1_1__3_VolatileSolidProductionFromGrazingBeef(AC86,AC117,$G$110)</f>
        <v>5.3152730226265614</v>
      </c>
      <c r="AD133" s="52" cm="1">
        <f t="array" ref="AD133">MMS_PastureBeef_Methane_Equations.VEERG_4_2_1_1__3_VolatileSolidProductionFromGrazingBeef(AD86,AD117,$G$110)</f>
        <v>5.3152730226265614</v>
      </c>
      <c r="AE133" s="2" t="str">
        <f t="shared" si="4"/>
        <v>kg/head/day</v>
      </c>
      <c r="AF133" s="2"/>
    </row>
    <row r="134" spans="4:32" ht="20.100000000000001" customHeight="1" x14ac:dyDescent="0.25">
      <c r="D134" s="52" t="s">
        <v>176</v>
      </c>
      <c r="E134" s="52" cm="1">
        <f t="array" ref="E134">MMS_PastureBeef_Methane_Equations.VEERG_4_2_1_1__3_VolatileSolidProductionFromGrazingBeef(E87,E118,$G$110)</f>
        <v>3.9667036115716807</v>
      </c>
      <c r="F134" s="52" cm="1">
        <f t="array" ref="F134">MMS_PastureBeef_Methane_Equations.VEERG_4_2_1_1__3_VolatileSolidProductionFromGrazingBeef(F87,F118,$G$110)</f>
        <v>7.7085709501919997</v>
      </c>
      <c r="G134" s="52" cm="1">
        <f t="array" ref="G134">MMS_PastureBeef_Methane_Equations.VEERG_4_2_1_1__3_VolatileSolidProductionFromGrazingBeef(G87,G118,$G$110)</f>
        <v>3.2478504259320009</v>
      </c>
      <c r="H134" s="52" cm="1">
        <f t="array" ref="H134">MMS_PastureBeef_Methane_Equations.VEERG_4_2_1_1__3_VolatileSolidProductionFromGrazingBeef(H87,H118,$G$110)</f>
        <v>4.581013719552482</v>
      </c>
      <c r="I134" s="52" cm="1">
        <f t="array" ref="I134">MMS_PastureBeef_Methane_Equations.VEERG_4_2_1_1__3_VolatileSolidProductionFromGrazingBeef(I87,I118,$G$110)</f>
        <v>6.1455711341572794</v>
      </c>
      <c r="J134" s="52" cm="1">
        <f t="array" ref="J134">MMS_PastureBeef_Methane_Equations.VEERG_4_2_1_1__3_VolatileSolidProductionFromGrazingBeef(J87,J118,$G$110)</f>
        <v>6.1455711341572794</v>
      </c>
      <c r="K134" s="52" cm="1">
        <f t="array" ref="K134">MMS_PastureBeef_Methane_Equations.VEERG_4_2_1_1__3_VolatileSolidProductionFromGrazingBeef(K87,K118,$G$110)</f>
        <v>3.4870808063044789</v>
      </c>
      <c r="L134" s="52" cm="1">
        <f t="array" ref="L134">MMS_PastureBeef_Methane_Equations.VEERG_4_2_1_1__3_VolatileSolidProductionFromGrazingBeef(L87,L118,$G$110)</f>
        <v>5.3090206067404795</v>
      </c>
      <c r="M134" s="52" cm="1">
        <f t="array" ref="M134">MMS_PastureBeef_Methane_Equations.VEERG_4_2_1_1__3_VolatileSolidProductionFromGrazingBeef(M87,M118,$G$110)</f>
        <v>5.3090206067404795</v>
      </c>
      <c r="N134" s="52" cm="1">
        <f t="array" ref="N134">MMS_PastureBeef_Methane_Equations.VEERG_4_2_1_1__3_VolatileSolidProductionFromGrazingBeef(N87,N118,$G$110)</f>
        <v>5.3090206067404795</v>
      </c>
      <c r="O134" s="2" t="str">
        <f t="shared" si="5"/>
        <v>kg/head/day</v>
      </c>
      <c r="P134" s="2"/>
      <c r="T134" s="52" t="str">
        <f t="shared" si="6"/>
        <v>April 2024</v>
      </c>
      <c r="U134" s="52" cm="1">
        <f t="array" ref="U134">MMS_PastureBeef_Methane_Equations.VEERG_4_2_1_1__3_VolatileSolidProductionFromGrazingBeef(U87,U118,$G$110)</f>
        <v>2.9276791264000002</v>
      </c>
      <c r="V134" s="52" cm="1">
        <f t="array" ref="V134">MMS_PastureBeef_Methane_Equations.VEERG_4_2_1_1__3_VolatileSolidProductionFromGrazingBeef(V87,V118,$G$110)</f>
        <v>8.4972684084825598</v>
      </c>
      <c r="W134" s="52" cm="1">
        <f t="array" ref="W134">MMS_PastureBeef_Methane_Equations.VEERG_4_2_1_1__3_VolatileSolidProductionFromGrazingBeef(W87,W118,$G$110)</f>
        <v>2.6690305649817603</v>
      </c>
      <c r="X134" s="52" cm="1">
        <f t="array" ref="X134">MMS_PastureBeef_Methane_Equations.VEERG_4_2_1_1__3_VolatileSolidProductionFromGrazingBeef(X87,X118,$G$110)</f>
        <v>5.3715502617033586</v>
      </c>
      <c r="Y134" s="52" cm="1">
        <f t="array" ref="Y134">MMS_PastureBeef_Methane_Equations.VEERG_4_2_1_1__3_VolatileSolidProductionFromGrazingBeef(Y87,Y118,$G$110)</f>
        <v>6.0569464992069593</v>
      </c>
      <c r="Z134" s="52" cm="1">
        <f t="array" ref="Z134">MMS_PastureBeef_Methane_Equations.VEERG_4_2_1_1__3_VolatileSolidProductionFromGrazingBeef(Z87,Z118,$G$110)</f>
        <v>6.0569464992069593</v>
      </c>
      <c r="AA134" s="52" cm="1">
        <f t="array" ref="AA134">MMS_PastureBeef_Methane_Equations.VEERG_4_2_1_1__3_VolatileSolidProductionFromGrazingBeef(AA87,AA118,$G$110)</f>
        <v>2.9276791264000002</v>
      </c>
      <c r="AB134" s="52" cm="1">
        <f t="array" ref="AB134">MMS_PastureBeef_Methane_Equations.VEERG_4_2_1_1__3_VolatileSolidProductionFromGrazingBeef(AB87,AB118,$G$110)</f>
        <v>5.3152730226265614</v>
      </c>
      <c r="AC134" s="52" cm="1">
        <f t="array" ref="AC134">MMS_PastureBeef_Methane_Equations.VEERG_4_2_1_1__3_VolatileSolidProductionFromGrazingBeef(AC87,AC118,$G$110)</f>
        <v>5.3152730226265614</v>
      </c>
      <c r="AD134" s="52" cm="1">
        <f t="array" ref="AD134">MMS_PastureBeef_Methane_Equations.VEERG_4_2_1_1__3_VolatileSolidProductionFromGrazingBeef(AD87,AD118,$G$110)</f>
        <v>5.3152730226265614</v>
      </c>
      <c r="AE134" s="2" t="str">
        <f t="shared" si="4"/>
        <v>kg/head/day</v>
      </c>
      <c r="AF134" s="2"/>
    </row>
    <row r="135" spans="4:32" ht="20.100000000000001" customHeight="1" x14ac:dyDescent="0.25">
      <c r="T135" s="52" t="str">
        <f t="shared" si="6"/>
        <v>May 2024</v>
      </c>
      <c r="U135" s="52" cm="1">
        <f t="array" ref="U135">MMS_PastureBeef_Methane_Equations.VEERG_4_2_1_1__3_VolatileSolidProductionFromGrazingBeef(U88,U119,$G$110)</f>
        <v>2.9276791264000002</v>
      </c>
      <c r="V135" s="52" cm="1">
        <f t="array" ref="V135">MMS_PastureBeef_Methane_Equations.VEERG_4_2_1_1__3_VolatileSolidProductionFromGrazingBeef(V88,V119,$G$110)</f>
        <v>8.4972684084825598</v>
      </c>
      <c r="W135" s="52" cm="1">
        <f t="array" ref="W135">MMS_PastureBeef_Methane_Equations.VEERG_4_2_1_1__3_VolatileSolidProductionFromGrazingBeef(W88,W119,$G$110)</f>
        <v>2.6690305649817603</v>
      </c>
      <c r="X135" s="52" cm="1">
        <f t="array" ref="X135">MMS_PastureBeef_Methane_Equations.VEERG_4_2_1_1__3_VolatileSolidProductionFromGrazingBeef(X88,X119,$G$110)</f>
        <v>5.3715502617033586</v>
      </c>
      <c r="Y135" s="52" cm="1">
        <f t="array" ref="Y135">MMS_PastureBeef_Methane_Equations.VEERG_4_2_1_1__3_VolatileSolidProductionFromGrazingBeef(Y88,Y119,$G$110)</f>
        <v>6.0569464992069593</v>
      </c>
      <c r="Z135" s="52" cm="1">
        <f t="array" ref="Z135">MMS_PastureBeef_Methane_Equations.VEERG_4_2_1_1__3_VolatileSolidProductionFromGrazingBeef(Z88,Z119,$G$110)</f>
        <v>6.0569464992069593</v>
      </c>
      <c r="AA135" s="52" cm="1">
        <f t="array" ref="AA135">MMS_PastureBeef_Methane_Equations.VEERG_4_2_1_1__3_VolatileSolidProductionFromGrazingBeef(AA88,AA119,$G$110)</f>
        <v>2.9276791264000002</v>
      </c>
      <c r="AB135" s="52" cm="1">
        <f t="array" ref="AB135">MMS_PastureBeef_Methane_Equations.VEERG_4_2_1_1__3_VolatileSolidProductionFromGrazingBeef(AB88,AB119,$G$110)</f>
        <v>5.3152730226265614</v>
      </c>
      <c r="AC135" s="52" cm="1">
        <f t="array" ref="AC135">MMS_PastureBeef_Methane_Equations.VEERG_4_2_1_1__3_VolatileSolidProductionFromGrazingBeef(AC88,AC119,$G$110)</f>
        <v>5.3152730226265614</v>
      </c>
      <c r="AD135" s="52" cm="1">
        <f t="array" ref="AD135">MMS_PastureBeef_Methane_Equations.VEERG_4_2_1_1__3_VolatileSolidProductionFromGrazingBeef(AD88,AD119,$G$110)</f>
        <v>5.3152730226265614</v>
      </c>
      <c r="AE135" s="2" t="str">
        <f t="shared" si="4"/>
        <v>kg/head/day</v>
      </c>
      <c r="AF135" s="2"/>
    </row>
    <row r="136" spans="4:32" ht="20.100000000000001" customHeight="1" x14ac:dyDescent="0.25">
      <c r="T136" s="52" t="str">
        <f t="shared" si="6"/>
        <v>June 2024</v>
      </c>
      <c r="U136" s="52" cm="1">
        <f t="array" ref="U136">MMS_PastureBeef_Methane_Equations.VEERG_4_2_1_1__3_VolatileSolidProductionFromGrazingBeef(U89,U120,$G$110)</f>
        <v>3.9667036115716807</v>
      </c>
      <c r="V136" s="52" cm="1">
        <f t="array" ref="V136">MMS_PastureBeef_Methane_Equations.VEERG_4_2_1_1__3_VolatileSolidProductionFromGrazingBeef(V89,V120,$G$110)</f>
        <v>7.7085709501919997</v>
      </c>
      <c r="W136" s="52" cm="1">
        <f t="array" ref="W136">MMS_PastureBeef_Methane_Equations.VEERG_4_2_1_1__3_VolatileSolidProductionFromGrazingBeef(W89,W120,$G$110)</f>
        <v>3.2478504259320009</v>
      </c>
      <c r="X136" s="52" cm="1">
        <f t="array" ref="X136">MMS_PastureBeef_Methane_Equations.VEERG_4_2_1_1__3_VolatileSolidProductionFromGrazingBeef(X89,X120,$G$110)</f>
        <v>4.581013719552482</v>
      </c>
      <c r="Y136" s="52" cm="1">
        <f t="array" ref="Y136">MMS_PastureBeef_Methane_Equations.VEERG_4_2_1_1__3_VolatileSolidProductionFromGrazingBeef(Y89,Y120,$G$110)</f>
        <v>6.1455711341572794</v>
      </c>
      <c r="Z136" s="52" cm="1">
        <f t="array" ref="Z136">MMS_PastureBeef_Methane_Equations.VEERG_4_2_1_1__3_VolatileSolidProductionFromGrazingBeef(Z89,Z120,$G$110)</f>
        <v>6.1455711341572794</v>
      </c>
      <c r="AA136" s="52" cm="1">
        <f t="array" ref="AA136">MMS_PastureBeef_Methane_Equations.VEERG_4_2_1_1__3_VolatileSolidProductionFromGrazingBeef(AA89,AA120,$G$110)</f>
        <v>3.4870808063044789</v>
      </c>
      <c r="AB136" s="52" cm="1">
        <f t="array" ref="AB136">MMS_PastureBeef_Methane_Equations.VEERG_4_2_1_1__3_VolatileSolidProductionFromGrazingBeef(AB89,AB120,$G$110)</f>
        <v>5.3090206067404795</v>
      </c>
      <c r="AC136" s="52" cm="1">
        <f t="array" ref="AC136">MMS_PastureBeef_Methane_Equations.VEERG_4_2_1_1__3_VolatileSolidProductionFromGrazingBeef(AC89,AC120,$G$110)</f>
        <v>5.3090206067404795</v>
      </c>
      <c r="AD136" s="52" cm="1">
        <f t="array" ref="AD136">MMS_PastureBeef_Methane_Equations.VEERG_4_2_1_1__3_VolatileSolidProductionFromGrazingBeef(AD89,AD120,$G$110)</f>
        <v>5.3090206067404795</v>
      </c>
      <c r="AE136" s="2" t="str">
        <f t="shared" si="4"/>
        <v>kg/head/day</v>
      </c>
      <c r="AF136" s="2"/>
    </row>
    <row r="137" spans="4:32" ht="20.100000000000001" customHeight="1" x14ac:dyDescent="0.25">
      <c r="T137" s="52" t="str">
        <f t="shared" si="6"/>
        <v>July 2024</v>
      </c>
      <c r="U137" s="52" cm="1">
        <f t="array" ref="U137">MMS_PastureBeef_Methane_Equations.VEERG_4_2_1_1__3_VolatileSolidProductionFromGrazingBeef(U90,U121,$G$110)</f>
        <v>3.9667036115716807</v>
      </c>
      <c r="V137" s="52" cm="1">
        <f t="array" ref="V137">MMS_PastureBeef_Methane_Equations.VEERG_4_2_1_1__3_VolatileSolidProductionFromGrazingBeef(V90,V121,$G$110)</f>
        <v>7.7085709501919997</v>
      </c>
      <c r="W137" s="52" cm="1">
        <f t="array" ref="W137">MMS_PastureBeef_Methane_Equations.VEERG_4_2_1_1__3_VolatileSolidProductionFromGrazingBeef(W90,W121,$G$110)</f>
        <v>3.2478504259320009</v>
      </c>
      <c r="X137" s="52" cm="1">
        <f t="array" ref="X137">MMS_PastureBeef_Methane_Equations.VEERG_4_2_1_1__3_VolatileSolidProductionFromGrazingBeef(X90,X121,$G$110)</f>
        <v>4.9245897485189181</v>
      </c>
      <c r="Y137" s="52" cm="1">
        <f t="array" ref="Y137">MMS_PastureBeef_Methane_Equations.VEERG_4_2_1_1__3_VolatileSolidProductionFromGrazingBeef(Y90,Y121,$G$110)</f>
        <v>6.6064889692190745</v>
      </c>
      <c r="Z137" s="52" cm="1">
        <f t="array" ref="Z137">MMS_PastureBeef_Methane_Equations.VEERG_4_2_1_1__3_VolatileSolidProductionFromGrazingBeef(Z90,Z121,$G$110)</f>
        <v>6.6064889692190745</v>
      </c>
      <c r="AA137" s="52" cm="1">
        <f t="array" ref="AA137">MMS_PastureBeef_Methane_Equations.VEERG_4_2_1_1__3_VolatileSolidProductionFromGrazingBeef(AA90,AA121,$G$110)</f>
        <v>3.4870808063044789</v>
      </c>
      <c r="AB137" s="52" cm="1">
        <f t="array" ref="AB137">MMS_PastureBeef_Methane_Equations.VEERG_4_2_1_1__3_VolatileSolidProductionFromGrazingBeef(AB90,AB121,$G$110)</f>
        <v>5.3090206067404795</v>
      </c>
      <c r="AC137" s="52" cm="1">
        <f t="array" ref="AC137">MMS_PastureBeef_Methane_Equations.VEERG_4_2_1_1__3_VolatileSolidProductionFromGrazingBeef(AC90,AC121,$G$110)</f>
        <v>5.3090206067404795</v>
      </c>
      <c r="AD137" s="52" cm="1">
        <f t="array" ref="AD137">MMS_PastureBeef_Methane_Equations.VEERG_4_2_1_1__3_VolatileSolidProductionFromGrazingBeef(AD90,AD121,$G$110)</f>
        <v>5.3090206067404795</v>
      </c>
      <c r="AE137" s="2" t="str">
        <f t="shared" si="4"/>
        <v>kg/head/day</v>
      </c>
      <c r="AF137" s="2"/>
    </row>
    <row r="138" spans="4:32" ht="20.100000000000001" customHeight="1" x14ac:dyDescent="0.25">
      <c r="T138" s="52" t="str">
        <f t="shared" si="6"/>
        <v>August 2024</v>
      </c>
      <c r="U138" s="52" cm="1">
        <f t="array" ref="U138">MMS_PastureBeef_Methane_Equations.VEERG_4_2_1_1__3_VolatileSolidProductionFromGrazingBeef(U91,U122,$G$110)</f>
        <v>3.9667036115716807</v>
      </c>
      <c r="V138" s="52" cm="1">
        <f t="array" ref="V138">MMS_PastureBeef_Methane_Equations.VEERG_4_2_1_1__3_VolatileSolidProductionFromGrazingBeef(V91,V122,$G$110)</f>
        <v>7.7085709501919997</v>
      </c>
      <c r="W138" s="52" cm="1">
        <f t="array" ref="W138">MMS_PastureBeef_Methane_Equations.VEERG_4_2_1_1__3_VolatileSolidProductionFromGrazingBeef(W91,W122,$G$110)</f>
        <v>3.2478504259320009</v>
      </c>
      <c r="X138" s="52" cm="1">
        <f t="array" ref="X138">MMS_PastureBeef_Methane_Equations.VEERG_4_2_1_1__3_VolatileSolidProductionFromGrazingBeef(X91,X122,$G$110)</f>
        <v>4.9245897485189181</v>
      </c>
      <c r="Y138" s="52" cm="1">
        <f t="array" ref="Y138">MMS_PastureBeef_Methane_Equations.VEERG_4_2_1_1__3_VolatileSolidProductionFromGrazingBeef(Y91,Y122,$G$110)</f>
        <v>6.6064889692190745</v>
      </c>
      <c r="Z138" s="52" cm="1">
        <f t="array" ref="Z138">MMS_PastureBeef_Methane_Equations.VEERG_4_2_1_1__3_VolatileSolidProductionFromGrazingBeef(Z91,Z122,$G$110)</f>
        <v>6.6064889692190745</v>
      </c>
      <c r="AA138" s="52" cm="1">
        <f t="array" ref="AA138">MMS_PastureBeef_Methane_Equations.VEERG_4_2_1_1__3_VolatileSolidProductionFromGrazingBeef(AA91,AA122,$G$110)</f>
        <v>3.4870808063044789</v>
      </c>
      <c r="AB138" s="52" cm="1">
        <f t="array" ref="AB138">MMS_PastureBeef_Methane_Equations.VEERG_4_2_1_1__3_VolatileSolidProductionFromGrazingBeef(AB91,AB122,$G$110)</f>
        <v>5.3090206067404795</v>
      </c>
      <c r="AC138" s="52" cm="1">
        <f t="array" ref="AC138">MMS_PastureBeef_Methane_Equations.VEERG_4_2_1_1__3_VolatileSolidProductionFromGrazingBeef(AC91,AC122,$G$110)</f>
        <v>5.3090206067404795</v>
      </c>
      <c r="AD138" s="52" cm="1">
        <f t="array" ref="AD138">MMS_PastureBeef_Methane_Equations.VEERG_4_2_1_1__3_VolatileSolidProductionFromGrazingBeef(AD91,AD122,$G$110)</f>
        <v>5.3090206067404795</v>
      </c>
      <c r="AE138" s="2" t="str">
        <f t="shared" si="4"/>
        <v>kg/head/day</v>
      </c>
      <c r="AF138" s="2"/>
    </row>
    <row r="139" spans="4:32" ht="20.100000000000001" customHeight="1" x14ac:dyDescent="0.25">
      <c r="T139" s="52" t="str">
        <f t="shared" si="6"/>
        <v>September 2024</v>
      </c>
      <c r="U139" s="52" cm="1">
        <f t="array" ref="U139">MMS_PastureBeef_Methane_Equations.VEERG_4_2_1_1__3_VolatileSolidProductionFromGrazingBeef(U92,U123,$G$110)</f>
        <v>6.7008751750348807</v>
      </c>
      <c r="V139" s="52" cm="1">
        <f t="array" ref="V139">MMS_PastureBeef_Methane_Equations.VEERG_4_2_1_1__3_VolatileSolidProductionFromGrazingBeef(V92,V123,$G$110)</f>
        <v>9.4640953932000045</v>
      </c>
      <c r="W139" s="52" cm="1">
        <f t="array" ref="W139">MMS_PastureBeef_Methane_Equations.VEERG_4_2_1_1__3_VolatileSolidProductionFromGrazingBeef(W92,W123,$G$110)</f>
        <v>5.1074052339844807</v>
      </c>
      <c r="X139" s="52" cm="1">
        <f t="array" ref="X139">MMS_PastureBeef_Methane_Equations.VEERG_4_2_1_1__3_VolatileSolidProductionFromGrazingBeef(X92,X123,$G$110)</f>
        <v>7.2052511808470783</v>
      </c>
      <c r="Y139" s="52" cm="1">
        <f t="array" ref="Y139">MMS_PastureBeef_Methane_Equations.VEERG_4_2_1_1__3_VolatileSolidProductionFromGrazingBeef(Y92,Y123,$G$110)</f>
        <v>8.001125624385601</v>
      </c>
      <c r="Z139" s="52" cm="1">
        <f t="array" ref="Z139">MMS_PastureBeef_Methane_Equations.VEERG_4_2_1_1__3_VolatileSolidProductionFromGrazingBeef(Z92,Z123,$G$110)</f>
        <v>8.001125624385601</v>
      </c>
      <c r="AA139" s="52" cm="1">
        <f t="array" ref="AA139">MMS_PastureBeef_Methane_Equations.VEERG_4_2_1_1__3_VolatileSolidProductionFromGrazingBeef(AA92,AA123,$G$110)</f>
        <v>5.8881611063519994</v>
      </c>
      <c r="AB139" s="52" cm="1">
        <f t="array" ref="AB139">MMS_PastureBeef_Methane_Equations.VEERG_4_2_1_1__3_VolatileSolidProductionFromGrazingBeef(AB92,AB123,$G$110)</f>
        <v>7.4825803240876798</v>
      </c>
      <c r="AC139" s="52" cm="1">
        <f t="array" ref="AC139">MMS_PastureBeef_Methane_Equations.VEERG_4_2_1_1__3_VolatileSolidProductionFromGrazingBeef(AC92,AC123,$G$110)</f>
        <v>7.4825803240876798</v>
      </c>
      <c r="AD139" s="52" cm="1">
        <f t="array" ref="AD139">MMS_PastureBeef_Methane_Equations.VEERG_4_2_1_1__3_VolatileSolidProductionFromGrazingBeef(AD92,AD123,$G$110)</f>
        <v>7.4825803240876798</v>
      </c>
      <c r="AE139" s="2" t="str">
        <f t="shared" si="4"/>
        <v>kg/head/day</v>
      </c>
      <c r="AF139" s="2"/>
    </row>
    <row r="140" spans="4:32" ht="20.100000000000001" customHeight="1" x14ac:dyDescent="0.25">
      <c r="T140" s="52" t="str">
        <f t="shared" si="6"/>
        <v>October 2024</v>
      </c>
      <c r="U140" s="52" cm="1">
        <f t="array" ref="U140">MMS_PastureBeef_Methane_Equations.VEERG_4_2_1_1__3_VolatileSolidProductionFromGrazingBeef(U93,U124,$G$110)</f>
        <v>6.7008751750348807</v>
      </c>
      <c r="V140" s="52" cm="1">
        <f t="array" ref="V140">MMS_PastureBeef_Methane_Equations.VEERG_4_2_1_1__3_VolatileSolidProductionFromGrazingBeef(V93,V124,$G$110)</f>
        <v>9.4640953932000045</v>
      </c>
      <c r="W140" s="52" cm="1">
        <f t="array" ref="W140">MMS_PastureBeef_Methane_Equations.VEERG_4_2_1_1__3_VolatileSolidProductionFromGrazingBeef(W93,W124,$G$110)</f>
        <v>5.1074052339844807</v>
      </c>
      <c r="X140" s="52" cm="1">
        <f t="array" ref="X140">MMS_PastureBeef_Methane_Equations.VEERG_4_2_1_1__3_VolatileSolidProductionFromGrazingBeef(X93,X124,$G$110)</f>
        <v>8.3781990474966008</v>
      </c>
      <c r="Y140" s="52" cm="1">
        <f t="array" ref="Y140">MMS_PastureBeef_Methane_Equations.VEERG_4_2_1_1__3_VolatileSolidProductionFromGrazingBeef(Y93,Y124,$G$110)</f>
        <v>9.3036344469600021</v>
      </c>
      <c r="Z140" s="52" cm="1">
        <f t="array" ref="Z140">MMS_PastureBeef_Methane_Equations.VEERG_4_2_1_1__3_VolatileSolidProductionFromGrazingBeef(Z93,Z124,$G$110)</f>
        <v>9.3036344469600021</v>
      </c>
      <c r="AA140" s="52" cm="1">
        <f t="array" ref="AA140">MMS_PastureBeef_Methane_Equations.VEERG_4_2_1_1__3_VolatileSolidProductionFromGrazingBeef(AA93,AA124,$G$110)</f>
        <v>5.8881611063519994</v>
      </c>
      <c r="AB140" s="52" cm="1">
        <f t="array" ref="AB140">MMS_PastureBeef_Methane_Equations.VEERG_4_2_1_1__3_VolatileSolidProductionFromGrazingBeef(AB93,AB124,$G$110)</f>
        <v>7.4825803240876798</v>
      </c>
      <c r="AC140" s="52" cm="1">
        <f t="array" ref="AC140">MMS_PastureBeef_Methane_Equations.VEERG_4_2_1_1__3_VolatileSolidProductionFromGrazingBeef(AC93,AC124,$G$110)</f>
        <v>7.4825803240876798</v>
      </c>
      <c r="AD140" s="52" cm="1">
        <f t="array" ref="AD140">MMS_PastureBeef_Methane_Equations.VEERG_4_2_1_1__3_VolatileSolidProductionFromGrazingBeef(AD93,AD124,$G$110)</f>
        <v>7.4825803240876798</v>
      </c>
      <c r="AE140" s="2" t="str">
        <f t="shared" si="4"/>
        <v>kg/head/day</v>
      </c>
      <c r="AF140" s="2"/>
    </row>
    <row r="141" spans="4:32" ht="20.100000000000001" customHeight="1" x14ac:dyDescent="0.25">
      <c r="T141" s="52" t="str">
        <f t="shared" si="6"/>
        <v>November 2024</v>
      </c>
      <c r="U141" s="52" cm="1">
        <f t="array" ref="U141">MMS_PastureBeef_Methane_Equations.VEERG_4_2_1_1__3_VolatileSolidProductionFromGrazingBeef(U94,U125,$G$110)</f>
        <v>6.7008751750348807</v>
      </c>
      <c r="V141" s="52" cm="1">
        <f t="array" ref="V141">MMS_PastureBeef_Methane_Equations.VEERG_4_2_1_1__3_VolatileSolidProductionFromGrazingBeef(V94,V125,$G$110)</f>
        <v>9.4640953932000045</v>
      </c>
      <c r="W141" s="52" cm="1">
        <f t="array" ref="W141">MMS_PastureBeef_Methane_Equations.VEERG_4_2_1_1__3_VolatileSolidProductionFromGrazingBeef(W94,W125,$G$110)</f>
        <v>5.1074052339844807</v>
      </c>
      <c r="X141" s="52" cm="1">
        <f t="array" ref="X141">MMS_PastureBeef_Methane_Equations.VEERG_4_2_1_1__3_VolatileSolidProductionFromGrazingBeef(X94,X125,$G$110)</f>
        <v>8.3781990474966008</v>
      </c>
      <c r="Y141" s="52" cm="1">
        <f t="array" ref="Y141">MMS_PastureBeef_Methane_Equations.VEERG_4_2_1_1__3_VolatileSolidProductionFromGrazingBeef(Y94,Y125,$G$110)</f>
        <v>9.3036344469600021</v>
      </c>
      <c r="Z141" s="52" cm="1">
        <f t="array" ref="Z141">MMS_PastureBeef_Methane_Equations.VEERG_4_2_1_1__3_VolatileSolidProductionFromGrazingBeef(Z94,Z125,$G$110)</f>
        <v>9.3036344469600021</v>
      </c>
      <c r="AA141" s="52" cm="1">
        <f t="array" ref="AA141">MMS_PastureBeef_Methane_Equations.VEERG_4_2_1_1__3_VolatileSolidProductionFromGrazingBeef(AA94,AA125,$G$110)</f>
        <v>5.8881611063519994</v>
      </c>
      <c r="AB141" s="52" cm="1">
        <f t="array" ref="AB141">MMS_PastureBeef_Methane_Equations.VEERG_4_2_1_1__3_VolatileSolidProductionFromGrazingBeef(AB94,AB125,$G$110)</f>
        <v>7.4825803240876798</v>
      </c>
      <c r="AC141" s="52" cm="1">
        <f t="array" ref="AC141">MMS_PastureBeef_Methane_Equations.VEERG_4_2_1_1__3_VolatileSolidProductionFromGrazingBeef(AC94,AC125,$G$110)</f>
        <v>7.4825803240876798</v>
      </c>
      <c r="AD141" s="52" cm="1">
        <f t="array" ref="AD141">MMS_PastureBeef_Methane_Equations.VEERG_4_2_1_1__3_VolatileSolidProductionFromGrazingBeef(AD94,AD125,$G$110)</f>
        <v>7.4825803240876798</v>
      </c>
      <c r="AE141" s="2" t="str">
        <f t="shared" si="4"/>
        <v>kg/head/day</v>
      </c>
      <c r="AF141" s="2"/>
    </row>
    <row r="142" spans="4:32" ht="20.100000000000001" customHeight="1" x14ac:dyDescent="0.25">
      <c r="T142" s="52" t="str">
        <f t="shared" si="6"/>
        <v>December 2024</v>
      </c>
      <c r="U142" s="52" cm="1">
        <f t="array" ref="U142">MMS_PastureBeef_Methane_Equations.VEERG_4_2_1_1__3_VolatileSolidProductionFromGrazingBeef(U95,U126,$G$110)</f>
        <v>6.2463501247103963</v>
      </c>
      <c r="V142" s="52" cm="1">
        <f t="array" ref="V142">MMS_PastureBeef_Methane_Equations.VEERG_4_2_1_1__3_VolatileSolidProductionFromGrazingBeef(V95,V126,$G$110)</f>
        <v>8.2645387591464008</v>
      </c>
      <c r="W142" s="52" cm="1">
        <f t="array" ref="W142">MMS_PastureBeef_Methane_Equations.VEERG_4_2_1_1__3_VolatileSolidProductionFromGrazingBeef(W95,W126,$G$110)</f>
        <v>5.2530393974399985</v>
      </c>
      <c r="X142" s="52" cm="1">
        <f t="array" ref="X142">MMS_PastureBeef_Methane_Equations.VEERG_4_2_1_1__3_VolatileSolidProductionFromGrazingBeef(X95,X126,$G$110)</f>
        <v>8.5985755499812502</v>
      </c>
      <c r="Y142" s="52" cm="1">
        <f t="array" ref="Y142">MMS_PastureBeef_Methane_Equations.VEERG_4_2_1_1__3_VolatileSolidProductionFromGrazingBeef(Y95,Y126,$G$110)</f>
        <v>8.5136419027079988</v>
      </c>
      <c r="Z142" s="52" cm="1">
        <f t="array" ref="Z142">MMS_PastureBeef_Methane_Equations.VEERG_4_2_1_1__3_VolatileSolidProductionFromGrazingBeef(Z95,Z126,$G$110)</f>
        <v>8.5136419027079988</v>
      </c>
      <c r="AA142" s="52" cm="1">
        <f t="array" ref="AA142">MMS_PastureBeef_Methane_Equations.VEERG_4_2_1_1__3_VolatileSolidProductionFromGrazingBeef(AA95,AA126,$G$110)</f>
        <v>5.7575981375104002</v>
      </c>
      <c r="AB142" s="52" cm="1">
        <f t="array" ref="AB142">MMS_PastureBeef_Methane_Equations.VEERG_4_2_1_1__3_VolatileSolidProductionFromGrazingBeef(AB95,AB126,$G$110)</f>
        <v>6.4178433863514002</v>
      </c>
      <c r="AC142" s="52" cm="1">
        <f t="array" ref="AC142">MMS_PastureBeef_Methane_Equations.VEERG_4_2_1_1__3_VolatileSolidProductionFromGrazingBeef(AC95,AC126,$G$110)</f>
        <v>6.4178433863514002</v>
      </c>
      <c r="AD142" s="52" cm="1">
        <f t="array" ref="AD142">MMS_PastureBeef_Methane_Equations.VEERG_4_2_1_1__3_VolatileSolidProductionFromGrazingBeef(AD95,AD126,$G$110)</f>
        <v>6.4178433863514002</v>
      </c>
      <c r="AE142" s="2" t="str">
        <f t="shared" si="4"/>
        <v>kg/head/day</v>
      </c>
      <c r="AF142" s="2"/>
    </row>
    <row r="143" spans="4:32" ht="20.100000000000001" customHeight="1" x14ac:dyDescent="0.25"/>
    <row r="144" spans="4:32" ht="20.100000000000001" customHeight="1" x14ac:dyDescent="0.25"/>
    <row r="145" spans="3:33" ht="20.100000000000001" customHeight="1" x14ac:dyDescent="0.25">
      <c r="C145" s="45"/>
      <c r="D145" s="45"/>
      <c r="E145" s="45"/>
      <c r="F145" s="45"/>
      <c r="G145" s="45"/>
      <c r="H145" s="45"/>
      <c r="I145" s="45"/>
      <c r="J145" s="45"/>
      <c r="K145" s="45"/>
      <c r="L145" s="45"/>
      <c r="M145" s="45"/>
      <c r="N145" s="45"/>
      <c r="O145" s="45"/>
      <c r="P145" s="45"/>
      <c r="Q145" s="45"/>
      <c r="S145" s="45"/>
      <c r="T145" s="45"/>
      <c r="U145" s="45"/>
      <c r="V145" s="45"/>
      <c r="W145" s="45"/>
      <c r="X145" s="45"/>
      <c r="Y145" s="45"/>
      <c r="Z145" s="45"/>
      <c r="AA145" s="45"/>
      <c r="AB145" s="45"/>
      <c r="AC145" s="45"/>
      <c r="AD145" s="45"/>
      <c r="AE145" s="45"/>
      <c r="AF145" s="45"/>
      <c r="AG145" s="45"/>
    </row>
    <row r="146" spans="3:33" ht="20.100000000000001" customHeight="1" x14ac:dyDescent="0.25">
      <c r="D146" s="6" t="str" cm="1">
        <f t="array" ref="D146">MMS_PastureBeef_Methane_Equations.VEERG_4_2_1_1__2_MethaneProductionFromManure_Title()</f>
        <v>Methane production from the manure of grazing beef cattle</v>
      </c>
    </row>
    <row r="147" spans="3:33" ht="20.100000000000001" customHeight="1" x14ac:dyDescent="0.25">
      <c r="D147" s="5" t="str" cm="1">
        <f t="array" ref="D147">MMS_PastureBeef_Methane_Equations.VEERG_4_2_1_1__2_MethaneProductionFromManure_Source()</f>
        <v>VEERG 2026: 4.2.1.1, Equation (2)</v>
      </c>
    </row>
    <row r="148" spans="3:33" ht="20.100000000000001" customHeight="1" x14ac:dyDescent="0.25">
      <c r="D148" s="13" t="s">
        <v>27</v>
      </c>
      <c r="E148" s="13" t="str" cm="1">
        <f t="array" aca="1" ref="E148" ca="1">Common_InputFunctions.Utility_DisplayFunctionName($F$177)</f>
        <v>=MMS_PastureBeef_Methane_Equations.VEERG_4_2_1_1__2_MethaneProductionFromManure</v>
      </c>
    </row>
    <row r="149" spans="3:33" ht="20.100000000000001" customHeight="1" x14ac:dyDescent="0.25"/>
    <row r="150" spans="3:33" ht="20.100000000000001" customHeight="1" x14ac:dyDescent="0.25"/>
    <row r="151" spans="3:33" ht="20.100000000000001" customHeight="1" x14ac:dyDescent="0.25">
      <c r="D151" s="53" t="s">
        <v>30</v>
      </c>
      <c r="E151" s="1" t="str" cm="1">
        <f t="array" ref="E151">MMS_PastureBeef_Methane_Equations.VEERG_4_2_1_1__2_MethaneProductionFromManure_Variable()</f>
        <v>M_jklm</v>
      </c>
    </row>
    <row r="152" spans="3:33" ht="20.100000000000001" customHeight="1" x14ac:dyDescent="0.25">
      <c r="D152" s="53" t="s">
        <v>20</v>
      </c>
      <c r="E152" s="54" t="str" cm="1">
        <f t="array" ref="E152">MMS_PastureBeef_Methane_Equations.VEERG_4_2_1_1__2_MethaneProductionFromManure_Unit()</f>
        <v>kg CH4/head/day</v>
      </c>
    </row>
    <row r="153" spans="3:33" ht="20.100000000000001" customHeight="1" x14ac:dyDescent="0.25"/>
    <row r="154" spans="3:33" ht="20.100000000000001" customHeight="1" x14ac:dyDescent="0.25">
      <c r="D154" s="57" t="str" cm="1">
        <f t="array" ref="D154:E160">MMS_PastureBeef_Methane_Equations.VEERG_4_2_1_1__2_MethaneProductionFromManure_Arguments()</f>
        <v>VS_jkl</v>
      </c>
      <c r="E154" s="58" t="str">
        <v>volatile solid production (kg/day)</v>
      </c>
      <c r="F154" s="59"/>
      <c r="G154" s="57" t="str">
        <f>"See " &amp; D128</f>
        <v>See M1_Table_VS_j_k_l</v>
      </c>
    </row>
    <row r="155" spans="3:33" ht="20.100000000000001" customHeight="1" x14ac:dyDescent="0.25">
      <c r="D155" s="57" t="str">
        <v>B_o</v>
      </c>
      <c r="E155" s="58" t="str">
        <v>emissions potential (m3 CH4/kg VS)</v>
      </c>
      <c r="F155" s="59"/>
      <c r="G155" s="57">
        <f>'Constants - Pature Beef'!$D$426</f>
        <v>0.19</v>
      </c>
    </row>
    <row r="156" spans="3:33" ht="20.100000000000001" customHeight="1" x14ac:dyDescent="0.25">
      <c r="D156" s="57" t="str">
        <v>MMS_m</v>
      </c>
      <c r="E156" s="58" t="str">
        <v>fraction of waste in each manure management system</v>
      </c>
      <c r="F156" s="59"/>
      <c r="G156" s="57" t="str">
        <f>"See " &amp; D162</f>
        <v>See Table_MMS_m</v>
      </c>
    </row>
    <row r="157" spans="3:33" ht="20.100000000000001" customHeight="1" x14ac:dyDescent="0.25">
      <c r="D157" s="57" t="str">
        <v>MCF_im</v>
      </c>
      <c r="E157" s="58" t="str">
        <v>methane conversion factor for temperature zone and MMS</v>
      </c>
      <c r="F157" s="59"/>
      <c r="G157" s="57" t="str">
        <f>"See " &amp; D168</f>
        <v>See M1_Table_MCF_i_m</v>
      </c>
      <c r="H157" s="107" t="s">
        <v>282</v>
      </c>
    </row>
    <row r="158" spans="3:33" ht="20.100000000000001" customHeight="1" x14ac:dyDescent="0.25">
      <c r="D158" s="57" t="str">
        <v>rho</v>
      </c>
      <c r="E158" s="58" t="str">
        <v>density of methane (kg/m3)</v>
      </c>
      <c r="F158" s="59"/>
      <c r="G158" s="57">
        <f>'Constants - Common'!$D$175</f>
        <v>0.6784</v>
      </c>
    </row>
    <row r="159" spans="3:33" ht="20.100000000000001" customHeight="1" x14ac:dyDescent="0.25">
      <c r="D159" s="57" t="str">
        <v>i</v>
      </c>
      <c r="E159" s="58" t="str">
        <v>state</v>
      </c>
      <c r="F159" s="59"/>
      <c r="G159" s="57" t="str">
        <f>'Input - Pasture Beef'!$E$7</f>
        <v>Western Australia</v>
      </c>
    </row>
    <row r="160" spans="3:33" ht="20.100000000000001" customHeight="1" x14ac:dyDescent="0.25">
      <c r="D160" s="57" t="str">
        <v>i</v>
      </c>
      <c r="E160" s="58" t="str">
        <v>region</v>
      </c>
      <c r="F160" s="59"/>
      <c r="G160" s="57" t="str">
        <f>'Input - Pasture Beef'!$E$8</f>
        <v>South West</v>
      </c>
    </row>
    <row r="161" spans="4:31" ht="20.100000000000001" customHeight="1" x14ac:dyDescent="0.25"/>
    <row r="162" spans="4:31" ht="20.100000000000001" customHeight="1" x14ac:dyDescent="0.25">
      <c r="D162" s="99" t="s">
        <v>275</v>
      </c>
    </row>
    <row r="163" spans="4:31" ht="20.100000000000001" customHeight="1" x14ac:dyDescent="0.25">
      <c r="D163" s="98" t="s">
        <v>274</v>
      </c>
    </row>
    <row r="164" spans="4:31" ht="20.100000000000001" customHeight="1" x14ac:dyDescent="0.25">
      <c r="D164" s="51" t="s">
        <v>68</v>
      </c>
      <c r="E164" s="51" t="s">
        <v>276</v>
      </c>
      <c r="F164" s="2" t="s">
        <v>141</v>
      </c>
    </row>
    <row r="165" spans="4:31" ht="20.100000000000001" customHeight="1" x14ac:dyDescent="0.25">
      <c r="D165" s="52" t="str">
        <f>'Input - Pasture Beef'!$D$185</f>
        <v>Pasture range and paddock</v>
      </c>
      <c r="E165" s="52">
        <f>'Input - Pasture Beef'!$E$185</f>
        <v>0.99621999999999999</v>
      </c>
      <c r="F165" s="2" t="s">
        <v>141</v>
      </c>
    </row>
    <row r="166" spans="4:31" ht="20.100000000000001" customHeight="1" x14ac:dyDescent="0.25">
      <c r="D166" s="52" t="str">
        <f>'Input - Pasture Beef'!$D$186</f>
        <v>Anaerobic lagoon</v>
      </c>
      <c r="E166" s="52">
        <f>'Input - Pasture Beef'!$E$186</f>
        <v>3.7799999999999999E-3</v>
      </c>
    </row>
    <row r="167" spans="4:31" ht="20.100000000000001" customHeight="1" x14ac:dyDescent="0.25"/>
    <row r="168" spans="4:31" ht="20.100000000000001" customHeight="1" x14ac:dyDescent="0.25">
      <c r="D168" s="99" t="s">
        <v>145</v>
      </c>
    </row>
    <row r="169" spans="4:31" ht="20.100000000000001" customHeight="1" x14ac:dyDescent="0.25">
      <c r="D169" s="98" t="s">
        <v>277</v>
      </c>
    </row>
    <row r="170" spans="4:31" ht="20.100000000000001" customHeight="1" x14ac:dyDescent="0.25">
      <c r="D170" s="51" t="s">
        <v>68</v>
      </c>
      <c r="E170" s="51" t="s">
        <v>99</v>
      </c>
    </row>
    <row r="171" spans="4:31" ht="20.100000000000001" customHeight="1" x14ac:dyDescent="0.25">
      <c r="D171" s="52" t="str">
        <f>'Input - Pasture Beef'!$D$185</f>
        <v>Pasture range and paddock</v>
      </c>
      <c r="E171" s="52">
        <f>Common_InputFunctions.Utility_LookupValueInTableTwoColumns(Common_InputFunctions.Utility_ConvertStateCommonNameToAbbreviation($G$159, Table_AustralianStates[Common Name],Table_AustralianStates[Abbreviation]),$G$160,Table_SourceData_PastureBeef_MethaneConversionFactor[State],Table_SourceData_PastureBeef_MethaneConversionFactor[Region],Table_SourceData_PastureBeef_MethaneConversionFactor[Pasture range and paddock])</f>
        <v>4.7000000000000002E-3</v>
      </c>
    </row>
    <row r="172" spans="4:31" ht="20.100000000000001" customHeight="1" x14ac:dyDescent="0.25">
      <c r="D172" s="52" t="str">
        <f>'Input - Pasture Beef'!$D$186</f>
        <v>Anaerobic lagoon</v>
      </c>
      <c r="E172" s="52">
        <f>Common_InputFunctions.Utility_LookupValueInTableTwoColumns(Common_InputFunctions.Utility_ConvertStateCommonNameToAbbreviation($G$159, Table_AustralianStates[Common Name],Table_AustralianStates[Abbreviation]),$G$160,Table_SourceData_PastureBeef_MethaneConversionFactor[State],Table_SourceData_PastureBeef_MethaneConversionFactor[Region],Table_SourceData_PastureBeef_MethaneConversionFactor[Uncovered Anaerobic lagoon])</f>
        <v>0.76</v>
      </c>
    </row>
    <row r="173" spans="4:31" ht="20.100000000000001" customHeight="1" x14ac:dyDescent="0.25"/>
    <row r="174" spans="4:31" ht="20.100000000000001" customHeight="1" x14ac:dyDescent="0.25">
      <c r="D174" s="99" t="s">
        <v>278</v>
      </c>
      <c r="T174" s="99" t="s">
        <v>280</v>
      </c>
    </row>
    <row r="175" spans="4:31" ht="20.100000000000001" customHeight="1" x14ac:dyDescent="0.25">
      <c r="D175" s="98" t="s">
        <v>279</v>
      </c>
      <c r="T175" s="98" t="s">
        <v>281</v>
      </c>
    </row>
    <row r="176" spans="4:31" ht="20.100000000000001" customHeight="1" x14ac:dyDescent="0.25">
      <c r="D176" s="51" t="s">
        <v>68</v>
      </c>
      <c r="E176" s="51" t="s">
        <v>184</v>
      </c>
      <c r="F176" s="51" t="s">
        <v>131</v>
      </c>
      <c r="G176" s="51" t="s">
        <v>130</v>
      </c>
      <c r="H176" s="51" t="s">
        <v>165</v>
      </c>
      <c r="I176" s="51" t="s">
        <v>166</v>
      </c>
      <c r="J176" s="51" t="s">
        <v>167</v>
      </c>
      <c r="K176" s="51" t="s">
        <v>168</v>
      </c>
      <c r="L176" s="51" t="s">
        <v>169</v>
      </c>
      <c r="M176" s="51" t="s">
        <v>170</v>
      </c>
      <c r="N176" s="51" t="s">
        <v>171</v>
      </c>
      <c r="O176" s="51" t="s">
        <v>172</v>
      </c>
      <c r="T176" s="51" t="s">
        <v>68</v>
      </c>
      <c r="U176" s="51" t="s">
        <v>132</v>
      </c>
      <c r="V176" s="51" t="s">
        <v>131</v>
      </c>
      <c r="W176" s="51" t="s">
        <v>130</v>
      </c>
      <c r="X176" s="51" t="s">
        <v>165</v>
      </c>
      <c r="Y176" s="51" t="s">
        <v>166</v>
      </c>
      <c r="Z176" s="51" t="s">
        <v>167</v>
      </c>
      <c r="AA176" s="51" t="s">
        <v>168</v>
      </c>
      <c r="AB176" s="51" t="s">
        <v>169</v>
      </c>
      <c r="AC176" s="51" t="s">
        <v>170</v>
      </c>
      <c r="AD176" s="51" t="s">
        <v>171</v>
      </c>
      <c r="AE176" s="51" t="s">
        <v>172</v>
      </c>
    </row>
    <row r="177" spans="4:32" ht="20.100000000000001" customHeight="1" x14ac:dyDescent="0.25">
      <c r="D177" s="52" t="str">
        <f>'Input - Pasture Beef'!$D$185</f>
        <v>Pasture range and paddock</v>
      </c>
      <c r="E177" s="52" t="s">
        <v>173</v>
      </c>
      <c r="F177" s="52" cm="1">
        <f t="array" ref="F177">MMS_PastureBeef_Methane_Equations.VEERG_4_2_1_1__2_MethaneProductionFromManure(E131,$G$155,$E$165,$E$171,$G$158)</f>
        <v>4.0441204522655228E-3</v>
      </c>
      <c r="G177" s="52" cm="1">
        <f t="array" ref="G177">MMS_PastureBeef_Methane_Equations.VEERG_4_2_1_1__2_MethaneProductionFromManure(F131,$G$155,$E$165,$E$171,$G$158)</f>
        <v>5.711782527217847E-3</v>
      </c>
      <c r="H177" s="52" cm="1">
        <f t="array" ref="H177">MMS_PastureBeef_Methane_Equations.VEERG_4_2_1_1__2_MethaneProductionFromManure(G131,$G$155,$E$165,$E$171,$G$158)</f>
        <v>3.0824275076362846E-3</v>
      </c>
      <c r="I177" s="52" cm="1">
        <f t="array" ref="I177">MMS_PastureBeef_Methane_Equations.VEERG_4_2_1_1__2_MethaneProductionFromManure(H131,$G$155,$E$165,$E$171,$G$158)</f>
        <v>4.6519073430254833E-3</v>
      </c>
      <c r="J177" s="52" cm="1">
        <f t="array" ref="J177">MMS_PastureBeef_Methane_Equations.VEERG_4_2_1_1__2_MethaneProductionFromManure(I131,$G$155,$E$165,$E$171,$G$158)</f>
        <v>5.1657456638691318E-3</v>
      </c>
      <c r="K177" s="52" cm="1">
        <f t="array" ref="K177">MMS_PastureBeef_Methane_Equations.VEERG_4_2_1_1__2_MethaneProductionFromManure(J131,$G$155,$E$165,$E$171,$G$158)</f>
        <v>5.1657456638691318E-3</v>
      </c>
      <c r="L177" s="52" cm="1">
        <f t="array" ref="L177">MMS_PastureBeef_Methane_Equations.VEERG_4_2_1_1__2_MethaneProductionFromManure(K131,$G$155,$E$165,$E$171,$G$158)</f>
        <v>3.5536302549179421E-3</v>
      </c>
      <c r="M177" s="52" cm="1">
        <f t="array" ref="M177">MMS_PastureBeef_Methane_Equations.VEERG_4_2_1_1__2_MethaneProductionFromManure(L131,$G$155,$E$165,$E$171,$G$158)</f>
        <v>4.5158961081833695E-3</v>
      </c>
      <c r="N177" s="52" cm="1">
        <f t="array" ref="N177">MMS_PastureBeef_Methane_Equations.VEERG_4_2_1_1__2_MethaneProductionFromManure(M131,$G$155,$E$165,$E$171,$G$158)</f>
        <v>4.5158961081833695E-3</v>
      </c>
      <c r="O177" s="52" cm="1">
        <f t="array" ref="O177">MMS_PastureBeef_Methane_Equations.VEERG_4_2_1_1__2_MethaneProductionFromManure(N131,$G$155,$E$165,$E$171,$G$158)</f>
        <v>4.5158961081833695E-3</v>
      </c>
      <c r="P177" s="2" t="str">
        <f t="shared" ref="P177:P184" si="7">$E$152</f>
        <v>kg CH4/head/day</v>
      </c>
      <c r="T177" s="52" t="str">
        <f>'Input - Pasture Beef'!$D$185</f>
        <v>Pasture range and paddock</v>
      </c>
      <c r="U177" s="52" t="str">
        <f t="shared" ref="U177:U188" si="8">T131</f>
        <v>January 2024</v>
      </c>
      <c r="V177" s="52" cm="1">
        <f t="array" ref="V177">MMS_PastureBeef_Methane_Equations.VEERG_4_2_1_1__2_MethaneProductionFromManure(U131,$G$155,$E$165,$E$171,$G$158)</f>
        <v>3.7698049331624994E-3</v>
      </c>
      <c r="W177" s="52" cm="1">
        <f t="array" ref="W177">MMS_PastureBeef_Methane_Equations.VEERG_4_2_1_1__2_MethaneProductionFromManure(V131,$G$155,$E$165,$E$171,$G$158)</f>
        <v>4.9878246275839805E-3</v>
      </c>
      <c r="X177" s="52" cm="1">
        <f t="array" ref="X177">MMS_PastureBeef_Methane_Equations.VEERG_4_2_1_1__2_MethaneProductionFromManure(W131,$G$155,$E$165,$E$171,$G$158)</f>
        <v>3.1703208176285837E-3</v>
      </c>
      <c r="Y177" s="52" cm="1">
        <f t="array" ref="Y177">MMS_PastureBeef_Methane_Equations.VEERG_4_2_1_1__2_MethaneProductionFromManure(X131,$G$155,$E$165,$E$171,$G$158)</f>
        <v>4.4629037143629011E-3</v>
      </c>
      <c r="Z177" s="52" cm="1">
        <f t="array" ref="Z177">MMS_PastureBeef_Methane_Equations.VEERG_4_2_1_1__2_MethaneProductionFromManure(Y131,$G$155,$E$165,$E$171,$G$158)</f>
        <v>4.4188207511224346E-3</v>
      </c>
      <c r="AA177" s="52" cm="1">
        <f t="array" ref="AA177">MMS_PastureBeef_Methane_Equations.VEERG_4_2_1_1__2_MethaneProductionFromManure(Z131,$G$155,$E$165,$E$171,$G$158)</f>
        <v>4.4188207511224346E-3</v>
      </c>
      <c r="AB177" s="52" cm="1">
        <f t="array" ref="AB177">MMS_PastureBeef_Methane_Equations.VEERG_4_2_1_1__2_MethaneProductionFromManure(AA131,$G$155,$E$165,$E$171,$G$158)</f>
        <v>3.4748327308918255E-3</v>
      </c>
      <c r="AC177" s="52" cm="1">
        <f t="array" ref="AC177">MMS_PastureBeef_Methane_Equations.VEERG_4_2_1_1__2_MethaneProductionFromManure(AB131,$G$155,$E$165,$E$171,$G$158)</f>
        <v>3.8733047579931406E-3</v>
      </c>
      <c r="AD177" s="52" cm="1">
        <f t="array" ref="AD177">MMS_PastureBeef_Methane_Equations.VEERG_4_2_1_1__2_MethaneProductionFromManure(AC131,$G$155,$E$165,$E$171,$G$158)</f>
        <v>3.8733047579931406E-3</v>
      </c>
      <c r="AE177" s="52" cm="1">
        <f t="array" ref="AE177">MMS_PastureBeef_Methane_Equations.VEERG_4_2_1_1__2_MethaneProductionFromManure(AD131,$G$155,$E$165,$E$171,$G$158)</f>
        <v>3.8733047579931406E-3</v>
      </c>
      <c r="AF177" s="2" t="str">
        <f t="shared" ref="AF177:AF200" si="9">$E$152</f>
        <v>kg CH4/head/day</v>
      </c>
    </row>
    <row r="178" spans="4:32" ht="20.100000000000001" customHeight="1" x14ac:dyDescent="0.25">
      <c r="D178" s="52" t="str">
        <f>'Input - Pasture Beef'!$D$185</f>
        <v>Pasture range and paddock</v>
      </c>
      <c r="E178" s="52" t="s">
        <v>174</v>
      </c>
      <c r="F178" s="52" cm="1">
        <f t="array" ref="F178">MMS_PastureBeef_Methane_Equations.VEERG_4_2_1_1__2_MethaneProductionFromManure(E132,$G$155,$E$165,$E$171,$G$158)</f>
        <v>3.7698049331624994E-3</v>
      </c>
      <c r="G178" s="52" cm="1">
        <f t="array" ref="G178">MMS_PastureBeef_Methane_Equations.VEERG_4_2_1_1__2_MethaneProductionFromManure(F132,$G$155,$E$165,$E$171,$G$158)</f>
        <v>4.9878246275839805E-3</v>
      </c>
      <c r="H178" s="52" cm="1">
        <f t="array" ref="H178">MMS_PastureBeef_Methane_Equations.VEERG_4_2_1_1__2_MethaneProductionFromManure(G132,$G$155,$E$165,$E$171,$G$158)</f>
        <v>3.1703208176285837E-3</v>
      </c>
      <c r="I178" s="52" cm="1">
        <f t="array" ref="I178">MMS_PastureBeef_Methane_Equations.VEERG_4_2_1_1__2_MethaneProductionFromManure(H132,$G$155,$E$165,$E$171,$G$158)</f>
        <v>4.981846006730681E-3</v>
      </c>
      <c r="J178" s="52" cm="1">
        <f t="array" ref="J178">MMS_PastureBeef_Methane_Equations.VEERG_4_2_1_1__2_MethaneProductionFromManure(I132,$G$155,$E$165,$E$171,$G$158)</f>
        <v>4.9326371175320216E-3</v>
      </c>
      <c r="K178" s="52" cm="1">
        <f t="array" ref="K178">MMS_PastureBeef_Methane_Equations.VEERG_4_2_1_1__2_MethaneProductionFromManure(J132,$G$155,$E$165,$E$171,$G$158)</f>
        <v>4.9326371175320216E-3</v>
      </c>
      <c r="L178" s="52" cm="1">
        <f t="array" ref="L178">MMS_PastureBeef_Methane_Equations.VEERG_4_2_1_1__2_MethaneProductionFromManure(K132,$G$155,$E$165,$E$171,$G$158)</f>
        <v>3.4748327308918255E-3</v>
      </c>
      <c r="M178" s="52" cm="1">
        <f t="array" ref="M178">MMS_PastureBeef_Methane_Equations.VEERG_4_2_1_1__2_MethaneProductionFromManure(L132,$G$155,$E$165,$E$171,$G$158)</f>
        <v>3.8733047579931406E-3</v>
      </c>
      <c r="N178" s="52" cm="1">
        <f t="array" ref="N178">MMS_PastureBeef_Methane_Equations.VEERG_4_2_1_1__2_MethaneProductionFromManure(M132,$G$155,$E$165,$E$171,$G$158)</f>
        <v>3.8733047579931406E-3</v>
      </c>
      <c r="O178" s="52" cm="1">
        <f t="array" ref="O178">MMS_PastureBeef_Methane_Equations.VEERG_4_2_1_1__2_MethaneProductionFromManure(N132,$G$155,$E$165,$E$171,$G$158)</f>
        <v>3.8733047579931406E-3</v>
      </c>
      <c r="P178" s="2" t="str">
        <f t="shared" si="7"/>
        <v>kg CH4/head/day</v>
      </c>
      <c r="T178" s="52" t="str">
        <f>'Input - Pasture Beef'!$D$185</f>
        <v>Pasture range and paddock</v>
      </c>
      <c r="U178" s="52" t="str">
        <f t="shared" si="8"/>
        <v>February 2024</v>
      </c>
      <c r="V178" s="52" cm="1">
        <f t="array" ref="V178">MMS_PastureBeef_Methane_Equations.VEERG_4_2_1_1__2_MethaneProductionFromManure(U132,$G$155,$E$165,$E$171,$G$158)</f>
        <v>3.7698049331624994E-3</v>
      </c>
      <c r="W178" s="52" cm="1">
        <f t="array" ref="W178">MMS_PastureBeef_Methane_Equations.VEERG_4_2_1_1__2_MethaneProductionFromManure(V132,$G$155,$E$165,$E$171,$G$158)</f>
        <v>4.9878246275839805E-3</v>
      </c>
      <c r="X178" s="52" cm="1">
        <f t="array" ref="X178">MMS_PastureBeef_Methane_Equations.VEERG_4_2_1_1__2_MethaneProductionFromManure(W132,$G$155,$E$165,$E$171,$G$158)</f>
        <v>3.1703208176285837E-3</v>
      </c>
      <c r="Y178" s="52" cm="1">
        <f t="array" ref="Y178">MMS_PastureBeef_Methane_Equations.VEERG_4_2_1_1__2_MethaneProductionFromManure(X132,$G$155,$E$165,$E$171,$G$158)</f>
        <v>4.4629037143629011E-3</v>
      </c>
      <c r="Z178" s="52" cm="1">
        <f t="array" ref="Z178">MMS_PastureBeef_Methane_Equations.VEERG_4_2_1_1__2_MethaneProductionFromManure(Y132,$G$155,$E$165,$E$171,$G$158)</f>
        <v>4.4188207511224346E-3</v>
      </c>
      <c r="AA178" s="52" cm="1">
        <f t="array" ref="AA178">MMS_PastureBeef_Methane_Equations.VEERG_4_2_1_1__2_MethaneProductionFromManure(Z132,$G$155,$E$165,$E$171,$G$158)</f>
        <v>4.4188207511224346E-3</v>
      </c>
      <c r="AB178" s="52" cm="1">
        <f t="array" ref="AB178">MMS_PastureBeef_Methane_Equations.VEERG_4_2_1_1__2_MethaneProductionFromManure(AA132,$G$155,$E$165,$E$171,$G$158)</f>
        <v>3.4748327308918255E-3</v>
      </c>
      <c r="AC178" s="52" cm="1">
        <f t="array" ref="AC178">MMS_PastureBeef_Methane_Equations.VEERG_4_2_1_1__2_MethaneProductionFromManure(AB132,$G$155,$E$165,$E$171,$G$158)</f>
        <v>3.8733047579931406E-3</v>
      </c>
      <c r="AD178" s="52" cm="1">
        <f t="array" ref="AD178">MMS_PastureBeef_Methane_Equations.VEERG_4_2_1_1__2_MethaneProductionFromManure(AC132,$G$155,$E$165,$E$171,$G$158)</f>
        <v>3.8733047579931406E-3</v>
      </c>
      <c r="AE178" s="52" cm="1">
        <f t="array" ref="AE178">MMS_PastureBeef_Methane_Equations.VEERG_4_2_1_1__2_MethaneProductionFromManure(AD132,$G$155,$E$165,$E$171,$G$158)</f>
        <v>3.8733047579931406E-3</v>
      </c>
      <c r="AF178" s="2" t="str">
        <f t="shared" si="9"/>
        <v>kg CH4/head/day</v>
      </c>
    </row>
    <row r="179" spans="4:32" ht="20.100000000000001" customHeight="1" x14ac:dyDescent="0.25">
      <c r="D179" s="52" t="str">
        <f>'Input - Pasture Beef'!$D$185</f>
        <v>Pasture range and paddock</v>
      </c>
      <c r="E179" s="52" t="s">
        <v>175</v>
      </c>
      <c r="F179" s="52" cm="1">
        <f t="array" ref="F179">MMS_PastureBeef_Methane_Equations.VEERG_4_2_1_1__2_MethaneProductionFromManure(E133,$G$155,$E$165,$E$171,$G$158)</f>
        <v>1.7669165181372702E-3</v>
      </c>
      <c r="G179" s="52" cm="1">
        <f t="array" ref="G179">MMS_PastureBeef_Methane_Equations.VEERG_4_2_1_1__2_MethaneProductionFromManure(F133,$G$155,$E$165,$E$171,$G$158)</f>
        <v>5.1282819126615281E-3</v>
      </c>
      <c r="H179" s="52" cm="1">
        <f t="array" ref="H179">MMS_PastureBeef_Methane_Equations.VEERG_4_2_1_1__2_MethaneProductionFromManure(G133,$G$155,$E$165,$E$171,$G$158)</f>
        <v>1.610816619264715E-3</v>
      </c>
      <c r="I179" s="52" cm="1">
        <f t="array" ref="I179">MMS_PastureBeef_Methane_Equations.VEERG_4_2_1_1__2_MethaneProductionFromManure(H133,$G$155,$E$165,$E$171,$G$158)</f>
        <v>3.4039368726629634E-3</v>
      </c>
      <c r="J179" s="52" cm="1">
        <f t="array" ref="J179">MMS_PastureBeef_Methane_Equations.VEERG_4_2_1_1__2_MethaneProductionFromManure(I133,$G$155,$E$165,$E$171,$G$158)</f>
        <v>3.8382706146101423E-3</v>
      </c>
      <c r="K179" s="52" cm="1">
        <f t="array" ref="K179">MMS_PastureBeef_Methane_Equations.VEERG_4_2_1_1__2_MethaneProductionFromManure(J133,$G$155,$E$165,$E$171,$G$158)</f>
        <v>3.8382706146101423E-3</v>
      </c>
      <c r="L179" s="52" cm="1">
        <f t="array" ref="L179">MMS_PastureBeef_Methane_Equations.VEERG_4_2_1_1__2_MethaneProductionFromManure(K133,$G$155,$E$165,$E$171,$G$158)</f>
        <v>1.7669165181372702E-3</v>
      </c>
      <c r="M179" s="52" cm="1">
        <f t="array" ref="M179">MMS_PastureBeef_Methane_Equations.VEERG_4_2_1_1__2_MethaneProductionFromManure(L133,$G$155,$E$165,$E$171,$G$158)</f>
        <v>3.2078801318765602E-3</v>
      </c>
      <c r="N179" s="52" cm="1">
        <f t="array" ref="N179">MMS_PastureBeef_Methane_Equations.VEERG_4_2_1_1__2_MethaneProductionFromManure(M133,$G$155,$E$165,$E$171,$G$158)</f>
        <v>3.2078801318765602E-3</v>
      </c>
      <c r="O179" s="52" cm="1">
        <f t="array" ref="O179">MMS_PastureBeef_Methane_Equations.VEERG_4_2_1_1__2_MethaneProductionFromManure(N133,$G$155,$E$165,$E$171,$G$158)</f>
        <v>3.2078801318765602E-3</v>
      </c>
      <c r="P179" s="2" t="str">
        <f t="shared" si="7"/>
        <v>kg CH4/head/day</v>
      </c>
      <c r="T179" s="52" t="str">
        <f>'Input - Pasture Beef'!$D$185</f>
        <v>Pasture range and paddock</v>
      </c>
      <c r="U179" s="52" t="str">
        <f t="shared" si="8"/>
        <v>March 2024</v>
      </c>
      <c r="V179" s="52" cm="1">
        <f t="array" ref="V179">MMS_PastureBeef_Methane_Equations.VEERG_4_2_1_1__2_MethaneProductionFromManure(U133,$G$155,$E$165,$E$171,$G$158)</f>
        <v>1.7669165181372702E-3</v>
      </c>
      <c r="W179" s="52" cm="1">
        <f t="array" ref="W179">MMS_PastureBeef_Methane_Equations.VEERG_4_2_1_1__2_MethaneProductionFromManure(V133,$G$155,$E$165,$E$171,$G$158)</f>
        <v>5.1282819126615281E-3</v>
      </c>
      <c r="X179" s="52" cm="1">
        <f t="array" ref="X179">MMS_PastureBeef_Methane_Equations.VEERG_4_2_1_1__2_MethaneProductionFromManure(W133,$G$155,$E$165,$E$171,$G$158)</f>
        <v>1.610816619264715E-3</v>
      </c>
      <c r="Y179" s="52" cm="1">
        <f t="array" ref="Y179">MMS_PastureBeef_Methane_Equations.VEERG_4_2_1_1__2_MethaneProductionFromManure(X133,$G$155,$E$165,$E$171,$G$158)</f>
        <v>3.4849829886787484E-3</v>
      </c>
      <c r="Z179" s="52" cm="1">
        <f t="array" ref="Z179">MMS_PastureBeef_Methane_Equations.VEERG_4_2_1_1__2_MethaneProductionFromManure(Y133,$G$155,$E$165,$E$171,$G$158)</f>
        <v>3.9296580101960974E-3</v>
      </c>
      <c r="AA179" s="52" cm="1">
        <f t="array" ref="AA179">MMS_PastureBeef_Methane_Equations.VEERG_4_2_1_1__2_MethaneProductionFromManure(Z133,$G$155,$E$165,$E$171,$G$158)</f>
        <v>3.9296580101960974E-3</v>
      </c>
      <c r="AB179" s="52" cm="1">
        <f t="array" ref="AB179">MMS_PastureBeef_Methane_Equations.VEERG_4_2_1_1__2_MethaneProductionFromManure(AA133,$G$155,$E$165,$E$171,$G$158)</f>
        <v>1.7669165181372702E-3</v>
      </c>
      <c r="AC179" s="52" cm="1">
        <f t="array" ref="AC179">MMS_PastureBeef_Methane_Equations.VEERG_4_2_1_1__2_MethaneProductionFromManure(AB133,$G$155,$E$165,$E$171,$G$158)</f>
        <v>3.2078801318765602E-3</v>
      </c>
      <c r="AD179" s="52" cm="1">
        <f t="array" ref="AD179">MMS_PastureBeef_Methane_Equations.VEERG_4_2_1_1__2_MethaneProductionFromManure(AC133,$G$155,$E$165,$E$171,$G$158)</f>
        <v>3.2078801318765602E-3</v>
      </c>
      <c r="AE179" s="52" cm="1">
        <f t="array" ref="AE179">MMS_PastureBeef_Methane_Equations.VEERG_4_2_1_1__2_MethaneProductionFromManure(AD133,$G$155,$E$165,$E$171,$G$158)</f>
        <v>3.2078801318765602E-3</v>
      </c>
      <c r="AF179" s="2" t="str">
        <f t="shared" si="9"/>
        <v>kg CH4/head/day</v>
      </c>
    </row>
    <row r="180" spans="4:32" ht="20.100000000000001" customHeight="1" x14ac:dyDescent="0.25">
      <c r="D180" s="52" t="str">
        <f>'Input - Pasture Beef'!$D$185</f>
        <v>Pasture range and paddock</v>
      </c>
      <c r="E180" s="52" t="s">
        <v>176</v>
      </c>
      <c r="F180" s="52" cm="1">
        <f t="array" ref="F180">MMS_PastureBeef_Methane_Equations.VEERG_4_2_1_1__2_MethaneProductionFromManure(E134,$G$155,$E$165,$E$171,$G$158)</f>
        <v>2.3939898572351848E-3</v>
      </c>
      <c r="G180" s="52" cm="1">
        <f t="array" ref="G180">MMS_PastureBeef_Methane_Equations.VEERG_4_2_1_1__2_MethaneProductionFromManure(F134,$G$155,$E$165,$E$171,$G$158)</f>
        <v>4.6522862496463481E-3</v>
      </c>
      <c r="H180" s="52" cm="1">
        <f t="array" ref="H180">MMS_PastureBeef_Methane_Equations.VEERG_4_2_1_1__2_MethaneProductionFromManure(G134,$G$155,$E$165,$E$171,$G$158)</f>
        <v>1.9601466958146293E-3</v>
      </c>
      <c r="I180" s="52" cm="1">
        <f t="array" ref="I180">MMS_PastureBeef_Methane_Equations.VEERG_4_2_1_1__2_MethaneProductionFromManure(H134,$G$155,$E$165,$E$171,$G$158)</f>
        <v>2.7647390514560235E-3</v>
      </c>
      <c r="J180" s="52" cm="1">
        <f t="array" ref="J180">MMS_PastureBeef_Methane_Equations.VEERG_4_2_1_1__2_MethaneProductionFromManure(I134,$G$155,$E$165,$E$171,$G$158)</f>
        <v>3.7089826724564685E-3</v>
      </c>
      <c r="K180" s="52" cm="1">
        <f t="array" ref="K180">MMS_PastureBeef_Methane_Equations.VEERG_4_2_1_1__2_MethaneProductionFromManure(J134,$G$155,$E$165,$E$171,$G$158)</f>
        <v>3.7089826724564685E-3</v>
      </c>
      <c r="L180" s="52" cm="1">
        <f t="array" ref="L180">MMS_PastureBeef_Methane_Equations.VEERG_4_2_1_1__2_MethaneProductionFromManure(K134,$G$155,$E$165,$E$171,$G$158)</f>
        <v>2.1045273101069351E-3</v>
      </c>
      <c r="M180" s="52" cm="1">
        <f t="array" ref="M180">MMS_PastureBeef_Methane_Equations.VEERG_4_2_1_1__2_MethaneProductionFromManure(L134,$G$155,$E$165,$E$171,$G$158)</f>
        <v>3.2041066661276131E-3</v>
      </c>
      <c r="N180" s="52" cm="1">
        <f t="array" ref="N180">MMS_PastureBeef_Methane_Equations.VEERG_4_2_1_1__2_MethaneProductionFromManure(M134,$G$155,$E$165,$E$171,$G$158)</f>
        <v>3.2041066661276131E-3</v>
      </c>
      <c r="O180" s="52" cm="1">
        <f t="array" ref="O180">MMS_PastureBeef_Methane_Equations.VEERG_4_2_1_1__2_MethaneProductionFromManure(N134,$G$155,$E$165,$E$171,$G$158)</f>
        <v>3.2041066661276131E-3</v>
      </c>
      <c r="P180" s="2" t="str">
        <f t="shared" si="7"/>
        <v>kg CH4/head/day</v>
      </c>
      <c r="T180" s="52" t="str">
        <f>'Input - Pasture Beef'!$D$185</f>
        <v>Pasture range and paddock</v>
      </c>
      <c r="U180" s="52" t="str">
        <f t="shared" si="8"/>
        <v>April 2024</v>
      </c>
      <c r="V180" s="52" cm="1">
        <f t="array" ref="V180">MMS_PastureBeef_Methane_Equations.VEERG_4_2_1_1__2_MethaneProductionFromManure(U134,$G$155,$E$165,$E$171,$G$158)</f>
        <v>1.7669165181372702E-3</v>
      </c>
      <c r="W180" s="52" cm="1">
        <f t="array" ref="W180">MMS_PastureBeef_Methane_Equations.VEERG_4_2_1_1__2_MethaneProductionFromManure(V134,$G$155,$E$165,$E$171,$G$158)</f>
        <v>5.1282819126615281E-3</v>
      </c>
      <c r="X180" s="52" cm="1">
        <f t="array" ref="X180">MMS_PastureBeef_Methane_Equations.VEERG_4_2_1_1__2_MethaneProductionFromManure(W134,$G$155,$E$165,$E$171,$G$158)</f>
        <v>1.610816619264715E-3</v>
      </c>
      <c r="Y180" s="52" cm="1">
        <f t="array" ref="Y180">MMS_PastureBeef_Methane_Equations.VEERG_4_2_1_1__2_MethaneProductionFromManure(X134,$G$155,$E$165,$E$171,$G$158)</f>
        <v>3.2418446406313932E-3</v>
      </c>
      <c r="Z180" s="52" cm="1">
        <f t="array" ref="Z180">MMS_PastureBeef_Methane_Equations.VEERG_4_2_1_1__2_MethaneProductionFromManure(Y134,$G$155,$E$165,$E$171,$G$158)</f>
        <v>3.6554958234382307E-3</v>
      </c>
      <c r="AA180" s="52" cm="1">
        <f t="array" ref="AA180">MMS_PastureBeef_Methane_Equations.VEERG_4_2_1_1__2_MethaneProductionFromManure(Z134,$G$155,$E$165,$E$171,$G$158)</f>
        <v>3.6554958234382307E-3</v>
      </c>
      <c r="AB180" s="52" cm="1">
        <f t="array" ref="AB180">MMS_PastureBeef_Methane_Equations.VEERG_4_2_1_1__2_MethaneProductionFromManure(AA134,$G$155,$E$165,$E$171,$G$158)</f>
        <v>1.7669165181372702E-3</v>
      </c>
      <c r="AC180" s="52" cm="1">
        <f t="array" ref="AC180">MMS_PastureBeef_Methane_Equations.VEERG_4_2_1_1__2_MethaneProductionFromManure(AB134,$G$155,$E$165,$E$171,$G$158)</f>
        <v>3.2078801318765602E-3</v>
      </c>
      <c r="AD180" s="52" cm="1">
        <f t="array" ref="AD180">MMS_PastureBeef_Methane_Equations.VEERG_4_2_1_1__2_MethaneProductionFromManure(AC134,$G$155,$E$165,$E$171,$G$158)</f>
        <v>3.2078801318765602E-3</v>
      </c>
      <c r="AE180" s="52" cm="1">
        <f t="array" ref="AE180">MMS_PastureBeef_Methane_Equations.VEERG_4_2_1_1__2_MethaneProductionFromManure(AD134,$G$155,$E$165,$E$171,$G$158)</f>
        <v>3.2078801318765602E-3</v>
      </c>
      <c r="AF180" s="2" t="str">
        <f t="shared" si="9"/>
        <v>kg CH4/head/day</v>
      </c>
    </row>
    <row r="181" spans="4:32" ht="20.100000000000001" customHeight="1" x14ac:dyDescent="0.25">
      <c r="D181" s="52" t="str">
        <f>'Input - Pasture Beef'!$D$186</f>
        <v>Anaerobic lagoon</v>
      </c>
      <c r="E181" s="52" t="s">
        <v>173</v>
      </c>
      <c r="F181" s="52" cm="1">
        <f t="array" ref="F181">MMS_PastureBeef_Methane_Equations.VEERG_4_2_1_1__2_MethaneProductionFromManure(E131,$G$155,$E$166,$E$172,$G$158)</f>
        <v>2.4812833436492908E-3</v>
      </c>
      <c r="G181" s="52" cm="1">
        <f t="array" ref="G181">MMS_PastureBeef_Methane_Equations.VEERG_4_2_1_1__2_MethaneProductionFromManure(F131,$G$155,$E$166,$E$172,$G$158)</f>
        <v>3.5044828695429209E-3</v>
      </c>
      <c r="H181" s="52" cm="1">
        <f t="array" ref="H181">MMS_PastureBeef_Methane_Equations.VEERG_4_2_1_1__2_MethaneProductionFromManure(G131,$G$155,$E$166,$E$172,$G$158)</f>
        <v>1.8912334889579457E-3</v>
      </c>
      <c r="I181" s="52" cm="1">
        <f t="array" ref="I181">MMS_PastureBeef_Methane_Equations.VEERG_4_2_1_1__2_MethaneProductionFromManure(H131,$G$155,$E$166,$E$172,$G$158)</f>
        <v>2.8541929803259742E-3</v>
      </c>
      <c r="J181" s="52" cm="1">
        <f t="array" ref="J181">MMS_PastureBeef_Methane_Equations.VEERG_4_2_1_1__2_MethaneProductionFromManure(I131,$G$155,$E$166,$E$172,$G$158)</f>
        <v>3.1694601643495902E-3</v>
      </c>
      <c r="K181" s="52" cm="1">
        <f t="array" ref="K181">MMS_PastureBeef_Methane_Equations.VEERG_4_2_1_1__2_MethaneProductionFromManure(J131,$G$155,$E$166,$E$172,$G$158)</f>
        <v>3.1694601643495902E-3</v>
      </c>
      <c r="L181" s="52" cm="1">
        <f t="array" ref="L181">MMS_PastureBeef_Methane_Equations.VEERG_4_2_1_1__2_MethaneProductionFromManure(K131,$G$155,$E$166,$E$172,$G$158)</f>
        <v>2.1803414772367767E-3</v>
      </c>
      <c r="M181" s="52" cm="1">
        <f t="array" ref="M181">MMS_PastureBeef_Methane_Equations.VEERG_4_2_1_1__2_MethaneProductionFromManure(L131,$G$155,$E$166,$E$172,$G$158)</f>
        <v>2.7707428418975179E-3</v>
      </c>
      <c r="N181" s="52" cm="1">
        <f t="array" ref="N181">MMS_PastureBeef_Methane_Equations.VEERG_4_2_1_1__2_MethaneProductionFromManure(M131,$G$155,$E$166,$E$172,$G$158)</f>
        <v>2.7707428418975179E-3</v>
      </c>
      <c r="O181" s="52" cm="1">
        <f t="array" ref="O181">MMS_PastureBeef_Methane_Equations.VEERG_4_2_1_1__2_MethaneProductionFromManure(N131,$G$155,$E$166,$E$172,$G$158)</f>
        <v>2.7707428418975179E-3</v>
      </c>
      <c r="P181" s="2" t="str">
        <f t="shared" si="7"/>
        <v>kg CH4/head/day</v>
      </c>
      <c r="T181" s="52" t="str">
        <f>'Input - Pasture Beef'!$D$185</f>
        <v>Pasture range and paddock</v>
      </c>
      <c r="U181" s="52" t="str">
        <f t="shared" si="8"/>
        <v>May 2024</v>
      </c>
      <c r="V181" s="52" cm="1">
        <f t="array" ref="V181">MMS_PastureBeef_Methane_Equations.VEERG_4_2_1_1__2_MethaneProductionFromManure(U135,$G$155,$E$165,$E$171,$G$158)</f>
        <v>1.7669165181372702E-3</v>
      </c>
      <c r="W181" s="52" cm="1">
        <f t="array" ref="W181">MMS_PastureBeef_Methane_Equations.VEERG_4_2_1_1__2_MethaneProductionFromManure(V135,$G$155,$E$165,$E$171,$G$158)</f>
        <v>5.1282819126615281E-3</v>
      </c>
      <c r="X181" s="52" cm="1">
        <f t="array" ref="X181">MMS_PastureBeef_Methane_Equations.VEERG_4_2_1_1__2_MethaneProductionFromManure(W135,$G$155,$E$165,$E$171,$G$158)</f>
        <v>1.610816619264715E-3</v>
      </c>
      <c r="Y181" s="52" cm="1">
        <f t="array" ref="Y181">MMS_PastureBeef_Methane_Equations.VEERG_4_2_1_1__2_MethaneProductionFromManure(X135,$G$155,$E$165,$E$171,$G$158)</f>
        <v>3.2418446406313932E-3</v>
      </c>
      <c r="Z181" s="52" cm="1">
        <f t="array" ref="Z181">MMS_PastureBeef_Methane_Equations.VEERG_4_2_1_1__2_MethaneProductionFromManure(Y135,$G$155,$E$165,$E$171,$G$158)</f>
        <v>3.6554958234382307E-3</v>
      </c>
      <c r="AA181" s="52" cm="1">
        <f t="array" ref="AA181">MMS_PastureBeef_Methane_Equations.VEERG_4_2_1_1__2_MethaneProductionFromManure(Z135,$G$155,$E$165,$E$171,$G$158)</f>
        <v>3.6554958234382307E-3</v>
      </c>
      <c r="AB181" s="52" cm="1">
        <f t="array" ref="AB181">MMS_PastureBeef_Methane_Equations.VEERG_4_2_1_1__2_MethaneProductionFromManure(AA135,$G$155,$E$165,$E$171,$G$158)</f>
        <v>1.7669165181372702E-3</v>
      </c>
      <c r="AC181" s="52" cm="1">
        <f t="array" ref="AC181">MMS_PastureBeef_Methane_Equations.VEERG_4_2_1_1__2_MethaneProductionFromManure(AB135,$G$155,$E$165,$E$171,$G$158)</f>
        <v>3.2078801318765602E-3</v>
      </c>
      <c r="AD181" s="52" cm="1">
        <f t="array" ref="AD181">MMS_PastureBeef_Methane_Equations.VEERG_4_2_1_1__2_MethaneProductionFromManure(AC135,$G$155,$E$165,$E$171,$G$158)</f>
        <v>3.2078801318765602E-3</v>
      </c>
      <c r="AE181" s="52" cm="1">
        <f t="array" ref="AE181">MMS_PastureBeef_Methane_Equations.VEERG_4_2_1_1__2_MethaneProductionFromManure(AD135,$G$155,$E$165,$E$171,$G$158)</f>
        <v>3.2078801318765602E-3</v>
      </c>
      <c r="AF181" s="2" t="str">
        <f t="shared" si="9"/>
        <v>kg CH4/head/day</v>
      </c>
    </row>
    <row r="182" spans="4:32" ht="20.100000000000001" customHeight="1" x14ac:dyDescent="0.25">
      <c r="D182" s="52" t="str">
        <f>'Input - Pasture Beef'!$D$186</f>
        <v>Anaerobic lagoon</v>
      </c>
      <c r="E182" s="52" t="s">
        <v>174</v>
      </c>
      <c r="F182" s="52" cm="1">
        <f t="array" ref="F182">MMS_PastureBeef_Methane_Equations.VEERG_4_2_1_1__2_MethaneProductionFromManure(E132,$G$155,$E$166,$E$172,$G$158)</f>
        <v>2.3129761588141953E-3</v>
      </c>
      <c r="G182" s="52" cm="1">
        <f t="array" ref="G182">MMS_PastureBeef_Methane_Equations.VEERG_4_2_1_1__2_MethaneProductionFromManure(F132,$G$155,$E$166,$E$172,$G$158)</f>
        <v>3.0602961300360589E-3</v>
      </c>
      <c r="H182" s="52" cm="1">
        <f t="array" ref="H182">MMS_PastureBeef_Methane_Equations.VEERG_4_2_1_1__2_MethaneProductionFromManure(G132,$G$155,$E$166,$E$172,$G$158)</f>
        <v>1.9451607170601457E-3</v>
      </c>
      <c r="I182" s="52" cm="1">
        <f t="array" ref="I182">MMS_PastureBeef_Methane_Equations.VEERG_4_2_1_1__2_MethaneProductionFromManure(H132,$G$155,$E$166,$E$172,$G$158)</f>
        <v>3.0566279276379392E-3</v>
      </c>
      <c r="J182" s="52" cm="1">
        <f t="array" ref="J182">MMS_PastureBeef_Methane_Equations.VEERG_4_2_1_1__2_MethaneProductionFromManure(I132,$G$155,$E$166,$E$172,$G$158)</f>
        <v>3.0264356525637097E-3</v>
      </c>
      <c r="K182" s="52" cm="1">
        <f t="array" ref="K182">MMS_PastureBeef_Methane_Equations.VEERG_4_2_1_1__2_MethaneProductionFromManure(J132,$G$155,$E$166,$E$172,$G$158)</f>
        <v>3.0264356525637097E-3</v>
      </c>
      <c r="L182" s="52" cm="1">
        <f t="array" ref="L182">MMS_PastureBeef_Methane_Equations.VEERG_4_2_1_1__2_MethaneProductionFromManure(K132,$G$155,$E$166,$E$172,$G$158)</f>
        <v>2.1319949983930825E-3</v>
      </c>
      <c r="M182" s="52" cm="1">
        <f t="array" ref="M182">MMS_PastureBeef_Methane_Equations.VEERG_4_2_1_1__2_MethaneProductionFromManure(L132,$G$155,$E$166,$E$172,$G$158)</f>
        <v>2.3764788151900769E-3</v>
      </c>
      <c r="N182" s="52" cm="1">
        <f t="array" ref="N182">MMS_PastureBeef_Methane_Equations.VEERG_4_2_1_1__2_MethaneProductionFromManure(M132,$G$155,$E$166,$E$172,$G$158)</f>
        <v>2.3764788151900769E-3</v>
      </c>
      <c r="O182" s="52" cm="1">
        <f t="array" ref="O182">MMS_PastureBeef_Methane_Equations.VEERG_4_2_1_1__2_MethaneProductionFromManure(N132,$G$155,$E$166,$E$172,$G$158)</f>
        <v>2.3764788151900769E-3</v>
      </c>
      <c r="P182" s="2" t="str">
        <f t="shared" si="7"/>
        <v>kg CH4/head/day</v>
      </c>
      <c r="T182" s="52" t="str">
        <f>'Input - Pasture Beef'!$D$185</f>
        <v>Pasture range and paddock</v>
      </c>
      <c r="U182" s="52" t="str">
        <f t="shared" si="8"/>
        <v>June 2024</v>
      </c>
      <c r="V182" s="52" cm="1">
        <f t="array" ref="V182">MMS_PastureBeef_Methane_Equations.VEERG_4_2_1_1__2_MethaneProductionFromManure(U136,$G$155,$E$165,$E$171,$G$158)</f>
        <v>2.3939898572351848E-3</v>
      </c>
      <c r="W182" s="52" cm="1">
        <f t="array" ref="W182">MMS_PastureBeef_Methane_Equations.VEERG_4_2_1_1__2_MethaneProductionFromManure(V136,$G$155,$E$165,$E$171,$G$158)</f>
        <v>4.6522862496463481E-3</v>
      </c>
      <c r="X182" s="52" cm="1">
        <f t="array" ref="X182">MMS_PastureBeef_Methane_Equations.VEERG_4_2_1_1__2_MethaneProductionFromManure(W136,$G$155,$E$165,$E$171,$G$158)</f>
        <v>1.9601466958146293E-3</v>
      </c>
      <c r="Y182" s="52" cm="1">
        <f t="array" ref="Y182">MMS_PastureBeef_Methane_Equations.VEERG_4_2_1_1__2_MethaneProductionFromManure(X136,$G$155,$E$165,$E$171,$G$158)</f>
        <v>2.7647390514560235E-3</v>
      </c>
      <c r="Z182" s="52" cm="1">
        <f t="array" ref="Z182">MMS_PastureBeef_Methane_Equations.VEERG_4_2_1_1__2_MethaneProductionFromManure(Y136,$G$155,$E$165,$E$171,$G$158)</f>
        <v>3.7089826724564685E-3</v>
      </c>
      <c r="AA182" s="52" cm="1">
        <f t="array" ref="AA182">MMS_PastureBeef_Methane_Equations.VEERG_4_2_1_1__2_MethaneProductionFromManure(Z136,$G$155,$E$165,$E$171,$G$158)</f>
        <v>3.7089826724564685E-3</v>
      </c>
      <c r="AB182" s="52" cm="1">
        <f t="array" ref="AB182">MMS_PastureBeef_Methane_Equations.VEERG_4_2_1_1__2_MethaneProductionFromManure(AA136,$G$155,$E$165,$E$171,$G$158)</f>
        <v>2.1045273101069351E-3</v>
      </c>
      <c r="AC182" s="52" cm="1">
        <f t="array" ref="AC182">MMS_PastureBeef_Methane_Equations.VEERG_4_2_1_1__2_MethaneProductionFromManure(AB136,$G$155,$E$165,$E$171,$G$158)</f>
        <v>3.2041066661276131E-3</v>
      </c>
      <c r="AD182" s="52" cm="1">
        <f t="array" ref="AD182">MMS_PastureBeef_Methane_Equations.VEERG_4_2_1_1__2_MethaneProductionFromManure(AC136,$G$155,$E$165,$E$171,$G$158)</f>
        <v>3.2041066661276131E-3</v>
      </c>
      <c r="AE182" s="52" cm="1">
        <f t="array" ref="AE182">MMS_PastureBeef_Methane_Equations.VEERG_4_2_1_1__2_MethaneProductionFromManure(AD136,$G$155,$E$165,$E$171,$G$158)</f>
        <v>3.2041066661276131E-3</v>
      </c>
      <c r="AF182" s="2" t="str">
        <f t="shared" si="9"/>
        <v>kg CH4/head/day</v>
      </c>
    </row>
    <row r="183" spans="4:32" ht="20.100000000000001" customHeight="1" x14ac:dyDescent="0.25">
      <c r="D183" s="52" t="str">
        <f>'Input - Pasture Beef'!$D$186</f>
        <v>Anaerobic lagoon</v>
      </c>
      <c r="E183" s="52" t="s">
        <v>175</v>
      </c>
      <c r="F183" s="52" cm="1">
        <f t="array" ref="F183">MMS_PastureBeef_Methane_Equations.VEERG_4_2_1_1__2_MethaneProductionFromManure(E133,$G$155,$E$166,$E$172,$G$158)</f>
        <v>1.0840974144617182E-3</v>
      </c>
      <c r="G183" s="52" cm="1">
        <f t="array" ref="G183">MMS_PastureBeef_Methane_Equations.VEERG_4_2_1_1__2_MethaneProductionFromManure(F133,$G$155,$E$166,$E$172,$G$158)</f>
        <v>3.1464741571425175E-3</v>
      </c>
      <c r="H183" s="52" cm="1">
        <f t="array" ref="H183">MMS_PastureBeef_Methane_Equations.VEERG_4_2_1_1__2_MethaneProductionFromManure(G133,$G$155,$E$166,$E$172,$G$158)</f>
        <v>9.8832181044853241E-4</v>
      </c>
      <c r="I183" s="52" cm="1">
        <f t="array" ref="I183">MMS_PastureBeef_Methane_Equations.VEERG_4_2_1_1__2_MethaneProductionFromManure(H133,$G$155,$E$166,$E$172,$G$158)</f>
        <v>2.0884966124687832E-3</v>
      </c>
      <c r="J183" s="52" cm="1">
        <f t="array" ref="J183">MMS_PastureBeef_Methane_Equations.VEERG_4_2_1_1__2_MethaneProductionFromManure(I133,$G$155,$E$166,$E$172,$G$158)</f>
        <v>2.3549835018181532E-3</v>
      </c>
      <c r="K183" s="52" cm="1">
        <f t="array" ref="K183">MMS_PastureBeef_Methane_Equations.VEERG_4_2_1_1__2_MethaneProductionFromManure(J133,$G$155,$E$166,$E$172,$G$158)</f>
        <v>2.3549835018181532E-3</v>
      </c>
      <c r="L183" s="52" cm="1">
        <f t="array" ref="L183">MMS_PastureBeef_Methane_Equations.VEERG_4_2_1_1__2_MethaneProductionFromManure(K133,$G$155,$E$166,$E$172,$G$158)</f>
        <v>1.0840974144617182E-3</v>
      </c>
      <c r="M183" s="52" cm="1">
        <f t="array" ref="M183">MMS_PastureBeef_Methane_Equations.VEERG_4_2_1_1__2_MethaneProductionFromManure(L133,$G$155,$E$166,$E$172,$G$158)</f>
        <v>1.9682053572835068E-3</v>
      </c>
      <c r="N183" s="52" cm="1">
        <f t="array" ref="N183">MMS_PastureBeef_Methane_Equations.VEERG_4_2_1_1__2_MethaneProductionFromManure(M133,$G$155,$E$166,$E$172,$G$158)</f>
        <v>1.9682053572835068E-3</v>
      </c>
      <c r="O183" s="52" cm="1">
        <f t="array" ref="O183">MMS_PastureBeef_Methane_Equations.VEERG_4_2_1_1__2_MethaneProductionFromManure(N133,$G$155,$E$166,$E$172,$G$158)</f>
        <v>1.9682053572835068E-3</v>
      </c>
      <c r="P183" s="2" t="str">
        <f t="shared" si="7"/>
        <v>kg CH4/head/day</v>
      </c>
      <c r="T183" s="52" t="str">
        <f>'Input - Pasture Beef'!$D$185</f>
        <v>Pasture range and paddock</v>
      </c>
      <c r="U183" s="52" t="str">
        <f t="shared" si="8"/>
        <v>July 2024</v>
      </c>
      <c r="V183" s="52" cm="1">
        <f t="array" ref="V183">MMS_PastureBeef_Methane_Equations.VEERG_4_2_1_1__2_MethaneProductionFromManure(U137,$G$155,$E$165,$E$171,$G$158)</f>
        <v>2.3939898572351848E-3</v>
      </c>
      <c r="W183" s="52" cm="1">
        <f t="array" ref="W183">MMS_PastureBeef_Methane_Equations.VEERG_4_2_1_1__2_MethaneProductionFromManure(V137,$G$155,$E$165,$E$171,$G$158)</f>
        <v>4.6522862496463481E-3</v>
      </c>
      <c r="X183" s="52" cm="1">
        <f t="array" ref="X183">MMS_PastureBeef_Methane_Equations.VEERG_4_2_1_1__2_MethaneProductionFromManure(W137,$G$155,$E$165,$E$171,$G$158)</f>
        <v>1.9601466958146293E-3</v>
      </c>
      <c r="Y183" s="52" cm="1">
        <f t="array" ref="Y183">MMS_PastureBeef_Methane_Equations.VEERG_4_2_1_1__2_MethaneProductionFromManure(X137,$G$155,$E$165,$E$171,$G$158)</f>
        <v>2.9720944803152249E-3</v>
      </c>
      <c r="Z183" s="52" cm="1">
        <f t="array" ref="Z183">MMS_PastureBeef_Methane_Equations.VEERG_4_2_1_1__2_MethaneProductionFromManure(Y137,$G$155,$E$165,$E$171,$G$158)</f>
        <v>3.9871563728907039E-3</v>
      </c>
      <c r="AA183" s="52" cm="1">
        <f t="array" ref="AA183">MMS_PastureBeef_Methane_Equations.VEERG_4_2_1_1__2_MethaneProductionFromManure(Z137,$G$155,$E$165,$E$171,$G$158)</f>
        <v>3.9871563728907039E-3</v>
      </c>
      <c r="AB183" s="52" cm="1">
        <f t="array" ref="AB183">MMS_PastureBeef_Methane_Equations.VEERG_4_2_1_1__2_MethaneProductionFromManure(AA137,$G$155,$E$165,$E$171,$G$158)</f>
        <v>2.1045273101069351E-3</v>
      </c>
      <c r="AC183" s="52" cm="1">
        <f t="array" ref="AC183">MMS_PastureBeef_Methane_Equations.VEERG_4_2_1_1__2_MethaneProductionFromManure(AB137,$G$155,$E$165,$E$171,$G$158)</f>
        <v>3.2041066661276131E-3</v>
      </c>
      <c r="AD183" s="52" cm="1">
        <f t="array" ref="AD183">MMS_PastureBeef_Methane_Equations.VEERG_4_2_1_1__2_MethaneProductionFromManure(AC137,$G$155,$E$165,$E$171,$G$158)</f>
        <v>3.2041066661276131E-3</v>
      </c>
      <c r="AE183" s="52" cm="1">
        <f t="array" ref="AE183">MMS_PastureBeef_Methane_Equations.VEERG_4_2_1_1__2_MethaneProductionFromManure(AD137,$G$155,$E$165,$E$171,$G$158)</f>
        <v>3.2041066661276131E-3</v>
      </c>
      <c r="AF183" s="2" t="str">
        <f t="shared" si="9"/>
        <v>kg CH4/head/day</v>
      </c>
    </row>
    <row r="184" spans="4:32" ht="20.100000000000001" customHeight="1" x14ac:dyDescent="0.25">
      <c r="D184" s="52" t="str">
        <f>'Input - Pasture Beef'!$D$186</f>
        <v>Anaerobic lagoon</v>
      </c>
      <c r="E184" s="52" t="s">
        <v>176</v>
      </c>
      <c r="F184" s="52" cm="1">
        <f t="array" ref="F184">MMS_PastureBeef_Methane_Equations.VEERG_4_2_1_1__2_MethaneProductionFromManure(E134,$G$155,$E$166,$E$172,$G$158)</f>
        <v>1.4688403146586094E-3</v>
      </c>
      <c r="G184" s="52" cm="1">
        <f t="array" ref="G184">MMS_PastureBeef_Methane_Equations.VEERG_4_2_1_1__2_MethaneProductionFromManure(F134,$G$155,$E$166,$E$172,$G$158)</f>
        <v>2.854425459723719E-3</v>
      </c>
      <c r="H184" s="52" cm="1">
        <f t="array" ref="H184">MMS_PastureBeef_Methane_Equations.VEERG_4_2_1_1__2_MethaneProductionFromManure(G134,$G$155,$E$166,$E$172,$G$158)</f>
        <v>1.2026544225974751E-3</v>
      </c>
      <c r="I184" s="52" cm="1">
        <f t="array" ref="I184">MMS_PastureBeef_Methane_Equations.VEERG_4_2_1_1__2_MethaneProductionFromManure(H134,$G$155,$E$166,$E$172,$G$158)</f>
        <v>1.6963146965792107E-3</v>
      </c>
      <c r="J184" s="52" cm="1">
        <f t="array" ref="J184">MMS_PastureBeef_Methane_Equations.VEERG_4_2_1_1__2_MethaneProductionFromManure(I134,$G$155,$E$166,$E$172,$G$158)</f>
        <v>2.2756584616302694E-3</v>
      </c>
      <c r="K184" s="52" cm="1">
        <f t="array" ref="K184">MMS_PastureBeef_Methane_Equations.VEERG_4_2_1_1__2_MethaneProductionFromManure(J134,$G$155,$E$166,$E$172,$G$158)</f>
        <v>2.2756584616302694E-3</v>
      </c>
      <c r="L184" s="52" cm="1">
        <f t="array" ref="L184">MMS_PastureBeef_Methane_Equations.VEERG_4_2_1_1__2_MethaneProductionFromManure(K134,$G$155,$E$166,$E$172,$G$158)</f>
        <v>1.291239621188348E-3</v>
      </c>
      <c r="M184" s="52" cm="1">
        <f t="array" ref="M184">MMS_PastureBeef_Methane_Equations.VEERG_4_2_1_1__2_MethaneProductionFromManure(L134,$G$155,$E$166,$E$172,$G$158)</f>
        <v>1.9658901350191817E-3</v>
      </c>
      <c r="N184" s="52" cm="1">
        <f t="array" ref="N184">MMS_PastureBeef_Methane_Equations.VEERG_4_2_1_1__2_MethaneProductionFromManure(M134,$G$155,$E$166,$E$172,$G$158)</f>
        <v>1.9658901350191817E-3</v>
      </c>
      <c r="O184" s="52" cm="1">
        <f t="array" ref="O184">MMS_PastureBeef_Methane_Equations.VEERG_4_2_1_1__2_MethaneProductionFromManure(N134,$G$155,$E$166,$E$172,$G$158)</f>
        <v>1.9658901350191817E-3</v>
      </c>
      <c r="P184" s="2" t="str">
        <f t="shared" si="7"/>
        <v>kg CH4/head/day</v>
      </c>
      <c r="T184" s="52" t="str">
        <f>'Input - Pasture Beef'!$D$185</f>
        <v>Pasture range and paddock</v>
      </c>
      <c r="U184" s="52" t="str">
        <f t="shared" si="8"/>
        <v>August 2024</v>
      </c>
      <c r="V184" s="52" cm="1">
        <f t="array" ref="V184">MMS_PastureBeef_Methane_Equations.VEERG_4_2_1_1__2_MethaneProductionFromManure(U138,$G$155,$E$165,$E$171,$G$158)</f>
        <v>2.3939898572351848E-3</v>
      </c>
      <c r="W184" s="52" cm="1">
        <f t="array" ref="W184">MMS_PastureBeef_Methane_Equations.VEERG_4_2_1_1__2_MethaneProductionFromManure(V138,$G$155,$E$165,$E$171,$G$158)</f>
        <v>4.6522862496463481E-3</v>
      </c>
      <c r="X184" s="52" cm="1">
        <f t="array" ref="X184">MMS_PastureBeef_Methane_Equations.VEERG_4_2_1_1__2_MethaneProductionFromManure(W138,$G$155,$E$165,$E$171,$G$158)</f>
        <v>1.9601466958146293E-3</v>
      </c>
      <c r="Y184" s="52" cm="1">
        <f t="array" ref="Y184">MMS_PastureBeef_Methane_Equations.VEERG_4_2_1_1__2_MethaneProductionFromManure(X138,$G$155,$E$165,$E$171,$G$158)</f>
        <v>2.9720944803152249E-3</v>
      </c>
      <c r="Z184" s="52" cm="1">
        <f t="array" ref="Z184">MMS_PastureBeef_Methane_Equations.VEERG_4_2_1_1__2_MethaneProductionFromManure(Y138,$G$155,$E$165,$E$171,$G$158)</f>
        <v>3.9871563728907039E-3</v>
      </c>
      <c r="AA184" s="52" cm="1">
        <f t="array" ref="AA184">MMS_PastureBeef_Methane_Equations.VEERG_4_2_1_1__2_MethaneProductionFromManure(Z138,$G$155,$E$165,$E$171,$G$158)</f>
        <v>3.9871563728907039E-3</v>
      </c>
      <c r="AB184" s="52" cm="1">
        <f t="array" ref="AB184">MMS_PastureBeef_Methane_Equations.VEERG_4_2_1_1__2_MethaneProductionFromManure(AA138,$G$155,$E$165,$E$171,$G$158)</f>
        <v>2.1045273101069351E-3</v>
      </c>
      <c r="AC184" s="52" cm="1">
        <f t="array" ref="AC184">MMS_PastureBeef_Methane_Equations.VEERG_4_2_1_1__2_MethaneProductionFromManure(AB138,$G$155,$E$165,$E$171,$G$158)</f>
        <v>3.2041066661276131E-3</v>
      </c>
      <c r="AD184" s="52" cm="1">
        <f t="array" ref="AD184">MMS_PastureBeef_Methane_Equations.VEERG_4_2_1_1__2_MethaneProductionFromManure(AC138,$G$155,$E$165,$E$171,$G$158)</f>
        <v>3.2041066661276131E-3</v>
      </c>
      <c r="AE184" s="52" cm="1">
        <f t="array" ref="AE184">MMS_PastureBeef_Methane_Equations.VEERG_4_2_1_1__2_MethaneProductionFromManure(AD138,$G$155,$E$165,$E$171,$G$158)</f>
        <v>3.2041066661276131E-3</v>
      </c>
      <c r="AF184" s="2" t="str">
        <f t="shared" si="9"/>
        <v>kg CH4/head/day</v>
      </c>
    </row>
    <row r="185" spans="4:32" ht="20.100000000000001" customHeight="1" x14ac:dyDescent="0.25">
      <c r="T185" s="52" t="str">
        <f>'Input - Pasture Beef'!$D$185</f>
        <v>Pasture range and paddock</v>
      </c>
      <c r="U185" s="52" t="str">
        <f t="shared" si="8"/>
        <v>September 2024</v>
      </c>
      <c r="V185" s="52" cm="1">
        <f t="array" ref="V185">MMS_PastureBeef_Methane_Equations.VEERG_4_2_1_1__2_MethaneProductionFromManure(U139,$G$155,$E$165,$E$171,$G$158)</f>
        <v>4.0441204522655228E-3</v>
      </c>
      <c r="W185" s="52" cm="1">
        <f t="array" ref="W185">MMS_PastureBeef_Methane_Equations.VEERG_4_2_1_1__2_MethaneProductionFromManure(V139,$G$155,$E$165,$E$171,$G$158)</f>
        <v>5.711782527217847E-3</v>
      </c>
      <c r="X185" s="52" cm="1">
        <f t="array" ref="X185">MMS_PastureBeef_Methane_Equations.VEERG_4_2_1_1__2_MethaneProductionFromManure(W139,$G$155,$E$165,$E$171,$G$158)</f>
        <v>3.0824275076362846E-3</v>
      </c>
      <c r="Y185" s="52" cm="1">
        <f t="array" ref="Y185">MMS_PastureBeef_Methane_Equations.VEERG_4_2_1_1__2_MethaneProductionFromManure(X139,$G$155,$E$165,$E$171,$G$158)</f>
        <v>4.3485220815238212E-3</v>
      </c>
      <c r="Z185" s="52" cm="1">
        <f t="array" ref="Z185">MMS_PastureBeef_Methane_Equations.VEERG_4_2_1_1__2_MethaneProductionFromManure(Y139,$G$155,$E$165,$E$171,$G$158)</f>
        <v>4.8288492075298402E-3</v>
      </c>
      <c r="AA185" s="52" cm="1">
        <f t="array" ref="AA185">MMS_PastureBeef_Methane_Equations.VEERG_4_2_1_1__2_MethaneProductionFromManure(Z139,$G$155,$E$165,$E$171,$G$158)</f>
        <v>4.8288492075298402E-3</v>
      </c>
      <c r="AB185" s="52" cm="1">
        <f t="array" ref="AB185">MMS_PastureBeef_Methane_Equations.VEERG_4_2_1_1__2_MethaneProductionFromManure(AA139,$G$155,$E$165,$E$171,$G$158)</f>
        <v>3.5536302549179421E-3</v>
      </c>
      <c r="AC185" s="52" cm="1">
        <f t="array" ref="AC185">MMS_PastureBeef_Methane_Equations.VEERG_4_2_1_1__2_MethaneProductionFromManure(AB139,$G$155,$E$165,$E$171,$G$158)</f>
        <v>4.5158961081833695E-3</v>
      </c>
      <c r="AD185" s="52" cm="1">
        <f t="array" ref="AD185">MMS_PastureBeef_Methane_Equations.VEERG_4_2_1_1__2_MethaneProductionFromManure(AC139,$G$155,$E$165,$E$171,$G$158)</f>
        <v>4.5158961081833695E-3</v>
      </c>
      <c r="AE185" s="52" cm="1">
        <f t="array" ref="AE185">MMS_PastureBeef_Methane_Equations.VEERG_4_2_1_1__2_MethaneProductionFromManure(AD139,$G$155,$E$165,$E$171,$G$158)</f>
        <v>4.5158961081833695E-3</v>
      </c>
      <c r="AF185" s="2" t="str">
        <f t="shared" si="9"/>
        <v>kg CH4/head/day</v>
      </c>
    </row>
    <row r="186" spans="4:32" ht="20.100000000000001" customHeight="1" x14ac:dyDescent="0.25">
      <c r="T186" s="52" t="str">
        <f>'Input - Pasture Beef'!$D$185</f>
        <v>Pasture range and paddock</v>
      </c>
      <c r="U186" s="52" t="str">
        <f t="shared" si="8"/>
        <v>October 2024</v>
      </c>
      <c r="V186" s="52" cm="1">
        <f t="array" ref="V186">MMS_PastureBeef_Methane_Equations.VEERG_4_2_1_1__2_MethaneProductionFromManure(U140,$G$155,$E$165,$E$171,$G$158)</f>
        <v>4.0441204522655228E-3</v>
      </c>
      <c r="W186" s="52" cm="1">
        <f t="array" ref="W186">MMS_PastureBeef_Methane_Equations.VEERG_4_2_1_1__2_MethaneProductionFromManure(V140,$G$155,$E$165,$E$171,$G$158)</f>
        <v>5.711782527217847E-3</v>
      </c>
      <c r="X186" s="52" cm="1">
        <f t="array" ref="X186">MMS_PastureBeef_Methane_Equations.VEERG_4_2_1_1__2_MethaneProductionFromManure(W140,$G$155,$E$165,$E$171,$G$158)</f>
        <v>3.0824275076362846E-3</v>
      </c>
      <c r="Y186" s="52" cm="1">
        <f t="array" ref="Y186">MMS_PastureBeef_Methane_Equations.VEERG_4_2_1_1__2_MethaneProductionFromManure(X140,$G$155,$E$165,$E$171,$G$158)</f>
        <v>5.056421025027698E-3</v>
      </c>
      <c r="Z186" s="52" cm="1">
        <f t="array" ref="Z186">MMS_PastureBeef_Methane_Equations.VEERG_4_2_1_1__2_MethaneProductionFromManure(Y140,$G$155,$E$165,$E$171,$G$158)</f>
        <v>5.6149409389881872E-3</v>
      </c>
      <c r="AA186" s="52" cm="1">
        <f t="array" ref="AA186">MMS_PastureBeef_Methane_Equations.VEERG_4_2_1_1__2_MethaneProductionFromManure(Z140,$G$155,$E$165,$E$171,$G$158)</f>
        <v>5.6149409389881872E-3</v>
      </c>
      <c r="AB186" s="52" cm="1">
        <f t="array" ref="AB186">MMS_PastureBeef_Methane_Equations.VEERG_4_2_1_1__2_MethaneProductionFromManure(AA140,$G$155,$E$165,$E$171,$G$158)</f>
        <v>3.5536302549179421E-3</v>
      </c>
      <c r="AC186" s="52" cm="1">
        <f t="array" ref="AC186">MMS_PastureBeef_Methane_Equations.VEERG_4_2_1_1__2_MethaneProductionFromManure(AB140,$G$155,$E$165,$E$171,$G$158)</f>
        <v>4.5158961081833695E-3</v>
      </c>
      <c r="AD186" s="52" cm="1">
        <f t="array" ref="AD186">MMS_PastureBeef_Methane_Equations.VEERG_4_2_1_1__2_MethaneProductionFromManure(AC140,$G$155,$E$165,$E$171,$G$158)</f>
        <v>4.5158961081833695E-3</v>
      </c>
      <c r="AE186" s="52" cm="1">
        <f t="array" ref="AE186">MMS_PastureBeef_Methane_Equations.VEERG_4_2_1_1__2_MethaneProductionFromManure(AD140,$G$155,$E$165,$E$171,$G$158)</f>
        <v>4.5158961081833695E-3</v>
      </c>
      <c r="AF186" s="2" t="str">
        <f t="shared" si="9"/>
        <v>kg CH4/head/day</v>
      </c>
    </row>
    <row r="187" spans="4:32" ht="20.100000000000001" customHeight="1" x14ac:dyDescent="0.25">
      <c r="T187" s="52" t="str">
        <f>'Input - Pasture Beef'!$D$185</f>
        <v>Pasture range and paddock</v>
      </c>
      <c r="U187" s="52" t="str">
        <f t="shared" si="8"/>
        <v>November 2024</v>
      </c>
      <c r="V187" s="52" cm="1">
        <f t="array" ref="V187">MMS_PastureBeef_Methane_Equations.VEERG_4_2_1_1__2_MethaneProductionFromManure(U141,$G$155,$E$165,$E$171,$G$158)</f>
        <v>4.0441204522655228E-3</v>
      </c>
      <c r="W187" s="52" cm="1">
        <f t="array" ref="W187">MMS_PastureBeef_Methane_Equations.VEERG_4_2_1_1__2_MethaneProductionFromManure(V141,$G$155,$E$165,$E$171,$G$158)</f>
        <v>5.711782527217847E-3</v>
      </c>
      <c r="X187" s="52" cm="1">
        <f t="array" ref="X187">MMS_PastureBeef_Methane_Equations.VEERG_4_2_1_1__2_MethaneProductionFromManure(W141,$G$155,$E$165,$E$171,$G$158)</f>
        <v>3.0824275076362846E-3</v>
      </c>
      <c r="Y187" s="52" cm="1">
        <f t="array" ref="Y187">MMS_PastureBeef_Methane_Equations.VEERG_4_2_1_1__2_MethaneProductionFromManure(X141,$G$155,$E$165,$E$171,$G$158)</f>
        <v>5.056421025027698E-3</v>
      </c>
      <c r="Z187" s="52" cm="1">
        <f t="array" ref="Z187">MMS_PastureBeef_Methane_Equations.VEERG_4_2_1_1__2_MethaneProductionFromManure(Y141,$G$155,$E$165,$E$171,$G$158)</f>
        <v>5.6149409389881872E-3</v>
      </c>
      <c r="AA187" s="52" cm="1">
        <f t="array" ref="AA187">MMS_PastureBeef_Methane_Equations.VEERG_4_2_1_1__2_MethaneProductionFromManure(Z141,$G$155,$E$165,$E$171,$G$158)</f>
        <v>5.6149409389881872E-3</v>
      </c>
      <c r="AB187" s="52" cm="1">
        <f t="array" ref="AB187">MMS_PastureBeef_Methane_Equations.VEERG_4_2_1_1__2_MethaneProductionFromManure(AA141,$G$155,$E$165,$E$171,$G$158)</f>
        <v>3.5536302549179421E-3</v>
      </c>
      <c r="AC187" s="52" cm="1">
        <f t="array" ref="AC187">MMS_PastureBeef_Methane_Equations.VEERG_4_2_1_1__2_MethaneProductionFromManure(AB141,$G$155,$E$165,$E$171,$G$158)</f>
        <v>4.5158961081833695E-3</v>
      </c>
      <c r="AD187" s="52" cm="1">
        <f t="array" ref="AD187">MMS_PastureBeef_Methane_Equations.VEERG_4_2_1_1__2_MethaneProductionFromManure(AC141,$G$155,$E$165,$E$171,$G$158)</f>
        <v>4.5158961081833695E-3</v>
      </c>
      <c r="AE187" s="52" cm="1">
        <f t="array" ref="AE187">MMS_PastureBeef_Methane_Equations.VEERG_4_2_1_1__2_MethaneProductionFromManure(AD141,$G$155,$E$165,$E$171,$G$158)</f>
        <v>4.5158961081833695E-3</v>
      </c>
      <c r="AF187" s="2" t="str">
        <f t="shared" si="9"/>
        <v>kg CH4/head/day</v>
      </c>
    </row>
    <row r="188" spans="4:32" ht="20.100000000000001" customHeight="1" x14ac:dyDescent="0.25">
      <c r="T188" s="52" t="str">
        <f>'Input - Pasture Beef'!$D$185</f>
        <v>Pasture range and paddock</v>
      </c>
      <c r="U188" s="52" t="str">
        <f t="shared" si="8"/>
        <v>December 2024</v>
      </c>
      <c r="V188" s="52" cm="1">
        <f t="array" ref="V188">MMS_PastureBeef_Methane_Equations.VEERG_4_2_1_1__2_MethaneProductionFromManure(U142,$G$155,$E$165,$E$171,$G$158)</f>
        <v>3.7698049331624994E-3</v>
      </c>
      <c r="W188" s="52" cm="1">
        <f t="array" ref="W188">MMS_PastureBeef_Methane_Equations.VEERG_4_2_1_1__2_MethaneProductionFromManure(V142,$G$155,$E$165,$E$171,$G$158)</f>
        <v>4.9878246275839805E-3</v>
      </c>
      <c r="X188" s="52" cm="1">
        <f t="array" ref="X188">MMS_PastureBeef_Methane_Equations.VEERG_4_2_1_1__2_MethaneProductionFromManure(W142,$G$155,$E$165,$E$171,$G$158)</f>
        <v>3.1703208176285837E-3</v>
      </c>
      <c r="Y188" s="52" cm="1">
        <f t="array" ref="Y188">MMS_PastureBeef_Methane_Equations.VEERG_4_2_1_1__2_MethaneProductionFromManure(X142,$G$155,$E$165,$E$171,$G$158)</f>
        <v>5.1894229236777913E-3</v>
      </c>
      <c r="Z188" s="52" cm="1">
        <f t="array" ref="Z188">MMS_PastureBeef_Methane_Equations.VEERG_4_2_1_1__2_MethaneProductionFromManure(Y142,$G$155,$E$165,$E$171,$G$158)</f>
        <v>5.1381636640958558E-3</v>
      </c>
      <c r="AA188" s="52" cm="1">
        <f t="array" ref="AA188">MMS_PastureBeef_Methane_Equations.VEERG_4_2_1_1__2_MethaneProductionFromManure(Z142,$G$155,$E$165,$E$171,$G$158)</f>
        <v>5.1381636640958558E-3</v>
      </c>
      <c r="AB188" s="52" cm="1">
        <f t="array" ref="AB188">MMS_PastureBeef_Methane_Equations.VEERG_4_2_1_1__2_MethaneProductionFromManure(AA142,$G$155,$E$165,$E$171,$G$158)</f>
        <v>3.4748327308918255E-3</v>
      </c>
      <c r="AC188" s="52" cm="1">
        <f t="array" ref="AC188">MMS_PastureBeef_Methane_Equations.VEERG_4_2_1_1__2_MethaneProductionFromManure(AB142,$G$155,$E$165,$E$171,$G$158)</f>
        <v>3.8733047579931406E-3</v>
      </c>
      <c r="AD188" s="52" cm="1">
        <f t="array" ref="AD188">MMS_PastureBeef_Methane_Equations.VEERG_4_2_1_1__2_MethaneProductionFromManure(AC142,$G$155,$E$165,$E$171,$G$158)</f>
        <v>3.8733047579931406E-3</v>
      </c>
      <c r="AE188" s="52" cm="1">
        <f t="array" ref="AE188">MMS_PastureBeef_Methane_Equations.VEERG_4_2_1_1__2_MethaneProductionFromManure(AD142,$G$155,$E$165,$E$171,$G$158)</f>
        <v>3.8733047579931406E-3</v>
      </c>
      <c r="AF188" s="2" t="str">
        <f t="shared" si="9"/>
        <v>kg CH4/head/day</v>
      </c>
    </row>
    <row r="189" spans="4:32" ht="20.100000000000001" customHeight="1" x14ac:dyDescent="0.25">
      <c r="T189" s="52" t="str">
        <f>'Input - Pasture Beef'!$D$186</f>
        <v>Anaerobic lagoon</v>
      </c>
      <c r="U189" s="52" t="str">
        <f>T131</f>
        <v>January 2024</v>
      </c>
      <c r="V189" s="52" cm="1">
        <f t="array" ref="V189">MMS_PastureBeef_Methane_Equations.VEERG_4_2_1_1__2_MethaneProductionFromManure(U131,$G$155,$E$166,$E$172,$G$158)</f>
        <v>2.3129761588141953E-3</v>
      </c>
      <c r="W189" s="52" cm="1">
        <f t="array" ref="W189">MMS_PastureBeef_Methane_Equations.VEERG_4_2_1_1__2_MethaneProductionFromManure(V131,$G$155,$E$166,$E$172,$G$158)</f>
        <v>3.0602961300360589E-3</v>
      </c>
      <c r="X189" s="52" cm="1">
        <f t="array" ref="X189">MMS_PastureBeef_Methane_Equations.VEERG_4_2_1_1__2_MethaneProductionFromManure(W131,$G$155,$E$166,$E$172,$G$158)</f>
        <v>1.9451607170601457E-3</v>
      </c>
      <c r="Y189" s="52" cm="1">
        <f t="array" ref="Y189">MMS_PastureBeef_Methane_Equations.VEERG_4_2_1_1__2_MethaneProductionFromManure(X131,$G$155,$E$166,$E$172,$G$158)</f>
        <v>2.7382291851756543E-3</v>
      </c>
      <c r="Z189" s="52" cm="1">
        <f t="array" ref="Z189">MMS_PastureBeef_Methane_Equations.VEERG_4_2_1_1__2_MethaneProductionFromManure(Y131,$G$155,$E$166,$E$172,$G$158)</f>
        <v>2.7111819387549904E-3</v>
      </c>
      <c r="AA189" s="52" cm="1">
        <f t="array" ref="AA189">MMS_PastureBeef_Methane_Equations.VEERG_4_2_1_1__2_MethaneProductionFromManure(Z131,$G$155,$E$166,$E$172,$G$158)</f>
        <v>2.7111819387549904E-3</v>
      </c>
      <c r="AB189" s="52" cm="1">
        <f t="array" ref="AB189">MMS_PastureBeef_Methane_Equations.VEERG_4_2_1_1__2_MethaneProductionFromManure(AA131,$G$155,$E$166,$E$172,$G$158)</f>
        <v>2.1319949983930825E-3</v>
      </c>
      <c r="AC189" s="52" cm="1">
        <f t="array" ref="AC189">MMS_PastureBeef_Methane_Equations.VEERG_4_2_1_1__2_MethaneProductionFromManure(AB131,$G$155,$E$166,$E$172,$G$158)</f>
        <v>2.3764788151900769E-3</v>
      </c>
      <c r="AD189" s="52" cm="1">
        <f t="array" ref="AD189">MMS_PastureBeef_Methane_Equations.VEERG_4_2_1_1__2_MethaneProductionFromManure(AC131,$G$155,$E$166,$E$172,$G$158)</f>
        <v>2.3764788151900769E-3</v>
      </c>
      <c r="AE189" s="52" cm="1">
        <f t="array" ref="AE189">MMS_PastureBeef_Methane_Equations.VEERG_4_2_1_1__2_MethaneProductionFromManure(AD131,$G$155,$E$166,$E$172,$G$158)</f>
        <v>2.3764788151900769E-3</v>
      </c>
      <c r="AF189" s="2" t="str">
        <f t="shared" si="9"/>
        <v>kg CH4/head/day</v>
      </c>
    </row>
    <row r="190" spans="4:32" ht="20.100000000000001" customHeight="1" x14ac:dyDescent="0.25">
      <c r="T190" s="52" t="str">
        <f>'Input - Pasture Beef'!$D$186</f>
        <v>Anaerobic lagoon</v>
      </c>
      <c r="U190" s="52" t="str">
        <f t="shared" ref="U190:U200" si="10">T132</f>
        <v>February 2024</v>
      </c>
      <c r="V190" s="52" cm="1">
        <f t="array" ref="V190">MMS_PastureBeef_Methane_Equations.VEERG_4_2_1_1__2_MethaneProductionFromManure(U132,$G$155,$E$166,$E$172,$G$158)</f>
        <v>2.3129761588141953E-3</v>
      </c>
      <c r="W190" s="52" cm="1">
        <f t="array" ref="W190">MMS_PastureBeef_Methane_Equations.VEERG_4_2_1_1__2_MethaneProductionFromManure(V132,$G$155,$E$166,$E$172,$G$158)</f>
        <v>3.0602961300360589E-3</v>
      </c>
      <c r="X190" s="52" cm="1">
        <f t="array" ref="X190">MMS_PastureBeef_Methane_Equations.VEERG_4_2_1_1__2_MethaneProductionFromManure(W132,$G$155,$E$166,$E$172,$G$158)</f>
        <v>1.9451607170601457E-3</v>
      </c>
      <c r="Y190" s="52" cm="1">
        <f t="array" ref="Y190">MMS_PastureBeef_Methane_Equations.VEERG_4_2_1_1__2_MethaneProductionFromManure(X132,$G$155,$E$166,$E$172,$G$158)</f>
        <v>2.7382291851756543E-3</v>
      </c>
      <c r="Z190" s="52" cm="1">
        <f t="array" ref="Z190">MMS_PastureBeef_Methane_Equations.VEERG_4_2_1_1__2_MethaneProductionFromManure(Y132,$G$155,$E$166,$E$172,$G$158)</f>
        <v>2.7111819387549904E-3</v>
      </c>
      <c r="AA190" s="52" cm="1">
        <f t="array" ref="AA190">MMS_PastureBeef_Methane_Equations.VEERG_4_2_1_1__2_MethaneProductionFromManure(Z132,$G$155,$E$166,$E$172,$G$158)</f>
        <v>2.7111819387549904E-3</v>
      </c>
      <c r="AB190" s="52" cm="1">
        <f t="array" ref="AB190">MMS_PastureBeef_Methane_Equations.VEERG_4_2_1_1__2_MethaneProductionFromManure(AA132,$G$155,$E$166,$E$172,$G$158)</f>
        <v>2.1319949983930825E-3</v>
      </c>
      <c r="AC190" s="52" cm="1">
        <f t="array" ref="AC190">MMS_PastureBeef_Methane_Equations.VEERG_4_2_1_1__2_MethaneProductionFromManure(AB132,$G$155,$E$166,$E$172,$G$158)</f>
        <v>2.3764788151900769E-3</v>
      </c>
      <c r="AD190" s="52" cm="1">
        <f t="array" ref="AD190">MMS_PastureBeef_Methane_Equations.VEERG_4_2_1_1__2_MethaneProductionFromManure(AC132,$G$155,$E$166,$E$172,$G$158)</f>
        <v>2.3764788151900769E-3</v>
      </c>
      <c r="AE190" s="52" cm="1">
        <f t="array" ref="AE190">MMS_PastureBeef_Methane_Equations.VEERG_4_2_1_1__2_MethaneProductionFromManure(AD132,$G$155,$E$166,$E$172,$G$158)</f>
        <v>2.3764788151900769E-3</v>
      </c>
      <c r="AF190" s="2" t="str">
        <f t="shared" si="9"/>
        <v>kg CH4/head/day</v>
      </c>
    </row>
    <row r="191" spans="4:32" ht="20.100000000000001" customHeight="1" x14ac:dyDescent="0.25">
      <c r="T191" s="52" t="str">
        <f>'Input - Pasture Beef'!$D$186</f>
        <v>Anaerobic lagoon</v>
      </c>
      <c r="U191" s="52" t="str">
        <f t="shared" si="10"/>
        <v>March 2024</v>
      </c>
      <c r="V191" s="52" cm="1">
        <f t="array" ref="V191">MMS_PastureBeef_Methane_Equations.VEERG_4_2_1_1__2_MethaneProductionFromManure(U133,$G$155,$E$166,$E$172,$G$158)</f>
        <v>1.0840974144617182E-3</v>
      </c>
      <c r="W191" s="52" cm="1">
        <f t="array" ref="W191">MMS_PastureBeef_Methane_Equations.VEERG_4_2_1_1__2_MethaneProductionFromManure(V133,$G$155,$E$166,$E$172,$G$158)</f>
        <v>3.1464741571425175E-3</v>
      </c>
      <c r="X191" s="52" cm="1">
        <f t="array" ref="X191">MMS_PastureBeef_Methane_Equations.VEERG_4_2_1_1__2_MethaneProductionFromManure(W133,$G$155,$E$166,$E$172,$G$158)</f>
        <v>9.8832181044853241E-4</v>
      </c>
      <c r="Y191" s="52" cm="1">
        <f t="array" ref="Y191">MMS_PastureBeef_Methane_Equations.VEERG_4_2_1_1__2_MethaneProductionFromManure(X133,$G$155,$E$166,$E$172,$G$158)</f>
        <v>2.1382227222894686E-3</v>
      </c>
      <c r="Z191" s="52" cm="1">
        <f t="array" ref="Z191">MMS_PastureBeef_Methane_Equations.VEERG_4_2_1_1__2_MethaneProductionFromManure(Y133,$G$155,$E$166,$E$172,$G$158)</f>
        <v>2.4110545375757276E-3</v>
      </c>
      <c r="AA191" s="52" cm="1">
        <f t="array" ref="AA191">MMS_PastureBeef_Methane_Equations.VEERG_4_2_1_1__2_MethaneProductionFromManure(Z133,$G$155,$E$166,$E$172,$G$158)</f>
        <v>2.4110545375757276E-3</v>
      </c>
      <c r="AB191" s="52" cm="1">
        <f t="array" ref="AB191">MMS_PastureBeef_Methane_Equations.VEERG_4_2_1_1__2_MethaneProductionFromManure(AA133,$G$155,$E$166,$E$172,$G$158)</f>
        <v>1.0840974144617182E-3</v>
      </c>
      <c r="AC191" s="52" cm="1">
        <f t="array" ref="AC191">MMS_PastureBeef_Methane_Equations.VEERG_4_2_1_1__2_MethaneProductionFromManure(AB133,$G$155,$E$166,$E$172,$G$158)</f>
        <v>1.9682053572835068E-3</v>
      </c>
      <c r="AD191" s="52" cm="1">
        <f t="array" ref="AD191">MMS_PastureBeef_Methane_Equations.VEERG_4_2_1_1__2_MethaneProductionFromManure(AC133,$G$155,$E$166,$E$172,$G$158)</f>
        <v>1.9682053572835068E-3</v>
      </c>
      <c r="AE191" s="52" cm="1">
        <f t="array" ref="AE191">MMS_PastureBeef_Methane_Equations.VEERG_4_2_1_1__2_MethaneProductionFromManure(AD133,$G$155,$E$166,$E$172,$G$158)</f>
        <v>1.9682053572835068E-3</v>
      </c>
      <c r="AF191" s="2" t="str">
        <f t="shared" si="9"/>
        <v>kg CH4/head/day</v>
      </c>
    </row>
    <row r="192" spans="4:32" ht="20.100000000000001" customHeight="1" x14ac:dyDescent="0.25">
      <c r="T192" s="52" t="str">
        <f>'Input - Pasture Beef'!$D$186</f>
        <v>Anaerobic lagoon</v>
      </c>
      <c r="U192" s="52" t="str">
        <f t="shared" si="10"/>
        <v>April 2024</v>
      </c>
      <c r="V192" s="52" cm="1">
        <f t="array" ref="V192">MMS_PastureBeef_Methane_Equations.VEERG_4_2_1_1__2_MethaneProductionFromManure(U134,$G$155,$E$166,$E$172,$G$158)</f>
        <v>1.0840974144617182E-3</v>
      </c>
      <c r="W192" s="52" cm="1">
        <f t="array" ref="W192">MMS_PastureBeef_Methane_Equations.VEERG_4_2_1_1__2_MethaneProductionFromManure(V134,$G$155,$E$166,$E$172,$G$158)</f>
        <v>3.1464741571425175E-3</v>
      </c>
      <c r="X192" s="52" cm="1">
        <f t="array" ref="X192">MMS_PastureBeef_Methane_Equations.VEERG_4_2_1_1__2_MethaneProductionFromManure(W134,$G$155,$E$166,$E$172,$G$158)</f>
        <v>9.8832181044853241E-4</v>
      </c>
      <c r="Y192" s="52" cm="1">
        <f t="array" ref="Y192">MMS_PastureBeef_Methane_Equations.VEERG_4_2_1_1__2_MethaneProductionFromManure(X134,$G$155,$E$166,$E$172,$G$158)</f>
        <v>1.9890443928274122E-3</v>
      </c>
      <c r="Z192" s="52" cm="1">
        <f t="array" ref="Z192">MMS_PastureBeef_Methane_Equations.VEERG_4_2_1_1__2_MethaneProductionFromManure(Y134,$G$155,$E$166,$E$172,$G$158)</f>
        <v>2.2428414303030022E-3</v>
      </c>
      <c r="AA192" s="52" cm="1">
        <f t="array" ref="AA192">MMS_PastureBeef_Methane_Equations.VEERG_4_2_1_1__2_MethaneProductionFromManure(Z134,$G$155,$E$166,$E$172,$G$158)</f>
        <v>2.2428414303030022E-3</v>
      </c>
      <c r="AB192" s="52" cm="1">
        <f t="array" ref="AB192">MMS_PastureBeef_Methane_Equations.VEERG_4_2_1_1__2_MethaneProductionFromManure(AA134,$G$155,$E$166,$E$172,$G$158)</f>
        <v>1.0840974144617182E-3</v>
      </c>
      <c r="AC192" s="52" cm="1">
        <f t="array" ref="AC192">MMS_PastureBeef_Methane_Equations.VEERG_4_2_1_1__2_MethaneProductionFromManure(AB134,$G$155,$E$166,$E$172,$G$158)</f>
        <v>1.9682053572835068E-3</v>
      </c>
      <c r="AD192" s="52" cm="1">
        <f t="array" ref="AD192">MMS_PastureBeef_Methane_Equations.VEERG_4_2_1_1__2_MethaneProductionFromManure(AC134,$G$155,$E$166,$E$172,$G$158)</f>
        <v>1.9682053572835068E-3</v>
      </c>
      <c r="AE192" s="52" cm="1">
        <f t="array" ref="AE192">MMS_PastureBeef_Methane_Equations.VEERG_4_2_1_1__2_MethaneProductionFromManure(AD134,$G$155,$E$166,$E$172,$G$158)</f>
        <v>1.9682053572835068E-3</v>
      </c>
      <c r="AF192" s="2" t="str">
        <f t="shared" si="9"/>
        <v>kg CH4/head/day</v>
      </c>
    </row>
    <row r="193" spans="3:33" ht="20.100000000000001" customHeight="1" x14ac:dyDescent="0.25">
      <c r="T193" s="52" t="str">
        <f>'Input - Pasture Beef'!$D$186</f>
        <v>Anaerobic lagoon</v>
      </c>
      <c r="U193" s="52" t="str">
        <f t="shared" si="10"/>
        <v>May 2024</v>
      </c>
      <c r="V193" s="52" cm="1">
        <f t="array" ref="V193">MMS_PastureBeef_Methane_Equations.VEERG_4_2_1_1__2_MethaneProductionFromManure(U135,$G$155,$E$166,$E$172,$G$158)</f>
        <v>1.0840974144617182E-3</v>
      </c>
      <c r="W193" s="52" cm="1">
        <f t="array" ref="W193">MMS_PastureBeef_Methane_Equations.VEERG_4_2_1_1__2_MethaneProductionFromManure(V135,$G$155,$E$166,$E$172,$G$158)</f>
        <v>3.1464741571425175E-3</v>
      </c>
      <c r="X193" s="52" cm="1">
        <f t="array" ref="X193">MMS_PastureBeef_Methane_Equations.VEERG_4_2_1_1__2_MethaneProductionFromManure(W135,$G$155,$E$166,$E$172,$G$158)</f>
        <v>9.8832181044853241E-4</v>
      </c>
      <c r="Y193" s="52" cm="1">
        <f t="array" ref="Y193">MMS_PastureBeef_Methane_Equations.VEERG_4_2_1_1__2_MethaneProductionFromManure(X135,$G$155,$E$166,$E$172,$G$158)</f>
        <v>1.9890443928274122E-3</v>
      </c>
      <c r="Z193" s="52" cm="1">
        <f t="array" ref="Z193">MMS_PastureBeef_Methane_Equations.VEERG_4_2_1_1__2_MethaneProductionFromManure(Y135,$G$155,$E$166,$E$172,$G$158)</f>
        <v>2.2428414303030022E-3</v>
      </c>
      <c r="AA193" s="52" cm="1">
        <f t="array" ref="AA193">MMS_PastureBeef_Methane_Equations.VEERG_4_2_1_1__2_MethaneProductionFromManure(Z135,$G$155,$E$166,$E$172,$G$158)</f>
        <v>2.2428414303030022E-3</v>
      </c>
      <c r="AB193" s="52" cm="1">
        <f t="array" ref="AB193">MMS_PastureBeef_Methane_Equations.VEERG_4_2_1_1__2_MethaneProductionFromManure(AA135,$G$155,$E$166,$E$172,$G$158)</f>
        <v>1.0840974144617182E-3</v>
      </c>
      <c r="AC193" s="52" cm="1">
        <f t="array" ref="AC193">MMS_PastureBeef_Methane_Equations.VEERG_4_2_1_1__2_MethaneProductionFromManure(AB135,$G$155,$E$166,$E$172,$G$158)</f>
        <v>1.9682053572835068E-3</v>
      </c>
      <c r="AD193" s="52" cm="1">
        <f t="array" ref="AD193">MMS_PastureBeef_Methane_Equations.VEERG_4_2_1_1__2_MethaneProductionFromManure(AC135,$G$155,$E$166,$E$172,$G$158)</f>
        <v>1.9682053572835068E-3</v>
      </c>
      <c r="AE193" s="52" cm="1">
        <f t="array" ref="AE193">MMS_PastureBeef_Methane_Equations.VEERG_4_2_1_1__2_MethaneProductionFromManure(AD135,$G$155,$E$166,$E$172,$G$158)</f>
        <v>1.9682053572835068E-3</v>
      </c>
      <c r="AF193" s="2" t="str">
        <f t="shared" si="9"/>
        <v>kg CH4/head/day</v>
      </c>
    </row>
    <row r="194" spans="3:33" ht="20.100000000000001" customHeight="1" x14ac:dyDescent="0.25">
      <c r="T194" s="52" t="str">
        <f>'Input - Pasture Beef'!$D$186</f>
        <v>Anaerobic lagoon</v>
      </c>
      <c r="U194" s="52" t="str">
        <f t="shared" si="10"/>
        <v>June 2024</v>
      </c>
      <c r="V194" s="52" cm="1">
        <f t="array" ref="V194">MMS_PastureBeef_Methane_Equations.VEERG_4_2_1_1__2_MethaneProductionFromManure(U136,$G$155,$E$166,$E$172,$G$158)</f>
        <v>1.4688403146586094E-3</v>
      </c>
      <c r="W194" s="52" cm="1">
        <f t="array" ref="W194">MMS_PastureBeef_Methane_Equations.VEERG_4_2_1_1__2_MethaneProductionFromManure(V136,$G$155,$E$166,$E$172,$G$158)</f>
        <v>2.854425459723719E-3</v>
      </c>
      <c r="X194" s="52" cm="1">
        <f t="array" ref="X194">MMS_PastureBeef_Methane_Equations.VEERG_4_2_1_1__2_MethaneProductionFromManure(W136,$G$155,$E$166,$E$172,$G$158)</f>
        <v>1.2026544225974751E-3</v>
      </c>
      <c r="Y194" s="52" cm="1">
        <f t="array" ref="Y194">MMS_PastureBeef_Methane_Equations.VEERG_4_2_1_1__2_MethaneProductionFromManure(X136,$G$155,$E$166,$E$172,$G$158)</f>
        <v>1.6963146965792107E-3</v>
      </c>
      <c r="Z194" s="52" cm="1">
        <f t="array" ref="Z194">MMS_PastureBeef_Methane_Equations.VEERG_4_2_1_1__2_MethaneProductionFromManure(Y136,$G$155,$E$166,$E$172,$G$158)</f>
        <v>2.2756584616302694E-3</v>
      </c>
      <c r="AA194" s="52" cm="1">
        <f t="array" ref="AA194">MMS_PastureBeef_Methane_Equations.VEERG_4_2_1_1__2_MethaneProductionFromManure(Z136,$G$155,$E$166,$E$172,$G$158)</f>
        <v>2.2756584616302694E-3</v>
      </c>
      <c r="AB194" s="52" cm="1">
        <f t="array" ref="AB194">MMS_PastureBeef_Methane_Equations.VEERG_4_2_1_1__2_MethaneProductionFromManure(AA136,$G$155,$E$166,$E$172,$G$158)</f>
        <v>1.291239621188348E-3</v>
      </c>
      <c r="AC194" s="52" cm="1">
        <f t="array" ref="AC194">MMS_PastureBeef_Methane_Equations.VEERG_4_2_1_1__2_MethaneProductionFromManure(AB136,$G$155,$E$166,$E$172,$G$158)</f>
        <v>1.9658901350191817E-3</v>
      </c>
      <c r="AD194" s="52" cm="1">
        <f t="array" ref="AD194">MMS_PastureBeef_Methane_Equations.VEERG_4_2_1_1__2_MethaneProductionFromManure(AC136,$G$155,$E$166,$E$172,$G$158)</f>
        <v>1.9658901350191817E-3</v>
      </c>
      <c r="AE194" s="52" cm="1">
        <f t="array" ref="AE194">MMS_PastureBeef_Methane_Equations.VEERG_4_2_1_1__2_MethaneProductionFromManure(AD136,$G$155,$E$166,$E$172,$G$158)</f>
        <v>1.9658901350191817E-3</v>
      </c>
      <c r="AF194" s="2" t="str">
        <f t="shared" si="9"/>
        <v>kg CH4/head/day</v>
      </c>
    </row>
    <row r="195" spans="3:33" ht="20.100000000000001" customHeight="1" x14ac:dyDescent="0.25">
      <c r="T195" s="52" t="str">
        <f>'Input - Pasture Beef'!$D$186</f>
        <v>Anaerobic lagoon</v>
      </c>
      <c r="U195" s="52" t="str">
        <f t="shared" si="10"/>
        <v>July 2024</v>
      </c>
      <c r="V195" s="52" cm="1">
        <f t="array" ref="V195">MMS_PastureBeef_Methane_Equations.VEERG_4_2_1_1__2_MethaneProductionFromManure(U137,$G$155,$E$166,$E$172,$G$158)</f>
        <v>1.4688403146586094E-3</v>
      </c>
      <c r="W195" s="52" cm="1">
        <f t="array" ref="W195">MMS_PastureBeef_Methane_Equations.VEERG_4_2_1_1__2_MethaneProductionFromManure(V137,$G$155,$E$166,$E$172,$G$158)</f>
        <v>2.854425459723719E-3</v>
      </c>
      <c r="X195" s="52" cm="1">
        <f t="array" ref="X195">MMS_PastureBeef_Methane_Equations.VEERG_4_2_1_1__2_MethaneProductionFromManure(W137,$G$155,$E$166,$E$172,$G$158)</f>
        <v>1.2026544225974751E-3</v>
      </c>
      <c r="Y195" s="52" cm="1">
        <f t="array" ref="Y195">MMS_PastureBeef_Methane_Equations.VEERG_4_2_1_1__2_MethaneProductionFromManure(X137,$G$155,$E$166,$E$172,$G$158)</f>
        <v>1.8235382988226511E-3</v>
      </c>
      <c r="Z195" s="52" cm="1">
        <f t="array" ref="Z195">MMS_PastureBeef_Methane_Equations.VEERG_4_2_1_1__2_MethaneProductionFromManure(Y137,$G$155,$E$166,$E$172,$G$158)</f>
        <v>2.4463328462525397E-3</v>
      </c>
      <c r="AA195" s="52" cm="1">
        <f t="array" ref="AA195">MMS_PastureBeef_Methane_Equations.VEERG_4_2_1_1__2_MethaneProductionFromManure(Z137,$G$155,$E$166,$E$172,$G$158)</f>
        <v>2.4463328462525397E-3</v>
      </c>
      <c r="AB195" s="52" cm="1">
        <f t="array" ref="AB195">MMS_PastureBeef_Methane_Equations.VEERG_4_2_1_1__2_MethaneProductionFromManure(AA137,$G$155,$E$166,$E$172,$G$158)</f>
        <v>1.291239621188348E-3</v>
      </c>
      <c r="AC195" s="52" cm="1">
        <f t="array" ref="AC195">MMS_PastureBeef_Methane_Equations.VEERG_4_2_1_1__2_MethaneProductionFromManure(AB137,$G$155,$E$166,$E$172,$G$158)</f>
        <v>1.9658901350191817E-3</v>
      </c>
      <c r="AD195" s="52" cm="1">
        <f t="array" ref="AD195">MMS_PastureBeef_Methane_Equations.VEERG_4_2_1_1__2_MethaneProductionFromManure(AC137,$G$155,$E$166,$E$172,$G$158)</f>
        <v>1.9658901350191817E-3</v>
      </c>
      <c r="AE195" s="52" cm="1">
        <f t="array" ref="AE195">MMS_PastureBeef_Methane_Equations.VEERG_4_2_1_1__2_MethaneProductionFromManure(AD137,$G$155,$E$166,$E$172,$G$158)</f>
        <v>1.9658901350191817E-3</v>
      </c>
      <c r="AF195" s="2" t="str">
        <f t="shared" si="9"/>
        <v>kg CH4/head/day</v>
      </c>
    </row>
    <row r="196" spans="3:33" ht="20.100000000000001" customHeight="1" x14ac:dyDescent="0.25">
      <c r="T196" s="52" t="str">
        <f>'Input - Pasture Beef'!$D$186</f>
        <v>Anaerobic lagoon</v>
      </c>
      <c r="U196" s="52" t="str">
        <f t="shared" si="10"/>
        <v>August 2024</v>
      </c>
      <c r="V196" s="52" cm="1">
        <f t="array" ref="V196">MMS_PastureBeef_Methane_Equations.VEERG_4_2_1_1__2_MethaneProductionFromManure(U138,$G$155,$E$166,$E$172,$G$158)</f>
        <v>1.4688403146586094E-3</v>
      </c>
      <c r="W196" s="52" cm="1">
        <f t="array" ref="W196">MMS_PastureBeef_Methane_Equations.VEERG_4_2_1_1__2_MethaneProductionFromManure(V138,$G$155,$E$166,$E$172,$G$158)</f>
        <v>2.854425459723719E-3</v>
      </c>
      <c r="X196" s="52" cm="1">
        <f t="array" ref="X196">MMS_PastureBeef_Methane_Equations.VEERG_4_2_1_1__2_MethaneProductionFromManure(W138,$G$155,$E$166,$E$172,$G$158)</f>
        <v>1.2026544225974751E-3</v>
      </c>
      <c r="Y196" s="52" cm="1">
        <f t="array" ref="Y196">MMS_PastureBeef_Methane_Equations.VEERG_4_2_1_1__2_MethaneProductionFromManure(X138,$G$155,$E$166,$E$172,$G$158)</f>
        <v>1.8235382988226511E-3</v>
      </c>
      <c r="Z196" s="52" cm="1">
        <f t="array" ref="Z196">MMS_PastureBeef_Methane_Equations.VEERG_4_2_1_1__2_MethaneProductionFromManure(Y138,$G$155,$E$166,$E$172,$G$158)</f>
        <v>2.4463328462525397E-3</v>
      </c>
      <c r="AA196" s="52" cm="1">
        <f t="array" ref="AA196">MMS_PastureBeef_Methane_Equations.VEERG_4_2_1_1__2_MethaneProductionFromManure(Z138,$G$155,$E$166,$E$172,$G$158)</f>
        <v>2.4463328462525397E-3</v>
      </c>
      <c r="AB196" s="52" cm="1">
        <f t="array" ref="AB196">MMS_PastureBeef_Methane_Equations.VEERG_4_2_1_1__2_MethaneProductionFromManure(AA138,$G$155,$E$166,$E$172,$G$158)</f>
        <v>1.291239621188348E-3</v>
      </c>
      <c r="AC196" s="52" cm="1">
        <f t="array" ref="AC196">MMS_PastureBeef_Methane_Equations.VEERG_4_2_1_1__2_MethaneProductionFromManure(AB138,$G$155,$E$166,$E$172,$G$158)</f>
        <v>1.9658901350191817E-3</v>
      </c>
      <c r="AD196" s="52" cm="1">
        <f t="array" ref="AD196">MMS_PastureBeef_Methane_Equations.VEERG_4_2_1_1__2_MethaneProductionFromManure(AC138,$G$155,$E$166,$E$172,$G$158)</f>
        <v>1.9658901350191817E-3</v>
      </c>
      <c r="AE196" s="52" cm="1">
        <f t="array" ref="AE196">MMS_PastureBeef_Methane_Equations.VEERG_4_2_1_1__2_MethaneProductionFromManure(AD138,$G$155,$E$166,$E$172,$G$158)</f>
        <v>1.9658901350191817E-3</v>
      </c>
      <c r="AF196" s="2" t="str">
        <f t="shared" si="9"/>
        <v>kg CH4/head/day</v>
      </c>
    </row>
    <row r="197" spans="3:33" ht="20.100000000000001" customHeight="1" x14ac:dyDescent="0.25">
      <c r="T197" s="52" t="str">
        <f>'Input - Pasture Beef'!$D$186</f>
        <v>Anaerobic lagoon</v>
      </c>
      <c r="U197" s="52" t="str">
        <f t="shared" si="10"/>
        <v>September 2024</v>
      </c>
      <c r="V197" s="52" cm="1">
        <f t="array" ref="V197">MMS_PastureBeef_Methane_Equations.VEERG_4_2_1_1__2_MethaneProductionFromManure(U139,$G$155,$E$166,$E$172,$G$158)</f>
        <v>2.4812833436492908E-3</v>
      </c>
      <c r="W197" s="52" cm="1">
        <f t="array" ref="W197">MMS_PastureBeef_Methane_Equations.VEERG_4_2_1_1__2_MethaneProductionFromManure(V139,$G$155,$E$166,$E$172,$G$158)</f>
        <v>3.5044828695429209E-3</v>
      </c>
      <c r="X197" s="52" cm="1">
        <f t="array" ref="X197">MMS_PastureBeef_Methane_Equations.VEERG_4_2_1_1__2_MethaneProductionFromManure(W139,$G$155,$E$166,$E$172,$G$158)</f>
        <v>1.8912334889579457E-3</v>
      </c>
      <c r="Y197" s="52" cm="1">
        <f t="array" ref="Y197">MMS_PastureBeef_Methane_Equations.VEERG_4_2_1_1__2_MethaneProductionFromManure(X139,$G$155,$E$166,$E$172,$G$158)</f>
        <v>2.6680499598699327E-3</v>
      </c>
      <c r="Z197" s="52" cm="1">
        <f t="array" ref="Z197">MMS_PastureBeef_Methane_Equations.VEERG_4_2_1_1__2_MethaneProductionFromManure(Y139,$G$155,$E$166,$E$172,$G$158)</f>
        <v>2.9627562405876609E-3</v>
      </c>
      <c r="AA197" s="52" cm="1">
        <f t="array" ref="AA197">MMS_PastureBeef_Methane_Equations.VEERG_4_2_1_1__2_MethaneProductionFromManure(Z139,$G$155,$E$166,$E$172,$G$158)</f>
        <v>2.9627562405876609E-3</v>
      </c>
      <c r="AB197" s="52" cm="1">
        <f t="array" ref="AB197">MMS_PastureBeef_Methane_Equations.VEERG_4_2_1_1__2_MethaneProductionFromManure(AA139,$G$155,$E$166,$E$172,$G$158)</f>
        <v>2.1803414772367767E-3</v>
      </c>
      <c r="AC197" s="52" cm="1">
        <f t="array" ref="AC197">MMS_PastureBeef_Methane_Equations.VEERG_4_2_1_1__2_MethaneProductionFromManure(AB139,$G$155,$E$166,$E$172,$G$158)</f>
        <v>2.7707428418975179E-3</v>
      </c>
      <c r="AD197" s="52" cm="1">
        <f t="array" ref="AD197">MMS_PastureBeef_Methane_Equations.VEERG_4_2_1_1__2_MethaneProductionFromManure(AC139,$G$155,$E$166,$E$172,$G$158)</f>
        <v>2.7707428418975179E-3</v>
      </c>
      <c r="AE197" s="52" cm="1">
        <f t="array" ref="AE197">MMS_PastureBeef_Methane_Equations.VEERG_4_2_1_1__2_MethaneProductionFromManure(AD139,$G$155,$E$166,$E$172,$G$158)</f>
        <v>2.7707428418975179E-3</v>
      </c>
      <c r="AF197" s="2" t="str">
        <f t="shared" si="9"/>
        <v>kg CH4/head/day</v>
      </c>
    </row>
    <row r="198" spans="3:33" ht="20.100000000000001" customHeight="1" x14ac:dyDescent="0.25">
      <c r="T198" s="52" t="str">
        <f>'Input - Pasture Beef'!$D$186</f>
        <v>Anaerobic lagoon</v>
      </c>
      <c r="U198" s="52" t="str">
        <f t="shared" si="10"/>
        <v>October 2024</v>
      </c>
      <c r="V198" s="52" cm="1">
        <f t="array" ref="V198">MMS_PastureBeef_Methane_Equations.VEERG_4_2_1_1__2_MethaneProductionFromManure(U140,$G$155,$E$166,$E$172,$G$158)</f>
        <v>2.4812833436492908E-3</v>
      </c>
      <c r="W198" s="52" cm="1">
        <f t="array" ref="W198">MMS_PastureBeef_Methane_Equations.VEERG_4_2_1_1__2_MethaneProductionFromManure(V140,$G$155,$E$166,$E$172,$G$158)</f>
        <v>3.5044828695429209E-3</v>
      </c>
      <c r="X198" s="52" cm="1">
        <f t="array" ref="X198">MMS_PastureBeef_Methane_Equations.VEERG_4_2_1_1__2_MethaneProductionFromManure(W140,$G$155,$E$166,$E$172,$G$158)</f>
        <v>1.8912334889579457E-3</v>
      </c>
      <c r="Y198" s="52" cm="1">
        <f t="array" ref="Y198">MMS_PastureBeef_Methane_Equations.VEERG_4_2_1_1__2_MethaneProductionFromManure(X140,$G$155,$E$166,$E$172,$G$158)</f>
        <v>3.1023836742673631E-3</v>
      </c>
      <c r="Z198" s="52" cm="1">
        <f t="array" ref="Z198">MMS_PastureBeef_Methane_Equations.VEERG_4_2_1_1__2_MethaneProductionFromManure(Y140,$G$155,$E$166,$E$172,$G$158)</f>
        <v>3.4450653960321643E-3</v>
      </c>
      <c r="AA198" s="52" cm="1">
        <f t="array" ref="AA198">MMS_PastureBeef_Methane_Equations.VEERG_4_2_1_1__2_MethaneProductionFromManure(Z140,$G$155,$E$166,$E$172,$G$158)</f>
        <v>3.4450653960321643E-3</v>
      </c>
      <c r="AB198" s="52" cm="1">
        <f t="array" ref="AB198">MMS_PastureBeef_Methane_Equations.VEERG_4_2_1_1__2_MethaneProductionFromManure(AA140,$G$155,$E$166,$E$172,$G$158)</f>
        <v>2.1803414772367767E-3</v>
      </c>
      <c r="AC198" s="52" cm="1">
        <f t="array" ref="AC198">MMS_PastureBeef_Methane_Equations.VEERG_4_2_1_1__2_MethaneProductionFromManure(AB140,$G$155,$E$166,$E$172,$G$158)</f>
        <v>2.7707428418975179E-3</v>
      </c>
      <c r="AD198" s="52" cm="1">
        <f t="array" ref="AD198">MMS_PastureBeef_Methane_Equations.VEERG_4_2_1_1__2_MethaneProductionFromManure(AC140,$G$155,$E$166,$E$172,$G$158)</f>
        <v>2.7707428418975179E-3</v>
      </c>
      <c r="AE198" s="52" cm="1">
        <f t="array" ref="AE198">MMS_PastureBeef_Methane_Equations.VEERG_4_2_1_1__2_MethaneProductionFromManure(AD140,$G$155,$E$166,$E$172,$G$158)</f>
        <v>2.7707428418975179E-3</v>
      </c>
      <c r="AF198" s="2" t="str">
        <f t="shared" si="9"/>
        <v>kg CH4/head/day</v>
      </c>
    </row>
    <row r="199" spans="3:33" ht="20.100000000000001" customHeight="1" x14ac:dyDescent="0.25">
      <c r="T199" s="52" t="str">
        <f>'Input - Pasture Beef'!$D$186</f>
        <v>Anaerobic lagoon</v>
      </c>
      <c r="U199" s="52" t="str">
        <f t="shared" si="10"/>
        <v>November 2024</v>
      </c>
      <c r="V199" s="52" cm="1">
        <f t="array" ref="V199">MMS_PastureBeef_Methane_Equations.VEERG_4_2_1_1__2_MethaneProductionFromManure(U141,$G$155,$E$166,$E$172,$G$158)</f>
        <v>2.4812833436492908E-3</v>
      </c>
      <c r="W199" s="52" cm="1">
        <f t="array" ref="W199">MMS_PastureBeef_Methane_Equations.VEERG_4_2_1_1__2_MethaneProductionFromManure(V141,$G$155,$E$166,$E$172,$G$158)</f>
        <v>3.5044828695429209E-3</v>
      </c>
      <c r="X199" s="52" cm="1">
        <f t="array" ref="X199">MMS_PastureBeef_Methane_Equations.VEERG_4_2_1_1__2_MethaneProductionFromManure(W141,$G$155,$E$166,$E$172,$G$158)</f>
        <v>1.8912334889579457E-3</v>
      </c>
      <c r="Y199" s="52" cm="1">
        <f t="array" ref="Y199">MMS_PastureBeef_Methane_Equations.VEERG_4_2_1_1__2_MethaneProductionFromManure(X141,$G$155,$E$166,$E$172,$G$158)</f>
        <v>3.1023836742673631E-3</v>
      </c>
      <c r="Z199" s="52" cm="1">
        <f t="array" ref="Z199">MMS_PastureBeef_Methane_Equations.VEERG_4_2_1_1__2_MethaneProductionFromManure(Y141,$G$155,$E$166,$E$172,$G$158)</f>
        <v>3.4450653960321643E-3</v>
      </c>
      <c r="AA199" s="52" cm="1">
        <f t="array" ref="AA199">MMS_PastureBeef_Methane_Equations.VEERG_4_2_1_1__2_MethaneProductionFromManure(Z141,$G$155,$E$166,$E$172,$G$158)</f>
        <v>3.4450653960321643E-3</v>
      </c>
      <c r="AB199" s="52" cm="1">
        <f t="array" ref="AB199">MMS_PastureBeef_Methane_Equations.VEERG_4_2_1_1__2_MethaneProductionFromManure(AA141,$G$155,$E$166,$E$172,$G$158)</f>
        <v>2.1803414772367767E-3</v>
      </c>
      <c r="AC199" s="52" cm="1">
        <f t="array" ref="AC199">MMS_PastureBeef_Methane_Equations.VEERG_4_2_1_1__2_MethaneProductionFromManure(AB141,$G$155,$E$166,$E$172,$G$158)</f>
        <v>2.7707428418975179E-3</v>
      </c>
      <c r="AD199" s="52" cm="1">
        <f t="array" ref="AD199">MMS_PastureBeef_Methane_Equations.VEERG_4_2_1_1__2_MethaneProductionFromManure(AC141,$G$155,$E$166,$E$172,$G$158)</f>
        <v>2.7707428418975179E-3</v>
      </c>
      <c r="AE199" s="52" cm="1">
        <f t="array" ref="AE199">MMS_PastureBeef_Methane_Equations.VEERG_4_2_1_1__2_MethaneProductionFromManure(AD141,$G$155,$E$166,$E$172,$G$158)</f>
        <v>2.7707428418975179E-3</v>
      </c>
      <c r="AF199" s="2" t="str">
        <f t="shared" si="9"/>
        <v>kg CH4/head/day</v>
      </c>
    </row>
    <row r="200" spans="3:33" ht="20.100000000000001" customHeight="1" x14ac:dyDescent="0.25">
      <c r="T200" s="52" t="str">
        <f>'Input - Pasture Beef'!$D$186</f>
        <v>Anaerobic lagoon</v>
      </c>
      <c r="U200" s="52" t="str">
        <f t="shared" si="10"/>
        <v>December 2024</v>
      </c>
      <c r="V200" s="52" cm="1">
        <f t="array" ref="V200">MMS_PastureBeef_Methane_Equations.VEERG_4_2_1_1__2_MethaneProductionFromManure(U142,$G$155,$E$166,$E$172,$G$158)</f>
        <v>2.3129761588141953E-3</v>
      </c>
      <c r="W200" s="52" cm="1">
        <f t="array" ref="W200">MMS_PastureBeef_Methane_Equations.VEERG_4_2_1_1__2_MethaneProductionFromManure(V142,$G$155,$E$166,$E$172,$G$158)</f>
        <v>3.0602961300360589E-3</v>
      </c>
      <c r="X200" s="52" cm="1">
        <f t="array" ref="X200">MMS_PastureBeef_Methane_Equations.VEERG_4_2_1_1__2_MethaneProductionFromManure(W142,$G$155,$E$166,$E$172,$G$158)</f>
        <v>1.9451607170601457E-3</v>
      </c>
      <c r="Y200" s="52" cm="1">
        <f t="array" ref="Y200">MMS_PastureBeef_Methane_Equations.VEERG_4_2_1_1__2_MethaneProductionFromManure(X142,$G$155,$E$166,$E$172,$G$158)</f>
        <v>3.183987424622853E-3</v>
      </c>
      <c r="Z200" s="52" cm="1">
        <f t="array" ref="Z200">MMS_PastureBeef_Methane_Equations.VEERG_4_2_1_1__2_MethaneProductionFromManure(Y142,$G$155,$E$166,$E$172,$G$158)</f>
        <v>3.1525371380871983E-3</v>
      </c>
      <c r="AA200" s="52" cm="1">
        <f t="array" ref="AA200">MMS_PastureBeef_Methane_Equations.VEERG_4_2_1_1__2_MethaneProductionFromManure(Z142,$G$155,$E$166,$E$172,$G$158)</f>
        <v>3.1525371380871983E-3</v>
      </c>
      <c r="AB200" s="52" cm="1">
        <f t="array" ref="AB200">MMS_PastureBeef_Methane_Equations.VEERG_4_2_1_1__2_MethaneProductionFromManure(AA142,$G$155,$E$166,$E$172,$G$158)</f>
        <v>2.1319949983930825E-3</v>
      </c>
      <c r="AC200" s="52" cm="1">
        <f t="array" ref="AC200">MMS_PastureBeef_Methane_Equations.VEERG_4_2_1_1__2_MethaneProductionFromManure(AB142,$G$155,$E$166,$E$172,$G$158)</f>
        <v>2.3764788151900769E-3</v>
      </c>
      <c r="AD200" s="52" cm="1">
        <f t="array" ref="AD200">MMS_PastureBeef_Methane_Equations.VEERG_4_2_1_1__2_MethaneProductionFromManure(AC142,$G$155,$E$166,$E$172,$G$158)</f>
        <v>2.3764788151900769E-3</v>
      </c>
      <c r="AE200" s="52" cm="1">
        <f t="array" ref="AE200">MMS_PastureBeef_Methane_Equations.VEERG_4_2_1_1__2_MethaneProductionFromManure(AD142,$G$155,$E$166,$E$172,$G$158)</f>
        <v>2.3764788151900769E-3</v>
      </c>
      <c r="AF200" s="2" t="str">
        <f t="shared" si="9"/>
        <v>kg CH4/head/day</v>
      </c>
    </row>
    <row r="201" spans="3:33" ht="20.100000000000001" customHeight="1" x14ac:dyDescent="0.25"/>
    <row r="202" spans="3:33" ht="20.100000000000001" customHeight="1" x14ac:dyDescent="0.25"/>
    <row r="203" spans="3:33" ht="20.100000000000001" customHeight="1" x14ac:dyDescent="0.25">
      <c r="C203" s="45"/>
      <c r="D203" s="45"/>
      <c r="E203" s="45"/>
      <c r="F203" s="45"/>
      <c r="G203" s="45"/>
      <c r="H203" s="45"/>
      <c r="I203" s="45"/>
      <c r="J203" s="45"/>
      <c r="K203" s="45"/>
      <c r="L203" s="45"/>
      <c r="M203" s="45"/>
      <c r="N203" s="45"/>
      <c r="O203" s="45"/>
      <c r="P203" s="45"/>
      <c r="Q203" s="45"/>
      <c r="S203" s="45"/>
      <c r="T203" s="45"/>
      <c r="U203" s="45"/>
      <c r="V203" s="45"/>
      <c r="W203" s="45"/>
      <c r="X203" s="45"/>
      <c r="Y203" s="45"/>
      <c r="Z203" s="45"/>
      <c r="AA203" s="45"/>
      <c r="AB203" s="45"/>
      <c r="AC203" s="45"/>
      <c r="AD203" s="45"/>
      <c r="AE203" s="45"/>
      <c r="AF203" s="45"/>
      <c r="AG203" s="45"/>
    </row>
    <row r="204" spans="3:33" ht="20.100000000000001" customHeight="1" x14ac:dyDescent="0.25">
      <c r="D204" s="6" t="str" cm="1">
        <f t="array" ref="D204">MMS_PastureBeef_Methane_Equations.VEERG_4_2_1_1__1_TotalAnnualMethaneProductionFromManureManagement_Title()</f>
        <v>Total annual methane production from manure management for grazing beef cattle</v>
      </c>
    </row>
    <row r="205" spans="3:33" ht="20.100000000000001" customHeight="1" x14ac:dyDescent="0.25">
      <c r="D205" s="5" t="str" cm="1">
        <f t="array" ref="D205">MMS_PastureBeef_Methane_Equations.VEERG_4_2_1_1__1_TotalAnnualMethaneProductionFromManureManagement_Source()</f>
        <v>VEERG 2026: 4.2.1.1, Equation (1)</v>
      </c>
    </row>
    <row r="206" spans="3:33" ht="20.100000000000001" customHeight="1" x14ac:dyDescent="0.25">
      <c r="D206" s="13" t="s">
        <v>27</v>
      </c>
      <c r="E206" s="13" t="str" cm="1">
        <f t="array" aca="1" ref="E206" ca="1">Common_InputFunctions.Utility_DisplayFunctionName($F$235)</f>
        <v>=MMS_PastureBeef_Methane_Equations.VEERG_4_2_1_1__1_TotalAnnualMethaneProductionFromManureManagement</v>
      </c>
    </row>
    <row r="207" spans="3:33" ht="20.100000000000001" customHeight="1" x14ac:dyDescent="0.25"/>
    <row r="208" spans="3:33" ht="20.100000000000001" customHeight="1" x14ac:dyDescent="0.25"/>
    <row r="209" spans="4:31" ht="20.100000000000001" customHeight="1" x14ac:dyDescent="0.25">
      <c r="D209" s="53" t="s">
        <v>30</v>
      </c>
      <c r="E209" s="1" t="str" cm="1">
        <f t="array" ref="E209">MMS_PastureBeef_Methane_Equations.VEERG_4_2_1_1__1_TotalAnnualMethaneProductionFromManureManagement_Variable()</f>
        <v>E_CH4</v>
      </c>
    </row>
    <row r="210" spans="4:31" ht="20.100000000000001" customHeight="1" x14ac:dyDescent="0.25">
      <c r="D210" s="53" t="s">
        <v>20</v>
      </c>
      <c r="E210" s="54" t="str" cm="1">
        <f t="array" ref="E210">MMS_PastureBeef_Methane_Equations.VEERG_4_2_1_1__1_TotalAnnualMethaneProductionFromManureManagement_Unit()</f>
        <v>t CH4</v>
      </c>
    </row>
    <row r="211" spans="4:31" ht="20.100000000000001" customHeight="1" x14ac:dyDescent="0.25"/>
    <row r="212" spans="4:31" ht="20.100000000000001" customHeight="1" x14ac:dyDescent="0.25">
      <c r="D212" s="57" t="str" cm="1">
        <f t="array" ref="D212:E214">MMS_PastureBeef_Methane_Equations.VEERG_4_2_1_1__1_TotalAnnualMethaneProductionFromManureManagement_Arguments()</f>
        <v>N_jkl</v>
      </c>
      <c r="E212" s="58" t="str">
        <v>number of beef cattle in each time-period, class and subclass (head)</v>
      </c>
      <c r="F212" s="100"/>
      <c r="G212" s="59"/>
      <c r="H212" s="57" t="str">
        <f>"See " &amp; D216</f>
        <v>See M1_Table_N_j_k_l</v>
      </c>
    </row>
    <row r="213" spans="4:31" ht="20.100000000000001" customHeight="1" x14ac:dyDescent="0.25">
      <c r="D213" s="57" t="str">
        <v>M_jklm</v>
      </c>
      <c r="E213" s="58" t="str">
        <v>methane production from manure in each time-period, class, subclass and MMS (kg/head/day)</v>
      </c>
      <c r="F213" s="100"/>
      <c r="G213" s="59"/>
      <c r="H213" s="57" t="str">
        <f>"See " &amp; D174</f>
        <v>See M1_Table_M_j_k_l_m</v>
      </c>
    </row>
    <row r="214" spans="4:31" ht="20.100000000000001" customHeight="1" x14ac:dyDescent="0.25">
      <c r="D214" s="57" t="str">
        <v>D_j</v>
      </c>
      <c r="E214" s="58" t="str">
        <v>number of days in each time-period for each input class (days)</v>
      </c>
      <c r="F214" s="100"/>
      <c r="G214" s="59"/>
      <c r="H214" s="57" t="str">
        <f>"See " &amp; D224</f>
        <v>See M1_Table_D_j</v>
      </c>
    </row>
    <row r="215" spans="4:31" ht="20.100000000000001" customHeight="1" x14ac:dyDescent="0.25"/>
    <row r="216" spans="4:31" ht="20.100000000000001" customHeight="1" x14ac:dyDescent="0.25">
      <c r="D216" s="99" t="s">
        <v>283</v>
      </c>
      <c r="T216" s="99" t="s">
        <v>288</v>
      </c>
    </row>
    <row r="217" spans="4:31" ht="20.100000000000001" customHeight="1" x14ac:dyDescent="0.25">
      <c r="D217" s="98" t="s">
        <v>284</v>
      </c>
      <c r="T217" s="98" t="s">
        <v>289</v>
      </c>
    </row>
    <row r="218" spans="4:31" ht="20.100000000000001" customHeight="1" x14ac:dyDescent="0.25">
      <c r="D218" s="51" t="s">
        <v>184</v>
      </c>
      <c r="E218" s="51" t="s">
        <v>131</v>
      </c>
      <c r="F218" s="51" t="s">
        <v>130</v>
      </c>
      <c r="G218" s="51" t="s">
        <v>165</v>
      </c>
      <c r="H218" s="51" t="s">
        <v>166</v>
      </c>
      <c r="I218" s="51" t="s">
        <v>167</v>
      </c>
      <c r="J218" s="51" t="s">
        <v>168</v>
      </c>
      <c r="K218" s="51" t="s">
        <v>169</v>
      </c>
      <c r="L218" s="51" t="s">
        <v>170</v>
      </c>
      <c r="M218" s="51" t="s">
        <v>171</v>
      </c>
      <c r="N218" s="51" t="s">
        <v>172</v>
      </c>
      <c r="T218" s="51" t="s">
        <v>132</v>
      </c>
      <c r="U218" s="51" t="s">
        <v>131</v>
      </c>
      <c r="V218" s="51" t="s">
        <v>130</v>
      </c>
      <c r="W218" s="51" t="s">
        <v>165</v>
      </c>
      <c r="X218" s="51" t="s">
        <v>166</v>
      </c>
      <c r="Y218" s="51" t="s">
        <v>167</v>
      </c>
      <c r="Z218" s="51" t="s">
        <v>168</v>
      </c>
      <c r="AA218" s="51" t="s">
        <v>169</v>
      </c>
      <c r="AB218" s="51" t="s">
        <v>170</v>
      </c>
      <c r="AC218" s="51" t="s">
        <v>171</v>
      </c>
      <c r="AD218" s="51" t="s">
        <v>172</v>
      </c>
      <c r="AE218" s="2"/>
    </row>
    <row r="219" spans="4:31" ht="20.100000000000001" customHeight="1" x14ac:dyDescent="0.25">
      <c r="D219" s="52" t="s">
        <v>173</v>
      </c>
      <c r="E219" s="52">
        <f>'Input - Pasture Beef'!E38</f>
        <v>100</v>
      </c>
      <c r="F219" s="52">
        <f>'Input - Pasture Beef'!F38</f>
        <v>100</v>
      </c>
      <c r="G219" s="52">
        <f>'Input - Pasture Beef'!G38</f>
        <v>100</v>
      </c>
      <c r="H219" s="52">
        <f>'Input - Pasture Beef'!H38</f>
        <v>100</v>
      </c>
      <c r="I219" s="52">
        <f>'Input - Pasture Beef'!I38</f>
        <v>100</v>
      </c>
      <c r="J219" s="52">
        <f>'Input - Pasture Beef'!J38</f>
        <v>100</v>
      </c>
      <c r="K219" s="52">
        <f>'Input - Pasture Beef'!K38</f>
        <v>100</v>
      </c>
      <c r="L219" s="52">
        <f>'Input - Pasture Beef'!L38</f>
        <v>100</v>
      </c>
      <c r="M219" s="52">
        <f>'Input - Pasture Beef'!M38</f>
        <v>100</v>
      </c>
      <c r="N219" s="52">
        <f>'Input - Pasture Beef'!N38</f>
        <v>100</v>
      </c>
      <c r="O219" s="2" t="s">
        <v>102</v>
      </c>
      <c r="T219" s="52" t="str">
        <f>TEXT('Input - Site'!$E$12, "mmmm yyyy")</f>
        <v>January 2024</v>
      </c>
      <c r="U219" s="52">
        <f>'Input - Pasture Beef'!E44</f>
        <v>100</v>
      </c>
      <c r="V219" s="52">
        <f>'Input - Pasture Beef'!F44</f>
        <v>100</v>
      </c>
      <c r="W219" s="52">
        <f>'Input - Pasture Beef'!G44</f>
        <v>100</v>
      </c>
      <c r="X219" s="52">
        <f>'Input - Pasture Beef'!H44</f>
        <v>100</v>
      </c>
      <c r="Y219" s="52">
        <f>'Input - Pasture Beef'!I44</f>
        <v>100</v>
      </c>
      <c r="Z219" s="52">
        <f>'Input - Pasture Beef'!J44</f>
        <v>100</v>
      </c>
      <c r="AA219" s="52">
        <f>'Input - Pasture Beef'!K44</f>
        <v>100</v>
      </c>
      <c r="AB219" s="52">
        <f>'Input - Pasture Beef'!L44</f>
        <v>100</v>
      </c>
      <c r="AC219" s="52">
        <f>'Input - Pasture Beef'!M44</f>
        <v>100</v>
      </c>
      <c r="AD219" s="52">
        <f>'Input - Pasture Beef'!N44</f>
        <v>100</v>
      </c>
      <c r="AE219" s="2" t="s">
        <v>103</v>
      </c>
    </row>
    <row r="220" spans="4:31" ht="20.100000000000001" customHeight="1" x14ac:dyDescent="0.25">
      <c r="D220" s="52" t="s">
        <v>174</v>
      </c>
      <c r="E220" s="52">
        <f>'Input - Pasture Beef'!E39</f>
        <v>100</v>
      </c>
      <c r="F220" s="52">
        <f>'Input - Pasture Beef'!F39</f>
        <v>100</v>
      </c>
      <c r="G220" s="52">
        <f>'Input - Pasture Beef'!G39</f>
        <v>100</v>
      </c>
      <c r="H220" s="52">
        <f>'Input - Pasture Beef'!H39</f>
        <v>100</v>
      </c>
      <c r="I220" s="52">
        <f>'Input - Pasture Beef'!I39</f>
        <v>100</v>
      </c>
      <c r="J220" s="52">
        <f>'Input - Pasture Beef'!J39</f>
        <v>100</v>
      </c>
      <c r="K220" s="52">
        <f>'Input - Pasture Beef'!K39</f>
        <v>100</v>
      </c>
      <c r="L220" s="52">
        <f>'Input - Pasture Beef'!L39</f>
        <v>100</v>
      </c>
      <c r="M220" s="52">
        <f>'Input - Pasture Beef'!M39</f>
        <v>100</v>
      </c>
      <c r="N220" s="52">
        <f>'Input - Pasture Beef'!N39</f>
        <v>100</v>
      </c>
      <c r="O220" s="2" t="s">
        <v>102</v>
      </c>
      <c r="T220" s="52" t="str">
        <f>TEXT(EDATE('Input - Site'!$E$12,1), "mmmm yyyy")</f>
        <v>February 2024</v>
      </c>
      <c r="U220" s="52">
        <f>'Input - Pasture Beef'!E45</f>
        <v>100</v>
      </c>
      <c r="V220" s="52">
        <f>'Input - Pasture Beef'!F45</f>
        <v>100</v>
      </c>
      <c r="W220" s="52">
        <f>'Input - Pasture Beef'!G45</f>
        <v>100</v>
      </c>
      <c r="X220" s="52">
        <f>'Input - Pasture Beef'!H45</f>
        <v>100</v>
      </c>
      <c r="Y220" s="52">
        <f>'Input - Pasture Beef'!I45</f>
        <v>100</v>
      </c>
      <c r="Z220" s="52">
        <f>'Input - Pasture Beef'!J45</f>
        <v>100</v>
      </c>
      <c r="AA220" s="52">
        <f>'Input - Pasture Beef'!K45</f>
        <v>100</v>
      </c>
      <c r="AB220" s="52">
        <f>'Input - Pasture Beef'!L45</f>
        <v>100</v>
      </c>
      <c r="AC220" s="52">
        <f>'Input - Pasture Beef'!M45</f>
        <v>100</v>
      </c>
      <c r="AD220" s="52">
        <f>'Input - Pasture Beef'!N45</f>
        <v>100</v>
      </c>
      <c r="AE220" s="2" t="s">
        <v>103</v>
      </c>
    </row>
    <row r="221" spans="4:31" ht="20.100000000000001" customHeight="1" x14ac:dyDescent="0.25">
      <c r="D221" s="52" t="s">
        <v>175</v>
      </c>
      <c r="E221" s="52">
        <f>'Input - Pasture Beef'!E40</f>
        <v>100</v>
      </c>
      <c r="F221" s="52">
        <f>'Input - Pasture Beef'!F40</f>
        <v>100</v>
      </c>
      <c r="G221" s="52">
        <f>'Input - Pasture Beef'!G40</f>
        <v>100</v>
      </c>
      <c r="H221" s="52">
        <f>'Input - Pasture Beef'!H40</f>
        <v>100</v>
      </c>
      <c r="I221" s="52">
        <f>'Input - Pasture Beef'!I40</f>
        <v>100</v>
      </c>
      <c r="J221" s="52">
        <f>'Input - Pasture Beef'!J40</f>
        <v>100</v>
      </c>
      <c r="K221" s="52">
        <f>'Input - Pasture Beef'!K40</f>
        <v>100</v>
      </c>
      <c r="L221" s="52">
        <f>'Input - Pasture Beef'!L40</f>
        <v>100</v>
      </c>
      <c r="M221" s="52">
        <f>'Input - Pasture Beef'!M40</f>
        <v>100</v>
      </c>
      <c r="N221" s="52">
        <f>'Input - Pasture Beef'!N40</f>
        <v>100</v>
      </c>
      <c r="O221" s="2" t="s">
        <v>102</v>
      </c>
      <c r="T221" s="52" t="str">
        <f>TEXT(EDATE('Input - Site'!$E$12,2), "mmmm yyyy")</f>
        <v>March 2024</v>
      </c>
      <c r="U221" s="52">
        <f>'Input - Pasture Beef'!E46</f>
        <v>100</v>
      </c>
      <c r="V221" s="52">
        <f>'Input - Pasture Beef'!F46</f>
        <v>100</v>
      </c>
      <c r="W221" s="52">
        <f>'Input - Pasture Beef'!G46</f>
        <v>100</v>
      </c>
      <c r="X221" s="52">
        <f>'Input - Pasture Beef'!H46</f>
        <v>100</v>
      </c>
      <c r="Y221" s="52">
        <f>'Input - Pasture Beef'!I46</f>
        <v>100</v>
      </c>
      <c r="Z221" s="52">
        <f>'Input - Pasture Beef'!J46</f>
        <v>100</v>
      </c>
      <c r="AA221" s="52">
        <f>'Input - Pasture Beef'!K46</f>
        <v>100</v>
      </c>
      <c r="AB221" s="52">
        <f>'Input - Pasture Beef'!L46</f>
        <v>100</v>
      </c>
      <c r="AC221" s="52">
        <f>'Input - Pasture Beef'!M46</f>
        <v>100</v>
      </c>
      <c r="AD221" s="52">
        <f>'Input - Pasture Beef'!N46</f>
        <v>100</v>
      </c>
      <c r="AE221" s="2" t="s">
        <v>103</v>
      </c>
    </row>
    <row r="222" spans="4:31" ht="20.100000000000001" customHeight="1" x14ac:dyDescent="0.25">
      <c r="D222" s="52" t="s">
        <v>176</v>
      </c>
      <c r="E222" s="52">
        <f>'Input - Pasture Beef'!E41</f>
        <v>100</v>
      </c>
      <c r="F222" s="52">
        <f>'Input - Pasture Beef'!F41</f>
        <v>100</v>
      </c>
      <c r="G222" s="52">
        <f>'Input - Pasture Beef'!G41</f>
        <v>100</v>
      </c>
      <c r="H222" s="52">
        <f>'Input - Pasture Beef'!H41</f>
        <v>100</v>
      </c>
      <c r="I222" s="52">
        <f>'Input - Pasture Beef'!I41</f>
        <v>100</v>
      </c>
      <c r="J222" s="52">
        <f>'Input - Pasture Beef'!J41</f>
        <v>100</v>
      </c>
      <c r="K222" s="52">
        <f>'Input - Pasture Beef'!K41</f>
        <v>100</v>
      </c>
      <c r="L222" s="52">
        <f>'Input - Pasture Beef'!L41</f>
        <v>100</v>
      </c>
      <c r="M222" s="52">
        <f>'Input - Pasture Beef'!M41</f>
        <v>100</v>
      </c>
      <c r="N222" s="52">
        <f>'Input - Pasture Beef'!N41</f>
        <v>100</v>
      </c>
      <c r="O222" s="2" t="s">
        <v>102</v>
      </c>
      <c r="T222" s="52" t="str">
        <f>TEXT(EDATE('Input - Site'!$E$12,3), "mmmm yyyy")</f>
        <v>April 2024</v>
      </c>
      <c r="U222" s="52">
        <f>'Input - Pasture Beef'!E47</f>
        <v>100</v>
      </c>
      <c r="V222" s="52">
        <f>'Input - Pasture Beef'!F47</f>
        <v>100</v>
      </c>
      <c r="W222" s="52">
        <f>'Input - Pasture Beef'!G47</f>
        <v>100</v>
      </c>
      <c r="X222" s="52">
        <f>'Input - Pasture Beef'!H47</f>
        <v>100</v>
      </c>
      <c r="Y222" s="52">
        <f>'Input - Pasture Beef'!I47</f>
        <v>100</v>
      </c>
      <c r="Z222" s="52">
        <f>'Input - Pasture Beef'!J47</f>
        <v>100</v>
      </c>
      <c r="AA222" s="52">
        <f>'Input - Pasture Beef'!K47</f>
        <v>100</v>
      </c>
      <c r="AB222" s="52">
        <f>'Input - Pasture Beef'!L47</f>
        <v>100</v>
      </c>
      <c r="AC222" s="52">
        <f>'Input - Pasture Beef'!M47</f>
        <v>100</v>
      </c>
      <c r="AD222" s="52">
        <f>'Input - Pasture Beef'!N47</f>
        <v>100</v>
      </c>
      <c r="AE222" s="2" t="s">
        <v>103</v>
      </c>
    </row>
    <row r="223" spans="4:31" ht="20.100000000000001" customHeight="1" x14ac:dyDescent="0.25">
      <c r="T223" s="52" t="str">
        <f>TEXT(EDATE('Input - Site'!$E$12,4), "mmmm yyyy")</f>
        <v>May 2024</v>
      </c>
      <c r="U223" s="52">
        <f>'Input - Pasture Beef'!E48</f>
        <v>100</v>
      </c>
      <c r="V223" s="52">
        <f>'Input - Pasture Beef'!F48</f>
        <v>100</v>
      </c>
      <c r="W223" s="52">
        <f>'Input - Pasture Beef'!G48</f>
        <v>100</v>
      </c>
      <c r="X223" s="52">
        <f>'Input - Pasture Beef'!H48</f>
        <v>100</v>
      </c>
      <c r="Y223" s="52">
        <f>'Input - Pasture Beef'!I48</f>
        <v>100</v>
      </c>
      <c r="Z223" s="52">
        <f>'Input - Pasture Beef'!J48</f>
        <v>100</v>
      </c>
      <c r="AA223" s="52">
        <f>'Input - Pasture Beef'!K48</f>
        <v>100</v>
      </c>
      <c r="AB223" s="52">
        <f>'Input - Pasture Beef'!L48</f>
        <v>100</v>
      </c>
      <c r="AC223" s="52">
        <f>'Input - Pasture Beef'!M48</f>
        <v>100</v>
      </c>
      <c r="AD223" s="52">
        <f>'Input - Pasture Beef'!N48</f>
        <v>100</v>
      </c>
      <c r="AE223" s="2" t="s">
        <v>103</v>
      </c>
    </row>
    <row r="224" spans="4:31" ht="20.100000000000001" customHeight="1" x14ac:dyDescent="0.25">
      <c r="D224" s="99" t="s">
        <v>146</v>
      </c>
      <c r="T224" s="52" t="str">
        <f>TEXT(EDATE('Input - Site'!$E$12,5), "mmmm yyyy")</f>
        <v>June 2024</v>
      </c>
      <c r="U224" s="52">
        <f>'Input - Pasture Beef'!E49</f>
        <v>100</v>
      </c>
      <c r="V224" s="52">
        <f>'Input - Pasture Beef'!F49</f>
        <v>100</v>
      </c>
      <c r="W224" s="52">
        <f>'Input - Pasture Beef'!G49</f>
        <v>100</v>
      </c>
      <c r="X224" s="52">
        <f>'Input - Pasture Beef'!H49</f>
        <v>100</v>
      </c>
      <c r="Y224" s="52">
        <f>'Input - Pasture Beef'!I49</f>
        <v>100</v>
      </c>
      <c r="Z224" s="52">
        <f>'Input - Pasture Beef'!J49</f>
        <v>100</v>
      </c>
      <c r="AA224" s="52">
        <f>'Input - Pasture Beef'!K49</f>
        <v>100</v>
      </c>
      <c r="AB224" s="52">
        <f>'Input - Pasture Beef'!L49</f>
        <v>100</v>
      </c>
      <c r="AC224" s="52">
        <f>'Input - Pasture Beef'!M49</f>
        <v>100</v>
      </c>
      <c r="AD224" s="52">
        <f>'Input - Pasture Beef'!N49</f>
        <v>100</v>
      </c>
      <c r="AE224" s="2" t="s">
        <v>103</v>
      </c>
    </row>
    <row r="225" spans="4:31" ht="20.100000000000001" customHeight="1" x14ac:dyDescent="0.25">
      <c r="D225" s="98" t="s">
        <v>285</v>
      </c>
      <c r="T225" s="52" t="str">
        <f>TEXT(EDATE('Input - Site'!$E$12,6), "mmmm yyyy")</f>
        <v>July 2024</v>
      </c>
      <c r="U225" s="52">
        <f>'Input - Pasture Beef'!E50</f>
        <v>100</v>
      </c>
      <c r="V225" s="52">
        <f>'Input - Pasture Beef'!F50</f>
        <v>100</v>
      </c>
      <c r="W225" s="52">
        <f>'Input - Pasture Beef'!G50</f>
        <v>100</v>
      </c>
      <c r="X225" s="52">
        <f>'Input - Pasture Beef'!H50</f>
        <v>100</v>
      </c>
      <c r="Y225" s="52">
        <f>'Input - Pasture Beef'!I50</f>
        <v>100</v>
      </c>
      <c r="Z225" s="52">
        <f>'Input - Pasture Beef'!J50</f>
        <v>100</v>
      </c>
      <c r="AA225" s="52">
        <f>'Input - Pasture Beef'!K50</f>
        <v>100</v>
      </c>
      <c r="AB225" s="52">
        <f>'Input - Pasture Beef'!L50</f>
        <v>100</v>
      </c>
      <c r="AC225" s="52">
        <f>'Input - Pasture Beef'!M50</f>
        <v>100</v>
      </c>
      <c r="AD225" s="52">
        <f>'Input - Pasture Beef'!N50</f>
        <v>100</v>
      </c>
      <c r="AE225" s="2" t="s">
        <v>103</v>
      </c>
    </row>
    <row r="226" spans="4:31" ht="20.100000000000001" customHeight="1" x14ac:dyDescent="0.25">
      <c r="D226" s="51" t="s">
        <v>184</v>
      </c>
      <c r="E226" s="51" t="s">
        <v>131</v>
      </c>
      <c r="F226" s="51" t="s">
        <v>130</v>
      </c>
      <c r="G226" s="51" t="s">
        <v>165</v>
      </c>
      <c r="H226" s="51" t="s">
        <v>166</v>
      </c>
      <c r="I226" s="51" t="s">
        <v>167</v>
      </c>
      <c r="J226" s="51" t="s">
        <v>168</v>
      </c>
      <c r="K226" s="51" t="s">
        <v>169</v>
      </c>
      <c r="L226" s="51" t="s">
        <v>170</v>
      </c>
      <c r="M226" s="51" t="s">
        <v>171</v>
      </c>
      <c r="N226" s="51" t="s">
        <v>172</v>
      </c>
      <c r="T226" s="52" t="str">
        <f>TEXT(EDATE('Input - Site'!$E$12,7), "mmmm yyyy")</f>
        <v>August 2024</v>
      </c>
      <c r="U226" s="52">
        <f>'Input - Pasture Beef'!E51</f>
        <v>100</v>
      </c>
      <c r="V226" s="52">
        <f>'Input - Pasture Beef'!F51</f>
        <v>100</v>
      </c>
      <c r="W226" s="52">
        <f>'Input - Pasture Beef'!G51</f>
        <v>100</v>
      </c>
      <c r="X226" s="52">
        <f>'Input - Pasture Beef'!H51</f>
        <v>100</v>
      </c>
      <c r="Y226" s="52">
        <f>'Input - Pasture Beef'!I51</f>
        <v>100</v>
      </c>
      <c r="Z226" s="52">
        <f>'Input - Pasture Beef'!J51</f>
        <v>100</v>
      </c>
      <c r="AA226" s="52">
        <f>'Input - Pasture Beef'!K51</f>
        <v>100</v>
      </c>
      <c r="AB226" s="52">
        <f>'Input - Pasture Beef'!L51</f>
        <v>100</v>
      </c>
      <c r="AC226" s="52">
        <f>'Input - Pasture Beef'!M51</f>
        <v>100</v>
      </c>
      <c r="AD226" s="52">
        <f>'Input - Pasture Beef'!N51</f>
        <v>100</v>
      </c>
      <c r="AE226" s="2" t="s">
        <v>103</v>
      </c>
    </row>
    <row r="227" spans="4:31" ht="20.100000000000001" customHeight="1" x14ac:dyDescent="0.25">
      <c r="D227" s="52" t="s">
        <v>173</v>
      </c>
      <c r="E227" s="52">
        <f>'Input - Pasture Beef'!E16</f>
        <v>91.25</v>
      </c>
      <c r="F227" s="52">
        <f>'Input - Pasture Beef'!F16</f>
        <v>91.25</v>
      </c>
      <c r="G227" s="52">
        <f>'Input - Pasture Beef'!G16</f>
        <v>91.25</v>
      </c>
      <c r="H227" s="52">
        <f>'Input - Pasture Beef'!H16</f>
        <v>91.25</v>
      </c>
      <c r="I227" s="52">
        <f>'Input - Pasture Beef'!I16</f>
        <v>91.25</v>
      </c>
      <c r="J227" s="52">
        <f>'Input - Pasture Beef'!J16</f>
        <v>91.25</v>
      </c>
      <c r="K227" s="52">
        <f>'Input - Pasture Beef'!K16</f>
        <v>91.25</v>
      </c>
      <c r="L227" s="52">
        <f>'Input - Pasture Beef'!L16</f>
        <v>91.25</v>
      </c>
      <c r="M227" s="52">
        <f>'Input - Pasture Beef'!M16</f>
        <v>91.25</v>
      </c>
      <c r="N227" s="52">
        <f>'Input - Pasture Beef'!N16</f>
        <v>91.25</v>
      </c>
      <c r="O227" s="2" t="s">
        <v>286</v>
      </c>
      <c r="T227" s="52" t="str">
        <f>TEXT(EDATE('Input - Site'!$E$12,8), "mmmm yyyy")</f>
        <v>September 2024</v>
      </c>
      <c r="U227" s="52">
        <f>'Input - Pasture Beef'!E52</f>
        <v>100</v>
      </c>
      <c r="V227" s="52">
        <f>'Input - Pasture Beef'!F52</f>
        <v>100</v>
      </c>
      <c r="W227" s="52">
        <f>'Input - Pasture Beef'!G52</f>
        <v>100</v>
      </c>
      <c r="X227" s="52">
        <f>'Input - Pasture Beef'!H52</f>
        <v>100</v>
      </c>
      <c r="Y227" s="52">
        <f>'Input - Pasture Beef'!I52</f>
        <v>100</v>
      </c>
      <c r="Z227" s="52">
        <f>'Input - Pasture Beef'!J52</f>
        <v>100</v>
      </c>
      <c r="AA227" s="52">
        <f>'Input - Pasture Beef'!K52</f>
        <v>100</v>
      </c>
      <c r="AB227" s="52">
        <f>'Input - Pasture Beef'!L52</f>
        <v>100</v>
      </c>
      <c r="AC227" s="52">
        <f>'Input - Pasture Beef'!M52</f>
        <v>100</v>
      </c>
      <c r="AD227" s="52">
        <f>'Input - Pasture Beef'!N52</f>
        <v>100</v>
      </c>
      <c r="AE227" s="2" t="s">
        <v>103</v>
      </c>
    </row>
    <row r="228" spans="4:31" ht="20.100000000000001" customHeight="1" x14ac:dyDescent="0.25">
      <c r="D228" s="52" t="s">
        <v>174</v>
      </c>
      <c r="E228" s="52">
        <f>'Input - Pasture Beef'!E17</f>
        <v>91.25</v>
      </c>
      <c r="F228" s="52">
        <f>'Input - Pasture Beef'!F17</f>
        <v>91.25</v>
      </c>
      <c r="G228" s="52">
        <f>'Input - Pasture Beef'!G17</f>
        <v>91.25</v>
      </c>
      <c r="H228" s="52">
        <f>'Input - Pasture Beef'!H17</f>
        <v>91.25</v>
      </c>
      <c r="I228" s="52">
        <f>'Input - Pasture Beef'!I17</f>
        <v>91.25</v>
      </c>
      <c r="J228" s="52">
        <f>'Input - Pasture Beef'!J17</f>
        <v>91.25</v>
      </c>
      <c r="K228" s="52">
        <f>'Input - Pasture Beef'!K17</f>
        <v>91.25</v>
      </c>
      <c r="L228" s="52">
        <f>'Input - Pasture Beef'!L17</f>
        <v>91.25</v>
      </c>
      <c r="M228" s="52">
        <f>'Input - Pasture Beef'!M17</f>
        <v>91.25</v>
      </c>
      <c r="N228" s="52">
        <f>'Input - Pasture Beef'!N17</f>
        <v>91.25</v>
      </c>
      <c r="O228" s="2" t="s">
        <v>286</v>
      </c>
      <c r="T228" s="52" t="str">
        <f>TEXT(EDATE('Input - Site'!$E$12,9), "mmmm yyyy")</f>
        <v>October 2024</v>
      </c>
      <c r="U228" s="52">
        <f>'Input - Pasture Beef'!E53</f>
        <v>100</v>
      </c>
      <c r="V228" s="52">
        <f>'Input - Pasture Beef'!F53</f>
        <v>100</v>
      </c>
      <c r="W228" s="52">
        <f>'Input - Pasture Beef'!G53</f>
        <v>100</v>
      </c>
      <c r="X228" s="52">
        <f>'Input - Pasture Beef'!H53</f>
        <v>100</v>
      </c>
      <c r="Y228" s="52">
        <f>'Input - Pasture Beef'!I53</f>
        <v>100</v>
      </c>
      <c r="Z228" s="52">
        <f>'Input - Pasture Beef'!J53</f>
        <v>100</v>
      </c>
      <c r="AA228" s="52">
        <f>'Input - Pasture Beef'!K53</f>
        <v>100</v>
      </c>
      <c r="AB228" s="52">
        <f>'Input - Pasture Beef'!L53</f>
        <v>100</v>
      </c>
      <c r="AC228" s="52">
        <f>'Input - Pasture Beef'!M53</f>
        <v>100</v>
      </c>
      <c r="AD228" s="52">
        <f>'Input - Pasture Beef'!N53</f>
        <v>100</v>
      </c>
      <c r="AE228" s="2" t="s">
        <v>103</v>
      </c>
    </row>
    <row r="229" spans="4:31" ht="20.100000000000001" customHeight="1" x14ac:dyDescent="0.25">
      <c r="D229" s="52" t="s">
        <v>175</v>
      </c>
      <c r="E229" s="52">
        <f>'Input - Pasture Beef'!E18</f>
        <v>91.25</v>
      </c>
      <c r="F229" s="52">
        <f>'Input - Pasture Beef'!F18</f>
        <v>91.25</v>
      </c>
      <c r="G229" s="52">
        <f>'Input - Pasture Beef'!G18</f>
        <v>91.25</v>
      </c>
      <c r="H229" s="52">
        <f>'Input - Pasture Beef'!H18</f>
        <v>91.25</v>
      </c>
      <c r="I229" s="52">
        <f>'Input - Pasture Beef'!I18</f>
        <v>91.25</v>
      </c>
      <c r="J229" s="52">
        <f>'Input - Pasture Beef'!J18</f>
        <v>91.25</v>
      </c>
      <c r="K229" s="52">
        <f>'Input - Pasture Beef'!K18</f>
        <v>91.25</v>
      </c>
      <c r="L229" s="52">
        <f>'Input - Pasture Beef'!L18</f>
        <v>91.25</v>
      </c>
      <c r="M229" s="52">
        <f>'Input - Pasture Beef'!M18</f>
        <v>91.25</v>
      </c>
      <c r="N229" s="52">
        <f>'Input - Pasture Beef'!N18</f>
        <v>91.25</v>
      </c>
      <c r="O229" s="2" t="s">
        <v>286</v>
      </c>
      <c r="T229" s="52" t="str">
        <f>TEXT(EDATE('Input - Site'!$E$12,10), "mmmm yyyy")</f>
        <v>November 2024</v>
      </c>
      <c r="U229" s="52">
        <f>'Input - Pasture Beef'!E54</f>
        <v>100</v>
      </c>
      <c r="V229" s="52">
        <f>'Input - Pasture Beef'!F54</f>
        <v>100</v>
      </c>
      <c r="W229" s="52">
        <f>'Input - Pasture Beef'!G54</f>
        <v>100</v>
      </c>
      <c r="X229" s="52">
        <f>'Input - Pasture Beef'!H54</f>
        <v>100</v>
      </c>
      <c r="Y229" s="52">
        <f>'Input - Pasture Beef'!I54</f>
        <v>100</v>
      </c>
      <c r="Z229" s="52">
        <f>'Input - Pasture Beef'!J54</f>
        <v>100</v>
      </c>
      <c r="AA229" s="52">
        <f>'Input - Pasture Beef'!K54</f>
        <v>100</v>
      </c>
      <c r="AB229" s="52">
        <f>'Input - Pasture Beef'!L54</f>
        <v>100</v>
      </c>
      <c r="AC229" s="52">
        <f>'Input - Pasture Beef'!M54</f>
        <v>100</v>
      </c>
      <c r="AD229" s="52">
        <f>'Input - Pasture Beef'!N54</f>
        <v>100</v>
      </c>
      <c r="AE229" s="2" t="s">
        <v>103</v>
      </c>
    </row>
    <row r="230" spans="4:31" ht="20.100000000000001" customHeight="1" x14ac:dyDescent="0.25">
      <c r="D230" s="52" t="s">
        <v>176</v>
      </c>
      <c r="E230" s="52">
        <f>'Input - Pasture Beef'!E19</f>
        <v>91.25</v>
      </c>
      <c r="F230" s="52">
        <f>'Input - Pasture Beef'!F19</f>
        <v>91.25</v>
      </c>
      <c r="G230" s="52">
        <f>'Input - Pasture Beef'!G19</f>
        <v>91.25</v>
      </c>
      <c r="H230" s="52">
        <f>'Input - Pasture Beef'!H19</f>
        <v>91.25</v>
      </c>
      <c r="I230" s="52">
        <f>'Input - Pasture Beef'!I19</f>
        <v>91.25</v>
      </c>
      <c r="J230" s="52">
        <f>'Input - Pasture Beef'!J19</f>
        <v>91.25</v>
      </c>
      <c r="K230" s="52">
        <f>'Input - Pasture Beef'!K19</f>
        <v>91.25</v>
      </c>
      <c r="L230" s="52">
        <f>'Input - Pasture Beef'!L19</f>
        <v>91.25</v>
      </c>
      <c r="M230" s="52">
        <f>'Input - Pasture Beef'!M19</f>
        <v>91.25</v>
      </c>
      <c r="N230" s="52">
        <f>'Input - Pasture Beef'!N19</f>
        <v>91.25</v>
      </c>
      <c r="O230" s="2" t="s">
        <v>286</v>
      </c>
      <c r="T230" s="52" t="str">
        <f>TEXT(EDATE('Input - Site'!$E$12,11), "mmmm yyyy")</f>
        <v>December 2024</v>
      </c>
      <c r="U230" s="52">
        <f>'Input - Pasture Beef'!E55</f>
        <v>100</v>
      </c>
      <c r="V230" s="52">
        <f>'Input - Pasture Beef'!F55</f>
        <v>100</v>
      </c>
      <c r="W230" s="52">
        <f>'Input - Pasture Beef'!G55</f>
        <v>100</v>
      </c>
      <c r="X230" s="52">
        <f>'Input - Pasture Beef'!H55</f>
        <v>100</v>
      </c>
      <c r="Y230" s="52">
        <f>'Input - Pasture Beef'!I55</f>
        <v>100</v>
      </c>
      <c r="Z230" s="52">
        <f>'Input - Pasture Beef'!J55</f>
        <v>100</v>
      </c>
      <c r="AA230" s="52">
        <f>'Input - Pasture Beef'!K55</f>
        <v>100</v>
      </c>
      <c r="AB230" s="52">
        <f>'Input - Pasture Beef'!L55</f>
        <v>100</v>
      </c>
      <c r="AC230" s="52">
        <f>'Input - Pasture Beef'!M55</f>
        <v>100</v>
      </c>
      <c r="AD230" s="52">
        <f>'Input - Pasture Beef'!N55</f>
        <v>100</v>
      </c>
      <c r="AE230" s="2" t="s">
        <v>103</v>
      </c>
    </row>
    <row r="231" spans="4:31" ht="20.100000000000001" customHeight="1" x14ac:dyDescent="0.25"/>
    <row r="232" spans="4:31" ht="20.100000000000001" customHeight="1" x14ac:dyDescent="0.25">
      <c r="D232" s="99" t="s">
        <v>147</v>
      </c>
      <c r="T232" s="99" t="s">
        <v>149</v>
      </c>
    </row>
    <row r="233" spans="4:31" ht="20.100000000000001" customHeight="1" x14ac:dyDescent="0.25">
      <c r="D233" s="98" t="s">
        <v>287</v>
      </c>
      <c r="T233" s="98" t="s">
        <v>290</v>
      </c>
    </row>
    <row r="234" spans="4:31" ht="20.100000000000001" customHeight="1" x14ac:dyDescent="0.25">
      <c r="D234" s="51" t="s">
        <v>68</v>
      </c>
      <c r="E234" s="51" t="s">
        <v>184</v>
      </c>
      <c r="F234" s="51" t="s">
        <v>131</v>
      </c>
      <c r="G234" s="51" t="s">
        <v>130</v>
      </c>
      <c r="H234" s="51" t="s">
        <v>165</v>
      </c>
      <c r="I234" s="51" t="s">
        <v>166</v>
      </c>
      <c r="J234" s="51" t="s">
        <v>167</v>
      </c>
      <c r="K234" s="51" t="s">
        <v>168</v>
      </c>
      <c r="L234" s="51" t="s">
        <v>169</v>
      </c>
      <c r="M234" s="51" t="s">
        <v>170</v>
      </c>
      <c r="N234" s="51" t="s">
        <v>171</v>
      </c>
      <c r="O234" s="51" t="s">
        <v>172</v>
      </c>
      <c r="T234" s="51" t="s">
        <v>132</v>
      </c>
      <c r="U234" s="51" t="s">
        <v>131</v>
      </c>
      <c r="V234" s="51" t="s">
        <v>130</v>
      </c>
      <c r="W234" s="51" t="s">
        <v>165</v>
      </c>
      <c r="X234" s="51" t="s">
        <v>166</v>
      </c>
      <c r="Y234" s="51" t="s">
        <v>167</v>
      </c>
      <c r="Z234" s="51" t="s">
        <v>168</v>
      </c>
      <c r="AA234" s="51" t="s">
        <v>169</v>
      </c>
      <c r="AB234" s="51" t="s">
        <v>170</v>
      </c>
      <c r="AC234" s="51" t="s">
        <v>171</v>
      </c>
      <c r="AD234" s="51" t="s">
        <v>172</v>
      </c>
      <c r="AE234" s="2"/>
    </row>
    <row r="235" spans="4:31" ht="20.100000000000001" customHeight="1" x14ac:dyDescent="0.25">
      <c r="D235" s="52" t="str">
        <f>'Input - Pasture Beef'!$D$185</f>
        <v>Pasture range and paddock</v>
      </c>
      <c r="E235" s="52" t="s">
        <v>173</v>
      </c>
      <c r="F235" s="52" cm="1">
        <f t="array" ref="F235">MMS_PastureBeef_Methane_Equations.VEERG_4_2_1_1__1_TotalAnnualMethaneProductionFromManureManagement(E219,F177,E227)</f>
        <v>3.6902599126922897E-2</v>
      </c>
      <c r="G235" s="52" cm="1">
        <f t="array" ref="G235">MMS_PastureBeef_Methane_Equations.VEERG_4_2_1_1__1_TotalAnnualMethaneProductionFromManureManagement(F219,G177,F227)</f>
        <v>5.2120015560862855E-2</v>
      </c>
      <c r="H235" s="52" cm="1">
        <f t="array" ref="H235">MMS_PastureBeef_Methane_Equations.VEERG_4_2_1_1__1_TotalAnnualMethaneProductionFromManureManagement(G219,H177,G227)</f>
        <v>2.8127151007181096E-2</v>
      </c>
      <c r="I235" s="52" cm="1">
        <f t="array" ref="I235">MMS_PastureBeef_Methane_Equations.VEERG_4_2_1_1__1_TotalAnnualMethaneProductionFromManureManagement(H219,I177,H227)</f>
        <v>4.2448654505107535E-2</v>
      </c>
      <c r="J235" s="52" cm="1">
        <f t="array" ref="J235">MMS_PastureBeef_Methane_Equations.VEERG_4_2_1_1__1_TotalAnnualMethaneProductionFromManureManagement(I219,J177,I227)</f>
        <v>4.7137429182805828E-2</v>
      </c>
      <c r="K235" s="52" cm="1">
        <f t="array" ref="K235">MMS_PastureBeef_Methane_Equations.VEERG_4_2_1_1__1_TotalAnnualMethaneProductionFromManureManagement(J219,K177,J227)</f>
        <v>4.7137429182805828E-2</v>
      </c>
      <c r="L235" s="52" cm="1">
        <f t="array" ref="L235">MMS_PastureBeef_Methane_Equations.VEERG_4_2_1_1__1_TotalAnnualMethaneProductionFromManureManagement(K219,L177,K227)</f>
        <v>3.2426876076126224E-2</v>
      </c>
      <c r="M235" s="52" cm="1">
        <f t="array" ref="M235">MMS_PastureBeef_Methane_Equations.VEERG_4_2_1_1__1_TotalAnnualMethaneProductionFromManureManagement(L219,M177,L227)</f>
        <v>4.1207551987173248E-2</v>
      </c>
      <c r="N235" s="52" cm="1">
        <f t="array" ref="N235">MMS_PastureBeef_Methane_Equations.VEERG_4_2_1_1__1_TotalAnnualMethaneProductionFromManureManagement(M219,N177,M227)</f>
        <v>4.1207551987173248E-2</v>
      </c>
      <c r="O235" s="52" cm="1">
        <f t="array" ref="O235">MMS_PastureBeef_Methane_Equations.VEERG_4_2_1_1__1_TotalAnnualMethaneProductionFromManureManagement(N219,O177,N227)</f>
        <v>4.1207551987173248E-2</v>
      </c>
      <c r="P235" s="2" t="str">
        <f>$E$210</f>
        <v>t CH4</v>
      </c>
      <c r="T235" s="52" t="str">
        <f>TEXT('Input - Site'!$E$12, "mmmm yyyy")</f>
        <v>January 2024</v>
      </c>
      <c r="U235" s="52">
        <f>'Input - Pasture Beef'!E22</f>
        <v>31</v>
      </c>
      <c r="V235" s="52">
        <f>'Input - Pasture Beef'!F22</f>
        <v>31</v>
      </c>
      <c r="W235" s="52">
        <f>'Input - Pasture Beef'!G22</f>
        <v>31</v>
      </c>
      <c r="X235" s="52">
        <f>'Input - Pasture Beef'!H22</f>
        <v>31</v>
      </c>
      <c r="Y235" s="52">
        <f>'Input - Pasture Beef'!I22</f>
        <v>31</v>
      </c>
      <c r="Z235" s="52">
        <f>'Input - Pasture Beef'!J22</f>
        <v>31</v>
      </c>
      <c r="AA235" s="52">
        <f>'Input - Pasture Beef'!K22</f>
        <v>31</v>
      </c>
      <c r="AB235" s="52">
        <f>'Input - Pasture Beef'!L22</f>
        <v>31</v>
      </c>
      <c r="AC235" s="52">
        <f>'Input - Pasture Beef'!M22</f>
        <v>31</v>
      </c>
      <c r="AD235" s="52">
        <f>'Input - Pasture Beef'!N22</f>
        <v>31</v>
      </c>
      <c r="AE235" s="2" t="s">
        <v>286</v>
      </c>
    </row>
    <row r="236" spans="4:31" ht="20.100000000000001" customHeight="1" x14ac:dyDescent="0.25">
      <c r="D236" s="52" t="str">
        <f>'Input - Pasture Beef'!$D$185</f>
        <v>Pasture range and paddock</v>
      </c>
      <c r="E236" s="52" t="s">
        <v>174</v>
      </c>
      <c r="F236" s="52" cm="1">
        <f t="array" ref="F236">MMS_PastureBeef_Methane_Equations.VEERG_4_2_1_1__1_TotalAnnualMethaneProductionFromManureManagement(E220,F178,E228)</f>
        <v>3.4399470015107812E-2</v>
      </c>
      <c r="G236" s="52" cm="1">
        <f t="array" ref="G236">MMS_PastureBeef_Methane_Equations.VEERG_4_2_1_1__1_TotalAnnualMethaneProductionFromManureManagement(F220,G178,F228)</f>
        <v>4.5513899726703819E-2</v>
      </c>
      <c r="H236" s="52" cm="1">
        <f t="array" ref="H236">MMS_PastureBeef_Methane_Equations.VEERG_4_2_1_1__1_TotalAnnualMethaneProductionFromManureManagement(G220,H178,G228)</f>
        <v>2.8929177460860826E-2</v>
      </c>
      <c r="I236" s="52" cm="1">
        <f t="array" ref="I236">MMS_PastureBeef_Methane_Equations.VEERG_4_2_1_1__1_TotalAnnualMethaneProductionFromManureManagement(H220,I178,H228)</f>
        <v>4.545934481141746E-2</v>
      </c>
      <c r="J236" s="52" cm="1">
        <f t="array" ref="J236">MMS_PastureBeef_Methane_Equations.VEERG_4_2_1_1__1_TotalAnnualMethaneProductionFromManureManagement(I220,J178,I228)</f>
        <v>4.5010313697479695E-2</v>
      </c>
      <c r="K236" s="52" cm="1">
        <f t="array" ref="K236">MMS_PastureBeef_Methane_Equations.VEERG_4_2_1_1__1_TotalAnnualMethaneProductionFromManureManagement(J220,K178,J228)</f>
        <v>4.5010313697479695E-2</v>
      </c>
      <c r="L236" s="52" cm="1">
        <f t="array" ref="L236">MMS_PastureBeef_Methane_Equations.VEERG_4_2_1_1__1_TotalAnnualMethaneProductionFromManureManagement(K220,L178,K228)</f>
        <v>3.170784866938791E-2</v>
      </c>
      <c r="M236" s="52" cm="1">
        <f t="array" ref="M236">MMS_PastureBeef_Methane_Equations.VEERG_4_2_1_1__1_TotalAnnualMethaneProductionFromManureManagement(L220,M178,L228)</f>
        <v>3.5343905916687415E-2</v>
      </c>
      <c r="N236" s="52" cm="1">
        <f t="array" ref="N236">MMS_PastureBeef_Methane_Equations.VEERG_4_2_1_1__1_TotalAnnualMethaneProductionFromManureManagement(M220,N178,M228)</f>
        <v>3.5343905916687415E-2</v>
      </c>
      <c r="O236" s="52" cm="1">
        <f t="array" ref="O236">MMS_PastureBeef_Methane_Equations.VEERG_4_2_1_1__1_TotalAnnualMethaneProductionFromManureManagement(N220,O178,N228)</f>
        <v>3.5343905916687415E-2</v>
      </c>
      <c r="P236" s="2" t="str">
        <f t="shared" ref="P236:P242" si="11">$E$210</f>
        <v>t CH4</v>
      </c>
      <c r="T236" s="52" t="str">
        <f>TEXT(EDATE('Input - Site'!$E$12,1), "mmmm yyyy")</f>
        <v>February 2024</v>
      </c>
      <c r="U236" s="52">
        <f>'Input - Pasture Beef'!E23</f>
        <v>29</v>
      </c>
      <c r="V236" s="52">
        <f>'Input - Pasture Beef'!F23</f>
        <v>29</v>
      </c>
      <c r="W236" s="52">
        <f>'Input - Pasture Beef'!G23</f>
        <v>29</v>
      </c>
      <c r="X236" s="52">
        <f>'Input - Pasture Beef'!H23</f>
        <v>29</v>
      </c>
      <c r="Y236" s="52">
        <f>'Input - Pasture Beef'!I23</f>
        <v>29</v>
      </c>
      <c r="Z236" s="52">
        <f>'Input - Pasture Beef'!J23</f>
        <v>29</v>
      </c>
      <c r="AA236" s="52">
        <f>'Input - Pasture Beef'!K23</f>
        <v>29</v>
      </c>
      <c r="AB236" s="52">
        <f>'Input - Pasture Beef'!L23</f>
        <v>29</v>
      </c>
      <c r="AC236" s="52">
        <f>'Input - Pasture Beef'!M23</f>
        <v>29</v>
      </c>
      <c r="AD236" s="52">
        <f>'Input - Pasture Beef'!N23</f>
        <v>29</v>
      </c>
      <c r="AE236" s="2" t="s">
        <v>286</v>
      </c>
    </row>
    <row r="237" spans="4:31" ht="20.100000000000001" customHeight="1" x14ac:dyDescent="0.25">
      <c r="D237" s="52" t="str">
        <f>'Input - Pasture Beef'!$D$185</f>
        <v>Pasture range and paddock</v>
      </c>
      <c r="E237" s="52" t="s">
        <v>175</v>
      </c>
      <c r="F237" s="52" cm="1">
        <f t="array" ref="F237">MMS_PastureBeef_Methane_Equations.VEERG_4_2_1_1__1_TotalAnnualMethaneProductionFromManureManagement(E221,F179,E229)</f>
        <v>1.612311322800259E-2</v>
      </c>
      <c r="G237" s="52" cm="1">
        <f t="array" ref="G237">MMS_PastureBeef_Methane_Equations.VEERG_4_2_1_1__1_TotalAnnualMethaneProductionFromManureManagement(F221,G179,F229)</f>
        <v>4.6795572453036442E-2</v>
      </c>
      <c r="H237" s="52" cm="1">
        <f t="array" ref="H237">MMS_PastureBeef_Methane_Equations.VEERG_4_2_1_1__1_TotalAnnualMethaneProductionFromManureManagement(G221,H179,G229)</f>
        <v>1.4698701650790524E-2</v>
      </c>
      <c r="I237" s="52" cm="1">
        <f t="array" ref="I237">MMS_PastureBeef_Methane_Equations.VEERG_4_2_1_1__1_TotalAnnualMethaneProductionFromManureManagement(H221,I179,H229)</f>
        <v>3.106092396304954E-2</v>
      </c>
      <c r="J237" s="52" cm="1">
        <f t="array" ref="J237">MMS_PastureBeef_Methane_Equations.VEERG_4_2_1_1__1_TotalAnnualMethaneProductionFromManureManagement(I221,J179,I229)</f>
        <v>3.5024219358317552E-2</v>
      </c>
      <c r="K237" s="52" cm="1">
        <f t="array" ref="K237">MMS_PastureBeef_Methane_Equations.VEERG_4_2_1_1__1_TotalAnnualMethaneProductionFromManureManagement(J221,K179,J229)</f>
        <v>3.5024219358317552E-2</v>
      </c>
      <c r="L237" s="52" cm="1">
        <f t="array" ref="L237">MMS_PastureBeef_Methane_Equations.VEERG_4_2_1_1__1_TotalAnnualMethaneProductionFromManureManagement(K221,L179,K229)</f>
        <v>1.612311322800259E-2</v>
      </c>
      <c r="M237" s="52" cm="1">
        <f t="array" ref="M237">MMS_PastureBeef_Methane_Equations.VEERG_4_2_1_1__1_TotalAnnualMethaneProductionFromManureManagement(L221,M179,L229)</f>
        <v>2.9271906203373613E-2</v>
      </c>
      <c r="N237" s="52" cm="1">
        <f t="array" ref="N237">MMS_PastureBeef_Methane_Equations.VEERG_4_2_1_1__1_TotalAnnualMethaneProductionFromManureManagement(M221,N179,M229)</f>
        <v>2.9271906203373613E-2</v>
      </c>
      <c r="O237" s="52" cm="1">
        <f t="array" ref="O237">MMS_PastureBeef_Methane_Equations.VEERG_4_2_1_1__1_TotalAnnualMethaneProductionFromManureManagement(N221,O179,N229)</f>
        <v>2.9271906203373613E-2</v>
      </c>
      <c r="P237" s="2" t="str">
        <f t="shared" si="11"/>
        <v>t CH4</v>
      </c>
      <c r="T237" s="52" t="str">
        <f>TEXT(EDATE('Input - Site'!$E$12,2), "mmmm yyyy")</f>
        <v>March 2024</v>
      </c>
      <c r="U237" s="52">
        <f>'Input - Pasture Beef'!E24</f>
        <v>31</v>
      </c>
      <c r="V237" s="52">
        <f>'Input - Pasture Beef'!F24</f>
        <v>31</v>
      </c>
      <c r="W237" s="52">
        <f>'Input - Pasture Beef'!G24</f>
        <v>31</v>
      </c>
      <c r="X237" s="52">
        <f>'Input - Pasture Beef'!H24</f>
        <v>31</v>
      </c>
      <c r="Y237" s="52">
        <f>'Input - Pasture Beef'!I24</f>
        <v>31</v>
      </c>
      <c r="Z237" s="52">
        <f>'Input - Pasture Beef'!J24</f>
        <v>31</v>
      </c>
      <c r="AA237" s="52">
        <f>'Input - Pasture Beef'!K24</f>
        <v>31</v>
      </c>
      <c r="AB237" s="52">
        <f>'Input - Pasture Beef'!L24</f>
        <v>31</v>
      </c>
      <c r="AC237" s="52">
        <f>'Input - Pasture Beef'!M24</f>
        <v>31</v>
      </c>
      <c r="AD237" s="52">
        <f>'Input - Pasture Beef'!N24</f>
        <v>31</v>
      </c>
      <c r="AE237" s="2" t="s">
        <v>286</v>
      </c>
    </row>
    <row r="238" spans="4:31" ht="20.100000000000001" customHeight="1" x14ac:dyDescent="0.25">
      <c r="D238" s="52" t="str">
        <f>'Input - Pasture Beef'!$D$185</f>
        <v>Pasture range and paddock</v>
      </c>
      <c r="E238" s="52" t="s">
        <v>176</v>
      </c>
      <c r="F238" s="52" cm="1">
        <f t="array" ref="F238">MMS_PastureBeef_Methane_Equations.VEERG_4_2_1_1__1_TotalAnnualMethaneProductionFromManureManagement(E222,F180,E230)</f>
        <v>2.1845157447271061E-2</v>
      </c>
      <c r="G238" s="52" cm="1">
        <f t="array" ref="G238">MMS_PastureBeef_Methane_Equations.VEERG_4_2_1_1__1_TotalAnnualMethaneProductionFromManureManagement(F222,G180,F230)</f>
        <v>4.2452112028022924E-2</v>
      </c>
      <c r="H238" s="52" cm="1">
        <f t="array" ref="H238">MMS_PastureBeef_Methane_Equations.VEERG_4_2_1_1__1_TotalAnnualMethaneProductionFromManureManagement(G222,H180,G230)</f>
        <v>1.788633859930849E-2</v>
      </c>
      <c r="I238" s="52" cm="1">
        <f t="array" ref="I238">MMS_PastureBeef_Methane_Equations.VEERG_4_2_1_1__1_TotalAnnualMethaneProductionFromManureManagement(H222,I180,H230)</f>
        <v>2.5228243844536213E-2</v>
      </c>
      <c r="J238" s="52" cm="1">
        <f t="array" ref="J238">MMS_PastureBeef_Methane_Equations.VEERG_4_2_1_1__1_TotalAnnualMethaneProductionFromManureManagement(I222,J180,I230)</f>
        <v>3.384446688616527E-2</v>
      </c>
      <c r="K238" s="52" cm="1">
        <f t="array" ref="K238">MMS_PastureBeef_Methane_Equations.VEERG_4_2_1_1__1_TotalAnnualMethaneProductionFromManureManagement(J222,K180,J230)</f>
        <v>3.384446688616527E-2</v>
      </c>
      <c r="L238" s="52" cm="1">
        <f t="array" ref="L238">MMS_PastureBeef_Methane_Equations.VEERG_4_2_1_1__1_TotalAnnualMethaneProductionFromManureManagement(K222,L180,K230)</f>
        <v>1.9203811704725782E-2</v>
      </c>
      <c r="M238" s="52" cm="1">
        <f t="array" ref="M238">MMS_PastureBeef_Methane_Equations.VEERG_4_2_1_1__1_TotalAnnualMethaneProductionFromManureManagement(L222,M180,L230)</f>
        <v>2.9237473328414466E-2</v>
      </c>
      <c r="N238" s="52" cm="1">
        <f t="array" ref="N238">MMS_PastureBeef_Methane_Equations.VEERG_4_2_1_1__1_TotalAnnualMethaneProductionFromManureManagement(M222,N180,M230)</f>
        <v>2.9237473328414466E-2</v>
      </c>
      <c r="O238" s="52" cm="1">
        <f t="array" ref="O238">MMS_PastureBeef_Methane_Equations.VEERG_4_2_1_1__1_TotalAnnualMethaneProductionFromManureManagement(N222,O180,N230)</f>
        <v>2.9237473328414466E-2</v>
      </c>
      <c r="P238" s="2" t="str">
        <f t="shared" si="11"/>
        <v>t CH4</v>
      </c>
      <c r="T238" s="52" t="str">
        <f>TEXT(EDATE('Input - Site'!$E$12,3), "mmmm yyyy")</f>
        <v>April 2024</v>
      </c>
      <c r="U238" s="52">
        <f>'Input - Pasture Beef'!E25</f>
        <v>30</v>
      </c>
      <c r="V238" s="52">
        <f>'Input - Pasture Beef'!F25</f>
        <v>30</v>
      </c>
      <c r="W238" s="52">
        <f>'Input - Pasture Beef'!G25</f>
        <v>30</v>
      </c>
      <c r="X238" s="52">
        <f>'Input - Pasture Beef'!H25</f>
        <v>30</v>
      </c>
      <c r="Y238" s="52">
        <f>'Input - Pasture Beef'!I25</f>
        <v>30</v>
      </c>
      <c r="Z238" s="52">
        <f>'Input - Pasture Beef'!J25</f>
        <v>30</v>
      </c>
      <c r="AA238" s="52">
        <f>'Input - Pasture Beef'!K25</f>
        <v>30</v>
      </c>
      <c r="AB238" s="52">
        <f>'Input - Pasture Beef'!L25</f>
        <v>30</v>
      </c>
      <c r="AC238" s="52">
        <f>'Input - Pasture Beef'!M25</f>
        <v>30</v>
      </c>
      <c r="AD238" s="52">
        <f>'Input - Pasture Beef'!N25</f>
        <v>30</v>
      </c>
      <c r="AE238" s="2" t="s">
        <v>286</v>
      </c>
    </row>
    <row r="239" spans="4:31" ht="20.100000000000001" customHeight="1" x14ac:dyDescent="0.25">
      <c r="D239" s="52" t="str">
        <f>'Input - Pasture Beef'!$D$186</f>
        <v>Anaerobic lagoon</v>
      </c>
      <c r="E239" s="52" t="s">
        <v>173</v>
      </c>
      <c r="F239" s="52" cm="1">
        <f t="array" ref="F239">MMS_PastureBeef_Methane_Equations.VEERG_4_2_1_1__1_TotalAnnualMethaneProductionFromManureManagement(E219,F181,E227)</f>
        <v>2.264171051079978E-2</v>
      </c>
      <c r="G239" s="52" cm="1">
        <f t="array" ref="G239">MMS_PastureBeef_Methane_Equations.VEERG_4_2_1_1__1_TotalAnnualMethaneProductionFromManureManagement(F219,G181,F227)</f>
        <v>3.1978406184579151E-2</v>
      </c>
      <c r="H239" s="52" cm="1">
        <f t="array" ref="H239">MMS_PastureBeef_Methane_Equations.VEERG_4_2_1_1__1_TotalAnnualMethaneProductionFromManureManagement(G219,H181,G227)</f>
        <v>1.7257505586741256E-2</v>
      </c>
      <c r="I239" s="52" cm="1">
        <f t="array" ref="I239">MMS_PastureBeef_Methane_Equations.VEERG_4_2_1_1__1_TotalAnnualMethaneProductionFromManureManagement(H219,I181,H227)</f>
        <v>2.6044510945474515E-2</v>
      </c>
      <c r="J239" s="52" cm="1">
        <f t="array" ref="J239">MMS_PastureBeef_Methane_Equations.VEERG_4_2_1_1__1_TotalAnnualMethaneProductionFromManureManagement(I219,J181,I227)</f>
        <v>2.892132399969001E-2</v>
      </c>
      <c r="K239" s="52" cm="1">
        <f t="array" ref="K239">MMS_PastureBeef_Methane_Equations.VEERG_4_2_1_1__1_TotalAnnualMethaneProductionFromManureManagement(J219,K181,J227)</f>
        <v>2.892132399969001E-2</v>
      </c>
      <c r="L239" s="52" cm="1">
        <f t="array" ref="L239">MMS_PastureBeef_Methane_Equations.VEERG_4_2_1_1__1_TotalAnnualMethaneProductionFromManureManagement(K219,L181,K227)</f>
        <v>1.9895615979785588E-2</v>
      </c>
      <c r="M239" s="52" cm="1">
        <f t="array" ref="M239">MMS_PastureBeef_Methane_Equations.VEERG_4_2_1_1__1_TotalAnnualMethaneProductionFromManureManagement(L219,M181,L227)</f>
        <v>2.528302843231485E-2</v>
      </c>
      <c r="N239" s="52" cm="1">
        <f t="array" ref="N239">MMS_PastureBeef_Methane_Equations.VEERG_4_2_1_1__1_TotalAnnualMethaneProductionFromManureManagement(M219,N181,M227)</f>
        <v>2.528302843231485E-2</v>
      </c>
      <c r="O239" s="52" cm="1">
        <f t="array" ref="O239">MMS_PastureBeef_Methane_Equations.VEERG_4_2_1_1__1_TotalAnnualMethaneProductionFromManureManagement(N219,O181,N227)</f>
        <v>2.528302843231485E-2</v>
      </c>
      <c r="P239" s="2" t="str">
        <f t="shared" si="11"/>
        <v>t CH4</v>
      </c>
      <c r="T239" s="52" t="str">
        <f>TEXT(EDATE('Input - Site'!$E$12,4), "mmmm yyyy")</f>
        <v>May 2024</v>
      </c>
      <c r="U239" s="52">
        <f>'Input - Pasture Beef'!E26</f>
        <v>31</v>
      </c>
      <c r="V239" s="52">
        <f>'Input - Pasture Beef'!F26</f>
        <v>31</v>
      </c>
      <c r="W239" s="52">
        <f>'Input - Pasture Beef'!G26</f>
        <v>31</v>
      </c>
      <c r="X239" s="52">
        <f>'Input - Pasture Beef'!H26</f>
        <v>31</v>
      </c>
      <c r="Y239" s="52">
        <f>'Input - Pasture Beef'!I26</f>
        <v>31</v>
      </c>
      <c r="Z239" s="52">
        <f>'Input - Pasture Beef'!J26</f>
        <v>31</v>
      </c>
      <c r="AA239" s="52">
        <f>'Input - Pasture Beef'!K26</f>
        <v>31</v>
      </c>
      <c r="AB239" s="52">
        <f>'Input - Pasture Beef'!L26</f>
        <v>31</v>
      </c>
      <c r="AC239" s="52">
        <f>'Input - Pasture Beef'!M26</f>
        <v>31</v>
      </c>
      <c r="AD239" s="52">
        <f>'Input - Pasture Beef'!N26</f>
        <v>31</v>
      </c>
      <c r="AE239" s="2" t="s">
        <v>286</v>
      </c>
    </row>
    <row r="240" spans="4:31" ht="20.100000000000001" customHeight="1" x14ac:dyDescent="0.25">
      <c r="D240" s="52" t="str">
        <f>'Input - Pasture Beef'!$D$186</f>
        <v>Anaerobic lagoon</v>
      </c>
      <c r="E240" s="52" t="s">
        <v>174</v>
      </c>
      <c r="F240" s="52" cm="1">
        <f t="array" ref="F240">MMS_PastureBeef_Methane_Equations.VEERG_4_2_1_1__1_TotalAnnualMethaneProductionFromManureManagement(E220,F182,E228)</f>
        <v>2.1105907449179534E-2</v>
      </c>
      <c r="G240" s="52" cm="1">
        <f t="array" ref="G240">MMS_PastureBeef_Methane_Equations.VEERG_4_2_1_1__1_TotalAnnualMethaneProductionFromManureManagement(F220,G182,F228)</f>
        <v>2.7925202186579037E-2</v>
      </c>
      <c r="H240" s="52" cm="1">
        <f t="array" ref="H240">MMS_PastureBeef_Methane_Equations.VEERG_4_2_1_1__1_TotalAnnualMethaneProductionFromManureManagement(G220,H182,G228)</f>
        <v>1.7749591543173827E-2</v>
      </c>
      <c r="I240" s="52" cm="1">
        <f t="array" ref="I240">MMS_PastureBeef_Methane_Equations.VEERG_4_2_1_1__1_TotalAnnualMethaneProductionFromManureManagement(H220,I182,H228)</f>
        <v>2.7891729839696199E-2</v>
      </c>
      <c r="J240" s="52" cm="1">
        <f t="array" ref="J240">MMS_PastureBeef_Methane_Equations.VEERG_4_2_1_1__1_TotalAnnualMethaneProductionFromManureManagement(I220,J182,I228)</f>
        <v>2.7616225329643855E-2</v>
      </c>
      <c r="K240" s="52" cm="1">
        <f t="array" ref="K240">MMS_PastureBeef_Methane_Equations.VEERG_4_2_1_1__1_TotalAnnualMethaneProductionFromManureManagement(J220,K182,J228)</f>
        <v>2.7616225329643855E-2</v>
      </c>
      <c r="L240" s="52" cm="1">
        <f t="array" ref="L240">MMS_PastureBeef_Methane_Equations.VEERG_4_2_1_1__1_TotalAnnualMethaneProductionFromManureManagement(K220,L182,K228)</f>
        <v>1.9454454360336878E-2</v>
      </c>
      <c r="M240" s="52" cm="1">
        <f t="array" ref="M240">MMS_PastureBeef_Methane_Equations.VEERG_4_2_1_1__1_TotalAnnualMethaneProductionFromManureManagement(L220,M182,L228)</f>
        <v>2.1685369188609454E-2</v>
      </c>
      <c r="N240" s="52" cm="1">
        <f t="array" ref="N240">MMS_PastureBeef_Methane_Equations.VEERG_4_2_1_1__1_TotalAnnualMethaneProductionFromManureManagement(M220,N182,M228)</f>
        <v>2.1685369188609454E-2</v>
      </c>
      <c r="O240" s="52" cm="1">
        <f t="array" ref="O240">MMS_PastureBeef_Methane_Equations.VEERG_4_2_1_1__1_TotalAnnualMethaneProductionFromManureManagement(N220,O182,N228)</f>
        <v>2.1685369188609454E-2</v>
      </c>
      <c r="P240" s="2" t="str">
        <f t="shared" si="11"/>
        <v>t CH4</v>
      </c>
      <c r="T240" s="52" t="str">
        <f>TEXT(EDATE('Input - Site'!$E$12,5), "mmmm yyyy")</f>
        <v>June 2024</v>
      </c>
      <c r="U240" s="52">
        <f>'Input - Pasture Beef'!E27</f>
        <v>30</v>
      </c>
      <c r="V240" s="52">
        <f>'Input - Pasture Beef'!F27</f>
        <v>30</v>
      </c>
      <c r="W240" s="52">
        <f>'Input - Pasture Beef'!G27</f>
        <v>30</v>
      </c>
      <c r="X240" s="52">
        <f>'Input - Pasture Beef'!H27</f>
        <v>30</v>
      </c>
      <c r="Y240" s="52">
        <f>'Input - Pasture Beef'!I27</f>
        <v>30</v>
      </c>
      <c r="Z240" s="52">
        <f>'Input - Pasture Beef'!J27</f>
        <v>30</v>
      </c>
      <c r="AA240" s="52">
        <f>'Input - Pasture Beef'!K27</f>
        <v>30</v>
      </c>
      <c r="AB240" s="52">
        <f>'Input - Pasture Beef'!L27</f>
        <v>30</v>
      </c>
      <c r="AC240" s="52">
        <f>'Input - Pasture Beef'!M27</f>
        <v>30</v>
      </c>
      <c r="AD240" s="52">
        <f>'Input - Pasture Beef'!N27</f>
        <v>30</v>
      </c>
      <c r="AE240" s="2" t="s">
        <v>286</v>
      </c>
    </row>
    <row r="241" spans="4:32" ht="20.100000000000001" customHeight="1" x14ac:dyDescent="0.25">
      <c r="D241" s="52" t="str">
        <f>'Input - Pasture Beef'!$D$186</f>
        <v>Anaerobic lagoon</v>
      </c>
      <c r="E241" s="52" t="s">
        <v>175</v>
      </c>
      <c r="F241" s="52" cm="1">
        <f t="array" ref="F241">MMS_PastureBeef_Methane_Equations.VEERG_4_2_1_1__1_TotalAnnualMethaneProductionFromManureManagement(E221,F183,E229)</f>
        <v>9.8923889069631784E-3</v>
      </c>
      <c r="G241" s="52" cm="1">
        <f t="array" ref="G241">MMS_PastureBeef_Methane_Equations.VEERG_4_2_1_1__1_TotalAnnualMethaneProductionFromManureManagement(F221,G183,F229)</f>
        <v>2.8711576683925471E-2</v>
      </c>
      <c r="H241" s="52" cm="1">
        <f t="array" ref="H241">MMS_PastureBeef_Methane_Equations.VEERG_4_2_1_1__1_TotalAnnualMethaneProductionFromManureManagement(G221,H183,G229)</f>
        <v>9.0184365203428585E-3</v>
      </c>
      <c r="I241" s="52" cm="1">
        <f t="array" ref="I241">MMS_PastureBeef_Methane_Equations.VEERG_4_2_1_1__1_TotalAnnualMethaneProductionFromManureManagement(H221,I183,H229)</f>
        <v>1.9057531588777647E-2</v>
      </c>
      <c r="J241" s="52" cm="1">
        <f t="array" ref="J241">MMS_PastureBeef_Methane_Equations.VEERG_4_2_1_1__1_TotalAnnualMethaneProductionFromManureManagement(I221,J183,I229)</f>
        <v>2.1489224454090648E-2</v>
      </c>
      <c r="K241" s="52" cm="1">
        <f t="array" ref="K241">MMS_PastureBeef_Methane_Equations.VEERG_4_2_1_1__1_TotalAnnualMethaneProductionFromManureManagement(J221,K183,J229)</f>
        <v>2.1489224454090648E-2</v>
      </c>
      <c r="L241" s="52" cm="1">
        <f t="array" ref="L241">MMS_PastureBeef_Methane_Equations.VEERG_4_2_1_1__1_TotalAnnualMethaneProductionFromManureManagement(K221,L183,K229)</f>
        <v>9.8923889069631784E-3</v>
      </c>
      <c r="M241" s="52" cm="1">
        <f t="array" ref="M241">MMS_PastureBeef_Methane_Equations.VEERG_4_2_1_1__1_TotalAnnualMethaneProductionFromManureManagement(L221,M183,L229)</f>
        <v>1.7959873885211999E-2</v>
      </c>
      <c r="N241" s="52" cm="1">
        <f t="array" ref="N241">MMS_PastureBeef_Methane_Equations.VEERG_4_2_1_1__1_TotalAnnualMethaneProductionFromManureManagement(M221,N183,M229)</f>
        <v>1.7959873885211999E-2</v>
      </c>
      <c r="O241" s="52" cm="1">
        <f t="array" ref="O241">MMS_PastureBeef_Methane_Equations.VEERG_4_2_1_1__1_TotalAnnualMethaneProductionFromManureManagement(N221,O183,N229)</f>
        <v>1.7959873885211999E-2</v>
      </c>
      <c r="P241" s="2" t="str">
        <f t="shared" si="11"/>
        <v>t CH4</v>
      </c>
      <c r="T241" s="52" t="str">
        <f>TEXT(EDATE('Input - Site'!$E$12,6), "mmmm yyyy")</f>
        <v>July 2024</v>
      </c>
      <c r="U241" s="52">
        <f>'Input - Pasture Beef'!E28</f>
        <v>31</v>
      </c>
      <c r="V241" s="52">
        <f>'Input - Pasture Beef'!F28</f>
        <v>31</v>
      </c>
      <c r="W241" s="52">
        <f>'Input - Pasture Beef'!G28</f>
        <v>31</v>
      </c>
      <c r="X241" s="52">
        <f>'Input - Pasture Beef'!H28</f>
        <v>31</v>
      </c>
      <c r="Y241" s="52">
        <f>'Input - Pasture Beef'!I28</f>
        <v>31</v>
      </c>
      <c r="Z241" s="52">
        <f>'Input - Pasture Beef'!J28</f>
        <v>31</v>
      </c>
      <c r="AA241" s="52">
        <f>'Input - Pasture Beef'!K28</f>
        <v>31</v>
      </c>
      <c r="AB241" s="52">
        <f>'Input - Pasture Beef'!L28</f>
        <v>31</v>
      </c>
      <c r="AC241" s="52">
        <f>'Input - Pasture Beef'!M28</f>
        <v>31</v>
      </c>
      <c r="AD241" s="52">
        <f>'Input - Pasture Beef'!N28</f>
        <v>31</v>
      </c>
      <c r="AE241" s="2" t="s">
        <v>286</v>
      </c>
    </row>
    <row r="242" spans="4:32" ht="20.100000000000001" customHeight="1" x14ac:dyDescent="0.25">
      <c r="D242" s="52" t="str">
        <f>'Input - Pasture Beef'!$D$186</f>
        <v>Anaerobic lagoon</v>
      </c>
      <c r="E242" s="52" t="s">
        <v>176</v>
      </c>
      <c r="F242" s="52" cm="1">
        <f t="array" ref="F242">MMS_PastureBeef_Methane_Equations.VEERG_4_2_1_1__1_TotalAnnualMethaneProductionFromManureManagement(E222,F184,E230)</f>
        <v>1.3403167871259811E-2</v>
      </c>
      <c r="G242" s="52" cm="1">
        <f t="array" ref="G242">MMS_PastureBeef_Methane_Equations.VEERG_4_2_1_1__1_TotalAnnualMethaneProductionFromManureManagement(F222,G184,F230)</f>
        <v>2.6046632319978936E-2</v>
      </c>
      <c r="H242" s="52" cm="1">
        <f t="array" ref="H242">MMS_PastureBeef_Methane_Equations.VEERG_4_2_1_1__1_TotalAnnualMethaneProductionFromManureManagement(G222,H184,G230)</f>
        <v>1.0974221606201959E-2</v>
      </c>
      <c r="I242" s="52" cm="1">
        <f t="array" ref="I242">MMS_PastureBeef_Methane_Equations.VEERG_4_2_1_1__1_TotalAnnualMethaneProductionFromManureManagement(H222,I184,H230)</f>
        <v>1.54788716062853E-2</v>
      </c>
      <c r="J242" s="52" cm="1">
        <f t="array" ref="J242">MMS_PastureBeef_Methane_Equations.VEERG_4_2_1_1__1_TotalAnnualMethaneProductionFromManureManagement(I222,J184,I230)</f>
        <v>2.0765383462376212E-2</v>
      </c>
      <c r="K242" s="52" cm="1">
        <f t="array" ref="K242">MMS_PastureBeef_Methane_Equations.VEERG_4_2_1_1__1_TotalAnnualMethaneProductionFromManureManagement(J222,K184,J230)</f>
        <v>2.0765383462376212E-2</v>
      </c>
      <c r="L242" s="52" cm="1">
        <f t="array" ref="L242">MMS_PastureBeef_Methane_Equations.VEERG_4_2_1_1__1_TotalAnnualMethaneProductionFromManureManagement(K222,L184,K230)</f>
        <v>1.1782561543343674E-2</v>
      </c>
      <c r="M242" s="52" cm="1">
        <f t="array" ref="M242">MMS_PastureBeef_Methane_Equations.VEERG_4_2_1_1__1_TotalAnnualMethaneProductionFromManureManagement(L222,M184,L230)</f>
        <v>1.7938747482050033E-2</v>
      </c>
      <c r="N242" s="52" cm="1">
        <f t="array" ref="N242">MMS_PastureBeef_Methane_Equations.VEERG_4_2_1_1__1_TotalAnnualMethaneProductionFromManureManagement(M222,N184,M230)</f>
        <v>1.7938747482050033E-2</v>
      </c>
      <c r="O242" s="52" cm="1">
        <f t="array" ref="O242">MMS_PastureBeef_Methane_Equations.VEERG_4_2_1_1__1_TotalAnnualMethaneProductionFromManureManagement(N222,O184,N230)</f>
        <v>1.7938747482050033E-2</v>
      </c>
      <c r="P242" s="2" t="str">
        <f t="shared" si="11"/>
        <v>t CH4</v>
      </c>
      <c r="T242" s="52" t="str">
        <f>TEXT(EDATE('Input - Site'!$E$12,7), "mmmm yyyy")</f>
        <v>August 2024</v>
      </c>
      <c r="U242" s="52">
        <f>'Input - Pasture Beef'!E29</f>
        <v>31</v>
      </c>
      <c r="V242" s="52">
        <f>'Input - Pasture Beef'!F29</f>
        <v>31</v>
      </c>
      <c r="W242" s="52">
        <f>'Input - Pasture Beef'!G29</f>
        <v>31</v>
      </c>
      <c r="X242" s="52">
        <f>'Input - Pasture Beef'!H29</f>
        <v>31</v>
      </c>
      <c r="Y242" s="52">
        <f>'Input - Pasture Beef'!I29</f>
        <v>31</v>
      </c>
      <c r="Z242" s="52">
        <f>'Input - Pasture Beef'!J29</f>
        <v>31</v>
      </c>
      <c r="AA242" s="52">
        <f>'Input - Pasture Beef'!K29</f>
        <v>31</v>
      </c>
      <c r="AB242" s="52">
        <f>'Input - Pasture Beef'!L29</f>
        <v>31</v>
      </c>
      <c r="AC242" s="52">
        <f>'Input - Pasture Beef'!M29</f>
        <v>31</v>
      </c>
      <c r="AD242" s="52">
        <f>'Input - Pasture Beef'!N29</f>
        <v>31</v>
      </c>
      <c r="AE242" s="2" t="s">
        <v>286</v>
      </c>
    </row>
    <row r="243" spans="4:32" ht="20.100000000000001" customHeight="1" x14ac:dyDescent="0.25">
      <c r="T243" s="52" t="str">
        <f>TEXT(EDATE('Input - Site'!$E$12,8), "mmmm yyyy")</f>
        <v>September 2024</v>
      </c>
      <c r="U243" s="52">
        <f>'Input - Pasture Beef'!E30</f>
        <v>30</v>
      </c>
      <c r="V243" s="52">
        <f>'Input - Pasture Beef'!F30</f>
        <v>30</v>
      </c>
      <c r="W243" s="52">
        <f>'Input - Pasture Beef'!G30</f>
        <v>30</v>
      </c>
      <c r="X243" s="52">
        <f>'Input - Pasture Beef'!H30</f>
        <v>30</v>
      </c>
      <c r="Y243" s="52">
        <f>'Input - Pasture Beef'!I30</f>
        <v>30</v>
      </c>
      <c r="Z243" s="52">
        <f>'Input - Pasture Beef'!J30</f>
        <v>30</v>
      </c>
      <c r="AA243" s="52">
        <f>'Input - Pasture Beef'!K30</f>
        <v>30</v>
      </c>
      <c r="AB243" s="52">
        <f>'Input - Pasture Beef'!L30</f>
        <v>30</v>
      </c>
      <c r="AC243" s="52">
        <f>'Input - Pasture Beef'!M30</f>
        <v>30</v>
      </c>
      <c r="AD243" s="52">
        <f>'Input - Pasture Beef'!N30</f>
        <v>30</v>
      </c>
      <c r="AE243" s="2" t="s">
        <v>286</v>
      </c>
    </row>
    <row r="244" spans="4:32" ht="20.100000000000001" customHeight="1" x14ac:dyDescent="0.25">
      <c r="D244" s="101" t="s">
        <v>312</v>
      </c>
      <c r="E244" s="102">
        <f>SUM(F235:O242)</f>
        <v>2.1890552792594553</v>
      </c>
      <c r="F244" s="103" t="str">
        <f>E210</f>
        <v>t CH4</v>
      </c>
      <c r="T244" s="52" t="str">
        <f>TEXT(EDATE('Input - Site'!$E$12,9), "mmmm yyyy")</f>
        <v>October 2024</v>
      </c>
      <c r="U244" s="52">
        <f>'Input - Pasture Beef'!E31</f>
        <v>31</v>
      </c>
      <c r="V244" s="52">
        <f>'Input - Pasture Beef'!F31</f>
        <v>31</v>
      </c>
      <c r="W244" s="52">
        <f>'Input - Pasture Beef'!G31</f>
        <v>31</v>
      </c>
      <c r="X244" s="52">
        <f>'Input - Pasture Beef'!H31</f>
        <v>31</v>
      </c>
      <c r="Y244" s="52">
        <f>'Input - Pasture Beef'!I31</f>
        <v>31</v>
      </c>
      <c r="Z244" s="52">
        <f>'Input - Pasture Beef'!J31</f>
        <v>31</v>
      </c>
      <c r="AA244" s="52">
        <f>'Input - Pasture Beef'!K31</f>
        <v>31</v>
      </c>
      <c r="AB244" s="52">
        <f>'Input - Pasture Beef'!L31</f>
        <v>31</v>
      </c>
      <c r="AC244" s="52">
        <f>'Input - Pasture Beef'!M31</f>
        <v>31</v>
      </c>
      <c r="AD244" s="52">
        <f>'Input - Pasture Beef'!N31</f>
        <v>31</v>
      </c>
      <c r="AE244" s="2" t="s">
        <v>286</v>
      </c>
    </row>
    <row r="245" spans="4:32" ht="20.100000000000001" customHeight="1" x14ac:dyDescent="0.25">
      <c r="T245" s="52" t="str">
        <f>TEXT(EDATE('Input - Site'!$E$12,10), "mmmm yyyy")</f>
        <v>November 2024</v>
      </c>
      <c r="U245" s="52">
        <f>'Input - Pasture Beef'!E32</f>
        <v>30</v>
      </c>
      <c r="V245" s="52">
        <f>'Input - Pasture Beef'!F32</f>
        <v>30</v>
      </c>
      <c r="W245" s="52">
        <f>'Input - Pasture Beef'!G32</f>
        <v>30</v>
      </c>
      <c r="X245" s="52">
        <f>'Input - Pasture Beef'!H32</f>
        <v>30</v>
      </c>
      <c r="Y245" s="52">
        <f>'Input - Pasture Beef'!I32</f>
        <v>30</v>
      </c>
      <c r="Z245" s="52">
        <f>'Input - Pasture Beef'!J32</f>
        <v>30</v>
      </c>
      <c r="AA245" s="52">
        <f>'Input - Pasture Beef'!K32</f>
        <v>30</v>
      </c>
      <c r="AB245" s="52">
        <f>'Input - Pasture Beef'!L32</f>
        <v>30</v>
      </c>
      <c r="AC245" s="52">
        <f>'Input - Pasture Beef'!M32</f>
        <v>30</v>
      </c>
      <c r="AD245" s="52">
        <f>'Input - Pasture Beef'!N32</f>
        <v>30</v>
      </c>
      <c r="AE245" s="2" t="s">
        <v>286</v>
      </c>
    </row>
    <row r="246" spans="4:32" ht="20.100000000000001" customHeight="1" x14ac:dyDescent="0.25">
      <c r="D246" s="57" t="str" cm="1">
        <f t="array" ref="D246:E247">Common_Equations.Common_ConvertCH4ToCO2e_Arguments()</f>
        <v>ECH4</v>
      </c>
      <c r="E246" s="58" t="str">
        <v>Methane emissions (t CH4)</v>
      </c>
      <c r="F246" s="104"/>
      <c r="G246" s="52">
        <f>E244</f>
        <v>2.1890552792594553</v>
      </c>
      <c r="T246" s="52" t="str">
        <f>TEXT(EDATE('Input - Site'!$E$12,11), "mmmm yyyy")</f>
        <v>December 2024</v>
      </c>
      <c r="U246" s="52">
        <f>'Input - Pasture Beef'!E33</f>
        <v>31</v>
      </c>
      <c r="V246" s="52">
        <f>'Input - Pasture Beef'!F33</f>
        <v>31</v>
      </c>
      <c r="W246" s="52">
        <f>'Input - Pasture Beef'!G33</f>
        <v>31</v>
      </c>
      <c r="X246" s="52">
        <f>'Input - Pasture Beef'!H33</f>
        <v>31</v>
      </c>
      <c r="Y246" s="52">
        <f>'Input - Pasture Beef'!I33</f>
        <v>31</v>
      </c>
      <c r="Z246" s="52">
        <f>'Input - Pasture Beef'!J33</f>
        <v>31</v>
      </c>
      <c r="AA246" s="52">
        <f>'Input - Pasture Beef'!K33</f>
        <v>31</v>
      </c>
      <c r="AB246" s="52">
        <f>'Input - Pasture Beef'!L33</f>
        <v>31</v>
      </c>
      <c r="AC246" s="52">
        <f>'Input - Pasture Beef'!M33</f>
        <v>31</v>
      </c>
      <c r="AD246" s="52">
        <f>'Input - Pasture Beef'!N33</f>
        <v>31</v>
      </c>
      <c r="AE246" s="2" t="s">
        <v>286</v>
      </c>
    </row>
    <row r="247" spans="4:32" ht="20.100000000000001" customHeight="1" x14ac:dyDescent="0.25">
      <c r="D247" s="57" t="str">
        <v>GWPCH4</v>
      </c>
      <c r="E247" s="58" t="str">
        <v>Global warming potential for methane (t CO2-e / t CH4)</v>
      </c>
      <c r="F247" s="104"/>
      <c r="G247" s="52">
        <f>Common_InputFunctions.Utility_LookupValueInTableNumber("CH4",Table_GWPData[Gas],Table_GWPData[CO2-e factor])</f>
        <v>28</v>
      </c>
    </row>
    <row r="248" spans="4:32" ht="20.100000000000001" customHeight="1" x14ac:dyDescent="0.25">
      <c r="T248" s="99" t="s">
        <v>291</v>
      </c>
    </row>
    <row r="249" spans="4:32" ht="20.100000000000001" customHeight="1" x14ac:dyDescent="0.25">
      <c r="D249" s="45" t="s">
        <v>104</v>
      </c>
      <c r="E249" s="45" cm="1">
        <f t="array" ref="E249">Common_Equations.Common_ConvertN2OToCO2e(G246,G247)</f>
        <v>61.293547819264745</v>
      </c>
      <c r="F249" s="105" t="str" cm="1">
        <f t="array" ref="F249">Common_Equations.Common_ConvertN2OToCO2e_Unit()</f>
        <v>t CO2e</v>
      </c>
      <c r="T249" s="98" t="s">
        <v>292</v>
      </c>
    </row>
    <row r="250" spans="4:32" ht="20.100000000000001" customHeight="1" x14ac:dyDescent="0.25">
      <c r="T250" s="51" t="s">
        <v>68</v>
      </c>
      <c r="U250" s="51" t="s">
        <v>132</v>
      </c>
      <c r="V250" s="51" t="s">
        <v>131</v>
      </c>
      <c r="W250" s="51" t="s">
        <v>130</v>
      </c>
      <c r="X250" s="51" t="s">
        <v>165</v>
      </c>
      <c r="Y250" s="51" t="s">
        <v>166</v>
      </c>
      <c r="Z250" s="51" t="s">
        <v>167</v>
      </c>
      <c r="AA250" s="51" t="s">
        <v>168</v>
      </c>
      <c r="AB250" s="51" t="s">
        <v>169</v>
      </c>
      <c r="AC250" s="51" t="s">
        <v>170</v>
      </c>
      <c r="AD250" s="51" t="s">
        <v>171</v>
      </c>
      <c r="AE250" s="51" t="s">
        <v>172</v>
      </c>
    </row>
    <row r="251" spans="4:32" ht="20.100000000000001" customHeight="1" x14ac:dyDescent="0.25">
      <c r="T251" s="52" t="str">
        <f>'Input - Pasture Beef'!$D$185</f>
        <v>Pasture range and paddock</v>
      </c>
      <c r="U251" s="52" t="str">
        <f>T235</f>
        <v>January 2024</v>
      </c>
      <c r="V251" s="52" cm="1">
        <f t="array" ref="V251">MMS_PastureBeef_Methane_Equations.VEERG_4_2_1_1__1_TotalAnnualMethaneProductionFromManureManagement(U219,V177,U235)</f>
        <v>1.1686395292803749E-2</v>
      </c>
      <c r="W251" s="52" cm="1">
        <f t="array" ref="W251">MMS_PastureBeef_Methane_Equations.VEERG_4_2_1_1__1_TotalAnnualMethaneProductionFromManureManagement(V219,W177,V235)</f>
        <v>1.5462256345510341E-2</v>
      </c>
      <c r="X251" s="52" cm="1">
        <f t="array" ref="X251">MMS_PastureBeef_Methane_Equations.VEERG_4_2_1_1__1_TotalAnnualMethaneProductionFromManureManagement(W219,X177,W235)</f>
        <v>9.827994534648608E-3</v>
      </c>
      <c r="Y251" s="52" cm="1">
        <f t="array" ref="Y251">MMS_PastureBeef_Methane_Equations.VEERG_4_2_1_1__1_TotalAnnualMethaneProductionFromManureManagement(X219,Y177,X235)</f>
        <v>1.3835001514524993E-2</v>
      </c>
      <c r="Z251" s="52" cm="1">
        <f t="array" ref="Z251">MMS_PastureBeef_Methane_Equations.VEERG_4_2_1_1__1_TotalAnnualMethaneProductionFromManureManagement(Y219,Z177,Y235)</f>
        <v>1.3698344328479549E-2</v>
      </c>
      <c r="AA251" s="52" cm="1">
        <f t="array" ref="AA251">MMS_PastureBeef_Methane_Equations.VEERG_4_2_1_1__1_TotalAnnualMethaneProductionFromManureManagement(Z219,AA177,Z235)</f>
        <v>1.3698344328479549E-2</v>
      </c>
      <c r="AB251" s="52" cm="1">
        <f t="array" ref="AB251">MMS_PastureBeef_Methane_Equations.VEERG_4_2_1_1__1_TotalAnnualMethaneProductionFromManureManagement(AA219,AB177,AA235)</f>
        <v>1.0771981465764659E-2</v>
      </c>
      <c r="AC251" s="52" cm="1">
        <f t="array" ref="AC251">MMS_PastureBeef_Methane_Equations.VEERG_4_2_1_1__1_TotalAnnualMethaneProductionFromManureManagement(AB219,AC177,AB235)</f>
        <v>1.2007244749778738E-2</v>
      </c>
      <c r="AD251" s="52" cm="1">
        <f t="array" ref="AD251">MMS_PastureBeef_Methane_Equations.VEERG_4_2_1_1__1_TotalAnnualMethaneProductionFromManureManagement(AC219,AD177,AC235)</f>
        <v>1.2007244749778738E-2</v>
      </c>
      <c r="AE251" s="52" cm="1">
        <f t="array" ref="AE251">MMS_PastureBeef_Methane_Equations.VEERG_4_2_1_1__1_TotalAnnualMethaneProductionFromManureManagement(AD219,AE177,AD235)</f>
        <v>1.2007244749778738E-2</v>
      </c>
      <c r="AF251" s="2" t="str">
        <f t="shared" ref="AF251:AF274" si="12">$E$210</f>
        <v>t CH4</v>
      </c>
    </row>
    <row r="252" spans="4:32" ht="20.100000000000001" customHeight="1" x14ac:dyDescent="0.25">
      <c r="T252" s="52" t="str">
        <f>'Input - Pasture Beef'!$D$185</f>
        <v>Pasture range and paddock</v>
      </c>
      <c r="U252" s="52" t="str">
        <f t="shared" ref="U252:U262" si="13">T236</f>
        <v>February 2024</v>
      </c>
      <c r="V252" s="52" cm="1">
        <f t="array" ref="V252">MMS_PastureBeef_Methane_Equations.VEERG_4_2_1_1__1_TotalAnnualMethaneProductionFromManureManagement(U220,V178,U236)</f>
        <v>1.0932434306171249E-2</v>
      </c>
      <c r="W252" s="52" cm="1">
        <f t="array" ref="W252">MMS_PastureBeef_Methane_Equations.VEERG_4_2_1_1__1_TotalAnnualMethaneProductionFromManureManagement(V220,W178,V236)</f>
        <v>1.4464691419993545E-2</v>
      </c>
      <c r="X252" s="52" cm="1">
        <f t="array" ref="X252">MMS_PastureBeef_Methane_Equations.VEERG_4_2_1_1__1_TotalAnnualMethaneProductionFromManureManagement(W220,X178,W236)</f>
        <v>9.1939303711228923E-3</v>
      </c>
      <c r="Y252" s="52" cm="1">
        <f t="array" ref="Y252">MMS_PastureBeef_Methane_Equations.VEERG_4_2_1_1__1_TotalAnnualMethaneProductionFromManureManagement(X220,Y178,X236)</f>
        <v>1.2942420771652413E-2</v>
      </c>
      <c r="Z252" s="52" cm="1">
        <f t="array" ref="Z252">MMS_PastureBeef_Methane_Equations.VEERG_4_2_1_1__1_TotalAnnualMethaneProductionFromManureManagement(Y220,Z178,Y236)</f>
        <v>1.2814580178255063E-2</v>
      </c>
      <c r="AA252" s="52" cm="1">
        <f t="array" ref="AA252">MMS_PastureBeef_Methane_Equations.VEERG_4_2_1_1__1_TotalAnnualMethaneProductionFromManureManagement(Z220,AA178,Z236)</f>
        <v>1.2814580178255063E-2</v>
      </c>
      <c r="AB252" s="52" cm="1">
        <f t="array" ref="AB252">MMS_PastureBeef_Methane_Equations.VEERG_4_2_1_1__1_TotalAnnualMethaneProductionFromManureManagement(AA220,AB178,AA236)</f>
        <v>1.0077014919586293E-2</v>
      </c>
      <c r="AC252" s="52" cm="1">
        <f t="array" ref="AC252">MMS_PastureBeef_Methane_Equations.VEERG_4_2_1_1__1_TotalAnnualMethaneProductionFromManureManagement(AB220,AC178,AB236)</f>
        <v>1.123258379818011E-2</v>
      </c>
      <c r="AD252" s="52" cm="1">
        <f t="array" ref="AD252">MMS_PastureBeef_Methane_Equations.VEERG_4_2_1_1__1_TotalAnnualMethaneProductionFromManureManagement(AC220,AD178,AC236)</f>
        <v>1.123258379818011E-2</v>
      </c>
      <c r="AE252" s="52" cm="1">
        <f t="array" ref="AE252">MMS_PastureBeef_Methane_Equations.VEERG_4_2_1_1__1_TotalAnnualMethaneProductionFromManureManagement(AD220,AE178,AD236)</f>
        <v>1.123258379818011E-2</v>
      </c>
      <c r="AF252" s="2" t="str">
        <f t="shared" si="12"/>
        <v>t CH4</v>
      </c>
    </row>
    <row r="253" spans="4:32" ht="20.100000000000001" customHeight="1" x14ac:dyDescent="0.25">
      <c r="T253" s="52" t="str">
        <f>'Input - Pasture Beef'!$D$185</f>
        <v>Pasture range and paddock</v>
      </c>
      <c r="U253" s="52" t="str">
        <f t="shared" si="13"/>
        <v>March 2024</v>
      </c>
      <c r="V253" s="52" cm="1">
        <f t="array" ref="V253">MMS_PastureBeef_Methane_Equations.VEERG_4_2_1_1__1_TotalAnnualMethaneProductionFromManureManagement(U221,V179,U237)</f>
        <v>5.4774412062255371E-3</v>
      </c>
      <c r="W253" s="52" cm="1">
        <f t="array" ref="W253">MMS_PastureBeef_Methane_Equations.VEERG_4_2_1_1__1_TotalAnnualMethaneProductionFromManureManagement(V221,W179,V237)</f>
        <v>1.5897673929250736E-2</v>
      </c>
      <c r="X253" s="52" cm="1">
        <f t="array" ref="X253">MMS_PastureBeef_Methane_Equations.VEERG_4_2_1_1__1_TotalAnnualMethaneProductionFromManureManagement(W221,X179,W237)</f>
        <v>4.9935315197206171E-3</v>
      </c>
      <c r="Y253" s="52" cm="1">
        <f t="array" ref="Y253">MMS_PastureBeef_Methane_Equations.VEERG_4_2_1_1__1_TotalAnnualMethaneProductionFromManureManagement(X221,Y179,X237)</f>
        <v>1.080344726490412E-2</v>
      </c>
      <c r="Z253" s="52" cm="1">
        <f t="array" ref="Z253">MMS_PastureBeef_Methane_Equations.VEERG_4_2_1_1__1_TotalAnnualMethaneProductionFromManureManagement(Y221,Z179,Y237)</f>
        <v>1.2181939831607903E-2</v>
      </c>
      <c r="AA253" s="52" cm="1">
        <f t="array" ref="AA253">MMS_PastureBeef_Methane_Equations.VEERG_4_2_1_1__1_TotalAnnualMethaneProductionFromManureManagement(Z221,AA179,Z237)</f>
        <v>1.2181939831607903E-2</v>
      </c>
      <c r="AB253" s="52" cm="1">
        <f t="array" ref="AB253">MMS_PastureBeef_Methane_Equations.VEERG_4_2_1_1__1_TotalAnnualMethaneProductionFromManureManagement(AA221,AB179,AA237)</f>
        <v>5.4774412062255371E-3</v>
      </c>
      <c r="AC253" s="52" cm="1">
        <f t="array" ref="AC253">MMS_PastureBeef_Methane_Equations.VEERG_4_2_1_1__1_TotalAnnualMethaneProductionFromManureManagement(AB221,AC179,AB237)</f>
        <v>9.9444284088173376E-3</v>
      </c>
      <c r="AD253" s="52" cm="1">
        <f t="array" ref="AD253">MMS_PastureBeef_Methane_Equations.VEERG_4_2_1_1__1_TotalAnnualMethaneProductionFromManureManagement(AC221,AD179,AC237)</f>
        <v>9.9444284088173376E-3</v>
      </c>
      <c r="AE253" s="52" cm="1">
        <f t="array" ref="AE253">MMS_PastureBeef_Methane_Equations.VEERG_4_2_1_1__1_TotalAnnualMethaneProductionFromManureManagement(AD221,AE179,AD237)</f>
        <v>9.9444284088173376E-3</v>
      </c>
      <c r="AF253" s="2" t="str">
        <f t="shared" si="12"/>
        <v>t CH4</v>
      </c>
    </row>
    <row r="254" spans="4:32" ht="20.100000000000001" customHeight="1" x14ac:dyDescent="0.25">
      <c r="T254" s="52" t="str">
        <f>'Input - Pasture Beef'!$D$185</f>
        <v>Pasture range and paddock</v>
      </c>
      <c r="U254" s="52" t="str">
        <f t="shared" si="13"/>
        <v>April 2024</v>
      </c>
      <c r="V254" s="52" cm="1">
        <f t="array" ref="V254">MMS_PastureBeef_Methane_Equations.VEERG_4_2_1_1__1_TotalAnnualMethaneProductionFromManureManagement(U222,V180,U238)</f>
        <v>5.3007495544118103E-3</v>
      </c>
      <c r="W254" s="52" cm="1">
        <f t="array" ref="W254">MMS_PastureBeef_Methane_Equations.VEERG_4_2_1_1__1_TotalAnnualMethaneProductionFromManureManagement(V222,W180,V238)</f>
        <v>1.5384845737984583E-2</v>
      </c>
      <c r="X254" s="52" cm="1">
        <f t="array" ref="X254">MMS_PastureBeef_Methane_Equations.VEERG_4_2_1_1__1_TotalAnnualMethaneProductionFromManureManagement(W222,X180,W238)</f>
        <v>4.8324498577941447E-3</v>
      </c>
      <c r="Y254" s="52" cm="1">
        <f t="array" ref="Y254">MMS_PastureBeef_Methane_Equations.VEERG_4_2_1_1__1_TotalAnnualMethaneProductionFromManureManagement(X222,Y180,X238)</f>
        <v>9.7255339218941788E-3</v>
      </c>
      <c r="Z254" s="52" cm="1">
        <f t="array" ref="Z254">MMS_PastureBeef_Methane_Equations.VEERG_4_2_1_1__1_TotalAnnualMethaneProductionFromManureManagement(Y222,Z180,Y238)</f>
        <v>1.0966487470314694E-2</v>
      </c>
      <c r="AA254" s="52" cm="1">
        <f t="array" ref="AA254">MMS_PastureBeef_Methane_Equations.VEERG_4_2_1_1__1_TotalAnnualMethaneProductionFromManureManagement(Z222,AA180,Z238)</f>
        <v>1.0966487470314694E-2</v>
      </c>
      <c r="AB254" s="52" cm="1">
        <f t="array" ref="AB254">MMS_PastureBeef_Methane_Equations.VEERG_4_2_1_1__1_TotalAnnualMethaneProductionFromManureManagement(AA222,AB180,AA238)</f>
        <v>5.3007495544118103E-3</v>
      </c>
      <c r="AC254" s="52" cm="1">
        <f t="array" ref="AC254">MMS_PastureBeef_Methane_Equations.VEERG_4_2_1_1__1_TotalAnnualMethaneProductionFromManureManagement(AB222,AC180,AB238)</f>
        <v>9.6236403956296828E-3</v>
      </c>
      <c r="AD254" s="52" cm="1">
        <f t="array" ref="AD254">MMS_PastureBeef_Methane_Equations.VEERG_4_2_1_1__1_TotalAnnualMethaneProductionFromManureManagement(AC222,AD180,AC238)</f>
        <v>9.6236403956296828E-3</v>
      </c>
      <c r="AE254" s="52" cm="1">
        <f t="array" ref="AE254">MMS_PastureBeef_Methane_Equations.VEERG_4_2_1_1__1_TotalAnnualMethaneProductionFromManureManagement(AD222,AE180,AD238)</f>
        <v>9.6236403956296828E-3</v>
      </c>
      <c r="AF254" s="2" t="str">
        <f t="shared" si="12"/>
        <v>t CH4</v>
      </c>
    </row>
    <row r="255" spans="4:32" ht="20.100000000000001" customHeight="1" x14ac:dyDescent="0.25">
      <c r="T255" s="52" t="str">
        <f>'Input - Pasture Beef'!$D$185</f>
        <v>Pasture range and paddock</v>
      </c>
      <c r="U255" s="52" t="str">
        <f t="shared" si="13"/>
        <v>May 2024</v>
      </c>
      <c r="V255" s="52" cm="1">
        <f t="array" ref="V255">MMS_PastureBeef_Methane_Equations.VEERG_4_2_1_1__1_TotalAnnualMethaneProductionFromManureManagement(U223,V181,U239)</f>
        <v>5.4774412062255371E-3</v>
      </c>
      <c r="W255" s="52" cm="1">
        <f t="array" ref="W255">MMS_PastureBeef_Methane_Equations.VEERG_4_2_1_1__1_TotalAnnualMethaneProductionFromManureManagement(V223,W181,V239)</f>
        <v>1.5897673929250736E-2</v>
      </c>
      <c r="X255" s="52" cm="1">
        <f t="array" ref="X255">MMS_PastureBeef_Methane_Equations.VEERG_4_2_1_1__1_TotalAnnualMethaneProductionFromManureManagement(W223,X181,W239)</f>
        <v>4.9935315197206171E-3</v>
      </c>
      <c r="Y255" s="52" cm="1">
        <f t="array" ref="Y255">MMS_PastureBeef_Methane_Equations.VEERG_4_2_1_1__1_TotalAnnualMethaneProductionFromManureManagement(X223,Y181,X239)</f>
        <v>1.0049718385957321E-2</v>
      </c>
      <c r="Z255" s="52" cm="1">
        <f t="array" ref="Z255">MMS_PastureBeef_Methane_Equations.VEERG_4_2_1_1__1_TotalAnnualMethaneProductionFromManureManagement(Y223,Z181,Y239)</f>
        <v>1.1332037052658516E-2</v>
      </c>
      <c r="AA255" s="52" cm="1">
        <f t="array" ref="AA255">MMS_PastureBeef_Methane_Equations.VEERG_4_2_1_1__1_TotalAnnualMethaneProductionFromManureManagement(Z223,AA181,Z239)</f>
        <v>1.1332037052658516E-2</v>
      </c>
      <c r="AB255" s="52" cm="1">
        <f t="array" ref="AB255">MMS_PastureBeef_Methane_Equations.VEERG_4_2_1_1__1_TotalAnnualMethaneProductionFromManureManagement(AA223,AB181,AA239)</f>
        <v>5.4774412062255371E-3</v>
      </c>
      <c r="AC255" s="52" cm="1">
        <f t="array" ref="AC255">MMS_PastureBeef_Methane_Equations.VEERG_4_2_1_1__1_TotalAnnualMethaneProductionFromManureManagement(AB223,AC181,AB239)</f>
        <v>9.9444284088173376E-3</v>
      </c>
      <c r="AD255" s="52" cm="1">
        <f t="array" ref="AD255">MMS_PastureBeef_Methane_Equations.VEERG_4_2_1_1__1_TotalAnnualMethaneProductionFromManureManagement(AC223,AD181,AC239)</f>
        <v>9.9444284088173376E-3</v>
      </c>
      <c r="AE255" s="52" cm="1">
        <f t="array" ref="AE255">MMS_PastureBeef_Methane_Equations.VEERG_4_2_1_1__1_TotalAnnualMethaneProductionFromManureManagement(AD223,AE181,AD239)</f>
        <v>9.9444284088173376E-3</v>
      </c>
      <c r="AF255" s="2" t="str">
        <f t="shared" si="12"/>
        <v>t CH4</v>
      </c>
    </row>
    <row r="256" spans="4:32" ht="20.100000000000001" customHeight="1" x14ac:dyDescent="0.25">
      <c r="T256" s="52" t="str">
        <f>'Input - Pasture Beef'!$D$185</f>
        <v>Pasture range and paddock</v>
      </c>
      <c r="U256" s="52" t="str">
        <f t="shared" si="13"/>
        <v>June 2024</v>
      </c>
      <c r="V256" s="52" cm="1">
        <f t="array" ref="V256">MMS_PastureBeef_Methane_Equations.VEERG_4_2_1_1__1_TotalAnnualMethaneProductionFromManureManagement(U224,V182,U240)</f>
        <v>7.1819695717055543E-3</v>
      </c>
      <c r="W256" s="52" cm="1">
        <f t="array" ref="W256">MMS_PastureBeef_Methane_Equations.VEERG_4_2_1_1__1_TotalAnnualMethaneProductionFromManureManagement(V224,W182,V240)</f>
        <v>1.3956858748939045E-2</v>
      </c>
      <c r="X256" s="52" cm="1">
        <f t="array" ref="X256">MMS_PastureBeef_Methane_Equations.VEERG_4_2_1_1__1_TotalAnnualMethaneProductionFromManureManagement(W224,X182,W240)</f>
        <v>5.8804400874438879E-3</v>
      </c>
      <c r="Y256" s="52" cm="1">
        <f t="array" ref="Y256">MMS_PastureBeef_Methane_Equations.VEERG_4_2_1_1__1_TotalAnnualMethaneProductionFromManureManagement(X224,Y182,X240)</f>
        <v>8.29421715436807E-3</v>
      </c>
      <c r="Z256" s="52" cm="1">
        <f t="array" ref="Z256">MMS_PastureBeef_Methane_Equations.VEERG_4_2_1_1__1_TotalAnnualMethaneProductionFromManureManagement(Y224,Z182,Y240)</f>
        <v>1.1126948017369406E-2</v>
      </c>
      <c r="AA256" s="52" cm="1">
        <f t="array" ref="AA256">MMS_PastureBeef_Methane_Equations.VEERG_4_2_1_1__1_TotalAnnualMethaneProductionFromManureManagement(Z224,AA182,Z240)</f>
        <v>1.1126948017369406E-2</v>
      </c>
      <c r="AB256" s="52" cm="1">
        <f t="array" ref="AB256">MMS_PastureBeef_Methane_Equations.VEERG_4_2_1_1__1_TotalAnnualMethaneProductionFromManureManagement(AA224,AB182,AA240)</f>
        <v>6.3135819303208052E-3</v>
      </c>
      <c r="AC256" s="52" cm="1">
        <f t="array" ref="AC256">MMS_PastureBeef_Methane_Equations.VEERG_4_2_1_1__1_TotalAnnualMethaneProductionFromManureManagement(AB224,AC182,AB240)</f>
        <v>9.6123199983828393E-3</v>
      </c>
      <c r="AD256" s="52" cm="1">
        <f t="array" ref="AD256">MMS_PastureBeef_Methane_Equations.VEERG_4_2_1_1__1_TotalAnnualMethaneProductionFromManureManagement(AC224,AD182,AC240)</f>
        <v>9.6123199983828393E-3</v>
      </c>
      <c r="AE256" s="52" cm="1">
        <f t="array" ref="AE256">MMS_PastureBeef_Methane_Equations.VEERG_4_2_1_1__1_TotalAnnualMethaneProductionFromManureManagement(AD224,AE182,AD240)</f>
        <v>9.6123199983828393E-3</v>
      </c>
      <c r="AF256" s="2" t="str">
        <f t="shared" si="12"/>
        <v>t CH4</v>
      </c>
    </row>
    <row r="257" spans="20:32" ht="20.100000000000001" customHeight="1" x14ac:dyDescent="0.25">
      <c r="T257" s="52" t="str">
        <f>'Input - Pasture Beef'!$D$185</f>
        <v>Pasture range and paddock</v>
      </c>
      <c r="U257" s="52" t="str">
        <f t="shared" si="13"/>
        <v>July 2024</v>
      </c>
      <c r="V257" s="52" cm="1">
        <f t="array" ref="V257">MMS_PastureBeef_Methane_Equations.VEERG_4_2_1_1__1_TotalAnnualMethaneProductionFromManureManagement(U225,V183,U241)</f>
        <v>7.4213685574290728E-3</v>
      </c>
      <c r="W257" s="52" cm="1">
        <f t="array" ref="W257">MMS_PastureBeef_Methane_Equations.VEERG_4_2_1_1__1_TotalAnnualMethaneProductionFromManureManagement(V225,W183,V241)</f>
        <v>1.4422087373903679E-2</v>
      </c>
      <c r="X257" s="52" cm="1">
        <f t="array" ref="X257">MMS_PastureBeef_Methane_Equations.VEERG_4_2_1_1__1_TotalAnnualMethaneProductionFromManureManagement(W225,X183,W241)</f>
        <v>6.0764547570253506E-3</v>
      </c>
      <c r="Y257" s="52" cm="1">
        <f t="array" ref="Y257">MMS_PastureBeef_Methane_Equations.VEERG_4_2_1_1__1_TotalAnnualMethaneProductionFromManureManagement(X225,Y183,X241)</f>
        <v>9.2134928889771976E-3</v>
      </c>
      <c r="Z257" s="52" cm="1">
        <f t="array" ref="Z257">MMS_PastureBeef_Methane_Equations.VEERG_4_2_1_1__1_TotalAnnualMethaneProductionFromManureManagement(Y225,Z183,Y241)</f>
        <v>1.2360184755961182E-2</v>
      </c>
      <c r="AA257" s="52" cm="1">
        <f t="array" ref="AA257">MMS_PastureBeef_Methane_Equations.VEERG_4_2_1_1__1_TotalAnnualMethaneProductionFromManureManagement(Z225,AA183,Z241)</f>
        <v>1.2360184755961182E-2</v>
      </c>
      <c r="AB257" s="52" cm="1">
        <f t="array" ref="AB257">MMS_PastureBeef_Methane_Equations.VEERG_4_2_1_1__1_TotalAnnualMethaneProductionFromManureManagement(AA225,AB183,AA241)</f>
        <v>6.5240346613314988E-3</v>
      </c>
      <c r="AC257" s="52" cm="1">
        <f t="array" ref="AC257">MMS_PastureBeef_Methane_Equations.VEERG_4_2_1_1__1_TotalAnnualMethaneProductionFromManureManagement(AB225,AC183,AB241)</f>
        <v>9.9327306649955992E-3</v>
      </c>
      <c r="AD257" s="52" cm="1">
        <f t="array" ref="AD257">MMS_PastureBeef_Methane_Equations.VEERG_4_2_1_1__1_TotalAnnualMethaneProductionFromManureManagement(AC225,AD183,AC241)</f>
        <v>9.9327306649955992E-3</v>
      </c>
      <c r="AE257" s="52" cm="1">
        <f t="array" ref="AE257">MMS_PastureBeef_Methane_Equations.VEERG_4_2_1_1__1_TotalAnnualMethaneProductionFromManureManagement(AD225,AE183,AD241)</f>
        <v>9.9327306649955992E-3</v>
      </c>
      <c r="AF257" s="2" t="str">
        <f t="shared" si="12"/>
        <v>t CH4</v>
      </c>
    </row>
    <row r="258" spans="20:32" ht="20.100000000000001" customHeight="1" x14ac:dyDescent="0.25">
      <c r="T258" s="52" t="str">
        <f>'Input - Pasture Beef'!$D$185</f>
        <v>Pasture range and paddock</v>
      </c>
      <c r="U258" s="52" t="str">
        <f t="shared" si="13"/>
        <v>August 2024</v>
      </c>
      <c r="V258" s="52" cm="1">
        <f t="array" ref="V258">MMS_PastureBeef_Methane_Equations.VEERG_4_2_1_1__1_TotalAnnualMethaneProductionFromManureManagement(U226,V184,U242)</f>
        <v>7.4213685574290728E-3</v>
      </c>
      <c r="W258" s="52" cm="1">
        <f t="array" ref="W258">MMS_PastureBeef_Methane_Equations.VEERG_4_2_1_1__1_TotalAnnualMethaneProductionFromManureManagement(V226,W184,V242)</f>
        <v>1.4422087373903679E-2</v>
      </c>
      <c r="X258" s="52" cm="1">
        <f t="array" ref="X258">MMS_PastureBeef_Methane_Equations.VEERG_4_2_1_1__1_TotalAnnualMethaneProductionFromManureManagement(W226,X184,W242)</f>
        <v>6.0764547570253506E-3</v>
      </c>
      <c r="Y258" s="52" cm="1">
        <f t="array" ref="Y258">MMS_PastureBeef_Methane_Equations.VEERG_4_2_1_1__1_TotalAnnualMethaneProductionFromManureManagement(X226,Y184,X242)</f>
        <v>9.2134928889771976E-3</v>
      </c>
      <c r="Z258" s="52" cm="1">
        <f t="array" ref="Z258">MMS_PastureBeef_Methane_Equations.VEERG_4_2_1_1__1_TotalAnnualMethaneProductionFromManureManagement(Y226,Z184,Y242)</f>
        <v>1.2360184755961182E-2</v>
      </c>
      <c r="AA258" s="52" cm="1">
        <f t="array" ref="AA258">MMS_PastureBeef_Methane_Equations.VEERG_4_2_1_1__1_TotalAnnualMethaneProductionFromManureManagement(Z226,AA184,Z242)</f>
        <v>1.2360184755961182E-2</v>
      </c>
      <c r="AB258" s="52" cm="1">
        <f t="array" ref="AB258">MMS_PastureBeef_Methane_Equations.VEERG_4_2_1_1__1_TotalAnnualMethaneProductionFromManureManagement(AA226,AB184,AA242)</f>
        <v>6.5240346613314988E-3</v>
      </c>
      <c r="AC258" s="52" cm="1">
        <f t="array" ref="AC258">MMS_PastureBeef_Methane_Equations.VEERG_4_2_1_1__1_TotalAnnualMethaneProductionFromManureManagement(AB226,AC184,AB242)</f>
        <v>9.9327306649955992E-3</v>
      </c>
      <c r="AD258" s="52" cm="1">
        <f t="array" ref="AD258">MMS_PastureBeef_Methane_Equations.VEERG_4_2_1_1__1_TotalAnnualMethaneProductionFromManureManagement(AC226,AD184,AC242)</f>
        <v>9.9327306649955992E-3</v>
      </c>
      <c r="AE258" s="52" cm="1">
        <f t="array" ref="AE258">MMS_PastureBeef_Methane_Equations.VEERG_4_2_1_1__1_TotalAnnualMethaneProductionFromManureManagement(AD226,AE184,AD242)</f>
        <v>9.9327306649955992E-3</v>
      </c>
      <c r="AF258" s="2" t="str">
        <f t="shared" si="12"/>
        <v>t CH4</v>
      </c>
    </row>
    <row r="259" spans="20:32" ht="20.100000000000001" customHeight="1" x14ac:dyDescent="0.25">
      <c r="T259" s="52" t="str">
        <f>'Input - Pasture Beef'!$D$185</f>
        <v>Pasture range and paddock</v>
      </c>
      <c r="U259" s="52" t="str">
        <f t="shared" si="13"/>
        <v>September 2024</v>
      </c>
      <c r="V259" s="52" cm="1">
        <f t="array" ref="V259">MMS_PastureBeef_Methane_Equations.VEERG_4_2_1_1__1_TotalAnnualMethaneProductionFromManureManagement(U227,V185,U243)</f>
        <v>1.2132361356796569E-2</v>
      </c>
      <c r="W259" s="52" cm="1">
        <f t="array" ref="W259">MMS_PastureBeef_Methane_Equations.VEERG_4_2_1_1__1_TotalAnnualMethaneProductionFromManureManagement(V227,W185,V243)</f>
        <v>1.713534758165354E-2</v>
      </c>
      <c r="X259" s="52" cm="1">
        <f t="array" ref="X259">MMS_PastureBeef_Methane_Equations.VEERG_4_2_1_1__1_TotalAnnualMethaneProductionFromManureManagement(W227,X185,W243)</f>
        <v>9.2472825229088541E-3</v>
      </c>
      <c r="Y259" s="52" cm="1">
        <f t="array" ref="Y259">MMS_PastureBeef_Methane_Equations.VEERG_4_2_1_1__1_TotalAnnualMethaneProductionFromManureManagement(X227,Y185,X243)</f>
        <v>1.3045566244571465E-2</v>
      </c>
      <c r="Z259" s="52" cm="1">
        <f t="array" ref="Z259">MMS_PastureBeef_Methane_Equations.VEERG_4_2_1_1__1_TotalAnnualMethaneProductionFromManureManagement(Y227,Z185,Y243)</f>
        <v>1.4486547622589519E-2</v>
      </c>
      <c r="AA259" s="52" cm="1">
        <f t="array" ref="AA259">MMS_PastureBeef_Methane_Equations.VEERG_4_2_1_1__1_TotalAnnualMethaneProductionFromManureManagement(Z227,AA185,Z243)</f>
        <v>1.4486547622589519E-2</v>
      </c>
      <c r="AB259" s="52" cm="1">
        <f t="array" ref="AB259">MMS_PastureBeef_Methane_Equations.VEERG_4_2_1_1__1_TotalAnnualMethaneProductionFromManureManagement(AA227,AB185,AA243)</f>
        <v>1.0660890764753827E-2</v>
      </c>
      <c r="AC259" s="52" cm="1">
        <f t="array" ref="AC259">MMS_PastureBeef_Methane_Equations.VEERG_4_2_1_1__1_TotalAnnualMethaneProductionFromManureManagement(AB227,AC185,AB243)</f>
        <v>1.3547688324550109E-2</v>
      </c>
      <c r="AD259" s="52" cm="1">
        <f t="array" ref="AD259">MMS_PastureBeef_Methane_Equations.VEERG_4_2_1_1__1_TotalAnnualMethaneProductionFromManureManagement(AC227,AD185,AC243)</f>
        <v>1.3547688324550109E-2</v>
      </c>
      <c r="AE259" s="52" cm="1">
        <f t="array" ref="AE259">MMS_PastureBeef_Methane_Equations.VEERG_4_2_1_1__1_TotalAnnualMethaneProductionFromManureManagement(AD227,AE185,AD243)</f>
        <v>1.3547688324550109E-2</v>
      </c>
      <c r="AF259" s="2" t="str">
        <f t="shared" si="12"/>
        <v>t CH4</v>
      </c>
    </row>
    <row r="260" spans="20:32" ht="20.100000000000001" customHeight="1" x14ac:dyDescent="0.25">
      <c r="T260" s="52" t="str">
        <f>'Input - Pasture Beef'!$D$185</f>
        <v>Pasture range and paddock</v>
      </c>
      <c r="U260" s="52" t="str">
        <f t="shared" si="13"/>
        <v>October 2024</v>
      </c>
      <c r="V260" s="52" cm="1">
        <f t="array" ref="V260">MMS_PastureBeef_Methane_Equations.VEERG_4_2_1_1__1_TotalAnnualMethaneProductionFromManureManagement(U228,V186,U244)</f>
        <v>1.2536773402023121E-2</v>
      </c>
      <c r="W260" s="52" cm="1">
        <f t="array" ref="W260">MMS_PastureBeef_Methane_Equations.VEERG_4_2_1_1__1_TotalAnnualMethaneProductionFromManureManagement(V228,W186,V244)</f>
        <v>1.7706525834375323E-2</v>
      </c>
      <c r="X260" s="52" cm="1">
        <f t="array" ref="X260">MMS_PastureBeef_Methane_Equations.VEERG_4_2_1_1__1_TotalAnnualMethaneProductionFromManureManagement(W228,X186,W244)</f>
        <v>9.555525273672481E-3</v>
      </c>
      <c r="Y260" s="52" cm="1">
        <f t="array" ref="Y260">MMS_PastureBeef_Methane_Equations.VEERG_4_2_1_1__1_TotalAnnualMethaneProductionFromManureManagement(X228,Y186,X244)</f>
        <v>1.5674905177585862E-2</v>
      </c>
      <c r="Z260" s="52" cm="1">
        <f t="array" ref="Z260">MMS_PastureBeef_Methane_Equations.VEERG_4_2_1_1__1_TotalAnnualMethaneProductionFromManureManagement(Y228,Z186,Y244)</f>
        <v>1.7406316910863383E-2</v>
      </c>
      <c r="AA260" s="52" cm="1">
        <f t="array" ref="AA260">MMS_PastureBeef_Methane_Equations.VEERG_4_2_1_1__1_TotalAnnualMethaneProductionFromManureManagement(Z228,AA186,Z244)</f>
        <v>1.7406316910863383E-2</v>
      </c>
      <c r="AB260" s="52" cm="1">
        <f t="array" ref="AB260">MMS_PastureBeef_Methane_Equations.VEERG_4_2_1_1__1_TotalAnnualMethaneProductionFromManureManagement(AA228,AB186,AA244)</f>
        <v>1.1016253790245621E-2</v>
      </c>
      <c r="AC260" s="52" cm="1">
        <f t="array" ref="AC260">MMS_PastureBeef_Methane_Equations.VEERG_4_2_1_1__1_TotalAnnualMethaneProductionFromManureManagement(AB228,AC186,AB244)</f>
        <v>1.3999277935368445E-2</v>
      </c>
      <c r="AD260" s="52" cm="1">
        <f t="array" ref="AD260">MMS_PastureBeef_Methane_Equations.VEERG_4_2_1_1__1_TotalAnnualMethaneProductionFromManureManagement(AC228,AD186,AC244)</f>
        <v>1.3999277935368445E-2</v>
      </c>
      <c r="AE260" s="52" cm="1">
        <f t="array" ref="AE260">MMS_PastureBeef_Methane_Equations.VEERG_4_2_1_1__1_TotalAnnualMethaneProductionFromManureManagement(AD228,AE186,AD244)</f>
        <v>1.3999277935368445E-2</v>
      </c>
      <c r="AF260" s="2" t="str">
        <f t="shared" si="12"/>
        <v>t CH4</v>
      </c>
    </row>
    <row r="261" spans="20:32" ht="20.100000000000001" customHeight="1" x14ac:dyDescent="0.25">
      <c r="T261" s="52" t="str">
        <f>'Input - Pasture Beef'!$D$185</f>
        <v>Pasture range and paddock</v>
      </c>
      <c r="U261" s="52" t="str">
        <f t="shared" si="13"/>
        <v>November 2024</v>
      </c>
      <c r="V261" s="52" cm="1">
        <f t="array" ref="V261">MMS_PastureBeef_Methane_Equations.VEERG_4_2_1_1__1_TotalAnnualMethaneProductionFromManureManagement(U229,V187,U245)</f>
        <v>1.2132361356796569E-2</v>
      </c>
      <c r="W261" s="52" cm="1">
        <f t="array" ref="W261">MMS_PastureBeef_Methane_Equations.VEERG_4_2_1_1__1_TotalAnnualMethaneProductionFromManureManagement(V229,W187,V245)</f>
        <v>1.713534758165354E-2</v>
      </c>
      <c r="X261" s="52" cm="1">
        <f t="array" ref="X261">MMS_PastureBeef_Methane_Equations.VEERG_4_2_1_1__1_TotalAnnualMethaneProductionFromManureManagement(W229,X187,W245)</f>
        <v>9.2472825229088541E-3</v>
      </c>
      <c r="Y261" s="52" cm="1">
        <f t="array" ref="Y261">MMS_PastureBeef_Methane_Equations.VEERG_4_2_1_1__1_TotalAnnualMethaneProductionFromManureManagement(X229,Y187,X245)</f>
        <v>1.5169263075083093E-2</v>
      </c>
      <c r="Z261" s="52" cm="1">
        <f t="array" ref="Z261">MMS_PastureBeef_Methane_Equations.VEERG_4_2_1_1__1_TotalAnnualMethaneProductionFromManureManagement(Y229,Z187,Y245)</f>
        <v>1.6844822816964564E-2</v>
      </c>
      <c r="AA261" s="52" cm="1">
        <f t="array" ref="AA261">MMS_PastureBeef_Methane_Equations.VEERG_4_2_1_1__1_TotalAnnualMethaneProductionFromManureManagement(Z229,AA187,Z245)</f>
        <v>1.6844822816964564E-2</v>
      </c>
      <c r="AB261" s="52" cm="1">
        <f t="array" ref="AB261">MMS_PastureBeef_Methane_Equations.VEERG_4_2_1_1__1_TotalAnnualMethaneProductionFromManureManagement(AA229,AB187,AA245)</f>
        <v>1.0660890764753827E-2</v>
      </c>
      <c r="AC261" s="52" cm="1">
        <f t="array" ref="AC261">MMS_PastureBeef_Methane_Equations.VEERG_4_2_1_1__1_TotalAnnualMethaneProductionFromManureManagement(AB229,AC187,AB245)</f>
        <v>1.3547688324550109E-2</v>
      </c>
      <c r="AD261" s="52" cm="1">
        <f t="array" ref="AD261">MMS_PastureBeef_Methane_Equations.VEERG_4_2_1_1__1_TotalAnnualMethaneProductionFromManureManagement(AC229,AD187,AC245)</f>
        <v>1.3547688324550109E-2</v>
      </c>
      <c r="AE261" s="52" cm="1">
        <f t="array" ref="AE261">MMS_PastureBeef_Methane_Equations.VEERG_4_2_1_1__1_TotalAnnualMethaneProductionFromManureManagement(AD229,AE187,AD245)</f>
        <v>1.3547688324550109E-2</v>
      </c>
      <c r="AF261" s="2" t="str">
        <f t="shared" si="12"/>
        <v>t CH4</v>
      </c>
    </row>
    <row r="262" spans="20:32" ht="20.100000000000001" customHeight="1" x14ac:dyDescent="0.25">
      <c r="T262" s="52" t="str">
        <f>'Input - Pasture Beef'!$D$185</f>
        <v>Pasture range and paddock</v>
      </c>
      <c r="U262" s="52" t="str">
        <f t="shared" si="13"/>
        <v>December 2024</v>
      </c>
      <c r="V262" s="52" cm="1">
        <f t="array" ref="V262">MMS_PastureBeef_Methane_Equations.VEERG_4_2_1_1__1_TotalAnnualMethaneProductionFromManureManagement(U230,V188,U246)</f>
        <v>1.1686395292803749E-2</v>
      </c>
      <c r="W262" s="52" cm="1">
        <f t="array" ref="W262">MMS_PastureBeef_Methane_Equations.VEERG_4_2_1_1__1_TotalAnnualMethaneProductionFromManureManagement(V230,W188,V246)</f>
        <v>1.5462256345510341E-2</v>
      </c>
      <c r="X262" s="52" cm="1">
        <f t="array" ref="X262">MMS_PastureBeef_Methane_Equations.VEERG_4_2_1_1__1_TotalAnnualMethaneProductionFromManureManagement(W230,X188,W246)</f>
        <v>9.827994534648608E-3</v>
      </c>
      <c r="Y262" s="52" cm="1">
        <f t="array" ref="Y262">MMS_PastureBeef_Methane_Equations.VEERG_4_2_1_1__1_TotalAnnualMethaneProductionFromManureManagement(X230,Y188,X246)</f>
        <v>1.6087211063401153E-2</v>
      </c>
      <c r="Z262" s="52" cm="1">
        <f t="array" ref="Z262">MMS_PastureBeef_Methane_Equations.VEERG_4_2_1_1__1_TotalAnnualMethaneProductionFromManureManagement(Y230,Z188,Y246)</f>
        <v>1.5928307358697154E-2</v>
      </c>
      <c r="AA262" s="52" cm="1">
        <f t="array" ref="AA262">MMS_PastureBeef_Methane_Equations.VEERG_4_2_1_1__1_TotalAnnualMethaneProductionFromManureManagement(Z230,AA188,Z246)</f>
        <v>1.5928307358697154E-2</v>
      </c>
      <c r="AB262" s="52" cm="1">
        <f t="array" ref="AB262">MMS_PastureBeef_Methane_Equations.VEERG_4_2_1_1__1_TotalAnnualMethaneProductionFromManureManagement(AA230,AB188,AA246)</f>
        <v>1.0771981465764659E-2</v>
      </c>
      <c r="AC262" s="52" cm="1">
        <f t="array" ref="AC262">MMS_PastureBeef_Methane_Equations.VEERG_4_2_1_1__1_TotalAnnualMethaneProductionFromManureManagement(AB230,AC188,AB246)</f>
        <v>1.2007244749778738E-2</v>
      </c>
      <c r="AD262" s="52" cm="1">
        <f t="array" ref="AD262">MMS_PastureBeef_Methane_Equations.VEERG_4_2_1_1__1_TotalAnnualMethaneProductionFromManureManagement(AC230,AD188,AC246)</f>
        <v>1.2007244749778738E-2</v>
      </c>
      <c r="AE262" s="52" cm="1">
        <f t="array" ref="AE262">MMS_PastureBeef_Methane_Equations.VEERG_4_2_1_1__1_TotalAnnualMethaneProductionFromManureManagement(AD230,AE188,AD246)</f>
        <v>1.2007244749778738E-2</v>
      </c>
      <c r="AF262" s="2" t="str">
        <f t="shared" si="12"/>
        <v>t CH4</v>
      </c>
    </row>
    <row r="263" spans="20:32" ht="20.100000000000001" customHeight="1" x14ac:dyDescent="0.25">
      <c r="T263" s="52" t="str">
        <f>'Input - Pasture Beef'!$D$186</f>
        <v>Anaerobic lagoon</v>
      </c>
      <c r="U263" s="52" t="str">
        <f>T235</f>
        <v>January 2024</v>
      </c>
      <c r="V263" s="52" cm="1">
        <f t="array" ref="V263">MMS_PastureBeef_Methane_Equations.VEERG_4_2_1_1__1_TotalAnnualMethaneProductionFromManureManagement(U219,V189,U235)</f>
        <v>7.1702260923240061E-3</v>
      </c>
      <c r="W263" s="52" cm="1">
        <f t="array" ref="W263">MMS_PastureBeef_Methane_Equations.VEERG_4_2_1_1__1_TotalAnnualMethaneProductionFromManureManagement(V219,W189,V235)</f>
        <v>9.4869180031117821E-3</v>
      </c>
      <c r="X263" s="52" cm="1">
        <f t="array" ref="X263">MMS_PastureBeef_Methane_Equations.VEERG_4_2_1_1__1_TotalAnnualMethaneProductionFromManureManagement(W219,X189,W235)</f>
        <v>6.0299982228864514E-3</v>
      </c>
      <c r="Y263" s="52" cm="1">
        <f t="array" ref="Y263">MMS_PastureBeef_Methane_Equations.VEERG_4_2_1_1__1_TotalAnnualMethaneProductionFromManureManagement(X219,Y189,X235)</f>
        <v>8.4885104740445305E-3</v>
      </c>
      <c r="Z263" s="52" cm="1">
        <f t="array" ref="Z263">MMS_PastureBeef_Methane_Equations.VEERG_4_2_1_1__1_TotalAnnualMethaneProductionFromManureManagement(Y219,Z189,Y235)</f>
        <v>8.4046640101404727E-3</v>
      </c>
      <c r="AA263" s="52" cm="1">
        <f t="array" ref="AA263">MMS_PastureBeef_Methane_Equations.VEERG_4_2_1_1__1_TotalAnnualMethaneProductionFromManureManagement(Z219,AA189,Z235)</f>
        <v>8.4046640101404727E-3</v>
      </c>
      <c r="AB263" s="52" cm="1">
        <f t="array" ref="AB263">MMS_PastureBeef_Methane_Equations.VEERG_4_2_1_1__1_TotalAnnualMethaneProductionFromManureManagement(AA219,AB189,AA235)</f>
        <v>6.6091844950185562E-3</v>
      </c>
      <c r="AC263" s="52" cm="1">
        <f t="array" ref="AC263">MMS_PastureBeef_Methane_Equations.VEERG_4_2_1_1__1_TotalAnnualMethaneProductionFromManureManagement(AB219,AC189,AB235)</f>
        <v>7.3670843270892388E-3</v>
      </c>
      <c r="AD263" s="52" cm="1">
        <f t="array" ref="AD263">MMS_PastureBeef_Methane_Equations.VEERG_4_2_1_1__1_TotalAnnualMethaneProductionFromManureManagement(AC219,AD189,AC235)</f>
        <v>7.3670843270892388E-3</v>
      </c>
      <c r="AE263" s="52" cm="1">
        <f t="array" ref="AE263">MMS_PastureBeef_Methane_Equations.VEERG_4_2_1_1__1_TotalAnnualMethaneProductionFromManureManagement(AD219,AE189,AD235)</f>
        <v>7.3670843270892388E-3</v>
      </c>
      <c r="AF263" s="2" t="str">
        <f t="shared" si="12"/>
        <v>t CH4</v>
      </c>
    </row>
    <row r="264" spans="20:32" ht="20.100000000000001" customHeight="1" x14ac:dyDescent="0.25">
      <c r="T264" s="52" t="str">
        <f>'Input - Pasture Beef'!$D$186</f>
        <v>Anaerobic lagoon</v>
      </c>
      <c r="U264" s="52" t="str">
        <f t="shared" ref="U264:U274" si="14">T236</f>
        <v>February 2024</v>
      </c>
      <c r="V264" s="52" cm="1">
        <f t="array" ref="V264">MMS_PastureBeef_Methane_Equations.VEERG_4_2_1_1__1_TotalAnnualMethaneProductionFromManureManagement(U220,V190,U236)</f>
        <v>6.7076308605611666E-3</v>
      </c>
      <c r="W264" s="52" cm="1">
        <f t="array" ref="W264">MMS_PastureBeef_Methane_Equations.VEERG_4_2_1_1__1_TotalAnnualMethaneProductionFromManureManagement(V220,W190,V236)</f>
        <v>8.874858777104571E-3</v>
      </c>
      <c r="X264" s="52" cm="1">
        <f t="array" ref="X264">MMS_PastureBeef_Methane_Equations.VEERG_4_2_1_1__1_TotalAnnualMethaneProductionFromManureManagement(W220,X190,W236)</f>
        <v>5.6409660794744226E-3</v>
      </c>
      <c r="Y264" s="52" cm="1">
        <f t="array" ref="Y264">MMS_PastureBeef_Methane_Equations.VEERG_4_2_1_1__1_TotalAnnualMethaneProductionFromManureManagement(X220,Y190,X236)</f>
        <v>7.940864637009399E-3</v>
      </c>
      <c r="Z264" s="52" cm="1">
        <f t="array" ref="Z264">MMS_PastureBeef_Methane_Equations.VEERG_4_2_1_1__1_TotalAnnualMethaneProductionFromManureManagement(Y220,Z190,Y236)</f>
        <v>7.8624276223894733E-3</v>
      </c>
      <c r="AA264" s="52" cm="1">
        <f t="array" ref="AA264">MMS_PastureBeef_Methane_Equations.VEERG_4_2_1_1__1_TotalAnnualMethaneProductionFromManureManagement(Z220,AA190,Z236)</f>
        <v>7.8624276223894733E-3</v>
      </c>
      <c r="AB264" s="52" cm="1">
        <f t="array" ref="AB264">MMS_PastureBeef_Methane_Equations.VEERG_4_2_1_1__1_TotalAnnualMethaneProductionFromManureManagement(AA220,AB190,AA236)</f>
        <v>6.1827854953399389E-3</v>
      </c>
      <c r="AC264" s="52" cm="1">
        <f t="array" ref="AC264">MMS_PastureBeef_Methane_Equations.VEERG_4_2_1_1__1_TotalAnnualMethaneProductionFromManureManagement(AB220,AC190,AB236)</f>
        <v>6.8917885640512235E-3</v>
      </c>
      <c r="AD264" s="52" cm="1">
        <f t="array" ref="AD264">MMS_PastureBeef_Methane_Equations.VEERG_4_2_1_1__1_TotalAnnualMethaneProductionFromManureManagement(AC220,AD190,AC236)</f>
        <v>6.8917885640512235E-3</v>
      </c>
      <c r="AE264" s="52" cm="1">
        <f t="array" ref="AE264">MMS_PastureBeef_Methane_Equations.VEERG_4_2_1_1__1_TotalAnnualMethaneProductionFromManureManagement(AD220,AE190,AD236)</f>
        <v>6.8917885640512235E-3</v>
      </c>
      <c r="AF264" s="2" t="str">
        <f t="shared" si="12"/>
        <v>t CH4</v>
      </c>
    </row>
    <row r="265" spans="20:32" ht="20.100000000000001" customHeight="1" x14ac:dyDescent="0.25">
      <c r="T265" s="52" t="str">
        <f>'Input - Pasture Beef'!$D$186</f>
        <v>Anaerobic lagoon</v>
      </c>
      <c r="U265" s="52" t="str">
        <f t="shared" si="14"/>
        <v>March 2024</v>
      </c>
      <c r="V265" s="52" cm="1">
        <f t="array" ref="V265">MMS_PastureBeef_Methane_Equations.VEERG_4_2_1_1__1_TotalAnnualMethaneProductionFromManureManagement(U221,V191,U237)</f>
        <v>3.3607019848313265E-3</v>
      </c>
      <c r="W265" s="52" cm="1">
        <f t="array" ref="W265">MMS_PastureBeef_Methane_Equations.VEERG_4_2_1_1__1_TotalAnnualMethaneProductionFromManureManagement(V221,W191,V237)</f>
        <v>9.7540698871418051E-3</v>
      </c>
      <c r="X265" s="52" cm="1">
        <f t="array" ref="X265">MMS_PastureBeef_Methane_Equations.VEERG_4_2_1_1__1_TotalAnnualMethaneProductionFromManureManagement(W221,X191,W237)</f>
        <v>3.0637976123904505E-3</v>
      </c>
      <c r="Y265" s="52" cm="1">
        <f t="array" ref="Y265">MMS_PastureBeef_Methane_Equations.VEERG_4_2_1_1__1_TotalAnnualMethaneProductionFromManureManagement(X221,Y191,X237)</f>
        <v>6.6284904390973539E-3</v>
      </c>
      <c r="Z265" s="52" cm="1">
        <f t="array" ref="Z265">MMS_PastureBeef_Methane_Equations.VEERG_4_2_1_1__1_TotalAnnualMethaneProductionFromManureManagement(Y221,Z191,Y237)</f>
        <v>7.4742690664847556E-3</v>
      </c>
      <c r="AA265" s="52" cm="1">
        <f t="array" ref="AA265">MMS_PastureBeef_Methane_Equations.VEERG_4_2_1_1__1_TotalAnnualMethaneProductionFromManureManagement(Z221,AA191,Z237)</f>
        <v>7.4742690664847556E-3</v>
      </c>
      <c r="AB265" s="52" cm="1">
        <f t="array" ref="AB265">MMS_PastureBeef_Methane_Equations.VEERG_4_2_1_1__1_TotalAnnualMethaneProductionFromManureManagement(AA221,AB191,AA237)</f>
        <v>3.3607019848313265E-3</v>
      </c>
      <c r="AC265" s="52" cm="1">
        <f t="array" ref="AC265">MMS_PastureBeef_Methane_Equations.VEERG_4_2_1_1__1_TotalAnnualMethaneProductionFromManureManagement(AB221,AC191,AB237)</f>
        <v>6.1014366075788718E-3</v>
      </c>
      <c r="AD265" s="52" cm="1">
        <f t="array" ref="AD265">MMS_PastureBeef_Methane_Equations.VEERG_4_2_1_1__1_TotalAnnualMethaneProductionFromManureManagement(AC221,AD191,AC237)</f>
        <v>6.1014366075788718E-3</v>
      </c>
      <c r="AE265" s="52" cm="1">
        <f t="array" ref="AE265">MMS_PastureBeef_Methane_Equations.VEERG_4_2_1_1__1_TotalAnnualMethaneProductionFromManureManagement(AD221,AE191,AD237)</f>
        <v>6.1014366075788718E-3</v>
      </c>
      <c r="AF265" s="2" t="str">
        <f t="shared" si="12"/>
        <v>t CH4</v>
      </c>
    </row>
    <row r="266" spans="20:32" ht="20.100000000000001" customHeight="1" x14ac:dyDescent="0.25">
      <c r="T266" s="52" t="str">
        <f>'Input - Pasture Beef'!$D$186</f>
        <v>Anaerobic lagoon</v>
      </c>
      <c r="U266" s="52" t="str">
        <f t="shared" si="14"/>
        <v>April 2024</v>
      </c>
      <c r="V266" s="52" cm="1">
        <f t="array" ref="V266">MMS_PastureBeef_Methane_Equations.VEERG_4_2_1_1__1_TotalAnnualMethaneProductionFromManureManagement(U222,V192,U238)</f>
        <v>3.2522922433851549E-3</v>
      </c>
      <c r="W266" s="52" cm="1">
        <f t="array" ref="W266">MMS_PastureBeef_Methane_Equations.VEERG_4_2_1_1__1_TotalAnnualMethaneProductionFromManureManagement(V222,W192,V238)</f>
        <v>9.4394224714275544E-3</v>
      </c>
      <c r="X266" s="52" cm="1">
        <f t="array" ref="X266">MMS_PastureBeef_Methane_Equations.VEERG_4_2_1_1__1_TotalAnnualMethaneProductionFromManureManagement(W222,X192,W238)</f>
        <v>2.9649654313455972E-3</v>
      </c>
      <c r="Y266" s="52" cm="1">
        <f t="array" ref="Y266">MMS_PastureBeef_Methane_Equations.VEERG_4_2_1_1__1_TotalAnnualMethaneProductionFromManureManagement(X222,Y192,X238)</f>
        <v>5.967133178482238E-3</v>
      </c>
      <c r="Z266" s="52" cm="1">
        <f t="array" ref="Z266">MMS_PastureBeef_Methane_Equations.VEERG_4_2_1_1__1_TotalAnnualMethaneProductionFromManureManagement(Y222,Z192,Y238)</f>
        <v>6.7285242909090066E-3</v>
      </c>
      <c r="AA266" s="52" cm="1">
        <f t="array" ref="AA266">MMS_PastureBeef_Methane_Equations.VEERG_4_2_1_1__1_TotalAnnualMethaneProductionFromManureManagement(Z222,AA192,Z238)</f>
        <v>6.7285242909090066E-3</v>
      </c>
      <c r="AB266" s="52" cm="1">
        <f t="array" ref="AB266">MMS_PastureBeef_Methane_Equations.VEERG_4_2_1_1__1_TotalAnnualMethaneProductionFromManureManagement(AA222,AB192,AA238)</f>
        <v>3.2522922433851549E-3</v>
      </c>
      <c r="AC266" s="52" cm="1">
        <f t="array" ref="AC266">MMS_PastureBeef_Methane_Equations.VEERG_4_2_1_1__1_TotalAnnualMethaneProductionFromManureManagement(AB222,AC192,AB238)</f>
        <v>5.90461607185052E-3</v>
      </c>
      <c r="AD266" s="52" cm="1">
        <f t="array" ref="AD266">MMS_PastureBeef_Methane_Equations.VEERG_4_2_1_1__1_TotalAnnualMethaneProductionFromManureManagement(AC222,AD192,AC238)</f>
        <v>5.90461607185052E-3</v>
      </c>
      <c r="AE266" s="52" cm="1">
        <f t="array" ref="AE266">MMS_PastureBeef_Methane_Equations.VEERG_4_2_1_1__1_TotalAnnualMethaneProductionFromManureManagement(AD222,AE192,AD238)</f>
        <v>5.90461607185052E-3</v>
      </c>
      <c r="AF266" s="2" t="str">
        <f t="shared" si="12"/>
        <v>t CH4</v>
      </c>
    </row>
    <row r="267" spans="20:32" ht="20.100000000000001" customHeight="1" x14ac:dyDescent="0.25">
      <c r="T267" s="52" t="str">
        <f>'Input - Pasture Beef'!$D$186</f>
        <v>Anaerobic lagoon</v>
      </c>
      <c r="U267" s="52" t="str">
        <f t="shared" si="14"/>
        <v>May 2024</v>
      </c>
      <c r="V267" s="52" cm="1">
        <f t="array" ref="V267">MMS_PastureBeef_Methane_Equations.VEERG_4_2_1_1__1_TotalAnnualMethaneProductionFromManureManagement(U223,V193,U239)</f>
        <v>3.3607019848313265E-3</v>
      </c>
      <c r="W267" s="52" cm="1">
        <f t="array" ref="W267">MMS_PastureBeef_Methane_Equations.VEERG_4_2_1_1__1_TotalAnnualMethaneProductionFromManureManagement(V223,W193,V239)</f>
        <v>9.7540698871418051E-3</v>
      </c>
      <c r="X267" s="52" cm="1">
        <f t="array" ref="X267">MMS_PastureBeef_Methane_Equations.VEERG_4_2_1_1__1_TotalAnnualMethaneProductionFromManureManagement(W223,X193,W239)</f>
        <v>3.0637976123904505E-3</v>
      </c>
      <c r="Y267" s="52" cm="1">
        <f t="array" ref="Y267">MMS_PastureBeef_Methane_Equations.VEERG_4_2_1_1__1_TotalAnnualMethaneProductionFromManureManagement(X223,Y193,X239)</f>
        <v>6.1660376177649781E-3</v>
      </c>
      <c r="Z267" s="52" cm="1">
        <f t="array" ref="Z267">MMS_PastureBeef_Methane_Equations.VEERG_4_2_1_1__1_TotalAnnualMethaneProductionFromManureManagement(Y223,Z193,Y239)</f>
        <v>6.9528084339393068E-3</v>
      </c>
      <c r="AA267" s="52" cm="1">
        <f t="array" ref="AA267">MMS_PastureBeef_Methane_Equations.VEERG_4_2_1_1__1_TotalAnnualMethaneProductionFromManureManagement(Z223,AA193,Z239)</f>
        <v>6.9528084339393068E-3</v>
      </c>
      <c r="AB267" s="52" cm="1">
        <f t="array" ref="AB267">MMS_PastureBeef_Methane_Equations.VEERG_4_2_1_1__1_TotalAnnualMethaneProductionFromManureManagement(AA223,AB193,AA239)</f>
        <v>3.3607019848313265E-3</v>
      </c>
      <c r="AC267" s="52" cm="1">
        <f t="array" ref="AC267">MMS_PastureBeef_Methane_Equations.VEERG_4_2_1_1__1_TotalAnnualMethaneProductionFromManureManagement(AB223,AC193,AB239)</f>
        <v>6.1014366075788718E-3</v>
      </c>
      <c r="AD267" s="52" cm="1">
        <f t="array" ref="AD267">MMS_PastureBeef_Methane_Equations.VEERG_4_2_1_1__1_TotalAnnualMethaneProductionFromManureManagement(AC223,AD193,AC239)</f>
        <v>6.1014366075788718E-3</v>
      </c>
      <c r="AE267" s="52" cm="1">
        <f t="array" ref="AE267">MMS_PastureBeef_Methane_Equations.VEERG_4_2_1_1__1_TotalAnnualMethaneProductionFromManureManagement(AD223,AE193,AD239)</f>
        <v>6.1014366075788718E-3</v>
      </c>
      <c r="AF267" s="2" t="str">
        <f t="shared" si="12"/>
        <v>t CH4</v>
      </c>
    </row>
    <row r="268" spans="20:32" ht="20.100000000000001" customHeight="1" x14ac:dyDescent="0.25">
      <c r="T268" s="52" t="str">
        <f>'Input - Pasture Beef'!$D$186</f>
        <v>Anaerobic lagoon</v>
      </c>
      <c r="U268" s="52" t="str">
        <f t="shared" si="14"/>
        <v>June 2024</v>
      </c>
      <c r="V268" s="52" cm="1">
        <f t="array" ref="V268">MMS_PastureBeef_Methane_Equations.VEERG_4_2_1_1__1_TotalAnnualMethaneProductionFromManureManagement(U224,V194,U240)</f>
        <v>4.4065209439758278E-3</v>
      </c>
      <c r="W268" s="52" cm="1">
        <f t="array" ref="W268">MMS_PastureBeef_Methane_Equations.VEERG_4_2_1_1__1_TotalAnnualMethaneProductionFromManureManagement(V224,W194,V240)</f>
        <v>8.5632763791711562E-3</v>
      </c>
      <c r="X268" s="52" cm="1">
        <f t="array" ref="X268">MMS_PastureBeef_Methane_Equations.VEERG_4_2_1_1__1_TotalAnnualMethaneProductionFromManureManagement(W224,X194,W240)</f>
        <v>3.607963267792425E-3</v>
      </c>
      <c r="Y268" s="52" cm="1">
        <f t="array" ref="Y268">MMS_PastureBeef_Methane_Equations.VEERG_4_2_1_1__1_TotalAnnualMethaneProductionFromManureManagement(X224,Y194,X240)</f>
        <v>5.088944089737632E-3</v>
      </c>
      <c r="Z268" s="52" cm="1">
        <f t="array" ref="Z268">MMS_PastureBeef_Methane_Equations.VEERG_4_2_1_1__1_TotalAnnualMethaneProductionFromManureManagement(Y224,Z194,Y240)</f>
        <v>6.8269753848908083E-3</v>
      </c>
      <c r="AA268" s="52" cm="1">
        <f t="array" ref="AA268">MMS_PastureBeef_Methane_Equations.VEERG_4_2_1_1__1_TotalAnnualMethaneProductionFromManureManagement(Z224,AA194,Z240)</f>
        <v>6.8269753848908083E-3</v>
      </c>
      <c r="AB268" s="52" cm="1">
        <f t="array" ref="AB268">MMS_PastureBeef_Methane_Equations.VEERG_4_2_1_1__1_TotalAnnualMethaneProductionFromManureManagement(AA224,AB194,AA240)</f>
        <v>3.8737188635650436E-3</v>
      </c>
      <c r="AC268" s="52" cm="1">
        <f t="array" ref="AC268">MMS_PastureBeef_Methane_Equations.VEERG_4_2_1_1__1_TotalAnnualMethaneProductionFromManureManagement(AB224,AC194,AB240)</f>
        <v>5.8976704050575455E-3</v>
      </c>
      <c r="AD268" s="52" cm="1">
        <f t="array" ref="AD268">MMS_PastureBeef_Methane_Equations.VEERG_4_2_1_1__1_TotalAnnualMethaneProductionFromManureManagement(AC224,AD194,AC240)</f>
        <v>5.8976704050575455E-3</v>
      </c>
      <c r="AE268" s="52" cm="1">
        <f t="array" ref="AE268">MMS_PastureBeef_Methane_Equations.VEERG_4_2_1_1__1_TotalAnnualMethaneProductionFromManureManagement(AD224,AE194,AD240)</f>
        <v>5.8976704050575455E-3</v>
      </c>
      <c r="AF268" s="2" t="str">
        <f t="shared" si="12"/>
        <v>t CH4</v>
      </c>
    </row>
    <row r="269" spans="20:32" ht="20.100000000000001" customHeight="1" x14ac:dyDescent="0.25">
      <c r="T269" s="52" t="str">
        <f>'Input - Pasture Beef'!$D$186</f>
        <v>Anaerobic lagoon</v>
      </c>
      <c r="U269" s="52" t="str">
        <f t="shared" si="14"/>
        <v>July 2024</v>
      </c>
      <c r="V269" s="52" cm="1">
        <f t="array" ref="V269">MMS_PastureBeef_Methane_Equations.VEERG_4_2_1_1__1_TotalAnnualMethaneProductionFromManureManagement(U225,V195,U241)</f>
        <v>4.5534049754416888E-3</v>
      </c>
      <c r="W269" s="52" cm="1">
        <f t="array" ref="W269">MMS_PastureBeef_Methane_Equations.VEERG_4_2_1_1__1_TotalAnnualMethaneProductionFromManureManagement(V225,W195,V241)</f>
        <v>8.8487189251435297E-3</v>
      </c>
      <c r="X269" s="52" cm="1">
        <f t="array" ref="X269">MMS_PastureBeef_Methane_Equations.VEERG_4_2_1_1__1_TotalAnnualMethaneProductionFromManureManagement(W225,X195,W241)</f>
        <v>3.728228710052173E-3</v>
      </c>
      <c r="Y269" s="52" cm="1">
        <f t="array" ref="Y269">MMS_PastureBeef_Methane_Equations.VEERG_4_2_1_1__1_TotalAnnualMethaneProductionFromManureManagement(X225,Y195,X241)</f>
        <v>5.6529687263502191E-3</v>
      </c>
      <c r="Z269" s="52" cm="1">
        <f t="array" ref="Z269">MMS_PastureBeef_Methane_Equations.VEERG_4_2_1_1__1_TotalAnnualMethaneProductionFromManureManagement(Y225,Z195,Y241)</f>
        <v>7.5836318233828727E-3</v>
      </c>
      <c r="AA269" s="52" cm="1">
        <f t="array" ref="AA269">MMS_PastureBeef_Methane_Equations.VEERG_4_2_1_1__1_TotalAnnualMethaneProductionFromManureManagement(Z225,AA195,Z241)</f>
        <v>7.5836318233828727E-3</v>
      </c>
      <c r="AB269" s="52" cm="1">
        <f t="array" ref="AB269">MMS_PastureBeef_Methane_Equations.VEERG_4_2_1_1__1_TotalAnnualMethaneProductionFromManureManagement(AA225,AB195,AA241)</f>
        <v>4.0028428256838784E-3</v>
      </c>
      <c r="AC269" s="52" cm="1">
        <f t="array" ref="AC269">MMS_PastureBeef_Methane_Equations.VEERG_4_2_1_1__1_TotalAnnualMethaneProductionFromManureManagement(AB225,AC195,AB241)</f>
        <v>6.0942594185594634E-3</v>
      </c>
      <c r="AD269" s="52" cm="1">
        <f t="array" ref="AD269">MMS_PastureBeef_Methane_Equations.VEERG_4_2_1_1__1_TotalAnnualMethaneProductionFromManureManagement(AC225,AD195,AC241)</f>
        <v>6.0942594185594634E-3</v>
      </c>
      <c r="AE269" s="52" cm="1">
        <f t="array" ref="AE269">MMS_PastureBeef_Methane_Equations.VEERG_4_2_1_1__1_TotalAnnualMethaneProductionFromManureManagement(AD225,AE195,AD241)</f>
        <v>6.0942594185594634E-3</v>
      </c>
      <c r="AF269" s="2" t="str">
        <f t="shared" si="12"/>
        <v>t CH4</v>
      </c>
    </row>
    <row r="270" spans="20:32" ht="20.100000000000001" customHeight="1" x14ac:dyDescent="0.25">
      <c r="T270" s="52" t="str">
        <f>'Input - Pasture Beef'!$D$186</f>
        <v>Anaerobic lagoon</v>
      </c>
      <c r="U270" s="52" t="str">
        <f t="shared" si="14"/>
        <v>August 2024</v>
      </c>
      <c r="V270" s="52" cm="1">
        <f t="array" ref="V270">MMS_PastureBeef_Methane_Equations.VEERG_4_2_1_1__1_TotalAnnualMethaneProductionFromManureManagement(U226,V196,U242)</f>
        <v>4.5534049754416888E-3</v>
      </c>
      <c r="W270" s="52" cm="1">
        <f t="array" ref="W270">MMS_PastureBeef_Methane_Equations.VEERG_4_2_1_1__1_TotalAnnualMethaneProductionFromManureManagement(V226,W196,V242)</f>
        <v>8.8487189251435297E-3</v>
      </c>
      <c r="X270" s="52" cm="1">
        <f t="array" ref="X270">MMS_PastureBeef_Methane_Equations.VEERG_4_2_1_1__1_TotalAnnualMethaneProductionFromManureManagement(W226,X196,W242)</f>
        <v>3.728228710052173E-3</v>
      </c>
      <c r="Y270" s="52" cm="1">
        <f t="array" ref="Y270">MMS_PastureBeef_Methane_Equations.VEERG_4_2_1_1__1_TotalAnnualMethaneProductionFromManureManagement(X226,Y196,X242)</f>
        <v>5.6529687263502191E-3</v>
      </c>
      <c r="Z270" s="52" cm="1">
        <f t="array" ref="Z270">MMS_PastureBeef_Methane_Equations.VEERG_4_2_1_1__1_TotalAnnualMethaneProductionFromManureManagement(Y226,Z196,Y242)</f>
        <v>7.5836318233828727E-3</v>
      </c>
      <c r="AA270" s="52" cm="1">
        <f t="array" ref="AA270">MMS_PastureBeef_Methane_Equations.VEERG_4_2_1_1__1_TotalAnnualMethaneProductionFromManureManagement(Z226,AA196,Z242)</f>
        <v>7.5836318233828727E-3</v>
      </c>
      <c r="AB270" s="52" cm="1">
        <f t="array" ref="AB270">MMS_PastureBeef_Methane_Equations.VEERG_4_2_1_1__1_TotalAnnualMethaneProductionFromManureManagement(AA226,AB196,AA242)</f>
        <v>4.0028428256838784E-3</v>
      </c>
      <c r="AC270" s="52" cm="1">
        <f t="array" ref="AC270">MMS_PastureBeef_Methane_Equations.VEERG_4_2_1_1__1_TotalAnnualMethaneProductionFromManureManagement(AB226,AC196,AB242)</f>
        <v>6.0942594185594634E-3</v>
      </c>
      <c r="AD270" s="52" cm="1">
        <f t="array" ref="AD270">MMS_PastureBeef_Methane_Equations.VEERG_4_2_1_1__1_TotalAnnualMethaneProductionFromManureManagement(AC226,AD196,AC242)</f>
        <v>6.0942594185594634E-3</v>
      </c>
      <c r="AE270" s="52" cm="1">
        <f t="array" ref="AE270">MMS_PastureBeef_Methane_Equations.VEERG_4_2_1_1__1_TotalAnnualMethaneProductionFromManureManagement(AD226,AE196,AD242)</f>
        <v>6.0942594185594634E-3</v>
      </c>
      <c r="AF270" s="2" t="str">
        <f t="shared" si="12"/>
        <v>t CH4</v>
      </c>
    </row>
    <row r="271" spans="20:32" ht="20.100000000000001" customHeight="1" x14ac:dyDescent="0.25">
      <c r="T271" s="52" t="str">
        <f>'Input - Pasture Beef'!$D$186</f>
        <v>Anaerobic lagoon</v>
      </c>
      <c r="U271" s="52" t="str">
        <f t="shared" si="14"/>
        <v>September 2024</v>
      </c>
      <c r="V271" s="52" cm="1">
        <f t="array" ref="V271">MMS_PastureBeef_Methane_Equations.VEERG_4_2_1_1__1_TotalAnnualMethaneProductionFromManureManagement(U227,V197,U243)</f>
        <v>7.4438500309478729E-3</v>
      </c>
      <c r="W271" s="52" cm="1">
        <f t="array" ref="W271">MMS_PastureBeef_Methane_Equations.VEERG_4_2_1_1__1_TotalAnnualMethaneProductionFromManureManagement(V227,W197,V243)</f>
        <v>1.0513448608628762E-2</v>
      </c>
      <c r="X271" s="52" cm="1">
        <f t="array" ref="X271">MMS_PastureBeef_Methane_Equations.VEERG_4_2_1_1__1_TotalAnnualMethaneProductionFromManureManagement(W227,X197,W243)</f>
        <v>5.6737004668738376E-3</v>
      </c>
      <c r="Y271" s="52" cm="1">
        <f t="array" ref="Y271">MMS_PastureBeef_Methane_Equations.VEERG_4_2_1_1__1_TotalAnnualMethaneProductionFromManureManagement(X227,Y197,X243)</f>
        <v>8.0041498796097985E-3</v>
      </c>
      <c r="Z271" s="52" cm="1">
        <f t="array" ref="Z271">MMS_PastureBeef_Methane_Equations.VEERG_4_2_1_1__1_TotalAnnualMethaneProductionFromManureManagement(Y227,Z197,Y243)</f>
        <v>8.8882687217629822E-3</v>
      </c>
      <c r="AA271" s="52" cm="1">
        <f t="array" ref="AA271">MMS_PastureBeef_Methane_Equations.VEERG_4_2_1_1__1_TotalAnnualMethaneProductionFromManureManagement(Z227,AA197,Z243)</f>
        <v>8.8882687217629822E-3</v>
      </c>
      <c r="AB271" s="52" cm="1">
        <f t="array" ref="AB271">MMS_PastureBeef_Methane_Equations.VEERG_4_2_1_1__1_TotalAnnualMethaneProductionFromManureManagement(AA227,AB197,AA243)</f>
        <v>6.541024431710331E-3</v>
      </c>
      <c r="AC271" s="52" cm="1">
        <f t="array" ref="AC271">MMS_PastureBeef_Methane_Equations.VEERG_4_2_1_1__1_TotalAnnualMethaneProductionFromManureManagement(AB227,AC197,AB243)</f>
        <v>8.3122285256925534E-3</v>
      </c>
      <c r="AD271" s="52" cm="1">
        <f t="array" ref="AD271">MMS_PastureBeef_Methane_Equations.VEERG_4_2_1_1__1_TotalAnnualMethaneProductionFromManureManagement(AC227,AD197,AC243)</f>
        <v>8.3122285256925534E-3</v>
      </c>
      <c r="AE271" s="52" cm="1">
        <f t="array" ref="AE271">MMS_PastureBeef_Methane_Equations.VEERG_4_2_1_1__1_TotalAnnualMethaneProductionFromManureManagement(AD227,AE197,AD243)</f>
        <v>8.3122285256925534E-3</v>
      </c>
      <c r="AF271" s="2" t="str">
        <f t="shared" si="12"/>
        <v>t CH4</v>
      </c>
    </row>
    <row r="272" spans="20:32" x14ac:dyDescent="0.25">
      <c r="T272" s="52" t="str">
        <f>'Input - Pasture Beef'!$D$186</f>
        <v>Anaerobic lagoon</v>
      </c>
      <c r="U272" s="52" t="str">
        <f t="shared" si="14"/>
        <v>October 2024</v>
      </c>
      <c r="V272" s="52" cm="1">
        <f t="array" ref="V272">MMS_PastureBeef_Methane_Equations.VEERG_4_2_1_1__1_TotalAnnualMethaneProductionFromManureManagement(U228,V198,U244)</f>
        <v>7.6919783653128021E-3</v>
      </c>
      <c r="W272" s="52" cm="1">
        <f t="array" ref="W272">MMS_PastureBeef_Methane_Equations.VEERG_4_2_1_1__1_TotalAnnualMethaneProductionFromManureManagement(V228,W198,V244)</f>
        <v>1.0863896895583055E-2</v>
      </c>
      <c r="X272" s="52" cm="1">
        <f t="array" ref="X272">MMS_PastureBeef_Methane_Equations.VEERG_4_2_1_1__1_TotalAnnualMethaneProductionFromManureManagement(W228,X198,W244)</f>
        <v>5.862823815769632E-3</v>
      </c>
      <c r="Y272" s="52" cm="1">
        <f t="array" ref="Y272">MMS_PastureBeef_Methane_Equations.VEERG_4_2_1_1__1_TotalAnnualMethaneProductionFromManureManagement(X228,Y198,X244)</f>
        <v>9.6173893902288272E-3</v>
      </c>
      <c r="Z272" s="52" cm="1">
        <f t="array" ref="Z272">MMS_PastureBeef_Methane_Equations.VEERG_4_2_1_1__1_TotalAnnualMethaneProductionFromManureManagement(Y228,Z198,Y244)</f>
        <v>1.0679702727699709E-2</v>
      </c>
      <c r="AA272" s="52" cm="1">
        <f t="array" ref="AA272">MMS_PastureBeef_Methane_Equations.VEERG_4_2_1_1__1_TotalAnnualMethaneProductionFromManureManagement(Z228,AA198,Z244)</f>
        <v>1.0679702727699709E-2</v>
      </c>
      <c r="AB272" s="52" cm="1">
        <f t="array" ref="AB272">MMS_PastureBeef_Methane_Equations.VEERG_4_2_1_1__1_TotalAnnualMethaneProductionFromManureManagement(AA228,AB198,AA244)</f>
        <v>6.7590585794340078E-3</v>
      </c>
      <c r="AC272" s="52" cm="1">
        <f t="array" ref="AC272">MMS_PastureBeef_Methane_Equations.VEERG_4_2_1_1__1_TotalAnnualMethaneProductionFromManureManagement(AB228,AC198,AB244)</f>
        <v>8.5893028098823054E-3</v>
      </c>
      <c r="AD272" s="52" cm="1">
        <f t="array" ref="AD272">MMS_PastureBeef_Methane_Equations.VEERG_4_2_1_1__1_TotalAnnualMethaneProductionFromManureManagement(AC228,AD198,AC244)</f>
        <v>8.5893028098823054E-3</v>
      </c>
      <c r="AE272" s="52" cm="1">
        <f t="array" ref="AE272">MMS_PastureBeef_Methane_Equations.VEERG_4_2_1_1__1_TotalAnnualMethaneProductionFromManureManagement(AD228,AE198,AD244)</f>
        <v>8.5893028098823054E-3</v>
      </c>
      <c r="AF272" s="2" t="str">
        <f t="shared" si="12"/>
        <v>t CH4</v>
      </c>
    </row>
    <row r="273" spans="20:32" x14ac:dyDescent="0.25">
      <c r="T273" s="52" t="str">
        <f>'Input - Pasture Beef'!$D$186</f>
        <v>Anaerobic lagoon</v>
      </c>
      <c r="U273" s="52" t="str">
        <f t="shared" si="14"/>
        <v>November 2024</v>
      </c>
      <c r="V273" s="52" cm="1">
        <f t="array" ref="V273">MMS_PastureBeef_Methane_Equations.VEERG_4_2_1_1__1_TotalAnnualMethaneProductionFromManureManagement(U229,V199,U245)</f>
        <v>7.4438500309478729E-3</v>
      </c>
      <c r="W273" s="52" cm="1">
        <f t="array" ref="W273">MMS_PastureBeef_Methane_Equations.VEERG_4_2_1_1__1_TotalAnnualMethaneProductionFromManureManagement(V229,W199,V245)</f>
        <v>1.0513448608628762E-2</v>
      </c>
      <c r="X273" s="52" cm="1">
        <f t="array" ref="X273">MMS_PastureBeef_Methane_Equations.VEERG_4_2_1_1__1_TotalAnnualMethaneProductionFromManureManagement(W229,X199,W245)</f>
        <v>5.6737004668738376E-3</v>
      </c>
      <c r="Y273" s="52" cm="1">
        <f t="array" ref="Y273">MMS_PastureBeef_Methane_Equations.VEERG_4_2_1_1__1_TotalAnnualMethaneProductionFromManureManagement(X229,Y199,X245)</f>
        <v>9.3071510228020897E-3</v>
      </c>
      <c r="Z273" s="52" cm="1">
        <f t="array" ref="Z273">MMS_PastureBeef_Methane_Equations.VEERG_4_2_1_1__1_TotalAnnualMethaneProductionFromManureManagement(Y229,Z199,Y245)</f>
        <v>1.0335196188096493E-2</v>
      </c>
      <c r="AA273" s="52" cm="1">
        <f t="array" ref="AA273">MMS_PastureBeef_Methane_Equations.VEERG_4_2_1_1__1_TotalAnnualMethaneProductionFromManureManagement(Z229,AA199,Z245)</f>
        <v>1.0335196188096493E-2</v>
      </c>
      <c r="AB273" s="52" cm="1">
        <f t="array" ref="AB273">MMS_PastureBeef_Methane_Equations.VEERG_4_2_1_1__1_TotalAnnualMethaneProductionFromManureManagement(AA229,AB199,AA245)</f>
        <v>6.541024431710331E-3</v>
      </c>
      <c r="AC273" s="52" cm="1">
        <f t="array" ref="AC273">MMS_PastureBeef_Methane_Equations.VEERG_4_2_1_1__1_TotalAnnualMethaneProductionFromManureManagement(AB229,AC199,AB245)</f>
        <v>8.3122285256925534E-3</v>
      </c>
      <c r="AD273" s="52" cm="1">
        <f t="array" ref="AD273">MMS_PastureBeef_Methane_Equations.VEERG_4_2_1_1__1_TotalAnnualMethaneProductionFromManureManagement(AC229,AD199,AC245)</f>
        <v>8.3122285256925534E-3</v>
      </c>
      <c r="AE273" s="52" cm="1">
        <f t="array" ref="AE273">MMS_PastureBeef_Methane_Equations.VEERG_4_2_1_1__1_TotalAnnualMethaneProductionFromManureManagement(AD229,AE199,AD245)</f>
        <v>8.3122285256925534E-3</v>
      </c>
      <c r="AF273" s="2" t="str">
        <f t="shared" si="12"/>
        <v>t CH4</v>
      </c>
    </row>
    <row r="274" spans="20:32" x14ac:dyDescent="0.25">
      <c r="T274" s="52" t="str">
        <f>'Input - Pasture Beef'!$D$186</f>
        <v>Anaerobic lagoon</v>
      </c>
      <c r="U274" s="52" t="str">
        <f t="shared" si="14"/>
        <v>December 2024</v>
      </c>
      <c r="V274" s="52" cm="1">
        <f t="array" ref="V274">MMS_PastureBeef_Methane_Equations.VEERG_4_2_1_1__1_TotalAnnualMethaneProductionFromManureManagement(U230,V200,U246)</f>
        <v>7.1702260923240061E-3</v>
      </c>
      <c r="W274" s="52" cm="1">
        <f t="array" ref="W274">MMS_PastureBeef_Methane_Equations.VEERG_4_2_1_1__1_TotalAnnualMethaneProductionFromManureManagement(V230,W200,V246)</f>
        <v>9.4869180031117821E-3</v>
      </c>
      <c r="X274" s="52" cm="1">
        <f t="array" ref="X274">MMS_PastureBeef_Methane_Equations.VEERG_4_2_1_1__1_TotalAnnualMethaneProductionFromManureManagement(W230,X200,W246)</f>
        <v>6.0299982228864514E-3</v>
      </c>
      <c r="Y274" s="52" cm="1">
        <f t="array" ref="Y274">MMS_PastureBeef_Methane_Equations.VEERG_4_2_1_1__1_TotalAnnualMethaneProductionFromManureManagement(X230,Y200,X246)</f>
        <v>9.870361016330844E-3</v>
      </c>
      <c r="Z274" s="52" cm="1">
        <f t="array" ref="Z274">MMS_PastureBeef_Methane_Equations.VEERG_4_2_1_1__1_TotalAnnualMethaneProductionFromManureManagement(Y230,Z200,Y246)</f>
        <v>9.7728651280703151E-3</v>
      </c>
      <c r="AA274" s="52" cm="1">
        <f t="array" ref="AA274">MMS_PastureBeef_Methane_Equations.VEERG_4_2_1_1__1_TotalAnnualMethaneProductionFromManureManagement(Z230,AA200,Z246)</f>
        <v>9.7728651280703151E-3</v>
      </c>
      <c r="AB274" s="52" cm="1">
        <f t="array" ref="AB274">MMS_PastureBeef_Methane_Equations.VEERG_4_2_1_1__1_TotalAnnualMethaneProductionFromManureManagement(AA230,AB200,AA246)</f>
        <v>6.6091844950185562E-3</v>
      </c>
      <c r="AC274" s="52" cm="1">
        <f t="array" ref="AC274">MMS_PastureBeef_Methane_Equations.VEERG_4_2_1_1__1_TotalAnnualMethaneProductionFromManureManagement(AB230,AC200,AB246)</f>
        <v>7.3670843270892388E-3</v>
      </c>
      <c r="AD274" s="52" cm="1">
        <f t="array" ref="AD274">MMS_PastureBeef_Methane_Equations.VEERG_4_2_1_1__1_TotalAnnualMethaneProductionFromManureManagement(AC230,AD200,AC246)</f>
        <v>7.3670843270892388E-3</v>
      </c>
      <c r="AE274" s="52" cm="1">
        <f t="array" ref="AE274">MMS_PastureBeef_Methane_Equations.VEERG_4_2_1_1__1_TotalAnnualMethaneProductionFromManureManagement(AD230,AE200,AD246)</f>
        <v>7.3670843270892388E-3</v>
      </c>
      <c r="AF274" s="2" t="str">
        <f t="shared" si="12"/>
        <v>t CH4</v>
      </c>
    </row>
    <row r="276" spans="20:32" ht="23.25" x14ac:dyDescent="0.25">
      <c r="T276" s="101" t="s">
        <v>312</v>
      </c>
      <c r="U276" s="102">
        <f>SUM(V251:AE274)</f>
        <v>2.1930247440277975</v>
      </c>
      <c r="V276" s="103">
        <f>U242</f>
        <v>31</v>
      </c>
    </row>
    <row r="278" spans="20:32" x14ac:dyDescent="0.25">
      <c r="T278" s="57" t="str" cm="1">
        <f t="array" ref="T278:U279">Common_Equations.Common_ConvertCH4ToCO2e_Arguments()</f>
        <v>ECH4</v>
      </c>
      <c r="U278" s="58" t="str">
        <v>Methane emissions (t CH4)</v>
      </c>
      <c r="V278" s="104"/>
      <c r="W278" s="52">
        <f>U276</f>
        <v>2.1930247440277975</v>
      </c>
    </row>
    <row r="279" spans="20:32" x14ac:dyDescent="0.25">
      <c r="T279" s="57" t="str">
        <v>GWPCH4</v>
      </c>
      <c r="U279" s="58" t="str">
        <v>Global warming potential for methane (t CO2-e / t CH4)</v>
      </c>
      <c r="V279" s="104"/>
      <c r="W279" s="52">
        <f>Common_InputFunctions.Utility_LookupValueInTableNumber("CH4",Table_GWPData[Gas],Table_GWPData[CO2-e factor])</f>
        <v>28</v>
      </c>
    </row>
    <row r="281" spans="20:32" ht="18.75" x14ac:dyDescent="0.25">
      <c r="T281" s="45" t="s">
        <v>104</v>
      </c>
      <c r="U281" s="45" cm="1">
        <f t="array" ref="U281">Common_Equations.Common_ConvertN2OToCO2e(W278,W279)</f>
        <v>61.404692832778331</v>
      </c>
      <c r="V281" s="105" t="str" cm="1">
        <f t="array" ref="V281">Common_Equations.Common_ConvertN2OToCO2e_Unit()</f>
        <v>t CO2e</v>
      </c>
    </row>
  </sheetData>
  <dataValidations count="1">
    <dataValidation operator="equal" allowBlank="1" showInputMessage="1" showErrorMessage="1" sqref="U172:Z172 E255 D154:F154 G166:J166 E121:J121 F122:J126 U206 E203 E258 U203 E141:J141 V143:Z144 E206 F135:F136 F142:J144 F167:J167 F172:J173 V173:Z173 U166:Z166 V167:Z167" xr:uid="{AF7BB680-B75F-4AE8-AA2D-EDF03FCB10D8}"/>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652C6-038D-41EC-BA1B-216C9E3A60D3}">
  <dimension ref="A1:AG291"/>
  <sheetViews>
    <sheetView showGridLines="0" topLeftCell="A121" zoomScaleNormal="100" workbookViewId="0">
      <selection activeCell="G234" sqref="G234"/>
    </sheetView>
  </sheetViews>
  <sheetFormatPr defaultRowHeight="15.75" x14ac:dyDescent="0.25"/>
  <cols>
    <col min="1" max="1" width="30.7109375" customWidth="1"/>
    <col min="2" max="2" width="4.7109375" customWidth="1"/>
    <col min="3" max="3" width="4.7109375" style="1" customWidth="1"/>
    <col min="4" max="16" width="30.7109375" style="1" customWidth="1"/>
    <col min="17" max="17" width="4.7109375" style="1" customWidth="1"/>
    <col min="18" max="18" width="4.7109375" customWidth="1"/>
    <col min="19" max="19" width="4.7109375" style="1" customWidth="1"/>
    <col min="20" max="32" width="30.7109375" style="1" customWidth="1"/>
    <col min="33" max="33" width="4.7109375" style="1" customWidth="1"/>
  </cols>
  <sheetData>
    <row r="1" spans="1:33" s="8" customFormat="1" ht="30" customHeight="1" x14ac:dyDescent="0.35">
      <c r="A1" s="68" t="e" vm="1">
        <v>#VALUE!</v>
      </c>
      <c r="C1" s="8" t="s">
        <v>293</v>
      </c>
    </row>
    <row r="2" spans="1:33" s="9" customFormat="1" ht="20.100000000000001" customHeight="1" x14ac:dyDescent="0.25"/>
    <row r="3" spans="1:33" ht="20.100000000000001" customHeight="1" x14ac:dyDescent="0.25">
      <c r="A3" s="17" t="str">
        <f>HYPERLINK("#'Home'!A1", "Home")</f>
        <v>Home</v>
      </c>
      <c r="C3" s="4"/>
      <c r="D3" s="4" t="s">
        <v>108</v>
      </c>
      <c r="E3" s="4"/>
      <c r="F3" s="4"/>
      <c r="G3" s="4"/>
      <c r="H3" s="4"/>
      <c r="I3" s="4"/>
      <c r="J3" s="4"/>
      <c r="K3" s="4"/>
      <c r="L3" s="4"/>
      <c r="M3" s="4"/>
      <c r="N3" s="4"/>
      <c r="O3" s="4"/>
      <c r="P3" s="4"/>
      <c r="Q3" s="4"/>
      <c r="S3" s="4"/>
      <c r="T3" s="4" t="s">
        <v>109</v>
      </c>
      <c r="U3" s="4"/>
      <c r="V3" s="4"/>
      <c r="W3" s="4"/>
      <c r="X3" s="4"/>
      <c r="Y3" s="4"/>
      <c r="Z3" s="4"/>
      <c r="AA3" s="4"/>
      <c r="AB3" s="4"/>
      <c r="AC3" s="4"/>
      <c r="AD3" s="4"/>
      <c r="AE3" s="4"/>
      <c r="AF3" s="4"/>
      <c r="AG3" s="4"/>
    </row>
    <row r="4" spans="1:33" ht="20.100000000000001" customHeight="1" x14ac:dyDescent="0.25">
      <c r="A4" s="17" t="str">
        <f>HYPERLINK("#'Results'!A1", "Results")</f>
        <v>Results</v>
      </c>
    </row>
    <row r="5" spans="1:33" ht="20.100000000000001" customHeight="1" x14ac:dyDescent="0.25">
      <c r="A5" s="16"/>
      <c r="D5" s="6" t="str" cm="1">
        <f t="array" ref="D5">MMS_PastureBeef_Soil_N2ODirect_Equations.VEERG_4_2_1_3__7_RelativeSize_Title()</f>
        <v>Relative size of the cattle</v>
      </c>
    </row>
    <row r="6" spans="1:33" ht="20.100000000000001" customHeight="1" x14ac:dyDescent="0.25">
      <c r="A6" s="20" t="s">
        <v>3</v>
      </c>
      <c r="D6" s="5" t="str" cm="1">
        <f t="array" ref="D6">MMS_PastureBeef_Soil_N2ODirect_Equations.VEERG_4_2_1_3__7_RelativeSize_Source()</f>
        <v>VEERG 2026: 4.2.1.3, Equation (7)</v>
      </c>
    </row>
    <row r="7" spans="1:33" ht="20.100000000000001" customHeight="1" x14ac:dyDescent="0.25">
      <c r="A7" s="17" t="str">
        <f>HYPERLINK("#'Input - Site'!A1", "Site")</f>
        <v>Site</v>
      </c>
      <c r="D7" s="13" t="s">
        <v>27</v>
      </c>
      <c r="E7" s="13" t="str" cm="1">
        <f t="array" aca="1" ref="E7" ca="1">Common_InputFunctions.Utility_DisplayFunctionName(E33)</f>
        <v>=MMS_PastureBeef_Soil_N2ODirect_Equations.VEERG_4_2_1_3__7_RelativeSize</v>
      </c>
    </row>
    <row r="8" spans="1:33" ht="20.100000000000001" customHeight="1" x14ac:dyDescent="0.25">
      <c r="A8" s="17" t="str">
        <f>HYPERLINK("#'Input - Pasture Beef'!A1", "Pasture Beef")</f>
        <v>Pasture Beef</v>
      </c>
    </row>
    <row r="9" spans="1:33" ht="20.100000000000001" customHeight="1" x14ac:dyDescent="0.25">
      <c r="A9" s="17"/>
    </row>
    <row r="10" spans="1:33" ht="20.100000000000001" customHeight="1" x14ac:dyDescent="0.25">
      <c r="A10" s="19" t="s">
        <v>77</v>
      </c>
      <c r="D10" s="53" t="s">
        <v>30</v>
      </c>
      <c r="E10" s="1" t="str" cm="1">
        <f t="array" ref="E10">MMS_PastureBeef_Soil_N2ODirect_Equations.VEERG_4_2_1_3__7_RelativeSize_Variable()</f>
        <v>Z_jkl</v>
      </c>
    </row>
    <row r="11" spans="1:33" ht="20.100000000000001" customHeight="1" x14ac:dyDescent="0.25">
      <c r="A11" s="17" t="str">
        <f>HYPERLINK("#'4.2.1.1-2 Methane'!A1", "4.2.1.1-2 Methane")</f>
        <v>4.2.1.1-2 Methane</v>
      </c>
      <c r="D11" s="53" t="s">
        <v>20</v>
      </c>
      <c r="E11" s="54" t="str" cm="1">
        <f t="array" ref="E11">MMS_PastureBeef_Soil_N2ODirect_Equations.VEERG_4_2_1_3__7_RelativeSize_Unit()</f>
        <v>ratio</v>
      </c>
    </row>
    <row r="12" spans="1:33" ht="20.100000000000001" customHeight="1" x14ac:dyDescent="0.25">
      <c r="A12" s="17" t="str">
        <f>HYPERLINK("#'4.2.1.3-4 Soil direct N2O'!A1", "4.2.1.3-4 Soil direct N2O")</f>
        <v>4.2.1.3-4 Soil direct N2O</v>
      </c>
    </row>
    <row r="13" spans="1:33" ht="20.100000000000001" customHeight="1" x14ac:dyDescent="0.25">
      <c r="A13" s="17" t="str">
        <f>HYPERLINK("#'4.2.1.5-6 Soil Atmos Dep'!A1", "4.2.1.5-6 Soil atm. deposition")</f>
        <v>4.2.1.5-6 Soil atm. deposition</v>
      </c>
      <c r="D13" s="108" t="str" cm="1">
        <f t="array" ref="D13:E15">MMS_PastureBeef_Soil_N2ODirect_Equations.VEERG_4_2_1_3__7_RelativeSize_Arguments()</f>
        <v>W_jkl</v>
      </c>
      <c r="E13" s="108" t="str">
        <v>liveweight (kg)</v>
      </c>
      <c r="F13" s="108" t="str">
        <f>"See " &amp; D17</f>
        <v>See M1_Table_W_j_k_l</v>
      </c>
      <c r="G13" s="107" t="s">
        <v>295</v>
      </c>
    </row>
    <row r="14" spans="1:33" ht="20.100000000000001" customHeight="1" x14ac:dyDescent="0.25">
      <c r="A14" s="17" t="str">
        <f>HYPERLINK("#'4.2.1.7-8 Soil leach runoff'!A1", "4.2.1.7-8 Soil leach &amp; runoff")</f>
        <v>4.2.1.7-8 Soil leach &amp; runoff</v>
      </c>
      <c r="D14" s="108" t="str">
        <v>SRW_k</v>
      </c>
      <c r="E14" s="108" t="str">
        <v>standard reference weight (kg)</v>
      </c>
      <c r="F14" s="108" t="str">
        <f>"See " &amp; D25</f>
        <v>See Table_SRW_k</v>
      </c>
    </row>
    <row r="15" spans="1:33" ht="20.100000000000001" customHeight="1" x14ac:dyDescent="0.25">
      <c r="A15" s="17"/>
      <c r="D15" s="57" t="str">
        <v>i</v>
      </c>
      <c r="E15" s="57" t="str">
        <v>state</v>
      </c>
      <c r="F15" s="57" t="str">
        <f>'Input - Pasture Beef'!$E$7</f>
        <v>Western Australia</v>
      </c>
    </row>
    <row r="16" spans="1:33" ht="20.100000000000001" customHeight="1" x14ac:dyDescent="0.25">
      <c r="A16" s="18" t="s">
        <v>4</v>
      </c>
    </row>
    <row r="17" spans="1:32" ht="20.100000000000001" customHeight="1" x14ac:dyDescent="0.25">
      <c r="A17" s="17" t="str">
        <f>HYPERLINK("#'Constants - Pasture Beef'!A1", "Constants - Pasture Beef")</f>
        <v>Constants - Pasture Beef</v>
      </c>
      <c r="D17" s="99" t="s">
        <v>294</v>
      </c>
      <c r="T17" s="99" t="s">
        <v>259</v>
      </c>
    </row>
    <row r="18" spans="1:32" ht="20.100000000000001" customHeight="1" x14ac:dyDescent="0.25">
      <c r="A18" s="17" t="str">
        <f>HYPERLINK("#'Constants - Livestock'!A1", "Constants - Livestock")</f>
        <v>Constants - Livestock</v>
      </c>
      <c r="D18" s="98" t="s">
        <v>246</v>
      </c>
      <c r="T18" s="98" t="s">
        <v>260</v>
      </c>
    </row>
    <row r="19" spans="1:32" ht="20.100000000000001" customHeight="1" x14ac:dyDescent="0.25">
      <c r="A19" s="17" t="str">
        <f>HYPERLINK("#'Constants - Common'!A1", "Constants - Common")</f>
        <v>Constants - Common</v>
      </c>
      <c r="D19" s="51" t="s">
        <v>184</v>
      </c>
      <c r="E19" s="51" t="s">
        <v>131</v>
      </c>
      <c r="F19" s="51" t="s">
        <v>130</v>
      </c>
      <c r="G19" s="51" t="s">
        <v>165</v>
      </c>
      <c r="H19" s="51" t="s">
        <v>166</v>
      </c>
      <c r="I19" s="51" t="s">
        <v>167</v>
      </c>
      <c r="J19" s="51" t="s">
        <v>168</v>
      </c>
      <c r="K19" s="51" t="s">
        <v>169</v>
      </c>
      <c r="L19" s="51" t="s">
        <v>170</v>
      </c>
      <c r="M19" s="51" t="s">
        <v>171</v>
      </c>
      <c r="N19" s="51" t="s">
        <v>172</v>
      </c>
      <c r="T19" s="51" t="s">
        <v>132</v>
      </c>
      <c r="U19" s="51" t="s">
        <v>131</v>
      </c>
      <c r="V19" s="51" t="s">
        <v>130</v>
      </c>
      <c r="W19" s="51" t="s">
        <v>165</v>
      </c>
      <c r="X19" s="51" t="s">
        <v>166</v>
      </c>
      <c r="Y19" s="51" t="s">
        <v>167</v>
      </c>
      <c r="Z19" s="51" t="s">
        <v>168</v>
      </c>
      <c r="AA19" s="51" t="s">
        <v>169</v>
      </c>
      <c r="AB19" s="51" t="s">
        <v>170</v>
      </c>
      <c r="AC19" s="51" t="s">
        <v>171</v>
      </c>
      <c r="AD19" s="51" t="s">
        <v>172</v>
      </c>
      <c r="AE19" s="2"/>
      <c r="AF19" s="2"/>
    </row>
    <row r="20" spans="1:32" ht="20.100000000000001" customHeight="1" x14ac:dyDescent="0.25">
      <c r="A20" s="17" t="str">
        <f>HYPERLINK("#'Acknowledgements'!A1", "Acknowledgements")</f>
        <v>Acknowledgements</v>
      </c>
      <c r="D20" s="52" t="str">
        <f>'Input - Pasture Beef'!D60</f>
        <v>Spring</v>
      </c>
      <c r="E20" s="52">
        <f>'Input - Pasture Beef'!E60</f>
        <v>340</v>
      </c>
      <c r="F20" s="52">
        <f>'Input - Pasture Beef'!F60</f>
        <v>800</v>
      </c>
      <c r="G20" s="52">
        <f>'Input - Pasture Beef'!G60</f>
        <v>260</v>
      </c>
      <c r="H20" s="52">
        <f>'Input - Pasture Beef'!H60</f>
        <v>420</v>
      </c>
      <c r="I20" s="52">
        <f>'Input - Pasture Beef'!I60</f>
        <v>550</v>
      </c>
      <c r="J20" s="52">
        <f>'Input - Pasture Beef'!J60</f>
        <v>550</v>
      </c>
      <c r="K20" s="52">
        <f>'Input - Pasture Beef'!K60</f>
        <v>300</v>
      </c>
      <c r="L20" s="52">
        <f>'Input - Pasture Beef'!L60</f>
        <v>480</v>
      </c>
      <c r="M20" s="52">
        <f>'Input - Pasture Beef'!M60</f>
        <v>480</v>
      </c>
      <c r="N20" s="52">
        <f>'Input - Pasture Beef'!N60</f>
        <v>480</v>
      </c>
      <c r="O20" s="2" t="s">
        <v>133</v>
      </c>
      <c r="T20" s="52" t="str">
        <f>TEXT('Input - Site'!$E$12, "mmmm yyyy")</f>
        <v>January 2024</v>
      </c>
      <c r="U20" s="52">
        <f>'Input - Pasture Beef'!E66</f>
        <v>380</v>
      </c>
      <c r="V20" s="52">
        <f>'Input - Pasture Beef'!F66</f>
        <v>780</v>
      </c>
      <c r="W20" s="52">
        <f>'Input - Pasture Beef'!G66</f>
        <v>300</v>
      </c>
      <c r="X20" s="52">
        <f>'Input - Pasture Beef'!H66</f>
        <v>450</v>
      </c>
      <c r="Y20" s="52">
        <f>'Input - Pasture Beef'!I66</f>
        <v>530</v>
      </c>
      <c r="Z20" s="52">
        <f>'Input - Pasture Beef'!J66</f>
        <v>530</v>
      </c>
      <c r="AA20" s="52">
        <f>'Input - Pasture Beef'!K66</f>
        <v>340</v>
      </c>
      <c r="AB20" s="52">
        <f>'Input - Pasture Beef'!L66</f>
        <v>470</v>
      </c>
      <c r="AC20" s="52">
        <f>'Input - Pasture Beef'!M66</f>
        <v>470</v>
      </c>
      <c r="AD20" s="52">
        <f>'Input - Pasture Beef'!N66</f>
        <v>470</v>
      </c>
      <c r="AE20" s="2" t="s">
        <v>133</v>
      </c>
      <c r="AF20" s="2"/>
    </row>
    <row r="21" spans="1:32" ht="20.100000000000001" customHeight="1" x14ac:dyDescent="0.25">
      <c r="D21" s="52" t="str">
        <f>'Input - Pasture Beef'!D61</f>
        <v>Summer</v>
      </c>
      <c r="E21" s="52">
        <f>'Input - Pasture Beef'!E61</f>
        <v>380</v>
      </c>
      <c r="F21" s="52">
        <f>'Input - Pasture Beef'!F61</f>
        <v>780</v>
      </c>
      <c r="G21" s="52">
        <f>'Input - Pasture Beef'!G61</f>
        <v>300</v>
      </c>
      <c r="H21" s="52">
        <f>'Input - Pasture Beef'!H61</f>
        <v>450</v>
      </c>
      <c r="I21" s="52">
        <f>'Input - Pasture Beef'!I61</f>
        <v>530</v>
      </c>
      <c r="J21" s="52">
        <f>'Input - Pasture Beef'!J61</f>
        <v>530</v>
      </c>
      <c r="K21" s="52">
        <f>'Input - Pasture Beef'!K61</f>
        <v>340</v>
      </c>
      <c r="L21" s="52">
        <f>'Input - Pasture Beef'!L61</f>
        <v>470</v>
      </c>
      <c r="M21" s="52">
        <f>'Input - Pasture Beef'!M61</f>
        <v>470</v>
      </c>
      <c r="N21" s="52">
        <f>'Input - Pasture Beef'!N61</f>
        <v>470</v>
      </c>
      <c r="O21" s="2" t="s">
        <v>133</v>
      </c>
      <c r="T21" s="52" t="str">
        <f>TEXT(EDATE('Input - Site'!$E$12,1), "mmmm yyyy")</f>
        <v>February 2024</v>
      </c>
      <c r="U21" s="52">
        <f>'Input - Pasture Beef'!E67</f>
        <v>380</v>
      </c>
      <c r="V21" s="52">
        <f>'Input - Pasture Beef'!F67</f>
        <v>780</v>
      </c>
      <c r="W21" s="52">
        <f>'Input - Pasture Beef'!G67</f>
        <v>300</v>
      </c>
      <c r="X21" s="52">
        <f>'Input - Pasture Beef'!H67</f>
        <v>450</v>
      </c>
      <c r="Y21" s="52">
        <f>'Input - Pasture Beef'!I67</f>
        <v>530</v>
      </c>
      <c r="Z21" s="52">
        <f>'Input - Pasture Beef'!J67</f>
        <v>530</v>
      </c>
      <c r="AA21" s="52">
        <f>'Input - Pasture Beef'!K67</f>
        <v>340</v>
      </c>
      <c r="AB21" s="52">
        <f>'Input - Pasture Beef'!L67</f>
        <v>470</v>
      </c>
      <c r="AC21" s="52">
        <f>'Input - Pasture Beef'!M67</f>
        <v>470</v>
      </c>
      <c r="AD21" s="52">
        <f>'Input - Pasture Beef'!N67</f>
        <v>470</v>
      </c>
      <c r="AE21" s="2" t="s">
        <v>133</v>
      </c>
      <c r="AF21" s="2"/>
    </row>
    <row r="22" spans="1:32" ht="20.100000000000001" customHeight="1" x14ac:dyDescent="0.25">
      <c r="A22" s="17"/>
      <c r="D22" s="52" t="str">
        <f>'Input - Pasture Beef'!D62</f>
        <v>Autumn</v>
      </c>
      <c r="E22" s="52">
        <f>'Input - Pasture Beef'!E62</f>
        <v>100</v>
      </c>
      <c r="F22" s="52">
        <f>'Input - Pasture Beef'!F62</f>
        <v>680</v>
      </c>
      <c r="G22" s="52">
        <f>'Input - Pasture Beef'!G62</f>
        <v>80</v>
      </c>
      <c r="H22" s="52">
        <f>'Input - Pasture Beef'!H62</f>
        <v>320</v>
      </c>
      <c r="I22" s="52">
        <f>'Input - Pasture Beef'!I62</f>
        <v>480</v>
      </c>
      <c r="J22" s="52">
        <f>'Input - Pasture Beef'!J62</f>
        <v>480</v>
      </c>
      <c r="K22" s="52">
        <f>'Input - Pasture Beef'!K62</f>
        <v>100</v>
      </c>
      <c r="L22" s="52">
        <f>'Input - Pasture Beef'!L62</f>
        <v>340</v>
      </c>
      <c r="M22" s="52">
        <f>'Input - Pasture Beef'!M62</f>
        <v>340</v>
      </c>
      <c r="N22" s="52">
        <f>'Input - Pasture Beef'!N62</f>
        <v>340</v>
      </c>
      <c r="O22" s="2" t="s">
        <v>133</v>
      </c>
      <c r="T22" s="52" t="str">
        <f>TEXT(EDATE('Input - Site'!$E$12,2), "mmmm yyyy")</f>
        <v>March 2024</v>
      </c>
      <c r="U22" s="52">
        <f>'Input - Pasture Beef'!E68</f>
        <v>100</v>
      </c>
      <c r="V22" s="52">
        <f>'Input - Pasture Beef'!F68</f>
        <v>680</v>
      </c>
      <c r="W22" s="52">
        <f>'Input - Pasture Beef'!G68</f>
        <v>80</v>
      </c>
      <c r="X22" s="52">
        <f>'Input - Pasture Beef'!H68</f>
        <v>320</v>
      </c>
      <c r="Y22" s="52">
        <f>'Input - Pasture Beef'!I68</f>
        <v>480</v>
      </c>
      <c r="Z22" s="52">
        <f>'Input - Pasture Beef'!J68</f>
        <v>480</v>
      </c>
      <c r="AA22" s="52">
        <f>'Input - Pasture Beef'!K68</f>
        <v>100</v>
      </c>
      <c r="AB22" s="52">
        <f>'Input - Pasture Beef'!L68</f>
        <v>340</v>
      </c>
      <c r="AC22" s="52">
        <f>'Input - Pasture Beef'!M68</f>
        <v>340</v>
      </c>
      <c r="AD22" s="52">
        <f>'Input - Pasture Beef'!N68</f>
        <v>340</v>
      </c>
      <c r="AE22" s="2" t="s">
        <v>133</v>
      </c>
      <c r="AF22" s="2"/>
    </row>
    <row r="23" spans="1:32" ht="20.100000000000001" customHeight="1" x14ac:dyDescent="0.25">
      <c r="A23" s="17"/>
      <c r="D23" s="52" t="str">
        <f>'Input - Pasture Beef'!D63</f>
        <v>Winter</v>
      </c>
      <c r="E23" s="52">
        <f>'Input - Pasture Beef'!E63</f>
        <v>190</v>
      </c>
      <c r="F23" s="52">
        <f>'Input - Pasture Beef'!F63</f>
        <v>700</v>
      </c>
      <c r="G23" s="52">
        <f>'Input - Pasture Beef'!G63</f>
        <v>150</v>
      </c>
      <c r="H23" s="52">
        <f>'Input - Pasture Beef'!H63</f>
        <v>330</v>
      </c>
      <c r="I23" s="52">
        <f>'Input - Pasture Beef'!I63</f>
        <v>490</v>
      </c>
      <c r="J23" s="52">
        <f>'Input - Pasture Beef'!J63</f>
        <v>490</v>
      </c>
      <c r="K23" s="52">
        <f>'Input - Pasture Beef'!K63</f>
        <v>170</v>
      </c>
      <c r="L23" s="52">
        <f>'Input - Pasture Beef'!L63</f>
        <v>360</v>
      </c>
      <c r="M23" s="52">
        <f>'Input - Pasture Beef'!M63</f>
        <v>360</v>
      </c>
      <c r="N23" s="52">
        <f>'Input - Pasture Beef'!N63</f>
        <v>360</v>
      </c>
      <c r="O23" s="2" t="s">
        <v>133</v>
      </c>
      <c r="T23" s="52" t="str">
        <f>TEXT(EDATE('Input - Site'!$E$12,3), "mmmm yyyy")</f>
        <v>April 2024</v>
      </c>
      <c r="U23" s="52">
        <f>'Input - Pasture Beef'!E69</f>
        <v>100</v>
      </c>
      <c r="V23" s="52">
        <f>'Input - Pasture Beef'!F69</f>
        <v>680</v>
      </c>
      <c r="W23" s="52">
        <f>'Input - Pasture Beef'!G69</f>
        <v>80</v>
      </c>
      <c r="X23" s="52">
        <f>'Input - Pasture Beef'!H69</f>
        <v>320</v>
      </c>
      <c r="Y23" s="52">
        <f>'Input - Pasture Beef'!I69</f>
        <v>480</v>
      </c>
      <c r="Z23" s="52">
        <f>'Input - Pasture Beef'!J69</f>
        <v>480</v>
      </c>
      <c r="AA23" s="52">
        <f>'Input - Pasture Beef'!K69</f>
        <v>100</v>
      </c>
      <c r="AB23" s="52">
        <f>'Input - Pasture Beef'!L69</f>
        <v>340</v>
      </c>
      <c r="AC23" s="52">
        <f>'Input - Pasture Beef'!M69</f>
        <v>340</v>
      </c>
      <c r="AD23" s="52">
        <f>'Input - Pasture Beef'!N69</f>
        <v>340</v>
      </c>
      <c r="AE23" s="2" t="s">
        <v>133</v>
      </c>
      <c r="AF23" s="2"/>
    </row>
    <row r="24" spans="1:32" ht="20.100000000000001" customHeight="1" x14ac:dyDescent="0.25">
      <c r="A24" s="17"/>
      <c r="T24" s="52" t="str">
        <f>TEXT(EDATE('Input - Site'!$E$12,4), "mmmm yyyy")</f>
        <v>May 2024</v>
      </c>
      <c r="U24" s="52">
        <f>'Input - Pasture Beef'!E70</f>
        <v>100</v>
      </c>
      <c r="V24" s="52">
        <f>'Input - Pasture Beef'!F70</f>
        <v>680</v>
      </c>
      <c r="W24" s="52">
        <f>'Input - Pasture Beef'!G70</f>
        <v>80</v>
      </c>
      <c r="X24" s="52">
        <f>'Input - Pasture Beef'!H70</f>
        <v>320</v>
      </c>
      <c r="Y24" s="52">
        <f>'Input - Pasture Beef'!I70</f>
        <v>480</v>
      </c>
      <c r="Z24" s="52">
        <f>'Input - Pasture Beef'!J70</f>
        <v>480</v>
      </c>
      <c r="AA24" s="52">
        <f>'Input - Pasture Beef'!K70</f>
        <v>100</v>
      </c>
      <c r="AB24" s="52">
        <f>'Input - Pasture Beef'!L70</f>
        <v>340</v>
      </c>
      <c r="AC24" s="52">
        <f>'Input - Pasture Beef'!M70</f>
        <v>340</v>
      </c>
      <c r="AD24" s="52">
        <f>'Input - Pasture Beef'!N70</f>
        <v>340</v>
      </c>
      <c r="AE24" s="2" t="s">
        <v>133</v>
      </c>
      <c r="AF24" s="2"/>
    </row>
    <row r="25" spans="1:32" ht="20.100000000000001" customHeight="1" x14ac:dyDescent="0.25">
      <c r="D25" s="99" t="s">
        <v>297</v>
      </c>
      <c r="T25" s="52" t="str">
        <f>TEXT(EDATE('Input - Site'!$E$12,5), "mmmm yyyy")</f>
        <v>June 2024</v>
      </c>
      <c r="U25" s="52">
        <f>'Input - Pasture Beef'!E71</f>
        <v>190</v>
      </c>
      <c r="V25" s="52">
        <f>'Input - Pasture Beef'!F71</f>
        <v>700</v>
      </c>
      <c r="W25" s="52">
        <f>'Input - Pasture Beef'!G71</f>
        <v>150</v>
      </c>
      <c r="X25" s="52">
        <f>'Input - Pasture Beef'!H71</f>
        <v>330</v>
      </c>
      <c r="Y25" s="52">
        <f>'Input - Pasture Beef'!I71</f>
        <v>490</v>
      </c>
      <c r="Z25" s="52">
        <f>'Input - Pasture Beef'!J71</f>
        <v>490</v>
      </c>
      <c r="AA25" s="52">
        <f>'Input - Pasture Beef'!K71</f>
        <v>170</v>
      </c>
      <c r="AB25" s="52">
        <f>'Input - Pasture Beef'!L71</f>
        <v>360</v>
      </c>
      <c r="AC25" s="52">
        <f>'Input - Pasture Beef'!M71</f>
        <v>360</v>
      </c>
      <c r="AD25" s="52">
        <f>'Input - Pasture Beef'!N71</f>
        <v>360</v>
      </c>
      <c r="AE25" s="2" t="s">
        <v>133</v>
      </c>
      <c r="AF25" s="2"/>
    </row>
    <row r="26" spans="1:32" ht="20.100000000000001" customHeight="1" x14ac:dyDescent="0.25">
      <c r="D26" s="98" t="s">
        <v>296</v>
      </c>
      <c r="T26" s="52" t="str">
        <f>TEXT(EDATE('Input - Site'!$E$12,6), "mmmm yyyy")</f>
        <v>July 2024</v>
      </c>
      <c r="U26" s="52">
        <f>'Input - Pasture Beef'!E72</f>
        <v>190</v>
      </c>
      <c r="V26" s="52">
        <f>'Input - Pasture Beef'!F72</f>
        <v>700</v>
      </c>
      <c r="W26" s="52">
        <f>'Input - Pasture Beef'!G72</f>
        <v>150</v>
      </c>
      <c r="X26" s="52">
        <f>'Input - Pasture Beef'!H72</f>
        <v>330</v>
      </c>
      <c r="Y26" s="52">
        <f>'Input - Pasture Beef'!I72</f>
        <v>490</v>
      </c>
      <c r="Z26" s="52">
        <f>'Input - Pasture Beef'!J72</f>
        <v>490</v>
      </c>
      <c r="AA26" s="52">
        <f>'Input - Pasture Beef'!K72</f>
        <v>170</v>
      </c>
      <c r="AB26" s="52">
        <f>'Input - Pasture Beef'!L72</f>
        <v>360</v>
      </c>
      <c r="AC26" s="52">
        <f>'Input - Pasture Beef'!M72</f>
        <v>360</v>
      </c>
      <c r="AD26" s="52">
        <f>'Input - Pasture Beef'!N72</f>
        <v>360</v>
      </c>
      <c r="AE26" s="2" t="s">
        <v>133</v>
      </c>
      <c r="AF26" s="2"/>
    </row>
    <row r="27" spans="1:32" ht="20.100000000000001" customHeight="1" x14ac:dyDescent="0.25">
      <c r="D27" s="51" t="s">
        <v>131</v>
      </c>
      <c r="E27" s="51" t="s">
        <v>130</v>
      </c>
      <c r="F27" s="51" t="s">
        <v>165</v>
      </c>
      <c r="G27" s="51" t="s">
        <v>166</v>
      </c>
      <c r="H27" s="51" t="s">
        <v>167</v>
      </c>
      <c r="I27" s="51" t="s">
        <v>168</v>
      </c>
      <c r="J27" s="51" t="s">
        <v>169</v>
      </c>
      <c r="K27" s="51" t="s">
        <v>170</v>
      </c>
      <c r="L27" s="51" t="s">
        <v>171</v>
      </c>
      <c r="M27" s="51" t="s">
        <v>172</v>
      </c>
      <c r="T27" s="52" t="str">
        <f>TEXT(EDATE('Input - Site'!$E$12,7), "mmmm yyyy")</f>
        <v>August 2024</v>
      </c>
      <c r="U27" s="52">
        <f>'Input - Pasture Beef'!E73</f>
        <v>190</v>
      </c>
      <c r="V27" s="52">
        <f>'Input - Pasture Beef'!F73</f>
        <v>700</v>
      </c>
      <c r="W27" s="52">
        <f>'Input - Pasture Beef'!G73</f>
        <v>150</v>
      </c>
      <c r="X27" s="52">
        <f>'Input - Pasture Beef'!H73</f>
        <v>330</v>
      </c>
      <c r="Y27" s="52">
        <f>'Input - Pasture Beef'!I73</f>
        <v>490</v>
      </c>
      <c r="Z27" s="52">
        <f>'Input - Pasture Beef'!J73</f>
        <v>490</v>
      </c>
      <c r="AA27" s="52">
        <f>'Input - Pasture Beef'!K73</f>
        <v>170</v>
      </c>
      <c r="AB27" s="52">
        <f>'Input - Pasture Beef'!L73</f>
        <v>360</v>
      </c>
      <c r="AC27" s="52">
        <f>'Input - Pasture Beef'!M73</f>
        <v>360</v>
      </c>
      <c r="AD27" s="52">
        <f>'Input - Pasture Beef'!N73</f>
        <v>360</v>
      </c>
      <c r="AE27" s="2" t="s">
        <v>133</v>
      </c>
      <c r="AF27" s="2"/>
    </row>
    <row r="28" spans="1:32" ht="20.100000000000001" customHeight="1" x14ac:dyDescent="0.25">
      <c r="D28" s="52">
        <f>Common_InputFunctions.Utility_LookupValueInTableOneColumnAndHeader(Common_InputFunctions.Utility_ConvertStateCommonNameToAbbreviation($F$15,Table_AustralianStates[Common Name],Table_AustralianStates[Abbreviation]),D27,Table_SourceData_PastureBeef_StandardReferenceWeightsExpanded[State abbreviation],Table_SourceData_PastureBeef_StandardReferenceWeightsExpanded[#Headers],Table_SourceData_PastureBeef_StandardReferenceWeightsExpanded[])</f>
        <v>770</v>
      </c>
      <c r="E28" s="52">
        <f>Common_InputFunctions.Utility_LookupValueInTableOneColumnAndHeader(Common_InputFunctions.Utility_ConvertStateCommonNameToAbbreviation($F$15,Table_AustralianStates[Common Name],Table_AustralianStates[Abbreviation]),E27,Table_SourceData_PastureBeef_StandardReferenceWeightsExpanded[State abbreviation],Table_SourceData_PastureBeef_StandardReferenceWeightsExpanded[#Headers],Table_SourceData_PastureBeef_StandardReferenceWeightsExpanded[])</f>
        <v>770</v>
      </c>
      <c r="F28" s="52">
        <f>Common_InputFunctions.Utility_LookupValueInTableOneColumnAndHeader(Common_InputFunctions.Utility_ConvertStateCommonNameToAbbreviation($F$15,Table_AustralianStates[Common Name],Table_AustralianStates[Abbreviation]),F27,Table_SourceData_PastureBeef_StandardReferenceWeightsExpanded[State abbreviation],Table_SourceData_PastureBeef_StandardReferenceWeightsExpanded[#Headers],Table_SourceData_PastureBeef_StandardReferenceWeightsExpanded[])</f>
        <v>550</v>
      </c>
      <c r="G28" s="52">
        <f>Common_InputFunctions.Utility_LookupValueInTableOneColumnAndHeader(Common_InputFunctions.Utility_ConvertStateCommonNameToAbbreviation($F$15,Table_AustralianStates[Common Name],Table_AustralianStates[Abbreviation]),G27,Table_SourceData_PastureBeef_StandardReferenceWeightsExpanded[State abbreviation],Table_SourceData_PastureBeef_StandardReferenceWeightsExpanded[#Headers],Table_SourceData_PastureBeef_StandardReferenceWeightsExpanded[])</f>
        <v>550</v>
      </c>
      <c r="H28" s="52">
        <f>Common_InputFunctions.Utility_LookupValueInTableOneColumnAndHeader(Common_InputFunctions.Utility_ConvertStateCommonNameToAbbreviation($F$15,Table_AustralianStates[Common Name],Table_AustralianStates[Abbreviation]),H27,Table_SourceData_PastureBeef_StandardReferenceWeightsExpanded[State abbreviation],Table_SourceData_PastureBeef_StandardReferenceWeightsExpanded[#Headers],Table_SourceData_PastureBeef_StandardReferenceWeightsExpanded[])</f>
        <v>550</v>
      </c>
      <c r="I28" s="52">
        <f>Common_InputFunctions.Utility_LookupValueInTableOneColumnAndHeader(Common_InputFunctions.Utility_ConvertStateCommonNameToAbbreviation($F$15,Table_AustralianStates[Common Name],Table_AustralianStates[Abbreviation]),I27,Table_SourceData_PastureBeef_StandardReferenceWeightsExpanded[State abbreviation],Table_SourceData_PastureBeef_StandardReferenceWeightsExpanded[#Headers],Table_SourceData_PastureBeef_StandardReferenceWeightsExpanded[])</f>
        <v>550</v>
      </c>
      <c r="J28" s="52">
        <f>Common_InputFunctions.Utility_LookupValueInTableOneColumnAndHeader(Common_InputFunctions.Utility_ConvertStateCommonNameToAbbreviation($F$15,Table_AustralianStates[Common Name],Table_AustralianStates[Abbreviation]),J27,Table_SourceData_PastureBeef_StandardReferenceWeightsExpanded[State abbreviation],Table_SourceData_PastureBeef_StandardReferenceWeightsExpanded[#Headers],Table_SourceData_PastureBeef_StandardReferenceWeightsExpanded[])</f>
        <v>660</v>
      </c>
      <c r="K28" s="52">
        <f>Common_InputFunctions.Utility_LookupValueInTableOneColumnAndHeader(Common_InputFunctions.Utility_ConvertStateCommonNameToAbbreviation($F$15,Table_AustralianStates[Common Name],Table_AustralianStates[Abbreviation]),K27,Table_SourceData_PastureBeef_StandardReferenceWeightsExpanded[State abbreviation],Table_SourceData_PastureBeef_StandardReferenceWeightsExpanded[#Headers],Table_SourceData_PastureBeef_StandardReferenceWeightsExpanded[])</f>
        <v>660</v>
      </c>
      <c r="L28" s="52">
        <f>Common_InputFunctions.Utility_LookupValueInTableOneColumnAndHeader(Common_InputFunctions.Utility_ConvertStateCommonNameToAbbreviation($F$15,Table_AustralianStates[Common Name],Table_AustralianStates[Abbreviation]),L27,Table_SourceData_PastureBeef_StandardReferenceWeightsExpanded[State abbreviation],Table_SourceData_PastureBeef_StandardReferenceWeightsExpanded[#Headers],Table_SourceData_PastureBeef_StandardReferenceWeightsExpanded[])</f>
        <v>660</v>
      </c>
      <c r="M28" s="52">
        <f>Common_InputFunctions.Utility_LookupValueInTableOneColumnAndHeader(Common_InputFunctions.Utility_ConvertStateCommonNameToAbbreviation($F$15,Table_AustralianStates[Common Name],Table_AustralianStates[Abbreviation]),M27,Table_SourceData_PastureBeef_StandardReferenceWeightsExpanded[State abbreviation],Table_SourceData_PastureBeef_StandardReferenceWeightsExpanded[#Headers],Table_SourceData_PastureBeef_StandardReferenceWeightsExpanded[])</f>
        <v>660</v>
      </c>
      <c r="N28" s="2" t="s">
        <v>133</v>
      </c>
      <c r="T28" s="52" t="str">
        <f>TEXT(EDATE('Input - Site'!$E$12,8), "mmmm yyyy")</f>
        <v>September 2024</v>
      </c>
      <c r="U28" s="52">
        <f>'Input - Pasture Beef'!E74</f>
        <v>340</v>
      </c>
      <c r="V28" s="52">
        <f>'Input - Pasture Beef'!F74</f>
        <v>800</v>
      </c>
      <c r="W28" s="52">
        <f>'Input - Pasture Beef'!G74</f>
        <v>260</v>
      </c>
      <c r="X28" s="52">
        <f>'Input - Pasture Beef'!H74</f>
        <v>420</v>
      </c>
      <c r="Y28" s="52">
        <f>'Input - Pasture Beef'!I74</f>
        <v>550</v>
      </c>
      <c r="Z28" s="52">
        <f>'Input - Pasture Beef'!J74</f>
        <v>550</v>
      </c>
      <c r="AA28" s="52">
        <f>'Input - Pasture Beef'!K74</f>
        <v>300</v>
      </c>
      <c r="AB28" s="52">
        <f>'Input - Pasture Beef'!L74</f>
        <v>480</v>
      </c>
      <c r="AC28" s="52">
        <f>'Input - Pasture Beef'!M74</f>
        <v>480</v>
      </c>
      <c r="AD28" s="52">
        <f>'Input - Pasture Beef'!N74</f>
        <v>480</v>
      </c>
      <c r="AE28" s="2" t="s">
        <v>133</v>
      </c>
      <c r="AF28" s="2"/>
    </row>
    <row r="29" spans="1:32" ht="20.100000000000001" customHeight="1" x14ac:dyDescent="0.25">
      <c r="T29" s="52" t="str">
        <f>TEXT(EDATE('Input - Site'!$E$12,9), "mmmm yyyy")</f>
        <v>October 2024</v>
      </c>
      <c r="U29" s="52">
        <f>'Input - Pasture Beef'!E75</f>
        <v>340</v>
      </c>
      <c r="V29" s="52">
        <f>'Input - Pasture Beef'!F75</f>
        <v>800</v>
      </c>
      <c r="W29" s="52">
        <f>'Input - Pasture Beef'!G75</f>
        <v>260</v>
      </c>
      <c r="X29" s="52">
        <f>'Input - Pasture Beef'!H75</f>
        <v>420</v>
      </c>
      <c r="Y29" s="52">
        <f>'Input - Pasture Beef'!I75</f>
        <v>550</v>
      </c>
      <c r="Z29" s="52">
        <f>'Input - Pasture Beef'!J75</f>
        <v>550</v>
      </c>
      <c r="AA29" s="52">
        <f>'Input - Pasture Beef'!K75</f>
        <v>300</v>
      </c>
      <c r="AB29" s="52">
        <f>'Input - Pasture Beef'!L75</f>
        <v>480</v>
      </c>
      <c r="AC29" s="52">
        <f>'Input - Pasture Beef'!M75</f>
        <v>480</v>
      </c>
      <c r="AD29" s="52">
        <f>'Input - Pasture Beef'!N75</f>
        <v>480</v>
      </c>
      <c r="AE29" s="2" t="s">
        <v>133</v>
      </c>
      <c r="AF29" s="2"/>
    </row>
    <row r="30" spans="1:32" ht="20.100000000000001" customHeight="1" x14ac:dyDescent="0.25">
      <c r="D30" s="99" t="s">
        <v>298</v>
      </c>
      <c r="T30" s="52" t="str">
        <f>TEXT(EDATE('Input - Site'!$E$12,10), "mmmm yyyy")</f>
        <v>November 2024</v>
      </c>
      <c r="U30" s="52">
        <f>'Input - Pasture Beef'!E76</f>
        <v>340</v>
      </c>
      <c r="V30" s="52">
        <f>'Input - Pasture Beef'!F76</f>
        <v>800</v>
      </c>
      <c r="W30" s="52">
        <f>'Input - Pasture Beef'!G76</f>
        <v>260</v>
      </c>
      <c r="X30" s="52">
        <f>'Input - Pasture Beef'!H76</f>
        <v>420</v>
      </c>
      <c r="Y30" s="52">
        <f>'Input - Pasture Beef'!I76</f>
        <v>550</v>
      </c>
      <c r="Z30" s="52">
        <f>'Input - Pasture Beef'!J76</f>
        <v>550</v>
      </c>
      <c r="AA30" s="52">
        <f>'Input - Pasture Beef'!K76</f>
        <v>300</v>
      </c>
      <c r="AB30" s="52">
        <f>'Input - Pasture Beef'!L76</f>
        <v>480</v>
      </c>
      <c r="AC30" s="52">
        <f>'Input - Pasture Beef'!M76</f>
        <v>480</v>
      </c>
      <c r="AD30" s="52">
        <f>'Input - Pasture Beef'!N76</f>
        <v>480</v>
      </c>
      <c r="AE30" s="2" t="s">
        <v>133</v>
      </c>
      <c r="AF30" s="2"/>
    </row>
    <row r="31" spans="1:32" ht="20.100000000000001" customHeight="1" x14ac:dyDescent="0.25">
      <c r="D31" s="98" t="s">
        <v>299</v>
      </c>
      <c r="T31" s="52" t="str">
        <f>TEXT(EDATE('Input - Site'!$E$12,11), "mmmm yyyy")</f>
        <v>December 2024</v>
      </c>
      <c r="U31" s="52">
        <f>'Input - Pasture Beef'!E77</f>
        <v>380</v>
      </c>
      <c r="V31" s="52">
        <f>'Input - Pasture Beef'!F77</f>
        <v>780</v>
      </c>
      <c r="W31" s="52">
        <f>'Input - Pasture Beef'!G77</f>
        <v>300</v>
      </c>
      <c r="X31" s="52">
        <f>'Input - Pasture Beef'!H77</f>
        <v>450</v>
      </c>
      <c r="Y31" s="52">
        <f>'Input - Pasture Beef'!I77</f>
        <v>530</v>
      </c>
      <c r="Z31" s="52">
        <f>'Input - Pasture Beef'!J77</f>
        <v>530</v>
      </c>
      <c r="AA31" s="52">
        <f>'Input - Pasture Beef'!K77</f>
        <v>340</v>
      </c>
      <c r="AB31" s="52">
        <f>'Input - Pasture Beef'!L77</f>
        <v>470</v>
      </c>
      <c r="AC31" s="52">
        <f>'Input - Pasture Beef'!M77</f>
        <v>470</v>
      </c>
      <c r="AD31" s="52">
        <f>'Input - Pasture Beef'!N77</f>
        <v>470</v>
      </c>
      <c r="AE31" s="2" t="s">
        <v>133</v>
      </c>
      <c r="AF31" s="2"/>
    </row>
    <row r="32" spans="1:32" ht="20.100000000000001" customHeight="1" x14ac:dyDescent="0.25">
      <c r="D32" s="51" t="s">
        <v>184</v>
      </c>
      <c r="E32" s="51" t="s">
        <v>131</v>
      </c>
      <c r="F32" s="51" t="s">
        <v>130</v>
      </c>
      <c r="G32" s="51" t="s">
        <v>165</v>
      </c>
      <c r="H32" s="51" t="s">
        <v>166</v>
      </c>
      <c r="I32" s="51" t="s">
        <v>167</v>
      </c>
      <c r="J32" s="51" t="s">
        <v>168</v>
      </c>
      <c r="K32" s="51" t="s">
        <v>169</v>
      </c>
      <c r="L32" s="51" t="s">
        <v>170</v>
      </c>
      <c r="M32" s="51" t="s">
        <v>171</v>
      </c>
      <c r="N32" s="51" t="s">
        <v>172</v>
      </c>
    </row>
    <row r="33" spans="3:32" ht="20.100000000000001" customHeight="1" x14ac:dyDescent="0.25">
      <c r="D33" s="52" t="str">
        <f>'Input - Pasture Beef'!D60</f>
        <v>Spring</v>
      </c>
      <c r="E33" s="52" cm="1">
        <f t="array" ref="E33">MMS_PastureBeef_Soil_N2ODirect_Equations.VEERG_4_2_1_3__7_RelativeSize(E20,D$28)</f>
        <v>0.44155844155844154</v>
      </c>
      <c r="F33" s="52" cm="1">
        <f t="array" ref="F33">MMS_PastureBeef_Soil_N2ODirect_Equations.VEERG_4_2_1_3__7_RelativeSize(F20,E$28)</f>
        <v>1.0389610389610389</v>
      </c>
      <c r="G33" s="52" cm="1">
        <f t="array" ref="G33">MMS_PastureBeef_Soil_N2ODirect_Equations.VEERG_4_2_1_3__7_RelativeSize(G20,F$28)</f>
        <v>0.47272727272727272</v>
      </c>
      <c r="H33" s="52" cm="1">
        <f t="array" ref="H33">MMS_PastureBeef_Soil_N2ODirect_Equations.VEERG_4_2_1_3__7_RelativeSize(H20,G$28)</f>
        <v>0.76363636363636367</v>
      </c>
      <c r="I33" s="52" cm="1">
        <f t="array" ref="I33">MMS_PastureBeef_Soil_N2ODirect_Equations.VEERG_4_2_1_3__7_RelativeSize(I20,H$28)</f>
        <v>1</v>
      </c>
      <c r="J33" s="52" cm="1">
        <f t="array" ref="J33">MMS_PastureBeef_Soil_N2ODirect_Equations.VEERG_4_2_1_3__7_RelativeSize(J20,I$28)</f>
        <v>1</v>
      </c>
      <c r="K33" s="52" cm="1">
        <f t="array" ref="K33">MMS_PastureBeef_Soil_N2ODirect_Equations.VEERG_4_2_1_3__7_RelativeSize(K20,J$28)</f>
        <v>0.45454545454545453</v>
      </c>
      <c r="L33" s="52" cm="1">
        <f t="array" ref="L33">MMS_PastureBeef_Soil_N2ODirect_Equations.VEERG_4_2_1_3__7_RelativeSize(L20,K$28)</f>
        <v>0.72727272727272729</v>
      </c>
      <c r="M33" s="52" cm="1">
        <f t="array" ref="M33">MMS_PastureBeef_Soil_N2ODirect_Equations.VEERG_4_2_1_3__7_RelativeSize(M20,L$28)</f>
        <v>0.72727272727272729</v>
      </c>
      <c r="N33" s="52" cm="1">
        <f t="array" ref="N33">MMS_PastureBeef_Soil_N2ODirect_Equations.VEERG_4_2_1_3__7_RelativeSize(N20,M$28)</f>
        <v>0.72727272727272729</v>
      </c>
      <c r="O33" s="2" t="str">
        <f>$E$11</f>
        <v>ratio</v>
      </c>
      <c r="T33" s="99" t="s">
        <v>300</v>
      </c>
    </row>
    <row r="34" spans="3:32" ht="20.100000000000001" customHeight="1" x14ac:dyDescent="0.25">
      <c r="D34" s="52" t="str">
        <f>'Input - Pasture Beef'!D61</f>
        <v>Summer</v>
      </c>
      <c r="E34" s="52" cm="1">
        <f t="array" ref="E34">MMS_PastureBeef_Soil_N2ODirect_Equations.VEERG_4_2_1_3__7_RelativeSize(E21,D$28)</f>
        <v>0.4935064935064935</v>
      </c>
      <c r="F34" s="52" cm="1">
        <f t="array" ref="F34">MMS_PastureBeef_Soil_N2ODirect_Equations.VEERG_4_2_1_3__7_RelativeSize(F21,E$28)</f>
        <v>1.0129870129870129</v>
      </c>
      <c r="G34" s="52" cm="1">
        <f t="array" ref="G34">MMS_PastureBeef_Soil_N2ODirect_Equations.VEERG_4_2_1_3__7_RelativeSize(G21,F$28)</f>
        <v>0.54545454545454541</v>
      </c>
      <c r="H34" s="52" cm="1">
        <f t="array" ref="H34">MMS_PastureBeef_Soil_N2ODirect_Equations.VEERG_4_2_1_3__7_RelativeSize(H21,G$28)</f>
        <v>0.81818181818181823</v>
      </c>
      <c r="I34" s="52" cm="1">
        <f t="array" ref="I34">MMS_PastureBeef_Soil_N2ODirect_Equations.VEERG_4_2_1_3__7_RelativeSize(I21,H$28)</f>
        <v>0.96363636363636362</v>
      </c>
      <c r="J34" s="52" cm="1">
        <f t="array" ref="J34">MMS_PastureBeef_Soil_N2ODirect_Equations.VEERG_4_2_1_3__7_RelativeSize(J21,I$28)</f>
        <v>0.96363636363636362</v>
      </c>
      <c r="K34" s="52" cm="1">
        <f t="array" ref="K34">MMS_PastureBeef_Soil_N2ODirect_Equations.VEERG_4_2_1_3__7_RelativeSize(K21,J$28)</f>
        <v>0.51515151515151514</v>
      </c>
      <c r="L34" s="52" cm="1">
        <f t="array" ref="L34">MMS_PastureBeef_Soil_N2ODirect_Equations.VEERG_4_2_1_3__7_RelativeSize(L21,K$28)</f>
        <v>0.71212121212121215</v>
      </c>
      <c r="M34" s="52" cm="1">
        <f t="array" ref="M34">MMS_PastureBeef_Soil_N2ODirect_Equations.VEERG_4_2_1_3__7_RelativeSize(M21,L$28)</f>
        <v>0.71212121212121215</v>
      </c>
      <c r="N34" s="52" cm="1">
        <f t="array" ref="N34">MMS_PastureBeef_Soil_N2ODirect_Equations.VEERG_4_2_1_3__7_RelativeSize(N21,M$28)</f>
        <v>0.71212121212121215</v>
      </c>
      <c r="O34" s="2" t="str">
        <f t="shared" ref="O34:O36" si="0">$E$11</f>
        <v>ratio</v>
      </c>
      <c r="T34" s="98" t="s">
        <v>301</v>
      </c>
    </row>
    <row r="35" spans="3:32" ht="20.100000000000001" customHeight="1" x14ac:dyDescent="0.25">
      <c r="D35" s="52" t="str">
        <f>'Input - Pasture Beef'!D62</f>
        <v>Autumn</v>
      </c>
      <c r="E35" s="52" cm="1">
        <f t="array" ref="E35">MMS_PastureBeef_Soil_N2ODirect_Equations.VEERG_4_2_1_3__7_RelativeSize(E22,D$28)</f>
        <v>0.12987012987012986</v>
      </c>
      <c r="F35" s="52" cm="1">
        <f t="array" ref="F35">MMS_PastureBeef_Soil_N2ODirect_Equations.VEERG_4_2_1_3__7_RelativeSize(F22,E$28)</f>
        <v>0.88311688311688308</v>
      </c>
      <c r="G35" s="52" cm="1">
        <f t="array" ref="G35">MMS_PastureBeef_Soil_N2ODirect_Equations.VEERG_4_2_1_3__7_RelativeSize(G22,F$28)</f>
        <v>0.14545454545454545</v>
      </c>
      <c r="H35" s="52" cm="1">
        <f t="array" ref="H35">MMS_PastureBeef_Soil_N2ODirect_Equations.VEERG_4_2_1_3__7_RelativeSize(H22,G$28)</f>
        <v>0.58181818181818179</v>
      </c>
      <c r="I35" s="52" cm="1">
        <f t="array" ref="I35">MMS_PastureBeef_Soil_N2ODirect_Equations.VEERG_4_2_1_3__7_RelativeSize(I22,H$28)</f>
        <v>0.87272727272727268</v>
      </c>
      <c r="J35" s="52" cm="1">
        <f t="array" ref="J35">MMS_PastureBeef_Soil_N2ODirect_Equations.VEERG_4_2_1_3__7_RelativeSize(J22,I$28)</f>
        <v>0.87272727272727268</v>
      </c>
      <c r="K35" s="52" cm="1">
        <f t="array" ref="K35">MMS_PastureBeef_Soil_N2ODirect_Equations.VEERG_4_2_1_3__7_RelativeSize(K22,J$28)</f>
        <v>0.15151515151515152</v>
      </c>
      <c r="L35" s="52" cm="1">
        <f t="array" ref="L35">MMS_PastureBeef_Soil_N2ODirect_Equations.VEERG_4_2_1_3__7_RelativeSize(L22,K$28)</f>
        <v>0.51515151515151514</v>
      </c>
      <c r="M35" s="52" cm="1">
        <f t="array" ref="M35">MMS_PastureBeef_Soil_N2ODirect_Equations.VEERG_4_2_1_3__7_RelativeSize(M22,L$28)</f>
        <v>0.51515151515151514</v>
      </c>
      <c r="N35" s="52" cm="1">
        <f t="array" ref="N35">MMS_PastureBeef_Soil_N2ODirect_Equations.VEERG_4_2_1_3__7_RelativeSize(N22,M$28)</f>
        <v>0.51515151515151514</v>
      </c>
      <c r="O35" s="2" t="str">
        <f t="shared" si="0"/>
        <v>ratio</v>
      </c>
      <c r="T35" s="51" t="s">
        <v>132</v>
      </c>
      <c r="U35" s="51" t="s">
        <v>131</v>
      </c>
      <c r="V35" s="51" t="s">
        <v>130</v>
      </c>
      <c r="W35" s="51" t="s">
        <v>165</v>
      </c>
      <c r="X35" s="51" t="s">
        <v>166</v>
      </c>
      <c r="Y35" s="51" t="s">
        <v>167</v>
      </c>
      <c r="Z35" s="51" t="s">
        <v>168</v>
      </c>
      <c r="AA35" s="51" t="s">
        <v>169</v>
      </c>
      <c r="AB35" s="51" t="s">
        <v>170</v>
      </c>
      <c r="AC35" s="51" t="s">
        <v>171</v>
      </c>
      <c r="AD35" s="51" t="s">
        <v>172</v>
      </c>
      <c r="AE35" s="2"/>
      <c r="AF35" s="2"/>
    </row>
    <row r="36" spans="3:32" ht="20.100000000000001" customHeight="1" x14ac:dyDescent="0.25">
      <c r="D36" s="52" t="str">
        <f>'Input - Pasture Beef'!D63</f>
        <v>Winter</v>
      </c>
      <c r="E36" s="52" cm="1">
        <f t="array" ref="E36">MMS_PastureBeef_Soil_N2ODirect_Equations.VEERG_4_2_1_3__7_RelativeSize(E23,D$28)</f>
        <v>0.24675324675324675</v>
      </c>
      <c r="F36" s="52" cm="1">
        <f t="array" ref="F36">MMS_PastureBeef_Soil_N2ODirect_Equations.VEERG_4_2_1_3__7_RelativeSize(F23,E$28)</f>
        <v>0.90909090909090906</v>
      </c>
      <c r="G36" s="52" cm="1">
        <f t="array" ref="G36">MMS_PastureBeef_Soil_N2ODirect_Equations.VEERG_4_2_1_3__7_RelativeSize(G23,F$28)</f>
        <v>0.27272727272727271</v>
      </c>
      <c r="H36" s="52" cm="1">
        <f t="array" ref="H36">MMS_PastureBeef_Soil_N2ODirect_Equations.VEERG_4_2_1_3__7_RelativeSize(H23,G$28)</f>
        <v>0.6</v>
      </c>
      <c r="I36" s="52" cm="1">
        <f t="array" ref="I36">MMS_PastureBeef_Soil_N2ODirect_Equations.VEERG_4_2_1_3__7_RelativeSize(I23,H$28)</f>
        <v>0.89090909090909087</v>
      </c>
      <c r="J36" s="52" cm="1">
        <f t="array" ref="J36">MMS_PastureBeef_Soil_N2ODirect_Equations.VEERG_4_2_1_3__7_RelativeSize(J23,I$28)</f>
        <v>0.89090909090909087</v>
      </c>
      <c r="K36" s="52" cm="1">
        <f t="array" ref="K36">MMS_PastureBeef_Soil_N2ODirect_Equations.VEERG_4_2_1_3__7_RelativeSize(K23,J$28)</f>
        <v>0.25757575757575757</v>
      </c>
      <c r="L36" s="52" cm="1">
        <f t="array" ref="L36">MMS_PastureBeef_Soil_N2ODirect_Equations.VEERG_4_2_1_3__7_RelativeSize(L23,K$28)</f>
        <v>0.54545454545454541</v>
      </c>
      <c r="M36" s="52" cm="1">
        <f t="array" ref="M36">MMS_PastureBeef_Soil_N2ODirect_Equations.VEERG_4_2_1_3__7_RelativeSize(M23,L$28)</f>
        <v>0.54545454545454541</v>
      </c>
      <c r="N36" s="52" cm="1">
        <f t="array" ref="N36">MMS_PastureBeef_Soil_N2ODirect_Equations.VEERG_4_2_1_3__7_RelativeSize(N23,M$28)</f>
        <v>0.54545454545454541</v>
      </c>
      <c r="O36" s="2" t="str">
        <f t="shared" si="0"/>
        <v>ratio</v>
      </c>
      <c r="T36" s="52" t="str">
        <f>TEXT('Input - Site'!$E$12, "mmmm yyyy")</f>
        <v>January 2024</v>
      </c>
      <c r="U36" s="52" cm="1">
        <f t="array" ref="U36">MMS_PastureBeef_Soil_N2ODirect_Equations.VEERG_4_2_1_3__7_RelativeSize(U20,D$28)</f>
        <v>0.4935064935064935</v>
      </c>
      <c r="V36" s="52" cm="1">
        <f t="array" ref="V36">MMS_PastureBeef_Soil_N2ODirect_Equations.VEERG_4_2_1_3__7_RelativeSize(V20,E$28)</f>
        <v>1.0129870129870129</v>
      </c>
      <c r="W36" s="52" cm="1">
        <f t="array" ref="W36">MMS_PastureBeef_Soil_N2ODirect_Equations.VEERG_4_2_1_3__7_RelativeSize(W20,F$28)</f>
        <v>0.54545454545454541</v>
      </c>
      <c r="X36" s="52" cm="1">
        <f t="array" ref="X36">MMS_PastureBeef_Soil_N2ODirect_Equations.VEERG_4_2_1_3__7_RelativeSize(X20,G$28)</f>
        <v>0.81818181818181823</v>
      </c>
      <c r="Y36" s="52" cm="1">
        <f t="array" ref="Y36">MMS_PastureBeef_Soil_N2ODirect_Equations.VEERG_4_2_1_3__7_RelativeSize(Y20,H$28)</f>
        <v>0.96363636363636362</v>
      </c>
      <c r="Z36" s="52" cm="1">
        <f t="array" ref="Z36">MMS_PastureBeef_Soil_N2ODirect_Equations.VEERG_4_2_1_3__7_RelativeSize(Z20,I$28)</f>
        <v>0.96363636363636362</v>
      </c>
      <c r="AA36" s="52" cm="1">
        <f t="array" ref="AA36">MMS_PastureBeef_Soil_N2ODirect_Equations.VEERG_4_2_1_3__7_RelativeSize(AA20,J$28)</f>
        <v>0.51515151515151514</v>
      </c>
      <c r="AB36" s="52" cm="1">
        <f t="array" ref="AB36">MMS_PastureBeef_Soil_N2ODirect_Equations.VEERG_4_2_1_3__7_RelativeSize(AB20,K$28)</f>
        <v>0.71212121212121215</v>
      </c>
      <c r="AC36" s="52" cm="1">
        <f t="array" ref="AC36">MMS_PastureBeef_Soil_N2ODirect_Equations.VEERG_4_2_1_3__7_RelativeSize(AC20,L$28)</f>
        <v>0.71212121212121215</v>
      </c>
      <c r="AD36" s="52" cm="1">
        <f t="array" ref="AD36">MMS_PastureBeef_Soil_N2ODirect_Equations.VEERG_4_2_1_3__7_RelativeSize(AD20,M$28)</f>
        <v>0.71212121212121215</v>
      </c>
      <c r="AE36" s="2" t="str">
        <f t="shared" ref="AE36:AE47" si="1">$E$11</f>
        <v>ratio</v>
      </c>
      <c r="AF36" s="2"/>
    </row>
    <row r="37" spans="3:32" ht="20.100000000000001" customHeight="1" x14ac:dyDescent="0.25">
      <c r="T37" s="52" t="str">
        <f>TEXT(EDATE('Input - Site'!$E$12,1), "mmmm yyyy")</f>
        <v>February 2024</v>
      </c>
      <c r="U37" s="52" cm="1">
        <f t="array" ref="U37">MMS_PastureBeef_Soil_N2ODirect_Equations.VEERG_4_2_1_3__7_RelativeSize(U21,D$28)</f>
        <v>0.4935064935064935</v>
      </c>
      <c r="V37" s="52" cm="1">
        <f t="array" ref="V37">MMS_PastureBeef_Soil_N2ODirect_Equations.VEERG_4_2_1_3__7_RelativeSize(V21,E$28)</f>
        <v>1.0129870129870129</v>
      </c>
      <c r="W37" s="52" cm="1">
        <f t="array" ref="W37">MMS_PastureBeef_Soil_N2ODirect_Equations.VEERG_4_2_1_3__7_RelativeSize(W21,F$28)</f>
        <v>0.54545454545454541</v>
      </c>
      <c r="X37" s="52" cm="1">
        <f t="array" ref="X37">MMS_PastureBeef_Soil_N2ODirect_Equations.VEERG_4_2_1_3__7_RelativeSize(X21,G$28)</f>
        <v>0.81818181818181823</v>
      </c>
      <c r="Y37" s="52" cm="1">
        <f t="array" ref="Y37">MMS_PastureBeef_Soil_N2ODirect_Equations.VEERG_4_2_1_3__7_RelativeSize(Y21,H$28)</f>
        <v>0.96363636363636362</v>
      </c>
      <c r="Z37" s="52" cm="1">
        <f t="array" ref="Z37">MMS_PastureBeef_Soil_N2ODirect_Equations.VEERG_4_2_1_3__7_RelativeSize(Z21,I$28)</f>
        <v>0.96363636363636362</v>
      </c>
      <c r="AA37" s="52" cm="1">
        <f t="array" ref="AA37">MMS_PastureBeef_Soil_N2ODirect_Equations.VEERG_4_2_1_3__7_RelativeSize(AA21,J$28)</f>
        <v>0.51515151515151514</v>
      </c>
      <c r="AB37" s="52" cm="1">
        <f t="array" ref="AB37">MMS_PastureBeef_Soil_N2ODirect_Equations.VEERG_4_2_1_3__7_RelativeSize(AB21,K$28)</f>
        <v>0.71212121212121215</v>
      </c>
      <c r="AC37" s="52" cm="1">
        <f t="array" ref="AC37">MMS_PastureBeef_Soil_N2ODirect_Equations.VEERG_4_2_1_3__7_RelativeSize(AC21,L$28)</f>
        <v>0.71212121212121215</v>
      </c>
      <c r="AD37" s="52" cm="1">
        <f t="array" ref="AD37">MMS_PastureBeef_Soil_N2ODirect_Equations.VEERG_4_2_1_3__7_RelativeSize(AD21,M$28)</f>
        <v>0.71212121212121215</v>
      </c>
      <c r="AE37" s="2" t="str">
        <f t="shared" si="1"/>
        <v>ratio</v>
      </c>
      <c r="AF37" s="2"/>
    </row>
    <row r="38" spans="3:32" ht="20.100000000000001" customHeight="1" x14ac:dyDescent="0.25">
      <c r="T38" s="52" t="str">
        <f>TEXT(EDATE('Input - Site'!$E$12,2), "mmmm yyyy")</f>
        <v>March 2024</v>
      </c>
      <c r="U38" s="52" cm="1">
        <f t="array" ref="U38">MMS_PastureBeef_Soil_N2ODirect_Equations.VEERG_4_2_1_3__7_RelativeSize(U22,D$28)</f>
        <v>0.12987012987012986</v>
      </c>
      <c r="V38" s="52" cm="1">
        <f t="array" ref="V38">MMS_PastureBeef_Soil_N2ODirect_Equations.VEERG_4_2_1_3__7_RelativeSize(V22,E$28)</f>
        <v>0.88311688311688308</v>
      </c>
      <c r="W38" s="52" cm="1">
        <f t="array" ref="W38">MMS_PastureBeef_Soil_N2ODirect_Equations.VEERG_4_2_1_3__7_RelativeSize(W22,F$28)</f>
        <v>0.14545454545454545</v>
      </c>
      <c r="X38" s="52" cm="1">
        <f t="array" ref="X38">MMS_PastureBeef_Soil_N2ODirect_Equations.VEERG_4_2_1_3__7_RelativeSize(X22,G$28)</f>
        <v>0.58181818181818179</v>
      </c>
      <c r="Y38" s="52" cm="1">
        <f t="array" ref="Y38">MMS_PastureBeef_Soil_N2ODirect_Equations.VEERG_4_2_1_3__7_RelativeSize(Y22,H$28)</f>
        <v>0.87272727272727268</v>
      </c>
      <c r="Z38" s="52" cm="1">
        <f t="array" ref="Z38">MMS_PastureBeef_Soil_N2ODirect_Equations.VEERG_4_2_1_3__7_RelativeSize(Z22,I$28)</f>
        <v>0.87272727272727268</v>
      </c>
      <c r="AA38" s="52" cm="1">
        <f t="array" ref="AA38">MMS_PastureBeef_Soil_N2ODirect_Equations.VEERG_4_2_1_3__7_RelativeSize(AA22,J$28)</f>
        <v>0.15151515151515152</v>
      </c>
      <c r="AB38" s="52" cm="1">
        <f t="array" ref="AB38">MMS_PastureBeef_Soil_N2ODirect_Equations.VEERG_4_2_1_3__7_RelativeSize(AB22,K$28)</f>
        <v>0.51515151515151514</v>
      </c>
      <c r="AC38" s="52" cm="1">
        <f t="array" ref="AC38">MMS_PastureBeef_Soil_N2ODirect_Equations.VEERG_4_2_1_3__7_RelativeSize(AC22,L$28)</f>
        <v>0.51515151515151514</v>
      </c>
      <c r="AD38" s="52" cm="1">
        <f t="array" ref="AD38">MMS_PastureBeef_Soil_N2ODirect_Equations.VEERG_4_2_1_3__7_RelativeSize(AD22,M$28)</f>
        <v>0.51515151515151514</v>
      </c>
      <c r="AE38" s="2" t="str">
        <f t="shared" si="1"/>
        <v>ratio</v>
      </c>
      <c r="AF38" s="2"/>
    </row>
    <row r="39" spans="3:32" ht="20.100000000000001" customHeight="1" x14ac:dyDescent="0.25">
      <c r="C39" s="45"/>
      <c r="D39" s="45"/>
      <c r="E39" s="45"/>
      <c r="F39" s="45"/>
      <c r="G39" s="45"/>
      <c r="H39" s="45"/>
      <c r="I39" s="45"/>
      <c r="J39" s="45"/>
      <c r="K39" s="45"/>
      <c r="L39" s="45"/>
      <c r="M39" s="45"/>
      <c r="N39" s="45"/>
      <c r="O39" s="45"/>
      <c r="P39" s="45"/>
      <c r="Q39" s="45"/>
      <c r="T39" s="52" t="str">
        <f>TEXT(EDATE('Input - Site'!$E$12,3), "mmmm yyyy")</f>
        <v>April 2024</v>
      </c>
      <c r="U39" s="52" cm="1">
        <f t="array" ref="U39">MMS_PastureBeef_Soil_N2ODirect_Equations.VEERG_4_2_1_3__7_RelativeSize(U23,D$28)</f>
        <v>0.12987012987012986</v>
      </c>
      <c r="V39" s="52" cm="1">
        <f t="array" ref="V39">MMS_PastureBeef_Soil_N2ODirect_Equations.VEERG_4_2_1_3__7_RelativeSize(V23,E$28)</f>
        <v>0.88311688311688308</v>
      </c>
      <c r="W39" s="52" cm="1">
        <f t="array" ref="W39">MMS_PastureBeef_Soil_N2ODirect_Equations.VEERG_4_2_1_3__7_RelativeSize(W23,F$28)</f>
        <v>0.14545454545454545</v>
      </c>
      <c r="X39" s="52" cm="1">
        <f t="array" ref="X39">MMS_PastureBeef_Soil_N2ODirect_Equations.VEERG_4_2_1_3__7_RelativeSize(X23,G$28)</f>
        <v>0.58181818181818179</v>
      </c>
      <c r="Y39" s="52" cm="1">
        <f t="array" ref="Y39">MMS_PastureBeef_Soil_N2ODirect_Equations.VEERG_4_2_1_3__7_RelativeSize(Y23,H$28)</f>
        <v>0.87272727272727268</v>
      </c>
      <c r="Z39" s="52" cm="1">
        <f t="array" ref="Z39">MMS_PastureBeef_Soil_N2ODirect_Equations.VEERG_4_2_1_3__7_RelativeSize(Z23,I$28)</f>
        <v>0.87272727272727268</v>
      </c>
      <c r="AA39" s="52" cm="1">
        <f t="array" ref="AA39">MMS_PastureBeef_Soil_N2ODirect_Equations.VEERG_4_2_1_3__7_RelativeSize(AA23,J$28)</f>
        <v>0.15151515151515152</v>
      </c>
      <c r="AB39" s="52" cm="1">
        <f t="array" ref="AB39">MMS_PastureBeef_Soil_N2ODirect_Equations.VEERG_4_2_1_3__7_RelativeSize(AB23,K$28)</f>
        <v>0.51515151515151514</v>
      </c>
      <c r="AC39" s="52" cm="1">
        <f t="array" ref="AC39">MMS_PastureBeef_Soil_N2ODirect_Equations.VEERG_4_2_1_3__7_RelativeSize(AC23,L$28)</f>
        <v>0.51515151515151514</v>
      </c>
      <c r="AD39" s="52" cm="1">
        <f t="array" ref="AD39">MMS_PastureBeef_Soil_N2ODirect_Equations.VEERG_4_2_1_3__7_RelativeSize(AD23,M$28)</f>
        <v>0.51515151515151514</v>
      </c>
      <c r="AE39" s="2" t="str">
        <f t="shared" si="1"/>
        <v>ratio</v>
      </c>
      <c r="AF39" s="2"/>
    </row>
    <row r="40" spans="3:32" ht="20.100000000000001" customHeight="1" x14ac:dyDescent="0.25">
      <c r="D40" s="6" t="str" cm="1">
        <f t="array" ref="D40">MMS_PastureBeef_Soil_N2ODirect_Equations.VEERG_4_2_1_3__6_IntakeRelativeToMaintenance_Title()</f>
        <v>Intake relative to that needed for maintenance</v>
      </c>
      <c r="T40" s="52" t="str">
        <f>TEXT(EDATE('Input - Site'!$E$12,4), "mmmm yyyy")</f>
        <v>May 2024</v>
      </c>
      <c r="U40" s="52" cm="1">
        <f t="array" ref="U40">MMS_PastureBeef_Soil_N2ODirect_Equations.VEERG_4_2_1_3__7_RelativeSize(U24,D$28)</f>
        <v>0.12987012987012986</v>
      </c>
      <c r="V40" s="52" cm="1">
        <f t="array" ref="V40">MMS_PastureBeef_Soil_N2ODirect_Equations.VEERG_4_2_1_3__7_RelativeSize(V24,E$28)</f>
        <v>0.88311688311688308</v>
      </c>
      <c r="W40" s="52" cm="1">
        <f t="array" ref="W40">MMS_PastureBeef_Soil_N2ODirect_Equations.VEERG_4_2_1_3__7_RelativeSize(W24,F$28)</f>
        <v>0.14545454545454545</v>
      </c>
      <c r="X40" s="52" cm="1">
        <f t="array" ref="X40">MMS_PastureBeef_Soil_N2ODirect_Equations.VEERG_4_2_1_3__7_RelativeSize(X24,G$28)</f>
        <v>0.58181818181818179</v>
      </c>
      <c r="Y40" s="52" cm="1">
        <f t="array" ref="Y40">MMS_PastureBeef_Soil_N2ODirect_Equations.VEERG_4_2_1_3__7_RelativeSize(Y24,H$28)</f>
        <v>0.87272727272727268</v>
      </c>
      <c r="Z40" s="52" cm="1">
        <f t="array" ref="Z40">MMS_PastureBeef_Soil_N2ODirect_Equations.VEERG_4_2_1_3__7_RelativeSize(Z24,I$28)</f>
        <v>0.87272727272727268</v>
      </c>
      <c r="AA40" s="52" cm="1">
        <f t="array" ref="AA40">MMS_PastureBeef_Soil_N2ODirect_Equations.VEERG_4_2_1_3__7_RelativeSize(AA24,J$28)</f>
        <v>0.15151515151515152</v>
      </c>
      <c r="AB40" s="52" cm="1">
        <f t="array" ref="AB40">MMS_PastureBeef_Soil_N2ODirect_Equations.VEERG_4_2_1_3__7_RelativeSize(AB24,K$28)</f>
        <v>0.51515151515151514</v>
      </c>
      <c r="AC40" s="52" cm="1">
        <f t="array" ref="AC40">MMS_PastureBeef_Soil_N2ODirect_Equations.VEERG_4_2_1_3__7_RelativeSize(AC24,L$28)</f>
        <v>0.51515151515151514</v>
      </c>
      <c r="AD40" s="52" cm="1">
        <f t="array" ref="AD40">MMS_PastureBeef_Soil_N2ODirect_Equations.VEERG_4_2_1_3__7_RelativeSize(AD24,M$28)</f>
        <v>0.51515151515151514</v>
      </c>
      <c r="AE40" s="2" t="str">
        <f t="shared" si="1"/>
        <v>ratio</v>
      </c>
      <c r="AF40" s="2"/>
    </row>
    <row r="41" spans="3:32" ht="20.100000000000001" customHeight="1" x14ac:dyDescent="0.25">
      <c r="D41" s="5" t="str" cm="1">
        <f t="array" ref="D41">MMS_PastureBeef_Soil_N2ODirect_Equations.VEERG_4_2_1_3__6_IntakeRelativeToMaintenance_Source()</f>
        <v>VEERG 2026: 4.2.1.3, Equation (6)</v>
      </c>
      <c r="T41" s="52" t="str">
        <f>TEXT(EDATE('Input - Site'!$E$12,5), "mmmm yyyy")</f>
        <v>June 2024</v>
      </c>
      <c r="U41" s="52" cm="1">
        <f t="array" ref="U41">MMS_PastureBeef_Soil_N2ODirect_Equations.VEERG_4_2_1_3__7_RelativeSize(U25,D$28)</f>
        <v>0.24675324675324675</v>
      </c>
      <c r="V41" s="52" cm="1">
        <f t="array" ref="V41">MMS_PastureBeef_Soil_N2ODirect_Equations.VEERG_4_2_1_3__7_RelativeSize(V25,E$28)</f>
        <v>0.90909090909090906</v>
      </c>
      <c r="W41" s="52" cm="1">
        <f t="array" ref="W41">MMS_PastureBeef_Soil_N2ODirect_Equations.VEERG_4_2_1_3__7_RelativeSize(W25,F$28)</f>
        <v>0.27272727272727271</v>
      </c>
      <c r="X41" s="52" cm="1">
        <f t="array" ref="X41">MMS_PastureBeef_Soil_N2ODirect_Equations.VEERG_4_2_1_3__7_RelativeSize(X25,G$28)</f>
        <v>0.6</v>
      </c>
      <c r="Y41" s="52" cm="1">
        <f t="array" ref="Y41">MMS_PastureBeef_Soil_N2ODirect_Equations.VEERG_4_2_1_3__7_RelativeSize(Y25,H$28)</f>
        <v>0.89090909090909087</v>
      </c>
      <c r="Z41" s="52" cm="1">
        <f t="array" ref="Z41">MMS_PastureBeef_Soil_N2ODirect_Equations.VEERG_4_2_1_3__7_RelativeSize(Z25,I$28)</f>
        <v>0.89090909090909087</v>
      </c>
      <c r="AA41" s="52" cm="1">
        <f t="array" ref="AA41">MMS_PastureBeef_Soil_N2ODirect_Equations.VEERG_4_2_1_3__7_RelativeSize(AA25,J$28)</f>
        <v>0.25757575757575757</v>
      </c>
      <c r="AB41" s="52" cm="1">
        <f t="array" ref="AB41">MMS_PastureBeef_Soil_N2ODirect_Equations.VEERG_4_2_1_3__7_RelativeSize(AB25,K$28)</f>
        <v>0.54545454545454541</v>
      </c>
      <c r="AC41" s="52" cm="1">
        <f t="array" ref="AC41">MMS_PastureBeef_Soil_N2ODirect_Equations.VEERG_4_2_1_3__7_RelativeSize(AC25,L$28)</f>
        <v>0.54545454545454541</v>
      </c>
      <c r="AD41" s="52" cm="1">
        <f t="array" ref="AD41">MMS_PastureBeef_Soil_N2ODirect_Equations.VEERG_4_2_1_3__7_RelativeSize(AD25,M$28)</f>
        <v>0.54545454545454541</v>
      </c>
      <c r="AE41" s="2" t="str">
        <f t="shared" si="1"/>
        <v>ratio</v>
      </c>
      <c r="AF41" s="2"/>
    </row>
    <row r="42" spans="3:32" ht="20.100000000000001" customHeight="1" x14ac:dyDescent="0.25">
      <c r="D42" s="13" t="s">
        <v>27</v>
      </c>
      <c r="E42" s="13" t="str" cm="1">
        <f t="array" aca="1" ref="E42" ca="1">Common_InputFunctions.Utility_DisplayFunctionName(E62)</f>
        <v>=MMS_PastureBeef_Soil_N2ODirect_Equations.VEERG_4_2_1_3__6_IntakeRelativeToMaintenance</v>
      </c>
      <c r="T42" s="52" t="str">
        <f>TEXT(EDATE('Input - Site'!$E$12,6), "mmmm yyyy")</f>
        <v>July 2024</v>
      </c>
      <c r="U42" s="52" cm="1">
        <f t="array" ref="U42">MMS_PastureBeef_Soil_N2ODirect_Equations.VEERG_4_2_1_3__7_RelativeSize(U26,D$28)</f>
        <v>0.24675324675324675</v>
      </c>
      <c r="V42" s="52" cm="1">
        <f t="array" ref="V42">MMS_PastureBeef_Soil_N2ODirect_Equations.VEERG_4_2_1_3__7_RelativeSize(V26,E$28)</f>
        <v>0.90909090909090906</v>
      </c>
      <c r="W42" s="52" cm="1">
        <f t="array" ref="W42">MMS_PastureBeef_Soil_N2ODirect_Equations.VEERG_4_2_1_3__7_RelativeSize(W26,F$28)</f>
        <v>0.27272727272727271</v>
      </c>
      <c r="X42" s="52" cm="1">
        <f t="array" ref="X42">MMS_PastureBeef_Soil_N2ODirect_Equations.VEERG_4_2_1_3__7_RelativeSize(X26,G$28)</f>
        <v>0.6</v>
      </c>
      <c r="Y42" s="52" cm="1">
        <f t="array" ref="Y42">MMS_PastureBeef_Soil_N2ODirect_Equations.VEERG_4_2_1_3__7_RelativeSize(Y26,H$28)</f>
        <v>0.89090909090909087</v>
      </c>
      <c r="Z42" s="52" cm="1">
        <f t="array" ref="Z42">MMS_PastureBeef_Soil_N2ODirect_Equations.VEERG_4_2_1_3__7_RelativeSize(Z26,I$28)</f>
        <v>0.89090909090909087</v>
      </c>
      <c r="AA42" s="52" cm="1">
        <f t="array" ref="AA42">MMS_PastureBeef_Soil_N2ODirect_Equations.VEERG_4_2_1_3__7_RelativeSize(AA26,J$28)</f>
        <v>0.25757575757575757</v>
      </c>
      <c r="AB42" s="52" cm="1">
        <f t="array" ref="AB42">MMS_PastureBeef_Soil_N2ODirect_Equations.VEERG_4_2_1_3__7_RelativeSize(AB26,K$28)</f>
        <v>0.54545454545454541</v>
      </c>
      <c r="AC42" s="52" cm="1">
        <f t="array" ref="AC42">MMS_PastureBeef_Soil_N2ODirect_Equations.VEERG_4_2_1_3__7_RelativeSize(AC26,L$28)</f>
        <v>0.54545454545454541</v>
      </c>
      <c r="AD42" s="52" cm="1">
        <f t="array" ref="AD42">MMS_PastureBeef_Soil_N2ODirect_Equations.VEERG_4_2_1_3__7_RelativeSize(AD26,M$28)</f>
        <v>0.54545454545454541</v>
      </c>
      <c r="AE42" s="2" t="str">
        <f t="shared" si="1"/>
        <v>ratio</v>
      </c>
      <c r="AF42" s="2"/>
    </row>
    <row r="43" spans="3:32" ht="20.100000000000001" customHeight="1" x14ac:dyDescent="0.25">
      <c r="T43" s="52" t="str">
        <f>TEXT(EDATE('Input - Site'!$E$12,7), "mmmm yyyy")</f>
        <v>August 2024</v>
      </c>
      <c r="U43" s="52" cm="1">
        <f t="array" ref="U43">MMS_PastureBeef_Soil_N2ODirect_Equations.VEERG_4_2_1_3__7_RelativeSize(U27,D$28)</f>
        <v>0.24675324675324675</v>
      </c>
      <c r="V43" s="52" cm="1">
        <f t="array" ref="V43">MMS_PastureBeef_Soil_N2ODirect_Equations.VEERG_4_2_1_3__7_RelativeSize(V27,E$28)</f>
        <v>0.90909090909090906</v>
      </c>
      <c r="W43" s="52" cm="1">
        <f t="array" ref="W43">MMS_PastureBeef_Soil_N2ODirect_Equations.VEERG_4_2_1_3__7_RelativeSize(W27,F$28)</f>
        <v>0.27272727272727271</v>
      </c>
      <c r="X43" s="52" cm="1">
        <f t="array" ref="X43">MMS_PastureBeef_Soil_N2ODirect_Equations.VEERG_4_2_1_3__7_RelativeSize(X27,G$28)</f>
        <v>0.6</v>
      </c>
      <c r="Y43" s="52" cm="1">
        <f t="array" ref="Y43">MMS_PastureBeef_Soil_N2ODirect_Equations.VEERG_4_2_1_3__7_RelativeSize(Y27,H$28)</f>
        <v>0.89090909090909087</v>
      </c>
      <c r="Z43" s="52" cm="1">
        <f t="array" ref="Z43">MMS_PastureBeef_Soil_N2ODirect_Equations.VEERG_4_2_1_3__7_RelativeSize(Z27,I$28)</f>
        <v>0.89090909090909087</v>
      </c>
      <c r="AA43" s="52" cm="1">
        <f t="array" ref="AA43">MMS_PastureBeef_Soil_N2ODirect_Equations.VEERG_4_2_1_3__7_RelativeSize(AA27,J$28)</f>
        <v>0.25757575757575757</v>
      </c>
      <c r="AB43" s="52" cm="1">
        <f t="array" ref="AB43">MMS_PastureBeef_Soil_N2ODirect_Equations.VEERG_4_2_1_3__7_RelativeSize(AB27,K$28)</f>
        <v>0.54545454545454541</v>
      </c>
      <c r="AC43" s="52" cm="1">
        <f t="array" ref="AC43">MMS_PastureBeef_Soil_N2ODirect_Equations.VEERG_4_2_1_3__7_RelativeSize(AC27,L$28)</f>
        <v>0.54545454545454541</v>
      </c>
      <c r="AD43" s="52" cm="1">
        <f t="array" ref="AD43">MMS_PastureBeef_Soil_N2ODirect_Equations.VEERG_4_2_1_3__7_RelativeSize(AD27,M$28)</f>
        <v>0.54545454545454541</v>
      </c>
      <c r="AE43" s="2" t="str">
        <f t="shared" si="1"/>
        <v>ratio</v>
      </c>
      <c r="AF43" s="2"/>
    </row>
    <row r="44" spans="3:32" ht="20.100000000000001" customHeight="1" x14ac:dyDescent="0.25">
      <c r="T44" s="52" t="str">
        <f>TEXT(EDATE('Input - Site'!$E$12,8), "mmmm yyyy")</f>
        <v>September 2024</v>
      </c>
      <c r="U44" s="52" cm="1">
        <f t="array" ref="U44">MMS_PastureBeef_Soil_N2ODirect_Equations.VEERG_4_2_1_3__7_RelativeSize(U28,D$28)</f>
        <v>0.44155844155844154</v>
      </c>
      <c r="V44" s="52" cm="1">
        <f t="array" ref="V44">MMS_PastureBeef_Soil_N2ODirect_Equations.VEERG_4_2_1_3__7_RelativeSize(V28,E$28)</f>
        <v>1.0389610389610389</v>
      </c>
      <c r="W44" s="52" cm="1">
        <f t="array" ref="W44">MMS_PastureBeef_Soil_N2ODirect_Equations.VEERG_4_2_1_3__7_RelativeSize(W28,F$28)</f>
        <v>0.47272727272727272</v>
      </c>
      <c r="X44" s="52" cm="1">
        <f t="array" ref="X44">MMS_PastureBeef_Soil_N2ODirect_Equations.VEERG_4_2_1_3__7_RelativeSize(X28,G$28)</f>
        <v>0.76363636363636367</v>
      </c>
      <c r="Y44" s="52" cm="1">
        <f t="array" ref="Y44">MMS_PastureBeef_Soil_N2ODirect_Equations.VEERG_4_2_1_3__7_RelativeSize(Y28,H$28)</f>
        <v>1</v>
      </c>
      <c r="Z44" s="52" cm="1">
        <f t="array" ref="Z44">MMS_PastureBeef_Soil_N2ODirect_Equations.VEERG_4_2_1_3__7_RelativeSize(Z28,I$28)</f>
        <v>1</v>
      </c>
      <c r="AA44" s="52" cm="1">
        <f t="array" ref="AA44">MMS_PastureBeef_Soil_N2ODirect_Equations.VEERG_4_2_1_3__7_RelativeSize(AA28,J$28)</f>
        <v>0.45454545454545453</v>
      </c>
      <c r="AB44" s="52" cm="1">
        <f t="array" ref="AB44">MMS_PastureBeef_Soil_N2ODirect_Equations.VEERG_4_2_1_3__7_RelativeSize(AB28,K$28)</f>
        <v>0.72727272727272729</v>
      </c>
      <c r="AC44" s="52" cm="1">
        <f t="array" ref="AC44">MMS_PastureBeef_Soil_N2ODirect_Equations.VEERG_4_2_1_3__7_RelativeSize(AC28,L$28)</f>
        <v>0.72727272727272729</v>
      </c>
      <c r="AD44" s="52" cm="1">
        <f t="array" ref="AD44">MMS_PastureBeef_Soil_N2ODirect_Equations.VEERG_4_2_1_3__7_RelativeSize(AD28,M$28)</f>
        <v>0.72727272727272729</v>
      </c>
      <c r="AE44" s="2" t="str">
        <f t="shared" si="1"/>
        <v>ratio</v>
      </c>
      <c r="AF44" s="2"/>
    </row>
    <row r="45" spans="3:32" ht="20.100000000000001" customHeight="1" x14ac:dyDescent="0.25">
      <c r="D45" s="53" t="s">
        <v>30</v>
      </c>
      <c r="E45" s="1" t="str" cm="1">
        <f t="array" ref="E45">MMS_PastureBeef_Soil_N2ODirect_Equations.VEERG_4_2_1_3__6_IntakeRelativeToMaintenance_Variable()</f>
        <v>L_jkl</v>
      </c>
      <c r="T45" s="52" t="str">
        <f>TEXT(EDATE('Input - Site'!$E$12,9), "mmmm yyyy")</f>
        <v>October 2024</v>
      </c>
      <c r="U45" s="52" cm="1">
        <f t="array" ref="U45">MMS_PastureBeef_Soil_N2ODirect_Equations.VEERG_4_2_1_3__7_RelativeSize(U29,D$28)</f>
        <v>0.44155844155844154</v>
      </c>
      <c r="V45" s="52" cm="1">
        <f t="array" ref="V45">MMS_PastureBeef_Soil_N2ODirect_Equations.VEERG_4_2_1_3__7_RelativeSize(V29,E$28)</f>
        <v>1.0389610389610389</v>
      </c>
      <c r="W45" s="52" cm="1">
        <f t="array" ref="W45">MMS_PastureBeef_Soil_N2ODirect_Equations.VEERG_4_2_1_3__7_RelativeSize(W29,F$28)</f>
        <v>0.47272727272727272</v>
      </c>
      <c r="X45" s="52" cm="1">
        <f t="array" ref="X45">MMS_PastureBeef_Soil_N2ODirect_Equations.VEERG_4_2_1_3__7_RelativeSize(X29,G$28)</f>
        <v>0.76363636363636367</v>
      </c>
      <c r="Y45" s="52" cm="1">
        <f t="array" ref="Y45">MMS_PastureBeef_Soil_N2ODirect_Equations.VEERG_4_2_1_3__7_RelativeSize(Y29,H$28)</f>
        <v>1</v>
      </c>
      <c r="Z45" s="52" cm="1">
        <f t="array" ref="Z45">MMS_PastureBeef_Soil_N2ODirect_Equations.VEERG_4_2_1_3__7_RelativeSize(Z29,I$28)</f>
        <v>1</v>
      </c>
      <c r="AA45" s="52" cm="1">
        <f t="array" ref="AA45">MMS_PastureBeef_Soil_N2ODirect_Equations.VEERG_4_2_1_3__7_RelativeSize(AA29,J$28)</f>
        <v>0.45454545454545453</v>
      </c>
      <c r="AB45" s="52" cm="1">
        <f t="array" ref="AB45">MMS_PastureBeef_Soil_N2ODirect_Equations.VEERG_4_2_1_3__7_RelativeSize(AB29,K$28)</f>
        <v>0.72727272727272729</v>
      </c>
      <c r="AC45" s="52" cm="1">
        <f t="array" ref="AC45">MMS_PastureBeef_Soil_N2ODirect_Equations.VEERG_4_2_1_3__7_RelativeSize(AC29,L$28)</f>
        <v>0.72727272727272729</v>
      </c>
      <c r="AD45" s="52" cm="1">
        <f t="array" ref="AD45">MMS_PastureBeef_Soil_N2ODirect_Equations.VEERG_4_2_1_3__7_RelativeSize(AD29,M$28)</f>
        <v>0.72727272727272729</v>
      </c>
      <c r="AE45" s="2" t="str">
        <f t="shared" si="1"/>
        <v>ratio</v>
      </c>
      <c r="AF45" s="2"/>
    </row>
    <row r="46" spans="3:32" ht="20.100000000000001" customHeight="1" x14ac:dyDescent="0.25">
      <c r="D46" s="53" t="s">
        <v>20</v>
      </c>
      <c r="E46" s="54" t="str" cm="1">
        <f t="array" ref="E46">MMS_PastureBeef_Soil_N2ODirect_Equations.VEERG_4_2_1_3__6_IntakeRelativeToMaintenance_Unit()</f>
        <v>ratio</v>
      </c>
      <c r="T46" s="52" t="str">
        <f>TEXT(EDATE('Input - Site'!$E$12,10), "mmmm yyyy")</f>
        <v>November 2024</v>
      </c>
      <c r="U46" s="52" cm="1">
        <f t="array" ref="U46">MMS_PastureBeef_Soil_N2ODirect_Equations.VEERG_4_2_1_3__7_RelativeSize(U30,D$28)</f>
        <v>0.44155844155844154</v>
      </c>
      <c r="V46" s="52" cm="1">
        <f t="array" ref="V46">MMS_PastureBeef_Soil_N2ODirect_Equations.VEERG_4_2_1_3__7_RelativeSize(V30,E$28)</f>
        <v>1.0389610389610389</v>
      </c>
      <c r="W46" s="52" cm="1">
        <f t="array" ref="W46">MMS_PastureBeef_Soil_N2ODirect_Equations.VEERG_4_2_1_3__7_RelativeSize(W30,F$28)</f>
        <v>0.47272727272727272</v>
      </c>
      <c r="X46" s="52" cm="1">
        <f t="array" ref="X46">MMS_PastureBeef_Soil_N2ODirect_Equations.VEERG_4_2_1_3__7_RelativeSize(X30,G$28)</f>
        <v>0.76363636363636367</v>
      </c>
      <c r="Y46" s="52" cm="1">
        <f t="array" ref="Y46">MMS_PastureBeef_Soil_N2ODirect_Equations.VEERG_4_2_1_3__7_RelativeSize(Y30,H$28)</f>
        <v>1</v>
      </c>
      <c r="Z46" s="52" cm="1">
        <f t="array" ref="Z46">MMS_PastureBeef_Soil_N2ODirect_Equations.VEERG_4_2_1_3__7_RelativeSize(Z30,I$28)</f>
        <v>1</v>
      </c>
      <c r="AA46" s="52" cm="1">
        <f t="array" ref="AA46">MMS_PastureBeef_Soil_N2ODirect_Equations.VEERG_4_2_1_3__7_RelativeSize(AA30,J$28)</f>
        <v>0.45454545454545453</v>
      </c>
      <c r="AB46" s="52" cm="1">
        <f t="array" ref="AB46">MMS_PastureBeef_Soil_N2ODirect_Equations.VEERG_4_2_1_3__7_RelativeSize(AB30,K$28)</f>
        <v>0.72727272727272729</v>
      </c>
      <c r="AC46" s="52" cm="1">
        <f t="array" ref="AC46">MMS_PastureBeef_Soil_N2ODirect_Equations.VEERG_4_2_1_3__7_RelativeSize(AC30,L$28)</f>
        <v>0.72727272727272729</v>
      </c>
      <c r="AD46" s="52" cm="1">
        <f t="array" ref="AD46">MMS_PastureBeef_Soil_N2ODirect_Equations.VEERG_4_2_1_3__7_RelativeSize(AD30,M$28)</f>
        <v>0.72727272727272729</v>
      </c>
      <c r="AE46" s="2" t="str">
        <f t="shared" si="1"/>
        <v>ratio</v>
      </c>
      <c r="AF46" s="2"/>
    </row>
    <row r="47" spans="3:32" ht="20.100000000000001" customHeight="1" x14ac:dyDescent="0.25">
      <c r="T47" s="52" t="str">
        <f>TEXT(EDATE('Input - Site'!$E$12,11), "mmmm yyyy")</f>
        <v>December 2024</v>
      </c>
      <c r="U47" s="52" cm="1">
        <f t="array" ref="U47">MMS_PastureBeef_Soil_N2ODirect_Equations.VEERG_4_2_1_3__7_RelativeSize(U31,D$28)</f>
        <v>0.4935064935064935</v>
      </c>
      <c r="V47" s="52" cm="1">
        <f t="array" ref="V47">MMS_PastureBeef_Soil_N2ODirect_Equations.VEERG_4_2_1_3__7_RelativeSize(V31,E$28)</f>
        <v>1.0129870129870129</v>
      </c>
      <c r="W47" s="52" cm="1">
        <f t="array" ref="W47">MMS_PastureBeef_Soil_N2ODirect_Equations.VEERG_4_2_1_3__7_RelativeSize(W31,F$28)</f>
        <v>0.54545454545454541</v>
      </c>
      <c r="X47" s="52" cm="1">
        <f t="array" ref="X47">MMS_PastureBeef_Soil_N2ODirect_Equations.VEERG_4_2_1_3__7_RelativeSize(X31,G$28)</f>
        <v>0.81818181818181823</v>
      </c>
      <c r="Y47" s="52" cm="1">
        <f t="array" ref="Y47">MMS_PastureBeef_Soil_N2ODirect_Equations.VEERG_4_2_1_3__7_RelativeSize(Y31,H$28)</f>
        <v>0.96363636363636362</v>
      </c>
      <c r="Z47" s="52" cm="1">
        <f t="array" ref="Z47">MMS_PastureBeef_Soil_N2ODirect_Equations.VEERG_4_2_1_3__7_RelativeSize(Z31,I$28)</f>
        <v>0.96363636363636362</v>
      </c>
      <c r="AA47" s="52" cm="1">
        <f t="array" ref="AA47">MMS_PastureBeef_Soil_N2ODirect_Equations.VEERG_4_2_1_3__7_RelativeSize(AA31,J$28)</f>
        <v>0.51515151515151514</v>
      </c>
      <c r="AB47" s="52" cm="1">
        <f t="array" ref="AB47">MMS_PastureBeef_Soil_N2ODirect_Equations.VEERG_4_2_1_3__7_RelativeSize(AB31,K$28)</f>
        <v>0.71212121212121215</v>
      </c>
      <c r="AC47" s="52" cm="1">
        <f t="array" ref="AC47">MMS_PastureBeef_Soil_N2ODirect_Equations.VEERG_4_2_1_3__7_RelativeSize(AC31,L$28)</f>
        <v>0.71212121212121215</v>
      </c>
      <c r="AD47" s="52" cm="1">
        <f t="array" ref="AD47">MMS_PastureBeef_Soil_N2ODirect_Equations.VEERG_4_2_1_3__7_RelativeSize(AD31,M$28)</f>
        <v>0.71212121212121215</v>
      </c>
      <c r="AE47" s="2" t="str">
        <f t="shared" si="1"/>
        <v>ratio</v>
      </c>
      <c r="AF47" s="2"/>
    </row>
    <row r="48" spans="3:32" ht="20.100000000000001" customHeight="1" x14ac:dyDescent="0.25">
      <c r="D48" s="57" t="str" cm="1">
        <f t="array" ref="D48:E49">MMS_PastureBeef_Soil_N2ODirect_Equations.VEERG_4_2_1_3__6_IntakeRelativeToMaintenance_Arguments()</f>
        <v>I_jkl</v>
      </c>
      <c r="E48" s="58" t="str">
        <v>dry matter intake as calculated in Chapter 3 Section 3.2.1 (kg DM/head/day)</v>
      </c>
      <c r="F48" s="59"/>
      <c r="G48" s="57" t="str">
        <f>"See " &amp; D51</f>
        <v>See M1_Table_I_j_k_l</v>
      </c>
    </row>
    <row r="49" spans="4:33" ht="20.100000000000001" customHeight="1" x14ac:dyDescent="0.25">
      <c r="D49" s="57" t="str">
        <v>W_jkl</v>
      </c>
      <c r="E49" s="58" t="str">
        <v>liveweight (kg/head)</v>
      </c>
      <c r="F49" s="59"/>
      <c r="G49" s="57" t="str">
        <f>"See " &amp; D17</f>
        <v>See M1_Table_W_j_k_l</v>
      </c>
    </row>
    <row r="50" spans="4:33" ht="20.100000000000001" customHeight="1" x14ac:dyDescent="0.25">
      <c r="S50" s="45"/>
      <c r="T50" s="45"/>
      <c r="U50" s="45"/>
      <c r="V50" s="45"/>
      <c r="W50" s="45"/>
      <c r="X50" s="45"/>
      <c r="Y50" s="45"/>
      <c r="Z50" s="45"/>
      <c r="AA50" s="45"/>
      <c r="AB50" s="45"/>
      <c r="AC50" s="45"/>
      <c r="AD50" s="45"/>
      <c r="AE50" s="45"/>
      <c r="AF50" s="45"/>
      <c r="AG50" s="45"/>
    </row>
    <row r="51" spans="4:33" ht="20.100000000000001" customHeight="1" x14ac:dyDescent="0.25">
      <c r="D51" s="99" t="s">
        <v>247</v>
      </c>
      <c r="T51" s="6" t="str" cm="1">
        <f t="array" ref="T51">MMS_PastureBeef_Soil_N2ODirect_Equations.VEERG_4_2_1_3__6_IntakeRelativeToMaintenance_Title()</f>
        <v>Intake relative to that needed for maintenance</v>
      </c>
    </row>
    <row r="52" spans="4:33" ht="20.100000000000001" customHeight="1" x14ac:dyDescent="0.25">
      <c r="D52" s="98" t="s">
        <v>144</v>
      </c>
    </row>
    <row r="53" spans="4:33" ht="20.100000000000001" customHeight="1" x14ac:dyDescent="0.25">
      <c r="D53" s="51" t="s">
        <v>184</v>
      </c>
      <c r="E53" s="51" t="s">
        <v>131</v>
      </c>
      <c r="F53" s="51" t="s">
        <v>130</v>
      </c>
      <c r="G53" s="51" t="s">
        <v>165</v>
      </c>
      <c r="H53" s="51" t="s">
        <v>166</v>
      </c>
      <c r="I53" s="51" t="s">
        <v>167</v>
      </c>
      <c r="J53" s="51" t="s">
        <v>168</v>
      </c>
      <c r="K53" s="51" t="s">
        <v>169</v>
      </c>
      <c r="L53" s="51" t="s">
        <v>170</v>
      </c>
      <c r="M53" s="51" t="s">
        <v>171</v>
      </c>
      <c r="N53" s="51" t="s">
        <v>172</v>
      </c>
      <c r="T53" s="99" t="s">
        <v>263</v>
      </c>
    </row>
    <row r="54" spans="4:33" ht="20.100000000000001" customHeight="1" x14ac:dyDescent="0.25">
      <c r="D54" s="52" t="s">
        <v>173</v>
      </c>
      <c r="E54" s="52">
        <f>'4.2.1.1-2 Methane'!E84</f>
        <v>8.6709047296000001</v>
      </c>
      <c r="F54" s="52">
        <f>'4.2.1.1-2 Methane'!F84</f>
        <v>12.246500250000002</v>
      </c>
      <c r="G54" s="52">
        <f>'4.2.1.1-2 Methane'!G84</f>
        <v>6.6089612241000006</v>
      </c>
      <c r="H54" s="52">
        <f>'4.2.1.1-2 Methane'!H84</f>
        <v>9.9740464851150019</v>
      </c>
      <c r="I54" s="52">
        <f>'4.2.1.1-2 Methane'!I84</f>
        <v>11.075755294</v>
      </c>
      <c r="J54" s="52">
        <f>'4.2.1.1-2 Methane'!J84</f>
        <v>11.075755294</v>
      </c>
      <c r="K54" s="52">
        <f>'4.2.1.1-2 Methane'!K84</f>
        <v>7.6192560899999977</v>
      </c>
      <c r="L54" s="52">
        <f>'4.2.1.1-2 Methane'!L84</f>
        <v>9.6824279555999979</v>
      </c>
      <c r="M54" s="52">
        <f>'4.2.1.1-2 Methane'!M84</f>
        <v>9.6824279555999979</v>
      </c>
      <c r="N54" s="52">
        <f>'4.2.1.1-2 Methane'!N84</f>
        <v>9.6824279555999979</v>
      </c>
      <c r="O54" s="2" t="str">
        <f>'4.2.1.1-2 Methane'!O84</f>
        <v>kg DM/head/day</v>
      </c>
      <c r="T54" s="98" t="s">
        <v>143</v>
      </c>
    </row>
    <row r="55" spans="4:33" ht="20.100000000000001" customHeight="1" x14ac:dyDescent="0.25">
      <c r="D55" s="52" t="s">
        <v>174</v>
      </c>
      <c r="E55" s="52">
        <f>'4.2.1.1-2 Methane'!E85</f>
        <v>7.1468536895999959</v>
      </c>
      <c r="F55" s="52">
        <f>'4.2.1.1-2 Methane'!F85</f>
        <v>9.4559940036000008</v>
      </c>
      <c r="G55" s="52">
        <f>'4.2.1.1-2 Methane'!G85</f>
        <v>6.010342559999998</v>
      </c>
      <c r="H55" s="52">
        <f>'4.2.1.1-2 Methane'!H85</f>
        <v>9.4446596430000014</v>
      </c>
      <c r="I55" s="52">
        <f>'4.2.1.1-2 Methane'!I85</f>
        <v>9.3513686803199985</v>
      </c>
      <c r="J55" s="52">
        <f>'4.2.1.1-2 Methane'!J85</f>
        <v>9.3513686803199985</v>
      </c>
      <c r="K55" s="52">
        <f>'4.2.1.1-2 Methane'!K85</f>
        <v>6.5876408896000003</v>
      </c>
      <c r="L55" s="52">
        <f>'4.2.1.1-2 Methane'!L85</f>
        <v>7.3430702361</v>
      </c>
      <c r="M55" s="52">
        <f>'4.2.1.1-2 Methane'!M85</f>
        <v>7.3430702361</v>
      </c>
      <c r="N55" s="52">
        <f>'4.2.1.1-2 Methane'!N85</f>
        <v>7.3430702361</v>
      </c>
      <c r="O55" s="2" t="str">
        <f>'4.2.1.1-2 Methane'!O85</f>
        <v>kg DM/head/day</v>
      </c>
      <c r="T55" s="51" t="s">
        <v>132</v>
      </c>
      <c r="U55" s="51" t="s">
        <v>131</v>
      </c>
      <c r="V55" s="51" t="s">
        <v>130</v>
      </c>
      <c r="W55" s="51" t="s">
        <v>165</v>
      </c>
      <c r="X55" s="51" t="s">
        <v>166</v>
      </c>
      <c r="Y55" s="51" t="s">
        <v>167</v>
      </c>
      <c r="Z55" s="51" t="s">
        <v>168</v>
      </c>
      <c r="AA55" s="51" t="s">
        <v>169</v>
      </c>
      <c r="AB55" s="51" t="s">
        <v>170</v>
      </c>
      <c r="AC55" s="51" t="s">
        <v>171</v>
      </c>
      <c r="AD55" s="51" t="s">
        <v>172</v>
      </c>
    </row>
    <row r="56" spans="4:33" ht="20.100000000000001" customHeight="1" x14ac:dyDescent="0.25">
      <c r="D56" s="52" t="s">
        <v>175</v>
      </c>
      <c r="E56" s="52">
        <f>'4.2.1.1-2 Methane'!E86</f>
        <v>3.247204</v>
      </c>
      <c r="F56" s="52">
        <f>'4.2.1.1-2 Methane'!F86</f>
        <v>9.4246544015999998</v>
      </c>
      <c r="G56" s="52">
        <f>'4.2.1.1-2 Methane'!G86</f>
        <v>2.9603267136000002</v>
      </c>
      <c r="H56" s="52">
        <f>'4.2.1.1-2 Methane'!H86</f>
        <v>6.2556874165799989</v>
      </c>
      <c r="I56" s="52">
        <f>'4.2.1.1-2 Methane'!I86</f>
        <v>7.0538973205049995</v>
      </c>
      <c r="J56" s="52">
        <f>'4.2.1.1-2 Methane'!J86</f>
        <v>7.0538973205049995</v>
      </c>
      <c r="K56" s="52">
        <f>'4.2.1.1-2 Methane'!K86</f>
        <v>3.247204</v>
      </c>
      <c r="L56" s="52">
        <f>'4.2.1.1-2 Methane'!L86</f>
        <v>5.8953782416000013</v>
      </c>
      <c r="M56" s="52">
        <f>'4.2.1.1-2 Methane'!M86</f>
        <v>5.8953782416000013</v>
      </c>
      <c r="N56" s="52">
        <f>'4.2.1.1-2 Methane'!N86</f>
        <v>5.8953782416000013</v>
      </c>
      <c r="O56" s="2" t="str">
        <f>'4.2.1.1-2 Methane'!O86</f>
        <v>kg DM/head/day</v>
      </c>
      <c r="T56" s="52" t="str">
        <f>TEXT('Input - Site'!$E$12, "mmmm yyyy")</f>
        <v>January 2024</v>
      </c>
      <c r="U56" s="52">
        <f>'4.2.1.1-2 Methane'!U84</f>
        <v>7.1468536895999959</v>
      </c>
      <c r="V56" s="52">
        <f>'4.2.1.1-2 Methane'!V84</f>
        <v>9.4559940036000008</v>
      </c>
      <c r="W56" s="52">
        <f>'4.2.1.1-2 Methane'!W84</f>
        <v>6.010342559999998</v>
      </c>
      <c r="X56" s="52">
        <f>'4.2.1.1-2 Methane'!X84</f>
        <v>8.4608409301875014</v>
      </c>
      <c r="Y56" s="52">
        <f>'4.2.1.1-2 Methane'!Y84</f>
        <v>8.3772677761199983</v>
      </c>
      <c r="Z56" s="52">
        <f>'4.2.1.1-2 Methane'!Z84</f>
        <v>8.3772677761199983</v>
      </c>
      <c r="AA56" s="52">
        <f>'4.2.1.1-2 Methane'!AA84</f>
        <v>6.5876408896000003</v>
      </c>
      <c r="AB56" s="52">
        <f>'4.2.1.1-2 Methane'!AB84</f>
        <v>7.3430702361</v>
      </c>
      <c r="AC56" s="52">
        <f>'4.2.1.1-2 Methane'!AC84</f>
        <v>7.3430702361</v>
      </c>
      <c r="AD56" s="52">
        <f>'4.2.1.1-2 Methane'!AD84</f>
        <v>7.3430702361</v>
      </c>
      <c r="AE56" s="2" t="str">
        <f>'4.2.1.1-2 Methane'!AE84</f>
        <v>kg DM/head/day</v>
      </c>
      <c r="AF56" s="2"/>
    </row>
    <row r="57" spans="4:33" ht="20.100000000000001" customHeight="1" x14ac:dyDescent="0.25">
      <c r="D57" s="52" t="s">
        <v>176</v>
      </c>
      <c r="E57" s="52">
        <f>'4.2.1.1-2 Methane'!E87</f>
        <v>5.1328980481000004</v>
      </c>
      <c r="F57" s="52">
        <f>'4.2.1.1-2 Methane'!F87</f>
        <v>9.9748588899999984</v>
      </c>
      <c r="G57" s="52">
        <f>'4.2.1.1-2 Methane'!G87</f>
        <v>4.202705002500001</v>
      </c>
      <c r="H57" s="52">
        <f>'4.2.1.1-2 Methane'!H87</f>
        <v>5.9278127841000021</v>
      </c>
      <c r="I57" s="52">
        <f>'4.2.1.1-2 Methane'!I87</f>
        <v>7.952343600099999</v>
      </c>
      <c r="J57" s="52">
        <f>'4.2.1.1-2 Methane'!J87</f>
        <v>7.952343600099999</v>
      </c>
      <c r="K57" s="52">
        <f>'4.2.1.1-2 Methane'!K87</f>
        <v>4.5122681240999984</v>
      </c>
      <c r="L57" s="52">
        <f>'4.2.1.1-2 Methane'!L87</f>
        <v>6.8698506815999991</v>
      </c>
      <c r="M57" s="52">
        <f>'4.2.1.1-2 Methane'!M87</f>
        <v>6.8698506815999991</v>
      </c>
      <c r="N57" s="52">
        <f>'4.2.1.1-2 Methane'!N87</f>
        <v>6.8698506815999991</v>
      </c>
      <c r="O57" s="2" t="str">
        <f>'4.2.1.1-2 Methane'!O87</f>
        <v>kg DM/head/day</v>
      </c>
      <c r="T57" s="52" t="str">
        <f>TEXT(EDATE('Input - Site'!$E$12,1), "mmmm yyyy")</f>
        <v>February 2024</v>
      </c>
      <c r="U57" s="52">
        <f>'4.2.1.1-2 Methane'!U85</f>
        <v>7.1468536895999959</v>
      </c>
      <c r="V57" s="52">
        <f>'4.2.1.1-2 Methane'!V85</f>
        <v>9.4559940036000008</v>
      </c>
      <c r="W57" s="52">
        <f>'4.2.1.1-2 Methane'!W85</f>
        <v>6.010342559999998</v>
      </c>
      <c r="X57" s="52">
        <f>'4.2.1.1-2 Methane'!X85</f>
        <v>8.4608409301875014</v>
      </c>
      <c r="Y57" s="52">
        <f>'4.2.1.1-2 Methane'!Y85</f>
        <v>8.3772677761199983</v>
      </c>
      <c r="Z57" s="52">
        <f>'4.2.1.1-2 Methane'!Z85</f>
        <v>8.3772677761199983</v>
      </c>
      <c r="AA57" s="52">
        <f>'4.2.1.1-2 Methane'!AA85</f>
        <v>6.5876408896000003</v>
      </c>
      <c r="AB57" s="52">
        <f>'4.2.1.1-2 Methane'!AB85</f>
        <v>7.3430702361</v>
      </c>
      <c r="AC57" s="52">
        <f>'4.2.1.1-2 Methane'!AC85</f>
        <v>7.3430702361</v>
      </c>
      <c r="AD57" s="52">
        <f>'4.2.1.1-2 Methane'!AD85</f>
        <v>7.3430702361</v>
      </c>
      <c r="AE57" s="2" t="str">
        <f>'4.2.1.1-2 Methane'!AE85</f>
        <v>kg DM/head/day</v>
      </c>
      <c r="AF57" s="2"/>
    </row>
    <row r="58" spans="4:33" ht="20.100000000000001" customHeight="1" x14ac:dyDescent="0.25">
      <c r="T58" s="52" t="str">
        <f>TEXT(EDATE('Input - Site'!$E$12,2), "mmmm yyyy")</f>
        <v>March 2024</v>
      </c>
      <c r="U58" s="52">
        <f>'4.2.1.1-2 Methane'!U86</f>
        <v>3.247204</v>
      </c>
      <c r="V58" s="52">
        <f>'4.2.1.1-2 Methane'!V86</f>
        <v>9.4246544015999998</v>
      </c>
      <c r="W58" s="52">
        <f>'4.2.1.1-2 Methane'!W86</f>
        <v>2.9603267136000002</v>
      </c>
      <c r="X58" s="52">
        <f>'4.2.1.1-2 Methane'!X86</f>
        <v>6.4046323550699995</v>
      </c>
      <c r="Y58" s="52">
        <f>'4.2.1.1-2 Methane'!Y86</f>
        <v>7.2218472567075001</v>
      </c>
      <c r="Z58" s="52">
        <f>'4.2.1.1-2 Methane'!Z86</f>
        <v>7.2218472567075001</v>
      </c>
      <c r="AA58" s="52">
        <f>'4.2.1.1-2 Methane'!AA86</f>
        <v>3.247204</v>
      </c>
      <c r="AB58" s="52">
        <f>'4.2.1.1-2 Methane'!AB86</f>
        <v>5.8953782416000013</v>
      </c>
      <c r="AC58" s="52">
        <f>'4.2.1.1-2 Methane'!AC86</f>
        <v>5.8953782416000013</v>
      </c>
      <c r="AD58" s="52">
        <f>'4.2.1.1-2 Methane'!AD86</f>
        <v>5.8953782416000013</v>
      </c>
      <c r="AE58" s="2" t="str">
        <f>'4.2.1.1-2 Methane'!AE86</f>
        <v>kg DM/head/day</v>
      </c>
      <c r="AF58" s="2"/>
    </row>
    <row r="59" spans="4:33" ht="20.100000000000001" customHeight="1" x14ac:dyDescent="0.25">
      <c r="D59" s="99" t="s">
        <v>302</v>
      </c>
      <c r="T59" s="52" t="str">
        <f>TEXT(EDATE('Input - Site'!$E$12,3), "mmmm yyyy")</f>
        <v>April 2024</v>
      </c>
      <c r="U59" s="52">
        <f>'4.2.1.1-2 Methane'!U87</f>
        <v>3.247204</v>
      </c>
      <c r="V59" s="52">
        <f>'4.2.1.1-2 Methane'!V87</f>
        <v>9.4246544015999998</v>
      </c>
      <c r="W59" s="52">
        <f>'4.2.1.1-2 Methane'!W87</f>
        <v>2.9603267136000002</v>
      </c>
      <c r="X59" s="52">
        <f>'4.2.1.1-2 Methane'!X87</f>
        <v>5.9577975395999987</v>
      </c>
      <c r="Y59" s="52">
        <f>'4.2.1.1-2 Methane'!Y87</f>
        <v>6.7179974480999993</v>
      </c>
      <c r="Z59" s="52">
        <f>'4.2.1.1-2 Methane'!Z87</f>
        <v>6.7179974480999993</v>
      </c>
      <c r="AA59" s="52">
        <f>'4.2.1.1-2 Methane'!AA87</f>
        <v>3.247204</v>
      </c>
      <c r="AB59" s="52">
        <f>'4.2.1.1-2 Methane'!AB87</f>
        <v>5.8953782416000013</v>
      </c>
      <c r="AC59" s="52">
        <f>'4.2.1.1-2 Methane'!AC87</f>
        <v>5.8953782416000013</v>
      </c>
      <c r="AD59" s="52">
        <f>'4.2.1.1-2 Methane'!AD87</f>
        <v>5.8953782416000013</v>
      </c>
      <c r="AE59" s="2" t="str">
        <f>'4.2.1.1-2 Methane'!AE87</f>
        <v>kg DM/head/day</v>
      </c>
      <c r="AF59" s="2"/>
    </row>
    <row r="60" spans="4:33" ht="20.100000000000001" customHeight="1" x14ac:dyDescent="0.25">
      <c r="D60" s="98" t="s">
        <v>150</v>
      </c>
      <c r="T60" s="52" t="str">
        <f>TEXT(EDATE('Input - Site'!$E$12,4), "mmmm yyyy")</f>
        <v>May 2024</v>
      </c>
      <c r="U60" s="52">
        <f>'4.2.1.1-2 Methane'!U88</f>
        <v>3.247204</v>
      </c>
      <c r="V60" s="52">
        <f>'4.2.1.1-2 Methane'!V88</f>
        <v>9.4246544015999998</v>
      </c>
      <c r="W60" s="52">
        <f>'4.2.1.1-2 Methane'!W88</f>
        <v>2.9603267136000002</v>
      </c>
      <c r="X60" s="52">
        <f>'4.2.1.1-2 Methane'!X88</f>
        <v>5.9577975395999987</v>
      </c>
      <c r="Y60" s="52">
        <f>'4.2.1.1-2 Methane'!Y88</f>
        <v>6.7179974480999993</v>
      </c>
      <c r="Z60" s="52">
        <f>'4.2.1.1-2 Methane'!Z88</f>
        <v>6.7179974480999993</v>
      </c>
      <c r="AA60" s="52">
        <f>'4.2.1.1-2 Methane'!AA88</f>
        <v>3.247204</v>
      </c>
      <c r="AB60" s="52">
        <f>'4.2.1.1-2 Methane'!AB88</f>
        <v>5.8953782416000013</v>
      </c>
      <c r="AC60" s="52">
        <f>'4.2.1.1-2 Methane'!AC88</f>
        <v>5.8953782416000013</v>
      </c>
      <c r="AD60" s="52">
        <f>'4.2.1.1-2 Methane'!AD88</f>
        <v>5.8953782416000013</v>
      </c>
      <c r="AE60" s="2" t="str">
        <f>'4.2.1.1-2 Methane'!AE88</f>
        <v>kg DM/head/day</v>
      </c>
      <c r="AF60" s="2"/>
    </row>
    <row r="61" spans="4:33" ht="20.100000000000001" customHeight="1" x14ac:dyDescent="0.25">
      <c r="D61" s="51" t="s">
        <v>184</v>
      </c>
      <c r="E61" s="51" t="s">
        <v>131</v>
      </c>
      <c r="F61" s="51" t="s">
        <v>130</v>
      </c>
      <c r="G61" s="51" t="s">
        <v>165</v>
      </c>
      <c r="H61" s="51" t="s">
        <v>166</v>
      </c>
      <c r="I61" s="51" t="s">
        <v>167</v>
      </c>
      <c r="J61" s="51" t="s">
        <v>168</v>
      </c>
      <c r="K61" s="51" t="s">
        <v>169</v>
      </c>
      <c r="L61" s="51" t="s">
        <v>170</v>
      </c>
      <c r="M61" s="51" t="s">
        <v>171</v>
      </c>
      <c r="N61" s="51" t="s">
        <v>172</v>
      </c>
      <c r="T61" s="52" t="str">
        <f>TEXT(EDATE('Input - Site'!$E$12,5), "mmmm yyyy")</f>
        <v>June 2024</v>
      </c>
      <c r="U61" s="52">
        <f>'4.2.1.1-2 Methane'!U89</f>
        <v>5.1328980481000004</v>
      </c>
      <c r="V61" s="52">
        <f>'4.2.1.1-2 Methane'!V89</f>
        <v>9.9748588899999984</v>
      </c>
      <c r="W61" s="52">
        <f>'4.2.1.1-2 Methane'!W89</f>
        <v>4.202705002500001</v>
      </c>
      <c r="X61" s="52">
        <f>'4.2.1.1-2 Methane'!X89</f>
        <v>5.9278127841000021</v>
      </c>
      <c r="Y61" s="52">
        <f>'4.2.1.1-2 Methane'!Y89</f>
        <v>7.952343600099999</v>
      </c>
      <c r="Z61" s="52">
        <f>'4.2.1.1-2 Methane'!Z89</f>
        <v>7.952343600099999</v>
      </c>
      <c r="AA61" s="52">
        <f>'4.2.1.1-2 Methane'!AA89</f>
        <v>4.5122681240999984</v>
      </c>
      <c r="AB61" s="52">
        <f>'4.2.1.1-2 Methane'!AB89</f>
        <v>6.8698506815999991</v>
      </c>
      <c r="AC61" s="52">
        <f>'4.2.1.1-2 Methane'!AC89</f>
        <v>6.8698506815999991</v>
      </c>
      <c r="AD61" s="52">
        <f>'4.2.1.1-2 Methane'!AD89</f>
        <v>6.8698506815999991</v>
      </c>
      <c r="AE61" s="2" t="str">
        <f>'4.2.1.1-2 Methane'!AE89</f>
        <v>kg DM/head/day</v>
      </c>
      <c r="AF61" s="2"/>
    </row>
    <row r="62" spans="4:33" ht="20.100000000000001" customHeight="1" x14ac:dyDescent="0.25">
      <c r="D62" s="52" t="s">
        <v>173</v>
      </c>
      <c r="E62" s="52" cm="1">
        <f t="array" ref="E62">MMS_PastureBeef_Soil_N2ODirect_Equations.VEERG_4_2_1_3__6_IntakeRelativeToMaintenance(E54,E20)</f>
        <v>1.4707970166214006</v>
      </c>
      <c r="F62" s="52" cm="1">
        <f t="array" ref="F62">MMS_PastureBeef_Soil_N2ODirect_Equations.VEERG_4_2_1_3__6_IntakeRelativeToMaintenance(F54,F20)</f>
        <v>1.2318676608114607</v>
      </c>
      <c r="G62" s="52" cm="1">
        <f t="array" ref="G62">MMS_PastureBeef_Soil_N2ODirect_Equations.VEERG_4_2_1_3__6_IntakeRelativeToMaintenance(G54,G20)</f>
        <v>1.3784396841492426</v>
      </c>
      <c r="H62" s="52" cm="1">
        <f t="array" ref="H62">MMS_PastureBeef_Soil_N2ODirect_Equations.VEERG_4_2_1_3__6_IntakeRelativeToMaintenance(H54,H20)</f>
        <v>1.4385232636467302</v>
      </c>
      <c r="I62" s="52" cm="1">
        <f t="array" ref="I62">MMS_PastureBeef_Soil_N2ODirect_Equations.VEERG_4_2_1_3__6_IntakeRelativeToMaintenance(I54,I20)</f>
        <v>1.3210711652463534</v>
      </c>
      <c r="J62" s="52" cm="1">
        <f t="array" ref="J62">MMS_PastureBeef_Soil_N2ODirect_Equations.VEERG_4_2_1_3__6_IntakeRelativeToMaintenance(J54,J20)</f>
        <v>1.3210711652463534</v>
      </c>
      <c r="K62" s="52" cm="1">
        <f t="array" ref="K62">MMS_PastureBeef_Soil_N2ODirect_Equations.VEERG_4_2_1_3__6_IntakeRelativeToMaintenance(K54,K20)</f>
        <v>1.4241682690123998</v>
      </c>
      <c r="L62" s="52" cm="1">
        <f t="array" ref="L62">MMS_PastureBeef_Soil_N2ODirect_Equations.VEERG_4_2_1_3__6_IntakeRelativeToMaintenance(L54,L20)</f>
        <v>1.2663208058014268</v>
      </c>
      <c r="M62" s="52" cm="1">
        <f t="array" ref="M62">MMS_PastureBeef_Soil_N2ODirect_Equations.VEERG_4_2_1_3__6_IntakeRelativeToMaintenance(M54,M20)</f>
        <v>1.2663208058014268</v>
      </c>
      <c r="N62" s="52" cm="1">
        <f t="array" ref="N62">MMS_PastureBeef_Soil_N2ODirect_Equations.VEERG_4_2_1_3__6_IntakeRelativeToMaintenance(N54,N20)</f>
        <v>1.2663208058014268</v>
      </c>
      <c r="O62" s="2" t="str">
        <f>$E$46</f>
        <v>ratio</v>
      </c>
      <c r="T62" s="52" t="str">
        <f>TEXT(EDATE('Input - Site'!$E$12,6), "mmmm yyyy")</f>
        <v>July 2024</v>
      </c>
      <c r="U62" s="52">
        <f>'4.2.1.1-2 Methane'!U90</f>
        <v>5.1328980481000004</v>
      </c>
      <c r="V62" s="52">
        <f>'4.2.1.1-2 Methane'!V90</f>
        <v>9.9748588899999984</v>
      </c>
      <c r="W62" s="52">
        <f>'4.2.1.1-2 Methane'!W90</f>
        <v>4.202705002500001</v>
      </c>
      <c r="X62" s="52">
        <f>'4.2.1.1-2 Methane'!X90</f>
        <v>6.3723987429075022</v>
      </c>
      <c r="Y62" s="52">
        <f>'4.2.1.1-2 Methane'!Y90</f>
        <v>8.5487693701074985</v>
      </c>
      <c r="Z62" s="52">
        <f>'4.2.1.1-2 Methane'!Z90</f>
        <v>8.5487693701074985</v>
      </c>
      <c r="AA62" s="52">
        <f>'4.2.1.1-2 Methane'!AA90</f>
        <v>4.5122681240999984</v>
      </c>
      <c r="AB62" s="52">
        <f>'4.2.1.1-2 Methane'!AB90</f>
        <v>6.8698506815999991</v>
      </c>
      <c r="AC62" s="52">
        <f>'4.2.1.1-2 Methane'!AC90</f>
        <v>6.8698506815999991</v>
      </c>
      <c r="AD62" s="52">
        <f>'4.2.1.1-2 Methane'!AD90</f>
        <v>6.8698506815999991</v>
      </c>
      <c r="AE62" s="2" t="str">
        <f>'4.2.1.1-2 Methane'!AE90</f>
        <v>kg DM/head/day</v>
      </c>
      <c r="AF62" s="2"/>
    </row>
    <row r="63" spans="4:33" ht="20.100000000000001" customHeight="1" x14ac:dyDescent="0.25">
      <c r="D63" s="52" t="s">
        <v>174</v>
      </c>
      <c r="E63" s="52" cm="1">
        <f t="array" ref="E63">MMS_PastureBeef_Soil_N2ODirect_Equations.VEERG_4_2_1_3__6_IntakeRelativeToMaintenance(E55,E21)</f>
        <v>1.1123493391850732</v>
      </c>
      <c r="F63" s="52" cm="1">
        <f t="array" ref="F63">MMS_PastureBeef_Soil_N2ODirect_Equations.VEERG_4_2_1_3__6_IntakeRelativeToMaintenance(F55,F21)</f>
        <v>0.95640681558610863</v>
      </c>
      <c r="G63" s="52" cm="1">
        <f t="array" ref="G63">MMS_PastureBeef_Soil_N2ODirect_Equations.VEERG_4_2_1_3__6_IntakeRelativeToMaintenance(G55,G21)</f>
        <v>1.1234350255113625</v>
      </c>
      <c r="H63" s="52" cm="1">
        <f t="array" ref="H63">MMS_PastureBeef_Soil_N2ODirect_Equations.VEERG_4_2_1_3__6_IntakeRelativeToMaintenance(H55,H21)</f>
        <v>1.2941254204817427</v>
      </c>
      <c r="I63" s="52" cm="1">
        <f t="array" ref="I63">MMS_PastureBeef_Soil_N2ODirect_Equations.VEERG_4_2_1_3__6_IntakeRelativeToMaintenance(I55,I21)</f>
        <v>1.1425677680952695</v>
      </c>
      <c r="J63" s="52" cm="1">
        <f t="array" ref="J63">MMS_PastureBeef_Soil_N2ODirect_Equations.VEERG_4_2_1_3__6_IntakeRelativeToMaintenance(J55,J21)</f>
        <v>1.1425677680952695</v>
      </c>
      <c r="K63" s="52" cm="1">
        <f t="array" ref="K63">MMS_PastureBeef_Soil_N2ODirect_Equations.VEERG_4_2_1_3__6_IntakeRelativeToMaintenance(K55,K21)</f>
        <v>1.1174246366611618</v>
      </c>
      <c r="L63" s="52" cm="1">
        <f t="array" ref="L63">MMS_PastureBeef_Soil_N2ODirect_Equations.VEERG_4_2_1_3__6_IntakeRelativeToMaintenance(L55,L21)</f>
        <v>0.97490853257319487</v>
      </c>
      <c r="M63" s="52" cm="1">
        <f t="array" ref="M63">MMS_PastureBeef_Soil_N2ODirect_Equations.VEERG_4_2_1_3__6_IntakeRelativeToMaintenance(M55,M21)</f>
        <v>0.97490853257319487</v>
      </c>
      <c r="N63" s="52" cm="1">
        <f t="array" ref="N63">MMS_PastureBeef_Soil_N2ODirect_Equations.VEERG_4_2_1_3__6_IntakeRelativeToMaintenance(N55,N21)</f>
        <v>0.97490853257319487</v>
      </c>
      <c r="O63" s="2" t="str">
        <f t="shared" ref="O63:O65" si="2">$E$46</f>
        <v>ratio</v>
      </c>
      <c r="T63" s="52" t="str">
        <f>TEXT(EDATE('Input - Site'!$E$12,7), "mmmm yyyy")</f>
        <v>August 2024</v>
      </c>
      <c r="U63" s="52">
        <f>'4.2.1.1-2 Methane'!U91</f>
        <v>5.1328980481000004</v>
      </c>
      <c r="V63" s="52">
        <f>'4.2.1.1-2 Methane'!V91</f>
        <v>9.9748588899999984</v>
      </c>
      <c r="W63" s="52">
        <f>'4.2.1.1-2 Methane'!W91</f>
        <v>4.202705002500001</v>
      </c>
      <c r="X63" s="52">
        <f>'4.2.1.1-2 Methane'!X91</f>
        <v>6.3723987429075022</v>
      </c>
      <c r="Y63" s="52">
        <f>'4.2.1.1-2 Methane'!Y91</f>
        <v>8.5487693701074985</v>
      </c>
      <c r="Z63" s="52">
        <f>'4.2.1.1-2 Methane'!Z91</f>
        <v>8.5487693701074985</v>
      </c>
      <c r="AA63" s="52">
        <f>'4.2.1.1-2 Methane'!AA91</f>
        <v>4.5122681240999984</v>
      </c>
      <c r="AB63" s="52">
        <f>'4.2.1.1-2 Methane'!AB91</f>
        <v>6.8698506815999991</v>
      </c>
      <c r="AC63" s="52">
        <f>'4.2.1.1-2 Methane'!AC91</f>
        <v>6.8698506815999991</v>
      </c>
      <c r="AD63" s="52">
        <f>'4.2.1.1-2 Methane'!AD91</f>
        <v>6.8698506815999991</v>
      </c>
      <c r="AE63" s="2" t="str">
        <f>'4.2.1.1-2 Methane'!AE91</f>
        <v>kg DM/head/day</v>
      </c>
      <c r="AF63" s="2"/>
    </row>
    <row r="64" spans="4:33" ht="20.100000000000001" customHeight="1" x14ac:dyDescent="0.25">
      <c r="D64" s="52" t="s">
        <v>175</v>
      </c>
      <c r="E64" s="52" cm="1">
        <f t="array" ref="E64">MMS_PastureBeef_Soil_N2ODirect_Equations.VEERG_4_2_1_3__6_IntakeRelativeToMaintenance(E56,E22)</f>
        <v>1.2480754440536419</v>
      </c>
      <c r="F64" s="52" cm="1">
        <f t="array" ref="F64">MMS_PastureBeef_Soil_N2ODirect_Equations.VEERG_4_2_1_3__6_IntakeRelativeToMaintenance(F56,F22)</f>
        <v>1</v>
      </c>
      <c r="G64" s="52" cm="1">
        <f t="array" ref="G64">MMS_PastureBeef_Soil_N2ODirect_Equations.VEERG_4_2_1_3__6_IntakeRelativeToMaintenance(G56,G22)</f>
        <v>1.2620356226501883</v>
      </c>
      <c r="H64" s="52" cm="1">
        <f t="array" ref="H64">MMS_PastureBeef_Soil_N2ODirect_Equations.VEERG_4_2_1_3__6_IntakeRelativeToMaintenance(H56,H22)</f>
        <v>1.1122612482342722</v>
      </c>
      <c r="I64" s="52" cm="1">
        <f t="array" ref="I64">MMS_PastureBeef_Soil_N2ODirect_Equations.VEERG_4_2_1_3__6_IntakeRelativeToMaintenance(I56,I22)</f>
        <v>0.92254721438708498</v>
      </c>
      <c r="J64" s="52" cm="1">
        <f t="array" ref="J64">MMS_PastureBeef_Soil_N2ODirect_Equations.VEERG_4_2_1_3__6_IntakeRelativeToMaintenance(J56,J22)</f>
        <v>0.92254721438708498</v>
      </c>
      <c r="K64" s="52" cm="1">
        <f t="array" ref="K64">MMS_PastureBeef_Soil_N2ODirect_Equations.VEERG_4_2_1_3__6_IntakeRelativeToMaintenance(K56,K22)</f>
        <v>1.2480754440536419</v>
      </c>
      <c r="L64" s="52" cm="1">
        <f t="array" ref="L64">MMS_PastureBeef_Soil_N2ODirect_Equations.VEERG_4_2_1_3__6_IntakeRelativeToMaintenance(L56,L22)</f>
        <v>1</v>
      </c>
      <c r="M64" s="52" cm="1">
        <f t="array" ref="M64">MMS_PastureBeef_Soil_N2ODirect_Equations.VEERG_4_2_1_3__6_IntakeRelativeToMaintenance(M56,M22)</f>
        <v>1</v>
      </c>
      <c r="N64" s="52" cm="1">
        <f t="array" ref="N64">MMS_PastureBeef_Soil_N2ODirect_Equations.VEERG_4_2_1_3__6_IntakeRelativeToMaintenance(N56,N22)</f>
        <v>1</v>
      </c>
      <c r="O64" s="2" t="str">
        <f t="shared" si="2"/>
        <v>ratio</v>
      </c>
      <c r="T64" s="52" t="str">
        <f>TEXT(EDATE('Input - Site'!$E$12,8), "mmmm yyyy")</f>
        <v>September 2024</v>
      </c>
      <c r="U64" s="52">
        <f>'4.2.1.1-2 Methane'!U92</f>
        <v>8.6709047296000001</v>
      </c>
      <c r="V64" s="52">
        <f>'4.2.1.1-2 Methane'!V92</f>
        <v>12.246500250000002</v>
      </c>
      <c r="W64" s="52">
        <f>'4.2.1.1-2 Methane'!W92</f>
        <v>6.6089612241000006</v>
      </c>
      <c r="X64" s="52">
        <f>'4.2.1.1-2 Methane'!X92</f>
        <v>9.3235651926075018</v>
      </c>
      <c r="Y64" s="52">
        <f>'4.2.1.1-2 Methane'!Y92</f>
        <v>10.353423427000001</v>
      </c>
      <c r="Z64" s="52">
        <f>'4.2.1.1-2 Methane'!Z92</f>
        <v>10.353423427000001</v>
      </c>
      <c r="AA64" s="52">
        <f>'4.2.1.1-2 Methane'!AA92</f>
        <v>7.6192560899999977</v>
      </c>
      <c r="AB64" s="52">
        <f>'4.2.1.1-2 Methane'!AB92</f>
        <v>9.6824279555999979</v>
      </c>
      <c r="AC64" s="52">
        <f>'4.2.1.1-2 Methane'!AC92</f>
        <v>9.6824279555999979</v>
      </c>
      <c r="AD64" s="52">
        <f>'4.2.1.1-2 Methane'!AD92</f>
        <v>9.6824279555999979</v>
      </c>
      <c r="AE64" s="2" t="str">
        <f>'4.2.1.1-2 Methane'!AE92</f>
        <v>kg DM/head/day</v>
      </c>
      <c r="AF64" s="2"/>
    </row>
    <row r="65" spans="3:32" ht="20.100000000000001" customHeight="1" x14ac:dyDescent="0.25">
      <c r="D65" s="52" t="s">
        <v>176</v>
      </c>
      <c r="E65" s="52" cm="1">
        <f t="array" ref="E65">MMS_PastureBeef_Soil_N2ODirect_Equations.VEERG_4_2_1_3__6_IntakeRelativeToMaintenance(E57,E23)</f>
        <v>1.3447114471128401</v>
      </c>
      <c r="F65" s="52" cm="1">
        <f t="array" ref="F65">MMS_PastureBeef_Soil_N2ODirect_Equations.VEERG_4_2_1_3__6_IntakeRelativeToMaintenance(F57,F23)</f>
        <v>1.0453721939219578</v>
      </c>
      <c r="G65" s="52" cm="1">
        <f t="array" ref="G65">MMS_PastureBeef_Soil_N2ODirect_Equations.VEERG_4_2_1_3__6_IntakeRelativeToMaintenance(G57,G23)</f>
        <v>1.2863889326974398</v>
      </c>
      <c r="H65" s="52" cm="1">
        <f t="array" ref="H65">MMS_PastureBeef_Soil_N2ODirect_Equations.VEERG_4_2_1_3__6_IntakeRelativeToMaintenance(H57,H23)</f>
        <v>1.0290827091276171</v>
      </c>
      <c r="I65" s="52" cm="1">
        <f t="array" ref="I65">MMS_PastureBeef_Soil_N2ODirect_Equations.VEERG_4_2_1_3__6_IntakeRelativeToMaintenance(I57,I23)</f>
        <v>1.0250350228725489</v>
      </c>
      <c r="J65" s="52" cm="1">
        <f t="array" ref="J65">MMS_PastureBeef_Soil_N2ODirect_Equations.VEERG_4_2_1_3__6_IntakeRelativeToMaintenance(J57,J23)</f>
        <v>1.0250350228725489</v>
      </c>
      <c r="K65" s="52" cm="1">
        <f t="array" ref="K65">MMS_PastureBeef_Soil_N2ODirect_Equations.VEERG_4_2_1_3__6_IntakeRelativeToMaintenance(K57,K23)</f>
        <v>1.2744200407937745</v>
      </c>
      <c r="L65" s="52" cm="1">
        <f t="array" ref="L65">MMS_PastureBeef_Soil_N2ODirect_Equations.VEERG_4_2_1_3__6_IntakeRelativeToMaintenance(L57,L23)</f>
        <v>1.1147815609185805</v>
      </c>
      <c r="M65" s="52" cm="1">
        <f t="array" ref="M65">MMS_PastureBeef_Soil_N2ODirect_Equations.VEERG_4_2_1_3__6_IntakeRelativeToMaintenance(M57,M23)</f>
        <v>1.1147815609185805</v>
      </c>
      <c r="N65" s="52" cm="1">
        <f t="array" ref="N65">MMS_PastureBeef_Soil_N2ODirect_Equations.VEERG_4_2_1_3__6_IntakeRelativeToMaintenance(N57,N23)</f>
        <v>1.1147815609185805</v>
      </c>
      <c r="O65" s="2" t="str">
        <f t="shared" si="2"/>
        <v>ratio</v>
      </c>
      <c r="T65" s="52" t="str">
        <f>TEXT(EDATE('Input - Site'!$E$12,9), "mmmm yyyy")</f>
        <v>October 2024</v>
      </c>
      <c r="U65" s="52">
        <f>'4.2.1.1-2 Methane'!U93</f>
        <v>8.6709047296000001</v>
      </c>
      <c r="V65" s="52">
        <f>'4.2.1.1-2 Methane'!V93</f>
        <v>12.246500250000002</v>
      </c>
      <c r="W65" s="52">
        <f>'4.2.1.1-2 Methane'!W93</f>
        <v>6.6089612241000006</v>
      </c>
      <c r="X65" s="52">
        <f>'4.2.1.1-2 Methane'!X93</f>
        <v>10.841354875125003</v>
      </c>
      <c r="Y65" s="52">
        <f>'4.2.1.1-2 Methane'!Y93</f>
        <v>12.038864450000002</v>
      </c>
      <c r="Z65" s="52">
        <f>'4.2.1.1-2 Methane'!Z93</f>
        <v>12.038864450000002</v>
      </c>
      <c r="AA65" s="52">
        <f>'4.2.1.1-2 Methane'!AA93</f>
        <v>7.6192560899999977</v>
      </c>
      <c r="AB65" s="52">
        <f>'4.2.1.1-2 Methane'!AB93</f>
        <v>9.6824279555999979</v>
      </c>
      <c r="AC65" s="52">
        <f>'4.2.1.1-2 Methane'!AC93</f>
        <v>9.6824279555999979</v>
      </c>
      <c r="AD65" s="52">
        <f>'4.2.1.1-2 Methane'!AD93</f>
        <v>9.6824279555999979</v>
      </c>
      <c r="AE65" s="2" t="str">
        <f>'4.2.1.1-2 Methane'!AE93</f>
        <v>kg DM/head/day</v>
      </c>
      <c r="AF65" s="2"/>
    </row>
    <row r="66" spans="3:32" ht="20.100000000000001" customHeight="1" x14ac:dyDescent="0.25">
      <c r="T66" s="52" t="str">
        <f>TEXT(EDATE('Input - Site'!$E$12,10), "mmmm yyyy")</f>
        <v>November 2024</v>
      </c>
      <c r="U66" s="52">
        <f>'4.2.1.1-2 Methane'!U94</f>
        <v>8.6709047296000001</v>
      </c>
      <c r="V66" s="52">
        <f>'4.2.1.1-2 Methane'!V94</f>
        <v>12.246500250000002</v>
      </c>
      <c r="W66" s="52">
        <f>'4.2.1.1-2 Methane'!W94</f>
        <v>6.6089612241000006</v>
      </c>
      <c r="X66" s="52">
        <f>'4.2.1.1-2 Methane'!X94</f>
        <v>10.841354875125003</v>
      </c>
      <c r="Y66" s="52">
        <f>'4.2.1.1-2 Methane'!Y94</f>
        <v>12.038864450000002</v>
      </c>
      <c r="Z66" s="52">
        <f>'4.2.1.1-2 Methane'!Z94</f>
        <v>12.038864450000002</v>
      </c>
      <c r="AA66" s="52">
        <f>'4.2.1.1-2 Methane'!AA94</f>
        <v>7.6192560899999977</v>
      </c>
      <c r="AB66" s="52">
        <f>'4.2.1.1-2 Methane'!AB94</f>
        <v>9.6824279555999979</v>
      </c>
      <c r="AC66" s="52">
        <f>'4.2.1.1-2 Methane'!AC94</f>
        <v>9.6824279555999979</v>
      </c>
      <c r="AD66" s="52">
        <f>'4.2.1.1-2 Methane'!AD94</f>
        <v>9.6824279555999979</v>
      </c>
      <c r="AE66" s="2" t="str">
        <f>'4.2.1.1-2 Methane'!AE94</f>
        <v>kg DM/head/day</v>
      </c>
      <c r="AF66" s="2"/>
    </row>
    <row r="67" spans="3:32" ht="20.100000000000001" customHeight="1" x14ac:dyDescent="0.25">
      <c r="T67" s="52" t="str">
        <f>TEXT(EDATE('Input - Site'!$E$12,11), "mmmm yyyy")</f>
        <v>December 2024</v>
      </c>
      <c r="U67" s="52">
        <f>'4.2.1.1-2 Methane'!U95</f>
        <v>7.1468536895999959</v>
      </c>
      <c r="V67" s="52">
        <f>'4.2.1.1-2 Methane'!V95</f>
        <v>9.4559940036000008</v>
      </c>
      <c r="W67" s="52">
        <f>'4.2.1.1-2 Methane'!W95</f>
        <v>6.010342559999998</v>
      </c>
      <c r="X67" s="52">
        <f>'4.2.1.1-2 Methane'!X95</f>
        <v>9.838187128125</v>
      </c>
      <c r="Y67" s="52">
        <f>'4.2.1.1-2 Methane'!Y95</f>
        <v>9.7410090419999982</v>
      </c>
      <c r="Z67" s="52">
        <f>'4.2.1.1-2 Methane'!Z95</f>
        <v>9.7410090419999982</v>
      </c>
      <c r="AA67" s="52">
        <f>'4.2.1.1-2 Methane'!AA95</f>
        <v>6.5876408896000003</v>
      </c>
      <c r="AB67" s="52">
        <f>'4.2.1.1-2 Methane'!AB95</f>
        <v>7.3430702361</v>
      </c>
      <c r="AC67" s="52">
        <f>'4.2.1.1-2 Methane'!AC95</f>
        <v>7.3430702361</v>
      </c>
      <c r="AD67" s="52">
        <f>'4.2.1.1-2 Methane'!AD95</f>
        <v>7.3430702361</v>
      </c>
      <c r="AE67" s="2" t="str">
        <f>'4.2.1.1-2 Methane'!AE95</f>
        <v>kg DM/head/day</v>
      </c>
      <c r="AF67" s="2"/>
    </row>
    <row r="68" spans="3:32" ht="20.100000000000001" customHeight="1" x14ac:dyDescent="0.25">
      <c r="C68" s="45"/>
      <c r="D68" s="45"/>
      <c r="E68" s="45"/>
      <c r="F68" s="45"/>
      <c r="G68" s="45"/>
      <c r="H68" s="45"/>
      <c r="I68" s="45"/>
      <c r="J68" s="45"/>
      <c r="K68" s="45"/>
      <c r="L68" s="45"/>
      <c r="M68" s="45"/>
      <c r="N68" s="45"/>
      <c r="O68" s="45"/>
      <c r="P68" s="45"/>
      <c r="Q68" s="45"/>
    </row>
    <row r="69" spans="3:32" ht="20.100000000000001" customHeight="1" x14ac:dyDescent="0.25">
      <c r="D69" s="6" t="str" cm="1">
        <f t="array" ref="D69">MMS_PastureBeef_Soil_N2ODirect_Equations.VEERG_4_2_1_3__5_MilkProductionForCalvingSeason_Title()</f>
        <v>Milk production for the season of calving and season after calving</v>
      </c>
      <c r="T69" s="99" t="s">
        <v>318</v>
      </c>
    </row>
    <row r="70" spans="3:32" ht="20.100000000000001" customHeight="1" x14ac:dyDescent="0.25">
      <c r="D70" s="5" t="str" cm="1">
        <f t="array" ref="D70">MMS_PastureBeef_Soil_N2ODirect_Equations.VEERG_4_2_1_3__5_MilkProductionForCalvingSeason_Source()</f>
        <v>VEERG 2026: 4.2.1.3, Equation (5)</v>
      </c>
      <c r="T70" s="98" t="s">
        <v>151</v>
      </c>
    </row>
    <row r="71" spans="3:32" ht="20.100000000000001" customHeight="1" x14ac:dyDescent="0.25">
      <c r="D71" s="55" t="str" cm="1">
        <f t="array" ref="D71">MMS_PastureBeef_Soil_N2ODirect_Equations.VEERG_4_2_1_3__5_MilkProductionForCalvingSeason_Variation()</f>
        <v>VARIATION ON SOURCE: Split LC and DMP into calving season and after calving season values.</v>
      </c>
      <c r="T71" s="51" t="s">
        <v>132</v>
      </c>
      <c r="U71" s="51" t="s">
        <v>131</v>
      </c>
      <c r="V71" s="51" t="s">
        <v>130</v>
      </c>
      <c r="W71" s="51" t="s">
        <v>165</v>
      </c>
      <c r="X71" s="51" t="s">
        <v>166</v>
      </c>
      <c r="Y71" s="51" t="s">
        <v>167</v>
      </c>
      <c r="Z71" s="51" t="s">
        <v>168</v>
      </c>
      <c r="AA71" s="51" t="s">
        <v>169</v>
      </c>
      <c r="AB71" s="51" t="s">
        <v>170</v>
      </c>
      <c r="AC71" s="51" t="s">
        <v>171</v>
      </c>
      <c r="AD71" s="51" t="s">
        <v>172</v>
      </c>
    </row>
    <row r="72" spans="3:32" ht="20.100000000000001" customHeight="1" x14ac:dyDescent="0.25">
      <c r="D72" s="13" t="s">
        <v>27</v>
      </c>
      <c r="E72" s="13" t="str" cm="1">
        <f t="array" aca="1" ref="E72" ca="1">Common_InputFunctions.Utility_DisplayFunctionName(H95)</f>
        <v>=MMS_PastureBeef_Soil_N2ODirect_Equations.VEERG_4_2_1_3__5_MilkProductionForCalvingSeasonVariation</v>
      </c>
      <c r="T72" s="52" t="str">
        <f>TEXT('Input - Site'!$E$12, "mmmm yyyy")</f>
        <v>January 2024</v>
      </c>
      <c r="U72" s="52" cm="1">
        <f t="array" ref="U72">MMS_PastureBeef_Soil_N2ODirect_Equations.VEERG_4_2_1_3__6_IntakeRelativeToMaintenance(U56,U20)</f>
        <v>1.1123493391850732</v>
      </c>
      <c r="V72" s="52" cm="1">
        <f t="array" ref="V72">MMS_PastureBeef_Soil_N2ODirect_Equations.VEERG_4_2_1_3__6_IntakeRelativeToMaintenance(V56,V20)</f>
        <v>0.95640681558610863</v>
      </c>
      <c r="W72" s="52" cm="1">
        <f t="array" ref="W72">MMS_PastureBeef_Soil_N2ODirect_Equations.VEERG_4_2_1_3__6_IntakeRelativeToMaintenance(W56,W20)</f>
        <v>1.1234350255113625</v>
      </c>
      <c r="X72" s="52" cm="1">
        <f t="array" ref="X72">MMS_PastureBeef_Soil_N2ODirect_Equations.VEERG_4_2_1_3__6_IntakeRelativeToMaintenance(X56,X20)</f>
        <v>1.1593206891815613</v>
      </c>
      <c r="Y72" s="52" cm="1">
        <f t="array" ref="Y72">MMS_PastureBeef_Soil_N2ODirect_Equations.VEERG_4_2_1_3__6_IntakeRelativeToMaintenance(Y56,Y20)</f>
        <v>1.0235502922520121</v>
      </c>
      <c r="Z72" s="52" cm="1">
        <f t="array" ref="Z72">MMS_PastureBeef_Soil_N2ODirect_Equations.VEERG_4_2_1_3__6_IntakeRelativeToMaintenance(Z56,Z20)</f>
        <v>1.0235502922520121</v>
      </c>
      <c r="AA72" s="52" cm="1">
        <f t="array" ref="AA72">MMS_PastureBeef_Soil_N2ODirect_Equations.VEERG_4_2_1_3__6_IntakeRelativeToMaintenance(AA56,AA20)</f>
        <v>1.1174246366611618</v>
      </c>
      <c r="AB72" s="52" cm="1">
        <f t="array" ref="AB72">MMS_PastureBeef_Soil_N2ODirect_Equations.VEERG_4_2_1_3__6_IntakeRelativeToMaintenance(AB56,AB20)</f>
        <v>0.97490853257319487</v>
      </c>
      <c r="AC72" s="52" cm="1">
        <f t="array" ref="AC72">MMS_PastureBeef_Soil_N2ODirect_Equations.VEERG_4_2_1_3__6_IntakeRelativeToMaintenance(AC56,AC20)</f>
        <v>0.97490853257319487</v>
      </c>
      <c r="AD72" s="52" cm="1">
        <f t="array" ref="AD72">MMS_PastureBeef_Soil_N2ODirect_Equations.VEERG_4_2_1_3__6_IntakeRelativeToMaintenance(AD56,AD20)</f>
        <v>0.97490853257319487</v>
      </c>
      <c r="AE72" s="2" t="str">
        <f t="shared" ref="AE72:AE83" si="3">$E$46</f>
        <v>ratio</v>
      </c>
      <c r="AF72" s="2"/>
    </row>
    <row r="73" spans="3:32" ht="20.100000000000001" customHeight="1" x14ac:dyDescent="0.25">
      <c r="T73" s="52" t="str">
        <f>TEXT(EDATE('Input - Site'!$E$12,1), "mmmm yyyy")</f>
        <v>February 2024</v>
      </c>
      <c r="U73" s="52" cm="1">
        <f t="array" ref="U73">MMS_PastureBeef_Soil_N2ODirect_Equations.VEERG_4_2_1_3__6_IntakeRelativeToMaintenance(U57,U21)</f>
        <v>1.1123493391850732</v>
      </c>
      <c r="V73" s="52" cm="1">
        <f t="array" ref="V73">MMS_PastureBeef_Soil_N2ODirect_Equations.VEERG_4_2_1_3__6_IntakeRelativeToMaintenance(V57,V21)</f>
        <v>0.95640681558610863</v>
      </c>
      <c r="W73" s="52" cm="1">
        <f t="array" ref="W73">MMS_PastureBeef_Soil_N2ODirect_Equations.VEERG_4_2_1_3__6_IntakeRelativeToMaintenance(W57,W21)</f>
        <v>1.1234350255113625</v>
      </c>
      <c r="X73" s="52" cm="1">
        <f t="array" ref="X73">MMS_PastureBeef_Soil_N2ODirect_Equations.VEERG_4_2_1_3__6_IntakeRelativeToMaintenance(X57,X21)</f>
        <v>1.1593206891815613</v>
      </c>
      <c r="Y73" s="52" cm="1">
        <f t="array" ref="Y73">MMS_PastureBeef_Soil_N2ODirect_Equations.VEERG_4_2_1_3__6_IntakeRelativeToMaintenance(Y57,Y21)</f>
        <v>1.0235502922520121</v>
      </c>
      <c r="Z73" s="52" cm="1">
        <f t="array" ref="Z73">MMS_PastureBeef_Soil_N2ODirect_Equations.VEERG_4_2_1_3__6_IntakeRelativeToMaintenance(Z57,Z21)</f>
        <v>1.0235502922520121</v>
      </c>
      <c r="AA73" s="52" cm="1">
        <f t="array" ref="AA73">MMS_PastureBeef_Soil_N2ODirect_Equations.VEERG_4_2_1_3__6_IntakeRelativeToMaintenance(AA57,AA21)</f>
        <v>1.1174246366611618</v>
      </c>
      <c r="AB73" s="52" cm="1">
        <f t="array" ref="AB73">MMS_PastureBeef_Soil_N2ODirect_Equations.VEERG_4_2_1_3__6_IntakeRelativeToMaintenance(AB57,AB21)</f>
        <v>0.97490853257319487</v>
      </c>
      <c r="AC73" s="52" cm="1">
        <f t="array" ref="AC73">MMS_PastureBeef_Soil_N2ODirect_Equations.VEERG_4_2_1_3__6_IntakeRelativeToMaintenance(AC57,AC21)</f>
        <v>0.97490853257319487</v>
      </c>
      <c r="AD73" s="52" cm="1">
        <f t="array" ref="AD73">MMS_PastureBeef_Soil_N2ODirect_Equations.VEERG_4_2_1_3__6_IntakeRelativeToMaintenance(AD57,AD21)</f>
        <v>0.97490853257319487</v>
      </c>
      <c r="AE73" s="2" t="str">
        <f t="shared" si="3"/>
        <v>ratio</v>
      </c>
      <c r="AF73" s="2"/>
    </row>
    <row r="74" spans="3:32" ht="20.100000000000001" customHeight="1" x14ac:dyDescent="0.25">
      <c r="T74" s="52" t="str">
        <f>TEXT(EDATE('Input - Site'!$E$12,2), "mmmm yyyy")</f>
        <v>March 2024</v>
      </c>
      <c r="U74" s="52" cm="1">
        <f t="array" ref="U74">MMS_PastureBeef_Soil_N2ODirect_Equations.VEERG_4_2_1_3__6_IntakeRelativeToMaintenance(U58,U22)</f>
        <v>1.2480754440536419</v>
      </c>
      <c r="V74" s="52" cm="1">
        <f t="array" ref="V74">MMS_PastureBeef_Soil_N2ODirect_Equations.VEERG_4_2_1_3__6_IntakeRelativeToMaintenance(V58,V22)</f>
        <v>1</v>
      </c>
      <c r="W74" s="52" cm="1">
        <f t="array" ref="W74">MMS_PastureBeef_Soil_N2ODirect_Equations.VEERG_4_2_1_3__6_IntakeRelativeToMaintenance(W58,W22)</f>
        <v>1.2620356226501883</v>
      </c>
      <c r="X74" s="52" cm="1">
        <f t="array" ref="X74">MMS_PastureBeef_Soil_N2ODirect_Equations.VEERG_4_2_1_3__6_IntakeRelativeToMaintenance(X58,X22)</f>
        <v>1.138743658906517</v>
      </c>
      <c r="Y74" s="52" cm="1">
        <f t="array" ref="Y74">MMS_PastureBeef_Soil_N2ODirect_Equations.VEERG_4_2_1_3__6_IntakeRelativeToMaintenance(Y58,Y22)</f>
        <v>0.94451262425344429</v>
      </c>
      <c r="Z74" s="52" cm="1">
        <f t="array" ref="Z74">MMS_PastureBeef_Soil_N2ODirect_Equations.VEERG_4_2_1_3__6_IntakeRelativeToMaintenance(Z58,Z22)</f>
        <v>0.94451262425344429</v>
      </c>
      <c r="AA74" s="52" cm="1">
        <f t="array" ref="AA74">MMS_PastureBeef_Soil_N2ODirect_Equations.VEERG_4_2_1_3__6_IntakeRelativeToMaintenance(AA58,AA22)</f>
        <v>1.2480754440536419</v>
      </c>
      <c r="AB74" s="52" cm="1">
        <f t="array" ref="AB74">MMS_PastureBeef_Soil_N2ODirect_Equations.VEERG_4_2_1_3__6_IntakeRelativeToMaintenance(AB58,AB22)</f>
        <v>1</v>
      </c>
      <c r="AC74" s="52" cm="1">
        <f t="array" ref="AC74">MMS_PastureBeef_Soil_N2ODirect_Equations.VEERG_4_2_1_3__6_IntakeRelativeToMaintenance(AC58,AC22)</f>
        <v>1</v>
      </c>
      <c r="AD74" s="52" cm="1">
        <f t="array" ref="AD74">MMS_PastureBeef_Soil_N2ODirect_Equations.VEERG_4_2_1_3__6_IntakeRelativeToMaintenance(AD58,AD22)</f>
        <v>1</v>
      </c>
      <c r="AE74" s="2" t="str">
        <f t="shared" si="3"/>
        <v>ratio</v>
      </c>
      <c r="AF74" s="2"/>
    </row>
    <row r="75" spans="3:32" ht="20.100000000000001" customHeight="1" x14ac:dyDescent="0.25">
      <c r="D75" s="53" t="s">
        <v>30</v>
      </c>
      <c r="E75" s="1" t="str" cm="1">
        <f t="array" ref="E75">MMS_PastureBeef_Soil_N2ODirect_Equations.VEERG_4_2_1_3__5_MilkProductionForCalvingSeason_Variable()</f>
        <v>MP_jk5</v>
      </c>
      <c r="F75" s="107" t="s">
        <v>304</v>
      </c>
      <c r="T75" s="52" t="str">
        <f>TEXT(EDATE('Input - Site'!$E$12,3), "mmmm yyyy")</f>
        <v>April 2024</v>
      </c>
      <c r="U75" s="52" cm="1">
        <f t="array" ref="U75">MMS_PastureBeef_Soil_N2ODirect_Equations.VEERG_4_2_1_3__6_IntakeRelativeToMaintenance(U59,U23)</f>
        <v>1.2480754440536419</v>
      </c>
      <c r="V75" s="52" cm="1">
        <f t="array" ref="V75">MMS_PastureBeef_Soil_N2ODirect_Equations.VEERG_4_2_1_3__6_IntakeRelativeToMaintenance(V59,V23)</f>
        <v>1</v>
      </c>
      <c r="W75" s="52" cm="1">
        <f t="array" ref="W75">MMS_PastureBeef_Soil_N2ODirect_Equations.VEERG_4_2_1_3__6_IntakeRelativeToMaintenance(W59,W23)</f>
        <v>1.2620356226501883</v>
      </c>
      <c r="X75" s="52" cm="1">
        <f t="array" ref="X75">MMS_PastureBeef_Soil_N2ODirect_Equations.VEERG_4_2_1_3__6_IntakeRelativeToMaintenance(X59,X23)</f>
        <v>1.0592964268897831</v>
      </c>
      <c r="Y75" s="52" cm="1">
        <f t="array" ref="Y75">MMS_PastureBeef_Soil_N2ODirect_Equations.VEERG_4_2_1_3__6_IntakeRelativeToMaintenance(Y59,Y23)</f>
        <v>0.87861639465436669</v>
      </c>
      <c r="Z75" s="52" cm="1">
        <f t="array" ref="Z75">MMS_PastureBeef_Soil_N2ODirect_Equations.VEERG_4_2_1_3__6_IntakeRelativeToMaintenance(Z59,Z23)</f>
        <v>0.87861639465436669</v>
      </c>
      <c r="AA75" s="52" cm="1">
        <f t="array" ref="AA75">MMS_PastureBeef_Soil_N2ODirect_Equations.VEERG_4_2_1_3__6_IntakeRelativeToMaintenance(AA59,AA23)</f>
        <v>1.2480754440536419</v>
      </c>
      <c r="AB75" s="52" cm="1">
        <f t="array" ref="AB75">MMS_PastureBeef_Soil_N2ODirect_Equations.VEERG_4_2_1_3__6_IntakeRelativeToMaintenance(AB59,AB23)</f>
        <v>1</v>
      </c>
      <c r="AC75" s="52" cm="1">
        <f t="array" ref="AC75">MMS_PastureBeef_Soil_N2ODirect_Equations.VEERG_4_2_1_3__6_IntakeRelativeToMaintenance(AC59,AC23)</f>
        <v>1</v>
      </c>
      <c r="AD75" s="52" cm="1">
        <f t="array" ref="AD75">MMS_PastureBeef_Soil_N2ODirect_Equations.VEERG_4_2_1_3__6_IntakeRelativeToMaintenance(AD59,AD23)</f>
        <v>1</v>
      </c>
      <c r="AE75" s="2" t="str">
        <f t="shared" si="3"/>
        <v>ratio</v>
      </c>
      <c r="AF75" s="2"/>
    </row>
    <row r="76" spans="3:32" ht="20.100000000000001" customHeight="1" x14ac:dyDescent="0.25">
      <c r="D76" s="53" t="s">
        <v>20</v>
      </c>
      <c r="E76" s="54" t="str" cm="1">
        <f t="array" ref="E76">MMS_PastureBeef_Soil_N2ODirect_Equations.VEERG_4_2_1_3__5_MilkProductionForCalvingSeason_Unit()</f>
        <v>kg/head/day</v>
      </c>
      <c r="T76" s="52" t="str">
        <f>TEXT(EDATE('Input - Site'!$E$12,4), "mmmm yyyy")</f>
        <v>May 2024</v>
      </c>
      <c r="U76" s="52" cm="1">
        <f t="array" ref="U76">MMS_PastureBeef_Soil_N2ODirect_Equations.VEERG_4_2_1_3__6_IntakeRelativeToMaintenance(U60,U24)</f>
        <v>1.2480754440536419</v>
      </c>
      <c r="V76" s="52" cm="1">
        <f t="array" ref="V76">MMS_PastureBeef_Soil_N2ODirect_Equations.VEERG_4_2_1_3__6_IntakeRelativeToMaintenance(V60,V24)</f>
        <v>1</v>
      </c>
      <c r="W76" s="52" cm="1">
        <f t="array" ref="W76">MMS_PastureBeef_Soil_N2ODirect_Equations.VEERG_4_2_1_3__6_IntakeRelativeToMaintenance(W60,W24)</f>
        <v>1.2620356226501883</v>
      </c>
      <c r="X76" s="52" cm="1">
        <f t="array" ref="X76">MMS_PastureBeef_Soil_N2ODirect_Equations.VEERG_4_2_1_3__6_IntakeRelativeToMaintenance(X60,X24)</f>
        <v>1.0592964268897831</v>
      </c>
      <c r="Y76" s="52" cm="1">
        <f t="array" ref="Y76">MMS_PastureBeef_Soil_N2ODirect_Equations.VEERG_4_2_1_3__6_IntakeRelativeToMaintenance(Y60,Y24)</f>
        <v>0.87861639465436669</v>
      </c>
      <c r="Z76" s="52" cm="1">
        <f t="array" ref="Z76">MMS_PastureBeef_Soil_N2ODirect_Equations.VEERG_4_2_1_3__6_IntakeRelativeToMaintenance(Z60,Z24)</f>
        <v>0.87861639465436669</v>
      </c>
      <c r="AA76" s="52" cm="1">
        <f t="array" ref="AA76">MMS_PastureBeef_Soil_N2ODirect_Equations.VEERG_4_2_1_3__6_IntakeRelativeToMaintenance(AA60,AA24)</f>
        <v>1.2480754440536419</v>
      </c>
      <c r="AB76" s="52" cm="1">
        <f t="array" ref="AB76">MMS_PastureBeef_Soil_N2ODirect_Equations.VEERG_4_2_1_3__6_IntakeRelativeToMaintenance(AB60,AB24)</f>
        <v>1</v>
      </c>
      <c r="AC76" s="52" cm="1">
        <f t="array" ref="AC76">MMS_PastureBeef_Soil_N2ODirect_Equations.VEERG_4_2_1_3__6_IntakeRelativeToMaintenance(AC60,AC24)</f>
        <v>1</v>
      </c>
      <c r="AD76" s="52" cm="1">
        <f t="array" ref="AD76">MMS_PastureBeef_Soil_N2ODirect_Equations.VEERG_4_2_1_3__6_IntakeRelativeToMaintenance(AD60,AD24)</f>
        <v>1</v>
      </c>
      <c r="AE76" s="2" t="str">
        <f t="shared" si="3"/>
        <v>ratio</v>
      </c>
      <c r="AF76" s="2"/>
    </row>
    <row r="77" spans="3:32" ht="20.100000000000001" customHeight="1" x14ac:dyDescent="0.25">
      <c r="T77" s="52" t="str">
        <f>TEXT(EDATE('Input - Site'!$E$12,5), "mmmm yyyy")</f>
        <v>June 2024</v>
      </c>
      <c r="U77" s="52" cm="1">
        <f t="array" ref="U77">MMS_PastureBeef_Soil_N2ODirect_Equations.VEERG_4_2_1_3__6_IntakeRelativeToMaintenance(U61,U25)</f>
        <v>1.3447114471128401</v>
      </c>
      <c r="V77" s="52" cm="1">
        <f t="array" ref="V77">MMS_PastureBeef_Soil_N2ODirect_Equations.VEERG_4_2_1_3__6_IntakeRelativeToMaintenance(V61,V25)</f>
        <v>1.0453721939219578</v>
      </c>
      <c r="W77" s="52" cm="1">
        <f t="array" ref="W77">MMS_PastureBeef_Soil_N2ODirect_Equations.VEERG_4_2_1_3__6_IntakeRelativeToMaintenance(W61,W25)</f>
        <v>1.2863889326974398</v>
      </c>
      <c r="X77" s="52" cm="1">
        <f t="array" ref="X77">MMS_PastureBeef_Soil_N2ODirect_Equations.VEERG_4_2_1_3__6_IntakeRelativeToMaintenance(X61,X25)</f>
        <v>1.0290827091276171</v>
      </c>
      <c r="Y77" s="52" cm="1">
        <f t="array" ref="Y77">MMS_PastureBeef_Soil_N2ODirect_Equations.VEERG_4_2_1_3__6_IntakeRelativeToMaintenance(Y61,Y25)</f>
        <v>1.0250350228725489</v>
      </c>
      <c r="Z77" s="52" cm="1">
        <f t="array" ref="Z77">MMS_PastureBeef_Soil_N2ODirect_Equations.VEERG_4_2_1_3__6_IntakeRelativeToMaintenance(Z61,Z25)</f>
        <v>1.0250350228725489</v>
      </c>
      <c r="AA77" s="52" cm="1">
        <f t="array" ref="AA77">MMS_PastureBeef_Soil_N2ODirect_Equations.VEERG_4_2_1_3__6_IntakeRelativeToMaintenance(AA61,AA25)</f>
        <v>1.2744200407937745</v>
      </c>
      <c r="AB77" s="52" cm="1">
        <f t="array" ref="AB77">MMS_PastureBeef_Soil_N2ODirect_Equations.VEERG_4_2_1_3__6_IntakeRelativeToMaintenance(AB61,AB25)</f>
        <v>1.1147815609185805</v>
      </c>
      <c r="AC77" s="52" cm="1">
        <f t="array" ref="AC77">MMS_PastureBeef_Soil_N2ODirect_Equations.VEERG_4_2_1_3__6_IntakeRelativeToMaintenance(AC61,AC25)</f>
        <v>1.1147815609185805</v>
      </c>
      <c r="AD77" s="52" cm="1">
        <f t="array" ref="AD77">MMS_PastureBeef_Soil_N2ODirect_Equations.VEERG_4_2_1_3__6_IntakeRelativeToMaintenance(AD61,AD25)</f>
        <v>1.1147815609185805</v>
      </c>
      <c r="AE77" s="2" t="str">
        <f t="shared" si="3"/>
        <v>ratio</v>
      </c>
      <c r="AF77" s="2"/>
    </row>
    <row r="78" spans="3:32" ht="20.100000000000001" customHeight="1" x14ac:dyDescent="0.25">
      <c r="D78" s="108" t="str" cm="1">
        <f t="array" ref="D78:E82">MMS_PastureBeef_Soil_N2ODirect_Equations.VEERG_4_2_1_3__5_MilkProductionForCalvingSeason_ArgumentsVariation()</f>
        <v>LC_jk5curr</v>
      </c>
      <c r="E78" s="110" t="str">
        <v>proportion of cows greater than 2 years lactating for the season of calving</v>
      </c>
      <c r="F78" s="117"/>
      <c r="G78" s="117"/>
      <c r="H78" s="109"/>
      <c r="I78" s="57" t="str">
        <f>"See " &amp; D84</f>
        <v>See M1_Table_LC_j_k-4-5</v>
      </c>
      <c r="T78" s="52" t="str">
        <f>TEXT(EDATE('Input - Site'!$E$12,6), "mmmm yyyy")</f>
        <v>July 2024</v>
      </c>
      <c r="U78" s="52" cm="1">
        <f t="array" ref="U78">MMS_PastureBeef_Soil_N2ODirect_Equations.VEERG_4_2_1_3__6_IntakeRelativeToMaintenance(U62,U26)</f>
        <v>1.3447114471128401</v>
      </c>
      <c r="V78" s="52" cm="1">
        <f t="array" ref="V78">MMS_PastureBeef_Soil_N2ODirect_Equations.VEERG_4_2_1_3__6_IntakeRelativeToMaintenance(V62,V26)</f>
        <v>1.0453721939219578</v>
      </c>
      <c r="W78" s="52" cm="1">
        <f t="array" ref="W78">MMS_PastureBeef_Soil_N2ODirect_Equations.VEERG_4_2_1_3__6_IntakeRelativeToMaintenance(W62,W26)</f>
        <v>1.2863889326974398</v>
      </c>
      <c r="X78" s="52" cm="1">
        <f t="array" ref="X78">MMS_PastureBeef_Soil_N2ODirect_Equations.VEERG_4_2_1_3__6_IntakeRelativeToMaintenance(X62,X26)</f>
        <v>1.1062639123121882</v>
      </c>
      <c r="Y78" s="52" cm="1">
        <f t="array" ref="Y78">MMS_PastureBeef_Soil_N2ODirect_Equations.VEERG_4_2_1_3__6_IntakeRelativeToMaintenance(Y62,Y26)</f>
        <v>1.1019126495879901</v>
      </c>
      <c r="Z78" s="52" cm="1">
        <f t="array" ref="Z78">MMS_PastureBeef_Soil_N2ODirect_Equations.VEERG_4_2_1_3__6_IntakeRelativeToMaintenance(Z62,Z26)</f>
        <v>1.1019126495879901</v>
      </c>
      <c r="AA78" s="52" cm="1">
        <f t="array" ref="AA78">MMS_PastureBeef_Soil_N2ODirect_Equations.VEERG_4_2_1_3__6_IntakeRelativeToMaintenance(AA62,AA26)</f>
        <v>1.2744200407937745</v>
      </c>
      <c r="AB78" s="52" cm="1">
        <f t="array" ref="AB78">MMS_PastureBeef_Soil_N2ODirect_Equations.VEERG_4_2_1_3__6_IntakeRelativeToMaintenance(AB62,AB26)</f>
        <v>1.1147815609185805</v>
      </c>
      <c r="AC78" s="52" cm="1">
        <f t="array" ref="AC78">MMS_PastureBeef_Soil_N2ODirect_Equations.VEERG_4_2_1_3__6_IntakeRelativeToMaintenance(AC62,AC26)</f>
        <v>1.1147815609185805</v>
      </c>
      <c r="AD78" s="52" cm="1">
        <f t="array" ref="AD78">MMS_PastureBeef_Soil_N2ODirect_Equations.VEERG_4_2_1_3__6_IntakeRelativeToMaintenance(AD62,AD26)</f>
        <v>1.1147815609185805</v>
      </c>
      <c r="AE78" s="2" t="str">
        <f t="shared" si="3"/>
        <v>ratio</v>
      </c>
      <c r="AF78" s="2"/>
    </row>
    <row r="79" spans="3:32" ht="20.100000000000001" customHeight="1" x14ac:dyDescent="0.25">
      <c r="D79" s="108" t="str">
        <v>LC_jk5prev</v>
      </c>
      <c r="E79" s="110" t="str">
        <v>proportion of cows greater than 2 years lactating for the season after calving</v>
      </c>
      <c r="F79" s="117"/>
      <c r="G79" s="117"/>
      <c r="H79" s="109"/>
      <c r="I79" s="57" t="str">
        <f>"See " &amp; D84</f>
        <v>See M1_Table_LC_j_k-4-5</v>
      </c>
      <c r="T79" s="52" t="str">
        <f>TEXT(EDATE('Input - Site'!$E$12,7), "mmmm yyyy")</f>
        <v>August 2024</v>
      </c>
      <c r="U79" s="52" cm="1">
        <f t="array" ref="U79">MMS_PastureBeef_Soil_N2ODirect_Equations.VEERG_4_2_1_3__6_IntakeRelativeToMaintenance(U63,U27)</f>
        <v>1.3447114471128401</v>
      </c>
      <c r="V79" s="52" cm="1">
        <f t="array" ref="V79">MMS_PastureBeef_Soil_N2ODirect_Equations.VEERG_4_2_1_3__6_IntakeRelativeToMaintenance(V63,V27)</f>
        <v>1.0453721939219578</v>
      </c>
      <c r="W79" s="52" cm="1">
        <f t="array" ref="W79">MMS_PastureBeef_Soil_N2ODirect_Equations.VEERG_4_2_1_3__6_IntakeRelativeToMaintenance(W63,W27)</f>
        <v>1.2863889326974398</v>
      </c>
      <c r="X79" s="52" cm="1">
        <f t="array" ref="X79">MMS_PastureBeef_Soil_N2ODirect_Equations.VEERG_4_2_1_3__6_IntakeRelativeToMaintenance(X63,X27)</f>
        <v>1.1062639123121882</v>
      </c>
      <c r="Y79" s="52" cm="1">
        <f t="array" ref="Y79">MMS_PastureBeef_Soil_N2ODirect_Equations.VEERG_4_2_1_3__6_IntakeRelativeToMaintenance(Y63,Y27)</f>
        <v>1.1019126495879901</v>
      </c>
      <c r="Z79" s="52" cm="1">
        <f t="array" ref="Z79">MMS_PastureBeef_Soil_N2ODirect_Equations.VEERG_4_2_1_3__6_IntakeRelativeToMaintenance(Z63,Z27)</f>
        <v>1.1019126495879901</v>
      </c>
      <c r="AA79" s="52" cm="1">
        <f t="array" ref="AA79">MMS_PastureBeef_Soil_N2ODirect_Equations.VEERG_4_2_1_3__6_IntakeRelativeToMaintenance(AA63,AA27)</f>
        <v>1.2744200407937745</v>
      </c>
      <c r="AB79" s="52" cm="1">
        <f t="array" ref="AB79">MMS_PastureBeef_Soil_N2ODirect_Equations.VEERG_4_2_1_3__6_IntakeRelativeToMaintenance(AB63,AB27)</f>
        <v>1.1147815609185805</v>
      </c>
      <c r="AC79" s="52" cm="1">
        <f t="array" ref="AC79">MMS_PastureBeef_Soil_N2ODirect_Equations.VEERG_4_2_1_3__6_IntakeRelativeToMaintenance(AC63,AC27)</f>
        <v>1.1147815609185805</v>
      </c>
      <c r="AD79" s="52" cm="1">
        <f t="array" ref="AD79">MMS_PastureBeef_Soil_N2ODirect_Equations.VEERG_4_2_1_3__6_IntakeRelativeToMaintenance(AD63,AD27)</f>
        <v>1.1147815609185805</v>
      </c>
      <c r="AE79" s="2" t="str">
        <f t="shared" si="3"/>
        <v>ratio</v>
      </c>
      <c r="AF79" s="2"/>
    </row>
    <row r="80" spans="3:32" ht="20.100000000000001" customHeight="1" x14ac:dyDescent="0.25">
      <c r="D80" s="108" t="str">
        <v>DMP_jk5calv</v>
      </c>
      <c r="E80" s="110" t="str">
        <v>daily milk production for the season of calving (kg/head/day)</v>
      </c>
      <c r="F80" s="117"/>
      <c r="G80" s="117"/>
      <c r="H80" s="109"/>
      <c r="I80" s="57" cm="1">
        <f t="array" ref="I80">_xlfn.XLOOKUP(1, (Table_SourceData_PastureBeef_FeedIntakeAdjustment_Variation[Breed]=$I$82)*(Table_SourceData_PastureBeef_FeedIntakeAdjustment_Variation[Season]=+"Calving season"),Table_SourceData_PastureBeef_FeedIntakeAdjustment_Variation[Milk intake/production])</f>
        <v>6</v>
      </c>
      <c r="T80" s="52" t="str">
        <f>TEXT(EDATE('Input - Site'!$E$12,8), "mmmm yyyy")</f>
        <v>September 2024</v>
      </c>
      <c r="U80" s="52" cm="1">
        <f t="array" ref="U80">MMS_PastureBeef_Soil_N2ODirect_Equations.VEERG_4_2_1_3__6_IntakeRelativeToMaintenance(U64,U28)</f>
        <v>1.4707970166214006</v>
      </c>
      <c r="V80" s="52" cm="1">
        <f t="array" ref="V80">MMS_PastureBeef_Soil_N2ODirect_Equations.VEERG_4_2_1_3__6_IntakeRelativeToMaintenance(V64,V28)</f>
        <v>1.2318676608114607</v>
      </c>
      <c r="W80" s="52" cm="1">
        <f t="array" ref="W80">MMS_PastureBeef_Soil_N2ODirect_Equations.VEERG_4_2_1_3__6_IntakeRelativeToMaintenance(W64,W28)</f>
        <v>1.3784396841492426</v>
      </c>
      <c r="X80" s="52" cm="1">
        <f t="array" ref="X80">MMS_PastureBeef_Soil_N2ODirect_Equations.VEERG_4_2_1_3__6_IntakeRelativeToMaintenance(X64,X28)</f>
        <v>1.344706529061074</v>
      </c>
      <c r="Y80" s="52" cm="1">
        <f t="array" ref="Y80">MMS_PastureBeef_Soil_N2ODirect_Equations.VEERG_4_2_1_3__6_IntakeRelativeToMaintenance(Y64,Y28)</f>
        <v>1.2349143501215913</v>
      </c>
      <c r="Z80" s="52" cm="1">
        <f t="array" ref="Z80">MMS_PastureBeef_Soil_N2ODirect_Equations.VEERG_4_2_1_3__6_IntakeRelativeToMaintenance(Z64,Z28)</f>
        <v>1.2349143501215913</v>
      </c>
      <c r="AA80" s="52" cm="1">
        <f t="array" ref="AA80">MMS_PastureBeef_Soil_N2ODirect_Equations.VEERG_4_2_1_3__6_IntakeRelativeToMaintenance(AA64,AA28)</f>
        <v>1.4241682690123998</v>
      </c>
      <c r="AB80" s="52" cm="1">
        <f t="array" ref="AB80">MMS_PastureBeef_Soil_N2ODirect_Equations.VEERG_4_2_1_3__6_IntakeRelativeToMaintenance(AB64,AB28)</f>
        <v>1.2663208058014268</v>
      </c>
      <c r="AC80" s="52" cm="1">
        <f t="array" ref="AC80">MMS_PastureBeef_Soil_N2ODirect_Equations.VEERG_4_2_1_3__6_IntakeRelativeToMaintenance(AC64,AC28)</f>
        <v>1.2663208058014268</v>
      </c>
      <c r="AD80" s="52" cm="1">
        <f t="array" ref="AD80">MMS_PastureBeef_Soil_N2ODirect_Equations.VEERG_4_2_1_3__6_IntakeRelativeToMaintenance(AD64,AD28)</f>
        <v>1.2663208058014268</v>
      </c>
      <c r="AE80" s="2" t="str">
        <f t="shared" si="3"/>
        <v>ratio</v>
      </c>
      <c r="AF80" s="2"/>
    </row>
    <row r="81" spans="4:33" ht="20.100000000000001" customHeight="1" x14ac:dyDescent="0.25">
      <c r="D81" s="108" t="str">
        <v>DMP_jk5after</v>
      </c>
      <c r="E81" s="110" t="str">
        <v>daily milk production for the season after calving (kg/head/day)</v>
      </c>
      <c r="F81" s="117"/>
      <c r="G81" s="117"/>
      <c r="H81" s="109"/>
      <c r="I81" s="57" cm="1">
        <f t="array" ref="I81">_xlfn.XLOOKUP(1, (Table_SourceData_PastureBeef_FeedIntakeAdjustment_Variation[Breed]=$I$82)*(Table_SourceData_PastureBeef_FeedIntakeAdjustment_Variation[Season]=+"Season after calving"),Table_SourceData_PastureBeef_FeedIntakeAdjustment_Variation[Milk intake/production])</f>
        <v>4</v>
      </c>
      <c r="T81" s="52" t="str">
        <f>TEXT(EDATE('Input - Site'!$E$12,9), "mmmm yyyy")</f>
        <v>October 2024</v>
      </c>
      <c r="U81" s="52" cm="1">
        <f t="array" ref="U81">MMS_PastureBeef_Soil_N2ODirect_Equations.VEERG_4_2_1_3__6_IntakeRelativeToMaintenance(U65,U29)</f>
        <v>1.4707970166214006</v>
      </c>
      <c r="V81" s="52" cm="1">
        <f t="array" ref="V81">MMS_PastureBeef_Soil_N2ODirect_Equations.VEERG_4_2_1_3__6_IntakeRelativeToMaintenance(V65,V29)</f>
        <v>1.2318676608114607</v>
      </c>
      <c r="W81" s="52" cm="1">
        <f t="array" ref="W81">MMS_PastureBeef_Soil_N2ODirect_Equations.VEERG_4_2_1_3__6_IntakeRelativeToMaintenance(W65,W29)</f>
        <v>1.3784396841492426</v>
      </c>
      <c r="X81" s="52" cm="1">
        <f t="array" ref="X81">MMS_PastureBeef_Soil_N2ODirect_Equations.VEERG_4_2_1_3__6_IntakeRelativeToMaintenance(X65,X29)</f>
        <v>1.563612243094272</v>
      </c>
      <c r="Y81" s="52" cm="1">
        <f t="array" ref="Y81">MMS_PastureBeef_Soil_N2ODirect_Equations.VEERG_4_2_1_3__6_IntakeRelativeToMaintenance(Y65,Y29)</f>
        <v>1.4359469187460365</v>
      </c>
      <c r="Z81" s="52" cm="1">
        <f t="array" ref="Z81">MMS_PastureBeef_Soil_N2ODirect_Equations.VEERG_4_2_1_3__6_IntakeRelativeToMaintenance(Z65,Z29)</f>
        <v>1.4359469187460365</v>
      </c>
      <c r="AA81" s="52" cm="1">
        <f t="array" ref="AA81">MMS_PastureBeef_Soil_N2ODirect_Equations.VEERG_4_2_1_3__6_IntakeRelativeToMaintenance(AA65,AA29)</f>
        <v>1.4241682690123998</v>
      </c>
      <c r="AB81" s="52" cm="1">
        <f t="array" ref="AB81">MMS_PastureBeef_Soil_N2ODirect_Equations.VEERG_4_2_1_3__6_IntakeRelativeToMaintenance(AB65,AB29)</f>
        <v>1.2663208058014268</v>
      </c>
      <c r="AC81" s="52" cm="1">
        <f t="array" ref="AC81">MMS_PastureBeef_Soil_N2ODirect_Equations.VEERG_4_2_1_3__6_IntakeRelativeToMaintenance(AC65,AC29)</f>
        <v>1.2663208058014268</v>
      </c>
      <c r="AD81" s="52" cm="1">
        <f t="array" ref="AD81">MMS_PastureBeef_Soil_N2ODirect_Equations.VEERG_4_2_1_3__6_IntakeRelativeToMaintenance(AD65,AD29)</f>
        <v>1.2663208058014268</v>
      </c>
      <c r="AE81" s="2" t="str">
        <f t="shared" si="3"/>
        <v>ratio</v>
      </c>
      <c r="AF81" s="2"/>
    </row>
    <row r="82" spans="4:33" ht="20.100000000000001" customHeight="1" x14ac:dyDescent="0.25">
      <c r="D82" s="108" t="str">
        <v>b</v>
      </c>
      <c r="E82" s="110" t="str">
        <v>breed of cattle</v>
      </c>
      <c r="F82" s="117"/>
      <c r="G82" s="117"/>
      <c r="H82" s="109"/>
      <c r="I82" s="57" t="str">
        <f>'Input - Pasture Beef'!$E$9</f>
        <v>Hereford or Shorthorn breeds</v>
      </c>
      <c r="T82" s="52" t="str">
        <f>TEXT(EDATE('Input - Site'!$E$12,10), "mmmm yyyy")</f>
        <v>November 2024</v>
      </c>
      <c r="U82" s="52" cm="1">
        <f t="array" ref="U82">MMS_PastureBeef_Soil_N2ODirect_Equations.VEERG_4_2_1_3__6_IntakeRelativeToMaintenance(U66,U30)</f>
        <v>1.4707970166214006</v>
      </c>
      <c r="V82" s="52" cm="1">
        <f t="array" ref="V82">MMS_PastureBeef_Soil_N2ODirect_Equations.VEERG_4_2_1_3__6_IntakeRelativeToMaintenance(V66,V30)</f>
        <v>1.2318676608114607</v>
      </c>
      <c r="W82" s="52" cm="1">
        <f t="array" ref="W82">MMS_PastureBeef_Soil_N2ODirect_Equations.VEERG_4_2_1_3__6_IntakeRelativeToMaintenance(W66,W30)</f>
        <v>1.3784396841492426</v>
      </c>
      <c r="X82" s="52" cm="1">
        <f t="array" ref="X82">MMS_PastureBeef_Soil_N2ODirect_Equations.VEERG_4_2_1_3__6_IntakeRelativeToMaintenance(X66,X30)</f>
        <v>1.563612243094272</v>
      </c>
      <c r="Y82" s="52" cm="1">
        <f t="array" ref="Y82">MMS_PastureBeef_Soil_N2ODirect_Equations.VEERG_4_2_1_3__6_IntakeRelativeToMaintenance(Y66,Y30)</f>
        <v>1.4359469187460365</v>
      </c>
      <c r="Z82" s="52" cm="1">
        <f t="array" ref="Z82">MMS_PastureBeef_Soil_N2ODirect_Equations.VEERG_4_2_1_3__6_IntakeRelativeToMaintenance(Z66,Z30)</f>
        <v>1.4359469187460365</v>
      </c>
      <c r="AA82" s="52" cm="1">
        <f t="array" ref="AA82">MMS_PastureBeef_Soil_N2ODirect_Equations.VEERG_4_2_1_3__6_IntakeRelativeToMaintenance(AA66,AA30)</f>
        <v>1.4241682690123998</v>
      </c>
      <c r="AB82" s="52" cm="1">
        <f t="array" ref="AB82">MMS_PastureBeef_Soil_N2ODirect_Equations.VEERG_4_2_1_3__6_IntakeRelativeToMaintenance(AB66,AB30)</f>
        <v>1.2663208058014268</v>
      </c>
      <c r="AC82" s="52" cm="1">
        <f t="array" ref="AC82">MMS_PastureBeef_Soil_N2ODirect_Equations.VEERG_4_2_1_3__6_IntakeRelativeToMaintenance(AC66,AC30)</f>
        <v>1.2663208058014268</v>
      </c>
      <c r="AD82" s="52" cm="1">
        <f t="array" ref="AD82">MMS_PastureBeef_Soil_N2ODirect_Equations.VEERG_4_2_1_3__6_IntakeRelativeToMaintenance(AD66,AD30)</f>
        <v>1.2663208058014268</v>
      </c>
      <c r="AE82" s="2" t="str">
        <f t="shared" si="3"/>
        <v>ratio</v>
      </c>
      <c r="AF82" s="2"/>
    </row>
    <row r="83" spans="4:33" ht="20.100000000000001" customHeight="1" x14ac:dyDescent="0.25">
      <c r="T83" s="52" t="str">
        <f>TEXT(EDATE('Input - Site'!$E$12,11), "mmmm yyyy")</f>
        <v>December 2024</v>
      </c>
      <c r="U83" s="52" cm="1">
        <f t="array" ref="U83">MMS_PastureBeef_Soil_N2ODirect_Equations.VEERG_4_2_1_3__6_IntakeRelativeToMaintenance(U67,U31)</f>
        <v>1.1123493391850732</v>
      </c>
      <c r="V83" s="52" cm="1">
        <f t="array" ref="V83">MMS_PastureBeef_Soil_N2ODirect_Equations.VEERG_4_2_1_3__6_IntakeRelativeToMaintenance(V67,V31)</f>
        <v>0.95640681558610863</v>
      </c>
      <c r="W83" s="52" cm="1">
        <f t="array" ref="W83">MMS_PastureBeef_Soil_N2ODirect_Equations.VEERG_4_2_1_3__6_IntakeRelativeToMaintenance(W67,W31)</f>
        <v>1.1234350255113625</v>
      </c>
      <c r="X83" s="52" cm="1">
        <f t="array" ref="X83">MMS_PastureBeef_Soil_N2ODirect_Equations.VEERG_4_2_1_3__6_IntakeRelativeToMaintenance(X67,X31)</f>
        <v>1.3480473130018151</v>
      </c>
      <c r="Y83" s="52" cm="1">
        <f t="array" ref="Y83">MMS_PastureBeef_Soil_N2ODirect_Equations.VEERG_4_2_1_3__6_IntakeRelativeToMaintenance(Y67,Y31)</f>
        <v>1.1901747584325724</v>
      </c>
      <c r="Z83" s="52" cm="1">
        <f t="array" ref="Z83">MMS_PastureBeef_Soil_N2ODirect_Equations.VEERG_4_2_1_3__6_IntakeRelativeToMaintenance(Z67,Z31)</f>
        <v>1.1901747584325724</v>
      </c>
      <c r="AA83" s="52" cm="1">
        <f t="array" ref="AA83">MMS_PastureBeef_Soil_N2ODirect_Equations.VEERG_4_2_1_3__6_IntakeRelativeToMaintenance(AA67,AA31)</f>
        <v>1.1174246366611618</v>
      </c>
      <c r="AB83" s="52" cm="1">
        <f t="array" ref="AB83">MMS_PastureBeef_Soil_N2ODirect_Equations.VEERG_4_2_1_3__6_IntakeRelativeToMaintenance(AB67,AB31)</f>
        <v>0.97490853257319487</v>
      </c>
      <c r="AC83" s="52" cm="1">
        <f t="array" ref="AC83">MMS_PastureBeef_Soil_N2ODirect_Equations.VEERG_4_2_1_3__6_IntakeRelativeToMaintenance(AC67,AC31)</f>
        <v>0.97490853257319487</v>
      </c>
      <c r="AD83" s="52" cm="1">
        <f t="array" ref="AD83">MMS_PastureBeef_Soil_N2ODirect_Equations.VEERG_4_2_1_3__6_IntakeRelativeToMaintenance(AD67,AD31)</f>
        <v>0.97490853257319487</v>
      </c>
      <c r="AE83" s="2" t="str">
        <f t="shared" si="3"/>
        <v>ratio</v>
      </c>
      <c r="AF83" s="2"/>
    </row>
    <row r="84" spans="4:33" ht="20.100000000000001" customHeight="1" x14ac:dyDescent="0.25">
      <c r="D84" s="99" t="s">
        <v>231</v>
      </c>
    </row>
    <row r="85" spans="4:33" ht="20.100000000000001" customHeight="1" x14ac:dyDescent="0.25">
      <c r="D85" s="98" t="s">
        <v>257</v>
      </c>
    </row>
    <row r="86" spans="4:33" ht="20.100000000000001" customHeight="1" x14ac:dyDescent="0.25">
      <c r="D86" s="51" t="s">
        <v>184</v>
      </c>
      <c r="E86" s="51" t="s">
        <v>166</v>
      </c>
      <c r="F86" s="51" t="s">
        <v>167</v>
      </c>
      <c r="G86" s="51" t="s">
        <v>168</v>
      </c>
      <c r="S86" s="45"/>
      <c r="T86" s="45"/>
      <c r="U86" s="45"/>
      <c r="V86" s="45"/>
      <c r="W86" s="45"/>
      <c r="X86" s="45"/>
      <c r="Y86" s="45"/>
      <c r="Z86" s="45"/>
      <c r="AA86" s="45"/>
      <c r="AB86" s="45"/>
      <c r="AC86" s="45"/>
      <c r="AD86" s="45"/>
      <c r="AE86" s="45"/>
      <c r="AF86" s="45"/>
      <c r="AG86" s="45"/>
    </row>
    <row r="87" spans="4:33" ht="20.100000000000001" customHeight="1" x14ac:dyDescent="0.25">
      <c r="D87" s="52" t="str">
        <f>'4.2.1.1-2 Methane'!D22</f>
        <v>Spring</v>
      </c>
      <c r="E87" s="52">
        <f>'4.2.1.1-2 Methane'!E22</f>
        <v>0.5</v>
      </c>
      <c r="F87" s="52">
        <f>'4.2.1.1-2 Methane'!F22</f>
        <v>0.5</v>
      </c>
      <c r="G87" s="52">
        <f>'4.2.1.1-2 Methane'!G22</f>
        <v>0.5</v>
      </c>
      <c r="H87" s="2" t="s">
        <v>100</v>
      </c>
      <c r="T87" s="6" t="str" cm="1">
        <f t="array" ref="T87">MMS_PastureBeef_Soil_N2ODirect_Equations.VEERG_4_2_1_3__5_MilkProductionForCalvingSeason_Title()</f>
        <v>Milk production for the season of calving and season after calving</v>
      </c>
    </row>
    <row r="88" spans="4:33" ht="20.100000000000001" customHeight="1" x14ac:dyDescent="0.25">
      <c r="D88" s="52" t="str">
        <f>'4.2.1.1-2 Methane'!D23</f>
        <v>Summer</v>
      </c>
      <c r="E88" s="52">
        <f>'4.2.1.1-2 Methane'!E23</f>
        <v>0.5</v>
      </c>
      <c r="F88" s="52">
        <f>'4.2.1.1-2 Methane'!F23</f>
        <v>0.5</v>
      </c>
      <c r="G88" s="52">
        <f>'4.2.1.1-2 Methane'!G23</f>
        <v>0.5</v>
      </c>
      <c r="H88" s="2" t="s">
        <v>100</v>
      </c>
    </row>
    <row r="89" spans="4:33" ht="20.100000000000001" customHeight="1" x14ac:dyDescent="0.25">
      <c r="D89" s="52" t="str">
        <f>'4.2.1.1-2 Methane'!D24</f>
        <v>Autumn</v>
      </c>
      <c r="E89" s="52">
        <f>'4.2.1.1-2 Methane'!E24</f>
        <v>0</v>
      </c>
      <c r="F89" s="52">
        <f>'4.2.1.1-2 Methane'!F24</f>
        <v>0</v>
      </c>
      <c r="G89" s="52">
        <f>'4.2.1.1-2 Methane'!G24</f>
        <v>0</v>
      </c>
      <c r="H89" s="2" t="s">
        <v>100</v>
      </c>
      <c r="T89" s="99" t="s">
        <v>253</v>
      </c>
    </row>
    <row r="90" spans="4:33" ht="20.100000000000001" customHeight="1" x14ac:dyDescent="0.25">
      <c r="D90" s="52" t="str">
        <f>'4.2.1.1-2 Methane'!D25</f>
        <v>Winter</v>
      </c>
      <c r="E90" s="52">
        <f>'4.2.1.1-2 Methane'!E25</f>
        <v>0</v>
      </c>
      <c r="F90" s="52">
        <f>'4.2.1.1-2 Methane'!F25</f>
        <v>0</v>
      </c>
      <c r="G90" s="52">
        <f>'4.2.1.1-2 Methane'!G25</f>
        <v>0</v>
      </c>
      <c r="H90" s="2" t="s">
        <v>100</v>
      </c>
      <c r="T90" s="98" t="s">
        <v>254</v>
      </c>
    </row>
    <row r="91" spans="4:33" ht="20.100000000000001" customHeight="1" x14ac:dyDescent="0.25">
      <c r="T91" s="51" t="s">
        <v>184</v>
      </c>
      <c r="U91" s="51" t="s">
        <v>166</v>
      </c>
      <c r="V91" s="51" t="s">
        <v>167</v>
      </c>
      <c r="W91" s="51" t="s">
        <v>168</v>
      </c>
    </row>
    <row r="92" spans="4:33" ht="20.100000000000001" customHeight="1" x14ac:dyDescent="0.25">
      <c r="D92" s="99" t="s">
        <v>303</v>
      </c>
      <c r="T92" s="52" t="str">
        <f>'Input - Pasture Beef'!$D$128</f>
        <v>January 2024 to March 2024</v>
      </c>
      <c r="U92" s="52">
        <f>'4.2.1.1-2 Methane'!U22</f>
        <v>0</v>
      </c>
      <c r="V92" s="52">
        <f>'4.2.1.1-2 Methane'!V22</f>
        <v>0</v>
      </c>
      <c r="W92" s="52">
        <f>'4.2.1.1-2 Methane'!W22</f>
        <v>0</v>
      </c>
      <c r="X92" s="2" t="s">
        <v>100</v>
      </c>
    </row>
    <row r="93" spans="4:33" ht="20.100000000000001" customHeight="1" x14ac:dyDescent="0.25">
      <c r="D93" s="98" t="s">
        <v>135</v>
      </c>
      <c r="T93" s="52" t="str">
        <f>'Input - Pasture Beef'!$D$129</f>
        <v>April 2024 to June 2024</v>
      </c>
      <c r="U93" s="52">
        <f>'4.2.1.1-2 Methane'!U23</f>
        <v>0</v>
      </c>
      <c r="V93" s="52">
        <f>'4.2.1.1-2 Methane'!V23</f>
        <v>0</v>
      </c>
      <c r="W93" s="52">
        <f>'4.2.1.1-2 Methane'!W23</f>
        <v>0</v>
      </c>
      <c r="X93" s="2" t="s">
        <v>100</v>
      </c>
    </row>
    <row r="94" spans="4:33" ht="20.100000000000001" customHeight="1" x14ac:dyDescent="0.25">
      <c r="D94" s="51" t="s">
        <v>184</v>
      </c>
      <c r="E94" s="51" t="s">
        <v>131</v>
      </c>
      <c r="F94" s="51" t="s">
        <v>130</v>
      </c>
      <c r="G94" s="51" t="s">
        <v>165</v>
      </c>
      <c r="H94" s="51" t="s">
        <v>166</v>
      </c>
      <c r="I94" s="51" t="s">
        <v>167</v>
      </c>
      <c r="J94" s="51" t="s">
        <v>168</v>
      </c>
      <c r="K94" s="51" t="s">
        <v>169</v>
      </c>
      <c r="L94" s="51" t="s">
        <v>170</v>
      </c>
      <c r="M94" s="51" t="s">
        <v>171</v>
      </c>
      <c r="N94" s="51" t="s">
        <v>172</v>
      </c>
      <c r="T94" s="52" t="str">
        <f>'Input - Pasture Beef'!$D$130</f>
        <v>July 2024 to September 2024</v>
      </c>
      <c r="U94" s="52">
        <f>'4.2.1.1-2 Methane'!U24</f>
        <v>0.25</v>
      </c>
      <c r="V94" s="52">
        <f>'4.2.1.1-2 Methane'!V24</f>
        <v>0.25</v>
      </c>
      <c r="W94" s="52">
        <f>'4.2.1.1-2 Methane'!W24</f>
        <v>0.25</v>
      </c>
      <c r="X94" s="2" t="s">
        <v>100</v>
      </c>
    </row>
    <row r="95" spans="4:33" ht="20.100000000000001" customHeight="1" x14ac:dyDescent="0.25">
      <c r="D95" s="52" t="str">
        <f>'4.2.1.1-2 Methane'!D30</f>
        <v>Spring</v>
      </c>
      <c r="E95" s="52">
        <v>0</v>
      </c>
      <c r="F95" s="52">
        <v>0</v>
      </c>
      <c r="G95" s="52">
        <v>0</v>
      </c>
      <c r="H95" s="52" cm="1">
        <f t="array" ref="H95">MMS_PastureBeef_Soil_N2ODirect_Equations.VEERG_4_2_1_3__5_MilkProductionForCalvingSeasonVariation(E87,E90,$I$80,$I$81)</f>
        <v>3</v>
      </c>
      <c r="I95" s="52" cm="1">
        <f t="array" ref="I95">MMS_PastureBeef_Soil_N2ODirect_Equations.VEERG_4_2_1_3__5_MilkProductionForCalvingSeasonVariation(F87,F90,$I$80,$I$81)</f>
        <v>3</v>
      </c>
      <c r="J95" s="52" cm="1">
        <f t="array" ref="J95">MMS_PastureBeef_Soil_N2ODirect_Equations.VEERG_4_2_1_3__5_MilkProductionForCalvingSeasonVariation(G87,G90,$I$80,$I$81)</f>
        <v>3</v>
      </c>
      <c r="K95" s="52">
        <v>0</v>
      </c>
      <c r="L95" s="52">
        <v>0</v>
      </c>
      <c r="M95" s="52">
        <v>0</v>
      </c>
      <c r="N95" s="52">
        <v>0</v>
      </c>
      <c r="O95" s="2" t="str">
        <f>$E$76</f>
        <v>kg/head/day</v>
      </c>
      <c r="T95" s="52" t="str">
        <f>'Input - Pasture Beef'!$D$131</f>
        <v>October 2024 to December 2024</v>
      </c>
      <c r="U95" s="52">
        <f>'4.2.1.1-2 Methane'!U25</f>
        <v>0.75</v>
      </c>
      <c r="V95" s="52">
        <f>'4.2.1.1-2 Methane'!V25</f>
        <v>0.75</v>
      </c>
      <c r="W95" s="52">
        <f>'4.2.1.1-2 Methane'!W25</f>
        <v>0.75</v>
      </c>
      <c r="X95" s="2" t="s">
        <v>100</v>
      </c>
    </row>
    <row r="96" spans="4:33" ht="20.100000000000001" customHeight="1" x14ac:dyDescent="0.25">
      <c r="D96" s="52" t="str">
        <f>'4.2.1.1-2 Methane'!D31</f>
        <v>Summer</v>
      </c>
      <c r="E96" s="52">
        <v>0</v>
      </c>
      <c r="F96" s="52">
        <v>0</v>
      </c>
      <c r="G96" s="52">
        <v>0</v>
      </c>
      <c r="H96" s="52" cm="1">
        <f t="array" ref="H96">MMS_PastureBeef_Soil_N2ODirect_Equations.VEERG_4_2_1_3__5_MilkProductionForCalvingSeasonVariation(E88,E87,$I$80,$I$81)</f>
        <v>5</v>
      </c>
      <c r="I96" s="52" cm="1">
        <f t="array" ref="I96">MMS_PastureBeef_Soil_N2ODirect_Equations.VEERG_4_2_1_3__5_MilkProductionForCalvingSeasonVariation(F88,F87,$I$80,$I$81)</f>
        <v>5</v>
      </c>
      <c r="J96" s="52" cm="1">
        <f t="array" ref="J96">MMS_PastureBeef_Soil_N2ODirect_Equations.VEERG_4_2_1_3__5_MilkProductionForCalvingSeasonVariation(G88,G87,$I$80,$I$81)</f>
        <v>5</v>
      </c>
      <c r="K96" s="52">
        <v>0</v>
      </c>
      <c r="L96" s="52">
        <v>0</v>
      </c>
      <c r="M96" s="52">
        <v>0</v>
      </c>
      <c r="N96" s="52">
        <v>0</v>
      </c>
      <c r="O96" s="2" t="str">
        <f t="shared" ref="O96:O98" si="4">$E$76</f>
        <v>kg/head/day</v>
      </c>
    </row>
    <row r="97" spans="3:32" ht="20.100000000000001" customHeight="1" x14ac:dyDescent="0.25">
      <c r="D97" s="52" t="str">
        <f>'4.2.1.1-2 Methane'!D32</f>
        <v>Autumn</v>
      </c>
      <c r="E97" s="52">
        <v>0</v>
      </c>
      <c r="F97" s="52">
        <v>0</v>
      </c>
      <c r="G97" s="52">
        <v>0</v>
      </c>
      <c r="H97" s="52" cm="1">
        <f t="array" ref="H97">MMS_PastureBeef_Soil_N2ODirect_Equations.VEERG_4_2_1_3__5_MilkProductionForCalvingSeasonVariation(E89,E88,$I$80,$I$81)</f>
        <v>2</v>
      </c>
      <c r="I97" s="52" cm="1">
        <f t="array" ref="I97">MMS_PastureBeef_Soil_N2ODirect_Equations.VEERG_4_2_1_3__5_MilkProductionForCalvingSeasonVariation(F89,F88,$I$80,$I$81)</f>
        <v>2</v>
      </c>
      <c r="J97" s="52" cm="1">
        <f t="array" ref="J97">MMS_PastureBeef_Soil_N2ODirect_Equations.VEERG_4_2_1_3__5_MilkProductionForCalvingSeasonVariation(G89,G88,$I$80,$I$81)</f>
        <v>2</v>
      </c>
      <c r="K97" s="52">
        <v>0</v>
      </c>
      <c r="L97" s="52">
        <v>0</v>
      </c>
      <c r="M97" s="52">
        <v>0</v>
      </c>
      <c r="N97" s="52">
        <v>0</v>
      </c>
      <c r="O97" s="2" t="str">
        <f t="shared" si="4"/>
        <v>kg/head/day</v>
      </c>
      <c r="T97" s="99" t="s">
        <v>303</v>
      </c>
    </row>
    <row r="98" spans="3:32" ht="20.100000000000001" customHeight="1" x14ac:dyDescent="0.25">
      <c r="D98" s="52" t="str">
        <f>'4.2.1.1-2 Methane'!D33</f>
        <v>Winter</v>
      </c>
      <c r="E98" s="52">
        <v>0</v>
      </c>
      <c r="F98" s="52">
        <v>0</v>
      </c>
      <c r="G98" s="52">
        <v>0</v>
      </c>
      <c r="H98" s="52" cm="1">
        <f t="array" ref="H98">MMS_PastureBeef_Soil_N2ODirect_Equations.VEERG_4_2_1_3__5_MilkProductionForCalvingSeasonVariation(E90,E89,$I$80,$I$81)</f>
        <v>0</v>
      </c>
      <c r="I98" s="52" cm="1">
        <f t="array" ref="I98">MMS_PastureBeef_Soil_N2ODirect_Equations.VEERG_4_2_1_3__5_MilkProductionForCalvingSeasonVariation(F90,F89,$I$80,$I$81)</f>
        <v>0</v>
      </c>
      <c r="J98" s="52" cm="1">
        <f t="array" ref="J98">MMS_PastureBeef_Soil_N2ODirect_Equations.VEERG_4_2_1_3__5_MilkProductionForCalvingSeasonVariation(G90,G89,$I$80,$I$81)</f>
        <v>0</v>
      </c>
      <c r="K98" s="52">
        <v>0</v>
      </c>
      <c r="L98" s="52">
        <v>0</v>
      </c>
      <c r="M98" s="52">
        <v>0</v>
      </c>
      <c r="N98" s="52">
        <v>0</v>
      </c>
      <c r="O98" s="2" t="str">
        <f t="shared" si="4"/>
        <v>kg/head/day</v>
      </c>
      <c r="T98" s="98" t="s">
        <v>135</v>
      </c>
    </row>
    <row r="99" spans="3:32" ht="20.100000000000001" customHeight="1" x14ac:dyDescent="0.25">
      <c r="T99" s="51" t="s">
        <v>132</v>
      </c>
      <c r="U99" s="51" t="s">
        <v>131</v>
      </c>
      <c r="V99" s="51" t="s">
        <v>130</v>
      </c>
      <c r="W99" s="51" t="s">
        <v>165</v>
      </c>
      <c r="X99" s="51" t="s">
        <v>166</v>
      </c>
      <c r="Y99" s="51" t="s">
        <v>167</v>
      </c>
      <c r="Z99" s="51" t="s">
        <v>168</v>
      </c>
      <c r="AA99" s="51" t="s">
        <v>169</v>
      </c>
      <c r="AB99" s="51" t="s">
        <v>170</v>
      </c>
      <c r="AC99" s="51" t="s">
        <v>171</v>
      </c>
      <c r="AD99" s="51" t="s">
        <v>172</v>
      </c>
    </row>
    <row r="100" spans="3:32" ht="20.100000000000001" customHeight="1" x14ac:dyDescent="0.25">
      <c r="T100" s="52" t="str">
        <f>TEXT('Input - Site'!$E$12, "mmmm yyyy")</f>
        <v>January 2024</v>
      </c>
      <c r="U100" s="52">
        <v>0</v>
      </c>
      <c r="V100" s="52">
        <v>0</v>
      </c>
      <c r="W100" s="52">
        <v>0</v>
      </c>
      <c r="X100" s="52" cm="1">
        <f t="array" ref="X100">MMS_PastureBeef_Soil_N2ODirect_Equations.VEERG_4_2_1_3__5_MilkProductionForCalvingSeasonVariation(U$92,U$95,$I$80,$I$81)</f>
        <v>3</v>
      </c>
      <c r="Y100" s="52" cm="1">
        <f t="array" ref="Y100">MMS_PastureBeef_Soil_N2ODirect_Equations.VEERG_4_2_1_3__5_MilkProductionForCalvingSeasonVariation(V$92,V$95,$I$80,$I$81)</f>
        <v>3</v>
      </c>
      <c r="Z100" s="52" cm="1">
        <f t="array" ref="Z100">MMS_PastureBeef_Soil_N2ODirect_Equations.VEERG_4_2_1_3__5_MilkProductionForCalvingSeasonVariation(W$92,W$95,$I$80,$I$81)</f>
        <v>3</v>
      </c>
      <c r="AA100" s="52">
        <v>0</v>
      </c>
      <c r="AB100" s="52">
        <v>0</v>
      </c>
      <c r="AC100" s="52">
        <v>0</v>
      </c>
      <c r="AD100" s="52">
        <v>0</v>
      </c>
      <c r="AE100" s="2" t="str">
        <f t="shared" ref="AE100:AE111" si="5">$E$76</f>
        <v>kg/head/day</v>
      </c>
      <c r="AF100" s="2"/>
    </row>
    <row r="101" spans="3:32" ht="20.100000000000001" customHeight="1" x14ac:dyDescent="0.25">
      <c r="C101" s="45"/>
      <c r="D101" s="45"/>
      <c r="E101" s="45"/>
      <c r="F101" s="45"/>
      <c r="G101" s="45"/>
      <c r="H101" s="45"/>
      <c r="I101" s="45"/>
      <c r="J101" s="45"/>
      <c r="K101" s="45"/>
      <c r="L101" s="45"/>
      <c r="M101" s="45"/>
      <c r="N101" s="45"/>
      <c r="O101" s="45"/>
      <c r="P101" s="45"/>
      <c r="Q101" s="45"/>
      <c r="T101" s="52" t="str">
        <f>TEXT(EDATE('Input - Site'!$E$12,1), "mmmm yyyy")</f>
        <v>February 2024</v>
      </c>
      <c r="U101" s="52">
        <v>0</v>
      </c>
      <c r="V101" s="52">
        <v>0</v>
      </c>
      <c r="W101" s="52">
        <v>0</v>
      </c>
      <c r="X101" s="52" cm="1">
        <f t="array" ref="X101">MMS_PastureBeef_Soil_N2ODirect_Equations.VEERG_4_2_1_3__5_MilkProductionForCalvingSeasonVariation(U$92,U$95,$I$80,$I$81)</f>
        <v>3</v>
      </c>
      <c r="Y101" s="52" cm="1">
        <f t="array" ref="Y101">MMS_PastureBeef_Soil_N2ODirect_Equations.VEERG_4_2_1_3__5_MilkProductionForCalvingSeasonVariation(V$92,V$95,$I$80,$I$81)</f>
        <v>3</v>
      </c>
      <c r="Z101" s="52" cm="1">
        <f t="array" ref="Z101">MMS_PastureBeef_Soil_N2ODirect_Equations.VEERG_4_2_1_3__5_MilkProductionForCalvingSeasonVariation(W$92,W$95,$I$80,$I$81)</f>
        <v>3</v>
      </c>
      <c r="AA101" s="52">
        <v>0</v>
      </c>
      <c r="AB101" s="52">
        <v>0</v>
      </c>
      <c r="AC101" s="52">
        <v>0</v>
      </c>
      <c r="AD101" s="52">
        <v>0</v>
      </c>
      <c r="AE101" s="2" t="str">
        <f t="shared" si="5"/>
        <v>kg/head/day</v>
      </c>
      <c r="AF101" s="2"/>
    </row>
    <row r="102" spans="3:32" ht="20.100000000000001" customHeight="1" x14ac:dyDescent="0.25">
      <c r="D102" s="6" t="str" cm="1">
        <f t="array" ref="D102">MMS_PastureBeef_Soil_N2ODirect_Equations.VEERG_4_2_1_3__4_NitrogenRetainedByBody_Title()</f>
        <v>Amount of nitrogen retained by the body</v>
      </c>
      <c r="T102" s="52" t="str">
        <f>TEXT(EDATE('Input - Site'!$E$12,2), "mmmm yyyy")</f>
        <v>March 2024</v>
      </c>
      <c r="U102" s="52">
        <v>0</v>
      </c>
      <c r="V102" s="52">
        <v>0</v>
      </c>
      <c r="W102" s="52">
        <v>0</v>
      </c>
      <c r="X102" s="52" cm="1">
        <f t="array" ref="X102">MMS_PastureBeef_Soil_N2ODirect_Equations.VEERG_4_2_1_3__5_MilkProductionForCalvingSeasonVariation(U$92,U$95,$I$80,$I$81)</f>
        <v>3</v>
      </c>
      <c r="Y102" s="52" cm="1">
        <f t="array" ref="Y102">MMS_PastureBeef_Soil_N2ODirect_Equations.VEERG_4_2_1_3__5_MilkProductionForCalvingSeasonVariation(V$92,V$95,$I$80,$I$81)</f>
        <v>3</v>
      </c>
      <c r="Z102" s="52" cm="1">
        <f t="array" ref="Z102">MMS_PastureBeef_Soil_N2ODirect_Equations.VEERG_4_2_1_3__5_MilkProductionForCalvingSeasonVariation(W$92,W$95,$I$80,$I$81)</f>
        <v>3</v>
      </c>
      <c r="AA102" s="52">
        <v>0</v>
      </c>
      <c r="AB102" s="52">
        <v>0</v>
      </c>
      <c r="AC102" s="52">
        <v>0</v>
      </c>
      <c r="AD102" s="52">
        <v>0</v>
      </c>
      <c r="AE102" s="2" t="str">
        <f t="shared" si="5"/>
        <v>kg/head/day</v>
      </c>
      <c r="AF102" s="2"/>
    </row>
    <row r="103" spans="3:32" ht="20.100000000000001" customHeight="1" x14ac:dyDescent="0.25">
      <c r="D103" s="5" t="str" cm="1">
        <f t="array" ref="D103">MMS_PastureBeef_Soil_N2ODirect_Equations.VEERG_4_2_1_3__4_NitrogenRetainedByBody_Source()</f>
        <v>VEERG 2026: 4.2.1.3, Equation (4)</v>
      </c>
      <c r="T103" s="52" t="str">
        <f>TEXT(EDATE('Input - Site'!$E$12,3), "mmmm yyyy")</f>
        <v>April 2024</v>
      </c>
      <c r="U103" s="52">
        <v>0</v>
      </c>
      <c r="V103" s="52">
        <v>0</v>
      </c>
      <c r="W103" s="52">
        <v>0</v>
      </c>
      <c r="X103" s="52" cm="1">
        <f t="array" ref="X103">MMS_PastureBeef_Soil_N2ODirect_Equations.VEERG_4_2_1_3__5_MilkProductionForCalvingSeasonVariation(U$93,U$92,$I$80,$I$81)</f>
        <v>0</v>
      </c>
      <c r="Y103" s="52" cm="1">
        <f t="array" ref="Y103">MMS_PastureBeef_Soil_N2ODirect_Equations.VEERG_4_2_1_3__5_MilkProductionForCalvingSeasonVariation(V$93,V$92,$I$80,$I$81)</f>
        <v>0</v>
      </c>
      <c r="Z103" s="52" cm="1">
        <f t="array" ref="Z103">MMS_PastureBeef_Soil_N2ODirect_Equations.VEERG_4_2_1_3__5_MilkProductionForCalvingSeasonVariation(W$93,W$92,$I$80,$I$81)</f>
        <v>0</v>
      </c>
      <c r="AA103" s="52">
        <v>0</v>
      </c>
      <c r="AB103" s="52">
        <v>0</v>
      </c>
      <c r="AC103" s="52">
        <v>0</v>
      </c>
      <c r="AD103" s="52">
        <v>0</v>
      </c>
      <c r="AE103" s="2" t="str">
        <f t="shared" si="5"/>
        <v>kg/head/day</v>
      </c>
      <c r="AF103" s="2"/>
    </row>
    <row r="104" spans="3:32" ht="20.100000000000001" customHeight="1" x14ac:dyDescent="0.25">
      <c r="D104" s="13" t="s">
        <v>27</v>
      </c>
      <c r="E104" s="13" t="str" cm="1">
        <f t="array" aca="1" ref="E104" ca="1">Common_InputFunctions.Utility_DisplayFunctionName(E127)</f>
        <v>=MMS_PastureBeef_Soil_N2ODirect_Equations.VEERG_4_2_1_3__4_NitrogenRetainedByBody</v>
      </c>
      <c r="T104" s="52" t="str">
        <f>TEXT(EDATE('Input - Site'!$E$12,4), "mmmm yyyy")</f>
        <v>May 2024</v>
      </c>
      <c r="U104" s="52">
        <v>0</v>
      </c>
      <c r="V104" s="52">
        <v>0</v>
      </c>
      <c r="W104" s="52">
        <v>0</v>
      </c>
      <c r="X104" s="52" cm="1">
        <f t="array" ref="X104">MMS_PastureBeef_Soil_N2ODirect_Equations.VEERG_4_2_1_3__5_MilkProductionForCalvingSeasonVariation(U$93,U$92,$I$80,$I$81)</f>
        <v>0</v>
      </c>
      <c r="Y104" s="52" cm="1">
        <f t="array" ref="Y104">MMS_PastureBeef_Soil_N2ODirect_Equations.VEERG_4_2_1_3__5_MilkProductionForCalvingSeasonVariation(V$93,V$92,$I$80,$I$81)</f>
        <v>0</v>
      </c>
      <c r="Z104" s="52" cm="1">
        <f t="array" ref="Z104">MMS_PastureBeef_Soil_N2ODirect_Equations.VEERG_4_2_1_3__5_MilkProductionForCalvingSeasonVariation(W$93,W$92,$I$80,$I$81)</f>
        <v>0</v>
      </c>
      <c r="AA104" s="52">
        <v>0</v>
      </c>
      <c r="AB104" s="52">
        <v>0</v>
      </c>
      <c r="AC104" s="52">
        <v>0</v>
      </c>
      <c r="AD104" s="52">
        <v>0</v>
      </c>
      <c r="AE104" s="2" t="str">
        <f t="shared" si="5"/>
        <v>kg/head/day</v>
      </c>
      <c r="AF104" s="2"/>
    </row>
    <row r="105" spans="3:32" ht="20.100000000000001" customHeight="1" x14ac:dyDescent="0.25">
      <c r="T105" s="52" t="str">
        <f>TEXT(EDATE('Input - Site'!$E$12,5), "mmmm yyyy")</f>
        <v>June 2024</v>
      </c>
      <c r="U105" s="52">
        <v>0</v>
      </c>
      <c r="V105" s="52">
        <v>0</v>
      </c>
      <c r="W105" s="52">
        <v>0</v>
      </c>
      <c r="X105" s="52" cm="1">
        <f t="array" ref="X105">MMS_PastureBeef_Soil_N2ODirect_Equations.VEERG_4_2_1_3__5_MilkProductionForCalvingSeasonVariation(U$93,U$92,$I$80,$I$81)</f>
        <v>0</v>
      </c>
      <c r="Y105" s="52" cm="1">
        <f t="array" ref="Y105">MMS_PastureBeef_Soil_N2ODirect_Equations.VEERG_4_2_1_3__5_MilkProductionForCalvingSeasonVariation(V$93,V$92,$I$80,$I$81)</f>
        <v>0</v>
      </c>
      <c r="Z105" s="52" cm="1">
        <f t="array" ref="Z105">MMS_PastureBeef_Soil_N2ODirect_Equations.VEERG_4_2_1_3__5_MilkProductionForCalvingSeasonVariation(W$93,W$92,$I$80,$I$81)</f>
        <v>0</v>
      </c>
      <c r="AA105" s="52">
        <v>0</v>
      </c>
      <c r="AB105" s="52">
        <v>0</v>
      </c>
      <c r="AC105" s="52">
        <v>0</v>
      </c>
      <c r="AD105" s="52">
        <v>0</v>
      </c>
      <c r="AE105" s="2" t="str">
        <f t="shared" si="5"/>
        <v>kg/head/day</v>
      </c>
      <c r="AF105" s="2"/>
    </row>
    <row r="106" spans="3:32" ht="20.100000000000001" customHeight="1" x14ac:dyDescent="0.25">
      <c r="T106" s="52" t="str">
        <f>TEXT(EDATE('Input - Site'!$E$12,6), "mmmm yyyy")</f>
        <v>July 2024</v>
      </c>
      <c r="U106" s="52">
        <v>0</v>
      </c>
      <c r="V106" s="52">
        <v>0</v>
      </c>
      <c r="W106" s="52">
        <v>0</v>
      </c>
      <c r="X106" s="52" cm="1">
        <f t="array" ref="X106">MMS_PastureBeef_Soil_N2ODirect_Equations.VEERG_4_2_1_3__5_MilkProductionForCalvingSeasonVariation(U$94,U$93,$I$80,$I$81)</f>
        <v>1.5</v>
      </c>
      <c r="Y106" s="52" cm="1">
        <f t="array" ref="Y106">MMS_PastureBeef_Soil_N2ODirect_Equations.VEERG_4_2_1_3__5_MilkProductionForCalvingSeasonVariation(V$94,V$93,$I$80,$I$81)</f>
        <v>1.5</v>
      </c>
      <c r="Z106" s="52" cm="1">
        <f t="array" ref="Z106">MMS_PastureBeef_Soil_N2ODirect_Equations.VEERG_4_2_1_3__5_MilkProductionForCalvingSeasonVariation(W$94,W$93,$I$80,$I$81)</f>
        <v>1.5</v>
      </c>
      <c r="AA106" s="52">
        <v>0</v>
      </c>
      <c r="AB106" s="52">
        <v>0</v>
      </c>
      <c r="AC106" s="52">
        <v>0</v>
      </c>
      <c r="AD106" s="52">
        <v>0</v>
      </c>
      <c r="AE106" s="2" t="str">
        <f t="shared" si="5"/>
        <v>kg/head/day</v>
      </c>
      <c r="AF106" s="2"/>
    </row>
    <row r="107" spans="3:32" ht="20.100000000000001" customHeight="1" x14ac:dyDescent="0.25">
      <c r="T107" s="52" t="str">
        <f>TEXT(EDATE('Input - Site'!$E$12,7), "mmmm yyyy")</f>
        <v>August 2024</v>
      </c>
      <c r="U107" s="52">
        <v>0</v>
      </c>
      <c r="V107" s="52">
        <v>0</v>
      </c>
      <c r="W107" s="52">
        <v>0</v>
      </c>
      <c r="X107" s="52" cm="1">
        <f t="array" ref="X107">MMS_PastureBeef_Soil_N2ODirect_Equations.VEERG_4_2_1_3__5_MilkProductionForCalvingSeasonVariation(U$94,U$93,$I$80,$I$81)</f>
        <v>1.5</v>
      </c>
      <c r="Y107" s="52" cm="1">
        <f t="array" ref="Y107">MMS_PastureBeef_Soil_N2ODirect_Equations.VEERG_4_2_1_3__5_MilkProductionForCalvingSeasonVariation(V$94,V$93,$I$80,$I$81)</f>
        <v>1.5</v>
      </c>
      <c r="Z107" s="52" cm="1">
        <f t="array" ref="Z107">MMS_PastureBeef_Soil_N2ODirect_Equations.VEERG_4_2_1_3__5_MilkProductionForCalvingSeasonVariation(W$94,W$93,$I$80,$I$81)</f>
        <v>1.5</v>
      </c>
      <c r="AA107" s="52">
        <v>0</v>
      </c>
      <c r="AB107" s="52">
        <v>0</v>
      </c>
      <c r="AC107" s="52">
        <v>0</v>
      </c>
      <c r="AD107" s="52">
        <v>0</v>
      </c>
      <c r="AE107" s="2" t="str">
        <f t="shared" si="5"/>
        <v>kg/head/day</v>
      </c>
      <c r="AF107" s="2"/>
    </row>
    <row r="108" spans="3:32" ht="20.100000000000001" customHeight="1" x14ac:dyDescent="0.25">
      <c r="D108" s="53" t="s">
        <v>30</v>
      </c>
      <c r="E108" s="1" t="str" cm="1">
        <f t="array" ref="E108">MMS_PastureBeef_Soil_N2ODirect_Equations.VEERG_4_2_1_3__4_NitrogenRetainedByBody_Variable()</f>
        <v>NR_jkl</v>
      </c>
      <c r="T108" s="52" t="str">
        <f>TEXT(EDATE('Input - Site'!$E$12,8), "mmmm yyyy")</f>
        <v>September 2024</v>
      </c>
      <c r="U108" s="52">
        <v>0</v>
      </c>
      <c r="V108" s="52">
        <v>0</v>
      </c>
      <c r="W108" s="52">
        <v>0</v>
      </c>
      <c r="X108" s="52" cm="1">
        <f t="array" ref="X108">MMS_PastureBeef_Soil_N2ODirect_Equations.VEERG_4_2_1_3__5_MilkProductionForCalvingSeasonVariation(U$94,U$93,$I$80,$I$81)</f>
        <v>1.5</v>
      </c>
      <c r="Y108" s="52" cm="1">
        <f t="array" ref="Y108">MMS_PastureBeef_Soil_N2ODirect_Equations.VEERG_4_2_1_3__5_MilkProductionForCalvingSeasonVariation(V$94,V$93,$I$80,$I$81)</f>
        <v>1.5</v>
      </c>
      <c r="Z108" s="52" cm="1">
        <f t="array" ref="Z108">MMS_PastureBeef_Soil_N2ODirect_Equations.VEERG_4_2_1_3__5_MilkProductionForCalvingSeasonVariation(W$94,W$93,$I$80,$I$81)</f>
        <v>1.5</v>
      </c>
      <c r="AA108" s="52">
        <v>0</v>
      </c>
      <c r="AB108" s="52">
        <v>0</v>
      </c>
      <c r="AC108" s="52">
        <v>0</v>
      </c>
      <c r="AD108" s="52">
        <v>0</v>
      </c>
      <c r="AE108" s="2" t="str">
        <f t="shared" si="5"/>
        <v>kg/head/day</v>
      </c>
      <c r="AF108" s="2"/>
    </row>
    <row r="109" spans="3:32" ht="20.100000000000001" customHeight="1" x14ac:dyDescent="0.25">
      <c r="D109" s="53" t="s">
        <v>20</v>
      </c>
      <c r="E109" s="54" t="str" cm="1">
        <f t="array" ref="E109">MMS_PastureBeef_Soil_N2ODirect_Equations.VEERG_4_2_1_3__4_NitrogenRetainedByBody_Unit()</f>
        <v>kg N/head/day</v>
      </c>
      <c r="T109" s="52" t="str">
        <f>TEXT(EDATE('Input - Site'!$E$12,9), "mmmm yyyy")</f>
        <v>October 2024</v>
      </c>
      <c r="U109" s="52">
        <v>0</v>
      </c>
      <c r="V109" s="52">
        <v>0</v>
      </c>
      <c r="W109" s="52">
        <v>0</v>
      </c>
      <c r="X109" s="52" cm="1">
        <f t="array" ref="X109">MMS_PastureBeef_Soil_N2ODirect_Equations.VEERG_4_2_1_3__5_MilkProductionForCalvingSeasonVariation(U$95,U$94,$I$80,$I$81)</f>
        <v>5.5</v>
      </c>
      <c r="Y109" s="52" cm="1">
        <f t="array" ref="Y109">MMS_PastureBeef_Soil_N2ODirect_Equations.VEERG_4_2_1_3__5_MilkProductionForCalvingSeasonVariation(V$95,V$94,$I$80,$I$81)</f>
        <v>5.5</v>
      </c>
      <c r="Z109" s="52" cm="1">
        <f t="array" ref="Z109">MMS_PastureBeef_Soil_N2ODirect_Equations.VEERG_4_2_1_3__5_MilkProductionForCalvingSeasonVariation(W$95,W$94,$I$80,$I$81)</f>
        <v>5.5</v>
      </c>
      <c r="AA109" s="52">
        <v>0</v>
      </c>
      <c r="AB109" s="52">
        <v>0</v>
      </c>
      <c r="AC109" s="52">
        <v>0</v>
      </c>
      <c r="AD109" s="52">
        <v>0</v>
      </c>
      <c r="AE109" s="2" t="str">
        <f t="shared" si="5"/>
        <v>kg/head/day</v>
      </c>
      <c r="AF109" s="2"/>
    </row>
    <row r="110" spans="3:32" ht="20.100000000000001" customHeight="1" x14ac:dyDescent="0.25">
      <c r="T110" s="52" t="str">
        <f>TEXT(EDATE('Input - Site'!$E$12,10), "mmmm yyyy")</f>
        <v>November 2024</v>
      </c>
      <c r="U110" s="52">
        <v>0</v>
      </c>
      <c r="V110" s="52">
        <v>0</v>
      </c>
      <c r="W110" s="52">
        <v>0</v>
      </c>
      <c r="X110" s="52" cm="1">
        <f t="array" ref="X110">MMS_PastureBeef_Soil_N2ODirect_Equations.VEERG_4_2_1_3__5_MilkProductionForCalvingSeasonVariation(U$95,U$94,$I$80,$I$81)</f>
        <v>5.5</v>
      </c>
      <c r="Y110" s="52" cm="1">
        <f t="array" ref="Y110">MMS_PastureBeef_Soil_N2ODirect_Equations.VEERG_4_2_1_3__5_MilkProductionForCalvingSeasonVariation(V$95,V$94,$I$80,$I$81)</f>
        <v>5.5</v>
      </c>
      <c r="Z110" s="52" cm="1">
        <f t="array" ref="Z110">MMS_PastureBeef_Soil_N2ODirect_Equations.VEERG_4_2_1_3__5_MilkProductionForCalvingSeasonVariation(W$95,W$94,$I$80,$I$81)</f>
        <v>5.5</v>
      </c>
      <c r="AA110" s="52">
        <v>0</v>
      </c>
      <c r="AB110" s="52">
        <v>0</v>
      </c>
      <c r="AC110" s="52">
        <v>0</v>
      </c>
      <c r="AD110" s="52">
        <v>0</v>
      </c>
      <c r="AE110" s="2" t="str">
        <f t="shared" si="5"/>
        <v>kg/head/day</v>
      </c>
      <c r="AF110" s="2"/>
    </row>
    <row r="111" spans="3:32" ht="20.100000000000001" customHeight="1" x14ac:dyDescent="0.25">
      <c r="D111" s="108" t="str" cm="1">
        <f t="array" ref="D111:E114">MMS_PastureBeef_Soil_N2ODirect_Equations.VEERG_4_2_1_3__4_NitrogenRetainedByBody_Arguments()</f>
        <v>MP_jk5</v>
      </c>
      <c r="E111" s="110" t="str">
        <v>milk production (kg/head/day)</v>
      </c>
      <c r="F111" s="109"/>
      <c r="G111" s="108" t="str">
        <f>"See " &amp; D92</f>
        <v>See M1_Table_MP_j_k-4-5</v>
      </c>
      <c r="T111" s="52" t="str">
        <f>TEXT(EDATE('Input - Site'!$E$12,11), "mmmm yyyy")</f>
        <v>December 2024</v>
      </c>
      <c r="U111" s="52">
        <v>0</v>
      </c>
      <c r="V111" s="52">
        <v>0</v>
      </c>
      <c r="W111" s="52">
        <v>0</v>
      </c>
      <c r="X111" s="52" cm="1">
        <f t="array" ref="X111">MMS_PastureBeef_Soil_N2ODirect_Equations.VEERG_4_2_1_3__5_MilkProductionForCalvingSeasonVariation(U$95,U$94,$I$80,$I$81)</f>
        <v>5.5</v>
      </c>
      <c r="Y111" s="52" cm="1">
        <f t="array" ref="Y111">MMS_PastureBeef_Soil_N2ODirect_Equations.VEERG_4_2_1_3__5_MilkProductionForCalvingSeasonVariation(V$95,V$94,$I$80,$I$81)</f>
        <v>5.5</v>
      </c>
      <c r="Z111" s="52" cm="1">
        <f t="array" ref="Z111">MMS_PastureBeef_Soil_N2ODirect_Equations.VEERG_4_2_1_3__5_MilkProductionForCalvingSeasonVariation(W$95,W$94,$I$80,$I$81)</f>
        <v>5.5</v>
      </c>
      <c r="AA111" s="52">
        <v>0</v>
      </c>
      <c r="AB111" s="52">
        <v>0</v>
      </c>
      <c r="AC111" s="52">
        <v>0</v>
      </c>
      <c r="AD111" s="52">
        <v>0</v>
      </c>
      <c r="AE111" s="2" t="str">
        <f t="shared" si="5"/>
        <v>kg/head/day</v>
      </c>
      <c r="AF111" s="2"/>
    </row>
    <row r="112" spans="3:32" ht="20.100000000000001" customHeight="1" x14ac:dyDescent="0.25">
      <c r="D112" s="108" t="str">
        <v>L_jkl</v>
      </c>
      <c r="E112" s="110" t="str">
        <v>intake relative to that needed for maintenance</v>
      </c>
      <c r="F112" s="109"/>
      <c r="G112" s="108" t="str">
        <f>"See " &amp; D59</f>
        <v>See M1_Table_L_j_k_l</v>
      </c>
    </row>
    <row r="113" spans="4:33" ht="20.100000000000001" customHeight="1" x14ac:dyDescent="0.25">
      <c r="D113" s="108" t="str">
        <v>Z_jkl</v>
      </c>
      <c r="E113" s="110" t="str">
        <v>relative size</v>
      </c>
      <c r="F113" s="109"/>
      <c r="G113" s="108" t="str">
        <f>"See " &amp; D30</f>
        <v>See M1_Table_Z_j_k_l</v>
      </c>
    </row>
    <row r="114" spans="4:33" ht="20.100000000000001" customHeight="1" x14ac:dyDescent="0.25">
      <c r="D114" s="108" t="str">
        <v>LWG_jkl</v>
      </c>
      <c r="E114" s="110" t="str">
        <v>liveweight gain (kg/head/day)</v>
      </c>
      <c r="F114" s="109"/>
      <c r="G114" s="108" t="str">
        <f>"See " &amp; D116</f>
        <v>See M1_Table_LWG_j_k_l</v>
      </c>
      <c r="S114" s="45"/>
      <c r="T114" s="45"/>
      <c r="U114" s="45"/>
      <c r="V114" s="45"/>
      <c r="W114" s="45"/>
      <c r="X114" s="45"/>
      <c r="Y114" s="45"/>
      <c r="Z114" s="45"/>
      <c r="AA114" s="45"/>
      <c r="AB114" s="45"/>
      <c r="AC114" s="45"/>
      <c r="AD114" s="45"/>
      <c r="AE114" s="45"/>
      <c r="AF114" s="45"/>
      <c r="AG114" s="45"/>
    </row>
    <row r="115" spans="4:33" ht="20.100000000000001" customHeight="1" x14ac:dyDescent="0.25">
      <c r="T115" s="6" t="str" cm="1">
        <f t="array" ref="T115">MMS_PastureBeef_Soil_N2ODirect_Equations.VEERG_4_2_1_3__4_NitrogenRetainedByBody_Title()</f>
        <v>Amount of nitrogen retained by the body</v>
      </c>
    </row>
    <row r="116" spans="4:33" ht="20.100000000000001" customHeight="1" x14ac:dyDescent="0.25">
      <c r="D116" s="99" t="s">
        <v>244</v>
      </c>
    </row>
    <row r="117" spans="4:33" ht="20.100000000000001" customHeight="1" x14ac:dyDescent="0.25">
      <c r="D117" s="98" t="s">
        <v>245</v>
      </c>
      <c r="T117" s="99" t="s">
        <v>261</v>
      </c>
    </row>
    <row r="118" spans="4:33" ht="20.100000000000001" customHeight="1" x14ac:dyDescent="0.25">
      <c r="D118" s="51" t="s">
        <v>184</v>
      </c>
      <c r="E118" s="51" t="s">
        <v>131</v>
      </c>
      <c r="F118" s="51" t="s">
        <v>130</v>
      </c>
      <c r="G118" s="51" t="s">
        <v>165</v>
      </c>
      <c r="H118" s="51" t="s">
        <v>166</v>
      </c>
      <c r="I118" s="51" t="s">
        <v>167</v>
      </c>
      <c r="J118" s="51" t="s">
        <v>168</v>
      </c>
      <c r="K118" s="51" t="s">
        <v>169</v>
      </c>
      <c r="L118" s="51" t="s">
        <v>170</v>
      </c>
      <c r="M118" s="51" t="s">
        <v>171</v>
      </c>
      <c r="N118" s="51" t="s">
        <v>172</v>
      </c>
      <c r="T118" s="98" t="s">
        <v>262</v>
      </c>
    </row>
    <row r="119" spans="4:33" ht="20.100000000000001" customHeight="1" x14ac:dyDescent="0.25">
      <c r="D119" s="52" t="str">
        <f>'Input - Pasture Beef'!D82</f>
        <v>Spring</v>
      </c>
      <c r="E119" s="52">
        <f>'Input - Pasture Beef'!E82</f>
        <v>1.64</v>
      </c>
      <c r="F119" s="52">
        <f>'Input - Pasture Beef'!F82</f>
        <v>1.1000000000000001</v>
      </c>
      <c r="G119" s="52">
        <f>'Input - Pasture Beef'!G82</f>
        <v>1.21</v>
      </c>
      <c r="H119" s="52">
        <f>'Input - Pasture Beef'!H82</f>
        <v>0.99</v>
      </c>
      <c r="I119" s="52">
        <f>'Input - Pasture Beef'!I82</f>
        <v>0.66</v>
      </c>
      <c r="J119" s="52">
        <f>'Input - Pasture Beef'!J82</f>
        <v>0.66</v>
      </c>
      <c r="K119" s="52">
        <f>'Input - Pasture Beef'!K82</f>
        <v>1.42</v>
      </c>
      <c r="L119" s="52">
        <f>'Input - Pasture Beef'!L82</f>
        <v>1.1000000000000001</v>
      </c>
      <c r="M119" s="52">
        <f>'Input - Pasture Beef'!M82</f>
        <v>1.1000000000000001</v>
      </c>
      <c r="N119" s="52">
        <f>'Input - Pasture Beef'!N82</f>
        <v>1.1000000000000001</v>
      </c>
      <c r="O119" s="2" t="s">
        <v>133</v>
      </c>
      <c r="T119" s="51" t="s">
        <v>132</v>
      </c>
      <c r="U119" s="51" t="s">
        <v>131</v>
      </c>
      <c r="V119" s="51" t="s">
        <v>130</v>
      </c>
      <c r="W119" s="51" t="s">
        <v>165</v>
      </c>
      <c r="X119" s="51" t="s">
        <v>166</v>
      </c>
      <c r="Y119" s="51" t="s">
        <v>167</v>
      </c>
      <c r="Z119" s="51" t="s">
        <v>168</v>
      </c>
      <c r="AA119" s="51" t="s">
        <v>169</v>
      </c>
      <c r="AB119" s="51" t="s">
        <v>170</v>
      </c>
      <c r="AC119" s="51" t="s">
        <v>171</v>
      </c>
      <c r="AD119" s="51" t="s">
        <v>172</v>
      </c>
    </row>
    <row r="120" spans="4:33" ht="20.100000000000001" customHeight="1" x14ac:dyDescent="0.25">
      <c r="D120" s="52" t="str">
        <f>'Input - Pasture Beef'!D83</f>
        <v>Summer</v>
      </c>
      <c r="E120" s="52">
        <f>'Input - Pasture Beef'!E83</f>
        <v>0.44</v>
      </c>
      <c r="F120" s="52">
        <f>'Input - Pasture Beef'!F83</f>
        <v>-0.22</v>
      </c>
      <c r="G120" s="52">
        <f>'Input - Pasture Beef'!G83</f>
        <v>0.44</v>
      </c>
      <c r="H120" s="52">
        <f>'Input - Pasture Beef'!H83</f>
        <v>0.33</v>
      </c>
      <c r="I120" s="52">
        <f>'Input - Pasture Beef'!I83</f>
        <v>-0.22</v>
      </c>
      <c r="J120" s="52">
        <f>'Input - Pasture Beef'!J83</f>
        <v>-0.22</v>
      </c>
      <c r="K120" s="52">
        <f>'Input - Pasture Beef'!K83</f>
        <v>0.44</v>
      </c>
      <c r="L120" s="52">
        <f>'Input - Pasture Beef'!L83</f>
        <v>-0.11</v>
      </c>
      <c r="M120" s="52">
        <f>'Input - Pasture Beef'!M83</f>
        <v>-0.11</v>
      </c>
      <c r="N120" s="52">
        <f>'Input - Pasture Beef'!N83</f>
        <v>-0.11</v>
      </c>
      <c r="O120" s="2" t="s">
        <v>133</v>
      </c>
      <c r="T120" s="52" t="str">
        <f>TEXT('Input - Site'!$E$12, "mmmm yyyy")</f>
        <v>January 2024</v>
      </c>
      <c r="U120" s="52">
        <f>'Input - Pasture Beef'!E88</f>
        <v>0.44</v>
      </c>
      <c r="V120" s="52">
        <f>'Input - Pasture Beef'!F88</f>
        <v>-0.22</v>
      </c>
      <c r="W120" s="52">
        <f>'Input - Pasture Beef'!G88</f>
        <v>0.44</v>
      </c>
      <c r="X120" s="52">
        <f>'Input - Pasture Beef'!H88</f>
        <v>0.33</v>
      </c>
      <c r="Y120" s="52">
        <f>'Input - Pasture Beef'!I88</f>
        <v>-0.22</v>
      </c>
      <c r="Z120" s="52">
        <f>'Input - Pasture Beef'!J88</f>
        <v>-0.22</v>
      </c>
      <c r="AA120" s="52">
        <f>'Input - Pasture Beef'!K88</f>
        <v>0.44</v>
      </c>
      <c r="AB120" s="52">
        <f>'Input - Pasture Beef'!L88</f>
        <v>-0.11</v>
      </c>
      <c r="AC120" s="52">
        <f>'Input - Pasture Beef'!M88</f>
        <v>-0.11</v>
      </c>
      <c r="AD120" s="52">
        <f>'Input - Pasture Beef'!N88</f>
        <v>-0.11</v>
      </c>
      <c r="AE120" s="2" t="s">
        <v>134</v>
      </c>
      <c r="AF120" s="2"/>
    </row>
    <row r="121" spans="4:33" ht="20.100000000000001" customHeight="1" x14ac:dyDescent="0.25">
      <c r="D121" s="52" t="str">
        <f>'Input - Pasture Beef'!D84</f>
        <v>Autumn</v>
      </c>
      <c r="E121" s="52">
        <f>'Input - Pasture Beef'!E84</f>
        <v>0.6</v>
      </c>
      <c r="F121" s="52">
        <f>'Input - Pasture Beef'!F84</f>
        <v>0</v>
      </c>
      <c r="G121" s="52">
        <f>'Input - Pasture Beef'!G84</f>
        <v>0.6</v>
      </c>
      <c r="H121" s="52">
        <f>'Input - Pasture Beef'!H84</f>
        <v>0.22</v>
      </c>
      <c r="I121" s="52">
        <f>'Input - Pasture Beef'!I84</f>
        <v>-0.55000000000000004</v>
      </c>
      <c r="J121" s="52">
        <f>'Input - Pasture Beef'!J84</f>
        <v>-0.55000000000000004</v>
      </c>
      <c r="K121" s="52">
        <f>'Input - Pasture Beef'!K84</f>
        <v>0.6</v>
      </c>
      <c r="L121" s="52">
        <f>'Input - Pasture Beef'!L84</f>
        <v>0</v>
      </c>
      <c r="M121" s="52">
        <f>'Input - Pasture Beef'!M84</f>
        <v>0</v>
      </c>
      <c r="N121" s="52">
        <f>'Input - Pasture Beef'!N84</f>
        <v>0</v>
      </c>
      <c r="O121" s="2" t="s">
        <v>133</v>
      </c>
      <c r="T121" s="52" t="str">
        <f>TEXT(EDATE('Input - Site'!$E$12,1), "mmmm yyyy")</f>
        <v>February 2024</v>
      </c>
      <c r="U121" s="52">
        <f>'Input - Pasture Beef'!E89</f>
        <v>0.44</v>
      </c>
      <c r="V121" s="52">
        <f>'Input - Pasture Beef'!F89</f>
        <v>-0.22</v>
      </c>
      <c r="W121" s="52">
        <f>'Input - Pasture Beef'!G89</f>
        <v>0.44</v>
      </c>
      <c r="X121" s="52">
        <f>'Input - Pasture Beef'!H89</f>
        <v>0.33</v>
      </c>
      <c r="Y121" s="52">
        <f>'Input - Pasture Beef'!I89</f>
        <v>-0.22</v>
      </c>
      <c r="Z121" s="52">
        <f>'Input - Pasture Beef'!J89</f>
        <v>-0.22</v>
      </c>
      <c r="AA121" s="52">
        <f>'Input - Pasture Beef'!K89</f>
        <v>0.44</v>
      </c>
      <c r="AB121" s="52">
        <f>'Input - Pasture Beef'!L89</f>
        <v>-0.11</v>
      </c>
      <c r="AC121" s="52">
        <f>'Input - Pasture Beef'!M89</f>
        <v>-0.11</v>
      </c>
      <c r="AD121" s="52">
        <f>'Input - Pasture Beef'!N89</f>
        <v>-0.11</v>
      </c>
      <c r="AE121" s="2" t="s">
        <v>134</v>
      </c>
      <c r="AF121" s="2"/>
    </row>
    <row r="122" spans="4:33" ht="20.100000000000001" customHeight="1" x14ac:dyDescent="0.25">
      <c r="D122" s="52" t="str">
        <f>'Input - Pasture Beef'!D85</f>
        <v>Winter</v>
      </c>
      <c r="E122" s="52">
        <f>'Input - Pasture Beef'!E85</f>
        <v>0.99</v>
      </c>
      <c r="F122" s="52">
        <f>'Input - Pasture Beef'!F85</f>
        <v>0.22</v>
      </c>
      <c r="G122" s="52">
        <f>'Input - Pasture Beef'!G85</f>
        <v>0.77</v>
      </c>
      <c r="H122" s="52">
        <f>'Input - Pasture Beef'!H85</f>
        <v>0.11</v>
      </c>
      <c r="I122" s="52">
        <f>'Input - Pasture Beef'!I85</f>
        <v>0.11</v>
      </c>
      <c r="J122" s="52">
        <f>'Input - Pasture Beef'!J85</f>
        <v>0.11</v>
      </c>
      <c r="K122" s="52">
        <f>'Input - Pasture Beef'!K85</f>
        <v>0.77</v>
      </c>
      <c r="L122" s="52">
        <f>'Input - Pasture Beef'!L85</f>
        <v>0.44</v>
      </c>
      <c r="M122" s="52">
        <f>'Input - Pasture Beef'!M85</f>
        <v>0.44</v>
      </c>
      <c r="N122" s="52">
        <f>'Input - Pasture Beef'!N85</f>
        <v>0.44</v>
      </c>
      <c r="O122" s="2" t="s">
        <v>133</v>
      </c>
      <c r="T122" s="52" t="str">
        <f>TEXT(EDATE('Input - Site'!$E$12,2), "mmmm yyyy")</f>
        <v>March 2024</v>
      </c>
      <c r="U122" s="52">
        <f>'Input - Pasture Beef'!E90</f>
        <v>0.6</v>
      </c>
      <c r="V122" s="52">
        <f>'Input - Pasture Beef'!F90</f>
        <v>0</v>
      </c>
      <c r="W122" s="52">
        <f>'Input - Pasture Beef'!G90</f>
        <v>0.6</v>
      </c>
      <c r="X122" s="52">
        <f>'Input - Pasture Beef'!H90</f>
        <v>0.22</v>
      </c>
      <c r="Y122" s="52">
        <f>'Input - Pasture Beef'!I90</f>
        <v>-0.55000000000000004</v>
      </c>
      <c r="Z122" s="52">
        <f>'Input - Pasture Beef'!J90</f>
        <v>-0.55000000000000004</v>
      </c>
      <c r="AA122" s="52">
        <f>'Input - Pasture Beef'!K90</f>
        <v>0.6</v>
      </c>
      <c r="AB122" s="52">
        <f>'Input - Pasture Beef'!L90</f>
        <v>0</v>
      </c>
      <c r="AC122" s="52">
        <f>'Input - Pasture Beef'!M90</f>
        <v>0</v>
      </c>
      <c r="AD122" s="52">
        <f>'Input - Pasture Beef'!N90</f>
        <v>0</v>
      </c>
      <c r="AE122" s="2" t="s">
        <v>134</v>
      </c>
      <c r="AF122" s="2"/>
    </row>
    <row r="123" spans="4:33" ht="20.100000000000001" customHeight="1" x14ac:dyDescent="0.25">
      <c r="T123" s="52" t="str">
        <f>TEXT(EDATE('Input - Site'!$E$12,3), "mmmm yyyy")</f>
        <v>April 2024</v>
      </c>
      <c r="U123" s="52">
        <f>'Input - Pasture Beef'!E91</f>
        <v>0.6</v>
      </c>
      <c r="V123" s="52">
        <f>'Input - Pasture Beef'!F91</f>
        <v>0</v>
      </c>
      <c r="W123" s="52">
        <f>'Input - Pasture Beef'!G91</f>
        <v>0.6</v>
      </c>
      <c r="X123" s="52">
        <f>'Input - Pasture Beef'!H91</f>
        <v>0.22</v>
      </c>
      <c r="Y123" s="52">
        <f>'Input - Pasture Beef'!I91</f>
        <v>-0.55000000000000004</v>
      </c>
      <c r="Z123" s="52">
        <f>'Input - Pasture Beef'!J91</f>
        <v>-0.55000000000000004</v>
      </c>
      <c r="AA123" s="52">
        <f>'Input - Pasture Beef'!K91</f>
        <v>0.6</v>
      </c>
      <c r="AB123" s="52">
        <f>'Input - Pasture Beef'!L91</f>
        <v>0</v>
      </c>
      <c r="AC123" s="52">
        <f>'Input - Pasture Beef'!M91</f>
        <v>0</v>
      </c>
      <c r="AD123" s="52">
        <f>'Input - Pasture Beef'!N91</f>
        <v>0</v>
      </c>
      <c r="AE123" s="2" t="s">
        <v>134</v>
      </c>
      <c r="AF123" s="2"/>
    </row>
    <row r="124" spans="4:33" ht="20.100000000000001" customHeight="1" x14ac:dyDescent="0.25">
      <c r="D124" s="99" t="s">
        <v>305</v>
      </c>
      <c r="T124" s="52" t="str">
        <f>TEXT(EDATE('Input - Site'!$E$12,4), "mmmm yyyy")</f>
        <v>May 2024</v>
      </c>
      <c r="U124" s="52">
        <f>'Input - Pasture Beef'!E92</f>
        <v>0.6</v>
      </c>
      <c r="V124" s="52">
        <f>'Input - Pasture Beef'!F92</f>
        <v>0</v>
      </c>
      <c r="W124" s="52">
        <f>'Input - Pasture Beef'!G92</f>
        <v>0.6</v>
      </c>
      <c r="X124" s="52">
        <f>'Input - Pasture Beef'!H92</f>
        <v>0.22</v>
      </c>
      <c r="Y124" s="52">
        <f>'Input - Pasture Beef'!I92</f>
        <v>-0.55000000000000004</v>
      </c>
      <c r="Z124" s="52">
        <f>'Input - Pasture Beef'!J92</f>
        <v>-0.55000000000000004</v>
      </c>
      <c r="AA124" s="52">
        <f>'Input - Pasture Beef'!K92</f>
        <v>0.6</v>
      </c>
      <c r="AB124" s="52">
        <f>'Input - Pasture Beef'!L92</f>
        <v>0</v>
      </c>
      <c r="AC124" s="52">
        <f>'Input - Pasture Beef'!M92</f>
        <v>0</v>
      </c>
      <c r="AD124" s="52">
        <f>'Input - Pasture Beef'!N92</f>
        <v>0</v>
      </c>
      <c r="AE124" s="2" t="s">
        <v>134</v>
      </c>
      <c r="AF124" s="2"/>
    </row>
    <row r="125" spans="4:33" ht="20.100000000000001" customHeight="1" x14ac:dyDescent="0.25">
      <c r="D125" s="98" t="s">
        <v>306</v>
      </c>
      <c r="T125" s="52" t="str">
        <f>TEXT(EDATE('Input - Site'!$E$12,5), "mmmm yyyy")</f>
        <v>June 2024</v>
      </c>
      <c r="U125" s="52">
        <f>'Input - Pasture Beef'!E93</f>
        <v>0.99</v>
      </c>
      <c r="V125" s="52">
        <f>'Input - Pasture Beef'!F93</f>
        <v>0.22</v>
      </c>
      <c r="W125" s="52">
        <f>'Input - Pasture Beef'!G93</f>
        <v>0.77</v>
      </c>
      <c r="X125" s="52">
        <f>'Input - Pasture Beef'!H93</f>
        <v>0.11</v>
      </c>
      <c r="Y125" s="52">
        <f>'Input - Pasture Beef'!I93</f>
        <v>0.11</v>
      </c>
      <c r="Z125" s="52">
        <f>'Input - Pasture Beef'!J93</f>
        <v>0.11</v>
      </c>
      <c r="AA125" s="52">
        <f>'Input - Pasture Beef'!K93</f>
        <v>0.77</v>
      </c>
      <c r="AB125" s="52">
        <f>'Input - Pasture Beef'!L93</f>
        <v>0.44</v>
      </c>
      <c r="AC125" s="52">
        <f>'Input - Pasture Beef'!M93</f>
        <v>0.44</v>
      </c>
      <c r="AD125" s="52">
        <f>'Input - Pasture Beef'!N93</f>
        <v>0.44</v>
      </c>
      <c r="AE125" s="2" t="s">
        <v>134</v>
      </c>
      <c r="AF125" s="2"/>
    </row>
    <row r="126" spans="4:33" ht="20.100000000000001" customHeight="1" x14ac:dyDescent="0.25">
      <c r="D126" s="51" t="s">
        <v>184</v>
      </c>
      <c r="E126" s="51" t="s">
        <v>131</v>
      </c>
      <c r="F126" s="51" t="s">
        <v>130</v>
      </c>
      <c r="G126" s="51" t="s">
        <v>165</v>
      </c>
      <c r="H126" s="51" t="s">
        <v>166</v>
      </c>
      <c r="I126" s="51" t="s">
        <v>167</v>
      </c>
      <c r="J126" s="51" t="s">
        <v>168</v>
      </c>
      <c r="K126" s="51" t="s">
        <v>169</v>
      </c>
      <c r="L126" s="51" t="s">
        <v>170</v>
      </c>
      <c r="M126" s="51" t="s">
        <v>171</v>
      </c>
      <c r="N126" s="51" t="s">
        <v>172</v>
      </c>
      <c r="T126" s="52" t="str">
        <f>TEXT(EDATE('Input - Site'!$E$12,6), "mmmm yyyy")</f>
        <v>July 2024</v>
      </c>
      <c r="U126" s="52">
        <f>'Input - Pasture Beef'!E94</f>
        <v>0.99</v>
      </c>
      <c r="V126" s="52">
        <f>'Input - Pasture Beef'!F94</f>
        <v>0.22</v>
      </c>
      <c r="W126" s="52">
        <f>'Input - Pasture Beef'!G94</f>
        <v>0.77</v>
      </c>
      <c r="X126" s="52">
        <f>'Input - Pasture Beef'!H94</f>
        <v>0.11</v>
      </c>
      <c r="Y126" s="52">
        <f>'Input - Pasture Beef'!I94</f>
        <v>0.11</v>
      </c>
      <c r="Z126" s="52">
        <f>'Input - Pasture Beef'!J94</f>
        <v>0.11</v>
      </c>
      <c r="AA126" s="52">
        <f>'Input - Pasture Beef'!K94</f>
        <v>0.77</v>
      </c>
      <c r="AB126" s="52">
        <f>'Input - Pasture Beef'!L94</f>
        <v>0.44</v>
      </c>
      <c r="AC126" s="52">
        <f>'Input - Pasture Beef'!M94</f>
        <v>0.44</v>
      </c>
      <c r="AD126" s="52">
        <f>'Input - Pasture Beef'!N94</f>
        <v>0.44</v>
      </c>
      <c r="AE126" s="2" t="s">
        <v>134</v>
      </c>
      <c r="AF126" s="2"/>
    </row>
    <row r="127" spans="4:33" ht="20.100000000000001" customHeight="1" x14ac:dyDescent="0.25">
      <c r="D127" s="52" t="s">
        <v>173</v>
      </c>
      <c r="E127" s="52" cm="1">
        <f t="array" ref="E127">MMS_PastureBeef_Soil_N2ODirect_Equations.VEERG_4_2_1_3__4_NitrogenRetainedByBody(E95,E62,E33,E119)</f>
        <v>3.2631583658999173E-2</v>
      </c>
      <c r="F127" s="52" cm="1">
        <f t="array" ref="F127">MMS_PastureBeef_Soil_N2ODirect_Equations.VEERG_4_2_1_3__4_NitrogenRetainedByBody(F95,F62,F33,F119)</f>
        <v>1.2159206080141413E-2</v>
      </c>
      <c r="G127" s="52" cm="1">
        <f t="array" ref="G127">MMS_PastureBeef_Soil_N2ODirect_Equations.VEERG_4_2_1_3__4_NitrogenRetainedByBody(G95,G62,G33,G119)</f>
        <v>2.2961722562736007E-2</v>
      </c>
      <c r="H127" s="52" cm="1">
        <f t="array" ref="H127">MMS_PastureBeef_Soil_N2ODirect_Equations.VEERG_4_2_1_3__4_NitrogenRetainedByBody(H95,H62,H33,H119)</f>
        <v>2.7674465138050931E-2</v>
      </c>
      <c r="I127" s="52" cm="1">
        <f t="array" ref="I127">MMS_PastureBeef_Soil_N2ODirect_Equations.VEERG_4_2_1_3__4_NitrogenRetainedByBody(I95,I62,I33,I119)</f>
        <v>2.2417753651754406E-2</v>
      </c>
      <c r="J127" s="52" cm="1">
        <f t="array" ref="J127">MMS_PastureBeef_Soil_N2ODirect_Equations.VEERG_4_2_1_3__4_NitrogenRetainedByBody(J95,J62,J33,J119)</f>
        <v>2.2417753651754406E-2</v>
      </c>
      <c r="K127" s="52" cm="1">
        <f t="array" ref="K127">MMS_PastureBeef_Soil_N2ODirect_Equations.VEERG_4_2_1_3__4_NitrogenRetainedByBody(K95,K62,K33,K119)</f>
        <v>2.7711640554981157E-2</v>
      </c>
      <c r="L127" s="52" cm="1">
        <f t="array" ref="L127">MMS_PastureBeef_Soil_N2ODirect_Equations.VEERG_4_2_1_3__4_NitrogenRetainedByBody(L95,L62,L33,L119)</f>
        <v>1.4565147934229335E-2</v>
      </c>
      <c r="M127" s="52" cm="1">
        <f t="array" ref="M127">MMS_PastureBeef_Soil_N2ODirect_Equations.VEERG_4_2_1_3__4_NitrogenRetainedByBody(M95,M62,M33,M119)</f>
        <v>1.4565147934229335E-2</v>
      </c>
      <c r="N127" s="52" cm="1">
        <f t="array" ref="N127">MMS_PastureBeef_Soil_N2ODirect_Equations.VEERG_4_2_1_3__4_NitrogenRetainedByBody(N95,N62,N33,N119)</f>
        <v>1.4565147934229335E-2</v>
      </c>
      <c r="O127" s="2" t="str">
        <f>$E$109</f>
        <v>kg N/head/day</v>
      </c>
      <c r="T127" s="52" t="str">
        <f>TEXT(EDATE('Input - Site'!$E$12,7), "mmmm yyyy")</f>
        <v>August 2024</v>
      </c>
      <c r="U127" s="52">
        <f>'Input - Pasture Beef'!E95</f>
        <v>0.99</v>
      </c>
      <c r="V127" s="52">
        <f>'Input - Pasture Beef'!F95</f>
        <v>0.22</v>
      </c>
      <c r="W127" s="52">
        <f>'Input - Pasture Beef'!G95</f>
        <v>0.77</v>
      </c>
      <c r="X127" s="52">
        <f>'Input - Pasture Beef'!H95</f>
        <v>0.11</v>
      </c>
      <c r="Y127" s="52">
        <f>'Input - Pasture Beef'!I95</f>
        <v>0.11</v>
      </c>
      <c r="Z127" s="52">
        <f>'Input - Pasture Beef'!J95</f>
        <v>0.11</v>
      </c>
      <c r="AA127" s="52">
        <f>'Input - Pasture Beef'!K95</f>
        <v>0.77</v>
      </c>
      <c r="AB127" s="52">
        <f>'Input - Pasture Beef'!L95</f>
        <v>0.44</v>
      </c>
      <c r="AC127" s="52">
        <f>'Input - Pasture Beef'!M95</f>
        <v>0.44</v>
      </c>
      <c r="AD127" s="52">
        <f>'Input - Pasture Beef'!N95</f>
        <v>0.44</v>
      </c>
      <c r="AE127" s="2" t="s">
        <v>134</v>
      </c>
      <c r="AF127" s="2"/>
    </row>
    <row r="128" spans="4:33" ht="20.100000000000001" customHeight="1" x14ac:dyDescent="0.25">
      <c r="D128" s="52" t="s">
        <v>174</v>
      </c>
      <c r="E128" s="52" cm="1">
        <f t="array" ref="E128">MMS_PastureBeef_Soil_N2ODirect_Equations.VEERG_4_2_1_3__4_NitrogenRetainedByBody(E96,E63,E34,E120)</f>
        <v>8.1246865273940476E-3</v>
      </c>
      <c r="F128" s="52" cm="1">
        <f t="array" ref="F128">MMS_PastureBeef_Soil_N2ODirect_Equations.VEERG_4_2_1_3__4_NitrogenRetainedByBody(F96,F63,F34,F120)</f>
        <v>-2.4500809510830074E-3</v>
      </c>
      <c r="G128" s="52" cm="1">
        <f t="array" ref="G128">MMS_PastureBeef_Soil_N2ODirect_Equations.VEERG_4_2_1_3__4_NitrogenRetainedByBody(G96,G63,G34,G120)</f>
        <v>7.4692204769955996E-3</v>
      </c>
      <c r="H128" s="52" cm="1">
        <f t="array" ref="H128">MMS_PastureBeef_Soil_N2ODirect_Equations.VEERG_4_2_1_3__4_NitrogenRetainedByBody(H96,H63,H34,H120)</f>
        <v>2.9108043062442177E-2</v>
      </c>
      <c r="I128" s="52" cm="1">
        <f t="array" ref="I128">MMS_PastureBeef_Soil_N2ODirect_Equations.VEERG_4_2_1_3__4_NitrogenRetainedByBody(I96,I63,I34,I120)</f>
        <v>2.2590402483056705E-2</v>
      </c>
      <c r="J128" s="52" cm="1">
        <f t="array" ref="J128">MMS_PastureBeef_Soil_N2ODirect_Equations.VEERG_4_2_1_3__4_NitrogenRetainedByBody(J96,J63,J34,J120)</f>
        <v>2.2590402483056705E-2</v>
      </c>
      <c r="K128" s="52" cm="1">
        <f t="array" ref="K128">MMS_PastureBeef_Soil_N2ODirect_Equations.VEERG_4_2_1_3__4_NitrogenRetainedByBody(K96,K63,K34,K120)</f>
        <v>7.842975342880058E-3</v>
      </c>
      <c r="L128" s="52" cm="1">
        <f t="array" ref="L128">MMS_PastureBeef_Soil_N2ODirect_Equations.VEERG_4_2_1_3__4_NitrogenRetainedByBody(L96,L63,L34,L120)</f>
        <v>-1.4855230625479237E-3</v>
      </c>
      <c r="M128" s="52" cm="1">
        <f t="array" ref="M128">MMS_PastureBeef_Soil_N2ODirect_Equations.VEERG_4_2_1_3__4_NitrogenRetainedByBody(M96,M63,M34,M120)</f>
        <v>-1.4855230625479237E-3</v>
      </c>
      <c r="N128" s="52" cm="1">
        <f t="array" ref="N128">MMS_PastureBeef_Soil_N2ODirect_Equations.VEERG_4_2_1_3__4_NitrogenRetainedByBody(N96,N63,N34,N120)</f>
        <v>-1.4855230625479237E-3</v>
      </c>
      <c r="O128" s="2" t="str">
        <f t="shared" ref="O128:O130" si="6">$E$109</f>
        <v>kg N/head/day</v>
      </c>
      <c r="T128" s="52" t="str">
        <f>TEXT(EDATE('Input - Site'!$E$12,8), "mmmm yyyy")</f>
        <v>September 2024</v>
      </c>
      <c r="U128" s="52">
        <f>'Input - Pasture Beef'!E96</f>
        <v>1.64</v>
      </c>
      <c r="V128" s="52">
        <f>'Input - Pasture Beef'!F96</f>
        <v>1.1000000000000001</v>
      </c>
      <c r="W128" s="52">
        <f>'Input - Pasture Beef'!G96</f>
        <v>1.21</v>
      </c>
      <c r="X128" s="52">
        <f>'Input - Pasture Beef'!H96</f>
        <v>0.99</v>
      </c>
      <c r="Y128" s="52">
        <f>'Input - Pasture Beef'!I96</f>
        <v>0.66</v>
      </c>
      <c r="Z128" s="52">
        <f>'Input - Pasture Beef'!J96</f>
        <v>0.66</v>
      </c>
      <c r="AA128" s="52">
        <f>'Input - Pasture Beef'!K96</f>
        <v>1.42</v>
      </c>
      <c r="AB128" s="52">
        <f>'Input - Pasture Beef'!L96</f>
        <v>1.1000000000000001</v>
      </c>
      <c r="AC128" s="52">
        <f>'Input - Pasture Beef'!M96</f>
        <v>1.1000000000000001</v>
      </c>
      <c r="AD128" s="52">
        <f>'Input - Pasture Beef'!N96</f>
        <v>1.1000000000000001</v>
      </c>
      <c r="AE128" s="2" t="s">
        <v>134</v>
      </c>
      <c r="AF128" s="2"/>
    </row>
    <row r="129" spans="3:32" ht="20.100000000000001" customHeight="1" x14ac:dyDescent="0.25">
      <c r="D129" s="52" t="s">
        <v>175</v>
      </c>
      <c r="E129" s="52" cm="1">
        <f t="array" ref="E129">MMS_PastureBeef_Soil_N2ODirect_Equations.VEERG_4_2_1_3__4_NitrogenRetainedByBody(E97,E64,E35,E121)</f>
        <v>1.7126010126251881E-2</v>
      </c>
      <c r="F129" s="52" cm="1">
        <f t="array" ref="F129">MMS_PastureBeef_Soil_N2ODirect_Equations.VEERG_4_2_1_3__4_NitrogenRetainedByBody(F97,F64,F35,F121)</f>
        <v>0</v>
      </c>
      <c r="G129" s="52" cm="1">
        <f t="array" ref="G129">MMS_PastureBeef_Soil_N2ODirect_Equations.VEERG_4_2_1_3__4_NitrogenRetainedByBody(G97,G64,G35,G121)</f>
        <v>1.6946444473002843E-2</v>
      </c>
      <c r="H129" s="52" cm="1">
        <f t="array" ref="H129">MMS_PastureBeef_Soil_N2ODirect_Equations.VEERG_4_2_1_3__4_NitrogenRetainedByBody(H97,H64,H35,H121)</f>
        <v>1.356082678555506E-2</v>
      </c>
      <c r="I129" s="52" cm="1">
        <f t="array" ref="I129">MMS_PastureBeef_Soil_N2ODirect_Equations.VEERG_4_2_1_3__4_NitrogenRetainedByBody(I97,I64,I35,I121)</f>
        <v>3.5357559927288625E-3</v>
      </c>
      <c r="J129" s="52" cm="1">
        <f t="array" ref="J129">MMS_PastureBeef_Soil_N2ODirect_Equations.VEERG_4_2_1_3__4_NitrogenRetainedByBody(J97,J64,J35,J121)</f>
        <v>3.5357559927288625E-3</v>
      </c>
      <c r="K129" s="52" cm="1">
        <f t="array" ref="K129">MMS_PastureBeef_Soil_N2ODirect_Equations.VEERG_4_2_1_3__4_NitrogenRetainedByBody(K97,K64,K35,K121)</f>
        <v>1.6885009696797144E-2</v>
      </c>
      <c r="L129" s="52" cm="1">
        <f t="array" ref="L129">MMS_PastureBeef_Soil_N2ODirect_Equations.VEERG_4_2_1_3__4_NitrogenRetainedByBody(L97,L64,L35,L121)</f>
        <v>0</v>
      </c>
      <c r="M129" s="52" cm="1">
        <f t="array" ref="M129">MMS_PastureBeef_Soil_N2ODirect_Equations.VEERG_4_2_1_3__4_NitrogenRetainedByBody(M97,M64,M35,M121)</f>
        <v>0</v>
      </c>
      <c r="N129" s="52" cm="1">
        <f t="array" ref="N129">MMS_PastureBeef_Soil_N2ODirect_Equations.VEERG_4_2_1_3__4_NitrogenRetainedByBody(N97,N64,N35,N121)</f>
        <v>0</v>
      </c>
      <c r="O129" s="2" t="str">
        <f t="shared" si="6"/>
        <v>kg N/head/day</v>
      </c>
      <c r="T129" s="52" t="str">
        <f>TEXT(EDATE('Input - Site'!$E$12,9), "mmmm yyyy")</f>
        <v>October 2024</v>
      </c>
      <c r="U129" s="52">
        <f>'Input - Pasture Beef'!E97</f>
        <v>1.64</v>
      </c>
      <c r="V129" s="52">
        <f>'Input - Pasture Beef'!F97</f>
        <v>1.1000000000000001</v>
      </c>
      <c r="W129" s="52">
        <f>'Input - Pasture Beef'!G97</f>
        <v>1.21</v>
      </c>
      <c r="X129" s="52">
        <f>'Input - Pasture Beef'!H97</f>
        <v>0.99</v>
      </c>
      <c r="Y129" s="52">
        <f>'Input - Pasture Beef'!I97</f>
        <v>0.66</v>
      </c>
      <c r="Z129" s="52">
        <f>'Input - Pasture Beef'!J97</f>
        <v>0.66</v>
      </c>
      <c r="AA129" s="52">
        <f>'Input - Pasture Beef'!K97</f>
        <v>1.42</v>
      </c>
      <c r="AB129" s="52">
        <f>'Input - Pasture Beef'!L97</f>
        <v>1.1000000000000001</v>
      </c>
      <c r="AC129" s="52">
        <f>'Input - Pasture Beef'!M97</f>
        <v>1.1000000000000001</v>
      </c>
      <c r="AD129" s="52">
        <f>'Input - Pasture Beef'!N97</f>
        <v>1.1000000000000001</v>
      </c>
      <c r="AE129" s="2" t="s">
        <v>134</v>
      </c>
      <c r="AF129" s="2"/>
    </row>
    <row r="130" spans="3:32" ht="20.100000000000001" customHeight="1" x14ac:dyDescent="0.25">
      <c r="D130" s="52" t="s">
        <v>176</v>
      </c>
      <c r="E130" s="52" cm="1">
        <f t="array" ref="E130">MMS_PastureBeef_Soil_N2ODirect_Equations.VEERG_4_2_1_3__4_NitrogenRetainedByBody(E98,E65,E36,E122)</f>
        <v>2.5624664446187655E-2</v>
      </c>
      <c r="F130" s="52" cm="1">
        <f t="array" ref="F130">MMS_PastureBeef_Soil_N2ODirect_Equations.VEERG_4_2_1_3__4_NitrogenRetainedByBody(F98,F65,F36,F122)</f>
        <v>2.5468999349659745E-3</v>
      </c>
      <c r="G130" s="52" cm="1">
        <f t="array" ref="G130">MMS_PastureBeef_Soil_N2ODirect_Equations.VEERG_4_2_1_3__4_NitrogenRetainedByBody(G98,G65,G36,G122)</f>
        <v>1.942651050577586E-2</v>
      </c>
      <c r="H130" s="52" cm="1">
        <f t="array" ref="H130">MMS_PastureBeef_Soil_N2ODirect_Equations.VEERG_4_2_1_3__4_NitrogenRetainedByBody(H98,H65,H36,H122)</f>
        <v>1.7196628856093364E-3</v>
      </c>
      <c r="I130" s="52" cm="1">
        <f t="array" ref="I130">MMS_PastureBeef_Soil_N2ODirect_Equations.VEERG_4_2_1_3__4_NitrogenRetainedByBody(I98,I65,I36,I122)</f>
        <v>1.2853672606791778E-3</v>
      </c>
      <c r="J130" s="52" cm="1">
        <f t="array" ref="J130">MMS_PastureBeef_Soil_N2ODirect_Equations.VEERG_4_2_1_3__4_NitrogenRetainedByBody(J98,J65,J36,J122)</f>
        <v>1.2853672606791778E-3</v>
      </c>
      <c r="K130" s="52" cm="1">
        <f t="array" ref="K130">MMS_PastureBeef_Soil_N2ODirect_Equations.VEERG_4_2_1_3__4_NitrogenRetainedByBody(K98,K65,K36,K122)</f>
        <v>1.9754140848253471E-2</v>
      </c>
      <c r="L130" s="52" cm="1">
        <f t="array" ref="L130">MMS_PastureBeef_Soil_N2ODirect_Equations.VEERG_4_2_1_3__4_NitrogenRetainedByBody(L98,L65,L36,L122)</f>
        <v>7.4705417776927329E-3</v>
      </c>
      <c r="M130" s="52" cm="1">
        <f t="array" ref="M130">MMS_PastureBeef_Soil_N2ODirect_Equations.VEERG_4_2_1_3__4_NitrogenRetainedByBody(M98,M65,M36,M122)</f>
        <v>7.4705417776927329E-3</v>
      </c>
      <c r="N130" s="52" cm="1">
        <f t="array" ref="N130">MMS_PastureBeef_Soil_N2ODirect_Equations.VEERG_4_2_1_3__4_NitrogenRetainedByBody(N98,N65,N36,N122)</f>
        <v>7.4705417776927329E-3</v>
      </c>
      <c r="O130" s="2" t="str">
        <f t="shared" si="6"/>
        <v>kg N/head/day</v>
      </c>
      <c r="T130" s="52" t="str">
        <f>TEXT(EDATE('Input - Site'!$E$12,10), "mmmm yyyy")</f>
        <v>November 2024</v>
      </c>
      <c r="U130" s="52">
        <f>'Input - Pasture Beef'!E98</f>
        <v>1.64</v>
      </c>
      <c r="V130" s="52">
        <f>'Input - Pasture Beef'!F98</f>
        <v>1.1000000000000001</v>
      </c>
      <c r="W130" s="52">
        <f>'Input - Pasture Beef'!G98</f>
        <v>1.21</v>
      </c>
      <c r="X130" s="52">
        <f>'Input - Pasture Beef'!H98</f>
        <v>0.99</v>
      </c>
      <c r="Y130" s="52">
        <f>'Input - Pasture Beef'!I98</f>
        <v>0.66</v>
      </c>
      <c r="Z130" s="52">
        <f>'Input - Pasture Beef'!J98</f>
        <v>0.66</v>
      </c>
      <c r="AA130" s="52">
        <f>'Input - Pasture Beef'!K98</f>
        <v>1.42</v>
      </c>
      <c r="AB130" s="52">
        <f>'Input - Pasture Beef'!L98</f>
        <v>1.1000000000000001</v>
      </c>
      <c r="AC130" s="52">
        <f>'Input - Pasture Beef'!M98</f>
        <v>1.1000000000000001</v>
      </c>
      <c r="AD130" s="52">
        <f>'Input - Pasture Beef'!N98</f>
        <v>1.1000000000000001</v>
      </c>
      <c r="AE130" s="2" t="s">
        <v>134</v>
      </c>
      <c r="AF130" s="2"/>
    </row>
    <row r="131" spans="3:32" ht="20.100000000000001" customHeight="1" x14ac:dyDescent="0.25">
      <c r="T131" s="52" t="str">
        <f>TEXT(EDATE('Input - Site'!$E$12,11), "mmmm yyyy")</f>
        <v>December 2024</v>
      </c>
      <c r="U131" s="52">
        <f>'Input - Pasture Beef'!E99</f>
        <v>0.44</v>
      </c>
      <c r="V131" s="52">
        <f>'Input - Pasture Beef'!F99</f>
        <v>-0.22</v>
      </c>
      <c r="W131" s="52">
        <f>'Input - Pasture Beef'!G99</f>
        <v>0.44</v>
      </c>
      <c r="X131" s="52">
        <f>'Input - Pasture Beef'!H99</f>
        <v>0.33</v>
      </c>
      <c r="Y131" s="52">
        <f>'Input - Pasture Beef'!I99</f>
        <v>-0.22</v>
      </c>
      <c r="Z131" s="52">
        <f>'Input - Pasture Beef'!J99</f>
        <v>-0.22</v>
      </c>
      <c r="AA131" s="52">
        <f>'Input - Pasture Beef'!K99</f>
        <v>0.44</v>
      </c>
      <c r="AB131" s="52">
        <f>'Input - Pasture Beef'!L99</f>
        <v>-0.11</v>
      </c>
      <c r="AC131" s="52">
        <f>'Input - Pasture Beef'!M99</f>
        <v>-0.11</v>
      </c>
      <c r="AD131" s="52">
        <f>'Input - Pasture Beef'!N99</f>
        <v>-0.11</v>
      </c>
      <c r="AE131" s="2" t="s">
        <v>134</v>
      </c>
      <c r="AF131" s="2"/>
    </row>
    <row r="132" spans="3:32" ht="20.100000000000001" customHeight="1" x14ac:dyDescent="0.25"/>
    <row r="133" spans="3:32" ht="20.100000000000001" customHeight="1" x14ac:dyDescent="0.25">
      <c r="C133" s="45"/>
      <c r="D133" s="45"/>
      <c r="E133" s="45"/>
      <c r="F133" s="45"/>
      <c r="G133" s="45"/>
      <c r="H133" s="45"/>
      <c r="I133" s="45"/>
      <c r="J133" s="45"/>
      <c r="K133" s="45"/>
      <c r="L133" s="45"/>
      <c r="M133" s="45"/>
      <c r="N133" s="45"/>
      <c r="O133" s="45"/>
      <c r="P133" s="45"/>
      <c r="Q133" s="45"/>
      <c r="T133" s="99" t="s">
        <v>319</v>
      </c>
    </row>
    <row r="134" spans="3:32" ht="20.100000000000001" customHeight="1" x14ac:dyDescent="0.25">
      <c r="D134" s="6" t="str" cm="1">
        <f t="array" ref="D134">MMS_PastureBeef_Soil_N2ODirect_Equations.VEERG_4_2_1_3__3_NitrogenExcreted_Title()</f>
        <v>Nitrogen excreted</v>
      </c>
      <c r="T134" s="98" t="s">
        <v>320</v>
      </c>
    </row>
    <row r="135" spans="3:32" ht="20.100000000000001" customHeight="1" x14ac:dyDescent="0.25">
      <c r="D135" s="5" t="str" cm="1">
        <f t="array" ref="D135">MMS_PastureBeef_Soil_N2ODirect_Equations.VEERG_4_2_1_3__3_NitrogenExcreted_Source()</f>
        <v>VEERG 2026: 4.2.1.3, Equation (3)</v>
      </c>
      <c r="T135" s="51" t="s">
        <v>132</v>
      </c>
      <c r="U135" s="51" t="s">
        <v>131</v>
      </c>
      <c r="V135" s="51" t="s">
        <v>130</v>
      </c>
      <c r="W135" s="51" t="s">
        <v>165</v>
      </c>
      <c r="X135" s="51" t="s">
        <v>166</v>
      </c>
      <c r="Y135" s="51" t="s">
        <v>167</v>
      </c>
      <c r="Z135" s="51" t="s">
        <v>168</v>
      </c>
      <c r="AA135" s="51" t="s">
        <v>169</v>
      </c>
      <c r="AB135" s="51" t="s">
        <v>170</v>
      </c>
      <c r="AC135" s="51" t="s">
        <v>171</v>
      </c>
      <c r="AD135" s="51" t="s">
        <v>172</v>
      </c>
    </row>
    <row r="136" spans="3:32" ht="20.100000000000001" customHeight="1" x14ac:dyDescent="0.25">
      <c r="D136" s="13" t="s">
        <v>27</v>
      </c>
      <c r="E136" s="13" t="str" cm="1">
        <f t="array" aca="1" ref="E136" ca="1">Common_InputFunctions.Utility_DisplayFunctionName($E$169)</f>
        <v>=MMS_PastureBeef_Soil_N2ODirect_Equations.VEERG_4_2_1_3__3_NitrogenExcreted</v>
      </c>
      <c r="T136" s="52" t="str">
        <f>TEXT('Input - Site'!$E$12, "mmmm yyyy")</f>
        <v>January 2024</v>
      </c>
      <c r="U136" s="52" cm="1">
        <f t="array" ref="U136">MMS_PastureBeef_Soil_N2ODirect_Equations.VEERG_4_2_1_3__4_NitrogenRetainedByBody(U100,U72,U36,U120)</f>
        <v>8.1246865273940476E-3</v>
      </c>
      <c r="V136" s="52" cm="1">
        <f t="array" ref="V136">MMS_PastureBeef_Soil_N2ODirect_Equations.VEERG_4_2_1_3__4_NitrogenRetainedByBody(V100,V72,V36,V120)</f>
        <v>-2.4500809510830074E-3</v>
      </c>
      <c r="W136" s="52" cm="1">
        <f t="array" ref="W136">MMS_PastureBeef_Soil_N2ODirect_Equations.VEERG_4_2_1_3__4_NitrogenRetainedByBody(W100,W72,W36,W120)</f>
        <v>7.4692204769955996E-3</v>
      </c>
      <c r="X136" s="52" cm="1">
        <f t="array" ref="X136">MMS_PastureBeef_Soil_N2ODirect_Equations.VEERG_4_2_1_3__4_NitrogenRetainedByBody(X100,X72,X36,X120)</f>
        <v>1.9080635764024231E-2</v>
      </c>
      <c r="Y136" s="52" cm="1">
        <f t="array" ref="Y136">MMS_PastureBeef_Soil_N2ODirect_Equations.VEERG_4_2_1_3__4_NitrogenRetainedByBody(Y100,Y72,Y36,Y120)</f>
        <v>1.2558041048697144E-2</v>
      </c>
      <c r="Z136" s="52" cm="1">
        <f t="array" ref="Z136">MMS_PastureBeef_Soil_N2ODirect_Equations.VEERG_4_2_1_3__4_NitrogenRetainedByBody(Z100,Z72,Z36,Z120)</f>
        <v>1.2558041048697144E-2</v>
      </c>
      <c r="AA136" s="52" cm="1">
        <f t="array" ref="AA136">MMS_PastureBeef_Soil_N2ODirect_Equations.VEERG_4_2_1_3__4_NitrogenRetainedByBody(AA100,AA72,AA36,AA120)</f>
        <v>7.842975342880058E-3</v>
      </c>
      <c r="AB136" s="52" cm="1">
        <f t="array" ref="AB136">MMS_PastureBeef_Soil_N2ODirect_Equations.VEERG_4_2_1_3__4_NitrogenRetainedByBody(AB100,AB72,AB36,AB120)</f>
        <v>-1.4855230625479237E-3</v>
      </c>
      <c r="AC136" s="52" cm="1">
        <f t="array" ref="AC136">MMS_PastureBeef_Soil_N2ODirect_Equations.VEERG_4_2_1_3__4_NitrogenRetainedByBody(AC100,AC72,AC36,AC120)</f>
        <v>-1.4855230625479237E-3</v>
      </c>
      <c r="AD136" s="52" cm="1">
        <f t="array" ref="AD136">MMS_PastureBeef_Soil_N2ODirect_Equations.VEERG_4_2_1_3__4_NitrogenRetainedByBody(AD100,AD72,AD36,AD120)</f>
        <v>-1.4855230625479237E-3</v>
      </c>
      <c r="AE136" s="2" t="str">
        <f t="shared" ref="AE136:AE147" si="7">$E$109</f>
        <v>kg N/head/day</v>
      </c>
      <c r="AF136" s="2"/>
    </row>
    <row r="137" spans="3:32" ht="20.100000000000001" customHeight="1" x14ac:dyDescent="0.25">
      <c r="T137" s="52" t="str">
        <f>TEXT(EDATE('Input - Site'!$E$12,1), "mmmm yyyy")</f>
        <v>February 2024</v>
      </c>
      <c r="U137" s="52" cm="1">
        <f t="array" ref="U137">MMS_PastureBeef_Soil_N2ODirect_Equations.VEERG_4_2_1_3__4_NitrogenRetainedByBody(U101,U73,U37,U121)</f>
        <v>8.1246865273940476E-3</v>
      </c>
      <c r="V137" s="52" cm="1">
        <f t="array" ref="V137">MMS_PastureBeef_Soil_N2ODirect_Equations.VEERG_4_2_1_3__4_NitrogenRetainedByBody(V101,V73,V37,V121)</f>
        <v>-2.4500809510830074E-3</v>
      </c>
      <c r="W137" s="52" cm="1">
        <f t="array" ref="W137">MMS_PastureBeef_Soil_N2ODirect_Equations.VEERG_4_2_1_3__4_NitrogenRetainedByBody(W101,W73,W37,W121)</f>
        <v>7.4692204769955996E-3</v>
      </c>
      <c r="X137" s="52" cm="1">
        <f t="array" ref="X137">MMS_PastureBeef_Soil_N2ODirect_Equations.VEERG_4_2_1_3__4_NitrogenRetainedByBody(X101,X73,X37,X121)</f>
        <v>1.9080635764024231E-2</v>
      </c>
      <c r="Y137" s="52" cm="1">
        <f t="array" ref="Y137">MMS_PastureBeef_Soil_N2ODirect_Equations.VEERG_4_2_1_3__4_NitrogenRetainedByBody(Y101,Y73,Y37,Y121)</f>
        <v>1.2558041048697144E-2</v>
      </c>
      <c r="Z137" s="52" cm="1">
        <f t="array" ref="Z137">MMS_PastureBeef_Soil_N2ODirect_Equations.VEERG_4_2_1_3__4_NitrogenRetainedByBody(Z101,Z73,Z37,Z121)</f>
        <v>1.2558041048697144E-2</v>
      </c>
      <c r="AA137" s="52" cm="1">
        <f t="array" ref="AA137">MMS_PastureBeef_Soil_N2ODirect_Equations.VEERG_4_2_1_3__4_NitrogenRetainedByBody(AA101,AA73,AA37,AA121)</f>
        <v>7.842975342880058E-3</v>
      </c>
      <c r="AB137" s="52" cm="1">
        <f t="array" ref="AB137">MMS_PastureBeef_Soil_N2ODirect_Equations.VEERG_4_2_1_3__4_NitrogenRetainedByBody(AB101,AB73,AB37,AB121)</f>
        <v>-1.4855230625479237E-3</v>
      </c>
      <c r="AC137" s="52" cm="1">
        <f t="array" ref="AC137">MMS_PastureBeef_Soil_N2ODirect_Equations.VEERG_4_2_1_3__4_NitrogenRetainedByBody(AC101,AC73,AC37,AC121)</f>
        <v>-1.4855230625479237E-3</v>
      </c>
      <c r="AD137" s="52" cm="1">
        <f t="array" ref="AD137">MMS_PastureBeef_Soil_N2ODirect_Equations.VEERG_4_2_1_3__4_NitrogenRetainedByBody(AD101,AD73,AD37,AD121)</f>
        <v>-1.4855230625479237E-3</v>
      </c>
      <c r="AE137" s="2" t="str">
        <f t="shared" si="7"/>
        <v>kg N/head/day</v>
      </c>
      <c r="AF137" s="2"/>
    </row>
    <row r="138" spans="3:32" ht="20.100000000000001" customHeight="1" x14ac:dyDescent="0.25">
      <c r="T138" s="52" t="str">
        <f>TEXT(EDATE('Input - Site'!$E$12,2), "mmmm yyyy")</f>
        <v>March 2024</v>
      </c>
      <c r="U138" s="52" cm="1">
        <f t="array" ref="U138">MMS_PastureBeef_Soil_N2ODirect_Equations.VEERG_4_2_1_3__4_NitrogenRetainedByBody(U102,U74,U38,U122)</f>
        <v>1.7126010126251881E-2</v>
      </c>
      <c r="V138" s="52" cm="1">
        <f t="array" ref="V138">MMS_PastureBeef_Soil_N2ODirect_Equations.VEERG_4_2_1_3__4_NitrogenRetainedByBody(V102,V74,V38,V122)</f>
        <v>0</v>
      </c>
      <c r="W138" s="52" cm="1">
        <f t="array" ref="W138">MMS_PastureBeef_Soil_N2ODirect_Equations.VEERG_4_2_1_3__4_NitrogenRetainedByBody(W102,W74,W38,W122)</f>
        <v>1.6946444473002843E-2</v>
      </c>
      <c r="X138" s="52" cm="1">
        <f t="array" ref="X138">MMS_PastureBeef_Soil_N2ODirect_Equations.VEERG_4_2_1_3__4_NitrogenRetainedByBody(X102,X74,X38,X122)</f>
        <v>1.8574775625433183E-2</v>
      </c>
      <c r="Y138" s="52" cm="1">
        <f t="array" ref="Y138">MMS_PastureBeef_Soil_N2ODirect_Equations.VEERG_4_2_1_3__4_NitrogenRetainedByBody(Y102,Y74,Y38,Y122)</f>
        <v>8.5522179899170485E-3</v>
      </c>
      <c r="Z138" s="52" cm="1">
        <f t="array" ref="Z138">MMS_PastureBeef_Soil_N2ODirect_Equations.VEERG_4_2_1_3__4_NitrogenRetainedByBody(Z102,Z74,Z38,Z122)</f>
        <v>8.5522179899170485E-3</v>
      </c>
      <c r="AA138" s="52" cm="1">
        <f t="array" ref="AA138">MMS_PastureBeef_Soil_N2ODirect_Equations.VEERG_4_2_1_3__4_NitrogenRetainedByBody(AA102,AA74,AA38,AA122)</f>
        <v>1.6885009696797144E-2</v>
      </c>
      <c r="AB138" s="52" cm="1">
        <f t="array" ref="AB138">MMS_PastureBeef_Soil_N2ODirect_Equations.VEERG_4_2_1_3__4_NitrogenRetainedByBody(AB102,AB74,AB38,AB122)</f>
        <v>0</v>
      </c>
      <c r="AC138" s="52" cm="1">
        <f t="array" ref="AC138">MMS_PastureBeef_Soil_N2ODirect_Equations.VEERG_4_2_1_3__4_NitrogenRetainedByBody(AC102,AC74,AC38,AC122)</f>
        <v>0</v>
      </c>
      <c r="AD138" s="52" cm="1">
        <f t="array" ref="AD138">MMS_PastureBeef_Soil_N2ODirect_Equations.VEERG_4_2_1_3__4_NitrogenRetainedByBody(AD102,AD74,AD38,AD122)</f>
        <v>0</v>
      </c>
      <c r="AE138" s="2" t="str">
        <f t="shared" si="7"/>
        <v>kg N/head/day</v>
      </c>
      <c r="AF138" s="2"/>
    </row>
    <row r="139" spans="3:32" ht="20.100000000000001" customHeight="1" x14ac:dyDescent="0.25">
      <c r="D139" s="53" t="s">
        <v>30</v>
      </c>
      <c r="E139" s="1" t="str" cm="1">
        <f t="array" ref="E139">MMS_PastureBeef_Soil_N2ODirect_Equations.VEERG_4_2_1_3__3_NitrogenExcreted_Variable()</f>
        <v>NE_jkl</v>
      </c>
      <c r="T139" s="52" t="str">
        <f>TEXT(EDATE('Input - Site'!$E$12,3), "mmmm yyyy")</f>
        <v>April 2024</v>
      </c>
      <c r="U139" s="52" cm="1">
        <f t="array" ref="U139">MMS_PastureBeef_Soil_N2ODirect_Equations.VEERG_4_2_1_3__4_NitrogenRetainedByBody(U103,U75,U39,U123)</f>
        <v>1.7126010126251881E-2</v>
      </c>
      <c r="V139" s="52" cm="1">
        <f t="array" ref="V139">MMS_PastureBeef_Soil_N2ODirect_Equations.VEERG_4_2_1_3__4_NitrogenRetainedByBody(V103,V75,V39,V123)</f>
        <v>0</v>
      </c>
      <c r="W139" s="52" cm="1">
        <f t="array" ref="W139">MMS_PastureBeef_Soil_N2ODirect_Equations.VEERG_4_2_1_3__4_NitrogenRetainedByBody(W103,W75,W39,W123)</f>
        <v>1.6946444473002843E-2</v>
      </c>
      <c r="X139" s="52" cm="1">
        <f t="array" ref="X139">MMS_PastureBeef_Soil_N2ODirect_Equations.VEERG_4_2_1_3__4_NitrogenRetainedByBody(X103,X75,X39,X123)</f>
        <v>3.5329291057988096E-3</v>
      </c>
      <c r="Y139" s="52" cm="1">
        <f t="array" ref="Y139">MMS_PastureBeef_Soil_N2ODirect_Equations.VEERG_4_2_1_3__4_NitrogenRetainedByBody(Y103,Y75,Y39,Y123)</f>
        <v>-6.4971680016475087E-3</v>
      </c>
      <c r="Z139" s="52" cm="1">
        <f t="array" ref="Z139">MMS_PastureBeef_Soil_N2ODirect_Equations.VEERG_4_2_1_3__4_NitrogenRetainedByBody(Z103,Z75,Z39,Z123)</f>
        <v>-6.4971680016475087E-3</v>
      </c>
      <c r="AA139" s="52" cm="1">
        <f t="array" ref="AA139">MMS_PastureBeef_Soil_N2ODirect_Equations.VEERG_4_2_1_3__4_NitrogenRetainedByBody(AA103,AA75,AA39,AA123)</f>
        <v>1.6885009696797144E-2</v>
      </c>
      <c r="AB139" s="52" cm="1">
        <f t="array" ref="AB139">MMS_PastureBeef_Soil_N2ODirect_Equations.VEERG_4_2_1_3__4_NitrogenRetainedByBody(AB103,AB75,AB39,AB123)</f>
        <v>0</v>
      </c>
      <c r="AC139" s="52" cm="1">
        <f t="array" ref="AC139">MMS_PastureBeef_Soil_N2ODirect_Equations.VEERG_4_2_1_3__4_NitrogenRetainedByBody(AC103,AC75,AC39,AC123)</f>
        <v>0</v>
      </c>
      <c r="AD139" s="52" cm="1">
        <f t="array" ref="AD139">MMS_PastureBeef_Soil_N2ODirect_Equations.VEERG_4_2_1_3__4_NitrogenRetainedByBody(AD103,AD75,AD39,AD123)</f>
        <v>0</v>
      </c>
      <c r="AE139" s="2" t="str">
        <f t="shared" si="7"/>
        <v>kg N/head/day</v>
      </c>
      <c r="AF139" s="2"/>
    </row>
    <row r="140" spans="3:32" ht="20.100000000000001" customHeight="1" x14ac:dyDescent="0.25">
      <c r="D140" s="53" t="s">
        <v>20</v>
      </c>
      <c r="E140" s="54" t="str" cm="1">
        <f t="array" ref="E140">MMS_PastureBeef_Soil_N2ODirect_Equations.VEERG_4_2_1_3__3_NitrogenExcreted_Unit()</f>
        <v>kg N/head/day</v>
      </c>
      <c r="T140" s="52" t="str">
        <f>TEXT(EDATE('Input - Site'!$E$12,4), "mmmm yyyy")</f>
        <v>May 2024</v>
      </c>
      <c r="U140" s="52" cm="1">
        <f t="array" ref="U140">MMS_PastureBeef_Soil_N2ODirect_Equations.VEERG_4_2_1_3__4_NitrogenRetainedByBody(U104,U76,U40,U124)</f>
        <v>1.7126010126251881E-2</v>
      </c>
      <c r="V140" s="52" cm="1">
        <f t="array" ref="V140">MMS_PastureBeef_Soil_N2ODirect_Equations.VEERG_4_2_1_3__4_NitrogenRetainedByBody(V104,V76,V40,V124)</f>
        <v>0</v>
      </c>
      <c r="W140" s="52" cm="1">
        <f t="array" ref="W140">MMS_PastureBeef_Soil_N2ODirect_Equations.VEERG_4_2_1_3__4_NitrogenRetainedByBody(W104,W76,W40,W124)</f>
        <v>1.6946444473002843E-2</v>
      </c>
      <c r="X140" s="52" cm="1">
        <f t="array" ref="X140">MMS_PastureBeef_Soil_N2ODirect_Equations.VEERG_4_2_1_3__4_NitrogenRetainedByBody(X104,X76,X40,X124)</f>
        <v>3.5329291057988096E-3</v>
      </c>
      <c r="Y140" s="52" cm="1">
        <f t="array" ref="Y140">MMS_PastureBeef_Soil_N2ODirect_Equations.VEERG_4_2_1_3__4_NitrogenRetainedByBody(Y104,Y76,Y40,Y124)</f>
        <v>-6.4971680016475087E-3</v>
      </c>
      <c r="Z140" s="52" cm="1">
        <f t="array" ref="Z140">MMS_PastureBeef_Soil_N2ODirect_Equations.VEERG_4_2_1_3__4_NitrogenRetainedByBody(Z104,Z76,Z40,Z124)</f>
        <v>-6.4971680016475087E-3</v>
      </c>
      <c r="AA140" s="52" cm="1">
        <f t="array" ref="AA140">MMS_PastureBeef_Soil_N2ODirect_Equations.VEERG_4_2_1_3__4_NitrogenRetainedByBody(AA104,AA76,AA40,AA124)</f>
        <v>1.6885009696797144E-2</v>
      </c>
      <c r="AB140" s="52" cm="1">
        <f t="array" ref="AB140">MMS_PastureBeef_Soil_N2ODirect_Equations.VEERG_4_2_1_3__4_NitrogenRetainedByBody(AB104,AB76,AB40,AB124)</f>
        <v>0</v>
      </c>
      <c r="AC140" s="52" cm="1">
        <f t="array" ref="AC140">MMS_PastureBeef_Soil_N2ODirect_Equations.VEERG_4_2_1_3__4_NitrogenRetainedByBody(AC104,AC76,AC40,AC124)</f>
        <v>0</v>
      </c>
      <c r="AD140" s="52" cm="1">
        <f t="array" ref="AD140">MMS_PastureBeef_Soil_N2ODirect_Equations.VEERG_4_2_1_3__4_NitrogenRetainedByBody(AD104,AD76,AD40,AD124)</f>
        <v>0</v>
      </c>
      <c r="AE140" s="2" t="str">
        <f t="shared" si="7"/>
        <v>kg N/head/day</v>
      </c>
      <c r="AF140" s="2"/>
    </row>
    <row r="141" spans="3:32" ht="20.100000000000001" customHeight="1" x14ac:dyDescent="0.25">
      <c r="T141" s="52" t="str">
        <f>TEXT(EDATE('Input - Site'!$E$12,5), "mmmm yyyy")</f>
        <v>June 2024</v>
      </c>
      <c r="U141" s="52" cm="1">
        <f t="array" ref="U141">MMS_PastureBeef_Soil_N2ODirect_Equations.VEERG_4_2_1_3__4_NitrogenRetainedByBody(U105,U77,U41,U125)</f>
        <v>2.5624664446187655E-2</v>
      </c>
      <c r="V141" s="52" cm="1">
        <f t="array" ref="V141">MMS_PastureBeef_Soil_N2ODirect_Equations.VEERG_4_2_1_3__4_NitrogenRetainedByBody(V105,V77,V41,V125)</f>
        <v>2.5468999349659745E-3</v>
      </c>
      <c r="W141" s="52" cm="1">
        <f t="array" ref="W141">MMS_PastureBeef_Soil_N2ODirect_Equations.VEERG_4_2_1_3__4_NitrogenRetainedByBody(W105,W77,W41,W125)</f>
        <v>1.942651050577586E-2</v>
      </c>
      <c r="X141" s="52" cm="1">
        <f t="array" ref="X141">MMS_PastureBeef_Soil_N2ODirect_Equations.VEERG_4_2_1_3__4_NitrogenRetainedByBody(X105,X77,X41,X125)</f>
        <v>1.7196628856093364E-3</v>
      </c>
      <c r="Y141" s="52" cm="1">
        <f t="array" ref="Y141">MMS_PastureBeef_Soil_N2ODirect_Equations.VEERG_4_2_1_3__4_NitrogenRetainedByBody(Y105,Y77,Y41,Y125)</f>
        <v>1.2853672606791778E-3</v>
      </c>
      <c r="Z141" s="52" cm="1">
        <f t="array" ref="Z141">MMS_PastureBeef_Soil_N2ODirect_Equations.VEERG_4_2_1_3__4_NitrogenRetainedByBody(Z105,Z77,Z41,Z125)</f>
        <v>1.2853672606791778E-3</v>
      </c>
      <c r="AA141" s="52" cm="1">
        <f t="array" ref="AA141">MMS_PastureBeef_Soil_N2ODirect_Equations.VEERG_4_2_1_3__4_NitrogenRetainedByBody(AA105,AA77,AA41,AA125)</f>
        <v>1.9754140848253471E-2</v>
      </c>
      <c r="AB141" s="52" cm="1">
        <f t="array" ref="AB141">MMS_PastureBeef_Soil_N2ODirect_Equations.VEERG_4_2_1_3__4_NitrogenRetainedByBody(AB105,AB77,AB41,AB125)</f>
        <v>7.4705417776927329E-3</v>
      </c>
      <c r="AC141" s="52" cm="1">
        <f t="array" ref="AC141">MMS_PastureBeef_Soil_N2ODirect_Equations.VEERG_4_2_1_3__4_NitrogenRetainedByBody(AC105,AC77,AC41,AC125)</f>
        <v>7.4705417776927329E-3</v>
      </c>
      <c r="AD141" s="52" cm="1">
        <f t="array" ref="AD141">MMS_PastureBeef_Soil_N2ODirect_Equations.VEERG_4_2_1_3__4_NitrogenRetainedByBody(AD105,AD77,AD41,AD125)</f>
        <v>7.4705417776927329E-3</v>
      </c>
      <c r="AE141" s="2" t="str">
        <f t="shared" si="7"/>
        <v>kg N/head/day</v>
      </c>
      <c r="AF141" s="2"/>
    </row>
    <row r="142" spans="3:32" ht="20.100000000000001" customHeight="1" x14ac:dyDescent="0.25">
      <c r="D142" s="57" t="str" cm="1">
        <f t="array" ref="D142:E148">MMS_PastureBeef_Soil_N2ODirect_Equations.VEERG_4_2_1_3__3_NitrogenExcreted_Arguments()</f>
        <v>I_jkl</v>
      </c>
      <c r="E142" s="58" t="str">
        <v>dry matter intake as calculated in Chapter 3 Section 3.2.1 (kg DM/head/day)</v>
      </c>
      <c r="F142" s="59"/>
      <c r="G142" s="57" t="str">
        <f>"See " &amp; D51</f>
        <v>See M1_Table_I_j_k_l</v>
      </c>
      <c r="T142" s="52" t="str">
        <f>TEXT(EDATE('Input - Site'!$E$12,6), "mmmm yyyy")</f>
        <v>July 2024</v>
      </c>
      <c r="U142" s="52" cm="1">
        <f t="array" ref="U142">MMS_PastureBeef_Soil_N2ODirect_Equations.VEERG_4_2_1_3__4_NitrogenRetainedByBody(U106,U78,U42,U126)</f>
        <v>2.5624664446187655E-2</v>
      </c>
      <c r="V142" s="52" cm="1">
        <f t="array" ref="V142">MMS_PastureBeef_Soil_N2ODirect_Equations.VEERG_4_2_1_3__4_NitrogenRetainedByBody(V106,V78,V42,V126)</f>
        <v>2.5468999349659745E-3</v>
      </c>
      <c r="W142" s="52" cm="1">
        <f t="array" ref="W142">MMS_PastureBeef_Soil_N2ODirect_Equations.VEERG_4_2_1_3__4_NitrogenRetainedByBody(W106,W78,W42,W126)</f>
        <v>1.942651050577586E-2</v>
      </c>
      <c r="X142" s="52" cm="1">
        <f t="array" ref="X142">MMS_PastureBeef_Soil_N2ODirect_Equations.VEERG_4_2_1_3__4_NitrogenRetainedByBody(X106,X78,X42,X126)</f>
        <v>9.2408596273615383E-3</v>
      </c>
      <c r="Y142" s="52" cm="1">
        <f t="array" ref="Y142">MMS_PastureBeef_Soil_N2ODirect_Equations.VEERG_4_2_1_3__4_NitrogenRetainedByBody(Y106,Y78,Y42,Y126)</f>
        <v>8.8083807916220259E-3</v>
      </c>
      <c r="Z142" s="52" cm="1">
        <f t="array" ref="Z142">MMS_PastureBeef_Soil_N2ODirect_Equations.VEERG_4_2_1_3__4_NitrogenRetainedByBody(Z106,Z78,Z42,Z126)</f>
        <v>8.8083807916220259E-3</v>
      </c>
      <c r="AA142" s="52" cm="1">
        <f t="array" ref="AA142">MMS_PastureBeef_Soil_N2ODirect_Equations.VEERG_4_2_1_3__4_NitrogenRetainedByBody(AA106,AA78,AA42,AA126)</f>
        <v>1.9754140848253471E-2</v>
      </c>
      <c r="AB142" s="52" cm="1">
        <f t="array" ref="AB142">MMS_PastureBeef_Soil_N2ODirect_Equations.VEERG_4_2_1_3__4_NitrogenRetainedByBody(AB106,AB78,AB42,AB126)</f>
        <v>7.4705417776927329E-3</v>
      </c>
      <c r="AC142" s="52" cm="1">
        <f t="array" ref="AC142">MMS_PastureBeef_Soil_N2ODirect_Equations.VEERG_4_2_1_3__4_NitrogenRetainedByBody(AC106,AC78,AC42,AC126)</f>
        <v>7.4705417776927329E-3</v>
      </c>
      <c r="AD142" s="52" cm="1">
        <f t="array" ref="AD142">MMS_PastureBeef_Soil_N2ODirect_Equations.VEERG_4_2_1_3__4_NitrogenRetainedByBody(AD106,AD78,AD42,AD126)</f>
        <v>7.4705417776927329E-3</v>
      </c>
      <c r="AE142" s="2" t="str">
        <f t="shared" si="7"/>
        <v>kg N/head/day</v>
      </c>
      <c r="AF142" s="2"/>
    </row>
    <row r="143" spans="3:32" ht="20.100000000000001" customHeight="1" x14ac:dyDescent="0.25">
      <c r="D143" s="57" t="str">
        <v>CP_j</v>
      </c>
      <c r="E143" s="58" t="str">
        <v>crude protein content of dry matter intake</v>
      </c>
      <c r="F143" s="59"/>
      <c r="G143" s="57" t="str">
        <f>"See " &amp; D150</f>
        <v>See M1_Table_CP_j</v>
      </c>
      <c r="T143" s="52" t="str">
        <f>TEXT(EDATE('Input - Site'!$E$12,7), "mmmm yyyy")</f>
        <v>August 2024</v>
      </c>
      <c r="U143" s="52" cm="1">
        <f t="array" ref="U143">MMS_PastureBeef_Soil_N2ODirect_Equations.VEERG_4_2_1_3__4_NitrogenRetainedByBody(U107,U79,U43,U127)</f>
        <v>2.5624664446187655E-2</v>
      </c>
      <c r="V143" s="52" cm="1">
        <f t="array" ref="V143">MMS_PastureBeef_Soil_N2ODirect_Equations.VEERG_4_2_1_3__4_NitrogenRetainedByBody(V107,V79,V43,V127)</f>
        <v>2.5468999349659745E-3</v>
      </c>
      <c r="W143" s="52" cm="1">
        <f t="array" ref="W143">MMS_PastureBeef_Soil_N2ODirect_Equations.VEERG_4_2_1_3__4_NitrogenRetainedByBody(W107,W79,W43,W127)</f>
        <v>1.942651050577586E-2</v>
      </c>
      <c r="X143" s="52" cm="1">
        <f t="array" ref="X143">MMS_PastureBeef_Soil_N2ODirect_Equations.VEERG_4_2_1_3__4_NitrogenRetainedByBody(X107,X79,X43,X127)</f>
        <v>9.2408596273615383E-3</v>
      </c>
      <c r="Y143" s="52" cm="1">
        <f t="array" ref="Y143">MMS_PastureBeef_Soil_N2ODirect_Equations.VEERG_4_2_1_3__4_NitrogenRetainedByBody(Y107,Y79,Y43,Y127)</f>
        <v>8.8083807916220259E-3</v>
      </c>
      <c r="Z143" s="52" cm="1">
        <f t="array" ref="Z143">MMS_PastureBeef_Soil_N2ODirect_Equations.VEERG_4_2_1_3__4_NitrogenRetainedByBody(Z107,Z79,Z43,Z127)</f>
        <v>8.8083807916220259E-3</v>
      </c>
      <c r="AA143" s="52" cm="1">
        <f t="array" ref="AA143">MMS_PastureBeef_Soil_N2ODirect_Equations.VEERG_4_2_1_3__4_NitrogenRetainedByBody(AA107,AA79,AA43,AA127)</f>
        <v>1.9754140848253471E-2</v>
      </c>
      <c r="AB143" s="52" cm="1">
        <f t="array" ref="AB143">MMS_PastureBeef_Soil_N2ODirect_Equations.VEERG_4_2_1_3__4_NitrogenRetainedByBody(AB107,AB79,AB43,AB127)</f>
        <v>7.4705417776927329E-3</v>
      </c>
      <c r="AC143" s="52" cm="1">
        <f t="array" ref="AC143">MMS_PastureBeef_Soil_N2ODirect_Equations.VEERG_4_2_1_3__4_NitrogenRetainedByBody(AC107,AC79,AC43,AC127)</f>
        <v>7.4705417776927329E-3</v>
      </c>
      <c r="AD143" s="52" cm="1">
        <f t="array" ref="AD143">MMS_PastureBeef_Soil_N2ODirect_Equations.VEERG_4_2_1_3__4_NitrogenRetainedByBody(AD107,AD79,AD43,AD127)</f>
        <v>7.4705417776927329E-3</v>
      </c>
      <c r="AE143" s="2" t="str">
        <f t="shared" si="7"/>
        <v>kg N/head/day</v>
      </c>
      <c r="AF143" s="2"/>
    </row>
    <row r="144" spans="3:32" ht="20.100000000000001" customHeight="1" x14ac:dyDescent="0.25">
      <c r="D144" s="57" t="str">
        <v>MC_jk136</v>
      </c>
      <c r="E144" s="58" t="str">
        <v>milk intake (kg/head/day)</v>
      </c>
      <c r="F144" s="59"/>
      <c r="G144" s="57" t="str">
        <f>"See " &amp; D158</f>
        <v>See M1_Table_MC_j_k_1-3-6</v>
      </c>
      <c r="T144" s="52" t="str">
        <f>TEXT(EDATE('Input - Site'!$E$12,8), "mmmm yyyy")</f>
        <v>September 2024</v>
      </c>
      <c r="U144" s="52" cm="1">
        <f t="array" ref="U144">MMS_PastureBeef_Soil_N2ODirect_Equations.VEERG_4_2_1_3__4_NitrogenRetainedByBody(U108,U80,U44,U128)</f>
        <v>3.2631583658999173E-2</v>
      </c>
      <c r="V144" s="52" cm="1">
        <f t="array" ref="V144">MMS_PastureBeef_Soil_N2ODirect_Equations.VEERG_4_2_1_3__4_NitrogenRetainedByBody(V108,V80,V44,V128)</f>
        <v>1.2159206080141413E-2</v>
      </c>
      <c r="W144" s="52" cm="1">
        <f t="array" ref="W144">MMS_PastureBeef_Soil_N2ODirect_Equations.VEERG_4_2_1_3__4_NitrogenRetainedByBody(W108,W80,W44,W128)</f>
        <v>2.2961722562736007E-2</v>
      </c>
      <c r="X144" s="52" cm="1">
        <f t="array" ref="X144">MMS_PastureBeef_Soil_N2ODirect_Equations.VEERG_4_2_1_3__4_NitrogenRetainedByBody(X108,X80,X44,X128)</f>
        <v>2.0162044138726552E-2</v>
      </c>
      <c r="Y144" s="52" cm="1">
        <f t="array" ref="Y144">MMS_PastureBeef_Soil_N2ODirect_Equations.VEERG_4_2_1_3__4_NitrogenRetainedByBody(Y108,Y80,Y44,Y128)</f>
        <v>1.4896023679959059E-2</v>
      </c>
      <c r="Z144" s="52" cm="1">
        <f t="array" ref="Z144">MMS_PastureBeef_Soil_N2ODirect_Equations.VEERG_4_2_1_3__4_NitrogenRetainedByBody(Z108,Z80,Z44,Z128)</f>
        <v>1.4896023679959059E-2</v>
      </c>
      <c r="AA144" s="52" cm="1">
        <f t="array" ref="AA144">MMS_PastureBeef_Soil_N2ODirect_Equations.VEERG_4_2_1_3__4_NitrogenRetainedByBody(AA108,AA80,AA44,AA128)</f>
        <v>2.7711640554981157E-2</v>
      </c>
      <c r="AB144" s="52" cm="1">
        <f t="array" ref="AB144">MMS_PastureBeef_Soil_N2ODirect_Equations.VEERG_4_2_1_3__4_NitrogenRetainedByBody(AB108,AB80,AB44,AB128)</f>
        <v>1.4565147934229335E-2</v>
      </c>
      <c r="AC144" s="52" cm="1">
        <f t="array" ref="AC144">MMS_PastureBeef_Soil_N2ODirect_Equations.VEERG_4_2_1_3__4_NitrogenRetainedByBody(AC108,AC80,AC44,AC128)</f>
        <v>1.4565147934229335E-2</v>
      </c>
      <c r="AD144" s="52" cm="1">
        <f t="array" ref="AD144">MMS_PastureBeef_Soil_N2ODirect_Equations.VEERG_4_2_1_3__4_NitrogenRetainedByBody(AD108,AD80,AD44,AD128)</f>
        <v>1.4565147934229335E-2</v>
      </c>
      <c r="AE144" s="2" t="str">
        <f t="shared" si="7"/>
        <v>kg N/head/day</v>
      </c>
      <c r="AF144" s="2"/>
    </row>
    <row r="145" spans="4:33" ht="20.100000000000001" customHeight="1" x14ac:dyDescent="0.25">
      <c r="D145" s="57" t="str">
        <v>NR_jkl</v>
      </c>
      <c r="E145" s="58" t="str">
        <v>the amount of nitrogen retained by the body (kg N/head/day)</v>
      </c>
      <c r="F145" s="59"/>
      <c r="G145" s="57" t="str">
        <f>"See " &amp; D124</f>
        <v>See M1_Table_NR_j_k_l</v>
      </c>
      <c r="T145" s="52" t="str">
        <f>TEXT(EDATE('Input - Site'!$E$12,9), "mmmm yyyy")</f>
        <v>October 2024</v>
      </c>
      <c r="U145" s="52" cm="1">
        <f t="array" ref="U145">MMS_PastureBeef_Soil_N2ODirect_Equations.VEERG_4_2_1_3__4_NitrogenRetainedByBody(U109,U81,U45,U129)</f>
        <v>3.2631583658999173E-2</v>
      </c>
      <c r="V145" s="52" cm="1">
        <f t="array" ref="V145">MMS_PastureBeef_Soil_N2ODirect_Equations.VEERG_4_2_1_3__4_NitrogenRetainedByBody(V109,V81,V45,V129)</f>
        <v>1.2159206080141413E-2</v>
      </c>
      <c r="W145" s="52" cm="1">
        <f t="array" ref="W145">MMS_PastureBeef_Soil_N2ODirect_Equations.VEERG_4_2_1_3__4_NitrogenRetainedByBody(W109,W81,W45,W129)</f>
        <v>2.2961722562736007E-2</v>
      </c>
      <c r="X145" s="52" cm="1">
        <f t="array" ref="X145">MMS_PastureBeef_Soil_N2ODirect_Equations.VEERG_4_2_1_3__4_NitrogenRetainedByBody(X109,X81,X45,X129)</f>
        <v>4.0198863461079051E-2</v>
      </c>
      <c r="Y145" s="52" cm="1">
        <f t="array" ref="Y145">MMS_PastureBeef_Soil_N2ODirect_Equations.VEERG_4_2_1_3__4_NitrogenRetainedByBody(Y109,Y81,Y45,Y129)</f>
        <v>3.4954563938077152E-2</v>
      </c>
      <c r="Z145" s="52" cm="1">
        <f t="array" ref="Z145">MMS_PastureBeef_Soil_N2ODirect_Equations.VEERG_4_2_1_3__4_NitrogenRetainedByBody(Z109,Z81,Z45,Z129)</f>
        <v>3.4954563938077152E-2</v>
      </c>
      <c r="AA145" s="52" cm="1">
        <f t="array" ref="AA145">MMS_PastureBeef_Soil_N2ODirect_Equations.VEERG_4_2_1_3__4_NitrogenRetainedByBody(AA109,AA81,AA45,AA129)</f>
        <v>2.7711640554981157E-2</v>
      </c>
      <c r="AB145" s="52" cm="1">
        <f t="array" ref="AB145">MMS_PastureBeef_Soil_N2ODirect_Equations.VEERG_4_2_1_3__4_NitrogenRetainedByBody(AB109,AB81,AB45,AB129)</f>
        <v>1.4565147934229335E-2</v>
      </c>
      <c r="AC145" s="52" cm="1">
        <f t="array" ref="AC145">MMS_PastureBeef_Soil_N2ODirect_Equations.VEERG_4_2_1_3__4_NitrogenRetainedByBody(AC109,AC81,AC45,AC129)</f>
        <v>1.4565147934229335E-2</v>
      </c>
      <c r="AD145" s="52" cm="1">
        <f t="array" ref="AD145">MMS_PastureBeef_Soil_N2ODirect_Equations.VEERG_4_2_1_3__4_NitrogenRetainedByBody(AD109,AD81,AD45,AD129)</f>
        <v>1.4565147934229335E-2</v>
      </c>
      <c r="AE145" s="2" t="str">
        <f t="shared" si="7"/>
        <v>kg N/head/day</v>
      </c>
      <c r="AF145" s="2"/>
    </row>
    <row r="146" spans="4:33" ht="20.100000000000001" customHeight="1" x14ac:dyDescent="0.25">
      <c r="D146" s="57" t="str">
        <v>W_jkl</v>
      </c>
      <c r="E146" s="58" t="str">
        <v>liveweight (kg/head)</v>
      </c>
      <c r="F146" s="59"/>
      <c r="G146" s="57" t="str">
        <f>"See " &amp; D17</f>
        <v>See M1_Table_W_j_k_l</v>
      </c>
      <c r="T146" s="52" t="str">
        <f>TEXT(EDATE('Input - Site'!$E$12,10), "mmmm yyyy")</f>
        <v>November 2024</v>
      </c>
      <c r="U146" s="52" cm="1">
        <f t="array" ref="U146">MMS_PastureBeef_Soil_N2ODirect_Equations.VEERG_4_2_1_3__4_NitrogenRetainedByBody(U110,U82,U46,U130)</f>
        <v>3.2631583658999173E-2</v>
      </c>
      <c r="V146" s="52" cm="1">
        <f t="array" ref="V146">MMS_PastureBeef_Soil_N2ODirect_Equations.VEERG_4_2_1_3__4_NitrogenRetainedByBody(V110,V82,V46,V130)</f>
        <v>1.2159206080141413E-2</v>
      </c>
      <c r="W146" s="52" cm="1">
        <f t="array" ref="W146">MMS_PastureBeef_Soil_N2ODirect_Equations.VEERG_4_2_1_3__4_NitrogenRetainedByBody(W110,W82,W46,W130)</f>
        <v>2.2961722562736007E-2</v>
      </c>
      <c r="X146" s="52" cm="1">
        <f t="array" ref="X146">MMS_PastureBeef_Soil_N2ODirect_Equations.VEERG_4_2_1_3__4_NitrogenRetainedByBody(X110,X82,X46,X130)</f>
        <v>4.0198863461079051E-2</v>
      </c>
      <c r="Y146" s="52" cm="1">
        <f t="array" ref="Y146">MMS_PastureBeef_Soil_N2ODirect_Equations.VEERG_4_2_1_3__4_NitrogenRetainedByBody(Y110,Y82,Y46,Y130)</f>
        <v>3.4954563938077152E-2</v>
      </c>
      <c r="Z146" s="52" cm="1">
        <f t="array" ref="Z146">MMS_PastureBeef_Soil_N2ODirect_Equations.VEERG_4_2_1_3__4_NitrogenRetainedByBody(Z110,Z82,Z46,Z130)</f>
        <v>3.4954563938077152E-2</v>
      </c>
      <c r="AA146" s="52" cm="1">
        <f t="array" ref="AA146">MMS_PastureBeef_Soil_N2ODirect_Equations.VEERG_4_2_1_3__4_NitrogenRetainedByBody(AA110,AA82,AA46,AA130)</f>
        <v>2.7711640554981157E-2</v>
      </c>
      <c r="AB146" s="52" cm="1">
        <f t="array" ref="AB146">MMS_PastureBeef_Soil_N2ODirect_Equations.VEERG_4_2_1_3__4_NitrogenRetainedByBody(AB110,AB82,AB46,AB130)</f>
        <v>1.4565147934229335E-2</v>
      </c>
      <c r="AC146" s="52" cm="1">
        <f t="array" ref="AC146">MMS_PastureBeef_Soil_N2ODirect_Equations.VEERG_4_2_1_3__4_NitrogenRetainedByBody(AC110,AC82,AC46,AC130)</f>
        <v>1.4565147934229335E-2</v>
      </c>
      <c r="AD146" s="52" cm="1">
        <f t="array" ref="AD146">MMS_PastureBeef_Soil_N2ODirect_Equations.VEERG_4_2_1_3__4_NitrogenRetainedByBody(AD110,AD82,AD46,AD130)</f>
        <v>1.4565147934229335E-2</v>
      </c>
      <c r="AE146" s="2" t="str">
        <f t="shared" si="7"/>
        <v>kg N/head/day</v>
      </c>
      <c r="AF146" s="2"/>
    </row>
    <row r="147" spans="4:33" ht="20.100000000000001" customHeight="1" x14ac:dyDescent="0.25">
      <c r="D147" s="57" t="str">
        <v>b</v>
      </c>
      <c r="E147" s="58" t="str">
        <v>breed of cattle</v>
      </c>
      <c r="F147" s="59"/>
      <c r="G147" s="57" t="str">
        <f>'Input - Pasture Beef'!$E$9</f>
        <v>Hereford or Shorthorn breeds</v>
      </c>
      <c r="T147" s="52" t="str">
        <f>TEXT(EDATE('Input - Site'!$E$12,11), "mmmm yyyy")</f>
        <v>December 2024</v>
      </c>
      <c r="U147" s="52" cm="1">
        <f t="array" ref="U147">MMS_PastureBeef_Soil_N2ODirect_Equations.VEERG_4_2_1_3__4_NitrogenRetainedByBody(U111,U83,U47,U131)</f>
        <v>8.1246865273940476E-3</v>
      </c>
      <c r="V147" s="52" cm="1">
        <f t="array" ref="V147">MMS_PastureBeef_Soil_N2ODirect_Equations.VEERG_4_2_1_3__4_NitrogenRetainedByBody(V111,V83,V47,V131)</f>
        <v>-2.4500809510830074E-3</v>
      </c>
      <c r="W147" s="52" cm="1">
        <f t="array" ref="W147">MMS_PastureBeef_Soil_N2ODirect_Equations.VEERG_4_2_1_3__4_NitrogenRetainedByBody(W111,W83,W47,W131)</f>
        <v>7.4692204769955996E-3</v>
      </c>
      <c r="X147" s="52" cm="1">
        <f t="array" ref="X147">MMS_PastureBeef_Soil_N2ODirect_Equations.VEERG_4_2_1_3__4_NitrogenRetainedByBody(X111,X83,X47,X131)</f>
        <v>3.1614303787451982E-2</v>
      </c>
      <c r="Y147" s="52" cm="1">
        <f t="array" ref="Y147">MMS_PastureBeef_Soil_N2ODirect_Equations.VEERG_4_2_1_3__4_NitrogenRetainedByBody(Y111,Y83,Y47,Y131)</f>
        <v>2.5098644862443155E-2</v>
      </c>
      <c r="Z147" s="52" cm="1">
        <f t="array" ref="Z147">MMS_PastureBeef_Soil_N2ODirect_Equations.VEERG_4_2_1_3__4_NitrogenRetainedByBody(Z111,Z83,Z47,Z131)</f>
        <v>2.5098644862443155E-2</v>
      </c>
      <c r="AA147" s="52" cm="1">
        <f t="array" ref="AA147">MMS_PastureBeef_Soil_N2ODirect_Equations.VEERG_4_2_1_3__4_NitrogenRetainedByBody(AA111,AA83,AA47,AA131)</f>
        <v>7.842975342880058E-3</v>
      </c>
      <c r="AB147" s="52" cm="1">
        <f t="array" ref="AB147">MMS_PastureBeef_Soil_N2ODirect_Equations.VEERG_4_2_1_3__4_NitrogenRetainedByBody(AB111,AB83,AB47,AB131)</f>
        <v>-1.4855230625479237E-3</v>
      </c>
      <c r="AC147" s="52" cm="1">
        <f t="array" ref="AC147">MMS_PastureBeef_Soil_N2ODirect_Equations.VEERG_4_2_1_3__4_NitrogenRetainedByBody(AC111,AC83,AC47,AC131)</f>
        <v>-1.4855230625479237E-3</v>
      </c>
      <c r="AD147" s="52" cm="1">
        <f t="array" ref="AD147">MMS_PastureBeef_Soil_N2ODirect_Equations.VEERG_4_2_1_3__4_NitrogenRetainedByBody(AD111,AD83,AD47,AD131)</f>
        <v>-1.4855230625479237E-3</v>
      </c>
      <c r="AE147" s="2" t="str">
        <f t="shared" si="7"/>
        <v>kg N/head/day</v>
      </c>
      <c r="AF147" s="2"/>
    </row>
    <row r="148" spans="4:33" ht="20.100000000000001" customHeight="1" x14ac:dyDescent="0.25">
      <c r="D148" s="57" t="str">
        <v>s</v>
      </c>
      <c r="E148" s="58" t="str">
        <v>Calving season</v>
      </c>
      <c r="F148" s="59"/>
      <c r="G148" s="57" t="str">
        <f>'Input - Pasture Beef'!$E$110</f>
        <v>Spring</v>
      </c>
    </row>
    <row r="149" spans="4:33" ht="20.100000000000001" customHeight="1" x14ac:dyDescent="0.25"/>
    <row r="150" spans="4:33" ht="20.100000000000001" customHeight="1" x14ac:dyDescent="0.25">
      <c r="D150" s="99" t="s">
        <v>106</v>
      </c>
      <c r="S150" s="45"/>
      <c r="T150" s="45"/>
      <c r="U150" s="45"/>
      <c r="V150" s="45"/>
      <c r="W150" s="45"/>
      <c r="X150" s="45"/>
      <c r="Y150" s="45"/>
      <c r="Z150" s="45"/>
      <c r="AA150" s="45"/>
      <c r="AB150" s="45"/>
      <c r="AC150" s="45"/>
      <c r="AD150" s="45"/>
      <c r="AE150" s="45"/>
      <c r="AF150" s="45"/>
      <c r="AG150" s="45"/>
    </row>
    <row r="151" spans="4:33" ht="20.100000000000001" customHeight="1" x14ac:dyDescent="0.25">
      <c r="D151" s="98" t="s">
        <v>322</v>
      </c>
      <c r="T151" s="6" t="str" cm="1">
        <f t="array" ref="T151">MMS_PastureBeef_Soil_N2ODirect_Equations.VEERG_4_2_1_3__3_NitrogenExcreted_Title()</f>
        <v>Nitrogen excreted</v>
      </c>
    </row>
    <row r="152" spans="4:33" ht="20.100000000000001" customHeight="1" x14ac:dyDescent="0.25">
      <c r="D152" s="51" t="s">
        <v>184</v>
      </c>
      <c r="E152" s="51" t="s">
        <v>131</v>
      </c>
      <c r="F152" s="51" t="s">
        <v>130</v>
      </c>
      <c r="G152" s="51" t="s">
        <v>165</v>
      </c>
      <c r="H152" s="51" t="s">
        <v>166</v>
      </c>
      <c r="I152" s="51" t="s">
        <v>167</v>
      </c>
      <c r="J152" s="51" t="s">
        <v>168</v>
      </c>
      <c r="K152" s="51" t="s">
        <v>169</v>
      </c>
      <c r="L152" s="51" t="s">
        <v>170</v>
      </c>
      <c r="M152" s="51" t="s">
        <v>171</v>
      </c>
      <c r="N152" s="51" t="s">
        <v>172</v>
      </c>
    </row>
    <row r="153" spans="4:33" ht="20.100000000000001" customHeight="1" x14ac:dyDescent="0.25">
      <c r="D153" s="52" t="s">
        <v>173</v>
      </c>
      <c r="E153" s="52">
        <f>'Input - Pasture Beef'!E160</f>
        <v>0.2</v>
      </c>
      <c r="F153" s="52">
        <f>'Input - Pasture Beef'!F160</f>
        <v>0.2</v>
      </c>
      <c r="G153" s="52">
        <f>'Input - Pasture Beef'!G160</f>
        <v>0.2</v>
      </c>
      <c r="H153" s="52">
        <f>'Input - Pasture Beef'!H160</f>
        <v>0.2</v>
      </c>
      <c r="I153" s="52">
        <f>'Input - Pasture Beef'!I160</f>
        <v>0.2</v>
      </c>
      <c r="J153" s="52">
        <f>'Input - Pasture Beef'!J160</f>
        <v>0.2</v>
      </c>
      <c r="K153" s="52">
        <f>'Input - Pasture Beef'!K160</f>
        <v>0.2</v>
      </c>
      <c r="L153" s="52">
        <f>'Input - Pasture Beef'!L160</f>
        <v>0.2</v>
      </c>
      <c r="M153" s="52">
        <f>'Input - Pasture Beef'!M160</f>
        <v>0.2</v>
      </c>
      <c r="N153" s="52">
        <f>'Input - Pasture Beef'!N160</f>
        <v>0.2</v>
      </c>
      <c r="O153" s="2" t="s">
        <v>141</v>
      </c>
      <c r="T153" s="57" t="str" cm="1">
        <f t="array" ref="T153:U159">MMS_PastureBeef_Soil_N2ODirect_Equations.VEERG_4_2_1_3__3_NitrogenExcreted_Arguments()</f>
        <v>I_jkl</v>
      </c>
      <c r="U153" s="58" t="str">
        <v>dry matter intake as calculated in Chapter 3 Section 3.2.1 (kg DM/head/day)</v>
      </c>
      <c r="V153" s="59"/>
      <c r="W153" s="57" t="str">
        <f>"See " &amp; $T$53</f>
        <v>See M2_Table_I_j_k_l</v>
      </c>
    </row>
    <row r="154" spans="4:33" ht="20.100000000000001" customHeight="1" x14ac:dyDescent="0.25">
      <c r="D154" s="52" t="s">
        <v>174</v>
      </c>
      <c r="E154" s="52">
        <f>'Input - Pasture Beef'!E161</f>
        <v>0.09</v>
      </c>
      <c r="F154" s="52">
        <f>'Input - Pasture Beef'!F161</f>
        <v>0.09</v>
      </c>
      <c r="G154" s="52">
        <f>'Input - Pasture Beef'!G161</f>
        <v>0.09</v>
      </c>
      <c r="H154" s="52">
        <f>'Input - Pasture Beef'!H161</f>
        <v>0.09</v>
      </c>
      <c r="I154" s="52">
        <f>'Input - Pasture Beef'!I161</f>
        <v>0.09</v>
      </c>
      <c r="J154" s="52">
        <f>'Input - Pasture Beef'!J161</f>
        <v>0.09</v>
      </c>
      <c r="K154" s="52">
        <f>'Input - Pasture Beef'!K161</f>
        <v>0.09</v>
      </c>
      <c r="L154" s="52">
        <f>'Input - Pasture Beef'!L161</f>
        <v>0.09</v>
      </c>
      <c r="M154" s="52">
        <f>'Input - Pasture Beef'!M161</f>
        <v>0.09</v>
      </c>
      <c r="N154" s="52">
        <f>'Input - Pasture Beef'!N161</f>
        <v>0.09</v>
      </c>
      <c r="O154" s="2" t="s">
        <v>141</v>
      </c>
      <c r="T154" s="57" t="str">
        <v>CP_j</v>
      </c>
      <c r="U154" s="58" t="str">
        <v>crude protein content of dry matter intake</v>
      </c>
      <c r="V154" s="59"/>
      <c r="W154" s="57" t="str">
        <f>"See " &amp; $T$165</f>
        <v>See M2_Table_CP_j</v>
      </c>
    </row>
    <row r="155" spans="4:33" ht="20.100000000000001" customHeight="1" x14ac:dyDescent="0.25">
      <c r="D155" s="52" t="s">
        <v>175</v>
      </c>
      <c r="E155" s="52">
        <f>'Input - Pasture Beef'!E162</f>
        <v>0.06</v>
      </c>
      <c r="F155" s="52">
        <f>'Input - Pasture Beef'!F162</f>
        <v>0.06</v>
      </c>
      <c r="G155" s="52">
        <f>'Input - Pasture Beef'!G162</f>
        <v>0.06</v>
      </c>
      <c r="H155" s="52">
        <f>'Input - Pasture Beef'!H162</f>
        <v>0.06</v>
      </c>
      <c r="I155" s="52">
        <f>'Input - Pasture Beef'!I162</f>
        <v>0.06</v>
      </c>
      <c r="J155" s="52">
        <f>'Input - Pasture Beef'!J162</f>
        <v>0.06</v>
      </c>
      <c r="K155" s="52">
        <f>'Input - Pasture Beef'!K162</f>
        <v>0.06</v>
      </c>
      <c r="L155" s="52">
        <f>'Input - Pasture Beef'!L162</f>
        <v>0.06</v>
      </c>
      <c r="M155" s="52">
        <f>'Input - Pasture Beef'!M162</f>
        <v>0.06</v>
      </c>
      <c r="N155" s="52">
        <f>'Input - Pasture Beef'!N162</f>
        <v>0.06</v>
      </c>
      <c r="O155" s="2" t="s">
        <v>141</v>
      </c>
      <c r="T155" s="57" t="str">
        <v>MC_jk136</v>
      </c>
      <c r="U155" s="58" t="str">
        <v>milk intake (kg/head/day)</v>
      </c>
      <c r="V155" s="59"/>
      <c r="W155" s="57" t="str">
        <f>"See " &amp; $T$165</f>
        <v>See M2_Table_CP_j</v>
      </c>
    </row>
    <row r="156" spans="4:33" ht="20.100000000000001" customHeight="1" x14ac:dyDescent="0.25">
      <c r="D156" s="52" t="s">
        <v>176</v>
      </c>
      <c r="E156" s="52">
        <f>'Input - Pasture Beef'!E163</f>
        <v>0.2</v>
      </c>
      <c r="F156" s="52">
        <f>'Input - Pasture Beef'!F163</f>
        <v>0.2</v>
      </c>
      <c r="G156" s="52">
        <f>'Input - Pasture Beef'!G163</f>
        <v>0.2</v>
      </c>
      <c r="H156" s="52">
        <f>'Input - Pasture Beef'!H163</f>
        <v>0.2</v>
      </c>
      <c r="I156" s="52">
        <f>'Input - Pasture Beef'!I163</f>
        <v>0.2</v>
      </c>
      <c r="J156" s="52">
        <f>'Input - Pasture Beef'!J163</f>
        <v>0.2</v>
      </c>
      <c r="K156" s="52">
        <f>'Input - Pasture Beef'!K163</f>
        <v>0.2</v>
      </c>
      <c r="L156" s="52">
        <f>'Input - Pasture Beef'!L163</f>
        <v>0.2</v>
      </c>
      <c r="M156" s="52">
        <f>'Input - Pasture Beef'!M163</f>
        <v>0.2</v>
      </c>
      <c r="N156" s="52">
        <f>'Input - Pasture Beef'!N163</f>
        <v>0.2</v>
      </c>
      <c r="O156" s="2" t="s">
        <v>141</v>
      </c>
      <c r="T156" s="57" t="str">
        <v>NR_jkl</v>
      </c>
      <c r="U156" s="58" t="str">
        <v>the amount of nitrogen retained by the body (kg N/head/day)</v>
      </c>
      <c r="V156" s="59"/>
      <c r="W156" s="57" t="str">
        <f>"See " &amp; $T$133</f>
        <v>See M2_Table_NR_j_k_l</v>
      </c>
    </row>
    <row r="157" spans="4:33" ht="20.100000000000001" customHeight="1" x14ac:dyDescent="0.25">
      <c r="T157" s="57" t="str">
        <v>W_jkl</v>
      </c>
      <c r="U157" s="58" t="str">
        <v>liveweight (kg/head)</v>
      </c>
      <c r="V157" s="59"/>
      <c r="W157" s="57" t="str">
        <f>"See " &amp; $T$17</f>
        <v>See M2_Table_LW_j_k_l</v>
      </c>
    </row>
    <row r="158" spans="4:33" ht="20.100000000000001" customHeight="1" x14ac:dyDescent="0.25">
      <c r="D158" s="99" t="s">
        <v>307</v>
      </c>
      <c r="T158" s="57" t="str">
        <v>b</v>
      </c>
      <c r="U158" s="58" t="str">
        <v>breed of cattle</v>
      </c>
      <c r="V158" s="59"/>
      <c r="W158" s="57" t="str">
        <f>'Input - Pasture Beef'!$E$9</f>
        <v>Hereford or Shorthorn breeds</v>
      </c>
    </row>
    <row r="159" spans="4:33" ht="20.100000000000001" customHeight="1" x14ac:dyDescent="0.25">
      <c r="D159" s="98" t="s">
        <v>324</v>
      </c>
      <c r="T159" s="57" t="str">
        <v>s</v>
      </c>
      <c r="U159" s="58" t="str">
        <v>Calving season</v>
      </c>
      <c r="V159" s="59"/>
      <c r="W159" s="57" t="str">
        <f>'Input - Pasture Beef'!$E$133</f>
        <v>July 2024 to September 2024</v>
      </c>
    </row>
    <row r="160" spans="4:33" ht="20.100000000000001" customHeight="1" x14ac:dyDescent="0.25">
      <c r="D160" s="51" t="s">
        <v>184</v>
      </c>
      <c r="E160" s="51" t="s">
        <v>248</v>
      </c>
      <c r="F160" s="51" t="s">
        <v>131</v>
      </c>
      <c r="G160" s="51" t="s">
        <v>130</v>
      </c>
      <c r="H160" s="51" t="s">
        <v>165</v>
      </c>
      <c r="I160" s="51" t="s">
        <v>166</v>
      </c>
      <c r="J160" s="51" t="s">
        <v>167</v>
      </c>
      <c r="K160" s="51" t="s">
        <v>168</v>
      </c>
      <c r="L160" s="51" t="s">
        <v>169</v>
      </c>
      <c r="M160" s="51" t="s">
        <v>170</v>
      </c>
      <c r="N160" s="51" t="s">
        <v>171</v>
      </c>
      <c r="O160" s="51" t="s">
        <v>172</v>
      </c>
    </row>
    <row r="161" spans="3:32" ht="20.100000000000001" customHeight="1" x14ac:dyDescent="0.25">
      <c r="D161" s="52" t="s">
        <v>173</v>
      </c>
      <c r="E161" s="52" t="str" cm="1">
        <f t="array" ref="E161">_xlfn.IFS($D$161=$G$148,"Calving season",$D$164=$G$148,"Season after calving",TRUE, "")</f>
        <v>Calving season</v>
      </c>
      <c r="F161" s="52" cm="1">
        <f t="array" ref="F161">_xlfn.XLOOKUP(1, (Table_SourceData_PastureBeef_FeedIntakeAdjustment_Variation[Breed]=$G$147)*(Table_SourceData_PastureBeef_FeedIntakeAdjustment_Variation[Season]=$E161), Table_SourceData_PastureBeef_FeedIntakeAdjustment_Variation[Milk intake/production], 0)</f>
        <v>6</v>
      </c>
      <c r="G161" s="52">
        <v>0</v>
      </c>
      <c r="H161" s="52" cm="1">
        <f t="array" ref="H161">_xlfn.XLOOKUP(1, (Table_SourceData_PastureBeef_FeedIntakeAdjustment_Variation[Breed]=$G$147)*(Table_SourceData_PastureBeef_FeedIntakeAdjustment_Variation[Season]=$E161), Table_SourceData_PastureBeef_FeedIntakeAdjustment_Variation[Milk intake/production], 0)</f>
        <v>6</v>
      </c>
      <c r="I161" s="52">
        <v>0</v>
      </c>
      <c r="J161" s="52">
        <v>0</v>
      </c>
      <c r="K161" s="52">
        <v>0</v>
      </c>
      <c r="L161" s="52" cm="1">
        <f t="array" ref="L161">_xlfn.XLOOKUP(1, (Table_SourceData_PastureBeef_FeedIntakeAdjustment_Variation[Breed]=$G$147)*(Table_SourceData_PastureBeef_FeedIntakeAdjustment_Variation[Season]=$E161), Table_SourceData_PastureBeef_FeedIntakeAdjustment_Variation[Milk intake/production], 0)</f>
        <v>6</v>
      </c>
      <c r="M161" s="52">
        <v>0</v>
      </c>
      <c r="N161" s="52">
        <v>0</v>
      </c>
      <c r="O161" s="52">
        <v>0</v>
      </c>
      <c r="P161" s="2" t="s">
        <v>134</v>
      </c>
    </row>
    <row r="162" spans="3:32" ht="20.100000000000001" customHeight="1" x14ac:dyDescent="0.25">
      <c r="D162" s="52" t="s">
        <v>174</v>
      </c>
      <c r="E162" s="52" t="str" cm="1">
        <f t="array" ref="E162">_xlfn.IFS($D$162=$G$148,"Calving season",$D$161=$G$148,"Season after calving",TRUE, "")</f>
        <v>Season after calving</v>
      </c>
      <c r="F162" s="52" cm="1">
        <f t="array" ref="F162">_xlfn.XLOOKUP(1, (Table_SourceData_PastureBeef_FeedIntakeAdjustment_Variation[Breed]=$G$147)*(Table_SourceData_PastureBeef_FeedIntakeAdjustment_Variation[Season]=$E162), Table_SourceData_PastureBeef_FeedIntakeAdjustment_Variation[Milk intake/production], 0)</f>
        <v>4</v>
      </c>
      <c r="G162" s="52">
        <v>0</v>
      </c>
      <c r="H162" s="52" cm="1">
        <f t="array" ref="H162">_xlfn.XLOOKUP(1, (Table_SourceData_PastureBeef_FeedIntakeAdjustment_Variation[Breed]=$G$147)*(Table_SourceData_PastureBeef_FeedIntakeAdjustment_Variation[Season]=$E162), Table_SourceData_PastureBeef_FeedIntakeAdjustment_Variation[Milk intake/production], 0)</f>
        <v>4</v>
      </c>
      <c r="I162" s="52">
        <v>0</v>
      </c>
      <c r="J162" s="52">
        <v>0</v>
      </c>
      <c r="K162" s="52">
        <v>0</v>
      </c>
      <c r="L162" s="52" cm="1">
        <f t="array" ref="L162">_xlfn.XLOOKUP(1, (Table_SourceData_PastureBeef_FeedIntakeAdjustment_Variation[Breed]=$G$147)*(Table_SourceData_PastureBeef_FeedIntakeAdjustment_Variation[Season]=$E162), Table_SourceData_PastureBeef_FeedIntakeAdjustment_Variation[Milk intake/production], 0)</f>
        <v>4</v>
      </c>
      <c r="M162" s="52">
        <v>0</v>
      </c>
      <c r="N162" s="52">
        <v>0</v>
      </c>
      <c r="O162" s="52">
        <v>0</v>
      </c>
      <c r="P162" s="2" t="s">
        <v>134</v>
      </c>
    </row>
    <row r="163" spans="3:32" ht="20.100000000000001" customHeight="1" x14ac:dyDescent="0.25">
      <c r="D163" s="52" t="s">
        <v>175</v>
      </c>
      <c r="E163" s="52" t="str" cm="1">
        <f t="array" ref="E163">_xlfn.IFS($D$163=$G$148,"Calving season",$D$162=$G$148,"Season after calving",TRUE, "")</f>
        <v/>
      </c>
      <c r="F163" s="52" cm="1">
        <f t="array" ref="F163">_xlfn.XLOOKUP(1, (Table_SourceData_PastureBeef_FeedIntakeAdjustment_Variation[Breed]=$G$147)*(Table_SourceData_PastureBeef_FeedIntakeAdjustment_Variation[Season]=$E163), Table_SourceData_PastureBeef_FeedIntakeAdjustment_Variation[Milk intake/production], 0)</f>
        <v>0</v>
      </c>
      <c r="G163" s="52">
        <v>0</v>
      </c>
      <c r="H163" s="52" cm="1">
        <f t="array" ref="H163">_xlfn.XLOOKUP(1, (Table_SourceData_PastureBeef_FeedIntakeAdjustment_Variation[Breed]=$G$147)*(Table_SourceData_PastureBeef_FeedIntakeAdjustment_Variation[Season]=$E163), Table_SourceData_PastureBeef_FeedIntakeAdjustment_Variation[Milk intake/production], 0)</f>
        <v>0</v>
      </c>
      <c r="I163" s="52">
        <v>0</v>
      </c>
      <c r="J163" s="52">
        <v>0</v>
      </c>
      <c r="K163" s="52">
        <v>0</v>
      </c>
      <c r="L163" s="52" cm="1">
        <f t="array" ref="L163">_xlfn.XLOOKUP(1, (Table_SourceData_PastureBeef_FeedIntakeAdjustment_Variation[Breed]=$G$147)*(Table_SourceData_PastureBeef_FeedIntakeAdjustment_Variation[Season]=$E163), Table_SourceData_PastureBeef_FeedIntakeAdjustment_Variation[Milk intake/production], 0)</f>
        <v>0</v>
      </c>
      <c r="M163" s="52">
        <v>0</v>
      </c>
      <c r="N163" s="52">
        <v>0</v>
      </c>
      <c r="O163" s="52">
        <v>0</v>
      </c>
      <c r="P163" s="2" t="s">
        <v>134</v>
      </c>
    </row>
    <row r="164" spans="3:32" ht="20.100000000000001" customHeight="1" x14ac:dyDescent="0.25">
      <c r="D164" s="52" t="s">
        <v>176</v>
      </c>
      <c r="E164" s="52" t="str" cm="1">
        <f t="array" ref="E164">_xlfn.IFS($D$164=$G$148,"Calving season",$D$163=$G$148,"Season after calving",TRUE, "")</f>
        <v/>
      </c>
      <c r="F164" s="52" cm="1">
        <f t="array" ref="F164">_xlfn.XLOOKUP(1, (Table_SourceData_PastureBeef_FeedIntakeAdjustment_Variation[Breed]=$G$147)*(Table_SourceData_PastureBeef_FeedIntakeAdjustment_Variation[Season]=$E164), Table_SourceData_PastureBeef_FeedIntakeAdjustment_Variation[Milk intake/production], 0)</f>
        <v>0</v>
      </c>
      <c r="G164" s="52">
        <v>0</v>
      </c>
      <c r="H164" s="52" cm="1">
        <f t="array" ref="H164">_xlfn.XLOOKUP(1, (Table_SourceData_PastureBeef_FeedIntakeAdjustment_Variation[Breed]=$G$147)*(Table_SourceData_PastureBeef_FeedIntakeAdjustment_Variation[Season]=$E164), Table_SourceData_PastureBeef_FeedIntakeAdjustment_Variation[Milk intake/production], 0)</f>
        <v>0</v>
      </c>
      <c r="I164" s="52">
        <v>0</v>
      </c>
      <c r="J164" s="52">
        <v>0</v>
      </c>
      <c r="K164" s="52">
        <v>0</v>
      </c>
      <c r="L164" s="52" cm="1">
        <f t="array" ref="L164">_xlfn.XLOOKUP(1, (Table_SourceData_PastureBeef_FeedIntakeAdjustment_Variation[Breed]=$G$147)*(Table_SourceData_PastureBeef_FeedIntakeAdjustment_Variation[Season]=$E164), Table_SourceData_PastureBeef_FeedIntakeAdjustment_Variation[Milk intake/production], 0)</f>
        <v>0</v>
      </c>
      <c r="M164" s="52">
        <v>0</v>
      </c>
      <c r="N164" s="52">
        <v>0</v>
      </c>
      <c r="O164" s="52">
        <v>0</v>
      </c>
      <c r="P164" s="2" t="s">
        <v>134</v>
      </c>
    </row>
    <row r="165" spans="3:32" ht="20.100000000000001" customHeight="1" x14ac:dyDescent="0.25">
      <c r="T165" s="99" t="s">
        <v>107</v>
      </c>
    </row>
    <row r="166" spans="3:32" ht="20.100000000000001" customHeight="1" x14ac:dyDescent="0.25">
      <c r="D166" s="99" t="s">
        <v>308</v>
      </c>
      <c r="T166" s="98" t="s">
        <v>321</v>
      </c>
    </row>
    <row r="167" spans="3:32" ht="20.100000000000001" customHeight="1" x14ac:dyDescent="0.25">
      <c r="D167" s="98" t="s">
        <v>325</v>
      </c>
      <c r="T167" s="51" t="s">
        <v>132</v>
      </c>
      <c r="U167" s="51" t="s">
        <v>131</v>
      </c>
      <c r="V167" s="51" t="s">
        <v>130</v>
      </c>
      <c r="W167" s="51" t="s">
        <v>165</v>
      </c>
      <c r="X167" s="51" t="s">
        <v>166</v>
      </c>
      <c r="Y167" s="51" t="s">
        <v>167</v>
      </c>
      <c r="Z167" s="51" t="s">
        <v>168</v>
      </c>
      <c r="AA167" s="51" t="s">
        <v>169</v>
      </c>
      <c r="AB167" s="51" t="s">
        <v>170</v>
      </c>
      <c r="AC167" s="51" t="s">
        <v>171</v>
      </c>
      <c r="AD167" s="51" t="s">
        <v>172</v>
      </c>
    </row>
    <row r="168" spans="3:32" ht="20.100000000000001" customHeight="1" x14ac:dyDescent="0.25">
      <c r="D168" s="51" t="s">
        <v>184</v>
      </c>
      <c r="E168" s="51" t="s">
        <v>131</v>
      </c>
      <c r="F168" s="51" t="s">
        <v>130</v>
      </c>
      <c r="G168" s="51" t="s">
        <v>165</v>
      </c>
      <c r="H168" s="51" t="s">
        <v>166</v>
      </c>
      <c r="I168" s="51" t="s">
        <v>167</v>
      </c>
      <c r="J168" s="51" t="s">
        <v>168</v>
      </c>
      <c r="K168" s="51" t="s">
        <v>169</v>
      </c>
      <c r="L168" s="51" t="s">
        <v>170</v>
      </c>
      <c r="M168" s="51" t="s">
        <v>171</v>
      </c>
      <c r="N168" s="51" t="s">
        <v>172</v>
      </c>
      <c r="T168" s="52" t="str">
        <f>TEXT('Input - Site'!$E$12, "mmmm yyyy")</f>
        <v>January 2024</v>
      </c>
      <c r="U168" s="52">
        <f>'Input - Pasture Beef'!E166</f>
        <v>0.09</v>
      </c>
      <c r="V168" s="52">
        <f>'Input - Pasture Beef'!F166</f>
        <v>0.09</v>
      </c>
      <c r="W168" s="52">
        <f>'Input - Pasture Beef'!G166</f>
        <v>0.09</v>
      </c>
      <c r="X168" s="52">
        <f>'Input - Pasture Beef'!H166</f>
        <v>0.09</v>
      </c>
      <c r="Y168" s="52">
        <f>'Input - Pasture Beef'!I166</f>
        <v>0.09</v>
      </c>
      <c r="Z168" s="52">
        <f>'Input - Pasture Beef'!J166</f>
        <v>0.09</v>
      </c>
      <c r="AA168" s="52">
        <f>'Input - Pasture Beef'!K166</f>
        <v>0.09</v>
      </c>
      <c r="AB168" s="52">
        <f>'Input - Pasture Beef'!L166</f>
        <v>0.09</v>
      </c>
      <c r="AC168" s="52">
        <f>'Input - Pasture Beef'!M166</f>
        <v>0.09</v>
      </c>
      <c r="AD168" s="52">
        <f>'Input - Pasture Beef'!N166</f>
        <v>0.09</v>
      </c>
      <c r="AE168" s="2" t="s">
        <v>141</v>
      </c>
      <c r="AF168" s="2"/>
    </row>
    <row r="169" spans="3:32" ht="20.100000000000001" customHeight="1" x14ac:dyDescent="0.25">
      <c r="D169" s="52" t="s">
        <v>173</v>
      </c>
      <c r="E169" s="52" cm="1">
        <f t="array" ref="E169">MMS_PastureBeef_Soil_N2ODirect_Equations.VEERG_4_2_1_3__3_NitrogenExcreted(E54,E153,F161,E127,E20)</f>
        <v>0.27353786382161244</v>
      </c>
      <c r="F169" s="52" cm="1">
        <f t="array" ref="F169">MMS_PastureBeef_Soil_N2ODirect_Equations.VEERG_4_2_1_3__3_NitrogenExcreted(F54,F153,G161,F127,F20)</f>
        <v>0.37708133734232585</v>
      </c>
      <c r="G169" s="52" cm="1">
        <f t="array" ref="G169">MMS_PastureBeef_Soil_N2ODirect_Equations.VEERG_4_2_1_3__3_NitrogenExcreted(G54,G153,H161,G127,G20)</f>
        <v>0.21747950611047506</v>
      </c>
      <c r="H169" s="52" cm="1">
        <f t="array" ref="H169">MMS_PastureBeef_Soil_N2ODirect_Equations.VEERG_4_2_1_3__3_NitrogenExcreted(H54,H153,I161,H127,H20)</f>
        <v>0.28986215980899216</v>
      </c>
      <c r="I169" s="52" cm="1">
        <f t="array" ref="I169">MMS_PastureBeef_Soil_N2ODirect_Equations.VEERG_4_2_1_3__3_NitrogenExcreted(I54,I153,J161,I127,I20)</f>
        <v>0.33000754513490765</v>
      </c>
      <c r="J169" s="52" cm="1">
        <f t="array" ref="J169">MMS_PastureBeef_Soil_N2ODirect_Equations.VEERG_4_2_1_3__3_NitrogenExcreted(J54,J153,K161,J127,J20)</f>
        <v>0.33000754513490765</v>
      </c>
      <c r="K169" s="52" cm="1">
        <f t="array" ref="K169">MMS_PastureBeef_Soil_N2ODirect_Equations.VEERG_4_2_1_3__3_NitrogenExcreted(K54,K153,L161,K127,K20)</f>
        <v>0.24492991378550297</v>
      </c>
      <c r="L169" s="52" cm="1">
        <f t="array" ref="L169">MMS_PastureBeef_Soil_N2ODirect_Equations.VEERG_4_2_1_3__3_NitrogenExcreted(L54,L153,M161,L127,L20)</f>
        <v>0.2934676863299529</v>
      </c>
      <c r="M169" s="52" cm="1">
        <f t="array" ref="M169">MMS_PastureBeef_Soil_N2ODirect_Equations.VEERG_4_2_1_3__3_NitrogenExcreted(M54,M153,N161,M127,M20)</f>
        <v>0.2934676863299529</v>
      </c>
      <c r="N169" s="52" cm="1">
        <f t="array" ref="N169">MMS_PastureBeef_Soil_N2ODirect_Equations.VEERG_4_2_1_3__3_NitrogenExcreted(N54,N153,O161,N127,N20)</f>
        <v>0.2934676863299529</v>
      </c>
      <c r="O169" s="2" t="str">
        <f>$E$140</f>
        <v>kg N/head/day</v>
      </c>
      <c r="T169" s="52" t="str">
        <f>TEXT(EDATE('Input - Site'!$E$12,1), "mmmm yyyy")</f>
        <v>February 2024</v>
      </c>
      <c r="U169" s="52">
        <f>'Input - Pasture Beef'!E167</f>
        <v>0.09</v>
      </c>
      <c r="V169" s="52">
        <f>'Input - Pasture Beef'!F167</f>
        <v>0.09</v>
      </c>
      <c r="W169" s="52">
        <f>'Input - Pasture Beef'!G167</f>
        <v>0.09</v>
      </c>
      <c r="X169" s="52">
        <f>'Input - Pasture Beef'!H167</f>
        <v>0.09</v>
      </c>
      <c r="Y169" s="52">
        <f>'Input - Pasture Beef'!I167</f>
        <v>0.09</v>
      </c>
      <c r="Z169" s="52">
        <f>'Input - Pasture Beef'!J167</f>
        <v>0.09</v>
      </c>
      <c r="AA169" s="52">
        <f>'Input - Pasture Beef'!K167</f>
        <v>0.09</v>
      </c>
      <c r="AB169" s="52">
        <f>'Input - Pasture Beef'!L167</f>
        <v>0.09</v>
      </c>
      <c r="AC169" s="52">
        <f>'Input - Pasture Beef'!M167</f>
        <v>0.09</v>
      </c>
      <c r="AD169" s="52">
        <f>'Input - Pasture Beef'!N167</f>
        <v>0.09</v>
      </c>
      <c r="AE169" s="2" t="s">
        <v>141</v>
      </c>
      <c r="AF169" s="2"/>
    </row>
    <row r="170" spans="3:32" ht="20.100000000000001" customHeight="1" x14ac:dyDescent="0.25">
      <c r="D170" s="52" t="s">
        <v>174</v>
      </c>
      <c r="E170" s="52" cm="1">
        <f t="array" ref="E170">MMS_PastureBeef_Soil_N2ODirect_Equations.VEERG_4_2_1_3__3_NitrogenExcreted(E55,E154,F162,E128,E21)</f>
        <v>0.11333791972722371</v>
      </c>
      <c r="F170" s="52" cm="1">
        <f t="array" ref="F170">MMS_PastureBeef_Soil_N2ODirect_Equations.VEERG_4_2_1_3__3_NitrogenExcreted(F55,F154,G162,F128,F21)</f>
        <v>0.13601872675007995</v>
      </c>
      <c r="G170" s="52" cm="1">
        <f t="array" ref="G170">MMS_PastureBeef_Soil_N2ODirect_Equations.VEERG_4_2_1_3__3_NitrogenExcreted(G55,G154,H162,G128,G21)</f>
        <v>9.7873723885106109E-2</v>
      </c>
      <c r="H170" s="52" cm="1">
        <f t="array" ref="H170">MMS_PastureBeef_Soil_N2ODirect_Equations.VEERG_4_2_1_3__3_NitrogenExcreted(H55,H154,I162,H128,H21)</f>
        <v>0.10517547711193569</v>
      </c>
      <c r="I170" s="52" cm="1">
        <f t="array" ref="I170">MMS_PastureBeef_Soil_N2ODirect_Equations.VEERG_4_2_1_3__3_NitrogenExcreted(I55,I154,J162,I128,I21)</f>
        <v>0.11012520217251279</v>
      </c>
      <c r="J170" s="52" cm="1">
        <f t="array" ref="J170">MMS_PastureBeef_Soil_N2ODirect_Equations.VEERG_4_2_1_3__3_NitrogenExcreted(J55,J154,K162,J128,J21)</f>
        <v>0.11012520217251279</v>
      </c>
      <c r="K170" s="52" cm="1">
        <f t="array" ref="K170">MMS_PastureBeef_Soil_N2ODirect_Equations.VEERG_4_2_1_3__3_NitrogenExcreted(K55,K154,L162,K128,K21)</f>
        <v>0.10568820163838911</v>
      </c>
      <c r="L170" s="52" cm="1">
        <f t="array" ref="L170">MMS_PastureBeef_Soil_N2ODirect_Equations.VEERG_4_2_1_3__3_NitrogenExcreted(L55,L154,M162,L128,L21)</f>
        <v>0.1054491491748196</v>
      </c>
      <c r="M170" s="52" cm="1">
        <f t="array" ref="M170">MMS_PastureBeef_Soil_N2ODirect_Equations.VEERG_4_2_1_3__3_NitrogenExcreted(M55,M154,N162,M128,M21)</f>
        <v>0.1054491491748196</v>
      </c>
      <c r="N170" s="52" cm="1">
        <f t="array" ref="N170">MMS_PastureBeef_Soil_N2ODirect_Equations.VEERG_4_2_1_3__3_NitrogenExcreted(N55,N154,O162,N128,N21)</f>
        <v>0.1054491491748196</v>
      </c>
      <c r="O170" s="2" t="str">
        <f t="shared" ref="O170:O172" si="8">$E$140</f>
        <v>kg N/head/day</v>
      </c>
      <c r="T170" s="52" t="str">
        <f>TEXT(EDATE('Input - Site'!$E$12,2), "mmmm yyyy")</f>
        <v>March 2024</v>
      </c>
      <c r="U170" s="52">
        <f>'Input - Pasture Beef'!E168</f>
        <v>0.06</v>
      </c>
      <c r="V170" s="52">
        <f>'Input - Pasture Beef'!F168</f>
        <v>0.06</v>
      </c>
      <c r="W170" s="52">
        <f>'Input - Pasture Beef'!G168</f>
        <v>0.06</v>
      </c>
      <c r="X170" s="52">
        <f>'Input - Pasture Beef'!H168</f>
        <v>0.06</v>
      </c>
      <c r="Y170" s="52">
        <f>'Input - Pasture Beef'!I168</f>
        <v>0.06</v>
      </c>
      <c r="Z170" s="52">
        <f>'Input - Pasture Beef'!J168</f>
        <v>0.06</v>
      </c>
      <c r="AA170" s="52">
        <f>'Input - Pasture Beef'!K168</f>
        <v>0.06</v>
      </c>
      <c r="AB170" s="52">
        <f>'Input - Pasture Beef'!L168</f>
        <v>0.06</v>
      </c>
      <c r="AC170" s="52">
        <f>'Input - Pasture Beef'!M168</f>
        <v>0.06</v>
      </c>
      <c r="AD170" s="52">
        <f>'Input - Pasture Beef'!N168</f>
        <v>0.06</v>
      </c>
      <c r="AE170" s="2" t="s">
        <v>141</v>
      </c>
      <c r="AF170" s="2"/>
    </row>
    <row r="171" spans="3:32" ht="20.100000000000001" customHeight="1" x14ac:dyDescent="0.25">
      <c r="D171" s="52" t="s">
        <v>175</v>
      </c>
      <c r="E171" s="52" cm="1">
        <f t="array" ref="E171">MMS_PastureBeef_Soil_N2ODirect_Equations.VEERG_4_2_1_3__3_NitrogenExcreted(E56,E155,F163,E129,E22)</f>
        <v>1.3490587405558481E-2</v>
      </c>
      <c r="F171" s="52" cm="1">
        <f t="array" ref="F171">MMS_PastureBeef_Soil_N2ODirect_Equations.VEERG_4_2_1_3__3_NitrogenExcreted(F56,F155,G163,F129,F22)</f>
        <v>8.8133023634157495E-2</v>
      </c>
      <c r="G171" s="52" cm="1">
        <f t="array" ref="G171">MMS_PastureBeef_Soil_N2ODirect_Equations.VEERG_4_2_1_3__3_NitrogenExcreted(G56,G155,H163,G129,G22)</f>
        <v>1.1001898802853755E-2</v>
      </c>
      <c r="H171" s="52" cm="1">
        <f t="array" ref="H171">MMS_PastureBeef_Soil_N2ODirect_Equations.VEERG_4_2_1_3__3_NitrogenExcreted(H56,H155,I163,H129,H22)</f>
        <v>4.516216822813645E-2</v>
      </c>
      <c r="I171" s="52" cm="1">
        <f t="array" ref="I171">MMS_PastureBeef_Soil_N2ODirect_Equations.VEERG_4_2_1_3__3_NitrogenExcreted(I56,I155,J163,I129,I22)</f>
        <v>6.2376797969101443E-2</v>
      </c>
      <c r="J171" s="52" cm="1">
        <f t="array" ref="J171">MMS_PastureBeef_Soil_N2ODirect_Equations.VEERG_4_2_1_3__3_NitrogenExcreted(J56,J155,K163,J129,J22)</f>
        <v>6.2376797969101443E-2</v>
      </c>
      <c r="K171" s="52" cm="1">
        <f t="array" ref="K171">MMS_PastureBeef_Soil_N2ODirect_Equations.VEERG_4_2_1_3__3_NitrogenExcreted(K56,K155,L163,K129,K22)</f>
        <v>1.3731587835013218E-2</v>
      </c>
      <c r="L171" s="52" cm="1">
        <f t="array" ref="L171">MMS_PastureBeef_Soil_N2ODirect_Equations.VEERG_4_2_1_3__3_NitrogenExcreted(L56,L155,M163,L129,L22)</f>
        <v>5.520208336562428E-2</v>
      </c>
      <c r="M171" s="52" cm="1">
        <f t="array" ref="M171">MMS_PastureBeef_Soil_N2ODirect_Equations.VEERG_4_2_1_3__3_NitrogenExcreted(M56,M155,N163,M129,M22)</f>
        <v>5.520208336562428E-2</v>
      </c>
      <c r="N171" s="52" cm="1">
        <f t="array" ref="N171">MMS_PastureBeef_Soil_N2ODirect_Equations.VEERG_4_2_1_3__3_NitrogenExcreted(N56,N155,O163,N129,N22)</f>
        <v>5.520208336562428E-2</v>
      </c>
      <c r="O171" s="2" t="str">
        <f t="shared" si="8"/>
        <v>kg N/head/day</v>
      </c>
      <c r="T171" s="52" t="str">
        <f>TEXT(EDATE('Input - Site'!$E$12,3), "mmmm yyyy")</f>
        <v>April 2024</v>
      </c>
      <c r="U171" s="52">
        <f>'Input - Pasture Beef'!E169</f>
        <v>0.06</v>
      </c>
      <c r="V171" s="52">
        <f>'Input - Pasture Beef'!F169</f>
        <v>0.06</v>
      </c>
      <c r="W171" s="52">
        <f>'Input - Pasture Beef'!G169</f>
        <v>0.06</v>
      </c>
      <c r="X171" s="52">
        <f>'Input - Pasture Beef'!H169</f>
        <v>0.06</v>
      </c>
      <c r="Y171" s="52">
        <f>'Input - Pasture Beef'!I169</f>
        <v>0.06</v>
      </c>
      <c r="Z171" s="52">
        <f>'Input - Pasture Beef'!J169</f>
        <v>0.06</v>
      </c>
      <c r="AA171" s="52">
        <f>'Input - Pasture Beef'!K169</f>
        <v>0.06</v>
      </c>
      <c r="AB171" s="52">
        <f>'Input - Pasture Beef'!L169</f>
        <v>0.06</v>
      </c>
      <c r="AC171" s="52">
        <f>'Input - Pasture Beef'!M169</f>
        <v>0.06</v>
      </c>
      <c r="AD171" s="52">
        <f>'Input - Pasture Beef'!N169</f>
        <v>0.06</v>
      </c>
      <c r="AE171" s="2" t="s">
        <v>141</v>
      </c>
      <c r="AF171" s="2"/>
    </row>
    <row r="172" spans="3:32" ht="20.100000000000001" customHeight="1" x14ac:dyDescent="0.25">
      <c r="D172" s="52" t="s">
        <v>176</v>
      </c>
      <c r="E172" s="52" cm="1">
        <f t="array" ref="E172">MMS_PastureBeef_Soil_N2ODirect_Equations.VEERG_4_2_1_3__3_NitrogenExcreted(E57,E156,F164,E130,E23)</f>
        <v>0.13772737785106035</v>
      </c>
      <c r="F172" s="52" cm="1">
        <f t="array" ref="F172">MMS_PastureBeef_Soil_N2ODirect_Equations.VEERG_4_2_1_3__3_NitrogenExcreted(F57,F156,G164,F130,F23)</f>
        <v>0.31425341534791917</v>
      </c>
      <c r="G172" s="52" cm="1">
        <f t="array" ref="G172">MMS_PastureBeef_Soil_N2ODirect_Equations.VEERG_4_2_1_3__3_NitrogenExcreted(G57,G156,H164,G130,G23)</f>
        <v>0.11430568530078369</v>
      </c>
      <c r="H172" s="52" cm="1">
        <f t="array" ref="H172">MMS_PastureBeef_Soil_N2ODirect_Equations.VEERG_4_2_1_3__3_NitrogenExcreted(H57,H156,I164,H130,H23)</f>
        <v>0.18660765289897449</v>
      </c>
      <c r="I172" s="52" cm="1">
        <f t="array" ref="I172">MMS_PastureBeef_Soil_N2ODirect_Equations.VEERG_4_2_1_3__3_NitrogenExcreted(I57,I156,J164,I130,I23)</f>
        <v>0.25135663949490661</v>
      </c>
      <c r="J172" s="52" cm="1">
        <f t="array" ref="J172">MMS_PastureBeef_Soil_N2ODirect_Equations.VEERG_4_2_1_3__3_NitrogenExcreted(J57,J156,K164,J130,J23)</f>
        <v>0.25135663949490661</v>
      </c>
      <c r="K172" s="52" cm="1">
        <f t="array" ref="K172">MMS_PastureBeef_Soil_N2ODirect_Equations.VEERG_4_2_1_3__3_NitrogenExcreted(K57,K156,L164,K130,K23)</f>
        <v>0.12380983067102717</v>
      </c>
      <c r="L172" s="52" cm="1">
        <f t="array" ref="L172">MMS_PastureBeef_Soil_N2ODirect_Equations.VEERG_4_2_1_3__3_NitrogenExcreted(L57,L156,M164,L130,L23)</f>
        <v>0.21091009356426255</v>
      </c>
      <c r="M172" s="52" cm="1">
        <f t="array" ref="M172">MMS_PastureBeef_Soil_N2ODirect_Equations.VEERG_4_2_1_3__3_NitrogenExcreted(M57,M156,N164,M130,M23)</f>
        <v>0.21091009356426255</v>
      </c>
      <c r="N172" s="52" cm="1">
        <f t="array" ref="N172">MMS_PastureBeef_Soil_N2ODirect_Equations.VEERG_4_2_1_3__3_NitrogenExcreted(N57,N156,O164,N130,N23)</f>
        <v>0.21091009356426255</v>
      </c>
      <c r="O172" s="2" t="str">
        <f t="shared" si="8"/>
        <v>kg N/head/day</v>
      </c>
      <c r="T172" s="52" t="str">
        <f>TEXT(EDATE('Input - Site'!$E$12,4), "mmmm yyyy")</f>
        <v>May 2024</v>
      </c>
      <c r="U172" s="52">
        <f>'Input - Pasture Beef'!E170</f>
        <v>0.06</v>
      </c>
      <c r="V172" s="52">
        <f>'Input - Pasture Beef'!F170</f>
        <v>0.06</v>
      </c>
      <c r="W172" s="52">
        <f>'Input - Pasture Beef'!G170</f>
        <v>0.06</v>
      </c>
      <c r="X172" s="52">
        <f>'Input - Pasture Beef'!H170</f>
        <v>0.06</v>
      </c>
      <c r="Y172" s="52">
        <f>'Input - Pasture Beef'!I170</f>
        <v>0.06</v>
      </c>
      <c r="Z172" s="52">
        <f>'Input - Pasture Beef'!J170</f>
        <v>0.06</v>
      </c>
      <c r="AA172" s="52">
        <f>'Input - Pasture Beef'!K170</f>
        <v>0.06</v>
      </c>
      <c r="AB172" s="52">
        <f>'Input - Pasture Beef'!L170</f>
        <v>0.06</v>
      </c>
      <c r="AC172" s="52">
        <f>'Input - Pasture Beef'!M170</f>
        <v>0.06</v>
      </c>
      <c r="AD172" s="52">
        <f>'Input - Pasture Beef'!N170</f>
        <v>0.06</v>
      </c>
      <c r="AE172" s="2" t="s">
        <v>141</v>
      </c>
      <c r="AF172" s="2"/>
    </row>
    <row r="173" spans="3:32" ht="20.100000000000001" customHeight="1" x14ac:dyDescent="0.25">
      <c r="T173" s="52" t="str">
        <f>TEXT(EDATE('Input - Site'!$E$12,5), "mmmm yyyy")</f>
        <v>June 2024</v>
      </c>
      <c r="U173" s="52">
        <f>'Input - Pasture Beef'!E171</f>
        <v>0.2</v>
      </c>
      <c r="V173" s="52">
        <f>'Input - Pasture Beef'!F171</f>
        <v>0.2</v>
      </c>
      <c r="W173" s="52">
        <f>'Input - Pasture Beef'!G171</f>
        <v>0.2</v>
      </c>
      <c r="X173" s="52">
        <f>'Input - Pasture Beef'!H171</f>
        <v>0.2</v>
      </c>
      <c r="Y173" s="52">
        <f>'Input - Pasture Beef'!I171</f>
        <v>0.2</v>
      </c>
      <c r="Z173" s="52">
        <f>'Input - Pasture Beef'!J171</f>
        <v>0.2</v>
      </c>
      <c r="AA173" s="52">
        <f>'Input - Pasture Beef'!K171</f>
        <v>0.2</v>
      </c>
      <c r="AB173" s="52">
        <f>'Input - Pasture Beef'!L171</f>
        <v>0.2</v>
      </c>
      <c r="AC173" s="52">
        <f>'Input - Pasture Beef'!M171</f>
        <v>0.2</v>
      </c>
      <c r="AD173" s="52">
        <f>'Input - Pasture Beef'!N171</f>
        <v>0.2</v>
      </c>
      <c r="AE173" s="2" t="s">
        <v>141</v>
      </c>
      <c r="AF173" s="2"/>
    </row>
    <row r="174" spans="3:32" ht="20.100000000000001" customHeight="1" x14ac:dyDescent="0.25">
      <c r="T174" s="52" t="str">
        <f>TEXT(EDATE('Input - Site'!$E$12,6), "mmmm yyyy")</f>
        <v>July 2024</v>
      </c>
      <c r="U174" s="52">
        <f>'Input - Pasture Beef'!E172</f>
        <v>0.2</v>
      </c>
      <c r="V174" s="52">
        <f>'Input - Pasture Beef'!F172</f>
        <v>0.2</v>
      </c>
      <c r="W174" s="52">
        <f>'Input - Pasture Beef'!G172</f>
        <v>0.2</v>
      </c>
      <c r="X174" s="52">
        <f>'Input - Pasture Beef'!H172</f>
        <v>0.2</v>
      </c>
      <c r="Y174" s="52">
        <f>'Input - Pasture Beef'!I172</f>
        <v>0.2</v>
      </c>
      <c r="Z174" s="52">
        <f>'Input - Pasture Beef'!J172</f>
        <v>0.2</v>
      </c>
      <c r="AA174" s="52">
        <f>'Input - Pasture Beef'!K172</f>
        <v>0.2</v>
      </c>
      <c r="AB174" s="52">
        <f>'Input - Pasture Beef'!L172</f>
        <v>0.2</v>
      </c>
      <c r="AC174" s="52">
        <f>'Input - Pasture Beef'!M172</f>
        <v>0.2</v>
      </c>
      <c r="AD174" s="52">
        <f>'Input - Pasture Beef'!N172</f>
        <v>0.2</v>
      </c>
      <c r="AE174" s="2" t="s">
        <v>141</v>
      </c>
      <c r="AF174" s="2"/>
    </row>
    <row r="175" spans="3:32" ht="20.100000000000001" customHeight="1" x14ac:dyDescent="0.25">
      <c r="C175" s="45"/>
      <c r="D175" s="45"/>
      <c r="E175" s="45"/>
      <c r="F175" s="45"/>
      <c r="G175" s="45"/>
      <c r="H175" s="45"/>
      <c r="I175" s="45"/>
      <c r="J175" s="45"/>
      <c r="K175" s="45"/>
      <c r="L175" s="45"/>
      <c r="M175" s="45"/>
      <c r="N175" s="45"/>
      <c r="O175" s="45"/>
      <c r="P175" s="45"/>
      <c r="Q175" s="45"/>
      <c r="T175" s="52" t="str">
        <f>TEXT(EDATE('Input - Site'!$E$12,7), "mmmm yyyy")</f>
        <v>August 2024</v>
      </c>
      <c r="U175" s="52">
        <f>'Input - Pasture Beef'!E173</f>
        <v>0.2</v>
      </c>
      <c r="V175" s="52">
        <f>'Input - Pasture Beef'!F173</f>
        <v>0.2</v>
      </c>
      <c r="W175" s="52">
        <f>'Input - Pasture Beef'!G173</f>
        <v>0.2</v>
      </c>
      <c r="X175" s="52">
        <f>'Input - Pasture Beef'!H173</f>
        <v>0.2</v>
      </c>
      <c r="Y175" s="52">
        <f>'Input - Pasture Beef'!I173</f>
        <v>0.2</v>
      </c>
      <c r="Z175" s="52">
        <f>'Input - Pasture Beef'!J173</f>
        <v>0.2</v>
      </c>
      <c r="AA175" s="52">
        <f>'Input - Pasture Beef'!K173</f>
        <v>0.2</v>
      </c>
      <c r="AB175" s="52">
        <f>'Input - Pasture Beef'!L173</f>
        <v>0.2</v>
      </c>
      <c r="AC175" s="52">
        <f>'Input - Pasture Beef'!M173</f>
        <v>0.2</v>
      </c>
      <c r="AD175" s="52">
        <f>'Input - Pasture Beef'!N173</f>
        <v>0.2</v>
      </c>
      <c r="AE175" s="2" t="s">
        <v>141</v>
      </c>
      <c r="AF175" s="2"/>
    </row>
    <row r="176" spans="3:32" ht="20.100000000000001" customHeight="1" x14ac:dyDescent="0.25">
      <c r="D176" s="6" t="str" cm="1">
        <f t="array" ref="D176">MMS_PastureBeef_Soil_N2ODirect_Equations.VEERG_4_2_1_3__2_TotalNitrogenExcretedToPastureRangeAndPaddock_Title()</f>
        <v>Total nitrogen excreted to pasture, range and paddock</v>
      </c>
      <c r="T176" s="52" t="str">
        <f>TEXT(EDATE('Input - Site'!$E$12,8), "mmmm yyyy")</f>
        <v>September 2024</v>
      </c>
      <c r="U176" s="52">
        <f>'Input - Pasture Beef'!E174</f>
        <v>0.2</v>
      </c>
      <c r="V176" s="52">
        <f>'Input - Pasture Beef'!F174</f>
        <v>0.2</v>
      </c>
      <c r="W176" s="52">
        <f>'Input - Pasture Beef'!G174</f>
        <v>0.2</v>
      </c>
      <c r="X176" s="52">
        <f>'Input - Pasture Beef'!H174</f>
        <v>0.2</v>
      </c>
      <c r="Y176" s="52">
        <f>'Input - Pasture Beef'!I174</f>
        <v>0.2</v>
      </c>
      <c r="Z176" s="52">
        <f>'Input - Pasture Beef'!J174</f>
        <v>0.2</v>
      </c>
      <c r="AA176" s="52">
        <f>'Input - Pasture Beef'!K174</f>
        <v>0.2</v>
      </c>
      <c r="AB176" s="52">
        <f>'Input - Pasture Beef'!L174</f>
        <v>0.2</v>
      </c>
      <c r="AC176" s="52">
        <f>'Input - Pasture Beef'!M174</f>
        <v>0.2</v>
      </c>
      <c r="AD176" s="52">
        <f>'Input - Pasture Beef'!N174</f>
        <v>0.2</v>
      </c>
      <c r="AE176" s="2" t="s">
        <v>141</v>
      </c>
      <c r="AF176" s="2"/>
    </row>
    <row r="177" spans="4:32" ht="20.100000000000001" customHeight="1" x14ac:dyDescent="0.25">
      <c r="D177" s="5" t="str" cm="1">
        <f t="array" ref="D177">MMS_PastureBeef_Soil_N2ODirect_Equations.VEERG_4_2_1_3__2_TotalNitrogenExcretedToPastureRangeAndPaddock_Source()</f>
        <v>VEERG 2026: 4.2.1.3, Equation (2)</v>
      </c>
      <c r="T177" s="52" t="str">
        <f>TEXT(EDATE('Input - Site'!$E$12,9), "mmmm yyyy")</f>
        <v>October 2024</v>
      </c>
      <c r="U177" s="52">
        <f>'Input - Pasture Beef'!E175</f>
        <v>0.2</v>
      </c>
      <c r="V177" s="52">
        <f>'Input - Pasture Beef'!F175</f>
        <v>0.2</v>
      </c>
      <c r="W177" s="52">
        <f>'Input - Pasture Beef'!G175</f>
        <v>0.2</v>
      </c>
      <c r="X177" s="52">
        <f>'Input - Pasture Beef'!H175</f>
        <v>0.2</v>
      </c>
      <c r="Y177" s="52">
        <f>'Input - Pasture Beef'!I175</f>
        <v>0.2</v>
      </c>
      <c r="Z177" s="52">
        <f>'Input - Pasture Beef'!J175</f>
        <v>0.2</v>
      </c>
      <c r="AA177" s="52">
        <f>'Input - Pasture Beef'!K175</f>
        <v>0.2</v>
      </c>
      <c r="AB177" s="52">
        <f>'Input - Pasture Beef'!L175</f>
        <v>0.2</v>
      </c>
      <c r="AC177" s="52">
        <f>'Input - Pasture Beef'!M175</f>
        <v>0.2</v>
      </c>
      <c r="AD177" s="52">
        <f>'Input - Pasture Beef'!N175</f>
        <v>0.2</v>
      </c>
      <c r="AE177" s="2" t="s">
        <v>141</v>
      </c>
      <c r="AF177" s="2"/>
    </row>
    <row r="178" spans="4:32" ht="20.100000000000001" customHeight="1" x14ac:dyDescent="0.25">
      <c r="D178" s="13" t="s">
        <v>27</v>
      </c>
      <c r="E178" s="13" t="str" cm="1">
        <f t="array" aca="1" ref="E178" ca="1">Common_InputFunctions.Utility_DisplayFunctionName($E$207)</f>
        <v>=MMS_PastureBeef_Soil_N2ODirect_Equations.VEERG_4_2_1_3__2_TotalNitrogenExcretedToPastureRangeAndPaddock</v>
      </c>
      <c r="T178" s="52" t="str">
        <f>TEXT(EDATE('Input - Site'!$E$12,10), "mmmm yyyy")</f>
        <v>November 2024</v>
      </c>
      <c r="U178" s="52">
        <f>'Input - Pasture Beef'!E176</f>
        <v>0.2</v>
      </c>
      <c r="V178" s="52">
        <f>'Input - Pasture Beef'!F176</f>
        <v>0.2</v>
      </c>
      <c r="W178" s="52">
        <f>'Input - Pasture Beef'!G176</f>
        <v>0.2</v>
      </c>
      <c r="X178" s="52">
        <f>'Input - Pasture Beef'!H176</f>
        <v>0.2</v>
      </c>
      <c r="Y178" s="52">
        <f>'Input - Pasture Beef'!I176</f>
        <v>0.2</v>
      </c>
      <c r="Z178" s="52">
        <f>'Input - Pasture Beef'!J176</f>
        <v>0.2</v>
      </c>
      <c r="AA178" s="52">
        <f>'Input - Pasture Beef'!K176</f>
        <v>0.2</v>
      </c>
      <c r="AB178" s="52">
        <f>'Input - Pasture Beef'!L176</f>
        <v>0.2</v>
      </c>
      <c r="AC178" s="52">
        <f>'Input - Pasture Beef'!M176</f>
        <v>0.2</v>
      </c>
      <c r="AD178" s="52">
        <f>'Input - Pasture Beef'!N176</f>
        <v>0.2</v>
      </c>
      <c r="AE178" s="2" t="s">
        <v>141</v>
      </c>
      <c r="AF178" s="2"/>
    </row>
    <row r="179" spans="4:32" ht="20.100000000000001" customHeight="1" x14ac:dyDescent="0.25">
      <c r="T179" s="52" t="str">
        <f>TEXT(EDATE('Input - Site'!$E$12,11), "mmmm yyyy")</f>
        <v>December 2024</v>
      </c>
      <c r="U179" s="52">
        <f>'Input - Pasture Beef'!E177</f>
        <v>0.09</v>
      </c>
      <c r="V179" s="52">
        <f>'Input - Pasture Beef'!F177</f>
        <v>0.09</v>
      </c>
      <c r="W179" s="52">
        <f>'Input - Pasture Beef'!G177</f>
        <v>0.09</v>
      </c>
      <c r="X179" s="52">
        <f>'Input - Pasture Beef'!H177</f>
        <v>0.09</v>
      </c>
      <c r="Y179" s="52">
        <f>'Input - Pasture Beef'!I177</f>
        <v>0.09</v>
      </c>
      <c r="Z179" s="52">
        <f>'Input - Pasture Beef'!J177</f>
        <v>0.09</v>
      </c>
      <c r="AA179" s="52">
        <f>'Input - Pasture Beef'!K177</f>
        <v>0.09</v>
      </c>
      <c r="AB179" s="52">
        <f>'Input - Pasture Beef'!L177</f>
        <v>0.09</v>
      </c>
      <c r="AC179" s="52">
        <f>'Input - Pasture Beef'!M177</f>
        <v>0.09</v>
      </c>
      <c r="AD179" s="52">
        <f>'Input - Pasture Beef'!N177</f>
        <v>0.09</v>
      </c>
      <c r="AE179" s="2" t="s">
        <v>141</v>
      </c>
      <c r="AF179" s="2"/>
    </row>
    <row r="180" spans="4:32" ht="20.100000000000001" customHeight="1" x14ac:dyDescent="0.25"/>
    <row r="181" spans="4:32" ht="20.100000000000001" customHeight="1" x14ac:dyDescent="0.25">
      <c r="D181" s="53" t="s">
        <v>30</v>
      </c>
      <c r="E181" s="1" t="str" cm="1">
        <f t="array" ref="E181">MMS_PastureBeef_Soil_N2ODirect_Equations.VEERG_4_2_1_3__2_TotalNitrogenExcretedToPastureRangeAndPaddock_Variable()</f>
        <v>AE</v>
      </c>
      <c r="T181" s="99" t="s">
        <v>307</v>
      </c>
    </row>
    <row r="182" spans="4:32" ht="20.100000000000001" customHeight="1" x14ac:dyDescent="0.25">
      <c r="D182" s="53" t="s">
        <v>20</v>
      </c>
      <c r="E182" s="54" t="str" cm="1">
        <f t="array" ref="E182">MMS_PastureBeef_Soil_N2ODirect_Equations.VEERG_4_2_1_3__2_TotalNitrogenExcretedToPastureRangeAndPaddock_Unit()</f>
        <v>kg N</v>
      </c>
      <c r="T182" s="98" t="s">
        <v>323</v>
      </c>
    </row>
    <row r="183" spans="4:32" ht="20.100000000000001" customHeight="1" x14ac:dyDescent="0.25">
      <c r="T183" s="51" t="s">
        <v>132</v>
      </c>
      <c r="U183" s="51" t="s">
        <v>248</v>
      </c>
      <c r="V183" s="51" t="s">
        <v>131</v>
      </c>
      <c r="W183" s="51" t="s">
        <v>130</v>
      </c>
      <c r="X183" s="51" t="s">
        <v>165</v>
      </c>
      <c r="Y183" s="51" t="s">
        <v>166</v>
      </c>
      <c r="Z183" s="51" t="s">
        <v>167</v>
      </c>
      <c r="AA183" s="51" t="s">
        <v>168</v>
      </c>
      <c r="AB183" s="51" t="s">
        <v>169</v>
      </c>
      <c r="AC183" s="51" t="s">
        <v>170</v>
      </c>
      <c r="AD183" s="51" t="s">
        <v>171</v>
      </c>
      <c r="AE183" s="51" t="s">
        <v>172</v>
      </c>
    </row>
    <row r="184" spans="4:32" ht="20.100000000000001" customHeight="1" x14ac:dyDescent="0.25">
      <c r="D184" s="57" t="str" cm="1">
        <f t="array" ref="D184:E186">MMS_PastureBeef_Soil_N2ODirect_Equations.VEERG_4_2_1_3__2_TotalNitrogenExcretedToPastureRangeAndPaddock_Arguments()</f>
        <v>N_jkl</v>
      </c>
      <c r="E184" s="58" t="str">
        <v>number of beef cattle by time-period, class and subclass (head)</v>
      </c>
      <c r="F184" s="100"/>
      <c r="G184" s="59"/>
      <c r="H184" s="57" t="str">
        <f>"See " &amp; $D$188</f>
        <v>See M1_Table_N_j_k_l</v>
      </c>
      <c r="T184" s="52" t="str">
        <f>'Input - Pasture Beef'!$D$128</f>
        <v>January 2024 to March 2024</v>
      </c>
      <c r="U184" s="52" t="str" cm="1">
        <f t="array" ref="U184">_xlfn.IFS($T$184=$W$159,"Calving season",$T$187=$W$159,"Season after calving",TRUE, "")</f>
        <v/>
      </c>
      <c r="V184" s="52" cm="1">
        <f t="array" ref="V184">_xlfn.XLOOKUP(1, (Table_SourceData_PastureBeef_FeedIntakeAdjustment_Variation[Breed]=$W$158)*(Table_SourceData_PastureBeef_FeedIntakeAdjustment_Variation[Season]=$U184), Table_SourceData_PastureBeef_FeedIntakeAdjustment_Variation[Milk intake/production], 0)</f>
        <v>0</v>
      </c>
      <c r="W184" s="52">
        <v>0</v>
      </c>
      <c r="X184" s="52" cm="1">
        <f t="array" ref="X184">_xlfn.XLOOKUP(1, (Table_SourceData_PastureBeef_FeedIntakeAdjustment_Variation[Breed]=$W$158)*(Table_SourceData_PastureBeef_FeedIntakeAdjustment_Variation[Season]=$U184), Table_SourceData_PastureBeef_FeedIntakeAdjustment_Variation[Milk intake/production], 0)</f>
        <v>0</v>
      </c>
      <c r="Y184" s="52">
        <v>0</v>
      </c>
      <c r="Z184" s="52">
        <v>0</v>
      </c>
      <c r="AA184" s="52">
        <v>0</v>
      </c>
      <c r="AB184" s="52" cm="1">
        <f t="array" ref="AB184">_xlfn.XLOOKUP(1, (Table_SourceData_PastureBeef_FeedIntakeAdjustment_Variation[Breed]=$W$158)*(Table_SourceData_PastureBeef_FeedIntakeAdjustment_Variation[Season]=$U184), Table_SourceData_PastureBeef_FeedIntakeAdjustment_Variation[Milk intake/production], 0)</f>
        <v>0</v>
      </c>
      <c r="AC184" s="52">
        <v>0</v>
      </c>
      <c r="AD184" s="52">
        <v>0</v>
      </c>
      <c r="AE184" s="52">
        <v>0</v>
      </c>
      <c r="AF184" s="2" t="s">
        <v>134</v>
      </c>
    </row>
    <row r="185" spans="4:32" ht="20.100000000000001" customHeight="1" x14ac:dyDescent="0.25">
      <c r="D185" s="57" t="str">
        <v>NE_jkl</v>
      </c>
      <c r="E185" s="58" t="str">
        <v>nitrogen excreted in each time-period, by each class and subclass (kg N/head/day)</v>
      </c>
      <c r="F185" s="100"/>
      <c r="G185" s="59"/>
      <c r="H185" s="57" t="str">
        <f>"See " &amp; $D$166</f>
        <v>See M1_Table_NE_j_k_l</v>
      </c>
      <c r="T185" s="52" t="str">
        <f>'Input - Pasture Beef'!$D$129</f>
        <v>April 2024 to June 2024</v>
      </c>
      <c r="U185" s="52" t="str" cm="1">
        <f t="array" ref="U185">_xlfn.IFS($T$185=$W$159,"Calving season",$T$184=$W$159,"Season after calving",TRUE, "")</f>
        <v/>
      </c>
      <c r="V185" s="52" cm="1">
        <f t="array" ref="V185">_xlfn.XLOOKUP(1, (Table_SourceData_PastureBeef_FeedIntakeAdjustment_Variation[Breed]=$W$158)*(Table_SourceData_PastureBeef_FeedIntakeAdjustment_Variation[Season]=$U185), Table_SourceData_PastureBeef_FeedIntakeAdjustment_Variation[Milk intake/production], 0)</f>
        <v>0</v>
      </c>
      <c r="W185" s="52">
        <v>0</v>
      </c>
      <c r="X185" s="52" cm="1">
        <f t="array" ref="X185">_xlfn.XLOOKUP(1, (Table_SourceData_PastureBeef_FeedIntakeAdjustment_Variation[Breed]=$W$158)*(Table_SourceData_PastureBeef_FeedIntakeAdjustment_Variation[Season]=$U185), Table_SourceData_PastureBeef_FeedIntakeAdjustment_Variation[Milk intake/production], 0)</f>
        <v>0</v>
      </c>
      <c r="Y185" s="52">
        <v>0</v>
      </c>
      <c r="Z185" s="52">
        <v>0</v>
      </c>
      <c r="AA185" s="52">
        <v>0</v>
      </c>
      <c r="AB185" s="52" cm="1">
        <f t="array" ref="AB185">_xlfn.XLOOKUP(1, (Table_SourceData_PastureBeef_FeedIntakeAdjustment_Variation[Breed]=$W$158)*(Table_SourceData_PastureBeef_FeedIntakeAdjustment_Variation[Season]=$U185), Table_SourceData_PastureBeef_FeedIntakeAdjustment_Variation[Milk intake/production], 0)</f>
        <v>0</v>
      </c>
      <c r="AC185" s="52">
        <v>0</v>
      </c>
      <c r="AD185" s="52">
        <v>0</v>
      </c>
      <c r="AE185" s="52">
        <v>0</v>
      </c>
      <c r="AF185" s="2" t="s">
        <v>134</v>
      </c>
    </row>
    <row r="186" spans="4:32" ht="20.100000000000001" customHeight="1" x14ac:dyDescent="0.25">
      <c r="D186" s="57" t="str">
        <v>D_j</v>
      </c>
      <c r="E186" s="58" t="str">
        <v>number of days in each time-period (days)</v>
      </c>
      <c r="F186" s="100"/>
      <c r="G186" s="59"/>
      <c r="H186" s="57" t="str">
        <f>"See " &amp; $D$196</f>
        <v>See M1_Table_D_j</v>
      </c>
      <c r="T186" s="52" t="str">
        <f>'Input - Pasture Beef'!$D$130</f>
        <v>July 2024 to September 2024</v>
      </c>
      <c r="U186" s="52" t="str" cm="1">
        <f t="array" ref="U186">_xlfn.IFS($T$186=$W$159,"Calving season",$T$185=$W$159,"Season after calving",TRUE, "")</f>
        <v>Calving season</v>
      </c>
      <c r="V186" s="52" cm="1">
        <f t="array" ref="V186">_xlfn.XLOOKUP(1, (Table_SourceData_PastureBeef_FeedIntakeAdjustment_Variation[Breed]=$W$158)*(Table_SourceData_PastureBeef_FeedIntakeAdjustment_Variation[Season]=$U186), Table_SourceData_PastureBeef_FeedIntakeAdjustment_Variation[Milk intake/production], 0)</f>
        <v>6</v>
      </c>
      <c r="W186" s="52">
        <v>0</v>
      </c>
      <c r="X186" s="52" cm="1">
        <f t="array" ref="X186">_xlfn.XLOOKUP(1, (Table_SourceData_PastureBeef_FeedIntakeAdjustment_Variation[Breed]=$W$158)*(Table_SourceData_PastureBeef_FeedIntakeAdjustment_Variation[Season]=$U186), Table_SourceData_PastureBeef_FeedIntakeAdjustment_Variation[Milk intake/production], 0)</f>
        <v>6</v>
      </c>
      <c r="Y186" s="52">
        <v>0</v>
      </c>
      <c r="Z186" s="52">
        <v>0</v>
      </c>
      <c r="AA186" s="52">
        <v>0</v>
      </c>
      <c r="AB186" s="52" cm="1">
        <f t="array" ref="AB186">_xlfn.XLOOKUP(1, (Table_SourceData_PastureBeef_FeedIntakeAdjustment_Variation[Breed]=$W$158)*(Table_SourceData_PastureBeef_FeedIntakeAdjustment_Variation[Season]=$U186), Table_SourceData_PastureBeef_FeedIntakeAdjustment_Variation[Milk intake/production], 0)</f>
        <v>6</v>
      </c>
      <c r="AC186" s="52">
        <v>0</v>
      </c>
      <c r="AD186" s="52">
        <v>0</v>
      </c>
      <c r="AE186" s="52">
        <v>0</v>
      </c>
      <c r="AF186" s="2" t="s">
        <v>134</v>
      </c>
    </row>
    <row r="187" spans="4:32" ht="20.100000000000001" customHeight="1" x14ac:dyDescent="0.25">
      <c r="T187" s="52" t="str">
        <f>'Input - Pasture Beef'!$D$131</f>
        <v>October 2024 to December 2024</v>
      </c>
      <c r="U187" s="52" t="str" cm="1">
        <f t="array" ref="U187">_xlfn.IFS($T$187=$W$159,"Calving season",$T$186=$W$159,"Season after calving",TRUE, "")</f>
        <v>Season after calving</v>
      </c>
      <c r="V187" s="52" cm="1">
        <f t="array" ref="V187">_xlfn.XLOOKUP(1, (Table_SourceData_PastureBeef_FeedIntakeAdjustment_Variation[Breed]=$W$158)*(Table_SourceData_PastureBeef_FeedIntakeAdjustment_Variation[Season]=$U187), Table_SourceData_PastureBeef_FeedIntakeAdjustment_Variation[Milk intake/production], 0)</f>
        <v>4</v>
      </c>
      <c r="W187" s="52">
        <v>0</v>
      </c>
      <c r="X187" s="52" cm="1">
        <f t="array" ref="X187">_xlfn.XLOOKUP(1, (Table_SourceData_PastureBeef_FeedIntakeAdjustment_Variation[Breed]=$W$158)*(Table_SourceData_PastureBeef_FeedIntakeAdjustment_Variation[Season]=$U187), Table_SourceData_PastureBeef_FeedIntakeAdjustment_Variation[Milk intake/production], 0)</f>
        <v>4</v>
      </c>
      <c r="Y187" s="52">
        <v>0</v>
      </c>
      <c r="Z187" s="52">
        <v>0</v>
      </c>
      <c r="AA187" s="52">
        <v>0</v>
      </c>
      <c r="AB187" s="52" cm="1">
        <f t="array" ref="AB187">_xlfn.XLOOKUP(1, (Table_SourceData_PastureBeef_FeedIntakeAdjustment_Variation[Breed]=$W$158)*(Table_SourceData_PastureBeef_FeedIntakeAdjustment_Variation[Season]=$U187), Table_SourceData_PastureBeef_FeedIntakeAdjustment_Variation[Milk intake/production], 0)</f>
        <v>4</v>
      </c>
      <c r="AC187" s="52">
        <v>0</v>
      </c>
      <c r="AD187" s="52">
        <v>0</v>
      </c>
      <c r="AE187" s="52">
        <v>0</v>
      </c>
      <c r="AF187" s="2" t="s">
        <v>134</v>
      </c>
    </row>
    <row r="188" spans="4:32" ht="20.100000000000001" customHeight="1" x14ac:dyDescent="0.25">
      <c r="D188" s="99" t="s">
        <v>283</v>
      </c>
    </row>
    <row r="189" spans="4:32" ht="20.100000000000001" customHeight="1" x14ac:dyDescent="0.25">
      <c r="D189" s="98" t="s">
        <v>284</v>
      </c>
      <c r="T189" s="99" t="s">
        <v>326</v>
      </c>
    </row>
    <row r="190" spans="4:32" ht="20.100000000000001" customHeight="1" x14ac:dyDescent="0.25">
      <c r="D190" s="51" t="s">
        <v>184</v>
      </c>
      <c r="E190" s="51" t="s">
        <v>131</v>
      </c>
      <c r="F190" s="51" t="s">
        <v>130</v>
      </c>
      <c r="G190" s="51" t="s">
        <v>165</v>
      </c>
      <c r="H190" s="51" t="s">
        <v>166</v>
      </c>
      <c r="I190" s="51" t="s">
        <v>167</v>
      </c>
      <c r="J190" s="51" t="s">
        <v>168</v>
      </c>
      <c r="K190" s="51" t="s">
        <v>169</v>
      </c>
      <c r="L190" s="51" t="s">
        <v>170</v>
      </c>
      <c r="M190" s="51" t="s">
        <v>171</v>
      </c>
      <c r="N190" s="51" t="s">
        <v>172</v>
      </c>
      <c r="T190" s="98" t="s">
        <v>327</v>
      </c>
    </row>
    <row r="191" spans="4:32" ht="20.100000000000001" customHeight="1" x14ac:dyDescent="0.25">
      <c r="D191" s="52" t="s">
        <v>173</v>
      </c>
      <c r="E191" s="52">
        <f>'Input - Pasture Beef'!E38</f>
        <v>100</v>
      </c>
      <c r="F191" s="52">
        <f>'Input - Pasture Beef'!F38</f>
        <v>100</v>
      </c>
      <c r="G191" s="52">
        <f>'Input - Pasture Beef'!G38</f>
        <v>100</v>
      </c>
      <c r="H191" s="52">
        <f>'Input - Pasture Beef'!H38</f>
        <v>100</v>
      </c>
      <c r="I191" s="52">
        <f>'Input - Pasture Beef'!I38</f>
        <v>100</v>
      </c>
      <c r="J191" s="52">
        <f>'Input - Pasture Beef'!J38</f>
        <v>100</v>
      </c>
      <c r="K191" s="52">
        <f>'Input - Pasture Beef'!K38</f>
        <v>100</v>
      </c>
      <c r="L191" s="52">
        <f>'Input - Pasture Beef'!L38</f>
        <v>100</v>
      </c>
      <c r="M191" s="52">
        <f>'Input - Pasture Beef'!M38</f>
        <v>100</v>
      </c>
      <c r="N191" s="52">
        <f>'Input - Pasture Beef'!N38</f>
        <v>100</v>
      </c>
      <c r="O191" s="2" t="s">
        <v>102</v>
      </c>
      <c r="T191" s="51" t="s">
        <v>132</v>
      </c>
      <c r="U191" s="51" t="s">
        <v>131</v>
      </c>
      <c r="V191" s="51" t="s">
        <v>130</v>
      </c>
      <c r="W191" s="51" t="s">
        <v>165</v>
      </c>
      <c r="X191" s="51" t="s">
        <v>166</v>
      </c>
      <c r="Y191" s="51" t="s">
        <v>167</v>
      </c>
      <c r="Z191" s="51" t="s">
        <v>168</v>
      </c>
      <c r="AA191" s="51" t="s">
        <v>169</v>
      </c>
      <c r="AB191" s="51" t="s">
        <v>170</v>
      </c>
      <c r="AC191" s="51" t="s">
        <v>171</v>
      </c>
      <c r="AD191" s="51" t="s">
        <v>172</v>
      </c>
    </row>
    <row r="192" spans="4:32" ht="20.100000000000001" customHeight="1" x14ac:dyDescent="0.25">
      <c r="D192" s="52" t="s">
        <v>174</v>
      </c>
      <c r="E192" s="52">
        <f>'Input - Pasture Beef'!E39</f>
        <v>100</v>
      </c>
      <c r="F192" s="52">
        <f>'Input - Pasture Beef'!F39</f>
        <v>100</v>
      </c>
      <c r="G192" s="52">
        <f>'Input - Pasture Beef'!G39</f>
        <v>100</v>
      </c>
      <c r="H192" s="52">
        <f>'Input - Pasture Beef'!H39</f>
        <v>100</v>
      </c>
      <c r="I192" s="52">
        <f>'Input - Pasture Beef'!I39</f>
        <v>100</v>
      </c>
      <c r="J192" s="52">
        <f>'Input - Pasture Beef'!J39</f>
        <v>100</v>
      </c>
      <c r="K192" s="52">
        <f>'Input - Pasture Beef'!K39</f>
        <v>100</v>
      </c>
      <c r="L192" s="52">
        <f>'Input - Pasture Beef'!L39</f>
        <v>100</v>
      </c>
      <c r="M192" s="52">
        <f>'Input - Pasture Beef'!M39</f>
        <v>100</v>
      </c>
      <c r="N192" s="52">
        <f>'Input - Pasture Beef'!N39</f>
        <v>100</v>
      </c>
      <c r="O192" s="2" t="s">
        <v>102</v>
      </c>
      <c r="T192" s="52" t="str">
        <f>TEXT('Input - Site'!$E$12, "mmmm yyyy")</f>
        <v>January 2024</v>
      </c>
      <c r="U192" s="52" cm="1">
        <f t="array" ref="U192">MMS_PastureBeef_Soil_N2ODirect_Equations.VEERG_4_2_1_3__3_NitrogenExcreted(U56,U168,V$184,U136,U20)</f>
        <v>9.3275223802458812E-2</v>
      </c>
      <c r="V192" s="52" cm="1">
        <f t="array" ref="V192">MMS_PastureBeef_Soil_N2ODirect_Equations.VEERG_4_2_1_3__3_NitrogenExcreted(V56,V168,W$184,V136,V20)</f>
        <v>0.13601872675007995</v>
      </c>
      <c r="W192" s="52" cm="1">
        <f t="array" ref="W192">MMS_PastureBeef_Soil_N2ODirect_Equations.VEERG_4_2_1_3__3_NitrogenExcreted(W56,W168,X$184,W136,W20)</f>
        <v>7.7811027960341214E-2</v>
      </c>
      <c r="X192" s="52" cm="1">
        <f t="array" ref="X192">MMS_PastureBeef_Soil_N2ODirect_Equations.VEERG_4_2_1_3__3_NitrogenExcreted(X56,X168,Y$184,X136,X20)</f>
        <v>0.10103589494585365</v>
      </c>
      <c r="Y192" s="52" cm="1">
        <f t="array" ref="Y192">MMS_PastureBeef_Soil_N2ODirect_Equations.VEERG_4_2_1_3__3_NitrogenExcreted(Y56,Y168,Z$184,Y136,Y20)</f>
        <v>0.10613051058639233</v>
      </c>
      <c r="Z192" s="52" cm="1">
        <f t="array" ref="Z192">MMS_PastureBeef_Soil_N2ODirect_Equations.VEERG_4_2_1_3__3_NitrogenExcreted(Z56,Z168,AA$184,Z136,Z20)</f>
        <v>0.10613051058639233</v>
      </c>
      <c r="AA192" s="52" cm="1">
        <f t="array" ref="AA192">MMS_PastureBeef_Soil_N2ODirect_Equations.VEERG_4_2_1_3__3_NitrogenExcreted(AA56,AA168,AB$184,AA136,AA20)</f>
        <v>8.562550571362422E-2</v>
      </c>
      <c r="AB192" s="52" cm="1">
        <f t="array" ref="AB192">MMS_PastureBeef_Soil_N2ODirect_Equations.VEERG_4_2_1_3__3_NitrogenExcreted(AB56,AB168,AC$184,AB136,AB20)</f>
        <v>0.1054491491748196</v>
      </c>
      <c r="AC192" s="52" cm="1">
        <f t="array" ref="AC192">MMS_PastureBeef_Soil_N2ODirect_Equations.VEERG_4_2_1_3__3_NitrogenExcreted(AC56,AC168,AD$184,AC136,AC20)</f>
        <v>0.1054491491748196</v>
      </c>
      <c r="AD192" s="52" cm="1">
        <f t="array" ref="AD192">MMS_PastureBeef_Soil_N2ODirect_Equations.VEERG_4_2_1_3__3_NitrogenExcreted(AD56,AD168,AE$184,AD136,AD20)</f>
        <v>0.1054491491748196</v>
      </c>
      <c r="AE192" s="2" t="str">
        <f t="shared" ref="AE192:AE203" si="9">$E$140</f>
        <v>kg N/head/day</v>
      </c>
      <c r="AF192" s="2"/>
    </row>
    <row r="193" spans="4:33" ht="20.100000000000001" customHeight="1" x14ac:dyDescent="0.25">
      <c r="D193" s="52" t="s">
        <v>175</v>
      </c>
      <c r="E193" s="52">
        <f>'Input - Pasture Beef'!E40</f>
        <v>100</v>
      </c>
      <c r="F193" s="52">
        <f>'Input - Pasture Beef'!F40</f>
        <v>100</v>
      </c>
      <c r="G193" s="52">
        <f>'Input - Pasture Beef'!G40</f>
        <v>100</v>
      </c>
      <c r="H193" s="52">
        <f>'Input - Pasture Beef'!H40</f>
        <v>100</v>
      </c>
      <c r="I193" s="52">
        <f>'Input - Pasture Beef'!I40</f>
        <v>100</v>
      </c>
      <c r="J193" s="52">
        <f>'Input - Pasture Beef'!J40</f>
        <v>100</v>
      </c>
      <c r="K193" s="52">
        <f>'Input - Pasture Beef'!K40</f>
        <v>100</v>
      </c>
      <c r="L193" s="52">
        <f>'Input - Pasture Beef'!L40</f>
        <v>100</v>
      </c>
      <c r="M193" s="52">
        <f>'Input - Pasture Beef'!M40</f>
        <v>100</v>
      </c>
      <c r="N193" s="52">
        <f>'Input - Pasture Beef'!N40</f>
        <v>100</v>
      </c>
      <c r="O193" s="2" t="s">
        <v>102</v>
      </c>
      <c r="T193" s="52" t="str">
        <f>TEXT(EDATE('Input - Site'!$E$12,1), "mmmm yyyy")</f>
        <v>February 2024</v>
      </c>
      <c r="U193" s="52" cm="1">
        <f t="array" ref="U193">MMS_PastureBeef_Soil_N2ODirect_Equations.VEERG_4_2_1_3__3_NitrogenExcreted(U57,U169,V$184,U137,U21)</f>
        <v>9.3275223802458812E-2</v>
      </c>
      <c r="V193" s="52" cm="1">
        <f t="array" ref="V193">MMS_PastureBeef_Soil_N2ODirect_Equations.VEERG_4_2_1_3__3_NitrogenExcreted(V57,V169,W$184,V137,V21)</f>
        <v>0.13601872675007995</v>
      </c>
      <c r="W193" s="52" cm="1">
        <f t="array" ref="W193">MMS_PastureBeef_Soil_N2ODirect_Equations.VEERG_4_2_1_3__3_NitrogenExcreted(W57,W169,X$184,W137,W21)</f>
        <v>7.7811027960341214E-2</v>
      </c>
      <c r="X193" s="52" cm="1">
        <f t="array" ref="X193">MMS_PastureBeef_Soil_N2ODirect_Equations.VEERG_4_2_1_3__3_NitrogenExcreted(X57,X169,Y$184,X137,X21)</f>
        <v>0.10103589494585365</v>
      </c>
      <c r="Y193" s="52" cm="1">
        <f t="array" ref="Y193">MMS_PastureBeef_Soil_N2ODirect_Equations.VEERG_4_2_1_3__3_NitrogenExcreted(Y57,Y169,Z$184,Y137,Y21)</f>
        <v>0.10613051058639233</v>
      </c>
      <c r="Z193" s="52" cm="1">
        <f t="array" ref="Z193">MMS_PastureBeef_Soil_N2ODirect_Equations.VEERG_4_2_1_3__3_NitrogenExcreted(Z57,Z169,AA$184,Z137,Z21)</f>
        <v>0.10613051058639233</v>
      </c>
      <c r="AA193" s="52" cm="1">
        <f t="array" ref="AA193">MMS_PastureBeef_Soil_N2ODirect_Equations.VEERG_4_2_1_3__3_NitrogenExcreted(AA57,AA169,AB$184,AA137,AA21)</f>
        <v>8.562550571362422E-2</v>
      </c>
      <c r="AB193" s="52" cm="1">
        <f t="array" ref="AB193">MMS_PastureBeef_Soil_N2ODirect_Equations.VEERG_4_2_1_3__3_NitrogenExcreted(AB57,AB169,AC$184,AB137,AB21)</f>
        <v>0.1054491491748196</v>
      </c>
      <c r="AC193" s="52" cm="1">
        <f t="array" ref="AC193">MMS_PastureBeef_Soil_N2ODirect_Equations.VEERG_4_2_1_3__3_NitrogenExcreted(AC57,AC169,AD$184,AC137,AC21)</f>
        <v>0.1054491491748196</v>
      </c>
      <c r="AD193" s="52" cm="1">
        <f t="array" ref="AD193">MMS_PastureBeef_Soil_N2ODirect_Equations.VEERG_4_2_1_3__3_NitrogenExcreted(AD57,AD169,AE$184,AD137,AD21)</f>
        <v>0.1054491491748196</v>
      </c>
      <c r="AE193" s="2" t="str">
        <f t="shared" si="9"/>
        <v>kg N/head/day</v>
      </c>
      <c r="AF193" s="2"/>
    </row>
    <row r="194" spans="4:33" ht="20.100000000000001" customHeight="1" x14ac:dyDescent="0.25">
      <c r="D194" s="52" t="s">
        <v>176</v>
      </c>
      <c r="E194" s="52">
        <f>'Input - Pasture Beef'!E41</f>
        <v>100</v>
      </c>
      <c r="F194" s="52">
        <f>'Input - Pasture Beef'!F41</f>
        <v>100</v>
      </c>
      <c r="G194" s="52">
        <f>'Input - Pasture Beef'!G41</f>
        <v>100</v>
      </c>
      <c r="H194" s="52">
        <f>'Input - Pasture Beef'!H41</f>
        <v>100</v>
      </c>
      <c r="I194" s="52">
        <f>'Input - Pasture Beef'!I41</f>
        <v>100</v>
      </c>
      <c r="J194" s="52">
        <f>'Input - Pasture Beef'!J41</f>
        <v>100</v>
      </c>
      <c r="K194" s="52">
        <f>'Input - Pasture Beef'!K41</f>
        <v>100</v>
      </c>
      <c r="L194" s="52">
        <f>'Input - Pasture Beef'!L41</f>
        <v>100</v>
      </c>
      <c r="M194" s="52">
        <f>'Input - Pasture Beef'!M41</f>
        <v>100</v>
      </c>
      <c r="N194" s="52">
        <f>'Input - Pasture Beef'!N41</f>
        <v>100</v>
      </c>
      <c r="O194" s="2" t="s">
        <v>102</v>
      </c>
      <c r="T194" s="52" t="str">
        <f>TEXT(EDATE('Input - Site'!$E$12,2), "mmmm yyyy")</f>
        <v>March 2024</v>
      </c>
      <c r="U194" s="52" cm="1">
        <f t="array" ref="U194">MMS_PastureBeef_Soil_N2ODirect_Equations.VEERG_4_2_1_3__3_NitrogenExcreted(U58,U170,V$184,U138,U22)</f>
        <v>1.3490587405558481E-2</v>
      </c>
      <c r="V194" s="52" cm="1">
        <f t="array" ref="V194">MMS_PastureBeef_Soil_N2ODirect_Equations.VEERG_4_2_1_3__3_NitrogenExcreted(V58,V170,W$184,V138,V22)</f>
        <v>8.8133023634157495E-2</v>
      </c>
      <c r="W194" s="52" cm="1">
        <f t="array" ref="W194">MMS_PastureBeef_Soil_N2ODirect_Equations.VEERG_4_2_1_3__3_NitrogenExcreted(W58,W170,X$184,W138,W22)</f>
        <v>1.1001898802853755E-2</v>
      </c>
      <c r="X194" s="52" cm="1">
        <f t="array" ref="X194">MMS_PastureBeef_Soil_N2ODirect_Equations.VEERG_4_2_1_3__3_NitrogenExcreted(X58,X170,Y$184,X138,X22)</f>
        <v>4.1578090797762333E-2</v>
      </c>
      <c r="Y194" s="52" cm="1">
        <f t="array" ref="Y194">MMS_PastureBeef_Soil_N2ODirect_Equations.VEERG_4_2_1_3__3_NitrogenExcreted(Y58,Y170,Z$184,Y138,Y22)</f>
        <v>5.8972655359457248E-2</v>
      </c>
      <c r="Z194" s="52" cm="1">
        <f t="array" ref="Z194">MMS_PastureBeef_Soil_N2ODirect_Equations.VEERG_4_2_1_3__3_NitrogenExcreted(Z58,Z170,AA$184,Z138,Z22)</f>
        <v>5.8972655359457248E-2</v>
      </c>
      <c r="AA194" s="52" cm="1">
        <f t="array" ref="AA194">MMS_PastureBeef_Soil_N2ODirect_Equations.VEERG_4_2_1_3__3_NitrogenExcreted(AA58,AA170,AB$184,AA138,AA22)</f>
        <v>1.3731587835013218E-2</v>
      </c>
      <c r="AB194" s="52" cm="1">
        <f t="array" ref="AB194">MMS_PastureBeef_Soil_N2ODirect_Equations.VEERG_4_2_1_3__3_NitrogenExcreted(AB58,AB170,AC$184,AB138,AB22)</f>
        <v>5.520208336562428E-2</v>
      </c>
      <c r="AC194" s="52" cm="1">
        <f t="array" ref="AC194">MMS_PastureBeef_Soil_N2ODirect_Equations.VEERG_4_2_1_3__3_NitrogenExcreted(AC58,AC170,AD$184,AC138,AC22)</f>
        <v>5.520208336562428E-2</v>
      </c>
      <c r="AD194" s="52" cm="1">
        <f t="array" ref="AD194">MMS_PastureBeef_Soil_N2ODirect_Equations.VEERG_4_2_1_3__3_NitrogenExcreted(AD58,AD170,AE$184,AD138,AD22)</f>
        <v>5.520208336562428E-2</v>
      </c>
      <c r="AE194" s="2" t="str">
        <f t="shared" si="9"/>
        <v>kg N/head/day</v>
      </c>
      <c r="AF194" s="2"/>
    </row>
    <row r="195" spans="4:33" ht="20.100000000000001" customHeight="1" x14ac:dyDescent="0.25">
      <c r="T195" s="52" t="str">
        <f>TEXT(EDATE('Input - Site'!$E$12,3), "mmmm yyyy")</f>
        <v>April 2024</v>
      </c>
      <c r="U195" s="52" cm="1">
        <f t="array" ref="U195">MMS_PastureBeef_Soil_N2ODirect_Equations.VEERG_4_2_1_3__3_NitrogenExcreted(U59,U171,V$185,U139,U23)</f>
        <v>1.3490587405558481E-2</v>
      </c>
      <c r="V195" s="52" cm="1">
        <f t="array" ref="V195">MMS_PastureBeef_Soil_N2ODirect_Equations.VEERG_4_2_1_3__3_NitrogenExcreted(V59,V171,W$185,V139,V23)</f>
        <v>8.8133023634157495E-2</v>
      </c>
      <c r="W195" s="52" cm="1">
        <f t="array" ref="W195">MMS_PastureBeef_Soil_N2ODirect_Equations.VEERG_4_2_1_3__3_NitrogenExcreted(W59,W171,X$185,W139,W23)</f>
        <v>1.1001898802853755E-2</v>
      </c>
      <c r="X195" s="52" cm="1">
        <f t="array" ref="X195">MMS_PastureBeef_Soil_N2ODirect_Equations.VEERG_4_2_1_3__3_NitrogenExcreted(X59,X171,Y$185,X139,X23)</f>
        <v>5.2330323088884703E-2</v>
      </c>
      <c r="Y195" s="52" cm="1">
        <f t="array" ref="Y195">MMS_PastureBeef_Soil_N2ODirect_Equations.VEERG_4_2_1_3__3_NitrogenExcreted(Y59,Y171,Z$185,Y139,Y23)</f>
        <v>6.9185083188389812E-2</v>
      </c>
      <c r="Z195" s="52" cm="1">
        <f t="array" ref="Z195">MMS_PastureBeef_Soil_N2ODirect_Equations.VEERG_4_2_1_3__3_NitrogenExcreted(Z59,Z171,AA$185,Z139,Z23)</f>
        <v>6.9185083188389812E-2</v>
      </c>
      <c r="AA195" s="52" cm="1">
        <f t="array" ref="AA195">MMS_PastureBeef_Soil_N2ODirect_Equations.VEERG_4_2_1_3__3_NitrogenExcreted(AA59,AA171,AB$185,AA139,AA23)</f>
        <v>1.3731587835013218E-2</v>
      </c>
      <c r="AB195" s="52" cm="1">
        <f t="array" ref="AB195">MMS_PastureBeef_Soil_N2ODirect_Equations.VEERG_4_2_1_3__3_NitrogenExcreted(AB59,AB171,AC$185,AB139,AB23)</f>
        <v>5.520208336562428E-2</v>
      </c>
      <c r="AC195" s="52" cm="1">
        <f t="array" ref="AC195">MMS_PastureBeef_Soil_N2ODirect_Equations.VEERG_4_2_1_3__3_NitrogenExcreted(AC59,AC171,AD$185,AC139,AC23)</f>
        <v>5.520208336562428E-2</v>
      </c>
      <c r="AD195" s="52" cm="1">
        <f t="array" ref="AD195">MMS_PastureBeef_Soil_N2ODirect_Equations.VEERG_4_2_1_3__3_NitrogenExcreted(AD59,AD171,AE$185,AD139,AD23)</f>
        <v>5.520208336562428E-2</v>
      </c>
      <c r="AE195" s="2" t="str">
        <f t="shared" si="9"/>
        <v>kg N/head/day</v>
      </c>
      <c r="AF195" s="2"/>
    </row>
    <row r="196" spans="4:33" ht="20.100000000000001" customHeight="1" x14ac:dyDescent="0.25">
      <c r="D196" s="99" t="s">
        <v>146</v>
      </c>
      <c r="T196" s="52" t="str">
        <f>TEXT(EDATE('Input - Site'!$E$12,4), "mmmm yyyy")</f>
        <v>May 2024</v>
      </c>
      <c r="U196" s="52" cm="1">
        <f t="array" ref="U196">MMS_PastureBeef_Soil_N2ODirect_Equations.VEERG_4_2_1_3__3_NitrogenExcreted(U60,U172,V$185,U140,U24)</f>
        <v>1.3490587405558481E-2</v>
      </c>
      <c r="V196" s="52" cm="1">
        <f t="array" ref="V196">MMS_PastureBeef_Soil_N2ODirect_Equations.VEERG_4_2_1_3__3_NitrogenExcreted(V60,V172,W$185,V140,V24)</f>
        <v>8.8133023634157495E-2</v>
      </c>
      <c r="W196" s="52" cm="1">
        <f t="array" ref="W196">MMS_PastureBeef_Soil_N2ODirect_Equations.VEERG_4_2_1_3__3_NitrogenExcreted(W60,W172,X$185,W140,W24)</f>
        <v>1.1001898802853755E-2</v>
      </c>
      <c r="X196" s="52" cm="1">
        <f t="array" ref="X196">MMS_PastureBeef_Soil_N2ODirect_Equations.VEERG_4_2_1_3__3_NitrogenExcreted(X60,X172,Y$185,X140,X24)</f>
        <v>5.2330323088884703E-2</v>
      </c>
      <c r="Y196" s="52" cm="1">
        <f t="array" ref="Y196">MMS_PastureBeef_Soil_N2ODirect_Equations.VEERG_4_2_1_3__3_NitrogenExcreted(Y60,Y172,Z$185,Y140,Y24)</f>
        <v>6.9185083188389812E-2</v>
      </c>
      <c r="Z196" s="52" cm="1">
        <f t="array" ref="Z196">MMS_PastureBeef_Soil_N2ODirect_Equations.VEERG_4_2_1_3__3_NitrogenExcreted(Z60,Z172,AA$185,Z140,Z24)</f>
        <v>6.9185083188389812E-2</v>
      </c>
      <c r="AA196" s="52" cm="1">
        <f t="array" ref="AA196">MMS_PastureBeef_Soil_N2ODirect_Equations.VEERG_4_2_1_3__3_NitrogenExcreted(AA60,AA172,AB$185,AA140,AA24)</f>
        <v>1.3731587835013218E-2</v>
      </c>
      <c r="AB196" s="52" cm="1">
        <f t="array" ref="AB196">MMS_PastureBeef_Soil_N2ODirect_Equations.VEERG_4_2_1_3__3_NitrogenExcreted(AB60,AB172,AC$185,AB140,AB24)</f>
        <v>5.520208336562428E-2</v>
      </c>
      <c r="AC196" s="52" cm="1">
        <f t="array" ref="AC196">MMS_PastureBeef_Soil_N2ODirect_Equations.VEERG_4_2_1_3__3_NitrogenExcreted(AC60,AC172,AD$185,AC140,AC24)</f>
        <v>5.520208336562428E-2</v>
      </c>
      <c r="AD196" s="52" cm="1">
        <f t="array" ref="AD196">MMS_PastureBeef_Soil_N2ODirect_Equations.VEERG_4_2_1_3__3_NitrogenExcreted(AD60,AD172,AE$185,AD140,AD24)</f>
        <v>5.520208336562428E-2</v>
      </c>
      <c r="AE196" s="2" t="str">
        <f t="shared" si="9"/>
        <v>kg N/head/day</v>
      </c>
      <c r="AF196" s="2"/>
    </row>
    <row r="197" spans="4:33" ht="20.100000000000001" customHeight="1" x14ac:dyDescent="0.25">
      <c r="D197" s="98" t="s">
        <v>285</v>
      </c>
      <c r="T197" s="52" t="str">
        <f>TEXT(EDATE('Input - Site'!$E$12,5), "mmmm yyyy")</f>
        <v>June 2024</v>
      </c>
      <c r="U197" s="52" cm="1">
        <f t="array" ref="U197">MMS_PastureBeef_Soil_N2ODirect_Equations.VEERG_4_2_1_3__3_NitrogenExcreted(U61,U173,V$185,U141,U25)</f>
        <v>0.13772737785106035</v>
      </c>
      <c r="V197" s="52" cm="1">
        <f t="array" ref="V197">MMS_PastureBeef_Soil_N2ODirect_Equations.VEERG_4_2_1_3__3_NitrogenExcreted(V61,V173,W$185,V141,V25)</f>
        <v>0.31425341534791917</v>
      </c>
      <c r="W197" s="52" cm="1">
        <f t="array" ref="W197">MMS_PastureBeef_Soil_N2ODirect_Equations.VEERG_4_2_1_3__3_NitrogenExcreted(W61,W173,X$185,W141,W25)</f>
        <v>0.11430568530078369</v>
      </c>
      <c r="X197" s="52" cm="1">
        <f t="array" ref="X197">MMS_PastureBeef_Soil_N2ODirect_Equations.VEERG_4_2_1_3__3_NitrogenExcreted(X61,X173,Y$185,X141,X25)</f>
        <v>0.18660765289897449</v>
      </c>
      <c r="Y197" s="52" cm="1">
        <f t="array" ref="Y197">MMS_PastureBeef_Soil_N2ODirect_Equations.VEERG_4_2_1_3__3_NitrogenExcreted(Y61,Y173,Z$185,Y141,Y25)</f>
        <v>0.25135663949490661</v>
      </c>
      <c r="Z197" s="52" cm="1">
        <f t="array" ref="Z197">MMS_PastureBeef_Soil_N2ODirect_Equations.VEERG_4_2_1_3__3_NitrogenExcreted(Z61,Z173,AA$185,Z141,Z25)</f>
        <v>0.25135663949490661</v>
      </c>
      <c r="AA197" s="52" cm="1">
        <f t="array" ref="AA197">MMS_PastureBeef_Soil_N2ODirect_Equations.VEERG_4_2_1_3__3_NitrogenExcreted(AA61,AA173,AB$185,AA141,AA25)</f>
        <v>0.12380983067102717</v>
      </c>
      <c r="AB197" s="52" cm="1">
        <f t="array" ref="AB197">MMS_PastureBeef_Soil_N2ODirect_Equations.VEERG_4_2_1_3__3_NitrogenExcreted(AB61,AB173,AC$185,AB141,AB25)</f>
        <v>0.21091009356426255</v>
      </c>
      <c r="AC197" s="52" cm="1">
        <f t="array" ref="AC197">MMS_PastureBeef_Soil_N2ODirect_Equations.VEERG_4_2_1_3__3_NitrogenExcreted(AC61,AC173,AD$185,AC141,AC25)</f>
        <v>0.21091009356426255</v>
      </c>
      <c r="AD197" s="52" cm="1">
        <f t="array" ref="AD197">MMS_PastureBeef_Soil_N2ODirect_Equations.VEERG_4_2_1_3__3_NitrogenExcreted(AD61,AD173,AE$185,AD141,AD25)</f>
        <v>0.21091009356426255</v>
      </c>
      <c r="AE197" s="2" t="str">
        <f t="shared" si="9"/>
        <v>kg N/head/day</v>
      </c>
      <c r="AF197" s="2"/>
    </row>
    <row r="198" spans="4:33" ht="20.100000000000001" customHeight="1" x14ac:dyDescent="0.25">
      <c r="D198" s="51" t="s">
        <v>184</v>
      </c>
      <c r="E198" s="51" t="s">
        <v>131</v>
      </c>
      <c r="F198" s="51" t="s">
        <v>130</v>
      </c>
      <c r="G198" s="51" t="s">
        <v>165</v>
      </c>
      <c r="H198" s="51" t="s">
        <v>166</v>
      </c>
      <c r="I198" s="51" t="s">
        <v>167</v>
      </c>
      <c r="J198" s="51" t="s">
        <v>168</v>
      </c>
      <c r="K198" s="51" t="s">
        <v>169</v>
      </c>
      <c r="L198" s="51" t="s">
        <v>170</v>
      </c>
      <c r="M198" s="51" t="s">
        <v>171</v>
      </c>
      <c r="N198" s="51" t="s">
        <v>172</v>
      </c>
      <c r="T198" s="52" t="str">
        <f>TEXT(EDATE('Input - Site'!$E$12,6), "mmmm yyyy")</f>
        <v>July 2024</v>
      </c>
      <c r="U198" s="52" cm="1">
        <f t="array" ref="U198">MMS_PastureBeef_Soil_N2ODirect_Equations.VEERG_4_2_1_3__3_NitrogenExcreted(U62,U174,V$186,U142,U26)</f>
        <v>0.16782142173820769</v>
      </c>
      <c r="V198" s="52" cm="1">
        <f t="array" ref="V198">MMS_PastureBeef_Soil_N2ODirect_Equations.VEERG_4_2_1_3__3_NitrogenExcreted(V62,V174,W$186,V142,V26)</f>
        <v>0.31425341534791917</v>
      </c>
      <c r="W198" s="52" cm="1">
        <f t="array" ref="W198">MMS_PastureBeef_Soil_N2ODirect_Equations.VEERG_4_2_1_3__3_NitrogenExcreted(W62,W174,X$186,W142,W26)</f>
        <v>0.14439972918793106</v>
      </c>
      <c r="X198" s="52" cm="1">
        <f t="array" ref="X198">MMS_PastureBeef_Soil_N2ODirect_Equations.VEERG_4_2_1_3__3_NitrogenExcreted(X62,X174,Y$186,X142,X26)</f>
        <v>0.19331320683906228</v>
      </c>
      <c r="Y198" s="52" cm="1">
        <f t="array" ref="Y198">MMS_PastureBeef_Soil_N2ODirect_Equations.VEERG_4_2_1_3__3_NitrogenExcreted(Y62,Y174,Z$186,Y142,Y26)</f>
        <v>0.26291925060420368</v>
      </c>
      <c r="Z198" s="52" cm="1">
        <f t="array" ref="Z198">MMS_PastureBeef_Soil_N2ODirect_Equations.VEERG_4_2_1_3__3_NitrogenExcreted(Z62,Z174,AA$186,Z142,Z26)</f>
        <v>0.26291925060420368</v>
      </c>
      <c r="AA198" s="52" cm="1">
        <f t="array" ref="AA198">MMS_PastureBeef_Soil_N2ODirect_Equations.VEERG_4_2_1_3__3_NitrogenExcreted(AA62,AA174,AB$186,AA142,AA26)</f>
        <v>0.15390387455817453</v>
      </c>
      <c r="AB198" s="52" cm="1">
        <f t="array" ref="AB198">MMS_PastureBeef_Soil_N2ODirect_Equations.VEERG_4_2_1_3__3_NitrogenExcreted(AB62,AB174,AC$186,AB142,AB26)</f>
        <v>0.21091009356426255</v>
      </c>
      <c r="AC198" s="52" cm="1">
        <f t="array" ref="AC198">MMS_PastureBeef_Soil_N2ODirect_Equations.VEERG_4_2_1_3__3_NitrogenExcreted(AC62,AC174,AD$186,AC142,AC26)</f>
        <v>0.21091009356426255</v>
      </c>
      <c r="AD198" s="52" cm="1">
        <f t="array" ref="AD198">MMS_PastureBeef_Soil_N2ODirect_Equations.VEERG_4_2_1_3__3_NitrogenExcreted(AD62,AD174,AE$186,AD142,AD26)</f>
        <v>0.21091009356426255</v>
      </c>
      <c r="AE198" s="2" t="str">
        <f t="shared" si="9"/>
        <v>kg N/head/day</v>
      </c>
      <c r="AF198" s="2"/>
    </row>
    <row r="199" spans="4:33" ht="20.100000000000001" customHeight="1" x14ac:dyDescent="0.25">
      <c r="D199" s="52" t="s">
        <v>173</v>
      </c>
      <c r="E199" s="52">
        <f>'Input - Pasture Beef'!E16</f>
        <v>91.25</v>
      </c>
      <c r="F199" s="52">
        <f>'Input - Pasture Beef'!F16</f>
        <v>91.25</v>
      </c>
      <c r="G199" s="52">
        <f>'Input - Pasture Beef'!G16</f>
        <v>91.25</v>
      </c>
      <c r="H199" s="52">
        <f>'Input - Pasture Beef'!H16</f>
        <v>91.25</v>
      </c>
      <c r="I199" s="52">
        <f>'Input - Pasture Beef'!I16</f>
        <v>91.25</v>
      </c>
      <c r="J199" s="52">
        <f>'Input - Pasture Beef'!J16</f>
        <v>91.25</v>
      </c>
      <c r="K199" s="52">
        <f>'Input - Pasture Beef'!K16</f>
        <v>91.25</v>
      </c>
      <c r="L199" s="52">
        <f>'Input - Pasture Beef'!L16</f>
        <v>91.25</v>
      </c>
      <c r="M199" s="52">
        <f>'Input - Pasture Beef'!M16</f>
        <v>91.25</v>
      </c>
      <c r="N199" s="52">
        <f>'Input - Pasture Beef'!N16</f>
        <v>91.25</v>
      </c>
      <c r="O199" s="2" t="s">
        <v>286</v>
      </c>
      <c r="T199" s="52" t="str">
        <f>TEXT(EDATE('Input - Site'!$E$12,7), "mmmm yyyy")</f>
        <v>August 2024</v>
      </c>
      <c r="U199" s="52" cm="1">
        <f t="array" ref="U199">MMS_PastureBeef_Soil_N2ODirect_Equations.VEERG_4_2_1_3__3_NitrogenExcreted(U63,U175,V$186,U143,U27)</f>
        <v>0.16782142173820769</v>
      </c>
      <c r="V199" s="52" cm="1">
        <f t="array" ref="V199">MMS_PastureBeef_Soil_N2ODirect_Equations.VEERG_4_2_1_3__3_NitrogenExcreted(V63,V175,W$186,V143,V27)</f>
        <v>0.31425341534791917</v>
      </c>
      <c r="W199" s="52" cm="1">
        <f t="array" ref="W199">MMS_PastureBeef_Soil_N2ODirect_Equations.VEERG_4_2_1_3__3_NitrogenExcreted(W63,W175,X$186,W143,W27)</f>
        <v>0.14439972918793106</v>
      </c>
      <c r="X199" s="52" cm="1">
        <f t="array" ref="X199">MMS_PastureBeef_Soil_N2ODirect_Equations.VEERG_4_2_1_3__3_NitrogenExcreted(X63,X175,Y$186,X143,X27)</f>
        <v>0.19331320683906228</v>
      </c>
      <c r="Y199" s="52" cm="1">
        <f t="array" ref="Y199">MMS_PastureBeef_Soil_N2ODirect_Equations.VEERG_4_2_1_3__3_NitrogenExcreted(Y63,Y175,Z$186,Y143,Y27)</f>
        <v>0.26291925060420368</v>
      </c>
      <c r="Z199" s="52" cm="1">
        <f t="array" ref="Z199">MMS_PastureBeef_Soil_N2ODirect_Equations.VEERG_4_2_1_3__3_NitrogenExcreted(Z63,Z175,AA$186,Z143,Z27)</f>
        <v>0.26291925060420368</v>
      </c>
      <c r="AA199" s="52" cm="1">
        <f t="array" ref="AA199">MMS_PastureBeef_Soil_N2ODirect_Equations.VEERG_4_2_1_3__3_NitrogenExcreted(AA63,AA175,AB$186,AA143,AA27)</f>
        <v>0.15390387455817453</v>
      </c>
      <c r="AB199" s="52" cm="1">
        <f t="array" ref="AB199">MMS_PastureBeef_Soil_N2ODirect_Equations.VEERG_4_2_1_3__3_NitrogenExcreted(AB63,AB175,AC$186,AB143,AB27)</f>
        <v>0.21091009356426255</v>
      </c>
      <c r="AC199" s="52" cm="1">
        <f t="array" ref="AC199">MMS_PastureBeef_Soil_N2ODirect_Equations.VEERG_4_2_1_3__3_NitrogenExcreted(AC63,AC175,AD$186,AC143,AC27)</f>
        <v>0.21091009356426255</v>
      </c>
      <c r="AD199" s="52" cm="1">
        <f t="array" ref="AD199">MMS_PastureBeef_Soil_N2ODirect_Equations.VEERG_4_2_1_3__3_NitrogenExcreted(AD63,AD175,AE$186,AD143,AD27)</f>
        <v>0.21091009356426255</v>
      </c>
      <c r="AE199" s="2" t="str">
        <f t="shared" si="9"/>
        <v>kg N/head/day</v>
      </c>
      <c r="AF199" s="2"/>
    </row>
    <row r="200" spans="4:33" ht="20.100000000000001" customHeight="1" x14ac:dyDescent="0.25">
      <c r="D200" s="52" t="s">
        <v>174</v>
      </c>
      <c r="E200" s="52">
        <f>'Input - Pasture Beef'!E17</f>
        <v>91.25</v>
      </c>
      <c r="F200" s="52">
        <f>'Input - Pasture Beef'!F17</f>
        <v>91.25</v>
      </c>
      <c r="G200" s="52">
        <f>'Input - Pasture Beef'!G17</f>
        <v>91.25</v>
      </c>
      <c r="H200" s="52">
        <f>'Input - Pasture Beef'!H17</f>
        <v>91.25</v>
      </c>
      <c r="I200" s="52">
        <f>'Input - Pasture Beef'!I17</f>
        <v>91.25</v>
      </c>
      <c r="J200" s="52">
        <f>'Input - Pasture Beef'!J17</f>
        <v>91.25</v>
      </c>
      <c r="K200" s="52">
        <f>'Input - Pasture Beef'!K17</f>
        <v>91.25</v>
      </c>
      <c r="L200" s="52">
        <f>'Input - Pasture Beef'!L17</f>
        <v>91.25</v>
      </c>
      <c r="M200" s="52">
        <f>'Input - Pasture Beef'!M17</f>
        <v>91.25</v>
      </c>
      <c r="N200" s="52">
        <f>'Input - Pasture Beef'!N17</f>
        <v>91.25</v>
      </c>
      <c r="O200" s="2" t="s">
        <v>286</v>
      </c>
      <c r="T200" s="52" t="str">
        <f>TEXT(EDATE('Input - Site'!$E$12,8), "mmmm yyyy")</f>
        <v>September 2024</v>
      </c>
      <c r="U200" s="52" cm="1">
        <f t="array" ref="U200">MMS_PastureBeef_Soil_N2ODirect_Equations.VEERG_4_2_1_3__3_NitrogenExcreted(U64,U176,V$186,U144,U28)</f>
        <v>0.27353786382161244</v>
      </c>
      <c r="V200" s="52" cm="1">
        <f t="array" ref="V200">MMS_PastureBeef_Soil_N2ODirect_Equations.VEERG_4_2_1_3__3_NitrogenExcreted(V64,V176,W$186,V144,V28)</f>
        <v>0.37708133734232585</v>
      </c>
      <c r="W200" s="52" cm="1">
        <f t="array" ref="W200">MMS_PastureBeef_Soil_N2ODirect_Equations.VEERG_4_2_1_3__3_NitrogenExcreted(W64,W176,X$186,W144,W28)</f>
        <v>0.21747950611047506</v>
      </c>
      <c r="X200" s="52" cm="1">
        <f t="array" ref="X200">MMS_PastureBeef_Soil_N2ODirect_Equations.VEERG_4_2_1_3__3_NitrogenExcreted(X64,X176,Y$186,X144,X28)</f>
        <v>0.27655917944807651</v>
      </c>
      <c r="Y200" s="52" cm="1">
        <f t="array" ref="Y200">MMS_PastureBeef_Soil_N2ODirect_Equations.VEERG_4_2_1_3__3_NitrogenExcreted(Y64,Y176,Z$186,Y144,Y28)</f>
        <v>0.31441465536270302</v>
      </c>
      <c r="Z200" s="52" cm="1">
        <f t="array" ref="Z200">MMS_PastureBeef_Soil_N2ODirect_Equations.VEERG_4_2_1_3__3_NitrogenExcreted(Z64,Z176,AA$186,Z144,Z28)</f>
        <v>0.31441465536270302</v>
      </c>
      <c r="AA200" s="52" cm="1">
        <f t="array" ref="AA200">MMS_PastureBeef_Soil_N2ODirect_Equations.VEERG_4_2_1_3__3_NitrogenExcreted(AA64,AA176,AB$186,AA144,AA28)</f>
        <v>0.24492991378550297</v>
      </c>
      <c r="AB200" s="52" cm="1">
        <f t="array" ref="AB200">MMS_PastureBeef_Soil_N2ODirect_Equations.VEERG_4_2_1_3__3_NitrogenExcreted(AB64,AB176,AC$186,AB144,AB28)</f>
        <v>0.2934676863299529</v>
      </c>
      <c r="AC200" s="52" cm="1">
        <f t="array" ref="AC200">MMS_PastureBeef_Soil_N2ODirect_Equations.VEERG_4_2_1_3__3_NitrogenExcreted(AC64,AC176,AD$186,AC144,AC28)</f>
        <v>0.2934676863299529</v>
      </c>
      <c r="AD200" s="52" cm="1">
        <f t="array" ref="AD200">MMS_PastureBeef_Soil_N2ODirect_Equations.VEERG_4_2_1_3__3_NitrogenExcreted(AD64,AD176,AE$186,AD144,AD28)</f>
        <v>0.2934676863299529</v>
      </c>
      <c r="AE200" s="2" t="str">
        <f t="shared" si="9"/>
        <v>kg N/head/day</v>
      </c>
      <c r="AF200" s="2"/>
    </row>
    <row r="201" spans="4:33" ht="20.100000000000001" customHeight="1" x14ac:dyDescent="0.25">
      <c r="D201" s="52" t="s">
        <v>175</v>
      </c>
      <c r="E201" s="52">
        <f>'Input - Pasture Beef'!E18</f>
        <v>91.25</v>
      </c>
      <c r="F201" s="52">
        <f>'Input - Pasture Beef'!F18</f>
        <v>91.25</v>
      </c>
      <c r="G201" s="52">
        <f>'Input - Pasture Beef'!G18</f>
        <v>91.25</v>
      </c>
      <c r="H201" s="52">
        <f>'Input - Pasture Beef'!H18</f>
        <v>91.25</v>
      </c>
      <c r="I201" s="52">
        <f>'Input - Pasture Beef'!I18</f>
        <v>91.25</v>
      </c>
      <c r="J201" s="52">
        <f>'Input - Pasture Beef'!J18</f>
        <v>91.25</v>
      </c>
      <c r="K201" s="52">
        <f>'Input - Pasture Beef'!K18</f>
        <v>91.25</v>
      </c>
      <c r="L201" s="52">
        <f>'Input - Pasture Beef'!L18</f>
        <v>91.25</v>
      </c>
      <c r="M201" s="52">
        <f>'Input - Pasture Beef'!M18</f>
        <v>91.25</v>
      </c>
      <c r="N201" s="52">
        <f>'Input - Pasture Beef'!N18</f>
        <v>91.25</v>
      </c>
      <c r="O201" s="2" t="s">
        <v>286</v>
      </c>
      <c r="T201" s="52" t="str">
        <f>TEXT(EDATE('Input - Site'!$E$12,9), "mmmm yyyy")</f>
        <v>October 2024</v>
      </c>
      <c r="U201" s="52" cm="1">
        <f t="array" ref="U201">MMS_PastureBeef_Soil_N2ODirect_Equations.VEERG_4_2_1_3__3_NitrogenExcreted(U65,U177,V$187,U145,U29)</f>
        <v>0.26350651585923002</v>
      </c>
      <c r="V201" s="52" cm="1">
        <f t="array" ref="V201">MMS_PastureBeef_Soil_N2ODirect_Equations.VEERG_4_2_1_3__3_NitrogenExcreted(V65,V177,W$187,V145,V29)</f>
        <v>0.37708133734232585</v>
      </c>
      <c r="W201" s="52" cm="1">
        <f t="array" ref="W201">MMS_PastureBeef_Soil_N2ODirect_Equations.VEERG_4_2_1_3__3_NitrogenExcreted(W65,W177,X$187,W145,W29)</f>
        <v>0.20744815814809262</v>
      </c>
      <c r="X201" s="52" cm="1">
        <f t="array" ref="X201">MMS_PastureBeef_Soil_N2ODirect_Equations.VEERG_4_2_1_3__3_NitrogenExcreted(X65,X177,Y$187,X145,X29)</f>
        <v>0.30509162996628408</v>
      </c>
      <c r="Y201" s="52" cm="1">
        <f t="array" ref="Y201">MMS_PastureBeef_Soil_N2ODirect_Equations.VEERG_4_2_1_3__3_NitrogenExcreted(Y65,Y177,Z$187,Y145,Y29)</f>
        <v>0.34829022784058494</v>
      </c>
      <c r="Z201" s="52" cm="1">
        <f t="array" ref="Z201">MMS_PastureBeef_Soil_N2ODirect_Equations.VEERG_4_2_1_3__3_NitrogenExcreted(Z65,Z177,AA$187,Z145,Z29)</f>
        <v>0.34829022784058494</v>
      </c>
      <c r="AA201" s="52" cm="1">
        <f t="array" ref="AA201">MMS_PastureBeef_Soil_N2ODirect_Equations.VEERG_4_2_1_3__3_NitrogenExcreted(AA65,AA177,AB$187,AA145,AA29)</f>
        <v>0.23489856582312055</v>
      </c>
      <c r="AB201" s="52" cm="1">
        <f t="array" ref="AB201">MMS_PastureBeef_Soil_N2ODirect_Equations.VEERG_4_2_1_3__3_NitrogenExcreted(AB65,AB177,AC$187,AB145,AB29)</f>
        <v>0.2934676863299529</v>
      </c>
      <c r="AC201" s="52" cm="1">
        <f t="array" ref="AC201">MMS_PastureBeef_Soil_N2ODirect_Equations.VEERG_4_2_1_3__3_NitrogenExcreted(AC65,AC177,AD$187,AC145,AC29)</f>
        <v>0.2934676863299529</v>
      </c>
      <c r="AD201" s="52" cm="1">
        <f t="array" ref="AD201">MMS_PastureBeef_Soil_N2ODirect_Equations.VEERG_4_2_1_3__3_NitrogenExcreted(AD65,AD177,AE$187,AD145,AD29)</f>
        <v>0.2934676863299529</v>
      </c>
      <c r="AE201" s="2" t="str">
        <f t="shared" si="9"/>
        <v>kg N/head/day</v>
      </c>
      <c r="AF201" s="2"/>
    </row>
    <row r="202" spans="4:33" ht="20.100000000000001" customHeight="1" x14ac:dyDescent="0.25">
      <c r="D202" s="52" t="s">
        <v>176</v>
      </c>
      <c r="E202" s="52">
        <f>'Input - Pasture Beef'!E19</f>
        <v>91.25</v>
      </c>
      <c r="F202" s="52">
        <f>'Input - Pasture Beef'!F19</f>
        <v>91.25</v>
      </c>
      <c r="G202" s="52">
        <f>'Input - Pasture Beef'!G19</f>
        <v>91.25</v>
      </c>
      <c r="H202" s="52">
        <f>'Input - Pasture Beef'!H19</f>
        <v>91.25</v>
      </c>
      <c r="I202" s="52">
        <f>'Input - Pasture Beef'!I19</f>
        <v>91.25</v>
      </c>
      <c r="J202" s="52">
        <f>'Input - Pasture Beef'!J19</f>
        <v>91.25</v>
      </c>
      <c r="K202" s="52">
        <f>'Input - Pasture Beef'!K19</f>
        <v>91.25</v>
      </c>
      <c r="L202" s="52">
        <f>'Input - Pasture Beef'!L19</f>
        <v>91.25</v>
      </c>
      <c r="M202" s="52">
        <f>'Input - Pasture Beef'!M19</f>
        <v>91.25</v>
      </c>
      <c r="N202" s="52">
        <f>'Input - Pasture Beef'!N19</f>
        <v>91.25</v>
      </c>
      <c r="O202" s="2" t="s">
        <v>286</v>
      </c>
      <c r="T202" s="52" t="str">
        <f>TEXT(EDATE('Input - Site'!$E$12,10), "mmmm yyyy")</f>
        <v>November 2024</v>
      </c>
      <c r="U202" s="52" cm="1">
        <f t="array" ref="U202">MMS_PastureBeef_Soil_N2ODirect_Equations.VEERG_4_2_1_3__3_NitrogenExcreted(U66,U178,V$187,U146,U30)</f>
        <v>0.26350651585923002</v>
      </c>
      <c r="V202" s="52" cm="1">
        <f t="array" ref="V202">MMS_PastureBeef_Soil_N2ODirect_Equations.VEERG_4_2_1_3__3_NitrogenExcreted(V66,V178,W$187,V146,V30)</f>
        <v>0.37708133734232585</v>
      </c>
      <c r="W202" s="52" cm="1">
        <f t="array" ref="W202">MMS_PastureBeef_Soil_N2ODirect_Equations.VEERG_4_2_1_3__3_NitrogenExcreted(W66,W178,X$187,W146,W30)</f>
        <v>0.20744815814809262</v>
      </c>
      <c r="X202" s="52" cm="1">
        <f t="array" ref="X202">MMS_PastureBeef_Soil_N2ODirect_Equations.VEERG_4_2_1_3__3_NitrogenExcreted(X66,X178,Y$187,X146,X30)</f>
        <v>0.30509162996628408</v>
      </c>
      <c r="Y202" s="52" cm="1">
        <f t="array" ref="Y202">MMS_PastureBeef_Soil_N2ODirect_Equations.VEERG_4_2_1_3__3_NitrogenExcreted(Y66,Y178,Z$187,Y146,Y30)</f>
        <v>0.34829022784058494</v>
      </c>
      <c r="Z202" s="52" cm="1">
        <f t="array" ref="Z202">MMS_PastureBeef_Soil_N2ODirect_Equations.VEERG_4_2_1_3__3_NitrogenExcreted(Z66,Z178,AA$187,Z146,Z30)</f>
        <v>0.34829022784058494</v>
      </c>
      <c r="AA202" s="52" cm="1">
        <f t="array" ref="AA202">MMS_PastureBeef_Soil_N2ODirect_Equations.VEERG_4_2_1_3__3_NitrogenExcreted(AA66,AA178,AB$187,AA146,AA30)</f>
        <v>0.23489856582312055</v>
      </c>
      <c r="AB202" s="52" cm="1">
        <f t="array" ref="AB202">MMS_PastureBeef_Soil_N2ODirect_Equations.VEERG_4_2_1_3__3_NitrogenExcreted(AB66,AB178,AC$187,AB146,AB30)</f>
        <v>0.2934676863299529</v>
      </c>
      <c r="AC202" s="52" cm="1">
        <f t="array" ref="AC202">MMS_PastureBeef_Soil_N2ODirect_Equations.VEERG_4_2_1_3__3_NitrogenExcreted(AC66,AC178,AD$187,AC146,AC30)</f>
        <v>0.2934676863299529</v>
      </c>
      <c r="AD202" s="52" cm="1">
        <f t="array" ref="AD202">MMS_PastureBeef_Soil_N2ODirect_Equations.VEERG_4_2_1_3__3_NitrogenExcreted(AD66,AD178,AE$187,AD146,AD30)</f>
        <v>0.2934676863299529</v>
      </c>
      <c r="AE202" s="2" t="str">
        <f t="shared" si="9"/>
        <v>kg N/head/day</v>
      </c>
      <c r="AF202" s="2"/>
    </row>
    <row r="203" spans="4:33" ht="20.100000000000001" customHeight="1" x14ac:dyDescent="0.25">
      <c r="T203" s="52" t="str">
        <f>TEXT(EDATE('Input - Site'!$E$12,11), "mmmm yyyy")</f>
        <v>December 2024</v>
      </c>
      <c r="U203" s="52" cm="1">
        <f t="array" ref="U203">MMS_PastureBeef_Soil_N2ODirect_Equations.VEERG_4_2_1_3__3_NitrogenExcreted(U67,U179,V$187,U147,U31)</f>
        <v>0.11333791972722371</v>
      </c>
      <c r="V203" s="52" cm="1">
        <f t="array" ref="V203">MMS_PastureBeef_Soil_N2ODirect_Equations.VEERG_4_2_1_3__3_NitrogenExcreted(V67,V179,W$187,V147,V31)</f>
        <v>0.13601872675007995</v>
      </c>
      <c r="W203" s="52" cm="1">
        <f t="array" ref="W203">MMS_PastureBeef_Soil_N2ODirect_Equations.VEERG_4_2_1_3__3_NitrogenExcreted(W67,W179,X$187,W147,W31)</f>
        <v>9.7873723885106109E-2</v>
      </c>
      <c r="X203" s="52" cm="1">
        <f t="array" ref="X203">MMS_PastureBeef_Soil_N2ODirect_Equations.VEERG_4_2_1_3__3_NitrogenExcreted(X67,X179,Y$187,X147,X31)</f>
        <v>0.1083360121727259</v>
      </c>
      <c r="Y203" s="52" cm="1">
        <f t="array" ref="Y203">MMS_PastureBeef_Soil_N2ODirect_Equations.VEERG_4_2_1_3__3_NitrogenExcreted(Y67,Y179,Z$187,Y147,Y31)</f>
        <v>0.11322778100131832</v>
      </c>
      <c r="Z203" s="52" cm="1">
        <f t="array" ref="Z203">MMS_PastureBeef_Soil_N2ODirect_Equations.VEERG_4_2_1_3__3_NitrogenExcreted(Z67,Z179,AA$187,Z147,Z31)</f>
        <v>0.11322778100131832</v>
      </c>
      <c r="AA203" s="52" cm="1">
        <f t="array" ref="AA203">MMS_PastureBeef_Soil_N2ODirect_Equations.VEERG_4_2_1_3__3_NitrogenExcreted(AA67,AA179,AB$187,AA147,AA31)</f>
        <v>0.10568820163838911</v>
      </c>
      <c r="AB203" s="52" cm="1">
        <f t="array" ref="AB203">MMS_PastureBeef_Soil_N2ODirect_Equations.VEERG_4_2_1_3__3_NitrogenExcreted(AB67,AB179,AC$187,AB147,AB31)</f>
        <v>0.1054491491748196</v>
      </c>
      <c r="AC203" s="52" cm="1">
        <f t="array" ref="AC203">MMS_PastureBeef_Soil_N2ODirect_Equations.VEERG_4_2_1_3__3_NitrogenExcreted(AC67,AC179,AD$187,AC147,AC31)</f>
        <v>0.1054491491748196</v>
      </c>
      <c r="AD203" s="52" cm="1">
        <f t="array" ref="AD203">MMS_PastureBeef_Soil_N2ODirect_Equations.VEERG_4_2_1_3__3_NitrogenExcreted(AD67,AD179,AE$187,AD147,AD31)</f>
        <v>0.1054491491748196</v>
      </c>
      <c r="AE203" s="2" t="str">
        <f t="shared" si="9"/>
        <v>kg N/head/day</v>
      </c>
      <c r="AF203" s="2"/>
    </row>
    <row r="204" spans="4:33" ht="20.100000000000001" customHeight="1" x14ac:dyDescent="0.25">
      <c r="D204" s="99" t="s">
        <v>309</v>
      </c>
    </row>
    <row r="205" spans="4:33" ht="20.100000000000001" customHeight="1" x14ac:dyDescent="0.25">
      <c r="D205" s="98" t="s">
        <v>310</v>
      </c>
    </row>
    <row r="206" spans="4:33" ht="20.100000000000001" customHeight="1" x14ac:dyDescent="0.25">
      <c r="D206" s="51" t="s">
        <v>184</v>
      </c>
      <c r="E206" s="51" t="s">
        <v>131</v>
      </c>
      <c r="F206" s="51" t="s">
        <v>130</v>
      </c>
      <c r="G206" s="51" t="s">
        <v>165</v>
      </c>
      <c r="H206" s="51" t="s">
        <v>166</v>
      </c>
      <c r="I206" s="51" t="s">
        <v>167</v>
      </c>
      <c r="J206" s="51" t="s">
        <v>168</v>
      </c>
      <c r="K206" s="51" t="s">
        <v>169</v>
      </c>
      <c r="L206" s="51" t="s">
        <v>170</v>
      </c>
      <c r="M206" s="51" t="s">
        <v>171</v>
      </c>
      <c r="N206" s="51" t="s">
        <v>172</v>
      </c>
      <c r="S206" s="45"/>
      <c r="T206" s="45"/>
      <c r="U206" s="45"/>
      <c r="V206" s="45"/>
      <c r="W206" s="45"/>
      <c r="X206" s="45"/>
      <c r="Y206" s="45"/>
      <c r="Z206" s="45"/>
      <c r="AA206" s="45"/>
      <c r="AB206" s="45"/>
      <c r="AC206" s="45"/>
      <c r="AD206" s="45"/>
      <c r="AE206" s="45"/>
      <c r="AF206" s="45"/>
      <c r="AG206" s="45"/>
    </row>
    <row r="207" spans="4:33" ht="20.100000000000001" customHeight="1" x14ac:dyDescent="0.25">
      <c r="D207" s="52" t="s">
        <v>173</v>
      </c>
      <c r="E207" s="52" cm="1">
        <f t="array" ref="E207">MMS_PastureBeef_Soil_N2ODirect_Equations.VEERG_4_2_1_3__2_TotalNitrogenExcretedToPastureRangeAndPaddock(E191,E169,E199)</f>
        <v>2496.0330073722134</v>
      </c>
      <c r="F207" s="52" cm="1">
        <f t="array" ref="F207">MMS_PastureBeef_Soil_N2ODirect_Equations.VEERG_4_2_1_3__2_TotalNitrogenExcretedToPastureRangeAndPaddock(F191,F169,F199)</f>
        <v>3440.8672032487229</v>
      </c>
      <c r="G207" s="52" cm="1">
        <f t="array" ref="G207">MMS_PastureBeef_Soil_N2ODirect_Equations.VEERG_4_2_1_3__2_TotalNitrogenExcretedToPastureRangeAndPaddock(G191,G169,G199)</f>
        <v>1984.500493258085</v>
      </c>
      <c r="H207" s="52" cm="1">
        <f t="array" ref="H207">MMS_PastureBeef_Soil_N2ODirect_Equations.VEERG_4_2_1_3__2_TotalNitrogenExcretedToPastureRangeAndPaddock(H191,H169,H199)</f>
        <v>2644.9922082570538</v>
      </c>
      <c r="I207" s="52" cm="1">
        <f t="array" ref="I207">MMS_PastureBeef_Soil_N2ODirect_Equations.VEERG_4_2_1_3__2_TotalNitrogenExcretedToPastureRangeAndPaddock(I191,I169,I199)</f>
        <v>3011.3188493560328</v>
      </c>
      <c r="J207" s="52" cm="1">
        <f t="array" ref="J207">MMS_PastureBeef_Soil_N2ODirect_Equations.VEERG_4_2_1_3__2_TotalNitrogenExcretedToPastureRangeAndPaddock(J191,J169,J199)</f>
        <v>3011.3188493560328</v>
      </c>
      <c r="K207" s="52" cm="1">
        <f t="array" ref="K207">MMS_PastureBeef_Soil_N2ODirect_Equations.VEERG_4_2_1_3__2_TotalNitrogenExcretedToPastureRangeAndPaddock(K191,K169,K199)</f>
        <v>2234.9854632927145</v>
      </c>
      <c r="L207" s="52" cm="1">
        <f t="array" ref="L207">MMS_PastureBeef_Soil_N2ODirect_Equations.VEERG_4_2_1_3__2_TotalNitrogenExcretedToPastureRangeAndPaddock(L191,L169,L199)</f>
        <v>2677.89263776082</v>
      </c>
      <c r="M207" s="52" cm="1">
        <f t="array" ref="M207">MMS_PastureBeef_Soil_N2ODirect_Equations.VEERG_4_2_1_3__2_TotalNitrogenExcretedToPastureRangeAndPaddock(M191,M169,M199)</f>
        <v>2677.89263776082</v>
      </c>
      <c r="N207" s="52" cm="1">
        <f t="array" ref="N207">MMS_PastureBeef_Soil_N2ODirect_Equations.VEERG_4_2_1_3__2_TotalNitrogenExcretedToPastureRangeAndPaddock(N191,N169,N199)</f>
        <v>2677.89263776082</v>
      </c>
      <c r="O207" s="2" t="str">
        <f>$E$182</f>
        <v>kg N</v>
      </c>
      <c r="T207" s="6" t="str" cm="1">
        <f t="array" ref="T207">MMS_PastureBeef_Soil_N2ODirect_Equations.VEERG_4_2_1_3__2_TotalNitrogenExcretedToPastureRangeAndPaddock_Title()</f>
        <v>Total nitrogen excreted to pasture, range and paddock</v>
      </c>
    </row>
    <row r="208" spans="4:33" ht="20.100000000000001" customHeight="1" x14ac:dyDescent="0.25">
      <c r="D208" s="52" t="s">
        <v>174</v>
      </c>
      <c r="E208" s="52" cm="1">
        <f t="array" ref="E208">MMS_PastureBeef_Soil_N2ODirect_Equations.VEERG_4_2_1_3__2_TotalNitrogenExcretedToPastureRangeAndPaddock(E192,E170,E200)</f>
        <v>1034.2085175109162</v>
      </c>
      <c r="F208" s="52" cm="1">
        <f t="array" ref="F208">MMS_PastureBeef_Soil_N2ODirect_Equations.VEERG_4_2_1_3__2_TotalNitrogenExcretedToPastureRangeAndPaddock(F192,F170,F200)</f>
        <v>1241.1708815944794</v>
      </c>
      <c r="G208" s="52" cm="1">
        <f t="array" ref="G208">MMS_PastureBeef_Soil_N2ODirect_Equations.VEERG_4_2_1_3__2_TotalNitrogenExcretedToPastureRangeAndPaddock(G192,G170,G200)</f>
        <v>893.09773045159329</v>
      </c>
      <c r="H208" s="52" cm="1">
        <f t="array" ref="H208">MMS_PastureBeef_Soil_N2ODirect_Equations.VEERG_4_2_1_3__2_TotalNitrogenExcretedToPastureRangeAndPaddock(H192,H170,H200)</f>
        <v>959.72622864641312</v>
      </c>
      <c r="I208" s="52" cm="1">
        <f t="array" ref="I208">MMS_PastureBeef_Soil_N2ODirect_Equations.VEERG_4_2_1_3__2_TotalNitrogenExcretedToPastureRangeAndPaddock(I192,I170,I200)</f>
        <v>1004.8924698241792</v>
      </c>
      <c r="J208" s="52" cm="1">
        <f t="array" ref="J208">MMS_PastureBeef_Soil_N2ODirect_Equations.VEERG_4_2_1_3__2_TotalNitrogenExcretedToPastureRangeAndPaddock(J192,J170,J200)</f>
        <v>1004.8924698241792</v>
      </c>
      <c r="K208" s="52" cm="1">
        <f t="array" ref="K208">MMS_PastureBeef_Soil_N2ODirect_Equations.VEERG_4_2_1_3__2_TotalNitrogenExcretedToPastureRangeAndPaddock(K192,K170,K200)</f>
        <v>964.40483995030058</v>
      </c>
      <c r="L208" s="52" cm="1">
        <f t="array" ref="L208">MMS_PastureBeef_Soil_N2ODirect_Equations.VEERG_4_2_1_3__2_TotalNitrogenExcretedToPastureRangeAndPaddock(L192,L170,L200)</f>
        <v>962.22348622022878</v>
      </c>
      <c r="M208" s="52" cm="1">
        <f t="array" ref="M208">MMS_PastureBeef_Soil_N2ODirect_Equations.VEERG_4_2_1_3__2_TotalNitrogenExcretedToPastureRangeAndPaddock(M192,M170,M200)</f>
        <v>962.22348622022878</v>
      </c>
      <c r="N208" s="52" cm="1">
        <f t="array" ref="N208">MMS_PastureBeef_Soil_N2ODirect_Equations.VEERG_4_2_1_3__2_TotalNitrogenExcretedToPastureRangeAndPaddock(N192,N170,N200)</f>
        <v>962.22348622022878</v>
      </c>
      <c r="O208" s="2" t="str">
        <f>$E$182</f>
        <v>kg N</v>
      </c>
    </row>
    <row r="209" spans="3:32" ht="20.100000000000001" customHeight="1" x14ac:dyDescent="0.25">
      <c r="D209" s="52" t="s">
        <v>175</v>
      </c>
      <c r="E209" s="52" cm="1">
        <f t="array" ref="E209">MMS_PastureBeef_Soil_N2ODirect_Equations.VEERG_4_2_1_3__2_TotalNitrogenExcretedToPastureRangeAndPaddock(E193,E171,E201)</f>
        <v>123.10161007572114</v>
      </c>
      <c r="F209" s="52" cm="1">
        <f t="array" ref="F209">MMS_PastureBeef_Soil_N2ODirect_Equations.VEERG_4_2_1_3__2_TotalNitrogenExcretedToPastureRangeAndPaddock(F193,F171,F201)</f>
        <v>804.21384066168707</v>
      </c>
      <c r="G209" s="52" cm="1">
        <f t="array" ref="G209">MMS_PastureBeef_Soil_N2ODirect_Equations.VEERG_4_2_1_3__2_TotalNitrogenExcretedToPastureRangeAndPaddock(G193,G171,G201)</f>
        <v>100.39232657604052</v>
      </c>
      <c r="H209" s="52" cm="1">
        <f t="array" ref="H209">MMS_PastureBeef_Soil_N2ODirect_Equations.VEERG_4_2_1_3__2_TotalNitrogenExcretedToPastureRangeAndPaddock(H193,H171,H201)</f>
        <v>412.10478508174509</v>
      </c>
      <c r="I209" s="52" cm="1">
        <f t="array" ref="I209">MMS_PastureBeef_Soil_N2ODirect_Equations.VEERG_4_2_1_3__2_TotalNitrogenExcretedToPastureRangeAndPaddock(I193,I171,I201)</f>
        <v>569.1882814680506</v>
      </c>
      <c r="J209" s="52" cm="1">
        <f t="array" ref="J209">MMS_PastureBeef_Soil_N2ODirect_Equations.VEERG_4_2_1_3__2_TotalNitrogenExcretedToPastureRangeAndPaddock(J193,J171,J201)</f>
        <v>569.1882814680506</v>
      </c>
      <c r="K209" s="52" cm="1">
        <f t="array" ref="K209">MMS_PastureBeef_Soil_N2ODirect_Equations.VEERG_4_2_1_3__2_TotalNitrogenExcretedToPastureRangeAndPaddock(K193,K171,K201)</f>
        <v>125.30073899449563</v>
      </c>
      <c r="L209" s="52" cm="1">
        <f t="array" ref="L209">MMS_PastureBeef_Soil_N2ODirect_Equations.VEERG_4_2_1_3__2_TotalNitrogenExcretedToPastureRangeAndPaddock(L193,L171,L201)</f>
        <v>503.71901071132157</v>
      </c>
      <c r="M209" s="52" cm="1">
        <f t="array" ref="M209">MMS_PastureBeef_Soil_N2ODirect_Equations.VEERG_4_2_1_3__2_TotalNitrogenExcretedToPastureRangeAndPaddock(M193,M171,M201)</f>
        <v>503.71901071132157</v>
      </c>
      <c r="N209" s="52" cm="1">
        <f t="array" ref="N209">MMS_PastureBeef_Soil_N2ODirect_Equations.VEERG_4_2_1_3__2_TotalNitrogenExcretedToPastureRangeAndPaddock(N193,N171,N201)</f>
        <v>503.71901071132157</v>
      </c>
      <c r="O209" s="2" t="str">
        <f>$E$182</f>
        <v>kg N</v>
      </c>
      <c r="T209" s="99" t="s">
        <v>288</v>
      </c>
    </row>
    <row r="210" spans="3:32" ht="20.100000000000001" customHeight="1" x14ac:dyDescent="0.25">
      <c r="D210" s="52" t="s">
        <v>176</v>
      </c>
      <c r="E210" s="52" cm="1">
        <f t="array" ref="E210">MMS_PastureBeef_Soil_N2ODirect_Equations.VEERG_4_2_1_3__2_TotalNitrogenExcretedToPastureRangeAndPaddock(E194,E172,E202)</f>
        <v>1256.7623228909256</v>
      </c>
      <c r="F210" s="52" cm="1">
        <f t="array" ref="F210">MMS_PastureBeef_Soil_N2ODirect_Equations.VEERG_4_2_1_3__2_TotalNitrogenExcretedToPastureRangeAndPaddock(F194,F172,F202)</f>
        <v>2867.5624150497624</v>
      </c>
      <c r="G210" s="52" cm="1">
        <f t="array" ref="G210">MMS_PastureBeef_Soil_N2ODirect_Equations.VEERG_4_2_1_3__2_TotalNitrogenExcretedToPastureRangeAndPaddock(G194,G172,G202)</f>
        <v>1043.0393783696513</v>
      </c>
      <c r="H210" s="52" cm="1">
        <f t="array" ref="H210">MMS_PastureBeef_Soil_N2ODirect_Equations.VEERG_4_2_1_3__2_TotalNitrogenExcretedToPastureRangeAndPaddock(H194,H172,H202)</f>
        <v>1702.7948327031422</v>
      </c>
      <c r="I210" s="52" cm="1">
        <f t="array" ref="I210">MMS_PastureBeef_Soil_N2ODirect_Equations.VEERG_4_2_1_3__2_TotalNitrogenExcretedToPastureRangeAndPaddock(I194,I172,I202)</f>
        <v>2293.6293353910228</v>
      </c>
      <c r="J210" s="52" cm="1">
        <f t="array" ref="J210">MMS_PastureBeef_Soil_N2ODirect_Equations.VEERG_4_2_1_3__2_TotalNitrogenExcretedToPastureRangeAndPaddock(J194,J172,J202)</f>
        <v>2293.6293353910228</v>
      </c>
      <c r="K210" s="52" cm="1">
        <f t="array" ref="K210">MMS_PastureBeef_Soil_N2ODirect_Equations.VEERG_4_2_1_3__2_TotalNitrogenExcretedToPastureRangeAndPaddock(K194,K172,K202)</f>
        <v>1129.7647048731228</v>
      </c>
      <c r="L210" s="52" cm="1">
        <f t="array" ref="L210">MMS_PastureBeef_Soil_N2ODirect_Equations.VEERG_4_2_1_3__2_TotalNitrogenExcretedToPastureRangeAndPaddock(L194,L172,L202)</f>
        <v>1924.5546037738959</v>
      </c>
      <c r="M210" s="52" cm="1">
        <f t="array" ref="M210">MMS_PastureBeef_Soil_N2ODirect_Equations.VEERG_4_2_1_3__2_TotalNitrogenExcretedToPastureRangeAndPaddock(M194,M172,M202)</f>
        <v>1924.5546037738959</v>
      </c>
      <c r="N210" s="52" cm="1">
        <f t="array" ref="N210">MMS_PastureBeef_Soil_N2ODirect_Equations.VEERG_4_2_1_3__2_TotalNitrogenExcretedToPastureRangeAndPaddock(N194,N172,N202)</f>
        <v>1924.5546037738959</v>
      </c>
      <c r="O210" s="2" t="str">
        <f>$E$182</f>
        <v>kg N</v>
      </c>
      <c r="T210" s="98" t="s">
        <v>289</v>
      </c>
    </row>
    <row r="211" spans="3:32" ht="20.100000000000001" customHeight="1" x14ac:dyDescent="0.25">
      <c r="T211" s="51" t="s">
        <v>132</v>
      </c>
      <c r="U211" s="51" t="s">
        <v>131</v>
      </c>
      <c r="V211" s="51" t="s">
        <v>130</v>
      </c>
      <c r="W211" s="51" t="s">
        <v>165</v>
      </c>
      <c r="X211" s="51" t="s">
        <v>166</v>
      </c>
      <c r="Y211" s="51" t="s">
        <v>167</v>
      </c>
      <c r="Z211" s="51" t="s">
        <v>168</v>
      </c>
      <c r="AA211" s="51" t="s">
        <v>169</v>
      </c>
      <c r="AB211" s="51" t="s">
        <v>170</v>
      </c>
      <c r="AC211" s="51" t="s">
        <v>171</v>
      </c>
      <c r="AD211" s="51" t="s">
        <v>172</v>
      </c>
    </row>
    <row r="212" spans="3:32" ht="20.100000000000001" customHeight="1" x14ac:dyDescent="0.25">
      <c r="D212" s="113" t="s">
        <v>311</v>
      </c>
      <c r="E212" s="45">
        <f>SUM(E207:N210)</f>
        <v>59422.250616336161</v>
      </c>
      <c r="F212" s="105" t="str">
        <f>E182</f>
        <v>kg N</v>
      </c>
      <c r="T212" s="52" t="str">
        <f>TEXT('Input - Site'!$E$12, "mmmm yyyy")</f>
        <v>January 2024</v>
      </c>
      <c r="U212" s="52">
        <f>'Input - Pasture Beef'!E44</f>
        <v>100</v>
      </c>
      <c r="V212" s="52">
        <f>'Input - Pasture Beef'!F44</f>
        <v>100</v>
      </c>
      <c r="W212" s="52">
        <f>'Input - Pasture Beef'!G44</f>
        <v>100</v>
      </c>
      <c r="X212" s="52">
        <f>'Input - Pasture Beef'!H44</f>
        <v>100</v>
      </c>
      <c r="Y212" s="52">
        <f>'Input - Pasture Beef'!I44</f>
        <v>100</v>
      </c>
      <c r="Z212" s="52">
        <f>'Input - Pasture Beef'!J44</f>
        <v>100</v>
      </c>
      <c r="AA212" s="52">
        <f>'Input - Pasture Beef'!K44</f>
        <v>100</v>
      </c>
      <c r="AB212" s="52">
        <f>'Input - Pasture Beef'!L44</f>
        <v>100</v>
      </c>
      <c r="AC212" s="52">
        <f>'Input - Pasture Beef'!M44</f>
        <v>100</v>
      </c>
      <c r="AD212" s="52">
        <f>'Input - Pasture Beef'!N44</f>
        <v>100</v>
      </c>
      <c r="AE212" s="2" t="s">
        <v>102</v>
      </c>
      <c r="AF212" s="2"/>
    </row>
    <row r="213" spans="3:32" ht="20.100000000000001" customHeight="1" x14ac:dyDescent="0.25">
      <c r="T213" s="52" t="str">
        <f>TEXT(EDATE('Input - Site'!$E$12,1), "mmmm yyyy")</f>
        <v>February 2024</v>
      </c>
      <c r="U213" s="52">
        <f>'Input - Pasture Beef'!E45</f>
        <v>100</v>
      </c>
      <c r="V213" s="52">
        <f>'Input - Pasture Beef'!F45</f>
        <v>100</v>
      </c>
      <c r="W213" s="52">
        <f>'Input - Pasture Beef'!G45</f>
        <v>100</v>
      </c>
      <c r="X213" s="52">
        <f>'Input - Pasture Beef'!H45</f>
        <v>100</v>
      </c>
      <c r="Y213" s="52">
        <f>'Input - Pasture Beef'!I45</f>
        <v>100</v>
      </c>
      <c r="Z213" s="52">
        <f>'Input - Pasture Beef'!J45</f>
        <v>100</v>
      </c>
      <c r="AA213" s="52">
        <f>'Input - Pasture Beef'!K45</f>
        <v>100</v>
      </c>
      <c r="AB213" s="52">
        <f>'Input - Pasture Beef'!L45</f>
        <v>100</v>
      </c>
      <c r="AC213" s="52">
        <f>'Input - Pasture Beef'!M45</f>
        <v>100</v>
      </c>
      <c r="AD213" s="52">
        <f>'Input - Pasture Beef'!N45</f>
        <v>100</v>
      </c>
      <c r="AE213" s="2" t="s">
        <v>102</v>
      </c>
      <c r="AF213" s="2"/>
    </row>
    <row r="214" spans="3:32" ht="20.100000000000001" customHeight="1" x14ac:dyDescent="0.25">
      <c r="T214" s="52" t="str">
        <f>TEXT(EDATE('Input - Site'!$E$12,2), "mmmm yyyy")</f>
        <v>March 2024</v>
      </c>
      <c r="U214" s="52">
        <f>'Input - Pasture Beef'!E46</f>
        <v>100</v>
      </c>
      <c r="V214" s="52">
        <f>'Input - Pasture Beef'!F46</f>
        <v>100</v>
      </c>
      <c r="W214" s="52">
        <f>'Input - Pasture Beef'!G46</f>
        <v>100</v>
      </c>
      <c r="X214" s="52">
        <f>'Input - Pasture Beef'!H46</f>
        <v>100</v>
      </c>
      <c r="Y214" s="52">
        <f>'Input - Pasture Beef'!I46</f>
        <v>100</v>
      </c>
      <c r="Z214" s="52">
        <f>'Input - Pasture Beef'!J46</f>
        <v>100</v>
      </c>
      <c r="AA214" s="52">
        <f>'Input - Pasture Beef'!K46</f>
        <v>100</v>
      </c>
      <c r="AB214" s="52">
        <f>'Input - Pasture Beef'!L46</f>
        <v>100</v>
      </c>
      <c r="AC214" s="52">
        <f>'Input - Pasture Beef'!M46</f>
        <v>100</v>
      </c>
      <c r="AD214" s="52">
        <f>'Input - Pasture Beef'!N46</f>
        <v>100</v>
      </c>
      <c r="AE214" s="2" t="s">
        <v>102</v>
      </c>
      <c r="AF214" s="2"/>
    </row>
    <row r="215" spans="3:32" ht="20.100000000000001" customHeight="1" x14ac:dyDescent="0.25">
      <c r="C215" s="45"/>
      <c r="D215" s="45"/>
      <c r="E215" s="45"/>
      <c r="F215" s="45"/>
      <c r="G215" s="45"/>
      <c r="H215" s="45"/>
      <c r="I215" s="45"/>
      <c r="J215" s="45"/>
      <c r="K215" s="45"/>
      <c r="L215" s="45"/>
      <c r="M215" s="45"/>
      <c r="N215" s="45"/>
      <c r="O215" s="45"/>
      <c r="P215" s="45"/>
      <c r="Q215" s="45"/>
      <c r="T215" s="52" t="str">
        <f>TEXT(EDATE('Input - Site'!$E$12,3), "mmmm yyyy")</f>
        <v>April 2024</v>
      </c>
      <c r="U215" s="52">
        <f>'Input - Pasture Beef'!E47</f>
        <v>100</v>
      </c>
      <c r="V215" s="52">
        <f>'Input - Pasture Beef'!F47</f>
        <v>100</v>
      </c>
      <c r="W215" s="52">
        <f>'Input - Pasture Beef'!G47</f>
        <v>100</v>
      </c>
      <c r="X215" s="52">
        <f>'Input - Pasture Beef'!H47</f>
        <v>100</v>
      </c>
      <c r="Y215" s="52">
        <f>'Input - Pasture Beef'!I47</f>
        <v>100</v>
      </c>
      <c r="Z215" s="52">
        <f>'Input - Pasture Beef'!J47</f>
        <v>100</v>
      </c>
      <c r="AA215" s="52">
        <f>'Input - Pasture Beef'!K47</f>
        <v>100</v>
      </c>
      <c r="AB215" s="52">
        <f>'Input - Pasture Beef'!L47</f>
        <v>100</v>
      </c>
      <c r="AC215" s="52">
        <f>'Input - Pasture Beef'!M47</f>
        <v>100</v>
      </c>
      <c r="AD215" s="52">
        <f>'Input - Pasture Beef'!N47</f>
        <v>100</v>
      </c>
      <c r="AE215" s="2" t="s">
        <v>102</v>
      </c>
      <c r="AF215" s="2"/>
    </row>
    <row r="216" spans="3:32" ht="20.100000000000001" customHeight="1" x14ac:dyDescent="0.25">
      <c r="D216" s="6" t="str" cm="1">
        <f t="array" ref="D216">MMS_PastureBeef_Soil_N2ODirect_Equations.VEERG_4_2_1_3__1_DirectNitrousOxideEmissionsOnPasture_Title()</f>
        <v>Total annual direct nitrous oxide emissions from agricultural soils from deposition of urine and dung</v>
      </c>
      <c r="T216" s="52" t="str">
        <f>TEXT(EDATE('Input - Site'!$E$12,4), "mmmm yyyy")</f>
        <v>May 2024</v>
      </c>
      <c r="U216" s="52">
        <f>'Input - Pasture Beef'!E48</f>
        <v>100</v>
      </c>
      <c r="V216" s="52">
        <f>'Input - Pasture Beef'!F48</f>
        <v>100</v>
      </c>
      <c r="W216" s="52">
        <f>'Input - Pasture Beef'!G48</f>
        <v>100</v>
      </c>
      <c r="X216" s="52">
        <f>'Input - Pasture Beef'!H48</f>
        <v>100</v>
      </c>
      <c r="Y216" s="52">
        <f>'Input - Pasture Beef'!I48</f>
        <v>100</v>
      </c>
      <c r="Z216" s="52">
        <f>'Input - Pasture Beef'!J48</f>
        <v>100</v>
      </c>
      <c r="AA216" s="52">
        <f>'Input - Pasture Beef'!K48</f>
        <v>100</v>
      </c>
      <c r="AB216" s="52">
        <f>'Input - Pasture Beef'!L48</f>
        <v>100</v>
      </c>
      <c r="AC216" s="52">
        <f>'Input - Pasture Beef'!M48</f>
        <v>100</v>
      </c>
      <c r="AD216" s="52">
        <f>'Input - Pasture Beef'!N48</f>
        <v>100</v>
      </c>
      <c r="AE216" s="2" t="s">
        <v>102</v>
      </c>
      <c r="AF216" s="2"/>
    </row>
    <row r="217" spans="3:32" ht="20.100000000000001" customHeight="1" x14ac:dyDescent="0.25">
      <c r="D217" s="5" t="str" cm="1">
        <f t="array" ref="D217">MMS_PastureBeef_Soil_N2ODirect_Equations.VEERG_4_2_1_3__1_DirectNitrousOxideEmissionsOnPasture_Source()</f>
        <v>VEERG 2026: 4.2.1.3, Equation (1)</v>
      </c>
      <c r="T217" s="52" t="str">
        <f>TEXT(EDATE('Input - Site'!$E$12,5), "mmmm yyyy")</f>
        <v>June 2024</v>
      </c>
      <c r="U217" s="52">
        <f>'Input - Pasture Beef'!E49</f>
        <v>100</v>
      </c>
      <c r="V217" s="52">
        <f>'Input - Pasture Beef'!F49</f>
        <v>100</v>
      </c>
      <c r="W217" s="52">
        <f>'Input - Pasture Beef'!G49</f>
        <v>100</v>
      </c>
      <c r="X217" s="52">
        <f>'Input - Pasture Beef'!H49</f>
        <v>100</v>
      </c>
      <c r="Y217" s="52">
        <f>'Input - Pasture Beef'!I49</f>
        <v>100</v>
      </c>
      <c r="Z217" s="52">
        <f>'Input - Pasture Beef'!J49</f>
        <v>100</v>
      </c>
      <c r="AA217" s="52">
        <f>'Input - Pasture Beef'!K49</f>
        <v>100</v>
      </c>
      <c r="AB217" s="52">
        <f>'Input - Pasture Beef'!L49</f>
        <v>100</v>
      </c>
      <c r="AC217" s="52">
        <f>'Input - Pasture Beef'!M49</f>
        <v>100</v>
      </c>
      <c r="AD217" s="52">
        <f>'Input - Pasture Beef'!N49</f>
        <v>100</v>
      </c>
      <c r="AE217" s="2" t="s">
        <v>102</v>
      </c>
      <c r="AF217" s="2"/>
    </row>
    <row r="218" spans="3:32" ht="20.100000000000001" customHeight="1" x14ac:dyDescent="0.25">
      <c r="D218" s="13" t="s">
        <v>27</v>
      </c>
      <c r="E218" s="13" t="str" cm="1">
        <f t="array" aca="1" ref="E218" ca="1">Common_InputFunctions.Utility_DisplayFunctionName(E229)</f>
        <v>=MMS_PastureBeef_Soil_N2ODirect_Equations.VEERG_4_2_1_3__1_DirectNitrousOxideEmissionsOnPasture</v>
      </c>
      <c r="T218" s="52" t="str">
        <f>TEXT(EDATE('Input - Site'!$E$12,6), "mmmm yyyy")</f>
        <v>July 2024</v>
      </c>
      <c r="U218" s="52">
        <f>'Input - Pasture Beef'!E50</f>
        <v>100</v>
      </c>
      <c r="V218" s="52">
        <f>'Input - Pasture Beef'!F50</f>
        <v>100</v>
      </c>
      <c r="W218" s="52">
        <f>'Input - Pasture Beef'!G50</f>
        <v>100</v>
      </c>
      <c r="X218" s="52">
        <f>'Input - Pasture Beef'!H50</f>
        <v>100</v>
      </c>
      <c r="Y218" s="52">
        <f>'Input - Pasture Beef'!I50</f>
        <v>100</v>
      </c>
      <c r="Z218" s="52">
        <f>'Input - Pasture Beef'!J50</f>
        <v>100</v>
      </c>
      <c r="AA218" s="52">
        <f>'Input - Pasture Beef'!K50</f>
        <v>100</v>
      </c>
      <c r="AB218" s="52">
        <f>'Input - Pasture Beef'!L50</f>
        <v>100</v>
      </c>
      <c r="AC218" s="52">
        <f>'Input - Pasture Beef'!M50</f>
        <v>100</v>
      </c>
      <c r="AD218" s="52">
        <f>'Input - Pasture Beef'!N50</f>
        <v>100</v>
      </c>
      <c r="AE218" s="2" t="s">
        <v>102</v>
      </c>
      <c r="AF218" s="2"/>
    </row>
    <row r="219" spans="3:32" ht="20.100000000000001" customHeight="1" x14ac:dyDescent="0.25">
      <c r="T219" s="52" t="str">
        <f>TEXT(EDATE('Input - Site'!$E$12,7), "mmmm yyyy")</f>
        <v>August 2024</v>
      </c>
      <c r="U219" s="52">
        <f>'Input - Pasture Beef'!E51</f>
        <v>100</v>
      </c>
      <c r="V219" s="52">
        <f>'Input - Pasture Beef'!F51</f>
        <v>100</v>
      </c>
      <c r="W219" s="52">
        <f>'Input - Pasture Beef'!G51</f>
        <v>100</v>
      </c>
      <c r="X219" s="52">
        <f>'Input - Pasture Beef'!H51</f>
        <v>100</v>
      </c>
      <c r="Y219" s="52">
        <f>'Input - Pasture Beef'!I51</f>
        <v>100</v>
      </c>
      <c r="Z219" s="52">
        <f>'Input - Pasture Beef'!J51</f>
        <v>100</v>
      </c>
      <c r="AA219" s="52">
        <f>'Input - Pasture Beef'!K51</f>
        <v>100</v>
      </c>
      <c r="AB219" s="52">
        <f>'Input - Pasture Beef'!L51</f>
        <v>100</v>
      </c>
      <c r="AC219" s="52">
        <f>'Input - Pasture Beef'!M51</f>
        <v>100</v>
      </c>
      <c r="AD219" s="52">
        <f>'Input - Pasture Beef'!N51</f>
        <v>100</v>
      </c>
      <c r="AE219" s="2" t="s">
        <v>102</v>
      </c>
      <c r="AF219" s="2"/>
    </row>
    <row r="220" spans="3:32" ht="20.100000000000001" customHeight="1" x14ac:dyDescent="0.25">
      <c r="T220" s="52" t="str">
        <f>TEXT(EDATE('Input - Site'!$E$12,8), "mmmm yyyy")</f>
        <v>September 2024</v>
      </c>
      <c r="U220" s="52">
        <f>'Input - Pasture Beef'!E52</f>
        <v>100</v>
      </c>
      <c r="V220" s="52">
        <f>'Input - Pasture Beef'!F52</f>
        <v>100</v>
      </c>
      <c r="W220" s="52">
        <f>'Input - Pasture Beef'!G52</f>
        <v>100</v>
      </c>
      <c r="X220" s="52">
        <f>'Input - Pasture Beef'!H52</f>
        <v>100</v>
      </c>
      <c r="Y220" s="52">
        <f>'Input - Pasture Beef'!I52</f>
        <v>100</v>
      </c>
      <c r="Z220" s="52">
        <f>'Input - Pasture Beef'!J52</f>
        <v>100</v>
      </c>
      <c r="AA220" s="52">
        <f>'Input - Pasture Beef'!K52</f>
        <v>100</v>
      </c>
      <c r="AB220" s="52">
        <f>'Input - Pasture Beef'!L52</f>
        <v>100</v>
      </c>
      <c r="AC220" s="52">
        <f>'Input - Pasture Beef'!M52</f>
        <v>100</v>
      </c>
      <c r="AD220" s="52">
        <f>'Input - Pasture Beef'!N52</f>
        <v>100</v>
      </c>
      <c r="AE220" s="2" t="s">
        <v>102</v>
      </c>
      <c r="AF220" s="2"/>
    </row>
    <row r="221" spans="3:32" ht="20.100000000000001" customHeight="1" x14ac:dyDescent="0.25">
      <c r="D221" s="53" t="s">
        <v>30</v>
      </c>
      <c r="E221" s="1" t="str" cm="1">
        <f t="array" ref="E221">MMS_PastureBeef_Soil_N2ODirect_Equations.VEERG_4_2_1_3__1_DirectNitrousOxideEmissionsOnPasture_Variable()</f>
        <v>E_N2Odir</v>
      </c>
      <c r="T221" s="52" t="str">
        <f>TEXT(EDATE('Input - Site'!$E$12,9), "mmmm yyyy")</f>
        <v>October 2024</v>
      </c>
      <c r="U221" s="52">
        <f>'Input - Pasture Beef'!E53</f>
        <v>100</v>
      </c>
      <c r="V221" s="52">
        <f>'Input - Pasture Beef'!F53</f>
        <v>100</v>
      </c>
      <c r="W221" s="52">
        <f>'Input - Pasture Beef'!G53</f>
        <v>100</v>
      </c>
      <c r="X221" s="52">
        <f>'Input - Pasture Beef'!H53</f>
        <v>100</v>
      </c>
      <c r="Y221" s="52">
        <f>'Input - Pasture Beef'!I53</f>
        <v>100</v>
      </c>
      <c r="Z221" s="52">
        <f>'Input - Pasture Beef'!J53</f>
        <v>100</v>
      </c>
      <c r="AA221" s="52">
        <f>'Input - Pasture Beef'!K53</f>
        <v>100</v>
      </c>
      <c r="AB221" s="52">
        <f>'Input - Pasture Beef'!L53</f>
        <v>100</v>
      </c>
      <c r="AC221" s="52">
        <f>'Input - Pasture Beef'!M53</f>
        <v>100</v>
      </c>
      <c r="AD221" s="52">
        <f>'Input - Pasture Beef'!N53</f>
        <v>100</v>
      </c>
      <c r="AE221" s="2" t="s">
        <v>102</v>
      </c>
      <c r="AF221" s="2"/>
    </row>
    <row r="222" spans="3:32" ht="20.100000000000001" customHeight="1" x14ac:dyDescent="0.25">
      <c r="D222" s="53" t="s">
        <v>20</v>
      </c>
      <c r="E222" s="54" t="str" cm="1">
        <f t="array" ref="E222">MMS_PastureBeef_Soil_N2ODirect_Equations.VEERG_4_2_1_3__1_DirectNitrousOxideEmissionsOnPasture_Unit()</f>
        <v>t N2O</v>
      </c>
      <c r="T222" s="52" t="str">
        <f>TEXT(EDATE('Input - Site'!$E$12,10), "mmmm yyyy")</f>
        <v>November 2024</v>
      </c>
      <c r="U222" s="52">
        <f>'Input - Pasture Beef'!E54</f>
        <v>100</v>
      </c>
      <c r="V222" s="52">
        <f>'Input - Pasture Beef'!F54</f>
        <v>100</v>
      </c>
      <c r="W222" s="52">
        <f>'Input - Pasture Beef'!G54</f>
        <v>100</v>
      </c>
      <c r="X222" s="52">
        <f>'Input - Pasture Beef'!H54</f>
        <v>100</v>
      </c>
      <c r="Y222" s="52">
        <f>'Input - Pasture Beef'!I54</f>
        <v>100</v>
      </c>
      <c r="Z222" s="52">
        <f>'Input - Pasture Beef'!J54</f>
        <v>100</v>
      </c>
      <c r="AA222" s="52">
        <f>'Input - Pasture Beef'!K54</f>
        <v>100</v>
      </c>
      <c r="AB222" s="52">
        <f>'Input - Pasture Beef'!L54</f>
        <v>100</v>
      </c>
      <c r="AC222" s="52">
        <f>'Input - Pasture Beef'!M54</f>
        <v>100</v>
      </c>
      <c r="AD222" s="52">
        <f>'Input - Pasture Beef'!N54</f>
        <v>100</v>
      </c>
      <c r="AE222" s="2" t="s">
        <v>102</v>
      </c>
      <c r="AF222" s="2"/>
    </row>
    <row r="223" spans="3:32" ht="20.100000000000001" customHeight="1" x14ac:dyDescent="0.25">
      <c r="T223" s="52" t="str">
        <f>TEXT(EDATE('Input - Site'!$E$12,11), "mmmm yyyy")</f>
        <v>December 2024</v>
      </c>
      <c r="U223" s="52">
        <f>'Input - Pasture Beef'!E55</f>
        <v>100</v>
      </c>
      <c r="V223" s="52">
        <f>'Input - Pasture Beef'!F55</f>
        <v>100</v>
      </c>
      <c r="W223" s="52">
        <f>'Input - Pasture Beef'!G55</f>
        <v>100</v>
      </c>
      <c r="X223" s="52">
        <f>'Input - Pasture Beef'!H55</f>
        <v>100</v>
      </c>
      <c r="Y223" s="52">
        <f>'Input - Pasture Beef'!I55</f>
        <v>100</v>
      </c>
      <c r="Z223" s="52">
        <f>'Input - Pasture Beef'!J55</f>
        <v>100</v>
      </c>
      <c r="AA223" s="52">
        <f>'Input - Pasture Beef'!K55</f>
        <v>100</v>
      </c>
      <c r="AB223" s="52">
        <f>'Input - Pasture Beef'!L55</f>
        <v>100</v>
      </c>
      <c r="AC223" s="52">
        <f>'Input - Pasture Beef'!M55</f>
        <v>100</v>
      </c>
      <c r="AD223" s="52">
        <f>'Input - Pasture Beef'!N55</f>
        <v>100</v>
      </c>
      <c r="AE223" s="2" t="s">
        <v>102</v>
      </c>
      <c r="AF223" s="2"/>
    </row>
    <row r="224" spans="3:32" ht="20.100000000000001" customHeight="1" x14ac:dyDescent="0.25">
      <c r="D224" s="108" t="str" cm="1">
        <f t="array" ref="D224:E227">MMS_PastureBeef_Soil_N2ODirect_Equations.VEERG_4_2_1_3__1_DirectNitrousOxideEmissionsOnPasture_Arguments()</f>
        <v>AE</v>
      </c>
      <c r="E224" s="110" t="str">
        <v>total mass of nitrogen excreted on PRP for beef cattle (kg N)</v>
      </c>
      <c r="F224" s="117"/>
      <c r="G224" s="109"/>
      <c r="H224" s="108" t="str">
        <f>"See " &amp; D204</f>
        <v>See M1_Table_AE</v>
      </c>
    </row>
    <row r="225" spans="4:32" ht="20.100000000000001" customHeight="1" x14ac:dyDescent="0.25">
      <c r="D225" s="108" t="str">
        <v>EF_PRP</v>
      </c>
      <c r="E225" s="110" t="str">
        <v>emission factor for nitrous oxide from urine and dung deposited to soil (kg N2O-N/kg N deposited)</v>
      </c>
      <c r="F225" s="117"/>
      <c r="G225" s="109"/>
      <c r="H225" s="57">
        <f>_xlfn.XLOOKUP(H227,Table_SourceData_EFPastureRangeAndPaddock[Climate zone],Table_SourceData_EFPastureRangeAndPaddock[EFPRP])</f>
        <v>2E-3</v>
      </c>
      <c r="T225" s="99" t="s">
        <v>149</v>
      </c>
    </row>
    <row r="226" spans="4:32" ht="20.100000000000001" customHeight="1" x14ac:dyDescent="0.25">
      <c r="D226" s="108" t="str">
        <v>C_N2O</v>
      </c>
      <c r="E226" s="110" t="str">
        <v>factor to convert elemental mass of nitrous oxide to molecular mass</v>
      </c>
      <c r="F226" s="117"/>
      <c r="G226" s="109"/>
      <c r="H226" s="57">
        <f>Common_InputFunctions.Utility_LookupValueInTableNumber("N2O",Table_GasToMolecularConversionFactor[Gas],Table_GasToMolecularConversionFactor[Conversion factor combined])</f>
        <v>1.5714285714285714</v>
      </c>
      <c r="T226" s="98" t="s">
        <v>290</v>
      </c>
    </row>
    <row r="227" spans="4:32" ht="20.100000000000001" customHeight="1" x14ac:dyDescent="0.25">
      <c r="D227" s="108" t="str">
        <v>z</v>
      </c>
      <c r="E227" s="110" t="str">
        <v>wet or dry climate zone</v>
      </c>
      <c r="F227" s="117"/>
      <c r="G227" s="109"/>
      <c r="H227" s="108" t="str">
        <f>'Input - Site'!$E$32</f>
        <v>Dry climate zone</v>
      </c>
      <c r="T227" s="51" t="s">
        <v>132</v>
      </c>
      <c r="U227" s="51" t="s">
        <v>131</v>
      </c>
      <c r="V227" s="51" t="s">
        <v>130</v>
      </c>
      <c r="W227" s="51" t="s">
        <v>165</v>
      </c>
      <c r="X227" s="51" t="s">
        <v>166</v>
      </c>
      <c r="Y227" s="51" t="s">
        <v>167</v>
      </c>
      <c r="Z227" s="51" t="s">
        <v>168</v>
      </c>
      <c r="AA227" s="51" t="s">
        <v>169</v>
      </c>
      <c r="AB227" s="51" t="s">
        <v>170</v>
      </c>
      <c r="AC227" s="51" t="s">
        <v>171</v>
      </c>
      <c r="AD227" s="51" t="s">
        <v>172</v>
      </c>
    </row>
    <row r="228" spans="4:32" ht="20.100000000000001" customHeight="1" x14ac:dyDescent="0.25">
      <c r="T228" s="52" t="str">
        <f>TEXT('Input - Site'!$E$12, "mmmm yyyy")</f>
        <v>January 2024</v>
      </c>
      <c r="U228" s="52">
        <f>'Input - Pasture Beef'!E22</f>
        <v>31</v>
      </c>
      <c r="V228" s="52">
        <f>'Input - Pasture Beef'!F22</f>
        <v>31</v>
      </c>
      <c r="W228" s="52">
        <f>'Input - Pasture Beef'!G22</f>
        <v>31</v>
      </c>
      <c r="X228" s="52">
        <f>'Input - Pasture Beef'!H22</f>
        <v>31</v>
      </c>
      <c r="Y228" s="52">
        <f>'Input - Pasture Beef'!I22</f>
        <v>31</v>
      </c>
      <c r="Z228" s="52">
        <f>'Input - Pasture Beef'!J22</f>
        <v>31</v>
      </c>
      <c r="AA228" s="52">
        <f>'Input - Pasture Beef'!K22</f>
        <v>31</v>
      </c>
      <c r="AB228" s="52">
        <f>'Input - Pasture Beef'!L22</f>
        <v>31</v>
      </c>
      <c r="AC228" s="52">
        <f>'Input - Pasture Beef'!M22</f>
        <v>31</v>
      </c>
      <c r="AD228" s="52">
        <f>'Input - Pasture Beef'!N22</f>
        <v>31</v>
      </c>
      <c r="AE228" s="2" t="s">
        <v>286</v>
      </c>
      <c r="AF228" s="2"/>
    </row>
    <row r="229" spans="4:32" ht="20.100000000000001" customHeight="1" x14ac:dyDescent="0.25">
      <c r="D229" s="101" t="s">
        <v>110</v>
      </c>
      <c r="E229" s="102" cm="1">
        <f t="array" ref="E229">MMS_PastureBeef_Soil_N2ODirect_Equations.VEERG_4_2_1_3__1_DirectNitrousOxideEmissionsOnPasture($E$212,$H$225,$H$226)</f>
        <v>0.1867556447941994</v>
      </c>
      <c r="F229" s="103" t="str">
        <f>$E$222</f>
        <v>t N2O</v>
      </c>
      <c r="T229" s="52" t="str">
        <f>TEXT(EDATE('Input - Site'!$E$12,1), "mmmm yyyy")</f>
        <v>February 2024</v>
      </c>
      <c r="U229" s="52">
        <f>'Input - Pasture Beef'!E23</f>
        <v>29</v>
      </c>
      <c r="V229" s="52">
        <f>'Input - Pasture Beef'!F23</f>
        <v>29</v>
      </c>
      <c r="W229" s="52">
        <f>'Input - Pasture Beef'!G23</f>
        <v>29</v>
      </c>
      <c r="X229" s="52">
        <f>'Input - Pasture Beef'!H23</f>
        <v>29</v>
      </c>
      <c r="Y229" s="52">
        <f>'Input - Pasture Beef'!I23</f>
        <v>29</v>
      </c>
      <c r="Z229" s="52">
        <f>'Input - Pasture Beef'!J23</f>
        <v>29</v>
      </c>
      <c r="AA229" s="52">
        <f>'Input - Pasture Beef'!K23</f>
        <v>29</v>
      </c>
      <c r="AB229" s="52">
        <f>'Input - Pasture Beef'!L23</f>
        <v>29</v>
      </c>
      <c r="AC229" s="52">
        <f>'Input - Pasture Beef'!M23</f>
        <v>29</v>
      </c>
      <c r="AD229" s="52">
        <f>'Input - Pasture Beef'!N23</f>
        <v>29</v>
      </c>
      <c r="AE229" s="2" t="s">
        <v>286</v>
      </c>
      <c r="AF229" s="2"/>
    </row>
    <row r="230" spans="4:32" ht="20.100000000000001" customHeight="1" x14ac:dyDescent="0.25">
      <c r="T230" s="52" t="str">
        <f>TEXT(EDATE('Input - Site'!$E$12,2), "mmmm yyyy")</f>
        <v>March 2024</v>
      </c>
      <c r="U230" s="52">
        <f>'Input - Pasture Beef'!E24</f>
        <v>31</v>
      </c>
      <c r="V230" s="52">
        <f>'Input - Pasture Beef'!F24</f>
        <v>31</v>
      </c>
      <c r="W230" s="52">
        <f>'Input - Pasture Beef'!G24</f>
        <v>31</v>
      </c>
      <c r="X230" s="52">
        <f>'Input - Pasture Beef'!H24</f>
        <v>31</v>
      </c>
      <c r="Y230" s="52">
        <f>'Input - Pasture Beef'!I24</f>
        <v>31</v>
      </c>
      <c r="Z230" s="52">
        <f>'Input - Pasture Beef'!J24</f>
        <v>31</v>
      </c>
      <c r="AA230" s="52">
        <f>'Input - Pasture Beef'!K24</f>
        <v>31</v>
      </c>
      <c r="AB230" s="52">
        <f>'Input - Pasture Beef'!L24</f>
        <v>31</v>
      </c>
      <c r="AC230" s="52">
        <f>'Input - Pasture Beef'!M24</f>
        <v>31</v>
      </c>
      <c r="AD230" s="52">
        <f>'Input - Pasture Beef'!N24</f>
        <v>31</v>
      </c>
      <c r="AE230" s="2" t="s">
        <v>286</v>
      </c>
      <c r="AF230" s="2"/>
    </row>
    <row r="231" spans="4:32" ht="20.100000000000001" customHeight="1" x14ac:dyDescent="0.25">
      <c r="D231" s="57" t="str" cm="1">
        <f t="array" ref="D231:E232">Common_Equations.Common_ConvertN2OToCO2e_Arguments()</f>
        <v>EN2O</v>
      </c>
      <c r="E231" s="58" t="str">
        <v>Nitrous oxide emissions (t N2O)</v>
      </c>
      <c r="F231" s="104"/>
      <c r="G231" s="52">
        <f>E229</f>
        <v>0.1867556447941994</v>
      </c>
      <c r="T231" s="52" t="str">
        <f>TEXT(EDATE('Input - Site'!$E$12,3), "mmmm yyyy")</f>
        <v>April 2024</v>
      </c>
      <c r="U231" s="52">
        <f>'Input - Pasture Beef'!E25</f>
        <v>30</v>
      </c>
      <c r="V231" s="52">
        <f>'Input - Pasture Beef'!F25</f>
        <v>30</v>
      </c>
      <c r="W231" s="52">
        <f>'Input - Pasture Beef'!G25</f>
        <v>30</v>
      </c>
      <c r="X231" s="52">
        <f>'Input - Pasture Beef'!H25</f>
        <v>30</v>
      </c>
      <c r="Y231" s="52">
        <f>'Input - Pasture Beef'!I25</f>
        <v>30</v>
      </c>
      <c r="Z231" s="52">
        <f>'Input - Pasture Beef'!J25</f>
        <v>30</v>
      </c>
      <c r="AA231" s="52">
        <f>'Input - Pasture Beef'!K25</f>
        <v>30</v>
      </c>
      <c r="AB231" s="52">
        <f>'Input - Pasture Beef'!L25</f>
        <v>30</v>
      </c>
      <c r="AC231" s="52">
        <f>'Input - Pasture Beef'!M25</f>
        <v>30</v>
      </c>
      <c r="AD231" s="52">
        <f>'Input - Pasture Beef'!N25</f>
        <v>30</v>
      </c>
      <c r="AE231" s="2" t="s">
        <v>286</v>
      </c>
      <c r="AF231" s="2"/>
    </row>
    <row r="232" spans="4:32" ht="20.100000000000001" customHeight="1" x14ac:dyDescent="0.25">
      <c r="D232" s="57" t="str">
        <v>GWPN2O</v>
      </c>
      <c r="E232" s="58" t="str">
        <v>Global warming potential for nitrous oxide (t CO2-e / t N2O)</v>
      </c>
      <c r="F232" s="104"/>
      <c r="G232" s="52">
        <f>Common_InputFunctions.Utility_LookupValueInTableNumber("N2O",Table_GWPData[Gas],Table_GWPData[CO2-e factor])</f>
        <v>265</v>
      </c>
      <c r="T232" s="52" t="str">
        <f>TEXT(EDATE('Input - Site'!$E$12,4), "mmmm yyyy")</f>
        <v>May 2024</v>
      </c>
      <c r="U232" s="52">
        <f>'Input - Pasture Beef'!E26</f>
        <v>31</v>
      </c>
      <c r="V232" s="52">
        <f>'Input - Pasture Beef'!F26</f>
        <v>31</v>
      </c>
      <c r="W232" s="52">
        <f>'Input - Pasture Beef'!G26</f>
        <v>31</v>
      </c>
      <c r="X232" s="52">
        <f>'Input - Pasture Beef'!H26</f>
        <v>31</v>
      </c>
      <c r="Y232" s="52">
        <f>'Input - Pasture Beef'!I26</f>
        <v>31</v>
      </c>
      <c r="Z232" s="52">
        <f>'Input - Pasture Beef'!J26</f>
        <v>31</v>
      </c>
      <c r="AA232" s="52">
        <f>'Input - Pasture Beef'!K26</f>
        <v>31</v>
      </c>
      <c r="AB232" s="52">
        <f>'Input - Pasture Beef'!L26</f>
        <v>31</v>
      </c>
      <c r="AC232" s="52">
        <f>'Input - Pasture Beef'!M26</f>
        <v>31</v>
      </c>
      <c r="AD232" s="52">
        <f>'Input - Pasture Beef'!N26</f>
        <v>31</v>
      </c>
      <c r="AE232" s="2" t="s">
        <v>286</v>
      </c>
      <c r="AF232" s="2"/>
    </row>
    <row r="233" spans="4:32" ht="20.100000000000001" customHeight="1" x14ac:dyDescent="0.25">
      <c r="T233" s="52" t="str">
        <f>TEXT(EDATE('Input - Site'!$E$12,5), "mmmm yyyy")</f>
        <v>June 2024</v>
      </c>
      <c r="U233" s="52">
        <f>'Input - Pasture Beef'!E27</f>
        <v>30</v>
      </c>
      <c r="V233" s="52">
        <f>'Input - Pasture Beef'!F27</f>
        <v>30</v>
      </c>
      <c r="W233" s="52">
        <f>'Input - Pasture Beef'!G27</f>
        <v>30</v>
      </c>
      <c r="X233" s="52">
        <f>'Input - Pasture Beef'!H27</f>
        <v>30</v>
      </c>
      <c r="Y233" s="52">
        <f>'Input - Pasture Beef'!I27</f>
        <v>30</v>
      </c>
      <c r="Z233" s="52">
        <f>'Input - Pasture Beef'!J27</f>
        <v>30</v>
      </c>
      <c r="AA233" s="52">
        <f>'Input - Pasture Beef'!K27</f>
        <v>30</v>
      </c>
      <c r="AB233" s="52">
        <f>'Input - Pasture Beef'!L27</f>
        <v>30</v>
      </c>
      <c r="AC233" s="52">
        <f>'Input - Pasture Beef'!M27</f>
        <v>30</v>
      </c>
      <c r="AD233" s="52">
        <f>'Input - Pasture Beef'!N27</f>
        <v>30</v>
      </c>
      <c r="AE233" s="2" t="s">
        <v>286</v>
      </c>
      <c r="AF233" s="2"/>
    </row>
    <row r="234" spans="4:32" ht="20.100000000000001" customHeight="1" x14ac:dyDescent="0.25">
      <c r="D234" s="45" t="s">
        <v>104</v>
      </c>
      <c r="E234" s="45" cm="1">
        <f t="array" ref="E234">Common_Equations.Common_ConvertN2OToCO2e(G231,G232)</f>
        <v>49.490245870462843</v>
      </c>
      <c r="F234" s="105" t="str" cm="1">
        <f t="array" ref="F234">Common_Equations.Common_ConvertN2OToCO2e_Unit()</f>
        <v>t CO2e</v>
      </c>
      <c r="T234" s="52" t="str">
        <f>TEXT(EDATE('Input - Site'!$E$12,6), "mmmm yyyy")</f>
        <v>July 2024</v>
      </c>
      <c r="U234" s="52">
        <f>'Input - Pasture Beef'!E28</f>
        <v>31</v>
      </c>
      <c r="V234" s="52">
        <f>'Input - Pasture Beef'!F28</f>
        <v>31</v>
      </c>
      <c r="W234" s="52">
        <f>'Input - Pasture Beef'!G28</f>
        <v>31</v>
      </c>
      <c r="X234" s="52">
        <f>'Input - Pasture Beef'!H28</f>
        <v>31</v>
      </c>
      <c r="Y234" s="52">
        <f>'Input - Pasture Beef'!I28</f>
        <v>31</v>
      </c>
      <c r="Z234" s="52">
        <f>'Input - Pasture Beef'!J28</f>
        <v>31</v>
      </c>
      <c r="AA234" s="52">
        <f>'Input - Pasture Beef'!K28</f>
        <v>31</v>
      </c>
      <c r="AB234" s="52">
        <f>'Input - Pasture Beef'!L28</f>
        <v>31</v>
      </c>
      <c r="AC234" s="52">
        <f>'Input - Pasture Beef'!M28</f>
        <v>31</v>
      </c>
      <c r="AD234" s="52">
        <f>'Input - Pasture Beef'!N28</f>
        <v>31</v>
      </c>
      <c r="AE234" s="2" t="s">
        <v>286</v>
      </c>
      <c r="AF234" s="2"/>
    </row>
    <row r="235" spans="4:32" ht="20.100000000000001" customHeight="1" x14ac:dyDescent="0.25">
      <c r="T235" s="52" t="str">
        <f>TEXT(EDATE('Input - Site'!$E$12,7), "mmmm yyyy")</f>
        <v>August 2024</v>
      </c>
      <c r="U235" s="52">
        <f>'Input - Pasture Beef'!E29</f>
        <v>31</v>
      </c>
      <c r="V235" s="52">
        <f>'Input - Pasture Beef'!F29</f>
        <v>31</v>
      </c>
      <c r="W235" s="52">
        <f>'Input - Pasture Beef'!G29</f>
        <v>31</v>
      </c>
      <c r="X235" s="52">
        <f>'Input - Pasture Beef'!H29</f>
        <v>31</v>
      </c>
      <c r="Y235" s="52">
        <f>'Input - Pasture Beef'!I29</f>
        <v>31</v>
      </c>
      <c r="Z235" s="52">
        <f>'Input - Pasture Beef'!J29</f>
        <v>31</v>
      </c>
      <c r="AA235" s="52">
        <f>'Input - Pasture Beef'!K29</f>
        <v>31</v>
      </c>
      <c r="AB235" s="52">
        <f>'Input - Pasture Beef'!L29</f>
        <v>31</v>
      </c>
      <c r="AC235" s="52">
        <f>'Input - Pasture Beef'!M29</f>
        <v>31</v>
      </c>
      <c r="AD235" s="52">
        <f>'Input - Pasture Beef'!N29</f>
        <v>31</v>
      </c>
      <c r="AE235" s="2" t="s">
        <v>286</v>
      </c>
      <c r="AF235" s="2"/>
    </row>
    <row r="236" spans="4:32" ht="20.100000000000001" customHeight="1" x14ac:dyDescent="0.25">
      <c r="T236" s="52" t="str">
        <f>TEXT(EDATE('Input - Site'!$E$12,8), "mmmm yyyy")</f>
        <v>September 2024</v>
      </c>
      <c r="U236" s="52">
        <f>'Input - Pasture Beef'!E30</f>
        <v>30</v>
      </c>
      <c r="V236" s="52">
        <f>'Input - Pasture Beef'!F30</f>
        <v>30</v>
      </c>
      <c r="W236" s="52">
        <f>'Input - Pasture Beef'!G30</f>
        <v>30</v>
      </c>
      <c r="X236" s="52">
        <f>'Input - Pasture Beef'!H30</f>
        <v>30</v>
      </c>
      <c r="Y236" s="52">
        <f>'Input - Pasture Beef'!I30</f>
        <v>30</v>
      </c>
      <c r="Z236" s="52">
        <f>'Input - Pasture Beef'!J30</f>
        <v>30</v>
      </c>
      <c r="AA236" s="52">
        <f>'Input - Pasture Beef'!K30</f>
        <v>30</v>
      </c>
      <c r="AB236" s="52">
        <f>'Input - Pasture Beef'!L30</f>
        <v>30</v>
      </c>
      <c r="AC236" s="52">
        <f>'Input - Pasture Beef'!M30</f>
        <v>30</v>
      </c>
      <c r="AD236" s="52">
        <f>'Input - Pasture Beef'!N30</f>
        <v>30</v>
      </c>
      <c r="AE236" s="2" t="s">
        <v>286</v>
      </c>
      <c r="AF236" s="2"/>
    </row>
    <row r="237" spans="4:32" ht="20.100000000000001" customHeight="1" x14ac:dyDescent="0.25">
      <c r="T237" s="52" t="str">
        <f>TEXT(EDATE('Input - Site'!$E$12,9), "mmmm yyyy")</f>
        <v>October 2024</v>
      </c>
      <c r="U237" s="52">
        <f>'Input - Pasture Beef'!E31</f>
        <v>31</v>
      </c>
      <c r="V237" s="52">
        <f>'Input - Pasture Beef'!F31</f>
        <v>31</v>
      </c>
      <c r="W237" s="52">
        <f>'Input - Pasture Beef'!G31</f>
        <v>31</v>
      </c>
      <c r="X237" s="52">
        <f>'Input - Pasture Beef'!H31</f>
        <v>31</v>
      </c>
      <c r="Y237" s="52">
        <f>'Input - Pasture Beef'!I31</f>
        <v>31</v>
      </c>
      <c r="Z237" s="52">
        <f>'Input - Pasture Beef'!J31</f>
        <v>31</v>
      </c>
      <c r="AA237" s="52">
        <f>'Input - Pasture Beef'!K31</f>
        <v>31</v>
      </c>
      <c r="AB237" s="52">
        <f>'Input - Pasture Beef'!L31</f>
        <v>31</v>
      </c>
      <c r="AC237" s="52">
        <f>'Input - Pasture Beef'!M31</f>
        <v>31</v>
      </c>
      <c r="AD237" s="52">
        <f>'Input - Pasture Beef'!N31</f>
        <v>31</v>
      </c>
      <c r="AE237" s="2" t="s">
        <v>286</v>
      </c>
      <c r="AF237" s="2"/>
    </row>
    <row r="238" spans="4:32" ht="20.100000000000001" customHeight="1" x14ac:dyDescent="0.25">
      <c r="T238" s="52" t="str">
        <f>TEXT(EDATE('Input - Site'!$E$12,10), "mmmm yyyy")</f>
        <v>November 2024</v>
      </c>
      <c r="U238" s="52">
        <f>'Input - Pasture Beef'!E32</f>
        <v>30</v>
      </c>
      <c r="V238" s="52">
        <f>'Input - Pasture Beef'!F32</f>
        <v>30</v>
      </c>
      <c r="W238" s="52">
        <f>'Input - Pasture Beef'!G32</f>
        <v>30</v>
      </c>
      <c r="X238" s="52">
        <f>'Input - Pasture Beef'!H32</f>
        <v>30</v>
      </c>
      <c r="Y238" s="52">
        <f>'Input - Pasture Beef'!I32</f>
        <v>30</v>
      </c>
      <c r="Z238" s="52">
        <f>'Input - Pasture Beef'!J32</f>
        <v>30</v>
      </c>
      <c r="AA238" s="52">
        <f>'Input - Pasture Beef'!K32</f>
        <v>30</v>
      </c>
      <c r="AB238" s="52">
        <f>'Input - Pasture Beef'!L32</f>
        <v>30</v>
      </c>
      <c r="AC238" s="52">
        <f>'Input - Pasture Beef'!M32</f>
        <v>30</v>
      </c>
      <c r="AD238" s="52">
        <f>'Input - Pasture Beef'!N32</f>
        <v>30</v>
      </c>
      <c r="AE238" s="2" t="s">
        <v>286</v>
      </c>
      <c r="AF238" s="2"/>
    </row>
    <row r="239" spans="4:32" ht="20.100000000000001" customHeight="1" x14ac:dyDescent="0.25">
      <c r="T239" s="52" t="str">
        <f>TEXT(EDATE('Input - Site'!$E$12,11), "mmmm yyyy")</f>
        <v>December 2024</v>
      </c>
      <c r="U239" s="52">
        <f>'Input - Pasture Beef'!E33</f>
        <v>31</v>
      </c>
      <c r="V239" s="52">
        <f>'Input - Pasture Beef'!F33</f>
        <v>31</v>
      </c>
      <c r="W239" s="52">
        <f>'Input - Pasture Beef'!G33</f>
        <v>31</v>
      </c>
      <c r="X239" s="52">
        <f>'Input - Pasture Beef'!H33</f>
        <v>31</v>
      </c>
      <c r="Y239" s="52">
        <f>'Input - Pasture Beef'!I33</f>
        <v>31</v>
      </c>
      <c r="Z239" s="52">
        <f>'Input - Pasture Beef'!J33</f>
        <v>31</v>
      </c>
      <c r="AA239" s="52">
        <f>'Input - Pasture Beef'!K33</f>
        <v>31</v>
      </c>
      <c r="AB239" s="52">
        <f>'Input - Pasture Beef'!L33</f>
        <v>31</v>
      </c>
      <c r="AC239" s="52">
        <f>'Input - Pasture Beef'!M33</f>
        <v>31</v>
      </c>
      <c r="AD239" s="52">
        <f>'Input - Pasture Beef'!N33</f>
        <v>31</v>
      </c>
      <c r="AE239" s="2" t="s">
        <v>286</v>
      </c>
      <c r="AF239" s="2"/>
    </row>
    <row r="240" spans="4:32" ht="20.100000000000001" customHeight="1" x14ac:dyDescent="0.25"/>
    <row r="241" spans="20:32" ht="20.100000000000001" customHeight="1" x14ac:dyDescent="0.25">
      <c r="T241" s="99" t="s">
        <v>328</v>
      </c>
    </row>
    <row r="242" spans="20:32" ht="20.100000000000001" customHeight="1" x14ac:dyDescent="0.25">
      <c r="T242" s="98" t="s">
        <v>329</v>
      </c>
    </row>
    <row r="243" spans="20:32" ht="20.100000000000001" customHeight="1" x14ac:dyDescent="0.25">
      <c r="T243" s="51" t="s">
        <v>132</v>
      </c>
      <c r="U243" s="51" t="s">
        <v>131</v>
      </c>
      <c r="V243" s="51" t="s">
        <v>130</v>
      </c>
      <c r="W243" s="51" t="s">
        <v>165</v>
      </c>
      <c r="X243" s="51" t="s">
        <v>166</v>
      </c>
      <c r="Y243" s="51" t="s">
        <v>167</v>
      </c>
      <c r="Z243" s="51" t="s">
        <v>168</v>
      </c>
      <c r="AA243" s="51" t="s">
        <v>169</v>
      </c>
      <c r="AB243" s="51" t="s">
        <v>170</v>
      </c>
      <c r="AC243" s="51" t="s">
        <v>171</v>
      </c>
      <c r="AD243" s="51" t="s">
        <v>172</v>
      </c>
    </row>
    <row r="244" spans="20:32" ht="20.100000000000001" customHeight="1" x14ac:dyDescent="0.25">
      <c r="T244" s="52" t="str">
        <f>TEXT('Input - Site'!$E$12, "mmmm yyyy")</f>
        <v>January 2024</v>
      </c>
      <c r="U244" s="52" cm="1">
        <f t="array" ref="U244">MMS_PastureBeef_Soil_N2ODirect_Equations.VEERG_4_2_1_3__2_TotalNitrogenExcretedToPastureRangeAndPaddock(U212,U192,U228)</f>
        <v>289.15319378762229</v>
      </c>
      <c r="V244" s="52" cm="1">
        <f t="array" ref="V244">MMS_PastureBeef_Soil_N2ODirect_Equations.VEERG_4_2_1_3__2_TotalNitrogenExcretedToPastureRangeAndPaddock(V212,V192,V228)</f>
        <v>421.65805292524783</v>
      </c>
      <c r="W244" s="52" cm="1">
        <f t="array" ref="W244">MMS_PastureBeef_Soil_N2ODirect_Equations.VEERG_4_2_1_3__2_TotalNitrogenExcretedToPastureRangeAndPaddock(W212,W192,W228)</f>
        <v>241.21418667705774</v>
      </c>
      <c r="X244" s="52" cm="1">
        <f t="array" ref="X244">MMS_PastureBeef_Soil_N2ODirect_Equations.VEERG_4_2_1_3__2_TotalNitrogenExcretedToPastureRangeAndPaddock(X212,X192,X228)</f>
        <v>313.21127433214627</v>
      </c>
      <c r="Y244" s="52" cm="1">
        <f t="array" ref="Y244">MMS_PastureBeef_Soil_N2ODirect_Equations.VEERG_4_2_1_3__2_TotalNitrogenExcretedToPastureRangeAndPaddock(Y212,Y192,Y228)</f>
        <v>329.00458281781619</v>
      </c>
      <c r="Z244" s="52" cm="1">
        <f t="array" ref="Z244">MMS_PastureBeef_Soil_N2ODirect_Equations.VEERG_4_2_1_3__2_TotalNitrogenExcretedToPastureRangeAndPaddock(Z212,Z192,Z228)</f>
        <v>329.00458281781619</v>
      </c>
      <c r="AA244" s="52" cm="1">
        <f t="array" ref="AA244">MMS_PastureBeef_Soil_N2ODirect_Equations.VEERG_4_2_1_3__2_TotalNitrogenExcretedToPastureRangeAndPaddock(AA212,AA192,AA228)</f>
        <v>265.4390677122351</v>
      </c>
      <c r="AB244" s="52" cm="1">
        <f t="array" ref="AB244">MMS_PastureBeef_Soil_N2ODirect_Equations.VEERG_4_2_1_3__2_TotalNitrogenExcretedToPastureRangeAndPaddock(AB212,AB192,AB228)</f>
        <v>326.89236244194075</v>
      </c>
      <c r="AC244" s="52" cm="1">
        <f t="array" ref="AC244">MMS_PastureBeef_Soil_N2ODirect_Equations.VEERG_4_2_1_3__2_TotalNitrogenExcretedToPastureRangeAndPaddock(AC212,AC192,AC228)</f>
        <v>326.89236244194075</v>
      </c>
      <c r="AD244" s="52" cm="1">
        <f t="array" ref="AD244">MMS_PastureBeef_Soil_N2ODirect_Equations.VEERG_4_2_1_3__2_TotalNitrogenExcretedToPastureRangeAndPaddock(AD212,AD192,AD228)</f>
        <v>326.89236244194075</v>
      </c>
      <c r="AE244" s="2" t="str">
        <f t="shared" ref="AE244:AE255" si="10">$E$182</f>
        <v>kg N</v>
      </c>
      <c r="AF244" s="2"/>
    </row>
    <row r="245" spans="20:32" ht="20.100000000000001" customHeight="1" x14ac:dyDescent="0.25">
      <c r="T245" s="52" t="str">
        <f>TEXT(EDATE('Input - Site'!$E$12,1), "mmmm yyyy")</f>
        <v>February 2024</v>
      </c>
      <c r="U245" s="52" cm="1">
        <f t="array" ref="U245">MMS_PastureBeef_Soil_N2ODirect_Equations.VEERG_4_2_1_3__2_TotalNitrogenExcretedToPastureRangeAndPaddock(U213,U193,U229)</f>
        <v>270.49814902713058</v>
      </c>
      <c r="V245" s="52" cm="1">
        <f t="array" ref="V245">MMS_PastureBeef_Soil_N2ODirect_Equations.VEERG_4_2_1_3__2_TotalNitrogenExcretedToPastureRangeAndPaddock(V213,V193,V229)</f>
        <v>394.45430757523184</v>
      </c>
      <c r="W245" s="52" cm="1">
        <f t="array" ref="W245">MMS_PastureBeef_Soil_N2ODirect_Equations.VEERG_4_2_1_3__2_TotalNitrogenExcretedToPastureRangeAndPaddock(W213,W193,W229)</f>
        <v>225.6519810849895</v>
      </c>
      <c r="X245" s="52" cm="1">
        <f t="array" ref="X245">MMS_PastureBeef_Soil_N2ODirect_Equations.VEERG_4_2_1_3__2_TotalNitrogenExcretedToPastureRangeAndPaddock(X213,X193,X229)</f>
        <v>293.00409534297557</v>
      </c>
      <c r="Y245" s="52" cm="1">
        <f t="array" ref="Y245">MMS_PastureBeef_Soil_N2ODirect_Equations.VEERG_4_2_1_3__2_TotalNitrogenExcretedToPastureRangeAndPaddock(Y213,Y193,Y229)</f>
        <v>307.77848070053773</v>
      </c>
      <c r="Z245" s="52" cm="1">
        <f t="array" ref="Z245">MMS_PastureBeef_Soil_N2ODirect_Equations.VEERG_4_2_1_3__2_TotalNitrogenExcretedToPastureRangeAndPaddock(Z213,Z193,Z229)</f>
        <v>307.77848070053773</v>
      </c>
      <c r="AA245" s="52" cm="1">
        <f t="array" ref="AA245">MMS_PastureBeef_Soil_N2ODirect_Equations.VEERG_4_2_1_3__2_TotalNitrogenExcretedToPastureRangeAndPaddock(AA213,AA193,AA229)</f>
        <v>248.31396656951023</v>
      </c>
      <c r="AB245" s="52" cm="1">
        <f t="array" ref="AB245">MMS_PastureBeef_Soil_N2ODirect_Equations.VEERG_4_2_1_3__2_TotalNitrogenExcretedToPastureRangeAndPaddock(AB213,AB193,AB229)</f>
        <v>305.8025326069768</v>
      </c>
      <c r="AC245" s="52" cm="1">
        <f t="array" ref="AC245">MMS_PastureBeef_Soil_N2ODirect_Equations.VEERG_4_2_1_3__2_TotalNitrogenExcretedToPastureRangeAndPaddock(AC213,AC193,AC229)</f>
        <v>305.8025326069768</v>
      </c>
      <c r="AD245" s="52" cm="1">
        <f t="array" ref="AD245">MMS_PastureBeef_Soil_N2ODirect_Equations.VEERG_4_2_1_3__2_TotalNitrogenExcretedToPastureRangeAndPaddock(AD213,AD193,AD229)</f>
        <v>305.8025326069768</v>
      </c>
      <c r="AE245" s="2" t="str">
        <f t="shared" si="10"/>
        <v>kg N</v>
      </c>
      <c r="AF245" s="2"/>
    </row>
    <row r="246" spans="20:32" ht="20.100000000000001" customHeight="1" x14ac:dyDescent="0.25">
      <c r="T246" s="52" t="str">
        <f>TEXT(EDATE('Input - Site'!$E$12,2), "mmmm yyyy")</f>
        <v>March 2024</v>
      </c>
      <c r="U246" s="52" cm="1">
        <f t="array" ref="U246">MMS_PastureBeef_Soil_N2ODirect_Equations.VEERG_4_2_1_3__2_TotalNitrogenExcretedToPastureRangeAndPaddock(U214,U194,U230)</f>
        <v>41.820820957231291</v>
      </c>
      <c r="V246" s="52" cm="1">
        <f t="array" ref="V246">MMS_PastureBeef_Soil_N2ODirect_Equations.VEERG_4_2_1_3__2_TotalNitrogenExcretedToPastureRangeAndPaddock(V214,V194,V230)</f>
        <v>273.21237326588823</v>
      </c>
      <c r="W246" s="52" cm="1">
        <f t="array" ref="W246">MMS_PastureBeef_Soil_N2ODirect_Equations.VEERG_4_2_1_3__2_TotalNitrogenExcretedToPastureRangeAndPaddock(W214,W194,W230)</f>
        <v>34.105886288846641</v>
      </c>
      <c r="X246" s="52" cm="1">
        <f t="array" ref="X246">MMS_PastureBeef_Soil_N2ODirect_Equations.VEERG_4_2_1_3__2_TotalNitrogenExcretedToPastureRangeAndPaddock(X214,X194,X230)</f>
        <v>128.89208147306323</v>
      </c>
      <c r="Y246" s="52" cm="1">
        <f t="array" ref="Y246">MMS_PastureBeef_Soil_N2ODirect_Equations.VEERG_4_2_1_3__2_TotalNitrogenExcretedToPastureRangeAndPaddock(Y214,Y194,Y230)</f>
        <v>182.81523161431747</v>
      </c>
      <c r="Z246" s="52" cm="1">
        <f t="array" ref="Z246">MMS_PastureBeef_Soil_N2ODirect_Equations.VEERG_4_2_1_3__2_TotalNitrogenExcretedToPastureRangeAndPaddock(Z214,Z194,Z230)</f>
        <v>182.81523161431747</v>
      </c>
      <c r="AA246" s="52" cm="1">
        <f t="array" ref="AA246">MMS_PastureBeef_Soil_N2ODirect_Equations.VEERG_4_2_1_3__2_TotalNitrogenExcretedToPastureRangeAndPaddock(AA214,AA194,AA230)</f>
        <v>42.567922288540977</v>
      </c>
      <c r="AB246" s="52" cm="1">
        <f t="array" ref="AB246">MMS_PastureBeef_Soil_N2ODirect_Equations.VEERG_4_2_1_3__2_TotalNitrogenExcretedToPastureRangeAndPaddock(AB214,AB194,AB230)</f>
        <v>171.12645843343526</v>
      </c>
      <c r="AC246" s="52" cm="1">
        <f t="array" ref="AC246">MMS_PastureBeef_Soil_N2ODirect_Equations.VEERG_4_2_1_3__2_TotalNitrogenExcretedToPastureRangeAndPaddock(AC214,AC194,AC230)</f>
        <v>171.12645843343526</v>
      </c>
      <c r="AD246" s="52" cm="1">
        <f t="array" ref="AD246">MMS_PastureBeef_Soil_N2ODirect_Equations.VEERG_4_2_1_3__2_TotalNitrogenExcretedToPastureRangeAndPaddock(AD214,AD194,AD230)</f>
        <v>171.12645843343526</v>
      </c>
      <c r="AE246" s="2" t="str">
        <f t="shared" si="10"/>
        <v>kg N</v>
      </c>
      <c r="AF246" s="2"/>
    </row>
    <row r="247" spans="20:32" ht="20.100000000000001" customHeight="1" x14ac:dyDescent="0.25">
      <c r="T247" s="52" t="str">
        <f>TEXT(EDATE('Input - Site'!$E$12,3), "mmmm yyyy")</f>
        <v>April 2024</v>
      </c>
      <c r="U247" s="52" cm="1">
        <f t="array" ref="U247">MMS_PastureBeef_Soil_N2ODirect_Equations.VEERG_4_2_1_3__2_TotalNitrogenExcretedToPastureRangeAndPaddock(U215,U195,U231)</f>
        <v>40.471762216675444</v>
      </c>
      <c r="V247" s="52" cm="1">
        <f t="array" ref="V247">MMS_PastureBeef_Soil_N2ODirect_Equations.VEERG_4_2_1_3__2_TotalNitrogenExcretedToPastureRangeAndPaddock(V215,V195,V231)</f>
        <v>264.39907090247249</v>
      </c>
      <c r="W247" s="52" cm="1">
        <f t="array" ref="W247">MMS_PastureBeef_Soil_N2ODirect_Equations.VEERG_4_2_1_3__2_TotalNitrogenExcretedToPastureRangeAndPaddock(W215,W195,W231)</f>
        <v>33.005696408561263</v>
      </c>
      <c r="X247" s="52" cm="1">
        <f t="array" ref="X247">MMS_PastureBeef_Soil_N2ODirect_Equations.VEERG_4_2_1_3__2_TotalNitrogenExcretedToPastureRangeAndPaddock(X215,X195,X231)</f>
        <v>156.9909692666541</v>
      </c>
      <c r="Y247" s="52" cm="1">
        <f t="array" ref="Y247">MMS_PastureBeef_Soil_N2ODirect_Equations.VEERG_4_2_1_3__2_TotalNitrogenExcretedToPastureRangeAndPaddock(Y215,Y195,Y231)</f>
        <v>207.55524956516945</v>
      </c>
      <c r="Z247" s="52" cm="1">
        <f t="array" ref="Z247">MMS_PastureBeef_Soil_N2ODirect_Equations.VEERG_4_2_1_3__2_TotalNitrogenExcretedToPastureRangeAndPaddock(Z215,Z195,Z231)</f>
        <v>207.55524956516945</v>
      </c>
      <c r="AA247" s="52" cm="1">
        <f t="array" ref="AA247">MMS_PastureBeef_Soil_N2ODirect_Equations.VEERG_4_2_1_3__2_TotalNitrogenExcretedToPastureRangeAndPaddock(AA215,AA195,AA231)</f>
        <v>41.19476350503966</v>
      </c>
      <c r="AB247" s="52" cm="1">
        <f t="array" ref="AB247">MMS_PastureBeef_Soil_N2ODirect_Equations.VEERG_4_2_1_3__2_TotalNitrogenExcretedToPastureRangeAndPaddock(AB215,AB195,AB231)</f>
        <v>165.60625009687283</v>
      </c>
      <c r="AC247" s="52" cm="1">
        <f t="array" ref="AC247">MMS_PastureBeef_Soil_N2ODirect_Equations.VEERG_4_2_1_3__2_TotalNitrogenExcretedToPastureRangeAndPaddock(AC215,AC195,AC231)</f>
        <v>165.60625009687283</v>
      </c>
      <c r="AD247" s="52" cm="1">
        <f t="array" ref="AD247">MMS_PastureBeef_Soil_N2ODirect_Equations.VEERG_4_2_1_3__2_TotalNitrogenExcretedToPastureRangeAndPaddock(AD215,AD195,AD231)</f>
        <v>165.60625009687283</v>
      </c>
      <c r="AE247" s="2" t="str">
        <f t="shared" si="10"/>
        <v>kg N</v>
      </c>
      <c r="AF247" s="2"/>
    </row>
    <row r="248" spans="20:32" ht="20.100000000000001" customHeight="1" x14ac:dyDescent="0.25">
      <c r="T248" s="52" t="str">
        <f>TEXT(EDATE('Input - Site'!$E$12,4), "mmmm yyyy")</f>
        <v>May 2024</v>
      </c>
      <c r="U248" s="52" cm="1">
        <f t="array" ref="U248">MMS_PastureBeef_Soil_N2ODirect_Equations.VEERG_4_2_1_3__2_TotalNitrogenExcretedToPastureRangeAndPaddock(U216,U196,U232)</f>
        <v>41.820820957231291</v>
      </c>
      <c r="V248" s="52" cm="1">
        <f t="array" ref="V248">MMS_PastureBeef_Soil_N2ODirect_Equations.VEERG_4_2_1_3__2_TotalNitrogenExcretedToPastureRangeAndPaddock(V216,V196,V232)</f>
        <v>273.21237326588823</v>
      </c>
      <c r="W248" s="52" cm="1">
        <f t="array" ref="W248">MMS_PastureBeef_Soil_N2ODirect_Equations.VEERG_4_2_1_3__2_TotalNitrogenExcretedToPastureRangeAndPaddock(W216,W196,W232)</f>
        <v>34.105886288846641</v>
      </c>
      <c r="X248" s="52" cm="1">
        <f t="array" ref="X248">MMS_PastureBeef_Soil_N2ODirect_Equations.VEERG_4_2_1_3__2_TotalNitrogenExcretedToPastureRangeAndPaddock(X216,X196,X232)</f>
        <v>162.22400157554256</v>
      </c>
      <c r="Y248" s="52" cm="1">
        <f t="array" ref="Y248">MMS_PastureBeef_Soil_N2ODirect_Equations.VEERG_4_2_1_3__2_TotalNitrogenExcretedToPastureRangeAndPaddock(Y216,Y196,Y232)</f>
        <v>214.47375788400842</v>
      </c>
      <c r="Z248" s="52" cm="1">
        <f t="array" ref="Z248">MMS_PastureBeef_Soil_N2ODirect_Equations.VEERG_4_2_1_3__2_TotalNitrogenExcretedToPastureRangeAndPaddock(Z216,Z196,Z232)</f>
        <v>214.47375788400842</v>
      </c>
      <c r="AA248" s="52" cm="1">
        <f t="array" ref="AA248">MMS_PastureBeef_Soil_N2ODirect_Equations.VEERG_4_2_1_3__2_TotalNitrogenExcretedToPastureRangeAndPaddock(AA216,AA196,AA232)</f>
        <v>42.567922288540977</v>
      </c>
      <c r="AB248" s="52" cm="1">
        <f t="array" ref="AB248">MMS_PastureBeef_Soil_N2ODirect_Equations.VEERG_4_2_1_3__2_TotalNitrogenExcretedToPastureRangeAndPaddock(AB216,AB196,AB232)</f>
        <v>171.12645843343526</v>
      </c>
      <c r="AC248" s="52" cm="1">
        <f t="array" ref="AC248">MMS_PastureBeef_Soil_N2ODirect_Equations.VEERG_4_2_1_3__2_TotalNitrogenExcretedToPastureRangeAndPaddock(AC216,AC196,AC232)</f>
        <v>171.12645843343526</v>
      </c>
      <c r="AD248" s="52" cm="1">
        <f t="array" ref="AD248">MMS_PastureBeef_Soil_N2ODirect_Equations.VEERG_4_2_1_3__2_TotalNitrogenExcretedToPastureRangeAndPaddock(AD216,AD196,AD232)</f>
        <v>171.12645843343526</v>
      </c>
      <c r="AE248" s="2" t="str">
        <f t="shared" si="10"/>
        <v>kg N</v>
      </c>
      <c r="AF248" s="2"/>
    </row>
    <row r="249" spans="20:32" ht="20.100000000000001" customHeight="1" x14ac:dyDescent="0.25">
      <c r="T249" s="52" t="str">
        <f>TEXT(EDATE('Input - Site'!$E$12,5), "mmmm yyyy")</f>
        <v>June 2024</v>
      </c>
      <c r="U249" s="52" cm="1">
        <f t="array" ref="U249">MMS_PastureBeef_Soil_N2ODirect_Equations.VEERG_4_2_1_3__2_TotalNitrogenExcretedToPastureRangeAndPaddock(U217,U197,U233)</f>
        <v>413.18213355318102</v>
      </c>
      <c r="V249" s="52" cm="1">
        <f t="array" ref="V249">MMS_PastureBeef_Soil_N2ODirect_Equations.VEERG_4_2_1_3__2_TotalNitrogenExcretedToPastureRangeAndPaddock(V217,V197,V233)</f>
        <v>942.76024604375755</v>
      </c>
      <c r="W249" s="52" cm="1">
        <f t="array" ref="W249">MMS_PastureBeef_Soil_N2ODirect_Equations.VEERG_4_2_1_3__2_TotalNitrogenExcretedToPastureRangeAndPaddock(W217,W197,W233)</f>
        <v>342.91705590235108</v>
      </c>
      <c r="X249" s="52" cm="1">
        <f t="array" ref="X249">MMS_PastureBeef_Soil_N2ODirect_Equations.VEERG_4_2_1_3__2_TotalNitrogenExcretedToPastureRangeAndPaddock(X217,X197,X233)</f>
        <v>559.82295869692348</v>
      </c>
      <c r="Y249" s="52" cm="1">
        <f t="array" ref="Y249">MMS_PastureBeef_Soil_N2ODirect_Equations.VEERG_4_2_1_3__2_TotalNitrogenExcretedToPastureRangeAndPaddock(Y217,Y197,Y233)</f>
        <v>754.06991848471978</v>
      </c>
      <c r="Z249" s="52" cm="1">
        <f t="array" ref="Z249">MMS_PastureBeef_Soil_N2ODirect_Equations.VEERG_4_2_1_3__2_TotalNitrogenExcretedToPastureRangeAndPaddock(Z217,Z197,Z233)</f>
        <v>754.06991848471978</v>
      </c>
      <c r="AA249" s="52" cm="1">
        <f t="array" ref="AA249">MMS_PastureBeef_Soil_N2ODirect_Equations.VEERG_4_2_1_3__2_TotalNitrogenExcretedToPastureRangeAndPaddock(AA217,AA197,AA233)</f>
        <v>371.42949201308153</v>
      </c>
      <c r="AB249" s="52" cm="1">
        <f t="array" ref="AB249">MMS_PastureBeef_Soil_N2ODirect_Equations.VEERG_4_2_1_3__2_TotalNitrogenExcretedToPastureRangeAndPaddock(AB217,AB197,AB233)</f>
        <v>632.73028069278769</v>
      </c>
      <c r="AC249" s="52" cm="1">
        <f t="array" ref="AC249">MMS_PastureBeef_Soil_N2ODirect_Equations.VEERG_4_2_1_3__2_TotalNitrogenExcretedToPastureRangeAndPaddock(AC217,AC197,AC233)</f>
        <v>632.73028069278769</v>
      </c>
      <c r="AD249" s="52" cm="1">
        <f t="array" ref="AD249">MMS_PastureBeef_Soil_N2ODirect_Equations.VEERG_4_2_1_3__2_TotalNitrogenExcretedToPastureRangeAndPaddock(AD217,AD197,AD233)</f>
        <v>632.73028069278769</v>
      </c>
      <c r="AE249" s="2" t="str">
        <f t="shared" si="10"/>
        <v>kg N</v>
      </c>
      <c r="AF249" s="2"/>
    </row>
    <row r="250" spans="20:32" ht="20.100000000000001" customHeight="1" x14ac:dyDescent="0.25">
      <c r="T250" s="52" t="str">
        <f>TEXT(EDATE('Input - Site'!$E$12,6), "mmmm yyyy")</f>
        <v>July 2024</v>
      </c>
      <c r="U250" s="52" cm="1">
        <f t="array" ref="U250">MMS_PastureBeef_Soil_N2ODirect_Equations.VEERG_4_2_1_3__2_TotalNitrogenExcretedToPastureRangeAndPaddock(U218,U198,U234)</f>
        <v>520.24640738844391</v>
      </c>
      <c r="V250" s="52" cm="1">
        <f t="array" ref="V250">MMS_PastureBeef_Soil_N2ODirect_Equations.VEERG_4_2_1_3__2_TotalNitrogenExcretedToPastureRangeAndPaddock(V218,V198,V234)</f>
        <v>974.18558757854953</v>
      </c>
      <c r="W250" s="52" cm="1">
        <f t="array" ref="W250">MMS_PastureBeef_Soil_N2ODirect_Equations.VEERG_4_2_1_3__2_TotalNitrogenExcretedToPastureRangeAndPaddock(W218,W198,W234)</f>
        <v>447.63916048258631</v>
      </c>
      <c r="X250" s="52" cm="1">
        <f t="array" ref="X250">MMS_PastureBeef_Soil_N2ODirect_Equations.VEERG_4_2_1_3__2_TotalNitrogenExcretedToPastureRangeAndPaddock(X218,X198,X234)</f>
        <v>599.27094120109302</v>
      </c>
      <c r="Y250" s="52" cm="1">
        <f t="array" ref="Y250">MMS_PastureBeef_Soil_N2ODirect_Equations.VEERG_4_2_1_3__2_TotalNitrogenExcretedToPastureRangeAndPaddock(Y218,Y198,Y234)</f>
        <v>815.04967687303144</v>
      </c>
      <c r="Z250" s="52" cm="1">
        <f t="array" ref="Z250">MMS_PastureBeef_Soil_N2ODirect_Equations.VEERG_4_2_1_3__2_TotalNitrogenExcretedToPastureRangeAndPaddock(Z218,Z198,Z234)</f>
        <v>815.04967687303144</v>
      </c>
      <c r="AA250" s="52" cm="1">
        <f t="array" ref="AA250">MMS_PastureBeef_Soil_N2ODirect_Equations.VEERG_4_2_1_3__2_TotalNitrogenExcretedToPastureRangeAndPaddock(AA218,AA198,AA234)</f>
        <v>477.10201113034105</v>
      </c>
      <c r="AB250" s="52" cm="1">
        <f t="array" ref="AB250">MMS_PastureBeef_Soil_N2ODirect_Equations.VEERG_4_2_1_3__2_TotalNitrogenExcretedToPastureRangeAndPaddock(AB218,AB198,AB234)</f>
        <v>653.82129004921387</v>
      </c>
      <c r="AC250" s="52" cm="1">
        <f t="array" ref="AC250">MMS_PastureBeef_Soil_N2ODirect_Equations.VEERG_4_2_1_3__2_TotalNitrogenExcretedToPastureRangeAndPaddock(AC218,AC198,AC234)</f>
        <v>653.82129004921387</v>
      </c>
      <c r="AD250" s="52" cm="1">
        <f t="array" ref="AD250">MMS_PastureBeef_Soil_N2ODirect_Equations.VEERG_4_2_1_3__2_TotalNitrogenExcretedToPastureRangeAndPaddock(AD218,AD198,AD234)</f>
        <v>653.82129004921387</v>
      </c>
      <c r="AE250" s="2" t="str">
        <f t="shared" si="10"/>
        <v>kg N</v>
      </c>
      <c r="AF250" s="2"/>
    </row>
    <row r="251" spans="20:32" ht="20.100000000000001" customHeight="1" x14ac:dyDescent="0.25">
      <c r="T251" s="52" t="str">
        <f>TEXT(EDATE('Input - Site'!$E$12,7), "mmmm yyyy")</f>
        <v>August 2024</v>
      </c>
      <c r="U251" s="52" cm="1">
        <f t="array" ref="U251">MMS_PastureBeef_Soil_N2ODirect_Equations.VEERG_4_2_1_3__2_TotalNitrogenExcretedToPastureRangeAndPaddock(U219,U199,U235)</f>
        <v>520.24640738844391</v>
      </c>
      <c r="V251" s="52" cm="1">
        <f t="array" ref="V251">MMS_PastureBeef_Soil_N2ODirect_Equations.VEERG_4_2_1_3__2_TotalNitrogenExcretedToPastureRangeAndPaddock(V219,V199,V235)</f>
        <v>974.18558757854953</v>
      </c>
      <c r="W251" s="52" cm="1">
        <f t="array" ref="W251">MMS_PastureBeef_Soil_N2ODirect_Equations.VEERG_4_2_1_3__2_TotalNitrogenExcretedToPastureRangeAndPaddock(W219,W199,W235)</f>
        <v>447.63916048258631</v>
      </c>
      <c r="X251" s="52" cm="1">
        <f t="array" ref="X251">MMS_PastureBeef_Soil_N2ODirect_Equations.VEERG_4_2_1_3__2_TotalNitrogenExcretedToPastureRangeAndPaddock(X219,X199,X235)</f>
        <v>599.27094120109302</v>
      </c>
      <c r="Y251" s="52" cm="1">
        <f t="array" ref="Y251">MMS_PastureBeef_Soil_N2ODirect_Equations.VEERG_4_2_1_3__2_TotalNitrogenExcretedToPastureRangeAndPaddock(Y219,Y199,Y235)</f>
        <v>815.04967687303144</v>
      </c>
      <c r="Z251" s="52" cm="1">
        <f t="array" ref="Z251">MMS_PastureBeef_Soil_N2ODirect_Equations.VEERG_4_2_1_3__2_TotalNitrogenExcretedToPastureRangeAndPaddock(Z219,Z199,Z235)</f>
        <v>815.04967687303144</v>
      </c>
      <c r="AA251" s="52" cm="1">
        <f t="array" ref="AA251">MMS_PastureBeef_Soil_N2ODirect_Equations.VEERG_4_2_1_3__2_TotalNitrogenExcretedToPastureRangeAndPaddock(AA219,AA199,AA235)</f>
        <v>477.10201113034105</v>
      </c>
      <c r="AB251" s="52" cm="1">
        <f t="array" ref="AB251">MMS_PastureBeef_Soil_N2ODirect_Equations.VEERG_4_2_1_3__2_TotalNitrogenExcretedToPastureRangeAndPaddock(AB219,AB199,AB235)</f>
        <v>653.82129004921387</v>
      </c>
      <c r="AC251" s="52" cm="1">
        <f t="array" ref="AC251">MMS_PastureBeef_Soil_N2ODirect_Equations.VEERG_4_2_1_3__2_TotalNitrogenExcretedToPastureRangeAndPaddock(AC219,AC199,AC235)</f>
        <v>653.82129004921387</v>
      </c>
      <c r="AD251" s="52" cm="1">
        <f t="array" ref="AD251">MMS_PastureBeef_Soil_N2ODirect_Equations.VEERG_4_2_1_3__2_TotalNitrogenExcretedToPastureRangeAndPaddock(AD219,AD199,AD235)</f>
        <v>653.82129004921387</v>
      </c>
      <c r="AE251" s="2" t="str">
        <f t="shared" si="10"/>
        <v>kg N</v>
      </c>
      <c r="AF251" s="2"/>
    </row>
    <row r="252" spans="20:32" ht="20.100000000000001" customHeight="1" x14ac:dyDescent="0.25">
      <c r="T252" s="52" t="str">
        <f>TEXT(EDATE('Input - Site'!$E$12,8), "mmmm yyyy")</f>
        <v>September 2024</v>
      </c>
      <c r="U252" s="52" cm="1">
        <f t="array" ref="U252">MMS_PastureBeef_Soil_N2ODirect_Equations.VEERG_4_2_1_3__2_TotalNitrogenExcretedToPastureRangeAndPaddock(U220,U200,U236)</f>
        <v>820.61359146483733</v>
      </c>
      <c r="V252" s="52" cm="1">
        <f t="array" ref="V252">MMS_PastureBeef_Soil_N2ODirect_Equations.VEERG_4_2_1_3__2_TotalNitrogenExcretedToPastureRangeAndPaddock(V220,V200,V236)</f>
        <v>1131.2440120269775</v>
      </c>
      <c r="W252" s="52" cm="1">
        <f t="array" ref="W252">MMS_PastureBeef_Soil_N2ODirect_Equations.VEERG_4_2_1_3__2_TotalNitrogenExcretedToPastureRangeAndPaddock(W220,W200,W236)</f>
        <v>652.43851833142526</v>
      </c>
      <c r="X252" s="52" cm="1">
        <f t="array" ref="X252">MMS_PastureBeef_Soil_N2ODirect_Equations.VEERG_4_2_1_3__2_TotalNitrogenExcretedToPastureRangeAndPaddock(X220,X200,X236)</f>
        <v>829.67753834422956</v>
      </c>
      <c r="Y252" s="52" cm="1">
        <f t="array" ref="Y252">MMS_PastureBeef_Soil_N2ODirect_Equations.VEERG_4_2_1_3__2_TotalNitrogenExcretedToPastureRangeAndPaddock(Y220,Y200,Y236)</f>
        <v>943.24396608810912</v>
      </c>
      <c r="Z252" s="52" cm="1">
        <f t="array" ref="Z252">MMS_PastureBeef_Soil_N2ODirect_Equations.VEERG_4_2_1_3__2_TotalNitrogenExcretedToPastureRangeAndPaddock(Z220,Z200,Z236)</f>
        <v>943.24396608810912</v>
      </c>
      <c r="AA252" s="52" cm="1">
        <f t="array" ref="AA252">MMS_PastureBeef_Soil_N2ODirect_Equations.VEERG_4_2_1_3__2_TotalNitrogenExcretedToPastureRangeAndPaddock(AA220,AA200,AA236)</f>
        <v>734.7897413565089</v>
      </c>
      <c r="AB252" s="52" cm="1">
        <f t="array" ref="AB252">MMS_PastureBeef_Soil_N2ODirect_Equations.VEERG_4_2_1_3__2_TotalNitrogenExcretedToPastureRangeAndPaddock(AB220,AB200,AB236)</f>
        <v>880.40305898985866</v>
      </c>
      <c r="AC252" s="52" cm="1">
        <f t="array" ref="AC252">MMS_PastureBeef_Soil_N2ODirect_Equations.VEERG_4_2_1_3__2_TotalNitrogenExcretedToPastureRangeAndPaddock(AC220,AC200,AC236)</f>
        <v>880.40305898985866</v>
      </c>
      <c r="AD252" s="52" cm="1">
        <f t="array" ref="AD252">MMS_PastureBeef_Soil_N2ODirect_Equations.VEERG_4_2_1_3__2_TotalNitrogenExcretedToPastureRangeAndPaddock(AD220,AD200,AD236)</f>
        <v>880.40305898985866</v>
      </c>
      <c r="AE252" s="2" t="str">
        <f t="shared" si="10"/>
        <v>kg N</v>
      </c>
      <c r="AF252" s="2"/>
    </row>
    <row r="253" spans="20:32" ht="20.100000000000001" customHeight="1" x14ac:dyDescent="0.25">
      <c r="T253" s="52" t="str">
        <f>TEXT(EDATE('Input - Site'!$E$12,9), "mmmm yyyy")</f>
        <v>October 2024</v>
      </c>
      <c r="U253" s="52" cm="1">
        <f t="array" ref="U253">MMS_PastureBeef_Soil_N2ODirect_Equations.VEERG_4_2_1_3__2_TotalNitrogenExcretedToPastureRangeAndPaddock(U221,U201,U237)</f>
        <v>816.87019916361305</v>
      </c>
      <c r="V253" s="52" cm="1">
        <f t="array" ref="V253">MMS_PastureBeef_Soil_N2ODirect_Equations.VEERG_4_2_1_3__2_TotalNitrogenExcretedToPastureRangeAndPaddock(V221,V201,V237)</f>
        <v>1168.95214576121</v>
      </c>
      <c r="W253" s="52" cm="1">
        <f t="array" ref="W253">MMS_PastureBeef_Soil_N2ODirect_Equations.VEERG_4_2_1_3__2_TotalNitrogenExcretedToPastureRangeAndPaddock(W221,W201,W237)</f>
        <v>643.08929025908708</v>
      </c>
      <c r="X253" s="52" cm="1">
        <f t="array" ref="X253">MMS_PastureBeef_Soil_N2ODirect_Equations.VEERG_4_2_1_3__2_TotalNitrogenExcretedToPastureRangeAndPaddock(X221,X201,X237)</f>
        <v>945.78405289548061</v>
      </c>
      <c r="Y253" s="52" cm="1">
        <f t="array" ref="Y253">MMS_PastureBeef_Soil_N2ODirect_Equations.VEERG_4_2_1_3__2_TotalNitrogenExcretedToPastureRangeAndPaddock(Y221,Y201,Y237)</f>
        <v>1079.6997063058134</v>
      </c>
      <c r="Z253" s="52" cm="1">
        <f t="array" ref="Z253">MMS_PastureBeef_Soil_N2ODirect_Equations.VEERG_4_2_1_3__2_TotalNitrogenExcretedToPastureRangeAndPaddock(Z221,Z201,Z237)</f>
        <v>1079.6997063058134</v>
      </c>
      <c r="AA253" s="52" cm="1">
        <f t="array" ref="AA253">MMS_PastureBeef_Soil_N2ODirect_Equations.VEERG_4_2_1_3__2_TotalNitrogenExcretedToPastureRangeAndPaddock(AA221,AA201,AA237)</f>
        <v>728.18555405167365</v>
      </c>
      <c r="AB253" s="52" cm="1">
        <f t="array" ref="AB253">MMS_PastureBeef_Soil_N2ODirect_Equations.VEERG_4_2_1_3__2_TotalNitrogenExcretedToPastureRangeAndPaddock(AB221,AB201,AB237)</f>
        <v>909.74982762285401</v>
      </c>
      <c r="AC253" s="52" cm="1">
        <f t="array" ref="AC253">MMS_PastureBeef_Soil_N2ODirect_Equations.VEERG_4_2_1_3__2_TotalNitrogenExcretedToPastureRangeAndPaddock(AC221,AC201,AC237)</f>
        <v>909.74982762285401</v>
      </c>
      <c r="AD253" s="52" cm="1">
        <f t="array" ref="AD253">MMS_PastureBeef_Soil_N2ODirect_Equations.VEERG_4_2_1_3__2_TotalNitrogenExcretedToPastureRangeAndPaddock(AD221,AD201,AD237)</f>
        <v>909.74982762285401</v>
      </c>
      <c r="AE253" s="2" t="str">
        <f t="shared" si="10"/>
        <v>kg N</v>
      </c>
      <c r="AF253" s="2"/>
    </row>
    <row r="254" spans="20:32" ht="20.100000000000001" customHeight="1" x14ac:dyDescent="0.25">
      <c r="T254" s="52" t="str">
        <f>TEXT(EDATE('Input - Site'!$E$12,10), "mmmm yyyy")</f>
        <v>November 2024</v>
      </c>
      <c r="U254" s="52" cm="1">
        <f t="array" ref="U254">MMS_PastureBeef_Soil_N2ODirect_Equations.VEERG_4_2_1_3__2_TotalNitrogenExcretedToPastureRangeAndPaddock(U222,U202,U238)</f>
        <v>790.5195475776901</v>
      </c>
      <c r="V254" s="52" cm="1">
        <f t="array" ref="V254">MMS_PastureBeef_Soil_N2ODirect_Equations.VEERG_4_2_1_3__2_TotalNitrogenExcretedToPastureRangeAndPaddock(V222,V202,V238)</f>
        <v>1131.2440120269775</v>
      </c>
      <c r="W254" s="52" cm="1">
        <f t="array" ref="W254">MMS_PastureBeef_Soil_N2ODirect_Equations.VEERG_4_2_1_3__2_TotalNitrogenExcretedToPastureRangeAndPaddock(W222,W202,W238)</f>
        <v>622.34447444427781</v>
      </c>
      <c r="X254" s="52" cm="1">
        <f t="array" ref="X254">MMS_PastureBeef_Soil_N2ODirect_Equations.VEERG_4_2_1_3__2_TotalNitrogenExcretedToPastureRangeAndPaddock(X222,X202,X238)</f>
        <v>915.27488989885228</v>
      </c>
      <c r="Y254" s="52" cm="1">
        <f t="array" ref="Y254">MMS_PastureBeef_Soil_N2ODirect_Equations.VEERG_4_2_1_3__2_TotalNitrogenExcretedToPastureRangeAndPaddock(Y222,Y202,Y238)</f>
        <v>1044.8706835217549</v>
      </c>
      <c r="Z254" s="52" cm="1">
        <f t="array" ref="Z254">MMS_PastureBeef_Soil_N2ODirect_Equations.VEERG_4_2_1_3__2_TotalNitrogenExcretedToPastureRangeAndPaddock(Z222,Z202,Z238)</f>
        <v>1044.8706835217549</v>
      </c>
      <c r="AA254" s="52" cm="1">
        <f t="array" ref="AA254">MMS_PastureBeef_Soil_N2ODirect_Equations.VEERG_4_2_1_3__2_TotalNitrogenExcretedToPastureRangeAndPaddock(AA222,AA202,AA238)</f>
        <v>704.69569746936168</v>
      </c>
      <c r="AB254" s="52" cm="1">
        <f t="array" ref="AB254">MMS_PastureBeef_Soil_N2ODirect_Equations.VEERG_4_2_1_3__2_TotalNitrogenExcretedToPastureRangeAndPaddock(AB222,AB202,AB238)</f>
        <v>880.40305898985866</v>
      </c>
      <c r="AC254" s="52" cm="1">
        <f t="array" ref="AC254">MMS_PastureBeef_Soil_N2ODirect_Equations.VEERG_4_2_1_3__2_TotalNitrogenExcretedToPastureRangeAndPaddock(AC222,AC202,AC238)</f>
        <v>880.40305898985866</v>
      </c>
      <c r="AD254" s="52" cm="1">
        <f t="array" ref="AD254">MMS_PastureBeef_Soil_N2ODirect_Equations.VEERG_4_2_1_3__2_TotalNitrogenExcretedToPastureRangeAndPaddock(AD222,AD202,AD238)</f>
        <v>880.40305898985866</v>
      </c>
      <c r="AE254" s="2" t="str">
        <f t="shared" si="10"/>
        <v>kg N</v>
      </c>
      <c r="AF254" s="2"/>
    </row>
    <row r="255" spans="20:32" ht="20.100000000000001" customHeight="1" x14ac:dyDescent="0.25">
      <c r="T255" s="52" t="str">
        <f>TEXT(EDATE('Input - Site'!$E$12,11), "mmmm yyyy")</f>
        <v>December 2024</v>
      </c>
      <c r="U255" s="52" cm="1">
        <f t="array" ref="U255">MMS_PastureBeef_Soil_N2ODirect_Equations.VEERG_4_2_1_3__2_TotalNitrogenExcretedToPastureRangeAndPaddock(U223,U203,U239)</f>
        <v>351.34755115439344</v>
      </c>
      <c r="V255" s="52" cm="1">
        <f t="array" ref="V255">MMS_PastureBeef_Soil_N2ODirect_Equations.VEERG_4_2_1_3__2_TotalNitrogenExcretedToPastureRangeAndPaddock(V223,V203,V239)</f>
        <v>421.65805292524783</v>
      </c>
      <c r="W255" s="52" cm="1">
        <f t="array" ref="W255">MMS_PastureBeef_Soil_N2ODirect_Equations.VEERG_4_2_1_3__2_TotalNitrogenExcretedToPastureRangeAndPaddock(W223,W203,W239)</f>
        <v>303.40854404382895</v>
      </c>
      <c r="X255" s="52" cm="1">
        <f t="array" ref="X255">MMS_PastureBeef_Soil_N2ODirect_Equations.VEERG_4_2_1_3__2_TotalNitrogenExcretedToPastureRangeAndPaddock(X223,X203,X239)</f>
        <v>335.84163773545026</v>
      </c>
      <c r="Y255" s="52" cm="1">
        <f t="array" ref="Y255">MMS_PastureBeef_Soil_N2ODirect_Equations.VEERG_4_2_1_3__2_TotalNitrogenExcretedToPastureRangeAndPaddock(Y223,Y203,Y239)</f>
        <v>351.00612110408679</v>
      </c>
      <c r="Z255" s="52" cm="1">
        <f t="array" ref="Z255">MMS_PastureBeef_Soil_N2ODirect_Equations.VEERG_4_2_1_3__2_TotalNitrogenExcretedToPastureRangeAndPaddock(Z223,Z203,Z239)</f>
        <v>351.00612110408679</v>
      </c>
      <c r="AA255" s="52" cm="1">
        <f t="array" ref="AA255">MMS_PastureBeef_Soil_N2ODirect_Equations.VEERG_4_2_1_3__2_TotalNitrogenExcretedToPastureRangeAndPaddock(AA223,AA203,AA239)</f>
        <v>327.63342507900626</v>
      </c>
      <c r="AB255" s="52" cm="1">
        <f t="array" ref="AB255">MMS_PastureBeef_Soil_N2ODirect_Equations.VEERG_4_2_1_3__2_TotalNitrogenExcretedToPastureRangeAndPaddock(AB223,AB203,AB239)</f>
        <v>326.89236244194075</v>
      </c>
      <c r="AC255" s="52" cm="1">
        <f t="array" ref="AC255">MMS_PastureBeef_Soil_N2ODirect_Equations.VEERG_4_2_1_3__2_TotalNitrogenExcretedToPastureRangeAndPaddock(AC223,AC203,AC239)</f>
        <v>326.89236244194075</v>
      </c>
      <c r="AD255" s="52" cm="1">
        <f t="array" ref="AD255">MMS_PastureBeef_Soil_N2ODirect_Equations.VEERG_4_2_1_3__2_TotalNitrogenExcretedToPastureRangeAndPaddock(AD223,AD203,AD239)</f>
        <v>326.89236244194075</v>
      </c>
      <c r="AE255" s="2" t="str">
        <f t="shared" si="10"/>
        <v>kg N</v>
      </c>
      <c r="AF255" s="2"/>
    </row>
    <row r="256" spans="20:32" ht="20.100000000000001" customHeight="1" x14ac:dyDescent="0.25"/>
    <row r="257" spans="19:33" ht="20.100000000000001" customHeight="1" x14ac:dyDescent="0.25">
      <c r="T257" s="113" t="s">
        <v>311</v>
      </c>
      <c r="U257" s="45">
        <f>SUM(U244:AD255)</f>
        <v>59940.162999974571</v>
      </c>
      <c r="V257" s="54" t="str">
        <f>$E$182</f>
        <v>kg N</v>
      </c>
    </row>
    <row r="258" spans="19:33" ht="20.100000000000001" customHeight="1" x14ac:dyDescent="0.25"/>
    <row r="259" spans="19:33" ht="20.100000000000001" customHeight="1" x14ac:dyDescent="0.25"/>
    <row r="260" spans="19:33" ht="20.100000000000001" customHeight="1" x14ac:dyDescent="0.25">
      <c r="S260" s="45"/>
      <c r="T260" s="45"/>
      <c r="U260" s="45"/>
      <c r="V260" s="45"/>
      <c r="W260" s="45"/>
      <c r="X260" s="45"/>
      <c r="Y260" s="45"/>
      <c r="Z260" s="45"/>
      <c r="AA260" s="45"/>
      <c r="AB260" s="45"/>
      <c r="AC260" s="45"/>
      <c r="AD260" s="45"/>
      <c r="AE260" s="45"/>
      <c r="AF260" s="45"/>
      <c r="AG260" s="45"/>
    </row>
    <row r="261" spans="19:33" ht="20.100000000000001" customHeight="1" x14ac:dyDescent="0.25">
      <c r="T261" s="6" t="str" cm="1">
        <f t="array" ref="T261">MMS_PastureBeef_Soil_N2ODirect_Equations.VEERG_4_2_1_3__1_DirectNitrousOxideEmissionsOnPasture_Title()</f>
        <v>Total annual direct nitrous oxide emissions from agricultural soils from deposition of urine and dung</v>
      </c>
    </row>
    <row r="262" spans="19:33" ht="20.100000000000001" customHeight="1" x14ac:dyDescent="0.25"/>
    <row r="263" spans="19:33" ht="20.100000000000001" customHeight="1" x14ac:dyDescent="0.25">
      <c r="T263" s="101" t="s">
        <v>110</v>
      </c>
      <c r="U263" s="102" cm="1">
        <f t="array" ref="U263">MMS_PastureBeef_Soil_N2ODirect_Equations.VEERG_4_2_1_3__1_DirectNitrousOxideEmissionsOnPasture($U$257,$H$225,$H$226)</f>
        <v>0.18838336942849152</v>
      </c>
      <c r="V263" s="103" t="str">
        <f>$E$222</f>
        <v>t N2O</v>
      </c>
    </row>
    <row r="264" spans="19:33" ht="20.100000000000001" customHeight="1" x14ac:dyDescent="0.25"/>
    <row r="265" spans="19:33" ht="20.100000000000001" customHeight="1" x14ac:dyDescent="0.25">
      <c r="T265" s="57" t="str" cm="1">
        <f t="array" ref="T265:U266">Common_Equations.Common_ConvertN2OToCO2e_Arguments()</f>
        <v>EN2O</v>
      </c>
      <c r="U265" s="58" t="str">
        <v>Nitrous oxide emissions (t N2O)</v>
      </c>
      <c r="V265" s="104"/>
      <c r="W265" s="52">
        <f>U263</f>
        <v>0.18838336942849152</v>
      </c>
    </row>
    <row r="266" spans="19:33" ht="20.100000000000001" customHeight="1" x14ac:dyDescent="0.25">
      <c r="T266" s="57" t="str">
        <v>GWPN2O</v>
      </c>
      <c r="U266" s="58" t="str">
        <v>Global warming potential for nitrous oxide (t CO2-e / t N2O)</v>
      </c>
      <c r="V266" s="104"/>
      <c r="W266" s="52">
        <f>Common_InputFunctions.Utility_LookupValueInTableNumber("N2O",Table_GWPData[Gas],Table_GWPData[CO2-e factor])</f>
        <v>265</v>
      </c>
    </row>
    <row r="267" spans="19:33" ht="20.100000000000001" customHeight="1" x14ac:dyDescent="0.25"/>
    <row r="268" spans="19:33" ht="20.100000000000001" customHeight="1" x14ac:dyDescent="0.25">
      <c r="T268" s="45" t="s">
        <v>104</v>
      </c>
      <c r="U268" s="45" cm="1">
        <f t="array" ref="U268">Common_Equations.Common_ConvertN2OToCO2e(W265,W266)</f>
        <v>49.921592898550252</v>
      </c>
      <c r="V268" s="105" t="str" cm="1">
        <f t="array" ref="V268">Common_Equations.Common_ConvertN2OToCO2e_Unit()</f>
        <v>t CO2e</v>
      </c>
    </row>
    <row r="269" spans="19:33" ht="20.100000000000001" customHeight="1" x14ac:dyDescent="0.25"/>
    <row r="270" spans="19:33" ht="20.100000000000001" customHeight="1" x14ac:dyDescent="0.25"/>
    <row r="271" spans="19:33" ht="20.100000000000001" customHeight="1" x14ac:dyDescent="0.25"/>
    <row r="272" spans="19:33" ht="20.100000000000001" customHeight="1" x14ac:dyDescent="0.25"/>
    <row r="273" ht="20.100000000000001" customHeight="1" x14ac:dyDescent="0.25"/>
    <row r="274" ht="20.100000000000001" customHeight="1" x14ac:dyDescent="0.25"/>
    <row r="275" ht="20.100000000000001" customHeight="1" x14ac:dyDescent="0.25"/>
    <row r="276" ht="20.100000000000001" customHeight="1" x14ac:dyDescent="0.25"/>
    <row r="277" ht="20.100000000000001" customHeight="1" x14ac:dyDescent="0.25"/>
    <row r="278" ht="20.100000000000001" customHeight="1" x14ac:dyDescent="0.25"/>
    <row r="279" ht="20.100000000000001" customHeight="1" x14ac:dyDescent="0.25"/>
    <row r="280" ht="20.100000000000001" customHeight="1" x14ac:dyDescent="0.25"/>
    <row r="281" ht="20.100000000000001" customHeight="1" x14ac:dyDescent="0.25"/>
    <row r="282" ht="20.100000000000001" customHeight="1" x14ac:dyDescent="0.25"/>
    <row r="283" ht="20.100000000000001" customHeight="1" x14ac:dyDescent="0.25"/>
    <row r="284" ht="20.100000000000001" customHeight="1" x14ac:dyDescent="0.25"/>
    <row r="285" ht="20.100000000000001" customHeight="1" x14ac:dyDescent="0.25"/>
    <row r="286" ht="20.100000000000001" customHeight="1" x14ac:dyDescent="0.25"/>
    <row r="287" ht="20.100000000000001" customHeight="1" x14ac:dyDescent="0.25"/>
    <row r="288" ht="20.100000000000001" customHeight="1" x14ac:dyDescent="0.25"/>
    <row r="289" ht="20.100000000000001" customHeight="1" x14ac:dyDescent="0.25"/>
    <row r="290" ht="20.100000000000001" customHeight="1" x14ac:dyDescent="0.25"/>
    <row r="291" ht="20.100000000000001" customHeight="1" x14ac:dyDescent="0.25"/>
  </sheetData>
  <dataValidations disablePrompts="1" count="1">
    <dataValidation operator="equal" allowBlank="1" showInputMessage="1" showErrorMessage="1" sqref="E271 F79 D80:E80 E101:P101 E74:F74 F106:P106 U283 E226 E274 U114:AG114 E241 E238 E262 U240 E265" xr:uid="{CE18DC45-74F3-46B3-972B-5F44E5579A05}"/>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5B34D-36DA-422C-84BA-A4E3FCAF2C16}">
  <dimension ref="A1:T165"/>
  <sheetViews>
    <sheetView showGridLines="0" workbookViewId="0">
      <selection activeCell="G8" sqref="G8"/>
    </sheetView>
  </sheetViews>
  <sheetFormatPr defaultRowHeight="15.75" x14ac:dyDescent="0.25"/>
  <cols>
    <col min="1" max="1" width="30.7109375" customWidth="1"/>
    <col min="2" max="2" width="4.7109375" customWidth="1"/>
    <col min="3" max="3" width="4.7109375" style="1" customWidth="1"/>
    <col min="4" max="8" width="30.7109375" style="1" customWidth="1"/>
    <col min="9" max="9" width="4.7109375" style="1" customWidth="1"/>
    <col min="10" max="10" width="4.7109375" customWidth="1"/>
    <col min="11" max="11" width="4.7109375" style="1" customWidth="1"/>
    <col min="12" max="19" width="30.7109375" style="1" customWidth="1"/>
    <col min="20" max="20" width="4.7109375" style="1" customWidth="1"/>
  </cols>
  <sheetData>
    <row r="1" spans="1:20" s="8" customFormat="1" ht="30" customHeight="1" x14ac:dyDescent="0.35">
      <c r="A1" s="8" t="e" vm="1">
        <v>#VALUE!</v>
      </c>
      <c r="C1" s="8" t="s">
        <v>317</v>
      </c>
    </row>
    <row r="2" spans="1:20" s="9" customFormat="1" ht="20.100000000000001" customHeight="1" x14ac:dyDescent="0.25"/>
    <row r="3" spans="1:20" ht="20.100000000000001" customHeight="1" x14ac:dyDescent="0.25">
      <c r="A3" s="17" t="str">
        <f>HYPERLINK("#'Home'!A1", "Home")</f>
        <v>Home</v>
      </c>
      <c r="C3" s="4"/>
      <c r="D3" s="4" t="s">
        <v>108</v>
      </c>
      <c r="E3" s="4"/>
      <c r="F3" s="4"/>
      <c r="G3" s="4"/>
      <c r="H3" s="4"/>
      <c r="I3" s="4"/>
      <c r="K3" s="4"/>
      <c r="L3" s="4" t="s">
        <v>109</v>
      </c>
      <c r="M3" s="4"/>
      <c r="N3" s="4"/>
      <c r="O3" s="4"/>
      <c r="P3" s="4"/>
      <c r="Q3" s="4"/>
      <c r="R3" s="4"/>
      <c r="S3" s="4"/>
      <c r="T3" s="4"/>
    </row>
    <row r="4" spans="1:20" ht="20.100000000000001" customHeight="1" x14ac:dyDescent="0.25">
      <c r="A4" s="17" t="str">
        <f>HYPERLINK("#'Results'!A1", "Results")</f>
        <v>Results</v>
      </c>
    </row>
    <row r="5" spans="1:20" ht="20.100000000000001" customHeight="1" x14ac:dyDescent="0.25">
      <c r="A5" s="16"/>
      <c r="D5" s="6" t="str" cm="1">
        <f t="array" ref="D5">MMS_PastureBeef_Soil_AtmosphericDeposition_Equations.VEERG_4_2_1_5__2_MassOfNitrogenVolatilisedOnPasture_Title()</f>
        <v>Mass of nitrogen volatilised</v>
      </c>
    </row>
    <row r="6" spans="1:20" ht="20.100000000000001" customHeight="1" x14ac:dyDescent="0.25">
      <c r="A6" s="20" t="s">
        <v>3</v>
      </c>
      <c r="D6" s="5" t="str" cm="1">
        <f t="array" ref="D6">MMS_PastureBeef_Soil_AtmosphericDeposition_Equations.VEERG_4_2_1_5__2_MassOfNitrogenVolatilisedOnPasture_Source()</f>
        <v>VEERG 2026: 4.2.1.5, Equation (2)</v>
      </c>
    </row>
    <row r="7" spans="1:20" ht="20.100000000000001" customHeight="1" x14ac:dyDescent="0.25">
      <c r="A7" s="17" t="str">
        <f>HYPERLINK("#'Input - Site'!A1", "Site")</f>
        <v>Site</v>
      </c>
      <c r="D7" s="13" t="s">
        <v>27</v>
      </c>
      <c r="E7" s="13" t="str" cm="1">
        <f t="array" aca="1" ref="E7" ca="1">Common_InputFunctions.Utility_DisplayFunctionName(E16)</f>
        <v>=MMS_PastureBeef_Soil_AtmosphericDeposition_Equations.VEERG_4_2_1_5__2_MassOfNitrogenVolatilisedOnPasture</v>
      </c>
    </row>
    <row r="8" spans="1:20" ht="20.100000000000001" customHeight="1" x14ac:dyDescent="0.25">
      <c r="A8" s="17" t="str">
        <f>HYPERLINK("#'Input - Pasture Beef'!A1", "Pasture Beef")</f>
        <v>Pasture Beef</v>
      </c>
    </row>
    <row r="9" spans="1:20" ht="20.100000000000001" customHeight="1" x14ac:dyDescent="0.25">
      <c r="A9" s="17"/>
    </row>
    <row r="10" spans="1:20" ht="20.100000000000001" customHeight="1" x14ac:dyDescent="0.25">
      <c r="A10" s="19" t="s">
        <v>77</v>
      </c>
      <c r="D10" s="53" t="s">
        <v>30</v>
      </c>
      <c r="E10" s="1" t="str" cm="1">
        <f t="array" ref="E10">MMS_PastureBeef_Soil_AtmosphericDeposition_Equations.VEERG_4_2_1_5__2_MassOfNitrogenVolatilisedOnPasture_Variable()</f>
        <v>M_vol</v>
      </c>
    </row>
    <row r="11" spans="1:20" ht="20.100000000000001" customHeight="1" x14ac:dyDescent="0.25">
      <c r="A11" s="17" t="str">
        <f>HYPERLINK("#'4.2.1.1-2 Methane'!A1", "4.2.1.1-2 Methane")</f>
        <v>4.2.1.1-2 Methane</v>
      </c>
      <c r="D11" s="53" t="s">
        <v>20</v>
      </c>
      <c r="E11" s="54" t="str" cm="1">
        <f t="array" ref="E11">MMS_PastureBeef_Soil_AtmosphericDeposition_Equations.VEERG_4_2_1_5__2_MassOfNitrogenVolatilisedOnPasture_Unit()</f>
        <v>kg N</v>
      </c>
    </row>
    <row r="12" spans="1:20" ht="20.100000000000001" customHeight="1" x14ac:dyDescent="0.25">
      <c r="A12" s="17" t="str">
        <f>HYPERLINK("#'4.2.1.3-4 Soil direct N2O'!A1", "4.2.1.3-4 Soil direct N2O")</f>
        <v>4.2.1.3-4 Soil direct N2O</v>
      </c>
    </row>
    <row r="13" spans="1:20" ht="20.100000000000001" customHeight="1" x14ac:dyDescent="0.25">
      <c r="A13" s="17" t="str">
        <f>HYPERLINK("#'4.2.1.5-6 Soil Atmos Dep'!A1", "4.2.1.5-6 Soil atm. deposition")</f>
        <v>4.2.1.5-6 Soil atm. deposition</v>
      </c>
      <c r="D13" s="57" t="str" cm="1">
        <f t="array" ref="D13:E14">MMS_PastureBeef_Soil_AtmosphericDeposition_Equations.VEERG_4_2_1_5__2_MassOfNitrogenVolatilisedOnPasture_Arguments()</f>
        <v>AE</v>
      </c>
      <c r="E13" s="58" t="str">
        <v>total mass of nitrogen excreted on PRP for beef cattle (kg N)</v>
      </c>
      <c r="F13" s="100"/>
      <c r="G13" s="59"/>
      <c r="H13" s="57">
        <f>'4.2.1.3-4 Soil direct N20'!$E$212</f>
        <v>59422.250616336161</v>
      </c>
      <c r="L13" s="57" t="str" cm="1">
        <f t="array" ref="L13:M14">MMS_PastureBeef_Soil_AtmosphericDeposition_Equations.VEERG_4_2_1_5__2_MassOfNitrogenVolatilisedOnPasture_Arguments()</f>
        <v>AE</v>
      </c>
      <c r="M13" s="58" t="str">
        <v>total mass of nitrogen excreted on PRP for beef cattle (kg N)</v>
      </c>
      <c r="N13" s="100"/>
      <c r="O13" s="59"/>
      <c r="P13" s="57">
        <f>'4.2.1.3-4 Soil direct N20'!$U$257</f>
        <v>59940.162999974571</v>
      </c>
    </row>
    <row r="14" spans="1:20" ht="20.100000000000001" customHeight="1" x14ac:dyDescent="0.25">
      <c r="A14" s="17" t="str">
        <f>HYPERLINK("#'4.2.1.7-8 Soil leach runoff'!A1", "4.2.1.7-8 Soil leach &amp; runoff")</f>
        <v>4.2.1.7-8 Soil leach &amp; runoff</v>
      </c>
      <c r="D14" s="57" t="str">
        <v>FracGASMsoil</v>
      </c>
      <c r="E14" s="58" t="str">
        <v>fraction of nitrogen volatilised from urine and faeces deposited on pasture ((kg NH3-N + NOx-N)/kg N)</v>
      </c>
      <c r="F14" s="100"/>
      <c r="G14" s="59"/>
      <c r="H14" s="57">
        <f>'Constants - Pature Beef'!$D$432</f>
        <v>0.21</v>
      </c>
      <c r="L14" s="57" t="str">
        <v>FracGASMsoil</v>
      </c>
      <c r="M14" s="58" t="str">
        <v>fraction of nitrogen volatilised from urine and faeces deposited on pasture ((kg NH3-N + NOx-N)/kg N)</v>
      </c>
      <c r="N14" s="100"/>
      <c r="O14" s="59"/>
      <c r="P14" s="57"/>
    </row>
    <row r="15" spans="1:20" ht="20.100000000000001" customHeight="1" x14ac:dyDescent="0.25">
      <c r="A15" s="17"/>
    </row>
    <row r="16" spans="1:20" ht="20.100000000000001" customHeight="1" x14ac:dyDescent="0.25">
      <c r="A16" s="18" t="s">
        <v>4</v>
      </c>
      <c r="D16" s="113" t="s">
        <v>330</v>
      </c>
      <c r="E16" s="45" cm="1">
        <f t="array" ref="E16">MMS_PastureBeef_Soil_AtmosphericDeposition_Equations.VEERG_4_2_1_5__2_MassOfNitrogenVolatilisedOnPasture(H13,H14)</f>
        <v>12478.672629430594</v>
      </c>
      <c r="F16" s="105" t="str">
        <f>E11</f>
        <v>kg N</v>
      </c>
      <c r="J16" s="56"/>
      <c r="L16" s="113" t="s">
        <v>330</v>
      </c>
      <c r="M16" s="45" cm="1">
        <f t="array" ref="M16">MMS_PastureBeef_Soil_AtmosphericDeposition_Equations.VEERG_4_2_1_5__2_MassOfNitrogenVolatilisedOnPasture(P13,$H$14)</f>
        <v>12587.43422999466</v>
      </c>
      <c r="N16" s="105">
        <f>M11</f>
        <v>0</v>
      </c>
    </row>
    <row r="17" spans="1:20" ht="20.100000000000001" customHeight="1" x14ac:dyDescent="0.25">
      <c r="A17" s="17" t="str">
        <f>HYPERLINK("#'Constants - Pasture Beef'!A1", "Constants - Pasture Beef")</f>
        <v>Constants - Pasture Beef</v>
      </c>
      <c r="J17" s="56"/>
    </row>
    <row r="18" spans="1:20" ht="20.100000000000001" customHeight="1" x14ac:dyDescent="0.25">
      <c r="A18" s="17" t="str">
        <f>HYPERLINK("#'Constants - Livestock'!A1", "Constants - Livestock")</f>
        <v>Constants - Livestock</v>
      </c>
      <c r="J18" s="56"/>
    </row>
    <row r="19" spans="1:20" ht="20.100000000000001" customHeight="1" x14ac:dyDescent="0.25">
      <c r="A19" s="17" t="str">
        <f>HYPERLINK("#'Constants - Common'!A1", "Constants - Common")</f>
        <v>Constants - Common</v>
      </c>
      <c r="C19" s="45"/>
      <c r="D19" s="45"/>
      <c r="E19" s="45"/>
      <c r="F19" s="45"/>
      <c r="G19" s="45"/>
      <c r="H19" s="45"/>
      <c r="I19" s="45"/>
      <c r="J19" s="56"/>
      <c r="K19" s="45"/>
      <c r="L19" s="45"/>
      <c r="M19" s="45"/>
      <c r="N19" s="45"/>
      <c r="O19" s="45"/>
      <c r="P19" s="45"/>
      <c r="Q19" s="45"/>
      <c r="R19" s="45"/>
      <c r="S19" s="45"/>
      <c r="T19" s="45"/>
    </row>
    <row r="20" spans="1:20" ht="20.100000000000001" customHeight="1" x14ac:dyDescent="0.25">
      <c r="A20" s="17" t="str">
        <f>HYPERLINK("#'Acknowledgements'!A1", "Acknowledgements")</f>
        <v>Acknowledgements</v>
      </c>
      <c r="D20" s="6" t="str" cm="1">
        <f t="array" ref="D20">MMS_PastureBeef_Soil_AtmosphericDeposition_Equations.VEERG_4_2_1_5__1_AtmosphericDepositionEmissionsFromUrineAndDungOnPasture_Title()</f>
        <v>Atmospheric deposition emissions from urine and dung deposited on pasture</v>
      </c>
    </row>
    <row r="21" spans="1:20" ht="20.100000000000001" customHeight="1" x14ac:dyDescent="0.25">
      <c r="D21" s="5" t="str" cm="1">
        <f t="array" ref="D21">MMS_PastureBeef_Soil_AtmosphericDeposition_Equations.VEERG_4_2_1_5__1_AtmosphericDepositionEmissionsFromUrineAndDungOnPasture_Source()</f>
        <v>VEERG 2026: 4.2.1.5, Equation (1)</v>
      </c>
    </row>
    <row r="22" spans="1:20" ht="20.100000000000001" customHeight="1" x14ac:dyDescent="0.25">
      <c r="A22" s="17"/>
      <c r="D22" s="13" t="s">
        <v>27</v>
      </c>
      <c r="E22" s="13" t="str" cm="1">
        <f t="array" aca="1" ref="E22" ca="1">Common_InputFunctions.Utility_DisplayFunctionName($E$35)</f>
        <v>=MMS_PastureBeef_Soil_AtmosphericDeposition_Equations.VEERG_4_2_1_5__1_AtmosphericDepositionEmissionsFromUrineAndDungOnPasture</v>
      </c>
    </row>
    <row r="23" spans="1:20" ht="20.100000000000001" customHeight="1" x14ac:dyDescent="0.25">
      <c r="A23" s="17"/>
    </row>
    <row r="24" spans="1:20" ht="20.100000000000001" customHeight="1" x14ac:dyDescent="0.25">
      <c r="A24" s="17"/>
    </row>
    <row r="25" spans="1:20" ht="20.100000000000001" customHeight="1" x14ac:dyDescent="0.25">
      <c r="D25" s="53" t="s">
        <v>30</v>
      </c>
      <c r="E25" s="1" t="str" cm="1">
        <f t="array" ref="E25">MMS_PastureBeef_Soil_AtmosphericDeposition_Equations.VEERG_4_2_1_5__1_AtmosphericDepositionEmissionsFromUrineAndDungOnPasture_Variable()</f>
        <v>E_N2Oad</v>
      </c>
    </row>
    <row r="26" spans="1:20" ht="20.100000000000001" customHeight="1" x14ac:dyDescent="0.25">
      <c r="D26" s="53" t="s">
        <v>20</v>
      </c>
      <c r="E26" s="54" t="str" cm="1">
        <f t="array" ref="E26">MMS_PastureBeef_Soil_AtmosphericDeposition_Equations.VEERG_4_2_1_5__1_AtmosphericDepositionEmissionsFromUrineAndDungOnPasture_Unit()</f>
        <v>t N2O</v>
      </c>
    </row>
    <row r="27" spans="1:20" ht="20.100000000000001" customHeight="1" x14ac:dyDescent="0.25"/>
    <row r="28" spans="1:20" ht="20.100000000000001" customHeight="1" x14ac:dyDescent="0.25">
      <c r="D28" s="57" t="str" cm="1">
        <f t="array" ref="D28:E33">MMS_PastureBeef_Soil_AtmosphericDeposition_Equations.VEERG_4_2_1_5__1_AtmosphericDepositionEmissionsFromUrineAndDungOnPasture_Arguments()</f>
        <v>M_vol</v>
      </c>
      <c r="E28" s="58" t="str">
        <v>mass of nitrogen volatilised from urine and faeces deposited on pasture (kg N)</v>
      </c>
      <c r="F28" s="100"/>
      <c r="G28" s="59"/>
      <c r="H28" s="57">
        <f>E16</f>
        <v>12478.672629430594</v>
      </c>
      <c r="L28" s="57" t="str" cm="1">
        <f t="array" ref="L28:M33">MMS_PastureBeef_Soil_AtmosphericDeposition_Equations.VEERG_4_2_1_5__1_AtmosphericDepositionEmissionsFromUrineAndDungOnPasture_Arguments()</f>
        <v>M_vol</v>
      </c>
      <c r="M28" s="58" t="str">
        <v>mass of nitrogen volatilised from urine and faeces deposited on pasture (kg N)</v>
      </c>
      <c r="N28" s="100"/>
      <c r="O28" s="59"/>
      <c r="P28" s="57">
        <f>M16</f>
        <v>12587.43422999466</v>
      </c>
    </row>
    <row r="29" spans="1:20" ht="20.100000000000001" customHeight="1" x14ac:dyDescent="0.25">
      <c r="D29" s="57" t="str">
        <v>EF_N2O</v>
      </c>
      <c r="E29" s="58" t="str">
        <v>nitrous oxide emission factor for atmospheric deposition (kg N2O-N/kg N)</v>
      </c>
      <c r="F29" s="100"/>
      <c r="G29" s="59"/>
      <c r="H29" s="57">
        <f>Common_InputFunctions.Utility_LookupN2OEFFromProdIrrigationRainfall($H$31,$H$32,$H$33,Table_SourceData_Common_EFN2O[Production system only],Table_SourceData_Common_EFN2O[Irrigation method],Table_SourceData_Common_EFN2O[Rainfall zone],Table_SourceData_Common_EFN2O[EFN2O])</f>
        <v>1.8E-3</v>
      </c>
      <c r="L29" s="57" t="str">
        <v>EF_N2O</v>
      </c>
      <c r="M29" s="58" t="str">
        <v>nitrous oxide emission factor for atmospheric deposition (kg N2O-N/kg N)</v>
      </c>
      <c r="N29" s="100"/>
      <c r="O29" s="59"/>
      <c r="P29" s="57"/>
    </row>
    <row r="30" spans="1:20" ht="20.100000000000001" customHeight="1" x14ac:dyDescent="0.25">
      <c r="D30" s="57" t="str">
        <v>C_N2O</v>
      </c>
      <c r="E30" s="58" t="str">
        <v>factor to convert elemental mass of N2O to molecular mass</v>
      </c>
      <c r="F30" s="100"/>
      <c r="G30" s="59"/>
      <c r="H30" s="57">
        <f>Common_InputFunctions.Utility_LookupValueInTableNumber("N2O",Table_GasToMolecularConversionFactor[Gas],Table_GasToMolecularConversionFactor[Conversion factor combined])</f>
        <v>1.5714285714285714</v>
      </c>
      <c r="L30" s="57" t="str">
        <v>C_N2O</v>
      </c>
      <c r="M30" s="58" t="str">
        <v>factor to convert elemental mass of N2O to molecular mass</v>
      </c>
      <c r="N30" s="100"/>
      <c r="O30" s="59"/>
      <c r="P30" s="57"/>
    </row>
    <row r="31" spans="1:20" ht="20.100000000000001" customHeight="1" x14ac:dyDescent="0.25">
      <c r="D31" s="57" t="str">
        <v>j</v>
      </c>
      <c r="E31" s="58" t="str">
        <v>production system</v>
      </c>
      <c r="F31" s="100"/>
      <c r="G31" s="59"/>
      <c r="H31" s="57" t="str">
        <f>'Input - Pasture Beef'!$E$189</f>
        <v>Pasture</v>
      </c>
      <c r="L31" s="57" t="str">
        <v>j</v>
      </c>
      <c r="M31" s="58" t="str">
        <v>production system</v>
      </c>
      <c r="N31" s="100"/>
      <c r="O31" s="59"/>
      <c r="P31" s="57"/>
    </row>
    <row r="32" spans="1:20" ht="20.100000000000001" customHeight="1" x14ac:dyDescent="0.25">
      <c r="D32" s="57" t="str">
        <v>i</v>
      </c>
      <c r="E32" s="58" t="str">
        <v>irrigation method</v>
      </c>
      <c r="F32" s="100"/>
      <c r="G32" s="59"/>
      <c r="H32" s="57" t="str">
        <f>'Input - Pasture Beef'!$E$190</f>
        <v>Not irrigated</v>
      </c>
      <c r="L32" s="57" t="str">
        <v>i</v>
      </c>
      <c r="M32" s="58" t="str">
        <v>irrigation method</v>
      </c>
      <c r="N32" s="100"/>
      <c r="O32" s="59"/>
      <c r="P32" s="57"/>
    </row>
    <row r="33" spans="4:16" ht="20.100000000000001" customHeight="1" x14ac:dyDescent="0.25">
      <c r="D33" s="57" t="str">
        <v>r</v>
      </c>
      <c r="E33" s="58" t="str">
        <v>rainfall zone</v>
      </c>
      <c r="F33" s="100"/>
      <c r="G33" s="59"/>
      <c r="H33" s="57" t="str">
        <f>'Input - Site'!$E$30</f>
        <v>High rainfall</v>
      </c>
      <c r="L33" s="57" t="str">
        <v>r</v>
      </c>
      <c r="M33" s="58" t="str">
        <v>rainfall zone</v>
      </c>
      <c r="N33" s="100"/>
      <c r="O33" s="59"/>
      <c r="P33" s="57"/>
    </row>
    <row r="34" spans="4:16" ht="20.100000000000001" customHeight="1" x14ac:dyDescent="0.25"/>
    <row r="35" spans="4:16" ht="20.100000000000001" customHeight="1" x14ac:dyDescent="0.25">
      <c r="D35" s="113" t="s">
        <v>333</v>
      </c>
      <c r="E35" s="45" cm="1">
        <f t="array" ref="E35">MMS_PastureBeef_Soil_AtmosphericDeposition_Equations.VEERG_4_2_1_5__1_AtmosphericDepositionEmissionsFromUrineAndDungOnPasture(H28,H29,H30)</f>
        <v>3.5296816866103677E-2</v>
      </c>
      <c r="F35" s="105" t="str">
        <f>$E$26</f>
        <v>t N2O</v>
      </c>
      <c r="L35" s="113" t="s">
        <v>333</v>
      </c>
      <c r="M35" s="45" cm="1">
        <f t="array" ref="M35">MMS_PastureBeef_Soil_AtmosphericDeposition_Equations.VEERG_4_2_1_5__1_AtmosphericDepositionEmissionsFromUrineAndDungOnPasture(P28,H29,H30)</f>
        <v>3.5604456821984896E-2</v>
      </c>
      <c r="N35" s="105" t="str">
        <f>$E$26</f>
        <v>t N2O</v>
      </c>
    </row>
    <row r="36" spans="4:16" ht="20.100000000000001" customHeight="1" x14ac:dyDescent="0.25"/>
    <row r="37" spans="4:16" ht="20.100000000000001" customHeight="1" x14ac:dyDescent="0.25">
      <c r="D37" s="57" t="str" cm="1">
        <f t="array" ref="D37:E38">Common_Equations.Common_ConvertN2OToCO2e_Arguments()</f>
        <v>EN2O</v>
      </c>
      <c r="E37" s="58" t="str">
        <v>Nitrous oxide emissions (t N2O)</v>
      </c>
      <c r="F37" s="104"/>
      <c r="G37" s="52">
        <f>E35</f>
        <v>3.5296816866103677E-2</v>
      </c>
      <c r="L37" s="57" t="str" cm="1">
        <f t="array" ref="L37:M38">Common_Equations.Common_ConvertN2OToCO2e_Arguments()</f>
        <v>EN2O</v>
      </c>
      <c r="M37" s="58" t="str">
        <v>Nitrous oxide emissions (t N2O)</v>
      </c>
      <c r="N37" s="104"/>
      <c r="O37" s="52">
        <f>M35</f>
        <v>3.5604456821984896E-2</v>
      </c>
    </row>
    <row r="38" spans="4:16" ht="20.100000000000001" customHeight="1" x14ac:dyDescent="0.25">
      <c r="D38" s="57" t="str">
        <v>GWPN2O</v>
      </c>
      <c r="E38" s="58" t="str">
        <v>Global warming potential for nitrous oxide (t CO2-e / t N2O)</v>
      </c>
      <c r="F38" s="104"/>
      <c r="G38" s="52">
        <f>Common_InputFunctions.Utility_LookupValueInTableNumber("N2O",Table_GWPData[Gas],Table_GWPData[CO2-e factor])</f>
        <v>265</v>
      </c>
      <c r="L38" s="57" t="str">
        <v>GWPN2O</v>
      </c>
      <c r="M38" s="58" t="str">
        <v>Global warming potential for nitrous oxide (t CO2-e / t N2O)</v>
      </c>
      <c r="N38" s="104"/>
      <c r="O38" s="52">
        <f>Common_InputFunctions.Utility_LookupValueInTableNumber("N2O",Table_GWPData[Gas],Table_GWPData[CO2-e factor])</f>
        <v>265</v>
      </c>
    </row>
    <row r="39" spans="4:16" ht="20.100000000000001" customHeight="1" x14ac:dyDescent="0.25"/>
    <row r="40" spans="4:16" ht="20.100000000000001" customHeight="1" x14ac:dyDescent="0.25">
      <c r="D40" s="45" t="s">
        <v>104</v>
      </c>
      <c r="E40" s="45" cm="1">
        <f t="array" ref="E40">Common_Equations.Common_ConvertN2OToCO2e(G37,G38)</f>
        <v>9.3536564695174746</v>
      </c>
      <c r="F40" s="105" t="str" cm="1">
        <f t="array" ref="F40">Common_Equations.Common_ConvertN2OToCO2e_Unit()</f>
        <v>t CO2e</v>
      </c>
      <c r="L40" s="45" t="s">
        <v>104</v>
      </c>
      <c r="M40" s="45" cm="1">
        <f t="array" ref="M40">Common_Equations.Common_ConvertN2OToCO2e(O37,O38)</f>
        <v>9.4351810578259983</v>
      </c>
      <c r="N40" s="105" t="str" cm="1">
        <f t="array" ref="N40">Common_Equations.Common_ConvertN2OToCO2e_Unit()</f>
        <v>t CO2e</v>
      </c>
    </row>
    <row r="41" spans="4:16" ht="20.100000000000001" customHeight="1" x14ac:dyDescent="0.25"/>
    <row r="42" spans="4:16" ht="20.100000000000001" customHeight="1" x14ac:dyDescent="0.25"/>
    <row r="43" spans="4:16" ht="20.100000000000001" customHeight="1" x14ac:dyDescent="0.25"/>
    <row r="44" spans="4:16" ht="20.100000000000001" customHeight="1" x14ac:dyDescent="0.25"/>
    <row r="45" spans="4:16" ht="20.100000000000001" customHeight="1" x14ac:dyDescent="0.25"/>
    <row r="46" spans="4:16" ht="20.100000000000001" customHeight="1" x14ac:dyDescent="0.25"/>
    <row r="47" spans="4:16" ht="20.100000000000001" customHeight="1" x14ac:dyDescent="0.25"/>
    <row r="48" spans="4:16"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count="1">
    <dataValidation operator="equal" allowBlank="1" showInputMessage="1" showErrorMessage="1" sqref="E19 M19 E24 M24" xr:uid="{27894986-D8F7-4ECC-BDC3-495A6C274A89}"/>
  </dataValidation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68BED-F848-481C-B828-A6A4B3B45E3C}">
  <dimension ref="A1:O165"/>
  <sheetViews>
    <sheetView showGridLines="0" topLeftCell="D12" workbookViewId="0">
      <selection activeCell="G15" sqref="G15"/>
    </sheetView>
  </sheetViews>
  <sheetFormatPr defaultRowHeight="15.75" x14ac:dyDescent="0.25"/>
  <cols>
    <col min="1" max="1" width="30.7109375" customWidth="1"/>
    <col min="2" max="2" width="4.7109375" customWidth="1"/>
    <col min="3" max="3" width="4.7109375" style="1" customWidth="1"/>
    <col min="4" max="7" width="30.7109375" style="1" customWidth="1"/>
    <col min="8" max="8" width="4.7109375" style="1" customWidth="1"/>
    <col min="9" max="9" width="4.7109375" customWidth="1"/>
    <col min="10" max="10" width="4.7109375" style="1" customWidth="1"/>
    <col min="11" max="14" width="30.7109375" style="1" customWidth="1"/>
    <col min="15" max="15" width="4.7109375" style="1" customWidth="1"/>
  </cols>
  <sheetData>
    <row r="1" spans="1:15" s="8" customFormat="1" ht="30" customHeight="1" x14ac:dyDescent="0.35">
      <c r="A1" s="8" t="e" vm="1">
        <v>#VALUE!</v>
      </c>
      <c r="C1" s="8" t="s">
        <v>155</v>
      </c>
    </row>
    <row r="2" spans="1:15" s="9" customFormat="1" ht="20.100000000000001" customHeight="1" x14ac:dyDescent="0.25"/>
    <row r="3" spans="1:15" ht="20.100000000000001" customHeight="1" x14ac:dyDescent="0.25">
      <c r="A3" s="17" t="str">
        <f>HYPERLINK("#'Home'!A1", "Home")</f>
        <v>Home</v>
      </c>
      <c r="C3" s="4"/>
      <c r="D3" s="4" t="s">
        <v>108</v>
      </c>
      <c r="E3" s="4"/>
      <c r="F3" s="4"/>
      <c r="G3" s="4"/>
      <c r="H3" s="4"/>
      <c r="J3" s="4"/>
      <c r="K3" s="4" t="s">
        <v>109</v>
      </c>
      <c r="L3" s="4"/>
      <c r="M3" s="4"/>
      <c r="N3" s="4"/>
      <c r="O3" s="4"/>
    </row>
    <row r="4" spans="1:15" ht="20.100000000000001" customHeight="1" x14ac:dyDescent="0.25">
      <c r="A4" s="17" t="str">
        <f>HYPERLINK("#'Results'!A1", "Results")</f>
        <v>Results</v>
      </c>
    </row>
    <row r="5" spans="1:15" ht="20.100000000000001" customHeight="1" x14ac:dyDescent="0.25">
      <c r="A5" s="16"/>
      <c r="D5" s="6" t="str" cm="1">
        <f t="array" ref="D5">MMS_PastureBeef_Soil_LeachingAndRunoff.VEERG_4_2_1_7__2_MassOfNitrogenLostToLeachingAndRunoffOnPasture_Title()</f>
        <v>Mass of nitrogen lost to leaching and runoff</v>
      </c>
    </row>
    <row r="6" spans="1:15" ht="20.100000000000001" customHeight="1" x14ac:dyDescent="0.25">
      <c r="A6" s="20" t="s">
        <v>3</v>
      </c>
      <c r="D6" s="5" t="str" cm="1">
        <f t="array" ref="D6">MMS_PastureBeef_Soil_LeachingAndRunoff.VEERG_4_2_1_7__2_MassOfNitrogenLostToLeachingAndRunoffOnPasture_Source()</f>
        <v>VEERG 2026: 4.2.1.7, Equation (2)</v>
      </c>
    </row>
    <row r="7" spans="1:15" ht="20.100000000000001" customHeight="1" x14ac:dyDescent="0.25">
      <c r="A7" s="17" t="str">
        <f>HYPERLINK("#'Input - Site'!A1", "Site")</f>
        <v>Site</v>
      </c>
      <c r="D7" s="13" t="s">
        <v>27</v>
      </c>
      <c r="E7" s="13" t="str" cm="1">
        <f t="array" aca="1" ref="E7" ca="1">Common_InputFunctions.Utility_DisplayFunctionName(E20)</f>
        <v>=MMS_PastureBeef_Soil_LeachingAndRunoff.VEERG_4_2_1_7__2_MassOfNitrogenLostToLeachingAndRunoffOnPasture</v>
      </c>
    </row>
    <row r="8" spans="1:15" ht="20.100000000000001" customHeight="1" x14ac:dyDescent="0.25">
      <c r="A8" s="17" t="str">
        <f>HYPERLINK("#'Input - Pasture Beef'!A1", "Pasture Beef")</f>
        <v>Pasture Beef</v>
      </c>
    </row>
    <row r="9" spans="1:15" ht="20.100000000000001" customHeight="1" x14ac:dyDescent="0.25">
      <c r="A9" s="17"/>
    </row>
    <row r="10" spans="1:15" ht="20.100000000000001" customHeight="1" x14ac:dyDescent="0.25">
      <c r="A10" s="19" t="s">
        <v>77</v>
      </c>
      <c r="D10" s="53" t="s">
        <v>30</v>
      </c>
      <c r="E10" s="1" t="str" cm="1">
        <f t="array" ref="E10">MMS_PastureBeef_Soil_LeachingAndRunoff.VEERG_4_2_1_7__2_MassOfNitrogenLostToLeachingAndRunoffOnPasture_Variable()</f>
        <v>M_leach</v>
      </c>
    </row>
    <row r="11" spans="1:15" ht="20.100000000000001" customHeight="1" x14ac:dyDescent="0.25">
      <c r="A11" s="17" t="str">
        <f>HYPERLINK("#'4.2.1.1-2 Methane'!A1", "4.2.1.1-2 Methane")</f>
        <v>4.2.1.1-2 Methane</v>
      </c>
      <c r="D11" s="53" t="s">
        <v>20</v>
      </c>
      <c r="E11" s="54" t="str" cm="1">
        <f t="array" ref="E11">MMS_PastureBeef_Soil_LeachingAndRunoff.VEERG_4_2_1_7__2_MassOfNitrogenLostToLeachingAndRunoffOnPasture_Unit()</f>
        <v>kg N</v>
      </c>
    </row>
    <row r="12" spans="1:15" ht="20.100000000000001" customHeight="1" x14ac:dyDescent="0.25">
      <c r="A12" s="17" t="str">
        <f>HYPERLINK("#'4.2.1.3-4 Soil direct N2O'!A1", "4.2.1.3-4 Soil direct N2O")</f>
        <v>4.2.1.3-4 Soil direct N2O</v>
      </c>
    </row>
    <row r="13" spans="1:15" ht="20.100000000000001" customHeight="1" x14ac:dyDescent="0.25">
      <c r="A13" s="17" t="str">
        <f>HYPERLINK("#'4.2.1.5-6 Soil Atmos Dep'!A1", "4.2.1.5-6 Soil atm. deposition")</f>
        <v>4.2.1.5-6 Soil atm. deposition</v>
      </c>
      <c r="D13" s="108" t="str" cm="1">
        <f t="array" ref="D13:E18">MMS_PastureBeef_Soil_LeachingAndRunoff.VEERG_4_2_1_7__2_MassOfNitrogenLostToLeachingAndRunoffOnPasture_Arguments()</f>
        <v>AE</v>
      </c>
      <c r="E13" s="110" t="str">
        <v>total mass of nitrogen excreted on PRP for beef cattle (kg N)</v>
      </c>
      <c r="F13" s="109"/>
      <c r="G13" s="57">
        <f>'4.2.1.3-4 Soil direct N20'!$E$212</f>
        <v>59422.250616336161</v>
      </c>
      <c r="K13" s="108" t="str" cm="1">
        <f t="array" ref="K13:L18">MMS_PastureBeef_Soil_LeachingAndRunoff.VEERG_4_2_1_7__2_MassOfNitrogenLostToLeachingAndRunoffOnPasture_Arguments()</f>
        <v>AE</v>
      </c>
      <c r="L13" s="110" t="str">
        <v>total mass of nitrogen excreted on PRP for beef cattle (kg N)</v>
      </c>
      <c r="M13" s="109"/>
      <c r="N13" s="57">
        <f>'4.2.1.3-4 Soil direct N20'!$U$257</f>
        <v>59940.162999974571</v>
      </c>
    </row>
    <row r="14" spans="1:15" ht="20.100000000000001" customHeight="1" x14ac:dyDescent="0.25">
      <c r="A14" s="17" t="str">
        <f>HYPERLINK("#'4.2.1.7-8 Soil leach runoff'!A1", "4.2.1.7-8 Soil leach &amp; runoff")</f>
        <v>4.2.1.7-8 Soil leach &amp; runoff</v>
      </c>
      <c r="D14" s="108" t="str">
        <v>FracWet</v>
      </c>
      <c r="E14" s="110" t="str">
        <v>fraction of N available for leaching and runoff</v>
      </c>
      <c r="F14" s="109"/>
      <c r="G14" s="57">
        <f>Common_InputFunctions.CommonCropping_GetFracWET(G16,G18,#REF!,#REF!,Table_SourceData_FracWETIrrigation[Irrigation type i],Table_SourceData_FracWETIrrigation[FracWET])</f>
        <v>0</v>
      </c>
      <c r="K14" s="108" t="str">
        <v>FracWet</v>
      </c>
      <c r="L14" s="110" t="str">
        <v>fraction of N available for leaching and runoff</v>
      </c>
      <c r="M14" s="109"/>
      <c r="N14" s="57"/>
    </row>
    <row r="15" spans="1:15" ht="20.100000000000001" customHeight="1" x14ac:dyDescent="0.25">
      <c r="A15" s="17"/>
      <c r="D15" s="108" t="str">
        <v>FracLEACH</v>
      </c>
      <c r="E15" s="110" t="str">
        <v>fraction of all N that is lost through leaching and runoff</v>
      </c>
      <c r="F15" s="109"/>
      <c r="G15" s="57">
        <f>'Constants - Pature Beef'!$D$438</f>
        <v>0.24</v>
      </c>
      <c r="K15" s="108" t="str">
        <v>FracLEACH</v>
      </c>
      <c r="L15" s="110" t="str">
        <v>fraction of all N that is lost through leaching and runoff</v>
      </c>
      <c r="M15" s="109"/>
      <c r="N15" s="57"/>
    </row>
    <row r="16" spans="1:15" ht="20.100000000000001" customHeight="1" x14ac:dyDescent="0.25">
      <c r="A16" s="18" t="s">
        <v>4</v>
      </c>
      <c r="D16" s="108" t="str">
        <v>z</v>
      </c>
      <c r="E16" s="110" t="str">
        <v>location in leaching zone</v>
      </c>
      <c r="F16" s="109"/>
      <c r="G16" s="57" t="str">
        <f>'Input - Site'!$E$23</f>
        <v>NO - Not in leaching zone</v>
      </c>
      <c r="K16" s="108" t="str">
        <v>z</v>
      </c>
      <c r="L16" s="110" t="str">
        <v>location in leaching zone</v>
      </c>
      <c r="M16" s="109"/>
      <c r="N16" s="57"/>
    </row>
    <row r="17" spans="1:15" ht="20.100000000000001" customHeight="1" x14ac:dyDescent="0.25">
      <c r="A17" s="17" t="str">
        <f>HYPERLINK("#'Constants - Pasture Beef'!A1", "Constants - Pasture Beef")</f>
        <v>Constants - Pasture Beef</v>
      </c>
      <c r="D17" s="108" t="str">
        <v>j</v>
      </c>
      <c r="E17" s="110" t="str">
        <v>production system</v>
      </c>
      <c r="F17" s="109"/>
      <c r="G17" s="57" t="str">
        <f>'Input - Pasture Beef'!$E$189</f>
        <v>Pasture</v>
      </c>
      <c r="K17" s="108" t="str">
        <v>j</v>
      </c>
      <c r="L17" s="110" t="str">
        <v>production system</v>
      </c>
      <c r="M17" s="109"/>
      <c r="N17" s="57"/>
    </row>
    <row r="18" spans="1:15" ht="20.100000000000001" customHeight="1" x14ac:dyDescent="0.25">
      <c r="A18" s="17" t="str">
        <f>HYPERLINK("#'Constants - Livestock'!A1", "Constants - Livestock")</f>
        <v>Constants - Livestock</v>
      </c>
      <c r="D18" s="108" t="str">
        <v>ir</v>
      </c>
      <c r="E18" s="110" t="str">
        <v>irrigation method</v>
      </c>
      <c r="F18" s="109"/>
      <c r="G18" s="57" t="str">
        <f>'Input - Pasture Beef'!$E$190</f>
        <v>Not irrigated</v>
      </c>
      <c r="K18" s="108" t="str">
        <v>ir</v>
      </c>
      <c r="L18" s="110" t="str">
        <v>irrigation method</v>
      </c>
      <c r="M18" s="109"/>
      <c r="N18" s="57"/>
    </row>
    <row r="19" spans="1:15" ht="20.100000000000001" customHeight="1" x14ac:dyDescent="0.25">
      <c r="A19" s="17" t="str">
        <f>HYPERLINK("#'Constants - Common'!A1", "Constants - Common")</f>
        <v>Constants - Common</v>
      </c>
    </row>
    <row r="20" spans="1:15" ht="20.100000000000001" customHeight="1" x14ac:dyDescent="0.25">
      <c r="A20" s="17" t="str">
        <f>HYPERLINK("#'Acknowledgements'!A1", "Acknowledgements")</f>
        <v>Acknowledgements</v>
      </c>
      <c r="D20" s="113" t="s">
        <v>334</v>
      </c>
      <c r="E20" s="45" cm="1">
        <f t="array" ref="E20">MMS_PastureBeef_Soil_LeachingAndRunoff.VEERG_4_2_1_7__2_MassOfNitrogenLostToLeachingAndRunoffOnPasture($G$13,$G$14,$G$15)</f>
        <v>0</v>
      </c>
      <c r="F20" s="105" t="str">
        <f>$E$11</f>
        <v>kg N</v>
      </c>
      <c r="I20" s="56"/>
      <c r="K20" s="113" t="s">
        <v>334</v>
      </c>
      <c r="L20" s="45" cm="1">
        <f t="array" ref="L20">MMS_PastureBeef_Soil_LeachingAndRunoff.VEERG_4_2_1_7__2_MassOfNitrogenLostToLeachingAndRunoffOnPasture($N$13,$G$14,$G$15)</f>
        <v>0</v>
      </c>
      <c r="M20" s="105" t="str">
        <f>$E$11</f>
        <v>kg N</v>
      </c>
    </row>
    <row r="21" spans="1:15" ht="20.100000000000001" customHeight="1" x14ac:dyDescent="0.25">
      <c r="I21" s="56"/>
    </row>
    <row r="22" spans="1:15" ht="20.100000000000001" customHeight="1" x14ac:dyDescent="0.25">
      <c r="I22" s="56"/>
    </row>
    <row r="23" spans="1:15" ht="20.100000000000001" customHeight="1" x14ac:dyDescent="0.25">
      <c r="C23" s="45"/>
      <c r="D23" s="45"/>
      <c r="E23" s="45"/>
      <c r="F23" s="45"/>
      <c r="G23" s="45"/>
      <c r="H23" s="45"/>
      <c r="I23" s="56"/>
      <c r="J23" s="45"/>
      <c r="K23" s="45"/>
      <c r="L23" s="45"/>
      <c r="M23" s="45"/>
      <c r="N23" s="45"/>
      <c r="O23" s="45"/>
    </row>
    <row r="24" spans="1:15" ht="20.100000000000001" customHeight="1" x14ac:dyDescent="0.25">
      <c r="D24" s="1" t="str" cm="1">
        <f t="array" ref="D24">MMS_PastureBeef_Soil_LeachingAndRunoff.VEERG_4_2_1_7__1_LeachingAndRunoffEmissionsFromUrineAndDungOnPasture_Title()</f>
        <v>Leaching and runoff emissions from urine and dung deposited on pasture</v>
      </c>
    </row>
    <row r="25" spans="1:15" ht="20.100000000000001" customHeight="1" x14ac:dyDescent="0.25">
      <c r="D25" s="1" t="str" cm="1">
        <f t="array" ref="D25">MMS_PastureBeef_Soil_LeachingAndRunoff.VEERG_4_2_1_7__1_LeachingAndRunoffEmissionsFromUrineAndDungOnPasture_Source()</f>
        <v>VEERG 2026: 4.2.1.7, Equation (1)</v>
      </c>
    </row>
    <row r="26" spans="1:15" ht="20.100000000000001" customHeight="1" x14ac:dyDescent="0.25">
      <c r="D26" s="13" t="s">
        <v>27</v>
      </c>
      <c r="E26" s="13" t="str" cm="1">
        <f t="array" aca="1" ref="E26" ca="1">Common_InputFunctions.Utility_DisplayFunctionName(E36)</f>
        <v>=MMS_PastureBeef_Soil_LeachingAndRunoff.VEERG_4_2_1_7__1_LeachingAndRunoffEmissionsFromUrineAndDungOnPasture</v>
      </c>
    </row>
    <row r="27" spans="1:15" ht="20.100000000000001" customHeight="1" x14ac:dyDescent="0.25"/>
    <row r="28" spans="1:15" ht="20.100000000000001" customHeight="1" x14ac:dyDescent="0.25"/>
    <row r="29" spans="1:15" ht="20.100000000000001" customHeight="1" x14ac:dyDescent="0.25">
      <c r="D29" s="53" t="s">
        <v>30</v>
      </c>
      <c r="E29" s="1" t="str" cm="1">
        <f t="array" ref="E29">MMS_PastureBeef_Soil_LeachingAndRunoff.VEERG_4_2_1_7__1_LeachingAndRunoffEmissionsFromUrineAndDungOnPasture_Variable()</f>
        <v>E_N2Oleach</v>
      </c>
    </row>
    <row r="30" spans="1:15" ht="20.100000000000001" customHeight="1" x14ac:dyDescent="0.25">
      <c r="D30" s="53" t="s">
        <v>20</v>
      </c>
      <c r="E30" s="54" t="str" cm="1">
        <f t="array" ref="E30">MMS_PastureBeef_Soil_LeachingAndRunoff.VEERG_4_2_1_7__1_LeachingAndRunoffEmissionsFromUrineAndDungOnPasture_Unit()</f>
        <v>t N2O</v>
      </c>
    </row>
    <row r="31" spans="1:15" ht="20.100000000000001" customHeight="1" x14ac:dyDescent="0.25"/>
    <row r="32" spans="1:15" ht="20.100000000000001" customHeight="1" x14ac:dyDescent="0.25">
      <c r="D32" s="57" t="str" cm="1">
        <f t="array" ref="D32:E34">MMS_PastureBeef_Soil_LeachingAndRunoff.VEERG_4_2_1_7__1_LeachingAndRunoffEmissionsFromUrineAndDungOnPasture_Arguments()</f>
        <v>M_leach</v>
      </c>
      <c r="E32" s="57" t="str">
        <v>mass of nitrogen lost to leaching and runoff (kg N)</v>
      </c>
      <c r="F32" s="57"/>
      <c r="G32" s="57">
        <f>$E$20</f>
        <v>0</v>
      </c>
      <c r="K32" s="57" t="str" cm="1">
        <f t="array" ref="K32:L34">MMS_PastureBeef_Soil_LeachingAndRunoff.VEERG_4_2_1_7__1_LeachingAndRunoffEmissionsFromUrineAndDungOnPasture_Arguments()</f>
        <v>M_leach</v>
      </c>
      <c r="L32" s="57" t="str">
        <v>mass of nitrogen lost to leaching and runoff (kg N)</v>
      </c>
      <c r="M32" s="57"/>
      <c r="N32" s="57">
        <f>$E$20</f>
        <v>0</v>
      </c>
    </row>
    <row r="33" spans="4:14" ht="20.100000000000001" customHeight="1" x14ac:dyDescent="0.25">
      <c r="D33" s="57" t="str">
        <v>EF_leach</v>
      </c>
      <c r="E33" s="57" t="str">
        <v>emission factor for leaching and runoff (kg N2O-N/kg N)</v>
      </c>
      <c r="F33" s="57"/>
      <c r="G33" s="57">
        <f>'Constants - Common'!$E$170</f>
        <v>1.0999999999999999E-2</v>
      </c>
      <c r="K33" s="57" t="str">
        <v>EF_leach</v>
      </c>
      <c r="L33" s="57" t="str">
        <v>emission factor for leaching and runoff (kg N2O-N/kg N)</v>
      </c>
      <c r="M33" s="57"/>
      <c r="N33" s="57"/>
    </row>
    <row r="34" spans="4:14" ht="20.100000000000001" customHeight="1" x14ac:dyDescent="0.25">
      <c r="D34" s="57" t="str">
        <v>C_N2O</v>
      </c>
      <c r="E34" s="57" t="str">
        <v>factor to convert elemental mass of N2O to molecular mass</v>
      </c>
      <c r="F34" s="57"/>
      <c r="G34" s="57">
        <f>Common_InputFunctions.Utility_LookupValueInTableNumber("N2O",Table_GasToMolecularConversionFactor[Gas],Table_GasToMolecularConversionFactor[Conversion factor combined])</f>
        <v>1.5714285714285714</v>
      </c>
      <c r="K34" s="57" t="str">
        <v>C_N2O</v>
      </c>
      <c r="L34" s="57" t="str">
        <v>factor to convert elemental mass of N2O to molecular mass</v>
      </c>
      <c r="M34" s="57"/>
      <c r="N34" s="57"/>
    </row>
    <row r="35" spans="4:14" ht="20.100000000000001" customHeight="1" x14ac:dyDescent="0.25"/>
    <row r="36" spans="4:14" ht="20.100000000000001" customHeight="1" x14ac:dyDescent="0.25">
      <c r="D36" s="113" t="s">
        <v>156</v>
      </c>
      <c r="E36" s="45" cm="1">
        <f t="array" ref="E36">MMS_PastureBeef_Soil_LeachingAndRunoff.VEERG_4_2_1_7__1_LeachingAndRunoffEmissionsFromUrineAndDungOnPasture(G32,G33,G34)</f>
        <v>0</v>
      </c>
      <c r="F36" s="105" t="str">
        <f>$E$30</f>
        <v>t N2O</v>
      </c>
      <c r="K36" s="113" t="s">
        <v>156</v>
      </c>
      <c r="L36" s="45" cm="1">
        <f t="array" ref="L36">MMS_PastureBeef_Soil_LeachingAndRunoff.VEERG_4_2_1_7__1_LeachingAndRunoffEmissionsFromUrineAndDungOnPasture(N32,G33,G34)</f>
        <v>0</v>
      </c>
      <c r="M36" s="105" t="str">
        <f>$E$30</f>
        <v>t N2O</v>
      </c>
    </row>
    <row r="37" spans="4:14" ht="20.100000000000001" customHeight="1" x14ac:dyDescent="0.25"/>
    <row r="38" spans="4:14" ht="20.100000000000001" customHeight="1" x14ac:dyDescent="0.25">
      <c r="D38" s="57" t="str" cm="1">
        <f t="array" ref="D38:E39">Common_Equations.Common_ConvertN2OToCO2e_Arguments()</f>
        <v>EN2O</v>
      </c>
      <c r="E38" s="58" t="str">
        <v>Nitrous oxide emissions (t N2O)</v>
      </c>
      <c r="F38" s="104"/>
      <c r="G38" s="52">
        <f>E36</f>
        <v>0</v>
      </c>
      <c r="K38" s="57" t="str" cm="1">
        <f t="array" ref="K38:L39">Common_Equations.Common_ConvertN2OToCO2e_Arguments()</f>
        <v>EN2O</v>
      </c>
      <c r="L38" s="58" t="str">
        <v>Nitrous oxide emissions (t N2O)</v>
      </c>
      <c r="M38" s="104"/>
      <c r="N38" s="52">
        <f>L36</f>
        <v>0</v>
      </c>
    </row>
    <row r="39" spans="4:14" ht="20.100000000000001" customHeight="1" x14ac:dyDescent="0.25">
      <c r="D39" s="57" t="str">
        <v>GWPN2O</v>
      </c>
      <c r="E39" s="58" t="str">
        <v>Global warming potential for nitrous oxide (t CO2-e / t N2O)</v>
      </c>
      <c r="F39" s="104"/>
      <c r="G39" s="52">
        <f>Common_InputFunctions.Utility_LookupValueInTableNumber("N2O",Table_GWPData[Gas],Table_GWPData[CO2-e factor])</f>
        <v>265</v>
      </c>
      <c r="K39" s="57" t="str">
        <v>GWPN2O</v>
      </c>
      <c r="L39" s="58" t="str">
        <v>Global warming potential for nitrous oxide (t CO2-e / t N2O)</v>
      </c>
      <c r="M39" s="104"/>
      <c r="N39" s="52">
        <f>Common_InputFunctions.Utility_LookupValueInTableNumber("N2O",Table_GWPData[Gas],Table_GWPData[CO2-e factor])</f>
        <v>265</v>
      </c>
    </row>
    <row r="40" spans="4:14" ht="20.100000000000001" customHeight="1" x14ac:dyDescent="0.25"/>
    <row r="41" spans="4:14" ht="20.100000000000001" customHeight="1" x14ac:dyDescent="0.25">
      <c r="D41" s="45" t="s">
        <v>104</v>
      </c>
      <c r="E41" s="45" cm="1">
        <f t="array" ref="E41">Common_Equations.Common_ConvertN2OToCO2e(G38,G39)</f>
        <v>0</v>
      </c>
      <c r="F41" s="105" t="str" cm="1">
        <f t="array" ref="F41">Common_Equations.Common_ConvertN2OToCO2e_Unit()</f>
        <v>t CO2e</v>
      </c>
      <c r="K41" s="45" t="s">
        <v>104</v>
      </c>
      <c r="L41" s="45" cm="1">
        <f t="array" ref="L41">Common_Equations.Common_ConvertN2OToCO2e(N38,N39)</f>
        <v>0</v>
      </c>
      <c r="M41" s="105" t="str" cm="1">
        <f t="array" ref="M41">Common_Equations.Common_ConvertN2OToCO2e_Unit()</f>
        <v>t CO2e</v>
      </c>
    </row>
    <row r="42" spans="4:14" ht="20.100000000000001" customHeight="1" x14ac:dyDescent="0.25"/>
    <row r="43" spans="4:14" ht="20.100000000000001" customHeight="1" x14ac:dyDescent="0.25"/>
    <row r="44" spans="4:14" ht="20.100000000000001" customHeight="1" x14ac:dyDescent="0.25"/>
    <row r="45" spans="4:14" ht="20.100000000000001" customHeight="1" x14ac:dyDescent="0.25"/>
    <row r="46" spans="4:14" ht="20.100000000000001" customHeight="1" x14ac:dyDescent="0.25"/>
    <row r="47" spans="4:14" ht="20.100000000000001" customHeight="1" x14ac:dyDescent="0.25"/>
    <row r="48" spans="4:14"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count="1">
    <dataValidation operator="equal" allowBlank="1" showInputMessage="1" showErrorMessage="1" sqref="E23 L23 E28 L28" xr:uid="{FFC3CBA3-2876-48FD-90FB-22BFDC268162}"/>
  </dataValidation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452"/>
  <sheetViews>
    <sheetView showGridLines="0" topLeftCell="F296" zoomScale="85" zoomScaleNormal="85" workbookViewId="0">
      <selection activeCell="H342" sqref="H342"/>
    </sheetView>
  </sheetViews>
  <sheetFormatPr defaultRowHeight="15.75" x14ac:dyDescent="0.25"/>
  <cols>
    <col min="1" max="1" width="30.7109375" customWidth="1"/>
    <col min="2" max="2" width="4.7109375" customWidth="1"/>
    <col min="3" max="3" width="4.7109375" style="1" customWidth="1"/>
    <col min="4" max="5" width="30.7109375" style="1" customWidth="1"/>
    <col min="6" max="6" width="31.14062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182</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HYPERLINK("#'Results'!A1", "Results")</f>
        <v>Results</v>
      </c>
      <c r="M4" s="22"/>
    </row>
    <row r="5" spans="1:21" ht="20.100000000000001" customHeight="1" x14ac:dyDescent="0.25">
      <c r="A5" s="16"/>
      <c r="D5" s="6" t="s">
        <v>332</v>
      </c>
      <c r="G5" s="6" t="s">
        <v>120</v>
      </c>
      <c r="M5" s="1" t="s">
        <v>206</v>
      </c>
      <c r="O5" s="1" t="s">
        <v>207</v>
      </c>
      <c r="Q5" s="1" t="s">
        <v>208</v>
      </c>
      <c r="S5" s="1" t="s">
        <v>219</v>
      </c>
    </row>
    <row r="6" spans="1:21" ht="20.100000000000001" customHeight="1" x14ac:dyDescent="0.25">
      <c r="A6" s="20" t="s">
        <v>3</v>
      </c>
      <c r="M6" s="1"/>
    </row>
    <row r="7" spans="1:21" ht="20.100000000000001" customHeight="1" x14ac:dyDescent="0.25">
      <c r="A7" s="17" t="str">
        <f>HYPERLINK("#'Input - Site'!A1", "Site")</f>
        <v>Site</v>
      </c>
      <c r="D7" s="37" t="s">
        <v>119</v>
      </c>
      <c r="G7" s="37" t="s">
        <v>118</v>
      </c>
      <c r="M7" t="s">
        <v>183</v>
      </c>
      <c r="O7" s="37" t="s">
        <v>183</v>
      </c>
      <c r="Q7" s="37" t="s">
        <v>183</v>
      </c>
      <c r="S7" s="37" t="s">
        <v>183</v>
      </c>
    </row>
    <row r="8" spans="1:21" ht="20.100000000000001" customHeight="1" x14ac:dyDescent="0.25">
      <c r="A8" s="17" t="str">
        <f>HYPERLINK("#'Input - Pasture Beef'!A1", "Pasture Beef")</f>
        <v>Pasture Beef</v>
      </c>
      <c r="D8" s="37" t="str">
        <f>'Constants - Common'!$F$187</f>
        <v>Pasture</v>
      </c>
      <c r="G8" s="37" t="s">
        <v>121</v>
      </c>
      <c r="M8" s="37" t="s">
        <v>209</v>
      </c>
      <c r="O8" s="37" t="s">
        <v>211</v>
      </c>
      <c r="Q8" s="37" t="s">
        <v>214</v>
      </c>
      <c r="S8" s="37" t="s">
        <v>202</v>
      </c>
    </row>
    <row r="9" spans="1:21" ht="20.100000000000001" customHeight="1" x14ac:dyDescent="0.25">
      <c r="A9" s="17"/>
      <c r="D9" s="1" t="str">
        <f>'Constants - Common'!$F$188</f>
        <v>Crop</v>
      </c>
      <c r="G9" s="37" t="s">
        <v>122</v>
      </c>
      <c r="M9" s="37" t="s">
        <v>210</v>
      </c>
      <c r="O9" s="37" t="s">
        <v>212</v>
      </c>
      <c r="Q9" s="37" t="s">
        <v>215</v>
      </c>
    </row>
    <row r="10" spans="1:21" ht="20.100000000000001" customHeight="1" x14ac:dyDescent="0.25">
      <c r="A10" s="19" t="s">
        <v>77</v>
      </c>
      <c r="G10" s="1" t="s">
        <v>123</v>
      </c>
      <c r="M10" s="37" t="s">
        <v>205</v>
      </c>
      <c r="O10" s="37" t="s">
        <v>213</v>
      </c>
      <c r="Q10" s="37" t="s">
        <v>216</v>
      </c>
      <c r="S10" s="1" t="s">
        <v>220</v>
      </c>
    </row>
    <row r="11" spans="1:21" ht="20.100000000000001" customHeight="1" x14ac:dyDescent="0.25">
      <c r="A11" s="17" t="str">
        <f>HYPERLINK("#'4.2.1.1-2 Methane'!A1", "4.2.1.1-2 Methane")</f>
        <v>4.2.1.1-2 Methane</v>
      </c>
      <c r="G11" s="1" t="s">
        <v>124</v>
      </c>
      <c r="M11" s="1"/>
      <c r="Q11" s="37" t="s">
        <v>217</v>
      </c>
    </row>
    <row r="12" spans="1:21" ht="20.100000000000001" customHeight="1" x14ac:dyDescent="0.25">
      <c r="A12" s="17" t="str">
        <f>HYPERLINK("#'4.2.1.3-4 Soil direct N2O'!A1", "4.2.1.3-4 Soil direct N2O")</f>
        <v>4.2.1.3-4 Soil direct N2O</v>
      </c>
      <c r="G12" s="1" t="s">
        <v>125</v>
      </c>
      <c r="M12" s="1"/>
      <c r="S12" s="37" t="s">
        <v>183</v>
      </c>
    </row>
    <row r="13" spans="1:21" ht="20.100000000000001" customHeight="1" x14ac:dyDescent="0.25">
      <c r="A13" s="17" t="str">
        <f>HYPERLINK("#'4.2.1.5-6 Soil Atmos Dep'!A1", "4.2.1.5-6 Soil atm. deposition")</f>
        <v>4.2.1.5-6 Soil atm. deposition</v>
      </c>
      <c r="M13" s="1"/>
      <c r="S13" s="37" t="s">
        <v>202</v>
      </c>
    </row>
    <row r="14" spans="1:21" ht="20.100000000000001" customHeight="1" x14ac:dyDescent="0.25">
      <c r="A14" s="17" t="str">
        <f>HYPERLINK("#'4.2.1.7-8 Soil leach runoff'!A1", "4.2.1.7-8 Soil leach &amp; runoff")</f>
        <v>4.2.1.7-8 Soil leach &amp; runoff</v>
      </c>
      <c r="D14" s="6" t="str" cm="1">
        <f t="array" ref="D14">SourceData_PastureBeef.SourceData_PastureBeef_Liveweight_Title()</f>
        <v>Beef pasture cattle - Liveweight (kg) (Wjkl)</v>
      </c>
      <c r="M14" s="1"/>
    </row>
    <row r="15" spans="1:21" ht="20.100000000000001" customHeight="1" x14ac:dyDescent="0.25">
      <c r="A15" s="17"/>
      <c r="D15" s="5" t="str" cm="1">
        <f t="array" ref="D15">SourceData_PastureBeef.SourceData_PastureBeef_Liveweight_Source()</f>
        <v>VEERG 2026: Table A.1.2.1</v>
      </c>
      <c r="M15" s="1"/>
      <c r="S15" s="1" t="s">
        <v>221</v>
      </c>
    </row>
    <row r="16" spans="1:21" ht="20.100000000000001" customHeight="1" x14ac:dyDescent="0.25">
      <c r="A16" s="18" t="s">
        <v>4</v>
      </c>
      <c r="D16" s="1" t="str" cm="1">
        <f t="array" ref="D16">SourceData_PastureBeef.SourceData_PastureBeef_Liveweight_Variable()</f>
        <v>Wjkl</v>
      </c>
      <c r="M16" s="1"/>
    </row>
    <row r="17" spans="1:19" ht="20.100000000000001" customHeight="1" x14ac:dyDescent="0.25">
      <c r="A17" s="17" t="str">
        <f>HYPERLINK("#'Constants - Pasture Beef'!A1", "Constants - Pasture Beef")</f>
        <v>Constants - Pasture Beef</v>
      </c>
      <c r="D17" s="54" t="str" cm="1">
        <f t="array" ref="D17">SourceData_PastureBeef.SourceData_PastureBeef_Liveweight_Unit()</f>
        <v>kg</v>
      </c>
      <c r="M17" s="1"/>
      <c r="S17" s="37" t="s">
        <v>183</v>
      </c>
    </row>
    <row r="18" spans="1:19" ht="20.100000000000001" customHeight="1" x14ac:dyDescent="0.25">
      <c r="A18" s="17" t="str">
        <f>HYPERLINK("#'Constants - Livestock'!A1", "Constants - Livestock")</f>
        <v>Constants - Livestock</v>
      </c>
      <c r="D18" s="37" t="s">
        <v>8</v>
      </c>
      <c r="E18" s="37" t="s">
        <v>183</v>
      </c>
      <c r="F18" s="37" t="s">
        <v>184</v>
      </c>
      <c r="G18" s="37" t="s">
        <v>185</v>
      </c>
      <c r="H18" s="37" t="s">
        <v>186</v>
      </c>
      <c r="I18" s="37" t="s">
        <v>187</v>
      </c>
      <c r="J18" s="37" t="s">
        <v>188</v>
      </c>
      <c r="K18" s="37" t="s">
        <v>189</v>
      </c>
      <c r="L18" s="37" t="s">
        <v>190</v>
      </c>
      <c r="M18" s="37" t="s">
        <v>191</v>
      </c>
      <c r="S18" s="37" t="s">
        <v>202</v>
      </c>
    </row>
    <row r="19" spans="1:19" ht="20.100000000000001" customHeight="1" x14ac:dyDescent="0.25">
      <c r="A19" s="17" t="str">
        <f>HYPERLINK("#'Constants - Common'!A1", "Constants - Common")</f>
        <v>Constants - Common</v>
      </c>
      <c r="D19" s="37" t="str" cm="1">
        <f t="array" ref="D19">Common_InputFunctions.Utility_DisplayArrayInTable(SourceData_PastureBeef.SourceData_PastureBeef_Liveweight_Data(), Table_SourceData_PastureBeef_Liveweight[[#Headers],[State]], 0)</f>
        <v>ACT/NSW</v>
      </c>
      <c r="E19" s="37" t="str" cm="1">
        <f t="array" ref="E19">Common_InputFunctions.Utility_DisplayArrayInTable(SourceData_PastureBeef.SourceData_PastureBeef_Liveweight_Data(), Table_SourceData_PastureBeef_Liveweight[[#Headers],[State]], 0)</f>
        <v>n/a</v>
      </c>
      <c r="F19" s="37" t="str" cm="1">
        <f t="array" ref="F19">Common_InputFunctions.Utility_DisplayArrayInTable(SourceData_PastureBeef.SourceData_PastureBeef_Liveweight_Data(), Table_SourceData_PastureBeef_Liveweight[[#Headers],[State]], 0)</f>
        <v>Spring</v>
      </c>
      <c r="G19" s="37" cm="1">
        <f t="array" ref="G19">Common_InputFunctions.Utility_DisplayArrayInTable(SourceData_PastureBeef.SourceData_PastureBeef_Liveweight_Data(), Table_SourceData_PastureBeef_Liveweight[[#Headers],[State]], 0)</f>
        <v>80</v>
      </c>
      <c r="H19" s="37" cm="1">
        <f t="array" ref="H19">Common_InputFunctions.Utility_DisplayArrayInTable(SourceData_PastureBeef.SourceData_PastureBeef_Liveweight_Data(), Table_SourceData_PastureBeef_Liveweight[[#Headers],[State]], 0)</f>
        <v>480</v>
      </c>
      <c r="I19" s="37" cm="1">
        <f t="array" ref="I19">Common_InputFunctions.Utility_DisplayArrayInTable(SourceData_PastureBeef.SourceData_PastureBeef_Liveweight_Data(), Table_SourceData_PastureBeef_Liveweight[[#Headers],[State]], 0)</f>
        <v>75</v>
      </c>
      <c r="J19" s="37" cm="1">
        <f t="array" ref="J19">Common_InputFunctions.Utility_DisplayArrayInTable(SourceData_PastureBeef.SourceData_PastureBeef_Liveweight_Data(), Table_SourceData_PastureBeef_Liveweight[[#Headers],[State]], 0)</f>
        <v>300</v>
      </c>
      <c r="K19" s="37" cm="1">
        <f t="array" ref="K19">Common_InputFunctions.Utility_DisplayArrayInTable(SourceData_PastureBeef.SourceData_PastureBeef_Liveweight_Data(), Table_SourceData_PastureBeef_Liveweight[[#Headers],[State]], 0)</f>
        <v>440</v>
      </c>
      <c r="L19" s="37" cm="1">
        <f t="array" ref="L19">Common_InputFunctions.Utility_DisplayArrayInTable(SourceData_PastureBeef.SourceData_PastureBeef_Liveweight_Data(), Table_SourceData_PastureBeef_Liveweight[[#Headers],[State]], 0)</f>
        <v>75</v>
      </c>
      <c r="M19" s="37" cm="1">
        <f t="array" ref="M19">Common_InputFunctions.Utility_DisplayArrayInTable(SourceData_PastureBeef.SourceData_PastureBeef_Liveweight_Data(), Table_SourceData_PastureBeef_Liveweight[[#Headers],[State]], 0)</f>
        <v>380</v>
      </c>
    </row>
    <row r="20" spans="1:19" ht="20.100000000000001" customHeight="1" x14ac:dyDescent="0.25">
      <c r="A20" s="17" t="str">
        <f>HYPERLINK("#'Acknowledgements'!A1", "Acknowledgements")</f>
        <v>Acknowledgements</v>
      </c>
      <c r="D20" s="1" t="str" cm="1">
        <f t="array" ref="D20">Common_InputFunctions.Utility_DisplayArrayInTable(SourceData_PastureBeef.SourceData_PastureBeef_Liveweight_Data(), Table_SourceData_PastureBeef_Liveweight[[#Headers],[State]], 0)</f>
        <v>ACT/NSW</v>
      </c>
      <c r="E20" s="37" t="str" cm="1">
        <f t="array" ref="E20">Common_InputFunctions.Utility_DisplayArrayInTable(SourceData_PastureBeef.SourceData_PastureBeef_Liveweight_Data(), Table_SourceData_PastureBeef_Liveweight[[#Headers],[State]], 0)</f>
        <v>n/a</v>
      </c>
      <c r="F20" s="37" t="str" cm="1">
        <f t="array" ref="F20">Common_InputFunctions.Utility_DisplayArrayInTable(SourceData_PastureBeef.SourceData_PastureBeef_Liveweight_Data(), Table_SourceData_PastureBeef_Liveweight[[#Headers],[State]], 0)</f>
        <v>Summer</v>
      </c>
      <c r="G20" s="37" cm="1">
        <f t="array" ref="G20">Common_InputFunctions.Utility_DisplayArrayInTable(SourceData_PastureBeef.SourceData_PastureBeef_Liveweight_Data(), Table_SourceData_PastureBeef_Liveweight[[#Headers],[State]], 0)</f>
        <v>170</v>
      </c>
      <c r="H20" s="37" cm="1">
        <f t="array" ref="H20">Common_InputFunctions.Utility_DisplayArrayInTable(SourceData_PastureBeef.SourceData_PastureBeef_Liveweight_Data(), Table_SourceData_PastureBeef_Liveweight[[#Headers],[State]], 0)</f>
        <v>520</v>
      </c>
      <c r="I20" s="37" cm="1">
        <f t="array" ref="I20">Common_InputFunctions.Utility_DisplayArrayInTable(SourceData_PastureBeef.SourceData_PastureBeef_Liveweight_Data(), Table_SourceData_PastureBeef_Liveweight[[#Headers],[State]], 0)</f>
        <v>160</v>
      </c>
      <c r="J20" s="37" cm="1">
        <f t="array" ref="J20">Common_InputFunctions.Utility_DisplayArrayInTable(SourceData_PastureBeef.SourceData_PastureBeef_Liveweight_Data(), Table_SourceData_PastureBeef_Liveweight[[#Headers],[State]], 0)</f>
        <v>360</v>
      </c>
      <c r="K20" s="37" cm="1">
        <f t="array" ref="K20">Common_InputFunctions.Utility_DisplayArrayInTable(SourceData_PastureBeef.SourceData_PastureBeef_Liveweight_Data(), Table_SourceData_PastureBeef_Liveweight[[#Headers],[State]], 0)</f>
        <v>470</v>
      </c>
      <c r="L20" s="37" cm="1">
        <f t="array" ref="L20">Common_InputFunctions.Utility_DisplayArrayInTable(SourceData_PastureBeef.SourceData_PastureBeef_Liveweight_Data(), Table_SourceData_PastureBeef_Liveweight[[#Headers],[State]], 0)</f>
        <v>160</v>
      </c>
      <c r="M20" s="37" cm="1">
        <f t="array" ref="M20">Common_InputFunctions.Utility_DisplayArrayInTable(SourceData_PastureBeef.SourceData_PastureBeef_Liveweight_Data(), Table_SourceData_PastureBeef_Liveweight[[#Headers],[State]], 0)</f>
        <v>420</v>
      </c>
      <c r="S20" s="1" t="s">
        <v>222</v>
      </c>
    </row>
    <row r="21" spans="1:19" ht="20.100000000000001" customHeight="1" x14ac:dyDescent="0.25">
      <c r="D21" s="1" t="str" cm="1">
        <f t="array" ref="D21">Common_InputFunctions.Utility_DisplayArrayInTable(SourceData_PastureBeef.SourceData_PastureBeef_Liveweight_Data(), Table_SourceData_PastureBeef_Liveweight[[#Headers],[State]], 0)</f>
        <v>ACT/NSW</v>
      </c>
      <c r="E21" s="37" t="str" cm="1">
        <f t="array" ref="E21">Common_InputFunctions.Utility_DisplayArrayInTable(SourceData_PastureBeef.SourceData_PastureBeef_Liveweight_Data(), Table_SourceData_PastureBeef_Liveweight[[#Headers],[State]], 0)</f>
        <v>n/a</v>
      </c>
      <c r="F21" s="37" t="str" cm="1">
        <f t="array" ref="F21">Common_InputFunctions.Utility_DisplayArrayInTable(SourceData_PastureBeef.SourceData_PastureBeef_Liveweight_Data(), Table_SourceData_PastureBeef_Liveweight[[#Headers],[State]], 0)</f>
        <v>Autumn</v>
      </c>
      <c r="G21" s="37" cm="1">
        <f t="array" ref="G21">Common_InputFunctions.Utility_DisplayArrayInTable(SourceData_PastureBeef.SourceData_PastureBeef_Liveweight_Data(), Table_SourceData_PastureBeef_Liveweight[[#Headers],[State]], 0)</f>
        <v>240</v>
      </c>
      <c r="H21" s="37" cm="1">
        <f t="array" ref="H21">Common_InputFunctions.Utility_DisplayArrayInTable(SourceData_PastureBeef.SourceData_PastureBeef_Liveweight_Data(), Table_SourceData_PastureBeef_Liveweight[[#Headers],[State]], 0)</f>
        <v>550</v>
      </c>
      <c r="I21" s="37" cm="1">
        <f t="array" ref="I21">Common_InputFunctions.Utility_DisplayArrayInTable(SourceData_PastureBeef.SourceData_PastureBeef_Liveweight_Data(), Table_SourceData_PastureBeef_Liveweight[[#Headers],[State]], 0)</f>
        <v>220</v>
      </c>
      <c r="J21" s="37" cm="1">
        <f t="array" ref="J21">Common_InputFunctions.Utility_DisplayArrayInTable(SourceData_PastureBeef.SourceData_PastureBeef_Liveweight_Data(), Table_SourceData_PastureBeef_Liveweight[[#Headers],[State]], 0)</f>
        <v>390</v>
      </c>
      <c r="K21" s="37" cm="1">
        <f t="array" ref="K21">Common_InputFunctions.Utility_DisplayArrayInTable(SourceData_PastureBeef.SourceData_PastureBeef_Liveweight_Data(), Table_SourceData_PastureBeef_Liveweight[[#Headers],[State]], 0)</f>
        <v>490</v>
      </c>
      <c r="L21" s="37" cm="1">
        <f t="array" ref="L21">Common_InputFunctions.Utility_DisplayArrayInTable(SourceData_PastureBeef.SourceData_PastureBeef_Liveweight_Data(), Table_SourceData_PastureBeef_Liveweight[[#Headers],[State]], 0)</f>
        <v>220</v>
      </c>
      <c r="M21" s="37" cm="1">
        <f t="array" ref="M21">Common_InputFunctions.Utility_DisplayArrayInTable(SourceData_PastureBeef.SourceData_PastureBeef_Liveweight_Data(), Table_SourceData_PastureBeef_Liveweight[[#Headers],[State]], 0)</f>
        <v>450</v>
      </c>
    </row>
    <row r="22" spans="1:19" ht="20.100000000000001" customHeight="1" x14ac:dyDescent="0.25">
      <c r="A22" s="17"/>
      <c r="D22" s="1" t="str" cm="1">
        <f t="array" ref="D22">Common_InputFunctions.Utility_DisplayArrayInTable(SourceData_PastureBeef.SourceData_PastureBeef_Liveweight_Data(), Table_SourceData_PastureBeef_Liveweight[[#Headers],[State]], 0)</f>
        <v>ACT/NSW</v>
      </c>
      <c r="E22" s="37" t="str" cm="1">
        <f t="array" ref="E22">Common_InputFunctions.Utility_DisplayArrayInTable(SourceData_PastureBeef.SourceData_PastureBeef_Liveweight_Data(), Table_SourceData_PastureBeef_Liveweight[[#Headers],[State]], 0)</f>
        <v>n/a</v>
      </c>
      <c r="F22" s="37" t="str" cm="1">
        <f t="array" ref="F22">Common_InputFunctions.Utility_DisplayArrayInTable(SourceData_PastureBeef.SourceData_PastureBeef_Liveweight_Data(), Table_SourceData_PastureBeef_Liveweight[[#Headers],[State]], 0)</f>
        <v>Winter</v>
      </c>
      <c r="G22" s="37" cm="1">
        <f t="array" ref="G22">Common_InputFunctions.Utility_DisplayArrayInTable(SourceData_PastureBeef.SourceData_PastureBeef_Liveweight_Data(), Table_SourceData_PastureBeef_Liveweight[[#Headers],[State]], 0)</f>
        <v>280</v>
      </c>
      <c r="H22" s="37" cm="1">
        <f t="array" ref="H22">Common_InputFunctions.Utility_DisplayArrayInTable(SourceData_PastureBeef.SourceData_PastureBeef_Liveweight_Data(), Table_SourceData_PastureBeef_Liveweight[[#Headers],[State]], 0)</f>
        <v>560</v>
      </c>
      <c r="I22" s="37" cm="1">
        <f t="array" ref="I22">Common_InputFunctions.Utility_DisplayArrayInTable(SourceData_PastureBeef.SourceData_PastureBeef_Liveweight_Data(), Table_SourceData_PastureBeef_Liveweight[[#Headers],[State]], 0)</f>
        <v>260</v>
      </c>
      <c r="J22" s="37" cm="1">
        <f t="array" ref="J22">Common_InputFunctions.Utility_DisplayArrayInTable(SourceData_PastureBeef.SourceData_PastureBeef_Liveweight_Data(), Table_SourceData_PastureBeef_Liveweight[[#Headers],[State]], 0)</f>
        <v>410</v>
      </c>
      <c r="K22" s="37" cm="1">
        <f t="array" ref="K22">Common_InputFunctions.Utility_DisplayArrayInTable(SourceData_PastureBeef.SourceData_PastureBeef_Liveweight_Data(), Table_SourceData_PastureBeef_Liveweight[[#Headers],[State]], 0)</f>
        <v>500</v>
      </c>
      <c r="L22" s="37" cm="1">
        <f t="array" ref="L22">Common_InputFunctions.Utility_DisplayArrayInTable(SourceData_PastureBeef.SourceData_PastureBeef_Liveweight_Data(), Table_SourceData_PastureBeef_Liveweight[[#Headers],[State]], 0)</f>
        <v>260</v>
      </c>
      <c r="M22" s="37" cm="1">
        <f t="array" ref="M22">Common_InputFunctions.Utility_DisplayArrayInTable(SourceData_PastureBeef.SourceData_PastureBeef_Liveweight_Data(), Table_SourceData_PastureBeef_Liveweight[[#Headers],[State]], 0)</f>
        <v>460</v>
      </c>
      <c r="S22" s="37" t="s">
        <v>183</v>
      </c>
    </row>
    <row r="23" spans="1:19" ht="20.100000000000001" customHeight="1" x14ac:dyDescent="0.25">
      <c r="A23" s="17"/>
      <c r="D23" s="1" t="str" cm="1">
        <f t="array" ref="D23">Common_InputFunctions.Utility_DisplayArrayInTable(SourceData_PastureBeef.SourceData_PastureBeef_Liveweight_Data(), Table_SourceData_PastureBeef_Liveweight[[#Headers],[State]], 0)</f>
        <v>South Australia</v>
      </c>
      <c r="E23" s="37" t="str" cm="1">
        <f t="array" ref="E23">Common_InputFunctions.Utility_DisplayArrayInTable(SourceData_PastureBeef.SourceData_PastureBeef_Liveweight_Data(), Table_SourceData_PastureBeef_Liveweight[[#Headers],[State]], 0)</f>
        <v>n/a</v>
      </c>
      <c r="F23" s="37" t="str" cm="1">
        <f t="array" ref="F23">Common_InputFunctions.Utility_DisplayArrayInTable(SourceData_PastureBeef.SourceData_PastureBeef_Liveweight_Data(), Table_SourceData_PastureBeef_Liveweight[[#Headers],[State]], 0)</f>
        <v>Spring</v>
      </c>
      <c r="G23" s="37" cm="1">
        <f t="array" ref="G23">Common_InputFunctions.Utility_DisplayArrayInTable(SourceData_PastureBeef.SourceData_PastureBeef_Liveweight_Data(), Table_SourceData_PastureBeef_Liveweight[[#Headers],[State]], 0)</f>
        <v>250</v>
      </c>
      <c r="H23" s="37" cm="1">
        <f t="array" ref="H23">Common_InputFunctions.Utility_DisplayArrayInTable(SourceData_PastureBeef.SourceData_PastureBeef_Liveweight_Data(), Table_SourceData_PastureBeef_Liveweight[[#Headers],[State]], 0)</f>
        <v>800</v>
      </c>
      <c r="I23" s="37" cm="1">
        <f t="array" ref="I23">Common_InputFunctions.Utility_DisplayArrayInTable(SourceData_PastureBeef.SourceData_PastureBeef_Liveweight_Data(), Table_SourceData_PastureBeef_Liveweight[[#Headers],[State]], 0)</f>
        <v>220</v>
      </c>
      <c r="J23" s="37" cm="1">
        <f t="array" ref="J23">Common_InputFunctions.Utility_DisplayArrayInTable(SourceData_PastureBeef.SourceData_PastureBeef_Liveweight_Data(), Table_SourceData_PastureBeef_Liveweight[[#Headers],[State]], 0)</f>
        <v>400</v>
      </c>
      <c r="K23" s="37" cm="1">
        <f t="array" ref="K23">Common_InputFunctions.Utility_DisplayArrayInTable(SourceData_PastureBeef.SourceData_PastureBeef_Liveweight_Data(), Table_SourceData_PastureBeef_Liveweight[[#Headers],[State]], 0)</f>
        <v>500</v>
      </c>
      <c r="L23" s="37" cm="1">
        <f t="array" ref="L23">Common_InputFunctions.Utility_DisplayArrayInTable(SourceData_PastureBeef.SourceData_PastureBeef_Liveweight_Data(), Table_SourceData_PastureBeef_Liveweight[[#Headers],[State]], 0)</f>
        <v>230</v>
      </c>
      <c r="M23" s="37" cm="1">
        <f t="array" ref="M23">Common_InputFunctions.Utility_DisplayArrayInTable(SourceData_PastureBeef.SourceData_PastureBeef_Liveweight_Data(), Table_SourceData_PastureBeef_Liveweight[[#Headers],[State]], 0)</f>
        <v>420</v>
      </c>
      <c r="S23" s="37" t="s">
        <v>202</v>
      </c>
    </row>
    <row r="24" spans="1:19" ht="20.100000000000001" customHeight="1" x14ac:dyDescent="0.25">
      <c r="A24" s="17"/>
      <c r="D24" s="1" t="str" cm="1">
        <f t="array" ref="D24">Common_InputFunctions.Utility_DisplayArrayInTable(SourceData_PastureBeef.SourceData_PastureBeef_Liveweight_Data(), Table_SourceData_PastureBeef_Liveweight[[#Headers],[State]], 0)</f>
        <v>South Australia</v>
      </c>
      <c r="E24" s="37" t="str" cm="1">
        <f t="array" ref="E24">Common_InputFunctions.Utility_DisplayArrayInTable(SourceData_PastureBeef.SourceData_PastureBeef_Liveweight_Data(), Table_SourceData_PastureBeef_Liveweight[[#Headers],[State]], 0)</f>
        <v>n/a</v>
      </c>
      <c r="F24" s="37" t="str" cm="1">
        <f t="array" ref="F24">Common_InputFunctions.Utility_DisplayArrayInTable(SourceData_PastureBeef.SourceData_PastureBeef_Liveweight_Data(), Table_SourceData_PastureBeef_Liveweight[[#Headers],[State]], 0)</f>
        <v>Summer</v>
      </c>
      <c r="G24" s="37" cm="1">
        <f t="array" ref="G24">Common_InputFunctions.Utility_DisplayArrayInTable(SourceData_PastureBeef.SourceData_PastureBeef_Liveweight_Data(), Table_SourceData_PastureBeef_Liveweight[[#Headers],[State]], 0)</f>
        <v>320</v>
      </c>
      <c r="H24" s="37" cm="1">
        <f t="array" ref="H24">Common_InputFunctions.Utility_DisplayArrayInTable(SourceData_PastureBeef.SourceData_PastureBeef_Liveweight_Data(), Table_SourceData_PastureBeef_Liveweight[[#Headers],[State]], 0)</f>
        <v>800</v>
      </c>
      <c r="I24" s="37" cm="1">
        <f t="array" ref="I24">Common_InputFunctions.Utility_DisplayArrayInTable(SourceData_PastureBeef.SourceData_PastureBeef_Liveweight_Data(), Table_SourceData_PastureBeef_Liveweight[[#Headers],[State]], 0)</f>
        <v>280</v>
      </c>
      <c r="J24" s="37" cm="1">
        <f t="array" ref="J24">Common_InputFunctions.Utility_DisplayArrayInTable(SourceData_PastureBeef.SourceData_PastureBeef_Liveweight_Data(), Table_SourceData_PastureBeef_Liveweight[[#Headers],[State]], 0)</f>
        <v>420</v>
      </c>
      <c r="K24" s="37" cm="1">
        <f t="array" ref="K24">Common_InputFunctions.Utility_DisplayArrayInTable(SourceData_PastureBeef.SourceData_PastureBeef_Liveweight_Data(), Table_SourceData_PastureBeef_Liveweight[[#Headers],[State]], 0)</f>
        <v>500</v>
      </c>
      <c r="L24" s="37" cm="1">
        <f t="array" ref="L24">Common_InputFunctions.Utility_DisplayArrayInTable(SourceData_PastureBeef.SourceData_PastureBeef_Liveweight_Data(), Table_SourceData_PastureBeef_Liveweight[[#Headers],[State]], 0)</f>
        <v>290</v>
      </c>
      <c r="M24" s="37" cm="1">
        <f t="array" ref="M24">Common_InputFunctions.Utility_DisplayArrayInTable(SourceData_PastureBeef.SourceData_PastureBeef_Liveweight_Data(), Table_SourceData_PastureBeef_Liveweight[[#Headers],[State]], 0)</f>
        <v>420</v>
      </c>
    </row>
    <row r="25" spans="1:19" ht="20.100000000000001" customHeight="1" x14ac:dyDescent="0.25">
      <c r="D25" s="1" t="str" cm="1">
        <f t="array" ref="D25">Common_InputFunctions.Utility_DisplayArrayInTable(SourceData_PastureBeef.SourceData_PastureBeef_Liveweight_Data(), Table_SourceData_PastureBeef_Liveweight[[#Headers],[State]], 0)</f>
        <v>South Australia</v>
      </c>
      <c r="E25" s="37" t="str" cm="1">
        <f t="array" ref="E25">Common_InputFunctions.Utility_DisplayArrayInTable(SourceData_PastureBeef.SourceData_PastureBeef_Liveweight_Data(), Table_SourceData_PastureBeef_Liveweight[[#Headers],[State]], 0)</f>
        <v>n/a</v>
      </c>
      <c r="F25" s="37" t="str" cm="1">
        <f t="array" ref="F25">Common_InputFunctions.Utility_DisplayArrayInTable(SourceData_PastureBeef.SourceData_PastureBeef_Liveweight_Data(), Table_SourceData_PastureBeef_Liveweight[[#Headers],[State]], 0)</f>
        <v>Autumn</v>
      </c>
      <c r="G25" s="37" cm="1">
        <f t="array" ref="G25">Common_InputFunctions.Utility_DisplayArrayInTable(SourceData_PastureBeef.SourceData_PastureBeef_Liveweight_Data(), Table_SourceData_PastureBeef_Liveweight[[#Headers],[State]], 0)</f>
        <v>80</v>
      </c>
      <c r="H25" s="37" cm="1">
        <f t="array" ref="H25">Common_InputFunctions.Utility_DisplayArrayInTable(SourceData_PastureBeef.SourceData_PastureBeef_Liveweight_Data(), Table_SourceData_PastureBeef_Liveweight[[#Headers],[State]], 0)</f>
        <v>700</v>
      </c>
      <c r="I25" s="37" cm="1">
        <f t="array" ref="I25">Common_InputFunctions.Utility_DisplayArrayInTable(SourceData_PastureBeef.SourceData_PastureBeef_Liveweight_Data(), Table_SourceData_PastureBeef_Liveweight[[#Headers],[State]], 0)</f>
        <v>70</v>
      </c>
      <c r="J25" s="37" cm="1">
        <f t="array" ref="J25">Common_InputFunctions.Utility_DisplayArrayInTable(SourceData_PastureBeef.SourceData_PastureBeef_Liveweight_Data(), Table_SourceData_PastureBeef_Liveweight[[#Headers],[State]], 0)</f>
        <v>300</v>
      </c>
      <c r="K25" s="37" cm="1">
        <f t="array" ref="K25">Common_InputFunctions.Utility_DisplayArrayInTable(SourceData_PastureBeef.SourceData_PastureBeef_Liveweight_Data(), Table_SourceData_PastureBeef_Liveweight[[#Headers],[State]], 0)</f>
        <v>450</v>
      </c>
      <c r="L25" s="37" cm="1">
        <f t="array" ref="L25">Common_InputFunctions.Utility_DisplayArrayInTable(SourceData_PastureBeef.SourceData_PastureBeef_Liveweight_Data(), Table_SourceData_PastureBeef_Liveweight[[#Headers],[State]], 0)</f>
        <v>75</v>
      </c>
      <c r="M25" s="37" cm="1">
        <f t="array" ref="M25">Common_InputFunctions.Utility_DisplayArrayInTable(SourceData_PastureBeef.SourceData_PastureBeef_Liveweight_Data(), Table_SourceData_PastureBeef_Liveweight[[#Headers],[State]], 0)</f>
        <v>400</v>
      </c>
      <c r="S25" s="1" t="s">
        <v>223</v>
      </c>
    </row>
    <row r="26" spans="1:19" ht="20.100000000000001" customHeight="1" x14ac:dyDescent="0.25">
      <c r="D26" s="1" t="str" cm="1">
        <f t="array" ref="D26">Common_InputFunctions.Utility_DisplayArrayInTable(SourceData_PastureBeef.SourceData_PastureBeef_Liveweight_Data(), Table_SourceData_PastureBeef_Liveweight[[#Headers],[State]], 0)</f>
        <v>South Australia</v>
      </c>
      <c r="E26" s="37" t="str" cm="1">
        <f t="array" ref="E26">Common_InputFunctions.Utility_DisplayArrayInTable(SourceData_PastureBeef.SourceData_PastureBeef_Liveweight_Data(), Table_SourceData_PastureBeef_Liveweight[[#Headers],[State]], 0)</f>
        <v>n/a</v>
      </c>
      <c r="F26" s="37" t="str" cm="1">
        <f t="array" ref="F26">Common_InputFunctions.Utility_DisplayArrayInTable(SourceData_PastureBeef.SourceData_PastureBeef_Liveweight_Data(), Table_SourceData_PastureBeef_Liveweight[[#Headers],[State]], 0)</f>
        <v>Winter</v>
      </c>
      <c r="G26" s="37" cm="1">
        <f t="array" ref="G26">Common_InputFunctions.Utility_DisplayArrayInTable(SourceData_PastureBeef.SourceData_PastureBeef_Liveweight_Data(), Table_SourceData_PastureBeef_Liveweight[[#Headers],[State]], 0)</f>
        <v>160</v>
      </c>
      <c r="H26" s="37" cm="1">
        <f t="array" ref="H26">Common_InputFunctions.Utility_DisplayArrayInTable(SourceData_PastureBeef.SourceData_PastureBeef_Liveweight_Data(), Table_SourceData_PastureBeef_Liveweight[[#Headers],[State]], 0)</f>
        <v>700</v>
      </c>
      <c r="I26" s="37" cm="1">
        <f t="array" ref="I26">Common_InputFunctions.Utility_DisplayArrayInTable(SourceData_PastureBeef.SourceData_PastureBeef_Liveweight_Data(), Table_SourceData_PastureBeef_Liveweight[[#Headers],[State]], 0)</f>
        <v>140</v>
      </c>
      <c r="J26" s="37" cm="1">
        <f t="array" ref="J26">Common_InputFunctions.Utility_DisplayArrayInTable(SourceData_PastureBeef.SourceData_PastureBeef_Liveweight_Data(), Table_SourceData_PastureBeef_Liveweight[[#Headers],[State]], 0)</f>
        <v>350</v>
      </c>
      <c r="K26" s="37" cm="1">
        <f t="array" ref="K26">Common_InputFunctions.Utility_DisplayArrayInTable(SourceData_PastureBeef.SourceData_PastureBeef_Liveweight_Data(), Table_SourceData_PastureBeef_Liveweight[[#Headers],[State]], 0)</f>
        <v>450</v>
      </c>
      <c r="L26" s="37" cm="1">
        <f t="array" ref="L26">Common_InputFunctions.Utility_DisplayArrayInTable(SourceData_PastureBeef.SourceData_PastureBeef_Liveweight_Data(), Table_SourceData_PastureBeef_Liveweight[[#Headers],[State]], 0)</f>
        <v>150</v>
      </c>
      <c r="M26" s="37" cm="1">
        <f t="array" ref="M26">Common_InputFunctions.Utility_DisplayArrayInTable(SourceData_PastureBeef.SourceData_PastureBeef_Liveweight_Data(), Table_SourceData_PastureBeef_Liveweight[[#Headers],[State]], 0)</f>
        <v>400</v>
      </c>
    </row>
    <row r="27" spans="1:19" ht="20.100000000000001" customHeight="1" x14ac:dyDescent="0.25">
      <c r="D27" s="1" t="str" cm="1">
        <f t="array" ref="D27">Common_InputFunctions.Utility_DisplayArrayInTable(SourceData_PastureBeef.SourceData_PastureBeef_Liveweight_Data(), Table_SourceData_PastureBeef_Liveweight[[#Headers],[State]], 0)</f>
        <v>Tasmania</v>
      </c>
      <c r="E27" s="37" t="str" cm="1">
        <f t="array" ref="E27">Common_InputFunctions.Utility_DisplayArrayInTable(SourceData_PastureBeef.SourceData_PastureBeef_Liveweight_Data(), Table_SourceData_PastureBeef_Liveweight[[#Headers],[State]], 0)</f>
        <v>n/a</v>
      </c>
      <c r="F27" s="37" t="str" cm="1">
        <f t="array" ref="F27">Common_InputFunctions.Utility_DisplayArrayInTable(SourceData_PastureBeef.SourceData_PastureBeef_Liveweight_Data(), Table_SourceData_PastureBeef_Liveweight[[#Headers],[State]], 0)</f>
        <v>Spring</v>
      </c>
      <c r="G27" s="37" cm="1">
        <f t="array" ref="G27">Common_InputFunctions.Utility_DisplayArrayInTable(SourceData_PastureBeef.SourceData_PastureBeef_Liveweight_Data(), Table_SourceData_PastureBeef_Liveweight[[#Headers],[State]], 0)</f>
        <v>105</v>
      </c>
      <c r="H27" s="37" cm="1">
        <f t="array" ref="H27">Common_InputFunctions.Utility_DisplayArrayInTable(SourceData_PastureBeef.SourceData_PastureBeef_Liveweight_Data(), Table_SourceData_PastureBeef_Liveweight[[#Headers],[State]], 0)</f>
        <v>700</v>
      </c>
      <c r="I27" s="37" cm="1">
        <f t="array" ref="I27">Common_InputFunctions.Utility_DisplayArrayInTable(SourceData_PastureBeef.SourceData_PastureBeef_Liveweight_Data(), Table_SourceData_PastureBeef_Liveweight[[#Headers],[State]], 0)</f>
        <v>85</v>
      </c>
      <c r="J27" s="37" cm="1">
        <f t="array" ref="J27">Common_InputFunctions.Utility_DisplayArrayInTable(SourceData_PastureBeef.SourceData_PastureBeef_Liveweight_Data(), Table_SourceData_PastureBeef_Liveweight[[#Headers],[State]], 0)</f>
        <v>300</v>
      </c>
      <c r="K27" s="37" cm="1">
        <f t="array" ref="K27">Common_InputFunctions.Utility_DisplayArrayInTable(SourceData_PastureBeef.SourceData_PastureBeef_Liveweight_Data(), Table_SourceData_PastureBeef_Liveweight[[#Headers],[State]], 0)</f>
        <v>490</v>
      </c>
      <c r="L27" s="37" cm="1">
        <f t="array" ref="L27">Common_InputFunctions.Utility_DisplayArrayInTable(SourceData_PastureBeef.SourceData_PastureBeef_Liveweight_Data(), Table_SourceData_PastureBeef_Liveweight[[#Headers],[State]], 0)</f>
        <v>90</v>
      </c>
      <c r="M27" s="37" cm="1">
        <f t="array" ref="M27">Common_InputFunctions.Utility_DisplayArrayInTable(SourceData_PastureBeef.SourceData_PastureBeef_Liveweight_Data(), Table_SourceData_PastureBeef_Liveweight[[#Headers],[State]], 0)</f>
        <v>480</v>
      </c>
      <c r="S27" s="37" t="s">
        <v>183</v>
      </c>
    </row>
    <row r="28" spans="1:19" ht="20.100000000000001" customHeight="1" x14ac:dyDescent="0.25">
      <c r="D28" s="1" t="str" cm="1">
        <f t="array" ref="D28">Common_InputFunctions.Utility_DisplayArrayInTable(SourceData_PastureBeef.SourceData_PastureBeef_Liveweight_Data(), Table_SourceData_PastureBeef_Liveweight[[#Headers],[State]], 0)</f>
        <v>Tasmania</v>
      </c>
      <c r="E28" s="37" t="str" cm="1">
        <f t="array" ref="E28">Common_InputFunctions.Utility_DisplayArrayInTable(SourceData_PastureBeef.SourceData_PastureBeef_Liveweight_Data(), Table_SourceData_PastureBeef_Liveweight[[#Headers],[State]], 0)</f>
        <v>n/a</v>
      </c>
      <c r="F28" s="37" t="str" cm="1">
        <f t="array" ref="F28">Common_InputFunctions.Utility_DisplayArrayInTable(SourceData_PastureBeef.SourceData_PastureBeef_Liveweight_Data(), Table_SourceData_PastureBeef_Liveweight[[#Headers],[State]], 0)</f>
        <v>Summer</v>
      </c>
      <c r="G28" s="37" cm="1">
        <f t="array" ref="G28">Common_InputFunctions.Utility_DisplayArrayInTable(SourceData_PastureBeef.SourceData_PastureBeef_Liveweight_Data(), Table_SourceData_PastureBeef_Liveweight[[#Headers],[State]], 0)</f>
        <v>480</v>
      </c>
      <c r="H28" s="37" cm="1">
        <f t="array" ref="H28">Common_InputFunctions.Utility_DisplayArrayInTable(SourceData_PastureBeef.SourceData_PastureBeef_Liveweight_Data(), Table_SourceData_PastureBeef_Liveweight[[#Headers],[State]], 0)</f>
        <v>750</v>
      </c>
      <c r="I28" s="37" cm="1">
        <f t="array" ref="I28">Common_InputFunctions.Utility_DisplayArrayInTable(SourceData_PastureBeef.SourceData_PastureBeef_Liveweight_Data(), Table_SourceData_PastureBeef_Liveweight[[#Headers],[State]], 0)</f>
        <v>150</v>
      </c>
      <c r="J28" s="37" cm="1">
        <f t="array" ref="J28">Common_InputFunctions.Utility_DisplayArrayInTable(SourceData_PastureBeef.SourceData_PastureBeef_Liveweight_Data(), Table_SourceData_PastureBeef_Liveweight[[#Headers],[State]], 0)</f>
        <v>350</v>
      </c>
      <c r="K28" s="37" cm="1">
        <f t="array" ref="K28">Common_InputFunctions.Utility_DisplayArrayInTable(SourceData_PastureBeef.SourceData_PastureBeef_Liveweight_Data(), Table_SourceData_PastureBeef_Liveweight[[#Headers],[State]], 0)</f>
        <v>530</v>
      </c>
      <c r="L28" s="37" cm="1">
        <f t="array" ref="L28">Common_InputFunctions.Utility_DisplayArrayInTable(SourceData_PastureBeef.SourceData_PastureBeef_Liveweight_Data(), Table_SourceData_PastureBeef_Liveweight[[#Headers],[State]], 0)</f>
        <v>160</v>
      </c>
      <c r="M28" s="37" cm="1">
        <f t="array" ref="M28">Common_InputFunctions.Utility_DisplayArrayInTable(SourceData_PastureBeef.SourceData_PastureBeef_Liveweight_Data(), Table_SourceData_PastureBeef_Liveweight[[#Headers],[State]], 0)</f>
        <v>460</v>
      </c>
      <c r="S28" s="37" t="s">
        <v>202</v>
      </c>
    </row>
    <row r="29" spans="1:19" ht="20.100000000000001" customHeight="1" x14ac:dyDescent="0.25">
      <c r="D29" s="1" t="str" cm="1">
        <f t="array" ref="D29">Common_InputFunctions.Utility_DisplayArrayInTable(SourceData_PastureBeef.SourceData_PastureBeef_Liveweight_Data(), Table_SourceData_PastureBeef_Liveweight[[#Headers],[State]], 0)</f>
        <v>Tasmania</v>
      </c>
      <c r="E29" s="37" t="str" cm="1">
        <f t="array" ref="E29">Common_InputFunctions.Utility_DisplayArrayInTable(SourceData_PastureBeef.SourceData_PastureBeef_Liveweight_Data(), Table_SourceData_PastureBeef_Liveweight[[#Headers],[State]], 0)</f>
        <v>n/a</v>
      </c>
      <c r="F29" s="37" t="str" cm="1">
        <f t="array" ref="F29">Common_InputFunctions.Utility_DisplayArrayInTable(SourceData_PastureBeef.SourceData_PastureBeef_Liveweight_Data(), Table_SourceData_PastureBeef_Liveweight[[#Headers],[State]], 0)</f>
        <v>Autumn</v>
      </c>
      <c r="G29" s="37" cm="1">
        <f t="array" ref="G29">Common_InputFunctions.Utility_DisplayArrayInTable(SourceData_PastureBeef.SourceData_PastureBeef_Liveweight_Data(), Table_SourceData_PastureBeef_Liveweight[[#Headers],[State]], 0)</f>
        <v>250</v>
      </c>
      <c r="H29" s="37" cm="1">
        <f t="array" ref="H29">Common_InputFunctions.Utility_DisplayArrayInTable(SourceData_PastureBeef.SourceData_PastureBeef_Liveweight_Data(), Table_SourceData_PastureBeef_Liveweight[[#Headers],[State]], 0)</f>
        <v>725</v>
      </c>
      <c r="I29" s="37" cm="1">
        <f t="array" ref="I29">Common_InputFunctions.Utility_DisplayArrayInTable(SourceData_PastureBeef.SourceData_PastureBeef_Liveweight_Data(), Table_SourceData_PastureBeef_Liveweight[[#Headers],[State]], 0)</f>
        <v>200</v>
      </c>
      <c r="J29" s="37" cm="1">
        <f t="array" ref="J29">Common_InputFunctions.Utility_DisplayArrayInTable(SourceData_PastureBeef.SourceData_PastureBeef_Liveweight_Data(), Table_SourceData_PastureBeef_Liveweight[[#Headers],[State]], 0)</f>
        <v>360</v>
      </c>
      <c r="K29" s="37" cm="1">
        <f t="array" ref="K29">Common_InputFunctions.Utility_DisplayArrayInTable(SourceData_PastureBeef.SourceData_PastureBeef_Liveweight_Data(), Table_SourceData_PastureBeef_Liveweight[[#Headers],[State]], 0)</f>
        <v>500</v>
      </c>
      <c r="L29" s="37" cm="1">
        <f t="array" ref="L29">Common_InputFunctions.Utility_DisplayArrayInTable(SourceData_PastureBeef.SourceData_PastureBeef_Liveweight_Data(), Table_SourceData_PastureBeef_Liveweight[[#Headers],[State]], 0)</f>
        <v>215</v>
      </c>
      <c r="M29" s="37" cm="1">
        <f t="array" ref="M29">Common_InputFunctions.Utility_DisplayArrayInTable(SourceData_PastureBeef.SourceData_PastureBeef_Liveweight_Data(), Table_SourceData_PastureBeef_Liveweight[[#Headers],[State]], 0)</f>
        <v>490</v>
      </c>
    </row>
    <row r="30" spans="1:19" ht="20.100000000000001" customHeight="1" x14ac:dyDescent="0.25">
      <c r="D30" s="1" t="str" cm="1">
        <f t="array" ref="D30">Common_InputFunctions.Utility_DisplayArrayInTable(SourceData_PastureBeef.SourceData_PastureBeef_Liveweight_Data(), Table_SourceData_PastureBeef_Liveweight[[#Headers],[State]], 0)</f>
        <v>Tasmania</v>
      </c>
      <c r="E30" s="37" t="str" cm="1">
        <f t="array" ref="E30">Common_InputFunctions.Utility_DisplayArrayInTable(SourceData_PastureBeef.SourceData_PastureBeef_Liveweight_Data(), Table_SourceData_PastureBeef_Liveweight[[#Headers],[State]], 0)</f>
        <v>n/a</v>
      </c>
      <c r="F30" s="37" t="str" cm="1">
        <f t="array" ref="F30">Common_InputFunctions.Utility_DisplayArrayInTable(SourceData_PastureBeef.SourceData_PastureBeef_Liveweight_Data(), Table_SourceData_PastureBeef_Liveweight[[#Headers],[State]], 0)</f>
        <v>Winter</v>
      </c>
      <c r="G30" s="37" cm="1">
        <f t="array" ref="G30">Common_InputFunctions.Utility_DisplayArrayInTable(SourceData_PastureBeef.SourceData_PastureBeef_Liveweight_Data(), Table_SourceData_PastureBeef_Liveweight[[#Headers],[State]], 0)</f>
        <v>260</v>
      </c>
      <c r="H30" s="37" cm="1">
        <f t="array" ref="H30">Common_InputFunctions.Utility_DisplayArrayInTable(SourceData_PastureBeef.SourceData_PastureBeef_Liveweight_Data(), Table_SourceData_PastureBeef_Liveweight[[#Headers],[State]], 0)</f>
        <v>700</v>
      </c>
      <c r="I30" s="37" cm="1">
        <f t="array" ref="I30">Common_InputFunctions.Utility_DisplayArrayInTable(SourceData_PastureBeef.SourceData_PastureBeef_Liveweight_Data(), Table_SourceData_PastureBeef_Liveweight[[#Headers],[State]], 0)</f>
        <v>210</v>
      </c>
      <c r="J30" s="37" cm="1">
        <f t="array" ref="J30">Common_InputFunctions.Utility_DisplayArrayInTable(SourceData_PastureBeef.SourceData_PastureBeef_Liveweight_Data(), Table_SourceData_PastureBeef_Liveweight[[#Headers],[State]], 0)</f>
        <v>380</v>
      </c>
      <c r="K30" s="37" cm="1">
        <f t="array" ref="K30">Common_InputFunctions.Utility_DisplayArrayInTable(SourceData_PastureBeef.SourceData_PastureBeef_Liveweight_Data(), Table_SourceData_PastureBeef_Liveweight[[#Headers],[State]], 0)</f>
        <v>460</v>
      </c>
      <c r="L30" s="37" cm="1">
        <f t="array" ref="L30">Common_InputFunctions.Utility_DisplayArrayInTable(SourceData_PastureBeef.SourceData_PastureBeef_Liveweight_Data(), Table_SourceData_PastureBeef_Liveweight[[#Headers],[State]], 0)</f>
        <v>230</v>
      </c>
      <c r="M30" s="37" cm="1">
        <f t="array" ref="M30">Common_InputFunctions.Utility_DisplayArrayInTable(SourceData_PastureBeef.SourceData_PastureBeef_Liveweight_Data(), Table_SourceData_PastureBeef_Liveweight[[#Headers],[State]], 0)</f>
        <v>470</v>
      </c>
    </row>
    <row r="31" spans="1:19" ht="20.100000000000001" customHeight="1" x14ac:dyDescent="0.25">
      <c r="D31" s="1" t="str" cm="1">
        <f t="array" ref="D31">Common_InputFunctions.Utility_DisplayArrayInTable(SourceData_PastureBeef.SourceData_PastureBeef_Liveweight_Data(), Table_SourceData_PastureBeef_Liveweight[[#Headers],[State]], 0)</f>
        <v>Victoria</v>
      </c>
      <c r="E31" s="37" t="str" cm="1">
        <f t="array" ref="E31">Common_InputFunctions.Utility_DisplayArrayInTable(SourceData_PastureBeef.SourceData_PastureBeef_Liveweight_Data(), Table_SourceData_PastureBeef_Liveweight[[#Headers],[State]], 0)</f>
        <v>n/a</v>
      </c>
      <c r="F31" s="37" t="str" cm="1">
        <f t="array" ref="F31">Common_InputFunctions.Utility_DisplayArrayInTable(SourceData_PastureBeef.SourceData_PastureBeef_Liveweight_Data(), Table_SourceData_PastureBeef_Liveweight[[#Headers],[State]], 0)</f>
        <v>Spring</v>
      </c>
      <c r="G31" s="37" cm="1">
        <f t="array" ref="G31">Common_InputFunctions.Utility_DisplayArrayInTable(SourceData_PastureBeef.SourceData_PastureBeef_Liveweight_Data(), Table_SourceData_PastureBeef_Liveweight[[#Headers],[State]], 0)</f>
        <v>250</v>
      </c>
      <c r="H31" s="37" cm="1">
        <f t="array" ref="H31">Common_InputFunctions.Utility_DisplayArrayInTable(SourceData_PastureBeef.SourceData_PastureBeef_Liveweight_Data(), Table_SourceData_PastureBeef_Liveweight[[#Headers],[State]], 0)</f>
        <v>820</v>
      </c>
      <c r="I31" s="37" cm="1">
        <f t="array" ref="I31">Common_InputFunctions.Utility_DisplayArrayInTable(SourceData_PastureBeef.SourceData_PastureBeef_Liveweight_Data(), Table_SourceData_PastureBeef_Liveweight[[#Headers],[State]], 0)</f>
        <v>240</v>
      </c>
      <c r="J31" s="37" cm="1">
        <f t="array" ref="J31">Common_InputFunctions.Utility_DisplayArrayInTable(SourceData_PastureBeef.SourceData_PastureBeef_Liveweight_Data(), Table_SourceData_PastureBeef_Liveweight[[#Headers],[State]], 0)</f>
        <v>410</v>
      </c>
      <c r="K31" s="37" cm="1">
        <f t="array" ref="K31">Common_InputFunctions.Utility_DisplayArrayInTable(SourceData_PastureBeef.SourceData_PastureBeef_Liveweight_Data(), Table_SourceData_PastureBeef_Liveweight[[#Headers],[State]], 0)</f>
        <v>560</v>
      </c>
      <c r="L31" s="37" cm="1">
        <f t="array" ref="L31">Common_InputFunctions.Utility_DisplayArrayInTable(SourceData_PastureBeef.SourceData_PastureBeef_Liveweight_Data(), Table_SourceData_PastureBeef_Liveweight[[#Headers],[State]], 0)</f>
        <v>240</v>
      </c>
      <c r="M31" s="37" cm="1">
        <f t="array" ref="M31">Common_InputFunctions.Utility_DisplayArrayInTable(SourceData_PastureBeef.SourceData_PastureBeef_Liveweight_Data(), Table_SourceData_PastureBeef_Liveweight[[#Headers],[State]], 0)</f>
        <v>510</v>
      </c>
    </row>
    <row r="32" spans="1:19" ht="20.100000000000001" customHeight="1" x14ac:dyDescent="0.25">
      <c r="D32" s="1" t="str" cm="1">
        <f t="array" ref="D32">Common_InputFunctions.Utility_DisplayArrayInTable(SourceData_PastureBeef.SourceData_PastureBeef_Liveweight_Data(), Table_SourceData_PastureBeef_Liveweight[[#Headers],[State]], 0)</f>
        <v>Victoria</v>
      </c>
      <c r="E32" s="37" t="str" cm="1">
        <f t="array" ref="E32">Common_InputFunctions.Utility_DisplayArrayInTable(SourceData_PastureBeef.SourceData_PastureBeef_Liveweight_Data(), Table_SourceData_PastureBeef_Liveweight[[#Headers],[State]], 0)</f>
        <v>n/a</v>
      </c>
      <c r="F32" s="37" t="str" cm="1">
        <f t="array" ref="F32">Common_InputFunctions.Utility_DisplayArrayInTable(SourceData_PastureBeef.SourceData_PastureBeef_Liveweight_Data(), Table_SourceData_PastureBeef_Liveweight[[#Headers],[State]], 0)</f>
        <v>Summer</v>
      </c>
      <c r="G32" s="37" cm="1">
        <f t="array" ref="G32">Common_InputFunctions.Utility_DisplayArrayInTable(SourceData_PastureBeef.SourceData_PastureBeef_Liveweight_Data(), Table_SourceData_PastureBeef_Liveweight[[#Headers],[State]], 0)</f>
        <v>280</v>
      </c>
      <c r="H32" s="37" cm="1">
        <f t="array" ref="H32">Common_InputFunctions.Utility_DisplayArrayInTable(SourceData_PastureBeef.SourceData_PastureBeef_Liveweight_Data(), Table_SourceData_PastureBeef_Liveweight[[#Headers],[State]], 0)</f>
        <v>850</v>
      </c>
      <c r="I32" s="37" cm="1">
        <f t="array" ref="I32">Common_InputFunctions.Utility_DisplayArrayInTable(SourceData_PastureBeef.SourceData_PastureBeef_Liveweight_Data(), Table_SourceData_PastureBeef_Liveweight[[#Headers],[State]], 0)</f>
        <v>260</v>
      </c>
      <c r="J32" s="37" cm="1">
        <f t="array" ref="J32">Common_InputFunctions.Utility_DisplayArrayInTable(SourceData_PastureBeef.SourceData_PastureBeef_Liveweight_Data(), Table_SourceData_PastureBeef_Liveweight[[#Headers],[State]], 0)</f>
        <v>440</v>
      </c>
      <c r="K32" s="37" cm="1">
        <f t="array" ref="K32">Common_InputFunctions.Utility_DisplayArrayInTable(SourceData_PastureBeef.SourceData_PastureBeef_Liveweight_Data(), Table_SourceData_PastureBeef_Liveweight[[#Headers],[State]], 0)</f>
        <v>550</v>
      </c>
      <c r="L32" s="37" cm="1">
        <f t="array" ref="L32">Common_InputFunctions.Utility_DisplayArrayInTable(SourceData_PastureBeef.SourceData_PastureBeef_Liveweight_Data(), Table_SourceData_PastureBeef_Liveweight[[#Headers],[State]], 0)</f>
        <v>270</v>
      </c>
      <c r="M32" s="37" cm="1">
        <f t="array" ref="M32">Common_InputFunctions.Utility_DisplayArrayInTable(SourceData_PastureBeef.SourceData_PastureBeef_Liveweight_Data(), Table_SourceData_PastureBeef_Liveweight[[#Headers],[State]], 0)</f>
        <v>520</v>
      </c>
    </row>
    <row r="33" spans="4:13" ht="20.100000000000001" customHeight="1" x14ac:dyDescent="0.25">
      <c r="D33" s="1" t="str" cm="1">
        <f t="array" ref="D33">Common_InputFunctions.Utility_DisplayArrayInTable(SourceData_PastureBeef.SourceData_PastureBeef_Liveweight_Data(), Table_SourceData_PastureBeef_Liveweight[[#Headers],[State]], 0)</f>
        <v>Victoria</v>
      </c>
      <c r="E33" s="37" t="str" cm="1">
        <f t="array" ref="E33">Common_InputFunctions.Utility_DisplayArrayInTable(SourceData_PastureBeef.SourceData_PastureBeef_Liveweight_Data(), Table_SourceData_PastureBeef_Liveweight[[#Headers],[State]], 0)</f>
        <v>n/a</v>
      </c>
      <c r="F33" s="37" t="str" cm="1">
        <f t="array" ref="F33">Common_InputFunctions.Utility_DisplayArrayInTable(SourceData_PastureBeef.SourceData_PastureBeef_Liveweight_Data(), Table_SourceData_PastureBeef_Liveweight[[#Headers],[State]], 0)</f>
        <v>Autumn</v>
      </c>
      <c r="G33" s="37" cm="1">
        <f t="array" ref="G33">Common_InputFunctions.Utility_DisplayArrayInTable(SourceData_PastureBeef.SourceData_PastureBeef_Liveweight_Data(), Table_SourceData_PastureBeef_Liveweight[[#Headers],[State]], 0)</f>
        <v>100</v>
      </c>
      <c r="H33" s="37" cm="1">
        <f t="array" ref="H33">Common_InputFunctions.Utility_DisplayArrayInTable(SourceData_PastureBeef.SourceData_PastureBeef_Liveweight_Data(), Table_SourceData_PastureBeef_Liveweight[[#Headers],[State]], 0)</f>
        <v>700</v>
      </c>
      <c r="I33" s="37" cm="1">
        <f t="array" ref="I33">Common_InputFunctions.Utility_DisplayArrayInTable(SourceData_PastureBeef.SourceData_PastureBeef_Liveweight_Data(), Table_SourceData_PastureBeef_Liveweight[[#Headers],[State]], 0)</f>
        <v>95</v>
      </c>
      <c r="J33" s="37" cm="1">
        <f t="array" ref="J33">Common_InputFunctions.Utility_DisplayArrayInTable(SourceData_PastureBeef.SourceData_PastureBeef_Liveweight_Data(), Table_SourceData_PastureBeef_Liveweight[[#Headers],[State]], 0)</f>
        <v>300</v>
      </c>
      <c r="K33" s="37" cm="1">
        <f t="array" ref="K33">Common_InputFunctions.Utility_DisplayArrayInTable(SourceData_PastureBeef.SourceData_PastureBeef_Liveweight_Data(), Table_SourceData_PastureBeef_Liveweight[[#Headers],[State]], 0)</f>
        <v>450</v>
      </c>
      <c r="L33" s="37" cm="1">
        <f t="array" ref="L33">Common_InputFunctions.Utility_DisplayArrayInTable(SourceData_PastureBeef.SourceData_PastureBeef_Liveweight_Data(), Table_SourceData_PastureBeef_Liveweight[[#Headers],[State]], 0)</f>
        <v>95</v>
      </c>
      <c r="M33" s="37" cm="1">
        <f t="array" ref="M33">Common_InputFunctions.Utility_DisplayArrayInTable(SourceData_PastureBeef.SourceData_PastureBeef_Liveweight_Data(), Table_SourceData_PastureBeef_Liveweight[[#Headers],[State]], 0)</f>
        <v>410</v>
      </c>
    </row>
    <row r="34" spans="4:13" ht="20.100000000000001" customHeight="1" x14ac:dyDescent="0.25">
      <c r="D34" s="1" t="str" cm="1">
        <f t="array" ref="D34">Common_InputFunctions.Utility_DisplayArrayInTable(SourceData_PastureBeef.SourceData_PastureBeef_Liveweight_Data(), Table_SourceData_PastureBeef_Liveweight[[#Headers],[State]], 0)</f>
        <v>Victoria</v>
      </c>
      <c r="E34" s="37" t="str" cm="1">
        <f t="array" ref="E34">Common_InputFunctions.Utility_DisplayArrayInTable(SourceData_PastureBeef.SourceData_PastureBeef_Liveweight_Data(), Table_SourceData_PastureBeef_Liveweight[[#Headers],[State]], 0)</f>
        <v>n/a</v>
      </c>
      <c r="F34" s="37" t="str" cm="1">
        <f t="array" ref="F34">Common_InputFunctions.Utility_DisplayArrayInTable(SourceData_PastureBeef.SourceData_PastureBeef_Liveweight_Data(), Table_SourceData_PastureBeef_Liveweight[[#Headers],[State]], 0)</f>
        <v>Winter</v>
      </c>
      <c r="G34" s="37" cm="1">
        <f t="array" ref="G34">Common_InputFunctions.Utility_DisplayArrayInTable(SourceData_PastureBeef.SourceData_PastureBeef_Liveweight_Data(), Table_SourceData_PastureBeef_Liveweight[[#Headers],[State]], 0)</f>
        <v>150</v>
      </c>
      <c r="H34" s="37" cm="1">
        <f t="array" ref="H34">Common_InputFunctions.Utility_DisplayArrayInTable(SourceData_PastureBeef.SourceData_PastureBeef_Liveweight_Data(), Table_SourceData_PastureBeef_Liveweight[[#Headers],[State]], 0)</f>
        <v>720</v>
      </c>
      <c r="I34" s="37" cm="1">
        <f t="array" ref="I34">Common_InputFunctions.Utility_DisplayArrayInTable(SourceData_PastureBeef.SourceData_PastureBeef_Liveweight_Data(), Table_SourceData_PastureBeef_Liveweight[[#Headers],[State]], 0)</f>
        <v>140</v>
      </c>
      <c r="J34" s="37" cm="1">
        <f t="array" ref="J34">Common_InputFunctions.Utility_DisplayArrayInTable(SourceData_PastureBeef.SourceData_PastureBeef_Liveweight_Data(), Table_SourceData_PastureBeef_Liveweight[[#Headers],[State]], 0)</f>
        <v>320</v>
      </c>
      <c r="K34" s="37" cm="1">
        <f t="array" ref="K34">Common_InputFunctions.Utility_DisplayArrayInTable(SourceData_PastureBeef.SourceData_PastureBeef_Liveweight_Data(), Table_SourceData_PastureBeef_Liveweight[[#Headers],[State]], 0)</f>
        <v>470</v>
      </c>
      <c r="L34" s="37" cm="1">
        <f t="array" ref="L34">Common_InputFunctions.Utility_DisplayArrayInTable(SourceData_PastureBeef.SourceData_PastureBeef_Liveweight_Data(), Table_SourceData_PastureBeef_Liveweight[[#Headers],[State]], 0)</f>
        <v>140</v>
      </c>
      <c r="M34" s="37" cm="1">
        <f t="array" ref="M34">Common_InputFunctions.Utility_DisplayArrayInTable(SourceData_PastureBeef.SourceData_PastureBeef_Liveweight_Data(), Table_SourceData_PastureBeef_Liveweight[[#Headers],[State]], 0)</f>
        <v>440</v>
      </c>
    </row>
    <row r="35" spans="4:13" ht="20.100000000000001" customHeight="1" x14ac:dyDescent="0.25">
      <c r="D35" s="1" t="str" cm="1">
        <f t="array" ref="D35">Common_InputFunctions.Utility_DisplayArrayInTable(SourceData_PastureBeef.SourceData_PastureBeef_Liveweight_Data(), Table_SourceData_PastureBeef_Liveweight[[#Headers],[State]], 0)</f>
        <v>Western Australia</v>
      </c>
      <c r="E35" s="37" t="str" cm="1">
        <f t="array" ref="E35">Common_InputFunctions.Utility_DisplayArrayInTable(SourceData_PastureBeef.SourceData_PastureBeef_Liveweight_Data(), Table_SourceData_PastureBeef_Liveweight[[#Headers],[State]], 0)</f>
        <v>South West</v>
      </c>
      <c r="F35" s="37" t="str" cm="1">
        <f t="array" ref="F35">Common_InputFunctions.Utility_DisplayArrayInTable(SourceData_PastureBeef.SourceData_PastureBeef_Liveweight_Data(), Table_SourceData_PastureBeef_Liveweight[[#Headers],[State]], 0)</f>
        <v>Spring</v>
      </c>
      <c r="G35" s="37" cm="1">
        <f t="array" ref="G35">Common_InputFunctions.Utility_DisplayArrayInTable(SourceData_PastureBeef.SourceData_PastureBeef_Liveweight_Data(), Table_SourceData_PastureBeef_Liveweight[[#Headers],[State]], 0)</f>
        <v>340</v>
      </c>
      <c r="H35" s="37" cm="1">
        <f t="array" ref="H35">Common_InputFunctions.Utility_DisplayArrayInTable(SourceData_PastureBeef.SourceData_PastureBeef_Liveweight_Data(), Table_SourceData_PastureBeef_Liveweight[[#Headers],[State]], 0)</f>
        <v>800</v>
      </c>
      <c r="I35" s="37" cm="1">
        <f t="array" ref="I35">Common_InputFunctions.Utility_DisplayArrayInTable(SourceData_PastureBeef.SourceData_PastureBeef_Liveweight_Data(), Table_SourceData_PastureBeef_Liveweight[[#Headers],[State]], 0)</f>
        <v>260</v>
      </c>
      <c r="J35" s="37" cm="1">
        <f t="array" ref="J35">Common_InputFunctions.Utility_DisplayArrayInTable(SourceData_PastureBeef.SourceData_PastureBeef_Liveweight_Data(), Table_SourceData_PastureBeef_Liveweight[[#Headers],[State]], 0)</f>
        <v>420</v>
      </c>
      <c r="K35" s="37" cm="1">
        <f t="array" ref="K35">Common_InputFunctions.Utility_DisplayArrayInTable(SourceData_PastureBeef.SourceData_PastureBeef_Liveweight_Data(), Table_SourceData_PastureBeef_Liveweight[[#Headers],[State]], 0)</f>
        <v>550</v>
      </c>
      <c r="L35" s="37" cm="1">
        <f t="array" ref="L35">Common_InputFunctions.Utility_DisplayArrayInTable(SourceData_PastureBeef.SourceData_PastureBeef_Liveweight_Data(), Table_SourceData_PastureBeef_Liveweight[[#Headers],[State]], 0)</f>
        <v>300</v>
      </c>
      <c r="M35" s="37" cm="1">
        <f t="array" ref="M35">Common_InputFunctions.Utility_DisplayArrayInTable(SourceData_PastureBeef.SourceData_PastureBeef_Liveweight_Data(), Table_SourceData_PastureBeef_Liveweight[[#Headers],[State]], 0)</f>
        <v>480</v>
      </c>
    </row>
    <row r="36" spans="4:13" ht="20.100000000000001" customHeight="1" x14ac:dyDescent="0.25">
      <c r="D36" s="1" t="str" cm="1">
        <f t="array" ref="D36">Common_InputFunctions.Utility_DisplayArrayInTable(SourceData_PastureBeef.SourceData_PastureBeef_Liveweight_Data(), Table_SourceData_PastureBeef_Liveweight[[#Headers],[State]], 0)</f>
        <v>Western Australia</v>
      </c>
      <c r="E36" s="37" t="str" cm="1">
        <f t="array" ref="E36">Common_InputFunctions.Utility_DisplayArrayInTable(SourceData_PastureBeef.SourceData_PastureBeef_Liveweight_Data(), Table_SourceData_PastureBeef_Liveweight[[#Headers],[State]], 0)</f>
        <v>South West</v>
      </c>
      <c r="F36" s="37" t="str" cm="1">
        <f t="array" ref="F36">Common_InputFunctions.Utility_DisplayArrayInTable(SourceData_PastureBeef.SourceData_PastureBeef_Liveweight_Data(), Table_SourceData_PastureBeef_Liveweight[[#Headers],[State]], 0)</f>
        <v>Summer</v>
      </c>
      <c r="G36" s="37" cm="1">
        <f t="array" ref="G36">Common_InputFunctions.Utility_DisplayArrayInTable(SourceData_PastureBeef.SourceData_PastureBeef_Liveweight_Data(), Table_SourceData_PastureBeef_Liveweight[[#Headers],[State]], 0)</f>
        <v>380</v>
      </c>
      <c r="H36" s="37" cm="1">
        <f t="array" ref="H36">Common_InputFunctions.Utility_DisplayArrayInTable(SourceData_PastureBeef.SourceData_PastureBeef_Liveweight_Data(), Table_SourceData_PastureBeef_Liveweight[[#Headers],[State]], 0)</f>
        <v>780</v>
      </c>
      <c r="I36" s="37" cm="1">
        <f t="array" ref="I36">Common_InputFunctions.Utility_DisplayArrayInTable(SourceData_PastureBeef.SourceData_PastureBeef_Liveweight_Data(), Table_SourceData_PastureBeef_Liveweight[[#Headers],[State]], 0)</f>
        <v>300</v>
      </c>
      <c r="J36" s="37" cm="1">
        <f t="array" ref="J36">Common_InputFunctions.Utility_DisplayArrayInTable(SourceData_PastureBeef.SourceData_PastureBeef_Liveweight_Data(), Table_SourceData_PastureBeef_Liveweight[[#Headers],[State]], 0)</f>
        <v>450</v>
      </c>
      <c r="K36" s="37" cm="1">
        <f t="array" ref="K36">Common_InputFunctions.Utility_DisplayArrayInTable(SourceData_PastureBeef.SourceData_PastureBeef_Liveweight_Data(), Table_SourceData_PastureBeef_Liveweight[[#Headers],[State]], 0)</f>
        <v>530</v>
      </c>
      <c r="L36" s="37" cm="1">
        <f t="array" ref="L36">Common_InputFunctions.Utility_DisplayArrayInTable(SourceData_PastureBeef.SourceData_PastureBeef_Liveweight_Data(), Table_SourceData_PastureBeef_Liveweight[[#Headers],[State]], 0)</f>
        <v>340</v>
      </c>
      <c r="M36" s="37" cm="1">
        <f t="array" ref="M36">Common_InputFunctions.Utility_DisplayArrayInTable(SourceData_PastureBeef.SourceData_PastureBeef_Liveweight_Data(), Table_SourceData_PastureBeef_Liveweight[[#Headers],[State]], 0)</f>
        <v>470</v>
      </c>
    </row>
    <row r="37" spans="4:13" ht="20.100000000000001" customHeight="1" x14ac:dyDescent="0.25">
      <c r="D37" s="1" t="str" cm="1">
        <f t="array" ref="D37">Common_InputFunctions.Utility_DisplayArrayInTable(SourceData_PastureBeef.SourceData_PastureBeef_Liveweight_Data(), Table_SourceData_PastureBeef_Liveweight[[#Headers],[State]], 0)</f>
        <v>Western Australia</v>
      </c>
      <c r="E37" s="37" t="str" cm="1">
        <f t="array" ref="E37">Common_InputFunctions.Utility_DisplayArrayInTable(SourceData_PastureBeef.SourceData_PastureBeef_Liveweight_Data(), Table_SourceData_PastureBeef_Liveweight[[#Headers],[State]], 0)</f>
        <v>South West</v>
      </c>
      <c r="F37" s="37" t="str" cm="1">
        <f t="array" ref="F37">Common_InputFunctions.Utility_DisplayArrayInTable(SourceData_PastureBeef.SourceData_PastureBeef_Liveweight_Data(), Table_SourceData_PastureBeef_Liveweight[[#Headers],[State]], 0)</f>
        <v>Autumn</v>
      </c>
      <c r="G37" s="37" cm="1">
        <f t="array" ref="G37">Common_InputFunctions.Utility_DisplayArrayInTable(SourceData_PastureBeef.SourceData_PastureBeef_Liveweight_Data(), Table_SourceData_PastureBeef_Liveweight[[#Headers],[State]], 0)</f>
        <v>100</v>
      </c>
      <c r="H37" s="37" cm="1">
        <f t="array" ref="H37">Common_InputFunctions.Utility_DisplayArrayInTable(SourceData_PastureBeef.SourceData_PastureBeef_Liveweight_Data(), Table_SourceData_PastureBeef_Liveweight[[#Headers],[State]], 0)</f>
        <v>680</v>
      </c>
      <c r="I37" s="37" cm="1">
        <f t="array" ref="I37">Common_InputFunctions.Utility_DisplayArrayInTable(SourceData_PastureBeef.SourceData_PastureBeef_Liveweight_Data(), Table_SourceData_PastureBeef_Liveweight[[#Headers],[State]], 0)</f>
        <v>80</v>
      </c>
      <c r="J37" s="37" cm="1">
        <f t="array" ref="J37">Common_InputFunctions.Utility_DisplayArrayInTable(SourceData_PastureBeef.SourceData_PastureBeef_Liveweight_Data(), Table_SourceData_PastureBeef_Liveweight[[#Headers],[State]], 0)</f>
        <v>320</v>
      </c>
      <c r="K37" s="37" cm="1">
        <f t="array" ref="K37">Common_InputFunctions.Utility_DisplayArrayInTable(SourceData_PastureBeef.SourceData_PastureBeef_Liveweight_Data(), Table_SourceData_PastureBeef_Liveweight[[#Headers],[State]], 0)</f>
        <v>480</v>
      </c>
      <c r="L37" s="37" cm="1">
        <f t="array" ref="L37">Common_InputFunctions.Utility_DisplayArrayInTable(SourceData_PastureBeef.SourceData_PastureBeef_Liveweight_Data(), Table_SourceData_PastureBeef_Liveweight[[#Headers],[State]], 0)</f>
        <v>100</v>
      </c>
      <c r="M37" s="37" cm="1">
        <f t="array" ref="M37">Common_InputFunctions.Utility_DisplayArrayInTable(SourceData_PastureBeef.SourceData_PastureBeef_Liveweight_Data(), Table_SourceData_PastureBeef_Liveweight[[#Headers],[State]], 0)</f>
        <v>340</v>
      </c>
    </row>
    <row r="38" spans="4:13" ht="20.100000000000001" customHeight="1" x14ac:dyDescent="0.25">
      <c r="D38" s="1" t="str" cm="1">
        <f t="array" ref="D38">Common_InputFunctions.Utility_DisplayArrayInTable(SourceData_PastureBeef.SourceData_PastureBeef_Liveweight_Data(), Table_SourceData_PastureBeef_Liveweight[[#Headers],[State]], 0)</f>
        <v>Western Australia</v>
      </c>
      <c r="E38" s="37" t="str" cm="1">
        <f t="array" ref="E38">Common_InputFunctions.Utility_DisplayArrayInTable(SourceData_PastureBeef.SourceData_PastureBeef_Liveweight_Data(), Table_SourceData_PastureBeef_Liveweight[[#Headers],[State]], 0)</f>
        <v>South West</v>
      </c>
      <c r="F38" s="37" t="str" cm="1">
        <f t="array" ref="F38">Common_InputFunctions.Utility_DisplayArrayInTable(SourceData_PastureBeef.SourceData_PastureBeef_Liveweight_Data(), Table_SourceData_PastureBeef_Liveweight[[#Headers],[State]], 0)</f>
        <v>Winter</v>
      </c>
      <c r="G38" s="37" cm="1">
        <f t="array" ref="G38">Common_InputFunctions.Utility_DisplayArrayInTable(SourceData_PastureBeef.SourceData_PastureBeef_Liveweight_Data(), Table_SourceData_PastureBeef_Liveweight[[#Headers],[State]], 0)</f>
        <v>190</v>
      </c>
      <c r="H38" s="37" cm="1">
        <f t="array" ref="H38">Common_InputFunctions.Utility_DisplayArrayInTable(SourceData_PastureBeef.SourceData_PastureBeef_Liveweight_Data(), Table_SourceData_PastureBeef_Liveweight[[#Headers],[State]], 0)</f>
        <v>700</v>
      </c>
      <c r="I38" s="37" cm="1">
        <f t="array" ref="I38">Common_InputFunctions.Utility_DisplayArrayInTable(SourceData_PastureBeef.SourceData_PastureBeef_Liveweight_Data(), Table_SourceData_PastureBeef_Liveweight[[#Headers],[State]], 0)</f>
        <v>150</v>
      </c>
      <c r="J38" s="37" cm="1">
        <f t="array" ref="J38">Common_InputFunctions.Utility_DisplayArrayInTable(SourceData_PastureBeef.SourceData_PastureBeef_Liveweight_Data(), Table_SourceData_PastureBeef_Liveweight[[#Headers],[State]], 0)</f>
        <v>330</v>
      </c>
      <c r="K38" s="37" cm="1">
        <f t="array" ref="K38">Common_InputFunctions.Utility_DisplayArrayInTable(SourceData_PastureBeef.SourceData_PastureBeef_Liveweight_Data(), Table_SourceData_PastureBeef_Liveweight[[#Headers],[State]], 0)</f>
        <v>490</v>
      </c>
      <c r="L38" s="37" cm="1">
        <f t="array" ref="L38">Common_InputFunctions.Utility_DisplayArrayInTable(SourceData_PastureBeef.SourceData_PastureBeef_Liveweight_Data(), Table_SourceData_PastureBeef_Liveweight[[#Headers],[State]], 0)</f>
        <v>170</v>
      </c>
      <c r="M38" s="37" cm="1">
        <f t="array" ref="M38">Common_InputFunctions.Utility_DisplayArrayInTable(SourceData_PastureBeef.SourceData_PastureBeef_Liveweight_Data(), Table_SourceData_PastureBeef_Liveweight[[#Headers],[State]], 0)</f>
        <v>360</v>
      </c>
    </row>
    <row r="39" spans="4:13" ht="20.100000000000001" customHeight="1" x14ac:dyDescent="0.25">
      <c r="D39" s="1" t="str" cm="1">
        <f t="array" ref="D39">Common_InputFunctions.Utility_DisplayArrayInTable(SourceData_PastureBeef.SourceData_PastureBeef_Liveweight_Data(), Table_SourceData_PastureBeef_Liveweight[[#Headers],[State]], 0)</f>
        <v>Western Australia</v>
      </c>
      <c r="E39" s="37" t="str" cm="1">
        <f t="array" ref="E39">Common_InputFunctions.Utility_DisplayArrayInTable(SourceData_PastureBeef.SourceData_PastureBeef_Liveweight_Data(), Table_SourceData_PastureBeef_Liveweight[[#Headers],[State]], 0)</f>
        <v>Pilbara</v>
      </c>
      <c r="F39" s="37" t="str" cm="1">
        <f t="array" ref="F39">Common_InputFunctions.Utility_DisplayArrayInTable(SourceData_PastureBeef.SourceData_PastureBeef_Liveweight_Data(), Table_SourceData_PastureBeef_Liveweight[[#Headers],[State]], 0)</f>
        <v>Spring</v>
      </c>
      <c r="G39" s="37" cm="1">
        <f t="array" ref="G39">Common_InputFunctions.Utility_DisplayArrayInTable(SourceData_PastureBeef.SourceData_PastureBeef_Liveweight_Data(), Table_SourceData_PastureBeef_Liveweight[[#Headers],[State]], 0)</f>
        <v>80</v>
      </c>
      <c r="H39" s="37" cm="1">
        <f t="array" ref="H39">Common_InputFunctions.Utility_DisplayArrayInTable(SourceData_PastureBeef.SourceData_PastureBeef_Liveweight_Data(), Table_SourceData_PastureBeef_Liveweight[[#Headers],[State]], 0)</f>
        <v>450</v>
      </c>
      <c r="I39" s="37" cm="1">
        <f t="array" ref="I39">Common_InputFunctions.Utility_DisplayArrayInTable(SourceData_PastureBeef.SourceData_PastureBeef_Liveweight_Data(), Table_SourceData_PastureBeef_Liveweight[[#Headers],[State]], 0)</f>
        <v>70</v>
      </c>
      <c r="J39" s="37" cm="1">
        <f t="array" ref="J39">Common_InputFunctions.Utility_DisplayArrayInTable(SourceData_PastureBeef.SourceData_PastureBeef_Liveweight_Data(), Table_SourceData_PastureBeef_Liveweight[[#Headers],[State]], 0)</f>
        <v>260</v>
      </c>
      <c r="K39" s="37" cm="1">
        <f t="array" ref="K39">Common_InputFunctions.Utility_DisplayArrayInTable(SourceData_PastureBeef.SourceData_PastureBeef_Liveweight_Data(), Table_SourceData_PastureBeef_Liveweight[[#Headers],[State]], 0)</f>
        <v>340</v>
      </c>
      <c r="L39" s="37" cm="1">
        <f t="array" ref="L39">Common_InputFunctions.Utility_DisplayArrayInTable(SourceData_PastureBeef.SourceData_PastureBeef_Liveweight_Data(), Table_SourceData_PastureBeef_Liveweight[[#Headers],[State]], 0)</f>
        <v>80</v>
      </c>
      <c r="M39" s="37" cm="1">
        <f t="array" ref="M39">Common_InputFunctions.Utility_DisplayArrayInTable(SourceData_PastureBeef.SourceData_PastureBeef_Liveweight_Data(), Table_SourceData_PastureBeef_Liveweight[[#Headers],[State]], 0)</f>
        <v>370</v>
      </c>
    </row>
    <row r="40" spans="4:13" ht="20.100000000000001" customHeight="1" x14ac:dyDescent="0.25">
      <c r="D40" s="1" t="str" cm="1">
        <f t="array" ref="D40">Common_InputFunctions.Utility_DisplayArrayInTable(SourceData_PastureBeef.SourceData_PastureBeef_Liveweight_Data(), Table_SourceData_PastureBeef_Liveweight[[#Headers],[State]], 0)</f>
        <v>Western Australia</v>
      </c>
      <c r="E40" s="37" t="str" cm="1">
        <f t="array" ref="E40">Common_InputFunctions.Utility_DisplayArrayInTable(SourceData_PastureBeef.SourceData_PastureBeef_Liveweight_Data(), Table_SourceData_PastureBeef_Liveweight[[#Headers],[State]], 0)</f>
        <v>Pilbara</v>
      </c>
      <c r="F40" s="37" t="str" cm="1">
        <f t="array" ref="F40">Common_InputFunctions.Utility_DisplayArrayInTable(SourceData_PastureBeef.SourceData_PastureBeef_Liveweight_Data(), Table_SourceData_PastureBeef_Liveweight[[#Headers],[State]], 0)</f>
        <v>Summer</v>
      </c>
      <c r="G40" s="37" cm="1">
        <f t="array" ref="G40">Common_InputFunctions.Utility_DisplayArrayInTable(SourceData_PastureBeef.SourceData_PastureBeef_Liveweight_Data(), Table_SourceData_PastureBeef_Liveweight[[#Headers],[State]], 0)</f>
        <v>150</v>
      </c>
      <c r="H40" s="37" cm="1">
        <f t="array" ref="H40">Common_InputFunctions.Utility_DisplayArrayInTable(SourceData_PastureBeef.SourceData_PastureBeef_Liveweight_Data(), Table_SourceData_PastureBeef_Liveweight[[#Headers],[State]], 0)</f>
        <v>500</v>
      </c>
      <c r="I40" s="37" cm="1">
        <f t="array" ref="I40">Common_InputFunctions.Utility_DisplayArrayInTable(SourceData_PastureBeef.SourceData_PastureBeef_Liveweight_Data(), Table_SourceData_PastureBeef_Liveweight[[#Headers],[State]], 0)</f>
        <v>140</v>
      </c>
      <c r="J40" s="37" cm="1">
        <f t="array" ref="J40">Common_InputFunctions.Utility_DisplayArrayInTable(SourceData_PastureBeef.SourceData_PastureBeef_Liveweight_Data(), Table_SourceData_PastureBeef_Liveweight[[#Headers],[State]], 0)</f>
        <v>310</v>
      </c>
      <c r="K40" s="37" cm="1">
        <f t="array" ref="K40">Common_InputFunctions.Utility_DisplayArrayInTable(SourceData_PastureBeef.SourceData_PastureBeef_Liveweight_Data(), Table_SourceData_PastureBeef_Liveweight[[#Headers],[State]], 0)</f>
        <v>360</v>
      </c>
      <c r="L40" s="37" cm="1">
        <f t="array" ref="L40">Common_InputFunctions.Utility_DisplayArrayInTable(SourceData_PastureBeef.SourceData_PastureBeef_Liveweight_Data(), Table_SourceData_PastureBeef_Liveweight[[#Headers],[State]], 0)</f>
        <v>150</v>
      </c>
      <c r="M40" s="37" cm="1">
        <f t="array" ref="M40">Common_InputFunctions.Utility_DisplayArrayInTable(SourceData_PastureBeef.SourceData_PastureBeef_Liveweight_Data(), Table_SourceData_PastureBeef_Liveweight[[#Headers],[State]], 0)</f>
        <v>400</v>
      </c>
    </row>
    <row r="41" spans="4:13" ht="20.100000000000001" customHeight="1" x14ac:dyDescent="0.25">
      <c r="D41" s="1" t="str" cm="1">
        <f t="array" ref="D41">Common_InputFunctions.Utility_DisplayArrayInTable(SourceData_PastureBeef.SourceData_PastureBeef_Liveweight_Data(), Table_SourceData_PastureBeef_Liveweight[[#Headers],[State]], 0)</f>
        <v>Western Australia</v>
      </c>
      <c r="E41" s="37" t="str" cm="1">
        <f t="array" ref="E41">Common_InputFunctions.Utility_DisplayArrayInTable(SourceData_PastureBeef.SourceData_PastureBeef_Liveweight_Data(), Table_SourceData_PastureBeef_Liveweight[[#Headers],[State]], 0)</f>
        <v>Pilbara</v>
      </c>
      <c r="F41" s="37" t="str" cm="1">
        <f t="array" ref="F41">Common_InputFunctions.Utility_DisplayArrayInTable(SourceData_PastureBeef.SourceData_PastureBeef_Liveweight_Data(), Table_SourceData_PastureBeef_Liveweight[[#Headers],[State]], 0)</f>
        <v>Autumn</v>
      </c>
      <c r="G41" s="37" cm="1">
        <f t="array" ref="G41">Common_InputFunctions.Utility_DisplayArrayInTable(SourceData_PastureBeef.SourceData_PastureBeef_Liveweight_Data(), Table_SourceData_PastureBeef_Liveweight[[#Headers],[State]], 0)</f>
        <v>230</v>
      </c>
      <c r="H41" s="37" cm="1">
        <f t="array" ref="H41">Common_InputFunctions.Utility_DisplayArrayInTable(SourceData_PastureBeef.SourceData_PastureBeef_Liveweight_Data(), Table_SourceData_PastureBeef_Liveweight[[#Headers],[State]], 0)</f>
        <v>550</v>
      </c>
      <c r="I41" s="37" cm="1">
        <f t="array" ref="I41">Common_InputFunctions.Utility_DisplayArrayInTable(SourceData_PastureBeef.SourceData_PastureBeef_Liveweight_Data(), Table_SourceData_PastureBeef_Liveweight[[#Headers],[State]], 0)</f>
        <v>220</v>
      </c>
      <c r="J41" s="37" cm="1">
        <f t="array" ref="J41">Common_InputFunctions.Utility_DisplayArrayInTable(SourceData_PastureBeef.SourceData_PastureBeef_Liveweight_Data(), Table_SourceData_PastureBeef_Liveweight[[#Headers],[State]], 0)</f>
        <v>330</v>
      </c>
      <c r="K41" s="37" cm="1">
        <f t="array" ref="K41">Common_InputFunctions.Utility_DisplayArrayInTable(SourceData_PastureBeef.SourceData_PastureBeef_Liveweight_Data(), Table_SourceData_PastureBeef_Liveweight[[#Headers],[State]], 0)</f>
        <v>380</v>
      </c>
      <c r="L41" s="37" cm="1">
        <f t="array" ref="L41">Common_InputFunctions.Utility_DisplayArrayInTable(SourceData_PastureBeef.SourceData_PastureBeef_Liveweight_Data(), Table_SourceData_PastureBeef_Liveweight[[#Headers],[State]], 0)</f>
        <v>230</v>
      </c>
      <c r="M41" s="37" cm="1">
        <f t="array" ref="M41">Common_InputFunctions.Utility_DisplayArrayInTable(SourceData_PastureBeef.SourceData_PastureBeef_Liveweight_Data(), Table_SourceData_PastureBeef_Liveweight[[#Headers],[State]], 0)</f>
        <v>420</v>
      </c>
    </row>
    <row r="42" spans="4:13" ht="20.100000000000001" customHeight="1" x14ac:dyDescent="0.25">
      <c r="D42" s="1" t="str" cm="1">
        <f t="array" ref="D42">Common_InputFunctions.Utility_DisplayArrayInTable(SourceData_PastureBeef.SourceData_PastureBeef_Liveweight_Data(), Table_SourceData_PastureBeef_Liveweight[[#Headers],[State]], 0)</f>
        <v>Western Australia</v>
      </c>
      <c r="E42" s="37" t="str" cm="1">
        <f t="array" ref="E42">Common_InputFunctions.Utility_DisplayArrayInTable(SourceData_PastureBeef.SourceData_PastureBeef_Liveweight_Data(), Table_SourceData_PastureBeef_Liveweight[[#Headers],[State]], 0)</f>
        <v>Pilbara</v>
      </c>
      <c r="F42" s="37" t="str" cm="1">
        <f t="array" ref="F42">Common_InputFunctions.Utility_DisplayArrayInTable(SourceData_PastureBeef.SourceData_PastureBeef_Liveweight_Data(), Table_SourceData_PastureBeef_Liveweight[[#Headers],[State]], 0)</f>
        <v>Winter</v>
      </c>
      <c r="G42" s="37" cm="1">
        <f t="array" ref="G42">Common_InputFunctions.Utility_DisplayArrayInTable(SourceData_PastureBeef.SourceData_PastureBeef_Liveweight_Data(), Table_SourceData_PastureBeef_Liveweight[[#Headers],[State]], 0)</f>
        <v>250</v>
      </c>
      <c r="H42" s="37" cm="1">
        <f t="array" ref="H42">Common_InputFunctions.Utility_DisplayArrayInTable(SourceData_PastureBeef.SourceData_PastureBeef_Liveweight_Data(), Table_SourceData_PastureBeef_Liveweight[[#Headers],[State]], 0)</f>
        <v>500</v>
      </c>
      <c r="I42" s="37" cm="1">
        <f t="array" ref="I42">Common_InputFunctions.Utility_DisplayArrayInTable(SourceData_PastureBeef.SourceData_PastureBeef_Liveweight_Data(), Table_SourceData_PastureBeef_Liveweight[[#Headers],[State]], 0)</f>
        <v>240</v>
      </c>
      <c r="J42" s="37" cm="1">
        <f t="array" ref="J42">Common_InputFunctions.Utility_DisplayArrayInTable(SourceData_PastureBeef.SourceData_PastureBeef_Liveweight_Data(), Table_SourceData_PastureBeef_Liveweight[[#Headers],[State]], 0)</f>
        <v>340</v>
      </c>
      <c r="K42" s="37" cm="1">
        <f t="array" ref="K42">Common_InputFunctions.Utility_DisplayArrayInTable(SourceData_PastureBeef.SourceData_PastureBeef_Liveweight_Data(), Table_SourceData_PastureBeef_Liveweight[[#Headers],[State]], 0)</f>
        <v>360</v>
      </c>
      <c r="L42" s="37" cm="1">
        <f t="array" ref="L42">Common_InputFunctions.Utility_DisplayArrayInTable(SourceData_PastureBeef.SourceData_PastureBeef_Liveweight_Data(), Table_SourceData_PastureBeef_Liveweight[[#Headers],[State]], 0)</f>
        <v>250</v>
      </c>
      <c r="M42" s="37" cm="1">
        <f t="array" ref="M42">Common_InputFunctions.Utility_DisplayArrayInTable(SourceData_PastureBeef.SourceData_PastureBeef_Liveweight_Data(), Table_SourceData_PastureBeef_Liveweight[[#Headers],[State]], 0)</f>
        <v>390</v>
      </c>
    </row>
    <row r="43" spans="4:13" ht="20.100000000000001" customHeight="1" x14ac:dyDescent="0.25">
      <c r="D43" s="1" t="str" cm="1">
        <f t="array" ref="D43">Common_InputFunctions.Utility_DisplayArrayInTable(SourceData_PastureBeef.SourceData_PastureBeef_Liveweight_Data(), Table_SourceData_PastureBeef_Liveweight[[#Headers],[State]], 0)</f>
        <v>Western Australia</v>
      </c>
      <c r="E43" s="37" t="str" cm="1">
        <f t="array" ref="E43">Common_InputFunctions.Utility_DisplayArrayInTable(SourceData_PastureBeef.SourceData_PastureBeef_Liveweight_Data(), Table_SourceData_PastureBeef_Liveweight[[#Headers],[State]], 0)</f>
        <v>Kimberley</v>
      </c>
      <c r="F43" s="37" t="str" cm="1">
        <f t="array" ref="F43">Common_InputFunctions.Utility_DisplayArrayInTable(SourceData_PastureBeef.SourceData_PastureBeef_Liveweight_Data(), Table_SourceData_PastureBeef_Liveweight[[#Headers],[State]], 0)</f>
        <v>Spring</v>
      </c>
      <c r="G43" s="37" cm="1">
        <f t="array" ref="G43">Common_InputFunctions.Utility_DisplayArrayInTable(SourceData_PastureBeef.SourceData_PastureBeef_Liveweight_Data(), Table_SourceData_PastureBeef_Liveweight[[#Headers],[State]], 0)</f>
        <v>220</v>
      </c>
      <c r="H43" s="37" cm="1">
        <f t="array" ref="H43">Common_InputFunctions.Utility_DisplayArrayInTable(SourceData_PastureBeef.SourceData_PastureBeef_Liveweight_Data(), Table_SourceData_PastureBeef_Liveweight[[#Headers],[State]], 0)</f>
        <v>500</v>
      </c>
      <c r="I43" s="37" cm="1">
        <f t="array" ref="I43">Common_InputFunctions.Utility_DisplayArrayInTable(SourceData_PastureBeef.SourceData_PastureBeef_Liveweight_Data(), Table_SourceData_PastureBeef_Liveweight[[#Headers],[State]], 0)</f>
        <v>180</v>
      </c>
      <c r="J43" s="37" cm="1">
        <f t="array" ref="J43">Common_InputFunctions.Utility_DisplayArrayInTable(SourceData_PastureBeef.SourceData_PastureBeef_Liveweight_Data(), Table_SourceData_PastureBeef_Liveweight[[#Headers],[State]], 0)</f>
        <v>300</v>
      </c>
      <c r="K43" s="37" cm="1">
        <f t="array" ref="K43">Common_InputFunctions.Utility_DisplayArrayInTable(SourceData_PastureBeef.SourceData_PastureBeef_Liveweight_Data(), Table_SourceData_PastureBeef_Liveweight[[#Headers],[State]], 0)</f>
        <v>320</v>
      </c>
      <c r="L43" s="37" cm="1">
        <f t="array" ref="L43">Common_InputFunctions.Utility_DisplayArrayInTable(SourceData_PastureBeef.SourceData_PastureBeef_Liveweight_Data(), Table_SourceData_PastureBeef_Liveweight[[#Headers],[State]], 0)</f>
        <v>210</v>
      </c>
      <c r="M43" s="37" cm="1">
        <f t="array" ref="M43">Common_InputFunctions.Utility_DisplayArrayInTable(SourceData_PastureBeef.SourceData_PastureBeef_Liveweight_Data(), Table_SourceData_PastureBeef_Liveweight[[#Headers],[State]], 0)</f>
        <v>340</v>
      </c>
    </row>
    <row r="44" spans="4:13" ht="20.100000000000001" customHeight="1" x14ac:dyDescent="0.25">
      <c r="D44" s="1" t="str" cm="1">
        <f t="array" ref="D44">Common_InputFunctions.Utility_DisplayArrayInTable(SourceData_PastureBeef.SourceData_PastureBeef_Liveweight_Data(), Table_SourceData_PastureBeef_Liveweight[[#Headers],[State]], 0)</f>
        <v>Western Australia</v>
      </c>
      <c r="E44" s="37" t="str" cm="1">
        <f t="array" ref="E44">Common_InputFunctions.Utility_DisplayArrayInTable(SourceData_PastureBeef.SourceData_PastureBeef_Liveweight_Data(), Table_SourceData_PastureBeef_Liveweight[[#Headers],[State]], 0)</f>
        <v>Kimberley</v>
      </c>
      <c r="F44" s="37" t="str" cm="1">
        <f t="array" ref="F44">Common_InputFunctions.Utility_DisplayArrayInTable(SourceData_PastureBeef.SourceData_PastureBeef_Liveweight_Data(), Table_SourceData_PastureBeef_Liveweight[[#Headers],[State]], 0)</f>
        <v>Summer</v>
      </c>
      <c r="G44" s="37" cm="1">
        <f t="array" ref="G44">Common_InputFunctions.Utility_DisplayArrayInTable(SourceData_PastureBeef.SourceData_PastureBeef_Liveweight_Data(), Table_SourceData_PastureBeef_Liveweight[[#Headers],[State]], 0)</f>
        <v>110</v>
      </c>
      <c r="H44" s="37" cm="1">
        <f t="array" ref="H44">Common_InputFunctions.Utility_DisplayArrayInTable(SourceData_PastureBeef.SourceData_PastureBeef_Liveweight_Data(), Table_SourceData_PastureBeef_Liveweight[[#Headers],[State]], 0)</f>
        <v>550</v>
      </c>
      <c r="I44" s="37" cm="1">
        <f t="array" ref="I44">Common_InputFunctions.Utility_DisplayArrayInTable(SourceData_PastureBeef.SourceData_PastureBeef_Liveweight_Data(), Table_SourceData_PastureBeef_Liveweight[[#Headers],[State]], 0)</f>
        <v>90</v>
      </c>
      <c r="J44" s="37" cm="1">
        <f t="array" ref="J44">Common_InputFunctions.Utility_DisplayArrayInTable(SourceData_PastureBeef.SourceData_PastureBeef_Liveweight_Data(), Table_SourceData_PastureBeef_Liveweight[[#Headers],[State]], 0)</f>
        <v>220</v>
      </c>
      <c r="K44" s="37" cm="1">
        <f t="array" ref="K44">Common_InputFunctions.Utility_DisplayArrayInTable(SourceData_PastureBeef.SourceData_PastureBeef_Liveweight_Data(), Table_SourceData_PastureBeef_Liveweight[[#Headers],[State]], 0)</f>
        <v>380</v>
      </c>
      <c r="L44" s="37" cm="1">
        <f t="array" ref="L44">Common_InputFunctions.Utility_DisplayArrayInTable(SourceData_PastureBeef.SourceData_PastureBeef_Liveweight_Data(), Table_SourceData_PastureBeef_Liveweight[[#Headers],[State]], 0)</f>
        <v>100</v>
      </c>
      <c r="M44" s="37" cm="1">
        <f t="array" ref="M44">Common_InputFunctions.Utility_DisplayArrayInTable(SourceData_PastureBeef.SourceData_PastureBeef_Liveweight_Data(), Table_SourceData_PastureBeef_Liveweight[[#Headers],[State]], 0)</f>
        <v>390</v>
      </c>
    </row>
    <row r="45" spans="4:13" ht="20.100000000000001" customHeight="1" x14ac:dyDescent="0.25">
      <c r="D45" s="1" t="str" cm="1">
        <f t="array" ref="D45">Common_InputFunctions.Utility_DisplayArrayInTable(SourceData_PastureBeef.SourceData_PastureBeef_Liveweight_Data(), Table_SourceData_PastureBeef_Liveweight[[#Headers],[State]], 0)</f>
        <v>Western Australia</v>
      </c>
      <c r="E45" s="37" t="str" cm="1">
        <f t="array" ref="E45">Common_InputFunctions.Utility_DisplayArrayInTable(SourceData_PastureBeef.SourceData_PastureBeef_Liveweight_Data(), Table_SourceData_PastureBeef_Liveweight[[#Headers],[State]], 0)</f>
        <v>Kimberley</v>
      </c>
      <c r="F45" s="37" t="str" cm="1">
        <f t="array" ref="F45">Common_InputFunctions.Utility_DisplayArrayInTable(SourceData_PastureBeef.SourceData_PastureBeef_Liveweight_Data(), Table_SourceData_PastureBeef_Liveweight[[#Headers],[State]], 0)</f>
        <v>Autumn</v>
      </c>
      <c r="G45" s="37" cm="1">
        <f t="array" ref="G45">Common_InputFunctions.Utility_DisplayArrayInTable(SourceData_PastureBeef.SourceData_PastureBeef_Liveweight_Data(), Table_SourceData_PastureBeef_Liveweight[[#Headers],[State]], 0)</f>
        <v>170</v>
      </c>
      <c r="H45" s="37" cm="1">
        <f t="array" ref="H45">Common_InputFunctions.Utility_DisplayArrayInTable(SourceData_PastureBeef.SourceData_PastureBeef_Liveweight_Data(), Table_SourceData_PastureBeef_Liveweight[[#Headers],[State]], 0)</f>
        <v>600</v>
      </c>
      <c r="I45" s="37" cm="1">
        <f t="array" ref="I45">Common_InputFunctions.Utility_DisplayArrayInTable(SourceData_PastureBeef.SourceData_PastureBeef_Liveweight_Data(), Table_SourceData_PastureBeef_Liveweight[[#Headers],[State]], 0)</f>
        <v>140</v>
      </c>
      <c r="J45" s="37" cm="1">
        <f t="array" ref="J45">Common_InputFunctions.Utility_DisplayArrayInTable(SourceData_PastureBeef.SourceData_PastureBeef_Liveweight_Data(), Table_SourceData_PastureBeef_Liveweight[[#Headers],[State]], 0)</f>
        <v>270</v>
      </c>
      <c r="K45" s="37" cm="1">
        <f t="array" ref="K45">Common_InputFunctions.Utility_DisplayArrayInTable(SourceData_PastureBeef.SourceData_PastureBeef_Liveweight_Data(), Table_SourceData_PastureBeef_Liveweight[[#Headers],[State]], 0)</f>
        <v>390</v>
      </c>
      <c r="L45" s="37" cm="1">
        <f t="array" ref="L45">Common_InputFunctions.Utility_DisplayArrayInTable(SourceData_PastureBeef.SourceData_PastureBeef_Liveweight_Data(), Table_SourceData_PastureBeef_Liveweight[[#Headers],[State]], 0)</f>
        <v>160</v>
      </c>
      <c r="M45" s="37" cm="1">
        <f t="array" ref="M45">Common_InputFunctions.Utility_DisplayArrayInTable(SourceData_PastureBeef.SourceData_PastureBeef_Liveweight_Data(), Table_SourceData_PastureBeef_Liveweight[[#Headers],[State]], 0)</f>
        <v>430</v>
      </c>
    </row>
    <row r="46" spans="4:13" ht="20.100000000000001" customHeight="1" x14ac:dyDescent="0.25">
      <c r="D46" s="1" t="str" cm="1">
        <f t="array" ref="D46">Common_InputFunctions.Utility_DisplayArrayInTable(SourceData_PastureBeef.SourceData_PastureBeef_Liveweight_Data(), Table_SourceData_PastureBeef_Liveweight[[#Headers],[State]], 0)</f>
        <v>Western Australia</v>
      </c>
      <c r="E46" s="37" t="str" cm="1">
        <f t="array" ref="E46">Common_InputFunctions.Utility_DisplayArrayInTable(SourceData_PastureBeef.SourceData_PastureBeef_Liveweight_Data(), Table_SourceData_PastureBeef_Liveweight[[#Headers],[State]], 0)</f>
        <v>Kimberley</v>
      </c>
      <c r="F46" s="37" t="str" cm="1">
        <f t="array" ref="F46">Common_InputFunctions.Utility_DisplayArrayInTable(SourceData_PastureBeef.SourceData_PastureBeef_Liveweight_Data(), Table_SourceData_PastureBeef_Liveweight[[#Headers],[State]], 0)</f>
        <v>Winter</v>
      </c>
      <c r="G46" s="37" cm="1">
        <f t="array" ref="G46">Common_InputFunctions.Utility_DisplayArrayInTable(SourceData_PastureBeef.SourceData_PastureBeef_Liveweight_Data(), Table_SourceData_PastureBeef_Liveweight[[#Headers],[State]], 0)</f>
        <v>200</v>
      </c>
      <c r="H46" s="37" cm="1">
        <f t="array" ref="H46">Common_InputFunctions.Utility_DisplayArrayInTable(SourceData_PastureBeef.SourceData_PastureBeef_Liveweight_Data(), Table_SourceData_PastureBeef_Liveweight[[#Headers],[State]], 0)</f>
        <v>550</v>
      </c>
      <c r="I46" s="37" cm="1">
        <f t="array" ref="I46">Common_InputFunctions.Utility_DisplayArrayInTable(SourceData_PastureBeef.SourceData_PastureBeef_Liveweight_Data(), Table_SourceData_PastureBeef_Liveweight[[#Headers],[State]], 0)</f>
        <v>150</v>
      </c>
      <c r="J46" s="37" cm="1">
        <f t="array" ref="J46">Common_InputFunctions.Utility_DisplayArrayInTable(SourceData_PastureBeef.SourceData_PastureBeef_Liveweight_Data(), Table_SourceData_PastureBeef_Liveweight[[#Headers],[State]], 0)</f>
        <v>280</v>
      </c>
      <c r="K46" s="37" cm="1">
        <f t="array" ref="K46">Common_InputFunctions.Utility_DisplayArrayInTable(SourceData_PastureBeef.SourceData_PastureBeef_Liveweight_Data(), Table_SourceData_PastureBeef_Liveweight[[#Headers],[State]], 0)</f>
        <v>350</v>
      </c>
      <c r="L46" s="37" cm="1">
        <f t="array" ref="L46">Common_InputFunctions.Utility_DisplayArrayInTable(SourceData_PastureBeef.SourceData_PastureBeef_Liveweight_Data(), Table_SourceData_PastureBeef_Liveweight[[#Headers],[State]], 0)</f>
        <v>190</v>
      </c>
      <c r="M46" s="37" cm="1">
        <f t="array" ref="M46">Common_InputFunctions.Utility_DisplayArrayInTable(SourceData_PastureBeef.SourceData_PastureBeef_Liveweight_Data(), Table_SourceData_PastureBeef_Liveweight[[#Headers],[State]], 0)</f>
        <v>400</v>
      </c>
    </row>
    <row r="47" spans="4:13" ht="20.100000000000001" customHeight="1" x14ac:dyDescent="0.25">
      <c r="M47" s="1"/>
    </row>
    <row r="48" spans="4:13" ht="20.100000000000001" customHeight="1" x14ac:dyDescent="0.25">
      <c r="M48" s="1"/>
    </row>
    <row r="49" spans="4:16" ht="20.100000000000001" customHeight="1" x14ac:dyDescent="0.25">
      <c r="D49" s="6" t="str" cm="1">
        <f t="array" ref="D49">SourceData_PastureBeef.SourceData_PastureBeef_LiveweightNTQLD_Title()</f>
        <v>Beef pasture cattle - Liveweight (kg) (Wjkl) for NT and QLD</v>
      </c>
      <c r="M49" s="1"/>
    </row>
    <row r="50" spans="4:16" ht="20.100000000000001" customHeight="1" x14ac:dyDescent="0.25">
      <c r="D50" s="5" t="str" cm="1">
        <f t="array" ref="D50">SourceData_PastureBeef.SourceData_PastureBeef_LiveweightNTQLD_Source()</f>
        <v>VEERG 2026: Table A.1.2.2</v>
      </c>
      <c r="M50" s="1"/>
    </row>
    <row r="51" spans="4:16" ht="20.100000000000001" customHeight="1" x14ac:dyDescent="0.25">
      <c r="D51" s="1" t="str" cm="1">
        <f t="array" ref="D51">SourceData_PastureBeef.SourceData_PastureBeef_LiveweightNTQLD_Variable()</f>
        <v>Wjkl</v>
      </c>
      <c r="M51" s="1"/>
    </row>
    <row r="52" spans="4:16" ht="20.100000000000001" customHeight="1" x14ac:dyDescent="0.25">
      <c r="D52" s="54" t="str" cm="1">
        <f t="array" ref="D52">SourceData_PastureBeef.SourceData_PastureBeef_LiveweightNTQLD_Unit()</f>
        <v>kg</v>
      </c>
      <c r="M52" s="1"/>
    </row>
    <row r="53" spans="4:16" ht="20.100000000000001" customHeight="1" x14ac:dyDescent="0.25">
      <c r="D53" s="37" t="s">
        <v>8</v>
      </c>
      <c r="E53" s="37" t="s">
        <v>183</v>
      </c>
      <c r="F53" s="37" t="s">
        <v>184</v>
      </c>
      <c r="G53" s="37" t="s">
        <v>203</v>
      </c>
      <c r="H53" s="37" t="s">
        <v>192</v>
      </c>
      <c r="I53" s="37" t="s">
        <v>193</v>
      </c>
      <c r="J53" s="37" t="s">
        <v>194</v>
      </c>
      <c r="K53" s="37" t="s">
        <v>195</v>
      </c>
      <c r="L53" s="37" t="s">
        <v>196</v>
      </c>
      <c r="M53" s="37" t="s">
        <v>197</v>
      </c>
      <c r="N53" s="37" t="s">
        <v>198</v>
      </c>
      <c r="O53" s="37" t="s">
        <v>199</v>
      </c>
      <c r="P53" s="37" t="s">
        <v>200</v>
      </c>
    </row>
    <row r="54" spans="4:16" ht="20.100000000000001" customHeight="1" x14ac:dyDescent="0.25">
      <c r="D54" s="37" t="str" cm="1">
        <f t="array" ref="D54">Common_InputFunctions.Utility_DisplayArrayInTable(SourceData_PastureBeef.SourceData_PastureBeef_LiveweightNTQLD_Data(),Table_SourceData_PastureBeef_LiveweightNTQD[[#Headers],[State]], 0)</f>
        <v>Northern Territory</v>
      </c>
      <c r="E54" s="37" t="str" cm="1">
        <f t="array" ref="E54">Common_InputFunctions.Utility_DisplayArrayInTable(SourceData_PastureBeef.SourceData_PastureBeef_LiveweightNTQLD_Data(),Table_SourceData_PastureBeef_LiveweightNTQD[[#Headers],[State]], 0)</f>
        <v>Alice Springs</v>
      </c>
      <c r="F54" s="37" t="str" cm="1">
        <f t="array" ref="F54">Common_InputFunctions.Utility_DisplayArrayInTable(SourceData_PastureBeef.SourceData_PastureBeef_LiveweightNTQLD_Data(),Table_SourceData_PastureBeef_LiveweightNTQD[[#Headers],[State]], 0)</f>
        <v>Spring</v>
      </c>
      <c r="G54" s="37" cm="1">
        <f t="array" ref="G54">Common_InputFunctions.Utility_DisplayArrayInTable(SourceData_PastureBeef.SourceData_PastureBeef_LiveweightNTQLD_Data(),Table_SourceData_PastureBeef_LiveweightNTQD[[#Headers],[State]], 0)</f>
        <v>220</v>
      </c>
      <c r="H54" s="37" cm="1">
        <f t="array" ref="H54">Common_InputFunctions.Utility_DisplayArrayInTable(SourceData_PastureBeef.SourceData_PastureBeef_LiveweightNTQLD_Data(),Table_SourceData_PastureBeef_LiveweightNTQD[[#Headers],[State]], 0)</f>
        <v>706</v>
      </c>
      <c r="I54" s="37" cm="1">
        <f t="array" ref="I54">Common_InputFunctions.Utility_DisplayArrayInTable(SourceData_PastureBeef.SourceData_PastureBeef_LiveweightNTQLD_Data(),Table_SourceData_PastureBeef_LiveweightNTQD[[#Headers],[State]], 0)</f>
        <v>208</v>
      </c>
      <c r="J54" s="37" cm="1">
        <f t="array" ref="J54">Common_InputFunctions.Utility_DisplayArrayInTable(SourceData_PastureBeef.SourceData_PastureBeef_LiveweightNTQLD_Data(),Table_SourceData_PastureBeef_LiveweightNTQD[[#Headers],[State]], 0)</f>
        <v>323</v>
      </c>
      <c r="K54" s="37" cm="1">
        <f t="array" ref="K54">Common_InputFunctions.Utility_DisplayArrayInTable(SourceData_PastureBeef.SourceData_PastureBeef_LiveweightNTQLD_Data(),Table_SourceData_PastureBeef_LiveweightNTQD[[#Headers],[State]], 0)</f>
        <v>415</v>
      </c>
      <c r="L54" s="37" cm="1">
        <f t="array" ref="L54">Common_InputFunctions.Utility_DisplayArrayInTable(SourceData_PastureBeef.SourceData_PastureBeef_LiveweightNTQLD_Data(),Table_SourceData_PastureBeef_LiveweightNTQD[[#Headers],[State]], 0)</f>
        <v>467</v>
      </c>
      <c r="M54" s="37" cm="1">
        <f t="array" ref="M54">Common_InputFunctions.Utility_DisplayArrayInTable(SourceData_PastureBeef.SourceData_PastureBeef_LiveweightNTQLD_Data(),Table_SourceData_PastureBeef_LiveweightNTQD[[#Headers],[State]], 0)</f>
        <v>223</v>
      </c>
      <c r="N54" s="37" cm="1">
        <f t="array" ref="N54">Common_InputFunctions.Utility_DisplayArrayInTable(SourceData_PastureBeef.SourceData_PastureBeef_LiveweightNTQLD_Data(),Table_SourceData_PastureBeef_LiveweightNTQD[[#Headers],[State]], 0)</f>
        <v>371</v>
      </c>
      <c r="O54" s="37" cm="1">
        <f t="array" ref="O54">Common_InputFunctions.Utility_DisplayArrayInTable(SourceData_PastureBeef.SourceData_PastureBeef_LiveweightNTQLD_Data(),Table_SourceData_PastureBeef_LiveweightNTQD[[#Headers],[State]], 0)</f>
        <v>493</v>
      </c>
      <c r="P54" s="37" cm="1">
        <f t="array" ref="P54">Common_InputFunctions.Utility_DisplayArrayInTable(SourceData_PastureBeef.SourceData_PastureBeef_LiveweightNTQLD_Data(),Table_SourceData_PastureBeef_LiveweightNTQD[[#Headers],[State]], 0)</f>
        <v>585</v>
      </c>
    </row>
    <row r="55" spans="4:16" ht="20.100000000000001" customHeight="1" x14ac:dyDescent="0.25">
      <c r="D55" s="1" t="str" cm="1">
        <f t="array" ref="D55">Common_InputFunctions.Utility_DisplayArrayInTable(SourceData_PastureBeef.SourceData_PastureBeef_LiveweightNTQLD_Data(),Table_SourceData_PastureBeef_LiveweightNTQD[[#Headers],[State]], 0)</f>
        <v>Northern Territory</v>
      </c>
      <c r="E55" s="37" t="str" cm="1">
        <f t="array" ref="E55">Common_InputFunctions.Utility_DisplayArrayInTable(SourceData_PastureBeef.SourceData_PastureBeef_LiveweightNTQLD_Data(),Table_SourceData_PastureBeef_LiveweightNTQD[[#Headers],[State]], 0)</f>
        <v>Alice Springs</v>
      </c>
      <c r="F55" s="37" t="str" cm="1">
        <f t="array" ref="F55">Common_InputFunctions.Utility_DisplayArrayInTable(SourceData_PastureBeef.SourceData_PastureBeef_LiveweightNTQLD_Data(),Table_SourceData_PastureBeef_LiveweightNTQD[[#Headers],[State]], 0)</f>
        <v>Summer</v>
      </c>
      <c r="G55" s="37" cm="1">
        <f t="array" ref="G55">Common_InputFunctions.Utility_DisplayArrayInTable(SourceData_PastureBeef.SourceData_PastureBeef_LiveweightNTQLD_Data(),Table_SourceData_PastureBeef_LiveweightNTQD[[#Headers],[State]], 0)</f>
        <v>110</v>
      </c>
      <c r="H55" s="37" cm="1">
        <f t="array" ref="H55">Common_InputFunctions.Utility_DisplayArrayInTable(SourceData_PastureBeef.SourceData_PastureBeef_LiveweightNTQLD_Data(),Table_SourceData_PastureBeef_LiveweightNTQD[[#Headers],[State]], 0)</f>
        <v>703</v>
      </c>
      <c r="I55" s="37" cm="1">
        <f t="array" ref="I55">Common_InputFunctions.Utility_DisplayArrayInTable(SourceData_PastureBeef.SourceData_PastureBeef_LiveweightNTQLD_Data(),Table_SourceData_PastureBeef_LiveweightNTQD[[#Headers],[State]], 0)</f>
        <v>112</v>
      </c>
      <c r="J55" s="37" cm="1">
        <f t="array" ref="J55">Common_InputFunctions.Utility_DisplayArrayInTable(SourceData_PastureBeef.SourceData_PastureBeef_LiveweightNTQLD_Data(),Table_SourceData_PastureBeef_LiveweightNTQD[[#Headers],[State]], 0)</f>
        <v>256</v>
      </c>
      <c r="K55" s="37" cm="1">
        <f t="array" ref="K55">Common_InputFunctions.Utility_DisplayArrayInTable(SourceData_PastureBeef.SourceData_PastureBeef_LiveweightNTQLD_Data(),Table_SourceData_PastureBeef_LiveweightNTQD[[#Headers],[State]], 0)</f>
        <v>368</v>
      </c>
      <c r="L55" s="37" cm="1">
        <f t="array" ref="L55">Common_InputFunctions.Utility_DisplayArrayInTable(SourceData_PastureBeef.SourceData_PastureBeef_LiveweightNTQLD_Data(),Table_SourceData_PastureBeef_LiveweightNTQD[[#Headers],[State]], 0)</f>
        <v>465</v>
      </c>
      <c r="M55" s="37" cm="1">
        <f t="array" ref="M55">Common_InputFunctions.Utility_DisplayArrayInTable(SourceData_PastureBeef.SourceData_PastureBeef_LiveweightNTQLD_Data(),Table_SourceData_PastureBeef_LiveweightNTQD[[#Headers],[State]], 0)</f>
        <v>108</v>
      </c>
      <c r="N55" s="37" cm="1">
        <f t="array" ref="N55">Common_InputFunctions.Utility_DisplayArrayInTable(SourceData_PastureBeef.SourceData_PastureBeef_LiveweightNTQLD_Data(),Table_SourceData_PastureBeef_LiveweightNTQD[[#Headers],[State]], 0)</f>
        <v>280</v>
      </c>
      <c r="O55" s="37" cm="1">
        <f t="array" ref="O55">Common_InputFunctions.Utility_DisplayArrayInTable(SourceData_PastureBeef.SourceData_PastureBeef_LiveweightNTQLD_Data(),Table_SourceData_PastureBeef_LiveweightNTQD[[#Headers],[State]], 0)</f>
        <v>421</v>
      </c>
      <c r="P55" s="37" cm="1">
        <f t="array" ref="P55">Common_InputFunctions.Utility_DisplayArrayInTable(SourceData_PastureBeef.SourceData_PastureBeef_LiveweightNTQLD_Data(),Table_SourceData_PastureBeef_LiveweightNTQD[[#Headers],[State]], 0)</f>
        <v>543</v>
      </c>
    </row>
    <row r="56" spans="4:16" ht="20.100000000000001" customHeight="1" x14ac:dyDescent="0.25">
      <c r="D56" s="1" t="str" cm="1">
        <f t="array" ref="D56">Common_InputFunctions.Utility_DisplayArrayInTable(SourceData_PastureBeef.SourceData_PastureBeef_LiveweightNTQLD_Data(),Table_SourceData_PastureBeef_LiveweightNTQD[[#Headers],[State]], 0)</f>
        <v>Northern Territory</v>
      </c>
      <c r="E56" s="37" t="str" cm="1">
        <f t="array" ref="E56">Common_InputFunctions.Utility_DisplayArrayInTable(SourceData_PastureBeef.SourceData_PastureBeef_LiveweightNTQLD_Data(),Table_SourceData_PastureBeef_LiveweightNTQD[[#Headers],[State]], 0)</f>
        <v>Alice Springs</v>
      </c>
      <c r="F56" s="37" t="str" cm="1">
        <f t="array" ref="F56">Common_InputFunctions.Utility_DisplayArrayInTable(SourceData_PastureBeef.SourceData_PastureBeef_LiveweightNTQLD_Data(),Table_SourceData_PastureBeef_LiveweightNTQD[[#Headers],[State]], 0)</f>
        <v>Autumn</v>
      </c>
      <c r="G56" s="37" cm="1">
        <f t="array" ref="G56">Common_InputFunctions.Utility_DisplayArrayInTable(SourceData_PastureBeef.SourceData_PastureBeef_LiveweightNTQLD_Data(),Table_SourceData_PastureBeef_LiveweightNTQD[[#Headers],[State]], 0)</f>
        <v>170</v>
      </c>
      <c r="H56" s="37" cm="1">
        <f t="array" ref="H56">Common_InputFunctions.Utility_DisplayArrayInTable(SourceData_PastureBeef.SourceData_PastureBeef_LiveweightNTQLD_Data(),Table_SourceData_PastureBeef_LiveweightNTQD[[#Headers],[State]], 0)</f>
        <v>721</v>
      </c>
      <c r="I56" s="37" cm="1">
        <f t="array" ref="I56">Common_InputFunctions.Utility_DisplayArrayInTable(SourceData_PastureBeef.SourceData_PastureBeef_LiveweightNTQLD_Data(),Table_SourceData_PastureBeef_LiveweightNTQD[[#Headers],[State]], 0)</f>
        <v>169</v>
      </c>
      <c r="J56" s="37" cm="1">
        <f t="array" ref="J56">Common_InputFunctions.Utility_DisplayArrayInTable(SourceData_PastureBeef.SourceData_PastureBeef_LiveweightNTQLD_Data(),Table_SourceData_PastureBeef_LiveweightNTQD[[#Headers],[State]], 0)</f>
        <v>306</v>
      </c>
      <c r="K56" s="37" cm="1">
        <f t="array" ref="K56">Common_InputFunctions.Utility_DisplayArrayInTable(SourceData_PastureBeef.SourceData_PastureBeef_LiveweightNTQLD_Data(),Table_SourceData_PastureBeef_LiveweightNTQD[[#Headers],[State]], 0)</f>
        <v>392</v>
      </c>
      <c r="L56" s="37" cm="1">
        <f t="array" ref="L56">Common_InputFunctions.Utility_DisplayArrayInTable(SourceData_PastureBeef.SourceData_PastureBeef_LiveweightNTQLD_Data(),Table_SourceData_PastureBeef_LiveweightNTQD[[#Headers],[State]], 0)</f>
        <v>464</v>
      </c>
      <c r="M56" s="37" cm="1">
        <f t="array" ref="M56">Common_InputFunctions.Utility_DisplayArrayInTable(SourceData_PastureBeef.SourceData_PastureBeef_LiveweightNTQLD_Data(),Table_SourceData_PastureBeef_LiveweightNTQD[[#Headers],[State]], 0)</f>
        <v>176</v>
      </c>
      <c r="N56" s="37" cm="1">
        <f t="array" ref="N56">Common_InputFunctions.Utility_DisplayArrayInTable(SourceData_PastureBeef.SourceData_PastureBeef_LiveweightNTQLD_Data(),Table_SourceData_PastureBeef_LiveweightNTQD[[#Headers],[State]], 0)</f>
        <v>339</v>
      </c>
      <c r="O56" s="37" cm="1">
        <f t="array" ref="O56">Common_InputFunctions.Utility_DisplayArrayInTable(SourceData_PastureBeef.SourceData_PastureBeef_LiveweightNTQLD_Data(),Table_SourceData_PastureBeef_LiveweightNTQD[[#Headers],[State]], 0)</f>
        <v>470</v>
      </c>
      <c r="P56" s="37" cm="1">
        <f t="array" ref="P56">Common_InputFunctions.Utility_DisplayArrayInTable(SourceData_PastureBeef.SourceData_PastureBeef_LiveweightNTQLD_Data(),Table_SourceData_PastureBeef_LiveweightNTQD[[#Headers],[State]], 0)</f>
        <v>580</v>
      </c>
    </row>
    <row r="57" spans="4:16" ht="20.100000000000001" customHeight="1" x14ac:dyDescent="0.25">
      <c r="D57" s="1" t="str" cm="1">
        <f t="array" ref="D57">Common_InputFunctions.Utility_DisplayArrayInTable(SourceData_PastureBeef.SourceData_PastureBeef_LiveweightNTQLD_Data(),Table_SourceData_PastureBeef_LiveweightNTQD[[#Headers],[State]], 0)</f>
        <v>Northern Territory</v>
      </c>
      <c r="E57" s="37" t="str" cm="1">
        <f t="array" ref="E57">Common_InputFunctions.Utility_DisplayArrayInTable(SourceData_PastureBeef.SourceData_PastureBeef_LiveweightNTQLD_Data(),Table_SourceData_PastureBeef_LiveweightNTQD[[#Headers],[State]], 0)</f>
        <v>Alice Springs</v>
      </c>
      <c r="F57" s="37" t="str" cm="1">
        <f t="array" ref="F57">Common_InputFunctions.Utility_DisplayArrayInTable(SourceData_PastureBeef.SourceData_PastureBeef_LiveweightNTQLD_Data(),Table_SourceData_PastureBeef_LiveweightNTQD[[#Headers],[State]], 0)</f>
        <v>Winter</v>
      </c>
      <c r="G57" s="37" cm="1">
        <f t="array" ref="G57">Common_InputFunctions.Utility_DisplayArrayInTable(SourceData_PastureBeef.SourceData_PastureBeef_LiveweightNTQLD_Data(),Table_SourceData_PastureBeef_LiveweightNTQD[[#Headers],[State]], 0)</f>
        <v>200</v>
      </c>
      <c r="H57" s="37" cm="1">
        <f t="array" ref="H57">Common_InputFunctions.Utility_DisplayArrayInTable(SourceData_PastureBeef.SourceData_PastureBeef_LiveweightNTQLD_Data(),Table_SourceData_PastureBeef_LiveweightNTQD[[#Headers],[State]], 0)</f>
        <v>727</v>
      </c>
      <c r="I57" s="37" cm="1">
        <f t="array" ref="I57">Common_InputFunctions.Utility_DisplayArrayInTable(SourceData_PastureBeef.SourceData_PastureBeef_LiveweightNTQLD_Data(),Table_SourceData_PastureBeef_LiveweightNTQD[[#Headers],[State]], 0)</f>
        <v>211</v>
      </c>
      <c r="J57" s="37" cm="1">
        <f t="array" ref="J57">Common_InputFunctions.Utility_DisplayArrayInTable(SourceData_PastureBeef.SourceData_PastureBeef_LiveweightNTQLD_Data(),Table_SourceData_PastureBeef_LiveweightNTQD[[#Headers],[State]], 0)</f>
        <v>338</v>
      </c>
      <c r="K57" s="37" cm="1">
        <f t="array" ref="K57">Common_InputFunctions.Utility_DisplayArrayInTable(SourceData_PastureBeef.SourceData_PastureBeef_LiveweightNTQLD_Data(),Table_SourceData_PastureBeef_LiveweightNTQD[[#Headers],[State]], 0)</f>
        <v>432</v>
      </c>
      <c r="L57" s="37" cm="1">
        <f t="array" ref="L57">Common_InputFunctions.Utility_DisplayArrayInTable(SourceData_PastureBeef.SourceData_PastureBeef_LiveweightNTQLD_Data(),Table_SourceData_PastureBeef_LiveweightNTQD[[#Headers],[State]], 0)</f>
        <v>492</v>
      </c>
      <c r="M57" s="37" cm="1">
        <f t="array" ref="M57">Common_InputFunctions.Utility_DisplayArrayInTable(SourceData_PastureBeef.SourceData_PastureBeef_LiveweightNTQLD_Data(),Table_SourceData_PastureBeef_LiveweightNTQD[[#Headers],[State]], 0)</f>
        <v>222</v>
      </c>
      <c r="N57" s="37" cm="1">
        <f t="array" ref="N57">Common_InputFunctions.Utility_DisplayArrayInTable(SourceData_PastureBeef.SourceData_PastureBeef_LiveweightNTQLD_Data(),Table_SourceData_PastureBeef_LiveweightNTQD[[#Headers],[State]], 0)</f>
        <v>377</v>
      </c>
      <c r="O57" s="37" cm="1">
        <f t="array" ref="O57">Common_InputFunctions.Utility_DisplayArrayInTable(SourceData_PastureBeef.SourceData_PastureBeef_LiveweightNTQLD_Data(),Table_SourceData_PastureBeef_LiveweightNTQD[[#Headers],[State]], 0)</f>
        <v>498</v>
      </c>
      <c r="P57" s="37" cm="1">
        <f t="array" ref="P57">Common_InputFunctions.Utility_DisplayArrayInTable(SourceData_PastureBeef.SourceData_PastureBeef_LiveweightNTQLD_Data(),Table_SourceData_PastureBeef_LiveweightNTQD[[#Headers],[State]], 0)</f>
        <v>590</v>
      </c>
    </row>
    <row r="58" spans="4:16" ht="20.100000000000001" customHeight="1" x14ac:dyDescent="0.25">
      <c r="D58" s="1" t="str" cm="1">
        <f t="array" ref="D58">Common_InputFunctions.Utility_DisplayArrayInTable(SourceData_PastureBeef.SourceData_PastureBeef_LiveweightNTQLD_Data(),Table_SourceData_PastureBeef_LiveweightNTQD[[#Headers],[State]], 0)</f>
        <v>Northern Territory</v>
      </c>
      <c r="E58" s="37" t="str" cm="1">
        <f t="array" ref="E58">Common_InputFunctions.Utility_DisplayArrayInTable(SourceData_PastureBeef.SourceData_PastureBeef_LiveweightNTQLD_Data(),Table_SourceData_PastureBeef_LiveweightNTQD[[#Headers],[State]], 0)</f>
        <v>Barkly</v>
      </c>
      <c r="F58" s="37" t="str" cm="1">
        <f t="array" ref="F58">Common_InputFunctions.Utility_DisplayArrayInTable(SourceData_PastureBeef.SourceData_PastureBeef_LiveweightNTQLD_Data(),Table_SourceData_PastureBeef_LiveweightNTQD[[#Headers],[State]], 0)</f>
        <v>Spring</v>
      </c>
      <c r="G58" s="37" cm="1">
        <f t="array" ref="G58">Common_InputFunctions.Utility_DisplayArrayInTable(SourceData_PastureBeef.SourceData_PastureBeef_LiveweightNTQLD_Data(),Table_SourceData_PastureBeef_LiveweightNTQD[[#Headers],[State]], 0)</f>
        <v>220</v>
      </c>
      <c r="H58" s="37" cm="1">
        <f t="array" ref="H58">Common_InputFunctions.Utility_DisplayArrayInTable(SourceData_PastureBeef.SourceData_PastureBeef_LiveweightNTQLD_Data(),Table_SourceData_PastureBeef_LiveweightNTQD[[#Headers],[State]], 0)</f>
        <v>620</v>
      </c>
      <c r="I58" s="37" cm="1">
        <f t="array" ref="I58">Common_InputFunctions.Utility_DisplayArrayInTable(SourceData_PastureBeef.SourceData_PastureBeef_LiveweightNTQLD_Data(),Table_SourceData_PastureBeef_LiveweightNTQD[[#Headers],[State]], 0)</f>
        <v>227</v>
      </c>
      <c r="J58" s="37" cm="1">
        <f t="array" ref="J58">Common_InputFunctions.Utility_DisplayArrayInTable(SourceData_PastureBeef.SourceData_PastureBeef_LiveweightNTQLD_Data(),Table_SourceData_PastureBeef_LiveweightNTQD[[#Headers],[State]], 0)</f>
        <v>319</v>
      </c>
      <c r="K58" s="37" cm="1">
        <f t="array" ref="K58">Common_InputFunctions.Utility_DisplayArrayInTable(SourceData_PastureBeef.SourceData_PastureBeef_LiveweightNTQLD_Data(),Table_SourceData_PastureBeef_LiveweightNTQD[[#Headers],[State]], 0)</f>
        <v>398</v>
      </c>
      <c r="L58" s="37" cm="1">
        <f t="array" ref="L58">Common_InputFunctions.Utility_DisplayArrayInTable(SourceData_PastureBeef.SourceData_PastureBeef_LiveweightNTQLD_Data(),Table_SourceData_PastureBeef_LiveweightNTQD[[#Headers],[State]], 0)</f>
        <v>452</v>
      </c>
      <c r="M58" s="37" cm="1">
        <f t="array" ref="M58">Common_InputFunctions.Utility_DisplayArrayInTable(SourceData_PastureBeef.SourceData_PastureBeef_LiveweightNTQLD_Data(),Table_SourceData_PastureBeef_LiveweightNTQD[[#Headers],[State]], 0)</f>
        <v>216</v>
      </c>
      <c r="N58" s="37" cm="1">
        <f t="array" ref="N58">Common_InputFunctions.Utility_DisplayArrayInTable(SourceData_PastureBeef.SourceData_PastureBeef_LiveweightNTQLD_Data(),Table_SourceData_PastureBeef_LiveweightNTQD[[#Headers],[State]], 0)</f>
        <v>334</v>
      </c>
      <c r="O58" s="37" t="str" cm="1">
        <f t="array" ref="O58">Common_InputFunctions.Utility_DisplayArrayInTable(SourceData_PastureBeef.SourceData_PastureBeef_LiveweightNTQLD_Data(),Table_SourceData_PastureBeef_LiveweightNTQD[[#Headers],[State]], 0)</f>
        <v>NO</v>
      </c>
      <c r="P58" s="37" t="str" cm="1">
        <f t="array" ref="P58">Common_InputFunctions.Utility_DisplayArrayInTable(SourceData_PastureBeef.SourceData_PastureBeef_LiveweightNTQLD_Data(),Table_SourceData_PastureBeef_LiveweightNTQD[[#Headers],[State]], 0)</f>
        <v>NO</v>
      </c>
    </row>
    <row r="59" spans="4:16" ht="20.100000000000001" customHeight="1" x14ac:dyDescent="0.25">
      <c r="D59" s="1" t="str" cm="1">
        <f t="array" ref="D59">Common_InputFunctions.Utility_DisplayArrayInTable(SourceData_PastureBeef.SourceData_PastureBeef_LiveweightNTQLD_Data(),Table_SourceData_PastureBeef_LiveweightNTQD[[#Headers],[State]], 0)</f>
        <v>Northern Territory</v>
      </c>
      <c r="E59" s="37" t="str" cm="1">
        <f t="array" ref="E59">Common_InputFunctions.Utility_DisplayArrayInTable(SourceData_PastureBeef.SourceData_PastureBeef_LiveweightNTQLD_Data(),Table_SourceData_PastureBeef_LiveweightNTQD[[#Headers],[State]], 0)</f>
        <v>Barkly</v>
      </c>
      <c r="F59" s="37" t="str" cm="1">
        <f t="array" ref="F59">Common_InputFunctions.Utility_DisplayArrayInTable(SourceData_PastureBeef.SourceData_PastureBeef_LiveweightNTQLD_Data(),Table_SourceData_PastureBeef_LiveweightNTQD[[#Headers],[State]], 0)</f>
        <v>Summer</v>
      </c>
      <c r="G59" s="37" cm="1">
        <f t="array" ref="G59">Common_InputFunctions.Utility_DisplayArrayInTable(SourceData_PastureBeef.SourceData_PastureBeef_LiveweightNTQLD_Data(),Table_SourceData_PastureBeef_LiveweightNTQD[[#Headers],[State]], 0)</f>
        <v>110</v>
      </c>
      <c r="H59" s="37" cm="1">
        <f t="array" ref="H59">Common_InputFunctions.Utility_DisplayArrayInTable(SourceData_PastureBeef.SourceData_PastureBeef_LiveweightNTQLD_Data(),Table_SourceData_PastureBeef_LiveweightNTQD[[#Headers],[State]], 0)</f>
        <v>650</v>
      </c>
      <c r="I59" s="37" cm="1">
        <f t="array" ref="I59">Common_InputFunctions.Utility_DisplayArrayInTable(SourceData_PastureBeef.SourceData_PastureBeef_LiveweightNTQLD_Data(),Table_SourceData_PastureBeef_LiveweightNTQD[[#Headers],[State]], 0)</f>
        <v>108</v>
      </c>
      <c r="J59" s="37" cm="1">
        <f t="array" ref="J59">Common_InputFunctions.Utility_DisplayArrayInTable(SourceData_PastureBeef.SourceData_PastureBeef_LiveweightNTQLD_Data(),Table_SourceData_PastureBeef_LiveweightNTQD[[#Headers],[State]], 0)</f>
        <v>262</v>
      </c>
      <c r="K59" s="37" cm="1">
        <f t="array" ref="K59">Common_InputFunctions.Utility_DisplayArrayInTable(SourceData_PastureBeef.SourceData_PastureBeef_LiveweightNTQLD_Data(),Table_SourceData_PastureBeef_LiveweightNTQD[[#Headers],[State]], 0)</f>
        <v>346</v>
      </c>
      <c r="L59" s="37" cm="1">
        <f t="array" ref="L59">Common_InputFunctions.Utility_DisplayArrayInTable(SourceData_PastureBeef.SourceData_PastureBeef_LiveweightNTQLD_Data(),Table_SourceData_PastureBeef_LiveweightNTQD[[#Headers],[State]], 0)</f>
        <v>430</v>
      </c>
      <c r="M59" s="37" cm="1">
        <f t="array" ref="M59">Common_InputFunctions.Utility_DisplayArrayInTable(SourceData_PastureBeef.SourceData_PastureBeef_LiveweightNTQLD_Data(),Table_SourceData_PastureBeef_LiveweightNTQD[[#Headers],[State]], 0)</f>
        <v>111</v>
      </c>
      <c r="N59" s="37" cm="1">
        <f t="array" ref="N59">Common_InputFunctions.Utility_DisplayArrayInTable(SourceData_PastureBeef.SourceData_PastureBeef_LiveweightNTQLD_Data(),Table_SourceData_PastureBeef_LiveweightNTQD[[#Headers],[State]], 0)</f>
        <v>236</v>
      </c>
      <c r="O59" s="37" t="str" cm="1">
        <f t="array" ref="O59">Common_InputFunctions.Utility_DisplayArrayInTable(SourceData_PastureBeef.SourceData_PastureBeef_LiveweightNTQLD_Data(),Table_SourceData_PastureBeef_LiveweightNTQD[[#Headers],[State]], 0)</f>
        <v>NO</v>
      </c>
      <c r="P59" s="37" t="str" cm="1">
        <f t="array" ref="P59">Common_InputFunctions.Utility_DisplayArrayInTable(SourceData_PastureBeef.SourceData_PastureBeef_LiveweightNTQLD_Data(),Table_SourceData_PastureBeef_LiveweightNTQD[[#Headers],[State]], 0)</f>
        <v>NO</v>
      </c>
    </row>
    <row r="60" spans="4:16" ht="20.100000000000001" customHeight="1" x14ac:dyDescent="0.25">
      <c r="D60" s="1" t="str" cm="1">
        <f t="array" ref="D60">Common_InputFunctions.Utility_DisplayArrayInTable(SourceData_PastureBeef.SourceData_PastureBeef_LiveweightNTQLD_Data(),Table_SourceData_PastureBeef_LiveweightNTQD[[#Headers],[State]], 0)</f>
        <v>Northern Territory</v>
      </c>
      <c r="E60" s="37" t="str" cm="1">
        <f t="array" ref="E60">Common_InputFunctions.Utility_DisplayArrayInTable(SourceData_PastureBeef.SourceData_PastureBeef_LiveweightNTQLD_Data(),Table_SourceData_PastureBeef_LiveweightNTQD[[#Headers],[State]], 0)</f>
        <v>Barkly</v>
      </c>
      <c r="F60" s="37" t="str" cm="1">
        <f t="array" ref="F60">Common_InputFunctions.Utility_DisplayArrayInTable(SourceData_PastureBeef.SourceData_PastureBeef_LiveweightNTQLD_Data(),Table_SourceData_PastureBeef_LiveweightNTQD[[#Headers],[State]], 0)</f>
        <v>Autumn</v>
      </c>
      <c r="G60" s="37" cm="1">
        <f t="array" ref="G60">Common_InputFunctions.Utility_DisplayArrayInTable(SourceData_PastureBeef.SourceData_PastureBeef_LiveweightNTQLD_Data(),Table_SourceData_PastureBeef_LiveweightNTQD[[#Headers],[State]], 0)</f>
        <v>170</v>
      </c>
      <c r="H60" s="37" cm="1">
        <f t="array" ref="H60">Common_InputFunctions.Utility_DisplayArrayInTable(SourceData_PastureBeef.SourceData_PastureBeef_LiveweightNTQLD_Data(),Table_SourceData_PastureBeef_LiveweightNTQD[[#Headers],[State]], 0)</f>
        <v>670</v>
      </c>
      <c r="I60" s="37" cm="1">
        <f t="array" ref="I60">Common_InputFunctions.Utility_DisplayArrayInTable(SourceData_PastureBeef.SourceData_PastureBeef_LiveweightNTQLD_Data(),Table_SourceData_PastureBeef_LiveweightNTQD[[#Headers],[State]], 0)</f>
        <v>170</v>
      </c>
      <c r="J60" s="37" cm="1">
        <f t="array" ref="J60">Common_InputFunctions.Utility_DisplayArrayInTable(SourceData_PastureBeef.SourceData_PastureBeef_LiveweightNTQLD_Data(),Table_SourceData_PastureBeef_LiveweightNTQD[[#Headers],[State]], 0)</f>
        <v>266</v>
      </c>
      <c r="K60" s="37" cm="1">
        <f t="array" ref="K60">Common_InputFunctions.Utility_DisplayArrayInTable(SourceData_PastureBeef.SourceData_PastureBeef_LiveweightNTQLD_Data(),Table_SourceData_PastureBeef_LiveweightNTQD[[#Headers],[State]], 0)</f>
        <v>363</v>
      </c>
      <c r="L60" s="37" cm="1">
        <f t="array" ref="L60">Common_InputFunctions.Utility_DisplayArrayInTable(SourceData_PastureBeef.SourceData_PastureBeef_LiveweightNTQLD_Data(),Table_SourceData_PastureBeef_LiveweightNTQD[[#Headers],[State]], 0)</f>
        <v>444</v>
      </c>
      <c r="M60" s="37" cm="1">
        <f t="array" ref="M60">Common_InputFunctions.Utility_DisplayArrayInTable(SourceData_PastureBeef.SourceData_PastureBeef_LiveweightNTQLD_Data(),Table_SourceData_PastureBeef_LiveweightNTQD[[#Headers],[State]], 0)</f>
        <v>169</v>
      </c>
      <c r="N60" s="37" cm="1">
        <f t="array" ref="N60">Common_InputFunctions.Utility_DisplayArrayInTable(SourceData_PastureBeef.SourceData_PastureBeef_LiveweightNTQLD_Data(),Table_SourceData_PastureBeef_LiveweightNTQD[[#Headers],[State]], 0)</f>
        <v>282</v>
      </c>
      <c r="O60" s="37" t="str" cm="1">
        <f t="array" ref="O60">Common_InputFunctions.Utility_DisplayArrayInTable(SourceData_PastureBeef.SourceData_PastureBeef_LiveweightNTQLD_Data(),Table_SourceData_PastureBeef_LiveweightNTQD[[#Headers],[State]], 0)</f>
        <v>NO</v>
      </c>
      <c r="P60" s="37" t="str" cm="1">
        <f t="array" ref="P60">Common_InputFunctions.Utility_DisplayArrayInTable(SourceData_PastureBeef.SourceData_PastureBeef_LiveweightNTQLD_Data(),Table_SourceData_PastureBeef_LiveweightNTQD[[#Headers],[State]], 0)</f>
        <v>NO</v>
      </c>
    </row>
    <row r="61" spans="4:16" ht="20.100000000000001" customHeight="1" x14ac:dyDescent="0.25">
      <c r="D61" s="1" t="str" cm="1">
        <f t="array" ref="D61">Common_InputFunctions.Utility_DisplayArrayInTable(SourceData_PastureBeef.SourceData_PastureBeef_LiveweightNTQLD_Data(),Table_SourceData_PastureBeef_LiveweightNTQD[[#Headers],[State]], 0)</f>
        <v>Northern Territory</v>
      </c>
      <c r="E61" s="37" t="str" cm="1">
        <f t="array" ref="E61">Common_InputFunctions.Utility_DisplayArrayInTable(SourceData_PastureBeef.SourceData_PastureBeef_LiveweightNTQLD_Data(),Table_SourceData_PastureBeef_LiveweightNTQD[[#Headers],[State]], 0)</f>
        <v>Barkly</v>
      </c>
      <c r="F61" s="37" t="str" cm="1">
        <f t="array" ref="F61">Common_InputFunctions.Utility_DisplayArrayInTable(SourceData_PastureBeef.SourceData_PastureBeef_LiveweightNTQLD_Data(),Table_SourceData_PastureBeef_LiveweightNTQD[[#Headers],[State]], 0)</f>
        <v>Winter</v>
      </c>
      <c r="G61" s="37" cm="1">
        <f t="array" ref="G61">Common_InputFunctions.Utility_DisplayArrayInTable(SourceData_PastureBeef.SourceData_PastureBeef_LiveweightNTQLD_Data(),Table_SourceData_PastureBeef_LiveweightNTQD[[#Headers],[State]], 0)</f>
        <v>200</v>
      </c>
      <c r="H61" s="37" cm="1">
        <f t="array" ref="H61">Common_InputFunctions.Utility_DisplayArrayInTable(SourceData_PastureBeef.SourceData_PastureBeef_LiveweightNTQLD_Data(),Table_SourceData_PastureBeef_LiveweightNTQD[[#Headers],[State]], 0)</f>
        <v>660</v>
      </c>
      <c r="I61" s="37" cm="1">
        <f t="array" ref="I61">Common_InputFunctions.Utility_DisplayArrayInTable(SourceData_PastureBeef.SourceData_PastureBeef_LiveweightNTQLD_Data(),Table_SourceData_PastureBeef_LiveweightNTQD[[#Headers],[State]], 0)</f>
        <v>225</v>
      </c>
      <c r="J61" s="37" cm="1">
        <f t="array" ref="J61">Common_InputFunctions.Utility_DisplayArrayInTable(SourceData_PastureBeef.SourceData_PastureBeef_LiveweightNTQLD_Data(),Table_SourceData_PastureBeef_LiveweightNTQD[[#Headers],[State]], 0)</f>
        <v>307</v>
      </c>
      <c r="K61" s="37" cm="1">
        <f t="array" ref="K61">Common_InputFunctions.Utility_DisplayArrayInTable(SourceData_PastureBeef.SourceData_PastureBeef_LiveweightNTQLD_Data(),Table_SourceData_PastureBeef_LiveweightNTQD[[#Headers],[State]], 0)</f>
        <v>398</v>
      </c>
      <c r="L61" s="37" cm="1">
        <f t="array" ref="L61">Common_InputFunctions.Utility_DisplayArrayInTable(SourceData_PastureBeef.SourceData_PastureBeef_LiveweightNTQLD_Data(),Table_SourceData_PastureBeef_LiveweightNTQD[[#Headers],[State]], 0)</f>
        <v>452</v>
      </c>
      <c r="M61" s="37" cm="1">
        <f t="array" ref="M61">Common_InputFunctions.Utility_DisplayArrayInTable(SourceData_PastureBeef.SourceData_PastureBeef_LiveweightNTQLD_Data(),Table_SourceData_PastureBeef_LiveweightNTQD[[#Headers],[State]], 0)</f>
        <v>214</v>
      </c>
      <c r="N61" s="37" cm="1">
        <f t="array" ref="N61">Common_InputFunctions.Utility_DisplayArrayInTable(SourceData_PastureBeef.SourceData_PastureBeef_LiveweightNTQLD_Data(),Table_SourceData_PastureBeef_LiveweightNTQD[[#Headers],[State]], 0)</f>
        <v>326</v>
      </c>
      <c r="O61" s="37" t="str" cm="1">
        <f t="array" ref="O61">Common_InputFunctions.Utility_DisplayArrayInTable(SourceData_PastureBeef.SourceData_PastureBeef_LiveweightNTQLD_Data(),Table_SourceData_PastureBeef_LiveweightNTQD[[#Headers],[State]], 0)</f>
        <v>NO</v>
      </c>
      <c r="P61" s="37" t="str" cm="1">
        <f t="array" ref="P61">Common_InputFunctions.Utility_DisplayArrayInTable(SourceData_PastureBeef.SourceData_PastureBeef_LiveweightNTQLD_Data(),Table_SourceData_PastureBeef_LiveweightNTQD[[#Headers],[State]], 0)</f>
        <v>NO</v>
      </c>
    </row>
    <row r="62" spans="4:16" ht="20.100000000000001" customHeight="1" x14ac:dyDescent="0.25">
      <c r="D62" s="1" t="str" cm="1">
        <f t="array" ref="D62">Common_InputFunctions.Utility_DisplayArrayInTable(SourceData_PastureBeef.SourceData_PastureBeef_LiveweightNTQLD_Data(),Table_SourceData_PastureBeef_LiveweightNTQD[[#Headers],[State]], 0)</f>
        <v>Northern Territory</v>
      </c>
      <c r="E62" s="37" t="str" cm="1">
        <f t="array" ref="E62">Common_InputFunctions.Utility_DisplayArrayInTable(SourceData_PastureBeef.SourceData_PastureBeef_LiveweightNTQLD_Data(),Table_SourceData_PastureBeef_LiveweightNTQD[[#Headers],[State]], 0)</f>
        <v>Northern</v>
      </c>
      <c r="F62" s="37" t="str" cm="1">
        <f t="array" ref="F62">Common_InputFunctions.Utility_DisplayArrayInTable(SourceData_PastureBeef.SourceData_PastureBeef_LiveweightNTQLD_Data(),Table_SourceData_PastureBeef_LiveweightNTQD[[#Headers],[State]], 0)</f>
        <v>Spring</v>
      </c>
      <c r="G62" s="37" cm="1">
        <f t="array" ref="G62">Common_InputFunctions.Utility_DisplayArrayInTable(SourceData_PastureBeef.SourceData_PastureBeef_LiveweightNTQLD_Data(),Table_SourceData_PastureBeef_LiveweightNTQD[[#Headers],[State]], 0)</f>
        <v>220</v>
      </c>
      <c r="H62" s="37" cm="1">
        <f t="array" ref="H62">Common_InputFunctions.Utility_DisplayArrayInTable(SourceData_PastureBeef.SourceData_PastureBeef_LiveweightNTQLD_Data(),Table_SourceData_PastureBeef_LiveweightNTQD[[#Headers],[State]], 0)</f>
        <v>620</v>
      </c>
      <c r="I62" s="37" cm="1">
        <f t="array" ref="I62">Common_InputFunctions.Utility_DisplayArrayInTable(SourceData_PastureBeef.SourceData_PastureBeef_LiveweightNTQLD_Data(),Table_SourceData_PastureBeef_LiveweightNTQD[[#Headers],[State]], 0)</f>
        <v>177</v>
      </c>
      <c r="J62" s="37" cm="1">
        <f t="array" ref="J62">Common_InputFunctions.Utility_DisplayArrayInTable(SourceData_PastureBeef.SourceData_PastureBeef_LiveweightNTQLD_Data(),Table_SourceData_PastureBeef_LiveweightNTQD[[#Headers],[State]], 0)</f>
        <v>267</v>
      </c>
      <c r="K62" s="37" cm="1">
        <f t="array" ref="K62">Common_InputFunctions.Utility_DisplayArrayInTable(SourceData_PastureBeef.SourceData_PastureBeef_LiveweightNTQLD_Data(),Table_SourceData_PastureBeef_LiveweightNTQD[[#Headers],[State]], 0)</f>
        <v>365</v>
      </c>
      <c r="L62" s="37" cm="1">
        <f t="array" ref="L62">Common_InputFunctions.Utility_DisplayArrayInTable(SourceData_PastureBeef.SourceData_PastureBeef_LiveweightNTQLD_Data(),Table_SourceData_PastureBeef_LiveweightNTQD[[#Headers],[State]], 0)</f>
        <v>406</v>
      </c>
      <c r="M62" s="37" cm="1">
        <f t="array" ref="M62">Common_InputFunctions.Utility_DisplayArrayInTable(SourceData_PastureBeef.SourceData_PastureBeef_LiveweightNTQLD_Data(),Table_SourceData_PastureBeef_LiveweightNTQD[[#Headers],[State]], 0)</f>
        <v>231</v>
      </c>
      <c r="N62" s="37" cm="1">
        <f t="array" ref="N62">Common_InputFunctions.Utility_DisplayArrayInTable(SourceData_PastureBeef.SourceData_PastureBeef_LiveweightNTQLD_Data(),Table_SourceData_PastureBeef_LiveweightNTQD[[#Headers],[State]], 0)</f>
        <v>249</v>
      </c>
      <c r="O62" s="37" cm="1">
        <f t="array" ref="O62">Common_InputFunctions.Utility_DisplayArrayInTable(SourceData_PastureBeef.SourceData_PastureBeef_LiveweightNTQLD_Data(),Table_SourceData_PastureBeef_LiveweightNTQD[[#Headers],[State]], 0)</f>
        <v>324</v>
      </c>
      <c r="P62" s="37" t="str" cm="1">
        <f t="array" ref="P62">Common_InputFunctions.Utility_DisplayArrayInTable(SourceData_PastureBeef.SourceData_PastureBeef_LiveweightNTQLD_Data(),Table_SourceData_PastureBeef_LiveweightNTQD[[#Headers],[State]], 0)</f>
        <v>NO</v>
      </c>
    </row>
    <row r="63" spans="4:16" ht="20.100000000000001" customHeight="1" x14ac:dyDescent="0.25">
      <c r="D63" s="1" t="str" cm="1">
        <f t="array" ref="D63">Common_InputFunctions.Utility_DisplayArrayInTable(SourceData_PastureBeef.SourceData_PastureBeef_LiveweightNTQLD_Data(),Table_SourceData_PastureBeef_LiveweightNTQD[[#Headers],[State]], 0)</f>
        <v>Northern Territory</v>
      </c>
      <c r="E63" s="37" t="str" cm="1">
        <f t="array" ref="E63">Common_InputFunctions.Utility_DisplayArrayInTable(SourceData_PastureBeef.SourceData_PastureBeef_LiveweightNTQLD_Data(),Table_SourceData_PastureBeef_LiveweightNTQD[[#Headers],[State]], 0)</f>
        <v>Northern</v>
      </c>
      <c r="F63" s="37" t="str" cm="1">
        <f t="array" ref="F63">Common_InputFunctions.Utility_DisplayArrayInTable(SourceData_PastureBeef.SourceData_PastureBeef_LiveweightNTQLD_Data(),Table_SourceData_PastureBeef_LiveweightNTQD[[#Headers],[State]], 0)</f>
        <v>Summer</v>
      </c>
      <c r="G63" s="37" cm="1">
        <f t="array" ref="G63">Common_InputFunctions.Utility_DisplayArrayInTable(SourceData_PastureBeef.SourceData_PastureBeef_LiveweightNTQLD_Data(),Table_SourceData_PastureBeef_LiveweightNTQD[[#Headers],[State]], 0)</f>
        <v>110</v>
      </c>
      <c r="H63" s="37" cm="1">
        <f t="array" ref="H63">Common_InputFunctions.Utility_DisplayArrayInTable(SourceData_PastureBeef.SourceData_PastureBeef_LiveweightNTQLD_Data(),Table_SourceData_PastureBeef_LiveweightNTQD[[#Headers],[State]], 0)</f>
        <v>650</v>
      </c>
      <c r="I63" s="37" cm="1">
        <f t="array" ref="I63">Common_InputFunctions.Utility_DisplayArrayInTable(SourceData_PastureBeef.SourceData_PastureBeef_LiveweightNTQLD_Data(),Table_SourceData_PastureBeef_LiveweightNTQD[[#Headers],[State]], 0)</f>
        <v>102</v>
      </c>
      <c r="J63" s="37" cm="1">
        <f t="array" ref="J63">Common_InputFunctions.Utility_DisplayArrayInTable(SourceData_PastureBeef.SourceData_PastureBeef_LiveweightNTQLD_Data(),Table_SourceData_PastureBeef_LiveweightNTQD[[#Headers],[State]], 0)</f>
        <v>203</v>
      </c>
      <c r="K63" s="37" cm="1">
        <f t="array" ref="K63">Common_InputFunctions.Utility_DisplayArrayInTable(SourceData_PastureBeef.SourceData_PastureBeef_LiveweightNTQLD_Data(),Table_SourceData_PastureBeef_LiveweightNTQD[[#Headers],[State]], 0)</f>
        <v>299</v>
      </c>
      <c r="L63" s="37" cm="1">
        <f t="array" ref="L63">Common_InputFunctions.Utility_DisplayArrayInTable(SourceData_PastureBeef.SourceData_PastureBeef_LiveweightNTQLD_Data(),Table_SourceData_PastureBeef_LiveweightNTQD[[#Headers],[State]], 0)</f>
        <v>380</v>
      </c>
      <c r="M63" s="37" cm="1">
        <f t="array" ref="M63">Common_InputFunctions.Utility_DisplayArrayInTable(SourceData_PastureBeef.SourceData_PastureBeef_LiveweightNTQLD_Data(),Table_SourceData_PastureBeef_LiveweightNTQD[[#Headers],[State]], 0)</f>
        <v>102</v>
      </c>
      <c r="N63" s="37" cm="1">
        <f t="array" ref="N63">Common_InputFunctions.Utility_DisplayArrayInTable(SourceData_PastureBeef.SourceData_PastureBeef_LiveweightNTQLD_Data(),Table_SourceData_PastureBeef_LiveweightNTQD[[#Headers],[State]], 0)</f>
        <v>218</v>
      </c>
      <c r="O63" s="37" cm="1">
        <f t="array" ref="O63">Common_InputFunctions.Utility_DisplayArrayInTable(SourceData_PastureBeef.SourceData_PastureBeef_LiveweightNTQLD_Data(),Table_SourceData_PastureBeef_LiveweightNTQD[[#Headers],[State]], 0)</f>
        <v>263</v>
      </c>
      <c r="P63" s="37" t="str" cm="1">
        <f t="array" ref="P63">Common_InputFunctions.Utility_DisplayArrayInTable(SourceData_PastureBeef.SourceData_PastureBeef_LiveweightNTQLD_Data(),Table_SourceData_PastureBeef_LiveweightNTQD[[#Headers],[State]], 0)</f>
        <v>NO</v>
      </c>
    </row>
    <row r="64" spans="4:16" ht="20.100000000000001" customHeight="1" x14ac:dyDescent="0.25">
      <c r="D64" s="1" t="str" cm="1">
        <f t="array" ref="D64">Common_InputFunctions.Utility_DisplayArrayInTable(SourceData_PastureBeef.SourceData_PastureBeef_LiveweightNTQLD_Data(),Table_SourceData_PastureBeef_LiveweightNTQD[[#Headers],[State]], 0)</f>
        <v>Northern Territory</v>
      </c>
      <c r="E64" s="37" t="str" cm="1">
        <f t="array" ref="E64">Common_InputFunctions.Utility_DisplayArrayInTable(SourceData_PastureBeef.SourceData_PastureBeef_LiveweightNTQLD_Data(),Table_SourceData_PastureBeef_LiveweightNTQD[[#Headers],[State]], 0)</f>
        <v>Northern</v>
      </c>
      <c r="F64" s="37" t="str" cm="1">
        <f t="array" ref="F64">Common_InputFunctions.Utility_DisplayArrayInTable(SourceData_PastureBeef.SourceData_PastureBeef_LiveweightNTQLD_Data(),Table_SourceData_PastureBeef_LiveweightNTQD[[#Headers],[State]], 0)</f>
        <v>Autumn</v>
      </c>
      <c r="G64" s="37" cm="1">
        <f t="array" ref="G64">Common_InputFunctions.Utility_DisplayArrayInTable(SourceData_PastureBeef.SourceData_PastureBeef_LiveweightNTQLD_Data(),Table_SourceData_PastureBeef_LiveweightNTQD[[#Headers],[State]], 0)</f>
        <v>170</v>
      </c>
      <c r="H64" s="37" cm="1">
        <f t="array" ref="H64">Common_InputFunctions.Utility_DisplayArrayInTable(SourceData_PastureBeef.SourceData_PastureBeef_LiveweightNTQLD_Data(),Table_SourceData_PastureBeef_LiveweightNTQD[[#Headers],[State]], 0)</f>
        <v>670</v>
      </c>
      <c r="I64" s="37" cm="1">
        <f t="array" ref="I64">Common_InputFunctions.Utility_DisplayArrayInTable(SourceData_PastureBeef.SourceData_PastureBeef_LiveweightNTQLD_Data(),Table_SourceData_PastureBeef_LiveweightNTQD[[#Headers],[State]], 0)</f>
        <v>173</v>
      </c>
      <c r="J64" s="37" cm="1">
        <f t="array" ref="J64">Common_InputFunctions.Utility_DisplayArrayInTable(SourceData_PastureBeef.SourceData_PastureBeef_LiveweightNTQLD_Data(),Table_SourceData_PastureBeef_LiveweightNTQD[[#Headers],[State]], 0)</f>
        <v>250</v>
      </c>
      <c r="K64" s="37" cm="1">
        <f t="array" ref="K64">Common_InputFunctions.Utility_DisplayArrayInTable(SourceData_PastureBeef.SourceData_PastureBeef_LiveweightNTQLD_Data(),Table_SourceData_PastureBeef_LiveweightNTQD[[#Headers],[State]], 0)</f>
        <v>336</v>
      </c>
      <c r="L64" s="37" cm="1">
        <f t="array" ref="L64">Common_InputFunctions.Utility_DisplayArrayInTable(SourceData_PastureBeef.SourceData_PastureBeef_LiveweightNTQLD_Data(),Table_SourceData_PastureBeef_LiveweightNTQD[[#Headers],[State]], 0)</f>
        <v>414</v>
      </c>
      <c r="M64" s="37" cm="1">
        <f t="array" ref="M64">Common_InputFunctions.Utility_DisplayArrayInTable(SourceData_PastureBeef.SourceData_PastureBeef_LiveweightNTQLD_Data(),Table_SourceData_PastureBeef_LiveweightNTQD[[#Headers],[State]], 0)</f>
        <v>175</v>
      </c>
      <c r="N64" s="37" cm="1">
        <f t="array" ref="N64">Common_InputFunctions.Utility_DisplayArrayInTable(SourceData_PastureBeef.SourceData_PastureBeef_LiveweightNTQLD_Data(),Table_SourceData_PastureBeef_LiveweightNTQD[[#Headers],[State]], 0)</f>
        <v>243</v>
      </c>
      <c r="O64" s="37" cm="1">
        <f t="array" ref="O64">Common_InputFunctions.Utility_DisplayArrayInTable(SourceData_PastureBeef.SourceData_PastureBeef_LiveweightNTQLD_Data(),Table_SourceData_PastureBeef_LiveweightNTQD[[#Headers],[State]], 0)</f>
        <v>304</v>
      </c>
      <c r="P64" s="37" t="str" cm="1">
        <f t="array" ref="P64">Common_InputFunctions.Utility_DisplayArrayInTable(SourceData_PastureBeef.SourceData_PastureBeef_LiveweightNTQLD_Data(),Table_SourceData_PastureBeef_LiveweightNTQD[[#Headers],[State]], 0)</f>
        <v>NO</v>
      </c>
    </row>
    <row r="65" spans="4:22" ht="20.100000000000001" customHeight="1" x14ac:dyDescent="0.25">
      <c r="D65" s="1" t="str" cm="1">
        <f t="array" ref="D65">Common_InputFunctions.Utility_DisplayArrayInTable(SourceData_PastureBeef.SourceData_PastureBeef_LiveweightNTQLD_Data(),Table_SourceData_PastureBeef_LiveweightNTQD[[#Headers],[State]], 0)</f>
        <v>Northern Territory</v>
      </c>
      <c r="E65" s="37" t="str" cm="1">
        <f t="array" ref="E65">Common_InputFunctions.Utility_DisplayArrayInTable(SourceData_PastureBeef.SourceData_PastureBeef_LiveweightNTQLD_Data(),Table_SourceData_PastureBeef_LiveweightNTQD[[#Headers],[State]], 0)</f>
        <v>Northern</v>
      </c>
      <c r="F65" s="37" t="str" cm="1">
        <f t="array" ref="F65">Common_InputFunctions.Utility_DisplayArrayInTable(SourceData_PastureBeef.SourceData_PastureBeef_LiveweightNTQLD_Data(),Table_SourceData_PastureBeef_LiveweightNTQD[[#Headers],[State]], 0)</f>
        <v>Winter</v>
      </c>
      <c r="G65" s="37" cm="1">
        <f t="array" ref="G65">Common_InputFunctions.Utility_DisplayArrayInTable(SourceData_PastureBeef.SourceData_PastureBeef_LiveweightNTQLD_Data(),Table_SourceData_PastureBeef_LiveweightNTQD[[#Headers],[State]], 0)</f>
        <v>200</v>
      </c>
      <c r="H65" s="37" cm="1">
        <f t="array" ref="H65">Common_InputFunctions.Utility_DisplayArrayInTable(SourceData_PastureBeef.SourceData_PastureBeef_LiveweightNTQLD_Data(),Table_SourceData_PastureBeef_LiveweightNTQD[[#Headers],[State]], 0)</f>
        <v>660</v>
      </c>
      <c r="I65" s="37" cm="1">
        <f t="array" ref="I65">Common_InputFunctions.Utility_DisplayArrayInTable(SourceData_PastureBeef.SourceData_PastureBeef_LiveweightNTQLD_Data(),Table_SourceData_PastureBeef_LiveweightNTQD[[#Headers],[State]], 0)</f>
        <v>202</v>
      </c>
      <c r="J65" s="37" cm="1">
        <f t="array" ref="J65">Common_InputFunctions.Utility_DisplayArrayInTable(SourceData_PastureBeef.SourceData_PastureBeef_LiveweightNTQLD_Data(),Table_SourceData_PastureBeef_LiveweightNTQD[[#Headers],[State]], 0)</f>
        <v>272</v>
      </c>
      <c r="K65" s="37" cm="1">
        <f t="array" ref="K65">Common_InputFunctions.Utility_DisplayArrayInTable(SourceData_PastureBeef.SourceData_PastureBeef_LiveweightNTQLD_Data(),Table_SourceData_PastureBeef_LiveweightNTQD[[#Headers],[State]], 0)</f>
        <v>365</v>
      </c>
      <c r="L65" s="37" cm="1">
        <f t="array" ref="L65">Common_InputFunctions.Utility_DisplayArrayInTable(SourceData_PastureBeef.SourceData_PastureBeef_LiveweightNTQLD_Data(),Table_SourceData_PastureBeef_LiveweightNTQD[[#Headers],[State]], 0)</f>
        <v>390</v>
      </c>
      <c r="M65" s="37" cm="1">
        <f t="array" ref="M65">Common_InputFunctions.Utility_DisplayArrayInTable(SourceData_PastureBeef.SourceData_PastureBeef_LiveweightNTQLD_Data(),Table_SourceData_PastureBeef_LiveweightNTQD[[#Headers],[State]], 0)</f>
        <v>208</v>
      </c>
      <c r="N65" s="37" cm="1">
        <f t="array" ref="N65">Common_InputFunctions.Utility_DisplayArrayInTable(SourceData_PastureBeef.SourceData_PastureBeef_LiveweightNTQLD_Data(),Table_SourceData_PastureBeef_LiveweightNTQD[[#Headers],[State]], 0)</f>
        <v>260</v>
      </c>
      <c r="O65" s="37" cm="1">
        <f t="array" ref="O65">Common_InputFunctions.Utility_DisplayArrayInTable(SourceData_PastureBeef.SourceData_PastureBeef_LiveweightNTQLD_Data(),Table_SourceData_PastureBeef_LiveweightNTQD[[#Headers],[State]], 0)</f>
        <v>337</v>
      </c>
      <c r="P65" s="37" t="str" cm="1">
        <f t="array" ref="P65">Common_InputFunctions.Utility_DisplayArrayInTable(SourceData_PastureBeef.SourceData_PastureBeef_LiveweightNTQLD_Data(),Table_SourceData_PastureBeef_LiveweightNTQD[[#Headers],[State]], 0)</f>
        <v>NO</v>
      </c>
    </row>
    <row r="66" spans="4:22" ht="20.100000000000001" customHeight="1" x14ac:dyDescent="0.25">
      <c r="D66" s="1" t="str" cm="1">
        <f t="array" ref="D66">Common_InputFunctions.Utility_DisplayArrayInTable(SourceData_PastureBeef.SourceData_PastureBeef_LiveweightNTQLD_Data(),Table_SourceData_PastureBeef_LiveweightNTQD[[#Headers],[State]], 0)</f>
        <v>Queensland</v>
      </c>
      <c r="E66" s="37" t="str" cm="1">
        <f t="array" ref="E66">Common_InputFunctions.Utility_DisplayArrayInTable(SourceData_PastureBeef.SourceData_PastureBeef_LiveweightNTQLD_Data(),Table_SourceData_PastureBeef_LiveweightNTQD[[#Headers],[State]], 0)</f>
        <v>High</v>
      </c>
      <c r="F66" s="37" t="str" cm="1">
        <f t="array" ref="F66">Common_InputFunctions.Utility_DisplayArrayInTable(SourceData_PastureBeef.SourceData_PastureBeef_LiveweightNTQLD_Data(),Table_SourceData_PastureBeef_LiveweightNTQD[[#Headers],[State]], 0)</f>
        <v>Spring</v>
      </c>
      <c r="G66" s="37" cm="1">
        <f t="array" ref="G66">Common_InputFunctions.Utility_DisplayArrayInTable(SourceData_PastureBeef.SourceData_PastureBeef_LiveweightNTQLD_Data(),Table_SourceData_PastureBeef_LiveweightNTQD[[#Headers],[State]], 0)</f>
        <v>260</v>
      </c>
      <c r="H66" s="37" cm="1">
        <f t="array" ref="H66">Common_InputFunctions.Utility_DisplayArrayInTable(SourceData_PastureBeef.SourceData_PastureBeef_LiveweightNTQLD_Data(),Table_SourceData_PastureBeef_LiveweightNTQD[[#Headers],[State]], 0)</f>
        <v>705</v>
      </c>
      <c r="I66" s="37" cm="1">
        <f t="array" ref="I66">Common_InputFunctions.Utility_DisplayArrayInTable(SourceData_PastureBeef.SourceData_PastureBeef_LiveweightNTQLD_Data(),Table_SourceData_PastureBeef_LiveweightNTQD[[#Headers],[State]], 0)</f>
        <v>215</v>
      </c>
      <c r="J66" s="37" cm="1">
        <f t="array" ref="J66">Common_InputFunctions.Utility_DisplayArrayInTable(SourceData_PastureBeef.SourceData_PastureBeef_LiveweightNTQLD_Data(),Table_SourceData_PastureBeef_LiveweightNTQD[[#Headers],[State]], 0)</f>
        <v>302</v>
      </c>
      <c r="K66" s="37" cm="1">
        <f t="array" ref="K66">Common_InputFunctions.Utility_DisplayArrayInTable(SourceData_PastureBeef.SourceData_PastureBeef_LiveweightNTQLD_Data(),Table_SourceData_PastureBeef_LiveweightNTQD[[#Headers],[State]], 0)</f>
        <v>416</v>
      </c>
      <c r="L66" s="37" cm="1">
        <f t="array" ref="L66">Common_InputFunctions.Utility_DisplayArrayInTable(SourceData_PastureBeef.SourceData_PastureBeef_LiveweightNTQLD_Data(),Table_SourceData_PastureBeef_LiveweightNTQD[[#Headers],[State]], 0)</f>
        <v>519</v>
      </c>
      <c r="M66" s="37" cm="1">
        <f t="array" ref="M66">Common_InputFunctions.Utility_DisplayArrayInTable(SourceData_PastureBeef.SourceData_PastureBeef_LiveweightNTQLD_Data(),Table_SourceData_PastureBeef_LiveweightNTQD[[#Headers],[State]], 0)</f>
        <v>234</v>
      </c>
      <c r="N66" s="37" cm="1">
        <f t="array" ref="N66">Common_InputFunctions.Utility_DisplayArrayInTable(SourceData_PastureBeef.SourceData_PastureBeef_LiveweightNTQLD_Data(),Table_SourceData_PastureBeef_LiveweightNTQD[[#Headers],[State]], 0)</f>
        <v>455</v>
      </c>
      <c r="O66" s="37" cm="1">
        <f t="array" ref="O66">Common_InputFunctions.Utility_DisplayArrayInTable(SourceData_PastureBeef.SourceData_PastureBeef_LiveweightNTQLD_Data(),Table_SourceData_PastureBeef_LiveweightNTQD[[#Headers],[State]], 0)</f>
        <v>551</v>
      </c>
      <c r="P66" s="37" cm="1">
        <f t="array" ref="P66">Common_InputFunctions.Utility_DisplayArrayInTable(SourceData_PastureBeef.SourceData_PastureBeef_LiveweightNTQLD_Data(),Table_SourceData_PastureBeef_LiveweightNTQD[[#Headers],[State]], 0)</f>
        <v>660</v>
      </c>
    </row>
    <row r="67" spans="4:22" ht="20.100000000000001" customHeight="1" x14ac:dyDescent="0.25">
      <c r="D67" s="1" t="str" cm="1">
        <f t="array" ref="D67">Common_InputFunctions.Utility_DisplayArrayInTable(SourceData_PastureBeef.SourceData_PastureBeef_LiveweightNTQLD_Data(),Table_SourceData_PastureBeef_LiveweightNTQD[[#Headers],[State]], 0)</f>
        <v>Queensland</v>
      </c>
      <c r="E67" s="37" t="str" cm="1">
        <f t="array" ref="E67">Common_InputFunctions.Utility_DisplayArrayInTable(SourceData_PastureBeef.SourceData_PastureBeef_LiveweightNTQLD_Data(),Table_SourceData_PastureBeef_LiveweightNTQD[[#Headers],[State]], 0)</f>
        <v>High</v>
      </c>
      <c r="F67" s="37" t="str" cm="1">
        <f t="array" ref="F67">Common_InputFunctions.Utility_DisplayArrayInTable(SourceData_PastureBeef.SourceData_PastureBeef_LiveweightNTQLD_Data(),Table_SourceData_PastureBeef_LiveweightNTQD[[#Headers],[State]], 0)</f>
        <v>Summer</v>
      </c>
      <c r="G67" s="37" cm="1">
        <f t="array" ref="G67">Common_InputFunctions.Utility_DisplayArrayInTable(SourceData_PastureBeef.SourceData_PastureBeef_LiveweightNTQLD_Data(),Table_SourceData_PastureBeef_LiveweightNTQD[[#Headers],[State]], 0)</f>
        <v>153</v>
      </c>
      <c r="H67" s="37" cm="1">
        <f t="array" ref="H67">Common_InputFunctions.Utility_DisplayArrayInTable(SourceData_PastureBeef.SourceData_PastureBeef_LiveweightNTQLD_Data(),Table_SourceData_PastureBeef_LiveweightNTQD[[#Headers],[State]], 0)</f>
        <v>703</v>
      </c>
      <c r="I67" s="37" cm="1">
        <f t="array" ref="I67">Common_InputFunctions.Utility_DisplayArrayInTable(SourceData_PastureBeef.SourceData_PastureBeef_LiveweightNTQLD_Data(),Table_SourceData_PastureBeef_LiveweightNTQD[[#Headers],[State]], 0)</f>
        <v>118</v>
      </c>
      <c r="J67" s="37" cm="1">
        <f t="array" ref="J67">Common_InputFunctions.Utility_DisplayArrayInTable(SourceData_PastureBeef.SourceData_PastureBeef_LiveweightNTQLD_Data(),Table_SourceData_PastureBeef_LiveweightNTQD[[#Headers],[State]], 0)</f>
        <v>277</v>
      </c>
      <c r="K67" s="37" cm="1">
        <f t="array" ref="K67">Common_InputFunctions.Utility_DisplayArrayInTable(SourceData_PastureBeef.SourceData_PastureBeef_LiveweightNTQLD_Data(),Table_SourceData_PastureBeef_LiveweightNTQD[[#Headers],[State]], 0)</f>
        <v>397</v>
      </c>
      <c r="L67" s="37" cm="1">
        <f t="array" ref="L67">Common_InputFunctions.Utility_DisplayArrayInTable(SourceData_PastureBeef.SourceData_PastureBeef_LiveweightNTQLD_Data(),Table_SourceData_PastureBeef_LiveweightNTQD[[#Headers],[State]], 0)</f>
        <v>483</v>
      </c>
      <c r="M67" s="37" cm="1">
        <f t="array" ref="M67">Common_InputFunctions.Utility_DisplayArrayInTable(SourceData_PastureBeef.SourceData_PastureBeef_LiveweightNTQLD_Data(),Table_SourceData_PastureBeef_LiveweightNTQD[[#Headers],[State]], 0)</f>
        <v>111</v>
      </c>
      <c r="N67" s="37" cm="1">
        <f t="array" ref="N67">Common_InputFunctions.Utility_DisplayArrayInTable(SourceData_PastureBeef.SourceData_PastureBeef_LiveweightNTQLD_Data(),Table_SourceData_PastureBeef_LiveweightNTQD[[#Headers],[State]], 0)</f>
        <v>304</v>
      </c>
      <c r="O67" s="37" cm="1">
        <f t="array" ref="O67">Common_InputFunctions.Utility_DisplayArrayInTable(SourceData_PastureBeef.SourceData_PastureBeef_LiveweightNTQLD_Data(),Table_SourceData_PastureBeef_LiveweightNTQD[[#Headers],[State]], 0)</f>
        <v>521</v>
      </c>
      <c r="P67" s="37" cm="1">
        <f t="array" ref="P67">Common_InputFunctions.Utility_DisplayArrayInTable(SourceData_PastureBeef.SourceData_PastureBeef_LiveweightNTQLD_Data(),Table_SourceData_PastureBeef_LiveweightNTQD[[#Headers],[State]], 0)</f>
        <v>547</v>
      </c>
    </row>
    <row r="68" spans="4:22" ht="20.100000000000001" customHeight="1" x14ac:dyDescent="0.25">
      <c r="D68" s="1" t="str" cm="1">
        <f t="array" ref="D68">Common_InputFunctions.Utility_DisplayArrayInTable(SourceData_PastureBeef.SourceData_PastureBeef_LiveweightNTQLD_Data(),Table_SourceData_PastureBeef_LiveweightNTQD[[#Headers],[State]], 0)</f>
        <v>Queensland</v>
      </c>
      <c r="E68" s="37" t="str" cm="1">
        <f t="array" ref="E68">Common_InputFunctions.Utility_DisplayArrayInTable(SourceData_PastureBeef.SourceData_PastureBeef_LiveweightNTQLD_Data(),Table_SourceData_PastureBeef_LiveweightNTQD[[#Headers],[State]], 0)</f>
        <v>High</v>
      </c>
      <c r="F68" s="37" t="str" cm="1">
        <f t="array" ref="F68">Common_InputFunctions.Utility_DisplayArrayInTable(SourceData_PastureBeef.SourceData_PastureBeef_LiveweightNTQLD_Data(),Table_SourceData_PastureBeef_LiveweightNTQD[[#Headers],[State]], 0)</f>
        <v>Autumn</v>
      </c>
      <c r="G68" s="37" cm="1">
        <f t="array" ref="G68">Common_InputFunctions.Utility_DisplayArrayInTable(SourceData_PastureBeef.SourceData_PastureBeef_LiveweightNTQLD_Data(),Table_SourceData_PastureBeef_LiveweightNTQD[[#Headers],[State]], 0)</f>
        <v>168</v>
      </c>
      <c r="H68" s="37" cm="1">
        <f t="array" ref="H68">Common_InputFunctions.Utility_DisplayArrayInTable(SourceData_PastureBeef.SourceData_PastureBeef_LiveweightNTQLD_Data(),Table_SourceData_PastureBeef_LiveweightNTQD[[#Headers],[State]], 0)</f>
        <v>718</v>
      </c>
      <c r="I68" s="37" cm="1">
        <f t="array" ref="I68">Common_InputFunctions.Utility_DisplayArrayInTable(SourceData_PastureBeef.SourceData_PastureBeef_LiveweightNTQLD_Data(),Table_SourceData_PastureBeef_LiveweightNTQD[[#Headers],[State]], 0)</f>
        <v>191</v>
      </c>
      <c r="J68" s="37" cm="1">
        <f t="array" ref="J68">Common_InputFunctions.Utility_DisplayArrayInTable(SourceData_PastureBeef.SourceData_PastureBeef_LiveweightNTQLD_Data(),Table_SourceData_PastureBeef_LiveweightNTQD[[#Headers],[State]], 0)</f>
        <v>319</v>
      </c>
      <c r="K68" s="37" cm="1">
        <f t="array" ref="K68">Common_InputFunctions.Utility_DisplayArrayInTable(SourceData_PastureBeef.SourceData_PastureBeef_LiveweightNTQLD_Data(),Table_SourceData_PastureBeef_LiveweightNTQD[[#Headers],[State]], 0)</f>
        <v>440</v>
      </c>
      <c r="L68" s="37" cm="1">
        <f t="array" ref="L68">Common_InputFunctions.Utility_DisplayArrayInTable(SourceData_PastureBeef.SourceData_PastureBeef_LiveweightNTQLD_Data(),Table_SourceData_PastureBeef_LiveweightNTQD[[#Headers],[State]], 0)</f>
        <v>506</v>
      </c>
      <c r="M68" s="37" cm="1">
        <f t="array" ref="M68">Common_InputFunctions.Utility_DisplayArrayInTable(SourceData_PastureBeef.SourceData_PastureBeef_LiveweightNTQLD_Data(),Table_SourceData_PastureBeef_LiveweightNTQD[[#Headers],[State]], 0)</f>
        <v>188</v>
      </c>
      <c r="N68" s="37" cm="1">
        <f t="array" ref="N68">Common_InputFunctions.Utility_DisplayArrayInTable(SourceData_PastureBeef.SourceData_PastureBeef_LiveweightNTQLD_Data(),Table_SourceData_PastureBeef_LiveweightNTQD[[#Headers],[State]], 0)</f>
        <v>326</v>
      </c>
      <c r="O68" s="37" cm="1">
        <f t="array" ref="O68">Common_InputFunctions.Utility_DisplayArrayInTable(SourceData_PastureBeef.SourceData_PastureBeef_LiveweightNTQLD_Data(),Table_SourceData_PastureBeef_LiveweightNTQD[[#Headers],[State]], 0)</f>
        <v>520</v>
      </c>
      <c r="P68" s="37" cm="1">
        <f t="array" ref="P68">Common_InputFunctions.Utility_DisplayArrayInTable(SourceData_PastureBeef.SourceData_PastureBeef_LiveweightNTQLD_Data(),Table_SourceData_PastureBeef_LiveweightNTQD[[#Headers],[State]], 0)</f>
        <v>582</v>
      </c>
    </row>
    <row r="69" spans="4:22" ht="20.100000000000001" customHeight="1" x14ac:dyDescent="0.25">
      <c r="D69" s="1" t="str" cm="1">
        <f t="array" ref="D69">Common_InputFunctions.Utility_DisplayArrayInTable(SourceData_PastureBeef.SourceData_PastureBeef_LiveweightNTQLD_Data(),Table_SourceData_PastureBeef_LiveweightNTQD[[#Headers],[State]], 0)</f>
        <v>Queensland</v>
      </c>
      <c r="E69" s="37" t="str" cm="1">
        <f t="array" ref="E69">Common_InputFunctions.Utility_DisplayArrayInTable(SourceData_PastureBeef.SourceData_PastureBeef_LiveweightNTQLD_Data(),Table_SourceData_PastureBeef_LiveweightNTQD[[#Headers],[State]], 0)</f>
        <v>High</v>
      </c>
      <c r="F69" s="37" t="str" cm="1">
        <f t="array" ref="F69">Common_InputFunctions.Utility_DisplayArrayInTable(SourceData_PastureBeef.SourceData_PastureBeef_LiveweightNTQLD_Data(),Table_SourceData_PastureBeef_LiveweightNTQD[[#Headers],[State]], 0)</f>
        <v>Winter</v>
      </c>
      <c r="G69" s="37" cm="1">
        <f t="array" ref="G69">Common_InputFunctions.Utility_DisplayArrayInTable(SourceData_PastureBeef.SourceData_PastureBeef_LiveweightNTQLD_Data(),Table_SourceData_PastureBeef_LiveweightNTQD[[#Headers],[State]], 0)</f>
        <v>235</v>
      </c>
      <c r="H69" s="37" cm="1">
        <f t="array" ref="H69">Common_InputFunctions.Utility_DisplayArrayInTable(SourceData_PastureBeef.SourceData_PastureBeef_LiveweightNTQLD_Data(),Table_SourceData_PastureBeef_LiveweightNTQD[[#Headers],[State]], 0)</f>
        <v>722</v>
      </c>
      <c r="I69" s="37" cm="1">
        <f t="array" ref="I69">Common_InputFunctions.Utility_DisplayArrayInTable(SourceData_PastureBeef.SourceData_PastureBeef_LiveweightNTQLD_Data(),Table_SourceData_PastureBeef_LiveweightNTQD[[#Headers],[State]], 0)</f>
        <v>207</v>
      </c>
      <c r="J69" s="37" cm="1">
        <f t="array" ref="J69">Common_InputFunctions.Utility_DisplayArrayInTable(SourceData_PastureBeef.SourceData_PastureBeef_LiveweightNTQLD_Data(),Table_SourceData_PastureBeef_LiveweightNTQD[[#Headers],[State]], 0)</f>
        <v>352</v>
      </c>
      <c r="K69" s="37" cm="1">
        <f t="array" ref="K69">Common_InputFunctions.Utility_DisplayArrayInTable(SourceData_PastureBeef.SourceData_PastureBeef_LiveweightNTQLD_Data(),Table_SourceData_PastureBeef_LiveweightNTQD[[#Headers],[State]], 0)</f>
        <v>470</v>
      </c>
      <c r="L69" s="37" cm="1">
        <f t="array" ref="L69">Common_InputFunctions.Utility_DisplayArrayInTable(SourceData_PastureBeef.SourceData_PastureBeef_LiveweightNTQLD_Data(),Table_SourceData_PastureBeef_LiveweightNTQD[[#Headers],[State]], 0)</f>
        <v>514</v>
      </c>
      <c r="M69" s="37" cm="1">
        <f t="array" ref="M69">Common_InputFunctions.Utility_DisplayArrayInTable(SourceData_PastureBeef.SourceData_PastureBeef_LiveweightNTQLD_Data(),Table_SourceData_PastureBeef_LiveweightNTQD[[#Headers],[State]], 0)</f>
        <v>209</v>
      </c>
      <c r="N69" s="37" cm="1">
        <f t="array" ref="N69">Common_InputFunctions.Utility_DisplayArrayInTable(SourceData_PastureBeef.SourceData_PastureBeef_LiveweightNTQLD_Data(),Table_SourceData_PastureBeef_LiveweightNTQD[[#Headers],[State]], 0)</f>
        <v>421</v>
      </c>
      <c r="O69" s="37" cm="1">
        <f t="array" ref="O69">Common_InputFunctions.Utility_DisplayArrayInTable(SourceData_PastureBeef.SourceData_PastureBeef_LiveweightNTQLD_Data(),Table_SourceData_PastureBeef_LiveweightNTQD[[#Headers],[State]], 0)</f>
        <v>512</v>
      </c>
      <c r="P69" s="37" cm="1">
        <f t="array" ref="P69">Common_InputFunctions.Utility_DisplayArrayInTable(SourceData_PastureBeef.SourceData_PastureBeef_LiveweightNTQLD_Data(),Table_SourceData_PastureBeef_LiveweightNTQD[[#Headers],[State]], 0)</f>
        <v>605</v>
      </c>
    </row>
    <row r="70" spans="4:22" ht="20.100000000000001" customHeight="1" x14ac:dyDescent="0.25">
      <c r="D70" s="1" t="str" cm="1">
        <f t="array" ref="D70">Common_InputFunctions.Utility_DisplayArrayInTable(SourceData_PastureBeef.SourceData_PastureBeef_LiveweightNTQLD_Data(),Table_SourceData_PastureBeef_LiveweightNTQD[[#Headers],[State]], 0)</f>
        <v>Queensland</v>
      </c>
      <c r="E70" s="37" t="str" cm="1">
        <f t="array" ref="E70">Common_InputFunctions.Utility_DisplayArrayInTable(SourceData_PastureBeef.SourceData_PastureBeef_LiveweightNTQLD_Data(),Table_SourceData_PastureBeef_LiveweightNTQD[[#Headers],[State]], 0)</f>
        <v>Moderate/High</v>
      </c>
      <c r="F70" s="37" t="str" cm="1">
        <f t="array" ref="F70">Common_InputFunctions.Utility_DisplayArrayInTable(SourceData_PastureBeef.SourceData_PastureBeef_LiveweightNTQLD_Data(),Table_SourceData_PastureBeef_LiveweightNTQD[[#Headers],[State]], 0)</f>
        <v>Spring</v>
      </c>
      <c r="G70" s="37" cm="1">
        <f t="array" ref="G70">Common_InputFunctions.Utility_DisplayArrayInTable(SourceData_PastureBeef.SourceData_PastureBeef_LiveweightNTQLD_Data(),Table_SourceData_PastureBeef_LiveweightNTQD[[#Headers],[State]], 0)</f>
        <v>230</v>
      </c>
      <c r="H70" s="37" cm="1">
        <f t="array" ref="H70">Common_InputFunctions.Utility_DisplayArrayInTable(SourceData_PastureBeef.SourceData_PastureBeef_LiveweightNTQLD_Data(),Table_SourceData_PastureBeef_LiveweightNTQD[[#Headers],[State]], 0)</f>
        <v>674</v>
      </c>
      <c r="I70" s="37" cm="1">
        <f t="array" ref="I70">Common_InputFunctions.Utility_DisplayArrayInTable(SourceData_PastureBeef.SourceData_PastureBeef_LiveweightNTQLD_Data(),Table_SourceData_PastureBeef_LiveweightNTQD[[#Headers],[State]], 0)</f>
        <v>217</v>
      </c>
      <c r="J70" s="37" cm="1">
        <f t="array" ref="J70">Common_InputFunctions.Utility_DisplayArrayInTable(SourceData_PastureBeef.SourceData_PastureBeef_LiveweightNTQLD_Data(),Table_SourceData_PastureBeef_LiveweightNTQD[[#Headers],[State]], 0)</f>
        <v>344</v>
      </c>
      <c r="K70" s="37" cm="1">
        <f t="array" ref="K70">Common_InputFunctions.Utility_DisplayArrayInTable(SourceData_PastureBeef.SourceData_PastureBeef_LiveweightNTQLD_Data(),Table_SourceData_PastureBeef_LiveweightNTQD[[#Headers],[State]], 0)</f>
        <v>357</v>
      </c>
      <c r="L70" s="37" cm="1">
        <f t="array" ref="L70">Common_InputFunctions.Utility_DisplayArrayInTable(SourceData_PastureBeef.SourceData_PastureBeef_LiveweightNTQLD_Data(),Table_SourceData_PastureBeef_LiveweightNTQD[[#Headers],[State]], 0)</f>
        <v>467</v>
      </c>
      <c r="M70" s="37" cm="1">
        <f t="array" ref="M70">Common_InputFunctions.Utility_DisplayArrayInTable(SourceData_PastureBeef.SourceData_PastureBeef_LiveweightNTQLD_Data(),Table_SourceData_PastureBeef_LiveweightNTQD[[#Headers],[State]], 0)</f>
        <v>242</v>
      </c>
      <c r="N70" s="37" cm="1">
        <f t="array" ref="N70">Common_InputFunctions.Utility_DisplayArrayInTable(SourceData_PastureBeef.SourceData_PastureBeef_LiveweightNTQLD_Data(),Table_SourceData_PastureBeef_LiveweightNTQD[[#Headers],[State]], 0)</f>
        <v>370</v>
      </c>
      <c r="O70" s="37" cm="1">
        <f t="array" ref="O70">Common_InputFunctions.Utility_DisplayArrayInTable(SourceData_PastureBeef.SourceData_PastureBeef_LiveweightNTQLD_Data(),Table_SourceData_PastureBeef_LiveweightNTQD[[#Headers],[State]], 0)</f>
        <v>550</v>
      </c>
      <c r="P70" s="37" cm="1">
        <f t="array" ref="P70">Common_InputFunctions.Utility_DisplayArrayInTable(SourceData_PastureBeef.SourceData_PastureBeef_LiveweightNTQLD_Data(),Table_SourceData_PastureBeef_LiveweightNTQD[[#Headers],[State]], 0)</f>
        <v>620</v>
      </c>
    </row>
    <row r="71" spans="4:22" ht="20.100000000000001" customHeight="1" x14ac:dyDescent="0.25">
      <c r="D71" s="1" t="str" cm="1">
        <f t="array" ref="D71">Common_InputFunctions.Utility_DisplayArrayInTable(SourceData_PastureBeef.SourceData_PastureBeef_LiveweightNTQLD_Data(),Table_SourceData_PastureBeef_LiveweightNTQD[[#Headers],[State]], 0)</f>
        <v>Queensland</v>
      </c>
      <c r="E71" s="37" t="str" cm="1">
        <f t="array" ref="E71">Common_InputFunctions.Utility_DisplayArrayInTable(SourceData_PastureBeef.SourceData_PastureBeef_LiveweightNTQLD_Data(),Table_SourceData_PastureBeef_LiveweightNTQD[[#Headers],[State]], 0)</f>
        <v>Moderate/High</v>
      </c>
      <c r="F71" s="37" t="str" cm="1">
        <f t="array" ref="F71">Common_InputFunctions.Utility_DisplayArrayInTable(SourceData_PastureBeef.SourceData_PastureBeef_LiveweightNTQLD_Data(),Table_SourceData_PastureBeef_LiveweightNTQD[[#Headers],[State]], 0)</f>
        <v>Summer</v>
      </c>
      <c r="G71" s="37" cm="1">
        <f t="array" ref="G71">Common_InputFunctions.Utility_DisplayArrayInTable(SourceData_PastureBeef.SourceData_PastureBeef_LiveweightNTQLD_Data(),Table_SourceData_PastureBeef_LiveweightNTQD[[#Headers],[State]], 0)</f>
        <v>113</v>
      </c>
      <c r="H71" s="37" cm="1">
        <f t="array" ref="H71">Common_InputFunctions.Utility_DisplayArrayInTable(SourceData_PastureBeef.SourceData_PastureBeef_LiveweightNTQLD_Data(),Table_SourceData_PastureBeef_LiveweightNTQD[[#Headers],[State]], 0)</f>
        <v>669</v>
      </c>
      <c r="I71" s="37" cm="1">
        <f t="array" ref="I71">Common_InputFunctions.Utility_DisplayArrayInTable(SourceData_PastureBeef.SourceData_PastureBeef_LiveweightNTQLD_Data(),Table_SourceData_PastureBeef_LiveweightNTQD[[#Headers],[State]], 0)</f>
        <v>113</v>
      </c>
      <c r="J71" s="37" cm="1">
        <f t="array" ref="J71">Common_InputFunctions.Utility_DisplayArrayInTable(SourceData_PastureBeef.SourceData_PastureBeef_LiveweightNTQLD_Data(),Table_SourceData_PastureBeef_LiveweightNTQD[[#Headers],[State]], 0)</f>
        <v>283</v>
      </c>
      <c r="K71" s="37" cm="1">
        <f t="array" ref="K71">Common_InputFunctions.Utility_DisplayArrayInTable(SourceData_PastureBeef.SourceData_PastureBeef_LiveweightNTQLD_Data(),Table_SourceData_PastureBeef_LiveweightNTQD[[#Headers],[State]], 0)</f>
        <v>361</v>
      </c>
      <c r="L71" s="37" cm="1">
        <f t="array" ref="L71">Common_InputFunctions.Utility_DisplayArrayInTable(SourceData_PastureBeef.SourceData_PastureBeef_LiveweightNTQLD_Data(),Table_SourceData_PastureBeef_LiveweightNTQD[[#Headers],[State]], 0)</f>
        <v>477</v>
      </c>
      <c r="M71" s="37" cm="1">
        <f t="array" ref="M71">Common_InputFunctions.Utility_DisplayArrayInTable(SourceData_PastureBeef.SourceData_PastureBeef_LiveweightNTQLD_Data(),Table_SourceData_PastureBeef_LiveweightNTQD[[#Headers],[State]], 0)</f>
        <v>120</v>
      </c>
      <c r="N71" s="37" cm="1">
        <f t="array" ref="N71">Common_InputFunctions.Utility_DisplayArrayInTable(SourceData_PastureBeef.SourceData_PastureBeef_LiveweightNTQLD_Data(),Table_SourceData_PastureBeef_LiveweightNTQD[[#Headers],[State]], 0)</f>
        <v>273</v>
      </c>
      <c r="O71" s="37" cm="1">
        <f t="array" ref="O71">Common_InputFunctions.Utility_DisplayArrayInTable(SourceData_PastureBeef.SourceData_PastureBeef_LiveweightNTQLD_Data(),Table_SourceData_PastureBeef_LiveweightNTQD[[#Headers],[State]], 0)</f>
        <v>545</v>
      </c>
      <c r="P71" s="37" cm="1">
        <f t="array" ref="P71">Common_InputFunctions.Utility_DisplayArrayInTable(SourceData_PastureBeef.SourceData_PastureBeef_LiveweightNTQLD_Data(),Table_SourceData_PastureBeef_LiveweightNTQD[[#Headers],[State]], 0)</f>
        <v>553</v>
      </c>
      <c r="V71" s="1"/>
    </row>
    <row r="72" spans="4:22" ht="20.100000000000001" customHeight="1" x14ac:dyDescent="0.25">
      <c r="D72" s="1" t="str" cm="1">
        <f t="array" ref="D72">Common_InputFunctions.Utility_DisplayArrayInTable(SourceData_PastureBeef.SourceData_PastureBeef_LiveweightNTQLD_Data(),Table_SourceData_PastureBeef_LiveweightNTQD[[#Headers],[State]], 0)</f>
        <v>Queensland</v>
      </c>
      <c r="E72" s="37" t="str" cm="1">
        <f t="array" ref="E72">Common_InputFunctions.Utility_DisplayArrayInTable(SourceData_PastureBeef.SourceData_PastureBeef_LiveweightNTQLD_Data(),Table_SourceData_PastureBeef_LiveweightNTQD[[#Headers],[State]], 0)</f>
        <v>Moderate/High</v>
      </c>
      <c r="F72" s="37" t="str" cm="1">
        <f t="array" ref="F72">Common_InputFunctions.Utility_DisplayArrayInTable(SourceData_PastureBeef.SourceData_PastureBeef_LiveweightNTQLD_Data(),Table_SourceData_PastureBeef_LiveweightNTQD[[#Headers],[State]], 0)</f>
        <v>Autumn</v>
      </c>
      <c r="G72" s="37" cm="1">
        <f t="array" ref="G72">Common_InputFunctions.Utility_DisplayArrayInTable(SourceData_PastureBeef.SourceData_PastureBeef_LiveweightNTQLD_Data(),Table_SourceData_PastureBeef_LiveweightNTQD[[#Headers],[State]], 0)</f>
        <v>172</v>
      </c>
      <c r="H72" s="37" cm="1">
        <f t="array" ref="H72">Common_InputFunctions.Utility_DisplayArrayInTable(SourceData_PastureBeef.SourceData_PastureBeef_LiveweightNTQLD_Data(),Table_SourceData_PastureBeef_LiveweightNTQD[[#Headers],[State]], 0)</f>
        <v>685</v>
      </c>
      <c r="I72" s="37" cm="1">
        <f t="array" ref="I72">Common_InputFunctions.Utility_DisplayArrayInTable(SourceData_PastureBeef.SourceData_PastureBeef_LiveweightNTQLD_Data(),Table_SourceData_PastureBeef_LiveweightNTQD[[#Headers],[State]], 0)</f>
        <v>172</v>
      </c>
      <c r="J72" s="37" cm="1">
        <f t="array" ref="J72">Common_InputFunctions.Utility_DisplayArrayInTable(SourceData_PastureBeef.SourceData_PastureBeef_LiveweightNTQLD_Data(),Table_SourceData_PastureBeef_LiveweightNTQD[[#Headers],[State]], 0)</f>
        <v>309</v>
      </c>
      <c r="K72" s="37" cm="1">
        <f t="array" ref="K72">Common_InputFunctions.Utility_DisplayArrayInTable(SourceData_PastureBeef.SourceData_PastureBeef_LiveweightNTQLD_Data(),Table_SourceData_PastureBeef_LiveweightNTQD[[#Headers],[State]], 0)</f>
        <v>376</v>
      </c>
      <c r="L72" s="37" cm="1">
        <f t="array" ref="L72">Common_InputFunctions.Utility_DisplayArrayInTable(SourceData_PastureBeef.SourceData_PastureBeef_LiveweightNTQLD_Data(),Table_SourceData_PastureBeef_LiveweightNTQD[[#Headers],[State]], 0)</f>
        <v>471</v>
      </c>
      <c r="M72" s="37" cm="1">
        <f t="array" ref="M72">Common_InputFunctions.Utility_DisplayArrayInTable(SourceData_PastureBeef.SourceData_PastureBeef_LiveweightNTQLD_Data(),Table_SourceData_PastureBeef_LiveweightNTQD[[#Headers],[State]], 0)</f>
        <v>238</v>
      </c>
      <c r="N72" s="37" cm="1">
        <f t="array" ref="N72">Common_InputFunctions.Utility_DisplayArrayInTable(SourceData_PastureBeef.SourceData_PastureBeef_LiveweightNTQLD_Data(),Table_SourceData_PastureBeef_LiveweightNTQD[[#Headers],[State]], 0)</f>
        <v>329</v>
      </c>
      <c r="O72" s="37" cm="1">
        <f t="array" ref="O72">Common_InputFunctions.Utility_DisplayArrayInTable(SourceData_PastureBeef.SourceData_PastureBeef_LiveweightNTQLD_Data(),Table_SourceData_PastureBeef_LiveweightNTQD[[#Headers],[State]], 0)</f>
        <v>573</v>
      </c>
      <c r="P72" s="37" cm="1">
        <f t="array" ref="P72">Common_InputFunctions.Utility_DisplayArrayInTable(SourceData_PastureBeef.SourceData_PastureBeef_LiveweightNTQLD_Data(),Table_SourceData_PastureBeef_LiveweightNTQD[[#Headers],[State]], 0)</f>
        <v>620</v>
      </c>
      <c r="V72" s="1"/>
    </row>
    <row r="73" spans="4:22" ht="20.100000000000001" customHeight="1" x14ac:dyDescent="0.25">
      <c r="D73" s="1" t="str" cm="1">
        <f t="array" ref="D73">Common_InputFunctions.Utility_DisplayArrayInTable(SourceData_PastureBeef.SourceData_PastureBeef_LiveweightNTQLD_Data(),Table_SourceData_PastureBeef_LiveweightNTQD[[#Headers],[State]], 0)</f>
        <v>Queensland</v>
      </c>
      <c r="E73" s="37" t="str" cm="1">
        <f t="array" ref="E73">Common_InputFunctions.Utility_DisplayArrayInTable(SourceData_PastureBeef.SourceData_PastureBeef_LiveweightNTQLD_Data(),Table_SourceData_PastureBeef_LiveweightNTQD[[#Headers],[State]], 0)</f>
        <v>Moderate/High</v>
      </c>
      <c r="F73" s="37" t="str" cm="1">
        <f t="array" ref="F73">Common_InputFunctions.Utility_DisplayArrayInTable(SourceData_PastureBeef.SourceData_PastureBeef_LiveweightNTQLD_Data(),Table_SourceData_PastureBeef_LiveweightNTQD[[#Headers],[State]], 0)</f>
        <v>Winter</v>
      </c>
      <c r="G73" s="37" cm="1">
        <f t="array" ref="G73">Common_InputFunctions.Utility_DisplayArrayInTable(SourceData_PastureBeef.SourceData_PastureBeef_LiveweightNTQLD_Data(),Table_SourceData_PastureBeef_LiveweightNTQD[[#Headers],[State]], 0)</f>
        <v>241</v>
      </c>
      <c r="H73" s="37" cm="1">
        <f t="array" ref="H73">Common_InputFunctions.Utility_DisplayArrayInTable(SourceData_PastureBeef.SourceData_PastureBeef_LiveweightNTQLD_Data(),Table_SourceData_PastureBeef_LiveweightNTQD[[#Headers],[State]], 0)</f>
        <v>692</v>
      </c>
      <c r="I73" s="37" cm="1">
        <f t="array" ref="I73">Common_InputFunctions.Utility_DisplayArrayInTable(SourceData_PastureBeef.SourceData_PastureBeef_LiveweightNTQLD_Data(),Table_SourceData_PastureBeef_LiveweightNTQD[[#Headers],[State]], 0)</f>
        <v>208</v>
      </c>
      <c r="J73" s="37" cm="1">
        <f t="array" ref="J73">Common_InputFunctions.Utility_DisplayArrayInTable(SourceData_PastureBeef.SourceData_PastureBeef_LiveweightNTQLD_Data(),Table_SourceData_PastureBeef_LiveweightNTQD[[#Headers],[State]], 0)</f>
        <v>344</v>
      </c>
      <c r="K73" s="37" cm="1">
        <f t="array" ref="K73">Common_InputFunctions.Utility_DisplayArrayInTable(SourceData_PastureBeef.SourceData_PastureBeef_LiveweightNTQLD_Data(),Table_SourceData_PastureBeef_LiveweightNTQD[[#Headers],[State]], 0)</f>
        <v>364</v>
      </c>
      <c r="L73" s="37" cm="1">
        <f t="array" ref="L73">Common_InputFunctions.Utility_DisplayArrayInTable(SourceData_PastureBeef.SourceData_PastureBeef_LiveweightNTQLD_Data(),Table_SourceData_PastureBeef_LiveweightNTQD[[#Headers],[State]], 0)</f>
        <v>484</v>
      </c>
      <c r="M73" s="37" cm="1">
        <f t="array" ref="M73">Common_InputFunctions.Utility_DisplayArrayInTable(SourceData_PastureBeef.SourceData_PastureBeef_LiveweightNTQLD_Data(),Table_SourceData_PastureBeef_LiveweightNTQD[[#Headers],[State]], 0)</f>
        <v>260</v>
      </c>
      <c r="N73" s="37" cm="1">
        <f t="array" ref="N73">Common_InputFunctions.Utility_DisplayArrayInTable(SourceData_PastureBeef.SourceData_PastureBeef_LiveweightNTQLD_Data(),Table_SourceData_PastureBeef_LiveweightNTQD[[#Headers],[State]], 0)</f>
        <v>350</v>
      </c>
      <c r="O73" s="37" cm="1">
        <f t="array" ref="O73">Common_InputFunctions.Utility_DisplayArrayInTable(SourceData_PastureBeef.SourceData_PastureBeef_LiveweightNTQLD_Data(),Table_SourceData_PastureBeef_LiveweightNTQD[[#Headers],[State]], 0)</f>
        <v>567</v>
      </c>
      <c r="P73" s="37" cm="1">
        <f t="array" ref="P73">Common_InputFunctions.Utility_DisplayArrayInTable(SourceData_PastureBeef.SourceData_PastureBeef_LiveweightNTQLD_Data(),Table_SourceData_PastureBeef_LiveweightNTQD[[#Headers],[State]], 0)</f>
        <v>620</v>
      </c>
      <c r="V73" s="1"/>
    </row>
    <row r="74" spans="4:22" ht="20.100000000000001" customHeight="1" x14ac:dyDescent="0.25">
      <c r="D74" s="1" t="str" cm="1">
        <f t="array" ref="D74">Common_InputFunctions.Utility_DisplayArrayInTable(SourceData_PastureBeef.SourceData_PastureBeef_LiveweightNTQLD_Data(),Table_SourceData_PastureBeef_LiveweightNTQD[[#Headers],[State]], 0)</f>
        <v>Queensland</v>
      </c>
      <c r="E74" s="37" t="str" cm="1">
        <f t="array" ref="E74">Common_InputFunctions.Utility_DisplayArrayInTable(SourceData_PastureBeef.SourceData_PastureBeef_LiveweightNTQLD_Data(),Table_SourceData_PastureBeef_LiveweightNTQD[[#Headers],[State]], 0)</f>
        <v>Moderate/Low</v>
      </c>
      <c r="F74" s="37" t="str" cm="1">
        <f t="array" ref="F74">Common_InputFunctions.Utility_DisplayArrayInTable(SourceData_PastureBeef.SourceData_PastureBeef_LiveweightNTQLD_Data(),Table_SourceData_PastureBeef_LiveweightNTQD[[#Headers],[State]], 0)</f>
        <v>Spring</v>
      </c>
      <c r="G74" s="37" cm="1">
        <f t="array" ref="G74">Common_InputFunctions.Utility_DisplayArrayInTable(SourceData_PastureBeef.SourceData_PastureBeef_LiveweightNTQLD_Data(),Table_SourceData_PastureBeef_LiveweightNTQD[[#Headers],[State]], 0)</f>
        <v>236</v>
      </c>
      <c r="H74" s="37" cm="1">
        <f t="array" ref="H74">Common_InputFunctions.Utility_DisplayArrayInTable(SourceData_PastureBeef.SourceData_PastureBeef_LiveweightNTQLD_Data(),Table_SourceData_PastureBeef_LiveweightNTQD[[#Headers],[State]], 0)</f>
        <v>674</v>
      </c>
      <c r="I74" s="37" cm="1">
        <f t="array" ref="I74">Common_InputFunctions.Utility_DisplayArrayInTable(SourceData_PastureBeef.SourceData_PastureBeef_LiveweightNTQLD_Data(),Table_SourceData_PastureBeef_LiveweightNTQD[[#Headers],[State]], 0)</f>
        <v>178</v>
      </c>
      <c r="J74" s="37" cm="1">
        <f t="array" ref="J74">Common_InputFunctions.Utility_DisplayArrayInTable(SourceData_PastureBeef.SourceData_PastureBeef_LiveweightNTQLD_Data(),Table_SourceData_PastureBeef_LiveweightNTQD[[#Headers],[State]], 0)</f>
        <v>310</v>
      </c>
      <c r="K74" s="37" cm="1">
        <f t="array" ref="K74">Common_InputFunctions.Utility_DisplayArrayInTable(SourceData_PastureBeef.SourceData_PastureBeef_LiveweightNTQLD_Data(),Table_SourceData_PastureBeef_LiveweightNTQD[[#Headers],[State]], 0)</f>
        <v>428</v>
      </c>
      <c r="L74" s="37" cm="1">
        <f t="array" ref="L74">Common_InputFunctions.Utility_DisplayArrayInTable(SourceData_PastureBeef.SourceData_PastureBeef_LiveweightNTQLD_Data(),Table_SourceData_PastureBeef_LiveweightNTQD[[#Headers],[State]], 0)</f>
        <v>466</v>
      </c>
      <c r="M74" s="37" cm="1">
        <f t="array" ref="M74">Common_InputFunctions.Utility_DisplayArrayInTable(SourceData_PastureBeef.SourceData_PastureBeef_LiveweightNTQLD_Data(),Table_SourceData_PastureBeef_LiveweightNTQD[[#Headers],[State]], 0)</f>
        <v>193</v>
      </c>
      <c r="N74" s="37" cm="1">
        <f t="array" ref="N74">Common_InputFunctions.Utility_DisplayArrayInTable(SourceData_PastureBeef.SourceData_PastureBeef_LiveweightNTQLD_Data(),Table_SourceData_PastureBeef_LiveweightNTQD[[#Headers],[State]], 0)</f>
        <v>370</v>
      </c>
      <c r="O74" s="37" cm="1">
        <f t="array" ref="O74">Common_InputFunctions.Utility_DisplayArrayInTable(SourceData_PastureBeef.SourceData_PastureBeef_LiveweightNTQLD_Data(),Table_SourceData_PastureBeef_LiveweightNTQD[[#Headers],[State]], 0)</f>
        <v>519</v>
      </c>
      <c r="P74" s="37" cm="1">
        <f t="array" ref="P74">Common_InputFunctions.Utility_DisplayArrayInTable(SourceData_PastureBeef.SourceData_PastureBeef_LiveweightNTQLD_Data(),Table_SourceData_PastureBeef_LiveweightNTQD[[#Headers],[State]], 0)</f>
        <v>565</v>
      </c>
      <c r="V74" s="1"/>
    </row>
    <row r="75" spans="4:22" ht="20.100000000000001" customHeight="1" x14ac:dyDescent="0.25">
      <c r="D75" s="1" t="str" cm="1">
        <f t="array" ref="D75">Common_InputFunctions.Utility_DisplayArrayInTable(SourceData_PastureBeef.SourceData_PastureBeef_LiveweightNTQLD_Data(),Table_SourceData_PastureBeef_LiveweightNTQD[[#Headers],[State]], 0)</f>
        <v>Queensland</v>
      </c>
      <c r="E75" s="37" t="str" cm="1">
        <f t="array" ref="E75">Common_InputFunctions.Utility_DisplayArrayInTable(SourceData_PastureBeef.SourceData_PastureBeef_LiveweightNTQLD_Data(),Table_SourceData_PastureBeef_LiveweightNTQD[[#Headers],[State]], 0)</f>
        <v>Moderate/Low</v>
      </c>
      <c r="F75" s="37" t="str" cm="1">
        <f t="array" ref="F75">Common_InputFunctions.Utility_DisplayArrayInTable(SourceData_PastureBeef.SourceData_PastureBeef_LiveweightNTQLD_Data(),Table_SourceData_PastureBeef_LiveweightNTQD[[#Headers],[State]], 0)</f>
        <v>Summer</v>
      </c>
      <c r="G75" s="37" cm="1">
        <f t="array" ref="G75">Common_InputFunctions.Utility_DisplayArrayInTable(SourceData_PastureBeef.SourceData_PastureBeef_LiveweightNTQLD_Data(),Table_SourceData_PastureBeef_LiveweightNTQD[[#Headers],[State]], 0)</f>
        <v>120</v>
      </c>
      <c r="H75" s="37" cm="1">
        <f t="array" ref="H75">Common_InputFunctions.Utility_DisplayArrayInTable(SourceData_PastureBeef.SourceData_PastureBeef_LiveweightNTQLD_Data(),Table_SourceData_PastureBeef_LiveweightNTQD[[#Headers],[State]], 0)</f>
        <v>669</v>
      </c>
      <c r="I75" s="37" cm="1">
        <f t="array" ref="I75">Common_InputFunctions.Utility_DisplayArrayInTable(SourceData_PastureBeef.SourceData_PastureBeef_LiveweightNTQLD_Data(),Table_SourceData_PastureBeef_LiveweightNTQD[[#Headers],[State]], 0)</f>
        <v>112</v>
      </c>
      <c r="J75" s="37" cm="1">
        <f t="array" ref="J75">Common_InputFunctions.Utility_DisplayArrayInTable(SourceData_PastureBeef.SourceData_PastureBeef_LiveweightNTQLD_Data(),Table_SourceData_PastureBeef_LiveweightNTQD[[#Headers],[State]], 0)</f>
        <v>250</v>
      </c>
      <c r="K75" s="37" cm="1">
        <f t="array" ref="K75">Common_InputFunctions.Utility_DisplayArrayInTable(SourceData_PastureBeef.SourceData_PastureBeef_LiveweightNTQLD_Data(),Table_SourceData_PastureBeef_LiveweightNTQD[[#Headers],[State]], 0)</f>
        <v>390</v>
      </c>
      <c r="L75" s="37" cm="1">
        <f t="array" ref="L75">Common_InputFunctions.Utility_DisplayArrayInTable(SourceData_PastureBeef.SourceData_PastureBeef_LiveweightNTQLD_Data(),Table_SourceData_PastureBeef_LiveweightNTQD[[#Headers],[State]], 0)</f>
        <v>448</v>
      </c>
      <c r="M75" s="37" cm="1">
        <f t="array" ref="M75">Common_InputFunctions.Utility_DisplayArrayInTable(SourceData_PastureBeef.SourceData_PastureBeef_LiveweightNTQLD_Data(),Table_SourceData_PastureBeef_LiveweightNTQD[[#Headers],[State]], 0)</f>
        <v>115</v>
      </c>
      <c r="N75" s="37" cm="1">
        <f t="array" ref="N75">Common_InputFunctions.Utility_DisplayArrayInTable(SourceData_PastureBeef.SourceData_PastureBeef_LiveweightNTQLD_Data(),Table_SourceData_PastureBeef_LiveweightNTQD[[#Headers],[State]], 0)</f>
        <v>273</v>
      </c>
      <c r="O75" s="37" cm="1">
        <f t="array" ref="O75">Common_InputFunctions.Utility_DisplayArrayInTable(SourceData_PastureBeef.SourceData_PastureBeef_LiveweightNTQLD_Data(),Table_SourceData_PastureBeef_LiveweightNTQD[[#Headers],[State]], 0)</f>
        <v>433</v>
      </c>
      <c r="P75" s="37" cm="1">
        <f t="array" ref="P75">Common_InputFunctions.Utility_DisplayArrayInTable(SourceData_PastureBeef.SourceData_PastureBeef_LiveweightNTQLD_Data(),Table_SourceData_PastureBeef_LiveweightNTQD[[#Headers],[State]], 0)</f>
        <v>556</v>
      </c>
      <c r="V75" s="1"/>
    </row>
    <row r="76" spans="4:22" ht="20.100000000000001" customHeight="1" x14ac:dyDescent="0.25">
      <c r="D76" s="1" t="str" cm="1">
        <f t="array" ref="D76">Common_InputFunctions.Utility_DisplayArrayInTable(SourceData_PastureBeef.SourceData_PastureBeef_LiveweightNTQLD_Data(),Table_SourceData_PastureBeef_LiveweightNTQD[[#Headers],[State]], 0)</f>
        <v>Queensland</v>
      </c>
      <c r="E76" s="37" t="str" cm="1">
        <f t="array" ref="E76">Common_InputFunctions.Utility_DisplayArrayInTable(SourceData_PastureBeef.SourceData_PastureBeef_LiveweightNTQLD_Data(),Table_SourceData_PastureBeef_LiveweightNTQD[[#Headers],[State]], 0)</f>
        <v>Moderate/Low</v>
      </c>
      <c r="F76" s="37" t="str" cm="1">
        <f t="array" ref="F76">Common_InputFunctions.Utility_DisplayArrayInTable(SourceData_PastureBeef.SourceData_PastureBeef_LiveweightNTQLD_Data(),Table_SourceData_PastureBeef_LiveweightNTQD[[#Headers],[State]], 0)</f>
        <v>Autumn</v>
      </c>
      <c r="G76" s="37" cm="1">
        <f t="array" ref="G76">Common_InputFunctions.Utility_DisplayArrayInTable(SourceData_PastureBeef.SourceData_PastureBeef_LiveweightNTQLD_Data(),Table_SourceData_PastureBeef_LiveweightNTQD[[#Headers],[State]], 0)</f>
        <v>125</v>
      </c>
      <c r="H76" s="37" cm="1">
        <f t="array" ref="H76">Common_InputFunctions.Utility_DisplayArrayInTable(SourceData_PastureBeef.SourceData_PastureBeef_LiveweightNTQLD_Data(),Table_SourceData_PastureBeef_LiveweightNTQD[[#Headers],[State]], 0)</f>
        <v>685</v>
      </c>
      <c r="I76" s="37" cm="1">
        <f t="array" ref="I76">Common_InputFunctions.Utility_DisplayArrayInTable(SourceData_PastureBeef.SourceData_PastureBeef_LiveweightNTQLD_Data(),Table_SourceData_PastureBeef_LiveweightNTQD[[#Headers],[State]], 0)</f>
        <v>140</v>
      </c>
      <c r="J76" s="37" cm="1">
        <f t="array" ref="J76">Common_InputFunctions.Utility_DisplayArrayInTable(SourceData_PastureBeef.SourceData_PastureBeef_LiveweightNTQLD_Data(),Table_SourceData_PastureBeef_LiveweightNTQD[[#Headers],[State]], 0)</f>
        <v>277</v>
      </c>
      <c r="K76" s="37" cm="1">
        <f t="array" ref="K76">Common_InputFunctions.Utility_DisplayArrayInTable(SourceData_PastureBeef.SourceData_PastureBeef_LiveweightNTQLD_Data(),Table_SourceData_PastureBeef_LiveweightNTQD[[#Headers],[State]], 0)</f>
        <v>407</v>
      </c>
      <c r="L76" s="37" cm="1">
        <f t="array" ref="L76">Common_InputFunctions.Utility_DisplayArrayInTable(SourceData_PastureBeef.SourceData_PastureBeef_LiveweightNTQLD_Data(),Table_SourceData_PastureBeef_LiveweightNTQD[[#Headers],[State]], 0)</f>
        <v>455</v>
      </c>
      <c r="M76" s="37" cm="1">
        <f t="array" ref="M76">Common_InputFunctions.Utility_DisplayArrayInTable(SourceData_PastureBeef.SourceData_PastureBeef_LiveweightNTQLD_Data(),Table_SourceData_PastureBeef_LiveweightNTQD[[#Headers],[State]], 0)</f>
        <v>141</v>
      </c>
      <c r="N76" s="37" cm="1">
        <f t="array" ref="N76">Common_InputFunctions.Utility_DisplayArrayInTable(SourceData_PastureBeef.SourceData_PastureBeef_LiveweightNTQLD_Data(),Table_SourceData_PastureBeef_LiveweightNTQD[[#Headers],[State]], 0)</f>
        <v>296</v>
      </c>
      <c r="O76" s="37" cm="1">
        <f t="array" ref="O76">Common_InputFunctions.Utility_DisplayArrayInTable(SourceData_PastureBeef.SourceData_PastureBeef_LiveweightNTQLD_Data(),Table_SourceData_PastureBeef_LiveweightNTQD[[#Headers],[State]], 0)</f>
        <v>445</v>
      </c>
      <c r="P76" s="37" cm="1">
        <f t="array" ref="P76">Common_InputFunctions.Utility_DisplayArrayInTable(SourceData_PastureBeef.SourceData_PastureBeef_LiveweightNTQLD_Data(),Table_SourceData_PastureBeef_LiveweightNTQD[[#Headers],[State]], 0)</f>
        <v>593</v>
      </c>
      <c r="V76" s="1"/>
    </row>
    <row r="77" spans="4:22" ht="20.100000000000001" customHeight="1" x14ac:dyDescent="0.25">
      <c r="D77" s="1" t="str" cm="1">
        <f t="array" ref="D77">Common_InputFunctions.Utility_DisplayArrayInTable(SourceData_PastureBeef.SourceData_PastureBeef_LiveweightNTQLD_Data(),Table_SourceData_PastureBeef_LiveweightNTQD[[#Headers],[State]], 0)</f>
        <v>Queensland</v>
      </c>
      <c r="E77" s="37" t="str" cm="1">
        <f t="array" ref="E77">Common_InputFunctions.Utility_DisplayArrayInTable(SourceData_PastureBeef.SourceData_PastureBeef_LiveweightNTQLD_Data(),Table_SourceData_PastureBeef_LiveweightNTQD[[#Headers],[State]], 0)</f>
        <v>Moderate/Low</v>
      </c>
      <c r="F77" s="37" t="str" cm="1">
        <f t="array" ref="F77">Common_InputFunctions.Utility_DisplayArrayInTable(SourceData_PastureBeef.SourceData_PastureBeef_LiveweightNTQLD_Data(),Table_SourceData_PastureBeef_LiveweightNTQD[[#Headers],[State]], 0)</f>
        <v>Winter</v>
      </c>
      <c r="G77" s="37" cm="1">
        <f t="array" ref="G77">Common_InputFunctions.Utility_DisplayArrayInTable(SourceData_PastureBeef.SourceData_PastureBeef_LiveweightNTQLD_Data(),Table_SourceData_PastureBeef_LiveweightNTQD[[#Headers],[State]], 0)</f>
        <v>180</v>
      </c>
      <c r="H77" s="37" cm="1">
        <f t="array" ref="H77">Common_InputFunctions.Utility_DisplayArrayInTable(SourceData_PastureBeef.SourceData_PastureBeef_LiveweightNTQLD_Data(),Table_SourceData_PastureBeef_LiveweightNTQD[[#Headers],[State]], 0)</f>
        <v>692</v>
      </c>
      <c r="I77" s="37" cm="1">
        <f t="array" ref="I77">Common_InputFunctions.Utility_DisplayArrayInTable(SourceData_PastureBeef.SourceData_PastureBeef_LiveweightNTQLD_Data(),Table_SourceData_PastureBeef_LiveweightNTQD[[#Headers],[State]], 0)</f>
        <v>183</v>
      </c>
      <c r="J77" s="37" cm="1">
        <f t="array" ref="J77">Common_InputFunctions.Utility_DisplayArrayInTable(SourceData_PastureBeef.SourceData_PastureBeef_LiveweightNTQLD_Data(),Table_SourceData_PastureBeef_LiveweightNTQD[[#Headers],[State]], 0)</f>
        <v>316</v>
      </c>
      <c r="K77" s="37" cm="1">
        <f t="array" ref="K77">Common_InputFunctions.Utility_DisplayArrayInTable(SourceData_PastureBeef.SourceData_PastureBeef_LiveweightNTQLD_Data(),Table_SourceData_PastureBeef_LiveweightNTQD[[#Headers],[State]], 0)</f>
        <v>438</v>
      </c>
      <c r="L77" s="37" cm="1">
        <f t="array" ref="L77">Common_InputFunctions.Utility_DisplayArrayInTable(SourceData_PastureBeef.SourceData_PastureBeef_LiveweightNTQLD_Data(),Table_SourceData_PastureBeef_LiveweightNTQD[[#Headers],[State]], 0)</f>
        <v>468</v>
      </c>
      <c r="M77" s="37" cm="1">
        <f t="array" ref="M77">Common_InputFunctions.Utility_DisplayArrayInTable(SourceData_PastureBeef.SourceData_PastureBeef_LiveweightNTQLD_Data(),Table_SourceData_PastureBeef_LiveweightNTQD[[#Headers],[State]], 0)</f>
        <v>189</v>
      </c>
      <c r="N77" s="37" cm="1">
        <f t="array" ref="N77">Common_InputFunctions.Utility_DisplayArrayInTable(SourceData_PastureBeef.SourceData_PastureBeef_LiveweightNTQLD_Data(),Table_SourceData_PastureBeef_LiveweightNTQD[[#Headers],[State]], 0)</f>
        <v>354</v>
      </c>
      <c r="O77" s="37" cm="1">
        <f t="array" ref="O77">Common_InputFunctions.Utility_DisplayArrayInTable(SourceData_PastureBeef.SourceData_PastureBeef_LiveweightNTQLD_Data(),Table_SourceData_PastureBeef_LiveweightNTQD[[#Headers],[State]], 0)</f>
        <v>500</v>
      </c>
      <c r="P77" s="37" cm="1">
        <f t="array" ref="P77">Common_InputFunctions.Utility_DisplayArrayInTable(SourceData_PastureBeef.SourceData_PastureBeef_LiveweightNTQLD_Data(),Table_SourceData_PastureBeef_LiveweightNTQD[[#Headers],[State]], 0)</f>
        <v>553</v>
      </c>
      <c r="V77" s="1"/>
    </row>
    <row r="78" spans="4:22" ht="20.100000000000001" customHeight="1" x14ac:dyDescent="0.25">
      <c r="D78" s="1" t="str" cm="1">
        <f t="array" ref="D78">Common_InputFunctions.Utility_DisplayArrayInTable(SourceData_PastureBeef.SourceData_PastureBeef_LiveweightNTQLD_Data(),Table_SourceData_PastureBeef_LiveweightNTQD[[#Headers],[State]], 0)</f>
        <v>Queensland</v>
      </c>
      <c r="E78" s="37" t="str" cm="1">
        <f t="array" ref="E78">Common_InputFunctions.Utility_DisplayArrayInTable(SourceData_PastureBeef.SourceData_PastureBeef_LiveweightNTQLD_Data(),Table_SourceData_PastureBeef_LiveweightNTQD[[#Headers],[State]], 0)</f>
        <v>Low</v>
      </c>
      <c r="F78" s="37" t="str" cm="1">
        <f t="array" ref="F78">Common_InputFunctions.Utility_DisplayArrayInTable(SourceData_PastureBeef.SourceData_PastureBeef_LiveweightNTQLD_Data(),Table_SourceData_PastureBeef_LiveweightNTQD[[#Headers],[State]], 0)</f>
        <v>Spring</v>
      </c>
      <c r="G78" s="37" cm="1">
        <f t="array" ref="G78">Common_InputFunctions.Utility_DisplayArrayInTable(SourceData_PastureBeef.SourceData_PastureBeef_LiveweightNTQLD_Data(),Table_SourceData_PastureBeef_LiveweightNTQD[[#Headers],[State]], 0)</f>
        <v>190</v>
      </c>
      <c r="H78" s="37" cm="1">
        <f t="array" ref="H78">Common_InputFunctions.Utility_DisplayArrayInTable(SourceData_PastureBeef.SourceData_PastureBeef_LiveweightNTQLD_Data(),Table_SourceData_PastureBeef_LiveweightNTQD[[#Headers],[State]], 0)</f>
        <v>617</v>
      </c>
      <c r="I78" s="37" cm="1">
        <f t="array" ref="I78">Common_InputFunctions.Utility_DisplayArrayInTable(SourceData_PastureBeef.SourceData_PastureBeef_LiveweightNTQLD_Data(),Table_SourceData_PastureBeef_LiveweightNTQD[[#Headers],[State]], 0)</f>
        <v>174</v>
      </c>
      <c r="J78" s="37" cm="1">
        <f t="array" ref="J78">Common_InputFunctions.Utility_DisplayArrayInTable(SourceData_PastureBeef.SourceData_PastureBeef_LiveweightNTQLD_Data(),Table_SourceData_PastureBeef_LiveweightNTQD[[#Headers],[State]], 0)</f>
        <v>265</v>
      </c>
      <c r="K78" s="37" cm="1">
        <f t="array" ref="K78">Common_InputFunctions.Utility_DisplayArrayInTable(SourceData_PastureBeef.SourceData_PastureBeef_LiveweightNTQLD_Data(),Table_SourceData_PastureBeef_LiveweightNTQD[[#Headers],[State]], 0)</f>
        <v>371</v>
      </c>
      <c r="L78" s="37" cm="1">
        <f t="array" ref="L78">Common_InputFunctions.Utility_DisplayArrayInTable(SourceData_PastureBeef.SourceData_PastureBeef_LiveweightNTQLD_Data(),Table_SourceData_PastureBeef_LiveweightNTQD[[#Headers],[State]], 0)</f>
        <v>415</v>
      </c>
      <c r="M78" s="37" cm="1">
        <f t="array" ref="M78">Common_InputFunctions.Utility_DisplayArrayInTable(SourceData_PastureBeef.SourceData_PastureBeef_LiveweightNTQLD_Data(),Table_SourceData_PastureBeef_LiveweightNTQD[[#Headers],[State]], 0)</f>
        <v>170</v>
      </c>
      <c r="N78" s="37" cm="1">
        <f t="array" ref="N78">Common_InputFunctions.Utility_DisplayArrayInTable(SourceData_PastureBeef.SourceData_PastureBeef_LiveweightNTQLD_Data(),Table_SourceData_PastureBeef_LiveweightNTQD[[#Headers],[State]], 0)</f>
        <v>272</v>
      </c>
      <c r="O78" s="37" cm="1">
        <f t="array" ref="O78">Common_InputFunctions.Utility_DisplayArrayInTable(SourceData_PastureBeef.SourceData_PastureBeef_LiveweightNTQLD_Data(),Table_SourceData_PastureBeef_LiveweightNTQD[[#Headers],[State]], 0)</f>
        <v>392</v>
      </c>
      <c r="P78" s="37" cm="1">
        <f t="array" ref="P78">Common_InputFunctions.Utility_DisplayArrayInTable(SourceData_PastureBeef.SourceData_PastureBeef_LiveweightNTQLD_Data(),Table_SourceData_PastureBeef_LiveweightNTQD[[#Headers],[State]], 0)</f>
        <v>531</v>
      </c>
    </row>
    <row r="79" spans="4:22" ht="20.100000000000001" customHeight="1" x14ac:dyDescent="0.25">
      <c r="D79" s="1" t="str" cm="1">
        <f t="array" ref="D79">Common_InputFunctions.Utility_DisplayArrayInTable(SourceData_PastureBeef.SourceData_PastureBeef_LiveweightNTQLD_Data(),Table_SourceData_PastureBeef_LiveweightNTQD[[#Headers],[State]], 0)</f>
        <v>Queensland</v>
      </c>
      <c r="E79" s="37" t="str" cm="1">
        <f t="array" ref="E79">Common_InputFunctions.Utility_DisplayArrayInTable(SourceData_PastureBeef.SourceData_PastureBeef_LiveweightNTQLD_Data(),Table_SourceData_PastureBeef_LiveweightNTQD[[#Headers],[State]], 0)</f>
        <v>Low</v>
      </c>
      <c r="F79" s="37" t="str" cm="1">
        <f t="array" ref="F79">Common_InputFunctions.Utility_DisplayArrayInTable(SourceData_PastureBeef.SourceData_PastureBeef_LiveweightNTQLD_Data(),Table_SourceData_PastureBeef_LiveweightNTQD[[#Headers],[State]], 0)</f>
        <v>Summer</v>
      </c>
      <c r="G79" s="37" cm="1">
        <f t="array" ref="G79">Common_InputFunctions.Utility_DisplayArrayInTable(SourceData_PastureBeef.SourceData_PastureBeef_LiveweightNTQLD_Data(),Table_SourceData_PastureBeef_LiveweightNTQD[[#Headers],[State]], 0)</f>
        <v>119</v>
      </c>
      <c r="H79" s="37" cm="1">
        <f t="array" ref="H79">Common_InputFunctions.Utility_DisplayArrayInTable(SourceData_PastureBeef.SourceData_PastureBeef_LiveweightNTQLD_Data(),Table_SourceData_PastureBeef_LiveweightNTQD[[#Headers],[State]], 0)</f>
        <v>591</v>
      </c>
      <c r="I79" s="37" cm="1">
        <f t="array" ref="I79">Common_InputFunctions.Utility_DisplayArrayInTable(SourceData_PastureBeef.SourceData_PastureBeef_LiveweightNTQLD_Data(),Table_SourceData_PastureBeef_LiveweightNTQD[[#Headers],[State]], 0)</f>
        <v>140</v>
      </c>
      <c r="J79" s="37" cm="1">
        <f t="array" ref="J79">Common_InputFunctions.Utility_DisplayArrayInTable(SourceData_PastureBeef.SourceData_PastureBeef_LiveweightNTQLD_Data(),Table_SourceData_PastureBeef_LiveweightNTQD[[#Headers],[State]], 0)</f>
        <v>205</v>
      </c>
      <c r="K79" s="37" cm="1">
        <f t="array" ref="K79">Common_InputFunctions.Utility_DisplayArrayInTable(SourceData_PastureBeef.SourceData_PastureBeef_LiveweightNTQLD_Data(),Table_SourceData_PastureBeef_LiveweightNTQD[[#Headers],[State]], 0)</f>
        <v>310</v>
      </c>
      <c r="L79" s="37" cm="1">
        <f t="array" ref="L79">Common_InputFunctions.Utility_DisplayArrayInTable(SourceData_PastureBeef.SourceData_PastureBeef_LiveweightNTQLD_Data(),Table_SourceData_PastureBeef_LiveweightNTQD[[#Headers],[State]], 0)</f>
        <v>405</v>
      </c>
      <c r="M79" s="37" cm="1">
        <f t="array" ref="M79">Common_InputFunctions.Utility_DisplayArrayInTable(SourceData_PastureBeef.SourceData_PastureBeef_LiveweightNTQLD_Data(),Table_SourceData_PastureBeef_LiveweightNTQD[[#Headers],[State]], 0)</f>
        <v>133</v>
      </c>
      <c r="N79" s="37" cm="1">
        <f t="array" ref="N79">Common_InputFunctions.Utility_DisplayArrayInTable(SourceData_PastureBeef.SourceData_PastureBeef_LiveweightNTQLD_Data(),Table_SourceData_PastureBeef_LiveweightNTQD[[#Headers],[State]], 0)</f>
        <v>218</v>
      </c>
      <c r="O79" s="37" cm="1">
        <f t="array" ref="O79">Common_InputFunctions.Utility_DisplayArrayInTable(SourceData_PastureBeef.SourceData_PastureBeef_LiveweightNTQLD_Data(),Table_SourceData_PastureBeef_LiveweightNTQD[[#Headers],[State]], 0)</f>
        <v>315</v>
      </c>
      <c r="P79" s="37" cm="1">
        <f t="array" ref="P79">Common_InputFunctions.Utility_DisplayArrayInTable(SourceData_PastureBeef.SourceData_PastureBeef_LiveweightNTQLD_Data(),Table_SourceData_PastureBeef_LiveweightNTQD[[#Headers],[State]], 0)</f>
        <v>445</v>
      </c>
    </row>
    <row r="80" spans="4:22" ht="20.100000000000001" customHeight="1" x14ac:dyDescent="0.25">
      <c r="D80" s="1" t="str" cm="1">
        <f t="array" ref="D80">Common_InputFunctions.Utility_DisplayArrayInTable(SourceData_PastureBeef.SourceData_PastureBeef_LiveweightNTQLD_Data(),Table_SourceData_PastureBeef_LiveweightNTQD[[#Headers],[State]], 0)</f>
        <v>Queensland</v>
      </c>
      <c r="E80" s="37" t="str" cm="1">
        <f t="array" ref="E80">Common_InputFunctions.Utility_DisplayArrayInTable(SourceData_PastureBeef.SourceData_PastureBeef_LiveweightNTQLD_Data(),Table_SourceData_PastureBeef_LiveweightNTQD[[#Headers],[State]], 0)</f>
        <v>Low</v>
      </c>
      <c r="F80" s="37" t="str" cm="1">
        <f t="array" ref="F80">Common_InputFunctions.Utility_DisplayArrayInTable(SourceData_PastureBeef.SourceData_PastureBeef_LiveweightNTQLD_Data(),Table_SourceData_PastureBeef_LiveweightNTQD[[#Headers],[State]], 0)</f>
        <v>Autumn</v>
      </c>
      <c r="G80" s="37" cm="1">
        <f t="array" ref="G80">Common_InputFunctions.Utility_DisplayArrayInTable(SourceData_PastureBeef.SourceData_PastureBeef_LiveweightNTQLD_Data(),Table_SourceData_PastureBeef_LiveweightNTQD[[#Headers],[State]], 0)</f>
        <v>175</v>
      </c>
      <c r="H80" s="37" cm="1">
        <f t="array" ref="H80">Common_InputFunctions.Utility_DisplayArrayInTable(SourceData_PastureBeef.SourceData_PastureBeef_LiveweightNTQLD_Data(),Table_SourceData_PastureBeef_LiveweightNTQD[[#Headers],[State]], 0)</f>
        <v>610</v>
      </c>
      <c r="I80" s="37" cm="1">
        <f t="array" ref="I80">Common_InputFunctions.Utility_DisplayArrayInTable(SourceData_PastureBeef.SourceData_PastureBeef_LiveweightNTQLD_Data(),Table_SourceData_PastureBeef_LiveweightNTQD[[#Headers],[State]], 0)</f>
        <v>163</v>
      </c>
      <c r="J80" s="37" cm="1">
        <f t="array" ref="J80">Common_InputFunctions.Utility_DisplayArrayInTable(SourceData_PastureBeef.SourceData_PastureBeef_LiveweightNTQLD_Data(),Table_SourceData_PastureBeef_LiveweightNTQD[[#Headers],[State]], 0)</f>
        <v>232</v>
      </c>
      <c r="K80" s="37" cm="1">
        <f t="array" ref="K80">Common_InputFunctions.Utility_DisplayArrayInTable(SourceData_PastureBeef.SourceData_PastureBeef_LiveweightNTQLD_Data(),Table_SourceData_PastureBeef_LiveweightNTQD[[#Headers],[State]], 0)</f>
        <v>351</v>
      </c>
      <c r="L80" s="37" cm="1">
        <f t="array" ref="L80">Common_InputFunctions.Utility_DisplayArrayInTable(SourceData_PastureBeef.SourceData_PastureBeef_LiveweightNTQLD_Data(),Table_SourceData_PastureBeef_LiveweightNTQD[[#Headers],[State]], 0)</f>
        <v>427</v>
      </c>
      <c r="M80" s="37" cm="1">
        <f t="array" ref="M80">Common_InputFunctions.Utility_DisplayArrayInTable(SourceData_PastureBeef.SourceData_PastureBeef_LiveweightNTQLD_Data(),Table_SourceData_PastureBeef_LiveweightNTQD[[#Headers],[State]], 0)</f>
        <v>146</v>
      </c>
      <c r="N80" s="37" cm="1">
        <f t="array" ref="N80">Common_InputFunctions.Utility_DisplayArrayInTable(SourceData_PastureBeef.SourceData_PastureBeef_LiveweightNTQLD_Data(),Table_SourceData_PastureBeef_LiveweightNTQD[[#Headers],[State]], 0)</f>
        <v>242</v>
      </c>
      <c r="O80" s="37" cm="1">
        <f t="array" ref="O80">Common_InputFunctions.Utility_DisplayArrayInTable(SourceData_PastureBeef.SourceData_PastureBeef_LiveweightNTQLD_Data(),Table_SourceData_PastureBeef_LiveweightNTQD[[#Headers],[State]], 0)</f>
        <v>320</v>
      </c>
      <c r="P80" s="37" cm="1">
        <f t="array" ref="P80">Common_InputFunctions.Utility_DisplayArrayInTable(SourceData_PastureBeef.SourceData_PastureBeef_LiveweightNTQLD_Data(),Table_SourceData_PastureBeef_LiveweightNTQD[[#Headers],[State]], 0)</f>
        <v>471</v>
      </c>
    </row>
    <row r="81" spans="4:22" ht="20.100000000000001" customHeight="1" x14ac:dyDescent="0.25">
      <c r="D81" s="1" t="str" cm="1">
        <f t="array" ref="D81">Common_InputFunctions.Utility_DisplayArrayInTable(SourceData_PastureBeef.SourceData_PastureBeef_LiveweightNTQLD_Data(),Table_SourceData_PastureBeef_LiveweightNTQD[[#Headers],[State]], 0)</f>
        <v>Queensland</v>
      </c>
      <c r="E81" s="37" t="str" cm="1">
        <f t="array" ref="E81">Common_InputFunctions.Utility_DisplayArrayInTable(SourceData_PastureBeef.SourceData_PastureBeef_LiveweightNTQLD_Data(),Table_SourceData_PastureBeef_LiveweightNTQD[[#Headers],[State]], 0)</f>
        <v>Low</v>
      </c>
      <c r="F81" s="37" t="str" cm="1">
        <f t="array" ref="F81">Common_InputFunctions.Utility_DisplayArrayInTable(SourceData_PastureBeef.SourceData_PastureBeef_LiveweightNTQLD_Data(),Table_SourceData_PastureBeef_LiveweightNTQD[[#Headers],[State]], 0)</f>
        <v>Winter</v>
      </c>
      <c r="G81" s="37" cm="1">
        <f t="array" ref="G81">Common_InputFunctions.Utility_DisplayArrayInTable(SourceData_PastureBeef.SourceData_PastureBeef_LiveweightNTQLD_Data(),Table_SourceData_PastureBeef_LiveweightNTQD[[#Headers],[State]], 0)</f>
        <v>192</v>
      </c>
      <c r="H81" s="37" cm="1">
        <f t="array" ref="H81">Common_InputFunctions.Utility_DisplayArrayInTable(SourceData_PastureBeef.SourceData_PastureBeef_LiveweightNTQLD_Data(),Table_SourceData_PastureBeef_LiveweightNTQD[[#Headers],[State]], 0)</f>
        <v>615</v>
      </c>
      <c r="I81" s="37" cm="1">
        <f t="array" ref="I81">Common_InputFunctions.Utility_DisplayArrayInTable(SourceData_PastureBeef.SourceData_PastureBeef_LiveweightNTQLD_Data(),Table_SourceData_PastureBeef_LiveweightNTQD[[#Headers],[State]], 0)</f>
        <v>162</v>
      </c>
      <c r="J81" s="37" cm="1">
        <f t="array" ref="J81">Common_InputFunctions.Utility_DisplayArrayInTable(SourceData_PastureBeef.SourceData_PastureBeef_LiveweightNTQLD_Data(),Table_SourceData_PastureBeef_LiveweightNTQD[[#Headers],[State]], 0)</f>
        <v>255</v>
      </c>
      <c r="K81" s="37" cm="1">
        <f t="array" ref="K81">Common_InputFunctions.Utility_DisplayArrayInTable(SourceData_PastureBeef.SourceData_PastureBeef_LiveweightNTQLD_Data(),Table_SourceData_PastureBeef_LiveweightNTQD[[#Headers],[State]], 0)</f>
        <v>364</v>
      </c>
      <c r="L81" s="37" cm="1">
        <f t="array" ref="L81">Common_InputFunctions.Utility_DisplayArrayInTable(SourceData_PastureBeef.SourceData_PastureBeef_LiveweightNTQLD_Data(),Table_SourceData_PastureBeef_LiveweightNTQD[[#Headers],[State]], 0)</f>
        <v>420</v>
      </c>
      <c r="M81" s="37" cm="1">
        <f t="array" ref="M81">Common_InputFunctions.Utility_DisplayArrayInTable(SourceData_PastureBeef.SourceData_PastureBeef_LiveweightNTQLD_Data(),Table_SourceData_PastureBeef_LiveweightNTQD[[#Headers],[State]], 0)</f>
        <v>157</v>
      </c>
      <c r="N81" s="37" cm="1">
        <f t="array" ref="N81">Common_InputFunctions.Utility_DisplayArrayInTable(SourceData_PastureBeef.SourceData_PastureBeef_LiveweightNTQLD_Data(),Table_SourceData_PastureBeef_LiveweightNTQD[[#Headers],[State]], 0)</f>
        <v>261</v>
      </c>
      <c r="O81" s="37" cm="1">
        <f t="array" ref="O81">Common_InputFunctions.Utility_DisplayArrayInTable(SourceData_PastureBeef.SourceData_PastureBeef_LiveweightNTQLD_Data(),Table_SourceData_PastureBeef_LiveweightNTQD[[#Headers],[State]], 0)</f>
        <v>342</v>
      </c>
      <c r="P81" s="37" cm="1">
        <f t="array" ref="P81">Common_InputFunctions.Utility_DisplayArrayInTable(SourceData_PastureBeef.SourceData_PastureBeef_LiveweightNTQLD_Data(),Table_SourceData_PastureBeef_LiveweightNTQD[[#Headers],[State]], 0)</f>
        <v>484</v>
      </c>
    </row>
    <row r="82" spans="4:22" ht="20.100000000000001" customHeight="1" x14ac:dyDescent="0.25">
      <c r="M82" s="1"/>
    </row>
    <row r="83" spans="4:22" ht="20.100000000000001" customHeight="1" x14ac:dyDescent="0.25">
      <c r="M83" s="1"/>
    </row>
    <row r="84" spans="4:22" ht="20.100000000000001" customHeight="1" x14ac:dyDescent="0.25">
      <c r="D84" s="6" t="s">
        <v>201</v>
      </c>
      <c r="M84" s="1"/>
    </row>
    <row r="85" spans="4:22" ht="20.100000000000001" customHeight="1" x14ac:dyDescent="0.25">
      <c r="D85" s="37" t="s">
        <v>8</v>
      </c>
      <c r="E85" s="37" t="s">
        <v>183</v>
      </c>
      <c r="F85" s="37" t="s">
        <v>184</v>
      </c>
      <c r="G85" s="118" t="s">
        <v>131</v>
      </c>
      <c r="H85" s="118" t="s">
        <v>130</v>
      </c>
      <c r="I85" s="118" t="s">
        <v>165</v>
      </c>
      <c r="J85" s="118" t="s">
        <v>166</v>
      </c>
      <c r="K85" s="118" t="s">
        <v>167</v>
      </c>
      <c r="L85" s="118" t="s">
        <v>168</v>
      </c>
      <c r="M85" s="118" t="s">
        <v>169</v>
      </c>
      <c r="N85" s="118" t="s">
        <v>170</v>
      </c>
      <c r="O85" s="118" t="s">
        <v>171</v>
      </c>
      <c r="P85" s="118" t="s">
        <v>172</v>
      </c>
      <c r="V85" s="1"/>
    </row>
    <row r="86" spans="4:22" ht="20.100000000000001" customHeight="1" x14ac:dyDescent="0.25">
      <c r="D86" s="37" t="s">
        <v>83</v>
      </c>
      <c r="E86" s="37" t="s">
        <v>202</v>
      </c>
      <c r="F86" s="37" t="str">
        <f>F19</f>
        <v>Spring</v>
      </c>
      <c r="G86" s="37">
        <f>G19</f>
        <v>80</v>
      </c>
      <c r="H86" s="37">
        <f t="shared" ref="H86:K89" si="0">H19</f>
        <v>480</v>
      </c>
      <c r="I86" s="37">
        <f>I19</f>
        <v>75</v>
      </c>
      <c r="J86" s="37">
        <f>J19</f>
        <v>300</v>
      </c>
      <c r="K86" s="37">
        <f>K19</f>
        <v>440</v>
      </c>
      <c r="L86" s="37">
        <f>K19</f>
        <v>440</v>
      </c>
      <c r="M86" s="37">
        <f>L19</f>
        <v>75</v>
      </c>
      <c r="N86" s="37">
        <f>M19</f>
        <v>380</v>
      </c>
      <c r="O86" s="37">
        <f>M19</f>
        <v>380</v>
      </c>
      <c r="P86" s="37">
        <f>M19</f>
        <v>380</v>
      </c>
      <c r="V86" s="1"/>
    </row>
    <row r="87" spans="4:22" ht="20.100000000000001" customHeight="1" x14ac:dyDescent="0.25">
      <c r="D87" s="37" t="s">
        <v>83</v>
      </c>
      <c r="E87" s="37" t="s">
        <v>202</v>
      </c>
      <c r="F87" s="37" t="s">
        <v>174</v>
      </c>
      <c r="G87" s="37">
        <f t="shared" ref="G87" si="1">G20</f>
        <v>170</v>
      </c>
      <c r="H87" s="37">
        <f t="shared" si="0"/>
        <v>520</v>
      </c>
      <c r="I87" s="37">
        <f t="shared" si="0"/>
        <v>160</v>
      </c>
      <c r="J87" s="37">
        <f t="shared" si="0"/>
        <v>360</v>
      </c>
      <c r="K87" s="37">
        <f t="shared" si="0"/>
        <v>470</v>
      </c>
      <c r="L87" s="37">
        <f t="shared" ref="L87:N89" si="2">K20</f>
        <v>470</v>
      </c>
      <c r="M87" s="37">
        <f t="shared" si="2"/>
        <v>160</v>
      </c>
      <c r="N87" s="37">
        <f t="shared" si="2"/>
        <v>420</v>
      </c>
      <c r="O87" s="37">
        <f t="shared" ref="O87:O89" si="3">M20</f>
        <v>420</v>
      </c>
      <c r="P87" s="37">
        <f t="shared" ref="P87:P89" si="4">M20</f>
        <v>420</v>
      </c>
      <c r="V87" s="1"/>
    </row>
    <row r="88" spans="4:22" ht="20.100000000000001" customHeight="1" x14ac:dyDescent="0.25">
      <c r="D88" s="37" t="s">
        <v>83</v>
      </c>
      <c r="E88" s="37" t="s">
        <v>202</v>
      </c>
      <c r="F88" s="37" t="s">
        <v>175</v>
      </c>
      <c r="G88" s="37">
        <f t="shared" ref="G88" si="5">G21</f>
        <v>240</v>
      </c>
      <c r="H88" s="37">
        <f t="shared" si="0"/>
        <v>550</v>
      </c>
      <c r="I88" s="37">
        <f t="shared" si="0"/>
        <v>220</v>
      </c>
      <c r="J88" s="37">
        <f t="shared" si="0"/>
        <v>390</v>
      </c>
      <c r="K88" s="37">
        <f t="shared" si="0"/>
        <v>490</v>
      </c>
      <c r="L88" s="37">
        <f t="shared" si="2"/>
        <v>490</v>
      </c>
      <c r="M88" s="37">
        <f t="shared" si="2"/>
        <v>220</v>
      </c>
      <c r="N88" s="37">
        <f t="shared" si="2"/>
        <v>450</v>
      </c>
      <c r="O88" s="37">
        <f t="shared" si="3"/>
        <v>450</v>
      </c>
      <c r="P88" s="37">
        <f t="shared" si="4"/>
        <v>450</v>
      </c>
      <c r="V88" s="1"/>
    </row>
    <row r="89" spans="4:22" ht="20.100000000000001" customHeight="1" x14ac:dyDescent="0.25">
      <c r="D89" s="37" t="s">
        <v>83</v>
      </c>
      <c r="E89" s="37" t="s">
        <v>202</v>
      </c>
      <c r="F89" s="37" t="s">
        <v>176</v>
      </c>
      <c r="G89" s="37">
        <f t="shared" ref="G89" si="6">G22</f>
        <v>280</v>
      </c>
      <c r="H89" s="37">
        <f t="shared" si="0"/>
        <v>560</v>
      </c>
      <c r="I89" s="37">
        <f t="shared" si="0"/>
        <v>260</v>
      </c>
      <c r="J89" s="37">
        <f t="shared" si="0"/>
        <v>410</v>
      </c>
      <c r="K89" s="37">
        <f t="shared" si="0"/>
        <v>500</v>
      </c>
      <c r="L89" s="37">
        <f t="shared" si="2"/>
        <v>500</v>
      </c>
      <c r="M89" s="37">
        <f t="shared" si="2"/>
        <v>260</v>
      </c>
      <c r="N89" s="37">
        <f t="shared" si="2"/>
        <v>460</v>
      </c>
      <c r="O89" s="37">
        <f t="shared" si="3"/>
        <v>460</v>
      </c>
      <c r="P89" s="37">
        <f t="shared" si="4"/>
        <v>460</v>
      </c>
      <c r="V89" s="1"/>
    </row>
    <row r="90" spans="4:22" ht="20.100000000000001" customHeight="1" x14ac:dyDescent="0.25">
      <c r="D90" s="37" t="s">
        <v>84</v>
      </c>
      <c r="E90" s="37" t="s">
        <v>202</v>
      </c>
      <c r="F90" s="37" t="str">
        <f>F23</f>
        <v>Spring</v>
      </c>
      <c r="G90" s="37">
        <f>G19</f>
        <v>80</v>
      </c>
      <c r="H90" s="37">
        <f t="shared" ref="H90:J90" si="7">H19</f>
        <v>480</v>
      </c>
      <c r="I90" s="37">
        <f t="shared" si="7"/>
        <v>75</v>
      </c>
      <c r="J90" s="37">
        <f t="shared" si="7"/>
        <v>300</v>
      </c>
      <c r="K90" s="37">
        <f>K19</f>
        <v>440</v>
      </c>
      <c r="L90" s="37">
        <f>K19</f>
        <v>440</v>
      </c>
      <c r="M90" s="37">
        <f>L19</f>
        <v>75</v>
      </c>
      <c r="N90" s="37">
        <f>M19</f>
        <v>380</v>
      </c>
      <c r="O90" s="37">
        <f>M19</f>
        <v>380</v>
      </c>
      <c r="P90" s="37">
        <f>M19</f>
        <v>380</v>
      </c>
      <c r="V90" s="1"/>
    </row>
    <row r="91" spans="4:22" ht="20.100000000000001" customHeight="1" x14ac:dyDescent="0.25">
      <c r="D91" s="37" t="s">
        <v>84</v>
      </c>
      <c r="E91" s="37" t="s">
        <v>202</v>
      </c>
      <c r="F91" s="37" t="s">
        <v>174</v>
      </c>
      <c r="G91" s="37">
        <f t="shared" ref="G91:K91" si="8">G20</f>
        <v>170</v>
      </c>
      <c r="H91" s="37">
        <f t="shared" si="8"/>
        <v>520</v>
      </c>
      <c r="I91" s="37">
        <f t="shared" si="8"/>
        <v>160</v>
      </c>
      <c r="J91" s="37">
        <f t="shared" si="8"/>
        <v>360</v>
      </c>
      <c r="K91" s="37">
        <f t="shared" si="8"/>
        <v>470</v>
      </c>
      <c r="L91" s="37">
        <f t="shared" ref="L91:M93" si="9">K20</f>
        <v>470</v>
      </c>
      <c r="M91" s="37">
        <f t="shared" si="9"/>
        <v>160</v>
      </c>
      <c r="N91" s="37">
        <f t="shared" ref="N91:N117" si="10">M20</f>
        <v>420</v>
      </c>
      <c r="O91" s="37">
        <f t="shared" ref="O91:O93" si="11">M20</f>
        <v>420</v>
      </c>
      <c r="P91" s="37">
        <f t="shared" ref="P91:P93" si="12">M20</f>
        <v>420</v>
      </c>
    </row>
    <row r="92" spans="4:22" ht="20.100000000000001" customHeight="1" x14ac:dyDescent="0.25">
      <c r="D92" s="37" t="s">
        <v>84</v>
      </c>
      <c r="E92" s="37" t="s">
        <v>202</v>
      </c>
      <c r="F92" s="37" t="s">
        <v>175</v>
      </c>
      <c r="G92" s="37">
        <f t="shared" ref="G92:K92" si="13">G21</f>
        <v>240</v>
      </c>
      <c r="H92" s="37">
        <f t="shared" si="13"/>
        <v>550</v>
      </c>
      <c r="I92" s="37">
        <f t="shared" si="13"/>
        <v>220</v>
      </c>
      <c r="J92" s="37">
        <f t="shared" si="13"/>
        <v>390</v>
      </c>
      <c r="K92" s="37">
        <f t="shared" si="13"/>
        <v>490</v>
      </c>
      <c r="L92" s="37">
        <f t="shared" si="9"/>
        <v>490</v>
      </c>
      <c r="M92" s="37">
        <f t="shared" si="9"/>
        <v>220</v>
      </c>
      <c r="N92" s="37">
        <f t="shared" si="10"/>
        <v>450</v>
      </c>
      <c r="O92" s="37">
        <f t="shared" si="11"/>
        <v>450</v>
      </c>
      <c r="P92" s="37">
        <f t="shared" si="12"/>
        <v>450</v>
      </c>
    </row>
    <row r="93" spans="4:22" ht="20.100000000000001" customHeight="1" x14ac:dyDescent="0.25">
      <c r="D93" s="37" t="s">
        <v>84</v>
      </c>
      <c r="E93" s="37" t="s">
        <v>202</v>
      </c>
      <c r="F93" s="37" t="s">
        <v>176</v>
      </c>
      <c r="G93" s="37">
        <f t="shared" ref="G93:K93" si="14">G22</f>
        <v>280</v>
      </c>
      <c r="H93" s="37">
        <f t="shared" si="14"/>
        <v>560</v>
      </c>
      <c r="I93" s="37">
        <f t="shared" si="14"/>
        <v>260</v>
      </c>
      <c r="J93" s="37">
        <f t="shared" si="14"/>
        <v>410</v>
      </c>
      <c r="K93" s="37">
        <f t="shared" si="14"/>
        <v>500</v>
      </c>
      <c r="L93" s="37">
        <f t="shared" si="9"/>
        <v>500</v>
      </c>
      <c r="M93" s="37">
        <f t="shared" si="9"/>
        <v>260</v>
      </c>
      <c r="N93" s="37">
        <f t="shared" si="10"/>
        <v>460</v>
      </c>
      <c r="O93" s="37">
        <f t="shared" si="11"/>
        <v>460</v>
      </c>
      <c r="P93" s="37">
        <f t="shared" si="12"/>
        <v>460</v>
      </c>
    </row>
    <row r="94" spans="4:22" ht="20.100000000000001" customHeight="1" x14ac:dyDescent="0.25">
      <c r="D94" s="37" t="s">
        <v>87</v>
      </c>
      <c r="E94" s="37" t="s">
        <v>202</v>
      </c>
      <c r="F94" s="37" t="str">
        <f>F27</f>
        <v>Spring</v>
      </c>
      <c r="G94" s="37">
        <f>G23</f>
        <v>250</v>
      </c>
      <c r="H94" s="37">
        <f t="shared" ref="H94:I94" si="15">H23</f>
        <v>800</v>
      </c>
      <c r="I94" s="37">
        <f t="shared" si="15"/>
        <v>220</v>
      </c>
      <c r="J94" s="37">
        <f>J23</f>
        <v>400</v>
      </c>
      <c r="K94" s="37">
        <f>K23</f>
        <v>500</v>
      </c>
      <c r="L94" s="37">
        <f>K23</f>
        <v>500</v>
      </c>
      <c r="M94" s="37">
        <f>L23</f>
        <v>230</v>
      </c>
      <c r="N94" s="37">
        <f>M23</f>
        <v>420</v>
      </c>
      <c r="O94" s="37">
        <f>M23</f>
        <v>420</v>
      </c>
      <c r="P94" s="37">
        <f>M23</f>
        <v>420</v>
      </c>
    </row>
    <row r="95" spans="4:22" ht="20.100000000000001" customHeight="1" x14ac:dyDescent="0.25">
      <c r="D95" s="37" t="s">
        <v>87</v>
      </c>
      <c r="E95" s="37" t="s">
        <v>202</v>
      </c>
      <c r="F95" s="37" t="s">
        <v>174</v>
      </c>
      <c r="G95" s="37">
        <f t="shared" ref="G95:K95" si="16">G24</f>
        <v>320</v>
      </c>
      <c r="H95" s="37">
        <f t="shared" si="16"/>
        <v>800</v>
      </c>
      <c r="I95" s="37">
        <f t="shared" si="16"/>
        <v>280</v>
      </c>
      <c r="J95" s="37">
        <f t="shared" si="16"/>
        <v>420</v>
      </c>
      <c r="K95" s="37">
        <f t="shared" si="16"/>
        <v>500</v>
      </c>
      <c r="L95" s="37">
        <f t="shared" ref="L95:M97" si="17">K24</f>
        <v>500</v>
      </c>
      <c r="M95" s="37">
        <f t="shared" si="17"/>
        <v>290</v>
      </c>
      <c r="N95" s="37">
        <f t="shared" si="10"/>
        <v>420</v>
      </c>
      <c r="O95" s="37">
        <f t="shared" ref="O95:O97" si="18">M24</f>
        <v>420</v>
      </c>
      <c r="P95" s="37">
        <f t="shared" ref="P95:P97" si="19">M24</f>
        <v>420</v>
      </c>
    </row>
    <row r="96" spans="4:22" ht="20.100000000000001" customHeight="1" x14ac:dyDescent="0.25">
      <c r="D96" s="37" t="s">
        <v>87</v>
      </c>
      <c r="E96" s="37" t="s">
        <v>202</v>
      </c>
      <c r="F96" s="37" t="s">
        <v>175</v>
      </c>
      <c r="G96" s="37">
        <f t="shared" ref="G96:K96" si="20">G25</f>
        <v>80</v>
      </c>
      <c r="H96" s="37">
        <f t="shared" si="20"/>
        <v>700</v>
      </c>
      <c r="I96" s="37">
        <f t="shared" si="20"/>
        <v>70</v>
      </c>
      <c r="J96" s="37">
        <f t="shared" si="20"/>
        <v>300</v>
      </c>
      <c r="K96" s="37">
        <f t="shared" si="20"/>
        <v>450</v>
      </c>
      <c r="L96" s="37">
        <f t="shared" si="17"/>
        <v>450</v>
      </c>
      <c r="M96" s="37">
        <f t="shared" si="17"/>
        <v>75</v>
      </c>
      <c r="N96" s="37">
        <f t="shared" si="10"/>
        <v>400</v>
      </c>
      <c r="O96" s="37">
        <f t="shared" si="18"/>
        <v>400</v>
      </c>
      <c r="P96" s="37">
        <f t="shared" si="19"/>
        <v>400</v>
      </c>
    </row>
    <row r="97" spans="4:16" ht="20.100000000000001" customHeight="1" x14ac:dyDescent="0.25">
      <c r="D97" s="37" t="s">
        <v>87</v>
      </c>
      <c r="E97" s="37" t="s">
        <v>202</v>
      </c>
      <c r="F97" s="37" t="s">
        <v>176</v>
      </c>
      <c r="G97" s="37">
        <f t="shared" ref="G97:K97" si="21">G26</f>
        <v>160</v>
      </c>
      <c r="H97" s="37">
        <f t="shared" si="21"/>
        <v>700</v>
      </c>
      <c r="I97" s="37">
        <f t="shared" si="21"/>
        <v>140</v>
      </c>
      <c r="J97" s="37">
        <f t="shared" si="21"/>
        <v>350</v>
      </c>
      <c r="K97" s="37">
        <f t="shared" si="21"/>
        <v>450</v>
      </c>
      <c r="L97" s="37">
        <f t="shared" si="17"/>
        <v>450</v>
      </c>
      <c r="M97" s="37">
        <f t="shared" si="17"/>
        <v>150</v>
      </c>
      <c r="N97" s="37">
        <f t="shared" si="10"/>
        <v>400</v>
      </c>
      <c r="O97" s="37">
        <f t="shared" si="18"/>
        <v>400</v>
      </c>
      <c r="P97" s="37">
        <f t="shared" si="19"/>
        <v>400</v>
      </c>
    </row>
    <row r="98" spans="4:16" ht="20.100000000000001" customHeight="1" x14ac:dyDescent="0.25">
      <c r="D98" s="37" t="s">
        <v>88</v>
      </c>
      <c r="E98" s="37" t="s">
        <v>202</v>
      </c>
      <c r="F98" s="37" t="str">
        <f>F31</f>
        <v>Spring</v>
      </c>
      <c r="G98" s="37">
        <f>G27</f>
        <v>105</v>
      </c>
      <c r="H98" s="37">
        <f t="shared" ref="H98:K98" si="22">H27</f>
        <v>700</v>
      </c>
      <c r="I98" s="37">
        <f t="shared" si="22"/>
        <v>85</v>
      </c>
      <c r="J98" s="37">
        <f t="shared" si="22"/>
        <v>300</v>
      </c>
      <c r="K98" s="37">
        <f t="shared" si="22"/>
        <v>490</v>
      </c>
      <c r="L98" s="37">
        <f>K27</f>
        <v>490</v>
      </c>
      <c r="M98" s="37">
        <f>L27</f>
        <v>90</v>
      </c>
      <c r="N98" s="37">
        <f>M27</f>
        <v>480</v>
      </c>
      <c r="O98" s="37">
        <f>M27</f>
        <v>480</v>
      </c>
      <c r="P98" s="37">
        <f>M27</f>
        <v>480</v>
      </c>
    </row>
    <row r="99" spans="4:16" ht="20.100000000000001" customHeight="1" x14ac:dyDescent="0.25">
      <c r="D99" s="37" t="s">
        <v>88</v>
      </c>
      <c r="E99" s="37" t="s">
        <v>202</v>
      </c>
      <c r="F99" s="37" t="s">
        <v>174</v>
      </c>
      <c r="G99" s="37">
        <f t="shared" ref="G99:K99" si="23">G28</f>
        <v>480</v>
      </c>
      <c r="H99" s="37">
        <f t="shared" si="23"/>
        <v>750</v>
      </c>
      <c r="I99" s="37">
        <f t="shared" si="23"/>
        <v>150</v>
      </c>
      <c r="J99" s="37">
        <f t="shared" si="23"/>
        <v>350</v>
      </c>
      <c r="K99" s="37">
        <f t="shared" si="23"/>
        <v>530</v>
      </c>
      <c r="L99" s="37">
        <f t="shared" ref="L99:M101" si="24">K28</f>
        <v>530</v>
      </c>
      <c r="M99" s="37">
        <f t="shared" si="24"/>
        <v>160</v>
      </c>
      <c r="N99" s="37">
        <f t="shared" si="10"/>
        <v>460</v>
      </c>
      <c r="O99" s="37">
        <f t="shared" ref="O99:O101" si="25">M28</f>
        <v>460</v>
      </c>
      <c r="P99" s="37">
        <f t="shared" ref="P99:P101" si="26">M28</f>
        <v>460</v>
      </c>
    </row>
    <row r="100" spans="4:16" ht="20.100000000000001" customHeight="1" x14ac:dyDescent="0.25">
      <c r="D100" s="37" t="s">
        <v>88</v>
      </c>
      <c r="E100" s="37" t="s">
        <v>202</v>
      </c>
      <c r="F100" s="37" t="s">
        <v>175</v>
      </c>
      <c r="G100" s="37">
        <f t="shared" ref="G100:K100" si="27">G29</f>
        <v>250</v>
      </c>
      <c r="H100" s="37">
        <f t="shared" si="27"/>
        <v>725</v>
      </c>
      <c r="I100" s="37">
        <f t="shared" si="27"/>
        <v>200</v>
      </c>
      <c r="J100" s="37">
        <f t="shared" si="27"/>
        <v>360</v>
      </c>
      <c r="K100" s="37">
        <f t="shared" si="27"/>
        <v>500</v>
      </c>
      <c r="L100" s="37">
        <f t="shared" si="24"/>
        <v>500</v>
      </c>
      <c r="M100" s="37">
        <f t="shared" si="24"/>
        <v>215</v>
      </c>
      <c r="N100" s="37">
        <f t="shared" si="10"/>
        <v>490</v>
      </c>
      <c r="O100" s="37">
        <f t="shared" si="25"/>
        <v>490</v>
      </c>
      <c r="P100" s="37">
        <f t="shared" si="26"/>
        <v>490</v>
      </c>
    </row>
    <row r="101" spans="4:16" ht="20.100000000000001" customHeight="1" x14ac:dyDescent="0.25">
      <c r="D101" s="37" t="s">
        <v>88</v>
      </c>
      <c r="E101" s="37" t="s">
        <v>202</v>
      </c>
      <c r="F101" s="37" t="s">
        <v>176</v>
      </c>
      <c r="G101" s="37">
        <f t="shared" ref="G101:K101" si="28">G30</f>
        <v>260</v>
      </c>
      <c r="H101" s="37">
        <f t="shared" si="28"/>
        <v>700</v>
      </c>
      <c r="I101" s="37">
        <f t="shared" si="28"/>
        <v>210</v>
      </c>
      <c r="J101" s="37">
        <f t="shared" si="28"/>
        <v>380</v>
      </c>
      <c r="K101" s="37">
        <f t="shared" si="28"/>
        <v>460</v>
      </c>
      <c r="L101" s="37">
        <f t="shared" si="24"/>
        <v>460</v>
      </c>
      <c r="M101" s="37">
        <f t="shared" si="24"/>
        <v>230</v>
      </c>
      <c r="N101" s="37">
        <f t="shared" si="10"/>
        <v>470</v>
      </c>
      <c r="O101" s="37">
        <f t="shared" si="25"/>
        <v>470</v>
      </c>
      <c r="P101" s="37">
        <f t="shared" si="26"/>
        <v>470</v>
      </c>
    </row>
    <row r="102" spans="4:16" ht="20.100000000000001" customHeight="1" x14ac:dyDescent="0.25">
      <c r="D102" s="37" t="s">
        <v>89</v>
      </c>
      <c r="E102" s="37" t="s">
        <v>202</v>
      </c>
      <c r="F102" s="37" t="str">
        <f>F35</f>
        <v>Spring</v>
      </c>
      <c r="G102" s="37">
        <f>G31</f>
        <v>250</v>
      </c>
      <c r="H102" s="37">
        <f t="shared" ref="H102:J102" si="29">H31</f>
        <v>820</v>
      </c>
      <c r="I102" s="37">
        <f t="shared" si="29"/>
        <v>240</v>
      </c>
      <c r="J102" s="37">
        <f t="shared" si="29"/>
        <v>410</v>
      </c>
      <c r="K102" s="37">
        <f>K31</f>
        <v>560</v>
      </c>
      <c r="L102" s="37">
        <f>K31</f>
        <v>560</v>
      </c>
      <c r="M102" s="37">
        <f>L31</f>
        <v>240</v>
      </c>
      <c r="N102" s="37">
        <f>M31</f>
        <v>510</v>
      </c>
      <c r="O102" s="37">
        <f>M31</f>
        <v>510</v>
      </c>
      <c r="P102" s="37">
        <f>M31</f>
        <v>510</v>
      </c>
    </row>
    <row r="103" spans="4:16" ht="20.100000000000001" customHeight="1" x14ac:dyDescent="0.25">
      <c r="D103" s="37" t="s">
        <v>89</v>
      </c>
      <c r="E103" s="37" t="s">
        <v>202</v>
      </c>
      <c r="F103" s="37" t="s">
        <v>174</v>
      </c>
      <c r="G103" s="37">
        <f t="shared" ref="G103:K103" si="30">G32</f>
        <v>280</v>
      </c>
      <c r="H103" s="37">
        <f t="shared" si="30"/>
        <v>850</v>
      </c>
      <c r="I103" s="37">
        <f t="shared" si="30"/>
        <v>260</v>
      </c>
      <c r="J103" s="37">
        <f t="shared" si="30"/>
        <v>440</v>
      </c>
      <c r="K103" s="37">
        <f t="shared" si="30"/>
        <v>550</v>
      </c>
      <c r="L103" s="37">
        <f t="shared" ref="L103:M105" si="31">K32</f>
        <v>550</v>
      </c>
      <c r="M103" s="37">
        <f t="shared" si="31"/>
        <v>270</v>
      </c>
      <c r="N103" s="37">
        <f t="shared" si="10"/>
        <v>520</v>
      </c>
      <c r="O103" s="37">
        <f t="shared" ref="O103:O105" si="32">M32</f>
        <v>520</v>
      </c>
      <c r="P103" s="37">
        <f t="shared" ref="P103:P105" si="33">M32</f>
        <v>520</v>
      </c>
    </row>
    <row r="104" spans="4:16" ht="20.100000000000001" customHeight="1" x14ac:dyDescent="0.25">
      <c r="D104" s="37" t="s">
        <v>89</v>
      </c>
      <c r="E104" s="37" t="s">
        <v>202</v>
      </c>
      <c r="F104" s="37" t="s">
        <v>175</v>
      </c>
      <c r="G104" s="37">
        <f t="shared" ref="G104:K104" si="34">G33</f>
        <v>100</v>
      </c>
      <c r="H104" s="37">
        <f t="shared" si="34"/>
        <v>700</v>
      </c>
      <c r="I104" s="37">
        <f t="shared" si="34"/>
        <v>95</v>
      </c>
      <c r="J104" s="37">
        <f t="shared" si="34"/>
        <v>300</v>
      </c>
      <c r="K104" s="37">
        <f t="shared" si="34"/>
        <v>450</v>
      </c>
      <c r="L104" s="37">
        <f t="shared" si="31"/>
        <v>450</v>
      </c>
      <c r="M104" s="37">
        <f t="shared" si="31"/>
        <v>95</v>
      </c>
      <c r="N104" s="37">
        <f t="shared" si="10"/>
        <v>410</v>
      </c>
      <c r="O104" s="37">
        <f t="shared" si="32"/>
        <v>410</v>
      </c>
      <c r="P104" s="37">
        <f t="shared" si="33"/>
        <v>410</v>
      </c>
    </row>
    <row r="105" spans="4:16" ht="20.100000000000001" customHeight="1" x14ac:dyDescent="0.25">
      <c r="D105" s="37" t="s">
        <v>89</v>
      </c>
      <c r="E105" s="37" t="s">
        <v>202</v>
      </c>
      <c r="F105" s="37" t="s">
        <v>176</v>
      </c>
      <c r="G105" s="37">
        <f t="shared" ref="G105:K105" si="35">G34</f>
        <v>150</v>
      </c>
      <c r="H105" s="37">
        <f t="shared" si="35"/>
        <v>720</v>
      </c>
      <c r="I105" s="37">
        <f t="shared" si="35"/>
        <v>140</v>
      </c>
      <c r="J105" s="37">
        <f t="shared" si="35"/>
        <v>320</v>
      </c>
      <c r="K105" s="37">
        <f t="shared" si="35"/>
        <v>470</v>
      </c>
      <c r="L105" s="37">
        <f t="shared" si="31"/>
        <v>470</v>
      </c>
      <c r="M105" s="37">
        <f t="shared" si="31"/>
        <v>140</v>
      </c>
      <c r="N105" s="37">
        <f t="shared" si="10"/>
        <v>440</v>
      </c>
      <c r="O105" s="37">
        <f t="shared" si="32"/>
        <v>440</v>
      </c>
      <c r="P105" s="37">
        <f t="shared" si="33"/>
        <v>440</v>
      </c>
    </row>
    <row r="106" spans="4:16" ht="20.100000000000001" customHeight="1" x14ac:dyDescent="0.25">
      <c r="D106" s="37" t="s">
        <v>90</v>
      </c>
      <c r="E106" s="37" t="str">
        <f>E35</f>
        <v>South West</v>
      </c>
      <c r="F106" s="37" t="str">
        <f t="shared" ref="F106:K106" si="36">F35</f>
        <v>Spring</v>
      </c>
      <c r="G106" s="37">
        <f t="shared" si="36"/>
        <v>340</v>
      </c>
      <c r="H106" s="37">
        <f t="shared" si="36"/>
        <v>800</v>
      </c>
      <c r="I106" s="37">
        <f t="shared" si="36"/>
        <v>260</v>
      </c>
      <c r="J106" s="37">
        <f t="shared" si="36"/>
        <v>420</v>
      </c>
      <c r="K106" s="37">
        <f t="shared" si="36"/>
        <v>550</v>
      </c>
      <c r="L106" s="37">
        <f>K35</f>
        <v>550</v>
      </c>
      <c r="M106" s="37">
        <f>L35</f>
        <v>300</v>
      </c>
      <c r="N106" s="37">
        <f>M35</f>
        <v>480</v>
      </c>
      <c r="O106" s="37">
        <f>M35</f>
        <v>480</v>
      </c>
      <c r="P106" s="37">
        <f>M35</f>
        <v>480</v>
      </c>
    </row>
    <row r="107" spans="4:16" ht="20.100000000000001" customHeight="1" x14ac:dyDescent="0.25">
      <c r="D107" s="37" t="s">
        <v>90</v>
      </c>
      <c r="E107" s="37" t="str">
        <f t="shared" ref="E107:K107" si="37">E36</f>
        <v>South West</v>
      </c>
      <c r="F107" s="37" t="str">
        <f t="shared" si="37"/>
        <v>Summer</v>
      </c>
      <c r="G107" s="37">
        <f t="shared" si="37"/>
        <v>380</v>
      </c>
      <c r="H107" s="37">
        <f t="shared" si="37"/>
        <v>780</v>
      </c>
      <c r="I107" s="37">
        <f t="shared" si="37"/>
        <v>300</v>
      </c>
      <c r="J107" s="37">
        <f t="shared" si="37"/>
        <v>450</v>
      </c>
      <c r="K107" s="37">
        <f t="shared" si="37"/>
        <v>530</v>
      </c>
      <c r="L107" s="37">
        <f t="shared" ref="L107:M117" si="38">K36</f>
        <v>530</v>
      </c>
      <c r="M107" s="37">
        <f t="shared" si="38"/>
        <v>340</v>
      </c>
      <c r="N107" s="37">
        <f t="shared" si="10"/>
        <v>470</v>
      </c>
      <c r="O107" s="37">
        <f t="shared" ref="O107:O117" si="39">M36</f>
        <v>470</v>
      </c>
      <c r="P107" s="37">
        <f t="shared" ref="P107:P117" si="40">M36</f>
        <v>470</v>
      </c>
    </row>
    <row r="108" spans="4:16" ht="20.100000000000001" customHeight="1" x14ac:dyDescent="0.25">
      <c r="D108" s="37" t="s">
        <v>90</v>
      </c>
      <c r="E108" s="37" t="str">
        <f t="shared" ref="E108:K108" si="41">E37</f>
        <v>South West</v>
      </c>
      <c r="F108" s="37" t="str">
        <f t="shared" si="41"/>
        <v>Autumn</v>
      </c>
      <c r="G108" s="37">
        <f t="shared" si="41"/>
        <v>100</v>
      </c>
      <c r="H108" s="37">
        <f t="shared" si="41"/>
        <v>680</v>
      </c>
      <c r="I108" s="37">
        <f t="shared" si="41"/>
        <v>80</v>
      </c>
      <c r="J108" s="37">
        <f t="shared" si="41"/>
        <v>320</v>
      </c>
      <c r="K108" s="37">
        <f t="shared" si="41"/>
        <v>480</v>
      </c>
      <c r="L108" s="37">
        <f t="shared" si="38"/>
        <v>480</v>
      </c>
      <c r="M108" s="37">
        <f t="shared" si="38"/>
        <v>100</v>
      </c>
      <c r="N108" s="37">
        <f t="shared" si="10"/>
        <v>340</v>
      </c>
      <c r="O108" s="37">
        <f t="shared" si="39"/>
        <v>340</v>
      </c>
      <c r="P108" s="37">
        <f t="shared" si="40"/>
        <v>340</v>
      </c>
    </row>
    <row r="109" spans="4:16" ht="20.100000000000001" customHeight="1" x14ac:dyDescent="0.25">
      <c r="D109" s="37" t="s">
        <v>90</v>
      </c>
      <c r="E109" s="37" t="str">
        <f t="shared" ref="E109:K109" si="42">E38</f>
        <v>South West</v>
      </c>
      <c r="F109" s="37" t="str">
        <f t="shared" si="42"/>
        <v>Winter</v>
      </c>
      <c r="G109" s="37">
        <f t="shared" si="42"/>
        <v>190</v>
      </c>
      <c r="H109" s="37">
        <f t="shared" si="42"/>
        <v>700</v>
      </c>
      <c r="I109" s="37">
        <f t="shared" si="42"/>
        <v>150</v>
      </c>
      <c r="J109" s="37">
        <f t="shared" si="42"/>
        <v>330</v>
      </c>
      <c r="K109" s="37">
        <f t="shared" si="42"/>
        <v>490</v>
      </c>
      <c r="L109" s="37">
        <f t="shared" si="38"/>
        <v>490</v>
      </c>
      <c r="M109" s="37">
        <f t="shared" si="38"/>
        <v>170</v>
      </c>
      <c r="N109" s="37">
        <f t="shared" si="10"/>
        <v>360</v>
      </c>
      <c r="O109" s="37">
        <f t="shared" si="39"/>
        <v>360</v>
      </c>
      <c r="P109" s="37">
        <f t="shared" si="40"/>
        <v>360</v>
      </c>
    </row>
    <row r="110" spans="4:16" ht="20.100000000000001" customHeight="1" x14ac:dyDescent="0.25">
      <c r="D110" s="37" t="s">
        <v>90</v>
      </c>
      <c r="E110" s="37" t="str">
        <f t="shared" ref="E110:K110" si="43">E39</f>
        <v>Pilbara</v>
      </c>
      <c r="F110" s="37" t="str">
        <f t="shared" si="43"/>
        <v>Spring</v>
      </c>
      <c r="G110" s="37">
        <f t="shared" si="43"/>
        <v>80</v>
      </c>
      <c r="H110" s="37">
        <f t="shared" si="43"/>
        <v>450</v>
      </c>
      <c r="I110" s="37">
        <f t="shared" si="43"/>
        <v>70</v>
      </c>
      <c r="J110" s="37">
        <f t="shared" si="43"/>
        <v>260</v>
      </c>
      <c r="K110" s="37">
        <f t="shared" si="43"/>
        <v>340</v>
      </c>
      <c r="L110" s="37">
        <f t="shared" si="38"/>
        <v>340</v>
      </c>
      <c r="M110" s="37">
        <f t="shared" si="38"/>
        <v>80</v>
      </c>
      <c r="N110" s="37">
        <f t="shared" si="10"/>
        <v>370</v>
      </c>
      <c r="O110" s="37">
        <f t="shared" si="39"/>
        <v>370</v>
      </c>
      <c r="P110" s="37">
        <f t="shared" si="40"/>
        <v>370</v>
      </c>
    </row>
    <row r="111" spans="4:16" ht="20.100000000000001" customHeight="1" x14ac:dyDescent="0.25">
      <c r="D111" s="37" t="s">
        <v>90</v>
      </c>
      <c r="E111" s="37" t="str">
        <f t="shared" ref="E111:K111" si="44">E40</f>
        <v>Pilbara</v>
      </c>
      <c r="F111" s="37" t="str">
        <f t="shared" si="44"/>
        <v>Summer</v>
      </c>
      <c r="G111" s="37">
        <f t="shared" si="44"/>
        <v>150</v>
      </c>
      <c r="H111" s="37">
        <f t="shared" si="44"/>
        <v>500</v>
      </c>
      <c r="I111" s="37">
        <f t="shared" si="44"/>
        <v>140</v>
      </c>
      <c r="J111" s="37">
        <f t="shared" si="44"/>
        <v>310</v>
      </c>
      <c r="K111" s="37">
        <f t="shared" si="44"/>
        <v>360</v>
      </c>
      <c r="L111" s="37">
        <f t="shared" si="38"/>
        <v>360</v>
      </c>
      <c r="M111" s="37">
        <f t="shared" si="38"/>
        <v>150</v>
      </c>
      <c r="N111" s="37">
        <f t="shared" si="10"/>
        <v>400</v>
      </c>
      <c r="O111" s="37">
        <f t="shared" si="39"/>
        <v>400</v>
      </c>
      <c r="P111" s="37">
        <f t="shared" si="40"/>
        <v>400</v>
      </c>
    </row>
    <row r="112" spans="4:16" ht="20.100000000000001" customHeight="1" x14ac:dyDescent="0.25">
      <c r="D112" s="37" t="s">
        <v>90</v>
      </c>
      <c r="E112" s="37" t="str">
        <f t="shared" ref="E112:K112" si="45">E41</f>
        <v>Pilbara</v>
      </c>
      <c r="F112" s="37" t="str">
        <f t="shared" si="45"/>
        <v>Autumn</v>
      </c>
      <c r="G112" s="37">
        <f t="shared" si="45"/>
        <v>230</v>
      </c>
      <c r="H112" s="37">
        <f t="shared" si="45"/>
        <v>550</v>
      </c>
      <c r="I112" s="37">
        <f t="shared" si="45"/>
        <v>220</v>
      </c>
      <c r="J112" s="37">
        <f t="shared" si="45"/>
        <v>330</v>
      </c>
      <c r="K112" s="37">
        <f t="shared" si="45"/>
        <v>380</v>
      </c>
      <c r="L112" s="37">
        <f t="shared" si="38"/>
        <v>380</v>
      </c>
      <c r="M112" s="37">
        <f t="shared" si="38"/>
        <v>230</v>
      </c>
      <c r="N112" s="37">
        <f t="shared" si="10"/>
        <v>420</v>
      </c>
      <c r="O112" s="37">
        <f t="shared" si="39"/>
        <v>420</v>
      </c>
      <c r="P112" s="37">
        <f t="shared" si="40"/>
        <v>420</v>
      </c>
    </row>
    <row r="113" spans="4:22" ht="20.100000000000001" customHeight="1" x14ac:dyDescent="0.25">
      <c r="D113" s="37" t="s">
        <v>90</v>
      </c>
      <c r="E113" s="37" t="str">
        <f t="shared" ref="E113:K113" si="46">E42</f>
        <v>Pilbara</v>
      </c>
      <c r="F113" s="37" t="str">
        <f t="shared" si="46"/>
        <v>Winter</v>
      </c>
      <c r="G113" s="37">
        <f t="shared" si="46"/>
        <v>250</v>
      </c>
      <c r="H113" s="37">
        <f t="shared" si="46"/>
        <v>500</v>
      </c>
      <c r="I113" s="37">
        <f t="shared" si="46"/>
        <v>240</v>
      </c>
      <c r="J113" s="37">
        <f t="shared" si="46"/>
        <v>340</v>
      </c>
      <c r="K113" s="37">
        <f t="shared" si="46"/>
        <v>360</v>
      </c>
      <c r="L113" s="37">
        <f t="shared" si="38"/>
        <v>360</v>
      </c>
      <c r="M113" s="37">
        <f t="shared" si="38"/>
        <v>250</v>
      </c>
      <c r="N113" s="37">
        <f t="shared" si="10"/>
        <v>390</v>
      </c>
      <c r="O113" s="37">
        <f t="shared" si="39"/>
        <v>390</v>
      </c>
      <c r="P113" s="37">
        <f t="shared" si="40"/>
        <v>390</v>
      </c>
    </row>
    <row r="114" spans="4:22" ht="20.100000000000001" customHeight="1" x14ac:dyDescent="0.25">
      <c r="D114" s="37" t="s">
        <v>90</v>
      </c>
      <c r="E114" s="37" t="str">
        <f t="shared" ref="E114:K114" si="47">E43</f>
        <v>Kimberley</v>
      </c>
      <c r="F114" s="37" t="str">
        <f t="shared" si="47"/>
        <v>Spring</v>
      </c>
      <c r="G114" s="37">
        <f t="shared" si="47"/>
        <v>220</v>
      </c>
      <c r="H114" s="37">
        <f t="shared" si="47"/>
        <v>500</v>
      </c>
      <c r="I114" s="37">
        <f t="shared" si="47"/>
        <v>180</v>
      </c>
      <c r="J114" s="37">
        <f t="shared" si="47"/>
        <v>300</v>
      </c>
      <c r="K114" s="37">
        <f t="shared" si="47"/>
        <v>320</v>
      </c>
      <c r="L114" s="37">
        <f t="shared" si="38"/>
        <v>320</v>
      </c>
      <c r="M114" s="37">
        <f t="shared" si="38"/>
        <v>210</v>
      </c>
      <c r="N114" s="37">
        <f t="shared" si="10"/>
        <v>340</v>
      </c>
      <c r="O114" s="37">
        <f t="shared" si="39"/>
        <v>340</v>
      </c>
      <c r="P114" s="37">
        <f t="shared" si="40"/>
        <v>340</v>
      </c>
    </row>
    <row r="115" spans="4:22" ht="20.100000000000001" customHeight="1" x14ac:dyDescent="0.25">
      <c r="D115" s="37" t="s">
        <v>90</v>
      </c>
      <c r="E115" s="37" t="str">
        <f t="shared" ref="E115:K115" si="48">E44</f>
        <v>Kimberley</v>
      </c>
      <c r="F115" s="37" t="str">
        <f t="shared" si="48"/>
        <v>Summer</v>
      </c>
      <c r="G115" s="37">
        <f t="shared" si="48"/>
        <v>110</v>
      </c>
      <c r="H115" s="37">
        <f t="shared" si="48"/>
        <v>550</v>
      </c>
      <c r="I115" s="37">
        <f t="shared" si="48"/>
        <v>90</v>
      </c>
      <c r="J115" s="37">
        <f t="shared" si="48"/>
        <v>220</v>
      </c>
      <c r="K115" s="37">
        <f t="shared" si="48"/>
        <v>380</v>
      </c>
      <c r="L115" s="37">
        <f t="shared" si="38"/>
        <v>380</v>
      </c>
      <c r="M115" s="37">
        <f t="shared" si="38"/>
        <v>100</v>
      </c>
      <c r="N115" s="37">
        <f t="shared" si="10"/>
        <v>390</v>
      </c>
      <c r="O115" s="37">
        <f t="shared" si="39"/>
        <v>390</v>
      </c>
      <c r="P115" s="37">
        <f t="shared" si="40"/>
        <v>390</v>
      </c>
      <c r="V115" s="1"/>
    </row>
    <row r="116" spans="4:22" ht="20.100000000000001" customHeight="1" x14ac:dyDescent="0.25">
      <c r="D116" s="37" t="s">
        <v>90</v>
      </c>
      <c r="E116" s="37" t="str">
        <f t="shared" ref="E116:K116" si="49">E45</f>
        <v>Kimberley</v>
      </c>
      <c r="F116" s="37" t="str">
        <f t="shared" si="49"/>
        <v>Autumn</v>
      </c>
      <c r="G116" s="37">
        <f t="shared" si="49"/>
        <v>170</v>
      </c>
      <c r="H116" s="37">
        <f t="shared" si="49"/>
        <v>600</v>
      </c>
      <c r="I116" s="37">
        <f t="shared" si="49"/>
        <v>140</v>
      </c>
      <c r="J116" s="37">
        <f t="shared" si="49"/>
        <v>270</v>
      </c>
      <c r="K116" s="37">
        <f t="shared" si="49"/>
        <v>390</v>
      </c>
      <c r="L116" s="37">
        <f t="shared" si="38"/>
        <v>390</v>
      </c>
      <c r="M116" s="37">
        <f t="shared" si="38"/>
        <v>160</v>
      </c>
      <c r="N116" s="37">
        <f t="shared" si="10"/>
        <v>430</v>
      </c>
      <c r="O116" s="37">
        <f t="shared" si="39"/>
        <v>430</v>
      </c>
      <c r="P116" s="37">
        <f t="shared" si="40"/>
        <v>430</v>
      </c>
      <c r="V116" s="1"/>
    </row>
    <row r="117" spans="4:22" ht="20.100000000000001" customHeight="1" x14ac:dyDescent="0.25">
      <c r="D117" s="37" t="s">
        <v>90</v>
      </c>
      <c r="E117" s="37" t="str">
        <f t="shared" ref="E117:K117" si="50">E46</f>
        <v>Kimberley</v>
      </c>
      <c r="F117" s="37" t="str">
        <f t="shared" si="50"/>
        <v>Winter</v>
      </c>
      <c r="G117" s="37">
        <f t="shared" si="50"/>
        <v>200</v>
      </c>
      <c r="H117" s="37">
        <f t="shared" si="50"/>
        <v>550</v>
      </c>
      <c r="I117" s="37">
        <f t="shared" si="50"/>
        <v>150</v>
      </c>
      <c r="J117" s="37">
        <f t="shared" si="50"/>
        <v>280</v>
      </c>
      <c r="K117" s="37">
        <f t="shared" si="50"/>
        <v>350</v>
      </c>
      <c r="L117" s="37">
        <f t="shared" si="38"/>
        <v>350</v>
      </c>
      <c r="M117" s="37">
        <f t="shared" si="38"/>
        <v>190</v>
      </c>
      <c r="N117" s="37">
        <f t="shared" si="10"/>
        <v>400</v>
      </c>
      <c r="O117" s="37">
        <f t="shared" si="39"/>
        <v>400</v>
      </c>
      <c r="P117" s="37">
        <f t="shared" si="40"/>
        <v>400</v>
      </c>
      <c r="V117" s="1"/>
    </row>
    <row r="118" spans="4:22" ht="20.100000000000001" customHeight="1" x14ac:dyDescent="0.25">
      <c r="D118" s="37" t="s">
        <v>85</v>
      </c>
      <c r="E118" s="37" t="str">
        <f>E54</f>
        <v>Alice Springs</v>
      </c>
      <c r="F118" s="37" t="str">
        <f t="shared" ref="F118:P118" si="51">F54</f>
        <v>Spring</v>
      </c>
      <c r="G118" s="37">
        <f t="shared" si="51"/>
        <v>220</v>
      </c>
      <c r="H118" s="37">
        <f t="shared" si="51"/>
        <v>706</v>
      </c>
      <c r="I118" s="37">
        <f t="shared" si="51"/>
        <v>208</v>
      </c>
      <c r="J118" s="37">
        <f t="shared" si="51"/>
        <v>323</v>
      </c>
      <c r="K118" s="37">
        <f t="shared" si="51"/>
        <v>415</v>
      </c>
      <c r="L118" s="37">
        <f t="shared" si="51"/>
        <v>467</v>
      </c>
      <c r="M118" s="37">
        <f t="shared" si="51"/>
        <v>223</v>
      </c>
      <c r="N118" s="37">
        <f t="shared" si="51"/>
        <v>371</v>
      </c>
      <c r="O118" s="37">
        <f t="shared" si="51"/>
        <v>493</v>
      </c>
      <c r="P118" s="37">
        <f t="shared" si="51"/>
        <v>585</v>
      </c>
    </row>
    <row r="119" spans="4:22" ht="20.100000000000001" customHeight="1" x14ac:dyDescent="0.25">
      <c r="D119" s="37" t="s">
        <v>85</v>
      </c>
      <c r="E119" s="37" t="str">
        <f t="shared" ref="E119:P119" si="52">E55</f>
        <v>Alice Springs</v>
      </c>
      <c r="F119" s="37" t="str">
        <f t="shared" si="52"/>
        <v>Summer</v>
      </c>
      <c r="G119" s="37">
        <f t="shared" si="52"/>
        <v>110</v>
      </c>
      <c r="H119" s="37">
        <f t="shared" si="52"/>
        <v>703</v>
      </c>
      <c r="I119" s="37">
        <f t="shared" si="52"/>
        <v>112</v>
      </c>
      <c r="J119" s="37">
        <f t="shared" si="52"/>
        <v>256</v>
      </c>
      <c r="K119" s="37">
        <f t="shared" si="52"/>
        <v>368</v>
      </c>
      <c r="L119" s="37">
        <f t="shared" si="52"/>
        <v>465</v>
      </c>
      <c r="M119" s="37">
        <f t="shared" si="52"/>
        <v>108</v>
      </c>
      <c r="N119" s="37">
        <f t="shared" si="52"/>
        <v>280</v>
      </c>
      <c r="O119" s="37">
        <f t="shared" si="52"/>
        <v>421</v>
      </c>
      <c r="P119" s="37">
        <f t="shared" si="52"/>
        <v>543</v>
      </c>
    </row>
    <row r="120" spans="4:22" ht="20.100000000000001" customHeight="1" x14ac:dyDescent="0.25">
      <c r="D120" s="37" t="s">
        <v>85</v>
      </c>
      <c r="E120" s="37" t="str">
        <f t="shared" ref="E120:P120" si="53">E56</f>
        <v>Alice Springs</v>
      </c>
      <c r="F120" s="37" t="str">
        <f t="shared" si="53"/>
        <v>Autumn</v>
      </c>
      <c r="G120" s="37">
        <f t="shared" si="53"/>
        <v>170</v>
      </c>
      <c r="H120" s="37">
        <f t="shared" si="53"/>
        <v>721</v>
      </c>
      <c r="I120" s="37">
        <f t="shared" si="53"/>
        <v>169</v>
      </c>
      <c r="J120" s="37">
        <f t="shared" si="53"/>
        <v>306</v>
      </c>
      <c r="K120" s="37">
        <f t="shared" si="53"/>
        <v>392</v>
      </c>
      <c r="L120" s="37">
        <f t="shared" si="53"/>
        <v>464</v>
      </c>
      <c r="M120" s="37">
        <f t="shared" si="53"/>
        <v>176</v>
      </c>
      <c r="N120" s="37">
        <f t="shared" si="53"/>
        <v>339</v>
      </c>
      <c r="O120" s="37">
        <f t="shared" si="53"/>
        <v>470</v>
      </c>
      <c r="P120" s="37">
        <f t="shared" si="53"/>
        <v>580</v>
      </c>
    </row>
    <row r="121" spans="4:22" ht="20.100000000000001" customHeight="1" x14ac:dyDescent="0.25">
      <c r="D121" s="37" t="s">
        <v>85</v>
      </c>
      <c r="E121" s="37" t="str">
        <f t="shared" ref="E121:P121" si="54">E57</f>
        <v>Alice Springs</v>
      </c>
      <c r="F121" s="37" t="str">
        <f t="shared" si="54"/>
        <v>Winter</v>
      </c>
      <c r="G121" s="37">
        <f t="shared" si="54"/>
        <v>200</v>
      </c>
      <c r="H121" s="37">
        <f t="shared" si="54"/>
        <v>727</v>
      </c>
      <c r="I121" s="37">
        <f t="shared" si="54"/>
        <v>211</v>
      </c>
      <c r="J121" s="37">
        <f t="shared" si="54"/>
        <v>338</v>
      </c>
      <c r="K121" s="37">
        <f t="shared" si="54"/>
        <v>432</v>
      </c>
      <c r="L121" s="37">
        <f t="shared" si="54"/>
        <v>492</v>
      </c>
      <c r="M121" s="37">
        <f t="shared" si="54"/>
        <v>222</v>
      </c>
      <c r="N121" s="37">
        <f t="shared" si="54"/>
        <v>377</v>
      </c>
      <c r="O121" s="37">
        <f t="shared" si="54"/>
        <v>498</v>
      </c>
      <c r="P121" s="37">
        <f t="shared" si="54"/>
        <v>590</v>
      </c>
    </row>
    <row r="122" spans="4:22" ht="20.100000000000001" customHeight="1" x14ac:dyDescent="0.25">
      <c r="D122" s="37" t="s">
        <v>85</v>
      </c>
      <c r="E122" s="37" t="str">
        <f t="shared" ref="E122:P122" si="55">E58</f>
        <v>Barkly</v>
      </c>
      <c r="F122" s="37" t="str">
        <f t="shared" si="55"/>
        <v>Spring</v>
      </c>
      <c r="G122" s="37">
        <f t="shared" si="55"/>
        <v>220</v>
      </c>
      <c r="H122" s="37">
        <f t="shared" si="55"/>
        <v>620</v>
      </c>
      <c r="I122" s="37">
        <f t="shared" si="55"/>
        <v>227</v>
      </c>
      <c r="J122" s="37">
        <f t="shared" si="55"/>
        <v>319</v>
      </c>
      <c r="K122" s="37">
        <f t="shared" si="55"/>
        <v>398</v>
      </c>
      <c r="L122" s="37">
        <f t="shared" si="55"/>
        <v>452</v>
      </c>
      <c r="M122" s="37">
        <f t="shared" si="55"/>
        <v>216</v>
      </c>
      <c r="N122" s="37">
        <f t="shared" si="55"/>
        <v>334</v>
      </c>
      <c r="O122" s="37" t="str">
        <f t="shared" si="55"/>
        <v>NO</v>
      </c>
      <c r="P122" s="37" t="str">
        <f t="shared" si="55"/>
        <v>NO</v>
      </c>
    </row>
    <row r="123" spans="4:22" ht="20.100000000000001" customHeight="1" x14ac:dyDescent="0.25">
      <c r="D123" s="37" t="s">
        <v>85</v>
      </c>
      <c r="E123" s="37" t="str">
        <f t="shared" ref="E123:P123" si="56">E59</f>
        <v>Barkly</v>
      </c>
      <c r="F123" s="37" t="str">
        <f t="shared" si="56"/>
        <v>Summer</v>
      </c>
      <c r="G123" s="37">
        <f t="shared" si="56"/>
        <v>110</v>
      </c>
      <c r="H123" s="37">
        <f t="shared" si="56"/>
        <v>650</v>
      </c>
      <c r="I123" s="37">
        <f t="shared" si="56"/>
        <v>108</v>
      </c>
      <c r="J123" s="37">
        <f t="shared" si="56"/>
        <v>262</v>
      </c>
      <c r="K123" s="37">
        <f t="shared" si="56"/>
        <v>346</v>
      </c>
      <c r="L123" s="37">
        <f t="shared" si="56"/>
        <v>430</v>
      </c>
      <c r="M123" s="37">
        <f t="shared" si="56"/>
        <v>111</v>
      </c>
      <c r="N123" s="37">
        <f t="shared" si="56"/>
        <v>236</v>
      </c>
      <c r="O123" s="37" t="str">
        <f t="shared" si="56"/>
        <v>NO</v>
      </c>
      <c r="P123" s="37" t="str">
        <f t="shared" si="56"/>
        <v>NO</v>
      </c>
    </row>
    <row r="124" spans="4:22" ht="20.100000000000001" customHeight="1" x14ac:dyDescent="0.25">
      <c r="D124" s="37" t="s">
        <v>85</v>
      </c>
      <c r="E124" s="37" t="str">
        <f t="shared" ref="E124:P124" si="57">E60</f>
        <v>Barkly</v>
      </c>
      <c r="F124" s="37" t="str">
        <f t="shared" si="57"/>
        <v>Autumn</v>
      </c>
      <c r="G124" s="37">
        <f t="shared" si="57"/>
        <v>170</v>
      </c>
      <c r="H124" s="37">
        <f t="shared" si="57"/>
        <v>670</v>
      </c>
      <c r="I124" s="37">
        <f t="shared" si="57"/>
        <v>170</v>
      </c>
      <c r="J124" s="37">
        <f t="shared" si="57"/>
        <v>266</v>
      </c>
      <c r="K124" s="37">
        <f t="shared" si="57"/>
        <v>363</v>
      </c>
      <c r="L124" s="37">
        <f t="shared" si="57"/>
        <v>444</v>
      </c>
      <c r="M124" s="37">
        <f t="shared" si="57"/>
        <v>169</v>
      </c>
      <c r="N124" s="37">
        <f t="shared" si="57"/>
        <v>282</v>
      </c>
      <c r="O124" s="37" t="str">
        <f t="shared" si="57"/>
        <v>NO</v>
      </c>
      <c r="P124" s="37" t="str">
        <f t="shared" si="57"/>
        <v>NO</v>
      </c>
    </row>
    <row r="125" spans="4:22" ht="20.100000000000001" customHeight="1" x14ac:dyDescent="0.25">
      <c r="D125" s="37" t="s">
        <v>85</v>
      </c>
      <c r="E125" s="37" t="str">
        <f t="shared" ref="E125:P125" si="58">E61</f>
        <v>Barkly</v>
      </c>
      <c r="F125" s="37" t="str">
        <f t="shared" si="58"/>
        <v>Winter</v>
      </c>
      <c r="G125" s="37">
        <f t="shared" si="58"/>
        <v>200</v>
      </c>
      <c r="H125" s="37">
        <f t="shared" si="58"/>
        <v>660</v>
      </c>
      <c r="I125" s="37">
        <f t="shared" si="58"/>
        <v>225</v>
      </c>
      <c r="J125" s="37">
        <f t="shared" si="58"/>
        <v>307</v>
      </c>
      <c r="K125" s="37">
        <f t="shared" si="58"/>
        <v>398</v>
      </c>
      <c r="L125" s="37">
        <f t="shared" si="58"/>
        <v>452</v>
      </c>
      <c r="M125" s="37">
        <f t="shared" si="58"/>
        <v>214</v>
      </c>
      <c r="N125" s="37">
        <f t="shared" si="58"/>
        <v>326</v>
      </c>
      <c r="O125" s="37" t="str">
        <f t="shared" si="58"/>
        <v>NO</v>
      </c>
      <c r="P125" s="37" t="str">
        <f t="shared" si="58"/>
        <v>NO</v>
      </c>
      <c r="V125" s="1"/>
    </row>
    <row r="126" spans="4:22" ht="20.100000000000001" customHeight="1" x14ac:dyDescent="0.25">
      <c r="D126" s="37" t="s">
        <v>85</v>
      </c>
      <c r="E126" s="37" t="str">
        <f t="shared" ref="E126:P126" si="59">E62</f>
        <v>Northern</v>
      </c>
      <c r="F126" s="37" t="str">
        <f t="shared" si="59"/>
        <v>Spring</v>
      </c>
      <c r="G126" s="37">
        <f t="shared" si="59"/>
        <v>220</v>
      </c>
      <c r="H126" s="37">
        <f t="shared" si="59"/>
        <v>620</v>
      </c>
      <c r="I126" s="37">
        <f t="shared" si="59"/>
        <v>177</v>
      </c>
      <c r="J126" s="37">
        <f t="shared" si="59"/>
        <v>267</v>
      </c>
      <c r="K126" s="37">
        <f t="shared" si="59"/>
        <v>365</v>
      </c>
      <c r="L126" s="37">
        <f t="shared" si="59"/>
        <v>406</v>
      </c>
      <c r="M126" s="37">
        <f t="shared" si="59"/>
        <v>231</v>
      </c>
      <c r="N126" s="37">
        <f t="shared" si="59"/>
        <v>249</v>
      </c>
      <c r="O126" s="37">
        <f t="shared" si="59"/>
        <v>324</v>
      </c>
      <c r="P126" s="37" t="str">
        <f t="shared" si="59"/>
        <v>NO</v>
      </c>
      <c r="V126" s="1"/>
    </row>
    <row r="127" spans="4:22" ht="20.100000000000001" customHeight="1" x14ac:dyDescent="0.25">
      <c r="D127" s="37" t="s">
        <v>85</v>
      </c>
      <c r="E127" s="37" t="str">
        <f t="shared" ref="E127:P127" si="60">E63</f>
        <v>Northern</v>
      </c>
      <c r="F127" s="37" t="str">
        <f t="shared" si="60"/>
        <v>Summer</v>
      </c>
      <c r="G127" s="37">
        <f t="shared" si="60"/>
        <v>110</v>
      </c>
      <c r="H127" s="37">
        <f t="shared" si="60"/>
        <v>650</v>
      </c>
      <c r="I127" s="37">
        <f t="shared" si="60"/>
        <v>102</v>
      </c>
      <c r="J127" s="37">
        <f t="shared" si="60"/>
        <v>203</v>
      </c>
      <c r="K127" s="37">
        <f t="shared" si="60"/>
        <v>299</v>
      </c>
      <c r="L127" s="37">
        <f t="shared" si="60"/>
        <v>380</v>
      </c>
      <c r="M127" s="37">
        <f t="shared" si="60"/>
        <v>102</v>
      </c>
      <c r="N127" s="37">
        <f t="shared" si="60"/>
        <v>218</v>
      </c>
      <c r="O127" s="37">
        <f t="shared" si="60"/>
        <v>263</v>
      </c>
      <c r="P127" s="37" t="str">
        <f t="shared" si="60"/>
        <v>NO</v>
      </c>
      <c r="V127" s="1"/>
    </row>
    <row r="128" spans="4:22" ht="20.100000000000001" customHeight="1" x14ac:dyDescent="0.25">
      <c r="D128" s="37" t="s">
        <v>85</v>
      </c>
      <c r="E128" s="37" t="str">
        <f t="shared" ref="E128:P128" si="61">E64</f>
        <v>Northern</v>
      </c>
      <c r="F128" s="37" t="str">
        <f t="shared" si="61"/>
        <v>Autumn</v>
      </c>
      <c r="G128" s="37">
        <f t="shared" si="61"/>
        <v>170</v>
      </c>
      <c r="H128" s="37">
        <f t="shared" si="61"/>
        <v>670</v>
      </c>
      <c r="I128" s="37">
        <f t="shared" si="61"/>
        <v>173</v>
      </c>
      <c r="J128" s="37">
        <f t="shared" si="61"/>
        <v>250</v>
      </c>
      <c r="K128" s="37">
        <f t="shared" si="61"/>
        <v>336</v>
      </c>
      <c r="L128" s="37">
        <f t="shared" si="61"/>
        <v>414</v>
      </c>
      <c r="M128" s="37">
        <f t="shared" si="61"/>
        <v>175</v>
      </c>
      <c r="N128" s="37">
        <f t="shared" si="61"/>
        <v>243</v>
      </c>
      <c r="O128" s="37">
        <f t="shared" si="61"/>
        <v>304</v>
      </c>
      <c r="P128" s="37" t="str">
        <f t="shared" si="61"/>
        <v>NO</v>
      </c>
      <c r="V128" s="1"/>
    </row>
    <row r="129" spans="4:22" ht="20.100000000000001" customHeight="1" x14ac:dyDescent="0.25">
      <c r="D129" s="37" t="s">
        <v>85</v>
      </c>
      <c r="E129" s="37" t="str">
        <f t="shared" ref="E129:P129" si="62">E65</f>
        <v>Northern</v>
      </c>
      <c r="F129" s="37" t="str">
        <f t="shared" si="62"/>
        <v>Winter</v>
      </c>
      <c r="G129" s="37">
        <f t="shared" si="62"/>
        <v>200</v>
      </c>
      <c r="H129" s="37">
        <f t="shared" si="62"/>
        <v>660</v>
      </c>
      <c r="I129" s="37">
        <f t="shared" si="62"/>
        <v>202</v>
      </c>
      <c r="J129" s="37">
        <f t="shared" si="62"/>
        <v>272</v>
      </c>
      <c r="K129" s="37">
        <f t="shared" si="62"/>
        <v>365</v>
      </c>
      <c r="L129" s="37">
        <f t="shared" si="62"/>
        <v>390</v>
      </c>
      <c r="M129" s="37">
        <f t="shared" si="62"/>
        <v>208</v>
      </c>
      <c r="N129" s="37">
        <f t="shared" si="62"/>
        <v>260</v>
      </c>
      <c r="O129" s="37">
        <f t="shared" si="62"/>
        <v>337</v>
      </c>
      <c r="P129" s="37" t="str">
        <f t="shared" si="62"/>
        <v>NO</v>
      </c>
      <c r="V129" s="1"/>
    </row>
    <row r="130" spans="4:22" ht="20.100000000000001" customHeight="1" x14ac:dyDescent="0.25">
      <c r="D130" s="37" t="s">
        <v>86</v>
      </c>
      <c r="E130" s="37" t="str">
        <f t="shared" ref="E130:P130" si="63">E66</f>
        <v>High</v>
      </c>
      <c r="F130" s="37" t="str">
        <f t="shared" si="63"/>
        <v>Spring</v>
      </c>
      <c r="G130" s="37">
        <f t="shared" si="63"/>
        <v>260</v>
      </c>
      <c r="H130" s="37">
        <f t="shared" si="63"/>
        <v>705</v>
      </c>
      <c r="I130" s="37">
        <f t="shared" si="63"/>
        <v>215</v>
      </c>
      <c r="J130" s="37">
        <f t="shared" si="63"/>
        <v>302</v>
      </c>
      <c r="K130" s="37">
        <f t="shared" si="63"/>
        <v>416</v>
      </c>
      <c r="L130" s="37">
        <f t="shared" si="63"/>
        <v>519</v>
      </c>
      <c r="M130" s="37">
        <f t="shared" si="63"/>
        <v>234</v>
      </c>
      <c r="N130" s="37">
        <f t="shared" si="63"/>
        <v>455</v>
      </c>
      <c r="O130" s="37">
        <f t="shared" si="63"/>
        <v>551</v>
      </c>
      <c r="P130" s="37">
        <f t="shared" si="63"/>
        <v>660</v>
      </c>
      <c r="V130" s="1"/>
    </row>
    <row r="131" spans="4:22" ht="20.100000000000001" customHeight="1" x14ac:dyDescent="0.25">
      <c r="D131" s="37" t="s">
        <v>86</v>
      </c>
      <c r="E131" s="37" t="str">
        <f t="shared" ref="E131:P131" si="64">E67</f>
        <v>High</v>
      </c>
      <c r="F131" s="37" t="str">
        <f t="shared" si="64"/>
        <v>Summer</v>
      </c>
      <c r="G131" s="37">
        <f t="shared" si="64"/>
        <v>153</v>
      </c>
      <c r="H131" s="37">
        <f t="shared" si="64"/>
        <v>703</v>
      </c>
      <c r="I131" s="37">
        <f t="shared" si="64"/>
        <v>118</v>
      </c>
      <c r="J131" s="37">
        <f t="shared" si="64"/>
        <v>277</v>
      </c>
      <c r="K131" s="37">
        <f t="shared" si="64"/>
        <v>397</v>
      </c>
      <c r="L131" s="37">
        <f t="shared" si="64"/>
        <v>483</v>
      </c>
      <c r="M131" s="37">
        <f t="shared" si="64"/>
        <v>111</v>
      </c>
      <c r="N131" s="37">
        <f t="shared" si="64"/>
        <v>304</v>
      </c>
      <c r="O131" s="37">
        <f t="shared" si="64"/>
        <v>521</v>
      </c>
      <c r="P131" s="37">
        <f t="shared" si="64"/>
        <v>547</v>
      </c>
    </row>
    <row r="132" spans="4:22" ht="20.100000000000001" customHeight="1" x14ac:dyDescent="0.25">
      <c r="D132" s="37" t="s">
        <v>86</v>
      </c>
      <c r="E132" s="37" t="str">
        <f t="shared" ref="E132:P132" si="65">E68</f>
        <v>High</v>
      </c>
      <c r="F132" s="37" t="str">
        <f t="shared" si="65"/>
        <v>Autumn</v>
      </c>
      <c r="G132" s="37">
        <f t="shared" si="65"/>
        <v>168</v>
      </c>
      <c r="H132" s="37">
        <f t="shared" si="65"/>
        <v>718</v>
      </c>
      <c r="I132" s="37">
        <f t="shared" si="65"/>
        <v>191</v>
      </c>
      <c r="J132" s="37">
        <f t="shared" si="65"/>
        <v>319</v>
      </c>
      <c r="K132" s="37">
        <f t="shared" si="65"/>
        <v>440</v>
      </c>
      <c r="L132" s="37">
        <f t="shared" si="65"/>
        <v>506</v>
      </c>
      <c r="M132" s="37">
        <f t="shared" si="65"/>
        <v>188</v>
      </c>
      <c r="N132" s="37">
        <f t="shared" si="65"/>
        <v>326</v>
      </c>
      <c r="O132" s="37">
        <f t="shared" si="65"/>
        <v>520</v>
      </c>
      <c r="P132" s="37">
        <f t="shared" si="65"/>
        <v>582</v>
      </c>
    </row>
    <row r="133" spans="4:22" ht="20.100000000000001" customHeight="1" x14ac:dyDescent="0.25">
      <c r="D133" s="37" t="s">
        <v>86</v>
      </c>
      <c r="E133" s="37" t="str">
        <f t="shared" ref="E133:P133" si="66">E69</f>
        <v>High</v>
      </c>
      <c r="F133" s="37" t="str">
        <f t="shared" si="66"/>
        <v>Winter</v>
      </c>
      <c r="G133" s="37">
        <f t="shared" si="66"/>
        <v>235</v>
      </c>
      <c r="H133" s="37">
        <f t="shared" si="66"/>
        <v>722</v>
      </c>
      <c r="I133" s="37">
        <f t="shared" si="66"/>
        <v>207</v>
      </c>
      <c r="J133" s="37">
        <f t="shared" si="66"/>
        <v>352</v>
      </c>
      <c r="K133" s="37">
        <f t="shared" si="66"/>
        <v>470</v>
      </c>
      <c r="L133" s="37">
        <f t="shared" si="66"/>
        <v>514</v>
      </c>
      <c r="M133" s="37">
        <f t="shared" si="66"/>
        <v>209</v>
      </c>
      <c r="N133" s="37">
        <f t="shared" si="66"/>
        <v>421</v>
      </c>
      <c r="O133" s="37">
        <f t="shared" si="66"/>
        <v>512</v>
      </c>
      <c r="P133" s="37">
        <f t="shared" si="66"/>
        <v>605</v>
      </c>
    </row>
    <row r="134" spans="4:22" ht="20.100000000000001" customHeight="1" x14ac:dyDescent="0.25">
      <c r="D134" s="37" t="s">
        <v>86</v>
      </c>
      <c r="E134" s="37" t="str">
        <f t="shared" ref="E134:P134" si="67">E70</f>
        <v>Moderate/High</v>
      </c>
      <c r="F134" s="37" t="str">
        <f t="shared" si="67"/>
        <v>Spring</v>
      </c>
      <c r="G134" s="37">
        <f t="shared" si="67"/>
        <v>230</v>
      </c>
      <c r="H134" s="37">
        <f t="shared" si="67"/>
        <v>674</v>
      </c>
      <c r="I134" s="37">
        <f t="shared" si="67"/>
        <v>217</v>
      </c>
      <c r="J134" s="37">
        <f t="shared" si="67"/>
        <v>344</v>
      </c>
      <c r="K134" s="37">
        <f t="shared" si="67"/>
        <v>357</v>
      </c>
      <c r="L134" s="37">
        <f t="shared" si="67"/>
        <v>467</v>
      </c>
      <c r="M134" s="37">
        <f t="shared" si="67"/>
        <v>242</v>
      </c>
      <c r="N134" s="37">
        <f t="shared" si="67"/>
        <v>370</v>
      </c>
      <c r="O134" s="37">
        <f t="shared" si="67"/>
        <v>550</v>
      </c>
      <c r="P134" s="37">
        <f t="shared" si="67"/>
        <v>620</v>
      </c>
    </row>
    <row r="135" spans="4:22" ht="20.100000000000001" customHeight="1" x14ac:dyDescent="0.25">
      <c r="D135" s="37" t="s">
        <v>86</v>
      </c>
      <c r="E135" s="37" t="str">
        <f t="shared" ref="E135:P135" si="68">E71</f>
        <v>Moderate/High</v>
      </c>
      <c r="F135" s="37" t="str">
        <f t="shared" si="68"/>
        <v>Summer</v>
      </c>
      <c r="G135" s="37">
        <f t="shared" si="68"/>
        <v>113</v>
      </c>
      <c r="H135" s="37">
        <f t="shared" si="68"/>
        <v>669</v>
      </c>
      <c r="I135" s="37">
        <f t="shared" si="68"/>
        <v>113</v>
      </c>
      <c r="J135" s="37">
        <f t="shared" si="68"/>
        <v>283</v>
      </c>
      <c r="K135" s="37">
        <f t="shared" si="68"/>
        <v>361</v>
      </c>
      <c r="L135" s="37">
        <f t="shared" si="68"/>
        <v>477</v>
      </c>
      <c r="M135" s="37">
        <f t="shared" si="68"/>
        <v>120</v>
      </c>
      <c r="N135" s="37">
        <f t="shared" si="68"/>
        <v>273</v>
      </c>
      <c r="O135" s="37">
        <f t="shared" si="68"/>
        <v>545</v>
      </c>
      <c r="P135" s="37">
        <f t="shared" si="68"/>
        <v>553</v>
      </c>
    </row>
    <row r="136" spans="4:22" ht="20.100000000000001" customHeight="1" x14ac:dyDescent="0.25">
      <c r="D136" s="37" t="s">
        <v>86</v>
      </c>
      <c r="E136" s="37" t="str">
        <f t="shared" ref="E136:P136" si="69">E72</f>
        <v>Moderate/High</v>
      </c>
      <c r="F136" s="37" t="str">
        <f t="shared" si="69"/>
        <v>Autumn</v>
      </c>
      <c r="G136" s="37">
        <f t="shared" si="69"/>
        <v>172</v>
      </c>
      <c r="H136" s="37">
        <f t="shared" si="69"/>
        <v>685</v>
      </c>
      <c r="I136" s="37">
        <f t="shared" si="69"/>
        <v>172</v>
      </c>
      <c r="J136" s="37">
        <f t="shared" si="69"/>
        <v>309</v>
      </c>
      <c r="K136" s="37">
        <f t="shared" si="69"/>
        <v>376</v>
      </c>
      <c r="L136" s="37">
        <f t="shared" si="69"/>
        <v>471</v>
      </c>
      <c r="M136" s="37">
        <f t="shared" si="69"/>
        <v>238</v>
      </c>
      <c r="N136" s="37">
        <f t="shared" si="69"/>
        <v>329</v>
      </c>
      <c r="O136" s="37">
        <f t="shared" si="69"/>
        <v>573</v>
      </c>
      <c r="P136" s="37">
        <f t="shared" si="69"/>
        <v>620</v>
      </c>
    </row>
    <row r="137" spans="4:22" ht="20.100000000000001" customHeight="1" x14ac:dyDescent="0.25">
      <c r="D137" s="37" t="s">
        <v>86</v>
      </c>
      <c r="E137" s="37" t="str">
        <f t="shared" ref="E137:P137" si="70">E73</f>
        <v>Moderate/High</v>
      </c>
      <c r="F137" s="37" t="str">
        <f t="shared" si="70"/>
        <v>Winter</v>
      </c>
      <c r="G137" s="37">
        <f t="shared" si="70"/>
        <v>241</v>
      </c>
      <c r="H137" s="37">
        <f t="shared" si="70"/>
        <v>692</v>
      </c>
      <c r="I137" s="37">
        <f t="shared" si="70"/>
        <v>208</v>
      </c>
      <c r="J137" s="37">
        <f t="shared" si="70"/>
        <v>344</v>
      </c>
      <c r="K137" s="37">
        <f t="shared" si="70"/>
        <v>364</v>
      </c>
      <c r="L137" s="37">
        <f t="shared" si="70"/>
        <v>484</v>
      </c>
      <c r="M137" s="37">
        <f t="shared" si="70"/>
        <v>260</v>
      </c>
      <c r="N137" s="37">
        <f t="shared" si="70"/>
        <v>350</v>
      </c>
      <c r="O137" s="37">
        <f t="shared" si="70"/>
        <v>567</v>
      </c>
      <c r="P137" s="37">
        <f t="shared" si="70"/>
        <v>620</v>
      </c>
    </row>
    <row r="138" spans="4:22" ht="20.100000000000001" customHeight="1" x14ac:dyDescent="0.25">
      <c r="D138" s="37" t="s">
        <v>86</v>
      </c>
      <c r="E138" s="37" t="str">
        <f t="shared" ref="E138:P138" si="71">E74</f>
        <v>Moderate/Low</v>
      </c>
      <c r="F138" s="37" t="str">
        <f t="shared" si="71"/>
        <v>Spring</v>
      </c>
      <c r="G138" s="37">
        <f t="shared" si="71"/>
        <v>236</v>
      </c>
      <c r="H138" s="37">
        <f t="shared" si="71"/>
        <v>674</v>
      </c>
      <c r="I138" s="37">
        <f t="shared" si="71"/>
        <v>178</v>
      </c>
      <c r="J138" s="37">
        <f t="shared" si="71"/>
        <v>310</v>
      </c>
      <c r="K138" s="37">
        <f t="shared" si="71"/>
        <v>428</v>
      </c>
      <c r="L138" s="37">
        <f t="shared" si="71"/>
        <v>466</v>
      </c>
      <c r="M138" s="37">
        <f t="shared" si="71"/>
        <v>193</v>
      </c>
      <c r="N138" s="37">
        <f t="shared" si="71"/>
        <v>370</v>
      </c>
      <c r="O138" s="37">
        <f t="shared" si="71"/>
        <v>519</v>
      </c>
      <c r="P138" s="37">
        <f t="shared" si="71"/>
        <v>565</v>
      </c>
    </row>
    <row r="139" spans="4:22" ht="20.100000000000001" customHeight="1" x14ac:dyDescent="0.25">
      <c r="D139" s="37" t="s">
        <v>86</v>
      </c>
      <c r="E139" s="37" t="str">
        <f t="shared" ref="E139:P139" si="72">E75</f>
        <v>Moderate/Low</v>
      </c>
      <c r="F139" s="37" t="str">
        <f t="shared" si="72"/>
        <v>Summer</v>
      </c>
      <c r="G139" s="37">
        <f t="shared" si="72"/>
        <v>120</v>
      </c>
      <c r="H139" s="37">
        <f t="shared" si="72"/>
        <v>669</v>
      </c>
      <c r="I139" s="37">
        <f t="shared" si="72"/>
        <v>112</v>
      </c>
      <c r="J139" s="37">
        <f t="shared" si="72"/>
        <v>250</v>
      </c>
      <c r="K139" s="37">
        <f t="shared" si="72"/>
        <v>390</v>
      </c>
      <c r="L139" s="37">
        <f t="shared" si="72"/>
        <v>448</v>
      </c>
      <c r="M139" s="37">
        <f t="shared" si="72"/>
        <v>115</v>
      </c>
      <c r="N139" s="37">
        <f t="shared" si="72"/>
        <v>273</v>
      </c>
      <c r="O139" s="37">
        <f t="shared" si="72"/>
        <v>433</v>
      </c>
      <c r="P139" s="37">
        <f t="shared" si="72"/>
        <v>556</v>
      </c>
    </row>
    <row r="140" spans="4:22" ht="20.100000000000001" customHeight="1" x14ac:dyDescent="0.25">
      <c r="D140" s="37" t="s">
        <v>86</v>
      </c>
      <c r="E140" s="37" t="str">
        <f t="shared" ref="E140:P140" si="73">E76</f>
        <v>Moderate/Low</v>
      </c>
      <c r="F140" s="37" t="str">
        <f t="shared" si="73"/>
        <v>Autumn</v>
      </c>
      <c r="G140" s="37">
        <f t="shared" si="73"/>
        <v>125</v>
      </c>
      <c r="H140" s="37">
        <f t="shared" si="73"/>
        <v>685</v>
      </c>
      <c r="I140" s="37">
        <f t="shared" si="73"/>
        <v>140</v>
      </c>
      <c r="J140" s="37">
        <f t="shared" si="73"/>
        <v>277</v>
      </c>
      <c r="K140" s="37">
        <f t="shared" si="73"/>
        <v>407</v>
      </c>
      <c r="L140" s="37">
        <f t="shared" si="73"/>
        <v>455</v>
      </c>
      <c r="M140" s="37">
        <f t="shared" si="73"/>
        <v>141</v>
      </c>
      <c r="N140" s="37">
        <f t="shared" si="73"/>
        <v>296</v>
      </c>
      <c r="O140" s="37">
        <f t="shared" si="73"/>
        <v>445</v>
      </c>
      <c r="P140" s="37">
        <f t="shared" si="73"/>
        <v>593</v>
      </c>
    </row>
    <row r="141" spans="4:22" ht="20.100000000000001" customHeight="1" x14ac:dyDescent="0.25">
      <c r="D141" s="37" t="s">
        <v>86</v>
      </c>
      <c r="E141" s="37" t="str">
        <f t="shared" ref="E141:P141" si="74">E77</f>
        <v>Moderate/Low</v>
      </c>
      <c r="F141" s="37" t="str">
        <f t="shared" si="74"/>
        <v>Winter</v>
      </c>
      <c r="G141" s="37">
        <f t="shared" si="74"/>
        <v>180</v>
      </c>
      <c r="H141" s="37">
        <f t="shared" si="74"/>
        <v>692</v>
      </c>
      <c r="I141" s="37">
        <f t="shared" si="74"/>
        <v>183</v>
      </c>
      <c r="J141" s="37">
        <f t="shared" si="74"/>
        <v>316</v>
      </c>
      <c r="K141" s="37">
        <f t="shared" si="74"/>
        <v>438</v>
      </c>
      <c r="L141" s="37">
        <f t="shared" si="74"/>
        <v>468</v>
      </c>
      <c r="M141" s="37">
        <f t="shared" si="74"/>
        <v>189</v>
      </c>
      <c r="N141" s="37">
        <f t="shared" si="74"/>
        <v>354</v>
      </c>
      <c r="O141" s="37">
        <f t="shared" si="74"/>
        <v>500</v>
      </c>
      <c r="P141" s="37">
        <f t="shared" si="74"/>
        <v>553</v>
      </c>
    </row>
    <row r="142" spans="4:22" ht="20.100000000000001" customHeight="1" x14ac:dyDescent="0.25">
      <c r="D142" s="37" t="s">
        <v>86</v>
      </c>
      <c r="E142" s="37" t="str">
        <f t="shared" ref="E142:P142" si="75">E78</f>
        <v>Low</v>
      </c>
      <c r="F142" s="37" t="str">
        <f t="shared" si="75"/>
        <v>Spring</v>
      </c>
      <c r="G142" s="37">
        <f t="shared" si="75"/>
        <v>190</v>
      </c>
      <c r="H142" s="37">
        <f t="shared" si="75"/>
        <v>617</v>
      </c>
      <c r="I142" s="37">
        <f t="shared" si="75"/>
        <v>174</v>
      </c>
      <c r="J142" s="37">
        <f t="shared" si="75"/>
        <v>265</v>
      </c>
      <c r="K142" s="37">
        <f t="shared" si="75"/>
        <v>371</v>
      </c>
      <c r="L142" s="37">
        <f t="shared" si="75"/>
        <v>415</v>
      </c>
      <c r="M142" s="37">
        <f t="shared" si="75"/>
        <v>170</v>
      </c>
      <c r="N142" s="37">
        <f t="shared" si="75"/>
        <v>272</v>
      </c>
      <c r="O142" s="37">
        <f t="shared" si="75"/>
        <v>392</v>
      </c>
      <c r="P142" s="37">
        <f t="shared" si="75"/>
        <v>531</v>
      </c>
    </row>
    <row r="143" spans="4:22" ht="20.100000000000001" customHeight="1" x14ac:dyDescent="0.25">
      <c r="D143" s="37" t="s">
        <v>86</v>
      </c>
      <c r="E143" s="37" t="str">
        <f t="shared" ref="E143:P143" si="76">E79</f>
        <v>Low</v>
      </c>
      <c r="F143" s="37" t="str">
        <f t="shared" si="76"/>
        <v>Summer</v>
      </c>
      <c r="G143" s="37">
        <f t="shared" si="76"/>
        <v>119</v>
      </c>
      <c r="H143" s="37">
        <f t="shared" si="76"/>
        <v>591</v>
      </c>
      <c r="I143" s="37">
        <f t="shared" si="76"/>
        <v>140</v>
      </c>
      <c r="J143" s="37">
        <f t="shared" si="76"/>
        <v>205</v>
      </c>
      <c r="K143" s="37">
        <f t="shared" si="76"/>
        <v>310</v>
      </c>
      <c r="L143" s="37">
        <f t="shared" si="76"/>
        <v>405</v>
      </c>
      <c r="M143" s="37">
        <f t="shared" si="76"/>
        <v>133</v>
      </c>
      <c r="N143" s="37">
        <f t="shared" si="76"/>
        <v>218</v>
      </c>
      <c r="O143" s="37">
        <f t="shared" si="76"/>
        <v>315</v>
      </c>
      <c r="P143" s="37">
        <f t="shared" si="76"/>
        <v>445</v>
      </c>
    </row>
    <row r="144" spans="4:22" ht="20.100000000000001" customHeight="1" x14ac:dyDescent="0.25">
      <c r="D144" s="37" t="s">
        <v>86</v>
      </c>
      <c r="E144" s="37" t="str">
        <f t="shared" ref="E144:P144" si="77">E80</f>
        <v>Low</v>
      </c>
      <c r="F144" s="37" t="str">
        <f t="shared" si="77"/>
        <v>Autumn</v>
      </c>
      <c r="G144" s="37">
        <f t="shared" si="77"/>
        <v>175</v>
      </c>
      <c r="H144" s="37">
        <f t="shared" si="77"/>
        <v>610</v>
      </c>
      <c r="I144" s="37">
        <f t="shared" si="77"/>
        <v>163</v>
      </c>
      <c r="J144" s="37">
        <f t="shared" si="77"/>
        <v>232</v>
      </c>
      <c r="K144" s="37">
        <f t="shared" si="77"/>
        <v>351</v>
      </c>
      <c r="L144" s="37">
        <f t="shared" si="77"/>
        <v>427</v>
      </c>
      <c r="M144" s="37">
        <f t="shared" si="77"/>
        <v>146</v>
      </c>
      <c r="N144" s="37">
        <f t="shared" si="77"/>
        <v>242</v>
      </c>
      <c r="O144" s="37">
        <f t="shared" si="77"/>
        <v>320</v>
      </c>
      <c r="P144" s="37">
        <f t="shared" si="77"/>
        <v>471</v>
      </c>
    </row>
    <row r="145" spans="4:16" ht="20.100000000000001" customHeight="1" x14ac:dyDescent="0.25">
      <c r="D145" s="37" t="s">
        <v>86</v>
      </c>
      <c r="E145" s="37" t="str">
        <f t="shared" ref="E145:P145" si="78">E81</f>
        <v>Low</v>
      </c>
      <c r="F145" s="37" t="str">
        <f t="shared" si="78"/>
        <v>Winter</v>
      </c>
      <c r="G145" s="37">
        <f t="shared" si="78"/>
        <v>192</v>
      </c>
      <c r="H145" s="37">
        <f t="shared" si="78"/>
        <v>615</v>
      </c>
      <c r="I145" s="37">
        <f t="shared" si="78"/>
        <v>162</v>
      </c>
      <c r="J145" s="37">
        <f t="shared" si="78"/>
        <v>255</v>
      </c>
      <c r="K145" s="37">
        <f t="shared" si="78"/>
        <v>364</v>
      </c>
      <c r="L145" s="37">
        <f t="shared" si="78"/>
        <v>420</v>
      </c>
      <c r="M145" s="37">
        <f t="shared" si="78"/>
        <v>157</v>
      </c>
      <c r="N145" s="37">
        <f t="shared" si="78"/>
        <v>261</v>
      </c>
      <c r="O145" s="37">
        <f t="shared" si="78"/>
        <v>342</v>
      </c>
      <c r="P145" s="37">
        <f t="shared" si="78"/>
        <v>484</v>
      </c>
    </row>
    <row r="146" spans="4:16" ht="20.100000000000001" customHeight="1" x14ac:dyDescent="0.25">
      <c r="M146" s="1"/>
    </row>
    <row r="147" spans="4:16" ht="20.100000000000001" customHeight="1" x14ac:dyDescent="0.25">
      <c r="M147" s="1"/>
    </row>
    <row r="148" spans="4:16" ht="20.100000000000001" customHeight="1" x14ac:dyDescent="0.25">
      <c r="D148" s="6" t="str" cm="1">
        <f t="array" ref="D148">SourceData_PastureBeef.SourceData_PastureBeef_LiveweightGain_Title()</f>
        <v>Beef pasture cattle - Liveweight gain (kg) (LWGjkl)</v>
      </c>
      <c r="M148" s="1"/>
    </row>
    <row r="149" spans="4:16" ht="20.100000000000001" customHeight="1" x14ac:dyDescent="0.25">
      <c r="D149" s="5" t="str" cm="1">
        <f t="array" ref="D149">SourceData_PastureBeef.SourceData_PastureBeef_LiveweightGain_Source()</f>
        <v>VEERG 2026: Table A.1.2.3</v>
      </c>
      <c r="M149" s="1"/>
    </row>
    <row r="150" spans="4:16" ht="20.100000000000001" customHeight="1" x14ac:dyDescent="0.25">
      <c r="D150" s="1" t="str" cm="1">
        <f t="array" ref="D150">SourceData_PastureBeef.SourceData_PastureBeef_LiveweightGain_Variable()</f>
        <v>LWGjkl</v>
      </c>
      <c r="M150" s="1"/>
    </row>
    <row r="151" spans="4:16" ht="20.100000000000001" customHeight="1" x14ac:dyDescent="0.25">
      <c r="D151" s="54" t="str" cm="1">
        <f t="array" ref="D151">SourceData_PastureBeef.SourceData_PastureBeef_LiveweightGain_Unit()</f>
        <v>kg</v>
      </c>
      <c r="M151" s="1"/>
    </row>
    <row r="152" spans="4:16" ht="20.100000000000001" customHeight="1" x14ac:dyDescent="0.25">
      <c r="D152" s="37" t="s">
        <v>8</v>
      </c>
      <c r="E152" s="37" t="s">
        <v>183</v>
      </c>
      <c r="F152" s="37" t="s">
        <v>184</v>
      </c>
      <c r="G152" s="37" t="s">
        <v>203</v>
      </c>
      <c r="H152" s="37" t="s">
        <v>192</v>
      </c>
      <c r="I152" s="37" t="s">
        <v>224</v>
      </c>
      <c r="J152" s="37" t="s">
        <v>188</v>
      </c>
      <c r="K152" s="37" t="s">
        <v>225</v>
      </c>
      <c r="L152" s="37" t="s">
        <v>197</v>
      </c>
      <c r="M152" s="37" t="s">
        <v>226</v>
      </c>
    </row>
    <row r="153" spans="4:16" ht="20.100000000000001" customHeight="1" x14ac:dyDescent="0.25">
      <c r="D153" s="37" t="str" cm="1">
        <f t="array" ref="D153">Common_InputFunctions.Utility_DisplayArrayInTable(SourceData_PastureBeef.SourceData_PastureBeef_LiveweightGain_Data(), Table_SourceData_PastureBeef_LiveweightGain[[#Headers],[State]],0)</f>
        <v>ACT/NSW</v>
      </c>
      <c r="E153" s="37" t="str" cm="1">
        <f t="array" ref="E153">Common_InputFunctions.Utility_DisplayArrayInTable(SourceData_PastureBeef.SourceData_PastureBeef_LiveweightGain_Data(), Table_SourceData_PastureBeef_LiveweightGain[[#Headers],[State]],0)</f>
        <v>n/a</v>
      </c>
      <c r="F153" s="37" t="str" cm="1">
        <f t="array" ref="F153">Common_InputFunctions.Utility_DisplayArrayInTable(SourceData_PastureBeef.SourceData_PastureBeef_LiveweightGain_Data(), Table_SourceData_PastureBeef_LiveweightGain[[#Headers],[State]],0)</f>
        <v>Spring</v>
      </c>
      <c r="G153" s="37" cm="1">
        <f t="array" ref="G153">Common_InputFunctions.Utility_DisplayArrayInTable(SourceData_PastureBeef.SourceData_PastureBeef_LiveweightGain_Data(), Table_SourceData_PastureBeef_LiveweightGain[[#Headers],[State]],0)</f>
        <v>0.5</v>
      </c>
      <c r="H153" s="37" cm="1">
        <f t="array" ref="H153">Common_InputFunctions.Utility_DisplayArrayInTable(SourceData_PastureBeef.SourceData_PastureBeef_LiveweightGain_Data(), Table_SourceData_PastureBeef_LiveweightGain[[#Headers],[State]],0)</f>
        <v>0.2</v>
      </c>
      <c r="I153" s="37" cm="1">
        <f t="array" ref="I153">Common_InputFunctions.Utility_DisplayArrayInTable(SourceData_PastureBeef.SourceData_PastureBeef_LiveweightGain_Data(), Table_SourceData_PastureBeef_LiveweightGain[[#Headers],[State]],0)</f>
        <v>0.5</v>
      </c>
      <c r="J153" s="37" cm="1">
        <f t="array" ref="J153">Common_InputFunctions.Utility_DisplayArrayInTable(SourceData_PastureBeef.SourceData_PastureBeef_LiveweightGain_Data(), Table_SourceData_PastureBeef_LiveweightGain[[#Headers],[State]],0)</f>
        <v>0.4</v>
      </c>
      <c r="K153" s="37" cm="1">
        <f t="array" ref="K153">Common_InputFunctions.Utility_DisplayArrayInTable(SourceData_PastureBeef.SourceData_PastureBeef_LiveweightGain_Data(), Table_SourceData_PastureBeef_LiveweightGain[[#Headers],[State]],0)</f>
        <v>0.3</v>
      </c>
      <c r="L153" s="37" cm="1">
        <f t="array" ref="L153">Common_InputFunctions.Utility_DisplayArrayInTable(SourceData_PastureBeef.SourceData_PastureBeef_LiveweightGain_Data(), Table_SourceData_PastureBeef_LiveweightGain[[#Headers],[State]],0)</f>
        <v>0.5</v>
      </c>
      <c r="M153" s="37" cm="1">
        <f t="array" ref="M153">Common_InputFunctions.Utility_DisplayArrayInTable(SourceData_PastureBeef.SourceData_PastureBeef_LiveweightGain_Data(), Table_SourceData_PastureBeef_LiveweightGain[[#Headers],[State]],0)</f>
        <v>0.4</v>
      </c>
    </row>
    <row r="154" spans="4:16" ht="20.100000000000001" customHeight="1" x14ac:dyDescent="0.25">
      <c r="D154" s="1" t="str" cm="1">
        <f t="array" ref="D154">Common_InputFunctions.Utility_DisplayArrayInTable(SourceData_PastureBeef.SourceData_PastureBeef_LiveweightGain_Data(), Table_SourceData_PastureBeef_LiveweightGain[[#Headers],[State]],0)</f>
        <v>ACT/NSW</v>
      </c>
      <c r="E154" s="37" t="str" cm="1">
        <f t="array" ref="E154">Common_InputFunctions.Utility_DisplayArrayInTable(SourceData_PastureBeef.SourceData_PastureBeef_LiveweightGain_Data(), Table_SourceData_PastureBeef_LiveweightGain[[#Headers],[State]],0)</f>
        <v>n/a</v>
      </c>
      <c r="F154" s="37" t="str" cm="1">
        <f t="array" ref="F154">Common_InputFunctions.Utility_DisplayArrayInTable(SourceData_PastureBeef.SourceData_PastureBeef_LiveweightGain_Data(), Table_SourceData_PastureBeef_LiveweightGain[[#Headers],[State]],0)</f>
        <v>Summer</v>
      </c>
      <c r="G154" s="37" cm="1">
        <f t="array" ref="G154">Common_InputFunctions.Utility_DisplayArrayInTable(SourceData_PastureBeef.SourceData_PastureBeef_LiveweightGain_Data(), Table_SourceData_PastureBeef_LiveweightGain[[#Headers],[State]],0)</f>
        <v>1</v>
      </c>
      <c r="H154" s="37" cm="1">
        <f t="array" ref="H154">Common_InputFunctions.Utility_DisplayArrayInTable(SourceData_PastureBeef.SourceData_PastureBeef_LiveweightGain_Data(), Table_SourceData_PastureBeef_LiveweightGain[[#Headers],[State]],0)</f>
        <v>0.4</v>
      </c>
      <c r="I154" s="37" cm="1">
        <f t="array" ref="I154">Common_InputFunctions.Utility_DisplayArrayInTable(SourceData_PastureBeef.SourceData_PastureBeef_LiveweightGain_Data(), Table_SourceData_PastureBeef_LiveweightGain[[#Headers],[State]],0)</f>
        <v>0.9</v>
      </c>
      <c r="J154" s="37" cm="1">
        <f t="array" ref="J154">Common_InputFunctions.Utility_DisplayArrayInTable(SourceData_PastureBeef.SourceData_PastureBeef_LiveweightGain_Data(), Table_SourceData_PastureBeef_LiveweightGain[[#Headers],[State]],0)</f>
        <v>0.7</v>
      </c>
      <c r="K154" s="37" cm="1">
        <f t="array" ref="K154">Common_InputFunctions.Utility_DisplayArrayInTable(SourceData_PastureBeef.SourceData_PastureBeef_LiveweightGain_Data(), Table_SourceData_PastureBeef_LiveweightGain[[#Headers],[State]],0)</f>
        <v>0.3</v>
      </c>
      <c r="L154" s="37" cm="1">
        <f t="array" ref="L154">Common_InputFunctions.Utility_DisplayArrayInTable(SourceData_PastureBeef.SourceData_PastureBeef_LiveweightGain_Data(), Table_SourceData_PastureBeef_LiveweightGain[[#Headers],[State]],0)</f>
        <v>0.9</v>
      </c>
      <c r="M154" s="37" cm="1">
        <f t="array" ref="M154">Common_InputFunctions.Utility_DisplayArrayInTable(SourceData_PastureBeef.SourceData_PastureBeef_LiveweightGain_Data(), Table_SourceData_PastureBeef_LiveweightGain[[#Headers],[State]],0)</f>
        <v>0.4</v>
      </c>
    </row>
    <row r="155" spans="4:16" ht="20.100000000000001" customHeight="1" x14ac:dyDescent="0.25">
      <c r="D155" s="1" t="str" cm="1">
        <f t="array" ref="D155">Common_InputFunctions.Utility_DisplayArrayInTable(SourceData_PastureBeef.SourceData_PastureBeef_LiveweightGain_Data(), Table_SourceData_PastureBeef_LiveweightGain[[#Headers],[State]],0)</f>
        <v>ACT/NSW</v>
      </c>
      <c r="E155" s="37" t="str" cm="1">
        <f t="array" ref="E155">Common_InputFunctions.Utility_DisplayArrayInTable(SourceData_PastureBeef.SourceData_PastureBeef_LiveweightGain_Data(), Table_SourceData_PastureBeef_LiveweightGain[[#Headers],[State]],0)</f>
        <v>n/a</v>
      </c>
      <c r="F155" s="37" t="str" cm="1">
        <f t="array" ref="F155">Common_InputFunctions.Utility_DisplayArrayInTable(SourceData_PastureBeef.SourceData_PastureBeef_LiveweightGain_Data(), Table_SourceData_PastureBeef_LiveweightGain[[#Headers],[State]],0)</f>
        <v>Autumn</v>
      </c>
      <c r="G155" s="37" cm="1">
        <f t="array" ref="G155">Common_InputFunctions.Utility_DisplayArrayInTable(SourceData_PastureBeef.SourceData_PastureBeef_LiveweightGain_Data(), Table_SourceData_PastureBeef_LiveweightGain[[#Headers],[State]],0)</f>
        <v>0.8</v>
      </c>
      <c r="H155" s="37" cm="1">
        <f t="array" ref="H155">Common_InputFunctions.Utility_DisplayArrayInTable(SourceData_PastureBeef.SourceData_PastureBeef_LiveweightGain_Data(), Table_SourceData_PastureBeef_LiveweightGain[[#Headers],[State]],0)</f>
        <v>0.3</v>
      </c>
      <c r="I155" s="37" cm="1">
        <f t="array" ref="I155">Common_InputFunctions.Utility_DisplayArrayInTable(SourceData_PastureBeef.SourceData_PastureBeef_LiveweightGain_Data(), Table_SourceData_PastureBeef_LiveweightGain[[#Headers],[State]],0)</f>
        <v>0.7</v>
      </c>
      <c r="J155" s="37" cm="1">
        <f t="array" ref="J155">Common_InputFunctions.Utility_DisplayArrayInTable(SourceData_PastureBeef.SourceData_PastureBeef_LiveweightGain_Data(), Table_SourceData_PastureBeef_LiveweightGain[[#Headers],[State]],0)</f>
        <v>0.3</v>
      </c>
      <c r="K155" s="37" cm="1">
        <f t="array" ref="K155">Common_InputFunctions.Utility_DisplayArrayInTable(SourceData_PastureBeef.SourceData_PastureBeef_LiveweightGain_Data(), Table_SourceData_PastureBeef_LiveweightGain[[#Headers],[State]],0)</f>
        <v>0.2</v>
      </c>
      <c r="L155" s="37" cm="1">
        <f t="array" ref="L155">Common_InputFunctions.Utility_DisplayArrayInTable(SourceData_PastureBeef.SourceData_PastureBeef_LiveweightGain_Data(), Table_SourceData_PastureBeef_LiveweightGain[[#Headers],[State]],0)</f>
        <v>0.7</v>
      </c>
      <c r="M155" s="37" cm="1">
        <f t="array" ref="M155">Common_InputFunctions.Utility_DisplayArrayInTable(SourceData_PastureBeef.SourceData_PastureBeef_LiveweightGain_Data(), Table_SourceData_PastureBeef_LiveweightGain[[#Headers],[State]],0)</f>
        <v>0.3</v>
      </c>
    </row>
    <row r="156" spans="4:16" ht="20.100000000000001" customHeight="1" x14ac:dyDescent="0.25">
      <c r="D156" s="1" t="str" cm="1">
        <f t="array" ref="D156">Common_InputFunctions.Utility_DisplayArrayInTable(SourceData_PastureBeef.SourceData_PastureBeef_LiveweightGain_Data(), Table_SourceData_PastureBeef_LiveweightGain[[#Headers],[State]],0)</f>
        <v>ACT/NSW</v>
      </c>
      <c r="E156" s="37" t="str" cm="1">
        <f t="array" ref="E156">Common_InputFunctions.Utility_DisplayArrayInTable(SourceData_PastureBeef.SourceData_PastureBeef_LiveweightGain_Data(), Table_SourceData_PastureBeef_LiveweightGain[[#Headers],[State]],0)</f>
        <v>n/a</v>
      </c>
      <c r="F156" s="37" t="str" cm="1">
        <f t="array" ref="F156">Common_InputFunctions.Utility_DisplayArrayInTable(SourceData_PastureBeef.SourceData_PastureBeef_LiveweightGain_Data(), Table_SourceData_PastureBeef_LiveweightGain[[#Headers],[State]],0)</f>
        <v>Winter</v>
      </c>
      <c r="G156" s="37" cm="1">
        <f t="array" ref="G156">Common_InputFunctions.Utility_DisplayArrayInTable(SourceData_PastureBeef.SourceData_PastureBeef_LiveweightGain_Data(), Table_SourceData_PastureBeef_LiveweightGain[[#Headers],[State]],0)</f>
        <v>0.4</v>
      </c>
      <c r="H156" s="37" cm="1">
        <f t="array" ref="H156">Common_InputFunctions.Utility_DisplayArrayInTable(SourceData_PastureBeef.SourceData_PastureBeef_LiveweightGain_Data(), Table_SourceData_PastureBeef_LiveweightGain[[#Headers],[State]],0)</f>
        <v>0.1</v>
      </c>
      <c r="I156" s="37" cm="1">
        <f t="array" ref="I156">Common_InputFunctions.Utility_DisplayArrayInTable(SourceData_PastureBeef.SourceData_PastureBeef_LiveweightGain_Data(), Table_SourceData_PastureBeef_LiveweightGain[[#Headers],[State]],0)</f>
        <v>0.4</v>
      </c>
      <c r="J156" s="37" cm="1">
        <f t="array" ref="J156">Common_InputFunctions.Utility_DisplayArrayInTable(SourceData_PastureBeef.SourceData_PastureBeef_LiveweightGain_Data(), Table_SourceData_PastureBeef_LiveweightGain[[#Headers],[State]],0)</f>
        <v>0.2</v>
      </c>
      <c r="K156" s="37" cm="1">
        <f t="array" ref="K156">Common_InputFunctions.Utility_DisplayArrayInTable(SourceData_PastureBeef.SourceData_PastureBeef_LiveweightGain_Data(), Table_SourceData_PastureBeef_LiveweightGain[[#Headers],[State]],0)</f>
        <v>0.1</v>
      </c>
      <c r="L156" s="37" cm="1">
        <f t="array" ref="L156">Common_InputFunctions.Utility_DisplayArrayInTable(SourceData_PastureBeef.SourceData_PastureBeef_LiveweightGain_Data(), Table_SourceData_PastureBeef_LiveweightGain[[#Headers],[State]],0)</f>
        <v>0.4</v>
      </c>
      <c r="M156" s="37" cm="1">
        <f t="array" ref="M156">Common_InputFunctions.Utility_DisplayArrayInTable(SourceData_PastureBeef.SourceData_PastureBeef_LiveweightGain_Data(), Table_SourceData_PastureBeef_LiveweightGain[[#Headers],[State]],0)</f>
        <v>0.1</v>
      </c>
    </row>
    <row r="157" spans="4:16" ht="20.100000000000001" customHeight="1" x14ac:dyDescent="0.25">
      <c r="D157" s="1" t="str" cm="1">
        <f t="array" ref="D157">Common_InputFunctions.Utility_DisplayArrayInTable(SourceData_PastureBeef.SourceData_PastureBeef_LiveweightGain_Data(), Table_SourceData_PastureBeef_LiveweightGain[[#Headers],[State]],0)</f>
        <v>South Australia</v>
      </c>
      <c r="E157" s="37" t="str" cm="1">
        <f t="array" ref="E157">Common_InputFunctions.Utility_DisplayArrayInTable(SourceData_PastureBeef.SourceData_PastureBeef_LiveweightGain_Data(), Table_SourceData_PastureBeef_LiveweightGain[[#Headers],[State]],0)</f>
        <v>n/a</v>
      </c>
      <c r="F157" s="37" t="str" cm="1">
        <f t="array" ref="F157">Common_InputFunctions.Utility_DisplayArrayInTable(SourceData_PastureBeef.SourceData_PastureBeef_LiveweightGain_Data(), Table_SourceData_PastureBeef_LiveweightGain[[#Headers],[State]],0)</f>
        <v>Spring</v>
      </c>
      <c r="G157" s="37" cm="1">
        <f t="array" ref="G157">Common_InputFunctions.Utility_DisplayArrayInTable(SourceData_PastureBeef.SourceData_PastureBeef_LiveweightGain_Data(), Table_SourceData_PastureBeef_LiveweightGain[[#Headers],[State]],0)</f>
        <v>0.99</v>
      </c>
      <c r="H157" s="37" cm="1">
        <f t="array" ref="H157">Common_InputFunctions.Utility_DisplayArrayInTable(SourceData_PastureBeef.SourceData_PastureBeef_LiveweightGain_Data(), Table_SourceData_PastureBeef_LiveweightGain[[#Headers],[State]],0)</f>
        <v>1.1000000000000001</v>
      </c>
      <c r="I157" s="37" cm="1">
        <f t="array" ref="I157">Common_InputFunctions.Utility_DisplayArrayInTable(SourceData_PastureBeef.SourceData_PastureBeef_LiveweightGain_Data(), Table_SourceData_PastureBeef_LiveweightGain[[#Headers],[State]],0)</f>
        <v>0.88</v>
      </c>
      <c r="J157" s="37" cm="1">
        <f t="array" ref="J157">Common_InputFunctions.Utility_DisplayArrayInTable(SourceData_PastureBeef.SourceData_PastureBeef_LiveweightGain_Data(), Table_SourceData_PastureBeef_LiveweightGain[[#Headers],[State]],0)</f>
        <v>0.55000000000000004</v>
      </c>
      <c r="K157" s="37" cm="1">
        <f t="array" ref="K157">Common_InputFunctions.Utility_DisplayArrayInTable(SourceData_PastureBeef.SourceData_PastureBeef_LiveweightGain_Data(), Table_SourceData_PastureBeef_LiveweightGain[[#Headers],[State]],0)</f>
        <v>0.55000000000000004</v>
      </c>
      <c r="L157" s="37" cm="1">
        <f t="array" ref="L157">Common_InputFunctions.Utility_DisplayArrayInTable(SourceData_PastureBeef.SourceData_PastureBeef_LiveweightGain_Data(), Table_SourceData_PastureBeef_LiveweightGain[[#Headers],[State]],0)</f>
        <v>0.88</v>
      </c>
      <c r="M157" s="37" cm="1">
        <f t="array" ref="M157">Common_InputFunctions.Utility_DisplayArrayInTable(SourceData_PastureBeef.SourceData_PastureBeef_LiveweightGain_Data(), Table_SourceData_PastureBeef_LiveweightGain[[#Headers],[State]],0)</f>
        <v>0.22</v>
      </c>
    </row>
    <row r="158" spans="4:16" ht="20.100000000000001" customHeight="1" x14ac:dyDescent="0.25">
      <c r="D158" s="1" t="str" cm="1">
        <f t="array" ref="D158">Common_InputFunctions.Utility_DisplayArrayInTable(SourceData_PastureBeef.SourceData_PastureBeef_LiveweightGain_Data(), Table_SourceData_PastureBeef_LiveweightGain[[#Headers],[State]],0)</f>
        <v>South Australia</v>
      </c>
      <c r="E158" s="37" t="str" cm="1">
        <f t="array" ref="E158">Common_InputFunctions.Utility_DisplayArrayInTable(SourceData_PastureBeef.SourceData_PastureBeef_LiveweightGain_Data(), Table_SourceData_PastureBeef_LiveweightGain[[#Headers],[State]],0)</f>
        <v>n/a</v>
      </c>
      <c r="F158" s="37" t="str" cm="1">
        <f t="array" ref="F158">Common_InputFunctions.Utility_DisplayArrayInTable(SourceData_PastureBeef.SourceData_PastureBeef_LiveweightGain_Data(), Table_SourceData_PastureBeef_LiveweightGain[[#Headers],[State]],0)</f>
        <v>Summer</v>
      </c>
      <c r="G158" s="37" cm="1">
        <f t="array" ref="G158">Common_InputFunctions.Utility_DisplayArrayInTable(SourceData_PastureBeef.SourceData_PastureBeef_LiveweightGain_Data(), Table_SourceData_PastureBeef_LiveweightGain[[#Headers],[State]],0)</f>
        <v>0.77</v>
      </c>
      <c r="H158" s="37" cm="1">
        <f t="array" ref="H158">Common_InputFunctions.Utility_DisplayArrayInTable(SourceData_PastureBeef.SourceData_PastureBeef_LiveweightGain_Data(), Table_SourceData_PastureBeef_LiveweightGain[[#Headers],[State]],0)</f>
        <v>0</v>
      </c>
      <c r="I158" s="37" cm="1">
        <f t="array" ref="I158">Common_InputFunctions.Utility_DisplayArrayInTable(SourceData_PastureBeef.SourceData_PastureBeef_LiveweightGain_Data(), Table_SourceData_PastureBeef_LiveweightGain[[#Headers],[State]],0)</f>
        <v>0.66</v>
      </c>
      <c r="J158" s="37" cm="1">
        <f t="array" ref="J158">Common_InputFunctions.Utility_DisplayArrayInTable(SourceData_PastureBeef.SourceData_PastureBeef_LiveweightGain_Data(), Table_SourceData_PastureBeef_LiveweightGain[[#Headers],[State]],0)</f>
        <v>0.22</v>
      </c>
      <c r="K158" s="37" cm="1">
        <f t="array" ref="K158">Common_InputFunctions.Utility_DisplayArrayInTable(SourceData_PastureBeef.SourceData_PastureBeef_LiveweightGain_Data(), Table_SourceData_PastureBeef_LiveweightGain[[#Headers],[State]],0)</f>
        <v>0</v>
      </c>
      <c r="L158" s="37" cm="1">
        <f t="array" ref="L158">Common_InputFunctions.Utility_DisplayArrayInTable(SourceData_PastureBeef.SourceData_PastureBeef_LiveweightGain_Data(), Table_SourceData_PastureBeef_LiveweightGain[[#Headers],[State]],0)</f>
        <v>0.66</v>
      </c>
      <c r="M158" s="37" cm="1">
        <f t="array" ref="M158">Common_InputFunctions.Utility_DisplayArrayInTable(SourceData_PastureBeef.SourceData_PastureBeef_LiveweightGain_Data(), Table_SourceData_PastureBeef_LiveweightGain[[#Headers],[State]],0)</f>
        <v>0</v>
      </c>
    </row>
    <row r="159" spans="4:16" ht="20.100000000000001" customHeight="1" x14ac:dyDescent="0.25">
      <c r="D159" s="1" t="str" cm="1">
        <f t="array" ref="D159">Common_InputFunctions.Utility_DisplayArrayInTable(SourceData_PastureBeef.SourceData_PastureBeef_LiveweightGain_Data(), Table_SourceData_PastureBeef_LiveweightGain[[#Headers],[State]],0)</f>
        <v>South Australia</v>
      </c>
      <c r="E159" s="37" t="str" cm="1">
        <f t="array" ref="E159">Common_InputFunctions.Utility_DisplayArrayInTable(SourceData_PastureBeef.SourceData_PastureBeef_LiveweightGain_Data(), Table_SourceData_PastureBeef_LiveweightGain[[#Headers],[State]],0)</f>
        <v>n/a</v>
      </c>
      <c r="F159" s="37" t="str" cm="1">
        <f t="array" ref="F159">Common_InputFunctions.Utility_DisplayArrayInTable(SourceData_PastureBeef.SourceData_PastureBeef_LiveweightGain_Data(), Table_SourceData_PastureBeef_LiveweightGain[[#Headers],[State]],0)</f>
        <v>Autumn</v>
      </c>
      <c r="G159" s="37" cm="1">
        <f t="array" ref="G159">Common_InputFunctions.Utility_DisplayArrayInTable(SourceData_PastureBeef.SourceData_PastureBeef_LiveweightGain_Data(), Table_SourceData_PastureBeef_LiveweightGain[[#Headers],[State]],0)</f>
        <v>0.9</v>
      </c>
      <c r="H159" s="37" cm="1">
        <f t="array" ref="H159">Common_InputFunctions.Utility_DisplayArrayInTable(SourceData_PastureBeef.SourceData_PastureBeef_LiveweightGain_Data(), Table_SourceData_PastureBeef_LiveweightGain[[#Headers],[State]],0)</f>
        <v>-1.1000000000000001</v>
      </c>
      <c r="I159" s="37" cm="1">
        <f t="array" ref="I159">Common_InputFunctions.Utility_DisplayArrayInTable(SourceData_PastureBeef.SourceData_PastureBeef_LiveweightGain_Data(), Table_SourceData_PastureBeef_LiveweightGain[[#Headers],[State]],0)</f>
        <v>0.7</v>
      </c>
      <c r="J159" s="37" cm="1">
        <f t="array" ref="J159">Common_InputFunctions.Utility_DisplayArrayInTable(SourceData_PastureBeef.SourceData_PastureBeef_LiveweightGain_Data(), Table_SourceData_PastureBeef_LiveweightGain[[#Headers],[State]],0)</f>
        <v>0.22</v>
      </c>
      <c r="K159" s="37" cm="1">
        <f t="array" ref="K159">Common_InputFunctions.Utility_DisplayArrayInTable(SourceData_PastureBeef.SourceData_PastureBeef_LiveweightGain_Data(), Table_SourceData_PastureBeef_LiveweightGain[[#Headers],[State]],0)</f>
        <v>-0.55000000000000004</v>
      </c>
      <c r="L159" s="37" cm="1">
        <f t="array" ref="L159">Common_InputFunctions.Utility_DisplayArrayInTable(SourceData_PastureBeef.SourceData_PastureBeef_LiveweightGain_Data(), Table_SourceData_PastureBeef_LiveweightGain[[#Headers],[State]],0)</f>
        <v>0.8</v>
      </c>
      <c r="M159" s="37" cm="1">
        <f t="array" ref="M159">Common_InputFunctions.Utility_DisplayArrayInTable(SourceData_PastureBeef.SourceData_PastureBeef_LiveweightGain_Data(), Table_SourceData_PastureBeef_LiveweightGain[[#Headers],[State]],0)</f>
        <v>-0.22</v>
      </c>
    </row>
    <row r="160" spans="4:16" ht="20.100000000000001" customHeight="1" x14ac:dyDescent="0.25">
      <c r="D160" s="1" t="str" cm="1">
        <f t="array" ref="D160">Common_InputFunctions.Utility_DisplayArrayInTable(SourceData_PastureBeef.SourceData_PastureBeef_LiveweightGain_Data(), Table_SourceData_PastureBeef_LiveweightGain[[#Headers],[State]],0)</f>
        <v>South Australia</v>
      </c>
      <c r="E160" s="37" t="str" cm="1">
        <f t="array" ref="E160">Common_InputFunctions.Utility_DisplayArrayInTable(SourceData_PastureBeef.SourceData_PastureBeef_LiveweightGain_Data(), Table_SourceData_PastureBeef_LiveweightGain[[#Headers],[State]],0)</f>
        <v>n/a</v>
      </c>
      <c r="F160" s="37" t="str" cm="1">
        <f t="array" ref="F160">Common_InputFunctions.Utility_DisplayArrayInTable(SourceData_PastureBeef.SourceData_PastureBeef_LiveweightGain_Data(), Table_SourceData_PastureBeef_LiveweightGain[[#Headers],[State]],0)</f>
        <v>Winter</v>
      </c>
      <c r="G160" s="37" cm="1">
        <f t="array" ref="G160">Common_InputFunctions.Utility_DisplayArrayInTable(SourceData_PastureBeef.SourceData_PastureBeef_LiveweightGain_Data(), Table_SourceData_PastureBeef_LiveweightGain[[#Headers],[State]],0)</f>
        <v>0.88</v>
      </c>
      <c r="H160" s="37" cm="1">
        <f t="array" ref="H160">Common_InputFunctions.Utility_DisplayArrayInTable(SourceData_PastureBeef.SourceData_PastureBeef_LiveweightGain_Data(), Table_SourceData_PastureBeef_LiveweightGain[[#Headers],[State]],0)</f>
        <v>0</v>
      </c>
      <c r="I160" s="37" cm="1">
        <f t="array" ref="I160">Common_InputFunctions.Utility_DisplayArrayInTable(SourceData_PastureBeef.SourceData_PastureBeef_LiveweightGain_Data(), Table_SourceData_PastureBeef_LiveweightGain[[#Headers],[State]],0)</f>
        <v>0.77</v>
      </c>
      <c r="J160" s="37" cm="1">
        <f t="array" ref="J160">Common_InputFunctions.Utility_DisplayArrayInTable(SourceData_PastureBeef.SourceData_PastureBeef_LiveweightGain_Data(), Table_SourceData_PastureBeef_LiveweightGain[[#Headers],[State]],0)</f>
        <v>0.55000000000000004</v>
      </c>
      <c r="K160" s="37" cm="1">
        <f t="array" ref="K160">Common_InputFunctions.Utility_DisplayArrayInTable(SourceData_PastureBeef.SourceData_PastureBeef_LiveweightGain_Data(), Table_SourceData_PastureBeef_LiveweightGain[[#Headers],[State]],0)</f>
        <v>0</v>
      </c>
      <c r="L160" s="37" cm="1">
        <f t="array" ref="L160">Common_InputFunctions.Utility_DisplayArrayInTable(SourceData_PastureBeef.SourceData_PastureBeef_LiveweightGain_Data(), Table_SourceData_PastureBeef_LiveweightGain[[#Headers],[State]],0)</f>
        <v>0.82</v>
      </c>
      <c r="M160" s="37" cm="1">
        <f t="array" ref="M160">Common_InputFunctions.Utility_DisplayArrayInTable(SourceData_PastureBeef.SourceData_PastureBeef_LiveweightGain_Data(), Table_SourceData_PastureBeef_LiveweightGain[[#Headers],[State]],0)</f>
        <v>0</v>
      </c>
    </row>
    <row r="161" spans="4:13" ht="20.100000000000001" customHeight="1" x14ac:dyDescent="0.25">
      <c r="D161" s="1" t="str" cm="1">
        <f t="array" ref="D161">Common_InputFunctions.Utility_DisplayArrayInTable(SourceData_PastureBeef.SourceData_PastureBeef_LiveweightGain_Data(), Table_SourceData_PastureBeef_LiveweightGain[[#Headers],[State]],0)</f>
        <v>Tasmania</v>
      </c>
      <c r="E161" s="37" t="str" cm="1">
        <f t="array" ref="E161">Common_InputFunctions.Utility_DisplayArrayInTable(SourceData_PastureBeef.SourceData_PastureBeef_LiveweightGain_Data(), Table_SourceData_PastureBeef_LiveweightGain[[#Headers],[State]],0)</f>
        <v>n/a</v>
      </c>
      <c r="F161" s="37" t="str" cm="1">
        <f t="array" ref="F161">Common_InputFunctions.Utility_DisplayArrayInTable(SourceData_PastureBeef.SourceData_PastureBeef_LiveweightGain_Data(), Table_SourceData_PastureBeef_LiveweightGain[[#Headers],[State]],0)</f>
        <v>Spring</v>
      </c>
      <c r="G161" s="37" cm="1">
        <f t="array" ref="G161">Common_InputFunctions.Utility_DisplayArrayInTable(SourceData_PastureBeef.SourceData_PastureBeef_LiveweightGain_Data(), Table_SourceData_PastureBeef_LiveweightGain[[#Headers],[State]],0)</f>
        <v>1</v>
      </c>
      <c r="H161" s="37" cm="1">
        <f t="array" ref="H161">Common_InputFunctions.Utility_DisplayArrayInTable(SourceData_PastureBeef.SourceData_PastureBeef_LiveweightGain_Data(), Table_SourceData_PastureBeef_LiveweightGain[[#Headers],[State]],0)</f>
        <v>0.5</v>
      </c>
      <c r="I161" s="37" cm="1">
        <f t="array" ref="I161">Common_InputFunctions.Utility_DisplayArrayInTable(SourceData_PastureBeef.SourceData_PastureBeef_LiveweightGain_Data(), Table_SourceData_PastureBeef_LiveweightGain[[#Headers],[State]],0)</f>
        <v>1</v>
      </c>
      <c r="J161" s="37" cm="1">
        <f t="array" ref="J161">Common_InputFunctions.Utility_DisplayArrayInTable(SourceData_PastureBeef.SourceData_PastureBeef_LiveweightGain_Data(), Table_SourceData_PastureBeef_LiveweightGain[[#Headers],[State]],0)</f>
        <v>1</v>
      </c>
      <c r="K161" s="37" cm="1">
        <f t="array" ref="K161">Common_InputFunctions.Utility_DisplayArrayInTable(SourceData_PastureBeef.SourceData_PastureBeef_LiveweightGain_Data(), Table_SourceData_PastureBeef_LiveweightGain[[#Headers],[State]],0)</f>
        <v>-0.44</v>
      </c>
      <c r="L161" s="37" cm="1">
        <f t="array" ref="L161">Common_InputFunctions.Utility_DisplayArrayInTable(SourceData_PastureBeef.SourceData_PastureBeef_LiveweightGain_Data(), Table_SourceData_PastureBeef_LiveweightGain[[#Headers],[State]],0)</f>
        <v>1</v>
      </c>
      <c r="M161" s="37" cm="1">
        <f t="array" ref="M161">Common_InputFunctions.Utility_DisplayArrayInTable(SourceData_PastureBeef.SourceData_PastureBeef_LiveweightGain_Data(), Table_SourceData_PastureBeef_LiveweightGain[[#Headers],[State]],0)</f>
        <v>0.5</v>
      </c>
    </row>
    <row r="162" spans="4:13" ht="20.100000000000001" customHeight="1" x14ac:dyDescent="0.25">
      <c r="D162" s="1" t="str" cm="1">
        <f t="array" ref="D162">Common_InputFunctions.Utility_DisplayArrayInTable(SourceData_PastureBeef.SourceData_PastureBeef_LiveweightGain_Data(), Table_SourceData_PastureBeef_LiveweightGain[[#Headers],[State]],0)</f>
        <v>Tasmania</v>
      </c>
      <c r="E162" s="37" t="str" cm="1">
        <f t="array" ref="E162">Common_InputFunctions.Utility_DisplayArrayInTable(SourceData_PastureBeef.SourceData_PastureBeef_LiveweightGain_Data(), Table_SourceData_PastureBeef_LiveweightGain[[#Headers],[State]],0)</f>
        <v>n/a</v>
      </c>
      <c r="F162" s="37" t="str" cm="1">
        <f t="array" ref="F162">Common_InputFunctions.Utility_DisplayArrayInTable(SourceData_PastureBeef.SourceData_PastureBeef_LiveweightGain_Data(), Table_SourceData_PastureBeef_LiveweightGain[[#Headers],[State]],0)</f>
        <v>Summer</v>
      </c>
      <c r="G162" s="37" cm="1">
        <f t="array" ref="G162">Common_InputFunctions.Utility_DisplayArrayInTable(SourceData_PastureBeef.SourceData_PastureBeef_LiveweightGain_Data(), Table_SourceData_PastureBeef_LiveweightGain[[#Headers],[State]],0)</f>
        <v>0.82</v>
      </c>
      <c r="H162" s="37" cm="1">
        <f t="array" ref="H162">Common_InputFunctions.Utility_DisplayArrayInTable(SourceData_PastureBeef.SourceData_PastureBeef_LiveweightGain_Data(), Table_SourceData_PastureBeef_LiveweightGain[[#Headers],[State]],0)</f>
        <v>0.55000000000000004</v>
      </c>
      <c r="I162" s="37" cm="1">
        <f t="array" ref="I162">Common_InputFunctions.Utility_DisplayArrayInTable(SourceData_PastureBeef.SourceData_PastureBeef_LiveweightGain_Data(), Table_SourceData_PastureBeef_LiveweightGain[[#Headers],[State]],0)</f>
        <v>0.71</v>
      </c>
      <c r="J162" s="37" cm="1">
        <f t="array" ref="J162">Common_InputFunctions.Utility_DisplayArrayInTable(SourceData_PastureBeef.SourceData_PastureBeef_LiveweightGain_Data(), Table_SourceData_PastureBeef_LiveweightGain[[#Headers],[State]],0)</f>
        <v>0.55000000000000004</v>
      </c>
      <c r="K162" s="37" cm="1">
        <f t="array" ref="K162">Common_InputFunctions.Utility_DisplayArrayInTable(SourceData_PastureBeef.SourceData_PastureBeef_LiveweightGain_Data(), Table_SourceData_PastureBeef_LiveweightGain[[#Headers],[State]],0)</f>
        <v>0.99</v>
      </c>
      <c r="L162" s="37" cm="1">
        <f t="array" ref="L162">Common_InputFunctions.Utility_DisplayArrayInTable(SourceData_PastureBeef.SourceData_PastureBeef_LiveweightGain_Data(), Table_SourceData_PastureBeef_LiveweightGain[[#Headers],[State]],0)</f>
        <v>0.77</v>
      </c>
      <c r="M162" s="37" cm="1">
        <f t="array" ref="M162">Common_InputFunctions.Utility_DisplayArrayInTable(SourceData_PastureBeef.SourceData_PastureBeef_LiveweightGain_Data(), Table_SourceData_PastureBeef_LiveweightGain[[#Headers],[State]],0)</f>
        <v>0.5</v>
      </c>
    </row>
    <row r="163" spans="4:13" ht="20.100000000000001" customHeight="1" x14ac:dyDescent="0.25">
      <c r="D163" s="1" t="str" cm="1">
        <f t="array" ref="D163">Common_InputFunctions.Utility_DisplayArrayInTable(SourceData_PastureBeef.SourceData_PastureBeef_LiveweightGain_Data(), Table_SourceData_PastureBeef_LiveweightGain[[#Headers],[State]],0)</f>
        <v>Tasmania</v>
      </c>
      <c r="E163" s="37" t="str" cm="1">
        <f t="array" ref="E163">Common_InputFunctions.Utility_DisplayArrayInTable(SourceData_PastureBeef.SourceData_PastureBeef_LiveweightGain_Data(), Table_SourceData_PastureBeef_LiveweightGain[[#Headers],[State]],0)</f>
        <v>n/a</v>
      </c>
      <c r="F163" s="37" t="str" cm="1">
        <f t="array" ref="F163">Common_InputFunctions.Utility_DisplayArrayInTable(SourceData_PastureBeef.SourceData_PastureBeef_LiveweightGain_Data(), Table_SourceData_PastureBeef_LiveweightGain[[#Headers],[State]],0)</f>
        <v>Autumn</v>
      </c>
      <c r="G163" s="37" cm="1">
        <f t="array" ref="G163">Common_InputFunctions.Utility_DisplayArrayInTable(SourceData_PastureBeef.SourceData_PastureBeef_LiveweightGain_Data(), Table_SourceData_PastureBeef_LiveweightGain[[#Headers],[State]],0)</f>
        <v>0.77</v>
      </c>
      <c r="H163" s="37" cm="1">
        <f t="array" ref="H163">Common_InputFunctions.Utility_DisplayArrayInTable(SourceData_PastureBeef.SourceData_PastureBeef_LiveweightGain_Data(), Table_SourceData_PastureBeef_LiveweightGain[[#Headers],[State]],0)</f>
        <v>0.5</v>
      </c>
      <c r="I163" s="37" cm="1">
        <f t="array" ref="I163">Common_InputFunctions.Utility_DisplayArrayInTable(SourceData_PastureBeef.SourceData_PastureBeef_LiveweightGain_Data(), Table_SourceData_PastureBeef_LiveweightGain[[#Headers],[State]],0)</f>
        <v>0.55000000000000004</v>
      </c>
      <c r="J163" s="37" cm="1">
        <f t="array" ref="J163">Common_InputFunctions.Utility_DisplayArrayInTable(SourceData_PastureBeef.SourceData_PastureBeef_LiveweightGain_Data(), Table_SourceData_PastureBeef_LiveweightGain[[#Headers],[State]],0)</f>
        <v>0.11</v>
      </c>
      <c r="K163" s="37" cm="1">
        <f t="array" ref="K163">Common_InputFunctions.Utility_DisplayArrayInTable(SourceData_PastureBeef.SourceData_PastureBeef_LiveweightGain_Data(), Table_SourceData_PastureBeef_LiveweightGain[[#Headers],[State]],0)</f>
        <v>-0.33</v>
      </c>
      <c r="L163" s="37" cm="1">
        <f t="array" ref="L163">Common_InputFunctions.Utility_DisplayArrayInTable(SourceData_PastureBeef.SourceData_PastureBeef_LiveweightGain_Data(), Table_SourceData_PastureBeef_LiveweightGain[[#Headers],[State]],0)</f>
        <v>0.6</v>
      </c>
      <c r="M163" s="37" cm="1">
        <f t="array" ref="M163">Common_InputFunctions.Utility_DisplayArrayInTable(SourceData_PastureBeef.SourceData_PastureBeef_LiveweightGain_Data(), Table_SourceData_PastureBeef_LiveweightGain[[#Headers],[State]],0)</f>
        <v>0.33</v>
      </c>
    </row>
    <row r="164" spans="4:13" ht="20.100000000000001" customHeight="1" x14ac:dyDescent="0.25">
      <c r="D164" s="1" t="str" cm="1">
        <f t="array" ref="D164">Common_InputFunctions.Utility_DisplayArrayInTable(SourceData_PastureBeef.SourceData_PastureBeef_LiveweightGain_Data(), Table_SourceData_PastureBeef_LiveweightGain[[#Headers],[State]],0)</f>
        <v>Tasmania</v>
      </c>
      <c r="E164" s="37" t="str" cm="1">
        <f t="array" ref="E164">Common_InputFunctions.Utility_DisplayArrayInTable(SourceData_PastureBeef.SourceData_PastureBeef_LiveweightGain_Data(), Table_SourceData_PastureBeef_LiveweightGain[[#Headers],[State]],0)</f>
        <v>n/a</v>
      </c>
      <c r="F164" s="37" t="str" cm="1">
        <f t="array" ref="F164">Common_InputFunctions.Utility_DisplayArrayInTable(SourceData_PastureBeef.SourceData_PastureBeef_LiveweightGain_Data(), Table_SourceData_PastureBeef_LiveweightGain[[#Headers],[State]],0)</f>
        <v>Winter</v>
      </c>
      <c r="G164" s="37" cm="1">
        <f t="array" ref="G164">Common_InputFunctions.Utility_DisplayArrayInTable(SourceData_PastureBeef.SourceData_PastureBeef_LiveweightGain_Data(), Table_SourceData_PastureBeef_LiveweightGain[[#Headers],[State]],0)</f>
        <v>0.11</v>
      </c>
      <c r="H164" s="37" cm="1">
        <f t="array" ref="H164">Common_InputFunctions.Utility_DisplayArrayInTable(SourceData_PastureBeef.SourceData_PastureBeef_LiveweightGain_Data(), Table_SourceData_PastureBeef_LiveweightGain[[#Headers],[State]],0)</f>
        <v>-0.27</v>
      </c>
      <c r="I164" s="37" cm="1">
        <f t="array" ref="I164">Common_InputFunctions.Utility_DisplayArrayInTable(SourceData_PastureBeef.SourceData_PastureBeef_LiveweightGain_Data(), Table_SourceData_PastureBeef_LiveweightGain[[#Headers],[State]],0)</f>
        <v>0.11</v>
      </c>
      <c r="J164" s="37" cm="1">
        <f t="array" ref="J164">Common_InputFunctions.Utility_DisplayArrayInTable(SourceData_PastureBeef.SourceData_PastureBeef_LiveweightGain_Data(), Table_SourceData_PastureBeef_LiveweightGain[[#Headers],[State]],0)</f>
        <v>0.22</v>
      </c>
      <c r="K164" s="37" cm="1">
        <f t="array" ref="K164">Common_InputFunctions.Utility_DisplayArrayInTable(SourceData_PastureBeef.SourceData_PastureBeef_LiveweightGain_Data(), Table_SourceData_PastureBeef_LiveweightGain[[#Headers],[State]],0)</f>
        <v>-0.44</v>
      </c>
      <c r="L164" s="37" cm="1">
        <f t="array" ref="L164">Common_InputFunctions.Utility_DisplayArrayInTable(SourceData_PastureBeef.SourceData_PastureBeef_LiveweightGain_Data(), Table_SourceData_PastureBeef_LiveweightGain[[#Headers],[State]],0)</f>
        <v>0.16</v>
      </c>
      <c r="M164" s="37" cm="1">
        <f t="array" ref="M164">Common_InputFunctions.Utility_DisplayArrayInTable(SourceData_PastureBeef.SourceData_PastureBeef_LiveweightGain_Data(), Table_SourceData_PastureBeef_LiveweightGain[[#Headers],[State]],0)</f>
        <v>-0.22</v>
      </c>
    </row>
    <row r="165" spans="4:13" ht="20.100000000000001" customHeight="1" x14ac:dyDescent="0.25">
      <c r="D165" s="1" t="str" cm="1">
        <f t="array" ref="D165">Common_InputFunctions.Utility_DisplayArrayInTable(SourceData_PastureBeef.SourceData_PastureBeef_LiveweightGain_Data(), Table_SourceData_PastureBeef_LiveweightGain[[#Headers],[State]],0)</f>
        <v>Victoria</v>
      </c>
      <c r="E165" s="37" t="str" cm="1">
        <f t="array" ref="E165">Common_InputFunctions.Utility_DisplayArrayInTable(SourceData_PastureBeef.SourceData_PastureBeef_LiveweightGain_Data(), Table_SourceData_PastureBeef_LiveweightGain[[#Headers],[State]],0)</f>
        <v>n/a</v>
      </c>
      <c r="F165" s="37" t="str" cm="1">
        <f t="array" ref="F165">Common_InputFunctions.Utility_DisplayArrayInTable(SourceData_PastureBeef.SourceData_PastureBeef_LiveweightGain_Data(), Table_SourceData_PastureBeef_LiveweightGain[[#Headers],[State]],0)</f>
        <v>Spring</v>
      </c>
      <c r="G165" s="37" cm="1">
        <f t="array" ref="G165">Common_InputFunctions.Utility_DisplayArrayInTable(SourceData_PastureBeef.SourceData_PastureBeef_LiveweightGain_Data(), Table_SourceData_PastureBeef_LiveweightGain[[#Headers],[State]],0)</f>
        <v>1.1000000000000001</v>
      </c>
      <c r="H165" s="37" cm="1">
        <f t="array" ref="H165">Common_InputFunctions.Utility_DisplayArrayInTable(SourceData_PastureBeef.SourceData_PastureBeef_LiveweightGain_Data(), Table_SourceData_PastureBeef_LiveweightGain[[#Headers],[State]],0)</f>
        <v>1.1000000000000001</v>
      </c>
      <c r="I165" s="37" cm="1">
        <f t="array" ref="I165">Common_InputFunctions.Utility_DisplayArrayInTable(SourceData_PastureBeef.SourceData_PastureBeef_LiveweightGain_Data(), Table_SourceData_PastureBeef_LiveweightGain[[#Headers],[State]],0)</f>
        <v>1.1000000000000001</v>
      </c>
      <c r="J165" s="37" cm="1">
        <f t="array" ref="J165">Common_InputFunctions.Utility_DisplayArrayInTable(SourceData_PastureBeef.SourceData_PastureBeef_LiveweightGain_Data(), Table_SourceData_PastureBeef_LiveweightGain[[#Headers],[State]],0)</f>
        <v>0.99</v>
      </c>
      <c r="K165" s="37" cm="1">
        <f t="array" ref="K165">Common_InputFunctions.Utility_DisplayArrayInTable(SourceData_PastureBeef.SourceData_PastureBeef_LiveweightGain_Data(), Table_SourceData_PastureBeef_LiveweightGain[[#Headers],[State]],0)</f>
        <v>0.99</v>
      </c>
      <c r="L165" s="37" cm="1">
        <f t="array" ref="L165">Common_InputFunctions.Utility_DisplayArrayInTable(SourceData_PastureBeef.SourceData_PastureBeef_LiveweightGain_Data(), Table_SourceData_PastureBeef_LiveweightGain[[#Headers],[State]],0)</f>
        <v>1.1000000000000001</v>
      </c>
      <c r="M165" s="37" cm="1">
        <f t="array" ref="M165">Common_InputFunctions.Utility_DisplayArrayInTable(SourceData_PastureBeef.SourceData_PastureBeef_LiveweightGain_Data(), Table_SourceData_PastureBeef_LiveweightGain[[#Headers],[State]],0)</f>
        <v>0.77</v>
      </c>
    </row>
    <row r="166" spans="4:13" x14ac:dyDescent="0.25">
      <c r="D166" s="1" t="str" cm="1">
        <f t="array" ref="D166">Common_InputFunctions.Utility_DisplayArrayInTable(SourceData_PastureBeef.SourceData_PastureBeef_LiveweightGain_Data(), Table_SourceData_PastureBeef_LiveweightGain[[#Headers],[State]],0)</f>
        <v>Victoria</v>
      </c>
      <c r="E166" s="37" t="str" cm="1">
        <f t="array" ref="E166">Common_InputFunctions.Utility_DisplayArrayInTable(SourceData_PastureBeef.SourceData_PastureBeef_LiveweightGain_Data(), Table_SourceData_PastureBeef_LiveweightGain[[#Headers],[State]],0)</f>
        <v>n/a</v>
      </c>
      <c r="F166" s="37" t="str" cm="1">
        <f t="array" ref="F166">Common_InputFunctions.Utility_DisplayArrayInTable(SourceData_PastureBeef.SourceData_PastureBeef_LiveweightGain_Data(), Table_SourceData_PastureBeef_LiveweightGain[[#Headers],[State]],0)</f>
        <v>Summer</v>
      </c>
      <c r="G166" s="37" cm="1">
        <f t="array" ref="G166">Common_InputFunctions.Utility_DisplayArrayInTable(SourceData_PastureBeef.SourceData_PastureBeef_LiveweightGain_Data(), Table_SourceData_PastureBeef_LiveweightGain[[#Headers],[State]],0)</f>
        <v>0.33</v>
      </c>
      <c r="H166" s="37" cm="1">
        <f t="array" ref="H166">Common_InputFunctions.Utility_DisplayArrayInTable(SourceData_PastureBeef.SourceData_PastureBeef_LiveweightGain_Data(), Table_SourceData_PastureBeef_LiveweightGain[[#Headers],[State]],0)</f>
        <v>0.33</v>
      </c>
      <c r="I166" s="37" cm="1">
        <f t="array" ref="I166">Common_InputFunctions.Utility_DisplayArrayInTable(SourceData_PastureBeef.SourceData_PastureBeef_LiveweightGain_Data(), Table_SourceData_PastureBeef_LiveweightGain[[#Headers],[State]],0)</f>
        <v>0.22</v>
      </c>
      <c r="J166" s="37" cm="1">
        <f t="array" ref="J166">Common_InputFunctions.Utility_DisplayArrayInTable(SourceData_PastureBeef.SourceData_PastureBeef_LiveweightGain_Data(), Table_SourceData_PastureBeef_LiveweightGain[[#Headers],[State]],0)</f>
        <v>0.33</v>
      </c>
      <c r="K166" s="37" cm="1">
        <f t="array" ref="K166">Common_InputFunctions.Utility_DisplayArrayInTable(SourceData_PastureBeef.SourceData_PastureBeef_LiveweightGain_Data(), Table_SourceData_PastureBeef_LiveweightGain[[#Headers],[State]],0)</f>
        <v>-0.1</v>
      </c>
      <c r="L166" s="37" cm="1">
        <f t="array" ref="L166">Common_InputFunctions.Utility_DisplayArrayInTable(SourceData_PastureBeef.SourceData_PastureBeef_LiveweightGain_Data(), Table_SourceData_PastureBeef_LiveweightGain[[#Headers],[State]],0)</f>
        <v>0.33</v>
      </c>
      <c r="M166" s="37" cm="1">
        <f t="array" ref="M166">Common_InputFunctions.Utility_DisplayArrayInTable(SourceData_PastureBeef.SourceData_PastureBeef_LiveweightGain_Data(), Table_SourceData_PastureBeef_LiveweightGain[[#Headers],[State]],0)</f>
        <v>0.11</v>
      </c>
    </row>
    <row r="167" spans="4:13" x14ac:dyDescent="0.25">
      <c r="D167" s="1" t="str" cm="1">
        <f t="array" ref="D167">Common_InputFunctions.Utility_DisplayArrayInTable(SourceData_PastureBeef.SourceData_PastureBeef_LiveweightGain_Data(), Table_SourceData_PastureBeef_LiveweightGain[[#Headers],[State]],0)</f>
        <v>Victoria</v>
      </c>
      <c r="E167" s="37" t="str" cm="1">
        <f t="array" ref="E167">Common_InputFunctions.Utility_DisplayArrayInTable(SourceData_PastureBeef.SourceData_PastureBeef_LiveweightGain_Data(), Table_SourceData_PastureBeef_LiveweightGain[[#Headers],[State]],0)</f>
        <v>n/a</v>
      </c>
      <c r="F167" s="37" t="str" cm="1">
        <f t="array" ref="F167">Common_InputFunctions.Utility_DisplayArrayInTable(SourceData_PastureBeef.SourceData_PastureBeef_LiveweightGain_Data(), Table_SourceData_PastureBeef_LiveweightGain[[#Headers],[State]],0)</f>
        <v>Autumn</v>
      </c>
      <c r="G167" s="37" cm="1">
        <f t="array" ref="G167">Common_InputFunctions.Utility_DisplayArrayInTable(SourceData_PastureBeef.SourceData_PastureBeef_LiveweightGain_Data(), Table_SourceData_PastureBeef_LiveweightGain[[#Headers],[State]],0)</f>
        <v>0.5</v>
      </c>
      <c r="H167" s="37" cm="1">
        <f t="array" ref="H167">Common_InputFunctions.Utility_DisplayArrayInTable(SourceData_PastureBeef.SourceData_PastureBeef_LiveweightGain_Data(), Table_SourceData_PastureBeef_LiveweightGain[[#Headers],[State]],0)</f>
        <v>0.2</v>
      </c>
      <c r="I167" s="37" cm="1">
        <f t="array" ref="I167">Common_InputFunctions.Utility_DisplayArrayInTable(SourceData_PastureBeef.SourceData_PastureBeef_LiveweightGain_Data(), Table_SourceData_PastureBeef_LiveweightGain[[#Headers],[State]],0)</f>
        <v>0.55000000000000004</v>
      </c>
      <c r="J167" s="37" cm="1">
        <f t="array" ref="J167">Common_InputFunctions.Utility_DisplayArrayInTable(SourceData_PastureBeef.SourceData_PastureBeef_LiveweightGain_Data(), Table_SourceData_PastureBeef_LiveweightGain[[#Headers],[State]],0)</f>
        <v>0.44</v>
      </c>
      <c r="K167" s="37" cm="1">
        <f t="array" ref="K167">Common_InputFunctions.Utility_DisplayArrayInTable(SourceData_PastureBeef.SourceData_PastureBeef_LiveweightGain_Data(), Table_SourceData_PastureBeef_LiveweightGain[[#Headers],[State]],0)</f>
        <v>0.2</v>
      </c>
      <c r="L167" s="37" cm="1">
        <f t="array" ref="L167">Common_InputFunctions.Utility_DisplayArrayInTable(SourceData_PastureBeef.SourceData_PastureBeef_LiveweightGain_Data(), Table_SourceData_PastureBeef_LiveweightGain[[#Headers],[State]],0)</f>
        <v>0.55000000000000004</v>
      </c>
      <c r="M167" s="37" cm="1">
        <f t="array" ref="M167">Common_InputFunctions.Utility_DisplayArrayInTable(SourceData_PastureBeef.SourceData_PastureBeef_LiveweightGain_Data(), Table_SourceData_PastureBeef_LiveweightGain[[#Headers],[State]],0)</f>
        <v>0.2</v>
      </c>
    </row>
    <row r="168" spans="4:13" x14ac:dyDescent="0.25">
      <c r="D168" s="1" t="str" cm="1">
        <f t="array" ref="D168">Common_InputFunctions.Utility_DisplayArrayInTable(SourceData_PastureBeef.SourceData_PastureBeef_LiveweightGain_Data(), Table_SourceData_PastureBeef_LiveweightGain[[#Headers],[State]],0)</f>
        <v>Victoria</v>
      </c>
      <c r="E168" s="37" t="str" cm="1">
        <f t="array" ref="E168">Common_InputFunctions.Utility_DisplayArrayInTable(SourceData_PastureBeef.SourceData_PastureBeef_LiveweightGain_Data(), Table_SourceData_PastureBeef_LiveweightGain[[#Headers],[State]],0)</f>
        <v>n/a</v>
      </c>
      <c r="F168" s="37" t="str" cm="1">
        <f t="array" ref="F168">Common_InputFunctions.Utility_DisplayArrayInTable(SourceData_PastureBeef.SourceData_PastureBeef_LiveweightGain_Data(), Table_SourceData_PastureBeef_LiveweightGain[[#Headers],[State]],0)</f>
        <v>Winter</v>
      </c>
      <c r="G168" s="37" cm="1">
        <f t="array" ref="G168">Common_InputFunctions.Utility_DisplayArrayInTable(SourceData_PastureBeef.SourceData_PastureBeef_LiveweightGain_Data(), Table_SourceData_PastureBeef_LiveweightGain[[#Headers],[State]],0)</f>
        <v>0.55000000000000004</v>
      </c>
      <c r="H168" s="37" cm="1">
        <f t="array" ref="H168">Common_InputFunctions.Utility_DisplayArrayInTable(SourceData_PastureBeef.SourceData_PastureBeef_LiveweightGain_Data(), Table_SourceData_PastureBeef_LiveweightGain[[#Headers],[State]],0)</f>
        <v>0.22</v>
      </c>
      <c r="I168" s="37" cm="1">
        <f t="array" ref="I168">Common_InputFunctions.Utility_DisplayArrayInTable(SourceData_PastureBeef.SourceData_PastureBeef_LiveweightGain_Data(), Table_SourceData_PastureBeef_LiveweightGain[[#Headers],[State]],0)</f>
        <v>0.49</v>
      </c>
      <c r="J168" s="37" cm="1">
        <f t="array" ref="J168">Common_InputFunctions.Utility_DisplayArrayInTable(SourceData_PastureBeef.SourceData_PastureBeef_LiveweightGain_Data(), Table_SourceData_PastureBeef_LiveweightGain[[#Headers],[State]],0)</f>
        <v>0.22</v>
      </c>
      <c r="K168" s="37" cm="1">
        <f t="array" ref="K168">Common_InputFunctions.Utility_DisplayArrayInTable(SourceData_PastureBeef.SourceData_PastureBeef_LiveweightGain_Data(), Table_SourceData_PastureBeef_LiveweightGain[[#Headers],[State]],0)</f>
        <v>0.22</v>
      </c>
      <c r="L168" s="37" cm="1">
        <f t="array" ref="L168">Common_InputFunctions.Utility_DisplayArrayInTable(SourceData_PastureBeef.SourceData_PastureBeef_LiveweightGain_Data(), Table_SourceData_PastureBeef_LiveweightGain[[#Headers],[State]],0)</f>
        <v>0.49</v>
      </c>
      <c r="M168" s="37" cm="1">
        <f t="array" ref="M168">Common_InputFunctions.Utility_DisplayArrayInTable(SourceData_PastureBeef.SourceData_PastureBeef_LiveweightGain_Data(), Table_SourceData_PastureBeef_LiveweightGain[[#Headers],[State]],0)</f>
        <v>0.33</v>
      </c>
    </row>
    <row r="169" spans="4:13" x14ac:dyDescent="0.25">
      <c r="D169" s="1" t="str" cm="1">
        <f t="array" ref="D169">Common_InputFunctions.Utility_DisplayArrayInTable(SourceData_PastureBeef.SourceData_PastureBeef_LiveweightGain_Data(), Table_SourceData_PastureBeef_LiveweightGain[[#Headers],[State]],0)</f>
        <v>Western Australia</v>
      </c>
      <c r="E169" s="37" t="str" cm="1">
        <f t="array" ref="E169">Common_InputFunctions.Utility_DisplayArrayInTable(SourceData_PastureBeef.SourceData_PastureBeef_LiveweightGain_Data(), Table_SourceData_PastureBeef_LiveweightGain[[#Headers],[State]],0)</f>
        <v>South West</v>
      </c>
      <c r="F169" s="37" t="str" cm="1">
        <f t="array" ref="F169">Common_InputFunctions.Utility_DisplayArrayInTable(SourceData_PastureBeef.SourceData_PastureBeef_LiveweightGain_Data(), Table_SourceData_PastureBeef_LiveweightGain[[#Headers],[State]],0)</f>
        <v>Spring</v>
      </c>
      <c r="G169" s="37" cm="1">
        <f t="array" ref="G169">Common_InputFunctions.Utility_DisplayArrayInTable(SourceData_PastureBeef.SourceData_PastureBeef_LiveweightGain_Data(), Table_SourceData_PastureBeef_LiveweightGain[[#Headers],[State]],0)</f>
        <v>1.64</v>
      </c>
      <c r="H169" s="37" cm="1">
        <f t="array" ref="H169">Common_InputFunctions.Utility_DisplayArrayInTable(SourceData_PastureBeef.SourceData_PastureBeef_LiveweightGain_Data(), Table_SourceData_PastureBeef_LiveweightGain[[#Headers],[State]],0)</f>
        <v>1.1000000000000001</v>
      </c>
      <c r="I169" s="37" cm="1">
        <f t="array" ref="I169">Common_InputFunctions.Utility_DisplayArrayInTable(SourceData_PastureBeef.SourceData_PastureBeef_LiveweightGain_Data(), Table_SourceData_PastureBeef_LiveweightGain[[#Headers],[State]],0)</f>
        <v>1.21</v>
      </c>
      <c r="J169" s="37" cm="1">
        <f t="array" ref="J169">Common_InputFunctions.Utility_DisplayArrayInTable(SourceData_PastureBeef.SourceData_PastureBeef_LiveweightGain_Data(), Table_SourceData_PastureBeef_LiveweightGain[[#Headers],[State]],0)</f>
        <v>0.99</v>
      </c>
      <c r="K169" s="37" cm="1">
        <f t="array" ref="K169">Common_InputFunctions.Utility_DisplayArrayInTable(SourceData_PastureBeef.SourceData_PastureBeef_LiveweightGain_Data(), Table_SourceData_PastureBeef_LiveweightGain[[#Headers],[State]],0)</f>
        <v>0.66</v>
      </c>
      <c r="L169" s="37" cm="1">
        <f t="array" ref="L169">Common_InputFunctions.Utility_DisplayArrayInTable(SourceData_PastureBeef.SourceData_PastureBeef_LiveweightGain_Data(), Table_SourceData_PastureBeef_LiveweightGain[[#Headers],[State]],0)</f>
        <v>1.42</v>
      </c>
      <c r="M169" s="37" cm="1">
        <f t="array" ref="M169">Common_InputFunctions.Utility_DisplayArrayInTable(SourceData_PastureBeef.SourceData_PastureBeef_LiveweightGain_Data(), Table_SourceData_PastureBeef_LiveweightGain[[#Headers],[State]],0)</f>
        <v>1.1000000000000001</v>
      </c>
    </row>
    <row r="170" spans="4:13" x14ac:dyDescent="0.25">
      <c r="D170" s="1" t="str" cm="1">
        <f t="array" ref="D170">Common_InputFunctions.Utility_DisplayArrayInTable(SourceData_PastureBeef.SourceData_PastureBeef_LiveweightGain_Data(), Table_SourceData_PastureBeef_LiveweightGain[[#Headers],[State]],0)</f>
        <v>Western Australia</v>
      </c>
      <c r="E170" s="37" t="str" cm="1">
        <f t="array" ref="E170">Common_InputFunctions.Utility_DisplayArrayInTable(SourceData_PastureBeef.SourceData_PastureBeef_LiveweightGain_Data(), Table_SourceData_PastureBeef_LiveweightGain[[#Headers],[State]],0)</f>
        <v>South West</v>
      </c>
      <c r="F170" s="37" t="str" cm="1">
        <f t="array" ref="F170">Common_InputFunctions.Utility_DisplayArrayInTable(SourceData_PastureBeef.SourceData_PastureBeef_LiveweightGain_Data(), Table_SourceData_PastureBeef_LiveweightGain[[#Headers],[State]],0)</f>
        <v>Summer</v>
      </c>
      <c r="G170" s="37" cm="1">
        <f t="array" ref="G170">Common_InputFunctions.Utility_DisplayArrayInTable(SourceData_PastureBeef.SourceData_PastureBeef_LiveweightGain_Data(), Table_SourceData_PastureBeef_LiveweightGain[[#Headers],[State]],0)</f>
        <v>0.44</v>
      </c>
      <c r="H170" s="37" cm="1">
        <f t="array" ref="H170">Common_InputFunctions.Utility_DisplayArrayInTable(SourceData_PastureBeef.SourceData_PastureBeef_LiveweightGain_Data(), Table_SourceData_PastureBeef_LiveweightGain[[#Headers],[State]],0)</f>
        <v>-0.22</v>
      </c>
      <c r="I170" s="37" cm="1">
        <f t="array" ref="I170">Common_InputFunctions.Utility_DisplayArrayInTable(SourceData_PastureBeef.SourceData_PastureBeef_LiveweightGain_Data(), Table_SourceData_PastureBeef_LiveweightGain[[#Headers],[State]],0)</f>
        <v>0.44</v>
      </c>
      <c r="J170" s="37" cm="1">
        <f t="array" ref="J170">Common_InputFunctions.Utility_DisplayArrayInTable(SourceData_PastureBeef.SourceData_PastureBeef_LiveweightGain_Data(), Table_SourceData_PastureBeef_LiveweightGain[[#Headers],[State]],0)</f>
        <v>0.33</v>
      </c>
      <c r="K170" s="37" cm="1">
        <f t="array" ref="K170">Common_InputFunctions.Utility_DisplayArrayInTable(SourceData_PastureBeef.SourceData_PastureBeef_LiveweightGain_Data(), Table_SourceData_PastureBeef_LiveweightGain[[#Headers],[State]],0)</f>
        <v>-0.22</v>
      </c>
      <c r="L170" s="37" cm="1">
        <f t="array" ref="L170">Common_InputFunctions.Utility_DisplayArrayInTable(SourceData_PastureBeef.SourceData_PastureBeef_LiveweightGain_Data(), Table_SourceData_PastureBeef_LiveweightGain[[#Headers],[State]],0)</f>
        <v>0.44</v>
      </c>
      <c r="M170" s="37" cm="1">
        <f t="array" ref="M170">Common_InputFunctions.Utility_DisplayArrayInTable(SourceData_PastureBeef.SourceData_PastureBeef_LiveweightGain_Data(), Table_SourceData_PastureBeef_LiveweightGain[[#Headers],[State]],0)</f>
        <v>-0.11</v>
      </c>
    </row>
    <row r="171" spans="4:13" x14ac:dyDescent="0.25">
      <c r="D171" s="1" t="str" cm="1">
        <f t="array" ref="D171">Common_InputFunctions.Utility_DisplayArrayInTable(SourceData_PastureBeef.SourceData_PastureBeef_LiveweightGain_Data(), Table_SourceData_PastureBeef_LiveweightGain[[#Headers],[State]],0)</f>
        <v>Western Australia</v>
      </c>
      <c r="E171" s="37" t="str" cm="1">
        <f t="array" ref="E171">Common_InputFunctions.Utility_DisplayArrayInTable(SourceData_PastureBeef.SourceData_PastureBeef_LiveweightGain_Data(), Table_SourceData_PastureBeef_LiveweightGain[[#Headers],[State]],0)</f>
        <v>South West</v>
      </c>
      <c r="F171" s="37" t="str" cm="1">
        <f t="array" ref="F171">Common_InputFunctions.Utility_DisplayArrayInTable(SourceData_PastureBeef.SourceData_PastureBeef_LiveweightGain_Data(), Table_SourceData_PastureBeef_LiveweightGain[[#Headers],[State]],0)</f>
        <v>Autumn</v>
      </c>
      <c r="G171" s="37" cm="1">
        <f t="array" ref="G171">Common_InputFunctions.Utility_DisplayArrayInTable(SourceData_PastureBeef.SourceData_PastureBeef_LiveweightGain_Data(), Table_SourceData_PastureBeef_LiveweightGain[[#Headers],[State]],0)</f>
        <v>0.6</v>
      </c>
      <c r="H171" s="37" cm="1">
        <f t="array" ref="H171">Common_InputFunctions.Utility_DisplayArrayInTable(SourceData_PastureBeef.SourceData_PastureBeef_LiveweightGain_Data(), Table_SourceData_PastureBeef_LiveweightGain[[#Headers],[State]],0)</f>
        <v>0</v>
      </c>
      <c r="I171" s="37" cm="1">
        <f t="array" ref="I171">Common_InputFunctions.Utility_DisplayArrayInTable(SourceData_PastureBeef.SourceData_PastureBeef_LiveweightGain_Data(), Table_SourceData_PastureBeef_LiveweightGain[[#Headers],[State]],0)</f>
        <v>0.6</v>
      </c>
      <c r="J171" s="37" cm="1">
        <f t="array" ref="J171">Common_InputFunctions.Utility_DisplayArrayInTable(SourceData_PastureBeef.SourceData_PastureBeef_LiveweightGain_Data(), Table_SourceData_PastureBeef_LiveweightGain[[#Headers],[State]],0)</f>
        <v>0.22</v>
      </c>
      <c r="K171" s="37" cm="1">
        <f t="array" ref="K171">Common_InputFunctions.Utility_DisplayArrayInTable(SourceData_PastureBeef.SourceData_PastureBeef_LiveweightGain_Data(), Table_SourceData_PastureBeef_LiveweightGain[[#Headers],[State]],0)</f>
        <v>-0.55000000000000004</v>
      </c>
      <c r="L171" s="37" cm="1">
        <f t="array" ref="L171">Common_InputFunctions.Utility_DisplayArrayInTable(SourceData_PastureBeef.SourceData_PastureBeef_LiveweightGain_Data(), Table_SourceData_PastureBeef_LiveweightGain[[#Headers],[State]],0)</f>
        <v>0.6</v>
      </c>
      <c r="M171" s="37" cm="1">
        <f t="array" ref="M171">Common_InputFunctions.Utility_DisplayArrayInTable(SourceData_PastureBeef.SourceData_PastureBeef_LiveweightGain_Data(), Table_SourceData_PastureBeef_LiveweightGain[[#Headers],[State]],0)</f>
        <v>0</v>
      </c>
    </row>
    <row r="172" spans="4:13" x14ac:dyDescent="0.25">
      <c r="D172" s="1" t="str" cm="1">
        <f t="array" ref="D172">Common_InputFunctions.Utility_DisplayArrayInTable(SourceData_PastureBeef.SourceData_PastureBeef_LiveweightGain_Data(), Table_SourceData_PastureBeef_LiveweightGain[[#Headers],[State]],0)</f>
        <v>Western Australia</v>
      </c>
      <c r="E172" s="37" t="str" cm="1">
        <f t="array" ref="E172">Common_InputFunctions.Utility_DisplayArrayInTable(SourceData_PastureBeef.SourceData_PastureBeef_LiveweightGain_Data(), Table_SourceData_PastureBeef_LiveweightGain[[#Headers],[State]],0)</f>
        <v>South West</v>
      </c>
      <c r="F172" s="37" t="str" cm="1">
        <f t="array" ref="F172">Common_InputFunctions.Utility_DisplayArrayInTable(SourceData_PastureBeef.SourceData_PastureBeef_LiveweightGain_Data(), Table_SourceData_PastureBeef_LiveweightGain[[#Headers],[State]],0)</f>
        <v>Winter</v>
      </c>
      <c r="G172" s="37" cm="1">
        <f t="array" ref="G172">Common_InputFunctions.Utility_DisplayArrayInTable(SourceData_PastureBeef.SourceData_PastureBeef_LiveweightGain_Data(), Table_SourceData_PastureBeef_LiveweightGain[[#Headers],[State]],0)</f>
        <v>0.99</v>
      </c>
      <c r="H172" s="37" cm="1">
        <f t="array" ref="H172">Common_InputFunctions.Utility_DisplayArrayInTable(SourceData_PastureBeef.SourceData_PastureBeef_LiveweightGain_Data(), Table_SourceData_PastureBeef_LiveweightGain[[#Headers],[State]],0)</f>
        <v>0.22</v>
      </c>
      <c r="I172" s="37" cm="1">
        <f t="array" ref="I172">Common_InputFunctions.Utility_DisplayArrayInTable(SourceData_PastureBeef.SourceData_PastureBeef_LiveweightGain_Data(), Table_SourceData_PastureBeef_LiveweightGain[[#Headers],[State]],0)</f>
        <v>0.77</v>
      </c>
      <c r="J172" s="37" cm="1">
        <f t="array" ref="J172">Common_InputFunctions.Utility_DisplayArrayInTable(SourceData_PastureBeef.SourceData_PastureBeef_LiveweightGain_Data(), Table_SourceData_PastureBeef_LiveweightGain[[#Headers],[State]],0)</f>
        <v>0.11</v>
      </c>
      <c r="K172" s="37" cm="1">
        <f t="array" ref="K172">Common_InputFunctions.Utility_DisplayArrayInTable(SourceData_PastureBeef.SourceData_PastureBeef_LiveweightGain_Data(), Table_SourceData_PastureBeef_LiveweightGain[[#Headers],[State]],0)</f>
        <v>0.11</v>
      </c>
      <c r="L172" s="37" cm="1">
        <f t="array" ref="L172">Common_InputFunctions.Utility_DisplayArrayInTable(SourceData_PastureBeef.SourceData_PastureBeef_LiveweightGain_Data(), Table_SourceData_PastureBeef_LiveweightGain[[#Headers],[State]],0)</f>
        <v>0.77</v>
      </c>
      <c r="M172" s="37" cm="1">
        <f t="array" ref="M172">Common_InputFunctions.Utility_DisplayArrayInTable(SourceData_PastureBeef.SourceData_PastureBeef_LiveweightGain_Data(), Table_SourceData_PastureBeef_LiveweightGain[[#Headers],[State]],0)</f>
        <v>0.44</v>
      </c>
    </row>
    <row r="173" spans="4:13" x14ac:dyDescent="0.25">
      <c r="D173" s="1" t="str" cm="1">
        <f t="array" ref="D173">Common_InputFunctions.Utility_DisplayArrayInTable(SourceData_PastureBeef.SourceData_PastureBeef_LiveweightGain_Data(), Table_SourceData_PastureBeef_LiveweightGain[[#Headers],[State]],0)</f>
        <v>Western Australia</v>
      </c>
      <c r="E173" s="37" t="str" cm="1">
        <f t="array" ref="E173">Common_InputFunctions.Utility_DisplayArrayInTable(SourceData_PastureBeef.SourceData_PastureBeef_LiveweightGain_Data(), Table_SourceData_PastureBeef_LiveweightGain[[#Headers],[State]],0)</f>
        <v>Pilbara</v>
      </c>
      <c r="F173" s="37" t="str" cm="1">
        <f t="array" ref="F173">Common_InputFunctions.Utility_DisplayArrayInTable(SourceData_PastureBeef.SourceData_PastureBeef_LiveweightGain_Data(), Table_SourceData_PastureBeef_LiveweightGain[[#Headers],[State]],0)</f>
        <v>Spring</v>
      </c>
      <c r="G173" s="37" cm="1">
        <f t="array" ref="G173">Common_InputFunctions.Utility_DisplayArrayInTable(SourceData_PastureBeef.SourceData_PastureBeef_LiveweightGain_Data(), Table_SourceData_PastureBeef_LiveweightGain[[#Headers],[State]],0)</f>
        <v>0.7</v>
      </c>
      <c r="H173" s="37" cm="1">
        <f t="array" ref="H173">Common_InputFunctions.Utility_DisplayArrayInTable(SourceData_PastureBeef.SourceData_PastureBeef_LiveweightGain_Data(), Table_SourceData_PastureBeef_LiveweightGain[[#Headers],[State]],0)</f>
        <v>-0.55000000000000004</v>
      </c>
      <c r="I173" s="37" cm="1">
        <f t="array" ref="I173">Common_InputFunctions.Utility_DisplayArrayInTable(SourceData_PastureBeef.SourceData_PastureBeef_LiveweightGain_Data(), Table_SourceData_PastureBeef_LiveweightGain[[#Headers],[State]],0)</f>
        <v>0.7</v>
      </c>
      <c r="J173" s="37" cm="1">
        <f t="array" ref="J173">Common_InputFunctions.Utility_DisplayArrayInTable(SourceData_PastureBeef.SourceData_PastureBeef_LiveweightGain_Data(), Table_SourceData_PastureBeef_LiveweightGain[[#Headers],[State]],0)</f>
        <v>0.22</v>
      </c>
      <c r="K173" s="37" cm="1">
        <f t="array" ref="K173">Common_InputFunctions.Utility_DisplayArrayInTable(SourceData_PastureBeef.SourceData_PastureBeef_LiveweightGain_Data(), Table_SourceData_PastureBeef_LiveweightGain[[#Headers],[State]],0)</f>
        <v>-0.22</v>
      </c>
      <c r="L173" s="37" cm="1">
        <f t="array" ref="L173">Common_InputFunctions.Utility_DisplayArrayInTable(SourceData_PastureBeef.SourceData_PastureBeef_LiveweightGain_Data(), Table_SourceData_PastureBeef_LiveweightGain[[#Headers],[State]],0)</f>
        <v>0.7</v>
      </c>
      <c r="M173" s="37" cm="1">
        <f t="array" ref="M173">Common_InputFunctions.Utility_DisplayArrayInTable(SourceData_PastureBeef.SourceData_PastureBeef_LiveweightGain_Data(), Table_SourceData_PastureBeef_LiveweightGain[[#Headers],[State]],0)</f>
        <v>-0.22</v>
      </c>
    </row>
    <row r="174" spans="4:13" x14ac:dyDescent="0.25">
      <c r="D174" s="1" t="str" cm="1">
        <f t="array" ref="D174">Common_InputFunctions.Utility_DisplayArrayInTable(SourceData_PastureBeef.SourceData_PastureBeef_LiveweightGain_Data(), Table_SourceData_PastureBeef_LiveweightGain[[#Headers],[State]],0)</f>
        <v>Western Australia</v>
      </c>
      <c r="E174" s="37" t="str" cm="1">
        <f t="array" ref="E174">Common_InputFunctions.Utility_DisplayArrayInTable(SourceData_PastureBeef.SourceData_PastureBeef_LiveweightGain_Data(), Table_SourceData_PastureBeef_LiveweightGain[[#Headers],[State]],0)</f>
        <v>Pilbara</v>
      </c>
      <c r="F174" s="37" t="str" cm="1">
        <f t="array" ref="F174">Common_InputFunctions.Utility_DisplayArrayInTable(SourceData_PastureBeef.SourceData_PastureBeef_LiveweightGain_Data(), Table_SourceData_PastureBeef_LiveweightGain[[#Headers],[State]],0)</f>
        <v>Summer</v>
      </c>
      <c r="G174" s="37" cm="1">
        <f t="array" ref="G174">Common_InputFunctions.Utility_DisplayArrayInTable(SourceData_PastureBeef.SourceData_PastureBeef_LiveweightGain_Data(), Table_SourceData_PastureBeef_LiveweightGain[[#Headers],[State]],0)</f>
        <v>0.77</v>
      </c>
      <c r="H174" s="37" cm="1">
        <f t="array" ref="H174">Common_InputFunctions.Utility_DisplayArrayInTable(SourceData_PastureBeef.SourceData_PastureBeef_LiveweightGain_Data(), Table_SourceData_PastureBeef_LiveweightGain[[#Headers],[State]],0)</f>
        <v>0.55000000000000004</v>
      </c>
      <c r="I174" s="37" cm="1">
        <f t="array" ref="I174">Common_InputFunctions.Utility_DisplayArrayInTable(SourceData_PastureBeef.SourceData_PastureBeef_LiveweightGain_Data(), Table_SourceData_PastureBeef_LiveweightGain[[#Headers],[State]],0)</f>
        <v>0.77</v>
      </c>
      <c r="J174" s="37" cm="1">
        <f t="array" ref="J174">Common_InputFunctions.Utility_DisplayArrayInTable(SourceData_PastureBeef.SourceData_PastureBeef_LiveweightGain_Data(), Table_SourceData_PastureBeef_LiveweightGain[[#Headers],[State]],0)</f>
        <v>0.66</v>
      </c>
      <c r="K174" s="37" cm="1">
        <f t="array" ref="K174">Common_InputFunctions.Utility_DisplayArrayInTable(SourceData_PastureBeef.SourceData_PastureBeef_LiveweightGain_Data(), Table_SourceData_PastureBeef_LiveweightGain[[#Headers],[State]],0)</f>
        <v>0.55000000000000004</v>
      </c>
      <c r="L174" s="37" cm="1">
        <f t="array" ref="L174">Common_InputFunctions.Utility_DisplayArrayInTable(SourceData_PastureBeef.SourceData_PastureBeef_LiveweightGain_Data(), Table_SourceData_PastureBeef_LiveweightGain[[#Headers],[State]],0)</f>
        <v>0.77</v>
      </c>
      <c r="M174" s="37" cm="1">
        <f t="array" ref="M174">Common_InputFunctions.Utility_DisplayArrayInTable(SourceData_PastureBeef.SourceData_PastureBeef_LiveweightGain_Data(), Table_SourceData_PastureBeef_LiveweightGain[[#Headers],[State]],0)</f>
        <v>0.33</v>
      </c>
    </row>
    <row r="175" spans="4:13" x14ac:dyDescent="0.25">
      <c r="D175" s="1" t="str" cm="1">
        <f t="array" ref="D175">Common_InputFunctions.Utility_DisplayArrayInTable(SourceData_PastureBeef.SourceData_PastureBeef_LiveweightGain_Data(), Table_SourceData_PastureBeef_LiveweightGain[[#Headers],[State]],0)</f>
        <v>Western Australia</v>
      </c>
      <c r="E175" s="37" t="str" cm="1">
        <f t="array" ref="E175">Common_InputFunctions.Utility_DisplayArrayInTable(SourceData_PastureBeef.SourceData_PastureBeef_LiveweightGain_Data(), Table_SourceData_PastureBeef_LiveweightGain[[#Headers],[State]],0)</f>
        <v>Pilbara</v>
      </c>
      <c r="F175" s="37" t="str" cm="1">
        <f t="array" ref="F175">Common_InputFunctions.Utility_DisplayArrayInTable(SourceData_PastureBeef.SourceData_PastureBeef_LiveweightGain_Data(), Table_SourceData_PastureBeef_LiveweightGain[[#Headers],[State]],0)</f>
        <v>Autumn</v>
      </c>
      <c r="G175" s="37" cm="1">
        <f t="array" ref="G175">Common_InputFunctions.Utility_DisplayArrayInTable(SourceData_PastureBeef.SourceData_PastureBeef_LiveweightGain_Data(), Table_SourceData_PastureBeef_LiveweightGain[[#Headers],[State]],0)</f>
        <v>0.88</v>
      </c>
      <c r="H175" s="37" cm="1">
        <f t="array" ref="H175">Common_InputFunctions.Utility_DisplayArrayInTable(SourceData_PastureBeef.SourceData_PastureBeef_LiveweightGain_Data(), Table_SourceData_PastureBeef_LiveweightGain[[#Headers],[State]],0)</f>
        <v>0.55000000000000004</v>
      </c>
      <c r="I175" s="37" cm="1">
        <f t="array" ref="I175">Common_InputFunctions.Utility_DisplayArrayInTable(SourceData_PastureBeef.SourceData_PastureBeef_LiveweightGain_Data(), Table_SourceData_PastureBeef_LiveweightGain[[#Headers],[State]],0)</f>
        <v>0.88</v>
      </c>
      <c r="J175" s="37" cm="1">
        <f t="array" ref="J175">Common_InputFunctions.Utility_DisplayArrayInTable(SourceData_PastureBeef.SourceData_PastureBeef_LiveweightGain_Data(), Table_SourceData_PastureBeef_LiveweightGain[[#Headers],[State]],0)</f>
        <v>0.22</v>
      </c>
      <c r="K175" s="37" cm="1">
        <f t="array" ref="K175">Common_InputFunctions.Utility_DisplayArrayInTable(SourceData_PastureBeef.SourceData_PastureBeef_LiveweightGain_Data(), Table_SourceData_PastureBeef_LiveweightGain[[#Headers],[State]],0)</f>
        <v>0.22</v>
      </c>
      <c r="L175" s="37" cm="1">
        <f t="array" ref="L175">Common_InputFunctions.Utility_DisplayArrayInTable(SourceData_PastureBeef.SourceData_PastureBeef_LiveweightGain_Data(), Table_SourceData_PastureBeef_LiveweightGain[[#Headers],[State]],0)</f>
        <v>0.88</v>
      </c>
      <c r="M175" s="37" cm="1">
        <f t="array" ref="M175">Common_InputFunctions.Utility_DisplayArrayInTable(SourceData_PastureBeef.SourceData_PastureBeef_LiveweightGain_Data(), Table_SourceData_PastureBeef_LiveweightGain[[#Headers],[State]],0)</f>
        <v>0.22</v>
      </c>
    </row>
    <row r="176" spans="4:13" x14ac:dyDescent="0.25">
      <c r="D176" s="1" t="str" cm="1">
        <f t="array" ref="D176">Common_InputFunctions.Utility_DisplayArrayInTable(SourceData_PastureBeef.SourceData_PastureBeef_LiveweightGain_Data(), Table_SourceData_PastureBeef_LiveweightGain[[#Headers],[State]],0)</f>
        <v>Western Australia</v>
      </c>
      <c r="E176" s="37" t="str" cm="1">
        <f t="array" ref="E176">Common_InputFunctions.Utility_DisplayArrayInTable(SourceData_PastureBeef.SourceData_PastureBeef_LiveweightGain_Data(), Table_SourceData_PastureBeef_LiveweightGain[[#Headers],[State]],0)</f>
        <v>Pilbara</v>
      </c>
      <c r="F176" s="37" t="str" cm="1">
        <f t="array" ref="F176">Common_InputFunctions.Utility_DisplayArrayInTable(SourceData_PastureBeef.SourceData_PastureBeef_LiveweightGain_Data(), Table_SourceData_PastureBeef_LiveweightGain[[#Headers],[State]],0)</f>
        <v>Winter</v>
      </c>
      <c r="G176" s="37" cm="1">
        <f t="array" ref="G176">Common_InputFunctions.Utility_DisplayArrayInTable(SourceData_PastureBeef.SourceData_PastureBeef_LiveweightGain_Data(), Table_SourceData_PastureBeef_LiveweightGain[[#Headers],[State]],0)</f>
        <v>0.22</v>
      </c>
      <c r="H176" s="37" cm="1">
        <f t="array" ref="H176">Common_InputFunctions.Utility_DisplayArrayInTable(SourceData_PastureBeef.SourceData_PastureBeef_LiveweightGain_Data(), Table_SourceData_PastureBeef_LiveweightGain[[#Headers],[State]],0)</f>
        <v>-0.55000000000000004</v>
      </c>
      <c r="I176" s="37" cm="1">
        <f t="array" ref="I176">Common_InputFunctions.Utility_DisplayArrayInTable(SourceData_PastureBeef.SourceData_PastureBeef_LiveweightGain_Data(), Table_SourceData_PastureBeef_LiveweightGain[[#Headers],[State]],0)</f>
        <v>0.22</v>
      </c>
      <c r="J176" s="37" cm="1">
        <f t="array" ref="J176">Common_InputFunctions.Utility_DisplayArrayInTable(SourceData_PastureBeef.SourceData_PastureBeef_LiveweightGain_Data(), Table_SourceData_PastureBeef_LiveweightGain[[#Headers],[State]],0)</f>
        <v>0.11</v>
      </c>
      <c r="K176" s="37" cm="1">
        <f t="array" ref="K176">Common_InputFunctions.Utility_DisplayArrayInTable(SourceData_PastureBeef.SourceData_PastureBeef_LiveweightGain_Data(), Table_SourceData_PastureBeef_LiveweightGain[[#Headers],[State]],0)</f>
        <v>-0.22</v>
      </c>
      <c r="L176" s="37" cm="1">
        <f t="array" ref="L176">Common_InputFunctions.Utility_DisplayArrayInTable(SourceData_PastureBeef.SourceData_PastureBeef_LiveweightGain_Data(), Table_SourceData_PastureBeef_LiveweightGain[[#Headers],[State]],0)</f>
        <v>0.22</v>
      </c>
      <c r="M176" s="37" cm="1">
        <f t="array" ref="M176">Common_InputFunctions.Utility_DisplayArrayInTable(SourceData_PastureBeef.SourceData_PastureBeef_LiveweightGain_Data(), Table_SourceData_PastureBeef_LiveweightGain[[#Headers],[State]],0)</f>
        <v>-0.33</v>
      </c>
    </row>
    <row r="177" spans="4:16" x14ac:dyDescent="0.25">
      <c r="D177" s="1" t="str" cm="1">
        <f t="array" ref="D177">Common_InputFunctions.Utility_DisplayArrayInTable(SourceData_PastureBeef.SourceData_PastureBeef_LiveweightGain_Data(), Table_SourceData_PastureBeef_LiveweightGain[[#Headers],[State]],0)</f>
        <v>Western Australia</v>
      </c>
      <c r="E177" s="37" t="str" cm="1">
        <f t="array" ref="E177">Common_InputFunctions.Utility_DisplayArrayInTable(SourceData_PastureBeef.SourceData_PastureBeef_LiveweightGain_Data(), Table_SourceData_PastureBeef_LiveweightGain[[#Headers],[State]],0)</f>
        <v>Kimberley</v>
      </c>
      <c r="F177" s="37" t="str" cm="1">
        <f t="array" ref="F177">Common_InputFunctions.Utility_DisplayArrayInTable(SourceData_PastureBeef.SourceData_PastureBeef_LiveweightGain_Data(), Table_SourceData_PastureBeef_LiveweightGain[[#Headers],[State]],0)</f>
        <v>Spring</v>
      </c>
      <c r="G177" s="37" cm="1">
        <f t="array" ref="G177">Common_InputFunctions.Utility_DisplayArrayInTable(SourceData_PastureBeef.SourceData_PastureBeef_LiveweightGain_Data(), Table_SourceData_PastureBeef_LiveweightGain[[#Headers],[State]],0)</f>
        <v>0.22</v>
      </c>
      <c r="H177" s="37" cm="1">
        <f t="array" ref="H177">Common_InputFunctions.Utility_DisplayArrayInTable(SourceData_PastureBeef.SourceData_PastureBeef_LiveweightGain_Data(), Table_SourceData_PastureBeef_LiveweightGain[[#Headers],[State]],0)</f>
        <v>-0.55000000000000004</v>
      </c>
      <c r="I177" s="37" cm="1">
        <f t="array" ref="I177">Common_InputFunctions.Utility_DisplayArrayInTable(SourceData_PastureBeef.SourceData_PastureBeef_LiveweightGain_Data(), Table_SourceData_PastureBeef_LiveweightGain[[#Headers],[State]],0)</f>
        <v>0.33</v>
      </c>
      <c r="J177" s="37" cm="1">
        <f t="array" ref="J177">Common_InputFunctions.Utility_DisplayArrayInTable(SourceData_PastureBeef.SourceData_PastureBeef_LiveweightGain_Data(), Table_SourceData_PastureBeef_LiveweightGain[[#Headers],[State]],0)</f>
        <v>0.22</v>
      </c>
      <c r="K177" s="37" cm="1">
        <f t="array" ref="K177">Common_InputFunctions.Utility_DisplayArrayInTable(SourceData_PastureBeef.SourceData_PastureBeef_LiveweightGain_Data(), Table_SourceData_PastureBeef_LiveweightGain[[#Headers],[State]],0)</f>
        <v>-0.33</v>
      </c>
      <c r="L177" s="37" cm="1">
        <f t="array" ref="L177">Common_InputFunctions.Utility_DisplayArrayInTable(SourceData_PastureBeef.SourceData_PastureBeef_LiveweightGain_Data(), Table_SourceData_PastureBeef_LiveweightGain[[#Headers],[State]],0)</f>
        <v>0.22</v>
      </c>
      <c r="M177" s="37" cm="1">
        <f t="array" ref="M177">Common_InputFunctions.Utility_DisplayArrayInTable(SourceData_PastureBeef.SourceData_PastureBeef_LiveweightGain_Data(), Table_SourceData_PastureBeef_LiveweightGain[[#Headers],[State]],0)</f>
        <v>-0.55000000000000004</v>
      </c>
    </row>
    <row r="178" spans="4:16" x14ac:dyDescent="0.25">
      <c r="D178" s="1" t="str" cm="1">
        <f t="array" ref="D178">Common_InputFunctions.Utility_DisplayArrayInTable(SourceData_PastureBeef.SourceData_PastureBeef_LiveweightGain_Data(), Table_SourceData_PastureBeef_LiveweightGain[[#Headers],[State]],0)</f>
        <v>Western Australia</v>
      </c>
      <c r="E178" s="37" t="str" cm="1">
        <f t="array" ref="E178">Common_InputFunctions.Utility_DisplayArrayInTable(SourceData_PastureBeef.SourceData_PastureBeef_LiveweightGain_Data(), Table_SourceData_PastureBeef_LiveweightGain[[#Headers],[State]],0)</f>
        <v>Kimberley</v>
      </c>
      <c r="F178" s="37" t="str" cm="1">
        <f t="array" ref="F178">Common_InputFunctions.Utility_DisplayArrayInTable(SourceData_PastureBeef.SourceData_PastureBeef_LiveweightGain_Data(), Table_SourceData_PastureBeef_LiveweightGain[[#Headers],[State]],0)</f>
        <v>Summer</v>
      </c>
      <c r="G178" s="37" cm="1">
        <f t="array" ref="G178">Common_InputFunctions.Utility_DisplayArrayInTable(SourceData_PastureBeef.SourceData_PastureBeef_LiveweightGain_Data(), Table_SourceData_PastureBeef_LiveweightGain[[#Headers],[State]],0)</f>
        <v>0.8</v>
      </c>
      <c r="H178" s="37" cm="1">
        <f t="array" ref="H178">Common_InputFunctions.Utility_DisplayArrayInTable(SourceData_PastureBeef.SourceData_PastureBeef_LiveweightGain_Data(), Table_SourceData_PastureBeef_LiveweightGain[[#Headers],[State]],0)</f>
        <v>0.55000000000000004</v>
      </c>
      <c r="I178" s="37" cm="1">
        <f t="array" ref="I178">Common_InputFunctions.Utility_DisplayArrayInTable(SourceData_PastureBeef.SourceData_PastureBeef_LiveweightGain_Data(), Table_SourceData_PastureBeef_LiveweightGain[[#Headers],[State]],0)</f>
        <v>0.7</v>
      </c>
      <c r="J178" s="37" cm="1">
        <f t="array" ref="J178">Common_InputFunctions.Utility_DisplayArrayInTable(SourceData_PastureBeef.SourceData_PastureBeef_LiveweightGain_Data(), Table_SourceData_PastureBeef_LiveweightGain[[#Headers],[State]],0)</f>
        <v>0.44</v>
      </c>
      <c r="K178" s="37" cm="1">
        <f t="array" ref="K178">Common_InputFunctions.Utility_DisplayArrayInTable(SourceData_PastureBeef.SourceData_PastureBeef_LiveweightGain_Data(), Table_SourceData_PastureBeef_LiveweightGain[[#Headers],[State]],0)</f>
        <v>0.66</v>
      </c>
      <c r="L178" s="37" cm="1">
        <f t="array" ref="L178">Common_InputFunctions.Utility_DisplayArrayInTable(SourceData_PastureBeef.SourceData_PastureBeef_LiveweightGain_Data(), Table_SourceData_PastureBeef_LiveweightGain[[#Headers],[State]],0)</f>
        <v>0.8</v>
      </c>
      <c r="M178" s="37" cm="1">
        <f t="array" ref="M178">Common_InputFunctions.Utility_DisplayArrayInTable(SourceData_PastureBeef.SourceData_PastureBeef_LiveweightGain_Data(), Table_SourceData_PastureBeef_LiveweightGain[[#Headers],[State]],0)</f>
        <v>0.55000000000000004</v>
      </c>
    </row>
    <row r="179" spans="4:16" x14ac:dyDescent="0.25">
      <c r="D179" s="1" t="str" cm="1">
        <f t="array" ref="D179">Common_InputFunctions.Utility_DisplayArrayInTable(SourceData_PastureBeef.SourceData_PastureBeef_LiveweightGain_Data(), Table_SourceData_PastureBeef_LiveweightGain[[#Headers],[State]],0)</f>
        <v>Western Australia</v>
      </c>
      <c r="E179" s="37" t="str" cm="1">
        <f t="array" ref="E179">Common_InputFunctions.Utility_DisplayArrayInTable(SourceData_PastureBeef.SourceData_PastureBeef_LiveweightGain_Data(), Table_SourceData_PastureBeef_LiveweightGain[[#Headers],[State]],0)</f>
        <v>Kimberley</v>
      </c>
      <c r="F179" s="37" t="str" cm="1">
        <f t="array" ref="F179">Common_InputFunctions.Utility_DisplayArrayInTable(SourceData_PastureBeef.SourceData_PastureBeef_LiveweightGain_Data(), Table_SourceData_PastureBeef_LiveweightGain[[#Headers],[State]],0)</f>
        <v>Autumn</v>
      </c>
      <c r="G179" s="37" cm="1">
        <f t="array" ref="G179">Common_InputFunctions.Utility_DisplayArrayInTable(SourceData_PastureBeef.SourceData_PastureBeef_LiveweightGain_Data(), Table_SourceData_PastureBeef_LiveweightGain[[#Headers],[State]],0)</f>
        <v>0.66</v>
      </c>
      <c r="H179" s="37" cm="1">
        <f t="array" ref="H179">Common_InputFunctions.Utility_DisplayArrayInTable(SourceData_PastureBeef.SourceData_PastureBeef_LiveweightGain_Data(), Table_SourceData_PastureBeef_LiveweightGain[[#Headers],[State]],0)</f>
        <v>0.55000000000000004</v>
      </c>
      <c r="I179" s="37" cm="1">
        <f t="array" ref="I179">Common_InputFunctions.Utility_DisplayArrayInTable(SourceData_PastureBeef.SourceData_PastureBeef_LiveweightGain_Data(), Table_SourceData_PastureBeef_LiveweightGain[[#Headers],[State]],0)</f>
        <v>0.55000000000000004</v>
      </c>
      <c r="J179" s="37" cm="1">
        <f t="array" ref="J179">Common_InputFunctions.Utility_DisplayArrayInTable(SourceData_PastureBeef.SourceData_PastureBeef_LiveweightGain_Data(), Table_SourceData_PastureBeef_LiveweightGain[[#Headers],[State]],0)</f>
        <v>0.55000000000000004</v>
      </c>
      <c r="K179" s="37" cm="1">
        <f t="array" ref="K179">Common_InputFunctions.Utility_DisplayArrayInTable(SourceData_PastureBeef.SourceData_PastureBeef_LiveweightGain_Data(), Table_SourceData_PastureBeef_LiveweightGain[[#Headers],[State]],0)</f>
        <v>0.11</v>
      </c>
      <c r="L179" s="37" cm="1">
        <f t="array" ref="L179">Common_InputFunctions.Utility_DisplayArrayInTable(SourceData_PastureBeef.SourceData_PastureBeef_LiveweightGain_Data(), Table_SourceData_PastureBeef_LiveweightGain[[#Headers],[State]],0)</f>
        <v>0.66</v>
      </c>
      <c r="M179" s="37" cm="1">
        <f t="array" ref="M179">Common_InputFunctions.Utility_DisplayArrayInTable(SourceData_PastureBeef.SourceData_PastureBeef_LiveweightGain_Data(), Table_SourceData_PastureBeef_LiveweightGain[[#Headers],[State]],0)</f>
        <v>0.55000000000000004</v>
      </c>
    </row>
    <row r="180" spans="4:16" x14ac:dyDescent="0.25">
      <c r="D180" s="1" t="str" cm="1">
        <f t="array" ref="D180">Common_InputFunctions.Utility_DisplayArrayInTable(SourceData_PastureBeef.SourceData_PastureBeef_LiveweightGain_Data(), Table_SourceData_PastureBeef_LiveweightGain[[#Headers],[State]],0)</f>
        <v>Western Australia</v>
      </c>
      <c r="E180" s="37" t="str" cm="1">
        <f t="array" ref="E180">Common_InputFunctions.Utility_DisplayArrayInTable(SourceData_PastureBeef.SourceData_PastureBeef_LiveweightGain_Data(), Table_SourceData_PastureBeef_LiveweightGain[[#Headers],[State]],0)</f>
        <v>Kimberley</v>
      </c>
      <c r="F180" s="37" t="str" cm="1">
        <f t="array" ref="F180">Common_InputFunctions.Utility_DisplayArrayInTable(SourceData_PastureBeef.SourceData_PastureBeef_LiveweightGain_Data(), Table_SourceData_PastureBeef_LiveweightGain[[#Headers],[State]],0)</f>
        <v>Winter</v>
      </c>
      <c r="G180" s="37" cm="1">
        <f t="array" ref="G180">Common_InputFunctions.Utility_DisplayArrayInTable(SourceData_PastureBeef.SourceData_PastureBeef_LiveweightGain_Data(), Table_SourceData_PastureBeef_LiveweightGain[[#Headers],[State]],0)</f>
        <v>0.33</v>
      </c>
      <c r="H180" s="37" cm="1">
        <f t="array" ref="H180">Common_InputFunctions.Utility_DisplayArrayInTable(SourceData_PastureBeef.SourceData_PastureBeef_LiveweightGain_Data(), Table_SourceData_PastureBeef_LiveweightGain[[#Headers],[State]],0)</f>
        <v>-0.55000000000000004</v>
      </c>
      <c r="I180" s="37" cm="1">
        <f t="array" ref="I180">Common_InputFunctions.Utility_DisplayArrayInTable(SourceData_PastureBeef.SourceData_PastureBeef_LiveweightGain_Data(), Table_SourceData_PastureBeef_LiveweightGain[[#Headers],[State]],0)</f>
        <v>0.11</v>
      </c>
      <c r="J180" s="37" cm="1">
        <f t="array" ref="J180">Common_InputFunctions.Utility_DisplayArrayInTable(SourceData_PastureBeef.SourceData_PastureBeef_LiveweightGain_Data(), Table_SourceData_PastureBeef_LiveweightGain[[#Headers],[State]],0)</f>
        <v>0.11</v>
      </c>
      <c r="K180" s="37" cm="1">
        <f t="array" ref="K180">Common_InputFunctions.Utility_DisplayArrayInTable(SourceData_PastureBeef.SourceData_PastureBeef_LiveweightGain_Data(), Table_SourceData_PastureBeef_LiveweightGain[[#Headers],[State]],0)</f>
        <v>-0.44</v>
      </c>
      <c r="L180" s="37" cm="1">
        <f t="array" ref="L180">Common_InputFunctions.Utility_DisplayArrayInTable(SourceData_PastureBeef.SourceData_PastureBeef_LiveweightGain_Data(), Table_SourceData_PastureBeef_LiveweightGain[[#Headers],[State]],0)</f>
        <v>0.33</v>
      </c>
      <c r="M180" s="37" cm="1">
        <f t="array" ref="M180">Common_InputFunctions.Utility_DisplayArrayInTable(SourceData_PastureBeef.SourceData_PastureBeef_LiveweightGain_Data(), Table_SourceData_PastureBeef_LiveweightGain[[#Headers],[State]],0)</f>
        <v>-0.55000000000000004</v>
      </c>
    </row>
    <row r="181" spans="4:16" x14ac:dyDescent="0.25">
      <c r="M181" s="1"/>
    </row>
    <row r="182" spans="4:16" x14ac:dyDescent="0.25">
      <c r="M182" s="1"/>
    </row>
    <row r="183" spans="4:16" ht="23.25" x14ac:dyDescent="0.25">
      <c r="D183" s="6" t="str" cm="1">
        <f t="array" ref="D183">SourceData_PastureBeef.SourceData_PastureBeef_LiveweightGainNTQLD_Title()</f>
        <v>Beef pasture cattle - Liveweight gain (kg) (LWGjkl) for NT and QLD</v>
      </c>
      <c r="M183" s="1"/>
    </row>
    <row r="184" spans="4:16" x14ac:dyDescent="0.25">
      <c r="D184" s="5" t="str" cm="1">
        <f t="array" ref="D184">SourceData_PastureBeef.SourceData_PastureBeef_LiveweightGainNTQLD_Source()</f>
        <v>VEERG 2026: Table A.1.2.4</v>
      </c>
      <c r="M184" s="1"/>
    </row>
    <row r="185" spans="4:16" x14ac:dyDescent="0.25">
      <c r="D185" s="1" t="str" cm="1">
        <f t="array" ref="D185">SourceData_PastureBeef.SourceData_PastureBeef_LiveweightGainNTQLD_Variable()</f>
        <v>LWGjkl</v>
      </c>
      <c r="M185" s="1"/>
    </row>
    <row r="186" spans="4:16" x14ac:dyDescent="0.25">
      <c r="D186" s="54" t="str" cm="1">
        <f t="array" ref="D186">SourceData_PastureBeef.SourceData_PastureBeef_LiveweightGainNTQLD_Unit()</f>
        <v>kg</v>
      </c>
      <c r="M186" s="1"/>
    </row>
    <row r="187" spans="4:16" x14ac:dyDescent="0.25">
      <c r="D187" s="37" t="s">
        <v>8</v>
      </c>
      <c r="E187" s="37" t="s">
        <v>183</v>
      </c>
      <c r="F187" s="37" t="s">
        <v>184</v>
      </c>
      <c r="G187" s="37" t="s">
        <v>203</v>
      </c>
      <c r="H187" s="37" t="s">
        <v>192</v>
      </c>
      <c r="I187" s="37" t="s">
        <v>224</v>
      </c>
      <c r="J187" s="37" t="s">
        <v>188</v>
      </c>
      <c r="K187" s="37" t="s">
        <v>227</v>
      </c>
      <c r="L187" s="37" t="s">
        <v>228</v>
      </c>
      <c r="M187" s="37" t="s">
        <v>197</v>
      </c>
      <c r="N187" s="37" t="s">
        <v>198</v>
      </c>
      <c r="O187" s="37" t="s">
        <v>199</v>
      </c>
      <c r="P187" s="37" t="s">
        <v>200</v>
      </c>
    </row>
    <row r="188" spans="4:16" x14ac:dyDescent="0.25">
      <c r="D188" s="37" t="str" cm="1">
        <f t="array" ref="D188">Common_InputFunctions.Utility_DisplayArrayInTable(SourceData_PastureBeef.SourceData_PastureBeef_LiveweightGainNTQLD_Data(),Table_SourceData_PastureBeef_LiveweightGainNTQLD[[#Headers],[State]],0)</f>
        <v>Northern Territory</v>
      </c>
      <c r="E188" s="37" t="str" cm="1">
        <f t="array" ref="E188">Common_InputFunctions.Utility_DisplayArrayInTable(SourceData_PastureBeef.SourceData_PastureBeef_LiveweightGainNTQLD_Data(),Table_SourceData_PastureBeef_LiveweightGainNTQLD[[#Headers],[State]],0)</f>
        <v>Alice Springs</v>
      </c>
      <c r="F188" s="37" t="str" cm="1">
        <f t="array" ref="F188">Common_InputFunctions.Utility_DisplayArrayInTable(SourceData_PastureBeef.SourceData_PastureBeef_LiveweightGainNTQLD_Data(),Table_SourceData_PastureBeef_LiveweightGainNTQLD[[#Headers],[State]],0)</f>
        <v>Spring</v>
      </c>
      <c r="G188" s="37" cm="1">
        <f t="array" ref="G188">Common_InputFunctions.Utility_DisplayArrayInTable(SourceData_PastureBeef.SourceData_PastureBeef_LiveweightGainNTQLD_Data(),Table_SourceData_PastureBeef_LiveweightGainNTQLD[[#Headers],[State]],0)</f>
        <v>0.22</v>
      </c>
      <c r="H188" s="37" cm="1">
        <f t="array" ref="H188">Common_InputFunctions.Utility_DisplayArrayInTable(SourceData_PastureBeef.SourceData_PastureBeef_LiveweightGainNTQLD_Data(),Table_SourceData_PastureBeef_LiveweightGainNTQLD[[#Headers],[State]],0)</f>
        <v>-0.23</v>
      </c>
      <c r="I188" s="37" cm="1">
        <f t="array" ref="I188">Common_InputFunctions.Utility_DisplayArrayInTable(SourceData_PastureBeef.SourceData_PastureBeef_LiveweightGainNTQLD_Data(),Table_SourceData_PastureBeef_LiveweightGainNTQLD[[#Headers],[State]],0)</f>
        <v>0.25</v>
      </c>
      <c r="J188" s="37" cm="1">
        <f t="array" ref="J188">Common_InputFunctions.Utility_DisplayArrayInTable(SourceData_PastureBeef.SourceData_PastureBeef_LiveweightGainNTQLD_Data(),Table_SourceData_PastureBeef_LiveweightGainNTQLD[[#Headers],[State]],0)</f>
        <v>0.17</v>
      </c>
      <c r="K188" s="37" cm="1">
        <f t="array" ref="K188">Common_InputFunctions.Utility_DisplayArrayInTable(SourceData_PastureBeef.SourceData_PastureBeef_LiveweightGainNTQLD_Data(),Table_SourceData_PastureBeef_LiveweightGainNTQLD[[#Headers],[State]],0)</f>
        <v>0.18</v>
      </c>
      <c r="L188" s="37" cm="1">
        <f t="array" ref="L188">Common_InputFunctions.Utility_DisplayArrayInTable(SourceData_PastureBeef.SourceData_PastureBeef_LiveweightGainNTQLD_Data(),Table_SourceData_PastureBeef_LiveweightGainNTQLD[[#Headers],[State]],0)</f>
        <v>-0.28000000000000003</v>
      </c>
      <c r="M188" s="37" cm="1">
        <f t="array" ref="M188">Common_InputFunctions.Utility_DisplayArrayInTable(SourceData_PastureBeef.SourceData_PastureBeef_LiveweightGainNTQLD_Data(),Table_SourceData_PastureBeef_LiveweightGainNTQLD[[#Headers],[State]],0)</f>
        <v>0.32</v>
      </c>
      <c r="N188" s="37" cm="1">
        <f t="array" ref="N188">Common_InputFunctions.Utility_DisplayArrayInTable(SourceData_PastureBeef.SourceData_PastureBeef_LiveweightGainNTQLD_Data(),Table_SourceData_PastureBeef_LiveweightGainNTQLD[[#Headers],[State]],0)</f>
        <v>0.24</v>
      </c>
      <c r="O188" s="37" cm="1">
        <f t="array" ref="O188">Common_InputFunctions.Utility_DisplayArrayInTable(SourceData_PastureBeef.SourceData_PastureBeef_LiveweightGainNTQLD_Data(),Table_SourceData_PastureBeef_LiveweightGainNTQLD[[#Headers],[State]],0)</f>
        <v>0.25</v>
      </c>
      <c r="P188" s="37" cm="1">
        <f t="array" ref="P188">Common_InputFunctions.Utility_DisplayArrayInTable(SourceData_PastureBeef.SourceData_PastureBeef_LiveweightGainNTQLD_Data(),Table_SourceData_PastureBeef_LiveweightGainNTQLD[[#Headers],[State]],0)</f>
        <v>-0.05</v>
      </c>
    </row>
    <row r="189" spans="4:16" x14ac:dyDescent="0.25">
      <c r="D189" s="1" t="str" cm="1">
        <f t="array" ref="D189">Common_InputFunctions.Utility_DisplayArrayInTable(SourceData_PastureBeef.SourceData_PastureBeef_LiveweightGainNTQLD_Data(),Table_SourceData_PastureBeef_LiveweightGainNTQLD[[#Headers],[State]],0)</f>
        <v>Northern Territory</v>
      </c>
      <c r="E189" s="37" t="str" cm="1">
        <f t="array" ref="E189">Common_InputFunctions.Utility_DisplayArrayInTable(SourceData_PastureBeef.SourceData_PastureBeef_LiveweightGainNTQLD_Data(),Table_SourceData_PastureBeef_LiveweightGainNTQLD[[#Headers],[State]],0)</f>
        <v>Alice Springs</v>
      </c>
      <c r="F189" s="37" t="str" cm="1">
        <f t="array" ref="F189">Common_InputFunctions.Utility_DisplayArrayInTable(SourceData_PastureBeef.SourceData_PastureBeef_LiveweightGainNTQLD_Data(),Table_SourceData_PastureBeef_LiveweightGainNTQLD[[#Headers],[State]],0)</f>
        <v>Summer</v>
      </c>
      <c r="G189" s="37" cm="1">
        <f t="array" ref="G189">Common_InputFunctions.Utility_DisplayArrayInTable(SourceData_PastureBeef.SourceData_PastureBeef_LiveweightGainNTQLD_Data(),Table_SourceData_PastureBeef_LiveweightGainNTQLD[[#Headers],[State]],0)</f>
        <v>0.66</v>
      </c>
      <c r="H189" s="37" cm="1">
        <f t="array" ref="H189">Common_InputFunctions.Utility_DisplayArrayInTable(SourceData_PastureBeef.SourceData_PastureBeef_LiveweightGainNTQLD_Data(),Table_SourceData_PastureBeef_LiveweightGainNTQLD[[#Headers],[State]],0)</f>
        <v>0.2</v>
      </c>
      <c r="I189" s="37" cm="1">
        <f t="array" ref="I189">Common_InputFunctions.Utility_DisplayArrayInTable(SourceData_PastureBeef.SourceData_PastureBeef_LiveweightGainNTQLD_Data(),Table_SourceData_PastureBeef_LiveweightGainNTQLD[[#Headers],[State]],0)</f>
        <v>0.62</v>
      </c>
      <c r="J189" s="37" cm="1">
        <f t="array" ref="J189">Common_InputFunctions.Utility_DisplayArrayInTable(SourceData_PastureBeef.SourceData_PastureBeef_LiveweightGainNTQLD_Data(),Table_SourceData_PastureBeef_LiveweightGainNTQLD[[#Headers],[State]],0)</f>
        <v>0.54</v>
      </c>
      <c r="K189" s="37" cm="1">
        <f t="array" ref="K189">Common_InputFunctions.Utility_DisplayArrayInTable(SourceData_PastureBeef.SourceData_PastureBeef_LiveweightGainNTQLD_Data(),Table_SourceData_PastureBeef_LiveweightGainNTQLD[[#Headers],[State]],0)</f>
        <v>0.38</v>
      </c>
      <c r="L189" s="37" cm="1">
        <f t="array" ref="L189">Common_InputFunctions.Utility_DisplayArrayInTable(SourceData_PastureBeef.SourceData_PastureBeef_LiveweightGainNTQLD_Data(),Table_SourceData_PastureBeef_LiveweightGainNTQLD[[#Headers],[State]],0)</f>
        <v>0.27</v>
      </c>
      <c r="M189" s="37" cm="1">
        <f t="array" ref="M189">Common_InputFunctions.Utility_DisplayArrayInTable(SourceData_PastureBeef.SourceData_PastureBeef_LiveweightGainNTQLD_Data(),Table_SourceData_PastureBeef_LiveweightGainNTQLD[[#Headers],[State]],0)</f>
        <v>0.75</v>
      </c>
      <c r="N189" s="37" cm="1">
        <f t="array" ref="N189">Common_InputFunctions.Utility_DisplayArrayInTable(SourceData_PastureBeef.SourceData_PastureBeef_LiveweightGainNTQLD_Data(),Table_SourceData_PastureBeef_LiveweightGainNTQLD[[#Headers],[State]],0)</f>
        <v>0.64</v>
      </c>
      <c r="O189" s="37" cm="1">
        <f t="array" ref="O189">Common_InputFunctions.Utility_DisplayArrayInTable(SourceData_PastureBeef.SourceData_PastureBeef_LiveweightGainNTQLD_Data(),Table_SourceData_PastureBeef_LiveweightGainNTQLD[[#Headers],[State]],0)</f>
        <v>0.55000000000000004</v>
      </c>
      <c r="P189" s="37" cm="1">
        <f t="array" ref="P189">Common_InputFunctions.Utility_DisplayArrayInTable(SourceData_PastureBeef.SourceData_PastureBeef_LiveweightGainNTQLD_Data(),Table_SourceData_PastureBeef_LiveweightGainNTQLD[[#Headers],[State]],0)</f>
        <v>0.48</v>
      </c>
    </row>
    <row r="190" spans="4:16" x14ac:dyDescent="0.25">
      <c r="D190" s="1" t="str" cm="1">
        <f t="array" ref="D190">Common_InputFunctions.Utility_DisplayArrayInTable(SourceData_PastureBeef.SourceData_PastureBeef_LiveweightGainNTQLD_Data(),Table_SourceData_PastureBeef_LiveweightGainNTQLD[[#Headers],[State]],0)</f>
        <v>Northern Territory</v>
      </c>
      <c r="E190" s="37" t="str" cm="1">
        <f t="array" ref="E190">Common_InputFunctions.Utility_DisplayArrayInTable(SourceData_PastureBeef.SourceData_PastureBeef_LiveweightGainNTQLD_Data(),Table_SourceData_PastureBeef_LiveweightGainNTQLD[[#Headers],[State]],0)</f>
        <v>Alice Springs</v>
      </c>
      <c r="F190" s="37" t="str" cm="1">
        <f t="array" ref="F190">Common_InputFunctions.Utility_DisplayArrayInTable(SourceData_PastureBeef.SourceData_PastureBeef_LiveweightGainNTQLD_Data(),Table_SourceData_PastureBeef_LiveweightGainNTQLD[[#Headers],[State]],0)</f>
        <v>Autumn</v>
      </c>
      <c r="G190" s="37" cm="1">
        <f t="array" ref="G190">Common_InputFunctions.Utility_DisplayArrayInTable(SourceData_PastureBeef.SourceData_PastureBeef_LiveweightGainNTQLD_Data(),Table_SourceData_PastureBeef_LiveweightGainNTQLD[[#Headers],[State]],0)</f>
        <v>0.49</v>
      </c>
      <c r="H190" s="37" cm="1">
        <f t="array" ref="H190">Common_InputFunctions.Utility_DisplayArrayInTable(SourceData_PastureBeef.SourceData_PastureBeef_LiveweightGainNTQLD_Data(),Table_SourceData_PastureBeef_LiveweightGainNTQLD[[#Headers],[State]],0)</f>
        <v>0.13</v>
      </c>
      <c r="I190" s="37" cm="1">
        <f t="array" ref="I190">Common_InputFunctions.Utility_DisplayArrayInTable(SourceData_PastureBeef.SourceData_PastureBeef_LiveweightGainNTQLD_Data(),Table_SourceData_PastureBeef_LiveweightGainNTQLD[[#Headers],[State]],0)</f>
        <v>0.54</v>
      </c>
      <c r="J190" s="37" cm="1">
        <f t="array" ref="J190">Common_InputFunctions.Utility_DisplayArrayInTable(SourceData_PastureBeef.SourceData_PastureBeef_LiveweightGainNTQLD_Data(),Table_SourceData_PastureBeef_LiveweightGainNTQLD[[#Headers],[State]],0)</f>
        <v>0.45</v>
      </c>
      <c r="K190" s="37" cm="1">
        <f t="array" ref="K190">Common_InputFunctions.Utility_DisplayArrayInTable(SourceData_PastureBeef.SourceData_PastureBeef_LiveweightGainNTQLD_Data(),Table_SourceData_PastureBeef_LiveweightGainNTQLD[[#Headers],[State]],0)</f>
        <v>0.35</v>
      </c>
      <c r="L190" s="37" cm="1">
        <f t="array" ref="L190">Common_InputFunctions.Utility_DisplayArrayInTable(SourceData_PastureBeef.SourceData_PastureBeef_LiveweightGainNTQLD_Data(),Table_SourceData_PastureBeef_LiveweightGainNTQLD[[#Headers],[State]],0)</f>
        <v>0.15</v>
      </c>
      <c r="M190" s="37" cm="1">
        <f t="array" ref="M190">Common_InputFunctions.Utility_DisplayArrayInTable(SourceData_PastureBeef.SourceData_PastureBeef_LiveweightGainNTQLD_Data(),Table_SourceData_PastureBeef_LiveweightGainNTQLD[[#Headers],[State]],0)</f>
        <v>0.63</v>
      </c>
      <c r="N190" s="37" cm="1">
        <f t="array" ref="N190">Common_InputFunctions.Utility_DisplayArrayInTable(SourceData_PastureBeef.SourceData_PastureBeef_LiveweightGainNTQLD_Data(),Table_SourceData_PastureBeef_LiveweightGainNTQLD[[#Headers],[State]],0)</f>
        <v>0.54</v>
      </c>
      <c r="O190" s="37" cm="1">
        <f t="array" ref="O190">Common_InputFunctions.Utility_DisplayArrayInTable(SourceData_PastureBeef.SourceData_PastureBeef_LiveweightGainNTQLD_Data(),Table_SourceData_PastureBeef_LiveweightGainNTQLD[[#Headers],[State]],0)</f>
        <v>0.42</v>
      </c>
      <c r="P190" s="37" cm="1">
        <f t="array" ref="P190">Common_InputFunctions.Utility_DisplayArrayInTable(SourceData_PastureBeef.SourceData_PastureBeef_LiveweightGainNTQLD_Data(),Table_SourceData_PastureBeef_LiveweightGainNTQLD[[#Headers],[State]],0)</f>
        <v>0.26</v>
      </c>
    </row>
    <row r="191" spans="4:16" x14ac:dyDescent="0.25">
      <c r="D191" s="1" t="str" cm="1">
        <f t="array" ref="D191">Common_InputFunctions.Utility_DisplayArrayInTable(SourceData_PastureBeef.SourceData_PastureBeef_LiveweightGainNTQLD_Data(),Table_SourceData_PastureBeef_LiveweightGainNTQLD[[#Headers],[State]],0)</f>
        <v>Northern Territory</v>
      </c>
      <c r="E191" s="37" t="str" cm="1">
        <f t="array" ref="E191">Common_InputFunctions.Utility_DisplayArrayInTable(SourceData_PastureBeef.SourceData_PastureBeef_LiveweightGainNTQLD_Data(),Table_SourceData_PastureBeef_LiveweightGainNTQLD[[#Headers],[State]],0)</f>
        <v>Alice Springs</v>
      </c>
      <c r="F191" s="37" t="str" cm="1">
        <f t="array" ref="F191">Common_InputFunctions.Utility_DisplayArrayInTable(SourceData_PastureBeef.SourceData_PastureBeef_LiveweightGainNTQLD_Data(),Table_SourceData_PastureBeef_LiveweightGainNTQLD[[#Headers],[State]],0)</f>
        <v>Winter</v>
      </c>
      <c r="G191" s="37" cm="1">
        <f t="array" ref="G191">Common_InputFunctions.Utility_DisplayArrayInTable(SourceData_PastureBeef.SourceData_PastureBeef_LiveweightGainNTQLD_Data(),Table_SourceData_PastureBeef_LiveweightGainNTQLD[[#Headers],[State]],0)</f>
        <v>0.27</v>
      </c>
      <c r="H191" s="37" cm="1">
        <f t="array" ref="H191">Common_InputFunctions.Utility_DisplayArrayInTable(SourceData_PastureBeef.SourceData_PastureBeef_LiveweightGainNTQLD_Data(),Table_SourceData_PastureBeef_LiveweightGainNTQLD[[#Headers],[State]],0)</f>
        <v>-0.8</v>
      </c>
      <c r="I191" s="37" cm="1">
        <f t="array" ref="I191">Common_InputFunctions.Utility_DisplayArrayInTable(SourceData_PastureBeef.SourceData_PastureBeef_LiveweightGainNTQLD_Data(),Table_SourceData_PastureBeef_LiveweightGainNTQLD[[#Headers],[State]],0)</f>
        <v>0.22</v>
      </c>
      <c r="J191" s="37" cm="1">
        <f t="array" ref="J191">Common_InputFunctions.Utility_DisplayArrayInTable(SourceData_PastureBeef.SourceData_PastureBeef_LiveweightGainNTQLD_Data(),Table_SourceData_PastureBeef_LiveweightGainNTQLD[[#Headers],[State]],0)</f>
        <v>0.09</v>
      </c>
      <c r="K191" s="37" cm="1">
        <f t="array" ref="K191">Common_InputFunctions.Utility_DisplayArrayInTable(SourceData_PastureBeef.SourceData_PastureBeef_LiveweightGainNTQLD_Data(),Table_SourceData_PastureBeef_LiveweightGainNTQLD[[#Headers],[State]],0)</f>
        <v>0.12</v>
      </c>
      <c r="L191" s="37" cm="1">
        <f t="array" ref="L191">Common_InputFunctions.Utility_DisplayArrayInTable(SourceData_PastureBeef.SourceData_PastureBeef_LiveweightGainNTQLD_Data(),Table_SourceData_PastureBeef_LiveweightGainNTQLD[[#Headers],[State]],0)</f>
        <v>0.02</v>
      </c>
      <c r="M191" s="37" cm="1">
        <f t="array" ref="M191">Common_InputFunctions.Utility_DisplayArrayInTable(SourceData_PastureBeef.SourceData_PastureBeef_LiveweightGainNTQLD_Data(),Table_SourceData_PastureBeef_LiveweightGainNTQLD[[#Headers],[State]],0)</f>
        <v>0.25</v>
      </c>
      <c r="N191" s="37" cm="1">
        <f t="array" ref="N191">Common_InputFunctions.Utility_DisplayArrayInTable(SourceData_PastureBeef.SourceData_PastureBeef_LiveweightGainNTQLD_Data(),Table_SourceData_PastureBeef_LiveweightGainNTQLD[[#Headers],[State]],0)</f>
        <v>0.18</v>
      </c>
      <c r="O191" s="37" cm="1">
        <f t="array" ref="O191">Common_InputFunctions.Utility_DisplayArrayInTable(SourceData_PastureBeef.SourceData_PastureBeef_LiveweightGainNTQLD_Data(),Table_SourceData_PastureBeef_LiveweightGainNTQLD[[#Headers],[State]],0)</f>
        <v>0.12</v>
      </c>
      <c r="P191" s="37" cm="1">
        <f t="array" ref="P191">Common_InputFunctions.Utility_DisplayArrayInTable(SourceData_PastureBeef.SourceData_PastureBeef_LiveweightGainNTQLD_Data(),Table_SourceData_PastureBeef_LiveweightGainNTQLD[[#Headers],[State]],0)</f>
        <v>0.03</v>
      </c>
    </row>
    <row r="192" spans="4:16" x14ac:dyDescent="0.25">
      <c r="D192" s="1" t="str" cm="1">
        <f t="array" ref="D192">Common_InputFunctions.Utility_DisplayArrayInTable(SourceData_PastureBeef.SourceData_PastureBeef_LiveweightGainNTQLD_Data(),Table_SourceData_PastureBeef_LiveweightGainNTQLD[[#Headers],[State]],0)</f>
        <v>Northern Territory</v>
      </c>
      <c r="E192" s="37" t="str" cm="1">
        <f t="array" ref="E192">Common_InputFunctions.Utility_DisplayArrayInTable(SourceData_PastureBeef.SourceData_PastureBeef_LiveweightGainNTQLD_Data(),Table_SourceData_PastureBeef_LiveweightGainNTQLD[[#Headers],[State]],0)</f>
        <v>Barkly</v>
      </c>
      <c r="F192" s="37" t="str" cm="1">
        <f t="array" ref="F192">Common_InputFunctions.Utility_DisplayArrayInTable(SourceData_PastureBeef.SourceData_PastureBeef_LiveweightGainNTQLD_Data(),Table_SourceData_PastureBeef_LiveweightGainNTQLD[[#Headers],[State]],0)</f>
        <v>Spring</v>
      </c>
      <c r="G192" s="37" cm="1">
        <f t="array" ref="G192">Common_InputFunctions.Utility_DisplayArrayInTable(SourceData_PastureBeef.SourceData_PastureBeef_LiveweightGainNTQLD_Data(),Table_SourceData_PastureBeef_LiveweightGainNTQLD[[#Headers],[State]],0)</f>
        <v>0.22</v>
      </c>
      <c r="H192" s="37" cm="1">
        <f t="array" ref="H192">Common_InputFunctions.Utility_DisplayArrayInTable(SourceData_PastureBeef.SourceData_PastureBeef_LiveweightGainNTQLD_Data(),Table_SourceData_PastureBeef_LiveweightGainNTQLD[[#Headers],[State]],0)</f>
        <v>-0.44</v>
      </c>
      <c r="I192" s="37" cm="1">
        <f t="array" ref="I192">Common_InputFunctions.Utility_DisplayArrayInTable(SourceData_PastureBeef.SourceData_PastureBeef_LiveweightGainNTQLD_Data(),Table_SourceData_PastureBeef_LiveweightGainNTQLD[[#Headers],[State]],0)</f>
        <v>0.2</v>
      </c>
      <c r="J192" s="37" cm="1">
        <f t="array" ref="J192">Common_InputFunctions.Utility_DisplayArrayInTable(SourceData_PastureBeef.SourceData_PastureBeef_LiveweightGainNTQLD_Data(),Table_SourceData_PastureBeef_LiveweightGainNTQLD[[#Headers],[State]],0)</f>
        <v>0.21</v>
      </c>
      <c r="K192" s="37" cm="1">
        <f t="array" ref="K192">Common_InputFunctions.Utility_DisplayArrayInTable(SourceData_PastureBeef.SourceData_PastureBeef_LiveweightGainNTQLD_Data(),Table_SourceData_PastureBeef_LiveweightGainNTQLD[[#Headers],[State]],0)</f>
        <v>0.18</v>
      </c>
      <c r="L192" s="37" cm="1">
        <f t="array" ref="L192">Common_InputFunctions.Utility_DisplayArrayInTable(SourceData_PastureBeef.SourceData_PastureBeef_LiveweightGainNTQLD_Data(),Table_SourceData_PastureBeef_LiveweightGainNTQLD[[#Headers],[State]],0)</f>
        <v>0.01</v>
      </c>
      <c r="M192" s="37" cm="1">
        <f t="array" ref="M192">Common_InputFunctions.Utility_DisplayArrayInTable(SourceData_PastureBeef.SourceData_PastureBeef_LiveweightGainNTQLD_Data(),Table_SourceData_PastureBeef_LiveweightGainNTQLD[[#Headers],[State]],0)</f>
        <v>0.12</v>
      </c>
      <c r="N192" s="37" cm="1">
        <f t="array" ref="N192">Common_InputFunctions.Utility_DisplayArrayInTable(SourceData_PastureBeef.SourceData_PastureBeef_LiveweightGainNTQLD_Data(),Table_SourceData_PastureBeef_LiveweightGainNTQLD[[#Headers],[State]],0)</f>
        <v>0.09</v>
      </c>
      <c r="O192" s="37" t="str" cm="1">
        <f t="array" ref="O192">Common_InputFunctions.Utility_DisplayArrayInTable(SourceData_PastureBeef.SourceData_PastureBeef_LiveweightGainNTQLD_Data(),Table_SourceData_PastureBeef_LiveweightGainNTQLD[[#Headers],[State]],0)</f>
        <v>NO</v>
      </c>
      <c r="P192" s="37" t="str" cm="1">
        <f t="array" ref="P192">Common_InputFunctions.Utility_DisplayArrayInTable(SourceData_PastureBeef.SourceData_PastureBeef_LiveweightGainNTQLD_Data(),Table_SourceData_PastureBeef_LiveweightGainNTQLD[[#Headers],[State]],0)</f>
        <v>NO</v>
      </c>
    </row>
    <row r="193" spans="4:16" x14ac:dyDescent="0.25">
      <c r="D193" s="1" t="str" cm="1">
        <f t="array" ref="D193">Common_InputFunctions.Utility_DisplayArrayInTable(SourceData_PastureBeef.SourceData_PastureBeef_LiveweightGainNTQLD_Data(),Table_SourceData_PastureBeef_LiveweightGainNTQLD[[#Headers],[State]],0)</f>
        <v>Northern Territory</v>
      </c>
      <c r="E193" s="37" t="str" cm="1">
        <f t="array" ref="E193">Common_InputFunctions.Utility_DisplayArrayInTable(SourceData_PastureBeef.SourceData_PastureBeef_LiveweightGainNTQLD_Data(),Table_SourceData_PastureBeef_LiveweightGainNTQLD[[#Headers],[State]],0)</f>
        <v>Barkly</v>
      </c>
      <c r="F193" s="37" t="str" cm="1">
        <f t="array" ref="F193">Common_InputFunctions.Utility_DisplayArrayInTable(SourceData_PastureBeef.SourceData_PastureBeef_LiveweightGainNTQLD_Data(),Table_SourceData_PastureBeef_LiveweightGainNTQLD[[#Headers],[State]],0)</f>
        <v>Summer</v>
      </c>
      <c r="G193" s="37" cm="1">
        <f t="array" ref="G193">Common_InputFunctions.Utility_DisplayArrayInTable(SourceData_PastureBeef.SourceData_PastureBeef_LiveweightGainNTQLD_Data(),Table_SourceData_PastureBeef_LiveweightGainNTQLD[[#Headers],[State]],0)</f>
        <v>0.66</v>
      </c>
      <c r="H193" s="37" cm="1">
        <f t="array" ref="H193">Common_InputFunctions.Utility_DisplayArrayInTable(SourceData_PastureBeef.SourceData_PastureBeef_LiveweightGainNTQLD_Data(),Table_SourceData_PastureBeef_LiveweightGainNTQLD[[#Headers],[State]],0)</f>
        <v>0.22</v>
      </c>
      <c r="I193" s="37" cm="1">
        <f t="array" ref="I193">Common_InputFunctions.Utility_DisplayArrayInTable(SourceData_PastureBeef.SourceData_PastureBeef_LiveweightGainNTQLD_Data(),Table_SourceData_PastureBeef_LiveweightGainNTQLD[[#Headers],[State]],0)</f>
        <v>0.68</v>
      </c>
      <c r="J193" s="37" cm="1">
        <f t="array" ref="J193">Common_InputFunctions.Utility_DisplayArrayInTable(SourceData_PastureBeef.SourceData_PastureBeef_LiveweightGainNTQLD_Data(),Table_SourceData_PastureBeef_LiveweightGainNTQLD[[#Headers],[State]],0)</f>
        <v>0.22</v>
      </c>
      <c r="K193" s="37" cm="1">
        <f t="array" ref="K193">Common_InputFunctions.Utility_DisplayArrayInTable(SourceData_PastureBeef.SourceData_PastureBeef_LiveweightGainNTQLD_Data(),Table_SourceData_PastureBeef_LiveweightGainNTQLD[[#Headers],[State]],0)</f>
        <v>0.24</v>
      </c>
      <c r="L193" s="37" cm="1">
        <f t="array" ref="L193">Common_InputFunctions.Utility_DisplayArrayInTable(SourceData_PastureBeef.SourceData_PastureBeef_LiveweightGainNTQLD_Data(),Table_SourceData_PastureBeef_LiveweightGainNTQLD[[#Headers],[State]],0)</f>
        <v>0.25</v>
      </c>
      <c r="M193" s="37" cm="1">
        <f t="array" ref="M193">Common_InputFunctions.Utility_DisplayArrayInTable(SourceData_PastureBeef.SourceData_PastureBeef_LiveweightGainNTQLD_Data(),Table_SourceData_PastureBeef_LiveweightGainNTQLD[[#Headers],[State]],0)</f>
        <v>0.64</v>
      </c>
      <c r="N193" s="37" cm="1">
        <f t="array" ref="N193">Common_InputFunctions.Utility_DisplayArrayInTable(SourceData_PastureBeef.SourceData_PastureBeef_LiveweightGainNTQLD_Data(),Table_SourceData_PastureBeef_LiveweightGainNTQLD[[#Headers],[State]],0)</f>
        <v>0.37</v>
      </c>
      <c r="O193" s="37" t="str" cm="1">
        <f t="array" ref="O193">Common_InputFunctions.Utility_DisplayArrayInTable(SourceData_PastureBeef.SourceData_PastureBeef_LiveweightGainNTQLD_Data(),Table_SourceData_PastureBeef_LiveweightGainNTQLD[[#Headers],[State]],0)</f>
        <v>NO</v>
      </c>
      <c r="P193" s="37" t="str" cm="1">
        <f t="array" ref="P193">Common_InputFunctions.Utility_DisplayArrayInTable(SourceData_PastureBeef.SourceData_PastureBeef_LiveweightGainNTQLD_Data(),Table_SourceData_PastureBeef_LiveweightGainNTQLD[[#Headers],[State]],0)</f>
        <v>NO</v>
      </c>
    </row>
    <row r="194" spans="4:16" x14ac:dyDescent="0.25">
      <c r="D194" s="1" t="str" cm="1">
        <f t="array" ref="D194">Common_InputFunctions.Utility_DisplayArrayInTable(SourceData_PastureBeef.SourceData_PastureBeef_LiveweightGainNTQLD_Data(),Table_SourceData_PastureBeef_LiveweightGainNTQLD[[#Headers],[State]],0)</f>
        <v>Northern Territory</v>
      </c>
      <c r="E194" s="37" t="str" cm="1">
        <f t="array" ref="E194">Common_InputFunctions.Utility_DisplayArrayInTable(SourceData_PastureBeef.SourceData_PastureBeef_LiveweightGainNTQLD_Data(),Table_SourceData_PastureBeef_LiveweightGainNTQLD[[#Headers],[State]],0)</f>
        <v>Barkly</v>
      </c>
      <c r="F194" s="37" t="str" cm="1">
        <f t="array" ref="F194">Common_InputFunctions.Utility_DisplayArrayInTable(SourceData_PastureBeef.SourceData_PastureBeef_LiveweightGainNTQLD_Data(),Table_SourceData_PastureBeef_LiveweightGainNTQLD[[#Headers],[State]],0)</f>
        <v>Autumn</v>
      </c>
      <c r="G194" s="37" cm="1">
        <f t="array" ref="G194">Common_InputFunctions.Utility_DisplayArrayInTable(SourceData_PastureBeef.SourceData_PastureBeef_LiveweightGainNTQLD_Data(),Table_SourceData_PastureBeef_LiveweightGainNTQLD[[#Headers],[State]],0)</f>
        <v>0.49</v>
      </c>
      <c r="H194" s="37" cm="1">
        <f t="array" ref="H194">Common_InputFunctions.Utility_DisplayArrayInTable(SourceData_PastureBeef.SourceData_PastureBeef_LiveweightGainNTQLD_Data(),Table_SourceData_PastureBeef_LiveweightGainNTQLD[[#Headers],[State]],0)</f>
        <v>0.05</v>
      </c>
      <c r="I194" s="37" cm="1">
        <f t="array" ref="I194">Common_InputFunctions.Utility_DisplayArrayInTable(SourceData_PastureBeef.SourceData_PastureBeef_LiveweightGainNTQLD_Data(),Table_SourceData_PastureBeef_LiveweightGainNTQLD[[#Headers],[State]],0)</f>
        <v>0.64</v>
      </c>
      <c r="J194" s="37" cm="1">
        <f t="array" ref="J194">Common_InputFunctions.Utility_DisplayArrayInTable(SourceData_PastureBeef.SourceData_PastureBeef_LiveweightGainNTQLD_Data(),Table_SourceData_PastureBeef_LiveweightGainNTQLD[[#Headers],[State]],0)</f>
        <v>0.25</v>
      </c>
      <c r="K194" s="37" cm="1">
        <f t="array" ref="K194">Common_InputFunctions.Utility_DisplayArrayInTable(SourceData_PastureBeef.SourceData_PastureBeef_LiveweightGainNTQLD_Data(),Table_SourceData_PastureBeef_LiveweightGainNTQLD[[#Headers],[State]],0)</f>
        <v>0.28999999999999998</v>
      </c>
      <c r="L194" s="37" cm="1">
        <f t="array" ref="L194">Common_InputFunctions.Utility_DisplayArrayInTable(SourceData_PastureBeef.SourceData_PastureBeef_LiveweightGainNTQLD_Data(),Table_SourceData_PastureBeef_LiveweightGainNTQLD[[#Headers],[State]],0)</f>
        <v>0.12</v>
      </c>
      <c r="M194" s="37" cm="1">
        <f t="array" ref="M194">Common_InputFunctions.Utility_DisplayArrayInTable(SourceData_PastureBeef.SourceData_PastureBeef_LiveweightGainNTQLD_Data(),Table_SourceData_PastureBeef_LiveweightGainNTQLD[[#Headers],[State]],0)</f>
        <v>0.56999999999999995</v>
      </c>
      <c r="N194" s="37" cm="1">
        <f t="array" ref="N194">Common_InputFunctions.Utility_DisplayArrayInTable(SourceData_PastureBeef.SourceData_PastureBeef_LiveweightGainNTQLD_Data(),Table_SourceData_PastureBeef_LiveweightGainNTQLD[[#Headers],[State]],0)</f>
        <v>0.49</v>
      </c>
      <c r="O194" s="37" t="str" cm="1">
        <f t="array" ref="O194">Common_InputFunctions.Utility_DisplayArrayInTable(SourceData_PastureBeef.SourceData_PastureBeef_LiveweightGainNTQLD_Data(),Table_SourceData_PastureBeef_LiveweightGainNTQLD[[#Headers],[State]],0)</f>
        <v>NO</v>
      </c>
      <c r="P194" s="37" t="str" cm="1">
        <f t="array" ref="P194">Common_InputFunctions.Utility_DisplayArrayInTable(SourceData_PastureBeef.SourceData_PastureBeef_LiveweightGainNTQLD_Data(),Table_SourceData_PastureBeef_LiveweightGainNTQLD[[#Headers],[State]],0)</f>
        <v>NO</v>
      </c>
    </row>
    <row r="195" spans="4:16" x14ac:dyDescent="0.25">
      <c r="D195" s="1" t="str" cm="1">
        <f t="array" ref="D195">Common_InputFunctions.Utility_DisplayArrayInTable(SourceData_PastureBeef.SourceData_PastureBeef_LiveweightGainNTQLD_Data(),Table_SourceData_PastureBeef_LiveweightGainNTQLD[[#Headers],[State]],0)</f>
        <v>Northern Territory</v>
      </c>
      <c r="E195" s="37" t="str" cm="1">
        <f t="array" ref="E195">Common_InputFunctions.Utility_DisplayArrayInTable(SourceData_PastureBeef.SourceData_PastureBeef_LiveweightGainNTQLD_Data(),Table_SourceData_PastureBeef_LiveweightGainNTQLD[[#Headers],[State]],0)</f>
        <v>Barkly</v>
      </c>
      <c r="F195" s="37" t="str" cm="1">
        <f t="array" ref="F195">Common_InputFunctions.Utility_DisplayArrayInTable(SourceData_PastureBeef.SourceData_PastureBeef_LiveweightGainNTQLD_Data(),Table_SourceData_PastureBeef_LiveweightGainNTQLD[[#Headers],[State]],0)</f>
        <v>Winter</v>
      </c>
      <c r="G195" s="37" cm="1">
        <f t="array" ref="G195">Common_InputFunctions.Utility_DisplayArrayInTable(SourceData_PastureBeef.SourceData_PastureBeef_LiveweightGainNTQLD_Data(),Table_SourceData_PastureBeef_LiveweightGainNTQLD[[#Headers],[State]],0)</f>
        <v>0.27</v>
      </c>
      <c r="H195" s="37" cm="1">
        <f t="array" ref="H195">Common_InputFunctions.Utility_DisplayArrayInTable(SourceData_PastureBeef.SourceData_PastureBeef_LiveweightGainNTQLD_Data(),Table_SourceData_PastureBeef_LiveweightGainNTQLD[[#Headers],[State]],0)</f>
        <v>-0.27</v>
      </c>
      <c r="I195" s="37" cm="1">
        <f t="array" ref="I195">Common_InputFunctions.Utility_DisplayArrayInTable(SourceData_PastureBeef.SourceData_PastureBeef_LiveweightGainNTQLD_Data(),Table_SourceData_PastureBeef_LiveweightGainNTQLD[[#Headers],[State]],0)</f>
        <v>0.31</v>
      </c>
      <c r="J195" s="37" cm="1">
        <f t="array" ref="J195">Common_InputFunctions.Utility_DisplayArrayInTable(SourceData_PastureBeef.SourceData_PastureBeef_LiveweightGainNTQLD_Data(),Table_SourceData_PastureBeef_LiveweightGainNTQLD[[#Headers],[State]],0)</f>
        <v>0.28999999999999998</v>
      </c>
      <c r="K195" s="37" cm="1">
        <f t="array" ref="K195">Common_InputFunctions.Utility_DisplayArrayInTable(SourceData_PastureBeef.SourceData_PastureBeef_LiveweightGainNTQLD_Data(),Table_SourceData_PastureBeef_LiveweightGainNTQLD[[#Headers],[State]],0)</f>
        <v>0.19</v>
      </c>
      <c r="L195" s="37" cm="1">
        <f t="array" ref="L195">Common_InputFunctions.Utility_DisplayArrayInTable(SourceData_PastureBeef.SourceData_PastureBeef_LiveweightGainNTQLD_Data(),Table_SourceData_PastureBeef_LiveweightGainNTQLD[[#Headers],[State]],0)</f>
        <v>0.04</v>
      </c>
      <c r="M195" s="37" cm="1">
        <f t="array" ref="M195">Common_InputFunctions.Utility_DisplayArrayInTable(SourceData_PastureBeef.SourceData_PastureBeef_LiveweightGainNTQLD_Data(),Table_SourceData_PastureBeef_LiveweightGainNTQLD[[#Headers],[State]],0)</f>
        <v>0.26</v>
      </c>
      <c r="N195" s="37" cm="1">
        <f t="array" ref="N195">Common_InputFunctions.Utility_DisplayArrayInTable(SourceData_PastureBeef.SourceData_PastureBeef_LiveweightGainNTQLD_Data(),Table_SourceData_PastureBeef_LiveweightGainNTQLD[[#Headers],[State]],0)</f>
        <v>0.28000000000000003</v>
      </c>
      <c r="O195" s="37" t="str" cm="1">
        <f t="array" ref="O195">Common_InputFunctions.Utility_DisplayArrayInTable(SourceData_PastureBeef.SourceData_PastureBeef_LiveweightGainNTQLD_Data(),Table_SourceData_PastureBeef_LiveweightGainNTQLD[[#Headers],[State]],0)</f>
        <v>NO</v>
      </c>
      <c r="P195" s="37" t="str" cm="1">
        <f t="array" ref="P195">Common_InputFunctions.Utility_DisplayArrayInTable(SourceData_PastureBeef.SourceData_PastureBeef_LiveweightGainNTQLD_Data(),Table_SourceData_PastureBeef_LiveweightGainNTQLD[[#Headers],[State]],0)</f>
        <v>NO</v>
      </c>
    </row>
    <row r="196" spans="4:16" x14ac:dyDescent="0.25">
      <c r="D196" s="1" t="str" cm="1">
        <f t="array" ref="D196">Common_InputFunctions.Utility_DisplayArrayInTable(SourceData_PastureBeef.SourceData_PastureBeef_LiveweightGainNTQLD_Data(),Table_SourceData_PastureBeef_LiveweightGainNTQLD[[#Headers],[State]],0)</f>
        <v>Northern Territory</v>
      </c>
      <c r="E196" s="37" t="str" cm="1">
        <f t="array" ref="E196">Common_InputFunctions.Utility_DisplayArrayInTable(SourceData_PastureBeef.SourceData_PastureBeef_LiveweightGainNTQLD_Data(),Table_SourceData_PastureBeef_LiveweightGainNTQLD[[#Headers],[State]],0)</f>
        <v>Northern</v>
      </c>
      <c r="F196" s="37" t="str" cm="1">
        <f t="array" ref="F196">Common_InputFunctions.Utility_DisplayArrayInTable(SourceData_PastureBeef.SourceData_PastureBeef_LiveweightGainNTQLD_Data(),Table_SourceData_PastureBeef_LiveweightGainNTQLD[[#Headers],[State]],0)</f>
        <v>Spring</v>
      </c>
      <c r="G196" s="37" cm="1">
        <f t="array" ref="G196">Common_InputFunctions.Utility_DisplayArrayInTable(SourceData_PastureBeef.SourceData_PastureBeef_LiveweightGainNTQLD_Data(),Table_SourceData_PastureBeef_LiveweightGainNTQLD[[#Headers],[State]],0)</f>
        <v>0.22</v>
      </c>
      <c r="H196" s="37" cm="1">
        <f t="array" ref="H196">Common_InputFunctions.Utility_DisplayArrayInTable(SourceData_PastureBeef.SourceData_PastureBeef_LiveweightGainNTQLD_Data(),Table_SourceData_PastureBeef_LiveweightGainNTQLD[[#Headers],[State]],0)</f>
        <v>-0.44</v>
      </c>
      <c r="I196" s="37" cm="1">
        <f t="array" ref="I196">Common_InputFunctions.Utility_DisplayArrayInTable(SourceData_PastureBeef.SourceData_PastureBeef_LiveweightGainNTQLD_Data(),Table_SourceData_PastureBeef_LiveweightGainNTQLD[[#Headers],[State]],0)</f>
        <v>0</v>
      </c>
      <c r="J196" s="37" cm="1">
        <f t="array" ref="J196">Common_InputFunctions.Utility_DisplayArrayInTable(SourceData_PastureBeef.SourceData_PastureBeef_LiveweightGainNTQLD_Data(),Table_SourceData_PastureBeef_LiveweightGainNTQLD[[#Headers],[State]],0)</f>
        <v>0.15</v>
      </c>
      <c r="K196" s="37" cm="1">
        <f t="array" ref="K196">Common_InputFunctions.Utility_DisplayArrayInTable(SourceData_PastureBeef.SourceData_PastureBeef_LiveweightGainNTQLD_Data(),Table_SourceData_PastureBeef_LiveweightGainNTQLD[[#Headers],[State]],0)</f>
        <v>0.08</v>
      </c>
      <c r="L196" s="37" cm="1">
        <f t="array" ref="L196">Common_InputFunctions.Utility_DisplayArrayInTable(SourceData_PastureBeef.SourceData_PastureBeef_LiveweightGainNTQLD_Data(),Table_SourceData_PastureBeef_LiveweightGainNTQLD[[#Headers],[State]],0)</f>
        <v>0.17</v>
      </c>
      <c r="M196" s="37" cm="1">
        <f t="array" ref="M196">Common_InputFunctions.Utility_DisplayArrayInTable(SourceData_PastureBeef.SourceData_PastureBeef_LiveweightGainNTQLD_Data(),Table_SourceData_PastureBeef_LiveweightGainNTQLD[[#Headers],[State]],0)</f>
        <v>0.06</v>
      </c>
      <c r="N196" s="37" cm="1">
        <f t="array" ref="N196">Common_InputFunctions.Utility_DisplayArrayInTable(SourceData_PastureBeef.SourceData_PastureBeef_LiveweightGainNTQLD_Data(),Table_SourceData_PastureBeef_LiveweightGainNTQLD[[#Headers],[State]],0)</f>
        <v>0.02</v>
      </c>
      <c r="O196" s="37" cm="1">
        <f t="array" ref="O196">Common_InputFunctions.Utility_DisplayArrayInTable(SourceData_PastureBeef.SourceData_PastureBeef_LiveweightGainNTQLD_Data(),Table_SourceData_PastureBeef_LiveweightGainNTQLD[[#Headers],[State]],0)</f>
        <v>-0.14000000000000001</v>
      </c>
      <c r="P196" s="37" t="str" cm="1">
        <f t="array" ref="P196">Common_InputFunctions.Utility_DisplayArrayInTable(SourceData_PastureBeef.SourceData_PastureBeef_LiveweightGainNTQLD_Data(),Table_SourceData_PastureBeef_LiveweightGainNTQLD[[#Headers],[State]],0)</f>
        <v>NO</v>
      </c>
    </row>
    <row r="197" spans="4:16" x14ac:dyDescent="0.25">
      <c r="D197" s="1" t="str" cm="1">
        <f t="array" ref="D197">Common_InputFunctions.Utility_DisplayArrayInTable(SourceData_PastureBeef.SourceData_PastureBeef_LiveweightGainNTQLD_Data(),Table_SourceData_PastureBeef_LiveweightGainNTQLD[[#Headers],[State]],0)</f>
        <v>Northern Territory</v>
      </c>
      <c r="E197" s="37" t="str" cm="1">
        <f t="array" ref="E197">Common_InputFunctions.Utility_DisplayArrayInTable(SourceData_PastureBeef.SourceData_PastureBeef_LiveweightGainNTQLD_Data(),Table_SourceData_PastureBeef_LiveweightGainNTQLD[[#Headers],[State]],0)</f>
        <v>Northern</v>
      </c>
      <c r="F197" s="37" t="str" cm="1">
        <f t="array" ref="F197">Common_InputFunctions.Utility_DisplayArrayInTable(SourceData_PastureBeef.SourceData_PastureBeef_LiveweightGainNTQLD_Data(),Table_SourceData_PastureBeef_LiveweightGainNTQLD[[#Headers],[State]],0)</f>
        <v>Summer</v>
      </c>
      <c r="G197" s="37" cm="1">
        <f t="array" ref="G197">Common_InputFunctions.Utility_DisplayArrayInTable(SourceData_PastureBeef.SourceData_PastureBeef_LiveweightGainNTQLD_Data(),Table_SourceData_PastureBeef_LiveweightGainNTQLD[[#Headers],[State]],0)</f>
        <v>0.66</v>
      </c>
      <c r="H197" s="37" cm="1">
        <f t="array" ref="H197">Common_InputFunctions.Utility_DisplayArrayInTable(SourceData_PastureBeef.SourceData_PastureBeef_LiveweightGainNTQLD_Data(),Table_SourceData_PastureBeef_LiveweightGainNTQLD[[#Headers],[State]],0)</f>
        <v>0.22</v>
      </c>
      <c r="I197" s="37" cm="1">
        <f t="array" ref="I197">Common_InputFunctions.Utility_DisplayArrayInTable(SourceData_PastureBeef.SourceData_PastureBeef_LiveweightGainNTQLD_Data(),Table_SourceData_PastureBeef_LiveweightGainNTQLD[[#Headers],[State]],0)</f>
        <v>0.79</v>
      </c>
      <c r="J197" s="37" cm="1">
        <f t="array" ref="J197">Common_InputFunctions.Utility_DisplayArrayInTable(SourceData_PastureBeef.SourceData_PastureBeef_LiveweightGainNTQLD_Data(),Table_SourceData_PastureBeef_LiveweightGainNTQLD[[#Headers],[State]],0)</f>
        <v>0.4</v>
      </c>
      <c r="K197" s="37" cm="1">
        <f t="array" ref="K197">Common_InputFunctions.Utility_DisplayArrayInTable(SourceData_PastureBeef.SourceData_PastureBeef_LiveweightGainNTQLD_Data(),Table_SourceData_PastureBeef_LiveweightGainNTQLD[[#Headers],[State]],0)</f>
        <v>0.38</v>
      </c>
      <c r="L197" s="37" cm="1">
        <f t="array" ref="L197">Common_InputFunctions.Utility_DisplayArrayInTable(SourceData_PastureBeef.SourceData_PastureBeef_LiveweightGainNTQLD_Data(),Table_SourceData_PastureBeef_LiveweightGainNTQLD[[#Headers],[State]],0)</f>
        <v>0.27</v>
      </c>
      <c r="M197" s="37" cm="1">
        <f t="array" ref="M197">Common_InputFunctions.Utility_DisplayArrayInTable(SourceData_PastureBeef.SourceData_PastureBeef_LiveweightGainNTQLD_Data(),Table_SourceData_PastureBeef_LiveweightGainNTQLD[[#Headers],[State]],0)</f>
        <v>0.8</v>
      </c>
      <c r="N197" s="37" cm="1">
        <f t="array" ref="N197">Common_InputFunctions.Utility_DisplayArrayInTable(SourceData_PastureBeef.SourceData_PastureBeef_LiveweightGainNTQLD_Data(),Table_SourceData_PastureBeef_LiveweightGainNTQLD[[#Headers],[State]],0)</f>
        <v>0.16</v>
      </c>
      <c r="O197" s="37" cm="1">
        <f t="array" ref="O197">Common_InputFunctions.Utility_DisplayArrayInTable(SourceData_PastureBeef.SourceData_PastureBeef_LiveweightGainNTQLD_Data(),Table_SourceData_PastureBeef_LiveweightGainNTQLD[[#Headers],[State]],0)</f>
        <v>0.3</v>
      </c>
      <c r="P197" s="37" t="str" cm="1">
        <f t="array" ref="P197">Common_InputFunctions.Utility_DisplayArrayInTable(SourceData_PastureBeef.SourceData_PastureBeef_LiveweightGainNTQLD_Data(),Table_SourceData_PastureBeef_LiveweightGainNTQLD[[#Headers],[State]],0)</f>
        <v>NO</v>
      </c>
    </row>
    <row r="198" spans="4:16" x14ac:dyDescent="0.25">
      <c r="D198" s="1" t="str" cm="1">
        <f t="array" ref="D198">Common_InputFunctions.Utility_DisplayArrayInTable(SourceData_PastureBeef.SourceData_PastureBeef_LiveweightGainNTQLD_Data(),Table_SourceData_PastureBeef_LiveweightGainNTQLD[[#Headers],[State]],0)</f>
        <v>Northern Territory</v>
      </c>
      <c r="E198" s="37" t="str" cm="1">
        <f t="array" ref="E198">Common_InputFunctions.Utility_DisplayArrayInTable(SourceData_PastureBeef.SourceData_PastureBeef_LiveweightGainNTQLD_Data(),Table_SourceData_PastureBeef_LiveweightGainNTQLD[[#Headers],[State]],0)</f>
        <v>Northern</v>
      </c>
      <c r="F198" s="37" t="str" cm="1">
        <f t="array" ref="F198">Common_InputFunctions.Utility_DisplayArrayInTable(SourceData_PastureBeef.SourceData_PastureBeef_LiveweightGainNTQLD_Data(),Table_SourceData_PastureBeef_LiveweightGainNTQLD[[#Headers],[State]],0)</f>
        <v>Autumn</v>
      </c>
      <c r="G198" s="37" cm="1">
        <f t="array" ref="G198">Common_InputFunctions.Utility_DisplayArrayInTable(SourceData_PastureBeef.SourceData_PastureBeef_LiveweightGainNTQLD_Data(),Table_SourceData_PastureBeef_LiveweightGainNTQLD[[#Headers],[State]],0)</f>
        <v>0.49</v>
      </c>
      <c r="H198" s="37" cm="1">
        <f t="array" ref="H198">Common_InputFunctions.Utility_DisplayArrayInTable(SourceData_PastureBeef.SourceData_PastureBeef_LiveweightGainNTQLD_Data(),Table_SourceData_PastureBeef_LiveweightGainNTQLD[[#Headers],[State]],0)</f>
        <v>0.05</v>
      </c>
      <c r="I198" s="37" cm="1">
        <f t="array" ref="I198">Common_InputFunctions.Utility_DisplayArrayInTable(SourceData_PastureBeef.SourceData_PastureBeef_LiveweightGainNTQLD_Data(),Table_SourceData_PastureBeef_LiveweightGainNTQLD[[#Headers],[State]],0)</f>
        <v>0.55000000000000004</v>
      </c>
      <c r="J198" s="37" cm="1">
        <f t="array" ref="J198">Common_InputFunctions.Utility_DisplayArrayInTable(SourceData_PastureBeef.SourceData_PastureBeef_LiveweightGainNTQLD_Data(),Table_SourceData_PastureBeef_LiveweightGainNTQLD[[#Headers],[State]],0)</f>
        <v>0.38</v>
      </c>
      <c r="K198" s="37" cm="1">
        <f t="array" ref="K198">Common_InputFunctions.Utility_DisplayArrayInTable(SourceData_PastureBeef.SourceData_PastureBeef_LiveweightGainNTQLD_Data(),Table_SourceData_PastureBeef_LiveweightGainNTQLD[[#Headers],[State]],0)</f>
        <v>0.36</v>
      </c>
      <c r="L198" s="37" cm="1">
        <f t="array" ref="L198">Common_InputFunctions.Utility_DisplayArrayInTable(SourceData_PastureBeef.SourceData_PastureBeef_LiveweightGainNTQLD_Data(),Table_SourceData_PastureBeef_LiveweightGainNTQLD[[#Headers],[State]],0)</f>
        <v>0.06</v>
      </c>
      <c r="M198" s="37" cm="1">
        <f t="array" ref="M198">Common_InputFunctions.Utility_DisplayArrayInTable(SourceData_PastureBeef.SourceData_PastureBeef_LiveweightGainNTQLD_Data(),Table_SourceData_PastureBeef_LiveweightGainNTQLD[[#Headers],[State]],0)</f>
        <v>0.57999999999999996</v>
      </c>
      <c r="N198" s="37" cm="1">
        <f t="array" ref="N198">Common_InputFunctions.Utility_DisplayArrayInTable(SourceData_PastureBeef.SourceData_PastureBeef_LiveweightGainNTQLD_Data(),Table_SourceData_PastureBeef_LiveweightGainNTQLD[[#Headers],[State]],0)</f>
        <v>0.23</v>
      </c>
      <c r="O198" s="37" cm="1">
        <f t="array" ref="O198">Common_InputFunctions.Utility_DisplayArrayInTable(SourceData_PastureBeef.SourceData_PastureBeef_LiveweightGainNTQLD_Data(),Table_SourceData_PastureBeef_LiveweightGainNTQLD[[#Headers],[State]],0)</f>
        <v>0.4</v>
      </c>
      <c r="P198" s="37" t="str" cm="1">
        <f t="array" ref="P198">Common_InputFunctions.Utility_DisplayArrayInTable(SourceData_PastureBeef.SourceData_PastureBeef_LiveweightGainNTQLD_Data(),Table_SourceData_PastureBeef_LiveweightGainNTQLD[[#Headers],[State]],0)</f>
        <v>NO</v>
      </c>
    </row>
    <row r="199" spans="4:16" x14ac:dyDescent="0.25">
      <c r="D199" s="1" t="str" cm="1">
        <f t="array" ref="D199">Common_InputFunctions.Utility_DisplayArrayInTable(SourceData_PastureBeef.SourceData_PastureBeef_LiveweightGainNTQLD_Data(),Table_SourceData_PastureBeef_LiveweightGainNTQLD[[#Headers],[State]],0)</f>
        <v>Northern Territory</v>
      </c>
      <c r="E199" s="37" t="str" cm="1">
        <f t="array" ref="E199">Common_InputFunctions.Utility_DisplayArrayInTable(SourceData_PastureBeef.SourceData_PastureBeef_LiveweightGainNTQLD_Data(),Table_SourceData_PastureBeef_LiveweightGainNTQLD[[#Headers],[State]],0)</f>
        <v>Northern</v>
      </c>
      <c r="F199" s="37" t="str" cm="1">
        <f t="array" ref="F199">Common_InputFunctions.Utility_DisplayArrayInTable(SourceData_PastureBeef.SourceData_PastureBeef_LiveweightGainNTQLD_Data(),Table_SourceData_PastureBeef_LiveweightGainNTQLD[[#Headers],[State]],0)</f>
        <v>Winter</v>
      </c>
      <c r="G199" s="37" cm="1">
        <f t="array" ref="G199">Common_InputFunctions.Utility_DisplayArrayInTable(SourceData_PastureBeef.SourceData_PastureBeef_LiveweightGainNTQLD_Data(),Table_SourceData_PastureBeef_LiveweightGainNTQLD[[#Headers],[State]],0)</f>
        <v>0.27</v>
      </c>
      <c r="H199" s="37" cm="1">
        <f t="array" ref="H199">Common_InputFunctions.Utility_DisplayArrayInTable(SourceData_PastureBeef.SourceData_PastureBeef_LiveweightGainNTQLD_Data(),Table_SourceData_PastureBeef_LiveweightGainNTQLD[[#Headers],[State]],0)</f>
        <v>-0.27</v>
      </c>
      <c r="I199" s="37" cm="1">
        <f t="array" ref="I199">Common_InputFunctions.Utility_DisplayArrayInTable(SourceData_PastureBeef.SourceData_PastureBeef_LiveweightGainNTQLD_Data(),Table_SourceData_PastureBeef_LiveweightGainNTQLD[[#Headers],[State]],0)</f>
        <v>0.02</v>
      </c>
      <c r="J199" s="37" cm="1">
        <f t="array" ref="J199">Common_InputFunctions.Utility_DisplayArrayInTable(SourceData_PastureBeef.SourceData_PastureBeef_LiveweightGainNTQLD_Data(),Table_SourceData_PastureBeef_LiveweightGainNTQLD[[#Headers],[State]],0)</f>
        <v>0.09</v>
      </c>
      <c r="K199" s="37" cm="1">
        <f t="array" ref="K199">Common_InputFunctions.Utility_DisplayArrayInTable(SourceData_PastureBeef.SourceData_PastureBeef_LiveweightGainNTQLD_Data(),Table_SourceData_PastureBeef_LiveweightGainNTQLD[[#Headers],[State]],0)</f>
        <v>0.16</v>
      </c>
      <c r="L199" s="37" cm="1">
        <f t="array" ref="L199">Common_InputFunctions.Utility_DisplayArrayInTable(SourceData_PastureBeef.SourceData_PastureBeef_LiveweightGainNTQLD_Data(),Table_SourceData_PastureBeef_LiveweightGainNTQLD[[#Headers],[State]],0)</f>
        <v>-0.04</v>
      </c>
      <c r="M199" s="37" cm="1">
        <f t="array" ref="M199">Common_InputFunctions.Utility_DisplayArrayInTable(SourceData_PastureBeef.SourceData_PastureBeef_LiveweightGainNTQLD_Data(),Table_SourceData_PastureBeef_LiveweightGainNTQLD[[#Headers],[State]],0)</f>
        <v>0.21</v>
      </c>
      <c r="N199" s="37" cm="1">
        <f t="array" ref="N199">Common_InputFunctions.Utility_DisplayArrayInTable(SourceData_PastureBeef.SourceData_PastureBeef_LiveweightGainNTQLD_Data(),Table_SourceData_PastureBeef_LiveweightGainNTQLD[[#Headers],[State]],0)</f>
        <v>0.03</v>
      </c>
      <c r="O199" s="37" cm="1">
        <f t="array" ref="O199">Common_InputFunctions.Utility_DisplayArrayInTable(SourceData_PastureBeef.SourceData_PastureBeef_LiveweightGainNTQLD_Data(),Table_SourceData_PastureBeef_LiveweightGainNTQLD[[#Headers],[State]],0)</f>
        <v>0.11</v>
      </c>
      <c r="P199" s="37" t="str" cm="1">
        <f t="array" ref="P199">Common_InputFunctions.Utility_DisplayArrayInTable(SourceData_PastureBeef.SourceData_PastureBeef_LiveweightGainNTQLD_Data(),Table_SourceData_PastureBeef_LiveweightGainNTQLD[[#Headers],[State]],0)</f>
        <v>NO</v>
      </c>
    </row>
    <row r="200" spans="4:16" x14ac:dyDescent="0.25">
      <c r="D200" s="1" t="str" cm="1">
        <f t="array" ref="D200">Common_InputFunctions.Utility_DisplayArrayInTable(SourceData_PastureBeef.SourceData_PastureBeef_LiveweightGainNTQLD_Data(),Table_SourceData_PastureBeef_LiveweightGainNTQLD[[#Headers],[State]],0)</f>
        <v>Queensland</v>
      </c>
      <c r="E200" s="37" t="str" cm="1">
        <f t="array" ref="E200">Common_InputFunctions.Utility_DisplayArrayInTable(SourceData_PastureBeef.SourceData_PastureBeef_LiveweightGainNTQLD_Data(),Table_SourceData_PastureBeef_LiveweightGainNTQLD[[#Headers],[State]],0)</f>
        <v>High</v>
      </c>
      <c r="F200" s="37" t="str" cm="1">
        <f t="array" ref="F200">Common_InputFunctions.Utility_DisplayArrayInTable(SourceData_PastureBeef.SourceData_PastureBeef_LiveweightGainNTQLD_Data(),Table_SourceData_PastureBeef_LiveweightGainNTQLD[[#Headers],[State]],0)</f>
        <v>Spring</v>
      </c>
      <c r="G200" s="37" cm="1">
        <f t="array" ref="G200">Common_InputFunctions.Utility_DisplayArrayInTable(SourceData_PastureBeef.SourceData_PastureBeef_LiveweightGainNTQLD_Data(),Table_SourceData_PastureBeef_LiveweightGainNTQLD[[#Headers],[State]],0)</f>
        <v>0.27</v>
      </c>
      <c r="H200" s="37" cm="1">
        <f t="array" ref="H200">Common_InputFunctions.Utility_DisplayArrayInTable(SourceData_PastureBeef.SourceData_PastureBeef_LiveweightGainNTQLD_Data(),Table_SourceData_PastureBeef_LiveweightGainNTQLD[[#Headers],[State]],0)</f>
        <v>-0.19</v>
      </c>
      <c r="I200" s="37" cm="1">
        <f t="array" ref="I200">Common_InputFunctions.Utility_DisplayArrayInTable(SourceData_PastureBeef.SourceData_PastureBeef_LiveweightGainNTQLD_Data(),Table_SourceData_PastureBeef_LiveweightGainNTQLD[[#Headers],[State]],0)</f>
        <v>0.38</v>
      </c>
      <c r="J200" s="37" cm="1">
        <f t="array" ref="J200">Common_InputFunctions.Utility_DisplayArrayInTable(SourceData_PastureBeef.SourceData_PastureBeef_LiveweightGainNTQLD_Data(),Table_SourceData_PastureBeef_LiveweightGainNTQLD[[#Headers],[State]],0)</f>
        <v>0.25</v>
      </c>
      <c r="K200" s="37" cm="1">
        <f t="array" ref="K200">Common_InputFunctions.Utility_DisplayArrayInTable(SourceData_PastureBeef.SourceData_PastureBeef_LiveweightGainNTQLD_Data(),Table_SourceData_PastureBeef_LiveweightGainNTQLD[[#Headers],[State]],0)</f>
        <v>7.0000000000000007E-2</v>
      </c>
      <c r="L200" s="37" cm="1">
        <f t="array" ref="L200">Common_InputFunctions.Utility_DisplayArrayInTable(SourceData_PastureBeef.SourceData_PastureBeef_LiveweightGainNTQLD_Data(),Table_SourceData_PastureBeef_LiveweightGainNTQLD[[#Headers],[State]],0)</f>
        <v>0.05</v>
      </c>
      <c r="M200" s="37" cm="1">
        <f t="array" ref="M200">Common_InputFunctions.Utility_DisplayArrayInTable(SourceData_PastureBeef.SourceData_PastureBeef_LiveweightGainNTQLD_Data(),Table_SourceData_PastureBeef_LiveweightGainNTQLD[[#Headers],[State]],0)</f>
        <v>0.52</v>
      </c>
      <c r="N200" s="37" cm="1">
        <f t="array" ref="N200">Common_InputFunctions.Utility_DisplayArrayInTable(SourceData_PastureBeef.SourceData_PastureBeef_LiveweightGainNTQLD_Data(),Table_SourceData_PastureBeef_LiveweightGainNTQLD[[#Headers],[State]],0)</f>
        <v>0.55000000000000004</v>
      </c>
      <c r="O200" s="37" cm="1">
        <f t="array" ref="O200">Common_InputFunctions.Utility_DisplayArrayInTable(SourceData_PastureBeef.SourceData_PastureBeef_LiveweightGainNTQLD_Data(),Table_SourceData_PastureBeef_LiveweightGainNTQLD[[#Headers],[State]],0)</f>
        <v>0.19</v>
      </c>
      <c r="P200" s="37" cm="1">
        <f t="array" ref="P200">Common_InputFunctions.Utility_DisplayArrayInTable(SourceData_PastureBeef.SourceData_PastureBeef_LiveweightGainNTQLD_Data(),Table_SourceData_PastureBeef_LiveweightGainNTQLD[[#Headers],[State]],0)</f>
        <v>0.6</v>
      </c>
    </row>
    <row r="201" spans="4:16" x14ac:dyDescent="0.25">
      <c r="D201" s="1" t="str" cm="1">
        <f t="array" ref="D201">Common_InputFunctions.Utility_DisplayArrayInTable(SourceData_PastureBeef.SourceData_PastureBeef_LiveweightGainNTQLD_Data(),Table_SourceData_PastureBeef_LiveweightGainNTQLD[[#Headers],[State]],0)</f>
        <v>Queensland</v>
      </c>
      <c r="E201" s="37" t="str" cm="1">
        <f t="array" ref="E201">Common_InputFunctions.Utility_DisplayArrayInTable(SourceData_PastureBeef.SourceData_PastureBeef_LiveweightGainNTQLD_Data(),Table_SourceData_PastureBeef_LiveweightGainNTQLD[[#Headers],[State]],0)</f>
        <v>High</v>
      </c>
      <c r="F201" s="37" t="str" cm="1">
        <f t="array" ref="F201">Common_InputFunctions.Utility_DisplayArrayInTable(SourceData_PastureBeef.SourceData_PastureBeef_LiveweightGainNTQLD_Data(),Table_SourceData_PastureBeef_LiveweightGainNTQLD[[#Headers],[State]],0)</f>
        <v>Summer</v>
      </c>
      <c r="G201" s="37" cm="1">
        <f t="array" ref="G201">Common_InputFunctions.Utility_DisplayArrayInTable(SourceData_PastureBeef.SourceData_PastureBeef_LiveweightGainNTQLD_Data(),Table_SourceData_PastureBeef_LiveweightGainNTQLD[[#Headers],[State]],0)</f>
        <v>0.16</v>
      </c>
      <c r="H201" s="37" cm="1">
        <f t="array" ref="H201">Common_InputFunctions.Utility_DisplayArrayInTable(SourceData_PastureBeef.SourceData_PastureBeef_LiveweightGainNTQLD_Data(),Table_SourceData_PastureBeef_LiveweightGainNTQLD[[#Headers],[State]],0)</f>
        <v>0.16</v>
      </c>
      <c r="I201" s="37" cm="1">
        <f t="array" ref="I201">Common_InputFunctions.Utility_DisplayArrayInTable(SourceData_PastureBeef.SourceData_PastureBeef_LiveweightGainNTQLD_Data(),Table_SourceData_PastureBeef_LiveweightGainNTQLD[[#Headers],[State]],0)</f>
        <v>0.8</v>
      </c>
      <c r="J201" s="37" cm="1">
        <f t="array" ref="J201">Common_InputFunctions.Utility_DisplayArrayInTable(SourceData_PastureBeef.SourceData_PastureBeef_LiveweightGainNTQLD_Data(),Table_SourceData_PastureBeef_LiveweightGainNTQLD[[#Headers],[State]],0)</f>
        <v>0.56999999999999995</v>
      </c>
      <c r="K201" s="37" cm="1">
        <f t="array" ref="K201">Common_InputFunctions.Utility_DisplayArrayInTable(SourceData_PastureBeef.SourceData_PastureBeef_LiveweightGainNTQLD_Data(),Table_SourceData_PastureBeef_LiveweightGainNTQLD[[#Headers],[State]],0)</f>
        <v>0.76</v>
      </c>
      <c r="L201" s="37" cm="1">
        <f t="array" ref="L201">Common_InputFunctions.Utility_DisplayArrayInTable(SourceData_PastureBeef.SourceData_PastureBeef_LiveweightGainNTQLD_Data(),Table_SourceData_PastureBeef_LiveweightGainNTQLD[[#Headers],[State]],0)</f>
        <v>0.49</v>
      </c>
      <c r="M201" s="37" cm="1">
        <f t="array" ref="M201">Common_InputFunctions.Utility_DisplayArrayInTable(SourceData_PastureBeef.SourceData_PastureBeef_LiveweightGainNTQLD_Data(),Table_SourceData_PastureBeef_LiveweightGainNTQLD[[#Headers],[State]],0)</f>
        <v>0.84</v>
      </c>
      <c r="N201" s="37" cm="1">
        <f t="array" ref="N201">Common_InputFunctions.Utility_DisplayArrayInTable(SourceData_PastureBeef.SourceData_PastureBeef_LiveweightGainNTQLD_Data(),Table_SourceData_PastureBeef_LiveweightGainNTQLD[[#Headers],[State]],0)</f>
        <v>0.51</v>
      </c>
      <c r="O201" s="37" cm="1">
        <f t="array" ref="O201">Common_InputFunctions.Utility_DisplayArrayInTable(SourceData_PastureBeef.SourceData_PastureBeef_LiveweightGainNTQLD_Data(),Table_SourceData_PastureBeef_LiveweightGainNTQLD[[#Headers],[State]],0)</f>
        <v>0.36</v>
      </c>
      <c r="P201" s="37" cm="1">
        <f t="array" ref="P201">Common_InputFunctions.Utility_DisplayArrayInTable(SourceData_PastureBeef.SourceData_PastureBeef_LiveweightGainNTQLD_Data(),Table_SourceData_PastureBeef_LiveweightGainNTQLD[[#Headers],[State]],0)</f>
        <v>0.17</v>
      </c>
    </row>
    <row r="202" spans="4:16" x14ac:dyDescent="0.25">
      <c r="D202" s="1" t="str" cm="1">
        <f t="array" ref="D202">Common_InputFunctions.Utility_DisplayArrayInTable(SourceData_PastureBeef.SourceData_PastureBeef_LiveweightGainNTQLD_Data(),Table_SourceData_PastureBeef_LiveweightGainNTQLD[[#Headers],[State]],0)</f>
        <v>Queensland</v>
      </c>
      <c r="E202" s="37" t="str" cm="1">
        <f t="array" ref="E202">Common_InputFunctions.Utility_DisplayArrayInTable(SourceData_PastureBeef.SourceData_PastureBeef_LiveweightGainNTQLD_Data(),Table_SourceData_PastureBeef_LiveweightGainNTQLD[[#Headers],[State]],0)</f>
        <v>High</v>
      </c>
      <c r="F202" s="37" t="str" cm="1">
        <f t="array" ref="F202">Common_InputFunctions.Utility_DisplayArrayInTable(SourceData_PastureBeef.SourceData_PastureBeef_LiveweightGainNTQLD_Data(),Table_SourceData_PastureBeef_LiveweightGainNTQLD[[#Headers],[State]],0)</f>
        <v>Autumn</v>
      </c>
      <c r="G202" s="37" cm="1">
        <f t="array" ref="G202">Common_InputFunctions.Utility_DisplayArrayInTable(SourceData_PastureBeef.SourceData_PastureBeef_LiveweightGainNTQLD_Data(),Table_SourceData_PastureBeef_LiveweightGainNTQLD[[#Headers],[State]],0)</f>
        <v>0.45</v>
      </c>
      <c r="H202" s="37" cm="1">
        <f t="array" ref="H202">Common_InputFunctions.Utility_DisplayArrayInTable(SourceData_PastureBeef.SourceData_PastureBeef_LiveweightGainNTQLD_Data(),Table_SourceData_PastureBeef_LiveweightGainNTQLD[[#Headers],[State]],0)</f>
        <v>0.1</v>
      </c>
      <c r="I202" s="37" cm="1">
        <f t="array" ref="I202">Common_InputFunctions.Utility_DisplayArrayInTable(SourceData_PastureBeef.SourceData_PastureBeef_LiveweightGainNTQLD_Data(),Table_SourceData_PastureBeef_LiveweightGainNTQLD[[#Headers],[State]],0)</f>
        <v>0.49</v>
      </c>
      <c r="J202" s="37" cm="1">
        <f t="array" ref="J202">Common_InputFunctions.Utility_DisplayArrayInTable(SourceData_PastureBeef.SourceData_PastureBeef_LiveweightGainNTQLD_Data(),Table_SourceData_PastureBeef_LiveweightGainNTQLD[[#Headers],[State]],0)</f>
        <v>0.41</v>
      </c>
      <c r="K202" s="37" cm="1">
        <f t="array" ref="K202">Common_InputFunctions.Utility_DisplayArrayInTable(SourceData_PastureBeef.SourceData_PastureBeef_LiveweightGainNTQLD_Data(),Table_SourceData_PastureBeef_LiveweightGainNTQLD[[#Headers],[State]],0)</f>
        <v>0.4</v>
      </c>
      <c r="L202" s="37" cm="1">
        <f t="array" ref="L202">Common_InputFunctions.Utility_DisplayArrayInTable(SourceData_PastureBeef.SourceData_PastureBeef_LiveweightGainNTQLD_Data(),Table_SourceData_PastureBeef_LiveweightGainNTQLD[[#Headers],[State]],0)</f>
        <v>0.17</v>
      </c>
      <c r="M202" s="37" cm="1">
        <f t="array" ref="M202">Common_InputFunctions.Utility_DisplayArrayInTable(SourceData_PastureBeef.SourceData_PastureBeef_LiveweightGainNTQLD_Data(),Table_SourceData_PastureBeef_LiveweightGainNTQLD[[#Headers],[State]],0)</f>
        <v>0.54</v>
      </c>
      <c r="N202" s="37" cm="1">
        <f t="array" ref="N202">Common_InputFunctions.Utility_DisplayArrayInTable(SourceData_PastureBeef.SourceData_PastureBeef_LiveweightGainNTQLD_Data(),Table_SourceData_PastureBeef_LiveweightGainNTQLD[[#Headers],[State]],0)</f>
        <v>0.64</v>
      </c>
      <c r="O202" s="37" cm="1">
        <f t="array" ref="O202">Common_InputFunctions.Utility_DisplayArrayInTable(SourceData_PastureBeef.SourceData_PastureBeef_LiveweightGainNTQLD_Data(),Table_SourceData_PastureBeef_LiveweightGainNTQLD[[#Headers],[State]],0)</f>
        <v>-0.05</v>
      </c>
      <c r="P202" s="37" cm="1">
        <f t="array" ref="P202">Common_InputFunctions.Utility_DisplayArrayInTable(SourceData_PastureBeef.SourceData_PastureBeef_LiveweightGainNTQLD_Data(),Table_SourceData_PastureBeef_LiveweightGainNTQLD[[#Headers],[State]],0)</f>
        <v>0.32</v>
      </c>
    </row>
    <row r="203" spans="4:16" x14ac:dyDescent="0.25">
      <c r="D203" s="1" t="str" cm="1">
        <f t="array" ref="D203">Common_InputFunctions.Utility_DisplayArrayInTable(SourceData_PastureBeef.SourceData_PastureBeef_LiveweightGainNTQLD_Data(),Table_SourceData_PastureBeef_LiveweightGainNTQLD[[#Headers],[State]],0)</f>
        <v>Queensland</v>
      </c>
      <c r="E203" s="37" t="str" cm="1">
        <f t="array" ref="E203">Common_InputFunctions.Utility_DisplayArrayInTable(SourceData_PastureBeef.SourceData_PastureBeef_LiveweightGainNTQLD_Data(),Table_SourceData_PastureBeef_LiveweightGainNTQLD[[#Headers],[State]],0)</f>
        <v>High</v>
      </c>
      <c r="F203" s="37" t="str" cm="1">
        <f t="array" ref="F203">Common_InputFunctions.Utility_DisplayArrayInTable(SourceData_PastureBeef.SourceData_PastureBeef_LiveweightGainNTQLD_Data(),Table_SourceData_PastureBeef_LiveweightGainNTQLD[[#Headers],[State]],0)</f>
        <v>Winter</v>
      </c>
      <c r="G203" s="37" cm="1">
        <f t="array" ref="G203">Common_InputFunctions.Utility_DisplayArrayInTable(SourceData_PastureBeef.SourceData_PastureBeef_LiveweightGainNTQLD_Data(),Table_SourceData_PastureBeef_LiveweightGainNTQLD[[#Headers],[State]],0)</f>
        <v>0.51</v>
      </c>
      <c r="H203" s="37" cm="1">
        <f t="array" ref="H203">Common_InputFunctions.Utility_DisplayArrayInTable(SourceData_PastureBeef.SourceData_PastureBeef_LiveweightGainNTQLD_Data(),Table_SourceData_PastureBeef_LiveweightGainNTQLD[[#Headers],[State]],0)</f>
        <v>-7.0000000000000007E-2</v>
      </c>
      <c r="I203" s="37" cm="1">
        <f t="array" ref="I203">Common_InputFunctions.Utility_DisplayArrayInTable(SourceData_PastureBeef.SourceData_PastureBeef_LiveweightGainNTQLD_Data(),Table_SourceData_PastureBeef_LiveweightGainNTQLD[[#Headers],[State]],0)</f>
        <v>0.13</v>
      </c>
      <c r="J203" s="37" cm="1">
        <f t="array" ref="J203">Common_InputFunctions.Utility_DisplayArrayInTable(SourceData_PastureBeef.SourceData_PastureBeef_LiveweightGainNTQLD_Data(),Table_SourceData_PastureBeef_LiveweightGainNTQLD[[#Headers],[State]],0)</f>
        <v>-0.09</v>
      </c>
      <c r="K203" s="37" cm="1">
        <f t="array" ref="K203">Common_InputFunctions.Utility_DisplayArrayInTable(SourceData_PastureBeef.SourceData_PastureBeef_LiveweightGainNTQLD_Data(),Table_SourceData_PastureBeef_LiveweightGainNTQLD[[#Headers],[State]],0)</f>
        <v>-0.13</v>
      </c>
      <c r="L203" s="37" cm="1">
        <f t="array" ref="L203">Common_InputFunctions.Utility_DisplayArrayInTable(SourceData_PastureBeef.SourceData_PastureBeef_LiveweightGainNTQLD_Data(),Table_SourceData_PastureBeef_LiveweightGainNTQLD[[#Headers],[State]],0)</f>
        <v>7.0000000000000007E-2</v>
      </c>
      <c r="M203" s="37" cm="1">
        <f t="array" ref="M203">Common_InputFunctions.Utility_DisplayArrayInTable(SourceData_PastureBeef.SourceData_PastureBeef_LiveweightGainNTQLD_Data(),Table_SourceData_PastureBeef_LiveweightGainNTQLD[[#Headers],[State]],0)</f>
        <v>0.25</v>
      </c>
      <c r="N203" s="37" cm="1">
        <f t="array" ref="N203">Common_InputFunctions.Utility_DisplayArrayInTable(SourceData_PastureBeef.SourceData_PastureBeef_LiveweightGainNTQLD_Data(),Table_SourceData_PastureBeef_LiveweightGainNTQLD[[#Headers],[State]],0)</f>
        <v>0.71</v>
      </c>
      <c r="O203" s="37" cm="1">
        <f t="array" ref="O203">Common_InputFunctions.Utility_DisplayArrayInTable(SourceData_PastureBeef.SourceData_PastureBeef_LiveweightGainNTQLD_Data(),Table_SourceData_PastureBeef_LiveweightGainNTQLD[[#Headers],[State]],0)</f>
        <v>0.17</v>
      </c>
      <c r="P203" s="37" cm="1">
        <f t="array" ref="P203">Common_InputFunctions.Utility_DisplayArrayInTable(SourceData_PastureBeef.SourceData_PastureBeef_LiveweightGainNTQLD_Data(),Table_SourceData_PastureBeef_LiveweightGainNTQLD[[#Headers],[State]],0)</f>
        <v>0.43</v>
      </c>
    </row>
    <row r="204" spans="4:16" x14ac:dyDescent="0.25">
      <c r="D204" s="1" t="str" cm="1">
        <f t="array" ref="D204">Common_InputFunctions.Utility_DisplayArrayInTable(SourceData_PastureBeef.SourceData_PastureBeef_LiveweightGainNTQLD_Data(),Table_SourceData_PastureBeef_LiveweightGainNTQLD[[#Headers],[State]],0)</f>
        <v>Queensland</v>
      </c>
      <c r="E204" s="37" t="str" cm="1">
        <f t="array" ref="E204">Common_InputFunctions.Utility_DisplayArrayInTable(SourceData_PastureBeef.SourceData_PastureBeef_LiveweightGainNTQLD_Data(),Table_SourceData_PastureBeef_LiveweightGainNTQLD[[#Headers],[State]],0)</f>
        <v>Moderate/High</v>
      </c>
      <c r="F204" s="37" t="str" cm="1">
        <f t="array" ref="F204">Common_InputFunctions.Utility_DisplayArrayInTable(SourceData_PastureBeef.SourceData_PastureBeef_LiveweightGainNTQLD_Data(),Table_SourceData_PastureBeef_LiveweightGainNTQLD[[#Headers],[State]],0)</f>
        <v>Spring</v>
      </c>
      <c r="G204" s="37" cm="1">
        <f t="array" ref="G204">Common_InputFunctions.Utility_DisplayArrayInTable(SourceData_PastureBeef.SourceData_PastureBeef_LiveweightGainNTQLD_Data(),Table_SourceData_PastureBeef_LiveweightGainNTQLD[[#Headers],[State]],0)</f>
        <v>-0.12</v>
      </c>
      <c r="H204" s="37" cm="1">
        <f t="array" ref="H204">Common_InputFunctions.Utility_DisplayArrayInTable(SourceData_PastureBeef.SourceData_PastureBeef_LiveweightGainNTQLD_Data(),Table_SourceData_PastureBeef_LiveweightGainNTQLD[[#Headers],[State]],0)</f>
        <v>-0.19</v>
      </c>
      <c r="I204" s="37" cm="1">
        <f t="array" ref="I204">Common_InputFunctions.Utility_DisplayArrayInTable(SourceData_PastureBeef.SourceData_PastureBeef_LiveweightGainNTQLD_Data(),Table_SourceData_PastureBeef_LiveweightGainNTQLD[[#Headers],[State]],0)</f>
        <v>0.41</v>
      </c>
      <c r="J204" s="37" cm="1">
        <f t="array" ref="J204">Common_InputFunctions.Utility_DisplayArrayInTable(SourceData_PastureBeef.SourceData_PastureBeef_LiveweightGainNTQLD_Data(),Table_SourceData_PastureBeef_LiveweightGainNTQLD[[#Headers],[State]],0)</f>
        <v>0.09</v>
      </c>
      <c r="K204" s="37" cm="1">
        <f t="array" ref="K204">Common_InputFunctions.Utility_DisplayArrayInTable(SourceData_PastureBeef.SourceData_PastureBeef_LiveweightGainNTQLD_Data(),Table_SourceData_PastureBeef_LiveweightGainNTQLD[[#Headers],[State]],0)</f>
        <v>0.41</v>
      </c>
      <c r="L204" s="37" cm="1">
        <f t="array" ref="L204">Common_InputFunctions.Utility_DisplayArrayInTable(SourceData_PastureBeef.SourceData_PastureBeef_LiveweightGainNTQLD_Data(),Table_SourceData_PastureBeef_LiveweightGainNTQLD[[#Headers],[State]],0)</f>
        <v>-0.19</v>
      </c>
      <c r="M204" s="37" cm="1">
        <f t="array" ref="M204">Common_InputFunctions.Utility_DisplayArrayInTable(SourceData_PastureBeef.SourceData_PastureBeef_LiveweightGainNTQLD_Data(),Table_SourceData_PastureBeef_LiveweightGainNTQLD[[#Headers],[State]],0)</f>
        <v>7.0000000000000007E-2</v>
      </c>
      <c r="N204" s="37" cm="1">
        <f t="array" ref="N204">Common_InputFunctions.Utility_DisplayArrayInTable(SourceData_PastureBeef.SourceData_PastureBeef_LiveweightGainNTQLD_Data(),Table_SourceData_PastureBeef_LiveweightGainNTQLD[[#Headers],[State]],0)</f>
        <v>1.07</v>
      </c>
      <c r="O204" s="37" cm="1">
        <f t="array" ref="O204">Common_InputFunctions.Utility_DisplayArrayInTable(SourceData_PastureBeef.SourceData_PastureBeef_LiveweightGainNTQLD_Data(),Table_SourceData_PastureBeef_LiveweightGainNTQLD[[#Headers],[State]],0)</f>
        <v>-0.08</v>
      </c>
      <c r="P204" s="37" cm="1">
        <f t="array" ref="P204">Common_InputFunctions.Utility_DisplayArrayInTable(SourceData_PastureBeef.SourceData_PastureBeef_LiveweightGainNTQLD_Data(),Table_SourceData_PastureBeef_LiveweightGainNTQLD[[#Headers],[State]],0)</f>
        <v>0</v>
      </c>
    </row>
    <row r="205" spans="4:16" x14ac:dyDescent="0.25">
      <c r="D205" s="1" t="str" cm="1">
        <f t="array" ref="D205">Common_InputFunctions.Utility_DisplayArrayInTable(SourceData_PastureBeef.SourceData_PastureBeef_LiveweightGainNTQLD_Data(),Table_SourceData_PastureBeef_LiveweightGainNTQLD[[#Headers],[State]],0)</f>
        <v>Queensland</v>
      </c>
      <c r="E205" s="37" t="str" cm="1">
        <f t="array" ref="E205">Common_InputFunctions.Utility_DisplayArrayInTable(SourceData_PastureBeef.SourceData_PastureBeef_LiveweightGainNTQLD_Data(),Table_SourceData_PastureBeef_LiveweightGainNTQLD[[#Headers],[State]],0)</f>
        <v>Moderate/High</v>
      </c>
      <c r="F205" s="37" t="str" cm="1">
        <f t="array" ref="F205">Common_InputFunctions.Utility_DisplayArrayInTable(SourceData_PastureBeef.SourceData_PastureBeef_LiveweightGainNTQLD_Data(),Table_SourceData_PastureBeef_LiveweightGainNTQLD[[#Headers],[State]],0)</f>
        <v>Summer</v>
      </c>
      <c r="G205" s="37" cm="1">
        <f t="array" ref="G205">Common_InputFunctions.Utility_DisplayArrayInTable(SourceData_PastureBeef.SourceData_PastureBeef_LiveweightGainNTQLD_Data(),Table_SourceData_PastureBeef_LiveweightGainNTQLD[[#Headers],[State]],0)</f>
        <v>0.65</v>
      </c>
      <c r="H205" s="37" cm="1">
        <f t="array" ref="H205">Common_InputFunctions.Utility_DisplayArrayInTable(SourceData_PastureBeef.SourceData_PastureBeef_LiveweightGainNTQLD_Data(),Table_SourceData_PastureBeef_LiveweightGainNTQLD[[#Headers],[State]],0)</f>
        <v>0.19</v>
      </c>
      <c r="I205" s="37" cm="1">
        <f t="array" ref="I205">Common_InputFunctions.Utility_DisplayArrayInTable(SourceData_PastureBeef.SourceData_PastureBeef_LiveweightGainNTQLD_Data(),Table_SourceData_PastureBeef_LiveweightGainNTQLD[[#Headers],[State]],0)</f>
        <v>0.65</v>
      </c>
      <c r="J205" s="37" cm="1">
        <f t="array" ref="J205">Common_InputFunctions.Utility_DisplayArrayInTable(SourceData_PastureBeef.SourceData_PastureBeef_LiveweightGainNTQLD_Data(),Table_SourceData_PastureBeef_LiveweightGainNTQLD[[#Headers],[State]],0)</f>
        <v>0.51</v>
      </c>
      <c r="K205" s="37" cm="1">
        <f t="array" ref="K205">Common_InputFunctions.Utility_DisplayArrayInTable(SourceData_PastureBeef.SourceData_PastureBeef_LiveweightGainNTQLD_Data(),Table_SourceData_PastureBeef_LiveweightGainNTQLD[[#Headers],[State]],0)</f>
        <v>0.18</v>
      </c>
      <c r="L205" s="37" cm="1">
        <f t="array" ref="L205">Common_InputFunctions.Utility_DisplayArrayInTable(SourceData_PastureBeef.SourceData_PastureBeef_LiveweightGainNTQLD_Data(),Table_SourceData_PastureBeef_LiveweightGainNTQLD[[#Headers],[State]],0)</f>
        <v>0.63</v>
      </c>
      <c r="M205" s="37" cm="1">
        <f t="array" ref="M205">Common_InputFunctions.Utility_DisplayArrayInTable(SourceData_PastureBeef.SourceData_PastureBeef_LiveweightGainNTQLD_Data(),Table_SourceData_PastureBeef_LiveweightGainNTQLD[[#Headers],[State]],0)</f>
        <v>1.3</v>
      </c>
      <c r="N205" s="37" cm="1">
        <f t="array" ref="N205">Common_InputFunctions.Utility_DisplayArrayInTable(SourceData_PastureBeef.SourceData_PastureBeef_LiveweightGainNTQLD_Data(),Table_SourceData_PastureBeef_LiveweightGainNTQLD[[#Headers],[State]],0)</f>
        <v>0.48</v>
      </c>
      <c r="O205" s="37" cm="1">
        <f t="array" ref="O205">Common_InputFunctions.Utility_DisplayArrayInTable(SourceData_PastureBeef.SourceData_PastureBeef_LiveweightGainNTQLD_Data(),Table_SourceData_PastureBeef_LiveweightGainNTQLD[[#Headers],[State]],0)</f>
        <v>1.1200000000000001</v>
      </c>
      <c r="P205" s="37" cm="1">
        <f t="array" ref="P205">Common_InputFunctions.Utility_DisplayArrayInTable(SourceData_PastureBeef.SourceData_PastureBeef_LiveweightGainNTQLD_Data(),Table_SourceData_PastureBeef_LiveweightGainNTQLD[[#Headers],[State]],0)</f>
        <v>0.38</v>
      </c>
    </row>
    <row r="206" spans="4:16" x14ac:dyDescent="0.25">
      <c r="D206" s="1" t="str" cm="1">
        <f t="array" ref="D206">Common_InputFunctions.Utility_DisplayArrayInTable(SourceData_PastureBeef.SourceData_PastureBeef_LiveweightGainNTQLD_Data(),Table_SourceData_PastureBeef_LiveweightGainNTQLD[[#Headers],[State]],0)</f>
        <v>Queensland</v>
      </c>
      <c r="E206" s="37" t="str" cm="1">
        <f t="array" ref="E206">Common_InputFunctions.Utility_DisplayArrayInTable(SourceData_PastureBeef.SourceData_PastureBeef_LiveweightGainNTQLD_Data(),Table_SourceData_PastureBeef_LiveweightGainNTQLD[[#Headers],[State]],0)</f>
        <v>Moderate/High</v>
      </c>
      <c r="F206" s="37" t="str" cm="1">
        <f t="array" ref="F206">Common_InputFunctions.Utility_DisplayArrayInTable(SourceData_PastureBeef.SourceData_PastureBeef_LiveweightGainNTQLD_Data(),Table_SourceData_PastureBeef_LiveweightGainNTQLD[[#Headers],[State]],0)</f>
        <v>Autumn</v>
      </c>
      <c r="G206" s="37" cm="1">
        <f t="array" ref="G206">Common_InputFunctions.Utility_DisplayArrayInTable(SourceData_PastureBeef.SourceData_PastureBeef_LiveweightGainNTQLD_Data(),Table_SourceData_PastureBeef_LiveweightGainNTQLD[[#Headers],[State]],0)</f>
        <v>0.7</v>
      </c>
      <c r="H206" s="37" cm="1">
        <f t="array" ref="H206">Common_InputFunctions.Utility_DisplayArrayInTable(SourceData_PastureBeef.SourceData_PastureBeef_LiveweightGainNTQLD_Data(),Table_SourceData_PastureBeef_LiveweightGainNTQLD[[#Headers],[State]],0)</f>
        <v>0.13</v>
      </c>
      <c r="I206" s="37" cm="1">
        <f t="array" ref="I206">Common_InputFunctions.Utility_DisplayArrayInTable(SourceData_PastureBeef.SourceData_PastureBeef_LiveweightGainNTQLD_Data(),Table_SourceData_PastureBeef_LiveweightGainNTQLD[[#Headers],[State]],0)</f>
        <v>0.52</v>
      </c>
      <c r="J206" s="37" cm="1">
        <f t="array" ref="J206">Common_InputFunctions.Utility_DisplayArrayInTable(SourceData_PastureBeef.SourceData_PastureBeef_LiveweightGainNTQLD_Data(),Table_SourceData_PastureBeef_LiveweightGainNTQLD[[#Headers],[State]],0)</f>
        <v>0.34</v>
      </c>
      <c r="K206" s="37" cm="1">
        <f t="array" ref="K206">Common_InputFunctions.Utility_DisplayArrayInTable(SourceData_PastureBeef.SourceData_PastureBeef_LiveweightGainNTQLD_Data(),Table_SourceData_PastureBeef_LiveweightGainNTQLD[[#Headers],[State]],0)</f>
        <v>0.02</v>
      </c>
      <c r="L206" s="37" cm="1">
        <f t="array" ref="L206">Common_InputFunctions.Utility_DisplayArrayInTable(SourceData_PastureBeef.SourceData_PastureBeef_LiveweightGainNTQLD_Data(),Table_SourceData_PastureBeef_LiveweightGainNTQLD[[#Headers],[State]],0)</f>
        <v>0.04</v>
      </c>
      <c r="M206" s="37" cm="1">
        <f t="array" ref="M206">Common_InputFunctions.Utility_DisplayArrayInTable(SourceData_PastureBeef.SourceData_PastureBeef_LiveweightGainNTQLD_Data(),Table_SourceData_PastureBeef_LiveweightGainNTQLD[[#Headers],[State]],0)</f>
        <v>0.77</v>
      </c>
      <c r="N206" s="37" cm="1">
        <f t="array" ref="N206">Common_InputFunctions.Utility_DisplayArrayInTable(SourceData_PastureBeef.SourceData_PastureBeef_LiveweightGainNTQLD_Data(),Table_SourceData_PastureBeef_LiveweightGainNTQLD[[#Headers],[State]],0)</f>
        <v>0.42</v>
      </c>
      <c r="O206" s="37" cm="1">
        <f t="array" ref="O206">Common_InputFunctions.Utility_DisplayArrayInTable(SourceData_PastureBeef.SourceData_PastureBeef_LiveweightGainNTQLD_Data(),Table_SourceData_PastureBeef_LiveweightGainNTQLD[[#Headers],[State]],0)</f>
        <v>0.12</v>
      </c>
      <c r="P206" s="37" cm="1">
        <f t="array" ref="P206">Common_InputFunctions.Utility_DisplayArrayInTable(SourceData_PastureBeef.SourceData_PastureBeef_LiveweightGainNTQLD_Data(),Table_SourceData_PastureBeef_LiveweightGainNTQLD[[#Headers],[State]],0)</f>
        <v>0.74</v>
      </c>
    </row>
    <row r="207" spans="4:16" x14ac:dyDescent="0.25">
      <c r="D207" s="1" t="str" cm="1">
        <f t="array" ref="D207">Common_InputFunctions.Utility_DisplayArrayInTable(SourceData_PastureBeef.SourceData_PastureBeef_LiveweightGainNTQLD_Data(),Table_SourceData_PastureBeef_LiveweightGainNTQLD[[#Headers],[State]],0)</f>
        <v>Queensland</v>
      </c>
      <c r="E207" s="37" t="str" cm="1">
        <f t="array" ref="E207">Common_InputFunctions.Utility_DisplayArrayInTable(SourceData_PastureBeef.SourceData_PastureBeef_LiveweightGainNTQLD_Data(),Table_SourceData_PastureBeef_LiveweightGainNTQLD[[#Headers],[State]],0)</f>
        <v>Moderate/High</v>
      </c>
      <c r="F207" s="37" t="str" cm="1">
        <f t="array" ref="F207">Common_InputFunctions.Utility_DisplayArrayInTable(SourceData_PastureBeef.SourceData_PastureBeef_LiveweightGainNTQLD_Data(),Table_SourceData_PastureBeef_LiveweightGainNTQLD[[#Headers],[State]],0)</f>
        <v>Winter</v>
      </c>
      <c r="G207" s="37" cm="1">
        <f t="array" ref="G207">Common_InputFunctions.Utility_DisplayArrayInTable(SourceData_PastureBeef.SourceData_PastureBeef_LiveweightGainNTQLD_Data(),Table_SourceData_PastureBeef_LiveweightGainNTQLD[[#Headers],[State]],0)</f>
        <v>0.32</v>
      </c>
      <c r="H207" s="37" cm="1">
        <f t="array" ref="H207">Common_InputFunctions.Utility_DisplayArrayInTable(SourceData_PastureBeef.SourceData_PastureBeef_LiveweightGainNTQLD_Data(),Table_SourceData_PastureBeef_LiveweightGainNTQLD[[#Headers],[State]],0)</f>
        <v>-0.06</v>
      </c>
      <c r="I207" s="37" cm="1">
        <f t="array" ref="I207">Common_InputFunctions.Utility_DisplayArrayInTable(SourceData_PastureBeef.SourceData_PastureBeef_LiveweightGainNTQLD_Data(),Table_SourceData_PastureBeef_LiveweightGainNTQLD[[#Headers],[State]],0)</f>
        <v>0.25</v>
      </c>
      <c r="J207" s="37" cm="1">
        <f t="array" ref="J207">Common_InputFunctions.Utility_DisplayArrayInTable(SourceData_PastureBeef.SourceData_PastureBeef_LiveweightGainNTQLD_Data(),Table_SourceData_PastureBeef_LiveweightGainNTQLD[[#Headers],[State]],0)</f>
        <v>0.19</v>
      </c>
      <c r="K207" s="37" cm="1">
        <f t="array" ref="K207">Common_InputFunctions.Utility_DisplayArrayInTable(SourceData_PastureBeef.SourceData_PastureBeef_LiveweightGainNTQLD_Data(),Table_SourceData_PastureBeef_LiveweightGainNTQLD[[#Headers],[State]],0)</f>
        <v>-0.1</v>
      </c>
      <c r="L207" s="37" cm="1">
        <f t="array" ref="L207">Common_InputFunctions.Utility_DisplayArrayInTable(SourceData_PastureBeef.SourceData_PastureBeef_LiveweightGainNTQLD_Data(),Table_SourceData_PastureBeef_LiveweightGainNTQLD[[#Headers],[State]],0)</f>
        <v>-0.02</v>
      </c>
      <c r="M207" s="37" cm="1">
        <f t="array" ref="M207">Common_InputFunctions.Utility_DisplayArrayInTable(SourceData_PastureBeef.SourceData_PastureBeef_LiveweightGainNTQLD_Data(),Table_SourceData_PastureBeef_LiveweightGainNTQLD[[#Headers],[State]],0)</f>
        <v>0.02</v>
      </c>
      <c r="N207" s="37" cm="1">
        <f t="array" ref="N207">Common_InputFunctions.Utility_DisplayArrayInTable(SourceData_PastureBeef.SourceData_PastureBeef_LiveweightGainNTQLD_Data(),Table_SourceData_PastureBeef_LiveweightGainNTQLD[[#Headers],[State]],0)</f>
        <v>0.23</v>
      </c>
      <c r="O207" s="37" cm="1">
        <f t="array" ref="O207">Common_InputFunctions.Utility_DisplayArrayInTable(SourceData_PastureBeef.SourceData_PastureBeef_LiveweightGainNTQLD_Data(),Table_SourceData_PastureBeef_LiveweightGainNTQLD[[#Headers],[State]],0)</f>
        <v>-0.13</v>
      </c>
      <c r="P207" s="37" cm="1">
        <f t="array" ref="P207">Common_InputFunctions.Utility_DisplayArrayInTable(SourceData_PastureBeef.SourceData_PastureBeef_LiveweightGainNTQLD_Data(),Table_SourceData_PastureBeef_LiveweightGainNTQLD[[#Headers],[State]],0)</f>
        <v>0</v>
      </c>
    </row>
    <row r="208" spans="4:16" x14ac:dyDescent="0.25">
      <c r="D208" s="1" t="str" cm="1">
        <f t="array" ref="D208">Common_InputFunctions.Utility_DisplayArrayInTable(SourceData_PastureBeef.SourceData_PastureBeef_LiveweightGainNTQLD_Data(),Table_SourceData_PastureBeef_LiveweightGainNTQLD[[#Headers],[State]],0)</f>
        <v>Queensland</v>
      </c>
      <c r="E208" s="37" t="str" cm="1">
        <f t="array" ref="E208">Common_InputFunctions.Utility_DisplayArrayInTable(SourceData_PastureBeef.SourceData_PastureBeef_LiveweightGainNTQLD_Data(),Table_SourceData_PastureBeef_LiveweightGainNTQLD[[#Headers],[State]],0)</f>
        <v>Moderate/Low</v>
      </c>
      <c r="F208" s="37" t="str" cm="1">
        <f t="array" ref="F208">Common_InputFunctions.Utility_DisplayArrayInTable(SourceData_PastureBeef.SourceData_PastureBeef_LiveweightGainNTQLD_Data(),Table_SourceData_PastureBeef_LiveweightGainNTQLD[[#Headers],[State]],0)</f>
        <v>Spring</v>
      </c>
      <c r="G208" s="37" cm="1">
        <f t="array" ref="G208">Common_InputFunctions.Utility_DisplayArrayInTable(SourceData_PastureBeef.SourceData_PastureBeef_LiveweightGainNTQLD_Data(),Table_SourceData_PastureBeef_LiveweightGainNTQLD[[#Headers],[State]],0)</f>
        <v>0.62</v>
      </c>
      <c r="H208" s="37" cm="1">
        <f t="array" ref="H208">Common_InputFunctions.Utility_DisplayArrayInTable(SourceData_PastureBeef.SourceData_PastureBeef_LiveweightGainNTQLD_Data(),Table_SourceData_PastureBeef_LiveweightGainNTQLD[[#Headers],[State]],0)</f>
        <v>-0.19</v>
      </c>
      <c r="I208" s="37" cm="1">
        <f t="array" ref="I208">Common_InputFunctions.Utility_DisplayArrayInTable(SourceData_PastureBeef.SourceData_PastureBeef_LiveweightGainNTQLD_Data(),Table_SourceData_PastureBeef_LiveweightGainNTQLD[[#Headers],[State]],0)</f>
        <v>0.37</v>
      </c>
      <c r="J208" s="37" cm="1">
        <f t="array" ref="J208">Common_InputFunctions.Utility_DisplayArrayInTable(SourceData_PastureBeef.SourceData_PastureBeef_LiveweightGainNTQLD_Data(),Table_SourceData_PastureBeef_LiveweightGainNTQLD[[#Headers],[State]],0)</f>
        <v>0.41</v>
      </c>
      <c r="K208" s="37" cm="1">
        <f t="array" ref="K208">Common_InputFunctions.Utility_DisplayArrayInTable(SourceData_PastureBeef.SourceData_PastureBeef_LiveweightGainNTQLD_Data(),Table_SourceData_PastureBeef_LiveweightGainNTQLD[[#Headers],[State]],0)</f>
        <v>0.06</v>
      </c>
      <c r="L208" s="37" cm="1">
        <f t="array" ref="L208">Common_InputFunctions.Utility_DisplayArrayInTable(SourceData_PastureBeef.SourceData_PastureBeef_LiveweightGainNTQLD_Data(),Table_SourceData_PastureBeef_LiveweightGainNTQLD[[#Headers],[State]],0)</f>
        <v>-0.02</v>
      </c>
      <c r="M208" s="37" cm="1">
        <f t="array" ref="M208">Common_InputFunctions.Utility_DisplayArrayInTable(SourceData_PastureBeef.SourceData_PastureBeef_LiveweightGainNTQLD_Data(),Table_SourceData_PastureBeef_LiveweightGainNTQLD[[#Headers],[State]],0)</f>
        <v>0.47</v>
      </c>
      <c r="N208" s="37" cm="1">
        <f t="array" ref="N208">Common_InputFunctions.Utility_DisplayArrayInTable(SourceData_PastureBeef.SourceData_PastureBeef_LiveweightGainNTQLD_Data(),Table_SourceData_PastureBeef_LiveweightGainNTQLD[[#Headers],[State]],0)</f>
        <v>0.44</v>
      </c>
      <c r="O208" s="37" cm="1">
        <f t="array" ref="O208">Common_InputFunctions.Utility_DisplayArrayInTable(SourceData_PastureBeef.SourceData_PastureBeef_LiveweightGainNTQLD_Data(),Table_SourceData_PastureBeef_LiveweightGainNTQLD[[#Headers],[State]],0)</f>
        <v>0.3</v>
      </c>
      <c r="P208" s="37" cm="1">
        <f t="array" ref="P208">Common_InputFunctions.Utility_DisplayArrayInTable(SourceData_PastureBeef.SourceData_PastureBeef_LiveweightGainNTQLD_Data(),Table_SourceData_PastureBeef_LiveweightGainNTQLD[[#Headers],[State]],0)</f>
        <v>0.13</v>
      </c>
    </row>
    <row r="209" spans="4:16" x14ac:dyDescent="0.25">
      <c r="D209" s="1" t="str" cm="1">
        <f t="array" ref="D209">Common_InputFunctions.Utility_DisplayArrayInTable(SourceData_PastureBeef.SourceData_PastureBeef_LiveweightGainNTQLD_Data(),Table_SourceData_PastureBeef_LiveweightGainNTQLD[[#Headers],[State]],0)</f>
        <v>Queensland</v>
      </c>
      <c r="E209" s="37" t="str" cm="1">
        <f t="array" ref="E209">Common_InputFunctions.Utility_DisplayArrayInTable(SourceData_PastureBeef.SourceData_PastureBeef_LiveweightGainNTQLD_Data(),Table_SourceData_PastureBeef_LiveweightGainNTQLD[[#Headers],[State]],0)</f>
        <v>Moderate/Low</v>
      </c>
      <c r="F209" s="37" t="str" cm="1">
        <f t="array" ref="F209">Common_InputFunctions.Utility_DisplayArrayInTable(SourceData_PastureBeef.SourceData_PastureBeef_LiveweightGainNTQLD_Data(),Table_SourceData_PastureBeef_LiveweightGainNTQLD[[#Headers],[State]],0)</f>
        <v>Summer</v>
      </c>
      <c r="G209" s="37" cm="1">
        <f t="array" ref="G209">Common_InputFunctions.Utility_DisplayArrayInTable(SourceData_PastureBeef.SourceData_PastureBeef_LiveweightGainNTQLD_Data(),Table_SourceData_PastureBeef_LiveweightGainNTQLD[[#Headers],[State]],0)</f>
        <v>0.05</v>
      </c>
      <c r="H209" s="37" cm="1">
        <f t="array" ref="H209">Common_InputFunctions.Utility_DisplayArrayInTable(SourceData_PastureBeef.SourceData_PastureBeef_LiveweightGainNTQLD_Data(),Table_SourceData_PastureBeef_LiveweightGainNTQLD[[#Headers],[State]],0)</f>
        <v>0.19</v>
      </c>
      <c r="I209" s="37" cm="1">
        <f t="array" ref="I209">Common_InputFunctions.Utility_DisplayArrayInTable(SourceData_PastureBeef.SourceData_PastureBeef_LiveweightGainNTQLD_Data(),Table_SourceData_PastureBeef_LiveweightGainNTQLD[[#Headers],[State]],0)</f>
        <v>0.31</v>
      </c>
      <c r="J209" s="37" cm="1">
        <f t="array" ref="J209">Common_InputFunctions.Utility_DisplayArrayInTable(SourceData_PastureBeef.SourceData_PastureBeef_LiveweightGainNTQLD_Data(),Table_SourceData_PastureBeef_LiveweightGainNTQLD[[#Headers],[State]],0)</f>
        <v>0.54</v>
      </c>
      <c r="K209" s="37" cm="1">
        <f t="array" ref="K209">Common_InputFunctions.Utility_DisplayArrayInTable(SourceData_PastureBeef.SourceData_PastureBeef_LiveweightGainNTQLD_Data(),Table_SourceData_PastureBeef_LiveweightGainNTQLD[[#Headers],[State]],0)</f>
        <v>0.53</v>
      </c>
      <c r="L209" s="37" cm="1">
        <f t="array" ref="L209">Common_InputFunctions.Utility_DisplayArrayInTable(SourceData_PastureBeef.SourceData_PastureBeef_LiveweightGainNTQLD_Data(),Table_SourceData_PastureBeef_LiveweightGainNTQLD[[#Headers],[State]],0)</f>
        <v>0.15</v>
      </c>
      <c r="M209" s="37" cm="1">
        <f t="array" ref="M209">Common_InputFunctions.Utility_DisplayArrayInTable(SourceData_PastureBeef.SourceData_PastureBeef_LiveweightGainNTQLD_Data(),Table_SourceData_PastureBeef_LiveweightGainNTQLD[[#Headers],[State]],0)</f>
        <v>0.28000000000000003</v>
      </c>
      <c r="N209" s="37" cm="1">
        <f t="array" ref="N209">Common_InputFunctions.Utility_DisplayArrayInTable(SourceData_PastureBeef.SourceData_PastureBeef_LiveweightGainNTQLD_Data(),Table_SourceData_PastureBeef_LiveweightGainNTQLD[[#Headers],[State]],0)</f>
        <v>0.56999999999999995</v>
      </c>
      <c r="O209" s="37" cm="1">
        <f t="array" ref="O209">Common_InputFunctions.Utility_DisplayArrayInTable(SourceData_PastureBeef.SourceData_PastureBeef_LiveweightGainNTQLD_Data(),Table_SourceData_PastureBeef_LiveweightGainNTQLD[[#Headers],[State]],0)</f>
        <v>0.42</v>
      </c>
      <c r="P209" s="37" cm="1">
        <f t="array" ref="P209">Common_InputFunctions.Utility_DisplayArrayInTable(SourceData_PastureBeef.SourceData_PastureBeef_LiveweightGainNTQLD_Data(),Table_SourceData_PastureBeef_LiveweightGainNTQLD[[#Headers],[State]],0)</f>
        <v>0.4</v>
      </c>
    </row>
    <row r="210" spans="4:16" x14ac:dyDescent="0.25">
      <c r="D210" s="1" t="str" cm="1">
        <f t="array" ref="D210">Common_InputFunctions.Utility_DisplayArrayInTable(SourceData_PastureBeef.SourceData_PastureBeef_LiveweightGainNTQLD_Data(),Table_SourceData_PastureBeef_LiveweightGainNTQLD[[#Headers],[State]],0)</f>
        <v>Queensland</v>
      </c>
      <c r="E210" s="37" t="str" cm="1">
        <f t="array" ref="E210">Common_InputFunctions.Utility_DisplayArrayInTable(SourceData_PastureBeef.SourceData_PastureBeef_LiveweightGainNTQLD_Data(),Table_SourceData_PastureBeef_LiveweightGainNTQLD[[#Headers],[State]],0)</f>
        <v>Moderate/Low</v>
      </c>
      <c r="F210" s="37" t="str" cm="1">
        <f t="array" ref="F210">Common_InputFunctions.Utility_DisplayArrayInTable(SourceData_PastureBeef.SourceData_PastureBeef_LiveweightGainNTQLD_Data(),Table_SourceData_PastureBeef_LiveweightGainNTQLD[[#Headers],[State]],0)</f>
        <v>Autumn</v>
      </c>
      <c r="G210" s="37" cm="1">
        <f t="array" ref="G210">Common_InputFunctions.Utility_DisplayArrayInTable(SourceData_PastureBeef.SourceData_PastureBeef_LiveweightGainNTQLD_Data(),Table_SourceData_PastureBeef_LiveweightGainNTQLD[[#Headers],[State]],0)</f>
        <v>0.33</v>
      </c>
      <c r="H210" s="37" cm="1">
        <f t="array" ref="H210">Common_InputFunctions.Utility_DisplayArrayInTable(SourceData_PastureBeef.SourceData_PastureBeef_LiveweightGainNTQLD_Data(),Table_SourceData_PastureBeef_LiveweightGainNTQLD[[#Headers],[State]],0)</f>
        <v>0.13</v>
      </c>
      <c r="I210" s="37" cm="1">
        <f t="array" ref="I210">Common_InputFunctions.Utility_DisplayArrayInTable(SourceData_PastureBeef.SourceData_PastureBeef_LiveweightGainNTQLD_Data(),Table_SourceData_PastureBeef_LiveweightGainNTQLD[[#Headers],[State]],0)</f>
        <v>0.39</v>
      </c>
      <c r="J210" s="37" cm="1">
        <f t="array" ref="J210">Common_InputFunctions.Utility_DisplayArrayInTable(SourceData_PastureBeef.SourceData_PastureBeef_LiveweightGainNTQLD_Data(),Table_SourceData_PastureBeef_LiveweightGainNTQLD[[#Headers],[State]],0)</f>
        <v>0.36</v>
      </c>
      <c r="K210" s="37" cm="1">
        <f t="array" ref="K210">Common_InputFunctions.Utility_DisplayArrayInTable(SourceData_PastureBeef.SourceData_PastureBeef_LiveweightGainNTQLD_Data(),Table_SourceData_PastureBeef_LiveweightGainNTQLD[[#Headers],[State]],0)</f>
        <v>0.26</v>
      </c>
      <c r="L210" s="37" cm="1">
        <f t="array" ref="L210">Common_InputFunctions.Utility_DisplayArrayInTable(SourceData_PastureBeef.SourceData_PastureBeef_LiveweightGainNTQLD_Data(),Table_SourceData_PastureBeef_LiveweightGainNTQLD[[#Headers],[State]],0)</f>
        <v>0.11</v>
      </c>
      <c r="M210" s="37" cm="1">
        <f t="array" ref="M210">Common_InputFunctions.Utility_DisplayArrayInTable(SourceData_PastureBeef.SourceData_PastureBeef_LiveweightGainNTQLD_Data(),Table_SourceData_PastureBeef_LiveweightGainNTQLD[[#Headers],[State]],0)</f>
        <v>0.4</v>
      </c>
      <c r="N210" s="37" cm="1">
        <f t="array" ref="N210">Common_InputFunctions.Utility_DisplayArrayInTable(SourceData_PastureBeef.SourceData_PastureBeef_LiveweightGainNTQLD_Data(),Table_SourceData_PastureBeef_LiveweightGainNTQLD[[#Headers],[State]],0)</f>
        <v>0.44</v>
      </c>
      <c r="O210" s="37" cm="1">
        <f t="array" ref="O210">Common_InputFunctions.Utility_DisplayArrayInTable(SourceData_PastureBeef.SourceData_PastureBeef_LiveweightGainNTQLD_Data(),Table_SourceData_PastureBeef_LiveweightGainNTQLD[[#Headers],[State]],0)</f>
        <v>0.37</v>
      </c>
      <c r="P210" s="37" cm="1">
        <f t="array" ref="P210">Common_InputFunctions.Utility_DisplayArrayInTable(SourceData_PastureBeef.SourceData_PastureBeef_LiveweightGainNTQLD_Data(),Table_SourceData_PastureBeef_LiveweightGainNTQLD[[#Headers],[State]],0)</f>
        <v>-0.01</v>
      </c>
    </row>
    <row r="211" spans="4:16" x14ac:dyDescent="0.25">
      <c r="D211" s="1" t="str" cm="1">
        <f t="array" ref="D211">Common_InputFunctions.Utility_DisplayArrayInTable(SourceData_PastureBeef.SourceData_PastureBeef_LiveweightGainNTQLD_Data(),Table_SourceData_PastureBeef_LiveweightGainNTQLD[[#Headers],[State]],0)</f>
        <v>Queensland</v>
      </c>
      <c r="E211" s="37" t="str" cm="1">
        <f t="array" ref="E211">Common_InputFunctions.Utility_DisplayArrayInTable(SourceData_PastureBeef.SourceData_PastureBeef_LiveweightGainNTQLD_Data(),Table_SourceData_PastureBeef_LiveweightGainNTQLD[[#Headers],[State]],0)</f>
        <v>Moderate/Low</v>
      </c>
      <c r="F211" s="37" t="str" cm="1">
        <f t="array" ref="F211">Common_InputFunctions.Utility_DisplayArrayInTable(SourceData_PastureBeef.SourceData_PastureBeef_LiveweightGainNTQLD_Data(),Table_SourceData_PastureBeef_LiveweightGainNTQLD[[#Headers],[State]],0)</f>
        <v>Winter</v>
      </c>
      <c r="G211" s="37" cm="1">
        <f t="array" ref="G211">Common_InputFunctions.Utility_DisplayArrayInTable(SourceData_PastureBeef.SourceData_PastureBeef_LiveweightGainNTQLD_Data(),Table_SourceData_PastureBeef_LiveweightGainNTQLD[[#Headers],[State]],0)</f>
        <v>0.61</v>
      </c>
      <c r="H211" s="37" cm="1">
        <f t="array" ref="H211">Common_InputFunctions.Utility_DisplayArrayInTable(SourceData_PastureBeef.SourceData_PastureBeef_LiveweightGainNTQLD_Data(),Table_SourceData_PastureBeef_LiveweightGainNTQLD[[#Headers],[State]],0)</f>
        <v>-0.06</v>
      </c>
      <c r="I211" s="37" cm="1">
        <f t="array" ref="I211">Common_InputFunctions.Utility_DisplayArrayInTable(SourceData_PastureBeef.SourceData_PastureBeef_LiveweightGainNTQLD_Data(),Table_SourceData_PastureBeef_LiveweightGainNTQLD[[#Headers],[State]],0)</f>
        <v>0.21</v>
      </c>
      <c r="J211" s="37" cm="1">
        <f t="array" ref="J211">Common_InputFunctions.Utility_DisplayArrayInTable(SourceData_PastureBeef.SourceData_PastureBeef_LiveweightGainNTQLD_Data(),Table_SourceData_PastureBeef_LiveweightGainNTQLD[[#Headers],[State]],0)</f>
        <v>0.18</v>
      </c>
      <c r="K211" s="37" cm="1">
        <f t="array" ref="K211">Common_InputFunctions.Utility_DisplayArrayInTable(SourceData_PastureBeef.SourceData_PastureBeef_LiveweightGainNTQLD_Data(),Table_SourceData_PastureBeef_LiveweightGainNTQLD[[#Headers],[State]],0)</f>
        <v>0.12</v>
      </c>
      <c r="L211" s="37" cm="1">
        <f t="array" ref="L211">Common_InputFunctions.Utility_DisplayArrayInTable(SourceData_PastureBeef.SourceData_PastureBeef_LiveweightGainNTQLD_Data(),Table_SourceData_PastureBeef_LiveweightGainNTQLD[[#Headers],[State]],0)</f>
        <v>0.06</v>
      </c>
      <c r="M211" s="37" cm="1">
        <f t="array" ref="M211">Common_InputFunctions.Utility_DisplayArrayInTable(SourceData_PastureBeef.SourceData_PastureBeef_LiveweightGainNTQLD_Data(),Table_SourceData_PastureBeef_LiveweightGainNTQLD[[#Headers],[State]],0)</f>
        <v>0.28999999999999998</v>
      </c>
      <c r="N211" s="37" cm="1">
        <f t="array" ref="N211">Common_InputFunctions.Utility_DisplayArrayInTable(SourceData_PastureBeef.SourceData_PastureBeef_LiveweightGainNTQLD_Data(),Table_SourceData_PastureBeef_LiveweightGainNTQLD[[#Headers],[State]],0)</f>
        <v>0.41</v>
      </c>
      <c r="O211" s="37" cm="1">
        <f t="array" ref="O211">Common_InputFunctions.Utility_DisplayArrayInTable(SourceData_PastureBeef.SourceData_PastureBeef_LiveweightGainNTQLD_Data(),Table_SourceData_PastureBeef_LiveweightGainNTQLD[[#Headers],[State]],0)</f>
        <v>0.41</v>
      </c>
      <c r="P211" s="37" cm="1">
        <f t="array" ref="P211">Common_InputFunctions.Utility_DisplayArrayInTable(SourceData_PastureBeef.SourceData_PastureBeef_LiveweightGainNTQLD_Data(),Table_SourceData_PastureBeef_LiveweightGainNTQLD[[#Headers],[State]],0)</f>
        <v>-0.15</v>
      </c>
    </row>
    <row r="212" spans="4:16" x14ac:dyDescent="0.25">
      <c r="D212" s="1" t="str" cm="1">
        <f t="array" ref="D212">Common_InputFunctions.Utility_DisplayArrayInTable(SourceData_PastureBeef.SourceData_PastureBeef_LiveweightGainNTQLD_Data(),Table_SourceData_PastureBeef_LiveweightGainNTQLD[[#Headers],[State]],0)</f>
        <v>Queensland</v>
      </c>
      <c r="E212" s="37" t="str" cm="1">
        <f t="array" ref="E212">Common_InputFunctions.Utility_DisplayArrayInTable(SourceData_PastureBeef.SourceData_PastureBeef_LiveweightGainNTQLD_Data(),Table_SourceData_PastureBeef_LiveweightGainNTQLD[[#Headers],[State]],0)</f>
        <v>Low</v>
      </c>
      <c r="F212" s="37" t="str" cm="1">
        <f t="array" ref="F212">Common_InputFunctions.Utility_DisplayArrayInTable(SourceData_PastureBeef.SourceData_PastureBeef_LiveweightGainNTQLD_Data(),Table_SourceData_PastureBeef_LiveweightGainNTQLD[[#Headers],[State]],0)</f>
        <v>Spring</v>
      </c>
      <c r="G212" s="37" cm="1">
        <f t="array" ref="G212">Common_InputFunctions.Utility_DisplayArrayInTable(SourceData_PastureBeef.SourceData_PastureBeef_LiveweightGainNTQLD_Data(),Table_SourceData_PastureBeef_LiveweightGainNTQLD[[#Headers],[State]],0)</f>
        <v>-0.2</v>
      </c>
      <c r="H212" s="37" cm="1">
        <f t="array" ref="H212">Common_InputFunctions.Utility_DisplayArrayInTable(SourceData_PastureBeef.SourceData_PastureBeef_LiveweightGainNTQLD_Data(),Table_SourceData_PastureBeef_LiveweightGainNTQLD[[#Headers],[State]],0)</f>
        <v>0.02</v>
      </c>
      <c r="I212" s="37" cm="1">
        <f t="array" ref="I212">Common_InputFunctions.Utility_DisplayArrayInTable(SourceData_PastureBeef.SourceData_PastureBeef_LiveweightGainNTQLD_Data(),Table_SourceData_PastureBeef_LiveweightGainNTQLD[[#Headers],[State]],0)</f>
        <v>0.24</v>
      </c>
      <c r="J212" s="37" cm="1">
        <f t="array" ref="J212">Common_InputFunctions.Utility_DisplayArrayInTable(SourceData_PastureBeef.SourceData_PastureBeef_LiveweightGainNTQLD_Data(),Table_SourceData_PastureBeef_LiveweightGainNTQLD[[#Headers],[State]],0)</f>
        <v>0.3</v>
      </c>
      <c r="K212" s="37" cm="1">
        <f t="array" ref="K212">Common_InputFunctions.Utility_DisplayArrayInTable(SourceData_PastureBeef.SourceData_PastureBeef_LiveweightGainNTQLD_Data(),Table_SourceData_PastureBeef_LiveweightGainNTQLD[[#Headers],[State]],0)</f>
        <v>0.23</v>
      </c>
      <c r="L212" s="37" cm="1">
        <f t="array" ref="L212">Common_InputFunctions.Utility_DisplayArrayInTable(SourceData_PastureBeef.SourceData_PastureBeef_LiveweightGainNTQLD_Data(),Table_SourceData_PastureBeef_LiveweightGainNTQLD[[#Headers],[State]],0)</f>
        <v>-0.05</v>
      </c>
      <c r="M212" s="37" cm="1">
        <f t="array" ref="M212">Common_InputFunctions.Utility_DisplayArrayInTable(SourceData_PastureBeef.SourceData_PastureBeef_LiveweightGainNTQLD_Data(),Table_SourceData_PastureBeef_LiveweightGainNTQLD[[#Headers],[State]],0)</f>
        <v>0.34</v>
      </c>
      <c r="N212" s="37" cm="1">
        <f t="array" ref="N212">Common_InputFunctions.Utility_DisplayArrayInTable(SourceData_PastureBeef.SourceData_PastureBeef_LiveweightGainNTQLD_Data(),Table_SourceData_PastureBeef_LiveweightGainNTQLD[[#Headers],[State]],0)</f>
        <v>0.3</v>
      </c>
      <c r="O212" s="37" cm="1">
        <f t="array" ref="O212">Common_InputFunctions.Utility_DisplayArrayInTable(SourceData_PastureBeef.SourceData_PastureBeef_LiveweightGainNTQLD_Data(),Table_SourceData_PastureBeef_LiveweightGainNTQLD[[#Headers],[State]],0)</f>
        <v>0.56999999999999995</v>
      </c>
      <c r="P212" s="37" cm="1">
        <f t="array" ref="P212">Common_InputFunctions.Utility_DisplayArrayInTable(SourceData_PastureBeef.SourceData_PastureBeef_LiveweightGainNTQLD_Data(),Table_SourceData_PastureBeef_LiveweightGainNTQLD[[#Headers],[State]],0)</f>
        <v>0.52</v>
      </c>
    </row>
    <row r="213" spans="4:16" x14ac:dyDescent="0.25">
      <c r="D213" s="1" t="str" cm="1">
        <f t="array" ref="D213">Common_InputFunctions.Utility_DisplayArrayInTable(SourceData_PastureBeef.SourceData_PastureBeef_LiveweightGainNTQLD_Data(),Table_SourceData_PastureBeef_LiveweightGainNTQLD[[#Headers],[State]],0)</f>
        <v>Queensland</v>
      </c>
      <c r="E213" s="37" t="str" cm="1">
        <f t="array" ref="E213">Common_InputFunctions.Utility_DisplayArrayInTable(SourceData_PastureBeef.SourceData_PastureBeef_LiveweightGainNTQLD_Data(),Table_SourceData_PastureBeef_LiveweightGainNTQLD[[#Headers],[State]],0)</f>
        <v>Low</v>
      </c>
      <c r="F213" s="37" t="str" cm="1">
        <f t="array" ref="F213">Common_InputFunctions.Utility_DisplayArrayInTable(SourceData_PastureBeef.SourceData_PastureBeef_LiveweightGainNTQLD_Data(),Table_SourceData_PastureBeef_LiveweightGainNTQLD[[#Headers],[State]],0)</f>
        <v>Summer</v>
      </c>
      <c r="G213" s="37" cm="1">
        <f t="array" ref="G213">Common_InputFunctions.Utility_DisplayArrayInTable(SourceData_PastureBeef.SourceData_PastureBeef_LiveweightGainNTQLD_Data(),Table_SourceData_PastureBeef_LiveweightGainNTQLD[[#Headers],[State]],0)</f>
        <v>0.62</v>
      </c>
      <c r="H213" s="37" cm="1">
        <f t="array" ref="H213">Common_InputFunctions.Utility_DisplayArrayInTable(SourceData_PastureBeef.SourceData_PastureBeef_LiveweightGainNTQLD_Data(),Table_SourceData_PastureBeef_LiveweightGainNTQLD[[#Headers],[State]],0)</f>
        <v>0.21</v>
      </c>
      <c r="I213" s="37" cm="1">
        <f t="array" ref="I213">Common_InputFunctions.Utility_DisplayArrayInTable(SourceData_PastureBeef.SourceData_PastureBeef_LiveweightGainNTQLD_Data(),Table_SourceData_PastureBeef_LiveweightGainNTQLD[[#Headers],[State]],0)</f>
        <v>0.25</v>
      </c>
      <c r="J213" s="37" cm="1">
        <f t="array" ref="J213">Common_InputFunctions.Utility_DisplayArrayInTable(SourceData_PastureBeef.SourceData_PastureBeef_LiveweightGainNTQLD_Data(),Table_SourceData_PastureBeef_LiveweightGainNTQLD[[#Headers],[State]],0)</f>
        <v>0.32</v>
      </c>
      <c r="K213" s="37" cm="1">
        <f t="array" ref="K213">Common_InputFunctions.Utility_DisplayArrayInTable(SourceData_PastureBeef.SourceData_PastureBeef_LiveweightGainNTQLD_Data(),Table_SourceData_PastureBeef_LiveweightGainNTQLD[[#Headers],[State]],0)</f>
        <v>0.47</v>
      </c>
      <c r="L213" s="37" cm="1">
        <f t="array" ref="L213">Common_InputFunctions.Utility_DisplayArrayInTable(SourceData_PastureBeef.SourceData_PastureBeef_LiveweightGainNTQLD_Data(),Table_SourceData_PastureBeef_LiveweightGainNTQLD[[#Headers],[State]],0)</f>
        <v>0.31</v>
      </c>
      <c r="M213" s="37" cm="1">
        <f t="array" ref="M213">Common_InputFunctions.Utility_DisplayArrayInTable(SourceData_PastureBeef.SourceData_PastureBeef_LiveweightGainNTQLD_Data(),Table_SourceData_PastureBeef_LiveweightGainNTQLD[[#Headers],[State]],0)</f>
        <v>0.14000000000000001</v>
      </c>
      <c r="N213" s="37" cm="1">
        <f t="array" ref="N213">Common_InputFunctions.Utility_DisplayArrayInTable(SourceData_PastureBeef.SourceData_PastureBeef_LiveweightGainNTQLD_Data(),Table_SourceData_PastureBeef_LiveweightGainNTQLD[[#Headers],[State]],0)</f>
        <v>0.4</v>
      </c>
      <c r="O213" s="37" cm="1">
        <f t="array" ref="O213">Common_InputFunctions.Utility_DisplayArrayInTable(SourceData_PastureBeef.SourceData_PastureBeef_LiveweightGainNTQLD_Data(),Table_SourceData_PastureBeef_LiveweightGainNTQLD[[#Headers],[State]],0)</f>
        <v>0.26</v>
      </c>
      <c r="P213" s="37" cm="1">
        <f t="array" ref="P213">Common_InputFunctions.Utility_DisplayArrayInTable(SourceData_PastureBeef.SourceData_PastureBeef_LiveweightGainNTQLD_Data(),Table_SourceData_PastureBeef_LiveweightGainNTQLD[[#Headers],[State]],0)</f>
        <v>0.43</v>
      </c>
    </row>
    <row r="214" spans="4:16" x14ac:dyDescent="0.25">
      <c r="D214" s="1" t="str" cm="1">
        <f t="array" ref="D214">Common_InputFunctions.Utility_DisplayArrayInTable(SourceData_PastureBeef.SourceData_PastureBeef_LiveweightGainNTQLD_Data(),Table_SourceData_PastureBeef_LiveweightGainNTQLD[[#Headers],[State]],0)</f>
        <v>Queensland</v>
      </c>
      <c r="E214" s="37" t="str" cm="1">
        <f t="array" ref="E214">Common_InputFunctions.Utility_DisplayArrayInTable(SourceData_PastureBeef.SourceData_PastureBeef_LiveweightGainNTQLD_Data(),Table_SourceData_PastureBeef_LiveweightGainNTQLD[[#Headers],[State]],0)</f>
        <v>Low</v>
      </c>
      <c r="F214" s="37" t="str" cm="1">
        <f t="array" ref="F214">Common_InputFunctions.Utility_DisplayArrayInTable(SourceData_PastureBeef.SourceData_PastureBeef_LiveweightGainNTQLD_Data(),Table_SourceData_PastureBeef_LiveweightGainNTQLD[[#Headers],[State]],0)</f>
        <v>Autumn</v>
      </c>
      <c r="G214" s="37" cm="1">
        <f t="array" ref="G214">Common_InputFunctions.Utility_DisplayArrayInTable(SourceData_PastureBeef.SourceData_PastureBeef_LiveweightGainNTQLD_Data(),Table_SourceData_PastureBeef_LiveweightGainNTQLD[[#Headers],[State]],0)</f>
        <v>0.4</v>
      </c>
      <c r="H214" s="37" cm="1">
        <f t="array" ref="H214">Common_InputFunctions.Utility_DisplayArrayInTable(SourceData_PastureBeef.SourceData_PastureBeef_LiveweightGainNTQLD_Data(),Table_SourceData_PastureBeef_LiveweightGainNTQLD[[#Headers],[State]],0)</f>
        <v>0.13</v>
      </c>
      <c r="I214" s="37" cm="1">
        <f t="array" ref="I214">Common_InputFunctions.Utility_DisplayArrayInTable(SourceData_PastureBeef.SourceData_PastureBeef_LiveweightGainNTQLD_Data(),Table_SourceData_PastureBeef_LiveweightGainNTQLD[[#Headers],[State]],0)</f>
        <v>0.12</v>
      </c>
      <c r="J214" s="37" cm="1">
        <f t="array" ref="J214">Common_InputFunctions.Utility_DisplayArrayInTable(SourceData_PastureBeef.SourceData_PastureBeef_LiveweightGainNTQLD_Data(),Table_SourceData_PastureBeef_LiveweightGainNTQLD[[#Headers],[State]],0)</f>
        <v>0.27</v>
      </c>
      <c r="K214" s="37" cm="1">
        <f t="array" ref="K214">Common_InputFunctions.Utility_DisplayArrayInTable(SourceData_PastureBeef.SourceData_PastureBeef_LiveweightGainNTQLD_Data(),Table_SourceData_PastureBeef_LiveweightGainNTQLD[[#Headers],[State]],0)</f>
        <v>0.3</v>
      </c>
      <c r="L214" s="37" cm="1">
        <f t="array" ref="L214">Common_InputFunctions.Utility_DisplayArrayInTable(SourceData_PastureBeef.SourceData_PastureBeef_LiveweightGainNTQLD_Data(),Table_SourceData_PastureBeef_LiveweightGainNTQLD[[#Headers],[State]],0)</f>
        <v>0.08</v>
      </c>
      <c r="M214" s="37" cm="1">
        <f t="array" ref="M214">Common_InputFunctions.Utility_DisplayArrayInTable(SourceData_PastureBeef.SourceData_PastureBeef_LiveweightGainNTQLD_Data(),Table_SourceData_PastureBeef_LiveweightGainNTQLD[[#Headers],[State]],0)</f>
        <v>0.13</v>
      </c>
      <c r="N214" s="37" cm="1">
        <f t="array" ref="N214">Common_InputFunctions.Utility_DisplayArrayInTable(SourceData_PastureBeef.SourceData_PastureBeef_LiveweightGainNTQLD_Data(),Table_SourceData_PastureBeef_LiveweightGainNTQLD[[#Headers],[State]],0)</f>
        <v>0.24</v>
      </c>
      <c r="O214" s="37" cm="1">
        <f t="array" ref="O214">Common_InputFunctions.Utility_DisplayArrayInTable(SourceData_PastureBeef.SourceData_PastureBeef_LiveweightGainNTQLD_Data(),Table_SourceData_PastureBeef_LiveweightGainNTQLD[[#Headers],[State]],0)</f>
        <v>0.15</v>
      </c>
      <c r="P214" s="37" cm="1">
        <f t="array" ref="P214">Common_InputFunctions.Utility_DisplayArrayInTable(SourceData_PastureBeef.SourceData_PastureBeef_LiveweightGainNTQLD_Data(),Table_SourceData_PastureBeef_LiveweightGainNTQLD[[#Headers],[State]],0)</f>
        <v>0.21</v>
      </c>
    </row>
    <row r="215" spans="4:16" x14ac:dyDescent="0.25">
      <c r="D215" s="1" t="str" cm="1">
        <f t="array" ref="D215">Common_InputFunctions.Utility_DisplayArrayInTable(SourceData_PastureBeef.SourceData_PastureBeef_LiveweightGainNTQLD_Data(),Table_SourceData_PastureBeef_LiveweightGainNTQLD[[#Headers],[State]],0)</f>
        <v>Queensland</v>
      </c>
      <c r="E215" s="37" t="str" cm="1">
        <f t="array" ref="E215">Common_InputFunctions.Utility_DisplayArrayInTable(SourceData_PastureBeef.SourceData_PastureBeef_LiveweightGainNTQLD_Data(),Table_SourceData_PastureBeef_LiveweightGainNTQLD[[#Headers],[State]],0)</f>
        <v>Low</v>
      </c>
      <c r="F215" s="37" t="str" cm="1">
        <f t="array" ref="F215">Common_InputFunctions.Utility_DisplayArrayInTable(SourceData_PastureBeef.SourceData_PastureBeef_LiveweightGainNTQLD_Data(),Table_SourceData_PastureBeef_LiveweightGainNTQLD[[#Headers],[State]],0)</f>
        <v>Winter</v>
      </c>
      <c r="G215" s="37" cm="1">
        <f t="array" ref="G215">Common_InputFunctions.Utility_DisplayArrayInTable(SourceData_PastureBeef.SourceData_PastureBeef_LiveweightGainNTQLD_Data(),Table_SourceData_PastureBeef_LiveweightGainNTQLD[[#Headers],[State]],0)</f>
        <v>0.08</v>
      </c>
      <c r="H215" s="37" cm="1">
        <f t="array" ref="H215">Common_InputFunctions.Utility_DisplayArrayInTable(SourceData_PastureBeef.SourceData_PastureBeef_LiveweightGainNTQLD_Data(),Table_SourceData_PastureBeef_LiveweightGainNTQLD[[#Headers],[State]],0)</f>
        <v>0.04</v>
      </c>
      <c r="I215" s="37" cm="1">
        <f t="array" ref="I215">Common_InputFunctions.Utility_DisplayArrayInTable(SourceData_PastureBeef.SourceData_PastureBeef_LiveweightGainNTQLD_Data(),Table_SourceData_PastureBeef_LiveweightGainNTQLD[[#Headers],[State]],0)</f>
        <v>0.06</v>
      </c>
      <c r="J215" s="37" cm="1">
        <f t="array" ref="J215">Common_InputFunctions.Utility_DisplayArrayInTable(SourceData_PastureBeef.SourceData_PastureBeef_LiveweightGainNTQLD_Data(),Table_SourceData_PastureBeef_LiveweightGainNTQLD[[#Headers],[State]],0)</f>
        <v>0.18</v>
      </c>
      <c r="K215" s="37" cm="1">
        <f t="array" ref="K215">Common_InputFunctions.Utility_DisplayArrayInTable(SourceData_PastureBeef.SourceData_PastureBeef_LiveweightGainNTQLD_Data(),Table_SourceData_PastureBeef_LiveweightGainNTQLD[[#Headers],[State]],0)</f>
        <v>0.11</v>
      </c>
      <c r="L215" s="37" cm="1">
        <f t="array" ref="L215">Common_InputFunctions.Utility_DisplayArrayInTable(SourceData_PastureBeef.SourceData_PastureBeef_LiveweightGainNTQLD_Data(),Table_SourceData_PastureBeef_LiveweightGainNTQLD[[#Headers],[State]],0)</f>
        <v>-7.0000000000000007E-2</v>
      </c>
      <c r="M215" s="37" cm="1">
        <f t="array" ref="M215">Common_InputFunctions.Utility_DisplayArrayInTable(SourceData_PastureBeef.SourceData_PastureBeef_LiveweightGainNTQLD_Data(),Table_SourceData_PastureBeef_LiveweightGainNTQLD[[#Headers],[State]],0)</f>
        <v>0.13</v>
      </c>
      <c r="N215" s="37" cm="1">
        <f t="array" ref="N215">Common_InputFunctions.Utility_DisplayArrayInTable(SourceData_PastureBeef.SourceData_PastureBeef_LiveweightGainNTQLD_Data(),Table_SourceData_PastureBeef_LiveweightGainNTQLD[[#Headers],[State]],0)</f>
        <v>0.16</v>
      </c>
      <c r="O215" s="37" cm="1">
        <f t="array" ref="O215">Common_InputFunctions.Utility_DisplayArrayInTable(SourceData_PastureBeef.SourceData_PastureBeef_LiveweightGainNTQLD_Data(),Table_SourceData_PastureBeef_LiveweightGainNTQLD[[#Headers],[State]],0)</f>
        <v>0.4</v>
      </c>
      <c r="P215" s="37" cm="1">
        <f t="array" ref="P215">Common_InputFunctions.Utility_DisplayArrayInTable(SourceData_PastureBeef.SourceData_PastureBeef_LiveweightGainNTQLD_Data(),Table_SourceData_PastureBeef_LiveweightGainNTQLD[[#Headers],[State]],0)</f>
        <v>0.33</v>
      </c>
    </row>
    <row r="216" spans="4:16" x14ac:dyDescent="0.25">
      <c r="M216" s="1"/>
    </row>
    <row r="217" spans="4:16" x14ac:dyDescent="0.25">
      <c r="M217" s="1"/>
    </row>
    <row r="218" spans="4:16" ht="23.25" x14ac:dyDescent="0.25">
      <c r="D218" s="6" t="s">
        <v>201</v>
      </c>
      <c r="M218" s="1"/>
    </row>
    <row r="219" spans="4:16" x14ac:dyDescent="0.25">
      <c r="M219" s="1"/>
    </row>
    <row r="220" spans="4:16" x14ac:dyDescent="0.25">
      <c r="D220" s="37" t="s">
        <v>8</v>
      </c>
      <c r="E220" s="37" t="s">
        <v>183</v>
      </c>
      <c r="F220" s="37" t="s">
        <v>184</v>
      </c>
      <c r="G220" s="118" t="s">
        <v>131</v>
      </c>
      <c r="H220" s="118" t="s">
        <v>130</v>
      </c>
      <c r="I220" s="118" t="s">
        <v>165</v>
      </c>
      <c r="J220" s="118" t="s">
        <v>166</v>
      </c>
      <c r="K220" s="118" t="s">
        <v>167</v>
      </c>
      <c r="L220" s="118" t="s">
        <v>168</v>
      </c>
      <c r="M220" s="118" t="s">
        <v>169</v>
      </c>
      <c r="N220" s="118" t="s">
        <v>170</v>
      </c>
      <c r="O220" s="118" t="s">
        <v>171</v>
      </c>
      <c r="P220" s="118" t="s">
        <v>172</v>
      </c>
    </row>
    <row r="221" spans="4:16" x14ac:dyDescent="0.25">
      <c r="D221" s="37" t="s">
        <v>83</v>
      </c>
      <c r="E221" s="37" t="s">
        <v>202</v>
      </c>
      <c r="F221" s="37" t="str">
        <f>F153</f>
        <v>Spring</v>
      </c>
      <c r="G221" s="37">
        <f>G153</f>
        <v>0.5</v>
      </c>
      <c r="H221" s="37">
        <f t="shared" ref="H221:J221" si="79">H153</f>
        <v>0.2</v>
      </c>
      <c r="I221" s="37">
        <f t="shared" si="79"/>
        <v>0.5</v>
      </c>
      <c r="J221" s="37">
        <f t="shared" si="79"/>
        <v>0.4</v>
      </c>
      <c r="K221" s="37">
        <f>K153</f>
        <v>0.3</v>
      </c>
      <c r="L221" s="37">
        <f>K153</f>
        <v>0.3</v>
      </c>
      <c r="M221" s="37">
        <f>L153</f>
        <v>0.5</v>
      </c>
      <c r="N221" s="37">
        <f>M153</f>
        <v>0.4</v>
      </c>
      <c r="O221" s="37">
        <f>M153</f>
        <v>0.4</v>
      </c>
      <c r="P221" s="37">
        <f>M153</f>
        <v>0.4</v>
      </c>
    </row>
    <row r="222" spans="4:16" x14ac:dyDescent="0.25">
      <c r="D222" s="37" t="s">
        <v>83</v>
      </c>
      <c r="E222" s="37" t="s">
        <v>202</v>
      </c>
      <c r="F222" s="37" t="str">
        <f t="shared" ref="F222:K224" si="80">F154</f>
        <v>Summer</v>
      </c>
      <c r="G222" s="37">
        <f t="shared" si="80"/>
        <v>1</v>
      </c>
      <c r="H222" s="37">
        <f t="shared" si="80"/>
        <v>0.4</v>
      </c>
      <c r="I222" s="37">
        <f t="shared" si="80"/>
        <v>0.9</v>
      </c>
      <c r="J222" s="37">
        <f t="shared" si="80"/>
        <v>0.7</v>
      </c>
      <c r="K222" s="37">
        <f t="shared" si="80"/>
        <v>0.3</v>
      </c>
      <c r="L222" s="37">
        <f t="shared" ref="L222:M224" si="81">K154</f>
        <v>0.3</v>
      </c>
      <c r="M222" s="37">
        <f t="shared" si="81"/>
        <v>0.9</v>
      </c>
      <c r="N222" s="37">
        <f t="shared" ref="N222:N224" si="82">M154</f>
        <v>0.4</v>
      </c>
      <c r="O222" s="37">
        <f t="shared" ref="O222:O224" si="83">M154</f>
        <v>0.4</v>
      </c>
      <c r="P222" s="37">
        <f t="shared" ref="P222:P224" si="84">M154</f>
        <v>0.4</v>
      </c>
    </row>
    <row r="223" spans="4:16" x14ac:dyDescent="0.25">
      <c r="D223" s="37" t="s">
        <v>83</v>
      </c>
      <c r="E223" s="37" t="s">
        <v>202</v>
      </c>
      <c r="F223" s="37" t="str">
        <f t="shared" si="80"/>
        <v>Autumn</v>
      </c>
      <c r="G223" s="37">
        <f t="shared" si="80"/>
        <v>0.8</v>
      </c>
      <c r="H223" s="37">
        <f t="shared" si="80"/>
        <v>0.3</v>
      </c>
      <c r="I223" s="37">
        <f t="shared" si="80"/>
        <v>0.7</v>
      </c>
      <c r="J223" s="37">
        <f t="shared" si="80"/>
        <v>0.3</v>
      </c>
      <c r="K223" s="37">
        <f t="shared" si="80"/>
        <v>0.2</v>
      </c>
      <c r="L223" s="37">
        <f t="shared" si="81"/>
        <v>0.2</v>
      </c>
      <c r="M223" s="37">
        <f t="shared" si="81"/>
        <v>0.7</v>
      </c>
      <c r="N223" s="37">
        <f t="shared" si="82"/>
        <v>0.3</v>
      </c>
      <c r="O223" s="37">
        <f t="shared" si="83"/>
        <v>0.3</v>
      </c>
      <c r="P223" s="37">
        <f t="shared" si="84"/>
        <v>0.3</v>
      </c>
    </row>
    <row r="224" spans="4:16" x14ac:dyDescent="0.25">
      <c r="D224" s="37" t="s">
        <v>83</v>
      </c>
      <c r="E224" s="37" t="s">
        <v>202</v>
      </c>
      <c r="F224" s="37" t="str">
        <f t="shared" si="80"/>
        <v>Winter</v>
      </c>
      <c r="G224" s="37">
        <f t="shared" si="80"/>
        <v>0.4</v>
      </c>
      <c r="H224" s="37">
        <f t="shared" si="80"/>
        <v>0.1</v>
      </c>
      <c r="I224" s="37">
        <f t="shared" si="80"/>
        <v>0.4</v>
      </c>
      <c r="J224" s="37">
        <f t="shared" si="80"/>
        <v>0.2</v>
      </c>
      <c r="K224" s="37">
        <f t="shared" si="80"/>
        <v>0.1</v>
      </c>
      <c r="L224" s="37">
        <f t="shared" si="81"/>
        <v>0.1</v>
      </c>
      <c r="M224" s="37">
        <f t="shared" si="81"/>
        <v>0.4</v>
      </c>
      <c r="N224" s="37">
        <f t="shared" si="82"/>
        <v>0.1</v>
      </c>
      <c r="O224" s="37">
        <f t="shared" si="83"/>
        <v>0.1</v>
      </c>
      <c r="P224" s="37">
        <f t="shared" si="84"/>
        <v>0.1</v>
      </c>
    </row>
    <row r="225" spans="4:16" x14ac:dyDescent="0.25">
      <c r="D225" s="37" t="s">
        <v>84</v>
      </c>
      <c r="E225" s="37" t="s">
        <v>202</v>
      </c>
      <c r="F225" s="37" t="str">
        <f>F153</f>
        <v>Spring</v>
      </c>
      <c r="G225" s="37">
        <f>G153</f>
        <v>0.5</v>
      </c>
      <c r="H225" s="37">
        <f t="shared" ref="H225:J225" si="85">H153</f>
        <v>0.2</v>
      </c>
      <c r="I225" s="37">
        <f t="shared" si="85"/>
        <v>0.5</v>
      </c>
      <c r="J225" s="37">
        <f t="shared" si="85"/>
        <v>0.4</v>
      </c>
      <c r="K225" s="37">
        <f>K153</f>
        <v>0.3</v>
      </c>
      <c r="L225" s="37">
        <f>K153</f>
        <v>0.3</v>
      </c>
      <c r="M225" s="37">
        <f t="shared" ref="M225" si="86">L153</f>
        <v>0.5</v>
      </c>
      <c r="N225" s="37">
        <f>M153</f>
        <v>0.4</v>
      </c>
      <c r="O225" s="37">
        <f>M153</f>
        <v>0.4</v>
      </c>
      <c r="P225" s="37">
        <f>M153</f>
        <v>0.4</v>
      </c>
    </row>
    <row r="226" spans="4:16" x14ac:dyDescent="0.25">
      <c r="D226" s="37" t="s">
        <v>84</v>
      </c>
      <c r="E226" s="37" t="s">
        <v>202</v>
      </c>
      <c r="F226" s="37" t="str">
        <f t="shared" ref="F226:K228" si="87">F154</f>
        <v>Summer</v>
      </c>
      <c r="G226" s="37">
        <f t="shared" si="87"/>
        <v>1</v>
      </c>
      <c r="H226" s="37">
        <f t="shared" si="87"/>
        <v>0.4</v>
      </c>
      <c r="I226" s="37">
        <f t="shared" si="87"/>
        <v>0.9</v>
      </c>
      <c r="J226" s="37">
        <f t="shared" si="87"/>
        <v>0.7</v>
      </c>
      <c r="K226" s="37">
        <f t="shared" si="87"/>
        <v>0.3</v>
      </c>
      <c r="L226" s="37">
        <f t="shared" ref="L226:N226" si="88">K154</f>
        <v>0.3</v>
      </c>
      <c r="M226" s="37">
        <f t="shared" si="88"/>
        <v>0.9</v>
      </c>
      <c r="N226" s="37">
        <f t="shared" si="88"/>
        <v>0.4</v>
      </c>
      <c r="O226" s="37">
        <f t="shared" ref="O226:O228" si="89">M154</f>
        <v>0.4</v>
      </c>
      <c r="P226" s="37">
        <f t="shared" ref="P226:P228" si="90">M154</f>
        <v>0.4</v>
      </c>
    </row>
    <row r="227" spans="4:16" x14ac:dyDescent="0.25">
      <c r="D227" s="37" t="s">
        <v>84</v>
      </c>
      <c r="E227" s="37" t="s">
        <v>202</v>
      </c>
      <c r="F227" s="37" t="str">
        <f t="shared" si="87"/>
        <v>Autumn</v>
      </c>
      <c r="G227" s="37">
        <f t="shared" si="87"/>
        <v>0.8</v>
      </c>
      <c r="H227" s="37">
        <f t="shared" si="87"/>
        <v>0.3</v>
      </c>
      <c r="I227" s="37">
        <f t="shared" si="87"/>
        <v>0.7</v>
      </c>
      <c r="J227" s="37">
        <f t="shared" si="87"/>
        <v>0.3</v>
      </c>
      <c r="K227" s="37">
        <f t="shared" si="87"/>
        <v>0.2</v>
      </c>
      <c r="L227" s="37">
        <f t="shared" ref="L227:N227" si="91">K155</f>
        <v>0.2</v>
      </c>
      <c r="M227" s="37">
        <f t="shared" si="91"/>
        <v>0.7</v>
      </c>
      <c r="N227" s="37">
        <f t="shared" si="91"/>
        <v>0.3</v>
      </c>
      <c r="O227" s="37">
        <f t="shared" si="89"/>
        <v>0.3</v>
      </c>
      <c r="P227" s="37">
        <f t="shared" si="90"/>
        <v>0.3</v>
      </c>
    </row>
    <row r="228" spans="4:16" x14ac:dyDescent="0.25">
      <c r="D228" s="37" t="s">
        <v>84</v>
      </c>
      <c r="E228" s="37" t="s">
        <v>202</v>
      </c>
      <c r="F228" s="37" t="str">
        <f t="shared" si="87"/>
        <v>Winter</v>
      </c>
      <c r="G228" s="37">
        <f t="shared" si="87"/>
        <v>0.4</v>
      </c>
      <c r="H228" s="37">
        <f t="shared" si="87"/>
        <v>0.1</v>
      </c>
      <c r="I228" s="37">
        <f t="shared" si="87"/>
        <v>0.4</v>
      </c>
      <c r="J228" s="37">
        <f t="shared" si="87"/>
        <v>0.2</v>
      </c>
      <c r="K228" s="37">
        <f t="shared" si="87"/>
        <v>0.1</v>
      </c>
      <c r="L228" s="37">
        <f t="shared" ref="L228:N228" si="92">K156</f>
        <v>0.1</v>
      </c>
      <c r="M228" s="37">
        <f t="shared" si="92"/>
        <v>0.4</v>
      </c>
      <c r="N228" s="37">
        <f t="shared" si="92"/>
        <v>0.1</v>
      </c>
      <c r="O228" s="37">
        <f t="shared" si="89"/>
        <v>0.1</v>
      </c>
      <c r="P228" s="37">
        <f t="shared" si="90"/>
        <v>0.1</v>
      </c>
    </row>
    <row r="229" spans="4:16" x14ac:dyDescent="0.25">
      <c r="D229" s="37" t="s">
        <v>87</v>
      </c>
      <c r="E229" s="37" t="s">
        <v>202</v>
      </c>
      <c r="F229" s="37" t="str">
        <f>F157</f>
        <v>Spring</v>
      </c>
      <c r="G229" s="37">
        <f>G157</f>
        <v>0.99</v>
      </c>
      <c r="H229" s="37">
        <f t="shared" ref="H229:J229" si="93">H157</f>
        <v>1.1000000000000001</v>
      </c>
      <c r="I229" s="37">
        <f t="shared" si="93"/>
        <v>0.88</v>
      </c>
      <c r="J229" s="37">
        <f t="shared" si="93"/>
        <v>0.55000000000000004</v>
      </c>
      <c r="K229" s="37">
        <f>K157</f>
        <v>0.55000000000000004</v>
      </c>
      <c r="L229" s="37">
        <f>K157</f>
        <v>0.55000000000000004</v>
      </c>
      <c r="M229" s="37">
        <f t="shared" ref="M229" si="94">L157</f>
        <v>0.88</v>
      </c>
      <c r="N229" s="37">
        <f>M157</f>
        <v>0.22</v>
      </c>
      <c r="O229" s="37">
        <f>M157</f>
        <v>0.22</v>
      </c>
      <c r="P229" s="37">
        <f>M157</f>
        <v>0.22</v>
      </c>
    </row>
    <row r="230" spans="4:16" x14ac:dyDescent="0.25">
      <c r="D230" s="37" t="s">
        <v>87</v>
      </c>
      <c r="E230" s="37" t="s">
        <v>202</v>
      </c>
      <c r="F230" s="37" t="str">
        <f t="shared" ref="F230:K252" si="95">F158</f>
        <v>Summer</v>
      </c>
      <c r="G230" s="37">
        <f t="shared" si="95"/>
        <v>0.77</v>
      </c>
      <c r="H230" s="37">
        <f t="shared" si="95"/>
        <v>0</v>
      </c>
      <c r="I230" s="37">
        <f t="shared" si="95"/>
        <v>0.66</v>
      </c>
      <c r="J230" s="37">
        <f t="shared" si="95"/>
        <v>0.22</v>
      </c>
      <c r="K230" s="37">
        <f t="shared" si="95"/>
        <v>0</v>
      </c>
      <c r="L230" s="37">
        <f t="shared" ref="L230:N230" si="96">K158</f>
        <v>0</v>
      </c>
      <c r="M230" s="37">
        <f t="shared" si="96"/>
        <v>0.66</v>
      </c>
      <c r="N230" s="37">
        <f t="shared" si="96"/>
        <v>0</v>
      </c>
      <c r="O230" s="37">
        <f t="shared" ref="O230:O252" si="97">M158</f>
        <v>0</v>
      </c>
      <c r="P230" s="37">
        <f t="shared" ref="P230:P252" si="98">M158</f>
        <v>0</v>
      </c>
    </row>
    <row r="231" spans="4:16" x14ac:dyDescent="0.25">
      <c r="D231" s="37" t="s">
        <v>87</v>
      </c>
      <c r="E231" s="37" t="s">
        <v>202</v>
      </c>
      <c r="F231" s="37" t="str">
        <f t="shared" si="95"/>
        <v>Autumn</v>
      </c>
      <c r="G231" s="37">
        <f t="shared" si="95"/>
        <v>0.9</v>
      </c>
      <c r="H231" s="37">
        <f t="shared" si="95"/>
        <v>-1.1000000000000001</v>
      </c>
      <c r="I231" s="37">
        <f t="shared" si="95"/>
        <v>0.7</v>
      </c>
      <c r="J231" s="37">
        <f t="shared" si="95"/>
        <v>0.22</v>
      </c>
      <c r="K231" s="37">
        <f t="shared" si="95"/>
        <v>-0.55000000000000004</v>
      </c>
      <c r="L231" s="37">
        <f t="shared" ref="L231:N231" si="99">K159</f>
        <v>-0.55000000000000004</v>
      </c>
      <c r="M231" s="37">
        <f t="shared" si="99"/>
        <v>0.8</v>
      </c>
      <c r="N231" s="37">
        <f t="shared" si="99"/>
        <v>-0.22</v>
      </c>
      <c r="O231" s="37">
        <f t="shared" si="97"/>
        <v>-0.22</v>
      </c>
      <c r="P231" s="37">
        <f t="shared" si="98"/>
        <v>-0.22</v>
      </c>
    </row>
    <row r="232" spans="4:16" x14ac:dyDescent="0.25">
      <c r="D232" s="37" t="s">
        <v>87</v>
      </c>
      <c r="E232" s="37" t="s">
        <v>202</v>
      </c>
      <c r="F232" s="37" t="str">
        <f t="shared" si="95"/>
        <v>Winter</v>
      </c>
      <c r="G232" s="37">
        <f t="shared" si="95"/>
        <v>0.88</v>
      </c>
      <c r="H232" s="37">
        <f t="shared" si="95"/>
        <v>0</v>
      </c>
      <c r="I232" s="37">
        <f t="shared" si="95"/>
        <v>0.77</v>
      </c>
      <c r="J232" s="37">
        <f t="shared" si="95"/>
        <v>0.55000000000000004</v>
      </c>
      <c r="K232" s="37">
        <f t="shared" si="95"/>
        <v>0</v>
      </c>
      <c r="L232" s="37">
        <f t="shared" ref="L232:N232" si="100">K160</f>
        <v>0</v>
      </c>
      <c r="M232" s="37">
        <f t="shared" si="100"/>
        <v>0.82</v>
      </c>
      <c r="N232" s="37">
        <f t="shared" si="100"/>
        <v>0</v>
      </c>
      <c r="O232" s="37">
        <f t="shared" si="97"/>
        <v>0</v>
      </c>
      <c r="P232" s="37">
        <f t="shared" si="98"/>
        <v>0</v>
      </c>
    </row>
    <row r="233" spans="4:16" x14ac:dyDescent="0.25">
      <c r="D233" s="37" t="s">
        <v>88</v>
      </c>
      <c r="E233" s="37" t="s">
        <v>202</v>
      </c>
      <c r="F233" s="37" t="str">
        <f t="shared" si="95"/>
        <v>Spring</v>
      </c>
      <c r="G233" s="37">
        <f t="shared" si="95"/>
        <v>1</v>
      </c>
      <c r="H233" s="37">
        <f t="shared" si="95"/>
        <v>0.5</v>
      </c>
      <c r="I233" s="37">
        <f t="shared" si="95"/>
        <v>1</v>
      </c>
      <c r="J233" s="37">
        <f t="shared" si="95"/>
        <v>1</v>
      </c>
      <c r="K233" s="37">
        <f t="shared" si="95"/>
        <v>-0.44</v>
      </c>
      <c r="L233" s="37">
        <f t="shared" ref="L233:N233" si="101">K161</f>
        <v>-0.44</v>
      </c>
      <c r="M233" s="37">
        <f t="shared" si="101"/>
        <v>1</v>
      </c>
      <c r="N233" s="37">
        <f t="shared" si="101"/>
        <v>0.5</v>
      </c>
      <c r="O233" s="37">
        <f t="shared" si="97"/>
        <v>0.5</v>
      </c>
      <c r="P233" s="37">
        <f t="shared" si="98"/>
        <v>0.5</v>
      </c>
    </row>
    <row r="234" spans="4:16" x14ac:dyDescent="0.25">
      <c r="D234" s="37" t="s">
        <v>88</v>
      </c>
      <c r="E234" s="37" t="s">
        <v>202</v>
      </c>
      <c r="F234" s="37" t="str">
        <f t="shared" si="95"/>
        <v>Summer</v>
      </c>
      <c r="G234" s="37">
        <f t="shared" si="95"/>
        <v>0.82</v>
      </c>
      <c r="H234" s="37">
        <f t="shared" si="95"/>
        <v>0.55000000000000004</v>
      </c>
      <c r="I234" s="37">
        <f t="shared" si="95"/>
        <v>0.71</v>
      </c>
      <c r="J234" s="37">
        <f t="shared" si="95"/>
        <v>0.55000000000000004</v>
      </c>
      <c r="K234" s="37">
        <f t="shared" si="95"/>
        <v>0.99</v>
      </c>
      <c r="L234" s="37">
        <f t="shared" ref="L234:N234" si="102">K162</f>
        <v>0.99</v>
      </c>
      <c r="M234" s="37">
        <f t="shared" si="102"/>
        <v>0.77</v>
      </c>
      <c r="N234" s="37">
        <f t="shared" si="102"/>
        <v>0.5</v>
      </c>
      <c r="O234" s="37">
        <f t="shared" si="97"/>
        <v>0.5</v>
      </c>
      <c r="P234" s="37">
        <f t="shared" si="98"/>
        <v>0.5</v>
      </c>
    </row>
    <row r="235" spans="4:16" x14ac:dyDescent="0.25">
      <c r="D235" s="37" t="s">
        <v>88</v>
      </c>
      <c r="E235" s="37" t="s">
        <v>202</v>
      </c>
      <c r="F235" s="37" t="str">
        <f t="shared" si="95"/>
        <v>Autumn</v>
      </c>
      <c r="G235" s="37">
        <f t="shared" si="95"/>
        <v>0.77</v>
      </c>
      <c r="H235" s="37">
        <f t="shared" si="95"/>
        <v>0.5</v>
      </c>
      <c r="I235" s="37">
        <f t="shared" si="95"/>
        <v>0.55000000000000004</v>
      </c>
      <c r="J235" s="37">
        <f t="shared" si="95"/>
        <v>0.11</v>
      </c>
      <c r="K235" s="37">
        <f t="shared" si="95"/>
        <v>-0.33</v>
      </c>
      <c r="L235" s="37">
        <f t="shared" ref="L235:N235" si="103">K163</f>
        <v>-0.33</v>
      </c>
      <c r="M235" s="37">
        <f t="shared" si="103"/>
        <v>0.6</v>
      </c>
      <c r="N235" s="37">
        <f t="shared" si="103"/>
        <v>0.33</v>
      </c>
      <c r="O235" s="37">
        <f t="shared" si="97"/>
        <v>0.33</v>
      </c>
      <c r="P235" s="37">
        <f t="shared" si="98"/>
        <v>0.33</v>
      </c>
    </row>
    <row r="236" spans="4:16" x14ac:dyDescent="0.25">
      <c r="D236" s="37" t="s">
        <v>88</v>
      </c>
      <c r="E236" s="37" t="s">
        <v>202</v>
      </c>
      <c r="F236" s="37" t="str">
        <f t="shared" si="95"/>
        <v>Winter</v>
      </c>
      <c r="G236" s="37">
        <f t="shared" si="95"/>
        <v>0.11</v>
      </c>
      <c r="H236" s="37">
        <f t="shared" si="95"/>
        <v>-0.27</v>
      </c>
      <c r="I236" s="37">
        <f t="shared" si="95"/>
        <v>0.11</v>
      </c>
      <c r="J236" s="37">
        <f t="shared" si="95"/>
        <v>0.22</v>
      </c>
      <c r="K236" s="37">
        <f t="shared" si="95"/>
        <v>-0.44</v>
      </c>
      <c r="L236" s="37">
        <f t="shared" ref="L236:N236" si="104">K164</f>
        <v>-0.44</v>
      </c>
      <c r="M236" s="37">
        <f t="shared" si="104"/>
        <v>0.16</v>
      </c>
      <c r="N236" s="37">
        <f t="shared" si="104"/>
        <v>-0.22</v>
      </c>
      <c r="O236" s="37">
        <f t="shared" si="97"/>
        <v>-0.22</v>
      </c>
      <c r="P236" s="37">
        <f t="shared" si="98"/>
        <v>-0.22</v>
      </c>
    </row>
    <row r="237" spans="4:16" x14ac:dyDescent="0.25">
      <c r="D237" s="37" t="s">
        <v>89</v>
      </c>
      <c r="E237" s="37" t="s">
        <v>202</v>
      </c>
      <c r="F237" s="37" t="str">
        <f t="shared" si="95"/>
        <v>Spring</v>
      </c>
      <c r="G237" s="37">
        <f t="shared" si="95"/>
        <v>1.1000000000000001</v>
      </c>
      <c r="H237" s="37">
        <f t="shared" si="95"/>
        <v>1.1000000000000001</v>
      </c>
      <c r="I237" s="37">
        <f t="shared" si="95"/>
        <v>1.1000000000000001</v>
      </c>
      <c r="J237" s="37">
        <f t="shared" si="95"/>
        <v>0.99</v>
      </c>
      <c r="K237" s="37">
        <f t="shared" si="95"/>
        <v>0.99</v>
      </c>
      <c r="L237" s="37">
        <f t="shared" ref="L237:N237" si="105">K165</f>
        <v>0.99</v>
      </c>
      <c r="M237" s="37">
        <f t="shared" si="105"/>
        <v>1.1000000000000001</v>
      </c>
      <c r="N237" s="37">
        <f t="shared" si="105"/>
        <v>0.77</v>
      </c>
      <c r="O237" s="37">
        <f t="shared" si="97"/>
        <v>0.77</v>
      </c>
      <c r="P237" s="37">
        <f t="shared" si="98"/>
        <v>0.77</v>
      </c>
    </row>
    <row r="238" spans="4:16" x14ac:dyDescent="0.25">
      <c r="D238" s="37" t="s">
        <v>89</v>
      </c>
      <c r="E238" s="37" t="s">
        <v>202</v>
      </c>
      <c r="F238" s="37" t="str">
        <f t="shared" si="95"/>
        <v>Summer</v>
      </c>
      <c r="G238" s="37">
        <f t="shared" si="95"/>
        <v>0.33</v>
      </c>
      <c r="H238" s="37">
        <f t="shared" si="95"/>
        <v>0.33</v>
      </c>
      <c r="I238" s="37">
        <f t="shared" si="95"/>
        <v>0.22</v>
      </c>
      <c r="J238" s="37">
        <f t="shared" si="95"/>
        <v>0.33</v>
      </c>
      <c r="K238" s="37">
        <f t="shared" si="95"/>
        <v>-0.1</v>
      </c>
      <c r="L238" s="37">
        <f t="shared" ref="L238:N238" si="106">K166</f>
        <v>-0.1</v>
      </c>
      <c r="M238" s="37">
        <f t="shared" si="106"/>
        <v>0.33</v>
      </c>
      <c r="N238" s="37">
        <f t="shared" si="106"/>
        <v>0.11</v>
      </c>
      <c r="O238" s="37">
        <f t="shared" si="97"/>
        <v>0.11</v>
      </c>
      <c r="P238" s="37">
        <f t="shared" si="98"/>
        <v>0.11</v>
      </c>
    </row>
    <row r="239" spans="4:16" x14ac:dyDescent="0.25">
      <c r="D239" s="37" t="s">
        <v>89</v>
      </c>
      <c r="E239" s="37" t="s">
        <v>202</v>
      </c>
      <c r="F239" s="37" t="str">
        <f t="shared" si="95"/>
        <v>Autumn</v>
      </c>
      <c r="G239" s="37">
        <f t="shared" si="95"/>
        <v>0.5</v>
      </c>
      <c r="H239" s="37">
        <f t="shared" si="95"/>
        <v>0.2</v>
      </c>
      <c r="I239" s="37">
        <f t="shared" si="95"/>
        <v>0.55000000000000004</v>
      </c>
      <c r="J239" s="37">
        <f t="shared" si="95"/>
        <v>0.44</v>
      </c>
      <c r="K239" s="37">
        <f t="shared" si="95"/>
        <v>0.2</v>
      </c>
      <c r="L239" s="37">
        <f t="shared" ref="L239:N239" si="107">K167</f>
        <v>0.2</v>
      </c>
      <c r="M239" s="37">
        <f t="shared" si="107"/>
        <v>0.55000000000000004</v>
      </c>
      <c r="N239" s="37">
        <f t="shared" si="107"/>
        <v>0.2</v>
      </c>
      <c r="O239" s="37">
        <f t="shared" si="97"/>
        <v>0.2</v>
      </c>
      <c r="P239" s="37">
        <f t="shared" si="98"/>
        <v>0.2</v>
      </c>
    </row>
    <row r="240" spans="4:16" x14ac:dyDescent="0.25">
      <c r="D240" s="37" t="s">
        <v>89</v>
      </c>
      <c r="E240" s="37" t="s">
        <v>202</v>
      </c>
      <c r="F240" s="37" t="str">
        <f t="shared" si="95"/>
        <v>Winter</v>
      </c>
      <c r="G240" s="37">
        <f t="shared" si="95"/>
        <v>0.55000000000000004</v>
      </c>
      <c r="H240" s="37">
        <f t="shared" si="95"/>
        <v>0.22</v>
      </c>
      <c r="I240" s="37">
        <f t="shared" si="95"/>
        <v>0.49</v>
      </c>
      <c r="J240" s="37">
        <f t="shared" si="95"/>
        <v>0.22</v>
      </c>
      <c r="K240" s="37">
        <f t="shared" si="95"/>
        <v>0.22</v>
      </c>
      <c r="L240" s="37">
        <f t="shared" ref="L240:N240" si="108">K168</f>
        <v>0.22</v>
      </c>
      <c r="M240" s="37">
        <f t="shared" si="108"/>
        <v>0.49</v>
      </c>
      <c r="N240" s="37">
        <f t="shared" si="108"/>
        <v>0.33</v>
      </c>
      <c r="O240" s="37">
        <f t="shared" si="97"/>
        <v>0.33</v>
      </c>
      <c r="P240" s="37">
        <f t="shared" si="98"/>
        <v>0.33</v>
      </c>
    </row>
    <row r="241" spans="4:16" x14ac:dyDescent="0.25">
      <c r="D241" s="37" t="s">
        <v>90</v>
      </c>
      <c r="E241" s="37" t="str">
        <f>E169</f>
        <v>South West</v>
      </c>
      <c r="F241" s="37" t="str">
        <f t="shared" si="95"/>
        <v>Spring</v>
      </c>
      <c r="G241" s="37">
        <f t="shared" si="95"/>
        <v>1.64</v>
      </c>
      <c r="H241" s="37">
        <f t="shared" si="95"/>
        <v>1.1000000000000001</v>
      </c>
      <c r="I241" s="37">
        <f t="shared" si="95"/>
        <v>1.21</v>
      </c>
      <c r="J241" s="37">
        <f t="shared" si="95"/>
        <v>0.99</v>
      </c>
      <c r="K241" s="37">
        <f t="shared" si="95"/>
        <v>0.66</v>
      </c>
      <c r="L241" s="37">
        <f t="shared" ref="L241:N241" si="109">K169</f>
        <v>0.66</v>
      </c>
      <c r="M241" s="37">
        <f t="shared" si="109"/>
        <v>1.42</v>
      </c>
      <c r="N241" s="37">
        <f t="shared" si="109"/>
        <v>1.1000000000000001</v>
      </c>
      <c r="O241" s="37">
        <f t="shared" si="97"/>
        <v>1.1000000000000001</v>
      </c>
      <c r="P241" s="37">
        <f t="shared" si="98"/>
        <v>1.1000000000000001</v>
      </c>
    </row>
    <row r="242" spans="4:16" x14ac:dyDescent="0.25">
      <c r="D242" s="37" t="s">
        <v>90</v>
      </c>
      <c r="E242" s="37" t="str">
        <f t="shared" ref="E242:E252" si="110">E170</f>
        <v>South West</v>
      </c>
      <c r="F242" s="37" t="str">
        <f t="shared" si="95"/>
        <v>Summer</v>
      </c>
      <c r="G242" s="37">
        <f t="shared" si="95"/>
        <v>0.44</v>
      </c>
      <c r="H242" s="37">
        <f t="shared" si="95"/>
        <v>-0.22</v>
      </c>
      <c r="I242" s="37">
        <f t="shared" si="95"/>
        <v>0.44</v>
      </c>
      <c r="J242" s="37">
        <f t="shared" si="95"/>
        <v>0.33</v>
      </c>
      <c r="K242" s="37">
        <f t="shared" si="95"/>
        <v>-0.22</v>
      </c>
      <c r="L242" s="37">
        <f t="shared" ref="L242:N242" si="111">K170</f>
        <v>-0.22</v>
      </c>
      <c r="M242" s="37">
        <f t="shared" si="111"/>
        <v>0.44</v>
      </c>
      <c r="N242" s="37">
        <f t="shared" si="111"/>
        <v>-0.11</v>
      </c>
      <c r="O242" s="37">
        <f t="shared" si="97"/>
        <v>-0.11</v>
      </c>
      <c r="P242" s="37">
        <f t="shared" si="98"/>
        <v>-0.11</v>
      </c>
    </row>
    <row r="243" spans="4:16" x14ac:dyDescent="0.25">
      <c r="D243" s="37" t="s">
        <v>90</v>
      </c>
      <c r="E243" s="37" t="str">
        <f t="shared" si="110"/>
        <v>South West</v>
      </c>
      <c r="F243" s="37" t="str">
        <f t="shared" si="95"/>
        <v>Autumn</v>
      </c>
      <c r="G243" s="37">
        <f t="shared" si="95"/>
        <v>0.6</v>
      </c>
      <c r="H243" s="37">
        <f t="shared" si="95"/>
        <v>0</v>
      </c>
      <c r="I243" s="37">
        <f t="shared" si="95"/>
        <v>0.6</v>
      </c>
      <c r="J243" s="37">
        <f t="shared" si="95"/>
        <v>0.22</v>
      </c>
      <c r="K243" s="37">
        <f t="shared" si="95"/>
        <v>-0.55000000000000004</v>
      </c>
      <c r="L243" s="37">
        <f t="shared" ref="L243:N243" si="112">K171</f>
        <v>-0.55000000000000004</v>
      </c>
      <c r="M243" s="37">
        <f t="shared" si="112"/>
        <v>0.6</v>
      </c>
      <c r="N243" s="37">
        <f t="shared" si="112"/>
        <v>0</v>
      </c>
      <c r="O243" s="37">
        <f t="shared" si="97"/>
        <v>0</v>
      </c>
      <c r="P243" s="37">
        <f t="shared" si="98"/>
        <v>0</v>
      </c>
    </row>
    <row r="244" spans="4:16" x14ac:dyDescent="0.25">
      <c r="D244" s="37" t="s">
        <v>90</v>
      </c>
      <c r="E244" s="37" t="str">
        <f t="shared" si="110"/>
        <v>South West</v>
      </c>
      <c r="F244" s="37" t="str">
        <f t="shared" si="95"/>
        <v>Winter</v>
      </c>
      <c r="G244" s="37">
        <f t="shared" si="95"/>
        <v>0.99</v>
      </c>
      <c r="H244" s="37">
        <f t="shared" si="95"/>
        <v>0.22</v>
      </c>
      <c r="I244" s="37">
        <f t="shared" si="95"/>
        <v>0.77</v>
      </c>
      <c r="J244" s="37">
        <f t="shared" si="95"/>
        <v>0.11</v>
      </c>
      <c r="K244" s="37">
        <f t="shared" si="95"/>
        <v>0.11</v>
      </c>
      <c r="L244" s="37">
        <f t="shared" ref="L244:N244" si="113">K172</f>
        <v>0.11</v>
      </c>
      <c r="M244" s="37">
        <f t="shared" si="113"/>
        <v>0.77</v>
      </c>
      <c r="N244" s="37">
        <f t="shared" si="113"/>
        <v>0.44</v>
      </c>
      <c r="O244" s="37">
        <f t="shared" si="97"/>
        <v>0.44</v>
      </c>
      <c r="P244" s="37">
        <f t="shared" si="98"/>
        <v>0.44</v>
      </c>
    </row>
    <row r="245" spans="4:16" x14ac:dyDescent="0.25">
      <c r="D245" s="37" t="s">
        <v>90</v>
      </c>
      <c r="E245" s="37" t="str">
        <f t="shared" si="110"/>
        <v>Pilbara</v>
      </c>
      <c r="F245" s="37" t="str">
        <f t="shared" si="95"/>
        <v>Spring</v>
      </c>
      <c r="G245" s="37">
        <f t="shared" si="95"/>
        <v>0.7</v>
      </c>
      <c r="H245" s="37">
        <f t="shared" si="95"/>
        <v>-0.55000000000000004</v>
      </c>
      <c r="I245" s="37">
        <f t="shared" si="95"/>
        <v>0.7</v>
      </c>
      <c r="J245" s="37">
        <f t="shared" si="95"/>
        <v>0.22</v>
      </c>
      <c r="K245" s="37">
        <f t="shared" si="95"/>
        <v>-0.22</v>
      </c>
      <c r="L245" s="37">
        <f t="shared" ref="L245:N245" si="114">K173</f>
        <v>-0.22</v>
      </c>
      <c r="M245" s="37">
        <f t="shared" si="114"/>
        <v>0.7</v>
      </c>
      <c r="N245" s="37">
        <f t="shared" si="114"/>
        <v>-0.22</v>
      </c>
      <c r="O245" s="37">
        <f t="shared" si="97"/>
        <v>-0.22</v>
      </c>
      <c r="P245" s="37">
        <f t="shared" si="98"/>
        <v>-0.22</v>
      </c>
    </row>
    <row r="246" spans="4:16" x14ac:dyDescent="0.25">
      <c r="D246" s="37" t="s">
        <v>90</v>
      </c>
      <c r="E246" s="37" t="str">
        <f t="shared" si="110"/>
        <v>Pilbara</v>
      </c>
      <c r="F246" s="37" t="str">
        <f t="shared" si="95"/>
        <v>Summer</v>
      </c>
      <c r="G246" s="37">
        <f t="shared" si="95"/>
        <v>0.77</v>
      </c>
      <c r="H246" s="37">
        <f t="shared" si="95"/>
        <v>0.55000000000000004</v>
      </c>
      <c r="I246" s="37">
        <f t="shared" si="95"/>
        <v>0.77</v>
      </c>
      <c r="J246" s="37">
        <f t="shared" si="95"/>
        <v>0.66</v>
      </c>
      <c r="K246" s="37">
        <f t="shared" si="95"/>
        <v>0.55000000000000004</v>
      </c>
      <c r="L246" s="37">
        <f t="shared" ref="L246:N246" si="115">K174</f>
        <v>0.55000000000000004</v>
      </c>
      <c r="M246" s="37">
        <f t="shared" si="115"/>
        <v>0.77</v>
      </c>
      <c r="N246" s="37">
        <f t="shared" si="115"/>
        <v>0.33</v>
      </c>
      <c r="O246" s="37">
        <f t="shared" si="97"/>
        <v>0.33</v>
      </c>
      <c r="P246" s="37">
        <f t="shared" si="98"/>
        <v>0.33</v>
      </c>
    </row>
    <row r="247" spans="4:16" x14ac:dyDescent="0.25">
      <c r="D247" s="37" t="s">
        <v>90</v>
      </c>
      <c r="E247" s="37" t="str">
        <f t="shared" si="110"/>
        <v>Pilbara</v>
      </c>
      <c r="F247" s="37" t="str">
        <f t="shared" si="95"/>
        <v>Autumn</v>
      </c>
      <c r="G247" s="37">
        <f t="shared" si="95"/>
        <v>0.88</v>
      </c>
      <c r="H247" s="37">
        <f t="shared" si="95"/>
        <v>0.55000000000000004</v>
      </c>
      <c r="I247" s="37">
        <f t="shared" si="95"/>
        <v>0.88</v>
      </c>
      <c r="J247" s="37">
        <f t="shared" si="95"/>
        <v>0.22</v>
      </c>
      <c r="K247" s="37">
        <f t="shared" si="95"/>
        <v>0.22</v>
      </c>
      <c r="L247" s="37">
        <f t="shared" ref="L247:N247" si="116">K175</f>
        <v>0.22</v>
      </c>
      <c r="M247" s="37">
        <f t="shared" si="116"/>
        <v>0.88</v>
      </c>
      <c r="N247" s="37">
        <f t="shared" si="116"/>
        <v>0.22</v>
      </c>
      <c r="O247" s="37">
        <f t="shared" si="97"/>
        <v>0.22</v>
      </c>
      <c r="P247" s="37">
        <f t="shared" si="98"/>
        <v>0.22</v>
      </c>
    </row>
    <row r="248" spans="4:16" x14ac:dyDescent="0.25">
      <c r="D248" s="37" t="s">
        <v>90</v>
      </c>
      <c r="E248" s="37" t="str">
        <f t="shared" si="110"/>
        <v>Pilbara</v>
      </c>
      <c r="F248" s="37" t="str">
        <f t="shared" si="95"/>
        <v>Winter</v>
      </c>
      <c r="G248" s="37">
        <f t="shared" si="95"/>
        <v>0.22</v>
      </c>
      <c r="H248" s="37">
        <f t="shared" si="95"/>
        <v>-0.55000000000000004</v>
      </c>
      <c r="I248" s="37">
        <f t="shared" si="95"/>
        <v>0.22</v>
      </c>
      <c r="J248" s="37">
        <f t="shared" si="95"/>
        <v>0.11</v>
      </c>
      <c r="K248" s="37">
        <f t="shared" si="95"/>
        <v>-0.22</v>
      </c>
      <c r="L248" s="37">
        <f t="shared" ref="L248:N248" si="117">K176</f>
        <v>-0.22</v>
      </c>
      <c r="M248" s="37">
        <f t="shared" si="117"/>
        <v>0.22</v>
      </c>
      <c r="N248" s="37">
        <f t="shared" si="117"/>
        <v>-0.33</v>
      </c>
      <c r="O248" s="37">
        <f t="shared" si="97"/>
        <v>-0.33</v>
      </c>
      <c r="P248" s="37">
        <f t="shared" si="98"/>
        <v>-0.33</v>
      </c>
    </row>
    <row r="249" spans="4:16" x14ac:dyDescent="0.25">
      <c r="D249" s="37" t="s">
        <v>90</v>
      </c>
      <c r="E249" s="37" t="str">
        <f t="shared" si="110"/>
        <v>Kimberley</v>
      </c>
      <c r="F249" s="37" t="str">
        <f t="shared" si="95"/>
        <v>Spring</v>
      </c>
      <c r="G249" s="37">
        <f t="shared" si="95"/>
        <v>0.22</v>
      </c>
      <c r="H249" s="37">
        <f t="shared" si="95"/>
        <v>-0.55000000000000004</v>
      </c>
      <c r="I249" s="37">
        <f t="shared" si="95"/>
        <v>0.33</v>
      </c>
      <c r="J249" s="37">
        <f t="shared" si="95"/>
        <v>0.22</v>
      </c>
      <c r="K249" s="37">
        <f t="shared" si="95"/>
        <v>-0.33</v>
      </c>
      <c r="L249" s="37">
        <f t="shared" ref="L249:N249" si="118">K177</f>
        <v>-0.33</v>
      </c>
      <c r="M249" s="37">
        <f t="shared" si="118"/>
        <v>0.22</v>
      </c>
      <c r="N249" s="37">
        <f t="shared" si="118"/>
        <v>-0.55000000000000004</v>
      </c>
      <c r="O249" s="37">
        <f t="shared" si="97"/>
        <v>-0.55000000000000004</v>
      </c>
      <c r="P249" s="37">
        <f t="shared" si="98"/>
        <v>-0.55000000000000004</v>
      </c>
    </row>
    <row r="250" spans="4:16" x14ac:dyDescent="0.25">
      <c r="D250" s="37" t="s">
        <v>90</v>
      </c>
      <c r="E250" s="37" t="str">
        <f t="shared" si="110"/>
        <v>Kimberley</v>
      </c>
      <c r="F250" s="37" t="str">
        <f t="shared" si="95"/>
        <v>Summer</v>
      </c>
      <c r="G250" s="37">
        <f t="shared" si="95"/>
        <v>0.8</v>
      </c>
      <c r="H250" s="37">
        <f t="shared" si="95"/>
        <v>0.55000000000000004</v>
      </c>
      <c r="I250" s="37">
        <f t="shared" si="95"/>
        <v>0.7</v>
      </c>
      <c r="J250" s="37">
        <f t="shared" si="95"/>
        <v>0.44</v>
      </c>
      <c r="K250" s="37">
        <f t="shared" si="95"/>
        <v>0.66</v>
      </c>
      <c r="L250" s="37">
        <f t="shared" ref="L250:N250" si="119">K178</f>
        <v>0.66</v>
      </c>
      <c r="M250" s="37">
        <f t="shared" si="119"/>
        <v>0.8</v>
      </c>
      <c r="N250" s="37">
        <f t="shared" si="119"/>
        <v>0.55000000000000004</v>
      </c>
      <c r="O250" s="37">
        <f t="shared" si="97"/>
        <v>0.55000000000000004</v>
      </c>
      <c r="P250" s="37">
        <f t="shared" si="98"/>
        <v>0.55000000000000004</v>
      </c>
    </row>
    <row r="251" spans="4:16" x14ac:dyDescent="0.25">
      <c r="D251" s="37" t="s">
        <v>90</v>
      </c>
      <c r="E251" s="37" t="str">
        <f t="shared" si="110"/>
        <v>Kimberley</v>
      </c>
      <c r="F251" s="37" t="str">
        <f t="shared" si="95"/>
        <v>Autumn</v>
      </c>
      <c r="G251" s="37">
        <f t="shared" si="95"/>
        <v>0.66</v>
      </c>
      <c r="H251" s="37">
        <f t="shared" si="95"/>
        <v>0.55000000000000004</v>
      </c>
      <c r="I251" s="37">
        <f t="shared" si="95"/>
        <v>0.55000000000000004</v>
      </c>
      <c r="J251" s="37">
        <f t="shared" si="95"/>
        <v>0.55000000000000004</v>
      </c>
      <c r="K251" s="37">
        <f t="shared" si="95"/>
        <v>0.11</v>
      </c>
      <c r="L251" s="37">
        <f t="shared" ref="L251:N251" si="120">K179</f>
        <v>0.11</v>
      </c>
      <c r="M251" s="37">
        <f t="shared" si="120"/>
        <v>0.66</v>
      </c>
      <c r="N251" s="37">
        <f t="shared" si="120"/>
        <v>0.55000000000000004</v>
      </c>
      <c r="O251" s="37">
        <f t="shared" si="97"/>
        <v>0.55000000000000004</v>
      </c>
      <c r="P251" s="37">
        <f t="shared" si="98"/>
        <v>0.55000000000000004</v>
      </c>
    </row>
    <row r="252" spans="4:16" x14ac:dyDescent="0.25">
      <c r="D252" s="37" t="s">
        <v>90</v>
      </c>
      <c r="E252" s="37" t="str">
        <f t="shared" si="110"/>
        <v>Kimberley</v>
      </c>
      <c r="F252" s="37" t="str">
        <f t="shared" si="95"/>
        <v>Winter</v>
      </c>
      <c r="G252" s="37">
        <f t="shared" si="95"/>
        <v>0.33</v>
      </c>
      <c r="H252" s="37">
        <f t="shared" si="95"/>
        <v>-0.55000000000000004</v>
      </c>
      <c r="I252" s="37">
        <f t="shared" si="95"/>
        <v>0.11</v>
      </c>
      <c r="J252" s="37">
        <f t="shared" si="95"/>
        <v>0.11</v>
      </c>
      <c r="K252" s="37">
        <f t="shared" si="95"/>
        <v>-0.44</v>
      </c>
      <c r="L252" s="37">
        <f t="shared" ref="L252:N252" si="121">K180</f>
        <v>-0.44</v>
      </c>
      <c r="M252" s="37">
        <f t="shared" si="121"/>
        <v>0.33</v>
      </c>
      <c r="N252" s="37">
        <f t="shared" si="121"/>
        <v>-0.55000000000000004</v>
      </c>
      <c r="O252" s="37">
        <f t="shared" si="97"/>
        <v>-0.55000000000000004</v>
      </c>
      <c r="P252" s="37">
        <f t="shared" si="98"/>
        <v>-0.55000000000000004</v>
      </c>
    </row>
    <row r="253" spans="4:16" x14ac:dyDescent="0.25">
      <c r="D253" s="37" t="s">
        <v>85</v>
      </c>
      <c r="E253" s="37" t="str">
        <f>E188</f>
        <v>Alice Springs</v>
      </c>
      <c r="F253" s="37" t="str">
        <f>F188</f>
        <v>Spring</v>
      </c>
      <c r="G253" s="37">
        <f>G188</f>
        <v>0.22</v>
      </c>
      <c r="H253" s="37">
        <f t="shared" ref="H253:P253" si="122">H188</f>
        <v>-0.23</v>
      </c>
      <c r="I253" s="37">
        <f t="shared" si="122"/>
        <v>0.25</v>
      </c>
      <c r="J253" s="37">
        <f t="shared" si="122"/>
        <v>0.17</v>
      </c>
      <c r="K253" s="37">
        <f t="shared" si="122"/>
        <v>0.18</v>
      </c>
      <c r="L253" s="37">
        <f t="shared" si="122"/>
        <v>-0.28000000000000003</v>
      </c>
      <c r="M253" s="37">
        <f t="shared" si="122"/>
        <v>0.32</v>
      </c>
      <c r="N253" s="37">
        <f t="shared" si="122"/>
        <v>0.24</v>
      </c>
      <c r="O253" s="37">
        <f t="shared" si="122"/>
        <v>0.25</v>
      </c>
      <c r="P253" s="37">
        <f t="shared" si="122"/>
        <v>-0.05</v>
      </c>
    </row>
    <row r="254" spans="4:16" x14ac:dyDescent="0.25">
      <c r="D254" s="37" t="s">
        <v>85</v>
      </c>
      <c r="E254" s="37" t="str">
        <f t="shared" ref="E254:P280" si="123">E189</f>
        <v>Alice Springs</v>
      </c>
      <c r="F254" s="37" t="str">
        <f t="shared" si="123"/>
        <v>Summer</v>
      </c>
      <c r="G254" s="37">
        <f t="shared" si="123"/>
        <v>0.66</v>
      </c>
      <c r="H254" s="37">
        <f t="shared" si="123"/>
        <v>0.2</v>
      </c>
      <c r="I254" s="37">
        <f t="shared" si="123"/>
        <v>0.62</v>
      </c>
      <c r="J254" s="37">
        <f t="shared" si="123"/>
        <v>0.54</v>
      </c>
      <c r="K254" s="37">
        <f t="shared" si="123"/>
        <v>0.38</v>
      </c>
      <c r="L254" s="37">
        <f t="shared" si="123"/>
        <v>0.27</v>
      </c>
      <c r="M254" s="37">
        <f t="shared" si="123"/>
        <v>0.75</v>
      </c>
      <c r="N254" s="37">
        <f t="shared" si="123"/>
        <v>0.64</v>
      </c>
      <c r="O254" s="37">
        <f t="shared" si="123"/>
        <v>0.55000000000000004</v>
      </c>
      <c r="P254" s="37">
        <f t="shared" si="123"/>
        <v>0.48</v>
      </c>
    </row>
    <row r="255" spans="4:16" x14ac:dyDescent="0.25">
      <c r="D255" s="37" t="s">
        <v>85</v>
      </c>
      <c r="E255" s="37" t="str">
        <f t="shared" si="123"/>
        <v>Alice Springs</v>
      </c>
      <c r="F255" s="37" t="str">
        <f t="shared" si="123"/>
        <v>Autumn</v>
      </c>
      <c r="G255" s="37">
        <f t="shared" si="123"/>
        <v>0.49</v>
      </c>
      <c r="H255" s="37">
        <f t="shared" si="123"/>
        <v>0.13</v>
      </c>
      <c r="I255" s="37">
        <f t="shared" si="123"/>
        <v>0.54</v>
      </c>
      <c r="J255" s="37">
        <f t="shared" si="123"/>
        <v>0.45</v>
      </c>
      <c r="K255" s="37">
        <f t="shared" si="123"/>
        <v>0.35</v>
      </c>
      <c r="L255" s="37">
        <f t="shared" si="123"/>
        <v>0.15</v>
      </c>
      <c r="M255" s="37">
        <f t="shared" si="123"/>
        <v>0.63</v>
      </c>
      <c r="N255" s="37">
        <f t="shared" si="123"/>
        <v>0.54</v>
      </c>
      <c r="O255" s="37">
        <f t="shared" si="123"/>
        <v>0.42</v>
      </c>
      <c r="P255" s="37">
        <f t="shared" si="123"/>
        <v>0.26</v>
      </c>
    </row>
    <row r="256" spans="4:16" x14ac:dyDescent="0.25">
      <c r="D256" s="37" t="s">
        <v>85</v>
      </c>
      <c r="E256" s="37" t="str">
        <f t="shared" si="123"/>
        <v>Alice Springs</v>
      </c>
      <c r="F256" s="37" t="str">
        <f t="shared" si="123"/>
        <v>Winter</v>
      </c>
      <c r="G256" s="37">
        <f t="shared" si="123"/>
        <v>0.27</v>
      </c>
      <c r="H256" s="37">
        <f t="shared" si="123"/>
        <v>-0.8</v>
      </c>
      <c r="I256" s="37">
        <f t="shared" si="123"/>
        <v>0.22</v>
      </c>
      <c r="J256" s="37">
        <f t="shared" si="123"/>
        <v>0.09</v>
      </c>
      <c r="K256" s="37">
        <f t="shared" si="123"/>
        <v>0.12</v>
      </c>
      <c r="L256" s="37">
        <f t="shared" si="123"/>
        <v>0.02</v>
      </c>
      <c r="M256" s="37">
        <f t="shared" si="123"/>
        <v>0.25</v>
      </c>
      <c r="N256" s="37">
        <f t="shared" si="123"/>
        <v>0.18</v>
      </c>
      <c r="O256" s="37">
        <f t="shared" si="123"/>
        <v>0.12</v>
      </c>
      <c r="P256" s="37">
        <f t="shared" si="123"/>
        <v>0.03</v>
      </c>
    </row>
    <row r="257" spans="4:16" x14ac:dyDescent="0.25">
      <c r="D257" s="37" t="s">
        <v>85</v>
      </c>
      <c r="E257" s="37" t="str">
        <f t="shared" si="123"/>
        <v>Barkly</v>
      </c>
      <c r="F257" s="37" t="str">
        <f t="shared" si="123"/>
        <v>Spring</v>
      </c>
      <c r="G257" s="37">
        <f t="shared" si="123"/>
        <v>0.22</v>
      </c>
      <c r="H257" s="37">
        <f t="shared" si="123"/>
        <v>-0.44</v>
      </c>
      <c r="I257" s="37">
        <f t="shared" si="123"/>
        <v>0.2</v>
      </c>
      <c r="J257" s="37">
        <f t="shared" si="123"/>
        <v>0.21</v>
      </c>
      <c r="K257" s="37">
        <f t="shared" si="123"/>
        <v>0.18</v>
      </c>
      <c r="L257" s="37">
        <f t="shared" si="123"/>
        <v>0.01</v>
      </c>
      <c r="M257" s="37">
        <f t="shared" si="123"/>
        <v>0.12</v>
      </c>
      <c r="N257" s="37">
        <f t="shared" si="123"/>
        <v>0.09</v>
      </c>
      <c r="O257" s="37" t="str">
        <f t="shared" si="123"/>
        <v>NO</v>
      </c>
      <c r="P257" s="37" t="str">
        <f t="shared" si="123"/>
        <v>NO</v>
      </c>
    </row>
    <row r="258" spans="4:16" x14ac:dyDescent="0.25">
      <c r="D258" s="37" t="s">
        <v>85</v>
      </c>
      <c r="E258" s="37" t="str">
        <f t="shared" si="123"/>
        <v>Barkly</v>
      </c>
      <c r="F258" s="37" t="str">
        <f t="shared" si="123"/>
        <v>Summer</v>
      </c>
      <c r="G258" s="37">
        <f t="shared" si="123"/>
        <v>0.66</v>
      </c>
      <c r="H258" s="37">
        <f t="shared" si="123"/>
        <v>0.22</v>
      </c>
      <c r="I258" s="37">
        <f t="shared" si="123"/>
        <v>0.68</v>
      </c>
      <c r="J258" s="37">
        <f t="shared" si="123"/>
        <v>0.22</v>
      </c>
      <c r="K258" s="37">
        <f t="shared" si="123"/>
        <v>0.24</v>
      </c>
      <c r="L258" s="37">
        <f t="shared" si="123"/>
        <v>0.25</v>
      </c>
      <c r="M258" s="37">
        <f t="shared" si="123"/>
        <v>0.64</v>
      </c>
      <c r="N258" s="37">
        <f t="shared" si="123"/>
        <v>0.37</v>
      </c>
      <c r="O258" s="37" t="str">
        <f t="shared" si="123"/>
        <v>NO</v>
      </c>
      <c r="P258" s="37" t="str">
        <f t="shared" si="123"/>
        <v>NO</v>
      </c>
    </row>
    <row r="259" spans="4:16" x14ac:dyDescent="0.25">
      <c r="D259" s="37" t="s">
        <v>85</v>
      </c>
      <c r="E259" s="37" t="str">
        <f t="shared" si="123"/>
        <v>Barkly</v>
      </c>
      <c r="F259" s="37" t="str">
        <f t="shared" si="123"/>
        <v>Autumn</v>
      </c>
      <c r="G259" s="37">
        <f t="shared" si="123"/>
        <v>0.49</v>
      </c>
      <c r="H259" s="37">
        <f t="shared" si="123"/>
        <v>0.05</v>
      </c>
      <c r="I259" s="37">
        <f t="shared" si="123"/>
        <v>0.64</v>
      </c>
      <c r="J259" s="37">
        <f t="shared" si="123"/>
        <v>0.25</v>
      </c>
      <c r="K259" s="37">
        <f t="shared" si="123"/>
        <v>0.28999999999999998</v>
      </c>
      <c r="L259" s="37">
        <f t="shared" si="123"/>
        <v>0.12</v>
      </c>
      <c r="M259" s="37">
        <f t="shared" si="123"/>
        <v>0.56999999999999995</v>
      </c>
      <c r="N259" s="37">
        <f t="shared" si="123"/>
        <v>0.49</v>
      </c>
      <c r="O259" s="37" t="str">
        <f t="shared" si="123"/>
        <v>NO</v>
      </c>
      <c r="P259" s="37" t="str">
        <f t="shared" si="123"/>
        <v>NO</v>
      </c>
    </row>
    <row r="260" spans="4:16" x14ac:dyDescent="0.25">
      <c r="D260" s="37" t="s">
        <v>85</v>
      </c>
      <c r="E260" s="37" t="str">
        <f t="shared" si="123"/>
        <v>Barkly</v>
      </c>
      <c r="F260" s="37" t="str">
        <f t="shared" si="123"/>
        <v>Winter</v>
      </c>
      <c r="G260" s="37">
        <f t="shared" si="123"/>
        <v>0.27</v>
      </c>
      <c r="H260" s="37">
        <f t="shared" si="123"/>
        <v>-0.27</v>
      </c>
      <c r="I260" s="37">
        <f t="shared" si="123"/>
        <v>0.31</v>
      </c>
      <c r="J260" s="37">
        <f t="shared" si="123"/>
        <v>0.28999999999999998</v>
      </c>
      <c r="K260" s="37">
        <f t="shared" si="123"/>
        <v>0.19</v>
      </c>
      <c r="L260" s="37">
        <f t="shared" si="123"/>
        <v>0.04</v>
      </c>
      <c r="M260" s="37">
        <f t="shared" si="123"/>
        <v>0.26</v>
      </c>
      <c r="N260" s="37">
        <f t="shared" si="123"/>
        <v>0.28000000000000003</v>
      </c>
      <c r="O260" s="37" t="str">
        <f t="shared" si="123"/>
        <v>NO</v>
      </c>
      <c r="P260" s="37" t="str">
        <f t="shared" si="123"/>
        <v>NO</v>
      </c>
    </row>
    <row r="261" spans="4:16" x14ac:dyDescent="0.25">
      <c r="D261" s="37" t="s">
        <v>85</v>
      </c>
      <c r="E261" s="37" t="str">
        <f t="shared" si="123"/>
        <v>Northern</v>
      </c>
      <c r="F261" s="37" t="str">
        <f t="shared" si="123"/>
        <v>Spring</v>
      </c>
      <c r="G261" s="37">
        <f t="shared" si="123"/>
        <v>0.22</v>
      </c>
      <c r="H261" s="37">
        <f t="shared" si="123"/>
        <v>-0.44</v>
      </c>
      <c r="I261" s="37">
        <f t="shared" si="123"/>
        <v>0</v>
      </c>
      <c r="J261" s="37">
        <f t="shared" si="123"/>
        <v>0.15</v>
      </c>
      <c r="K261" s="37">
        <f t="shared" si="123"/>
        <v>0.08</v>
      </c>
      <c r="L261" s="37">
        <f t="shared" si="123"/>
        <v>0.17</v>
      </c>
      <c r="M261" s="37">
        <f t="shared" si="123"/>
        <v>0.06</v>
      </c>
      <c r="N261" s="37">
        <f t="shared" si="123"/>
        <v>0.02</v>
      </c>
      <c r="O261" s="37">
        <f t="shared" si="123"/>
        <v>-0.14000000000000001</v>
      </c>
      <c r="P261" s="37" t="str">
        <f t="shared" si="123"/>
        <v>NO</v>
      </c>
    </row>
    <row r="262" spans="4:16" x14ac:dyDescent="0.25">
      <c r="D262" s="37" t="s">
        <v>85</v>
      </c>
      <c r="E262" s="37" t="str">
        <f t="shared" si="123"/>
        <v>Northern</v>
      </c>
      <c r="F262" s="37" t="str">
        <f t="shared" si="123"/>
        <v>Summer</v>
      </c>
      <c r="G262" s="37">
        <f t="shared" si="123"/>
        <v>0.66</v>
      </c>
      <c r="H262" s="37">
        <f t="shared" si="123"/>
        <v>0.22</v>
      </c>
      <c r="I262" s="37">
        <f t="shared" si="123"/>
        <v>0.79</v>
      </c>
      <c r="J262" s="37">
        <f t="shared" si="123"/>
        <v>0.4</v>
      </c>
      <c r="K262" s="37">
        <f t="shared" si="123"/>
        <v>0.38</v>
      </c>
      <c r="L262" s="37">
        <f t="shared" si="123"/>
        <v>0.27</v>
      </c>
      <c r="M262" s="37">
        <f t="shared" si="123"/>
        <v>0.8</v>
      </c>
      <c r="N262" s="37">
        <f t="shared" si="123"/>
        <v>0.16</v>
      </c>
      <c r="O262" s="37">
        <f t="shared" si="123"/>
        <v>0.3</v>
      </c>
      <c r="P262" s="37" t="str">
        <f t="shared" si="123"/>
        <v>NO</v>
      </c>
    </row>
    <row r="263" spans="4:16" x14ac:dyDescent="0.25">
      <c r="D263" s="37" t="s">
        <v>85</v>
      </c>
      <c r="E263" s="37" t="str">
        <f t="shared" si="123"/>
        <v>Northern</v>
      </c>
      <c r="F263" s="37" t="str">
        <f t="shared" si="123"/>
        <v>Autumn</v>
      </c>
      <c r="G263" s="37">
        <f t="shared" si="123"/>
        <v>0.49</v>
      </c>
      <c r="H263" s="37">
        <f t="shared" si="123"/>
        <v>0.05</v>
      </c>
      <c r="I263" s="37">
        <f t="shared" si="123"/>
        <v>0.55000000000000004</v>
      </c>
      <c r="J263" s="37">
        <f t="shared" si="123"/>
        <v>0.38</v>
      </c>
      <c r="K263" s="37">
        <f t="shared" si="123"/>
        <v>0.36</v>
      </c>
      <c r="L263" s="37">
        <f t="shared" si="123"/>
        <v>0.06</v>
      </c>
      <c r="M263" s="37">
        <f t="shared" si="123"/>
        <v>0.57999999999999996</v>
      </c>
      <c r="N263" s="37">
        <f t="shared" si="123"/>
        <v>0.23</v>
      </c>
      <c r="O263" s="37">
        <f t="shared" si="123"/>
        <v>0.4</v>
      </c>
      <c r="P263" s="37" t="str">
        <f t="shared" si="123"/>
        <v>NO</v>
      </c>
    </row>
    <row r="264" spans="4:16" x14ac:dyDescent="0.25">
      <c r="D264" s="37" t="s">
        <v>85</v>
      </c>
      <c r="E264" s="37" t="str">
        <f t="shared" si="123"/>
        <v>Northern</v>
      </c>
      <c r="F264" s="37" t="str">
        <f t="shared" si="123"/>
        <v>Winter</v>
      </c>
      <c r="G264" s="37">
        <f t="shared" si="123"/>
        <v>0.27</v>
      </c>
      <c r="H264" s="37">
        <f t="shared" si="123"/>
        <v>-0.27</v>
      </c>
      <c r="I264" s="37">
        <f t="shared" si="123"/>
        <v>0.02</v>
      </c>
      <c r="J264" s="37">
        <f t="shared" si="123"/>
        <v>0.09</v>
      </c>
      <c r="K264" s="37">
        <f t="shared" si="123"/>
        <v>0.16</v>
      </c>
      <c r="L264" s="37">
        <f t="shared" si="123"/>
        <v>-0.04</v>
      </c>
      <c r="M264" s="37">
        <f t="shared" si="123"/>
        <v>0.21</v>
      </c>
      <c r="N264" s="37">
        <f t="shared" si="123"/>
        <v>0.03</v>
      </c>
      <c r="O264" s="37">
        <f t="shared" si="123"/>
        <v>0.11</v>
      </c>
      <c r="P264" s="37" t="str">
        <f t="shared" si="123"/>
        <v>NO</v>
      </c>
    </row>
    <row r="265" spans="4:16" x14ac:dyDescent="0.25">
      <c r="D265" s="37" t="s">
        <v>86</v>
      </c>
      <c r="E265" s="37" t="str">
        <f t="shared" si="123"/>
        <v>High</v>
      </c>
      <c r="F265" s="37" t="str">
        <f t="shared" si="123"/>
        <v>Spring</v>
      </c>
      <c r="G265" s="37">
        <f t="shared" si="123"/>
        <v>0.27</v>
      </c>
      <c r="H265" s="37">
        <f t="shared" si="123"/>
        <v>-0.19</v>
      </c>
      <c r="I265" s="37">
        <f t="shared" si="123"/>
        <v>0.38</v>
      </c>
      <c r="J265" s="37">
        <f t="shared" si="123"/>
        <v>0.25</v>
      </c>
      <c r="K265" s="37">
        <f t="shared" si="123"/>
        <v>7.0000000000000007E-2</v>
      </c>
      <c r="L265" s="37">
        <f t="shared" si="123"/>
        <v>0.05</v>
      </c>
      <c r="M265" s="37">
        <f t="shared" si="123"/>
        <v>0.52</v>
      </c>
      <c r="N265" s="37">
        <f t="shared" si="123"/>
        <v>0.55000000000000004</v>
      </c>
      <c r="O265" s="37">
        <f t="shared" si="123"/>
        <v>0.19</v>
      </c>
      <c r="P265" s="37">
        <f t="shared" si="123"/>
        <v>0.6</v>
      </c>
    </row>
    <row r="266" spans="4:16" x14ac:dyDescent="0.25">
      <c r="D266" s="37" t="s">
        <v>86</v>
      </c>
      <c r="E266" s="37" t="str">
        <f t="shared" si="123"/>
        <v>High</v>
      </c>
      <c r="F266" s="37" t="str">
        <f t="shared" si="123"/>
        <v>Summer</v>
      </c>
      <c r="G266" s="37">
        <f t="shared" si="123"/>
        <v>0.16</v>
      </c>
      <c r="H266" s="37">
        <f t="shared" si="123"/>
        <v>0.16</v>
      </c>
      <c r="I266" s="37">
        <f t="shared" si="123"/>
        <v>0.8</v>
      </c>
      <c r="J266" s="37">
        <f t="shared" si="123"/>
        <v>0.56999999999999995</v>
      </c>
      <c r="K266" s="37">
        <f t="shared" si="123"/>
        <v>0.76</v>
      </c>
      <c r="L266" s="37">
        <f t="shared" si="123"/>
        <v>0.49</v>
      </c>
      <c r="M266" s="37">
        <f t="shared" si="123"/>
        <v>0.84</v>
      </c>
      <c r="N266" s="37">
        <f t="shared" si="123"/>
        <v>0.51</v>
      </c>
      <c r="O266" s="37">
        <f t="shared" si="123"/>
        <v>0.36</v>
      </c>
      <c r="P266" s="37">
        <f t="shared" si="123"/>
        <v>0.17</v>
      </c>
    </row>
    <row r="267" spans="4:16" x14ac:dyDescent="0.25">
      <c r="D267" s="37" t="s">
        <v>86</v>
      </c>
      <c r="E267" s="37" t="str">
        <f t="shared" si="123"/>
        <v>High</v>
      </c>
      <c r="F267" s="37" t="str">
        <f t="shared" si="123"/>
        <v>Autumn</v>
      </c>
      <c r="G267" s="37">
        <f t="shared" si="123"/>
        <v>0.45</v>
      </c>
      <c r="H267" s="37">
        <f t="shared" si="123"/>
        <v>0.1</v>
      </c>
      <c r="I267" s="37">
        <f t="shared" si="123"/>
        <v>0.49</v>
      </c>
      <c r="J267" s="37">
        <f t="shared" si="123"/>
        <v>0.41</v>
      </c>
      <c r="K267" s="37">
        <f t="shared" si="123"/>
        <v>0.4</v>
      </c>
      <c r="L267" s="37">
        <f t="shared" si="123"/>
        <v>0.17</v>
      </c>
      <c r="M267" s="37">
        <f t="shared" si="123"/>
        <v>0.54</v>
      </c>
      <c r="N267" s="37">
        <f t="shared" si="123"/>
        <v>0.64</v>
      </c>
      <c r="O267" s="37">
        <f t="shared" si="123"/>
        <v>-0.05</v>
      </c>
      <c r="P267" s="37">
        <f t="shared" si="123"/>
        <v>0.32</v>
      </c>
    </row>
    <row r="268" spans="4:16" x14ac:dyDescent="0.25">
      <c r="D268" s="37" t="s">
        <v>86</v>
      </c>
      <c r="E268" s="37" t="str">
        <f t="shared" si="123"/>
        <v>High</v>
      </c>
      <c r="F268" s="37" t="str">
        <f t="shared" si="123"/>
        <v>Winter</v>
      </c>
      <c r="G268" s="37">
        <f t="shared" si="123"/>
        <v>0.51</v>
      </c>
      <c r="H268" s="37">
        <f t="shared" si="123"/>
        <v>-7.0000000000000007E-2</v>
      </c>
      <c r="I268" s="37">
        <f t="shared" si="123"/>
        <v>0.13</v>
      </c>
      <c r="J268" s="37">
        <f t="shared" si="123"/>
        <v>-0.09</v>
      </c>
      <c r="K268" s="37">
        <f t="shared" si="123"/>
        <v>-0.13</v>
      </c>
      <c r="L268" s="37">
        <f t="shared" si="123"/>
        <v>7.0000000000000007E-2</v>
      </c>
      <c r="M268" s="37">
        <f t="shared" si="123"/>
        <v>0.25</v>
      </c>
      <c r="N268" s="37">
        <f t="shared" si="123"/>
        <v>0.71</v>
      </c>
      <c r="O268" s="37">
        <f t="shared" si="123"/>
        <v>0.17</v>
      </c>
      <c r="P268" s="37">
        <f t="shared" si="123"/>
        <v>0.43</v>
      </c>
    </row>
    <row r="269" spans="4:16" x14ac:dyDescent="0.25">
      <c r="D269" s="37" t="s">
        <v>86</v>
      </c>
      <c r="E269" s="37" t="str">
        <f t="shared" si="123"/>
        <v>Moderate/High</v>
      </c>
      <c r="F269" s="37" t="str">
        <f t="shared" si="123"/>
        <v>Spring</v>
      </c>
      <c r="G269" s="37">
        <f t="shared" si="123"/>
        <v>-0.12</v>
      </c>
      <c r="H269" s="37">
        <f t="shared" si="123"/>
        <v>-0.19</v>
      </c>
      <c r="I269" s="37">
        <f t="shared" si="123"/>
        <v>0.41</v>
      </c>
      <c r="J269" s="37">
        <f t="shared" si="123"/>
        <v>0.09</v>
      </c>
      <c r="K269" s="37">
        <f t="shared" si="123"/>
        <v>0.41</v>
      </c>
      <c r="L269" s="37">
        <f t="shared" si="123"/>
        <v>-0.19</v>
      </c>
      <c r="M269" s="37">
        <f t="shared" si="123"/>
        <v>7.0000000000000007E-2</v>
      </c>
      <c r="N269" s="37">
        <f t="shared" si="123"/>
        <v>1.07</v>
      </c>
      <c r="O269" s="37">
        <f t="shared" si="123"/>
        <v>-0.08</v>
      </c>
      <c r="P269" s="37">
        <f t="shared" si="123"/>
        <v>0</v>
      </c>
    </row>
    <row r="270" spans="4:16" x14ac:dyDescent="0.25">
      <c r="D270" s="37" t="s">
        <v>86</v>
      </c>
      <c r="E270" s="37" t="str">
        <f t="shared" si="123"/>
        <v>Moderate/High</v>
      </c>
      <c r="F270" s="37" t="str">
        <f t="shared" si="123"/>
        <v>Summer</v>
      </c>
      <c r="G270" s="37">
        <f t="shared" si="123"/>
        <v>0.65</v>
      </c>
      <c r="H270" s="37">
        <f t="shared" si="123"/>
        <v>0.19</v>
      </c>
      <c r="I270" s="37">
        <f t="shared" si="123"/>
        <v>0.65</v>
      </c>
      <c r="J270" s="37">
        <f t="shared" si="123"/>
        <v>0.51</v>
      </c>
      <c r="K270" s="37">
        <f t="shared" si="123"/>
        <v>0.18</v>
      </c>
      <c r="L270" s="37">
        <f t="shared" si="123"/>
        <v>0.63</v>
      </c>
      <c r="M270" s="37">
        <f t="shared" si="123"/>
        <v>1.3</v>
      </c>
      <c r="N270" s="37">
        <f t="shared" si="123"/>
        <v>0.48</v>
      </c>
      <c r="O270" s="37">
        <f t="shared" si="123"/>
        <v>1.1200000000000001</v>
      </c>
      <c r="P270" s="37">
        <f t="shared" si="123"/>
        <v>0.38</v>
      </c>
    </row>
    <row r="271" spans="4:16" x14ac:dyDescent="0.25">
      <c r="D271" s="37" t="s">
        <v>86</v>
      </c>
      <c r="E271" s="37" t="str">
        <f t="shared" si="123"/>
        <v>Moderate/High</v>
      </c>
      <c r="F271" s="37" t="str">
        <f t="shared" si="123"/>
        <v>Autumn</v>
      </c>
      <c r="G271" s="37">
        <f t="shared" si="123"/>
        <v>0.7</v>
      </c>
      <c r="H271" s="37">
        <f t="shared" si="123"/>
        <v>0.13</v>
      </c>
      <c r="I271" s="37">
        <f t="shared" si="123"/>
        <v>0.52</v>
      </c>
      <c r="J271" s="37">
        <f t="shared" si="123"/>
        <v>0.34</v>
      </c>
      <c r="K271" s="37">
        <f t="shared" si="123"/>
        <v>0.02</v>
      </c>
      <c r="L271" s="37">
        <f t="shared" si="123"/>
        <v>0.04</v>
      </c>
      <c r="M271" s="37">
        <f t="shared" si="123"/>
        <v>0.77</v>
      </c>
      <c r="N271" s="37">
        <f t="shared" si="123"/>
        <v>0.42</v>
      </c>
      <c r="O271" s="37">
        <f t="shared" si="123"/>
        <v>0.12</v>
      </c>
      <c r="P271" s="37">
        <f t="shared" si="123"/>
        <v>0.74</v>
      </c>
    </row>
    <row r="272" spans="4:16" x14ac:dyDescent="0.25">
      <c r="D272" s="37" t="s">
        <v>86</v>
      </c>
      <c r="E272" s="37" t="str">
        <f t="shared" si="123"/>
        <v>Moderate/High</v>
      </c>
      <c r="F272" s="37" t="str">
        <f t="shared" si="123"/>
        <v>Winter</v>
      </c>
      <c r="G272" s="37">
        <f t="shared" si="123"/>
        <v>0.32</v>
      </c>
      <c r="H272" s="37">
        <f t="shared" si="123"/>
        <v>-0.06</v>
      </c>
      <c r="I272" s="37">
        <f t="shared" si="123"/>
        <v>0.25</v>
      </c>
      <c r="J272" s="37">
        <f t="shared" si="123"/>
        <v>0.19</v>
      </c>
      <c r="K272" s="37">
        <f t="shared" si="123"/>
        <v>-0.1</v>
      </c>
      <c r="L272" s="37">
        <f t="shared" si="123"/>
        <v>-0.02</v>
      </c>
      <c r="M272" s="37">
        <f t="shared" si="123"/>
        <v>0.02</v>
      </c>
      <c r="N272" s="37">
        <f t="shared" si="123"/>
        <v>0.23</v>
      </c>
      <c r="O272" s="37">
        <f t="shared" si="123"/>
        <v>-0.13</v>
      </c>
      <c r="P272" s="37">
        <f t="shared" si="123"/>
        <v>0</v>
      </c>
    </row>
    <row r="273" spans="4:16" x14ac:dyDescent="0.25">
      <c r="D273" s="37" t="s">
        <v>86</v>
      </c>
      <c r="E273" s="37" t="str">
        <f t="shared" si="123"/>
        <v>Moderate/Low</v>
      </c>
      <c r="F273" s="37" t="str">
        <f t="shared" si="123"/>
        <v>Spring</v>
      </c>
      <c r="G273" s="37">
        <f t="shared" si="123"/>
        <v>0.62</v>
      </c>
      <c r="H273" s="37">
        <f t="shared" si="123"/>
        <v>-0.19</v>
      </c>
      <c r="I273" s="37">
        <f t="shared" si="123"/>
        <v>0.37</v>
      </c>
      <c r="J273" s="37">
        <f t="shared" si="123"/>
        <v>0.41</v>
      </c>
      <c r="K273" s="37">
        <f t="shared" si="123"/>
        <v>0.06</v>
      </c>
      <c r="L273" s="37">
        <f t="shared" si="123"/>
        <v>-0.02</v>
      </c>
      <c r="M273" s="37">
        <f t="shared" si="123"/>
        <v>0.47</v>
      </c>
      <c r="N273" s="37">
        <f t="shared" si="123"/>
        <v>0.44</v>
      </c>
      <c r="O273" s="37">
        <f t="shared" si="123"/>
        <v>0.3</v>
      </c>
      <c r="P273" s="37">
        <f t="shared" si="123"/>
        <v>0.13</v>
      </c>
    </row>
    <row r="274" spans="4:16" x14ac:dyDescent="0.25">
      <c r="D274" s="37" t="s">
        <v>86</v>
      </c>
      <c r="E274" s="37" t="str">
        <f t="shared" si="123"/>
        <v>Moderate/Low</v>
      </c>
      <c r="F274" s="37" t="str">
        <f t="shared" si="123"/>
        <v>Summer</v>
      </c>
      <c r="G274" s="37">
        <f t="shared" si="123"/>
        <v>0.05</v>
      </c>
      <c r="H274" s="37">
        <f t="shared" ref="H274:P274" si="124">H209</f>
        <v>0.19</v>
      </c>
      <c r="I274" s="37">
        <f t="shared" si="124"/>
        <v>0.31</v>
      </c>
      <c r="J274" s="37">
        <f t="shared" si="124"/>
        <v>0.54</v>
      </c>
      <c r="K274" s="37">
        <f t="shared" si="124"/>
        <v>0.53</v>
      </c>
      <c r="L274" s="37">
        <f t="shared" si="124"/>
        <v>0.15</v>
      </c>
      <c r="M274" s="37">
        <f t="shared" si="124"/>
        <v>0.28000000000000003</v>
      </c>
      <c r="N274" s="37">
        <f t="shared" si="124"/>
        <v>0.56999999999999995</v>
      </c>
      <c r="O274" s="37">
        <f t="shared" si="124"/>
        <v>0.42</v>
      </c>
      <c r="P274" s="37">
        <f t="shared" si="124"/>
        <v>0.4</v>
      </c>
    </row>
    <row r="275" spans="4:16" x14ac:dyDescent="0.25">
      <c r="D275" s="37" t="s">
        <v>86</v>
      </c>
      <c r="E275" s="37" t="str">
        <f t="shared" si="123"/>
        <v>Moderate/Low</v>
      </c>
      <c r="F275" s="37" t="str">
        <f t="shared" si="123"/>
        <v>Autumn</v>
      </c>
      <c r="G275" s="37">
        <f t="shared" ref="G275:P275" si="125">G210</f>
        <v>0.33</v>
      </c>
      <c r="H275" s="37">
        <f t="shared" si="125"/>
        <v>0.13</v>
      </c>
      <c r="I275" s="37">
        <f t="shared" si="125"/>
        <v>0.39</v>
      </c>
      <c r="J275" s="37">
        <f t="shared" si="125"/>
        <v>0.36</v>
      </c>
      <c r="K275" s="37">
        <f t="shared" si="125"/>
        <v>0.26</v>
      </c>
      <c r="L275" s="37">
        <f t="shared" si="125"/>
        <v>0.11</v>
      </c>
      <c r="M275" s="37">
        <f t="shared" si="125"/>
        <v>0.4</v>
      </c>
      <c r="N275" s="37">
        <f t="shared" si="125"/>
        <v>0.44</v>
      </c>
      <c r="O275" s="37">
        <f t="shared" si="125"/>
        <v>0.37</v>
      </c>
      <c r="P275" s="37">
        <f t="shared" si="125"/>
        <v>-0.01</v>
      </c>
    </row>
    <row r="276" spans="4:16" x14ac:dyDescent="0.25">
      <c r="D276" s="37" t="s">
        <v>86</v>
      </c>
      <c r="E276" s="37" t="str">
        <f t="shared" si="123"/>
        <v>Moderate/Low</v>
      </c>
      <c r="F276" s="37" t="str">
        <f t="shared" si="123"/>
        <v>Winter</v>
      </c>
      <c r="G276" s="37">
        <f t="shared" ref="G276:P276" si="126">G211</f>
        <v>0.61</v>
      </c>
      <c r="H276" s="37">
        <f t="shared" si="126"/>
        <v>-0.06</v>
      </c>
      <c r="I276" s="37">
        <f t="shared" si="126"/>
        <v>0.21</v>
      </c>
      <c r="J276" s="37">
        <f t="shared" si="126"/>
        <v>0.18</v>
      </c>
      <c r="K276" s="37">
        <f t="shared" si="126"/>
        <v>0.12</v>
      </c>
      <c r="L276" s="37">
        <f t="shared" si="126"/>
        <v>0.06</v>
      </c>
      <c r="M276" s="37">
        <f t="shared" si="126"/>
        <v>0.28999999999999998</v>
      </c>
      <c r="N276" s="37">
        <f t="shared" si="126"/>
        <v>0.41</v>
      </c>
      <c r="O276" s="37">
        <f t="shared" si="126"/>
        <v>0.41</v>
      </c>
      <c r="P276" s="37">
        <f t="shared" si="126"/>
        <v>-0.15</v>
      </c>
    </row>
    <row r="277" spans="4:16" x14ac:dyDescent="0.25">
      <c r="D277" s="37" t="s">
        <v>86</v>
      </c>
      <c r="E277" s="37" t="str">
        <f t="shared" si="123"/>
        <v>Low</v>
      </c>
      <c r="F277" s="37" t="str">
        <f t="shared" si="123"/>
        <v>Spring</v>
      </c>
      <c r="G277" s="37">
        <f t="shared" ref="G277:P277" si="127">G212</f>
        <v>-0.2</v>
      </c>
      <c r="H277" s="37">
        <f t="shared" si="127"/>
        <v>0.02</v>
      </c>
      <c r="I277" s="37">
        <f t="shared" si="127"/>
        <v>0.24</v>
      </c>
      <c r="J277" s="37">
        <f t="shared" si="127"/>
        <v>0.3</v>
      </c>
      <c r="K277" s="37">
        <f t="shared" si="127"/>
        <v>0.23</v>
      </c>
      <c r="L277" s="37">
        <f t="shared" si="127"/>
        <v>-0.05</v>
      </c>
      <c r="M277" s="37">
        <f t="shared" si="127"/>
        <v>0.34</v>
      </c>
      <c r="N277" s="37">
        <f t="shared" si="127"/>
        <v>0.3</v>
      </c>
      <c r="O277" s="37">
        <f t="shared" si="127"/>
        <v>0.56999999999999995</v>
      </c>
      <c r="P277" s="37">
        <f t="shared" si="127"/>
        <v>0.52</v>
      </c>
    </row>
    <row r="278" spans="4:16" x14ac:dyDescent="0.25">
      <c r="D278" s="37" t="s">
        <v>86</v>
      </c>
      <c r="E278" s="37" t="str">
        <f t="shared" si="123"/>
        <v>Low</v>
      </c>
      <c r="F278" s="37" t="str">
        <f t="shared" si="123"/>
        <v>Summer</v>
      </c>
      <c r="G278" s="37">
        <f t="shared" ref="G278:P278" si="128">G213</f>
        <v>0.62</v>
      </c>
      <c r="H278" s="37">
        <f t="shared" si="128"/>
        <v>0.21</v>
      </c>
      <c r="I278" s="37">
        <f t="shared" si="128"/>
        <v>0.25</v>
      </c>
      <c r="J278" s="37">
        <f t="shared" si="128"/>
        <v>0.32</v>
      </c>
      <c r="K278" s="37">
        <f t="shared" si="128"/>
        <v>0.47</v>
      </c>
      <c r="L278" s="37">
        <f t="shared" si="128"/>
        <v>0.31</v>
      </c>
      <c r="M278" s="37">
        <f t="shared" si="128"/>
        <v>0.14000000000000001</v>
      </c>
      <c r="N278" s="37">
        <f t="shared" si="128"/>
        <v>0.4</v>
      </c>
      <c r="O278" s="37">
        <f t="shared" si="128"/>
        <v>0.26</v>
      </c>
      <c r="P278" s="37">
        <f t="shared" si="128"/>
        <v>0.43</v>
      </c>
    </row>
    <row r="279" spans="4:16" x14ac:dyDescent="0.25">
      <c r="D279" s="37" t="s">
        <v>86</v>
      </c>
      <c r="E279" s="37" t="str">
        <f t="shared" si="123"/>
        <v>Low</v>
      </c>
      <c r="F279" s="37" t="str">
        <f t="shared" si="123"/>
        <v>Autumn</v>
      </c>
      <c r="G279" s="37">
        <f t="shared" ref="G279:P279" si="129">G214</f>
        <v>0.4</v>
      </c>
      <c r="H279" s="37">
        <f t="shared" si="129"/>
        <v>0.13</v>
      </c>
      <c r="I279" s="37">
        <f t="shared" si="129"/>
        <v>0.12</v>
      </c>
      <c r="J279" s="37">
        <f t="shared" si="129"/>
        <v>0.27</v>
      </c>
      <c r="K279" s="37">
        <f t="shared" si="129"/>
        <v>0.3</v>
      </c>
      <c r="L279" s="37">
        <f t="shared" si="129"/>
        <v>0.08</v>
      </c>
      <c r="M279" s="37">
        <f t="shared" si="129"/>
        <v>0.13</v>
      </c>
      <c r="N279" s="37">
        <f t="shared" si="129"/>
        <v>0.24</v>
      </c>
      <c r="O279" s="37">
        <f t="shared" si="129"/>
        <v>0.15</v>
      </c>
      <c r="P279" s="37">
        <f t="shared" si="129"/>
        <v>0.21</v>
      </c>
    </row>
    <row r="280" spans="4:16" x14ac:dyDescent="0.25">
      <c r="D280" s="37" t="s">
        <v>86</v>
      </c>
      <c r="E280" s="37" t="str">
        <f t="shared" si="123"/>
        <v>Low</v>
      </c>
      <c r="F280" s="37" t="str">
        <f t="shared" si="123"/>
        <v>Winter</v>
      </c>
      <c r="G280" s="37">
        <f t="shared" ref="G280:P280" si="130">G215</f>
        <v>0.08</v>
      </c>
      <c r="H280" s="37">
        <f t="shared" si="130"/>
        <v>0.04</v>
      </c>
      <c r="I280" s="37">
        <f t="shared" si="130"/>
        <v>0.06</v>
      </c>
      <c r="J280" s="37">
        <f t="shared" si="130"/>
        <v>0.18</v>
      </c>
      <c r="K280" s="37">
        <f t="shared" si="130"/>
        <v>0.11</v>
      </c>
      <c r="L280" s="37">
        <f t="shared" si="130"/>
        <v>-7.0000000000000007E-2</v>
      </c>
      <c r="M280" s="37">
        <f t="shared" si="130"/>
        <v>0.13</v>
      </c>
      <c r="N280" s="37">
        <f t="shared" si="130"/>
        <v>0.16</v>
      </c>
      <c r="O280" s="37">
        <f t="shared" si="130"/>
        <v>0.4</v>
      </c>
      <c r="P280" s="37">
        <f t="shared" si="130"/>
        <v>0.33</v>
      </c>
    </row>
    <row r="281" spans="4:16" x14ac:dyDescent="0.25">
      <c r="M281" s="22"/>
    </row>
    <row r="282" spans="4:16" x14ac:dyDescent="0.25">
      <c r="M282" s="22"/>
    </row>
    <row r="283" spans="4:16" ht="23.25" x14ac:dyDescent="0.25">
      <c r="D283" s="6" t="str" cm="1">
        <f t="array" ref="D283">SourceData_PastureBeef.SourceData_PastureBeef_DryMatterDigestibility_Title()</f>
        <v>Beef pasture cattle - Dry matter digestibility of feed intake (fraction) (DMDj)</v>
      </c>
      <c r="M283" s="22"/>
    </row>
    <row r="284" spans="4:16" x14ac:dyDescent="0.25">
      <c r="D284" s="5" t="str" cm="1">
        <f t="array" ref="D284">SourceData_PastureBeef.SourceData_PastureBeef_DryMatterDigestibility_Source()</f>
        <v>VEERG 2026: Table A.1.2.5</v>
      </c>
      <c r="M284" s="22"/>
    </row>
    <row r="285" spans="4:16" x14ac:dyDescent="0.25">
      <c r="D285" s="1" t="str" cm="1">
        <f t="array" ref="D285">SourceData_PastureBeef.SourceData_PastureBeef_DryMatterDigestibility_Variable()</f>
        <v>DMDj</v>
      </c>
      <c r="M285" s="22"/>
    </row>
    <row r="286" spans="4:16" x14ac:dyDescent="0.25">
      <c r="D286" s="54" t="str" cm="1">
        <f t="array" ref="D286">SourceData_PastureBeef.SourceData_PastureBeef_DryMatterDigestibility_Unit()</f>
        <v>fraction</v>
      </c>
      <c r="M286" s="22"/>
    </row>
    <row r="287" spans="4:16" x14ac:dyDescent="0.25">
      <c r="D287" s="55" t="str" cm="1">
        <f t="array" ref="D287">SourceData_PastureBeef.SourceData_PastureBeef_DryMatterDigestibility_Variation()</f>
        <v>VARIATION ON SOURCE: Split ACT and NSW into separate rows. Duplicated QLD and NT rows with regions from table A.1.2.2 to aid lookup</v>
      </c>
      <c r="M287" s="22"/>
    </row>
    <row r="288" spans="4:16" x14ac:dyDescent="0.25">
      <c r="D288" s="37" t="s">
        <v>8</v>
      </c>
      <c r="E288" s="37" t="s">
        <v>183</v>
      </c>
      <c r="F288" s="37" t="s">
        <v>173</v>
      </c>
      <c r="G288" s="37" t="s">
        <v>174</v>
      </c>
      <c r="H288" s="37" t="s">
        <v>175</v>
      </c>
      <c r="I288" s="37" t="s">
        <v>176</v>
      </c>
      <c r="M288" s="22"/>
    </row>
    <row r="289" spans="4:13" x14ac:dyDescent="0.25">
      <c r="D289" s="37" t="str" cm="1">
        <f t="array" ref="D289">Common_InputFunctions.Utility_DisplayArrayInTable(SourceData_PastureBeef.SourceData_PastureBeef_DryMatterDigestibility_Data(), Table_SourceData_PastureBeef_DryMatterDigestibility[[#Headers],[State]], 0)</f>
        <v>ACT</v>
      </c>
      <c r="E289" s="37" t="str" cm="1">
        <f t="array" ref="E289">Common_InputFunctions.Utility_DisplayArrayInTable(SourceData_PastureBeef.SourceData_PastureBeef_DryMatterDigestibility_Data(), Table_SourceData_PastureBeef_DryMatterDigestibility[[#Headers],[State]], 0)</f>
        <v>n/a</v>
      </c>
      <c r="F289" s="37" cm="1">
        <f t="array" ref="F289">Common_InputFunctions.Utility_DisplayArrayInTable(SourceData_PastureBeef.SourceData_PastureBeef_DryMatterDigestibility_Data(), Table_SourceData_PastureBeef_DryMatterDigestibility[[#Headers],[State]], 0)</f>
        <v>0.55000000000000004</v>
      </c>
      <c r="G289" s="37" cm="1">
        <f t="array" ref="G289">Common_InputFunctions.Utility_DisplayArrayInTable(SourceData_PastureBeef.SourceData_PastureBeef_DryMatterDigestibility_Data(), Table_SourceData_PastureBeef_DryMatterDigestibility[[#Headers],[State]], 0)</f>
        <v>0.65</v>
      </c>
      <c r="H289" s="37" cm="1">
        <f t="array" ref="H289">Common_InputFunctions.Utility_DisplayArrayInTable(SourceData_PastureBeef.SourceData_PastureBeef_DryMatterDigestibility_Data(), Table_SourceData_PastureBeef_DryMatterDigestibility[[#Headers],[State]], 0)</f>
        <v>0.6</v>
      </c>
      <c r="I289" s="37" cm="1">
        <f t="array" ref="I289">Common_InputFunctions.Utility_DisplayArrayInTable(SourceData_PastureBeef.SourceData_PastureBeef_DryMatterDigestibility_Data(), Table_SourceData_PastureBeef_DryMatterDigestibility[[#Headers],[State]], 0)</f>
        <v>0.5</v>
      </c>
      <c r="M289" s="22"/>
    </row>
    <row r="290" spans="4:13" x14ac:dyDescent="0.25">
      <c r="D290" s="1" t="str" cm="1">
        <f t="array" ref="D290">Common_InputFunctions.Utility_DisplayArrayInTable(SourceData_PastureBeef.SourceData_PastureBeef_DryMatterDigestibility_Data(), Table_SourceData_PastureBeef_DryMatterDigestibility[[#Headers],[State]], 0)</f>
        <v>NSW</v>
      </c>
      <c r="E290" s="37" t="str" cm="1">
        <f t="array" ref="E290">Common_InputFunctions.Utility_DisplayArrayInTable(SourceData_PastureBeef.SourceData_PastureBeef_DryMatterDigestibility_Data(), Table_SourceData_PastureBeef_DryMatterDigestibility[[#Headers],[State]], 0)</f>
        <v>n/a</v>
      </c>
      <c r="F290" s="37" cm="1">
        <f t="array" ref="F290">Common_InputFunctions.Utility_DisplayArrayInTable(SourceData_PastureBeef.SourceData_PastureBeef_DryMatterDigestibility_Data(), Table_SourceData_PastureBeef_DryMatterDigestibility[[#Headers],[State]], 0)</f>
        <v>0.55000000000000004</v>
      </c>
      <c r="G290" s="37" cm="1">
        <f t="array" ref="G290">Common_InputFunctions.Utility_DisplayArrayInTable(SourceData_PastureBeef.SourceData_PastureBeef_DryMatterDigestibility_Data(), Table_SourceData_PastureBeef_DryMatterDigestibility[[#Headers],[State]], 0)</f>
        <v>0.65</v>
      </c>
      <c r="H290" s="37" cm="1">
        <f t="array" ref="H290">Common_InputFunctions.Utility_DisplayArrayInTable(SourceData_PastureBeef.SourceData_PastureBeef_DryMatterDigestibility_Data(), Table_SourceData_PastureBeef_DryMatterDigestibility[[#Headers],[State]], 0)</f>
        <v>0.6</v>
      </c>
      <c r="I290" s="37" cm="1">
        <f t="array" ref="I290">Common_InputFunctions.Utility_DisplayArrayInTable(SourceData_PastureBeef.SourceData_PastureBeef_DryMatterDigestibility_Data(), Table_SourceData_PastureBeef_DryMatterDigestibility[[#Headers],[State]], 0)</f>
        <v>0.5</v>
      </c>
      <c r="M290" s="22"/>
    </row>
    <row r="291" spans="4:13" x14ac:dyDescent="0.25">
      <c r="D291" s="1" t="str" cm="1">
        <f t="array" ref="D291">Common_InputFunctions.Utility_DisplayArrayInTable(SourceData_PastureBeef.SourceData_PastureBeef_DryMatterDigestibility_Data(), Table_SourceData_PastureBeef_DryMatterDigestibility[[#Headers],[State]], 0)</f>
        <v>NT</v>
      </c>
      <c r="E291" s="37" t="str" cm="1">
        <f t="array" ref="E291">Common_InputFunctions.Utility_DisplayArrayInTable(SourceData_PastureBeef.SourceData_PastureBeef_DryMatterDigestibility_Data(), Table_SourceData_PastureBeef_DryMatterDigestibility[[#Headers],[State]], 0)</f>
        <v>Alice Springs</v>
      </c>
      <c r="F291" s="37" cm="1">
        <f t="array" ref="F291">Common_InputFunctions.Utility_DisplayArrayInTable(SourceData_PastureBeef.SourceData_PastureBeef_DryMatterDigestibility_Data(), Table_SourceData_PastureBeef_DryMatterDigestibility[[#Headers],[State]], 0)</f>
        <v>0.55000000000000004</v>
      </c>
      <c r="G291" s="37" cm="1">
        <f t="array" ref="G291">Common_InputFunctions.Utility_DisplayArrayInTable(SourceData_PastureBeef.SourceData_PastureBeef_DryMatterDigestibility_Data(), Table_SourceData_PastureBeef_DryMatterDigestibility[[#Headers],[State]], 0)</f>
        <v>0.61</v>
      </c>
      <c r="H291" s="37" cm="1">
        <f t="array" ref="H291">Common_InputFunctions.Utility_DisplayArrayInTable(SourceData_PastureBeef.SourceData_PastureBeef_DryMatterDigestibility_Data(), Table_SourceData_PastureBeef_DryMatterDigestibility[[#Headers],[State]], 0)</f>
        <v>0.56999999999999995</v>
      </c>
      <c r="I291" s="37" cm="1">
        <f t="array" ref="I291">Common_InputFunctions.Utility_DisplayArrayInTable(SourceData_PastureBeef.SourceData_PastureBeef_DryMatterDigestibility_Data(), Table_SourceData_PastureBeef_DryMatterDigestibility[[#Headers],[State]], 0)</f>
        <v>0.54</v>
      </c>
      <c r="M291" s="22"/>
    </row>
    <row r="292" spans="4:13" x14ac:dyDescent="0.25">
      <c r="D292" s="1" t="str" cm="1">
        <f t="array" ref="D292">Common_InputFunctions.Utility_DisplayArrayInTable(SourceData_PastureBeef.SourceData_PastureBeef_DryMatterDigestibility_Data(), Table_SourceData_PastureBeef_DryMatterDigestibility[[#Headers],[State]], 0)</f>
        <v>NT</v>
      </c>
      <c r="E292" s="37" t="str" cm="1">
        <f t="array" ref="E292">Common_InputFunctions.Utility_DisplayArrayInTable(SourceData_PastureBeef.SourceData_PastureBeef_DryMatterDigestibility_Data(), Table_SourceData_PastureBeef_DryMatterDigestibility[[#Headers],[State]], 0)</f>
        <v>Barkly</v>
      </c>
      <c r="F292" s="37" cm="1">
        <f t="array" ref="F292">Common_InputFunctions.Utility_DisplayArrayInTable(SourceData_PastureBeef.SourceData_PastureBeef_DryMatterDigestibility_Data(), Table_SourceData_PastureBeef_DryMatterDigestibility[[#Headers],[State]], 0)</f>
        <v>0.55000000000000004</v>
      </c>
      <c r="G292" s="37" cm="1">
        <f t="array" ref="G292">Common_InputFunctions.Utility_DisplayArrayInTable(SourceData_PastureBeef.SourceData_PastureBeef_DryMatterDigestibility_Data(), Table_SourceData_PastureBeef_DryMatterDigestibility[[#Headers],[State]], 0)</f>
        <v>0.61</v>
      </c>
      <c r="H292" s="37" cm="1">
        <f t="array" ref="H292">Common_InputFunctions.Utility_DisplayArrayInTable(SourceData_PastureBeef.SourceData_PastureBeef_DryMatterDigestibility_Data(), Table_SourceData_PastureBeef_DryMatterDigestibility[[#Headers],[State]], 0)</f>
        <v>0.56999999999999995</v>
      </c>
      <c r="I292" s="37" cm="1">
        <f t="array" ref="I292">Common_InputFunctions.Utility_DisplayArrayInTable(SourceData_PastureBeef.SourceData_PastureBeef_DryMatterDigestibility_Data(), Table_SourceData_PastureBeef_DryMatterDigestibility[[#Headers],[State]], 0)</f>
        <v>0.54</v>
      </c>
      <c r="M292" s="22"/>
    </row>
    <row r="293" spans="4:13" x14ac:dyDescent="0.25">
      <c r="D293" s="1" t="str" cm="1">
        <f t="array" ref="D293">Common_InputFunctions.Utility_DisplayArrayInTable(SourceData_PastureBeef.SourceData_PastureBeef_DryMatterDigestibility_Data(), Table_SourceData_PastureBeef_DryMatterDigestibility[[#Headers],[State]], 0)</f>
        <v>NT</v>
      </c>
      <c r="E293" s="37" t="str" cm="1">
        <f t="array" ref="E293">Common_InputFunctions.Utility_DisplayArrayInTable(SourceData_PastureBeef.SourceData_PastureBeef_DryMatterDigestibility_Data(), Table_SourceData_PastureBeef_DryMatterDigestibility[[#Headers],[State]], 0)</f>
        <v>Northern</v>
      </c>
      <c r="F293" s="37" cm="1">
        <f t="array" ref="F293">Common_InputFunctions.Utility_DisplayArrayInTable(SourceData_PastureBeef.SourceData_PastureBeef_DryMatterDigestibility_Data(), Table_SourceData_PastureBeef_DryMatterDigestibility[[#Headers],[State]], 0)</f>
        <v>0.55000000000000004</v>
      </c>
      <c r="G293" s="37" cm="1">
        <f t="array" ref="G293">Common_InputFunctions.Utility_DisplayArrayInTable(SourceData_PastureBeef.SourceData_PastureBeef_DryMatterDigestibility_Data(), Table_SourceData_PastureBeef_DryMatterDigestibility[[#Headers],[State]], 0)</f>
        <v>0.61</v>
      </c>
      <c r="H293" s="37" cm="1">
        <f t="array" ref="H293">Common_InputFunctions.Utility_DisplayArrayInTable(SourceData_PastureBeef.SourceData_PastureBeef_DryMatterDigestibility_Data(), Table_SourceData_PastureBeef_DryMatterDigestibility[[#Headers],[State]], 0)</f>
        <v>0.56999999999999995</v>
      </c>
      <c r="I293" s="37" cm="1">
        <f t="array" ref="I293">Common_InputFunctions.Utility_DisplayArrayInTable(SourceData_PastureBeef.SourceData_PastureBeef_DryMatterDigestibility_Data(), Table_SourceData_PastureBeef_DryMatterDigestibility[[#Headers],[State]], 0)</f>
        <v>0.54</v>
      </c>
      <c r="M293" s="22"/>
    </row>
    <row r="294" spans="4:13" x14ac:dyDescent="0.25">
      <c r="D294" s="1" t="str" cm="1">
        <f t="array" ref="D294">Common_InputFunctions.Utility_DisplayArrayInTable(SourceData_PastureBeef.SourceData_PastureBeef_DryMatterDigestibility_Data(), Table_SourceData_PastureBeef_DryMatterDigestibility[[#Headers],[State]], 0)</f>
        <v>QLD</v>
      </c>
      <c r="E294" s="37" t="str" cm="1">
        <f t="array" ref="E294">Common_InputFunctions.Utility_DisplayArrayInTable(SourceData_PastureBeef.SourceData_PastureBeef_DryMatterDigestibility_Data(), Table_SourceData_PastureBeef_DryMatterDigestibility[[#Headers],[State]], 0)</f>
        <v>High</v>
      </c>
      <c r="F294" s="37" cm="1">
        <f t="array" ref="F294">Common_InputFunctions.Utility_DisplayArrayInTable(SourceData_PastureBeef.SourceData_PastureBeef_DryMatterDigestibility_Data(), Table_SourceData_PastureBeef_DryMatterDigestibility[[#Headers],[State]], 0)</f>
        <v>0.53</v>
      </c>
      <c r="G294" s="37" cm="1">
        <f t="array" ref="G294">Common_InputFunctions.Utility_DisplayArrayInTable(SourceData_PastureBeef.SourceData_PastureBeef_DryMatterDigestibility_Data(), Table_SourceData_PastureBeef_DryMatterDigestibility[[#Headers],[State]], 0)</f>
        <v>0.56999999999999995</v>
      </c>
      <c r="H294" s="37" cm="1">
        <f t="array" ref="H294">Common_InputFunctions.Utility_DisplayArrayInTable(SourceData_PastureBeef.SourceData_PastureBeef_DryMatterDigestibility_Data(), Table_SourceData_PastureBeef_DryMatterDigestibility[[#Headers],[State]], 0)</f>
        <v>0.55000000000000004</v>
      </c>
      <c r="I294" s="37" cm="1">
        <f t="array" ref="I294">Common_InputFunctions.Utility_DisplayArrayInTable(SourceData_PastureBeef.SourceData_PastureBeef_DryMatterDigestibility_Data(), Table_SourceData_PastureBeef_DryMatterDigestibility[[#Headers],[State]], 0)</f>
        <v>0.51</v>
      </c>
      <c r="M294" s="22"/>
    </row>
    <row r="295" spans="4:13" x14ac:dyDescent="0.25">
      <c r="D295" s="1" t="str" cm="1">
        <f t="array" ref="D295">Common_InputFunctions.Utility_DisplayArrayInTable(SourceData_PastureBeef.SourceData_PastureBeef_DryMatterDigestibility_Data(), Table_SourceData_PastureBeef_DryMatterDigestibility[[#Headers],[State]], 0)</f>
        <v>QLD</v>
      </c>
      <c r="E295" s="37" t="str" cm="1">
        <f t="array" ref="E295">Common_InputFunctions.Utility_DisplayArrayInTable(SourceData_PastureBeef.SourceData_PastureBeef_DryMatterDigestibility_Data(), Table_SourceData_PastureBeef_DryMatterDigestibility[[#Headers],[State]], 0)</f>
        <v>Moderate/High</v>
      </c>
      <c r="F295" s="37" cm="1">
        <f t="array" ref="F295">Common_InputFunctions.Utility_DisplayArrayInTable(SourceData_PastureBeef.SourceData_PastureBeef_DryMatterDigestibility_Data(), Table_SourceData_PastureBeef_DryMatterDigestibility[[#Headers],[State]], 0)</f>
        <v>0.53</v>
      </c>
      <c r="G295" s="37" cm="1">
        <f t="array" ref="G295">Common_InputFunctions.Utility_DisplayArrayInTable(SourceData_PastureBeef.SourceData_PastureBeef_DryMatterDigestibility_Data(), Table_SourceData_PastureBeef_DryMatterDigestibility[[#Headers],[State]], 0)</f>
        <v>0.56999999999999995</v>
      </c>
      <c r="H295" s="37" cm="1">
        <f t="array" ref="H295">Common_InputFunctions.Utility_DisplayArrayInTable(SourceData_PastureBeef.SourceData_PastureBeef_DryMatterDigestibility_Data(), Table_SourceData_PastureBeef_DryMatterDigestibility[[#Headers],[State]], 0)</f>
        <v>0.55000000000000004</v>
      </c>
      <c r="I295" s="37" cm="1">
        <f t="array" ref="I295">Common_InputFunctions.Utility_DisplayArrayInTable(SourceData_PastureBeef.SourceData_PastureBeef_DryMatterDigestibility_Data(), Table_SourceData_PastureBeef_DryMatterDigestibility[[#Headers],[State]], 0)</f>
        <v>0.51</v>
      </c>
      <c r="M295" s="22"/>
    </row>
    <row r="296" spans="4:13" x14ac:dyDescent="0.25">
      <c r="D296" s="1" t="str" cm="1">
        <f t="array" ref="D296">Common_InputFunctions.Utility_DisplayArrayInTable(SourceData_PastureBeef.SourceData_PastureBeef_DryMatterDigestibility_Data(), Table_SourceData_PastureBeef_DryMatterDigestibility[[#Headers],[State]], 0)</f>
        <v>QLD</v>
      </c>
      <c r="E296" s="37" t="str" cm="1">
        <f t="array" ref="E296">Common_InputFunctions.Utility_DisplayArrayInTable(SourceData_PastureBeef.SourceData_PastureBeef_DryMatterDigestibility_Data(), Table_SourceData_PastureBeef_DryMatterDigestibility[[#Headers],[State]], 0)</f>
        <v>Moderate/Low</v>
      </c>
      <c r="F296" s="37" cm="1">
        <f t="array" ref="F296">Common_InputFunctions.Utility_DisplayArrayInTable(SourceData_PastureBeef.SourceData_PastureBeef_DryMatterDigestibility_Data(), Table_SourceData_PastureBeef_DryMatterDigestibility[[#Headers],[State]], 0)</f>
        <v>0.53</v>
      </c>
      <c r="G296" s="37" cm="1">
        <f t="array" ref="G296">Common_InputFunctions.Utility_DisplayArrayInTable(SourceData_PastureBeef.SourceData_PastureBeef_DryMatterDigestibility_Data(), Table_SourceData_PastureBeef_DryMatterDigestibility[[#Headers],[State]], 0)</f>
        <v>0.56999999999999995</v>
      </c>
      <c r="H296" s="37" cm="1">
        <f t="array" ref="H296">Common_InputFunctions.Utility_DisplayArrayInTable(SourceData_PastureBeef.SourceData_PastureBeef_DryMatterDigestibility_Data(), Table_SourceData_PastureBeef_DryMatterDigestibility[[#Headers],[State]], 0)</f>
        <v>0.55000000000000004</v>
      </c>
      <c r="I296" s="37" cm="1">
        <f t="array" ref="I296">Common_InputFunctions.Utility_DisplayArrayInTable(SourceData_PastureBeef.SourceData_PastureBeef_DryMatterDigestibility_Data(), Table_SourceData_PastureBeef_DryMatterDigestibility[[#Headers],[State]], 0)</f>
        <v>0.51</v>
      </c>
      <c r="M296" s="22"/>
    </row>
    <row r="297" spans="4:13" x14ac:dyDescent="0.25">
      <c r="D297" s="1" t="str" cm="1">
        <f t="array" ref="D297">Common_InputFunctions.Utility_DisplayArrayInTable(SourceData_PastureBeef.SourceData_PastureBeef_DryMatterDigestibility_Data(), Table_SourceData_PastureBeef_DryMatterDigestibility[[#Headers],[State]], 0)</f>
        <v>QLD</v>
      </c>
      <c r="E297" s="37" t="str" cm="1">
        <f t="array" ref="E297">Common_InputFunctions.Utility_DisplayArrayInTable(SourceData_PastureBeef.SourceData_PastureBeef_DryMatterDigestibility_Data(), Table_SourceData_PastureBeef_DryMatterDigestibility[[#Headers],[State]], 0)</f>
        <v>Low</v>
      </c>
      <c r="F297" s="37" cm="1">
        <f t="array" ref="F297">Common_InputFunctions.Utility_DisplayArrayInTable(SourceData_PastureBeef.SourceData_PastureBeef_DryMatterDigestibility_Data(), Table_SourceData_PastureBeef_DryMatterDigestibility[[#Headers],[State]], 0)</f>
        <v>0.53</v>
      </c>
      <c r="G297" s="37" cm="1">
        <f t="array" ref="G297">Common_InputFunctions.Utility_DisplayArrayInTable(SourceData_PastureBeef.SourceData_PastureBeef_DryMatterDigestibility_Data(), Table_SourceData_PastureBeef_DryMatterDigestibility[[#Headers],[State]], 0)</f>
        <v>0.56999999999999995</v>
      </c>
      <c r="H297" s="37" cm="1">
        <f t="array" ref="H297">Common_InputFunctions.Utility_DisplayArrayInTable(SourceData_PastureBeef.SourceData_PastureBeef_DryMatterDigestibility_Data(), Table_SourceData_PastureBeef_DryMatterDigestibility[[#Headers],[State]], 0)</f>
        <v>0.55000000000000004</v>
      </c>
      <c r="I297" s="37" cm="1">
        <f t="array" ref="I297">Common_InputFunctions.Utility_DisplayArrayInTable(SourceData_PastureBeef.SourceData_PastureBeef_DryMatterDigestibility_Data(), Table_SourceData_PastureBeef_DryMatterDigestibility[[#Headers],[State]], 0)</f>
        <v>0.51</v>
      </c>
      <c r="M297" s="22"/>
    </row>
    <row r="298" spans="4:13" x14ac:dyDescent="0.25">
      <c r="D298" s="1" t="str" cm="1">
        <f t="array" ref="D298">Common_InputFunctions.Utility_DisplayArrayInTable(SourceData_PastureBeef.SourceData_PastureBeef_DryMatterDigestibility_Data(), Table_SourceData_PastureBeef_DryMatterDigestibility[[#Headers],[State]], 0)</f>
        <v>SA</v>
      </c>
      <c r="E298" s="37" t="str" cm="1">
        <f t="array" ref="E298">Common_InputFunctions.Utility_DisplayArrayInTable(SourceData_PastureBeef.SourceData_PastureBeef_DryMatterDigestibility_Data(), Table_SourceData_PastureBeef_DryMatterDigestibility[[#Headers],[State]], 0)</f>
        <v>n/a</v>
      </c>
      <c r="F298" s="37" cm="1">
        <f t="array" ref="F298">Common_InputFunctions.Utility_DisplayArrayInTable(SourceData_PastureBeef.SourceData_PastureBeef_DryMatterDigestibility_Data(), Table_SourceData_PastureBeef_DryMatterDigestibility[[#Headers],[State]], 0)</f>
        <v>0.7</v>
      </c>
      <c r="G298" s="37" cm="1">
        <f t="array" ref="G298">Common_InputFunctions.Utility_DisplayArrayInTable(SourceData_PastureBeef.SourceData_PastureBeef_DryMatterDigestibility_Data(), Table_SourceData_PastureBeef_DryMatterDigestibility[[#Headers],[State]], 0)</f>
        <v>0.55000000000000004</v>
      </c>
      <c r="H298" s="37" cm="1">
        <f t="array" ref="H298">Common_InputFunctions.Utility_DisplayArrayInTable(SourceData_PastureBeef.SourceData_PastureBeef_DryMatterDigestibility_Data(), Table_SourceData_PastureBeef_DryMatterDigestibility[[#Headers],[State]], 0)</f>
        <v>0.55000000000000004</v>
      </c>
      <c r="I298" s="37" cm="1">
        <f t="array" ref="I298">Common_InputFunctions.Utility_DisplayArrayInTable(SourceData_PastureBeef.SourceData_PastureBeef_DryMatterDigestibility_Data(), Table_SourceData_PastureBeef_DryMatterDigestibility[[#Headers],[State]], 0)</f>
        <v>0.75</v>
      </c>
      <c r="M298" s="22"/>
    </row>
    <row r="299" spans="4:13" x14ac:dyDescent="0.25">
      <c r="D299" s="1" t="str" cm="1">
        <f t="array" ref="D299">Common_InputFunctions.Utility_DisplayArrayInTable(SourceData_PastureBeef.SourceData_PastureBeef_DryMatterDigestibility_Data(), Table_SourceData_PastureBeef_DryMatterDigestibility[[#Headers],[State]], 0)</f>
        <v>TAS</v>
      </c>
      <c r="E299" s="37" t="str" cm="1">
        <f t="array" ref="E299">Common_InputFunctions.Utility_DisplayArrayInTable(SourceData_PastureBeef.SourceData_PastureBeef_DryMatterDigestibility_Data(), Table_SourceData_PastureBeef_DryMatterDigestibility[[#Headers],[State]], 0)</f>
        <v>n/a</v>
      </c>
      <c r="F299" s="37" cm="1">
        <f t="array" ref="F299">Common_InputFunctions.Utility_DisplayArrayInTable(SourceData_PastureBeef.SourceData_PastureBeef_DryMatterDigestibility_Data(), Table_SourceData_PastureBeef_DryMatterDigestibility[[#Headers],[State]], 0)</f>
        <v>0.75</v>
      </c>
      <c r="G299" s="37" cm="1">
        <f t="array" ref="G299">Common_InputFunctions.Utility_DisplayArrayInTable(SourceData_PastureBeef.SourceData_PastureBeef_DryMatterDigestibility_Data(), Table_SourceData_PastureBeef_DryMatterDigestibility[[#Headers],[State]], 0)</f>
        <v>0.6</v>
      </c>
      <c r="H299" s="37" cm="1">
        <f t="array" ref="H299">Common_InputFunctions.Utility_DisplayArrayInTable(SourceData_PastureBeef.SourceData_PastureBeef_DryMatterDigestibility_Data(), Table_SourceData_PastureBeef_DryMatterDigestibility[[#Headers],[State]], 0)</f>
        <v>0.7</v>
      </c>
      <c r="I299" s="37" cm="1">
        <f t="array" ref="I299">Common_InputFunctions.Utility_DisplayArrayInTable(SourceData_PastureBeef.SourceData_PastureBeef_DryMatterDigestibility_Data(), Table_SourceData_PastureBeef_DryMatterDigestibility[[#Headers],[State]], 0)</f>
        <v>0.75</v>
      </c>
      <c r="M299" s="22"/>
    </row>
    <row r="300" spans="4:13" x14ac:dyDescent="0.25">
      <c r="D300" s="1" t="str" cm="1">
        <f t="array" ref="D300">Common_InputFunctions.Utility_DisplayArrayInTable(SourceData_PastureBeef.SourceData_PastureBeef_DryMatterDigestibility_Data(), Table_SourceData_PastureBeef_DryMatterDigestibility[[#Headers],[State]], 0)</f>
        <v>VIC</v>
      </c>
      <c r="E300" s="37" t="str" cm="1">
        <f t="array" ref="E300">Common_InputFunctions.Utility_DisplayArrayInTable(SourceData_PastureBeef.SourceData_PastureBeef_DryMatterDigestibility_Data(), Table_SourceData_PastureBeef_DryMatterDigestibility[[#Headers],[State]], 0)</f>
        <v>n/a</v>
      </c>
      <c r="F300" s="37" cm="1">
        <f t="array" ref="F300">Common_InputFunctions.Utility_DisplayArrayInTable(SourceData_PastureBeef.SourceData_PastureBeef_DryMatterDigestibility_Data(), Table_SourceData_PastureBeef_DryMatterDigestibility[[#Headers],[State]], 0)</f>
        <v>0.8</v>
      </c>
      <c r="G300" s="37" cm="1">
        <f t="array" ref="G300">Common_InputFunctions.Utility_DisplayArrayInTable(SourceData_PastureBeef.SourceData_PastureBeef_DryMatterDigestibility_Data(), Table_SourceData_PastureBeef_DryMatterDigestibility[[#Headers],[State]], 0)</f>
        <v>0.55000000000000004</v>
      </c>
      <c r="H300" s="37" cm="1">
        <f t="array" ref="H300">Common_InputFunctions.Utility_DisplayArrayInTable(SourceData_PastureBeef.SourceData_PastureBeef_DryMatterDigestibility_Data(), Table_SourceData_PastureBeef_DryMatterDigestibility[[#Headers],[State]], 0)</f>
        <v>0.6</v>
      </c>
      <c r="I300" s="37" cm="1">
        <f t="array" ref="I300">Common_InputFunctions.Utility_DisplayArrayInTable(SourceData_PastureBeef.SourceData_PastureBeef_DryMatterDigestibility_Data(), Table_SourceData_PastureBeef_DryMatterDigestibility[[#Headers],[State]], 0)</f>
        <v>0.76</v>
      </c>
      <c r="M300" s="22"/>
    </row>
    <row r="301" spans="4:13" x14ac:dyDescent="0.25">
      <c r="D301" s="1" t="str" cm="1">
        <f t="array" ref="D301">Common_InputFunctions.Utility_DisplayArrayInTable(SourceData_PastureBeef.SourceData_PastureBeef_DryMatterDigestibility_Data(), Table_SourceData_PastureBeef_DryMatterDigestibility[[#Headers],[State]], 0)</f>
        <v>WA</v>
      </c>
      <c r="E301" s="37" t="str" cm="1">
        <f t="array" ref="E301">Common_InputFunctions.Utility_DisplayArrayInTable(SourceData_PastureBeef.SourceData_PastureBeef_DryMatterDigestibility_Data(), Table_SourceData_PastureBeef_DryMatterDigestibility[[#Headers],[State]], 0)</f>
        <v>South West</v>
      </c>
      <c r="F301" s="37" cm="1">
        <f t="array" ref="F301">Common_InputFunctions.Utility_DisplayArrayInTable(SourceData_PastureBeef.SourceData_PastureBeef_DryMatterDigestibility_Data(), Table_SourceData_PastureBeef_DryMatterDigestibility[[#Headers],[State]], 0)</f>
        <v>0.8</v>
      </c>
      <c r="G301" s="37" cm="1">
        <f t="array" ref="G301">Common_InputFunctions.Utility_DisplayArrayInTable(SourceData_PastureBeef.SourceData_PastureBeef_DryMatterDigestibility_Data(), Table_SourceData_PastureBeef_DryMatterDigestibility[[#Headers],[State]], 0)</f>
        <v>0.57999999999999996</v>
      </c>
      <c r="H301" s="37" cm="1">
        <f t="array" ref="H301">Common_InputFunctions.Utility_DisplayArrayInTable(SourceData_PastureBeef.SourceData_PastureBeef_DryMatterDigestibility_Data(), Table_SourceData_PastureBeef_DryMatterDigestibility[[#Headers],[State]], 0)</f>
        <v>0.5</v>
      </c>
      <c r="I301" s="37" cm="1">
        <f t="array" ref="I301">Common_InputFunctions.Utility_DisplayArrayInTable(SourceData_PastureBeef.SourceData_PastureBeef_DryMatterDigestibility_Data(), Table_SourceData_PastureBeef_DryMatterDigestibility[[#Headers],[State]], 0)</f>
        <v>0.75</v>
      </c>
      <c r="M301" s="22"/>
    </row>
    <row r="302" spans="4:13" x14ac:dyDescent="0.25">
      <c r="D302" s="1" t="str" cm="1">
        <f t="array" ref="D302">Common_InputFunctions.Utility_DisplayArrayInTable(SourceData_PastureBeef.SourceData_PastureBeef_DryMatterDigestibility_Data(), Table_SourceData_PastureBeef_DryMatterDigestibility[[#Headers],[State]], 0)</f>
        <v>WA</v>
      </c>
      <c r="E302" s="37" t="str" cm="1">
        <f t="array" ref="E302">Common_InputFunctions.Utility_DisplayArrayInTable(SourceData_PastureBeef.SourceData_PastureBeef_DryMatterDigestibility_Data(), Table_SourceData_PastureBeef_DryMatterDigestibility[[#Headers],[State]], 0)</f>
        <v>Pilbara</v>
      </c>
      <c r="F302" s="37" cm="1">
        <f t="array" ref="F302">Common_InputFunctions.Utility_DisplayArrayInTable(SourceData_PastureBeef.SourceData_PastureBeef_DryMatterDigestibility_Data(), Table_SourceData_PastureBeef_DryMatterDigestibility[[#Headers],[State]], 0)</f>
        <v>0.4</v>
      </c>
      <c r="G302" s="37" cm="1">
        <f t="array" ref="G302">Common_InputFunctions.Utility_DisplayArrayInTable(SourceData_PastureBeef.SourceData_PastureBeef_DryMatterDigestibility_Data(), Table_SourceData_PastureBeef_DryMatterDigestibility[[#Headers],[State]], 0)</f>
        <v>0.65</v>
      </c>
      <c r="H302" s="37" cm="1">
        <f t="array" ref="H302">Common_InputFunctions.Utility_DisplayArrayInTable(SourceData_PastureBeef.SourceData_PastureBeef_DryMatterDigestibility_Data(), Table_SourceData_PastureBeef_DryMatterDigestibility[[#Headers],[State]], 0)</f>
        <v>0.55000000000000004</v>
      </c>
      <c r="I302" s="37" cm="1">
        <f t="array" ref="I302">Common_InputFunctions.Utility_DisplayArrayInTable(SourceData_PastureBeef.SourceData_PastureBeef_DryMatterDigestibility_Data(), Table_SourceData_PastureBeef_DryMatterDigestibility[[#Headers],[State]], 0)</f>
        <v>0.45</v>
      </c>
      <c r="M302" s="22"/>
    </row>
    <row r="303" spans="4:13" x14ac:dyDescent="0.25">
      <c r="D303" s="1" t="str" cm="1">
        <f t="array" ref="D303">Common_InputFunctions.Utility_DisplayArrayInTable(SourceData_PastureBeef.SourceData_PastureBeef_DryMatterDigestibility_Data(), Table_SourceData_PastureBeef_DryMatterDigestibility[[#Headers],[State]], 0)</f>
        <v>WA</v>
      </c>
      <c r="E303" s="37" t="str" cm="1">
        <f t="array" ref="E303">Common_InputFunctions.Utility_DisplayArrayInTable(SourceData_PastureBeef.SourceData_PastureBeef_DryMatterDigestibility_Data(), Table_SourceData_PastureBeef_DryMatterDigestibility[[#Headers],[State]], 0)</f>
        <v>Kimberley</v>
      </c>
      <c r="F303" s="37" cm="1">
        <f t="array" ref="F303">Common_InputFunctions.Utility_DisplayArrayInTable(SourceData_PastureBeef.SourceData_PastureBeef_DryMatterDigestibility_Data(), Table_SourceData_PastureBeef_DryMatterDigestibility[[#Headers],[State]], 0)</f>
        <v>0.4</v>
      </c>
      <c r="G303" s="37" cm="1">
        <f t="array" ref="G303">Common_InputFunctions.Utility_DisplayArrayInTable(SourceData_PastureBeef.SourceData_PastureBeef_DryMatterDigestibility_Data(), Table_SourceData_PastureBeef_DryMatterDigestibility[[#Headers],[State]], 0)</f>
        <v>0.65</v>
      </c>
      <c r="H303" s="37" cm="1">
        <f t="array" ref="H303">Common_InputFunctions.Utility_DisplayArrayInTable(SourceData_PastureBeef.SourceData_PastureBeef_DryMatterDigestibility_Data(), Table_SourceData_PastureBeef_DryMatterDigestibility[[#Headers],[State]], 0)</f>
        <v>0.55000000000000004</v>
      </c>
      <c r="I303" s="37" cm="1">
        <f t="array" ref="I303">Common_InputFunctions.Utility_DisplayArrayInTable(SourceData_PastureBeef.SourceData_PastureBeef_DryMatterDigestibility_Data(), Table_SourceData_PastureBeef_DryMatterDigestibility[[#Headers],[State]], 0)</f>
        <v>0.45</v>
      </c>
      <c r="M303" s="22"/>
    </row>
    <row r="304" spans="4:13" x14ac:dyDescent="0.25">
      <c r="M304" s="22"/>
    </row>
    <row r="305" spans="4:13" x14ac:dyDescent="0.25">
      <c r="M305" s="22"/>
    </row>
    <row r="306" spans="4:13" ht="23.25" x14ac:dyDescent="0.25">
      <c r="D306" s="6" t="str" cm="1">
        <f t="array" ref="D306">SourceData_PastureBeef.SourceData_PastureBeef_CrudeProteinContent_Title()</f>
        <v>Beef pasture cattle - Crude protein content of feed intake (fraction) (CPj)</v>
      </c>
      <c r="M306" s="22"/>
    </row>
    <row r="307" spans="4:13" x14ac:dyDescent="0.25">
      <c r="D307" s="5" t="str" cm="1">
        <f t="array" ref="D307">SourceData_PastureBeef.SourceData_PastureBeef_CrudeProteinContent_Source()</f>
        <v>VEERG 2026: Table A.1.2.6</v>
      </c>
      <c r="M307" s="22"/>
    </row>
    <row r="308" spans="4:13" x14ac:dyDescent="0.25">
      <c r="D308" s="1" t="str" cm="1">
        <f t="array" ref="D308">SourceData_PastureBeef.SourceData_PastureBeef_CrudeProteinContent_Variable()</f>
        <v>CPj</v>
      </c>
      <c r="M308" s="22"/>
    </row>
    <row r="309" spans="4:13" x14ac:dyDescent="0.25">
      <c r="D309" s="54" t="str" cm="1">
        <f t="array" ref="D309">SourceData_PastureBeef.SourceData_PastureBeef_CrudeProteinContent_Unit()</f>
        <v>fraction</v>
      </c>
      <c r="M309" s="22"/>
    </row>
    <row r="310" spans="4:13" x14ac:dyDescent="0.25">
      <c r="D310" s="55" t="str" cm="1">
        <f t="array" ref="D310">SourceData_PastureBeef.SourceData_PastureBeef_CrudeProteinContent_Variation()</f>
        <v>VARIATION ON SOURCE: Split ACT and NSW into separate rows. Duplicated QLD and NT rows with regions from table A.1.2.2 to aid lookup</v>
      </c>
      <c r="M310" s="22"/>
    </row>
    <row r="311" spans="4:13" x14ac:dyDescent="0.25">
      <c r="D311" s="37" t="s">
        <v>8</v>
      </c>
      <c r="E311" s="37" t="s">
        <v>183</v>
      </c>
      <c r="F311" s="37" t="s">
        <v>173</v>
      </c>
      <c r="G311" s="37" t="s">
        <v>174</v>
      </c>
      <c r="H311" s="37" t="s">
        <v>175</v>
      </c>
      <c r="I311" s="37" t="s">
        <v>176</v>
      </c>
      <c r="M311" s="22"/>
    </row>
    <row r="312" spans="4:13" x14ac:dyDescent="0.25">
      <c r="D312" s="37" t="str" cm="1">
        <f t="array" ref="D312">Common_InputFunctions.Utility_DisplayArrayInTable(SourceData_PastureBeef.SourceData_PastureBeef_CrudeProteinContent_Data(), Table_SourceData_PastureBeef_CrudeProtein[[#Headers],[State]], 0)</f>
        <v>ACT</v>
      </c>
      <c r="E312" s="37" t="str" cm="1">
        <f t="array" ref="E312">Common_InputFunctions.Utility_DisplayArrayInTable(SourceData_PastureBeef.SourceData_PastureBeef_CrudeProteinContent_Data(), Table_SourceData_PastureBeef_CrudeProtein[[#Headers],[State]], 0)</f>
        <v>n/a</v>
      </c>
      <c r="F312" s="37" cm="1">
        <f t="array" ref="F312">Common_InputFunctions.Utility_DisplayArrayInTable(SourceData_PastureBeef.SourceData_PastureBeef_CrudeProteinContent_Data(), Table_SourceData_PastureBeef_CrudeProtein[[#Headers],[State]], 0)</f>
        <v>7.0000000000000007E-2</v>
      </c>
      <c r="G312" s="37" cm="1">
        <f t="array" ref="G312">Common_InputFunctions.Utility_DisplayArrayInTable(SourceData_PastureBeef.SourceData_PastureBeef_CrudeProteinContent_Data(), Table_SourceData_PastureBeef_CrudeProtein[[#Headers],[State]], 0)</f>
        <v>0.13</v>
      </c>
      <c r="H312" s="37" cm="1">
        <f t="array" ref="H312">Common_InputFunctions.Utility_DisplayArrayInTable(SourceData_PastureBeef.SourceData_PastureBeef_CrudeProteinContent_Data(), Table_SourceData_PastureBeef_CrudeProtein[[#Headers],[State]], 0)</f>
        <v>0.1</v>
      </c>
      <c r="I312" s="37" cm="1">
        <f t="array" ref="I312">Common_InputFunctions.Utility_DisplayArrayInTable(SourceData_PastureBeef.SourceData_PastureBeef_CrudeProteinContent_Data(), Table_SourceData_PastureBeef_CrudeProtein[[#Headers],[State]], 0)</f>
        <v>0.06</v>
      </c>
      <c r="M312" s="22"/>
    </row>
    <row r="313" spans="4:13" x14ac:dyDescent="0.25">
      <c r="D313" s="37" t="str" cm="1">
        <f t="array" ref="D313">Common_InputFunctions.Utility_DisplayArrayInTable(SourceData_PastureBeef.SourceData_PastureBeef_CrudeProteinContent_Data(), Table_SourceData_PastureBeef_CrudeProtein[[#Headers],[State]], 0)</f>
        <v>NSW</v>
      </c>
      <c r="E313" s="37" t="str" cm="1">
        <f t="array" ref="E313">Common_InputFunctions.Utility_DisplayArrayInTable(SourceData_PastureBeef.SourceData_PastureBeef_CrudeProteinContent_Data(), Table_SourceData_PastureBeef_CrudeProtein[[#Headers],[State]], 0)</f>
        <v>n/a</v>
      </c>
      <c r="F313" s="37" cm="1">
        <f t="array" ref="F313">Common_InputFunctions.Utility_DisplayArrayInTable(SourceData_PastureBeef.SourceData_PastureBeef_CrudeProteinContent_Data(), Table_SourceData_PastureBeef_CrudeProtein[[#Headers],[State]], 0)</f>
        <v>7.0000000000000007E-2</v>
      </c>
      <c r="G313" s="37" cm="1">
        <f t="array" ref="G313">Common_InputFunctions.Utility_DisplayArrayInTable(SourceData_PastureBeef.SourceData_PastureBeef_CrudeProteinContent_Data(), Table_SourceData_PastureBeef_CrudeProtein[[#Headers],[State]], 0)</f>
        <v>0.13</v>
      </c>
      <c r="H313" s="37" cm="1">
        <f t="array" ref="H313">Common_InputFunctions.Utility_DisplayArrayInTable(SourceData_PastureBeef.SourceData_PastureBeef_CrudeProteinContent_Data(), Table_SourceData_PastureBeef_CrudeProtein[[#Headers],[State]], 0)</f>
        <v>0.1</v>
      </c>
      <c r="I313" s="37" cm="1">
        <f t="array" ref="I313">Common_InputFunctions.Utility_DisplayArrayInTable(SourceData_PastureBeef.SourceData_PastureBeef_CrudeProteinContent_Data(), Table_SourceData_PastureBeef_CrudeProtein[[#Headers],[State]], 0)</f>
        <v>0.06</v>
      </c>
      <c r="M313" s="22"/>
    </row>
    <row r="314" spans="4:13" x14ac:dyDescent="0.25">
      <c r="D314" s="37" t="str" cm="1">
        <f t="array" ref="D314">Common_InputFunctions.Utility_DisplayArrayInTable(SourceData_PastureBeef.SourceData_PastureBeef_CrudeProteinContent_Data(), Table_SourceData_PastureBeef_CrudeProtein[[#Headers],[State]], 0)</f>
        <v>NT</v>
      </c>
      <c r="E314" s="37" t="str" cm="1">
        <f t="array" ref="E314">Common_InputFunctions.Utility_DisplayArrayInTable(SourceData_PastureBeef.SourceData_PastureBeef_CrudeProteinContent_Data(), Table_SourceData_PastureBeef_CrudeProtein[[#Headers],[State]], 0)</f>
        <v>Alice Springs</v>
      </c>
      <c r="F314" s="37" cm="1">
        <f t="array" ref="F314">Common_InputFunctions.Utility_DisplayArrayInTable(SourceData_PastureBeef.SourceData_PastureBeef_CrudeProteinContent_Data(), Table_SourceData_PastureBeef_CrudeProtein[[#Headers],[State]], 0)</f>
        <v>5.8000000000000003E-2</v>
      </c>
      <c r="G314" s="37" cm="1">
        <f t="array" ref="G314">Common_InputFunctions.Utility_DisplayArrayInTable(SourceData_PastureBeef.SourceData_PastureBeef_CrudeProteinContent_Data(), Table_SourceData_PastureBeef_CrudeProtein[[#Headers],[State]], 0)</f>
        <v>9.1999999999999998E-2</v>
      </c>
      <c r="H314" s="37" cm="1">
        <f t="array" ref="H314">Common_InputFunctions.Utility_DisplayArrayInTable(SourceData_PastureBeef.SourceData_PastureBeef_CrudeProteinContent_Data(), Table_SourceData_PastureBeef_CrudeProtein[[#Headers],[State]], 0)</f>
        <v>7.4999999999999997E-2</v>
      </c>
      <c r="I314" s="37" cm="1">
        <f t="array" ref="I314">Common_InputFunctions.Utility_DisplayArrayInTable(SourceData_PastureBeef.SourceData_PastureBeef_CrudeProteinContent_Data(), Table_SourceData_PastureBeef_CrudeProtein[[#Headers],[State]], 0)</f>
        <v>5.2999999999999999E-2</v>
      </c>
      <c r="M314" s="22"/>
    </row>
    <row r="315" spans="4:13" x14ac:dyDescent="0.25">
      <c r="D315" s="37" t="str" cm="1">
        <f t="array" ref="D315">Common_InputFunctions.Utility_DisplayArrayInTable(SourceData_PastureBeef.SourceData_PastureBeef_CrudeProteinContent_Data(), Table_SourceData_PastureBeef_CrudeProtein[[#Headers],[State]], 0)</f>
        <v>NT</v>
      </c>
      <c r="E315" s="37" t="str" cm="1">
        <f t="array" ref="E315">Common_InputFunctions.Utility_DisplayArrayInTable(SourceData_PastureBeef.SourceData_PastureBeef_CrudeProteinContent_Data(), Table_SourceData_PastureBeef_CrudeProtein[[#Headers],[State]], 0)</f>
        <v>Barkly</v>
      </c>
      <c r="F315" s="37" cm="1">
        <f t="array" ref="F315">Common_InputFunctions.Utility_DisplayArrayInTable(SourceData_PastureBeef.SourceData_PastureBeef_CrudeProteinContent_Data(), Table_SourceData_PastureBeef_CrudeProtein[[#Headers],[State]], 0)</f>
        <v>5.8000000000000003E-2</v>
      </c>
      <c r="G315" s="37" cm="1">
        <f t="array" ref="G315">Common_InputFunctions.Utility_DisplayArrayInTable(SourceData_PastureBeef.SourceData_PastureBeef_CrudeProteinContent_Data(), Table_SourceData_PastureBeef_CrudeProtein[[#Headers],[State]], 0)</f>
        <v>9.1999999999999998E-2</v>
      </c>
      <c r="H315" s="37" cm="1">
        <f t="array" ref="H315">Common_InputFunctions.Utility_DisplayArrayInTable(SourceData_PastureBeef.SourceData_PastureBeef_CrudeProteinContent_Data(), Table_SourceData_PastureBeef_CrudeProtein[[#Headers],[State]], 0)</f>
        <v>7.4999999999999997E-2</v>
      </c>
      <c r="I315" s="37" cm="1">
        <f t="array" ref="I315">Common_InputFunctions.Utility_DisplayArrayInTable(SourceData_PastureBeef.SourceData_PastureBeef_CrudeProteinContent_Data(), Table_SourceData_PastureBeef_CrudeProtein[[#Headers],[State]], 0)</f>
        <v>5.2999999999999999E-2</v>
      </c>
      <c r="M315" s="22"/>
    </row>
    <row r="316" spans="4:13" x14ac:dyDescent="0.25">
      <c r="D316" s="37" t="str" cm="1">
        <f t="array" ref="D316">Common_InputFunctions.Utility_DisplayArrayInTable(SourceData_PastureBeef.SourceData_PastureBeef_CrudeProteinContent_Data(), Table_SourceData_PastureBeef_CrudeProtein[[#Headers],[State]], 0)</f>
        <v>NT</v>
      </c>
      <c r="E316" s="37" t="str" cm="1">
        <f t="array" ref="E316">Common_InputFunctions.Utility_DisplayArrayInTable(SourceData_PastureBeef.SourceData_PastureBeef_CrudeProteinContent_Data(), Table_SourceData_PastureBeef_CrudeProtein[[#Headers],[State]], 0)</f>
        <v>Northern</v>
      </c>
      <c r="F316" s="37" cm="1">
        <f t="array" ref="F316">Common_InputFunctions.Utility_DisplayArrayInTable(SourceData_PastureBeef.SourceData_PastureBeef_CrudeProteinContent_Data(), Table_SourceData_PastureBeef_CrudeProtein[[#Headers],[State]], 0)</f>
        <v>5.8000000000000003E-2</v>
      </c>
      <c r="G316" s="37" cm="1">
        <f t="array" ref="G316">Common_InputFunctions.Utility_DisplayArrayInTable(SourceData_PastureBeef.SourceData_PastureBeef_CrudeProteinContent_Data(), Table_SourceData_PastureBeef_CrudeProtein[[#Headers],[State]], 0)</f>
        <v>9.1999999999999998E-2</v>
      </c>
      <c r="H316" s="37" cm="1">
        <f t="array" ref="H316">Common_InputFunctions.Utility_DisplayArrayInTable(SourceData_PastureBeef.SourceData_PastureBeef_CrudeProteinContent_Data(), Table_SourceData_PastureBeef_CrudeProtein[[#Headers],[State]], 0)</f>
        <v>7.4999999999999997E-2</v>
      </c>
      <c r="I316" s="37" cm="1">
        <f t="array" ref="I316">Common_InputFunctions.Utility_DisplayArrayInTable(SourceData_PastureBeef.SourceData_PastureBeef_CrudeProteinContent_Data(), Table_SourceData_PastureBeef_CrudeProtein[[#Headers],[State]], 0)</f>
        <v>5.2999999999999999E-2</v>
      </c>
      <c r="M316" s="22"/>
    </row>
    <row r="317" spans="4:13" x14ac:dyDescent="0.25">
      <c r="D317" s="37" t="str" cm="1">
        <f t="array" ref="D317">Common_InputFunctions.Utility_DisplayArrayInTable(SourceData_PastureBeef.SourceData_PastureBeef_CrudeProteinContent_Data(), Table_SourceData_PastureBeef_CrudeProtein[[#Headers],[State]], 0)</f>
        <v>QLD</v>
      </c>
      <c r="E317" s="37" t="str" cm="1">
        <f t="array" ref="E317">Common_InputFunctions.Utility_DisplayArrayInTable(SourceData_PastureBeef.SourceData_PastureBeef_CrudeProteinContent_Data(), Table_SourceData_PastureBeef_CrudeProtein[[#Headers],[State]], 0)</f>
        <v>High</v>
      </c>
      <c r="F317" s="37" cm="1">
        <f t="array" ref="F317">Common_InputFunctions.Utility_DisplayArrayInTable(SourceData_PastureBeef.SourceData_PastureBeef_CrudeProteinContent_Data(), Table_SourceData_PastureBeef_CrudeProtein[[#Headers],[State]], 0)</f>
        <v>7.1999999999999995E-2</v>
      </c>
      <c r="G317" s="37" cm="1">
        <f t="array" ref="G317">Common_InputFunctions.Utility_DisplayArrayInTable(SourceData_PastureBeef.SourceData_PastureBeef_CrudeProteinContent_Data(), Table_SourceData_PastureBeef_CrudeProtein[[#Headers],[State]], 0)</f>
        <v>9.9000000000000005E-2</v>
      </c>
      <c r="H317" s="37" cm="1">
        <f t="array" ref="H317">Common_InputFunctions.Utility_DisplayArrayInTable(SourceData_PastureBeef.SourceData_PastureBeef_CrudeProteinContent_Data(), Table_SourceData_PastureBeef_CrudeProtein[[#Headers],[State]], 0)</f>
        <v>7.8E-2</v>
      </c>
      <c r="I317" s="37" cm="1">
        <f t="array" ref="I317">Common_InputFunctions.Utility_DisplayArrayInTable(SourceData_PastureBeef.SourceData_PastureBeef_CrudeProteinContent_Data(), Table_SourceData_PastureBeef_CrudeProtein[[#Headers],[State]], 0)</f>
        <v>5.8999999999999997E-2</v>
      </c>
      <c r="M317" s="1"/>
    </row>
    <row r="318" spans="4:13" x14ac:dyDescent="0.25">
      <c r="D318" s="37" t="str" cm="1">
        <f t="array" ref="D318">Common_InputFunctions.Utility_DisplayArrayInTable(SourceData_PastureBeef.SourceData_PastureBeef_CrudeProteinContent_Data(), Table_SourceData_PastureBeef_CrudeProtein[[#Headers],[State]], 0)</f>
        <v>QLD</v>
      </c>
      <c r="E318" s="37" t="str" cm="1">
        <f t="array" ref="E318">Common_InputFunctions.Utility_DisplayArrayInTable(SourceData_PastureBeef.SourceData_PastureBeef_CrudeProteinContent_Data(), Table_SourceData_PastureBeef_CrudeProtein[[#Headers],[State]], 0)</f>
        <v>Moderate/High</v>
      </c>
      <c r="F318" s="37" cm="1">
        <f t="array" ref="F318">Common_InputFunctions.Utility_DisplayArrayInTable(SourceData_PastureBeef.SourceData_PastureBeef_CrudeProteinContent_Data(), Table_SourceData_PastureBeef_CrudeProtein[[#Headers],[State]], 0)</f>
        <v>7.1999999999999995E-2</v>
      </c>
      <c r="G318" s="37" cm="1">
        <f t="array" ref="G318">Common_InputFunctions.Utility_DisplayArrayInTable(SourceData_PastureBeef.SourceData_PastureBeef_CrudeProteinContent_Data(), Table_SourceData_PastureBeef_CrudeProtein[[#Headers],[State]], 0)</f>
        <v>9.9000000000000005E-2</v>
      </c>
      <c r="H318" s="37" cm="1">
        <f t="array" ref="H318">Common_InputFunctions.Utility_DisplayArrayInTable(SourceData_PastureBeef.SourceData_PastureBeef_CrudeProteinContent_Data(), Table_SourceData_PastureBeef_CrudeProtein[[#Headers],[State]], 0)</f>
        <v>7.8E-2</v>
      </c>
      <c r="I318" s="37" cm="1">
        <f t="array" ref="I318">Common_InputFunctions.Utility_DisplayArrayInTable(SourceData_PastureBeef.SourceData_PastureBeef_CrudeProteinContent_Data(), Table_SourceData_PastureBeef_CrudeProtein[[#Headers],[State]], 0)</f>
        <v>5.8999999999999997E-2</v>
      </c>
      <c r="M318" s="1"/>
    </row>
    <row r="319" spans="4:13" x14ac:dyDescent="0.25">
      <c r="D319" s="37" t="str" cm="1">
        <f t="array" ref="D319">Common_InputFunctions.Utility_DisplayArrayInTable(SourceData_PastureBeef.SourceData_PastureBeef_CrudeProteinContent_Data(), Table_SourceData_PastureBeef_CrudeProtein[[#Headers],[State]], 0)</f>
        <v>QLD</v>
      </c>
      <c r="E319" s="37" t="str" cm="1">
        <f t="array" ref="E319">Common_InputFunctions.Utility_DisplayArrayInTable(SourceData_PastureBeef.SourceData_PastureBeef_CrudeProteinContent_Data(), Table_SourceData_PastureBeef_CrudeProtein[[#Headers],[State]], 0)</f>
        <v>Moderate/Low</v>
      </c>
      <c r="F319" s="37" cm="1">
        <f t="array" ref="F319">Common_InputFunctions.Utility_DisplayArrayInTable(SourceData_PastureBeef.SourceData_PastureBeef_CrudeProteinContent_Data(), Table_SourceData_PastureBeef_CrudeProtein[[#Headers],[State]], 0)</f>
        <v>7.1999999999999995E-2</v>
      </c>
      <c r="G319" s="37" cm="1">
        <f t="array" ref="G319">Common_InputFunctions.Utility_DisplayArrayInTable(SourceData_PastureBeef.SourceData_PastureBeef_CrudeProteinContent_Data(), Table_SourceData_PastureBeef_CrudeProtein[[#Headers],[State]], 0)</f>
        <v>9.9000000000000005E-2</v>
      </c>
      <c r="H319" s="37" cm="1">
        <f t="array" ref="H319">Common_InputFunctions.Utility_DisplayArrayInTable(SourceData_PastureBeef.SourceData_PastureBeef_CrudeProteinContent_Data(), Table_SourceData_PastureBeef_CrudeProtein[[#Headers],[State]], 0)</f>
        <v>7.8E-2</v>
      </c>
      <c r="I319" s="37" cm="1">
        <f t="array" ref="I319">Common_InputFunctions.Utility_DisplayArrayInTable(SourceData_PastureBeef.SourceData_PastureBeef_CrudeProteinContent_Data(), Table_SourceData_PastureBeef_CrudeProtein[[#Headers],[State]], 0)</f>
        <v>5.8999999999999997E-2</v>
      </c>
      <c r="M319" s="1"/>
    </row>
    <row r="320" spans="4:13" x14ac:dyDescent="0.25">
      <c r="D320" s="37" t="str" cm="1">
        <f t="array" ref="D320">Common_InputFunctions.Utility_DisplayArrayInTable(SourceData_PastureBeef.SourceData_PastureBeef_CrudeProteinContent_Data(), Table_SourceData_PastureBeef_CrudeProtein[[#Headers],[State]], 0)</f>
        <v>QLD</v>
      </c>
      <c r="E320" s="37" t="str" cm="1">
        <f t="array" ref="E320">Common_InputFunctions.Utility_DisplayArrayInTable(SourceData_PastureBeef.SourceData_PastureBeef_CrudeProteinContent_Data(), Table_SourceData_PastureBeef_CrudeProtein[[#Headers],[State]], 0)</f>
        <v>Low</v>
      </c>
      <c r="F320" s="37" cm="1">
        <f t="array" ref="F320">Common_InputFunctions.Utility_DisplayArrayInTable(SourceData_PastureBeef.SourceData_PastureBeef_CrudeProteinContent_Data(), Table_SourceData_PastureBeef_CrudeProtein[[#Headers],[State]], 0)</f>
        <v>7.1999999999999995E-2</v>
      </c>
      <c r="G320" s="37" cm="1">
        <f t="array" ref="G320">Common_InputFunctions.Utility_DisplayArrayInTable(SourceData_PastureBeef.SourceData_PastureBeef_CrudeProteinContent_Data(), Table_SourceData_PastureBeef_CrudeProtein[[#Headers],[State]], 0)</f>
        <v>9.9000000000000005E-2</v>
      </c>
      <c r="H320" s="37" cm="1">
        <f t="array" ref="H320">Common_InputFunctions.Utility_DisplayArrayInTable(SourceData_PastureBeef.SourceData_PastureBeef_CrudeProteinContent_Data(), Table_SourceData_PastureBeef_CrudeProtein[[#Headers],[State]], 0)</f>
        <v>7.8E-2</v>
      </c>
      <c r="I320" s="37" cm="1">
        <f t="array" ref="I320">Common_InputFunctions.Utility_DisplayArrayInTable(SourceData_PastureBeef.SourceData_PastureBeef_CrudeProteinContent_Data(), Table_SourceData_PastureBeef_CrudeProtein[[#Headers],[State]], 0)</f>
        <v>5.8999999999999997E-2</v>
      </c>
      <c r="M320" s="1"/>
    </row>
    <row r="321" spans="4:13" x14ac:dyDescent="0.25">
      <c r="D321" s="37" t="str" cm="1">
        <f t="array" ref="D321">Common_InputFunctions.Utility_DisplayArrayInTable(SourceData_PastureBeef.SourceData_PastureBeef_CrudeProteinContent_Data(), Table_SourceData_PastureBeef_CrudeProtein[[#Headers],[State]], 0)</f>
        <v>SA</v>
      </c>
      <c r="E321" s="37" t="str" cm="1">
        <f t="array" ref="E321">Common_InputFunctions.Utility_DisplayArrayInTable(SourceData_PastureBeef.SourceData_PastureBeef_CrudeProteinContent_Data(), Table_SourceData_PastureBeef_CrudeProtein[[#Headers],[State]], 0)</f>
        <v>n/a</v>
      </c>
      <c r="F321" s="37" cm="1">
        <f t="array" ref="F321">Common_InputFunctions.Utility_DisplayArrayInTable(SourceData_PastureBeef.SourceData_PastureBeef_CrudeProteinContent_Data(), Table_SourceData_PastureBeef_CrudeProtein[[#Headers],[State]], 0)</f>
        <v>0.16</v>
      </c>
      <c r="G321" s="37" cm="1">
        <f t="array" ref="G321">Common_InputFunctions.Utility_DisplayArrayInTable(SourceData_PastureBeef.SourceData_PastureBeef_CrudeProteinContent_Data(), Table_SourceData_PastureBeef_CrudeProtein[[#Headers],[State]], 0)</f>
        <v>7.0000000000000007E-2</v>
      </c>
      <c r="H321" s="37" cm="1">
        <f t="array" ref="H321">Common_InputFunctions.Utility_DisplayArrayInTable(SourceData_PastureBeef.SourceData_PastureBeef_CrudeProteinContent_Data(), Table_SourceData_PastureBeef_CrudeProtein[[#Headers],[State]], 0)</f>
        <v>0.09</v>
      </c>
      <c r="I321" s="37" cm="1">
        <f t="array" ref="I321">Common_InputFunctions.Utility_DisplayArrayInTable(SourceData_PastureBeef.SourceData_PastureBeef_CrudeProteinContent_Data(), Table_SourceData_PastureBeef_CrudeProtein[[#Headers],[State]], 0)</f>
        <v>0.2</v>
      </c>
      <c r="M321" s="1"/>
    </row>
    <row r="322" spans="4:13" x14ac:dyDescent="0.25">
      <c r="D322" s="37" t="str" cm="1">
        <f t="array" ref="D322">Common_InputFunctions.Utility_DisplayArrayInTable(SourceData_PastureBeef.SourceData_PastureBeef_CrudeProteinContent_Data(), Table_SourceData_PastureBeef_CrudeProtein[[#Headers],[State]], 0)</f>
        <v>TAS</v>
      </c>
      <c r="E322" s="37" t="str" cm="1">
        <f t="array" ref="E322">Common_InputFunctions.Utility_DisplayArrayInTable(SourceData_PastureBeef.SourceData_PastureBeef_CrudeProteinContent_Data(), Table_SourceData_PastureBeef_CrudeProtein[[#Headers],[State]], 0)</f>
        <v>n/a</v>
      </c>
      <c r="F322" s="37" cm="1">
        <f t="array" ref="F322">Common_InputFunctions.Utility_DisplayArrayInTable(SourceData_PastureBeef.SourceData_PastureBeef_CrudeProteinContent_Data(), Table_SourceData_PastureBeef_CrudeProtein[[#Headers],[State]], 0)</f>
        <v>0.2</v>
      </c>
      <c r="G322" s="37" cm="1">
        <f t="array" ref="G322">Common_InputFunctions.Utility_DisplayArrayInTable(SourceData_PastureBeef.SourceData_PastureBeef_CrudeProteinContent_Data(), Table_SourceData_PastureBeef_CrudeProtein[[#Headers],[State]], 0)</f>
        <v>0.1</v>
      </c>
      <c r="H322" s="37" cm="1">
        <f t="array" ref="H322">Common_InputFunctions.Utility_DisplayArrayInTable(SourceData_PastureBeef.SourceData_PastureBeef_CrudeProteinContent_Data(), Table_SourceData_PastureBeef_CrudeProtein[[#Headers],[State]], 0)</f>
        <v>0.16</v>
      </c>
      <c r="I322" s="37" cm="1">
        <f t="array" ref="I322">Common_InputFunctions.Utility_DisplayArrayInTable(SourceData_PastureBeef.SourceData_PastureBeef_CrudeProteinContent_Data(), Table_SourceData_PastureBeef_CrudeProtein[[#Headers],[State]], 0)</f>
        <v>0.2</v>
      </c>
      <c r="M322" s="1"/>
    </row>
    <row r="323" spans="4:13" x14ac:dyDescent="0.25">
      <c r="D323" s="37" t="str" cm="1">
        <f t="array" ref="D323">Common_InputFunctions.Utility_DisplayArrayInTable(SourceData_PastureBeef.SourceData_PastureBeef_CrudeProteinContent_Data(), Table_SourceData_PastureBeef_CrudeProtein[[#Headers],[State]], 0)</f>
        <v>VIC</v>
      </c>
      <c r="E323" s="37" t="str" cm="1">
        <f t="array" ref="E323">Common_InputFunctions.Utility_DisplayArrayInTable(SourceData_PastureBeef.SourceData_PastureBeef_CrudeProteinContent_Data(), Table_SourceData_PastureBeef_CrudeProtein[[#Headers],[State]], 0)</f>
        <v>n/a</v>
      </c>
      <c r="F323" s="37" cm="1">
        <f t="array" ref="F323">Common_InputFunctions.Utility_DisplayArrayInTable(SourceData_PastureBeef.SourceData_PastureBeef_CrudeProteinContent_Data(), Table_SourceData_PastureBeef_CrudeProtein[[#Headers],[State]], 0)</f>
        <v>0.25</v>
      </c>
      <c r="G323" s="37" cm="1">
        <f t="array" ref="G323">Common_InputFunctions.Utility_DisplayArrayInTable(SourceData_PastureBeef.SourceData_PastureBeef_CrudeProteinContent_Data(), Table_SourceData_PastureBeef_CrudeProtein[[#Headers],[State]], 0)</f>
        <v>7.0000000000000007E-2</v>
      </c>
      <c r="H323" s="37" cm="1">
        <f t="array" ref="H323">Common_InputFunctions.Utility_DisplayArrayInTable(SourceData_PastureBeef.SourceData_PastureBeef_CrudeProteinContent_Data(), Table_SourceData_PastureBeef_CrudeProtein[[#Headers],[State]], 0)</f>
        <v>0.1</v>
      </c>
      <c r="I323" s="37" cm="1">
        <f t="array" ref="I323">Common_InputFunctions.Utility_DisplayArrayInTable(SourceData_PastureBeef.SourceData_PastureBeef_CrudeProteinContent_Data(), Table_SourceData_PastureBeef_CrudeProtein[[#Headers],[State]], 0)</f>
        <v>0.21</v>
      </c>
      <c r="M323" s="1"/>
    </row>
    <row r="324" spans="4:13" x14ac:dyDescent="0.25">
      <c r="D324" s="37" t="str" cm="1">
        <f t="array" ref="D324">Common_InputFunctions.Utility_DisplayArrayInTable(SourceData_PastureBeef.SourceData_PastureBeef_CrudeProteinContent_Data(), Table_SourceData_PastureBeef_CrudeProtein[[#Headers],[State]], 0)</f>
        <v>WA</v>
      </c>
      <c r="E324" s="37" t="str" cm="1">
        <f t="array" ref="E324">Common_InputFunctions.Utility_DisplayArrayInTable(SourceData_PastureBeef.SourceData_PastureBeef_CrudeProteinContent_Data(), Table_SourceData_PastureBeef_CrudeProtein[[#Headers],[State]], 0)</f>
        <v>South West</v>
      </c>
      <c r="F324" s="37" cm="1">
        <f t="array" ref="F324">Common_InputFunctions.Utility_DisplayArrayInTable(SourceData_PastureBeef.SourceData_PastureBeef_CrudeProteinContent_Data(), Table_SourceData_PastureBeef_CrudeProtein[[#Headers],[State]], 0)</f>
        <v>0.2</v>
      </c>
      <c r="G324" s="37" cm="1">
        <f t="array" ref="G324">Common_InputFunctions.Utility_DisplayArrayInTable(SourceData_PastureBeef.SourceData_PastureBeef_CrudeProteinContent_Data(), Table_SourceData_PastureBeef_CrudeProtein[[#Headers],[State]], 0)</f>
        <v>0.09</v>
      </c>
      <c r="H324" s="37" cm="1">
        <f t="array" ref="H324">Common_InputFunctions.Utility_DisplayArrayInTable(SourceData_PastureBeef.SourceData_PastureBeef_CrudeProteinContent_Data(), Table_SourceData_PastureBeef_CrudeProtein[[#Headers],[State]], 0)</f>
        <v>0.06</v>
      </c>
      <c r="I324" s="37" cm="1">
        <f t="array" ref="I324">Common_InputFunctions.Utility_DisplayArrayInTable(SourceData_PastureBeef.SourceData_PastureBeef_CrudeProteinContent_Data(), Table_SourceData_PastureBeef_CrudeProtein[[#Headers],[State]], 0)</f>
        <v>0.2</v>
      </c>
      <c r="M324" s="1"/>
    </row>
    <row r="325" spans="4:13" x14ac:dyDescent="0.25">
      <c r="D325" s="37" t="str" cm="1">
        <f t="array" ref="D325">Common_InputFunctions.Utility_DisplayArrayInTable(SourceData_PastureBeef.SourceData_PastureBeef_CrudeProteinContent_Data(), Table_SourceData_PastureBeef_CrudeProtein[[#Headers],[State]], 0)</f>
        <v>WA</v>
      </c>
      <c r="E325" s="37" t="str" cm="1">
        <f t="array" ref="E325">Common_InputFunctions.Utility_DisplayArrayInTable(SourceData_PastureBeef.SourceData_PastureBeef_CrudeProteinContent_Data(), Table_SourceData_PastureBeef_CrudeProtein[[#Headers],[State]], 0)</f>
        <v>Pilbara</v>
      </c>
      <c r="F325" s="37" cm="1">
        <f t="array" ref="F325">Common_InputFunctions.Utility_DisplayArrayInTable(SourceData_PastureBeef.SourceData_PastureBeef_CrudeProteinContent_Data(), Table_SourceData_PastureBeef_CrudeProtein[[#Headers],[State]], 0)</f>
        <v>0.04</v>
      </c>
      <c r="G325" s="37" cm="1">
        <f t="array" ref="G325">Common_InputFunctions.Utility_DisplayArrayInTable(SourceData_PastureBeef.SourceData_PastureBeef_CrudeProteinContent_Data(), Table_SourceData_PastureBeef_CrudeProtein[[#Headers],[State]], 0)</f>
        <v>0.12</v>
      </c>
      <c r="H325" s="37" cm="1">
        <f t="array" ref="H325">Common_InputFunctions.Utility_DisplayArrayInTable(SourceData_PastureBeef.SourceData_PastureBeef_CrudeProteinContent_Data(), Table_SourceData_PastureBeef_CrudeProtein[[#Headers],[State]], 0)</f>
        <v>0.09</v>
      </c>
      <c r="I325" s="37" cm="1">
        <f t="array" ref="I325">Common_InputFunctions.Utility_DisplayArrayInTable(SourceData_PastureBeef.SourceData_PastureBeef_CrudeProteinContent_Data(), Table_SourceData_PastureBeef_CrudeProtein[[#Headers],[State]], 0)</f>
        <v>0.06</v>
      </c>
      <c r="M325" s="1"/>
    </row>
    <row r="326" spans="4:13" x14ac:dyDescent="0.25">
      <c r="D326" s="37" t="str" cm="1">
        <f t="array" ref="D326">Common_InputFunctions.Utility_DisplayArrayInTable(SourceData_PastureBeef.SourceData_PastureBeef_CrudeProteinContent_Data(), Table_SourceData_PastureBeef_CrudeProtein[[#Headers],[State]], 0)</f>
        <v>WA</v>
      </c>
      <c r="E326" s="37" t="str" cm="1">
        <f t="array" ref="E326">Common_InputFunctions.Utility_DisplayArrayInTable(SourceData_PastureBeef.SourceData_PastureBeef_CrudeProteinContent_Data(), Table_SourceData_PastureBeef_CrudeProtein[[#Headers],[State]], 0)</f>
        <v>Kimberley</v>
      </c>
      <c r="F326" s="37" cm="1">
        <f t="array" ref="F326">Common_InputFunctions.Utility_DisplayArrayInTable(SourceData_PastureBeef.SourceData_PastureBeef_CrudeProteinContent_Data(), Table_SourceData_PastureBeef_CrudeProtein[[#Headers],[State]], 0)</f>
        <v>0.04</v>
      </c>
      <c r="G326" s="37" cm="1">
        <f t="array" ref="G326">Common_InputFunctions.Utility_DisplayArrayInTable(SourceData_PastureBeef.SourceData_PastureBeef_CrudeProteinContent_Data(), Table_SourceData_PastureBeef_CrudeProtein[[#Headers],[State]], 0)</f>
        <v>0.12</v>
      </c>
      <c r="H326" s="37" cm="1">
        <f t="array" ref="H326">Common_InputFunctions.Utility_DisplayArrayInTable(SourceData_PastureBeef.SourceData_PastureBeef_CrudeProteinContent_Data(), Table_SourceData_PastureBeef_CrudeProtein[[#Headers],[State]], 0)</f>
        <v>0.09</v>
      </c>
      <c r="I326" s="37" cm="1">
        <f t="array" ref="I326">Common_InputFunctions.Utility_DisplayArrayInTable(SourceData_PastureBeef.SourceData_PastureBeef_CrudeProteinContent_Data(), Table_SourceData_PastureBeef_CrudeProtein[[#Headers],[State]], 0)</f>
        <v>0.06</v>
      </c>
      <c r="M326" s="1"/>
    </row>
    <row r="327" spans="4:13" x14ac:dyDescent="0.25">
      <c r="M327" s="1"/>
    </row>
    <row r="328" spans="4:13" x14ac:dyDescent="0.25">
      <c r="M328" s="1"/>
    </row>
    <row r="329" spans="4:13" ht="23.25" x14ac:dyDescent="0.25">
      <c r="D329" s="6" t="str" cm="1">
        <f t="array" ref="D329">SourceData_PastureBeef.SourceData_PastureBeef_FeedAdjustmentAndMilkProduction_Title()</f>
        <v>Beef pasture cattle - Feed intake adjustment and milk production (kg/head/day)</v>
      </c>
      <c r="M329" s="1"/>
    </row>
    <row r="330" spans="4:13" x14ac:dyDescent="0.25">
      <c r="D330" s="5" t="str" cm="1">
        <f t="array" ref="D330">SourceData_PastureBeef.SourceData_PastureBeef_FeedAdjustmentAndMilkProduction_Source()</f>
        <v>VEERG 2026: Table A.1.2.7</v>
      </c>
      <c r="M330" s="1"/>
    </row>
    <row r="331" spans="4:13" x14ac:dyDescent="0.25">
      <c r="D331" s="1" t="str" cm="1">
        <f t="array" ref="D331">SourceData_PastureBeef.SourceData_PastureBeef_FeedAdjustmentAndMilkProduction_Variable()</f>
        <v>MCjk=1,3,6; DMPjk=5</v>
      </c>
      <c r="I331" s="55" t="s">
        <v>250</v>
      </c>
      <c r="M331" s="1"/>
    </row>
    <row r="332" spans="4:13" x14ac:dyDescent="0.25">
      <c r="D332" s="37" t="s">
        <v>129</v>
      </c>
      <c r="E332" s="37" t="s">
        <v>184</v>
      </c>
      <c r="F332" s="37" t="s">
        <v>233</v>
      </c>
      <c r="G332" s="37" t="s">
        <v>234</v>
      </c>
      <c r="I332" s="37" t="s">
        <v>129</v>
      </c>
      <c r="J332" s="37" t="s">
        <v>184</v>
      </c>
      <c r="K332" s="37" t="s">
        <v>233</v>
      </c>
      <c r="L332" s="37" t="s">
        <v>234</v>
      </c>
      <c r="M332" s="1"/>
    </row>
    <row r="333" spans="4:13" x14ac:dyDescent="0.25">
      <c r="D333" s="37" t="str" cm="1">
        <f t="array" ref="D333">Common_InputFunctions.Utility_DisplayArrayInTable(SourceData_PastureBeef.SourceData_PastureBeef_FeedAdjustmentAndMilkProduction_Data(), Table_SourceData_PastureBeef_FeedIntakeAdjustment[[#Headers],[Breed]], 0)</f>
        <v>Hereford or Shorthorn breeds</v>
      </c>
      <c r="E333" s="37" t="str" cm="1">
        <f t="array" ref="E333">Common_InputFunctions.Utility_DisplayArrayInTable(SourceData_PastureBeef.SourceData_PastureBeef_FeedAdjustmentAndMilkProduction_Data(), Table_SourceData_PastureBeef_FeedIntakeAdjustment[[#Headers],[Breed]], 0)</f>
        <v>Spring</v>
      </c>
      <c r="F333" s="37" cm="1">
        <f t="array" ref="F333">Common_InputFunctions.Utility_DisplayArrayInTable(SourceData_PastureBeef.SourceData_PastureBeef_FeedAdjustmentAndMilkProduction_Data(), Table_SourceData_PastureBeef_FeedIntakeAdjustment[[#Headers],[Breed]], 0)</f>
        <v>1.3</v>
      </c>
      <c r="G333" s="37" cm="1">
        <f t="array" ref="G333">Common_InputFunctions.Utility_DisplayArrayInTable(SourceData_PastureBeef.SourceData_PastureBeef_FeedAdjustmentAndMilkProduction_Data(), Table_SourceData_PastureBeef_FeedIntakeAdjustment[[#Headers],[Breed]], 0)</f>
        <v>6</v>
      </c>
      <c r="I333" s="37" t="str">
        <f>Table_SourceData_PastureBeef_FeedIntakeAdjustment[[#This Row],[Breed]]</f>
        <v>Hereford or Shorthorn breeds</v>
      </c>
      <c r="J333" s="37" t="s">
        <v>248</v>
      </c>
      <c r="K333" s="37">
        <f>Table_SourceData_PastureBeef_FeedIntakeAdjustment[[#This Row],[Feed adjustment]]</f>
        <v>1.3</v>
      </c>
      <c r="L333" s="37">
        <f>Table_SourceData_PastureBeef_FeedIntakeAdjustment[[#This Row],[Milk intake/production]]</f>
        <v>6</v>
      </c>
      <c r="M333" s="1"/>
    </row>
    <row r="334" spans="4:13" x14ac:dyDescent="0.25">
      <c r="D334" s="1" t="str" cm="1">
        <f t="array" ref="D334">Common_InputFunctions.Utility_DisplayArrayInTable(SourceData_PastureBeef.SourceData_PastureBeef_FeedAdjustmentAndMilkProduction_Data(), Table_SourceData_PastureBeef_FeedIntakeAdjustment[[#Headers],[Breed]], 0)</f>
        <v>Hereford or Shorthorn breeds</v>
      </c>
      <c r="E334" s="37" t="str" cm="1">
        <f t="array" ref="E334">Common_InputFunctions.Utility_DisplayArrayInTable(SourceData_PastureBeef.SourceData_PastureBeef_FeedAdjustmentAndMilkProduction_Data(), Table_SourceData_PastureBeef_FeedIntakeAdjustment[[#Headers],[Breed]], 0)</f>
        <v>Summer</v>
      </c>
      <c r="F334" s="37" cm="1">
        <f t="array" ref="F334">Common_InputFunctions.Utility_DisplayArrayInTable(SourceData_PastureBeef.SourceData_PastureBeef_FeedAdjustmentAndMilkProduction_Data(), Table_SourceData_PastureBeef_FeedIntakeAdjustment[[#Headers],[Breed]], 0)</f>
        <v>1.1000000000000001</v>
      </c>
      <c r="G334" s="37" cm="1">
        <f t="array" ref="G334">Common_InputFunctions.Utility_DisplayArrayInTable(SourceData_PastureBeef.SourceData_PastureBeef_FeedAdjustmentAndMilkProduction_Data(), Table_SourceData_PastureBeef_FeedIntakeAdjustment[[#Headers],[Breed]], 0)</f>
        <v>4</v>
      </c>
      <c r="I334" s="1" t="str">
        <f>Table_SourceData_PastureBeef_FeedIntakeAdjustment[[#This Row],[Breed]]</f>
        <v>Hereford or Shorthorn breeds</v>
      </c>
      <c r="J334" s="37" t="s">
        <v>249</v>
      </c>
      <c r="K334" s="37">
        <f>Table_SourceData_PastureBeef_FeedIntakeAdjustment[[#This Row],[Feed adjustment]]</f>
        <v>1.1000000000000001</v>
      </c>
      <c r="L334" s="37">
        <f>Table_SourceData_PastureBeef_FeedIntakeAdjustment[[#This Row],[Milk intake/production]]</f>
        <v>4</v>
      </c>
      <c r="M334" s="1"/>
    </row>
    <row r="335" spans="4:13" x14ac:dyDescent="0.25">
      <c r="D335" s="1" t="str" cm="1">
        <f t="array" ref="D335">Common_InputFunctions.Utility_DisplayArrayInTable(SourceData_PastureBeef.SourceData_PastureBeef_FeedAdjustmentAndMilkProduction_Data(), Table_SourceData_PastureBeef_FeedIntakeAdjustment[[#Headers],[Breed]], 0)</f>
        <v>Hereford or Shorthorn breeds</v>
      </c>
      <c r="E335" s="37" t="str" cm="1">
        <f t="array" ref="E335">Common_InputFunctions.Utility_DisplayArrayInTable(SourceData_PastureBeef.SourceData_PastureBeef_FeedAdjustmentAndMilkProduction_Data(), Table_SourceData_PastureBeef_FeedIntakeAdjustment[[#Headers],[Breed]], 0)</f>
        <v>Autumn</v>
      </c>
      <c r="F335" s="37" cm="1">
        <f t="array" ref="F335">Common_InputFunctions.Utility_DisplayArrayInTable(SourceData_PastureBeef.SourceData_PastureBeef_FeedAdjustmentAndMilkProduction_Data(), Table_SourceData_PastureBeef_FeedIntakeAdjustment[[#Headers],[Breed]], 0)</f>
        <v>0</v>
      </c>
      <c r="G335" s="37" cm="1">
        <f t="array" ref="G335">Common_InputFunctions.Utility_DisplayArrayInTable(SourceData_PastureBeef.SourceData_PastureBeef_FeedAdjustmentAndMilkProduction_Data(), Table_SourceData_PastureBeef_FeedIntakeAdjustment[[#Headers],[Breed]], 0)</f>
        <v>0</v>
      </c>
      <c r="I335" s="1" t="str">
        <f>D338</f>
        <v>Northern Brahman cross breed</v>
      </c>
      <c r="J335" s="37" t="s">
        <v>248</v>
      </c>
      <c r="K335" s="37">
        <f>F338</f>
        <v>1.3</v>
      </c>
      <c r="L335" s="37">
        <f t="shared" ref="L335:L336" si="131">G338</f>
        <v>4</v>
      </c>
      <c r="M335" s="1"/>
    </row>
    <row r="336" spans="4:13" x14ac:dyDescent="0.25">
      <c r="D336" s="1" t="str" cm="1">
        <f t="array" ref="D336">Common_InputFunctions.Utility_DisplayArrayInTable(SourceData_PastureBeef.SourceData_PastureBeef_FeedAdjustmentAndMilkProduction_Data(), Table_SourceData_PastureBeef_FeedIntakeAdjustment[[#Headers],[Breed]], 0)</f>
        <v>Hereford or Shorthorn breeds</v>
      </c>
      <c r="E336" s="37" t="str" cm="1">
        <f t="array" ref="E336">Common_InputFunctions.Utility_DisplayArrayInTable(SourceData_PastureBeef.SourceData_PastureBeef_FeedAdjustmentAndMilkProduction_Data(), Table_SourceData_PastureBeef_FeedIntakeAdjustment[[#Headers],[Breed]], 0)</f>
        <v>Winter</v>
      </c>
      <c r="F336" s="37" cm="1">
        <f t="array" ref="F336">Common_InputFunctions.Utility_DisplayArrayInTable(SourceData_PastureBeef.SourceData_PastureBeef_FeedAdjustmentAndMilkProduction_Data(), Table_SourceData_PastureBeef_FeedIntakeAdjustment[[#Headers],[Breed]], 0)</f>
        <v>0</v>
      </c>
      <c r="G336" s="37" cm="1">
        <f t="array" ref="G336">Common_InputFunctions.Utility_DisplayArrayInTable(SourceData_PastureBeef.SourceData_PastureBeef_FeedAdjustmentAndMilkProduction_Data(), Table_SourceData_PastureBeef_FeedIntakeAdjustment[[#Headers],[Breed]], 0)</f>
        <v>0</v>
      </c>
      <c r="I336" s="1" t="str">
        <f>D339</f>
        <v>Northern Brahman cross breed</v>
      </c>
      <c r="J336" s="37" t="s">
        <v>249</v>
      </c>
      <c r="K336" s="37">
        <f t="shared" ref="K336" si="132">F339</f>
        <v>1.1000000000000001</v>
      </c>
      <c r="L336" s="37">
        <f t="shared" si="131"/>
        <v>3</v>
      </c>
      <c r="M336" s="1"/>
    </row>
    <row r="337" spans="4:13" x14ac:dyDescent="0.25">
      <c r="D337" s="1" t="str" cm="1">
        <f t="array" ref="D337">Common_InputFunctions.Utility_DisplayArrayInTable(SourceData_PastureBeef.SourceData_PastureBeef_FeedAdjustmentAndMilkProduction_Data(), Table_SourceData_PastureBeef_FeedIntakeAdjustment[[#Headers],[Breed]], 0)</f>
        <v>Northern Brahman cross breed</v>
      </c>
      <c r="E337" s="37" t="str" cm="1">
        <f t="array" ref="E337">Common_InputFunctions.Utility_DisplayArrayInTable(SourceData_PastureBeef.SourceData_PastureBeef_FeedAdjustmentAndMilkProduction_Data(), Table_SourceData_PastureBeef_FeedIntakeAdjustment[[#Headers],[Breed]], 0)</f>
        <v>Spring</v>
      </c>
      <c r="F337" s="37" cm="1">
        <f t="array" ref="F337">Common_InputFunctions.Utility_DisplayArrayInTable(SourceData_PastureBeef.SourceData_PastureBeef_FeedAdjustmentAndMilkProduction_Data(), Table_SourceData_PastureBeef_FeedIntakeAdjustment[[#Headers],[Breed]], 0)</f>
        <v>0</v>
      </c>
      <c r="G337" s="37" cm="1">
        <f t="array" ref="G337">Common_InputFunctions.Utility_DisplayArrayInTable(SourceData_PastureBeef.SourceData_PastureBeef_FeedAdjustmentAndMilkProduction_Data(), Table_SourceData_PastureBeef_FeedIntakeAdjustment[[#Headers],[Breed]], 0)</f>
        <v>0</v>
      </c>
      <c r="M337" s="1"/>
    </row>
    <row r="338" spans="4:13" x14ac:dyDescent="0.25">
      <c r="D338" s="1" t="str" cm="1">
        <f t="array" ref="D338">Common_InputFunctions.Utility_DisplayArrayInTable(SourceData_PastureBeef.SourceData_PastureBeef_FeedAdjustmentAndMilkProduction_Data(), Table_SourceData_PastureBeef_FeedIntakeAdjustment[[#Headers],[Breed]], 0)</f>
        <v>Northern Brahman cross breed</v>
      </c>
      <c r="E338" s="37" t="str" cm="1">
        <f t="array" ref="E338">Common_InputFunctions.Utility_DisplayArrayInTable(SourceData_PastureBeef.SourceData_PastureBeef_FeedAdjustmentAndMilkProduction_Data(), Table_SourceData_PastureBeef_FeedIntakeAdjustment[[#Headers],[Breed]], 0)</f>
        <v>Summer</v>
      </c>
      <c r="F338" s="37" cm="1">
        <f t="array" ref="F338">Common_InputFunctions.Utility_DisplayArrayInTable(SourceData_PastureBeef.SourceData_PastureBeef_FeedAdjustmentAndMilkProduction_Data(), Table_SourceData_PastureBeef_FeedIntakeAdjustment[[#Headers],[Breed]], 0)</f>
        <v>1.3</v>
      </c>
      <c r="G338" s="37" cm="1">
        <f t="array" ref="G338">Common_InputFunctions.Utility_DisplayArrayInTable(SourceData_PastureBeef.SourceData_PastureBeef_FeedAdjustmentAndMilkProduction_Data(), Table_SourceData_PastureBeef_FeedIntakeAdjustment[[#Headers],[Breed]], 0)</f>
        <v>4</v>
      </c>
      <c r="M338" s="1"/>
    </row>
    <row r="339" spans="4:13" x14ac:dyDescent="0.25">
      <c r="D339" s="1" t="str" cm="1">
        <f t="array" ref="D339">Common_InputFunctions.Utility_DisplayArrayInTable(SourceData_PastureBeef.SourceData_PastureBeef_FeedAdjustmentAndMilkProduction_Data(), Table_SourceData_PastureBeef_FeedIntakeAdjustment[[#Headers],[Breed]], 0)</f>
        <v>Northern Brahman cross breed</v>
      </c>
      <c r="E339" s="37" t="str" cm="1">
        <f t="array" ref="E339">Common_InputFunctions.Utility_DisplayArrayInTable(SourceData_PastureBeef.SourceData_PastureBeef_FeedAdjustmentAndMilkProduction_Data(), Table_SourceData_PastureBeef_FeedIntakeAdjustment[[#Headers],[Breed]], 0)</f>
        <v>Autumn</v>
      </c>
      <c r="F339" s="37" cm="1">
        <f t="array" ref="F339">Common_InputFunctions.Utility_DisplayArrayInTable(SourceData_PastureBeef.SourceData_PastureBeef_FeedAdjustmentAndMilkProduction_Data(), Table_SourceData_PastureBeef_FeedIntakeAdjustment[[#Headers],[Breed]], 0)</f>
        <v>1.1000000000000001</v>
      </c>
      <c r="G339" s="37" cm="1">
        <f t="array" ref="G339">Common_InputFunctions.Utility_DisplayArrayInTable(SourceData_PastureBeef.SourceData_PastureBeef_FeedAdjustmentAndMilkProduction_Data(), Table_SourceData_PastureBeef_FeedIntakeAdjustment[[#Headers],[Breed]], 0)</f>
        <v>3</v>
      </c>
      <c r="M339" s="1"/>
    </row>
    <row r="340" spans="4:13" x14ac:dyDescent="0.25">
      <c r="D340" s="1" t="str" cm="1">
        <f t="array" ref="D340">Common_InputFunctions.Utility_DisplayArrayInTable(SourceData_PastureBeef.SourceData_PastureBeef_FeedAdjustmentAndMilkProduction_Data(), Table_SourceData_PastureBeef_FeedIntakeAdjustment[[#Headers],[Breed]], 0)</f>
        <v>Northern Brahman cross breed</v>
      </c>
      <c r="E340" s="37" t="str" cm="1">
        <f t="array" ref="E340">Common_InputFunctions.Utility_DisplayArrayInTable(SourceData_PastureBeef.SourceData_PastureBeef_FeedAdjustmentAndMilkProduction_Data(), Table_SourceData_PastureBeef_FeedIntakeAdjustment[[#Headers],[Breed]], 0)</f>
        <v>Winter</v>
      </c>
      <c r="F340" s="37" cm="1">
        <f t="array" ref="F340">Common_InputFunctions.Utility_DisplayArrayInTable(SourceData_PastureBeef.SourceData_PastureBeef_FeedAdjustmentAndMilkProduction_Data(), Table_SourceData_PastureBeef_FeedIntakeAdjustment[[#Headers],[Breed]], 0)</f>
        <v>0</v>
      </c>
      <c r="G340" s="37" cm="1">
        <f t="array" ref="G340">Common_InputFunctions.Utility_DisplayArrayInTable(SourceData_PastureBeef.SourceData_PastureBeef_FeedAdjustmentAndMilkProduction_Data(), Table_SourceData_PastureBeef_FeedIntakeAdjustment[[#Headers],[Breed]], 0)</f>
        <v>0</v>
      </c>
      <c r="M340" s="1"/>
    </row>
    <row r="341" spans="4:13" x14ac:dyDescent="0.25">
      <c r="M341" s="1"/>
    </row>
    <row r="342" spans="4:13" x14ac:dyDescent="0.25">
      <c r="M342" s="1"/>
    </row>
    <row r="343" spans="4:13" ht="23.25" x14ac:dyDescent="0.25">
      <c r="D343" s="6" t="str" cm="1">
        <f t="array" ref="D343">SourceData_PastureBeef.SourceData_PastureBeef_StandardReferenceWeights_Title()</f>
        <v>Beef pasture cattle - Standard reference weights (kg) (SRWk)</v>
      </c>
      <c r="M343" s="1"/>
    </row>
    <row r="344" spans="4:13" x14ac:dyDescent="0.25">
      <c r="D344" s="5" t="str" cm="1">
        <f t="array" ref="D344">SourceData_PastureBeef.SourceData_PastureBeef_StandardReferenceWeights_Source()</f>
        <v>VEERG 2026: Table A.1.2.8</v>
      </c>
      <c r="M344" s="1"/>
    </row>
    <row r="345" spans="4:13" x14ac:dyDescent="0.25">
      <c r="D345" s="1" t="str" cm="1">
        <f t="array" ref="D345">SourceData_PastureBeef.SourceData_PastureBeef_StandardReferenceWeights_Variable()</f>
        <v>SRWk</v>
      </c>
      <c r="M345" s="1"/>
    </row>
    <row r="346" spans="4:13" x14ac:dyDescent="0.25">
      <c r="D346" s="54" t="str" cm="1">
        <f t="array" ref="D346">SourceData_PastureBeef.SourceData_PastureBeef_StandardReferenceWeights_Unit()</f>
        <v>kg</v>
      </c>
      <c r="M346" s="1"/>
    </row>
    <row r="347" spans="4:13" x14ac:dyDescent="0.25">
      <c r="D347" s="55" t="str" cm="1">
        <f t="array" ref="D347">SourceData_PastureBeef.SourceData_PastureBeef_StandardReferenceWeights_Variation()</f>
        <v>VARIATION ON SOURCE: Split ACT and NSW into separate rows. Added 'State abbreviation' column to aid lookup.</v>
      </c>
      <c r="M347" s="1"/>
    </row>
    <row r="348" spans="4:13" x14ac:dyDescent="0.25">
      <c r="D348" s="37" t="s">
        <v>8</v>
      </c>
      <c r="E348" s="37" t="s">
        <v>235</v>
      </c>
      <c r="F348" s="37" t="s">
        <v>236</v>
      </c>
      <c r="G348" s="37" t="s">
        <v>193</v>
      </c>
      <c r="H348" s="37" t="s">
        <v>194</v>
      </c>
      <c r="I348" s="37" t="s">
        <v>237</v>
      </c>
      <c r="J348" s="37" t="s">
        <v>197</v>
      </c>
      <c r="K348" s="37" t="s">
        <v>226</v>
      </c>
      <c r="L348" s="37" t="s">
        <v>238</v>
      </c>
      <c r="M348" s="1"/>
    </row>
    <row r="349" spans="4:13" x14ac:dyDescent="0.25">
      <c r="D349" s="37" t="str" cm="1">
        <f t="array" ref="D349">Common_InputFunctions.Utility_DisplayArrayInTable(SourceData_PastureBeef.SourceData_PastureBeef_StandardReferenceWeights_Data(), Table_SourceData_PastureBeef_StandardReferenceWeights[[#Headers],[State]], 0)</f>
        <v>ACT</v>
      </c>
      <c r="E349" s="37" cm="1">
        <f t="array" ref="E349">Common_InputFunctions.Utility_DisplayArrayInTable(SourceData_PastureBeef.SourceData_PastureBeef_StandardReferenceWeights_Data(), Table_SourceData_PastureBeef_StandardReferenceWeights[[#Headers],[State]], 0)</f>
        <v>700</v>
      </c>
      <c r="F349" s="37" cm="1">
        <f t="array" ref="F349">Common_InputFunctions.Utility_DisplayArrayInTable(SourceData_PastureBeef.SourceData_PastureBeef_StandardReferenceWeights_Data(), Table_SourceData_PastureBeef_StandardReferenceWeights[[#Headers],[State]], 0)</f>
        <v>700</v>
      </c>
      <c r="G349" s="37" cm="1">
        <f t="array" ref="G349">Common_InputFunctions.Utility_DisplayArrayInTable(SourceData_PastureBeef.SourceData_PastureBeef_StandardReferenceWeights_Data(), Table_SourceData_PastureBeef_StandardReferenceWeights[[#Headers],[State]], 0)</f>
        <v>500</v>
      </c>
      <c r="H349" s="37" cm="1">
        <f t="array" ref="H349">Common_InputFunctions.Utility_DisplayArrayInTable(SourceData_PastureBeef.SourceData_PastureBeef_StandardReferenceWeights_Data(), Table_SourceData_PastureBeef_StandardReferenceWeights[[#Headers],[State]], 0)</f>
        <v>500</v>
      </c>
      <c r="I349" s="37" cm="1">
        <f t="array" ref="I349">Common_InputFunctions.Utility_DisplayArrayInTable(SourceData_PastureBeef.SourceData_PastureBeef_StandardReferenceWeights_Data(), Table_SourceData_PastureBeef_StandardReferenceWeights[[#Headers],[State]], 0)</f>
        <v>500</v>
      </c>
      <c r="J349" s="37" cm="1">
        <f t="array" ref="J349">Common_InputFunctions.Utility_DisplayArrayInTable(SourceData_PastureBeef.SourceData_PastureBeef_StandardReferenceWeights_Data(), Table_SourceData_PastureBeef_StandardReferenceWeights[[#Headers],[State]], 0)</f>
        <v>600</v>
      </c>
      <c r="K349" s="37" cm="1">
        <f t="array" ref="K349">Common_InputFunctions.Utility_DisplayArrayInTable(SourceData_PastureBeef.SourceData_PastureBeef_StandardReferenceWeights_Data(), Table_SourceData_PastureBeef_StandardReferenceWeights[[#Headers],[State]], 0)</f>
        <v>600</v>
      </c>
      <c r="L349" s="37" t="str" cm="1">
        <f t="array" ref="L349">Common_InputFunctions.Utility_DisplayArrayInTable(SourceData_PastureBeef.SourceData_PastureBeef_StandardReferenceWeights_Data(), Table_SourceData_PastureBeef_StandardReferenceWeights[[#Headers],[State]], 0)</f>
        <v>ACT</v>
      </c>
      <c r="M349" s="1"/>
    </row>
    <row r="350" spans="4:13" x14ac:dyDescent="0.25">
      <c r="D350" s="1" t="str" cm="1">
        <f t="array" ref="D350">Common_InputFunctions.Utility_DisplayArrayInTable(SourceData_PastureBeef.SourceData_PastureBeef_StandardReferenceWeights_Data(), Table_SourceData_PastureBeef_StandardReferenceWeights[[#Headers],[State]], 0)</f>
        <v>NSW</v>
      </c>
      <c r="E350" s="37" cm="1">
        <f t="array" ref="E350">Common_InputFunctions.Utility_DisplayArrayInTable(SourceData_PastureBeef.SourceData_PastureBeef_StandardReferenceWeights_Data(), Table_SourceData_PastureBeef_StandardReferenceWeights[[#Headers],[State]], 0)</f>
        <v>700</v>
      </c>
      <c r="F350" s="37" cm="1">
        <f t="array" ref="F350">Common_InputFunctions.Utility_DisplayArrayInTable(SourceData_PastureBeef.SourceData_PastureBeef_StandardReferenceWeights_Data(), Table_SourceData_PastureBeef_StandardReferenceWeights[[#Headers],[State]], 0)</f>
        <v>700</v>
      </c>
      <c r="G350" s="37" cm="1">
        <f t="array" ref="G350">Common_InputFunctions.Utility_DisplayArrayInTable(SourceData_PastureBeef.SourceData_PastureBeef_StandardReferenceWeights_Data(), Table_SourceData_PastureBeef_StandardReferenceWeights[[#Headers],[State]], 0)</f>
        <v>500</v>
      </c>
      <c r="H350" s="37" cm="1">
        <f t="array" ref="H350">Common_InputFunctions.Utility_DisplayArrayInTable(SourceData_PastureBeef.SourceData_PastureBeef_StandardReferenceWeights_Data(), Table_SourceData_PastureBeef_StandardReferenceWeights[[#Headers],[State]], 0)</f>
        <v>500</v>
      </c>
      <c r="I350" s="37" cm="1">
        <f t="array" ref="I350">Common_InputFunctions.Utility_DisplayArrayInTable(SourceData_PastureBeef.SourceData_PastureBeef_StandardReferenceWeights_Data(), Table_SourceData_PastureBeef_StandardReferenceWeights[[#Headers],[State]], 0)</f>
        <v>500</v>
      </c>
      <c r="J350" s="37" cm="1">
        <f t="array" ref="J350">Common_InputFunctions.Utility_DisplayArrayInTable(SourceData_PastureBeef.SourceData_PastureBeef_StandardReferenceWeights_Data(), Table_SourceData_PastureBeef_StandardReferenceWeights[[#Headers],[State]], 0)</f>
        <v>600</v>
      </c>
      <c r="K350" s="37" cm="1">
        <f t="array" ref="K350">Common_InputFunctions.Utility_DisplayArrayInTable(SourceData_PastureBeef.SourceData_PastureBeef_StandardReferenceWeights_Data(), Table_SourceData_PastureBeef_StandardReferenceWeights[[#Headers],[State]], 0)</f>
        <v>600</v>
      </c>
      <c r="L350" s="37" t="str" cm="1">
        <f t="array" ref="L350">Common_InputFunctions.Utility_DisplayArrayInTable(SourceData_PastureBeef.SourceData_PastureBeef_StandardReferenceWeights_Data(), Table_SourceData_PastureBeef_StandardReferenceWeights[[#Headers],[State]], 0)</f>
        <v>NSW</v>
      </c>
      <c r="M350" s="1"/>
    </row>
    <row r="351" spans="4:13" x14ac:dyDescent="0.25">
      <c r="D351" s="1" t="str" cm="1">
        <f t="array" ref="D351">Common_InputFunctions.Utility_DisplayArrayInTable(SourceData_PastureBeef.SourceData_PastureBeef_StandardReferenceWeights_Data(), Table_SourceData_PastureBeef_StandardReferenceWeights[[#Headers],[State]], 0)</f>
        <v>Northern Territory</v>
      </c>
      <c r="E351" s="37" cm="1">
        <f t="array" ref="E351">Common_InputFunctions.Utility_DisplayArrayInTable(SourceData_PastureBeef.SourceData_PastureBeef_StandardReferenceWeights_Data(), Table_SourceData_PastureBeef_StandardReferenceWeights[[#Headers],[State]], 0)</f>
        <v>770</v>
      </c>
      <c r="F351" s="37" cm="1">
        <f t="array" ref="F351">Common_InputFunctions.Utility_DisplayArrayInTable(SourceData_PastureBeef.SourceData_PastureBeef_StandardReferenceWeights_Data(), Table_SourceData_PastureBeef_StandardReferenceWeights[[#Headers],[State]], 0)</f>
        <v>770</v>
      </c>
      <c r="G351" s="37" cm="1">
        <f t="array" ref="G351">Common_InputFunctions.Utility_DisplayArrayInTable(SourceData_PastureBeef.SourceData_PastureBeef_StandardReferenceWeights_Data(), Table_SourceData_PastureBeef_StandardReferenceWeights[[#Headers],[State]], 0)</f>
        <v>550</v>
      </c>
      <c r="H351" s="37" cm="1">
        <f t="array" ref="H351">Common_InputFunctions.Utility_DisplayArrayInTable(SourceData_PastureBeef.SourceData_PastureBeef_StandardReferenceWeights_Data(), Table_SourceData_PastureBeef_StandardReferenceWeights[[#Headers],[State]], 0)</f>
        <v>550</v>
      </c>
      <c r="I351" s="37" cm="1">
        <f t="array" ref="I351">Common_InputFunctions.Utility_DisplayArrayInTable(SourceData_PastureBeef.SourceData_PastureBeef_StandardReferenceWeights_Data(), Table_SourceData_PastureBeef_StandardReferenceWeights[[#Headers],[State]], 0)</f>
        <v>550</v>
      </c>
      <c r="J351" s="37" cm="1">
        <f t="array" ref="J351">Common_InputFunctions.Utility_DisplayArrayInTable(SourceData_PastureBeef.SourceData_PastureBeef_StandardReferenceWeights_Data(), Table_SourceData_PastureBeef_StandardReferenceWeights[[#Headers],[State]], 0)</f>
        <v>660</v>
      </c>
      <c r="K351" s="37" cm="1">
        <f t="array" ref="K351">Common_InputFunctions.Utility_DisplayArrayInTable(SourceData_PastureBeef.SourceData_PastureBeef_StandardReferenceWeights_Data(), Table_SourceData_PastureBeef_StandardReferenceWeights[[#Headers],[State]], 0)</f>
        <v>660</v>
      </c>
      <c r="L351" s="37" t="str" cm="1">
        <f t="array" ref="L351">Common_InputFunctions.Utility_DisplayArrayInTable(SourceData_PastureBeef.SourceData_PastureBeef_StandardReferenceWeights_Data(), Table_SourceData_PastureBeef_StandardReferenceWeights[[#Headers],[State]], 0)</f>
        <v>NT</v>
      </c>
      <c r="M351" s="1"/>
    </row>
    <row r="352" spans="4:13" x14ac:dyDescent="0.25">
      <c r="D352" s="1" t="str" cm="1">
        <f t="array" ref="D352">Common_InputFunctions.Utility_DisplayArrayInTable(SourceData_PastureBeef.SourceData_PastureBeef_StandardReferenceWeights_Data(), Table_SourceData_PastureBeef_StandardReferenceWeights[[#Headers],[State]], 0)</f>
        <v>Queensland</v>
      </c>
      <c r="E352" s="37" cm="1">
        <f t="array" ref="E352">Common_InputFunctions.Utility_DisplayArrayInTable(SourceData_PastureBeef.SourceData_PastureBeef_StandardReferenceWeights_Data(), Table_SourceData_PastureBeef_StandardReferenceWeights[[#Headers],[State]], 0)</f>
        <v>770</v>
      </c>
      <c r="F352" s="37" cm="1">
        <f t="array" ref="F352">Common_InputFunctions.Utility_DisplayArrayInTable(SourceData_PastureBeef.SourceData_PastureBeef_StandardReferenceWeights_Data(), Table_SourceData_PastureBeef_StandardReferenceWeights[[#Headers],[State]], 0)</f>
        <v>770</v>
      </c>
      <c r="G352" s="37" cm="1">
        <f t="array" ref="G352">Common_InputFunctions.Utility_DisplayArrayInTable(SourceData_PastureBeef.SourceData_PastureBeef_StandardReferenceWeights_Data(), Table_SourceData_PastureBeef_StandardReferenceWeights[[#Headers],[State]], 0)</f>
        <v>550</v>
      </c>
      <c r="H352" s="37" cm="1">
        <f t="array" ref="H352">Common_InputFunctions.Utility_DisplayArrayInTable(SourceData_PastureBeef.SourceData_PastureBeef_StandardReferenceWeights_Data(), Table_SourceData_PastureBeef_StandardReferenceWeights[[#Headers],[State]], 0)</f>
        <v>550</v>
      </c>
      <c r="I352" s="37" cm="1">
        <f t="array" ref="I352">Common_InputFunctions.Utility_DisplayArrayInTable(SourceData_PastureBeef.SourceData_PastureBeef_StandardReferenceWeights_Data(), Table_SourceData_PastureBeef_StandardReferenceWeights[[#Headers],[State]], 0)</f>
        <v>550</v>
      </c>
      <c r="J352" s="37" cm="1">
        <f t="array" ref="J352">Common_InputFunctions.Utility_DisplayArrayInTable(SourceData_PastureBeef.SourceData_PastureBeef_StandardReferenceWeights_Data(), Table_SourceData_PastureBeef_StandardReferenceWeights[[#Headers],[State]], 0)</f>
        <v>660</v>
      </c>
      <c r="K352" s="37" cm="1">
        <f t="array" ref="K352">Common_InputFunctions.Utility_DisplayArrayInTable(SourceData_PastureBeef.SourceData_PastureBeef_StandardReferenceWeights_Data(), Table_SourceData_PastureBeef_StandardReferenceWeights[[#Headers],[State]], 0)</f>
        <v>660</v>
      </c>
      <c r="L352" s="37" t="str" cm="1">
        <f t="array" ref="L352">Common_InputFunctions.Utility_DisplayArrayInTable(SourceData_PastureBeef.SourceData_PastureBeef_StandardReferenceWeights_Data(), Table_SourceData_PastureBeef_StandardReferenceWeights[[#Headers],[State]], 0)</f>
        <v>QLD</v>
      </c>
      <c r="M352" s="1"/>
    </row>
    <row r="353" spans="4:15" x14ac:dyDescent="0.25">
      <c r="D353" s="1" t="str" cm="1">
        <f t="array" ref="D353">Common_InputFunctions.Utility_DisplayArrayInTable(SourceData_PastureBeef.SourceData_PastureBeef_StandardReferenceWeights_Data(), Table_SourceData_PastureBeef_StandardReferenceWeights[[#Headers],[State]], 0)</f>
        <v>South Australia</v>
      </c>
      <c r="E353" s="37" cm="1">
        <f t="array" ref="E353">Common_InputFunctions.Utility_DisplayArrayInTable(SourceData_PastureBeef.SourceData_PastureBeef_StandardReferenceWeights_Data(), Table_SourceData_PastureBeef_StandardReferenceWeights[[#Headers],[State]], 0)</f>
        <v>770</v>
      </c>
      <c r="F353" s="37" cm="1">
        <f t="array" ref="F353">Common_InputFunctions.Utility_DisplayArrayInTable(SourceData_PastureBeef.SourceData_PastureBeef_StandardReferenceWeights_Data(), Table_SourceData_PastureBeef_StandardReferenceWeights[[#Headers],[State]], 0)</f>
        <v>770</v>
      </c>
      <c r="G353" s="37" cm="1">
        <f t="array" ref="G353">Common_InputFunctions.Utility_DisplayArrayInTable(SourceData_PastureBeef.SourceData_PastureBeef_StandardReferenceWeights_Data(), Table_SourceData_PastureBeef_StandardReferenceWeights[[#Headers],[State]], 0)</f>
        <v>550</v>
      </c>
      <c r="H353" s="37" cm="1">
        <f t="array" ref="H353">Common_InputFunctions.Utility_DisplayArrayInTable(SourceData_PastureBeef.SourceData_PastureBeef_StandardReferenceWeights_Data(), Table_SourceData_PastureBeef_StandardReferenceWeights[[#Headers],[State]], 0)</f>
        <v>550</v>
      </c>
      <c r="I353" s="37" cm="1">
        <f t="array" ref="I353">Common_InputFunctions.Utility_DisplayArrayInTable(SourceData_PastureBeef.SourceData_PastureBeef_StandardReferenceWeights_Data(), Table_SourceData_PastureBeef_StandardReferenceWeights[[#Headers],[State]], 0)</f>
        <v>550</v>
      </c>
      <c r="J353" s="37" cm="1">
        <f t="array" ref="J353">Common_InputFunctions.Utility_DisplayArrayInTable(SourceData_PastureBeef.SourceData_PastureBeef_StandardReferenceWeights_Data(), Table_SourceData_PastureBeef_StandardReferenceWeights[[#Headers],[State]], 0)</f>
        <v>660</v>
      </c>
      <c r="K353" s="37" cm="1">
        <f t="array" ref="K353">Common_InputFunctions.Utility_DisplayArrayInTable(SourceData_PastureBeef.SourceData_PastureBeef_StandardReferenceWeights_Data(), Table_SourceData_PastureBeef_StandardReferenceWeights[[#Headers],[State]], 0)</f>
        <v>660</v>
      </c>
      <c r="L353" s="37" t="str" cm="1">
        <f t="array" ref="L353">Common_InputFunctions.Utility_DisplayArrayInTable(SourceData_PastureBeef.SourceData_PastureBeef_StandardReferenceWeights_Data(), Table_SourceData_PastureBeef_StandardReferenceWeights[[#Headers],[State]], 0)</f>
        <v>SA</v>
      </c>
      <c r="M353" s="1"/>
    </row>
    <row r="354" spans="4:15" x14ac:dyDescent="0.25">
      <c r="D354" s="1" t="str" cm="1">
        <f t="array" ref="D354">Common_InputFunctions.Utility_DisplayArrayInTable(SourceData_PastureBeef.SourceData_PastureBeef_StandardReferenceWeights_Data(), Table_SourceData_PastureBeef_StandardReferenceWeights[[#Headers],[State]], 0)</f>
        <v>Tasmania</v>
      </c>
      <c r="E354" s="37" cm="1">
        <f t="array" ref="E354">Common_InputFunctions.Utility_DisplayArrayInTable(SourceData_PastureBeef.SourceData_PastureBeef_StandardReferenceWeights_Data(), Table_SourceData_PastureBeef_StandardReferenceWeights[[#Headers],[State]], 0)</f>
        <v>770</v>
      </c>
      <c r="F354" s="37" cm="1">
        <f t="array" ref="F354">Common_InputFunctions.Utility_DisplayArrayInTable(SourceData_PastureBeef.SourceData_PastureBeef_StandardReferenceWeights_Data(), Table_SourceData_PastureBeef_StandardReferenceWeights[[#Headers],[State]], 0)</f>
        <v>770</v>
      </c>
      <c r="G354" s="37" cm="1">
        <f t="array" ref="G354">Common_InputFunctions.Utility_DisplayArrayInTable(SourceData_PastureBeef.SourceData_PastureBeef_StandardReferenceWeights_Data(), Table_SourceData_PastureBeef_StandardReferenceWeights[[#Headers],[State]], 0)</f>
        <v>550</v>
      </c>
      <c r="H354" s="37" cm="1">
        <f t="array" ref="H354">Common_InputFunctions.Utility_DisplayArrayInTable(SourceData_PastureBeef.SourceData_PastureBeef_StandardReferenceWeights_Data(), Table_SourceData_PastureBeef_StandardReferenceWeights[[#Headers],[State]], 0)</f>
        <v>550</v>
      </c>
      <c r="I354" s="37" cm="1">
        <f t="array" ref="I354">Common_InputFunctions.Utility_DisplayArrayInTable(SourceData_PastureBeef.SourceData_PastureBeef_StandardReferenceWeights_Data(), Table_SourceData_PastureBeef_StandardReferenceWeights[[#Headers],[State]], 0)</f>
        <v>550</v>
      </c>
      <c r="J354" s="37" cm="1">
        <f t="array" ref="J354">Common_InputFunctions.Utility_DisplayArrayInTable(SourceData_PastureBeef.SourceData_PastureBeef_StandardReferenceWeights_Data(), Table_SourceData_PastureBeef_StandardReferenceWeights[[#Headers],[State]], 0)</f>
        <v>660</v>
      </c>
      <c r="K354" s="37" cm="1">
        <f t="array" ref="K354">Common_InputFunctions.Utility_DisplayArrayInTable(SourceData_PastureBeef.SourceData_PastureBeef_StandardReferenceWeights_Data(), Table_SourceData_PastureBeef_StandardReferenceWeights[[#Headers],[State]], 0)</f>
        <v>660</v>
      </c>
      <c r="L354" s="37" t="str" cm="1">
        <f t="array" ref="L354">Common_InputFunctions.Utility_DisplayArrayInTable(SourceData_PastureBeef.SourceData_PastureBeef_StandardReferenceWeights_Data(), Table_SourceData_PastureBeef_StandardReferenceWeights[[#Headers],[State]], 0)</f>
        <v>TAS</v>
      </c>
      <c r="M354" s="1"/>
    </row>
    <row r="355" spans="4:15" x14ac:dyDescent="0.25">
      <c r="D355" s="1" t="str" cm="1">
        <f t="array" ref="D355">Common_InputFunctions.Utility_DisplayArrayInTable(SourceData_PastureBeef.SourceData_PastureBeef_StandardReferenceWeights_Data(), Table_SourceData_PastureBeef_StandardReferenceWeights[[#Headers],[State]], 0)</f>
        <v>Victoria</v>
      </c>
      <c r="E355" s="37" cm="1">
        <f t="array" ref="E355">Common_InputFunctions.Utility_DisplayArrayInTable(SourceData_PastureBeef.SourceData_PastureBeef_StandardReferenceWeights_Data(), Table_SourceData_PastureBeef_StandardReferenceWeights[[#Headers],[State]], 0)</f>
        <v>770</v>
      </c>
      <c r="F355" s="37" cm="1">
        <f t="array" ref="F355">Common_InputFunctions.Utility_DisplayArrayInTable(SourceData_PastureBeef.SourceData_PastureBeef_StandardReferenceWeights_Data(), Table_SourceData_PastureBeef_StandardReferenceWeights[[#Headers],[State]], 0)</f>
        <v>770</v>
      </c>
      <c r="G355" s="37" cm="1">
        <f t="array" ref="G355">Common_InputFunctions.Utility_DisplayArrayInTable(SourceData_PastureBeef.SourceData_PastureBeef_StandardReferenceWeights_Data(), Table_SourceData_PastureBeef_StandardReferenceWeights[[#Headers],[State]], 0)</f>
        <v>550</v>
      </c>
      <c r="H355" s="37" cm="1">
        <f t="array" ref="H355">Common_InputFunctions.Utility_DisplayArrayInTable(SourceData_PastureBeef.SourceData_PastureBeef_StandardReferenceWeights_Data(), Table_SourceData_PastureBeef_StandardReferenceWeights[[#Headers],[State]], 0)</f>
        <v>550</v>
      </c>
      <c r="I355" s="37" cm="1">
        <f t="array" ref="I355">Common_InputFunctions.Utility_DisplayArrayInTable(SourceData_PastureBeef.SourceData_PastureBeef_StandardReferenceWeights_Data(), Table_SourceData_PastureBeef_StandardReferenceWeights[[#Headers],[State]], 0)</f>
        <v>550</v>
      </c>
      <c r="J355" s="37" cm="1">
        <f t="array" ref="J355">Common_InputFunctions.Utility_DisplayArrayInTable(SourceData_PastureBeef.SourceData_PastureBeef_StandardReferenceWeights_Data(), Table_SourceData_PastureBeef_StandardReferenceWeights[[#Headers],[State]], 0)</f>
        <v>660</v>
      </c>
      <c r="K355" s="37" cm="1">
        <f t="array" ref="K355">Common_InputFunctions.Utility_DisplayArrayInTable(SourceData_PastureBeef.SourceData_PastureBeef_StandardReferenceWeights_Data(), Table_SourceData_PastureBeef_StandardReferenceWeights[[#Headers],[State]], 0)</f>
        <v>660</v>
      </c>
      <c r="L355" s="37" t="str" cm="1">
        <f t="array" ref="L355">Common_InputFunctions.Utility_DisplayArrayInTable(SourceData_PastureBeef.SourceData_PastureBeef_StandardReferenceWeights_Data(), Table_SourceData_PastureBeef_StandardReferenceWeights[[#Headers],[State]], 0)</f>
        <v>VIC</v>
      </c>
      <c r="M355" s="1"/>
    </row>
    <row r="356" spans="4:15" x14ac:dyDescent="0.25">
      <c r="D356" s="1" t="str" cm="1">
        <f t="array" ref="D356">Common_InputFunctions.Utility_DisplayArrayInTable(SourceData_PastureBeef.SourceData_PastureBeef_StandardReferenceWeights_Data(), Table_SourceData_PastureBeef_StandardReferenceWeights[[#Headers],[State]], 0)</f>
        <v>Western Australia</v>
      </c>
      <c r="E356" s="37" cm="1">
        <f t="array" ref="E356">Common_InputFunctions.Utility_DisplayArrayInTable(SourceData_PastureBeef.SourceData_PastureBeef_StandardReferenceWeights_Data(), Table_SourceData_PastureBeef_StandardReferenceWeights[[#Headers],[State]], 0)</f>
        <v>770</v>
      </c>
      <c r="F356" s="37" cm="1">
        <f t="array" ref="F356">Common_InputFunctions.Utility_DisplayArrayInTable(SourceData_PastureBeef.SourceData_PastureBeef_StandardReferenceWeights_Data(), Table_SourceData_PastureBeef_StandardReferenceWeights[[#Headers],[State]], 0)</f>
        <v>770</v>
      </c>
      <c r="G356" s="37" cm="1">
        <f t="array" ref="G356">Common_InputFunctions.Utility_DisplayArrayInTable(SourceData_PastureBeef.SourceData_PastureBeef_StandardReferenceWeights_Data(), Table_SourceData_PastureBeef_StandardReferenceWeights[[#Headers],[State]], 0)</f>
        <v>550</v>
      </c>
      <c r="H356" s="37" cm="1">
        <f t="array" ref="H356">Common_InputFunctions.Utility_DisplayArrayInTable(SourceData_PastureBeef.SourceData_PastureBeef_StandardReferenceWeights_Data(), Table_SourceData_PastureBeef_StandardReferenceWeights[[#Headers],[State]], 0)</f>
        <v>550</v>
      </c>
      <c r="I356" s="37" cm="1">
        <f t="array" ref="I356">Common_InputFunctions.Utility_DisplayArrayInTable(SourceData_PastureBeef.SourceData_PastureBeef_StandardReferenceWeights_Data(), Table_SourceData_PastureBeef_StandardReferenceWeights[[#Headers],[State]], 0)</f>
        <v>550</v>
      </c>
      <c r="J356" s="37" cm="1">
        <f t="array" ref="J356">Common_InputFunctions.Utility_DisplayArrayInTable(SourceData_PastureBeef.SourceData_PastureBeef_StandardReferenceWeights_Data(), Table_SourceData_PastureBeef_StandardReferenceWeights[[#Headers],[State]], 0)</f>
        <v>660</v>
      </c>
      <c r="K356" s="37" cm="1">
        <f t="array" ref="K356">Common_InputFunctions.Utility_DisplayArrayInTable(SourceData_PastureBeef.SourceData_PastureBeef_StandardReferenceWeights_Data(), Table_SourceData_PastureBeef_StandardReferenceWeights[[#Headers],[State]], 0)</f>
        <v>660</v>
      </c>
      <c r="L356" s="37" t="str" cm="1">
        <f t="array" ref="L356">Common_InputFunctions.Utility_DisplayArrayInTable(SourceData_PastureBeef.SourceData_PastureBeef_StandardReferenceWeights_Data(), Table_SourceData_PastureBeef_StandardReferenceWeights[[#Headers],[State]], 0)</f>
        <v>WA</v>
      </c>
      <c r="M356" s="1"/>
    </row>
    <row r="357" spans="4:15" x14ac:dyDescent="0.25">
      <c r="M357" s="1"/>
    </row>
    <row r="358" spans="4:15" x14ac:dyDescent="0.25">
      <c r="M358" s="1"/>
    </row>
    <row r="359" spans="4:15" x14ac:dyDescent="0.25">
      <c r="D359" s="37" t="s">
        <v>8</v>
      </c>
      <c r="E359" s="118" t="s">
        <v>131</v>
      </c>
      <c r="F359" s="118" t="s">
        <v>130</v>
      </c>
      <c r="G359" s="118" t="s">
        <v>165</v>
      </c>
      <c r="H359" s="118" t="s">
        <v>166</v>
      </c>
      <c r="I359" s="118" t="s">
        <v>167</v>
      </c>
      <c r="J359" s="118" t="s">
        <v>168</v>
      </c>
      <c r="K359" s="118" t="s">
        <v>169</v>
      </c>
      <c r="L359" s="118" t="s">
        <v>170</v>
      </c>
      <c r="M359" s="118" t="s">
        <v>171</v>
      </c>
      <c r="N359" s="118" t="s">
        <v>172</v>
      </c>
      <c r="O359" s="37" t="s">
        <v>238</v>
      </c>
    </row>
    <row r="360" spans="4:15" x14ac:dyDescent="0.25">
      <c r="D360" s="37" t="str">
        <f>D349</f>
        <v>ACT</v>
      </c>
      <c r="E360" s="37">
        <f t="shared" ref="E360:H360" si="133">E349</f>
        <v>700</v>
      </c>
      <c r="F360" s="37">
        <f t="shared" si="133"/>
        <v>700</v>
      </c>
      <c r="G360" s="37">
        <f t="shared" si="133"/>
        <v>500</v>
      </c>
      <c r="H360" s="37">
        <f t="shared" si="133"/>
        <v>500</v>
      </c>
      <c r="I360" s="37">
        <f>I349</f>
        <v>500</v>
      </c>
      <c r="J360" s="37">
        <f>I349</f>
        <v>500</v>
      </c>
      <c r="K360" s="37">
        <f t="shared" ref="K360" si="134">J349</f>
        <v>600</v>
      </c>
      <c r="L360" s="37">
        <f>K349</f>
        <v>600</v>
      </c>
      <c r="M360" s="37">
        <f>K349</f>
        <v>600</v>
      </c>
      <c r="N360" s="37">
        <f>K349</f>
        <v>600</v>
      </c>
      <c r="O360" s="37" t="str">
        <f>L349</f>
        <v>ACT</v>
      </c>
    </row>
    <row r="361" spans="4:15" x14ac:dyDescent="0.25">
      <c r="D361" s="37" t="str">
        <f t="shared" ref="D361:I361" si="135">D350</f>
        <v>NSW</v>
      </c>
      <c r="E361" s="37">
        <f t="shared" si="135"/>
        <v>700</v>
      </c>
      <c r="F361" s="37">
        <f t="shared" si="135"/>
        <v>700</v>
      </c>
      <c r="G361" s="37">
        <f t="shared" si="135"/>
        <v>500</v>
      </c>
      <c r="H361" s="37">
        <f t="shared" si="135"/>
        <v>500</v>
      </c>
      <c r="I361" s="37">
        <f t="shared" si="135"/>
        <v>500</v>
      </c>
      <c r="J361" s="37">
        <f t="shared" ref="J361:L361" si="136">I350</f>
        <v>500</v>
      </c>
      <c r="K361" s="37">
        <f t="shared" si="136"/>
        <v>600</v>
      </c>
      <c r="L361" s="37">
        <f t="shared" si="136"/>
        <v>600</v>
      </c>
      <c r="M361" s="37">
        <f t="shared" ref="M361:M367" si="137">K350</f>
        <v>600</v>
      </c>
      <c r="N361" s="37">
        <f t="shared" ref="N361:N367" si="138">K350</f>
        <v>600</v>
      </c>
      <c r="O361" s="37" t="str">
        <f t="shared" ref="O361:O367" si="139">L350</f>
        <v>NSW</v>
      </c>
    </row>
    <row r="362" spans="4:15" x14ac:dyDescent="0.25">
      <c r="D362" s="37" t="str">
        <f t="shared" ref="D362:I362" si="140">D351</f>
        <v>Northern Territory</v>
      </c>
      <c r="E362" s="37">
        <f t="shared" si="140"/>
        <v>770</v>
      </c>
      <c r="F362" s="37">
        <f t="shared" si="140"/>
        <v>770</v>
      </c>
      <c r="G362" s="37">
        <f t="shared" si="140"/>
        <v>550</v>
      </c>
      <c r="H362" s="37">
        <f t="shared" si="140"/>
        <v>550</v>
      </c>
      <c r="I362" s="37">
        <f t="shared" si="140"/>
        <v>550</v>
      </c>
      <c r="J362" s="37">
        <f t="shared" ref="J362:L362" si="141">I351</f>
        <v>550</v>
      </c>
      <c r="K362" s="37">
        <f t="shared" si="141"/>
        <v>660</v>
      </c>
      <c r="L362" s="37">
        <f t="shared" si="141"/>
        <v>660</v>
      </c>
      <c r="M362" s="37">
        <f t="shared" si="137"/>
        <v>660</v>
      </c>
      <c r="N362" s="37">
        <f t="shared" si="138"/>
        <v>660</v>
      </c>
      <c r="O362" s="37" t="str">
        <f t="shared" si="139"/>
        <v>NT</v>
      </c>
    </row>
    <row r="363" spans="4:15" x14ac:dyDescent="0.25">
      <c r="D363" s="37" t="str">
        <f t="shared" ref="D363:I363" si="142">D352</f>
        <v>Queensland</v>
      </c>
      <c r="E363" s="37">
        <f t="shared" si="142"/>
        <v>770</v>
      </c>
      <c r="F363" s="37">
        <f t="shared" si="142"/>
        <v>770</v>
      </c>
      <c r="G363" s="37">
        <f t="shared" si="142"/>
        <v>550</v>
      </c>
      <c r="H363" s="37">
        <f t="shared" si="142"/>
        <v>550</v>
      </c>
      <c r="I363" s="37">
        <f t="shared" si="142"/>
        <v>550</v>
      </c>
      <c r="J363" s="37">
        <f t="shared" ref="J363:L363" si="143">I352</f>
        <v>550</v>
      </c>
      <c r="K363" s="37">
        <f t="shared" si="143"/>
        <v>660</v>
      </c>
      <c r="L363" s="37">
        <f t="shared" si="143"/>
        <v>660</v>
      </c>
      <c r="M363" s="37">
        <f t="shared" si="137"/>
        <v>660</v>
      </c>
      <c r="N363" s="37">
        <f t="shared" si="138"/>
        <v>660</v>
      </c>
      <c r="O363" s="37" t="str">
        <f t="shared" si="139"/>
        <v>QLD</v>
      </c>
    </row>
    <row r="364" spans="4:15" x14ac:dyDescent="0.25">
      <c r="D364" s="37" t="str">
        <f t="shared" ref="D364:I364" si="144">D353</f>
        <v>South Australia</v>
      </c>
      <c r="E364" s="37">
        <f t="shared" si="144"/>
        <v>770</v>
      </c>
      <c r="F364" s="37">
        <f t="shared" si="144"/>
        <v>770</v>
      </c>
      <c r="G364" s="37">
        <f t="shared" si="144"/>
        <v>550</v>
      </c>
      <c r="H364" s="37">
        <f t="shared" si="144"/>
        <v>550</v>
      </c>
      <c r="I364" s="37">
        <f t="shared" si="144"/>
        <v>550</v>
      </c>
      <c r="J364" s="37">
        <f t="shared" ref="J364:L364" si="145">I353</f>
        <v>550</v>
      </c>
      <c r="K364" s="37">
        <f t="shared" si="145"/>
        <v>660</v>
      </c>
      <c r="L364" s="37">
        <f t="shared" si="145"/>
        <v>660</v>
      </c>
      <c r="M364" s="37">
        <f t="shared" si="137"/>
        <v>660</v>
      </c>
      <c r="N364" s="37">
        <f t="shared" si="138"/>
        <v>660</v>
      </c>
      <c r="O364" s="37" t="str">
        <f t="shared" si="139"/>
        <v>SA</v>
      </c>
    </row>
    <row r="365" spans="4:15" x14ac:dyDescent="0.25">
      <c r="D365" s="37" t="str">
        <f t="shared" ref="D365:I365" si="146">D354</f>
        <v>Tasmania</v>
      </c>
      <c r="E365" s="37">
        <f t="shared" si="146"/>
        <v>770</v>
      </c>
      <c r="F365" s="37">
        <f t="shared" si="146"/>
        <v>770</v>
      </c>
      <c r="G365" s="37">
        <f t="shared" si="146"/>
        <v>550</v>
      </c>
      <c r="H365" s="37">
        <f t="shared" si="146"/>
        <v>550</v>
      </c>
      <c r="I365" s="37">
        <f t="shared" si="146"/>
        <v>550</v>
      </c>
      <c r="J365" s="37">
        <f t="shared" ref="J365:L365" si="147">I354</f>
        <v>550</v>
      </c>
      <c r="K365" s="37">
        <f t="shared" si="147"/>
        <v>660</v>
      </c>
      <c r="L365" s="37">
        <f t="shared" si="147"/>
        <v>660</v>
      </c>
      <c r="M365" s="37">
        <f t="shared" si="137"/>
        <v>660</v>
      </c>
      <c r="N365" s="37">
        <f t="shared" si="138"/>
        <v>660</v>
      </c>
      <c r="O365" s="37" t="str">
        <f t="shared" si="139"/>
        <v>TAS</v>
      </c>
    </row>
    <row r="366" spans="4:15" x14ac:dyDescent="0.25">
      <c r="D366" s="37" t="str">
        <f t="shared" ref="D366:I366" si="148">D355</f>
        <v>Victoria</v>
      </c>
      <c r="E366" s="37">
        <f t="shared" si="148"/>
        <v>770</v>
      </c>
      <c r="F366" s="37">
        <f t="shared" si="148"/>
        <v>770</v>
      </c>
      <c r="G366" s="37">
        <f t="shared" si="148"/>
        <v>550</v>
      </c>
      <c r="H366" s="37">
        <f t="shared" si="148"/>
        <v>550</v>
      </c>
      <c r="I366" s="37">
        <f t="shared" si="148"/>
        <v>550</v>
      </c>
      <c r="J366" s="37">
        <f t="shared" ref="J366:L366" si="149">I355</f>
        <v>550</v>
      </c>
      <c r="K366" s="37">
        <f t="shared" si="149"/>
        <v>660</v>
      </c>
      <c r="L366" s="37">
        <f t="shared" si="149"/>
        <v>660</v>
      </c>
      <c r="M366" s="37">
        <f t="shared" si="137"/>
        <v>660</v>
      </c>
      <c r="N366" s="37">
        <f t="shared" si="138"/>
        <v>660</v>
      </c>
      <c r="O366" s="37" t="str">
        <f t="shared" si="139"/>
        <v>VIC</v>
      </c>
    </row>
    <row r="367" spans="4:15" x14ac:dyDescent="0.25">
      <c r="D367" s="37" t="str">
        <f t="shared" ref="D367:I367" si="150">D356</f>
        <v>Western Australia</v>
      </c>
      <c r="E367" s="37">
        <f t="shared" si="150"/>
        <v>770</v>
      </c>
      <c r="F367" s="37">
        <f t="shared" si="150"/>
        <v>770</v>
      </c>
      <c r="G367" s="37">
        <f t="shared" si="150"/>
        <v>550</v>
      </c>
      <c r="H367" s="37">
        <f t="shared" si="150"/>
        <v>550</v>
      </c>
      <c r="I367" s="37">
        <f t="shared" si="150"/>
        <v>550</v>
      </c>
      <c r="J367" s="37">
        <f t="shared" ref="J367:L367" si="151">I356</f>
        <v>550</v>
      </c>
      <c r="K367" s="37">
        <f t="shared" si="151"/>
        <v>660</v>
      </c>
      <c r="L367" s="37">
        <f t="shared" si="151"/>
        <v>660</v>
      </c>
      <c r="M367" s="37">
        <f t="shared" si="137"/>
        <v>660</v>
      </c>
      <c r="N367" s="37">
        <f t="shared" si="138"/>
        <v>660</v>
      </c>
      <c r="O367" s="37" t="str">
        <f t="shared" si="139"/>
        <v>WA</v>
      </c>
    </row>
    <row r="368" spans="4:15" x14ac:dyDescent="0.25">
      <c r="M368" s="1"/>
    </row>
    <row r="369" spans="4:13" x14ac:dyDescent="0.25">
      <c r="M369" s="1"/>
    </row>
    <row r="370" spans="4:13" ht="23.25" x14ac:dyDescent="0.25">
      <c r="D370" s="6" t="str" cm="1">
        <f t="array" ref="D370">SourceData_PastureBeef.SourceData_PastureBeef_FractionOfManureToMMS_Title()</f>
        <v>Beef pasture cattle - Fraction of manure to each manure management system (fraction) (MMSm)</v>
      </c>
      <c r="M370" s="1"/>
    </row>
    <row r="371" spans="4:13" x14ac:dyDescent="0.25">
      <c r="D371" s="5" t="str" cm="1">
        <f t="array" ref="D371">SourceData_PastureBeef.SourceData_PastureBeef_FractionOfManureToMMS_Source()</f>
        <v>VEERG 2026: Table A.1.2.9</v>
      </c>
      <c r="M371" s="1"/>
    </row>
    <row r="372" spans="4:13" x14ac:dyDescent="0.25">
      <c r="D372" s="1" t="str" cm="1">
        <f t="array" ref="D372">SourceData_PastureBeef.SourceData_PastureBeef_FractionOfManureToMMS_Variable()</f>
        <v>MMSm</v>
      </c>
      <c r="M372" s="1"/>
    </row>
    <row r="373" spans="4:13" x14ac:dyDescent="0.25">
      <c r="D373" s="54" t="str" cm="1">
        <f t="array" ref="D373">SourceData_PastureBeef.SourceData_PastureBeef_FractionOfManureToMMS_Unit()</f>
        <v>fraction</v>
      </c>
      <c r="E373" s="107" t="s">
        <v>273</v>
      </c>
      <c r="M373" s="1"/>
    </row>
    <row r="374" spans="4:13" x14ac:dyDescent="0.25">
      <c r="D374" s="55" t="str" cm="1">
        <f t="array" ref="D374">SourceData_PastureBeef.SourceData_PastureBeef_FractionOfManureToMMS_Variation()</f>
        <v>VARIATION ON SOURCE: Removed comma from 'Pasture range and paddock' to aid lookup</v>
      </c>
      <c r="M374" s="1"/>
    </row>
    <row r="375" spans="4:13" x14ac:dyDescent="0.25">
      <c r="D375" s="37" t="s">
        <v>8</v>
      </c>
      <c r="E375" s="37" t="s">
        <v>183</v>
      </c>
      <c r="F375" s="37" t="s">
        <v>138</v>
      </c>
      <c r="G375" s="37" t="s">
        <v>239</v>
      </c>
      <c r="M375" s="1"/>
    </row>
    <row r="376" spans="4:13" x14ac:dyDescent="0.25">
      <c r="D376" s="37" t="str" cm="1">
        <f t="array" ref="D376">Common_InputFunctions.Utility_DisplayArrayInTable(SourceData_PastureBeef.SourceData_PastureBeef_FractionOfManureToMMS_Data(),Table_SourceData_PastureBeef_FractionManureToMMS[[#Headers],[State]], 0)</f>
        <v>ACT</v>
      </c>
      <c r="E376" s="37" t="str" cm="1">
        <f t="array" ref="E376">Common_InputFunctions.Utility_DisplayArrayInTable(SourceData_PastureBeef.SourceData_PastureBeef_FractionOfManureToMMS_Data(),Table_SourceData_PastureBeef_FractionManureToMMS[[#Headers],[State]], 0)</f>
        <v>n/a</v>
      </c>
      <c r="F376" s="37" cm="1">
        <f t="array" ref="F376">Common_InputFunctions.Utility_DisplayArrayInTable(SourceData_PastureBeef.SourceData_PastureBeef_FractionOfManureToMMS_Data(),Table_SourceData_PastureBeef_FractionManureToMMS[[#Headers],[State]], 0)</f>
        <v>99.191999999999993</v>
      </c>
      <c r="G376" s="37" cm="1">
        <f t="array" ref="G376">Common_InputFunctions.Utility_DisplayArrayInTable(SourceData_PastureBeef.SourceData_PastureBeef_FractionOfManureToMMS_Data(),Table_SourceData_PastureBeef_FractionManureToMMS[[#Headers],[State]], 0)</f>
        <v>0.80800000000000005</v>
      </c>
      <c r="M376" s="1"/>
    </row>
    <row r="377" spans="4:13" x14ac:dyDescent="0.25">
      <c r="D377" s="1" t="str" cm="1">
        <f t="array" ref="D377">Common_InputFunctions.Utility_DisplayArrayInTable(SourceData_PastureBeef.SourceData_PastureBeef_FractionOfManureToMMS_Data(),Table_SourceData_PastureBeef_FractionManureToMMS[[#Headers],[State]], 0)</f>
        <v>NSW</v>
      </c>
      <c r="E377" s="37" t="str" cm="1">
        <f t="array" ref="E377">Common_InputFunctions.Utility_DisplayArrayInTable(SourceData_PastureBeef.SourceData_PastureBeef_FractionOfManureToMMS_Data(),Table_SourceData_PastureBeef_FractionManureToMMS[[#Headers],[State]], 0)</f>
        <v>n/a</v>
      </c>
      <c r="F377" s="37" cm="1">
        <f t="array" ref="F377">Common_InputFunctions.Utility_DisplayArrayInTable(SourceData_PastureBeef.SourceData_PastureBeef_FractionOfManureToMMS_Data(),Table_SourceData_PastureBeef_FractionManureToMMS[[#Headers],[State]], 0)</f>
        <v>99.451999999999998</v>
      </c>
      <c r="G377" s="37" cm="1">
        <f t="array" ref="G377">Common_InputFunctions.Utility_DisplayArrayInTable(SourceData_PastureBeef.SourceData_PastureBeef_FractionOfManureToMMS_Data(),Table_SourceData_PastureBeef_FractionManureToMMS[[#Headers],[State]], 0)</f>
        <v>0.54800000000000004</v>
      </c>
      <c r="M377" s="1"/>
    </row>
    <row r="378" spans="4:13" x14ac:dyDescent="0.25">
      <c r="D378" s="1" t="str" cm="1">
        <f t="array" ref="D378">Common_InputFunctions.Utility_DisplayArrayInTable(SourceData_PastureBeef.SourceData_PastureBeef_FractionOfManureToMMS_Data(),Table_SourceData_PastureBeef_FractionManureToMMS[[#Headers],[State]], 0)</f>
        <v>SA</v>
      </c>
      <c r="E378" s="37" t="str" cm="1">
        <f t="array" ref="E378">Common_InputFunctions.Utility_DisplayArrayInTable(SourceData_PastureBeef.SourceData_PastureBeef_FractionOfManureToMMS_Data(),Table_SourceData_PastureBeef_FractionManureToMMS[[#Headers],[State]], 0)</f>
        <v>n/a</v>
      </c>
      <c r="F378" s="37" cm="1">
        <f t="array" ref="F378">Common_InputFunctions.Utility_DisplayArrayInTable(SourceData_PastureBeef.SourceData_PastureBeef_FractionOfManureToMMS_Data(),Table_SourceData_PastureBeef_FractionManureToMMS[[#Headers],[State]], 0)</f>
        <v>99.759</v>
      </c>
      <c r="G378" s="37" cm="1">
        <f t="array" ref="G378">Common_InputFunctions.Utility_DisplayArrayInTable(SourceData_PastureBeef.SourceData_PastureBeef_FractionOfManureToMMS_Data(),Table_SourceData_PastureBeef_FractionManureToMMS[[#Headers],[State]], 0)</f>
        <v>0.24099999999999999</v>
      </c>
      <c r="M378" s="1"/>
    </row>
    <row r="379" spans="4:13" x14ac:dyDescent="0.25">
      <c r="D379" s="1" t="str" cm="1">
        <f t="array" ref="D379">Common_InputFunctions.Utility_DisplayArrayInTable(SourceData_PastureBeef.SourceData_PastureBeef_FractionOfManureToMMS_Data(),Table_SourceData_PastureBeef_FractionManureToMMS[[#Headers],[State]], 0)</f>
        <v>TAS</v>
      </c>
      <c r="E379" s="37" t="str" cm="1">
        <f t="array" ref="E379">Common_InputFunctions.Utility_DisplayArrayInTable(SourceData_PastureBeef.SourceData_PastureBeef_FractionOfManureToMMS_Data(),Table_SourceData_PastureBeef_FractionManureToMMS[[#Headers],[State]], 0)</f>
        <v>n/a</v>
      </c>
      <c r="F379" s="37" cm="1">
        <f t="array" ref="F379">Common_InputFunctions.Utility_DisplayArrayInTable(SourceData_PastureBeef.SourceData_PastureBeef_FractionOfManureToMMS_Data(),Table_SourceData_PastureBeef_FractionManureToMMS[[#Headers],[State]], 0)</f>
        <v>99.122</v>
      </c>
      <c r="G379" s="37" cm="1">
        <f t="array" ref="G379">Common_InputFunctions.Utility_DisplayArrayInTable(SourceData_PastureBeef.SourceData_PastureBeef_FractionOfManureToMMS_Data(),Table_SourceData_PastureBeef_FractionManureToMMS[[#Headers],[State]], 0)</f>
        <v>0.878</v>
      </c>
      <c r="M379" s="1"/>
    </row>
    <row r="380" spans="4:13" x14ac:dyDescent="0.25">
      <c r="D380" s="1" t="str" cm="1">
        <f t="array" ref="D380">Common_InputFunctions.Utility_DisplayArrayInTable(SourceData_PastureBeef.SourceData_PastureBeef_FractionOfManureToMMS_Data(),Table_SourceData_PastureBeef_FractionManureToMMS[[#Headers],[State]], 0)</f>
        <v>VIC</v>
      </c>
      <c r="E380" s="37" t="str" cm="1">
        <f t="array" ref="E380">Common_InputFunctions.Utility_DisplayArrayInTable(SourceData_PastureBeef.SourceData_PastureBeef_FractionOfManureToMMS_Data(),Table_SourceData_PastureBeef_FractionManureToMMS[[#Headers],[State]], 0)</f>
        <v>n/a</v>
      </c>
      <c r="F380" s="37" cm="1">
        <f t="array" ref="F380">Common_InputFunctions.Utility_DisplayArrayInTable(SourceData_PastureBeef.SourceData_PastureBeef_FractionOfManureToMMS_Data(),Table_SourceData_PastureBeef_FractionManureToMMS[[#Headers],[State]], 0)</f>
        <v>98.894000000000005</v>
      </c>
      <c r="G380" s="37" cm="1">
        <f t="array" ref="G380">Common_InputFunctions.Utility_DisplayArrayInTable(SourceData_PastureBeef.SourceData_PastureBeef_FractionOfManureToMMS_Data(),Table_SourceData_PastureBeef_FractionManureToMMS[[#Headers],[State]], 0)</f>
        <v>1.1060000000000001</v>
      </c>
      <c r="M380" s="1"/>
    </row>
    <row r="381" spans="4:13" x14ac:dyDescent="0.25">
      <c r="D381" s="1" t="str" cm="1">
        <f t="array" ref="D381">Common_InputFunctions.Utility_DisplayArrayInTable(SourceData_PastureBeef.SourceData_PastureBeef_FractionOfManureToMMS_Data(),Table_SourceData_PastureBeef_FractionManureToMMS[[#Headers],[State]], 0)</f>
        <v>WA</v>
      </c>
      <c r="E381" s="37" t="str" cm="1">
        <f t="array" ref="E381">Common_InputFunctions.Utility_DisplayArrayInTable(SourceData_PastureBeef.SourceData_PastureBeef_FractionOfManureToMMS_Data(),Table_SourceData_PastureBeef_FractionManureToMMS[[#Headers],[State]], 0)</f>
        <v>South West</v>
      </c>
      <c r="F381" s="37" cm="1">
        <f t="array" ref="F381">Common_InputFunctions.Utility_DisplayArrayInTable(SourceData_PastureBeef.SourceData_PastureBeef_FractionOfManureToMMS_Data(),Table_SourceData_PastureBeef_FractionManureToMMS[[#Headers],[State]], 0)</f>
        <v>99.622</v>
      </c>
      <c r="G381" s="37" cm="1">
        <f t="array" ref="G381">Common_InputFunctions.Utility_DisplayArrayInTable(SourceData_PastureBeef.SourceData_PastureBeef_FractionOfManureToMMS_Data(),Table_SourceData_PastureBeef_FractionManureToMMS[[#Headers],[State]], 0)</f>
        <v>0.378</v>
      </c>
      <c r="M381" s="1"/>
    </row>
    <row r="382" spans="4:13" x14ac:dyDescent="0.25">
      <c r="D382" s="1" t="str" cm="1">
        <f t="array" ref="D382">Common_InputFunctions.Utility_DisplayArrayInTable(SourceData_PastureBeef.SourceData_PastureBeef_FractionOfManureToMMS_Data(),Table_SourceData_PastureBeef_FractionManureToMMS[[#Headers],[State]], 0)</f>
        <v>WA</v>
      </c>
      <c r="E382" s="37" t="str" cm="1">
        <f t="array" ref="E382">Common_InputFunctions.Utility_DisplayArrayInTable(SourceData_PastureBeef.SourceData_PastureBeef_FractionOfManureToMMS_Data(),Table_SourceData_PastureBeef_FractionManureToMMS[[#Headers],[State]], 0)</f>
        <v>Pilbara</v>
      </c>
      <c r="F382" s="37" cm="1">
        <f t="array" ref="F382">Common_InputFunctions.Utility_DisplayArrayInTable(SourceData_PastureBeef.SourceData_PastureBeef_FractionOfManureToMMS_Data(),Table_SourceData_PastureBeef_FractionManureToMMS[[#Headers],[State]], 0)</f>
        <v>99.998999999999995</v>
      </c>
      <c r="G382" s="37" cm="1">
        <f t="array" ref="G382">Common_InputFunctions.Utility_DisplayArrayInTable(SourceData_PastureBeef.SourceData_PastureBeef_FractionOfManureToMMS_Data(),Table_SourceData_PastureBeef_FractionManureToMMS[[#Headers],[State]], 0)</f>
        <v>1E-3</v>
      </c>
      <c r="M382" s="1"/>
    </row>
    <row r="383" spans="4:13" x14ac:dyDescent="0.25">
      <c r="D383" s="1" t="str" cm="1">
        <f t="array" ref="D383">Common_InputFunctions.Utility_DisplayArrayInTable(SourceData_PastureBeef.SourceData_PastureBeef_FractionOfManureToMMS_Data(),Table_SourceData_PastureBeef_FractionManureToMMS[[#Headers],[State]], 0)</f>
        <v>WA</v>
      </c>
      <c r="E383" s="37" t="str" cm="1">
        <f t="array" ref="E383">Common_InputFunctions.Utility_DisplayArrayInTable(SourceData_PastureBeef.SourceData_PastureBeef_FractionOfManureToMMS_Data(),Table_SourceData_PastureBeef_FractionManureToMMS[[#Headers],[State]], 0)</f>
        <v>Kimberley</v>
      </c>
      <c r="F383" s="37" cm="1">
        <f t="array" ref="F383">Common_InputFunctions.Utility_DisplayArrayInTable(SourceData_PastureBeef.SourceData_PastureBeef_FractionOfManureToMMS_Data(),Table_SourceData_PastureBeef_FractionManureToMMS[[#Headers],[State]], 0)</f>
        <v>99.998999999999995</v>
      </c>
      <c r="G383" s="37" cm="1">
        <f t="array" ref="G383">Common_InputFunctions.Utility_DisplayArrayInTable(SourceData_PastureBeef.SourceData_PastureBeef_FractionOfManureToMMS_Data(),Table_SourceData_PastureBeef_FractionManureToMMS[[#Headers],[State]], 0)</f>
        <v>1E-3</v>
      </c>
      <c r="M383" s="1"/>
    </row>
    <row r="384" spans="4:13" x14ac:dyDescent="0.25">
      <c r="D384" s="1" t="str" cm="1">
        <f t="array" ref="D384">Common_InputFunctions.Utility_DisplayArrayInTable(SourceData_PastureBeef.SourceData_PastureBeef_FractionOfManureToMMS_Data(),Table_SourceData_PastureBeef_FractionManureToMMS[[#Headers],[State]], 0)</f>
        <v>NT</v>
      </c>
      <c r="E384" s="37" t="str" cm="1">
        <f t="array" ref="E384">Common_InputFunctions.Utility_DisplayArrayInTable(SourceData_PastureBeef.SourceData_PastureBeef_FractionOfManureToMMS_Data(),Table_SourceData_PastureBeef_FractionManureToMMS[[#Headers],[State]], 0)</f>
        <v>Alice Springs</v>
      </c>
      <c r="F384" s="37" cm="1">
        <f t="array" ref="F384">Common_InputFunctions.Utility_DisplayArrayInTable(SourceData_PastureBeef.SourceData_PastureBeef_FractionOfManureToMMS_Data(),Table_SourceData_PastureBeef_FractionManureToMMS[[#Headers],[State]], 0)</f>
        <v>99.998999999999995</v>
      </c>
      <c r="G384" s="37" cm="1">
        <f t="array" ref="G384">Common_InputFunctions.Utility_DisplayArrayInTable(SourceData_PastureBeef.SourceData_PastureBeef_FractionOfManureToMMS_Data(),Table_SourceData_PastureBeef_FractionManureToMMS[[#Headers],[State]], 0)</f>
        <v>1E-3</v>
      </c>
      <c r="M384" s="1"/>
    </row>
    <row r="385" spans="4:13" x14ac:dyDescent="0.25">
      <c r="D385" s="1" t="str" cm="1">
        <f t="array" ref="D385">Common_InputFunctions.Utility_DisplayArrayInTable(SourceData_PastureBeef.SourceData_PastureBeef_FractionOfManureToMMS_Data(),Table_SourceData_PastureBeef_FractionManureToMMS[[#Headers],[State]], 0)</f>
        <v>NT</v>
      </c>
      <c r="E385" s="37" t="str" cm="1">
        <f t="array" ref="E385">Common_InputFunctions.Utility_DisplayArrayInTable(SourceData_PastureBeef.SourceData_PastureBeef_FractionOfManureToMMS_Data(),Table_SourceData_PastureBeef_FractionManureToMMS[[#Headers],[State]], 0)</f>
        <v>Barkly</v>
      </c>
      <c r="F385" s="37" cm="1">
        <f t="array" ref="F385">Common_InputFunctions.Utility_DisplayArrayInTable(SourceData_PastureBeef.SourceData_PastureBeef_FractionOfManureToMMS_Data(),Table_SourceData_PastureBeef_FractionManureToMMS[[#Headers],[State]], 0)</f>
        <v>99.994</v>
      </c>
      <c r="G385" s="37" cm="1">
        <f t="array" ref="G385">Common_InputFunctions.Utility_DisplayArrayInTable(SourceData_PastureBeef.SourceData_PastureBeef_FractionOfManureToMMS_Data(),Table_SourceData_PastureBeef_FractionManureToMMS[[#Headers],[State]], 0)</f>
        <v>6.0000000000000001E-3</v>
      </c>
      <c r="M385" s="1"/>
    </row>
    <row r="386" spans="4:13" x14ac:dyDescent="0.25">
      <c r="D386" s="1" t="str" cm="1">
        <f t="array" ref="D386">Common_InputFunctions.Utility_DisplayArrayInTable(SourceData_PastureBeef.SourceData_PastureBeef_FractionOfManureToMMS_Data(),Table_SourceData_PastureBeef_FractionManureToMMS[[#Headers],[State]], 0)</f>
        <v>NT</v>
      </c>
      <c r="E386" s="37" t="str" cm="1">
        <f t="array" ref="E386">Common_InputFunctions.Utility_DisplayArrayInTable(SourceData_PastureBeef.SourceData_PastureBeef_FractionOfManureToMMS_Data(),Table_SourceData_PastureBeef_FractionManureToMMS[[#Headers],[State]], 0)</f>
        <v>Northern</v>
      </c>
      <c r="F386" s="37" cm="1">
        <f t="array" ref="F386">Common_InputFunctions.Utility_DisplayArrayInTable(SourceData_PastureBeef.SourceData_PastureBeef_FractionOfManureToMMS_Data(),Table_SourceData_PastureBeef_FractionManureToMMS[[#Headers],[State]], 0)</f>
        <v>99.998999999999995</v>
      </c>
      <c r="G386" s="37" cm="1">
        <f t="array" ref="G386">Common_InputFunctions.Utility_DisplayArrayInTable(SourceData_PastureBeef.SourceData_PastureBeef_FractionOfManureToMMS_Data(),Table_SourceData_PastureBeef_FractionManureToMMS[[#Headers],[State]], 0)</f>
        <v>1E-3</v>
      </c>
      <c r="M386" s="1"/>
    </row>
    <row r="387" spans="4:13" x14ac:dyDescent="0.25">
      <c r="D387" s="1" t="str" cm="1">
        <f t="array" ref="D387">Common_InputFunctions.Utility_DisplayArrayInTable(SourceData_PastureBeef.SourceData_PastureBeef_FractionOfManureToMMS_Data(),Table_SourceData_PastureBeef_FractionManureToMMS[[#Headers],[State]], 0)</f>
        <v>QLD</v>
      </c>
      <c r="E387" s="37" t="str" cm="1">
        <f t="array" ref="E387">Common_InputFunctions.Utility_DisplayArrayInTable(SourceData_PastureBeef.SourceData_PastureBeef_FractionOfManureToMMS_Data(),Table_SourceData_PastureBeef_FractionManureToMMS[[#Headers],[State]], 0)</f>
        <v>High</v>
      </c>
      <c r="F387" s="37" cm="1">
        <f t="array" ref="F387">Common_InputFunctions.Utility_DisplayArrayInTable(SourceData_PastureBeef.SourceData_PastureBeef_FractionOfManureToMMS_Data(),Table_SourceData_PastureBeef_FractionManureToMMS[[#Headers],[State]], 0)</f>
        <v>99.772999999999996</v>
      </c>
      <c r="G387" s="37" cm="1">
        <f t="array" ref="G387">Common_InputFunctions.Utility_DisplayArrayInTable(SourceData_PastureBeef.SourceData_PastureBeef_FractionOfManureToMMS_Data(),Table_SourceData_PastureBeef_FractionManureToMMS[[#Headers],[State]], 0)</f>
        <v>0.22700000000000001</v>
      </c>
      <c r="M387" s="1"/>
    </row>
    <row r="388" spans="4:13" x14ac:dyDescent="0.25">
      <c r="D388" s="1" t="str" cm="1">
        <f t="array" ref="D388">Common_InputFunctions.Utility_DisplayArrayInTable(SourceData_PastureBeef.SourceData_PastureBeef_FractionOfManureToMMS_Data(),Table_SourceData_PastureBeef_FractionManureToMMS[[#Headers],[State]], 0)</f>
        <v>QLD</v>
      </c>
      <c r="E388" s="37" t="str" cm="1">
        <f t="array" ref="E388">Common_InputFunctions.Utility_DisplayArrayInTable(SourceData_PastureBeef.SourceData_PastureBeef_FractionOfManureToMMS_Data(),Table_SourceData_PastureBeef_FractionManureToMMS[[#Headers],[State]], 0)</f>
        <v>Moderate/High</v>
      </c>
      <c r="F388" s="37" cm="1">
        <f t="array" ref="F388">Common_InputFunctions.Utility_DisplayArrayInTable(SourceData_PastureBeef.SourceData_PastureBeef_FractionOfManureToMMS_Data(),Table_SourceData_PastureBeef_FractionManureToMMS[[#Headers],[State]], 0)</f>
        <v>99.897999999999996</v>
      </c>
      <c r="G388" s="37" cm="1">
        <f t="array" ref="G388">Common_InputFunctions.Utility_DisplayArrayInTable(SourceData_PastureBeef.SourceData_PastureBeef_FractionOfManureToMMS_Data(),Table_SourceData_PastureBeef_FractionManureToMMS[[#Headers],[State]], 0)</f>
        <v>0.10199999999999999</v>
      </c>
      <c r="M388" s="1"/>
    </row>
    <row r="389" spans="4:13" x14ac:dyDescent="0.25">
      <c r="D389" s="1" t="str" cm="1">
        <f t="array" ref="D389">Common_InputFunctions.Utility_DisplayArrayInTable(SourceData_PastureBeef.SourceData_PastureBeef_FractionOfManureToMMS_Data(),Table_SourceData_PastureBeef_FractionManureToMMS[[#Headers],[State]], 0)</f>
        <v>QLD</v>
      </c>
      <c r="E389" s="37" t="str" cm="1">
        <f t="array" ref="E389">Common_InputFunctions.Utility_DisplayArrayInTable(SourceData_PastureBeef.SourceData_PastureBeef_FractionOfManureToMMS_Data(),Table_SourceData_PastureBeef_FractionManureToMMS[[#Headers],[State]], 0)</f>
        <v>Moderate/Low</v>
      </c>
      <c r="F389" s="37" cm="1">
        <f t="array" ref="F389">Common_InputFunctions.Utility_DisplayArrayInTable(SourceData_PastureBeef.SourceData_PastureBeef_FractionOfManureToMMS_Data(),Table_SourceData_PastureBeef_FractionManureToMMS[[#Headers],[State]], 0)</f>
        <v>99.978999999999999</v>
      </c>
      <c r="G389" s="37" cm="1">
        <f t="array" ref="G389">Common_InputFunctions.Utility_DisplayArrayInTable(SourceData_PastureBeef.SourceData_PastureBeef_FractionOfManureToMMS_Data(),Table_SourceData_PastureBeef_FractionManureToMMS[[#Headers],[State]], 0)</f>
        <v>2.1000000000000001E-2</v>
      </c>
      <c r="M389" s="1"/>
    </row>
    <row r="390" spans="4:13" x14ac:dyDescent="0.25">
      <c r="D390" s="1" t="str" cm="1">
        <f t="array" ref="D390">Common_InputFunctions.Utility_DisplayArrayInTable(SourceData_PastureBeef.SourceData_PastureBeef_FractionOfManureToMMS_Data(),Table_SourceData_PastureBeef_FractionManureToMMS[[#Headers],[State]], 0)</f>
        <v>QLD</v>
      </c>
      <c r="E390" s="37" t="str" cm="1">
        <f t="array" ref="E390">Common_InputFunctions.Utility_DisplayArrayInTable(SourceData_PastureBeef.SourceData_PastureBeef_FractionOfManureToMMS_Data(),Table_SourceData_PastureBeef_FractionManureToMMS[[#Headers],[State]], 0)</f>
        <v>Low</v>
      </c>
      <c r="F390" s="37" cm="1">
        <f t="array" ref="F390">Common_InputFunctions.Utility_DisplayArrayInTable(SourceData_PastureBeef.SourceData_PastureBeef_FractionOfManureToMMS_Data(),Table_SourceData_PastureBeef_FractionManureToMMS[[#Headers],[State]], 0)</f>
        <v>99.977000000000004</v>
      </c>
      <c r="G390" s="37" cm="1">
        <f t="array" ref="G390">Common_InputFunctions.Utility_DisplayArrayInTable(SourceData_PastureBeef.SourceData_PastureBeef_FractionOfManureToMMS_Data(),Table_SourceData_PastureBeef_FractionManureToMMS[[#Headers],[State]], 0)</f>
        <v>2.3E-2</v>
      </c>
      <c r="M390" s="1"/>
    </row>
    <row r="391" spans="4:13" x14ac:dyDescent="0.25">
      <c r="M391" s="1"/>
    </row>
    <row r="392" spans="4:13" x14ac:dyDescent="0.25">
      <c r="M392" s="1"/>
    </row>
    <row r="393" spans="4:13" ht="23.25" x14ac:dyDescent="0.25">
      <c r="D393" s="6" t="str" cm="1">
        <f t="array" ref="D393">SourceData_PastureBeef.SourceData_PastureBeef_MethaneConversionFactorPerRegion_Title()</f>
        <v>Beef pasture cattle - Methane conversion factor per region (fraction) (MCFim)</v>
      </c>
      <c r="M393" s="1"/>
    </row>
    <row r="394" spans="4:13" x14ac:dyDescent="0.25">
      <c r="D394" s="5" t="str" cm="1">
        <f t="array" ref="D394">SourceData_PastureBeef.SourceData_PastureBeef_MethaneConversionFactorPerRegion_Source()</f>
        <v>VEERG 2026: Table A.1.2.10</v>
      </c>
      <c r="M394" s="1"/>
    </row>
    <row r="395" spans="4:13" x14ac:dyDescent="0.25">
      <c r="D395" s="1" t="str" cm="1">
        <f t="array" ref="D395">SourceData_PastureBeef.SourceData_PastureBeef_MethaneConversionFactorPerRegion_Variable()</f>
        <v>MCFim</v>
      </c>
      <c r="M395" s="1"/>
    </row>
    <row r="396" spans="4:13" x14ac:dyDescent="0.25">
      <c r="D396" s="54" t="str" cm="1">
        <f t="array" ref="D396">SourceData_PastureBeef.SourceData_PastureBeef_MethaneConversionFactorPerRegion_Unit()</f>
        <v>fraction</v>
      </c>
      <c r="M396" s="1"/>
    </row>
    <row r="397" spans="4:13" x14ac:dyDescent="0.25">
      <c r="D397" s="55" t="str" cm="1">
        <f t="array" ref="D397">SourceData_PastureBeef.SourceData_PastureBeef_MethaneConversionFactorPerRegion_Variation()</f>
        <v>VARIATION ON SOURCE: Removed comma from 'Pasture range and paddock' to aid lookup</v>
      </c>
      <c r="M397" s="1"/>
    </row>
    <row r="398" spans="4:13" x14ac:dyDescent="0.25">
      <c r="D398" s="37" t="s">
        <v>8</v>
      </c>
      <c r="E398" s="37" t="s">
        <v>183</v>
      </c>
      <c r="F398" s="37" t="s">
        <v>138</v>
      </c>
      <c r="G398" s="37" t="s">
        <v>239</v>
      </c>
      <c r="M398" s="1"/>
    </row>
    <row r="399" spans="4:13" x14ac:dyDescent="0.25">
      <c r="D399" s="37" t="str" cm="1">
        <f t="array" ref="D399">Common_InputFunctions.Utility_DisplayArrayInTable(SourceData_PastureBeef.SourceData_PastureBeef_MethaneConversionFactorPerRegion_Data(), Table_SourceData_PastureBeef_MethaneConversionFactor[[#Headers],[State]], 0)</f>
        <v>ACT</v>
      </c>
      <c r="E399" s="37" t="str" cm="1">
        <f t="array" ref="E399">Common_InputFunctions.Utility_DisplayArrayInTable(SourceData_PastureBeef.SourceData_PastureBeef_MethaneConversionFactorPerRegion_Data(), Table_SourceData_PastureBeef_MethaneConversionFactor[[#Headers],[State]], 0)</f>
        <v>n/a</v>
      </c>
      <c r="F399" s="37" cm="1">
        <f t="array" ref="F399">Common_InputFunctions.Utility_DisplayArrayInTable(SourceData_PastureBeef.SourceData_PastureBeef_MethaneConversionFactorPerRegion_Data(), Table_SourceData_PastureBeef_MethaneConversionFactor[[#Headers],[State]], 0)</f>
        <v>4.7000000000000002E-3</v>
      </c>
      <c r="G399" s="37" cm="1">
        <f t="array" ref="G399">Common_InputFunctions.Utility_DisplayArrayInTable(SourceData_PastureBeef.SourceData_PastureBeef_MethaneConversionFactorPerRegion_Data(), Table_SourceData_PastureBeef_MethaneConversionFactor[[#Headers],[State]], 0)</f>
        <v>0.71</v>
      </c>
      <c r="M399" s="1"/>
    </row>
    <row r="400" spans="4:13" x14ac:dyDescent="0.25">
      <c r="D400" s="37" t="str" cm="1">
        <f t="array" ref="D400">Common_InputFunctions.Utility_DisplayArrayInTable(SourceData_PastureBeef.SourceData_PastureBeef_MethaneConversionFactorPerRegion_Data(), Table_SourceData_PastureBeef_MethaneConversionFactor[[#Headers],[State]], 0)</f>
        <v>NSW</v>
      </c>
      <c r="E400" s="37" t="str" cm="1">
        <f t="array" ref="E400">Common_InputFunctions.Utility_DisplayArrayInTable(SourceData_PastureBeef.SourceData_PastureBeef_MethaneConversionFactorPerRegion_Data(), Table_SourceData_PastureBeef_MethaneConversionFactor[[#Headers],[State]], 0)</f>
        <v>n/a</v>
      </c>
      <c r="F400" s="37" cm="1">
        <f t="array" ref="F400">Common_InputFunctions.Utility_DisplayArrayInTable(SourceData_PastureBeef.SourceData_PastureBeef_MethaneConversionFactorPerRegion_Data(), Table_SourceData_PastureBeef_MethaneConversionFactor[[#Headers],[State]], 0)</f>
        <v>4.7000000000000002E-3</v>
      </c>
      <c r="G400" s="37" cm="1">
        <f t="array" ref="G400">Common_InputFunctions.Utility_DisplayArrayInTable(SourceData_PastureBeef.SourceData_PastureBeef_MethaneConversionFactorPerRegion_Data(), Table_SourceData_PastureBeef_MethaneConversionFactor[[#Headers],[State]], 0)</f>
        <v>0.75</v>
      </c>
      <c r="M400" s="1"/>
    </row>
    <row r="401" spans="4:13" x14ac:dyDescent="0.25">
      <c r="D401" s="37" t="str" cm="1">
        <f t="array" ref="D401">Common_InputFunctions.Utility_DisplayArrayInTable(SourceData_PastureBeef.SourceData_PastureBeef_MethaneConversionFactorPerRegion_Data(), Table_SourceData_PastureBeef_MethaneConversionFactor[[#Headers],[State]], 0)</f>
        <v>SA</v>
      </c>
      <c r="E401" s="37" t="str" cm="1">
        <f t="array" ref="E401">Common_InputFunctions.Utility_DisplayArrayInTable(SourceData_PastureBeef.SourceData_PastureBeef_MethaneConversionFactorPerRegion_Data(), Table_SourceData_PastureBeef_MethaneConversionFactor[[#Headers],[State]], 0)</f>
        <v>n/a</v>
      </c>
      <c r="F401" s="37" cm="1">
        <f t="array" ref="F401">Common_InputFunctions.Utility_DisplayArrayInTable(SourceData_PastureBeef.SourceData_PastureBeef_MethaneConversionFactorPerRegion_Data(), Table_SourceData_PastureBeef_MethaneConversionFactor[[#Headers],[State]], 0)</f>
        <v>4.7000000000000002E-3</v>
      </c>
      <c r="G401" s="37" cm="1">
        <f t="array" ref="G401">Common_InputFunctions.Utility_DisplayArrayInTable(SourceData_PastureBeef.SourceData_PastureBeef_MethaneConversionFactorPerRegion_Data(), Table_SourceData_PastureBeef_MethaneConversionFactor[[#Headers],[State]], 0)</f>
        <v>0.74</v>
      </c>
      <c r="M401" s="1"/>
    </row>
    <row r="402" spans="4:13" x14ac:dyDescent="0.25">
      <c r="D402" s="37" t="str" cm="1">
        <f t="array" ref="D402">Common_InputFunctions.Utility_DisplayArrayInTable(SourceData_PastureBeef.SourceData_PastureBeef_MethaneConversionFactorPerRegion_Data(), Table_SourceData_PastureBeef_MethaneConversionFactor[[#Headers],[State]], 0)</f>
        <v>TAS</v>
      </c>
      <c r="E402" s="37" t="str" cm="1">
        <f t="array" ref="E402">Common_InputFunctions.Utility_DisplayArrayInTable(SourceData_PastureBeef.SourceData_PastureBeef_MethaneConversionFactorPerRegion_Data(), Table_SourceData_PastureBeef_MethaneConversionFactor[[#Headers],[State]], 0)</f>
        <v>n/a</v>
      </c>
      <c r="F402" s="37" cm="1">
        <f t="array" ref="F402">Common_InputFunctions.Utility_DisplayArrayInTable(SourceData_PastureBeef.SourceData_PastureBeef_MethaneConversionFactorPerRegion_Data(), Table_SourceData_PastureBeef_MethaneConversionFactor[[#Headers],[State]], 0)</f>
        <v>4.7000000000000002E-3</v>
      </c>
      <c r="G402" s="37" cm="1">
        <f t="array" ref="G402">Common_InputFunctions.Utility_DisplayArrayInTable(SourceData_PastureBeef.SourceData_PastureBeef_MethaneConversionFactorPerRegion_Data(), Table_SourceData_PastureBeef_MethaneConversionFactor[[#Headers],[State]], 0)</f>
        <v>0.7</v>
      </c>
      <c r="M402" s="1"/>
    </row>
    <row r="403" spans="4:13" x14ac:dyDescent="0.25">
      <c r="D403" s="37" t="str" cm="1">
        <f t="array" ref="D403">Common_InputFunctions.Utility_DisplayArrayInTable(SourceData_PastureBeef.SourceData_PastureBeef_MethaneConversionFactorPerRegion_Data(), Table_SourceData_PastureBeef_MethaneConversionFactor[[#Headers],[State]], 0)</f>
        <v>VIC</v>
      </c>
      <c r="E403" s="37" t="str" cm="1">
        <f t="array" ref="E403">Common_InputFunctions.Utility_DisplayArrayInTable(SourceData_PastureBeef.SourceData_PastureBeef_MethaneConversionFactorPerRegion_Data(), Table_SourceData_PastureBeef_MethaneConversionFactor[[#Headers],[State]], 0)</f>
        <v>n/a</v>
      </c>
      <c r="F403" s="37" cm="1">
        <f t="array" ref="F403">Common_InputFunctions.Utility_DisplayArrayInTable(SourceData_PastureBeef.SourceData_PastureBeef_MethaneConversionFactorPerRegion_Data(), Table_SourceData_PastureBeef_MethaneConversionFactor[[#Headers],[State]], 0)</f>
        <v>4.7000000000000002E-3</v>
      </c>
      <c r="G403" s="37" cm="1">
        <f t="array" ref="G403">Common_InputFunctions.Utility_DisplayArrayInTable(SourceData_PastureBeef.SourceData_PastureBeef_MethaneConversionFactorPerRegion_Data(), Table_SourceData_PastureBeef_MethaneConversionFactor[[#Headers],[State]], 0)</f>
        <v>0.74</v>
      </c>
      <c r="M403" s="1"/>
    </row>
    <row r="404" spans="4:13" x14ac:dyDescent="0.25">
      <c r="D404" s="37" t="str" cm="1">
        <f t="array" ref="D404">Common_InputFunctions.Utility_DisplayArrayInTable(SourceData_PastureBeef.SourceData_PastureBeef_MethaneConversionFactorPerRegion_Data(), Table_SourceData_PastureBeef_MethaneConversionFactor[[#Headers],[State]], 0)</f>
        <v>WA</v>
      </c>
      <c r="E404" s="37" t="str" cm="1">
        <f t="array" ref="E404">Common_InputFunctions.Utility_DisplayArrayInTable(SourceData_PastureBeef.SourceData_PastureBeef_MethaneConversionFactorPerRegion_Data(), Table_SourceData_PastureBeef_MethaneConversionFactor[[#Headers],[State]], 0)</f>
        <v>South West</v>
      </c>
      <c r="F404" s="37" cm="1">
        <f t="array" ref="F404">Common_InputFunctions.Utility_DisplayArrayInTable(SourceData_PastureBeef.SourceData_PastureBeef_MethaneConversionFactorPerRegion_Data(), Table_SourceData_PastureBeef_MethaneConversionFactor[[#Headers],[State]], 0)</f>
        <v>4.7000000000000002E-3</v>
      </c>
      <c r="G404" s="37" cm="1">
        <f t="array" ref="G404">Common_InputFunctions.Utility_DisplayArrayInTable(SourceData_PastureBeef.SourceData_PastureBeef_MethaneConversionFactorPerRegion_Data(), Table_SourceData_PastureBeef_MethaneConversionFactor[[#Headers],[State]], 0)</f>
        <v>0.76</v>
      </c>
      <c r="M404" s="1"/>
    </row>
    <row r="405" spans="4:13" x14ac:dyDescent="0.25">
      <c r="D405" s="37" t="str" cm="1">
        <f t="array" ref="D405">Common_InputFunctions.Utility_DisplayArrayInTable(SourceData_PastureBeef.SourceData_PastureBeef_MethaneConversionFactorPerRegion_Data(), Table_SourceData_PastureBeef_MethaneConversionFactor[[#Headers],[State]], 0)</f>
        <v>WA</v>
      </c>
      <c r="E405" s="37" t="str" cm="1">
        <f t="array" ref="E405">Common_InputFunctions.Utility_DisplayArrayInTable(SourceData_PastureBeef.SourceData_PastureBeef_MethaneConversionFactorPerRegion_Data(), Table_SourceData_PastureBeef_MethaneConversionFactor[[#Headers],[State]], 0)</f>
        <v>Pilbara</v>
      </c>
      <c r="F405" s="37" cm="1">
        <f t="array" ref="F405">Common_InputFunctions.Utility_DisplayArrayInTable(SourceData_PastureBeef.SourceData_PastureBeef_MethaneConversionFactorPerRegion_Data(), Table_SourceData_PastureBeef_MethaneConversionFactor[[#Headers],[State]], 0)</f>
        <v>4.7000000000000002E-3</v>
      </c>
      <c r="G405" s="37" cm="1">
        <f t="array" ref="G405">Common_InputFunctions.Utility_DisplayArrayInTable(SourceData_PastureBeef.SourceData_PastureBeef_MethaneConversionFactorPerRegion_Data(), Table_SourceData_PastureBeef_MethaneConversionFactor[[#Headers],[State]], 0)</f>
        <v>0.76</v>
      </c>
      <c r="M405" s="1"/>
    </row>
    <row r="406" spans="4:13" x14ac:dyDescent="0.25">
      <c r="D406" s="37" t="str" cm="1">
        <f t="array" ref="D406">Common_InputFunctions.Utility_DisplayArrayInTable(SourceData_PastureBeef.SourceData_PastureBeef_MethaneConversionFactorPerRegion_Data(), Table_SourceData_PastureBeef_MethaneConversionFactor[[#Headers],[State]], 0)</f>
        <v>WA</v>
      </c>
      <c r="E406" s="37" t="str" cm="1">
        <f t="array" ref="E406">Common_InputFunctions.Utility_DisplayArrayInTable(SourceData_PastureBeef.SourceData_PastureBeef_MethaneConversionFactorPerRegion_Data(), Table_SourceData_PastureBeef_MethaneConversionFactor[[#Headers],[State]], 0)</f>
        <v>Kimberley</v>
      </c>
      <c r="F406" s="37" cm="1">
        <f t="array" ref="F406">Common_InputFunctions.Utility_DisplayArrayInTable(SourceData_PastureBeef.SourceData_PastureBeef_MethaneConversionFactorPerRegion_Data(), Table_SourceData_PastureBeef_MethaneConversionFactor[[#Headers],[State]], 0)</f>
        <v>4.7000000000000002E-3</v>
      </c>
      <c r="G406" s="37" cm="1">
        <f t="array" ref="G406">Common_InputFunctions.Utility_DisplayArrayInTable(SourceData_PastureBeef.SourceData_PastureBeef_MethaneConversionFactorPerRegion_Data(), Table_SourceData_PastureBeef_MethaneConversionFactor[[#Headers],[State]], 0)</f>
        <v>0.76</v>
      </c>
      <c r="M406" s="1"/>
    </row>
    <row r="407" spans="4:13" x14ac:dyDescent="0.25">
      <c r="D407" s="37" t="str" cm="1">
        <f t="array" ref="D407">Common_InputFunctions.Utility_DisplayArrayInTable(SourceData_PastureBeef.SourceData_PastureBeef_MethaneConversionFactorPerRegion_Data(), Table_SourceData_PastureBeef_MethaneConversionFactor[[#Headers],[State]], 0)</f>
        <v>NT</v>
      </c>
      <c r="E407" s="37" t="str" cm="1">
        <f t="array" ref="E407">Common_InputFunctions.Utility_DisplayArrayInTable(SourceData_PastureBeef.SourceData_PastureBeef_MethaneConversionFactorPerRegion_Data(), Table_SourceData_PastureBeef_MethaneConversionFactor[[#Headers],[State]], 0)</f>
        <v>Alice Springs</v>
      </c>
      <c r="F407" s="37" cm="1">
        <f t="array" ref="F407">Common_InputFunctions.Utility_DisplayArrayInTable(SourceData_PastureBeef.SourceData_PastureBeef_MethaneConversionFactorPerRegion_Data(), Table_SourceData_PastureBeef_MethaneConversionFactor[[#Headers],[State]], 0)</f>
        <v>4.7000000000000002E-3</v>
      </c>
      <c r="G407" s="37" cm="1">
        <f t="array" ref="G407">Common_InputFunctions.Utility_DisplayArrayInTable(SourceData_PastureBeef.SourceData_PastureBeef_MethaneConversionFactorPerRegion_Data(), Table_SourceData_PastureBeef_MethaneConversionFactor[[#Headers],[State]], 0)</f>
        <v>0.8</v>
      </c>
      <c r="M407" s="1"/>
    </row>
    <row r="408" spans="4:13" x14ac:dyDescent="0.25">
      <c r="D408" s="37" t="str" cm="1">
        <f t="array" ref="D408">Common_InputFunctions.Utility_DisplayArrayInTable(SourceData_PastureBeef.SourceData_PastureBeef_MethaneConversionFactorPerRegion_Data(), Table_SourceData_PastureBeef_MethaneConversionFactor[[#Headers],[State]], 0)</f>
        <v>NT</v>
      </c>
      <c r="E408" s="37" t="str" cm="1">
        <f t="array" ref="E408">Common_InputFunctions.Utility_DisplayArrayInTable(SourceData_PastureBeef.SourceData_PastureBeef_MethaneConversionFactorPerRegion_Data(), Table_SourceData_PastureBeef_MethaneConversionFactor[[#Headers],[State]], 0)</f>
        <v>Barkly</v>
      </c>
      <c r="F408" s="37" cm="1">
        <f t="array" ref="F408">Common_InputFunctions.Utility_DisplayArrayInTable(SourceData_PastureBeef.SourceData_PastureBeef_MethaneConversionFactorPerRegion_Data(), Table_SourceData_PastureBeef_MethaneConversionFactor[[#Headers],[State]], 0)</f>
        <v>4.7000000000000002E-3</v>
      </c>
      <c r="G408" s="37" cm="1">
        <f t="array" ref="G408">Common_InputFunctions.Utility_DisplayArrayInTable(SourceData_PastureBeef.SourceData_PastureBeef_MethaneConversionFactorPerRegion_Data(), Table_SourceData_PastureBeef_MethaneConversionFactor[[#Headers],[State]], 0)</f>
        <v>0.8</v>
      </c>
      <c r="M408" s="1"/>
    </row>
    <row r="409" spans="4:13" x14ac:dyDescent="0.25">
      <c r="D409" s="37" t="str" cm="1">
        <f t="array" ref="D409">Common_InputFunctions.Utility_DisplayArrayInTable(SourceData_PastureBeef.SourceData_PastureBeef_MethaneConversionFactorPerRegion_Data(), Table_SourceData_PastureBeef_MethaneConversionFactor[[#Headers],[State]], 0)</f>
        <v>NT</v>
      </c>
      <c r="E409" s="37" t="str" cm="1">
        <f t="array" ref="E409">Common_InputFunctions.Utility_DisplayArrayInTable(SourceData_PastureBeef.SourceData_PastureBeef_MethaneConversionFactorPerRegion_Data(), Table_SourceData_PastureBeef_MethaneConversionFactor[[#Headers],[State]], 0)</f>
        <v>Northern</v>
      </c>
      <c r="F409" s="37" cm="1">
        <f t="array" ref="F409">Common_InputFunctions.Utility_DisplayArrayInTable(SourceData_PastureBeef.SourceData_PastureBeef_MethaneConversionFactorPerRegion_Data(), Table_SourceData_PastureBeef_MethaneConversionFactor[[#Headers],[State]], 0)</f>
        <v>4.7000000000000002E-3</v>
      </c>
      <c r="G409" s="37" cm="1">
        <f t="array" ref="G409">Common_InputFunctions.Utility_DisplayArrayInTable(SourceData_PastureBeef.SourceData_PastureBeef_MethaneConversionFactorPerRegion_Data(), Table_SourceData_PastureBeef_MethaneConversionFactor[[#Headers],[State]], 0)</f>
        <v>0.8</v>
      </c>
      <c r="M409" s="1"/>
    </row>
    <row r="410" spans="4:13" x14ac:dyDescent="0.25">
      <c r="D410" s="37" t="str" cm="1">
        <f t="array" ref="D410">Common_InputFunctions.Utility_DisplayArrayInTable(SourceData_PastureBeef.SourceData_PastureBeef_MethaneConversionFactorPerRegion_Data(), Table_SourceData_PastureBeef_MethaneConversionFactor[[#Headers],[State]], 0)</f>
        <v>QLD</v>
      </c>
      <c r="E410" s="37" t="str" cm="1">
        <f t="array" ref="E410">Common_InputFunctions.Utility_DisplayArrayInTable(SourceData_PastureBeef.SourceData_PastureBeef_MethaneConversionFactorPerRegion_Data(), Table_SourceData_PastureBeef_MethaneConversionFactor[[#Headers],[State]], 0)</f>
        <v>High</v>
      </c>
      <c r="F410" s="37" cm="1">
        <f t="array" ref="F410">Common_InputFunctions.Utility_DisplayArrayInTable(SourceData_PastureBeef.SourceData_PastureBeef_MethaneConversionFactorPerRegion_Data(), Table_SourceData_PastureBeef_MethaneConversionFactor[[#Headers],[State]], 0)</f>
        <v>4.7000000000000002E-3</v>
      </c>
      <c r="G410" s="37" cm="1">
        <f t="array" ref="G410">Common_InputFunctions.Utility_DisplayArrayInTable(SourceData_PastureBeef.SourceData_PastureBeef_MethaneConversionFactorPerRegion_Data(), Table_SourceData_PastureBeef_MethaneConversionFactor[[#Headers],[State]], 0)</f>
        <v>0.78</v>
      </c>
      <c r="M410" s="1"/>
    </row>
    <row r="411" spans="4:13" x14ac:dyDescent="0.25">
      <c r="D411" s="37" t="str" cm="1">
        <f t="array" ref="D411">Common_InputFunctions.Utility_DisplayArrayInTable(SourceData_PastureBeef.SourceData_PastureBeef_MethaneConversionFactorPerRegion_Data(), Table_SourceData_PastureBeef_MethaneConversionFactor[[#Headers],[State]], 0)</f>
        <v>QLD</v>
      </c>
      <c r="E411" s="37" t="str" cm="1">
        <f t="array" ref="E411">Common_InputFunctions.Utility_DisplayArrayInTable(SourceData_PastureBeef.SourceData_PastureBeef_MethaneConversionFactorPerRegion_Data(), Table_SourceData_PastureBeef_MethaneConversionFactor[[#Headers],[State]], 0)</f>
        <v>Moderate/High</v>
      </c>
      <c r="F411" s="37" cm="1">
        <f t="array" ref="F411">Common_InputFunctions.Utility_DisplayArrayInTable(SourceData_PastureBeef.SourceData_PastureBeef_MethaneConversionFactorPerRegion_Data(), Table_SourceData_PastureBeef_MethaneConversionFactor[[#Headers],[State]], 0)</f>
        <v>4.7000000000000002E-3</v>
      </c>
      <c r="G411" s="37" cm="1">
        <f t="array" ref="G411">Common_InputFunctions.Utility_DisplayArrayInTable(SourceData_PastureBeef.SourceData_PastureBeef_MethaneConversionFactorPerRegion_Data(), Table_SourceData_PastureBeef_MethaneConversionFactor[[#Headers],[State]], 0)</f>
        <v>0.78</v>
      </c>
      <c r="M411" s="1"/>
    </row>
    <row r="412" spans="4:13" x14ac:dyDescent="0.25">
      <c r="D412" s="37" t="str" cm="1">
        <f t="array" ref="D412">Common_InputFunctions.Utility_DisplayArrayInTable(SourceData_PastureBeef.SourceData_PastureBeef_MethaneConversionFactorPerRegion_Data(), Table_SourceData_PastureBeef_MethaneConversionFactor[[#Headers],[State]], 0)</f>
        <v>QLD</v>
      </c>
      <c r="E412" s="37" t="str" cm="1">
        <f t="array" ref="E412">Common_InputFunctions.Utility_DisplayArrayInTable(SourceData_PastureBeef.SourceData_PastureBeef_MethaneConversionFactorPerRegion_Data(), Table_SourceData_PastureBeef_MethaneConversionFactor[[#Headers],[State]], 0)</f>
        <v>Moderate/Low</v>
      </c>
      <c r="F412" s="37" cm="1">
        <f t="array" ref="F412">Common_InputFunctions.Utility_DisplayArrayInTable(SourceData_PastureBeef.SourceData_PastureBeef_MethaneConversionFactorPerRegion_Data(), Table_SourceData_PastureBeef_MethaneConversionFactor[[#Headers],[State]], 0)</f>
        <v>4.7000000000000002E-3</v>
      </c>
      <c r="G412" s="37" cm="1">
        <f t="array" ref="G412">Common_InputFunctions.Utility_DisplayArrayInTable(SourceData_PastureBeef.SourceData_PastureBeef_MethaneConversionFactorPerRegion_Data(), Table_SourceData_PastureBeef_MethaneConversionFactor[[#Headers],[State]], 0)</f>
        <v>0.78</v>
      </c>
      <c r="M412" s="1"/>
    </row>
    <row r="413" spans="4:13" x14ac:dyDescent="0.25">
      <c r="D413" s="37" t="str" cm="1">
        <f t="array" ref="D413">Common_InputFunctions.Utility_DisplayArrayInTable(SourceData_PastureBeef.SourceData_PastureBeef_MethaneConversionFactorPerRegion_Data(), Table_SourceData_PastureBeef_MethaneConversionFactor[[#Headers],[State]], 0)</f>
        <v>QLD</v>
      </c>
      <c r="E413" s="37" t="str" cm="1">
        <f t="array" ref="E413">Common_InputFunctions.Utility_DisplayArrayInTable(SourceData_PastureBeef.SourceData_PastureBeef_MethaneConversionFactorPerRegion_Data(), Table_SourceData_PastureBeef_MethaneConversionFactor[[#Headers],[State]], 0)</f>
        <v>Low</v>
      </c>
      <c r="F413" s="37" cm="1">
        <f t="array" ref="F413">Common_InputFunctions.Utility_DisplayArrayInTable(SourceData_PastureBeef.SourceData_PastureBeef_MethaneConversionFactorPerRegion_Data(), Table_SourceData_PastureBeef_MethaneConversionFactor[[#Headers],[State]], 0)</f>
        <v>4.7000000000000002E-3</v>
      </c>
      <c r="G413" s="37" cm="1">
        <f t="array" ref="G413">Common_InputFunctions.Utility_DisplayArrayInTable(SourceData_PastureBeef.SourceData_PastureBeef_MethaneConversionFactorPerRegion_Data(), Table_SourceData_PastureBeef_MethaneConversionFactor[[#Headers],[State]], 0)</f>
        <v>0.78</v>
      </c>
      <c r="M413" s="1"/>
    </row>
    <row r="414" spans="4:13" x14ac:dyDescent="0.25">
      <c r="M414" s="1"/>
    </row>
    <row r="415" spans="4:13" x14ac:dyDescent="0.25">
      <c r="M415" s="1"/>
    </row>
    <row r="416" spans="4:13" ht="23.25" x14ac:dyDescent="0.25">
      <c r="D416" s="6" t="str" cm="1">
        <f t="array" ref="D416">SourceData_PastureBeef.SourceData_PastureBeef_AshContentOfFeedIntake_Title()</f>
        <v>Ash content of feed intake</v>
      </c>
      <c r="M416" s="1"/>
    </row>
    <row r="417" spans="4:13" x14ac:dyDescent="0.25">
      <c r="D417" s="5" t="str" cm="1">
        <f t="array" ref="D417">SourceData_PastureBeef.SourceData_PastureBeef_AshContentOfFeedIntake_Source()</f>
        <v>VEERG 2026: 4.2.2.3 CONSTANTS</v>
      </c>
      <c r="M417" s="1"/>
    </row>
    <row r="418" spans="4:13" x14ac:dyDescent="0.25">
      <c r="D418" s="1" t="str" cm="1">
        <f t="array" ref="D418">SourceData_PastureBeef.SourceData_PastureBeef_AshContentOfFeedIntake_Variable()</f>
        <v>A</v>
      </c>
      <c r="M418" s="1"/>
    </row>
    <row r="419" spans="4:13" x14ac:dyDescent="0.25">
      <c r="D419" s="54" t="str" cm="1">
        <f t="array" ref="D419">SourceData_PastureBeef.SourceData_PastureBeef_AshContentOfFeedIntake_Unit()</f>
        <v>fraction</v>
      </c>
      <c r="M419" s="1"/>
    </row>
    <row r="420" spans="4:13" x14ac:dyDescent="0.25">
      <c r="D420" s="53" cm="1">
        <f t="array" ref="D420">SourceData_PastureBeef.SourceData_PastureBeef_AshContentOfFeedIntake_Data()</f>
        <v>0.08</v>
      </c>
      <c r="M420" s="1"/>
    </row>
    <row r="421" spans="4:13" x14ac:dyDescent="0.25">
      <c r="M421" s="1"/>
    </row>
    <row r="422" spans="4:13" ht="23.25" x14ac:dyDescent="0.25">
      <c r="D422" s="6" t="str" cm="1">
        <f t="array" ref="D422">SourceData_PastureBeef.SourceData_PastureBeef_MethaneEmissionsPotential_Title()</f>
        <v>Methane emissions potential</v>
      </c>
      <c r="M422" s="1"/>
    </row>
    <row r="423" spans="4:13" x14ac:dyDescent="0.25">
      <c r="D423" s="5" t="str" cm="1">
        <f t="array" ref="D423">SourceData_PastureBeef.SourceData_PastureBeef_MethaneEmissionsPotential_Source()</f>
        <v>VEERG 2026: 4.2.2.3 CONSTANTS</v>
      </c>
      <c r="M423" s="1"/>
    </row>
    <row r="424" spans="4:13" x14ac:dyDescent="0.25">
      <c r="D424" s="1" t="str" cm="1">
        <f t="array" ref="D424">SourceData_PastureBeef.SourceData_PastureBeef_MethaneEmissionsPotential_Variable()</f>
        <v>B0</v>
      </c>
      <c r="M424" s="1"/>
    </row>
    <row r="425" spans="4:13" x14ac:dyDescent="0.25">
      <c r="D425" s="54" t="str" cm="1">
        <f t="array" ref="D425">SourceData_PastureBeef.SourceData_PastureBeef_MethaneEmissionsPotential_Unit()</f>
        <v>m3 CH4 / kg VS</v>
      </c>
      <c r="M425" s="1"/>
    </row>
    <row r="426" spans="4:13" x14ac:dyDescent="0.25">
      <c r="D426" s="53" cm="1">
        <f t="array" ref="D426">SourceData_PastureBeef.SourceData_PastureBeef_MethaneEmissionsPotential_Data()</f>
        <v>0.19</v>
      </c>
      <c r="M426" s="1"/>
    </row>
    <row r="427" spans="4:13" x14ac:dyDescent="0.25">
      <c r="M427" s="1"/>
    </row>
    <row r="428" spans="4:13" ht="23.25" x14ac:dyDescent="0.25">
      <c r="D428" s="6" t="str" cm="1">
        <f t="array" ref="D428">SourceData_PastureBeef.SourceData_PastureBeef_FracGASMSoil_Title()</f>
        <v>Fraction of nitrogen volatilised from urine and faeces deposited on pasture</v>
      </c>
      <c r="M428" s="1"/>
    </row>
    <row r="429" spans="4:13" x14ac:dyDescent="0.25">
      <c r="D429" s="5" t="str" cm="1">
        <f t="array" ref="D429">SourceData_PastureBeef.SourceData_PastureBeef_FracGASMSoil_Source()</f>
        <v>VEERG 2026: 4.2.2.3 CONSTANTS</v>
      </c>
      <c r="M429" s="1"/>
    </row>
    <row r="430" spans="4:13" x14ac:dyDescent="0.25">
      <c r="D430" s="1" t="str" cm="1">
        <f t="array" ref="D430">SourceData_PastureBeef.SourceData_PastureBeef_FracGASMSoil_Variable()</f>
        <v>FracGASMSoil</v>
      </c>
      <c r="M430" s="1"/>
    </row>
    <row r="431" spans="4:13" x14ac:dyDescent="0.25">
      <c r="D431" s="54" t="str" cm="1">
        <f t="array" ref="D431">SourceData_PastureBeef.SourceData_PastureBeef_FracGASMSoil_Unit()</f>
        <v>fraction</v>
      </c>
      <c r="M431" s="1"/>
    </row>
    <row r="432" spans="4:13" x14ac:dyDescent="0.25">
      <c r="D432" s="53" cm="1">
        <f t="array" ref="D432">SourceData_PastureBeef.SourceData_PastureBeef_FracGASMSoil_Data()</f>
        <v>0.21</v>
      </c>
      <c r="M432" s="1"/>
    </row>
    <row r="433" spans="4:13" x14ac:dyDescent="0.25">
      <c r="M433" s="1"/>
    </row>
    <row r="434" spans="4:13" ht="23.25" x14ac:dyDescent="0.25">
      <c r="D434" s="6" t="str" cm="1">
        <f t="array" ref="D434">SourceData_PastureBeef.SourceData_PastureBeef_FracLEACH_Title()</f>
        <v>Default fraction of N that is lost through leaching and runoff</v>
      </c>
      <c r="M434" s="1"/>
    </row>
    <row r="435" spans="4:13" x14ac:dyDescent="0.25">
      <c r="D435" s="5" t="str" cm="1">
        <f t="array" ref="D435">SourceData_PastureBeef.SourceData_PastureBeef_FracLEACH_Source()</f>
        <v>VEERG 2026: 4.2.2.3 CONSTANTS</v>
      </c>
      <c r="M435" s="1"/>
    </row>
    <row r="436" spans="4:13" x14ac:dyDescent="0.25">
      <c r="D436" s="1" t="str" cm="1">
        <f t="array" ref="D436">SourceData_PastureBeef.SourceData_PastureBeef_FracLEACH_Variable()</f>
        <v>FracLEACH</v>
      </c>
      <c r="M436" s="1"/>
    </row>
    <row r="437" spans="4:13" x14ac:dyDescent="0.25">
      <c r="D437" s="54" t="str" cm="1">
        <f t="array" ref="D437">SourceData_PastureBeef.SourceData_PastureBeef_FracLEACH_Unit()</f>
        <v>fraction</v>
      </c>
      <c r="M437" s="1"/>
    </row>
    <row r="438" spans="4:13" x14ac:dyDescent="0.25">
      <c r="D438" s="53" cm="1">
        <f t="array" ref="D438">SourceData_PastureBeef.SourceData_PastureBeef_FracLEACH_Data()</f>
        <v>0.24</v>
      </c>
      <c r="M438" s="1"/>
    </row>
    <row r="439" spans="4:13" x14ac:dyDescent="0.25">
      <c r="M439" s="1"/>
    </row>
    <row r="440" spans="4:13" x14ac:dyDescent="0.25">
      <c r="M440" s="1"/>
    </row>
    <row r="441" spans="4:13" x14ac:dyDescent="0.25">
      <c r="M441" s="1"/>
    </row>
    <row r="442" spans="4:13" x14ac:dyDescent="0.25">
      <c r="M442" s="1"/>
    </row>
    <row r="443" spans="4:13" x14ac:dyDescent="0.25">
      <c r="M443" s="1"/>
    </row>
    <row r="444" spans="4:13" x14ac:dyDescent="0.25">
      <c r="M444" s="1"/>
    </row>
    <row r="445" spans="4:13" x14ac:dyDescent="0.25">
      <c r="M445" s="1"/>
    </row>
    <row r="446" spans="4:13" x14ac:dyDescent="0.25">
      <c r="M446" s="1"/>
    </row>
    <row r="447" spans="4:13" x14ac:dyDescent="0.25">
      <c r="M447" s="1"/>
    </row>
    <row r="448" spans="4:13" x14ac:dyDescent="0.25">
      <c r="M448" s="1"/>
    </row>
    <row r="449" spans="13:13" x14ac:dyDescent="0.25">
      <c r="M449" s="1"/>
    </row>
    <row r="450" spans="13:13" x14ac:dyDescent="0.25">
      <c r="M450" s="1"/>
    </row>
    <row r="451" spans="13:13" x14ac:dyDescent="0.25">
      <c r="M451" s="1"/>
    </row>
    <row r="452" spans="13:13" x14ac:dyDescent="0.25">
      <c r="M452" s="1"/>
    </row>
  </sheetData>
  <pageMargins left="0.7" right="0.7" top="0.75" bottom="0.75" header="0.3" footer="0.3"/>
  <ignoredErrors>
    <ignoredError sqref="E221:P280" calculatedColumn="1"/>
  </ignoredErrors>
  <tableParts count="24">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8CEF0-59FE-4C48-9801-0C22E47471C6}">
  <dimension ref="A1:BY250"/>
  <sheetViews>
    <sheetView showGridLines="0" tabSelected="1" topLeftCell="A227" zoomScale="85" zoomScaleNormal="85" workbookViewId="0">
      <selection activeCell="G262" sqref="G26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78</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7" t="s">
        <v>22</v>
      </c>
      <c r="E6" s="37" t="s">
        <v>23</v>
      </c>
      <c r="F6" s="37" t="s">
        <v>24</v>
      </c>
    </row>
    <row r="7" spans="1:65" ht="20.100000000000001" customHeight="1" x14ac:dyDescent="0.25">
      <c r="A7"/>
      <c r="D7" s="37" t="str" cm="1">
        <f t="array" ref="D7">Common_InputFunctions.Utility_DisplayArrayInTable(Common_SourceData.Common_SourceData_AustralianStatesTerritories_Data(),Table_AustralianStates[[#Headers],[State/Territory]],0)</f>
        <v>New South Wales</v>
      </c>
      <c r="E7" s="37" t="str" cm="1">
        <f t="array" ref="E7">Common_InputFunctions.Utility_DisplayArrayInTable(Common_SourceData.Common_SourceData_AustralianStatesTerritories_Data(),Table_AustralianStates[[#Headers],[State/Territory]],0)</f>
        <v>New South Wales</v>
      </c>
      <c r="F7" s="37" t="str" cm="1">
        <f t="array" ref="F7">Common_InputFunctions.Utility_DisplayArrayInTable(Common_SourceData.Common_SourceData_AustralianStatesTerritories_Data(),Table_AustralianStates[[#Headers],[State/Territory]],0)</f>
        <v>NSW</v>
      </c>
    </row>
    <row r="8" spans="1:65" ht="20.100000000000001" customHeight="1" x14ac:dyDescent="0.25">
      <c r="A8"/>
      <c r="D8" s="37" t="str" cm="1">
        <f t="array" ref="D8">Common_InputFunctions.Utility_DisplayArrayInTable(Common_SourceData.Common_SourceData_AustralianStatesTerritories_Data(),Table_AustralianStates[[#Headers],[State/Territory]],0)</f>
        <v>Australian Capital Territory</v>
      </c>
      <c r="E8" s="37" t="str" cm="1">
        <f t="array" ref="E8">Common_InputFunctions.Utility_DisplayArrayInTable(Common_SourceData.Common_SourceData_AustralianStatesTerritories_Data(),Table_AustralianStates[[#Headers],[State/Territory]],0)</f>
        <v>ACT</v>
      </c>
      <c r="F8" s="37" t="str" cm="1">
        <f t="array" ref="F8">Common_InputFunctions.Utility_DisplayArrayInTable(Common_SourceData.Common_SourceData_AustralianStatesTerritories_Data(),Table_AustralianStates[[#Headers],[State/Territory]],0)</f>
        <v>ACT</v>
      </c>
    </row>
    <row r="9" spans="1:65" ht="20.100000000000001" customHeight="1" x14ac:dyDescent="0.25">
      <c r="A9"/>
      <c r="D9" s="37" t="str" cm="1">
        <f t="array" ref="D9">Common_InputFunctions.Utility_DisplayArrayInTable(Common_SourceData.Common_SourceData_AustralianStatesTerritories_Data(),Table_AustralianStates[[#Headers],[State/Territory]],0)</f>
        <v>Victoria</v>
      </c>
      <c r="E9" s="37" t="str" cm="1">
        <f t="array" ref="E9">Common_InputFunctions.Utility_DisplayArrayInTable(Common_SourceData.Common_SourceData_AustralianStatesTerritories_Data(),Table_AustralianStates[[#Headers],[State/Territory]],0)</f>
        <v>Victoria</v>
      </c>
      <c r="F9" s="37"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7" t="str" cm="1">
        <f t="array" ref="D10">Common_InputFunctions.Utility_DisplayArrayInTable(Common_SourceData.Common_SourceData_AustralianStatesTerritories_Data(),Table_AustralianStates[[#Headers],[State/Territory]],0)</f>
        <v>Queensland</v>
      </c>
      <c r="E10" s="37" t="str" cm="1">
        <f t="array" ref="E10">Common_InputFunctions.Utility_DisplayArrayInTable(Common_SourceData.Common_SourceData_AustralianStatesTerritories_Data(),Table_AustralianStates[[#Headers],[State/Territory]],0)</f>
        <v>Queensland</v>
      </c>
      <c r="F10" s="37"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7" t="str" cm="1">
        <f t="array" ref="D11">Common_InputFunctions.Utility_DisplayArrayInTable(Common_SourceData.Common_SourceData_AustralianStatesTerritories_Data(),Table_AustralianStates[[#Headers],[State/Territory]],0)</f>
        <v>South Australia</v>
      </c>
      <c r="E11" s="37" t="str" cm="1">
        <f t="array" ref="E11">Common_InputFunctions.Utility_DisplayArrayInTable(Common_SourceData.Common_SourceData_AustralianStatesTerritories_Data(),Table_AustralianStates[[#Headers],[State/Territory]],0)</f>
        <v>South Australia</v>
      </c>
      <c r="F11" s="37"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7" t="str" cm="1">
        <f t="array" ref="D12">Common_InputFunctions.Utility_DisplayArrayInTable(Common_SourceData.Common_SourceData_AustralianStatesTerritories_Data(),Table_AustralianStates[[#Headers],[State/Territory]],0)</f>
        <v>Western Australia</v>
      </c>
      <c r="E12" s="37" t="str" cm="1">
        <f t="array" ref="E12">Common_InputFunctions.Utility_DisplayArrayInTable(Common_SourceData.Common_SourceData_AustralianStatesTerritories_Data(),Table_AustralianStates[[#Headers],[State/Territory]],0)</f>
        <v>Western Australia</v>
      </c>
      <c r="F12" s="37"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7" t="str" cm="1">
        <f t="array" ref="D13">Common_InputFunctions.Utility_DisplayArrayInTable(Common_SourceData.Common_SourceData_AustralianStatesTerritories_Data(),Table_AustralianStates[[#Headers],[State/Territory]],0)</f>
        <v>Tasmania</v>
      </c>
      <c r="E13" s="37" t="str" cm="1">
        <f t="array" ref="E13">Common_InputFunctions.Utility_DisplayArrayInTable(Common_SourceData.Common_SourceData_AustralianStatesTerritories_Data(),Table_AustralianStates[[#Headers],[State/Territory]],0)</f>
        <v>Tasmania</v>
      </c>
      <c r="F13" s="37"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7" t="str" cm="1">
        <f t="array" ref="D14">Common_InputFunctions.Utility_DisplayArrayInTable(Common_SourceData.Common_SourceData_AustralianStatesTerritories_Data(),Table_AustralianStates[[#Headers],[State/Territory]],0)</f>
        <v>Northern Territory</v>
      </c>
      <c r="E14" s="37" t="str" cm="1">
        <f t="array" ref="E14">Common_InputFunctions.Utility_DisplayArrayInTable(Common_SourceData.Common_SourceData_AustralianStatesTerritories_Data(),Table_AustralianStates[[#Headers],[State/Territory]],0)</f>
        <v>Northern Territory</v>
      </c>
      <c r="F14" s="37"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7" t="s">
        <v>25</v>
      </c>
    </row>
    <row r="21" spans="1:4" ht="20.100000000000001" customHeight="1" x14ac:dyDescent="0.25">
      <c r="A21"/>
      <c r="D21" s="37" t="str" cm="1">
        <f t="array" ref="D21">Common_InputFunctions.Utility_DisplayArrayInTable(Common_SourceData.Common_SourceData_WASA4Areas_Data(), Table_WASA4Areas[[#Headers],[SA 4 Name]], 0)</f>
        <v>Bunbury</v>
      </c>
    </row>
    <row r="22" spans="1:4" ht="20.100000000000001" customHeight="1" x14ac:dyDescent="0.25">
      <c r="A22"/>
      <c r="D22" s="37" t="str" cm="1">
        <f t="array" ref="D22">Common_InputFunctions.Utility_DisplayArrayInTable(Common_SourceData.Common_SourceData_WASA4Areas_Data(), Table_WASA4Areas[[#Headers],[SA 4 Name]], 0)</f>
        <v>Mandurah</v>
      </c>
    </row>
    <row r="23" spans="1:4" ht="20.100000000000001" customHeight="1" x14ac:dyDescent="0.25">
      <c r="A23"/>
      <c r="D23" s="37" t="str" cm="1">
        <f t="array" ref="D23">Common_InputFunctions.Utility_DisplayArrayInTable(Common_SourceData.Common_SourceData_WASA4Areas_Data(), Table_WASA4Areas[[#Headers],[SA 4 Name]], 0)</f>
        <v>Perth - Inner</v>
      </c>
    </row>
    <row r="24" spans="1:4" ht="20.100000000000001" customHeight="1" x14ac:dyDescent="0.25">
      <c r="A24"/>
      <c r="D24" s="37" t="str" cm="1">
        <f t="array" ref="D24">Common_InputFunctions.Utility_DisplayArrayInTable(Common_SourceData.Common_SourceData_WASA4Areas_Data(), Table_WASA4Areas[[#Headers],[SA 4 Name]], 0)</f>
        <v>Perth - North East</v>
      </c>
    </row>
    <row r="25" spans="1:4" ht="20.100000000000001" customHeight="1" x14ac:dyDescent="0.25">
      <c r="A25"/>
      <c r="D25" s="37" t="str" cm="1">
        <f t="array" ref="D25">Common_InputFunctions.Utility_DisplayArrayInTable(Common_SourceData.Common_SourceData_WASA4Areas_Data(), Table_WASA4Areas[[#Headers],[SA 4 Name]], 0)</f>
        <v>Perth - North West</v>
      </c>
    </row>
    <row r="26" spans="1:4" ht="20.100000000000001" customHeight="1" x14ac:dyDescent="0.25">
      <c r="A26"/>
      <c r="D26" s="37" t="str" cm="1">
        <f t="array" ref="D26">Common_InputFunctions.Utility_DisplayArrayInTable(Common_SourceData.Common_SourceData_WASA4Areas_Data(), Table_WASA4Areas[[#Headers],[SA 4 Name]], 0)</f>
        <v>Perth - South East</v>
      </c>
    </row>
    <row r="27" spans="1:4" ht="20.100000000000001" customHeight="1" x14ac:dyDescent="0.25">
      <c r="A27"/>
      <c r="D27" s="37" t="str" cm="1">
        <f t="array" ref="D27">Common_InputFunctions.Utility_DisplayArrayInTable(Common_SourceData.Common_SourceData_WASA4Areas_Data(), Table_WASA4Areas[[#Headers],[SA 4 Name]], 0)</f>
        <v>Perth - South West</v>
      </c>
    </row>
    <row r="28" spans="1:4" ht="20.100000000000001" customHeight="1" x14ac:dyDescent="0.25">
      <c r="A28"/>
      <c r="D28" s="37"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7"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7"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7" t="s">
        <v>28</v>
      </c>
      <c r="E36" s="37" t="s">
        <v>29</v>
      </c>
    </row>
    <row r="37" spans="1:8" ht="20.100000000000001" customHeight="1" x14ac:dyDescent="0.25">
      <c r="A37"/>
      <c r="D37" s="37" t="str" cm="1">
        <f t="array" ref="D37">Common_InputFunctions.Utility_DisplayArrayInTable(Common_SourceData.Common_SourceData_GWP_Data(), Table_GWPData[[#Headers],[Gas]], 0)</f>
        <v>CO2</v>
      </c>
      <c r="E37" s="37" cm="1">
        <f t="array" ref="E37">Common_InputFunctions.Utility_DisplayArrayInTable(Common_SourceData.Common_SourceData_GWP_Data(), Table_GWPData[[#Headers],[Gas]], 0)</f>
        <v>1</v>
      </c>
    </row>
    <row r="38" spans="1:8" ht="20.100000000000001" customHeight="1" x14ac:dyDescent="0.25">
      <c r="A38"/>
      <c r="D38" s="37" t="str" cm="1">
        <f t="array" ref="D38">Common_InputFunctions.Utility_DisplayArrayInTable(Common_SourceData.Common_SourceData_GWP_Data(), Table_GWPData[[#Headers],[Gas]], 0)</f>
        <v>CH4</v>
      </c>
      <c r="E38" s="37" cm="1">
        <f t="array" ref="E38">Common_InputFunctions.Utility_DisplayArrayInTable(Common_SourceData.Common_SourceData_GWP_Data(), Table_GWPData[[#Headers],[Gas]], 0)</f>
        <v>28</v>
      </c>
    </row>
    <row r="39" spans="1:8" ht="20.100000000000001" customHeight="1" x14ac:dyDescent="0.25">
      <c r="A39"/>
      <c r="D39" s="37" t="str" cm="1">
        <f t="array" ref="D39">Common_InputFunctions.Utility_DisplayArrayInTable(Common_SourceData.Common_SourceData_GWP_Data(), Table_GWPData[[#Headers],[Gas]], 0)</f>
        <v>N2O</v>
      </c>
      <c r="E39" s="37" cm="1">
        <f t="array" ref="E39">Common_InputFunctions.Utility_DisplayArrayInTable(Common_SourceData.Common_SourceData_GWP_Data(), Table_GWPData[[#Headers],[Gas]], 0)</f>
        <v>265</v>
      </c>
    </row>
    <row r="40" spans="1:8" ht="20.100000000000001" customHeight="1" x14ac:dyDescent="0.25">
      <c r="A40"/>
      <c r="D40" s="37" t="str" cm="1">
        <f t="array" ref="D40">Common_InputFunctions.Utility_DisplayArrayInTable(Common_SourceData.Common_SourceData_GWP_Data(), Table_GWPData[[#Headers],[Gas]], 0)</f>
        <v>CF4</v>
      </c>
      <c r="E40" s="37" cm="1">
        <f t="array" ref="E40">Common_InputFunctions.Utility_DisplayArrayInTable(Common_SourceData.Common_SourceData_GWP_Data(), Table_GWPData[[#Headers],[Gas]], 0)</f>
        <v>6630</v>
      </c>
    </row>
    <row r="41" spans="1:8" ht="20.100000000000001" customHeight="1" x14ac:dyDescent="0.25">
      <c r="A41"/>
      <c r="D41" s="37" t="str" cm="1">
        <f t="array" ref="D41">Common_InputFunctions.Utility_DisplayArrayInTable(Common_SourceData.Common_SourceData_GWP_Data(), Table_GWPData[[#Headers],[Gas]], 0)</f>
        <v>C2F6</v>
      </c>
      <c r="E41" s="37" cm="1">
        <f t="array" ref="E41">Common_InputFunctions.Utility_DisplayArrayInTable(Common_SourceData.Common_SourceData_GWP_Data(), Table_GWPData[[#Headers],[Gas]], 0)</f>
        <v>12200</v>
      </c>
    </row>
    <row r="42" spans="1:8" ht="20.100000000000001" customHeight="1" x14ac:dyDescent="0.25">
      <c r="D42" s="37" t="str" cm="1">
        <f t="array" ref="D42">Common_InputFunctions.Utility_DisplayArrayInTable(Common_SourceData.Common_SourceData_GWP_Data(), Table_GWPData[[#Headers],[Gas]], 0)</f>
        <v>SF6</v>
      </c>
      <c r="E42" s="37" cm="1">
        <f t="array" ref="E42">Common_InputFunctions.Utility_DisplayArrayInTable(Common_SourceData.Common_SourceData_GWP_Data(), Table_GWPData[[#Headers],[Gas]], 0)</f>
        <v>22800</v>
      </c>
    </row>
    <row r="43" spans="1:8" ht="20.100000000000001" customHeight="1" x14ac:dyDescent="0.25">
      <c r="D43" s="37" t="str" cm="1">
        <f t="array" ref="D43">Common_InputFunctions.Utility_DisplayArrayInTable(Common_SourceData.Common_SourceData_GWP_Data(), Table_GWPData[[#Headers],[Gas]], 0)</f>
        <v>NF3</v>
      </c>
      <c r="E43" s="37"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7" t="s">
        <v>28</v>
      </c>
      <c r="E47" s="37" t="s">
        <v>31</v>
      </c>
      <c r="F47" s="37" t="s">
        <v>32</v>
      </c>
      <c r="G47" s="37" t="s">
        <v>33</v>
      </c>
      <c r="H47" s="37" t="s">
        <v>34</v>
      </c>
    </row>
    <row r="48" spans="1:8" ht="20.100000000000001" customHeight="1" x14ac:dyDescent="0.25">
      <c r="D48" s="37" t="str" cm="1">
        <f t="array" ref="D48">Common_InputFunctions.Utility_DisplayArrayInTable(Common_SourceData.Common_SourceData_ConvertGasElementalToMolecular_Data(),Table_GasToMolecularConversionFactor[[#Headers],[Gas]], 0)</f>
        <v>CO2</v>
      </c>
      <c r="E48" s="37" t="str" cm="1">
        <f t="array" ref="E48">Common_InputFunctions.Utility_DisplayArrayInTable(Common_SourceData.Common_SourceData_ConvertGasElementalToMolecular_Data(),Table_GasToMolecularConversionFactor[[#Headers],[Gas]], 0)</f>
        <v>44/12</v>
      </c>
      <c r="F48" s="37" cm="1">
        <f t="array" ref="F48">Common_InputFunctions.Utility_DisplayArrayInTable(Common_SourceData.Common_SourceData_ConvertGasElementalToMolecular_Data(),Table_GasToMolecularConversionFactor[[#Headers],[Gas]], 0)</f>
        <v>44</v>
      </c>
      <c r="G48" s="37" cm="1">
        <f t="array" ref="G48">Common_InputFunctions.Utility_DisplayArrayInTable(Common_SourceData.Common_SourceData_ConvertGasElementalToMolecular_Data(),Table_GasToMolecularConversionFactor[[#Headers],[Gas]], 0)</f>
        <v>12</v>
      </c>
      <c r="H48" s="37">
        <f>Table_GasToMolecularConversionFactor[[#This Row],[Conversion factor 1]]/Table_GasToMolecularConversionFactor[[#This Row],[Conversion factor 2]]</f>
        <v>3.6666666666666665</v>
      </c>
    </row>
    <row r="49" spans="4:8" ht="20.100000000000001" customHeight="1" x14ac:dyDescent="0.25">
      <c r="D49" s="37" t="str" cm="1">
        <f t="array" ref="D49">Common_InputFunctions.Utility_DisplayArrayInTable(Common_SourceData.Common_SourceData_ConvertGasElementalToMolecular_Data(),Table_GasToMolecularConversionFactor[[#Headers],[Gas]], 0)</f>
        <v>CH4</v>
      </c>
      <c r="E49" s="37" t="str" cm="1">
        <f t="array" ref="E49">Common_InputFunctions.Utility_DisplayArrayInTable(Common_SourceData.Common_SourceData_ConvertGasElementalToMolecular_Data(),Table_GasToMolecularConversionFactor[[#Headers],[Gas]], 0)</f>
        <v>16/12</v>
      </c>
      <c r="F49" s="37" cm="1">
        <f t="array" ref="F49">Common_InputFunctions.Utility_DisplayArrayInTable(Common_SourceData.Common_SourceData_ConvertGasElementalToMolecular_Data(),Table_GasToMolecularConversionFactor[[#Headers],[Gas]], 0)</f>
        <v>16</v>
      </c>
      <c r="G49" s="37" cm="1">
        <f t="array" ref="G49">Common_InputFunctions.Utility_DisplayArrayInTable(Common_SourceData.Common_SourceData_ConvertGasElementalToMolecular_Data(),Table_GasToMolecularConversionFactor[[#Headers],[Gas]], 0)</f>
        <v>12</v>
      </c>
      <c r="H49" s="37">
        <f>Table_GasToMolecularConversionFactor[[#This Row],[Conversion factor 1]]/Table_GasToMolecularConversionFactor[[#This Row],[Conversion factor 2]]</f>
        <v>1.3333333333333333</v>
      </c>
    </row>
    <row r="50" spans="4:8" ht="20.100000000000001" customHeight="1" x14ac:dyDescent="0.25">
      <c r="D50" s="37" t="str" cm="1">
        <f t="array" ref="D50">Common_InputFunctions.Utility_DisplayArrayInTable(Common_SourceData.Common_SourceData_ConvertGasElementalToMolecular_Data(),Table_GasToMolecularConversionFactor[[#Headers],[Gas]], 0)</f>
        <v>N2O</v>
      </c>
      <c r="E50" s="37" t="str" cm="1">
        <f t="array" ref="E50">Common_InputFunctions.Utility_DisplayArrayInTable(Common_SourceData.Common_SourceData_ConvertGasElementalToMolecular_Data(),Table_GasToMolecularConversionFactor[[#Headers],[Gas]], 0)</f>
        <v>44/28</v>
      </c>
      <c r="F50" s="37" cm="1">
        <f t="array" ref="F50">Common_InputFunctions.Utility_DisplayArrayInTable(Common_SourceData.Common_SourceData_ConvertGasElementalToMolecular_Data(),Table_GasToMolecularConversionFactor[[#Headers],[Gas]], 0)</f>
        <v>44</v>
      </c>
      <c r="G50" s="37" cm="1">
        <f t="array" ref="G50">Common_InputFunctions.Utility_DisplayArrayInTable(Common_SourceData.Common_SourceData_ConvertGasElementalToMolecular_Data(),Table_GasToMolecularConversionFactor[[#Headers],[Gas]], 0)</f>
        <v>28</v>
      </c>
      <c r="H50" s="37">
        <f>Table_GasToMolecularConversionFactor[[#This Row],[Conversion factor 1]]/Table_GasToMolecularConversionFactor[[#This Row],[Conversion factor 2]]</f>
        <v>1.5714285714285714</v>
      </c>
    </row>
    <row r="51" spans="4:8" ht="20.100000000000001" customHeight="1" x14ac:dyDescent="0.25">
      <c r="D51" s="37" t="str" cm="1">
        <f t="array" ref="D51">Common_InputFunctions.Utility_DisplayArrayInTable(Common_SourceData.Common_SourceData_ConvertGasElementalToMolecular_Data(),Table_GasToMolecularConversionFactor[[#Headers],[Gas]], 0)</f>
        <v>Nox</v>
      </c>
      <c r="E51" s="37" t="str" cm="1">
        <f t="array" ref="E51">Common_InputFunctions.Utility_DisplayArrayInTable(Common_SourceData.Common_SourceData_ConvertGasElementalToMolecular_Data(),Table_GasToMolecularConversionFactor[[#Headers],[Gas]], 0)</f>
        <v>46/14</v>
      </c>
      <c r="F51" s="37" cm="1">
        <f t="array" ref="F51">Common_InputFunctions.Utility_DisplayArrayInTable(Common_SourceData.Common_SourceData_ConvertGasElementalToMolecular_Data(),Table_GasToMolecularConversionFactor[[#Headers],[Gas]], 0)</f>
        <v>46</v>
      </c>
      <c r="G51" s="37" cm="1">
        <f t="array" ref="G51">Common_InputFunctions.Utility_DisplayArrayInTable(Common_SourceData.Common_SourceData_ConvertGasElementalToMolecular_Data(),Table_GasToMolecularConversionFactor[[#Headers],[Gas]], 0)</f>
        <v>14</v>
      </c>
      <c r="H51" s="37">
        <f>Table_GasToMolecularConversionFactor[[#This Row],[Conversion factor 1]]/Table_GasToMolecularConversionFactor[[#This Row],[Conversion factor 2]]</f>
        <v>3.2857142857142856</v>
      </c>
    </row>
    <row r="52" spans="4:8" ht="20.100000000000001" customHeight="1" x14ac:dyDescent="0.25">
      <c r="D52" s="37" t="str" cm="1">
        <f t="array" ref="D52">Common_InputFunctions.Utility_DisplayArrayInTable(Common_SourceData.Common_SourceData_ConvertGasElementalToMolecular_Data(),Table_GasToMolecularConversionFactor[[#Headers],[Gas]], 0)</f>
        <v>CO</v>
      </c>
      <c r="E52" s="37" t="str" cm="1">
        <f t="array" ref="E52">Common_InputFunctions.Utility_DisplayArrayInTable(Common_SourceData.Common_SourceData_ConvertGasElementalToMolecular_Data(),Table_GasToMolecularConversionFactor[[#Headers],[Gas]], 0)</f>
        <v>28/12</v>
      </c>
      <c r="F52" s="37" cm="1">
        <f t="array" ref="F52">Common_InputFunctions.Utility_DisplayArrayInTable(Common_SourceData.Common_SourceData_ConvertGasElementalToMolecular_Data(),Table_GasToMolecularConversionFactor[[#Headers],[Gas]], 0)</f>
        <v>28</v>
      </c>
      <c r="G52" s="37" cm="1">
        <f t="array" ref="G52">Common_InputFunctions.Utility_DisplayArrayInTable(Common_SourceData.Common_SourceData_ConvertGasElementalToMolecular_Data(),Table_GasToMolecularConversionFactor[[#Headers],[Gas]], 0)</f>
        <v>12</v>
      </c>
      <c r="H52" s="37">
        <f>Table_GasToMolecularConversionFactor[[#This Row],[Conversion factor 1]]/Table_GasToMolecularConversionFactor[[#This Row],[Conversion factor 2]]</f>
        <v>2.3333333333333335</v>
      </c>
    </row>
    <row r="53" spans="4:8" ht="20.100000000000001" customHeight="1" x14ac:dyDescent="0.25">
      <c r="D53" s="37" t="str" cm="1">
        <f t="array" ref="D53">Common_InputFunctions.Utility_DisplayArrayInTable(Common_SourceData.Common_SourceData_ConvertGasElementalToMolecular_Data(),Table_GasToMolecularConversionFactor[[#Headers],[Gas]], 0)</f>
        <v>CO2 Lime</v>
      </c>
      <c r="E53" s="37" t="str" cm="1">
        <f t="array" ref="E53">Common_InputFunctions.Utility_DisplayArrayInTable(Common_SourceData.Common_SourceData_ConvertGasElementalToMolecular_Data(),Table_GasToMolecularConversionFactor[[#Headers],[Gas]], 0)</f>
        <v>44/12</v>
      </c>
      <c r="F53" s="37" cm="1">
        <f t="array" ref="F53">Common_InputFunctions.Utility_DisplayArrayInTable(Common_SourceData.Common_SourceData_ConvertGasElementalToMolecular_Data(),Table_GasToMolecularConversionFactor[[#Headers],[Gas]], 0)</f>
        <v>44</v>
      </c>
      <c r="G53" s="37" cm="1">
        <f t="array" ref="G53">Common_InputFunctions.Utility_DisplayArrayInTable(Common_SourceData.Common_SourceData_ConvertGasElementalToMolecular_Data(),Table_GasToMolecularConversionFactor[[#Headers],[Gas]], 0)</f>
        <v>12</v>
      </c>
      <c r="H53" s="37">
        <f>Table_GasToMolecularConversionFactor[[#This Row],[Conversion factor 1]]/Table_GasToMolecularConversionFactor[[#This Row],[Conversion factor 2]]</f>
        <v>3.6666666666666665</v>
      </c>
    </row>
    <row r="54" spans="4:8" ht="20.100000000000001" customHeight="1" x14ac:dyDescent="0.25">
      <c r="D54" s="37" t="str" cm="1">
        <f t="array" ref="D54">Common_InputFunctions.Utility_DisplayArrayInTable(Common_SourceData.Common_SourceData_ConvertGasElementalToMolecular_Data(),Table_GasToMolecularConversionFactor[[#Headers],[Gas]], 0)</f>
        <v>NMVOC</v>
      </c>
      <c r="E54" s="37" t="str" cm="1">
        <f t="array" ref="E54">Common_InputFunctions.Utility_DisplayArrayInTable(Common_SourceData.Common_SourceData_ConvertGasElementalToMolecular_Data(),Table_GasToMolecularConversionFactor[[#Headers],[Gas]], 0)</f>
        <v>14/12</v>
      </c>
      <c r="F54" s="37" cm="1">
        <f t="array" ref="F54">Common_InputFunctions.Utility_DisplayArrayInTable(Common_SourceData.Common_SourceData_ConvertGasElementalToMolecular_Data(),Table_GasToMolecularConversionFactor[[#Headers],[Gas]], 0)</f>
        <v>14</v>
      </c>
      <c r="G54" s="37" cm="1">
        <f t="array" ref="G54">Common_InputFunctions.Utility_DisplayArrayInTable(Common_SourceData.Common_SourceData_ConvertGasElementalToMolecular_Data(),Table_GasToMolecularConversionFactor[[#Headers],[Gas]], 0)</f>
        <v>12</v>
      </c>
      <c r="H54" s="37">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5" t="str" cm="1">
        <f t="array" ref="D59:D61">"⚠️" &amp; Common_SourceData.Common_SourceData_WetAndDryZones_Variation()</f>
        <v>⚠️VARIATION OF SOURCE DATA:</v>
      </c>
    </row>
    <row r="60" spans="4:8" ht="20.100000000000001" customHeight="1" x14ac:dyDescent="0.25">
      <c r="D60" s="55" t="str">
        <v>⚠️Added warm / cool temperate moist / dry - low frost and high temp classes to accommodate climate scenarios excluded by VEERG criteria.</v>
      </c>
    </row>
    <row r="61" spans="4:8" ht="20.100000000000001" customHeight="1" x14ac:dyDescent="0.25">
      <c r="D61" s="55" t="str">
        <v>⚠️Fixed typo - Changed 'Fry' to 'Dry'.</v>
      </c>
    </row>
    <row r="62" spans="4:8" ht="20.100000000000001" customHeight="1" x14ac:dyDescent="0.25"/>
    <row r="63" spans="4:8" ht="20.100000000000001" customHeight="1" x14ac:dyDescent="0.25">
      <c r="D63" s="37" t="s">
        <v>10</v>
      </c>
      <c r="E63" s="37" t="s">
        <v>49</v>
      </c>
    </row>
    <row r="64" spans="4:8" ht="20.100000000000001" customHeight="1" x14ac:dyDescent="0.25">
      <c r="D64" s="37" t="str" cm="1">
        <f t="array" ref="D64">Common_InputFunctions.Utility_DisplayArrayInTable(Common_SourceData.Common_SourceData_WetAndDryZones_Data(), Table_SourceData_WetDryZones[[#Headers],[Climate zone]], 0)</f>
        <v>Tropical montane</v>
      </c>
      <c r="E64" s="37"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7" t="str" cm="1">
        <f t="array" ref="D65">Common_InputFunctions.Utility_DisplayArrayInTable(Common_SourceData.Common_SourceData_WetAndDryZones_Data(), Table_SourceData_WetDryZones[[#Headers],[Climate zone]], 0)</f>
        <v>Tropical wet</v>
      </c>
      <c r="E65" s="37"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7" t="str" cm="1">
        <f t="array" ref="D66">Common_InputFunctions.Utility_DisplayArrayInTable(Common_SourceData.Common_SourceData_WetAndDryZones_Data(), Table_SourceData_WetDryZones[[#Headers],[Climate zone]], 0)</f>
        <v>Tropical moist</v>
      </c>
      <c r="E66" s="37"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7" t="str" cm="1">
        <f t="array" ref="D67">Common_InputFunctions.Utility_DisplayArrayInTable(Common_SourceData.Common_SourceData_WetAndDryZones_Data(), Table_SourceData_WetDryZones[[#Headers],[Climate zone]], 0)</f>
        <v>Tropical dry</v>
      </c>
      <c r="E67" s="37"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7" t="str" cm="1">
        <f t="array" ref="D68">Common_InputFunctions.Utility_DisplayArrayInTable(Common_SourceData.Common_SourceData_WetAndDryZones_Data(), Table_SourceData_WetDryZones[[#Headers],[Climate zone]], 0)</f>
        <v>Warm temperate moist</v>
      </c>
      <c r="E68" s="37"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7" t="str" cm="1">
        <f t="array" ref="D69">Common_InputFunctions.Utility_DisplayArrayInTable(Common_SourceData.Common_SourceData_WetAndDryZones_Data(), Table_SourceData_WetDryZones[[#Headers],[Climate zone]], 0)</f>
        <v>Warm temperate dry</v>
      </c>
      <c r="E69" s="37"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7" t="str" cm="1">
        <f t="array" ref="D70">Common_InputFunctions.Utility_DisplayArrayInTable(Common_SourceData.Common_SourceData_WetAndDryZones_Data(), Table_SourceData_WetDryZones[[#Headers],[Climate zone]], 0)</f>
        <v>Cool temperate moist</v>
      </c>
      <c r="E70" s="37"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7" t="str" cm="1">
        <f t="array" ref="D71">Common_InputFunctions.Utility_DisplayArrayInTable(Common_SourceData.Common_SourceData_WetAndDryZones_Data(), Table_SourceData_WetDryZones[[#Headers],[Climate zone]], 0)</f>
        <v>Cool temperate dry</v>
      </c>
      <c r="E71" s="37"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7" t="str" cm="1">
        <f t="array" ref="D72">Common_InputFunctions.Utility_DisplayArrayInTable(Common_SourceData.Common_SourceData_WetAndDryZones_Data(), Table_SourceData_WetDryZones[[#Headers],[Climate zone]], 0)</f>
        <v>Warm temperate moist - low frost</v>
      </c>
      <c r="E72" s="37"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7" t="str" cm="1">
        <f t="array" ref="D73">Common_InputFunctions.Utility_DisplayArrayInTable(Common_SourceData.Common_SourceData_WetAndDryZones_Data(), Table_SourceData_WetDryZones[[#Headers],[Climate zone]], 0)</f>
        <v>Warm temperate dry - low frost</v>
      </c>
      <c r="E73" s="37"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7" t="str" cm="1">
        <f t="array" ref="D74">Common_InputFunctions.Utility_DisplayArrayInTable(Common_SourceData.Common_SourceData_WetAndDryZones_Data(), Table_SourceData_WetDryZones[[#Headers],[Climate zone]], 0)</f>
        <v>Warm temperate moist - high temp</v>
      </c>
      <c r="E74" s="37"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7" t="str" cm="1">
        <f t="array" ref="D75">Common_InputFunctions.Utility_DisplayArrayInTable(Common_SourceData.Common_SourceData_WetAndDryZones_Data(), Table_SourceData_WetDryZones[[#Headers],[Climate zone]], 0)</f>
        <v>Warm temperate dry - high temp</v>
      </c>
      <c r="E75" s="37"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7" t="str" cm="1">
        <f t="array" ref="D76">Common_InputFunctions.Utility_DisplayArrayInTable(Common_SourceData.Common_SourceData_WetAndDryZones_Data(), Table_SourceData_WetDryZones[[#Headers],[Climate zone]], 0)</f>
        <v>Cool temperate moist - low frost</v>
      </c>
      <c r="E76" s="37"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7" t="str" cm="1">
        <f t="array" ref="D77">Common_InputFunctions.Utility_DisplayArrayInTable(Common_SourceData.Common_SourceData_WetAndDryZones_Data(), Table_SourceData_WetDryZones[[#Headers],[Climate zone]], 0)</f>
        <v>Cool temperate dry - low frost</v>
      </c>
      <c r="E77" s="37"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5" t="str" cm="1">
        <f t="array" ref="D83:D87">"⚠️" &amp; Common_SourceData.Common_SourceData_ClimateZones_Variation()</f>
        <v>⚠️VARIATION OF SOURCE DATA:</v>
      </c>
    </row>
    <row r="84" spans="4:20" ht="20.100000000000001" customHeight="1" x14ac:dyDescent="0.25">
      <c r="D84" s="55" t="str">
        <v>⚠️Added warm / cool temperate moist / dry - low frost and high temp classes to accommodate climate scenarios excluded by VEERG criteria.</v>
      </c>
    </row>
    <row r="85" spans="4:20" ht="20.100000000000001" customHeight="1" x14ac:dyDescent="0.25">
      <c r="D85" s="55" t="str">
        <v>⚠️Fixed typo in MAT value for warm temperate dry - changed 10 to 11.</v>
      </c>
    </row>
    <row r="86" spans="4:20" ht="20.100000000000001" customHeight="1" x14ac:dyDescent="0.25">
      <c r="D86" s="55" t="str">
        <v>⚠️Added min and max columns for MAT, MAP, frost days per year, elevation, MAP:PET to calculate zones from real climate data.</v>
      </c>
    </row>
    <row r="87" spans="4:20" ht="20.100000000000001" customHeight="1" x14ac:dyDescent="0.25">
      <c r="D87" s="55" t="str">
        <v>⚠️GAF accepts rainfall as a proxy for precipitation.</v>
      </c>
    </row>
    <row r="88" spans="4:20" ht="20.100000000000001" customHeight="1" x14ac:dyDescent="0.25"/>
    <row r="89" spans="4:20" ht="20.100000000000001" customHeight="1" x14ac:dyDescent="0.25">
      <c r="D89" s="37" t="s">
        <v>10</v>
      </c>
      <c r="E89" s="37" t="s">
        <v>37</v>
      </c>
      <c r="F89" s="37" t="s">
        <v>38</v>
      </c>
      <c r="G89" s="37" t="s">
        <v>39</v>
      </c>
      <c r="H89" s="37" t="s">
        <v>40</v>
      </c>
      <c r="I89" s="37" t="s">
        <v>41</v>
      </c>
      <c r="J89" s="37" t="s">
        <v>42</v>
      </c>
      <c r="K89" s="37" t="s">
        <v>43</v>
      </c>
      <c r="L89" s="37" t="s">
        <v>44</v>
      </c>
      <c r="M89" s="37" t="s">
        <v>45</v>
      </c>
      <c r="N89" s="37" t="s">
        <v>46</v>
      </c>
      <c r="O89" s="37" t="s">
        <v>50</v>
      </c>
      <c r="P89" s="37" t="s">
        <v>47</v>
      </c>
      <c r="Q89" s="37" t="s">
        <v>51</v>
      </c>
      <c r="R89" s="37" t="s">
        <v>48</v>
      </c>
      <c r="S89" s="37" t="s">
        <v>52</v>
      </c>
      <c r="T89" s="37"/>
    </row>
    <row r="90" spans="4:20" ht="20.100000000000001" customHeight="1" x14ac:dyDescent="0.25">
      <c r="D90" s="37" t="str" cm="1">
        <f t="array" ref="D90">Common_InputFunctions.Utility_DisplayArrayInTable(Common_SourceData.Common_SourceData_ClimateZones_Data(), Table_SourceData_ClimateZones[[#Headers],[Climate zone]], 0)</f>
        <v>Tropical montane</v>
      </c>
      <c r="E90" s="37" t="str" cm="1">
        <f t="array" ref="E90">Common_InputFunctions.Utility_DisplayArrayInTable(Common_SourceData.Common_SourceData_ClimateZones_Data(), Table_SourceData_ClimateZones[[#Headers],[Climate zone]], 0)</f>
        <v>&gt; 18 C</v>
      </c>
      <c r="F90" s="37" t="str" cm="1">
        <f t="array" ref="F90">Common_InputFunctions.Utility_DisplayArrayInTable(Common_SourceData.Common_SourceData_ClimateZones_Data(), Table_SourceData_ClimateZones[[#Headers],[Climate zone]], 0)</f>
        <v>Any</v>
      </c>
      <c r="G90" s="37" t="str" cm="1">
        <f t="array" ref="G90">Common_InputFunctions.Utility_DisplayArrayInTable(Common_SourceData.Common_SourceData_ClimateZones_Data(), Table_SourceData_ClimateZones[[#Headers],[Climate zone]], 0)</f>
        <v>≤ 7</v>
      </c>
      <c r="H90" s="37" t="str" cm="1">
        <f t="array" ref="H90">Common_InputFunctions.Utility_DisplayArrayInTable(Common_SourceData.Common_SourceData_ClimateZones_Data(), Table_SourceData_ClimateZones[[#Headers],[Climate zone]], 0)</f>
        <v>&gt; 1000 m</v>
      </c>
      <c r="I90" s="37" t="str" cm="1">
        <f t="array" ref="I90">Common_InputFunctions.Utility_DisplayArrayInTable(Common_SourceData.Common_SourceData_ClimateZones_Data(), Table_SourceData_ClimateZones[[#Headers],[Climate zone]], 0)</f>
        <v>Any</v>
      </c>
      <c r="J90" s="37" cm="1">
        <f t="array" ref="J90">Common_InputFunctions.Utility_DisplayArrayInTable(Common_SourceData.Common_SourceData_ClimateZones_Data(), Table_SourceData_ClimateZones[[#Headers],[Climate zone]], 0)</f>
        <v>18.001000000000001</v>
      </c>
      <c r="K90" s="37" cm="1">
        <f t="array" ref="K90">Common_InputFunctions.Utility_DisplayArrayInTable(Common_SourceData.Common_SourceData_ClimateZones_Data(), Table_SourceData_ClimateZones[[#Headers],[Climate zone]], 0)</f>
        <v>999999</v>
      </c>
      <c r="L90" s="37" cm="1">
        <f t="array" ref="L90">Common_InputFunctions.Utility_DisplayArrayInTable(Common_SourceData.Common_SourceData_ClimateZones_Data(), Table_SourceData_ClimateZones[[#Headers],[Climate zone]], 0)</f>
        <v>-999999</v>
      </c>
      <c r="M90" s="37" cm="1">
        <f t="array" ref="M90">Common_InputFunctions.Utility_DisplayArrayInTable(Common_SourceData.Common_SourceData_ClimateZones_Data(), Table_SourceData_ClimateZones[[#Headers],[Climate zone]], 0)</f>
        <v>999999</v>
      </c>
      <c r="N90" s="37" cm="1">
        <f t="array" ref="N90">Common_InputFunctions.Utility_DisplayArrayInTable(Common_SourceData.Common_SourceData_ClimateZones_Data(), Table_SourceData_ClimateZones[[#Headers],[Climate zone]], 0)</f>
        <v>-999999</v>
      </c>
      <c r="O90" s="37" cm="1">
        <f t="array" ref="O90">Common_InputFunctions.Utility_DisplayArrayInTable(Common_SourceData.Common_SourceData_ClimateZones_Data(), Table_SourceData_ClimateZones[[#Headers],[Climate zone]], 0)</f>
        <v>7</v>
      </c>
      <c r="P90" s="37" cm="1">
        <f t="array" ref="P90">Common_InputFunctions.Utility_DisplayArrayInTable(Common_SourceData.Common_SourceData_ClimateZones_Data(), Table_SourceData_ClimateZones[[#Headers],[Climate zone]], 0)</f>
        <v>1000</v>
      </c>
      <c r="Q90" s="37" cm="1">
        <f t="array" ref="Q90">Common_InputFunctions.Utility_DisplayArrayInTable(Common_SourceData.Common_SourceData_ClimateZones_Data(), Table_SourceData_ClimateZones[[#Headers],[Climate zone]], 0)</f>
        <v>999999</v>
      </c>
      <c r="R90" s="37" cm="1">
        <f t="array" ref="R90">Common_InputFunctions.Utility_DisplayArrayInTable(Common_SourceData.Common_SourceData_ClimateZones_Data(), Table_SourceData_ClimateZones[[#Headers],[Climate zone]], 0)</f>
        <v>-999999</v>
      </c>
      <c r="S90" s="37" cm="1">
        <f t="array" ref="S90">Common_InputFunctions.Utility_DisplayArrayInTable(Common_SourceData.Common_SourceData_ClimateZones_Data(), Table_SourceData_ClimateZones[[#Headers],[Climate zone]], 0)</f>
        <v>999999</v>
      </c>
      <c r="T90" s="37"/>
    </row>
    <row r="91" spans="4:20" ht="20.100000000000001" customHeight="1" x14ac:dyDescent="0.25">
      <c r="D91" s="37" t="str" cm="1">
        <f t="array" ref="D91">Common_InputFunctions.Utility_DisplayArrayInTable(Common_SourceData.Common_SourceData_ClimateZones_Data(), Table_SourceData_ClimateZones[[#Headers],[Climate zone]], 0)</f>
        <v>Tropical wet</v>
      </c>
      <c r="E91" s="37" t="str" cm="1">
        <f t="array" ref="E91">Common_InputFunctions.Utility_DisplayArrayInTable(Common_SourceData.Common_SourceData_ClimateZones_Data(), Table_SourceData_ClimateZones[[#Headers],[Climate zone]], 0)</f>
        <v>&gt; 18 C</v>
      </c>
      <c r="F91" s="37" t="str" cm="1">
        <f t="array" ref="F91">Common_InputFunctions.Utility_DisplayArrayInTable(Common_SourceData.Common_SourceData_ClimateZones_Data(), Table_SourceData_ClimateZones[[#Headers],[Climate zone]], 0)</f>
        <v>&gt; 2000 mm</v>
      </c>
      <c r="G91" s="37" t="str" cm="1">
        <f t="array" ref="G91">Common_InputFunctions.Utility_DisplayArrayInTable(Common_SourceData.Common_SourceData_ClimateZones_Data(), Table_SourceData_ClimateZones[[#Headers],[Climate zone]], 0)</f>
        <v>≤ 7</v>
      </c>
      <c r="H91" s="37" t="str" cm="1">
        <f t="array" ref="H91">Common_InputFunctions.Utility_DisplayArrayInTable(Common_SourceData.Common_SourceData_ClimateZones_Data(), Table_SourceData_ClimateZones[[#Headers],[Climate zone]], 0)</f>
        <v>≤ 1000 m</v>
      </c>
      <c r="I91" s="37" t="str" cm="1">
        <f t="array" ref="I91">Common_InputFunctions.Utility_DisplayArrayInTable(Common_SourceData.Common_SourceData_ClimateZones_Data(), Table_SourceData_ClimateZones[[#Headers],[Climate zone]], 0)</f>
        <v>Any</v>
      </c>
      <c r="J91" s="37" cm="1">
        <f t="array" ref="J91">Common_InputFunctions.Utility_DisplayArrayInTable(Common_SourceData.Common_SourceData_ClimateZones_Data(), Table_SourceData_ClimateZones[[#Headers],[Climate zone]], 0)</f>
        <v>18.001000000000001</v>
      </c>
      <c r="K91" s="37" cm="1">
        <f t="array" ref="K91">Common_InputFunctions.Utility_DisplayArrayInTable(Common_SourceData.Common_SourceData_ClimateZones_Data(), Table_SourceData_ClimateZones[[#Headers],[Climate zone]], 0)</f>
        <v>999999</v>
      </c>
      <c r="L91" s="37" cm="1">
        <f t="array" ref="L91">Common_InputFunctions.Utility_DisplayArrayInTable(Common_SourceData.Common_SourceData_ClimateZones_Data(), Table_SourceData_ClimateZones[[#Headers],[Climate zone]], 0)</f>
        <v>2000.001</v>
      </c>
      <c r="M91" s="37" cm="1">
        <f t="array" ref="M91">Common_InputFunctions.Utility_DisplayArrayInTable(Common_SourceData.Common_SourceData_ClimateZones_Data(), Table_SourceData_ClimateZones[[#Headers],[Climate zone]], 0)</f>
        <v>999999</v>
      </c>
      <c r="N91" s="37" cm="1">
        <f t="array" ref="N91">Common_InputFunctions.Utility_DisplayArrayInTable(Common_SourceData.Common_SourceData_ClimateZones_Data(), Table_SourceData_ClimateZones[[#Headers],[Climate zone]], 0)</f>
        <v>-999999</v>
      </c>
      <c r="O91" s="37" cm="1">
        <f t="array" ref="O91">Common_InputFunctions.Utility_DisplayArrayInTable(Common_SourceData.Common_SourceData_ClimateZones_Data(), Table_SourceData_ClimateZones[[#Headers],[Climate zone]], 0)</f>
        <v>7</v>
      </c>
      <c r="P91" s="37" cm="1">
        <f t="array" ref="P91">Common_InputFunctions.Utility_DisplayArrayInTable(Common_SourceData.Common_SourceData_ClimateZones_Data(), Table_SourceData_ClimateZones[[#Headers],[Climate zone]], 0)</f>
        <v>-999999</v>
      </c>
      <c r="Q91" s="37" cm="1">
        <f t="array" ref="Q91">Common_InputFunctions.Utility_DisplayArrayInTable(Common_SourceData.Common_SourceData_ClimateZones_Data(), Table_SourceData_ClimateZones[[#Headers],[Climate zone]], 0)</f>
        <v>999.99900000000002</v>
      </c>
      <c r="R91" s="37" cm="1">
        <f t="array" ref="R91">Common_InputFunctions.Utility_DisplayArrayInTable(Common_SourceData.Common_SourceData_ClimateZones_Data(), Table_SourceData_ClimateZones[[#Headers],[Climate zone]], 0)</f>
        <v>-999999</v>
      </c>
      <c r="S91" s="37" cm="1">
        <f t="array" ref="S91">Common_InputFunctions.Utility_DisplayArrayInTable(Common_SourceData.Common_SourceData_ClimateZones_Data(), Table_SourceData_ClimateZones[[#Headers],[Climate zone]], 0)</f>
        <v>999999</v>
      </c>
      <c r="T91" s="37"/>
    </row>
    <row r="92" spans="4:20" ht="20.100000000000001" customHeight="1" x14ac:dyDescent="0.25">
      <c r="D92" s="37" t="str" cm="1">
        <f t="array" ref="D92">Common_InputFunctions.Utility_DisplayArrayInTable(Common_SourceData.Common_SourceData_ClimateZones_Data(), Table_SourceData_ClimateZones[[#Headers],[Climate zone]], 0)</f>
        <v>Tropical moist</v>
      </c>
      <c r="E92" s="37" t="str" cm="1">
        <f t="array" ref="E92">Common_InputFunctions.Utility_DisplayArrayInTable(Common_SourceData.Common_SourceData_ClimateZones_Data(), Table_SourceData_ClimateZones[[#Headers],[Climate zone]], 0)</f>
        <v>&gt; 18 C</v>
      </c>
      <c r="F92" s="37" t="str" cm="1">
        <f t="array" ref="F92">Common_InputFunctions.Utility_DisplayArrayInTable(Common_SourceData.Common_SourceData_ClimateZones_Data(), Table_SourceData_ClimateZones[[#Headers],[Climate zone]], 0)</f>
        <v>&gt; 1000 mm - ≤ 2000 mm</v>
      </c>
      <c r="G92" s="37" t="str" cm="1">
        <f t="array" ref="G92">Common_InputFunctions.Utility_DisplayArrayInTable(Common_SourceData.Common_SourceData_ClimateZones_Data(), Table_SourceData_ClimateZones[[#Headers],[Climate zone]], 0)</f>
        <v>≤ 7</v>
      </c>
      <c r="H92" s="37" t="str" cm="1">
        <f t="array" ref="H92">Common_InputFunctions.Utility_DisplayArrayInTable(Common_SourceData.Common_SourceData_ClimateZones_Data(), Table_SourceData_ClimateZones[[#Headers],[Climate zone]], 0)</f>
        <v>≤ 1000 m</v>
      </c>
      <c r="I92" s="37" t="str" cm="1">
        <f t="array" ref="I92">Common_InputFunctions.Utility_DisplayArrayInTable(Common_SourceData.Common_SourceData_ClimateZones_Data(), Table_SourceData_ClimateZones[[#Headers],[Climate zone]], 0)</f>
        <v>Any</v>
      </c>
      <c r="J92" s="37" cm="1">
        <f t="array" ref="J92">Common_InputFunctions.Utility_DisplayArrayInTable(Common_SourceData.Common_SourceData_ClimateZones_Data(), Table_SourceData_ClimateZones[[#Headers],[Climate zone]], 0)</f>
        <v>18.001000000000001</v>
      </c>
      <c r="K92" s="37" cm="1">
        <f t="array" ref="K92">Common_InputFunctions.Utility_DisplayArrayInTable(Common_SourceData.Common_SourceData_ClimateZones_Data(), Table_SourceData_ClimateZones[[#Headers],[Climate zone]], 0)</f>
        <v>999999</v>
      </c>
      <c r="L92" s="37" cm="1">
        <f t="array" ref="L92">Common_InputFunctions.Utility_DisplayArrayInTable(Common_SourceData.Common_SourceData_ClimateZones_Data(), Table_SourceData_ClimateZones[[#Headers],[Climate zone]], 0)</f>
        <v>1000.001</v>
      </c>
      <c r="M92" s="37" cm="1">
        <f t="array" ref="M92">Common_InputFunctions.Utility_DisplayArrayInTable(Common_SourceData.Common_SourceData_ClimateZones_Data(), Table_SourceData_ClimateZones[[#Headers],[Climate zone]], 0)</f>
        <v>2000</v>
      </c>
      <c r="N92" s="37" cm="1">
        <f t="array" ref="N92">Common_InputFunctions.Utility_DisplayArrayInTable(Common_SourceData.Common_SourceData_ClimateZones_Data(), Table_SourceData_ClimateZones[[#Headers],[Climate zone]], 0)</f>
        <v>-999999</v>
      </c>
      <c r="O92" s="37" cm="1">
        <f t="array" ref="O92">Common_InputFunctions.Utility_DisplayArrayInTable(Common_SourceData.Common_SourceData_ClimateZones_Data(), Table_SourceData_ClimateZones[[#Headers],[Climate zone]], 0)</f>
        <v>7</v>
      </c>
      <c r="P92" s="37" cm="1">
        <f t="array" ref="P92">Common_InputFunctions.Utility_DisplayArrayInTable(Common_SourceData.Common_SourceData_ClimateZones_Data(), Table_SourceData_ClimateZones[[#Headers],[Climate zone]], 0)</f>
        <v>-999999</v>
      </c>
      <c r="Q92" s="37" cm="1">
        <f t="array" ref="Q92">Common_InputFunctions.Utility_DisplayArrayInTable(Common_SourceData.Common_SourceData_ClimateZones_Data(), Table_SourceData_ClimateZones[[#Headers],[Climate zone]], 0)</f>
        <v>999.99900000000002</v>
      </c>
      <c r="R92" s="37" cm="1">
        <f t="array" ref="R92">Common_InputFunctions.Utility_DisplayArrayInTable(Common_SourceData.Common_SourceData_ClimateZones_Data(), Table_SourceData_ClimateZones[[#Headers],[Climate zone]], 0)</f>
        <v>-999999</v>
      </c>
      <c r="S92" s="37" cm="1">
        <f t="array" ref="S92">Common_InputFunctions.Utility_DisplayArrayInTable(Common_SourceData.Common_SourceData_ClimateZones_Data(), Table_SourceData_ClimateZones[[#Headers],[Climate zone]], 0)</f>
        <v>999999</v>
      </c>
      <c r="T92" s="37"/>
    </row>
    <row r="93" spans="4:20" ht="20.100000000000001" customHeight="1" x14ac:dyDescent="0.25">
      <c r="D93" s="37" t="str" cm="1">
        <f t="array" ref="D93">Common_InputFunctions.Utility_DisplayArrayInTable(Common_SourceData.Common_SourceData_ClimateZones_Data(), Table_SourceData_ClimateZones[[#Headers],[Climate zone]], 0)</f>
        <v>Tropical dry</v>
      </c>
      <c r="E93" s="37" t="str" cm="1">
        <f t="array" ref="E93">Common_InputFunctions.Utility_DisplayArrayInTable(Common_SourceData.Common_SourceData_ClimateZones_Data(), Table_SourceData_ClimateZones[[#Headers],[Climate zone]], 0)</f>
        <v>&gt; 18 C</v>
      </c>
      <c r="F93" s="37" t="str" cm="1">
        <f t="array" ref="F93">Common_InputFunctions.Utility_DisplayArrayInTable(Common_SourceData.Common_SourceData_ClimateZones_Data(), Table_SourceData_ClimateZones[[#Headers],[Climate zone]], 0)</f>
        <v>≤ 1000 mm</v>
      </c>
      <c r="G93" s="37" t="str" cm="1">
        <f t="array" ref="G93">Common_InputFunctions.Utility_DisplayArrayInTable(Common_SourceData.Common_SourceData_ClimateZones_Data(), Table_SourceData_ClimateZones[[#Headers],[Climate zone]], 0)</f>
        <v>≤ 7</v>
      </c>
      <c r="H93" s="37" t="str" cm="1">
        <f t="array" ref="H93">Common_InputFunctions.Utility_DisplayArrayInTable(Common_SourceData.Common_SourceData_ClimateZones_Data(), Table_SourceData_ClimateZones[[#Headers],[Climate zone]], 0)</f>
        <v>≤ 1000 m</v>
      </c>
      <c r="I93" s="37" t="str" cm="1">
        <f t="array" ref="I93">Common_InputFunctions.Utility_DisplayArrayInTable(Common_SourceData.Common_SourceData_ClimateZones_Data(), Table_SourceData_ClimateZones[[#Headers],[Climate zone]], 0)</f>
        <v>Any</v>
      </c>
      <c r="J93" s="37" cm="1">
        <f t="array" ref="J93">Common_InputFunctions.Utility_DisplayArrayInTable(Common_SourceData.Common_SourceData_ClimateZones_Data(), Table_SourceData_ClimateZones[[#Headers],[Climate zone]], 0)</f>
        <v>18.001000000000001</v>
      </c>
      <c r="K93" s="37" cm="1">
        <f t="array" ref="K93">Common_InputFunctions.Utility_DisplayArrayInTable(Common_SourceData.Common_SourceData_ClimateZones_Data(), Table_SourceData_ClimateZones[[#Headers],[Climate zone]], 0)</f>
        <v>999999</v>
      </c>
      <c r="L93" s="37" cm="1">
        <f t="array" ref="L93">Common_InputFunctions.Utility_DisplayArrayInTable(Common_SourceData.Common_SourceData_ClimateZones_Data(), Table_SourceData_ClimateZones[[#Headers],[Climate zone]], 0)</f>
        <v>-999999</v>
      </c>
      <c r="M93" s="37" cm="1">
        <f t="array" ref="M93">Common_InputFunctions.Utility_DisplayArrayInTable(Common_SourceData.Common_SourceData_ClimateZones_Data(), Table_SourceData_ClimateZones[[#Headers],[Climate zone]], 0)</f>
        <v>1000</v>
      </c>
      <c r="N93" s="37" cm="1">
        <f t="array" ref="N93">Common_InputFunctions.Utility_DisplayArrayInTable(Common_SourceData.Common_SourceData_ClimateZones_Data(), Table_SourceData_ClimateZones[[#Headers],[Climate zone]], 0)</f>
        <v>-999999</v>
      </c>
      <c r="O93" s="37" cm="1">
        <f t="array" ref="O93">Common_InputFunctions.Utility_DisplayArrayInTable(Common_SourceData.Common_SourceData_ClimateZones_Data(), Table_SourceData_ClimateZones[[#Headers],[Climate zone]], 0)</f>
        <v>7</v>
      </c>
      <c r="P93" s="37" cm="1">
        <f t="array" ref="P93">Common_InputFunctions.Utility_DisplayArrayInTable(Common_SourceData.Common_SourceData_ClimateZones_Data(), Table_SourceData_ClimateZones[[#Headers],[Climate zone]], 0)</f>
        <v>-999999</v>
      </c>
      <c r="Q93" s="37" cm="1">
        <f t="array" ref="Q93">Common_InputFunctions.Utility_DisplayArrayInTable(Common_SourceData.Common_SourceData_ClimateZones_Data(), Table_SourceData_ClimateZones[[#Headers],[Climate zone]], 0)</f>
        <v>999.99900000000002</v>
      </c>
      <c r="R93" s="37" cm="1">
        <f t="array" ref="R93">Common_InputFunctions.Utility_DisplayArrayInTable(Common_SourceData.Common_SourceData_ClimateZones_Data(), Table_SourceData_ClimateZones[[#Headers],[Climate zone]], 0)</f>
        <v>-999999</v>
      </c>
      <c r="S93" s="37" cm="1">
        <f t="array" ref="S93">Common_InputFunctions.Utility_DisplayArrayInTable(Common_SourceData.Common_SourceData_ClimateZones_Data(), Table_SourceData_ClimateZones[[#Headers],[Climate zone]], 0)</f>
        <v>999999</v>
      </c>
      <c r="T93" s="37"/>
    </row>
    <row r="94" spans="4:20" ht="20.100000000000001" customHeight="1" x14ac:dyDescent="0.25">
      <c r="D94" s="37" t="str" cm="1">
        <f t="array" ref="D94">Common_InputFunctions.Utility_DisplayArrayInTable(Common_SourceData.Common_SourceData_ClimateZones_Data(), Table_SourceData_ClimateZones[[#Headers],[Climate zone]], 0)</f>
        <v>Warm temperate moist</v>
      </c>
      <c r="E94" s="37" t="str" cm="1">
        <f t="array" ref="E94">Common_InputFunctions.Utility_DisplayArrayInTable(Common_SourceData.Common_SourceData_ClimateZones_Data(), Table_SourceData_ClimateZones[[#Headers],[Climate zone]], 0)</f>
        <v>&gt; 10 C</v>
      </c>
      <c r="F94" s="37" t="str" cm="1">
        <f t="array" ref="F94">Common_InputFunctions.Utility_DisplayArrayInTable(Common_SourceData.Common_SourceData_ClimateZones_Data(), Table_SourceData_ClimateZones[[#Headers],[Climate zone]], 0)</f>
        <v>Any</v>
      </c>
      <c r="G94" s="37" t="str" cm="1">
        <f t="array" ref="G94">Common_InputFunctions.Utility_DisplayArrayInTable(Common_SourceData.Common_SourceData_ClimateZones_Data(), Table_SourceData_ClimateZones[[#Headers],[Climate zone]], 0)</f>
        <v>Any</v>
      </c>
      <c r="H94" s="37" t="str" cm="1">
        <f t="array" ref="H94">Common_InputFunctions.Utility_DisplayArrayInTable(Common_SourceData.Common_SourceData_ClimateZones_Data(), Table_SourceData_ClimateZones[[#Headers],[Climate zone]], 0)</f>
        <v>Any</v>
      </c>
      <c r="I94" s="37" t="str" cm="1">
        <f t="array" ref="I94">Common_InputFunctions.Utility_DisplayArrayInTable(Common_SourceData.Common_SourceData_ClimateZones_Data(), Table_SourceData_ClimateZones[[#Headers],[Climate zone]], 0)</f>
        <v>&gt; 1</v>
      </c>
      <c r="J94" s="37" cm="1">
        <f t="array" ref="J94">Common_InputFunctions.Utility_DisplayArrayInTable(Common_SourceData.Common_SourceData_ClimateZones_Data(), Table_SourceData_ClimateZones[[#Headers],[Climate zone]], 0)</f>
        <v>10.000999999999999</v>
      </c>
      <c r="K94" s="37" cm="1">
        <f t="array" ref="K94">Common_InputFunctions.Utility_DisplayArrayInTable(Common_SourceData.Common_SourceData_ClimateZones_Data(), Table_SourceData_ClimateZones[[#Headers],[Climate zone]], 0)</f>
        <v>999999</v>
      </c>
      <c r="L94" s="37" cm="1">
        <f t="array" ref="L94">Common_InputFunctions.Utility_DisplayArrayInTable(Common_SourceData.Common_SourceData_ClimateZones_Data(), Table_SourceData_ClimateZones[[#Headers],[Climate zone]], 0)</f>
        <v>-999999</v>
      </c>
      <c r="M94" s="37" cm="1">
        <f t="array" ref="M94">Common_InputFunctions.Utility_DisplayArrayInTable(Common_SourceData.Common_SourceData_ClimateZones_Data(), Table_SourceData_ClimateZones[[#Headers],[Climate zone]], 0)</f>
        <v>999999</v>
      </c>
      <c r="N94" s="37" cm="1">
        <f t="array" ref="N94">Common_InputFunctions.Utility_DisplayArrayInTable(Common_SourceData.Common_SourceData_ClimateZones_Data(), Table_SourceData_ClimateZones[[#Headers],[Climate zone]], 0)</f>
        <v>-999999</v>
      </c>
      <c r="O94" s="37" cm="1">
        <f t="array" ref="O94">Common_InputFunctions.Utility_DisplayArrayInTable(Common_SourceData.Common_SourceData_ClimateZones_Data(), Table_SourceData_ClimateZones[[#Headers],[Climate zone]], 0)</f>
        <v>999999</v>
      </c>
      <c r="P94" s="37" cm="1">
        <f t="array" ref="P94">Common_InputFunctions.Utility_DisplayArrayInTable(Common_SourceData.Common_SourceData_ClimateZones_Data(), Table_SourceData_ClimateZones[[#Headers],[Climate zone]], 0)</f>
        <v>-999999</v>
      </c>
      <c r="Q94" s="37" cm="1">
        <f t="array" ref="Q94">Common_InputFunctions.Utility_DisplayArrayInTable(Common_SourceData.Common_SourceData_ClimateZones_Data(), Table_SourceData_ClimateZones[[#Headers],[Climate zone]], 0)</f>
        <v>999999</v>
      </c>
      <c r="R94" s="37" cm="1">
        <f t="array" ref="R94">Common_InputFunctions.Utility_DisplayArrayInTable(Common_SourceData.Common_SourceData_ClimateZones_Data(), Table_SourceData_ClimateZones[[#Headers],[Climate zone]], 0)</f>
        <v>1.0009999999999999</v>
      </c>
      <c r="S94" s="37" cm="1">
        <f t="array" ref="S94">Common_InputFunctions.Utility_DisplayArrayInTable(Common_SourceData.Common_SourceData_ClimateZones_Data(), Table_SourceData_ClimateZones[[#Headers],[Climate zone]], 0)</f>
        <v>999999</v>
      </c>
      <c r="T94" s="37"/>
    </row>
    <row r="95" spans="4:20" ht="20.100000000000001" customHeight="1" x14ac:dyDescent="0.25">
      <c r="D95" s="37" t="str" cm="1">
        <f t="array" ref="D95">Common_InputFunctions.Utility_DisplayArrayInTable(Common_SourceData.Common_SourceData_ClimateZones_Data(), Table_SourceData_ClimateZones[[#Headers],[Climate zone]], 0)</f>
        <v>Warm temperate dry</v>
      </c>
      <c r="E95" s="37" t="str" cm="1">
        <f t="array" ref="E95">Common_InputFunctions.Utility_DisplayArrayInTable(Common_SourceData.Common_SourceData_ClimateZones_Data(), Table_SourceData_ClimateZones[[#Headers],[Climate zone]], 0)</f>
        <v>&gt; 10 C</v>
      </c>
      <c r="F95" s="37" t="str" cm="1">
        <f t="array" ref="F95">Common_InputFunctions.Utility_DisplayArrayInTable(Common_SourceData.Common_SourceData_ClimateZones_Data(), Table_SourceData_ClimateZones[[#Headers],[Climate zone]], 0)</f>
        <v>Any</v>
      </c>
      <c r="G95" s="37" t="str" cm="1">
        <f t="array" ref="G95">Common_InputFunctions.Utility_DisplayArrayInTable(Common_SourceData.Common_SourceData_ClimateZones_Data(), Table_SourceData_ClimateZones[[#Headers],[Climate zone]], 0)</f>
        <v>Any</v>
      </c>
      <c r="H95" s="37" t="str" cm="1">
        <f t="array" ref="H95">Common_InputFunctions.Utility_DisplayArrayInTable(Common_SourceData.Common_SourceData_ClimateZones_Data(), Table_SourceData_ClimateZones[[#Headers],[Climate zone]], 0)</f>
        <v>Any</v>
      </c>
      <c r="I95" s="37" t="str" cm="1">
        <f t="array" ref="I95">Common_InputFunctions.Utility_DisplayArrayInTable(Common_SourceData.Common_SourceData_ClimateZones_Data(), Table_SourceData_ClimateZones[[#Headers],[Climate zone]], 0)</f>
        <v>≤ 1</v>
      </c>
      <c r="J95" s="37" cm="1">
        <f t="array" ref="J95">Common_InputFunctions.Utility_DisplayArrayInTable(Common_SourceData.Common_SourceData_ClimateZones_Data(), Table_SourceData_ClimateZones[[#Headers],[Climate zone]], 0)</f>
        <v>10.000999999999999</v>
      </c>
      <c r="K95" s="37" cm="1">
        <f t="array" ref="K95">Common_InputFunctions.Utility_DisplayArrayInTable(Common_SourceData.Common_SourceData_ClimateZones_Data(), Table_SourceData_ClimateZones[[#Headers],[Climate zone]], 0)</f>
        <v>999999</v>
      </c>
      <c r="L95" s="37" cm="1">
        <f t="array" ref="L95">Common_InputFunctions.Utility_DisplayArrayInTable(Common_SourceData.Common_SourceData_ClimateZones_Data(), Table_SourceData_ClimateZones[[#Headers],[Climate zone]], 0)</f>
        <v>-999999</v>
      </c>
      <c r="M95" s="37" cm="1">
        <f t="array" ref="M95">Common_InputFunctions.Utility_DisplayArrayInTable(Common_SourceData.Common_SourceData_ClimateZones_Data(), Table_SourceData_ClimateZones[[#Headers],[Climate zone]], 0)</f>
        <v>999999</v>
      </c>
      <c r="N95" s="37" cm="1">
        <f t="array" ref="N95">Common_InputFunctions.Utility_DisplayArrayInTable(Common_SourceData.Common_SourceData_ClimateZones_Data(), Table_SourceData_ClimateZones[[#Headers],[Climate zone]], 0)</f>
        <v>-999999</v>
      </c>
      <c r="O95" s="37" cm="1">
        <f t="array" ref="O95">Common_InputFunctions.Utility_DisplayArrayInTable(Common_SourceData.Common_SourceData_ClimateZones_Data(), Table_SourceData_ClimateZones[[#Headers],[Climate zone]], 0)</f>
        <v>999999</v>
      </c>
      <c r="P95" s="37" cm="1">
        <f t="array" ref="P95">Common_InputFunctions.Utility_DisplayArrayInTable(Common_SourceData.Common_SourceData_ClimateZones_Data(), Table_SourceData_ClimateZones[[#Headers],[Climate zone]], 0)</f>
        <v>-999999</v>
      </c>
      <c r="Q95" s="37" cm="1">
        <f t="array" ref="Q95">Common_InputFunctions.Utility_DisplayArrayInTable(Common_SourceData.Common_SourceData_ClimateZones_Data(), Table_SourceData_ClimateZones[[#Headers],[Climate zone]], 0)</f>
        <v>999999</v>
      </c>
      <c r="R95" s="37" cm="1">
        <f t="array" ref="R95">Common_InputFunctions.Utility_DisplayArrayInTable(Common_SourceData.Common_SourceData_ClimateZones_Data(), Table_SourceData_ClimateZones[[#Headers],[Climate zone]], 0)</f>
        <v>-999999</v>
      </c>
      <c r="S95" s="37" cm="1">
        <f t="array" ref="S95">Common_InputFunctions.Utility_DisplayArrayInTable(Common_SourceData.Common_SourceData_ClimateZones_Data(), Table_SourceData_ClimateZones[[#Headers],[Climate zone]], 0)</f>
        <v>1</v>
      </c>
      <c r="T95" s="37"/>
    </row>
    <row r="96" spans="4:20" ht="20.100000000000001" customHeight="1" x14ac:dyDescent="0.25">
      <c r="D96" s="37" t="str" cm="1">
        <f t="array" ref="D96">Common_InputFunctions.Utility_DisplayArrayInTable(Common_SourceData.Common_SourceData_ClimateZones_Data(), Table_SourceData_ClimateZones[[#Headers],[Climate zone]], 0)</f>
        <v>Cool temperate moist</v>
      </c>
      <c r="E96" s="37" t="str" cm="1">
        <f t="array" ref="E96">Common_InputFunctions.Utility_DisplayArrayInTable(Common_SourceData.Common_SourceData_ClimateZones_Data(), Table_SourceData_ClimateZones[[#Headers],[Climate zone]], 0)</f>
        <v>&gt; 0 C - ≤ 10 C</v>
      </c>
      <c r="F96" s="37" t="str" cm="1">
        <f t="array" ref="F96">Common_InputFunctions.Utility_DisplayArrayInTable(Common_SourceData.Common_SourceData_ClimateZones_Data(), Table_SourceData_ClimateZones[[#Headers],[Climate zone]], 0)</f>
        <v>Any</v>
      </c>
      <c r="G96" s="37" t="str" cm="1">
        <f t="array" ref="G96">Common_InputFunctions.Utility_DisplayArrayInTable(Common_SourceData.Common_SourceData_ClimateZones_Data(), Table_SourceData_ClimateZones[[#Headers],[Climate zone]], 0)</f>
        <v>Any</v>
      </c>
      <c r="H96" s="37" t="str" cm="1">
        <f t="array" ref="H96">Common_InputFunctions.Utility_DisplayArrayInTable(Common_SourceData.Common_SourceData_ClimateZones_Data(), Table_SourceData_ClimateZones[[#Headers],[Climate zone]], 0)</f>
        <v>Any</v>
      </c>
      <c r="I96" s="37" t="str" cm="1">
        <f t="array" ref="I96">Common_InputFunctions.Utility_DisplayArrayInTable(Common_SourceData.Common_SourceData_ClimateZones_Data(), Table_SourceData_ClimateZones[[#Headers],[Climate zone]], 0)</f>
        <v>&gt; 1</v>
      </c>
      <c r="J96" s="37" cm="1">
        <f t="array" ref="J96">Common_InputFunctions.Utility_DisplayArrayInTable(Common_SourceData.Common_SourceData_ClimateZones_Data(), Table_SourceData_ClimateZones[[#Headers],[Climate zone]], 0)</f>
        <v>-999999</v>
      </c>
      <c r="K96" s="37" cm="1">
        <f t="array" ref="K96">Common_InputFunctions.Utility_DisplayArrayInTable(Common_SourceData.Common_SourceData_ClimateZones_Data(), Table_SourceData_ClimateZones[[#Headers],[Climate zone]], 0)</f>
        <v>10</v>
      </c>
      <c r="L96" s="37" cm="1">
        <f t="array" ref="L96">Common_InputFunctions.Utility_DisplayArrayInTable(Common_SourceData.Common_SourceData_ClimateZones_Data(), Table_SourceData_ClimateZones[[#Headers],[Climate zone]], 0)</f>
        <v>-999999</v>
      </c>
      <c r="M96" s="37" cm="1">
        <f t="array" ref="M96">Common_InputFunctions.Utility_DisplayArrayInTable(Common_SourceData.Common_SourceData_ClimateZones_Data(), Table_SourceData_ClimateZones[[#Headers],[Climate zone]], 0)</f>
        <v>999999</v>
      </c>
      <c r="N96" s="37" cm="1">
        <f t="array" ref="N96">Common_InputFunctions.Utility_DisplayArrayInTable(Common_SourceData.Common_SourceData_ClimateZones_Data(), Table_SourceData_ClimateZones[[#Headers],[Climate zone]], 0)</f>
        <v>-999999</v>
      </c>
      <c r="O96" s="37" cm="1">
        <f t="array" ref="O96">Common_InputFunctions.Utility_DisplayArrayInTable(Common_SourceData.Common_SourceData_ClimateZones_Data(), Table_SourceData_ClimateZones[[#Headers],[Climate zone]], 0)</f>
        <v>999999</v>
      </c>
      <c r="P96" s="37" cm="1">
        <f t="array" ref="P96">Common_InputFunctions.Utility_DisplayArrayInTable(Common_SourceData.Common_SourceData_ClimateZones_Data(), Table_SourceData_ClimateZones[[#Headers],[Climate zone]], 0)</f>
        <v>-999999</v>
      </c>
      <c r="Q96" s="37" cm="1">
        <f t="array" ref="Q96">Common_InputFunctions.Utility_DisplayArrayInTable(Common_SourceData.Common_SourceData_ClimateZones_Data(), Table_SourceData_ClimateZones[[#Headers],[Climate zone]], 0)</f>
        <v>999999</v>
      </c>
      <c r="R96" s="37" cm="1">
        <f t="array" ref="R96">Common_InputFunctions.Utility_DisplayArrayInTable(Common_SourceData.Common_SourceData_ClimateZones_Data(), Table_SourceData_ClimateZones[[#Headers],[Climate zone]], 0)</f>
        <v>1.0009999999999999</v>
      </c>
      <c r="S96" s="37" cm="1">
        <f t="array" ref="S96">Common_InputFunctions.Utility_DisplayArrayInTable(Common_SourceData.Common_SourceData_ClimateZones_Data(), Table_SourceData_ClimateZones[[#Headers],[Climate zone]], 0)</f>
        <v>999999</v>
      </c>
      <c r="T96" s="37"/>
    </row>
    <row r="97" spans="4:20" ht="20.100000000000001" customHeight="1" x14ac:dyDescent="0.25">
      <c r="D97" s="37" t="str" cm="1">
        <f t="array" ref="D97">Common_InputFunctions.Utility_DisplayArrayInTable(Common_SourceData.Common_SourceData_ClimateZones_Data(), Table_SourceData_ClimateZones[[#Headers],[Climate zone]], 0)</f>
        <v>Cool temperate dry</v>
      </c>
      <c r="E97" s="37" t="str" cm="1">
        <f t="array" ref="E97">Common_InputFunctions.Utility_DisplayArrayInTable(Common_SourceData.Common_SourceData_ClimateZones_Data(), Table_SourceData_ClimateZones[[#Headers],[Climate zone]], 0)</f>
        <v>&gt; 0 C - ≤ 10 C</v>
      </c>
      <c r="F97" s="37" t="str" cm="1">
        <f t="array" ref="F97">Common_InputFunctions.Utility_DisplayArrayInTable(Common_SourceData.Common_SourceData_ClimateZones_Data(), Table_SourceData_ClimateZones[[#Headers],[Climate zone]], 0)</f>
        <v>Any</v>
      </c>
      <c r="G97" s="37" t="str" cm="1">
        <f t="array" ref="G97">Common_InputFunctions.Utility_DisplayArrayInTable(Common_SourceData.Common_SourceData_ClimateZones_Data(), Table_SourceData_ClimateZones[[#Headers],[Climate zone]], 0)</f>
        <v>Any</v>
      </c>
      <c r="H97" s="37" t="str" cm="1">
        <f t="array" ref="H97">Common_InputFunctions.Utility_DisplayArrayInTable(Common_SourceData.Common_SourceData_ClimateZones_Data(), Table_SourceData_ClimateZones[[#Headers],[Climate zone]], 0)</f>
        <v>Any</v>
      </c>
      <c r="I97" s="37" t="str" cm="1">
        <f t="array" ref="I97">Common_InputFunctions.Utility_DisplayArrayInTable(Common_SourceData.Common_SourceData_ClimateZones_Data(), Table_SourceData_ClimateZones[[#Headers],[Climate zone]], 0)</f>
        <v>≤ 1</v>
      </c>
      <c r="J97" s="37" cm="1">
        <f t="array" ref="J97">Common_InputFunctions.Utility_DisplayArrayInTable(Common_SourceData.Common_SourceData_ClimateZones_Data(), Table_SourceData_ClimateZones[[#Headers],[Climate zone]], 0)</f>
        <v>-999999</v>
      </c>
      <c r="K97" s="37" cm="1">
        <f t="array" ref="K97">Common_InputFunctions.Utility_DisplayArrayInTable(Common_SourceData.Common_SourceData_ClimateZones_Data(), Table_SourceData_ClimateZones[[#Headers],[Climate zone]], 0)</f>
        <v>10</v>
      </c>
      <c r="L97" s="37" cm="1">
        <f t="array" ref="L97">Common_InputFunctions.Utility_DisplayArrayInTable(Common_SourceData.Common_SourceData_ClimateZones_Data(), Table_SourceData_ClimateZones[[#Headers],[Climate zone]], 0)</f>
        <v>-999999</v>
      </c>
      <c r="M97" s="37" cm="1">
        <f t="array" ref="M97">Common_InputFunctions.Utility_DisplayArrayInTable(Common_SourceData.Common_SourceData_ClimateZones_Data(), Table_SourceData_ClimateZones[[#Headers],[Climate zone]], 0)</f>
        <v>999999</v>
      </c>
      <c r="N97" s="37" cm="1">
        <f t="array" ref="N97">Common_InputFunctions.Utility_DisplayArrayInTable(Common_SourceData.Common_SourceData_ClimateZones_Data(), Table_SourceData_ClimateZones[[#Headers],[Climate zone]], 0)</f>
        <v>-999999</v>
      </c>
      <c r="O97" s="37" cm="1">
        <f t="array" ref="O97">Common_InputFunctions.Utility_DisplayArrayInTable(Common_SourceData.Common_SourceData_ClimateZones_Data(), Table_SourceData_ClimateZones[[#Headers],[Climate zone]], 0)</f>
        <v>999999</v>
      </c>
      <c r="P97" s="37" cm="1">
        <f t="array" ref="P97">Common_InputFunctions.Utility_DisplayArrayInTable(Common_SourceData.Common_SourceData_ClimateZones_Data(), Table_SourceData_ClimateZones[[#Headers],[Climate zone]], 0)</f>
        <v>-999999</v>
      </c>
      <c r="Q97" s="37" cm="1">
        <f t="array" ref="Q97">Common_InputFunctions.Utility_DisplayArrayInTable(Common_SourceData.Common_SourceData_ClimateZones_Data(), Table_SourceData_ClimateZones[[#Headers],[Climate zone]], 0)</f>
        <v>999999</v>
      </c>
      <c r="R97" s="37" cm="1">
        <f t="array" ref="R97">Common_InputFunctions.Utility_DisplayArrayInTable(Common_SourceData.Common_SourceData_ClimateZones_Data(), Table_SourceData_ClimateZones[[#Headers],[Climate zone]], 0)</f>
        <v>-999999</v>
      </c>
      <c r="S97" s="37" cm="1">
        <f t="array" ref="S97">Common_InputFunctions.Utility_DisplayArrayInTable(Common_SourceData.Common_SourceData_ClimateZones_Data(), Table_SourceData_ClimateZones[[#Headers],[Climate zone]], 0)</f>
        <v>1</v>
      </c>
      <c r="T97" s="37"/>
    </row>
    <row r="98" spans="4:20" ht="20.100000000000001" customHeight="1" x14ac:dyDescent="0.25">
      <c r="D98" s="54" t="str" cm="1">
        <f t="array" ref="D98:D101">Common_SourceData.Common_SourceData_ClimateZones_Appendices()</f>
        <v>Note:</v>
      </c>
    </row>
    <row r="99" spans="4:20" ht="20.100000000000001" customHeight="1" x14ac:dyDescent="0.25">
      <c r="D99" s="54" t="str">
        <v>MAT = mean annual temperature</v>
      </c>
    </row>
    <row r="100" spans="4:20" ht="20.100000000000001" customHeight="1" x14ac:dyDescent="0.25">
      <c r="D100" s="54" t="str">
        <v>MAP = mean annual precipitation</v>
      </c>
    </row>
    <row r="101" spans="4:20" ht="20.100000000000001" customHeight="1" x14ac:dyDescent="0.25">
      <c r="D101" s="54" t="str">
        <v>PET = potential evapotranspiration</v>
      </c>
    </row>
    <row r="102" spans="4:20" ht="20.100000000000001" customHeight="1" x14ac:dyDescent="0.25">
      <c r="D102" s="54"/>
    </row>
    <row r="103" spans="4:20" ht="20.100000000000001" customHeight="1" x14ac:dyDescent="0.25"/>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5"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7" t="s">
        <v>56</v>
      </c>
      <c r="E109" s="37" t="s">
        <v>37</v>
      </c>
      <c r="F109" s="37" t="s">
        <v>57</v>
      </c>
      <c r="G109" s="37" t="s">
        <v>58</v>
      </c>
    </row>
    <row r="110" spans="4:20" ht="20.100000000000001" customHeight="1" x14ac:dyDescent="0.25">
      <c r="D110" s="37" t="str" cm="1">
        <f t="array" ref="D110">Common_InputFunctions.Utility_DisplayArrayInTable(Common_SourceData.Common_SourceData_TemperatureZones_Data(),Table_SourceData_TemperatureZones[[#Headers],[Temperature Zone]],0)</f>
        <v>Warm</v>
      </c>
      <c r="E110" s="37" t="str" cm="1">
        <f t="array" ref="E110">Common_InputFunctions.Utility_DisplayArrayInTable(Common_SourceData.Common_SourceData_TemperatureZones_Data(),Table_SourceData_TemperatureZones[[#Headers],[Temperature Zone]],0)</f>
        <v>≥ 26 C</v>
      </c>
      <c r="F110" s="37" cm="1">
        <f t="array" ref="F110">Common_InputFunctions.Utility_DisplayArrayInTable(Common_SourceData.Common_SourceData_TemperatureZones_Data(),Table_SourceData_TemperatureZones[[#Headers],[Temperature Zone]],0)</f>
        <v>26</v>
      </c>
      <c r="G110" s="37" cm="1">
        <f t="array" ref="G110">Common_InputFunctions.Utility_DisplayArrayInTable(Common_SourceData.Common_SourceData_TemperatureZones_Data(),Table_SourceData_TemperatureZones[[#Headers],[Temperature Zone]],0)</f>
        <v>999999</v>
      </c>
    </row>
    <row r="111" spans="4:20" ht="20.100000000000001" customHeight="1" x14ac:dyDescent="0.25">
      <c r="D111" s="37" t="str" cm="1">
        <f t="array" ref="D111">Common_InputFunctions.Utility_DisplayArrayInTable(Common_SourceData.Common_SourceData_TemperatureZones_Data(),Table_SourceData_TemperatureZones[[#Headers],[Temperature Zone]],0)</f>
        <v>Temperate</v>
      </c>
      <c r="E111" s="37" t="str" cm="1">
        <f t="array" ref="E111">Common_InputFunctions.Utility_DisplayArrayInTable(Common_SourceData.Common_SourceData_TemperatureZones_Data(),Table_SourceData_TemperatureZones[[#Headers],[Temperature Zone]],0)</f>
        <v>15 - 25 C</v>
      </c>
      <c r="F111" s="37" cm="1">
        <f t="array" ref="F111">Common_InputFunctions.Utility_DisplayArrayInTable(Common_SourceData.Common_SourceData_TemperatureZones_Data(),Table_SourceData_TemperatureZones[[#Headers],[Temperature Zone]],0)</f>
        <v>15</v>
      </c>
      <c r="G111" s="37"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7" t="str" cm="1">
        <f t="array" ref="D112">Common_InputFunctions.Utility_DisplayArrayInTable(Common_SourceData.Common_SourceData_TemperatureZones_Data(),Table_SourceData_TemperatureZones[[#Headers],[Temperature Zone]],0)</f>
        <v>Cool</v>
      </c>
      <c r="E112" s="37" t="str" cm="1">
        <f t="array" ref="E112">Common_InputFunctions.Utility_DisplayArrayInTable(Common_SourceData.Common_SourceData_TemperatureZones_Data(),Table_SourceData_TemperatureZones[[#Headers],[Temperature Zone]],0)</f>
        <v>≤ 14 C</v>
      </c>
      <c r="F112" s="37" cm="1">
        <f t="array" ref="F112">Common_InputFunctions.Utility_DisplayArrayInTable(Common_SourceData.Common_SourceData_TemperatureZones_Data(),Table_SourceData_TemperatureZones[[#Headers],[Temperature Zone]],0)</f>
        <v>-999999</v>
      </c>
      <c r="G112" s="37"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5"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7" t="s">
        <v>59</v>
      </c>
      <c r="E119" s="37" t="s">
        <v>60</v>
      </c>
      <c r="F119" s="37" t="s">
        <v>44</v>
      </c>
      <c r="G119" s="37" t="s">
        <v>45</v>
      </c>
      <c r="BN119" s="7"/>
    </row>
    <row r="120" spans="4:66" ht="20.100000000000001" customHeight="1" x14ac:dyDescent="0.25">
      <c r="D120" s="37" t="str" cm="1">
        <f t="array" ref="D120">Common_InputFunctions.Utility_DisplayArrayInTable(Common_SourceData.Common_SourceData_RainfallZones_Data(),Table_SourceData_RainfallZones[[#Headers],[Rainfall Zone]],0)</f>
        <v>High rainfall</v>
      </c>
      <c r="E120" s="37" t="str" cm="1">
        <f t="array" ref="E120">Common_InputFunctions.Utility_DisplayArrayInTable(Common_SourceData.Common_SourceData_RainfallZones_Data(),Table_SourceData_RainfallZones[[#Headers],[Rainfall Zone]],0)</f>
        <v>Annual rainfall &gt; 600mm</v>
      </c>
      <c r="F120" s="37" cm="1">
        <f t="array" ref="F120">Common_InputFunctions.Utility_DisplayArrayInTable(Common_SourceData.Common_SourceData_RainfallZones_Data(),Table_SourceData_RainfallZones[[#Headers],[Rainfall Zone]],0)</f>
        <v>600.00099999999998</v>
      </c>
      <c r="G120" s="37"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7" t="str" cm="1">
        <f t="array" ref="D121">Common_InputFunctions.Utility_DisplayArrayInTable(Common_SourceData.Common_SourceData_RainfallZones_Data(),Table_SourceData_RainfallZones[[#Headers],[Rainfall Zone]],0)</f>
        <v>Low rainfall</v>
      </c>
      <c r="E121" s="37" t="str" cm="1">
        <f t="array" ref="E121">Common_InputFunctions.Utility_DisplayArrayInTable(Common_SourceData.Common_SourceData_RainfallZones_Data(),Table_SourceData_RainfallZones[[#Headers],[Rainfall Zone]],0)</f>
        <v>Annual rainfall ≤ 600mm</v>
      </c>
      <c r="F121" s="37" cm="1">
        <f t="array" ref="F121">Common_InputFunctions.Utility_DisplayArrayInTable(Common_SourceData.Common_SourceData_RainfallZones_Data(),Table_SourceData_RainfallZones[[#Headers],[Rainfall Zone]],0)</f>
        <v>-999999</v>
      </c>
      <c r="G121" s="37"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7" t="s">
        <v>66</v>
      </c>
      <c r="E127" s="37" t="s">
        <v>67</v>
      </c>
    </row>
    <row r="128" spans="4:66" ht="20.100000000000001" customHeight="1" x14ac:dyDescent="0.25">
      <c r="D128" s="37" t="str" cm="1">
        <f t="array" ref="D128">Common_InputFunctions.Utility_DisplayArrayInTable(Common_SourceData.Common_SourceData_LeachingZones_Data(), Table_SourceData_LeachingZones[[#Headers],[Leaching Zone]], 0)</f>
        <v>Leaching occurs</v>
      </c>
      <c r="E128" s="37"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7" t="str" cm="1">
        <f t="array" ref="D129">Common_InputFunctions.Utility_DisplayArrayInTable(Common_SourceData.Common_SourceData_LeachingZones_Data(), Table_SourceData_LeachingZones[[#Headers],[Leaching Zone]], 0)</f>
        <v>Leaching does not occur</v>
      </c>
      <c r="E129" s="37"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2"/>
    </row>
    <row r="133" spans="4:77" ht="20.100000000000001" customHeight="1" x14ac:dyDescent="0.25">
      <c r="D133" s="5" t="str" cm="1">
        <f t="array" ref="D133">Common_SourceData.Common_SourceData_FracWET_Source()</f>
        <v>VEERG 2026:5.5.2.3 Constant Parameters</v>
      </c>
      <c r="E133" s="22"/>
    </row>
    <row r="134" spans="4:77" ht="20.100000000000001" customHeight="1" x14ac:dyDescent="0.25">
      <c r="D134" t="s">
        <v>94</v>
      </c>
      <c r="E134" t="s">
        <v>95</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7"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5"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7" t="s">
        <v>152</v>
      </c>
      <c r="E142" s="37" t="s">
        <v>95</v>
      </c>
      <c r="BN142" s="7"/>
    </row>
    <row r="143" spans="4:77" ht="20.100000000000001" customHeight="1" x14ac:dyDescent="0.25">
      <c r="D143" s="37" t="str" cm="1">
        <f t="array" ref="D143">Common_InputFunctions.Utility_DisplayArrayInTable(Common_SourceData.Common_SourceData_FracWETIrrigation_Data(), Table_SourceData_FracWETIrrigation[[#Headers],[Irrigation type i]], 0)</f>
        <v>Not irrigated</v>
      </c>
      <c r="E143" s="37"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7"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7"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7"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7"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7" t="s">
        <v>69</v>
      </c>
      <c r="E153" s="37" t="s">
        <v>70</v>
      </c>
      <c r="BC153" s="3"/>
      <c r="BD153" s="3"/>
      <c r="BE153" s="3"/>
      <c r="BF153" s="3"/>
      <c r="BG153" s="3"/>
      <c r="BH153" s="3"/>
      <c r="BI153" s="3"/>
      <c r="BJ153" s="3"/>
      <c r="BK153" s="3"/>
      <c r="BL153" s="3"/>
      <c r="BM153" s="3"/>
    </row>
    <row r="154" spans="4:66" ht="20.100000000000001" customHeight="1" x14ac:dyDescent="0.25">
      <c r="D154" s="37" t="str" cm="1">
        <f t="array" ref="D154">Common_InputFunctions.Utility_DisplayArrayInTable(Common_SourceData.Common_SourceData_DataScores_Scope3_Data(), Table_SourceData_DataScores_Scope3[[#Headers],[Data source]], 0)</f>
        <v>International scope 3 database</v>
      </c>
      <c r="E154" s="37"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7" t="str" cm="1">
        <f t="array" ref="D155">Common_InputFunctions.Utility_DisplayArrayInTable(Common_SourceData.Common_SourceData_DataScores_Scope3_Data(), Table_SourceData_DataScores_Scope3[[#Headers],[Data source]], 0)</f>
        <v>Australian scope 3 database</v>
      </c>
      <c r="E155" s="37"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7" t="str" cm="1">
        <f t="array" ref="D156">Common_InputFunctions.Utility_DisplayArrayInTable(Common_SourceData.Common_SourceData_DataScores_Scope3_Data(), Table_SourceData_DataScores_Scope3[[#Headers],[Data source]], 0)</f>
        <v>State or regional scope 3 database</v>
      </c>
      <c r="E156" s="37" cm="1">
        <f t="array" ref="E156">Common_InputFunctions.Utility_DisplayArrayInTable(Common_SourceData.Common_SourceData_DataScores_Scope3_Data(), Table_SourceData_DataScores_Scope3[[#Headers],[Data source]], 0)</f>
        <v>3</v>
      </c>
    </row>
    <row r="157" spans="4:66" ht="20.100000000000001" customHeight="1" x14ac:dyDescent="0.25">
      <c r="D157" s="37" t="str" cm="1">
        <f t="array" ref="D157">Common_InputFunctions.Utility_DisplayArrayInTable(Common_SourceData.Common_SourceData_DataScores_Scope3_Data(), Table_SourceData_DataScores_Scope3[[#Headers],[Data source]], 0)</f>
        <v>Emissions intensity calculated from approved method</v>
      </c>
      <c r="E157" s="37" cm="1">
        <f t="array" ref="E157">Common_InputFunctions.Utility_DisplayArrayInTable(Common_SourceData.Common_SourceData_DataScores_Scope3_Data(), Table_SourceData_DataScores_Scope3[[#Headers],[Data source]], 0)</f>
        <v>4</v>
      </c>
    </row>
    <row r="158" spans="4:66" ht="20.100000000000001" customHeight="1" x14ac:dyDescent="0.25">
      <c r="D158" s="37" t="str" cm="1">
        <f t="array" ref="D158">Common_InputFunctions.Utility_DisplayArrayInTable(Common_SourceData.Common_SourceData_DataScores_Scope3_Data(), Table_SourceData_DataScores_Scope3[[#Headers],[Data source]], 0)</f>
        <v>Verified credential matching ISO14067</v>
      </c>
      <c r="E158" s="37"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2"/>
    </row>
    <row r="162" spans="4:68" ht="20.100000000000001" customHeight="1" x14ac:dyDescent="0.25">
      <c r="D162" s="5" t="str" cm="1">
        <f t="array" ref="D162">Common_SourceData.Common_SourceData_FracLEACH_Source()</f>
        <v>VEERG 2026:5.5.2.3 Constant Parameters</v>
      </c>
      <c r="E162" s="22"/>
    </row>
    <row r="163" spans="4:68" ht="20.100000000000001" customHeight="1" x14ac:dyDescent="0.25">
      <c r="D163" s="5" t="str" cm="1">
        <f t="array" ref="D163">Common_SourceData.Common_SourceData_FracLEACH_NIRReference()</f>
        <v>National Inventory Report Volume 1: Leaching and runoff (3.D.b.2)</v>
      </c>
      <c r="E163" s="22"/>
    </row>
    <row r="164" spans="4:68" ht="20.100000000000001" customHeight="1" x14ac:dyDescent="0.25">
      <c r="D164" s="22" t="str" cm="1">
        <f t="array" ref="D164:E164">Common_SourceData.Common_SourceData_FracLEACH_Data()</f>
        <v>FracLEACH</v>
      </c>
      <c r="E164" s="22">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4"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4" t="str" cm="1">
        <f t="array" ref="D180">Common_SourceData.Common_SourceData_EFN2O_Unit()</f>
        <v>(kg N2O-N / kg N</v>
      </c>
    </row>
    <row r="181" spans="4:68" ht="20.100000000000001" customHeight="1" x14ac:dyDescent="0.25">
      <c r="D181" s="55" t="str" cm="1">
        <f t="array" ref="D181:D185">Common_SourceData.Common_SourceData_EFN2O_Variation()</f>
        <v>VARIATION OF SOURCE DATA:</v>
      </c>
    </row>
    <row r="182" spans="4:68" ht="20.100000000000001" customHeight="1" x14ac:dyDescent="0.25">
      <c r="D182" s="55" t="str">
        <v>Removed duplicate 'Aquaculture' row.</v>
      </c>
    </row>
    <row r="183" spans="4:68" ht="20.100000000000001" customHeight="1" x14ac:dyDescent="0.25">
      <c r="D183" s="55" t="str">
        <v>Removed asterisks to aid lookup.</v>
      </c>
    </row>
    <row r="184" spans="4:68" ht="20.100000000000001" customHeight="1" x14ac:dyDescent="0.25">
      <c r="D184" s="55" t="str">
        <v>Added 'production system only', 'rainfall zone' and 'irrigation method' columns to aid lookup.</v>
      </c>
    </row>
    <row r="185" spans="4:68" ht="20.100000000000001" customHeight="1" x14ac:dyDescent="0.25">
      <c r="D185" s="55" t="str">
        <v>Duplicated 'non-irrigated pasture' row with same EF for low and high rainfall zones to aid lookup.</v>
      </c>
    </row>
    <row r="186" spans="4:68" ht="20.100000000000001" customHeight="1" x14ac:dyDescent="0.25">
      <c r="D186" s="37" t="s">
        <v>115</v>
      </c>
      <c r="E186" s="37" t="s">
        <v>116</v>
      </c>
      <c r="F186" s="37" t="s">
        <v>117</v>
      </c>
      <c r="G186" s="37" t="s">
        <v>118</v>
      </c>
      <c r="H186" s="37" t="s">
        <v>36</v>
      </c>
    </row>
    <row r="187" spans="4:68" ht="20.100000000000001" customHeight="1" x14ac:dyDescent="0.25">
      <c r="D187" s="37" t="str" cm="1">
        <f t="array" ref="D187">Common_InputFunctions.Utility_DisplayArrayInTable(Common_SourceData.Common_SourceData_EFN2O_Data(), Table_SourceData_Common_EFN2O[[#Headers],[Production system j]], 0)</f>
        <v>Irrigated pasture</v>
      </c>
      <c r="E187" s="37" cm="1">
        <f t="array" ref="E187">Common_InputFunctions.Utility_DisplayArrayInTable(Common_SourceData.Common_SourceData_EFN2O_Data(), Table_SourceData_Common_EFN2O[[#Headers],[Production system j]], 0)</f>
        <v>5.8999999999999999E-3</v>
      </c>
      <c r="F187" s="37" t="str" cm="1">
        <f t="array" ref="F187">Common_InputFunctions.Utility_DisplayArrayInTable(Common_SourceData.Common_SourceData_EFN2O_Data(), Table_SourceData_Common_EFN2O[[#Headers],[Production system j]], 0)</f>
        <v>Pasture</v>
      </c>
      <c r="G187" s="37" t="str" cm="1">
        <f t="array" ref="G187">Common_InputFunctions.Utility_DisplayArrayInTable(Common_SourceData.Common_SourceData_EFN2O_Data(), Table_SourceData_Common_EFN2O[[#Headers],[Production system j]], 0)</f>
        <v>Any</v>
      </c>
      <c r="H187" s="37" t="str" cm="1">
        <f t="array" ref="H187">Common_InputFunctions.Utility_DisplayArrayInTable(Common_SourceData.Common_SourceData_EFN2O_Data(), Table_SourceData_Common_EFN2O[[#Headers],[Production system j]], 0)</f>
        <v>Any</v>
      </c>
    </row>
    <row r="188" spans="4:68" ht="20.100000000000001" customHeight="1" x14ac:dyDescent="0.25">
      <c r="D188" s="37" t="str" cm="1">
        <f t="array" ref="D188">Common_InputFunctions.Utility_DisplayArrayInTable(Common_SourceData.Common_SourceData_EFN2O_Data(), Table_SourceData_Common_EFN2O[[#Headers],[Production system j]], 0)</f>
        <v>Irrigated crop</v>
      </c>
      <c r="E188" s="37" cm="1">
        <f t="array" ref="E188">Common_InputFunctions.Utility_DisplayArrayInTable(Common_SourceData.Common_SourceData_EFN2O_Data(), Table_SourceData_Common_EFN2O[[#Headers],[Production system j]], 0)</f>
        <v>7.0000000000000001E-3</v>
      </c>
      <c r="F188" s="37" t="str" cm="1">
        <f t="array" ref="F188">Common_InputFunctions.Utility_DisplayArrayInTable(Common_SourceData.Common_SourceData_EFN2O_Data(), Table_SourceData_Common_EFN2O[[#Headers],[Production system j]], 0)</f>
        <v>Crop</v>
      </c>
      <c r="G188" s="37" t="str" cm="1">
        <f t="array" ref="G188">Common_InputFunctions.Utility_DisplayArrayInTable(Common_SourceData.Common_SourceData_EFN2O_Data(), Table_SourceData_Common_EFN2O[[#Headers],[Production system j]], 0)</f>
        <v>Any</v>
      </c>
      <c r="H188" s="37" t="str" cm="1">
        <f t="array" ref="H188">Common_InputFunctions.Utility_DisplayArrayInTable(Common_SourceData.Common_SourceData_EFN2O_Data(), Table_SourceData_Common_EFN2O[[#Headers],[Production system j]], 0)</f>
        <v>Any</v>
      </c>
    </row>
    <row r="189" spans="4:68" ht="20.100000000000001" customHeight="1" x14ac:dyDescent="0.25">
      <c r="D189" s="37" t="str" cm="1">
        <f t="array" ref="D189">Common_InputFunctions.Utility_DisplayArrayInTable(Common_SourceData.Common_SourceData_EFN2O_Data(), Table_SourceData_Common_EFN2O[[#Headers],[Production system j]], 0)</f>
        <v>Non-irrigated pasture</v>
      </c>
      <c r="E189" s="37" cm="1">
        <f t="array" ref="E189">Common_InputFunctions.Utility_DisplayArrayInTable(Common_SourceData.Common_SourceData_EFN2O_Data(), Table_SourceData_Common_EFN2O[[#Headers],[Production system j]], 0)</f>
        <v>1.8E-3</v>
      </c>
      <c r="F189" s="37" t="str" cm="1">
        <f t="array" ref="F189">Common_InputFunctions.Utility_DisplayArrayInTable(Common_SourceData.Common_SourceData_EFN2O_Data(), Table_SourceData_Common_EFN2O[[#Headers],[Production system j]], 0)</f>
        <v>Pasture</v>
      </c>
      <c r="G189" s="37" t="str" cm="1">
        <f t="array" ref="G189">Common_InputFunctions.Utility_DisplayArrayInTable(Common_SourceData.Common_SourceData_EFN2O_Data(), Table_SourceData_Common_EFN2O[[#Headers],[Production system j]], 0)</f>
        <v>Not irrigated</v>
      </c>
      <c r="H189" s="37"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7" t="str" cm="1">
        <f t="array" ref="D190">Common_InputFunctions.Utility_DisplayArrayInTable(Common_SourceData.Common_SourceData_EFN2O_Data(), Table_SourceData_Common_EFN2O[[#Headers],[Production system j]], 0)</f>
        <v>Non-irrigated pasture</v>
      </c>
      <c r="E190" s="37" cm="1">
        <f t="array" ref="E190">Common_InputFunctions.Utility_DisplayArrayInTable(Common_SourceData.Common_SourceData_EFN2O_Data(), Table_SourceData_Common_EFN2O[[#Headers],[Production system j]], 0)</f>
        <v>1.8E-3</v>
      </c>
      <c r="F190" s="37" t="str" cm="1">
        <f t="array" ref="F190">Common_InputFunctions.Utility_DisplayArrayInTable(Common_SourceData.Common_SourceData_EFN2O_Data(), Table_SourceData_Common_EFN2O[[#Headers],[Production system j]], 0)</f>
        <v>Pasture</v>
      </c>
      <c r="G190" s="37" t="str" cm="1">
        <f t="array" ref="G190">Common_InputFunctions.Utility_DisplayArrayInTable(Common_SourceData.Common_SourceData_EFN2O_Data(), Table_SourceData_Common_EFN2O[[#Headers],[Production system j]], 0)</f>
        <v>Not irrigated</v>
      </c>
      <c r="H190" s="37"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7" t="str" cm="1">
        <f t="array" ref="D191">Common_InputFunctions.Utility_DisplayArrayInTable(Common_SourceData.Common_SourceData_EFN2O_Data(), Table_SourceData_Common_EFN2O[[#Headers],[Production system j]], 0)</f>
        <v>Non-irrigated crop (low rainfall)</v>
      </c>
      <c r="E191" s="37" cm="1">
        <f t="array" ref="E191">Common_InputFunctions.Utility_DisplayArrayInTable(Common_SourceData.Common_SourceData_EFN2O_Data(), Table_SourceData_Common_EFN2O[[#Headers],[Production system j]], 0)</f>
        <v>2.8999999999999998E-3</v>
      </c>
      <c r="F191" s="37" t="str" cm="1">
        <f t="array" ref="F191">Common_InputFunctions.Utility_DisplayArrayInTable(Common_SourceData.Common_SourceData_EFN2O_Data(), Table_SourceData_Common_EFN2O[[#Headers],[Production system j]], 0)</f>
        <v>Crop</v>
      </c>
      <c r="G191" s="37" t="str" cm="1">
        <f t="array" ref="G191">Common_InputFunctions.Utility_DisplayArrayInTable(Common_SourceData.Common_SourceData_EFN2O_Data(), Table_SourceData_Common_EFN2O[[#Headers],[Production system j]], 0)</f>
        <v>Not irrigated</v>
      </c>
      <c r="H191" s="37"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7" t="str" cm="1">
        <f t="array" ref="D192">Common_InputFunctions.Utility_DisplayArrayInTable(Common_SourceData.Common_SourceData_EFN2O_Data(), Table_SourceData_Common_EFN2O[[#Headers],[Production system j]], 0)</f>
        <v>Non-irrigated crop (high rainfall)</v>
      </c>
      <c r="E192" s="37" cm="1">
        <f t="array" ref="E192">Common_InputFunctions.Utility_DisplayArrayInTable(Common_SourceData.Common_SourceData_EFN2O_Data(), Table_SourceData_Common_EFN2O[[#Headers],[Production system j]], 0)</f>
        <v>8.0000000000000002E-3</v>
      </c>
      <c r="F192" s="37" t="str" cm="1">
        <f t="array" ref="F192">Common_InputFunctions.Utility_DisplayArrayInTable(Common_SourceData.Common_SourceData_EFN2O_Data(), Table_SourceData_Common_EFN2O[[#Headers],[Production system j]], 0)</f>
        <v>Crop</v>
      </c>
      <c r="G192" s="37" t="str" cm="1">
        <f t="array" ref="G192">Common_InputFunctions.Utility_DisplayArrayInTable(Common_SourceData.Common_SourceData_EFN2O_Data(), Table_SourceData_Common_EFN2O[[#Headers],[Production system j]], 0)</f>
        <v>Not irrigated</v>
      </c>
      <c r="H192" s="37"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7" t="str" cm="1">
        <f t="array" ref="D193">Common_InputFunctions.Utility_DisplayArrayInTable(Common_SourceData.Common_SourceData_EFN2O_Data(), Table_SourceData_Common_EFN2O[[#Headers],[Production system j]], 0)</f>
        <v>Sugar</v>
      </c>
      <c r="E193" s="37" cm="1">
        <f t="array" ref="E193">Common_InputFunctions.Utility_DisplayArrayInTable(Common_SourceData.Common_SourceData_EFN2O_Data(), Table_SourceData_Common_EFN2O[[#Headers],[Production system j]], 0)</f>
        <v>1.9900000000000001E-2</v>
      </c>
      <c r="F193" s="37" t="str" cm="1">
        <f t="array" ref="F193">Common_InputFunctions.Utility_DisplayArrayInTable(Common_SourceData.Common_SourceData_EFN2O_Data(), Table_SourceData_Common_EFN2O[[#Headers],[Production system j]], 0)</f>
        <v>Sugar</v>
      </c>
      <c r="G193" s="37" t="str" cm="1">
        <f t="array" ref="G193">Common_InputFunctions.Utility_DisplayArrayInTable(Common_SourceData.Common_SourceData_EFN2O_Data(), Table_SourceData_Common_EFN2O[[#Headers],[Production system j]], 0)</f>
        <v>Any</v>
      </c>
      <c r="H193" s="37" t="str" cm="1">
        <f t="array" ref="H193">Common_InputFunctions.Utility_DisplayArrayInTable(Common_SourceData.Common_SourceData_EFN2O_Data(), Table_SourceData_Common_EFN2O[[#Headers],[Production system j]], 0)</f>
        <v>Any</v>
      </c>
    </row>
    <row r="194" spans="4:8" ht="20.100000000000001" customHeight="1" x14ac:dyDescent="0.25">
      <c r="D194" s="37" t="str" cm="1">
        <f t="array" ref="D194">Common_InputFunctions.Utility_DisplayArrayInTable(Common_SourceData.Common_SourceData_EFN2O_Data(), Table_SourceData_Common_EFN2O[[#Headers],[Production system j]], 0)</f>
        <v>Cotton</v>
      </c>
      <c r="E194" s="37" cm="1">
        <f t="array" ref="E194">Common_InputFunctions.Utility_DisplayArrayInTable(Common_SourceData.Common_SourceData_EFN2O_Data(), Table_SourceData_Common_EFN2O[[#Headers],[Production system j]], 0)</f>
        <v>5.3E-3</v>
      </c>
      <c r="F194" s="37" t="str" cm="1">
        <f t="array" ref="F194">Common_InputFunctions.Utility_DisplayArrayInTable(Common_SourceData.Common_SourceData_EFN2O_Data(), Table_SourceData_Common_EFN2O[[#Headers],[Production system j]], 0)</f>
        <v>Cotton</v>
      </c>
      <c r="G194" s="37" t="str" cm="1">
        <f t="array" ref="G194">Common_InputFunctions.Utility_DisplayArrayInTable(Common_SourceData.Common_SourceData_EFN2O_Data(), Table_SourceData_Common_EFN2O[[#Headers],[Production system j]], 0)</f>
        <v>Any</v>
      </c>
      <c r="H194" s="37" t="str" cm="1">
        <f t="array" ref="H194">Common_InputFunctions.Utility_DisplayArrayInTable(Common_SourceData.Common_SourceData_EFN2O_Data(), Table_SourceData_Common_EFN2O[[#Headers],[Production system j]], 0)</f>
        <v>Any</v>
      </c>
    </row>
    <row r="195" spans="4:8" ht="20.100000000000001" customHeight="1" x14ac:dyDescent="0.25">
      <c r="D195" s="37" t="str" cm="1">
        <f t="array" ref="D195">Common_InputFunctions.Utility_DisplayArrayInTable(Common_SourceData.Common_SourceData_EFN2O_Data(), Table_SourceData_Common_EFN2O[[#Headers],[Production system j]], 0)</f>
        <v>Horticultural crops</v>
      </c>
      <c r="E195" s="37" cm="1">
        <f t="array" ref="E195">Common_InputFunctions.Utility_DisplayArrayInTable(Common_SourceData.Common_SourceData_EFN2O_Data(), Table_SourceData_Common_EFN2O[[#Headers],[Production system j]], 0)</f>
        <v>6.4000000000000003E-3</v>
      </c>
      <c r="F195" s="37" t="str" cm="1">
        <f t="array" ref="F195">Common_InputFunctions.Utility_DisplayArrayInTable(Common_SourceData.Common_SourceData_EFN2O_Data(), Table_SourceData_Common_EFN2O[[#Headers],[Production system j]], 0)</f>
        <v>Horticultural crops</v>
      </c>
      <c r="G195" s="37" t="str" cm="1">
        <f t="array" ref="G195">Common_InputFunctions.Utility_DisplayArrayInTable(Common_SourceData.Common_SourceData_EFN2O_Data(), Table_SourceData_Common_EFN2O[[#Headers],[Production system j]], 0)</f>
        <v>Any</v>
      </c>
      <c r="H195" s="37" t="str" cm="1">
        <f t="array" ref="H195">Common_InputFunctions.Utility_DisplayArrayInTable(Common_SourceData.Common_SourceData_EFN2O_Data(), Table_SourceData_Common_EFN2O[[#Headers],[Production system j]], 0)</f>
        <v>Any</v>
      </c>
    </row>
    <row r="196" spans="4:8" ht="20.100000000000001" customHeight="1" x14ac:dyDescent="0.25">
      <c r="D196" s="37" t="str" cm="1">
        <f t="array" ref="D196">Common_InputFunctions.Utility_DisplayArrayInTable(Common_SourceData.Common_SourceData_EFN2O_Data(), Table_SourceData_Common_EFN2O[[#Headers],[Production system j]], 0)</f>
        <v>Rice (continuous flooding)</v>
      </c>
      <c r="E196" s="37" cm="1">
        <f t="array" ref="E196">Common_InputFunctions.Utility_DisplayArrayInTable(Common_SourceData.Common_SourceData_EFN2O_Data(), Table_SourceData_Common_EFN2O[[#Headers],[Production system j]], 0)</f>
        <v>3.0000000000000001E-3</v>
      </c>
      <c r="F196" s="37" t="str" cm="1">
        <f t="array" ref="F196">Common_InputFunctions.Utility_DisplayArrayInTable(Common_SourceData.Common_SourceData_EFN2O_Data(), Table_SourceData_Common_EFN2O[[#Headers],[Production system j]], 0)</f>
        <v>Rice</v>
      </c>
      <c r="G196" s="37" t="str" cm="1">
        <f t="array" ref="G196">Common_InputFunctions.Utility_DisplayArrayInTable(Common_SourceData.Common_SourceData_EFN2O_Data(), Table_SourceData_Common_EFN2O[[#Headers],[Production system j]], 0)</f>
        <v>Continuous flooding</v>
      </c>
      <c r="H196" s="37" t="str" cm="1">
        <f t="array" ref="H196">Common_InputFunctions.Utility_DisplayArrayInTable(Common_SourceData.Common_SourceData_EFN2O_Data(), Table_SourceData_Common_EFN2O[[#Headers],[Production system j]], 0)</f>
        <v>Any</v>
      </c>
    </row>
    <row r="197" spans="4:8" x14ac:dyDescent="0.25">
      <c r="D197" s="37" t="str" cm="1">
        <f t="array" ref="D197">Common_InputFunctions.Utility_DisplayArrayInTable(Common_SourceData.Common_SourceData_EFN2O_Data(), Table_SourceData_Common_EFN2O[[#Headers],[Production system j]], 0)</f>
        <v>Rice (single and multiple drainage, or alternate wetting and drying)</v>
      </c>
      <c r="E197" s="37" cm="1">
        <f t="array" ref="E197">Common_InputFunctions.Utility_DisplayArrayInTable(Common_SourceData.Common_SourceData_EFN2O_Data(), Table_SourceData_Common_EFN2O[[#Headers],[Production system j]], 0)</f>
        <v>5.0000000000000001E-3</v>
      </c>
      <c r="F197" s="37" t="str" cm="1">
        <f t="array" ref="F197">Common_InputFunctions.Utility_DisplayArrayInTable(Common_SourceData.Common_SourceData_EFN2O_Data(), Table_SourceData_Common_EFN2O[[#Headers],[Production system j]], 0)</f>
        <v>Rice</v>
      </c>
      <c r="G197" s="37" t="str" cm="1">
        <f t="array" ref="G197">Common_InputFunctions.Utility_DisplayArrayInTable(Common_SourceData.Common_SourceData_EFN2O_Data(), Table_SourceData_Common_EFN2O[[#Headers],[Production system j]], 0)</f>
        <v>Single and multiple drainage, or alternate wetting and drying</v>
      </c>
      <c r="H197" s="37" t="str" cm="1">
        <f t="array" ref="H197">Common_InputFunctions.Utility_DisplayArrayInTable(Common_SourceData.Common_SourceData_EFN2O_Data(), Table_SourceData_Common_EFN2O[[#Headers],[Production system j]], 0)</f>
        <v>Any</v>
      </c>
    </row>
    <row r="198" spans="4:8" x14ac:dyDescent="0.25">
      <c r="D198" s="37" t="str" cm="1">
        <f t="array" ref="D198">Common_InputFunctions.Utility_DisplayArrayInTable(Common_SourceData.Common_SourceData_EFN2O_Data(), Table_SourceData_Common_EFN2O[[#Headers],[Production system j]], 0)</f>
        <v>Aquaculture</v>
      </c>
      <c r="E198" s="37" cm="1">
        <f t="array" ref="E198">Common_InputFunctions.Utility_DisplayArrayInTable(Common_SourceData.Common_SourceData_EFN2O_Data(), Table_SourceData_Common_EFN2O[[#Headers],[Production system j]], 0)</f>
        <v>2.5999999999999999E-3</v>
      </c>
      <c r="F198" s="37" t="str" cm="1">
        <f t="array" ref="F198">Common_InputFunctions.Utility_DisplayArrayInTable(Common_SourceData.Common_SourceData_EFN2O_Data(), Table_SourceData_Common_EFN2O[[#Headers],[Production system j]], 0)</f>
        <v>Aquaculture</v>
      </c>
      <c r="G198" s="37" t="str" cm="1">
        <f t="array" ref="G198">Common_InputFunctions.Utility_DisplayArrayInTable(Common_SourceData.Common_SourceData_EFN2O_Data(), Table_SourceData_Common_EFN2O[[#Headers],[Production system j]], 0)</f>
        <v>Any</v>
      </c>
      <c r="H198" s="37" t="str" cm="1">
        <f t="array" ref="H198">Common_InputFunctions.Utility_DisplayArrayInTable(Common_SourceData.Common_SourceData_EFN2O_Data(), Table_SourceData_Common_EFN2O[[#Headers],[Production system j]], 0)</f>
        <v>Any</v>
      </c>
    </row>
    <row r="199" spans="4:8" x14ac:dyDescent="0.25">
      <c r="D199" s="37" t="str" cm="1">
        <f t="array" ref="D199">Common_InputFunctions.Utility_DisplayArrayInTable(Common_SourceData.Common_SourceData_EFN2O_Data(), Table_SourceData_Common_EFN2O[[#Headers],[Production system j]], 0)</f>
        <v>Forestry</v>
      </c>
      <c r="E199" s="37" cm="1">
        <f t="array" ref="E199">Common_InputFunctions.Utility_DisplayArrayInTable(Common_SourceData.Common_SourceData_EFN2O_Data(), Table_SourceData_Common_EFN2O[[#Headers],[Production system j]], 0)</f>
        <v>1.8E-3</v>
      </c>
      <c r="F199" s="37" t="str" cm="1">
        <f t="array" ref="F199">Common_InputFunctions.Utility_DisplayArrayInTable(Common_SourceData.Common_SourceData_EFN2O_Data(), Table_SourceData_Common_EFN2O[[#Headers],[Production system j]], 0)</f>
        <v>Forestry</v>
      </c>
      <c r="G199" s="37" t="str" cm="1">
        <f t="array" ref="G199">Common_InputFunctions.Utility_DisplayArrayInTable(Common_SourceData.Common_SourceData_EFN2O_Data(), Table_SourceData_Common_EFN2O[[#Headers],[Production system j]], 0)</f>
        <v>Any</v>
      </c>
      <c r="H199" s="37"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5" t="str" cm="1">
        <f t="array" ref="D204">Common_SourceData.Common_SourceData_EFPastureRangeAndPaddock_Variation()</f>
        <v>VARIATION FROM SOURCE DATA: Changed 'Dry climate zones' to singular 'Dry climate zone' to aid lookup.</v>
      </c>
    </row>
    <row r="205" spans="4:8" x14ac:dyDescent="0.25">
      <c r="D205" s="54" t="str" cm="1">
        <f t="array" ref="D205">Common_SourceData.Common_SourceData_EFPastureRangeAndPaddock_Unit()</f>
        <v>kg N2O - N / kg N</v>
      </c>
    </row>
    <row r="206" spans="4:8" x14ac:dyDescent="0.25">
      <c r="D206" s="37" t="s">
        <v>10</v>
      </c>
      <c r="E206" s="37" t="s">
        <v>154</v>
      </c>
    </row>
    <row r="207" spans="4:8" x14ac:dyDescent="0.25">
      <c r="D207" s="37" t="str" cm="1">
        <f t="array" ref="D207">Common_InputFunctions.Utility_DisplayArrayInTable(Common_SourceData.Common_SourceData_EFPastureRangeAndPaddock_Data(), Table_SourceData_EFPastureRangeAndPaddock[[#Headers],[Climate zone]], 0)</f>
        <v>Wet climate zone</v>
      </c>
      <c r="E207" s="37"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7"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7" t="s">
        <v>132</v>
      </c>
      <c r="E212" s="37" t="s">
        <v>184</v>
      </c>
    </row>
    <row r="213" spans="4:5" x14ac:dyDescent="0.25">
      <c r="D213" s="37" t="str" cm="1">
        <f t="array" ref="D213">Common_InputFunctions.Utility_DisplayArrayInTable(Common_SourceData.Common_SourceData_MonthsToSeasons_Data(), Table_SourceData_Common_MonthToSeason[[#Headers],[Month]], 0)</f>
        <v>January</v>
      </c>
      <c r="E213" s="37"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7"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7"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7"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7"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7"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7"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7"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7"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7"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7"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7"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5"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7" t="s">
        <v>53</v>
      </c>
      <c r="E231" s="37" t="s">
        <v>339</v>
      </c>
      <c r="F231" s="36" t="s">
        <v>272</v>
      </c>
      <c r="G231" s="37" t="s">
        <v>340</v>
      </c>
      <c r="H231" s="37" t="s">
        <v>341</v>
      </c>
      <c r="I231" s="37" t="s">
        <v>342</v>
      </c>
      <c r="J231" s="37" t="s">
        <v>343</v>
      </c>
      <c r="K231" s="37" t="s">
        <v>344</v>
      </c>
      <c r="L231" s="37" t="s">
        <v>345</v>
      </c>
      <c r="M231" s="37" t="s">
        <v>346</v>
      </c>
      <c r="N231" s="37" t="s">
        <v>347</v>
      </c>
      <c r="O231" s="37" t="s">
        <v>348</v>
      </c>
      <c r="P231" s="37" t="s">
        <v>349</v>
      </c>
      <c r="Q231" s="37" t="s">
        <v>350</v>
      </c>
      <c r="R231" s="37" t="s">
        <v>138</v>
      </c>
      <c r="S231" s="37" t="s">
        <v>351</v>
      </c>
    </row>
    <row r="232" spans="4:19" x14ac:dyDescent="0.25">
      <c r="D232" s="37" t="str" cm="1">
        <f t="array" ref="D232">Common_InputFunctions.Utility_DisplayArrayInTable(Common_SourceData.Common_SourceData_MCFTemperatureZone_Data(),Table_SourceData_Common_MCFTemperatureZone[[#Headers],[Temperature zone]],0)</f>
        <v>Cool</v>
      </c>
      <c r="E232" s="37" t="str" cm="1">
        <f t="array" ref="E232">Common_InputFunctions.Utility_DisplayArrayInTable(Common_SourceData.Common_SourceData_MCFTemperatureZone_Data(),Table_SourceData_Common_MCFTemperatureZone[[#Headers],[Temperature zone]],0)</f>
        <v>≤10</v>
      </c>
      <c r="F232" s="37" cm="1">
        <f t="array" ref="F232">Common_InputFunctions.Utility_DisplayArrayInTable(Common_SourceData.Common_SourceData_MCFTemperatureZone_Data(),Table_SourceData_Common_MCFTemperatureZone[[#Headers],[Temperature zone]],0)</f>
        <v>0.66</v>
      </c>
      <c r="G232" s="37" cm="1">
        <f t="array" ref="G232">Common_InputFunctions.Utility_DisplayArrayInTable(Common_SourceData.Common_SourceData_MCFTemperatureZone_Data(),Table_SourceData_Common_MCFTemperatureZone[[#Headers],[Temperature zone]],0)</f>
        <v>0.1</v>
      </c>
      <c r="H232" s="37" cm="1">
        <f t="array" ref="H232">Common_InputFunctions.Utility_DisplayArrayInTable(Common_SourceData.Common_SourceData_MCFTemperatureZone_Data(),Table_SourceData_Common_MCFTemperatureZone[[#Headers],[Temperature zone]],0)</f>
        <v>0.1</v>
      </c>
      <c r="I232" s="37" cm="1">
        <f t="array" ref="I232">Common_InputFunctions.Utility_DisplayArrayInTable(Common_SourceData.Common_SourceData_MCFTemperatureZone_Data(),Table_SourceData_Common_MCFTemperatureZone[[#Headers],[Temperature zone]],0)</f>
        <v>1E-3</v>
      </c>
      <c r="J232" s="37" cm="1">
        <f t="array" ref="J232">Common_InputFunctions.Utility_DisplayArrayInTable(Common_SourceData.Common_SourceData_MCFTemperatureZone_Data(),Table_SourceData_Common_MCFTemperatureZone[[#Headers],[Temperature zone]],0)</f>
        <v>5.0000000000000001E-3</v>
      </c>
      <c r="K232" s="37" cm="1">
        <f t="array" ref="K232">Common_InputFunctions.Utility_DisplayArrayInTable(Common_SourceData.Common_SourceData_MCFTemperatureZone_Data(),Table_SourceData_Common_MCFTemperatureZone[[#Headers],[Temperature zone]],0)</f>
        <v>0.02</v>
      </c>
      <c r="L232" s="37" cm="1">
        <f t="array" ref="L232">Common_InputFunctions.Utility_DisplayArrayInTable(Common_SourceData.Common_SourceData_MCFTemperatureZone_Data(),Table_SourceData_Common_MCFTemperatureZone[[#Headers],[Temperature zone]],0)</f>
        <v>0.03</v>
      </c>
      <c r="M232" s="37" cm="1">
        <f t="array" ref="M232">Common_InputFunctions.Utility_DisplayArrayInTable(Common_SourceData.Common_SourceData_MCFTemperatureZone_Data(),Table_SourceData_Common_MCFTemperatureZone[[#Headers],[Temperature zone]],0)</f>
        <v>0.04</v>
      </c>
      <c r="N232" s="37" cm="1">
        <f t="array" ref="N232">Common_InputFunctions.Utility_DisplayArrayInTable(Common_SourceData.Common_SourceData_MCFTemperatureZone_Data(),Table_SourceData_Common_MCFTemperatureZone[[#Headers],[Temperature zone]],0)</f>
        <v>1.4999999999999999E-2</v>
      </c>
      <c r="O232" s="37" cm="1">
        <f t="array" ref="O232">Common_InputFunctions.Utility_DisplayArrayInTable(Common_SourceData.Common_SourceData_MCFTemperatureZone_Data(),Table_SourceData_Common_MCFTemperatureZone[[#Headers],[Temperature zone]],0)</f>
        <v>1.4999999999999999E-2</v>
      </c>
      <c r="P232" s="37" cm="1">
        <f t="array" ref="P232">Common_InputFunctions.Utility_DisplayArrayInTable(Common_SourceData.Common_SourceData_MCFTemperatureZone_Data(),Table_SourceData_Common_MCFTemperatureZone[[#Headers],[Temperature zone]],0)</f>
        <v>0</v>
      </c>
      <c r="Q232" s="37" cm="1">
        <f t="array" ref="Q232">Common_InputFunctions.Utility_DisplayArrayInTable(Common_SourceData.Common_SourceData_MCFTemperatureZone_Data(),Table_SourceData_Common_MCFTemperatureZone[[#Headers],[Temperature zone]],0)</f>
        <v>0</v>
      </c>
      <c r="R232" s="37" cm="1">
        <f t="array" ref="R232">Common_InputFunctions.Utility_DisplayArrayInTable(Common_SourceData.Common_SourceData_MCFTemperatureZone_Data(),Table_SourceData_Common_MCFTemperatureZone[[#Headers],[Temperature zone]],0)</f>
        <v>4.7000000000000002E-3</v>
      </c>
      <c r="S232" s="37"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7" cm="1">
        <f t="array" ref="E233">Common_InputFunctions.Utility_DisplayArrayInTable(Common_SourceData.Common_SourceData_MCFTemperatureZone_Data(),Table_SourceData_Common_MCFTemperatureZone[[#Headers],[Temperature zone]],0)</f>
        <v>11</v>
      </c>
      <c r="F233" s="37" cm="1">
        <f t="array" ref="F233">Common_InputFunctions.Utility_DisplayArrayInTable(Common_SourceData.Common_SourceData_MCFTemperatureZone_Data(),Table_SourceData_Common_MCFTemperatureZone[[#Headers],[Temperature zone]],0)</f>
        <v>0.68</v>
      </c>
      <c r="G233" s="37" cm="1">
        <f t="array" ref="G233">Common_InputFunctions.Utility_DisplayArrayInTable(Common_SourceData.Common_SourceData_MCFTemperatureZone_Data(),Table_SourceData_Common_MCFTemperatureZone[[#Headers],[Temperature zone]],0)</f>
        <v>0.1</v>
      </c>
      <c r="H233" s="37" cm="1">
        <f t="array" ref="H233">Common_InputFunctions.Utility_DisplayArrayInTable(Common_SourceData.Common_SourceData_MCFTemperatureZone_Data(),Table_SourceData_Common_MCFTemperatureZone[[#Headers],[Temperature zone]],0)</f>
        <v>0.11</v>
      </c>
      <c r="I233" s="37" cm="1">
        <f t="array" ref="I233">Common_InputFunctions.Utility_DisplayArrayInTable(Common_SourceData.Common_SourceData_MCFTemperatureZone_Data(),Table_SourceData_Common_MCFTemperatureZone[[#Headers],[Temperature zone]],0)</f>
        <v>1E-3</v>
      </c>
      <c r="J233" s="37" cm="1">
        <f t="array" ref="J233">Common_InputFunctions.Utility_DisplayArrayInTable(Common_SourceData.Common_SourceData_MCFTemperatureZone_Data(),Table_SourceData_Common_MCFTemperatureZone[[#Headers],[Temperature zone]],0)</f>
        <v>5.0000000000000001E-3</v>
      </c>
      <c r="K233" s="37" cm="1">
        <f t="array" ref="K233">Common_InputFunctions.Utility_DisplayArrayInTable(Common_SourceData.Common_SourceData_MCFTemperatureZone_Data(),Table_SourceData_Common_MCFTemperatureZone[[#Headers],[Temperature zone]],0)</f>
        <v>0.02</v>
      </c>
      <c r="L233" s="37" cm="1">
        <f t="array" ref="L233">Common_InputFunctions.Utility_DisplayArrayInTable(Common_SourceData.Common_SourceData_MCFTemperatureZone_Data(),Table_SourceData_Common_MCFTemperatureZone[[#Headers],[Temperature zone]],0)</f>
        <v>0.03</v>
      </c>
      <c r="M233" s="37" cm="1">
        <f t="array" ref="M233">Common_InputFunctions.Utility_DisplayArrayInTable(Common_SourceData.Common_SourceData_MCFTemperatureZone_Data(),Table_SourceData_Common_MCFTemperatureZone[[#Headers],[Temperature zone]],0)</f>
        <v>0.04</v>
      </c>
      <c r="N233" s="37" cm="1">
        <f t="array" ref="N233">Common_InputFunctions.Utility_DisplayArrayInTable(Common_SourceData.Common_SourceData_MCFTemperatureZone_Data(),Table_SourceData_Common_MCFTemperatureZone[[#Headers],[Temperature zone]],0)</f>
        <v>1.4999999999999999E-2</v>
      </c>
      <c r="O233" s="37" cm="1">
        <f t="array" ref="O233">Common_InputFunctions.Utility_DisplayArrayInTable(Common_SourceData.Common_SourceData_MCFTemperatureZone_Data(),Table_SourceData_Common_MCFTemperatureZone[[#Headers],[Temperature zone]],0)</f>
        <v>1.4999999999999999E-2</v>
      </c>
      <c r="P233" s="37" cm="1">
        <f t="array" ref="P233">Common_InputFunctions.Utility_DisplayArrayInTable(Common_SourceData.Common_SourceData_MCFTemperatureZone_Data(),Table_SourceData_Common_MCFTemperatureZone[[#Headers],[Temperature zone]],0)</f>
        <v>0</v>
      </c>
      <c r="Q233" s="37" cm="1">
        <f t="array" ref="Q233">Common_InputFunctions.Utility_DisplayArrayInTable(Common_SourceData.Common_SourceData_MCFTemperatureZone_Data(),Table_SourceData_Common_MCFTemperatureZone[[#Headers],[Temperature zone]],0)</f>
        <v>0</v>
      </c>
      <c r="R233" s="37" cm="1">
        <f t="array" ref="R233">Common_InputFunctions.Utility_DisplayArrayInTable(Common_SourceData.Common_SourceData_MCFTemperatureZone_Data(),Table_SourceData_Common_MCFTemperatureZone[[#Headers],[Temperature zone]],0)</f>
        <v>4.7000000000000002E-3</v>
      </c>
      <c r="S233" s="37"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7" cm="1">
        <f t="array" ref="E234">Common_InputFunctions.Utility_DisplayArrayInTable(Common_SourceData.Common_SourceData_MCFTemperatureZone_Data(),Table_SourceData_Common_MCFTemperatureZone[[#Headers],[Temperature zone]],0)</f>
        <v>12</v>
      </c>
      <c r="F234" s="37" cm="1">
        <f t="array" ref="F234">Common_InputFunctions.Utility_DisplayArrayInTable(Common_SourceData.Common_SourceData_MCFTemperatureZone_Data(),Table_SourceData_Common_MCFTemperatureZone[[#Headers],[Temperature zone]],0)</f>
        <v>0.7</v>
      </c>
      <c r="G234" s="37" cm="1">
        <f t="array" ref="G234">Common_InputFunctions.Utility_DisplayArrayInTable(Common_SourceData.Common_SourceData_MCFTemperatureZone_Data(),Table_SourceData_Common_MCFTemperatureZone[[#Headers],[Temperature zone]],0)</f>
        <v>0.1</v>
      </c>
      <c r="H234" s="37" cm="1">
        <f t="array" ref="H234">Common_InputFunctions.Utility_DisplayArrayInTable(Common_SourceData.Common_SourceData_MCFTemperatureZone_Data(),Table_SourceData_Common_MCFTemperatureZone[[#Headers],[Temperature zone]],0)</f>
        <v>0.13</v>
      </c>
      <c r="I234" s="37" cm="1">
        <f t="array" ref="I234">Common_InputFunctions.Utility_DisplayArrayInTable(Common_SourceData.Common_SourceData_MCFTemperatureZone_Data(),Table_SourceData_Common_MCFTemperatureZone[[#Headers],[Temperature zone]],0)</f>
        <v>1E-3</v>
      </c>
      <c r="J234" s="37" cm="1">
        <f t="array" ref="J234">Common_InputFunctions.Utility_DisplayArrayInTable(Common_SourceData.Common_SourceData_MCFTemperatureZone_Data(),Table_SourceData_Common_MCFTemperatureZone[[#Headers],[Temperature zone]],0)</f>
        <v>5.0000000000000001E-3</v>
      </c>
      <c r="K234" s="37" cm="1">
        <f t="array" ref="K234">Common_InputFunctions.Utility_DisplayArrayInTable(Common_SourceData.Common_SourceData_MCFTemperatureZone_Data(),Table_SourceData_Common_MCFTemperatureZone[[#Headers],[Temperature zone]],0)</f>
        <v>0.02</v>
      </c>
      <c r="L234" s="37" cm="1">
        <f t="array" ref="L234">Common_InputFunctions.Utility_DisplayArrayInTable(Common_SourceData.Common_SourceData_MCFTemperatureZone_Data(),Table_SourceData_Common_MCFTemperatureZone[[#Headers],[Temperature zone]],0)</f>
        <v>0.03</v>
      </c>
      <c r="M234" s="37" cm="1">
        <f t="array" ref="M234">Common_InputFunctions.Utility_DisplayArrayInTable(Common_SourceData.Common_SourceData_MCFTemperatureZone_Data(),Table_SourceData_Common_MCFTemperatureZone[[#Headers],[Temperature zone]],0)</f>
        <v>0.04</v>
      </c>
      <c r="N234" s="37" cm="1">
        <f t="array" ref="N234">Common_InputFunctions.Utility_DisplayArrayInTable(Common_SourceData.Common_SourceData_MCFTemperatureZone_Data(),Table_SourceData_Common_MCFTemperatureZone[[#Headers],[Temperature zone]],0)</f>
        <v>1.4999999999999999E-2</v>
      </c>
      <c r="O234" s="37" cm="1">
        <f t="array" ref="O234">Common_InputFunctions.Utility_DisplayArrayInTable(Common_SourceData.Common_SourceData_MCFTemperatureZone_Data(),Table_SourceData_Common_MCFTemperatureZone[[#Headers],[Temperature zone]],0)</f>
        <v>1.4999999999999999E-2</v>
      </c>
      <c r="P234" s="37" cm="1">
        <f t="array" ref="P234">Common_InputFunctions.Utility_DisplayArrayInTable(Common_SourceData.Common_SourceData_MCFTemperatureZone_Data(),Table_SourceData_Common_MCFTemperatureZone[[#Headers],[Temperature zone]],0)</f>
        <v>0</v>
      </c>
      <c r="Q234" s="37" cm="1">
        <f t="array" ref="Q234">Common_InputFunctions.Utility_DisplayArrayInTable(Common_SourceData.Common_SourceData_MCFTemperatureZone_Data(),Table_SourceData_Common_MCFTemperatureZone[[#Headers],[Temperature zone]],0)</f>
        <v>0</v>
      </c>
      <c r="R234" s="37" cm="1">
        <f t="array" ref="R234">Common_InputFunctions.Utility_DisplayArrayInTable(Common_SourceData.Common_SourceData_MCFTemperatureZone_Data(),Table_SourceData_Common_MCFTemperatureZone[[#Headers],[Temperature zone]],0)</f>
        <v>4.7000000000000002E-3</v>
      </c>
      <c r="S234" s="37"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7" cm="1">
        <f t="array" ref="E235">Common_InputFunctions.Utility_DisplayArrayInTable(Common_SourceData.Common_SourceData_MCFTemperatureZone_Data(),Table_SourceData_Common_MCFTemperatureZone[[#Headers],[Temperature zone]],0)</f>
        <v>13</v>
      </c>
      <c r="F235" s="37" cm="1">
        <f t="array" ref="F235">Common_InputFunctions.Utility_DisplayArrayInTable(Common_SourceData.Common_SourceData_MCFTemperatureZone_Data(),Table_SourceData_Common_MCFTemperatureZone[[#Headers],[Temperature zone]],0)</f>
        <v>0.71</v>
      </c>
      <c r="G235" s="37" cm="1">
        <f t="array" ref="G235">Common_InputFunctions.Utility_DisplayArrayInTable(Common_SourceData.Common_SourceData_MCFTemperatureZone_Data(),Table_SourceData_Common_MCFTemperatureZone[[#Headers],[Temperature zone]],0)</f>
        <v>0.1</v>
      </c>
      <c r="H235" s="37" cm="1">
        <f t="array" ref="H235">Common_InputFunctions.Utility_DisplayArrayInTable(Common_SourceData.Common_SourceData_MCFTemperatureZone_Data(),Table_SourceData_Common_MCFTemperatureZone[[#Headers],[Temperature zone]],0)</f>
        <v>0.14000000000000001</v>
      </c>
      <c r="I235" s="37" cm="1">
        <f t="array" ref="I235">Common_InputFunctions.Utility_DisplayArrayInTable(Common_SourceData.Common_SourceData_MCFTemperatureZone_Data(),Table_SourceData_Common_MCFTemperatureZone[[#Headers],[Temperature zone]],0)</f>
        <v>1E-3</v>
      </c>
      <c r="J235" s="37" cm="1">
        <f t="array" ref="J235">Common_InputFunctions.Utility_DisplayArrayInTable(Common_SourceData.Common_SourceData_MCFTemperatureZone_Data(),Table_SourceData_Common_MCFTemperatureZone[[#Headers],[Temperature zone]],0)</f>
        <v>5.0000000000000001E-3</v>
      </c>
      <c r="K235" s="37" cm="1">
        <f t="array" ref="K235">Common_InputFunctions.Utility_DisplayArrayInTable(Common_SourceData.Common_SourceData_MCFTemperatureZone_Data(),Table_SourceData_Common_MCFTemperatureZone[[#Headers],[Temperature zone]],0)</f>
        <v>0.02</v>
      </c>
      <c r="L235" s="37" cm="1">
        <f t="array" ref="L235">Common_InputFunctions.Utility_DisplayArrayInTable(Common_SourceData.Common_SourceData_MCFTemperatureZone_Data(),Table_SourceData_Common_MCFTemperatureZone[[#Headers],[Temperature zone]],0)</f>
        <v>0.03</v>
      </c>
      <c r="M235" s="37" cm="1">
        <f t="array" ref="M235">Common_InputFunctions.Utility_DisplayArrayInTable(Common_SourceData.Common_SourceData_MCFTemperatureZone_Data(),Table_SourceData_Common_MCFTemperatureZone[[#Headers],[Temperature zone]],0)</f>
        <v>0.04</v>
      </c>
      <c r="N235" s="37" cm="1">
        <f t="array" ref="N235">Common_InputFunctions.Utility_DisplayArrayInTable(Common_SourceData.Common_SourceData_MCFTemperatureZone_Data(),Table_SourceData_Common_MCFTemperatureZone[[#Headers],[Temperature zone]],0)</f>
        <v>1.4999999999999999E-2</v>
      </c>
      <c r="O235" s="37" cm="1">
        <f t="array" ref="O235">Common_InputFunctions.Utility_DisplayArrayInTable(Common_SourceData.Common_SourceData_MCFTemperatureZone_Data(),Table_SourceData_Common_MCFTemperatureZone[[#Headers],[Temperature zone]],0)</f>
        <v>1.4999999999999999E-2</v>
      </c>
      <c r="P235" s="37" cm="1">
        <f t="array" ref="P235">Common_InputFunctions.Utility_DisplayArrayInTable(Common_SourceData.Common_SourceData_MCFTemperatureZone_Data(),Table_SourceData_Common_MCFTemperatureZone[[#Headers],[Temperature zone]],0)</f>
        <v>0</v>
      </c>
      <c r="Q235" s="37" cm="1">
        <f t="array" ref="Q235">Common_InputFunctions.Utility_DisplayArrayInTable(Common_SourceData.Common_SourceData_MCFTemperatureZone_Data(),Table_SourceData_Common_MCFTemperatureZone[[#Headers],[Temperature zone]],0)</f>
        <v>0</v>
      </c>
      <c r="R235" s="37" cm="1">
        <f t="array" ref="R235">Common_InputFunctions.Utility_DisplayArrayInTable(Common_SourceData.Common_SourceData_MCFTemperatureZone_Data(),Table_SourceData_Common_MCFTemperatureZone[[#Headers],[Temperature zone]],0)</f>
        <v>4.7000000000000002E-3</v>
      </c>
      <c r="S235" s="37"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7" cm="1">
        <f t="array" ref="E236">Common_InputFunctions.Utility_DisplayArrayInTable(Common_SourceData.Common_SourceData_MCFTemperatureZone_Data(),Table_SourceData_Common_MCFTemperatureZone[[#Headers],[Temperature zone]],0)</f>
        <v>14</v>
      </c>
      <c r="F236" s="37" cm="1">
        <f t="array" ref="F236">Common_InputFunctions.Utility_DisplayArrayInTable(Common_SourceData.Common_SourceData_MCFTemperatureZone_Data(),Table_SourceData_Common_MCFTemperatureZone[[#Headers],[Temperature zone]],0)</f>
        <v>0.73</v>
      </c>
      <c r="G236" s="37" cm="1">
        <f t="array" ref="G236">Common_InputFunctions.Utility_DisplayArrayInTable(Common_SourceData.Common_SourceData_MCFTemperatureZone_Data(),Table_SourceData_Common_MCFTemperatureZone[[#Headers],[Temperature zone]],0)</f>
        <v>0.1</v>
      </c>
      <c r="H236" s="37" cm="1">
        <f t="array" ref="H236">Common_InputFunctions.Utility_DisplayArrayInTable(Common_SourceData.Common_SourceData_MCFTemperatureZone_Data(),Table_SourceData_Common_MCFTemperatureZone[[#Headers],[Temperature zone]],0)</f>
        <v>0.15</v>
      </c>
      <c r="I236" s="37" cm="1">
        <f t="array" ref="I236">Common_InputFunctions.Utility_DisplayArrayInTable(Common_SourceData.Common_SourceData_MCFTemperatureZone_Data(),Table_SourceData_Common_MCFTemperatureZone[[#Headers],[Temperature zone]],0)</f>
        <v>1E-3</v>
      </c>
      <c r="J236" s="37" cm="1">
        <f t="array" ref="J236">Common_InputFunctions.Utility_DisplayArrayInTable(Common_SourceData.Common_SourceData_MCFTemperatureZone_Data(),Table_SourceData_Common_MCFTemperatureZone[[#Headers],[Temperature zone]],0)</f>
        <v>5.0000000000000001E-3</v>
      </c>
      <c r="K236" s="37" cm="1">
        <f t="array" ref="K236">Common_InputFunctions.Utility_DisplayArrayInTable(Common_SourceData.Common_SourceData_MCFTemperatureZone_Data(),Table_SourceData_Common_MCFTemperatureZone[[#Headers],[Temperature zone]],0)</f>
        <v>0.02</v>
      </c>
      <c r="L236" s="37" cm="1">
        <f t="array" ref="L236">Common_InputFunctions.Utility_DisplayArrayInTable(Common_SourceData.Common_SourceData_MCFTemperatureZone_Data(),Table_SourceData_Common_MCFTemperatureZone[[#Headers],[Temperature zone]],0)</f>
        <v>0.03</v>
      </c>
      <c r="M236" s="37" cm="1">
        <f t="array" ref="M236">Common_InputFunctions.Utility_DisplayArrayInTable(Common_SourceData.Common_SourceData_MCFTemperatureZone_Data(),Table_SourceData_Common_MCFTemperatureZone[[#Headers],[Temperature zone]],0)</f>
        <v>0.04</v>
      </c>
      <c r="N236" s="37" cm="1">
        <f t="array" ref="N236">Common_InputFunctions.Utility_DisplayArrayInTable(Common_SourceData.Common_SourceData_MCFTemperatureZone_Data(),Table_SourceData_Common_MCFTemperatureZone[[#Headers],[Temperature zone]],0)</f>
        <v>1.4999999999999999E-2</v>
      </c>
      <c r="O236" s="37" cm="1">
        <f t="array" ref="O236">Common_InputFunctions.Utility_DisplayArrayInTable(Common_SourceData.Common_SourceData_MCFTemperatureZone_Data(),Table_SourceData_Common_MCFTemperatureZone[[#Headers],[Temperature zone]],0)</f>
        <v>1.4999999999999999E-2</v>
      </c>
      <c r="P236" s="37" cm="1">
        <f t="array" ref="P236">Common_InputFunctions.Utility_DisplayArrayInTable(Common_SourceData.Common_SourceData_MCFTemperatureZone_Data(),Table_SourceData_Common_MCFTemperatureZone[[#Headers],[Temperature zone]],0)</f>
        <v>0</v>
      </c>
      <c r="Q236" s="37" cm="1">
        <f t="array" ref="Q236">Common_InputFunctions.Utility_DisplayArrayInTable(Common_SourceData.Common_SourceData_MCFTemperatureZone_Data(),Table_SourceData_Common_MCFTemperatureZone[[#Headers],[Temperature zone]],0)</f>
        <v>0</v>
      </c>
      <c r="R236" s="37" cm="1">
        <f t="array" ref="R236">Common_InputFunctions.Utility_DisplayArrayInTable(Common_SourceData.Common_SourceData_MCFTemperatureZone_Data(),Table_SourceData_Common_MCFTemperatureZone[[#Headers],[Temperature zone]],0)</f>
        <v>4.7000000000000002E-3</v>
      </c>
      <c r="S236" s="37"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7" cm="1">
        <f t="array" ref="E237">Common_InputFunctions.Utility_DisplayArrayInTable(Common_SourceData.Common_SourceData_MCFTemperatureZone_Data(),Table_SourceData_Common_MCFTemperatureZone[[#Headers],[Temperature zone]],0)</f>
        <v>15</v>
      </c>
      <c r="F237" s="37" cm="1">
        <f t="array" ref="F237">Common_InputFunctions.Utility_DisplayArrayInTable(Common_SourceData.Common_SourceData_MCFTemperatureZone_Data(),Table_SourceData_Common_MCFTemperatureZone[[#Headers],[Temperature zone]],0)</f>
        <v>0.74</v>
      </c>
      <c r="G237" s="37" cm="1">
        <f t="array" ref="G237">Common_InputFunctions.Utility_DisplayArrayInTable(Common_SourceData.Common_SourceData_MCFTemperatureZone_Data(),Table_SourceData_Common_MCFTemperatureZone[[#Headers],[Temperature zone]],0)</f>
        <v>0.1</v>
      </c>
      <c r="H237" s="37" cm="1">
        <f t="array" ref="H237">Common_InputFunctions.Utility_DisplayArrayInTable(Common_SourceData.Common_SourceData_MCFTemperatureZone_Data(),Table_SourceData_Common_MCFTemperatureZone[[#Headers],[Temperature zone]],0)</f>
        <v>0.17</v>
      </c>
      <c r="I237" s="37" cm="1">
        <f t="array" ref="I237">Common_InputFunctions.Utility_DisplayArrayInTable(Common_SourceData.Common_SourceData_MCFTemperatureZone_Data(),Table_SourceData_Common_MCFTemperatureZone[[#Headers],[Temperature zone]],0)</f>
        <v>5.0000000000000001E-3</v>
      </c>
      <c r="J237" s="37" cm="1">
        <f t="array" ref="J237">Common_InputFunctions.Utility_DisplayArrayInTable(Common_SourceData.Common_SourceData_MCFTemperatureZone_Data(),Table_SourceData_Common_MCFTemperatureZone[[#Headers],[Temperature zone]],0)</f>
        <v>0.01</v>
      </c>
      <c r="K237" s="37" cm="1">
        <f t="array" ref="K237">Common_InputFunctions.Utility_DisplayArrayInTable(Common_SourceData.Common_SourceData_MCFTemperatureZone_Data(),Table_SourceData_Common_MCFTemperatureZone[[#Headers],[Temperature zone]],0)</f>
        <v>0.02</v>
      </c>
      <c r="L237" s="37" cm="1">
        <f t="array" ref="L237">Common_InputFunctions.Utility_DisplayArrayInTable(Common_SourceData.Common_SourceData_MCFTemperatureZone_Data(),Table_SourceData_Common_MCFTemperatureZone[[#Headers],[Temperature zone]],0)</f>
        <v>0.03</v>
      </c>
      <c r="M237" s="37" cm="1">
        <f t="array" ref="M237">Common_InputFunctions.Utility_DisplayArrayInTable(Common_SourceData.Common_SourceData_MCFTemperatureZone_Data(),Table_SourceData_Common_MCFTemperatureZone[[#Headers],[Temperature zone]],0)</f>
        <v>0.04</v>
      </c>
      <c r="N237" s="37" cm="1">
        <f t="array" ref="N237">Common_InputFunctions.Utility_DisplayArrayInTable(Common_SourceData.Common_SourceData_MCFTemperatureZone_Data(),Table_SourceData_Common_MCFTemperatureZone[[#Headers],[Temperature zone]],0)</f>
        <v>1.4999999999999999E-2</v>
      </c>
      <c r="O237" s="37" cm="1">
        <f t="array" ref="O237">Common_InputFunctions.Utility_DisplayArrayInTable(Common_SourceData.Common_SourceData_MCFTemperatureZone_Data(),Table_SourceData_Common_MCFTemperatureZone[[#Headers],[Temperature zone]],0)</f>
        <v>1.4999999999999999E-2</v>
      </c>
      <c r="P237" s="37" cm="1">
        <f t="array" ref="P237">Common_InputFunctions.Utility_DisplayArrayInTable(Common_SourceData.Common_SourceData_MCFTemperatureZone_Data(),Table_SourceData_Common_MCFTemperatureZone[[#Headers],[Temperature zone]],0)</f>
        <v>0</v>
      </c>
      <c r="Q237" s="37" cm="1">
        <f t="array" ref="Q237">Common_InputFunctions.Utility_DisplayArrayInTable(Common_SourceData.Common_SourceData_MCFTemperatureZone_Data(),Table_SourceData_Common_MCFTemperatureZone[[#Headers],[Temperature zone]],0)</f>
        <v>0</v>
      </c>
      <c r="R237" s="37" cm="1">
        <f t="array" ref="R237">Common_InputFunctions.Utility_DisplayArrayInTable(Common_SourceData.Common_SourceData_MCFTemperatureZone_Data(),Table_SourceData_Common_MCFTemperatureZone[[#Headers],[Temperature zone]],0)</f>
        <v>4.7000000000000002E-3</v>
      </c>
      <c r="S237" s="37"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7" cm="1">
        <f t="array" ref="E238">Common_InputFunctions.Utility_DisplayArrayInTable(Common_SourceData.Common_SourceData_MCFTemperatureZone_Data(),Table_SourceData_Common_MCFTemperatureZone[[#Headers],[Temperature zone]],0)</f>
        <v>16</v>
      </c>
      <c r="F238" s="37" cm="1">
        <f t="array" ref="F238">Common_InputFunctions.Utility_DisplayArrayInTable(Common_SourceData.Common_SourceData_MCFTemperatureZone_Data(),Table_SourceData_Common_MCFTemperatureZone[[#Headers],[Temperature zone]],0)</f>
        <v>0.75</v>
      </c>
      <c r="G238" s="37" cm="1">
        <f t="array" ref="G238">Common_InputFunctions.Utility_DisplayArrayInTable(Common_SourceData.Common_SourceData_MCFTemperatureZone_Data(),Table_SourceData_Common_MCFTemperatureZone[[#Headers],[Temperature zone]],0)</f>
        <v>0.1</v>
      </c>
      <c r="H238" s="37" cm="1">
        <f t="array" ref="H238">Common_InputFunctions.Utility_DisplayArrayInTable(Common_SourceData.Common_SourceData_MCFTemperatureZone_Data(),Table_SourceData_Common_MCFTemperatureZone[[#Headers],[Temperature zone]],0)</f>
        <v>0.18</v>
      </c>
      <c r="I238" s="37" cm="1">
        <f t="array" ref="I238">Common_InputFunctions.Utility_DisplayArrayInTable(Common_SourceData.Common_SourceData_MCFTemperatureZone_Data(),Table_SourceData_Common_MCFTemperatureZone[[#Headers],[Temperature zone]],0)</f>
        <v>5.0000000000000001E-3</v>
      </c>
      <c r="J238" s="37" cm="1">
        <f t="array" ref="J238">Common_InputFunctions.Utility_DisplayArrayInTable(Common_SourceData.Common_SourceData_MCFTemperatureZone_Data(),Table_SourceData_Common_MCFTemperatureZone[[#Headers],[Temperature zone]],0)</f>
        <v>0.01</v>
      </c>
      <c r="K238" s="37" cm="1">
        <f t="array" ref="K238">Common_InputFunctions.Utility_DisplayArrayInTable(Common_SourceData.Common_SourceData_MCFTemperatureZone_Data(),Table_SourceData_Common_MCFTemperatureZone[[#Headers],[Temperature zone]],0)</f>
        <v>0.02</v>
      </c>
      <c r="L238" s="37" cm="1">
        <f t="array" ref="L238">Common_InputFunctions.Utility_DisplayArrayInTable(Common_SourceData.Common_SourceData_MCFTemperatureZone_Data(),Table_SourceData_Common_MCFTemperatureZone[[#Headers],[Temperature zone]],0)</f>
        <v>0.03</v>
      </c>
      <c r="M238" s="37" cm="1">
        <f t="array" ref="M238">Common_InputFunctions.Utility_DisplayArrayInTable(Common_SourceData.Common_SourceData_MCFTemperatureZone_Data(),Table_SourceData_Common_MCFTemperatureZone[[#Headers],[Temperature zone]],0)</f>
        <v>0.04</v>
      </c>
      <c r="N238" s="37" cm="1">
        <f t="array" ref="N238">Common_InputFunctions.Utility_DisplayArrayInTable(Common_SourceData.Common_SourceData_MCFTemperatureZone_Data(),Table_SourceData_Common_MCFTemperatureZone[[#Headers],[Temperature zone]],0)</f>
        <v>1.4999999999999999E-2</v>
      </c>
      <c r="O238" s="37" cm="1">
        <f t="array" ref="O238">Common_InputFunctions.Utility_DisplayArrayInTable(Common_SourceData.Common_SourceData_MCFTemperatureZone_Data(),Table_SourceData_Common_MCFTemperatureZone[[#Headers],[Temperature zone]],0)</f>
        <v>1.4999999999999999E-2</v>
      </c>
      <c r="P238" s="37" cm="1">
        <f t="array" ref="P238">Common_InputFunctions.Utility_DisplayArrayInTable(Common_SourceData.Common_SourceData_MCFTemperatureZone_Data(),Table_SourceData_Common_MCFTemperatureZone[[#Headers],[Temperature zone]],0)</f>
        <v>0</v>
      </c>
      <c r="Q238" s="37" cm="1">
        <f t="array" ref="Q238">Common_InputFunctions.Utility_DisplayArrayInTable(Common_SourceData.Common_SourceData_MCFTemperatureZone_Data(),Table_SourceData_Common_MCFTemperatureZone[[#Headers],[Temperature zone]],0)</f>
        <v>0</v>
      </c>
      <c r="R238" s="37" cm="1">
        <f t="array" ref="R238">Common_InputFunctions.Utility_DisplayArrayInTable(Common_SourceData.Common_SourceData_MCFTemperatureZone_Data(),Table_SourceData_Common_MCFTemperatureZone[[#Headers],[Temperature zone]],0)</f>
        <v>4.7000000000000002E-3</v>
      </c>
      <c r="S238" s="37"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7" cm="1">
        <f t="array" ref="E239">Common_InputFunctions.Utility_DisplayArrayInTable(Common_SourceData.Common_SourceData_MCFTemperatureZone_Data(),Table_SourceData_Common_MCFTemperatureZone[[#Headers],[Temperature zone]],0)</f>
        <v>17</v>
      </c>
      <c r="F239" s="37" cm="1">
        <f t="array" ref="F239">Common_InputFunctions.Utility_DisplayArrayInTable(Common_SourceData.Common_SourceData_MCFTemperatureZone_Data(),Table_SourceData_Common_MCFTemperatureZone[[#Headers],[Temperature zone]],0)</f>
        <v>0.76</v>
      </c>
      <c r="G239" s="37" cm="1">
        <f t="array" ref="G239">Common_InputFunctions.Utility_DisplayArrayInTable(Common_SourceData.Common_SourceData_MCFTemperatureZone_Data(),Table_SourceData_Common_MCFTemperatureZone[[#Headers],[Temperature zone]],0)</f>
        <v>0.1</v>
      </c>
      <c r="H239" s="37" cm="1">
        <f t="array" ref="H239">Common_InputFunctions.Utility_DisplayArrayInTable(Common_SourceData.Common_SourceData_MCFTemperatureZone_Data(),Table_SourceData_Common_MCFTemperatureZone[[#Headers],[Temperature zone]],0)</f>
        <v>0.2</v>
      </c>
      <c r="I239" s="37" cm="1">
        <f t="array" ref="I239">Common_InputFunctions.Utility_DisplayArrayInTable(Common_SourceData.Common_SourceData_MCFTemperatureZone_Data(),Table_SourceData_Common_MCFTemperatureZone[[#Headers],[Temperature zone]],0)</f>
        <v>5.0000000000000001E-3</v>
      </c>
      <c r="J239" s="37" cm="1">
        <f t="array" ref="J239">Common_InputFunctions.Utility_DisplayArrayInTable(Common_SourceData.Common_SourceData_MCFTemperatureZone_Data(),Table_SourceData_Common_MCFTemperatureZone[[#Headers],[Temperature zone]],0)</f>
        <v>0.01</v>
      </c>
      <c r="K239" s="37" cm="1">
        <f t="array" ref="K239">Common_InputFunctions.Utility_DisplayArrayInTable(Common_SourceData.Common_SourceData_MCFTemperatureZone_Data(),Table_SourceData_Common_MCFTemperatureZone[[#Headers],[Temperature zone]],0)</f>
        <v>0.02</v>
      </c>
      <c r="L239" s="37" cm="1">
        <f t="array" ref="L239">Common_InputFunctions.Utility_DisplayArrayInTable(Common_SourceData.Common_SourceData_MCFTemperatureZone_Data(),Table_SourceData_Common_MCFTemperatureZone[[#Headers],[Temperature zone]],0)</f>
        <v>0.03</v>
      </c>
      <c r="M239" s="37" cm="1">
        <f t="array" ref="M239">Common_InputFunctions.Utility_DisplayArrayInTable(Common_SourceData.Common_SourceData_MCFTemperatureZone_Data(),Table_SourceData_Common_MCFTemperatureZone[[#Headers],[Temperature zone]],0)</f>
        <v>0.04</v>
      </c>
      <c r="N239" s="37" cm="1">
        <f t="array" ref="N239">Common_InputFunctions.Utility_DisplayArrayInTable(Common_SourceData.Common_SourceData_MCFTemperatureZone_Data(),Table_SourceData_Common_MCFTemperatureZone[[#Headers],[Temperature zone]],0)</f>
        <v>1.4999999999999999E-2</v>
      </c>
      <c r="O239" s="37" cm="1">
        <f t="array" ref="O239">Common_InputFunctions.Utility_DisplayArrayInTable(Common_SourceData.Common_SourceData_MCFTemperatureZone_Data(),Table_SourceData_Common_MCFTemperatureZone[[#Headers],[Temperature zone]],0)</f>
        <v>1.4999999999999999E-2</v>
      </c>
      <c r="P239" s="37" cm="1">
        <f t="array" ref="P239">Common_InputFunctions.Utility_DisplayArrayInTable(Common_SourceData.Common_SourceData_MCFTemperatureZone_Data(),Table_SourceData_Common_MCFTemperatureZone[[#Headers],[Temperature zone]],0)</f>
        <v>0</v>
      </c>
      <c r="Q239" s="37" cm="1">
        <f t="array" ref="Q239">Common_InputFunctions.Utility_DisplayArrayInTable(Common_SourceData.Common_SourceData_MCFTemperatureZone_Data(),Table_SourceData_Common_MCFTemperatureZone[[#Headers],[Temperature zone]],0)</f>
        <v>0</v>
      </c>
      <c r="R239" s="37" cm="1">
        <f t="array" ref="R239">Common_InputFunctions.Utility_DisplayArrayInTable(Common_SourceData.Common_SourceData_MCFTemperatureZone_Data(),Table_SourceData_Common_MCFTemperatureZone[[#Headers],[Temperature zone]],0)</f>
        <v>4.7000000000000002E-3</v>
      </c>
      <c r="S239" s="37"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7" cm="1">
        <f t="array" ref="E240">Common_InputFunctions.Utility_DisplayArrayInTable(Common_SourceData.Common_SourceData_MCFTemperatureZone_Data(),Table_SourceData_Common_MCFTemperatureZone[[#Headers],[Temperature zone]],0)</f>
        <v>18</v>
      </c>
      <c r="F240" s="37" cm="1">
        <f t="array" ref="F240">Common_InputFunctions.Utility_DisplayArrayInTable(Common_SourceData.Common_SourceData_MCFTemperatureZone_Data(),Table_SourceData_Common_MCFTemperatureZone[[#Headers],[Temperature zone]],0)</f>
        <v>0.77</v>
      </c>
      <c r="G240" s="37" cm="1">
        <f t="array" ref="G240">Common_InputFunctions.Utility_DisplayArrayInTable(Common_SourceData.Common_SourceData_MCFTemperatureZone_Data(),Table_SourceData_Common_MCFTemperatureZone[[#Headers],[Temperature zone]],0)</f>
        <v>0.1</v>
      </c>
      <c r="H240" s="37" cm="1">
        <f t="array" ref="H240">Common_InputFunctions.Utility_DisplayArrayInTable(Common_SourceData.Common_SourceData_MCFTemperatureZone_Data(),Table_SourceData_Common_MCFTemperatureZone[[#Headers],[Temperature zone]],0)</f>
        <v>0.22</v>
      </c>
      <c r="I240" s="37" cm="1">
        <f t="array" ref="I240">Common_InputFunctions.Utility_DisplayArrayInTable(Common_SourceData.Common_SourceData_MCFTemperatureZone_Data(),Table_SourceData_Common_MCFTemperatureZone[[#Headers],[Temperature zone]],0)</f>
        <v>5.0000000000000001E-3</v>
      </c>
      <c r="J240" s="37" cm="1">
        <f t="array" ref="J240">Common_InputFunctions.Utility_DisplayArrayInTable(Common_SourceData.Common_SourceData_MCFTemperatureZone_Data(),Table_SourceData_Common_MCFTemperatureZone[[#Headers],[Temperature zone]],0)</f>
        <v>0.01</v>
      </c>
      <c r="K240" s="37" cm="1">
        <f t="array" ref="K240">Common_InputFunctions.Utility_DisplayArrayInTable(Common_SourceData.Common_SourceData_MCFTemperatureZone_Data(),Table_SourceData_Common_MCFTemperatureZone[[#Headers],[Temperature zone]],0)</f>
        <v>0.02</v>
      </c>
      <c r="L240" s="37" cm="1">
        <f t="array" ref="L240">Common_InputFunctions.Utility_DisplayArrayInTable(Common_SourceData.Common_SourceData_MCFTemperatureZone_Data(),Table_SourceData_Common_MCFTemperatureZone[[#Headers],[Temperature zone]],0)</f>
        <v>0.03</v>
      </c>
      <c r="M240" s="37" cm="1">
        <f t="array" ref="M240">Common_InputFunctions.Utility_DisplayArrayInTable(Common_SourceData.Common_SourceData_MCFTemperatureZone_Data(),Table_SourceData_Common_MCFTemperatureZone[[#Headers],[Temperature zone]],0)</f>
        <v>0.04</v>
      </c>
      <c r="N240" s="37" cm="1">
        <f t="array" ref="N240">Common_InputFunctions.Utility_DisplayArrayInTable(Common_SourceData.Common_SourceData_MCFTemperatureZone_Data(),Table_SourceData_Common_MCFTemperatureZone[[#Headers],[Temperature zone]],0)</f>
        <v>1.4999999999999999E-2</v>
      </c>
      <c r="O240" s="37" cm="1">
        <f t="array" ref="O240">Common_InputFunctions.Utility_DisplayArrayInTable(Common_SourceData.Common_SourceData_MCFTemperatureZone_Data(),Table_SourceData_Common_MCFTemperatureZone[[#Headers],[Temperature zone]],0)</f>
        <v>1.4999999999999999E-2</v>
      </c>
      <c r="P240" s="37" cm="1">
        <f t="array" ref="P240">Common_InputFunctions.Utility_DisplayArrayInTable(Common_SourceData.Common_SourceData_MCFTemperatureZone_Data(),Table_SourceData_Common_MCFTemperatureZone[[#Headers],[Temperature zone]],0)</f>
        <v>0</v>
      </c>
      <c r="Q240" s="37" cm="1">
        <f t="array" ref="Q240">Common_InputFunctions.Utility_DisplayArrayInTable(Common_SourceData.Common_SourceData_MCFTemperatureZone_Data(),Table_SourceData_Common_MCFTemperatureZone[[#Headers],[Temperature zone]],0)</f>
        <v>0</v>
      </c>
      <c r="R240" s="37" cm="1">
        <f t="array" ref="R240">Common_InputFunctions.Utility_DisplayArrayInTable(Common_SourceData.Common_SourceData_MCFTemperatureZone_Data(),Table_SourceData_Common_MCFTemperatureZone[[#Headers],[Temperature zone]],0)</f>
        <v>4.7000000000000002E-3</v>
      </c>
      <c r="S240" s="37"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7" cm="1">
        <f t="array" ref="E241">Common_InputFunctions.Utility_DisplayArrayInTable(Common_SourceData.Common_SourceData_MCFTemperatureZone_Data(),Table_SourceData_Common_MCFTemperatureZone[[#Headers],[Temperature zone]],0)</f>
        <v>19</v>
      </c>
      <c r="F241" s="37" cm="1">
        <f t="array" ref="F241">Common_InputFunctions.Utility_DisplayArrayInTable(Common_SourceData.Common_SourceData_MCFTemperatureZone_Data(),Table_SourceData_Common_MCFTemperatureZone[[#Headers],[Temperature zone]],0)</f>
        <v>0.77</v>
      </c>
      <c r="G241" s="37" cm="1">
        <f t="array" ref="G241">Common_InputFunctions.Utility_DisplayArrayInTable(Common_SourceData.Common_SourceData_MCFTemperatureZone_Data(),Table_SourceData_Common_MCFTemperatureZone[[#Headers],[Temperature zone]],0)</f>
        <v>0.1</v>
      </c>
      <c r="H241" s="37" cm="1">
        <f t="array" ref="H241">Common_InputFunctions.Utility_DisplayArrayInTable(Common_SourceData.Common_SourceData_MCFTemperatureZone_Data(),Table_SourceData_Common_MCFTemperatureZone[[#Headers],[Temperature zone]],0)</f>
        <v>0.24</v>
      </c>
      <c r="I241" s="37" cm="1">
        <f t="array" ref="I241">Common_InputFunctions.Utility_DisplayArrayInTable(Common_SourceData.Common_SourceData_MCFTemperatureZone_Data(),Table_SourceData_Common_MCFTemperatureZone[[#Headers],[Temperature zone]],0)</f>
        <v>5.0000000000000001E-3</v>
      </c>
      <c r="J241" s="37" cm="1">
        <f t="array" ref="J241">Common_InputFunctions.Utility_DisplayArrayInTable(Common_SourceData.Common_SourceData_MCFTemperatureZone_Data(),Table_SourceData_Common_MCFTemperatureZone[[#Headers],[Temperature zone]],0)</f>
        <v>0.01</v>
      </c>
      <c r="K241" s="37" cm="1">
        <f t="array" ref="K241">Common_InputFunctions.Utility_DisplayArrayInTable(Common_SourceData.Common_SourceData_MCFTemperatureZone_Data(),Table_SourceData_Common_MCFTemperatureZone[[#Headers],[Temperature zone]],0)</f>
        <v>0.02</v>
      </c>
      <c r="L241" s="37" cm="1">
        <f t="array" ref="L241">Common_InputFunctions.Utility_DisplayArrayInTable(Common_SourceData.Common_SourceData_MCFTemperatureZone_Data(),Table_SourceData_Common_MCFTemperatureZone[[#Headers],[Temperature zone]],0)</f>
        <v>0.03</v>
      </c>
      <c r="M241" s="37" cm="1">
        <f t="array" ref="M241">Common_InputFunctions.Utility_DisplayArrayInTable(Common_SourceData.Common_SourceData_MCFTemperatureZone_Data(),Table_SourceData_Common_MCFTemperatureZone[[#Headers],[Temperature zone]],0)</f>
        <v>0.04</v>
      </c>
      <c r="N241" s="37" cm="1">
        <f t="array" ref="N241">Common_InputFunctions.Utility_DisplayArrayInTable(Common_SourceData.Common_SourceData_MCFTemperatureZone_Data(),Table_SourceData_Common_MCFTemperatureZone[[#Headers],[Temperature zone]],0)</f>
        <v>1.4999999999999999E-2</v>
      </c>
      <c r="O241" s="37" cm="1">
        <f t="array" ref="O241">Common_InputFunctions.Utility_DisplayArrayInTable(Common_SourceData.Common_SourceData_MCFTemperatureZone_Data(),Table_SourceData_Common_MCFTemperatureZone[[#Headers],[Temperature zone]],0)</f>
        <v>1.4999999999999999E-2</v>
      </c>
      <c r="P241" s="37" cm="1">
        <f t="array" ref="P241">Common_InputFunctions.Utility_DisplayArrayInTable(Common_SourceData.Common_SourceData_MCFTemperatureZone_Data(),Table_SourceData_Common_MCFTemperatureZone[[#Headers],[Temperature zone]],0)</f>
        <v>0</v>
      </c>
      <c r="Q241" s="37" cm="1">
        <f t="array" ref="Q241">Common_InputFunctions.Utility_DisplayArrayInTable(Common_SourceData.Common_SourceData_MCFTemperatureZone_Data(),Table_SourceData_Common_MCFTemperatureZone[[#Headers],[Temperature zone]],0)</f>
        <v>0</v>
      </c>
      <c r="R241" s="37" cm="1">
        <f t="array" ref="R241">Common_InputFunctions.Utility_DisplayArrayInTable(Common_SourceData.Common_SourceData_MCFTemperatureZone_Data(),Table_SourceData_Common_MCFTemperatureZone[[#Headers],[Temperature zone]],0)</f>
        <v>4.7000000000000002E-3</v>
      </c>
      <c r="S241" s="37"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7" cm="1">
        <f t="array" ref="E242">Common_InputFunctions.Utility_DisplayArrayInTable(Common_SourceData.Common_SourceData_MCFTemperatureZone_Data(),Table_SourceData_Common_MCFTemperatureZone[[#Headers],[Temperature zone]],0)</f>
        <v>20</v>
      </c>
      <c r="F242" s="37" cm="1">
        <f t="array" ref="F242">Common_InputFunctions.Utility_DisplayArrayInTable(Common_SourceData.Common_SourceData_MCFTemperatureZone_Data(),Table_SourceData_Common_MCFTemperatureZone[[#Headers],[Temperature zone]],0)</f>
        <v>0.78</v>
      </c>
      <c r="G242" s="37" cm="1">
        <f t="array" ref="G242">Common_InputFunctions.Utility_DisplayArrayInTable(Common_SourceData.Common_SourceData_MCFTemperatureZone_Data(),Table_SourceData_Common_MCFTemperatureZone[[#Headers],[Temperature zone]],0)</f>
        <v>0.1</v>
      </c>
      <c r="H242" s="37" cm="1">
        <f t="array" ref="H242">Common_InputFunctions.Utility_DisplayArrayInTable(Common_SourceData.Common_SourceData_MCFTemperatureZone_Data(),Table_SourceData_Common_MCFTemperatureZone[[#Headers],[Temperature zone]],0)</f>
        <v>0.26</v>
      </c>
      <c r="I242" s="37" cm="1">
        <f t="array" ref="I242">Common_InputFunctions.Utility_DisplayArrayInTable(Common_SourceData.Common_SourceData_MCFTemperatureZone_Data(),Table_SourceData_Common_MCFTemperatureZone[[#Headers],[Temperature zone]],0)</f>
        <v>5.0000000000000001E-3</v>
      </c>
      <c r="J242" s="37" cm="1">
        <f t="array" ref="J242">Common_InputFunctions.Utility_DisplayArrayInTable(Common_SourceData.Common_SourceData_MCFTemperatureZone_Data(),Table_SourceData_Common_MCFTemperatureZone[[#Headers],[Temperature zone]],0)</f>
        <v>0.01</v>
      </c>
      <c r="K242" s="37" cm="1">
        <f t="array" ref="K242">Common_InputFunctions.Utility_DisplayArrayInTable(Common_SourceData.Common_SourceData_MCFTemperatureZone_Data(),Table_SourceData_Common_MCFTemperatureZone[[#Headers],[Temperature zone]],0)</f>
        <v>0.02</v>
      </c>
      <c r="L242" s="37" cm="1">
        <f t="array" ref="L242">Common_InputFunctions.Utility_DisplayArrayInTable(Common_SourceData.Common_SourceData_MCFTemperatureZone_Data(),Table_SourceData_Common_MCFTemperatureZone[[#Headers],[Temperature zone]],0)</f>
        <v>0.03</v>
      </c>
      <c r="M242" s="37" cm="1">
        <f t="array" ref="M242">Common_InputFunctions.Utility_DisplayArrayInTable(Common_SourceData.Common_SourceData_MCFTemperatureZone_Data(),Table_SourceData_Common_MCFTemperatureZone[[#Headers],[Temperature zone]],0)</f>
        <v>0.04</v>
      </c>
      <c r="N242" s="37" cm="1">
        <f t="array" ref="N242">Common_InputFunctions.Utility_DisplayArrayInTable(Common_SourceData.Common_SourceData_MCFTemperatureZone_Data(),Table_SourceData_Common_MCFTemperatureZone[[#Headers],[Temperature zone]],0)</f>
        <v>1.4999999999999999E-2</v>
      </c>
      <c r="O242" s="37" cm="1">
        <f t="array" ref="O242">Common_InputFunctions.Utility_DisplayArrayInTable(Common_SourceData.Common_SourceData_MCFTemperatureZone_Data(),Table_SourceData_Common_MCFTemperatureZone[[#Headers],[Temperature zone]],0)</f>
        <v>1.4999999999999999E-2</v>
      </c>
      <c r="P242" s="37" cm="1">
        <f t="array" ref="P242">Common_InputFunctions.Utility_DisplayArrayInTable(Common_SourceData.Common_SourceData_MCFTemperatureZone_Data(),Table_SourceData_Common_MCFTemperatureZone[[#Headers],[Temperature zone]],0)</f>
        <v>0</v>
      </c>
      <c r="Q242" s="37" cm="1">
        <f t="array" ref="Q242">Common_InputFunctions.Utility_DisplayArrayInTable(Common_SourceData.Common_SourceData_MCFTemperatureZone_Data(),Table_SourceData_Common_MCFTemperatureZone[[#Headers],[Temperature zone]],0)</f>
        <v>0</v>
      </c>
      <c r="R242" s="37" cm="1">
        <f t="array" ref="R242">Common_InputFunctions.Utility_DisplayArrayInTable(Common_SourceData.Common_SourceData_MCFTemperatureZone_Data(),Table_SourceData_Common_MCFTemperatureZone[[#Headers],[Temperature zone]],0)</f>
        <v>4.7000000000000002E-3</v>
      </c>
      <c r="S242" s="37"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7" cm="1">
        <f t="array" ref="E243">Common_InputFunctions.Utility_DisplayArrayInTable(Common_SourceData.Common_SourceData_MCFTemperatureZone_Data(),Table_SourceData_Common_MCFTemperatureZone[[#Headers],[Temperature zone]],0)</f>
        <v>21</v>
      </c>
      <c r="F243" s="37" cm="1">
        <f t="array" ref="F243">Common_InputFunctions.Utility_DisplayArrayInTable(Common_SourceData.Common_SourceData_MCFTemperatureZone_Data(),Table_SourceData_Common_MCFTemperatureZone[[#Headers],[Temperature zone]],0)</f>
        <v>0.78</v>
      </c>
      <c r="G243" s="37" cm="1">
        <f t="array" ref="G243">Common_InputFunctions.Utility_DisplayArrayInTable(Common_SourceData.Common_SourceData_MCFTemperatureZone_Data(),Table_SourceData_Common_MCFTemperatureZone[[#Headers],[Temperature zone]],0)</f>
        <v>0.1</v>
      </c>
      <c r="H243" s="37" cm="1">
        <f t="array" ref="H243">Common_InputFunctions.Utility_DisplayArrayInTable(Common_SourceData.Common_SourceData_MCFTemperatureZone_Data(),Table_SourceData_Common_MCFTemperatureZone[[#Headers],[Temperature zone]],0)</f>
        <v>0.28999999999999998</v>
      </c>
      <c r="I243" s="37" cm="1">
        <f t="array" ref="I243">Common_InputFunctions.Utility_DisplayArrayInTable(Common_SourceData.Common_SourceData_MCFTemperatureZone_Data(),Table_SourceData_Common_MCFTemperatureZone[[#Headers],[Temperature zone]],0)</f>
        <v>5.0000000000000001E-3</v>
      </c>
      <c r="J243" s="37" cm="1">
        <f t="array" ref="J243">Common_InputFunctions.Utility_DisplayArrayInTable(Common_SourceData.Common_SourceData_MCFTemperatureZone_Data(),Table_SourceData_Common_MCFTemperatureZone[[#Headers],[Temperature zone]],0)</f>
        <v>0.01</v>
      </c>
      <c r="K243" s="37" cm="1">
        <f t="array" ref="K243">Common_InputFunctions.Utility_DisplayArrayInTable(Common_SourceData.Common_SourceData_MCFTemperatureZone_Data(),Table_SourceData_Common_MCFTemperatureZone[[#Headers],[Temperature zone]],0)</f>
        <v>0.02</v>
      </c>
      <c r="L243" s="37" cm="1">
        <f t="array" ref="L243">Common_InputFunctions.Utility_DisplayArrayInTable(Common_SourceData.Common_SourceData_MCFTemperatureZone_Data(),Table_SourceData_Common_MCFTemperatureZone[[#Headers],[Temperature zone]],0)</f>
        <v>0.03</v>
      </c>
      <c r="M243" s="37" cm="1">
        <f t="array" ref="M243">Common_InputFunctions.Utility_DisplayArrayInTable(Common_SourceData.Common_SourceData_MCFTemperatureZone_Data(),Table_SourceData_Common_MCFTemperatureZone[[#Headers],[Temperature zone]],0)</f>
        <v>0.04</v>
      </c>
      <c r="N243" s="37" cm="1">
        <f t="array" ref="N243">Common_InputFunctions.Utility_DisplayArrayInTable(Common_SourceData.Common_SourceData_MCFTemperatureZone_Data(),Table_SourceData_Common_MCFTemperatureZone[[#Headers],[Temperature zone]],0)</f>
        <v>1.4999999999999999E-2</v>
      </c>
      <c r="O243" s="37" cm="1">
        <f t="array" ref="O243">Common_InputFunctions.Utility_DisplayArrayInTable(Common_SourceData.Common_SourceData_MCFTemperatureZone_Data(),Table_SourceData_Common_MCFTemperatureZone[[#Headers],[Temperature zone]],0)</f>
        <v>1.4999999999999999E-2</v>
      </c>
      <c r="P243" s="37" cm="1">
        <f t="array" ref="P243">Common_InputFunctions.Utility_DisplayArrayInTable(Common_SourceData.Common_SourceData_MCFTemperatureZone_Data(),Table_SourceData_Common_MCFTemperatureZone[[#Headers],[Temperature zone]],0)</f>
        <v>0</v>
      </c>
      <c r="Q243" s="37" cm="1">
        <f t="array" ref="Q243">Common_InputFunctions.Utility_DisplayArrayInTable(Common_SourceData.Common_SourceData_MCFTemperatureZone_Data(),Table_SourceData_Common_MCFTemperatureZone[[#Headers],[Temperature zone]],0)</f>
        <v>0</v>
      </c>
      <c r="R243" s="37" cm="1">
        <f t="array" ref="R243">Common_InputFunctions.Utility_DisplayArrayInTable(Common_SourceData.Common_SourceData_MCFTemperatureZone_Data(),Table_SourceData_Common_MCFTemperatureZone[[#Headers],[Temperature zone]],0)</f>
        <v>4.7000000000000002E-3</v>
      </c>
      <c r="S243" s="37"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7" cm="1">
        <f t="array" ref="E244">Common_InputFunctions.Utility_DisplayArrayInTable(Common_SourceData.Common_SourceData_MCFTemperatureZone_Data(),Table_SourceData_Common_MCFTemperatureZone[[#Headers],[Temperature zone]],0)</f>
        <v>22</v>
      </c>
      <c r="F244" s="37" cm="1">
        <f t="array" ref="F244">Common_InputFunctions.Utility_DisplayArrayInTable(Common_SourceData.Common_SourceData_MCFTemperatureZone_Data(),Table_SourceData_Common_MCFTemperatureZone[[#Headers],[Temperature zone]],0)</f>
        <v>0.78</v>
      </c>
      <c r="G244" s="37" cm="1">
        <f t="array" ref="G244">Common_InputFunctions.Utility_DisplayArrayInTable(Common_SourceData.Common_SourceData_MCFTemperatureZone_Data(),Table_SourceData_Common_MCFTemperatureZone[[#Headers],[Temperature zone]],0)</f>
        <v>0.1</v>
      </c>
      <c r="H244" s="37" cm="1">
        <f t="array" ref="H244">Common_InputFunctions.Utility_DisplayArrayInTable(Common_SourceData.Common_SourceData_MCFTemperatureZone_Data(),Table_SourceData_Common_MCFTemperatureZone[[#Headers],[Temperature zone]],0)</f>
        <v>0.31</v>
      </c>
      <c r="I244" s="37" cm="1">
        <f t="array" ref="I244">Common_InputFunctions.Utility_DisplayArrayInTable(Common_SourceData.Common_SourceData_MCFTemperatureZone_Data(),Table_SourceData_Common_MCFTemperatureZone[[#Headers],[Temperature zone]],0)</f>
        <v>5.0000000000000001E-3</v>
      </c>
      <c r="J244" s="37" cm="1">
        <f t="array" ref="J244">Common_InputFunctions.Utility_DisplayArrayInTable(Common_SourceData.Common_SourceData_MCFTemperatureZone_Data(),Table_SourceData_Common_MCFTemperatureZone[[#Headers],[Temperature zone]],0)</f>
        <v>0.01</v>
      </c>
      <c r="K244" s="37" cm="1">
        <f t="array" ref="K244">Common_InputFunctions.Utility_DisplayArrayInTable(Common_SourceData.Common_SourceData_MCFTemperatureZone_Data(),Table_SourceData_Common_MCFTemperatureZone[[#Headers],[Temperature zone]],0)</f>
        <v>0.02</v>
      </c>
      <c r="L244" s="37" cm="1">
        <f t="array" ref="L244">Common_InputFunctions.Utility_DisplayArrayInTable(Common_SourceData.Common_SourceData_MCFTemperatureZone_Data(),Table_SourceData_Common_MCFTemperatureZone[[#Headers],[Temperature zone]],0)</f>
        <v>0.03</v>
      </c>
      <c r="M244" s="37" cm="1">
        <f t="array" ref="M244">Common_InputFunctions.Utility_DisplayArrayInTable(Common_SourceData.Common_SourceData_MCFTemperatureZone_Data(),Table_SourceData_Common_MCFTemperatureZone[[#Headers],[Temperature zone]],0)</f>
        <v>0.04</v>
      </c>
      <c r="N244" s="37" cm="1">
        <f t="array" ref="N244">Common_InputFunctions.Utility_DisplayArrayInTable(Common_SourceData.Common_SourceData_MCFTemperatureZone_Data(),Table_SourceData_Common_MCFTemperatureZone[[#Headers],[Temperature zone]],0)</f>
        <v>1.4999999999999999E-2</v>
      </c>
      <c r="O244" s="37" cm="1">
        <f t="array" ref="O244">Common_InputFunctions.Utility_DisplayArrayInTable(Common_SourceData.Common_SourceData_MCFTemperatureZone_Data(),Table_SourceData_Common_MCFTemperatureZone[[#Headers],[Temperature zone]],0)</f>
        <v>1.4999999999999999E-2</v>
      </c>
      <c r="P244" s="37" cm="1">
        <f t="array" ref="P244">Common_InputFunctions.Utility_DisplayArrayInTable(Common_SourceData.Common_SourceData_MCFTemperatureZone_Data(),Table_SourceData_Common_MCFTemperatureZone[[#Headers],[Temperature zone]],0)</f>
        <v>0</v>
      </c>
      <c r="Q244" s="37" cm="1">
        <f t="array" ref="Q244">Common_InputFunctions.Utility_DisplayArrayInTable(Common_SourceData.Common_SourceData_MCFTemperatureZone_Data(),Table_SourceData_Common_MCFTemperatureZone[[#Headers],[Temperature zone]],0)</f>
        <v>0</v>
      </c>
      <c r="R244" s="37" cm="1">
        <f t="array" ref="R244">Common_InputFunctions.Utility_DisplayArrayInTable(Common_SourceData.Common_SourceData_MCFTemperatureZone_Data(),Table_SourceData_Common_MCFTemperatureZone[[#Headers],[Temperature zone]],0)</f>
        <v>4.7000000000000002E-3</v>
      </c>
      <c r="S244" s="37"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7" cm="1">
        <f t="array" ref="E245">Common_InputFunctions.Utility_DisplayArrayInTable(Common_SourceData.Common_SourceData_MCFTemperatureZone_Data(),Table_SourceData_Common_MCFTemperatureZone[[#Headers],[Temperature zone]],0)</f>
        <v>23</v>
      </c>
      <c r="F245" s="37" cm="1">
        <f t="array" ref="F245">Common_InputFunctions.Utility_DisplayArrayInTable(Common_SourceData.Common_SourceData_MCFTemperatureZone_Data(),Table_SourceData_Common_MCFTemperatureZone[[#Headers],[Temperature zone]],0)</f>
        <v>0.79</v>
      </c>
      <c r="G245" s="37" cm="1">
        <f t="array" ref="G245">Common_InputFunctions.Utility_DisplayArrayInTable(Common_SourceData.Common_SourceData_MCFTemperatureZone_Data(),Table_SourceData_Common_MCFTemperatureZone[[#Headers],[Temperature zone]],0)</f>
        <v>0.1</v>
      </c>
      <c r="H245" s="37" cm="1">
        <f t="array" ref="H245">Common_InputFunctions.Utility_DisplayArrayInTable(Common_SourceData.Common_SourceData_MCFTemperatureZone_Data(),Table_SourceData_Common_MCFTemperatureZone[[#Headers],[Temperature zone]],0)</f>
        <v>0.34</v>
      </c>
      <c r="I245" s="37" cm="1">
        <f t="array" ref="I245">Common_InputFunctions.Utility_DisplayArrayInTable(Common_SourceData.Common_SourceData_MCFTemperatureZone_Data(),Table_SourceData_Common_MCFTemperatureZone[[#Headers],[Temperature zone]],0)</f>
        <v>5.0000000000000001E-3</v>
      </c>
      <c r="J245" s="37" cm="1">
        <f t="array" ref="J245">Common_InputFunctions.Utility_DisplayArrayInTable(Common_SourceData.Common_SourceData_MCFTemperatureZone_Data(),Table_SourceData_Common_MCFTemperatureZone[[#Headers],[Temperature zone]],0)</f>
        <v>0.01</v>
      </c>
      <c r="K245" s="37" cm="1">
        <f t="array" ref="K245">Common_InputFunctions.Utility_DisplayArrayInTable(Common_SourceData.Common_SourceData_MCFTemperatureZone_Data(),Table_SourceData_Common_MCFTemperatureZone[[#Headers],[Temperature zone]],0)</f>
        <v>0.02</v>
      </c>
      <c r="L245" s="37" cm="1">
        <f t="array" ref="L245">Common_InputFunctions.Utility_DisplayArrayInTable(Common_SourceData.Common_SourceData_MCFTemperatureZone_Data(),Table_SourceData_Common_MCFTemperatureZone[[#Headers],[Temperature zone]],0)</f>
        <v>0.03</v>
      </c>
      <c r="M245" s="37" cm="1">
        <f t="array" ref="M245">Common_InputFunctions.Utility_DisplayArrayInTable(Common_SourceData.Common_SourceData_MCFTemperatureZone_Data(),Table_SourceData_Common_MCFTemperatureZone[[#Headers],[Temperature zone]],0)</f>
        <v>0.04</v>
      </c>
      <c r="N245" s="37" cm="1">
        <f t="array" ref="N245">Common_InputFunctions.Utility_DisplayArrayInTable(Common_SourceData.Common_SourceData_MCFTemperatureZone_Data(),Table_SourceData_Common_MCFTemperatureZone[[#Headers],[Temperature zone]],0)</f>
        <v>1.4999999999999999E-2</v>
      </c>
      <c r="O245" s="37" cm="1">
        <f t="array" ref="O245">Common_InputFunctions.Utility_DisplayArrayInTable(Common_SourceData.Common_SourceData_MCFTemperatureZone_Data(),Table_SourceData_Common_MCFTemperatureZone[[#Headers],[Temperature zone]],0)</f>
        <v>1.4999999999999999E-2</v>
      </c>
      <c r="P245" s="37" cm="1">
        <f t="array" ref="P245">Common_InputFunctions.Utility_DisplayArrayInTable(Common_SourceData.Common_SourceData_MCFTemperatureZone_Data(),Table_SourceData_Common_MCFTemperatureZone[[#Headers],[Temperature zone]],0)</f>
        <v>0</v>
      </c>
      <c r="Q245" s="37" cm="1">
        <f t="array" ref="Q245">Common_InputFunctions.Utility_DisplayArrayInTable(Common_SourceData.Common_SourceData_MCFTemperatureZone_Data(),Table_SourceData_Common_MCFTemperatureZone[[#Headers],[Temperature zone]],0)</f>
        <v>0</v>
      </c>
      <c r="R245" s="37" cm="1">
        <f t="array" ref="R245">Common_InputFunctions.Utility_DisplayArrayInTable(Common_SourceData.Common_SourceData_MCFTemperatureZone_Data(),Table_SourceData_Common_MCFTemperatureZone[[#Headers],[Temperature zone]],0)</f>
        <v>4.7000000000000002E-3</v>
      </c>
      <c r="S245" s="37"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7" cm="1">
        <f t="array" ref="E246">Common_InputFunctions.Utility_DisplayArrayInTable(Common_SourceData.Common_SourceData_MCFTemperatureZone_Data(),Table_SourceData_Common_MCFTemperatureZone[[#Headers],[Temperature zone]],0)</f>
        <v>24</v>
      </c>
      <c r="F246" s="37" cm="1">
        <f t="array" ref="F246">Common_InputFunctions.Utility_DisplayArrayInTable(Common_SourceData.Common_SourceData_MCFTemperatureZone_Data(),Table_SourceData_Common_MCFTemperatureZone[[#Headers],[Temperature zone]],0)</f>
        <v>0.79</v>
      </c>
      <c r="G246" s="37" cm="1">
        <f t="array" ref="G246">Common_InputFunctions.Utility_DisplayArrayInTable(Common_SourceData.Common_SourceData_MCFTemperatureZone_Data(),Table_SourceData_Common_MCFTemperatureZone[[#Headers],[Temperature zone]],0)</f>
        <v>0.1</v>
      </c>
      <c r="H246" s="37" cm="1">
        <f t="array" ref="H246">Common_InputFunctions.Utility_DisplayArrayInTable(Common_SourceData.Common_SourceData_MCFTemperatureZone_Data(),Table_SourceData_Common_MCFTemperatureZone[[#Headers],[Temperature zone]],0)</f>
        <v>0.37</v>
      </c>
      <c r="I246" s="37" cm="1">
        <f t="array" ref="I246">Common_InputFunctions.Utility_DisplayArrayInTable(Common_SourceData.Common_SourceData_MCFTemperatureZone_Data(),Table_SourceData_Common_MCFTemperatureZone[[#Headers],[Temperature zone]],0)</f>
        <v>5.0000000000000001E-3</v>
      </c>
      <c r="J246" s="37" cm="1">
        <f t="array" ref="J246">Common_InputFunctions.Utility_DisplayArrayInTable(Common_SourceData.Common_SourceData_MCFTemperatureZone_Data(),Table_SourceData_Common_MCFTemperatureZone[[#Headers],[Temperature zone]],0)</f>
        <v>0.01</v>
      </c>
      <c r="K246" s="37" cm="1">
        <f t="array" ref="K246">Common_InputFunctions.Utility_DisplayArrayInTable(Common_SourceData.Common_SourceData_MCFTemperatureZone_Data(),Table_SourceData_Common_MCFTemperatureZone[[#Headers],[Temperature zone]],0)</f>
        <v>0.02</v>
      </c>
      <c r="L246" s="37" cm="1">
        <f t="array" ref="L246">Common_InputFunctions.Utility_DisplayArrayInTable(Common_SourceData.Common_SourceData_MCFTemperatureZone_Data(),Table_SourceData_Common_MCFTemperatureZone[[#Headers],[Temperature zone]],0)</f>
        <v>0.03</v>
      </c>
      <c r="M246" s="37" cm="1">
        <f t="array" ref="M246">Common_InputFunctions.Utility_DisplayArrayInTable(Common_SourceData.Common_SourceData_MCFTemperatureZone_Data(),Table_SourceData_Common_MCFTemperatureZone[[#Headers],[Temperature zone]],0)</f>
        <v>0.04</v>
      </c>
      <c r="N246" s="37" cm="1">
        <f t="array" ref="N246">Common_InputFunctions.Utility_DisplayArrayInTable(Common_SourceData.Common_SourceData_MCFTemperatureZone_Data(),Table_SourceData_Common_MCFTemperatureZone[[#Headers],[Temperature zone]],0)</f>
        <v>1.4999999999999999E-2</v>
      </c>
      <c r="O246" s="37" cm="1">
        <f t="array" ref="O246">Common_InputFunctions.Utility_DisplayArrayInTable(Common_SourceData.Common_SourceData_MCFTemperatureZone_Data(),Table_SourceData_Common_MCFTemperatureZone[[#Headers],[Temperature zone]],0)</f>
        <v>1.4999999999999999E-2</v>
      </c>
      <c r="P246" s="37" cm="1">
        <f t="array" ref="P246">Common_InputFunctions.Utility_DisplayArrayInTable(Common_SourceData.Common_SourceData_MCFTemperatureZone_Data(),Table_SourceData_Common_MCFTemperatureZone[[#Headers],[Temperature zone]],0)</f>
        <v>0</v>
      </c>
      <c r="Q246" s="37" cm="1">
        <f t="array" ref="Q246">Common_InputFunctions.Utility_DisplayArrayInTable(Common_SourceData.Common_SourceData_MCFTemperatureZone_Data(),Table_SourceData_Common_MCFTemperatureZone[[#Headers],[Temperature zone]],0)</f>
        <v>0</v>
      </c>
      <c r="R246" s="37" cm="1">
        <f t="array" ref="R246">Common_InputFunctions.Utility_DisplayArrayInTable(Common_SourceData.Common_SourceData_MCFTemperatureZone_Data(),Table_SourceData_Common_MCFTemperatureZone[[#Headers],[Temperature zone]],0)</f>
        <v>4.7000000000000002E-3</v>
      </c>
      <c r="S246" s="37"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7" cm="1">
        <f t="array" ref="E247">Common_InputFunctions.Utility_DisplayArrayInTable(Common_SourceData.Common_SourceData_MCFTemperatureZone_Data(),Table_SourceData_Common_MCFTemperatureZone[[#Headers],[Temperature zone]],0)</f>
        <v>25</v>
      </c>
      <c r="F247" s="37" cm="1">
        <f t="array" ref="F247">Common_InputFunctions.Utility_DisplayArrayInTable(Common_SourceData.Common_SourceData_MCFTemperatureZone_Data(),Table_SourceData_Common_MCFTemperatureZone[[#Headers],[Temperature zone]],0)</f>
        <v>0.79</v>
      </c>
      <c r="G247" s="37" cm="1">
        <f t="array" ref="G247">Common_InputFunctions.Utility_DisplayArrayInTable(Common_SourceData.Common_SourceData_MCFTemperatureZone_Data(),Table_SourceData_Common_MCFTemperatureZone[[#Headers],[Temperature zone]],0)</f>
        <v>0.1</v>
      </c>
      <c r="H247" s="37" cm="1">
        <f t="array" ref="H247">Common_InputFunctions.Utility_DisplayArrayInTable(Common_SourceData.Common_SourceData_MCFTemperatureZone_Data(),Table_SourceData_Common_MCFTemperatureZone[[#Headers],[Temperature zone]],0)</f>
        <v>0.41</v>
      </c>
      <c r="I247" s="37" cm="1">
        <f t="array" ref="I247">Common_InputFunctions.Utility_DisplayArrayInTable(Common_SourceData.Common_SourceData_MCFTemperatureZone_Data(),Table_SourceData_Common_MCFTemperatureZone[[#Headers],[Temperature zone]],0)</f>
        <v>5.0000000000000001E-3</v>
      </c>
      <c r="J247" s="37" cm="1">
        <f t="array" ref="J247">Common_InputFunctions.Utility_DisplayArrayInTable(Common_SourceData.Common_SourceData_MCFTemperatureZone_Data(),Table_SourceData_Common_MCFTemperatureZone[[#Headers],[Temperature zone]],0)</f>
        <v>0.01</v>
      </c>
      <c r="K247" s="37" cm="1">
        <f t="array" ref="K247">Common_InputFunctions.Utility_DisplayArrayInTable(Common_SourceData.Common_SourceData_MCFTemperatureZone_Data(),Table_SourceData_Common_MCFTemperatureZone[[#Headers],[Temperature zone]],0)</f>
        <v>0.02</v>
      </c>
      <c r="L247" s="37" cm="1">
        <f t="array" ref="L247">Common_InputFunctions.Utility_DisplayArrayInTable(Common_SourceData.Common_SourceData_MCFTemperatureZone_Data(),Table_SourceData_Common_MCFTemperatureZone[[#Headers],[Temperature zone]],0)</f>
        <v>0.03</v>
      </c>
      <c r="M247" s="37" cm="1">
        <f t="array" ref="M247">Common_InputFunctions.Utility_DisplayArrayInTable(Common_SourceData.Common_SourceData_MCFTemperatureZone_Data(),Table_SourceData_Common_MCFTemperatureZone[[#Headers],[Temperature zone]],0)</f>
        <v>0.04</v>
      </c>
      <c r="N247" s="37" cm="1">
        <f t="array" ref="N247">Common_InputFunctions.Utility_DisplayArrayInTable(Common_SourceData.Common_SourceData_MCFTemperatureZone_Data(),Table_SourceData_Common_MCFTemperatureZone[[#Headers],[Temperature zone]],0)</f>
        <v>1.4999999999999999E-2</v>
      </c>
      <c r="O247" s="37" cm="1">
        <f t="array" ref="O247">Common_InputFunctions.Utility_DisplayArrayInTable(Common_SourceData.Common_SourceData_MCFTemperatureZone_Data(),Table_SourceData_Common_MCFTemperatureZone[[#Headers],[Temperature zone]],0)</f>
        <v>1.4999999999999999E-2</v>
      </c>
      <c r="P247" s="37" cm="1">
        <f t="array" ref="P247">Common_InputFunctions.Utility_DisplayArrayInTable(Common_SourceData.Common_SourceData_MCFTemperatureZone_Data(),Table_SourceData_Common_MCFTemperatureZone[[#Headers],[Temperature zone]],0)</f>
        <v>0</v>
      </c>
      <c r="Q247" s="37" cm="1">
        <f t="array" ref="Q247">Common_InputFunctions.Utility_DisplayArrayInTable(Common_SourceData.Common_SourceData_MCFTemperatureZone_Data(),Table_SourceData_Common_MCFTemperatureZone[[#Headers],[Temperature zone]],0)</f>
        <v>0</v>
      </c>
      <c r="R247" s="37" cm="1">
        <f t="array" ref="R247">Common_InputFunctions.Utility_DisplayArrayInTable(Common_SourceData.Common_SourceData_MCFTemperatureZone_Data(),Table_SourceData_Common_MCFTemperatureZone[[#Headers],[Temperature zone]],0)</f>
        <v>4.7000000000000002E-3</v>
      </c>
      <c r="S247" s="37"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7" cm="1">
        <f t="array" ref="E248">Common_InputFunctions.Utility_DisplayArrayInTable(Common_SourceData.Common_SourceData_MCFTemperatureZone_Data(),Table_SourceData_Common_MCFTemperatureZone[[#Headers],[Temperature zone]],0)</f>
        <v>26</v>
      </c>
      <c r="F248" s="37" cm="1">
        <f t="array" ref="F248">Common_InputFunctions.Utility_DisplayArrayInTable(Common_SourceData.Common_SourceData_MCFTemperatureZone_Data(),Table_SourceData_Common_MCFTemperatureZone[[#Headers],[Temperature zone]],0)</f>
        <v>0.79</v>
      </c>
      <c r="G248" s="37" cm="1">
        <f t="array" ref="G248">Common_InputFunctions.Utility_DisplayArrayInTable(Common_SourceData.Common_SourceData_MCFTemperatureZone_Data(),Table_SourceData_Common_MCFTemperatureZone[[#Headers],[Temperature zone]],0)</f>
        <v>0.1</v>
      </c>
      <c r="H248" s="37" cm="1">
        <f t="array" ref="H248">Common_InputFunctions.Utility_DisplayArrayInTable(Common_SourceData.Common_SourceData_MCFTemperatureZone_Data(),Table_SourceData_Common_MCFTemperatureZone[[#Headers],[Temperature zone]],0)</f>
        <v>0.44</v>
      </c>
      <c r="I248" s="37" cm="1">
        <f t="array" ref="I248">Common_InputFunctions.Utility_DisplayArrayInTable(Common_SourceData.Common_SourceData_MCFTemperatureZone_Data(),Table_SourceData_Common_MCFTemperatureZone[[#Headers],[Temperature zone]],0)</f>
        <v>0.01</v>
      </c>
      <c r="J248" s="37" cm="1">
        <f t="array" ref="J248">Common_InputFunctions.Utility_DisplayArrayInTable(Common_SourceData.Common_SourceData_MCFTemperatureZone_Data(),Table_SourceData_Common_MCFTemperatureZone[[#Headers],[Temperature zone]],0)</f>
        <v>1.4999999999999999E-2</v>
      </c>
      <c r="K248" s="37" cm="1">
        <f t="array" ref="K248">Common_InputFunctions.Utility_DisplayArrayInTable(Common_SourceData.Common_SourceData_MCFTemperatureZone_Data(),Table_SourceData_Common_MCFTemperatureZone[[#Headers],[Temperature zone]],0)</f>
        <v>0.02</v>
      </c>
      <c r="L248" s="37" cm="1">
        <f t="array" ref="L248">Common_InputFunctions.Utility_DisplayArrayInTable(Common_SourceData.Common_SourceData_MCFTemperatureZone_Data(),Table_SourceData_Common_MCFTemperatureZone[[#Headers],[Temperature zone]],0)</f>
        <v>0.03</v>
      </c>
      <c r="M248" s="37" cm="1">
        <f t="array" ref="M248">Common_InputFunctions.Utility_DisplayArrayInTable(Common_SourceData.Common_SourceData_MCFTemperatureZone_Data(),Table_SourceData_Common_MCFTemperatureZone[[#Headers],[Temperature zone]],0)</f>
        <v>0.04</v>
      </c>
      <c r="N248" s="37" cm="1">
        <f t="array" ref="N248">Common_InputFunctions.Utility_DisplayArrayInTable(Common_SourceData.Common_SourceData_MCFTemperatureZone_Data(),Table_SourceData_Common_MCFTemperatureZone[[#Headers],[Temperature zone]],0)</f>
        <v>1.4999999999999999E-2</v>
      </c>
      <c r="O248" s="37" cm="1">
        <f t="array" ref="O248">Common_InputFunctions.Utility_DisplayArrayInTable(Common_SourceData.Common_SourceData_MCFTemperatureZone_Data(),Table_SourceData_Common_MCFTemperatureZone[[#Headers],[Temperature zone]],0)</f>
        <v>1.4999999999999999E-2</v>
      </c>
      <c r="P248" s="37" cm="1">
        <f t="array" ref="P248">Common_InputFunctions.Utility_DisplayArrayInTable(Common_SourceData.Common_SourceData_MCFTemperatureZone_Data(),Table_SourceData_Common_MCFTemperatureZone[[#Headers],[Temperature zone]],0)</f>
        <v>0</v>
      </c>
      <c r="Q248" s="37" cm="1">
        <f t="array" ref="Q248">Common_InputFunctions.Utility_DisplayArrayInTable(Common_SourceData.Common_SourceData_MCFTemperatureZone_Data(),Table_SourceData_Common_MCFTemperatureZone[[#Headers],[Temperature zone]],0)</f>
        <v>0</v>
      </c>
      <c r="R248" s="37" cm="1">
        <f t="array" ref="R248">Common_InputFunctions.Utility_DisplayArrayInTable(Common_SourceData.Common_SourceData_MCFTemperatureZone_Data(),Table_SourceData_Common_MCFTemperatureZone[[#Headers],[Temperature zone]],0)</f>
        <v>4.7000000000000002E-3</v>
      </c>
      <c r="S248" s="37"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7" cm="1">
        <f t="array" ref="E249">Common_InputFunctions.Utility_DisplayArrayInTable(Common_SourceData.Common_SourceData_MCFTemperatureZone_Data(),Table_SourceData_Common_MCFTemperatureZone[[#Headers],[Temperature zone]],0)</f>
        <v>27</v>
      </c>
      <c r="F249" s="37" cm="1">
        <f t="array" ref="F249">Common_InputFunctions.Utility_DisplayArrayInTable(Common_SourceData.Common_SourceData_MCFTemperatureZone_Data(),Table_SourceData_Common_MCFTemperatureZone[[#Headers],[Temperature zone]],0)</f>
        <v>0.8</v>
      </c>
      <c r="G249" s="37" cm="1">
        <f t="array" ref="G249">Common_InputFunctions.Utility_DisplayArrayInTable(Common_SourceData.Common_SourceData_MCFTemperatureZone_Data(),Table_SourceData_Common_MCFTemperatureZone[[#Headers],[Temperature zone]],0)</f>
        <v>0.1</v>
      </c>
      <c r="H249" s="37" cm="1">
        <f t="array" ref="H249">Common_InputFunctions.Utility_DisplayArrayInTable(Common_SourceData.Common_SourceData_MCFTemperatureZone_Data(),Table_SourceData_Common_MCFTemperatureZone[[#Headers],[Temperature zone]],0)</f>
        <v>0.48</v>
      </c>
      <c r="I249" s="37" cm="1">
        <f t="array" ref="I249">Common_InputFunctions.Utility_DisplayArrayInTable(Common_SourceData.Common_SourceData_MCFTemperatureZone_Data(),Table_SourceData_Common_MCFTemperatureZone[[#Headers],[Temperature zone]],0)</f>
        <v>0.01</v>
      </c>
      <c r="J249" s="37" cm="1">
        <f t="array" ref="J249">Common_InputFunctions.Utility_DisplayArrayInTable(Common_SourceData.Common_SourceData_MCFTemperatureZone_Data(),Table_SourceData_Common_MCFTemperatureZone[[#Headers],[Temperature zone]],0)</f>
        <v>1.4999999999999999E-2</v>
      </c>
      <c r="K249" s="37" cm="1">
        <f t="array" ref="K249">Common_InputFunctions.Utility_DisplayArrayInTable(Common_SourceData.Common_SourceData_MCFTemperatureZone_Data(),Table_SourceData_Common_MCFTemperatureZone[[#Headers],[Temperature zone]],0)</f>
        <v>0.02</v>
      </c>
      <c r="L249" s="37" cm="1">
        <f t="array" ref="L249">Common_InputFunctions.Utility_DisplayArrayInTable(Common_SourceData.Common_SourceData_MCFTemperatureZone_Data(),Table_SourceData_Common_MCFTemperatureZone[[#Headers],[Temperature zone]],0)</f>
        <v>0.03</v>
      </c>
      <c r="M249" s="37" cm="1">
        <f t="array" ref="M249">Common_InputFunctions.Utility_DisplayArrayInTable(Common_SourceData.Common_SourceData_MCFTemperatureZone_Data(),Table_SourceData_Common_MCFTemperatureZone[[#Headers],[Temperature zone]],0)</f>
        <v>0.04</v>
      </c>
      <c r="N249" s="37" cm="1">
        <f t="array" ref="N249">Common_InputFunctions.Utility_DisplayArrayInTable(Common_SourceData.Common_SourceData_MCFTemperatureZone_Data(),Table_SourceData_Common_MCFTemperatureZone[[#Headers],[Temperature zone]],0)</f>
        <v>1.4999999999999999E-2</v>
      </c>
      <c r="O249" s="37" cm="1">
        <f t="array" ref="O249">Common_InputFunctions.Utility_DisplayArrayInTable(Common_SourceData.Common_SourceData_MCFTemperatureZone_Data(),Table_SourceData_Common_MCFTemperatureZone[[#Headers],[Temperature zone]],0)</f>
        <v>1.4999999999999999E-2</v>
      </c>
      <c r="P249" s="37" cm="1">
        <f t="array" ref="P249">Common_InputFunctions.Utility_DisplayArrayInTable(Common_SourceData.Common_SourceData_MCFTemperatureZone_Data(),Table_SourceData_Common_MCFTemperatureZone[[#Headers],[Temperature zone]],0)</f>
        <v>0</v>
      </c>
      <c r="Q249" s="37" cm="1">
        <f t="array" ref="Q249">Common_InputFunctions.Utility_DisplayArrayInTable(Common_SourceData.Common_SourceData_MCFTemperatureZone_Data(),Table_SourceData_Common_MCFTemperatureZone[[#Headers],[Temperature zone]],0)</f>
        <v>0</v>
      </c>
      <c r="R249" s="37" cm="1">
        <f t="array" ref="R249">Common_InputFunctions.Utility_DisplayArrayInTable(Common_SourceData.Common_SourceData_MCFTemperatureZone_Data(),Table_SourceData_Common_MCFTemperatureZone[[#Headers],[Temperature zone]],0)</f>
        <v>4.7000000000000002E-3</v>
      </c>
      <c r="S249" s="37"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7" t="str" cm="1">
        <f t="array" ref="E250">Common_InputFunctions.Utility_DisplayArrayInTable(Common_SourceData.Common_SourceData_MCFTemperatureZone_Data(),Table_SourceData_Common_MCFTemperatureZone[[#Headers],[Temperature zone]],0)</f>
        <v>≥28</v>
      </c>
      <c r="F250" s="37" cm="1">
        <f t="array" ref="F250">Common_InputFunctions.Utility_DisplayArrayInTable(Common_SourceData.Common_SourceData_MCFTemperatureZone_Data(),Table_SourceData_Common_MCFTemperatureZone[[#Headers],[Temperature zone]],0)</f>
        <v>0.8</v>
      </c>
      <c r="G250" s="37" cm="1">
        <f t="array" ref="G250">Common_InputFunctions.Utility_DisplayArrayInTable(Common_SourceData.Common_SourceData_MCFTemperatureZone_Data(),Table_SourceData_Common_MCFTemperatureZone[[#Headers],[Temperature zone]],0)</f>
        <v>0.1</v>
      </c>
      <c r="H250" s="37" cm="1">
        <f t="array" ref="H250">Common_InputFunctions.Utility_DisplayArrayInTable(Common_SourceData.Common_SourceData_MCFTemperatureZone_Data(),Table_SourceData_Common_MCFTemperatureZone[[#Headers],[Temperature zone]],0)</f>
        <v>0.5</v>
      </c>
      <c r="I250" s="37" cm="1">
        <f t="array" ref="I250">Common_InputFunctions.Utility_DisplayArrayInTable(Common_SourceData.Common_SourceData_MCFTemperatureZone_Data(),Table_SourceData_Common_MCFTemperatureZone[[#Headers],[Temperature zone]],0)</f>
        <v>0.01</v>
      </c>
      <c r="J250" s="37" cm="1">
        <f t="array" ref="J250">Common_InputFunctions.Utility_DisplayArrayInTable(Common_SourceData.Common_SourceData_MCFTemperatureZone_Data(),Table_SourceData_Common_MCFTemperatureZone[[#Headers],[Temperature zone]],0)</f>
        <v>1.4999999999999999E-2</v>
      </c>
      <c r="K250" s="37" cm="1">
        <f t="array" ref="K250">Common_InputFunctions.Utility_DisplayArrayInTable(Common_SourceData.Common_SourceData_MCFTemperatureZone_Data(),Table_SourceData_Common_MCFTemperatureZone[[#Headers],[Temperature zone]],0)</f>
        <v>0.02</v>
      </c>
      <c r="L250" s="37" cm="1">
        <f t="array" ref="L250">Common_InputFunctions.Utility_DisplayArrayInTable(Common_SourceData.Common_SourceData_MCFTemperatureZone_Data(),Table_SourceData_Common_MCFTemperatureZone[[#Headers],[Temperature zone]],0)</f>
        <v>0.03</v>
      </c>
      <c r="M250" s="37" cm="1">
        <f t="array" ref="M250">Common_InputFunctions.Utility_DisplayArrayInTable(Common_SourceData.Common_SourceData_MCFTemperatureZone_Data(),Table_SourceData_Common_MCFTemperatureZone[[#Headers],[Temperature zone]],0)</f>
        <v>0.04</v>
      </c>
      <c r="N250" s="37" cm="1">
        <f t="array" ref="N250">Common_InputFunctions.Utility_DisplayArrayInTable(Common_SourceData.Common_SourceData_MCFTemperatureZone_Data(),Table_SourceData_Common_MCFTemperatureZone[[#Headers],[Temperature zone]],0)</f>
        <v>1.4999999999999999E-2</v>
      </c>
      <c r="O250" s="37" cm="1">
        <f t="array" ref="O250">Common_InputFunctions.Utility_DisplayArrayInTable(Common_SourceData.Common_SourceData_MCFTemperatureZone_Data(),Table_SourceData_Common_MCFTemperatureZone[[#Headers],[Temperature zone]],0)</f>
        <v>1.4999999999999999E-2</v>
      </c>
      <c r="P250" s="37" cm="1">
        <f t="array" ref="P250">Common_InputFunctions.Utility_DisplayArrayInTable(Common_SourceData.Common_SourceData_MCFTemperatureZone_Data(),Table_SourceData_Common_MCFTemperatureZone[[#Headers],[Temperature zone]],0)</f>
        <v>0</v>
      </c>
      <c r="Q250" s="37" cm="1">
        <f t="array" ref="Q250">Common_InputFunctions.Utility_DisplayArrayInTable(Common_SourceData.Common_SourceData_MCFTemperatureZone_Data(),Table_SourceData_Common_MCFTemperatureZone[[#Headers],[Temperature zone]],0)</f>
        <v>0</v>
      </c>
      <c r="R250" s="37" cm="1">
        <f t="array" ref="R250">Common_InputFunctions.Utility_DisplayArrayInTable(Common_SourceData.Common_SourceData_MCFTemperatureZone_Data(),Table_SourceData_Common_MCFTemperatureZone[[#Headers],[Temperature zone]],0)</f>
        <v>4.7000000000000002E-3</v>
      </c>
      <c r="S250" s="37" cm="1">
        <f t="array" ref="S250">Common_InputFunctions.Utility_DisplayArrayInTable(Common_SourceData.Common_SourceData_MCFTemperatureZone_Data(),Table_SourceData_Common_MCFTemperatureZone[[#Headers],[Temperature zone]],0)</f>
        <v>28</v>
      </c>
    </row>
  </sheetData>
  <pageMargins left="0.7" right="0.7" top="0.75" bottom="0.75" header="0.3" footer="0.3"/>
  <pageSetup paperSize="9" orientation="portrait" r:id="rId1"/>
  <tableParts count="16">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24" sqref="A24"/>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5" t="e" vm="1">
        <v>#VALUE!</v>
      </c>
      <c r="C1" s="8" t="s">
        <v>80</v>
      </c>
      <c r="D1" s="8"/>
      <c r="E1" s="8"/>
      <c r="F1" s="8"/>
      <c r="G1" s="8"/>
      <c r="H1" s="8"/>
      <c r="I1" s="8"/>
      <c r="J1" s="8"/>
      <c r="K1" s="8"/>
      <c r="L1" s="8"/>
      <c r="M1" s="8"/>
    </row>
    <row r="2" spans="1:13" ht="20.100000000000001" customHeight="1" x14ac:dyDescent="0.25">
      <c r="A2" s="7"/>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HYPERLINK("#'Results'!A1", "Results")</f>
        <v>Results</v>
      </c>
    </row>
    <row r="5" spans="1:13" ht="20.100000000000001" customHeight="1" x14ac:dyDescent="0.25">
      <c r="A5" s="16"/>
    </row>
    <row r="6" spans="1:13" ht="20.100000000000001" customHeight="1" x14ac:dyDescent="0.25">
      <c r="A6" s="20" t="s">
        <v>3</v>
      </c>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17" t="str">
        <f>HYPERLINK("#'Input - Site'!A1", "Site")</f>
        <v>Site</v>
      </c>
      <c r="D7" s="3" t="str" cm="1">
        <f t="array" ref="D7">CommonLivestock_SourceData.SourceData_Livestock_Common_SymbolsMMS_Vairable()</f>
        <v>MMS</v>
      </c>
      <c r="E7" s="3"/>
      <c r="F7" s="3"/>
      <c r="G7" s="3"/>
      <c r="H7" s="3"/>
    </row>
    <row r="8" spans="1:13" ht="20.100000000000001" customHeight="1" x14ac:dyDescent="0.25">
      <c r="A8" s="17" t="str">
        <f>HYPERLINK("#'Input - Pasture Beef'!A1", "Pasture Beef")</f>
        <v>Pasture Beef</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c r="D9" s="36" t="s">
        <v>81</v>
      </c>
      <c r="E9" s="37" t="s">
        <v>21</v>
      </c>
      <c r="F9" s="37" t="s">
        <v>82</v>
      </c>
      <c r="G9" s="3"/>
    </row>
    <row r="10" spans="1:13" ht="20.100000000000001" customHeight="1" x14ac:dyDescent="0.25">
      <c r="A10" s="19" t="s">
        <v>77</v>
      </c>
      <c r="D10" s="36" t="str" cm="1">
        <f t="array" ref="D10">Common_InputFunctions.Utility_DisplayArrayInTable(CommonLivestock_SourceData.SourceData_Livestock_Common_SymbolsMMS_Data(), Table_Data_MMSSymbols[[#Headers],[Symbol]], 0)</f>
        <v>1</v>
      </c>
      <c r="E10" s="36" t="str" cm="1">
        <f t="array" ref="E10">Common_InputFunctions.Utility_DisplayArrayInTable(CommonLivestock_SourceData.SourceData_Livestock_Common_SymbolsMMS_Data(), Table_Data_MMSSymbols[[#Headers],[Symbol]], 0)</f>
        <v>Anaerobic lagoon</v>
      </c>
      <c r="F10" s="36"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7" t="str">
        <f>HYPERLINK("#'4.2.1.1-2 Methane'!A1", "4.2.1.1-2 Methane")</f>
        <v>4.2.1.1-2 Methane</v>
      </c>
      <c r="D11" s="36" t="str" cm="1">
        <f t="array" ref="D11">Common_InputFunctions.Utility_DisplayArrayInTable(CommonLivestock_SourceData.SourceData_Livestock_Common_SymbolsMMS_Data(), Table_Data_MMSSymbols[[#Headers],[Symbol]], 0)</f>
        <v>2</v>
      </c>
      <c r="E11" s="36" t="str" cm="1">
        <f t="array" ref="E11">Common_InputFunctions.Utility_DisplayArrayInTable(CommonLivestock_SourceData.SourceData_Livestock_Common_SymbolsMMS_Data(), Table_Data_MMSSymbols[[#Headers],[Symbol]], 0)</f>
        <v>Liquid systems</v>
      </c>
      <c r="F11" s="36"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t="str">
        <f>HYPERLINK("#'4.2.1.3-4 Soil direct N2O'!A1", "4.2.1.3-4 Soil direct N2O")</f>
        <v>4.2.1.3-4 Soil direct N2O</v>
      </c>
      <c r="D12" s="37" t="str" cm="1">
        <f t="array" ref="D12">Common_InputFunctions.Utility_DisplayArrayInTable(CommonLivestock_SourceData.SourceData_Livestock_Common_SymbolsMMS_Data(), Table_Data_MMSSymbols[[#Headers],[Symbol]], 0)</f>
        <v>3</v>
      </c>
      <c r="E12" s="37" t="str" cm="1">
        <f t="array" ref="E12">Common_InputFunctions.Utility_DisplayArrayInTable(CommonLivestock_SourceData.SourceData_Livestock_Common_SymbolsMMS_Data(), Table_Data_MMSSymbols[[#Headers],[Symbol]], 0)</f>
        <v>Daily spread</v>
      </c>
      <c r="F12" s="37"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7" t="str">
        <f>HYPERLINK("#'4.2.1.5-6 Soil Atmos Dep'!A1", "4.2.1.5-6 Soil atm. deposition")</f>
        <v>4.2.1.5-6 Soil atm. deposition</v>
      </c>
      <c r="D13" s="37" t="str" cm="1">
        <f t="array" ref="D13">Common_InputFunctions.Utility_DisplayArrayInTable(CommonLivestock_SourceData.SourceData_Livestock_Common_SymbolsMMS_Data(), Table_Data_MMSSymbols[[#Headers],[Symbol]], 0)</f>
        <v>3a</v>
      </c>
      <c r="E13" s="37" t="str" cm="1">
        <f t="array" ref="E13">Common_InputFunctions.Utility_DisplayArrayInTable(CommonLivestock_SourceData.SourceData_Livestock_Common_SymbolsMMS_Data(), Table_Data_MMSSymbols[[#Headers],[Symbol]], 0)</f>
        <v>Sump and dispersal system</v>
      </c>
      <c r="F13" s="37"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HYPERLINK("#'4.2.1.7-8 Soil leach runoff'!A1", "4.2.1.7-8 Soil leach &amp; runoff")</f>
        <v>4.2.1.7-8 Soil leach &amp; runoff</v>
      </c>
      <c r="D14" s="37" t="str" cm="1">
        <f t="array" ref="D14">Common_InputFunctions.Utility_DisplayArrayInTable(CommonLivestock_SourceData.SourceData_Livestock_Common_SymbolsMMS_Data(), Table_Data_MMSSymbols[[#Headers],[Symbol]], 0)</f>
        <v>3b</v>
      </c>
      <c r="E14" s="37" t="str" cm="1">
        <f t="array" ref="E14">Common_InputFunctions.Utility_DisplayArrayInTable(CommonLivestock_SourceData.SourceData_Livestock_Common_SymbolsMMS_Data(), Table_Data_MMSSymbols[[#Headers],[Symbol]], 0)</f>
        <v>Drains to paddock</v>
      </c>
      <c r="F14" s="37"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7"/>
      <c r="D15" s="37" t="str" cm="1">
        <f t="array" ref="D15">Common_InputFunctions.Utility_DisplayArrayInTable(CommonLivestock_SourceData.SourceData_Livestock_Common_SymbolsMMS_Data(), Table_Data_MMSSymbols[[#Headers],[Symbol]], 0)</f>
        <v>4</v>
      </c>
      <c r="E15" s="37" t="str" cm="1">
        <f t="array" ref="E15">Common_InputFunctions.Utility_DisplayArrayInTable(CommonLivestock_SourceData.SourceData_Livestock_Common_SymbolsMMS_Data(), Table_Data_MMSSymbols[[#Headers],[Symbol]], 0)</f>
        <v>Solid storage</v>
      </c>
      <c r="F15" s="37"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18" t="s">
        <v>4</v>
      </c>
      <c r="D16" s="37" t="str" cm="1">
        <f t="array" ref="D16">Common_InputFunctions.Utility_DisplayArrayInTable(CommonLivestock_SourceData.SourceData_Livestock_Common_SymbolsMMS_Data(), Table_Data_MMSSymbols[[#Headers],[Symbol]], 0)</f>
        <v>5</v>
      </c>
      <c r="E16" s="37" t="str" cm="1">
        <f t="array" ref="E16">Common_InputFunctions.Utility_DisplayArrayInTable(CommonLivestock_SourceData.SourceData_Livestock_Common_SymbolsMMS_Data(), Table_Data_MMSSymbols[[#Headers],[Symbol]], 0)</f>
        <v>Drylot (feed pad)</v>
      </c>
      <c r="F16" s="37"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HYPERLINK("#'Constants - Pasture Beef'!A1", "Constants - Pasture Beef")</f>
        <v>Constants - Pasture Beef</v>
      </c>
      <c r="D17" s="37" t="str" cm="1">
        <f t="array" ref="D17">Common_InputFunctions.Utility_DisplayArrayInTable(CommonLivestock_SourceData.SourceData_Livestock_Common_SymbolsMMS_Data(), Table_Data_MMSSymbols[[#Headers],[Symbol]], 0)</f>
        <v>6</v>
      </c>
      <c r="E17" s="37" t="str" cm="1">
        <f t="array" ref="E17">Common_InputFunctions.Utility_DisplayArrayInTable(CommonLivestock_SourceData.SourceData_Livestock_Common_SymbolsMMS_Data(), Table_Data_MMSSymbols[[#Headers],[Symbol]], 0)</f>
        <v>Composting (passive windrow)</v>
      </c>
      <c r="F17" s="37"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17" t="str">
        <f>HYPERLINK("#'Constants - Livestock'!A1", "Constants - Livestock")</f>
        <v>Constants - Livestock</v>
      </c>
      <c r="D18" s="37" t="str" cm="1">
        <f t="array" ref="D18">Common_InputFunctions.Utility_DisplayArrayInTable(CommonLivestock_SourceData.SourceData_Livestock_Common_SymbolsMMS_Data(), Table_Data_MMSSymbols[[#Headers],[Symbol]], 0)</f>
        <v>7</v>
      </c>
      <c r="E18" s="37" t="str" cm="1">
        <f t="array" ref="E18">Common_InputFunctions.Utility_DisplayArrayInTable(CommonLivestock_SourceData.SourceData_Livestock_Common_SymbolsMMS_Data(), Table_Data_MMSSymbols[[#Headers],[Symbol]], 0)</f>
        <v>Digester / covered lagoons</v>
      </c>
      <c r="F18" s="37"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17" t="str">
        <f>HYPERLINK("#'Constants - Common'!A1", "Constants - Common")</f>
        <v>Constants - Common</v>
      </c>
      <c r="D19" s="37" t="str" cm="1">
        <f t="array" ref="D19">Common_InputFunctions.Utility_DisplayArrayInTable(CommonLivestock_SourceData.SourceData_Livestock_Common_SymbolsMMS_Data(), Table_Data_MMSSymbols[[#Headers],[Symbol]], 0)</f>
        <v>8</v>
      </c>
      <c r="E19" s="37" t="str" cm="1">
        <f t="array" ref="E19">Common_InputFunctions.Utility_DisplayArrayInTable(CommonLivestock_SourceData.SourceData_Livestock_Common_SymbolsMMS_Data(), Table_Data_MMSSymbols[[#Headers],[Symbol]], 0)</f>
        <v>Deep litter</v>
      </c>
      <c r="F19" s="37"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17" t="str">
        <f>HYPERLINK("#'Acknowledgements'!A1", "Acknowledgements")</f>
        <v>Acknowledgements</v>
      </c>
      <c r="D20" s="37" t="str" cm="1">
        <f t="array" ref="D20">Common_InputFunctions.Utility_DisplayArrayInTable(CommonLivestock_SourceData.SourceData_Livestock_Common_SymbolsMMS_Data(), Table_Data_MMSSymbols[[#Headers],[Symbol]], 0)</f>
        <v>9</v>
      </c>
      <c r="E20" s="37" t="str" cm="1">
        <f t="array" ref="E20">Common_InputFunctions.Utility_DisplayArrayInTable(CommonLivestock_SourceData.SourceData_Livestock_Common_SymbolsMMS_Data(), Table_Data_MMSSymbols[[#Headers],[Symbol]], 0)</f>
        <v>Pit storage</v>
      </c>
      <c r="F20" s="37"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D21" s="37" t="str" cm="1">
        <f t="array" ref="D21">Common_InputFunctions.Utility_DisplayArrayInTable(CommonLivestock_SourceData.SourceData_Livestock_Common_SymbolsMMS_Data(), Table_Data_MMSSymbols[[#Headers],[Symbol]], 0)</f>
        <v>10</v>
      </c>
      <c r="E21" s="37" t="str" cm="1">
        <f t="array" ref="E21">Common_InputFunctions.Utility_DisplayArrayInTable(CommonLivestock_SourceData.SourceData_Livestock_Common_SymbolsMMS_Data(), Table_Data_MMSSymbols[[#Headers],[Symbol]], 0)</f>
        <v>Poultry manure with bedding</v>
      </c>
      <c r="F21" s="37"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A22" s="17"/>
      <c r="D22" s="37" t="str" cm="1">
        <f t="array" ref="D22">Common_InputFunctions.Utility_DisplayArrayInTable(CommonLivestock_SourceData.SourceData_Livestock_Common_SymbolsMMS_Data(), Table_Data_MMSSymbols[[#Headers],[Symbol]], 0)</f>
        <v>11</v>
      </c>
      <c r="E22" s="37" t="str" cm="1">
        <f t="array" ref="E22">Common_InputFunctions.Utility_DisplayArrayInTable(CommonLivestock_SourceData.SourceData_Livestock_Common_SymbolsMMS_Data(), Table_Data_MMSSymbols[[#Headers],[Symbol]], 0)</f>
        <v>Poultry manure without bedding</v>
      </c>
      <c r="F22" s="37"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A23" s="17"/>
      <c r="D23" s="37" t="str" cm="1">
        <f t="array" ref="D23">Common_InputFunctions.Utility_DisplayArrayInTable(CommonLivestock_SourceData.SourceData_Livestock_Common_SymbolsMMS_Data(), Table_Data_MMSSymbols[[#Headers],[Symbol]], 0)</f>
        <v>11a</v>
      </c>
      <c r="E23" s="37" t="str" cm="1">
        <f t="array" ref="E23">Common_InputFunctions.Utility_DisplayArrayInTable(CommonLivestock_SourceData.SourceData_Livestock_Common_SymbolsMMS_Data(), Table_Data_MMSSymbols[[#Headers],[Symbol]], 0)</f>
        <v>Belt manure removal</v>
      </c>
      <c r="F23" s="37"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c r="D24" s="37" t="str" cm="1">
        <f t="array" ref="D24">Common_InputFunctions.Utility_DisplayArrayInTable(CommonLivestock_SourceData.SourceData_Livestock_Common_SymbolsMMS_Data(), Table_Data_MMSSymbols[[#Headers],[Symbol]], 0)</f>
        <v>11b</v>
      </c>
      <c r="E24" s="37" t="str" cm="1">
        <f t="array" ref="E24">Common_InputFunctions.Utility_DisplayArrayInTable(CommonLivestock_SourceData.SourceData_Livestock_Common_SymbolsMMS_Data(), Table_Data_MMSSymbols[[#Headers],[Symbol]], 0)</f>
        <v>Manure stored in house</v>
      </c>
      <c r="F24" s="37"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D25" s="37" t="str" cm="1">
        <f t="array" ref="D25">Common_InputFunctions.Utility_DisplayArrayInTable(CommonLivestock_SourceData.SourceData_Livestock_Common_SymbolsMMS_Data(), Table_Data_MMSSymbols[[#Headers],[Symbol]], 0)</f>
        <v>12</v>
      </c>
      <c r="E25" s="37" t="str" cm="1">
        <f t="array" ref="E25">Common_InputFunctions.Utility_DisplayArrayInTable(CommonLivestock_SourceData.SourceData_Livestock_Common_SymbolsMMS_Data(), Table_Data_MMSSymbols[[#Headers],[Symbol]], 0)</f>
        <v>Direct processing</v>
      </c>
      <c r="F25" s="37"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7" t="str" cm="1">
        <f t="array" ref="D26">Common_InputFunctions.Utility_DisplayArrayInTable(CommonLivestock_SourceData.SourceData_Livestock_Common_SymbolsMMS_Data(), Table_Data_MMSSymbols[[#Headers],[Symbol]], 0)</f>
        <v>13</v>
      </c>
      <c r="E26" s="37" t="str" cm="1">
        <f t="array" ref="E26">Common_InputFunctions.Utility_DisplayArrayInTable(CommonLivestock_SourceData.SourceData_Livestock_Common_SymbolsMMS_Data(), Table_Data_MMSSymbols[[#Headers],[Symbol]], 0)</f>
        <v>Direct application</v>
      </c>
      <c r="F26" s="37"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7" t="str" cm="1">
        <f t="array" ref="D27">Common_InputFunctions.Utility_DisplayArrayInTable(CommonLivestock_SourceData.SourceData_Livestock_Common_SymbolsMMS_Data(), Table_Data_MMSSymbols[[#Headers],[Symbol]], 0)</f>
        <v>14</v>
      </c>
      <c r="E27" s="37" t="str" cm="1">
        <f t="array" ref="E27">Common_InputFunctions.Utility_DisplayArrayInTable(CommonLivestock_SourceData.SourceData_Livestock_Common_SymbolsMMS_Data(), Table_Data_MMSSymbols[[#Headers],[Symbol]], 0)</f>
        <v>Pasture range and paddock</v>
      </c>
      <c r="F27" s="37"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335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2" workbookViewId="0">
      <selection activeCell="F35" sqref="F3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row>
    <row r="2" spans="1:21" s="9" customFormat="1" ht="20.100000000000001" customHeight="1" x14ac:dyDescent="0.25"/>
    <row r="3" spans="1:21" ht="20.100000000000001" customHeight="1" x14ac:dyDescent="0.25">
      <c r="A3" s="17" t="s">
        <v>0</v>
      </c>
      <c r="C3" s="4"/>
      <c r="D3" s="4"/>
      <c r="E3" s="4"/>
      <c r="F3" s="4"/>
      <c r="G3" s="4"/>
      <c r="H3" s="4"/>
      <c r="I3" s="4"/>
      <c r="J3" s="4"/>
      <c r="K3" s="4"/>
      <c r="L3" s="4"/>
      <c r="N3" s="4"/>
      <c r="O3" s="4"/>
      <c r="P3" s="4"/>
      <c r="Q3" s="4"/>
      <c r="R3" s="4"/>
      <c r="S3" s="4"/>
      <c r="T3" s="4"/>
      <c r="U3" s="4"/>
    </row>
    <row r="4" spans="1:21" ht="20.100000000000001" customHeight="1" x14ac:dyDescent="0.25">
      <c r="A4" s="17" t="str">
        <f>HYPERLINK("#'Results'!A1", "Results")</f>
        <v>Results</v>
      </c>
    </row>
    <row r="5" spans="1:21" ht="20.100000000000001" customHeight="1" x14ac:dyDescent="0.25">
      <c r="A5" s="16"/>
    </row>
    <row r="6" spans="1:21" ht="20.100000000000001" customHeight="1" x14ac:dyDescent="0.25">
      <c r="A6" s="20" t="s">
        <v>3</v>
      </c>
    </row>
    <row r="7" spans="1:21" ht="20.100000000000001" customHeight="1" x14ac:dyDescent="0.25">
      <c r="A7" s="17" t="str">
        <f>HYPERLINK("#'Input - Site'!A1", "Site")</f>
        <v>Site</v>
      </c>
    </row>
    <row r="8" spans="1:21" ht="20.100000000000001" customHeight="1" x14ac:dyDescent="0.25">
      <c r="A8" s="17" t="str">
        <f>HYPERLINK("#'Input - Production'!A1", "Production and outputs")</f>
        <v>Production and outputs</v>
      </c>
    </row>
    <row r="9" spans="1:21" ht="20.100000000000001" customHeight="1" x14ac:dyDescent="0.25">
      <c r="A9" s="17" t="str">
        <f>HYPERLINK("#'Input - Herd - Dairy'!A1", "Herd - Dairy")</f>
        <v>Herd - Dairy</v>
      </c>
    </row>
    <row r="10" spans="1:21" ht="20.100000000000001" customHeight="1" x14ac:dyDescent="0.25">
      <c r="A10" s="17" t="str">
        <f>HYPERLINK("#'Input - Feed - Dairy'!A1", "Purchased feed - Livestock")</f>
        <v>Purchased feed - Livestock</v>
      </c>
    </row>
    <row r="11" spans="1:21" ht="20.100000000000001" customHeight="1" x14ac:dyDescent="0.25">
      <c r="A11" s="17" t="str">
        <f>HYPERLINK("#'Input - Herd - Feedlot'!A1", "Herd - Feedlot")</f>
        <v>Herd - Feedlot</v>
      </c>
    </row>
    <row r="12" spans="1:21" ht="20.100000000000001" customHeight="1" x14ac:dyDescent="0.25">
      <c r="A12" s="17" t="str">
        <f>HYPERLINK("#'Input - Pasture'!A1", "Pasture")</f>
        <v>Pasture</v>
      </c>
    </row>
    <row r="13" spans="1:21" ht="20.100000000000001" customHeight="1" x14ac:dyDescent="0.25">
      <c r="A13" s="17" t="str">
        <f>HYPERLINK("#'Input - Grains'!A1", "Crop - Grains")</f>
        <v>Crop - Grains</v>
      </c>
    </row>
    <row r="14" spans="1:21" ht="20.100000000000001" customHeight="1" x14ac:dyDescent="0.25">
      <c r="A14" s="17" t="str">
        <f>HYPERLINK("#'Input - Fert Lime Chem'!A1", "Fertiliser, Lime &amp; Chemicals")</f>
        <v>Fertiliser, Lime &amp; Chemicals</v>
      </c>
    </row>
    <row r="15" spans="1:21" ht="20.100000000000001" customHeight="1" x14ac:dyDescent="0.25">
      <c r="A15" s="17" t="str">
        <f>HYPERLINK("#'Input - Fuel &amp; Energy'!A1", "Electricity and fuel")</f>
        <v>Electricity and fuel</v>
      </c>
    </row>
    <row r="16" spans="1:21" ht="20.100000000000001" customHeight="1" x14ac:dyDescent="0.25">
      <c r="A16" s="67" t="s">
        <v>79</v>
      </c>
    </row>
    <row r="17" spans="1:1" ht="20.100000000000001" customHeight="1" x14ac:dyDescent="0.25">
      <c r="A17" s="67" t="s">
        <v>75</v>
      </c>
    </row>
    <row r="18" spans="1:1" ht="20.100000000000001" customHeight="1" x14ac:dyDescent="0.25">
      <c r="A18" s="17" t="str">
        <f>HYPERLINK("#'Input - Other Farm Inputs'!A1", "Other farm inputs")</f>
        <v>Other farm inputs</v>
      </c>
    </row>
    <row r="19" spans="1:1" ht="20.100000000000001" customHeight="1" x14ac:dyDescent="0.25">
      <c r="A19" s="17" t="str">
        <f>HYPERLINK("#'Input - Data quality'!A1", "Data quality")</f>
        <v>Data quality</v>
      </c>
    </row>
    <row r="20" spans="1:1" ht="20.100000000000001" customHeight="1" x14ac:dyDescent="0.25"/>
    <row r="21" spans="1:1" ht="20.100000000000001" customHeight="1" x14ac:dyDescent="0.25">
      <c r="A21" s="19" t="s">
        <v>77</v>
      </c>
    </row>
    <row r="22" spans="1:1" ht="20.100000000000001" customHeight="1" x14ac:dyDescent="0.25">
      <c r="A22" s="67" t="s">
        <v>1</v>
      </c>
    </row>
    <row r="23" spans="1:1" ht="20.100000000000001" customHeight="1" x14ac:dyDescent="0.25">
      <c r="A23" s="67" t="s">
        <v>76</v>
      </c>
    </row>
    <row r="24" spans="1:1" ht="20.100000000000001" customHeight="1" x14ac:dyDescent="0.25">
      <c r="A24" s="17" t="str">
        <f>HYPERLINK("#'Calcs - Fert Lime'!A1", "Fertiliser &amp; soil amendments")</f>
        <v>Fertiliser &amp; soil amendments</v>
      </c>
    </row>
    <row r="25" spans="1:1" ht="20.100000000000001" customHeight="1" x14ac:dyDescent="0.25">
      <c r="A25" s="17" t="str">
        <f>HYPERLINK("#'Calcs - Residue mgmt - Crop'!A1", "Residue management - Crop")</f>
        <v>Residue management - Crop</v>
      </c>
    </row>
    <row r="26" spans="1:1" ht="20.100000000000001" customHeight="1" x14ac:dyDescent="0.25">
      <c r="A26" s="17" t="str">
        <f>HYPERLINK("#'Calcs - Residue mgmt - Pasture'!A1", "Residue management - Pasture")</f>
        <v>Residue management - Pasture</v>
      </c>
    </row>
    <row r="27" spans="1:1" ht="20.100000000000001" customHeight="1" x14ac:dyDescent="0.25">
      <c r="A27" s="17" t="str">
        <f>HYPERLINK("#'Calcs - Field burning'!A1", "Field burning - Crop")</f>
        <v>Field burning - Crop</v>
      </c>
    </row>
    <row r="28" spans="1:1" ht="20.100000000000001" customHeight="1" x14ac:dyDescent="0.25">
      <c r="A28" s="17" t="str">
        <f>HYPERLINK("#'Calcs - Fuel'!A1", "Fuel")</f>
        <v>Fuel</v>
      </c>
    </row>
    <row r="29" spans="1:1" ht="20.100000000000001" customHeight="1" x14ac:dyDescent="0.25">
      <c r="A29" s="17" t="str">
        <f>HYPERLINK("#'Calcs - Electricity'!A1", "Electricity")</f>
        <v>Electricity</v>
      </c>
    </row>
    <row r="30" spans="1:1" ht="20.100000000000001" customHeight="1" x14ac:dyDescent="0.25">
      <c r="A30" s="17" t="str">
        <f>HYPERLINK("#'Calcs - Refrigerants'!A1", "Refrigerants")</f>
        <v>Refrigerants</v>
      </c>
    </row>
    <row r="31" spans="1:1" ht="20.100000000000001" customHeight="1" x14ac:dyDescent="0.25">
      <c r="A31" s="67" t="s">
        <v>79</v>
      </c>
    </row>
    <row r="32" spans="1:1" ht="20.100000000000001" customHeight="1" x14ac:dyDescent="0.25">
      <c r="A32" s="67" t="s">
        <v>75</v>
      </c>
    </row>
    <row r="33" spans="1:1" ht="20.100000000000001" customHeight="1" x14ac:dyDescent="0.25">
      <c r="A33" s="17" t="str">
        <f>HYPERLINK("#'Calcs - Scope 3'!A1", "Purchased goods scope 3")</f>
        <v>Purchased goods scope 3</v>
      </c>
    </row>
    <row r="34" spans="1:1" ht="20.100000000000001" customHeight="1" x14ac:dyDescent="0.25"/>
    <row r="35" spans="1:1" ht="20.100000000000001" customHeight="1" x14ac:dyDescent="0.25">
      <c r="A35" s="18" t="s">
        <v>4</v>
      </c>
    </row>
    <row r="36" spans="1:1" ht="20.100000000000001" customHeight="1" x14ac:dyDescent="0.25">
      <c r="A36" s="17" t="str">
        <f>HYPERLINK("#'Constants - Common'!A1", "Constants - Common")</f>
        <v>Constants - Common</v>
      </c>
    </row>
    <row r="37" spans="1:1" ht="20.100000000000001" customHeight="1" x14ac:dyDescent="0.25">
      <c r="A37" s="17" t="str">
        <f>HYPERLINK("#'Constants - Cropping'!A1", "Constants - Cropping")</f>
        <v>Constants - Cropping</v>
      </c>
    </row>
    <row r="38" spans="1:1" ht="20.100000000000001" customHeight="1" x14ac:dyDescent="0.25">
      <c r="A38" s="17" t="str">
        <f>HYPERLINK("#'Constants - Livestock'!A1", "Constants - Livestock")</f>
        <v>Constants - Livestock</v>
      </c>
    </row>
    <row r="39" spans="1:1" ht="20.100000000000001" customHeight="1" x14ac:dyDescent="0.25">
      <c r="A39" s="17" t="str">
        <f>HYPERLINK("#'Constants - Dairy'!A1", "Constants - Dairy")</f>
        <v>Constants - Dairy</v>
      </c>
    </row>
    <row r="40" spans="1:1" ht="20.100000000000001" customHeight="1" x14ac:dyDescent="0.25">
      <c r="A40" s="67" t="s">
        <v>2</v>
      </c>
    </row>
    <row r="41" spans="1:1" ht="20.100000000000001" customHeight="1" x14ac:dyDescent="0.25">
      <c r="A41" s="44"/>
    </row>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FwAbgBcAG4AXABuAFwAbgBcAG4AXABuAFwAbgBcAG4AXABuAFwAbgBcAG4AXABuAFwAbgBcAG4AIgB9ACwAewAiAHAAYQB0AGgAIgA6ACIALwBwAHIAbwBqAGUAYwB0AHMALwBDAG8AbQBtAG8AbgBfAEUAcQB1AGEAdABpAG8AbgBzACIALAAiAHQAZQB4AHQAIgA6ACIAXABuAC8AKgAgAFwAbgAtAC0ALQAtAC0ALQAtAC0ALQAtAC0ALQAtAC0ALQAtAC0ALQAtAC0ALQAtAC0ALQAtAC0ALQAtAC0ALQAtAC0ALQAtAC0ALQAtAC0AXABuAEMAbwBtAG0AbwBuAF8AQwBvAG4AdgBlAHIAdABOADIATwBUAG8AQwBPADIAZQBcAG4AQwBvAG4AdgBlAHIAdAAgAG4AaQB0AHIAbwB1AHMAIABvAHgAaQBkAGUAIABlAG0AaQBzAHMAaQBvAG4AcwAgAHQAbwAgAGMAYQByAGIAbwBuACAAZABpAG8AeABpAGQAZQAgAGUAcQB1AGkAdgBhAGwAZQBuAHQAIABlAG0AaQBzAHMAaQBvAG4AcwBcAG4ARQBOADIATwAgAEMATwAyAGUAXABuAHQAIABDAE8AMgBlAFwAbgBFAE4AMgBPADoAIABuAGkAdAByAG8AdQBzACAAbwB4AGkAZABlACAAZQBtAGkAcwBzAGkAbwBuAHMAIAAoAHQAIABOADIATwApAFwAbgBHAFcAUABOADIATwA6ACAAZwBsAG8AYgBhAGwAIAB3AGEAcgBtAGkAbgBnACAAcABvAHQAZQBuAHQAaQBhAGwAIABmAG8AcgAgAG4AaQB0AHIAbwB1AHMAIABvAHgAaQBkAGUAIAAoAHQAIABDAE8AMgAtAGUAIAAvACAAdAAgAE4AMgBPACkAXABuAC0ALQAtAC0ALQAtAC0ALQAtAC0ALQAtAC0ALQAtAC0ALQAtAC0ALQAtAC0ALQAtAC0ALQAtAC0ALQAtAC0ALQAtAC0ALQAtAC0ALQBcAG4AKgAvAFwAbgBcAG4AXABuAEMAbwBtAG0AbwBuAF8AQwBvAG4AdgBlAHIAdABOADIATwBUAG8AQwBPADIAZQBcAG4AIAAgAD0ATABBAE0AQgBEAEEAKABcAG4AIAAgACAAIABFAF8ATgAyAE8ALAAgAEcAVwBQAF8ATgAyAE8ALABcAG4AIAAgACAAIABFAF8ATgAyAE8AIAAqACAARwBXAFAAXwBOADIATwBcAG4AIAAgACkAXABuADsAXABuAFwAbgBDAG8AbQBtAG8AbgBfAEMAbwBuAHYAZQByAHQATgAyAE8AVABvAEMATwAyAGUAXwBUAGkAdABsAGUAXABuACAAIAA9AEwAQQBNAEIARABBACgAXAAiAEMAbwBuAHYAZQByAHQAIABuAGkAdAByAG8AdQBzACAAbwB4AGkAZABlACAAZQBtAGkAcwBzAGkAbwBuAHMAIAB0AG8AIABjAGEAcgBiAG8AbgAgAGQAaQBvAHgAaQBkAGUAIABlAHEAdQBpAHYAYQBsAGUAbgB0ACAAZQBtAGkAcwBzAGkAbwBuAHMAXAAiACkAOwBcAG4AXABuAEMAbwBtAG0AbwBuAF8AQwBvAG4AdgBlAHIAdABOADIATwBUAG8AQwBPADIAZQBfAFYAYQByAGkAYQBiAGwAZQBcAG4AIAAgAD0ATABBAE0AQgBEAEEAKABcACIARQBOADIATwAgAEMATwAyAGUAXAAiACkAOwBcAG4AXABuAEMAbwBtAG0AbwBuAF8AQwBvAG4AdgBlAHIAdABOADIATwBUAG8AQwBPADIAZQBfAFUAbgBpAHQAXABuACAAIAA9AEwAQQBNAEIARABBACgAXAAiAHQAIABDAE8AMgBlAFwAIgApADsAXABuAFwAbgBDAG8AbQBtAG8AbgBfAEMAbwBuAHYAZQByAHQATgAyAE8AVABvAEMATwAyAGUAXwBOAEkAUgBSAGUAZgBlAHIAZQBuAGMAZQBcAG4AIAAgAD0ATABBAE0AQgBEAEEAKABcACIAXAAiACkAOwBcAG4AXABuAEMAbwBtAG0AbwBuAF8AQwBvAG4AdgBlAHIAdABOADIATwBUAG8AQwBPADIAZQBfAEwAYQB0AGUAeABFAHEAdQBhAHQAaQBvAG4AXABuACAAIAA9AEwAQQBNAEIARABBACgAXAAiAEMATwAyAF8AZQAgAD0AIABFAF8AewBOADIATwB9ACAAXABcAHQAaQBtAGUAcwAgAEcAVwBQAF8AewBOADIATwB9AFwAIgApADsAXABuAFwAbgBDAG8AbQBtAG8AbgBfAEMAbwBuAHYAZQByAHQATgAyAE8AVABvAEMATwAyAGUAXwBBAHIAZwB1AG0AZQBuAHQAcwBcAG4AIAAgAD0ATABBAE0AQgBEAEEAKABcAG4AIAAgACAAIABNAEEASwBFAEEAUgBSAEEAWQAoADIALAAgADIALAAgAFwAbgAgACAAIAAgACAAIABMAEEATQBCAEQAQQAoAHIALABjACwAIABcAG4AIAAgACAAIAAgACAAIAAgAEkATgBEAEUAWAAoAHsAXABuACAAIAAgACAAIAAgACAAIAAgACAAXAAiAEUATgAyAE8AXAAiACwAXAAiAE4AaQB0AHIAbwB1AHMAIABvAHgAaQBkAGUAIABlAG0AaQBzAHMAaQBvAG4AcwAgACgAdAAgAE4AMgBPACkAXAAiADsAXABuACAAIAAgACAAIAAgACAAIAAgACAAXAAiAEcAVwBQAE4AMgBPAFwAIgAsAFwAIgBHAGwAbwBiAGEAbAAgAHcAYQByAG0AaQBuAGcAIABwAG8AdABlAG4AdABpAGEAbAAgAGYAbwByACAAbgBpAHQAcgBvAHUAcwAgAG8AeABpAGQAZQAgACgAdAAgAEMATwAyAC0AZQAgAC8AIAB0ACAATgAyAE8AKQBcACIAXABuACAAIAAgACAAIAAgACAAIAB9ACwAIAByACwAIABjACkAXABuACAAIAAgACAAIAAgACkAXABuACAAIAAgACAAKQBcAG4AIAAgACkAOwBcAG4AXABuAC8AKgAgAFwAbgAtAC0ALQAtAC0ALQAtAC0ALQAtAC0ALQAtAC0ALQAtAC0ALQAtAC0ALQAtAC0ALQAtAC0ALQAtAC0ALQAtAC0ALQAtAC0ALQAtAC0AXABuAEMAbwBtAG0AbwBuAF8AQwBvAG4AdgBlAHIAdABDAEgANABUAG8AQwBPADIAZQBcAG4AQwBvAG4AdgBlAHIAdAAgAG0AZQB0AGgAYQBuAGUAIABlAG0AaQBzAHMAaQBvAG4AcwAgAHQAbwAgAGMAYQByAGIAbwBuACAAZABpAG8AeABpAGQAZQAgAGUAcQB1AGkAdgBhAGwAZQBuAHQAIABlAG0AaQBzAHMAaQBvAG4AcwBcAG4ARQBDAEgANAAgAEMATwAyAGUAXABuAHQAIABDAE8AMgBlAFwAbgBFAEMASAA0ADoAIABtAGUAdABoAGEAbgBlACAAZQBtAGkAcwBzAGkAbwBuAHMAIAAoAHQAIABDAEgANAApAFwAbgBHAFcAUABDAEgANAA6ACAAZwBsAG8AYgBhAGwAIAB3AGEAcgBtAGkAbgBnACAAcABvAHQAZQBuAHQAaQBhAGwAIABmAG8AcgAgAG0AZQB0AGgAYQBuAGUAIAAoAHQAIABDAE8AMgAtAGUAIAAvACAAdAAgAEMASAA0ACkAXABuAC0ALQAtAC0ALQAtAC0ALQAtAC0ALQAtAC0ALQAtAC0ALQAtAC0ALQAtAC0ALQAtAC0ALQAtAC0ALQAtAC0ALQAtAC0ALQAtAC0ALQBcAG4AKgAvAFwAbgBcAG4AXABuAEMAbwBtAG0AbwBuAF8AQwBvAG4AdgBlAHIAdABDAEgANABUAG8AQwBPADIAZQBcAG4AIAAgAD0ATABBAE0AQgBEAEEAKABcAG4AIAAgACAAIABFAF8AQwBIADQALAAgAEcAVwBQAF8AQwBIADQALABcAG4AIAAgACAAIABFAF8AQwBIADQAIAAqACAARwBXAFAAXwBDAEgANABcAG4AIAAgACkAXABuADsAXABuAFwAbgBDAG8AbQBtAG8AbgBfAEMAbwBuAHYAZQByAHQAQwBIADQAVABvAEMATwAyAGUAXwBUAGkAdABsAGUAXABuACAAIAA9AEwAQQBNAEIARABBACgAXAAiAEMAbwBuAHYAZQByAHQAIABtAGUAdABoAGEAbgBlACAAZQBtAGkAcwBzAGkAbwBuAHMAIAB0AG8AIABjAGEAcgBiAG8AbgAgAGQAaQBvAHgAaQBkAGUAIABlAHEAdQBpAHYAYQBsAGUAbgB0ACAAZQBtAGkAcwBzAGkAbwBuAHMAXAAiACkAOwBcAG4AXABuAEMAbwBtAG0AbwBuAF8AQwBvAG4AdgBlAHIAdABDAEgANABUAG8AQwBPADIAZQBfAFYAYQByAGkAYQBiAGwAZQBcAG4AIAAgAD0ATABBAE0AQgBEAEEAKABcACIARQBDAEgANAAgAEMATwAyAGUAXAAiACkAOwBcAG4AXABuAEMAbwBtAG0AbwBuAF8AQwBvAG4AdgBlAHIAdABDAEgANABUAG8AQwBPADIAZQBfAFUAbgBpAHQAXABuACAAIAA9AEwAQQBNAEIARABBACgAXAAiAHQAIABDAE8AMgBlAFwAIgApADsAXABuAFwAbgBDAG8AbQBtAG8AbgBfAEMAbwBuAHYAZQByAHQAQwBIADQAVABvAEMATwAyAGUAXwBOAEkAUgBSAGUAZgBlAHIAZQBuAGMAZQBcAG4AIAAgAD0ATABBAE0AQgBEAEEAKABcACIAXAAiACkAOwBcAG4AXABuAEMAbwBtAG0AbwBuAF8AQwBvAG4AdgBlAHIAdABDAEgANABUAG8AQwBPADIAZQBfAEwAYQB0AGUAeABFAHEAdQBhAHQAaQBvAG4AXABuACAAIAA9AEwAQQBNAEIARABBACgAXAAiAEMATwAyAF8AZQAgAD0AIABFAF8AewBDAEgANAB9ACAAXABcAHQAaQBtAGUAcwAgAEcAVwBQAF8AewBDAEgANAB9AFwAIgApADsAXABuAFwAbgBDAG8AbQBtAG8AbgBfAEMAbwBuAHYAZQByAHQAQwBIADQAVABvAEMATwAyAGUAXwBBAHIAZwB1AG0AZQBuAHQAcwBcAG4AIAAgAD0ATABBAE0AQgBEAEEAKABcAG4AIAAgACAAIABNAEEASwBFAEEAUgBSAEEAWQAoADIALAAgADIALAAgAFwAbgAgACAAIAAgACAAIABMAEEATQBCAEQAQQAoAHIALABjACwAIABcAG4AIAAgACAAIAAgACAAIAAgAEkATgBEAEUAWAAoAHsAXABuACAAIAAgACAAIAAgACAAIAAgACAAXAAiAEUAQwBIADQAXAAiACwAXAAiAE0AZQB0AGgAYQBuAGUAIABlAG0AaQBzAHMAaQBvAG4AcwAgACgAdAAgAEMASAA0ACkAXAAiADsAXABuACAAIAAgACAAIAAgACAAIAAgACAAXAAiAEcAVwBQAEMASAA0AFwAIgAsAFwAIgBHAGwAbwBiAGEAbAAgAHcAYQByAG0AaQBuAGcAIABwAG8AdABlAG4AdABpAGEAbAAgAGYAbwByACAAbQBlAHQAaABhAG4AZQAgACgAdAAgAEMATwAyAC0AZQAgAC8AIAB0ACAAQwBIADQAKQBcACIAXABuACAAIAAgACAAIAAgACAAIAB9ACwAIAByACwAIABjACkAXABuACAAIAAgACAAIAAgACkAXABuACAAIAAgACAAKQBcAG4AIAAgACkAOwAiAH0ALAB7ACIAcABhAHQAaAAiADoAIgAvAHAAcgBvAGoAZQBjAHQAcwAvAEMAbwBtAG0AbwBuAEwAaQB2AGUAcwB0AG8AYwBrAF8AUwBvAHUAcgBjAGUARABhAHQAYQAiACwAIgB0AGUAeAB0ACIAOgAiAC8AK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UwBvAHUAcgBjAGUAIABkAGEAdABhACAAdABoAGEAdAAgAGkAcwAgAGMAbwBtAG0AbwBuACAAYQBjAHIAbwBzAHMAIABhAGwAbAAgAGwAaQB2AGUAcwB0AG8AYwBrACAAdAB5AHAAZQBzAFwAbgBFAHgAYwBlAGwAIABtAG8AZAB1AGwAZQAgAG4AYQBtAGUAOgAgAFMAbwB1AHIAYwBlAEQAYQB0AGEAXwBMAGkAdgBlAHMAdABvAGMAawBfAEMAbwBtAG0AbwBu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AqAC8AXABuAFwAbgAvACoAXABuAD0APQA9AD0APQA9AD0APQA9AD0APQA9AD0APQA9AD0APQA9AD0APQA9AD0APQA9AD0APQA9AD0APQA9AD0APQA9AD0APQA9AD0APQBcAG4APQA9AD0APQA9AD0APQA9AD0APQA9AD0APQA9AD0APQA9AD0APQA9AD0APQA9AD0APQA9AD0APQA9AD0APQA9AD0APQA9AD0APQA9AFwAbgBTAG8AdQByAGMAZQA6ACAATgBhAHQAaQBvAG4AYQBsACAASQBuAHYAZQBuAHQAbwByAHkAIABSAGUAcABvAHIAdAAgADIAMAAyADMAIABWAG8AbAB1AG0AZQAgADEAXABuAE4ASQBSAF8AMgAwADIAMwBfAFYAbwBsADEAXABuAD0APQA9AD0APQA9AD0APQA9AD0APQA9AD0APQA9AD0APQA9AD0APQA9AD0APQA9AD0APQA9AD0APQA9AD0APQA9AD0APQA9AD0APQBcAG4APQA9AD0APQA9AD0APQA9AD0APQA9AD0APQA9AD0APQA9AD0APQA9AD0APQA9AD0APQA9AD0APQA9AD0APQA9AD0APQA9AD0APQA9AFwAbgAqAC8AXABuAFwAbgAvACoAIABcAG4ALQAtAC0ALQAtAC0ALQAtAC0ALQAtAC0ALQAtAC0ALQAtAC0ALQAtAC0ALQAtAC0ALQAtAC0ALQAtAC0ALQAtAC0ALQAtAC0ALQAtAFwAbgBTAG8AdQByAGMAZQBEAGEAdABhAF8ATABpAHYAZQBzAHQAbwBjAGsAXwBDAG8AbQBtAG8AbgBfAEYAcgBhAGMAVwBFAFQATQBNAFMAXABuAEYAcgBhAGMAVwBFAFQATQBNAFMAaQAgAD0AIABGAHIAYQBjAHQAaQBvAG4AIABvAGYAIABOACAAYQB2AGEAaQBsAGEAYgBsAGUAIABmAG8AcgAgAGwAZQBhAGMAaABpAG4AZwAgAGEAbgBkACAAcgB1AG4AbwBmAGYAXABuACgAVABhAGIAbABlACAAQQA1AC4ANQAuADEAMAAuADIAIABpAHMAIAByAGUAZgBlAHIAZQBuAGMAZQBkACAAaQBuACAATgBJAFIAIABiAHUAdAAgADEAIABpAHMAIAB1AHMAZQBkACkAXABuAC0ALQAtAC0ALQAtAC0ALQAtAC0ALQAtAC0ALQAtAC0ALQAtAC0ALQAtAC0ALQAtAC0ALQAtAC0ALQAtAC0ALQAtAC0ALQAtAC0ALQBcAG4AKgAvAFwAbgBcAG4AUwBvAHUAcgBjAGUARABhAHQAYQBfAEwAaQB2AGUAcwB0AG8AYwBrAF8AQwBvAG0AbQBvAG4AXwBGAHIAYQBjAFcARQBUAE0ATQBTAF8AVABpAHQAbABlAFwAbgAgACAAPQBMAEEATQBCAEQAQQAoAFwAIgBGAHIAYQBjAHQAaQBvAG4AIABvAGYAIABOACAAYQB2AGEAaQBsAGEAYgBsAGUAIABmAG8AcgAgAGwAZQBhAGMAaABpAG4AZwAgAGEAbgBkACAAcgB1AG4AbwBmAGYAXAAiACkAOwBcAG4AXABuAFMAbwB1AHIAYwBlAEQAYQB0AGEAXwBMAGkAdgBlAHMAdABvAGMAawBfAEMAbwBtAG0AbwBuAF8ARgByAGEAYwBXAEUAVABNAE0AUwBfAFUAbgBpAHQAXABuACAAIAA9AEwAQQBNAEIARABBACgAXAAiAEYAcgBhAGMAdABpAG8AbgBcACIAKQA7AFwAbgBcAG4AUwBvAHUAcgBjAGUARABhAHQAYQBfAEwAaQB2AGUAcwB0AG8AYwBrAF8AQwBvAG0AbQBvAG4AXwBGAHIAYQBjAFcARQBUAE0ATQBTAF8AUwBvAHUAcgBjAGUAXABuACAAIAA9AEwAQQBNAEIARABBACgAXAAiAE4AYQB0AGkAbwBuAGEAbAAgAEkAbgB2AGUAbgB0AG8AcgB5ACAAUgBlAHAAbwByAHQAIAAyADAAMgAzACAAVgBvAGwAdQBtAGUAIAAxADoAIABFAHEAdQBhAHQAaQBvAG4AcwAgADMALgBCAC4ANQBhAF8AMwAsACAAMwAuAEIALgA1AGMAXwAzACwAIAAzAC4AQgAuADUAZABfADMAXAAiACkAOwBcAG4AXABuAFMAbwB1AHIAYwBlAEQAYQB0AGEAXwBMAGkAdgBlAHMAdABvAGMAawBfAEMAbwBtAG0AbwBuAF8ARgByAGEAYwBXAEUAVABNAE0AUwBfAEQAYQB0AGEAXABuACAAIAA9AEwAQQBNAEIARABBACgAMQApADsAXABuAFwAbgAvACoAIABcAG4ALQAtAC0ALQAtAC0ALQAtAC0ALQAtAC0ALQAtAC0ALQAtAC0ALQAtAC0ALQAtAC0ALQAtAC0ALQAtAC0ALQAtAC0ALQAtAC0ALQAtAFwAbgBTAG8AdQByAGMAZQBEAGEAdABhAF8ATABpAHYAZQBzAHQAbwBjAGsAXwBDAG8AbQBtAG8AbgBfAEYAcgBhAGMATABFAEEAQwBIAF8ATQBTAFwAbgBGAHIAYQBjAEwARQBBAEMASABfAE0AUwAgAD0AIAAwAC4AMAAyACAAKABHAGcAIABOAC8ARwBnACAAYQBwAHAAbABpAGUAZAApACAAKABDAFMAIABFAEYALAAgAHMAbwB1AHIAYwBlACAASQBQAEMAQwAgACgAMgAwADEAOQApACkAIABcAG4AZgByAGEAYwB0AGkAbwBuACAAbwBmACAATgAgAGwAbwBzAHQAIAB0AGgAcgBvAHUAZwBoACAAbABlAGEAYwBoAGkAbgBnACAAYQBuAGQAIAByAHUAbgBvAGYAZgBcAG4ALQAtAC0ALQAtAC0ALQAtAC0ALQAtAC0ALQAtAC0ALQAtAC0ALQAtAC0ALQAtAC0ALQAtAC0ALQAtAC0ALQAtAC0ALQAtAC0ALQAtAFwAbgAqAC8AXABuAFwAbgBTAG8AdQByAGMAZQBEAGEAdABhAF8ATABpAHYAZQBzAHQAbwBjAGsAXwBDAG8AbQBtAG8AbgBfAEYAcgBhAGMATABFAEEAQwBIAF8ATQBTAF8AVABpAHQAbABlAFwAbgAgACAAPQBMAEEATQBCAEQAQQAoAFwAIgBGAHIAYQBjAHQAaQBvAG4AIABvAGYAIABOACAAbABvAHMAdAAgAHQAaAByAG8AdQBnAGgAIABsAGUAYQBjAGgAaQBuAGcAIABhAG4AZAAgAHIAdQBuAG8AZgBmAFwAIgApADsAXABuAFwAbgBTAG8AdQByAGMAZQBEAGEAdABhAF8ATABpAHYAZQBzAHQAbwBjAGsAXwBDAG8AbQBtAG8AbgBfAEYAcgBhAGMATABFAEEAQwBIAF8ATQBTAF8AVQBuAGkAdABcAG4AIAAgAD0ATABBAE0AQgBEAEEAKABcACIARgByAGEAYwB0AGkAbwBuAFwAIgApADsAXABuAFwAbgBTAG8AdQByAGMAZQBEAGEAdABhAF8ATABpAHYAZQBzAHQAbwBjAGsAXwBDAG8AbQBtAG8AbgBfAEYAcgBhAGMATABFAEEAQwBIAF8ATQBTAF8AUwBvAHUAcgBjAGUAXABuACAAIAA9AEwAQQBNAEIARABBACgAXAAiAE4AYQB0AGkAbwBuAGEAbAAgAEkAbgB2AGUAbgB0AG8AcgB5ACAAUgBlAHAAbwByAHQAIAAyADAAMgAzACAAVgBvAGwAdQBtAGUAIAAxADoAIABFAHEAdQBhAHQAaQBvAG4AcwAgADMALgBCAC4ANQBhAF8AMwAsACAAMwAuAEIALgA1AGMAXwAzACwAIAAzAC4AQgAuADUAZABfADMAXAAiACkAOwBcAG4AXABuAFMAbwB1AHIAYwBlAEQAYQB0AGEAXwBMAGkAdgBlAHMAdABvAGMAawBfAEMAbwBtAG0AbwBuAF8ARgByAGEAYwBMAEUAQQBDAEgAXwBNAFMAXwBEAGEAdABhAFwAbgAgACAAPQBMAEEATQBCAEQAQQAoAFwAbgAgACAAIAAgAE0AQQBLAEUAQQBSAFIAQQBZACgAOAAsACAAMgAsACAAXABuACAAIAAgACAAIAAgAEwAQQBNAEIARABBACgAcgAsAGMALAAgAFwAbgAgACAAIAAgACAAIAAgACAASQBOAEQARQBYACgAewBcAG4AIAAgACAAIAAgACAAIAAgACAAIABcACIAUAByAG8AZAB1AGMAdABpAG8AbgAgAHMAeQBzAHQAZQBtAFwAIgAsACAAXAAiAEUAbQBpAHMAcwBpAG8AbgAgAGYAYQBjAHQAbwByAFwAIgA7AFwAbgAgACAAIAAgACAAIAAgACAAIAAgACAAIABcACIASQByAHIAaQBnAGEAdABlAGQAIABwAGEAcwB0AHUAcgBlAFwAIgAsACAAMAAuADAAMAA1ADkAOwBcAG4AIAAgACAAIAAgACAAIAAgACAAIAAgACAAXAAiAEkAcgByAGkAZwBhAHQAZQBkACAAYwByAG8AcABcACIALAAgADAALgAwADAANwA7AFwAbgAgACAAIAAgACAAIAAgACAAIAAgACAAIABcACIATgBvAG4ALQBpAHIAcgBpAGcAYQB0AGUAZAAgAHAAYQBzAHQAdQByAGUAXAAiACwAIAAwAC4AMAAwADEAOAA7AFwAbgAgACAAIAAgACAAIAAgACAAIAAgACAAIABcACIATgBvAG4ALQBpAHIAcgBpAGcAYQB0AGUAZAAgAGMAcgBvAHAAXAAiACwAIAAwAC4AMAAwADQAMQA7AFwAbgAgACAAIAAgACAAIAAgACAAIAAgACAAIABcACIAUwB1AGcAYQByACAAYwBhAG4AZQBcACIALAAgADAALgAwADEAOQA5ADsAXABuACAAIAAgACAAIAAgACAAIAAgACAAIAAgAFwAIgBDAG8AdAB0AG8AbgBcACIALAAgADAALgAwADAANQAzADsAXABuACAAIAAgACAAIAAgACAAIAAgACAAIAAgAFwAIgBIAG8AcgB0AGkAYwB1AGwAdAB1AHIAZQBcACIALAAgADAALgAwADAANgA0AFwAbgAgACAAIAAgACAAIAAgACAAfQAsACAAcgAsACAAYwApAFwAbgAgACAAIAAgACAAIAApAFwAbgAgACAAIAAgACkAXABuACAAIAApADsAXABuAFwAbgBcAG4ALwAqACAAXABuAC0ALQAtAC0ALQAtAC0ALQAtAC0ALQAtAC0ALQAtAC0ALQAtAC0ALQAtAC0ALQAtAC0ALQAtAC0ALQAtAC0ALQAtAC0ALQAtAC0ALQBcAG4AUwBvAHUAcgBjAGUARABhAHQAYQBfAEwAaQB2AGUAcwB0AG8AYwBrAF8AQwBvAG0AbQBvAG4AXwBTAHkAbQBiAG8AbABzAE0ATQBTAFwAbgBUAGEAYgBsAGUAIAA1AC4AMQAyACAAQQBkAGQAaQB0AGkAbwBuAGEAbAAgAHMAeQBtAGIAbwBsAHMAIAB1AHMAZQBkACAAaQBuACAAYQBsAGcAbwByAGkAdABoAG0AcwAgAGYAbwByACAAbQBhAG4AdQByAGUAIAByAGUAbABhAHQAZQBkACAAZQBtAGkAcwBzAGkAbwBuAHMAXABuAC0ALQAtAC0ALQAtAC0ALQAtAC0ALQAtAC0ALQAtAC0ALQAtAC0ALQAtAC0ALQAtAC0ALQAtAC0ALQAtAC0ALQAtAC0ALQAtAC0ALQBcAG4AKgAvAFwAbgBcAG4AUwBvAHUAcgBjAGUARABhAHQAYQBfAEwAaQB2AGUAcwB0AG8AYwBrAF8AQwBvAG0AbQBvAG4AXwBTAHkAbQBiAG8AbABzAE0ATQBTAF8AVABpAHQAbABlAFwAbgAgACAAPQBMAEEATQBCAEQAQQAoAFwAIgBUAGEAYgBsAGUAIAA1AC4AMQAyACAAQQBkAGQAaQB0AGkAbwBuAGEAbAAgAHMAeQBtAGIAbwBsAHMAIAB1AHMAZQBkACAAaQBuACAAYQBsAGcAbwByAGkAdABoAG0AcwAgAGYAbwByACAAbQBhAG4AdQByAGUAIAByAGUAbABhAHQAZQBkACAAZQBtAGkAcwBzAGkAbwBuAHMAXAAiACkAOwBcAG4AXABuAFMAbwB1AHIAYwBlAEQAYQB0AGEAXwBMAGkAdgBlAHMAdABvAGMAawBfAEMAbwBtAG0AbwBuAF8AUwB5AG0AYgBvAGwAcwBNAE0AUwBfAFYAYQBpAHIAYQBiAGwAZQBcAG4AIAAgAD0ATABBAE0AQgBEAEEAKABcACIATQBNAFMAXAAiACkAOwBcAG4AXABuAFMAbwB1AHIAYwBlAEQAYQB0AGEAXwBMAGkAdgBlAHMAdABvAGMAawBfAEMAbwBtAG0AbwBuAF8AUwB5AG0AYgBvAGwAcwBNAE0AUwBfAFUAbgBpAHQAXABuACAAIAA9AEwAQQBNAEIARABBACgAXAAiAFwAIgApADsAXABuAFwAbgBTAG8AdQByAGMAZQBEAGEAdABhAF8ATABpAHYAZQBzAHQAbwBjAGsAXwBDAG8AbQBtAG8AbgBfAFMAeQBtAGIAbwBsAHMATQBNAFMAXwBTAG8AdQByAGMAZQBcAG4AIAAgAD0ATABBAE0AQgBEAEEAKABcACIATgBhAHQAaQBvAG4AYQBsACAASQBuAHYAZQBuAHQAbwByAHkAIABSAGUAcABvAHIAdAAgADIAMAAyADMAIABWAG8AbAB1AG0AZQAgADEAOgAgAFQAYQBiAGwAZQAgADUALgAxADIAXAAiACkAOwBcAG4AXABuAFMAbwB1AHIAYwBlAEQAYQB0AGEAXwBMAGkAdgBlAHMAdABvAGMAawBfAEMAbwBtAG0AbwBuAF8AUwB5AG0AYgBvAGwAcwBNAE0AUwBfAEQAYQB0AGEAXABuACAAIAA9AEwAQQBNAEIARABBACgAXABuACAAIAAgACAATQBBAEsARQBBAFIAUgBBAFkAKAAxADkALAAgADMALAAgAFwAbgAgACAAIAAgACAAIABMAEEATQBCAEQAQQAoAHIALABjACwAIABcAG4AIAAgACAAIAAgACAAIAAgAEkATgBEAEUAWAAoAHsAXABuACAAIAAgACAAIAAgACAAIAAgACAAXAAiAFMAeQBtAGIAbwBsAFwAIgAsACAAXAAiAE0AYQBuAHUAcgBlACAAbQBhAG4AYQBnAGUAbQBlAG4AdAAgAHMAeQBzAHQAZQBtAFwAIgAsACAAXAAiAFwAIgA7AFwAbgAgACAAIAAgACAAIAAgACAAIAAgACAAIABcACIAMQBcACIALAAgAFwAIgBBAG4AYQBlAHIAbwBiAGkAYwAgAGwAYQBnAG8AbwBuAFwAIgAsACAAXAAiAEEAbgBhAGUAcgBvAGIAaQBjACAAbABhAGcAbwBvAG4AIAAoAG0APQAxACkAXAAiADsAXABuACAAIAAgACAAIAAgACAAIAAgACAAIAAgAFwAIgAyAFwAIgAsACAAXAAiAEwAaQBxAHUAaQBkACAAcwB5AHMAdABlAG0AcwBcACIALAAgAFwAIgBMAGkAcQB1AGkAZAAgAHMAeQBzAHQAZQBtAHMAIAAoAG0APQAyACkAXAAiADsAXABuACAAIAAgACAAIAAgACAAIAAgACAAIAAgAFwAIgAzAFwAIgAsACAAXAAiAEQAYQBpAGwAeQAgAHMAcAByAGUAYQBkAFwAIgAsACAAXAAiAEQAYQBpAGwAeQAgAHMAcAByAGUAYQBkACAAKABtAD0AMwApAFwAIgA7AFwAbgAgACAAIAAgACAAIAAgACAAIAAgACAAIABcACIAMwBhAFwAIgAsACAAXAAiAFMAdQBtAHAAIABhAG4AZAAgAGQAaQBzAHAAZQByAHMAYQBsACAAcwB5AHMAdABlAG0AXAAiACwAIABcACIAUwB1AG0AcAAgAGEAbgBkACAAZABpAHMAcABlAHIAcwBhAGwAIABzAHkAcwB0AGUAbQAgACgAbQA9ADMAYQApAFwAIgA7AFwAbgAgACAAIAAgACAAIAAgACAAIAAgACAAIABcACIAMwBiAFwAIgAsACAAXAAiAEQAcgBhAGkAbgBzACAAdABvACAAcABhAGQAZABvAGMAawBcACIALAAgAFwAIgBEAHIAYQBpAG4AcwAgAHQAbwAgAHAAYQBkAGQAbwBjAGsAIAAoAG0APQAzAGIAKQBcACIAOwBcAG4AIAAgACAAIAAgACAAIAAgACAAIAAgACAAXAAiADQAXAAiACwAIABcACIAUwBvAGwAaQBkACAAcwB0AG8AcgBhAGcAZQBcACIALAAgAFwAIgBTAG8AbABpAGQAIABzAHQAbwByAGEAZwBlACAAKABtAD0ANAApAFwAIgA7AFwAbgAgACAAIAAgACAAIAAgACAAIAAgACAAIABcACIANQBcACIALAAgAFwAIgBEAHIAeQBsAG8AdAAgACgAZgBlAGUAZAAgAHAAYQBkACkAXAAiACwAIABcACIARAByAHkAbABvAHQAIAAoAGYAZQBlAGQAIABwAGEAZAApACAAKABtAD0ANQApAFwAIgA7AFwAbgAgACAAIAAgACAAIAAgACAAIAAgACAAIABcACIANgBcACIALAAgAFwAIgBDAG8AbQBwAG8AcwB0AGkAbgBnACAAKABwAGEAcwBzAGkAdgBlACAAdwBpAG4AZAByAG8AdwApAFwAIgAsACAAXAAiAEMAbwBtAHAAbwBzAHQAaQBuAGcAIAAoAHAAYQBzAHMAaQB2AGUAIAB3AGkAbgBkAHIAbwB3ACkAIAAoAG0APQA2ACkAXAAiADsAXABuACAAIAAgACAAIAAgACAAIAAgACAAIAAgAFwAIgA3AFwAIgAsACAAXAAiAEQAaQBnAGUAcwB0AGUAcgAgAC8AIABjAG8AdgBlAHIAZQBkACAAbABhAGcAbwBvAG4AcwBcACIALAAgAFwAIgBEAGkAZwBlAHMAdABlAHIAIAAvACAAYwBvAHYAZQByAGUAZAAgAGwAYQBnAG8AbwBuAHMAIAAoAG0APQA3ACkAXAAiADsAXABuACAAIAAgACAAIAAgACAAIAAgACAAIAAgAFwAIgA4AFwAIgAsACAAXAAiAEQAZQBlAHAAIABsAGkAdAB0AGUAcgBcACIALAAgAFwAIgBEAGUAZQBwACAAbABpAHQAdABlAHIAIAAoAG0APQA4ACkAXAAiADsAXABuACAAIAAgACAAIAAgACAAIAAgACAAIAAgAFwAIgA5AFwAIgAsACAAXAAiAFAAaQB0ACAAcwB0AG8AcgBhAGcAZQBcACIALAAgAFwAIgBQAGkAdAAgAHMAdABvAHIAYQBnAGUAIAAoAG0APQA5ACkAXAAiADsAXABuACAAIAAgACAAIAAgACAAIAAgACAAIAAgAFwAIgAxADAAXAAiACwAIABcACIAUABvAHUAbAB0AHIAeQAgAG0AYQBuAHUAcgBlACAAdwBpAHQAaAAgAGIAZQBkAGQAaQBuAGcAXAAiACwAIABcACIAUABvAHUAbAB0AHIAeQAgAG0AYQBuAHUAcgBlACAAdwBpAHQAaAAgAGIAZQBkAGQAaQBuAGcAIAAoAG0APQAxADAAKQBcACIAOwBcAG4AIAAgACAAIAAgACAAIAAgACAAIAAgACAAXAAiADEAMQBcACIALAAgAFwAIgBQAG8AdQBsAHQAcgB5ACAAbQBhAG4AdQByAGUAIAB3AGkAdABoAG8AdQB0ACAAYgBlAGQAZABpAG4AZwBcACIALAAgAFwAIgBQAG8AdQBsAHQAcgB5ACAAbQBhAG4AdQByAGUAIAB3AGkAdABoAG8AdQB0ACAAYgBlAGQAZABpAG4AZwAgACgAbQA9ADEAMQApAFwAIgA7AFwAbgAgACAAIAAgACAAIAAgACAAIAAgACAAIABcACIAMQAxAGEAXAAiACwAIABcACIAQgBlAGwAdAAgAG0AYQBuAHUAcgBlACAAcgBlAG0AbwB2AGEAbABcACIALAAgAFwAIgBCAGUAbAB0ACAAbQBhAG4AdQByAGUAIAByAGUAbQBvAHYAYQBsACAAKABtAD0AMQAxAGEAKQBcACIAOwBcAG4AIAAgACAAIAAgACAAIAAgACAAIAAgACAAXAAiADEAMQBiAFwAIgAsACAAXAAiAE0AYQBuAHUAcgBlACAAcwB0AG8AcgBlAGQAIABpAG4AIABoAG8AdQBzAGUAXAAiACwAIABcACIATQBhAG4AdQByAGUAIABzAHQAbwByAGUAZAAgAGkAbgAgAGgAbwB1AHMAZQAgACgAbQA9ADEAMQBiACkAXAAiADsAXABuACAAIAAgACAAIAAgACAAIAAgACAAIAAgAFwAIgAxADIAXAAiACwAIABcACIARABpAHIAZQBjAHQAIABwAHIAbwBjAGUAcwBzAGkAbgBnAFwAIgAsACAAXAAiAEQAaQByAGUAYwB0ACAAcAByAG8AYwBlAHMAcwBpAG4AZwAgACgAbQA9ADEAMgApAFwAIgA7AFwAbgAgACAAIAAgACAAIAAgACAAIAAgACAAIABcACIAMQAzAFwAIgAsACAAXAAiAEQAaQByAGUAYwB0ACAAYQBwAHAAbABpAGMAYQB0AGkAbwBuAFwAIgAsACAAXAAiAEQAaQByAGUAYwB0ACAAYQBwAHAAbABpAGMAYQB0AGkAbwBuACAAKABtAD0AMQAzACkAXAAiADsAXABuACAAIAAgACAAIAAgACAAIAAgACAAIAAgAFwAIgAxADQAXAAiACwAIABcACIAUABhAHMAdAB1AHIAZQAgAHIAYQBuAGcAZQAgAGEAbgBkACAAcABhAGQAZABvAGMAawBcACIALAAgAFwAIgBQAGEAcwB0AHUAcgBlACAAcgBhAG4AZwBlACAAYQBuAGQAIABwAGEAZABkAG8AYwBrACAAKABtAD0AMQA0ACkAXAAiAFwAbgAgACAAIAAgACAAIAAgACAAfQAsACAAcgAsACAAYwApAFwAbgAgACAAIAAgACAAIAApAFwAbgAgACAAIAAgACkAXABuACAAIAApADsAXABuAFwAbgAiAH0ALAB7ACIAcABhAHQAaAAiADoAIgAvAHAAcgBvAGoAZQBjAHQAcwAvAEMAbwBtAG0AbwBuAF8ASQBuAHAAdQB0AEYAdQBuAGMAdABpAG8AbgBzACIALAAiAHQAZQB4AHQAIgA6ACIAVQB0AGkAbABpAHQAeQBfAEcAZQB0AEEAcgByAGEAeQBUAGEAYgBsAGUAUgBvAHcAUwB0AGEAcgB0AE4AdQBtAGIAZQByAFwAbgA9AEwAQQBNAEIARABBACgAXABuACAAIAAgACAAVABhAGIAbABlAGgAZQBhAGQAZQByAEMAZQBsAGwALABSAG8AdwBzAEIAZQB0AHcAZQBlAG4ASABlAGEAZABlAHIAYQBuAGQAQQByAHIAYQB5ACwAXABuACAAIAAgACAAUgBPAFcAKABUAGEAYgBsAGUAaABlAGEAZABlAHIAQwBlAGwAbAApACAAKwAgAFIAbwB3AHMAQgBlAHQAdwBlAGUAbgBIAGUAYQBkAGUAcgBhAG4AZABBAHIAcgBhAHkAIAAtACAAMQBcAG4AKQA7AFwAbgBcAG4AVQB0AGkAbABpAHQAeQBfAEcAZQB0AEEAcgByAGEAeQBUAGEAYgBsAGUAQwBvAGwAdQBtAG4AUwB0AGEAcgB0AE4AdQBtAGIAZQByAFwAbgA9AEwAQQBNAEIARABBACgAXABuACAAIABUAGEAYgBsAGUASABlAGEAZABlAHIAQwBlAGwAbAAsAFwAbgAgACAAQwBPAEwAVQBNAE4AKABUAGEAYgBsAGUASABlAGEAZABlAHIAQwBlAGwAbAApAFwAbgApADsAXABuAFwAbgBVAHQAaQBsAGkAdAB5AF8ARABpAHMAcABsAGEAeQBBAHIAcgBhAHkASQBuAFQAYQBiAGwAZQBcAG4APQBMAEEATQBCAEQAQQAoAFwAbgAgAEEAcgByAGEAeQBEAGEAdABhACwAIABUAGEAYgBsAGUAaABlAGEAZABlAHIAQwBlAGwAbAAsACAAUgBvAHcAcwBCAGUAdAB3AGUAZQBuAEgAZQBhAGQAZQByAGEAbgBkAEEAcgByAGEAeQAsACAAWwBDAG8AbAB1AG0AbgBzAEIAZQB0AHcAZQBlAG4ASABlAGEAZABlAHIAQQBuAGQAQQByAHIAYQB5AF0ALABcAG4AIABJAEYARQBSAFIATwBSACgAXABuACAAIAAgACAAIABJAE4ARABFAFgAKABcAG4AIAAgACAAIAAgACAAIAAgACAAIAAgACAAVQBOAEkAUQBVAEUAKABBAHIAcgBhAHkARABhAHQAYQApACwAIABcAG4AIAAgACAAIAAgACAAIAAgACAAIAAgACAAUgBPAFcAKAApAC0AVQB0AGkAbABpAHQAeQBfAEcAZQB0AEEAcgByAGEAeQBUAGEAYgBsAGUAUgBvAHcAUwB0AGEAcgB0AE4AdQBtAGIAZQByACgAVABhAGIAbABlAGgAZQBhAGQAZQByAEMAZQBsAGwALAAgAFIAbwB3AHMAQgBlAHQAdwBlAGUAbgBIAGUAYQBkAGUAcgBhAG4AZABBAHIAcgBhAHkAKQAsACAAXABuACAAIAAgACAAIAAgACAAIAAgACAAIAAgAEMATwBMAFUATQBOACgAKQAtAFUAdABpAGwAaQB0AHkAXwBHAGUAdABBAHIAcgBhAHkAVABhAGIAbABlAEMAbwBsAHUAbQBuAFMAdABhAHIAdABOAHUAbQBiAGUAcgAoAFQAYQBiAGwAZQBoAGUAYQBkAGUAcgBDAGUAbABsACkAIAArAFwAbgAgACAAIAAgACAAIAAgACAAIAAgACAAIABJAEYAKABJAFMATwBNAEkAVABUAEUARAAoAEMAbwBsAHUAbQBuAHMAQgBlAHQAdwBlAGUAbgBIAGUAYQBkAGUAcgBBAG4AZABBAHIAcgBhAHkAKQAsACAAMQAsACAAQwBvAGwAdQBtAG4AcwBCAGUAdAB3AGUAZQBuAEgAZQBhAGQAZQByAEEAbgBkAEEAcgByAGEAeQApAFwAbgAgACAAIAAgACAAIAAgACAAKQAsACAAXAAiAFwAIgBcAG4AIAAgACAAIAApAFwAbgApADsAXABuAFwAbgBVAHQAaQBsAGkAdAB5AF8ATABvAG8AawB1AHAAVgBhAGwAdQBlAEkAbgBUAGEAYgBsAGUAXABuAD0ATABBAE0AQgBEAEEAKABcAG4AIAAgACAAIABMAG8AbwBrAHUAcABWAGEAbAB1AGUALAAgAEwAbwBvAGsAdQBwAEEAcgByAGEAeQAsACAAUgBlAHQAdQByAG4AQQByAHIAYQB5ACwAXABuACAAIAAgACAAWABMAE8ATwBLAFUAUAAoAEwAbwBvAGsAdQBwAFYAYQBsAHUAZQAsACAATABvAG8AawB1AHAAQQByAHIAYQB5ACwAIABSAGUAdAB1AHIAbgBBAHIAcgBhAHkALAAgAFwAIgBcACIAKQBcAG4AKQA7AFwAbgBcAG4AVQB0AGkAbABpAHQAeQBfAEwAbwBvAGsAdQBwAFYAYQBsAHUAZQBJAG4AVABhAGIAbABlAE4AdQBtAGIAZQByAFwAbgA9AEwAQQBNAEIARABBACgAXABuACAAIAAgACAATABvAG8AawB1AHAAVgBhAGwAdQBlACwAIABMAG8AbwBrAHUAcABBAHIAcgBhAHkALAAgAFIAZQB0AHUAcgBuAEEAcgByAGEAeQAsAFwAbgAgACAAIAAgAEkARgAoAEkAUwBOAFUATQBCAEUAUgAoAFwAbgAgACAAIAAgACAAIAAgACAAWABMAE8ATwBLAFUAUAAoAEwAbwBvAGsAdQBwAFYAYQBsAHUAZQAsACAATABvAG8AawB1AHAAQQByAHIAYQB5ACwAIABSAGUAdAB1AHIAbgBBAHIAcgBhAHkALAAgAFwAIgBcACIAKQBcAG4AIAAgACAAIAApACwAIABYAEwATwBPAEsAVQBQACgATABvAG8AawB1AHAAVgBhAGwAdQBlACwAIABMAG8AbwBrAHUAcABBAHIAcgBhAHkALAAgAFIAZQB0AHUAcgBuAEEAcgByAGEAeQAsACAAXAAiAFwAIgApACwAIAAwACkAXABuACkAOwBcAG4AXABuAFUAdABpAGwAaQB0AHkAXwBMAG8AbwBrAHUAcABWAGEAbAB1AGUASQBuAFQAYQBiAGwAZQBUAHcAbwBDAG8AbAB1AG0AbgBzAFwAbgA9AEwAQQBNAEIARABBACgAXABuACAAIAAgACAATABvAG8AawB1AHAAVgBhAGwAdQBlADEALAAgAEwAbwBvAGsAdQBwAFYAYQBsAHUAZQAyACwAIABMAG8AbwBrAHUAcABBAHIAcgBhAHkAMQAsACAATABvAG8AawB1AHAAQQByAHIAYQB5ADIALAAgAFIAZQB0AHUAcgBuAEEAcgByAGEAeQAsAFwAbgAgACAAIAAgAFgATABPAE8ASwBVAFAAKAAxACwAIAAoAEwAbwBvAGsAdQBwAEEAcgByAGEAeQAxAD0ATABvAG8AawB1AHAAVgBhAGwAdQBlADEAKQAqACgATABvAG8AawB1AHAAQQByAHIAYQB5ADIAPQBMAG8AbwBrAHUAcABWAGEAbAB1AGUAMgApACwAIABSAGUAdAB1AHIAbgBBAHIAcgBhAHkALAAgAFwAIgBcACIAKQBcAG4AKQA7AFwAbgBcAG4AVQB0AGkAbABpAHQAeQBfAEwAbwBvAGsAdQBwAFYAYQBsAHUAZQBJAG4AVABhAGIAbABlAE8AbgBlAEMAbwBsAHUAbQBuAEEAbgBkAEgAZQBhAGQAZQByAFwAbgA9AEwAQQBNAEIARABBACgAXABuACAAIAAgACAATABvAG8AawB1AHAAVgBhAGwAdQBlADEALAAgAEwAbwBvAGsAdQBwAFYAYQBsAHUAZQAyACwAIABMAG8AbwBrAHUAcABBAHIAcgBhAHkAMQAsACAATABvAG8AawB1AHAAQQByAHIAYQB5ADIALAAgAFIAZQB0AHUAcgBuAEEAcgByAGEAeQAsAFwAbgAgACAAIAAgAFgATABPAE8ASwBVAFAAKABMAG8AbwBrAHUAcABWAGEAbAB1AGUAMQAsACAATABvAG8AawB1AHAAQQByAHIAYQB5ADEALABcAG4AIAAgACAAIAAgACAAIAAgAFgATABPAE8ASwBVAFAAKABMAG8AbwBrAHUAcABWAGEAbAB1AGUAMgAsACAATABvAG8AawB1AHAAQQByAHIAYQB5ADIALAAgAFIAZQB0AHUAcgBuAEEAcgByAGEAe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EAGkAcwBwAGwAYQB5AEEAcgBnAHUAbQBlAG4AdABzAF8AMQBfADIAXABuAD0ATABBAE0AQgBEAEEAKABcAG4AIAAgACAAIABBAHIAZwB1AG0AZQBuAHQAcwBBAHIAcgBhAHkALABcAG4AIAAgACAAIABDAEgATwBPAFMARQBDAE8ATABTACgAQQByAGcAdQBtAGUAbgB0AHMAQQByAHIAYQB5ACwAIAAxACwAIAAyACkAXABuACkAOwBcAG4AXABuAFUAdABpAGwAaQB0AHkAXwBEAGkAcwBwAGwAYQB5AEEAcgBnAHUAbQBlAG4AdABzAF8AMwBfADQAXABuAD0ATABBAE0AQgBEAEEAKABcAG4AIAAgACAAIABBAHIAZwB1AG0AZQBuAHQAcwBBAHIAcgBhAHkALABcAG4AIAAgACAAIABDAEgATwBPAFMARQBDAE8ATABTACgAQQByAGcAdQBtAGUAbgB0AHMAQQByAHIAYQB5ACwAIAAzACwAIAA0ACkAXABuACkAOwBcAG4AXABuAEMAbwBtAG0AbwBuAF8ARwBlAHQATQBDAEYAVABlAG0AcABlAHIAYQB0AHUAcgBlAFoAbwBuAGUAXABuAD0ATABBAE0AQgBEAEEAKABcAG4AIAAgACAAIABUAGUAbQBwAGUAcgBhAHQAdQByAGUALAAgAE0ATQBTACwAIABUAGUAbQBwAGUAcgBhAHQAdQByAGUAQQByAHIAYQB5ACwAIABNAE0AUwBBAHIAcgBhAHkALAAgAFIAZQB0AHUAcgBuAEEAcgByAGEAeQAsAFwAbgAgACAAIAAgAFgATABPAE8ASwBVAFAAKABcAG4AIAAgACAAIAAgACAAIAAgAE0ARQBEAEkAQQBOACgAXABuACAAIAAgACAAIAAgACAAIAAgACAAIAAgAFQAZQBtAHAAZQByAGEAdAB1AHIAZ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BcAG4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LAB7ACIAcABhAHQAaAAiADoAIgAvAHAAcgBvAGoAZQBjAHQAcwAvAE0ATQBTAF8AUABhAHMAdAB1AHIAZQBCAGUAZQBmAF8ATQBlAHQAaABhAG4AZQBfAEUAcQB1AGEAdABpAG8AbgBzACIALAAiAHQAZQB4AHQAIgA6ACIALwAqAFwAbgA9AD0APQA9AD0APQA9AD0APQA9AD0APQA9AD0APQA9AD0APQA9AD0APQA9AD0APQA9AD0APQA9AD0APQA9AD0APQA9AD0APQA9AD0APQA9AD0APQA9AD0APQA9AD0APQA9AD0APQA9AD0APQA9AD0APQA9AD0APQA9AD0APQA9AD0APQA9AD0APQA9AD0APQA9AD0APQA9AFwAbgA0AC4AMgA6ACAAUABhAHMAdAB1AHIAZQAgAEIAZQBlAGYAXABuAD0APQA9AD0APQA9AD0APQA9AD0APQA9AD0APQA9AD0APQA9AD0APQA9AD0APQA9AD0APQA9AD0APQA9AD0APQA9AD0APQA9AD0APQA9AD0APQA9AD0APQA9AD0APQA9AD0APQA9AD0APQA9AD0APQA9AD0APQA9AD0APQA9AD0APQA9AD0APQA9AD0APQA9AD0APQA9AD0AXABuADQALgAyAC4AMQAuADEAIABNAGUAdABoAG8AZAAgADEAIAAtACAATQBhAG4AdQByAGUAIABNAGUAdABoAGEAbgBl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gBfADEAXwAxAF8AXwAxAF8AVABvAHQAYQBsAEEAbgBuAHUAYQBsAE0AZQB0AGgAYQBuAGUAUAByAG8AZAB1AGMAdABpAG8AbgBGAHIAbwBtAE0AYQBuAHUAcgBlAE0AYQBuAGEAZwBlAG0AZQBuAHQAXABuAFQAbwB0AGEAbAAgAGEAbgBuAHUAYQBsACAAbQBlAHQAaABhAG4AZQAgAHAAcgBvAGQAdQBjAHQAaQBvAG4AIABmAHIAbwBtACAAbQBhAG4AdQByAGUAIABtAGEAbgBhAGcAZQBtAGUAbgB0ACAAZgBvAHIAIABnAHIAYQB6AGkAbgBnACAAYgBlAGUAZgAgAGMAYQB0AHQAbABlAFwAbgBFAF8AQwBIADQAXABuAHQAIABDAEgANABcAG4ARQBfAHsAQwBIADQAfQA9AFwAXABzAHUAbQBfAHsAagB9AFwAXABzAHUAbQBfAHsAawB9AFwAXABzAHUAbQBfAHsAbAB9AFwAXABzAHUAbQBfAHsAbQB9ACgATgBfAHsAagBrAGwAfQBcAFwAdABpAG0AZQBzACAATQBfAHsAagBrAGwAbQB9AFwAXAB0AGkAbQBlAHMAIABEAF8AagApAFwAXAB0AGkAbQBlAHMAIAAxADAAXgB7AC0AMwB9AFwAbgBOAF8AagBrAGwAIAA9ACAAbgB1AG0AYgBlAHIAIABvAGYAIABiAGUAZQBmACAAYwBhAHQAdABsAGUAIABpAG4AIABlAGEAYwBoACAAdABpAG0AZQAtAHAAZQByAGkAbwBkACwAIABjAGwAYQBzAHMAIABhAG4AZAAgAHMAdQBiAGMAbABhAHMAcwAgACgAaABlAGEAZAApAFwAbgBNAF8AagBrAGwAbQAgAD0AIABtAGUAdABoAGEAbgBlACAAcAByAG8AZAB1AGMAdABpAG8AbgAgAGYAcgBvAG0AIABtAGEAbgB1AHIAZQAgAGkAbgAgAGUAYQBjAGgAIAB0AGkAbQBlAC0AcABlAHIAaQBvAGQALAAgAGMAbABhAHMAcwAsACAAcwB1AGIAYwBsAGEAcwBzACAAYQBuAGQAIABNAE0AUwAgACgAawBnAC8AaABlAGEAZAAvAGQAYQB5ACkAXABuAEQAXwBqACAAPQAgAG4AdQBtAGIAZQByACAAbwBmACAAZABhAHkAcwAgAGkAbgAgAGUAYQBjAGgAIAB0AGkAbQBlAC0AcABlAHIAaQBvAGQAIABmAG8AcgAgAGUAYQBjAGgAIABpAG4AcAB1AHQAIABjAGwAYQBzAHMAIAAoAGQAYQB5AHMAKQBcAG4ALQAtAC0ALQAtAC0ALQAtAC0ALQAtAC0ALQAtAC0ALQAtAC0ALQAtAC0ALQAtAC0ALQAtAC0ALQAtAC0ALQAtAC0ALQAtAC0ALQAtAFwAbgAqAC8AXABuAFwAbgBWAEUARQBSAEcAXwA0AF8AMgBfADEAXwAxAF8AXwAxAF8AVABvAHQAYQBsAEEAbgBuAHUAYQBsAE0AZQB0AGgAYQBuAGUAUAByAG8AZAB1AGMAdABpAG8AbgBGAHIAbwBtAE0AYQBuAHUAcgBlAE0AYQBuAGEAZwBlAG0AZQBuAHQAXABuACAAIAA9AEwAQQBNAEIARABBACgAXABuACAAIAAgACAATgBfAGoAawBsACwAIABNAF8AagBrAGwAbQAsACAARABfAGoALABcAG4AIAAgACAAIAAoAE4AXwBqAGsAbAAgACoAIABNAF8AagBrAGwAbQAgACoAIABEAF8AagApACAAKgAgADEAMAAgAF4AIAAtADMAXABuACAAIAApADsAXABuAFwAbgBWAEUARQBSAEcAXwA0AF8AMgBfADEAXwAxAF8AXwAxAF8AVABvAHQAYQBsAEEAbgBuAHUAYQBsAE0AZQB0AGgAYQBuAGUAUAByAG8AZAB1AGMAdABpAG8AbgBGAHIAbwBtAE0AYQBuAHUAcgBlAE0AYQBuAGEAZwBlAG0AZQBuAHQAXwBUAGkAdABsAGUAXABuACAAIAA9AEwAQQBNAEIARABBACgAXAAiAFQAbwB0AGEAbAAgAGEAbgBuAHUAYQBsACAAbQBlAHQAaABhAG4AZQAgAHAAcgBvAGQAdQBjAHQAaQBvAG4AIABmAHIAbwBtACAAbQBhAG4AdQByAGUAIABtAGEAbgBhAGcAZQBtAGUAbgB0ACAAZgBvAHIAIABnAHIAYQB6AGkAbgBnACAAYgBlAGUAZgAgAGMAYQB0AHQAbABlAFwAIgApADsAXABuAFwAbgBWAEUARQBSAEcAXwA0AF8AMgBfADEAXwAxAF8AXwAxAF8AVABvAHQAYQBsAEEAbgBuAHUAYQBsAE0AZQB0AGgAYQBuAGUAUAByAG8AZAB1AGMAdABpAG8AbgBGAHIAbwBtAE0AYQBuAHUAcgBlAE0AYQBuAGEAZwBlAG0AZQBuAHQAXwBWAGEAcgBpAGEAYgBsAGUAXABuACAAIAA9AEwAQQBNAEIARABBACgAXAAiAEUAXwBDAEgANABcACIAKQA7AFwAbgBcAG4AVgBFAEUAUgBHAF8ANABfADIAXwAxAF8AMQBfAF8AMQBfAFQAbwB0AGEAbABBAG4AbgB1AGEAbABNAGUAdABoAGEAbgBlAFAAcgBvAGQAdQBjAHQAaQBvAG4ARgByAG8AbQBNAGEAbgB1AHIAZQBNAGEAbgBhAGcAZQBtAGUAbgB0AF8AVQBuAGkAdABcAG4AIAAgAD0ATABBAE0AQgBEAEEAKABcACIAdAAgAEMASAA0AFwAIgApADsAXABuAFwAbgBWAEUARQBSAEcAXwA0AF8AMgBfADEAXwAxAF8AXwAxAF8AVABvAHQAYQBsAEEAbgBuAHUAYQBsAE0AZQB0AGgAYQBuAGUAUAByAG8AZAB1AGMAdABpAG8AbgBGAHIAbwBtAE0AYQBuAHUAcgBlAE0AYQBuAGEAZwBlAG0AZQBuAHQAXwBTAG8AdQByAGMAZQBcAG4AIAAgAD0ATABBAE0AQgBEAEEAKABcACIAVgBFAEUAUgBHACAAMgAwADIANgA6ACAANAAuADIALgAxAC4AMQAsACAARQBxAHUAYQB0AGkAbwBuACAAKAAxACkAXAAiACkAOwBcAG4AXABuAFYARQBFAFIARwBfADQAXwAyAF8AMQBfADEAXwBfADEAXwBUAG8AdABhAGwAQQBuAG4AdQBhAGwATQBlAHQAaABhAG4AZQBQAHIAbwBkAHUAYwB0AGkAbwBuAEYAcgBvAG0ATQBhAG4AdQByAGUATQBhAG4AYQBnAGUAbQBlAG4AdABfAE4ASQBSAFIAZQBmAGUAcgBlAG4AYwBlAFwAbgAgACAAPQBMAEEATQBCAEQAQQAoAFwAIgBcACIAKQA7AFwAbgBcAG4AVgBFAEUAUgBHAF8ANABfADIAXwAxAF8AMQBfAF8AMQBfAFQAbwB0AGEAbABBAG4AbgB1AGEAbABNAGUAdABoAGEAbgBlAFAAcgBvAGQAdQBjAHQAaQBvAG4ARgByAG8AbQBNAGEAbgB1AHIAZQBNAGEAbgBhAGcAZQBtAGUAbgB0AF8ATABhAHQAZQB4AEUAcQB1AGEAdABpAG8AbgBcAG4AIAAgAD0ATABBAE0AQgBEAEEAKABcACIARQBfAHsAQwBIADQAfQA9AFwAXABzAHUAbQBfAHsAagB9AFwAXABzAHUAbQBfAHsAawB9AFwAXABzAHUAbQBfAHsAbAB9AFwAXABzAHUAbQBfAHsAbQB9ACgATgBfAHsAagBrAGwAfQBcAFwAdABpAG0AZQBzACAATQBfAHsAagBrAGwAbQB9AFwAXAB0AGkAbQBlAHMAIABEAF8AagApAFwAXAB0AGkAbQBlAHMAIAAxADAAXgB7AC0AMwB9AFwAIgApADsAXABuAFwAbgBWAEUARQBSAEcAXwA0AF8AMgBfADEAXwAxAF8AXwAxAF8AVABvAHQAYQBsAEEAbgBuAHUAYQBsAE0AZQB0AGgAYQBuAGUAUAByAG8AZAB1AGMAdABpAG8AbgBGAHIAbwBtAE0AYQBuAHUAcgBlAE0AYQBuAGEAZwBlAG0AZQBuAHQAXwBBAHIAZwB1AG0AZQBuAHQAcwBcAG4AIAAgAD0ATABBAE0AQgBEAEEAKABcAG4AIAAgACAAIABNAEEASwBFAEEAUgBSAEEAWQAoADMALAAgADIALABcAG4AIAAgACAAIAAgACAATABBAE0AQgBEAEEAKAByACwAYwAsAFwAbgAgACAAIAAgACAAIAAgACAASQBOAEQARQBYACgAewBcAG4AIAAgACAAIAAgACAAIAAgACAAIABcACIATgBfAGoAawBsAFwAIgAsACAAXAAiAG4AdQBtAGIAZQByACAAbwBmACAAYgBlAGUAZgAgAGMAYQB0AHQAbABlACAAaQBuACAAZQBhAGMAaAAgAHQAaQBtAGUALQBwAGUAcgBpAG8AZAAsACAAYwBsAGEAcwBzACAAYQBuAGQAIABzAHUAYgBjAGwAYQBzAHMAIAAoAGgAZQBhAGQAKQBcACIAOwBcAG4AIAAgACAAIAAgACAAIAAgACAAIABcACIATQBfAGoAawBsAG0AXAAiACwAIABcACIAbQBlAHQAaABhAG4AZQAgAHAAcgBvAGQAdQBjAHQAaQBvAG4AIABmAHIAbwBtACAAbQBhAG4AdQByAGUAIABpAG4AIABlAGEAYwBoACAAdABpAG0AZQAtAHAAZQByAGkAbwBkACwAIABjAGwAYQBzAHMALAAgAHMAdQBiAGMAbABhAHMAcwAgAGEAbgBkACAATQBNAFMAIAAoAGsAZwAvAGgAZQBhAGQALwBkAGEAeQApAFwAIgA7AFwAbgAgACAAIAAgACAAIAAgACAAIAAgAFwAIgBEAF8AagBcACIALAAgAFwAIgBuAHUAbQBiAGUAcgAgAG8AZgAgAGQAYQB5AHMAIABpAG4AIABlAGEAYwBoACAAdABpAG0AZQAtAHAAZQByAGkAbwBkACAAZgBvAHIAIABlAGEAYwBoACAAaQBuAHAAdQB0ACAAYwBsAGEAcwBzACAAKABkAGEAeQBzACkAXAAiAFwAbgAgACAAIAAgACAAIAAgACAAfQAsACAAcgAsACAAYwApAFwAbgAgACAAIAAgACAAIAApAFwAbgAgACAAIAAgACkAXABuACAAIAApADsAXABuAFwAbgAvACoAXABuAC0ALQAtAC0ALQAtAC0ALQAtAC0ALQAtAC0ALQAtAC0ALQAtAC0ALQAtAC0ALQAtAC0ALQAtAC0ALQAtAC0ALQAtAC0ALQAtAC0ALQBcAG4AVgBFAEUAUgBHAF8ANABfADIAXwAxAF8AMQBfAF8AMgBfAE0AZQB0AGgAYQBuAGUAUAByAG8AZAB1AGMAdABpAG8AbgBGAHIAbwBtAE0AYQBuAHUAcgBlAFwAbgBNAGUAdABoAGEAbgBlACAAcAByAG8AZAB1AGMAdABpAG8AbgAgAGYAcgBvAG0AIAB0AGgAZQAgAG0AYQBuAHUAcgBlACAAbwBmACAAZwByAGEAegBpAG4AZwAgAGIAZQBlAGYAIABjAGEAdAB0AGwAZQBcAG4ATQBfAGoAawBsAG0AXABuAGsAZwAgAEMASAA0AC8AaABlAGEAZAAvAGQAYQB5AFwAbgBNAF8AewBqAGsAbABtAH0APQBWAFMAXwB7AGoAawBsAH0AXABcAHQAaQBtAGUAcwAgAEIAXwBvAFwAXAB0AGkAbQBlAHMAIABNAE0AUwBfAG0AXABcAHQAaQBtAGUAcwAgAE0AQwBGAF8AewBpAG0AfQBcAFwAdABpAG0AZQBzACAAXABcAHIAaABvAFwAbgBWAFMAXwBqAGsAbAAgAD0AIAB2AG8AbABhAHQAaQBsAGUAIABzAG8AbABpAGQAIABwAHIAbwBkAHUAYwB0AGkAbwBuACAAKABrAGcALwBkAGEAeQApAFwAbgBCAF8AbwAgAD0AIABlAG0AaQBzAHMAaQBvAG4AcwAgAHAAbwB0AGUAbgB0AGkAYQBsACAAKABtADMAIABDAEgANAAvAGsAZwAgAFYAUwApAFwAbgBNAE0AUwBfAG0AIAA9ACAAZgByAGEAYwB0AGkAbwBuACAAbwBmACAAdwBhAHMAdABlACAAaQBuACAAZQBhAGMAaAAgAG0AYQBuAHUAcgBlACAAbQBhAG4AYQBnAGUAbQBlAG4AdAAgAHMAeQBzAHQAZQBtAFwAbgBNAEMARgBfAGkAbQAgAD0AIABtAGUAdABoAGEAbgBlACAAYwBvAG4AdgBlAHIAcwBpAG8AbgAgAGYAYQBjAHQAbwByACAAZgBvAHIAIAB0AGUAbQBwAGUAcgBhAHQAdQByAGUAIAB6AG8AbgBlACAAYQBuAGQAIABNAE0AUwBcAG4AcgBoAG8AIAA9ACAAZABlAG4AcwBpAHQAeQAgAG8AZgAgAG0AZQB0AGgAYQBuAGUAIAAoAGsAZwAvAG0AMwApAFwAbgAtAC0ALQAtAC0ALQAtAC0ALQAtAC0ALQAtAC0ALQAtAC0ALQAtAC0ALQAtAC0ALQAtAC0ALQAtAC0ALQAtAC0ALQAtAC0ALQAtAC0AXABuACoALwBcAG4AXABuAFYARQBFAFIARwBfADQAXwAyAF8AMQBfADEAXwBfADIAXwBNAGUAdABoAGEAbgBlAFAAcgBvAGQAdQBjAHQAaQBvAG4ARgByAG8AbQBNAGEAbgB1AHIAZQBcAG4AIAAgAD0ATABBAE0AQgBEAEEAKABcAG4AIAAgACAAIABWAFMAXwBqAGsAbAAsACAAQgBfAG8ALAAgAE0ATQBTAF8AbQAsACAATQBDAEYAXwBpAG0ALAAgAHIAaABvACwAXABuACAAIAAgACAAVgBTAF8AagBrAGwAIAAqACAAQgBfAG8AIAAqACAATQBNAFMAXwBtACAAKgAgAE0AQwBGAF8AaQBtACAAKgAgAHIAaABvAFwAbgAgACAAKQA7AFwAbgBcAG4AVgBFAEUAUgBHAF8ANABfADIAXwAxAF8AMQBfAF8AMgBfAE0AZQB0AGgAYQBuAGUAUAByAG8AZAB1AGMAdABpAG8AbgBGAHIAbwBtAE0AYQBuAHUAcgBlAF8AVABpAHQAbABlAFwAbgAgACAAPQBMAEEATQBCAEQAQQAoAFwAIgBNAGUAdABoAGEAbgBlACAAcAByAG8AZAB1AGMAdABpAG8AbgAgAGYAcgBvAG0AIAB0AGgAZQAgAG0AYQBuAHUAcgBlACAAbwBmACAAZwByAGEAegBpAG4AZwAgAGIAZQBlAGYAIABjAGEAdAB0AGwAZQBcACIAKQA7AFwAbgBcAG4AVgBFAEUAUgBHAF8ANABfADIAXwAxAF8AMQBfAF8AMgBfAE0AZQB0AGgAYQBuAGUAUAByAG8AZAB1AGMAdABpAG8AbgBGAHIAbwBtAE0AYQBuAHUAcgBlAF8AVgBhAHIAaQBhAGIAbABlAFwAbgAgACAAPQBMAEEATQBCAEQAQQAoAFwAIgBNAF8AagBrAGwAbQBcACIAKQA7AFwAbgBcAG4AVgBFAEUAUgBHAF8ANABfADIAXwAxAF8AMQBfAF8AMgBfAE0AZQB0AGgAYQBuAGUAUAByAG8AZAB1AGMAdABpAG8AbgBGAHIAbwBtAE0AYQBuAHUAcgBlAF8AVQBuAGkAdABcAG4AIAAgAD0ATABBAE0AQgBEAEEAKABcACIAawBnACAAQwBIADQALwBoAGUAYQBkAC8AZABhAHkAXAAiACkAOwBcAG4AXABuAFYARQBFAFIARwBfADQAXwAyAF8AMQBfADEAXwBfADIAXwBNAGUAdABoAGEAbgBlAFAAcgBvAGQAdQBjAHQAaQBvAG4ARgByAG8AbQBNAGEAbgB1AHIAZQBfAFMAbwB1AHIAYwBlAFwAbgAgACAAPQBMAEEATQBCAEQAQQAoAFwAIgBWAEUARQBSAEcAIAAyADAAMgA2ADoAIAA0AC4AMgAuADEALgAxACwAIABFAHEAdQBhAHQAaQBvAG4AIAAoADIAKQBcACIAKQA7AFwAbgBcAG4AVgBFAEUAUgBHAF8ANABfADIAXwAxAF8AMQBfAF8AMgBfAE0AZQB0AGgAYQBuAGUAUAByAG8AZAB1AGMAdABpAG8AbgBGAHIAbwBtAE0AYQBuAHUAcgBlAF8ATgBJAFIAUgBlAGYAZQByAGUAbgBjAGUAXABuACAAIAA9AEwAQQBNAEIARABBACgAXAAiAFwAIgApADsAXABuAFwAbgBWAEUARQBSAEcAXwA0AF8AMgBfADEAXwAxAF8AXwAyAF8ATQBlAHQAaABhAG4AZQBQAHIAbwBkAHUAYwB0AGkAbwBuAEYAcgBvAG0ATQBhAG4AdQByAGUAXwBMAGEAdABlAHgARQBxAHUAYQB0AGkAbwBuAFwAbgAgACAAPQBMAEEATQBCAEQAQQAoAFwAIgBNAF8AewBqAGsAbABtAH0APQBWAFMAXwB7AGoAawBsAH0AXABcAHQAaQBtAGUAcwAgAEIAXwBvAFwAXAB0AGkAbQBlAHMAIABNAE0AUwBfAG0AXABcAHQAaQBtAGUAcwAgAE0AQwBGAF8AewBpAG0AfQBcAFwAdABpAG0AZQBzACAAXABcAHIAaABvAFwAIgApADsAXABuAFwAbgBWAEUARQBSAEcAXwA0AF8AMgBfADEAXwAxAF8AXwAyAF8ATQBlAHQAaABhAG4AZQBQAHIAbwBkAHUAYwB0AGkAbwBuAEYAcgBvAG0ATQBhAG4AdQByAGUAXwBBAHIAZwB1AG0AZQBuAHQAcwBcAG4AIAAgAD0ATABBAE0AQgBEAEEAKABcAG4AIAAgACAAIABNAEEASwBFAEEAUgBSAEEAWQAoADcALAAgADIALABcAG4AIAAgACAAIAAgACAATABBAE0AQgBEAEEAKAByACwAYwAsAFwAbgAgACAAIAAgACAAIAAgACAASQBOAEQARQBYACgAewBcAG4AIAAgACAAIAAgACAAIAAgACAAIABcACIAVgBTAF8AagBrAGwAXAAiACwAIABcACIAdgBvAGwAYQB0AGkAbABlACAAcwBvAGwAaQBkACAAcAByAG8AZAB1AGMAdABpAG8AbgAgACgAawBnAC8AZABhAHkAKQBcACIAOwBcAG4AIAAgACAAIAAgACAAIAAgACAAIABcACIAQgBfAG8AXAAiACwAIABcACIAZQBtAGkAcwBzAGkAbwBuAHMAIABwAG8AdABlAG4AdABpAGEAbAAgACgAbQAzACAAQwBIADQALwBrAGcAIABWAFMAKQBcACIAOwBcAG4AIAAgACAAIAAgACAAIAAgACAAIABcACIATQBNAFMAXwBtAFwAIgAsACAAXAAiAGYAcgBhAGMAdABpAG8AbgAgAG8AZgAgAHcAYQBzAHQAZQAgAGkAbgAgAGUAYQBjAGgAIABtAGEAbgB1AHIAZQAgAG0AYQBuAGEAZwBlAG0AZQBuAHQAIABzAHkAcwB0AGUAbQBcACIAOwBcAG4AIAAgACAAIAAgACAAIAAgACAAIABcACIATQBDAEYAXwBpAG0AXAAiACwAIABcACIAbQBlAHQAaABhAG4AZQAgAGMAbwBuAHYAZQByAHMAaQBvAG4AIABmAGEAYwB0AG8AcgAgAGYAbwByACAAdABlAG0AcABlAHIAYQB0AHUAcgBlACAAegBvAG4AZQAgAGEAbgBkACAATQBNAFMAXAAiADsAXABuACAAIAAgACAAIAAgACAAIAAgACAAXAAiAHIAaABvAFwAIgAsACAAXAAiAGQAZQBuAHMAaQB0AHkAIABvAGYAIABtAGUAdABoAGEAbgBlACAAKABrAGcALwBtADMAKQBcACIAOwBcAG4AIAAgACAAIAAgACAAIAAgACAAIABcACIAaQBcACIALAAgAFwAIgBzAHQAYQB0AGUAXAAiADsAXABuACAAIAAgACAAIAAgACAAIAAgACAAXAAiAGkAXAAiACwAIABcACIAcgBlAGcAaQBvAG4AXAAiAFwAbgAgACAAIAAgACAAIAAgACAAfQAsACAAcgAsACAAYwApAFwAbgAgACAAIAAgACAAIAApAFwAbgAgACAAIAAgACkAXABuACAAIAApADsAXABuAFwAbgAvACoAXABuAC0ALQAtAC0ALQAtAC0ALQAtAC0ALQAtAC0ALQAtAC0ALQAtAC0ALQAtAC0ALQAtAC0ALQAtAC0ALQAtAC0ALQAtAC0ALQAtAC0ALQBcAG4AVgBFAEUAUgBHAF8ANABfADIAXwAxAF8AMQBfAF8AMwBfAFYAbwBsAGEAdABpAGwAZQBTAG8AbABpAGQAUAByAG8AZAB1AGMAdABpAG8AbgBGAHIAbwBtAEcAcgBhAHoAaQBuAGcAQgBlAGUAZgBcAG4AVgBvAGwAYQB0AGkAbABlACAAcwBvAGwAaQBkACAAcAByAG8AZAB1AGMAdABpAG8AbgAgAGYAcgBvAG0AIABnAHIAYQB6AGkAbgBnACAAYgBlAGUAZgBcAG4AVgBTAF8AagBrAGwAXABuAGsAZwAvAGgAZQBhAGQALwBkAGEAeQBcAG4AVgBTAF8AewBqAGsAbAB9AD0AKABJAF8AewBqAGsAbAB9AFwAXAB0AGkAbQBlAHMAIAAoADEALQBEAE0ARABfAHsAagBrAGwAfQApACsAKAAwAC4AMAA0AFwAXAB0AGkAbQBlAHMAIABJAF8AewBqAGsAbAB9ACkAKQBcAFwAdABpAG0AZQBzACAAKAAxAC0AQQApAFwAbgBJAF8AagBrAGwAIAA9ACAAZAByAHkAIABtAGEAdAB0AGUAcgAgAGkAbgB0AGEAawBlACAAYQBzACAAYwBhAGwAYwB1AGwAYQB0AGUAZAAgAGkAbgAgAEMAaABhAHAAdABlAHIAIAAzACAAUwBlAGMAdABpAG8AbgAgADMALgAyAC4AMQAgACgAawBnAC8AaABlAGEAZAAvAGQAYQB5ACkAXABuAEQATQBEAF8AagBrAGwAIAA9ACAAZAByAHkAIABtAGEAdAB0AGUAcgAgAGQAaQBnAGUAcwB0AGkAYgBpAGwAaQB0AHkAIABlAHgAcAByAGUAcwBzAGUAZAAgAGEAcwAgAGEAIABmAHIAYQBjAHQAaQBvAG4AXABuAEEAIAA9ACAAYQBzAGgAIABjAG8AbgB0AGUAbgB0ACAAbwBmACAAZgBlAGUAZAAgAGkAbgB0AGEAawBlACAAZQB4AHAAcgBlAHMAcwBlAGQAIABhAHMAIABhACAAZgByAGEAYwB0AGkAbwBuAFwAbgAtAC0ALQAtAC0ALQAtAC0ALQAtAC0ALQAtAC0ALQAtAC0ALQAtAC0ALQAtAC0ALQAtAC0ALQAtAC0ALQAtAC0ALQAtAC0ALQAtAC0AXABuACoALwBcAG4AXABuAFYARQBFAFIARwBfADQAXwAyAF8AMQBfADEAXwBfADMAXwBWAG8AbABhAHQAaQBsAGUAUwBvAGwAaQBkAFAAcgBvAGQAdQBjAHQAaQBvAG4ARgByAG8AbQBHAHIAYQB6AGkAbgBnAEIAZQBlAGYAXABuACAAIAA9AEwAQQBNAEIARABBACgAXABuACAAIAAgACAASQBfAGoAawBsACwAIABEAE0ARABfAGoAawBsACwAIABBACwAXABuACAAIAAgACAAKABJAF8AagBrAGwAIAAqACAAKAAxACAALQAgAEQATQBEAF8AagBrAGwAKQAgACsAIAAoADAALgAwADQAIAAqACAASQBfAGoAawBsACkAKQAgACoAIAAoADEAIAAtACAAQQApAFwAbgAgACAAKQA7AFwAbgBcAG4AVgBFAEUAUgBHAF8ANABfADIAXwAxAF8AMQBfAF8AMwBfAFYAbwBsAGEAdABpAGwAZQBTAG8AbABpAGQAUAByAG8AZAB1AGMAdABpAG8AbgBGAHIAbwBtAEcAcgBhAHoAaQBuAGcAQgBlAGUAZgBfAFQAaQB0AGwAZQBcAG4AIAAgAD0ATABBAE0AQgBEAEEAKABcACIAVgBvAGwAYQB0AGkAbABlACAAcwBvAGwAaQBkACAAcAByAG8AZAB1AGMAdABpAG8AbgAgAGYAcgBvAG0AIABnAHIAYQB6AGkAbgBnACAAYgBlAGUAZgBcACIAKQA7AFwAbgBcAG4AVgBFAEUAUgBHAF8ANABfADIAXwAxAF8AMQBfAF8AMwBfAFYAbwBsAGEAdABpAGwAZQBTAG8AbABpAGQAUAByAG8AZAB1AGMAdABpAG8AbgBGAHIAbwBtAEcAcgBhAHoAaQBuAGcAQgBlAGUAZgBfAFYAYQByAGkAYQBiAGwAZQBcAG4AIAAgAD0ATABBAE0AQgBEAEEAKABcACIAVgBTAF8AagBrAGwAXAAiACkAOwBcAG4AXABuAFYARQBFAFIARwBfADQAXwAyAF8AMQBfADEAXwBfADMAXwBWAG8AbABhAHQAaQBsAGUAUwBvAGwAaQBkAFAAcgBvAGQAdQBjAHQAaQBvAG4ARgByAG8AbQBHAHIAYQB6AGkAbgBnAEIAZQBlAGYAXwBVAG4AaQB0AFwAbgAgACAAPQBMAEEATQBCAEQAQQAoAFwAIgBrAGcALwBoAGUAYQBkAC8AZABhAHkAXAAiACkAOwBcAG4AXABuAFYARQBFAFIARwBfADQAXwAyAF8AMQBfADEAXwBfADMAXwBWAG8AbABhAHQAaQBsAGUAUwBvAGwAaQBkAFAAcgBvAGQAdQBjAHQAaQBvAG4ARgByAG8AbQBHAHIAYQB6AGkAbgBnAEIAZQBlAGYAXwBTAG8AdQByAGMAZQBcAG4AIAAgAD0ATABBAE0AQgBEAEEAKABcACIAVgBFAEUAUgBHACAAMgAwADIANgA6ACAANAAuADIALgAxAC4AMQAsACAARQBxAHUAYQB0AGkAbwBuACAAKAAzACkAXAAiACkAOwBcAG4AXABuAFYARQBFAFIARwBfADQAXwAyAF8AMQBfADEAXwBfADMAXwBWAG8AbABhAHQAaQBsAGUAUwBvAGwAaQBkAFAAcgBvAGQAdQBjAHQAaQBvAG4ARgByAG8AbQBHAHIAYQB6AGkAbgBnAEIAZQBlAGYAXwBOAEkAUgBSAGUAZgBlAHIAZQBuAGMAZQBcAG4AIAAgAD0ATABBAE0AQgBEAEEAKABcACIAXAAiACkAOwBcAG4AXABuAFYARQBFAFIARwBfADQAXwAyAF8AMQBfADEAXwBfADMAXwBWAG8AbABhAHQAaQBsAGUAUwBvAGwAaQBkAFAAcgBvAGQAdQBjAHQAaQBvAG4ARgByAG8AbQBHAHIAYQB6AGkAbgBnAEIAZQBlAGYAXwBMAGEAdABlAHgARQBxAHUAYQB0AGkAbwBuAFwAbgAgACAAPQBMAEEATQBCAEQAQQAoAFwAIgBWAFMAXwB7AGoAawBsAH0APQAoAEkAXwB7AGoAawBsAH0AXABcAHQAaQBtAGUAcwAgACgAMQAtAEQATQBEAF8AewBqAGsAbAB9ACkAKwAoADAALgAwADQAXABcAHQAaQBtAGUAcwAgAEkAXwB7AGoAawBsAH0AKQApAFwAXAB0AGkAbQBlAHMAIAAoADEALQBBACkAXAAiACkAOwBcAG4AXABuAFYARQBFAFIARwBfADQAXwAyAF8AMQBfADEAXwBfADMAXwBWAG8AbABhAHQAaQBsAGUAUwBvAGwAaQBkAFAAcgBvAGQAdQBjAHQAaQBvAG4ARgByAG8AbQBHAHIAYQB6AGkAbgBnAEIAZQBlAGYAXwBBAHIAZwB1AG0AZQBuAHQAcwBcAG4AIAAgAD0ATABBAE0AQgBEAEEAKABcAG4AIAAgACAAIABNAEEASwBFAEEAUgBSAEEAWQAoADMALAAgADIALABcAG4AIAAgACAAIAAgACAATABBAE0AQgBEAEEAKAByACwAYwAsAFwAbgAgACAAIAAgACAAIAAgACAASQBOAEQARQBYACgAewBcAG4AIAAgACAAIAAgACAAIAAgACAAIABcACIASQBfAGoAawBsAFwAIgAsACAAXAAiAGQAcgB5ACAAbQBhAHQAdABlAHIAIABpAG4AdABhAGsAZQAgAGEAcwAgAGMAYQBsAGMAdQBsAGEAdABlAGQAIABpAG4AIABDAGgAYQBwAHQAZQByACAAMwAgAFMAZQBjAHQAaQBvAG4AIAAzAC4AMgAuADEAIAAoAGsAZwAvAGgAZQBhAGQALwBkAGEAeQApAFwAIgA7AFwAbgAgACAAIAAgACAAIAAgACAAIAAgAFwAIgBEAE0ARABfAGoAawBsAFwAIgAsACAAXAAiAGQAcgB5ACAAbQBhAHQAdABlAHIAIABkAGkAZwBlAHMAdABpAGIAaQBsAGkAdAB5ACAAZQB4AHAAcgBlAHMAcwBlAGQAIABhAHMAIABhACAAZgByAGEAYwB0AGkAbwBuAFwAIgA7AFwAbgAgACAAIAAgACAAIAAgACAAIAAgAFwAIgBBAFwAIgAsACAAXAAiAGEAcwBoACAAYwBvAG4AdABlAG4AdAAgAG8AZgAgAGYAZQBlAGQAIABpAG4AdABhAGsAZQAgAGUAeABwAHIAZQBzAHMAZQBkACAAYQBzACAAYQAgAGYAcgBhAGMAdABpAG8AbgBcACIAXABuACAAIAAgACAAIAAgACAAIAB9ACwAIAByACwAIABjACkAXABuACAAIAAgACAAIAAgACkAXABuACAAIAAgACAAKQBcAG4AIAAgACkAOwBcAG4AIgB9ACwAewAiAHAAYQB0AGgAIgA6ACIALwBwAHIAbwBqAGUAYwB0AHMALwBFAG4AdABlAHIAaQBjAE0AZQB0AGgAYQBuAGUAXwBQAGEAcwB0AHUAcgBlAEIAZQBlAGYAXwBFAHEAdQBhAHQAaQBvAG4AcwAiACwAIgB0AGUAeAB0ACIAOgAiAC8AKgBcAG4APQA9AD0APQA9AD0APQA9AD0APQA9AD0APQA9AD0APQA9AD0APQA9AD0APQA9AD0APQA9AD0APQA9AD0APQA9AD0APQA9AD0APQA9AD0APQA9AD0APQA9AD0APQA9AD0APQA9AD0APQA9AD0APQA9AD0APQA9AD0APQA9AD0APQA9AD0APQA9AD0APQA9AD0APQA9AD0APQBcAG4AMwAuADIAOgAgAEUAbgB0AGUAcgBpAGMAIABNAGUAdABoAGEAbgBlACAALQAgAFAAYQBzAHQAdQByAGUAIABCAGUAZQBmAFwAbgA9AD0APQA9AD0APQA9AD0APQA9AD0APQA9AD0APQA9AD0APQA9AD0APQA9AD0APQA9AD0APQA9AD0APQA9AD0APQA9AD0APQA9AD0APQA9AD0APQA9AD0APQA9AD0APQA9AD0APQA9AD0APQA9AD0APQA9AD0APQA9AD0APQA9AD0APQA9AD0APQA9AD0APQA9AD0APQA9AFwAbgAzAC4AMgAuADEALgAxACAATQBlAHQAaABvAGQAIAAxACAALQAgAEUAbgB0AGUAcgBpAGM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MAXwAyAF8AMQBfADEAXwBfADEAXwBUAG8AdABhAGwAQQBuAG4AdQBhAGwATQBlAHQAaABhAG4AZQBGAHIAbwBtAEUAbgB0AGUAcgBpAGMARgBlAHIAbQBlAG4AdABhAHQAaQBvAG4AXABuAFQAbwB0AGEAbAAgAGEAbgBuAHUAYQBsACAAbQBlAHQAaABhAG4AZQAgAHAAcgBvAGQAdQBjAHQAaQBvAG4AIABmAHIAbwBtACAAZQBuAHQAZQByAGkAYwAgAGYAZQByAG0AZQBuAHQAYQB0AGkAbwBuACAAaQBuACAAZwByAGEAegBpAG4AZwAgAGIAZQBlAGYAIABjAGEAdAB0AGwAZQBcAG4ARQBfAGUAbgB0AGUAcgBpAGMAXABuAHQAIABDAEgANABcAG4ARQBfAHsAZQBuAHQAZQByAGkAYwB9AD0AXABcAHMAdQBtAF8AewBqAH0AXABcAHMAdQBtAF8AewBrAH0AXABcAHMAdQBtAF8AewBsAH0AKABEAF8AagBcAFwAdABpAG0AZQBzACAATQBfAHsAagBrAGwAfQBcAFwAdABpAG0AZQBzACAATgBfAHsAagBrAGwAfQApAFwAXAB0AGkAbQBlAHMAIAAxADAAXgB7AC0AMwB9AFwAbgBEAF8AagAgAD0AIABuAHUAbQBiAGUAcgAgAG8AZgAgAGQAYQB5AHMAIAB0AGgAZQAgAGEAbgBpAG0AYQBsACAAaQBzACAAbwBuACAAdABoAGUAIABmAGEAcgBtACAAaQBuACAAZQBhAGMAaAAgAHQAaQBtAGUALQBwAGUAcgBpAG8AZAAgACgAZABhAHkAcwApAFwAbgBNAF8AagBrAGwAIAA9ACAAZABhAGkAbAB5ACAAcAByAG8AZAB1AGMAdABpAG8AbgAgAG8AZgAgAGUAbgB0AGUAcgBpAGMAIABtAGUAdABoAGEAbgBlACAAaQBuACAAZQBhAGMAaAAgAHQAaQBtAGUALQBwAGUAcgBpAG8AZAAsACAAYwBsAGEAcwBzACAAYQBuAGQAIABzAHUAYgBjAGwAYQBzAHMAIAAoAGsAZwAgAEMASAA0AC8AaABlAGEAZAAvAGQAYQB5ACkAXABuAE4AXwBqAGsAbAAgAD0AIABuAHUAbQBiAGUAcgAgAG8AZgAgAGIAZQBlAGYAIABjAGEAdAB0AGwAZQAgAGkAbgAgAGUAYQBjAGgAIAB0AGkAbQBlAC0AcABlAHIAaQBvAGQALAAgAGMAbABhAHMAcwAgAGEAbgBkACAAcwB1AGIAYwBsAGEAcwBzACAAKABoAGUAYQBkACkAXABuAC0ALQAtAC0ALQAtAC0ALQAtAC0ALQAtAC0ALQAtAC0ALQAtAC0ALQAtAC0ALQAtAC0ALQAtAC0ALQAtAC0ALQAtAC0ALQAtAC0ALQBcAG4AKgAvAFwAbgBcAG4AVgBFAEUAUgBHAF8AMwBfADIAXwAxAF8AMQBfAF8AMQBfAFQAbwB0AGEAbABBAG4AbgB1AGEAbABNAGUAdABoAGEAbgBlAEYAcgBvAG0ARQBuAHQAZQByAGkAYwBGAGUAcgBtAGUAbgB0AGEAdABpAG8AbgBcAG4AIAAgAD0ATABBAE0AQgBEAEEAKABcAG4AIAAgACAAIABEAF8AagAsACAATQBfAGoAawBsACwAIABOAF8AagBrAGwALABcAG4AIAAgACAAIAAoAEQAXwBqACAAKgAgAE0AXwBqAGsAbAAgACoAIABOAF8AagBrAGwAKQAgACoAIAAxADAAIABeACAALQAzAFwAbgAgACAAKQA7AFwAbgBcAG4AVgBFAEUAUgBHAF8AMwBfADIAXwAxAF8AMQBfAF8AMQBfAFQAbwB0AGEAbABBAG4AbgB1AGEAbABNAGUAdABoAGEAbgBlAEYAcgBvAG0ARQBuAHQAZQByAGkAYwBGAGUAcgBtAGUAbgB0AGEAdABpAG8AbgBfAFQAaQB0AGwAZQBcAG4AIAAgAD0ATABBAE0AQgBEAEEAKABcACIAVABvAHQAYQBsACAAYQBuAG4AdQBhAGwAIABtAGUAdABoAGEAbgBlACAAcAByAG8AZAB1AGMAdABpAG8AbgAgAGYAcgBvAG0AIABlAG4AdABlAHIAaQBjACAAZgBlAHIAbQBlAG4AdABhAHQAaQBvAG4AIABpAG4AIABnAHIAYQB6AGkAbgBnACAAYgBlAGUAZgAgAGMAYQB0AHQAbABlAFwAIgApADsAXABuAFwAbgBWAEUARQBSAEcAXwAzAF8AMgBfADEAXwAxAF8AXwAxAF8AVABvAHQAYQBsAEEAbgBuAHUAYQBsAE0AZQB0AGgAYQBuAGUARgByAG8AbQBFAG4AdABlAHIAaQBjAEYAZQByAG0AZQBuAHQAYQB0AGkAbwBuAF8AVgBhAHIAaQBhAGIAbABlAFwAbgAgACAAPQBMAEEATQBCAEQAQQAoAFwAIgBFAF8AZQBuAHQAZQByAGkAYwBcACIAKQA7AFwAbgBcAG4AVgBFAEUAUgBHAF8AMwBfADIAXwAxAF8AMQBfAF8AMQBfAFQAbwB0AGEAbABBAG4AbgB1AGEAbABNAGUAdABoAGEAbgBlAEYAcgBvAG0ARQBuAHQAZQByAGkAYwBGAGUAcgBtAGUAbgB0AGEAdABpAG8AbgBfAFUAbgBpAHQAXABuACAAIAA9AEwAQQBNAEIARABBACgAXAAiAHQAIABDAEgANABcACIAKQA7AFwAbgBcAG4AVgBFAEUAUgBHAF8AMwBfADIAXwAxAF8AMQBfAF8AMQBfAFQAbwB0AGEAbABBAG4AbgB1AGEAbABNAGUAdABoAGEAbgBlAEYAcgBvAG0ARQBuAHQAZQByAGkAYwBGAGUAcgBtAGUAbgB0AGEAdABpAG8AbgBfAFMAbwB1AHIAYwBlAFwAbgAgACAAPQBMAEEATQBCAEQAQQAoAFwAIgBWAEUARQBSAEcAIAAyADAAMgA2ADoAIAAzAC4AMgAuADEALgAxACwAIABFAHEAdQBhAHQAaQBvAG4AIAAoADEAKQBcACIAKQA7AFwAbgBcAG4AVgBFAEUAUgBHAF8AMwBfADIAXwAxAF8AMQBfAF8AMQBfAFQAbwB0AGEAbABBAG4AbgB1AGEAbABNAGUAdABoAGEAbgBlAEYAcgBvAG0ARQBuAHQAZQByAGkAYwBGAGUAcgBtAGUAbgB0AGEAdABpAG8AbgBfAE4ASQBSAFIAZQBmAGUAcgBlAG4AYwBlAFwAbgAgACAAPQBMAEEATQBCAEQAQQAoAFwAIgBcACIAKQA7AFwAbgBcAG4AVgBFAEUAUgBHAF8AMwBfADIAXwAxAF8AMQBfAF8AMQBfAFQAbwB0AGEAbABBAG4AbgB1AGEAbABNAGUAdABoAGEAbgBlAEYAcgBvAG0ARQBuAHQAZQByAGkAYwBGAGUAcgBtAGUAbgB0AGEAdABpAG8AbgBfAEwAYQB0AGUAeABFAHEAdQBhAHQAaQBvAG4AXABuACAAIAA9AEwAQQBNAEIARABBACgAXAAiAEUAXwB7AGUAbgB0AGUAcgBpAGMAfQA9AFwAXABzAHUAbQBfAHsAagB9AFwAXABzAHUAbQBfAHsAawB9AFwAXABzAHUAbQBfAHsAbAB9ACgARABfAGoAXABcAHQAaQBtAGUAcwAgAE0AXwB7AGoAawBsAH0AXABcAHQAaQBtAGUAcwAgAE4AXwB7AGoAawBsAH0AKQBcAFwAdABpAG0AZQBzACAAMQAwAF4AewAtADMAfQBcACIAKQA7AFwAbgBcAG4AVgBFAEUAUgBHAF8AMwBfADIAXwAxAF8AMQBfAF8AMQBfAFQAbwB0AGEAbABBAG4AbgB1AGEAbABNAGUAdABoAGEAbgBlAEYAcgBvAG0ARQBuAHQAZQByAGkAYwBGAGUAcgBtAGUAbgB0AGEAdABpAG8AbgBfAEEAcgBnAHUAbQBlAG4AdABzAFwAbgAgACAAPQBMAEEATQBCAEQAQQAoAFwAbgAgACAAIAAgAE0AQQBLAEUAQQBSAFIAQQBZACgAMwAsACAAMgAsAFwAbgAgACAAIAAgACAAIABMAEEATQBCAEQAQQAoAHIALABjACwAXABuACAAIAAgACAAIAAgACAAIABJAE4ARABFAFgAKAB7AFwAbgAgACAAIAAgACAAIAAgACAAIAAgAFwAIgBEAF8AagBcACIALAAgAFwAIgBuAHUAbQBiAGUAcgAgAG8AZgAgAGQAYQB5AHMAIAB0AGgAZQAgAGEAbgBpAG0AYQBsACAAaQBzACAAbwBuACAAdABoAGUAIABmAGEAcgBtACAAaQBuACAAZQBhAGMAaAAgAHQAaQBtAGUALQBwAGUAcgBpAG8AZAAgACgAZABhAHkAcwApAFwAIgA7AFwAbgAgACAAIAAgACAAIAAgACAAIAAgAFwAIgBNAF8AagBrAGwAXAAiACwAIABcACIAZABhAGkAbAB5ACAAcAByAG8AZAB1AGMAdABpAG8AbgAgAG8AZgAgAGUAbgB0AGUAcgBpAGMAIABtAGUAdABoAGEAbgBlACAAaQBuACAAZQBhAGMAaAAgAHQAaQBtAGUALQBwAGUAcgBpAG8AZAAsACAAYwBsAGEAcwBzACAAYQBuAGQAIABzAHUAYgBjAGwAYQBzAHMAIAAoAGsAZwAgAEMASAA0AC8AaABlAGEAZAAvAGQAYQB5ACkAXAAiADsAXABuACAAIAAgACAAIAAgACAAIAAgACAAXAAiAE4AXwBqAGsAbABcACIALAAgAFwAIgBuAHUAbQBiAGUAcgAgAG8AZgAgAGIAZQBlAGYAIABjAGEAdAB0AGwAZQAgAGkAbgAgAGUAYQBjAGgAIAB0AGkAbQBlAC0AcABlAHIAaQBvAGQALAAgAGMAbABhAHMAcwAgAGEAbgBkACAAcwB1AGIAYwBsAGEAcwBzACAAKABoAGUAYQBkACkAXAAiAFwAbgAgACAAIAAgACAAIAAgACAAfQAsACAAcgAsACAAYwApAFwAbgAgACAAIAAgACAAIAApAFwAbgAgACAAIAAgACkAXABuACAAIAApADsAXABuAFwAbgAvACoAXABuAC0ALQAtAC0ALQAtAC0ALQAtAC0ALQAtAC0ALQAtAC0ALQAtAC0ALQAtAC0ALQAtAC0ALQAtAC0ALQAtAC0ALQAtAC0ALQAtAC0ALQBcAG4AVgBFAEUAUgBHAF8AMwBfADIAXwAxAF8AMQBfAF8AMgBfAEQAYQBpAGwAeQBFAG4AdABlAHIAaQBjAE0AZQB0AGgAYQBuAGUAUAByAG8AZAB1AGMAdABpAG8AbgBcAG4ARABhAGkAbAB5ACAAcAByAG8AZAB1AGMAdABpAG8AbgAgAG8AZgAgAGUAbgB0AGUAcgBpAGMAIABtAGUAdABoAGEAbgBlAFwAbgBNAF8AagBrAGwAXABuAGsAZwAgAEMASAA0AC8AaABlAGEAZAAvAGQAYQB5AFwAbgBNAF8AewBqAGsAbAB9AD0AMgAwAC4ANwBcAFwAdABpAG0AZQBzACAASQBfAHsAagBrAGwAfQBcAFwAdABpAG0AZQBzACAAMQAwAF4AewAtADMAfQBcAG4ASQBfAGoAawBsACAAPQAgAGQAcgB5ACAAbQBhAHQAdABlAHIAIABpAG4AdABhAGsAZQAgACgAawBnACAARABNAC8AaABlAGEAZAAvAGQAYQB5ACkAXABuAC0ALQAtAC0ALQAtAC0ALQAtAC0ALQAtAC0ALQAtAC0ALQAtAC0ALQAtAC0ALQAtAC0ALQAtAC0ALQAtAC0ALQAtAC0ALQAtAC0ALQBcAG4AKgAvAFwAbgBcAG4AVgBFAEUAUgBHAF8AMwBfADIAXwAxAF8AMQBfAF8AMgBfAEQAYQBpAGwAeQBFAG4AdABlAHIAaQBjAE0AZQB0AGgAYQBuAGUAUAByAG8AZAB1AGMAdABpAG8AbgBcAG4AIAAgAD0ATABBAE0AQgBEAEEAKABcAG4AIAAgACAAIABJAF8AagBrAGwALABcAG4AIAAgACAAIAAyADAALgA3ACAAKgAgAEkAXwBqAGsAbAAgACoAIAAxADAAIABeACAALQAzAFwAbgAgACAAKQA7AFwAbgBcAG4AVgBFAEUAUgBHAF8AMwBfADIAXwAxAF8AMQBfAF8AMgBfAEQAYQBpAGwAeQBFAG4AdABlAHIAaQBjAE0AZQB0AGgAYQBuAGUAUAByAG8AZAB1AGMAdABpAG8AbgBfAFQAaQB0AGwAZQBcAG4AIAAgAD0ATABBAE0AQgBEAEEAKABcACIARABhAGkAbAB5ACAAcAByAG8AZAB1AGMAdABpAG8AbgAgAG8AZgAgAGUAbgB0AGUAcgBpAGMAIABtAGUAdABoAGEAbgBlAFwAIgApADsAXABuAFwAbgBWAEUARQBSAEcAXwAzAF8AMgBfADEAXwAxAF8AXwAyAF8ARABhAGkAbAB5AEUAbgB0AGUAcgBpAGMATQBlAHQAaABhAG4AZQBQAHIAbwBkAHUAYwB0AGkAbwBuAF8AVgBhAHIAaQBhAGIAbABlAFwAbgAgACAAPQBMAEEATQBCAEQAQQAoAFwAIgBNAF8AagBrAGwAXAAiACkAOwBcAG4AXABuAFYARQBFAFIARwBfADMAXwAyAF8AMQBfADEAXwBfADIAXwBEAGEAaQBsAHkARQBuAHQAZQByAGkAYwBNAGUAdABoAGEAbgBlAFAAcgBvAGQAdQBjAHQAaQBvAG4AXwBVAG4AaQB0AFwAbgAgACAAPQBMAEEATQBCAEQAQQAoAFwAIgBrAGcAIABDAEgANAAvAGgAZQBhAGQALwBkAGEAeQBcACIAKQA7AFwAbgBcAG4AVgBFAEUAUgBHAF8AMwBfADIAXwAxAF8AMQBfAF8AMgBfAEQAYQBpAGwAeQBFAG4AdABlAHIAaQBjAE0AZQB0AGgAYQBuAGUAUAByAG8AZAB1AGMAdABpAG8AbgBfAFMAbwB1AHIAYwBlAFwAbgAgACAAPQBMAEEATQBCAEQAQQAoAFwAIgBWAEUARQBSAEcAIAAyADAAMgA2ADoAIAAzAC4AMgAuADEALgAxACwAIABFAHEAdQBhAHQAaQBvAG4AIAAoADIAKQBcACIAKQA7AFwAbgBcAG4AVgBFAEUAUgBHAF8AMwBfADIAXwAxAF8AMQBfAF8AMgBfAEQAYQBpAGwAeQBFAG4AdABlAHIAaQBjAE0AZQB0AGgAYQBuAGUAUAByAG8AZAB1AGMAdABpAG8AbgBfAE4ASQBSAFIAZQBmAGUAcgBlAG4AYwBlAFwAbgAgACAAPQBMAEEATQBCAEQAQQAoAFwAIgBDAGgAYQByAG0AbABlAHkAIABlAHQAIABhAGwALgAgACgAMgAwADEANQApAFwAIgApADsAXABuAFwAbgBWAEUARQBSAEcAXwAzAF8AMgBfADEAXwAxAF8AXwAyAF8ARABhAGkAbAB5AEUAbgB0AGUAcgBpAGMATQBlAHQAaABhAG4AZQBQAHIAbwBkAHUAYwB0AGkAbwBuAF8ATABhAHQAZQB4AEUAcQB1AGEAdABpAG8AbgBcAG4AIAAgAD0ATABBAE0AQgBEAEEAKABcACIATQBfAHsAagBrAGwAfQA9ADIAMAAuADcAXABcAHQAaQBtAGUAcwAgAEkAXwB7AGoAawBsAH0AXABcAHQAaQBtAGUAcwAgADEAMABeAHsALQAzAH0AXAAiACkAOwBcAG4AXABuAFYARQBFAFIARwBfADMAXwAyAF8AMQBfADEAXwBfADIAXwBEAGEAaQBsAHkARQBuAHQAZQByAGkAYwBNAGUAdABoAGEAbgBlAFAAcgBvAGQAdQBjAHQAaQBvAG4AXwBBAHIAZwB1AG0AZQBuAHQAcwBcAG4AIAAgAD0ATABBAE0AQgBEAEEAKABcAG4AIAAgACAAIABNAEEASwBFAEEAUgBSAEEAWQAoADEALAAgADIALABcAG4AIAAgACAAIAAgACAATABBAE0AQgBEAEEAKAByACwAYwAsAFwAbgAgACAAIAAgACAAIAAgACAASQBOAEQARQBYACgAewBcAG4AIAAgACAAIAAgACAAIAAgACAAIABcACIASQBfAGoAawBsAFwAIgAsACAAXAAiAGQAcgB5ACAAbQBhAHQAdABlAHIAIABpAG4AdABhAGsAZQAgACgAawBnACAARABNAC8AaABlAGEAZAAvAGQAYQB5ACkAXAAiAFwAbgAgACAAIAAgACAAIAAgACAAfQAsACAAcgAsACAAYwApAFwAbgAgACAAIAAgACAAIAApAFwAbgAgACAAIAAgACkAXABuACAAIAApADsAXABuAFwAbgAvACoAXABuAC0ALQAtAC0ALQAtAC0ALQAtAC0ALQAtAC0ALQAtAC0ALQAtAC0ALQAtAC0ALQAtAC0ALQAtAC0ALQAtAC0ALQAtAC0ALQAtAC0ALQBcAG4AVgBFAEUAUgBHAF8AMwBfADIAXwAxAF8AMQBfAF8AMwBfAEYAZQBlAGQASQBuAHQAYQBrAGUARgBvAHIARwByAGEAegBpAG4AZwBCAGUAZQBmAFwAbgBGAGUAZQBkACAAaQBuAHQAYQBrAGUAIABmAG8AcgAgAGcAcgBhAHoAaQBuAGcAIABiAGUAZQBmACAAYwBhAHQAdABsAGUAXABuAEkAXwBqAGsAbABcAG4AawBnACAARABNAC8AaABlAGEAZAAvAGQAYQB5AFwAbgBJAF8AewBqAGsAbAB9AD0AKAAxAC4AMQA4ADUAKwAwAC4AMAAwADQANQA0AFwAXAB0AGkAbQBlAHMAIABXAF8AewBqAGsAbAB9AC0AMAAuADAAMAAwADAAMAAyADYAXABcAHQAaQBtAGUAcwAgAFcAXwB7AGoAawBsAH0AXgB7ADIAfQArADAALgAzADEANQBcAFwAdABpAG0AZQBzACAATABXAEcAXwB7AGoAawBsAH0AKQBeADIAXABcAHQAaQBtAGUAcwAgAE0AQQBfAHsAagBrAD0ANAAsADUAfQBcAG4AVwBfAGoAawBsACAAPQAgAGwAaQB2AGUAdwBlAGkAZwBoAHQAIAAoAGsAZwApAFwAbgBMAFcARwBfAGoAawBsACAAPQAgAGwAaQB2AGUAIAB3AGUAaQBnAGgAdAAgAGcAYQBpAG4AIAAoAGsAZwAvAGgAZQBhAGQALwBkAGEAeQApAFwAbgBNAEEAXwBqAGsANAA1ACAAPQAgAGEAZABkAGkAdABpAG8AbgBhAGwAIABpAG4AdABhAGsAZQAgAGYAbwByACAAbQBpAGwAawAgAHAAcgBvAGQAdQBjAHQAaQBvAG4AIABpAG4AIABjAG8AdwBzACAAZwByAGUAYQB0AGUAcgAgAHQAaABhAG4AIAAyACAAeQBlAGEAcgBzACAAKABrAGcALwBoAGUAYQBkAC8AZABhAHkAKQBcAG4ALQAtAC0ALQAtAC0ALQAtAC0ALQAtAC0ALQAtAC0ALQAtAC0ALQAtAC0ALQAtAC0ALQAtAC0ALQAtAC0ALQAtAC0ALQAtAC0ALQAtAFwAbgAqAC8AXABuAFwAbgBWAEUARQBSAEcAXwAzAF8AMgBfADEAXwAxAF8AXwAzAF8ARgBlAGUAZABJAG4AdABhAGsAZQBGAG8AcgBHAHIAYQB6AGkAbgBnAEIAZQBlAGYAXABuACAAIAA9AEwAQQBNAEIARABBACgAXABuACAAIAAgACAAVwBfAGoAawBsACwAIABMAFcARwBfAGoAawBsACwAIABNAEEAXwBqAGsANAA1ACwAXABuACAAIAAgACAAKAAxAC4AMQA4ADUAIAArACAAMAAuADAAMAA0ADUANAAgACoAIABXAF8AagBrAGwAIAAtACAAMAAuADAAMAAwADAAMAAyADYAIAAqACAAVwBfAGoAawBsACAAXgAgADIAIAArACAAMAAuADMAMQA1ACAAKgAgAEwAVwBHAF8AagBrAGwAKQAgAF4AIAAyACAAKgAgAE0AQQBfAGoAawA0ADUAXABuACAAIAApADsAXABuAFwAbgBWAEUARQBSAEcAXwAzAF8AMgBfADEAXwAxAF8AXwAzAF8ARgBlAGUAZABJAG4AdABhAGsAZQBGAG8AcgBHAHIAYQB6AGkAbgBnAEIAZQBlAGYAXwBUAGkAdABsAGUAXABuACAAIAA9AEwAQQBNAEIARABBACgAXAAiAEYAZQBlAGQAIABpAG4AdABhAGsAZQAgAGYAbwByACAAZwByAGEAegBpAG4AZwAgAGIAZQBlAGYAIABjAGEAdAB0AGwAZQBcACIAKQA7AFwAbgBcAG4AVgBFAEUAUgBHAF8AMwBfADIAXwAxAF8AMQBfAF8AMwBfAEYAZQBlAGQASQBuAHQAYQBrAGUARgBvAHIARwByAGEAegBpAG4AZwBCAGUAZQBmAF8AVgBhAHIAaQBhAGIAbABlAFwAbgAgACAAPQBMAEEATQBCAEQAQQAoAFwAIgBJAF8AagBrAGwAXAAiACkAOwBcAG4AXABuAFYARQBFAFIARwBfADMAXwAyAF8AMQBfADEAXwBfADMAXwBGAGUAZQBkAEkAbgB0AGEAawBlAEYAbwByAEcAcgBhAHoAaQBuAGcAQgBlAGUAZgBfAFUAbgBpAHQAXABuACAAIAA9AEwAQQBNAEIARABBACgAXAAiAGsAZwAgAEQATQAvAGgAZQBhAGQALwBkAGEAeQBcACIAKQA7AFwAbgBcAG4AVgBFAEUAUgBHAF8AMwBfADIAXwAxAF8AMQBfAF8AMwBfAEYAZQBlAGQASQBuAHQAYQBrAGUARgBvAHIARwByAGEAegBpAG4AZwBCAGUAZQBmAF8AUwBvAHUAcgBjAGUAXABuACAAIAA9AEwAQQBNAEIARABBACgAXAAiAFYARQBFAFIARwAgADIAMAAyADYAOgAgADMALgAyAC4AMQAuADEALAAgAEUAcQB1AGEAdABpAG8AbgAgACgAMwApAFwAIgApADsAXABuAFwAbgBWAEUARQBSAEcAXwAzAF8AMgBfADEAXwAxAF8AXwAzAF8ARgBlAGUAZABJAG4AdABhAGsAZQBGAG8AcgBHAHIAYQB6AGkAbgBnAEIAZQBlAGYAXwBOAEkAUgBSAGUAZgBlAHIAZQBuAGMAZQBcAG4AIAAgAD0ATABBAE0AQgBEAEEAKABcACIATQBpAG4AcwBvAG4AIABhAG4AZAAgAE0AYwBEAG8AbgBhAGwAZAAgACgAMQA5ADgANwApAFwAIgApADsAXABuAFwAbgBWAEUARQBSAEcAXwAzAF8AMgBfADEAXwAxAF8AXwAzAF8ARgBlAGUAZABJAG4AdABhAGsAZQBGAG8AcgBHAHIAYQB6AGkAbgBnAEIAZQBlAGYAXwBMAGEAdABlAHgARQBxAHUAYQB0AGkAbwBuAFwAbgAgACAAPQBMAEEATQBCAEQAQQAoAFwAIgBJAF8AewBqAGsAbAB9AD0AKAAxAC4AMQA4ADUAKwAwAC4AMAAwADQANQA0AFwAXAB0AGkAbQBlAHMAIABXAF8AewBqAGsAbAB9AC0AMAAuADAAMAAwADAAMAAyADYAXABcAHQAaQBtAGUAcwAgAFcAXwB7AGoAawBsAH0AXgB7ADIAfQArADAALgAzADEANQBcAFwAdABpAG0AZQBzACAATABXAEcAXwB7AGoAawBsAH0AKQBeADIAXABcAHQAaQBtAGUAcwAgAE0AQQBfAHsAagBrAD0ANAAsADUAfQBcACIAKQA7AFwAbgBcAG4AVgBFAEUAUgBHAF8AMwBfADIAXwAxAF8AMQBfAF8AMwBfAEYAZQBlAGQASQBuAHQAYQBrAGUARgBvAHIARwByAGEAegBpAG4AZwBCAGUAZQBmAF8AQQByAGcAdQBtAGUAbgB0AHMAXABuACAAIAA9AEwAQQBNAEIARABBACgAXABuACAAIAAgACAATQBBAEsARQBBAFIAUgBBAFkAKAAzACwAIAAyACwAXABuACAAIAAgACAAIAAgAEwAQQBNAEIARABBACgAcgAsAGMALABcAG4AIAAgACAAIAAgACAAIAAgAEkATgBEAEUAWAAoAHsAXABuACAAIAAgACAAIAAgACAAIAAgACAAXAAiAFcAXwBqAGsAbABcACIALAAgAFwAIgBsAGkAdgBlAHcAZQBpAGcAaAB0ACAAKABrAGcAKQBcACIAOwBcAG4AIAAgACAAIAAgACAAIAAgACAAIABcACIATABXAEcAXwBqAGsAbABcACIALAAgAFwAIgBsAGkAdgBlACAAdwBlAGkAZwBoAHQAIABnAGEAaQBuACAAKABrAGcALwBoAGUAYQBkAC8AZABhAHkAKQBcACIAOwBcAG4AIAAgACAAIAAgACAAIAAgACAAIABcACIATQBBAF8AagBrADQANQBcACIALAAgAFwAIgBhAGQAZABpAHQAaQBvAG4AYQBsACAAaQBuAHQAYQBrAGUAIABmAG8AcgAgAG0AaQBsAGsAIABwAHIAbwBkAHUAYwB0AGkAbwBuACAAaQBuACAAYwBvAHcAcwAgAGcAcgBlAGEAdABlAHIAIAB0AGgAYQBuACAAMgAgAHkAZQBhAHIAcwAgACgAawBnAC8AaABlAGEAZAAvAGQAYQB5ACkAXAAiAFwAbgAgACAAIAAgACAAIAAgACAAfQAsACAAcgAsACAAYwApAFwAbgAgACAAIAAgACAAIAApAFwAbgAgACAAIAAgACkAXABuACAAIAApADsAXABuAFwAbgAvACoAXABuAC0ALQAtAC0ALQAtAC0ALQAtAC0ALQAtAC0ALQAtAC0ALQAtAC0ALQAtAC0ALQAtAC0ALQAtAC0ALQAtAC0ALQAtAC0ALQAtAC0ALQBcAG4AVgBFAEUAUgBHAF8AMwBfADIAXwAxAF8AMQBfAF8ANABfAEEAZABkAGkAdABpAG8AbgBhAGwASQBuAHQAYQBrAGUARgBvAHIATQBpAGwAawBQAHIAbwBkAHUAYwB0AGkAbwBuAFwAbgBBAGQAZABpAHQAaQBvAG4AYQBsACAAaQBuAHQAYQBrAGUAIABmAG8AcgAgAG0AaQBsAGsAIABwAHIAbwBkAHUAYwB0AGkAbwBuACAAaQBuACAAdABoAGUAIABzAGUAYQBzAG8AbgAgAG8AZgAgAGMAYQBsAHYAaQBuAGcAIABhAG4AZAAgAHQAaABlACAAcwBlAGEAcwBvAG4AIABhAGYAdABlAHIAIABjAGEAbAB2AGkAbgBnAFwAbgBNAEEAXwBqAGsANAA1AFwAbgBmAHIAYQBjAHQAaQBvAG4AXABuAE0AQQBfAHsAagBrAD0ANAAsADUAfQA9ACgATABDAF8AewBqAGsAPQA0ACwANQB9AFwAXAB0AGkAbQBlAHMAIABGAEEAXwB7AGoAawA9ADQALAA1AH0AKQArACgAMQAtAEwAQwBfAHsAagBrAD0ANAAsADUAfQApAFwAbgBMAEMAXwBqAGsANAA1ACAAPQAgAHAAcgBvAHAAbwByAHQAaQBvAG4AIABvAGYAIABjAG8AdwBzACAAZwByAGUAYQB0AGUAcgAgAHQAaABhAG4AIAAxACAAeQBlAGEAcgAgAGkAbgAgAGMAYQBsAGYAIABpAG4AIAB0AGgAZQAgAHMAZQBhAHMAbwBuACAAbwBmACAAYwBhAGwAdgBpAG4AZwAgAGUAeABwAHIAZQBzAHMAZQBkACAAYQBzACAAYQAgAGYAcgBhAGMAdABpAG8AbgBcAG4ARgBBAF8AagBrADQANQAgAD0AIABmAGUAZQBkACAAYQBkAGoAdQBzAHQAbQBlAG4AdAAgAHYAYQBsAHUAZQAgAGYAbwByACAAbABhAGMAdABhAHQAaQBuAGcAIABjAG8AdwBzACAAaQBuACAAdABoAGUAIABzAGUAYQBzAG8AbgAgAG8AZgAgAGMAYQBsAHYAaQBuAGcAIABhAG4AZAAgAHQAaABlACAAcwBlAGEAcwBvAG4AIABpAG0AbQBlAGQAaQBhAHQAZQBsAHkAIABhAGYAdABlAHIAIABjAGEAbAB2AGkAbgBnACAAZQB4AHAAcgBlAHMAcwBlAGQAIABhAHMAIABhACAAZgByAGEAYwB0AGkAbwBuAFwAbgAtAC0ALQAtAC0ALQAtAC0ALQAtAC0ALQAtAC0ALQAtAC0ALQAtAC0ALQAtAC0ALQAtAC0ALQAtAC0ALQAtAC0ALQAtAC0ALQAtAC0AXABuACoALwBcAG4AXABuAFYARQBFAFIARwBfADMAXwAyAF8AMQBfADEAXwBfADQAXwBBAGQAZABpAHQAaQBvAG4AYQBsAEkAbgB0AGEAawBlAEYAbwByAE0AaQBsAGsAUAByAG8AZAB1AGMAdABpAG8AbgBcAG4AIAAgAD0ATABBAE0AQgBEAEEAKABcAG4AIAAgACAAIABMAEMAXwBqAGsANAA1ACwAIABGAEEAXwBqAGsANAA1ACwAXABuACAAIAAgACAAKABMAEMAXwBqAGsANAA1ACAAKgAgAEYAQQBfAGoAawA0ADUAKQAgACsAIAAoADEAIAAtACAATABDAF8AagBrADQANQApAFwAbgAgACAAKQA7AFwAbgBcAG4AXABuAFYARQBFAFIARwBfADMAXwAyAF8AMQBfADEAXwBfADQAXwBBAGQAZABpAHQAaQBvAG4AYQBsAEkAbgB0AGEAawBlAEYAbwByAE0AaQBsAGsAUAByAG8AZAB1AGMAdABpAG8AbgBWAGEAcgBpAGEAdABpAG8AbgBcAG4AIAAgAD0ATABBAE0AQgBEAEEAKABcAG4AIAAgACAAIABMAEMAXwBqAGsANAA1AGMAdQByAHIALAAgAEwAQwBfAGoAawA0ADUAcAByAGUAdgAsACAARgBBAF8AagBrADQANQBjAGEAbAB2ACwAIABGAEEAXwBqAGsANAA1AGEAZgB0AGUAcgAsAFwAbgAgACAAIAAgACgAKABMAEMAXwBqAGsANAA1AGMAdQByAHIAIAAqACAARgBBAF8AagBrADQANQBjAGEAbAB2ACkAIAArACAAKABMAEMAXwBqAGsANAA1AHAAcgBlAHYAIAAqACAARgBBAF8AagBrADQANQBhAGYAdABlAHIAKQApACAAKwAgACgAMQAgAC0AIAAoAEwAQwBfAGoAawA0ADUAYwB1AHIAcgAgACsAIABMAEMAXwBqAGsANAA1AHAAcgBlAHYAKQApAFwAbgAgACAAKQA7AFwAbgBcAG4AVgBFAEUAUgBHAF8AMwBfADIAXwAxAF8AMQBfAF8ANABfAEEAZABkAGkAdABpAG8AbgBhAGwASQBuAHQAYQBrAGUARgBvAHIATQBpAGwAawBQAHIAbwBkAHUAYwB0AGkAbwBuAF8AVABpAHQAbABlAFwAbgAgACAAPQBMAEEATQBCAEQAQQAoAFwAIgBBAGQAZABpAHQAaQBvAG4AYQBsACAAaQBuAHQAYQBrAGUAIABmAG8AcgAgAG0AaQBsAGsAIABwAHIAbwBkAHUAYwB0AGkAbwBuACAAaQBuACAAdABoAGUAIABzAGUAYQBzAG8AbgAgAG8AZgAgAGMAYQBsAHYAaQBuAGcAIABhAG4AZAAgAHQAaABlACAAcwBlAGEAcwBvAG4AIABhAGYAdABlAHIAIABjAGEAbAB2AGkAbgBnAFwAIgApADsAXABuAFwAbgBWAEUARQBSAEcAXwAzAF8AMgBfADEAXwAxAF8AXwA0AF8AQQBkAGQAaQB0AGkAbwBuAGEAbABJAG4AdABhAGsAZQBGAG8AcgBNAGkAbABrAFAAcgBvAGQAdQBjAHQAaQBvAG4AXwBWAGEAcgBpAGEAYgBsAGUAXABuACAAIAA9AEwAQQBNAEIARABBACgAXAAiAE0AQQBfAGoAawA0ADUAXAAiACkAOwBcAG4AXABuAFYARQBFAFIARwBfADMAXwAyAF8AMQBfADEAXwBfADQAXwBBAGQAZABpAHQAaQBvAG4AYQBsAEkAbgB0AGEAawBlAEYAbwByAE0AaQBsAGsAUAByAG8AZAB1AGMAdABpAG8AbgBfAFUAbgBpAHQAXABuACAAIAA9AEwAQQBNAEIARABBACgAXAAiAGYAcgBhAGMAdABpAG8AbgBcACIAKQA7AFwAbgBcAG4AVgBFAEUAUgBHAF8AMwBfADIAXwAxAF8AMQBfAF8ANABfAEEAZABkAGkAdABpAG8AbgBhAGwASQBuAHQAYQBrAGUARgBvAHIATQBpAGwAawBQAHIAbwBkAHUAYwB0AGkAbwBuAF8AUwBvAHUAcgBjAGUAXABuACAAIAA9AEwAQQBNAEIARABBACgAXAAiAFYARQBFAFIARwAgADIAMAAyADYAOgAgADMALgAyAC4AMQAuADEALAAgAEUAcQB1AGEAdABpAG8AbgAgACgANAApAFwAIgApADsAXABuAFwAbgBWAEUARQBSAEcAXwAzAF8AMgBfADEAXwAxAF8AXwA0AF8AQQBkAGQAaQB0AGkAbwBuAGEAbABJAG4AdABhAGsAZQBGAG8AcgBNAGkAbABrAFAAcgBvAGQAdQBjAHQAaQBvAG4AXwBOAEkAUgBSAGUAZgBlAHIAZQBuAGMAZQBcAG4AIAAgAD0ATABBAE0AQgBEAEEAKABcACIAXAAiACkAOwBcAG4AXABuAFYARQBFAFIARwBfADMAXwAyAF8AMQBfADEAXwBfADQAXwBBAGQAZABpAHQAaQBvAG4AYQBsAEkAbgB0AGEAawBlAEYAbwByAE0AaQBsAGsAUAByAG8AZAB1AGMAdABpAG8AbgBfAEwAYQB0AGUAeABFAHEAdQBhAHQAaQBvAG4AXABuACAAIAA9AEwAQQBNAEIARABBACgAXAAiAE0AQQBfAHsAagBrAD0ANAAsADUAfQA9ACgATABDAF8AewBqAGsAPQA0ACwANQB9AFwAXAB0AGkAbQBlAHMAIABGAEEAXwB7AGoAawA9ADQALAA1AH0AKQArACgAMQAtAEwAQwBfAHsAagBrAD0ANAAsADUAfQApAFwAIgApADsAXABuAFwAbgBWAEUARQBSAEcAXwAzAF8AMgBfADEAXwAxAF8AXwA0AF8AQQBkAGQAaQB0AGkAbwBuAGEAbABJAG4AdABhAGsAZQBGAG8AcgBNAGkAbABrAFAAcgBvAGQAdQBjAHQAaQBvAG4AXwBMAGEAdABlAHgARQBxAHUAYQB0AGkAbwBuAFYAYQByAGkAYQB0AGkAbwBuAFwAbgAgACAAPQBMAEEATQBCAEQAQQAoAFwAIgBNAEEAXwB7AGoAawA9ADQALAA1AH0APQAoACgATABDAF8AewBqAGsAPQA0ACwANQAsAGMAdQByAHIAfQBcAFwAdABpAG0AZQBzACAARgBBAF8AewBqAGsAPQA0ACwANQAsAGMAYQBsAHYAfQApACsAKABMAEMAXwB7AGoAawA9ADQALAA1ACwAcAByAGUAdgB9AFwAXAB0AGkAbQBlAHMAIABGAEEAXwB7AGoAawA9ADQALAA1ACwAYQBmAHQAZQByAH0AKQApACsAKAAxAC0AKABMAEMAXwB7AGoAawA9ADQALAA1ACwAYwB1AHIAcgB9ACsATABDAF8AewBqAGsAPQA0ACwANQAsAHAAcgBlAHYAfQApACkAXAAiACkAOwBcAG4AXABuAFYARQBFAFIARwBfADMAXwAyAF8AMQBfADEAXwBfADQAXwBBAGQAZABpAHQAaQBvAG4AYQBsAEkAbgB0AGEAawBlAEYAbwByAE0AaQBsAGsAUAByAG8AZAB1AGMAdABpAG8AbgBfAEEAcgBnAHUAbQBlAG4AdABzAFwAbgAgACAAPQBMAEEATQBCAEQAQQAoAFwAbgAgACAAIAAgAE0AQQBLAEUAQQBSAFIAQQBZACgAMwAsACAAMgAsAFwAbgAgACAAIAAgACAAIABMAEEATQBCAEQAQQAoAHIALABjACwAXABuACAAIAAgACAAIAAgACAAIABJAE4ARABFAFgAKAB7AFwAbgAgACAAIAAgACAAIAAgACAAIAAgAFwAIgBMAEMAXwBqAGsANAA1AFwAIgAsACAAXAAiAHAAcgBvAHAAbwByAHQAaQBvAG4AIABvAGYAIABjAG8AdwBzACAAZwByAGUAYQB0AGUAcgAgAHQAaABhAG4AIAAxACAAeQBlAGEAcgAgAGkAbgAgAGMAYQBsAGYAIABpAG4AIAB0AGgAZQAgAHMAZQBhAHMAbwBuACAAbwBmACAAYwBhAGwAdgBpAG4AZwAgAGUAeABwAHIAZQBzAHMAZQBkACAAYQBzACAAYQAgAGYAcgBhAGMAdABpAG8AbgBcACIAOwBcAG4AIAAgACAAIAAgACAAIAAgACAAIABcACIARgBBAF8AagBrADQANQBcACIALAAgAFwAIgBmAGUAZQBkACAAYQBkAGoAdQBzAHQAbQBlAG4AdAAgAHYAYQBsAHUAZQAgAGYAbwByACAAbABhAGMAdABhAHQAaQBuAGcAIABjAG8AdwBzACAAaQBuACAAdABoAGUAIABzAGUAYQBzAG8AbgAgAG8AZgAgAGMAYQBsAHYAaQBuAGcAIABhAG4AZAAgAHQAaABlACAAcwBlAGEAcwBvAG4AIABpAG0AbQBlAGQAaQBhAHQAZQBsAHkAIABhAGYAdABlAHIAIABjAGEAbAB2AGkAbgBnACAAZQB4AHAAcgBlAHMAcwBlAGQAIABhAHMAIABhACAAZgByAGEAYwB0AGkAbwBuAFwAIgA7AFwAbgAgACAAIAAgACAAIAAgACAAIAAgAFwAIgBiAFwAIgAsACAAXAAiAGIAcgBlAGUAZAAgAG8AZgAgAGMAYQB0AHQAbABlAFwAIgBcAG4AIAAgACAAIAAgACAAIAAgAH0ALAAgAHIALAAgAGMAKQBcAG4AIAAgACAAIAAgACAAKQBcAG4AIAAgACAAIAApAFwAbgAgACAAKQA7AFwAbgBcAG4AVgBFAEUAUgBHAF8AMwBfADIAXwAxAF8AMQBfAF8ANABfAEEAZABkAGkAdABpAG8AbgBhAGwASQBuAHQAYQBrAGUARgBvAHIATQBpAGwAawBQAHIAbwBkAHUAYwB0AGkAbwBuAF8AQQByAGcAdQBtAGUAbgB0AHMAVgBhAHIAaQBhAHQAaQBvAG4AXABuACAAIAA9AEwAQQBNAEIARABBACgAXABuACAAIAAgACAATQBBAEsARQBBAFIAUgBBAFkAKAA1ACwAIAAyACwAXABuACAAIAAgACAAIAAgAEwAQQBNAEIARABBACgAcgAsAGMALABcAG4AIAAgACAAIAAgACAAIAAgAEkATgBEAEUAWAAoAHsAXABuACAAIAAgACAAIAAgACAAIAAgACAAXAAiAEwAQwBfAGoAawA0ADUAYwB1AHIAcgBcACIALAAgAFwAIgBwAHIAbwBwAG8AcgB0AGkAbwBuACAAbwBmACAAYwBvAHcAcwAgAGcAcgBlAGEAdABlAHIAIAB0AGgAYQBuACAAMQAgAHkAZQBhAHIAIABpAG4AIABjAGEAbABmACAAaQBuACAAdABoAGUAIABzAGUAYQBzAG8AbgAgAG8AZgAgAGMAYQBsAHYAaQBuAGcAIABlAHgAcAByAGUAcwBzAGUAZAAgAGEAcwAgAGEAIABmAHIAYQBjAHQAaQBvAG4AXAAiADsAXABuACAAIAAgACAAIAAgACAAIAAgACAAXAAiAEwAQwBfAGoAawA0ADUAcAByAGUAdgBcACIALAAgAFwAIgBwAHIAbwBwAG8AcgB0AGkAbwBuACAAbwBmACAAYwBvAHcAcwAgAGcAcgBlAGEAdABlAHIAIAB0AGgAYQBuACAAMQAgAHkAZQBhAHIAIABpAG4AIABjAGEAbABmACAAaQBuACAAdABoAGUAIABwAHIAZQB2AGkAbwB1AHMAIABzAGUAYQBzAG8AbgAgAG8AZgAgAGMAYQBsAHYAaQBuAGcAIABlAHgAcAByAGUAcwBzAGUAZAAgAGEAcwAgAGEAIABmAHIAYQBjAHQAaQBvAG4AXAAiADsAXABuACAAIAAgACAAIAAgACAAIAAgACAAXAAiAEYAQQBfAGoAawA0ADUAYwBhAGwAdgBcACIALAAgAFwAIgBmAGUAZQBkACAAYQBkAGoAdQBzAHQAbQBlAG4AdAAgAHYAYQBsAHUAZQAgAGYAbwByACAAbABhAGMAdABhAHQAaQBuAGcAIABjAG8AdwBzACAAaQBuACAAdABoAGUAIABzAGUAYQBzAG8AbgAgAG8AZgAgAGMAYQBsAHYAaQBuAGcAIABlAHgAcAByAGUAcwBzAGUAZAAgAGEAcwAgAGEAIABmAHIAYQBjAHQAaQBvAG4AXAAiADsAXABuACAAIAAgACAAIAAgACAAIAAgACAAXAAiAEYAQQBfAGoAawA0ADUAYQBmAHQAZQByAFwAIgAsACAAXAAiAGYAZQBlAGQAIABhAGQAagB1AHMAdABtAGUAbgB0ACAAdgBhAGwAdQBlACAAZgBvAHIAIABsAGEAYwB0AGEAdABpAG4AZwAgAGMAbwB3AHMAIABpAG4AIAB0AGgAZQAgAHMAZQBhAHMAbwBuACAAaQBtAG0AZQBkAGkAYQB0AGUAbAB5ACAAYQBmAHQAZQByACAAYwBhAGwAdgBpAG4AZwAgAGUAeABwAHIAZQBzAHMAZQBkACAAYQBzACAAYQAgAGYAcgBhAGMAdABpAG8AbgBcACIAOwBcAG4AIAAgACAAIAAgACAAIAAgACAAIABcACIAYgBcACIALAAgAFwAIgBiAHIAZQBlAGQAIABvAGYAIABjAGEAdAB0AGwAZQBcACIAXABuACAAIAAgACAAIAAgACAAIAB9ACwAIAByACwAIABjACkAXABuACAAIAAgACAAIAAgACkAXABuACAAIAAgACAAKQBcAG4AIAAgACkAOwBcAG4AXABuAFYARQBFAFIARwBfADMAXwAyAF8AMQBfADEAXwBfADQAXwBBAGQAZABpAHQAaQBvAG4AYQBsAEkAbgB0AGEAawBlAEYAbwByAE0AaQBsAGsAUAByAG8AZAB1AGMAdABpAG8AbgBfAFYAYQByAGkAYQB0AGkAbwBuAFwAbgA9AEwAQQBNAEIARABBACgAXAAiAFYAQQBSAEkAQQBUAEkATwBOACAATwBOACAAUwBPAFUAUgBDAEUAOgAgAEUAeABwAGEAbgBkAGUAZAAgAGUAcQB1AGEAdABpAG8AbgAgAHQAbwAgAGEAYwBjAG8AdQBuAHQAIABmAG8AcgAgAHMAZQBhAHMAbwBuACAAYQBmAHQAZQByACAAYwBhAGwAdgBpAG4AZwAsACAAcgBhAHQAaABlAHIAIAB0AGgAYQBuACAAZABvAGkAbgBnACAAdABoAGUAIABzAGEAbQBlACAAZQBxAHUAYQB0AGkAbwBuACAAdAB3AGkAYwBlACAAZgBvAHIAIABiAG8AdABoACAAcwBlAGEAcwBvAG4AcwBcACIAKQBcAG4AIgB9ACwAewAiAHAAYQB0AGgAIgA6ACIALwBwAHIAbwBqAGUAYwB0AHMALwBTAG8AdQByAGMAZQBEAGEAdABhAF8AUABhAHMAdAB1AHIAZQBCAGUAZQBmACIALAAiAHQAZQB4AHQAIgA6ACIAXABuAC8AKgAgAFwAbgAtAC0ALQAtAC0ALQAtAC0ALQAtAC0ALQAtAC0ALQAtAC0ALQAtAC0ALQAtAC0ALQAtAC0ALQAtAC0ALQAtAC0ALQAtAC0ALQAtAC0AXABuAFMAbwB1AHIAYwBlAEQAYQB0AGEAXwBQAGEAcwB0AHUAcgBlAEIAZQBlAGYAXwBMAGkAdgBlAHcAZQBpAGcAaAB0AFwAbgBUAGEAYgBsAGUAIABBAC4AMQAuADIALgAxADoAIABCAGUAZQBmACAAcABhAHMAdAB1AHIAZQAgAGMAYQB0AHQAbABlACAALQAgAEwAaQB2AGUAdwBlAGkAZwBoAHQAIAAoAGsAZwApACAAKABXAGoAawBsACkAXABuAC0ALQAtAC0ALQAtAC0ALQAtAC0ALQAtAC0ALQAtAC0ALQAtAC0ALQAtAC0ALQAtAC0ALQAtAC0ALQAtAC0ALQAtAC0ALQAtAC0ALQBcAG4AKgAvAFwAbgBcAG4AUwBvAHUAcgBjAGUARABhAHQAYQBfAFAAYQBzAHQAdQByAGUAQgBlAGUAZgBfAEwAaQB2AGUAdwBlAGkAZwBoAHQAXwBUAGkAdABsAGUAXABuACAAIAA9AEwAQQBNAEIARABBACgAXAAiAEIAZQBlAGYAIABwAGEAcwB0AHUAcgBlACAAYwBhAHQAdABsAGUAIAAtACAATABpAHYAZQB3AGUAaQBnAGgAdAAgACgAawBnACkAIAAoAFcAagBrAGwAKQBcACIAKQA7AFwAbgBcAG4AUwBvAHUAcgBjAGUARABhAHQAYQBfAFAAYQBzAHQAdQByAGUAQgBlAGUAZgBfAEwAaQB2AGUAdwBlAGkAZwBoAHQAXwBWAGEAcgBpAGEAYgBsAGUAXABuACAAIAA9AEwAQQBNAEIARABBACgAXAAiAFcAagBrAGwAXAAiACkAOwBcAG4AXABuAFMAbwB1AHIAYwBlAEQAYQB0AGEAXwBQAGEAcwB0AHUAcgBlAEIAZQBlAGYAXwBMAGkAdgBlAHcAZQBpAGcAaAB0AF8AVQBuAGkAdABcAG4AIAAgAD0ATABBAE0AQgBEAEEAKABcACIAawBnAFwAIgApADsAXABuAFwAbgBTAG8AdQByAGMAZQBEAGEAdABhAF8AUABhAHMAdAB1AHIAZQBCAGUAZQBmAF8ATABpAHYAZQB3AGUAaQBnAGgAdABfAFMAbwB1AHIAYwBlAFwAbgAgACAAPQBMAEEATQBCAEQAQQAoAFwAIgBWAEUARQBSAEcAIAAyADAAMgA2ADoAIABUAGEAYgBsAGUAIABBAC4AMQAuADIALgAxAFwAIgApADsAXABuAFwAbgBTAG8AdQByAGMAZQBEAGEAdABhAF8AUABhAHMAdAB1AHIAZQBCAGUAZQBmAF8ATABpAHYAZQB3AGUAaQBnAGgAdABfAFYAYQByAGkAYQB0AGkAbwBuAFwAbgAgACAAPQBMAEEATQBCAEQAQQAoAFwAIgBcACIAKQA7AFwAbgBcAG4AUwBvAHUAcgBjAGUARABhAHQAYQBfAFAAYQBzAHQAdQByAGUAQgBlAGUAZgBfAEwAaQB2AGUAdwBlAGkAZwBoAHQAXwBEAGEAdABhAFwAbgAgACAAPQBMAEEATQBCAEQAQQAoAFwAbgAgACAAIAAgAE0AQQBLAEUAQQBSAFIAQQBZACgAMgA5ACwAIAAxADAALABcAG4AIAAgACAAIAAgACAATABBAE0AQgBEAEEAKAByACwAYwAsAFwAbgAgACAAIAAgACAAIAAgACAASQBOAEQARQBYACgAewBcAG4AIAAgACAAIAAgACAAIAAgACAAIABcACIAUwB0AGEAdABlAFwAIgAsACAAXAAiAFIAZQBnAGkAbwBuAFwAIgAsACAAXAAiAFMAZQBhAHMAbwBuAFwAIgAsACAAXAAiAEIAdQBsAGwAIABcAHUAMAAwADMAYwAgADEAXAAiACwAIABcACIAQgB1AGwAbAAgAFwAdQAwADAAMwBlACAAMQBcACIALAAgAFwAIgBDAG8AdwAgAFwAdQAwADAAMwBjACAAMQBcACIALAAgAFwAIgBDAG8AdwAgADEALQAyAFwAIgAsACAAXAAiAEMAbwB3ACAAXAB1ADAAMAAzAGUAIAAyAFwAIgAsACAAXAAiAFMAdABlAGUAcgAgAFwAdQAwADAAMwBjACAAMQBcACIALAAgAFwAIgBTAHQAZQBlAHIAIABcAHUAMAAwADMAZQAgADEAXAAiADsAXABuACAAIAAgACAAIAAgACAAIAAgACAAXAAiAEEAQwBUAC8ATgBTAFcAXAAiACwAIABcACIAbgAvAGEAXAAiACwAIABcACIAUwBwAHIAaQBuAGcAXAAiACwAIAA4ADAALAAgADQAOAAwACwAIAA3ADUALAAgADMAMAAwACwAIAA0ADQAMAAsACAANwA1ACwAIAAzADgAMAA7AFwAbgAgACAAIAAgACAAIAAgACAAIAAgAFwAIgBBAEMAVAAvAE4AUwBXAFwAIgAsACAAXAAiAG4ALwBhAFwAIgAsACAAXAAiAFMAdQBtAG0AZQByAFwAIgAsACAAMQA3ADAALAAgADUAMgAwACwAIAAxADYAMAAsACAAMwA2ADAALAAgADQANwAwACwAIAAxADYAMAAsACAANAAyADAAOwBcAG4AIAAgACAAIAAgACAAIAAgACAAIABcACIAQQBDAFQALwBOAFMAVwBcACIALAAgAFwAIgBuAC8AYQBcACIALAAgAFwAIgBBAHUAdAB1AG0AbgBcACIALAAgADIANAAwACwAIAA1ADUAMAAsACAAMgAyADAALAAgADMAOQAwACwAIAA0ADkAMAAsACAAMgAyADAALAAgADQANQAwADsAXABuACAAIAAgACAAIAAgACAAIAAgACAAXAAiAEEAQwBUAC8ATgBTAFcAXAAiACwAIABcACIAbgAvAGEAXAAiACwAIABcACIAVwBpAG4AdABlAHIAXAAiACwAIAAyADgAMAAsACAANQA2ADAALAAgADIANgAwACwAIAA0ADEAMAAsACAANQAwADAALAAgADIANgAwACwAIAA0ADYAMAA7AFwAbgAgACAAIAAgACAAIAAgACAAIAAgAFwAIgBTAG8AdQB0AGgAIABBAHUAcwB0AHIAYQBsAGkAYQBcACIALAAgAFwAIgBuAC8AYQBcACIALAAgAFwAIgBTAHAAcgBpAG4AZwBcACIALAAgADIANQAwACwAIAA4ADAAMAAsACAAMgAyADAALAAgADQAMAAwACwAIAA1ADAAMAAsACAAMgAzADAALAAgADQAMgAwADsAXABuACAAIAAgACAAIAAgACAAIAAgACAAXAAiAFMAbwB1AHQAaAAgAEEAdQBzAHQAcgBhAGwAaQBhAFwAIgAsACAAXAAiAG4ALwBhAFwAIgAsACAAXAAiAFMAdQBtAG0AZQByAFwAIgAsACAAMwAyADAALAAgADgAMAAwACwAIAAyADgAMAAsACAANAAyADAALAAgADUAMAAwACwAIAAyADkAMAAsACAANAAyADAAOwBcAG4AIAAgACAAIAAgACAAIAAgACAAIABcACIAUwBvAHUAdABoACAAQQB1AHMAdAByAGEAbABpAGEAXAAiACwAIABcACIAbgAvAGEAXAAiACwAIABcACIAQQB1AHQAdQBtAG4AXAAiACwAIAA4ADAALAAgADcAMAAwACwAIAA3ADAALAAgADMAMAAwACwAIAA0ADUAMAAsACAANwA1ACwAIAA0ADAAMAA7AFwAbgAgACAAIAAgACAAIAAgACAAIAAgAFwAIgBTAG8AdQB0AGgAIABBAHUAcwB0AHIAYQBsAGkAYQBcACIALAAgAFwAIgBuAC8AYQBcACIALAAgAFwAIgBXAGkAbgB0AGUAcgBcACIALAAgADEANgAwACwAIAA3ADAAMAAsACAAMQA0ADAALAAgADMANQAwACwAIAA0ADUAMAAsACAAMQA1ADAALAAgADQAMAAwADsAXABuACAAIAAgACAAIAAgACAAIAAgACAAXAAiAFQAYQBzAG0AYQBuAGkAYQBcACIALAAgAFwAIgBuAC8AYQBcACIALAAgAFwAIgBTAHAAcgBpAG4AZwBcACIALAAgADEAMAA1ACwAIAA3ADAAMAAsACAAOAA1ACwAIAAzADAAMAAsACAANAA5ADAALAAgADkAMAAsACAANAA4ADAAOwBcAG4AIAAgACAAIAAgACAAIAAgACAAIABcACIAVABhAHMAbQBhAG4AaQBhAFwAIgAsACAAXAAiAG4ALwBhAFwAIgAsACAAXAAiAFMAdQBtAG0AZQByAFwAIgAsACAANAA4ADAALAAgADcANQAwACwAIAAxADUAMAAsACAAMwA1ADAALAAgADUAMwAwACwAIAAxADYAMAAsACAANAA2ADAAOwBcAG4AIAAgACAAIAAgACAAIAAgACAAIABcACIAVABhAHMAbQBhAG4AaQBhAFwAIgAsACAAXAAiAG4ALwBhAFwAIgAsACAAXAAiAEEAdQB0AHUAbQBuAFwAIgAsACAAMgA1ADAALAAgADcAMgA1ACwAIAAyADAAMAAsACAAMwA2ADAALAAgADUAMAAwACwAIAAyADEANQAsACAANAA5ADAAOwBcAG4AIAAgACAAIAAgACAAIAAgACAAIABcACIAVABhAHMAbQBhAG4AaQBhAFwAIgAsACAAXAAiAG4ALwBhAFwAIgAsACAAXAAiAFcAaQBuAHQAZQByAFwAIgAsACAAMgA2ADAALAAgADcAMAAwACwAIAAyADEAMAAsACAAMwA4ADAALAAgADQANgAwACwAIAAyADMAMAAsACAANAA3ADAAOwBcAG4AIAAgACAAIAAgACAAIAAgACAAIABcACIAVgBpAGMAdABvAHIAaQBhAFwAIgAsACAAXAAiAG4ALwBhAFwAIgAsACAAXAAiAFMAcAByAGkAbgBnAFwAIgAsACAAMgA1ADAALAAgADgAMgAwACwAIAAyADQAMAAsACAANAAxADAALAAgADUANgAwACwAIAAyADQAMAAsACAANQAxADAAOwBcAG4AIAAgACAAIAAgACAAIAAgACAAIABcACIAVgBpAGMAdABvAHIAaQBhAFwAIgAsACAAXAAiAG4ALwBhAFwAIgAsACAAXAAiAFMAdQBtAG0AZQByAFwAIgAsACAAMgA4ADAALAAgADgANQAwACwAIAAyADYAMAAsACAANAA0ADAALAAgADUANQAwACwAIAAyADcAMAAsACAANQAyADAAOwBcAG4AIAAgACAAIAAgACAAIAAgACAAIABcACIAVgBpAGMAdABvAHIAaQBhAFwAIgAsACAAXAAiAG4ALwBhAFwAIgAsACAAXAAiAEEAdQB0AHUAbQBuAFwAIgAsACAAMQAwADAALAAgADcAMAAwACwAIAA5ADUALAAgADMAMAAwACwAIAA0ADUAMAAsACAAOQA1ACwAIAA0ADEAMAA7AFwAbgAgACAAIAAgACAAIAAgACAAIAAgAFwAIgBWAGkAYwB0AG8AcgBpAGEAXAAiACwAIABcACIAbgAvAGEAXAAiACwAIABcACIAVwBpAG4AdABlAHIAXAAiACwAIAAxADUAMAAsACAANwAyADAALAAgADEANAAwACwAIAAzADIAMAAsACAANAA3ADAALAAgADEANAAwACwAIAA0ADQAMAA7AFwAbgAgACAAIAAgACAAIAAgACAAIAAgAFwAIgBXAGUAcwB0AGUAcgBuACAAQQB1AHMAdAByAGEAbABpAGEAXAAiACwAIABcACIAUwBvAHUAdABoACAAVwBlAHMAdABcACIALAAgAFwAIgBTAHAAcgBpAG4AZwBcACIALAAgADMANAAwACwAIAA4ADAAMAAsACAAMgA2ADAALAAgADQAMgAwACwAIAA1ADUAMAAsACAAMwAwADAALAAgADQAOAAwADsAXABuACAAIAAgACAAIAAgACAAIAAgACAAXAAiAFcAZQBzAHQAZQByAG4AIABBAHUAcwB0AHIAYQBsAGkAYQBcACIALAAgAFwAIgBTAG8AdQB0AGgAIABXAGUAcwB0AFwAIgAsACAAXAAiAFMAdQBtAG0AZQByAFwAIgAsACAAMwA4ADAALAAgADcAOAAwACwAIAAzADAAMAAsACAANAA1ADAALAAgADUAMwAwACwAIAAzADQAMAAsACAANAA3ADAAOwBcAG4AIAAgACAAIAAgACAAIAAgACAAIABcACIAVwBlAHMAdABlAHIAbgAgAEEAdQBzAHQAcgBhAGwAaQBhAFwAIgAsACAAXAAiAFMAbwB1AHQAaAAgAFcAZQBzAHQAXAAiACwAIABcACIAQQB1AHQAdQBtAG4AXAAiACwAIAAxADAAMAAsACAANgA4ADAALAAgADgAMAAsACAAMwAyADAALAAgADQAOAAwACwAIAAxADAAMAAsACAAMwA0ADAAOwBcAG4AIAAgACAAIAAgACAAIAAgACAAIABcACIAVwBlAHMAdABlAHIAbgAgAEEAdQBzAHQAcgBhAGwAaQBhAFwAIgAsACAAXAAiAFMAbwB1AHQAaAAgAFcAZQBzAHQAXAAiACwAIABcACIAVwBpAG4AdABlAHIAXAAiACwAIAAxADkAMAAsACAANwAwADAALAAgADEANQAwACwAIAAzADMAMAAsACAANAA5ADAALAAgADEANwAwACwAIAAzADYAMAA7AFwAbgAgACAAIAAgACAAIAAgACAAIAAgAFwAIgBXAGUAcwB0AGUAcgBuACAAQQB1AHMAdAByAGEAbABpAGEAXAAiACwAIABcACIAUABpAGwAYgBhAHIAYQBcACIALAAgAFwAIgBTAHAAcgBpAG4AZwBcACIALAAgADgAMAAsACAANAA1ADAALAAgADcAMAAsACAAMgA2ADAALAAgADMANAAwACwAIAA4ADAALAAgADMANwAwADsAXABuACAAIAAgACAAIAAgACAAIAAgACAAXAAiAFcAZQBzAHQAZQByAG4AIABBAHUAcwB0AHIAYQBsAGkAYQBcACIALAAgAFwAIgBQAGkAbABiAGEAcgBhAFwAIgAsACAAXAAiAFMAdQBtAG0AZQByAFwAIgAsACAAMQA1ADAALAAgADUAMAAwACwAIAAxADQAMAAsACAAMwAxADAALAAgADMANgAwACwAIAAxADUAMAAsACAANAAwADAAOwBcAG4AIAAgACAAIAAgACAAIAAgACAAIABcACIAVwBlAHMAdABlAHIAbgAgAEEAdQBzAHQAcgBhAGwAaQBhAFwAIgAsACAAXAAiAFAAaQBsAGIAYQByAGEAXAAiACwAIABcACIAQQB1AHQAdQBtAG4AXAAiACwAIAAyADMAMAAsACAANQA1ADAALAAgADIAMgAwACwAIAAzADMAMAAsACAAMwA4ADAALAAgADIAMwAwACwAIAA0ADIAMAA7AFwAbgAgACAAIAAgACAAIAAgACAAIAAgAFwAIgBXAGUAcwB0AGUAcgBuACAAQQB1AHMAdAByAGEAbABpAGEAXAAiACwAIABcACIAUABpAGwAYgBhAHIAYQBcACIALAAgAFwAIgBXAGkAbgB0AGUAcgBcACIALAAgADIANQAwACwAIAA1ADAAMAAsACAAMgA0ADAALAAgADMANAAwACwAIAAzADYAMAAsACAAMgA1ADAALAAgADMAOQAwADsAXABuACAAIAAgACAAIAAgACAAIAAgACAAXAAiAFcAZQBzAHQAZQByAG4AIABBAHUAcwB0AHIAYQBsAGkAYQBcACIALAAgAFwAIgBLAGkAbQBiAGUAcgBsAGUAeQBcACIALAAgAFwAIgBTAHAAcgBpAG4AZwBcACIALAAgADIAMgAwACwAIAA1ADAAMAAsACAAMQA4ADAALAAgADMAMAAwACwAIAAzADIAMAAsACAAMgAxADAALAAgADMANAAwADsAXABuACAAIAAgACAAIAAgACAAIAAgACAAXAAiAFcAZQBzAHQAZQByAG4AIABBAHUAcwB0AHIAYQBsAGkAYQBcACIALAAgAFwAIgBLAGkAbQBiAGUAcgBsAGUAeQBcACIALAAgAFwAIgBTAHUAbQBtAGUAcgBcACIALAAgADEAMQAwACwAIAA1ADUAMAAsACAAOQAwACwAIAAyADIAMAAsACAAMwA4ADAALAAgADEAMAAwACwAIAAzADkAMAA7AFwAbgAgACAAIAAgACAAIAAgACAAIAAgAFwAIgBXAGUAcwB0AGUAcgBuACAAQQB1AHMAdAByAGEAbABpAGEAXAAiACwAIABcACIASwBpAG0AYgBlAHIAbABlAHkAXAAiACwAIABcACIAQQB1AHQAdQBtAG4AXAAiACwAIAAxADcAMAAsACAANgAwADAALAAgADEANAAwACwAIAAyADcAMAAsACAAMwA5ADAALAAgADEANgAwACwAIAA0ADMAMAA7AFwAbgAgACAAIAAgACAAIAAgACAAIAAgAFwAIgBXAGUAcwB0AGUAcgBuACAAQQB1AHMAdAByAGEAbABpAGEAXAAiACwAIABcACIASwBpAG0AYgBlAHIAbABlAHkAXAAiACwAIABcACIAVwBpAG4AdABlAHIAXAAiACwAIAAyADAAMAAsACAANQA1ADAALAAgADEANQAwACwAIAAyADgAMAAsACAAMwA1ADAALAAgADEAOQAwACwAIAA0ADAAMA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wAaQB2AGUAdwBlAGkAZwBoAHQATgBUAFEATABEAFwAbgBUAGEAYgBsAGUAIABBAC4AMQAuADIALgAyADoAIABCAGUAZQBmACAAcABhAHMAdAB1AHIAZQAgAGMAYQB0AHQAbABlACAALQAgAEwAaQB2AGUAdwBlAGkAZwBoAHQAIAAoAGsAZwApACAAKABXAGoAawBsACkAIABmAG8AcgAgAE4AVAAgAGEAbgBkACAAUQBMAEQAXABuAC0ALQAtAC0ALQAtAC0ALQAtAC0ALQAtAC0ALQAtAC0ALQAtAC0ALQAtAC0ALQAtAC0ALQAtAC0ALQAtAC0ALQAtAC0ALQAtAC0ALQBcAG4AKgAvAFwAbgBcAG4AUwBvAHUAcgBjAGUARABhAHQAYQBfAFAAYQBzAHQAdQByAGUAQgBlAGUAZgBfAEwAaQB2AGUAdwBlAGkAZwBoAHQATgBUAFEATABEAF8AVABpAHQAbABlAFwAbgAgACAAPQBMAEEATQBCAEQAQQAoAFwAIgBCAGUAZQBmACAAcABhAHMAdAB1AHIAZQAgAGMAYQB0AHQAbABlACAALQAgAEwAaQB2AGUAdwBlAGkAZwBoAHQAIAAoAGsAZwApACAAKABXAGoAawBsACkAIABmAG8AcgAgAE4AVAAgAGEAbgBkACAAUQBMAEQAXAAiACkAOwBcAG4AXABuAFMAbwB1AHIAYwBlAEQAYQB0AGEAXwBQAGEAcwB0AHUAcgBlAEIAZQBlAGYAXwBMAGkAdgBlAHcAZQBpAGcAaAB0AE4AVABRAEwARABfAFYAYQByAGkAYQBiAGwAZQBcAG4AIAAgAD0ATABBAE0AQgBEAEEAKABcACIAVwBqAGsAbABcACIAKQA7AFwAbgBcAG4AUwBvAHUAcgBjAGUARABhAHQAYQBfAFAAYQBzAHQAdQByAGUAQgBlAGUAZgBfAEwAaQB2AGUAdwBlAGkAZwBoAHQATgBUAFEATABEAF8AVQBuAGkAdABcAG4AIAAgAD0ATABBAE0AQgBEAEEAKABcACIAawBnAFwAIgApADsAXABuAFwAbgBTAG8AdQByAGMAZQBEAGEAdABhAF8AUABhAHMAdAB1AHIAZQBCAGUAZQBmAF8ATABpAHYAZQB3AGUAaQBnAGgAdABOAFQAUQBMAEQAXwBTAG8AdQByAGMAZQBcAG4AIAAgAD0ATABBAE0AQgBEAEEAKABcACIAVgBFAEUAUgBHACAAMgAwADIANgA6ACAAVABhAGIAbABlACAAQQAuADEALgAyAC4AMgBcACIAKQA7AFwAbgBcAG4AUwBvAHUAcgBjAGUARABhAHQAYQBfAFAAYQBzAHQAdQByAGUAQgBlAGUAZgBfAEwAaQB2AGUAdwBlAGkAZwBoAHQATgBUAFEATABEAF8AVgBhAHIAaQBhAHQAaQBvAG4AXABuACAAIAA9AEwAQQBNAEIARABBACgAXAAiAFwAIgApADsAXABuAFwAbgBTAG8AdQByAGMAZQBEAGEAdABhAF8AUABhAHMAdAB1AHIAZQBCAGUAZQBmAF8ATABpAHYAZQB3AGUAaQBnAGgAdABOAFQAUQBMAEQAXwBEAGEAdABhAFwAbgAgACAAPQBMAEEATQBCAEQAQQAoAFwAbgAgACAAIAAgAE0AQQBLAEUAQQBSAFIAQQBZACgAMgA5ACwAIAAxADMALABcAG4AIAAgACAAIAAgACAATABBAE0AQgBEAEEAKAByACwAYwAsAFwAbgAgACAAIAAgACAAIAAgACAASQBOAEQARQBYACgAewBcAG4AIAAgACAAIAAgACAAIAAgACAAIABcACIAUwB0AGEAdABlAFwAIgAsACAAXAAiAFIAZQBnAGkAbwBuAFwAIgAsACAAXAAiAFMAZQBhAHMAbwBuAFwAIgAsACAAXAAiAEIAdQBsAGwAIABcAHUAMAAwADMAYwAxAFwAIgAsACAAXAAiAEIAdQBsAGwAIABcAHUAMAAwADMAZQAxAFwAIgAsACAAXAAiAEMAbwB3AHMAIABcAHUAMAAwADMAYwAxAFwAIgAsACAAXAAiAEMAbwB3AHMAIAAxAC0AMgBcACIALAAgAFwAIgBDAG8AdwBzACAAMgAtADMAXAAiACwAIABcACIAQwBvAHcAcwAgAFwAdQAwADAAMwBlADMAXAAiACwAIABcACIAUwB0AGUAZQByACAAXAB1ADAAMAAzAGMAMQBcACIALAAgAFwAIgBTAHQAZQBlAHIAIAAxAC0AMgBcACIALAAgAFwAIgBTAHQAZQBlAHIAIAAyAC0AMwBcACIALAAgAFwAIgBTAHQAZQBlAHIAIABcAHUAMAAwADMAZQAzAFwAIgA7AFwAbgAgACAAIAAgACAAIAAgACAAIAAgAFwAIgBOAG8AcgB0AGgAZQByAG4AIABUAGUAcgByAGkAdABvAHIAeQBcACIALAAgAFwAIgBBAGwAaQBjAGUAIABTAHAAcgBpAG4AZwBzAFwAIgAsACAAXAAiAFMAcAByAGkAbgBnAFwAIgAsACAAMgAyADAALAAgADcAMAA2ACwAIAAyADAAOAAsACAAMwAyADMALAAgADQAMQA1ACwAIAA0ADYANwAsACAAMgAyADMALAAgADMANwAxACwAIAA0ADkAMwAsACAANQA4ADUAOwBcAG4AIAAgACAAIAAgACAAIAAgACAAIABcACIATgBvAHIAdABoAGUAcgBuACAAVABlAHIAcgBpAHQAbwByAHkAXAAiACwAIABcACIAQQBsAGkAYwBlACAAUwBwAHIAaQBuAGcAcwBcACIALAAgAFwAIgBTAHUAbQBtAGUAcgBcACIALAAgADEAMQAwACwAIAA3ADAAMwAsACAAMQAxADIALAAgADIANQA2ACwAIAAzADYAOAAsACAANAA2ADUALAAgADEAMAA4ACwAIAAyADgAMAAsACAANAAyADEALAAgADUANAAzADsAXABuACAAIAAgACAAIAAgACAAIAAgACAAXAAiAE4AbwByAHQAaABlAHIAbgAgAFQAZQByAHIAaQB0AG8AcgB5AFwAIgAsACAAXAAiAEEAbABpAGMAZQAgAFMAcAByAGkAbgBnAHMAXAAiACwAIABcACIAQQB1AHQAdQBtAG4AXAAiACwAIAAxADcAMAAsACAANwAyADEALAAgADEANgA5ACwAIAAzADAANgAsACAAMwA5ADIALAAgADQANgA0ACwAIAAxADcANgAsACAAMwAzADkALAAgADQANwAwACwAIAA1ADgAMAA7AFwAbgAgACAAIAAgACAAIAAgACAAIAAgAFwAIgBOAG8AcgB0AGgAZQByAG4AIABUAGUAcgByAGkAdABvAHIAeQBcACIALAAgAFwAIgBBAGwAaQBjAGUAIABTAHAAcgBpAG4AZwBzAFwAIgAsACAAXAAiAFcAaQBuAHQAZQByAFwAIgAsACAAMgAwADAALAAgADcAMgA3ACwAIAAyADEAMQAsACAAMwAzADgALAAgADQAMwAyACwAIAA0ADkAMgAsACAAMgAyADIALAAgADMANwA3ACwAIAA0ADkAOAAsACAANQA5ADAAOwBcAG4AIAAgACAAIAAgACAAIAAgACAAIABcACIATgBvAHIAdABoAGUAcgBuACAAVABlAHIAcgBpAHQAbwByAHkAXAAiACwAIABcACIAQgBhAHIAawBsAHkAXAAiACwAIABcACIAUwBwAHIAaQBuAGcAXAAiACwAIAAyADIAMAAsACAANgAyADAALAAgADIAMgA3ACwAIAAzADEAOQAsACAAMwA5ADgALAAgADQANQAyACwAIAAyADEANgAsACAAMwAzADQALAAgAFwAIgBOAE8AXAAiACwAIABcACIATgBPAFwAIgA7AFwAbgAgACAAIAAgACAAIAAgACAAIAAgAFwAIgBOAG8AcgB0AGgAZQByAG4AIABUAGUAcgByAGkAdABvAHIAeQBcACIALAAgAFwAIgBCAGEAcgBrAGwAeQBcACIALAAgAFwAIgBTAHUAbQBtAGUAcgBcACIALAAgADEAMQAwACwAIAA2ADUAMAAsACAAMQAwADgALAAgADIANgAyACwAIAAzADQANgAsACAANAAzADAALAAgADEAMQAxACwAIAAyADMANgAsACAAXAAiAE4ATwBcACIALAAgAFwAIgBOAE8AXAAiADsAXABuACAAIAAgACAAIAAgACAAIAAgACAAXAAiAE4AbwByAHQAaABlAHIAbgAgAFQAZQByAHIAaQB0AG8AcgB5AFwAIgAsACAAXAAiAEIAYQByAGsAbAB5AFwAIgAsACAAXAAiAEEAdQB0AHUAbQBuAFwAIgAsACAAMQA3ADAALAAgADYANwAwACwAIAAxADcAMAAsACAAMgA2ADYALAAgADMANgAzACwAIAA0ADQANAAsACAAMQA2ADkALAAgADIAOAAyACwAIABcACIATgBPAFwAIgAsACAAXAAiAE4ATwBcACIAOwBcAG4AIAAgACAAIAAgACAAIAAgACAAIABcACIATgBvAHIAdABoAGUAcgBuACAAVABlAHIAcgBpAHQAbwByAHkAXAAiACwAIABcACIAQgBhAHIAawBsAHkAXAAiACwAIABcACIAVwBpAG4AdABlAHIAXAAiACwAIAAyADAAMAAsACAANgA2ADAALAAgADIAMgA1ACwAIAAzADAANwAsACAAMwA5ADgALAAgADQANQAyACwAIAAyADEANAAsACAAMwAyADYALAAgAFwAIgBOAE8AXAAiACwAIABcACIATgBPAFwAIgA7AFwAbgAgACAAIAAgACAAIAAgACAAIAAgAFwAIgBOAG8AcgB0AGgAZQByAG4AIABUAGUAcgByAGkAdABvAHIAeQBcACIALAAgAFwAIgBOAG8AcgB0AGgAZQByAG4AXAAiACwAIABcACIAUwBwAHIAaQBuAGcAXAAiACwAIAAyADIAMAAsACAANgAyADAALAAgADEANwA3ACwAIAAyADYANwAsACAAMwA2ADUALAAgADQAMAA2ACwAIAAyADMAMQAsACAAMgA0ADkALAAgADMAMgA0ACwAIABcACIATgBPAFwAIgA7AFwAbgAgACAAIAAgACAAIAAgACAAIAAgAFwAIgBOAG8AcgB0AGgAZQByAG4AIABUAGUAcgByAGkAdABvAHIAeQBcACIALAAgAFwAIgBOAG8AcgB0AGgAZQByAG4AXAAiACwAIABcACIAUwB1AG0AbQBlAHIAXAAiACwAIAAxADEAMAAsACAANgA1ADAALAAgADEAMAAyACwAIAAyADAAMwAsACAAMgA5ADkALAAgADMAOAAwACwAIAAxADAAMgAsACAAMgAxADgALAAgADIANgAzACwAIABcACIATgBPAFwAIgA7AFwAbgAgACAAIAAgACAAIAAgACAAIAAgAFwAIgBOAG8AcgB0AGgAZQByAG4AIABUAGUAcgByAGkAdABvAHIAeQBcACIALAAgAFwAIgBOAG8AcgB0AGgAZQByAG4AXAAiACwAIABcACIAQQB1AHQAdQBtAG4AXAAiACwAIAAxADcAMAAsACAANgA3ADAALAAgADEANwAzACwAIAAyADUAMAAsACAAMwAzADYALAAgADQAMQA0ACwAIAAxADcANQAsACAAMgA0ADMALAAgADMAMAA0ACwAIABcACIATgBPAFwAIgA7AFwAbgAgACAAIAAgACAAIAAgACAAIAAgAFwAIgBOAG8AcgB0AGgAZQByAG4AIABUAGUAcgByAGkAdABvAHIAeQBcACIALAAgAFwAIgBOAG8AcgB0AGgAZQByAG4AXAAiACwAIABcACIAVwBpAG4AdABlAHIAXAAiACwAIAAyADAAMAAsACAANgA2ADAALAAgADIAMAAyACwAIAAyADcAMgAsACAAMwA2ADUALAAgADMAOQAwACwAIAAyADAAOAAsACAAMgA2ADAALAAgADMAMwA3ACwAIABcACIATgBPAFwAIgA7AFwAbgAgACAAIAAgACAAIAAgACAAIAAgAFwAIgBRAHUAZQBlAG4AcwBsAGEAbgBkAFwAIgAsACAAXAAiAEgAaQBnAGgAXAAiACwAIABcACIAUwBwAHIAaQBuAGcAXAAiACwAIAAyADYAMAAsACAANwAwADUALAAgADIAMQA1ACwAIAAzADAAMgAsACAANAAxADYALAAgADUAMQA5ACwAIAAyADMANAAsACAANAA1ADUALAAgADUANQAxACwAIAA2ADYAMAA7AFwAbgAgACAAIAAgACAAIAAgACAAIAAgAFwAIgBRAHUAZQBlAG4AcwBsAGEAbgBkAFwAIgAsACAAXAAiAEgAaQBnAGgAXAAiACwAIABcACIAUwB1AG0AbQBlAHIAXAAiACwAIAAxADUAMwAsACAANwAwADMALAAgADEAMQA4ACwAIAAyADcANwAsACAAMwA5ADcALAAgADQAOAAzACwAIAAxADEAMQAsACAAMwAwADQALAAgADUAMgAxACwAIAA1ADQANwA7AFwAbgAgACAAIAAgACAAIAAgACAAIAAgAFwAIgBRAHUAZQBlAG4AcwBsAGEAbgBkAFwAIgAsACAAXAAiAEgAaQBnAGgAXAAiACwAIABcACIAQQB1AHQAdQBtAG4AXAAiACwAIAAxADYAOAAsACAANwAxADgALAAgADEAOQAxACwAIAAzADEAOQAsACAANAA0ADAALAAgADUAMAA2ACwAIAAxADgAOAAsACAAMwAyADYALAAgADUAMgAwACwAIAA1ADgAMgA7AFwAbgAgACAAIAAgACAAIAAgACAAIAAgAFwAIgBRAHUAZQBlAG4AcwBsAGEAbgBkAFwAIgAsACAAXAAiAEgAaQBnAGgAXAAiACwAIABcACIAVwBpAG4AdABlAHIAXAAiACwAIAAyADMANQAsACAANwAyADIALAAgADIAMAA3ACwAIAAzADUAMgAsACAANAA3ADAALAAgADUAMQA0ACwAIAAyADAAOQAsACAANAAyADEALAAgADUAMQAyACwAIAA2ADAANQA7AFwAbgAgACAAIAAgACAAIAAgACAAIAAgAFwAIgBRAHUAZQBlAG4AcwBsAGEAbgBkAFwAIgAsACAAXAAiAE0AbwBkAGUAcgBhAHQAZQAvAEgAaQBnAGgAXAAiACwAIABcACIAUwBwAHIAaQBuAGcAXAAiACwAIAAyADMAMAAsACAANgA3ADQALAAgADIAMQA3ACwAIAAzADQANAAsACAAMwA1ADcALAAgADQANgA3ACwAIAAyADQAMgAsACAAMwA3ADAALAAgADUANQAwACwAIAA2ADIAMAA7AFwAbgAgACAAIAAgACAAIAAgACAAIAAgAFwAIgBRAHUAZQBlAG4AcwBsAGEAbgBkAFwAIgAsACAAXAAiAE0AbwBkAGUAcgBhAHQAZQAvAEgAaQBnAGgAXAAiACwAIABcACIAUwB1AG0AbQBlAHIAXAAiACwAIAAxADEAMwAsACAANgA2ADkALAAgADEAMQAzACwAIAAyADgAMwAsACAAMwA2ADEALAAgADQANwA3ACwAIAAxADIAMAAsACAAMgA3ADMALAAgADUANAA1ACwAIAA1ADUAMwA7AFwAbgAgACAAIAAgACAAIAAgACAAIAAgAFwAIgBRAHUAZQBlAG4AcwBsAGEAbgBkAFwAIgAsACAAXAAiAE0AbwBkAGUAcgBhAHQAZQAvAEgAaQBnAGgAXAAiACwAIABcACIAQQB1AHQAdQBtAG4AXAAiACwAIAAxADcAMgAsACAANgA4ADUALAAgADEANwAyACwAIAAzADAAOQAsACAAMwA3ADYALAAgADQANwAxACwAIAAyADMAOAAsACAAMwAyADkALAAgADUANwAzACwAIAA2ADIAMAA7AFwAbgAgACAAIAAgACAAIAAgACAAIAAgAFwAIgBRAHUAZQBlAG4AcwBsAGEAbgBkAFwAIgAsACAAXAAiAE0AbwBkAGUAcgBhAHQAZQAvAEgAaQBnAGgAXAAiACwAIABcACIAVwBpAG4AdABlAHIAXAAiACwAIAAyADQAMQAsACAANgA5ADIALAAgADIAMAA4ACwAIAAzADQANAAsACAAMwA2ADQALAAgADQAOAA0ACwAIAAyADYAMAAsACAAMwA1ADAALAAgADUANgA3ACwAIAA2ADIAMAA7AFwAbgAgACAAIAAgACAAIAAgACAAIAAgAFwAIgBRAHUAZQBlAG4AcwBsAGEAbgBkAFwAIgAsACAAXAAiAE0AbwBkAGUAcgBhAHQAZQAvAEwAbwB3AFwAIgAsACAAXAAiAFMAcAByAGkAbgBnAFwAIgAsACAAMgAzADYALAAgADYANwA0ACwAIAAxADcAOAAsACAAMwAxADAALAAgADQAMgA4ACwAIAA0ADYANgAsACAAMQA5ADMALAAgADMANwAwACwAIAA1ADEAOQAsACAANQA2ADUAOwBcAG4AIAAgACAAIAAgACAAIAAgACAAIABcACIAUQB1AGUAZQBuAHMAbABhAG4AZABcACIALAAgAFwAIgBNAG8AZABlAHIAYQB0AGUALwBMAG8AdwBcACIALAAgAFwAIgBTAHUAbQBtAGUAcgBcACIALAAgADEAMgAwACwAIAA2ADYAOQAsACAAMQAxADIALAAgADIANQAwACwAIAAzADkAMAAsACAANAA0ADgALAAgADEAMQA1ACwAIAAyADcAMwAsACAANAAzADMALAAgADUANQA2ADsAXABuACAAIAAgACAAIAAgACAAIAAgACAAXAAiAFEAdQBlAGUAbgBzAGwAYQBuAGQAXAAiACwAIABcACIATQBvAGQAZQByAGEAdABlAC8ATABvAHcAXAAiACwAIABcACIAQQB1AHQAdQBtAG4AXAAiACwAIAAxADIANQAsACAANgA4ADUALAAgADEANAAwACwAIAAyADcANwAsACAANAAwADcALAAgADQANQA1ACwAIAAxADQAMQAsACAAMgA5ADYALAAgADQANAA1ACwAIAA1ADkAMwA7AFwAbgAgACAAIAAgACAAIAAgACAAIAAgAFwAIgBRAHUAZQBlAG4AcwBsAGEAbgBkAFwAIgAsACAAXAAiAE0AbwBkAGUAcgBhAHQAZQAvAEwAbwB3AFwAIgAsACAAXAAiAFcAaQBuAHQAZQByAFwAIgAsACAAMQA4ADAALAAgADYAOQAyACwAIAAxADgAMwAsACAAMwAxADYALAAgADQAMwA4ACwAIAA0ADYAOAAsACAAMQA4ADkALAAgADMANQA0ACwAIAA1ADAAMAAsACAANQA1ADMAOwBcAG4AIAAgACAAIAAgACAAIAAgACAAIABcACIAUQB1AGUAZQBuAHMAbABhAG4AZABcACIALAAgAFwAIgBMAG8AdwBcACIALAAgAFwAIgBTAHAAcgBpAG4AZwBcACIALAAgADEAOQAwACwAIAA2ADEANwAsACAAMQA3ADQALAAgADIANgA1ACwAIAAzADcAMQAsACAANAAxADUALAAgADEANwAwACwAIAAyADcAMgAsACAAMwA5ADIALAAgADUAMwAxADsAXABuACAAIAAgACAAIAAgACAAIAAgACAAXAAiAFEAdQBlAGUAbgBzAGwAYQBuAGQAXAAiACwAIABcACIATABvAHcAXAAiACwAIABcACIAUwB1AG0AbQBlAHIAXAAiACwAIAAxADEAOQAsACAANQA5ADEALAAgADEANAAwACwAIAAyADAANQAsACAAMwAxADAALAAgADQAMAA1ACwAIAAxADMAMwAsACAAMgAxADgALAAgADMAMQA1ACwAIAA0ADQANQA7AFwAbgAgACAAIAAgACAAIAAgACAAIAAgAFwAIgBRAHUAZQBlAG4AcwBsAGEAbgBkAFwAIgAsACAAXAAiAEwAbwB3AFwAIgAsACAAXAAiAEEAdQB0AHUAbQBuAFwAIgAsACAAMQA3ADUALAAgADYAMQAwACwAIAAxADYAMwAsACAAMgAzADIALAAgADMANQAxACwAIAA0ADIANwAsACAAMQA0ADYALAAgADIANAAyACwAIAAzADIAMAAsACAANAA3ADEAOwBcAG4AIAAgACAAIAAgACAAIAAgACAAIABcACIAUQB1AGUAZQBuAHMAbABhAG4AZABcACIALAAgAFwAIgBMAG8AdwBcACIALAAgAFwAIgBXAGkAbgB0AGUAcgBcACIALAAgADEAOQAyACwAIAA2ADEANQAsACAAMQA2ADIALAAgADIANQA1ACwAIAAzADYANAAsACAANAAyADAALAAgADEANQA3ACwAIAAyADYAMQAsACAAMwA0ADIALAAgADQAOAA0AFwAbgAgACAAIAAgACAAIAAgACAAfQAsACAAcgAsACAAYwApAFwAbgAgACAAIAAgACAAIAApAFwAbgAgACAAIAAgACkAXABuACAAIAApADsAXABuAFwAbgBcAG4ALwAqACAAXABuAC0ALQAtAC0ALQAtAC0ALQAtAC0ALQAtAC0ALQAtAC0ALQAtAC0ALQAtAC0ALQAtAC0ALQAtAC0ALQAtAC0ALQAtAC0ALQAtAC0ALQBcAG4AUwBvAHUAcgBjAGUARABhAHQAYQBfAFAAYQBzAHQAdQByAGUAQgBlAGUAZgBfAEwAaQB2AGUAdwBlAGkAZwBoAHQARwBhAGkAbgBcAG4AVABhAGIAbABlACAAQQAuADEALgAyAC4AMwA6ACAAQgBlAGUAZgAgAHAAYQBzAHQAdQByAGUAIABjAGEAdAB0AGwAZQAgAC0AIABMAGkAdgBlAHcAZQBpAGcAaAB0ACAAZwBhAGkAbgAgACgAawBnACkAIAAoAEwAVwBHAGoAawBsACkAXABuAC0ALQAtAC0ALQAtAC0ALQAtAC0ALQAtAC0ALQAtAC0ALQAtAC0ALQAtAC0ALQAtAC0ALQAtAC0ALQAtAC0ALQAtAC0ALQAtAC0ALQBcAG4AKgAvAFwAbgBcAG4AUwBvAHUAcgBjAGUARABhAHQAYQBfAFAAYQBzAHQAdQByAGUAQgBlAGUAZgBfAEwAaQB2AGUAdwBlAGkAZwBoAHQARwBhAGkAbgBfAFQAaQB0AGwAZQBcAG4AIAAgAD0ATABBAE0AQgBEAEEAKABcACIAQgBlAGUAZgAgAHAAYQBzAHQAdQByAGUAIABjAGEAdAB0AGwAZQAgAC0AIABMAGkAdgBlAHcAZQBpAGcAaAB0ACAAZwBhAGkAbgAgACgAawBnACkAIAAoAEwAVwBHAGoAawBsACkAXAAiACkAOwBcAG4AXABuAFMAbwB1AHIAYwBlAEQAYQB0AGEAXwBQAGEAcwB0AHUAcgBlAEIAZQBlAGYAXwBMAGkAdgBlAHcAZQBpAGcAaAB0AEcAYQBpAG4AXwBWAGEAcgBpAGEAYgBsAGUAXABuACAAIAA9AEwAQQBNAEIARABBACgAXAAiAEwAVwBHAGoAawBsAFwAIgApADsAXABuAFwAbgBTAG8AdQByAGMAZQBEAGEAdABhAF8AUABhAHMAdAB1AHIAZQBCAGUAZQBmAF8ATABpAHYAZQB3AGUAaQBnAGgAdABHAGEAaQBuAF8AVQBuAGkAdABcAG4AIAAgAD0ATABBAE0AQgBEAEEAKABcACIAawBnAFwAIgApADsAXABuAFwAbgBTAG8AdQByAGMAZQBEAGEAdABhAF8AUABhAHMAdAB1AHIAZQBCAGUAZQBmAF8ATABpAHYAZQB3AGUAaQBnAGgAdABHAGEAaQBuAF8AUwBvAHUAcgBjAGUAXABuACAAIAA9AEwAQQBNAEIARABBACgAXAAiAFYARQBFAFIARwAgADIAMAAyADYAOgAgAFQAYQBiAGwAZQAgAEEALgAxAC4AMgAuADMAXAAiACkAOwBcAG4AXABuAFMAbwB1AHIAYwBlAEQAYQB0AGEAXwBQAGEAcwB0AHUAcgBlAEIAZQBlAGYAXwBMAGkAdgBlAHcAZQBpAGcAaAB0AEcAYQBpAG4AXwBWAGEAcgBpAGEAdABpAG8AbgBcAG4AIAAgAD0ATABBAE0AQgBEAEEAKABcACIAVgBBAFIASQBBAFQASQBPAE4AIABPAE4AIABTAE8AVQBSAEMARQA6ACAAUgBlAHAAbABhAGMAZQBkACAAXAB1ADAAMAAyADcAbgAvAGEAXAB1ADAAMAAyADcAIAB3AGkAdABoACAAXAB1ADAAMAAyADcAUwBvAHUAdABoACAAVwBlAHMAdABcAHUAMAAwADIANwAgAGYAbwByACAAZgBpAHIAcwB0ACAAZgBvAHUAcgAgAHIAbwB3AHMAIABvAGYAIABXAGUAcwB0AGUAcgBuACAAQQB1AHMAdAByAGEAbABpAGEAIAB0AG8AIABiAGUAIABjAG8AbgBzAGkAcwB0AGUAbgB0ACAAdwBpAHQAaAAgAHQAYQBiAGwAZQAgAEEALgAxAC4AMgAuADEAXAAiACkAOwBcAG4AXABuAFMAbwB1AHIAYwBlAEQAYQB0AGEAXwBQAGEAcwB0AHUAcgBlAEIAZQBlAGYAXwBMAGkAdgBlAHcAZQBpAGcAaAB0AEcAYQBpAG4AXwBEAGEAdABhAFwAbgAgACAAPQBMAEEATQBCAEQAQQAoAFwAbgAgACAAIAAgAE0AQQBLAEUAQQBSAFIAQQBZACgAMgA5ACwAIAAxADAALABcAG4AIAAgACAAIAAgACAATABBAE0AQgBEAEEAKAByACwAYwAsAFwAbgAgACAAIAAgACAAIAAgACAASQBOAEQARQBYACgAewBcAG4AIAAgACAAIAAgACAAIAAgACAAIABcACIAUwB0AGEAdABlAFwAIgAsACAAXAAiAFIAZQBnAGkAbwBuAFwAIgAsACAAXAAiAFMAZQBhAHMAbwBuAFwAIgAsACAAXAAiAEIAdQBsAGwAIABcAHUAMAAwADMAYwAxAFwAIgAsACAAXAAiAEIAdQBsAGwAIABcAHUAMAAwADMAZQAxAFwAIgAsACAAXAAiAEMAbwB3ACAAXAB1ADAAMAAzAGMAMQBcACIALAAgAFwAIgBDAG8AdwAgADEALQAyAFwAIgAsACAAXAAiAEMAbwB3ACAAXAB1ADAAMAAzAGUAMgBcACIALAAgAFwAIgBTAHQAZQBlAHIAIABcAHUAMAAwADMAYwAxAFwAIgAsACAAXAAiAFMAdABlAGUAcgAgAFwAdQAwADAAMwBlADEAXAAiADsAXABuACAAIAAgACAAIAAgACAAIAAgACAAXAAiAEEAQwBUAC8ATgBTAFcAXAAiACwAIABcACIAbgAvAGEAXAAiACwAIABcACIAUwBwAHIAaQBuAGcAXAAiACwAIAAwAC4ANQAsACAAMAAuADIALAAgADAALgA1ACwAIAAwAC4ANAAsACAAMAAuADMALAAgADAALgA1ACwAIAAwAC4ANAA7AFwAbgAgACAAIAAgACAAIAAgACAAIAAgAFwAIgBBAEMAVAAvAE4AUwBXAFwAIgAsACAAXAAiAG4ALwBhAFwAIgAsACAAXAAiAFMAdQBtAG0AZQByAFwAIgAsACAAMQAuADAALAAgADAALgA0ACwAIAAwAC4AOQAsACAAMAAuADcALAAgADAALgAzACwAIAAwAC4AOQAsACAAMAAuADQAOwBcAG4AIAAgACAAIAAgACAAIAAgACAAIABcACIAQQBDAFQALwBOAFMAVwBcACIALAAgAFwAIgBuAC8AYQBcACIALAAgAFwAIgBBAHUAdAB1AG0AbgBcACIALAAgADAALgA4ACwAIAAwAC4AMwAsACAAMAAuADcALAAgADAALgAzACwAIAAwAC4AMgAsACAAMAAuADcALAAgADAALgAzADsAXABuACAAIAAgACAAIAAgACAAIAAgACAAXAAiAEEAQwBUAC8ATgBTAFcAXAAiACwAIABcACIAbgAvAGEAXAAiACwAIABcACIAVwBpAG4AdABlAHIAXAAiACwAIAAwAC4ANAAsACAAMAAuADEALAAgADAALgA0ACwAIAAwAC4AMgAsACAAMAAuADEALAAgADAALgA0ACwAIAAwAC4AMQA7AFwAbgAgACAAIAAgACAAIAAgACAAIAAgAFwAIgBTAG8AdQB0AGgAIABBAHUAcwB0AHIAYQBsAGkAYQBcACIALAAgAFwAIgBuAC8AYQBcACIALAAgAFwAIgBTAHAAcgBpAG4AZwBcACIALAAgADAALgA5ADkALAAgADEALgAxACwAIAAwAC4AOAA4ACwAIAAwAC4ANQA1ACwAIAAwAC4ANQA1ACwAIAAwAC4AOAA4ACwAIAAwAC4AMgAyADsAXABuACAAIAAgACAAIAAgACAAIAAgACAAXAAiAFMAbwB1AHQAaAAgAEEAdQBzAHQAcgBhAGwAaQBhAFwAIgAsACAAXAAiAG4ALwBhAFwAIgAsACAAXAAiAFMAdQBtAG0AZQByAFwAIgAsACAAMAAuADcANwAsACAAMAAuADAALAAgADAALgA2ADYALAAgADAALgAyADIALAAgADAALgAwACwAIAAwAC4ANgA2ACwAIAAwAC4AMAA7AFwAbgAgACAAIAAgACAAIAAgACAAIAAgAFwAIgBTAG8AdQB0AGgAIABBAHUAcwB0AHIAYQBsAGkAYQBcACIALAAgAFwAIgBuAC8AYQBcACIALAAgAFwAIgBBAHUAdAB1AG0AbgBcACIALAAgADAALgA5ACwAIAAtADEALgAxACwAIAAwAC4ANwAsACAAMAAuADIAMgAsACAALQAwAC4ANQA1ACwAIAAwAC4AOAAsACAALQAwAC4AMgAyADsAXABuACAAIAAgACAAIAAgACAAIAAgACAAXAAiAFMAbwB1AHQAaAAgAEEAdQBzAHQAcgBhAGwAaQBhAFwAIgAsACAAXAAiAG4ALwBhAFwAIgAsACAAXAAiAFcAaQBuAHQAZQByAFwAIgAsACAAMAAuADgAOAAsACAAMAAuADAALAAgADAALgA3ADcALAAgADAALgA1ADUALAAgADAALgAwACwAIAAwAC4AOAAyACwAIAAwAC4AMAA7AFwAbgAgACAAIAAgACAAIAAgACAAIAAgAFwAIgBUAGEAcwBtAGEAbgBpAGEAXAAiACwAIABcACIAbgAvAGEAXAAiACwAIABcACIAUwBwAHIAaQBuAGcAXAAiACwAIAAxAC4AMAAsACAAMAAuADUAMAAsACAAMQAuADAALAAgADEALgAwACwAIAAtADAALgA0ADQALAAgADEALgAwACwAIAAwAC4ANQA7AFwAbgAgACAAIAAgACAAIAAgACAAIAAgAFwAIgBUAGEAcwBtAGEAbgBpAGEAXAAiACwAIABcACIAbgAvAGEAXAAiACwAIABcACIAUwB1AG0AbQBlAHIAXAAiACwAIAAwAC4AOAAyACwAIAAwAC4ANQA1ACwAIAAwAC4ANwAxACwAIAAwAC4ANQA1ACwAIAAwAC4AOQA5ACwAIAAwAC4ANwA3ACwAIAAwAC4ANQA7AFwAbgAgACAAIAAgACAAIAAgACAAIAAgAFwAIgBUAGEAcwBtAGEAbgBpAGEAXAAiACwAIABcACIAbgAvAGEAXAAiACwAIABcACIAQQB1AHQAdQBtAG4AXAAiACwAIAAwAC4ANwA3ACwAIAAwAC4ANQAwACwAIAAwAC4ANQA1ACwAIAAwAC4AMQAxACwAIAAtADAALgAzADMALAAgADAALgA2ACwAIAAwAC4AMwAzADsAXABuACAAIAAgACAAIAAgACAAIAAgACAAXAAiAFQAYQBzAG0AYQBuAGkAYQBcACIALAAgAFwAIgBuAC8AYQBcACIALAAgAFwAIgBXAGkAbgB0AGUAcgBcACIALAAgADAALgAxADEALAAgAC0AMAAuADIANwAsACAAMAAuADEAMQAsACAAMAAuADIAMgAsACAALQAwAC4ANAA0ACwAIAAwAC4AMQA2ACwAIAAtADAALgAyADIAOwBcAG4AIAAgACAAIAAgACAAIAAgACAAIABcACIAVgBpAGMAdABvAHIAaQBhAFwAIgAsACAAXAAiAG4ALwBhAFwAIgAsACAAXAAiAFMAcAByAGkAbgBnAFwAIgAsACAAMQAuADEAMAAsACAAMQAuADEAMAAsACAAMQAuADEAMAAsACAAMAAuADkAOQAsACAAMAAuADkAOQAsACAAMQAuADEAMAAsACAAMAAuADcANwA7AFwAbgAgACAAIAAgACAAIAAgACAAIAAgAFwAIgBWAGkAYwB0AG8AcgBpAGEAXAAiACwAIABcACIAbgAvAGEAXAAiACwAIABcACIAUwB1AG0AbQBlAHIAXAAiACwAIAAwAC4AMwAzACwAIAAwAC4AMwAzACwAIAAwAC4AMgAyACwAIAAwAC4AMwAzACwAIAAtADAALgAxADAALAAgADAALgAzADMALAAgADAALgAxADEAOwBcAG4AIAAgACAAIAAgACAAIAAgACAAIABcACIAVgBpAGMAdABvAHIAaQBhAFwAIgAsACAAXAAiAG4ALwBhAFwAIgAsACAAXAAiAEEAdQB0AHUAbQBuAFwAIgAsACAAMAAuADUAMAAsACAAMAAuADIAMAAsACAAMAAuADUANQAsACAAMAAuADQANAAsACAAMAAuADIAMAAsACAAMAAuADUANQAsACAAMAAuADIAMAA7AFwAbgAgACAAIAAgACAAIAAgACAAIAAgAFwAIgBWAGkAYwB0AG8AcgBpAGEAXAAiACwAIABcACIAbgAvAGEAXAAiACwAIABcACIAVwBpAG4AdABlAHIAXAAiACwAIAAwAC4ANQA1ACwAIAAwAC4AMgAyACwAIAAwAC4ANAA5ACwAIAAwAC4AMgAyACwAIAAwAC4AMgAyACwAIAAwAC4ANAA5ACwAIAAwAC4AMwAzADsAXABuACAAIAAgACAAIAAgACAAIAAgACAAXAAiAFcAZQBzAHQAZQByAG4AIABBAHUAcwB0AHIAYQBsAGkAYQBcACIALAAgAFwAIgBTAG8AdQB0AGgAIABXAGUAcwB0AFwAIgAsACAAXAAiAFMAcAByAGkAbgBnAFwAIgAsACAAMQAuADYANAAsACAAMQAuADEAMAAsACAAMQAuADIAMQAsACAAMAAuADkAOQAsACAAMAAuADYANgAsACAAMQAuADQAMgAsACAAMQAuADEAMAA7AFwAbgAgACAAIAAgACAAIAAgACAAIAAgAFwAIgBXAGUAcwB0AGUAcgBuACAAQQB1AHMAdAByAGEAbABpAGEAXAAiACwAIABcACIAUwBvAHUAdABoACAAVwBlAHMAdABcACIALAAgAFwAIgBTAHUAbQBtAGUAcgBcACIALAAgADAALgA0ADQALAAgAC0AMAAuADIAMgAsACAAMAAuADQANAAsACAAMAAuADMAMwAsACAALQAwAC4AMgAyACwAIAAwAC4ANAA0ACwAIAAtADAALgAxADEAOwBcAG4AIAAgACAAIAAgACAAIAAgACAAIABcACIAVwBlAHMAdABlAHIAbgAgAEEAdQBzAHQAcgBhAGwAaQBhAFwAIgAsACAAXAAiAFMAbwB1AHQAaAAgAFcAZQBzAHQAXAAiACwAIABcACIAQQB1AHQAdQBtAG4AXAAiACwAIAAwAC4ANgAwACwAIAAwAC4AMAAwACwAIAAwAC4ANgAwACwAIAAwAC4AMgAyACwAIAAtADAALgA1ADUALAAgADAALgA2ADAALAAgADAALgAwADAAOwBcAG4AIAAgACAAIAAgACAAIAAgACAAIABcACIAVwBlAHMAdABlAHIAbgAgAEEAdQBzAHQAcgBhAGwAaQBhAFwAIgAsACAAXAAiAFMAbwB1AHQAaAAgAFcAZQBzAHQAXAAiACwAIABcACIAVwBpAG4AdABlAHIAXAAiACwAIAAwAC4AOQA5ACwAIAAwAC4AMgAyACwAIAAwAC4ANwA3ACwAIAAwAC4AMQAxACwAIAAwAC4AMQAxACwAIAAwAC4ANwA3ACwAIAAwAC4ANAA0ADsAXABuACAAIAAgACAAIAAgACAAIAAgACAAXAAiAFcAZQBzAHQAZQByAG4AIABBAHUAcwB0AHIAYQBsAGkAYQBcACIALAAgAFwAIgBQAGkAbABiAGEAcgBhAFwAIgAsACAAXAAiAFMAcAByAGkAbgBnAFwAIgAsACAAMAAuADcAMAAsACAALQAwAC4ANQA1ACwAIAAwAC4ANwAwACwAIAAwAC4AMgAyACwAIAAtADAALgAyADIALAAgADAALgA3ADAALAAgAC0AMAAuADIAMgA7AFwAbgAgACAAIAAgACAAIAAgACAAIAAgAFwAIgBXAGUAcwB0AGUAcgBuACAAQQB1AHMAdAByAGEAbABpAGEAXAAiACwAIABcACIAUABpAGwAYgBhAHIAYQBcACIALAAgAFwAIgBTAHUAbQBtAGUAcgBcACIALAAgADAALgA3ADcALAAgADAALgA1ADUALAAgADAALgA3ADcALAAgADAALgA2ADYALAAgADAALgA1ADUALAAgADAALgA3ADcALAAgADAALgAzADMAOwBcAG4AIAAgACAAIAAgACAAIAAgACAAIABcACIAVwBlAHMAdABlAHIAbgAgAEEAdQBzAHQAcgBhAGwAaQBhAFwAIgAsACAAXAAiAFAAaQBsAGIAYQByAGEAXAAiACwAIABcACIAQQB1AHQAdQBtAG4AXAAiACwAIAAwAC4AOAA4ACwAIAAwAC4ANQA1ACwAIAAwAC4AOAA4ACwAIAAwAC4AMgAyACwAIAAwAC4AMgAyACwAIAAwAC4AOAA4ACwAIAAwAC4AMgAyADsAXABuACAAIAAgACAAIAAgACAAIAAgACAAXAAiAFcAZQBzAHQAZQByAG4AIABBAHUAcwB0AHIAYQBsAGkAYQBcACIALAAgAFwAIgBQAGkAbABiAGEAcgBhAFwAIgAsACAAXAAiAFcAaQBuAHQAZQByAFwAIgAsACAAMAAuADIAMgAsACAALQAwAC4ANQA1ACwAIAAwAC4AMgAyACwAIAAwAC4AMQAxACwAIAAtADAALgAyADIALAAgADAALgAyADIALAAgAC0AMAAuADMAMwA7AFwAbgAgACAAIAAgACAAIAAgACAAIAAgAFwAIgBXAGUAcwB0AGUAcgBuACAAQQB1AHMAdAByAGEAbABpAGEAXAAiACwAIABcACIASwBpAG0AYgBlAHIAbABlAHkAXAAiACwAIABcACIAUwBwAHIAaQBuAGcAXAAiACwAIAAwAC4AMgAyACwAIAAtADAALgA1ADUALAAgADAALgAzADMALAAgADAALgAyADIALAAgAC0AMAAuADMAMwAsACAAMAAuADIAMgAsACAALQAwAC4ANQA1ADsAXABuACAAIAAgACAAIAAgACAAIAAgACAAXAAiAFcAZQBzAHQAZQByAG4AIABBAHUAcwB0AHIAYQBsAGkAYQBcACIALAAgAFwAIgBLAGkAbQBiAGUAcgBsAGUAeQBcACIALAAgAFwAIgBTAHUAbQBtAGUAcgBcACIALAAgADAALgA4ADAALAAgADAALgA1ADUALAAgADAALgA3ADAALAAgADAALgA0ADQALAAgADAALgA2ADYALAAgADAALgA4ADAALAAgADAALgA1ADUAOwBcAG4AIAAgACAAIAAgACAAIAAgACAAIABcACIAVwBlAHMAdABlAHIAbgAgAEEAdQBzAHQAcgBhAGwAaQBhAFwAIgAsACAAXAAiAEsAaQBtAGIAZQByAGwAZQB5AFwAIgAsACAAXAAiAEEAdQB0AHUAbQBuAFwAIgAsACAAMAAuADYANgAsACAAMAAuADUANQAsACAAMAAuADUANQAsACAAMAAuADUANQAsACAAMAAuADEAMQAsACAAMAAuADYANgAsACAAMAAuADUANQA7AFwAbgAgACAAIAAgACAAIAAgACAAIAAgAFwAIgBXAGUAcwB0AGUAcgBuACAAQQB1AHMAdAByAGEAbABpAGEAXAAiACwAIABcACIASwBpAG0AYgBlAHIAbABlAHkAXAAiACwAIABcACIAVwBpAG4AdABlAHIAXAAiACwAIAAwAC4AMwAzACwAIAAtADAALgA1ADUALAAgADAALgAxADEALAAgADAALgAxADEALAAgAC0AMAAuADQANAAsACAAMAAuADMAMwAsACAALQAwAC4ANQA1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TABpAHYAZQB3AGUAaQBnAGgAdABHAGEAaQBuAE4AVABRAEwARABcAG4AVABhAGIAbABlACAAQQAuADEALgAyAC4ANAA6ACAAQgBlAGUAZgAgAHAAYQBzAHQAdQByAGUAIABjAGEAdAB0AGwAZQAgAC0AIABMAGkAdgBlAHcAZQBpAGcAaAB0ACAAZwBhAGkAbgAgACgAawBnACkAIAAoAEwAVwBHAGoAawBsACkAIABmAG8AcgAgAE4AVAAgAGEAbgBkACAAUQBMAEQAXABuAC0ALQAtAC0ALQAtAC0ALQAtAC0ALQAtAC0ALQAtAC0ALQAtAC0ALQAtAC0ALQAtAC0ALQAtAC0ALQAtAC0ALQAtAC0ALQAtAC0ALQBcAG4AKgAvAFwAbgBcAG4AUwBvAHUAcgBjAGUARABhAHQAYQBfAFAAYQBzAHQAdQByAGUAQgBlAGUAZgBfAEwAaQB2AGUAdwBlAGkAZwBoAHQARwBhAGkAbgBOAFQAUQBMAEQAXwBUAGkAdABsAGUAXABuACAAIAA9AEwAQQBNAEIARABBACgAXAAiAEIAZQBlAGYAIABwAGEAcwB0AHUAcgBlACAAYwBhAHQAdABsAGUAIAAtACAATABpAHYAZQB3AGUAaQBnAGgAdAAgAGcAYQBpAG4AIAAoAGsAZwApACAAKABMAFcARwBqAGsAbAApACAAZgBvAHIAIABOAFQAIABhAG4AZAAgAFEATABEAFwAIgApADsAXABuAFwAbgBTAG8AdQByAGMAZQBEAGEAdABhAF8AUABhAHMAdAB1AHIAZQBCAGUAZQBmAF8ATABpAHYAZQB3AGUAaQBnAGgAdABHAGEAaQBuAE4AVABRAEwARABfAFYAYQByAGkAYQBiAGwAZQBcAG4AIAAgAD0ATABBAE0AQgBEAEEAKABcACIATABXAEcAagBrAGwAXAAiACkAOwBcAG4AXABuAFMAbwB1AHIAYwBlAEQAYQB0AGEAXwBQAGEAcwB0AHUAcgBlAEIAZQBlAGYAXwBMAGkAdgBlAHcAZQBpAGcAaAB0AEcAYQBpAG4ATgBUAFEATABEAF8AVQBuAGkAdABcAG4AIAAgAD0ATABBAE0AQgBEAEEAKABcACIAawBnAFwAIgApADsAXABuAFwAbgBTAG8AdQByAGMAZQBEAGEAdABhAF8AUABhAHMAdAB1AHIAZQBCAGUAZQBmAF8ATABpAHYAZQB3AGUAaQBnAGgAdABHAGEAaQBuAE4AVABRAEwARABfAFMAbwB1AHIAYwBlAFwAbgAgACAAPQBMAEEATQBCAEQAQQAoAFwAIgBWAEUARQBSAEcAIAAyADAAMgA2ADoAIABUAGEAYgBsAGUAIABBAC4AMQAuADIALgA0AFwAIgApADsAXABuAFwAbgBTAG8AdQByAGMAZQBEAGEAdABhAF8AUABhAHMAdAB1AHIAZQBCAGUAZQBmAF8ATABpAHYAZQB3AGUAaQBnAGgAdABHAGEAaQBuAE4AVABRAEwARABfAFYAYQByAGkAYQB0AGkAbwBuAFwAbgAgACAAPQBMAEEATQBCAEQAQQAoAFwAIgBcACIAKQA7AFwAbgBcAG4AUwBvAHUAcgBjAGUARABhAHQAYQBfAFAAYQBzAHQAdQByAGUAQgBlAGUAZgBfAEwAaQB2AGUAdwBlAGkAZwBoAHQARwBhAGkAbgBOAFQAUQBMAEQAXwBEAGEAdABhAFwAbgAgACAAPQBMAEEATQBCAEQAQQAoAFwAbgAgACAAIAAgAE0AQQBLAEUAQQBSAFIAQQBZACgAMgA5ACwAIAAxADMALABcAG4AIAAgACAAIAAgACAATABBAE0AQgBEAEEAKAByACwAYwAsAFwAbgAgACAAIAAgACAAIAAgACAASQBOAEQARQBYACgAewBcAG4AIAAgACAAIAAgACAAIAAgACAAIABcACIAUwB0AGEAdABlAFwAIgAsACAAXAAiAFIAZQBnAGkAbwBuAFwAIgAsACAAXAAiAFMAZQBhAHMAbwBuAFwAIgAsACAAXAAiAEIAdQBsAGwAIABcAHUAMAAwADMAYwAxAFwAIgAsACAAXAAiAEIAdQBsAGwAIABcAHUAMAAwADMAZQAxAFwAIgAsACAAXAAiAEMAbwB3ACAAXAB1ADAAMAAzAGMAMQBcACIALAAgAFwAIgBDAG8AdwAgADEALQAyAFwAIgAsACAAXAAiAEMAbwB3ACAAMgAtADMAXAAiACwAIABcACIAQwBvAHcAIABcAHUAMAAwADMAZQAzAFwAIgAsACAAXAAiAFMAdABlAGUAcgAgAFwAdQAwADAAMwBjADEAXAAiACwAIABcACIAUwB0AGUAZQByACAAMQAtADIAXAAiACwAIABcACIAUwB0AGUAZQByACAAMgAtADMAXAAiACwAIABcACIAUwB0AGUAZQByACAAXAB1ADAAMAAzAGUAMwBcACIAOwBcAG4AIAAgACAAIAAgACAAIAAgACAAIABcACIATgBvAHIAdABoAGUAcgBuACAAVABlAHIAcgBpAHQAbwByAHkAXAAiACwAIABcACIAQQBsAGkAYwBlACAAUwBwAHIAaQBuAGcAcwBcACIALAAgAFwAIgBTAHAAcgBpAG4AZwBcACIALAAgADAALgAyADIALAAgAC0AMAAuADIAMwAsACAAMAAuADIANQAsACAAMAAuADEANwAsACAAMAAuADEAOAAsACAALQAwAC4AMgA4ACwAIAAwAC4AMwAyACwAIAAwAC4AMgA0ACwAIAAwAC4AMgA1ACwAIAAtADAALgAwADUAOwBcAG4AIAAgACAAIAAgACAAIAAgACAAIABcACIATgBvAHIAdABoAGUAcgBuACAAVABlAHIAcgBpAHQAbwByAHkAXAAiACwAIABcACIAQQBsAGkAYwBlACAAUwBwAHIAaQBuAGcAcwBcACIALAAgAFwAIgBTAHUAbQBtAGUAcgBcACIALAAgADAALgA2ADYALAAgADAALgAyADAALAAgADAALgA2ADIALAAgADAALgA1ADQALAAgADAALgAzADgALAAgADAALgAyADcALAAgADAALgA3ADUALAAgADAALgA2ADQALAAgADAALgA1ADUALAAgADAALgA0ADgAOwBcAG4AIAAgACAAIAAgACAAIAAgACAAIABcACIATgBvAHIAdABoAGUAcgBuACAAVABlAHIAcgBpAHQAbwByAHkAXAAiACwAIABcACIAQQBsAGkAYwBlACAAUwBwAHIAaQBuAGcAcwBcACIALAAgAFwAIgBBAHUAdAB1AG0AbgBcACIALAAgADAALgA0ADkALAAgADAALgAxADMALAAgADAALgA1ADQALAAgADAALgA0ADUALAAgADAALgAzADUALAAgADAALgAxADUALAAgADAALgA2ADMALAAgADAALgA1ADQALAAgADAALgA0ADIALAAgADAALgAyADYAOwBcAG4AIAAgACAAIAAgACAAIAAgACAAIABcACIATgBvAHIAdABoAGUAcgBuACAAVABlAHIAcgBpAHQAbwByAHkAXAAiACwAIABcACIAQQBsAGkAYwBlACAAUwBwAHIAaQBuAGcAcwBcACIALAAgAFwAIgBXAGkAbgB0AGUAcgBcACIALAAgADAALgAyADcALAAgAC0AMAAuADgAMAAsACAAMAAuADIAMgAsACAAMAAuADAAOQAsACAAMAAuADEAMgAsACAAMAAuADAAMgAsACAAMAAuADIANQAsACAAMAAuADEAOAAsACAAMAAuADEAMgAsACAAMAAuADAAMwA7AFwAbgAgACAAIAAgACAAIAAgACAAIAAgAFwAIgBOAG8AcgB0AGgAZQByAG4AIABUAGUAcgByAGkAdABvAHIAeQBcACIALAAgAFwAIgBCAGEAcgBrAGwAeQBcACIALAAgAFwAIgBTAHAAcgBpAG4AZwBcACIALAAgADAALgAyADIALAAgAC0AMAAuADQANAAsACAAMAAuADIAMAAsACAAMAAuADIAMQAsACAAMAAuADEAOAAsACAAMAAuADAAMQAsACAAMAAuADEAMgAsACAAMAAuADAAOQAsACAAXAAiAE4ATwBcACIALAAgAFwAIgBOAE8AXAAiADsAXABuACAAIAAgACAAIAAgACAAIAAgACAAXAAiAE4AbwByAHQAaABlAHIAbgAgAFQAZQByAHIAaQB0AG8AcgB5AFwAIgAsACAAXAAiAEIAYQByAGsAbAB5AFwAIgAsACAAXAAiAFMAdQBtAG0AZQByAFwAIgAsACAAMAAuADYANgAsACAAMAAuADIAMgAsACAAMAAuADYAOAAsACAAMAAuADIAMgAsACAAMAAuADIANAAsACAAMAAuADIANQAsACAAMAAuADYANAAsACAAMAAuADMANwAsACAAXAAiAE4ATwBcACIALAAgAFwAIgBOAE8AXAAiADsAXABuACAAIAAgACAAIAAgACAAIAAgACAAXAAiAE4AbwByAHQAaABlAHIAbgAgAFQAZQByAHIAaQB0AG8AcgB5AFwAIgAsACAAXAAiAEIAYQByAGsAbAB5AFwAIgAsACAAXAAiAEEAdQB0AHUAbQBuAFwAIgAsACAAMAAuADQAOQAsACAAMAAuADAANQAsACAAMAAuADYANAAsACAAMAAuADIANQAsACAAMAAuADIAOQAsACAAMAAuADEAMgAsACAAMAAuADUANwAsACAAMAAuADQAOQAsACAAXAAiAE4ATwBcACIALAAgAFwAIgBOAE8AXAAiADsAXABuACAAIAAgACAAIAAgACAAIAAgACAAXAAiAE4AbwByAHQAaABlAHIAbgAgAFQAZQByAHIAaQB0AG8AcgB5AFwAIgAsACAAXAAiAEIAYQByAGsAbAB5AFwAIgAsACAAXAAiAFcAaQBuAHQAZQByAFwAIgAsACAAMAAuADIANwAsACAALQAwAC4AMgA3ACwAIAAwAC4AMwAxACwAIAAwAC4AMgA5ACwAIAAwAC4AMQA5ACwAIAAwAC4AMAA0ACwAIAAwAC4AMgA2ACwAIAAwAC4AMgA4ACwAIABcACIATgBPAFwAIgAsACAAXAAiAE4ATwBcACIAOwBcAG4AIAAgACAAIAAgACAAIAAgACAAIABcACIATgBvAHIAdABoAGUAcgBuACAAVABlAHIAcgBpAHQAbwByAHkAXAAiACwAIABcACIATgBvAHIAdABoAGUAcgBuAFwAIgAsACAAXAAiAFMAcAByAGkAbgBnAFwAIgAsACAAMAAuADIAMgAsACAALQAwAC4ANAA0ACwAIAAwAC4AMAAwACwAIAAwAC4AMQA1ACwAIAAwAC4AMAA4ACwAIAAwAC4AMQA3ACwAIAAwAC4AMAA2ACwAIAAwAC4AMAAyACwAIAAtADAALgAxADQALAAgAFwAIgBOAE8AXAAiADsAXABuACAAIAAgACAAIAAgACAAIAAgACAAXAAiAE4AbwByAHQAaABlAHIAbgAgAFQAZQByAHIAaQB0AG8AcgB5AFwAIgAsACAAXAAiAE4AbwByAHQAaABlAHIAbgBcACIALAAgAFwAIgBTAHUAbQBtAGUAcgBcACIALAAgADAALgA2ADYALAAgADAALgAyADIALAAgADAALgA3ADkALAAgADAALgA0ADAALAAgADAALgAzADgALAAgADAALgAyADcALAAgADAALgA4ADAALAAgADAALgAxADYALAAgADAALgAzADAALAAgAFwAIgBOAE8AXAAiADsAXABuACAAIAAgACAAIAAgACAAIAAgACAAXAAiAE4AbwByAHQAaABlAHIAbgAgAFQAZQByAHIAaQB0AG8AcgB5AFwAIgAsACAAXAAiAE4AbwByAHQAaABlAHIAbgBcACIALAAgAFwAIgBBAHUAdAB1AG0AbgBcACIALAAgADAALgA0ADkALAAgADAALgAwADUALAAgADAALgA1ADUALAAgADAALgAzADgALAAgADAALgAzADYALAAgADAALgAwADYALAAgADAALgA1ADgALAAgADAALgAyADMALAAgADAALgA0ADAALAAgAFwAIgBOAE8AXAAiADsAXABuACAAIAAgACAAIAAgACAAIAAgACAAXAAiAE4AbwByAHQAaABlAHIAbgAgAFQAZQByAHIAaQB0AG8AcgB5AFwAIgAsACAAXAAiAE4AbwByAHQAaABlAHIAbgBcACIALAAgAFwAIgBXAGkAbgB0AGUAcgBcACIALAAgADAALgAyADcALAAgAC0AMAAuADIANwAsACAAMAAuADAAMgAsACAAMAAuADAAOQAsACAAMAAuADEANgAsACAALQAwAC4AMAA0ACwAIAAwAC4AMgAxACwAIAAwAC4AMAAzACwAIAAwAC4AMQAxACwAIABcACIATgBPAFwAIgA7AFwAbgAgACAAIAAgACAAIAAgACAAIAAgAFwAIgBRAHUAZQBlAG4AcwBsAGEAbgBkAFwAIgAsACAAXAAiAEgAaQBnAGgAXAAiACwAIABcACIAUwBwAHIAaQBuAGcAXAAiACwAIAAwAC4AMgA3ACwAIAAtADAALgAxADkALAAgADAALgAzADgALAAgADAALgAyADUALAAgADAALgAwADcALAAgADAALgAwADUALAAgADAALgA1ADIALAAgADAALgA1ADUALAAgADAALgAxADkALAAgADAALgA2ADAAOwBcAG4AIAAgACAAIAAgACAAIAAgACAAIABcACIAUQB1AGUAZQBuAHMAbABhAG4AZABcACIALAAgAFwAIgBIAGkAZwBoAFwAIgAsACAAXAAiAFMAdQBtAG0AZQByAFwAIgAsACAAMAAuADEANgAsACAAMAAuADEANgAsACAAMAAuADgAMAAsACAAMAAuADUANwAsACAAMAAuADcANgAsACAAMAAuADQAOQAsACAAMAAuADgANAAsACAAMAAuADUAMQAsACAAMAAuADMANgAsACAAMAAuADEANwA7AFwAbgAgACAAIAAgACAAIAAgACAAIAAgAFwAIgBRAHUAZQBlAG4AcwBsAGEAbgBkAFwAIgAsACAAXAAiAEgAaQBnAGgAXAAiACwAIABcACIAQQB1AHQAdQBtAG4AXAAiACwAIAAwAC4ANAA1ACwAIAAwAC4AMQAwACwAIAAwAC4ANAA5ACwAIAAwAC4ANAAxACwAIAAwAC4ANAAwACwAIAAwAC4AMQA3ACwAIAAwAC4ANQA0ACwAIAAwAC4ANgA0ACwAIAAtADAALgAwADUALAAgADAALgAzADIAOwBcAG4AIAAgACAAIAAgACAAIAAgACAAIABcACIAUQB1AGUAZQBuAHMAbABhAG4AZABcACIALAAgAFwAIgBIAGkAZwBoAFwAIgAsACAAXAAiAFcAaQBuAHQAZQByAFwAIgAsACAAMAAuADUAMQAsACAALQAwAC4AMAA3ACwAIAAwAC4AMQAzACwAIAAtADAALgAwADkALAAgAC0AMAAuADEAMwAsACAAMAAuADAANwAsACAAMAAuADIANQAsACAAMAAuADcAMQAsACAAMAAuADEANwAsACAAMAAuADQAMwA7AFwAbgAgACAAIAAgACAAIAAgACAAIAAgAFwAIgBRAHUAZQBlAG4AcwBsAGEAbgBkAFwAIgAsACAAXAAiAE0AbwBkAGUAcgBhAHQAZQAvAEgAaQBnAGgAXAAiACwAIABcACIAUwBwAHIAaQBuAGcAXAAiACwAIAAtADAALgAxADIALAAgAC0AMAAuADEAOQAsACAAMAAuADQAMQAsACAAMAAuADAAOQAsACAAMAAuADQAMQAsACAALQAwAC4AMQA5ACwAIAAwAC4AMAA3ACwAIAAxAC4AMAA3ACwAIAAtADAALgAwADgALAAgADAALgAwADAAOwBcAG4AIAAgACAAIAAgACAAIAAgACAAIABcACIAUQB1AGUAZQBuAHMAbABhAG4AZABcACIALAAgAFwAIgBNAG8AZABlAHIAYQB0AGUALwBIAGkAZwBoAFwAIgAsACAAXAAiAFMAdQBtAG0AZQByAFwAIgAsACAAMAAuADYANQAsACAAMAAuADEAOQAsACAAMAAuADYANQAsACAAMAAuADUAMQAsACAAMAAuADEAOAAsACAAMAAuADYAMwAsACAAMQAuADMAMAAsACAAMAAuADQAOAAsACAAMQAuADEAMgAsACAAMAAuADMAOAA7AFwAbgAgACAAIAAgACAAIAAgACAAIAAgAFwAIgBRAHUAZQBlAG4AcwBsAGEAbgBkAFwAIgAsACAAXAAiAE0AbwBkAGUAcgBhAHQAZQAvAEgAaQBnAGgAXAAiACwAIABcACIAQQB1AHQAdQBtAG4AXAAiACwAIAAwAC4ANwAwACwAIAAwAC4AMQAzACwAIAAwAC4ANQAyACwAIAAwAC4AMwA0ACwAIAAwAC4AMAAyACwAIAAwAC4AMAA0ACwAIAAwAC4ANwA3ACwAIAAwAC4ANAAyACwAIAAwAC4AMQAyACwAIAAwAC4ANwA0ADsAXABuACAAIAAgACAAIAAgACAAIAAgACAAXAAiAFEAdQBlAGUAbgBzAGwAYQBuAGQAXAAiACwAIABcACIATQBvAGQAZQByAGEAdABlAC8ASABpAGcAaABcACIALAAgAFwAIgBXAGkAbgB0AGUAcgBcACIALAAgADAALgAzADIALAAgAC0AMAAuADAANgAsACAAMAAuADIANQAsACAAMAAuADEAOQAsACAALQAwAC4AMQAwACwAIAAtADAALgAwADIALAAgADAALgAwADIALAAgADAALgAyADMALAAgAC0AMAAuADEAMwAsACAAMAAuADAAMAA7AFwAbgAgACAAIAAgACAAIAAgACAAIAAgAFwAIgBRAHUAZQBlAG4AcwBsAGEAbgBkAFwAIgAsACAAXAAiAE0AbwBkAGUAcgBhAHQAZQAvAEwAbwB3AFwAIgAsACAAXAAiAFMAcAByAGkAbgBnAFwAIgAsACAAMAAuADYAMgAsACAALQAwAC4AMQA5ACwAIAAwAC4AMwA3ACwAIAAwAC4ANAAxACwAIAAwAC4AMAA2ACwAIAAtADAALgAwADIALAAgADAALgA0ADcALAAgADAALgA0ADQALAAgADAALgAzADAALAAgADAALgAxADMAOwBcAG4AIAAgACAAIAAgACAAIAAgACAAIABcACIAUQB1AGUAZQBuAHMAbABhAG4AZABcACIALAAgAFwAIgBNAG8AZABlAHIAYQB0AGUALwBMAG8AdwBcACIALAAgAFwAIgBTAHUAbQBtAGUAcgBcACIALAAgADAALgAwADUALAAgADAALgAxADkALAAgADAALgAzADEALAAgADAALgA1ADQALAAgADAALgA1ADMALAAgADAALgAxADUALAAgADAALgAyADgALAAgADAALgA1ADcALAAgADAALgA0ADIALAAgADAALgA0ADAAOwBcAG4AIAAgACAAIAAgACAAIAAgACAAIABcACIAUQB1AGUAZQBuAHMAbABhAG4AZABcACIALAAgAFwAIgBNAG8AZABlAHIAYQB0AGUALwBMAG8AdwBcACIALAAgAFwAIgBBAHUAdAB1AG0AbgBcACIALAAgADAALgAzADMALAAgADAALgAxADMALAAgADAALgAzADkALAAgADAALgAzADYALAAgADAALgAyADYALAAgADAALgAxADEALAAgADAALgA0ADAALAAgADAALgA0ADQALAAgADAALgAzADcALAAgAC0AMAAuADAAMQA7AFwAbgAgACAAIAAgACAAIAAgACAAIAAgAFwAIgBRAHUAZQBlAG4AcwBsAGEAbgBkAFwAIgAsACAAXAAiAE0AbwBkAGUAcgBhAHQAZQAvAEwAbwB3AFwAIgAsACAAXAAiAFcAaQBuAHQAZQByAFwAIgAsACAAMAAuADYAMQAsACAALQAwAC4AMAA2ACwAIAAwAC4AMgAxACwAIAAwAC4AMQA4ACwAIAAwAC4AMQAyACwAIAAwAC4AMAA2ACwAIAAwAC4AMgA5ACwAIAAwAC4ANAAxACwAIAAwAC4ANAAxACwAIAAtADAALgAxADUAOwBcAG4AIAAgACAAIAAgACAAIAAgACAAIABcACIAUQB1AGUAZQBuAHMAbABhAG4AZABcACIALAAgAFwAIgBMAG8AdwBcACIALAAgAFwAIgBTAHAAcgBpAG4AZwBcACIALAAgAC0AMAAuADIAMAAsACAAMAAuADAAMgAsACAAMAAuADIANAAsACAAMAAuADMAMAAsACAAMAAuADIAMwAsACAALQAwAC4AMAA1ACwAIAAwAC4AMwA0ACwAIAAwAC4AMwAwACwAIAAwAC4ANQA3ACwAIAAwAC4ANQAyADsAXABuACAAIAAgACAAIAAgACAAIAAgACAAXAAiAFEAdQBlAGUAbgBzAGwAYQBuAGQAXAAiACwAIABcACIATABvAHcAXAAiACwAIABcACIAUwB1AG0AbQBlAHIAXAAiACwAIAAwAC4ANgAyACwAIAAwAC4AMgAxACwAIAAwAC4AMgA1ACwAIAAwAC4AMwAyACwAIAAwAC4ANAA3ACwAIAAwAC4AMwAxACwAIAAwAC4AMQA0ACwAIAAwAC4ANAAwACwAIAAwAC4AMgA2ACwAIAAwAC4ANAAzADsAXABuACAAIAAgACAAIAAgACAAIAAgACAAXAAiAFEAdQBlAGUAbgBzAGwAYQBuAGQAXAAiACwAIABcACIATABvAHcAXAAiACwAIABcACIAQQB1AHQAdQBtAG4AXAAiACwAIAAwAC4ANAAwACwAIAAwAC4AMQAzACwAIAAwAC4AMQAyACwAIAAwAC4AMgA3ACwAIAAwAC4AMwAwACwAIAAwAC4AMAA4ACwAIAAwAC4AMQAzACwAIAAwAC4AMgA0ACwAIAAwAC4AMQA1ACwAIAAwAC4AMgAxADsAXABuACAAIAAgACAAIAAgACAAIAAgACAAXAAiAFEAdQBlAGUAbgBzAGwAYQBuAGQAXAAiACwAIABcACIATABvAHcAXAAiACwAIABcACIAVwBpAG4AdABlAHIAXAAiACwAIAAwAC4AMAA4ACwAIAAwAC4AMAA0ACwAIAAwAC4AMAA2ACwAIAAwAC4AMQA4ACwAIAAwAC4AMQAxACwAIAAtADAALgAwADcALAAgADAALgAxADMALAAgADAALgAxADYALAAgADAALgA0ADAALAAgADAALgAzADM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RAByAHkATQBhAHQAdABlAHIARABpAGcAZQBzAHQAaQBiAGkAbABpAHQAeQBcAG4AVABhAGIAbABlACAAQQAuADEALgAyAC4ANQA6ACAAQgBlAGUAZgAgAHAAYQBzAHQAdQByAGUAIABjAGEAdAB0AGwAZQAgAC0AIABEAHIAeQAgAG0AYQB0AHQAZQByACAAZABpAGcAZQBzAHQAaQBiAGkAbABpAHQAeQAgAG8AZgAgAGYAZQBlAGQAIABpAG4AdABhAGsAZQAgACgAZgByAGEAYwB0AGkAbwBuACkAIAAoAEQATQBEAGoAKQBcAG4ALQAtAC0ALQAtAC0ALQAtAC0ALQAtAC0ALQAtAC0ALQAtAC0ALQAtAC0ALQAtAC0ALQAtAC0ALQAtAC0ALQAtAC0ALQAtAC0ALQAtAFwAbgAqAC8AXABuAFwAbgBTAG8AdQByAGMAZQBEAGEAdABhAF8AUABhAHMAdAB1AHIAZQBCAGUAZQBmAF8ARAByAHkATQBhAHQAdABlAHIARABpAGcAZQBzAHQAaQBiAGkAbABpAHQAeQBfAFQAaQB0AGwAZQBcAG4AIAAgAD0ATABBAE0AQgBEAEEAKABcACIAQgBlAGUAZgAgAHAAYQBzAHQAdQByAGUAIABjAGEAdAB0AGwAZQAgAC0AIABEAHIAeQAgAG0AYQB0AHQAZQByACAAZABpAGcAZQBzAHQAaQBiAGkAbABpAHQAeQAgAG8AZgAgAGYAZQBlAGQAIABpAG4AdABhAGsAZQAgACgAZgByAGEAYwB0AGkAbwBuACkAIAAoAEQATQBEAGoAKQBcACIAKQA7AFwAbgBcAG4AUwBvAHUAcgBjAGUARABhAHQAYQBfAFAAYQBzAHQAdQByAGUAQgBlAGUAZgBfAEQAcgB5AE0AYQB0AHQAZQByAEQAaQBnAGUAcwB0AGkAYgBpAGwAaQB0AHkAXwBWAGEAcgBpAGEAYgBsAGUAXABuACAAIAA9AEwAQQBNAEIARABBACgAXAAiAEQATQBEAGoAXAAiACkAOwBcAG4AXABuAFMAbwB1AHIAYwBlAEQAYQB0AGEAXwBQAGEAcwB0AHUAcgBlAEIAZQBlAGYAXwBEAHIAeQBNAGEAdAB0AGUAcgBEAGkAZwBlAHMAdABpAGIAaQBsAGkAdAB5AF8AVQBuAGkAdABcAG4AIAAgAD0ATABBAE0AQgBEAEEAKABcACIAZgByAGEAYwB0AGkAbwBuAFwAIgApADsAXABuAFwAbgBTAG8AdQByAGMAZQBEAGEAdABhAF8AUABhAHMAdAB1AHIAZQBCAGUAZQBmAF8ARAByAHkATQBhAHQAdABlAHIARABpAGcAZQBzAHQAaQBiAGkAbABpAHQAeQBfAFMAbwB1AHIAYwBlAFwAbgAgACAAPQBMAEEATQBCAEQAQQAoAFwAIgBWAEUARQBSAEcAIAAyADAAMgA2ADoAIABUAGEAYgBsAGUAIABBAC4AMQAuADIALgA1AFwAIgApADsAXABuAFwAbgBTAG8AdQByAGMAZQBEAGEAdABhAF8AUABhAHMAdAB1AHIAZQBCAGUAZQBmAF8ARAByAHkATQBhAHQAdABlAHIARABpAGcAZQBzAHQAaQBiAGkAbABpAHQAeQBfAFYAYQByAGkAYQB0AGkAbwBuAFwAbgAgACAAPQBMAEEATQBCAEQAQQAoAFwAIgBWAEEAUgBJAEEAVABJAE8ATgAgAE8ATgAgAFMATwBVAFIAQwBFADoAIABTAHAAbABpAHQAIABBAEMAVAAgAGEAbgBkACAATgBTAFcAIABpAG4AdABvACAAcwBlAHAAYQByAGEAdABlACAAcgBvAHcAcwAuACAARAB1AHAAbABpAGMAYQB0AGUAZAAgAFEATABEACAAYQBuAGQAIABOAFQAIAByAG8AdwBzACAAdwBpAHQAaAAgAHIAZQBnAGkAbwBuAHMAIABmAHIAbwBtACAAdABhAGIAbABlACAAQQAuADEALgAyAC4AMgAgAHQAbwAgAGEAaQBkACAAbABvAG8AawB1AHAAXAAiACkAOwBcAG4AXABuAFMAbwB1AHIAYwBlAEQAYQB0AGEAXwBQAGEAcwB0AHUAcgBlAEIAZQBlAGYAXwBEAHIAeQBNAGEAdAB0AGUAcgBEAGkAZwBlAHMAdABpAGIAaQBsAGkAdAB5AF8ARABhAHQAYQBcAG4AIAAgAD0ATABBAE0AQgBEAEEAKABcAG4AIAAgACAAIABNAEEASwBFAEEAUgBSAEEAWQAoADEANgAsACAANgAsAFwAbgAgACAAIAAgACAAIABMAEEATQBCAEQAQQAoAHIALABjACwAXABuACAAIAAgACAAIAAgACAAIABJAE4ARABFAFgAKAB7AFwAbgAgACAAIAAgACAAIAAgACAAIAAgAFwAIgBTAHQAYQB0AGUAXAAiACwAIABcACIAUgBlAGcAaQBvAG4AXAAiACwAIABcACIAUwBwAHIAaQBuAGcAXAAiACwAIABcACIAUwB1AG0AbQBlAHIAXAAiACwAIABcACIAQQB1AHQAdQBtAG4AXAAiACwAIABcACIAVwBpAG4AdABlAHIAXAAiADsAXABuACAAIAAgACAAIAAgACAAIAAgACAAXAAiAEEAQwBUAFwAIgAsACAAXAAiAG4ALwBhAFwAIgAsACAAMAAuADUANQAsACAAMAAuADYANQAsACAAMAAuADYAMAAsACAAMAAuADUAMAA7AFwAbgAgACAAIAAgACAAIAAgACAAIAAgAFwAIgBOAFMAVwBcACIALAAgAFwAIgBuAC8AYQBcACIALAAgADAALgA1ADUALAAgADAALgA2ADUALAAgADAALgA2ADAALAAgADAALgA1ADAAOwBcAG4AIAAgACAAIAAgACAAIAAgACAAIABcACIATgBUAFwAIgAsACAAXAAiAEEAbABpAGMAZQAgAFMAcAByAGkAbgBnAHMAXAAiACwAIAAwAC4ANQA1ACwAIAAwAC4ANgAxACwAIAAwAC4ANQA3ACwAIAAwAC4ANQA0ADsAXABuACAAIAAgACAAIAAgACAAIAAgACAAXAAiAE4AVABcACIALAAgAFwAIgBCAGEAcgBrAGwAeQBcACIALAAgADAALgA1ADUALAAgADAALgA2ADEALAAgADAALgA1ADcALAAgADAALgA1ADQAOwBcAG4AIAAgACAAIAAgACAAIAAgACAAIABcACIATgBUAFwAIgAsACAAXAAiAE4AbwByAHQAaABlAHIAbgBcACIALAAgADAALgA1ADUALAAgADAALgA2ADEALAAgADAALgA1ADcALAAgADAALgA1ADQAOwBcAG4AIAAgACAAIAAgACAAIAAgACAAIABcACIAUQBMAEQAXAAiACwAIABcACIASABpAGcAaABcACIALAAgADAALgA1ADMALAAgADAALgA1ADcALAAgADAALgA1ADUALAAgADAALgA1ADEAOwBcAG4AIAAgACAAIAAgACAAIAAgACAAIABcACIAUQBMAEQAXAAiACwAIABcACIATQBvAGQAZQByAGEAdABlAC8ASABpAGcAaABcACIALAAgADAALgA1ADMALAAgADAALgA1ADcALAAgADAALgA1ADUALAAgADAALgA1ADEAOwBcAG4AIAAgACAAIAAgACAAIAAgACAAIABcACIAUQBMAEQAXAAiACwAIABcACIATQBvAGQAZQByAGEAdABlAC8ATABvAHcAXAAiACwAIAAwAC4ANQAzACwAIAAwAC4ANQA3ACwAIAAwAC4ANQA1ACwAIAAwAC4ANQAxADsAXABuACAAIAAgACAAIAAgACAAIAAgACAAXAAiAFEATABEAFwAIgAsACAAXAAiAEwAbwB3AFwAIgAsACAAMAAuADUAMwAsACAAMAAuADUANwAsACAAMAAuADUANQAsACAAMAAuADUAMQA7AFwAbgAgACAAIAAgACAAIAAgACAAIAAgAFwAIgBTAEEAXAAiACwAIABcACIAbgAvAGEAXAAiACwAIAAwAC4ANwAwACwAIAAwAC4ANQA1ACwAIAAwAC4ANQA1ACwAIAAwAC4ANwA1ADsAXABuACAAIAAgACAAIAAgACAAIAAgACAAXAAiAFQAQQBTAFwAIgAsACAAXAAiAG4ALwBhAFwAIgAsACAAMAAuADcANQAsACAAMAAuADYAMAAsACAAMAAuADcAMAAsACAAMAAuADcANQA7AFwAbgAgACAAIAAgACAAIAAgACAAIAAgAFwAIgBWAEkAQwBcACIALAAgAFwAIgBuAC8AYQBcACIALAAgADAALgA4ADAALAAgADAALgA1ADUALAAgADAALgA2ADAALAAgADAALgA3ADYAOwBcAG4AIAAgACAAIAAgACAAIAAgACAAIABcACIAVwBBAFwAIgAsACAAXAAiAFMAbwB1AHQAaAAgAFcAZQBzAHQAXAAiACwAIAAwAC4AOAAwACwAIAAwAC4ANQA4ACwAIAAwAC4ANQAwACwAIAAwAC4ANwA1ADsAXABuACAAIAAgACAAIAAgACAAIAAgACAAXAAiAFcAQQBcACIALAAgAFwAIgBQAGkAbABiAGEAcgBhAFwAIgAsACAAMAAuADQAMAAsACAAMAAuADYANQAsACAAMAAuADUANQAsACAAMAAuADQANQA7AFwAbgAgACAAIAAgACAAIAAgACAAIAAgAFwAIgBXAEEAXAAiACwAIABcACIASwBpAG0AYgBlAHIAbABlAHkAXAAiACwAIAAwAC4ANAAwACwAIAAwAC4ANgA1ACwAIAAwAC4ANQA1ACwAIAAwAC4ANAA1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QwByAHUAZABlAFAAcgBvAHQAZQBpAG4AQwBvAG4AdABlAG4AdABcAG4AVABhAGIAbABlACAAQQAuADEALgAyAC4ANgA6ACAAQgBlAGUAZgAgAHAAYQBzAHQAdQByAGUAIABjAGEAdAB0AGwAZQAgAC0AIABDAHIAdQBkAGUAIABwAHIAbwB0AGUAaQBuACAAYwBvAG4AdABlAG4AdAAgAG8AZgAgAGYAZQBlAGQAIABpAG4AdABhAGsAZQAgACgAZgByAGEAYwB0AGkAbwBuACkAIAAoAEMAUABqACkAXABuAC0ALQAtAC0ALQAtAC0ALQAtAC0ALQAtAC0ALQAtAC0ALQAtAC0ALQAtAC0ALQAtAC0ALQAtAC0ALQAtAC0ALQAtAC0ALQAtAC0ALQBcAG4AKgAvAFwAbgBcAG4AUwBvAHUAcgBjAGUARABhAHQAYQBfAFAAYQBzAHQAdQByAGUAQgBlAGUAZgBfAEMAcgB1AGQAZQBQAHIAbwB0AGUAaQBuAEMAbwBuAHQAZQBuAHQAXwBUAGkAdABsAGUAXABuACAAIAA9AEwAQQBNAEIARABBACgAXAAiAEIAZQBlAGYAIABwAGEAcwB0AHUAcgBlACAAYwBhAHQAdABsAGUAIAAtACAAQwByAHUAZABlACAAcAByAG8AdABlAGkAbgAgAGMAbwBuAHQAZQBuAHQAIABvAGYAIABmAGUAZQBkACAAaQBuAHQAYQBrAGUAIAAoAGYAcgBhAGMAdABpAG8AbgApACAAKABDAFAAagApAFwAIgApADsAXABuAFwAbgBTAG8AdQByAGMAZQBEAGEAdABhAF8AUABhAHMAdAB1AHIAZQBCAGUAZQBmAF8AQwByAHUAZABlAFAAcgBvAHQAZQBpAG4AQwBvAG4AdABlAG4AdABfAFYAYQByAGkAYQBiAGwAZQBcAG4AIAAgAD0ATABBAE0AQgBEAEEAKABcACIAQwBQAGoAXAAiACkAOwBcAG4AXABuAFMAbwB1AHIAYwBlAEQAYQB0AGEAXwBQAGEAcwB0AHUAcgBlAEIAZQBlAGYAXwBDAHIAdQBkAGUAUAByAG8AdABlAGkAbgBDAG8AbgB0AGUAbgB0AF8AVQBuAGkAdABcAG4AIAAgAD0ATABBAE0AQgBEAEEAKABcACIAZgByAGEAYwB0AGkAbwBuAFwAIgApADsAXABuAFwAbgBTAG8AdQByAGMAZQBEAGEAdABhAF8AUABhAHMAdAB1AHIAZQBCAGUAZQBmAF8AQwByAHUAZABlAFAAcgBvAHQAZQBpAG4AQwBvAG4AdABlAG4AdABfAFMAbwB1AHIAYwBlAFwAbgAgACAAPQBMAEEATQBCAEQAQQAoAFwAIgBWAEUARQBSAEcAIAAyADAAMgA2ADoAIABUAGEAYgBsAGUAIABBAC4AMQAuADIALgA2AFwAIgApADsAXABuAFwAbgBTAG8AdQByAGMAZQBEAGEAdABhAF8AUABhAHMAdAB1AHIAZQBCAGUAZQBmAF8AQwByAHUAZABlAFAAcgBvAHQAZQBpAG4AQwBvAG4AdABlAG4AdABfAFYAYQByAGkAYQB0AGkAbwBuAFwAbgAgACAAPQBMAEEATQBCAEQAQQAoAFwAIgBWAEEAUgBJAEEAVABJAE8ATgAgAE8ATgAgAFMATwBVAFIAQwBFADoAIABTAHAAbABpAHQAIABBAEMAVAAgAGEAbgBkACAATgBTAFcAIABpAG4AdABvACAAcwBlAHAAYQByAGEAdABlACAAcgBvAHcAcwAuACAARAB1AHAAbABpAGMAYQB0AGUAZAAgAFEATABEACAAYQBuAGQAIABOAFQAIAByAG8AdwBzACAAdwBpAHQAaAAgAHIAZQBnAGkAbwBuAHMAIABmAHIAbwBtACAAdABhAGIAbABlACAAQQAuADEALgAyAC4AMgAgAHQAbwAgAGEAaQBkACAAbABvAG8AawB1AHAAXAAiACkAOwBcAG4AXABuAFMAbwB1AHIAYwBlAEQAYQB0AGEAXwBQAGEAcwB0AHUAcgBlAEIAZQBlAGYAXwBDAHIAdQBkAGUAUAByAG8AdABlAGkAbgBDAG8AbgB0AGUAbgB0AF8ARABhAHQAYQBcAG4AIAAgAD0ATABBAE0AQgBEAEEAKABcAG4AIAAgACAAIABNAEEASwBFAEEAUgBSAEEAWQAoADEANgAsACAANgAsAFwAbgAgACAAIAAgACAAIABMAEEATQBCAEQAQQAoAHIALABjACwAXABuACAAIAAgACAAIAAgACAAIABJAE4ARABFAFgAKAB7AFwAbgAgACAAIAAgACAAIAAgACAAIAAgAFwAIgBTAHQAYQB0AGUAXAAiACwAIABcACIAUgBlAGcAaQBvAG4AXAAiACwAIABcACIAUwBwAHIAaQBuAGcAXAAiACwAIABcACIAUwB1AG0AbQBlAHIAXAAiACwAIABcACIAQQB1AHQAdQBtAG4AXAAiACwAIABcACIAVwBpAG4AdABlAHIAXAAiADsAXABuACAAIAAgACAAIAAgACAAIAAgACAAXAAiAEEAQwBUAFwAIgAsACAAXAAiAG4ALwBhAFwAIgAsACAAMAAuADAANwAsACAAMAAuADEAMwAsACAAMAAuADEALAAgADAALgAwADYAOwBcAG4AIAAgACAAIAAgACAAIAAgACAAIABcACIATgBTAFcAXAAiACwAIABcACIAbgAvAGEAXAAiACwAIAAwAC4AMAA3ACwAIAAwAC4AMQAzACwAIAAwAC4AMQAsACAAMAAuADAANgA7AFwAbgAgACAAIAAgACAAIAAgACAAIAAgAFwAIgBOAFQAXAAiACwAIABcACIAQQBsAGkAYwBlACAAUwBwAHIAaQBuAGcAcwBcACIALAAgADAALgAwADUAOAAsACAAMAAuADAAOQAyACwAIAAwAC4AMAA3ADUALAAgADAALgAwADUAMwA7AFwAbgAgACAAIAAgACAAIAAgACAAIAAgAFwAIgBOAFQAXAAiACwAIABcACIAQgBhAHIAawBsAHkAXAAiACwAIAAwAC4AMAA1ADgALAAgADAALgAwADkAMgAsACAAMAAuADAANwA1ACwAIAAwAC4AMAA1ADMAOwBcAG4AIAAgACAAIAAgACAAIAAgACAAIABcACIATgBUAFwAIgAsACAAXAAiAE4AbwByAHQAaABlAHIAbgBcACIALAAgADAALgAwADUAOAAsACAAMAAuADAAOQAyACwAIAAwAC4AMAA3ADUALAAgADAALgAwADUAMwA7AFwAbgAgACAAIAAgACAAIAAgACAAIAAgAFwAIgBRAEwARABcACIALAAgAFwAIgBIAGkAZwBoAFwAIgAsACAAMAAuADAANwAyACwAIAAwAC4AMAA5ADkALAAgADAALgAwADcAOAAsACAAMAAuADAANQA5ADsAXABuACAAIAAgACAAIAAgACAAIAAgACAAXAAiAFEATABEAFwAIgAsACAAXAAiAE0AbwBkAGUAcgBhAHQAZQAvAEgAaQBnAGgAXAAiACwAIAAwAC4AMAA3ADIALAAgADAALgAwADkAOQAsACAAMAAuADAANwA4ACwAIAAwAC4AMAA1ADkAOwBcAG4AIAAgACAAIAAgACAAIAAgACAAIABcACIAUQBMAEQAXAAiACwAIABcACIATQBvAGQAZQByAGEAdABlAC8ATABvAHcAXAAiACwAIAAwAC4AMAA3ADIALAAgADAALgAwADkAOQAsACAAMAAuADAANwA4ACwAIAAwAC4AMAA1ADkAOwBcAG4AIAAgACAAIAAgACAAIAAgACAAIABcACIAUQBMAEQAXAAiACwAIABcACIATABvAHcAXAAiACwAIAAwAC4AMAA3ADIALAAgADAALgAwADkAOQAsACAAMAAuADAANwA4ACwAIAAwAC4AMAA1ADkAOwBcAG4AIAAgACAAIAAgACAAIAAgACAAIABcACIAUwBBAFwAIgAsACAAXAAiAG4ALwBhAFwAIgAsACAAMAAuADEANgAsACAAMAAuADAANwAsACAAMAAuADAAOQAsACAAMAAuADIAOwBcAG4AIAAgACAAIAAgACAAIAAgACAAIABcACIAVABBAFMAXAAiACwAIABcACIAbgAvAGEAXAAiACwAIAAwAC4AMgAsACAAMAAuADEALAAgADAALgAxADYALAAgADAALgAyADsAXABuACAAIAAgACAAIAAgACAAIAAgACAAXAAiAFYASQBDAFwAIgAsACAAXAAiAG4ALwBhAFwAIgAsACAAMAAuADIANQAsACAAMAAuADAANwAsACAAMAAuADEALAAgADAALgAyADEAOwBcAG4AIAAgACAAIAAgACAAIAAgACAAIABcACIAVwBBAFwAIgAsACAAXAAiAFMAbwB1AHQAaAAgAFcAZQBzAHQAXAAiACwAIAAwAC4AMgAsACAAMAAuADAAOQAsACAAMAAuADAANgAsACAAMAAuADIAOwBcAG4AIAAgACAAIAAgACAAIAAgACAAIABcACIAVwBBAFwAIgAsACAAXAAiAFAAaQBsAGIAYQByAGEAXAAiACwAIAAwAC4AMAA0ACwAIAAwAC4AMQAyACwAIAAwAC4AMAA5ACwAIAAwAC4AMAA2ADsAXABuACAAIAAgACAAIAAgACAAIAAgACAAXAAiAFcAQQBcACIALAAgAFwAIgBLAGkAbQBiAGUAcgBsAGUAeQBcACIALAAgADAALgAwADQALAAgADAALgAxADIALAAgADAALgAwADkALAAgADAALgAwADY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RgBlAGUAZABBAGQAagB1AHMAdABtAGUAbgB0AEEAbgBkAE0AaQBsAGsAUAByAG8AZAB1AGMAdABpAG8AbgBcAG4AVABhAGIAbABlACAAQQAuADEALgAyAC4ANwA6ACAAQgBlAGUAZgAgAHAAYQBzAHQAdQByAGUAIABjAGEAdAB0AGwAZQAgAC0AIABGAGUAZQBkACAAaQBuAHQAYQBrAGUAIABhAGQAagB1AHMAdABtAGUAbgB0ACAAYQBuAGQAIABtAGkAbABrACAAcAByAG8AZAB1AGMAdABpAG8AbgAgACgAawBnAC8AaABlAGEAZAAvAGQAYQB5ACkAXABuAC0ALQAtAC0ALQAtAC0ALQAtAC0ALQAtAC0ALQAtAC0ALQAtAC0ALQAtAC0ALQAtAC0ALQAtAC0ALQAtAC0ALQAtAC0ALQAtAC0ALQBcAG4AKgAvAFwAbgBcAG4AUwBvAHUAcgBjAGUARABhAHQAYQBfAFAAYQBzAHQAdQByAGUAQgBlAGUAZgBfAEYAZQBlAGQAQQBkAGoAdQBzAHQAbQBlAG4AdABBAG4AZABNAGkAbABrAFAAcgBvAGQAdQBjAHQAaQBvAG4AXwBUAGkAdABsAGUAXABuACAAIAA9AEwAQQBNAEIARABBACgAXAAiAEIAZQBlAGYAIABwAGEAcwB0AHUAcgBlACAAYwBhAHQAdABsAGUAIAAtACAARgBlAGUAZAAgAGkAbgB0AGEAawBlACAAYQBkAGoAdQBzAHQAbQBlAG4AdAAgAGEAbgBkACAAbQBpAGwAawAgAHAAcgBvAGQAdQBjAHQAaQBvAG4AIAAoAGsAZwAvAGgAZQBhAGQALwBkAGEAeQApAFwAIgApADsAXABuAFwAbgBTAG8AdQByAGMAZQBEAGEAdABhAF8AUABhAHMAdAB1AHIAZQBCAGUAZQBmAF8ARgBlAGUAZABBAGQAagB1AHMAdABtAGUAbgB0AEEAbgBkAE0AaQBsAGsAUAByAG8AZAB1AGMAdABpAG8AbgBfAFYAYQByAGkAYQBiAGwAZQBcAG4AIAAgAD0ATABBAE0AQgBEAEEAKABcACIATQBDAGoAawA9ADEALAAzACwANgA7ACAARABNAFAAagBrAD0ANQBcACIAKQA7AFwAbgBcAG4AUwBvAHUAcgBjAGUARABhAHQAYQBfAFAAYQBzAHQAdQByAGUAQgBlAGUAZgBfAEYAZQBlAGQAQQBkAGoAdQBzAHQAbQBlAG4AdABBAG4AZABNAGkAbABrAFAAcgBvAGQAdQBjAHQAaQBvAG4AXwBVAG4AaQB0AFwAbgAgACAAPQBMAEEATQBCAEQAQQAoAFwAIgBcACIAKQA7AFwAbgBcAG4AUwBvAHUAcgBjAGUARABhAHQAYQBfAFAAYQBzAHQAdQByAGUAQgBlAGUAZgBfAEYAZQBlAGQAQQBkAGoAdQBzAHQAbQBlAG4AdABBAG4AZABNAGkAbABrAFAAcgBvAGQAdQBjAHQAaQBvAG4AXwBTAG8AdQByAGMAZQBcAG4AIAAgAD0ATABBAE0AQgBEAEEAKABcACIAVgBFAEUAUgBHACAAMgAwADIANgA6ACAAVABhAGIAbABlACAAQQAuADEALgAyAC4ANwBcACIAKQA7AFwAbgBcAG4AUwBvAHUAcgBjAGUARABhAHQAYQBfAFAAYQBzAHQAdQByAGUAQgBlAGUAZgBfAEYAZQBlAGQAQQBkAGoAdQBzAHQAbQBlAG4AdABBAG4AZABNAGkAbABrAFAAcgBvAGQAdQBjAHQAaQBvAG4AXwBWAGEAcgBpAGEAdABpAG8AbgBcAG4AIAAgAD0ATABBAE0AQgBEAEEAKABcACIAXAAiACkAOwBcAG4AXABuAFMAbwB1AHIAYwBlAEQAYQB0AGEAXwBQAGEAcwB0AHUAcgBlAEIAZQBlAGYAXwBGAGUAZQBkAEEAZABqAHUAcwB0AG0AZQBuAHQAQQBuAGQATQBpAGwAawBQAHIAbwBkAHUAYwB0AGkAbwBuAF8ARABhAHQAYQBcAG4AIAAgAD0ATABBAE0AQgBEAEEAKABcAG4AIAAgACAAIABNAEEASwBFAEEAUgBSAEEAWQAoADkALAAgADQALABcAG4AIAAgACAAIAAgACAATABBAE0AQgBEAEEAKAByACwAYwAsAFwAbgAgACAAIAAgACAAIAAgACAASQBOAEQARQBYACgAewBcAG4AIAAgACAAIAAgACAAIAAgACAAIABcACIAQgByAGUAZQBkAFwAIgAsACAAXAAiAFMAZQBhAHMAbwBuAFwAIgAsACAAXAAiAEYAZQBlAGQAIABhAGQAagB1AHMAdABtAGUAbgB0ACAAKABNAEMAagBrAD0AMQAsADMALAA2ACkAXAAiACwAIABcACIATQBpAGwAawAgAGkAbgB0AGEAawBlACAALwAgAHAAcgBvAGQAdQBjAHQAaQBvAG4AIAAoAEQATQBQAGoAawA9ADUAKQBcACIAOwBcAG4AIAAgACAAIAAgACAAIAAgACAAIABcACIASABlAHIAZQBmAG8AcgBkACAAbwByACAAUwBoAG8AcgB0AGgAbwByAG4AIABiAHIAZQBlAGQAcwBcACIALAAgAFwAIgBTAHAAcgBpAG4AZwBcACIALAAgADEALgAzACwAIAA2ADsAXABuACAAIAAgACAAIAAgACAAIAAgACAAXAAiAEgAZQByAGUAZgBvAHIAZAAgAG8AcgAgAFMAaABvAHIAdABoAG8AcgBuACAAYgByAGUAZQBkAHMAXAAiACwAIABcACIAUwB1AG0AbQBlAHIAXAAiACwAIAAxAC4AMQAsACAANAA7AFwAbgAgACAAIAAgACAAIAAgACAAIAAgAFwAIgBIAGUAcgBlAGYAbwByAGQAIABvAHIAIABTAGgAbwByAHQAaABvAHIAbgAgAGIAcgBlAGUAZABzAFwAIgAsACAAXAAiAEEAdQB0AHUAbQBuAFwAIgAsACAAMAAsACAAMAA7AFwAbgAgACAAIAAgACAAIAAgACAAIAAgAFwAIgBIAGUAcgBlAGYAbwByAGQAIABvAHIAIABTAGgAbwByAHQAaABvAHIAbgAgAGIAcgBlAGUAZABzAFwAIgAsACAAXAAiAFcAaQBuAHQAZQByAFwAIgAsACAAMAAsACAAMAA7AFwAbgAgACAAIAAgACAAIAAgACAAIAAgAFwAIgBOAG8AcgB0AGgAZQByAG4AIABCAHIAYQBoAG0AYQBuACAAYwByAG8AcwBzACAAYgByAGUAZQBkAFwAIgAsACAAXAAiAFMAcAByAGkAbgBnAFwAIgAsACAAMAAsACAAMAA7AFwAbgAgACAAIAAgACAAIAAgACAAIAAgAFwAIgBOAG8AcgB0AGgAZQByAG4AIABCAHIAYQBoAG0AYQBuACAAYwByAG8AcwBzACAAYgByAGUAZQBkAFwAIgAsACAAXAAiAFMAdQBtAG0AZQByAFwAIgAsACAAMQAuADMALAAgADQAOwBcAG4AIAAgACAAIAAgACAAIAAgACAAIABcACIATgBvAHIAdABoAGUAcgBuACAAQgByAGEAaABtAGEAbgAgAGMAcgBvAHMAcwAgAGIAcgBlAGUAZABcACIALAAgAFwAIgBBAHUAdAB1AG0AbgBcACIALAAgADEALgAxACwAIAAzADsAXABuACAAIAAgACAAIAAgACAAIAAgACAAXAAiAE4AbwByAHQAaABlAHIAbgAgAEIAcgBhAGgAbQBhAG4AIABjAHIAbwBzAHMAIABiAHIAZQBlAGQAXAAiACwAIABcACIAVwBpAG4AdABlAHIAXAAiACwAIAAwACwAIAAw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UwB0AGEAbgBkAGEAcgBkAFIAZQBmAGUAcgBlAG4AYwBlAFcAZQBpAGcAaAB0AHMAXABuAFQAYQBiAGwAZQAgAEEALgAxAC4AMgAuADgAOgAgAEIAZQBlAGYAIABwAGEAcwB0AHUAcgBlACAAYwBhAHQAdABsAGUAIAAtACAAUwB0AGEAbgBkAGEAcgBkACAAcgBlAGYAZQByAGUAbgBjAGUAIAB3AGUAaQBnAGgAdABzACAAKABrAGcAKQAgACgAUwBSAFcAawApAFwAbgAtAC0ALQAtAC0ALQAtAC0ALQAtAC0ALQAtAC0ALQAtAC0ALQAtAC0ALQAtAC0ALQAtAC0ALQAtAC0ALQAtAC0ALQAtAC0ALQAtAC0AXABuACoALwBcAG4AXABuAFMAbwB1AHIAYwBlAEQAYQB0AGEAXwBQAGEAcwB0AHUAcgBlAEIAZQBlAGYAXwBTAHQAYQBuAGQAYQByAGQAUgBlAGYAZQByAGUAbgBjAGUAVwBlAGkAZwBoAHQAcwBfAFQAaQB0AGwAZQBcAG4AIAAgAD0ATABBAE0AQgBEAEEAKABcACIAQgBlAGUAZgAgAHAAYQBzAHQAdQByAGUAIABjAGEAdAB0AGwAZQAgAC0AIABTAHQAYQBuAGQAYQByAGQAIAByAGUAZgBlAHIAZQBuAGMAZQAgAHcAZQBpAGcAaAB0AHMAIAAoAGsAZwApACAAKABTAFIAVwBrACkAXAAiACkAOwBcAG4AXABuAFMAbwB1AHIAYwBlAEQAYQB0AGEAXwBQAGEAcwB0AHUAcgBlAEIAZQBlAGYAXwBTAHQAYQBuAGQAYQByAGQAUgBlAGYAZQByAGUAbgBjAGUAVwBlAGkAZwBoAHQAcwBfAFYAYQByAGkAYQBiAGwAZQBcAG4AIAAgAD0ATABBAE0AQgBEAEEAKABcACIAUwBSAFcAawBcACIAKQA7AFwAbgBcAG4AUwBvAHUAcgBjAGUARABhAHQAYQBfAFAAYQBzAHQAdQByAGUAQgBlAGUAZgBfAFMAdABhAG4AZABhAHIAZABSAGUAZgBlAHIAZQBuAGMAZQBXAGUAaQBnAGgAdABzAF8AVQBuAGkAdABcAG4AIAAgAD0ATABBAE0AQgBEAEEAKABcACIAawBnAFwAIgApADsAXABuAFwAbgBTAG8AdQByAGMAZQBEAGEAdABhAF8AUABhAHMAdAB1AHIAZQBCAGUAZQBmAF8AUwB0AGEAbgBkAGEAcgBkAFIAZQBmAGUAcgBlAG4AYwBlAFcAZQBpAGcAaAB0AHMAXwBTAG8AdQByAGMAZQBcAG4AIAAgAD0ATABBAE0AQgBEAEEAKABcACIAVgBFAEUAUgBHACAAMgAwADIANgA6ACAAVABhAGIAbABlACAAQQAuADEALgAyAC4AOABcACIAKQA7AFwAbgBcAG4AUwBvAHUAcgBjAGUARABhAHQAYQBfAFAAYQBzAHQAdQByAGUAQgBlAGUAZgBfAFMAdABhAG4AZABhAHIAZABSAGUAZgBlAHIAZQBuAGMAZQBXAGUAaQBnAGgAdABzAF8AVgBhAHIAaQBhAHQAaQBvAG4AXABuACAAIAA9AEwAQQBNAEIARABBACgAXAAiAFYAQQBSAEkAQQBUAEkATwBOACAATwBOACAAUwBPAFUAUgBDAEUAOgAgAFMAcABsAGkAdAAgAEEAQwBUACAAYQBuAGQAIABOAFMAVwAgAGkAbgB0AG8AIABzAGUAcABhAHIAYQB0AGUAIAByAG8AdwBzAC4AIABBAGQAZABlAGQAIABcAHUAMAAwADIANwBTAHQAYQB0AGUAIABhAGIAYgByAGUAdgBpAGEAdABpAG8AbgBcAHUAMAAwADIANwAgAGMAbwBsAHUAbQBuACAAdABvACAAYQBpAGQAIABsAG8AbwBrAHUAcAAuAFwAIgApADsAXABuAFwAbgBTAG8AdQByAGMAZQBEAGEAdABhAF8AUABhAHMAdAB1AHIAZQBCAGUAZQBmAF8AUwB0AGEAbgBkAGEAcgBkAFIAZQBmAGUAcgBlAG4AYwBlAFcAZQBpAGcAaAB0AHMAXwBEAGEAdABhAFwAbgAgACAAPQBMAEEATQBCAEQAQQAoAFwAbgAgACAAIAAgAE0AQQBLAEUAQQBSAFIAQQBZACgAOQAsACAAOQAsAFwAbgAgACAAIAAgACAAIABMAEEATQBCAEQAQQAoAHIALABjACwAXABuACAAIAAgACAAIAAgACAAIABJAE4ARABFAFgAKAB7AFwAbgAgACAAIAAgACAAIAAgACAAIAAgAFwAIgBTAHQAYQB0AGUAXAAiACwAIABcACIAQgB1AGwAbABzACAAXAB1ADAAMAAzAGMAMQBcACIALAAgAFwAIgBCAHUAbABsAHMAIABcAHUAMAAwADMAZQAxAFwAIgAsACAAXAAiAEMAbwB3AHMAIABcAHUAMAAwADMAYwAxAFwAIgAsACAAXAAiAEMAbwB3AHMAIAAxAC0AMgBcACIALAAgAFwAIgBDAG8AdwBzACAAXAB1ADAAMAAzAGUAMgBcACIALAAgAFwAIgBTAHQAZQBlAHIAIABcAHUAMAAwADMAYwAxAFwAIgAsACAAXAAiAFMAdABlAGUAcgAgAFwAdQAwADAAMwBlADEAXAAiACwAIABcACIAUwB0AGEAdABlACAAYQBiAGIAcgBlAHYAaQBhAHQAaQBvAG4AXAAiADsAXABuACAAIAAgACAAIAAgACAAIAAgACAAXAAiAEEAQwBUAFwAIgAsACAANwAwADAALAAgADcAMAAwACwAIAA1ADAAMAAsACAANQAwADAALAAgADUAMAAwACwAIAA2ADAAMAAsACAANgAwADAALAAgAFwAIgBBAEMAVABcACIAOwBcAG4AIAAgACAAIAAgACAAIAAgACAAIABcACIATgBTAFcAXAAiACwAIAA3ADAAMAAsACAANwAwADAALAAgADUAMAAwACwAIAA1ADAAMAAsACAANQAwADAALAAgADYAMAAwACwAIAA2ADAAMAAsACAAXAAiAE4AUwBXAFwAIgA7AFwAbgAgACAAIAAgACAAIAAgACAAIAAgAFwAIgBOAG8AcgB0AGgAZQByAG4AIABUAGUAcgByAGkAdABvAHIAeQBcACIALAAgADcANwAwACwAIAA3ADcAMAAsACAANQA1ADAALAAgADUANQAwACwAIAA1ADUAMAAsACAANgA2ADAALAAgADYANgAwACwAIABcACIATgBUAFwAIgA7AFwAbgAgACAAIAAgACAAIAAgACAAIAAgAFwAIgBRAHUAZQBlAG4AcwBsAGEAbgBkAFwAIgAsACAANwA3ADAALAAgADcANwAwACwAIAA1ADUAMAAsACAANQA1ADAALAAgADUANQAwACwAIAA2ADYAMAAsACAANgA2ADAALAAgAFwAIgBRAEwARABcACIAOwBcAG4AIAAgACAAIAAgACAAIAAgACAAIABcACIAUwBvAHUAdABoACAAQQB1AHMAdAByAGEAbABpAGEAXAAiACwAIAA3ADcAMAAsACAANwA3ADAALAAgADUANQAwACwAIAA1ADUAMAAsACAANQA1ADAALAAgADYANgAwACwAIAA2ADYAMAAsACAAXAAiAFMAQQBcACIAOwBcAG4AIAAgACAAIAAgACAAIAAgACAAIABcACIAVABhAHMAbQBhAG4AaQBhAFwAIgAsACAANwA3ADAALAAgADcANwAwACwAIAA1ADUAMAAsACAANQA1ADAALAAgADUANQAwACwAIAA2ADYAMAAsACAANgA2ADAALAAgAFwAIgBUAEEAUwBcACIAOwBcAG4AIAAgACAAIAAgACAAIAAgACAAIABcACIAVgBpAGMAdABvAHIAaQBhAFwAIgAsACAANwA3ADAALAAgADcANwAwACwAIAA1ADUAMAAsACAANQA1ADAALAAgADUANQAwACwAIAA2ADYAMAAsACAANgA2ADAALAAgAFwAIgBWAEkAQwBcACIAOwBcAG4AIAAgACAAIAAgACAAIAAgACAAIABcACIAVwBlAHMAdABlAHIAbgAgAEEAdQBzAHQAcgBhAGwAaQBhAFwAIgAsACAANwA3ADAALAAgADcANwAwACwAIAA1ADUAMAAsACAANQA1ADAALAAgADUANQAwACwAIAA2ADYAMAAsACAANgA2ADAALAAgAFwAIgBXAEEAXAAi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RgByAGEAYwB0AGkAbwBuAE8AZgBNAGEAbgB1AHIAZQBUAG8ATQBNAFMAXABuAFQAYQBiAGwAZQAgAEEALgAxAC4AMgAuADkAOgAgAEIAZQBlAGYAIABwAGEAcwB0AHUAcgBlACAAYwBhAHQAdABsAGUAIAAtACAARgByAGEAYwB0AGkAbwBuACAAbwBmACAAbQBhAG4AdQByAGUAIAB0AG8AIABlAGEAYwBoACAAbQBhAG4AdQByAGUAIABtAGEAbgBhAGcAZQBtAGUAbgB0ACAAcwB5AHMAdABlAG0AIAAoAGYAcgBhAGMAdABpAG8AbgApACAAKABNAE0AUwBtACkAXABuAC0ALQAtAC0ALQAtAC0ALQAtAC0ALQAtAC0ALQAtAC0ALQAtAC0ALQAtAC0ALQAtAC0ALQAtAC0ALQAtAC0ALQAtAC0ALQAtAC0ALQBcAG4AKgAvAFwAbgBcAG4AUwBvAHUAcgBjAGUARABhAHQAYQBfAFAAYQBzAHQAdQByAGUAQgBlAGUAZgBfAEYAcgBhAGMAdABpAG8AbgBPAGYATQBhAG4AdQByAGUAVABvAE0ATQBTAF8AVABpAHQAbABlAFwAbgAgACAAPQBMAEEATQBCAEQAQQAoAFwAIgBCAGUAZQBmACAAcABhAHMAdAB1AHIAZQAgAGMAYQB0AHQAbABlACAALQAgAEYAcgBhAGMAdABpAG8AbgAgAG8AZgAgAG0AYQBuAHUAcgBlACAAdABvACAAZQBhAGMAaAAgAG0AYQBuAHUAcgBlACAAbQBhAG4AYQBnAGUAbQBlAG4AdAAgAHMAeQBzAHQAZQBtACAAKABmAHIAYQBjAHQAaQBvAG4AKQAgACgATQBNAFMAbQApAFwAIgApADsAXABuAFwAbgBTAG8AdQByAGMAZQBEAGEAdABhAF8AUABhAHMAdAB1AHIAZQBCAGUAZQBmAF8ARgByAGEAYwB0AGkAbwBuAE8AZgBNAGEAbgB1AHIAZQBUAG8ATQBNAFMAXwBWAGEAcgBpAGEAYgBsAGUAXABuACAAIAA9AEwAQQBNAEIARABBACgAXAAiAE0ATQBTAG0AXAAiACkAOwBcAG4AXABuAFMAbwB1AHIAYwBlAEQAYQB0AGEAXwBQAGEAcwB0AHUAcgBlAEIAZQBlAGYAXwBGAHIAYQBjAHQAaQBvAG4ATwBmAE0AYQBuAHUAcgBlAFQAbwBNAE0AUwBfAFUAbgBpAHQAXABuACAAIAA9AEwAQQBNAEIARABBACgAXAAiAGYAcgBhAGMAdABpAG8AbgBcACIAKQA7AFwAbgBcAG4AUwBvAHUAcgBjAGUARABhAHQAYQBfAFAAYQBzAHQAdQByAGUAQgBlAGUAZgBfAEYAcgBhAGMAdABpAG8AbgBPAGYATQBhAG4AdQByAGUAVABvAE0ATQBTAF8AUwBvAHUAcgBjAGUAXABuACAAIAA9AEwAQQBNAEIARABBACgAXAAiAFYARQBFAFIARwAgADIAMAAyADYAOgAgAFQAYQBiAGwAZQAgAEEALgAxAC4AMgAuADkAXAAiACkAOwBcAG4AXABuAFMAbwB1AHIAYwBlAEQAYQB0AGEAXwBQAGEAcwB0AHUAcgBlAEIAZQBlAGYAXwBGAHIAYQBjAHQAaQBvAG4ATwBmAE0AYQBuAHUAcgBlAFQAbwBNAE0AUwBfAFYAYQByAGkAYQB0AGkAbwBuAFwAbgAgACAAPQBMAEEATQBCAEQAQQAoAFwAIgBWAEEAUgBJAEEAVABJAE8ATgAgAE8ATgAgAFMATwBVAFIAQwBFADoAIABSAGUAbQBvAHYAZQBkACAAYwBvAG0AbQBhACAAZgByAG8AbQAgAFwAdQAwADAAMgA3AFAAYQBzAHQAdQByAGUAIAByAGEAbgBnAGUAIABhAG4AZAAgAHAAYQBkAGQAbwBjAGsAXAB1ADAAMAAyADcAIAB0AG8AIABhAGkAZAAgAGwAbwBvAGsAdQBwAFwAIgApADsAXABuAFwAbgBTAG8AdQByAGMAZQBEAGEAdABhAF8AUABhAHMAdAB1AHIAZQBCAGUAZQBmAF8ARgByAGEAYwB0AGkAbwBuAE8AZgBNAGEAbgB1AHIAZQBUAG8ATQBNAFMAXwBEAGEAdABhAFwAbgAgACAAPQBMAEEATQBCAEQAQQAoAFwAbgAgACAAIAAgAE0AQQBLAEUAQQBSAFIAQQBZACgAMQA2ACwAIAA0ACwAXABuACAAIAAgACAAIAAgAEwAQQBNAEIARABBACgAcgAsAGMALABcAG4AIAAgACAAIAAgACAAIAAgAEkATgBEAEUAWAAoAHsAXABuACAAIAAgACAAIAAgACAAIAAgACAAXAAiAFMAdABhAHQAZQBcACIALAAgAFwAIgBSAGUAZwBpAG8AbgBcACIALAAgAFwAIgBQAGEAcwB0AHUAcgBlACAAcgBhAG4AZwBlACAAYQBuAGQAIABwAGEAZABkAG8AYwBrAFwAIgAsACAAXAAiAFUAbgBjAG8AdgBlAHIAZQBkACAAQQBuAGEAZQByAG8AYgBpAGMAIABsAGEAZwBvAG8AbgBcACIAOwBcAG4AIAAgACAAIAAgACAAIAAgACAAIABcACIAQQBDAFQAXAAiACwAIABcACIAbgAvAGEAXAAiACwAIAA5ADkALgAxADkAMgAsACAAMAAuADgAMAA4ADsAXABuACAAIAAgACAAIAAgACAAIAAgACAAXAAiAE4AUwBXAFwAIgAsACAAXAAiAG4ALwBhAFwAIgAsACAAOQA5AC4ANAA1ADIALAAgADAALgA1ADQAOAA7AFwAbgAgACAAIAAgACAAIAAgACAAIAAgAFwAIgBTAEEAXAAiACwAIABcACIAbgAvAGEAXAAiACwAIAA5ADkALgA3ADUAOQAsACAAMAAuADIANAAxADsAXABuACAAIAAgACAAIAAgACAAIAAgACAAXAAiAFQAQQBTAFwAIgAsACAAXAAiAG4ALwBhAFwAIgAsACAAOQA5AC4AMQAyADIALAAgADAALgA4ADcAOAA7AFwAbgAgACAAIAAgACAAIAAgACAAIAAgAFwAIgBWAEkAQwBcACIALAAgAFwAIgBuAC8AYQBcACIALAAgADkAOAAuADgAOQA0ACwAIAAxAC4AMQAwADYAOwBcAG4AIAAgACAAIAAgACAAIAAgACAAIABcACIAVwBBAFwAIgAsACAAXAAiAFMAbwB1AHQAaAAgAFcAZQBzAHQAXAAiACwAIAA5ADkALgA2ADIAMgAsACAAMAAuADMANwA4ADsAXABuACAAIAAgACAAIAAgACAAIAAgACAAXAAiAFcAQQBcACIALAAgAFwAIgBQAGkAbABiAGEAcgBhAFwAIgAsACAAOQA5AC4AOQA5ADkALAAgADAALgAwADAAMQA7AFwAbgAgACAAIAAgACAAIAAgACAAIAAgAFwAIgBXAEEAXAAiACwAIABcACIASwBpAG0AYgBlAHIAbABlAHkAXAAiACwAIAA5ADkALgA5ADkAOQAsACAAMAAuADAAMAAxADsAXABuACAAIAAgACAAIAAgACAAIAAgACAAXAAiAE4AVABcACIALAAgAFwAIgBBAGwAaQBjAGUAIABTAHAAcgBpAG4AZwBzAFwAIgAsACAAOQA5AC4AOQA5ADkALAAgADAALgAwADAAMQA7AFwAbgAgACAAIAAgACAAIAAgACAAIAAgAFwAIgBOAFQAXAAiACwAIABcACIAQgBhAHIAawBsAHkAXAAiACwAIAA5ADkALgA5ADkANAAsACAAMAAuADAAMAA2ADsAXABuACAAIAAgACAAIAAgACAAIAAgACAAXAAiAE4AVABcACIALAAgAFwAIgBOAG8AcgB0AGgAZQByAG4AXAAiACwAIAA5ADkALgA5ADkAOQAsACAAMAAuADAAMAAxADsAXABuACAAIAAgACAAIAAgACAAIAAgACAAXAAiAFEATABEAFwAIgAsACAAXAAiAEgAaQBnAGgAXAAiACwAIAA5ADkALgA3ADcAMwAsACAAMAAuADIAMgA3ADsAXABuACAAIAAgACAAIAAgACAAIAAgACAAXAAiAFEATABEAFwAIgAsACAAXAAiAE0AbwBkAGUAcgBhAHQAZQAvAEgAaQBnAGgAXAAiACwAIAA5ADkALgA4ADkAOAAsACAAMAAuADEAMAAyADsAXABuACAAIAAgACAAIAAgACAAIAAgACAAXAAiAFEATABEAFwAIgAsACAAXAAiAE0AbwBkAGUAcgBhAHQAZQAvAEwAbwB3AFwAIgAsACAAOQA5AC4AOQA3ADkALAAgADAALgAwADIAMQA7AFwAbgAgACAAIAAgACAAIAAgACAAIAAgAFwAIgBRAEwARABcACIALAAgAFwAIgBMAG8AdwBcACIALAAgADkAOQAuADkANwA3ACwAIAAwAC4AMAAyADM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NAGUAdABoAGEAbgBlAEMAbwBuAHYAZQByAHMAaQBvAG4ARgBhAGMAdABvAHIAUABlAHIAUgBlAGcAaQBvAG4AXABuAFQAYQBiAGwAZQAgAEEALgAxAC4AMgAuADEAMAA6ACAAQgBlAGUAZgAgAHAAYQBzAHQAdQByAGUAIABjAGEAdAB0AGwAZQAgAC0AIABNAGUAdABoAGEAbgBlACAAYwBvAG4AdgBlAHIAcwBpAG8AbgAgAGYAYQBjAHQAbwByACAAcABlAHIAIAByAGUAZwBpAG8AbgAgACgAZgByAGEAYwB0AGkAbwBuACkAIAAoAE0AQwBGAGkAbQApAFwAbgAtAC0ALQAtAC0ALQAtAC0ALQAtAC0ALQAtAC0ALQAtAC0ALQAtAC0ALQAtAC0ALQAtAC0ALQAtAC0ALQAtAC0ALQAtAC0ALQAtAC0AXABuACoALwBcAG4AXABuAFMAbwB1AHIAYwBlAEQAYQB0AGEAXwBQAGEAcwB0AHUAcgBlAEIAZQBlAGYAXwBNAGUAdABoAGEAbgBlAEMAbwBuAHYAZQByAHMAaQBvAG4ARgBhAGMAdABvAHIAUABlAHIAUgBlAGcAaQBvAG4AXwBUAGkAdABsAGUAXABuACAAIAA9AEwAQQBNAEIARABBACgAXAAiAEIAZQBlAGYAIABwAGEAcwB0AHUAcgBlACAAYwBhAHQAdABsAGUAIAAtACAATQBlAHQAaABhAG4AZQAgAGMAbwBuAHYAZQByAHMAaQBvAG4AIABmAGEAYwB0AG8AcgAgAHAAZQByACAAcgBlAGcAaQBvAG4AIAAoAGYAcgBhAGMAdABpAG8AbgApACAAKABNAEMARgBpAG0AKQBcACIAKQA7AFwAbgBcAG4AUwBvAHUAcgBjAGUARABhAHQAYQBfAFAAYQBzAHQAdQByAGUAQgBlAGUAZgBfAE0AZQB0AGgAYQBuAGUAQwBvAG4AdgBlAHIAcwBpAG8AbgBGAGEAYwB0AG8AcgBQAGUAcgBSAGUAZwBpAG8AbgBfAFYAYQByAGkAYQBiAGwAZQBcAG4AIAAgAD0ATABBAE0AQgBEAEEAKABcACIATQBDAEYAaQBtAFwAIgApADsAXABuAFwAbgBTAG8AdQByAGMAZQBEAGEAdABhAF8AUABhAHMAdAB1AHIAZQBCAGUAZQBmAF8ATQBlAHQAaABhAG4AZQBDAG8AbgB2AGUAcgBzAGkAbwBuAEYAYQBjAHQAbwByAFAAZQByAFIAZQBnAGkAbwBuAF8AVQBuAGkAdABcAG4AIAAgAD0ATABBAE0AQgBEAEEAKABcACIAZgByAGEAYwB0AGkAbwBuAFwAIgApADsAXABuAFwAbgBTAG8AdQByAGMAZQBEAGEAdABhAF8AUABhAHMAdAB1AHIAZQBCAGUAZQBmAF8ATQBlAHQAaABhAG4AZQBDAG8AbgB2AGUAcgBzAGkAbwBuAEYAYQBjAHQAbwByAFAAZQByAFIAZQBnAGkAbwBuAF8AUwBvAHUAcgBjAGUAXABuACAAIAA9AEwAQQBNAEIARABBACgAXAAiAFYARQBFAFIARwAgADIAMAAyADYAOgAgAFQAYQBiAGwAZQAgAEEALgAxAC4AMgAuADEAMABcACIAKQA7AFwAbgBcAG4AUwBvAHUAcgBjAGUARABhAHQAYQBfAFAAYQBzAHQAdQByAGUAQgBlAGUAZgBfAE0AZQB0AGgAYQBuAGUAQwBvAG4AdgBlAHIAcwBpAG8AbgBGAGEAYwB0AG8AcgBQAGUAcgBSAGUAZwBpAG8AbgBfAFYAYQByAGkAYQB0AGkAbwBuAFwAbgAgACAAPQBMAEEATQBCAEQAQQAoAFwAIgBWAEEAUgBJAEEAVABJAE8ATgAgAE8ATgAgAFMATwBVAFIAQwBFADoAIABSAGUAbQBvAHYAZQBkACAAYwBvAG0AbQBhACAAZgByAG8AbQAgAFwAdQAwADAAMgA3AFAAYQBzAHQAdQByAGUAIAByAGEAbgBnAGUAIABhAG4AZAAgAHAAYQBkAGQAbwBjAGsAXAB1ADAAMAAyADcAIAB0AG8AIABhAGkAZAAgAGwAbwBvAGsAdQBwAFwAIgApADsAXABuAFwAbgBTAG8AdQByAGMAZQBEAGEAdABhAF8AUABhAHMAdAB1AHIAZQBCAGUAZQBmAF8ATQBlAHQAaABhAG4AZQBDAG8AbgB2AGUAcgBzAGkAbwBuAEYAYQBjAHQAbwByAFAAZQByAFIAZQBnAGkAbwBuAF8ARABhAHQAYQBcAG4AIAAgAD0ATABBAE0AQgBEAEEAKABcAG4AIAAgACAAIABNAEEASwBFAEEAUgBSAEEAWQAoADEANgAsACAANAAsAFwAbgAgACAAIAAgACAAIABMAEEATQBCAEQAQQAoAHIALABjACwAXABuACAAIAAgACAAIAAgACAAIABJAE4ARABFAFgAKAB7AFwAbgAgACAAIAAgACAAIAAgACAAIAAgAFwAIgBTAHQAYQB0AGUAXAAiACwAIABcACIAUgBlAGcAaQBvAG4AXAAiACwAIABcACIAUABhAHMAdAB1AHIAZQAgAHIAYQBuAGcAZQAgAGEAbgBkACAAcABhAGQAZABvAGMAawBcACIALAAgAFwAIgBVAG4AYwBvAHYAZQByAGUAZAAgAEEAbgBhAGUAcgBvAGIAaQBjACAAbABhAGcAbwBvAG4AXAAiADsAXABuACAAIAAgACAAIAAgACAAIAAgACAAXAAiAEEAQwBUAFwAIgAsACAAXAAiAG4ALwBhAFwAIgAsACAAMAAuADAAMAA0ADcALAAgADAALgA3ADEAOwBcAG4AIAAgACAAIAAgACAAIAAgACAAIABcACIATgBTAFcAXAAiACwAIABcACIAbgAvAGEAXAAiACwAIAAwAC4AMAAwADQANwAsACAAMAAuADcANQA7AFwAbgAgACAAIAAgACAAIAAgACAAIAAgAFwAIgBTAEEAXAAiACwAIABcACIAbgAvAGEAXAAiACwAIAAwAC4AMAAwADQANwAsACAAMAAuADcANAA7AFwAbgAgACAAIAAgACAAIAAgACAAIAAgAFwAIgBUAEEAUwBcACIALAAgAFwAIgBuAC8AYQBcACIALAAgADAALgAwADAANAA3ACwAIAAwAC4ANwA7AFwAbgAgACAAIAAgACAAIAAgACAAIAAgAFwAIgBWAEkAQwBcACIALAAgAFwAIgBuAC8AYQBcACIALAAgADAALgAwADAANAA3ACwAIAAwAC4ANwA0ADsAXABuACAAIAAgACAAIAAgACAAIAAgACAAXAAiAFcAQQBcACIALAAgAFwAIgBTAG8AdQB0AGgAIABXAGUAcwB0AFwAIgAsACAAMAAuADAAMAA0ADcALAAgADAALgA3ADYAOwBcAG4AIAAgACAAIAAgACAAIAAgACAAIABcACIAVwBBAFwAIgAsACAAXAAiAFAAaQBsAGIAYQByAGEAXAAiACwAIAAwAC4AMAAwADQANwAsACAAMAAuADcANgA7AFwAbgAgACAAIAAgACAAIAAgACAAIAAgAFwAIgBXAEEAXAAiACwAIABcACIASwBpAG0AYgBlAHIAbABlAHkAXAAiACwAIAAwAC4AMAAwADQANwAsACAAMAAuADcANgA7AFwAbgAgACAAIAAgACAAIAAgACAAIAAgAFwAIgBOAFQAXAAiACwAIABcACIAQQBsAGkAYwBlACAAUwBwAHIAaQBuAGcAcwBcACIALAAgADAALgAwADAANAA3ACwAIAAwAC4AOAA7AFwAbgAgACAAIAAgACAAIAAgACAAIAAgAFwAIgBOAFQAXAAiACwAIABcACIAQgBhAHIAawBsAHkAXAAiACwAIAAwAC4AMAAwADQANwAsACAAMAAuADgAOwBcAG4AIAAgACAAIAAgACAAIAAgACAAIABcACIATgBUAFwAIgAsACAAXAAiAE4AbwByAHQAaABlAHIAbgBcACIALAAgADAALgAwADAANAA3ACwAIAAwAC4AOAA7AFwAbgAgACAAIAAgACAAIAAgACAAIAAgAFwAIgBRAEwARABcACIALAAgAFwAIgBIAGkAZwBoAFwAIgAsACAAMAAuADAAMAA0ADcALAAgADAALgA3ADgAOwBcAG4AIAAgACAAIAAgACAAIAAgACAAIABcACIAUQBMAEQAXAAiACwAIABcACIATQBvAGQAZQByAGEAdABlAC8ASABpAGcAaABcACIALAAgADAALgAwADAANAA3ACwAIAAwAC4ANwA4ADsAXABuACAAIAAgACAAIAAgACAAIAAgACAAXAAiAFEATABEAFwAIgAsACAAXAAiAE0AbwBkAGUAcgBhAHQAZQAvAEwAbwB3AFwAIgAsACAAMAAuADAAMAA0ADcALAAgADAALgA3ADgAOwBcAG4AIAAgACAAIAAgACAAIAAgACAAIABcACIAUQBMAEQAXAAiACwAIABcACIATABvAHcAXAAiACwAIAAwAC4AMAAwADQANwAsACAAMAAuADcAOABcAG4AIAAgACAAIAAgACAAIAAgAH0ALAAgAHIALAAgAGMAKQBcAG4AIAAgACAAIAAgACAAKQBcAG4AIAAgACAAIAApAFwAbgAgACAAKQA7AFwAbgBcAG4AXABuAFwAbgAvACoAIABcAG4ALQAtAC0ALQAtAC0ALQAtAC0ALQAtAC0ALQAtAC0ALQAtAC0ALQAtAC0ALQAtAC0ALQAtAC0ALQAtAC0ALQAtAC0ALQAtAC0ALQAtAFwAbgBTAG8AdQByAGMAZQBEAGEAdABhAF8AUABhAHMAdAB1AHIAZQBCAGUAZQBmAF8AQQBzAGgAQwBvAG4AdABlAG4AdABPAGYARgBlAGUAZABJAG4AdABhAGsAZQBcAG4AVgBFAEUAUgBHACAAMgAwADIANgA6ACAANAAuADIALgAyAC4AMwAgAEMATwBOAFMAVABBAE4AVABTAFwAbgAtAC0ALQAtAC0ALQAtAC0ALQAtAC0ALQAtAC0ALQAtAC0ALQAtAC0ALQAtAC0ALQAtAC0ALQAtAC0ALQAtAC0ALQAtAC0ALQAtAC0AXABuACoALwBcAG4AXABuAFMAbwB1AHIAYwBlAEQAYQB0AGEAXwBQAGEAcwB0AHUAcgBlAEIAZQBlAGYAXwBBAHMAaABDAG8AbgB0AGUAbgB0AE8AZgBGAGUAZQBkAEkAbgB0AGEAawBlAF8AVABpAHQAbABlAFwAbgAgACAAPQBMAEEATQBCAEQAQQAoAFwAIgBBAHMAaAAgAGMAbwBuAHQAZQBuAHQAIABvAGYAIABmAGUAZQBkACAAaQBuAHQAYQBrAGUAXAAiACkAOwBcAG4AXABuAFMAbwB1AHIAYwBlAEQAYQB0AGEAXwBQAGEAcwB0AHUAcgBlAEIAZQBlAGYAXwBBAHMAaABDAG8AbgB0AGUAbgB0AE8AZgBGAGUAZQBkAEkAbgB0AGEAawBlAF8AVgBhAHIAaQBhAGIAbABlAFwAbgAgACAAPQBMAEEATQBCAEQAQQAoAFwAIgBBAFwAIgApADsAXABuAFwAbgBTAG8AdQByAGMAZQBEAGEAdABhAF8AUABhAHMAdAB1AHIAZQBCAGUAZQBmAF8AQQBzAGgAQwBvAG4AdABlAG4AdABPAGYARgBlAGUAZABJAG4AdABhAGsAZQBfAFUAbgBpAHQAXABuACAAIAA9AEwAQQBNAEIARABBACgAXAAiAGYAcgBhAGMAdABpAG8AbgBcACIAKQA7AFwAbgBcAG4AUwBvAHUAcgBjAGUARABhAHQAYQBfAFAAYQBzAHQAdQByAGUAQgBlAGUAZgBfAEEAcwBoAEMAbwBuAHQAZQBuAHQATwBmAEYAZQBlAGQASQBuAHQAYQBrAGUAXwBTAG8AdQByAGMAZQBcAG4AIAAgAD0ATABBAE0AQgBEAEEAKABcACIAVgBFAEUAUgBHACAAMgAwADIANgA6ACAANAAuADIALgAyAC4AMwAgAEMATwBOAFMAVABBAE4AVABTAFwAIgApADsAXABuAFwAbgBTAG8AdQByAGMAZQBEAGEAdABhAF8AUABhAHMAdAB1AHIAZQBCAGUAZQBmAF8AQQBzAGgAQwBvAG4AdABlAG4AdABPAGYARgBlAGUAZABJAG4AdABhAGsAZQBfAFYAYQByAGkAYQB0AGkAbwBuAFwAbgAgACAAPQBMAEEATQBCAEQAQQAoAFwAIgBcACIAKQA7AFwAbgBcAG4AUwBvAHUAcgBjAGUARABhAHQAYQBfAFAAYQBzAHQAdQByAGUAQgBlAGUAZgBfAEEAcwBoAEMAbwBuAHQAZQBuAHQATwBmAEYAZQBlAGQASQBuAHQAYQBrAGUAXwBEAGEAdABhAFwAbgAgACAAPQBMAEEATQBCAEQAQQAoADAALgAwADgAKQA7AFwAbgBcAG4ALwAqACAAXABuAC0ALQAtAC0ALQAtAC0ALQAtAC0ALQAtAC0ALQAtAC0ALQAtAC0ALQAtAC0ALQAtAC0ALQAtAC0ALQAtAC0ALQAtAC0ALQAtAC0ALQBcAG4AUwBvAHUAcgBjAGUARABhAHQAYQBfAFAAYQBzAHQAdQByAGUAQgBlAGUAZgBfAE0AZQB0AGgAYQBuAGUARQBtAGkAcwBzAGkAbwBuAHMAUABvAHQAZQBuAHQAaQBhAGwAXABuAE0AZQB0AGgAYQBuAGUAIABlAG0AaQBzAHMAaQBvAG4AcwAgAHAAbwB0AGUAbgB0AGkAYQBsAC4AXABuAC0ALQAtAC0ALQAtAC0ALQAtAC0ALQAtAC0ALQAtAC0ALQAtAC0ALQAtAC0ALQAtAC0ALQAtAC0ALQAtAC0ALQAtAC0ALQAtAC0ALQBcAG4AKgAvAFwAbgBcAG4AUwBvAHUAcgBjAGUARABhAHQAYQBfAFAAYQBzAHQAdQByAGUAQgBlAGUAZgBfAE0AZQB0AGgAYQBuAGUARQBtAGkAcwBzAGkAbwBuAHMAUABvAHQAZQBuAHQAaQBhAGwAXwBUAGkAdABsAGUAXABuACAAIAA9AEwAQQBNAEIARABBACgAXAAiAE0AZQB0AGgAYQBuAGUAIABlAG0AaQBzAHMAaQBvAG4AcwAgAHAAbwB0AGUAbgB0AGkAYQBsAFwAIgApADsAXABuAFwAbgBTAG8AdQByAGMAZQBEAGEAdABhAF8AUABhAHMAdAB1AHIAZQBCAGUAZQBmAF8ATQBlAHQAaABhAG4AZQBFAG0AaQBzAHMAaQBvAG4AcwBQAG8AdABlAG4AdABpAGEAbABfAFYAYQByAGkAYQBiAGwAZQBcAG4AIAAgAD0ATABBAE0AQgBEAEEAKABcACIAQgAwAFwAIgApADsAXABuAFwAbgBTAG8AdQByAGMAZQBEAGEAdABhAF8AUABhAHMAdAB1AHIAZQBCAGUAZQBmAF8ATQBlAHQAaABhAG4AZQBFAG0AaQBzAHMAaQBvAG4AcwBQAG8AdABlAG4AdABpAGEAbABfAFUAbgBpAHQAXABuACAAIAA9AEwAQQBNAEIARABBACgAXAAiAG0AMwAgAEMASAA0ACAALwAgAGsAZwAgAFYAUwBcACIAKQA7AFwAbgBcAG4AUwBvAHUAcgBjAGUARABhAHQAYQBfAFAAYQBzAHQAdQByAGUAQgBlAGUAZgBfAE0AZQB0AGgAYQBuAGUARQBtAGkAcwBzAGkAbwBuAHMAUABvAHQAZQBuAHQAaQBhAGwAXwBTAG8AdQByAGMAZQBcAG4AIAAgAD0ATABBAE0AQgBEAEEAKABcACIAVgBFAEUAUgBHACAAMgAwADIANgA6ACAANAAuADIALgAyAC4AMwAgAEMATwBOAFMAVABBAE4AVABTAFwAIgApADsAXABuAFwAbgBTAG8AdQByAGMAZQBEAGEAdABhAF8AUABhAHMAdAB1AHIAZQBCAGUAZQBmAF8ATQBlAHQAaABhAG4AZQBFAG0AaQBzAHMAaQBvAG4AcwBQAG8AdABlAG4AdABpAGEAbABfAFYAYQByAGkAYQB0AGkAbwBuAFwAbgAgACAAPQBMAEEATQBCAEQAQQAoAFwAIgBcACIAKQA7AFwAbgBcAG4AUwBvAHUAcgBjAGUARABhAHQAYQBfAFAAYQBzAHQAdQByAGUAQgBlAGUAZgBfAE0AZQB0AGgAYQBuAGUARQBtAGkAcwBzAGkAbwBuAHMAUABvAHQAZQBuAHQAaQBhAGwAXwBEAGEAdABhAFwAbgAgACAAPQBMAEEATQBCAEQAQQAoADAALgAxADkAKQA7AFwAbgBcAG4ALwAqACAAXABuAC0ALQAtAC0ALQAtAC0ALQAtAC0ALQAtAC0ALQAtAC0ALQAtAC0ALQAtAC0ALQAtAC0ALQAtAC0ALQAtAC0ALQAtAC0ALQAtAC0ALQBcAG4AUwBvAHUAcgBjAGUARABhAHQAYQBfAFAAYQBzAHQAdQByAGUAQgBlAGUAZgBfAEYAcgBhAGMARwBBAFMATQBTAG8AaQBsAFwAbgBGAHIAYQBjAHQAaQBvAG4AIABvAGYAIABuAGkAdAByAG8AZwBlAG4AIAB2AG8AbABhAHQAaQBsAGkAcwBlAGQAIABmAHIAbwBtACAAdQByAGkAbgBlACAAYQBuAGQAIABmAGEAZQBjAGUAcwAgAGQAZQBwAG8AcwBpAHQAZQBkACAAbwBuACAAcABhAHMAdAB1AHIAZQBcAG4ALQAtAC0ALQAtAC0ALQAtAC0ALQAtAC0ALQAtAC0ALQAtAC0ALQAtAC0ALQAtAC0ALQAtAC0ALQAtAC0ALQAtAC0ALQAtAC0ALQAtAFwAbgAqAC8AXABuAFwAbgBTAG8AdQByAGMAZQBEAGEAdABhAF8AUABhAHMAdAB1AHIAZQBCAGUAZQBmAF8ARgByAGEAYwBHAEEAUwBNAFMAbwBpAGwAXwBUAGkAdABsAGUAXABuACAAIAA9AEwAQQBNAEIARABBACgAXAAiAEYAcgBhAGMAdABpAG8AbgAgAG8AZgAgAG4AaQB0AHIAbwBnAGUAbgAgAHYAbwBsAGEAdABpAGwAaQBzAGUAZAAgAGYAcgBvAG0AIAB1AHIAaQBuAGUAIABhAG4AZAAgAGYAYQBlAGMAZQBzACAAZABlAHAAbwBzAGkAdABlAGQAIABvAG4AIABwAGEAcwB0AHUAcgBlAFwAIgApADsAXABuAFwAbgBTAG8AdQByAGMAZQBEAGEAdABhAF8AUABhAHMAdAB1AHIAZQBCAGUAZQBmAF8ARgByAGEAYwBHAEEAUwBNAFMAbwBpAGwAXwBWAGEAcgBpAGEAYgBsAGUAXABuACAAIAA9AEwAQQBNAEIARABBACgAXAAiAEYAcgBhAGMARwBBAFMATQBTAG8AaQBsAFwAIgApADsAXABuAFwAbgBTAG8AdQByAGMAZQBEAGEAdABhAF8AUABhAHMAdAB1AHIAZQBCAGUAZQBmAF8ARgByAGEAYwBHAEEAUwBNAFMAbwBpAGwAXwBVAG4AaQB0AFwAbgAgACAAPQBMAEEATQBCAEQAQQAoAFwAIgBmAHIAYQBjAHQAaQBvAG4AXAAiACkAOwBcAG4AXABuAFMAbwB1AHIAYwBlAEQAYQB0AGEAXwBQAGEAcwB0AHUAcgBlAEIAZQBlAGYAXwBGAHIAYQBjAEcAQQBTAE0AUwBvAGkAbABfAFMAbwB1AHIAYwBlAFwAbgAgACAAPQBMAEEATQBCAEQAQQAoAFwAIgBWAEUARQBSAEcAIAAyADAAMgA2ADoAIAA0AC4AMgAuADIALgAzACAAQwBPAE4AUwBUAEEATgBUAFMAXAAiACkAOwBcAG4AXABuAFMAbwB1AHIAYwBlAEQAYQB0AGEAXwBQAGEAcwB0AHUAcgBlAEIAZQBlAGYAXwBGAHIAYQBjAEcAQQBTAE0AUwBvAGkAbABfAFYAYQByAGkAYQB0AGkAbwBuAFwAbgAgACAAPQBMAEEATQBCAEQAQQAoAFwAIgBcACIAKQA7AFwAbgBcAG4AUwBvAHUAcgBjAGUARABhAHQAYQBfAFAAYQBzAHQAdQByAGUAQgBlAGUAZgBfAEYAcgBhAGMARwBBAFMATQBTAG8AaQBsAF8ARABhAHQAYQBcAG4AIAAgAD0ATABBAE0AQgBEAEEAKAAwAC4AMgAxACkAOwBcAG4AXABuAC8AKgAgAFwAbgAtAC0ALQAtAC0ALQAtAC0ALQAtAC0ALQAtAC0ALQAtAC0ALQAtAC0ALQAtAC0ALQAtAC0ALQAtAC0ALQAtAC0ALQAtAC0ALQAtAC0AXABuAFMAbwB1AHIAYwBlAEQAYQB0AGEAXwBQAGEAcwB0AHUAcgBlAEIAZQBlAGYAXwBGAHIAYQBjAEwARQBBAEMASABcAG4ARABlAGYAYQB1AGwAdAAgAGYAcgBhAGMAdABpAG8AbgAgAG8AZgAgAE4AIAB0AGgAYQB0ACAAaQBzACAAbABvAHMAdAAgAHQAaAByAG8AdQBnAGgAIABsAGUAYQBjAGgAaQBuAGcAIABhAG4AZAAgAHIAdQBuAG8AZgBmAFwAbgAtAC0ALQAtAC0ALQAtAC0ALQAtAC0ALQAtAC0ALQAtAC0ALQAtAC0ALQAtAC0ALQAtAC0ALQAtAC0ALQAtAC0ALQAtAC0ALQAtAC0AXABuACoALwBcAG4AXABuAFMAbwB1AHIAYwBlAEQAYQB0AGEAXwBQAGEAcwB0AHUAcgBlAEIAZQBlAGYAXwBGAHIAYQBjAEwARQBBAEMASABfAFQAaQB0AGwAZQBcAG4AIAAgAD0ATABBAE0AQgBEAEEAKABcACIARABlAGYAYQB1AGwAdAAgAGYAcgBhAGMAdABpAG8AbgAgAG8AZgAgAE4AIAB0AGgAYQB0ACAAaQBzACAAbABvAHMAdAAgAHQAaAByAG8AdQBnAGgAIABsAGUAYQBjAGgAaQBuAGcAIABhAG4AZAAgAHIAdQBuAG8AZgBmAFwAIgApADsAXABuAFwAbgBTAG8AdQByAGMAZQBEAGEAdABhAF8AUABhAHMAdAB1AHIAZQBCAGUAZQBmAF8ARgByAGEAYwBMAEUAQQBDAEgAXwBWAGEAcgBpAGEAYgBsAGUAXABuACAAIAA9AEwAQQBNAEIARABBACgAXAAiAEYAcgBhAGMATABFAEEAQwBIAFwAIgApADsAXABuAFwAbgBTAG8AdQByAGMAZQBEAGEAdABhAF8AUABhAHMAdAB1AHIAZQBCAGUAZQBmAF8ARgByAGEAYwBMAEUAQQBDAEgAXwBVAG4AaQB0AFwAbgAgACAAPQBMAEEATQBCAEQAQQAoAFwAIgBmAHIAYQBjAHQAaQBvAG4AXAAiACkAOwBcAG4AXABuAFMAbwB1AHIAYwBlAEQAYQB0AGEAXwBQAGEAcwB0AHUAcgBlAEIAZQBlAGYAXwBGAHIAYQBjAEwARQBBAEMASABfAFMAbwB1AHIAYwBlAFwAbgAgACAAPQBMAEEATQBCAEQAQQAoAFwAIgBWAEUARQBSAEcAIAAyADAAMgA2ADoAIAA0AC4AMgAuADIALgAzACAAQwBPAE4AUwBUAEEATgBUAFMAXAAiACkAOwBcAG4AXABuAFMAbwB1AHIAYwBlAEQAYQB0AGEAXwBQAGEAcwB0AHUAcgBlAEIAZQBlAGYAXwBGAHIAYQBjAEwARQBBAEMASABfAFYAYQByAGkAYQB0AGkAbwBuAFwAbgAgACAAPQBMAEEATQBCAEQAQQAoAFwAIgBcACIAKQA7AFwAbgBcAG4AUwBvAHUAcgBjAGUARABhAHQAYQBfAFAAYQBzAHQAdQByAGUAQgBlAGUAZgBfAEYAcgBhAGMATABFAEEAQwBIAF8ARABhAHQAYQBcAG4AIAAgAD0ATABBAE0AQgBEAEEAKAAwAC4AMgA0ACkAOwAiAH0ALAB7ACIAcABhAHQAaAAiADoAIgAvAHAAcgBvAGoAZQBjAHQAcwAvAEkAbgBwAHUAdABGAHUAbgBjAHQAaQBvAG4AcwBfAFAAYQBzAHQAdQByAGUAQgBlAGUAZgAiACwAIgB0AGUAeAB0ACIAOgAiAEwAbwBvAGsAdQBwAEwAaQB2AGUAdwBlAGkAZwBoAHQARgByAG8AbQBTAGUAYQBzAG8AbgBcAG4APQBMAEEATQBCAEQAQQAoAFwAbgAgACAAIAAgAFMAdABhAHQAZQAsACAAUgBlAGcAaQBvAG4ALAAgAFMAZQBhAHMAbwBuACwAIABMAGkAdgBlAHMAdABvAGMAawBDAGwAYQBzAHMALABcAG4AIAAgACAAIABTAHQAYQB0AGUAQQByAHIAYQB5ACwAIABSAGUAZwBpAG8AbgBBAHIAcgBhAHkALAAgAFMAZQBhAHMAbwBuAEEAcgByAGEAeQAsACAATABpAHYAZQBzAHQAbwBjAGsAQwBsAGEAcwBzAEEAcgByAGEAeQAsAFwAbgAgACAAIAAgAFIAZQB0AHUAcgBuAEEAcgByAGEAeQAsAFwAbgAgACAAIAAgAFMAdABhAHQAZQBDAG8AbQBtAG8AbgBOAGEAbQBlAEEAcgByAGEAeQAsACAAUwB0AGEAdABlAEEAYgBiAHIAZQB2AGkAYQB0AGkAbwBuAEEAcgByAGEAeQAsAFwAbgAgACAAIAAgAEwAZQB0ACgAXABuACAAIAAgACAAIAAgACAAIABTAHQAYQB0AGUALAAgAFgATABPAE8ASwBVAFAAKABTAHQAYQB0AGUALAAgAFMAdABhAHQAZQBDAG8AbQBtAG8AbgBOAGEAbQBlAEEAcgByAGEAeQAsACAAUwB0AGEAdABlAEEAYgBiAHIAZQB2AGkAYQB0AGkAbwBuAEEAcgByAGEAeQApACwAXABuACAAIAAgACAAIAAgACAAIABYAEwATwBPAEsAVQBQACgAXABuACAAIAAgACAAIAAgACAAIAAxACwAIABcAG4AIAAgACAAIAAgACAAIAAgACgAUwB0AGEAdABlAEEAcgByAGEAeQA9AFMAdABhAHQAZQApACAAKgAgAFwAbgAgACAAIAAgACAAIAAgACAAKABSAGUAZwBpAG8AbgBBAHIAcgBhAHkAPQBSAGUAZwBpAG8AbgApACAAKgAgAFwAbgAgACAAIAAgACAAIAAgACAAKABTAGUAYQBzAG8AbgBBAHIAcgBhAHkAPQBTAGUAYQBzAG8AbgApACwAIABcAG4AIAAgACAAIAAgACAAIAAgAFgATABPAE8ASwBVAFAAKABMAGkAdgBlAHMAdABvAGMAawBDAGwAYQBzAHMALAAgAEwAaQB2AGUAcwB0AG8AYwBrAEMAbABhAHMAcwBBAHIAcgBhAHkALAAgAFwAbgAgACAAIAAgACAAIAAgACAAUgBlAHQAdQByAG4AQQByAHIAYQB5ACkAKQBcAG4AIAAgACAAIAApAFwAbgApADsAXABuAFwAbgBMAG8AbwBrAHUAcABMAGkAdgBlAHcAZQBpAGcAaAB0AEYAcgBvAG0ATQBvAG4AdABoAFwAbgA9AEwAQQBNAEIARABBACgAXABuACAAIAAgACAAUwB0AGEAdABlACwAIABSAGUAZwBpAG8AbgAsACAATQBvAG4AdABoACwAIABMAGkAdgBlAHMAdABvAGMAawBDAGwAYQBzAHMALABcAG4AIAAgACAAIABTAHQAYQB0AGUAQQByAHIAYQB5ACwAIABSAGUAZwBpAG8AbgBBAHIAcgBhAHkALAAgAFMAZQBhAHMAbwBuAEEAcgByAGEAeQAsACAATABpAHYAZQBzAHQAbwBjAGsAQwBsAGEAcwBzAEEAcgByAGEAeQAsAFwAbgAgACAAIAAgAFIAZQB0AHUAcgBuAEEAcgByAGEAeQAsAFwAbgAgACAAIAAgAFMAdABhAHQAZQBDAG8AbQBtAG8AbgBOAGEAbQBlAEEAcgByAGEAeQAsACAAUwB0AGEAdABlAEEAYgBiAHIAZQB2AGkAYQB0AGkAbwBuAEEAcgByAGEAeQAsAFwAbgAgACAAIAAgAE0AbwBuAHQAaABBAHIAcgBhAHkALAAgAE0AbwBuAHQAaABUAG8AUwBlAGEAcwBvAG4AQQByAHIAYQB5ACwAXABuACAAIAAgACAATABlAHQAKABcAG4AIAAgACAAIAAgACAAIAAgAE0AbwBuAHQAaAAsACAAVABFAFgAVAAoAE0AbwBuAHQAaAAsACAAXAAiAG0AbQBtAG0AXAAiACkALABcAG4AIAAgACAAIAAgACAAIAAgAFMAdABhAHQAZQAsACAAWABMAE8ATwBLAFUAUAAoAFMAdABhAHQAZQAsACAAUwB0AGEAdABlAEMAbwBtAG0AbwBuAE4AYQBtAGUAQQByAHIAYQB5ACwAIABTAHQAYQB0AGUAQQBiAGIAcgBlAHYAaQBhAHQAaQBvAG4AQQByAHIAYQB5ACkALABcAG4AIAAgACAAIAAgACAAIAAgAFMAZQBhAHMAbwBuACwAIABYAEwATwBPAEsAVQBQACgATQBvAG4AdABoACwAIABNAG8AbgB0AGgAQQByAHIAYQB5ACwAIABNAG8AbgB0AGgAVABvAFMAZQBhAHMAbwBuAEEAcgByAGEAeQApACwAXABuACAAIAAgACAAIAAgACAAIABYAEwATwBPAEsAVQBQACgAXABuACAAIAAgACAAIAAgACAAIAAxACwAIABcAG4AIAAgACAAIAAgACAAIAAgACgAUwB0AGEAdABlAEEAcgByAGEAeQA9AFMAdABhAHQAZQApACAAKgAgAFwAbgAgACAAIAAgACAAIAAgACAAKABSAGUAZwBpAG8AbgBBAHIAcgBhAHkAPQBSAGUAZwBpAG8AbgApACAAKgAgAFwAbgAgACAAIAAgACAAIAAgACAAKABTAGUAYQBzAG8AbgBBAHIAcgBhAHkAPQBTAGUAYQBzAG8AbgApACwAIABcAG4AIAAgACAAIAAgACAAIAAgAFgATABPAE8ASwBVAFAAKABMAGkAdgBlAHMAdABvAGMAawBDAGwAYQBzAHMALAAgAEwAaQB2AGUAcwB0AG8AYwBrAEMAbABhAHMAcwBBAHIAcgBhAHkALAAgAFwAbgAgACAAIAAgACAAIAAgACAAUgBlAHQAdQByAG4AQQByAHIAYQB5ACkAKQBcAG4AIAAgACAAIAApAFwAbgApADsAXABuAFwAbgBDAG8AbgB2AGUAcgB0AE0AbwBuAHQAaABsAHkAQwBhAGwAdgBpAG4AZwBUAG8AUwBlAGEAcwBvAG4AXABuAFwAbgA9ACAATABBAE0AQgBEAEEAKABcAG4AIAAgACAAIABTAGUAYQBzAG8AbgAsACAAUwB1AG0AQQByAHIAYQB5ACwAIABDAGEAbAB2AGkAbgBnAE0AbwBuAHQAaABBAHIAcgBhAHkALAAgAE0AbwBuAHQAaABBAHIAcgBhAHkALAAgAE0AbwBuAHQAaABUAG8AUwBlAGEAcwBvAG4AQQByAHIAYQB5ACwAXABuACAAIAAgACAATABFAFQAKABcAG4AIAAgACAAIAAgACAAIAAgAE0AbwBuAHQAaABUAGUAeAB0ACwAIABUAEUAWABUACgAQwBhAGwAdgBpAG4AZwBNAG8AbgB0AGgAQQByAHIAYQB5ACwAIABcACIAbQBtAG0AbQBcACIAKQAsAFwAbgAgACAAIAAgACAAIAAgACAAUwBlAGEAcwBvAG4AUABlAHIAUgBvAHcALAAgAFgATABPAE8ASwBVAFAAKABNAG8AbgB0AGgAVABlAHgAdAAsACAATQBvAG4AdABoAEEAcgByAGEAeQAsACAATQBvAG4AdABoAFQAbwBTAGUAYQBzAG8AbgBBAHIAcgBhAHkALAAgAFwAIgBcACIALAAgADAAKQAsAFwAbgAgACAAIAAgACAAIAAgACAAUwBVAE0AKABTAHUAbQBBAHIAcgBhAHkAIAAqACAAKABTAGUAYQBzAG8AbgBQAGUAcgBSAG8AdwA9AFMAZQBhAHMAbwBuACkAKQBcAG4AIAAgACAAIAApAFwAbgApADsAXABuAFwAbgBMAG8AbwBrAHUAcABWAGEAbAB1AGUARgByAG8AbQBTAHQAYQB0AGUAUgBlAGcAaQBvAG4AUwBlAGEAcwBvAG4AXABuAD0ATABBAE0AQgBEAEEAKABcAG4AIAAgACAAIABTAHQAYQB0AGUALAAgAFIAZQBnAGkAbwBuACwAIABTAGUAYQBzAG8AbgAsAFwAbgAgACAAIAAgAFMAdABhAHQAZQBBAHIAcgBhAHkALAAgAFIAZQBnAGkAbwBuAEEAcgByAGEAeQAsACAAUwBlAGEAcwBvAG4AQQByAHIAYQB5ACwAXABuACAAIAAgACAAUgBlAHQAdQByAG4AQQByAHIAYQB5ACwAXABuACAAIAAgACAAUwB0AGEAdABlAEMAbwBtAG0AbwBuAE4AYQBtAGUAQQByAHIAYQB5ACwAIABTAHQAYQB0AGUAQQBiAGIAcgBlAHYAaQBhAHQAaQBvAG4AQQByAHIAYQB5ACwAXABuACAAIAAgACAATABFAFQAKABcAG4AIAAgACAAIAAgACAAIAAgAFMAdABhAHQAZQAsACAAWABMAE8ATwBLAFUAUAAoAFMAdABhAHQAZQAsACAAUwB0AGEAdABlAEMAbwBtAG0AbwBuAE4AYQBtAGUAQQByAHIAYQB5ACwAIABTAHQAYQB0AGUAQQBiAGIAcgBlAHYAaQBhAHQAaQBvAG4AQQByAHIAYQB5ACkALABcAG4AIAAgACAAIAAgACAAIAAgAFgATABPAE8ASwBVAFAAKABcAG4AIAAgACAAIAAgACAAIAAgACAAIAAgACAAMQAsACAAKABTAHQAYQB0AGUAQQByAHIAYQB5AD0AUwB0AGEAdABlACkAKgBcAG4AIAAgACAAIAAgACAAIAAgACAAIAAgACAAKABSAGUAZwBpAG8AbgBBAHIAcgBhAHkAPQBSAGUAZwBpAG8AbgApACwAXABuACAAIAAgACAAIAAgACAAIAAgACAAIAAgAFgATABPAE8ASwBVAFAAKABcAG4AIAAgACAAIAAgACAAIAAgACAAIAAgACAAIAAgACAAIABTAGUAYQBzAG8AbgAsACAAUwBlAGEAcwBvAG4AQQByAHIAYQB5ACwAIABSAGUAdAB1AHIAbgBBAHIAcgBhAHkAXABuACAAIAAgACAAIAAgACAAIAAgACAAIAAgACkAXABuACAAIAAgACAAIAAgACAAIAApAFwAbgAgACAAIAAgACkAXABuACkAOwBcAG4AXABuAEwAbwBvAGsAdQBwAFYAYQBsAHUAZQBGAHIAbwBtAFMAdABhAHQAZQBSAGUAZwBpAG8AbgBNAG8AbgB0AGgAXABuAD0ATABBAE0AQgBEAEEAKABcAG4AIAAgACAAIABTAHQAYQB0AGUALAAgAFIAZQBnAGkAbwBuACwAIABNAG8AbgB0AGgALABcAG4AIAAgACAAIABTAHQAYQB0AGUAQQByAHIAYQB5ACwAIABSAGUAZwBpAG8AbgBBAHIAcgBhAHkALAAgAFMAZQBhAHMAbwBuAEEAcgByAGEAeQAsAFwAbgAgACAAIAAgAFIAZQB0AHUAcgBuAEEAcgByAGEAeQAsAFwAbgAgACAAIAAgAFMAdABhAHQAZQBDAG8AbQBtAG8AbgBOAGEAbQBlAEEAcgByAGEAeQAsACAAUwB0AGEAdABlAEEAYgBiAHIAZQB2AGkAYQB0AGkAbwBuAEEAcgByAGEAeQAsACAATQBvAG4AdABoAEEAcgByAGEAeQAsACAATQBvAG4AdABoAFQAbwBTAGUAYQBzAG8AbgBBAHIAcgBhAHkALABcAG4AIAAgACAAIABMAEUAVAAoAFwAbgAgACAAIAAgACAAIAAgACAAUwB0AGEAdABlACwAIABYAEwATwBPAEsAVQBQACgAUwB0AGEAdABlACwAIABTAHQAYQB0AGUAQwBvAG0AbQBvAG4ATgBhAG0AZQBBAHIAcgBhAHkALAAgAFMAdABhAHQAZQBBAGIAYgByAGUAdgBpAGEAdABpAG8AbgBBAHIAcgBhAHkAKQAsAFwAbgAgACAAIAAgACAAIAAgACAAUwBlAGEAcwBvAG4ALAAgAFgATABPAE8ASwBVAFAAKABUAEUAWABUACgATQBvAG4AdABoACwAIABcACIAbQBtAG0AbQBcACIAKQAsACAATQBvAG4AdABoAEEAcgByAGEAeQAsACAATQBvAG4AdABoAFQAbwBTAGUAYQBzAG8AbgBBAHIAcgBhAHkAKQAsAFwAbgAgACAAIAAgACAAIAAgACAAWABMAE8ATwBLAFUAUAAoAFwAbgAgACAAIAAgACAAIAAgACAAIAAgACAAIAAxACwAIAAoAFMAdABhAHQAZQBBAHIAcgBhAHkAPQBTAHQAYQB0AGUAKQAqAFwAbgAgACAAIAAgACAAIAAgACAAIAAgACAAIAAoAFIAZQBnAGkAbwBuAEEAcgByAGEAeQA9AFIAZQBnAGkAbwBuACkALABcAG4AIAAgACAAIAAgACAAIAAgACAAIAAgACAAWABMAE8ATwBLAFUAUAAoAFwAbgAgACAAIAAgACAAIAAgACAAIAAgACAAIAAgACAAIAAgAFMAZQBhAHMAbwBuACwAIABTAGUAYQBzAG8AbgBBAHIAcgBhAHkALAAgAFIAZQB0AHUAcgBuAEEAcgByAGEAeQBcAG4AIAAgACAAIAAgACAAIAAgACAAIAAgACAAKQBcAG4AIAAgACAAIAAgACAAIAAgACkAXABuACAAIAAgACAAKQBcAG4AKQA7ACIAfQAsAHsAIgBwAGEAdABoACIAOgAiAC8AcAByAG8AagBlAGMAdABzAC8ATQBNAFMAXwBQAGEAcwB0AHUAcgBlAEIAZQBlAGYAXwBTAG8AaQBsAF8ATgAyAE8ARABpAHIAZQBjAHQAXwBFAHEAdQBhAHQAaQBvAG4Acw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zACAATQBlAHQAaABvAGQAIAAxACAALQAgAFMAbwBpAGwAIABEAGkAcgBlAGMAdAAgAE4AMgBP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gBfADEAXwAzAF8AXwAxAF8ARABpAHIAZQBjAHQATgBpAHQAcgBvAHUAcwBPAHgAaQBkAGUARQBtAGkAcwBzAGkAbwBuAHMATwBuAFAAYQBzAHQAdQByAGUAXABuAFQAbwB0AGEAbAAgAGEAbgBuAHUAYQBsACAAZABpAHIAZQBjAHQAIABuAGkAdAByAG8AdQBzACAAbwB4AGkAZABlACAAZQBtAGkAcwBzAGkAbwBuAHMAIABmAHIAbwBtACAAYQBnAHIAaQBjAHUAbAB0AHUAcgBhAGwAIABzAG8AaQBsAHMAIABmAHIAbwBtACAAZABlAHAAbwBzAGkAdABpAG8AbgAgAG8AZgAgAHUAcgBpAG4AZQAgAGEAbgBkACAAZAB1AG4AZwBcAG4ARQBfAE4AMgBPAGQAaQByAFwAbgB0ACAATgAyAE8AXABuAEUAXwB7AE4AMgBPACwAZABpAHIAfQA9AEEARQBcAFwAdABpAG0AZQBzACAARQBGAF8AewBQAFIAUAB9AFwAXAB0AGkAbQBlAHMAIABDAF8AewBOADIATwB9AFwAXAB0AGkAbQBlAHMAIAAxADAAXgB7AC0AMwB9AFwAbgBBAEUAIAA9ACAAdABvAHQAYQBsACAAbQBhAHMAcwAgAG8AZgAgAG4AaQB0AHIAbwBnAGUAbgAgAGUAeABjAHIAZQB0AGUAZAAgAG8AbgAgAFAAUgBQACAAZgBvAHIAIABiAGUAZQBmACAAYwBhAHQAdABsAGUAIAAoAGsAZwAgAE4AKQBcAG4ARQBGAF8AUABSAFAAIAA9ACAAZQBtAGkAcwBzAGkAbwBuACAAZgBhAGMAdABvAHIAIABmAG8AcgAgAG4AaQB0AHIAbwB1AHMAIABvAHgAaQBkAGUAIABmAHIAbwBtACAAdQByAGkAbgBlACAAYQBuAGQAIABkAHUAbgBnACAAZABlAHAAbwBzAGkAdABlAGQAIAB0AG8AIABzAG8AaQBsACAAKABrAGcAIABOADIATwAtAE4ALwBrAGcAIABOACAAZABlAHAAbwBzAGkAdABlAGQAKQBcAG4AQwBfAE4AMgBPACAAPQAgAGYAYQBjAHQAbwByACAAdABvACAAYwBvAG4AdgBlAHIAdAAgAGUAbABlAG0AZQBuAHQAYQBsACAAbQBhAHMAcwAgAG8AZgAgAG4AaQB0AHIAbwB1AHMAIABvAHgAaQBkAGUAIAB0AG8AIABtAG8AbABlAGMAdQBsAGEAcgAgAG0AYQBzAHMAXABuAC0ALQAtAC0ALQAtAC0ALQAtAC0ALQAtAC0ALQAtAC0ALQAtAC0ALQAtAC0ALQAtAC0ALQAtAC0ALQAtAC0ALQAtAC0ALQAtAC0ALQBcAG4AKgAvAFwAbgBcAG4AVgBFAEUAUgBHAF8ANABfADIAXwAxAF8AMwBfAF8AMQBfAEQAaQByAGUAYwB0AE4AaQB0AHIAbwB1AHMATwB4AGkAZABlAEUAbQBpAHMAcwBpAG8AbgBzAE8AbgBQAGEAcwB0AHUAcgBlAFwAbgAgACAAPQBMAEEATQBCAEQAQQAoAFwAbgAgACAAIAAgAEEARQAsACAARQBGAF8AUABSAFAALAAgAEMAXwBOADIATwAsAFwAbgAgACAAIAAgAEEARQAgACoAIABFAEYAXwBQAFIAUAAgACoAIABDAF8ATgAyAE8AIAAqACAAMQAwACAAXgAgAC0AMwBcAG4AIAAgACkAOwBcAG4AXABuAFYARQBFAFIARwBfADQAXwAyAF8AMQBfADMAXwBfADEAXwBEAGkAcgBlAGMAdABOAGkAdAByAG8AdQBzAE8AeABpAGQAZQBFAG0AaQBzAHMAaQBvAG4AcwBPAG4AUABhAHMAdAB1AHIAZQBfAFQAaQB0AGwAZQBcAG4AIAAgAD0ATABBAE0AQgBEAEEAKABcACIAVABvAHQAYQBsACAAYQBuAG4AdQBhAGwAIABkAGkAcgBlAGMAdAAgAG4AaQB0AHIAbwB1AHMAIABvAHgAaQBkAGUAIABlAG0AaQBzAHMAaQBvAG4AcwAgAGYAcgBvAG0AIABhAGcAcgBpAGMAdQBsAHQAdQByAGEAbAAgAHMAbwBpAGwAcwAgAGYAcgBvAG0AIABkAGUAcABvAHMAaQB0AGkAbwBuACAAbwBmACAAdQByAGkAbgBlACAAYQBuAGQAIABkAHUAbgBnAFwAIgApADsAXABuAFwAbgBWAEUARQBSAEcAXwA0AF8AMgBfADEAXwAzAF8AXwAxAF8ARABpAHIAZQBjAHQATgBpAHQAcgBvAHUAcwBPAHgAaQBkAGUARQBtAGkAcwBzAGkAbwBuAHMATwBuAFAAYQBzAHQAdQByAGUAXwBWAGEAcgBpAGEAYgBsAGUAXABuACAAIAA9AEwAQQBNAEIARABBACgAXAAiAEUAXwBOADIATwBkAGkAcgBcACIAKQA7AFwAbgBcAG4AVgBFAEUAUgBHAF8ANABfADIAXwAxAF8AMwBfAF8AMQBfAEQAaQByAGUAYwB0AE4AaQB0AHIAbwB1AHMATwB4AGkAZABlAEUAbQBpAHMAcwBpAG8AbgBzAE8AbgBQAGEAcwB0AHUAcgBlAF8AVQBuAGkAdABcAG4AIAAgAD0ATABBAE0AQgBEAEEAKABcACIAdAAgAE4AMgBPAFwAIgApADsAXABuAFwAbgBWAEUARQBSAEcAXwA0AF8AMgBfADEAXwAzAF8AXwAxAF8ARABpAHIAZQBjAHQATgBpAHQAcgBvAHUAcwBPAHgAaQBkAGUARQBtAGkAcwBzAGkAbwBuAHMATwBuAFAAYQBzAHQAdQByAGUAXwBTAG8AdQByAGMAZQBcAG4AIAAgAD0ATABBAE0AQgBEAEEAKABcACIAVgBFAEUAUgBHACAAMgAwADIANgA6ACAANAAuADIALgAxAC4AMwAsACAARQBxAHUAYQB0AGkAbwBuACAAKAAxACkAXAAiACkAOwBcAG4AXABuAFYARQBFAFIARwBfADQAXwAyAF8AMQBfADMAXwBfADEAXwBEAGkAcgBlAGMAdABOAGkAdAByAG8AdQBzAE8AeABpAGQAZQBFAG0AaQBzAHMAaQBvAG4AcwBPAG4AUABhAHMAdAB1AHIAZQBfAE4ASQBSAFIAZQBmAGUAcgBlAG4AYwBlAFwAbgAgACAAPQBMAEEATQBCAEQAQQAoAFwAIgBcACIAKQA7AFwAbgBcAG4AVgBFAEUAUgBHAF8ANABfADIAXwAxAF8AMwBfAF8AMQBfAEQAaQByAGUAYwB0AE4AaQB0AHIAbwB1AHMATwB4AGkAZABlAEUAbQBpAHMAcwBpAG8AbgBzAE8AbgBQAGEAcwB0AHUAcgBlAF8ATABhAHQAZQB4AEUAcQB1AGEAdABpAG8AbgBcAG4AIAAgAD0ATABBAE0AQgBEAEEAKABcACIARQBfAHsATgAyAE8ALABkAGkAcgB9AD0AQQBFAFwAXAB0AGkAbQBlAHMAIABFAEYAXwB7AFAAUgBQAH0AXABcAHQAaQBtAGUAcwAgAEMAXwB7AE4AMgBPAH0AXABcAHQAaQBtAGUAcwAgADEAMABeAHsALQAzAH0AXAAiACkAOwBcAG4AXABuAFYARQBFAFIARwBfADQAXwAyAF8AMQBfADMAXwBfADEAXwBEAGkAcgBlAGMAdABOAGkAdAByAG8AdQBzAE8AeABpAGQAZQBFAG0AaQBzAHMAaQBvAG4AcwBPAG4AUABhAHMAdAB1AHIAZQBfAEEAcgBnAHUAbQBlAG4AdABzAFwAbgAgACAAPQBMAEEATQBCAEQAQQAoAFwAbgAgACAAIAAgAE0AQQBLAEUAQQBSAFIAQQBZACgANAAsACAAMg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IAAoAGsAZwAgAE4AKQBcACIAOwBcAG4AIAAgACAAIAAgACAAIAAgACAAIABcACIARQBGAF8AUABSAFAAXAAiACwAIABcACIAZQBtAGkAcwBzAGkAbwBuACAAZgBhAGMAdABvAHIAIABmAG8AcgAgAG4AaQB0AHIAbwB1AHMAIABvAHgAaQBkAGUAIABmAHIAbwBtACAAdQByAGkAbgBlACAAYQBuAGQAIABkAHUAbgBnACAAZABlAHAAbwBzAGkAdABlAGQAIAB0AG8AIABzAG8AaQBsACAAKABrAGcAIABOADIATwAtAE4ALwBrAGcAIABOACAAZABlAHAAbwBzAGkAdABlAGQAKQBcACIAOwBcAG4AIAAgACAAIAAgACAAIAAgACAAIABcACIAQwBfAE4AMgBPAFwAIgAsACAAXAAiAGYAYQBjAHQAbwByACAAdABvACAAYwBvAG4AdgBlAHIAdAAgAGUAbABlAG0AZQBuAHQAYQBsACAAbQBhAHMAcwAgAG8AZgAgAG4AaQB0AHIAbwB1AHMAIABvAHgAaQBkAGUAIAB0AG8AIABtAG8AbABlAGMAdQBsAGEAcgAgAG0AYQBzAHMAXAAiADsAXABuACAAIAAgACAAIAAgACAAIAAgACAAXAAiAHoAXAAiACwAIABcACIAdwBlAHQAIABvAHIAIABkAHIAeQAgAGMAbABpAG0AYQB0AGUAIAB6AG8AbgBlAFwAIgBcAG4AIAAgACAAIAAgACAAIAAgAH0ALAAgAHIALAAgAGMAKQBcAG4AIAAgACAAIAAgACAAKQBcAG4AIAAgACAAIAApAFwAbgAgACAAKQA7AFwAbgBcAG4ALwAqAFwAbgAtAC0ALQAtAC0ALQAtAC0ALQAtAC0ALQAtAC0ALQAtAC0ALQAtAC0ALQAtAC0ALQAtAC0ALQAtAC0ALQAtAC0ALQAtAC0ALQAtAC0AXABuAFYARQBFAFIARwBfADQAXwAyAF8AMQBfADMAXwBfADIAXwBUAG8AdABhAGwATgBpAHQAcgBvAGcAZQBuAEUAeABjAHIAZQB0AGUAZABUAG8AUABhAHMAdAB1AHIAZQBSAGEAbgBnAGUAQQBuAGQAUABhAGQAZABvAGMAawBcAG4AVABvAHQAYQBsACAAbgBpAHQAcgBvAGcAZQBuACAAZQB4AGMAcgBlAHQAZQBkACAAdABvACAAcABhAHMAdAB1AHIAZQAsACAAcgBhAG4AZwBlACAAYQBuAGQAIABwAGEAZABkAG8AYwBrAFwAbgBBAEUAXABuAGsAZwAgAE4AXABuAEEARQA9AFwAXABzAHUAbQBfAHsAagB9AFwAXABzAHUAbQBfAHsAawB9AFwAXABzAHUAbQBfAHsAbAB9ACgATgBfAHsAagBrAGwAfQBcAFwAdABpAG0AZQBzACAATgBFAF8AewBqAGsAbAB9AFwAXAB0AGkAbQBlAHMAIABEAF8AagApAFwAbgBOAF8AagBrAGwAIAA9ACAAbgB1AG0AYgBlAHIAIABvAGYAIABiAGUAZQBmACAAYwBhAHQAdABsAGUAIABiAHkAIAB0AGkAbQBlAC0AcABlAHIAaQBvAGQALAAgAGMAbABhAHMAcwAgAGEAbgBkACAAcwB1AGIAYwBsAGEAcwBzACAAKABoAGUAYQBkACkAXABuAE4ARQBfAGoAawBsACAAPQAgAG4AaQB0AHIAbwBnAGUAbgAgAGUAeABjAHIAZQB0AGUAZAAgAGkAbgAgAGUAYQBjAGgAIAB0AGkAbQBlAC0AcABlAHIAaQBvAGQALAAgAGIAeQAgAGUAYQBjAGgAIABjAGwAYQBzAHMAIABhAG4AZAAgAHMAdQBiAGMAbABhAHMAcwAgACgAawBnACAATgAvAGgAZQBhAGQALwBkAGEAeQApAFwAbgBEAF8AagAgAD0AIABuAHUAbQBiAGUAcgAgAG8AZgAgAGQAYQB5AHMAIABpAG4AIABlAGEAYwBoACAAdABpAG0AZQAtAHAAZQByAGkAbwBkACAAKABkAGEAeQBzACkAXABuAC0ALQAtAC0ALQAtAC0ALQAtAC0ALQAtAC0ALQAtAC0ALQAtAC0ALQAtAC0ALQAtAC0ALQAtAC0ALQAtAC0ALQAtAC0ALQAtAC0ALQBcAG4AKgAvAFwAbgBcAG4AVgBFAEUAUgBHAF8ANABfADIAXwAxAF8AMwBfAF8AMgBfAFQAbwB0AGEAbABOAGkAdAByAG8AZwBlAG4ARQB4AGMAcgBlAHQAZQBkAFQAbwBQAGEAcwB0AHUAcgBlAFIAYQBuAGcAZQBBAG4AZABQAGEAZABkAG8AYwBrAFwAbgAgACAAPQBMAEEATQBCAEQAQQAoAFwAbgAgACAAIAAgAE4AXwBqAGsAbAAsACAATgBFAF8AagBrAGwALAAgAEQAXwBqACwAXABuACAAIAAgACAAUwBVAE0AKAAoAE4AXwBqAGsAbAAgACoAIABOAEUAXwBqAGsAbAApACAAKgAgAEQAXwBqACkAXABuACAAIAApADsAXABuAFwAbgBWAEUARQBSAEcAXwA0AF8AMgBfADEAXwAzAF8AXwAyAF8AVABvAHQAYQBsAE4AaQB0AHIAbwBnAGUAbgBFAHgAYwByAGUAdABlAGQAVABvAFAAYQBzAHQAdQByAGUAUgBhAG4AZwBlAEEAbgBkAFAAYQBkAGQAbwBjAGsAXwBUAGkAdABsAGUAXABuACAAIAA9AEwAQQBNAEIARABBACgAXAAiAFQAbwB0AGEAbAAgAG4AaQB0AHIAbwBnAGUAbgAgAGUAeABjAHIAZQB0AGUAZAAgAHQAbwAgAHAAYQBzAHQAdQByAGUALAAgAHIAYQBuAGcAZQAgAGEAbgBkACAAcABhAGQAZABvAGMAawBcACIAKQA7AFwAbgBcAG4AVgBFAEUAUgBHAF8ANABfADIAXwAxAF8AMwBfAF8AMgBfAFQAbwB0AGEAbABOAGkAdAByAG8AZwBlAG4ARQB4AGMAcgBlAHQAZQBkAFQAbwBQAGEAcwB0AHUAcgBlAFIAYQBuAGcAZQBBAG4AZABQAGEAZABkAG8AYwBrAF8AVgBhAHIAaQBhAGIAbABlAFwAbgAgACAAPQBMAEEATQBCAEQAQQAoAFwAIgBBAEUAXAAiACkAOwBcAG4AXABuAFYARQBFAFIARwBfADQAXwAyAF8AMQBfADMAXwBfADIAXwBUAG8AdABhAGwATgBpAHQAcgBvAGcAZQBuAEUAeABjAHIAZQB0AGUAZABUAG8AUABhAHMAdAB1AHIAZQBSAGEAbgBnAGUAQQBuAGQAUABhAGQAZABvAGMAawBfAFUAbgBpAHQAXABuACAAIAA9AEwAQQBNAEIARABBACgAXAAiAGsAZwAgAE4AXAAiACkAOwBcAG4AXABuAFYARQBFAFIARwBfADQAXwAyAF8AMQBfADMAXwBfADIAXwBUAG8AdABhAGwATgBpAHQAcgBvAGcAZQBuAEUAeABjAHIAZQB0AGUAZABUAG8AUABhAHMAdAB1AHIAZQBSAGEAbgBnAGUAQQBuAGQAUABhAGQAZABvAGMAawBfAFMAbwB1AHIAYwBlAFwAbgAgACAAPQBMAEEATQBCAEQAQQAoAFwAIgBWAEUARQBSAEcAIAAyADAAMgA2ADoAIAA0AC4AMgAuADEALgAzACwAIABFAHEAdQBhAHQAaQBvAG4AIAAoADIAKQBcACIAKQA7AFwAbgBcAG4AVgBFAEUAUgBHAF8ANABfADIAXwAxAF8AMwBfAF8AMgBfAFQAbwB0AGEAbABOAGkAdAByAG8AZwBlAG4ARQB4AGMAcgBlAHQAZQBkAFQAbwBQAGEAcwB0AHUAcgBlAFIAYQBuAGcAZQBBAG4AZABQAGEAZABkAG8AYwBrAF8ATgBJAFIAUgBlAGYAZQByAGUAbgBjAGUAXABuACAAIAA9AEwAQQBNAEIARABBACgAXAAiAFwAIgApADsAXABuAFwAbgBWAEUARQBSAEcAXwA0AF8AMgBfADEAXwAzAF8AXwAyAF8AVABvAHQAYQBsAE4AaQB0AHIAbwBnAGUAbgBFAHgAYwByAGUAdABlAGQAVABvAFAAYQBzAHQAdQByAGUAUgBhAG4AZwBlAEEAbgBkAFAAYQBkAGQAbwBjAGsAXwBMAGEAdABlAHgARQBxAHUAYQB0AGkAbwBuAFwAbgAgACAAPQBMAEEATQBCAEQAQQAoAFwAIgBBAEUAPQBcAFwAcwB1AG0AXwB7AGoAfQBcAFwAcwB1AG0AXwB7AGsAfQBcAFwAcwB1AG0AXwB7AGwAfQAoAE4AXwB7AGoAawBsAH0AXABcAHQAaQBtAGUAcwAgAE4ARQBfAHsAagBrAGwAfQBcAFwAdABpAG0AZQBzACAARABfAGoAKQBcACIAKQA7AFwAbgBcAG4AVgBFAEUAUgBHAF8ANABfADIAXwAxAF8AMwBfAF8AMgBfAFQAbwB0AGEAbABOAGkAdAByAG8AZwBlAG4ARQB4AGMAcgBlAHQAZQBkAFQAbwBQAGEAcwB0AHUAcgBlAFIAYQBuAGcAZQBBAG4AZABQAGEAZABkAG8AYwBrAF8AQQByAGcAdQBtAGUAbgB0AHMAXABuACAAIAA9AEwAQQBNAEIARABBACgAXABuACAAIAAgACAATQBBAEsARQBBAFIAUgBBAFkAKAAzACwAIAAyACwAXABuACAAIAAgACAAIAAgAEwAQQBNAEIARABBACgAcgAsAGMALABcAG4AIAAgACAAIAAgACAAIAAgAEkATgBEAEUAWAAoAHsAXABuACAAIAAgACAAIAAgACAAIAAgACAAXAAiAE4AXwBqAGsAbABcACIALAAgAFwAIgBuAHUAbQBiAGUAcgAgAG8AZgAgAGIAZQBlAGYAIABjAGEAdAB0AGwAZQAgAGIAeQAgAHQAaQBtAGUALQBwAGUAcgBpAG8AZAAsACAAYwBsAGEAcwBzACAAYQBuAGQAIABzAHUAYgBjAGwAYQBzAHMAIAAoAGgAZQBhAGQAKQBcACIAOwBcAG4AIAAgACAAIAAgACAAIAAgACAAIABcACIATgBFAF8AagBrAGwAXAAiACwAIABcACIAbgBpAHQAcgBvAGcAZQBuACAAZQB4AGMAcgBlAHQAZQBkACAAaQBuACAAZQBhAGMAaAAgAHQAaQBtAGUALQBwAGUAcgBpAG8AZAAsACAAYgB5ACAAZQBhAGMAaAAgAGMAbABhAHMAcwAgAGEAbgBkACAAcwB1AGIAYwBsAGEAcwBzACAAKABrAGcAIABOAC8AaABlAGEAZAAvAGQAYQB5ACkAXAAiADsAXABuACAAIAAgACAAIAAgACAAIAAgACAAXAAiAEQAXwBqAFwAIgAsACAAXAAiAG4AdQBtAGIAZQByACAAbwBmACAAZABhAHkAcwAgAGkAbgAgAGUAYQBjAGgAIAB0AGkAbQBlAC0AcABlAHIAaQBvAGQAIAAoAGQAYQB5AHMAKQ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zAF8ATgBpAHQAcgBvAGcAZQBuAEUAeABjAHIAZQB0AGUAZABcAG4ATgBpAHQAcgBvAGcAZQBuACAAZQB4AGMAcgBlAHQAZQBkAFwAbgBOAEUAXwBqAGsAbABcAG4AawBnACAATgAvAGgAZQBhAGQALwBkAGEAeQBcAG4ATgBFAF8AewBqAGsAbAB9AD0AXABcAGYAcgBhAGMAewBJAF8AewBqAGsAbAB9AFwAXAB0AGkAbQBlAHMAIABDAFAAXwBqAH0AewA2AC4AMgA1AH0AKwBcAFwAZgByAGEAYwB7ADAALgAwADMAMgBcAFwAdABpAG0AZQBzACAATQBDAF8AewBqAGsAPQAxACwAMwAsADYAfQB9AHsANgAuADMAOAB9AC0ATgBSAF8AewBqAGsAbAB9AC0AXABcAGYAcgBhAGMAewAxAC4AMQBcAFwAdABpAG0AZQBzACAAMQAwAF4AewAtADQAfQBcAFwAdABpAG0AZQBzACAAVwBfAHsAagBrAGwAfQBeAHsAMAAuADcANQB9AH0AewA2AC4AMgA1AH0AXABuAEkAXwBqAGsAbAAgAD0AIABkAHIAeQAgAG0AYQB0AHQAZQByACAAaQBuAHQAYQBrAGUAIABhAHMAIABjAGEAbABjAHUAbABhAHQAZQBkACAAaQBuACAAQwBoAGEAcAB0AGUAcgAgADMAIABTAGUAYwB0AGkAbwBuACAAMwAuADIALgAxACAAKABrAGcAIABEAE0ALwBoAGUAYQBkAC8AZABhAHkAKQBcAG4AQwBQAF8AagAgAD0AIABjAHIAdQBkAGUAIABwAHIAbwB0AGUAaQBuACAAYwBvAG4AdABlAG4AdAAgAG8AZgAgAGQAcgB5ACAAbQBhAHQAdABlAHIAIABpAG4AdABhAGsAZQBcAG4ATQBDAF8AagBrADEAMwA2ACAAPQAgAG0AaQBsAGsAIABpAG4AdABhAGsAZQAgACgAawBnAC8AaABlAGEAZAAvAGQAYQB5ACkAXABuAE4AUgBfAGoAawBsACAAPQAgAHQAaABlACAAYQBtAG8AdQBuAHQAIABvAGYAIABuAGkAdAByAG8AZwBlAG4AIAByAGUAdABhAGkAbgBlAGQAIABiAHkAIAB0AGgAZQAgAGIAbwBkAHkAIAAoAGsAZwAgAE4ALwBoAGUAYQBkAC8AZABhAHkAKQBcAG4AVwBfAGoAawBsACAAPQAgAGwAaQB2AGUAdwBlAGkAZwBoAHQAIAAoAGsAZwAvAGgAZQBhAGQAKQBcAG4ALQAtAC0ALQAtAC0ALQAtAC0ALQAtAC0ALQAtAC0ALQAtAC0ALQAtAC0ALQAtAC0ALQAtAC0ALQAtAC0ALQAtAC0ALQAtAC0ALQAtAFwAbgAqAC8AXABuAFwAbgBWAEUARQBSAEcAXwA0AF8AMgBfADEAXwAzAF8AXwAzAF8ATgBpAHQAcgBvAGcAZQBuAEUAeABjAHIAZQB0AGUAZABcAG4AIAAgAD0ATABBAE0AQgBEAEEAKABcAG4AIAAgACAAIABJAF8AagBrAGwALAAgAEMAUABfAGoALAAgAE0AQwBfAGoAawAxADMANgAsACAATgBSAF8AagBrAGwALAAgAFcAXwBqAGsAbAAsAFwAbgAgACAAIAAgACgAKABJAF8AagBrAGwAIAAqACAAQwBQAF8AagApACAALwAgADYALgAyADUAKQAgACsAIAAoACgAMAAuADAAMwAyACAAKgAgAE0AQwBfAGoAawAxADMANgApACAALwAgADYALgAzADgAKQAgAC0AIABOAFIAXwBqAGsAbAAgAC0AIAAoACgAMQAuADEAIAAqACAAMQAwACAAXgAgAC0ANAAgACoAIABXAF8AagBrAGwAIABeACAAMAAuADcANQApACAALwAgADYALgAyADUAKQBcAG4AIAAgACkAOwBcAG4AXABuAFYARQBFAFIARwBfADQAXwAyAF8AMQBfADMAXwBfADMAXwBOAGkAdAByAG8AZwBlAG4ARQB4AGMAcgBlAHQAZQBkAF8AVABpAHQAbABlAFwAbgAgACAAPQBMAEEATQBCAEQAQQAoAFwAIgBOAGkAdAByAG8AZwBlAG4AIABlAHgAYwByAGUAdABlAGQAXAAiACkAOwBcAG4AXABuAFYARQBFAFIARwBfADQAXwAyAF8AMQBfADMAXwBfADMAXwBOAGkAdAByAG8AZwBlAG4ARQB4AGMAcgBlAHQAZQBkAF8AVgBhAHIAaQBhAGIAbABlAFwAbgAgACAAPQBMAEEATQBCAEQAQQAoAFwAIgBOAEUAXwBqAGsAbABcACIAKQA7AFwAbgBcAG4AVgBFAEUAUgBHAF8ANABfADIAXwAxAF8AMwBfAF8AMwBfAE4AaQB0AHIAbwBnAGUAbgBFAHgAYwByAGUAdABlAGQAXwBVAG4AaQB0AFwAbgAgACAAPQBMAEEATQBCAEQAQQAoAFwAIgBrAGcAIABOAC8AaABlAGEAZAAvAGQAYQB5AFwAIgApADsAXABuAFwAbgBWAEUARQBSAEcAXwA0AF8AMgBfADEAXwAzAF8AXwAzAF8ATgBpAHQAcgBvAGcAZQBuAEUAeABjAHIAZQB0AGUAZABfAFMAbwB1AHIAYwBlAFwAbgAgACAAPQBMAEEATQBCAEQAQQAoAFwAIgBWAEUARQBSAEcAIAAyADAAMgA2ADoAIAA0AC4AMgAuADEALgAzACwAIABFAHEAdQBhAHQAaQBvAG4AIAAoADMAKQBcACIAKQA7AFwAbgBcAG4AVgBFAEUAUgBHAF8ANABfADIAXwAxAF8AMwBfAF8AMwBfAE4AaQB0AHIAbwBnAGUAbgBFAHgAYwByAGUAdABlAGQAXwBOAEkAUgBSAGUAZgBlAHIAZQBuAGMAZQBcAG4AIAAgAD0ATABBAE0AQgBEAEEAKABcACIAXAAiACkAOwBcAG4AXABuAFYARQBFAFIARwBfADQAXwAyAF8AMQBfADMAXwBfADMAXwBOAGkAdAByAG8AZwBlAG4ARQB4AGMAcgBlAHQAZQBkAF8ATABhAHQAZQB4AEUAcQB1AGEAdABpAG8AbgBcAG4AIAAgAD0ATABBAE0AQgBEAEEAKABcACIATgBFAF8AewBqAGsAbAB9AD0AIAAoAEkAXwB7AGoAawBsAH0AXABcAHQAaQBtAGUAcwAgAEMAUABfAGoAIABcAFwAZABpAHYAIAA2AC4AMgA1ACkAIAAgACsAIAAoADAALgAwADMAMgBcAFwAdABpAG0AZQBzACAATQBDAF8AewBqAGsAPQAxACwAMwAsADYAfQAgAFwAXABkAGkAdgAgADYALgAzADgAKQAgACAALQAgAE4AUgBfAHsAagBrAGwAfQAgAC0AIABcAFwAbABlAGYAdABbACAAKAAxAC4AMQBcAFwAdABpAG0AZQBzACAAMQAwAF4AewAtADQAfQBcAFwAdABpAG0AZQBzACAAVwBfAHsAagBrAGwAfQBeAHsAMAAuADcANQB9ACkAIABcAFwAZABpAHYAIAAgADYALgAyADUAIABcAFwAcgBpAGcAaAB0AF0AXAAiACkAOwBcAG4AXABuAFYARQBFAFIARwBfADQAXwAyAF8AMQBfADMAXwBfADMAXwBOAGkAdAByAG8AZwBlAG4ARQB4AGMAcgBlAHQAZQBkAF8AQQByAGcAdQBtAGUAbgB0AHMAXABuACAAIAA9AEwAQQBNAEIARABBACgAXABuACAAIAAgACAATQBBAEsARQBBAFIAUgBBAFkAKAA3ACwAIAAy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CAAKABrAGcAIABEAE0ALwBoAGUAYQBkAC8AZABhAHkAKQBcACIAOwBcAG4AIAAgACAAIAAgACAAIAAgACAAIABcACIAQwBQAF8AagBcACIALAAgAFwAIgBjAHIAdQBkAGUAIABwAHIAbwB0AGUAaQBuACAAYwBvAG4AdABlAG4AdAAgAG8AZgAgAGQAcgB5ACAAbQBhAHQAdABlAHIAIABpAG4AdABhAGsAZQBcACIAOwBcAG4AIAAgACAAIAAgACAAIAAgACAAIABcACIATQBDAF8AagBrADEAMwA2AFwAIgAsACAAXAAiAG0AaQBsAGsAIABpAG4AdABhAGsAZQAgACgAawBnAC8AaABlAGEAZAAvAGQAYQB5ACkAXAAiADsAXABuACAAIAAgACAAIAAgACAAIAAgACAAXAAiAE4AUgBfAGoAawBsAFwAIgAsACAAXAAiAHQAaABlACAAYQBtAG8AdQBuAHQAIABvAGYAIABuAGkAdAByAG8AZwBlAG4AIAByAGUAdABhAGkAbgBlAGQAIABiAHkAIAB0AGgAZQAgAGIAbwBkAHkAIAAoAGsAZwAgAE4ALwBoAGUAYQBkAC8AZABhAHkAKQBcACIAOwBcAG4AIAAgACAAIAAgACAAIAAgACAAIABcACIAVwBfAGoAawBsAFwAIgAsACAAXAAiAGwAaQB2AGUAdwBlAGkAZwBoAHQAIAAoAGsAZwAvAGgAZQBhAGQAKQBcACIAOwBcAG4AIAAgACAAIAAgACAAIAAgACAAIABcACIAYgBcACIALAAgAFwAIgBiAHIAZQBlAGQAIABvAGYAIABjAGEAdAB0AGwAZQBcACIAOwBcAG4AIAAgACAAIAAgACAAIAAgACAAIABcACIAcwBcACIALAAgAFwAIgBDAGEAbAB2AGkAbgBnACAAcwBlAGEAcwBvAG4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ABfAE4AaQB0AHIAbwBnAGUAbgBSAGUAdABhAGkAbgBlAGQAQgB5AEIAbwBkAHkAXABuAEEAbQBvAHUAbgB0ACAAbwBmACAAbgBpAHQAcgBvAGcAZQBuACAAcgBlAHQAYQBpAG4AZQBkACAAYgB5ACAAdABoAGUAIABiAG8AZAB5AFwAbgBOAFIAXwBqAGsAbABcAG4AawBnACAATgAvAGgAZQBhAGQALwBkAGEAeQBcAG4ATgBSAF8AewBqAGsAbAB9AD0AXABcAGYAcgBhAGMAewAwAC4AMAAzADIAXABcAHQAaQBtAGUAcwAgAE0AUABfAHsAagBrAD0ANQB9AH0AewA2AC4AMwA4AH0AKwBcAFwAZgByAGEAYwB7ACgAMAAuADIAMQAyAC0AMAAuADAAMAA4AFwAXAB0AGkAbQBlAHMAKABMAF8AewBqAGsAbAB9AC0AMgApAC0AWwBcAFwAZgByAGEAYwB7ADAALgAxADQAMAAtADAALgAwADAAOABcAFwAdABpAG0AZQBzACgATABfAHsAagBrAGwAfQAtADIAKQB9AHsAMQArAGUAXgB7AC0ANgBcAFwAdABpAG0AZQBzACgAWgBfAHsAagBrAGwAfQAtADAALgA0ACkAfQB9AF0AKQBcAFwAdABpAG0AZQBzACgATABXAEcAXwB7AGoAawBsAH0AXABcAHQAaQBtAGUAcwAgADAALgA5ADIAKQB9AHsANgAuADIANQB9AFwAbgBNAFAAXwBqAGsANQAgAD0AIABtAGkAbABrACAAcAByAG8AZAB1AGMAdABpAG8AbgAgACgAawBnAC8AaABlAGEAZAAvAGQAYQB5ACkAXABuAEwAXwBqAGsAbAAgAD0AIABpAG4AdABhAGsAZQAgAHIAZQBsAGEAdABpAHYAZQAgAHQAbwAgAHQAaABhAHQAIABuAGUAZQBkAGUAZAAgAGYAbwByACAAbQBhAGkAbgB0AGUAbgBhAG4AYwBlAFwAbgBaAF8AagBrAGwAIAA9ACAAcgBlAGwAYQB0AGkAdgBlACAAcwBpAHoAZQBcAG4ATABXAEcAXwBqAGsAbAAgAD0AIABsAGkAdgBlAHcAZQBpAGcAaAB0ACAAZwBhAGkAbgAgACgAawBnAC8AaABlAGEAZAAvAGQAYQB5ACkAXABuAC0ALQAtAC0ALQAtAC0ALQAtAC0ALQAtAC0ALQAtAC0ALQAtAC0ALQAtAC0ALQAtAC0ALQAtAC0ALQAtAC0ALQAtAC0ALQAtAC0ALQBcAG4AKgAvAFwAbgBcAG4AVgBFAEUAUgBHAF8ANABfADIAXwAxAF8AMwBfAF8ANABfAE4AaQB0AHIAbwBnAGUAbgBSAGUAdABhAGkAbgBlAGQAQgB5AEIAbwBkAHkAXABuACAAIAA9AEwAQQBNAEIARABBACgAXABuACAAIAAgACAATQBQAF8AagBrADUALAAgAEwAXwBqAGsAbAAsACAAWgBfAGoAawBsACwAIABMAFcARwBfAGoAawBsACwAXABuACAAIAAgACAAKAAoADAALgAwADMAMgAgACoAIABNAFAAXwBqAGsANQApACAALwAgADYALgAzADgAKQAgACsAIAAoACgAKAAwAC4AMgAxADIAIAAtACAAMAAuADAAMAA4ACAAKgAgACgATABfAGoAawBsACAALQAgADIAKQAgAC0AIAAoACgAMAAuADEANAAwACAALQAgADAALgAwADAAOAAgACoAIAAoAEwAXwBqAGsAbAAgAC0AIAAyACkAKQAgAC8AIAAoADEAIAArACAARQBYAFAAKAAtADYAIAAqACAAKABaAF8AagBrAGwAIAAtACAAMAAuADQAKQApACkAKQApACAAKgAgACgATABXAEcAXwBqAGsAbAAgACoAIAAwAC4AOQAyACkAKQAgAC8AIAA2AC4AMgA1ACkAXABuACAAIAApADsAXABuAFwAbgBWAEUARQBSAEcAXwA0AF8AMgBfADEAXwAzAF8AXwA0AF8ATgBpAHQAcgBvAGcAZQBuAFIAZQB0AGEAaQBuAGUAZABCAHkAQgBvAGQAeQBfAFQAaQB0AGwAZQBcAG4AIAAgAD0ATABBAE0AQgBEAEEAKABcACIAQQBtAG8AdQBuAHQAIABvAGYAIABuAGkAdAByAG8AZwBlAG4AIAByAGUAdABhAGkAbgBlAGQAIABiAHkAIAB0AGgAZQAgAGIAbwBkAHkAXAAiACkAOwBcAG4AXABuAFYARQBFAFIARwBfADQAXwAyAF8AMQBfADMAXwBfADQAXwBOAGkAdAByAG8AZwBlAG4AUgBlAHQAYQBpAG4AZQBkAEIAeQBCAG8AZAB5AF8AVgBhAHIAaQBhAGIAbABlAFwAbgAgACAAPQBMAEEATQBCAEQAQQAoAFwAIgBOAFIAXwBqAGsAbABcACIAKQA7AFwAbgBcAG4AVgBFAEUAUgBHAF8ANABfADIAXwAxAF8AMwBfAF8ANABfAE4AaQB0AHIAbwBnAGUAbgBSAGUAdABhAGkAbgBlAGQAQgB5AEIAbwBkAHkAXwBVAG4AaQB0AFwAbgAgACAAPQBMAEEATQBCAEQAQQAoAFwAIgBrAGcAIABOAC8AaABlAGEAZAAvAGQAYQB5AFwAIgApADsAXABuAFwAbgBWAEUARQBSAEcAXwA0AF8AMgBfADEAXwAzAF8AXwA0AF8ATgBpAHQAcgBvAGcAZQBuAFIAZQB0AGEAaQBuAGUAZABCAHkAQgBvAGQAeQBfAFMAbwB1AHIAYwBlAFwAbgAgACAAPQBMAEEATQBCAEQAQQAoAFwAIgBWAEUARQBSAEcAIAAyADAAMgA2ADoAIAA0AC4AMgAuADEALgAzACwAIABFAHEAdQBhAHQAaQBvAG4AIAAoADQAKQBcACIAKQA7AFwAbgBcAG4AVgBFAEUAUgBHAF8ANABfADIAXwAxAF8AMwBfAF8ANABfAE4AaQB0AHIAbwBnAGUAbgBSAGUAdABhAGkAbgBlAGQAQgB5AEIAbwBkAHkAXwBOAEkAUgBSAGUAZgBlAHIAZQBuAGMAZQBcAG4AIAAgAD0ATABBAE0AQgBEAEEAKABcACIAXAAiACkAOwBcAG4AXABuAFYARQBFAFIARwBfADQAXwAyAF8AMQBfADMAXwBfADQAXwBOAGkAdAByAG8AZwBlAG4AUgBlAHQAYQBpAG4AZQBkAEIAeQBCAG8AZAB5AF8ATABhAHQAZQB4AEUAcQB1AGEAdABpAG8AbgBcAG4AIAAgAD0ATABBAE0AQgBEAEEAKABcACIATgBSAF8AewBqAGsAbAB9AD0AKAAwAC4AMAAzADIAIABcAFwAdABpAG0AZQBzACAATQBQAF8AewBqAGsAPQA1AH0AIABcAFwAZABpAHYAIAA2AC4AMwA4ACkAIAArACAAXABcAGwAZQBmAHQAIAB7ACAAXABcAGwAZQBmAHQAIAB7ACAAMAAuADIAMQAyACAALQAgADAALgAwADAAOAAgAFwAXAB0AGkAbQBlAHMAIAAoAEwAXwB7AGoAawBsAH0AIAAtADIAKQAgAC0AIABcAFwAbABlAGYAdABbACAAXABcAGYAcgBhAGMAewAwAC4AMQA0ADAALQAwAC4AMAAwADgAIABcAFwAdABpAG0AZQBzACAAKABMAF8AewBqAGsAbAB9ACAALQAgADIAKQB9AHsAMQArAGUAXgB7ACgALQA2ACAAXABcAHQAaQBtAGUAcwAgACgAWgBfAHsAagBrAGwAfQAtADAALgA0ACkAKQB9AH0AIABcAFwAcgBpAGcAaAB0AF0AIABcAFwAcgBpAGcAaAB0AH0AIABcAFwAdABpAG0AZQBzACAAKABMAFcARwBfAHsAagBrAGwAfQAgAFwAXAB0AGkAbQBlAHMAIAAwAC4AOQAyACkAIABcAFwAcgBpAGcAaAB0AH0AIABcAFwAZABpAHYAIAA2AC4AMgA1AFwAIgApADsAXABuAFwAbgBWAEUARQBSAEcAXwA0AF8AMgBfADEAXwAzAF8AXwA0AF8ATgBpAHQAcgBvAGcAZQBuAFIAZQB0AGEAaQBuAGUAZABCAHkAQgBvAGQAeQBfAEEAcgBnAHUAbQBlAG4AdABzAFwAbgAgACAAPQBMAEEATQBCAEQAQQAoAFwAbgAgACAAIAAgAE0AQQBLAEUAQQBSAFIAQQBZACgANAAsACAAMgAsAFwAbgAgACAAIAAgACAAIABMAEEATQBCAEQAQQAoAHIALABjACwAXABuACAAIAAgACAAIAAgACAAIABJAE4ARABFAFgAKAB7AFwAbgAgACAAIAAgACAAIAAgACAAIAAgAFwAIgBNAFAAXwBqAGsANQBcACIALAAgAFwAIgBtAGkAbABrACAAcAByAG8AZAB1AGMAdABpAG8AbgAgACgAawBnAC8AaABlAGEAZAAvAGQAYQB5ACkAXAAiADsAXABuACAAIAAgACAAIAAgACAAIAAgACAAXAAiAEwAXwBqAGsAbABcACIALAAgAFwAIgBpAG4AdABhAGsAZQAgAHIAZQBsAGEAdABpAHYAZQAgAHQAbwAgAHQAaABhAHQAIABuAGUAZQBkAGUAZAAgAGYAbwByACAAbQBhAGkAbgB0AGUAbgBhAG4AYwBlAFwAIgA7AFwAbgAgACAAIAAgACAAIAAgACAAIAAgAFwAIgBaAF8AagBrAGwAXAAiACwAIABcACIAcgBlAGwAYQB0AGkAdgBlACAAcwBpAHoAZQBcACIAOwBcAG4AIAAgACAAIAAgACAAIAAgACAAIABcACIATABXAEcAXwBqAGsAbABcACIALAAgAFwAIgBsAGkAdgBlAHcAZQBpAGcAaAB0ACAAZwBhAGkAbgAgACgAawBnAC8AaABlAGEAZAAvAGQAYQB5ACk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QBfAE0AaQBsAGsAUAByAG8AZAB1AGMAdABpAG8AbgBGAG8AcgBDAGEAbAB2AGkAbgBnAFMAZQBhAHMAbwBuAFwAbgBNAGkAbABrACAAcAByAG8AZAB1AGMAdABpAG8AbgAgAGYAbwByACAAdABoAGUAIABzAGUAYQBzAG8AbgAgAG8AZgAgAGMAYQBsAHYAaQBuAGcAIABhAG4AZAAgAHMAZQBhAHMAbwBuACAAYQBmAHQAZQByACAAYwBhAGwAdgBpAG4AZwBcAG4ATQBQAF8AagBrADUAXABuAGsAZwAvAGgAZQBhAGQALwBkAGEAeQBcAG4ATQBQAF8AewBqAGsAPQA1AH0APQBMAEMAXwB7AGoAawA9ADUAfQBcAFwAdABpAG0AZQBzACAARABNAFAAXwB7AGoAawA9ADUAfQBcAG4ATABDAF8AagBrADUAIAA9ACAAcAByAG8AcABvAHIAdABpAG8AbgAgAG8AZgAgAGMAbwB3AHMAIABnAHIAZQBhAHQAZQByACAAdABoAGEAbgAgADIAIAB5AGUAYQByAHMAIABsAGEAYwB0AGEAdABpAG4AZwAgAGYAbwByACAAdABoAGUAIABzAGUAYQBzAG8AbgAgAG8AZgAgAGMAYQBsAHYAaQBuAGcAIABhAG4AZAAgAHMAZQBhAHMAbwBuACAAYQBmAHQAZQByACAAYwBhAGwAdgBpAG4AZwAgAGUAeABwAHIAZQBzAHMAZQBkACAAYQBzACAAYQAgAGYAcgBhAGMAdABpAG8AbgBcAG4ARABNAFAAXwBqAGsANQAgAD0AIABkAGEAaQBsAHkAIABtAGkAbABrACAAcAByAG8AZAB1AGMAdABpAG8AbgAgACgAawBnAC8AaABlAGEAZAAvAGQAYQB5ACkAXABuAC0ALQAtAC0ALQAtAC0ALQAtAC0ALQAtAC0ALQAtAC0ALQAtAC0ALQAtAC0ALQAtAC0ALQAtAC0ALQAtAC0ALQAtAC0ALQAtAC0ALQBcAG4AKgAvAFwAbgBcAG4AVgBFAEUAUgBHAF8ANABfADIAXwAxAF8AMwBfAF8ANQBfAE0AaQBsAGsAUAByAG8AZAB1AGMAdABpAG8AbgBGAG8AcgBDAGEAbAB2AGkAbgBnAFMAZQBhAHMAbwBuAFwAbgAgACAAPQBMAEEATQBCAEQAQQAoAFwAbgAgACAAIAAgAEwAQwBfAGoAawA1ACwAIABEAE0AUABfAGoAawA1ACwAXABuACAAIAAgACAATABDAF8AagBrADUAIAAqACAARABNAFAAXwBqAGsANQBcAG4AIAAgACkAOwBcAG4AXABuAFYARQBFAFIARwBfADQAXwAyAF8AMQBfADMAXwBfADUAXwBNAGkAbABrAFAAcgBvAGQAdQBjAHQAaQBvAG4ARgBvAHIAQwBhAGwAdgBpAG4AZwBTAGUAYQBzAG8AbgBWAGEAcgBpAGEAdABpAG8AbgBcAG4AIAAgAD0ATABBAE0AQgBEAEEAKABcAG4AIAAgACAAIABMAEMAXwBqAGsANQBjAHUAcgByACwAIABMAEMAXwBqAGsANQBwAHIAZQB2ACwAIABEAE0AUABfAGoAawA1AGMAYQBsAHYALAAgAEQATQBQAF8AagBrADUAYQBmAHQAZQByACwAXABuACAAIAAgACAAKABMAEMAXwBqAGsANQBjAHUAcgByACAAKgAgAEQATQBQAF8AagBrADUAYwBhAGwAdgApACAAKwAgACgATABDAF8AagBrADUAcAByAGUAdgAgACoAIABEAE0AUABfAGoAawA1AGEAZgB0AGUAcgApAFwAbgAgACAAKQA7AFwAbgBcAG4AVgBFAEUAUgBHAF8ANABfADIAXwAxAF8AMwBfAF8ANQBfAE0AaQBsAGsAUAByAG8AZAB1AGMAdABpAG8AbgBGAG8AcgBDAGEAbAB2AGkAbgBnAFMAZQBhAHMAbwBuAF8AVABpAHQAbABlAFwAbgAgACAAPQBMAEEATQBCAEQAQQAoAFwAIgBNAGkAbABrACAAcAByAG8AZAB1AGMAdABpAG8AbgAgAGYAbwByACAAdABoAGUAIABzAGUAYQBzAG8AbgAgAG8AZgAgAGMAYQBsAHYAaQBuAGcAIABhAG4AZAAgAHMAZQBhAHMAbwBuACAAYQBmAHQAZQByACAAYwBhAGwAdgBpAG4AZwBcACIAKQA7AFwAbgBcAG4AVgBFAEUAUgBHAF8ANABfADIAXwAxAF8AMwBfAF8ANQBfAE0AaQBsAGsAUAByAG8AZAB1AGMAdABpAG8AbgBGAG8AcgBDAGEAbAB2AGkAbgBnAFMAZQBhAHMAbwBuAF8AVgBhAHIAaQBhAGIAbABlAFwAbgAgACAAPQBMAEEATQBCAEQAQQAoAFwAIgBNAFAAXwBqAGsANQBcACIAKQA7AFwAbgBcAG4AVgBFAEUAUgBHAF8ANABfADIAXwAxAF8AMwBfAF8ANQBfAE0AaQBsAGsAUAByAG8AZAB1AGMAdABpAG8AbgBGAG8AcgBDAGEAbAB2AGkAbgBnAFMAZQBhAHMAbwBuAF8AVQBuAGkAdABcAG4AIAAgAD0ATABBAE0AQgBEAEEAKABcACIAawBnAC8AaABlAGEAZAAvAGQAYQB5AFwAIgApADsAXABuAFwAbgBWAEUARQBSAEcAXwA0AF8AMgBfADEAXwAzAF8AXwA1AF8ATQBpAGwAawBQAHIAbwBkAHUAYwB0AGkAbwBuAEYAbwByAEMAYQBsAHYAaQBuAGcAUwBlAGEAcwBvAG4AXwBTAG8AdQByAGMAZQBcAG4AIAAgAD0ATABBAE0AQgBEAEEAKABcACIAVgBFAEUAUgBHACAAMgAwADIANgA6ACAANAAuADIALgAxAC4AMwAsACAARQBxAHUAYQB0AGkAbwBuACAAKAA1ACkAXAAiACkAOwBcAG4AXABuAFYARQBFAFIARwBfADQAXwAyAF8AMQBfADMAXwBfADUAXwBNAGkAbABrAFAAcgBvAGQAdQBjAHQAaQBvAG4ARgBvAHIAQwBhAGwAdgBpAG4AZwBTAGUAYQBzAG8AbgBfAE4ASQBSAFIAZQBmAGUAcgBlAG4AYwBlAFwAbgAgACAAPQBMAEEATQBCAEQAQQAoAFwAIgBcACIAKQA7AFwAbgBcAG4AVgBFAEUAUgBHAF8ANABfADIAXwAxAF8AMwBfAF8ANQBfAE0AaQBsAGsAUAByAG8AZAB1AGMAdABpAG8AbgBGAG8AcgBDAGEAbAB2AGkAbgBnAFMAZQBhAHMAbwBuAF8ATABhAHQAZQB4AEUAcQB1AGEAdABpAG8AbgBcAG4AIAAgAD0ATABBAE0AQgBEAEEAKABcACIATQBQAF8AewBqAGsAPQA1AH0APQBMAEMAXwB7AGoAawA9ADUAfQBcAFwAdABpAG0AZQBzACAARABNAFAAXwB7AGoAawA9ADUAfQBcACIAKQA7AFwAbgBcAG4AVgBFAEUAUgBHAF8ANABfADIAXwAxAF8AMwBfAF8ANQBfAE0AaQBsAGsAUAByAG8AZAB1AGMAdABpAG8AbgBGAG8AcgBDAGEAbAB2AGkAbgBnAFMAZQBhAHMAbwBuAF8ATABhAHQAZQB4AEUAcQB1AGEAdABpAG8AbgBWAGEAcgBpAGEAdABpAG8AbgBcAG4AIAAgAD0ATABBAE0AQgBEAEEAKABcACIATQBQAF8AewBqAGsAPQA1AH0APQAoAEwAQwBfAHsAagBrAD0ANQAsAGMAdQByAHIAZQBuAHQAfQBcAFwAdABpAG0AZQBzACAARABNAFAAXwB7AGoAawA9ADUALABjAGEAbAB2AH0AKQArACgATABDAF8AewBqAGsAPQA1ACwAcAByAGUAdgB9AFwAXAB0AGkAbQBlAHMAIABEAE0AUABfAHsAagBrAD0ANQAsAGEAZgB0AGUAcgB9ACkAXAAiACkAOwBcAG4AXABuAFYARQBFAFIARwBfADQAXwAyAF8AMQBfADMAXwBfADUAXwBNAGkAbABrAFAAcgBvAGQAdQBjAHQAaQBvAG4ARgBvAHIAQwBhAGwAdgBpAG4AZwBTAGUAYQBzAG8AbgBfAEEAcgBnAHUAbQBlAG4AdABzAFwAbgAgACAAPQBMAEEATQBCAEQAQQAoAFwAbgAgACAAIAAgAE0AQQBLAEUAQQBSAFIAQQBZACgAMwAsACAAMgAsAFwAbgAgACAAIAAgACAAIABMAEEATQBCAEQAQQAoAHIALABjACwAXABuACAAIAAgACAAIAAgACAAIABJAE4ARABFAFgAKAB7AFwAbgAgACAAIAAgACAAIAAgACAAIAAgAFwAIgBMAEMAXwBqAGsANQBcACIALAAgAFwAIgBwAHIAbwBwAG8AcgB0AGkAbwBuACAAbwBmACAAYwBvAHcAcwAgAGcAcgBlAGEAdABlAHIAIAB0AGgAYQBuACAAMgAgAHkAZQBhAHIAcwAgAGwAYQBjAHQAYQB0AGkAbgBnACAAZgBvAHIAIAB0AGgAZQAgAHMAZQBhAHMAbwBuACAAbwBmACAAYwBhAGwAdgBpAG4AZwAgAGEAbgBkACAAcwBlAGEAcwBvAG4AIABhAGYAdABlAHIAIABjAGEAbAB2AGkAbgBnACAAZQB4AHAAcgBlAHMAcwBlAGQAIABhAHMAIABhACAAZgByAGEAYwB0AGkAbwBuAFwAIgA7AFwAbgAgACAAIAAgACAAIAAgACAAIAAgAFwAIgBEAE0AUABfAGoAawA1AFwAIgAsACAAXAAiAGQAYQBpAGwAeQAgAG0AaQBsAGsAIABwAHIAbwBkAHUAYwB0AGkAbwBuACAAKABrAGcALwBoAGUAYQBkAC8AZABhAHkAKQBcACIAOwBcAG4AIAAgACAAIAAgACAAIAAgACAAIABcACIAYgBcACIALAAgAFwAIgBiAHIAZQBlAGQAIABvAGYAIABjAGEAdAB0AGwAZQBcACIAXABuACAAIAAgACAAIAAgACAAIAB9ACwAIAByACwAIABjACkAXABuACAAIAAgACAAIAAgACkAXABuACAAIAAgACAAKQBcAG4AIAAgACkAOwBcAG4AXABuAFYARQBFAFIARwBfADQAXwAyAF8AMQBfADMAXwBfADUAXwBNAGkAbABrAFAAcgBvAGQAdQBjAHQAaQBvAG4ARgBvAHIAQwBhAGwAdgBpAG4AZwBTAGUAYQBzAG8AbgBfAEEAcgBnAHUAbQBlAG4AdABzAFYAYQByAGkAYQB0AGkAbwBuAFwAbgAgACAAPQBMAEEATQBCAEQAQQAoAFwAbgAgACAAIAAgAE0AQQBLAEUAQQBSAFIAQQBZACgANQAsACAAMgAsAFwAbgAgACAAIAAgACAAIABMAEEATQBCAEQAQQAoAHIALABjACwAXABuACAAIAAgACAAIAAgACAAIABJAE4ARABFAFgAKAB7AFwAbgAgACAAIAAgACAAIAAgACAAIAAgAFwAIgBMAEMAXwBqAGsANQBjAHUAcgByAFwAIgAsACAAXAAiAHAAcgBvAHAAbwByAHQAaQBvAG4AIABvAGYAIABjAG8AdwBzACAAZwByAGUAYQB0AGUAcgAgAHQAaABhAG4AIAAyACAAeQBlAGEAcgBzACAAbABhAGMAdABhAHQAaQBuAGcAIABmAG8AcgAgAHQAaABlACAAcwBlAGEAcwBvAG4AIABvAGYAIABjAGEAbAB2AGkAbgBnAFwAIgA7AFwAbgAgACAAIAAgACAAIAAgACAAIAAgAFwAIgBMAEMAXwBqAGsANQBwAHIAZQB2AFwAIgAsACAAXAAiAHAAcgBvAHAAbwByAHQAaQBvAG4AIABvAGYAIABjAG8AdwBzACAAZwByAGUAYQB0AGUAcgAgAHQAaABhAG4AIAAyACAAeQBlAGEAcgBzACAAbABhAGMAdABhAHQAaQBuAGcAIABmAG8AcgAgAHQAaABlACAAcwBlAGEAcwBvAG4AIABhAGYAdABlAHIAIABjAGEAbAB2AGkAbgBnAFwAIgA7AFwAbgAgACAAIAAgACAAIAAgACAAIAAgAFwAIgBEAE0AUABfAGoAawA1AGMAYQBsAHYAXAAiACwAIABcACIAZABhAGkAbAB5ACAAbQBpAGwAawAgAHAAcgBvAGQAdQBjAHQAaQBvAG4AIABmAG8AcgAgAHQAaABlACAAcwBlAGEAcwBvAG4AIABvAGYAIABjAGEAbAB2AGkAbgBnACAAKABrAGcALwBoAGUAYQBkAC8AZABhAHkAKQBcACIAOwBcAG4AIAAgACAAIAAgACAAIAAgACAAIABcACIARABNAFAAXwBqAGsANQBhAGYAdABlAHIAXAAiACwAIABcACIAZABhAGkAbAB5ACAAbQBpAGwAawAgAHAAcgBvAGQAdQBjAHQAaQBvAG4AIABmAG8AcgAgAHQAaABlACAAcwBlAGEAcwBvAG4AIABhAGYAdABlAHIAIABjAGEAbAB2AGkAbgBnACAAKABrAGcALwBoAGUAYQBkAC8AZABhAHkAKQBcACIAOwBcAG4AIAAgACAAIAAgACAAIAAgACAAIABcACIAYgBcACIALAAgAFwAIgBiAHIAZQBlAGQAIABvAGYAIABjAGEAdAB0AGwAZQBcACIAXABuACAAIAAgACAAIAAgACAAIAB9ACwAIAByACwAIABjACkAXABuACAAIAAgACAAIAAgACkAXABuACAAIAAgACAAKQBcAG4AIAAgACkAOwBcAG4AXABuAFYARQBFAFIARwBfADQAXwAyAF8AMQBfADMAXwBfADUAXwBNAGkAbABrAFAAcgBvAGQAdQBjAHQAaQBvAG4ARgBvAHIAQwBhAGwAdgBpAG4AZwBTAGUAYQBzAG8AbgBfAFYAYQByAGkAYQB0AGkAbwBuAFwAbgA9AEwAQQBNAEIARABBACgAXAAiAFYAQQBSAEkAQQBUAEkATwBOACAATwBOACAAUwBPAFUAUgBDAEUAOgAgAFMAcABsAGkAdAAgAEwAQwAgAGEAbgBkACAARABNAFAAIABpAG4AdABvACAAYwBhAGwAdgBpAG4AZwAgAHMAZQBhAHMAbwBuACAAYQBuAGQAIABhAGYAdABlAHIAIABjAGEAbAB2AGkAbgBnACAAcwBlAGEAcwBvAG4AIAB2AGEAbAB1AGUAcwAuAFwAIgApADsAXABuAFwAbgAvACoAXABuAC0ALQAtAC0ALQAtAC0ALQAtAC0ALQAtAC0ALQAtAC0ALQAtAC0ALQAtAC0ALQAtAC0ALQAtAC0ALQAtAC0ALQAtAC0ALQAtAC0ALQBcAG4AVgBFAEUAUgBHAF8ANABfADIAXwAxAF8AMwBfAF8ANgBfAEkAbgB0AGEAawBlAFIAZQBsAGEAdABpAHYAZQBUAG8ATQBhAGkAbgB0AGUAbgBhAG4AYwBlAFwAbgBJAG4AdABhAGsAZQAgAHIAZQBsAGEAdABpAHYAZQAgAHQAbwAgAHQAaABhAHQAIABuAGUAZQBkAGUAZAAgAGYAbwByACAAbQBhAGkAbgB0AGUAbgBhAG4AYwBlAFwAbgBMAF8AagBrAGwAXABuAHIAYQB0AGkAbwBcAG4ATABfAHsAagBrAGwAfQA9AFwAXABmAHIAYQBjAHsASQBfAHsAagBrAGwAfQB9AHsAKAAxAC4AMQA4ADUAKwAwAC4AMAAwADQANQA0AFwAXAB0AGkAbQBlAHMAIABXAF8AewBqAGsAbAB9AC0AMAAuADAAMAAwADAAMAAyADYAXABcAHQAaQBtAGUAcwAgAFcAXwB7AGoAawBsAH0AXgB7ADIAfQApAF4AewAyAH0AfQBcAG4ASQBfAGoAawBsACAAPQAgAGQAcgB5ACAAbQBhAHQAdABlAHIAIABpAG4AdABhAGsAZQAgAGEAcwAgAGMAYQBsAGMAdQBsAGEAdABlAGQAIABpAG4AIABDAGgAYQBwAHQAZQByACAAMwAgAFMAZQBjAHQAaQBvAG4AIAAzAC4AMgAuADEAIAAoAGsAZwAgAEQATQAvAGgAZQBhAGQALwBkAGEAeQApAFwAbgBXAF8AagBrAGwAIAA9ACAAbABpAHYAZQB3AGUAaQBnAGgAdAAgACgAawBnAC8AaABlAGEAZAApAFwAbgAtAC0ALQAtAC0ALQAtAC0ALQAtAC0ALQAtAC0ALQAtAC0ALQAtAC0ALQAtAC0ALQAtAC0ALQAtAC0ALQAtAC0ALQAtAC0ALQAtAC0AXABuACoALwBcAG4AXABuAFYARQBFAFIARwBfADQAXwAyAF8AMQBfADMAXwBfADYAXwBJAG4AdABhAGsAZQBSAGUAbABhAHQAaQB2AGUAVABvAE0AYQBpAG4AdABlAG4AYQBuAGMAZQBcAG4AIAAgAD0ATABBAE0AQgBEAEEAKABcAG4AIAAgACAAIABJAF8AagBrAGwALAAgAFcAXwBqAGsAbAAsAFwAbgAgACAAIAAgAEkAXwBqAGsAbAAgAC8AIAAoACgAMQAuADEAOAA1ACAAKwAgADAALgAwADAANAA1ADQAIAAqACAAVwBfAGoAawBsACAALQAgADAALgAwADAAMAAwADAAMgA2ACAAKgAgAFcAXwBqAGsAbAAgAF4AIAAyACkAIABeACAAMgApAFwAbgAgACAAKQA7AFwAbgBcAG4AVgBFAEUAUgBHAF8ANABfADIAXwAxAF8AMwBfAF8ANgBfAEkAbgB0AGEAawBlAFIAZQBsAGEAdABpAHYAZQBUAG8ATQBhAGkAbgB0AGUAbgBhAG4AYwBlAF8AVABpAHQAbABlAFwAbgAgACAAPQBMAEEATQBCAEQAQQAoAFwAIgBJAG4AdABhAGsAZQAgAHIAZQBsAGEAdABpAHYAZQAgAHQAbwAgAHQAaABhAHQAIABuAGUAZQBkAGUAZAAgAGYAbwByACAAbQBhAGkAbgB0AGUAbgBhAG4AYwBlAFwAIgApADsAXABuAFwAbgBWAEUARQBSAEcAXwA0AF8AMgBfADEAXwAzAF8AXwA2AF8ASQBuAHQAYQBrAGUAUgBlAGwAYQB0AGkAdgBlAFQAbwBNAGEAaQBuAHQAZQBuAGEAbgBjAGUAXwBWAGEAcgBpAGEAYgBsAGUAXABuACAAIAA9AEwAQQBNAEIARABBACgAXAAiAEwAXwBqAGsAbABcACIAKQA7AFwAbgBcAG4AVgBFAEUAUgBHAF8ANABfADIAXwAxAF8AMwBfAF8ANgBfAEkAbgB0AGEAawBlAFIAZQBsAGEAdABpAHYAZQBUAG8ATQBhAGkAbgB0AGUAbgBhAG4AYwBlAF8AVQBuAGkAdABcAG4AIAAgAD0ATABBAE0AQgBEAEEAKABcACIAcgBhAHQAaQBvAFwAIgApADsAXABuAFwAbgBWAEUARQBSAEcAXwA0AF8AMgBfADEAXwAzAF8AXwA2AF8ASQBuAHQAYQBrAGUAUgBlAGwAYQB0AGkAdgBlAFQAbwBNAGEAaQBuAHQAZQBuAGEAbgBjAGUAXwBTAG8AdQByAGMAZQBcAG4AIAAgAD0ATABBAE0AQgBEAEEAKABcACIAVgBFAEUAUgBHACAAMgAwADIANgA6ACAANAAuADIALgAxAC4AMwAsACAARQBxAHUAYQB0AGkAbwBuACAAKAA2ACkAXAAiACkAOwBcAG4AXABuAFYARQBFAFIARwBfADQAXwAyAF8AMQBfADMAXwBfADYAXwBJAG4AdABhAGsAZQBSAGUAbABhAHQAaQB2AGUAVABvAE0AYQBpAG4AdABlAG4AYQBuAGMAZQBfAE4ASQBSAFIAZQBmAGUAcgBlAG4AYwBlAFwAbgAgACAAPQBMAEEATQBCAEQAQQAoAFwAIgBcACIAKQA7AFwAbgBcAG4AVgBFAEUAUgBHAF8ANABfADIAXwAxAF8AMwBfAF8ANgBfAEkAbgB0AGEAawBlAFIAZQBsAGEAdABpAHYAZQBUAG8ATQBhAGkAbgB0AGUAbgBhAG4AYwBlAF8ATABhAHQAZQB4AEUAcQB1AGEAdABpAG8AbgBcAG4AIAAgAD0ATABBAE0AQgBEAEEAKABcACIATABfAHsAagBrAGwAfQA9AFwAXABmAHIAYQBjAHsASQBfAHsAagBrAGwAfQB9AHsAKAAxAC4AMQA4ADUAKwAwAC4AMAAwADQANQA0AFwAXAB0AGkAbQBlAHMAIABXAF8AewBqAGsAbAB9AC0AMAAuADAAMAAwADAAMAAyADYAXABcAHQAaQBtAGUAcwAgAFcAXwB7AGoAawBsAH0AXgB7ADIAfQApAF4AewAyAH0AfQBcACIAKQA7AFwAbgBcAG4AVgBFAEUAUgBHAF8ANABfADIAXwAxAF8AMwBfAF8ANgBfAEkAbgB0AGEAawBlAFIAZQBsAGEAdABpAHYAZQBUAG8ATQBhAGkAbgB0AGUAbgBhAG4AYwBlAF8AQQByAGcAdQBtAGUAbgB0AHMAXABuACAAIAA9AEwAQQBNAEIARABBACgAXABuACAAIAAgACAATQBBAEsARQBBAFIAUgBBAFkAKAAyACwAIAAy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CAAKABrAGcAIABEAE0ALwBoAGUAYQBkAC8AZABhAHkAKQBcACIAOwBcAG4AIAAgACAAIAAgACAAIAAgACAAIABcACIAVwBfAGoAawBsAFwAIgAsACAAXAAiAGwAaQB2AGUAdwBlAGkAZwBoAHQAIAAoAGsAZwAvAGgAZQBhAGQAKQ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3AF8AUgBlAGwAYQB0AGkAdgBlAFMAaQB6AGUAXABuAFIAZQBsAGEAdABpAHYAZQAgAHMAaQB6AGUAIABvAGYAIAB0AGgAZQAgAGMAYQB0AHQAbABlAFwAbgBaAF8AagBrAGwAXABuAHIAYQB0AGkAbwBcAG4AWgBfAHsAagBrAGwAfQA9AFwAXABmAHIAYQBjAHsAVwBfAHsAagBrAGwAfQB9AHsAUwBSAFcAXwBrAH0AXABuAFcAXwBqAGsAbAAgAD0AIABsAGkAdgBlAHcAZQBpAGcAaAB0ACAAKABrAGcAKQBcAG4AUwBSAFcAXwBrACAAPQAgAHMAdABhAG4AZABhAHIAZAAgAHIAZQBmAGUAcgBlAG4AYwBlACAAdwBlAGkAZwBoAHQAIAAoAGsAZwApAFwAbgAtAC0ALQAtAC0ALQAtAC0ALQAtAC0ALQAtAC0ALQAtAC0ALQAtAC0ALQAtAC0ALQAtAC0ALQAtAC0ALQAtAC0ALQAtAC0ALQAtAC0AXABuACoALwBcAG4AXABuAFYARQBFAFIARwBfADQAXwAyAF8AMQBfADMAXwBfADcAXwBSAGUAbABhAHQAaQB2AGUAUwBpAHoAZQBcAG4AIAAgAD0ATABBAE0AQgBEAEEAKABcAG4AIAAgACAAIABXAF8AagBrAGwALAAgAFMAUgBXAF8AawAsAFwAbgAgACAAIAAgAFcAXwBqAGsAbAAgAC8AIABTAFIAVwBfAGsAXABuACAAIAApADsAXABuAFwAbgBWAEUARQBSAEcAXwA0AF8AMgBfADEAXwAzAF8AXwA3AF8AUgBlAGwAYQB0AGkAdgBlAFMAaQB6AGUAXwBUAGkAdABsAGUAXABuACAAIAA9AEwAQQBNAEIARABBACgAXAAiAFIAZQBsAGEAdABpAHYAZQAgAHMAaQB6AGUAIABvAGYAIAB0AGgAZQAgAGMAYQB0AHQAbABlAFwAIgApADsAXABuAFwAbgBWAEUARQBSAEcAXwA0AF8AMgBfADEAXwAzAF8AXwA3AF8AUgBlAGwAYQB0AGkAdgBlAFMAaQB6AGUAXwBWAGEAcgBpAGEAYgBsAGUAXABuACAAIAA9AEwAQQBNAEIARABBACgAXAAiAFoAXwBqAGsAbABcACIAKQA7AFwAbgBcAG4AVgBFAEUAUgBHAF8ANABfADIAXwAxAF8AMwBfAF8ANwBfAFIAZQBsAGEAdABpAHYAZQBTAGkAegBlAF8AVQBuAGkAdABcAG4AIAAgAD0ATABBAE0AQgBEAEEAKABcACIAcgBhAHQAaQBvAFwAIgApADsAXABuAFwAbgBWAEUARQBSAEcAXwA0AF8AMgBfADEAXwAzAF8AXwA3AF8AUgBlAGwAYQB0AGkAdgBlAFMAaQB6AGUAXwBTAG8AdQByAGMAZQBcAG4AIAAgAD0ATABBAE0AQgBEAEEAKABcACIAVgBFAEUAUgBHACAAMgAwADIANgA6ACAANAAuADIALgAxAC4AMwAsACAARQBxAHUAYQB0AGkAbwBuACAAKAA3ACkAXAAiACkAOwBcAG4AXABuAFYARQBFAFIARwBfADQAXwAyAF8AMQBfADMAXwBfADcAXwBSAGUAbABhAHQAaQB2AGUAUwBpAHoAZQBfAE4ASQBSAFIAZQBmAGUAcgBlAG4AYwBlAFwAbgAgACAAPQBMAEEATQBCAEQAQQAoAFwAIgBcACIAKQA7AFwAbgBcAG4AVgBFAEUAUgBHAF8ANABfADIAXwAxAF8AMwBfAF8ANwBfAFIAZQBsAGEAdABpAHYAZQBTAGkAegBlAF8ATABhAHQAZQB4AEUAcQB1AGEAdABpAG8AbgBcAG4AIAAgAD0ATABBAE0AQgBEAEEAKABcACIAWgBfAHsAagBrAGwAfQA9AFwAXABmAHIAYQBjAHsAVwBfAHsAagBrAGwAfQB9AHsAUwBSAFcAXwBrAH0AXAAiACkAOwBcAG4AXABuAFYARQBFAFIARwBfADQAXwAyAF8AMQBfADMAXwBfADcAXwBSAGUAbABhAHQAaQB2AGUAUwBpAHoAZQBfAEEAcgBnAHUAbQBlAG4AdABzAFwAbgAgACAAPQBMAEEATQBCAEQAQQAoAFwAbgAgACAAIAAgAE0AQQBLAEUAQQBSAFIAQQBZACgAMwAsACAAMgAsAFwAbgAgACAAIAAgACAAIABMAEEATQBCAEQAQQAoAHIALABjACwAXABuACAAIAAgACAAIAAgACAAIABJAE4ARABFAFgAKAB7AFwAbgAgACAAIAAgACAAIAAgACAAIAAgAFwAIgBXAF8AagBrAGwAXAAiACwAIABcACIAbABpAHYAZQB3AGUAaQBnAGgAdAAgACgAawBnACkAXAAiADsAXABuACAAIAAgACAAIAAgACAAIAAgACAAXAAiAFMAUgBXAF8AawBcACIALAAgAFwAIgBzAHQAYQBuAGQAYQByAGQAIAByAGUAZgBlAHIAZQBuAGMAZQAgAHcAZQBpAGcAaAB0ACAAKABrAGcAKQBcACIAOwBcAG4AIAAgACAAIAAgACAAIAAgACAAIABcACIAaQBcACIALAAgAFwAIgBzAHQAYQB0AGUAXAAiAFwAbgAgACAAIAAgACAAIAAgACAAfQAsACAAcgAsACAAYwApAFwAbgAgACAAIAAgACAAIAApAFwAbgAgACAAIAAgACkAXABuACAAIAApADsAXABuACIAfQAsAHsAIgBwAGEAdABoACIAOgAiAC8AcAByAG8AagBlAGMAdABzAC8ATQBNAFMAXwBQAGEAcwB0AHUAcgBlAEIAZQBlAGYAXwBTAG8AaQBsAF8AQQB0AG0AbwBzAHAAaABlAHIAaQBjAEQAZQBwAG8AcwBpAHQAaQBvAG4AXwBFAHEAdQBhAHQAaQBvAG4Acw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1ACAATQBlAHQAaABvAGQAIAAxACAALQAgAFMAbwBpAGwAIABBAHQAbQBvAHMAcABoAGUAcgBpAGMAIABEAGUAcABvAHMAaQB0AGkAbwBu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UAXwBfADEAXwBBAHQAbQBvAHMAcABoAGUAcgBpAGMARABlAHAAbwBzAGkAdABpAG8AbgBFAG0AaQBzAHMAaQBvAG4AcwBGAHIAbwBtAFUAcgBpAG4AZQBBAG4AZABEAHUAbgBnAE8AbgBQAGEAcwB0AHUAcgBlAFwAbgBBAHQAbQBvAHMAcABoAGUAcgBpAGMAIABkAGUAcABvAHMAaQB0AGkAbwBuACAAZQBtAGkAcwBzAGkAbwBuAHMAIABmAHIAbwBtACAAdQByAGkAbgBlACAAYQBuAGQAIABkAHUAbgBnACAAZABlAHAAbwBzAGkAdABlAGQAIABvAG4AIABwAGEAcwB0AHUAcgBlAFwAbgBFAF8ATgAyAE8AYQBkAFwAbgB0ACAATgAyAE8AXABuAEUAXwB7AE4AMgBPACwAYQBkAH0APQBNAF8AewB2AG8AbAB9AFwAXAB0AGkAbQBlAHMAIABFAEYAXwB7AE4AMgBPAH0AXABcAHQAaQBtAGUAcwAgAEMAXwB7AE4AMgBPAH0AXABcAHQAaQBtAGUAcwAgADEAMABeAHsALQAzAH0AXABuAE0AXwB2AG8AbAAgAD0AIABtAGEAcwBzACAAbwBmACAAbgBpAHQAcgBvAGcAZQBuACAAdgBvAGwAYQB0AGkAbABpAHMAZQBkACAAZgByAG8AbQAgAHUAcgBpAG4AZQAgAGEAbgBkACAAZgBhAGUAYwBlAHMAIABkAGUAcABvAHMAaQB0AGUAZAAgAG8AbgAgAHAAYQBzAHQAdQByAGUAIAAoAGsAZwAgAE4AKQBcAG4ARQBGAF8ATgAyAE8AIAA9ACAAbgBpAHQAcgBvAHUAcwAgAG8AeABpAGQAZQAgAGUAbQBpAHMAcwBpAG8AbgAgAGYAYQBjAHQAbwByACAAZgBvAHIAIABhAHQAbQBvAHMAcABoAGUAcgBpAGMAIABkAGUAcABvAHMAaQB0AGkAbwBuACAAKABrAGcAIABOADIATwAtAE4ALwBrAGcAIABO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gBfADEAXwA1AF8AXwAxAF8AQQB0AG0AbwBzAHAAaABlAHIAaQBjAEQAZQBwAG8AcwBpAHQAaQBvAG4ARQBtAGkAcwBzAGkAbwBuAHMARgByAG8AbQBVAHIAaQBuAGUAQQBuAGQARAB1AG4AZwBPAG4AUABhAHMAdAB1AHIAZQBcAG4AIAAgAD0ATABBAE0AQgBEAEEAKABcAG4AIAAgACAAIABNAF8AdgBvAGwALAAgAEUARgBfAE4AMgBPACwAIABDAF8ATgAyAE8ALABcAG4AIAAgACAAIABNAF8AdgBvAGwAIAAqACAARQBGAF8ATgAyAE8AIAAqACAAQwBfAE4AMgBPACAAKgAgADEAMAAgAF4AIAAtADMAXABuACAAIAApADsAXABuAFwAbgBWAEUARQBSAEcAXwA0AF8AMgBfADEAXwA1AF8AXwAxAF8AQQB0AG0AbwBzAHAAaABlAHIAaQBjAEQAZQBwAG8AcwBpAHQAaQBvAG4ARQBtAGkAcwBzAGkAbwBuAHMARgByAG8AbQBVAHIAaQBuAGUAQQBuAGQARAB1AG4AZwBPAG4AUABhAHMAdAB1AHIAZQBfAFQAaQB0AGwAZQBcAG4AIAAgAD0ATABBAE0AQgBEAEEAKABcACIAQQB0AG0AbwBzAHAAaABlAHIAaQBjACAAZABlAHAAbwBzAGkAdABpAG8AbgAgAGUAbQBpAHMAcwBpAG8AbgBzACAAZgByAG8AbQAgAHUAcgBpAG4AZQAgAGEAbgBkACAAZAB1AG4AZwAgAGQAZQBwAG8AcwBpAHQAZQBkACAAbwBuACAAcABhAHMAdAB1AHIAZQBcACIAKQA7AFwAbgBcAG4AVgBFAEUAUgBHAF8ANABfADIAXwAxAF8ANQBfAF8AMQBfAEEAdABtAG8AcwBwAGgAZQByAGkAYwBEAGUAcABvAHMAaQB0AGkAbwBuAEUAbQBpAHMAcwBpAG8AbgBzAEYAcgBvAG0AVQByAGkAbgBlAEEAbgBkAEQAdQBuAGcATwBuAFAAYQBzAHQAdQByAGUAXwBWAGEAcgBpAGEAYgBsAGUAXABuACAAIAA9AEwAQQBNAEIARABBACgAXAAiAEUAXwBOADIATwBhAGQAXAAiACkAOwBcAG4AXABuAFYARQBFAFIARwBfADQAXwAyAF8AMQBfADUAXwBfADEAXwBBAHQAbQBvAHMAcABoAGUAcgBpAGMARABlAHAAbwBzAGkAdABpAG8AbgBFAG0AaQBzAHMAaQBvAG4AcwBGAHIAbwBtAFUAcgBpAG4AZQBBAG4AZABEAHUAbgBnAE8AbgBQAGEAcwB0AHUAcgBlAF8AVQBuAGkAdABcAG4AIAAgAD0ATABBAE0AQgBEAEEAKABcACIAdAAgAE4AMgBPAFwAIgApADsAXABuAFwAbgBWAEUARQBSAEcAXwA0AF8AMgBfADEAXwA1AF8AXwAxAF8AQQB0AG0AbwBzAHAAaABlAHIAaQBjAEQAZQBwAG8AcwBpAHQAaQBvAG4ARQBtAGkAcwBzAGkAbwBuAHMARgByAG8AbQBVAHIAaQBuAGUAQQBuAGQARAB1AG4AZwBPAG4AUABhAHMAdAB1AHIAZQBfAFMAbwB1AHIAYwBlAFwAbgAgACAAPQBMAEEATQBCAEQAQQAoAFwAIgBWAEUARQBSAEcAIAAyADAAMgA2ADoAIAA0AC4AMgAuADEALgA1ACwAIABFAHEAdQBhAHQAaQBvAG4AIAAoADEAKQBcACIAKQA7AFwAbgBcAG4AVgBFAEUAUgBHAF8ANABfADIAXwAxAF8ANQBfAF8AMQBfAEEAdABtAG8AcwBwAGgAZQByAGkAYwBEAGUAcABvAHMAaQB0AGkAbwBuAEUAbQBpAHMAcwBpAG8AbgBzAEYAcgBvAG0AVQByAGkAbgBlAEEAbgBkAEQAdQBuAGcATwBuAFAAYQBzAHQAdQByAGUAXwBOAEkAUgBSAGUAZgBlAHIAZQBuAGMAZQBcAG4AIAAgAD0ATABBAE0AQgBEAEEAKABcACIAXAAiACkAOwBcAG4AXABuAFYARQBFAFIARwBfADQAXwAyAF8AMQBfADUAXwBfADEAXwBBAHQAbQBvAHMAcABoAGUAcgBpAGMARABlAHAAbwBzAGkAdABpAG8AbgBFAG0AaQBzAHMAaQBvAG4AcwBGAHIAbwBtAFUAcgBpAG4AZQBBAG4AZABEAHUAbgBnAE8AbgBQAGEAcwB0AHUAcgBlAF8ATABhAHQAZQB4AEUAcQB1AGEAdABpAG8AbgBcAG4AIAAgAD0ATABBAE0AQgBEAEEAKABcACIARQBfAHsATgAyAE8ALABhAGQAfQA9AE0AXwB7AHYAbwBsAH0AXABcAHQAaQBtAGUAcwAgAEUARgBfAHsATgAyAE8AfQBcAFwAdABpAG0AZQBzACAAQwBfAHsATgAyAE8AfQBcAFwAdABpAG0AZQBzACAAMQAwAF4AewAtADMAfQBcACIAKQA7AFwAbgBcAG4AVgBFAEUAUgBHAF8ANABfADIAXwAxAF8ANQBfAF8AMQBfAEEAdABtAG8AcwBwAGgAZQByAGkAYwBEAGUAcABvAHMAaQB0AGkAbwBuAEUAbQBpAHMAcwBpAG8AbgBzAEYAcgBvAG0AVQByAGkAbgBlAEEAbgBkAEQAdQBuAGcATwBuAFAAYQBzAHQAdQByAGUAXwBBAHIAZwB1AG0AZQBuAHQAcwBcAG4AIAAgAD0ATABBAE0AQgBEAEEAKABcAG4AIAAgACAAIABNAEEASwBFAEEAUgBSAEEAWQAoADYALAAgADIALABcAG4AIAAgACAAIAAgACAATABBAE0AQgBEAEEAKAByACwAYwAsAFwAbgAgACAAIAAgACAAIAAgACAASQBOAEQARQBYACgAewBcAG4AIAAgACAAIAAgACAAIAAgACAAIABcACIATQBfAHYAbwBsAFwAIgAsACAAXAAiAG0AYQBzAHMAIABvAGYAIABuAGkAdAByAG8AZwBlAG4AIAB2AG8AbABhAHQAaQBsAGkAcwBlAGQAIABmAHIAbwBtACAAdQByAGkAbgBlACAAYQBuAGQAIABmAGEAZQBjAGUAcwAgAGQAZQBwAG8AcwBpAHQAZQBkACAAbwBuACAAcABhAHMAdAB1AHIAZQAgACgAawBnACAATgApAFwAIgA7AFwAbgAgACAAIAAgACAAIAAgACAAIAAgAFwAIgBFAEYAXwBOADIATwBcACIALAAgAFwAIgBuAGkAdAByAG8AdQBzACAAbwB4AGkAZABlACAAZQBtAGkAcwBzAGkAbwBuACAAZgBhAGMAdABvAHIAIABmAG8AcgAgAGEAdABtAG8AcwBwAGgAZQByAGkAYwAgAGQAZQBwAG8AcwBpAHQAaQBvAG4AIAAoAGsAZwAgAE4AMgBPAC0ATgAvAGsAZwAgAE4AKQBcACIAOwBcAG4AIAAgACAAIAAgACAAIAAgACAAIABcACIAQwBfAE4AMgBPAFwAIgAsACAAXAAiAGYAYQBjAHQAbwByACAAdABvACAAYwBvAG4AdgBlAHIAdAAgAGUAbABlAG0AZQBuAHQAYQBsACAAbQBhAHMAcwAgAG8AZgAgAE4AMgBPACAAdABvACAAbQBvAGwAZQBjAHUAbABhAHIAIABtAGEAcwBzAFwAIgA7AFwAbgAgACAAIAAgACAAIAAgACAAIAAgAFwAIgBqAFwAIgAsACAAXAAiAHAAcgBvAGQAdQBjAHQAaQBvAG4AIABzAHkAcwB0AGUAbQBcACIAOwBcAG4AIAAgACAAIAAgACAAIAAgACAAIABcACIAaQBcACIALAAgAFwAIgBpAHIAcgBpAGcAYQB0AGkAbwBuACAAbQBlAHQAaABvAGQAXAAiADsAXABuACAAIAAgACAAIAAgACAAIAAgACAAXAAiAHIAXAAiACwAIABcACIAcgBhAGkAbgBmAGEAbABsACAAegBvAG4AZQBcACIAXABuACAAIAAgACAAIAAgACAAIAB9ACwAIAByACwAIABjACkAXABuACAAIAAgACAAIAAgACkAXABuACAAIAAgACAAKQBcAG4AIAAgACkAOwBcAG4AXABuAC8AKgBcAG4ALQAtAC0ALQAtAC0ALQAtAC0ALQAtAC0ALQAtAC0ALQAtAC0ALQAtAC0ALQAtAC0ALQAtAC0ALQAtAC0ALQAtAC0ALQAtAC0ALQAtAFwAbgBWAEUARQBSAEcAXwA0AF8AMgBfADEAXwA1AF8AXwAyAF8ATQBhAHMAcwBPAGYATgBpAHQAcgBvAGcAZQBuAFYAbwBsAGEAdABpAGwAaQBzAGUAZABPAG4AUABhAHMAdAB1AHIAZQBcAG4ATQBhAHMAcwAgAG8AZgAgAG4AaQB0AHIAbwBnAGUAbgAgAHYAbwBsAGEAdABpAGwAaQBzAGUAZABcAG4ATQBfAHYAbwBsAFwAbgBrAGcAIABOAFwAbgBNAF8AewB2AG8AbAB9AD0AQQBFAFwAXAB0AGkAbQBlAHMAIABGAHIAYQBjAEcAQQBTAE0AcwBvAGkAbABcAG4AQQBFACAAPQAgAHQAbwB0AGEAbAAgAG0AYQBzAHMAIABvAGYAIABuAGkAdAByAG8AZwBlAG4AIABlAHgAYwByAGUAdABlAGQAIABvAG4AIABQAFIAUAAgAGYAbwByACAAYgBlAGUAZgAgAGMAYQB0AHQAbABlACAAKABrAGcAIABOACkAXABuAEYAcgBhAGMARwBBAFMATQBzAG8AaQBsACAAPQAgAGYAcgBhAGMAdABpAG8AbgAgAG8AZgAgAG4AaQB0AHIAbwBnAGUAbgAgAHYAbwBsAGEAdABpAGwAaQBzAGUAZAAgAGYAcgBvAG0AIAB1AHIAaQBuAGUAIABhAG4AZAAgAGYAYQBlAGMAZQBzACAAZABlAHAAbwBzAGkAdABlAGQAIABvAG4AIABwAGEAcwB0AHUAcgBlACAAKAAoAGsAZwAgAE4ASAAzAC0ATgAgACsAIABOAE8AeAAtAE4AKQAvAGsAZwAgAE4AKQBcAG4ALQAtAC0ALQAtAC0ALQAtAC0ALQAtAC0ALQAtAC0ALQAtAC0ALQAtAC0ALQAtAC0ALQAtAC0ALQAtAC0ALQAtAC0ALQAtAC0ALQAtAFwAbgAqAC8AXABuAFwAbgBWAEUARQBSAEcAXwA0AF8AMgBfADEAXwA1AF8AXwAyAF8ATQBhAHMAcwBPAGYATgBpAHQAcgBvAGcAZQBuAFYAbwBsAGEAdABpAGwAaQBzAGUAZABPAG4AUABhAHMAdAB1AHIAZQBcAG4AIAAgAD0ATABBAE0AQgBEAEEAKABcAG4AIAAgACAAIABBAEUALAAgAEYAcgBhAGMARwBBAFMATQBzAG8AaQBsACwAXABuACAAIAAgACAAQQBFACAAKgAgAEYAcgBhAGMARwBBAFMATQBzAG8AaQBsAFwAbgAgACAAKQA7AFwAbgBcAG4AVgBFAEUAUgBHAF8ANABfADIAXwAxAF8ANQBfAF8AMgBfAE0AYQBzAHMATwBmAE4AaQB0AHIAbwBnAGUAbgBWAG8AbABhAHQAaQBsAGkAcwBlAGQATwBuAFAAYQBzAHQAdQByAGUAXwBUAGkAdABsAGUAXABuACAAIAA9AEwAQQBNAEIARABBACgAXAAiAE0AYQBzAHMAIABvAGYAIABuAGkAdAByAG8AZwBlAG4AIAB2AG8AbABhAHQAaQBsAGkAcwBlAGQAXAAiACkAOwBcAG4AXABuAFYARQBFAFIARwBfADQAXwAyAF8AMQBfADUAXwBfADIAXwBNAGEAcwBzAE8AZgBOAGkAdAByAG8AZwBlAG4AVgBvAGwAYQB0AGkAbABpAHMAZQBkAE8AbgBQAGEAcwB0AHUAcgBlAF8AVgBhAHIAaQBhAGIAbABlAFwAbgAgACAAPQBMAEEATQBCAEQAQQAoAFwAIgBNAF8AdgBvAGwAXAAiACkAOwBcAG4AXABuAFYARQBFAFIARwBfADQAXwAyAF8AMQBfADUAXwBfADIAXwBNAGEAcwBzAE8AZgBOAGkAdAByAG8AZwBlAG4AVgBvAGwAYQB0AGkAbABpAHMAZQBkAE8AbgBQAGEAcwB0AHUAcgBlAF8AVQBuAGkAdABcAG4AIAAgAD0ATABBAE0AQgBEAEEAKABcACIAawBnACAATgBcACIAKQA7AFwAbgBcAG4AVgBFAEUAUgBHAF8ANABfADIAXwAxAF8ANQBfAF8AMgBfAE0AYQBzAHMATwBmAE4AaQB0AHIAbwBnAGUAbgBWAG8AbABhAHQAaQBsAGkAcwBlAGQATwBuAFAAYQBzAHQAdQByAGUAXwBTAG8AdQByAGMAZQBcAG4AIAAgAD0ATABBAE0AQgBEAEEAKABcACIAVgBFAEUAUgBHACAAMgAwADIANgA6ACAANAAuADIALgAxAC4ANQAsACAARQBxAHUAYQB0AGkAbwBuACAAKAAyACkAXAAiACkAOwBcAG4AXABuAFYARQBFAFIARwBfADQAXwAyAF8AMQBfADUAXwBfADIAXwBNAGEAcwBzAE8AZgBOAGkAdAByAG8AZwBlAG4AVgBvAGwAYQB0AGkAbABpAHMAZQBkAE8AbgBQAGEAcwB0AHUAcgBlAF8ATgBJAFIAUgBlAGYAZQByAGUAbgBjAGUAXABuACAAIAA9AEwAQQBNAEIARABBACgAXAAiAFwAIgApADsAXABuAFwAbgBWAEUARQBSAEcAXwA0AF8AMgBfADEAXwA1AF8AXwAyAF8ATQBhAHMAcwBPAGYATgBpAHQAcgBvAGcAZQBuAFYAbwBsAGEAdABpAGwAaQBzAGUAZABPAG4AUABhAHMAdAB1AHIAZQBfAEwAYQB0AGUAeABFAHEAdQBhAHQAaQBvAG4AXABuACAAIAA9AEwAQQBNAEIARABBACgAXAAiAE0AXwB7AHYAbwBsAH0APQBBAEUAXABcAHQAaQBtAGUAcwAgAEYAcgBhAGMARwBBAFMATQBzAG8AaQBsAFwAIgApADsAXABuAFwAbgBWAEUARQBSAEcAXwA0AF8AMgBfADEAXwA1AF8AXwAyAF8ATQBhAHMAcwBPAGYATgBpAHQAcgBvAGcAZQBuAFYAbwBsAGEAdABpAGwAaQBzAGUAZABPAG4AUABhAHMAdAB1AHIAZQBfAEEAcgBnAHUAbQBlAG4AdABzAFwAbgAgACAAPQBMAEEATQBCAEQAQQAoAFwAbgAgACAAIAAgAE0AQQBLAEUAQQBSAFIAQQBZACgAMgAsACAAMg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IAAoAGsAZwAgAE4AKQBcACIAOwBcAG4AIAAgACAAIAAgACAAIAAgACAAIABcACIARgByAGEAYwBHAEEAUwBNAHMAbwBpAGwAXAAiACwAIABcACIAZgByAGEAYwB0AGkAbwBuACAAbwBmACAAbgBpAHQAcgBvAGcAZQBuACAAdgBvAGwAYQB0AGkAbABpAHMAZQBkACAAZgByAG8AbQAgAHUAcgBpAG4AZQAgAGEAbgBkACAAZgBhAGUAYwBlAHMAIABkAGUAcABvAHMAaQB0AGUAZAAgAG8AbgAgAHAAYQBzAHQAdQByAGUAIAAoACgAawBnACAATgBIADMALQBOACAAKwAgAE4ATwB4AC0ATgApAC8AawBnACAATgApAFwAIgBcAG4AIAAgACAAIAAgACAAIAAgAH0ALAAgAHIALAAgAGMAKQBcAG4AIAAgACAAIAAgACAAKQBcAG4AIAAgACAAIAApAFwAbgAgACAAKQA7AFwAbgAiAH0ALAB7ACIAcABhAHQAaAAiADoAIgAvAHAAcgBvAGoAZQBjAHQAcwAvAE0ATQBTAF8AUABhAHMAdAB1AHIAZQBCAGUAZQBmAF8AUwBvAGkAbABfAEwAZQBhAGMAaABpAG4AZwBBAG4AZABSAHUAbgBvAGYAZg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3ACAATQBlAHQAaABvAGQAIAAxACAALQAgAFMAbwBpAGwAIABMAGUAYQBjAGgAaQBuAGcAIABBAG4AZAAgAFIAdQBuAG8AZgBm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cAXwBfADEAXwBMAGUAYQBjAGgAaQBuAGcAQQBuAGQAUgB1AG4AbwBmAGYARQBtAGkAcwBzAGkAbwBuAHMARgByAG8AbQBVAHIAaQBuAGUAQQBuAGQARAB1AG4AZwBPAG4AUABhAHMAdAB1AHIAZQBcAG4ATABlAGEAYwBoAGkAbgBnACAAYQBuAGQAIAByAHUAbgBvAGYAZgAgAGUAbQBpAHMAcwBpAG8AbgBzACAAZgByAG8AbQAgAHUAcgBpAG4AZQAgAGEAbgBkACAAZAB1AG4AZwAgAGQAZQBwAG8AcwBpAHQAZQBkACAAbwBuACAAcABhAHMAdAB1AHIAZQBcAG4ARQBfAE4AMgBPAGwAZQBhAGMAaABcAG4AdAAgAE4AMgBPAFwAbgBFAF8AewBOADIATwAsAGwAZQBhAGMAaAB9AD0ATQBfAHsAbABlAGEAYwBoAH0AXAB0AGkAbQBlAHMAIABFAEYAXwB7AGwAZQBhAGMAaAB9AFwAdABpAG0AZQBzACAAQwBfAHsATgAyAE8AfQBcAHQAaQBtAGUAcwAgADEAMABeAHsALQAzAH0AXABuAE0AXwBsAGUAYQBjAGgAIAA9ACAAbQBhAHMAcwAgAG8AZgAgAG4AaQB0AHIAbwBnAGUAbgAgAGwAbwBzAHQAIAB0AG8AIABsAGUAYQBjAGgAaQBuAGcAIABhAG4AZAAgAHIAdQBuAG8AZgBmACAAKABrAGcAIABOACkAXABuAEUARgBfAGwAZQBhAGMAaAAgAD0AIABlAG0AaQBzAHMAaQBvAG4AIABmAGEAYwB0AG8AcgAgAGYAbwByACAAbABlAGEAYwBoAGkAbgBnACAAYQBuAGQAIAByAHUAbgBvAGYAZ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IAXwAxAF8ANwBfAF8AMQBfAEwAZQBhAGMAaABpAG4AZwBBAG4AZABSAHUAbgBvAGYAZgBFAG0AaQBzAHMAaQBvAG4AcwBGAHIAbwBtAFUAcgBpAG4AZQBBAG4AZABEAHUAbgBnAE8AbgBQAGEAcwB0AHUAcgBlAFwAbgAgACAAPQBMAEEATQBCAEQAQQAoAFwAbgAgACAAIAAgAE0AXwBsAGUAYQBjAGgALAAgAEUARgBfAGwAZQBhAGMAaAAsACAAQwBfAE4AMgBPACwAXABuACAAIAAgACAATQBfAGwAZQBhAGMAaAAgACoAIABFAEYAXwBsAGUAYQBjAGgAIAAqACAAQwBfAE4AMgBPACAAKgAgADEAMAAgAF4AIAAtADMAXABuACAAIAApADsAXABuAFwAbgBWAEUARQBSAEcAXwA0AF8AMgBfADEAXwA3AF8AXwAxAF8ATABlAGEAYwBoAGkAbgBnAEEAbgBkAFIAdQBuAG8AZgBmAEUAbQBpAHMAcwBpAG8AbgBzAEYAcgBvAG0AVQByAGkAbgBlAEEAbgBkAEQAdQBuAGcATwBuAFAAYQBzAHQAdQByAGUAXwBUAGkAdABsAGUAXABuACAAIAA9AEwAQQBNAEIARABBACgAXAAiAEwAZQBhAGMAaABpAG4AZwAgAGEAbgBkACAAcgB1AG4AbwBmAGYAIABlAG0AaQBzAHMAaQBvAG4AcwAgAGYAcgBvAG0AIAB1AHIAaQBuAGUAIABhAG4AZAAgAGQAdQBuAGcAIABkAGUAcABvAHMAaQB0AGUAZAAgAG8AbgAgAHAAYQBzAHQAdQByAGUAXAAiACkAOwBcAG4AXABuAFYARQBFAFIARwBfADQAXwAyAF8AMQBfADcAXwBfADEAXwBMAGUAYQBjAGgAaQBuAGcAQQBuAGQAUgB1AG4AbwBmAGYARQBtAGkAcwBzAGkAbwBuAHMARgByAG8AbQBVAHIAaQBuAGUAQQBuAGQARAB1AG4AZwBPAG4AUABhAHMAdAB1AHIAZQBfAFYAYQByAGkAYQBiAGwAZQBcAG4AIAAgAD0ATABBAE0AQgBEAEEAKABcACIARQBfAE4AMgBPAGwAZQBhAGMAaABcACIAKQA7AFwAbgBcAG4AVgBFAEUAUgBHAF8ANABfADIAXwAxAF8ANwBfAF8AMQBfAEwAZQBhAGMAaABpAG4AZwBBAG4AZABSAHUAbgBvAGYAZgBFAG0AaQBzAHMAaQBvAG4AcwBGAHIAbwBtAFUAcgBpAG4AZQBBAG4AZABEAHUAbgBnAE8AbgBQAGEAcwB0AHUAcgBlAF8AVQBuAGkAdABcAG4AIAAgAD0ATABBAE0AQgBEAEEAKABcACIAdAAgAE4AMgBPAFwAIgApADsAXABuAFwAbgBWAEUARQBSAEcAXwA0AF8AMgBfADEAXwA3AF8AXwAxAF8ATABlAGEAYwBoAGkAbgBnAEEAbgBkAFIAdQBuAG8AZgBmAEUAbQBpAHMAcwBpAG8AbgBzAEYAcgBvAG0AVQByAGkAbgBlAEEAbgBkAEQAdQBuAGcATwBuAFAAYQBzAHQAdQByAGUAXwBTAG8AdQByAGMAZQBcAG4AIAAgAD0ATABBAE0AQgBEAEEAKABcACIAVgBFAEUAUgBHACAAMgAwADIANgA6ACAANAAuADIALgAxAC4ANwAsACAARQBxAHUAYQB0AGkAbwBuACAAKAAxACkAXAAiACkAOwBcAG4AXABuAFYARQBFAFIARwBfADQAXwAyAF8AMQBfADcAXwBfADEAXwBMAGUAYQBjAGgAaQBuAGcAQQBuAGQAUgB1AG4AbwBmAGYARQBtAGkAcwBzAGkAbwBuAHMARgByAG8AbQBVAHIAaQBuAGUAQQBuAGQARAB1AG4AZwBPAG4AUABhAHMAdAB1AHIAZQBfAE4ASQBSAFIAZQBmAGUAcgBlAG4AYwBlAFwAbgAgACAAPQBMAEEATQBCAEQAQQAoAFwAIgBcACIAKQA7AFwAbgBcAG4AVgBFAEUAUgBHAF8ANABfADIAXwAxAF8ANwBfAF8AMQBfAEwAZQBhAGMAaABpAG4AZwBBAG4AZABSAHUAbgBvAGYAZgBFAG0AaQBzAHMAaQBvAG4AcwBGAHIAbwBtAFUAcgBpAG4AZQBBAG4AZABEAHUAbgBnAE8AbgBQAGEAcwB0AHUAcgBlAF8ATABhAHQAZQB4AEUAcQB1AGEAdABpAG8AbgBcAG4AIAAgAD0ATABBAE0AQgBEAEEAKABcACIARQBfAHsATgAyAE8ALABsAGUAYQBjAGgAfQA9AE0AXwB7AGwAZQBhAGMAaAB9AFwAXAB0AGkAbQBlAHMAIABFAEYAXwB7AGwAZQBhAGMAaAB9AFwAXAB0AGkAbQBlAHMAIABDAF8AewBOADIATwB9AFwAXAB0AGkAbQBlAHMAIAAxADAAXgB7AC0AMwB9AFwAIgApADsAXABuAFwAbgBWAEUARQBSAEcAXwA0AF8AMgBfADEAXwA3AF8AXwAxAF8ATABlAGEAYwBoAGkAbgBnAEEAbgBkAFIAdQBuAG8AZgBmAEUAbQBpAHMAcwBpAG8AbgBzAEYAcgBvAG0AVQByAGkAbgBlAEEAbgBkAEQAdQBuAGcATwBuAFAAYQBzAHQAdQByAGUAXwBBAHIAZwB1AG0AZQBuAHQAcwBcAG4AIAAgAD0ATABBAE0AQgBEAEEAKABcAG4AIAAgACAAIABNAEEASwBFAEEAUgBSAEEAWQAoADMALAAgADIALABcAG4AIAAgACAAIAAgACAATABBAE0AQgBEAEEAKAByACwAYwAsAFwAbgAgACAAIAAgACAAIAAgACAASQBOAEQARQBYACgAewBcAG4AIAAgACAAIAAgACAAIAAgACAAIABcACIATQBfAGwAZQBhAGMAaABcACIALAAgAFwAIgBtAGEAcwBzACAAbwBmACAAbgBpAHQAcgBvAGcAZQBuACAAbABvAHMAdAAgAHQAbwAgAGwAZQBhAGMAaABpAG4AZwAgAGEAbgBkACAAcgB1AG4AbwBmAGYAIAAoAGsAZwAgAE4AKQBcACIAOwBcAG4AIAAgACAAIAAgACAAIAAgACAAIABcACIARQBGAF8AbABlAGEAYwBoAFwAIgAsACAAXAAiAGUAbQBpAHMAcwBpAG8AbgAgAGYAYQBjAHQAbwByACAAZgBvAHIAIABsAGUAYQBjAGgAaQBuAGcAIABhAG4AZAAgAHIAdQBuAG8AZgBmACAAKABrAGcAIABOADIATwAtAE4ALwBrAGcAIABOACkAXAAiADsAXABuACAAIAAgACAAIAAgACAAIAAgACAAXAAiAEMAXwBOADIATwBcACIALAAgAFwAIgBmAGEAYwB0AG8AcgAgAHQAbwAgAGMAbwBuAHYAZQByAHQAIABlAGwAZQBtAGUAbgB0AGEAbAAgAG0AYQBzAHMAIABvAGYAIABOADIATwAgAHQAbwAgAG0AbwBsAGUAYwB1AGwAYQByACAAbQBhAHMAcwBcACIAXABuACAAIAAgACAAIAAgACAAIAB9ACwAIAByACwAIABjACkAXABuACAAIAAgACAAIAAgACkAXABuACAAIAAgACAAKQBcAG4AIAAgACkAOwBcAG4AXABuAC8AKgBcAG4ALQAtAC0ALQAtAC0ALQAtAC0ALQAtAC0ALQAtAC0ALQAtAC0ALQAtAC0ALQAtAC0ALQAtAC0ALQAtAC0ALQAtAC0ALQAtAC0ALQAtAFwAbgBWAEUARQBSAEcAXwA0AF8AMgBfADEAXwA3AF8AXwAyAF8ATQBhAHMAcwBPAGYATgBpAHQAcgBvAGcAZQBuAEwAbwBzAHQAVABvAEwAZQBhAGMAaABpAG4AZwBBAG4AZABSAHUAbgBvAGYAZgBPAG4AUABhAHMAdAB1AHIAZQBcAG4ATQBhAHMAcwAgAG8AZgAgAG4AaQB0AHIAbwBnAGUAbgAgAGwAbwBzAHQAIAB0AG8AIABsAGUAYQBjAGgAaQBuAGcAIABhAG4AZAAgAHIAdQBuAG8AZgBmAFwAbgBNAF8AbABlAGEAYwBoAFwAbgBrAGcAIABOAFwAbgBNAF8AewBsAGUAYQBjAGgAfQA9AEEARQBcAFwAdABpAG0AZQBzACAARgByAGEAYwBXAGUAdABcAFwAdABpAG0AZQBzACAARgByAGEAYwBMAEUAQQBDAEgAXABuAEEARQAgAD0AIAB0AG8AdABhAGwAIABtAGEAcwBzACAAbwBmACAAbgBpAHQAcgBvAGcAZQBuACAAZQB4AGMAcgBlAHQAZQBkACAAbwBuACAAUABSAFAAIABmAG8AcgAgAGIAZQBlAGYAIABjAGEAdAB0AGwAZQAgACgAawBnACAATgApAFwAbgBGAHIAYQBjAFcAZQB0ACAAPQAgAGYAcgBhAGMAdABpAG8AbgAgAG8AZgAgAE4AIABhAHYAYQBpAGwAYQBiAGwAZQAgAGYAbwByACAAbABlAGEAYwBoAGkAbgBnACAAYQBuAGQAIAByAHUAbgBvAGYAZgBcAG4ARgByAGEAYwBMAEUAQQBDAEgAIAA9ACAAZgByAGEAYwB0AGkAbwBuACAAbwBmACAAYQBsAGwAIABOACAAdABoAGEAdAAgAGkAcwAgAGwAbwBzAHQAIAB0AGgAcgBvAHUAZwBoACAAbABlAGEAYwBoAGkAbgBnACAAYQBuAGQAIAByAHUAbgBvAGYAZgBcAG4ALQAtAC0ALQAtAC0ALQAtAC0ALQAtAC0ALQAtAC0ALQAtAC0ALQAtAC0ALQAtAC0ALQAtAC0ALQAtAC0ALQAtAC0ALQAtAC0ALQAtAFwAbgAqAC8AXABuAFwAbgBWAEUARQBSAEcAXwA0AF8AMgBfADEAXwA3AF8AXwAyAF8ATQBhAHMAcwBPAGYATgBpAHQAcgBvAGcAZQBuAEwAbwBzAHQAVABvAEwAZQBhAGMAaABpAG4AZwBBAG4AZABSAHUAbgBvAGYAZgBPAG4AUABhAHMAdAB1AHIAZQBcAG4AIAAgAD0ATABBAE0AQgBEAEEAKABcAG4AIAAgACAAIABBAEUALAAgAEYAcgBhAGMAVwBlAHQALAAgAEYAcgBhAGMATABFAEEAQwBIACwAXABuACAAIAAgACAAQQBFACAAKgAgAEYAcgBhAGMAVwBlAHQAIAAqACAARgByAGEAYwBMAEUAQQBDAEgAXABuACAAIAApADsAXABuAFwAbgBWAEUARQBSAEcAXwA0AF8AMgBfADEAXwA3AF8AXwAyAF8ATQBhAHMAcwBPAGYATgBpAHQAcgBvAGcAZQBuAEwAbwBzAHQAVABvAEwAZQBhAGMAaABpAG4AZwBBAG4AZABSAHUAbgBvAGYAZgBPAG4AUABhAHMAdAB1AHIAZQBfAFQAaQB0AGwAZQBcAG4AIAAgAD0ATABBAE0AQgBEAEEAKABcACIATQBhAHMAcwAgAG8AZgAgAG4AaQB0AHIAbwBnAGUAbgAgAGwAbwBzAHQAIAB0AG8AIABsAGUAYQBjAGgAaQBuAGcAIABhAG4AZAAgAHIAdQBuAG8AZgBmAFwAIgApADsAXABuAFwAbgBWAEUARQBSAEcAXwA0AF8AMgBfADEAXwA3AF8AXwAyAF8ATQBhAHMAcwBPAGYATgBpAHQAcgBvAGcAZQBuAEwAbwBzAHQAVABvAEwAZQBhAGMAaABpAG4AZwBBAG4AZABSAHUAbgBvAGYAZgBPAG4AUABhAHMAdAB1AHIAZQBfAFYAYQByAGkAYQBiAGwAZQBcAG4AIAAgAD0ATABBAE0AQgBEAEEAKABcACIATQBfAGwAZQBhAGMAaABcACIAKQA7AFwAbgBcAG4AVgBFAEUAUgBHAF8ANABfADIAXwAxAF8ANwBfAF8AMgBfAE0AYQBzAHMATwBmAE4AaQB0AHIAbwBnAGUAbgBMAG8AcwB0AFQAbwBMAGUAYQBjAGgAaQBuAGcAQQBuAGQAUgB1AG4AbwBmAGYATwBuAFAAYQBzAHQAdQByAGUAXwBVAG4AaQB0AFwAbgAgACAAPQBMAEEATQBCAEQAQQAoAFwAIgBrAGcAIABOAFwAIgApADsAXABuAFwAbgBWAEUARQBSAEcAXwA0AF8AMgBfADEAXwA3AF8AXwAyAF8ATQBhAHMAcwBPAGYATgBpAHQAcgBvAGcAZQBuAEwAbwBzAHQAVABvAEwAZQBhAGMAaABpAG4AZwBBAG4AZABSAHUAbgBvAGYAZgBPAG4AUABhAHMAdAB1AHIAZQBfAFMAbwB1AHIAYwBlAFwAbgAgACAAPQBMAEEATQBCAEQAQQAoAFwAIgBWAEUARQBSAEcAIAAyADAAMgA2ADoAIAA0AC4AMgAuADEALgA3ACwAIABFAHEAdQBhAHQAaQBvAG4AIAAoADIAKQBcACIAKQA7AFwAbgBcAG4AVgBFAEUAUgBHAF8ANABfADIAXwAxAF8ANwBfAF8AMgBfAE0AYQBzAHMATwBmAE4AaQB0AHIAbwBnAGUAbgBMAG8AcwB0AFQAbwBMAGUAYQBjAGgAaQBuAGcAQQBuAGQAUgB1AG4AbwBmAGYATwBuAFAAYQBzAHQAdQByAGUAXwBOAEkAUgBSAGUAZgBlAHIAZQBuAGMAZQBcAG4AIAAgAD0ATABBAE0AQgBEAEEAKABcACIAXAAiACkAOwBcAG4AXABuAFYARQBFAFIARwBfADQAXwAyAF8AMQBfADcAXwBfADIAXwBNAGEAcwBzAE8AZgBOAGkAdAByAG8AZwBlAG4ATABvAHMAdABUAG8ATABlAGEAYwBoAGkAbgBnAEEAbgBkAFIAdQBuAG8AZgBmAE8AbgBQAGEAcwB0AHUAcgBlAF8ATABhAHQAZQB4AEUAcQB1AGEAdABpAG8AbgBcAG4AIAAgAD0ATABBAE0AQgBEAEEAKABcACIATQBfAHsAbABlAGEAYwBoAH0APQBBAEUAXABcAHQAaQBtAGUAcwAgAEYAcgBhAGMAVwBlAHQAXABcAHQAaQBtAGUAcwAgAEYAcgBhAGMATABFAEEAQwBIAFwAIgApADsAXABuAFwAbgBWAEUARQBSAEcAXwA0AF8AMgBfADEAXwA3AF8AXwAyAF8ATQBhAHMAcwBPAGYATgBpAHQAcgBvAGcAZQBuAEwAbwBzAHQAVABvAEwAZQBhAGMAaABpAG4AZwBBAG4AZABSAHUAbgBvAGYAZgBPAG4AUABhAHMAdAB1AHIAZQBfAEEAcgBnAHUAbQBlAG4AdABzAFwAbgAgACAAPQBMAEEATQBCAEQAQQAoAFwAbgAgACAAIAAgAE0AQQBLAEUAQQBSAFIAQQBZACgANgAsACAAMg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IAAoAGsAZwAgAE4AKQBcACIAOwBcAG4AIAAgACAAIAAgACAAIAAgACAAIABcACIARgByAGEAYwBXAGUAdABcACIALAAgAFwAIgBmAHIAYQBjAHQAaQBvAG4AIABvAGYAIABOACAAYQB2AGEAaQBsAGEAYgBsAGUAIABmAG8AcgAgAGwAZQBhAGMAaABpAG4AZwAgAGEAbgBkACAAcgB1AG4AbwBmAGYAXAAiADsAXABuACAAIAAgACAAIAAgACAAIAAgACAAXAAiAEYAcgBhAGMATABFAEEAQwBIAFwAIgAsACAAXAAiAGYAcgBhAGMAdABpAG8AbgAgAG8AZgAgAGEAbABsACAATgAgAHQAaABhAHQAIABpAHMAIABsAG8AcwB0ACAAdABoAHIAbwB1AGcAaAAgAGwAZQBhAGMAaABpAG4AZwAgAGEAbgBkACAAcgB1AG4AbwBmAGYAXAAiADsAXABuACAAIAAgACAAIAAgACAAIAAgACAAXAAiAHoAXAAiACwAIABcACIAbABvAGMAYQB0AGkAbwBuACAAaQBuACAAbABlAGEAYwBoAGkAbgBnACAAegBvAG4AZQBcACIAOwBcAG4AIAAgACAAIAAgACAAIAAgACAAIABcACIAagBcACIALAAgAFwAIgBwAHIAbwBkAHUAYwB0AGkAbwBuACAAcwB5AHMAdABlAG0AXAAiADsAXABuACAAIAAgACAAIAAgACAAIAAgACAAXAAiAGkAcgBcACIALAAgAFwAIgBpAHIAcgBpAGcAYQB0AGkAbwBuACAAbQBlAHQAaABvAGQAXAAiAFwAbgAgACAAIAAgACAAIAAgACAAfQAsACAAcgAsACAAYwApAFwAbgAgACAAIAAgACAAIAApAFwAbgAgACAAIAAgACkAXABuACAAIAApADsAXABu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MAGkAdgBlAHMAdABvAGMAawBfAFMAbwB1AHIAYwBlAEQAYQB0AGEALgBTAG8AdQByAGMAZQBEAGEAdABhAF8ATABpAHYAZQBzAHQAbwBjAGsAXwBDAG8AbQBtAG8AbgBfAEYAcgBhAGMAVwBFAFQATQBNAFMAXwBUAGkAdABsAGUAIgAsACIAQwBvAG0AbQBvAG4ATABpAHYAZQBzAHQAbwBjAGsAXwBTAG8AdQByAGMAZQBEAGEAdABhAC4AUwBvAHUAcgBjAGUARABhAHQAYQBfAEwAaQB2AGUAcwB0AG8AYwBrAF8AQwBvAG0AbQBvAG4AXwBGAHIAYQBjAFcARQBUAE0ATQBTAF8AVQBuAGkAdAAiACwAIgBDAG8AbQBtAG8AbgBMAGkAdgBlAHMAdABvAGMAawBfAFMAbwB1AHIAYwBlAEQAYQB0AGEALgBTAG8AdQByAGMAZQBEAGEAdABhAF8ATABpAHYAZQBzAHQAbwBjAGsAXwBDAG8AbQBtAG8AbgBfAEYAcgBhAGMAVwBFAFQATQBNAFMAXwBTAG8AdQByAGMAZQAiACwAIgBDAG8AbQBtAG8AbgBMAGkAdgBlAHMAdABvAGMAawBfAFMAbwB1AHIAYwBlAEQAYQB0AGEALgBTAG8AdQByAGMAZQBEAGEAdABhAF8ATABpAHYAZQBzAHQAbwBjAGsAXwBDAG8AbQBtAG8AbgBfAEYAcgBhAGMAVwBFAFQATQBNAFMAXwBEAGEAdABhACIALAAiAEMAbwBtAG0AbwBuAEwAaQB2AGUAcwB0AG8AYwBrAF8AUwBvAHUAcgBjAGUARABhAHQAYQAuAFMAbwB1AHIAYwBlAEQAYQB0AGEAXwBMAGkAdgBlAHMAdABvAGMAawBfAEMAbwBtAG0AbwBuAF8ARgByAGEAYwBMAEUAQQBDAEgAXwBNAFMAXwBUAGkAdABsAGUAIgAsACIAQwBvAG0AbQBvAG4ATABpAHYAZQBzAHQAbwBjAGsAXwBTAG8AdQByAGMAZQBEAGEAdABhAC4AUwBvAHUAcgBjAGUARABhAHQAYQBfAEwAaQB2AGUAcwB0AG8AYwBrAF8AQwBvAG0AbQBvAG4AXwBGAHIAYQBjAEwARQBBAEMASABfAE0AUwBfAFUAbgBpAHQAIgAsACIAQwBvAG0AbQBvAG4ATABpAHYAZQBzAHQAbwBjAGsAXwBTAG8AdQByAGMAZQBEAGEAdABhAC4AUwBvAHUAcgBjAGUARABhAHQAYQBfAEwAaQB2AGUAcwB0AG8AYwBrAF8AQwBvAG0AbQBvAG4AXwBGAHIAYQBjAEwARQBBAEMASABfAE0AUwBfAFMAbwB1AHIAYwBlACIALAAiAEMAbwBtAG0AbwBuAEwAaQB2AGUAcwB0AG8AYwBrAF8AUwBvAHUAcgBjAGUARABhAHQAYQAuAFMAbwB1AHIAYwBlAEQAYQB0AGEAXwBMAGkAdgBlAHMAdABvAGMAawBfAEMAbwBtAG0AbwBuAF8ARgByAGEAYwBMAEUAQQBDAEgAXwBNAFMAXwBEAGEAdABhACIALAAiAEMAbwBtAG0AbwBuAEwAaQB2AGUAcwB0AG8AYwBrAF8AUwBvAHUAcgBjAGUARABhAHQAYQAuAFMAbwB1AHIAYwBlAEQAYQB0AGEAXwBMAGkAdgBlAHMAdABvAGMAawBfAEMAbwBtAG0AbwBuAF8AUwB5AG0AYgBvAGwAcwBNAE0AUwBfAFQAaQB0AGwAZQAiACwAIgBDAG8AbQBtAG8AbgBMAGkAdgBlAHMAdABvAGMAawBfAFMAbwB1AHIAYwBlAEQAYQB0AGEALgBTAG8AdQByAGMAZQBEAGEAdABhAF8ATABpAHYAZQBzAHQAbwBjAGsAXwBDAG8AbQBtAG8AbgBfAFMAeQBtAGIAbwBsAHMATQBNAFMAXwBWAGEAaQByAGEAYgBsAGUAIgAsACIAQwBvAG0AbQBvAG4ATABpAHYAZQBzAHQAbwBjAGsAXwBTAG8AdQByAGMAZQBEAGEAdABhAC4AUwBvAHUAcgBjAGUARABhAHQAYQBfAEwAaQB2AGUAcwB0AG8AYwBrAF8AQwBvAG0AbQBvAG4AXwBTAHkAbQBiAG8AbABzAE0ATQBTAF8AVQBuAGkAdAAiACwAIgBDAG8AbQBtAG8AbgBMAGkAdgBlAHMAdABvAGMAawBfAFMAbwB1AHIAYwBlAEQAYQB0AGEALgBTAG8AdQByAGMAZQBEAGEAdABhAF8ATABpAHYAZQBzAHQAbwBjAGsAXwBDAG8AbQBtAG8AbgBfAFMAeQBtAGIAbwBsAHMATQBNAFMAXwBTAG8AdQByAGMAZQAiACwAIgBDAG8AbQBtAG8AbgBMAGkAdgBlAHMAdABvAGMAawBfAFMAbwB1AHIAYwBlAEQAYQB0AGEALgBTAG8AdQByAGMAZQBEAGEAdABhAF8ATABpAHYAZQBzAHQAbwBjAGsAXwBDAG8AbQBtAG8AbgBfAFMAeQBtAGIAbwBsAHMATQBNAFMAXwBEAGEAdABh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EMAcgBvAHAAcABpAG4AZwBfAEkAbgBwAHUAdABGAHUAbgBjAHQAaQBvAG4AcwAuAEMAbwBtAG0AbwBuAEMAcgBvAHAAcABpAG4AZwBfAEcAZQB0AEYAcgBhAGMAVwBFAFQAIgAsACIAQwBvAG0AbQBvAG4AQwByAG8AcABwAGkAbgBnAF8ASQBuAHAAdQB0AEYAdQBuAGMAdABpAG8AbgBzAC4AQwBvAG0AbQBvAG4AQwByAG8AcABwAGkAbgBnAF8AQwBhAGwAYwB1AGwAYQB0AGUASABhAHIAdgBlAHMAdABJAG4AZABlAHgAIgAsACIAQwBvAG0AbQBvAG4AQwByAG8AcABwAGkAbgBnAF8ASQBuAHAAdQB0AEYAdQBuAGMAdABpAG8AbgBzAC4AQwBvAG0AbQBvAG4AQwByAG8AcABwAGkAbgBnAF8AQwBhAGwAYwB1AGwAYQB0AGUAUgBlAHMAaQBkAHUAZQBDAHIAbwBwAFIAYQB0AGkAbwAiACwAIgBDAG8AbQBtAG8AbgBDAHIAbwBwAHAAaQBuAGcAXwBJAG4AcAB1AHQARgB1AG4AYwB0AGkAbwBuAHMALgBDAG8AbQBtAG8AbgBDAHIAbwBwAHAAaQBuAGcAXwBDAGEAbABjAHUAbABhAHQAZQBGAHIAYQBjAHQAaQBvAG4AUgBlAHMAaQBkAHUAZQBSAGUAbQBvAHYAZQBkACIALAAiAE0ATQBTAF8AUABhAHMAdAB1AHIAZQBCAGUAZQBmAF8ATQBlAHQAaABhAG4AZQBfAEUAcQB1AGEAdABpAG8AbgBzAC4AVgBFAEUAUgBHAF8ANABfADIAXwAxAF8AMQBfAF8AMQBfAFQAbwB0AGEAbABBAG4AbgB1AGEAbABNAGUAdABoAGEAbgBlAFAAcgBvAGQAdQBjAHQAaQBvAG4ARgByAG8AbQBNAGEAbgB1AHIAZQBNAGEAbgBhAGcAZQBtAGUAbgB0ACIALAAiAE0ATQBTAF8AUABhAHMAdAB1AHIAZQBCAGUAZQBmAF8ATQBlAHQAaABhAG4AZQBfAEUAcQB1AGEAdABpAG8AbgBzAC4AVgBFAEUAUgBHAF8ANABfADIAXwAxAF8AMQBfAF8AMQBfAFQAbwB0AGEAbABBAG4AbgB1AGEAbABNAGUAdABoAGEAbgBlAFAAcgBvAGQAdQBjAHQAaQBvAG4ARgByAG8AbQBNAGEAbgB1AHIAZQBNAGEAbgBhAGcAZQBtAGUAbgB0AF8AVABpAHQAbABlACIALAAiAE0ATQBTAF8AUABhAHMAdAB1AHIAZQBCAGUAZQBmAF8ATQBlAHQAaABhAG4AZQBfAEUAcQB1AGEAdABpAG8AbgBzAC4AVgBFAEUAUgBHAF8ANABfADIAXwAxAF8AMQBfAF8AMQBfAFQAbwB0AGEAbABBAG4AbgB1AGEAbABNAGUAdABoAGEAbgBlAFAAcgBvAGQAdQBjAHQAaQBvAG4ARgByAG8AbQBNAGEAbgB1AHIAZQBNAGEAbgBhAGcAZQBtAGUAbgB0AF8AVgBhAHIAaQBhAGIAbABlACIALAAiAE0ATQBTAF8AUABhAHMAdAB1AHIAZQBCAGUAZQBmAF8ATQBlAHQAaABhAG4AZQBfAEUAcQB1AGEAdABpAG8AbgBzAC4AVgBFAEUAUgBHAF8ANABfADIAXwAxAF8AMQBfAF8AMQBfAFQAbwB0AGEAbABBAG4AbgB1AGEAbABNAGUAdABoAGEAbgBlAFAAcgBvAGQAdQBjAHQAaQBvAG4ARgByAG8AbQBNAGEAbgB1AHIAZQBNAGEAbgBhAGcAZQBtAGUAbgB0AF8AVQBuAGkAdAAiACwAIgBNAE0AUwBfAFAAYQBzAHQAdQByAGUAQgBlAGUAZgBfAE0AZQB0AGgAYQBuAGUAXwBFAHEAdQBhAHQAaQBvAG4AcwAuAFYARQBFAFIARwBfADQAXwAyAF8AMQBfADEAXwBfADEAXwBUAG8AdABhAGwAQQBuAG4AdQBhAGwATQBlAHQAaABhAG4AZQBQAHIAbwBkAHUAYwB0AGkAbwBuAEYAcgBvAG0ATQBhAG4AdQByAGUATQBhAG4AYQBnAGUAbQBlAG4AdABfAFMAbwB1AHIAYwBlACIALAAiAE0ATQBTAF8AUABhAHMAdAB1AHIAZQBCAGUAZQBmAF8ATQBlAHQAaABhAG4AZQBfAEUAcQB1AGEAdABpAG8AbgBzAC4AVgBFAEUAUgBHAF8ANABfADIAXwAxAF8AMQBfAF8AMQBfAFQAbwB0AGEAbABBAG4AbgB1AGEAbABNAGUAdABoAGEAbgBlAFAAcgBvAGQAdQBjAHQAaQBvAG4ARgByAG8AbQBNAGEAbgB1AHIAZQBNAGEAbgBhAGcAZQBtAGUAbgB0AF8ATgBJAFIAUgBlAGYAZQByAGUAbgBjAGUAIgAsACIATQBNAFMAXwBQAGEAcwB0AHUAcgBlAEIAZQBlAGYAXwBNAGUAdABoAGEAbgBlAF8ARQBxAHUAYQB0AGkAbwBuAHMALgBWAEUARQBSAEcAXwA0AF8AMgBfADEAXwAxAF8AXwAxAF8AVABvAHQAYQBsAEEAbgBuAHUAYQBsAE0AZQB0AGgAYQBuAGUAUAByAG8AZAB1AGMAdABpAG8AbgBGAHIAbwBtAE0AYQBuAHUAcgBlAE0AYQBuAGEAZwBlAG0AZQBuAHQAXwBMAGEAdABlAHgARQBxAHUAYQB0AGkAbwBuACIALAAiAE0ATQBTAF8AUABhAHMAdAB1AHIAZQBCAGUAZQBmAF8ATQBlAHQAaABhAG4AZQBfAEUAcQB1AGEAdABpAG8AbgBzAC4AVgBFAEUAUgBHAF8ANABfADIAXwAxAF8AMQBfAF8AMQBfAFQAbwB0AGEAbABBAG4AbgB1AGEAbABNAGUAdABoAGEAbgBlAFAAcgBvAGQAdQBjAHQAaQBvAG4ARgByAG8AbQBNAGEAbgB1AHIAZQBNAGEAbgBhAGcAZQBtAGUAbgB0AF8AQQByAGcAdQBtAGUAbgB0AHMAIgAsACIATQBNAFMAXwBQAGEAcwB0AHUAcgBlAEIAZQBlAGYAXwBNAGUAdABoAGEAbgBlAF8ARQBxAHUAYQB0AGkAbwBuAHMALgBWAEUARQBSAEcAXwA0AF8AMgBfADEAXwAxAF8AXwAyAF8ATQBlAHQAaABhAG4AZQBQAHIAbwBkAHUAYwB0AGkAbwBuAEYAcgBvAG0ATQBhAG4AdQByAGUAIgAsACIATQBNAFMAXwBQAGEAcwB0AHUAcgBlAEIAZQBlAGYAXwBNAGUAdABoAGEAbgBlAF8ARQBxAHUAYQB0AGkAbwBuAHMALgBWAEUARQBSAEcAXwA0AF8AMgBfADEAXwAxAF8AXwAyAF8ATQBlAHQAaABhAG4AZQBQAHIAbwBkAHUAYwB0AGkAbwBuAEYAcgBvAG0ATQBhAG4AdQByAGUAXwBUAGkAdABsAGUAIgAsACIATQBNAFMAXwBQAGEAcwB0AHUAcgBlAEIAZQBlAGYAXwBNAGUAdABoAGEAbgBlAF8ARQBxAHUAYQB0AGkAbwBuAHMALgBWAEUARQBSAEcAXwA0AF8AMgBfADEAXwAxAF8AXwAyAF8ATQBlAHQAaABhAG4AZQBQAHIAbwBkAHUAYwB0AGkAbwBuAEYAcgBvAG0ATQBhAG4AdQByAGUAXwBWAGEAcgBpAGEAYgBsAGUAIgAsACIATQBNAFMAXwBQAGEAcwB0AHUAcgBlAEIAZQBlAGYAXwBNAGUAdABoAGEAbgBlAF8ARQBxAHUAYQB0AGkAbwBuAHMALgBWAEUARQBSAEcAXwA0AF8AMgBfADEAXwAxAF8AXwAyAF8ATQBlAHQAaABhAG4AZQBQAHIAbwBkAHUAYwB0AGkAbwBuAEYAcgBvAG0ATQBhAG4AdQByAGUAXwBVAG4AaQB0ACIALAAiAE0ATQBTAF8AUABhAHMAdAB1AHIAZQBCAGUAZQBmAF8ATQBlAHQAaABhAG4AZQBfAEUAcQB1AGEAdABpAG8AbgBzAC4AVgBFAEUAUgBHAF8ANABfADIAXwAxAF8AMQBfAF8AMgBfAE0AZQB0AGgAYQBuAGUAUAByAG8AZAB1AGMAdABpAG8AbgBGAHIAbwBtAE0AYQBuAHUAcgBlAF8AUwBvAHUAcgBjAGUAIgAsACIATQBNAFMAXwBQAGEAcwB0AHUAcgBlAEIAZQBlAGYAXwBNAGUAdABoAGEAbgBlAF8ARQBxAHUAYQB0AGkAbwBuAHMALgBWAEUARQBSAEcAXwA0AF8AMgBfADEAXwAxAF8AXwAyAF8ATQBlAHQAaABhAG4AZQBQAHIAbwBkAHUAYwB0AGkAbwBuAEYAcgBvAG0ATQBhAG4AdQByAGUAXwBOAEkAUgBSAGUAZgBlAHIAZQBuAGMAZQAiACwAIgBNAE0AUwBfAFAAYQBzAHQAdQByAGUAQgBlAGUAZgBfAE0AZQB0AGgAYQBuAGUAXwBFAHEAdQBhAHQAaQBvAG4AcwAuAFYARQBFAFIARwBfADQAXwAyAF8AMQBfADEAXwBfADIAXwBNAGUAdABoAGEAbgBlAFAAcgBvAGQAdQBjAHQAaQBvAG4ARgByAG8AbQBNAGEAbgB1AHIAZQBfAEwAYQB0AGUAeABFAHEAdQBhAHQAaQBvAG4AIgAsACIATQBNAFMAXwBQAGEAcwB0AHUAcgBlAEIAZQBlAGYAXwBNAGUAdABoAGEAbgBlAF8ARQBxAHUAYQB0AGkAbwBuAHMALgBWAEUARQBSAEcAXwA0AF8AMgBfADEAXwAxAF8AXwAyAF8ATQBlAHQAaABhAG4AZQBQAHIAbwBkAHUAYwB0AGkAbwBuAEYAcgBvAG0ATQBhAG4AdQByAGUAXwBBAHIAZwB1AG0AZQBuAHQAcwAiACwAIgBNAE0AUwBfAFAAYQBzAHQAdQByAGUAQgBlAGUAZgBfAE0AZQB0AGgAYQBuAGUAXwBFAHEAdQBhAHQAaQBvAG4AcwAuAFYARQBFAFIARwBfADQAXwAyAF8AMQBfADEAXwBfADMAXwBWAG8AbABhAHQAaQBsAGUAUwBvAGwAaQBkAFAAcgBvAGQAdQBjAHQAaQBvAG4ARgByAG8AbQBHAHIAYQB6AGkAbgBnAEIAZQBlAGYAIgAsACIATQBNAFMAXwBQAGEAcwB0AHUAcgBlAEIAZQBlAGYAXwBNAGUAdABoAGEAbgBlAF8ARQBxAHUAYQB0AGkAbwBuAHMALgBWAEUARQBSAEcAXwA0AF8AMgBfADEAXwAxAF8AXwAzAF8AVgBvAGwAYQB0AGkAbABlAFMAbwBsAGkAZABQAHIAbwBkAHUAYwB0AGkAbwBuAEYAcgBvAG0ARwByAGEAegBpAG4AZwBCAGUAZQBmAF8AVABpAHQAbABlACIALAAiAE0ATQBTAF8AUABhAHMAdAB1AHIAZQBCAGUAZQBmAF8ATQBlAHQAaABhAG4AZQBfAEUAcQB1AGEAdABpAG8AbgBzAC4AVgBFAEUAUgBHAF8ANABfADIAXwAxAF8AMQBfAF8AMwBfAFYAbwBsAGEAdABpAGwAZQBTAG8AbABpAGQAUAByAG8AZAB1AGMAdABpAG8AbgBGAHIAbwBtAEcAcgBhAHoAaQBuAGcAQgBlAGUAZgBfAFYAYQByAGkAYQBiAGwAZQAiACwAIgBNAE0AUwBfAFAAYQBzAHQAdQByAGUAQgBlAGUAZgBfAE0AZQB0AGgAYQBuAGUAXwBFAHEAdQBhAHQAaQBvAG4AcwAuAFYARQBFAFIARwBfADQAXwAyAF8AMQBfADEAXwBfADMAXwBWAG8AbABhAHQAaQBsAGUAUwBvAGwAaQBkAFAAcgBvAGQAdQBjAHQAaQBvAG4ARgByAG8AbQBHAHIAYQB6AGkAbgBnAEIAZQBlAGYAXwBVAG4AaQB0ACIALAAiAE0ATQBTAF8AUABhAHMAdAB1AHIAZQBCAGUAZQBmAF8ATQBlAHQAaABhAG4AZQBfAEUAcQB1AGEAdABpAG8AbgBzAC4AVgBFAEUAUgBHAF8ANABfADIAXwAxAF8AMQBfAF8AMwBfAFYAbwBsAGEAdABpAGwAZQBTAG8AbABpAGQAUAByAG8AZAB1AGMAdABpAG8AbgBGAHIAbwBtAEcAcgBhAHoAaQBuAGcAQgBlAGUAZgBfAFMAbwB1AHIAYwBlACIALAAiAE0ATQBTAF8AUABhAHMAdAB1AHIAZQBCAGUAZQBmAF8ATQBlAHQAaABhAG4AZQBfAEUAcQB1AGEAdABpAG8AbgBzAC4AVgBFAEUAUgBHAF8ANABfADIAXwAxAF8AMQBfAF8AMwBfAFYAbwBsAGEAdABpAGwAZQBTAG8AbABpAGQAUAByAG8AZAB1AGMAdABpAG8AbgBGAHIAbwBtAEcAcgBhAHoAaQBuAGcAQgBlAGUAZgBfAE4ASQBSAFIAZQBmAGUAcgBlAG4AYwBlACIALAAiAE0ATQBTAF8AUABhAHMAdAB1AHIAZQBCAGUAZQBmAF8ATQBlAHQAaABhAG4AZQBfAEUAcQB1AGEAdABpAG8AbgBzAC4AVgBFAEUAUgBHAF8ANABfADIAXwAxAF8AMQBfAF8AMwBfAFYAbwBsAGEAdABpAGwAZQBTAG8AbABpAGQAUAByAG8AZAB1AGMAdABpAG8AbgBGAHIAbwBtAEcAcgBhAHoAaQBuAGcAQgBlAGUAZgBfAEwAYQB0AGUAeABFAHEAdQBhAHQAaQBvAG4AIgAsACIATQBNAFMAXwBQAGEAcwB0AHUAcgBlAEIAZQBlAGYAXwBNAGUAdABoAGEAbgBlAF8ARQBxAHUAYQB0AGkAbwBuAHMALgBWAEUARQBSAEcAXwA0AF8AMgBfADEAXwAxAF8AXwAzAF8AVgBvAGwAYQB0AGkAbABlAFMAbwBsAGkAZABQAHIAbwBkAHUAYwB0AGkAbwBuAEYAcgBvAG0ARwByAGEAegBpAG4AZwBCAGUAZQBmAF8AQQByAGcAdQBtAGUAbgB0AHMAIgAsACIARQBuAHQAZQByAGkAYwBNAGUAdABoAGEAbgBlAF8AUABhAHMAdAB1AHIAZQBCAGUAZQBmAF8ARQBxAHUAYQB0AGkAbwBuAHMALgBWAEUARQBSAEcAXwAzAF8AMgBfADEAXwAxAF8AXwAxAF8AVABvAHQAYQBsAEEAbgBuAHUAYQBsAE0AZQB0AGgAYQBuAGUARgByAG8AbQBFAG4AdABlAHIAaQBjAEYAZQByAG0AZQBuAHQAYQB0AGkAbwBuACIALAAiAEUAbgB0AGUAcgBpAGMATQBlAHQAaABhAG4AZQBfAFAAYQBzAHQAdQByAGUAQgBlAGUAZgBfAEUAcQB1AGEAdABpAG8AbgBzAC4AVgBFAEUAUgBHAF8AMwBfADIAXwAxAF8AMQBfAF8AMQBfAFQAbwB0AGEAbABBAG4AbgB1AGEAbABNAGUAdABoAGEAbgBlAEYAcgBvAG0ARQBuAHQAZQByAGkAYwBGAGUAcgBtAGUAbgB0AGEAdABpAG8AbgBfAFQAaQB0AGwAZQAiACwAIgBFAG4AdABlAHIAaQBjAE0AZQB0AGgAYQBuAGUAXwBQAGEAcwB0AHUAcgBlAEIAZQBlAGYAXwBFAHEAdQBhAHQAaQBvAG4AcwAuAFYARQBFAFIARwBfADMAXwAyAF8AMQBfADEAXwBfADEAXwBUAG8AdABhAGwAQQBuAG4AdQBhAGwATQBlAHQAaABhAG4AZQBGAHIAbwBtAEUAbgB0AGUAcgBpAGMARgBlAHIAbQBlAG4AdABhAHQAaQBvAG4AXwBWAGEAcgBpAGEAYgBsAGUAIgAsACIARQBuAHQAZQByAGkAYwBNAGUAdABoAGEAbgBlAF8AUABhAHMAdAB1AHIAZQBCAGUAZQBmAF8ARQBxAHUAYQB0AGkAbwBuAHMALgBWAEUARQBSAEcAXwAzAF8AMgBfADEAXwAxAF8AXwAxAF8AVABvAHQAYQBsAEEAbgBuAHUAYQBsAE0AZQB0AGgAYQBuAGUARgByAG8AbQBFAG4AdABlAHIAaQBjAEYAZQByAG0AZQBuAHQAYQB0AGkAbwBuAF8AVQBuAGkAdAAiACwAIgBFAG4AdABlAHIAaQBjAE0AZQB0AGgAYQBuAGUAXwBQAGEAcwB0AHUAcgBlAEIAZQBlAGYAXwBFAHEAdQBhAHQAaQBvAG4AcwAuAFYARQBFAFIARwBfADMAXwAyAF8AMQBfADEAXwBfADEAXwBUAG8AdABhAGwAQQBuAG4AdQBhAGwATQBlAHQAaABhAG4AZQBGAHIAbwBtAEUAbgB0AGUAcgBpAGMARgBlAHIAbQBlAG4AdABhAHQAaQBvAG4AXwBTAG8AdQByAGMAZQAiACwAIgBFAG4AdABlAHIAaQBjAE0AZQB0AGgAYQBuAGUAXwBQAGEAcwB0AHUAcgBlAEIAZQBlAGYAXwBFAHEAdQBhAHQAaQBvAG4AcwAuAFYARQBFAFIARwBfADMAXwAyAF8AMQBfADEAXwBfADEAXwBUAG8AdABhAGwAQQBuAG4AdQBhAGwATQBlAHQAaABhAG4AZQBGAHIAbwBtAEUAbgB0AGUAcgBpAGMARgBlAHIAbQBlAG4AdABhAHQAaQBvAG4AXwBOAEkAUgBSAGUAZgBlAHIAZQBuAGMAZQAiACwAIgBFAG4AdABlAHIAaQBjAE0AZQB0AGgAYQBuAGUAXwBQAGEAcwB0AHUAcgBlAEIAZQBlAGYAXwBFAHEAdQBhAHQAaQBvAG4AcwAuAFYARQBFAFIARwBfADMAXwAyAF8AMQBfADEAXwBfADEAXwBUAG8AdABhAGwAQQBuAG4AdQBhAGwATQBlAHQAaABhAG4AZQBGAHIAbwBtAEUAbgB0AGUAcgBpAGMARgBlAHIAbQBlAG4AdABhAHQAaQBvAG4AXwBMAGEAdABlAHgARQBxAHUAYQB0AGkAbwBuACIALAAiAEUAbgB0AGUAcgBpAGMATQBlAHQAaABhAG4AZQBfAFAAYQBzAHQAdQByAGUAQgBlAGUAZgBfAEUAcQB1AGEAdABpAG8AbgBzAC4AVgBFAEUAUgBHAF8AMwBfADIAXwAxAF8AMQBfAF8AMQBfAFQAbwB0AGEAbABBAG4AbgB1AGEAbABNAGUAdABoAGEAbgBlAEYAcgBvAG0ARQBuAHQAZQByAGkAYwBGAGUAcgBtAGUAbgB0AGEAdABpAG8AbgBfAEEAcgBnAHUAbQBlAG4AdABzACIALAAiAEUAbgB0AGUAcgBpAGMATQBlAHQAaABhAG4AZQBfAFAAYQBzAHQAdQByAGUAQgBlAGUAZgBfAEUAcQB1AGEAdABpAG8AbgBzAC4AVgBFAEUAUgBHAF8AMwBfADIAXwAxAF8AMQBfAF8AMgBfAEQAYQBpAGwAeQBFAG4AdABlAHIAaQBjAE0AZQB0AGgAYQBuAGUAUAByAG8AZAB1AGMAdABpAG8AbgAiACwAIgBFAG4AdABlAHIAaQBjAE0AZQB0AGgAYQBuAGUAXwBQAGEAcwB0AHUAcgBlAEIAZQBlAGYAXwBFAHEAdQBhAHQAaQBvAG4AcwAuAFYARQBFAFIARwBfADMAXwAyAF8AMQBfADEAXwBfADIAXwBEAGEAaQBsAHkARQBuAHQAZQByAGkAYwBNAGUAdABoAGEAbgBlAFAAcgBvAGQAdQBjAHQAaQBvAG4AXwBUAGkAdABsAGUAIgAsACIARQBuAHQAZQByAGkAYwBNAGUAdABoAGEAbgBlAF8AUABhAHMAdAB1AHIAZQBCAGUAZQBmAF8ARQBxAHUAYQB0AGkAbwBuAHMALgBWAEUARQBSAEcAXwAzAF8AMgBfADEAXwAxAF8AXwAyAF8ARABhAGkAbAB5AEUAbgB0AGUAcgBpAGMATQBlAHQAaABhAG4AZQBQAHIAbwBkAHUAYwB0AGkAbwBuAF8AVgBhAHIAaQBhAGIAbABlACIALAAiAEUAbgB0AGUAcgBpAGMATQBlAHQAaABhAG4AZQBfAFAAYQBzAHQAdQByAGUAQgBlAGUAZgBfAEUAcQB1AGEAdABpAG8AbgBzAC4AVgBFAEUAUgBHAF8AMwBfADIAXwAxAF8AMQBfAF8AMgBfAEQAYQBpAGwAeQBFAG4AdABlAHIAaQBjAE0AZQB0AGgAYQBuAGUAUAByAG8AZAB1AGMAdABpAG8AbgBfAFUAbgBpAHQAIgAsACIARQBuAHQAZQByAGkAYwBNAGUAdABoAGEAbgBlAF8AUABhAHMAdAB1AHIAZQBCAGUAZQBmAF8ARQBxAHUAYQB0AGkAbwBuAHMALgBWAEUARQBSAEcAXwAzAF8AMgBfADEAXwAxAF8AXwAyAF8ARABhAGkAbAB5AEUAbgB0AGUAcgBpAGMATQBlAHQAaABhAG4AZQBQAHIAbwBkAHUAYwB0AGkAbwBuAF8AUwBvAHUAcgBjAGUAIgAsACIARQBuAHQAZQByAGkAYwBNAGUAdABoAGEAbgBlAF8AUABhAHMAdAB1AHIAZQBCAGUAZQBmAF8ARQBxAHUAYQB0AGkAbwBuAHMALgBWAEUARQBSAEcAXwAzAF8AMgBfADEAXwAxAF8AXwAyAF8ARABhAGkAbAB5AEUAbgB0AGUAcgBpAGMATQBlAHQAaABhAG4AZQBQAHIAbwBkAHUAYwB0AGkAbwBuAF8ATgBJAFIAUgBlAGYAZQByAGUAbgBjAGUAIgAsACIARQBuAHQAZQByAGkAYwBNAGUAdABoAGEAbgBlAF8AUABhAHMAdAB1AHIAZQBCAGUAZQBmAF8ARQBxAHUAYQB0AGkAbwBuAHMALgBWAEUARQBSAEcAXwAzAF8AMgBfADEAXwAxAF8AXwAyAF8ARABhAGkAbAB5AEUAbgB0AGUAcgBpAGMATQBlAHQAaABhAG4AZQBQAHIAbwBkAHUAYwB0AGkAbwBuAF8ATABhAHQAZQB4AEUAcQB1AGEAdABpAG8AbgAiACwAIgBFAG4AdABlAHIAaQBjAE0AZQB0AGgAYQBuAGUAXwBQAGEAcwB0AHUAcgBlAEIAZQBlAGYAXwBFAHEAdQBhAHQAaQBvAG4AcwAuAFYARQBFAFIARwBfADMAXwAyAF8AMQBfADEAXwBfADIAXwBEAGEAaQBsAHkARQBuAHQAZQByAGkAYwBNAGUAdABoAGEAbgBlAFAAcgBvAGQAdQBjAHQAaQBvAG4AXwBBAHIAZwB1AG0AZQBuAHQAcwAiACwAIgBFAG4AdABlAHIAaQBjAE0AZQB0AGgAYQBuAGUAXwBQAGEAcwB0AHUAcgBlAEIAZQBlAGYAXwBFAHEAdQBhAHQAaQBvAG4AcwAuAFYARQBFAFIARwBfADMAXwAyAF8AMQBfADEAXwBfADMAXwBGAGUAZQBkAEkAbgB0AGEAawBlAEYAbwByAEcAcgBhAHoAaQBuAGcAQgBlAGUAZgAiACwAIgBFAG4AdABlAHIAaQBjAE0AZQB0AGgAYQBuAGUAXwBQAGEAcwB0AHUAcgBlAEIAZQBlAGYAXwBFAHEAdQBhAHQAaQBvAG4AcwAuAFYARQBFAFIARwBfADMAXwAyAF8AMQBfADEAXwBfADMAXwBGAGUAZQBkAEkAbgB0AGEAawBlAEYAbwByAEcAcgBhAHoAaQBuAGcAQgBlAGUAZgBfAFQAaQB0AGwAZQAiACwAIgBFAG4AdABlAHIAaQBjAE0AZQB0AGgAYQBuAGUAXwBQAGEAcwB0AHUAcgBlAEIAZQBlAGYAXwBFAHEAdQBhAHQAaQBvAG4AcwAuAFYARQBFAFIARwBfADMAXwAyAF8AMQBfADEAXwBfADMAXwBGAGUAZQBkAEkAbgB0AGEAawBlAEYAbwByAEcAcgBhAHoAaQBuAGcAQgBlAGUAZgBfAFYAYQByAGkAYQBiAGwAZQAiACwAIgBFAG4AdABlAHIAaQBjAE0AZQB0AGgAYQBuAGUAXwBQAGEAcwB0AHUAcgBlAEIAZQBlAGYAXwBFAHEAdQBhAHQAaQBvAG4AcwAuAFYARQBFAFIARwBfADMAXwAyAF8AMQBfADEAXwBfADMAXwBGAGUAZQBkAEkAbgB0AGEAawBlAEYAbwByAEcAcgBhAHoAaQBuAGcAQgBlAGUAZgBfAFUAbgBpAHQAIgAsACIARQBuAHQAZQByAGkAYwBNAGUAdABoAGEAbgBlAF8AUABhAHMAdAB1AHIAZQBCAGUAZQBmAF8ARQBxAHUAYQB0AGkAbwBuAHMALgBWAEUARQBSAEcAXwAzAF8AMgBfADEAXwAxAF8AXwAzAF8ARgBlAGUAZABJAG4AdABhAGsAZQBGAG8AcgBHAHIAYQB6AGkAbgBnAEIAZQBlAGYAXwBTAG8AdQByAGMAZQAiACwAIgBFAG4AdABlAHIAaQBjAE0AZQB0AGgAYQBuAGUAXwBQAGEAcwB0AHUAcgBlAEIAZQBlAGYAXwBFAHEAdQBhAHQAaQBvAG4AcwAuAFYARQBFAFIARwBfADMAXwAyAF8AMQBfADEAXwBfADMAXwBGAGUAZQBkAEkAbgB0AGEAawBlAEYAbwByAEcAcgBhAHoAaQBuAGcAQgBlAGUAZgBfAE4ASQBSAFIAZQBmAGUAcgBlAG4AYwBlACIALAAiAEUAbgB0AGUAcgBpAGMATQBlAHQAaABhAG4AZQBfAFAAYQBzAHQAdQByAGUAQgBlAGUAZgBfAEUAcQB1AGEAdABpAG8AbgBzAC4AVgBFAEUAUgBHAF8AMwBfADIAXwAxAF8AMQBfAF8AMwBfAEYAZQBlAGQASQBuAHQAYQBrAGUARgBvAHIARwByAGEAegBpAG4AZwBCAGUAZQBmAF8ATABhAHQAZQB4AEUAcQB1AGEAdABpAG8AbgAiACwAIgBFAG4AdABlAHIAaQBjAE0AZQB0AGgAYQBuAGUAXwBQAGEAcwB0AHUAcgBlAEIAZQBlAGYAXwBFAHEAdQBhAHQAaQBvAG4AcwAuAFYARQBFAFIARwBfADMAXwAyAF8AMQBfADEAXwBfADMAXwBGAGUAZQBkAEkAbgB0AGEAawBlAEYAbwByAEcAcgBhAHoAaQBuAGcAQgBlAGUAZgBfAEEAcgBnAHUAbQBlAG4AdABzACIALAAiAEUAbgB0AGUAcgBpAGMATQBlAHQAaABhAG4AZQBfAFAAYQBzAHQAdQByAGUAQgBlAGUAZgBfAEUAcQB1AGEAdABpAG8AbgBzAC4AVgBFAEUAUgBHAF8AMwBfADIAXwAxAF8AMQBfAF8ANABfAEEAZABkAGkAdABpAG8AbgBhAGwASQBuAHQAYQBrAGUARgBvAHIATQBpAGwAawBQAHIAbwBkAHUAYwB0AGkAbwBuACIALAAiAEUAbgB0AGUAcgBpAGMATQBlAHQAaABhAG4AZQBfAFAAYQBzAHQAdQByAGUAQgBlAGUAZgBfAEUAcQB1AGEAdABpAG8AbgBzAC4AVgBFAEUAUgBHAF8AMwBfADIAXwAxAF8AMQBfAF8ANABfAEEAZABkAGkAdABpAG8AbgBhAGwASQBuAHQAYQBrAGUARgBvAHIATQBpAGwAawBQAHIAbwBkAHUAYwB0AGkAbwBuAFYAYQByAGkAYQB0AGkAbwBuACIALAAiAEUAbgB0AGUAcgBpAGMATQBlAHQAaABhAG4AZQBfAFAAYQBzAHQAdQByAGUAQgBlAGUAZgBfAEUAcQB1AGEAdABpAG8AbgBzAC4AVgBFAEUAUgBHAF8AMwBfADIAXwAxAF8AMQBfAF8ANABfAEEAZABkAGkAdABpAG8AbgBhAGwASQBuAHQAYQBrAGUARgBvAHIATQBpAGwAawBQAHIAbwBkAHUAYwB0AGkAbwBuAF8AVABpAHQAbABlACIALAAiAEUAbgB0AGUAcgBpAGMATQBlAHQAaABhAG4AZQBfAFAAYQBzAHQAdQByAGUAQgBlAGUAZgBfAEUAcQB1AGEAdABpAG8AbgBzAC4AVgBFAEUAUgBHAF8AMwBfADIAXwAxAF8AMQBfAF8ANABfAEEAZABkAGkAdABpAG8AbgBhAGwASQBuAHQAYQBrAGUARgBvAHIATQBpAGwAawBQAHIAbwBkAHUAYwB0AGkAbwBuAF8AVgBhAHIAaQBhAGIAbABlACIALAAiAEUAbgB0AGUAcgBpAGMATQBlAHQAaABhAG4AZQBfAFAAYQBzAHQAdQByAGUAQgBlAGUAZgBfAEUAcQB1AGEAdABpAG8AbgBzAC4AVgBFAEUAUgBHAF8AMwBfADIAXwAxAF8AMQBfAF8ANABfAEEAZABkAGkAdABpAG8AbgBhAGwASQBuAHQAYQBrAGUARgBvAHIATQBpAGwAawBQAHIAbwBkAHUAYwB0AGkAbwBuAF8AVQBuAGkAdAAiACwAIgBFAG4AdABlAHIAaQBjAE0AZQB0AGgAYQBuAGUAXwBQAGEAcwB0AHUAcgBlAEIAZQBlAGYAXwBFAHEAdQBhAHQAaQBvAG4AcwAuAFYARQBFAFIARwBfADMAXwAyAF8AMQBfADEAXwBfADQAXwBBAGQAZABpAHQAaQBvAG4AYQBsAEkAbgB0AGEAawBlAEYAbwByAE0AaQBsAGsAUAByAG8AZAB1AGMAdABpAG8AbgBfAFMAbwB1AHIAYwBlACIALAAiAEUAbgB0AGUAcgBpAGMATQBlAHQAaABhAG4AZQBfAFAAYQBzAHQAdQByAGUAQgBlAGUAZgBfAEUAcQB1AGEAdABpAG8AbgBzAC4AVgBFAEUAUgBHAF8AMwBfADIAXwAxAF8AMQBfAF8ANABfAEEAZABkAGkAdABpAG8AbgBhAGwASQBuAHQAYQBrAGUARgBvAHIATQBpAGwAawBQAHIAbwBkAHUAYwB0AGkAbwBuAF8ATgBJAFIAUgBlAGYAZQByAGUAbgBjAGUAIgAsACIARQBuAHQAZQByAGkAYwBNAGUAdABoAGEAbgBlAF8AUABhAHMAdAB1AHIAZQBCAGUAZQBmAF8ARQBxAHUAYQB0AGkAbwBuAHMALgBWAEUARQBSAEcAXwAzAF8AMgBfADEAXwAxAF8AXwA0AF8AQQBkAGQAaQB0AGkAbwBuAGEAbABJAG4AdABhAGsAZQBGAG8AcgBNAGkAbABrAFAAcgBvAGQAdQBjAHQAaQBvAG4AXwBMAGEAdABlAHgARQBxAHUAYQB0AGkAbwBuACIALAAiAEUAbgB0AGUAcgBpAGMATQBlAHQAaABhAG4AZQBfAFAAYQBzAHQAdQByAGUAQgBlAGUAZgBfAEUAcQB1AGEAdABpAG8AbgBzAC4AVgBFAEUAUgBHAF8AMwBfADIAXwAxAF8AMQBfAF8ANABfAEEAZABkAGkAdABpAG8AbgBhAGwASQBuAHQAYQBrAGUARgBvAHIATQBpAGwAawBQAHIAbwBkAHUAYwB0AGkAbwBuAF8ATABhAHQAZQB4AEUAcQB1AGEAdABpAG8AbgBWAGEAcgBpAGEAdABpAG8AbgAiACwAIgBFAG4AdABlAHIAaQBjAE0AZQB0AGgAYQBuAGUAXwBQAGEAcwB0AHUAcgBlAEIAZQBlAGYAXwBFAHEAdQBhAHQAaQBvAG4AcwAuAFYARQBFAFIARwBfADMAXwAyAF8AMQBfADEAXwBfADQAXwBBAGQAZABpAHQAaQBvAG4AYQBsAEkAbgB0AGEAawBlAEYAbwByAE0AaQBsAGsAUAByAG8AZAB1AGMAdABpAG8AbgBfAEEAcgBnAHUAbQBlAG4AdABzACIALAAiAEUAbgB0AGUAcgBpAGMATQBlAHQAaABhAG4AZQBfAFAAYQBzAHQAdQByAGUAQgBlAGUAZgBfAEUAcQB1AGEAdABpAG8AbgBzAC4AVgBFAEUAUgBHAF8AMwBfADIAXwAxAF8AMQBfAF8ANABfAEEAZABkAGkAdABpAG8AbgBhAGwASQBuAHQAYQBrAGUARgBvAHIATQBpAGwAawBQAHIAbwBkAHUAYwB0AGkAbwBuAF8AQQByAGcAdQBtAGUAbgB0AHMAVgBhAHIAaQBhAHQAaQBvAG4AIgAsACIARQBuAHQAZQByAGkAYwBNAGUAdABoAGEAbgBlAF8AUABhAHMAdAB1AHIAZQBCAGUAZQBmAF8ARQBxAHUAYQB0AGkAbwBuAHMALgBWAEUARQBSAEcAXwAzAF8AMgBfADEAXwAxAF8AXwA0AF8AQQBkAGQAaQB0AGkAbwBuAGEAbABJAG4AdABhAGsAZQBGAG8AcgBNAGkAbABrAFAAcgBvAGQAdQBjAHQAaQBvAG4AXwBWAGEAcgBpAGEAdABpAG8AbgAiACwAIgBTAG8AdQByAGMAZQBEAGEAdABhAF8AUABhAHMAdAB1AHIAZQBCAGUAZQBmAC4AUwBvAHUAcgBjAGUARABhAHQAYQBfAFAAYQBzAHQAdQByAGUAQgBlAGUAZgBfAEwAaQB2AGUAdwBlAGkAZwBoAHQAXwBUAGkAdABsAGUAIgAsACIAUwBvAHUAcgBjAGUARABhAHQAYQBfAFAAYQBzAHQAdQByAGUAQgBlAGUAZgAuAFMAbwB1AHIAYwBlAEQAYQB0AGEAXwBQAGEAcwB0AHUAcgBlAEIAZQBlAGYAXwBMAGkAdgBlAHcAZQBpAGcAaAB0AF8AVgBhAHIAaQBhAGIAbABlACIALAAiAFMAbwB1AHIAYwBlAEQAYQB0AGEAXwBQAGEAcwB0AHUAcgBlAEIAZQBlAGYALgBTAG8AdQByAGMAZQBEAGEAdABhAF8AUABhAHMAdAB1AHIAZQBCAGUAZQBmAF8ATABpAHYAZQB3AGUAaQBnAGgAdABfAFUAbgBpAHQAIgAsACIAUwBvAHUAcgBjAGUARABhAHQAYQBfAFAAYQBzAHQAdQByAGUAQgBlAGUAZgAuAFMAbwB1AHIAYwBlAEQAYQB0AGEAXwBQAGEAcwB0AHUAcgBlAEIAZQBlAGYAXwBMAGkAdgBlAHcAZQBpAGcAaAB0AF8AUwBvAHUAcgBjAGUAIgAsACIAUwBvAHUAcgBjAGUARABhAHQAYQBfAFAAYQBzAHQAdQByAGUAQgBlAGUAZgAuAFMAbwB1AHIAYwBlAEQAYQB0AGEAXwBQAGEAcwB0AHUAcgBlAEIAZQBlAGYAXwBMAGkAdgBlAHcAZQBpAGcAaAB0AF8AVgBhAHIAaQBhAHQAaQBvAG4AIgAsACIAUwBvAHUAcgBjAGUARABhAHQAYQBfAFAAYQBzAHQAdQByAGUAQgBlAGUAZgAuAFMAbwB1AHIAYwBlAEQAYQB0AGEAXwBQAGEAcwB0AHUAcgBlAEIAZQBlAGYAXwBMAGkAdgBlAHcAZQBpAGcAaAB0AF8ARABhAHQAYQAiACwAIgBTAG8AdQByAGMAZQBEAGEAdABhAF8AUABhAHMAdAB1AHIAZQBCAGUAZQBmAC4AUwBvAHUAcgBjAGUARABhAHQAYQBfAFAAYQBzAHQAdQByAGUAQgBlAGUAZgBfAEwAaQB2AGUAdwBlAGkAZwBoAHQATgBUAFEATABEAF8AVABpAHQAbABlACIALAAiAFMAbwB1AHIAYwBlAEQAYQB0AGEAXwBQAGEAcwB0AHUAcgBlAEIAZQBlAGYALgBTAG8AdQByAGMAZQBEAGEAdABhAF8AUABhAHMAdAB1AHIAZQBCAGUAZQBmAF8ATABpAHYAZQB3AGUAaQBnAGgAdABOAFQAUQBMAEQAXwBWAGEAcgBpAGEAYgBsAGUAIgAsACIAUwBvAHUAcgBjAGUARABhAHQAYQBfAFAAYQBzAHQAdQByAGUAQgBlAGUAZgAuAFMAbwB1AHIAYwBlAEQAYQB0AGEAXwBQAGEAcwB0AHUAcgBlAEIAZQBlAGYAXwBMAGkAdgBlAHcAZQBpAGcAaAB0AE4AVABRAEwARABfAFUAbgBpAHQAIgAsACIAUwBvAHUAcgBjAGUARABhAHQAYQBfAFAAYQBzAHQAdQByAGUAQgBlAGUAZgAuAFMAbwB1AHIAYwBlAEQAYQB0AGEAXwBQAGEAcwB0AHUAcgBlAEIAZQBlAGYAXwBMAGkAdgBlAHcAZQBpAGcAaAB0AE4AVABRAEwARABfAFMAbwB1AHIAYwBlACIALAAiAFMAbwB1AHIAYwBlAEQAYQB0AGEAXwBQAGEAcwB0AHUAcgBlAEIAZQBlAGYALgBTAG8AdQByAGMAZQBEAGEAdABhAF8AUABhAHMAdAB1AHIAZQBCAGUAZQBmAF8ATABpAHYAZQB3AGUAaQBnAGgAdABOAFQAUQBMAEQAXwBWAGEAcgBpAGEAdABpAG8AbgAiACwAIgBTAG8AdQByAGMAZQBEAGEAdABhAF8AUABhAHMAdAB1AHIAZQBCAGUAZQBmAC4AUwBvAHUAcgBjAGUARABhAHQAYQBfAFAAYQBzAHQAdQByAGUAQgBlAGUAZgBfAEwAaQB2AGUAdwBlAGkAZwBoAHQATgBUAFEATABEAF8ARABhAHQAYQAiACwAIgBTAG8AdQByAGMAZQBEAGEAdABhAF8AUABhAHMAdAB1AHIAZQBCAGUAZQBmAC4AUwBvAHUAcgBjAGUARABhAHQAYQBfAFAAYQBzAHQAdQByAGUAQgBlAGUAZgBfAEwAaQB2AGUAdwBlAGkAZwBoAHQARwBhAGkAbgBfAFQAaQB0AGwAZQAiACwAIgBTAG8AdQByAGMAZQBEAGEAdABhAF8AUABhAHMAdAB1AHIAZQBCAGUAZQBmAC4AUwBvAHUAcgBjAGUARABhAHQAYQBfAFAAYQBzAHQAdQByAGUAQgBlAGUAZgBfAEwAaQB2AGUAdwBlAGkAZwBoAHQARwBhAGkAbgBfAFYAYQByAGkAYQBiAGwAZQAiACwAIgBTAG8AdQByAGMAZQBEAGEAdABhAF8AUABhAHMAdAB1AHIAZQBCAGUAZQBmAC4AUwBvAHUAcgBjAGUARABhAHQAYQBfAFAAYQBzAHQAdQByAGUAQgBlAGUAZgBfAEwAaQB2AGUAdwBlAGkAZwBoAHQARwBhAGkAbgBfAFUAbgBpAHQAIgAsACIAUwBvAHUAcgBjAGUARABhAHQAYQBfAFAAYQBzAHQAdQByAGUAQgBlAGUAZgAuAFMAbwB1AHIAYwBlAEQAYQB0AGEAXwBQAGEAcwB0AHUAcgBlAEIAZQBlAGYAXwBMAGkAdgBlAHcAZQBpAGcAaAB0AEcAYQBpAG4AXwBTAG8AdQByAGMAZQAiACwAIgBTAG8AdQByAGMAZQBEAGEAdABhAF8AUABhAHMAdAB1AHIAZQBCAGUAZQBmAC4AUwBvAHUAcgBjAGUARABhAHQAYQBfAFAAYQBzAHQAdQByAGUAQgBlAGUAZgBfAEwAaQB2AGUAdwBlAGkAZwBoAHQARwBhAGkAbgBfAFYAYQByAGkAYQB0AGkAbwBuACIALAAiAFMAbwB1AHIAYwBlAEQAYQB0AGEAXwBQAGEAcwB0AHUAcgBlAEIAZQBlAGYALgBTAG8AdQByAGMAZQBEAGEAdABhAF8AUABhAHMAdAB1AHIAZQBCAGUAZQBmAF8ATABpAHYAZQB3AGUAaQBnAGgAdABHAGEAaQBuAF8ARABhAHQAYQAiACwAIgBTAG8AdQByAGMAZQBEAGEAdABhAF8AUABhAHMAdAB1AHIAZQBCAGUAZQBmAC4AUwBvAHUAcgBjAGUARABhAHQAYQBfAFAAYQBzAHQAdQByAGUAQgBlAGUAZgBfAEwAaQB2AGUAdwBlAGkAZwBoAHQARwBhAGkAbgBOAFQAUQBMAEQAXwBUAGkAdABsAGUAIgAsACIAUwBvAHUAcgBjAGUARABhAHQAYQBfAFAAYQBzAHQAdQByAGUAQgBlAGUAZgAuAFMAbwB1AHIAYwBlAEQAYQB0AGEAXwBQAGEAcwB0AHUAcgBlAEIAZQBlAGYAXwBMAGkAdgBlAHcAZQBpAGcAaAB0AEcAYQBpAG4ATgBUAFEATABEAF8AVgBhAHIAaQBhAGIAbABlACIALAAiAFMAbwB1AHIAYwBlAEQAYQB0AGEAXwBQAGEAcwB0AHUAcgBlAEIAZQBlAGYALgBTAG8AdQByAGMAZQBEAGEAdABhAF8AUABhAHMAdAB1AHIAZQBCAGUAZQBmAF8ATABpAHYAZQB3AGUAaQBnAGgAdABHAGEAaQBuAE4AVABRAEwARABfAFUAbgBpAHQAIgAsACIAUwBvAHUAcgBjAGUARABhAHQAYQBfAFAAYQBzAHQAdQByAGUAQgBlAGUAZgAuAFMAbwB1AHIAYwBlAEQAYQB0AGEAXwBQAGEAcwB0AHUAcgBlAEIAZQBlAGYAXwBMAGkAdgBlAHcAZQBpAGcAaAB0AEcAYQBpAG4ATgBUAFEATABEAF8AUwBvAHUAcgBjAGUAIgAsACIAUwBvAHUAcgBjAGUARABhAHQAYQBfAFAAYQBzAHQAdQByAGUAQgBlAGUAZgAuAFMAbwB1AHIAYwBlAEQAYQB0AGEAXwBQAGEAcwB0AHUAcgBlAEIAZQBlAGYAXwBMAGkAdgBlAHcAZQBpAGcAaAB0AEcAYQBpAG4ATgBUAFEATABEAF8AVgBhAHIAaQBhAHQAaQBvAG4AIgAsACIAUwBvAHUAcgBjAGUARABhAHQAYQBfAFAAYQBzAHQAdQByAGUAQgBlAGUAZgAuAFMAbwB1AHIAYwBlAEQAYQB0AGEAXwBQAGEAcwB0AHUAcgBlAEIAZQBlAGYAXwBMAGkAdgBlAHcAZQBpAGcAaAB0AEcAYQBpAG4ATgBUAFEATABEAF8ARABhAHQAYQAiACwAIgBTAG8AdQByAGMAZQBEAGEAdABhAF8AUABhAHMAdAB1AHIAZQBCAGUAZQBmAC4AUwBvAHUAcgBjAGUARABhAHQAYQBfAFAAYQBzAHQAdQByAGUAQgBlAGUAZgBfAEQAcgB5AE0AYQB0AHQAZQByAEQAaQBnAGUAcwB0AGkAYgBpAGwAaQB0AHkAXwBUAGkAdABsAGUAIgAsACIAUwBvAHUAcgBjAGUARABhAHQAYQBfAFAAYQBzAHQAdQByAGUAQgBlAGUAZgAuAFMAbwB1AHIAYwBlAEQAYQB0AGEAXwBQAGEAcwB0AHUAcgBlAEIAZQBlAGYAXwBEAHIAeQBNAGEAdAB0AGUAcgBEAGkAZwBlAHMAdABpAGIAaQBsAGkAdAB5AF8AVgBhAHIAaQBhAGIAbABlACIALAAiAFMAbwB1AHIAYwBlAEQAYQB0AGEAXwBQAGEAcwB0AHUAcgBlAEIAZQBlAGYALgBTAG8AdQByAGMAZQBEAGEAdABhAF8AUABhAHMAdAB1AHIAZQBCAGUAZQBmAF8ARAByAHkATQBhAHQAdABlAHIARABpAGcAZQBzAHQAaQBiAGkAbABpAHQAeQBfAFUAbgBpAHQAIgAsACIAUwBvAHUAcgBjAGUARABhAHQAYQBfAFAAYQBzAHQAdQByAGUAQgBlAGUAZgAuAFMAbwB1AHIAYwBlAEQAYQB0AGEAXwBQAGEAcwB0AHUAcgBlAEIAZQBlAGYAXwBEAHIAeQBNAGEAdAB0AGUAcgBEAGkAZwBlAHMAdABpAGIAaQBsAGkAdAB5AF8AUwBvAHUAcgBjAGUAIgAsACIAUwBvAHUAcgBjAGUARABhAHQAYQBfAFAAYQBzAHQAdQByAGUAQgBlAGUAZgAuAFMAbwB1AHIAYwBlAEQAYQB0AGEAXwBQAGEAcwB0AHUAcgBlAEIAZQBlAGYAXwBEAHIAeQBNAGEAdAB0AGUAcgBEAGkAZwBlAHMAdABpAGIAaQBsAGkAdAB5AF8AVgBhAHIAaQBhAHQAaQBvAG4AIgAsACIAUwBvAHUAcgBjAGUARABhAHQAYQBfAFAAYQBzAHQAdQByAGUAQgBlAGUAZgAuAFMAbwB1AHIAYwBlAEQAYQB0AGEAXwBQAGEAcwB0AHUAcgBlAEIAZQBlAGYAXwBEAHIAeQBNAGEAdAB0AGUAcgBEAGkAZwBlAHMAdABpAGIAaQBsAGkAdAB5AF8ARABhAHQAYQAiACwAIgBTAG8AdQByAGMAZQBEAGEAdABhAF8AUABhAHMAdAB1AHIAZQBCAGUAZQBmAC4AUwBvAHUAcgBjAGUARABhAHQAYQBfAFAAYQBzAHQAdQByAGUAQgBlAGUAZgBfAEMAcgB1AGQAZQBQAHIAbwB0AGUAaQBuAEMAbwBuAHQAZQBuAHQAXwBUAGkAdABsAGUAIgAsACIAUwBvAHUAcgBjAGUARABhAHQAYQBfAFAAYQBzAHQAdQByAGUAQgBlAGUAZgAuAFMAbwB1AHIAYwBlAEQAYQB0AGEAXwBQAGEAcwB0AHUAcgBlAEIAZQBlAGYAXwBDAHIAdQBkAGUAUAByAG8AdABlAGkAbgBDAG8AbgB0AGUAbgB0AF8AVgBhAHIAaQBhAGIAbABlACIALAAiAFMAbwB1AHIAYwBlAEQAYQB0AGEAXwBQAGEAcwB0AHUAcgBlAEIAZQBlAGYALgBTAG8AdQByAGMAZQBEAGEAdABhAF8AUABhAHMAdAB1AHIAZQBCAGUAZQBmAF8AQwByAHUAZABlAFAAcgBvAHQAZQBpAG4AQwBvAG4AdABlAG4AdABfAFUAbgBpAHQAIgAsACIAUwBvAHUAcgBjAGUARABhAHQAYQBfAFAAYQBzAHQAdQByAGUAQgBlAGUAZgAuAFMAbwB1AHIAYwBlAEQAYQB0AGEAXwBQAGEAcwB0AHUAcgBlAEIAZQBlAGYAXwBDAHIAdQBkAGUAUAByAG8AdABlAGkAbgBDAG8AbgB0AGUAbgB0AF8AUwBvAHUAcgBjAGUAIgAsACIAUwBvAHUAcgBjAGUARABhAHQAYQBfAFAAYQBzAHQAdQByAGUAQgBlAGUAZgAuAFMAbwB1AHIAYwBlAEQAYQB0AGEAXwBQAGEAcwB0AHUAcgBlAEIAZQBlAGYAXwBDAHIAdQBkAGUAUAByAG8AdABlAGkAbgBDAG8AbgB0AGUAbgB0AF8AVgBhAHIAaQBhAHQAaQBvAG4AIgAsACIAUwBvAHUAcgBjAGUARABhAHQAYQBfAFAAYQBzAHQAdQByAGUAQgBlAGUAZgAuAFMAbwB1AHIAYwBlAEQAYQB0AGEAXwBQAGEAcwB0AHUAcgBlAEIAZQBlAGYAXwBDAHIAdQBkAGUAUAByAG8AdABlAGkAbgBDAG8AbgB0AGUAbgB0AF8ARABhAHQAYQAiACwAIgBTAG8AdQByAGMAZQBEAGEAdABhAF8AUABhAHMAdAB1AHIAZQBCAGUAZQBmAC4AUwBvAHUAcgBjAGUARABhAHQAYQBfAFAAYQBzAHQAdQByAGUAQgBlAGUAZgBfAEYAZQBlAGQAQQBkAGoAdQBzAHQAbQBlAG4AdABBAG4AZABNAGkAbABrAFAAcgBvAGQAdQBjAHQAaQBvAG4AXwBUAGkAdABsAGUAIgAsACIAUwBvAHUAcgBjAGUARABhAHQAYQBfAFAAYQBzAHQAdQByAGUAQgBlAGUAZgAuAFMAbwB1AHIAYwBlAEQAYQB0AGEAXwBQAGEAcwB0AHUAcgBlAEIAZQBlAGYAXwBGAGUAZQBkAEEAZABqAHUAcwB0AG0AZQBuAHQAQQBuAGQATQBpAGwAawBQAHIAbwBkAHUAYwB0AGkAbwBuAF8AVgBhAHIAaQBhAGIAbABlACIALAAiAFMAbwB1AHIAYwBlAEQAYQB0AGEAXwBQAGEAcwB0AHUAcgBlAEIAZQBlAGYALgBTAG8AdQByAGMAZQBEAGEAdABhAF8AUABhAHMAdAB1AHIAZQBCAGUAZQBmAF8ARgBlAGUAZABBAGQAagB1AHMAdABtAGUAbgB0AEEAbgBkAE0AaQBsAGsAUAByAG8AZAB1AGMAdABpAG8AbgBfAFUAbgBpAHQAIgAsACIAUwBvAHUAcgBjAGUARABhAHQAYQBfAFAAYQBzAHQAdQByAGUAQgBlAGUAZgAuAFMAbwB1AHIAYwBlAEQAYQB0AGEAXwBQAGEAcwB0AHUAcgBlAEIAZQBlAGYAXwBGAGUAZQBkAEEAZABqAHUAcwB0AG0AZQBuAHQAQQBuAGQATQBpAGwAawBQAHIAbwBkAHUAYwB0AGkAbwBuAF8AUwBvAHUAcgBjAGUAIgAsACIAUwBvAHUAcgBjAGUARABhAHQAYQBfAFAAYQBzAHQAdQByAGUAQgBlAGUAZgAuAFMAbwB1AHIAYwBlAEQAYQB0AGEAXwBQAGEAcwB0AHUAcgBlAEIAZQBlAGYAXwBGAGUAZQBkAEEAZABqAHUAcwB0AG0AZQBuAHQAQQBuAGQATQBpAGwAawBQAHIAbwBkAHUAYwB0AGkAbwBuAF8AVgBhAHIAaQBhAHQAaQBvAG4AIgAsACIAUwBvAHUAcgBjAGUARABhAHQAYQBfAFAAYQBzAHQAdQByAGUAQgBlAGUAZgAuAFMAbwB1AHIAYwBlAEQAYQB0AGEAXwBQAGEAcwB0AHUAcgBlAEIAZQBlAGYAXwBGAGUAZQBkAEEAZABqAHUAcwB0AG0AZQBuAHQAQQBuAGQATQBpAGwAawBQAHIAbwBkAHUAYwB0AGkAbwBuAF8ARABhAHQAYQAiACwAIgBTAG8AdQByAGMAZQBEAGEAdABhAF8AUABhAHMAdAB1AHIAZQBCAGUAZQBmAC4AUwBvAHUAcgBjAGUARABhAHQAYQBfAFAAYQBzAHQAdQByAGUAQgBlAGUAZgBfAFMAdABhAG4AZABhAHIAZABSAGUAZgBlAHIAZQBuAGMAZQBXAGUAaQBnAGgAdABzAF8AVABpAHQAbABlACIALAAiAFMAbwB1AHIAYwBlAEQAYQB0AGEAXwBQAGEAcwB0AHUAcgBlAEIAZQBlAGYALgBTAG8AdQByAGMAZQBEAGEAdABhAF8AUABhAHMAdAB1AHIAZQBCAGUAZQBmAF8AUwB0AGEAbgBkAGEAcgBkAFIAZQBmAGUAcgBlAG4AYwBlAFcAZQBpAGcAaAB0AHMAXwBWAGEAcgBpAGEAYgBsAGUAIgAsACIAUwBvAHUAcgBjAGUARABhAHQAYQBfAFAAYQBzAHQAdQByAGUAQgBlAGUAZgAuAFMAbwB1AHIAYwBlAEQAYQB0AGEAXwBQAGEAcwB0AHUAcgBlAEIAZQBlAGYAXwBTAHQAYQBuAGQAYQByAGQAUgBlAGYAZQByAGUAbgBjAGUAVwBlAGkAZwBoAHQAcwBfAFUAbgBpAHQAIgAsACIAUwBvAHUAcgBjAGUARABhAHQAYQBfAFAAYQBzAHQAdQByAGUAQgBlAGUAZgAuAFMAbwB1AHIAYwBlAEQAYQB0AGEAXwBQAGEAcwB0AHUAcgBlAEIAZQBlAGYAXwBTAHQAYQBuAGQAYQByAGQAUgBlAGYAZQByAGUAbgBjAGUAVwBlAGkAZwBoAHQAcwBfAFMAbwB1AHIAYwBlACIALAAiAFMAbwB1AHIAYwBlAEQAYQB0AGEAXwBQAGEAcwB0AHUAcgBlAEIAZQBlAGYALgBTAG8AdQByAGMAZQBEAGEAdABhAF8AUABhAHMAdAB1AHIAZQBCAGUAZQBmAF8AUwB0AGEAbgBkAGEAcgBkAFIAZQBmAGUAcgBlAG4AYwBlAFcAZQBpAGcAaAB0AHMAXwBWAGEAcgBpAGEAdABpAG8AbgAiACwAIgBTAG8AdQByAGMAZQBEAGEAdABhAF8AUABhAHMAdAB1AHIAZQBCAGUAZQBmAC4AUwBvAHUAcgBjAGUARABhAHQAYQBfAFAAYQBzAHQAdQByAGUAQgBlAGUAZgBfAFMAdABhAG4AZABhAHIAZABSAGUAZgBlAHIAZQBuAGMAZQBXAGUAaQBnAGgAdABzAF8ARABhAHQAYQAiACwAIgBTAG8AdQByAGMAZQBEAGEAdABhAF8AUABhAHMAdAB1AHIAZQBCAGUAZQBmAC4AUwBvAHUAcgBjAGUARABhAHQAYQBfAFAAYQBzAHQAdQByAGUAQgBlAGUAZgBfAEYAcgBhAGMAdABpAG8AbgBPAGYATQBhAG4AdQByAGUAVABvAE0ATQBTAF8AVABpAHQAbABlACIALAAiAFMAbwB1AHIAYwBlAEQAYQB0AGEAXwBQAGEAcwB0AHUAcgBlAEIAZQBlAGYALgBTAG8AdQByAGMAZQBEAGEAdABhAF8AUABhAHMAdAB1AHIAZQBCAGUAZQBmAF8ARgByAGEAYwB0AGkAbwBuAE8AZgBNAGEAbgB1AHIAZQBUAG8ATQBNAFMAXwBWAGEAcgBpAGEAYgBsAGUAIgAsACIAUwBvAHUAcgBjAGUARABhAHQAYQBfAFAAYQBzAHQAdQByAGUAQgBlAGUAZgAuAFMAbwB1AHIAYwBlAEQAYQB0AGEAXwBQAGEAcwB0AHUAcgBlAEIAZQBlAGYAXwBGAHIAYQBjAHQAaQBvAG4ATwBmAE0AYQBuAHUAcgBlAFQAbwBNAE0AUwBfAFUAbgBpAHQAIgAsACIAUwBvAHUAcgBjAGUARABhAHQAYQBfAFAAYQBzAHQAdQByAGUAQgBlAGUAZgAuAFMAbwB1AHIAYwBlAEQAYQB0AGEAXwBQAGEAcwB0AHUAcgBlAEIAZQBlAGYAXwBGAHIAYQBjAHQAaQBvAG4ATwBmAE0AYQBuAHUAcgBlAFQAbwBNAE0AUwBfAFMAbwB1AHIAYwBlACIALAAiAFMAbwB1AHIAYwBlAEQAYQB0AGEAXwBQAGEAcwB0AHUAcgBlAEIAZQBlAGYALgBTAG8AdQByAGMAZQBEAGEAdABhAF8AUABhAHMAdAB1AHIAZQBCAGUAZQBmAF8ARgByAGEAYwB0AGkAbwBuAE8AZgBNAGEAbgB1AHIAZQBUAG8ATQBNAFMAXwBWAGEAcgBpAGEAdABpAG8AbgAiACwAIgBTAG8AdQByAGMAZQBEAGEAdABhAF8AUABhAHMAdAB1AHIAZQBCAGUAZQBmAC4AUwBvAHUAcgBjAGUARABhAHQAYQBfAFAAYQBzAHQAdQByAGUAQgBlAGUAZgBfAEYAcgBhAGMAdABpAG8AbgBPAGYATQBhAG4AdQByAGUAVABvAE0ATQBTAF8ARABhAHQAYQAiACwAIgBTAG8AdQByAGMAZQBEAGEAdABhAF8AUABhAHMAdAB1AHIAZQBCAGUAZQBmAC4AUwBvAHUAcgBjAGUARABhAHQAYQBfAFAAYQBzAHQAdQByAGUAQgBlAGUAZgBfAE0AZQB0AGgAYQBuAGUAQwBvAG4AdgBlAHIAcwBpAG8AbgBGAGEAYwB0AG8AcgBQAGUAcgBSAGUAZwBpAG8AbgBfAFQAaQB0AGwAZQAiACwAIgBTAG8AdQByAGMAZQBEAGEAdABhAF8AUABhAHMAdAB1AHIAZQBCAGUAZQBmAC4AUwBvAHUAcgBjAGUARABhAHQAYQBfAFAAYQBzAHQAdQByAGUAQgBlAGUAZgBfAE0AZQB0AGgAYQBuAGUAQwBvAG4AdgBlAHIAcwBpAG8AbgBGAGEAYwB0AG8AcgBQAGUAcgBSAGUAZwBpAG8AbgBfAFYAYQByAGkAYQBiAGwAZQAiACwAIgBTAG8AdQByAGMAZQBEAGEAdABhAF8AUABhAHMAdAB1AHIAZQBCAGUAZQBmAC4AUwBvAHUAcgBjAGUARABhAHQAYQBfAFAAYQBzAHQAdQByAGUAQgBlAGUAZgBfAE0AZQB0AGgAYQBuAGUAQwBvAG4AdgBlAHIAcwBpAG8AbgBGAGEAYwB0AG8AcgBQAGUAcgBSAGUAZwBpAG8AbgBfAFUAbgBpAHQAIgAsACIAUwBvAHUAcgBjAGUARABhAHQAYQBfAFAAYQBzAHQAdQByAGUAQgBlAGUAZgAuAFMAbwB1AHIAYwBlAEQAYQB0AGEAXwBQAGEAcwB0AHUAcgBlAEIAZQBlAGYAXwBNAGUAdABoAGEAbgBlAEMAbwBuAHYAZQByAHMAaQBvAG4ARgBhAGMAdABvAHIAUABlAHIAUgBlAGcAaQBvAG4AXwBTAG8AdQByAGMAZQAiACwAIgBTAG8AdQByAGMAZQBEAGEAdABhAF8AUABhAHMAdAB1AHIAZQBCAGUAZQBmAC4AUwBvAHUAcgBjAGUARABhAHQAYQBfAFAAYQBzAHQAdQByAGUAQgBlAGUAZgBfAE0AZQB0AGgAYQBuAGUAQwBvAG4AdgBlAHIAcwBpAG8AbgBGAGEAYwB0AG8AcgBQAGUAcgBSAGUAZwBpAG8AbgBfAFYAYQByAGkAYQB0AGkAbwBuACIALAAiAFMAbwB1AHIAYwBlAEQAYQB0AGEAXwBQAGEAcwB0AHUAcgBlAEIAZQBlAGYALgBTAG8AdQByAGMAZQBEAGEAdABhAF8AUABhAHMAdAB1AHIAZQBCAGUAZQBmAF8ATQBlAHQAaABhAG4AZQBDAG8AbgB2AGUAcgBzAGkAbwBuAEYAYQBjAHQAbwByAFAAZQByAFIAZQBnAGkAbwBuAF8ARABhAHQAYQAiACwAIgBTAG8AdQByAGMAZQBEAGEAdABhAF8AUABhAHMAdAB1AHIAZQBCAGUAZQBmAC4AUwBvAHUAcgBjAGUARABhAHQAYQBfAFAAYQBzAHQAdQByAGUAQgBlAGUAZgBfAEEAcwBoAEMAbwBuAHQAZQBuAHQATwBmAEYAZQBlAGQASQBuAHQAYQBrAGUAXwBUAGkAdABsAGUAIgAsACIAUwBvAHUAcgBjAGUARABhAHQAYQBfAFAAYQBzAHQAdQByAGUAQgBlAGUAZgAuAFMAbwB1AHIAYwBlAEQAYQB0AGEAXwBQAGEAcwB0AHUAcgBlAEIAZQBlAGYAXwBBAHMAaABDAG8AbgB0AGUAbgB0AE8AZgBGAGUAZQBkAEkAbgB0AGEAawBlAF8AVgBhAHIAaQBhAGIAbABlACIALAAiAFMAbwB1AHIAYwBlAEQAYQB0AGEAXwBQAGEAcwB0AHUAcgBlAEIAZQBlAGYALgBTAG8AdQByAGMAZQBEAGEAdABhAF8AUABhAHMAdAB1AHIAZQBCAGUAZQBmAF8AQQBzAGgAQwBvAG4AdABlAG4AdABPAGYARgBlAGUAZABJAG4AdABhAGsAZQBfAFUAbgBpAHQAIgAsACIAUwBvAHUAcgBjAGUARABhAHQAYQBfAFAAYQBzAHQAdQByAGUAQgBlAGUAZgAuAFMAbwB1AHIAYwBlAEQAYQB0AGEAXwBQAGEAcwB0AHUAcgBlAEIAZQBlAGYAXwBBAHMAaABDAG8AbgB0AGUAbgB0AE8AZgBGAGUAZQBkAEkAbgB0AGEAawBlAF8AUwBvAHUAcgBjAGUAIgAsACIAUwBvAHUAcgBjAGUARABhAHQAYQBfAFAAYQBzAHQAdQByAGUAQgBlAGUAZgAuAFMAbwB1AHIAYwBlAEQAYQB0AGEAXwBQAGEAcwB0AHUAcgBlAEIAZQBlAGYAXwBBAHMAaABDAG8AbgB0AGUAbgB0AE8AZgBGAGUAZQBkAEkAbgB0AGEAawBlAF8AVgBhAHIAaQBhAHQAaQBvAG4AIgAsACIAUwBvAHUAcgBjAGUARABhAHQAYQBfAFAAYQBzAHQAdQByAGUAQgBlAGUAZgAuAFMAbwB1AHIAYwBlAEQAYQB0AGEAXwBQAGEAcwB0AHUAcgBlAEIAZQBlAGYAXwBBAHMAaABDAG8AbgB0AGUAbgB0AE8AZgBGAGUAZQBkAEkAbgB0AGEAawBlAF8ARABhAHQAYQAiACwAIgBTAG8AdQByAGMAZQBEAGEAdABhAF8AUABhAHMAdAB1AHIAZQBCAGUAZQBmAC4AUwBvAHUAcgBjAGUARABhAHQAYQBfAFAAYQBzAHQAdQByAGUAQgBlAGUAZgBfAE0AZQB0AGgAYQBuAGUARQBtAGkAcwBzAGkAbwBuAHMAUABvAHQAZQBuAHQAaQBhAGwAXwBUAGkAdABsAGUAIgAsACIAUwBvAHUAcgBjAGUARABhAHQAYQBfAFAAYQBzAHQAdQByAGUAQgBlAGUAZgAuAFMAbwB1AHIAYwBlAEQAYQB0AGEAXwBQAGEAcwB0AHUAcgBlAEIAZQBlAGYAXwBNAGUAdABoAGEAbgBlAEUAbQBpAHMAcwBpAG8AbgBzAFAAbwB0AGUAbgB0AGkAYQBsAF8AVgBhAHIAaQBhAGIAbABlACIALAAiAFMAbwB1AHIAYwBlAEQAYQB0AGEAXwBQAGEAcwB0AHUAcgBlAEIAZQBlAGYALgBTAG8AdQByAGMAZQBEAGEAdABhAF8AUABhAHMAdAB1AHIAZQBCAGUAZQBmAF8ATQBlAHQAaABhAG4AZQBFAG0AaQBzAHMAaQBvAG4AcwBQAG8AdABlAG4AdABpAGEAbABfAFUAbgBpAHQAIgAsACIAUwBvAHUAcgBjAGUARABhAHQAYQBfAFAAYQBzAHQAdQByAGUAQgBlAGUAZgAuAFMAbwB1AHIAYwBlAEQAYQB0AGEAXwBQAGEAcwB0AHUAcgBlAEIAZQBlAGYAXwBNAGUAdABoAGEAbgBlAEUAbQBpAHMAcwBpAG8AbgBzAFAAbwB0AGUAbgB0AGkAYQBsAF8AUwBvAHUAcgBjAGUAIgAsACIAUwBvAHUAcgBjAGUARABhAHQAYQBfAFAAYQBzAHQAdQByAGUAQgBlAGUAZgAuAFMAbwB1AHIAYwBlAEQAYQB0AGEAXwBQAGEAcwB0AHUAcgBlAEIAZQBlAGYAXwBNAGUAdABoAGEAbgBlAEUAbQBpAHMAcwBpAG8AbgBzAFAAbwB0AGUAbgB0AGkAYQBsAF8AVgBhAHIAaQBhAHQAaQBvAG4AIgAsACIAUwBvAHUAcgBjAGUARABhAHQAYQBfAFAAYQBzAHQAdQByAGUAQgBlAGUAZgAuAFMAbwB1AHIAYwBlAEQAYQB0AGEAXwBQAGEAcwB0AHUAcgBlAEIAZQBlAGYAXwBNAGUAdABoAGEAbgBlAEUAbQBpAHMAcwBpAG8AbgBzAFAAbwB0AGUAbgB0AGkAYQBsAF8ARABhAHQAYQAiACwAIgBTAG8AdQByAGMAZQBEAGEAdABhAF8AUABhAHMAdAB1AHIAZQBCAGUAZQBmAC4AUwBvAHUAcgBjAGUARABhAHQAYQBfAFAAYQBzAHQAdQByAGUAQgBlAGUAZgBfAEYAcgBhAGMARwBBAFMATQBTAG8AaQBsAF8AVABpAHQAbABlACIALAAiAFMAbwB1AHIAYwBlAEQAYQB0AGEAXwBQAGEAcwB0AHUAcgBlAEIAZQBlAGYALgBTAG8AdQByAGMAZQBEAGEAdABhAF8AUABhAHMAdAB1AHIAZQBCAGUAZQBmAF8ARgByAGEAYwBHAEEAUwBNAFMAbwBpAGwAXwBWAGEAcgBpAGEAYgBsAGUAIgAsACIAUwBvAHUAcgBjAGUARABhAHQAYQBfAFAAYQBzAHQAdQByAGUAQgBlAGUAZgAuAFMAbwB1AHIAYwBlAEQAYQB0AGEAXwBQAGEAcwB0AHUAcgBlAEIAZQBlAGYAXwBGAHIAYQBjAEcAQQBTAE0AUwBvAGkAbABfAFUAbgBpAHQAIgAsACIAUwBvAHUAcgBjAGUARABhAHQAYQBfAFAAYQBzAHQAdQByAGUAQgBlAGUAZgAuAFMAbwB1AHIAYwBlAEQAYQB0AGEAXwBQAGEAcwB0AHUAcgBlAEIAZQBlAGYAXwBGAHIAYQBjAEcAQQBTAE0AUwBvAGkAbABfAFMAbwB1AHIAYwBlACIALAAiAFMAbwB1AHIAYwBlAEQAYQB0AGEAXwBQAGEAcwB0AHUAcgBlAEIAZQBlAGYALgBTAG8AdQByAGMAZQBEAGEAdABhAF8AUABhAHMAdAB1AHIAZQBCAGUAZQBmAF8ARgByAGEAYwBHAEEAUwBNAFMAbwBpAGwAXwBWAGEAcgBpAGEAdABpAG8AbgAiACwAIgBTAG8AdQByAGMAZQBEAGEAdABhAF8AUABhAHMAdAB1AHIAZQBCAGUAZQBmAC4AUwBvAHUAcgBjAGUARABhAHQAYQBfAFAAYQBzAHQAdQByAGUAQgBlAGUAZgBfAEYAcgBhAGMARwBBAFMATQBTAG8AaQBsAF8ARABhAHQAYQAiACwAIgBTAG8AdQByAGMAZQBEAGEAdABhAF8AUABhAHMAdAB1AHIAZQBCAGUAZQBmAC4AUwBvAHUAcgBjAGUARABhAHQAYQBfAFAAYQBzAHQAdQByAGUAQgBlAGUAZgBfAEYAcgBhAGMATABFAEEAQwBIAF8AVABpAHQAbABlACIALAAiAFMAbwB1AHIAYwBlAEQAYQB0AGEAXwBQAGEAcwB0AHUAcgBlAEIAZQBlAGYALgBTAG8AdQByAGMAZQBEAGEAdABhAF8AUABhAHMAdAB1AHIAZQBCAGUAZQBmAF8ARgByAGEAYwBMAEUAQQBDAEgAXwBWAGEAcgBpAGEAYgBsAGUAIgAsACIAUwBvAHUAcgBjAGUARABhAHQAYQBfAFAAYQBzAHQAdQByAGUAQgBlAGUAZgAuAFMAbwB1AHIAYwBlAEQAYQB0AGEAXwBQAGEAcwB0AHUAcgBlAEIAZQBlAGYAXwBGAHIAYQBjAEwARQBBAEMASABfAFUAbgBpAHQAIgAsACIAUwBvAHUAcgBjAGUARABhAHQAYQBfAFAAYQBzAHQAdQByAGUAQgBlAGUAZgAuAFMAbwB1AHIAYwBlAEQAYQB0AGEAXwBQAGEAcwB0AHUAcgBlAEIAZQBlAGYAXwBGAHIAYQBjAEwARQBBAEMASABfAFMAbwB1AHIAYwBlACIALAAiAFMAbwB1AHIAYwBlAEQAYQB0AGEAXwBQAGEAcwB0AHUAcgBlAEIAZQBlAGYALgBTAG8AdQByAGMAZQBEAGEAdABhAF8AUABhAHMAdAB1AHIAZQBCAGUAZQBmAF8ARgByAGEAYwBMAEUAQQBDAEgAXwBWAGEAcgBpAGEAdABpAG8AbgAiACwAIgBTAG8AdQByAGMAZQBEAGEAdABhAF8AUABhAHMAdAB1AHIAZQBCAGUAZQBmAC4AUwBvAHUAcgBjAGUARABhAHQAYQBfAFAAYQBzAHQAdQByAGUAQgBlAGUAZgBfAEYAcgBhAGMATABFAEEAQwBIAF8ARABhAHQAYQAiACwAIgBJAG4AcAB1AHQARgB1AG4AYwB0AGkAbwBuAHMAXwBQAGEAcwB0AHUAcgBlAEIAZQBlAGYALgBMAG8AbwBrAHUAcABMAGkAdgBlAHcAZQBpAGcAaAB0AEYAcgBvAG0AUwBlAGEAcwBvAG4AIgAsACIASQBuAHAAdQB0AEYAdQBuAGMAdABpAG8AbgBzAF8AUABhAHMAdAB1AHIAZQBCAGUAZQBmAC4ATABvAG8AawB1AHAATABpAHYAZQB3AGUAaQBnAGgAdABGAHIAbwBtAE0AbwBuAHQAaAAiACwAIgBJAG4AcAB1AHQARgB1AG4AYwB0AGkAbwBuAHMAXwBQAGEAcwB0AHUAcgBlAEIAZQBlAGYALgBDAG8AbgB2AGUAcgB0AE0AbwBuAHQAaABsAHkAQwBhAGwAdgBpAG4AZwBUAG8AUwBlAGEAcwBvAG4AIgAsACIASQBuAHAAdQB0AEYAdQBuAGMAdABpAG8AbgBzAF8AUABhAHMAdAB1AHIAZQBCAGUAZQBmAC4ARwBlAHQARgBpAHIAcwB0AEMAYQBsAHYAaQBuAGcAUwBlAGEAcwBvAG4AIgAsACIASQBuAHAAdQB0AEYAdQBuAGMAdABpAG8AbgBzAF8AUABhAHMAdAB1AHIAZQBCAGUAZQBmAC4ATABvAG8AawB1AHAAVgBhAGwAdQBlAEYAcgBvAG0AUwB0AGEAdABlAFIAZQBnAGkAbwBuAFMAZQBhAHMAbwBuACIALAAiAEkAbgBwAHUAdABGAHUAbgBjAHQAaQBvAG4AcwBfAFAAYQBzAHQAdQByAGUAQgBlAGUAZgAuAEwAbwBvAGsAdQBwAFYAYQBsAHUAZQBGAHIAbwBtAFMAdABhAHQAZQBSAGUAZwBpAG8AbgBNAG8AbgB0AGgAIgAsACIATQBNAFMAXwBQAGEAcwB0AHUAcgBlAEIAZQBlAGYAXwBTAG8AaQBsAF8ATgAyAE8ARABpAHIAZQBjAHQAXwBFAHEAdQBhAHQAaQBvAG4AcwAuAFYARQBFAFIARwBfADQAXwAyAF8AMQBfADMAXwBfADEAXwBEAGkAcgBlAGMAdABOAGkAdAByAG8AdQBzAE8AeABpAGQAZQBFAG0AaQBzAHMAaQBvAG4AcwBPAG4AUABhAHMAdAB1AHIAZQAiACwAIgBNAE0AUwBfAFAAYQBzAHQAdQByAGUAQgBlAGUAZgBfAFMAbwBpAGwAXwBOADIATwBEAGkAcgBlAGMAdABfAEUAcQB1AGEAdABpAG8AbgBzAC4AVgBFAEUAUgBHAF8ANABfADIAXwAxAF8AMwBfAF8AMQBfAEQAaQByAGUAYwB0AE4AaQB0AHIAbwB1AHMATwB4AGkAZABlAEUAbQBpAHMAcwBpAG8AbgBzAE8AbgBQAGEAcwB0AHUAcgBlAF8AVABpAHQAbABlACIALAAiAE0ATQBTAF8AUABhAHMAdAB1AHIAZQBCAGUAZQBmAF8AUwBvAGkAbABfAE4AMgBPAEQAaQByAGUAYwB0AF8ARQBxAHUAYQB0AGkAbwBuAHMALgBWAEUARQBSAEcAXwA0AF8AMgBfADEAXwAzAF8AXwAxAF8ARABpAHIAZQBjAHQATgBpAHQAcgBvAHUAcwBPAHgAaQBkAGUARQBtAGkAcwBzAGkAbwBuAHMATwBuAFAAYQBzAHQAdQByAGUAXwBWAGEAcgBpAGEAYgBsAGUAIgAsACIATQBNAFMAXwBQAGEAcwB0AHUAcgBlAEIAZQBlAGYAXwBTAG8AaQBsAF8ATgAyAE8ARABpAHIAZQBjAHQAXwBFAHEAdQBhAHQAaQBvAG4AcwAuAFYARQBFAFIARwBfADQAXwAyAF8AMQBfADMAXwBfADEAXwBEAGkAcgBlAGMAdABOAGkAdAByAG8AdQBzAE8AeABpAGQAZQBFAG0AaQBzAHMAaQBvAG4AcwBPAG4AUABhAHMAdAB1AHIAZQBfAFUAbgBpAHQAIgAsACIATQBNAFMAXwBQAGEAcwB0AHUAcgBlAEIAZQBlAGYAXwBTAG8AaQBsAF8ATgAyAE8ARABpAHIAZQBjAHQAXwBFAHEAdQBhAHQAaQBvAG4AcwAuAFYARQBFAFIARwBfADQAXwAyAF8AMQBfADMAXwBfADEAXwBEAGkAcgBlAGMAdABOAGkAdAByAG8AdQBzAE8AeABpAGQAZQBFAG0AaQBzAHMAaQBvAG4AcwBPAG4AUABhAHMAdAB1AHIAZQBfAFMAbwB1AHIAYwBlACIALAAiAE0ATQBTAF8AUABhAHMAdAB1AHIAZQBCAGUAZQBmAF8AUwBvAGkAbABfAE4AMgBPAEQAaQByAGUAYwB0AF8ARQBxAHUAYQB0AGkAbwBuAHMALgBWAEUARQBSAEcAXwA0AF8AMgBfADEAXwAzAF8AXwAxAF8ARABpAHIAZQBjAHQATgBpAHQAcgBvAHUAcwBPAHgAaQBkAGUARQBtAGkAcwBzAGkAbwBuAHMATwBuAFAAYQBzAHQAdQByAGUAXwBOAEkAUgBSAGUAZgBlAHIAZQBuAGMAZQAiACwAIgBNAE0AUwBfAFAAYQBzAHQAdQByAGUAQgBlAGUAZgBfAFMAbwBpAGwAXwBOADIATwBEAGkAcgBlAGMAdABfAEUAcQB1AGEAdABpAG8AbgBzAC4AVgBFAEUAUgBHAF8ANABfADIAXwAxAF8AMwBfAF8AMQBfAEQAaQByAGUAYwB0AE4AaQB0AHIAbwB1AHMATwB4AGkAZABlAEUAbQBpAHMAcwBpAG8AbgBzAE8AbgBQAGEAcwB0AHUAcgBlAF8ATABhAHQAZQB4AEUAcQB1AGEAdABpAG8AbgAiACwAIgBNAE0AUwBfAFAAYQBzAHQAdQByAGUAQgBlAGUAZgBfAFMAbwBpAGwAXwBOADIATwBEAGkAcgBlAGMAdABfAEUAcQB1AGEAdABpAG8AbgBzAC4AVgBFAEUAUgBHAF8ANABfADIAXwAxAF8AMwBfAF8AMQBfAEQAaQByAGUAYwB0AE4AaQB0AHIAbwB1AHMATwB4AGkAZABlAEUAbQBpAHMAcwBpAG8AbgBzAE8AbgBQAGEAcwB0AHUAcgBlAF8AQQByAGcAdQBtAGUAbgB0AHM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VABpAHQAbABl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WAGEAcgBpAGEAYgBsAGU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BfAFUAbgBpAHQ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BfAFMAbwB1AHIAYwBl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OAEkAUgBSAGUAZgBlAHIAZQBuAGMAZQ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TABhAHQAZQB4AEUAcQB1AGEAdABpAG8Abg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QQByAGcAdQBtAGUAbgB0AHMAIgAsACIATQBNAFMAXwBQAGEAcwB0AHUAcgBlAEIAZQBlAGYAXwBTAG8AaQBsAF8ATgAyAE8ARABpAHIAZQBjAHQAXwBFAHEAdQBhAHQAaQBvAG4AcwAuAFYARQBFAFIARwBfADQAXwAyAF8AMQBfADMAXwBfADMAXwBOAGkAdAByAG8AZwBlAG4ARQB4AGMAcgBlAHQAZQBkACIALAAiAE0ATQBTAF8AUABhAHMAdAB1AHIAZQBCAGUAZQBmAF8AUwBvAGkAbABfAE4AMgBPAEQAaQByAGUAYwB0AF8ARQBxAHUAYQB0AGkAbwBuAHMALgBWAEUARQBSAEcAXwA0AF8AMgBfADEAXwAzAF8AXwAzAF8ATgBpAHQAcgBvAGcAZQBuAEUAeABjAHIAZQB0AGUAZABfAFQAaQB0AGwAZQAiACwAIgBNAE0AUwBfAFAAYQBzAHQAdQByAGUAQgBlAGUAZgBfAFMAbwBpAGwAXwBOADIATwBEAGkAcgBlAGMAdABfAEUAcQB1AGEAdABpAG8AbgBzAC4AVgBFAEUAUgBHAF8ANABfADIAXwAxAF8AMwBfAF8AMwBfAE4AaQB0AHIAbwBnAGUAbgBFAHgAYwByAGUAdABlAGQAXwBWAGEAcgBpAGEAYgBsAGUAIgAsACIATQBNAFMAXwBQAGEAcwB0AHUAcgBlAEIAZQBlAGYAXwBTAG8AaQBsAF8ATgAyAE8ARABpAHIAZQBjAHQAXwBFAHEAdQBhAHQAaQBvAG4AcwAuAFYARQBFAFIARwBfADQAXwAyAF8AMQBfADMAXwBfADMAXwBOAGkAdAByAG8AZwBlAG4ARQB4AGMAcgBlAHQAZQBkAF8AVQBuAGkAdAAiACwAIgBNAE0AUwBfAFAAYQBzAHQAdQByAGUAQgBlAGUAZgBfAFMAbwBpAGwAXwBOADIATwBEAGkAcgBlAGMAdABfAEUAcQB1AGEAdABpAG8AbgBzAC4AVgBFAEUAUgBHAF8ANABfADIAXwAxAF8AMwBfAF8AMwBfAE4AaQB0AHIAbwBnAGUAbgBFAHgAYwByAGUAdABlAGQAXwBTAG8AdQByAGMAZQAiACwAIgBNAE0AUwBfAFAAYQBzAHQAdQByAGUAQgBlAGUAZgBfAFMAbwBpAGwAXwBOADIATwBEAGkAcgBlAGMAdABfAEUAcQB1AGEAdABpAG8AbgBzAC4AVgBFAEUAUgBHAF8ANABfADIAXwAxAF8AMwBfAF8AMwBfAE4AaQB0AHIAbwBnAGUAbgBFAHgAYwByAGUAdABlAGQAXwBOAEkAUgBSAGUAZgBlAHIAZQBuAGMAZQAiACwAIgBNAE0AUwBfAFAAYQBzAHQAdQByAGUAQgBlAGUAZgBfAFMAbwBpAGwAXwBOADIATwBEAGkAcgBlAGMAdABfAEUAcQB1AGEAdABpAG8AbgBzAC4AVgBFAEUAUgBHAF8ANABfADIAXwAxAF8AMwBfAF8AMwBfAE4AaQB0AHIAbwBnAGUAbgBFAHgAYwByAGUAdABlAGQAXwBMAGEAdABlAHgARQBxAHUAYQB0AGkAbwBuACIALAAiAE0ATQBTAF8AUABhAHMAdAB1AHIAZQBCAGUAZQBmAF8AUwBvAGkAbABfAE4AMgBPAEQAaQByAGUAYwB0AF8ARQBxAHUAYQB0AGkAbwBuAHMALgBWAEUARQBSAEcAXwA0AF8AMgBfADEAXwAzAF8AXwAzAF8ATgBpAHQAcgBvAGcAZQBuAEUAeABjAHIAZQB0AGUAZABfAEEAcgBnAHUAbQBlAG4AdABzACIALAAiAE0ATQBTAF8AUABhAHMAdAB1AHIAZQBCAGUAZQBmAF8AUwBvAGkAbABfAE4AMgBPAEQAaQByAGUAYwB0AF8ARQBxAHUAYQB0AGkAbwBuAHMALgBWAEUARQBSAEcAXwA0AF8AMgBfADEAXwAzAF8AXwA0AF8ATgBpAHQAcgBvAGcAZQBuAFIAZQB0AGEAaQBuAGUAZABCAHkAQgBvAGQAeQAiACwAIgBNAE0AUwBfAFAAYQBzAHQAdQByAGUAQgBlAGUAZgBfAFMAbwBpAGwAXwBOADIATwBEAGkAcgBlAGMAdABfAEUAcQB1AGEAdABpAG8AbgBzAC4AVgBFAEUAUgBHAF8ANABfADIAXwAxAF8AMwBfAF8ANABfAE4AaQB0AHIAbwBnAGUAbgBSAGUAdABhAGkAbgBlAGQAQgB5AEIAbwBkAHkAXwBUAGkAdABsAGUAIgAsACIATQBNAFMAXwBQAGEAcwB0AHUAcgBlAEIAZQBlAGYAXwBTAG8AaQBsAF8ATgAyAE8ARABpAHIAZQBjAHQAXwBFAHEAdQBhAHQAaQBvAG4AcwAuAFYARQBFAFIARwBfADQAXwAyAF8AMQBfADMAXwBfADQAXwBOAGkAdAByAG8AZwBlAG4AUgBlAHQAYQBpAG4AZQBkAEIAeQBCAG8AZAB5AF8AVgBhAHIAaQBhAGIAbABlACIALAAiAE0ATQBTAF8AUABhAHMAdAB1AHIAZQBCAGUAZQBmAF8AUwBvAGkAbABfAE4AMgBPAEQAaQByAGUAYwB0AF8ARQBxAHUAYQB0AGkAbwBuAHMALgBWAEUARQBSAEcAXwA0AF8AMgBfADEAXwAzAF8AXwA0AF8ATgBpAHQAcgBvAGcAZQBuAFIAZQB0AGEAaQBuAGUAZABCAHkAQgBvAGQAeQBfAFUAbgBpAHQAIgAsACIATQBNAFMAXwBQAGEAcwB0AHUAcgBlAEIAZQBlAGYAXwBTAG8AaQBsAF8ATgAyAE8ARABpAHIAZQBjAHQAXwBFAHEAdQBhAHQAaQBvAG4AcwAuAFYARQBFAFIARwBfADQAXwAyAF8AMQBfADMAXwBfADQAXwBOAGkAdAByAG8AZwBlAG4AUgBlAHQAYQBpAG4AZQBkAEIAeQBCAG8AZAB5AF8AUwBvAHUAcgBjAGUAIgAsACIATQBNAFMAXwBQAGEAcwB0AHUAcgBlAEIAZQBlAGYAXwBTAG8AaQBsAF8ATgAyAE8ARABpAHIAZQBjAHQAXwBFAHEAdQBhAHQAaQBvAG4AcwAuAFYARQBFAFIARwBfADQAXwAyAF8AMQBfADMAXwBfADQAXwBOAGkAdAByAG8AZwBlAG4AUgBlAHQAYQBpAG4AZQBkAEIAeQBCAG8AZAB5AF8ATgBJAFIAUgBlAGYAZQByAGUAbgBjAGUAIgAsACIATQBNAFMAXwBQAGEAcwB0AHUAcgBlAEIAZQBlAGYAXwBTAG8AaQBsAF8ATgAyAE8ARABpAHIAZQBjAHQAXwBFAHEAdQBhAHQAaQBvAG4AcwAuAFYARQBFAFIARwBfADQAXwAyAF8AMQBfADMAXwBfADQAXwBOAGkAdAByAG8AZwBlAG4AUgBlAHQAYQBpAG4AZQBkAEIAeQBCAG8AZAB5AF8ATABhAHQAZQB4AEUAcQB1AGEAdABpAG8AbgAiACwAIgBNAE0AUwBfAFAAYQBzAHQAdQByAGUAQgBlAGUAZgBfAFMAbwBpAGwAXwBOADIATwBEAGkAcgBlAGMAdABfAEUAcQB1AGEAdABpAG8AbgBzAC4AVgBFAEUAUgBHAF8ANABfADIAXwAxAF8AMwBfAF8ANABfAE4AaQB0AHIAbwBnAGUAbgBSAGUAdABhAGkAbgBlAGQAQgB5AEIAbwBkAHkAXwBBAHIAZwB1AG0AZQBuAHQAcwAiACwAIgBNAE0AUwBfAFAAYQBzAHQAdQByAGUAQgBlAGUAZgBfAFMAbwBpAGwAXwBOADIATwBEAGkAcgBlAGMAdABfAEUAcQB1AGEAdABpAG8AbgBzAC4AVgBFAEUAUgBHAF8ANABfADIAXwAxAF8AMwBfAF8ANQBfAE0AaQBsAGsAUAByAG8AZAB1AGMAdABpAG8AbgBGAG8AcgBDAGEAbAB2AGkAbgBnAFMAZQBhAHMAbwBuACIALAAiAE0ATQBTAF8AUABhAHMAdAB1AHIAZQBCAGUAZQBmAF8AUwBvAGkAbABfAE4AMgBPAEQAaQByAGUAYwB0AF8ARQBxAHUAYQB0AGkAbwBuAHMALgBWAEUARQBSAEcAXwA0AF8AMgBfADEAXwAzAF8AXwA1AF8ATQBpAGwAawBQAHIAbwBkAHUAYwB0AGkAbwBuAEYAbwByAEMAYQBsAHYAaQBuAGcAUwBlAGEAcwBvAG4AVgBhAHIAaQBhAHQAaQBvAG4AIgAsACIATQBNAFMAXwBQAGEAcwB0AHUAcgBlAEIAZQBlAGYAXwBTAG8AaQBsAF8ATgAyAE8ARABpAHIAZQBjAHQAXwBFAHEAdQBhAHQAaQBvAG4AcwAuAFYARQBFAFIARwBfADQAXwAyAF8AMQBfADMAXwBfADUAXwBNAGkAbABrAFAAcgBvAGQAdQBjAHQAaQBvAG4ARgBvAHIAQwBhAGwAdgBpAG4AZwBTAGUAYQBzAG8AbgBfAFQAaQB0AGwAZQAiACwAIgBNAE0AUwBfAFAAYQBzAHQAdQByAGUAQgBlAGUAZgBfAFMAbwBpAGwAXwBOADIATwBEAGkAcgBlAGMAdABfAEUAcQB1AGEAdABpAG8AbgBzAC4AVgBFAEUAUgBHAF8ANABfADIAXwAxAF8AMwBfAF8ANQBfAE0AaQBsAGsAUAByAG8AZAB1AGMAdABpAG8AbgBGAG8AcgBDAGEAbAB2AGkAbgBnAFMAZQBhAHMAbwBuAF8AVgBhAHIAaQBhAGIAbABlACIALAAiAE0ATQBTAF8AUABhAHMAdAB1AHIAZQBCAGUAZQBmAF8AUwBvAGkAbABfAE4AMgBPAEQAaQByAGUAYwB0AF8ARQBxAHUAYQB0AGkAbwBuAHMALgBWAEUARQBSAEcAXwA0AF8AMgBfADEAXwAzAF8AXwA1AF8ATQBpAGwAawBQAHIAbwBkAHUAYwB0AGkAbwBuAEYAbwByAEMAYQBsAHYAaQBuAGcAUwBlAGEAcwBvAG4AXwBVAG4AaQB0ACIALAAiAE0ATQBTAF8AUABhAHMAdAB1AHIAZQBCAGUAZQBmAF8AUwBvAGkAbABfAE4AMgBPAEQAaQByAGUAYwB0AF8ARQBxAHUAYQB0AGkAbwBuAHMALgBWAEUARQBSAEcAXwA0AF8AMgBfADEAXwAzAF8AXwA1AF8ATQBpAGwAawBQAHIAbwBkAHUAYwB0AGkAbwBuAEYAbwByAEMAYQBsAHYAaQBuAGcAUwBlAGEAcwBvAG4AXwBTAG8AdQByAGMAZQAiACwAIgBNAE0AUwBfAFAAYQBzAHQAdQByAGUAQgBlAGUAZgBfAFMAbwBpAGwAXwBOADIATwBEAGkAcgBlAGMAdABfAEUAcQB1AGEAdABpAG8AbgBzAC4AVgBFAEUAUgBHAF8ANABfADIAXwAxAF8AMwBfAF8ANQBfAE0AaQBsAGsAUAByAG8AZAB1AGMAdABpAG8AbgBGAG8AcgBDAGEAbAB2AGkAbgBnAFMAZQBhAHMAbwBuAF8ATgBJAFIAUgBlAGYAZQByAGUAbgBjAGUAIgAsACIATQBNAFMAXwBQAGEAcwB0AHUAcgBlAEIAZQBlAGYAXwBTAG8AaQBsAF8ATgAyAE8ARABpAHIAZQBjAHQAXwBFAHEAdQBhAHQAaQBvAG4AcwAuAFYARQBFAFIARwBfADQAXwAyAF8AMQBfADMAXwBfADUAXwBNAGkAbABrAFAAcgBvAGQAdQBjAHQAaQBvAG4ARgBvAHIAQwBhAGwAdgBpAG4AZwBTAGUAYQBzAG8AbgBfAEwAYQB0AGUAeABFAHEAdQBhAHQAaQBvAG4AIgAsACIATQBNAFMAXwBQAGEAcwB0AHUAcgBlAEIAZQBlAGYAXwBTAG8AaQBsAF8ATgAyAE8ARABpAHIAZQBjAHQAXwBFAHEAdQBhAHQAaQBvAG4AcwAuAFYARQBFAFIARwBfADQAXwAyAF8AMQBfADMAXwBfADUAXwBNAGkAbABrAFAAcgBvAGQAdQBjAHQAaQBvAG4ARgBvAHIAQwBhAGwAdgBpAG4AZwBTAGUAYQBzAG8AbgBfAEwAYQB0AGUAeABFAHEAdQBhAHQAaQBvAG4AVgBhAHIAaQBhAHQAaQBvAG4AIgAsACIATQBNAFMAXwBQAGEAcwB0AHUAcgBlAEIAZQBlAGYAXwBTAG8AaQBsAF8ATgAyAE8ARABpAHIAZQBjAHQAXwBFAHEAdQBhAHQAaQBvAG4AcwAuAFYARQBFAFIARwBfADQAXwAyAF8AMQBfADMAXwBfADUAXwBNAGkAbABrAFAAcgBvAGQAdQBjAHQAaQBvAG4ARgBvAHIAQwBhAGwAdgBpAG4AZwBTAGUAYQBzAG8AbgBfAEEAcgBnAHUAbQBlAG4AdABzACIALAAiAE0ATQBTAF8AUABhAHMAdAB1AHIAZQBCAGUAZQBmAF8AUwBvAGkAbABfAE4AMgBPAEQAaQByAGUAYwB0AF8ARQBxAHUAYQB0AGkAbwBuAHMALgBWAEUARQBSAEcAXwA0AF8AMgBfADEAXwAzAF8AXwA1AF8ATQBpAGwAawBQAHIAbwBkAHUAYwB0AGkAbwBuAEYAbwByAEMAYQBsAHYAaQBuAGcAUwBlAGEAcwBvAG4AXwBBAHIAZwB1AG0AZQBuAHQAcwBWAGEAcgBpAGEAdABpAG8AbgAiACwAIgBNAE0AUwBfAFAAYQBzAHQAdQByAGUAQgBlAGUAZgBfAFMAbwBpAGwAXwBOADIATwBEAGkAcgBlAGMAdABfAEUAcQB1AGEAdABpAG8AbgBzAC4AVgBFAEUAUgBHAF8ANABfADIAXwAxAF8AMwBfAF8ANQBfAE0AaQBsAGsAUAByAG8AZAB1AGMAdABpAG8AbgBGAG8AcgBDAGEAbAB2AGkAbgBnAFMAZQBhAHMAbwBuAF8AVgBhAHIAaQBhAHQAaQBvAG4AIgAsACIATQBNAFMAXwBQAGEAcwB0AHUAcgBlAEIAZQBlAGYAXwBTAG8AaQBsAF8ATgAyAE8ARABpAHIAZQBjAHQAXwBFAHEAdQBhAHQAaQBvAG4AcwAuAFYARQBFAFIARwBfADQAXwAyAF8AMQBfADMAXwBfADYAXwBJAG4AdABhAGsAZQBSAGUAbABhAHQAaQB2AGUAVABvAE0AYQBpAG4AdABlAG4AYQBuAGMAZQAiACwAIgBNAE0AUwBfAFAAYQBzAHQAdQByAGUAQgBlAGUAZgBfAFMAbwBpAGwAXwBOADIATwBEAGkAcgBlAGMAdABfAEUAcQB1AGEAdABpAG8AbgBzAC4AVgBFAEUAUgBHAF8ANABfADIAXwAxAF8AMwBfAF8ANgBfAEkAbgB0AGEAawBlAFIAZQBsAGEAdABpAHYAZQBUAG8ATQBhAGkAbgB0AGUAbgBhAG4AYwBlAF8AVABpAHQAbABlACIALAAiAE0ATQBTAF8AUABhAHMAdAB1AHIAZQBCAGUAZQBmAF8AUwBvAGkAbABfAE4AMgBPAEQAaQByAGUAYwB0AF8ARQBxAHUAYQB0AGkAbwBuAHMALgBWAEUARQBSAEcAXwA0AF8AMgBfADEAXwAzAF8AXwA2AF8ASQBuAHQAYQBrAGUAUgBlAGwAYQB0AGkAdgBlAFQAbwBNAGEAaQBuAHQAZQBuAGEAbgBjAGUAXwBWAGEAcgBpAGEAYgBsAGUAIgAsACIATQBNAFMAXwBQAGEAcwB0AHUAcgBlAEIAZQBlAGYAXwBTAG8AaQBsAF8ATgAyAE8ARABpAHIAZQBjAHQAXwBFAHEAdQBhAHQAaQBvAG4AcwAuAFYARQBFAFIARwBfADQAXwAyAF8AMQBfADMAXwBfADYAXwBJAG4AdABhAGsAZQBSAGUAbABhAHQAaQB2AGUAVABvAE0AYQBpAG4AdABlAG4AYQBuAGMAZQBfAFUAbgBpAHQAIgAsACIATQBNAFMAXwBQAGEAcwB0AHUAcgBlAEIAZQBlAGYAXwBTAG8AaQBsAF8ATgAyAE8ARABpAHIAZQBjAHQAXwBFAHEAdQBhAHQAaQBvAG4AcwAuAFYARQBFAFIARwBfADQAXwAyAF8AMQBfADMAXwBfADYAXwBJAG4AdABhAGsAZQBSAGUAbABhAHQAaQB2AGUAVABvAE0AYQBpAG4AdABlAG4AYQBuAGMAZQBfAFMAbwB1AHIAYwBlACIALAAiAE0ATQBTAF8AUABhAHMAdAB1AHIAZQBCAGUAZQBmAF8AUwBvAGkAbABfAE4AMgBPAEQAaQByAGUAYwB0AF8ARQBxAHUAYQB0AGkAbwBuAHMALgBWAEUARQBSAEcAXwA0AF8AMgBfADEAXwAzAF8AXwA2AF8ASQBuAHQAYQBrAGUAUgBlAGwAYQB0AGkAdgBlAFQAbwBNAGEAaQBuAHQAZQBuAGEAbgBjAGUAXwBOAEkAUgBSAGUAZgBlAHIAZQBuAGMAZQAiACwAIgBNAE0AUwBfAFAAYQBzAHQAdQByAGUAQgBlAGUAZgBfAFMAbwBpAGwAXwBOADIATwBEAGkAcgBlAGMAdABfAEUAcQB1AGEAdABpAG8AbgBzAC4AVgBFAEUAUgBHAF8ANABfADIAXwAxAF8AMwBfAF8ANgBfAEkAbgB0AGEAawBlAFIAZQBsAGEAdABpAHYAZQBUAG8ATQBhAGkAbgB0AGUAbgBhAG4AYwBlAF8ATABhAHQAZQB4AEUAcQB1AGEAdABpAG8AbgAiACwAIgBNAE0AUwBfAFAAYQBzAHQAdQByAGUAQgBlAGUAZgBfAFMAbwBpAGwAXwBOADIATwBEAGkAcgBlAGMAdABfAEUAcQB1AGEAdABpAG8AbgBzAC4AVgBFAEUAUgBHAF8ANABfADIAXwAxAF8AMwBfAF8ANgBfAEkAbgB0AGEAawBlAFIAZQBsAGEAdABpAHYAZQBUAG8ATQBhAGkAbgB0AGUAbgBhAG4AYwBlAF8AQQByAGcAdQBtAGUAbgB0AHMAIgAsACIATQBNAFMAXwBQAGEAcwB0AHUAcgBlAEIAZQBlAGYAXwBTAG8AaQBsAF8ATgAyAE8ARABpAHIAZQBjAHQAXwBFAHEAdQBhAHQAaQBvAG4AcwAuAFYARQBFAFIARwBfADQAXwAyAF8AMQBfADMAXwBfADcAXwBSAGUAbABhAHQAaQB2AGUAUwBpAHoAZQAiACwAIgBNAE0AUwBfAFAAYQBzAHQAdQByAGUAQgBlAGUAZgBfAFMAbwBpAGwAXwBOADIATwBEAGkAcgBlAGMAdABfAEUAcQB1AGEAdABpAG8AbgBzAC4AVgBFAEUAUgBHAF8ANABfADIAXwAxAF8AMwBfAF8ANwBfAFIAZQBsAGEAdABpAHYAZQBTAGkAegBlAF8AVABpAHQAbABlACIALAAiAE0ATQBTAF8AUABhAHMAdAB1AHIAZQBCAGUAZQBmAF8AUwBvAGkAbABfAE4AMgBPAEQAaQByAGUAYwB0AF8ARQBxAHUAYQB0AGkAbwBuAHMALgBWAEUARQBSAEcAXwA0AF8AMgBfADEAXwAzAF8AXwA3AF8AUgBlAGwAYQB0AGkAdgBlAFMAaQB6AGUAXwBWAGEAcgBpAGEAYgBsAGUAIgAsACIATQBNAFMAXwBQAGEAcwB0AHUAcgBlAEIAZQBlAGYAXwBTAG8AaQBsAF8ATgAyAE8ARABpAHIAZQBjAHQAXwBFAHEAdQBhAHQAaQBvAG4AcwAuAFYARQBFAFIARwBfADQAXwAyAF8AMQBfADMAXwBfADcAXwBSAGUAbABhAHQAaQB2AGUAUwBpAHoAZQBfAFUAbgBpAHQAIgAsACIATQBNAFMAXwBQAGEAcwB0AHUAcgBlAEIAZQBlAGYAXwBTAG8AaQBsAF8ATgAyAE8ARABpAHIAZQBjAHQAXwBFAHEAdQBhAHQAaQBvAG4AcwAuAFYARQBFAFIARwBfADQAXwAyAF8AMQBfADMAXwBfADcAXwBSAGUAbABhAHQAaQB2AGUAUwBpAHoAZQBfAFMAbwB1AHIAYwBlACIALAAiAE0ATQBTAF8AUABhAHMAdAB1AHIAZQBCAGUAZQBmAF8AUwBvAGkAbABfAE4AMgBPAEQAaQByAGUAYwB0AF8ARQBxAHUAYQB0AGkAbwBuAHMALgBWAEUARQBSAEcAXwA0AF8AMgBfADEAXwAzAF8AXwA3AF8AUgBlAGwAYQB0AGkAdgBlAFMAaQB6AGUAXwBOAEkAUgBSAGUAZgBlAHIAZQBuAGMAZQAiACwAIgBNAE0AUwBfAFAAYQBzAHQAdQByAGUAQgBlAGUAZgBfAFMAbwBpAGwAXwBOADIATwBEAGkAcgBlAGMAdABfAEUAcQB1AGEAdABpAG8AbgBzAC4AVgBFAEUAUgBHAF8ANABfADIAXwAxAF8AMwBfAF8ANwBfAFIAZQBsAGEAdABpAHYAZQBTAGkAegBlAF8ATABhAHQAZQB4AEUAcQB1AGEAdABpAG8AbgAiACwAIgBNAE0AUwBfAFAAYQBzAHQAdQByAGUAQgBlAGUAZgBfAFMAbwBpAGwAXwBOADIATwBEAGkAcgBlAGMAdABfAEUAcQB1AGEAdABpAG8AbgBzAC4AVgBFAEUAUgBHAF8ANABfADIAXwAxAF8AMwBfAF8ANwBfAFIAZQBsAGEAdABpAHYAZQBTAGkAegBlAF8AQQByAGcAdQBtAGUAbgB0AHM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FQAaQB0AGw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WAGEAcgBpAGEAYgBsAGU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F8AVQBuAGkAdA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TAG8AdQByAGM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OAEkAUgBSAGUAZgBlAHIAZQBuAGM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MAGEAdABlAHgARQBxAHUAYQB0AGkAbwBu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EEAcgBnAHUAbQBlAG4AdABz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UAGkAdABs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VgBhAHIAaQBhAGIAbABl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BfAFUAbgBpAHQ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UwBvAHUAcgBj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TgBJAFIAUgBlAGYAZQByAGUAbgBj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TABhAHQAZQB4AEUAcQB1AGEAdABpAG8Abg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BAHIAZwB1AG0AZQBuAHQAcw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VABpAHQAbA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FYAYQByAGkAYQBiAGwAZQ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XwBVAG4AaQB0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FMAbwB1AHIAYw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E4ASQBSAFIAZQBmAGUAcgBlAG4AYw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EwAYQB0AGUAeABFAHEAdQBhAHQAaQBvAG4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QQByAGcAdQBtAGUAbgB0AHM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UAGkAdABs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WAGEAcgBpAGEAYgBs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VAG4AaQB0ACIALAAiAE0ATQBTAF8AUABhAHMAdAB1AHIAZQBCAGUAZQBmAF8AUwBvAGkAbABfAEwAZQBhAGMAaABpAG4AZwBBAG4AZABSAHUAbgBvAGYAZgAuAFYARQBFAFIARwBfADQAXwAyAF8AMQBfADcAXwBfADIAXwBNAGEAcwBzAE8AZgBOAGkAdAByAG8AZwBlAG4ATABvAHMAdABUAG8ATABlAGEAYwBoAGkAbgBnAEEAbgBkAFIAdQBuAG8AZgBmAE8AbgBQAGEAcwB0AHUAcgBlAF8AUwBvAHUAcgBj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OAEkAUgBSAGUAZgBlAHIAZQBuAGMAZQ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BfAEwAYQB0AGUAeABFAHEAdQBhAHQAaQBvAG4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BAHIAZwB1AG0AZQBuAHQAcw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Home</vt:lpstr>
      <vt:lpstr>Results</vt:lpstr>
      <vt:lpstr>Input - Site</vt:lpstr>
      <vt:lpstr>Input - Pasture Beef</vt:lpstr>
      <vt:lpstr>4.2.1.1-2 Methane</vt:lpstr>
      <vt:lpstr>4.2.1.3-4 Soil direct N20</vt:lpstr>
      <vt:lpstr>4.2.1.5-6 Soil Atmos Dep</vt:lpstr>
      <vt:lpstr>4.2.1.7-8 Soil leach runoff</vt:lpstr>
      <vt:lpstr>Constants - Pature Beef</vt:lpstr>
      <vt:lpstr>Constants - Common</vt:lpstr>
      <vt:lpstr>Constants - Livestock</vt:lpstr>
      <vt:lpstr>Acknowledgements</vt:lpstr>
      <vt:lpstr>Tab 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2026-04-23T01:32:36Z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