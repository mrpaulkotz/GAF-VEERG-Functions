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A43F018-88D2-460E-8DBC-964AC13816BB}"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6"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6" a="1"/>
  <c r="E259" i="106" s="1"/>
  <c r="D259" i="106" a="1"/>
  <c r="D259" i="106" s="1"/>
  <c r="E258" i="106" a="1"/>
  <c r="E258" i="106" s="1"/>
  <c r="D258" i="106" a="1"/>
  <c r="D258" i="106" s="1"/>
  <c r="D256" i="106"/>
  <c r="D256" i="106" a="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c r="D229" i="106" a="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c r="D211" i="106" a="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c r="D151" i="106" a="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c r="D107" i="106" a="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D60" i="69" a="1"/>
  <c r="D60" i="69" s="1"/>
  <c r="D55" i="69" a="1"/>
  <c r="D55" i="69" s="1"/>
  <c r="H48" i="106" l="1"/>
  <c r="H53" i="106"/>
  <c r="H54" i="106"/>
  <c r="H52" i="106"/>
  <c r="H51" i="106"/>
  <c r="H50" i="106"/>
  <c r="H49" i="106"/>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E41" i="69" l="1"/>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M30" i="69" s="1" a="1"/>
  <c r="M30" i="69" s="1"/>
  <c r="F21" i="70" a="1"/>
  <c r="F21" i="70" s="1"/>
  <c r="F15" i="70" a="1"/>
  <c r="F15" i="70" s="1"/>
  <c r="F20" i="70" a="1"/>
  <c r="F20" i="70" s="1"/>
  <c r="G20" i="70" a="1"/>
  <c r="G20" i="70" s="1"/>
  <c r="D69" i="69" a="1"/>
  <c r="D69" i="69" s="1"/>
  <c r="F72" i="69" a="1"/>
  <c r="F72" i="69" s="1"/>
  <c r="M20" i="69" l="1" a="1"/>
  <c r="M20" i="69" s="1"/>
  <c r="D25" i="69" a="1"/>
  <c r="D25" i="69" s="1"/>
  <c r="M25" i="69" a="1"/>
  <c r="M25" i="69" s="1"/>
  <c r="D20" i="69" a="1"/>
  <c r="D20" i="69" s="1"/>
  <c r="D30" i="69" a="1"/>
  <c r="D30" i="69" s="1"/>
  <c r="M35" i="69" l="1" a="1"/>
  <c r="M35" i="69" s="1"/>
  <c r="M65" i="69" s="1" a="1"/>
  <c r="M65" i="69" s="1"/>
  <c r="O35" i="69" a="1"/>
  <c r="O35" i="69" s="1"/>
  <c r="O65" i="69" s="1" a="1"/>
  <c r="O65" i="69" s="1"/>
  <c r="N35" i="69" a="1"/>
  <c r="N35" i="69" s="1"/>
  <c r="N65" i="69" s="1" a="1"/>
  <c r="N65" i="69" s="1"/>
  <c r="D8" i="70"/>
  <c r="D9" i="70"/>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<sst xmlns="http://schemas.openxmlformats.org/spreadsheetml/2006/main" count="287" uniqueCount="188">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</sst>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AE3AF9-4DB0-43EA-BF3A-34D64DD2F96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016623-9111-4AF2-9A98-C5CB68257AED}" name="State/Territory">
      <calculatedColumnFormula array="1">Common_InputFunctions.Utility_DisplayArrayInTable(Common_SourceData.Common_SourceData_AustralianStatesTerritories_Data(),Table_AustralianStates[[#Headers],[State/Territory]],0)</calculatedColumnFormula>
    </tableColumn>
    <tableColumn id="2" xr3:uid="{5E996B45-8231-4D5A-9360-1969C0F60593}" name="Common Name">
      <calculatedColumnFormula array="1">Common_InputFunctions.Utility_DisplayArrayInTable(Common_SourceData.Common_SourceData_AustralianStatesTerritories_Data(),Table_AustralianStates[[#Headers],[State/Territory]],0)</calculatedColumnFormula>
    </tableColumn>
    <tableColumn id="3" xr3:uid="{284FD036-41D9-4465-A8B1-BE254A8E2A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F201CE5-89DA-438F-A8EE-207D01B73EEE}" name="Table_WASA4Areas" displayName="Table_WASA4Areas" ref="D20:D30" totalsRowShown="0">
  <autoFilter ref="D20:D30" xr:uid="{5FA81339-C6C8-4D36-BEEA-6C4AEDD9E676}">
    <filterColumn colId="0" hiddenButton="1"/>
  </autoFilter>
  <tableColumns count="1">
    <tableColumn id="1" xr3:uid="{41BC2FC5-7B11-4384-A008-EAE2183B104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1451BA-BCDB-44AD-BF28-0B882E6D0ED5}" name="Table_GWPData" displayName="Table_GWPData" ref="D36:E43" totalsRowShown="0">
  <autoFilter ref="D36:E43" xr:uid="{B8E87A66-3E41-4AD3-925D-01EE21B43D7A}">
    <filterColumn colId="0" hiddenButton="1"/>
    <filterColumn colId="1" hiddenButton="1"/>
  </autoFilter>
  <tableColumns count="2">
    <tableColumn id="1" xr3:uid="{055E6137-24C0-4B23-B62F-FD7A6498CB6B}" name="Gas">
      <calculatedColumnFormula array="1">Common_InputFunctions.Utility_DisplayArrayInTable(Common_SourceData.Common_SourceData_GWP_Data(), Table_GWPData[[#Headers],[Gas]], 0)</calculatedColumnFormula>
    </tableColumn>
    <tableColumn id="2" xr3:uid="{F02ABF89-4B82-4B37-A184-D27A92530E3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F254599-24BB-4A60-B9F2-D5922FC18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6C6B492-3C75-42E9-BDB3-383AE032C42B}" name="Gas">
      <calculatedColumnFormula array="1">Common_InputFunctions.Utility_DisplayArrayInTable(Common_SourceData.Common_SourceData_ConvertGasElementalToMolecular_Data(),Table_GasToMolecularConversionFactor[[#Headers],[Gas]], 0)</calculatedColumnFormula>
    </tableColumn>
    <tableColumn id="5" xr3:uid="{36940A80-9410-4B0B-AD88-18C0ADB67E22}" name="Conversion factor">
      <calculatedColumnFormula array="1">Common_InputFunctions.Utility_DisplayArrayInTable(Common_SourceData.Common_SourceData_ConvertGasElementalToMolecular_Data(),Table_GasToMolecularConversionFactor[[#Headers],[Gas]], 0)</calculatedColumnFormula>
    </tableColumn>
    <tableColumn id="2" xr3:uid="{56DCEEA1-97F7-4AEF-9C87-9BD77C2D177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4DAF970-C775-47E2-9B2C-F9495E6C5D2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51D9E3-A05C-4FB8-AB84-49D33F00BF2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40B1C8-74D0-4C31-88BC-32D45E68D42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A26A4C2-8E78-4726-BA63-698E8E0BA24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C268598-F274-41DA-8892-E466A9DE9497}"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1AD04A1C-DB01-4C9E-BCD5-B7194E2F9CB8}"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2074850A-C3CC-40A3-A0AD-CDC1309207A1}"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604BACD1-BA9D-4741-A49A-5226F77836F8}"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2707F6F7-ABD9-4779-9853-3C3A79BD3181}"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60BAD0EB-73A7-41FB-B23D-E22C4A268F2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3B193449-8EF3-4E3E-AB43-742845653363}"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CD0C8DB5-3FB1-4A05-938C-8BDD89A29A58}"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F573F67-4198-4957-8891-5C33C047C293}"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891836B-6B41-4C7F-91D8-5A335BB10AA7}"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5E313A81-3941-4684-B16D-94F55B8007EB}"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A2125259-D89A-4BA2-A97E-895D1223FF82}"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3C0D1B67-CFDB-4677-8F5F-4227F92A370A}"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ED050E57-3D91-4A80-9F61-D8917E882E4A}"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CE459763-6B40-4176-9360-CF9DE0130FC6}"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5A88837-A1B7-40E5-800B-F2CF2B896C3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3084658-D31E-4148-9EC5-ED4D063693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BA22F25-94F8-435E-8656-31D9989B8C3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128BB59-E877-4190-AEF6-11AD923081B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9716885-0E03-45B9-ABFE-8BB0CC0782E5}" name="Temperature Zone">
      <calculatedColumnFormula array="1">Common_InputFunctions.Utility_DisplayArrayInTable(Common_SourceData.Common_SourceData_TemperatureZones_Data(),Table_SourceData_TemperatureZones[[#Headers],[Temperature Zone]],0)</calculatedColumnFormula>
    </tableColumn>
    <tableColumn id="2" xr3:uid="{3EAA9D7F-08DE-4953-B01E-F9D70456EA7E}" name="MAT">
      <calculatedColumnFormula array="1">Common_InputFunctions.Utility_DisplayArrayInTable(Common_SourceData.Common_SourceData_TemperatureZones_Data(),Table_SourceData_TemperatureZones[[#Headers],[Temperature Zone]],0)</calculatedColumnFormula>
    </tableColumn>
    <tableColumn id="3" xr3:uid="{DD5AC1C1-0F8D-4350-BCCC-6995CA422AE4}" name="Min MAT">
      <calculatedColumnFormula array="1">Common_InputFunctions.Utility_DisplayArrayInTable(Common_SourceData.Common_SourceData_TemperatureZones_Data(),Table_SourceData_TemperatureZones[[#Headers],[Temperature Zone]],0)</calculatedColumnFormula>
    </tableColumn>
    <tableColumn id="4" xr3:uid="{58820687-B306-441F-8136-9036082614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7081B80-7FD4-4D98-AC47-CD7543C3A03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9CD9BB9-2171-4E67-B9B6-21B123FA1B69}" name="Rainfall Zone">
      <calculatedColumnFormula array="1">Common_InputFunctions.Utility_DisplayArrayInTable(Common_SourceData.Common_SourceData_RainfallZones_Data(),Table_SourceData_RainfallZones[[#Headers],[Rainfall Zone]],0)</calculatedColumnFormula>
    </tableColumn>
    <tableColumn id="2" xr3:uid="{33743EEB-FE0F-442C-A3C3-9090E704F6DF}" name="Annual rainfall">
      <calculatedColumnFormula array="1">Common_InputFunctions.Utility_DisplayArrayInTable(Common_SourceData.Common_SourceData_RainfallZones_Data(),Table_SourceData_RainfallZones[[#Headers],[Rainfall Zone]],0)</calculatedColumnFormula>
    </tableColumn>
    <tableColumn id="3" xr3:uid="{FB36B090-8B4F-498F-810B-CE0F15D18335}" name="Min rainfall">
      <calculatedColumnFormula array="1">Common_InputFunctions.Utility_DisplayArrayInTable(Common_SourceData.Common_SourceData_RainfallZones_Data(),Table_SourceData_RainfallZones[[#Headers],[Rainfall Zone]],0)</calculatedColumnFormula>
    </tableColumn>
    <tableColumn id="4" xr3:uid="{5649DC37-517D-4BB2-A59F-A5527C3DEDB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8D1CA58-8DD5-4DBD-8EC4-01FC618E4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F856DAA-3E4F-4081-95BD-D3B18500D1FF}" name="Leaching Zone">
      <calculatedColumnFormula array="1">Common_InputFunctions.Utility_DisplayArrayInTable(Common_SourceData.Common_SourceData_LeachingZones_Data(), Table_SourceData_LeachingZones[[#Headers],[Leaching Zone]], 0)</calculatedColumnFormula>
    </tableColumn>
    <tableColumn id="2" xr3:uid="{226870E2-A037-49B3-ABA5-3ACA5B6202E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0045FA6-FB22-4B73-AB52-0CB8D8478E4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ADB1BD4-AA35-40E9-90E9-CA274C2AFE85}" name="Data source">
      <calculatedColumnFormula array="1">Common_InputFunctions.Utility_DisplayArrayInTable(Common_SourceData.Common_SourceData_DataScores_Scope3_Data(), Table_SourceData_DataScores_Scope3[[#Headers],[Data source]], 0)</calculatedColumnFormula>
    </tableColumn>
    <tableColumn id="2" xr3:uid="{CF6BA90C-9C6C-458F-93C1-D259720C0C7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3364BDE-6DE9-4C0C-9AC6-0A44A332C680}" name="Table_SourceData_FracWET" displayName="Table_SourceData_FracWET" ref="D134:E136" totalsRowShown="0">
  <autoFilter ref="D134:E136" xr:uid="{308E99BE-FE1F-47A4-B2CA-97217277C4E9}">
    <filterColumn colId="0" hiddenButton="1"/>
    <filterColumn colId="1" hiddenButton="1"/>
  </autoFilter>
  <tableColumns count="2">
    <tableColumn id="1" xr3:uid="{4F389808-F31D-4034-AD4B-662900D74906}" name="Is in leaching zone">
      <calculatedColumnFormula array="1">Common_InputFunctions.Utility_DisplayArrayInTable(Common_SourceData.Common_SourceData_FracWET_Data(),Table_SourceData_FracWET[[#Headers],[Is in leaching zone]],0)</calculatedColumnFormula>
    </tableColumn>
    <tableColumn id="2" xr3:uid="{7656A28A-A695-4883-9C7A-D369DE5EDA33}"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D52A799-BC36-4B32-A233-E3C9129F3CE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003EB2C-5828-45C7-939E-8B5145ED792B}" name="Production system j">
      <calculatedColumnFormula array="1">Common_InputFunctions.Utility_DisplayArrayInTable(Common_SourceData.Common_SourceData_EFN2O_Data(), Table_SourceData_Common_EFN2O[[#Headers],[Production system j]], 0)</calculatedColumnFormula>
    </tableColumn>
    <tableColumn id="2" xr3:uid="{A5C427DC-6B89-428F-B087-3D81ED2B2DE5}" name="EFN2O">
      <calculatedColumnFormula array="1">Common_InputFunctions.Utility_DisplayArrayInTable(Common_SourceData.Common_SourceData_EFN2O_Data(), Table_SourceData_Common_EFN2O[[#Headers],[Production system j]], 0)</calculatedColumnFormula>
    </tableColumn>
    <tableColumn id="3" xr3:uid="{67A034F4-B9F4-4D1E-9595-2EF20F33D947}" name="Production system only">
      <calculatedColumnFormula array="1">Common_InputFunctions.Utility_DisplayArrayInTable(Common_SourceData.Common_SourceData_EFN2O_Data(), Table_SourceData_Common_EFN2O[[#Headers],[Production system j]], 0)</calculatedColumnFormula>
    </tableColumn>
    <tableColumn id="4" xr3:uid="{639E9A01-233F-4781-84B6-69EDBCB01E53}" name="Irrigation method">
      <calculatedColumnFormula array="1">Common_InputFunctions.Utility_DisplayArrayInTable(Common_SourceData.Common_SourceData_EFN2O_Data(), Table_SourceData_Common_EFN2O[[#Headers],[Production system j]], 0)</calculatedColumnFormula>
    </tableColumn>
    <tableColumn id="5" xr3:uid="{BE45B7E3-8DF9-447E-B459-CB610783841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BCB1B26-06C1-4B16-B564-B5DA2FA3EE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58CEC23-FEC0-40D8-B812-866FF76D299B}" name="Irrigation type i">
      <calculatedColumnFormula array="1">Common_InputFunctions.Utility_DisplayArrayInTable(Common_SourceData.Common_SourceData_FracWETIrrigation_Data(), Table_SourceData_FracWETIrrigation[[#Headers],[Irrigation type i]], 0)</calculatedColumnFormula>
    </tableColumn>
    <tableColumn id="2" xr3:uid="{BDB35183-26A8-47E5-8AAC-9B5F49F0249A}"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950AFA-4B42-4A85-9EF1-7E9A1DBB35B2}"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B51473C-6B5D-4A89-B0EA-2EE4A9717B3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105ACA8-15AE-46DF-A770-9E8ECF766FB4}"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3AB11C0-702F-4A17-848A-FE7B9A9459C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B2F5404-B974-4598-93A5-DC5D6ED613EC}" name="Month">
      <calculatedColumnFormula array="1">Common_InputFunctions.Utility_DisplayArrayInTable(Common_SourceData.Common_SourceData_MonthsToSeasons_Data(), Table_SourceData_Common_MonthToSeason[[#Headers],[Month]], 0)</calculatedColumnFormula>
    </tableColumn>
    <tableColumn id="2" xr3:uid="{0A1D5F2E-D433-4351-8A33-72101DE4CBCF}"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2AA46B2-BB33-4C29-A258-DA055AD21CE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95A6AF7-BECB-4B91-97BB-B2F1AD0100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368161D-6E38-40A3-AF02-7F24A4AE2E20}"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286F75-7812-4FB7-826F-C6EA6D7B3A91}"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F630324-19F8-4733-A958-945E4F2383B6}"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2F1466D-A863-4922-9B33-79DA98CF71F9}"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4CEF460-CD2F-4921-AF52-EB64B0661EB2}"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8ED0545-9CE1-4290-AF36-9BEE6D9CB84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438CBCA-46BE-4B38-97BF-B1B7C5EE9330}"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384F033-CE89-4C01-97A7-29A150F4A6E6}"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3099F03-48F5-44DA-91FE-6AAE33207F41}"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6E633E-9C1F-41A0-888C-5075CE3AF7A8}"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20690F-D9F5-4734-9F91-F51129C64D9A}"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345C7B7-B4A5-471E-8467-4F6CCEAAFC4C}"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1602C-68FB-4F72-91D6-59252A5110E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C6C2480-622D-47D3-81C6-3C7A0C7C9C02}"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1B7BCD7-4801-48C0-9AC3-7D11388AAFDE}"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B80AFA6-DF04-4EC8-9824-C90ECACA11C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4A93D00-9EBE-4F68-85E0-5A3A3742515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175E17D-948E-47D6-84F5-B05D43DFEC3A}"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 ca="1">VEERG_3_1_1_1__1_TotalAnnualMethaneFromEntericFermentation_Result</f>
        <v>35.420230000000004</v>
      </c>
      <c r="F7" s="98">
        <f ca="1">'3.1.1.1-2 Enteric Methane'!N67</f>
        <v>35.420230000000004</v>
      </c>
      <c r="G7" s="52" t="str">
        <f>'3.1.1.1-2 Enteric Methane'!F67</f>
        <v>t CH4</v>
      </c>
      <c r="H7" s="98">
        <f ca="1">'3.1.1.1-2 Enteric Methane'!E72</f>
        <v>991.7664400000001</v>
      </c>
      <c r="I7" s="98">
        <f ca="1">'3.1.1.1-2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 ca="1">SUM(H7:H7)</f>
        <v>991.7664400000001</v>
      </c>
      <c r="I8" s="99">
        <f ca="1">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E9" sqref="E9"/>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3" zoomScaleNormal="100" workbookViewId="0">
      <selection activeCell="D60" sqref="D6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cm="1">
        <f t="array" aca="1" ref="D20:F20" ca="1">OFFSET(X_Table_Feedlot_Intake_Method1, 1,1, 1,3)</f>
        <v>10.4</v>
      </c>
      <c r="E20" s="50">
        <f ca="1"/>
        <v>10.8</v>
      </c>
      <c r="F20" s="50">
        <f ca="1"/>
        <v>8.1999999999999993</v>
      </c>
      <c r="G20" s="2" t="str">
        <f>$G$13</f>
        <v>kg DM/head/day</v>
      </c>
      <c r="M20" s="50" cm="1">
        <f t="array" aca="1" ref="M20:O20" ca="1">OFFSET(X_Table_Feedlot_Intake_Method2, 1,1, 1,3)</f>
        <v>10.4</v>
      </c>
      <c r="N20" s="50">
        <f ca="1"/>
        <v>10.8</v>
      </c>
      <c r="O20" s="50">
        <f ca="1"/>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cm="1">
        <f t="array" aca="1" ref="D25:F25" ca="1">OFFSET(X_Table_Feedlot_Intake_Method1, 2,1, 1,3)</f>
        <v>4.8</v>
      </c>
      <c r="E25" s="50">
        <f ca="1"/>
        <v>5</v>
      </c>
      <c r="F25" s="50">
        <f ca="1"/>
        <v>5.5</v>
      </c>
      <c r="G25" s="2" t="str">
        <f>$G$14</f>
        <v>per cent</v>
      </c>
      <c r="M25" s="50" cm="1">
        <f t="array" aca="1" ref="M25:O25" ca="1">OFFSET(X_Table_Feedlot_Intake_Method2, 2,1, 1,3)</f>
        <v>4.8</v>
      </c>
      <c r="N25" s="50">
        <f ca="1"/>
        <v>5</v>
      </c>
      <c r="O25" s="50">
        <f ca="1"/>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cm="1">
        <f t="array" aca="1" ref="D30:F30" ca="1">OFFSET(X_Table_Feedlot_Intake_Method1, 3,1, 1,3)</f>
        <v>22</v>
      </c>
      <c r="E30" s="50">
        <f ca="1"/>
        <v>22</v>
      </c>
      <c r="F30" s="50">
        <f ca="1"/>
        <v>24</v>
      </c>
      <c r="G30" s="2" t="str">
        <f>$G$15</f>
        <v>per cent</v>
      </c>
      <c r="M30" s="50" cm="1">
        <f t="array" aca="1" ref="M30:O30" ca="1">OFFSET(X_Table_Feedlot_Intake_Method2, 3,1, 1,3)</f>
        <v>22</v>
      </c>
      <c r="N30" s="50">
        <f ca="1"/>
        <v>22</v>
      </c>
      <c r="O30" s="50">
        <f ca="1"/>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aca="1" ref="D35" ca="1">EntericMethane_Feedlot_Equations.VEERG_3_1_1_1__2_DailyEntericMethaneProduction(D20,D25,D30)</f>
        <v>8.3664000000000002E-2</v>
      </c>
      <c r="E35" s="50" cm="1">
        <f t="array" aca="1" ref="E35" ca="1">EntericMethane_Feedlot_Equations.VEERG_3_1_1_1__2_DailyEntericMethaneProduction(E20,E25,E30)</f>
        <v>8.4908000000000011E-2</v>
      </c>
      <c r="F35" s="50" cm="1">
        <f t="array" aca="1" ref="F35" ca="1">EntericMethane_Feedlot_Equations.VEERG_3_1_1_1__2_DailyEntericMethaneProduction(F20,F25,F30)</f>
        <v>7.4142E-2</v>
      </c>
      <c r="G35" s="2" t="str">
        <f>$E$11</f>
        <v>kg CH4/head/day</v>
      </c>
      <c r="M35" s="50" cm="1">
        <f t="array" aca="1" ref="M35" ca="1">EntericMethane_Feedlot_Equations.VEERG_3_1_1_1__2_DailyEntericMethaneProduction(M20,M25,M30)</f>
        <v>8.3664000000000002E-2</v>
      </c>
      <c r="N35" s="50" cm="1">
        <f t="array" aca="1" ref="N35" ca="1">EntericMethane_Feedlot_Equations.VEERG_3_1_1_1__2_DailyEntericMethaneProduction(N20,N25,N30)</f>
        <v>8.4908000000000011E-2</v>
      </c>
      <c r="O35" s="50"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cm="1">
        <f t="array" aca="1" ref="D55:F55" ca="1">OFFSET(X_Table_Feedlot_HerdMovement, 2, 1, 1, 3)</f>
        <v>90</v>
      </c>
      <c r="E55" s="88">
        <f ca="1"/>
        <v>140</v>
      </c>
      <c r="F55" s="88">
        <f ca="1"/>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cm="1">
        <f t="array" aca="1" ref="D60:F60" ca="1">OFFSET(X_Table_Feedlot_HerdMovement, 1, 1, 1, 3)</f>
        <v>4300</v>
      </c>
      <c r="E60" s="88">
        <f ca="1"/>
        <v>100</v>
      </c>
      <c r="F60" s="88">
        <f ca="1"/>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aca="1" ref="D65" ca="1">EntericMethane_Feedlot_Equations.VEERG_3_1_1_1__1_TotalAnnualMethaneFromEntericFermentation(D55,D35,D60)</f>
        <v>32.377968000000003</v>
      </c>
      <c r="E65" s="50" cm="1">
        <f t="array" aca="1" ref="E65" ca="1">EntericMethane_Feedlot_Equations.VEERG_3_1_1_1__1_TotalAnnualMethaneFromEntericFermentation(E55,E35,E60)</f>
        <v>1.1887120000000002</v>
      </c>
      <c r="F65" s="50" cm="1">
        <f t="array" aca="1" ref="F65" ca="1">EntericMethane_Feedlot_Equations.VEERG_3_1_1_1__1_TotalAnnualMethaneFromEntericFermentation(F55,F35,F60)</f>
        <v>1.85355</v>
      </c>
      <c r="G65" s="2" t="str">
        <f>$E$46</f>
        <v>t CH4</v>
      </c>
      <c r="M65" s="50" cm="1">
        <f t="array" aca="1" ref="M65" ca="1">EntericMethane_Feedlot_Equations.VEERG_3_1_1_1__1_TotalAnnualMethaneFromEntericFermentation(D55,M35,D60)</f>
        <v>32.377968000000003</v>
      </c>
      <c r="N65" s="50" cm="1">
        <f t="array" aca="1" ref="N65" ca="1">EntericMethane_Feedlot_Equations.VEERG_3_1_1_1__1_TotalAnnualMethaneFromEntericFermentation(E55,N35,E60)</f>
        <v>1.1887120000000002</v>
      </c>
      <c r="O65" s="50"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 ca="1">SUM(D65:F65)</f>
        <v>35.420230000000004</v>
      </c>
      <c r="F67" s="91" t="str">
        <f>$E$46</f>
        <v>t CH4</v>
      </c>
      <c r="M67" s="89" t="s">
        <v>176</v>
      </c>
      <c r="N67" s="90">
        <f ca="1">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 ca="1">E67</f>
        <v>35.420230000000004</v>
      </c>
      <c r="H69" s="2" t="str">
        <f>$E$46</f>
        <v>t CH4</v>
      </c>
      <c r="M69" s="55" t="str" cm="1">
        <f t="array" ref="M69:N70">Common_Equations.Common_ConvertCH4ToCO2e_Arguments()</f>
        <v>ECH4</v>
      </c>
      <c r="N69" s="56" t="str">
        <v>Methane emissions (t CH4)</v>
      </c>
      <c r="O69" s="92"/>
      <c r="P69" s="50">
        <f ca="1">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aca="1" ref="E72" ca="1">Common_Equations.Common_ConvertCH4ToCO2e(G69,G70)</f>
        <v>991.7664400000001</v>
      </c>
      <c r="F72" s="93" t="str" cm="1">
        <f t="array" ref="F72">Common_Equations.Common_ConvertN2OToCO2e_Unit()</f>
        <v>t CO2e</v>
      </c>
      <c r="M72" s="45" t="s">
        <v>113</v>
      </c>
      <c r="N72" s="45" cm="1">
        <f t="array" aca="1" ref="N72" ca="1">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B95B-C0DB-451C-A358-2843E0D0A2E6}">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25</vt:i4>
      </vt:variant>
    </vt:vector>
  </HeadingPairs>
  <TitlesOfParts>
    <vt:vector size="36"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