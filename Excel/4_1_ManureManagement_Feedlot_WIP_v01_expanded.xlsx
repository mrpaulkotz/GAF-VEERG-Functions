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DFAB45F6-A8BA-46C0-B81A-35D364E7A2F7}" xr6:coauthVersionLast="47" xr6:coauthVersionMax="47" xr10:uidLastSave="{00000000-0000-0000-0000-000000000000}"/>
  <bookViews>
    <workbookView xWindow="630" yWindow="375" windowWidth="37755" windowHeight="20445" firstSheet="2" activeTab="4" xr2:uid="{992023F3-CAB7-4E5B-A348-08D563A0EF40}"/>
  </bookViews>
  <sheets>
    <sheet name="Home" sheetId="71" r:id="rId1"/>
    <sheet name="Results" sheetId="13" r:id="rId2"/>
    <sheet name="Input - Site" sheetId="15" r:id="rId3"/>
    <sheet name="Input - MMS - Feedlot" sheetId="70" r:id="rId4"/>
    <sheet name="Calcs - CH4 MMS Feedlot" sheetId="69" r:id="rId5"/>
    <sheet name="Constants - Common" sheetId="1" r:id="rId6"/>
    <sheet name="Constants - Livestock" sheetId="43" r:id="rId7"/>
    <sheet name="Acknowledgements" sheetId="72" r:id="rId8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 localSheetId="4">_xlfn.LAMBDA(_xlpm.avgTemp,_xlpm.avgRain,_xlpm.frostDays,_xlpm.elev,_xlpm.map_pet, _xlfn.LET(_xlpm.mask, (VALUE(Table_SourceData_ClimateZones[Max temp]) &lt;= _xlpm.avgTemp) * (VALUE(Table_SourceData_ClimateZones[Max temp]) &gt;= _xlpm.avgTemp) * (VALUE(Table_SourceData_ClimateZones[Min rainfall]) &lt;= _xlpm.avgRain) * (VALUE(Table_SourceData_ClimateZones[Max rainfall]) &gt;= _xlpm.avgRain) * (VALUE(Table_SourceData_ClimateZones[Min frost days]) &lt;= _xlpm.frostDays) * (VALUE(Table_SourceData_ClimateZones[Max frost days]) &gt;= _xlpm.frostDays) * (VALUE(Table_SourceData_ClimateZones[Min elevation]) &lt;= _xlpm.elev) * (VALUE(Table_SourceData_ClimateZones[Max elevation]) &gt;= _xlpm.elev) * (VALUE(Table_SourceData_ClimateZones[Min MAP:PET]) &lt;= _xlpm.map_pet) * (VALUE(Table_SourceData_ClimateZones[Max MAP:PET]) &gt;= _xlpm.map_pet), _xlfn.TAKE(_xlfn._xlws.FILTER(Table_SourceData_ClimateZones[Climate zone], _xlpm.mask, "No match"), 1)))</definedName>
    <definedName name="Common_InputFunctions.Utility_GetClimateZone" localSheetId="3">_xlfn.LAMBDA(_xlpm.avgTemp,_xlpm.avgRain,_xlpm.frostDays,_xlpm.elev,_xlpm.map_pet, _xlfn.LET(_xlpm.mask, (VALUE(#REF!) &lt;= _xlpm.avgTemp) * (VALUE(#REF!) &gt;= _xlpm.avgTemp) * (VALUE(#REF!) &lt;= _xlpm.avgRain) * (VALUE(#REF!) &gt;= _xlpm.avgRain) * (VALUE(#REF!) &lt;= _xlpm.frostDays) * (VALUE(#REF!) &gt;= _xlpm.frostDays) * (VALUE(#REF!) &lt;= _xlpm.elev) * (VALUE(#REF!) &gt;= _xlpm.elev) * (VALUE(#REF!) &lt;= _xlpm.map_pet) * (VALUE(#REF!) &gt;= _xlpm.map_pet), _xlfn.TAKE(_xlfn._xlws.FILTER(#REF!, _xlpm.mask, "No match"), 1)))</definedName>
    <definedName name="Common_InputFunctions.Utility_GetClimateZone">_xlfn.LAMBDA(_xlpm.avgTemp,_xlpm.avgRain,_xlpm.frostDays,_xlpm.elev,_xlpm.map_pet, _xlfn.LET(_xlpm.mask, (VALUE(Table_SourceData_ClimateZones[Max temp]) &lt;= _xlpm.avgTemp) * (VALUE(Table_SourceData_ClimateZones[Max temp]) &gt;= _xlpm.avgTemp) * (VALUE(Table_SourceData_ClimateZones[Min rainfall]) &lt;= _xlpm.avgRain) * (VALUE(Table_SourceData_ClimateZones[Max rainfall]) &gt;= _xlpm.avgRain) * (VALUE(Table_SourceData_ClimateZones[Min frost days]) &lt;= _xlpm.frostDays) * (VALUE(Table_SourceData_ClimateZones[Max frost days]) &gt;= _xlpm.frostDays) * (VALUE(Table_SourceData_ClimateZones[Min elevation]) &lt;= _xlpm.elev) * (VALUE(Table_SourceData_ClimateZones[Max elevation]) &gt;= _xlpm.elev) * (VALUE(Table_SourceData_ClimateZones[Min MAP:PET]) &lt;= _xlpm.map_pet) * (VALUE(Table_SourceData_ClimateZones[Max MAP:PET]) &gt;= _xlpm.map_pet), _xlfn.TAKE(_xlfn._xlws.FILTER(Table_SourceData_ClimateZones[Climate zone],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AgSoils_Equations.AgSoils_AtmosphericDeposition">_xlfn.LAMBDA(_xlpm.Mvolm,_xlpm.Efad,_xlpm.CgN2O, (_xlpm.Mvolm * _xlpm.Efad * _xlpm.CgN2O * 10 ^ -3))</definedName>
    <definedName name="CommonAgSoils_Equations.AgSoils_AtmosphericDeposition_Arguments">_xlfn.LAMBDA(_xlfn.MAKEARRAY(3, 3, _xlfn.LAMBDA(_xlpm.r,_xlpm.c, INDEX({"Mvolm","Mass of nitrogen volatilised from urine and faeces deposited on pasture","kg N";"EFad","Emission factor for atmospheric deposition","kg N2O-N/kg N";"CgN2O","Factor to convert elemental mass of N2O to molecular mass",""}, _xlpm.r, _xlpm.c))))</definedName>
    <definedName name="CommonAgSoils_Equations.AgSoils_AtmosphericDeposition_GWP">_xlfn.LAMBDA(_xlpm.EN2Oad,_xlpm.GWPN2O, (_xlpm.EN2Oad * _xlpm.GWPN2O))</definedName>
    <definedName name="CommonAgSoils_Equations.AgSoils_AtmosphericDeposition_NIRReference">_xlfn.LAMBDA("National Inventory Report Volume 1, 2023: 3.D.B_4")</definedName>
    <definedName name="CommonAgSoils_Equations.AgSoils_AtmosphericDeposition_ReadableEquation">_xlfn.LAMBDA("EN2Oad = Mvolm * EFad * CgN2O * 10 ^ - 3")</definedName>
    <definedName name="CommonAgSoils_Equations.AgSoils_AtmosphericDeposition_Title">_xlfn.LAMBDA("Atmospheric deposition emissions from urine and dung deposited by grazing animals on pasture, range and paddock")</definedName>
    <definedName name="CommonAgSoils_Equations.AgSoils_AtmosphericDeposition_Unit">_xlfn.LAMBDA("t N2O")</definedName>
    <definedName name="CommonAgSoils_Equations.AgSoils_AtmosphericDeposition_Variable">_xlfn.LAMBDA("EN2Oad")</definedName>
    <definedName name="CommonAgSoils_Equations.AgSoils_LeachingAndRunoff">_xlfn.LAMBDA(_xlpm.Mleach,_xlpm.EFleach,_xlpm.CgN2O, (_xlpm.Mleach * _xlpm.EFleach * _xlpm.CgN2O * 10 ^ -3))</definedName>
    <definedName name="CommonAgSoils_Equations.AgSoils_LeachingAndRunoff_Arguments">_xlfn.LAMBDA(_xlfn.MAKEARRAY(3, 3, _xlfn.LAMBDA(_xlpm.r,_xlpm.c, INDEX({"Mleach","Mass of nitrogen lost to leached and run off","kg N";"EFleach","Emission factor for leaching and runoff","kg N2O-N/kg N";"CgN2O","Factor to convert elemental mass of N2O to molecular mass",""}, _xlpm.r, _xlpm.c))))</definedName>
    <definedName name="CommonAgSoils_Equations.AgSoils_LeachingAndRunoff_GWP">_xlfn.LAMBDA(_xlpm.EN2Oleach,_xlpm.GWPN2O, (_xlpm.EN2Oleach * _xlpm.GWPN2O))</definedName>
    <definedName name="CommonAgSoils_Equations.AgSoils_LeachingAndRunoff_NIRReference">_xlfn.LAMBDA("National Inventory Report Volume 1, 2023: 3.D.B_10")</definedName>
    <definedName name="CommonAgSoils_Equations.AgSoils_LeachingAndRunoff_ReadableEquation">_xlfn.LAMBDA("EN2Oleach = Mleach * EFleach * CgN2O * 10 ^ - 3")</definedName>
    <definedName name="CommonAgSoils_Equations.AgSoils_LeachingAndRunoff_Title">_xlfn.LAMBDA("Leaching and runoff emissions from crop residue,inorganic and organic fertiliser applied to soil, urine and dung deposited on pasture")</definedName>
    <definedName name="CommonAgSoils_Equations.AgSoils_LeachingAndRunoff_Unit">_xlfn.LAMBDA("t N2O")</definedName>
    <definedName name="CommonAgSoils_Equations.AgSoils_LeachingAndRunoff_Variable">_xlfn.LAMBDA("EN2Oleach")</definedName>
    <definedName name="CommonAgSoils_Equations.AgSoils_MassAnimalWasteNLost">_xlfn.LAMBDA(_xlpm.MNjm,_xlpm.UNjm,_xlpm.FNjm,_xlpm.FracWET,_xlpm.FracLEACH, (_xlpm.MNjm + _xlpm.UNjm + _xlpm.FNjm) * _xlpm.FracWET * _xlpm.FracLEACH)</definedName>
    <definedName name="CommonAgSoils_Equations.AgSoils_MassAnimalWasteNLost_Arguments">_xlfn.LAMBDA(_xlfn.MAKEARRAY(3, 3, _xlfn.LAMBDA(_xlpm.r,_xlpm.c, INDEX({"MNjm","Mass of nitrogen in manure applied to soils","kg N";"UNjm","Mass of nitrogen in urine deposited on pasture, range and paddock","kg N";"FNjm","Mass of nitrogen in dung deposited on pasture,range and paddock","kg N";"FracWET","Fraction of nitrogen available for leaching and runoff in the climate zone of the entity","fraction";"FracLEACH","Fraction of nitrogen that is lost through leaching and runoff","fraction"}, _xlpm.r, _xlpm.c))))</definedName>
    <definedName name="CommonAgSoils_Equations.AgSoils_MassAnimalWasteNLost_NIRReference">_xlfn.LAMBDA("National Inventory Report Volume 1, 2023: 3.D.B_6")</definedName>
    <definedName name="CommonAgSoils_Equations.AgSoils_MassAnimalWasteNLost_ReadableEquation">_xlfn.LAMBDA("Mleachanimalwaste=(MNjm+UNjm+FNjm)*FracWET*FracLEACH")</definedName>
    <definedName name="CommonAgSoils_Equations.AgSoils_MassAnimalWasteNLost_Title">_xlfn.LAMBDA("Mass of nitrogen lost from manure, urine and dung to leaching and runoff")</definedName>
    <definedName name="CommonAgSoils_Equations.AgSoils_MassAnimalWasteNLost_Unit">_xlfn.LAMBDA("kg N")</definedName>
    <definedName name="CommonAgSoils_Equations.AgSoils_MassAnimalWasteNLost_Variable">_xlfn.LAMBDA("Mleachanimalwaste")</definedName>
    <definedName name="CommonAgSoils_Equations.AgSoils_MassCropResidueNLost">_xlfn.LAMBDA(_xlpm.M,_xlpm.FracWET,_xlpm.FracLEACH, _xlpm.M * _xlpm.FracWET * _xlpm.FracLEACH)</definedName>
    <definedName name="CommonAgSoils_Equations.AgSoils_MassCropResidueNLost_Arguments">_xlfn.LAMBDA(_xlfn.MAKEARRAY(3, 3, _xlfn.LAMBDA(_xlpm.r,_xlpm.c, INDEX({"M","Mass of nitrogen in crop residue applied to soils","kg N";"FracWET","Fraction of nitrogen available for leaching and runoff in the climate zone of the entity","fraction";"FracLEACH","Fraction of nitrogen that is lost through leaching and runoff","fraction"}, _xlpm.r, _xlpm.c))))</definedName>
    <definedName name="CommonAgSoils_Equations.AgSoils_MassCropResidueNLost_NIRReference">_xlfn.LAMBDA("National Inventory Report Volume 1, 2023: 3.D.B_8")</definedName>
    <definedName name="CommonAgSoils_Equations.AgSoils_MassCropResidueNLost_ReadableEquation">_xlfn.LAMBDA("Mleachresidue = M * FracWET * FracLEACH")</definedName>
    <definedName name="CommonAgSoils_Equations.AgSoils_MassCropResidueNLost_Title">_xlfn.LAMBDA("Mass of nitrogen lost from crop residue to leaching and runoff")</definedName>
    <definedName name="CommonAgSoils_Equations.AgSoils_MassCropResidueNLost_Unit">_xlfn.LAMBDA("kg N")</definedName>
    <definedName name="CommonAgSoils_Equations.AgSoils_MassCropResidueNLost_Variable">_xlfn.LAMBDA("Mleachresidue")</definedName>
    <definedName name="CommonAgSoils_Equations.AgSoils_MassInorganicFertiliserNLost">_xlfn.LAMBDA(_xlpm.M,_xlpm.FracWET,_xlpm.FracLEACH, _xlpm.M * _xlpm.FracWET * _xlpm.FracLEACH)</definedName>
    <definedName name="CommonAgSoils_Equations.AgSoils_MassInorganicFertiliserNLost_Arguments">_xlfn.LAMBDA(_xlfn.MAKEARRAY(3, 3, _xlfn.LAMBDA(_xlpm.r,_xlpm.c, INDEX({"M","Mass of nitrogen in inorganic fertiliser applied to soils","kg N";"FracWET","Fraction of nitrogen available for leaching and runoff in the climate zone of the entity","fraction";"FracLEACH","Fraction of nitrogen that is lost through leaching and runoff","fraction"}, _xlpm.r, _xlpm.c))))</definedName>
    <definedName name="CommonAgSoils_Equations.AgSoils_MassInorganicFertiliserNLost_NIRReference">_xlfn.LAMBDA("National Inventory Report Volume 1, 2023: 3.D.B_5")</definedName>
    <definedName name="CommonAgSoils_Equations.AgSoils_MassInorganicFertiliserNLost_ReadableEquation">_xlfn.LAMBDA("Mleachinorganic = M * FracWET * FracLEACH")</definedName>
    <definedName name="CommonAgSoils_Equations.AgSoils_MassInorganicFertiliserNLost_Title">_xlfn.LAMBDA("Mass of nitrogen lost from inorganic fertiliser to leaching and runoff")</definedName>
    <definedName name="CommonAgSoils_Equations.AgSoils_MassInorganicFertiliserNLost_Unit">_xlfn.LAMBDA("kg N")</definedName>
    <definedName name="CommonAgSoils_Equations.AgSoils_MassInorganicFertiliserNLost_Variable">_xlfn.LAMBDA("Mleachinorganic")</definedName>
    <definedName name="CommonAgSoils_Equations.AgSoils_MassVolatilisedAnimalWaste">_xlfn.LAMBDA(_xlpm.MNjm,_xlpm.UNjm,_xlpm.FNjm,_xlpm.FracGASMsoil, (_xlpm.MNjm + _xlpm.UNjm + _xlpm.FNjm) * _xlpm.FracGASMsoil)</definedName>
    <definedName name="CommonAgSoils_Equations.AgSoils_MassVolatilisedAnimalWaste_Arguments">_xlfn.LAMBDA(_xlfn.MAKEARRAY(4, 3, _xlfn.LAMBDA(_xlpm.r,_xlpm.c, INDEX({"MNjm","Mass of manure nitrogen applied to soils","kg N";"UNjm","Mass of urine nitrogen excreted on pasture, range and paddock for each dairy cattle class","kg N";"FNjm","Mass of faecal nitrogen excreted on pasture, range and paddock for each dairy cattle class","kg N";"FracGASMsoil","Fraction of nitrogen volatilised from urine and faeces deposited on pasture","(kg NH3-N + NOx-N)/kg N"}, _xlpm.r, _xlpm.c))))</definedName>
    <definedName name="CommonAgSoils_Equations.AgSoils_MassVolatilisedAnimalWaste_NIRReference">_xlfn.LAMBDA("National Inventory Report Volume 1, 2023: 3.D.B_2")</definedName>
    <definedName name="CommonAgSoils_Equations.AgSoils_MassVolatilisedAnimalWaste_ReadableEquation">_xlfn.LAMBDA("Mvolm = (MNjm + UNjm + FNjm) * FracGASMsoil")</definedName>
    <definedName name="CommonAgSoils_Equations.AgSoils_MassVolatilisedAnimalWaste_Title">_xlfn.LAMBDA("Mass of nitrogen volatilised from manure, urine and faeces deposited on soils")</definedName>
    <definedName name="CommonAgSoils_Equations.AgSoils_MassVolatilisedAnimalWaste_Unit">_xlfn.LAMBDA("kg N")</definedName>
    <definedName name="CommonAgSoils_Equations.AgSoils_MassVolatilisedAnimalWaste_Variable">_xlfn.LAMBDA("Mvolm")</definedName>
    <definedName name="CommonAgSoils_Equations.Agsoils_MassVolatilisedInorganicFertiliser">_xlfn.LAMBDA(_xlpm.MNf,_xlpm.FracGASFf, _xlpm.MNf * _xlpm.FracGASFf)</definedName>
    <definedName name="CommonAgSoils_Equations.Agsoils_MassVolatilisedInorganicFertiliser_Arguments">_xlfn.LAMBDA(_xlfn.MAKEARRAY(2, 3, _xlfn.LAMBDA(_xlpm.r,_xlpm.c, INDEX({"MNf","Mass of nitrogen in inorganic fertiliser applied","kg N";"FracGASFf","Fraction of inorganic fertiliser that volatilises","(kg NH3–N + NOx–N)/kg N"}, _xlpm.r, _xlpm.c))))</definedName>
    <definedName name="CommonAgSoils_Equations.Agsoils_MassVolatilisedInorganicFertiliser_NIRReference">_xlfn.LAMBDA("National Inventory Report Volume 1, 2023: 3.D.B_1")</definedName>
    <definedName name="CommonAgSoils_Equations.Agsoils_MassVolatilisedInorganicFertiliser_ReadableEquation">_xlfn.LAMBDA("Mvolinorganic = MNf * FracGASFf")</definedName>
    <definedName name="CommonAgSoils_Equations.Agsoils_MassVolatilisedInorganicFertiliser_Title">_xlfn.LAMBDA("Mass of nitrogen volatilised from inorganic fertiliser deposited on soils")</definedName>
    <definedName name="CommonAgSoils_Equations.Agsoils_MassVolatilisedInorganicFertiliser_Unit">_xlfn.LAMBDA("kg N")</definedName>
    <definedName name="CommonAgSoils_Equations.Agsoils_MassVolatilisedInorganicFertiliser_Variable">_xlfn.LAMBDA("Mvolinorganic")</definedName>
    <definedName name="CommonAgSoils_Equations.AgSoils_UrineAndDungDeposited">_xlfn.LAMBDA(_xlpm.AFjm,_xlpm.AUjm,_xlpm.EFPRP,_xlpm.CgN2O, ((_xlpm.AFjm * _xlpm.EFPRP * _xlpm.CgN2O) + (_xlpm.AUjm * _xlpm.EFPRP * _xlpm.CgN2O)) * 10 ^ -3)</definedName>
    <definedName name="CommonAgSoils_Equations.AgSoils_UrineAndDungDeposited_Arguments">_xlfn.LAMBDA(_xlfn.MAKEARRAY(4, 3, _xlfn.LAMBDA(_xlpm.r,_xlpm.c, INDEX({"AFjm","mass of N in dung deposited on pasture, range and paddock","kg N";"AUjm","mass of N in urine deposited on pasture, range and paddock","kg N";"EFPRP","direct N2O emission factor for pasture, range and paddock","kg N2O-N/kg N";"CgN2O","factor to convert elemental mass of N2O to molecular mass",""}, _xlpm.r, _xlpm.c))))</definedName>
    <definedName name="CommonAgSoils_Equations.AgSoils_UrineAndDungDeposited_GWP">_xlfn.LAMBDA(_xlpm.EN2Odir,_xlpm.GWPN2O, (_xlpm.EN2Odir * _xlpm.GWPN2O))</definedName>
    <definedName name="CommonAgSoils_Equations.AgSoils_UrineAndDungDeposited_NIRReference">_xlfn.LAMBDA("National Inventory Report Volume 1, 2023: 3.D.a.3")</definedName>
    <definedName name="CommonAgSoils_Equations.AgSoils_UrineAndDungDeposited_ReadableEquation">_xlfn.LAMBDA("EN2Odir = ((AFjm=14 * EFPRP * CgN2O) + (AUjm=14 * EFPRP * CgN2O)) * 10^-3")</definedName>
    <definedName name="CommonAgSoils_Equations.AgSoils_UrineAndDungDeposited_Title">_xlfn.LAMBDA("Nitrous oxide production from urine and dung deposited by grazing animals on pasture, range and paddock")</definedName>
    <definedName name="CommonAgSoils_Equations.AgSoils_UrineAndDungDeposited_Unit">_xlfn.LAMBDA("t N2O")</definedName>
    <definedName name="CommonAgSoils_Equations.AgSoils_UrineAndDungDeposited_Variable">_xlfn.LAMBDA("EN2Odir")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Methane_Equations.VEERG_4_1_1_1__1_TotalAnnualMethaneEmissions">_xlfn.LAMBDA(_xlpm.Dj,_xlpm.MjmT,_xlpm.Nj, SUMPRODUCT(_xlpm.Dj, _xlpm.MjmT, _xlpm.Nj) * 10 ^ -3)</definedName>
    <definedName name="MMS_Feedlot_Methane_Equations.VEERG_4_1_1_1__1_TotalAnnualMethaneEmissions_Arguments">_xlfn.LAMBDA(_xlfn.MAKEARRAY(3, 2, _xlfn.LAMBDA(_xlpm.r,_xlpm.c, INDEX({"Dj","length of stay of each cattle group : days";"MjmT","methane production from manure per cattle group, MMS, and treatment stage : kg CH4/head/day";"Nj","numbers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_xlfn.LAMBDA("ECH4")</definedName>
    <definedName name="MMS_Feedlot_Methane_Equations.VEERG_4_1_1_1__2_Stage1MethaneProductionDrylot">_xlfn.LAMBDA(_xlpm.VSj,_xlpm.BO,_xlpm.MMSm5T1,_xlpm.MCFim5,_xlpm.rho, _xlfn.LET(_xlpm.MCFim5, IF(ISNUMBER(_xlpm.MCFim5), _xlpm.MCFim5, 0), _xlpm.VSj * _xlpm.BO * _xlpm.MMSm5T1 * _xlpm.MCFim5 * _xlpm.rho))</definedName>
    <definedName name="MMS_Feedlot_Methane_Equations.VEERG_4_1_1_1__2_Stage1MethaneProductionDrylot_Arguments">_xlfn.LAMBDA(_xlfn.MAKEARRAY(6, 2, _xlfn.LAMBDA(_xlpm.r,_xlpm.c, INDEX({"VSj","volatile solid production from feedlot cattle in each group : kg/head/day";"BO","emissions potential : m3 CH4/kg VS";"MMSm5T1","fraction of manure in primary system drylot MMS : fraction";"MCFim5","methane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_xlfn.LAMBDA("Mjm5T1")</definedName>
    <definedName name="MMS_Feedlot_Methane_Equations.VEERG_4_1_1_1__3_Stage2MethaneProduction">_xlfn.LAMBDA(_xlpm.VSL,_xlpm.VSj,_xlpm.BO,_xlpm.MMSmT2,_xlpm.MCFim,_xlpm.rho, (1 - _xlpm.VSL) * _xlpm.VSj * _xlpm.BO * _xlpm.MMSmT2 * _xlpm.MCFim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fraction";"VSj","volatile solid production from feedlot cattle in each group : kg/head/day";"BO","emissions potential : m3 CH4/kg VS";"MMSmT2","fraction of manure in each secondary system : fraction";"MCFim","methane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_xlfn.LAMBDA("MjmT2")</definedName>
    <definedName name="MMS_Feedlot_Methane_Equations.VEERG_4_1_1_1__4_Stage3MethaneProductionAnaerobicLagoon">_xlfn.LAMBDA(_xlpm.VSj,_xlpm.BO,_xlpm.MMSm1T3,_xlpm.MCFim1,_xlpm.rho, _xlpm.VSj * _xlpm.BO * _xlpm.MMSm1T3 * _xlpm.MCFim1 * _xlpm.rho)</definedName>
    <definedName name="MMS_Feedlot_Methane_Equations.VEERG_4_1_1_1__4_Stage3MethaneProductionAnaerobicLagoon_Arguments">_xlfn.LAMBDA(_xlfn.MAKEARRAY(6, 2, _xlfn.LAMBDA(_xlpm.r,_xlpm.c, INDEX({"VSj","volatile solid production from feedlot cattle in each group : kg/head/day";"BO","emissions potential : m3 CH4/kg VS";"MMSm1T3","fraction of manure to tertiary anaerobic lagoon system : fraction";"MCFim1","methane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_xlfn.LAMBDA("Mjm1T3")</definedName>
    <definedName name="MMS_Feedlot_Methane_Equations.VEERG_4_1_1_1__5_VolatileSolidProduction">_xlfn.LAMBDA(_xlpm.Ij,_xlpm.DMDj,_xlpm.A, _xlpm.Ij * (1 - _xlpm.DMDj) * (1 - _xlpm.A))</definedName>
    <definedName name="MMS_Feedlot_Methane_Equations.VEERG_4_1_1_1__5_VolatileSolidProduction_Arguments">_xlfn.LAMBDA(_xlfn.MAKEARRAY(3, 2, _xlfn.LAMBDA(_xlpm.r,_xlpm.c, INDEX({"Ij","dry matter intake for each group : kg DM/head/day";"DMDj","dry matter digestibility for each group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_xlfn.LAMBDA("VSj")</definedName>
    <definedName name="Range_LivestockStartingValues">#REF!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LivestockClasses">_xlfn.LAMBDA(_xlfn.MAKEARRAY(3, 1, _xlfn.LAMBDA(_xlpm.r,_xlpm.c, INDEX({"Domestic (70-80 days)";"Export mid fed (80-200 days)";"Export long fed (200+ days)"},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A.1.7.4: Feedlot - MCFs")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3" i="69" l="1"/>
  <c r="F123" i="69"/>
  <c r="E123" i="69"/>
  <c r="H96" i="69"/>
  <c r="G96" i="69"/>
  <c r="F96" i="69"/>
  <c r="H95" i="69"/>
  <c r="G95" i="69"/>
  <c r="F95" i="69"/>
  <c r="H94" i="69"/>
  <c r="G94" i="69"/>
  <c r="F94" i="69"/>
  <c r="G57" i="69"/>
  <c r="F57" i="69"/>
  <c r="E57" i="69"/>
  <c r="F30" i="69"/>
  <c r="E30" i="69"/>
  <c r="D30" i="69"/>
  <c r="E134" i="69" a="1"/>
  <c r="E134" i="69" s="1"/>
  <c r="E133" i="69" a="1"/>
  <c r="E133" i="69"/>
  <c r="D128" i="69" a="1"/>
  <c r="D128" i="69" s="1"/>
  <c r="D136" i="69" a="1"/>
  <c r="D136" i="69" s="1"/>
  <c r="D127" i="69" a="1"/>
  <c r="D127" i="69" s="1"/>
  <c r="H123" i="69"/>
  <c r="I96" i="69"/>
  <c r="I95" i="69"/>
  <c r="I94" i="69"/>
  <c r="D96" i="69"/>
  <c r="D95" i="69"/>
  <c r="D94" i="69"/>
  <c r="G30" i="69"/>
  <c r="H57" i="69"/>
  <c r="D123" i="69"/>
  <c r="G30" i="70"/>
  <c r="G118" i="69" s="1"/>
  <c r="F30" i="70"/>
  <c r="F118" i="69" s="1"/>
  <c r="E30" i="70"/>
  <c r="E118" i="69" s="1"/>
  <c r="D118" i="69"/>
  <c r="H110" i="69"/>
  <c r="H112" i="69"/>
  <c r="H109" i="69"/>
  <c r="H108" i="69"/>
  <c r="D101" i="69" a="1"/>
  <c r="D101" i="69" s="1"/>
  <c r="E105" i="69" a="1"/>
  <c r="E105" i="69"/>
  <c r="E106" i="69" a="1"/>
  <c r="E106" i="69" s="1"/>
  <c r="D108" i="69" a="1"/>
  <c r="D108" i="69" s="1"/>
  <c r="D100" i="69" a="1"/>
  <c r="D100" i="69" s="1"/>
  <c r="G13" i="69"/>
  <c r="G14" i="69"/>
  <c r="G42" i="69"/>
  <c r="G70" i="69"/>
  <c r="G44" i="69"/>
  <c r="G73" i="69"/>
  <c r="G72" i="69"/>
  <c r="A17" i="69"/>
  <c r="A16" i="69"/>
  <c r="A15" i="69"/>
  <c r="A11" i="69"/>
  <c r="A8" i="69"/>
  <c r="A7" i="69"/>
  <c r="A4" i="69"/>
  <c r="A3" i="69"/>
  <c r="A16" i="15"/>
  <c r="A15" i="15"/>
  <c r="A14" i="15"/>
  <c r="A11" i="15"/>
  <c r="A8" i="15"/>
  <c r="A7" i="15"/>
  <c r="A4" i="15"/>
  <c r="A3" i="15"/>
  <c r="A16" i="13"/>
  <c r="A15" i="13"/>
  <c r="A14" i="13"/>
  <c r="A11" i="13"/>
  <c r="A8" i="13"/>
  <c r="A7" i="13"/>
  <c r="A4" i="13"/>
  <c r="A3" i="13"/>
  <c r="A16" i="70"/>
  <c r="A3" i="70"/>
  <c r="E164" i="1" a="1"/>
  <c r="E164" i="1" s="1"/>
  <c r="D164" i="1" a="1"/>
  <c r="D164" i="1" s="1"/>
  <c r="D163" i="1" a="1"/>
  <c r="D163" i="1" s="1"/>
  <c r="D162" i="1" a="1"/>
  <c r="D162" i="1" s="1"/>
  <c r="D159" i="1" a="1"/>
  <c r="D159" i="1" s="1"/>
  <c r="D158" i="1" a="1"/>
  <c r="D158" i="1" s="1"/>
  <c r="D157" i="1"/>
  <c r="D157" i="1" a="1"/>
  <c r="D156" i="1" a="1"/>
  <c r="D156" i="1" s="1"/>
  <c r="D153" i="1" a="1"/>
  <c r="D153" i="1" s="1"/>
  <c r="D152" i="1" a="1"/>
  <c r="D152" i="1" s="1"/>
  <c r="D151" i="1" a="1"/>
  <c r="D151" i="1" s="1"/>
  <c r="D150" i="1" a="1"/>
  <c r="D150" i="1" s="1"/>
  <c r="E147" i="1" a="1"/>
  <c r="E147" i="1" s="1"/>
  <c r="D147" i="1" a="1"/>
  <c r="D147" i="1" s="1"/>
  <c r="E146" i="1" a="1"/>
  <c r="E146" i="1" s="1"/>
  <c r="D146" i="1" a="1"/>
  <c r="D146" i="1" s="1"/>
  <c r="E145" i="1" a="1"/>
  <c r="E145" i="1" s="1"/>
  <c r="D145" i="1" a="1"/>
  <c r="D145" i="1" s="1"/>
  <c r="E144" i="1" a="1"/>
  <c r="E144" i="1" s="1"/>
  <c r="D144" i="1" a="1"/>
  <c r="D144" i="1" s="1"/>
  <c r="E143" i="1" a="1"/>
  <c r="E143" i="1" s="1"/>
  <c r="D143" i="1" a="1"/>
  <c r="D143" i="1" s="1"/>
  <c r="D140" i="1" a="1"/>
  <c r="D140" i="1" s="1"/>
  <c r="D139" i="1" a="1"/>
  <c r="D139" i="1" s="1"/>
  <c r="E136" i="1" a="1"/>
  <c r="E136" i="1" s="1"/>
  <c r="D136" i="1" a="1"/>
  <c r="D136" i="1" s="1"/>
  <c r="E135" i="1" a="1"/>
  <c r="E135" i="1" s="1"/>
  <c r="D135" i="1" a="1"/>
  <c r="D135" i="1" s="1"/>
  <c r="D133" i="1" a="1"/>
  <c r="D133" i="1" s="1"/>
  <c r="D132" i="1" a="1"/>
  <c r="D132" i="1" s="1"/>
  <c r="E129" i="1" a="1"/>
  <c r="E129" i="1" s="1"/>
  <c r="D129" i="1" a="1"/>
  <c r="D129" i="1" s="1"/>
  <c r="E128" i="1" a="1"/>
  <c r="E128" i="1" s="1"/>
  <c r="D128" i="1" a="1"/>
  <c r="D128" i="1" s="1"/>
  <c r="D125" i="1" a="1"/>
  <c r="D125" i="1" s="1"/>
  <c r="D124" i="1" a="1"/>
  <c r="D124" i="1" s="1"/>
  <c r="G121" i="1" a="1"/>
  <c r="G121" i="1" s="1"/>
  <c r="F121" i="1" a="1"/>
  <c r="F121" i="1" s="1"/>
  <c r="E121" i="1" a="1"/>
  <c r="E121" i="1" s="1"/>
  <c r="D121" i="1" a="1"/>
  <c r="D121" i="1" s="1"/>
  <c r="G120" i="1" a="1"/>
  <c r="G120" i="1" s="1"/>
  <c r="F120" i="1" a="1"/>
  <c r="F120" i="1" s="1"/>
  <c r="E120" i="1" a="1"/>
  <c r="E120" i="1" s="1"/>
  <c r="D120" i="1" a="1"/>
  <c r="D120" i="1" s="1"/>
  <c r="D117" i="1" a="1"/>
  <c r="D117" i="1" s="1"/>
  <c r="D116" i="1" a="1"/>
  <c r="D116" i="1" s="1"/>
  <c r="D115" i="1" a="1"/>
  <c r="D115" i="1" s="1"/>
  <c r="G112" i="1" a="1"/>
  <c r="G112" i="1" s="1"/>
  <c r="F112" i="1" a="1"/>
  <c r="F112" i="1" s="1"/>
  <c r="E112" i="1" a="1"/>
  <c r="E112" i="1" s="1"/>
  <c r="D112" i="1" a="1"/>
  <c r="D112" i="1" s="1"/>
  <c r="G111" i="1" a="1"/>
  <c r="G111" i="1" s="1"/>
  <c r="F111" i="1" a="1"/>
  <c r="F111" i="1" s="1"/>
  <c r="E111" i="1" a="1"/>
  <c r="E111" i="1" s="1"/>
  <c r="D111" i="1" a="1"/>
  <c r="D111" i="1" s="1"/>
  <c r="G110" i="1" a="1"/>
  <c r="G110" i="1" s="1"/>
  <c r="F110" i="1" a="1"/>
  <c r="F110" i="1" s="1"/>
  <c r="E110" i="1" a="1"/>
  <c r="E110" i="1" s="1"/>
  <c r="D110" i="1" a="1"/>
  <c r="D110" i="1" s="1"/>
  <c r="D107" i="1" a="1"/>
  <c r="D107" i="1" s="1"/>
  <c r="D106" i="1" a="1"/>
  <c r="D106" i="1" s="1"/>
  <c r="D105" i="1" a="1"/>
  <c r="D105" i="1" s="1"/>
  <c r="D98" i="1" a="1"/>
  <c r="D98" i="1" s="1"/>
  <c r="S97" i="1" a="1"/>
  <c r="S97" i="1" s="1"/>
  <c r="R97" i="1" a="1"/>
  <c r="R97" i="1" s="1"/>
  <c r="Q97" i="1" a="1"/>
  <c r="Q97" i="1" s="1"/>
  <c r="P97" i="1" a="1"/>
  <c r="P97" i="1" s="1"/>
  <c r="O97" i="1" a="1"/>
  <c r="O97" i="1" s="1"/>
  <c r="N97" i="1" a="1"/>
  <c r="N97" i="1" s="1"/>
  <c r="M97" i="1" a="1"/>
  <c r="M97" i="1" s="1"/>
  <c r="L97" i="1" a="1"/>
  <c r="L97" i="1" s="1"/>
  <c r="K97" i="1" a="1"/>
  <c r="K97" i="1" s="1"/>
  <c r="J97" i="1" a="1"/>
  <c r="J97" i="1" s="1"/>
  <c r="I97" i="1" a="1"/>
  <c r="I97" i="1" s="1"/>
  <c r="H97" i="1" a="1"/>
  <c r="H97" i="1" s="1"/>
  <c r="G97" i="1" a="1"/>
  <c r="G97" i="1" s="1"/>
  <c r="F97" i="1" a="1"/>
  <c r="F97" i="1" s="1"/>
  <c r="E97" i="1" a="1"/>
  <c r="E97" i="1" s="1"/>
  <c r="D97" i="1" a="1"/>
  <c r="D97" i="1" s="1"/>
  <c r="S96" i="1" a="1"/>
  <c r="S96" i="1" s="1"/>
  <c r="R96" i="1" a="1"/>
  <c r="R96" i="1" s="1"/>
  <c r="Q96" i="1" a="1"/>
  <c r="Q96" i="1" s="1"/>
  <c r="P96" i="1" a="1"/>
  <c r="P96" i="1" s="1"/>
  <c r="O96" i="1" a="1"/>
  <c r="O96" i="1" s="1"/>
  <c r="N96" i="1" a="1"/>
  <c r="N96" i="1" s="1"/>
  <c r="M96" i="1" a="1"/>
  <c r="M96" i="1" s="1"/>
  <c r="L96" i="1" a="1"/>
  <c r="L96" i="1" s="1"/>
  <c r="K96" i="1" a="1"/>
  <c r="K96" i="1" s="1"/>
  <c r="J96" i="1" a="1"/>
  <c r="J96" i="1" s="1"/>
  <c r="I96" i="1" a="1"/>
  <c r="I96" i="1" s="1"/>
  <c r="H96" i="1" a="1"/>
  <c r="H96" i="1" s="1"/>
  <c r="G96" i="1" a="1"/>
  <c r="G96" i="1" s="1"/>
  <c r="F96" i="1" a="1"/>
  <c r="F96" i="1" s="1"/>
  <c r="E96" i="1" a="1"/>
  <c r="E96" i="1" s="1"/>
  <c r="D96" i="1" a="1"/>
  <c r="D96" i="1" s="1"/>
  <c r="S95" i="1" a="1"/>
  <c r="S95" i="1" s="1"/>
  <c r="R95" i="1" a="1"/>
  <c r="R95" i="1" s="1"/>
  <c r="Q95" i="1" a="1"/>
  <c r="Q95" i="1" s="1"/>
  <c r="P95" i="1" a="1"/>
  <c r="P95" i="1" s="1"/>
  <c r="O95" i="1" a="1"/>
  <c r="O95" i="1" s="1"/>
  <c r="N95" i="1" a="1"/>
  <c r="N95" i="1" s="1"/>
  <c r="M95" i="1" a="1"/>
  <c r="M95" i="1" s="1"/>
  <c r="L95" i="1" a="1"/>
  <c r="L95" i="1" s="1"/>
  <c r="K95" i="1" a="1"/>
  <c r="K95" i="1" s="1"/>
  <c r="J95" i="1" a="1"/>
  <c r="J95" i="1" s="1"/>
  <c r="I95" i="1" a="1"/>
  <c r="I95" i="1" s="1"/>
  <c r="H95" i="1" a="1"/>
  <c r="H95" i="1" s="1"/>
  <c r="G95" i="1" a="1"/>
  <c r="G95" i="1" s="1"/>
  <c r="F95" i="1" a="1"/>
  <c r="F95" i="1" s="1"/>
  <c r="E95" i="1" a="1"/>
  <c r="E95" i="1" s="1"/>
  <c r="D95" i="1" a="1"/>
  <c r="D95" i="1" s="1"/>
  <c r="S94" i="1" a="1"/>
  <c r="S94" i="1" s="1"/>
  <c r="R94" i="1" a="1"/>
  <c r="R94" i="1" s="1"/>
  <c r="Q94" i="1" a="1"/>
  <c r="Q94" i="1" s="1"/>
  <c r="P94" i="1" a="1"/>
  <c r="P94" i="1" s="1"/>
  <c r="O94" i="1" a="1"/>
  <c r="O94" i="1" s="1"/>
  <c r="N94" i="1" a="1"/>
  <c r="N94" i="1" s="1"/>
  <c r="M94" i="1" a="1"/>
  <c r="M94" i="1" s="1"/>
  <c r="L94" i="1" a="1"/>
  <c r="L94" i="1" s="1"/>
  <c r="K94" i="1" a="1"/>
  <c r="K94" i="1" s="1"/>
  <c r="J94" i="1" a="1"/>
  <c r="J94" i="1" s="1"/>
  <c r="I94" i="1" a="1"/>
  <c r="I94" i="1" s="1"/>
  <c r="H94" i="1" a="1"/>
  <c r="H94" i="1" s="1"/>
  <c r="G94" i="1" a="1"/>
  <c r="G94" i="1" s="1"/>
  <c r="F94" i="1" a="1"/>
  <c r="F94" i="1" s="1"/>
  <c r="E94" i="1" a="1"/>
  <c r="E94" i="1" s="1"/>
  <c r="D94" i="1" a="1"/>
  <c r="D94" i="1" s="1"/>
  <c r="S93" i="1" a="1"/>
  <c r="S93" i="1" s="1"/>
  <c r="R93" i="1" a="1"/>
  <c r="R93" i="1" s="1"/>
  <c r="Q93" i="1" a="1"/>
  <c r="Q93" i="1" s="1"/>
  <c r="P93" i="1" a="1"/>
  <c r="P93" i="1" s="1"/>
  <c r="O93" i="1" a="1"/>
  <c r="O93" i="1" s="1"/>
  <c r="N93" i="1" a="1"/>
  <c r="N93" i="1" s="1"/>
  <c r="M93" i="1" a="1"/>
  <c r="M93" i="1" s="1"/>
  <c r="L93" i="1" a="1"/>
  <c r="L93" i="1" s="1"/>
  <c r="K93" i="1" a="1"/>
  <c r="K93" i="1" s="1"/>
  <c r="J93" i="1" a="1"/>
  <c r="J93" i="1" s="1"/>
  <c r="I93" i="1" a="1"/>
  <c r="I93" i="1" s="1"/>
  <c r="H93" i="1" a="1"/>
  <c r="H93" i="1" s="1"/>
  <c r="G93" i="1" a="1"/>
  <c r="G93" i="1" s="1"/>
  <c r="F93" i="1" a="1"/>
  <c r="F93" i="1" s="1"/>
  <c r="E93" i="1" a="1"/>
  <c r="E93" i="1" s="1"/>
  <c r="D93" i="1" a="1"/>
  <c r="D93" i="1" s="1"/>
  <c r="S92" i="1" a="1"/>
  <c r="S92" i="1" s="1"/>
  <c r="R92" i="1" a="1"/>
  <c r="R92" i="1" s="1"/>
  <c r="Q92" i="1" a="1"/>
  <c r="Q92" i="1" s="1"/>
  <c r="P92" i="1" a="1"/>
  <c r="P92" i="1" s="1"/>
  <c r="O92" i="1" a="1"/>
  <c r="O92" i="1" s="1"/>
  <c r="N92" i="1" a="1"/>
  <c r="N92" i="1" s="1"/>
  <c r="M92" i="1" a="1"/>
  <c r="M92" i="1" s="1"/>
  <c r="L92" i="1" a="1"/>
  <c r="L92" i="1" s="1"/>
  <c r="K92" i="1" a="1"/>
  <c r="K92" i="1" s="1"/>
  <c r="J92" i="1" a="1"/>
  <c r="J92" i="1" s="1"/>
  <c r="I92" i="1" a="1"/>
  <c r="I92" i="1" s="1"/>
  <c r="H92" i="1" a="1"/>
  <c r="H92" i="1" s="1"/>
  <c r="G92" i="1" a="1"/>
  <c r="G92" i="1" s="1"/>
  <c r="F92" i="1" a="1"/>
  <c r="F92" i="1" s="1"/>
  <c r="E92" i="1" a="1"/>
  <c r="E92" i="1" s="1"/>
  <c r="D92" i="1" a="1"/>
  <c r="D92" i="1" s="1"/>
  <c r="S91" i="1" a="1"/>
  <c r="S91" i="1" s="1"/>
  <c r="R91" i="1" a="1"/>
  <c r="R91" i="1" s="1"/>
  <c r="Q91" i="1" a="1"/>
  <c r="Q91" i="1" s="1"/>
  <c r="P91" i="1" a="1"/>
  <c r="P91" i="1" s="1"/>
  <c r="O91" i="1" a="1"/>
  <c r="O91" i="1" s="1"/>
  <c r="N91" i="1" a="1"/>
  <c r="N91" i="1" s="1"/>
  <c r="M91" i="1" a="1"/>
  <c r="M91" i="1" s="1"/>
  <c r="L91" i="1" a="1"/>
  <c r="L91" i="1" s="1"/>
  <c r="K91" i="1" a="1"/>
  <c r="K91" i="1" s="1"/>
  <c r="J91" i="1" a="1"/>
  <c r="J91" i="1" s="1"/>
  <c r="I91" i="1" a="1"/>
  <c r="I91" i="1" s="1"/>
  <c r="H91" i="1" a="1"/>
  <c r="H91" i="1" s="1"/>
  <c r="G91" i="1" a="1"/>
  <c r="G91" i="1" s="1"/>
  <c r="F91" i="1" a="1"/>
  <c r="F91" i="1" s="1"/>
  <c r="E91" i="1" a="1"/>
  <c r="E91" i="1" s="1"/>
  <c r="D91" i="1" a="1"/>
  <c r="D91" i="1" s="1"/>
  <c r="S90" i="1" a="1"/>
  <c r="S90" i="1" s="1"/>
  <c r="R90" i="1" a="1"/>
  <c r="R90" i="1" s="1"/>
  <c r="Q90" i="1" a="1"/>
  <c r="Q90" i="1" s="1"/>
  <c r="P90" i="1" a="1"/>
  <c r="P90" i="1" s="1"/>
  <c r="O90" i="1" a="1"/>
  <c r="O90" i="1" s="1"/>
  <c r="N90" i="1" a="1"/>
  <c r="N90" i="1" s="1"/>
  <c r="M90" i="1" a="1"/>
  <c r="M90" i="1" s="1"/>
  <c r="L90" i="1" a="1"/>
  <c r="L90" i="1" s="1"/>
  <c r="K90" i="1" a="1"/>
  <c r="K90" i="1" s="1"/>
  <c r="J90" i="1" a="1"/>
  <c r="J90" i="1" s="1"/>
  <c r="I90" i="1" a="1"/>
  <c r="I90" i="1" s="1"/>
  <c r="H90" i="1" a="1"/>
  <c r="H90" i="1" s="1"/>
  <c r="G90" i="1" a="1"/>
  <c r="G90" i="1" s="1"/>
  <c r="F90" i="1" a="1"/>
  <c r="F90" i="1" s="1"/>
  <c r="E90" i="1" a="1"/>
  <c r="E90" i="1" s="1"/>
  <c r="D90" i="1" a="1"/>
  <c r="D90" i="1" s="1"/>
  <c r="D83" i="1" a="1"/>
  <c r="D83" i="1" s="1"/>
  <c r="D82" i="1" a="1"/>
  <c r="D82" i="1" s="1"/>
  <c r="D81" i="1" a="1"/>
  <c r="D81" i="1" s="1"/>
  <c r="E77" i="1" a="1"/>
  <c r="E77" i="1" s="1"/>
  <c r="D77" i="1" a="1"/>
  <c r="D77" i="1" s="1"/>
  <c r="E76" i="1" a="1"/>
  <c r="E76" i="1" s="1"/>
  <c r="D76" i="1" a="1"/>
  <c r="D76" i="1" s="1"/>
  <c r="E75" i="1" a="1"/>
  <c r="E75" i="1" s="1"/>
  <c r="D75" i="1" a="1"/>
  <c r="D75" i="1" s="1"/>
  <c r="E74" i="1" a="1"/>
  <c r="E74" i="1" s="1"/>
  <c r="D74" i="1" a="1"/>
  <c r="D74" i="1" s="1"/>
  <c r="E73" i="1" a="1"/>
  <c r="E73" i="1" s="1"/>
  <c r="D73" i="1" a="1"/>
  <c r="D73" i="1" s="1"/>
  <c r="E72" i="1" a="1"/>
  <c r="E72" i="1" s="1"/>
  <c r="D72" i="1" a="1"/>
  <c r="D72" i="1" s="1"/>
  <c r="E71" i="1" a="1"/>
  <c r="E71" i="1" s="1"/>
  <c r="D71" i="1" a="1"/>
  <c r="D71" i="1" s="1"/>
  <c r="E70" i="1" a="1"/>
  <c r="E70" i="1" s="1"/>
  <c r="D70" i="1" a="1"/>
  <c r="D70" i="1" s="1"/>
  <c r="E69" i="1" a="1"/>
  <c r="E69" i="1" s="1"/>
  <c r="D69" i="1" a="1"/>
  <c r="D69" i="1" s="1"/>
  <c r="E68" i="1" a="1"/>
  <c r="E68" i="1" s="1"/>
  <c r="D68" i="1" a="1"/>
  <c r="D68" i="1" s="1"/>
  <c r="E67" i="1" a="1"/>
  <c r="E67" i="1" s="1"/>
  <c r="D67" i="1" a="1"/>
  <c r="D67" i="1" s="1"/>
  <c r="E66" i="1" a="1"/>
  <c r="E66" i="1" s="1"/>
  <c r="D66" i="1" a="1"/>
  <c r="D66" i="1" s="1"/>
  <c r="E65" i="1" a="1"/>
  <c r="E65" i="1" s="1"/>
  <c r="D65" i="1" a="1"/>
  <c r="D65" i="1" s="1"/>
  <c r="E64" i="1" a="1"/>
  <c r="E64" i="1" s="1"/>
  <c r="D64" i="1" a="1"/>
  <c r="D64" i="1" s="1"/>
  <c r="D59" i="1" a="1"/>
  <c r="D59" i="1" s="1"/>
  <c r="D58" i="1" a="1"/>
  <c r="D58" i="1" s="1"/>
  <c r="D57" i="1" a="1"/>
  <c r="D57" i="1" s="1"/>
  <c r="G54" i="1" a="1"/>
  <c r="G54" i="1" s="1"/>
  <c r="F54" i="1" a="1"/>
  <c r="F54" i="1" s="1"/>
  <c r="E54" i="1" a="1"/>
  <c r="E54" i="1" s="1"/>
  <c r="D54" i="1" a="1"/>
  <c r="D54" i="1" s="1"/>
  <c r="G53" i="1" a="1"/>
  <c r="G53" i="1" s="1"/>
  <c r="F53" i="1" a="1"/>
  <c r="F53" i="1" s="1"/>
  <c r="E53" i="1" a="1"/>
  <c r="E53" i="1" s="1"/>
  <c r="D53" i="1" a="1"/>
  <c r="D53" i="1" s="1"/>
  <c r="G52" i="1" a="1"/>
  <c r="G52" i="1" s="1"/>
  <c r="F52" i="1" a="1"/>
  <c r="F52" i="1" s="1"/>
  <c r="E52" i="1" a="1"/>
  <c r="E52" i="1" s="1"/>
  <c r="D52" i="1" a="1"/>
  <c r="D52" i="1" s="1"/>
  <c r="G51" i="1" a="1"/>
  <c r="G51" i="1" s="1"/>
  <c r="F51" i="1" a="1"/>
  <c r="F51" i="1" s="1"/>
  <c r="E51" i="1" a="1"/>
  <c r="E51" i="1" s="1"/>
  <c r="D51" i="1" a="1"/>
  <c r="D51" i="1" s="1"/>
  <c r="G50" i="1" a="1"/>
  <c r="G50" i="1" s="1"/>
  <c r="F50" i="1" a="1"/>
  <c r="F50" i="1" s="1"/>
  <c r="E50" i="1" a="1"/>
  <c r="E50" i="1" s="1"/>
  <c r="D50" i="1" a="1"/>
  <c r="D50" i="1" s="1"/>
  <c r="G49" i="1" a="1"/>
  <c r="G49" i="1" s="1"/>
  <c r="F49" i="1" a="1"/>
  <c r="F49" i="1" s="1"/>
  <c r="E49" i="1" a="1"/>
  <c r="E49" i="1" s="1"/>
  <c r="D49" i="1" a="1"/>
  <c r="D49" i="1" s="1"/>
  <c r="G48" i="1" a="1"/>
  <c r="G48" i="1" s="1"/>
  <c r="F48" i="1" a="1"/>
  <c r="F48" i="1" s="1"/>
  <c r="E48" i="1" a="1"/>
  <c r="E48" i="1" s="1"/>
  <c r="D48" i="1" a="1"/>
  <c r="D48" i="1" s="1"/>
  <c r="D46" i="1"/>
  <c r="D46" i="1" a="1"/>
  <c r="D45" i="1"/>
  <c r="D45" i="1" a="1"/>
  <c r="E43" i="1" a="1"/>
  <c r="E43" i="1" s="1"/>
  <c r="D43" i="1" a="1"/>
  <c r="D43" i="1" s="1"/>
  <c r="E42" i="1" a="1"/>
  <c r="E42" i="1" s="1"/>
  <c r="D42" i="1" a="1"/>
  <c r="D42" i="1" s="1"/>
  <c r="E41" i="1" a="1"/>
  <c r="E41" i="1" s="1"/>
  <c r="D41" i="1" a="1"/>
  <c r="D41" i="1" s="1"/>
  <c r="E40" i="1" a="1"/>
  <c r="E40" i="1" s="1"/>
  <c r="D40" i="1" a="1"/>
  <c r="D40" i="1" s="1"/>
  <c r="E39" i="1" a="1"/>
  <c r="E39" i="1" s="1"/>
  <c r="D39" i="1" a="1"/>
  <c r="D39" i="1" s="1"/>
  <c r="E38" i="1" a="1"/>
  <c r="E38" i="1" s="1"/>
  <c r="D38" i="1" a="1"/>
  <c r="D38" i="1" s="1"/>
  <c r="E37" i="1" a="1"/>
  <c r="E37" i="1" s="1"/>
  <c r="D37" i="1" a="1"/>
  <c r="D37" i="1" s="1"/>
  <c r="D35" i="1" a="1"/>
  <c r="D35" i="1" s="1"/>
  <c r="D34" i="1"/>
  <c r="D34" i="1" a="1"/>
  <c r="D30" i="1"/>
  <c r="D30" i="1" a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19" i="1"/>
  <c r="D19" i="1" a="1"/>
  <c r="D18" i="1"/>
  <c r="D18" i="1" a="1"/>
  <c r="F14" i="1" a="1"/>
  <c r="F14" i="1" s="1"/>
  <c r="E14" i="1" a="1"/>
  <c r="E14" i="1" s="1"/>
  <c r="D14" i="1" a="1"/>
  <c r="D14" i="1" s="1"/>
  <c r="F13" i="1" a="1"/>
  <c r="F13" i="1" s="1"/>
  <c r="E13" i="1" a="1"/>
  <c r="E13" i="1" s="1"/>
  <c r="D13" i="1" a="1"/>
  <c r="D13" i="1" s="1"/>
  <c r="F12" i="1" a="1"/>
  <c r="F12" i="1" s="1"/>
  <c r="E12" i="1" a="1"/>
  <c r="E12" i="1" s="1"/>
  <c r="D12" i="1" a="1"/>
  <c r="D12" i="1" s="1"/>
  <c r="F11" i="1" a="1"/>
  <c r="F11" i="1" s="1"/>
  <c r="E11" i="1" a="1"/>
  <c r="E11" i="1" s="1"/>
  <c r="D11" i="1" a="1"/>
  <c r="D11" i="1" s="1"/>
  <c r="F10" i="1" a="1"/>
  <c r="F10" i="1" s="1"/>
  <c r="E10" i="1" a="1"/>
  <c r="E10" i="1" s="1"/>
  <c r="D10" i="1" a="1"/>
  <c r="D10" i="1" s="1"/>
  <c r="F9" i="1" a="1"/>
  <c r="F9" i="1" s="1"/>
  <c r="E9" i="1" a="1"/>
  <c r="E9" i="1" s="1"/>
  <c r="D9" i="1" a="1"/>
  <c r="D9" i="1" s="1"/>
  <c r="F8" i="1" a="1"/>
  <c r="F8" i="1" s="1"/>
  <c r="E8" i="1" a="1"/>
  <c r="E8" i="1" s="1"/>
  <c r="D8" i="1" a="1"/>
  <c r="D8" i="1" s="1"/>
  <c r="F7" i="1" a="1"/>
  <c r="F7" i="1" s="1"/>
  <c r="E7" i="1" a="1"/>
  <c r="E7" i="1" s="1"/>
  <c r="G47" i="69" s="1" a="1"/>
  <c r="G47" i="69" s="1"/>
  <c r="D7" i="1" a="1"/>
  <c r="D7" i="1" s="1"/>
  <c r="D5" i="1"/>
  <c r="D5" i="1" a="1"/>
  <c r="A11" i="70"/>
  <c r="A8" i="70"/>
  <c r="A15" i="70"/>
  <c r="D69" i="69" a="1"/>
  <c r="D69" i="69" s="1"/>
  <c r="E67" i="69" a="1"/>
  <c r="E67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D89" i="69"/>
  <c r="D88" i="69"/>
  <c r="D87" i="69"/>
  <c r="E102" i="69" a="1"/>
  <c r="E63" i="69" a="1"/>
  <c r="E63" i="69" l="1"/>
  <c r="G75" i="69" a="1"/>
  <c r="G75" i="69" s="1"/>
  <c r="H113" i="69" a="1"/>
  <c r="H113" i="69" s="1"/>
  <c r="E102" i="69"/>
  <c r="H54" i="1"/>
  <c r="E31" i="15" a="1"/>
  <c r="E31" i="15" s="1"/>
  <c r="E30" i="15" a="1"/>
  <c r="E30" i="15" s="1"/>
  <c r="H49" i="1"/>
  <c r="H52" i="1"/>
  <c r="H48" i="1"/>
  <c r="H50" i="1"/>
  <c r="H53" i="1"/>
  <c r="H51" i="1"/>
  <c r="H82" i="69"/>
  <c r="G82" i="69"/>
  <c r="F82" i="69"/>
  <c r="H81" i="69"/>
  <c r="G81" i="69"/>
  <c r="F81" i="69"/>
  <c r="H80" i="69"/>
  <c r="G80" i="69"/>
  <c r="F80" i="69"/>
  <c r="D82" i="69"/>
  <c r="D81" i="69"/>
  <c r="D80" i="69"/>
  <c r="G74" i="69"/>
  <c r="D57" i="69"/>
  <c r="G52" i="69"/>
  <c r="F52" i="69"/>
  <c r="E52" i="69"/>
  <c r="D52" i="69"/>
  <c r="D33" i="70"/>
  <c r="D21" i="70"/>
  <c r="G41" i="70"/>
  <c r="F41" i="70"/>
  <c r="E41" i="70"/>
  <c r="G38" i="70"/>
  <c r="F38" i="70"/>
  <c r="E38" i="70"/>
  <c r="G35" i="70"/>
  <c r="F35" i="70"/>
  <c r="E35" i="70"/>
  <c r="M37" i="69" a="1"/>
  <c r="M37" i="69" s="1"/>
  <c r="N37" i="69" a="1"/>
  <c r="N37" i="69" s="1"/>
  <c r="O37" i="69" a="1"/>
  <c r="O37" i="69" s="1"/>
  <c r="P37" i="69" a="1"/>
  <c r="P37" i="69" s="1"/>
  <c r="Q37" i="69" a="1"/>
  <c r="Q37" i="69" s="1"/>
  <c r="R37" i="69" a="1"/>
  <c r="R37" i="69" s="1"/>
  <c r="S37" i="69" a="1"/>
  <c r="S37" i="69" s="1"/>
  <c r="T37" i="69" a="1"/>
  <c r="T37" i="69" s="1"/>
  <c r="U37" i="69" a="1"/>
  <c r="U37" i="69" s="1"/>
  <c r="V37" i="69" a="1"/>
  <c r="V37" i="69" s="1"/>
  <c r="W37" i="69" a="1"/>
  <c r="W37" i="69" s="1"/>
  <c r="M36" i="69" a="1"/>
  <c r="M36" i="69" s="1"/>
  <c r="N36" i="69" a="1"/>
  <c r="N36" i="69" s="1"/>
  <c r="O36" i="69" a="1"/>
  <c r="O36" i="69" s="1"/>
  <c r="P36" i="69" a="1"/>
  <c r="P36" i="69" s="1"/>
  <c r="Q36" i="69" a="1"/>
  <c r="Q36" i="69" s="1"/>
  <c r="R36" i="69" a="1"/>
  <c r="R36" i="69" s="1"/>
  <c r="S36" i="69" a="1"/>
  <c r="S36" i="69" s="1"/>
  <c r="T36" i="69" a="1"/>
  <c r="T36" i="69" s="1"/>
  <c r="U36" i="69" a="1"/>
  <c r="U36" i="69" s="1"/>
  <c r="V36" i="69" a="1"/>
  <c r="V36" i="69" s="1"/>
  <c r="W36" i="69" a="1"/>
  <c r="W36" i="69" s="1"/>
  <c r="M35" i="69" a="1"/>
  <c r="M35" i="69" s="1"/>
  <c r="N35" i="69" a="1"/>
  <c r="N35" i="69" s="1"/>
  <c r="O35" i="69" a="1"/>
  <c r="O35" i="69" s="1"/>
  <c r="P35" i="69" a="1"/>
  <c r="P35" i="69" s="1"/>
  <c r="Q35" i="69" a="1"/>
  <c r="Q35" i="69" s="1"/>
  <c r="R35" i="69" a="1"/>
  <c r="R35" i="69" s="1"/>
  <c r="S35" i="69" a="1"/>
  <c r="S35" i="69" s="1"/>
  <c r="T35" i="69" a="1"/>
  <c r="T35" i="69" s="1"/>
  <c r="U35" i="69" a="1"/>
  <c r="U35" i="69" s="1"/>
  <c r="V35" i="69" a="1"/>
  <c r="V35" i="69" s="1"/>
  <c r="W35" i="69" a="1"/>
  <c r="W35" i="69" s="1"/>
  <c r="M34" i="69" a="1"/>
  <c r="M34" i="69" s="1"/>
  <c r="N34" i="69" a="1"/>
  <c r="N34" i="69" s="1"/>
  <c r="O34" i="69" a="1"/>
  <c r="O34" i="69" s="1"/>
  <c r="P34" i="69" a="1"/>
  <c r="P34" i="69" s="1"/>
  <c r="Q34" i="69" a="1"/>
  <c r="Q34" i="69" s="1"/>
  <c r="R34" i="69" a="1"/>
  <c r="R34" i="69" s="1"/>
  <c r="S34" i="69" a="1"/>
  <c r="S34" i="69" s="1"/>
  <c r="T34" i="69" a="1"/>
  <c r="T34" i="69" s="1"/>
  <c r="U34" i="69" a="1"/>
  <c r="U34" i="69" s="1"/>
  <c r="V34" i="69" a="1"/>
  <c r="V34" i="69" s="1"/>
  <c r="W34" i="69" a="1"/>
  <c r="W34" i="69" s="1"/>
  <c r="W33" i="69" a="1"/>
  <c r="W33" i="69" s="1"/>
  <c r="V33" i="69" a="1"/>
  <c r="V33" i="69" s="1"/>
  <c r="U33" i="69" a="1"/>
  <c r="U33" i="69" s="1"/>
  <c r="T33" i="69" a="1"/>
  <c r="T33" i="69" s="1"/>
  <c r="S33" i="69" a="1"/>
  <c r="S33" i="69" s="1"/>
  <c r="R33" i="69" a="1"/>
  <c r="R33" i="69" s="1"/>
  <c r="Q33" i="69" a="1"/>
  <c r="Q33" i="69" s="1"/>
  <c r="P33" i="69" a="1"/>
  <c r="P33" i="69" s="1"/>
  <c r="O33" i="69" a="1"/>
  <c r="O33" i="69" s="1"/>
  <c r="G45" i="69" s="1"/>
  <c r="N33" i="69" a="1"/>
  <c r="N33" i="69" s="1"/>
  <c r="M33" i="69" a="1"/>
  <c r="M33" i="69" s="1"/>
  <c r="M27" i="69" a="1"/>
  <c r="M27" i="69" s="1"/>
  <c r="M26" i="69" a="1"/>
  <c r="M26" i="69" s="1"/>
  <c r="M25" i="69" a="1"/>
  <c r="M25" i="69" s="1"/>
  <c r="O22" i="69" a="1"/>
  <c r="O22" i="69" s="1"/>
  <c r="N22" i="69" a="1"/>
  <c r="N22" i="69" s="1"/>
  <c r="G43" i="69" s="1"/>
  <c r="M22" i="69" a="1"/>
  <c r="M22" i="69" s="1"/>
  <c r="M21" i="69" a="1"/>
  <c r="M21" i="69" s="1"/>
  <c r="M20" i="69" a="1"/>
  <c r="M20" i="69" s="1"/>
  <c r="G46" i="69"/>
  <c r="F25" i="69"/>
  <c r="E25" i="69"/>
  <c r="D25" i="69"/>
  <c r="F20" i="69"/>
  <c r="E20" i="69"/>
  <c r="D20" i="69"/>
  <c r="A14" i="70"/>
  <c r="A7" i="70"/>
  <c r="A4" i="70"/>
  <c r="O17" i="69" a="1"/>
  <c r="O17" i="69" s="1"/>
  <c r="N17" i="69" a="1"/>
  <c r="N17" i="69" s="1"/>
  <c r="G15" i="69" s="1"/>
  <c r="M17" i="69" a="1"/>
  <c r="M17" i="69" s="1"/>
  <c r="M16" i="69" a="1"/>
  <c r="M16" i="69" s="1"/>
  <c r="M15" i="69" a="1"/>
  <c r="M15" i="69" s="1"/>
  <c r="O12" i="69" a="1"/>
  <c r="O12" i="69" s="1"/>
  <c r="N12" i="69" a="1"/>
  <c r="N12" i="69" s="1"/>
  <c r="M12" i="69" a="1"/>
  <c r="M12" i="69" s="1"/>
  <c r="M11" i="69" a="1"/>
  <c r="M11" i="69" s="1"/>
  <c r="M10" i="69" a="1"/>
  <c r="M10" i="69" s="1"/>
  <c r="M6" i="69" a="1"/>
  <c r="M6" i="69" s="1"/>
  <c r="M7" i="69" a="1"/>
  <c r="M7" i="69" s="1"/>
  <c r="N7" i="69" a="1"/>
  <c r="N7" i="69" s="1"/>
  <c r="G69" i="69" s="1"/>
  <c r="O7" i="69" a="1"/>
  <c r="O7" i="69" s="1"/>
  <c r="M5" i="69" a="1"/>
  <c r="M5" i="69" s="1"/>
  <c r="E36" i="69" a="1"/>
  <c r="E7" i="69" a="1"/>
  <c r="H111" i="69" l="1"/>
  <c r="G71" i="69"/>
  <c r="D58" i="69"/>
  <c r="E36" i="69"/>
  <c r="E7" i="69"/>
  <c r="A11" i="43" l="1"/>
  <c r="A10" i="43"/>
  <c r="J51" i="13"/>
  <c r="J50" i="13"/>
  <c r="J49" i="13"/>
  <c r="J48" i="13"/>
  <c r="J45" i="13"/>
  <c r="J44" i="13"/>
  <c r="J43" i="13"/>
  <c r="H51" i="13"/>
  <c r="H50" i="13"/>
  <c r="H49" i="13"/>
  <c r="H48" i="13"/>
  <c r="H45" i="13"/>
  <c r="H44" i="13"/>
  <c r="H43" i="13"/>
  <c r="A39" i="43" l="1"/>
  <c r="A38" i="43"/>
  <c r="A37" i="43"/>
  <c r="A36" i="43"/>
  <c r="A33" i="43"/>
  <c r="A30" i="43"/>
  <c r="A29" i="43"/>
  <c r="A28" i="43"/>
  <c r="A27" i="43"/>
  <c r="A26" i="43"/>
  <c r="A25" i="43"/>
  <c r="A24" i="43"/>
  <c r="A19" i="43"/>
  <c r="A18" i="43"/>
  <c r="A15" i="43"/>
  <c r="A14" i="43"/>
  <c r="A13" i="43"/>
  <c r="A12" i="43"/>
  <c r="A9" i="43"/>
  <c r="A8" i="43"/>
  <c r="A7" i="43"/>
  <c r="A4" i="43"/>
  <c r="F27" i="43" l="1" a="1"/>
  <c r="F27" i="43" s="1"/>
  <c r="E27" i="43" a="1"/>
  <c r="E27" i="43" s="1"/>
  <c r="D27" i="43" a="1"/>
  <c r="D27" i="43" s="1"/>
  <c r="F26" i="43" a="1"/>
  <c r="F26" i="43" s="1"/>
  <c r="N46" i="69" s="1"/>
  <c r="E26" i="43" a="1"/>
  <c r="E26" i="43" s="1"/>
  <c r="M46" i="69" s="1"/>
  <c r="D24" i="70" s="1"/>
  <c r="E96" i="6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N45" i="69" s="1"/>
  <c r="E17" i="43" a="1"/>
  <c r="E17" i="43" s="1"/>
  <c r="M45" i="69" s="1"/>
  <c r="D23" i="70" s="1"/>
  <c r="E95" i="69" s="1"/>
  <c r="D17" i="43" a="1"/>
  <c r="D17" i="43" s="1"/>
  <c r="F16" i="43" a="1"/>
  <c r="F16" i="43" s="1"/>
  <c r="N43" i="69" s="1"/>
  <c r="E16" i="43" a="1"/>
  <c r="E16" i="43" s="1"/>
  <c r="M43" i="69" s="1"/>
  <c r="D16" i="43" a="1"/>
  <c r="D16" i="43" s="1"/>
  <c r="F15" i="43" a="1"/>
  <c r="F15" i="43" s="1"/>
  <c r="N44" i="69" s="1"/>
  <c r="E15" i="43" a="1"/>
  <c r="E15" i="43" s="1"/>
  <c r="M44" i="69" s="1"/>
  <c r="D22" i="70" s="1"/>
  <c r="E94" i="69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N47" i="69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E87" i="69" l="1"/>
  <c r="F87" i="69" s="1" a="1"/>
  <c r="F87" i="69" s="1"/>
  <c r="E80" i="69"/>
  <c r="D34" i="70"/>
  <c r="D35" i="70"/>
  <c r="D40" i="70"/>
  <c r="E33" i="70"/>
  <c r="D41" i="70"/>
  <c r="G25" i="70"/>
  <c r="E82" i="69"/>
  <c r="F25" i="70"/>
  <c r="E21" i="70"/>
  <c r="E89" i="69"/>
  <c r="F89" i="69" s="1" a="1"/>
  <c r="F89" i="69" s="1"/>
  <c r="E25" i="70"/>
  <c r="M47" i="69"/>
  <c r="D30" i="70" s="1"/>
  <c r="E88" i="69"/>
  <c r="F88" i="69" s="1" a="1"/>
  <c r="F88" i="69" s="1"/>
  <c r="E81" i="69"/>
  <c r="D38" i="70"/>
  <c r="D37" i="70"/>
  <c r="E33" i="15" a="1"/>
  <c r="E33" i="15" s="1"/>
  <c r="I38" i="13" l="1"/>
  <c r="G38" i="13" l="1"/>
  <c r="E29" i="15" l="1"/>
  <c r="E32" i="15" s="1" a="1"/>
  <c r="E32" i="15" s="1"/>
  <c r="E47" i="13" l="1"/>
  <c r="H47" i="13" l="1"/>
  <c r="J47" i="13"/>
  <c r="E70" i="13" l="1"/>
  <c r="E62" i="13"/>
  <c r="E71" i="13" l="1"/>
  <c r="E42" i="13"/>
  <c r="E39" i="13"/>
  <c r="E52" i="13"/>
  <c r="H52" i="13" l="1"/>
  <c r="J52" i="13"/>
  <c r="J39" i="13"/>
  <c r="H39" i="13"/>
  <c r="H42" i="13"/>
  <c r="J42" i="13"/>
  <c r="E40" i="13" l="1"/>
  <c r="J40" i="13" l="1"/>
  <c r="H40" i="13"/>
  <c r="E46" i="13"/>
  <c r="H46" i="13" l="1"/>
  <c r="J46" i="13"/>
  <c r="E13" i="15" l="1"/>
  <c r="E11" i="13" l="1"/>
  <c r="E33" i="13" l="1"/>
  <c r="E32" i="13"/>
  <c r="E28" i="13"/>
  <c r="E27" i="13"/>
  <c r="E23" i="13"/>
  <c r="E22" i="13"/>
  <c r="C1" i="13"/>
  <c r="E41" i="13" l="1"/>
  <c r="J41" i="13" l="1"/>
  <c r="J53" i="13" s="1"/>
  <c r="H41" i="13"/>
  <c r="H53" i="13" s="1"/>
  <c r="E53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<sst xmlns="http://schemas.openxmlformats.org/spreadsheetml/2006/main" count="349" uniqueCount="221">
  <si>
    <t>Home</t>
  </si>
  <si>
    <t>N2O MMS</t>
  </si>
  <si>
    <t>Sources &amp; acknowledgements</t>
  </si>
  <si>
    <t>INPUTS</t>
  </si>
  <si>
    <t>APPENDICES</t>
  </si>
  <si>
    <t>Scope 1</t>
  </si>
  <si>
    <t>CO2 : Fuel</t>
  </si>
  <si>
    <t>Total scope 1 emissions</t>
  </si>
  <si>
    <t>Scope 2</t>
  </si>
  <si>
    <t>Total scope 2 emissions</t>
  </si>
  <si>
    <t>Scope 3</t>
  </si>
  <si>
    <t>Total scope 3 emissions</t>
  </si>
  <si>
    <r>
      <t>Sequestered CO</t>
    </r>
    <r>
      <rPr>
        <b/>
        <vertAlign val="subscript"/>
        <sz val="16"/>
        <color theme="0"/>
        <rFont val="Times New Roman"/>
        <family val="1"/>
      </rPr>
      <t>2</t>
    </r>
  </si>
  <si>
    <t>Net emissions</t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</si>
  <si>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 / t grains</t>
    </r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</si>
  <si>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 / farm</t>
    </r>
  </si>
  <si>
    <t>Grains emissions intensity : Including sequestration</t>
  </si>
  <si>
    <t>Grains emissions intensity : Excluding sequestration</t>
  </si>
  <si>
    <t>Fodder emissions intensity : Excluding sequestration</t>
  </si>
  <si>
    <t>Fodder emissions intensity : Including sequestration</t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</si>
  <si>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</t>
    </r>
  </si>
  <si>
    <t>Sequestration</t>
  </si>
  <si>
    <t>Net farm emissions</t>
  </si>
  <si>
    <t>Plantings</t>
  </si>
  <si>
    <t>CO2 - Fuel</t>
  </si>
  <si>
    <t>CO2 - Lime</t>
  </si>
  <si>
    <t>CO2 - Urea</t>
  </si>
  <si>
    <t>CH4 - Fuel</t>
  </si>
  <si>
    <t>CH4 - Enteric</t>
  </si>
  <si>
    <t>CH4 - Manure Management</t>
  </si>
  <si>
    <t>CH4 - Savannah Burning</t>
  </si>
  <si>
    <t>N2O - Urine and Dung</t>
  </si>
  <si>
    <t>N2O - Atmospheric Deposition</t>
  </si>
  <si>
    <t>N2O - Leaching and Runoff</t>
  </si>
  <si>
    <t xml:space="preserve">N2O - Savannah Burning </t>
  </si>
  <si>
    <t xml:space="preserve">N2O - Fuel </t>
  </si>
  <si>
    <t>Fertiliser</t>
  </si>
  <si>
    <t>Purchased mineral supplementation</t>
  </si>
  <si>
    <t>Purchased feed</t>
  </si>
  <si>
    <t>Herbicides/pesticides</t>
  </si>
  <si>
    <t xml:space="preserve">Electricity </t>
  </si>
  <si>
    <t>Fuel</t>
  </si>
  <si>
    <t>Lime</t>
  </si>
  <si>
    <t>Purchased livestock</t>
  </si>
  <si>
    <t>percent</t>
  </si>
  <si>
    <t>Grains emissions intensity</t>
  </si>
  <si>
    <t>Fodder emissions intensity</t>
  </si>
  <si>
    <t>Grains allocation</t>
  </si>
  <si>
    <t>Fodder allocation</t>
  </si>
  <si>
    <t>Emissions breakdown</t>
  </si>
  <si>
    <t>CH4 : Methane</t>
  </si>
  <si>
    <t>Scope 1 greenhouse gas breakdown</t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</si>
  <si>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 / t fodder</t>
    </r>
  </si>
  <si>
    <r>
      <t>Total scope sequestered CO</t>
    </r>
    <r>
      <rPr>
        <b/>
        <vertAlign val="subscript"/>
        <sz val="14"/>
        <color theme="1"/>
        <rFont val="Times New Roman"/>
        <family val="1"/>
        <scheme val="minor"/>
      </rPr>
      <t>2</t>
    </r>
    <r>
      <rPr>
        <b/>
        <sz val="14"/>
        <color theme="1"/>
        <rFont val="Times New Roman"/>
        <family val="1"/>
        <scheme val="minor"/>
      </rPr>
      <t xml:space="preserve"> emissions</t>
    </r>
  </si>
  <si>
    <t>CO2 : Carbon dioxide</t>
  </si>
  <si>
    <t>N2O : Nitrous oxide</t>
  </si>
  <si>
    <t>Emissions overview</t>
  </si>
  <si>
    <t>Allocation method: Mass</t>
  </si>
  <si>
    <t>Residual product X allocation</t>
  </si>
  <si>
    <t>N/A</t>
  </si>
  <si>
    <t>Grains yield</t>
  </si>
  <si>
    <t>tonnes</t>
  </si>
  <si>
    <t>Fodder yield</t>
  </si>
  <si>
    <t>Residual product X emissions intensity : Excluding sequestration</t>
  </si>
  <si>
    <t>Residual product X yield / amount produced</t>
  </si>
  <si>
    <t>Residual product X emissions intensity : Including sequestration</t>
  </si>
  <si>
    <t>Allocation of net emissions between primary product, co-products and residual products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</si>
  <si>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</si>
  <si>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</si>
  <si>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</si>
  <si>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</si>
  <si>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</si>
  <si>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</si>
  <si>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</si>
  <si>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</si>
  <si>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</si>
  <si>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</si>
  <si>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</si>
  <si>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</si>
  <si>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 xml:space="preserve"> </t>
  </si>
  <si>
    <t>Notes</t>
  </si>
  <si>
    <t>Residual product X emissions intensity (only the processing of the residual product)</t>
  </si>
  <si>
    <r>
      <t xml:space="preserve">For production timeframes that touch multiple years, use the </t>
    </r>
    <r>
      <rPr>
        <b/>
        <sz val="11"/>
        <color rgb="FFFF0000"/>
        <rFont val="Times New Roman"/>
        <family val="1"/>
        <scheme val="minor"/>
      </rPr>
      <t>emissions intensity</t>
    </r>
    <r>
      <rPr>
        <sz val="11"/>
        <color rgb="FFFF0000"/>
        <rFont val="Times New Roman"/>
        <family val="1"/>
        <scheme val="minor"/>
      </rPr>
      <t xml:space="preserve"> tool</t>
    </r>
  </si>
  <si>
    <t>Dry matter digestibility</t>
  </si>
  <si>
    <t>Percent</t>
  </si>
  <si>
    <t>Emissions intensity - IF THIS YEAR IS FULL PRODUCTION CYCLE</t>
  </si>
  <si>
    <t>Unit</t>
  </si>
  <si>
    <t>Manure management system</t>
  </si>
  <si>
    <t>Equations</t>
  </si>
  <si>
    <t>Source data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</si>
  <si>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</si>
  <si>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</si>
  <si>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</si>
  <si>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</si>
  <si>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</si>
  <si>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</si>
  <si>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</si>
  <si>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</si>
  <si>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</si>
  <si>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</si>
  <si>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</si>
  <si>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</si>
  <si>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</si>
  <si>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</si>
  <si>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</si>
  <si>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N2O - Fertiliser - inorganic</t>
  </si>
  <si>
    <t>N2O - Fertiliser - organic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</si>
  <si>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</si>
  <si>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</si>
  <si>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</si>
  <si>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</si>
  <si>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</si>
  <si>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</si>
  <si>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</si>
  <si>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</si>
  <si>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</si>
  <si>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</si>
  <si>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</si>
  <si>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</si>
  <si>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</si>
  <si>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</si>
  <si>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</si>
  <si>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</si>
  <si>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</si>
  <si>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</si>
  <si>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</si>
  <si>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</si>
  <si>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</si>
  <si>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</si>
  <si>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</si>
  <si>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</si>
  <si>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</si>
  <si>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</si>
  <si>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</si>
  <si>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</si>
  <si>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</si>
  <si>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</si>
  <si>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</si>
  <si>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</si>
  <si>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</si>
  <si>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</si>
  <si>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</si>
  <si>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</si>
  <si>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</si>
  <si>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</si>
  <si>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</si>
  <si>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</si>
  <si>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</si>
  <si>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</si>
  <si>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</si>
  <si>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</si>
  <si>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</si>
  <si>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</si>
  <si>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</si>
  <si>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</si>
  <si>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</si>
  <si>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</si>
  <si>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</si>
  <si>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</si>
  <si>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</si>
  <si>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</si>
  <si>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</si>
  <si>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</si>
  <si>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</si>
  <si>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</si>
  <si>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</si>
  <si>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</si>
  <si>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Most fuel used at harvest</t>
  </si>
  <si>
    <t>Applied lime before planting</t>
  </si>
  <si>
    <t>Urea at start</t>
  </si>
  <si>
    <t>Cows all the way through</t>
  </si>
  <si>
    <t>burned at end</t>
  </si>
  <si>
    <t>3 fert applications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</si>
  <si>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</si>
  <si>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</si>
  <si>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</si>
  <si>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</si>
  <si>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Total (must equal 100%)</t>
  </si>
  <si>
    <t>Fraction</t>
  </si>
  <si>
    <t>Table_VS_j</t>
  </si>
  <si>
    <t>Table_MCF_i_m</t>
  </si>
  <si>
    <t>Drylot (feed pad)</t>
  </si>
  <si>
    <t>Production system 1: Stage 1</t>
  </si>
  <si>
    <t>Production system 1: Post-treatment destinations</t>
  </si>
  <si>
    <t>Stage 2 MMS</t>
  </si>
  <si>
    <t>Production system 1: Stage 2</t>
  </si>
  <si>
    <t>Intake</t>
  </si>
  <si>
    <t>Dry matter intake</t>
  </si>
  <si>
    <t>kg DM/head/day</t>
  </si>
  <si>
    <t>Volatile solid production</t>
  </si>
  <si>
    <t>No MMS</t>
  </si>
  <si>
    <t>MMS m</t>
  </si>
  <si>
    <t>Stage 1 MMS</t>
  </si>
  <si>
    <t>Table_I_j</t>
  </si>
  <si>
    <t>Input - MMS - Feedlot</t>
  </si>
  <si>
    <t>Domestic (70-80 days)</t>
  </si>
  <si>
    <t>Export mid fed (80-200 days)</t>
  </si>
  <si>
    <t>Export long fed (200+ days)</t>
  </si>
  <si>
    <t>kg dry matter / head  day</t>
  </si>
  <si>
    <t>Table_DMD_j</t>
  </si>
  <si>
    <t>Fraction of manure in primary system drylot</t>
  </si>
  <si>
    <t>Treatment stage T</t>
  </si>
  <si>
    <t>Table_MMS_m-5_T-1</t>
  </si>
  <si>
    <t>Manure management systems</t>
  </si>
  <si>
    <t>Table_M_j_m-5_T-1</t>
  </si>
  <si>
    <t>Table_MMS_m_T-2</t>
  </si>
  <si>
    <t>Fraction of manure sent to stage 2 MMS</t>
  </si>
  <si>
    <t>Feedlot manure management systems</t>
  </si>
  <si>
    <t>Methane conversion factor for state and MMS</t>
  </si>
  <si>
    <t>MMS N2O</t>
  </si>
  <si>
    <t>New South Wales</t>
  </si>
  <si>
    <t>Table_MMS_m-1_T-3</t>
  </si>
  <si>
    <t>Stage 3 MMS</t>
  </si>
  <si>
    <t>Production system 1: Stage 3</t>
  </si>
  <si>
    <t>Fraction of manure sent to tertiary MMS</t>
  </si>
  <si>
    <t>Table_M_j_m-1_T-3</t>
  </si>
  <si>
    <t>Production of methane stage 1 MMS</t>
  </si>
  <si>
    <t>Table_M_j_m_T-2</t>
  </si>
  <si>
    <t>Production of methane in stage 2 MMS</t>
  </si>
  <si>
    <t>Production of methane in stage 3 MMS</t>
  </si>
  <si>
    <t>Calculations - Manure management - Methane - Feedlot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</si>
</sst>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0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b/>
      <vertAlign val="subscript"/>
      <sz val="16"/>
      <color theme="0"/>
      <name val="Times New Roman"/>
      <family val="1"/>
    </font>
    <font>
      <i/>
      <vertAlign val="subscript"/>
      <sz val="12"/>
      <color theme="1" tint="0.34998626667073579"/>
      <name val="Times New Roman"/>
      <family val="1"/>
    </font>
    <font>
      <b/>
      <vertAlign val="subscript"/>
      <sz val="14"/>
      <color theme="1"/>
      <name val="Times New Roman"/>
      <family val="1"/>
      <scheme val="minor"/>
    </font>
    <font>
      <i/>
      <sz val="12"/>
      <color theme="4" tint="-0.249977111117893"/>
      <name val="Times New Roman"/>
      <family val="1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1"/>
      <color rgb="FFFF0000"/>
      <name val="Times New Roman"/>
      <family val="1"/>
      <scheme val="minor"/>
    </font>
    <font>
      <b/>
      <sz val="11"/>
      <color rgb="FFFF0000"/>
      <name val="Times New Roman"/>
      <family val="1"/>
      <scheme val="minor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4"/>
      <color theme="5"/>
      <name val="Times New Roman"/>
      <family val="1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94763"/>
        <bgColor indexed="64"/>
      </patternFill>
    </fill>
    <fill>
      <patternFill patternType="solid">
        <fgColor rgb="FFC44340"/>
        <bgColor indexed="64"/>
      </patternFill>
    </fill>
    <fill>
      <patternFill patternType="solid">
        <fgColor rgb="FF4F4789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2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44" fillId="4" borderId="0">
      <alignment horizontal="left" vertical="center"/>
    </xf>
    <xf numFmtId="0" fontId="51" fillId="4" borderId="0">
      <alignment vertical="center"/>
    </xf>
    <xf numFmtId="0" fontId="3" fillId="4" borderId="0">
      <alignment horizontal="left" vertical="center"/>
    </xf>
    <xf numFmtId="0" fontId="47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6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54" fillId="17" borderId="9">
      <alignment horizontal="left" vertical="center"/>
    </xf>
    <xf numFmtId="43" fontId="10" fillId="0" borderId="0" applyFont="0" applyFill="0" applyBorder="0" applyAlignment="0" applyProtection="0"/>
    <xf numFmtId="3" fontId="39" fillId="4" borderId="2">
      <alignment horizontal="center" vertical="center"/>
    </xf>
    <xf numFmtId="168" fontId="2" fillId="0" borderId="2">
      <alignment horizontal="center" vertical="center"/>
    </xf>
    <xf numFmtId="0" fontId="40" fillId="0" borderId="0"/>
    <xf numFmtId="0" fontId="10" fillId="0" borderId="0"/>
    <xf numFmtId="0" fontId="40" fillId="0" borderId="0"/>
    <xf numFmtId="166" fontId="39" fillId="4" borderId="2">
      <alignment horizontal="center" vertical="center"/>
    </xf>
    <xf numFmtId="4" fontId="39" fillId="4" borderId="2">
      <alignment horizontal="center" vertical="center"/>
    </xf>
    <xf numFmtId="0" fontId="46" fillId="4" borderId="0">
      <alignment horizontal="left" vertical="center"/>
    </xf>
    <xf numFmtId="0" fontId="45" fillId="4" borderId="0" applyNumberFormat="0">
      <alignment horizontal="center" vertical="center"/>
    </xf>
    <xf numFmtId="165" fontId="39" fillId="4" borderId="2">
      <alignment horizontal="center" vertical="center"/>
    </xf>
    <xf numFmtId="0" fontId="38" fillId="4" borderId="0">
      <alignment horizontal="left" vertical="center"/>
    </xf>
    <xf numFmtId="169" fontId="39" fillId="4" borderId="2">
      <alignment horizontal="center" vertical="center"/>
    </xf>
    <xf numFmtId="0" fontId="39" fillId="4" borderId="2">
      <alignment horizontal="center" vertical="center"/>
    </xf>
    <xf numFmtId="0" fontId="6" fillId="4" borderId="0">
      <alignment horizontal="left" vertical="center"/>
    </xf>
    <xf numFmtId="0" fontId="50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7" fillId="4" borderId="0">
      <alignment horizontal="left" vertical="center"/>
    </xf>
    <xf numFmtId="0" fontId="58" fillId="4" borderId="0">
      <alignment horizontal="left" vertical="center"/>
    </xf>
  </cellStyleXfs>
  <cellXfs count="136">
    <xf numFmtId="0" fontId="0" fillId="0" borderId="0" xfId="0"/>
    <xf numFmtId="0" fontId="47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51" fillId="4" borderId="0" xfId="6">
      <alignment vertical="center"/>
    </xf>
    <xf numFmtId="0" fontId="44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0" fillId="8" borderId="0" xfId="0" applyFill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54" fillId="17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6" fillId="4" borderId="1" xfId="12" applyBorder="1" applyAlignment="1">
      <alignment horizontal="left" indent="1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 applyAlignment="1">
      <alignment vertical="center"/>
    </xf>
    <xf numFmtId="0" fontId="17" fillId="12" borderId="0" xfId="4" applyFill="1">
      <alignment vertical="center"/>
    </xf>
    <xf numFmtId="0" fontId="0" fillId="12" borderId="0" xfId="0" applyFill="1"/>
    <xf numFmtId="2" fontId="0" fillId="12" borderId="0" xfId="0" applyNumberFormat="1" applyFill="1" applyAlignment="1">
      <alignment vertical="center"/>
    </xf>
    <xf numFmtId="0" fontId="17" fillId="13" borderId="0" xfId="4" applyFill="1">
      <alignment vertical="center"/>
    </xf>
    <xf numFmtId="0" fontId="0" fillId="13" borderId="0" xfId="0" applyFill="1"/>
    <xf numFmtId="0" fontId="0" fillId="4" borderId="6" xfId="0" applyFill="1" applyBorder="1"/>
    <xf numFmtId="0" fontId="0" fillId="4" borderId="6" xfId="0" applyFill="1" applyBorder="1" applyAlignment="1">
      <alignment vertical="center"/>
    </xf>
    <xf numFmtId="0" fontId="0" fillId="14" borderId="0" xfId="0" applyFill="1"/>
    <xf numFmtId="0" fontId="17" fillId="14" borderId="0" xfId="4" applyFill="1">
      <alignment vertical="center"/>
    </xf>
    <xf numFmtId="0" fontId="17" fillId="8" borderId="0" xfId="4" applyFill="1">
      <alignment vertical="center"/>
    </xf>
    <xf numFmtId="0" fontId="32" fillId="4" borderId="1" xfId="0" applyFont="1" applyFill="1" applyBorder="1"/>
    <xf numFmtId="0" fontId="47" fillId="4" borderId="0" xfId="8" applyAlignment="1">
      <alignment horizontal="right" vertical="center"/>
    </xf>
    <xf numFmtId="0" fontId="3" fillId="4" borderId="6" xfId="7" applyBorder="1">
      <alignment horizontal="left" vertical="center"/>
    </xf>
    <xf numFmtId="0" fontId="17" fillId="15" borderId="0" xfId="4" applyFill="1">
      <alignment vertical="center"/>
    </xf>
    <xf numFmtId="0" fontId="36" fillId="11" borderId="0" xfId="6" applyFont="1" applyFill="1">
      <alignment vertical="center"/>
    </xf>
    <xf numFmtId="2" fontId="0" fillId="11" borderId="0" xfId="0" applyNumberFormat="1" applyFill="1" applyAlignment="1">
      <alignment vertical="center"/>
    </xf>
    <xf numFmtId="0" fontId="6" fillId="11" borderId="0" xfId="12" applyFill="1">
      <alignment horizontal="left" vertical="center" indent="1"/>
    </xf>
    <xf numFmtId="0" fontId="3" fillId="11" borderId="6" xfId="7" applyFill="1" applyBorder="1">
      <alignment horizontal="left" vertical="center"/>
    </xf>
    <xf numFmtId="0" fontId="0" fillId="11" borderId="6" xfId="0" applyFill="1" applyBorder="1"/>
    <xf numFmtId="0" fontId="47" fillId="11" borderId="0" xfId="8" applyFill="1">
      <alignment horizontal="left" vertical="center"/>
    </xf>
    <xf numFmtId="0" fontId="0" fillId="11" borderId="0" xfId="0" applyFill="1"/>
    <xf numFmtId="0" fontId="3" fillId="4" borderId="0" xfId="8" applyFont="1" applyAlignment="1">
      <alignment horizontal="right" vertical="center"/>
    </xf>
    <xf numFmtId="0" fontId="0" fillId="11" borderId="0" xfId="0" applyFill="1" applyAlignment="1">
      <alignment horizontal="right" vertical="center"/>
    </xf>
    <xf numFmtId="9" fontId="2" fillId="11" borderId="0" xfId="14" applyFont="1" applyFill="1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6" borderId="2" xfId="16">
      <alignment horizontal="center" vertical="center"/>
    </xf>
    <xf numFmtId="0" fontId="44" fillId="0" borderId="0" xfId="5" applyFill="1">
      <alignment horizontal="left" vertical="center"/>
    </xf>
    <xf numFmtId="0" fontId="51" fillId="0" borderId="0" xfId="6" applyFill="1">
      <alignment vertical="center"/>
    </xf>
    <xf numFmtId="0" fontId="47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41" fillId="0" borderId="0" xfId="0" applyFont="1"/>
    <xf numFmtId="0" fontId="47" fillId="4" borderId="1" xfId="8" applyBorder="1">
      <alignment horizontal="left" vertical="center"/>
    </xf>
    <xf numFmtId="0" fontId="42" fillId="4" borderId="0" xfId="0" applyFont="1" applyFill="1"/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46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9" fillId="4" borderId="2" xfId="55">
      <alignment horizontal="center" vertical="center"/>
    </xf>
    <xf numFmtId="0" fontId="49" fillId="4" borderId="0" xfId="8" applyFont="1">
      <alignment horizontal="left" vertical="center"/>
    </xf>
    <xf numFmtId="0" fontId="6" fillId="4" borderId="0" xfId="56">
      <alignment horizontal="left" vertical="center"/>
    </xf>
    <xf numFmtId="0" fontId="50" fillId="4" borderId="0" xfId="57">
      <alignment horizontal="left" vertical="center"/>
    </xf>
    <xf numFmtId="0" fontId="10" fillId="0" borderId="0" xfId="58"/>
    <xf numFmtId="0" fontId="39" fillId="4" borderId="2" xfId="55" applyAlignment="1">
      <alignment horizontal="left" vertical="center"/>
    </xf>
    <xf numFmtId="0" fontId="39" fillId="4" borderId="8" xfId="55" applyBorder="1" applyAlignment="1">
      <alignment horizontal="left" vertical="center"/>
    </xf>
    <xf numFmtId="0" fontId="39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53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9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7" fillId="4" borderId="0" xfId="0" applyFont="1" applyFill="1"/>
    <xf numFmtId="0" fontId="54" fillId="17" borderId="11" xfId="41" applyBorder="1">
      <alignment horizontal="left" vertical="center"/>
    </xf>
    <xf numFmtId="0" fontId="54" fillId="17" borderId="13" xfId="41" applyBorder="1">
      <alignment horizontal="left" vertical="center"/>
    </xf>
    <xf numFmtId="0" fontId="54" fillId="17" borderId="15" xfId="41" applyBorder="1">
      <alignment horizontal="left" vertical="center"/>
    </xf>
    <xf numFmtId="0" fontId="54" fillId="17" borderId="14" xfId="41" applyBorder="1">
      <alignment horizontal="left" vertical="center"/>
    </xf>
    <xf numFmtId="0" fontId="54" fillId="17" borderId="16" xfId="41" applyBorder="1">
      <alignment horizontal="left" vertical="center"/>
    </xf>
    <xf numFmtId="0" fontId="54" fillId="17" borderId="18" xfId="41" applyBorder="1">
      <alignment horizontal="left" vertical="center"/>
    </xf>
    <xf numFmtId="0" fontId="54" fillId="17" borderId="12" xfId="41" applyBorder="1">
      <alignment horizontal="left" vertical="center"/>
    </xf>
    <xf numFmtId="0" fontId="54" fillId="17" borderId="17" xfId="41" applyBorder="1">
      <alignment horizontal="left" vertical="center"/>
    </xf>
    <xf numFmtId="0" fontId="54" fillId="17" borderId="19" xfId="41" applyBorder="1">
      <alignment horizontal="left" vertical="center"/>
    </xf>
    <xf numFmtId="0" fontId="55" fillId="17" borderId="10" xfId="41" applyFont="1" applyBorder="1">
      <alignment horizontal="left" vertical="center"/>
    </xf>
    <xf numFmtId="0" fontId="52" fillId="6" borderId="0" xfId="30" applyFont="1" applyProtection="1">
      <alignment horizontal="center" vertical="center"/>
    </xf>
    <xf numFmtId="0" fontId="56" fillId="14" borderId="0" xfId="4" applyFont="1" applyFill="1">
      <alignment vertical="center"/>
    </xf>
    <xf numFmtId="9" fontId="39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8" fillId="4" borderId="0" xfId="61">
      <alignment horizontal="left" vertical="center"/>
    </xf>
    <xf numFmtId="0" fontId="57" fillId="4" borderId="0" xfId="60">
      <alignment horizontal="left" vertical="center"/>
    </xf>
    <xf numFmtId="0" fontId="59" fillId="4" borderId="0" xfId="57" applyFont="1">
      <alignment horizontal="left" vertical="center"/>
    </xf>
    <xf numFmtId="0" fontId="22" fillId="15" borderId="0" xfId="38" applyFill="1">
      <alignment horizontal="left" vertical="center" indent="1"/>
    </xf>
    <xf numFmtId="0" fontId="39" fillId="4" borderId="20" xfId="55" applyBorder="1" applyAlignment="1">
      <alignment horizontal="left" vertical="center"/>
    </xf>
  </cellXfs>
  <cellStyles count="62"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39"/>
      <tableStyleElement type="headerRow" dxfId="38"/>
      <tableStyleElement type="totalRow" dxfId="37"/>
      <tableStyleElement type="firstColumn" dxfId="36"/>
      <tableStyleElement type="firstRowStripe" dxfId="35"/>
      <tableStyleElement type="secondRowStripe" dxfId="34"/>
    </tableStyle>
    <tableStyle name="Equation table" pivot="0" count="6" xr9:uid="{B247698E-E41D-4CCD-AA0A-C14817E9DE65}">
      <tableStyleElement type="wholeTable" dxfId="33"/>
      <tableStyleElement type="headerRow" dxfId="32"/>
      <tableStyleElement type="totalRow" dxfId="31"/>
      <tableStyleElement type="firstColumn" dxfId="30"/>
      <tableStyleElement type="firstRowStripe" dxfId="29"/>
      <tableStyleElement type="secondRowStripe" dxfId="28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0/relationships/richValueRel" Target="richData/richValueRel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6319621022384"/>
          <c:y val="0.15050929286470213"/>
          <c:w val="0.89242065469880916"/>
          <c:h val="0.80727369431244"/>
        </c:manualLayout>
      </c:layout>
      <c:barChart>
        <c:barDir val="bar"/>
        <c:grouping val="clustered"/>
        <c:varyColors val="1"/>
        <c:ser>
          <c:idx val="0"/>
          <c:order val="0"/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4F478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E7A-4896-ABD0-4837ACDC677E}"/>
              </c:ext>
            </c:extLst>
          </c:dPt>
          <c:dPt>
            <c:idx val="1"/>
            <c:invertIfNegative val="0"/>
            <c:bubble3D val="0"/>
            <c:spPr>
              <a:solidFill>
                <a:srgbClr val="89476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E7A-4896-ABD0-4837ACDC677E}"/>
              </c:ext>
            </c:extLst>
          </c:dPt>
          <c:dPt>
            <c:idx val="2"/>
            <c:invertIfNegative val="0"/>
            <c:bubble3D val="0"/>
            <c:spPr>
              <a:solidFill>
                <a:srgbClr val="C4434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7E7A-4896-ABD0-4837ACDC677E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E7A-4896-ABD0-4837ACDC677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E7A-4896-ABD0-4837ACDC677E}"/>
              </c:ext>
            </c:extLst>
          </c:dPt>
          <c:dLbls>
            <c:delete val="1"/>
          </c:dLbls>
          <c:cat>
            <c:strRef>
              <c:f>Results!$D$7:$D$11</c:f>
              <c:strCache>
                <c:ptCount val="5"/>
                <c:pt idx="0">
                  <c:v>Scope 1</c:v>
                </c:pt>
                <c:pt idx="1">
                  <c:v>Scope 2</c:v>
                </c:pt>
                <c:pt idx="2">
                  <c:v>Scope 3</c:v>
                </c:pt>
                <c:pt idx="3">
                  <c:v>Sequestration</c:v>
                </c:pt>
                <c:pt idx="4">
                  <c:v>Net farm emissions</c:v>
                </c:pt>
              </c:strCache>
            </c:strRef>
          </c:cat>
          <c:val>
            <c:numRef>
              <c:f>Results!$E$7:$E$11</c:f>
              <c:numCache>
                <c:formatCode>General</c:formatCode>
                <c:ptCount val="5"/>
                <c:pt idx="0">
                  <c:v>123</c:v>
                </c:pt>
                <c:pt idx="1">
                  <c:v>20</c:v>
                </c:pt>
                <c:pt idx="2">
                  <c:v>300</c:v>
                </c:pt>
                <c:pt idx="3">
                  <c:v>-10</c:v>
                </c:pt>
                <c:pt idx="4" formatCode="0.00">
                  <c:v>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A-4896-ABD0-4837ACDC677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1247233007"/>
        <c:axId val="1247233487"/>
      </c:barChart>
      <c:catAx>
        <c:axId val="1247233007"/>
        <c:scaling>
          <c:orientation val="maxMin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19050" cap="sq" cmpd="dbl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233487"/>
        <c:crosses val="autoZero"/>
        <c:auto val="1"/>
        <c:lblAlgn val="ctr"/>
        <c:lblOffset val="100"/>
        <c:noMultiLvlLbl val="0"/>
      </c:catAx>
      <c:valAx>
        <c:axId val="124723348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233007"/>
        <c:crosses val="autoZero"/>
        <c:crossBetween val="between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ofPieChart>
        <c:ofPieType val="bar"/>
        <c:varyColors val="1"/>
        <c:ser>
          <c:idx val="0"/>
          <c:order val="0"/>
          <c:spPr>
            <a:ln>
              <a:solidFill>
                <a:schemeClr val="bg1">
                  <a:lumMod val="9500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A7-4C2A-B35C-A4A95399D1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DA7-4C2A-B35C-A4A95399D1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A7-4C2A-B35C-A4A95399D1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A7-4C2A-B35C-A4A95399D1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DA7-4C2A-B35C-A4A95399D1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DA7-4C2A-B35C-A4A95399D1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DA7-4C2A-B35C-A4A95399D12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DA7-4C2A-B35C-A4A95399D12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DA7-4C2A-B35C-A4A95399D12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DA7-4C2A-B35C-A4A95399D12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DA7-4C2A-B35C-A4A95399D12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DA7-4C2A-B35C-A4A95399D12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63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DA7-4C2A-B35C-A4A95399D12E}"/>
              </c:ext>
            </c:extLst>
          </c:dPt>
          <c:cat>
            <c:strRef>
              <c:f>Results!$D$66:$D$77</c:f>
              <c:strCache>
                <c:ptCount val="12"/>
                <c:pt idx="0">
                  <c:v>Fertiliser</c:v>
                </c:pt>
                <c:pt idx="1">
                  <c:v>Purchased mineral supplementation</c:v>
                </c:pt>
                <c:pt idx="2">
                  <c:v>Purchased feed</c:v>
                </c:pt>
                <c:pt idx="3">
                  <c:v>Herbicides/pesticides</c:v>
                </c:pt>
                <c:pt idx="4">
                  <c:v>Electricity </c:v>
                </c:pt>
                <c:pt idx="5">
                  <c:v>Fuel</c:v>
                </c:pt>
                <c:pt idx="6">
                  <c:v>Lime</c:v>
                </c:pt>
                <c:pt idx="7">
                  <c:v>Purchased livestock</c:v>
                </c:pt>
                <c:pt idx="8">
                  <c:v>CO2 : Fuel</c:v>
                </c:pt>
                <c:pt idx="9">
                  <c:v>CO2 : Fuel</c:v>
                </c:pt>
                <c:pt idx="10">
                  <c:v>CO2 : Fuel</c:v>
                </c:pt>
                <c:pt idx="11">
                  <c:v>CO2 : Fuel</c:v>
                </c:pt>
              </c:strCache>
            </c:strRef>
          </c:cat>
          <c:val>
            <c:numRef>
              <c:f>Results!$E$66:$E$77</c:f>
              <c:numCache>
                <c:formatCode>General</c:formatCode>
                <c:ptCount val="12"/>
                <c:pt idx="0">
                  <c:v>123</c:v>
                </c:pt>
                <c:pt idx="1">
                  <c:v>80</c:v>
                </c:pt>
                <c:pt idx="2">
                  <c:v>654</c:v>
                </c:pt>
                <c:pt idx="3">
                  <c:v>6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180</c:v>
                </c:pt>
                <c:pt idx="8">
                  <c:v>12</c:v>
                </c:pt>
                <c:pt idx="9">
                  <c:v>67</c:v>
                </c:pt>
                <c:pt idx="10">
                  <c:v>123</c:v>
                </c:pt>
                <c:pt idx="11">
                  <c:v>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DA7-4C2A-B35C-A4A95399D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91"/>
        <c:splitType val="percent"/>
        <c:splitPos val="5"/>
        <c:secondPieSize val="7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31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ofPieChart>
        <c:ofPieType val="bar"/>
        <c:varyColors val="1"/>
        <c:ser>
          <c:idx val="0"/>
          <c:order val="0"/>
          <c:spPr>
            <a:ln>
              <a:solidFill>
                <a:schemeClr val="bg1">
                  <a:lumMod val="9500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CD-45F4-BCDB-962266C57E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CD-45F4-BCDB-962266C57E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CD-45F4-BCDB-962266C57E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CD-45F4-BCDB-962266C57E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CD-45F4-BCDB-962266C57E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CD-45F4-BCDB-962266C57E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CD-45F4-BCDB-962266C57E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CD-45F4-BCDB-962266C57E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CD-45F4-BCDB-962266C57E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CD-45F4-BCDB-962266C57E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CD-45F4-BCDB-962266C57E5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CD-45F4-BCDB-962266C57E5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8CD-45F4-BCDB-962266C57E5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2C6-40B5-8993-4C2FFE189BD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557-485E-BC75-B9CA18B2FB7B}"/>
              </c:ext>
            </c:extLst>
          </c:dPt>
          <c:cat>
            <c:strRef>
              <c:f>Results!$D$39:$D$52</c:f>
              <c:strCache>
                <c:ptCount val="14"/>
                <c:pt idx="0">
                  <c:v>CO2 - Fuel</c:v>
                </c:pt>
                <c:pt idx="1">
                  <c:v>CO2 - Lime</c:v>
                </c:pt>
                <c:pt idx="2">
                  <c:v>CO2 - Urea</c:v>
                </c:pt>
                <c:pt idx="3">
                  <c:v>CH4 - Fuel</c:v>
                </c:pt>
                <c:pt idx="4">
                  <c:v>CH4 - Enteric</c:v>
                </c:pt>
                <c:pt idx="5">
                  <c:v>CH4 - Manure Management</c:v>
                </c:pt>
                <c:pt idx="6">
                  <c:v>CH4 - Savannah Burning</c:v>
                </c:pt>
                <c:pt idx="7">
                  <c:v>N2O - Fertiliser - inorganic</c:v>
                </c:pt>
                <c:pt idx="8">
                  <c:v>N2O - Fertiliser - organic</c:v>
                </c:pt>
                <c:pt idx="9">
                  <c:v>N2O - Urine and Dung</c:v>
                </c:pt>
                <c:pt idx="10">
                  <c:v>N2O - Atmospheric Deposition</c:v>
                </c:pt>
                <c:pt idx="11">
                  <c:v>N2O - Leaching and Runoff</c:v>
                </c:pt>
                <c:pt idx="12">
                  <c:v>N2O - Savannah Burning </c:v>
                </c:pt>
                <c:pt idx="13">
                  <c:v>N2O - Fuel </c:v>
                </c:pt>
              </c:strCache>
            </c:strRef>
          </c:cat>
          <c:val>
            <c:numRef>
              <c:f>Results!$E$39:$E$52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123</c:v>
                </c:pt>
                <c:pt idx="7">
                  <c:v>0</c:v>
                </c:pt>
                <c:pt idx="8">
                  <c:v>0</c:v>
                </c:pt>
                <c:pt idx="9">
                  <c:v>123</c:v>
                </c:pt>
                <c:pt idx="10">
                  <c:v>1054</c:v>
                </c:pt>
                <c:pt idx="11">
                  <c:v>600</c:v>
                </c:pt>
                <c:pt idx="12">
                  <c:v>82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8CD-45F4-BCDB-962266C57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91"/>
        <c:splitType val="percent"/>
        <c:splitPos val="5"/>
        <c:secondPieSize val="7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31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ln>
              <a:solidFill>
                <a:schemeClr val="bg1">
                  <a:lumMod val="9500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9D-47BB-B11C-1A86027E95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9D-47BB-B11C-1A86027E95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59D-47BB-B11C-1A86027E95A0}"/>
              </c:ext>
            </c:extLst>
          </c:dPt>
          <c:cat>
            <c:strRef>
              <c:f>Results!$D$56:$D$58</c:f>
              <c:strCache>
                <c:ptCount val="3"/>
                <c:pt idx="0">
                  <c:v>CO2 : Carbon dioxide</c:v>
                </c:pt>
                <c:pt idx="1">
                  <c:v>CH4 : Methane</c:v>
                </c:pt>
                <c:pt idx="2">
                  <c:v>N2O : Nitrous oxide</c:v>
                </c:pt>
              </c:strCache>
            </c:strRef>
          </c:cat>
          <c:val>
            <c:numRef>
              <c:f>Results!$E$56:$E$58</c:f>
              <c:numCache>
                <c:formatCode>General</c:formatCode>
                <c:ptCount val="3"/>
                <c:pt idx="0">
                  <c:v>300</c:v>
                </c:pt>
                <c:pt idx="1">
                  <c:v>500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9D-47BB-B11C-1A86027E9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460562</xdr:colOff>
      <xdr:row>5</xdr:row>
      <xdr:rowOff>108696</xdr:rowOff>
    </xdr:from>
    <xdr:to>
      <xdr:col>11</xdr:col>
      <xdr:colOff>412936</xdr:colOff>
      <xdr:row>18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8F57B7-3E43-BA29-E49D-43B7937A6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66</xdr:row>
      <xdr:rowOff>0</xdr:rowOff>
    </xdr:from>
    <xdr:to>
      <xdr:col>9</xdr:col>
      <xdr:colOff>2381250</xdr:colOff>
      <xdr:row>77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02066C3-101F-42EE-A54C-2F7806F84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28575</xdr:colOff>
      <xdr:row>38</xdr:row>
      <xdr:rowOff>142876</xdr:rowOff>
    </xdr:from>
    <xdr:to>
      <xdr:col>14</xdr:col>
      <xdr:colOff>1066800</xdr:colOff>
      <xdr:row>50</xdr:row>
      <xdr:rowOff>114300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BC43D78-0E51-49C7-B669-59542A620A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52</xdr:row>
      <xdr:rowOff>57150</xdr:rowOff>
    </xdr:from>
    <xdr:to>
      <xdr:col>8</xdr:col>
      <xdr:colOff>3524249</xdr:colOff>
      <xdr:row>59</xdr:row>
      <xdr:rowOff>38101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23BD7F2-E312-496C-B50E-9B5D85B0D6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102</xdr:row>
      <xdr:rowOff>133350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129</xdr:row>
      <xdr:rowOff>133350</xdr:rowOff>
    </xdr:from>
    <xdr:ext cx="261411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𝐸_𝐶𝐻4=∑8_𝑗▒∑8_𝑚▒∑8_𝑇▒(𝐷_𝑗×𝑀_𝑗𝑚𝑇×𝑁_𝑗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M32:W37" totalsRowShown="0">
  <autoFilter ref="M32:W37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2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2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2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2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2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2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2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2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1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1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M42:N48" totalsRowShown="0">
  <autoFilter ref="M42:N48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17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7DD6C3-2748-4D5D-A435-50C8CAA81230}" name="Table_AustralianStates" displayName="Table_AustralianStates" ref="D6:F14" totalsRowShown="0">
  <autoFilter ref="D6:F14" xr:uid="{327DD6C3-2748-4D5D-A435-50C8CAA81230}">
    <filterColumn colId="0" hiddenButton="1"/>
    <filterColumn colId="1" hiddenButton="1"/>
    <filterColumn colId="2" hiddenButton="1"/>
  </autoFilter>
  <tableColumns count="3">
    <tableColumn id="1" xr3:uid="{B4A47277-65C2-4592-9F38-15FFC05762C6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36C3D3A3-A97E-4A44-9B06-FB4ED0BDD3B6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EC843D63-4173-41D7-8376-1ADE98C53C79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5F85F4-F37E-42AC-9E1F-6D7674482924}" name="Table_WASA4Areas" displayName="Table_WASA4Areas" ref="D20:D30" totalsRowShown="0">
  <autoFilter ref="D20:D30" xr:uid="{FD5F85F4-F37E-42AC-9E1F-6D7674482924}">
    <filterColumn colId="0" hiddenButton="1"/>
  </autoFilter>
  <tableColumns count="1">
    <tableColumn id="1" xr3:uid="{0A2F7DFC-2945-4059-956C-4633BBB2A90D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B5C08DF-2356-426D-B41E-BCF40DF41EFC}" name="Table_GWPData" displayName="Table_GWPData" ref="D36:E43" totalsRowShown="0">
  <autoFilter ref="D36:E43" xr:uid="{BB5C08DF-2356-426D-B41E-BCF40DF41EFC}">
    <filterColumn colId="0" hiddenButton="1"/>
    <filterColumn colId="1" hiddenButton="1"/>
  </autoFilter>
  <tableColumns count="2">
    <tableColumn id="1" xr3:uid="{2B0F7F6C-4510-415D-B3BB-1B8BEBE9FBC4}" name="Gas">
      <calculatedColumnFormula array="1">Common_InputFunctions.Utility_DisplayArrayInTable(Common_SourceData.Common_SourceData_GWP_Data(), Table_GWPData[[#Headers],[Gas]], 0)</calculatedColumnFormula>
    </tableColumn>
    <tableColumn id="2" xr3:uid="{75D9D599-4D35-4C77-9B52-E128A87D1E63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A374C5-627B-40CC-8ED7-2DA5281934F9}" name="Table_GasToMolecularConversionFactor" displayName="Table_GasToMolecularConversionFactor" ref="D47:H54" totalsRowShown="0">
  <autoFilter ref="D47:H54" xr:uid="{33A374C5-627B-40CC-8ED7-2DA5281934F9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C565279-A385-4434-8E9B-E0466C84A0B5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EC13EBDF-5737-4D4D-9CFC-C4AEF176EF68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3E2422A5-AA4D-49DF-826D-52D6F12EB82C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93CDF988-6309-474C-B90F-50F0BEDEB591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3A6215C3-EE95-4376-8CDE-5ED3C51D4D73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AAB40-8094-4E54-884B-C033668193A0}" name="Table_SourceData_ClimateZones" displayName="Table_SourceData_ClimateZones" ref="D89:S97" totalsRowShown="0">
  <autoFilter ref="D89:S97" xr:uid="{BD7AAB40-8094-4E54-884B-C033668193A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E3E89E20-6B46-4114-9233-C28E86E1CF06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012C8003-AAB2-4413-B150-2AD0E6E05E5B}" name="MAT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1F5BD272-11F8-4FF6-A61F-522268698EDF}" name="MAP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B66D940C-752C-4E7F-9222-C4EED4DC1E93}" name="Frost days per year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0904CC5-85E5-4E32-BBFE-9A67744383F0}" name="Elevation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F63B8A40-5099-4D4D-A780-510BD880B050}" name="MAP:PET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2F2FCF49-C270-4AB4-BF9C-A26B6AEDA04B}" name="Min temp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5833253C-49A5-454F-AC2F-C6E42F5BC177}" name="Max temp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F465156E-DD16-4967-9AF0-3598BFB8B458}" name="Min rainfall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0951FF2F-AE60-4516-A875-D552AB41B8AD}" name="Max rainfall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9A793B1D-1098-40AC-82A7-0A2BB4D2CBB3}" name="Min frost days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4A61A3AD-A954-43B3-A949-88442F630704}" name="Max frost days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7D3A0225-6145-4693-8DD4-BBB07F0357E7}" name="Min elevation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56F846E7-867B-41B1-A306-7B8439B6B87C}" name="Max elevation" totalsRowDxfId="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0C84891-19B7-4941-B31E-125241AC494C}" name="Min MAP:PET" totalsRowDxfId="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D73F6DA0-5BE6-4311-AB62-1B269B6FD448}" name="Max MAP:PET" totalsRowDxfId="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BB9A8B-F9C1-46C5-989B-9BC5940AF1E5}" name="Table_SourceData_WetDryZones" displayName="Table_SourceData_WetDryZones" ref="D63:E77" totalsRowShown="0">
  <autoFilter ref="D63:E77" xr:uid="{C1BB9A8B-F9C1-46C5-989B-9BC5940AF1E5}">
    <filterColumn colId="0" hiddenButton="1"/>
    <filterColumn colId="1" hiddenButton="1"/>
  </autoFilter>
  <tableColumns count="2">
    <tableColumn id="1" xr3:uid="{B273345C-8067-405D-AC4A-817358389C13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7AAF8DC0-A47D-4F0D-8F7D-2A6B59CBB784}" name="Wet or Dry Zone" totalsRowDxfId="1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9F6AA9-BCE5-4FF1-A86C-C64FF6359818}" name="Table_SourceData_TemperatureZones" displayName="Table_SourceData_TemperatureZones" ref="D109:G112" totalsRowShown="0">
  <autoFilter ref="D109:G112" xr:uid="{B59F6AA9-BCE5-4FF1-A86C-C64FF6359818}">
    <filterColumn colId="0" hiddenButton="1"/>
    <filterColumn colId="1" hiddenButton="1"/>
    <filterColumn colId="2" hiddenButton="1"/>
    <filterColumn colId="3" hiddenButton="1"/>
  </autoFilter>
  <tableColumns count="4">
    <tableColumn id="1" xr3:uid="{BAA18503-0439-4C4F-858E-EA97BED4D6DE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24F9FA32-33E8-4CB5-A834-1DF990926751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8B0A1E1-E5A8-4403-A178-8AB1F4E7B44D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E553DE6D-2F04-470C-AA12-3D51D31747C9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D5C16FF-F9F1-4E6B-B9F0-4CC744151B58}" name="Table_SourceData_RainfallZones" displayName="Table_SourceData_RainfallZones" ref="D119:G121" totalsRowShown="0">
  <autoFilter ref="D119:G121" xr:uid="{7D5C16FF-F9F1-4E6B-B9F0-4CC744151B58}">
    <filterColumn colId="0" hiddenButton="1"/>
    <filterColumn colId="1" hiddenButton="1"/>
    <filterColumn colId="2" hiddenButton="1"/>
    <filterColumn colId="3" hiddenButton="1"/>
  </autoFilter>
  <tableColumns count="4">
    <tableColumn id="1" xr3:uid="{2F717C86-7842-4FDE-91DF-B02374963C5D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36D09841-D6B7-4494-BEED-CFC6D1049D9F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7238519B-977B-497F-A3A5-2EE8B3080C55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D8A969B6-25E4-47A1-B0CE-98F9CA5B55DC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8038A-45C7-4635-8AE1-C0EF4764A4FE}" name="Table_SourceData_LeachingZones" displayName="Table_SourceData_LeachingZones" ref="D127:E129" totalsRowShown="0">
  <autoFilter ref="D127:E129" xr:uid="{3A78038A-45C7-4635-8AE1-C0EF4764A4FE}">
    <filterColumn colId="0" hiddenButton="1"/>
    <filterColumn colId="1" hiddenButton="1"/>
  </autoFilter>
  <tableColumns count="2">
    <tableColumn id="1" xr3:uid="{569AEBE0-2034-4C1F-AEB7-687FA370B7EF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AA8E923D-6812-4519-92B3-DF2A09842CF1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06D956F-7087-4AB4-AF4B-6C843C2BE8E1}" name="Table_SourceData_DataScores_Scope3" displayName="Table_SourceData_DataScores_Scope3" ref="D142:E147" totalsRowShown="0">
  <autoFilter ref="D142:E147" xr:uid="{706D956F-7087-4AB4-AF4B-6C843C2BE8E1}">
    <filterColumn colId="0" hiddenButton="1"/>
    <filterColumn colId="1" hiddenButton="1"/>
  </autoFilter>
  <tableColumns count="2">
    <tableColumn id="1" xr3:uid="{10577B8C-4CDE-4DD4-98CF-3EDB9D9A49FE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29402566-FAB2-4F09-B5BB-4C927ADC27E7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1D074E0-C4CF-435E-9EA9-1C5E3F1E595C}" name="Table_SourceData_FracWET" displayName="Table_SourceData_FracWET" ref="D134:E136" totalsRowShown="0">
  <autoFilter ref="D134:E136" xr:uid="{51D074E0-C4CF-435E-9EA9-1C5E3F1E595C}">
    <filterColumn colId="0" hiddenButton="1"/>
    <filterColumn colId="1" hiddenButton="1"/>
  </autoFilter>
  <tableColumns count="2">
    <tableColumn id="1" xr3:uid="{1BD6CC8B-E723-411B-89D3-3A79B57ECCE2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FD8CD345-A23E-46A6-ABAB-BB257B11804A}" name="FracWET" dataDxfId="0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02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A18" sqref="A18"/>
    </sheetView>
  </sheetViews>
  <sheetFormatPr defaultRowHeight="15" x14ac:dyDescent="0.25"/>
  <cols>
    <col min="1" max="1" width="30.7109375" customWidth="1"/>
    <col min="2" max="3" width="2.7109375" customWidth="1"/>
    <col min="4" max="4" width="60.7109375" customWidth="1"/>
    <col min="5" max="6" width="28.7109375" customWidth="1"/>
    <col min="7" max="7" width="28" customWidth="1"/>
    <col min="8" max="8" width="27" customWidth="1"/>
    <col min="9" max="9" width="31.5703125" customWidth="1"/>
    <col min="10" max="10" width="25.28515625" customWidth="1"/>
    <col min="11" max="11" width="7.42578125" customWidth="1"/>
    <col min="12" max="26" width="28.7109375" customWidth="1"/>
  </cols>
  <sheetData>
    <row r="1" spans="1:11" ht="30" customHeight="1" x14ac:dyDescent="0.35">
      <c r="A1" s="97" t="e" vm="1">
        <v>#VALUE!</v>
      </c>
      <c r="C1" s="8" t="e">
        <f>#REF!</f>
        <v>#REF!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8" t="str">
        <f>HYPERLINK("#'Home'!A1", "Home")</f>
        <v>Home</v>
      </c>
      <c r="C3" s="25"/>
      <c r="D3" s="25"/>
      <c r="E3" s="25"/>
      <c r="F3" s="25"/>
      <c r="G3" s="25"/>
      <c r="H3" s="25"/>
      <c r="I3" s="25"/>
      <c r="J3" s="25"/>
      <c r="K3" s="25"/>
    </row>
    <row r="4" spans="1:11" ht="20.100000000000001" customHeight="1" x14ac:dyDescent="0.25">
      <c r="A4" s="134" t="str">
        <f>HYPERLINK("#'Results'!A1", "Results")</f>
        <v>Results</v>
      </c>
      <c r="C4" s="25"/>
      <c r="D4" s="6" t="s">
        <v>56</v>
      </c>
      <c r="E4" s="6"/>
      <c r="F4" s="6"/>
      <c r="G4" s="6"/>
      <c r="H4" s="6"/>
      <c r="I4" s="6"/>
      <c r="J4" s="6"/>
      <c r="K4" s="29"/>
    </row>
    <row r="5" spans="1:11" ht="20.100000000000001" customHeight="1" x14ac:dyDescent="0.3">
      <c r="A5" s="17"/>
      <c r="C5" s="25"/>
      <c r="D5" s="5"/>
      <c r="E5" s="31"/>
      <c r="F5" s="32"/>
      <c r="G5" s="27"/>
      <c r="H5" s="27"/>
      <c r="I5" s="25"/>
      <c r="J5" s="25"/>
      <c r="K5" s="25"/>
    </row>
    <row r="6" spans="1:11" ht="20.100000000000001" customHeight="1" x14ac:dyDescent="0.25">
      <c r="A6" s="21" t="s">
        <v>3</v>
      </c>
      <c r="C6" s="25"/>
      <c r="D6" s="47" t="s">
        <v>13</v>
      </c>
      <c r="E6" s="47"/>
      <c r="F6" s="47"/>
      <c r="G6" s="27"/>
      <c r="H6" s="27"/>
      <c r="I6" s="25"/>
      <c r="J6" s="25"/>
      <c r="K6" s="25"/>
    </row>
    <row r="7" spans="1:11" ht="20.100000000000001" customHeight="1" x14ac:dyDescent="0.25">
      <c r="A7" s="18" t="str">
        <f>HYPERLINK("#'Input - Site'!A1", "Site")</f>
        <v>Site</v>
      </c>
      <c r="C7" s="25"/>
      <c r="D7" s="1" t="s">
        <v>5</v>
      </c>
      <c r="E7" s="45">
        <v>123</v>
      </c>
      <c r="F7" s="2"/>
      <c r="G7" s="27"/>
      <c r="H7" s="27"/>
      <c r="I7" s="25"/>
      <c r="J7" s="25"/>
      <c r="K7" s="25"/>
    </row>
    <row r="8" spans="1:11" ht="20.100000000000001" customHeight="1" x14ac:dyDescent="0.25">
      <c r="A8" s="18" t="str">
        <f>HYPERLINK("#'Input - MMS - Feedlot'!A1", "MMS - Feedlot")</f>
        <v>MMS - Feedlot</v>
      </c>
      <c r="C8" s="25"/>
      <c r="D8" s="1" t="s">
        <v>8</v>
      </c>
      <c r="E8" s="45">
        <v>20</v>
      </c>
      <c r="F8" s="2"/>
      <c r="G8" s="27"/>
      <c r="H8" s="27"/>
      <c r="I8" s="25"/>
      <c r="J8" s="25"/>
      <c r="K8" s="25"/>
    </row>
    <row r="9" spans="1:11" ht="20.100000000000001" customHeight="1" x14ac:dyDescent="0.25">
      <c r="A9" s="18"/>
      <c r="C9" s="25"/>
      <c r="D9" s="1" t="s">
        <v>10</v>
      </c>
      <c r="E9" s="45">
        <v>300</v>
      </c>
      <c r="F9" s="2"/>
      <c r="G9" s="27"/>
      <c r="H9" s="27"/>
      <c r="I9" s="25"/>
      <c r="J9" s="25"/>
      <c r="K9" s="25"/>
    </row>
    <row r="10" spans="1:11" ht="20.100000000000001" customHeight="1" x14ac:dyDescent="0.25">
      <c r="A10" s="20" t="s">
        <v>147</v>
      </c>
      <c r="C10" s="25"/>
      <c r="D10" s="1" t="s">
        <v>21</v>
      </c>
      <c r="E10" s="45">
        <v>-10</v>
      </c>
      <c r="F10" s="2"/>
      <c r="G10" s="27"/>
      <c r="H10" s="27"/>
      <c r="I10" s="25"/>
      <c r="J10" s="25"/>
      <c r="K10" s="25"/>
    </row>
    <row r="11" spans="1:11" ht="20.100000000000001" customHeight="1" x14ac:dyDescent="0.35">
      <c r="A11" s="18" t="str">
        <f>HYPERLINK("#'Calcs - CH4 MMS Feedlot'!A1", "MMS Methane")</f>
        <v>MMS Methane</v>
      </c>
      <c r="C11" s="25"/>
      <c r="D11" s="33" t="s">
        <v>22</v>
      </c>
      <c r="E11" s="26">
        <f>SUM(E7:E10)</f>
        <v>433</v>
      </c>
      <c r="F11" s="28" t="s">
        <v>15</v>
      </c>
      <c r="G11" s="27"/>
      <c r="H11" s="27"/>
      <c r="I11" s="25"/>
      <c r="J11" s="25"/>
      <c r="K11" s="25"/>
    </row>
    <row r="12" spans="1:11" ht="20.100000000000001" customHeight="1" x14ac:dyDescent="0.25">
      <c r="A12" s="18"/>
      <c r="C12" s="25"/>
      <c r="D12" s="25"/>
      <c r="E12" s="25"/>
      <c r="F12" s="25"/>
      <c r="G12" s="27"/>
      <c r="H12" s="27"/>
      <c r="I12" s="25"/>
      <c r="J12" s="25"/>
      <c r="K12" s="25"/>
    </row>
    <row r="13" spans="1:11" ht="20.100000000000001" customHeight="1" x14ac:dyDescent="0.25">
      <c r="A13" s="19" t="s">
        <v>4</v>
      </c>
      <c r="C13" s="25"/>
      <c r="D13" s="47" t="s">
        <v>85</v>
      </c>
      <c r="E13" s="47"/>
      <c r="F13" s="47"/>
      <c r="G13" s="25"/>
      <c r="H13" s="25"/>
      <c r="I13" s="25"/>
      <c r="J13" s="25"/>
      <c r="K13" s="25"/>
    </row>
    <row r="14" spans="1:11" ht="20.100000000000001" customHeight="1" x14ac:dyDescent="0.25">
      <c r="A14" s="18" t="str">
        <f>HYPERLINK("#'Constants - Common'!A1", "Constants - Common")</f>
        <v>Constants - Common</v>
      </c>
      <c r="C14" s="25"/>
      <c r="D14" s="48" t="s">
        <v>57</v>
      </c>
      <c r="E14" s="49"/>
      <c r="F14" s="50"/>
      <c r="G14" s="27"/>
      <c r="H14" s="27"/>
      <c r="I14" s="25"/>
      <c r="J14" s="25"/>
      <c r="K14" s="25"/>
    </row>
    <row r="15" spans="1:11" ht="20.100000000000001" customHeight="1" x14ac:dyDescent="0.25">
      <c r="A15" s="18" t="str">
        <f>HYPERLINK("#'Constants - Livestock'!A1", "Constants - Livestock")</f>
        <v>Constants - Livestock</v>
      </c>
      <c r="C15" s="25"/>
      <c r="D15" s="51" t="s">
        <v>66</v>
      </c>
      <c r="E15" s="52"/>
      <c r="F15" s="52"/>
      <c r="G15" s="25"/>
      <c r="H15" s="25"/>
      <c r="I15" s="25"/>
      <c r="J15" s="25"/>
      <c r="K15" s="25"/>
    </row>
    <row r="16" spans="1:11" ht="20.100000000000001" customHeight="1" x14ac:dyDescent="0.25">
      <c r="A16" s="18" t="str">
        <f>HYPERLINK("#'Acknowledgements'!A1", "Acknowledgements")</f>
        <v>Acknowledgements</v>
      </c>
      <c r="C16" s="25"/>
      <c r="D16" s="53" t="s">
        <v>47</v>
      </c>
      <c r="E16" s="57">
        <v>0.9</v>
      </c>
      <c r="F16" s="50" t="s">
        <v>44</v>
      </c>
      <c r="G16" s="27"/>
      <c r="H16" s="27"/>
      <c r="I16" s="25"/>
      <c r="J16" s="25"/>
      <c r="K16" s="25"/>
    </row>
    <row r="17" spans="1:11" ht="20.100000000000001" customHeight="1" x14ac:dyDescent="0.25">
      <c r="A17" s="96"/>
      <c r="C17" s="25"/>
      <c r="D17" s="53" t="s">
        <v>48</v>
      </c>
      <c r="E17" s="57">
        <v>0.1</v>
      </c>
      <c r="F17" s="50" t="s">
        <v>44</v>
      </c>
      <c r="G17" s="27"/>
      <c r="H17" s="27"/>
      <c r="I17" s="25"/>
      <c r="J17" s="25"/>
      <c r="K17" s="25"/>
    </row>
    <row r="18" spans="1:11" ht="20.100000000000001" customHeight="1" x14ac:dyDescent="0.25">
      <c r="A18" s="18"/>
      <c r="C18" s="25"/>
      <c r="D18" s="54" t="s">
        <v>58</v>
      </c>
      <c r="E18" s="56" t="s">
        <v>59</v>
      </c>
      <c r="F18" s="54"/>
      <c r="G18" s="27"/>
      <c r="H18" s="27"/>
      <c r="I18" s="25"/>
      <c r="J18" s="25"/>
      <c r="K18" s="25"/>
    </row>
    <row r="19" spans="1:11" ht="20.100000000000001" customHeight="1" x14ac:dyDescent="0.25">
      <c r="A19" s="18"/>
      <c r="C19" s="25"/>
      <c r="D19" s="74" t="s">
        <v>82</v>
      </c>
      <c r="E19" s="25"/>
      <c r="F19" s="25"/>
      <c r="G19" s="25"/>
      <c r="H19" s="25"/>
      <c r="I19" s="25"/>
      <c r="J19" s="25"/>
      <c r="K19" s="25"/>
    </row>
    <row r="20" spans="1:11" ht="20.100000000000001" customHeight="1" x14ac:dyDescent="0.25">
      <c r="C20" s="25"/>
      <c r="D20" s="46" t="s">
        <v>45</v>
      </c>
      <c r="E20" s="40"/>
      <c r="F20" s="39"/>
      <c r="G20" s="25"/>
      <c r="H20" s="25"/>
      <c r="I20" s="25"/>
      <c r="J20" s="25"/>
      <c r="K20" s="25"/>
    </row>
    <row r="21" spans="1:11" ht="20.100000000000001" customHeight="1" x14ac:dyDescent="0.25">
      <c r="C21" s="25"/>
      <c r="D21" s="25" t="s">
        <v>60</v>
      </c>
      <c r="E21" s="30">
        <v>100</v>
      </c>
      <c r="F21" s="2" t="s">
        <v>61</v>
      </c>
      <c r="G21" s="25"/>
      <c r="H21" s="25"/>
      <c r="I21" s="25"/>
      <c r="J21" s="25"/>
      <c r="K21" s="25"/>
    </row>
    <row r="22" spans="1:11" ht="20.100000000000001" customHeight="1" x14ac:dyDescent="0.25">
      <c r="C22" s="25"/>
      <c r="D22" s="1" t="s">
        <v>17</v>
      </c>
      <c r="E22" s="55">
        <f>(E11+E10)*E16/E21</f>
        <v>3.8069999999999999</v>
      </c>
      <c r="F22" s="2" t="s">
        <v>14</v>
      </c>
      <c r="G22" s="25"/>
      <c r="H22" s="25"/>
      <c r="I22" s="25"/>
      <c r="J22" s="25"/>
      <c r="K22" s="25"/>
    </row>
    <row r="23" spans="1:11" ht="20.100000000000001" customHeight="1" x14ac:dyDescent="0.25">
      <c r="C23" s="25"/>
      <c r="D23" s="1" t="s">
        <v>16</v>
      </c>
      <c r="E23" s="55">
        <f>E11*E16/E21</f>
        <v>3.8969999999999998</v>
      </c>
      <c r="F23" s="2" t="s">
        <v>14</v>
      </c>
      <c r="G23" s="25"/>
      <c r="H23" s="25"/>
      <c r="I23" s="25"/>
      <c r="J23" s="25"/>
      <c r="K23" s="25"/>
    </row>
    <row r="24" spans="1:11" ht="20.100000000000001" customHeight="1" x14ac:dyDescent="0.25">
      <c r="C24" s="25"/>
      <c r="D24" s="25"/>
      <c r="E24" s="1"/>
      <c r="F24" s="25"/>
      <c r="G24" s="25"/>
      <c r="H24" s="25"/>
      <c r="I24" s="25"/>
      <c r="J24" s="25"/>
      <c r="K24" s="25"/>
    </row>
    <row r="25" spans="1:11" ht="20.100000000000001" customHeight="1" x14ac:dyDescent="0.25">
      <c r="C25" s="25"/>
      <c r="D25" s="46" t="s">
        <v>46</v>
      </c>
      <c r="E25" s="40"/>
      <c r="F25" s="39"/>
      <c r="G25" s="25"/>
      <c r="H25" s="25"/>
      <c r="I25" s="25"/>
      <c r="J25" s="25"/>
      <c r="K25" s="25"/>
    </row>
    <row r="26" spans="1:11" ht="20.100000000000001" customHeight="1" x14ac:dyDescent="0.25">
      <c r="C26" s="25"/>
      <c r="D26" s="25" t="s">
        <v>62</v>
      </c>
      <c r="E26" s="30">
        <v>10</v>
      </c>
      <c r="F26" s="2" t="s">
        <v>61</v>
      </c>
      <c r="G26" s="25"/>
      <c r="H26" s="25"/>
      <c r="I26" s="25"/>
      <c r="J26" s="25"/>
      <c r="K26" s="25"/>
    </row>
    <row r="27" spans="1:11" ht="20.100000000000001" customHeight="1" x14ac:dyDescent="0.25">
      <c r="C27" s="25"/>
      <c r="D27" s="1" t="s">
        <v>18</v>
      </c>
      <c r="E27" s="55">
        <f>(E11+E10)*E17/E26</f>
        <v>4.2300000000000004</v>
      </c>
      <c r="F27" s="2" t="s">
        <v>52</v>
      </c>
      <c r="G27" s="27"/>
      <c r="H27" s="27"/>
      <c r="I27" s="25"/>
      <c r="J27" s="25"/>
      <c r="K27" s="25"/>
    </row>
    <row r="28" spans="1:11" ht="20.100000000000001" customHeight="1" x14ac:dyDescent="0.3">
      <c r="C28" s="25"/>
      <c r="D28" s="1" t="s">
        <v>19</v>
      </c>
      <c r="E28" s="55">
        <f>E11*E17/E26</f>
        <v>4.33</v>
      </c>
      <c r="F28" s="2" t="s">
        <v>52</v>
      </c>
      <c r="G28" s="31"/>
      <c r="H28" s="31"/>
      <c r="I28" s="25"/>
      <c r="J28" s="25"/>
      <c r="K28" s="25"/>
    </row>
    <row r="29" spans="1:11" ht="20.100000000000001" customHeight="1" x14ac:dyDescent="0.25"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20.100000000000001" customHeight="1" x14ac:dyDescent="0.25">
      <c r="C30" s="25"/>
      <c r="D30" s="46" t="s">
        <v>81</v>
      </c>
      <c r="E30" s="40"/>
      <c r="F30" s="39"/>
      <c r="G30" s="25"/>
      <c r="H30" s="25"/>
      <c r="I30" s="25"/>
      <c r="J30" s="25"/>
      <c r="K30" s="25"/>
    </row>
    <row r="31" spans="1:11" ht="20.100000000000001" customHeight="1" x14ac:dyDescent="0.25">
      <c r="C31" s="25"/>
      <c r="D31" s="25" t="s">
        <v>64</v>
      </c>
      <c r="E31" s="30">
        <v>50</v>
      </c>
      <c r="F31" s="2" t="s">
        <v>61</v>
      </c>
      <c r="G31" s="25"/>
      <c r="H31" s="25"/>
      <c r="I31" s="25"/>
      <c r="J31" s="25"/>
      <c r="K31" s="25"/>
    </row>
    <row r="32" spans="1:11" ht="20.100000000000001" customHeight="1" x14ac:dyDescent="0.25">
      <c r="C32" s="25"/>
      <c r="D32" s="1" t="s">
        <v>63</v>
      </c>
      <c r="E32" s="55">
        <f>(E11+E10)/E31</f>
        <v>8.4600000000000009</v>
      </c>
      <c r="F32" s="2" t="s">
        <v>52</v>
      </c>
      <c r="G32" s="27"/>
      <c r="H32" s="27"/>
      <c r="I32" s="25"/>
      <c r="J32" s="25"/>
      <c r="K32" s="25"/>
    </row>
    <row r="33" spans="3:11" ht="20.100000000000001" customHeight="1" x14ac:dyDescent="0.3">
      <c r="C33" s="25"/>
      <c r="D33" s="1" t="s">
        <v>65</v>
      </c>
      <c r="E33" s="55">
        <f>E11/E31</f>
        <v>8.66</v>
      </c>
      <c r="F33" s="2" t="s">
        <v>52</v>
      </c>
      <c r="G33" s="31"/>
      <c r="H33" s="31"/>
      <c r="I33" s="25"/>
      <c r="J33" s="25"/>
      <c r="K33" s="25"/>
    </row>
    <row r="34" spans="3:11" ht="20.100000000000001" customHeight="1" x14ac:dyDescent="0.25">
      <c r="C34" s="25"/>
      <c r="D34" s="25"/>
      <c r="E34" s="25"/>
      <c r="F34" s="25"/>
      <c r="G34" s="25"/>
      <c r="H34" s="25"/>
      <c r="I34" s="25"/>
      <c r="J34" s="25"/>
      <c r="K34" s="25"/>
    </row>
    <row r="35" spans="3:11" ht="20.100000000000001" customHeight="1" x14ac:dyDescent="0.25">
      <c r="C35" s="25"/>
      <c r="D35" s="25"/>
      <c r="E35" s="25"/>
      <c r="F35" s="25"/>
      <c r="G35" s="25"/>
      <c r="H35" s="25"/>
      <c r="I35" s="25"/>
      <c r="J35" s="25"/>
      <c r="K35" s="25"/>
    </row>
    <row r="36" spans="3:11" ht="20.100000000000001" customHeight="1" x14ac:dyDescent="0.25">
      <c r="C36" s="25"/>
      <c r="D36" s="6" t="s">
        <v>49</v>
      </c>
      <c r="E36" s="27"/>
      <c r="F36" s="27"/>
      <c r="G36" s="27"/>
      <c r="H36" s="25"/>
      <c r="I36" s="25"/>
      <c r="J36" s="25"/>
      <c r="K36" s="25"/>
    </row>
    <row r="37" spans="3:11" ht="20.100000000000001" customHeight="1" x14ac:dyDescent="0.3">
      <c r="C37" s="25"/>
      <c r="D37" s="30"/>
      <c r="E37" s="31"/>
      <c r="F37" s="31"/>
      <c r="G37" s="31"/>
      <c r="H37" s="29"/>
      <c r="I37" s="25"/>
      <c r="J37" s="25"/>
      <c r="K37" s="25"/>
    </row>
    <row r="38" spans="3:11" ht="20.100000000000001" customHeight="1" x14ac:dyDescent="0.25">
      <c r="C38" s="25"/>
      <c r="D38" s="42" t="s">
        <v>5</v>
      </c>
      <c r="E38" s="42"/>
      <c r="F38" s="128" t="s">
        <v>80</v>
      </c>
      <c r="G38" s="128" t="e">
        <f>#REF!</f>
        <v>#REF!</v>
      </c>
      <c r="H38" s="41"/>
      <c r="I38" s="128" t="e">
        <f>#REF!</f>
        <v>#REF!</v>
      </c>
      <c r="J38" s="41"/>
      <c r="K38" s="25"/>
    </row>
    <row r="39" spans="3:11" ht="20.100000000000001" customHeight="1" x14ac:dyDescent="0.25">
      <c r="C39" s="25"/>
      <c r="D39" s="1" t="s">
        <v>24</v>
      </c>
      <c r="E39" s="45" t="e">
        <f>#REF!</f>
        <v>#REF!</v>
      </c>
      <c r="F39" s="60" t="s">
        <v>167</v>
      </c>
      <c r="G39" s="75">
        <v>0.2</v>
      </c>
      <c r="H39" s="45" t="e">
        <f>E39*G39</f>
        <v>#REF!</v>
      </c>
      <c r="I39" s="75">
        <v>0.8</v>
      </c>
      <c r="J39" s="45" t="e">
        <f>E39*I39</f>
        <v>#REF!</v>
      </c>
      <c r="K39" s="25"/>
    </row>
    <row r="40" spans="3:11" ht="20.100000000000001" customHeight="1" x14ac:dyDescent="0.25">
      <c r="C40" s="25"/>
      <c r="D40" s="1" t="s">
        <v>25</v>
      </c>
      <c r="E40" s="45" t="e">
        <f>#REF!</f>
        <v>#REF!</v>
      </c>
      <c r="F40" s="60" t="s">
        <v>168</v>
      </c>
      <c r="G40" s="75">
        <v>1</v>
      </c>
      <c r="H40" s="45" t="e">
        <f t="shared" ref="H40:H52" si="0">E40*G40</f>
        <v>#REF!</v>
      </c>
      <c r="I40" s="75">
        <v>0</v>
      </c>
      <c r="J40" s="45" t="e">
        <f t="shared" ref="J40:J52" si="1">E40*I40</f>
        <v>#REF!</v>
      </c>
      <c r="K40" s="25"/>
    </row>
    <row r="41" spans="3:11" ht="20.100000000000001" customHeight="1" x14ac:dyDescent="0.25">
      <c r="C41" s="25"/>
      <c r="D41" s="1" t="s">
        <v>26</v>
      </c>
      <c r="E41" s="45" t="e">
        <f>#REF!</f>
        <v>#REF!</v>
      </c>
      <c r="F41" s="60" t="s">
        <v>169</v>
      </c>
      <c r="G41" s="75">
        <v>1</v>
      </c>
      <c r="H41" s="45" t="e">
        <f t="shared" si="0"/>
        <v>#REF!</v>
      </c>
      <c r="I41" s="75">
        <v>0</v>
      </c>
      <c r="J41" s="45" t="e">
        <f t="shared" si="1"/>
        <v>#REF!</v>
      </c>
      <c r="K41" s="25"/>
    </row>
    <row r="42" spans="3:11" ht="20.100000000000001" customHeight="1" x14ac:dyDescent="0.25">
      <c r="C42" s="25"/>
      <c r="D42" s="1" t="s">
        <v>27</v>
      </c>
      <c r="E42" s="45" t="e">
        <f>#REF!</f>
        <v>#REF!</v>
      </c>
      <c r="F42" s="60" t="s">
        <v>167</v>
      </c>
      <c r="G42" s="75">
        <v>0.2</v>
      </c>
      <c r="H42" s="45" t="e">
        <f t="shared" si="0"/>
        <v>#REF!</v>
      </c>
      <c r="I42" s="75">
        <v>0.8</v>
      </c>
      <c r="J42" s="45" t="e">
        <f t="shared" si="1"/>
        <v>#REF!</v>
      </c>
      <c r="K42" s="25"/>
    </row>
    <row r="43" spans="3:11" ht="20.100000000000001" customHeight="1" x14ac:dyDescent="0.25">
      <c r="C43" s="25"/>
      <c r="D43" s="1" t="s">
        <v>28</v>
      </c>
      <c r="E43" s="45">
        <v>3</v>
      </c>
      <c r="F43" s="60" t="s">
        <v>170</v>
      </c>
      <c r="G43" s="75">
        <v>0.5</v>
      </c>
      <c r="H43" s="45">
        <f t="shared" si="0"/>
        <v>1.5</v>
      </c>
      <c r="I43" s="75">
        <v>0.5</v>
      </c>
      <c r="J43" s="45">
        <f t="shared" si="1"/>
        <v>1.5</v>
      </c>
      <c r="K43" s="25"/>
    </row>
    <row r="44" spans="3:11" ht="20.100000000000001" customHeight="1" x14ac:dyDescent="0.25">
      <c r="C44" s="25"/>
      <c r="D44" s="1" t="s">
        <v>29</v>
      </c>
      <c r="E44" s="45">
        <v>7</v>
      </c>
      <c r="F44" s="60" t="s">
        <v>170</v>
      </c>
      <c r="G44" s="75">
        <v>0.5</v>
      </c>
      <c r="H44" s="45">
        <f t="shared" si="0"/>
        <v>3.5</v>
      </c>
      <c r="I44" s="75">
        <v>0.5</v>
      </c>
      <c r="J44" s="45">
        <f t="shared" si="1"/>
        <v>3.5</v>
      </c>
      <c r="K44" s="25"/>
    </row>
    <row r="45" spans="3:11" ht="20.100000000000001" customHeight="1" x14ac:dyDescent="0.25">
      <c r="C45" s="25"/>
      <c r="D45" s="1" t="s">
        <v>30</v>
      </c>
      <c r="E45" s="45">
        <v>123</v>
      </c>
      <c r="F45" s="60" t="s">
        <v>171</v>
      </c>
      <c r="G45" s="75">
        <v>0</v>
      </c>
      <c r="H45" s="45">
        <f t="shared" si="0"/>
        <v>0</v>
      </c>
      <c r="I45" s="75">
        <v>1</v>
      </c>
      <c r="J45" s="45">
        <f t="shared" si="1"/>
        <v>123</v>
      </c>
      <c r="K45" s="25"/>
    </row>
    <row r="46" spans="3:11" ht="20.100000000000001" customHeight="1" x14ac:dyDescent="0.25">
      <c r="C46" s="25"/>
      <c r="D46" s="1" t="s">
        <v>105</v>
      </c>
      <c r="E46" s="45" t="e">
        <f>#REF!</f>
        <v>#REF!</v>
      </c>
      <c r="F46" s="60" t="s">
        <v>172</v>
      </c>
      <c r="G46" s="75">
        <v>0.6</v>
      </c>
      <c r="H46" s="45" t="e">
        <f t="shared" si="0"/>
        <v>#REF!</v>
      </c>
      <c r="I46" s="75">
        <v>0.4</v>
      </c>
      <c r="J46" s="45" t="e">
        <f t="shared" si="1"/>
        <v>#REF!</v>
      </c>
      <c r="K46" s="25"/>
    </row>
    <row r="47" spans="3:11" ht="20.100000000000001" customHeight="1" x14ac:dyDescent="0.25">
      <c r="C47" s="25"/>
      <c r="D47" s="1" t="s">
        <v>106</v>
      </c>
      <c r="E47" s="45" t="e">
        <f>#REF!</f>
        <v>#REF!</v>
      </c>
      <c r="F47" s="60"/>
      <c r="G47" s="75"/>
      <c r="H47" s="45" t="e">
        <f t="shared" si="0"/>
        <v>#REF!</v>
      </c>
      <c r="I47" s="75"/>
      <c r="J47" s="45" t="e">
        <f t="shared" si="1"/>
        <v>#REF!</v>
      </c>
      <c r="K47" s="25"/>
    </row>
    <row r="48" spans="3:11" ht="20.100000000000001" customHeight="1" x14ac:dyDescent="0.25">
      <c r="C48" s="25"/>
      <c r="D48" s="1" t="s">
        <v>31</v>
      </c>
      <c r="E48" s="45">
        <v>123</v>
      </c>
      <c r="F48" s="60" t="s">
        <v>170</v>
      </c>
      <c r="G48" s="75">
        <v>0.5</v>
      </c>
      <c r="H48" s="45">
        <f t="shared" si="0"/>
        <v>61.5</v>
      </c>
      <c r="I48" s="75">
        <v>0.5</v>
      </c>
      <c r="J48" s="45">
        <f t="shared" si="1"/>
        <v>61.5</v>
      </c>
      <c r="K48" s="25"/>
    </row>
    <row r="49" spans="3:11" ht="20.100000000000001" customHeight="1" x14ac:dyDescent="0.25">
      <c r="C49" s="25"/>
      <c r="D49" s="1" t="s">
        <v>32</v>
      </c>
      <c r="E49" s="45">
        <v>1054</v>
      </c>
      <c r="F49" s="60"/>
      <c r="G49" s="75"/>
      <c r="H49" s="45">
        <f t="shared" si="0"/>
        <v>0</v>
      </c>
      <c r="I49" s="75"/>
      <c r="J49" s="45">
        <f t="shared" si="1"/>
        <v>0</v>
      </c>
      <c r="K49" s="25"/>
    </row>
    <row r="50" spans="3:11" ht="20.100000000000001" customHeight="1" x14ac:dyDescent="0.25">
      <c r="C50" s="25"/>
      <c r="D50" s="1" t="s">
        <v>33</v>
      </c>
      <c r="E50" s="45">
        <v>600</v>
      </c>
      <c r="F50" s="60"/>
      <c r="G50" s="75"/>
      <c r="H50" s="45">
        <f t="shared" si="0"/>
        <v>0</v>
      </c>
      <c r="I50" s="75"/>
      <c r="J50" s="45">
        <f t="shared" si="1"/>
        <v>0</v>
      </c>
      <c r="K50" s="25"/>
    </row>
    <row r="51" spans="3:11" ht="20.100000000000001" customHeight="1" x14ac:dyDescent="0.25">
      <c r="C51" s="25"/>
      <c r="D51" s="1" t="s">
        <v>34</v>
      </c>
      <c r="E51" s="45">
        <v>82</v>
      </c>
      <c r="F51" s="60"/>
      <c r="G51" s="75"/>
      <c r="H51" s="45">
        <f t="shared" si="0"/>
        <v>0</v>
      </c>
      <c r="I51" s="75"/>
      <c r="J51" s="45">
        <f t="shared" si="1"/>
        <v>0</v>
      </c>
      <c r="K51" s="25"/>
    </row>
    <row r="52" spans="3:11" ht="20.100000000000001" customHeight="1" x14ac:dyDescent="0.25">
      <c r="C52" s="25"/>
      <c r="D52" s="1" t="s">
        <v>35</v>
      </c>
      <c r="E52" s="45" t="e">
        <f>#REF!</f>
        <v>#REF!</v>
      </c>
      <c r="F52" s="60"/>
      <c r="G52" s="75"/>
      <c r="H52" s="45" t="e">
        <f t="shared" si="0"/>
        <v>#REF!</v>
      </c>
      <c r="I52" s="75"/>
      <c r="J52" s="45" t="e">
        <f t="shared" si="1"/>
        <v>#REF!</v>
      </c>
      <c r="K52" s="25"/>
    </row>
    <row r="53" spans="3:11" ht="20.100000000000001" customHeight="1" x14ac:dyDescent="0.3">
      <c r="C53" s="25"/>
      <c r="D53" s="44" t="s">
        <v>7</v>
      </c>
      <c r="E53" s="26" t="e">
        <f>SUM(E39:E52)</f>
        <v>#REF!</v>
      </c>
      <c r="F53" s="28"/>
      <c r="G53" s="25"/>
      <c r="H53" s="26" t="e">
        <f>SUM(H39:H52)</f>
        <v>#REF!</v>
      </c>
      <c r="I53" s="25"/>
      <c r="J53" s="26" t="e">
        <f>SUM(J39:J52)</f>
        <v>#REF!</v>
      </c>
      <c r="K53" s="25"/>
    </row>
    <row r="54" spans="3:11" ht="20.100000000000001" customHeight="1" x14ac:dyDescent="0.25">
      <c r="C54" s="25"/>
      <c r="D54" s="25"/>
      <c r="E54" s="25"/>
      <c r="F54" s="25"/>
      <c r="G54" s="25"/>
      <c r="H54" s="25"/>
      <c r="I54" s="25"/>
      <c r="J54" s="25"/>
      <c r="K54" s="25"/>
    </row>
    <row r="55" spans="3:11" ht="20.100000000000001" customHeight="1" x14ac:dyDescent="0.25">
      <c r="C55" s="25"/>
      <c r="D55" s="46" t="s">
        <v>51</v>
      </c>
      <c r="E55" s="39"/>
      <c r="F55" s="39"/>
      <c r="G55" s="25"/>
      <c r="H55" s="25"/>
      <c r="I55" s="25"/>
      <c r="J55" s="25"/>
      <c r="K55" s="25"/>
    </row>
    <row r="56" spans="3:11" ht="20.100000000000001" customHeight="1" x14ac:dyDescent="0.35">
      <c r="C56" s="25"/>
      <c r="D56" s="1" t="s">
        <v>54</v>
      </c>
      <c r="E56" s="45">
        <v>300</v>
      </c>
      <c r="F56" s="28" t="s">
        <v>20</v>
      </c>
      <c r="G56" s="25"/>
      <c r="H56" s="25"/>
      <c r="I56" s="25"/>
      <c r="J56" s="25"/>
      <c r="K56" s="25"/>
    </row>
    <row r="57" spans="3:11" ht="20.100000000000001" customHeight="1" x14ac:dyDescent="0.35">
      <c r="C57" s="25"/>
      <c r="D57" s="1" t="s">
        <v>50</v>
      </c>
      <c r="E57" s="45">
        <v>500</v>
      </c>
      <c r="F57" s="32" t="s">
        <v>20</v>
      </c>
      <c r="G57" s="25"/>
      <c r="H57" s="25"/>
      <c r="I57" s="25"/>
      <c r="J57" s="25"/>
      <c r="K57" s="25"/>
    </row>
    <row r="58" spans="3:11" ht="20.100000000000001" customHeight="1" x14ac:dyDescent="0.35">
      <c r="C58" s="25"/>
      <c r="D58" s="1" t="s">
        <v>55</v>
      </c>
      <c r="E58" s="45">
        <v>20</v>
      </c>
      <c r="F58" s="32" t="s">
        <v>20</v>
      </c>
      <c r="G58" s="25"/>
      <c r="H58" s="25"/>
      <c r="I58" s="25"/>
      <c r="J58" s="25"/>
      <c r="K58" s="25"/>
    </row>
    <row r="59" spans="3:11" ht="20.100000000000001" customHeight="1" x14ac:dyDescent="0.25">
      <c r="C59" s="25"/>
      <c r="D59" s="25"/>
      <c r="E59" s="25"/>
      <c r="F59" s="25"/>
      <c r="G59" s="25"/>
      <c r="H59" s="25"/>
      <c r="I59" s="25"/>
      <c r="J59" s="25"/>
      <c r="K59" s="25"/>
    </row>
    <row r="60" spans="3:11" ht="20.100000000000001" customHeight="1" x14ac:dyDescent="0.25">
      <c r="C60" s="25"/>
      <c r="D60" s="25"/>
      <c r="E60" s="25"/>
      <c r="F60" s="25"/>
      <c r="G60" s="25"/>
      <c r="H60" s="25"/>
      <c r="I60" s="25"/>
      <c r="J60" s="25"/>
      <c r="K60" s="25"/>
    </row>
    <row r="61" spans="3:11" ht="20.100000000000001" customHeight="1" x14ac:dyDescent="0.25">
      <c r="C61" s="25"/>
      <c r="D61" s="34" t="s">
        <v>8</v>
      </c>
      <c r="E61" s="34"/>
      <c r="F61" s="34"/>
      <c r="G61" s="35"/>
      <c r="H61" s="36"/>
      <c r="I61" s="35"/>
      <c r="J61" s="35"/>
      <c r="K61" s="25"/>
    </row>
    <row r="62" spans="3:11" ht="20.100000000000001" customHeight="1" x14ac:dyDescent="0.3">
      <c r="C62" s="25"/>
      <c r="D62" s="1" t="s">
        <v>6</v>
      </c>
      <c r="E62" s="45" t="e">
        <f>#REF!</f>
        <v>#REF!</v>
      </c>
      <c r="F62" s="2"/>
      <c r="G62" s="25"/>
      <c r="H62" s="31"/>
      <c r="I62" s="25"/>
      <c r="J62" s="25"/>
      <c r="K62" s="25"/>
    </row>
    <row r="63" spans="3:11" ht="20.100000000000001" customHeight="1" x14ac:dyDescent="0.35">
      <c r="C63" s="25"/>
      <c r="D63" s="44" t="s">
        <v>9</v>
      </c>
      <c r="E63" s="26">
        <v>123</v>
      </c>
      <c r="F63" s="28" t="s">
        <v>20</v>
      </c>
      <c r="G63" s="25"/>
      <c r="H63" s="25"/>
      <c r="I63" s="25"/>
      <c r="J63" s="25"/>
      <c r="K63" s="25"/>
    </row>
    <row r="64" spans="3:11" ht="20.100000000000001" customHeight="1" x14ac:dyDescent="0.25">
      <c r="C64" s="25"/>
      <c r="D64" s="25"/>
      <c r="E64" s="25"/>
      <c r="F64" s="25"/>
      <c r="G64" s="25"/>
      <c r="H64" s="25"/>
      <c r="I64" s="25"/>
      <c r="J64" s="25"/>
      <c r="K64" s="25"/>
    </row>
    <row r="65" spans="3:11" ht="20.100000000000001" customHeight="1" x14ac:dyDescent="0.25">
      <c r="C65" s="25"/>
      <c r="D65" s="37" t="s">
        <v>10</v>
      </c>
      <c r="E65" s="37"/>
      <c r="F65" s="37"/>
      <c r="G65" s="38"/>
      <c r="H65" s="38"/>
      <c r="I65" s="38"/>
      <c r="J65" s="38"/>
      <c r="K65" s="25"/>
    </row>
    <row r="66" spans="3:11" ht="20.100000000000001" customHeight="1" x14ac:dyDescent="0.25">
      <c r="C66" s="25"/>
      <c r="D66" s="1" t="s">
        <v>36</v>
      </c>
      <c r="E66" s="45">
        <v>123</v>
      </c>
      <c r="F66" s="2"/>
      <c r="G66" s="25"/>
      <c r="H66" s="25"/>
      <c r="I66" s="25"/>
      <c r="J66" s="25"/>
      <c r="K66" s="25"/>
    </row>
    <row r="67" spans="3:11" ht="20.100000000000001" customHeight="1" x14ac:dyDescent="0.25">
      <c r="C67" s="25"/>
      <c r="D67" s="1" t="s">
        <v>37</v>
      </c>
      <c r="E67" s="45">
        <v>80</v>
      </c>
      <c r="F67" s="2"/>
      <c r="G67" s="25"/>
      <c r="H67" s="25"/>
      <c r="I67" s="25"/>
      <c r="J67" s="25"/>
      <c r="K67" s="25"/>
    </row>
    <row r="68" spans="3:11" ht="20.100000000000001" customHeight="1" x14ac:dyDescent="0.25">
      <c r="C68" s="25"/>
      <c r="D68" s="1" t="s">
        <v>38</v>
      </c>
      <c r="E68" s="45">
        <v>654</v>
      </c>
      <c r="F68" s="2"/>
      <c r="G68" s="25"/>
      <c r="H68" s="25"/>
      <c r="I68" s="25"/>
      <c r="J68" s="25"/>
      <c r="K68" s="25"/>
    </row>
    <row r="69" spans="3:11" ht="20.100000000000001" customHeight="1" x14ac:dyDescent="0.25">
      <c r="C69" s="25"/>
      <c r="D69" s="1" t="s">
        <v>39</v>
      </c>
      <c r="E69" s="45">
        <v>6</v>
      </c>
      <c r="F69" s="2"/>
      <c r="G69" s="25"/>
      <c r="H69" s="25"/>
      <c r="I69" s="25"/>
      <c r="J69" s="25"/>
      <c r="K69" s="25"/>
    </row>
    <row r="70" spans="3:11" ht="20.100000000000001" customHeight="1" x14ac:dyDescent="0.25">
      <c r="C70" s="25"/>
      <c r="D70" s="1" t="s">
        <v>40</v>
      </c>
      <c r="E70" s="45" t="e">
        <f>#REF!</f>
        <v>#REF!</v>
      </c>
      <c r="F70" s="2"/>
      <c r="G70" s="25"/>
      <c r="H70" s="25"/>
      <c r="I70" s="25"/>
      <c r="J70" s="25"/>
      <c r="K70" s="25"/>
    </row>
    <row r="71" spans="3:11" ht="20.100000000000001" customHeight="1" x14ac:dyDescent="0.25">
      <c r="C71" s="25"/>
      <c r="D71" s="1" t="s">
        <v>41</v>
      </c>
      <c r="E71" s="45" t="e">
        <f>#REF!</f>
        <v>#REF!</v>
      </c>
      <c r="F71" s="2"/>
      <c r="G71" s="25"/>
      <c r="H71" s="25"/>
      <c r="I71" s="25"/>
      <c r="J71" s="25"/>
      <c r="K71" s="25"/>
    </row>
    <row r="72" spans="3:11" ht="20.100000000000001" customHeight="1" x14ac:dyDescent="0.25">
      <c r="C72" s="25"/>
      <c r="D72" s="1" t="s">
        <v>42</v>
      </c>
      <c r="E72" s="45">
        <v>3</v>
      </c>
      <c r="F72" s="2"/>
      <c r="G72" s="25"/>
      <c r="H72" s="25"/>
      <c r="I72" s="25"/>
      <c r="J72" s="25"/>
      <c r="K72" s="25"/>
    </row>
    <row r="73" spans="3:11" ht="20.100000000000001" customHeight="1" x14ac:dyDescent="0.25">
      <c r="C73" s="25"/>
      <c r="D73" s="1" t="s">
        <v>43</v>
      </c>
      <c r="E73" s="45">
        <v>180</v>
      </c>
      <c r="F73" s="2"/>
      <c r="G73" s="25"/>
      <c r="H73" s="25"/>
      <c r="I73" s="25"/>
      <c r="J73" s="25"/>
      <c r="K73" s="25"/>
    </row>
    <row r="74" spans="3:11" ht="20.100000000000001" customHeight="1" x14ac:dyDescent="0.25">
      <c r="C74" s="25"/>
      <c r="D74" s="1" t="s">
        <v>6</v>
      </c>
      <c r="E74" s="45">
        <v>12</v>
      </c>
      <c r="F74" s="2"/>
      <c r="G74" s="25"/>
      <c r="H74" s="25"/>
      <c r="I74" s="25"/>
      <c r="J74" s="25"/>
      <c r="K74" s="25"/>
    </row>
    <row r="75" spans="3:11" ht="20.100000000000001" customHeight="1" x14ac:dyDescent="0.25">
      <c r="C75" s="25"/>
      <c r="D75" s="1" t="s">
        <v>6</v>
      </c>
      <c r="E75" s="45">
        <v>67</v>
      </c>
      <c r="F75" s="2"/>
      <c r="G75" s="25"/>
      <c r="H75" s="25"/>
      <c r="I75" s="25"/>
      <c r="J75" s="25"/>
      <c r="K75" s="25"/>
    </row>
    <row r="76" spans="3:11" ht="15.75" x14ac:dyDescent="0.25">
      <c r="C76" s="25"/>
      <c r="D76" s="1" t="s">
        <v>6</v>
      </c>
      <c r="E76" s="45">
        <v>123</v>
      </c>
      <c r="F76" s="2"/>
      <c r="G76" s="25"/>
      <c r="H76" s="25"/>
      <c r="I76" s="25"/>
      <c r="J76" s="25"/>
      <c r="K76" s="25"/>
    </row>
    <row r="77" spans="3:11" ht="15.75" x14ac:dyDescent="0.25">
      <c r="C77" s="25"/>
      <c r="D77" s="1" t="s">
        <v>6</v>
      </c>
      <c r="E77" s="45">
        <v>893</v>
      </c>
      <c r="F77" s="2"/>
      <c r="G77" s="25"/>
      <c r="H77" s="25"/>
      <c r="I77" s="25"/>
      <c r="J77" s="25"/>
      <c r="K77" s="25"/>
    </row>
    <row r="78" spans="3:11" ht="19.5" x14ac:dyDescent="0.35">
      <c r="C78" s="25"/>
      <c r="D78" s="44" t="s">
        <v>11</v>
      </c>
      <c r="E78" s="26">
        <v>123</v>
      </c>
      <c r="F78" s="28" t="s">
        <v>20</v>
      </c>
      <c r="G78" s="25"/>
      <c r="H78" s="25"/>
      <c r="I78" s="25"/>
      <c r="J78" s="25"/>
      <c r="K78" s="25"/>
    </row>
    <row r="79" spans="3:11" x14ac:dyDescent="0.25">
      <c r="C79" s="25"/>
      <c r="D79" s="25"/>
      <c r="E79" s="25"/>
      <c r="F79" s="25"/>
      <c r="G79" s="25"/>
      <c r="H79" s="25"/>
      <c r="I79" s="25"/>
      <c r="J79" s="25"/>
      <c r="K79" s="25"/>
    </row>
    <row r="80" spans="3:11" x14ac:dyDescent="0.25">
      <c r="C80" s="25"/>
      <c r="D80" s="25"/>
      <c r="E80" s="25"/>
      <c r="F80" s="25"/>
      <c r="G80" s="25"/>
      <c r="H80" s="25"/>
      <c r="I80" s="25"/>
      <c r="J80" s="25"/>
      <c r="K80" s="25"/>
    </row>
    <row r="81" spans="3:11" x14ac:dyDescent="0.25">
      <c r="C81" s="25"/>
      <c r="D81" s="25"/>
      <c r="E81" s="25"/>
      <c r="F81" s="25"/>
      <c r="G81" s="25"/>
      <c r="H81" s="25"/>
      <c r="I81" s="25"/>
      <c r="J81" s="25"/>
      <c r="K81" s="25"/>
    </row>
    <row r="82" spans="3:11" ht="23.25" x14ac:dyDescent="0.25">
      <c r="C82" s="25"/>
      <c r="D82" s="43" t="s">
        <v>12</v>
      </c>
      <c r="E82" s="43"/>
      <c r="F82" s="43"/>
      <c r="G82" s="13"/>
      <c r="H82" s="13"/>
      <c r="I82" s="13"/>
      <c r="J82" s="13"/>
      <c r="K82" s="25"/>
    </row>
    <row r="83" spans="3:11" ht="15.75" x14ac:dyDescent="0.25">
      <c r="C83" s="25"/>
      <c r="D83" s="1" t="s">
        <v>23</v>
      </c>
      <c r="E83" s="45">
        <v>123</v>
      </c>
      <c r="F83" s="2"/>
      <c r="G83" s="25"/>
      <c r="H83" s="25"/>
      <c r="I83" s="25"/>
      <c r="J83" s="25"/>
      <c r="K83" s="25"/>
    </row>
    <row r="84" spans="3:11" ht="20.25" x14ac:dyDescent="0.35">
      <c r="C84" s="25"/>
      <c r="D84" s="44" t="s">
        <v>53</v>
      </c>
      <c r="E84" s="26">
        <v>123</v>
      </c>
      <c r="F84" s="28" t="s">
        <v>20</v>
      </c>
      <c r="G84" s="25"/>
      <c r="H84" s="25"/>
      <c r="I84" s="25"/>
      <c r="J84" s="25"/>
      <c r="K84" s="25"/>
    </row>
    <row r="85" spans="3:11" x14ac:dyDescent="0.25">
      <c r="C85" s="25"/>
      <c r="D85" s="25"/>
      <c r="E85" s="25"/>
      <c r="F85" s="25"/>
      <c r="G85" s="25"/>
      <c r="H85" s="25"/>
      <c r="I85" s="25"/>
      <c r="J85" s="25"/>
      <c r="K85" s="25"/>
    </row>
    <row r="86" spans="3:11" x14ac:dyDescent="0.25">
      <c r="C86" s="25"/>
      <c r="D86" s="25"/>
      <c r="E86" s="25"/>
      <c r="F86" s="25"/>
      <c r="G86" s="25"/>
      <c r="H86" s="25"/>
      <c r="I86" s="25"/>
      <c r="J86" s="25"/>
      <c r="K86" s="25"/>
    </row>
    <row r="87" spans="3:11" x14ac:dyDescent="0.25">
      <c r="C87" s="25"/>
      <c r="D87" s="25"/>
      <c r="E87" s="25"/>
      <c r="F87" s="25"/>
      <c r="G87" s="25"/>
      <c r="H87" s="25"/>
      <c r="I87" s="25"/>
      <c r="J87" s="25"/>
      <c r="K87" s="2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topLeftCell="A2" zoomScaleNormal="100" workbookViewId="0">
      <selection activeCell="E21" sqref="E21"/>
    </sheetView>
  </sheetViews>
  <sheetFormatPr defaultColWidth="9.140625" defaultRowHeight="15.75" x14ac:dyDescent="0.25"/>
  <cols>
    <col min="1" max="1" width="30.7109375" style="17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97" t="e" vm="1">
        <v>#VALUE!</v>
      </c>
      <c r="C1" s="12" t="s">
        <v>162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8" t="str">
        <f>HYPERLINK("#'Home'!A1", "Home")</f>
        <v>Home</v>
      </c>
      <c r="C3" s="16"/>
      <c r="D3" s="16"/>
      <c r="E3" s="16"/>
      <c r="F3" s="16"/>
      <c r="G3" s="16"/>
      <c r="H3" s="16"/>
      <c r="I3" s="16"/>
      <c r="J3" s="16"/>
      <c r="K3" s="16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8" t="str">
        <f>HYPERLINK("#'Results'!A1", "Results")</f>
        <v>Results</v>
      </c>
      <c r="C4" s="99"/>
      <c r="D4" s="99"/>
      <c r="E4" s="99"/>
      <c r="F4" s="99"/>
      <c r="G4" s="99"/>
      <c r="H4" s="99"/>
      <c r="I4" s="99"/>
      <c r="J4" s="99"/>
      <c r="K4" s="99"/>
    </row>
    <row r="5" spans="1:24" ht="20.100000000000001" customHeight="1" x14ac:dyDescent="0.25">
      <c r="D5" s="6" t="s">
        <v>76</v>
      </c>
      <c r="N5" s="68"/>
    </row>
    <row r="6" spans="1:24" ht="20.100000000000001" customHeight="1" x14ac:dyDescent="0.25">
      <c r="A6" s="21" t="s">
        <v>3</v>
      </c>
      <c r="D6" s="15"/>
      <c r="N6" s="69"/>
    </row>
    <row r="7" spans="1:24" ht="20.100000000000001" customHeight="1" x14ac:dyDescent="0.25">
      <c r="A7" s="22" t="str">
        <f>HYPERLINK("#'Input - Site'!A1", "Site")</f>
        <v>Site</v>
      </c>
      <c r="D7" s="1" t="s">
        <v>68</v>
      </c>
      <c r="E7" s="60" t="s">
        <v>67</v>
      </c>
      <c r="F7" s="2"/>
    </row>
    <row r="8" spans="1:24" ht="20.100000000000001" customHeight="1" x14ac:dyDescent="0.25">
      <c r="A8" s="18" t="str">
        <f>HYPERLINK("#'Input - MMS - Feedlot'!A1", "MMS - Feedlot")</f>
        <v>MMS - Feedlot</v>
      </c>
      <c r="D8" s="10" t="s">
        <v>143</v>
      </c>
      <c r="E8" s="60" t="s">
        <v>144</v>
      </c>
    </row>
    <row r="9" spans="1:24" ht="20.100000000000001" customHeight="1" x14ac:dyDescent="0.25">
      <c r="A9" s="18"/>
      <c r="N9" s="70"/>
    </row>
    <row r="10" spans="1:24" ht="20.100000000000001" customHeight="1" x14ac:dyDescent="0.25">
      <c r="A10" s="20" t="s">
        <v>147</v>
      </c>
      <c r="D10" s="124" t="s">
        <v>161</v>
      </c>
      <c r="E10" s="122"/>
      <c r="F10" s="125"/>
      <c r="G10" s="119"/>
      <c r="N10" s="70"/>
    </row>
    <row r="11" spans="1:24" ht="20.100000000000001" customHeight="1" x14ac:dyDescent="0.25">
      <c r="A11" s="18" t="str">
        <f>HYPERLINK("#'Calcs - CH4 MMS Feedlot'!A1", "MMS Methane")</f>
        <v>MMS Methane</v>
      </c>
      <c r="N11" s="71"/>
    </row>
    <row r="12" spans="1:24" ht="20.100000000000001" customHeight="1" x14ac:dyDescent="0.25">
      <c r="A12" s="18"/>
      <c r="D12" s="10" t="s">
        <v>173</v>
      </c>
      <c r="E12" s="93">
        <v>45292</v>
      </c>
      <c r="F12" s="2" t="s">
        <v>141</v>
      </c>
    </row>
    <row r="13" spans="1:24" ht="20.100000000000001" customHeight="1" x14ac:dyDescent="0.25">
      <c r="A13" s="19" t="s">
        <v>4</v>
      </c>
      <c r="D13" s="10" t="s">
        <v>174</v>
      </c>
      <c r="E13" s="100">
        <f>DATE(YEAR(E12)+1,MONTH(E12),DAY(E12))-1</f>
        <v>45657</v>
      </c>
      <c r="F13" s="2" t="s">
        <v>78</v>
      </c>
      <c r="N13" s="65"/>
      <c r="O13" s="65"/>
    </row>
    <row r="14" spans="1:24" ht="20.100000000000001" customHeight="1" x14ac:dyDescent="0.25">
      <c r="A14" s="18" t="str">
        <f>HYPERLINK("#'Constants - Common'!A1", "Constants - Common")</f>
        <v>Constants - Common</v>
      </c>
      <c r="N14" s="65"/>
      <c r="O14" s="65"/>
    </row>
    <row r="15" spans="1:24" ht="20.100000000000001" customHeight="1" x14ac:dyDescent="0.25">
      <c r="A15" s="18" t="str">
        <f>HYPERLINK("#'Constants - Livestock'!A1", "Constants - Livestock")</f>
        <v>Constants - Livestock</v>
      </c>
      <c r="N15" s="65"/>
      <c r="O15" s="65"/>
    </row>
    <row r="16" spans="1:24" ht="20.100000000000001" customHeight="1" x14ac:dyDescent="0.25">
      <c r="A16" s="18" t="str">
        <f>HYPERLINK("#'Acknowledgements'!A1", "Acknowledgements")</f>
        <v>Acknowledgements</v>
      </c>
      <c r="D16" s="6" t="s">
        <v>75</v>
      </c>
      <c r="N16" s="65"/>
      <c r="O16" s="65"/>
    </row>
    <row r="17" spans="1:25" ht="20.100000000000001" customHeight="1" x14ac:dyDescent="0.25">
      <c r="A17" s="96"/>
    </row>
    <row r="18" spans="1:25" ht="20.100000000000001" customHeight="1" x14ac:dyDescent="0.25">
      <c r="A18" s="18"/>
      <c r="D18" s="126" t="s">
        <v>77</v>
      </c>
      <c r="E18" s="121"/>
      <c r="F18" s="121"/>
      <c r="G18" s="117"/>
    </row>
    <row r="19" spans="1:25" ht="20.100000000000001" customHeight="1" x14ac:dyDescent="0.25">
      <c r="A19"/>
      <c r="D19" s="123" t="s">
        <v>142</v>
      </c>
      <c r="E19" s="120"/>
      <c r="F19" s="120"/>
      <c r="G19" s="118"/>
      <c r="N19" s="68"/>
    </row>
    <row r="20" spans="1:25" ht="20.100000000000001" customHeight="1" x14ac:dyDescent="0.25">
      <c r="A20"/>
      <c r="D20" s="1"/>
      <c r="E20" s="58"/>
      <c r="F20" s="2"/>
      <c r="N20" s="69"/>
    </row>
    <row r="21" spans="1:25" ht="20.100000000000001" customHeight="1" x14ac:dyDescent="0.25">
      <c r="A21"/>
      <c r="D21" s="1" t="s">
        <v>69</v>
      </c>
      <c r="E21" s="67" t="s">
        <v>210</v>
      </c>
      <c r="F21" s="2" t="s">
        <v>72</v>
      </c>
    </row>
    <row r="22" spans="1:25" ht="20.100000000000001" customHeight="1" x14ac:dyDescent="0.25">
      <c r="A22"/>
      <c r="D22" s="1" t="s">
        <v>94</v>
      </c>
      <c r="E22" s="67" t="s">
        <v>103</v>
      </c>
      <c r="F22" s="2" t="s">
        <v>72</v>
      </c>
      <c r="G22" s="1"/>
    </row>
    <row r="23" spans="1:25" ht="20.100000000000001" customHeight="1" x14ac:dyDescent="0.25">
      <c r="A23"/>
      <c r="D23" s="1" t="s">
        <v>70</v>
      </c>
      <c r="E23" s="67" t="s">
        <v>166</v>
      </c>
      <c r="F23" s="2" t="s">
        <v>72</v>
      </c>
    </row>
    <row r="24" spans="1:25" ht="20.100000000000001" customHeight="1" x14ac:dyDescent="0.25">
      <c r="A24"/>
      <c r="D24" s="1" t="s">
        <v>110</v>
      </c>
      <c r="E24" s="60">
        <v>307.7</v>
      </c>
      <c r="F24" s="2" t="s">
        <v>124</v>
      </c>
    </row>
    <row r="25" spans="1:25" ht="20.100000000000001" customHeight="1" x14ac:dyDescent="0.25">
      <c r="A25"/>
      <c r="D25" s="1" t="s">
        <v>132</v>
      </c>
      <c r="E25" s="60">
        <v>18</v>
      </c>
      <c r="F25" s="2" t="s">
        <v>73</v>
      </c>
      <c r="N25" s="69"/>
    </row>
    <row r="26" spans="1:25" ht="20.100000000000001" customHeight="1" x14ac:dyDescent="0.25">
      <c r="A26"/>
      <c r="D26" s="1" t="s">
        <v>133</v>
      </c>
      <c r="E26" s="60">
        <v>3000</v>
      </c>
      <c r="F26" s="2" t="s">
        <v>74</v>
      </c>
    </row>
    <row r="27" spans="1:25" ht="20.100000000000001" customHeight="1" x14ac:dyDescent="0.25">
      <c r="A27"/>
      <c r="D27" s="10" t="s">
        <v>134</v>
      </c>
      <c r="E27" s="60">
        <v>1326</v>
      </c>
      <c r="F27" s="2" t="s">
        <v>74</v>
      </c>
    </row>
    <row r="28" spans="1:25" ht="20.100000000000001" customHeight="1" x14ac:dyDescent="0.25">
      <c r="A28"/>
      <c r="D28" s="1" t="s">
        <v>135</v>
      </c>
      <c r="E28" s="60">
        <v>7</v>
      </c>
      <c r="F28" s="2" t="s">
        <v>125</v>
      </c>
    </row>
    <row r="29" spans="1:25" ht="20.100000000000001" customHeight="1" x14ac:dyDescent="0.25">
      <c r="A29"/>
      <c r="D29" s="10" t="s">
        <v>131</v>
      </c>
      <c r="E29" s="81">
        <f>E26/E27</f>
        <v>2.2624434389140271</v>
      </c>
      <c r="F29" s="2"/>
    </row>
    <row r="30" spans="1:25" ht="20.100000000000001" customHeight="1" x14ac:dyDescent="0.25">
      <c r="A30"/>
      <c r="D30" s="10" t="s">
        <v>104</v>
      </c>
      <c r="E30" s="81" t="str" cm="1">
        <f t="array" ref="E30">Common_InputFunctions.Utility_LookupItemFromMinMax(E26,Table_SourceData_RainfallZones[Min rainfall],Table_SourceData_RainfallZones[Max rainfall],Table_SourceData_RainfallZones[Rainfall Zone])</f>
        <v>High rainfall</v>
      </c>
      <c r="G30" s="59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</row>
    <row r="31" spans="1:25" ht="20.100000000000001" customHeight="1" x14ac:dyDescent="0.25">
      <c r="A31"/>
      <c r="D31" s="1" t="s">
        <v>71</v>
      </c>
      <c r="E31" s="81" t="str" cm="1">
        <f t="array" ref="E31">Common_InputFunctions.Utility_GetClimateZone(E25,E26,E28,E24,E29)</f>
        <v>No match</v>
      </c>
      <c r="F31" s="1"/>
      <c r="G31" s="58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</row>
    <row r="32" spans="1:25" ht="20.100000000000001" customHeight="1" x14ac:dyDescent="0.25">
      <c r="A32"/>
      <c r="D32" s="1" t="s">
        <v>163</v>
      </c>
      <c r="E32" s="81" t="e" cm="1">
        <f t="array" ref="E32">Common_InputFunctions.Utility_LookupValueInTable($E$31,#REF!,#REF!)</f>
        <v>#REF!</v>
      </c>
      <c r="F32" s="1"/>
      <c r="G32" s="58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</row>
    <row r="33" spans="1:25" ht="20.100000000000001" customHeight="1" x14ac:dyDescent="0.25">
      <c r="A33"/>
      <c r="D33" s="1" t="s">
        <v>123</v>
      </c>
      <c r="E33" s="81" t="e" cm="1">
        <f t="array" ref="E33">Common_InputFunctions.Utility_LookupItemFromMinMax(E25,#REF!,#REF!,#REF!)</f>
        <v>#REF!</v>
      </c>
      <c r="G33" s="101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</row>
    <row r="34" spans="1:25" ht="20.100000000000001" customHeight="1" x14ac:dyDescent="0.25">
      <c r="A34"/>
      <c r="J34" s="90"/>
      <c r="K34" s="104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</row>
    <row r="35" spans="1:25" ht="20.100000000000001" customHeight="1" x14ac:dyDescent="0.25">
      <c r="A35"/>
      <c r="J35" s="90"/>
      <c r="K35" s="104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</row>
    <row r="36" spans="1:25" ht="20.100000000000001" customHeight="1" x14ac:dyDescent="0.25">
      <c r="A36"/>
      <c r="D36" s="102"/>
      <c r="E36" s="102"/>
      <c r="F36" s="103"/>
      <c r="G36" s="90"/>
      <c r="H36" s="90"/>
      <c r="I36" s="91"/>
      <c r="J36" s="90"/>
      <c r="K36" s="104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</row>
    <row r="37" spans="1:25" ht="20.100000000000001" customHeight="1" x14ac:dyDescent="0.25">
      <c r="A37"/>
      <c r="D37" s="102"/>
      <c r="E37" s="102"/>
      <c r="F37" s="103"/>
      <c r="G37" s="90"/>
      <c r="H37" s="90"/>
      <c r="I37" s="91"/>
      <c r="J37" s="90"/>
      <c r="K37" s="104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</row>
    <row r="38" spans="1:25" ht="20.100000000000001" customHeight="1" x14ac:dyDescent="0.25">
      <c r="A38"/>
      <c r="D38" s="102"/>
      <c r="E38" s="102"/>
      <c r="F38" s="103"/>
      <c r="G38" s="90"/>
      <c r="H38" s="90"/>
      <c r="I38" s="91"/>
      <c r="J38" s="90"/>
      <c r="K38" s="104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</row>
    <row r="39" spans="1:25" ht="20.100000000000001" customHeight="1" x14ac:dyDescent="0.25">
      <c r="A39"/>
      <c r="D39" s="102"/>
      <c r="E39" s="102"/>
      <c r="F39" s="103"/>
      <c r="G39" s="90"/>
      <c r="H39" s="90"/>
      <c r="I39" s="91"/>
      <c r="J39" s="90"/>
      <c r="K39" s="104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</row>
    <row r="40" spans="1:25" ht="20.100000000000001" customHeight="1" x14ac:dyDescent="0.25">
      <c r="A40"/>
      <c r="D40" s="105"/>
      <c r="E40" s="105"/>
      <c r="F40" s="105"/>
      <c r="G40" s="106"/>
      <c r="H40" s="107"/>
      <c r="I40" s="107"/>
      <c r="J40" s="107"/>
      <c r="K40" s="107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4"/>
    </row>
    <row r="47" spans="1:25" ht="20.100000000000001" customHeight="1" x14ac:dyDescent="0.25">
      <c r="D47" s="108"/>
      <c r="E47" s="108"/>
      <c r="F47" s="108"/>
      <c r="G47" s="108"/>
      <c r="H47" s="108"/>
    </row>
    <row r="48" spans="1:25" ht="20.100000000000001" customHeight="1" x14ac:dyDescent="0.25">
      <c r="D48" s="61"/>
      <c r="E48" s="61"/>
      <c r="F48" s="62"/>
      <c r="G48" s="62"/>
      <c r="H48" s="61"/>
    </row>
    <row r="49" spans="4:8" ht="20.100000000000001" customHeight="1" x14ac:dyDescent="0.25">
      <c r="D49" s="61"/>
      <c r="E49" s="61"/>
      <c r="F49" s="62"/>
      <c r="G49" s="62"/>
      <c r="H49" s="61"/>
    </row>
    <row r="50" spans="4:8" ht="20.100000000000001" customHeight="1" x14ac:dyDescent="0.25">
      <c r="D50" s="61"/>
      <c r="E50" s="61"/>
      <c r="F50" s="62"/>
      <c r="G50" s="62"/>
      <c r="H50" s="61"/>
    </row>
    <row r="51" spans="4:8" ht="20.100000000000001" customHeight="1" x14ac:dyDescent="0.25">
      <c r="D51" s="109"/>
      <c r="E51" s="110"/>
      <c r="F51" s="110"/>
      <c r="G51" s="110"/>
      <c r="H51" s="11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11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4"/>
      <c r="F57" s="113"/>
    </row>
    <row r="58" spans="4:8" ht="20.100000000000001" customHeight="1" x14ac:dyDescent="0.25">
      <c r="D58" s="1"/>
      <c r="E58" s="114"/>
    </row>
    <row r="59" spans="4:8" ht="20.100000000000001" customHeight="1" x14ac:dyDescent="0.25">
      <c r="D59" s="1"/>
      <c r="E59" s="114"/>
    </row>
    <row r="60" spans="4:8" ht="20.100000000000001" customHeight="1" x14ac:dyDescent="0.25">
      <c r="D60" s="1"/>
      <c r="E60" s="11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4"/>
    </row>
    <row r="64" spans="4:8" ht="20.100000000000001" customHeight="1" x14ac:dyDescent="0.25">
      <c r="D64" s="1"/>
      <c r="E64" s="114"/>
    </row>
    <row r="65" spans="4:9" ht="20.100000000000001" customHeight="1" x14ac:dyDescent="0.25">
      <c r="D65" s="1"/>
      <c r="E65" s="114"/>
    </row>
    <row r="66" spans="4:9" ht="20.100000000000001" customHeight="1" x14ac:dyDescent="0.25">
      <c r="D66" s="1"/>
      <c r="E66" s="11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89"/>
      <c r="E69" s="89"/>
      <c r="F69" s="89"/>
      <c r="G69" s="89"/>
      <c r="H69" s="89"/>
      <c r="I69" s="89"/>
    </row>
    <row r="70" spans="4:9" ht="20.100000000000001" customHeight="1" x14ac:dyDescent="0.25">
      <c r="D70" s="89"/>
      <c r="E70" s="89"/>
      <c r="F70" s="89"/>
      <c r="G70" s="89"/>
      <c r="H70" s="89"/>
      <c r="I70" s="89"/>
    </row>
    <row r="71" spans="4:9" ht="20.100000000000001" customHeight="1" x14ac:dyDescent="0.25">
      <c r="D71" s="89"/>
      <c r="E71" s="89"/>
      <c r="F71" s="89"/>
      <c r="G71" s="89"/>
      <c r="H71" s="89"/>
      <c r="I71" s="89"/>
    </row>
    <row r="72" spans="4:9" ht="20.100000000000001" customHeight="1" x14ac:dyDescent="0.25">
      <c r="D72" s="89"/>
      <c r="E72" s="89"/>
      <c r="F72" s="89"/>
      <c r="G72" s="89"/>
      <c r="H72" s="89"/>
      <c r="I72" s="89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116"/>
    </row>
    <row r="79" spans="4:9" ht="20.100000000000001" customHeight="1" x14ac:dyDescent="0.25">
      <c r="D79" s="116"/>
    </row>
    <row r="80" spans="4:9" ht="20.100000000000001" customHeight="1" x14ac:dyDescent="0.25">
      <c r="D80" s="116"/>
    </row>
    <row r="81" spans="4:4" ht="20.100000000000001" customHeight="1" x14ac:dyDescent="0.25">
      <c r="D81" s="116"/>
    </row>
    <row r="82" spans="4:4" ht="20.100000000000001" customHeight="1" x14ac:dyDescent="0.25">
      <c r="D82" s="11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workbookViewId="0">
      <selection activeCell="D32" sqref="D3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85" customWidth="1"/>
    <col min="12" max="17" width="30.7109375" style="85" customWidth="1"/>
    <col min="18" max="18" width="4.7109375" style="85" customWidth="1"/>
  </cols>
  <sheetData>
    <row r="1" spans="1:18" s="97" customFormat="1" ht="30" customHeight="1" x14ac:dyDescent="0.35">
      <c r="A1" s="97" t="e" vm="1">
        <v>#VALUE!</v>
      </c>
      <c r="C1" s="97" t="s">
        <v>194</v>
      </c>
      <c r="K1" s="85"/>
      <c r="L1" s="85"/>
      <c r="M1" s="85"/>
      <c r="N1" s="85"/>
      <c r="O1" s="85"/>
      <c r="P1" s="85"/>
      <c r="Q1" s="85"/>
      <c r="R1" s="85"/>
    </row>
    <row r="2" spans="1:18" s="9" customFormat="1" ht="20.100000000000001" customHeight="1" x14ac:dyDescent="0.25">
      <c r="K2" s="85"/>
      <c r="L2" s="85"/>
      <c r="M2" s="85"/>
      <c r="N2" s="85"/>
      <c r="O2" s="85"/>
      <c r="P2" s="85"/>
      <c r="Q2" s="85"/>
      <c r="R2" s="85"/>
    </row>
    <row r="3" spans="1:18" ht="20.100000000000001" customHeight="1" x14ac:dyDescent="0.25">
      <c r="A3" s="18" t="str">
        <f>HYPERLINK("#'Home'!A1", "Home")</f>
        <v>Home</v>
      </c>
      <c r="C3" s="16"/>
      <c r="D3" s="16"/>
      <c r="E3" s="16"/>
      <c r="F3" s="16"/>
      <c r="G3" s="16"/>
      <c r="H3" s="16"/>
      <c r="I3" s="16"/>
    </row>
    <row r="4" spans="1:18" ht="20.100000000000001" customHeight="1" x14ac:dyDescent="0.25">
      <c r="A4" s="18" t="str">
        <f>HYPERLINK("#'Results'!A1", "Results")</f>
        <v>Results</v>
      </c>
    </row>
    <row r="5" spans="1:18" ht="20.100000000000001" customHeight="1" x14ac:dyDescent="0.25">
      <c r="A5" s="17"/>
      <c r="D5" s="6" t="s">
        <v>186</v>
      </c>
    </row>
    <row r="6" spans="1:18" ht="20.100000000000001" customHeight="1" x14ac:dyDescent="0.25">
      <c r="A6" s="21" t="s">
        <v>3</v>
      </c>
    </row>
    <row r="7" spans="1:18" ht="20.100000000000001" customHeight="1" x14ac:dyDescent="0.25">
      <c r="A7" s="18" t="str">
        <f>HYPERLINK("#'Input - Site'!A1", "Site")</f>
        <v>Site</v>
      </c>
      <c r="D7" s="92"/>
      <c r="E7" s="66" t="s">
        <v>195</v>
      </c>
      <c r="F7" s="66" t="s">
        <v>196</v>
      </c>
      <c r="G7" s="66" t="s">
        <v>197</v>
      </c>
    </row>
    <row r="8" spans="1:18" ht="20.100000000000001" customHeight="1" x14ac:dyDescent="0.25">
      <c r="A8" s="22" t="str">
        <f>HYPERLINK("#'Input - MMS - Feedlot'!A1", "MMS - Feedlot")</f>
        <v>MMS - Feedlot</v>
      </c>
      <c r="D8" s="1" t="s">
        <v>187</v>
      </c>
      <c r="E8" s="95">
        <v>10.4</v>
      </c>
      <c r="F8" s="95">
        <v>10.8</v>
      </c>
      <c r="G8" s="95">
        <v>8.1999999999999993</v>
      </c>
      <c r="H8" s="2" t="s">
        <v>198</v>
      </c>
    </row>
    <row r="9" spans="1:18" ht="20.100000000000001" customHeight="1" x14ac:dyDescent="0.25">
      <c r="A9" s="18"/>
      <c r="D9" s="1" t="s">
        <v>83</v>
      </c>
      <c r="E9" s="75">
        <v>0.81</v>
      </c>
      <c r="F9" s="75">
        <v>0.81</v>
      </c>
      <c r="G9" s="75">
        <v>0.79</v>
      </c>
      <c r="H9" s="2" t="s">
        <v>84</v>
      </c>
    </row>
    <row r="10" spans="1:18" ht="20.100000000000001" customHeight="1" x14ac:dyDescent="0.25">
      <c r="A10" s="20" t="s">
        <v>147</v>
      </c>
    </row>
    <row r="11" spans="1:18" ht="20.100000000000001" customHeight="1" x14ac:dyDescent="0.25">
      <c r="A11" s="18" t="str">
        <f>HYPERLINK("#'Calcs - CH4 MMS Feedlot'!A1", "MMS Methane")</f>
        <v>MMS Methane</v>
      </c>
    </row>
    <row r="12" spans="1:18" ht="20.100000000000001" customHeight="1" x14ac:dyDescent="0.25">
      <c r="A12" s="18"/>
      <c r="D12" s="6" t="s">
        <v>203</v>
      </c>
    </row>
    <row r="13" spans="1:18" ht="20.100000000000001" customHeight="1" x14ac:dyDescent="0.25">
      <c r="A13" s="19" t="s">
        <v>4</v>
      </c>
    </row>
    <row r="14" spans="1:18" ht="20.100000000000001" customHeight="1" x14ac:dyDescent="0.25">
      <c r="A14" s="18" t="str">
        <f>HYPERLINK("#'Constants - Common'!A1", "Constants - Common")</f>
        <v>Constants - Common</v>
      </c>
      <c r="D14" s="77" t="s">
        <v>182</v>
      </c>
    </row>
    <row r="15" spans="1:18" ht="20.100000000000001" customHeight="1" x14ac:dyDescent="0.25">
      <c r="A15" s="18" t="str">
        <f>HYPERLINK("#'Constants - Livestock'!A1", "Constants - Livestock")</f>
        <v>Constants - Livestock</v>
      </c>
      <c r="D15" s="92" t="s">
        <v>192</v>
      </c>
      <c r="E15" s="127" t="s">
        <v>195</v>
      </c>
      <c r="F15" s="127" t="s">
        <v>196</v>
      </c>
      <c r="G15" s="127" t="s">
        <v>197</v>
      </c>
    </row>
    <row r="16" spans="1:18" ht="20.100000000000001" customHeight="1" x14ac:dyDescent="0.25">
      <c r="A16" s="18" t="str">
        <f>HYPERLINK("#'Acknowledgements'!A1", "Acknowledgements")</f>
        <v>Acknowledgements</v>
      </c>
      <c r="D16" s="81" t="s">
        <v>181</v>
      </c>
      <c r="E16" s="129">
        <v>1</v>
      </c>
      <c r="F16" s="129">
        <v>1</v>
      </c>
      <c r="G16" s="129">
        <v>1</v>
      </c>
      <c r="H16" s="2" t="s">
        <v>84</v>
      </c>
    </row>
    <row r="17" spans="1:8" ht="20.100000000000001" customHeight="1" x14ac:dyDescent="0.25">
      <c r="A17" s="96"/>
    </row>
    <row r="18" spans="1:8" ht="20.100000000000001" customHeight="1" x14ac:dyDescent="0.25">
      <c r="A18" s="18"/>
    </row>
    <row r="19" spans="1:8" ht="20.100000000000001" customHeight="1" x14ac:dyDescent="0.25">
      <c r="A19" s="18"/>
      <c r="D19" s="77" t="s">
        <v>185</v>
      </c>
    </row>
    <row r="20" spans="1:8" ht="20.100000000000001" customHeight="1" x14ac:dyDescent="0.25">
      <c r="D20" s="127" t="s">
        <v>184</v>
      </c>
      <c r="E20" s="127" t="s">
        <v>195</v>
      </c>
      <c r="F20" s="127" t="s">
        <v>196</v>
      </c>
      <c r="G20" s="127" t="s">
        <v>197</v>
      </c>
    </row>
    <row r="21" spans="1:8" ht="20.100000000000001" customHeight="1" x14ac:dyDescent="0.25">
      <c r="D21" s="1" t="str">
        <f>"Sent from " &amp; $D$16</f>
        <v>Sent from Drylot (feed pad)</v>
      </c>
      <c r="E21" s="84" t="str">
        <f>IF($D$24="Pasture range and paddock", "⚠️ ALERT: Manure sent to 'pasture range and paddock do not go to stage 2. Select 'No MMS'.", "")</f>
        <v/>
      </c>
    </row>
    <row r="22" spans="1:8" ht="20.100000000000001" customHeight="1" x14ac:dyDescent="0.25">
      <c r="D22" s="81" t="str">
        <f>'Calcs - CH4 MMS Feedlot'!M44</f>
        <v>Solid storage</v>
      </c>
      <c r="E22" s="75">
        <v>0.2</v>
      </c>
      <c r="F22" s="75">
        <v>0.2</v>
      </c>
      <c r="G22" s="75">
        <v>0.2</v>
      </c>
      <c r="H22" s="2" t="s">
        <v>84</v>
      </c>
    </row>
    <row r="23" spans="1:8" ht="20.100000000000001" customHeight="1" x14ac:dyDescent="0.25">
      <c r="A23" s="96"/>
      <c r="D23" s="81" t="str">
        <f>'Calcs - CH4 MMS Feedlot'!M45</f>
        <v>Composting (passive windrow)</v>
      </c>
      <c r="E23" s="75">
        <v>0.2</v>
      </c>
      <c r="F23" s="75">
        <v>0.2</v>
      </c>
      <c r="G23" s="75">
        <v>0.2</v>
      </c>
      <c r="H23" s="2" t="s">
        <v>84</v>
      </c>
    </row>
    <row r="24" spans="1:8" ht="20.100000000000001" customHeight="1" x14ac:dyDescent="0.25">
      <c r="D24" s="81" t="str">
        <f>'Calcs - CH4 MMS Feedlot'!M46</f>
        <v>Direct application</v>
      </c>
      <c r="E24" s="75">
        <v>0.6</v>
      </c>
      <c r="F24" s="75">
        <v>0.6</v>
      </c>
      <c r="G24" s="75">
        <v>0.6</v>
      </c>
      <c r="H24" s="2" t="s">
        <v>84</v>
      </c>
    </row>
    <row r="25" spans="1:8" ht="20.100000000000001" customHeight="1" x14ac:dyDescent="0.25">
      <c r="A25" s="18"/>
      <c r="D25" s="1" t="s">
        <v>177</v>
      </c>
      <c r="E25" s="129">
        <f>IF($D$24="Pasture range and paddock", "N/A", SUM(E22:E24))</f>
        <v>1</v>
      </c>
      <c r="F25" s="129">
        <f>IF($D$24="Pasture range and paddock", "N/A", SUM(F22:F24))</f>
        <v>1</v>
      </c>
      <c r="G25" s="129">
        <f>IF($D$24="Pasture range and paddock", "N/A", SUM(G22:G24))</f>
        <v>1</v>
      </c>
      <c r="H25" s="2" t="s">
        <v>84</v>
      </c>
    </row>
    <row r="26" spans="1:8" ht="20.100000000000001" customHeight="1" x14ac:dyDescent="0.25">
      <c r="A26" s="18"/>
    </row>
    <row r="27" spans="1:8" ht="20.100000000000001" customHeight="1" x14ac:dyDescent="0.25">
      <c r="A27" s="18"/>
    </row>
    <row r="28" spans="1:8" ht="20.100000000000001" customHeight="1" x14ac:dyDescent="0.25">
      <c r="A28" s="18"/>
      <c r="D28" s="77" t="s">
        <v>213</v>
      </c>
    </row>
    <row r="29" spans="1:8" ht="20.100000000000001" customHeight="1" x14ac:dyDescent="0.25">
      <c r="A29" s="18"/>
      <c r="D29" s="92" t="s">
        <v>212</v>
      </c>
      <c r="E29" s="127" t="s">
        <v>195</v>
      </c>
      <c r="F29" s="127" t="s">
        <v>196</v>
      </c>
      <c r="G29" s="127" t="s">
        <v>197</v>
      </c>
    </row>
    <row r="30" spans="1:8" ht="20.100000000000001" customHeight="1" x14ac:dyDescent="0.25">
      <c r="A30" s="18"/>
      <c r="D30" s="81" t="str">
        <f>'Calcs - CH4 MMS Feedlot'!$M$47</f>
        <v>Anaerobic lagoon</v>
      </c>
      <c r="E30" s="129">
        <f>'Calcs - CH4 MMS Feedlot'!$N$12</f>
        <v>0.02</v>
      </c>
      <c r="F30" s="129">
        <f>'Calcs - CH4 MMS Feedlot'!$N$12</f>
        <v>0.02</v>
      </c>
      <c r="G30" s="129">
        <f>'Calcs - CH4 MMS Feedlot'!$N$12</f>
        <v>0.02</v>
      </c>
      <c r="H30" s="2" t="s">
        <v>84</v>
      </c>
    </row>
    <row r="31" spans="1:8" ht="20.100000000000001" customHeight="1" x14ac:dyDescent="0.25">
      <c r="A31" s="96"/>
    </row>
    <row r="32" spans="1:8" ht="20.100000000000001" customHeight="1" x14ac:dyDescent="0.25">
      <c r="A32" s="96"/>
      <c r="D32" s="77" t="s">
        <v>183</v>
      </c>
    </row>
    <row r="33" spans="1:8" ht="20.100000000000001" customHeight="1" x14ac:dyDescent="0.25">
      <c r="A33" s="18"/>
      <c r="D33" s="82" t="str">
        <f>"Sent from " &amp; $D$16</f>
        <v>Sent from Drylot (feed pad)</v>
      </c>
      <c r="E33" s="84" t="str">
        <f>IF($D$24="Pasture range and paddock", "⚠️ ALERT Manure sent to 'pasture range and paddock do not go to stage 2, or post-treatment destinations.", "")</f>
        <v/>
      </c>
    </row>
    <row r="34" spans="1:8" ht="20.100000000000001" customHeight="1" x14ac:dyDescent="0.25">
      <c r="D34" s="1" t="str">
        <f>"Percent sold from " &amp; $D$22</f>
        <v>Percent sold from Solid storage</v>
      </c>
      <c r="E34" s="75">
        <v>0.25</v>
      </c>
      <c r="F34" s="75">
        <v>0.25</v>
      </c>
      <c r="G34" s="75">
        <v>0.25</v>
      </c>
      <c r="H34" s="2" t="s">
        <v>84</v>
      </c>
    </row>
    <row r="35" spans="1:8" ht="20.100000000000001" customHeight="1" x14ac:dyDescent="0.25">
      <c r="D35" s="1" t="str">
        <f>"Percent deposited on farm soils from " &amp; $D$22</f>
        <v>Percent deposited on farm soils from Solid storage</v>
      </c>
      <c r="E35" s="129">
        <f>1-E34</f>
        <v>0.75</v>
      </c>
      <c r="F35" s="129">
        <f>1-F34</f>
        <v>0.75</v>
      </c>
      <c r="G35" s="129">
        <f>1-G34</f>
        <v>0.75</v>
      </c>
      <c r="H35" s="2" t="s">
        <v>84</v>
      </c>
    </row>
    <row r="36" spans="1:8" ht="20.100000000000001" customHeight="1" x14ac:dyDescent="0.25"/>
    <row r="37" spans="1:8" ht="20.100000000000001" customHeight="1" x14ac:dyDescent="0.25">
      <c r="D37" s="1" t="str">
        <f>"Percent sold from " &amp; $D$23</f>
        <v>Percent sold from Composting (passive windrow)</v>
      </c>
      <c r="E37" s="75">
        <v>0.25</v>
      </c>
      <c r="F37" s="75">
        <v>0.25</v>
      </c>
      <c r="G37" s="75">
        <v>0.25</v>
      </c>
      <c r="H37" s="2" t="s">
        <v>84</v>
      </c>
    </row>
    <row r="38" spans="1:8" ht="20.100000000000001" customHeight="1" x14ac:dyDescent="0.25">
      <c r="D38" s="1" t="str">
        <f>"Percent deposited on farm soils from " &amp; $D$23</f>
        <v>Percent deposited on farm soils from Composting (passive windrow)</v>
      </c>
      <c r="E38" s="129">
        <f>1-E37</f>
        <v>0.75</v>
      </c>
      <c r="F38" s="129">
        <f>1-F37</f>
        <v>0.75</v>
      </c>
      <c r="G38" s="129">
        <f>1-G37</f>
        <v>0.75</v>
      </c>
      <c r="H38" s="2" t="s">
        <v>84</v>
      </c>
    </row>
    <row r="39" spans="1:8" ht="20.100000000000001" customHeight="1" x14ac:dyDescent="0.25">
      <c r="A39" s="18"/>
    </row>
    <row r="40" spans="1:8" ht="20.100000000000001" customHeight="1" x14ac:dyDescent="0.25">
      <c r="D40" s="1" t="str">
        <f>"Percent sold from " &amp; $D$24 &amp; " for sale"</f>
        <v>Percent sold from Direct application for sale</v>
      </c>
      <c r="E40" s="75">
        <v>0.25</v>
      </c>
      <c r="F40" s="75">
        <v>0.25</v>
      </c>
      <c r="G40" s="75">
        <v>0.25</v>
      </c>
      <c r="H40" s="2" t="s">
        <v>84</v>
      </c>
    </row>
    <row r="41" spans="1:8" ht="20.100000000000001" customHeight="1" x14ac:dyDescent="0.25">
      <c r="A41" s="72"/>
      <c r="D41" s="1" t="str">
        <f>"Percent deposited on farm soils from " &amp; $D$24</f>
        <v>Percent deposited on farm soils from Direct application</v>
      </c>
      <c r="E41" s="129">
        <f>1-E40</f>
        <v>0.75</v>
      </c>
      <c r="F41" s="129">
        <f>1-F40</f>
        <v>0.75</v>
      </c>
      <c r="G41" s="129">
        <f>1-G40</f>
        <v>0.75</v>
      </c>
      <c r="H41" s="2" t="s">
        <v>84</v>
      </c>
    </row>
    <row r="42" spans="1:8" ht="20.100000000000001" customHeight="1" x14ac:dyDescent="0.25"/>
    <row r="43" spans="1:8" ht="20.100000000000001" customHeight="1" x14ac:dyDescent="0.25"/>
    <row r="44" spans="1:8" ht="20.100000000000001" customHeight="1" x14ac:dyDescent="0.25"/>
    <row r="45" spans="1:8" ht="20.100000000000001" customHeight="1" x14ac:dyDescent="0.25"/>
    <row r="46" spans="1:8" ht="20.100000000000001" customHeight="1" x14ac:dyDescent="0.25"/>
    <row r="47" spans="1:8" ht="20.100000000000001" customHeight="1" x14ac:dyDescent="0.25"/>
    <row r="48" spans="1: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3">
    <dataValidation type="list" allowBlank="1" showInputMessage="1" showErrorMessage="1" sqref="D17" xr:uid="{4E913AB3-F90B-4C35-BCE1-5DBB8FC05107}">
      <formula1>INDIRECT("Table_SourceData_PoultryMMSStage1[MMS]")</formula1>
    </dataValidation>
    <dataValidation type="whole" operator="equal" allowBlank="1" showInputMessage="1" showErrorMessage="1" sqref="E16:G16" xr:uid="{AD2F5710-950E-4169-B1DB-B494F727C0BB}">
      <formula1>1</formula1>
    </dataValidation>
    <dataValidation operator="equal" allowBlank="1" showInputMessage="1" showErrorMessage="1" sqref="E30:G30" xr:uid="{C4745536-8208-45E9-8F7A-99B1E2C94379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D16</xm:sqref>
        </x14:dataValidation>
        <x14:dataValidation type="list" allowBlank="1" showInputMessage="1" showErrorMessage="1" xr:uid="{E07FB3AA-F53C-4B65-95CE-912A14C9716E}">
          <x14:formula1>
            <xm:f>'Calcs - CH4 MMS Feedlot'!$M$47</xm:f>
          </x14:formula1>
          <xm:sqref>D30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X165"/>
  <sheetViews>
    <sheetView showGridLines="0" tabSelected="1" topLeftCell="A111" workbookViewId="0">
      <selection activeCell="F123" sqref="F12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23" width="30.7109375" style="1" customWidth="1"/>
    <col min="24" max="24" width="4.7109375" style="1" customWidth="1"/>
  </cols>
  <sheetData>
    <row r="1" spans="1:24" s="8" customFormat="1" ht="30" customHeight="1" x14ac:dyDescent="0.35">
      <c r="A1" s="97" t="e" vm="1">
        <v>#VALUE!</v>
      </c>
      <c r="C1" s="8" t="s">
        <v>220</v>
      </c>
    </row>
    <row r="2" spans="1:24" s="9" customFormat="1" ht="20.100000000000001" customHeight="1" x14ac:dyDescent="0.25"/>
    <row r="3" spans="1:24" ht="20.100000000000001" customHeight="1" x14ac:dyDescent="0.25">
      <c r="A3" s="18" t="str">
        <f>HYPERLINK("#'Home'!A1", "Home")</f>
        <v>Home</v>
      </c>
      <c r="C3" s="4"/>
      <c r="D3" s="4" t="s">
        <v>88</v>
      </c>
      <c r="E3" s="4"/>
      <c r="F3" s="4"/>
      <c r="G3" s="4"/>
      <c r="H3" s="4"/>
      <c r="I3" s="4"/>
      <c r="J3" s="4"/>
      <c r="L3" s="4"/>
      <c r="M3" s="4" t="s">
        <v>89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20.100000000000001" customHeight="1" x14ac:dyDescent="0.25">
      <c r="A4" s="18" t="str">
        <f>HYPERLINK("#'Results'!A1", "Results")</f>
        <v>Results</v>
      </c>
    </row>
    <row r="5" spans="1:24" ht="20.100000000000001" customHeight="1" x14ac:dyDescent="0.25">
      <c r="A5" s="17"/>
      <c r="D5" s="6" t="str" cm="1">
        <f t="array" ref="D5">MMS_Feedlot_Methane_Equations.VEERG_4_1_1_1__5_VolatileSolidProduction_Title()</f>
        <v>Volatile solid production</v>
      </c>
      <c r="M5" s="6" t="str" cm="1">
        <f t="array" ref="M5">SourceData_Feedlot.SourceData_Feedlot_VSL_Title()</f>
        <v>Feedlot - Fraction of volatile solids lost during storage in the primary system</v>
      </c>
    </row>
    <row r="6" spans="1:24" ht="20.100000000000001" customHeight="1" x14ac:dyDescent="0.25">
      <c r="A6" s="21" t="s">
        <v>3</v>
      </c>
      <c r="D6" s="5" t="str" cm="1">
        <f t="array" ref="D6">MMS_Feedlot_Methane_Equations.VEERG_4_1_1_1__5_VolatileSolidProduction_Source()</f>
        <v>VEERG 2026: 4.1.1.1, Equation (5)</v>
      </c>
      <c r="M6" s="5" t="str" cm="1">
        <f t="array" ref="M6">SourceData_Feedlot.SourceData_Feedlot_VSL_Source()</f>
        <v>VEERG 2026: 4.1.2.3 CONSTANTS</v>
      </c>
    </row>
    <row r="7" spans="1:24" ht="20.100000000000001" customHeight="1" x14ac:dyDescent="0.25">
      <c r="A7" s="18" t="str">
        <f>HYPERLINK("#'Input - Site'!A1", "Site")</f>
        <v>Site</v>
      </c>
      <c r="D7" s="14" t="s">
        <v>95</v>
      </c>
      <c r="E7" s="14" t="str" cm="1">
        <f t="array" aca="1" ref="E7" ca="1">Common_InputFunctions.Utility_DisplayFunctionName(D30)</f>
        <v>=</v>
      </c>
      <c r="M7" s="82" t="str" cm="1">
        <f t="array" ref="M7">SourceData_Feedlot.SourceData_Feedlot_VSL_Variable()</f>
        <v>VSL</v>
      </c>
      <c r="N7" s="1" cm="1">
        <f t="array" ref="N7">SourceData_Feedlot.SourceData_Feedlot_VSL_Data()</f>
        <v>0.5</v>
      </c>
      <c r="O7" s="83" t="str" cm="1">
        <f t="array" ref="O7">SourceData_Feedlot.SourceData_Feedlot_VSL_Unit()</f>
        <v>Fraction</v>
      </c>
    </row>
    <row r="8" spans="1:24" ht="20.100000000000001" customHeight="1" x14ac:dyDescent="0.25">
      <c r="A8" s="18" t="str">
        <f>HYPERLINK("#'Input - MMS - Feedlot'!A1", "MMS - Feedlot")</f>
        <v>MMS - Feedlot</v>
      </c>
    </row>
    <row r="9" spans="1:24" ht="20.100000000000001" customHeight="1" x14ac:dyDescent="0.25">
      <c r="A9" s="18"/>
    </row>
    <row r="10" spans="1:24" ht="20.100000000000001" customHeight="1" x14ac:dyDescent="0.25">
      <c r="A10" s="20" t="s">
        <v>147</v>
      </c>
      <c r="D10" s="82" t="s">
        <v>98</v>
      </c>
      <c r="E10" s="1" t="str" cm="1">
        <f t="array" ref="E10">MMS_Feedlot_Methane_Equations.VEERG_4_1_1_1__5_VolatileSolidProduction_Variable()</f>
        <v>VSj</v>
      </c>
      <c r="M10" s="6" t="str" cm="1">
        <f t="array" ref="M10">SourceData_Feedlot.SourceData_Feedlot_MMSm1T3_Title()</f>
        <v>Fraction of volatile solids to each tertiary system assumed that 2 per cent is run - off from the feed pad.</v>
      </c>
    </row>
    <row r="11" spans="1:24" ht="20.100000000000001" customHeight="1" x14ac:dyDescent="0.25">
      <c r="A11" s="23" t="str">
        <f>HYPERLINK("#'Calcs - CH4 MMS Feedlot'!A1", "MMS Methane")</f>
        <v>MMS Methane</v>
      </c>
      <c r="D11" s="82" t="s">
        <v>86</v>
      </c>
      <c r="E11" s="83" t="str" cm="1">
        <f t="array" ref="E11">MMS_Feedlot_Methane_Equations.VEERG_4_1_1_1__5_VolatileSolidProduction_Unit()</f>
        <v>kg/head/day</v>
      </c>
      <c r="M11" s="5" t="str" cm="1">
        <f t="array" ref="M11">SourceData_Feedlot.SourceData_Feedlot_MMSm1T3_Source()</f>
        <v>VEERG 2026: 4.1.2.3 CONSTANTS</v>
      </c>
    </row>
    <row r="12" spans="1:24" ht="20.100000000000001" customHeight="1" x14ac:dyDescent="0.25">
      <c r="A12" s="18" t="s">
        <v>209</v>
      </c>
      <c r="M12" s="82" t="str" cm="1">
        <f t="array" ref="M12">SourceData_Feedlot.SourceData_Feedlot_MMSm1T3_Variable()</f>
        <v>MMSm1T3</v>
      </c>
      <c r="N12" s="1" cm="1">
        <f t="array" ref="N12">SourceData_Feedlot.SourceData_Feedlot_MMSm1T3_Data()</f>
        <v>0.02</v>
      </c>
      <c r="O12" s="83" t="str" cm="1">
        <f t="array" ref="O12">SourceData_Feedlot.SourceData_Feedlot_MMSm1T3_Unit()</f>
        <v>Fraction</v>
      </c>
    </row>
    <row r="13" spans="1:24" ht="20.100000000000001" customHeight="1" x14ac:dyDescent="0.25">
      <c r="D13" s="86" t="str" cm="1">
        <f t="array" ref="D13:E15">MMS_Feedlot_Methane_Equations.VEERG_4_1_1_1__5_VolatileSolidProduction_Arguments()</f>
        <v>Ij</v>
      </c>
      <c r="E13" s="87" t="str">
        <v>dry matter intake for each group : kg DM/head/day</v>
      </c>
      <c r="F13" s="88"/>
      <c r="G13" s="86" t="str">
        <f>"See " &amp; D17</f>
        <v>See Table_I_j</v>
      </c>
    </row>
    <row r="14" spans="1:24" ht="20.100000000000001" customHeight="1" x14ac:dyDescent="0.25">
      <c r="A14" s="19" t="s">
        <v>4</v>
      </c>
      <c r="D14" s="86" t="str">
        <v>DMDj</v>
      </c>
      <c r="E14" s="87" t="str">
        <v>dry matter digestibility for each group : fraction</v>
      </c>
      <c r="F14" s="88"/>
      <c r="G14" s="86" t="str">
        <f>"See " &amp; D22</f>
        <v>See Table_DMD_j</v>
      </c>
    </row>
    <row r="15" spans="1:24" ht="20.100000000000001" customHeight="1" x14ac:dyDescent="0.25">
      <c r="A15" s="18" t="str">
        <f>HYPERLINK("#'Constants - Common'!A1", "Constants - Common")</f>
        <v>Constants - Common</v>
      </c>
      <c r="D15" s="86" t="str">
        <v>A</v>
      </c>
      <c r="E15" s="87" t="str">
        <v>ash content of manure : fraction</v>
      </c>
      <c r="F15" s="88"/>
      <c r="G15" s="81">
        <f>$N$17</f>
        <v>0.16</v>
      </c>
      <c r="M15" s="6" t="str" cm="1">
        <f t="array" ref="M15">SourceData_Feedlot.SourceData_Feedlot_AshContent_Title()</f>
        <v>Ash content of manure.</v>
      </c>
    </row>
    <row r="16" spans="1:24" ht="20.100000000000001" customHeight="1" x14ac:dyDescent="0.25">
      <c r="A16" s="18" t="str">
        <f>HYPERLINK("#'Constants - Livestock'!A1", "Constants - Livestock")</f>
        <v>Constants - Livestock</v>
      </c>
      <c r="M16" s="5" t="str" cm="1">
        <f t="array" ref="M16">SourceData_Feedlot.SourceData_Feedlot_AshContent_Source()</f>
        <v>VEERG 2026: 4.1.2.3 CONSTANTS</v>
      </c>
    </row>
    <row r="17" spans="1:23" ht="20.100000000000001" customHeight="1" x14ac:dyDescent="0.25">
      <c r="A17" s="18" t="str">
        <f>HYPERLINK("#'Acknowledgements'!A1", "Acknowledgements")</f>
        <v>Acknowledgements</v>
      </c>
      <c r="D17" s="132" t="s">
        <v>193</v>
      </c>
      <c r="M17" s="82" t="str" cm="1">
        <f t="array" ref="M17">SourceData_Feedlot.SourceData_Feedlot_AshContent_Variable()</f>
        <v>A</v>
      </c>
      <c r="N17" s="1" cm="1">
        <f t="array" ref="N17">SourceData_Feedlot.SourceData_Feedlot_AshContent_Data()</f>
        <v>0.16</v>
      </c>
      <c r="O17" s="83" t="str" cm="1">
        <f t="array" ref="O17">SourceData_Feedlot.SourceData_Feedlot_AshContent_Unit()</f>
        <v>Fraction</v>
      </c>
    </row>
    <row r="18" spans="1:23" ht="20.100000000000001" customHeight="1" x14ac:dyDescent="0.25">
      <c r="A18" s="96"/>
      <c r="D18" s="131" t="s">
        <v>187</v>
      </c>
    </row>
    <row r="19" spans="1:23" ht="20.100000000000001" customHeight="1" x14ac:dyDescent="0.25">
      <c r="A19" s="18"/>
      <c r="D19" s="80" t="s">
        <v>195</v>
      </c>
      <c r="E19" s="80" t="s">
        <v>196</v>
      </c>
      <c r="F19" s="80" t="s">
        <v>197</v>
      </c>
    </row>
    <row r="20" spans="1:23" ht="20.100000000000001" customHeight="1" x14ac:dyDescent="0.25">
      <c r="A20" s="18"/>
      <c r="D20" s="81">
        <f>'Input - MMS - Feedlot'!$E$8</f>
        <v>10.4</v>
      </c>
      <c r="E20" s="81">
        <f>'Input - MMS - Feedlot'!$F$8</f>
        <v>10.8</v>
      </c>
      <c r="F20" s="81">
        <f>'Input - MMS - Feedlot'!$G$8</f>
        <v>8.1999999999999993</v>
      </c>
      <c r="G20" s="2" t="s">
        <v>188</v>
      </c>
      <c r="M20" s="6" t="str" cm="1">
        <f t="array" ref="M20">SourceData_Feedlot.SourceData_Feedlot_MethaneEmissionsPotential_Title()</f>
        <v>Methane emissions potential.</v>
      </c>
    </row>
    <row r="21" spans="1:23" ht="20.100000000000001" customHeight="1" x14ac:dyDescent="0.25">
      <c r="A21" t="s">
        <v>79</v>
      </c>
      <c r="M21" s="5" t="str" cm="1">
        <f t="array" ref="M21">SourceData_Feedlot.SourceData_Feedlot_MethaneEmissionsPotential_Source()</f>
        <v>VEERG 2026: 4.1.2.3 CONSTANTS</v>
      </c>
    </row>
    <row r="22" spans="1:23" ht="20.100000000000001" customHeight="1" x14ac:dyDescent="0.25">
      <c r="D22" s="132" t="s">
        <v>199</v>
      </c>
      <c r="M22" s="82" t="str" cm="1">
        <f t="array" ref="M22">SourceData_Feedlot.SourceData_Feedlot_MethaneEmissionsPotential_Variable()</f>
        <v>B0</v>
      </c>
      <c r="N22" s="1" cm="1">
        <f t="array" ref="N22">SourceData_Feedlot.SourceData_Feedlot_MethaneEmissionsPotential_Data()</f>
        <v>0.19</v>
      </c>
      <c r="O22" s="83" t="str" cm="1">
        <f t="array" ref="O22">SourceData_Feedlot.SourceData_Feedlot_MethaneEmissionsPotential_Unit()</f>
        <v>m3 CH4 / kg VS</v>
      </c>
    </row>
    <row r="23" spans="1:23" ht="20.100000000000001" customHeight="1" x14ac:dyDescent="0.25">
      <c r="D23" s="131" t="s">
        <v>83</v>
      </c>
    </row>
    <row r="24" spans="1:23" ht="20.100000000000001" customHeight="1" x14ac:dyDescent="0.25">
      <c r="D24" s="80" t="s">
        <v>195</v>
      </c>
      <c r="E24" s="80" t="s">
        <v>196</v>
      </c>
      <c r="F24" s="80" t="s">
        <v>197</v>
      </c>
    </row>
    <row r="25" spans="1:23" ht="20.100000000000001" customHeight="1" x14ac:dyDescent="0.25">
      <c r="D25" s="81">
        <f>'Input - MMS - Feedlot'!$E$9</f>
        <v>0.81</v>
      </c>
      <c r="E25" s="81">
        <f>'Input - MMS - Feedlot'!$F$9</f>
        <v>0.81</v>
      </c>
      <c r="F25" s="81">
        <f>'Input - MMS - Feedlot'!$G$9</f>
        <v>0.79</v>
      </c>
      <c r="G25" s="2" t="s">
        <v>178</v>
      </c>
      <c r="M25" s="6" t="str" cm="1">
        <f t="array" ref="M25">SourceData_Feedlot.SourceData_Feedlot_MCF_Title()</f>
        <v>Feedlot - MCFs</v>
      </c>
    </row>
    <row r="26" spans="1:23" ht="20.100000000000001" customHeight="1" x14ac:dyDescent="0.25">
      <c r="M26" s="5" t="str" cm="1">
        <f t="array" ref="M26">SourceData_Feedlot.SourceData_Feedlot_MCF_Source()</f>
        <v>VEERG 2026: Table A.1.7.4: Feedlot - MCFs</v>
      </c>
    </row>
    <row r="27" spans="1:23" ht="20.100000000000001" customHeight="1" x14ac:dyDescent="0.25">
      <c r="D27" s="132" t="s">
        <v>179</v>
      </c>
      <c r="M27" s="84" t="str" cm="1">
        <f t="array" ref="M27:M30">SourceData_Feedlot.SourceData_Feedlot_MCF_Variation()</f>
        <v>VARIATION ON SOURCE:</v>
      </c>
    </row>
    <row r="28" spans="1:23" ht="20.100000000000001" customHeight="1" x14ac:dyDescent="0.25">
      <c r="D28" s="131" t="s">
        <v>189</v>
      </c>
      <c r="M28" s="84" t="str">
        <v>Duplicated NSW values for ACT</v>
      </c>
    </row>
    <row r="29" spans="1:23" ht="20.100000000000001" customHeight="1" x14ac:dyDescent="0.25">
      <c r="D29" s="80" t="s">
        <v>195</v>
      </c>
      <c r="E29" s="80" t="s">
        <v>196</v>
      </c>
      <c r="F29" s="80" t="s">
        <v>197</v>
      </c>
      <c r="M29" s="84" t="str">
        <v>Added NT and TAS columns with 'no data' values</v>
      </c>
    </row>
    <row r="30" spans="1:23" ht="20.100000000000001" customHeight="1" x14ac:dyDescent="0.25">
      <c r="D30" s="81">
        <f>(D20 * (1 - D25) * (1 - $G$15))</f>
        <v>1.6598399999999995</v>
      </c>
      <c r="E30" s="81">
        <f>(E20 * (1 - E25) * (1 - $G$15))</f>
        <v>1.7236799999999997</v>
      </c>
      <c r="F30" s="81">
        <f>(F20 * (1 - F25) * (1 - $G$15))</f>
        <v>1.4464799999999995</v>
      </c>
      <c r="G30" s="2" t="str">
        <f>$E$11</f>
        <v>kg/head/day</v>
      </c>
      <c r="M30" s="84" t="str">
        <v>Added 'NIR definition' column with MMS names that match NIR definitions.</v>
      </c>
    </row>
    <row r="31" spans="1:23" ht="20.100000000000001" customHeight="1" x14ac:dyDescent="0.25"/>
    <row r="32" spans="1:23" ht="20.100000000000001" customHeight="1" x14ac:dyDescent="0.25">
      <c r="M32" s="64" t="s">
        <v>201</v>
      </c>
      <c r="N32" s="64" t="s">
        <v>191</v>
      </c>
      <c r="O32" s="64" t="s">
        <v>154</v>
      </c>
      <c r="P32" s="64" t="s">
        <v>153</v>
      </c>
      <c r="Q32" s="64" t="s">
        <v>156</v>
      </c>
      <c r="R32" s="64" t="s">
        <v>155</v>
      </c>
      <c r="S32" s="64" t="s">
        <v>157</v>
      </c>
      <c r="T32" s="64" t="s">
        <v>159</v>
      </c>
      <c r="U32" s="64" t="s">
        <v>160</v>
      </c>
      <c r="V32" s="64" t="s">
        <v>158</v>
      </c>
      <c r="W32" s="64" t="s">
        <v>176</v>
      </c>
    </row>
    <row r="33" spans="3:23" ht="20.100000000000001" customHeight="1" x14ac:dyDescent="0.25">
      <c r="C33" s="73"/>
      <c r="D33" s="73"/>
      <c r="E33" s="73"/>
      <c r="F33" s="73"/>
      <c r="G33" s="73"/>
      <c r="H33" s="73"/>
      <c r="I33" s="73"/>
      <c r="J33" s="73"/>
      <c r="M33" s="64" t="str" cm="1">
        <f t="array" ref="M33">Common_InputFunctions.Utility_DisplayArrayInTable(SourceData_Feedlot.SourceData_Feedlot_MCF_Data(), Table_SourceData_Feedlot_MCF[[#Headers],[Treatment stage T]], 0)</f>
        <v>Primary</v>
      </c>
      <c r="N33" s="64" t="str" cm="1">
        <f t="array" ref="N33">Common_InputFunctions.Utility_DisplayArrayInTable(SourceData_Feedlot.SourceData_Feedlot_MCF_Data(), Table_SourceData_Feedlot_MCF[[#Headers],[Treatment stage T]], 0)</f>
        <v>Dry lot (Feedpad)</v>
      </c>
      <c r="O33" s="64" cm="1">
        <f t="array" ref="O33">Common_InputFunctions.Utility_DisplayArrayInTable(SourceData_Feedlot.SourceData_Feedlot_MCF_Data(), Table_SourceData_Feedlot_MCF[[#Headers],[Treatment stage T]], 0)</f>
        <v>0.01</v>
      </c>
      <c r="P33" s="64" cm="1">
        <f t="array" ref="P33">Common_InputFunctions.Utility_DisplayArrayInTable(SourceData_Feedlot.SourceData_Feedlot_MCF_Data(), Table_SourceData_Feedlot_MCF[[#Headers],[Treatment stage T]], 0)</f>
        <v>0.01</v>
      </c>
      <c r="Q33" s="64" cm="1">
        <f t="array" ref="Q33">Common_InputFunctions.Utility_DisplayArrayInTable(SourceData_Feedlot.SourceData_Feedlot_MCF_Data(), Table_SourceData_Feedlot_MCF[[#Headers],[Treatment stage T]], 0)</f>
        <v>0.03</v>
      </c>
      <c r="R33" s="64" t="str" cm="1">
        <f t="array" ref="R33">Common_InputFunctions.Utility_DisplayArrayInTable(SourceData_Feedlot.SourceData_Feedlot_MCF_Data(), Table_SourceData_Feedlot_MCF[[#Headers],[Treatment stage T]], 0)</f>
        <v>No data</v>
      </c>
      <c r="S33" s="64" cm="1">
        <f t="array" ref="S33">Common_InputFunctions.Utility_DisplayArrayInTable(SourceData_Feedlot.SourceData_Feedlot_MCF_Data(), Table_SourceData_Feedlot_MCF[[#Headers],[Treatment stage T]], 0)</f>
        <v>0.01</v>
      </c>
      <c r="T33" s="64" cm="1">
        <f t="array" ref="T33">Common_InputFunctions.Utility_DisplayArrayInTable(SourceData_Feedlot.SourceData_Feedlot_MCF_Data(), Table_SourceData_Feedlot_MCF[[#Headers],[Treatment stage T]], 0)</f>
        <v>0.01</v>
      </c>
      <c r="U33" s="64" cm="1">
        <f t="array" ref="U33">Common_InputFunctions.Utility_DisplayArrayInTable(SourceData_Feedlot.SourceData_Feedlot_MCF_Data(), Table_SourceData_Feedlot_MCF[[#Headers],[Treatment stage T]], 0)</f>
        <v>0.01</v>
      </c>
      <c r="V33" s="64" t="str" cm="1">
        <f t="array" ref="V33">Common_InputFunctions.Utility_DisplayArrayInTable(SourceData_Feedlot.SourceData_Feedlot_MCF_Data(), Table_SourceData_Feedlot_MCF[[#Headers],[Treatment stage T]], 0)</f>
        <v>No data</v>
      </c>
      <c r="W33" s="64" t="str" cm="1">
        <f t="array" ref="W33">Common_InputFunctions.Utility_DisplayArrayInTable(SourceData_Feedlot.SourceData_Feedlot_MCF_Data(), Table_SourceData_Feedlot_MCF[[#Headers],[Treatment stage T]], 0)</f>
        <v>Drylot (feed pad)</v>
      </c>
    </row>
    <row r="34" spans="3:23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  <c r="M34" s="1" t="str" cm="1">
        <f t="array" ref="M34">Common_InputFunctions.Utility_DisplayArrayInTable(SourceData_Feedlot.SourceData_Feedlot_MCF_Data(), Table_SourceData_Feedlot_MCF[[#Headers],[Treatment stage T]], 0)</f>
        <v>Secondary</v>
      </c>
      <c r="N34" s="64" t="str" cm="1">
        <f t="array" ref="N34">Common_InputFunctions.Utility_DisplayArrayInTable(SourceData_Feedlot.SourceData_Feedlot_MCF_Data(), Table_SourceData_Feedlot_MCF[[#Headers],[Treatment stage T]], 0)</f>
        <v>Solid Storage (Stockpile)</v>
      </c>
      <c r="O34" s="64" cm="1">
        <f t="array" ref="O34">Common_InputFunctions.Utility_DisplayArrayInTable(SourceData_Feedlot.SourceData_Feedlot_MCF_Data(), Table_SourceData_Feedlot_MCF[[#Headers],[Treatment stage T]], 0)</f>
        <v>0.02</v>
      </c>
      <c r="P34" s="64" cm="1">
        <f t="array" ref="P34">Common_InputFunctions.Utility_DisplayArrayInTable(SourceData_Feedlot.SourceData_Feedlot_MCF_Data(), Table_SourceData_Feedlot_MCF[[#Headers],[Treatment stage T]], 0)</f>
        <v>0.02</v>
      </c>
      <c r="Q34" s="64" cm="1">
        <f t="array" ref="Q34">Common_InputFunctions.Utility_DisplayArrayInTable(SourceData_Feedlot.SourceData_Feedlot_MCF_Data(), Table_SourceData_Feedlot_MCF[[#Headers],[Treatment stage T]], 0)</f>
        <v>0.02</v>
      </c>
      <c r="R34" s="64" t="str" cm="1">
        <f t="array" ref="R34">Common_InputFunctions.Utility_DisplayArrayInTable(SourceData_Feedlot.SourceData_Feedlot_MCF_Data(), Table_SourceData_Feedlot_MCF[[#Headers],[Treatment stage T]], 0)</f>
        <v>No data</v>
      </c>
      <c r="S34" s="64" cm="1">
        <f t="array" ref="S34">Common_InputFunctions.Utility_DisplayArrayInTable(SourceData_Feedlot.SourceData_Feedlot_MCF_Data(), Table_SourceData_Feedlot_MCF[[#Headers],[Treatment stage T]], 0)</f>
        <v>0.02</v>
      </c>
      <c r="T34" s="64" cm="1">
        <f t="array" ref="T34">Common_InputFunctions.Utility_DisplayArrayInTable(SourceData_Feedlot.SourceData_Feedlot_MCF_Data(), Table_SourceData_Feedlot_MCF[[#Headers],[Treatment stage T]], 0)</f>
        <v>0.02</v>
      </c>
      <c r="U34" s="64" cm="1">
        <f t="array" ref="U34">Common_InputFunctions.Utility_DisplayArrayInTable(SourceData_Feedlot.SourceData_Feedlot_MCF_Data(), Table_SourceData_Feedlot_MCF[[#Headers],[Treatment stage T]], 0)</f>
        <v>0.02</v>
      </c>
      <c r="V34" s="64" t="str" cm="1">
        <f t="array" ref="V34">Common_InputFunctions.Utility_DisplayArrayInTable(SourceData_Feedlot.SourceData_Feedlot_MCF_Data(), Table_SourceData_Feedlot_MCF[[#Headers],[Treatment stage T]], 0)</f>
        <v>No data</v>
      </c>
      <c r="W34" s="64" t="str" cm="1">
        <f t="array" ref="W34">Common_InputFunctions.Utility_DisplayArrayInTable(SourceData_Feedlot.SourceData_Feedlot_MCF_Data(), Table_SourceData_Feedlot_MCF[[#Headers],[Treatment stage T]], 0)</f>
        <v>Solid storage</v>
      </c>
    </row>
    <row r="35" spans="3:23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  <c r="M35" s="1" t="str" cm="1">
        <f t="array" ref="M35">Common_InputFunctions.Utility_DisplayArrayInTable(SourceData_Feedlot.SourceData_Feedlot_MCF_Data(), Table_SourceData_Feedlot_MCF[[#Headers],[Treatment stage T]], 0)</f>
        <v>Secondary</v>
      </c>
      <c r="N35" s="64" t="str" cm="1">
        <f t="array" ref="N35">Common_InputFunctions.Utility_DisplayArrayInTable(SourceData_Feedlot.SourceData_Feedlot_MCF_Data(), Table_SourceData_Feedlot_MCF[[#Headers],[Treatment stage T]], 0)</f>
        <v>Composting (Passive Windrow)</v>
      </c>
      <c r="O35" s="64" cm="1">
        <f t="array" ref="O35">Common_InputFunctions.Utility_DisplayArrayInTable(SourceData_Feedlot.SourceData_Feedlot_MCF_Data(), Table_SourceData_Feedlot_MCF[[#Headers],[Treatment stage T]], 0)</f>
        <v>0.01</v>
      </c>
      <c r="P35" s="64" cm="1">
        <f t="array" ref="P35">Common_InputFunctions.Utility_DisplayArrayInTable(SourceData_Feedlot.SourceData_Feedlot_MCF_Data(), Table_SourceData_Feedlot_MCF[[#Headers],[Treatment stage T]], 0)</f>
        <v>0.01</v>
      </c>
      <c r="Q35" s="64" cm="1">
        <f t="array" ref="Q35">Common_InputFunctions.Utility_DisplayArrayInTable(SourceData_Feedlot.SourceData_Feedlot_MCF_Data(), Table_SourceData_Feedlot_MCF[[#Headers],[Treatment stage T]], 0)</f>
        <v>0.01</v>
      </c>
      <c r="R35" s="64" t="str" cm="1">
        <f t="array" ref="R35">Common_InputFunctions.Utility_DisplayArrayInTable(SourceData_Feedlot.SourceData_Feedlot_MCF_Data(), Table_SourceData_Feedlot_MCF[[#Headers],[Treatment stage T]], 0)</f>
        <v>No data</v>
      </c>
      <c r="S35" s="64" cm="1">
        <f t="array" ref="S35">Common_InputFunctions.Utility_DisplayArrayInTable(SourceData_Feedlot.SourceData_Feedlot_MCF_Data(), Table_SourceData_Feedlot_MCF[[#Headers],[Treatment stage T]], 0)</f>
        <v>0.01</v>
      </c>
      <c r="T35" s="64" cm="1">
        <f t="array" ref="T35">Common_InputFunctions.Utility_DisplayArrayInTable(SourceData_Feedlot.SourceData_Feedlot_MCF_Data(), Table_SourceData_Feedlot_MCF[[#Headers],[Treatment stage T]], 0)</f>
        <v>0.01</v>
      </c>
      <c r="U35" s="64" cm="1">
        <f t="array" ref="U35">Common_InputFunctions.Utility_DisplayArrayInTable(SourceData_Feedlot.SourceData_Feedlot_MCF_Data(), Table_SourceData_Feedlot_MCF[[#Headers],[Treatment stage T]], 0)</f>
        <v>0.01</v>
      </c>
      <c r="V35" s="64" t="str" cm="1">
        <f t="array" ref="V35">Common_InputFunctions.Utility_DisplayArrayInTable(SourceData_Feedlot.SourceData_Feedlot_MCF_Data(), Table_SourceData_Feedlot_MCF[[#Headers],[Treatment stage T]], 0)</f>
        <v>No data</v>
      </c>
      <c r="W35" s="64" t="str" cm="1">
        <f t="array" ref="W35">Common_InputFunctions.Utility_DisplayArrayInTable(SourceData_Feedlot.SourceData_Feedlot_MCF_Data(), Table_SourceData_Feedlot_MCF[[#Headers],[Treatment stage T]], 0)</f>
        <v>Composting (passive windrow)</v>
      </c>
    </row>
    <row r="36" spans="3:23" ht="20.100000000000001" customHeight="1" x14ac:dyDescent="0.25">
      <c r="D36" s="14" t="s">
        <v>95</v>
      </c>
      <c r="E36" s="14" t="str" cm="1">
        <f t="array" aca="1" ref="E36" ca="1">Common_InputFunctions.Utility_DisplayFunctionName(E57)</f>
        <v>=</v>
      </c>
      <c r="M36" s="1" t="str" cm="1">
        <f t="array" ref="M36">Common_InputFunctions.Utility_DisplayArrayInTable(SourceData_Feedlot.SourceData_Feedlot_MCF_Data(), Table_SourceData_Feedlot_MCF[[#Headers],[Treatment stage T]], 0)</f>
        <v>Secondary</v>
      </c>
      <c r="N36" s="64" t="str" cm="1">
        <f t="array" ref="N36">Common_InputFunctions.Utility_DisplayArrayInTable(SourceData_Feedlot.SourceData_Feedlot_MCF_Data(), Table_SourceData_Feedlot_MCF[[#Headers],[Treatment stage T]], 0)</f>
        <v>Direct Application to soil</v>
      </c>
      <c r="O36" s="64" cm="1">
        <f t="array" ref="O36">Common_InputFunctions.Utility_DisplayArrayInTable(SourceData_Feedlot.SourceData_Feedlot_MCF_Data(), Table_SourceData_Feedlot_MCF[[#Headers],[Treatment stage T]], 0)</f>
        <v>0</v>
      </c>
      <c r="P36" s="64" cm="1">
        <f t="array" ref="P36">Common_InputFunctions.Utility_DisplayArrayInTable(SourceData_Feedlot.SourceData_Feedlot_MCF_Data(), Table_SourceData_Feedlot_MCF[[#Headers],[Treatment stage T]], 0)</f>
        <v>0</v>
      </c>
      <c r="Q36" s="64" cm="1">
        <f t="array" ref="Q36">Common_InputFunctions.Utility_DisplayArrayInTable(SourceData_Feedlot.SourceData_Feedlot_MCF_Data(), Table_SourceData_Feedlot_MCF[[#Headers],[Treatment stage T]], 0)</f>
        <v>0</v>
      </c>
      <c r="R36" s="64" t="str" cm="1">
        <f t="array" ref="R36">Common_InputFunctions.Utility_DisplayArrayInTable(SourceData_Feedlot.SourceData_Feedlot_MCF_Data(), Table_SourceData_Feedlot_MCF[[#Headers],[Treatment stage T]], 0)</f>
        <v>No data</v>
      </c>
      <c r="S36" s="64" cm="1">
        <f t="array" ref="S36">Common_InputFunctions.Utility_DisplayArrayInTable(SourceData_Feedlot.SourceData_Feedlot_MCF_Data(), Table_SourceData_Feedlot_MCF[[#Headers],[Treatment stage T]], 0)</f>
        <v>0</v>
      </c>
      <c r="T36" s="64" cm="1">
        <f t="array" ref="T36">Common_InputFunctions.Utility_DisplayArrayInTable(SourceData_Feedlot.SourceData_Feedlot_MCF_Data(), Table_SourceData_Feedlot_MCF[[#Headers],[Treatment stage T]], 0)</f>
        <v>0</v>
      </c>
      <c r="U36" s="64" cm="1">
        <f t="array" ref="U36">Common_InputFunctions.Utility_DisplayArrayInTable(SourceData_Feedlot.SourceData_Feedlot_MCF_Data(), Table_SourceData_Feedlot_MCF[[#Headers],[Treatment stage T]], 0)</f>
        <v>0</v>
      </c>
      <c r="V36" s="64" t="str" cm="1">
        <f t="array" ref="V36">Common_InputFunctions.Utility_DisplayArrayInTable(SourceData_Feedlot.SourceData_Feedlot_MCF_Data(), Table_SourceData_Feedlot_MCF[[#Headers],[Treatment stage T]], 0)</f>
        <v>No data</v>
      </c>
      <c r="W36" s="64" t="str" cm="1">
        <f t="array" ref="W36">Common_InputFunctions.Utility_DisplayArrayInTable(SourceData_Feedlot.SourceData_Feedlot_MCF_Data(), Table_SourceData_Feedlot_MCF[[#Headers],[Treatment stage T]], 0)</f>
        <v>Direct application</v>
      </c>
    </row>
    <row r="37" spans="3:23" ht="20.100000000000001" customHeight="1" x14ac:dyDescent="0.25">
      <c r="M37" s="1" t="str" cm="1">
        <f t="array" ref="M37">Common_InputFunctions.Utility_DisplayArrayInTable(SourceData_Feedlot.SourceData_Feedlot_MCF_Data(), Table_SourceData_Feedlot_MCF[[#Headers],[Treatment stage T]], 0)</f>
        <v>Tertiary</v>
      </c>
      <c r="N37" s="64" t="str" cm="1">
        <f t="array" ref="N37">Common_InputFunctions.Utility_DisplayArrayInTable(SourceData_Feedlot.SourceData_Feedlot_MCF_Data(), Table_SourceData_Feedlot_MCF[[#Headers],[Treatment stage T]], 0)</f>
        <v>Uncovered anaerobic lagoon (Effluent pond)</v>
      </c>
      <c r="O37" s="64" cm="1">
        <f t="array" ref="O37">Common_InputFunctions.Utility_DisplayArrayInTable(SourceData_Feedlot.SourceData_Feedlot_MCF_Data(), Table_SourceData_Feedlot_MCF[[#Headers],[Treatment stage T]], 0)</f>
        <v>0.75</v>
      </c>
      <c r="P37" s="64" cm="1">
        <f t="array" ref="P37">Common_InputFunctions.Utility_DisplayArrayInTable(SourceData_Feedlot.SourceData_Feedlot_MCF_Data(), Table_SourceData_Feedlot_MCF[[#Headers],[Treatment stage T]], 0)</f>
        <v>0.75</v>
      </c>
      <c r="Q37" s="64" cm="1">
        <f t="array" ref="Q37">Common_InputFunctions.Utility_DisplayArrayInTable(SourceData_Feedlot.SourceData_Feedlot_MCF_Data(), Table_SourceData_Feedlot_MCF[[#Headers],[Treatment stage T]], 0)</f>
        <v>0.77</v>
      </c>
      <c r="R37" s="64" t="str" cm="1">
        <f t="array" ref="R37">Common_InputFunctions.Utility_DisplayArrayInTable(SourceData_Feedlot.SourceData_Feedlot_MCF_Data(), Table_SourceData_Feedlot_MCF[[#Headers],[Treatment stage T]], 0)</f>
        <v>No data</v>
      </c>
      <c r="S37" s="64" cm="1">
        <f t="array" ref="S37">Common_InputFunctions.Utility_DisplayArrayInTable(SourceData_Feedlot.SourceData_Feedlot_MCF_Data(), Table_SourceData_Feedlot_MCF[[#Headers],[Treatment stage T]], 0)</f>
        <v>0.75</v>
      </c>
      <c r="T37" s="64" cm="1">
        <f t="array" ref="T37">Common_InputFunctions.Utility_DisplayArrayInTable(SourceData_Feedlot.SourceData_Feedlot_MCF_Data(), Table_SourceData_Feedlot_MCF[[#Headers],[Treatment stage T]], 0)</f>
        <v>0.75</v>
      </c>
      <c r="U37" s="64" cm="1">
        <f t="array" ref="U37">Common_InputFunctions.Utility_DisplayArrayInTable(SourceData_Feedlot.SourceData_Feedlot_MCF_Data(), Table_SourceData_Feedlot_MCF[[#Headers],[Treatment stage T]], 0)</f>
        <v>0.77</v>
      </c>
      <c r="V37" s="64" t="str" cm="1">
        <f t="array" ref="V37">Common_InputFunctions.Utility_DisplayArrayInTable(SourceData_Feedlot.SourceData_Feedlot_MCF_Data(), Table_SourceData_Feedlot_MCF[[#Headers],[Treatment stage T]], 0)</f>
        <v>No data</v>
      </c>
      <c r="W37" s="64" t="str" cm="1">
        <f t="array" ref="W37">Common_InputFunctions.Utility_DisplayArrayInTable(SourceData_Feedlot.SourceData_Feedlot_MCF_Data(), Table_SourceData_Feedlot_MCF[[#Headers],[Treatment stage T]], 0)</f>
        <v>Anaerobic lagoon</v>
      </c>
    </row>
    <row r="38" spans="3:23" ht="20.100000000000001" customHeight="1" x14ac:dyDescent="0.25"/>
    <row r="39" spans="3:23" ht="20.100000000000001" customHeight="1" x14ac:dyDescent="0.25">
      <c r="D39" s="82" t="s">
        <v>98</v>
      </c>
      <c r="E39" s="1" t="str" cm="1">
        <f t="array" ref="E39">MMS_Feedlot_Methane_Equations.VEERG_4_1_1_1__2_Stage1MethaneProductionDrylot_Variable()</f>
        <v>Mjm5T1</v>
      </c>
    </row>
    <row r="40" spans="3:23" ht="20.100000000000001" customHeight="1" x14ac:dyDescent="0.25">
      <c r="D40" s="82" t="s">
        <v>86</v>
      </c>
      <c r="E40" s="83" t="str" cm="1">
        <f t="array" ref="E40">MMS_Feedlot_Methane_Equations.VEERG_4_1_1_1__2_Stage1MethaneProductionDrylot_Unit()</f>
        <v>kg CH4/head/day</v>
      </c>
      <c r="M40" s="6" t="s">
        <v>207</v>
      </c>
    </row>
    <row r="41" spans="3:23" ht="20.100000000000001" customHeight="1" x14ac:dyDescent="0.25"/>
    <row r="42" spans="3:23" ht="20.100000000000001" customHeight="1" x14ac:dyDescent="0.25">
      <c r="D42" s="86" t="str" cm="1">
        <f t="array" ref="D42:E47">MMS_Feedlot_Methane_Equations.VEERG_4_1_1_1__2_Stage1MethaneProductionDrylot_Arguments()</f>
        <v>VSj</v>
      </c>
      <c r="E42" s="87" t="str">
        <v>volatile solid production from feedlot cattle in each group : kg/head/day</v>
      </c>
      <c r="F42" s="88"/>
      <c r="G42" s="86" t="str">
        <f>"See " &amp; $D$27</f>
        <v>See Table_VS_j</v>
      </c>
      <c r="M42" s="130" t="s">
        <v>138</v>
      </c>
      <c r="N42" s="64" t="s">
        <v>152</v>
      </c>
    </row>
    <row r="43" spans="3:23" ht="20.100000000000001" customHeight="1" x14ac:dyDescent="0.25">
      <c r="D43" s="86" t="str">
        <v>BO</v>
      </c>
      <c r="E43" s="87" t="str">
        <v>emissions potential : m3 CH4/kg VS</v>
      </c>
      <c r="F43" s="88"/>
      <c r="G43" s="86">
        <f>$N$22</f>
        <v>0.19</v>
      </c>
      <c r="M43" s="64" t="str">
        <f>'Constants - Livestock'!$E$16</f>
        <v>Drylot (feed pad)</v>
      </c>
      <c r="N43" s="64" t="str">
        <f>'Constants - Livestock'!$F$16</f>
        <v>Drylot (feed pad) (m=5)</v>
      </c>
    </row>
    <row r="44" spans="3:23" ht="20.100000000000001" customHeight="1" x14ac:dyDescent="0.25">
      <c r="D44" s="86" t="str">
        <v>MMSm5T1</v>
      </c>
      <c r="E44" s="87" t="str">
        <v>fraction of manure in primary system drylot MMS : fraction</v>
      </c>
      <c r="F44" s="88"/>
      <c r="G44" s="86" t="str">
        <f>"See" &amp; D49</f>
        <v>SeeTable_MMS_m-5_T-1</v>
      </c>
      <c r="M44" s="64" t="str">
        <f>'Constants - Livestock'!$E$15</f>
        <v>Solid storage</v>
      </c>
      <c r="N44" s="64" t="str">
        <f>'Constants - Livestock'!$F$15</f>
        <v>Solid storage (m=4)</v>
      </c>
    </row>
    <row r="45" spans="3:23" ht="20.100000000000001" customHeight="1" x14ac:dyDescent="0.25">
      <c r="D45" s="86" t="str">
        <v>MCFim5</v>
      </c>
      <c r="E45" s="87" t="str">
        <v>methane conversion factor for temperature zone and drylot system : fraction</v>
      </c>
      <c r="F45" s="88"/>
      <c r="G45" s="86">
        <f>HLOOKUP(G47, Table_SourceData_Feedlot_MCF[#All], 2, FALSE)</f>
        <v>0.01</v>
      </c>
      <c r="M45" s="64" t="str">
        <f>'Constants - Livestock'!$E$17</f>
        <v>Composting (passive windrow)</v>
      </c>
      <c r="N45" s="64" t="str">
        <f>'Constants - Livestock'!$F$17</f>
        <v>Composting (passive windrow) (m=6)</v>
      </c>
    </row>
    <row r="46" spans="3:23" ht="20.100000000000001" customHeight="1" x14ac:dyDescent="0.25">
      <c r="D46" s="86" t="str">
        <v>rho</v>
      </c>
      <c r="E46" s="87" t="str">
        <v>density of methane : kg/m3</v>
      </c>
      <c r="F46" s="88"/>
      <c r="G46" s="86">
        <f>'Constants - Common'!$D$164</f>
        <v>0.6784</v>
      </c>
      <c r="M46" s="64" t="str">
        <f>'Constants - Livestock'!$E$26</f>
        <v>Direct application</v>
      </c>
      <c r="N46" s="64" t="str">
        <f>'Constants - Livestock'!$F$26</f>
        <v>Direct application (m=13)</v>
      </c>
    </row>
    <row r="47" spans="3:23" ht="20.100000000000001" customHeight="1" x14ac:dyDescent="0.25">
      <c r="D47" s="86" t="str">
        <v>i</v>
      </c>
      <c r="E47" s="87" t="str">
        <v>state</v>
      </c>
      <c r="F47" s="88"/>
      <c r="G47" s="86" t="str" cm="1">
        <f t="array" ref="G47">Common_InputFunctions.Utility_LookupValueInTable('Input - Site'!$E$21,Table_AustralianStates[Common Name],Table_AustralianStates[Abbreviation])</f>
        <v>NSW</v>
      </c>
      <c r="M47" s="1" t="str">
        <f>'Constants - Livestock'!$E$10</f>
        <v>Anaerobic lagoon</v>
      </c>
      <c r="N47" s="1" t="str">
        <f>'Constants - Livestock'!$F$10</f>
        <v>Anaerobic lagoon (m=1)</v>
      </c>
    </row>
    <row r="48" spans="3:23" ht="20.100000000000001" customHeight="1" x14ac:dyDescent="0.25">
      <c r="M48" s="1" t="s">
        <v>190</v>
      </c>
      <c r="N48" s="64" t="s">
        <v>190</v>
      </c>
    </row>
    <row r="49" spans="3:10" ht="20.100000000000001" customHeight="1" x14ac:dyDescent="0.25">
      <c r="D49" s="132" t="s">
        <v>202</v>
      </c>
    </row>
    <row r="50" spans="3:10" ht="20.100000000000001" customHeight="1" x14ac:dyDescent="0.25">
      <c r="D50" s="131" t="s">
        <v>200</v>
      </c>
    </row>
    <row r="51" spans="3:10" ht="20.100000000000001" customHeight="1" x14ac:dyDescent="0.25">
      <c r="D51" s="80" t="s">
        <v>192</v>
      </c>
      <c r="E51" s="80" t="s">
        <v>195</v>
      </c>
      <c r="F51" s="80" t="s">
        <v>196</v>
      </c>
      <c r="G51" s="80" t="s">
        <v>197</v>
      </c>
    </row>
    <row r="52" spans="3:10" ht="20.100000000000001" customHeight="1" x14ac:dyDescent="0.25">
      <c r="D52" s="81" t="str">
        <f>'Input - MMS - Feedlot'!$D$16</f>
        <v>Drylot (feed pad)</v>
      </c>
      <c r="E52" s="81">
        <f>'Input - MMS - Feedlot'!$E$16</f>
        <v>1</v>
      </c>
      <c r="F52" s="81">
        <f>'Input - MMS - Feedlot'!$F$16</f>
        <v>1</v>
      </c>
      <c r="G52" s="81">
        <f>'Input - MMS - Feedlot'!$G$16</f>
        <v>1</v>
      </c>
      <c r="H52" s="2" t="s">
        <v>84</v>
      </c>
    </row>
    <row r="53" spans="3:10" ht="20.100000000000001" customHeight="1" x14ac:dyDescent="0.25"/>
    <row r="54" spans="3:10" ht="20.100000000000001" customHeight="1" x14ac:dyDescent="0.25">
      <c r="D54" s="132" t="s">
        <v>204</v>
      </c>
    </row>
    <row r="55" spans="3:10" ht="20.100000000000001" customHeight="1" x14ac:dyDescent="0.25">
      <c r="D55" s="131" t="s">
        <v>216</v>
      </c>
    </row>
    <row r="56" spans="3:10" ht="20.100000000000001" customHeight="1" x14ac:dyDescent="0.25">
      <c r="D56" s="80" t="s">
        <v>192</v>
      </c>
      <c r="E56" s="80" t="s">
        <v>195</v>
      </c>
      <c r="F56" s="80" t="s">
        <v>196</v>
      </c>
      <c r="G56" s="80" t="s">
        <v>197</v>
      </c>
    </row>
    <row r="57" spans="3:10" ht="20.100000000000001" customHeight="1" x14ac:dyDescent="0.25">
      <c r="D57" s="81" t="str">
        <f>'Input - MMS - Feedlot'!$D$16</f>
        <v>Drylot (feed pad)</v>
      </c>
      <c r="E57" s="81">
        <f>(_xlfn.LET(_xlpm.MCFim5, IF(ISNUMBER($G$45), $G$45, 0), D30 * $G$43 * E52 * _xlpm.MCFim5 * $G$46))</f>
        <v>2.1394673663999997E-3</v>
      </c>
      <c r="F57" s="81">
        <f>(_xlfn.LET(_xlpm.MCFim5, IF(ISNUMBER($G$45), $G$45, 0), E30 * $G$43 * F52 * _xlpm.MCFim5 * $G$46))</f>
        <v>2.2217545727999995E-3</v>
      </c>
      <c r="G57" s="81">
        <f>(_xlfn.LET(_xlpm.MCFim5, IF(ISNUMBER($G$45), $G$45, 0), F30 * $G$43 * G52 * _xlpm.MCFim5 * $G$46))</f>
        <v>1.8644548607999996E-3</v>
      </c>
      <c r="H57" s="2" t="str">
        <f>$E$40</f>
        <v>kg CH4/head/day</v>
      </c>
    </row>
    <row r="58" spans="3:10" ht="20.100000000000001" customHeight="1" x14ac:dyDescent="0.25">
      <c r="D58" s="133" t="str">
        <f>IF(ISNUMBER($G$45),"", "⚠️ ALERT: No MCFim5 data provided. Zero is used instead.")</f>
        <v/>
      </c>
    </row>
    <row r="59" spans="3:10" ht="20.100000000000001" customHeight="1" x14ac:dyDescent="0.25"/>
    <row r="60" spans="3:10" ht="20.100000000000001" customHeight="1" x14ac:dyDescent="0.25">
      <c r="C60" s="73"/>
      <c r="D60" s="73"/>
      <c r="E60" s="73"/>
      <c r="F60" s="73"/>
      <c r="G60" s="73"/>
      <c r="H60" s="73"/>
      <c r="I60" s="73"/>
      <c r="J60" s="73"/>
    </row>
    <row r="61" spans="3:10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0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0" ht="20.100000000000001" customHeight="1" x14ac:dyDescent="0.25">
      <c r="D63" s="14" t="s">
        <v>95</v>
      </c>
      <c r="E63" s="14" t="str" cm="1">
        <f t="array" aca="1" ref="E63" ca="1">Common_InputFunctions.Utility_DisplayFunctionName(F94)</f>
        <v>=</v>
      </c>
    </row>
    <row r="64" spans="3:10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82" t="s">
        <v>98</v>
      </c>
      <c r="E66" s="1" t="str" cm="1">
        <f t="array" ref="E66">MMS_Feedlot_Methane_Equations.VEERG_4_1_1_1__3_Stage2MethaneProduction_Variable()</f>
        <v>MjmT2</v>
      </c>
    </row>
    <row r="67" spans="4:9" ht="20.100000000000001" customHeight="1" x14ac:dyDescent="0.25">
      <c r="D67" s="82" t="s">
        <v>86</v>
      </c>
      <c r="E67" s="83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86" t="str" cm="1">
        <f t="array" ref="D69:E75">MMS_Feedlot_Methane_Equations.VEERG_4_1_1_1__3_Stage2MethaneProduction_Arguments()</f>
        <v>VSL</v>
      </c>
      <c r="E69" s="87" t="str">
        <v>fraction of volatile solids lost during storage in the primary system : fraction</v>
      </c>
      <c r="F69" s="88"/>
      <c r="G69" s="86">
        <f>$N$7</f>
        <v>0.5</v>
      </c>
    </row>
    <row r="70" spans="4:9" ht="20.100000000000001" customHeight="1" x14ac:dyDescent="0.25">
      <c r="D70" s="86" t="str">
        <v>VSj</v>
      </c>
      <c r="E70" s="87" t="str">
        <v>volatile solid production from feedlot cattle in each group : kg/head/day</v>
      </c>
      <c r="F70" s="88"/>
      <c r="G70" s="86" t="str">
        <f>"See " &amp; $D$27</f>
        <v>See Table_VS_j</v>
      </c>
    </row>
    <row r="71" spans="4:9" ht="20.100000000000001" customHeight="1" x14ac:dyDescent="0.25">
      <c r="D71" s="86" t="str">
        <v>BO</v>
      </c>
      <c r="E71" s="87" t="str">
        <v>emissions potential : m3 CH4/kg VS</v>
      </c>
      <c r="F71" s="88"/>
      <c r="G71" s="86">
        <f>$N$22</f>
        <v>0.19</v>
      </c>
    </row>
    <row r="72" spans="4:9" ht="20.100000000000001" customHeight="1" x14ac:dyDescent="0.25">
      <c r="D72" s="86" t="str">
        <v>MMSmT2</v>
      </c>
      <c r="E72" s="87" t="str">
        <v>fraction of manure in each secondary system : fraction</v>
      </c>
      <c r="F72" s="88"/>
      <c r="G72" s="86" t="str">
        <f>"See " &amp; D77</f>
        <v>See Table_MMS_m_T-2</v>
      </c>
    </row>
    <row r="73" spans="4:9" ht="20.100000000000001" customHeight="1" x14ac:dyDescent="0.25">
      <c r="D73" s="86" t="str">
        <v>MCFim</v>
      </c>
      <c r="E73" s="87" t="str">
        <v>methane conversion factor for temperature zone and MMS : fraction</v>
      </c>
      <c r="F73" s="88"/>
      <c r="G73" s="86" t="str">
        <f>"See " &amp; D84</f>
        <v>See Table_MCF_i_m</v>
      </c>
    </row>
    <row r="74" spans="4:9" ht="20.100000000000001" customHeight="1" x14ac:dyDescent="0.25">
      <c r="D74" s="86" t="str">
        <v>rho</v>
      </c>
      <c r="E74" s="87" t="str">
        <v>density of methane : kg/m3</v>
      </c>
      <c r="F74" s="88"/>
      <c r="G74" s="86">
        <f>'Constants - Common'!$D$164</f>
        <v>0.6784</v>
      </c>
    </row>
    <row r="75" spans="4:9" ht="20.100000000000001" customHeight="1" x14ac:dyDescent="0.25">
      <c r="D75" s="86" t="str">
        <v>i</v>
      </c>
      <c r="E75" s="87" t="str">
        <v>state</v>
      </c>
      <c r="F75" s="88"/>
      <c r="G75" s="86" t="str" cm="1">
        <f t="array" ref="G75"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32" t="s">
        <v>205</v>
      </c>
    </row>
    <row r="78" spans="4:9" ht="20.100000000000001" customHeight="1" x14ac:dyDescent="0.25">
      <c r="D78" s="131" t="s">
        <v>206</v>
      </c>
    </row>
    <row r="79" spans="4:9" ht="20.100000000000001" customHeight="1" x14ac:dyDescent="0.25">
      <c r="D79" s="80" t="s">
        <v>192</v>
      </c>
      <c r="E79" s="80" t="s">
        <v>184</v>
      </c>
      <c r="F79" s="80" t="s">
        <v>195</v>
      </c>
      <c r="G79" s="80" t="s">
        <v>196</v>
      </c>
      <c r="H79" s="80" t="s">
        <v>197</v>
      </c>
    </row>
    <row r="80" spans="4:9" ht="20.100000000000001" customHeight="1" x14ac:dyDescent="0.25">
      <c r="D80" s="81" t="str">
        <f>'Input - MMS - Feedlot'!$D$16</f>
        <v>Drylot (feed pad)</v>
      </c>
      <c r="E80" s="81" t="str">
        <f>'Input - MMS - Feedlot'!$D$22</f>
        <v>Solid storage</v>
      </c>
      <c r="F80" s="81">
        <f>'Input - MMS - Feedlot'!E22</f>
        <v>0.2</v>
      </c>
      <c r="G80" s="81">
        <f>'Input - MMS - Feedlot'!F22</f>
        <v>0.2</v>
      </c>
      <c r="H80" s="81">
        <f>'Input - MMS - Feedlot'!G22</f>
        <v>0.2</v>
      </c>
      <c r="I80" s="2" t="s">
        <v>178</v>
      </c>
    </row>
    <row r="81" spans="4:9" ht="20.100000000000001" customHeight="1" x14ac:dyDescent="0.25">
      <c r="D81" s="81" t="str">
        <f>'Input - MMS - Feedlot'!$D$16</f>
        <v>Drylot (feed pad)</v>
      </c>
      <c r="E81" s="81" t="str">
        <f>'Input - MMS - Feedlot'!$D$23</f>
        <v>Composting (passive windrow)</v>
      </c>
      <c r="F81" s="81">
        <f>'Input - MMS - Feedlot'!E23</f>
        <v>0.2</v>
      </c>
      <c r="G81" s="81">
        <f>'Input - MMS - Feedlot'!F23</f>
        <v>0.2</v>
      </c>
      <c r="H81" s="81">
        <f>'Input - MMS - Feedlot'!G23</f>
        <v>0.2</v>
      </c>
      <c r="I81" s="2" t="s">
        <v>178</v>
      </c>
    </row>
    <row r="82" spans="4:9" ht="20.100000000000001" customHeight="1" x14ac:dyDescent="0.25">
      <c r="D82" s="81" t="str">
        <f>'Input - MMS - Feedlot'!$D$16</f>
        <v>Drylot (feed pad)</v>
      </c>
      <c r="E82" s="81" t="str">
        <f>'Input - MMS - Feedlot'!$D$24</f>
        <v>Direct application</v>
      </c>
      <c r="F82" s="81">
        <f>'Input - MMS - Feedlot'!E24</f>
        <v>0.6</v>
      </c>
      <c r="G82" s="81">
        <f>'Input - MMS - Feedlot'!F24</f>
        <v>0.6</v>
      </c>
      <c r="H82" s="81">
        <f>'Input - MMS - Feedlot'!G24</f>
        <v>0.6</v>
      </c>
      <c r="I82" s="2" t="s">
        <v>178</v>
      </c>
    </row>
    <row r="83" spans="4:9" ht="20.100000000000001" customHeight="1" x14ac:dyDescent="0.25"/>
    <row r="84" spans="4:9" ht="20.100000000000001" customHeight="1" x14ac:dyDescent="0.25">
      <c r="D84" s="132" t="s">
        <v>180</v>
      </c>
    </row>
    <row r="85" spans="4:9" ht="20.100000000000001" customHeight="1" x14ac:dyDescent="0.25">
      <c r="D85" s="131" t="s">
        <v>208</v>
      </c>
    </row>
    <row r="86" spans="4:9" ht="20.100000000000001" customHeight="1" x14ac:dyDescent="0.25">
      <c r="D86" s="80" t="s">
        <v>192</v>
      </c>
      <c r="E86" s="80" t="s">
        <v>184</v>
      </c>
      <c r="F86" s="80" t="s">
        <v>175</v>
      </c>
    </row>
    <row r="87" spans="4:9" ht="20.100000000000001" customHeight="1" x14ac:dyDescent="0.25">
      <c r="D87" s="81" t="str">
        <f>'Input - MMS - Feedlot'!$D$16</f>
        <v>Drylot (feed pad)</v>
      </c>
      <c r="E87" s="81" t="str">
        <f>'Input - MMS - Feedlot'!$D$22</f>
        <v>Solid storage</v>
      </c>
      <c r="F87" s="81" cm="1">
        <f t="array" ref="F87">_xlfn.XLOOKUP($G$75, Table_SourceData_Feedlot_MCF[#Headers], _xlfn.XLOOKUP(E87, Table_SourceData_Feedlot_MCF[NIR definition], Table_SourceData_Feedlot_MCF[]))</f>
        <v>0.02</v>
      </c>
      <c r="G87" s="2" t="s">
        <v>178</v>
      </c>
    </row>
    <row r="88" spans="4:9" ht="20.100000000000001" customHeight="1" x14ac:dyDescent="0.25">
      <c r="D88" s="81" t="str">
        <f>'Input - MMS - Feedlot'!$D$16</f>
        <v>Drylot (feed pad)</v>
      </c>
      <c r="E88" s="81" t="str">
        <f>'Input - MMS - Feedlot'!$D$23</f>
        <v>Composting (passive windrow)</v>
      </c>
      <c r="F88" s="81" cm="1">
        <f t="array" ref="F88">_xlfn.XLOOKUP($G$75, Table_SourceData_Feedlot_MCF[#Headers], _xlfn.XLOOKUP(E88, Table_SourceData_Feedlot_MCF[NIR definition], Table_SourceData_Feedlot_MCF[]))</f>
        <v>0.01</v>
      </c>
      <c r="G88" s="2" t="s">
        <v>178</v>
      </c>
    </row>
    <row r="89" spans="4:9" ht="20.100000000000001" customHeight="1" x14ac:dyDescent="0.25">
      <c r="D89" s="81" t="str">
        <f>'Input - MMS - Feedlot'!$D$16</f>
        <v>Drylot (feed pad)</v>
      </c>
      <c r="E89" s="81" t="str">
        <f>'Input - MMS - Feedlot'!$D$24</f>
        <v>Direct application</v>
      </c>
      <c r="F89" s="81" cm="1">
        <f t="array" ref="F89">_xlfn.XLOOKUP($G$75, Table_SourceData_Feedlot_MCF[#Headers], _xlfn.XLOOKUP(E89, Table_SourceData_Feedlot_MCF[NIR definition], Table_SourceData_Feedlot_MCF[]))</f>
        <v>0</v>
      </c>
      <c r="G89" s="2" t="s">
        <v>178</v>
      </c>
    </row>
    <row r="90" spans="4:9" ht="20.100000000000001" customHeight="1" x14ac:dyDescent="0.25"/>
    <row r="91" spans="4:9" ht="20.100000000000001" customHeight="1" x14ac:dyDescent="0.25">
      <c r="D91" s="132" t="s">
        <v>217</v>
      </c>
    </row>
    <row r="92" spans="4:9" ht="20.100000000000001" customHeight="1" x14ac:dyDescent="0.25">
      <c r="D92" s="131" t="s">
        <v>218</v>
      </c>
    </row>
    <row r="93" spans="4:9" ht="20.100000000000001" customHeight="1" x14ac:dyDescent="0.25">
      <c r="D93" s="80" t="s">
        <v>192</v>
      </c>
      <c r="E93" s="80" t="s">
        <v>184</v>
      </c>
      <c r="F93" s="80" t="s">
        <v>195</v>
      </c>
      <c r="G93" s="80" t="s">
        <v>196</v>
      </c>
      <c r="H93" s="80" t="s">
        <v>197</v>
      </c>
    </row>
    <row r="94" spans="4:9" ht="20.100000000000001" customHeight="1" x14ac:dyDescent="0.25">
      <c r="D94" s="81" t="str">
        <f>'Input - MMS - Feedlot'!$D$16</f>
        <v>Drylot (feed pad)</v>
      </c>
      <c r="E94" s="81" t="str">
        <f>'Input - MMS - Feedlot'!$D$22</f>
        <v>Solid storage</v>
      </c>
      <c r="F94" s="81">
        <f>((1 - $G$69) * D$30 * $G$71 * F80 * $F87 * $G$74)</f>
        <v>4.2789347327999993E-4</v>
      </c>
      <c r="G94" s="81">
        <f>((1 - $G$69) * E$30 * $G$71 * G80 * $F87 * $G$74)</f>
        <v>4.4435091455999993E-4</v>
      </c>
      <c r="H94" s="81">
        <f>((1 - $G$69) * F$30 * $G$71 * H80 * $F87 * $G$74)</f>
        <v>3.7289097215999998E-4</v>
      </c>
      <c r="I94" s="2" t="str">
        <f>$E$67</f>
        <v>kg CH4/head/day</v>
      </c>
    </row>
    <row r="95" spans="4:9" ht="20.100000000000001" customHeight="1" x14ac:dyDescent="0.25">
      <c r="D95" s="81" t="str">
        <f>'Input - MMS - Feedlot'!$D$16</f>
        <v>Drylot (feed pad)</v>
      </c>
      <c r="E95" s="81" t="str">
        <f>'Input - MMS - Feedlot'!$D$23</f>
        <v>Composting (passive windrow)</v>
      </c>
      <c r="F95" s="81">
        <f>((1 - $G$69) * D$30 * $G$71 * F81 * $F88 * $G$74)</f>
        <v>2.1394673663999996E-4</v>
      </c>
      <c r="G95" s="81">
        <f>((1 - $G$69) * E$30 * $G$71 * G81 * $F88 * $G$74)</f>
        <v>2.2217545727999996E-4</v>
      </c>
      <c r="H95" s="81">
        <f>((1 - $G$69) * F$30 * $G$71 * H81 * $F88 * $G$74)</f>
        <v>1.8644548607999999E-4</v>
      </c>
      <c r="I95" s="2" t="str">
        <f t="shared" ref="I95:I96" si="0">$E$67</f>
        <v>kg CH4/head/day</v>
      </c>
    </row>
    <row r="96" spans="4:9" ht="20.100000000000001" customHeight="1" x14ac:dyDescent="0.25">
      <c r="D96" s="81" t="str">
        <f>'Input - MMS - Feedlot'!$D$16</f>
        <v>Drylot (feed pad)</v>
      </c>
      <c r="E96" s="81" t="str">
        <f>'Input - MMS - Feedlot'!$D$24</f>
        <v>Direct application</v>
      </c>
      <c r="F96" s="81">
        <f>((1 - $G$69) * D$30 * $G$71 * F82 * $F89 * $G$74)</f>
        <v>0</v>
      </c>
      <c r="G96" s="81">
        <f>((1 - $G$69) * E$30 * $G$71 * G82 * $F89 * $G$74)</f>
        <v>0</v>
      </c>
      <c r="H96" s="81">
        <f>((1 - $G$69) * F$30 * $G$71 * H82 * $F89 * $G$74)</f>
        <v>0</v>
      </c>
      <c r="I96" s="2" t="str">
        <f t="shared" si="0"/>
        <v>kg CH4/head/day</v>
      </c>
    </row>
    <row r="97" spans="3:10" ht="20.100000000000001" customHeight="1" x14ac:dyDescent="0.25"/>
    <row r="98" spans="3:10" ht="20.100000000000001" customHeight="1" x14ac:dyDescent="0.25"/>
    <row r="99" spans="3:10" ht="20.100000000000001" customHeight="1" x14ac:dyDescent="0.25">
      <c r="C99" s="73"/>
      <c r="D99" s="73"/>
      <c r="E99" s="73"/>
      <c r="F99" s="73"/>
      <c r="G99" s="73"/>
      <c r="H99" s="73"/>
      <c r="I99" s="73"/>
      <c r="J99" s="73"/>
    </row>
    <row r="100" spans="3:10" ht="20.100000000000001" customHeight="1" x14ac:dyDescent="0.25">
      <c r="D100" s="6" t="str" cm="1">
        <f t="array" ref="D100">MMS_Feedlot_Methane_Equations.VEERG_4_1_1_1__4_Stage3MethaneProductionAnaerobicLagoon_Title()</f>
        <v>Production of methane in treatment stage 3 MMS</v>
      </c>
    </row>
    <row r="101" spans="3:10" ht="20.100000000000001" customHeight="1" x14ac:dyDescent="0.25">
      <c r="D101" s="5" t="str" cm="1">
        <f t="array" ref="D101">MMS_Feedlot_Methane_Equations.VEERG_4_1_1_1__4_Stage3MethaneProductionAnaerobicLagoon_Source()</f>
        <v>VEERG 2026: 4.1.1.1, Equation (4)</v>
      </c>
    </row>
    <row r="102" spans="3:10" ht="20.100000000000001" customHeight="1" x14ac:dyDescent="0.25">
      <c r="D102" s="14" t="s">
        <v>95</v>
      </c>
      <c r="E102" s="14" t="str" cm="1">
        <f t="array" aca="1" ref="E102" ca="1">Common_InputFunctions.Utility_DisplayFunctionName(E123)</f>
        <v>=</v>
      </c>
    </row>
    <row r="103" spans="3:10" ht="20.100000000000001" customHeight="1" x14ac:dyDescent="0.25"/>
    <row r="104" spans="3:10" ht="20.100000000000001" customHeight="1" x14ac:dyDescent="0.25">
      <c r="D104" s="6"/>
    </row>
    <row r="105" spans="3:10" ht="20.100000000000001" customHeight="1" x14ac:dyDescent="0.25">
      <c r="D105" s="82" t="s">
        <v>98</v>
      </c>
      <c r="E105" s="1" t="str" cm="1">
        <f t="array" ref="E105">MMS_Feedlot_Methane_Equations.VEERG_4_1_1_1__4_Stage3MethaneProductionAnaerobicLagoon_Variable()</f>
        <v>Mjm1T3</v>
      </c>
    </row>
    <row r="106" spans="3:10" ht="20.100000000000001" customHeight="1" x14ac:dyDescent="0.25">
      <c r="D106" s="82" t="s">
        <v>86</v>
      </c>
      <c r="E106" s="83" t="str" cm="1">
        <f t="array" ref="E106">MMS_Feedlot_Methane_Equations.VEERG_4_1_1_1__4_Stage3MethaneProductionAnaerobicLagoon_Unit()</f>
        <v>kg CH4/head/day</v>
      </c>
    </row>
    <row r="107" spans="3:10" ht="20.100000000000001" customHeight="1" x14ac:dyDescent="0.25"/>
    <row r="108" spans="3:10" ht="20.100000000000001" customHeight="1" x14ac:dyDescent="0.25">
      <c r="D108" s="86" t="str" cm="1">
        <f t="array" ref="D108:E113">MMS_Feedlot_Methane_Equations.VEERG_4_1_1_1__4_Stage3MethaneProductionAnaerobicLagoon_Arguments()</f>
        <v>VSj</v>
      </c>
      <c r="E108" s="87" t="str">
        <v>volatile solid production from feedlot cattle in each group : kg/head/day</v>
      </c>
      <c r="F108" s="135"/>
      <c r="G108" s="88"/>
      <c r="H108" s="86" t="str">
        <f>"See " &amp; $D$27</f>
        <v>See Table_VS_j</v>
      </c>
    </row>
    <row r="109" spans="3:10" ht="20.100000000000001" customHeight="1" x14ac:dyDescent="0.25">
      <c r="D109" s="86" t="str">
        <v>BO</v>
      </c>
      <c r="E109" s="87" t="str">
        <v>emissions potential : m3 CH4/kg VS</v>
      </c>
      <c r="F109" s="135"/>
      <c r="G109" s="88"/>
      <c r="H109" s="86">
        <f>$N$22</f>
        <v>0.19</v>
      </c>
    </row>
    <row r="110" spans="3:10" ht="20.100000000000001" customHeight="1" x14ac:dyDescent="0.25">
      <c r="D110" s="86" t="str">
        <v>MMSm1T3</v>
      </c>
      <c r="E110" s="87" t="str">
        <v>fraction of manure to tertiary anaerobic lagoon system : fraction</v>
      </c>
      <c r="F110" s="135"/>
      <c r="G110" s="88"/>
      <c r="H110" s="86" t="str">
        <f>"See " &amp; D115</f>
        <v>See Table_MMS_m-1_T-3</v>
      </c>
    </row>
    <row r="111" spans="3:10" ht="20.100000000000001" customHeight="1" x14ac:dyDescent="0.25">
      <c r="D111" s="86" t="str">
        <v>MCFim1</v>
      </c>
      <c r="E111" s="87" t="str">
        <v>methane conversion factor for temperature zone and anaerobic lagoon system : fraction</v>
      </c>
      <c r="F111" s="135"/>
      <c r="G111" s="88"/>
      <c r="H111" s="86">
        <f>HLOOKUP(H113, Table_SourceData_Feedlot_MCF[#All], 6, FALSE)</f>
        <v>0.75</v>
      </c>
    </row>
    <row r="112" spans="3:10" ht="20.100000000000001" customHeight="1" x14ac:dyDescent="0.25">
      <c r="D112" s="86" t="str">
        <v>rho</v>
      </c>
      <c r="E112" s="87" t="str">
        <v>density of methane : kg/m3</v>
      </c>
      <c r="F112" s="135"/>
      <c r="G112" s="88"/>
      <c r="H112" s="86">
        <f>'Constants - Common'!$D$164</f>
        <v>0.6784</v>
      </c>
    </row>
    <row r="113" spans="3:10" ht="20.100000000000001" customHeight="1" x14ac:dyDescent="0.25">
      <c r="D113" s="86" t="str">
        <v>i</v>
      </c>
      <c r="E113" s="87" t="str">
        <v>state</v>
      </c>
      <c r="F113" s="135"/>
      <c r="G113" s="88"/>
      <c r="H113" s="86" t="str" cm="1">
        <f t="array" ref="H113">Common_InputFunctions.Utility_LookupValueInTable('Input - Site'!$E$21,Table_AustralianStates[Common Name],Table_AustralianStates[Abbreviation])</f>
        <v>NSW</v>
      </c>
    </row>
    <row r="114" spans="3:10" ht="20.100000000000001" customHeight="1" x14ac:dyDescent="0.25"/>
    <row r="115" spans="3:10" ht="20.100000000000001" customHeight="1" x14ac:dyDescent="0.25">
      <c r="D115" s="132" t="s">
        <v>211</v>
      </c>
    </row>
    <row r="116" spans="3:10" ht="20.100000000000001" customHeight="1" x14ac:dyDescent="0.25">
      <c r="D116" s="131" t="s">
        <v>214</v>
      </c>
    </row>
    <row r="117" spans="3:10" ht="20.100000000000001" customHeight="1" x14ac:dyDescent="0.25">
      <c r="D117" s="80" t="s">
        <v>192</v>
      </c>
      <c r="E117" s="80" t="s">
        <v>195</v>
      </c>
      <c r="F117" s="80" t="s">
        <v>196</v>
      </c>
      <c r="G117" s="80" t="s">
        <v>197</v>
      </c>
    </row>
    <row r="118" spans="3:10" ht="20.100000000000001" customHeight="1" x14ac:dyDescent="0.25">
      <c r="D118" s="81" t="str">
        <f>'Input - MMS - Feedlot'!$D$16</f>
        <v>Drylot (feed pad)</v>
      </c>
      <c r="E118" s="81">
        <f>'Input - MMS - Feedlot'!E30</f>
        <v>0.02</v>
      </c>
      <c r="F118" s="81">
        <f>'Input - MMS - Feedlot'!F30</f>
        <v>0.02</v>
      </c>
      <c r="G118" s="81">
        <f>'Input - MMS - Feedlot'!G30</f>
        <v>0.02</v>
      </c>
      <c r="H118" s="2" t="s">
        <v>178</v>
      </c>
    </row>
    <row r="119" spans="3:10" ht="20.100000000000001" customHeight="1" x14ac:dyDescent="0.25"/>
    <row r="120" spans="3:10" ht="20.100000000000001" customHeight="1" x14ac:dyDescent="0.25">
      <c r="D120" s="132" t="s">
        <v>215</v>
      </c>
    </row>
    <row r="121" spans="3:10" ht="20.100000000000001" customHeight="1" x14ac:dyDescent="0.25">
      <c r="D121" s="131" t="s">
        <v>219</v>
      </c>
    </row>
    <row r="122" spans="3:10" ht="20.100000000000001" customHeight="1" x14ac:dyDescent="0.25">
      <c r="D122" s="80" t="s">
        <v>192</v>
      </c>
      <c r="E122" s="80" t="s">
        <v>195</v>
      </c>
      <c r="F122" s="80" t="s">
        <v>196</v>
      </c>
      <c r="G122" s="80" t="s">
        <v>197</v>
      </c>
    </row>
    <row r="123" spans="3:10" ht="20.100000000000001" customHeight="1" x14ac:dyDescent="0.25">
      <c r="D123" s="81" t="str">
        <f>'Input - MMS - Feedlot'!$D$16</f>
        <v>Drylot (feed pad)</v>
      </c>
      <c r="E123" s="81">
        <f>(D$30 * $H$109 * E118 * $H$111 * $H$112)</f>
        <v>3.2092010495999991E-3</v>
      </c>
      <c r="F123" s="81">
        <f>(E$30 * $H$109 * F118 * $H$111 * $H$112)</f>
        <v>3.3326318591999997E-3</v>
      </c>
      <c r="G123" s="81">
        <f>(F$30 * $H$109 * G118 * $H$111 * $H$112)</f>
        <v>2.7966822911999994E-3</v>
      </c>
      <c r="H123" s="2" t="str">
        <f>$E$106</f>
        <v>kg CH4/head/day</v>
      </c>
    </row>
    <row r="124" spans="3:10" ht="20.100000000000001" customHeight="1" x14ac:dyDescent="0.25"/>
    <row r="125" spans="3:10" ht="20.100000000000001" customHeight="1" x14ac:dyDescent="0.25"/>
    <row r="126" spans="3:10" ht="20.100000000000001" customHeight="1" x14ac:dyDescent="0.25">
      <c r="C126" s="73"/>
      <c r="D126" s="73"/>
      <c r="E126" s="73"/>
      <c r="F126" s="73"/>
      <c r="G126" s="73"/>
      <c r="H126" s="73"/>
      <c r="I126" s="73"/>
      <c r="J126" s="73"/>
    </row>
    <row r="127" spans="3:10" ht="20.100000000000001" customHeight="1" x14ac:dyDescent="0.25">
      <c r="D127" s="6" t="str" cm="1">
        <f t="array" ref="D127">MMS_Feedlot_Methane_Equations.VEERG_4_1_1_1__1_TotalAnnualMethaneEmissions_Title()</f>
        <v>Total annual methane emissions from manure management</v>
      </c>
    </row>
    <row r="128" spans="3:10" ht="20.100000000000001" customHeight="1" x14ac:dyDescent="0.25">
      <c r="D128" s="5" t="str" cm="1">
        <f t="array" ref="D128">MMS_Feedlot_Methane_Equations.VEERG_4_1_1_1__1_TotalAnnualMethaneEmissions_Source()</f>
        <v>VEERG 2026: 4.1.1.1, Equation (1)</v>
      </c>
    </row>
    <row r="129" spans="4:8" ht="20.100000000000001" customHeight="1" x14ac:dyDescent="0.25">
      <c r="D129" s="14" t="s">
        <v>95</v>
      </c>
      <c r="E129" s="14"/>
    </row>
    <row r="130" spans="4:8" ht="20.100000000000001" customHeight="1" x14ac:dyDescent="0.25"/>
    <row r="131" spans="4:8" ht="20.100000000000001" customHeight="1" x14ac:dyDescent="0.25">
      <c r="D131" s="6"/>
    </row>
    <row r="132" spans="4:8" ht="20.100000000000001" customHeight="1" x14ac:dyDescent="0.25"/>
    <row r="133" spans="4:8" ht="20.100000000000001" customHeight="1" x14ac:dyDescent="0.25">
      <c r="D133" s="82" t="s">
        <v>98</v>
      </c>
      <c r="E133" s="1" t="str" cm="1">
        <f t="array" ref="E133">MMS_Feedlot_Methane_Equations.VEERG_4_1_1_1__1_TotalAnnualMethaneEmissions_Variable()</f>
        <v>ECH4</v>
      </c>
    </row>
    <row r="134" spans="4:8" ht="20.100000000000001" customHeight="1" x14ac:dyDescent="0.25">
      <c r="D134" s="82" t="s">
        <v>86</v>
      </c>
      <c r="E134" s="83" t="str" cm="1">
        <f t="array" ref="E134">MMS_Feedlot_Methane_Equations.VEERG_4_1_1_1__1_TotalAnnualMethaneEmissions_Unit()</f>
        <v>t CH4</v>
      </c>
    </row>
    <row r="135" spans="4:8" ht="20.100000000000001" customHeight="1" x14ac:dyDescent="0.25"/>
    <row r="136" spans="4:8" ht="20.100000000000001" customHeight="1" x14ac:dyDescent="0.25">
      <c r="D136" s="86" t="str" cm="1">
        <f t="array" ref="D136:E138">MMS_Feedlot_Methane_Equations.VEERG_4_1_1_1__1_TotalAnnualMethaneEmissions_Arguments()</f>
        <v>Dj</v>
      </c>
      <c r="E136" s="87" t="str">
        <v>length of stay of each cattle group : days</v>
      </c>
      <c r="F136" s="135"/>
      <c r="G136" s="88"/>
      <c r="H136" s="86"/>
    </row>
    <row r="137" spans="4:8" ht="20.100000000000001" customHeight="1" x14ac:dyDescent="0.25">
      <c r="D137" s="86" t="str">
        <v>MjmT</v>
      </c>
      <c r="E137" s="87" t="str">
        <v>methane production from manure per cattle group, MMS, and treatment stage : kg CH4/head/day</v>
      </c>
      <c r="F137" s="135"/>
      <c r="G137" s="88"/>
      <c r="H137" s="86"/>
    </row>
    <row r="138" spans="4:8" ht="20.100000000000001" customHeight="1" x14ac:dyDescent="0.25">
      <c r="D138" s="86" t="str">
        <v>Nj</v>
      </c>
      <c r="E138" s="87" t="str">
        <v>numbers of beef cattle in each group : head</v>
      </c>
      <c r="F138" s="135"/>
      <c r="G138" s="88"/>
      <c r="H138" s="86"/>
    </row>
    <row r="139" spans="4:8" ht="20.100000000000001" customHeight="1" x14ac:dyDescent="0.25"/>
    <row r="140" spans="4:8" ht="20.100000000000001" customHeight="1" x14ac:dyDescent="0.25"/>
    <row r="141" spans="4:8" ht="20.100000000000001" customHeight="1" x14ac:dyDescent="0.25"/>
    <row r="142" spans="4:8" ht="20.100000000000001" customHeight="1" x14ac:dyDescent="0.25"/>
    <row r="143" spans="4:8" ht="20.100000000000001" customHeight="1" x14ac:dyDescent="0.25"/>
    <row r="144" spans="4:8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2">
    <dataValidation type="whole" operator="equal" allowBlank="1" showInputMessage="1" showErrorMessage="1" sqref="E52:G52" xr:uid="{AF7BB680-B75F-4AE8-AA2D-EDF03FCB10D8}">
      <formula1>1</formula1>
    </dataValidation>
    <dataValidation operator="equal" allowBlank="1" showInputMessage="1" showErrorMessage="1" sqref="E57:G57 E118:G118 E123:G123" xr:uid="{BF6C354D-1CC7-4759-8034-52BCA09E82CC}"/>
  </dataValidations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EF23-0CE2-4D86-AA37-C6D78B995C56}">
  <sheetPr codeName="Sheet2"/>
  <dimension ref="A1:BX179"/>
  <sheetViews>
    <sheetView showGridLines="0" zoomScale="85" zoomScaleNormal="85" workbookViewId="0">
      <selection activeCell="F93" sqref="F93"/>
    </sheetView>
  </sheetViews>
  <sheetFormatPr defaultColWidth="9.140625" defaultRowHeight="15" x14ac:dyDescent="0.25"/>
  <cols>
    <col min="1" max="1" width="30.7109375" customWidth="1"/>
    <col min="2" max="2" width="2.7109375" customWidth="1"/>
    <col min="3" max="3" width="4.7109375" customWidth="1"/>
    <col min="4" max="4" width="48" customWidth="1"/>
    <col min="5" max="16" width="20.7109375" customWidth="1"/>
    <col min="17" max="17" width="17.28515625" customWidth="1"/>
    <col min="18" max="19" width="20.7109375" customWidth="1"/>
    <col min="20" max="20" width="4.7109375" customWidth="1"/>
    <col min="21" max="32" width="20.7109375" customWidth="1"/>
    <col min="33" max="38" width="21.85546875" customWidth="1"/>
    <col min="39" max="43" width="20.7109375" customWidth="1"/>
  </cols>
  <sheetData>
    <row r="1" spans="1:76" ht="30" customHeight="1" x14ac:dyDescent="0.35">
      <c r="A1" s="8" t="e" vm="1">
        <v>#VALUE!</v>
      </c>
      <c r="B1" s="8"/>
      <c r="C1" s="8" t="s">
        <v>148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</row>
    <row r="2" spans="1:76" ht="20.100000000000001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</row>
    <row r="3" spans="1:76" ht="20.100000000000001" customHeight="1" x14ac:dyDescent="0.25">
      <c r="B3" s="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</row>
    <row r="4" spans="1:76" ht="20.100000000000001" customHeight="1" x14ac:dyDescent="0.25">
      <c r="B4" s="7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</row>
    <row r="5" spans="1:76" ht="20.100000000000001" customHeight="1" x14ac:dyDescent="0.25">
      <c r="B5" s="7"/>
      <c r="C5" s="1"/>
      <c r="D5" s="6" t="str" cm="1">
        <f t="array" ref="D5">Common_SourceData.Common_SourceData_AustralianStatesTerritories_Title()</f>
        <v>Australian states and territories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</row>
    <row r="6" spans="1:76" ht="20.100000000000001" customHeight="1" x14ac:dyDescent="0.25">
      <c r="B6" s="7"/>
      <c r="C6" s="1"/>
      <c r="D6" s="64" t="s">
        <v>90</v>
      </c>
      <c r="E6" s="64" t="s">
        <v>91</v>
      </c>
      <c r="F6" s="64" t="s">
        <v>92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</row>
    <row r="7" spans="1:76" ht="20.100000000000001" customHeight="1" x14ac:dyDescent="0.25">
      <c r="B7" s="7"/>
      <c r="C7" s="1"/>
      <c r="D7" s="64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64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64" t="str" cm="1">
        <f t="array" ref="F7">Common_InputFunctions.Utility_DisplayArrayInTable(Common_SourceData.Common_SourceData_AustralianStatesTerritories_Data(),Table_AustralianStates[[#Headers],[State/Territory]],0)</f>
        <v>NSW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</row>
    <row r="8" spans="1:76" ht="20.100000000000001" customHeight="1" x14ac:dyDescent="0.25">
      <c r="B8" s="7"/>
      <c r="C8" s="1"/>
      <c r="D8" s="64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64" t="str" cm="1">
        <f t="array" ref="E8">Common_InputFunctions.Utility_DisplayArrayInTable(Common_SourceData.Common_SourceData_AustralianStatesTerritories_Data(),Table_AustralianStates[[#Headers],[State/Territory]],0)</f>
        <v>ACT</v>
      </c>
      <c r="F8" s="64" t="str" cm="1">
        <f t="array" ref="F8">Common_InputFunctions.Utility_DisplayArrayInTable(Common_SourceData.Common_SourceData_AustralianStatesTerritories_Data(),Table_AustralianStates[[#Headers],[State/Territory]],0)</f>
        <v>ACT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</row>
    <row r="9" spans="1:76" ht="20.100000000000001" customHeight="1" x14ac:dyDescent="0.25">
      <c r="B9" s="7"/>
      <c r="C9" s="1"/>
      <c r="D9" s="64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64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64" t="str" cm="1">
        <f t="array" ref="F9">Common_InputFunctions.Utility_DisplayArrayInTable(Common_SourceData.Common_SourceData_AustralianStatesTerritories_Data(),Table_AustralianStates[[#Headers],[State/Territory]],0)</f>
        <v>VIC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</row>
    <row r="10" spans="1:76" ht="20.100000000000001" customHeight="1" x14ac:dyDescent="0.25">
      <c r="B10" s="7"/>
      <c r="C10" s="1"/>
      <c r="D10" s="64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64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64" t="str" cm="1">
        <f t="array" ref="F10">Common_InputFunctions.Utility_DisplayArrayInTable(Common_SourceData.Common_SourceData_AustralianStatesTerritories_Data(),Table_AustralianStates[[#Headers],[State/Territory]],0)</f>
        <v>QLD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</row>
    <row r="11" spans="1:76" ht="20.100000000000001" customHeight="1" x14ac:dyDescent="0.25">
      <c r="B11" s="7"/>
      <c r="C11" s="1"/>
      <c r="D11" s="64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64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64" t="str" cm="1">
        <f t="array" ref="F11">Common_InputFunctions.Utility_DisplayArrayInTable(Common_SourceData.Common_SourceData_AustralianStatesTerritories_Data(),Table_AustralianStates[[#Headers],[State/Territory]],0)</f>
        <v>SA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</row>
    <row r="12" spans="1:76" ht="20.100000000000001" customHeight="1" x14ac:dyDescent="0.25">
      <c r="B12" s="7"/>
      <c r="C12" s="1"/>
      <c r="D12" s="64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64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64" t="str" cm="1">
        <f t="array" ref="F12">Common_InputFunctions.Utility_DisplayArrayInTable(Common_SourceData.Common_SourceData_AustralianStatesTerritories_Data(),Table_AustralianStates[[#Headers],[State/Territory]],0)</f>
        <v>WA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</row>
    <row r="13" spans="1:76" ht="20.100000000000001" customHeight="1" x14ac:dyDescent="0.25">
      <c r="B13" s="7"/>
      <c r="C13" s="1"/>
      <c r="D13" s="64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64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64" t="str" cm="1">
        <f t="array" ref="F13">Common_InputFunctions.Utility_DisplayArrayInTable(Common_SourceData.Common_SourceData_AustralianStatesTerritories_Data(),Table_AustralianStates[[#Headers],[State/Territory]],0)</f>
        <v>TAS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</row>
    <row r="14" spans="1:76" ht="20.100000000000001" customHeight="1" x14ac:dyDescent="0.25">
      <c r="B14" s="7"/>
      <c r="C14" s="1"/>
      <c r="D14" s="64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64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64" t="str" cm="1">
        <f t="array" ref="F14">Common_InputFunctions.Utility_DisplayArrayInTable(Common_SourceData.Common_SourceData_AustralianStatesTerritories_Data(),Table_AustralianStates[[#Headers],[State/Territory]],0)</f>
        <v>NT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</row>
    <row r="15" spans="1:76" ht="20.100000000000001" customHeight="1" x14ac:dyDescent="0.25">
      <c r="B15" s="7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</row>
    <row r="16" spans="1:76" ht="20.100000000000001" customHeight="1" x14ac:dyDescent="0.25">
      <c r="B16" s="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</row>
    <row r="17" spans="2:76" ht="20.100000000000001" customHeight="1" x14ac:dyDescent="0.25">
      <c r="B17" s="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</row>
    <row r="18" spans="2:76" ht="20.100000000000001" customHeight="1" x14ac:dyDescent="0.25">
      <c r="B18" s="7"/>
      <c r="C18" s="1"/>
      <c r="D18" s="6" t="str" cm="1">
        <f t="array" ref="D18">Common_SourceData.Common_SourceData_WASA4Areas_Title()</f>
        <v>ABS Statistcal Areas Level 4 - Western Australia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</row>
    <row r="19" spans="2:76" ht="20.100000000000001" customHeight="1" x14ac:dyDescent="0.25">
      <c r="B19" s="7"/>
      <c r="C19" s="1"/>
      <c r="D19" s="5" t="str" cm="1">
        <f t="array" ref="D19">Common_SourceData.Common_SourceData_WASA4Areas_Source()</f>
        <v>Australian Bureau of Statistics (ABS) - Statistical Areas Level 2 - 2021 - Shapefile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</row>
    <row r="20" spans="2:76" ht="20.100000000000001" customHeight="1" x14ac:dyDescent="0.25">
      <c r="B20" s="7"/>
      <c r="C20" s="1"/>
      <c r="D20" s="64" t="s">
        <v>93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</row>
    <row r="21" spans="2:76" ht="20.100000000000001" customHeight="1" x14ac:dyDescent="0.25">
      <c r="B21" s="7"/>
      <c r="C21" s="1"/>
      <c r="D21" s="64" t="str" cm="1">
        <f t="array" ref="D21">Common_InputFunctions.Utility_DisplayArrayInTable(Common_SourceData.Common_SourceData_WASA4Areas_Data(), Table_WASA4Areas[[#Headers],[SA 4 Name]], 0)</f>
        <v>Bunbury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</row>
    <row r="22" spans="2:76" ht="20.100000000000001" customHeight="1" x14ac:dyDescent="0.25">
      <c r="B22" s="7"/>
      <c r="C22" s="1"/>
      <c r="D22" s="64" t="str" cm="1">
        <f t="array" ref="D22">Common_InputFunctions.Utility_DisplayArrayInTable(Common_SourceData.Common_SourceData_WASA4Areas_Data(), Table_WASA4Areas[[#Headers],[SA 4 Name]], 0)</f>
        <v>Mandurah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</row>
    <row r="23" spans="2:76" ht="20.100000000000001" customHeight="1" x14ac:dyDescent="0.25">
      <c r="B23" s="7"/>
      <c r="C23" s="1"/>
      <c r="D23" s="64" t="str" cm="1">
        <f t="array" ref="D23">Common_InputFunctions.Utility_DisplayArrayInTable(Common_SourceData.Common_SourceData_WASA4Areas_Data(), Table_WASA4Areas[[#Headers],[SA 4 Name]], 0)</f>
        <v>Perth - Inner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</row>
    <row r="24" spans="2:76" ht="20.100000000000001" customHeight="1" x14ac:dyDescent="0.25">
      <c r="B24" s="7"/>
      <c r="C24" s="1"/>
      <c r="D24" s="64" t="str" cm="1">
        <f t="array" ref="D24">Common_InputFunctions.Utility_DisplayArrayInTable(Common_SourceData.Common_SourceData_WASA4Areas_Data(), Table_WASA4Areas[[#Headers],[SA 4 Name]], 0)</f>
        <v>Perth - North East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</row>
    <row r="25" spans="2:76" ht="20.100000000000001" customHeight="1" x14ac:dyDescent="0.25">
      <c r="B25" s="7"/>
      <c r="C25" s="1"/>
      <c r="D25" s="64" t="str" cm="1">
        <f t="array" ref="D25">Common_InputFunctions.Utility_DisplayArrayInTable(Common_SourceData.Common_SourceData_WASA4Areas_Data(), Table_WASA4Areas[[#Headers],[SA 4 Name]], 0)</f>
        <v>Perth - North West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</row>
    <row r="26" spans="2:76" ht="20.100000000000001" customHeight="1" x14ac:dyDescent="0.25">
      <c r="B26" s="7"/>
      <c r="C26" s="1"/>
      <c r="D26" s="64" t="str" cm="1">
        <f t="array" ref="D26">Common_InputFunctions.Utility_DisplayArrayInTable(Common_SourceData.Common_SourceData_WASA4Areas_Data(), Table_WASA4Areas[[#Headers],[SA 4 Name]], 0)</f>
        <v>Perth - South East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</row>
    <row r="27" spans="2:76" ht="20.100000000000001" customHeight="1" x14ac:dyDescent="0.25">
      <c r="B27" s="7"/>
      <c r="C27" s="1"/>
      <c r="D27" s="64" t="str" cm="1">
        <f t="array" ref="D27">Common_InputFunctions.Utility_DisplayArrayInTable(Common_SourceData.Common_SourceData_WASA4Areas_Data(), Table_WASA4Areas[[#Headers],[SA 4 Name]], 0)</f>
        <v>Perth - South West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</row>
    <row r="28" spans="2:76" ht="20.100000000000001" customHeight="1" x14ac:dyDescent="0.25">
      <c r="B28" s="7"/>
      <c r="C28" s="1"/>
      <c r="D28" s="64" t="str" cm="1">
        <f t="array" ref="D28">Common_InputFunctions.Utility_DisplayArrayInTable(Common_SourceData.Common_SourceData_WASA4Areas_Data(), Table_WASA4Areas[[#Headers],[SA 4 Name]], 0)</f>
        <v>Western Australia - Wheat Belt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</row>
    <row r="29" spans="2:76" ht="20.100000000000001" customHeight="1" x14ac:dyDescent="0.25">
      <c r="B29" s="7"/>
      <c r="C29" s="1"/>
      <c r="D29" s="64" t="str" cm="1">
        <f t="array" ref="D29">Common_InputFunctions.Utility_DisplayArrayInTable(Common_SourceData.Common_SourceData_WASA4Areas_Data(), Table_WASA4Areas[[#Headers],[SA 4 Name]], 0)</f>
        <v>Western Australia - Outback (North)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</row>
    <row r="30" spans="2:76" ht="20.100000000000001" customHeight="1" x14ac:dyDescent="0.25">
      <c r="B30" s="7"/>
      <c r="C30" s="1"/>
      <c r="D30" s="64" t="str" cm="1">
        <f t="array" ref="D30">Common_InputFunctions.Utility_DisplayArrayInTable(Common_SourceData.Common_SourceData_WASA4Areas_Data(), Table_WASA4Areas[[#Headers],[SA 4 Name]], 0)</f>
        <v>Western Australia - Outback (South)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</row>
    <row r="31" spans="2:76" ht="20.100000000000001" customHeight="1" x14ac:dyDescent="0.25">
      <c r="B31" s="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</row>
    <row r="32" spans="2:76" ht="20.100000000000001" customHeight="1" x14ac:dyDescent="0.25">
      <c r="B32" s="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</row>
    <row r="33" spans="1:76" ht="20.100000000000001" customHeight="1" x14ac:dyDescent="0.25"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</row>
    <row r="34" spans="1:76" ht="20.100000000000001" customHeight="1" x14ac:dyDescent="0.25">
      <c r="B34" s="7"/>
      <c r="C34" s="1"/>
      <c r="D34" s="6" t="str" cm="1">
        <f t="array" ref="D34">Common_SourceData.Common_SourceData_GWP_Title()</f>
        <v>Global warming potential for greenhouse gases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</row>
    <row r="35" spans="1:76" ht="20.100000000000001" customHeight="1" x14ac:dyDescent="0.25">
      <c r="B35" s="7"/>
      <c r="C35" s="1"/>
      <c r="D35" s="5" t="str" cm="1">
        <f t="array" ref="D35">Common_SourceData.Common_SourceData_GWP_Source()</f>
        <v>XXXXXXX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</row>
    <row r="36" spans="1:76" ht="20.100000000000001" customHeight="1" x14ac:dyDescent="0.25">
      <c r="B36" s="7"/>
      <c r="C36" s="1"/>
      <c r="D36" s="64" t="s">
        <v>96</v>
      </c>
      <c r="E36" s="64" t="s">
        <v>97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</row>
    <row r="37" spans="1:76" ht="20.100000000000001" customHeight="1" x14ac:dyDescent="0.25">
      <c r="B37" s="7"/>
      <c r="C37" s="1"/>
      <c r="D37" s="64" t="str" cm="1">
        <f t="array" ref="D37">Common_InputFunctions.Utility_DisplayArrayInTable(Common_SourceData.Common_SourceData_GWP_Data(), Table_GWPData[[#Headers],[Gas]], 0)</f>
        <v>CO2</v>
      </c>
      <c r="E37" s="64" cm="1">
        <f t="array" ref="E37">Common_InputFunctions.Utility_DisplayArrayInTable(Common_SourceData.Common_SourceData_GWP_Data(), Table_GWPData[[#Headers],[Gas]], 0)</f>
        <v>1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</row>
    <row r="38" spans="1:76" ht="20.100000000000001" customHeight="1" x14ac:dyDescent="0.25">
      <c r="B38" s="7"/>
      <c r="C38" s="1"/>
      <c r="D38" s="64" t="str" cm="1">
        <f t="array" ref="D38">Common_InputFunctions.Utility_DisplayArrayInTable(Common_SourceData.Common_SourceData_GWP_Data(), Table_GWPData[[#Headers],[Gas]], 0)</f>
        <v>CH4</v>
      </c>
      <c r="E38" s="64" cm="1">
        <f t="array" ref="E38">Common_InputFunctions.Utility_DisplayArrayInTable(Common_SourceData.Common_SourceData_GWP_Data(), Table_GWPData[[#Headers],[Gas]], 0)</f>
        <v>28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</row>
    <row r="39" spans="1:76" ht="20.100000000000001" customHeight="1" x14ac:dyDescent="0.25">
      <c r="B39" s="7"/>
      <c r="C39" s="1"/>
      <c r="D39" s="64" t="str" cm="1">
        <f t="array" ref="D39">Common_InputFunctions.Utility_DisplayArrayInTable(Common_SourceData.Common_SourceData_GWP_Data(), Table_GWPData[[#Headers],[Gas]], 0)</f>
        <v>N2O</v>
      </c>
      <c r="E39" s="64" cm="1">
        <f t="array" ref="E39">Common_InputFunctions.Utility_DisplayArrayInTable(Common_SourceData.Common_SourceData_GWP_Data(), Table_GWPData[[#Headers],[Gas]], 0)</f>
        <v>265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</row>
    <row r="40" spans="1:76" ht="20.100000000000001" customHeight="1" x14ac:dyDescent="0.25">
      <c r="B40" s="7"/>
      <c r="C40" s="1"/>
      <c r="D40" s="64" t="str" cm="1">
        <f t="array" ref="D40">Common_InputFunctions.Utility_DisplayArrayInTable(Common_SourceData.Common_SourceData_GWP_Data(), Table_GWPData[[#Headers],[Gas]], 0)</f>
        <v>CF4</v>
      </c>
      <c r="E40" s="64" cm="1">
        <f t="array" ref="E40">Common_InputFunctions.Utility_DisplayArrayInTable(Common_SourceData.Common_SourceData_GWP_Data(), Table_GWPData[[#Headers],[Gas]], 0)</f>
        <v>6630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</row>
    <row r="41" spans="1:76" ht="20.100000000000001" customHeight="1" x14ac:dyDescent="0.25">
      <c r="B41" s="7"/>
      <c r="C41" s="1"/>
      <c r="D41" s="64" t="str" cm="1">
        <f t="array" ref="D41">Common_InputFunctions.Utility_DisplayArrayInTable(Common_SourceData.Common_SourceData_GWP_Data(), Table_GWPData[[#Headers],[Gas]], 0)</f>
        <v>C2F6</v>
      </c>
      <c r="E41" s="64" cm="1">
        <f t="array" ref="E41">Common_InputFunctions.Utility_DisplayArrayInTable(Common_SourceData.Common_SourceData_GWP_Data(), Table_GWPData[[#Headers],[Gas]], 0)</f>
        <v>12200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</row>
    <row r="42" spans="1:76" ht="20.100000000000001" customHeight="1" x14ac:dyDescent="0.25">
      <c r="A42" s="7"/>
      <c r="B42" s="7"/>
      <c r="C42" s="1"/>
      <c r="D42" s="64" t="str" cm="1">
        <f t="array" ref="D42">Common_InputFunctions.Utility_DisplayArrayInTable(Common_SourceData.Common_SourceData_GWP_Data(), Table_GWPData[[#Headers],[Gas]], 0)</f>
        <v>SF6</v>
      </c>
      <c r="E42" s="64" cm="1">
        <f t="array" ref="E42">Common_InputFunctions.Utility_DisplayArrayInTable(Common_SourceData.Common_SourceData_GWP_Data(), Table_GWPData[[#Headers],[Gas]], 0)</f>
        <v>22800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</row>
    <row r="43" spans="1:76" ht="20.100000000000001" customHeight="1" x14ac:dyDescent="0.25">
      <c r="A43" s="7"/>
      <c r="B43" s="7"/>
      <c r="C43" s="1"/>
      <c r="D43" s="64" t="str" cm="1">
        <f t="array" ref="D43">Common_InputFunctions.Utility_DisplayArrayInTable(Common_SourceData.Common_SourceData_GWP_Data(), Table_GWPData[[#Headers],[Gas]], 0)</f>
        <v>NF3</v>
      </c>
      <c r="E43" s="64" cm="1">
        <f t="array" ref="E43">Common_InputFunctions.Utility_DisplayArrayInTable(Common_SourceData.Common_SourceData_GWP_Data(), Table_GWPData[[#Headers],[Gas]], 0)</f>
        <v>17200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</row>
    <row r="44" spans="1:76" ht="20.100000000000001" customHeight="1" x14ac:dyDescent="0.25">
      <c r="A44" s="7"/>
      <c r="B44" s="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</row>
    <row r="45" spans="1:76" ht="20.100000000000001" customHeight="1" x14ac:dyDescent="0.25">
      <c r="A45" s="7"/>
      <c r="B45" s="7"/>
      <c r="C45" s="1"/>
      <c r="D45" s="6" t="str" cm="1">
        <f t="array" ref="D45">Common_SourceData.Common_SourceData_ConvertGasElementalToMolecular_Title()</f>
        <v>Factor to convert elemental mass of gas to molecular mass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</row>
    <row r="46" spans="1:76" ht="20.100000000000001" customHeight="1" x14ac:dyDescent="0.25">
      <c r="A46" s="7"/>
      <c r="B46" s="7"/>
      <c r="C46" s="1"/>
      <c r="D46" s="5" t="str" cm="1">
        <f t="array" ref="D46">Common_SourceData.Common_SourceData_ConvertGasElementalToMolecular_Source()</f>
        <v>XXXXXXX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</row>
    <row r="47" spans="1:76" ht="20.100000000000001" customHeight="1" x14ac:dyDescent="0.25">
      <c r="A47" s="7"/>
      <c r="B47" s="7"/>
      <c r="C47" s="1"/>
      <c r="D47" s="64" t="s">
        <v>96</v>
      </c>
      <c r="E47" s="64" t="s">
        <v>99</v>
      </c>
      <c r="F47" s="64" t="s">
        <v>100</v>
      </c>
      <c r="G47" s="64" t="s">
        <v>101</v>
      </c>
      <c r="H47" s="64" t="s">
        <v>102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</row>
    <row r="48" spans="1:76" ht="20.100000000000001" customHeight="1" x14ac:dyDescent="0.25">
      <c r="A48" s="7"/>
      <c r="B48" s="7"/>
      <c r="C48" s="1"/>
      <c r="D48" s="64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64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64" cm="1">
        <f t="array" ref="F48">Common_InputFunctions.Utility_DisplayArrayInTable(Common_SourceData.Common_SourceData_ConvertGasElementalToMolecular_Data(),Table_GasToMolecularConversionFactor[[#Headers],[Gas]], 0)</f>
        <v>44</v>
      </c>
      <c r="G48" s="64" cm="1">
        <f t="array" ref="G48">Common_InputFunctions.Utility_DisplayArrayInTable(Common_SourceData.Common_SourceData_ConvertGasElementalToMolecular_Data(),Table_GasToMolecularConversionFactor[[#Headers],[Gas]], 0)</f>
        <v>12</v>
      </c>
      <c r="H48" s="64">
        <f>Table_GasToMolecularConversionFactor[[#This Row],[Conversion factor 1]]/Table_GasToMolecularConversionFactor[[#This Row],[Conversion factor 2]]</f>
        <v>3.6666666666666665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</row>
    <row r="49" spans="1:76" ht="20.100000000000001" customHeight="1" x14ac:dyDescent="0.25">
      <c r="A49" s="7"/>
      <c r="B49" s="7"/>
      <c r="C49" s="1"/>
      <c r="D49" s="64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64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64" cm="1">
        <f t="array" ref="F49">Common_InputFunctions.Utility_DisplayArrayInTable(Common_SourceData.Common_SourceData_ConvertGasElementalToMolecular_Data(),Table_GasToMolecularConversionFactor[[#Headers],[Gas]], 0)</f>
        <v>16</v>
      </c>
      <c r="G49" s="64" cm="1">
        <f t="array" ref="G49">Common_InputFunctions.Utility_DisplayArrayInTable(Common_SourceData.Common_SourceData_ConvertGasElementalToMolecular_Data(),Table_GasToMolecularConversionFactor[[#Headers],[Gas]], 0)</f>
        <v>12</v>
      </c>
      <c r="H49" s="64">
        <f>Table_GasToMolecularConversionFactor[[#This Row],[Conversion factor 1]]/Table_GasToMolecularConversionFactor[[#This Row],[Conversion factor 2]]</f>
        <v>1.3333333333333333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</row>
    <row r="50" spans="1:76" ht="20.100000000000001" customHeight="1" x14ac:dyDescent="0.25">
      <c r="A50" s="7"/>
      <c r="B50" s="7"/>
      <c r="C50" s="1"/>
      <c r="D50" s="64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64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64" cm="1">
        <f t="array" ref="F50">Common_InputFunctions.Utility_DisplayArrayInTable(Common_SourceData.Common_SourceData_ConvertGasElementalToMolecular_Data(),Table_GasToMolecularConversionFactor[[#Headers],[Gas]], 0)</f>
        <v>44</v>
      </c>
      <c r="G50" s="64" cm="1">
        <f t="array" ref="G50">Common_InputFunctions.Utility_DisplayArrayInTable(Common_SourceData.Common_SourceData_ConvertGasElementalToMolecular_Data(),Table_GasToMolecularConversionFactor[[#Headers],[Gas]], 0)</f>
        <v>28</v>
      </c>
      <c r="H50" s="64">
        <f>Table_GasToMolecularConversionFactor[[#This Row],[Conversion factor 1]]/Table_GasToMolecularConversionFactor[[#This Row],[Conversion factor 2]]</f>
        <v>1.5714285714285714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</row>
    <row r="51" spans="1:76" ht="20.100000000000001" customHeight="1" x14ac:dyDescent="0.25">
      <c r="A51" s="7"/>
      <c r="B51" s="7"/>
      <c r="C51" s="1"/>
      <c r="D51" s="64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64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64" cm="1">
        <f t="array" ref="F51">Common_InputFunctions.Utility_DisplayArrayInTable(Common_SourceData.Common_SourceData_ConvertGasElementalToMolecular_Data(),Table_GasToMolecularConversionFactor[[#Headers],[Gas]], 0)</f>
        <v>46</v>
      </c>
      <c r="G51" s="64" cm="1">
        <f t="array" ref="G51">Common_InputFunctions.Utility_DisplayArrayInTable(Common_SourceData.Common_SourceData_ConvertGasElementalToMolecular_Data(),Table_GasToMolecularConversionFactor[[#Headers],[Gas]], 0)</f>
        <v>14</v>
      </c>
      <c r="H51" s="64">
        <f>Table_GasToMolecularConversionFactor[[#This Row],[Conversion factor 1]]/Table_GasToMolecularConversionFactor[[#This Row],[Conversion factor 2]]</f>
        <v>3.2857142857142856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</row>
    <row r="52" spans="1:76" ht="20.100000000000001" customHeight="1" x14ac:dyDescent="0.25">
      <c r="A52" s="7"/>
      <c r="B52" s="7"/>
      <c r="C52" s="1"/>
      <c r="D52" s="64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64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64" cm="1">
        <f t="array" ref="F52">Common_InputFunctions.Utility_DisplayArrayInTable(Common_SourceData.Common_SourceData_ConvertGasElementalToMolecular_Data(),Table_GasToMolecularConversionFactor[[#Headers],[Gas]], 0)</f>
        <v>28</v>
      </c>
      <c r="G52" s="64" cm="1">
        <f t="array" ref="G52">Common_InputFunctions.Utility_DisplayArrayInTable(Common_SourceData.Common_SourceData_ConvertGasElementalToMolecular_Data(),Table_GasToMolecularConversionFactor[[#Headers],[Gas]], 0)</f>
        <v>12</v>
      </c>
      <c r="H52" s="64">
        <f>Table_GasToMolecularConversionFactor[[#This Row],[Conversion factor 1]]/Table_GasToMolecularConversionFactor[[#This Row],[Conversion factor 2]]</f>
        <v>2.3333333333333335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</row>
    <row r="53" spans="1:76" ht="20.100000000000001" customHeight="1" x14ac:dyDescent="0.25">
      <c r="A53" s="7"/>
      <c r="B53" s="7"/>
      <c r="C53" s="1"/>
      <c r="D53" s="64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64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64" cm="1">
        <f t="array" ref="F53">Common_InputFunctions.Utility_DisplayArrayInTable(Common_SourceData.Common_SourceData_ConvertGasElementalToMolecular_Data(),Table_GasToMolecularConversionFactor[[#Headers],[Gas]], 0)</f>
        <v>44</v>
      </c>
      <c r="G53" s="64" cm="1">
        <f t="array" ref="G53">Common_InputFunctions.Utility_DisplayArrayInTable(Common_SourceData.Common_SourceData_ConvertGasElementalToMolecular_Data(),Table_GasToMolecularConversionFactor[[#Headers],[Gas]], 0)</f>
        <v>12</v>
      </c>
      <c r="H53" s="64">
        <f>Table_GasToMolecularConversionFactor[[#This Row],[Conversion factor 1]]/Table_GasToMolecularConversionFactor[[#This Row],[Conversion factor 2]]</f>
        <v>3.6666666666666665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</row>
    <row r="54" spans="1:76" ht="20.100000000000001" customHeight="1" x14ac:dyDescent="0.25">
      <c r="A54" s="7"/>
      <c r="B54" s="7"/>
      <c r="C54" s="1"/>
      <c r="D54" s="64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64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64" cm="1">
        <f t="array" ref="F54">Common_InputFunctions.Utility_DisplayArrayInTable(Common_SourceData.Common_SourceData_ConvertGasElementalToMolecular_Data(),Table_GasToMolecularConversionFactor[[#Headers],[Gas]], 0)</f>
        <v>14</v>
      </c>
      <c r="G54" s="64" cm="1">
        <f t="array" ref="G54">Common_InputFunctions.Utility_DisplayArrayInTable(Common_SourceData.Common_SourceData_ConvertGasElementalToMolecular_Data(),Table_GasToMolecularConversionFactor[[#Headers],[Gas]], 0)</f>
        <v>12</v>
      </c>
      <c r="H54" s="64">
        <f>Table_GasToMolecularConversionFactor[[#This Row],[Conversion factor 1]]/Table_GasToMolecularConversionFactor[[#This Row],[Conversion factor 2]]</f>
        <v>1.1666666666666667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</row>
    <row r="55" spans="1:76" ht="20.100000000000001" customHeight="1" x14ac:dyDescent="0.25">
      <c r="A55" s="7"/>
      <c r="B55" s="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</row>
    <row r="56" spans="1:76" ht="20.100000000000001" customHeight="1" x14ac:dyDescent="0.25">
      <c r="A56" s="7"/>
      <c r="B56" s="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</row>
    <row r="57" spans="1:76" ht="20.100000000000001" customHeight="1" x14ac:dyDescent="0.25">
      <c r="A57" s="7"/>
      <c r="B57" s="7"/>
      <c r="C57" s="1"/>
      <c r="D57" s="6" t="str" cm="1">
        <f t="array" ref="D57">Common_SourceData.Common_SourceData_WetAndDryZones_Title()</f>
        <v>VEERG Australian wet and dry zones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</row>
    <row r="58" spans="1:76" ht="20.100000000000001" customHeight="1" x14ac:dyDescent="0.25">
      <c r="A58" s="7"/>
      <c r="B58" s="7"/>
      <c r="C58" s="1"/>
      <c r="D58" s="5" t="str" cm="1">
        <f t="array" ref="D58">Common_SourceData.Common_SourceData_WetAndDryZones_Source()</f>
        <v>VEERG 2026: Table 1.2: Translating climate zones to wet and dry zones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</row>
    <row r="59" spans="1:76" ht="20.100000000000001" customHeight="1" x14ac:dyDescent="0.25">
      <c r="A59" s="7"/>
      <c r="B59" s="7"/>
      <c r="C59" s="1"/>
      <c r="D59" s="84" t="str" cm="1">
        <f t="array" ref="D59:D61">"⚠️" &amp; Common_SourceData.Common_SourceData_WetAndDryZones_Variation()</f>
        <v>⚠️VARIATION OF SOURCE DATA: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</row>
    <row r="60" spans="1:76" ht="20.100000000000001" customHeight="1" x14ac:dyDescent="0.25">
      <c r="A60" s="7"/>
      <c r="B60" s="7"/>
      <c r="C60" s="1"/>
      <c r="D60" s="84" t="str">
        <v>⚠️Added warm / cool temperate moist / dry - low frost and high temp classes to accommodate climate scenarios excluded by VEERG criteria.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</row>
    <row r="61" spans="1:76" ht="20.100000000000001" customHeight="1" x14ac:dyDescent="0.25">
      <c r="A61" s="7"/>
      <c r="B61" s="7"/>
      <c r="C61" s="1"/>
      <c r="D61" s="84" t="str">
        <v>⚠️Fixed typo - Changed 'Fry' to 'Dry'.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</row>
    <row r="62" spans="1:76" ht="20.100000000000001" customHeight="1" x14ac:dyDescent="0.25">
      <c r="A62" s="7"/>
      <c r="B62" s="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</row>
    <row r="63" spans="1:76" ht="20.100000000000001" customHeight="1" x14ac:dyDescent="0.25">
      <c r="A63" s="7"/>
      <c r="B63" s="7"/>
      <c r="C63" s="1"/>
      <c r="D63" s="64" t="s">
        <v>71</v>
      </c>
      <c r="E63" s="64" t="s">
        <v>119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</row>
    <row r="64" spans="1:76" ht="20.100000000000001" customHeight="1" x14ac:dyDescent="0.25">
      <c r="A64" s="7"/>
      <c r="B64" s="7"/>
      <c r="C64" s="1"/>
      <c r="D64" s="64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64" t="str" cm="1">
        <f t="array" ref="E64">Common_InputFunctions.Utility_DisplayArrayInTable(Common_SourceData.Common_SourceData_WetAndDryZones_Data(), Table_SourceData_WetDryZones[[#Headers],[Climate zone]], 0)</f>
        <v>Wet climate zone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</row>
    <row r="65" spans="1:76" ht="20.100000000000001" customHeight="1" x14ac:dyDescent="0.25">
      <c r="A65" s="7"/>
      <c r="B65" s="7"/>
      <c r="C65" s="1"/>
      <c r="D65" s="64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64" t="str" cm="1">
        <f t="array" ref="E65">Common_InputFunctions.Utility_DisplayArrayInTable(Common_SourceData.Common_SourceData_WetAndDryZones_Data(), Table_SourceData_WetDryZones[[#Headers],[Climate zone]], 0)</f>
        <v>Wet climate zone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</row>
    <row r="66" spans="1:76" ht="20.100000000000001" customHeight="1" x14ac:dyDescent="0.25">
      <c r="A66" s="7"/>
      <c r="B66" s="7"/>
      <c r="C66" s="1"/>
      <c r="D66" s="64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64" t="str" cm="1">
        <f t="array" ref="E66">Common_InputFunctions.Utility_DisplayArrayInTable(Common_SourceData.Common_SourceData_WetAndDryZones_Data(), Table_SourceData_WetDryZones[[#Headers],[Climate zone]], 0)</f>
        <v>Wet climate zone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</row>
    <row r="67" spans="1:76" ht="20.100000000000001" customHeight="1" x14ac:dyDescent="0.25">
      <c r="A67" s="7"/>
      <c r="B67" s="7"/>
      <c r="C67" s="1"/>
      <c r="D67" s="64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64" t="str" cm="1">
        <f t="array" ref="E67">Common_InputFunctions.Utility_DisplayArrayInTable(Common_SourceData.Common_SourceData_WetAndDryZones_Data(), Table_SourceData_WetDryZones[[#Headers],[Climate zone]], 0)</f>
        <v>Dry climate zone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</row>
    <row r="68" spans="1:76" ht="20.100000000000001" customHeight="1" x14ac:dyDescent="0.25">
      <c r="A68" s="7"/>
      <c r="B68" s="7"/>
      <c r="C68" s="1"/>
      <c r="D68" s="64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64" t="str" cm="1">
        <f t="array" ref="E68">Common_InputFunctions.Utility_DisplayArrayInTable(Common_SourceData.Common_SourceData_WetAndDryZones_Data(), Table_SourceData_WetDryZones[[#Headers],[Climate zone]], 0)</f>
        <v>Wet climate zone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</row>
    <row r="69" spans="1:76" ht="20.100000000000001" customHeight="1" x14ac:dyDescent="0.25">
      <c r="A69" s="7"/>
      <c r="B69" s="7"/>
      <c r="C69" s="1"/>
      <c r="D69" s="64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64" t="str" cm="1">
        <f t="array" ref="E69">Common_InputFunctions.Utility_DisplayArrayInTable(Common_SourceData.Common_SourceData_WetAndDryZones_Data(), Table_SourceData_WetDryZones[[#Headers],[Climate zone]], 0)</f>
        <v>Dry climate zone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</row>
    <row r="70" spans="1:76" ht="20.100000000000001" customHeight="1" x14ac:dyDescent="0.25">
      <c r="A70" s="7"/>
      <c r="B70" s="7"/>
      <c r="C70" s="1"/>
      <c r="D70" s="64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64" t="str" cm="1">
        <f t="array" ref="E70">Common_InputFunctions.Utility_DisplayArrayInTable(Common_SourceData.Common_SourceData_WetAndDryZones_Data(), Table_SourceData_WetDryZones[[#Headers],[Climate zone]], 0)</f>
        <v>Wet climate zone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</row>
    <row r="71" spans="1:76" ht="20.100000000000001" customHeight="1" x14ac:dyDescent="0.25">
      <c r="A71" s="7"/>
      <c r="B71" s="7"/>
      <c r="C71" s="1"/>
      <c r="D71" s="64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64" t="str" cm="1">
        <f t="array" ref="E71">Common_InputFunctions.Utility_DisplayArrayInTable(Common_SourceData.Common_SourceData_WetAndDryZones_Data(), Table_SourceData_WetDryZones[[#Headers],[Climate zone]], 0)</f>
        <v>Dry climate zone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</row>
    <row r="72" spans="1:76" ht="20.100000000000001" customHeight="1" x14ac:dyDescent="0.25">
      <c r="A72" s="7"/>
      <c r="B72" s="7"/>
      <c r="C72" s="1"/>
      <c r="D72" s="64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64" t="str" cm="1">
        <f t="array" ref="E72">Common_InputFunctions.Utility_DisplayArrayInTable(Common_SourceData.Common_SourceData_WetAndDryZones_Data(), Table_SourceData_WetDryZones[[#Headers],[Climate zone]], 0)</f>
        <v>Wet climate zone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</row>
    <row r="73" spans="1:76" ht="20.100000000000001" customHeight="1" x14ac:dyDescent="0.25">
      <c r="A73" s="7"/>
      <c r="B73" s="7"/>
      <c r="C73" s="1"/>
      <c r="D73" s="64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64" t="str" cm="1">
        <f t="array" ref="E73">Common_InputFunctions.Utility_DisplayArrayInTable(Common_SourceData.Common_SourceData_WetAndDryZones_Data(), Table_SourceData_WetDryZones[[#Headers],[Climate zone]], 0)</f>
        <v>Dry climate zone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</row>
    <row r="74" spans="1:76" ht="20.100000000000001" customHeight="1" x14ac:dyDescent="0.25">
      <c r="A74" s="7"/>
      <c r="B74" s="7"/>
      <c r="C74" s="1"/>
      <c r="D74" s="64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64" t="str" cm="1">
        <f t="array" ref="E74">Common_InputFunctions.Utility_DisplayArrayInTable(Common_SourceData.Common_SourceData_WetAndDryZones_Data(), Table_SourceData_WetDryZones[[#Headers],[Climate zone]], 0)</f>
        <v>Wet climate zone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</row>
    <row r="75" spans="1:76" ht="20.100000000000001" customHeight="1" x14ac:dyDescent="0.25">
      <c r="A75" s="7"/>
      <c r="B75" s="7"/>
      <c r="C75" s="1"/>
      <c r="D75" s="64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64" t="str" cm="1">
        <f t="array" ref="E75">Common_InputFunctions.Utility_DisplayArrayInTable(Common_SourceData.Common_SourceData_WetAndDryZones_Data(), Table_SourceData_WetDryZones[[#Headers],[Climate zone]], 0)</f>
        <v>Dry climate zone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</row>
    <row r="76" spans="1:76" ht="20.100000000000001" customHeight="1" x14ac:dyDescent="0.25">
      <c r="A76" s="7"/>
      <c r="B76" s="7"/>
      <c r="C76" s="1"/>
      <c r="D76" s="64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64" t="str" cm="1">
        <f t="array" ref="E76">Common_InputFunctions.Utility_DisplayArrayInTable(Common_SourceData.Common_SourceData_WetAndDryZones_Data(), Table_SourceData_WetDryZones[[#Headers],[Climate zone]], 0)</f>
        <v>Wet climate zone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</row>
    <row r="77" spans="1:76" ht="20.100000000000001" customHeight="1" x14ac:dyDescent="0.25">
      <c r="A77" s="7"/>
      <c r="B77" s="7"/>
      <c r="C77" s="1"/>
      <c r="D77" s="64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64" t="str" cm="1">
        <f t="array" ref="E77">Common_InputFunctions.Utility_DisplayArrayInTable(Common_SourceData.Common_SourceData_WetAndDryZones_Data(), Table_SourceData_WetDryZones[[#Headers],[Climate zone]], 0)</f>
        <v>Dry climate zone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</row>
    <row r="78" spans="1:76" ht="20.100000000000001" customHeight="1" x14ac:dyDescent="0.25">
      <c r="A78" s="7"/>
      <c r="B78" s="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</row>
    <row r="79" spans="1:76" ht="20.100000000000001" customHeight="1" x14ac:dyDescent="0.25">
      <c r="A79" s="7"/>
      <c r="B79" s="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</row>
    <row r="80" spans="1:76" ht="20.100000000000001" customHeight="1" x14ac:dyDescent="0.25">
      <c r="A80" s="7"/>
      <c r="B80" s="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</row>
    <row r="81" spans="1:76" ht="20.100000000000001" customHeight="1" x14ac:dyDescent="0.25">
      <c r="A81" s="7"/>
      <c r="B81" s="7"/>
      <c r="C81" s="1"/>
      <c r="D81" s="6" t="str" cm="1">
        <f t="array" ref="D81">Common_SourceData.Common_SourceData_ClimateZones_Title()</f>
        <v>VEERG Australian climate zones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</row>
    <row r="82" spans="1:76" ht="20.100000000000001" customHeight="1" x14ac:dyDescent="0.25">
      <c r="A82" s="7"/>
      <c r="B82" s="7"/>
      <c r="C82" s="1"/>
      <c r="D82" s="5" t="str" cm="1">
        <f t="array" ref="D82">Common_SourceData.Common_SourceData_ClimateZones_Source()</f>
        <v>VEERG 2026: Table 1.3: Climate and Rainfall zone classifications and definitions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</row>
    <row r="83" spans="1:76" ht="20.100000000000001" customHeight="1" x14ac:dyDescent="0.25">
      <c r="A83" s="7"/>
      <c r="B83" s="7"/>
      <c r="C83" s="1"/>
      <c r="D83" s="84" t="str" cm="1">
        <f t="array" ref="D83:D87">"⚠️" &amp; Common_SourceData.Common_SourceData_ClimateZones_Variation()</f>
        <v>⚠️VARIATION OF SOURCE DATA: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</row>
    <row r="84" spans="1:76" ht="20.100000000000001" customHeight="1" x14ac:dyDescent="0.25">
      <c r="A84" s="7"/>
      <c r="B84" s="7"/>
      <c r="C84" s="1"/>
      <c r="D84" s="84" t="str">
        <v>⚠️Added warm / cool temperate moist / dry - low frost and high temp classes to accommodate climate scenarios excluded by VEERG criteria.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</row>
    <row r="85" spans="1:76" ht="20.100000000000001" customHeight="1" x14ac:dyDescent="0.25">
      <c r="A85" s="7"/>
      <c r="B85" s="7"/>
      <c r="C85" s="1"/>
      <c r="D85" s="84" t="str">
        <v>⚠️Fixed typo in MAT value for warm temperate dry - changed 10 to 11.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</row>
    <row r="86" spans="1:76" ht="20.100000000000001" customHeight="1" x14ac:dyDescent="0.25">
      <c r="A86" s="7"/>
      <c r="B86" s="7"/>
      <c r="C86" s="1"/>
      <c r="D86" s="84" t="str">
        <v>⚠️Added min and max columns for MAT, MAP, frost days per year, elevation, MAP:PET to calculate zones from real climate data.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</row>
    <row r="87" spans="1:76" ht="20.100000000000001" customHeight="1" x14ac:dyDescent="0.25">
      <c r="A87" s="7"/>
      <c r="B87" s="7"/>
      <c r="C87" s="1"/>
      <c r="D87" s="84" t="str">
        <v>⚠️GAF accepts rainfall as a proxy for precipitation.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</row>
    <row r="88" spans="1:76" ht="20.100000000000001" customHeight="1" x14ac:dyDescent="0.25">
      <c r="A88" s="7"/>
      <c r="B88" s="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</row>
    <row r="89" spans="1:76" ht="20.100000000000001" customHeight="1" x14ac:dyDescent="0.25">
      <c r="A89" s="7"/>
      <c r="B89" s="7"/>
      <c r="C89" s="1"/>
      <c r="D89" s="64" t="s">
        <v>71</v>
      </c>
      <c r="E89" s="64" t="s">
        <v>107</v>
      </c>
      <c r="F89" s="64" t="s">
        <v>108</v>
      </c>
      <c r="G89" s="64" t="s">
        <v>109</v>
      </c>
      <c r="H89" s="64" t="s">
        <v>110</v>
      </c>
      <c r="I89" s="64" t="s">
        <v>111</v>
      </c>
      <c r="J89" s="64" t="s">
        <v>112</v>
      </c>
      <c r="K89" s="64" t="s">
        <v>113</v>
      </c>
      <c r="L89" s="64" t="s">
        <v>114</v>
      </c>
      <c r="M89" s="64" t="s">
        <v>115</v>
      </c>
      <c r="N89" s="64" t="s">
        <v>116</v>
      </c>
      <c r="O89" s="64" t="s">
        <v>120</v>
      </c>
      <c r="P89" s="64" t="s">
        <v>117</v>
      </c>
      <c r="Q89" s="64" t="s">
        <v>121</v>
      </c>
      <c r="R89" s="64" t="s">
        <v>118</v>
      </c>
      <c r="S89" s="64" t="s">
        <v>122</v>
      </c>
      <c r="T89" s="1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</row>
    <row r="90" spans="1:76" ht="20.100000000000001" customHeight="1" x14ac:dyDescent="0.25">
      <c r="A90" s="7"/>
      <c r="B90" s="7"/>
      <c r="C90" s="1"/>
      <c r="D90" s="64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64" t="str" cm="1">
        <f t="array" ref="E90">Common_InputFunctions.Utility_DisplayArrayInTable(Common_SourceData.Common_SourceData_ClimateZones_Data(), Table_SourceData_ClimateZones[[#Headers],[Climate zone]], 0)</f>
        <v>&gt; 18 C</v>
      </c>
      <c r="F90" s="64" t="str" cm="1">
        <f t="array" ref="F90">Common_InputFunctions.Utility_DisplayArrayInTable(Common_SourceData.Common_SourceData_ClimateZones_Data(), Table_SourceData_ClimateZones[[#Headers],[Climate zone]], 0)</f>
        <v>Any</v>
      </c>
      <c r="G90" s="64" t="str" cm="1">
        <f t="array" ref="G90">Common_InputFunctions.Utility_DisplayArrayInTable(Common_SourceData.Common_SourceData_ClimateZones_Data(), Table_SourceData_ClimateZones[[#Headers],[Climate zone]], 0)</f>
        <v>≤ 7</v>
      </c>
      <c r="H90" s="64" t="str" cm="1">
        <f t="array" ref="H90">Common_InputFunctions.Utility_DisplayArrayInTable(Common_SourceData.Common_SourceData_ClimateZones_Data(), Table_SourceData_ClimateZones[[#Headers],[Climate zone]], 0)</f>
        <v>&gt; 1000 m</v>
      </c>
      <c r="I90" s="64" t="str" cm="1">
        <f t="array" ref="I90">Common_InputFunctions.Utility_DisplayArrayInTable(Common_SourceData.Common_SourceData_ClimateZones_Data(), Table_SourceData_ClimateZones[[#Headers],[Climate zone]], 0)</f>
        <v>Any</v>
      </c>
      <c r="J90" s="64" cm="1">
        <f t="array" ref="J90">Common_InputFunctions.Utility_DisplayArrayInTable(Common_SourceData.Common_SourceData_ClimateZones_Data(), Table_SourceData_ClimateZones[[#Headers],[Climate zone]], 0)</f>
        <v>18.001000000000001</v>
      </c>
      <c r="K90" s="64" cm="1">
        <f t="array" ref="K90">Common_InputFunctions.Utility_DisplayArrayInTable(Common_SourceData.Common_SourceData_ClimateZones_Data(), Table_SourceData_ClimateZones[[#Headers],[Climate zone]], 0)</f>
        <v>999999</v>
      </c>
      <c r="L90" s="64" cm="1">
        <f t="array" ref="L90">Common_InputFunctions.Utility_DisplayArrayInTable(Common_SourceData.Common_SourceData_ClimateZones_Data(), Table_SourceData_ClimateZones[[#Headers],[Climate zone]], 0)</f>
        <v>-999999</v>
      </c>
      <c r="M90" s="64" cm="1">
        <f t="array" ref="M90">Common_InputFunctions.Utility_DisplayArrayInTable(Common_SourceData.Common_SourceData_ClimateZones_Data(), Table_SourceData_ClimateZones[[#Headers],[Climate zone]], 0)</f>
        <v>999999</v>
      </c>
      <c r="N90" s="64" cm="1">
        <f t="array" ref="N90">Common_InputFunctions.Utility_DisplayArrayInTable(Common_SourceData.Common_SourceData_ClimateZones_Data(), Table_SourceData_ClimateZones[[#Headers],[Climate zone]], 0)</f>
        <v>-999999</v>
      </c>
      <c r="O90" s="64" cm="1">
        <f t="array" ref="O90">Common_InputFunctions.Utility_DisplayArrayInTable(Common_SourceData.Common_SourceData_ClimateZones_Data(), Table_SourceData_ClimateZones[[#Headers],[Climate zone]], 0)</f>
        <v>7</v>
      </c>
      <c r="P90" s="64" cm="1">
        <f t="array" ref="P90">Common_InputFunctions.Utility_DisplayArrayInTable(Common_SourceData.Common_SourceData_ClimateZones_Data(), Table_SourceData_ClimateZones[[#Headers],[Climate zone]], 0)</f>
        <v>1000</v>
      </c>
      <c r="Q90" s="64" cm="1">
        <f t="array" ref="Q90">Common_InputFunctions.Utility_DisplayArrayInTable(Common_SourceData.Common_SourceData_ClimateZones_Data(), Table_SourceData_ClimateZones[[#Headers],[Climate zone]], 0)</f>
        <v>999999</v>
      </c>
      <c r="R90" s="64" cm="1">
        <f t="array" ref="R90">Common_InputFunctions.Utility_DisplayArrayInTable(Common_SourceData.Common_SourceData_ClimateZones_Data(), Table_SourceData_ClimateZones[[#Headers],[Climate zone]], 0)</f>
        <v>-999999</v>
      </c>
      <c r="S90" s="64" cm="1">
        <f t="array" ref="S90">Common_InputFunctions.Utility_DisplayArrayInTable(Common_SourceData.Common_SourceData_ClimateZones_Data(), Table_SourceData_ClimateZones[[#Headers],[Climate zone]], 0)</f>
        <v>999999</v>
      </c>
      <c r="T90" s="1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</row>
    <row r="91" spans="1:76" ht="20.100000000000001" customHeight="1" x14ac:dyDescent="0.25">
      <c r="A91" s="7"/>
      <c r="B91" s="7"/>
      <c r="C91" s="1"/>
      <c r="D91" s="64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64" t="str" cm="1">
        <f t="array" ref="E91">Common_InputFunctions.Utility_DisplayArrayInTable(Common_SourceData.Common_SourceData_ClimateZones_Data(), Table_SourceData_ClimateZones[[#Headers],[Climate zone]], 0)</f>
        <v>&gt; 18 C</v>
      </c>
      <c r="F91" s="64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64" t="str" cm="1">
        <f t="array" ref="G91">Common_InputFunctions.Utility_DisplayArrayInTable(Common_SourceData.Common_SourceData_ClimateZones_Data(), Table_SourceData_ClimateZones[[#Headers],[Climate zone]], 0)</f>
        <v>≤ 7</v>
      </c>
      <c r="H91" s="64" t="str" cm="1">
        <f t="array" ref="H91">Common_InputFunctions.Utility_DisplayArrayInTable(Common_SourceData.Common_SourceData_ClimateZones_Data(), Table_SourceData_ClimateZones[[#Headers],[Climate zone]], 0)</f>
        <v>≤ 1000 m</v>
      </c>
      <c r="I91" s="64" t="str" cm="1">
        <f t="array" ref="I91">Common_InputFunctions.Utility_DisplayArrayInTable(Common_SourceData.Common_SourceData_ClimateZones_Data(), Table_SourceData_ClimateZones[[#Headers],[Climate zone]], 0)</f>
        <v>Any</v>
      </c>
      <c r="J91" s="64" cm="1">
        <f t="array" ref="J91">Common_InputFunctions.Utility_DisplayArrayInTable(Common_SourceData.Common_SourceData_ClimateZones_Data(), Table_SourceData_ClimateZones[[#Headers],[Climate zone]], 0)</f>
        <v>18.001000000000001</v>
      </c>
      <c r="K91" s="64" cm="1">
        <f t="array" ref="K91">Common_InputFunctions.Utility_DisplayArrayInTable(Common_SourceData.Common_SourceData_ClimateZones_Data(), Table_SourceData_ClimateZones[[#Headers],[Climate zone]], 0)</f>
        <v>999999</v>
      </c>
      <c r="L91" s="64" cm="1">
        <f t="array" ref="L91">Common_InputFunctions.Utility_DisplayArrayInTable(Common_SourceData.Common_SourceData_ClimateZones_Data(), Table_SourceData_ClimateZones[[#Headers],[Climate zone]], 0)</f>
        <v>2000.001</v>
      </c>
      <c r="M91" s="64" cm="1">
        <f t="array" ref="M91">Common_InputFunctions.Utility_DisplayArrayInTable(Common_SourceData.Common_SourceData_ClimateZones_Data(), Table_SourceData_ClimateZones[[#Headers],[Climate zone]], 0)</f>
        <v>999999</v>
      </c>
      <c r="N91" s="64" cm="1">
        <f t="array" ref="N91">Common_InputFunctions.Utility_DisplayArrayInTable(Common_SourceData.Common_SourceData_ClimateZones_Data(), Table_SourceData_ClimateZones[[#Headers],[Climate zone]], 0)</f>
        <v>-999999</v>
      </c>
      <c r="O91" s="64" cm="1">
        <f t="array" ref="O91">Common_InputFunctions.Utility_DisplayArrayInTable(Common_SourceData.Common_SourceData_ClimateZones_Data(), Table_SourceData_ClimateZones[[#Headers],[Climate zone]], 0)</f>
        <v>7</v>
      </c>
      <c r="P91" s="64" cm="1">
        <f t="array" ref="P91">Common_InputFunctions.Utility_DisplayArrayInTable(Common_SourceData.Common_SourceData_ClimateZones_Data(), Table_SourceData_ClimateZones[[#Headers],[Climate zone]], 0)</f>
        <v>-999999</v>
      </c>
      <c r="Q91" s="64" cm="1">
        <f t="array" ref="Q91">Common_InputFunctions.Utility_DisplayArrayInTable(Common_SourceData.Common_SourceData_ClimateZones_Data(), Table_SourceData_ClimateZones[[#Headers],[Climate zone]], 0)</f>
        <v>999.99900000000002</v>
      </c>
      <c r="R91" s="64" cm="1">
        <f t="array" ref="R91">Common_InputFunctions.Utility_DisplayArrayInTable(Common_SourceData.Common_SourceData_ClimateZones_Data(), Table_SourceData_ClimateZones[[#Headers],[Climate zone]], 0)</f>
        <v>-999999</v>
      </c>
      <c r="S91" s="64" cm="1">
        <f t="array" ref="S91">Common_InputFunctions.Utility_DisplayArrayInTable(Common_SourceData.Common_SourceData_ClimateZones_Data(), Table_SourceData_ClimateZones[[#Headers],[Climate zone]], 0)</f>
        <v>999999</v>
      </c>
      <c r="T91" s="1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</row>
    <row r="92" spans="1:76" ht="20.100000000000001" customHeight="1" x14ac:dyDescent="0.25">
      <c r="A92" s="7"/>
      <c r="B92" s="7"/>
      <c r="C92" s="1"/>
      <c r="D92" s="64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64" t="str" cm="1">
        <f t="array" ref="E92">Common_InputFunctions.Utility_DisplayArrayInTable(Common_SourceData.Common_SourceData_ClimateZones_Data(), Table_SourceData_ClimateZones[[#Headers],[Climate zone]], 0)</f>
        <v>&gt; 18 C</v>
      </c>
      <c r="F92" s="64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64" t="str" cm="1">
        <f t="array" ref="G92">Common_InputFunctions.Utility_DisplayArrayInTable(Common_SourceData.Common_SourceData_ClimateZones_Data(), Table_SourceData_ClimateZones[[#Headers],[Climate zone]], 0)</f>
        <v>≤ 7</v>
      </c>
      <c r="H92" s="64" t="str" cm="1">
        <f t="array" ref="H92">Common_InputFunctions.Utility_DisplayArrayInTable(Common_SourceData.Common_SourceData_ClimateZones_Data(), Table_SourceData_ClimateZones[[#Headers],[Climate zone]], 0)</f>
        <v>≤ 1000 m</v>
      </c>
      <c r="I92" s="64" t="str" cm="1">
        <f t="array" ref="I92">Common_InputFunctions.Utility_DisplayArrayInTable(Common_SourceData.Common_SourceData_ClimateZones_Data(), Table_SourceData_ClimateZones[[#Headers],[Climate zone]], 0)</f>
        <v>Any</v>
      </c>
      <c r="J92" s="64" cm="1">
        <f t="array" ref="J92">Common_InputFunctions.Utility_DisplayArrayInTable(Common_SourceData.Common_SourceData_ClimateZones_Data(), Table_SourceData_ClimateZones[[#Headers],[Climate zone]], 0)</f>
        <v>18.001000000000001</v>
      </c>
      <c r="K92" s="64" cm="1">
        <f t="array" ref="K92">Common_InputFunctions.Utility_DisplayArrayInTable(Common_SourceData.Common_SourceData_ClimateZones_Data(), Table_SourceData_ClimateZones[[#Headers],[Climate zone]], 0)</f>
        <v>999999</v>
      </c>
      <c r="L92" s="64" cm="1">
        <f t="array" ref="L92">Common_InputFunctions.Utility_DisplayArrayInTable(Common_SourceData.Common_SourceData_ClimateZones_Data(), Table_SourceData_ClimateZones[[#Headers],[Climate zone]], 0)</f>
        <v>1000.001</v>
      </c>
      <c r="M92" s="64" cm="1">
        <f t="array" ref="M92">Common_InputFunctions.Utility_DisplayArrayInTable(Common_SourceData.Common_SourceData_ClimateZones_Data(), Table_SourceData_ClimateZones[[#Headers],[Climate zone]], 0)</f>
        <v>2000</v>
      </c>
      <c r="N92" s="64" cm="1">
        <f t="array" ref="N92">Common_InputFunctions.Utility_DisplayArrayInTable(Common_SourceData.Common_SourceData_ClimateZones_Data(), Table_SourceData_ClimateZones[[#Headers],[Climate zone]], 0)</f>
        <v>-999999</v>
      </c>
      <c r="O92" s="64" cm="1">
        <f t="array" ref="O92">Common_InputFunctions.Utility_DisplayArrayInTable(Common_SourceData.Common_SourceData_ClimateZones_Data(), Table_SourceData_ClimateZones[[#Headers],[Climate zone]], 0)</f>
        <v>7</v>
      </c>
      <c r="P92" s="64" cm="1">
        <f t="array" ref="P92">Common_InputFunctions.Utility_DisplayArrayInTable(Common_SourceData.Common_SourceData_ClimateZones_Data(), Table_SourceData_ClimateZones[[#Headers],[Climate zone]], 0)</f>
        <v>-999999</v>
      </c>
      <c r="Q92" s="64" cm="1">
        <f t="array" ref="Q92">Common_InputFunctions.Utility_DisplayArrayInTable(Common_SourceData.Common_SourceData_ClimateZones_Data(), Table_SourceData_ClimateZones[[#Headers],[Climate zone]], 0)</f>
        <v>999.99900000000002</v>
      </c>
      <c r="R92" s="64" cm="1">
        <f t="array" ref="R92">Common_InputFunctions.Utility_DisplayArrayInTable(Common_SourceData.Common_SourceData_ClimateZones_Data(), Table_SourceData_ClimateZones[[#Headers],[Climate zone]], 0)</f>
        <v>-999999</v>
      </c>
      <c r="S92" s="64" cm="1">
        <f t="array" ref="S92">Common_InputFunctions.Utility_DisplayArrayInTable(Common_SourceData.Common_SourceData_ClimateZones_Data(), Table_SourceData_ClimateZones[[#Headers],[Climate zone]], 0)</f>
        <v>999999</v>
      </c>
      <c r="T92" s="1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</row>
    <row r="93" spans="1:76" ht="20.100000000000001" customHeight="1" x14ac:dyDescent="0.25">
      <c r="A93" s="7"/>
      <c r="B93" s="7"/>
      <c r="C93" s="1"/>
      <c r="D93" s="64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64" t="str" cm="1">
        <f t="array" ref="E93">Common_InputFunctions.Utility_DisplayArrayInTable(Common_SourceData.Common_SourceData_ClimateZones_Data(), Table_SourceData_ClimateZones[[#Headers],[Climate zone]], 0)</f>
        <v>&gt; 18 C</v>
      </c>
      <c r="F93" s="64" t="str" cm="1">
        <f t="array" ref="F93">Common_InputFunctions.Utility_DisplayArrayInTable(Common_SourceData.Common_SourceData_ClimateZones_Data(), Table_SourceData_ClimateZones[[#Headers],[Climate zone]], 0)</f>
        <v>≤ 1000 mm</v>
      </c>
      <c r="G93" s="64" t="str" cm="1">
        <f t="array" ref="G93">Common_InputFunctions.Utility_DisplayArrayInTable(Common_SourceData.Common_SourceData_ClimateZones_Data(), Table_SourceData_ClimateZones[[#Headers],[Climate zone]], 0)</f>
        <v>≤ 7</v>
      </c>
      <c r="H93" s="64" t="str" cm="1">
        <f t="array" ref="H93">Common_InputFunctions.Utility_DisplayArrayInTable(Common_SourceData.Common_SourceData_ClimateZones_Data(), Table_SourceData_ClimateZones[[#Headers],[Climate zone]], 0)</f>
        <v>≤ 1000 m</v>
      </c>
      <c r="I93" s="64" t="str" cm="1">
        <f t="array" ref="I93">Common_InputFunctions.Utility_DisplayArrayInTable(Common_SourceData.Common_SourceData_ClimateZones_Data(), Table_SourceData_ClimateZones[[#Headers],[Climate zone]], 0)</f>
        <v>Any</v>
      </c>
      <c r="J93" s="64" cm="1">
        <f t="array" ref="J93">Common_InputFunctions.Utility_DisplayArrayInTable(Common_SourceData.Common_SourceData_ClimateZones_Data(), Table_SourceData_ClimateZones[[#Headers],[Climate zone]], 0)</f>
        <v>18.001000000000001</v>
      </c>
      <c r="K93" s="64" cm="1">
        <f t="array" ref="K93">Common_InputFunctions.Utility_DisplayArrayInTable(Common_SourceData.Common_SourceData_ClimateZones_Data(), Table_SourceData_ClimateZones[[#Headers],[Climate zone]], 0)</f>
        <v>999999</v>
      </c>
      <c r="L93" s="64" cm="1">
        <f t="array" ref="L93">Common_InputFunctions.Utility_DisplayArrayInTable(Common_SourceData.Common_SourceData_ClimateZones_Data(), Table_SourceData_ClimateZones[[#Headers],[Climate zone]], 0)</f>
        <v>-999999</v>
      </c>
      <c r="M93" s="64" cm="1">
        <f t="array" ref="M93">Common_InputFunctions.Utility_DisplayArrayInTable(Common_SourceData.Common_SourceData_ClimateZones_Data(), Table_SourceData_ClimateZones[[#Headers],[Climate zone]], 0)</f>
        <v>1000</v>
      </c>
      <c r="N93" s="64" cm="1">
        <f t="array" ref="N93">Common_InputFunctions.Utility_DisplayArrayInTable(Common_SourceData.Common_SourceData_ClimateZones_Data(), Table_SourceData_ClimateZones[[#Headers],[Climate zone]], 0)</f>
        <v>-999999</v>
      </c>
      <c r="O93" s="64" cm="1">
        <f t="array" ref="O93">Common_InputFunctions.Utility_DisplayArrayInTable(Common_SourceData.Common_SourceData_ClimateZones_Data(), Table_SourceData_ClimateZones[[#Headers],[Climate zone]], 0)</f>
        <v>7</v>
      </c>
      <c r="P93" s="64" cm="1">
        <f t="array" ref="P93">Common_InputFunctions.Utility_DisplayArrayInTable(Common_SourceData.Common_SourceData_ClimateZones_Data(), Table_SourceData_ClimateZones[[#Headers],[Climate zone]], 0)</f>
        <v>-999999</v>
      </c>
      <c r="Q93" s="64" cm="1">
        <f t="array" ref="Q93">Common_InputFunctions.Utility_DisplayArrayInTable(Common_SourceData.Common_SourceData_ClimateZones_Data(), Table_SourceData_ClimateZones[[#Headers],[Climate zone]], 0)</f>
        <v>999.99900000000002</v>
      </c>
      <c r="R93" s="64" cm="1">
        <f t="array" ref="R93">Common_InputFunctions.Utility_DisplayArrayInTable(Common_SourceData.Common_SourceData_ClimateZones_Data(), Table_SourceData_ClimateZones[[#Headers],[Climate zone]], 0)</f>
        <v>-999999</v>
      </c>
      <c r="S93" s="64" cm="1">
        <f t="array" ref="S93">Common_InputFunctions.Utility_DisplayArrayInTable(Common_SourceData.Common_SourceData_ClimateZones_Data(), Table_SourceData_ClimateZones[[#Headers],[Climate zone]], 0)</f>
        <v>999999</v>
      </c>
      <c r="T93" s="1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</row>
    <row r="94" spans="1:76" ht="20.100000000000001" customHeight="1" x14ac:dyDescent="0.25">
      <c r="A94" s="7"/>
      <c r="B94" s="7"/>
      <c r="C94" s="1"/>
      <c r="D94" s="64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64" t="str" cm="1">
        <f t="array" ref="E94">Common_InputFunctions.Utility_DisplayArrayInTable(Common_SourceData.Common_SourceData_ClimateZones_Data(), Table_SourceData_ClimateZones[[#Headers],[Climate zone]], 0)</f>
        <v>&gt; 10 C</v>
      </c>
      <c r="F94" s="64" t="str" cm="1">
        <f t="array" ref="F94">Common_InputFunctions.Utility_DisplayArrayInTable(Common_SourceData.Common_SourceData_ClimateZones_Data(), Table_SourceData_ClimateZones[[#Headers],[Climate zone]], 0)</f>
        <v>Any</v>
      </c>
      <c r="G94" s="64" t="str" cm="1">
        <f t="array" ref="G94">Common_InputFunctions.Utility_DisplayArrayInTable(Common_SourceData.Common_SourceData_ClimateZones_Data(), Table_SourceData_ClimateZones[[#Headers],[Climate zone]], 0)</f>
        <v>Any</v>
      </c>
      <c r="H94" s="64" t="str" cm="1">
        <f t="array" ref="H94">Common_InputFunctions.Utility_DisplayArrayInTable(Common_SourceData.Common_SourceData_ClimateZones_Data(), Table_SourceData_ClimateZones[[#Headers],[Climate zone]], 0)</f>
        <v>Any</v>
      </c>
      <c r="I94" s="64" t="str" cm="1">
        <f t="array" ref="I94">Common_InputFunctions.Utility_DisplayArrayInTable(Common_SourceData.Common_SourceData_ClimateZones_Data(), Table_SourceData_ClimateZones[[#Headers],[Climate zone]], 0)</f>
        <v>&gt; 1</v>
      </c>
      <c r="J94" s="64" cm="1">
        <f t="array" ref="J94">Common_InputFunctions.Utility_DisplayArrayInTable(Common_SourceData.Common_SourceData_ClimateZones_Data(), Table_SourceData_ClimateZones[[#Headers],[Climate zone]], 0)</f>
        <v>10.000999999999999</v>
      </c>
      <c r="K94" s="64" cm="1">
        <f t="array" ref="K94">Common_InputFunctions.Utility_DisplayArrayInTable(Common_SourceData.Common_SourceData_ClimateZones_Data(), Table_SourceData_ClimateZones[[#Headers],[Climate zone]], 0)</f>
        <v>999999</v>
      </c>
      <c r="L94" s="64" cm="1">
        <f t="array" ref="L94">Common_InputFunctions.Utility_DisplayArrayInTable(Common_SourceData.Common_SourceData_ClimateZones_Data(), Table_SourceData_ClimateZones[[#Headers],[Climate zone]], 0)</f>
        <v>-999999</v>
      </c>
      <c r="M94" s="64" cm="1">
        <f t="array" ref="M94">Common_InputFunctions.Utility_DisplayArrayInTable(Common_SourceData.Common_SourceData_ClimateZones_Data(), Table_SourceData_ClimateZones[[#Headers],[Climate zone]], 0)</f>
        <v>999999</v>
      </c>
      <c r="N94" s="64" cm="1">
        <f t="array" ref="N94">Common_InputFunctions.Utility_DisplayArrayInTable(Common_SourceData.Common_SourceData_ClimateZones_Data(), Table_SourceData_ClimateZones[[#Headers],[Climate zone]], 0)</f>
        <v>-999999</v>
      </c>
      <c r="O94" s="64" cm="1">
        <f t="array" ref="O94">Common_InputFunctions.Utility_DisplayArrayInTable(Common_SourceData.Common_SourceData_ClimateZones_Data(), Table_SourceData_ClimateZones[[#Headers],[Climate zone]], 0)</f>
        <v>999999</v>
      </c>
      <c r="P94" s="64" cm="1">
        <f t="array" ref="P94">Common_InputFunctions.Utility_DisplayArrayInTable(Common_SourceData.Common_SourceData_ClimateZones_Data(), Table_SourceData_ClimateZones[[#Headers],[Climate zone]], 0)</f>
        <v>-999999</v>
      </c>
      <c r="Q94" s="64" cm="1">
        <f t="array" ref="Q94">Common_InputFunctions.Utility_DisplayArrayInTable(Common_SourceData.Common_SourceData_ClimateZones_Data(), Table_SourceData_ClimateZones[[#Headers],[Climate zone]], 0)</f>
        <v>999999</v>
      </c>
      <c r="R94" s="64" cm="1">
        <f t="array" ref="R94">Common_InputFunctions.Utility_DisplayArrayInTable(Common_SourceData.Common_SourceData_ClimateZones_Data(), Table_SourceData_ClimateZones[[#Headers],[Climate zone]], 0)</f>
        <v>1.0009999999999999</v>
      </c>
      <c r="S94" s="64" cm="1">
        <f t="array" ref="S94">Common_InputFunctions.Utility_DisplayArrayInTable(Common_SourceData.Common_SourceData_ClimateZones_Data(), Table_SourceData_ClimateZones[[#Headers],[Climate zone]], 0)</f>
        <v>999999</v>
      </c>
      <c r="T94" s="1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</row>
    <row r="95" spans="1:76" ht="20.100000000000001" customHeight="1" x14ac:dyDescent="0.25">
      <c r="A95" s="7"/>
      <c r="B95" s="7"/>
      <c r="C95" s="1"/>
      <c r="D95" s="64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64" t="str" cm="1">
        <f t="array" ref="E95">Common_InputFunctions.Utility_DisplayArrayInTable(Common_SourceData.Common_SourceData_ClimateZones_Data(), Table_SourceData_ClimateZones[[#Headers],[Climate zone]], 0)</f>
        <v>&gt; 10 C</v>
      </c>
      <c r="F95" s="64" t="str" cm="1">
        <f t="array" ref="F95">Common_InputFunctions.Utility_DisplayArrayInTable(Common_SourceData.Common_SourceData_ClimateZones_Data(), Table_SourceData_ClimateZones[[#Headers],[Climate zone]], 0)</f>
        <v>Any</v>
      </c>
      <c r="G95" s="64" t="str" cm="1">
        <f t="array" ref="G95">Common_InputFunctions.Utility_DisplayArrayInTable(Common_SourceData.Common_SourceData_ClimateZones_Data(), Table_SourceData_ClimateZones[[#Headers],[Climate zone]], 0)</f>
        <v>Any</v>
      </c>
      <c r="H95" s="64" t="str" cm="1">
        <f t="array" ref="H95">Common_InputFunctions.Utility_DisplayArrayInTable(Common_SourceData.Common_SourceData_ClimateZones_Data(), Table_SourceData_ClimateZones[[#Headers],[Climate zone]], 0)</f>
        <v>Any</v>
      </c>
      <c r="I95" s="64" t="str" cm="1">
        <f t="array" ref="I95">Common_InputFunctions.Utility_DisplayArrayInTable(Common_SourceData.Common_SourceData_ClimateZones_Data(), Table_SourceData_ClimateZones[[#Headers],[Climate zone]], 0)</f>
        <v>≤ 1</v>
      </c>
      <c r="J95" s="64" cm="1">
        <f t="array" ref="J95">Common_InputFunctions.Utility_DisplayArrayInTable(Common_SourceData.Common_SourceData_ClimateZones_Data(), Table_SourceData_ClimateZones[[#Headers],[Climate zone]], 0)</f>
        <v>10.000999999999999</v>
      </c>
      <c r="K95" s="64" cm="1">
        <f t="array" ref="K95">Common_InputFunctions.Utility_DisplayArrayInTable(Common_SourceData.Common_SourceData_ClimateZones_Data(), Table_SourceData_ClimateZones[[#Headers],[Climate zone]], 0)</f>
        <v>999999</v>
      </c>
      <c r="L95" s="64" cm="1">
        <f t="array" ref="L95">Common_InputFunctions.Utility_DisplayArrayInTable(Common_SourceData.Common_SourceData_ClimateZones_Data(), Table_SourceData_ClimateZones[[#Headers],[Climate zone]], 0)</f>
        <v>-999999</v>
      </c>
      <c r="M95" s="64" cm="1">
        <f t="array" ref="M95">Common_InputFunctions.Utility_DisplayArrayInTable(Common_SourceData.Common_SourceData_ClimateZones_Data(), Table_SourceData_ClimateZones[[#Headers],[Climate zone]], 0)</f>
        <v>999999</v>
      </c>
      <c r="N95" s="64" cm="1">
        <f t="array" ref="N95">Common_InputFunctions.Utility_DisplayArrayInTable(Common_SourceData.Common_SourceData_ClimateZones_Data(), Table_SourceData_ClimateZones[[#Headers],[Climate zone]], 0)</f>
        <v>-999999</v>
      </c>
      <c r="O95" s="64" cm="1">
        <f t="array" ref="O95">Common_InputFunctions.Utility_DisplayArrayInTable(Common_SourceData.Common_SourceData_ClimateZones_Data(), Table_SourceData_ClimateZones[[#Headers],[Climate zone]], 0)</f>
        <v>999999</v>
      </c>
      <c r="P95" s="64" cm="1">
        <f t="array" ref="P95">Common_InputFunctions.Utility_DisplayArrayInTable(Common_SourceData.Common_SourceData_ClimateZones_Data(), Table_SourceData_ClimateZones[[#Headers],[Climate zone]], 0)</f>
        <v>-999999</v>
      </c>
      <c r="Q95" s="64" cm="1">
        <f t="array" ref="Q95">Common_InputFunctions.Utility_DisplayArrayInTable(Common_SourceData.Common_SourceData_ClimateZones_Data(), Table_SourceData_ClimateZones[[#Headers],[Climate zone]], 0)</f>
        <v>999999</v>
      </c>
      <c r="R95" s="64" cm="1">
        <f t="array" ref="R95">Common_InputFunctions.Utility_DisplayArrayInTable(Common_SourceData.Common_SourceData_ClimateZones_Data(), Table_SourceData_ClimateZones[[#Headers],[Climate zone]], 0)</f>
        <v>-999999</v>
      </c>
      <c r="S95" s="64" cm="1">
        <f t="array" ref="S95">Common_InputFunctions.Utility_DisplayArrayInTable(Common_SourceData.Common_SourceData_ClimateZones_Data(), Table_SourceData_ClimateZones[[#Headers],[Climate zone]], 0)</f>
        <v>1</v>
      </c>
      <c r="T95" s="1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</row>
    <row r="96" spans="1:76" ht="20.100000000000001" customHeight="1" x14ac:dyDescent="0.25">
      <c r="A96" s="7"/>
      <c r="B96" s="7"/>
      <c r="C96" s="1"/>
      <c r="D96" s="64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64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64" t="str" cm="1">
        <f t="array" ref="F96">Common_InputFunctions.Utility_DisplayArrayInTable(Common_SourceData.Common_SourceData_ClimateZones_Data(), Table_SourceData_ClimateZones[[#Headers],[Climate zone]], 0)</f>
        <v>Any</v>
      </c>
      <c r="G96" s="64" t="str" cm="1">
        <f t="array" ref="G96">Common_InputFunctions.Utility_DisplayArrayInTable(Common_SourceData.Common_SourceData_ClimateZones_Data(), Table_SourceData_ClimateZones[[#Headers],[Climate zone]], 0)</f>
        <v>Any</v>
      </c>
      <c r="H96" s="64" t="str" cm="1">
        <f t="array" ref="H96">Common_InputFunctions.Utility_DisplayArrayInTable(Common_SourceData.Common_SourceData_ClimateZones_Data(), Table_SourceData_ClimateZones[[#Headers],[Climate zone]], 0)</f>
        <v>Any</v>
      </c>
      <c r="I96" s="64" t="str" cm="1">
        <f t="array" ref="I96">Common_InputFunctions.Utility_DisplayArrayInTable(Common_SourceData.Common_SourceData_ClimateZones_Data(), Table_SourceData_ClimateZones[[#Headers],[Climate zone]], 0)</f>
        <v>&gt; 1</v>
      </c>
      <c r="J96" s="64" cm="1">
        <f t="array" ref="J96">Common_InputFunctions.Utility_DisplayArrayInTable(Common_SourceData.Common_SourceData_ClimateZones_Data(), Table_SourceData_ClimateZones[[#Headers],[Climate zone]], 0)</f>
        <v>-999999</v>
      </c>
      <c r="K96" s="64" cm="1">
        <f t="array" ref="K96">Common_InputFunctions.Utility_DisplayArrayInTable(Common_SourceData.Common_SourceData_ClimateZones_Data(), Table_SourceData_ClimateZones[[#Headers],[Climate zone]], 0)</f>
        <v>10</v>
      </c>
      <c r="L96" s="64" cm="1">
        <f t="array" ref="L96">Common_InputFunctions.Utility_DisplayArrayInTable(Common_SourceData.Common_SourceData_ClimateZones_Data(), Table_SourceData_ClimateZones[[#Headers],[Climate zone]], 0)</f>
        <v>-999999</v>
      </c>
      <c r="M96" s="64" cm="1">
        <f t="array" ref="M96">Common_InputFunctions.Utility_DisplayArrayInTable(Common_SourceData.Common_SourceData_ClimateZones_Data(), Table_SourceData_ClimateZones[[#Headers],[Climate zone]], 0)</f>
        <v>999999</v>
      </c>
      <c r="N96" s="64" cm="1">
        <f t="array" ref="N96">Common_InputFunctions.Utility_DisplayArrayInTable(Common_SourceData.Common_SourceData_ClimateZones_Data(), Table_SourceData_ClimateZones[[#Headers],[Climate zone]], 0)</f>
        <v>-999999</v>
      </c>
      <c r="O96" s="64" cm="1">
        <f t="array" ref="O96">Common_InputFunctions.Utility_DisplayArrayInTable(Common_SourceData.Common_SourceData_ClimateZones_Data(), Table_SourceData_ClimateZones[[#Headers],[Climate zone]], 0)</f>
        <v>999999</v>
      </c>
      <c r="P96" s="64" cm="1">
        <f t="array" ref="P96">Common_InputFunctions.Utility_DisplayArrayInTable(Common_SourceData.Common_SourceData_ClimateZones_Data(), Table_SourceData_ClimateZones[[#Headers],[Climate zone]], 0)</f>
        <v>-999999</v>
      </c>
      <c r="Q96" s="64" cm="1">
        <f t="array" ref="Q96">Common_InputFunctions.Utility_DisplayArrayInTable(Common_SourceData.Common_SourceData_ClimateZones_Data(), Table_SourceData_ClimateZones[[#Headers],[Climate zone]], 0)</f>
        <v>999999</v>
      </c>
      <c r="R96" s="64" cm="1">
        <f t="array" ref="R96">Common_InputFunctions.Utility_DisplayArrayInTable(Common_SourceData.Common_SourceData_ClimateZones_Data(), Table_SourceData_ClimateZones[[#Headers],[Climate zone]], 0)</f>
        <v>1.0009999999999999</v>
      </c>
      <c r="S96" s="64" cm="1">
        <f t="array" ref="S96">Common_InputFunctions.Utility_DisplayArrayInTable(Common_SourceData.Common_SourceData_ClimateZones_Data(), Table_SourceData_ClimateZones[[#Headers],[Climate zone]], 0)</f>
        <v>999999</v>
      </c>
      <c r="T96" s="1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</row>
    <row r="97" spans="1:76" ht="20.100000000000001" customHeight="1" x14ac:dyDescent="0.25">
      <c r="A97" s="7"/>
      <c r="B97" s="7"/>
      <c r="C97" s="1"/>
      <c r="D97" s="64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64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64" t="str" cm="1">
        <f t="array" ref="F97">Common_InputFunctions.Utility_DisplayArrayInTable(Common_SourceData.Common_SourceData_ClimateZones_Data(), Table_SourceData_ClimateZones[[#Headers],[Climate zone]], 0)</f>
        <v>Any</v>
      </c>
      <c r="G97" s="64" t="str" cm="1">
        <f t="array" ref="G97">Common_InputFunctions.Utility_DisplayArrayInTable(Common_SourceData.Common_SourceData_ClimateZones_Data(), Table_SourceData_ClimateZones[[#Headers],[Climate zone]], 0)</f>
        <v>Any</v>
      </c>
      <c r="H97" s="64" t="str" cm="1">
        <f t="array" ref="H97">Common_InputFunctions.Utility_DisplayArrayInTable(Common_SourceData.Common_SourceData_ClimateZones_Data(), Table_SourceData_ClimateZones[[#Headers],[Climate zone]], 0)</f>
        <v>Any</v>
      </c>
      <c r="I97" s="64" t="str" cm="1">
        <f t="array" ref="I97">Common_InputFunctions.Utility_DisplayArrayInTable(Common_SourceData.Common_SourceData_ClimateZones_Data(), Table_SourceData_ClimateZones[[#Headers],[Climate zone]], 0)</f>
        <v>≤ 1</v>
      </c>
      <c r="J97" s="64" cm="1">
        <f t="array" ref="J97">Common_InputFunctions.Utility_DisplayArrayInTable(Common_SourceData.Common_SourceData_ClimateZones_Data(), Table_SourceData_ClimateZones[[#Headers],[Climate zone]], 0)</f>
        <v>-999999</v>
      </c>
      <c r="K97" s="64" cm="1">
        <f t="array" ref="K97">Common_InputFunctions.Utility_DisplayArrayInTable(Common_SourceData.Common_SourceData_ClimateZones_Data(), Table_SourceData_ClimateZones[[#Headers],[Climate zone]], 0)</f>
        <v>10</v>
      </c>
      <c r="L97" s="64" cm="1">
        <f t="array" ref="L97">Common_InputFunctions.Utility_DisplayArrayInTable(Common_SourceData.Common_SourceData_ClimateZones_Data(), Table_SourceData_ClimateZones[[#Headers],[Climate zone]], 0)</f>
        <v>-999999</v>
      </c>
      <c r="M97" s="64" cm="1">
        <f t="array" ref="M97">Common_InputFunctions.Utility_DisplayArrayInTable(Common_SourceData.Common_SourceData_ClimateZones_Data(), Table_SourceData_ClimateZones[[#Headers],[Climate zone]], 0)</f>
        <v>999999</v>
      </c>
      <c r="N97" s="64" cm="1">
        <f t="array" ref="N97">Common_InputFunctions.Utility_DisplayArrayInTable(Common_SourceData.Common_SourceData_ClimateZones_Data(), Table_SourceData_ClimateZones[[#Headers],[Climate zone]], 0)</f>
        <v>-999999</v>
      </c>
      <c r="O97" s="64" cm="1">
        <f t="array" ref="O97">Common_InputFunctions.Utility_DisplayArrayInTable(Common_SourceData.Common_SourceData_ClimateZones_Data(), Table_SourceData_ClimateZones[[#Headers],[Climate zone]], 0)</f>
        <v>999999</v>
      </c>
      <c r="P97" s="64" cm="1">
        <f t="array" ref="P97">Common_InputFunctions.Utility_DisplayArrayInTable(Common_SourceData.Common_SourceData_ClimateZones_Data(), Table_SourceData_ClimateZones[[#Headers],[Climate zone]], 0)</f>
        <v>-999999</v>
      </c>
      <c r="Q97" s="64" cm="1">
        <f t="array" ref="Q97">Common_InputFunctions.Utility_DisplayArrayInTable(Common_SourceData.Common_SourceData_ClimateZones_Data(), Table_SourceData_ClimateZones[[#Headers],[Climate zone]], 0)</f>
        <v>999999</v>
      </c>
      <c r="R97" s="64" cm="1">
        <f t="array" ref="R97">Common_InputFunctions.Utility_DisplayArrayInTable(Common_SourceData.Common_SourceData_ClimateZones_Data(), Table_SourceData_ClimateZones[[#Headers],[Climate zone]], 0)</f>
        <v>-999999</v>
      </c>
      <c r="S97" s="64" cm="1">
        <f t="array" ref="S97">Common_InputFunctions.Utility_DisplayArrayInTable(Common_SourceData.Common_SourceData_ClimateZones_Data(), Table_SourceData_ClimateZones[[#Headers],[Climate zone]], 0)</f>
        <v>1</v>
      </c>
      <c r="T97" s="1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</row>
    <row r="98" spans="1:76" ht="20.100000000000001" customHeight="1" x14ac:dyDescent="0.25">
      <c r="A98" s="7"/>
      <c r="B98" s="7"/>
      <c r="C98" s="1"/>
      <c r="D98" s="83" t="str" cm="1">
        <f t="array" ref="D98:D101">Common_SourceData.Common_SourceData_ClimateZones_Appendices()</f>
        <v>Note: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</row>
    <row r="99" spans="1:76" ht="20.100000000000001" customHeight="1" x14ac:dyDescent="0.25">
      <c r="A99" s="7"/>
      <c r="B99" s="7"/>
      <c r="C99" s="1"/>
      <c r="D99" s="83" t="str">
        <v>MAT = mean annual temperature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</row>
    <row r="100" spans="1:76" ht="20.100000000000001" customHeight="1" x14ac:dyDescent="0.25">
      <c r="A100" s="7"/>
      <c r="B100" s="7"/>
      <c r="C100" s="1"/>
      <c r="D100" s="83" t="str">
        <v>MAP = mean annual precipitation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</row>
    <row r="101" spans="1:76" ht="20.100000000000001" customHeight="1" x14ac:dyDescent="0.25">
      <c r="A101" s="7"/>
      <c r="B101" s="7"/>
      <c r="C101" s="1"/>
      <c r="D101" s="83" t="str">
        <v>PET = potential evapotranspiration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</row>
    <row r="102" spans="1:76" ht="20.100000000000001" customHeight="1" x14ac:dyDescent="0.25">
      <c r="A102" s="7"/>
      <c r="B102" s="7"/>
      <c r="C102" s="1"/>
      <c r="D102" s="83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</row>
    <row r="103" spans="1:76" ht="20.100000000000001" customHeight="1" x14ac:dyDescent="0.25">
      <c r="A103" s="7"/>
      <c r="B103" s="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</row>
    <row r="104" spans="1:76" ht="20.100000000000001" customHeight="1" x14ac:dyDescent="0.25">
      <c r="A104" s="7"/>
      <c r="B104" s="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</row>
    <row r="105" spans="1:76" ht="20.100000000000001" customHeight="1" x14ac:dyDescent="0.25">
      <c r="A105" s="7"/>
      <c r="B105" s="7"/>
      <c r="C105" s="1"/>
      <c r="D105" s="6" t="str" cm="1">
        <f t="array" ref="D105">Common_SourceData.Common_SourceData_TemperatureZones_Title()</f>
        <v>VEERG Australian temperature zones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</row>
    <row r="106" spans="1:76" ht="20.100000000000001" customHeight="1" x14ac:dyDescent="0.25">
      <c r="A106" s="7"/>
      <c r="B106" s="7"/>
      <c r="C106" s="1"/>
      <c r="D106" s="5" t="str" cm="1">
        <f t="array" ref="D106">Common_SourceData.Common_SourceData_TemperatureZones_Source()</f>
        <v>VEERG 2026: Table 1.3: Climate and Rainfall zone classifications and definitions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</row>
    <row r="107" spans="1:76" ht="20.100000000000001" customHeight="1" x14ac:dyDescent="0.25">
      <c r="A107" s="7"/>
      <c r="B107" s="7"/>
      <c r="C107" s="1"/>
      <c r="D107" s="84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</row>
    <row r="108" spans="1:76" ht="20.100000000000001" customHeight="1" x14ac:dyDescent="0.25">
      <c r="A108" s="7"/>
      <c r="B108" s="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</row>
    <row r="109" spans="1:76" ht="20.100000000000001" customHeight="1" x14ac:dyDescent="0.25">
      <c r="A109" s="7"/>
      <c r="B109" s="7"/>
      <c r="C109" s="1"/>
      <c r="D109" s="64" t="s">
        <v>126</v>
      </c>
      <c r="E109" s="64" t="s">
        <v>107</v>
      </c>
      <c r="F109" s="64" t="s">
        <v>127</v>
      </c>
      <c r="G109" s="64" t="s">
        <v>128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</row>
    <row r="110" spans="1:76" ht="20.100000000000001" customHeight="1" x14ac:dyDescent="0.25">
      <c r="A110" s="7"/>
      <c r="B110" s="7"/>
      <c r="C110" s="1"/>
      <c r="D110" s="64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64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64" cm="1">
        <f t="array" ref="F110">Common_InputFunctions.Utility_DisplayArrayInTable(Common_SourceData.Common_SourceData_TemperatureZones_Data(),Table_SourceData_TemperatureZones[[#Headers],[Temperature Zone]],0)</f>
        <v>26</v>
      </c>
      <c r="G110" s="64" cm="1">
        <f t="array" ref="G110">Common_InputFunctions.Utility_DisplayArrayInTable(Common_SourceData.Common_SourceData_TemperatureZones_Data(),Table_SourceData_TemperatureZones[[#Headers],[Temperature Zone]],0)</f>
        <v>999999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</row>
    <row r="111" spans="1:76" ht="20.100000000000001" customHeight="1" x14ac:dyDescent="0.25">
      <c r="A111" s="7"/>
      <c r="B111" s="7"/>
      <c r="C111" s="1"/>
      <c r="D111" s="64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64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64" cm="1">
        <f t="array" ref="F111">Common_InputFunctions.Utility_DisplayArrayInTable(Common_SourceData.Common_SourceData_TemperatureZones_Data(),Table_SourceData_TemperatureZones[[#Headers],[Temperature Zone]],0)</f>
        <v>15</v>
      </c>
      <c r="G111" s="64" cm="1">
        <f t="array" ref="G111">Common_InputFunctions.Utility_DisplayArrayInTable(Common_SourceData.Common_SourceData_TemperatureZones_Data(),Table_SourceData_TemperatureZones[[#Headers],[Temperature Zone]],0)</f>
        <v>25.998999999999999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</row>
    <row r="112" spans="1:76" ht="20.100000000000001" customHeight="1" x14ac:dyDescent="0.25">
      <c r="A112" s="7"/>
      <c r="B112" s="7"/>
      <c r="C112" s="1"/>
      <c r="D112" s="64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64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64" cm="1">
        <f t="array" ref="F112">Common_InputFunctions.Utility_DisplayArrayInTable(Common_SourceData.Common_SourceData_TemperatureZones_Data(),Table_SourceData_TemperatureZones[[#Headers],[Temperature Zone]],0)</f>
        <v>-999999</v>
      </c>
      <c r="G112" s="64" cm="1">
        <f t="array" ref="G112">Common_InputFunctions.Utility_DisplayArrayInTable(Common_SourceData.Common_SourceData_TemperatureZones_Data(),Table_SourceData_TemperatureZones[[#Headers],[Temperature Zone]],0)</f>
        <v>14.999000000000001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</row>
    <row r="113" spans="1:76" ht="20.100000000000001" customHeight="1" x14ac:dyDescent="0.25">
      <c r="A113" s="7"/>
      <c r="B113" s="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</row>
    <row r="114" spans="1:76" ht="20.100000000000001" customHeight="1" x14ac:dyDescent="0.25">
      <c r="A114" s="7"/>
      <c r="B114" s="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</row>
    <row r="115" spans="1:76" ht="20.100000000000001" customHeight="1" x14ac:dyDescent="0.25">
      <c r="A115" s="7"/>
      <c r="B115" s="7"/>
      <c r="C115" s="1"/>
      <c r="D115" s="6" t="str" cm="1">
        <f t="array" ref="D115">Common_SourceData.Common_SourceData_RainfallZones_Title()</f>
        <v>VEERG Australian rainfall zones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</row>
    <row r="116" spans="1:76" ht="15.75" x14ac:dyDescent="0.25">
      <c r="A116" s="7"/>
      <c r="B116" s="7"/>
      <c r="C116" s="1"/>
      <c r="D116" s="5" t="str" cm="1">
        <f t="array" ref="D116">Common_SourceData.Common_SourceData_RainfallZones_Source()</f>
        <v>VEERG 2026: Table 1.3: Climate and Rainfall zone classifications and definitions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</row>
    <row r="117" spans="1:76" ht="15.75" x14ac:dyDescent="0.25">
      <c r="A117" s="7"/>
      <c r="B117" s="7"/>
      <c r="C117" s="1"/>
      <c r="D117" s="84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</row>
    <row r="118" spans="1:76" ht="15.75" x14ac:dyDescent="0.25">
      <c r="A118" s="7"/>
      <c r="B118" s="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</row>
    <row r="119" spans="1:76" ht="15.75" x14ac:dyDescent="0.25">
      <c r="A119" s="7"/>
      <c r="B119" s="7"/>
      <c r="C119" s="1"/>
      <c r="D119" s="64" t="s">
        <v>129</v>
      </c>
      <c r="E119" s="64" t="s">
        <v>130</v>
      </c>
      <c r="F119" s="64" t="s">
        <v>114</v>
      </c>
      <c r="G119" s="64" t="s">
        <v>115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</row>
    <row r="120" spans="1:76" ht="15.75" x14ac:dyDescent="0.25">
      <c r="A120" s="7"/>
      <c r="B120" s="7"/>
      <c r="C120" s="1"/>
      <c r="D120" s="64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64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64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64" cm="1">
        <f t="array" ref="G120">Common_InputFunctions.Utility_DisplayArrayInTable(Common_SourceData.Common_SourceData_RainfallZones_Data(),Table_SourceData_RainfallZones[[#Headers],[Rainfall Zone]],0)</f>
        <v>999999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</row>
    <row r="121" spans="1:76" ht="15.75" x14ac:dyDescent="0.25">
      <c r="A121" s="7"/>
      <c r="B121" s="7"/>
      <c r="C121" s="1"/>
      <c r="D121" s="64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64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64" cm="1">
        <f t="array" ref="F121">Common_InputFunctions.Utility_DisplayArrayInTable(Common_SourceData.Common_SourceData_RainfallZones_Data(),Table_SourceData_RainfallZones[[#Headers],[Rainfall Zone]],0)</f>
        <v>-999999</v>
      </c>
      <c r="G121" s="64" cm="1">
        <f t="array" ref="G121">Common_InputFunctions.Utility_DisplayArrayInTable(Common_SourceData.Common_SourceData_RainfallZones_Data(),Table_SourceData_RainfallZones[[#Headers],[Rainfall Zone]],0)</f>
        <v>600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</row>
    <row r="122" spans="1:76" ht="15.75" x14ac:dyDescent="0.25">
      <c r="A122" s="7"/>
      <c r="B122" s="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</row>
    <row r="123" spans="1:76" ht="15.75" x14ac:dyDescent="0.25">
      <c r="A123" s="7"/>
      <c r="B123" s="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</row>
    <row r="124" spans="1:76" ht="23.25" x14ac:dyDescent="0.25">
      <c r="A124" s="7"/>
      <c r="B124" s="7"/>
      <c r="C124" s="1"/>
      <c r="D124" s="6" t="str" cm="1">
        <f t="array" ref="D124">Common_SourceData.Common_SourceData_LeachingZones_Title()</f>
        <v>VEERG Australian leaching zones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</row>
    <row r="125" spans="1:76" ht="15.75" x14ac:dyDescent="0.25">
      <c r="A125" s="7"/>
      <c r="B125" s="7"/>
      <c r="C125" s="1"/>
      <c r="D125" s="5" t="str" cm="1">
        <f t="array" ref="D125">Common_SourceData.Common_SourceData_LeachingZones_Source()</f>
        <v>VEERG 2026: Table 1.3: Climate and Rainfall zone classifications and definitions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</row>
    <row r="126" spans="1:76" ht="15.75" x14ac:dyDescent="0.25">
      <c r="A126" s="7"/>
      <c r="B126" s="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</row>
    <row r="127" spans="1:76" ht="15.75" x14ac:dyDescent="0.25">
      <c r="A127" s="7"/>
      <c r="B127" s="7"/>
      <c r="C127" s="1"/>
      <c r="D127" s="64" t="s">
        <v>136</v>
      </c>
      <c r="E127" s="64" t="s">
        <v>137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</row>
    <row r="128" spans="1:76" ht="15.75" x14ac:dyDescent="0.25">
      <c r="A128" s="7"/>
      <c r="B128" s="7"/>
      <c r="C128" s="1"/>
      <c r="D128" s="64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64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</row>
    <row r="129" spans="1:76" ht="15.75" x14ac:dyDescent="0.25">
      <c r="A129" s="7"/>
      <c r="B129" s="7"/>
      <c r="C129" s="1"/>
      <c r="D129" s="64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64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</row>
    <row r="130" spans="1:76" ht="15.75" x14ac:dyDescent="0.25">
      <c r="A130" s="7"/>
      <c r="B130" s="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</row>
    <row r="131" spans="1:76" ht="15.75" x14ac:dyDescent="0.25">
      <c r="A131" s="7"/>
      <c r="B131" s="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</row>
    <row r="132" spans="1:76" ht="23.25" x14ac:dyDescent="0.25">
      <c r="A132" s="7"/>
      <c r="B132" s="7"/>
      <c r="C132" s="1"/>
      <c r="D132" s="6" t="str" cm="1">
        <f t="array" ref="D132">Common_SourceData.Common_SourceData_FracWET_Title()</f>
        <v>Fraction of N that is available for leaching and runoff</v>
      </c>
      <c r="E132" s="2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</row>
    <row r="133" spans="1:76" ht="15.75" x14ac:dyDescent="0.25">
      <c r="A133" s="7"/>
      <c r="B133" s="7"/>
      <c r="C133" s="1"/>
      <c r="D133" s="5" t="str" cm="1">
        <f t="array" ref="D133">Common_SourceData.Common_SourceData_FracWET_Source()</f>
        <v>VEERG 2026:5.5.2.3 Constant Parameters</v>
      </c>
      <c r="E133" s="2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</row>
    <row r="134" spans="1:76" ht="15.75" x14ac:dyDescent="0.25">
      <c r="A134" s="7"/>
      <c r="B134" s="7"/>
      <c r="C134" s="1"/>
      <c r="D134" t="s">
        <v>164</v>
      </c>
      <c r="E134" t="s">
        <v>165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</row>
    <row r="135" spans="1:76" ht="15.75" x14ac:dyDescent="0.25">
      <c r="A135" s="7"/>
      <c r="B135" s="7"/>
      <c r="C135" s="1"/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</row>
    <row r="136" spans="1:76" ht="15.75" x14ac:dyDescent="0.25">
      <c r="A136" s="7"/>
      <c r="B136" s="7"/>
      <c r="C136" s="1"/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64" cm="1">
        <f t="array" ref="E136">Common_InputFunctions.Utility_DisplayArrayInTable(Common_SourceData.Common_SourceData_FracWET_Data(),Table_SourceData_FracWET[[#Headers],[Is in leaching zone]],0)</f>
        <v>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</row>
    <row r="137" spans="1:76" ht="15.75" x14ac:dyDescent="0.25">
      <c r="A137" s="7"/>
      <c r="B137" s="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</row>
    <row r="138" spans="1:76" ht="15.75" x14ac:dyDescent="0.25">
      <c r="A138" s="7"/>
      <c r="B138" s="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1:76" ht="23.25" x14ac:dyDescent="0.25">
      <c r="A139" s="7"/>
      <c r="B139" s="7"/>
      <c r="C139" s="1"/>
      <c r="D139" s="6" t="str" cm="1">
        <f t="array" ref="D139">Common_SourceData.Common_SourceData_DataScores_Scope3_Title()</f>
        <v>Australian data scores for scope 3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1:76" ht="15.75" x14ac:dyDescent="0.25">
      <c r="A140" s="7"/>
      <c r="B140" s="7"/>
      <c r="C140" s="1"/>
      <c r="D140" s="5" t="str" cm="1">
        <f t="array" ref="D140">Common_SourceData.Common_SourceData_DataScores_Scope3_Source()</f>
        <v>VEERG 2026: XXXXXXXX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1:76" ht="15.75" x14ac:dyDescent="0.25">
      <c r="A141" s="7"/>
      <c r="B141" s="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</row>
    <row r="142" spans="1:76" ht="15.75" x14ac:dyDescent="0.25">
      <c r="A142" s="7"/>
      <c r="B142" s="7"/>
      <c r="C142" s="1"/>
      <c r="D142" s="64" t="s">
        <v>139</v>
      </c>
      <c r="E142" s="64" t="s">
        <v>140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</row>
    <row r="143" spans="1:76" ht="15.75" x14ac:dyDescent="0.25">
      <c r="A143" s="7"/>
      <c r="B143" s="7"/>
      <c r="C143" s="1"/>
      <c r="D143" s="64" t="str" cm="1">
        <f t="array" ref="D143">Common_InputFunctions.Utility_DisplayArrayInTable(Common_SourceData.Common_SourceData_DataScores_Scope3_Data(), Table_SourceData_DataScores_Scope3[[#Headers],[Data source]], 0)</f>
        <v>International scope 3 database</v>
      </c>
      <c r="E143" s="64" cm="1">
        <f t="array" ref="E143">Common_InputFunctions.Utility_DisplayArrayInTable(Common_SourceData.Common_SourceData_DataScores_Scope3_Data(), Table_SourceData_DataScores_Scope3[[#Headers],[Data source]], 0)</f>
        <v>1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</row>
    <row r="144" spans="1:76" ht="15.75" x14ac:dyDescent="0.25">
      <c r="A144" s="7"/>
      <c r="B144" s="7"/>
      <c r="C144" s="1"/>
      <c r="D144" s="64" t="str" cm="1">
        <f t="array" ref="D144">Common_InputFunctions.Utility_DisplayArrayInTable(Common_SourceData.Common_SourceData_DataScores_Scope3_Data(), Table_SourceData_DataScores_Scope3[[#Headers],[Data source]], 0)</f>
        <v>Australian scope 3 database</v>
      </c>
      <c r="E144" s="64" cm="1">
        <f t="array" ref="E144">Common_InputFunctions.Utility_DisplayArrayInTable(Common_SourceData.Common_SourceData_DataScores_Scope3_Data(), Table_SourceData_DataScores_Scope3[[#Headers],[Data source]], 0)</f>
        <v>2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</row>
    <row r="145" spans="1:76" ht="15.75" x14ac:dyDescent="0.25">
      <c r="A145" s="7"/>
      <c r="B145" s="7"/>
      <c r="C145" s="1"/>
      <c r="D145" s="64" t="str" cm="1">
        <f t="array" ref="D145">Common_InputFunctions.Utility_DisplayArrayInTable(Common_SourceData.Common_SourceData_DataScores_Scope3_Data(), Table_SourceData_DataScores_Scope3[[#Headers],[Data source]], 0)</f>
        <v>State or regional scope 3 database</v>
      </c>
      <c r="E145" s="64" cm="1">
        <f t="array" ref="E145">Common_InputFunctions.Utility_DisplayArrayInTable(Common_SourceData.Common_SourceData_DataScores_Scope3_Data(), Table_SourceData_DataScores_Scope3[[#Headers],[Data source]], 0)</f>
        <v>3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</row>
    <row r="146" spans="1:76" ht="15.75" x14ac:dyDescent="0.25">
      <c r="A146" s="7"/>
      <c r="B146" s="7"/>
      <c r="C146" s="1"/>
      <c r="D146" s="64" t="str" cm="1">
        <f t="array" ref="D146">Common_InputFunctions.Utility_DisplayArrayInTable(Common_SourceData.Common_SourceData_DataScores_Scope3_Data(), Table_SourceData_DataScores_Scope3[[#Headers],[Data source]], 0)</f>
        <v>Emissions intensity calculated from approved method</v>
      </c>
      <c r="E146" s="64" cm="1">
        <f t="array" ref="E146">Common_InputFunctions.Utility_DisplayArrayInTable(Common_SourceData.Common_SourceData_DataScores_Scope3_Data(), Table_SourceData_DataScores_Scope3[[#Headers],[Data source]], 0)</f>
        <v>4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</row>
    <row r="147" spans="1:76" ht="15.75" x14ac:dyDescent="0.25">
      <c r="A147" s="7"/>
      <c r="B147" s="7"/>
      <c r="C147" s="1"/>
      <c r="D147" s="64" t="str" cm="1">
        <f t="array" ref="D147">Common_InputFunctions.Utility_DisplayArrayInTable(Common_SourceData.Common_SourceData_DataScores_Scope3_Data(), Table_SourceData_DataScores_Scope3[[#Headers],[Data source]], 0)</f>
        <v>Verified credential matching ISO14067</v>
      </c>
      <c r="E147" s="64" cm="1">
        <f t="array" ref="E147">Common_InputFunctions.Utility_DisplayArrayInTable(Common_SourceData.Common_SourceData_DataScores_Scope3_Data(), Table_SourceData_DataScores_Scope3[[#Headers],[Data source]], 0)</f>
        <v>5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</row>
    <row r="148" spans="1:76" ht="15.75" x14ac:dyDescent="0.25">
      <c r="A148" s="7"/>
      <c r="B148" s="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</row>
    <row r="149" spans="1:76" ht="15.75" x14ac:dyDescent="0.25">
      <c r="A149" s="7"/>
      <c r="B149" s="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</row>
    <row r="150" spans="1:76" ht="23.25" x14ac:dyDescent="0.25">
      <c r="A150" s="7"/>
      <c r="B150" s="7"/>
      <c r="C150" s="1"/>
      <c r="D150" s="6" t="str" cm="1">
        <f t="array" ref="D150">Common_SourceData.Common_SourceData_FracLEACH_Title()</f>
        <v>Fraction of N that is available for leaching and runoff</v>
      </c>
      <c r="E150" s="2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</row>
    <row r="151" spans="1:76" ht="15.75" x14ac:dyDescent="0.25">
      <c r="A151" s="7"/>
      <c r="B151" s="7"/>
      <c r="C151" s="1"/>
      <c r="D151" s="5" t="str" cm="1">
        <f t="array" ref="D151">Common_SourceData.Common_SourceData_FracLEACH_Source()</f>
        <v>VEERG 2026:5.5.2.3 Constant Parameters</v>
      </c>
      <c r="E151" s="2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</row>
    <row r="152" spans="1:76" ht="15.75" x14ac:dyDescent="0.25">
      <c r="A152" s="7"/>
      <c r="B152" s="7"/>
      <c r="C152" s="1"/>
      <c r="D152" s="5" t="str" cm="1">
        <f t="array" ref="D152">Common_SourceData.Common_SourceData_FracLEACH_NIRReference()</f>
        <v>National Inventory Report Volume 1: Leaching and runoff (3.D.b.2)</v>
      </c>
      <c r="E152" s="2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</row>
    <row r="153" spans="1:76" ht="15.75" x14ac:dyDescent="0.25">
      <c r="A153" s="7"/>
      <c r="B153" s="7"/>
      <c r="C153" s="1"/>
      <c r="D153" s="25" t="str" cm="1">
        <f t="array" ref="D153:E153">Common_SourceData.Common_SourceData_FracLEACH_Data()</f>
        <v>FracLEACH</v>
      </c>
      <c r="E153" s="25">
        <v>0.24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</row>
    <row r="154" spans="1:76" ht="15.75" x14ac:dyDescent="0.25">
      <c r="A154" s="7"/>
      <c r="B154" s="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</row>
    <row r="155" spans="1:76" ht="15.75" x14ac:dyDescent="0.25">
      <c r="A155" s="7"/>
      <c r="B155" s="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</row>
    <row r="156" spans="1:76" ht="23.25" x14ac:dyDescent="0.25">
      <c r="A156" s="7"/>
      <c r="B156" s="7"/>
      <c r="C156" s="1"/>
      <c r="D156" s="6" t="str" cm="1">
        <f t="array" ref="D156">Common_SourceData.Common_SourceData_EFleach_Title()</f>
        <v>Emission factor for nitrogen leaching and runoff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</row>
    <row r="157" spans="1:76" ht="15.75" x14ac:dyDescent="0.25">
      <c r="A157" s="7"/>
      <c r="B157" s="7"/>
      <c r="C157" s="1"/>
      <c r="D157" s="5" t="str" cm="1">
        <f t="array" ref="D157">Common_SourceData.Common_SourceData_EFleach_Source()</f>
        <v>VEERG 2026:5.5.2.3 Constant Parameters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</row>
    <row r="158" spans="1:76" ht="15.75" x14ac:dyDescent="0.25">
      <c r="A158" s="7"/>
      <c r="B158" s="7"/>
      <c r="C158" s="1"/>
      <c r="D158" s="5" t="str" cm="1">
        <f t="array" ref="D158">Common_SourceData.Common_SourceData_EFleach_NIRReference()</f>
        <v>National Inventory Report Volume 1: Equation 3.D.B_10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</row>
    <row r="159" spans="1:76" ht="15.75" x14ac:dyDescent="0.25">
      <c r="A159" s="7"/>
      <c r="B159" s="7"/>
      <c r="C159" s="1"/>
      <c r="D159" s="1" t="str" cm="1">
        <f t="array" ref="D159:E159">Common_SourceData.Common_SourceData_EFleach_Data()</f>
        <v>EFleach</v>
      </c>
      <c r="E159" s="1">
        <v>1.0999999999999999E-2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</row>
    <row r="160" spans="1:76" ht="15.75" x14ac:dyDescent="0.25">
      <c r="A160" s="7"/>
      <c r="B160" s="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</row>
    <row r="161" spans="1:76" ht="15.75" x14ac:dyDescent="0.25">
      <c r="A161" s="7"/>
      <c r="B161" s="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</row>
    <row r="162" spans="1:76" ht="23.25" x14ac:dyDescent="0.25">
      <c r="A162" s="7"/>
      <c r="B162" s="7"/>
      <c r="C162" s="1"/>
      <c r="D162" s="6" t="str" cm="1">
        <f t="array" ref="D162">Common_SourceData.Common_SourceData_DensityOfMethane_Title()</f>
        <v>p = density of methane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</row>
    <row r="163" spans="1:76" ht="15.75" x14ac:dyDescent="0.25">
      <c r="A163" s="7"/>
      <c r="B163" s="7"/>
      <c r="C163" s="1"/>
      <c r="D163" s="5" t="str" cm="1">
        <f t="array" ref="D163">Common_SourceData.Common_SourceData_DensityOfMethane_Source()</f>
        <v>National Inventory Report 2023 Volume 1: Equations 3.B.1a_2, 3.B.1c_2, 3.B.3_1, 3.B.4g_2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</row>
    <row r="164" spans="1:76" ht="15.75" x14ac:dyDescent="0.25">
      <c r="A164" s="7"/>
      <c r="B164" s="7"/>
      <c r="C164" s="1"/>
      <c r="D164" s="1" cm="1">
        <f t="array" ref="D164">Common_SourceData.Common_SourceData_DensityOfMethane_Data()</f>
        <v>0.6784</v>
      </c>
      <c r="E164" s="83" t="str" cm="1">
        <f t="array" ref="E164">Common_SourceData.Common_SourceData_DensityOfMethane_Unit()</f>
        <v>kg/m3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</row>
    <row r="165" spans="1:76" ht="15.75" x14ac:dyDescent="0.25">
      <c r="A165" s="7"/>
      <c r="B165" s="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3"/>
      <c r="BQ165" s="3"/>
      <c r="BR165" s="3"/>
      <c r="BS165" s="3"/>
      <c r="BT165" s="3"/>
      <c r="BU165" s="3"/>
      <c r="BV165" s="3"/>
      <c r="BW165" s="3"/>
      <c r="BX165" s="3"/>
    </row>
    <row r="166" spans="1:76" ht="15.75" x14ac:dyDescent="0.25">
      <c r="A166" s="7"/>
      <c r="B166" s="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3"/>
      <c r="BQ166" s="3"/>
      <c r="BR166" s="3"/>
      <c r="BS166" s="3"/>
      <c r="BT166" s="3"/>
      <c r="BU166" s="3"/>
      <c r="BV166" s="3"/>
      <c r="BW166" s="3"/>
      <c r="BX166" s="3"/>
    </row>
    <row r="167" spans="1:76" ht="15.75" x14ac:dyDescent="0.25">
      <c r="A167" s="7"/>
      <c r="B167" s="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3"/>
      <c r="BQ167" s="3"/>
      <c r="BR167" s="3"/>
      <c r="BS167" s="3"/>
      <c r="BT167" s="3"/>
      <c r="BU167" s="3"/>
      <c r="BV167" s="3"/>
      <c r="BW167" s="3"/>
      <c r="BX167" s="3"/>
    </row>
    <row r="168" spans="1:76" ht="15.75" x14ac:dyDescent="0.25">
      <c r="A168" s="7"/>
      <c r="B168" s="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3"/>
      <c r="BQ168" s="3"/>
      <c r="BR168" s="3"/>
      <c r="BS168" s="3"/>
      <c r="BT168" s="3"/>
      <c r="BU168" s="3"/>
      <c r="BV168" s="3"/>
      <c r="BW168" s="3"/>
      <c r="BX168" s="3"/>
    </row>
    <row r="169" spans="1:76" ht="15.75" x14ac:dyDescent="0.25">
      <c r="A169" s="7"/>
      <c r="B169" s="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3"/>
      <c r="BQ169" s="3"/>
      <c r="BR169" s="3"/>
      <c r="BS169" s="3"/>
      <c r="BT169" s="3"/>
      <c r="BU169" s="3"/>
      <c r="BV169" s="3"/>
      <c r="BW169" s="3"/>
      <c r="BX169" s="3"/>
    </row>
    <row r="170" spans="1:76" ht="15.75" x14ac:dyDescent="0.25">
      <c r="A170" s="7"/>
      <c r="B170" s="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3"/>
      <c r="BQ170" s="3"/>
      <c r="BR170" s="3"/>
      <c r="BS170" s="3"/>
      <c r="BT170" s="3"/>
      <c r="BU170" s="3"/>
      <c r="BV170" s="3"/>
      <c r="BW170" s="3"/>
      <c r="BX170" s="3"/>
    </row>
    <row r="171" spans="1:76" ht="15.75" x14ac:dyDescent="0.25">
      <c r="A171" s="7"/>
      <c r="B171" s="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3"/>
      <c r="BQ171" s="3"/>
      <c r="BR171" s="3"/>
      <c r="BS171" s="3"/>
      <c r="BT171" s="3"/>
      <c r="BU171" s="3"/>
      <c r="BV171" s="3"/>
      <c r="BW171" s="3"/>
      <c r="BX171" s="3"/>
    </row>
    <row r="172" spans="1:76" ht="15.75" x14ac:dyDescent="0.25">
      <c r="A172" s="7"/>
      <c r="B172" s="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3"/>
      <c r="BQ172" s="3"/>
      <c r="BR172" s="3"/>
      <c r="BS172" s="3"/>
      <c r="BT172" s="3"/>
      <c r="BU172" s="3"/>
      <c r="BV172" s="3"/>
      <c r="BW172" s="3"/>
      <c r="BX172" s="3"/>
    </row>
    <row r="173" spans="1:76" ht="15.75" x14ac:dyDescent="0.25">
      <c r="A173" s="7"/>
      <c r="B173" s="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3"/>
      <c r="BQ173" s="3"/>
      <c r="BR173" s="3"/>
      <c r="BS173" s="3"/>
      <c r="BT173" s="3"/>
      <c r="BU173" s="3"/>
      <c r="BV173" s="3"/>
      <c r="BW173" s="3"/>
      <c r="BX173" s="3"/>
    </row>
    <row r="174" spans="1:76" ht="15.75" x14ac:dyDescent="0.25">
      <c r="A174" s="7"/>
      <c r="B174" s="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3"/>
      <c r="BQ174" s="3"/>
      <c r="BR174" s="3"/>
      <c r="BS174" s="3"/>
      <c r="BT174" s="3"/>
      <c r="BU174" s="3"/>
      <c r="BV174" s="3"/>
      <c r="BW174" s="3"/>
      <c r="BX174" s="3"/>
    </row>
    <row r="175" spans="1:76" ht="15.75" x14ac:dyDescent="0.25">
      <c r="A175" s="7"/>
      <c r="B175" s="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3"/>
      <c r="BQ175" s="3"/>
      <c r="BR175" s="3"/>
      <c r="BS175" s="3"/>
      <c r="BT175" s="3"/>
      <c r="BU175" s="3"/>
      <c r="BV175" s="3"/>
      <c r="BW175" s="3"/>
      <c r="BX175" s="3"/>
    </row>
    <row r="176" spans="1:76" ht="15.75" x14ac:dyDescent="0.25">
      <c r="A176" s="7"/>
      <c r="B176" s="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3"/>
      <c r="BQ176" s="3"/>
      <c r="BR176" s="3"/>
      <c r="BS176" s="3"/>
      <c r="BT176" s="3"/>
      <c r="BU176" s="3"/>
      <c r="BV176" s="3"/>
      <c r="BW176" s="3"/>
      <c r="BX176" s="3"/>
    </row>
    <row r="177" spans="1:76" ht="15.75" x14ac:dyDescent="0.25">
      <c r="A177" s="7"/>
      <c r="B177" s="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3"/>
      <c r="BQ177" s="3"/>
      <c r="BR177" s="3"/>
      <c r="BS177" s="3"/>
      <c r="BT177" s="3"/>
      <c r="BU177" s="3"/>
      <c r="BV177" s="3"/>
      <c r="BW177" s="3"/>
      <c r="BX177" s="3"/>
    </row>
    <row r="178" spans="1:76" ht="15.75" x14ac:dyDescent="0.25">
      <c r="A178" s="7"/>
      <c r="B178" s="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3"/>
      <c r="BQ178" s="3"/>
      <c r="BR178" s="3"/>
      <c r="BS178" s="3"/>
      <c r="BT178" s="3"/>
      <c r="BU178" s="3"/>
      <c r="BV178" s="3"/>
      <c r="BW178" s="3"/>
      <c r="BX178" s="3"/>
    </row>
    <row r="179" spans="1:76" ht="15.75" x14ac:dyDescent="0.25">
      <c r="A179" s="7"/>
      <c r="B179" s="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3"/>
      <c r="BQ179" s="3"/>
      <c r="BR179" s="3"/>
      <c r="BS179" s="3"/>
      <c r="BT179" s="3"/>
      <c r="BU179" s="3"/>
      <c r="BV179" s="3"/>
      <c r="BW179" s="3"/>
      <c r="BX179" s="3"/>
    </row>
  </sheetData>
  <phoneticPr fontId="23" type="noConversion"/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/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94" t="e" vm="1">
        <v>#VALUE!</v>
      </c>
      <c r="C1" s="8" t="s">
        <v>150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8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8" t="str">
        <f>HYPERLINK("#'Results'!A1", "Results")</f>
        <v>Results</v>
      </c>
    </row>
    <row r="5" spans="1:13" ht="20.100000000000001" customHeight="1" x14ac:dyDescent="0.25">
      <c r="A5" s="17"/>
    </row>
    <row r="6" spans="1:13" ht="20.100000000000001" customHeight="1" x14ac:dyDescent="0.25">
      <c r="A6" s="21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8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8" t="str">
        <f>HYPERLINK("#'Input - Production'!A1", "Production and outputs")</f>
        <v>Production and outputs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8" t="str">
        <f>HYPERLINK("#'Input - Herd - Dairy'!A1", "Herd - Dairy")</f>
        <v>Herd - Dairy</v>
      </c>
      <c r="D9" s="63" t="s">
        <v>151</v>
      </c>
      <c r="E9" s="64" t="s">
        <v>87</v>
      </c>
      <c r="F9" s="64" t="s">
        <v>152</v>
      </c>
      <c r="G9" s="3"/>
    </row>
    <row r="10" spans="1:13" ht="20.100000000000001" customHeight="1" x14ac:dyDescent="0.25">
      <c r="A10" s="18" t="str">
        <f>HYPERLINK("#'Input - Feed - Dairy'!A1", "Purchased feed - Livestock")</f>
        <v>Purchased feed - Livestock</v>
      </c>
      <c r="D10" s="63" t="str" cm="1">
        <f t="array" ref="D10">Common_InputFunctions.Utility_DisplayArrayInTable(CommonLivestock_SourceData.SourceData_Livestock_Common_SymbolsMMS_Data(), Table_Data_MMSSymbols[[#Headers],[Symbol]], 0)</f>
        <v>1</v>
      </c>
      <c r="E10" s="63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63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8" t="str">
        <f>HYPERLINK("#'Input - Herd - Feedlot'!A1", "Herd - Feedlot")</f>
        <v>Herd - Feedlot</v>
      </c>
      <c r="D11" s="63" t="str" cm="1">
        <f t="array" ref="D11">Common_InputFunctions.Utility_DisplayArrayInTable(CommonLivestock_SourceData.SourceData_Livestock_Common_SymbolsMMS_Data(), Table_Data_MMSSymbols[[#Headers],[Symbol]], 0)</f>
        <v>2</v>
      </c>
      <c r="E11" s="63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63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8" t="str">
        <f>HYPERLINK("#'Input - Pasture'!A1", "Pasture")</f>
        <v>Pasture</v>
      </c>
      <c r="D12" s="64" t="str" cm="1">
        <f t="array" ref="D12">Common_InputFunctions.Utility_DisplayArrayInTable(CommonLivestock_SourceData.SourceData_Livestock_Common_SymbolsMMS_Data(), Table_Data_MMSSymbols[[#Headers],[Symbol]], 0)</f>
        <v>3</v>
      </c>
      <c r="E12" s="64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64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8" t="str">
        <f>HYPERLINK("#'Input - Grains'!A1", "Crop - Grains")</f>
        <v>Crop - Grains</v>
      </c>
      <c r="D13" s="64" t="str" cm="1">
        <f t="array" ref="D13">Common_InputFunctions.Utility_DisplayArrayInTable(CommonLivestock_SourceData.SourceData_Livestock_Common_SymbolsMMS_Data(), Table_Data_MMSSymbols[[#Headers],[Symbol]], 0)</f>
        <v>3a</v>
      </c>
      <c r="E13" s="64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64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8" t="str">
        <f>HYPERLINK("#'Input - Fert Lime Chem'!A1", "Fertiliser, Lime &amp; Chemicals")</f>
        <v>Fertiliser, Lime &amp; Chemicals</v>
      </c>
      <c r="D14" s="64" t="str" cm="1">
        <f t="array" ref="D14">Common_InputFunctions.Utility_DisplayArrayInTable(CommonLivestock_SourceData.SourceData_Livestock_Common_SymbolsMMS_Data(), Table_Data_MMSSymbols[[#Headers],[Symbol]], 0)</f>
        <v>3b</v>
      </c>
      <c r="E14" s="64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64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8" t="str">
        <f>HYPERLINK("#'Input - Fuel &amp; Energy'!A1", "Electricity and fuel")</f>
        <v>Electricity and fuel</v>
      </c>
      <c r="D15" s="64" t="str" cm="1">
        <f t="array" ref="D15">Common_InputFunctions.Utility_DisplayArrayInTable(CommonLivestock_SourceData.SourceData_Livestock_Common_SymbolsMMS_Data(), Table_Data_MMSSymbols[[#Headers],[Symbol]], 0)</f>
        <v>4</v>
      </c>
      <c r="E15" s="64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64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96" t="s">
        <v>149</v>
      </c>
      <c r="D16" s="64" t="str" cm="1">
        <f t="array" ref="D16">Common_InputFunctions.Utility_DisplayArrayInTable(CommonLivestock_SourceData.SourceData_Livestock_Common_SymbolsMMS_Data(), Table_Data_MMSSymbols[[#Headers],[Symbol]], 0)</f>
        <v>5</v>
      </c>
      <c r="E16" s="64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64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96" t="s">
        <v>145</v>
      </c>
      <c r="D17" s="64" t="str" cm="1">
        <f t="array" ref="D17">Common_InputFunctions.Utility_DisplayArrayInTable(CommonLivestock_SourceData.SourceData_Livestock_Common_SymbolsMMS_Data(), Table_Data_MMSSymbols[[#Headers],[Symbol]], 0)</f>
        <v>6</v>
      </c>
      <c r="E17" s="64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64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8" t="str">
        <f>HYPERLINK("#'Input - Other Farm Inputs'!A1", "Other farm inputs")</f>
        <v>Other farm inputs</v>
      </c>
      <c r="D18" s="64" t="str" cm="1">
        <f t="array" ref="D18">Common_InputFunctions.Utility_DisplayArrayInTable(CommonLivestock_SourceData.SourceData_Livestock_Common_SymbolsMMS_Data(), Table_Data_MMSSymbols[[#Headers],[Symbol]], 0)</f>
        <v>7</v>
      </c>
      <c r="E18" s="64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64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8" t="str">
        <f>HYPERLINK("#'Input - Data quality'!A1", "Data quality")</f>
        <v>Data quality</v>
      </c>
      <c r="D19" s="64" t="str" cm="1">
        <f t="array" ref="D19">Common_InputFunctions.Utility_DisplayArrayInTable(CommonLivestock_SourceData.SourceData_Livestock_Common_SymbolsMMS_Data(), Table_Data_MMSSymbols[[#Headers],[Symbol]], 0)</f>
        <v>8</v>
      </c>
      <c r="E19" s="64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64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D20" s="64" t="str" cm="1">
        <f t="array" ref="D20">Common_InputFunctions.Utility_DisplayArrayInTable(CommonLivestock_SourceData.SourceData_Livestock_Common_SymbolsMMS_Data(), Table_Data_MMSSymbols[[#Headers],[Symbol]], 0)</f>
        <v>9</v>
      </c>
      <c r="E20" s="64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64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20" t="s">
        <v>147</v>
      </c>
      <c r="D21" s="64" t="str" cm="1">
        <f t="array" ref="D21">Common_InputFunctions.Utility_DisplayArrayInTable(CommonLivestock_SourceData.SourceData_Livestock_Common_SymbolsMMS_Data(), Table_Data_MMSSymbols[[#Headers],[Symbol]], 0)</f>
        <v>10</v>
      </c>
      <c r="E21" s="64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64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96" t="s">
        <v>1</v>
      </c>
      <c r="D22" s="64" t="str" cm="1">
        <f t="array" ref="D22">Common_InputFunctions.Utility_DisplayArrayInTable(CommonLivestock_SourceData.SourceData_Livestock_Common_SymbolsMMS_Data(), Table_Data_MMSSymbols[[#Headers],[Symbol]], 0)</f>
        <v>11</v>
      </c>
      <c r="E22" s="64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64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96" t="s">
        <v>146</v>
      </c>
      <c r="D23" s="64" t="str" cm="1">
        <f t="array" ref="D23">Common_InputFunctions.Utility_DisplayArrayInTable(CommonLivestock_SourceData.SourceData_Livestock_Common_SymbolsMMS_Data(), Table_Data_MMSSymbols[[#Headers],[Symbol]], 0)</f>
        <v>11a</v>
      </c>
      <c r="E23" s="64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64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8" t="str">
        <f>HYPERLINK("#'Calcs - Fert Lime'!A1", "Fertiliser &amp; soil amendments")</f>
        <v>Fertiliser &amp; soil amendments</v>
      </c>
      <c r="D24" s="64" t="str" cm="1">
        <f t="array" ref="D24">Common_InputFunctions.Utility_DisplayArrayInTable(CommonLivestock_SourceData.SourceData_Livestock_Common_SymbolsMMS_Data(), Table_Data_MMSSymbols[[#Headers],[Symbol]], 0)</f>
        <v>11b</v>
      </c>
      <c r="E24" s="64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64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A25" s="18" t="str">
        <f>HYPERLINK("#'Calcs - Residue mgmt - Crop'!A1", "Residue management - Crop")</f>
        <v>Residue management - Crop</v>
      </c>
      <c r="D25" s="64" t="str" cm="1">
        <f t="array" ref="D25">Common_InputFunctions.Utility_DisplayArrayInTable(CommonLivestock_SourceData.SourceData_Livestock_Common_SymbolsMMS_Data(), Table_Data_MMSSymbols[[#Headers],[Symbol]], 0)</f>
        <v>12</v>
      </c>
      <c r="E25" s="64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64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A26" s="18" t="str">
        <f>HYPERLINK("#'Calcs - Residue mgmt - Pasture'!A1", "Residue management - Pasture")</f>
        <v>Residue management - Pasture</v>
      </c>
      <c r="D26" s="64" t="str" cm="1">
        <f t="array" ref="D26">Common_InputFunctions.Utility_DisplayArrayInTable(CommonLivestock_SourceData.SourceData_Livestock_Common_SymbolsMMS_Data(), Table_Data_MMSSymbols[[#Headers],[Symbol]], 0)</f>
        <v>13</v>
      </c>
      <c r="E26" s="64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64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A27" s="18" t="str">
        <f>HYPERLINK("#'Calcs - Field burning'!A1", "Field burning - Crop")</f>
        <v>Field burning - Crop</v>
      </c>
      <c r="D27" s="64" t="str" cm="1">
        <f t="array" ref="D27">Common_InputFunctions.Utility_DisplayArrayInTable(CommonLivestock_SourceData.SourceData_Livestock_Common_SymbolsMMS_Data(), Table_Data_MMSSymbols[[#Headers],[Symbol]], 0)</f>
        <v>14</v>
      </c>
      <c r="E27" s="64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64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A28" s="18" t="str">
        <f>HYPERLINK("#'Calcs - Fuel'!A1", "Fuel")</f>
        <v>Fuel</v>
      </c>
      <c r="G28" s="3"/>
      <c r="H28" s="3"/>
    </row>
    <row r="29" spans="1:8" ht="20.100000000000001" customHeight="1" x14ac:dyDescent="0.25">
      <c r="A29" s="18" t="str">
        <f>HYPERLINK("#'Calcs - Electricity'!A1", "Electricity")</f>
        <v>Electricity</v>
      </c>
    </row>
    <row r="30" spans="1:8" ht="20.100000000000001" customHeight="1" x14ac:dyDescent="0.25">
      <c r="A30" s="18" t="str">
        <f>HYPERLINK("#'Calcs - Refrigerants'!A1", "Refrigerants")</f>
        <v>Refrigerants</v>
      </c>
    </row>
    <row r="31" spans="1:8" ht="20.100000000000001" customHeight="1" x14ac:dyDescent="0.25">
      <c r="A31" s="96" t="s">
        <v>149</v>
      </c>
    </row>
    <row r="32" spans="1:8" ht="20.100000000000001" customHeight="1" x14ac:dyDescent="0.25">
      <c r="A32" s="96" t="s">
        <v>145</v>
      </c>
    </row>
    <row r="33" spans="1:1" ht="20.100000000000001" customHeight="1" x14ac:dyDescent="0.25">
      <c r="A33" s="18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9" t="s">
        <v>4</v>
      </c>
    </row>
    <row r="36" spans="1:1" ht="20.100000000000001" customHeight="1" x14ac:dyDescent="0.25">
      <c r="A36" s="18" t="str">
        <f>HYPERLINK("#'Constants - Common'!A1", "Constants - Common")</f>
        <v>Constants - Common</v>
      </c>
    </row>
    <row r="37" spans="1:1" ht="20.100000000000001" customHeight="1" x14ac:dyDescent="0.25">
      <c r="A37" s="18" t="str">
        <f>HYPERLINK("#'Constants - Cropping'!A1", "Constants - Cropping")</f>
        <v>Constants - Cropping</v>
      </c>
    </row>
    <row r="38" spans="1:1" ht="20.100000000000001" customHeight="1" x14ac:dyDescent="0.25">
      <c r="A38" s="98" t="str">
        <f>HYPERLINK("#'Constants - Livestock'!A1", "Constants - Livestock")</f>
        <v>Constants - Livestock</v>
      </c>
    </row>
    <row r="39" spans="1:1" ht="20.100000000000001" customHeight="1" x14ac:dyDescent="0.25">
      <c r="A39" s="18" t="str">
        <f>HYPERLINK("#'Constants - Dairy'!A1", "Constants - Dairy")</f>
        <v>Constants - Dairy</v>
      </c>
    </row>
    <row r="40" spans="1:1" ht="20.100000000000001" customHeight="1" x14ac:dyDescent="0.25">
      <c r="A40" s="96" t="s">
        <v>2</v>
      </c>
    </row>
    <row r="41" spans="1:1" ht="20.100000000000001" customHeight="1" x14ac:dyDescent="0.25">
      <c r="A41" s="72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AAIA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gACA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EwARQBUACgAXABuACAAIAAgACAAIAAgACAAIABtAGEAcwBrACwAXABuACAAIAAgACAAIAAgACAAIAAoAFYAQQBMAFUARQAoAFQAYQBiAGwAZQBfAFMAbwB1AHIAYwBlAEQAYQB0AGEAXwBDAGwAaQBtAGEAdABlAFoAbwBuAGUAcwBbAE0AYQB4ACAAdABlAG0AcABdACkAPAA9AGEAdgBnAFQAZQBtAHAAKQAqAFwAbgAgACAAIAAgACAAIAAgACAAKABWAEEATABVAEUAKABUAGEAYgBsAGUAXwBTAG8AdQByAGMAZQBEAGEAdABhAF8AQwBsAGkAbQBhAHQAZQBaAG8AbgBlAHMAWwBNAGEAeAAgAHQAZQBtAHAAXQApAD4APQBhAHYAZwBUAGUAbQBwACkAKgBcAG4AIAAgACAAIAAgACAAIAAgACgAVgBBAEwAVQBFACgAVABhAGIAbABlAF8AUwBvAHUAcgBjAGUARABhAHQAYQBfAEMAbABpAG0AYQB0AGUAWgBvAG4AZQBzAFsATQBpAG4AIAByAGEAaQBuAGYAYQBsAGwAXQApADwAPQBhAHYAZwBSAGEAaQBuACkAKgBcAG4AIAAgACAAIAAgACAAIAAgACgAVgBBAEwAVQBFACgAVABhAGIAbABlAF8AUwBvAHUAcgBjAGUARABhAHQAYQBfAEMAbABpAG0AYQB0AGUAWgBvAG4AZQBzAFsATQBhAHgAIAByAGEAaQBuAGYAYQBsAGwAXQApAD4APQBhAHYAZwBSAGEAaQBuACkAKgBcAG4AIAAgACAAIAAgACAAIAAgACgAVgBBAEwAVQBFACgAVABhAGIAbABlAF8AUwBvAHUAcgBjAGUARABhAHQAYQBfAEMAbABpAG0AYQB0AGUAWgBvAG4AZQBzAFsATQBpAG4AIABmAHIAbwBzAHQAIABkAGEAeQBzAF0AKQA8AD0AZgByAG8AcwB0AEQAYQB5AHMAKQAqAFwAbgAgACAAIAAgACAAIAAgACAAKABWAEEATABVAEUAKABUAGEAYgBsAGUAXwBTAG8AdQByAGMAZQBEAGEAdABhAF8AQwBsAGkAbQBhAHQAZQBaAG8AbgBlAHMAWwBNAGEAeAAgAGYAcgBvAHMAdAAgAGQAYQB5AHMAXQApAD4APQBmAHIAbwBzAHQARABhAHkAcwApACoAXABuACAAIAAgACAAIAAgACAAIAAoAFYAQQBMAFUARQAoAFQAYQBiAGwAZQBfAFMAbwB1AHIAYwBlAEQAYQB0AGEAXwBDAGwAaQBtAGEAdABlAFoAbwBuAGUAcwBbAE0AaQBuACAAZQBsAGUAdgBhAHQAaQBvAG4AXQApADwAPQBlAGwAZQB2ACkAKgBcAG4AIAAgACAAIAAgACAAIAAgACgAVgBBAEwAVQBFACgAVABhAGIAbABlAF8AUwBvAHUAcgBjAGUARABhAHQAYQBfAEMAbABpAG0AYQB0AGUAWgBvAG4AZQBzAFsATQBhAHgAIABlAGwAZQB2AGEAdABpAG8AbgBdACkAPgA9AGUAbABlAHYAKQAqAFwAbgAgACAAIAAgACAAIAAgACAAKABWAEEATABVAEUAKABUAGEAYgBsAGUAXwBTAG8AdQByAGMAZQBEAGEAdABhAF8AQwBsAGkAbQBhAHQAZQBaAG8AbgBlAHMAWwBNAGkAbgAgAE0AQQBQADoAUABFAFQAXQApADwAPQBtAGEAcABfAHAAZQB0ACkAKgBcAG4AIAAgACAAIAAgACAAIAAgACgAVgBBAEwAVQBFACgAVABhAGIAbABlAF8AUwBvAHUAcgBjAGUARABhAHQAYQBfAEMAbABpAG0AYQB0AGUAWgBvAG4AZQBzAFsATQBhAHgAIABNAEEAUAA6AFAARQBUAF0AKQA+AD0AbQBhAHAAXwBwAGUAdAApACwAXABuACAAIAAgACAAIAAgACAAIAAvACoAIABJAGYAIAB0AGgAZQAgAHQAZQBtAHAAIABpAHMAIABvAHYAZQByACAAMQA4ACAAYQBuAGQAIABmAHIAbwBzAHQAIABkAGEAeQBzACAAYQByAGUAIAA3ACAAbwByACAAYgBlAGwAbwB3ACAAdwBlACAAZwBlAHQAIABtAHUAbAB0AGkAcABsAGUAIAByAGUAcwB1AGwAdABzAC4AXABuACAAIAAgACAAIAAgACAAIABJAG4AIAB0AGgAaQBzACAAYwBhAHMAZQAgACcAdAByAG8AcABpAGMAYQBsACcAIAByAGUAcwB1AGwAdABzACAAcwBoAG8AdQBsAGQAIABiAGUAIAB1AHMAZQBkACwAIABzAG8AIAB3AGUAIAB0AGEAawBlACAAdABoAGUAIABmAGkAcgBzAHQAIAByAGUAcwB1AGwAdABcAG4AIAAgACAAIAAgACAAIAAgAGIAZQBjAGEAdQBzAGUAIAB0AHIAbwBwAGkAYwBhAGwAIAB2AGEAbAB1AGUAcwAgAGEAcgBlACAAZgBpAHIAcwB0ACAAaQBuACAAdABoAGUAIAB0AGEAYgBsAGUAIAAqAC8AXABuACAAIAAgACAAIAAgACAAIABUAEEASwBFACgAXABuACAAIAAgACAAIAAgACAAIAAgACAAIAAgAEYASQBMAFQARQBSACgAVABhAGIAbABlAF8AUwBvAHUAcgBjAGUARABhAHQAYQBfAEMAbABpAG0AYQB0AGUAWgBvAG4AZQBzAFsAQwBsAGkAbQBhAHQAZQAgAHoAbwBuAGUAX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+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AiAH0ALAB7ACIAcABhAHQAaAAiADoAIgAvAHAAcgBvAGoAZQBjAHQAcwAvAEMAbwBtAG0AbwBuAEEAZ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TgBhAHQAaQBvAG4AYQBsACAASQBuAHYAZQBuAHQAbwByAHkAIABSAGUAcABvAHIAdAAgADIAMAAyADMAIAByAGUAZgBlAHIAZQBuAGMAZQA6AFwAbgBBAGcAcgBpAGMAdQBsAHQAdQByAGEAbAAgAHMAbwBpAGwAcwA6ACAAQQB0AG0AbwBzAHAAaABlAHIAaQBjACAAZABlAHAAbwBzAGkAdABpAG8AbgAgACgAMwAuAEQALgBiAC4AMQApAFwAbgA9AD0APQA9AD0APQA9AD0APQA9AD0APQA9AD0APQA9AD0APQA9AD0APQA9AD0APQA9AD0APQA9AD0APQA9AD0APQA9AD0APQA9AD0APQA9AD0APQA9AD0APQA9AD0APQA9AD0APQA9AD0APQA9AD0APQA9AD0APQA9AD0APQA9AD0APQA9AD0APQA9AD0APQA9AD0APQA9AFwAbgAqAC8AXABuAFwAbgAvACoAIABcAG4ALQAtAC0ALQAtAC0ALQAtAC0ALQAtAC0ALQAtAC0ALQAtAC0ALQAtAC0ALQAtAC0ALQAtAC0ALQAtAC0ALQAtAC0ALQAtAC0ALQAtAFwAbgBBAGcAUwBvAGkAbABzAF8AQQB0AG0AbwBzAHAAaABlAHIAaQBjAEQAZQBwAG8AcwBpAHQAaQBvAG4AXABuAEEAdABtAG8AcwBwAGgAZQByAGkAYwAgAGQAZQBwAG8AcwBpAHQAaQBvAG4AIABlAG0AaQBzAHMAaQBvAG4AcwAgAGYAcgBvAG0AIAB1AHIAaQBuAGUAIABhAG4AZAAgAGQAdQBuAGcAIABkAGUAcABvAHMAaQB0AGUAZAAgAGIAeQAgAGcAcgBhAHoAaQBuAGcAIABhAG4AaQBtAGEAbABzACAAbwBuACAAcABhAHMAdAB1AHIAZQAsAFwAbgByAGEAbgBnAGUAIABhAG4AZAAgAHAAYQBkAGQAbwBjAGsAXABuAEUATgAyAE8AYQBkAFwAbgB0ACAATgAyAE8AXABuAEUATgAyAE8AYQBkACAAPQAgAE0AdgBvAGwAbQAgACoAIABFAEYAYQBkACAAKgAgAEMAZwBOADIATwAgACoAIAAxADAAXgAtADMAXABuAE0AdgBvAGwAbQAgADoATQBtAGEAcwBzACAAbwBmACAAbgBpAHQAcgBvAGcAZQBuACAAdgBvAGwAYQB0AGkAbABpAHMAZQBkACAAZgByAG8AbQAgAHUAcgBpAG4AZQAgAGEAbgBkACAAZgBhAGUAYwBlAHMAIABkAGUAcABvAHMAaQB0AGUAZAAgAG8AbgAgAHAAYQBzAHQAdQByAGUAIAA6ACAAawBnACAATgBcAG4ARQBGAGEAZAAgADoAIABFAG0AaQBzAHMAaQBvAG4AIABmAGEAYwB0AG8AcgAgAGYAbwByACAAYQB0AG0AbwBzAHAAaABlAHIAaQBjACAAZABlAHAAbwBzAGkAdABpAG8AbgAgADoAIABrAGcAIABOADIATwAtAE4ALwBrAGcAIABOAFwAbgBDAGcATgAyAE8AIAA6ACAARgBhAGMAdABvAHIAIAB0AG8AIABjAG8AbgB2AGUAcgB0ACAAZQBsAGUAbQBlAG4AdABhAGwAIABtAGEAcwBzACAAbwBmACAATgAyAE8AIAB0AG8AIABtAG8AbABlAGMAdQBsAGEAcgAgAG0AYQBzAHMAXABuAC0ALQAtAC0ALQAtAC0ALQAtAC0ALQAtAC0ALQAtAC0ALQAtAC0ALQAtAC0ALQAtAC0ALQAtAC0ALQAtAC0ALQAtAC0ALQAtAC0ALQBcAG4AKgAvAFwAbgBBAGcAUwBvAGkAbABzAF8AQQB0AG0AbwBzAHAAaABlAHIAaQBjAEQAZQBwAG8AcwBpAHQAaQBvAG4AXwBHAFcAUABcAG4AIAA9AEwAQQBNAEIARABBACgAXABuACAAIAAgACAARQBOADIATwBhAGQALABHAFcAUABOADIATwAsAFwAbgAgACAAIAAgACAAKABFAE4AMgBPAGEAZAAgACoAIABHAFcAUABOADIATwApAFwAbgAgACAAIAApADsAXABuAFwAbgBBAGcAUwBvAGkAbABzAF8AQQB0AG0AbwBzAHAAaABlAHIAaQBjAEQAZQBwAG8AcwBpAHQAaQBvAG4AXABuACAAIAA9AEwAQQBNAEIARABBACgAXABuACAAIAAgACAATQB2AG8AbABtACwARQBmAGEAZAAsAEMAZwBOADIATwAsAFwAbgAgACAAIAAgACgATQB2AG8AbABtACAAKgAgAEUAZgBhAGQAIAAqACAAQwBnAE4AMgBPACAAKgAgADEAMABeAC0AMwApAFwAbgAgACAAKQBcAG4AOwBcAG4AXABuAEEAZwBTAG8AaQBsAHMAXwBBAHQAbQBvAHMAcABoAGUAcgBpAGMARABlAHAAbwBzAGkAdABpAG8AbgBfAFQAaQB0AGwAZQBcAG4AIAAgAD0ATABBAE0AQgBEAEEAKABcACIAQQB0AG0AbwBzAHAAaABlAHIAaQBjACAAZABlAHAAbwBzAGkAdABpAG8AbgAgAGUAbQBpAHMAcwBpAG8AbgBzACAAZgByAG8AbQAgAHUAcgBpAG4AZQAgAGEAbgBkACAAZAB1AG4AZwAgAGQAZQBwAG8AcwBpAHQAZQBkACAAYgB5ACAAZwByAGEAegBpAG4AZwAgAGEAbgBpAG0AYQBsAHMAIABvAG4AIABwAGEAcwB0AHUAcgBlACwAIAByAGEAbgBnAGUAIABhAG4AZAAgAHAAYQBkAGQAbwBjAGsAXAAiACkAOwBcAG4AXABuAEEAZwBTAG8AaQBsAHMAXwBBAHQAbQBvAHMAcABoAGUAcgBpAGMARABlAHAAbwBzAGkAdABpAG8AbgBfAFYAYQByAGkAYQBiAGwAZQBcAG4AIAAgAD0ATABBAE0AQgBEAEEAKABcACIARQBOADIATwBhAGQAXAAiACkAOwBcAG4AXABuAEEAZwBTAG8AaQBsAHMAXwBBAHQAbQBvAHMAcABoAGUAcgBpAGMARABlAHAAbwBzAGkAdABpAG8AbgBfAFUAbgBpAHQAXABuACAAIAA9AEwAQQBNAEIARABBACgAXAAiAHQAIABOADIATwBcACIAKQA7AFwAbgBcAG4AQQBnAFMAbwBpAGwAcwBfAEEAdABtAG8AcwBwAGgAZQByAGkAYwBEAGUAcABvAHMAaQB0AGkAbwBuAF8ATgBJAFIAUgBlAGYAZQByAGUAbgBjAGUAXABuACAAIAA9AEwAQQBNAEIARABBACgAXAAiAE4AYQB0AGkAbwBuAGEAbAAgAEkAbgB2AGUAbgB0AG8AcgB5ACAAUgBlAHAAbwByAHQAIABWAG8AbAB1AG0AZQAgADEALAAgADIAMAAyADMAOgAgADMALgBEAC4AQgBfADQAXAAiACkAOwBcAG4AXABuAEEAZwBTAG8AaQBsAHMAXwBBAHQAbQBvAHMAcABoAGUAcgBpAGMARABlAHAAbwBzAGkAdABpAG8AbgBfAFIAZQBhAGQAYQBiAGwAZQBFAHEAdQBhAHQAaQBvAG4AXABuACAAIAA9AEwAQQBNAEIARABBACgAXAAiAEUATgAyAE8AYQBkACAAPQAgAE0AdgBvAGwAbQAgACoAIABFAEYAYQBkACAAKgAgAEMAZwBOADIATwAgACoAIAAxADAAIABeACAALQAgADMAXAAiACkAOwBcAG4AXABuAEEAZwBTAG8AaQBsAHMAXwBBAHQAbQBvAHMAcABoAGUAcgBpAGMARABlAHAAbwBzAGkAdABpAG8AbgBfAEEAcgBnAHUAbQBlAG4AdABzAFwAbgAgACAAPQBMAEEATQBCAEQAQQAoAFwAbgAgACAAIAAgAE0AQQBLAEUAQQBSAFIAQQBZACgAMwAsACAAMwAsACAAXABuACAAIAAgACAAIAAgAEwAQQBNAEIARABBACgAcgAsAGMALAAgAFwAbgAgACAAIAAgACAAIAAgACAASQBOAEQARQBYACgAewBcAG4AIAAgACAAIAAgACAAIAAgACAAIABcACIATQB2AG8AbABtAFwAIgAsAFwAIgBNAGEAcwBzACAAbwBmACAAbgBpAHQAcgBvAGcAZQBuACAAdgBvAGwAYQB0AGkAbABpAHMAZQBkACAAZgByAG8AbQAgAHUAcgBpAG4AZQAgAGEAbgBkACAAZgBhAGUAYwBlAHMAIABkAGUAcABvAHMAaQB0AGUAZAAgAG8AbgAgAHAAYQBzAHQAdQByAGUAXAAiACwAXAAiAGsAZwAgAE4AXAAiADsAXABuACAAIAAgACAAIAAgACAAIAAgACAAXAAiAEUARgBhAGQAXAAiACwAXAAiAEUAbQBpAHMAcwBpAG8AbgAgAGYAYQBjAHQAbwByACAAZgBvAHIAIABhAHQAbQBvAHMAcABoAGUAcgBpAGMAIABkAGUAcABvAHMAaQB0AGkAbwBuAFwAIgAsAFwAIgBrAGcAIABOADIATwAtAE4ALwBrAGcAIABOAFwAIgA7AFwAbgAgACAAIAAgACAAIAAgACAAIAAgAFwAIgBDAGcATgAyAE8AXAAiACwAXAAiAEYAYQBjAHQAbwByACAAdABvACAAYwBvAG4AdgBlAHIAdAAgAGUAbABlAG0AZQBuAHQAYQBsACAAbQBhAHMAcwAgAG8AZgAgAE4AMgBPACAAdABvACAAbQBvAGwAZQBjAHUAbABhAHIAIABtAGEAcwBzAFwAIgAsAFwAIgBcACIAXABuACAAIAAgACAAIAAgACAAIAB9ACwAIAByACwAIABjACkAXABuACAAIAAgACAAIAAgACkAXABuACAAIAAgACAAKQBcAG4AIAAgACkAOwBcAG4AXABuAC8AKgAgAFwAbgAtAC0ALQAtAC0ALQAtAC0ALQAtAC0ALQAtAC0ALQAtAC0ALQAtAC0ALQAtAC0ALQAtAC0ALQAtAC0ALQAtAC0ALQAtAC0ALQAtAC0AXABuAEEAZwBTAG8AaQBsAHMAXwBNAGEAcwBzAFYAbwBsAGEAdABpAGwAaQBzAGUAZABBAG4AaQBtAGEAbABXAGEAcwB0AGUAXABuAFQAaABlACAAbQBhAHMAcwAgAG8AZgAgAG4AaQB0AHIAbwBnAGUAbgAgAHYAbwBsAGEAdABpAGwAaQBzAGUAZAAgAGYAcgBvAG0AIABtAGEAbgB1AHIAZQAsACAAdQByAGkAbgBlACAAYQBuAGQAIABmAGEAZQBjAGUAcwAgAGQAZQBwAG8AcwBpAHQAZQBkACAAbwBuACAAcwBvAGkAbABzAFwAbgBNAHYAbwBsAG0AXABuAGsAZwAgAE4AXABuAE0AdgBvAGwAbQAgAD0AIAAoAE0ATgBqAG0AIAArACAAVQBOAGoAbQAgACsAIABGAE4AagBtACkAIAAqACAARgByAGEAYwBHAEEAUwBNAHMAbwBpAGwAXABuAE0ATgBqAG0AIAA6ACAATQBhAHMAcwAgAG8AZgAgAG0AYQBuAHUAcgBlACAAbgBpAHQAcgBvAGcAZQBuACAAYQBwAHAAbABpAGUAZAAgAHQAbwAgAHMAbwBpAGwAcwAgADoAIABrAGcAIABOAFwAbgBVAE4AagBtACAAOgAgAE0AYQBzAHMAIABvAGYAIAB1AHIAaQBuAGUAIABuAGkAdAByAG8AZwBlAG4AIABlAHgAYwByAGUAdABlAGQAIABvAG4AIABwAGEAcwB0AHUAcgBlACwAIAByAGEAbgBnAGUAIABhAG4AZAAgAHAAYQBkAGQAbwBjAGsAIABmAG8AcgAgAGUAYQBjAGgAIABkAGEAaQByAHkAIABjAGEAdAB0AGwAZQAgAGMAbABhAHMAcwAgADoAIABrAGcAIABOAFwAbgBGAE4AagBtACAAOgAgAE0AYQBzAHMAIABvAGYAIABmAGEAZQBjAGEAbAAgAG4AaQB0AHIAbwBnAGUAbgAgAGUAeABjAHIAZQB0AGUAZAAgAG8AbgAgAHAAYQBzAHQAdQByAGUALAAgAHIAYQBuAGcAZQAgAGEAbgBkACAAcABhAGQAZABvAGMAawAgAGYAbwByACAAZQBhAGMAaAAgAGQAYQBpAHIAeQAgAGMAYQB0AHQAbABlACAAYwBsAGEAcwBzACAAOgAgAGsAZwAgAE4AXABuAEYAcgBhAGMARwBBAFMATQBzAG8AaQBsACAAOgAgAEYAcgBhAGMAdABpAG8AbgAgAG8AZgAgAG4AaQB0AHIAbwBnAGUAbgAgAHYAbwBsAGEAdABpAGwAaQBzAGUAZAAgAGYAcgBvAG0AIAB1AHIAaQBuAGUAIABhAG4AZAAgAGYAYQBlAGMAZQBzACAAZABlAHAAbwBzAGkAdABlAGQAIABvAG4AIABwAGEAcwB0AHUAcgBlACAAOgAgACgAawBnACAATgBIADMALQBOACAAKwAgAE4ATwB4AC0ATgApAC8AawBnACAATgBcAG4AXABuAC0ALQAtAC0ALQAtAC0ALQAtAC0ALQAtAC0ALQAtAC0ALQAtAC0ALQAtAC0ALQAtAC0ALQAtAC0ALQAtAC0ALQAtAC0ALQAtAC0ALQBcAG4AKgAvAFwAbgBcAG4AXABuAEEAZwBTAG8AaQBsAHMAXwBNAGEAcwBzAFYAbwBsAGEAdABpAGwAaQBzAGUAZABBAG4AaQBtAGEAbABXAGEAcwB0AGUAXABuACAAIAA9AEwAQQBNAEIARABBACgAXABuACAAIAAgACAATQBOAGoAbQAsACAAVQBOAGoAbQAsACAARgBOAGoAbQAsACAARgByAGEAYwBHAEEAUwBNAHMAbwBpAGwALABcAG4AIAAgACAAIAAoAE0ATgBqAG0AIAArACAAVQBOAGoAbQAgACsAIABGAE4AagBtACkAIAAqACAARgByAGEAYwBHAEEAUwBNAHMAbwBpAGwAXABuACAAIAApAFwAbgA7AFwAbgBcAG4AQQBnAFMAbwBpAGwAcwBfAE0AYQBzAHMAVgBvAGwAYQB0AGkAbABpAHMAZQBkAEEAbgBpAG0AYQBsAFcAYQBzAHQAZQBfAFQAaQB0AGwAZQBcAG4AIAAgAD0ATABBAE0AQgBEAEEAKABcACIATQBhAHMAcwAgAG8AZgAgAG4AaQB0AHIAbwBnAGUAbgAgAHYAbwBsAGEAdABpAGwAaQBzAGUAZAAgAGYAcgBvAG0AIABtAGEAbgB1AHIAZQAsACAAdQByAGkAbgBlACAAYQBuAGQAIABmAGEAZQBjAGUAcwAgAGQAZQBwAG8AcwBpAHQAZQBkACAAbwBuACAAcwBvAGkAbABzAFwAIgApADsAXABuAFwAbgBBAGcAUwBvAGkAbABzAF8ATQBhAHMAcwBWAG8AbABhAHQAaQBsAGkAcwBlAGQAQQBuAGkAbQBhAGwAVwBhAHMAdABlAF8AVgBhAHIAaQBhAGIAbABlAFwAbgAgACAAPQBMAEEATQBCAEQAQQAoAFwAIgBNAHYAbwBsAG0AXAAiACkAOwBcAG4AXABuAEEAZwBTAG8AaQBsAHMAXwBNAGEAcwBzAFYAbwBsAGEAdABpAGwAaQBzAGUAZABBAG4AaQBtAGEAbABXAGEAcwB0AGUAXwBVAG4AaQB0AFwAbgAgACAAPQBMAEEATQBCAEQAQQAoAFwAIgBrAGcAIABOAFwAIgApADsAXABuAFwAbgBBAGcAUwBvAGkAbABzAF8ATQBhAHMAcwBWAG8AbABhAHQAaQBsAGkAcwBlAGQAQQBuAGkAbQBhAGwAVwBhAHMAdABlAF8ATgBJAFIAUgBlAGYAZQByAGUAbgBjAGUAXABuACAAIAA9AEwAQQBNAEIARABBACgAXAAiAE4AYQB0AGkAbwBuAGEAbAAgAEkAbgB2AGUAbgB0AG8AcgB5ACAAUgBlAHAAbwByAHQAIABWAG8AbAB1AG0AZQAgADEALAAgADIAMAAyADMAOgAgADMALgBEAC4AQgBfADIAXAAiACkAOwBcAG4AXABuAEEAZwBTAG8AaQBsAHMAXwBNAGEAcwBzAFYAbwBsAGEAdABpAGwAaQBzAGUAZABBAG4AaQBtAGEAbABXAGEAcwB0AGUAXwBSAGUAYQBkAGEAYgBsAGUARQBxAHUAYQB0AGkAbwBuAFwAbgAgACAAPQBMAEEATQBCAEQAQQAoAFwAIgBNAHYAbwBsAG0AIAA9ACAAKABNAE4AagBtACAAKwAgAFUATgBqAG0AIAArACAARgBOAGoAbQApACAAKgAgAEYAcgBhAGMARwBBAFMATQBzAG8AaQBsAFwAIgApADsAXABuAFwAbgBBAGcAUwBvAGkAbABzAF8ATQBhAHMAcwBWAG8AbABhAHQAaQBsAGkAcwBlAGQAQQBuAGkAbQBhAGwAVwBhAHMAdABlAF8AQQByAGcAdQBtAGUAbgB0AHMAXABuACAAIAA9AEwAQQBNAEIARABBACgAXABuACAAIAAgACAATQBBAEsARQBBAFIAUgBBAFkAKAA0ACwAIAAzACwAIABcAG4AIAAgACAAIAAgACAATABBAE0AQgBEAEEAKAByACwAYwAsACAAXABuACAAIAAgACAAIAAgACAAIABJAE4ARABFAFgAKAB7AFwAbgAgACAAIAAgACAAIAAgACAAIAAgAFwAIgBNAE4AagBtAFwAIgAsAFwAIgBNAGEAcwBzACAAbwBmACAAbQBhAG4AdQByAGUAIABuAGkAdAByAG8AZwBlAG4AIABhAHAAcABsAGkAZQBkACAAdABvACAAcwBvAGkAbABzAFwAIgAsAFwAIgBrAGcAIABOAFwAIgA7AFwAbgAgACAAIAAgACAAIAAgACAAIAAgAFwAIgBVAE4AagBtAFwAIgAsAFwAIgBNAGEAcwBzACAAbwBmACAAdQByAGkAbgBlACAAbgBpAHQAcgBvAGcAZQBuACAAZQB4AGMAcgBlAHQAZQBkACAAbwBuACAAcABhAHMAdAB1AHIAZQAsACAAcgBhAG4AZwBlACAAYQBuAGQAIABwAGEAZABkAG8AYwBrACAAZgBvAHIAIABlAGEAYwBoACAAZABhAGkAcgB5ACAAYwBhAHQAdABsAGUAIABjAGwAYQBzAHMAXAAiACwAXAAiAGsAZwAgAE4AXAAiADsAXABuACAAIAAgACAAIAAgACAAIAAgACAAXAAiAEYATgBqAG0AXAAiACwAXAAiAE0AYQBzAHMAIABvAGYAIABmAGEAZQBjAGEAbAAgAG4AaQB0AHIAbwBnAGUAbgAgAGUAeABjAHIAZQB0AGUAZAAgAG8AbgAgAHAAYQBzAHQAdQByAGUALAAgAHIAYQBuAGcAZQAgAGEAbgBkACAAcABhAGQAZABvAGMAawAgAGYAbwByACAAZQBhAGMAaAAgAGQAYQBpAHIAeQAgAGMAYQB0AHQAbABlACAAYwBsAGEAcwBzAFwAIgAsAFwAIgBrAGcAIABOAFwAIgA7AFwAbgAgACAAIAAgACAAIAAgACAAIAAgAFwAIgBGAHIAYQBjAEcAQQBTAE0AcwBvAGkAbABcACIALABcACIARgByAGEAYwB0AGkAbwBuACAAbwBmACAAbgBpAHQAcgBvAGcAZQBuACAAdgBvAGwAYQB0AGkAbABpAHMAZQBkACAAZgByAG8AbQAgAHUAcgBpAG4AZQAgAGEAbgBkACAAZgBhAGUAYwBlAHMAIABkAGUAcABvAHMAaQB0AGUAZAAgAG8AbgAgAHAAYQBzAHQAdQByAGUAXAAiACwAXAAiACgAawBnACAATgBIADMALQBOACAAKwAgAE4ATwB4AC0ATgApAC8AawBnACAATgBcACIAXABuACAAIAAgACAAIAAgACAAIAB9ACwAIAByACwAIABjACkAXABuACAAIAAgACAAIAAgACkAXABuACAAIAAgACAAKQBcAG4AIAAgACkAOwBcAG4AXABuAFwAbgAvACoAIABcAG4ALQAtAC0ALQAtAC0ALQAtAC0ALQAtAC0ALQAtAC0ALQAtAC0ALQAtAC0ALQAtAC0ALQAtAC0ALQAtAC0ALQAtAC0ALQAtAC0ALQAtAFwAbgBBAGcAUwBvAGkAbABzAF8ATQBhAHMAcwBWAG8AbABhAHQAaQBsAGkAcwBlAGQASQBuAG8AcgBnAGEAbgBpAGMARgBlAHIAdABpAGwAaQBzAGUAcgBcAG4AVABoAGUAIABtAGEAcwBzACAAbwBmACAAbgBpAHQAcgBvAGcAZQBuACAAdgBvAGwAYQB0AGkAbABpAHMAZQBkACAAZgByAG8AbQAgAGkAbgBvAHIAZwBhAG4AaQBjACAAZgBlAHIAdABpAGwAaQBzAGUAcgAgAGEAcABwAGwAaQBlAGQAIAB0AG8AIABzAG8AaQBsAHMAXABuAE0AdgBvAGwAaQBuAG8AcgBnAGEAbgBpAGMAXABuAGsAZwAgAE4AXABuAE0AdgBvAGwAaQBuAG8AcgBnAGEAbgBpAGMAIAA9ACAATQBOAGYAIAAqACAARgByAGEAYwBHAEEAUwBGAGYAXABuAE0ATgBmACAAOgBNAGEAcwBzACAAbwBmACAAbgBpAHQAcgBvAGcAZQBuACAAaQBuACAAaQBuAG8AcgBnAGEAbgBpAGMAIABmAGUAcgB0AGkAbABpAHMAZQByACAAYQBwAHAAbABpAGUAZAAgADoAIABrAGcAIABOAFwAbgBGAHIAYQBjAEcAQQBTAEYAZgAgADoAIABGAHIAYQBjAHQAaQBvAG4AIABvAGYAIABpAG4AbwByAGcAYQBuAGkAYwAgAGYAZQByAHQAaQBsAGkAcwBlAHIAIAB0AGgAYQB0ACAAdgBvAGwAYQB0AGkAbABpAHMAZQBzACAAOgAgACgAawBnACAATgBIADMALQBOACAAKwAgAE4ATwB4AC0ATgApAC8AawBnACAATgBcAG4ALQAtAC0ALQAtAC0ALQAtAC0ALQAtAC0ALQAtAC0ALQAtAC0ALQAtAC0ALQAtAC0ALQAtAC0ALQAtAC0ALQAtAC0ALQAtAC0ALQAtAFwAbgAqAC8AXABuAFwAbgBcAG4AQQBnAHMAbwBpAGwAcwBfAE0AYQBzAHMAVgBvAGwAYQB0AGkAbABpAHMAZQBkAEkAbgBvAHIAZwBhAG4AaQBjAEYAZQByAHQAaQBsAGkAcwBlAHIAXABuACAAIAA9AEwAQQBNAEIARABBACgAXABuACAAIAAgACAATQBOAGYALAAgAEYAcgBhAGMARwBBAFMARgBmACwAXABuACAAIAAgACAATQBOAGYAIAAqACAARgByAGEAYwBHAEEAUwBGAGYAXABuACAAIAApAFwAbgA7AFwAbgBcAG4AQQBnAHMAbwBpAGwAcwBfAE0AYQBzAHMAVgBvAGwAYQB0AGkAbABpAHMAZQBkAEkAbgBvAHIAZwBhAG4AaQBjAEYAZQByAHQAaQBsAGkAcwBlAHIAXwBUAGkAdABsAGUAXABuACAAIAA9AEwAQQBNAEIARABBACgAXAAiAE0AYQBzAHMAIABvAGYAIABuAGkAdAByAG8AZwBlAG4AIAB2AG8AbABhAHQAaQBsAGkAcwBlAGQAIABmAHIAbwBtACAAaQBuAG8AcgBnAGEAbgBpAGMAIABmAGUAcgB0AGkAbABpAHMAZQByACAAZABlAHAAbwBzAGkAdABlAGQAIABvAG4AIABzAG8AaQBsAHMAXAAiACkAOwBcAG4AXABuAEEAZwBzAG8AaQBsAHMAXwBNAGEAcwBzAFYAbwBsAGEAdABpAGwAaQBzAGUAZABJAG4AbwByAGcAYQBuAGkAYwBGAGUAcgB0AGkAbABpAHMAZQByAF8AVgBhAHIAaQBhAGIAbABlAFwAbgAgACAAPQBMAEEATQBCAEQAQQAoAFwAIgBNAHYAbwBsAGkAbgBvAHIAZwBhAG4AaQBjAFwAIgApADsAXABuAFwAbgBBAGcAcwBvAGkAbABzAF8ATQBhAHMAcwBWAG8AbABhAHQAaQBsAGkAcwBlAGQASQBuAG8AcgBnAGEAbgBpAGMARgBlAHIAdABpAGwAaQBzAGUAcgBfAFUAbgBpAHQAXABuACAAIAA9AEwAQQBNAEIARABBACgAXAAiAGsAZwAgAE4AXAAiACkAOwBcAG4AXABuAEEAZwBzAG8AaQBsAHMAXwBNAGEAcwBzAFYAbwBsAGEAdABpAGwAaQBzAGUAZABJAG4AbwByAGcAYQBuAGkAYwBGAGUAcgB0AGkAbABpAHMAZQByAF8ATgBJAFIAUgBlAGYAZQByAGUAbgBjAGUAXABuACAAIAA9AEwAQQBNAEIARABBACgAXAAiAE4AYQB0AGkAbwBuAGEAbAAgAEkAbgB2AGUAbgB0AG8AcgB5ACAAUgBlAHAAbwByAHQAIABWAG8AbAB1AG0AZQAgADEALAAgADIAMAAyADMAOgAgADMALgBEAC4AQgBfADEAXAAiACkAOwBcAG4AXABuAEEAZwBzAG8AaQBsAHMAXwBNAGEAcwBzAFYAbwBsAGEAdABpAGwAaQBzAGUAZABJAG4AbwByAGcAYQBuAGkAYwBGAGUAcgB0AGkAbABpAHMAZQByAF8AUgBlAGEAZABhAGIAbABlAEUAcQB1AGEAdABpAG8AbgBcAG4AIAAgAD0ATABBAE0AQgBEAEEAKABcACIATQB2AG8AbABpAG4AbwByAGcAYQBuAGkAYwAgAD0AIABNAE4AZgAgACoAIABGAHIAYQBjAEcAQQBTAEYAZgBcACIAKQA7AFwAbgBcAG4AQQBnAHMAbwBpAGwAcwBfAE0AYQBzAHMAVgBvAGwAYQB0AGkAbABpAHMAZQBkAEkAbgBvAHIAZwBhAG4AaQBjAEYAZQByAHQAaQBsAGkAcwBlAHIAXwBBAHIAZwB1AG0AZQBuAHQAcwBcAG4AIAAgAD0ATABBAE0AQgBEAEEAKABcAG4AIAAgACAAIABNAEEASwBFAEEAUgBSAEEAWQAoADIALAAgADMALAAgAFwAbgAgACAAIAAgACAAIABMAEEATQBCAEQAQQAoAHIALABjACwAIABcAG4AIAAgACAAIAAgACAAIAAgAEkATgBEAEUAWAAoAHsAXABuACAAIAAgACAAIAAgACAAIAAgACAAXAAiAE0ATgBmAFwAIgAsAFwAIgBNAGEAcwBzACAAbwBmACAAbgBpAHQAcgBvAGcAZQBuACAAaQBuACAAaQBuAG8AcgBnAGEAbgBpAGMAIABmAGUAcgB0AGkAbABpAHMAZQByACAAYQBwAHAAbABpAGUAZABcACIALABcACIAawBnACAATgBcACIAOwBcAG4AIAAgACAAIAAgACAAIAAgACAAIABcACIARgByAGEAYwBHAEEAUwBGAGYAXAAiACwAXAAiAEYAcgBhAGMAdABpAG8AbgAgAG8AZgAgAGkAbgBvAHIAZwBhAG4AaQBjACAAZgBlAHIAdABpAGwAaQBzAGUAcgAgAHQAaABhAHQAIAB2AG8AbABhAHQAaQBsAGkAcwBlAHMAXAAiACwAXAAiACgAawBnACAATgBIADMAEyBOACAAKwAgAE4ATwB4ABMgTgApAC8AawBnACAATgBcACIAXABuACAAIAAgACAAIAAgACAAIAB9ACwAIAByACwAIABjACkAXABuACAAIAAgACAAIAAgACkAXABuACAAIAAgACAAKQBcAG4AIAAgACkAOwBcAG4AXABuAFwAbgAvACoAXABuAD0APQA9AD0APQA9AD0APQA9AD0APQA9AD0APQA9AD0APQA9AD0APQA9AD0APQA9AD0APQA9AD0APQA9AD0APQA9AD0APQA9AD0APQA9AD0APQA9AD0APQA9AD0APQA9AD0APQA9AD0APQA9AD0APQA9AD0APQA9AD0APQA9AD0APQA9AD0APQA9AD0APQA9AD0APQA9AD0AXABuAE4AYQB0AGkAbwBuAGEAbAAgAEkAbgB2AGUAbgB0AG8AcgB5ACAAUgBlAHAAbwByAHQAIAAyADAAMgAzACAAcgBlAGYAZQByAGUAbgBjAGUAOgBcAG4AQQBnAHIAaQBjAHUAbAB0AHUAcgBhAGwAIABzAG8AaQBsAHMAOgAgAEwAZQBhAGMAaABpAG4AZwAgAGEAbgBkACAAUgB1AG4AbwBmAGYAIAAoADMALgBEAC4AYgAuADIAKQBcAG4APQA9AD0APQA9AD0APQA9AD0APQA9AD0APQA9AD0APQA9AD0APQA9AD0APQA9AD0APQA9AD0APQA9AD0APQA9AD0APQA9AD0APQA9AD0APQA9AD0APQA9AD0APQA9AD0APQA9AD0APQA9AD0APQA9AD0APQA9AD0APQA9AD0APQA9AD0APQA9AD0APQA9AD0APQA9AD0APQBcAG4AKgAvAFwAbgBcAG4ALwAqACAAXABuAC0ALQAtAC0ALQAtAC0ALQAtAC0ALQAtAC0ALQAtAC0ALQAtAC0ALQAtAC0ALQAtAC0ALQAtAC0ALQAtAC0ALQAtAC0ALQAtAC0ALQBcAG4AQQBnAFMAbwBpAGwAcwBfAEwAZQBhAGMAaABpAG4AZwBBAG4AZABSAHUAbgBvAGYAZgBcAG4ATABlAGEAYwBoAGkAbgBnACAAYQBuAGQAIAByAHUAbgBvAGYAZgAgAGUAbQBpAHMAcwBpAG8AbgBzACAAZgByAG8AbQAgAGMAcgBvAHAAIAByAGUAcwBpAGQAdQBlACwAXABuAGkAbgBvAHIAZwBhAG4AaQBjACAAYQBuAGQAIABvAHIAZwBhAG4AaQBjACAAZgBlAHIAdABpAGwAaQBzAGUAcgAgAGEAcABwAGwAaQBlAGQAIAB0AG8AIABzAG8AaQBsACwAXABuAHUAcgBpAG4AZQAgAGEAbgBkACAAZAB1AG4AZwAgAGQAZQBwAG8AcwBpAHQAZQBkACAAbwBuACAAcABhAHMAdAB1AHIAZQBcAG4ARQBOADIATwBsAGUAYQBjAGgAIAA9ACAATQBsAGUAYQBjAGgAIAAqACAARQBGAGwAZQBhAGMAaAAgACoAIABDAGcATgAyAE8AIAAqACAAMQAwACAAXgAgAC0AIAAzAFwAbgBNAGwAZQBhAGMAaAAgADoAIABNAGEAcwBzACAAbwBmACAAbgBpAHQAcgBvAGcAZQBuACAAbABvAHMAdAAgAHQAbwAgAGwAZQBhAGMAaABlAGQAIABhAG4AZAAgAHIAdQBuACAAbwBmAGYAIAA6ACAAawBnACAATgBcAG4ARQBGAGwAZQBhAGMAaAAgADoAIABFAG0AaQBzAHMAaQBvAG4AIABmAGEAYwB0AG8AcgAgAGYAbwByACAAbABlAGEAYwBoAGkAbgBnACAAYQBuAGQAIAByAHUAbgBvAGYAZgAgADoAIABrAGcAIABOADIATwAtAE4ALwBrAGcAIABOAFwAbgBDAGcATgAyAE8AIAA6ACAARgBhAGMAdABvAHIAIAB0AG8AIABjAG8AbgB2AGUAcgB0ACAAZQBsAGUAbQBlAG4AdABhAGwAIABtAGEAcwBzACAAbwBmACAATgAyAE8AIAB0AG8AIABtAG8AbABlAGMAdQBsAGEAcgAgAG0AYQBzAHMAXABuAC0ALQAtAC0ALQAtAC0ALQAtAC0ALQAtAC0ALQAtAC0ALQAtAC0ALQAtAC0ALQAtAC0ALQAtAC0ALQAtAC0ALQAtAC0ALQAtAC0ALQBcAG4AKgAvAFwAbgBBAGcAUwBvAGkAbABzAF8ATABlAGEAYwBoAGkAbgBnAEEAbgBkAFIAdQBuAG8AZgBmAF8ARwBXAFAAXABuACAAPQBMAEEATQBCAEQAQQAoAFwAbgAgACAAIAAgAEUATgAyAE8AbABlAGEAYwBoACwARwBXAFAATgAyAE8ALABcAG4AIAAgACAAIAAgACgARQBOADIATwBsAGUAYQBjAGgAIAAqACAARwBXAFAATgAyAE8AKQBcAG4AIAAgACAAKQA7AFwAbgBcAG4AQQBnAFMAbwBpAGwAcwBfAEwAZQBhAGMAaABpAG4AZwBBAG4AZABSAHUAbgBvAGYAZgBcAG4AIAAgAD0ATABBAE0AQgBEAEEAKABcAG4AIAAgACAAIABNAGwAZQBhAGMAaAAsAEUARgBsAGUAYQBjAGgALABDAGcATgAyAE8ALABcAG4AIAAgACAAIAAoAE0AbABlAGEAYwBoACAAKgAgAEUARgBsAGUAYQBjAGgAIAAqACAAQwBnAE4AMgBPACAAKgAgADEAMABeAC0AMwApAFwAbgAgACAAKQBcAG4AOwBcAG4AXABuAEEAZwBTAG8AaQBsAHMAXwBMAGUAYQBjAGgAaQBuAGcAQQBuAGQAUgB1AG4AbwBmAGYAXwBUAGkAdABsAGUAXABuACAAIAA9AEwAQQBNAEIARABBACgAXAAiAEwAZQBhAGMAaABpAG4AZwAgAGEAbgBkACAAcgB1AG4AbwBmAGYAIABlAG0AaQBzAHMAaQBvAG4AcwAgAGYAcgBvAG0AIABjAHIAbwBwACAAcgBlAHMAaQBkAHUAZQAsAGkAbgBvAHIAZwBhAG4AaQBjACAAYQBuAGQAIABvAHIAZwBhAG4AaQBjACAAZgBlAHIAdABpAGwAaQBzAGUAcgAgAGEAcABwAGwAaQBlAGQAIAB0AG8AIABzAG8AaQBsACwAIAB1AHIAaQBuAGUAIABhAG4AZAAgAGQAdQBuAGcAIABkAGUAcABvAHMAaQB0AGUAZAAgAG8AbgAgAHAAYQBzAHQAdQByAGUAXAAiACkAOwBcAG4AXABuAEEAZwBTAG8AaQBsAHMAXwBMAGUAYQBjAGgAaQBuAGcAQQBuAGQAUgB1AG4AbwBmAGYAXwBWAGEAcgBpAGEAYgBsAGUAXABuACAAIAA9AEwAQQBNAEIARABBACgAXAAiAEUATgAyAE8AbABlAGEAYwBoAFwAIgApADsAXABuAFwAbgBBAGcAUwBvAGkAbABzAF8ATABlAGEAYwBoAGkAbgBnAEEAbgBkAFIAdQBuAG8AZgBmAF8AVQBuAGkAdABcAG4AIAAgAD0ATABBAE0AQgBEAEEAKABcACIAdAAgAE4AMgBPAFwAIgApADsAXABuAFwAbgBBAGcAUwBvAGkAbABzAF8ATABlAGEAYwBoAGkAbgBnAEEAbgBkAFIAdQBuAG8AZgBmAF8ATgBJAFIAUgBlAGYAZQByAGUAbgBjAGUAXABuACAAIAA9AEwAQQBNAEIARABBACgAXAAiAE4AYQB0AGkAbwBuAGEAbAAgAEkAbgB2AGUAbgB0AG8AcgB5ACAAUgBlAHAAbwByAHQAIABWAG8AbAB1AG0AZQAgADEALAAgADIAMAAyADMAOgAgADMALgBEAC4AQgBfADEAMABcACIAKQA7AFwAbgBcAG4AQQBnAFMAbwBpAGwAcwBfAEwAZQBhAGMAaABpAG4AZwBBAG4AZABSAHUAbgBvAGYAZgBfAFIAZQBhAGQAYQBiAGwAZQBFAHEAdQBhAHQAaQBvAG4AXABuACAAIAA9AEwAQQBNAEIARABBACgAXAAiAEUATgAyAE8AbABlAGEAYwBoACAAPQAgAE0AbABlAGEAYwBoACAAKgAgAEUARgBsAGUAYQBjAGgAIAAqACAAQwBnAE4AMgBPACAAKgAgADEAMAAgAF4AIAAtACAAMwBcACIAKQA7AFwAbgBcAG4AQQBnAFMAbwBpAGwAcwBfAEwAZQBhAGMAaABpAG4AZwBBAG4AZABSAHUAbgBvAGYAZgBfAEEAcgBnAHUAbQBlAG4AdABzAFwAbgAgACAAPQBMAEEATQBCAEQAQQAoAFwAbgAgACAAIAAgAE0AQQBLAEUAQQBSAFIAQQBZACgAMwAsACAAMwAsACAAXABuACAAIAAgACAAIAAgAEwAQQBNAEIARABBACgAcgAsAGMALAAgAFwAbgAgACAAIAAgACAAIAAgACAASQBOAEQARQBYACgAewBcAG4AIAAgACAAIAAgACAAIAAgACAAIABcACIATQBsAGUAYQBjAGgAXAAiACwAXAAiAE0AYQBzAHMAIABvAGYAIABuAGkAdAByAG8AZwBlAG4AIABsAG8AcwB0ACAAdABvACAAbABlAGEAYwBoAGUAZAAgAGEAbgBkACAAcgB1AG4AIABvAGYAZgBcACIALABcACIAawBnACAATgBcACIAOwBcAG4AIAAgACAAIAAgACAAIAAgACAAIABcACIARQBGAGwAZQBhAGMAaABcACIALABcACIARQBtAGkAcwBzAGkAbwBuACAAZgBhAGMAdABvAHIAIABmAG8AcgAgAGwAZQBhAGMAaABpAG4AZwAgAGEAbgBkACAAcgB1AG4AbwBmAGYAXAAiACwAXAAiAGsAZwAgAE4AMgBPAC0ATgAvAGsAZwAgAE4AXAAiADsAXABuACAAIAAgACAAIAAgACAAIAAgACAAXAAiAEMAZwBOADIATwBcACIALABcACIARgBhAGMAdABvAHIAIAB0AG8AIABjAG8AbgB2AGUAcgB0ACAAZQBsAGUAbQBlAG4AdABhAGwAIABtAGEAcwBzACAAbwBmACAATgAyAE8AIAB0AG8AIABtAG8AbABlAGMAdQBsAGEAcgAgAG0AYQBzAHMAXAAiACwAXAAiAFwAIgBcAG4AIAAgACAAIAAgACAAIAAgAH0ALAAgAHIALAAgAGMAKQBcAG4AIAAgACAAIAAgACAAKQBcAG4AIAAgACAAIAApAFwAbgAgACAAKQA7AFwAbgBcAG4ALwAqACAAXABuAC0ALQAtAC0ALQAtAC0ALQAtAC0ALQAtAC0ALQAtAC0ALQAtAC0ALQAtAC0ALQAtAC0ALQAtAC0ALQAtAC0ALQAtAC0ALQAtAC0ALQBcAG4AQQBnAFMAbwBpAGwAcwBfAE0AYQBzAHMAQQBuAGkAbQBhAGwAVwBhAHMAdABlAE4ATABvAHMAdABcAG4ATQBhAHMAcwAgAG8AZgAgAG4AaQB0AHIAbwBnAGUAbgAgAGwAbwBzAHQAIABmAHIAbwBtACAAbQBhAG4AdQByAGUALAAgAHUAcgBpAG4AZQAgAGEAbgBkACAAZAB1AG4AZwAgAHQAbwAgAGwAZQBhAGMAaABpAG4AZwAgAGEAbgBkACAAcgB1AG4AbwBmAGYAXABuAE0AbABlAGEAYwBoAGEAbgBpAG0AYQBsAHcAYQBzAHQAZQA9ACgATQBOAGoAbQArAFUATgBqAG0AKwBGAE4AagBtACkAKgBGAHIAYQBjAFcARQBUACoARgByAGEAYwBMAEUAQQBDAEgAXABuAE0AbABlAGEAYwBoAGEAbgBpAG0AYQBsAHcAYQBzAHQAZQBcAG4AawBnACAATgBcAG4ATQBOAGoAbQAgADoAIABNAGEAcwBzACAAbwBmACAAbgBpAHQAcgBvAGcAZQBuACAAaQBuACAAbQBhAG4AdQByAGUAIABhAHAAcABsAGkAZQBkACAAdABvACAAcwBvAGkAbABzACAAOgAgAGsAZwAgAE4AXABuAFUATgBqAG0AIAA6ACAATQBhAHMAcwAgAG8AZgAgAG4AaQB0AHIAbwBnAGUAbgAgAGkAbgAgAHUAcgBpAG4AZQAgAGQAZQBwAG8AcwBpAHQAZQBkACAAbwBuACAAcABhAHMAdAB1AHIAZQAsACAAcgBhAG4AZwBlACAAYQBuAGQAIABwAGEAZABkAG8AYwBrACAAOgAgAGsAZwAgAE4AXABuAEYATgBqAG0AIAA6ACAATQBhAHMAcwAgAG8AZgAgAG4AaQB0AHIAbwBnAGUAbgAgAGkAbgAgAGQAdQBuAGcAIABkAGUAcABvAHMAaQB0AGUAZAAgAG8AbgAgAHAAYQBzAHQAdQByAGUALAByAGEAbgBnAGUAIABhAG4AZAAgAHAAYQBkAGQAbwBjAGsAIAA6ACAAawBnACAATgBcAG4ARgByAGEAYwBXAEUAVAAgADoAIABGAHIAYQBjAHQAaQBvAG4AIABvAGYAIABOACAAYQB2AGEAaQBsAGEAYgBsAGUAIABmAG8AcgAgAGwAZQBhAGMAaABpAG4AZwAgAGEAbgBkACAAcgB1AG4AbwBmAGYAIABpAG4AIAB0AGgAZQAgAGMAbABpAG0AYQB0AGUAIAB6AG8AbgBlACAAbwBmACAAdABoAGUAIABlAG4AdABpAHQAeQAgADoAIABmAHIAYQBjAHQAaQBvAG4AXABuAEYAcgBhAGMATABFAEEAQwBIACAAOgAgAEYAcgBhAGMAdABpAG8AbgAgAG8AZgAgAE4AIAB0AGgAYQB0ACAAaQBzACAAbABvAHMAdAAgAHQAaAByAG8AdQBnAGgAIABsAGUAYQBjAGgAaQBuAGcAIABhAG4AZAAgAHIAdQBuAG8AZgBmACAAOgAgAGYAcgBhAGMAdABpAG8AbgBcAG4ALQAtAC0ALQAtAC0ALQAtAC0ALQAtAC0ALQAtAC0ALQAtAC0ALQAtAC0ALQAtAC0ALQAtAC0ALQAtAC0ALQAtAC0ALQAtAC0ALQAtAFwAbgAqAC8AXABuAFwAbgBBAGcAUwBvAGkAbABzAF8ATQBhAHMAcwBBAG4AaQBtAGEAbABXAGEAcwB0AGUATgBMAG8AcwB0AFwAbgAgACAAPQBMAEEATQBCAEQAQQAoAFwAbgAgACAAIAAgAE0ATgBqAG0ALABVAE4AagBtACwARgBOAGoAbQAsAEYAcgBhAGMAVwBFAFQALABGAHIAYQBjAEwARQBBAEMASAAsAFwAbgAgACAAIAAgACgATQBOAGoAbQArAFUATgBqAG0AKwBGAE4AagBtACkAKgBGAHIAYQBjAFcARQBUACoARgByAGEAYwBMAEUAQQBDAEgAXABuACAAIAApAFwAbgA7AFwAbgBcAG4AQQBnAFMAbwBpAGwAcwBfAE0AYQBzAHMAQQBuAGkAbQBhAGwAVwBhAHMAdABlAE4ATABvAHMAdABfAFQAaQB0AGwAZQBcAG4AIAAgAD0ATABBAE0AQgBEAEEAKABcACIATQBhAHMAcwAgAG8AZgAgAG4AaQB0AHIAbwBnAGUAbgAgAGwAbwBzAHQAIABmAHIAbwBtACAAbQBhAG4AdQByAGUALAAgAHUAcgBpAG4AZQAgAGEAbgBkACAAZAB1AG4AZwAgAHQAbwAgAGwAZQBhAGMAaABpAG4AZwAgAGEAbgBkACAAcgB1AG4AbwBmAGYAXAAiACkAOwBcAG4AXABuAEEAZwBTAG8AaQBsAHMAXwBNAGEAcwBzAEEAbgBpAG0AYQBsAFcAYQBzAHQAZQBOAEwAbwBzAHQAXwBWAGEAcgBpAGEAYgBsAGUAXABuACAAIAA9AEwAQQBNAEIARABBACgAXAAiAE0AbABlAGEAYwBoAGEAbgBpAG0AYQBsAHcAYQBzAHQAZQBcACIAKQA7AFwAbgBcAG4AQQBnAFMAbwBpAGwAcwBfAE0AYQBzAHMAQQBuAGkAbQBhAGwAVwBhAHMAdABlAE4ATABvAHMAdABfAFUAbgBpAHQAXABuACAAIAA9AEwAQQBNAEIARABBACgAXAAiAGsAZwAgAE4AXAAiACkAOwBcAG4AXABuAEEAZwBTAG8AaQBsAHMAXwBNAGEAcwBzAEEAbgBpAG0AYQBsAFcAYQBzAHQAZQBOAEwAbwBzAHQAXwBOAEkAUgBSAGUAZgBlAHIAZQBuAGMAZQBcAG4AIAAgAD0ATABBAE0AQgBEAEEAKABcACIATgBhAHQAaQBvAG4AYQBsACAASQBuAHYAZQBuAHQAbwByAHkAIABSAGUAcABvAHIAdAAgAFYAbwBsAHUAbQBlACAAMQAsACAAMgAwADIAMwA6ACAAMwAuAEQALgBCAF8ANgBcACIAKQA7AFwAbgBcAG4AQQBnAFMAbwBpAGwAcwBfAE0AYQBzAHMAQQBuAGkAbQBhAGwAVwBhAHMAdABlAE4ATABvAHMAdABfAFIAZQBhAGQAYQBiAGwAZQBFAHEAdQBhAHQAaQBvAG4AXABuACAAIAA9AEwAQQBNAEIARABBACgAXAAiAE0AbABlAGEAYwBoAGEAbgBpAG0AYQBsAHcAYQBzAHQAZQA9ACgATQBOAGoAbQArAFUATgBqAG0AKwBGAE4AagBtACkAKgBGAHIAYQBjAFcARQBUACoARgByAGEAYwBMAEUAQQBDAEgAXAAiACkAOwBcAG4AXABuAEEAZwBTAG8AaQBsAHMAXwBNAGEAcwBzAEEAbgBpAG0AYQBsAFcAYQBzAHQAZQBOAEwAbwBzAHQAXwBBAHIAZwB1AG0AZQBuAHQAcwBcAG4AIAAgAD0ATABBAE0AQgBEAEEAKABcAG4AIAAgACAAIABNAEEASwBFAEEAUgBSAEEAWQAoADMALAAgADMALAAgAFwAbgAgACAAIAAgACAAIABMAEEATQBCAEQAQQAoAHIALABjACwAIABcAG4AIAAgACAAIAAgACAAIAAgAEkATgBEAEUAWAAoAHsAXABuACAAIAAgACAAIAAgACAAIAAgACAAXAAiAE0ATgBqAG0AXAAiACwAXAAiAE0AYQBzAHMAIABvAGYAIABuAGkAdAByAG8AZwBlAG4AIABpAG4AIABtAGEAbgB1AHIAZQAgAGEAcABwAGwAaQBlAGQAIAB0AG8AIABzAG8AaQBsAHMAXAAiACwAXAAiAGsAZwAgAE4AXAAiADsAXABuACAAIAAgACAAIAAgACAAIAAgACAAXAAiAFUATgBqAG0AXAAiACwAXAAiAE0AYQBzAHMAIABvAGYAIABuAGkAdAByAG8AZwBlAG4AIABpAG4AIAB1AHIAaQBuAGUAIABkAGUAcABvAHMAaQB0AGUAZAAgAG8AbgAgAHAAYQBzAHQAdQByAGUALAAgAHIAYQBuAGcAZQAgAGEAbgBkACAAcABhAGQAZABvAGMAawBcACIALABcACIAawBnACAATgBcACIAOwBcAG4AIAAgACAAIAAgACAAIAAgACAAIABcACIARgBOAGoAbQBcACIALABcACIATQBhAHMAcwAgAG8AZgAgAG4AaQB0AHIAbwBnAGUAbgAgAGkAbgAgAGQAdQBuAGcAIABkAGUAcABvAHMAaQB0AGUAZAAgAG8AbgAgAHAAYQBzAHQAdQByAGUALAByAGEAbgBnAGUAIABhAG4AZAAgAHAAYQBkAGQAbwBjAGsAXAAiACwAXAAiAGsAZwAgAE4AXAAiADsAXABuACAAIAAgACAAIAAgACAAIAAgACAAXAAiAEYAcgBhAGMAVwBFAFQAXAAiACwAXAAiAEYAcgBhAGMAdABpAG8AbgAgAG8AZgAgAG4AaQB0AHIAbwBnAGUAbgAgAGEAdgBhAGkAbABhAGIAbABlACAAZgBvAHIAIABsAGUAYQBjAGgAaQBuAGcAIABhAG4AZAAgAHIAdQBuAG8AZgBmACAAaQBuACAAdABoAGUAIABjAGwAaQBtAGEAdABlACAAegBvAG4AZQAgAG8AZgAgAHQAaABlACAAZQBuAHQAaQB0AHkAXAAiACwAXAAiAGYAcgBhAGMAdABpAG8AbgBcACIAOwBcAG4AIAAgACAAIAAgACAAIAAgACAAIABcACIARgByAGEAYwBMAEUAQQBDAEgAXAAiACwAXAAiAEYAcgBhAGMAdABpAG8AbgAgAG8AZgAgAG4AaQB0AHIAbwBnAGUAbgAgAHQAaABhAHQAIABpAHMAIABsAG8AcwB0ACAAdABoAHIAbwB1AGcAaAAgAGwAZQBhAGMAaABpAG4AZwAgAGEAbgBkACAAcgB1AG4AbwBmAGYAXAAiACwAXAAiAGYAcgBhAGMAdABpAG8AbgBcACIAXABuACAAIAAgACAAIAAgACAAIAB9ACwAIAByACwAIABjACkAXABuACAAIAAgACAAIAAgACkAXABuACAAIAAgACAAKQBcAG4AIAAgACkAOwBcAG4AXABuAC8AKgAgAFwAbgAtAC0ALQAtAC0ALQAtAC0ALQAtAC0ALQAtAC0ALQAtAC0ALQAtAC0ALQAtAC0ALQAtAC0ALQAtAC0ALQAtAC0ALQAtAC0ALQAtAC0AXABuAEEAZwBTAG8AaQBsAHMAXwBNAGEAcwBzAEkAbgBvAHIAZwBhAG4AaQBjAEYAZQByAHQAaQBsAGkAcwBlAHIATgBMAG8AcwB0AFwAbgBNAGwAZQBhAGMAaABpAG4AbwByAGcAYQBuAGkAYwBcAG4ATQBsAGUAYQBjAGgAaQBuAG8AcgBnAGEAbgBpAGMAIAA9ACAATQAgACoAIABGAHIAYQBjAFcARQBUACAAKgAgAEYAcgBhAGMATABFAEEAQwBIAFwAbgBNACAAOgAgAE0AYQBzAHMAIABvAGYAIABuAGkAdAByAG8AZwBlAG4AIABpAG4AIABpAG4AbwByAGcAYQBuAGkAYwAgAGYAZQByAHQAaQBsAGkAcwBlAHIAIABhAHAAcABsAGkAZQBkACAAdABvACAAcwBvAGkAbABzACAAOgAgAGsAZwAgAE4AXABuAEYAcgBhAGMAVwBFAFQAIAA6ACAARgByAGEAYwB0AGkAbwBuACAAbwBmACAAbgBpAHQAcgBvAGcAZQBuACAAYQB2AGEAaQBsAGEAYgBsAGUAIABmAG8AcgAgAGwAZQBhAGMAaABpAG4AZwAgAGEAbgBkACAAcgB1AG4AbwBmAGYAIABpAG4AIAB0AGgAZQAgAGMAbABpAG0AYQB0AGUAIAB6AG8AbgBlACAAbwBmACAAdABoAGUAIABlAG4AdABpAHQAeQAgADoAIABmAHIAYQBjAHQAaQBvAG4AXABuAEYAcgBhAGMATABFAEEAQwBIACAAOgAgAEYAcgBhAGMAdABpAG8AbgAgAG8AZgAgAG4AaQB0AHIAbwBnAGUAbgAgAHQAaABhAHQAIABpAHMAIABsAG8AcwB0ACAAdABoAHIAbwB1AGcAaAAgAGwAZQBhAGMAaABpAG4AZwAgAGEAbgBkACAAcgB1AG4AbwBmAGYAIAA6ACAAZgByAGEAYwB0AGkAbwBuAFwAbgAtAC0ALQAtAC0ALQAtAC0ALQAtAC0ALQAtAC0ALQAtAC0ALQAtAC0ALQAtAC0ALQAtAC0ALQAtAC0ALQAtAC0ALQAtAC0ALQAtAC0AXABuACoALwBcAG4AXABuAEEAZwBTAG8AaQBsAHMAXwBNAGEAcwBzAEkAbgBvAHIAZwBhAG4AaQBjAEYAZQByAHQAaQBsAGkAcwBlAHIATgBMAG8AcwB0AFwAbgAgACAAPQBMAEEATQBCAEQAQQAoAFwAbgAgACAAIAAgAE0ALAAgAEYAcgBhAGMAVwBFAFQALAAgAEYAcgBhAGMATABFAEEAQwBIACwAXABuACAAIAAgACAATQAgACoAIABGAHIAYQBjAFcARQBUACAAKgAgAEYAcgBhAGMATABFAEEAQwBIAFwAbgAgACAAKQBcAG4AOwBcAG4AXABuAEEAZwBTAG8AaQBsAHMAXwBNAGEAcwBzAEkAbgBvAHIAZwBhAG4AaQBjAEYAZQByAHQAaQBsAGkAcwBlAHIATgBMAG8AcwB0AF8AVABpAHQAbABlAFwAbgAgACAAPQBMAEEATQBCAEQAQQAoAFwAIgBNAGEAcwBzACAAbwBmACAAbgBpAHQAcgBvAGcAZQBuACAAbABvAHMAdAAgAGYAcgBvAG0AIABpAG4AbwByAGcAYQBuAGkAYwAgAGYAZQByAHQAaQBsAGkAcwBlAHIAIAB0AG8AIABsAGUAYQBjAGgAaQBuAGcAIABhAG4AZAAgAHIAdQBuAG8AZgBmAFwAIgApADsAXABuAFwAbgBBAGcAUwBvAGkAbABzAF8ATQBhAHMAcwBJAG4AbwByAGcAYQBuAGkAYwBGAGUAcgB0AGkAbABpAHMAZQByAE4ATABvAHMAdABfAFYAYQByAGkAYQBiAGwAZQBcAG4AIAAgAD0ATABBAE0AQgBEAEEAKABcACIATQBsAGUAYQBjAGgAaQBuAG8AcgBnAGEAbgBpAGMAXAAiACkAOwBcAG4AXABuAEEAZwBTAG8AaQBsAHMAXwBNAGEAcwBzAEkAbgBvAHIAZwBhAG4AaQBjAEYAZQByAHQAaQBsAGkAcwBlAHIATgBMAG8AcwB0AF8AVQBuAGkAdABcAG4AIAAgAD0ATABBAE0AQgBEAEEAKABcACIAawBnACAATgBcACIAKQA7AFwAbgBcAG4AQQBnAFMAbwBpAGwAcwBfAE0AYQBzAHMASQBuAG8AcgBnAGEAbgBpAGMARgBlAHIAdABpAGwAaQBzAGUAcgBOAEwAbwBzAHQAXwBOAEkAUgBSAGUAZgBlAHIAZQBuAGMAZQBcAG4AIAAgAD0ATABBAE0AQgBEAEEAKABcACIATgBhAHQAaQBvAG4AYQBsACAASQBuAHYAZQBuAHQAbwByAHkAIABSAGUAcABvAHIAdAAgAFYAbwBsAHUAbQBlACAAMQAsACAAMgAwADIAMwA6ACAAMwAuAEQALgBCAF8ANQBcACIAKQA7AFwAbgBcAG4AQQBnAFMAbwBpAGwAcwBfAE0AYQBzAHMASQBuAG8AcgBnAGEAbgBpAGMARgBlAHIAdABpAGwAaQBzAGUAcgBOAEwAbwBzAHQAXwBSAGUAYQBkAGEAYgBsAGUARQBxAHUAYQB0AGkAbwBuAFwAbgAgACAAPQBMAEEATQBCAEQAQQAoAFwAIgBNAGwAZQBhAGMAaABpAG4AbwByAGcAYQBuAGkAYwAgAD0AIABNACAAKgAgAEYAcgBhAGMAVwBFAFQAIAAqACAARgByAGEAYwBMAEUAQQBDAEgAXAAiACkAOwBcAG4AXABuAEEAZwBTAG8AaQBsAHMAXwBNAGEAcwBzAEkAbgBvAHIAZwBhAG4AaQBjAEYAZQByAHQAaQBsAGkAcwBlAHIATgBMAG8AcwB0AF8AQQByAGcAdQBtAGUAbgB0AHMAXABuACAAIAA9AEwAQQBNAEIARABBACgAXABuACAAIAAgACAATQBBAEsARQBBAFIAUgBBAFkAKAAzACwAIAAzACwAIABcAG4AIAAgACAAIAAgACAATABBAE0AQgBEAEEAKAByACwAYwAsACAAXABuACAAIAAgACAAIAAgACAAIABJAE4ARABFAFgAKAB7AFwAbgAgACAAIAAgACAAIAAgACAAIAAgAFwAIgBNAFwAIgAsAFwAIgBNAGEAcwBzACAAbwBmACAAbgBpAHQAcgBvAGcAZQBuACAAaQBuACAAaQBuAG8AcgBnAGEAbgBpAGMAIABmAGUAcgB0AGkAbABpAHMAZQByACAAYQBwAHAAbABpAGUAZAAgAHQAbwAgAHMAbwBpAGwAcwBcACIALABcACIAawBnACAATgBcACIAOwBcAG4AIAAgACAAIAAgACAAIAAgACAAIABcACIARgByAGEAYwBXAEUAVABcACIALABcACIARgByAGEAYwB0AGkAbwBuACAAbwBmACAAbgBpAHQAcgBvAGcAZQBuACAAYQB2AGEAaQBsAGEAYgBsAGUAIABmAG8AcgAgAGwAZQBhAGMAaABpAG4AZwAgAGEAbgBkACAAcgB1AG4AbwBmAGYAIABpAG4AIAB0AGgAZQAgAGMAbABpAG0AYQB0AGUAIAB6AG8AbgBlACAAbwBmACAAdABoAGUAIABlAG4AdABpAHQAeQBcACIALABcACIAZgByAGEAYwB0AGkAbwBuAFwAIgA7AFwAbgAgACAAIAAgACAAIAAgACAAIAAgAFwAIgBGAHIAYQBjAEwARQBBAEMASABcACIALABcACIARgByAGEAYwB0AGkAbwBuACAAbwBmACAAbgBpAHQAcgBvAGcAZQBuACAAdABoAGEAdAAgAGkAcwAgAGwAbwBzAHQAIAB0AGgAcgBvAHUAZwBoACAAbABlAGEAYwBoAGkAbgBnACAAYQBuAGQAIAByAHUAbgBvAGYAZgBcACIALABcACIAZgByAGEAYwB0AGkAbwBuAFwAIgBcAG4AIAAgACAAIAAgACAAIAAgAH0ALAAgAHIALAAgAGMAKQBcAG4AIAAgACAAIAAgACAAKQBcAG4AIAAgACAAIAApAFwAbgAgACAAKQA7AFwAbgBcAG4ALwAqACAAXABuAC0ALQAtAC0ALQAtAC0ALQAtAC0ALQAtAC0ALQAtAC0ALQAtAC0ALQAtAC0ALQAtAC0ALQAtAC0ALQAtAC0ALQAtAC0ALQAtAC0ALQBcAG4AQQBnAFMAbwBpAGwAcwBfAE0AYQBzAHMAQwByAG8AcABSAGUAcwBpAGQAdQBlAE4ATABvAHMAdABcAG4ATQBsAGUAYQBjAGgAcgBlAHMAaQBkAHUAZQBcAG4ATQBsAGUAYQBjAGgAcgBlAHMAaQBkAHUAZQAgAD0AIABNACAAKgAgAEYAcgBhAGMAVwBFAFQAIAAqACAARgByAGEAYwBMAEUAQQBDAEgAXABuAE0AIAA6ACAATQBhAHMAcwAgAG8AZgAgAG4AaQB0AHIAbwBnAGUAbgAgAGkAbgAgAGMAcgBvAHAAIAByAGUAcwBpAGQAdQBlACAAYQBwAHAAbABpAGUAZAAgAHQAbwAgAHMAbwBpAGwAcwAgADoAIABrAGcAIABOAFwAbgBGAHIAYQBjAFcARQBUACAAOgAgAEYAcgBhAGMAdABpAG8AbgAgAG8AZgAgAG4AaQB0AHIAbwBnAGUAbgAgAGEAdgBhAGkAbABhAGIAbABlACAAZgBvAHIAIABsAGUAYQBjAGgAaQBuAGcAIABhAG4AZAAgAHIAdQBuAG8AZgBmACAAaQBuACAAdABoAGUAIABjAGwAaQBtAGEAdABlACAAegBvAG4AZQAgAG8AZgAgAHQAaABlACAAZQBuAHQAaQB0AHkAIAA6ACAAZgByAGEAYwB0AGkAbwBuAFwAbgBGAHIAYQBjAEwARQBBAEMASAAgADoAIABGAHIAYQBjAHQAaQBvAG4AIABvAGYAIABuAGkAdAByAG8AZwBlAG4AIAB0AGgAYQB0ACAAaQBzACAAbABvAHMAdAAgAHQAaAByAG8AdQBnAGgAIABsAGUAYQBjAGgAaQBuAGcAIABhAG4AZAAgAHIAdQBuAG8AZgBmACAAOgAgAGYAcgBhAGMAdABpAG8AbgBcAG4ALQAtAC0ALQAtAC0ALQAtAC0ALQAtAC0ALQAtAC0ALQAtAC0ALQAtAC0ALQAtAC0ALQAtAC0ALQAtAC0ALQAtAC0ALQAtAC0ALQAtAFwAbgAqAC8AXABuAFwAbgBBAGcAUwBvAGkAbABzAF8ATQBhAHMAcwBDAHIAbwBwAFIAZQBzAGkAZAB1AGUATgBMAG8AcwB0AFwAbgAgACAAPQBMAEEATQBCAEQAQQAoAFwAbgAgACAAIAAgAE0ALAAgAEYAcgBhAGMAVwBFAFQALAAgAEYAcgBhAGMATABFAEEAQwBIACwAXABuACAAIAAgACAATQAgACoAIABGAHIAYQBjAFcARQBUACAAKgAgAEYAcgBhAGMATABFAEEAQwBIAFwAbgAgACAAKQBcAG4AOwBcAG4AXABuAEEAZwBTAG8AaQBsAHMAXwBNAGEAcwBzAEMAcgBvAHAAUgBlAHMAaQBkAHUAZQBOAEwAbwBzAHQAXwBUAGkAdABsAGUAXABuACAAIAA9AEwAQQBNAEIARABBACgAXAAiAE0AYQBzAHMAIABvAGYAIABuAGkAdAByAG8AZwBlAG4AIABsAG8AcwB0ACAAZgByAG8AbQAgAGMAcgBvAHAAIAByAGUAcwBpAGQAdQBlACAAdABvACAAbABlAGEAYwBoAGkAbgBnACAAYQBuAGQAIAByAHUAbgBvAGYAZgBcACIAKQA7AFwAbgBcAG4AQQBnAFMAbwBpAGwAcwBfAE0AYQBzAHMAQwByAG8AcABSAGUAcwBpAGQAdQBlAE4ATABvAHMAdABfAFYAYQByAGkAYQBiAGwAZQBcAG4AIAAgAD0ATABBAE0AQgBEAEEAKABcACIATQBsAGUAYQBjAGgAcgBlAHMAaQBkAHUAZQBcACIAKQA7AFwAbgBcAG4AQQBnAFMAbwBpAGwAcwBfAE0AYQBzAHMAQwByAG8AcABSAGUAcwBpAGQAdQBlAE4ATABvAHMAdABfAFUAbgBpAHQAXABuACAAIAA9AEwAQQBNAEIARABBACgAXAAiAGsAZwAgAE4AXAAiACkAOwBcAG4AXABuAEEAZwBTAG8AaQBsAHMAXwBNAGEAcwBzAEMAcgBvAHAAUgBlAHMAaQBkAHUAZQBOAEwAbwBzAHQAXwBOAEkAUgBSAGUAZgBlAHIAZQBuAGMAZQBcAG4AIAAgAD0ATABBAE0AQgBEAEEAKABcACIATgBhAHQAaQBvAG4AYQBsACAASQBuAHYAZQBuAHQAbwByAHkAIABSAGUAcABvAHIAdAAgAFYAbwBsAHUAbQBlACAAMQAsACAAMgAwADIAMwA6ACAAMwAuAEQALgBCAF8AOABcACIAKQA7AFwAbgBcAG4AQQBnAFMAbwBpAGwAcwBfAE0AYQBzAHMAQwByAG8AcABSAGUAcwBpAGQAdQBlAE4ATABvAHMAdABfAFIAZQBhAGQAYQBiAGwAZQBFAHEAdQBhAHQAaQBvAG4AXABuACAAIAA9AEwAQQBNAEIARABBACgAXAAiAE0AbABlAGEAYwBoAHIAZQBzAGkAZAB1AGUAIAA9ACAATQAgACoAIABGAHIAYQBjAFcARQBUACAAKgAgAEYAcgBhAGMATABFAEEAQwBIAFwAIgApADsAXABuAFwAbgBBAGcAUwBvAGkAbABzAF8ATQBhAHMAcwBDAHIAbwBwAFIAZQBzAGkAZAB1AGUATgBMAG8AcwB0AF8AQQByAGcAdQBtAGUAbgB0AHMAXABuACAAIAA9AEwAQQBNAEIARABBACgAXABuACAAIAAgACAATQBBAEsARQBBAFIAUgBBAFkAKAAzACwAIAAzACwAIABcAG4AIAAgACAAIAAgACAATABBAE0AQgBEAEEAKAByACwAYwAsACAAXABuACAAIAAgACAAIAAgACAAIABJAE4ARABFAFgAKAB7AFwAbgAgACAAIAAgACAAIAAgACAAIAAgAFwAIgBNAFwAIgAsAFwAIgBNAGEAcwBzACAAbwBmACAAbgBpAHQAcgBvAGcAZQBuACAAaQBuACAAYwByAG8AcAAgAHIAZQBzAGkAZAB1AGUAIABhAHAAcABsAGkAZQBkACAAdABvACAAcwBvAGkAbABzAFwAIgAsAFwAIgBrAGcAIABOAFwAIgA7AFwAbgAgACAAIAAgACAAIAAgACAAIAAgAFwAIgBGAHIAYQBjAFcARQBUAFwAIgAsAFwAIgBGAHIAYQBjAHQAaQBvAG4AIABvAGYAIABuAGkAdAByAG8AZwBlAG4AIABhAHYAYQBpAGwAYQBiAGwAZQAgAGYAbwByACAAbABlAGEAYwBoAGkAbgBnACAAYQBuAGQAIAByAHUAbgBvAGYAZgAgAGkAbgAgAHQAaABlACAAYwBsAGkAbQBhAHQAZQAgAHoAbwBuAGUAIABvAGYAIAB0AGgAZQAgAGUAbgB0AGkAdAB5AFwAIgAsAFwAIgBmAHIAYQBjAHQAaQBvAG4AXAAiADsAXABuACAAIAAgACAAIAAgACAAIAAgACAAXAAiAEYAcgBhAGMATABFAEEAQwBIAFwAIgAsAFwAIgBGAHIAYQBjAHQAaQBvAG4AIABvAGYAIABuAGkAdAByAG8AZwBlAG4AIAB0AGgAYQB0ACAAaQBzACAAbABvAHMAdAAgAHQAaAByAG8AdQBnAGgAIABsAGUAYQBjAGgAaQBuAGcAIABhAG4AZAAgAHIAdQBuAG8AZgBmAFwAIgAsAFwAIgBmAHIAYQBjAHQAaQBvAG4AXAAiAFwAbgAgACAAIAAgACAAIAAgACAAfQAsACAAcgAsACAAYwApAFwAbgAgACAAIAAgACAAIAApAFwAbgAgACAAIAAgACkAXABuACAAIAApADsAXABuAFwAbgBcAG4ALwAqAFwAbgA9AD0APQA9AD0APQA9AD0APQA9AD0APQA9AD0APQA9AD0APQA9AD0APQA9AD0APQA9AD0APQA9AD0APQA9AD0APQA9AD0APQA9AD0APQA9AD0APQA9AD0APQA9AD0APQA9AD0APQA9AD0APQA9AD0APQA9AD0APQA9AD0APQA9AD0APQA9AD0APQA9AD0APQA9AD0APQA9AFwAbgBOAGEAdABpAG8AbgBhAGwAIABJAG4AdgBlAG4AdABvAHIAeQAgAFIAZQBwAG8AcgB0ACAAMgAwADIAMwAgAHIAZQBmAGUAcgBlAG4AYwBlADoAXABuAFUAcgBpAG4AZQAgAGEAbgBkACAAZAB1AG4AZwAgAGQAZQBwAG8AcwBpAHQAZQBkACAAYgB5ACAAZwByAGEAegBpAG4AZwAgAGEAbgBpAG0AYQBsAHMAIAAoADMALgBEAC4AYQAuADMAK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UAcgBpAG4AZQBBAG4AZABEAHUAbgBnAEQAZQBwAG8AcwBpAHQAZQBkAFwAbgBOAGkAdAByAG8AdQBzACAAbwB4AGkAZABlACAAcAByAG8AZAB1AGMAdABpAG8AbgAgAGYAcgBvAG0AIAB1AHIAaQBuAGUAIABhAG4AZAAgAGQAdQBuAGcAIABkAGUAcABvAHMAaQB0AGUAZAAgAGIAeQAgAGcAcgBhAHoAaQBuAGcAIABhAG4AaQBtAGEAbABzACAAbwBuACAAcABhAHMAdAB1AHIAZQAsAFwAbgByAGEAbgBnAGUAIABhAG4AZAAgAHAAYQBkAGQAbwBjAGsAXABuAEUATgAyAE8AZABpAHIAXABuAHQAIABOADIATwBcAG4ARQBOADIATwBkAGkAcgAgAD0AIAAoACgAQQBGAGoAbQA9ADEANAAgACoAIABFAEYAUABSAFAAIAAqACAAQwBnAE4AMgBPACkAIAArACAAKABBAFUAagBtAD0AMQA0ACAAKgAgAEUARgBQAFIAUAAgACoAIABDAGcATgAyAE8AKQApACAAKgAgADEAMABeAC0AMwBcAG4AQQBGAGoAbQAgADoAIABtAGEAcwBzACAAbwBmACAAbgBpAHQAcgBvAGcAZQBuACAAaQBuACAAZAB1AG4AZwAgAGQAZQBwAG8AcwBpAHQAZQBkACAAbwBuACAAcABhAHMAdAB1AHIAZQAsACAAcgBhAG4AZwBlACAAYQBuAGQAIABwAGEAZABkAG8AYwBrACAAOgAgAGsAZwAgAE4AXABuAEEAVQBqAG0AIAA6ACAAbQBhAHMAcwAgAG8AZgAgAG4AaQB0AHIAbwBnAGUAbgAgAGkAbgAgAHUAcgBpAG4AZQAgAGQAZQBwAG8AcwBpAHQAZQBkACAAbwBuACAAcABhAHMAdAB1AHIAZQAsACAAcgBhAG4AZwBlACAAYQBuAGQAIABwAGEAZABkAG8AYwBrACAAOgAgAGsAZwAgAE4AXABuAEUARgBQAFIAUAAgADoAIABkAGkAcgBlAGMAdAAgAE4AMgBPACAAZQBtAGkAcwBzAGkAbwBuACAAZgBhAGMAdABvAHIAIABmAG8AcgAgAHAAYQBzAHQAdQByAGUALAAgAHIAYQBuAGcAZQAgAGEAbgBkACAAcABhAGQAZABvAGMAawAgADoAIABrAGcAIABOADIATwAtAE4ALwBrAGcAIABOAFwAbgBDAGcATgAyAE8AIAA6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QBnAFMAbwBpAGwAcwBfAFUAcgBpAG4AZQBBAG4AZABEAHUAbgBnAEQAZQBwAG8AcwBpAHQAZQBkAF8ARwBXAFAAXABuACAAPQBMAEEATQBCAEQAQQAoAFwAbgAgACAAIAAgAEUATgAyAE8AZABpAHIALABHAFcAUABOADIATwAsAFwAbgAgACAAIAAgACAAKABFAE4AMgBPAGQAaQByACAAKgAgAEcAVwBQAE4AMgBPACkAXABuACAAIAAgACkAOwBcAG4AXABuAEEAZwBTAG8AaQBsAHMAXwBVAHIAaQBuAGUAQQBuAGQARAB1AG4AZwBEAGUAcABvAHMAaQB0AGUAZABcAG4AIAAgAD0ATABBAE0AQgBEAEEAKABcAG4AIAAgACAAIABBAEYAagBtACwAIABBAFUAagBtACwAIABFAEYAUABSAFAALAAgAEMAZwBOADIATwAsAFwAbgAgACAAIAAgACgAKABBAEYAagBtACAAKgAgAEUARgBQAFIAUAAgACoAIABDAGcATgAyAE8AKQAgACsAIAAoAEEAVQBqAG0AIAAqACAARQBGAFAAUgBQACAAKgAgAEMAZwBOADIATwApACkAIAAqACAAMQAwAF4ALQAzAFwAbgAgACAAKQBcAG4AOwBcAG4AXABuAEEAZwBTAG8AaQBsAHMAXwBVAHIAaQBuAGUAQQBuAGQARAB1AG4AZwBEAGUAcABvAHMAaQB0AGUAZABfAFQAaQB0AGwAZQBcAG4AIAAgAD0ATABBAE0AQgBEAEEAKABcACIATgBpAHQAcgBvAHUAcwAgAG8AeABpAGQAZQAgAHAAcgBvAGQAdQBjAHQAaQBvAG4AIABmAHIAbwBtACAAdQByAGkAbgBlACAAYQBuAGQAIABkAHUAbgBnACAAZABlAHAAbwBzAGkAdABlAGQAIABiAHkAIABnAHIAYQB6AGkAbgBnACAAYQBuAGkAbQBhAGwAcwAgAG8AbgAgAHAAYQBzAHQAdQByAGUALAAgAHIAYQBuAGcAZQAgAGEAbgBkACAAcABhAGQAZABvAGMAawBcACIAKQA7AFwAbgBcAG4AQQBnAFMAbwBpAGwAcwBfAFUAcgBpAG4AZQBBAG4AZABEAHUAbgBnAEQAZQBwAG8AcwBpAHQAZQBkAF8AVgBhAHIAaQBhAGIAbABlAFwAbgAgACAAPQBMAEEATQBCAEQAQQAoAFwAIgBFAE4AMgBPAGQAaQByAFwAIgApADsAXABuAFwAbgBBAGcAUwBvAGkAbABzAF8AVQByAGkAbgBlAEEAbgBkAEQAdQBuAGcARABlAHAAbwBzAGkAdABlAGQAXwBVAG4AaQB0AFwAbgAgACAAPQBMAEEATQBCAEQAQQAoAFwAIgB0ACAATgAyAE8AXAAiACkAOwBcAG4AXABuAEEAZwBTAG8AaQBsAHMAXwBVAHIAaQBuAGUAQQBuAGQARAB1AG4AZwBEAGUAcABvAHMAaQB0AGUAZABfAE4ASQBSAFIAZQBmAGUAcgBlAG4AYwBlAFwAbgAgACAAPQBMAEEATQBCAEQAQQAoAFwAIgBOAGEAdABpAG8AbgBhAGwAIABJAG4AdgBlAG4AdABvAHIAeQAgAFIAZQBwAG8AcgB0ACAAVgBvAGwAdQBtAGUAIAAxACwAIAAyADAAMgAzADoAIAAzAC4ARAAuAGEALgAzAFwAIgApADsAXABuAFwAbgBBAGcAUwBvAGkAbABzAF8AVQByAGkAbgBlAEEAbgBkAEQAdQBuAGcARABlAHAAbwBzAGkAdABlAGQAXwBSAGUAYQBkAGEAYgBsAGUARQBxAHUAYQB0AGkAbwBuAFwAbgAgACAAPQBMAEEATQBCAEQAQQAoAFwAIgBFAE4AMgBPAGQAaQByACAAPQAgACgAKABBAEYAagBtAD0AMQA0ACAAKgAgAEUARgBQAFIAUAAgACoAIABDAGcATgAyAE8AKQAgACsAIAAoAEEAVQBqAG0APQAxADQAIAAqACAARQBGAFAAUgBQACAAKgAgAEMAZwBOADIATwApACkAIAAqACAAMQAwAF4ALQAzAFwAIgApADsAXABuAFwAbgBBAGcAUwBvAGkAbABzAF8AVQByAGkAbgBlAEEAbgBkAEQAdQBuAGcARABlAHAAbwBzAGkAdABlAGQAXwBBAHIAZwB1AG0AZQBuAHQAcwBcAG4AIAAgAD0ATABBAE0AQgBEAEEAKABcAG4AIAAgACAAIABNAEEASwBFAEEAUgBSAEEAWQAoADQALAAgADMALAAgAFwAbgAgACAAIAAgACAAIABMAEEATQBCAEQAQQAoAHIALABjACwAIABcAG4AIAAgACAAIAAgACAAIAAgAEkATgBEAEUAWAAoAHsAXABuACAAIAAgACAAIAAgACAAIAAgACAAXAAiAEEARgBqAG0AXAAiACwAXAAiAG0AYQBzAHMAIABvAGYAIABOACAAaQBuACAAZAB1AG4AZwAgAGQAZQBwAG8AcwBpAHQAZQBkACAAbwBuACAAcABhAHMAdAB1AHIAZQAsACAAcgBhAG4AZwBlACAAYQBuAGQAIABwAGEAZABkAG8AYwBrAFwAIgAsAFwAIgBrAGcAIABOAFwAIgA7AFwAbgAgACAAIAAgACAAIAAgACAAIAAgAFwAIgBBAFUAagBtAFwAIgAsAFwAIgBtAGEAcwBzACAAbwBmACAATgAgAGkAbgAgAHUAcgBpAG4AZQAgAGQAZQBwAG8AcwBpAHQAZQBkACAAbwBuACAAcABhAHMAdAB1AHIAZQAsACAAcgBhAG4AZwBlACAAYQBuAGQAIABwAGEAZABkAG8AYwBrAFwAIgAsAFwAIgBrAGcAIABOAFwAIgA7AFwAbgAgACAAIAAgACAAIAAgACAAIAAgAFwAIgBFAEYAUABSAFAAXAAiACwAXAAiAGQAaQByAGUAYwB0ACAATgAyAE8AIABlAG0AaQBzAHMAaQBvAG4AIABmAGEAYwB0AG8AcgAgAGYAbwByACAAcABhAHMAdAB1AHIAZQAsACAAcgBhAG4AZwBlACAAYQBuAGQAIABwAGEAZABkAG8AYwBrAFwAIgAsAFwAIgBrAGcAIABOADIATwAtAE4ALwBrAGcAIABOAFwAIgA7AFwAbgAgACAAIAAgACAAIAAgACAAIAAgAFwAIgBDAGcATgAyAE8AXAAiACwAXAAiAGYAYQBjAHQAbwByACAAdABvACAAYwBvAG4AdgBlAHIAdAAgAGUAbABlAG0AZQBuAHQAYQBsACAAbQBhAHMAcwAgAG8AZgAgAE4AMgBPACAAdABvACAAbQBvAGwAZQBjAHUAbABhAHIAIABtAGEAcwBzAFwAIgAsAFwAIgBcACIAXABuACAAIAAgACAAIAAgACAAIAB9ACwAIAByACwAIABjACkAXABuACAAIAAgACAAIAAgACkAXABuACAAIAAgACAAKQBcAG4AIAAg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AvACoAIABcAG4ALQAtAC0ALQAtAC0ALQAtAC0ALQAtAC0ALQAtAC0ALQAtAC0ALQAtAC0ALQAtAC0ALQAtAC0ALQAtAC0ALQAtAC0ALQAtAC0ALQAtAFwAbgBTAG8AdQByAGMAZQBEAGEAdABhAF8ARgBlAGUAZABsAG8AdABfAE0AQwBGAFwAbgBUAGEAYgBsAGUAIABBAC4AMQAuADcALgA0ADoAIABGAGUAZQBkAGwAbwB0ACAALQAgAE0AQwBGAHM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3AC4ANAA6ACAARgBlAGUAZABsAG8AdAAgAC0AIABNAEMARgBzAFwAIgApADsAXABuAFwAbgBTAG8AdQByAGMAZQBEAGEAdABhAF8ARgBlAGUAZABsAG8AdABfAE0AQwBGAF8AVgBhAHIAaQBhAHQAaQBvAG4AXABuACAAIAA9AEwAQQBNAEIARABBACgAXABuACAAIAAgACAATQBBAEsARQBBAFIAUgBBAFkAKAA0ACwAIAAxACwAIABcAG4AIAAgACAAIAAgACAATABBAE0AQgBEAEEAKAByACwAYwAsACAAXABuACAAIAAgACAAIAAgACAAIABJAE4ARABFAFgAKAB7AFwAbgAgACAAIAAgACAAIAAgACAAIAAgAFwAIgBWAEEAUgBJAEEAVABJAE8ATgAgAE8ATgAgAFMATwBVAFIAQwBFADoAXAAiADsAXABuACAAIAAgACAAIAAgACAAIAAgACAAXAAiAEQAdQBwAGwAaQBjAGEAdABlAGQAIABOAFMAVwAgAHYAYQBsAHUAZQBzACAAZgBvAHIAIABBAEMAVABcACIAOwBcAG4AIAAgACAAIAAgACAAIAAgACAAIABcACIAQQBkAGQAZQBkACAATgBUACAAYQBuAGQAIABUAEEAUwAgAGMAbwBsAHUAbQBuAHMAIAB3AGkAdABoACAAJwBuAG8AIABkAGEAdABhACcAIAB2AGEAbAB1AGUAcwBcACIAOwBcAG4AIAAgACAAIAAgACAAIAAgACAAIABcACIAQQBkAGQAZQBkACAAJwBOAEkAUgAgAGQAZQBmAGkAbgBpAHQAaQBvAG4AJ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XAAiAE4AbwAgAGQAYQB0AGEAXAAiACwAIAAwAC4AMAAxACwAIAAwAC4AMAAxACwAIAAwAC4AMAAxACwAIABcACIATgBvACAAZABhAHQAYQBcACIALAAgAFwAIgBEAHIAeQBsAG8AdAAgACgAZgBlAGUAZAAgAHAAYQBkACkAXAAiADsAIABcAG4AIAAgACAAIAAgACAAIAAgACAAIABcACIAUwBlAGMAbwBuAGQAYQByAHkAXAAiACwAIABcACIAUwBvAGwAaQBkACAAUwB0AG8AcgBhAGcAZQAgACgAUwB0AG8AYwBrAHAAaQBsAGUAKQBcACIALAAgADAALgAwADIALAAgADAALgAwADIALAAgADAALgAwADIALAAgAFwAIgBOAG8AIABkAGEAdABhAFwAIgAsACAAMAAuADAAMgAsACAAMAAuADAAMgAsACAAMAAuADAAMgAsACAAXAAiAE4AbwAgAGQAYQB0AGEAXAAiACwAIABcACIAUwBvAGwAaQBkACAAcwB0AG8AcgBhAGcAZQBcACIAOwAgAFwAbgAgACAAIAAgACAAIAAgACAAIAAgAFwAIgBTAGUAYwBvAG4AZABhAHIAeQBcACIALAAgAFwAIgBDAG8AbQBwAG8AcwB0AGkAbgBnACAAKABQAGEAcwBzAGkAdgBlACAAVwBpAG4AZAByAG8AdwApAFwAIgAsACAAMAAuADAAMQAsACAAMAAuADAAMQAsACAAMAAuADAAMQAsACAAXAAiAE4AbwAgAGQAYQB0AGEAXAAiACwAIAAwAC4AMAAxACwAIAAwAC4AMAAxACwAIAAwAC4AMAAxACwAIABcACIATgBvACAAZABhAHQAYQBcACIALAAgAFwAIgBDAG8AbQBwAG8AcwB0AGkAbgBnACAAKABwAGEAcwBzAGkAdgBlACAAdwBpAG4AZAByAG8AdwApAFwAIgA7ACAAXABuACAAIAAgACAAIAAgACAAIAAgACAAXAAiAFMAZQBjAG8AbgBkAGEAcgB5AFwAIgAsACAAXAAiAEQAaQByAGUAYwB0ACAAQQBwAHAAbABpAGMAYQB0AGkAbwBuACAAdABvACAAcwBvAGkAbABcACIALAAgADAALAAgADAALAAgADAALAAgAFwAIgBOAG8AIABkAGEAdABhAFwAIgAsACAAMAAsACAAMAAsACAAMAAsACAAXAAiAE4AbwAgAGQAYQB0AGEAXAAi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XAAiAE4AbwAgAGQAYQB0AGEAXAAiACwAIAAwAC4ANwA1ACwAIAAwAC4ANwA1ACwAIAAwAC4ANwA3ACwAIABcACIATgBvACAAZABhAHQAYQBcACIALAAgAFwAIgBBAG4AYQBlAHIAbwBiAGkAYwAgAGwAYQBnAG8AbwBuAFwAIgBcAG4AIAAgACAAIAAgACAAIAAgAH0ALAAgAHIALAAgAGMAKQBcAG4AIAAgACAAIAAgACAAKQBcAG4AIAAgACAAIAApAFwAbgAgACAAKQA7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CAAKAA3ADAALQA4ADAAIABkAGEAeQBzACkAXAAiADsAIABcAG4AIAAgACAAIAAgACAAIAAgACAAIABcACIARQB4AHAAbwByAHQAIABtAGkAZAAgAGYAZQBkACAAKAA4ADAALQAyADAAMAAgAGQAYQB5AHMAKQBcACIAOwAgAFwAbgAgACAAIAAgACAAIAAgACAAIAAgAFwAIgBFAHgAcABvAHIAdAAgAGwAbwBuAGcAIABmAGUAZAAgACgAMgAwADAAKwAgAGQAYQB5AHMAKQBcACIAXABuACAAIAAgACAAIAAgACAAIAB9ACwAIAByACwAIABjACkAXABuACAAIAAgACAAIAAgACkAXABuACAAIAAgACAAKQBcAG4AIAAgACkAOw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BcAFwAcwB1AG0AXwB7AG0AfQBcAFwAcwB1AG0AXwB7AFQAfQAoAEQAXwB7AGoAfQBcAFwAdABpAG0AZQBzACAATQBfAHsAagBtAFQAfQBcAFwAdABpAG0AZQBzACAATgBfAHsAagB9ACkAXABcAHQAaQBtAGUAcwAxADAAXgB7AC0AMwB9AFwAbgBEAGoAIAA9ACAAbABlAG4AZwB0AGgAIABvAGYAIABzAHQAYQB5ACAAbwBmACAAZQBhAGMAaAAgAGMAYQB0AHQAbABlACAAZwByAG8AdQBwACAAOgAgAGQAYQB5AHMAXABuAE0AagBtAFQAIAA9ACAAbQBlAHQAaABhAG4AZQAgAHAAcgBvAGQAdQBjAHQAaQBvAG4AIABmAHIAbwBtACAAbQBhAG4AdQByAGUAIABwAGUAcgAgAGMAYQB0AHQAbABlACAAZwByAG8AdQBwACwAIABNAE0AUwAsACAAYQBuAGQAIAB0AHIAZQBhAHQAbQBlAG4AdAAgAHMAdABhAGcAZQAgADoAIABrAGcAIABDAEgANAAvAGgAZQBhAGQALwBkAGEAeQBcAG4ATgBqACAAPQAgAG4AdQBtAGIAZQByAHMAIABvAGYAIABiAGUAZQBmACAAYwBhAHQAdABsAGUAIABpAG4AIABlAGEAYwBoACAAZwByAG8AdQBwACAAOgAgAGgAZQBhAGQAXABuAC0ALQAtAC0ALQAtAC0ALQAtAC0ALQAtAC0ALQAtAC0ALQAtAC0ALQAtAC0ALQAtAC0ALQAtAC0ALQAtAC0ALQAtAC0ALQAtAC0ALQBcAG4AKgAvAFwAbgBcAG4AVgBFAEUAUgBHAF8ANABfADEAXwAxAF8AMQBfAF8AMQBfAFQAbwB0AGEAbABBAG4AbgB1AGEAbABNAGUAdABoAGEAbgBlAEUAbQBpAHMAcwBpAG8AbgBzAFwAbgAgACAAPQBMAEEATQBCAEQAQQAoAFwAbgAgACAAIAAgAEQAagAsACAATQBqAG0AVAAsACAATgBqACwAXABuACAAIAAgACAAUwBVAE0AUABSAE8ARABVAEMAVAAoAEQAagAsACAATQBqAG0AVAAsACAATg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agBcACIALABcACIAbABlAG4AZwB0AGgAIABvAGYAIABzAHQAYQB5ACAAbwBmACAAZQBhAGMAaAAgAGMAYQB0AHQAbABlACAAZwByAG8AdQBwACAAOgAgAGQAYQB5AHMAXAAiADsAXABuACAAIAAgACAAIAAgACAAIAAgACAAXAAiAE0AagBtAFQAXAAiACwAXAAiAG0AZQB0AGgAYQBuAGUAIABwAHIAbwBkAHUAYwB0AGkAbwBuACAAZgByAG8AbQAgAG0AYQBuAHUAcgBlACAAcABlAHIAIABjAGEAdAB0AGwAZQAgAGcAcgBvAHUAcAAsACAATQBNAFMALAAgAGEAbgBkACAAdAByAGUAYQB0AG0AZQBuAHQAIABzAHQAYQBnAGUAIAA6ACAAawBnACAAQwBIADQALwBoAGUAYQBkAC8AZABhAHkAXAAiADsAXABuACAAIAAgACAAIAAgACAAIAAgACAAXAAiAE4AagBcACIALABcACIAbgB1AG0AYgBlAHIAcwAgAG8AZgAgAGIAZQBlAGYAIABjAGEAdAB0AGwAZQAgAGkAbgAgAGUAYQBjAGgAIABnAHIAbwB1AHA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yAF8AUwB0AGEAZwBlADEATQBlAHQAaABhAG4AZQBQAHIAbwBkAHUAYwB0AGkAbwBuAEQAcgB5AGwAbwB0AFwAbgBQAHIAbwBkAHUAYwB0AGkAbwBuACAAbwBmACAAbQBlAHQAaABhAG4AZQAgAGkAbgAgAHQAcgBlAGEAdABtAGUAbgB0ACAAcwB0AGEAZwBlACAAMQAgAE0ATQBTAFwAbgBN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bQA1AFQAMQAgAD0AIABmAHIAYQBjAHQAaQBvAG4AIABvAGYAIABtAGEAbgB1AHIAZQAgAGkAbgAgAHAAcgBpAG0AYQByAHkAIABzAHkAcwB0AGUAbQAgAGQAcgB5AGwAbwB0ACAATQBNAFMAIAA6ACAAZgByAGEAYwB0AGkAbwBuAFwAbgBNAEMARgBpAG0ANQAgAD0AIABtAGUAdABoAGEAbgBlACAAYwBvAG4AdgBlAHIAcwBpAG8AbgAgAGYAYQBjAHQAbwByACAAZgBvAHIAIAB0AGUAbQBwAGUAcgBhAHQAdQByAGUAIAB6AG8Ab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GoALAAgAEIATwAsACAATQBNAFMAbQA1AFQAMQAsACAATQBDAEYAaQBtADUALAAgAHIAaABvACwAXABuACAAIAAgACAATABFAFQAKABcAG4AIAAgACAAIAAgACAATQBDAEYAaQBtADUALAAgAEkARgAoAEkAUwBOAFUATQBCAEUAUgAoAE0AQwBGAGkAbQA1ACkALAAgAE0AQwBGAGkAbQA1ACwAIAAwACkALABcAG4AIAAgACAAIAAgACAAVgBTAGoAIAAqACAAQgBPACAAKgAgAE0ATQBTAG0ANQBUADEAIAAqACAATQBDAEY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agBtADUAVAAxAFwAIgApADsAXABuAFwAbgBWAEUARQBSAEcAXwA0AF8AMQBfADEAXwAxAF8AXwAyAF8AUwB0AGEAZwBlADEATQBlAHQAaABhAG4AZQBQAHIAbwBkAHUAYwB0AGkAbwBuAEQAcgB5AGwAbwB0AF8AVQBuAGkAdABcAG4AIAAgAD0ATABBAE0AQgBEAEEAKABcACIAawBnACAAQwBIADQALwBoAGUAYQBkAC8AZABhAHkAXAAiACkAOwBcAG4AXABuAFYARQBFAFIARwBfADQAXwAxAF8AMQBfADEAXwBfADIAXwBTAHQAYQBnAGUAMQBNAGUAdABoAGEAbgBlAFAAcgBvAGQAdQBjAHQAaQBvAG4ARAByAHkAbABvAHQAXwBTAG8AdQByAGMAZQBcAG4AIAAgAD0ATABBAE0AQgBEAEEAKABcACIAVgBFAEUAUgBHACAAMgAwADIANgA6ACAANAAuADEALgAxAC4AMQAsACAARQBxAHUAYQB0AGkAbwBuACAAKAAyACkAXAAiACkAOwBcAG4AXABuAFYARQBFAFIARwBfADQAXwAxAF8AMQBfADEAXwBfADIAXwBTAHQAYQBnAGUAMQBNAGUAdABoAGEAbgBlAFAAcgBvAGQAdQBjAHQAaQBvAG4ARAByAHkAbABvAHQAXwBOAEkAUgBSAGUAZgBlAHIAZQBuAGMAZQBcAG4AIAAgAD0ATABBAE0AQgBEAEEAKABcACIAXAAiACkAOwBcAG4AXABuAFYARQBFAFIARwBfADQAXwAxAF8AMQBfADEAXwBfADIAXwBTAHQAYQBnAGUAMQBNAGUAdABoAGEAbgBlAFAAcgBvAGQAdQBjAHQAaQBvAG4ARAByAHkAbABvAHQAXwBMAGEAdABlAHgARQBxAHUAYQB0AGkAbwBuAFwAbgAgACAAPQBMAEEATQBCAEQAQQAoAFwAIgBNAF8AewBqAG0APQA1ACwAVAA9ADEAfQA9AFYAUwBfAHsAagB9AFwAXAB0AGkAbQBlAHMAIABCAE8AXABcAHQAaQBtAGUAcwAgAE0ATQBTAF8AewBtAD0ANQAsAFQAPQAxAH0AXABcAHQAaQBtAGUAcwAgAE0AQwBGAF8AewBpAG0APQA1AH0AXABcAHQAaQBtAGUAcwAgAFwAXAByAGgAbwBcACIAKQA7AFwAbgBcAG4AVgBFAEUAUgBHAF8ANABfADEAXwAxAF8AMQBfAF8AMgBfAFMAdABhAGcAZQAxAE0AZQB0AGgAYQBuAGUAUAByAG8AZAB1AGMAdABpAG8AbgBEAHIAeQBsAG8AdABfAEEAcgBnAHUAbQBlAG4AdABzAFwAbgAgACAAPQBMAEEATQBCAEQAQQAoAFwAbgAgACAAIAAgAE0AQQBLAEUAQQBSAFIAQQBZACgANgAsACAAMgAsAFwAbgAgACAAIAAgACAAIABMAEEATQBCAEQAQQAoAHIALABjACwAXABuACAAIAAgACAAIAAgACAAIABJAE4ARABFAFgAKAB7AFwAbgAgACAAIAAgACAAIAAgACAAIAAgAFwAIgBWAFM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tADUAVAAxAFwAIgAsAFwAIgBmAHIAYQBjAHQAaQBvAG4AIABvAGYAIABtAGEAbgB1AHIAZQAgAGkAbgAgAHAAcgBpAG0AYQByAHkAIABzAHkAcwB0AGUAbQAgAGQAcgB5AGwAbwB0ACAATQBNAFMAIAA6ACAAZgByAGEAYwB0AGkAbwBuAFwAIgA7AFwAbgAgACAAIAAgACAAIAAgACAAIAAgAFwAIgBNAEMARgBpAG0ANQBcACIALABcACIAbQBlAHQAaABhAG4AZQAgAGMAbwBuAHYAZQByAHMAaQBvAG4AIABmAGEAYwB0AG8AcgAgAGYAbwByACAAdABlAG0AcABlAHIAYQB0AHUAcgBlACAAegBvAG4AZQAgAGEAbgBkACAAZAByAHkAbABvAHQ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MAXwBTAHQAYQBnAGUAMgBNAGUAdABoAGEAbgBlAFAAcgBvAGQAdQBjAHQAaQBvAG4AXABuAFAAcgBvAGQAdQBjAHQAaQBvAG4AIABvAGYAIABtAGUAdABoAGEAbgBlACAAaQBuACAAdAByAGUAYQB0AG0AZQBuAHQAIABzAHQAYQBnAGUAIAAyACAATQBNAFMAXABuAE0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GoALAAgAEIATwAsACAATQBNAFMAbQBUADIALAAgAE0AQwBGAGkAbQAsACAAcgBoAG8ALABcAG4AIAAgACAAIAAoADEAIAAtACAAVgBTAEwAKQAgACoAIABWAFMAagAgACoAIABCAE8AIAAqACAATQBNAFMAbQBUADIAIAAqACAATQBDAEY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qAG0AVAAyAFwAIgApADsAXABuAFwAbgBWAEUARQBSAEcAXwA0AF8AMQBfADEAXwAxAF8AXwAzAF8AUwB0AGEAZwBlADIATQBlAHQAaABhAG4AZQBQAHIAbwBkAHUAYwB0AGkAbwBuAF8AVQBuAGkAdABcAG4AIAAgAD0ATABBAE0AQgBEAEEAKABcACIAawBnACAAQwBIADQALwBoAGUAYQBkAC8AZABhAHkAXAAiACkAOwBcAG4AXABuAFYARQBFAFIARwBfADQAXwAxAF8AMQBfADEAXwBfADMAXwBTAHQAYQBnAGUAMgBNAGUAdABoAGEAbgBlAFAAcgBvAGQAdQBjAHQAaQBvAG4AXwBTAG8AdQByAGMAZQBcAG4AIAAgAD0ATABBAE0AQgBEAEEAKABcACIAVgBFAEUAUgBHACAAMgAwADIANgA6ACAANAAuADEALgAxAC4AMQAsACAARQBxAHUAYQB0AGkAbwBuACAAKAAzACkAXAAiACkAOwBcAG4AXABuAFYARQBFAFIARwBfADQAXwAxAF8AMQBfADEAXwBfADMAXwBTAHQAYQBnAGUAMgBNAGUAdABoAGEAbgBlAFAAcgBvAGQAdQBjAHQAaQBvAG4AXwBOAEkAUgBSAGUAZgBlAHIAZQBuAGMAZQBcAG4AIAAgAD0ATABBAE0AQgBEAEEAKABcACIAXAAiACkAOwBcAG4AXABuAFYARQBFAFIARwBfADQAXwAxAF8AMQBfADEAXwBfADMAXwBTAHQAYQBnAGUAMgBNAGUAdABoAGEAbgBlAFAAcgBvAGQAdQBjAHQAaQBvAG4AXwBMAGEAdABlAHgARQBxAHUAYQB0AGkAbwBuAFwAbgAgACAAPQBMAEEATQBCAEQAQQAoAFwAIgBNAF8AewBqAG0AVAA9ADIAfQA9ACgAMQAtAFYAUwBMACkAXABcAHQAaQBtAGUAcwAgAFYAUwBfAHsAagB9AFwAXAB0AGkAbQBlAHMAIABCAE8AXABcAHQAaQBtAGUAcwAgAE0ATQBTAF8AewBtAFQAPQAyAH0AXABcAHQAaQBtAGUAcwAgAE0AQwBGAF8AewBpAG0AfQBcAFwAdABpAG0AZQBzACAAXABcAHIAaABvAFwAIgApADsAXABuAFwAbgBWAEUARQBSAEcAXwA0AF8AMQBfADEAXwAxAF8AXwAzAF8AUwB0AGEAZwBlADIATQBlAHQAaABhAG4AZQBQAHIAbwBkAHUAYwB0AGkAbwBuAF8AQQByAGcAdQBtAGUAbgB0AHMAXABuACAAIAA9AEwAQQBNAEIARABBACgAXABuACAAIAAgACAATQBBAEsARQBBAFIAUgBBAFkAKAA3ACwAIAAy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AgADoAIABmAHIAYQBjAHQAaQBvAG4AXAAiADsAXABuACAAIAAgACAAIAAgACAAIAAgACAAXAAiAFYAUwBqAFwAIgAsAFwAIgB2AG8AbABhAHQAaQBsAGUAIABzAG8AbABpAGQAIABwAHIAbwBkAHUAYwB0AGkAbwBuACAAZgByAG8AbQAgAGYAZQBlAGQAbABvAHQAIABjAGEAdAB0AGwAZQAgAGkAbgAgAGUAYQBjAGgAIABnAHIAbwB1AHAAIAA6ACAAawBnAC8AaABlAGEAZAAvAGQAYQB5AFwAIgA7AFwAbgAgACAAIAAgACAAIAAgACAAIAAgAFwAIgBCAE8AXAAiACwAXAAiAGUAbQBpAHMAcwBpAG8AbgBzACAAcABvAHQAZQBuAHQAaQBhAGwAIAA6ACAAbQAzACAAQwBIADQALwBrAGcAIABWAFMAXAAiADsAXABuACAAIAAgACAAIAAgACAAIAAgACAAXAAiAE0ATQBTAG0AVAAyAFwAIgAsAFwAIgBmAHIAYQBjAHQAaQBvAG4AIABvAGYAIABtAGEAbgB1AHIAZQAgAGkAbgAgAGUAYQBjAGgAIABzAGUAYwBvAG4AZABhAHIAeQAgAHMAeQBzAHQAZQBtACAAOgAgAGYAcgBhAGMAdABpAG8AbgBcACIAOwBcAG4AIAAgACAAIAAgACAAIAAgACAAIABcACIATQBDAEY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QAXwBTAHQAYQBnAGUAMwBNAGUAdABoAGEAbgBlAFAAcgBvAGQAdQBjAHQAaQBvAG4AQQBuAGEAZQByAG8AYgBpAGMATABhAGcAbwBvAG4AXABuAFAAcgBvAGQAdQBjAHQAaQBvAG4AIABvAGYAIABtAGUAdABoAGEAbgBlACAAaQBuACAAdAByAGUAYQB0AG0AZQBuAHQAIABzAHQAYQBnAGUAIAAzACAATQBNAFMAXABuAE0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tADEAVAAzACAAPQAgAGYAcgBhAGMAdABpAG8AbgAgAG8AZgAgAG0AYQBuAHUAcgBlACAAdABvACAAdABlAHIAdABpAGEAcgB5ACAAYQBuAGEAZQByAG8AYgBpAGMAIABsAGEAZwBvAG8AbgAgAHMAeQBzAHQAZQBtACAAOgAgAGYAcgBhAGMAdABpAG8AbgBcAG4ATQBDAEYAaQBtADEAIAA9ACAAbQBlAHQAaABhAG4AZQAgAGMAbwBuAHYAZQByAHMAaQBvAG4AIABmAGEAYwB0AG8AcgAgAGYAbwByACAAdABlAG0AcABlAHIAYQB0AHUAcgBlACAAegBvAG4AZQAgAGEAbgBkACAAYQBuAGEAZQByAG8AYgBpAGMAIABsAGEAZwBvAG8Abg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QAXwBTAHQAYQBnAGUAMwBNAGUAdABoAGEAbgBlAFAAcgBvAGQAdQBjAHQAaQBvAG4AQQBuAGEAZQByAG8AYgBpAGMATABhAGcAbwBvAG4AXABuACAAIAA9AEwAQQBNAEIARABBACgAXABuACAAIAAgACAAVgBTAGoALAAgAEIATwAsACAATQBNAFMAbQAxAFQAMwAsACAATQBDAEYAaQBtADEALAAgAHIAaABvACwAXABuACAAIAAgACAAVgBTAGoAIAAqACAAQgBPACAAKgAgAE0ATQBTAG0AMQBUADMAIAAqACAATQBDAEYAaQBtADEAIAAqACAAcgBoAG8AXABuACAAIAApADsAXABuAFwAbgBWAEUARQBSAEcAXwA0AF8AMQBfADEAXwAxAF8AXwA0AF8AUwB0AGEAZwBlADMATQBlAHQAaABhAG4AZQBQAHIAbwBkAHUAYwB0AGkAbwBuAEEAbgBhAGUAcgBvAGIAaQBjAEwAYQBnAG8AbwBuAF8AVABpAHQAbABlAFwAbgAgACAAPQBMAEEATQBCAEQAQQAoAFwAIgBQAHIAbwBkAHUAYwB0AGkAbwBuACAAbwBmACAAbQBlAHQAaABhAG4AZQAgAGkAbgAgAHQAcgBlAGEAdABtAGUAbgB0ACAAcwB0AGEAZwBlACAAMwAgAE0ATQBTAFwAIgApADsAXABuAFwAbgBWAEUARQBSAEcAXwA0AF8AMQBfADEAXwAxAF8AXwA0AF8AUwB0AGEAZwBlADMATQBlAHQAaABhAG4AZQBQAHIAbwBkAHUAYwB0AGkAbwBuAEEAbgBhAGUAcgBvAGIAaQBjAEwAYQBnAG8AbwBuAF8AVgBhAHIAaQBhAGIAbABlAFwAbgAgACAAPQBMAEEATQBCAEQAQQAoAFwAIgBNAGoAbQAxAFQAMwBcACIAKQA7AFwAbgBcAG4AVgBFAEUAUgBHAF8ANABfADEAXwAxAF8AMQBfAF8ANABfAFMAdABhAGcAZQAzAE0AZQB0AGgAYQBuAGUAUAByAG8AZAB1AGMAdABpAG8AbgBBAG4AYQBlAHIAbwBiAGkAYwBMAGEAZwBvAG8AbgBfAFUAbgBpAHQAXABuACAAIAA9AEwAQQBNAEIARABBACgAXAAiAGsAZwAgAEMASAA0AC8AaABlAGEAZAAvAGQAYQB5AFwAIgApADsAXABuAFwAbgBWAEUARQBSAEcAXwA0AF8AMQBfADEAXwAxAF8AXwA0AF8AUwB0AGEAZwBlADMATQBlAHQAaABhAG4AZQBQAHIAbwBkAHUAYwB0AGkAbwBuAEEAbgBhAGUAcgBvAGIAaQBjAEwAYQBnAG8AbwBuAF8AUwBvAHUAcgBjAGUAXABuACAAIAA9AEwAQQBNAEIARABBACgAXAAiAFYARQBFAFIARwAgADIAMAAyADYAOgAgADQALgAxAC4AMQAuADEALAAgAEUAcQB1AGEAdABpAG8AbgAgACgANAApAFwAIgApADsAXABuAFwAbgBWAEUARQBSAEcAXwA0AF8AMQBfADEAXwAxAF8AXwA0AF8AUwB0AGEAZwBlADMATQBlAHQAaABhAG4AZQBQAHIAbwBkAHUAYwB0AGkAbwBuAEEAbgBhAGUAcgBvAGIAaQBjAEwAYQBnAG8AbwBuAF8ATgBJAFIAUgBlAGYAZQByAGUAbgBjAGUAXABuACAAIAA9AEwAQQBNAEIARABBACgAXAAiAFwAIgApADsAXABuAFwAbgBWAEUARQBSAEcAXwA0AF8AMQBfADEAXwAxAF8AXwA0AF8AUwB0AGEAZwBlADMATQBlAHQAaABhAG4AZQBQAHIAbwBkAHUAYwB0AGkAbwBuAEEAbgBhAGUAcgBvAGIAaQBjAEwAYQBnAG8AbwBuAF8ATABhAHQAZQB4AEUAcQB1AGEAdABpAG8AbgBcAG4AIAAgAD0ATABBAE0AQgBEAEEAKABcACIATQBfAHsAagBtAD0AMQAsAFQAPQAzAH0APQBWAFMAXwB7AGoAfQBcAFwAdABpAG0AZQBzACAAQgBPAFwAXAB0AGkAbQBlAHMAIABNAE0AUwBfAHsAbQA9ADEALABUAD0AMwB9AFwAXAB0AGkAbQBlAHMAIABNAEMARgBfAHsAaQBtAD0AMQB9AFwAXAB0AGkAbQBlAHMAIABcAFwAcgBoAG8AXAAiACkAOwBcAG4AXABuAFYARQBFAFIARwBfADQAXwAxAF8AMQBfADEAXwBfADQAXwBTAHQAYQBnAGUAMwBNAGUAdABoAGEAbgBlAFAAcgBvAGQAdQBjAHQAaQBvAG4AQQBuAGEAZQByAG8AYgBpAGMATABhAGcAbwBvAG4AXwBBAHIAZwB1AG0AZQBuAHQAcwBcAG4AIAAgAD0ATABBAE0AQgBEAEEAKABcAG4AIAAgACAAIABNAEEASwBFAEEAUgBSAEEAWQAoADYALAAgADIALABcAG4AIAAgACAAIAAgACAATABBAE0AQgBEAEEAKAByACwAYwAsAFwAbgAgACAAIAAgACAAIAAgACAASQBOAEQARQBYACgAewBcAG4AIAAgACAAIAAgACAAIAAgACAAIABcACIAVgBTAGoAXAAiACwAXAAiAHYAbwBsAGEAdABpAGwAZQAgAHMAbwBsAGkAZAAgAHAAcgBvAGQAdQBjAHQAaQBvAG4AIABmAHIAbwBtACAAZgBlAGUAZABsAG8AdAAgAGMAYQB0AHQAbABlACAAaQBuACAAZQBhAGMAaAAgAGcAcgBvAHUAcAAgAGoAIAA6ACAAawBnAC8AaABlAGEAZAAvAGQAYQB5AFwAIgA7AFwAbgAgACAAIAAgACAAIAAgACAAIAAgAFwAIgBCAE8AXAAiACwAXAAiAGUAbQBpAHMAcwBpAG8AbgBzACAAcABvAHQAZQBuAHQAaQBhAGwAIAA6ACAAbQAzACAAQwBIADQALwBrAGcAIABWAFMAXAAiADsAXABuACAAIAAgACAAIAAgACAAIAAgACAAXAAiAE0ATQBTAG0AMQBUADMAXAAiACwAXAAiAGYAcgBhAGMAdABpAG8AbgAgAG8AZgAgAG0AYQBuAHUAcgBlACAAdABvACAAdABlAHIAdABpAGEAcgB5ACAAYQBuAGEAZQByAG8AYgBpAGMAIABsAGEAZwBvAG8AbgAgAHMAeQBzAHQAZQBtACAAOgAgAGYAcgBhAGMAdABpAG8AbgBcACIAOwBcAG4AIAAgACAAIAAgACAAIAAgACAAIABcACIATQBDAEYAaQBtADEAXAAiACwAXAAiAG0AZQB0AGgAYQBuAGUAIABjAG8AbgB2AGUAcgBzAGkAbwBuACAAZgBhAGMAdABvAHIAIABmAG8AcgAgAHQAZQBtAHAAZQByAGEAdAB1AHIAZQAgAHoAbwBuAGUAIABhAG4AZAAgAGEAbgBhAGUAcgBvAGIAaQBjACAAbABhAGcAbwBvAG4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qAFwAbgBrAGcALwBoAGUAYQBkAC8AZABhAHkAXABuAFYAUwBfAHsAagB9AD0ASQBfAHsAagB9AFwAXAB0AGkAbQBlAHMAKAAxAC0ARABNAEQAXwB7AGoAfQApAFwAXAB0AGkAbQBlAHMAKAAxAC0AQQApAFwAbgBJAGoAIAA9ACAAZAByAHkAIABtAGEAdAB0AGUAcgAgAGkAbgB0AGEAawBlACAAZgBvAHIAIABlAGEAYwBoACAAZwByAG8AdQBwACAAOgAgAGsAZwAgAEQATQAvAGgAZQBhAGQALwBkAGEAeQBcAG4ARABNAEQ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qACwAIABEAE0ARABqACwAIABBACwAXABuACAAIAAgACAASQBqACAAKgAgACgAMQAgAC0AIABEAE0ARA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qAFwAIgApADsAXABuAFwAbgBWAEUARQBSAEcAXwA0AF8AMQBfADEAXwAxAF8AXwA1AF8AVgBvAGwAYQB0AGkAbABlAFMAbwBsAGkAZABQAHIAbwBkAHUAYwB0AGkAbwBuAF8AVQBuAGkAdABcAG4AIAAgAD0ATABBAE0AQgBEAEEAKABcACIAawBnAC8AaABlAGEAZAAvAGQAYQB5AFwAIgApADsAXABuAFwAbgBWAEUARQBSAEcAXwA0AF8AMQBfADEAXwAxAF8AXwA1AF8AVgBvAGwAYQB0AGkAbABlAFMAbwBsAGkAZABQAHIAbwBkAHUAYwB0AGkAbwBuAF8AUwBvAHUAcgBjAGUAXABuACAAIAA9AEwAQQBNAEIARABBACgAXAAiAFYARQBFAFIARwAgADIAMAAyADYAOgAgADQALgAxAC4AMQAuADEALAAgAEUAcQB1AGEAdABpAG8AbgAgACgANQApAFwAIgApADsAXABuAFwAbgBWAEUARQBSAEcAXwA0AF8AMQBfADEAXwAxAF8AXwA1AF8AVgBvAGwAYQB0AGkAbABlAFMAbwBsAGkAZABQAHIAbwBkAHUAYwB0AGkAbwBuAF8ATgBJAFIAUgBlAGYAZQByAGUAbgBjAGUAXABuACAAIAA9AEwAQQBNAEIARABBACgAXAAiAFwAIgApADsAXABuAFwAbgBWAEUARQBSAEcAXwA0AF8AMQBfADEAXwAxAF8AXwA1AF8AVgBvAGwAYQB0AGkAbABlAFMAbwBsAGkAZABQAHIAbwBkAHUAYwB0AGkAbwBuAF8ATABhAHQAZQB4AEUAcQB1AGEAdABpAG8AbgBcAG4AIAAgAD0ATABBAE0AQgBEAEEAKABcACIAVgBTAF8AewBqAH0APQBJAF8AewBqAH0AXABcAHQAaQBtAGUAcwAoADEALQBEAE0ARABfAHsAagB9ACkAXABcAHQAaQBtAGUAcwAoADEALQBBACkAXAAiACkAOwBcAG4AXABuAFYARQBFAFIARwBfADQAXwAxAF8AMQBfADEAXwBfADUAXwBWAG8AbABhAHQAaQBsAGUAUwBvAGwAaQBkAFAAcgBvAGQAdQBjAHQAaQBvAG4AXwBBAHIAZwB1AG0AZQBuAHQAcwBcAG4AIAAgAD0ATABBAE0AQgBEAEEAKABcAG4AIAAgACAAIABNAEEASwBFAEEAUgBSAEEAWQAoADMALAAgADIALABcAG4AIAAgACAAIAAgACAATABBAE0AQgBEAEEAKAByACwAYwAsAFwAbgAgACAAIAAgACAAIAAgACAASQBOAEQARQBYACgAewBcAG4AIAAgACAAIAAgACAAIAAgACAAIABcACIASQBqAFwAIgAsAFwAIgBkAHIAeQAgAG0AYQB0AHQAZQByACAAaQBuAHQAYQBrAGUAIABmAG8AcgAgAGUAYQBjAGgAIABnAHIAbwB1AHAAIABqACAAOgAgAGsAZwAgAEQATQAvAGgAZQBhAGQALwBkAGEAeQBcACIAOwBcAG4AIAAgACAAIAAgACAAIAAgACAAIABcACIARABNAEQAagBcACIALABcACIAZAByAHkAIABtAGEAdAB0AGUAcgAgAGQAaQBnAGUAcwB0AGkAYgBpAGwAaQB0AHkAIABmAG8AcgAgAGUAYQBjAGgAIABnAHIAbwB1AHAAIABqACAAOgAgAGYAcgBhAGMAdABpAG8AbgBcACIAOwBcAG4AIAAgACAAIAAgACAAIAAgACAAIABcACIAQQBcACIALABcACIAYQBzAGgAIABjAG8AbgB0AGUAbgB0ACAAbwBmACAAbQBhAG4AdQByAGUAIAA6ACAAZgByAGEAYwB0AGkAbwBuAFwAIgBcAG4AIAAgACAAIAAgACAAIAAgAH0ALAAgAHIALAAgAGMAKQBcAG4AIAAgACAAIAAgACAAKQBcAG4AIAAgACAAIAApAFwAbgAgACAAKQA7AFwAbgBcAG4AXABuAFwAbg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BAGcAUwBvAGkAbABzAF8ARQBxAHUAYQB0AGkAbwBuAHMALgBBAGcAUwBvAGkAbABzAF8AQQB0AG0AbwBzAHAAaABlAHIAaQBjAEQAZQBwAG8AcwBpAHQAaQBvAG4AXwBHAFcAUAAiACwAIgBDAG8AbQBtAG8AbgBBAGcAUwBvAGkAbABzAF8ARQBxAHUAYQB0AGkAbwBuAHMALgBBAGcAUwBvAGkAbABzAF8AQQB0AG0AbwBzAHAAaABlAHIAaQBjAEQAZQBwAG8AcwBpAHQAaQBvAG4AIgAsACIAQwBvAG0AbQBvAG4AQQBnAFMAbwBpAGwAcwBfAEUAcQB1AGEAdABpAG8AbgBzAC4AQQBnAFMAbwBpAGwAcwBfAEEAdABtAG8AcwBwAGgAZQByAGkAYwBEAGUAcABvAHMAaQB0AGkAbwBuAF8AVABpAHQAbABlACIALAAiAEMAbwBtAG0AbwBuAEEAZwBTAG8AaQBsAHMAXwBFAHEAdQBhAHQAaQBvAG4AcwAuAEEAZwBTAG8AaQBsAHMAXwBBAHQAbQBvAHMAcABoAGUAcgBpAGMARABlAHAAbwBzAGkAdABpAG8AbgBfAFYAYQByAGkAYQBiAGwAZQAiACwAIgBDAG8AbQBtAG8AbgBBAGcAUwBvAGkAbABzAF8ARQBxAHUAYQB0AGkAbwBuAHMALgBBAGcAUwBvAGkAbABzAF8AQQB0AG0AbwBzAHAAaABlAHIAaQBjAEQAZQBwAG8AcwBpAHQAaQBvAG4AXwBVAG4AaQB0ACIALAAiAEMAbwBtAG0AbwBuAEEAZwBTAG8AaQBsAHMAXwBFAHEAdQBhAHQAaQBvAG4AcwAuAEEAZwBTAG8AaQBsAHMAXwBBAHQAbQBvAHMAcABoAGUAcgBpAGMARABlAHAAbwBzAGkAdABpAG8AbgBfAE4ASQBSAFIAZQBmAGUAcgBlAG4AYwBlACIALAAiAEMAbwBtAG0AbwBuAEEAZwBTAG8AaQBsAHMAXwBFAHEAdQBhAHQAaQBvAG4AcwAuAEEAZwBTAG8AaQBsAHMAXwBBAHQAbQBvAHMAcABoAGUAcgBpAGMARABlAHAAbwBzAGkAdABpAG8AbgBfAFIAZQBhAGQAYQBiAGwAZQBFAHEAdQBhAHQAaQBvAG4AIgAsACIAQwBvAG0AbQBvAG4AQQBnAFMAbwBpAGwAcwBfAEUAcQB1AGEAdABpAG8AbgBzAC4AQQBnAFMAbwBpAGwAcwBfAEEAdABtAG8AcwBwAGgAZQByAGkAYwBEAGUAcABvAHMAaQB0AGkAbwBuAF8AQQByAGcAdQBtAGUAbgB0AHMAIgAsACIAQwBvAG0AbQBvAG4AQQBnAFMAbwBpAGwAcwBfAEUAcQB1AGEAdABpAG8AbgBzAC4AQQBnAFMAbwBpAGwAcwBfAE0AYQBzAHMAVgBvAGwAYQB0AGkAbABpAHMAZQBkAEEAbgBpAG0AYQBsAFcAYQBzAHQAZQAiACwAIgBDAG8AbQBtAG8AbgBBAGcAUwBvAGkAbABzAF8ARQBxAHUAYQB0AGkAbwBuAHMALgBBAGcAUwBvAGkAbABzAF8ATQBhAHMAcwBWAG8AbABhAHQAaQBsAGkAcwBlAGQAQQBuAGkAbQBhAGwAVwBhAHMAdABlAF8AVABpAHQAbABlACIALAAiAEMAbwBtAG0AbwBuAEEAZwBTAG8AaQBsAHMAXwBFAHEAdQBhAHQAaQBvAG4AcwAuAEEAZwBTAG8AaQBsAHMAXwBNAGEAcwBzAFYAbwBsAGEAdABpAGwAaQBzAGUAZABBAG4AaQBtAGEAbABXAGEAcwB0AGUAXwBWAGEAcgBpAGEAYgBsAGUAIgAsACIAQwBvAG0AbQBvAG4AQQBnAFMAbwBpAGwAcwBfAEUAcQB1AGEAdABpAG8AbgBzAC4AQQBnAFMAbwBpAGwAcwBfAE0AYQBzAHMAVgBvAGwAYQB0AGkAbABpAHMAZQBkAEEAbgBpAG0AYQBsAFcAYQBzAHQAZQBfAFUAbgBpAHQAIgAsACIAQwBvAG0AbQBvAG4AQQBnAFMAbwBpAGwAcwBfAEUAcQB1AGEAdABpAG8AbgBzAC4AQQBnAFMAbwBpAGwAcwBfAE0AYQBzAHMAVgBvAGwAYQB0AGkAbABpAHMAZQBkAEEAbgBpAG0AYQBsAFcAYQBzAHQAZQBfAE4ASQBSAFIAZQBmAGUAcgBlAG4AYwBlACIALAAiAEMAbwBtAG0AbwBuAEEAZwBTAG8AaQBsAHMAXwBFAHEAdQBhAHQAaQBvAG4AcwAuAEEAZwBTAG8AaQBsAHMAXwBNAGEAcwBzAFYAbwBsAGEAdABpAGwAaQBzAGUAZABBAG4AaQBtAGEAbABXAGEAcwB0AGUAXwBSAGUAYQBkAGEAYgBsAGUARQBxAHUAYQB0AGkAbwBuACIALAAiAEMAbwBtAG0AbwBuAEEAZwBTAG8AaQBsAHMAXwBFAHEAdQBhAHQAaQBvAG4AcwAuAEEAZwBTAG8AaQBsAHMAXwBNAGEAcwBzAFYAbwBsAGEAdABpAGwAaQBzAGUAZABBAG4AaQBtAGEAbABXAGEAcwB0AGUAXwBBAHIAZwB1AG0AZQBuAHQAcwAiACwAIgBDAG8AbQBtAG8AbgBBAGcAUwBvAGkAbABzAF8ARQBxAHUAYQB0AGkAbwBuAHMALgBBAGcAcwBvAGkAbABzAF8ATQBhAHMAcwBWAG8AbABhAHQAaQBsAGkAcwBlAGQASQBuAG8AcgBnAGEAbgBpAGMARgBlAHIAdABpAGwAaQBzAGUAcgAiACwAIgBDAG8AbQBtAG8AbgBBAGcAUwBvAGkAbABzAF8ARQBxAHUAYQB0AGkAbwBuAHMALgBBAGcAcwBvAGkAbABzAF8ATQBhAHMAcwBWAG8AbABhAHQAaQBsAGkAcwBlAGQASQBuAG8AcgBnAGEAbgBpAGMARgBlAHIAdABpAGwAaQBzAGUAcgBfAFQAaQB0AGwAZQAiACwAIgBDAG8AbQBtAG8AbgBBAGcAUwBvAGkAbABzAF8ARQBxAHUAYQB0AGkAbwBuAHMALgBBAGcAcwBvAGkAbABzAF8ATQBhAHMAcwBWAG8AbABhAHQAaQBsAGkAcwBlAGQASQBuAG8AcgBnAGEAbgBpAGMARgBlAHIAdABpAGwAaQBzAGUAcgBfAFYAYQByAGkAYQBiAGwAZQAiACwAIgBDAG8AbQBtAG8AbgBBAGcAUwBvAGkAbABzAF8ARQBxAHUAYQB0AGkAbwBuAHMALgBBAGcAcwBvAGkAbABzAF8ATQBhAHMAcwBWAG8AbABhAHQAaQBsAGkAcwBlAGQASQBuAG8AcgBnAGEAbgBpAGMARgBlAHIAdABpAGwAaQBzAGUAcgBfAFUAbgBpAHQAIgAsACIAQwBvAG0AbQBvAG4AQQBnAFMAbwBpAGwAcwBfAEUAcQB1AGEAdABpAG8AbgBzAC4AQQBnAHMAbwBpAGwAcwBfAE0AYQBzAHMAVgBvAGwAYQB0AGkAbABpAHMAZQBkAEkAbgBvAHIAZwBhAG4AaQBjAEYAZQByAHQAaQBsAGkAcwBlAHIAXwBOAEkAUgBSAGUAZgBlAHIAZQBuAGMAZQAiACwAIgBDAG8AbQBtAG8AbgBBAGcAUwBvAGkAbABzAF8ARQBxAHUAYQB0AGkAbwBuAHMALgBBAGcAcwBvAGkAbABzAF8ATQBhAHMAcwBWAG8AbABhAHQAaQBsAGkAcwBlAGQASQBuAG8AcgBnAGEAbgBpAGMARgBlAHIAdABpAGwAaQBzAGUAcgBfAFIAZQBhAGQAYQBiAGwAZQBFAHEAdQBhAHQAaQBvAG4AIgAsACIAQwBvAG0AbQBvAG4AQQBnAFMAbwBpAGwAcwBfAEUAcQB1AGEAdABpAG8AbgBzAC4AQQBnAHMAbwBpAGwAcwBfAE0AYQBzAHMAVgBvAGwAYQB0AGkAbABpAHMAZQBkAEkAbgBvAHIAZwBhAG4AaQBjAEYAZQByAHQAaQBsAGkAcwBlAHIAXwBBAHIAZwB1AG0AZQBuAHQAcwAiACwAIgBDAG8AbQBtAG8AbgBBAGcAUwBvAGkAbABzAF8ARQBxAHUAYQB0AGkAbwBuAHMALgBBAGcAUwBvAGkAbABzAF8ATABlAGEAYwBoAGkAbgBnAEEAbgBkAFIAdQBuAG8AZgBmAF8ARwBXAFAAIgAsACIAQwBvAG0AbQBvAG4AQQBnAFMAbwBpAGwAcwBfAEUAcQB1AGEAdABpAG8AbgBzAC4AQQBnAFMAbwBpAGwAcwBfAEwAZQBhAGMAaABpAG4AZwBBAG4AZABSAHUAbgBvAGYAZgAiACwAIgBDAG8AbQBtAG8AbgBBAGcAUwBvAGkAbABzAF8ARQBxAHUAYQB0AGkAbwBuAHMALgBBAGcAUwBvAGkAbABzAF8ATABlAGEAYwBoAGkAbgBnAEEAbgBkAFIAdQBuAG8AZgBmAF8AVABpAHQAbABlACIALAAiAEMAbwBtAG0AbwBuAEEAZwBTAG8AaQBsAHMAXwBFAHEAdQBhAHQAaQBvAG4AcwAuAEEAZwBTAG8AaQBsAHMAXwBMAGUAYQBjAGgAaQBuAGcAQQBuAGQAUgB1AG4AbwBmAGYAXwBWAGEAcgBpAGEAYgBsAGUAIgAsACIAQwBvAG0AbQBvAG4AQQBnAFMAbwBpAGwAcwBfAEUAcQB1AGEAdABpAG8AbgBzAC4AQQBnAFMAbwBpAGwAcwBfAEwAZQBhAGMAaABpAG4AZwBBAG4AZABSAHUAbgBvAGYAZgBfAFUAbgBpAHQAIgAsACIAQwBvAG0AbQBvAG4AQQBnAFMAbwBpAGwAcwBfAEUAcQB1AGEAdABpAG8AbgBzAC4AQQBnAFMAbwBpAGwAcwBfAEwAZQBhAGMAaABpAG4AZwBBAG4AZABSAHUAbgBvAGYAZgBfAE4ASQBSAFIAZQBmAGUAcgBlAG4AYwBlACIALAAiAEMAbwBtAG0AbwBuAEEAZwBTAG8AaQBsAHMAXwBFAHEAdQBhAHQAaQBvAG4AcwAuAEEAZwBTAG8AaQBsAHMAXwBMAGUAYQBjAGgAaQBuAGcAQQBuAGQAUgB1AG4AbwBmAGYAXwBSAGUAYQBkAGEAYgBsAGUARQBxAHUAYQB0AGkAbwBuACIALAAiAEMAbwBtAG0AbwBuAEEAZwBTAG8AaQBsAHMAXwBFAHEAdQBhAHQAaQBvAG4AcwAuAEEAZwBTAG8AaQBsAHMAXwBMAGUAYQBjAGgAaQBuAGcAQQBuAGQAUgB1AG4AbwBmAGYAXwBBAHIAZwB1AG0AZQBuAHQAcwAiACwAIgBDAG8AbQBtAG8AbgBBAGcAUwBvAGkAbABzAF8ARQBxAHUAYQB0AGkAbwBuAHMALgBBAGcAUwBvAGkAbABzAF8ATQBhAHMAcwBBAG4AaQBtAGEAbABXAGEAcwB0AGUATgBMAG8AcwB0ACIALAAiAEMAbwBtAG0AbwBuAEEAZwBTAG8AaQBsAHMAXwBFAHEAdQBhAHQAaQBvAG4AcwAuAEEAZwBTAG8AaQBsAHMAXwBNAGEAcwBzAEEAbgBpAG0AYQBsAFcAYQBzAHQAZQBOAEwAbwBzAHQAXwBUAGkAdABsAGUAIgAsACIAQwBvAG0AbQBvAG4AQQBnAFMAbwBpAGwAcwBfAEUAcQB1AGEAdABpAG8AbgBzAC4AQQBnAFMAbwBpAGwAcwBfAE0AYQBzAHMAQQBuAGkAbQBhAGwAVwBhAHMAdABlAE4ATABvAHMAdABfAFYAYQByAGkAYQBiAGwAZQAiACwAIgBDAG8AbQBtAG8AbgBBAGcAUwBvAGkAbABzAF8ARQBxAHUAYQB0AGkAbwBuAHMALgBBAGcAUwBvAGkAbABzAF8ATQBhAHMAcwBBAG4AaQBtAGEAbABXAGEAcwB0AGUATgBMAG8AcwB0AF8AVQBuAGkAdAAiACwAIgBDAG8AbQBtAG8AbgBBAGcAUwBvAGkAbABzAF8ARQBxAHUAYQB0AGkAbwBuAHMALgBBAGcAUwBvAGkAbABzAF8ATQBhAHMAcwBBAG4AaQBtAGEAbABXAGEAcwB0AGUATgBMAG8AcwB0AF8ATgBJAFIAUgBlAGYAZQByAGUAbgBjAGUAIgAsACIAQwBvAG0AbQBvAG4AQQBnAFMAbwBpAGwAcwBfAEUAcQB1AGEAdABpAG8AbgBzAC4AQQBnAFMAbwBpAGwAcwBfAE0AYQBzAHMAQQBuAGkAbQBhAGwAVwBhAHMAdABlAE4ATABvAHMAdABfAFIAZQBhAGQAYQBiAGwAZQBFAHEAdQBhAHQAaQBvAG4AIgAsACIAQwBvAG0AbQBvAG4AQQBnAFMAbwBpAGwAcwBfAEUAcQB1AGEAdABpAG8AbgBzAC4AQQBnAFMAbwBpAGwAcwBfAE0AYQBzAHMAQQBuAGkAbQBhAGwAVwBhAHMAdABlAE4ATABvAHMAdABfAEEAcgBnAHUAbQBlAG4AdABzACIALAAiAEMAbwBtAG0AbwBuAEEAZwBTAG8AaQBsAHMAXwBFAHEAdQBhAHQAaQBvAG4AcwAuAEEAZwBTAG8AaQBsAHMAXwBNAGEAcwBzAEkAbgBvAHIAZwBhAG4AaQBjAEYAZQByAHQAaQBsAGkAcwBlAHIATgBMAG8AcwB0ACIALAAiAEMAbwBtAG0AbwBuAEEAZwBTAG8AaQBsAHMAXwBFAHEAdQBhAHQAaQBvAG4AcwAuAEEAZwBTAG8AaQBsAHMAXwBNAGEAcwBzAEkAbgBvAHIAZwBhAG4AaQBjAEYAZQByAHQAaQBsAGkAcwBlAHIATgBMAG8AcwB0AF8AVABpAHQAbABlACIALAAiAEMAbwBtAG0AbwBuAEEAZwBTAG8AaQBsAHMAXwBFAHEAdQBhAHQAaQBvAG4AcwAuAEEAZwBTAG8AaQBsAHMAXwBNAGEAcwBzAEkAbgBvAHIAZwBhAG4AaQBjAEYAZQByAHQAaQBsAGkAcwBlAHIATgBMAG8AcwB0AF8AVgBhAHIAaQBhAGIAbABlACIALAAiAEMAbwBtAG0AbwBuAEEAZwBTAG8AaQBsAHMAXwBFAHEAdQBhAHQAaQBvAG4AcwAuAEEAZwBTAG8AaQBsAHMAXwBNAGEAcwBzAEkAbgBvAHIAZwBhAG4AaQBjAEYAZQByAHQAaQBsAGkAcwBlAHIATgBMAG8AcwB0AF8AVQBuAGkAdAAiACwAIgBDAG8AbQBtAG8AbgBBAGcAUwBvAGkAbABzAF8ARQBxAHUAYQB0AGkAbwBuAHMALgBBAGcAUwBvAGkAbABzAF8ATQBhAHMAcwBJAG4AbwByAGcAYQBuAGkAYwBGAGUAcgB0AGkAbABpAHMAZQByAE4ATABvAHMAdABfAE4ASQBSAFIAZQBmAGUAcgBlAG4AYwBlACIALAAiAEMAbwBtAG0AbwBuAEEAZwBTAG8AaQBsAHMAXwBFAHEAdQBhAHQAaQBvAG4AcwAuAEEAZwBTAG8AaQBsAHMAXwBNAGEAcwBzAEkAbgBvAHIAZwBhAG4AaQBjAEYAZQByAHQAaQBsAGkAcwBlAHIATgBMAG8AcwB0AF8AUgBlAGEAZABhAGIAbABlAEUAcQB1AGEAdABpAG8AbgAiACwAIgBDAG8AbQBtAG8AbgBBAGcAUwBvAGkAbABzAF8ARQBxAHUAYQB0AGkAbwBuAHMALgBBAGcAUwBvAGkAbABzAF8ATQBhAHMAcwBJAG4AbwByAGcAYQBuAGkAYwBGAGUAcgB0AGkAbABpAHMAZQByAE4ATABvAHMAdABfAEEAcgBnAHUAbQBlAG4AdABzACIALAAiAEMAbwBtAG0AbwBuAEEAZwBTAG8AaQBsAHMAXwBFAHEAdQBhAHQAaQBvAG4AcwAuAEEAZwBTAG8AaQBsAHMAXwBNAGEAcwBzAEMAcgBvAHAAUgBlAHMAaQBkAHUAZQBOAEwAbwBzAHQAIgAsACIAQwBvAG0AbQBvAG4AQQBnAFMAbwBpAGwAcwBfAEUAcQB1AGEAdABpAG8AbgBzAC4AQQBnAFMAbwBpAGwAcwBfAE0AYQBzAHMAQwByAG8AcABSAGUAcwBpAGQAdQBlAE4ATABvAHMAdABfAFQAaQB0AGwAZQAiACwAIgBDAG8AbQBtAG8AbgBBAGcAUwBvAGkAbABzAF8ARQBxAHUAYQB0AGkAbwBuAHMALgBBAGcAUwBvAGkAbABzAF8ATQBhAHMAcwBDAHIAbwBwAFIAZQBzAGkAZAB1AGUATgBMAG8AcwB0AF8AVgBhAHIAaQBhAGIAbABlACIALAAiAEMAbwBtAG0AbwBuAEEAZwBTAG8AaQBsAHMAXwBFAHEAdQBhAHQAaQBvAG4AcwAuAEEAZwBTAG8AaQBsAHMAXwBNAGEAcwBzAEMAcgBvAHAAUgBlAHMAaQBkAHUAZQBOAEwAbwBzAHQAXwBVAG4AaQB0ACIALAAiAEMAbwBtAG0AbwBuAEEAZwBTAG8AaQBsAHMAXwBFAHEAdQBhAHQAaQBvAG4AcwAuAEEAZwBTAG8AaQBsAHMAXwBNAGEAcwBzAEMAcgBvAHAAUgBlAHMAaQBkAHUAZQBOAEwAbwBzAHQAXwBOAEkAUgBSAGUAZgBlAHIAZQBuAGMAZQAiACwAIgBDAG8AbQBtAG8AbgBBAGcAUwBvAGkAbABzAF8ARQBxAHUAYQB0AGkAbwBuAHMALgBBAGcAUwBvAGkAbABzAF8ATQBhAHMAcwBDAHIAbwBwAFIAZQBzAGkAZAB1AGUATgBMAG8AcwB0AF8AUgBlAGEAZABhAGIAbABlAEUAcQB1AGEAdABpAG8AbgAiACwAIgBDAG8AbQBtAG8AbgBBAGcAUwBvAGkAbABzAF8ARQBxAHUAYQB0AGkAbwBuAHMALgBBAGcAUwBvAGkAbABzAF8ATQBhAHMAcwBDAHIAbwBwAFIAZQBzAGkAZAB1AGUATgBMAG8AcwB0AF8AQQByAGcAdQBtAGUAbgB0AHMAIgAsACIAQwBvAG0AbQBvAG4AQQBnAFMAbwBpAGwAcwBfAEUAcQB1AGEAdABpAG8AbgBzAC4AQQBnAFMAbwBpAGwAcwBfAFUAcgBpAG4AZQBBAG4AZABEAHUAbgBnAEQAZQBwAG8AcwBpAHQAZQBkAF8ARwBXAFAAIgAsACIAQwBvAG0AbQBvAG4AQQBnAFMAbwBpAGwAcwBfAEUAcQB1AGEAdABpAG8AbgBzAC4AQQBnAFMAbwBpAGwAcwBfAFUAcgBpAG4AZQBBAG4AZABEAHUAbgBnAEQAZQBwAG8AcwBpAHQAZQBkACIALAAiAEMAbwBtAG0AbwBuAEEAZwBTAG8AaQBsAHMAXwBFAHEAdQBhAHQAaQBvAG4AcwAuAEEAZwBTAG8AaQBsAHMAXwBVAHIAaQBuAGUAQQBuAGQARAB1AG4AZwBEAGUAcABvAHMAaQB0AGUAZABfAFQAaQB0AGwAZQAiACwAIgBDAG8AbQBtAG8AbgBBAGcAUwBvAGkAbABzAF8ARQBxAHUAYQB0AGkAbwBuAHMALgBBAGcAUwBvAGkAbABzAF8AVQByAGkAbgBlAEEAbgBkAEQAdQBuAGcARABlAHAAbwBzAGkAdABlAGQAXwBWAGEAcgBpAGEAYgBsAGUAIgAsACIAQwBvAG0AbQBvAG4AQQBnAFMAbwBpAGwAcwBfAEUAcQB1AGEAdABpAG8AbgBzAC4AQQBnAFMAbwBpAGwAcwBfAFUAcgBpAG4AZQBBAG4AZABEAHUAbgBnAEQAZQBwAG8AcwBpAHQAZQBkAF8AVQBuAGkAdAAiACwAIgBDAG8AbQBtAG8AbgBBAGcAUwBvAGkAbABzAF8ARQBxAHUAYQB0AGkAbwBuAHMALgBBAGcAUwBvAGkAbABzAF8AVQByAGkAbgBlAEEAbgBkAEQAdQBuAGcARABlAHAAbwBzAGkAdABlAGQAXwBOAEkAUgBSAGUAZgBlAHIAZQBuAGMAZQAiACwAIgBDAG8AbQBtAG8AbgBBAGcAUwBvAGkAbABzAF8ARQBxAHUAYQB0AGkAbwBuAHMALgBBAGcAUwBvAGkAbABzAF8AVQByAGkAbgBlAEEAbgBkAEQAdQBuAGcARABlAHAAbwBzAGkAdABlAGQAXwBSAGUAYQBkAGEAYgBsAGUARQBxAHUAYQB0AGkAbwBuACIALAAiAEMAbwBtAG0AbwBuAEEAZwBTAG8AaQBsAHMAXwBFAHEAdQBhAHQAaQBvAG4AcwAuAEEAZwBTAG8AaQBsAHMAXwBVAHIAaQBuAGUAQQBuAGQARAB1AG4AZwBEAGUAcABvAHMAaQB0AGUAZABfAEEAcgBnAHUAbQBlAG4AdABz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TQBNAFMAXwBGAGUAZQBkAGwAbwB0AF8ATQBlAHQAaABhAG4AZQBfAEUAcQB1AGEAdABpAG8AbgBzAC4AVgBFAEUAUgBHAF8ANABfADEAXwAxAF8AMQBfAF8AMQBfAFQAbwB0AGEAbABBAG4AbgB1AGEAbABNAGUAdABoAGEAbgBlAEUAbQBpAHMAcwBpAG8AbgBzACIALAAiAE0ATQBTAF8ARgBlAGUAZABsAG8AdABfAE0AZQB0AGgAYQBuAGUAXwBFAHEAdQBhAHQAaQBvAG4AcwAuAFYARQBFAFIARwBfADQAXwAxAF8AMQBfADEAXwBfADEAXwBUAG8AdABhAGwAQQBuAG4AdQBhAGwATQBlAHQAaABhAG4AZQBFAG0AaQBzAHMAaQBvAG4AcwBfAFQAaQB0AGwAZQAiACwAIgBNAE0AUwBfAEYAZQBlAGQAbABvAHQAXwBNAGUAdABoAGEAbgBlAF8ARQBxAHUAYQB0AGkAbwBuAHMALgBWAEUARQBSAEcAXwA0AF8AMQBfADEAXwAxAF8AXwAxAF8AVABvAHQAYQBsAEEAbgBuAHUAYQBsAE0AZQB0AGgAYQBuAGUARQBtAGkAcwBzAGkAbwBuAHMAXwBWAGEAcgBpAGEAYgBsAGUAIgAsACIATQBNAFMAXwBGAGUAZQBkAGwAbwB0AF8ATQBlAHQAaABhAG4AZQBfAEUAcQB1AGEAdABpAG8AbgBzAC4AVgBFAEUAUgBHAF8ANABfADEAXwAxAF8AMQBfAF8AMQBfAFQAbwB0AGEAbABBAG4AbgB1AGEAbABNAGUAdABoAGEAbgBlAEUAbQBpAHMAcwBpAG8AbgBzAF8AVQBuAGkAdAAiACwAIgBNAE0AUwBfAEYAZQBlAGQAbABvAHQAXwBNAGUAdABoAGEAbgBlAF8ARQBxAHUAYQB0AGkAbwBuAHMALgBWAEUARQBSAEcAXwA0AF8AMQBfADEAXwAxAF8AXwAxAF8AVABvAHQAYQBsAEEAbgBuAHUAYQBsAE0AZQB0AGgAYQBuAGUARQBtAGkAcwBzAGkAbwBuAHMAXwBTAG8AdQByAGMAZQAiACwAIgBNAE0AUwBfAEYAZQBlAGQAbABvAHQAXwBNAGUAdABoAGEAbgBlAF8ARQBxAHUAYQB0AGkAbwBuAHMALgBWAEUARQBSAEcAXwA0AF8AMQBfADEAXwAxAF8AXwAxAF8AVABvAHQAYQBsAEEAbgBuAHUAYQBsAE0AZQB0AGgAYQBuAGUARQBtAGkAcwBzAGkAbwBuAHMAXwBOAEkAUgBSAGUAZgBlAHIAZQBuAGMAZQAiACwAIgBNAE0AUwBfAEYAZQBlAGQAbABvAHQAXwBNAGUAdABoAGEAbgBlAF8ARQBxAHUAYQB0AGkAbwBuAHMALgBWAEUARQBSAEcAXwA0AF8AMQBfADEAXwAxAF8AXwAxAF8AVABvAHQAYQBsAEEAbgBuAHUAYQBsAE0AZQB0AGgAYQBuAGUARQBtAGkAcwBzAGkAbwBuAHMAXwBMAGEAdABlAHgARQBxAHUAYQB0AGkAbwBuACIALAAiAE0ATQBTAF8ARgBlAGUAZABsAG8AdABfAE0AZQB0AGgAYQBuAGUAXwBFAHEAdQBhAHQAaQBvAG4AcwAuAFYARQBFAFIARwBfADQAXwAxAF8AMQBfADEAXwBfADEAXwBUAG8AdABhAGwAQQBuAG4AdQBhAGwATQBlAHQAaABhAG4AZQBFAG0AaQBzAHMAaQBvAG4AcwBfAEEAcgBnAHUAbQBlAG4AdABzACIALAAiAE0ATQBTAF8ARgBlAGUAZABsAG8AdABfAE0AZQB0AGgAYQBuAGUAXwBFAHEAdQBhAHQAaQBvAG4AcwAuAFYARQBFAFIARwBfADQAXwAxAF8AMQBfADEAXwBfADIAXwBTAHQAYQBnAGUAMQBNAGUAdABoAGEAbgBlAFAAcgBvAGQAdQBjAHQAaQBvAG4ARAByAHkAbABvAHQAIgAsACIATQBNAFMAXwBGAGUAZQBkAGwAbwB0AF8ATQBlAHQAaABhAG4AZQBfAEUAcQB1AGEAdABpAG8AbgBzAC4AVgBFAEUAUgBHAF8ANABfADEAXwAxAF8AMQBfAF8AMgBfAFMAdABhAGcAZQAxAE0AZQB0AGgAYQBuAGUAUAByAG8AZAB1AGMAdABpAG8AbgBEAHIAeQBsAG8AdABfAFQAaQB0AGwAZQAiACwAIgBNAE0AUwBfAEYAZQBlAGQAbABvAHQAXwBNAGUAdABoAGEAbgBlAF8ARQBxAHUAYQB0AGkAbwBuAHMALgBWAEUARQBSAEcAXwA0AF8AMQBfADEAXwAxAF8AXwAyAF8AUwB0AGEAZwBlADEATQBlAHQAaABhAG4AZQBQAHIAbwBkAHUAYwB0AGkAbwBuAEQAcgB5AGwAbwB0AF8AVgBhAHIAaQBhAGIAbABlACIALAAiAE0ATQBTAF8ARgBlAGUAZABsAG8AdABfAE0AZQB0AGgAYQBuAGUAXwBFAHEAdQBhAHQAaQBvAG4AcwAuAFYARQBFAFIARwBfADQAXwAxAF8AMQBfADEAXwBfADIAXwBTAHQAYQBnAGUAMQBNAGUAdABoAGEAbgBlAFAAcgBvAGQAdQBjAHQAaQBvAG4ARAByAHkAbABvAHQAXwBVAG4AaQB0ACIALAAiAE0ATQBTAF8ARgBlAGUAZABsAG8AdABfAE0AZQB0AGgAYQBuAGUAXwBFAHEAdQBhAHQAaQBvAG4AcwAuAFYARQBFAFIARwBfADQAXwAxAF8AMQBfADEAXwBfADIAXwBTAHQAYQBnAGUAMQBNAGUAdABoAGEAbgBlAFAAcgBvAGQAdQBjAHQAaQBvAG4ARAByAHkAbABvAHQAXwBTAG8AdQByAGMAZQAiACwAIgBNAE0AUwBfAEYAZQBlAGQAbABvAHQAXwBNAGUAdABoAGEAbgBlAF8ARQBxAHUAYQB0AGkAbwBuAHMALgBWAEUARQBSAEcAXwA0AF8AMQBfADEAXwAxAF8AXwAyAF8AUwB0AGEAZwBlADEATQBlAHQAaABhAG4AZQBQAHIAbwBkAHUAYwB0AGkAbwBuAEQAcgB5AGwAbwB0AF8ATgBJAFIAUgBlAGYAZQByAGUAbgBjAGUAIgAsACIATQBNAFMAXwBGAGUAZQBkAGwAbwB0AF8ATQBlAHQAaABhAG4AZQBfAEUAcQB1AGEAdABpAG8AbgBzAC4AVgBFAEUAUgBHAF8ANABfADEAXwAxAF8AMQBfAF8AMgBfAFMAdABhAGcAZQAxAE0AZQB0AGgAYQBuAGUAUAByAG8AZAB1AGMAdABpAG8AbgBEAHIAeQBsAG8AdABfAEwAYQB0AGUAeABFAHEAdQBhAHQAaQBvAG4AIgAsACIATQBNAFMAXwBGAGUAZQBkAGwAbwB0AF8ATQBlAHQAaABhAG4AZQBfAEUAcQB1AGEAdABpAG8AbgBzAC4AVgBFAEUAUgBHAF8ANABfADEAXwAxAF8AMQBfAF8AMgBfAFMAdABhAGcAZQAxAE0AZQB0AGgAYQBuAGUAUAByAG8AZAB1AGMAdABpAG8AbgBEAHIAeQBsAG8AdABfAEEAcgBnAHUAbQBlAG4AdABz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QAXwBTAHQAYQBnAGUAMwBNAGUAdABoAGEAbgBlAFAAcgBvAGQAdQBjAHQAaQBvAG4AQQBuAGEAZQByAG8AYgBpAGMATABhAGcAbwBvAG4AIgAsACIATQBNAFMAXwBGAGUAZQBkAGwAbwB0AF8ATQBlAHQAaABhAG4AZQBfAEUAcQB1AGEAdABpAG8AbgBzAC4AVgBFAEUAUgBHAF8ANABfADEAXwAxAF8AMQBfAF8ANABfAFMAdABhAGcAZQAzAE0AZQB0AGgAYQBuAGUAUAByAG8AZAB1AGMAdABpAG8AbgBBAG4AYQBlAHIAbwBiAGkAYwBMAGEAZwBvAG8AbgBfAFQAaQB0AGwAZQAiACwAIgBNAE0AUwBfAEYAZQBlAGQAbABvAHQAXwBNAGUAdABoAGEAbgBlAF8ARQBxAHUAYQB0AGkAbwBuAHMALgBWAEUARQBSAEcAXwA0AF8AMQBfADEAXwAxAF8AXwA0AF8AUwB0AGEAZwBlADMATQBlAHQAaABhAG4AZQBQAHIAbwBkAHUAYwB0AGkAbwBuAEEAbgBhAGUAcgBvAGIAaQBjAEwAYQBnAG8AbwBuAF8AVgBhAHIAaQBhAGIAbABlACIALAAiAE0ATQBTAF8ARgBlAGUAZABsAG8AdABfAE0AZQB0AGgAYQBuAGUAXwBFAHEAdQBhAHQAaQBvAG4AcwAuAFYARQBFAFIARwBfADQAXwAxAF8AMQBfADEAXwBfADQAXwBTAHQAYQBnAGUAMwBNAGUAdABoAGEAbgBlAFAAcgBvAGQAdQBjAHQAaQBvAG4AQQBuAGEAZQByAG8AYgBpAGMATABhAGcAbwBvAG4AXwBVAG4AaQB0ACIALAAiAE0ATQBTAF8ARgBlAGUAZABsAG8AdABfAE0AZQB0AGgAYQBuAGUAXwBFAHEAdQBhAHQAaQBvAG4AcwAuAFYARQBFAFIARwBfADQAXwAxAF8AMQBfADEAXwBfADQAXwBTAHQAYQBnAGUAMwBNAGUAdABoAGEAbgBlAFAAcgBvAGQAdQBjAHQAaQBvAG4AQQBuAGEAZQByAG8AYgBpAGMATABhAGcAbwBvAG4AXwBTAG8AdQByAGMAZQAiACwAIgBNAE0AUwBfAEYAZQBlAGQAbABvAHQAXwBNAGUAdABoAGEAbgBlAF8ARQBxAHUAYQB0AGkAbwBuAHMALgBWAEUARQBSAEcAXwA0AF8AMQBfADEAXwAxAF8AXwA0AF8AUwB0AGEAZwBlADMATQBlAHQAaABhAG4AZQBQAHIAbwBkAHUAYwB0AGkAbwBuAEEAbgBhAGUAcgBvAGIAaQBjAEwAYQBnAG8AbwBuAF8ATgBJAFIAUgBlAGYAZQByAGUAbgBjAGUAIgAsACIATQBNAFMAXwBGAGUAZQBkAGwAbwB0AF8ATQBlAHQAaABhAG4AZQBfAEUAcQB1AGEAdABpAG8AbgBzAC4AVgBFAEUAUgBHAF8ANABfADEAXwAxAF8AMQBfAF8ANABfAFMAdABhAGcAZQAzAE0AZQB0AGgAYQBuAGUAUAByAG8AZAB1AGMAdABpAG8AbgBBAG4AYQBlAHIAbwBiAGkAYwBMAGEAZwBvAG8AbgBfAEwAYQB0AGUAeABFAHEAdQBhAHQAaQBvAG4AIgAsACIATQBNAFMAXwBGAGUAZQBkAGwAbwB0AF8ATQBlAHQAaABhAG4AZQBfAEUAcQB1AGEAdABpAG8AbgBzAC4AVgBFAEUAUgBHAF8ANABfADEAXwAxAF8AMQBfAF8ANABfAFMAdABhAGcAZQAzAE0AZQB0AGgAYQBuAGUAUAByAG8AZAB1AGMAdABpAG8AbgBBAG4AYQBlAHIAbwBiAGkAYwBMAGEAZwBvAG8AbgBfAEEAcgBnAHUAbQBlAG4AdABzACIALAAiAE0ATQBTAF8ARgBlAGUAZABsAG8AdABfAE0AZQB0AGgAYQBuAGUAXwBFAHEAdQBhAHQAaQBvAG4AcwAuAFYARQBFAFIARwBfADQAXwAxAF8AMQBfADEAXwBfADUAXwBWAG8AbABhAHQAaQBsAGUAUwBvAGwAaQBkAFAAcgBvAGQAdQBjAHQAaQBvAG4AIgAsACIATQBNAFMAXwBGAGUAZQBkAGwAbwB0AF8ATQBlAHQAaABhAG4AZQBfAEUAcQB1AGEAdABpAG8AbgBzAC4AVgBFAEUAUgBHAF8ANABfADEAXwAxAF8AMQBfAF8ANQBfAFYAbwBsAGEAdABpAGwAZQBTAG8AbABpAGQAUAByAG8AZAB1AGMAdABpAG8AbgBfAFQAaQB0AGwAZQAiACwAIgBNAE0AUwBfAEYAZQBlAGQAbABvAHQAXwBNAGUAdABoAGEAbgBlAF8ARQBxAHUAYQB0AGkAbwBuAHMALgBWAEUARQBSAEcAXwA0AF8AMQBfADEAXwAxAF8AXwA1AF8AVgBvAGwAYQB0AGkAbABlAFMAbwBsAGkAZABQAHIAbwBkAHUAYwB0AGkAbwBuAF8AVgBhAHIAaQBhAGIAbABlACIALAAiAE0ATQBTAF8ARgBlAGUAZABsAG8AdABfAE0AZQB0AGgAYQBuAGUAXwBFAHEAdQBhAHQAaQBvAG4AcwAuAFYARQBFAFIARwBfADQAXwAxAF8AMQBfADEAXwBfADUAXwBWAG8AbABhAHQAaQBsAGUAUwBvAGwAaQBkAFAAcgBvAGQAdQBjAHQAaQBvAG4AXwBVAG4AaQB0ACIALAAiAE0ATQBTAF8ARgBlAGUAZABsAG8AdABfAE0AZQB0AGgAYQBuAGUAXwBFAHEAdQBhAHQAaQBvAG4AcwAuAFYARQBFAFIARwBfADQAXwAxAF8AMQBfADEAXwBfADUAXwBWAG8AbABhAHQAaQBsAGUAUwBvAGwAaQBkAFAAcgBvAGQAdQBjAHQAaQBvAG4AXwBTAG8AdQByAGMAZQAiACwAIgBNAE0AUwBfAEYAZQBlAGQAbABvAHQAXwBNAGUAdABoAGEAbgBlAF8ARQBxAHUAYQB0AGkAbwBuAHMALgBWAEUARQBSAEcAXwA0AF8AMQBfADEAXwAxAF8AXwA1AF8AVgBvAGwAYQB0AGkAbABlAFMAbwBsAGkAZABQAHIAbwBkAHUAYwB0AGkAbwBuAF8ATgBJAFIAUgBlAGYAZQByAGUAbgBjAGUAIgAsACIATQBNAFMAXwBGAGUAZQBkAGwAbwB0AF8ATQBlAHQAaABhAG4AZQBfAEUAcQB1AGEAdABpAG8AbgBzAC4AVgBFAEUAUgBHAF8ANABfADEAXwAxAF8AMQBfAF8ANQBfAFYAbwBsAGEAdABpAGwAZQBTAG8AbABpAGQAUAByAG8AZAB1AGMAdABpAG8AbgBfAEwAYQB0AGUAeABFAHEAdQBhAHQAaQBvAG4AIgAsACIATQBNAFMAXwBGAGUAZQBkAGwAbwB0AF8ATQBlAHQAaABhAG4AZQBfAEUAcQB1AGEAdABpAG8AbgBzAC4AVgBFAEUAUgBHAF8ANABfADEAXwAxAF8AMQBfAF8ANQBfAFYAbwBsAGEAdABpAGwAZQBTAG8AbABpAGQ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3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Home</vt:lpstr>
      <vt:lpstr>Results</vt:lpstr>
      <vt:lpstr>Input - Site</vt:lpstr>
      <vt:lpstr>Input - MMS - Feedlot</vt:lpstr>
      <vt:lpstr>Calcs - CH4 MMS Feedlot</vt:lpstr>
      <vt:lpstr>Constants - Common</vt:lpstr>
      <vt:lpstr>Constants - Livestock</vt:lpstr>
      <vt:lpstr>Acknowledgements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2026-03-26T23:24:17Z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