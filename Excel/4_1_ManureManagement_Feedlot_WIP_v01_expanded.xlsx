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38D41854-3A0D-4B43-B66F-4628181C7884}" xr6:coauthVersionLast="47" xr6:coauthVersionMax="47" xr10:uidLastSave="{00000000-0000-0000-0000-000000000000}"/>
  <bookViews>
    <workbookView xWindow="390" yWindow="390" windowWidth="28800" windowHeight="15345" firstSheet="7" activeTab="7" xr2:uid="{992023F3-CAB7-4E5B-A348-08D563A0EF40}"/>
  </bookViews>
  <sheets>
    <sheet name="Home" sheetId="71" r:id="rId1"/>
    <sheet name="Results" sheetId="13" r:id="rId2"/>
    <sheet name="Input - Site" sheetId="15" r:id="rId3"/>
    <sheet name="Input - MMS - Feedlot" sheetId="70" r:id="rId4"/>
    <sheet name="Calcs - CH4 MMS Feedlot" sheetId="69" r:id="rId5"/>
    <sheet name="Constants - Livestock" sheetId="43" r:id="rId6"/>
    <sheet name="Acknowledgements" sheetId="72" r:id="rId7"/>
    <sheet name="Constants - Common" sheetId="86" r:id="rId8"/>
  </sheets>
  <externalReferences>
    <externalReference r:id="rId9"/>
  </externalReferences>
  <definedNames>
    <definedName name="Common_Equations.Common_ConvertCH4ToCO2e">_xlfn.LAMBDA(_xlpm.E_CH4,_xlpm.GWP_CH4, _xlpm.E_CH4 * _xlpm.GWP_CH4)</definedName>
    <definedName name="Common_Equations.Common_ConvertCH4ToCO2e_Arguments">_xlfn.LAMBDA(_xlfn.MAKEARRAY(2, 2, _xlfn.LAMBDA(_xlpm.r,_xlpm.c, INDEX({"ECH4","Methane emissions (t CH4)";"GWPCH4","Global warming potential for methane (t CO2-e / t CH4)"}, _xlpm.r, _xlpm.c))))</definedName>
    <definedName name="Common_Equations.Common_ConvertCH4ToCO2e_LatexEquation">_xlfn.LAMBDA("CO2_e = E_{CH4} \times GWP_{CH4}")</definedName>
    <definedName name="Common_Equations.Common_ConvertCH4ToCO2e_NIRReference">_xlfn.LAMBDA("")</definedName>
    <definedName name="Common_Equations.Common_ConvertCH4ToCO2e_Title">_xlfn.LAMBDA("Convert methane emissions to carbon dioxide equivalent emissions")</definedName>
    <definedName name="Common_Equations.Common_ConvertCH4ToCO2e_Unit">_xlfn.LAMBDA("t CO2e")</definedName>
    <definedName name="Common_Equations.Common_ConvertCH4ToCO2e_Variable">_xlfn.LAMBDA("ECH4 CO2e")</definedName>
    <definedName name="Common_Equations.Common_ConvertN2OToCO2e">_xlfn.LAMBDA(_xlpm.E_N2O,_xlpm.GWP_N2O, _xlpm.E_N2O * _xlpm.GWP_N2O)</definedName>
    <definedName name="Common_Equations.Common_ConvertN2OToCO2e_Arguments">_xlfn.LAMBDA(_xlfn.MAKEARRAY(2, 2, _xlfn.LAMBDA(_xlpm.r,_xlpm.c, INDEX({"EN2O","Nitrous oxide emissions (t N2O)";"GWPN2O","Global warming potential for nitrous oxide (t CO2-e / t N2O)"}, _xlpm.r, _xlpm.c))))</definedName>
    <definedName name="Common_Equations.Common_ConvertN2OToCO2e_LatexEquation">_xlfn.LAMBDA("CO2_e = E_{N2O} \times GWP_{N2O}")</definedName>
    <definedName name="Common_Equations.Common_ConvertN2OToCO2e_NIRReference">_xlfn.LAMBDA("")</definedName>
    <definedName name="Common_Equations.Common_ConvertN2OToCO2e_Title">_xlfn.LAMBDA("Convert nitrous oxide emissions to carbon dioxide equivalent emissions")</definedName>
    <definedName name="Common_Equations.Common_ConvertN2OToCO2e_Unit">_xlfn.LAMBDA("t CO2e")</definedName>
    <definedName name="Common_Equations.Common_ConvertN2OToCO2e_Variable">_xlfn.LAMBDA("EN2O CO2e")</definedName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_xlpm.startsText, TEXT(_xlpm.starts, "dd mmm yyyy"), _xlpm.endsText, TEXT(_xlpm.ends, "dd mmm yyyy"), IF(_xlpm.n = 0, "", _xlfn.HSTACK(_xlpm.startsText &amp; " to " &amp; _xlpm.endsText))))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_xlfn.FORMULATEXT(_xlpm.Function))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 localSheetId="3">_xlfn.LAMBDA(_xlpm.avgTemp,_xlpm.avgRain,_xlpm.frostDays,_xlpm.elev,_xlpm.map_pet, _xlfn.LET(_xlpm.mask, (VALUE(#REF!) &lt;= _xlpm.avgTemp) * (VALUE(#REF!) &gt;= _xlpm.avgTemp) * (VALUE(#REF!) &lt;= _xlpm.avgRain) * (VALUE(#REF!) &gt;= _xlpm.avgRain) * (VALUE(#REF!) &lt;= _xlpm.frostDays) * (VALUE(#REF!) &gt;= _xlpm.frostDays) * (VALUE(#REF!) &lt;= _xlpm.elev) * (VALUE(#REF!) &gt;= _xlpm.elev) * (VALUE(#REF!) &lt;= _xlpm.map_pet) * (VALUE(#REF!) &gt;= _xlpm.map_pet), _xlfn.TAKE(_xlfn._xlws.FILTER(#REF!, _xlpm.mask, "No match"), 1)))</definedName>
    <definedName name="Common_InputFunctions.Utility_GetClimateZone">_xlfn.LAMBDA(_xlpm.avgTemp,_xlpm.avgRain,_xlpm.frostDays,_xlpm.elev,_xlpm.map_pet, _xlfn.LET(_xlpm.mask, (VALUE(#REF!) &lt;= _xlpm.avgTemp) * (VALUE(#REF!) &gt;= _xlpm.avgTemp) * (VALUE(#REF!) &lt;= _xlpm.avgRain) * (VALUE(#REF!) &gt;= _xlpm.avgRain) * (VALUE(#REF!) &lt;= _xlpm.frostDays) * (VALUE(#REF!) &gt;= _xlpm.frostDays) * (VALUE(#REF!) &lt;= _xlpm.elev) * (VALUE(#REF!) &gt;= _xlpm.elev) * (VALUE(#REF!) &lt;= _xlpm.map_pet) * (VALUE(#REF!) &gt;= _xlpm.map_pet), _xlfn.TAKE(_xlfn._xlws.FILTER(#REF!,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EFN2O_Data">_xlfn.LAMBDA(_xlfn.MAKEARRAY(14, 5, _xlfn.LAMBDA(_xlpm.r,_xlpm.c, INDEX({"Production system j","EFN2O","Production system only","Irrigation method","Rainfall zone";"Irrigated pasture",0.0059,"Pasture","Any","Any";"Irrigated crop",0.007,"Crop","Any","Any";"Non-irrigated pasture",0.0018,"Pasture","Not irrigated","Low rainfall";"Non-irrigated crop (low rainfall)",0.0029,"Crop","Not irrigated","Low rainfall";"Non-irrigated crop (high rainfall)",0.008,"Crop","Not irrigated","High rainfall";"Sugar",0.0199,"Sugar","Any","Any";"Cotton",0.0053,"Cotton","Any","Any";"Horticultural crops",0.0064,"Horticultural crops","Any","Any";"Rice (continuous flooding)",0.003,"Rice","Continuous flooding","Any";"Rice (single and multiple drainage, or alternate wetting and drying)",0.005,"Rice","Single and multiple drainage, or alternate wetting and drying","Any";"Aquaculture",0.0026,"Aquaculture","Any","Any";"Forestry",0.0018,"Forestry","Any","Any"}, _xlpm.r, _xlpm.c))))</definedName>
    <definedName name="Common_SourceData.Common_SourceData_EFN2O_NIRReference">_xlfn.LAMBDA("")</definedName>
    <definedName name="Common_SourceData.Common_SourceData_EFN2O_Source">_xlfn.LAMBDA("VEERG 2026: Table A.2.2.1")</definedName>
    <definedName name="Common_SourceData.Common_SourceData_EFN2O_Title">_xlfn.LAMBDA("Nitrous oxide emission factors for inorganic fertiliser application")</definedName>
    <definedName name="Common_SourceData.Common_SourceData_EFN2O_Unit">_xlfn.LAMBDA("(kg N2O-N / kg N")</definedName>
    <definedName name="Common_SourceData.Common_SourceData_EFN2O_Variation">_xlfn.LAMBDA(_xlfn.MAKEARRAY(4, 1, _xlfn.LAMBDA(_xlpm.r,_xlpm.c, INDEX({"VARIATION OF SOURCE DATA:";"Removed duplicate 'Aquaculture' row.";"Removed asterisks to aid lookup.";"Added 'production system only', 'rainfall zone' and 'irrigation method' columns to aid lookup."}, _xlpm.r, _xlpm.c))))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AgSoils_Equations.AgSoils_AtmosphericDeposition">_xlfn.LAMBDA(_xlpm.Mvolm,_xlpm.Efad,_xlpm.CgN2O, (_xlpm.Mvolm * _xlpm.Efad * _xlpm.CgN2O * 10 ^ -3))</definedName>
    <definedName name="CommonAgSoils_Equations.AgSoils_AtmosphericDeposition_Arguments">_xlfn.LAMBDA(_xlfn.MAKEARRAY(3, 3, _xlfn.LAMBDA(_xlpm.r,_xlpm.c, INDEX({"Mvolm","Mass of nitrogen volatilised from urine and faeces deposited on pasture","kg N";"EFad","Emission factor for atmospheric deposition","kg N2O-N/kg N";"CgN2O","Factor to convert elemental mass of N2O to molecular mass",""}, _xlpm.r, _xlpm.c))))</definedName>
    <definedName name="CommonAgSoils_Equations.AgSoils_AtmosphericDeposition_GWP">_xlfn.LAMBDA(_xlpm.EN2Oad,_xlpm.GWPN2O, (_xlpm.EN2Oad * _xlpm.GWPN2O))</definedName>
    <definedName name="CommonAgSoils_Equations.AgSoils_AtmosphericDeposition_NIRReference">_xlfn.LAMBDA("National Inventory Report Volume 1, 2023: 3.D.B_4")</definedName>
    <definedName name="CommonAgSoils_Equations.AgSoils_AtmosphericDeposition_ReadableEquation">_xlfn.LAMBDA("EN2Oad = Mvolm * EFad * CgN2O * 10 ^ - 3")</definedName>
    <definedName name="CommonAgSoils_Equations.AgSoils_AtmosphericDeposition_Title">_xlfn.LAMBDA("Atmospheric deposition emissions from urine and dung deposited by grazing animals on pasture, range and paddock")</definedName>
    <definedName name="CommonAgSoils_Equations.AgSoils_AtmosphericDeposition_Unit">_xlfn.LAMBDA("t N2O")</definedName>
    <definedName name="CommonAgSoils_Equations.AgSoils_AtmosphericDeposition_Variable">_xlfn.LAMBDA("EN2Oad")</definedName>
    <definedName name="CommonAgSoils_Equations.AgSoils_LeachingAndRunoff">_xlfn.LAMBDA(_xlpm.Mleach,_xlpm.EFleach,_xlpm.CgN2O, (_xlpm.Mleach * _xlpm.EFleach * _xlpm.CgN2O * 10 ^ -3))</definedName>
    <definedName name="CommonAgSoils_Equations.AgSoils_LeachingAndRunoff_Arguments">_xlfn.LAMBDA(_xlfn.MAKEARRAY(3, 3, _xlfn.LAMBDA(_xlpm.r,_xlpm.c, INDEX({"Mleach","Mass of nitrogen lost to leached and run off","kg N";"EFleach","Emission factor for leaching and runoff","kg N2O-N/kg N";"CgN2O","Factor to convert elemental mass of N2O to molecular mass",""}, _xlpm.r, _xlpm.c))))</definedName>
    <definedName name="CommonAgSoils_Equations.AgSoils_LeachingAndRunoff_GWP">_xlfn.LAMBDA(_xlpm.EN2Oleach,_xlpm.GWPN2O, (_xlpm.EN2Oleach * _xlpm.GWPN2O))</definedName>
    <definedName name="CommonAgSoils_Equations.AgSoils_LeachingAndRunoff_NIRReference">_xlfn.LAMBDA("National Inventory Report Volume 1, 2023: 3.D.B_10")</definedName>
    <definedName name="CommonAgSoils_Equations.AgSoils_LeachingAndRunoff_ReadableEquation">_xlfn.LAMBDA("EN2Oleach = Mleach * EFleach * CgN2O * 10 ^ - 3")</definedName>
    <definedName name="CommonAgSoils_Equations.AgSoils_LeachingAndRunoff_Title">_xlfn.LAMBDA("Leaching and runoff emissions from crop residue,inorganic and organic fertiliser applied to soil, urine and dung deposited on pasture")</definedName>
    <definedName name="CommonAgSoils_Equations.AgSoils_LeachingAndRunoff_Unit">_xlfn.LAMBDA("t N2O")</definedName>
    <definedName name="CommonAgSoils_Equations.AgSoils_LeachingAndRunoff_Variable">_xlfn.LAMBDA("EN2Oleach")</definedName>
    <definedName name="CommonAgSoils_Equations.AgSoils_MassAnimalWasteNLost">_xlfn.LAMBDA(_xlpm.MNjm,_xlpm.UNjm,_xlpm.FNjm,_xlpm.FracWET,_xlpm.FracLEACH, (_xlpm.MNjm + _xlpm.UNjm + _xlpm.FNjm) * _xlpm.FracWET * _xlpm.FracLEACH)</definedName>
    <definedName name="CommonAgSoils_Equations.AgSoils_MassAnimalWasteNLost_Arguments">_xlfn.LAMBDA(_xlfn.MAKEARRAY(3, 3, _xlfn.LAMBDA(_xlpm.r,_xlpm.c, INDEX({"MNjm","Mass of nitrogen in manure applied to soils","kg N";"UNjm","Mass of nitrogen in urine deposited on pasture, range and paddock","kg N";"FNjm","Mass of nitrogen in dung deposited on pasture,range and paddock","kg N";"FracWET","Fraction of nitrogen available for leaching and runoff in the climate zone of the entity","fraction";"FracLEACH","Fraction of nitrogen that is lost through leaching and runoff","fraction"}, _xlpm.r, _xlpm.c))))</definedName>
    <definedName name="CommonAgSoils_Equations.AgSoils_MassAnimalWasteNLost_NIRReference">_xlfn.LAMBDA("National Inventory Report Volume 1, 2023: 3.D.B_6")</definedName>
    <definedName name="CommonAgSoils_Equations.AgSoils_MassAnimalWasteNLost_ReadableEquation">_xlfn.LAMBDA("Mleachanimalwaste=(MNjm+UNjm+FNjm)*FracWET*FracLEACH")</definedName>
    <definedName name="CommonAgSoils_Equations.AgSoils_MassAnimalWasteNLost_Title">_xlfn.LAMBDA("Mass of nitrogen lost from manure, urine and dung to leaching and runoff")</definedName>
    <definedName name="CommonAgSoils_Equations.AgSoils_MassAnimalWasteNLost_Unit">_xlfn.LAMBDA("kg N")</definedName>
    <definedName name="CommonAgSoils_Equations.AgSoils_MassAnimalWasteNLost_Variable">_xlfn.LAMBDA("Mleachanimalwaste")</definedName>
    <definedName name="CommonAgSoils_Equations.AgSoils_MassCropResidueNLost">_xlfn.LAMBDA(_xlpm.M,_xlpm.FracWET,_xlpm.FracLEACH, _xlpm.M * _xlpm.FracWET * _xlpm.FracLEACH)</definedName>
    <definedName name="CommonAgSoils_Equations.AgSoils_MassCropResidueNLost_Arguments">_xlfn.LAMBDA(_xlfn.MAKEARRAY(3, 3, _xlfn.LAMBDA(_xlpm.r,_xlpm.c, INDEX({"M","Mass of nitrogen in crop residue applied to soils","kg N";"FracWET","Fraction of nitrogen available for leaching and runoff in the climate zone of the entity","fraction";"FracLEACH","Fraction of nitrogen that is lost through leaching and runoff","fraction"}, _xlpm.r, _xlpm.c))))</definedName>
    <definedName name="CommonAgSoils_Equations.AgSoils_MassCropResidueNLost_NIRReference">_xlfn.LAMBDA("National Inventory Report Volume 1, 2023: 3.D.B_8")</definedName>
    <definedName name="CommonAgSoils_Equations.AgSoils_MassCropResidueNLost_ReadableEquation">_xlfn.LAMBDA("Mleachresidue = M * FracWET * FracLEACH")</definedName>
    <definedName name="CommonAgSoils_Equations.AgSoils_MassCropResidueNLost_Title">_xlfn.LAMBDA("Mass of nitrogen lost from crop residue to leaching and runoff")</definedName>
    <definedName name="CommonAgSoils_Equations.AgSoils_MassCropResidueNLost_Unit">_xlfn.LAMBDA("kg N")</definedName>
    <definedName name="CommonAgSoils_Equations.AgSoils_MassCropResidueNLost_Variable">_xlfn.LAMBDA("Mleachresidue")</definedName>
    <definedName name="CommonAgSoils_Equations.AgSoils_MassInorganicFertiliserNLost">_xlfn.LAMBDA(_xlpm.M,_xlpm.FracWET,_xlpm.FracLEACH, _xlpm.M * _xlpm.FracWET * _xlpm.FracLEACH)</definedName>
    <definedName name="CommonAgSoils_Equations.AgSoils_MassInorganicFertiliserNLost_Arguments">_xlfn.LAMBDA(_xlfn.MAKEARRAY(3, 3, _xlfn.LAMBDA(_xlpm.r,_xlpm.c, INDEX({"M","Mass of nitrogen in inorganic fertiliser applied to soils","kg N";"FracWET","Fraction of nitrogen available for leaching and runoff in the climate zone of the entity","fraction";"FracLEACH","Fraction of nitrogen that is lost through leaching and runoff","fraction"}, _xlpm.r, _xlpm.c))))</definedName>
    <definedName name="CommonAgSoils_Equations.AgSoils_MassInorganicFertiliserNLost_NIRReference">_xlfn.LAMBDA("National Inventory Report Volume 1, 2023: 3.D.B_5")</definedName>
    <definedName name="CommonAgSoils_Equations.AgSoils_MassInorganicFertiliserNLost_ReadableEquation">_xlfn.LAMBDA("Mleachinorganic = M * FracWET * FracLEACH")</definedName>
    <definedName name="CommonAgSoils_Equations.AgSoils_MassInorganicFertiliserNLost_Title">_xlfn.LAMBDA("Mass of nitrogen lost from inorganic fertiliser to leaching and runoff")</definedName>
    <definedName name="CommonAgSoils_Equations.AgSoils_MassInorganicFertiliserNLost_Unit">_xlfn.LAMBDA("kg N")</definedName>
    <definedName name="CommonAgSoils_Equations.AgSoils_MassInorganicFertiliserNLost_Variable">_xlfn.LAMBDA("Mleachinorganic")</definedName>
    <definedName name="CommonAgSoils_Equations.AgSoils_MassVolatilisedAnimalWaste">_xlfn.LAMBDA(_xlpm.MNjm,_xlpm.UNjm,_xlpm.FNjm,_xlpm.FracGASMsoil, (_xlpm.MNjm + _xlpm.UNjm + _xlpm.FNjm) * _xlpm.FracGASMsoil)</definedName>
    <definedName name="CommonAgSoils_Equations.AgSoils_MassVolatilisedAnimalWaste_Arguments">_xlfn.LAMBDA(_xlfn.MAKEARRAY(4, 3, _xlfn.LAMBDA(_xlpm.r,_xlpm.c, INDEX({"MNjm","Mass of manure nitrogen applied to soils","kg N";"UNjm","Mass of urine nitrogen excreted on pasture, range and paddock for each dairy cattle class","kg N";"FNjm","Mass of faecal nitrogen excreted on pasture, range and paddock for each dairy cattle class","kg N";"FracGASMsoil","Fraction of nitrogen volatilised from urine and faeces deposited on pasture","(kg NH3-N + NOx-N)/kg N"}, _xlpm.r, _xlpm.c))))</definedName>
    <definedName name="CommonAgSoils_Equations.AgSoils_MassVolatilisedAnimalWaste_NIRReference">_xlfn.LAMBDA("National Inventory Report Volume 1, 2023: 3.D.B_2")</definedName>
    <definedName name="CommonAgSoils_Equations.AgSoils_MassVolatilisedAnimalWaste_ReadableEquation">_xlfn.LAMBDA("Mvolm = (MNjm + UNjm + FNjm) * FracGASMsoil")</definedName>
    <definedName name="CommonAgSoils_Equations.AgSoils_MassVolatilisedAnimalWaste_Title">_xlfn.LAMBDA("Mass of nitrogen volatilised from manure, urine and faeces deposited on soils")</definedName>
    <definedName name="CommonAgSoils_Equations.AgSoils_MassVolatilisedAnimalWaste_Unit">_xlfn.LAMBDA("kg N")</definedName>
    <definedName name="CommonAgSoils_Equations.AgSoils_MassVolatilisedAnimalWaste_Variable">_xlfn.LAMBDA("Mvolm")</definedName>
    <definedName name="CommonAgSoils_Equations.Agsoils_MassVolatilisedInorganicFertiliser">_xlfn.LAMBDA(_xlpm.MNf,_xlpm.FracGASFf, _xlpm.MNf * _xlpm.FracGASFf)</definedName>
    <definedName name="CommonAgSoils_Equations.Agsoils_MassVolatilisedInorganicFertiliser_Arguments">_xlfn.LAMBDA(_xlfn.MAKEARRAY(2, 3, _xlfn.LAMBDA(_xlpm.r,_xlpm.c, INDEX({"MNf","Mass of nitrogen in inorganic fertiliser applied","kg N";"FracGASFf","Fraction of inorganic fertiliser that volatilises","(kg NH3–N + NOx–N)/kg N"}, _xlpm.r, _xlpm.c))))</definedName>
    <definedName name="CommonAgSoils_Equations.Agsoils_MassVolatilisedInorganicFertiliser_NIRReference">_xlfn.LAMBDA("National Inventory Report Volume 1, 2023: 3.D.B_1")</definedName>
    <definedName name="CommonAgSoils_Equations.Agsoils_MassVolatilisedInorganicFertiliser_ReadableEquation">_xlfn.LAMBDA("Mvolinorganic = MNf * FracGASFf")</definedName>
    <definedName name="CommonAgSoils_Equations.Agsoils_MassVolatilisedInorganicFertiliser_Title">_xlfn.LAMBDA("Mass of nitrogen volatilised from inorganic fertiliser deposited on soils")</definedName>
    <definedName name="CommonAgSoils_Equations.Agsoils_MassVolatilisedInorganicFertiliser_Unit">_xlfn.LAMBDA("kg N")</definedName>
    <definedName name="CommonAgSoils_Equations.Agsoils_MassVolatilisedInorganicFertiliser_Variable">_xlfn.LAMBDA("Mvolinorganic")</definedName>
    <definedName name="CommonAgSoils_Equations.AgSoils_UrineAndDungDeposited">_xlfn.LAMBDA(_xlpm.AFjm,_xlpm.AUjm,_xlpm.EFPRP,_xlpm.CgN2O, ((_xlpm.AFjm * _xlpm.EFPRP * _xlpm.CgN2O) + (_xlpm.AUjm * _xlpm.EFPRP * _xlpm.CgN2O)) * 10 ^ -3)</definedName>
    <definedName name="CommonAgSoils_Equations.AgSoils_UrineAndDungDeposited_Arguments">_xlfn.LAMBDA(_xlfn.MAKEARRAY(4, 3, _xlfn.LAMBDA(_xlpm.r,_xlpm.c, INDEX({"AFjm","mass of N in dung deposited on pasture, range and paddock","kg N";"AUjm","mass of N in urine deposited on pasture, range and paddock","kg N";"EFPRP","direct N2O emission factor for pasture, range and paddock","kg N2O-N/kg N";"CgN2O","factor to convert elemental mass of N2O to molecular mass",""}, _xlpm.r, _xlpm.c))))</definedName>
    <definedName name="CommonAgSoils_Equations.AgSoils_UrineAndDungDeposited_GWP">_xlfn.LAMBDA(_xlpm.EN2Odir,_xlpm.GWPN2O, (_xlpm.EN2Odir * _xlpm.GWPN2O))</definedName>
    <definedName name="CommonAgSoils_Equations.AgSoils_UrineAndDungDeposited_NIRReference">_xlfn.LAMBDA("National Inventory Report Volume 1, 2023: 3.D.a.3")</definedName>
    <definedName name="CommonAgSoils_Equations.AgSoils_UrineAndDungDeposited_ReadableEquation">_xlfn.LAMBDA("EN2Odir = ((AFjm=14 * EFPRP * CgN2O) + (AUjm=14 * EFPRP * CgN2O)) * 10^-3")</definedName>
    <definedName name="CommonAgSoils_Equations.AgSoils_UrineAndDungDeposited_Title">_xlfn.LAMBDA("Nitrous oxide production from urine and dung deposited by grazing animals on pasture, range and paddock")</definedName>
    <definedName name="CommonAgSoils_Equations.AgSoils_UrineAndDungDeposited_Unit">_xlfn.LAMBDA("t N2O")</definedName>
    <definedName name="CommonAgSoils_Equations.AgSoils_UrineAndDungDeposited_Variable">_xlfn.LAMBDA("EN2Odir")</definedName>
    <definedName name="CommonCropping_InputFunctions.CommonCropping_CalculateFractionResidueRemoved">_xlfn.LAMBDA(_xlpm.TotalResidue,_xlpm.AmountRemoved, (_xlpm.AmountRemoved * 10 ^ 3) / (_xlpm.TotalResidue * 10 ^ 3))</definedName>
    <definedName name="CommonCropping_InputFunctions.CommonCropping_CalculateHarvestIndex">_xlfn.LAMBDA(_xlpm.CropType,_xlpm.CropTypeArray,_xlpm.ResidueCropRatioArray, 1 / (1 + Common_InputFunctions.Utility_LookupValueInTableNumber(_xlpm.CropType, _xlpm.CropTypeArray, _xlpm.ResidueCropRatioArray)))</definedName>
    <definedName name="CommonCropping_InputFunctions.CommonCropping_CalculateResidueCropRatio">_xlfn.LAMBDA(_xlpm.HarvestIndex, (1 - _xlpm.HarvestIndex) / _xlpm.HarvestIndex)</definedName>
    <definedName name="CommonCropping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GetMovementLiveweightGain" localSheetId="7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 localSheetId="7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 localSheetId="7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TotalLiveweightAddedDuringMonth" localSheetId="7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 localSheetId="7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SourceData.SourceData_Livestock_Common_FracLEACH_MS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Livestock_SourceData.SourceData_Livestock_Common_FracLEACH_MS_Source">_xlfn.LAMBDA("National Inventory Report 2023 Volume 1: Equations 3.B.5a_3, 3.B.5c_3, 3.B.5d_3")</definedName>
    <definedName name="CommonLivestock_SourceData.SourceData_Livestock_Common_FracLEACH_MS_Title">_xlfn.LAMBDA("Fraction of N lost through leaching and runoff")</definedName>
    <definedName name="CommonLivestock_SourceData.SourceData_Livestock_Common_FracLEACH_MS_Unit">_xlfn.LAMBDA("Fraction")</definedName>
    <definedName name="CommonLivestock_SourceData.SourceData_Livestock_Common_FracWETMMS_Data">_xlfn.LAMBDA(1)</definedName>
    <definedName name="CommonLivestock_SourceData.SourceData_Livestock_Common_FracWETMMS_Source">_xlfn.LAMBDA("National Inventory Report 2023 Volume 1: Equations 3.B.5a_3, 3.B.5c_3, 3.B.5d_3")</definedName>
    <definedName name="CommonLivestock_SourceData.SourceData_Livestock_Common_FracWETMMS_Title">_xlfn.LAMBDA("Fraction of N available for leaching and runoff")</definedName>
    <definedName name="CommonLivestock_SourceData.SourceData_Livestock_Common_FracWETMMS_Unit">_xlfn.LAMBDA("Fraction")</definedName>
    <definedName name="CommonLivestock_SourceData.SourceData_Livestock_Common_SymbolsMMS_Data">_xlfn.LAMBDA(_xlfn.MAKEARRAY(19, 3, _xlfn.LAMBDA(_xlpm.r,_xlpm.c, INDEX({"Symbol","Manure management system","";"1","Anaerobic lagoon","Anaerobic lagoon (m=1)";"2","Liquid systems","Liquid systems (m=2)";"3","Daily spread","Daily spread (m=3)";"3a","Sump and dispersal system","Sump and dispersal system (m=3a)";"3b","Drains to paddock","Drains to paddock (m=3b)";"4","Solid storage","Solid storage (m=4)";"5","Drylot (feed pad)","Drylot (feed pad) (m=5)";"6","Composting (passive windrow)","Composting (passive windrow) (m=6)";"7","Digester / covered lagoons","Digester / covered lagoons (m=7)";"8","Deep litter","Deep litter (m=8)";"9","Pit storage","Pit storage (m=9)";"10","Poultry manure with bedding","Poultry manure with bedding (m=10)";"11","Poultry manure without bedding","Poultry manure without bedding (m=11)";"11a","Belt manure removal","Belt manure removal (m=11a)";"11b","Manure stored in house","Manure stored in house (m=11b)";"12","Direct processing","Direct processing (m=12)";"13","Direct application","Direct application (m=13)";"14","Pasture range and paddock","Pasture range and paddock (m=14)"}, _xlpm.r, _xlpm.c))))</definedName>
    <definedName name="CommonLivestock_SourceData.SourceData_Livestock_Common_SymbolsMMS_Source">_xlfn.LAMBDA("National Inventory Report 2023 Volume 1: Table 5.12")</definedName>
    <definedName name="CommonLivestock_SourceData.SourceData_Livestock_Common_SymbolsMMS_Title">_xlfn.LAMBDA("Table 5.12 Additional symbols used in algorithms for manure related emissions")</definedName>
    <definedName name="CommonLivestock_SourceData.SourceData_Livestock_Common_SymbolsMMS_Unit">_xlfn.LAMBDA("")</definedName>
    <definedName name="CommonLivestock_SourceData.SourceData_Livestock_Common_SymbolsMMS_Vairable">_xlfn.LAMBDA("MMS")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MMS_Feedlot_Methane_Equations.VEERG_4_1_1_1__1_TotalAnnualMethaneEmissions">_xlfn.LAMBDA(_xlpm.Dj,_xlpm.MjmT,_xlpm.Nj, SUMPRODUCT(_xlpm.Dj, _xlpm.MjmT, _xlpm.Nj) * 10 ^ -3)</definedName>
    <definedName name="MMS_Feedlot_Methane_Equations.VEERG_4_1_1_1__1_TotalAnnualMethaneEmissions_Arguments">_xlfn.LAMBDA(_xlfn.MAKEARRAY(3, 2, _xlfn.LAMBDA(_xlpm.r,_xlpm.c, INDEX({"Dj","length of stay of each cattle group : days";"MjmT","methane production from manure per cattle group, MMS, and treatment stage : kg CH4/head/day";"Nj","numbers of beef cattle in each group : head"}, _xlpm.r, _xlpm.c))))</definedName>
    <definedName name="MMS_Feedlot_Methane_Equations.VEERG_4_1_1_1__1_TotalAnnualMethaneEmissions_LatexEquation">_xlfn.LAMBDA("{E}_{CH4}=\sum_{j}\sum_{m}\sum_{T}(D_{j}\times M_{jmT}\times N_{j})\times10^{-3}")</definedName>
    <definedName name="MMS_Feedlot_Methane_Equations.VEERG_4_1_1_1__1_TotalAnnualMethaneEmissions_NIRReference">_xlfn.LAMBDA("")</definedName>
    <definedName name="MMS_Feedlot_Methane_Equations.VEERG_4_1_1_1__1_TotalAnnualMethaneEmissions_Source">_xlfn.LAMBDA("VEERG 2026: 4.1.1.1, Equation (1)")</definedName>
    <definedName name="MMS_Feedlot_Methane_Equations.VEERG_4_1_1_1__1_TotalAnnualMethaneEmissions_Title">_xlfn.LAMBDA("Total annual methane emissions from manure management")</definedName>
    <definedName name="MMS_Feedlot_Methane_Equations.VEERG_4_1_1_1__1_TotalAnnualMethaneEmissions_Unit">_xlfn.LAMBDA("t CH4")</definedName>
    <definedName name="MMS_Feedlot_Methane_Equations.VEERG_4_1_1_1__1_TotalAnnualMethaneEmissions_Variable">_xlfn.LAMBDA("ECH4")</definedName>
    <definedName name="MMS_Feedlot_Methane_Equations.VEERG_4_1_1_1__2_Stage1MethaneProductionDrylot">_xlfn.LAMBDA(_xlpm.VSj,_xlpm.BO,_xlpm.MMSm5T1,_xlpm.MCFim5,_xlpm.rho, _xlfn.LET(_xlpm.MCFim5, IF(ISNUMBER(_xlpm.MCFim5), _xlpm.MCFim5, 0), _xlpm.VSj * _xlpm.BO * _xlpm.MMSm5T1 * _xlpm.MCFim5 * _xlpm.rho))</definedName>
    <definedName name="MMS_Feedlot_Methane_Equations.VEERG_4_1_1_1__2_Stage1MethaneProductionDrylot_Arguments">_xlfn.LAMBDA(_xlfn.MAKEARRAY(6, 2, _xlfn.LAMBDA(_xlpm.r,_xlpm.c, INDEX({"VSj","volatile solid production from feedlot cattle in each group : kg/head/day";"BO","emissions potential : m3 CH4/kg VS";"MMSm5T1","fraction of manure in primary system drylot MMS : fraction";"MCFim5","methane conversion factor for temperature zone and drylot system : fraction";"rho","density of methane : kg/m3";"i","state"}, _xlpm.r, _xlpm.c))))</definedName>
    <definedName name="MMS_Feedlot_Methane_Equations.VEERG_4_1_1_1__2_Stage1MethaneProductionDrylot_LatexEquation">_xlfn.LAMBDA("M_{jm=5,T=1}=VS_{j}\times BO\times MMS_{m=5,T=1}\times MCF_{im=5}\times \rho")</definedName>
    <definedName name="MMS_Feedlot_Methane_Equations.VEERG_4_1_1_1__2_Stage1MethaneProductionDrylot_NIRReference">_xlfn.LAMBDA("")</definedName>
    <definedName name="MMS_Feedlot_Methane_Equations.VEERG_4_1_1_1__2_Stage1MethaneProductionDrylot_Source">_xlfn.LAMBDA("VEERG 2026: 4.1.1.1, Equation (2)")</definedName>
    <definedName name="MMS_Feedlot_Methane_Equations.VEERG_4_1_1_1__2_Stage1MethaneProductionDrylot_Title">_xlfn.LAMBDA("Production of methane in treatment stage 1 MMS")</definedName>
    <definedName name="MMS_Feedlot_Methane_Equations.VEERG_4_1_1_1__2_Stage1MethaneProductionDrylot_Unit">_xlfn.LAMBDA("kg CH4/head/day")</definedName>
    <definedName name="MMS_Feedlot_Methane_Equations.VEERG_4_1_1_1__2_Stage1MethaneProductionDrylot_Variable">_xlfn.LAMBDA("Mjm5T1")</definedName>
    <definedName name="MMS_Feedlot_Methane_Equations.VEERG_4_1_1_1__3_Stage2MethaneProduction">_xlfn.LAMBDA(_xlpm.VSL,_xlpm.VSj,_xlpm.BO,_xlpm.MMSmT2,_xlpm.MCFim,_xlpm.rho, (1 - _xlpm.VSL) * _xlpm.VSj * _xlpm.BO * _xlpm.MMSmT2 * _xlpm.MCFim * _xlpm.rho)</definedName>
    <definedName name="MMS_Feedlot_Methane_Equations.VEERG_4_1_1_1__3_Stage2MethaneProduction_Arguments">_xlfn.LAMBDA(_xlfn.MAKEARRAY(7, 2, _xlfn.LAMBDA(_xlpm.r,_xlpm.c, INDEX({"VSL","fraction of volatile solids lost during storage in the primary system : fraction";"VSj","volatile solid production from feedlot cattle in each group : kg/head/day";"BO","emissions potential : m3 CH4/kg VS";"MMSmT2","fraction of manure in each secondary system : fraction";"MCFim","methane conversion factor for temperature zone and MMS : fraction";"rho","density of methane : kg/m3";"i","state"}, _xlpm.r, _xlpm.c))))</definedName>
    <definedName name="MMS_Feedlot_Methane_Equations.VEERG_4_1_1_1__3_Stage2MethaneProduction_LatexEquation">_xlfn.LAMBDA("M_{jmT=2}=(1-VSL)\times VS_{j}\times BO\times MMS_{mT=2}\times MCF_{im}\times \rho")</definedName>
    <definedName name="MMS_Feedlot_Methane_Equations.VEERG_4_1_1_1__3_Stage2MethaneProduction_NIRReference">_xlfn.LAMBDA("")</definedName>
    <definedName name="MMS_Feedlot_Methane_Equations.VEERG_4_1_1_1__3_Stage2MethaneProduction_Source">_xlfn.LAMBDA("VEERG 2026: 4.1.1.1, Equation (3)")</definedName>
    <definedName name="MMS_Feedlot_Methane_Equations.VEERG_4_1_1_1__3_Stage2MethaneProduction_Title">_xlfn.LAMBDA("Production of methane in treatment stage 2 MMS")</definedName>
    <definedName name="MMS_Feedlot_Methane_Equations.VEERG_4_1_1_1__3_Stage2MethaneProduction_Unit">_xlfn.LAMBDA("kg CH4/head/day")</definedName>
    <definedName name="MMS_Feedlot_Methane_Equations.VEERG_4_1_1_1__3_Stage2MethaneProduction_Variable">_xlfn.LAMBDA("MjmT2")</definedName>
    <definedName name="MMS_Feedlot_Methane_Equations.VEERG_4_1_1_1__4_Stage3MethaneProductionAnaerobicLagoon">_xlfn.LAMBDA(_xlpm.VSj,_xlpm.BO,_xlpm.MMSm1T3,_xlpm.MCFim1,_xlpm.rho, _xlpm.VSj * _xlpm.BO * _xlpm.MMSm1T3 * _xlpm.MCFim1 * _xlpm.rho)</definedName>
    <definedName name="MMS_Feedlot_Methane_Equations.VEERG_4_1_1_1__4_Stage3MethaneProductionAnaerobicLagoon_Arguments">_xlfn.LAMBDA(_xlfn.MAKEARRAY(6, 2, _xlfn.LAMBDA(_xlpm.r,_xlpm.c, INDEX({"VSj","volatile solid production from feedlot cattle in each group : kg/head/day";"BO","emissions potential : m3 CH4/kg VS";"MMSm1T3","fraction of manure to tertiary anaerobic lagoon system : fraction";"MCFim1","methane conversion factor for temperature zone and anaerobic lagoon system : fraction";"rho","density of methane : kg/m3";"i","state"}, _xlpm.r, _xlpm.c))))</definedName>
    <definedName name="MMS_Feedlot_Methane_Equations.VEERG_4_1_1_1__4_Stage3MethaneProductionAnaerobicLagoon_LatexEquation">_xlfn.LAMBDA("M_{jm=1,T=3}=VS_{j}\times BO\times MMS_{m=1,T=3}\times MCF_{im=1}\times \rho")</definedName>
    <definedName name="MMS_Feedlot_Methane_Equations.VEERG_4_1_1_1__4_Stage3MethaneProductionAnaerobicLagoon_NIRReference">_xlfn.LAMBDA("")</definedName>
    <definedName name="MMS_Feedlot_Methane_Equations.VEERG_4_1_1_1__4_Stage3MethaneProductionAnaerobicLagoon_Source">_xlfn.LAMBDA("VEERG 2026: 4.1.1.1, Equation (4)")</definedName>
    <definedName name="MMS_Feedlot_Methane_Equations.VEERG_4_1_1_1__4_Stage3MethaneProductionAnaerobicLagoon_Title">_xlfn.LAMBDA("Production of methane in treatment stage 3 MMS")</definedName>
    <definedName name="MMS_Feedlot_Methane_Equations.VEERG_4_1_1_1__4_Stage3MethaneProductionAnaerobicLagoon_Unit">_xlfn.LAMBDA("kg CH4/head/day")</definedName>
    <definedName name="MMS_Feedlot_Methane_Equations.VEERG_4_1_1_1__4_Stage3MethaneProductionAnaerobicLagoon_Variable">_xlfn.LAMBDA("Mjm1T3")</definedName>
    <definedName name="MMS_Feedlot_Methane_Equations.VEERG_4_1_1_1__5_VolatileSolidProduction">_xlfn.LAMBDA(_xlpm.Ij,_xlpm.DMDj,_xlpm.A, _xlpm.Ij * (1 - _xlpm.DMDj) * (1 - _xlpm.A))</definedName>
    <definedName name="MMS_Feedlot_Methane_Equations.VEERG_4_1_1_1__5_VolatileSolidProduction_Arguments">_xlfn.LAMBDA(_xlfn.MAKEARRAY(3, 2, _xlfn.LAMBDA(_xlpm.r,_xlpm.c, INDEX({"Ij","dry matter intake for each group : kg DM/head/day";"DMDj","dry matter digestibility for each group : fraction";"A","ash content of manure : fraction"}, _xlpm.r, _xlpm.c))))</definedName>
    <definedName name="MMS_Feedlot_Methane_Equations.VEERG_4_1_1_1__5_VolatileSolidProduction_LatexEquation">_xlfn.LAMBDA("VS_{j}=I_{j}\times(1-DMD_{j})\times(1-A)")</definedName>
    <definedName name="MMS_Feedlot_Methane_Equations.VEERG_4_1_1_1__5_VolatileSolidProduction_NIRReference">_xlfn.LAMBDA("")</definedName>
    <definedName name="MMS_Feedlot_Methane_Equations.VEERG_4_1_1_1__5_VolatileSolidProduction_Source">_xlfn.LAMBDA("VEERG 2026: 4.1.1.1, Equation (5)")</definedName>
    <definedName name="MMS_Feedlot_Methane_Equations.VEERG_4_1_1_1__5_VolatileSolidProduction_Title">_xlfn.LAMBDA("Volatile solid production")</definedName>
    <definedName name="MMS_Feedlot_Methane_Equations.VEERG_4_1_1_1__5_VolatileSolidProduction_Unit">_xlfn.LAMBDA("kg/head/day")</definedName>
    <definedName name="MMS_Feedlot_Methane_Equations.VEERG_4_1_1_1__5_VolatileSolidProduction_Variable">_xlfn.LAMBDA("VSj")</definedName>
    <definedName name="Range_LivestockStartingValues">#REF!</definedName>
    <definedName name="SourceData_Feedlot.SourceData_Feedlot_AshContent_Data">_xlfn.LAMBDA(0.16)</definedName>
    <definedName name="SourceData_Feedlot.SourceData_Feedlot_AshContent_Source">_xlfn.LAMBDA("VEERG 2026: 4.1.2.3 CONSTANTS")</definedName>
    <definedName name="SourceData_Feedlot.SourceData_Feedlot_AshContent_Title">_xlfn.LAMBDA("Ash content of manure.")</definedName>
    <definedName name="SourceData_Feedlot.SourceData_Feedlot_AshContent_Unit">_xlfn.LAMBDA("Fraction")</definedName>
    <definedName name="SourceData_Feedlot.SourceData_Feedlot_AshContent_Variable">_xlfn.LAMBDA("A")</definedName>
    <definedName name="SourceData_Feedlot.SourceData_Feedlot_AshContent_Variation">_xlfn.LAMBDA("")</definedName>
    <definedName name="SourceData_Feedlot.SourceData_Feedlot_LivestockClasses">_xlfn.LAMBDA(_xlfn.MAKEARRAY(3, 1, _xlfn.LAMBDA(_xlpm.r,_xlpm.c, INDEX({"Domestic (70-80 days)";"Export mid fed (80-200 days)";"Export long fed (200+ days)"}, _xlpm.r, _xlpm.c))))</definedName>
    <definedName name="SourceData_Feedlot.SourceData_Feedlot_MCF_Data">_xlfn.LAMBDA(_xlfn.MAKEARRAY(6, 11, _xlfn.LAMBDA(_xlpm.r,_xlpm.c, INDEX({"Treatment stage T","MMS m","NSW","ACT","QLD","NT","SA","VIC","WA","TAS","NIR definition";"Primary","Dry lot (Feedpad)",0.01,0.01,0.03,"No data",0.01,0.01,0.01,"No data","Drylot (feed pad)";"Secondary","Solid Storage (Stockpile)",0.02,0.02,0.02,"No data",0.02,0.02,0.02,"No data","Solid storage";"Secondary","Composting (Passive Windrow)",0.01,0.01,0.01,"No data",0.01,0.01,0.01,"No data","Composting (passive windrow)";"Secondary","Direct Application to soil",0,0,0,"No data",0,0,0,"No data","Direct application";"Tertiary","Uncovered anaerobic lagoon (Effluent pond)",0.75,0.75,0.77,"No data",0.75,0.75,0.77,"No data","Anaerobic lagoon"}, _xlpm.r, _xlpm.c))))</definedName>
    <definedName name="SourceData_Feedlot.SourceData_Feedlot_MCF_Source">_xlfn.LAMBDA("VEERG 2026: Table A.1.7.4: Feedlot - MCFs")</definedName>
    <definedName name="SourceData_Feedlot.SourceData_Feedlot_MCF_Title">_xlfn.LAMBDA("Feedlot - MCFs")</definedName>
    <definedName name="SourceData_Feedlot.SourceData_Feedlot_MCF_Unit">_xlfn.LAMBDA("")</definedName>
    <definedName name="SourceData_Feedlot.SourceData_Feedlot_MCF_Variation">_xlfn.LAMBDA(_xlfn.MAKEARRAY(4, 1, _xlfn.LAMBDA(_xlpm.r,_xlpm.c, INDEX({"VARIATION ON SOURCE:";"Duplicated NSW values for ACT";"Added NT and TAS columns with 'no data' values";"Added 'NIR definition' column with MMS names that match NIR definitions."}, _xlpm.r, _xlpm.c))))</definedName>
    <definedName name="SourceData_Feedlot.SourceData_Feedlot_MethaneEmissionsPotential_Data">_xlfn.LAMBDA(0.19)</definedName>
    <definedName name="SourceData_Feedlot.SourceData_Feedlot_MethaneEmissionsPotential_Source">_xlfn.LAMBDA("VEERG 2026: 4.1.2.3 CONSTANTS")</definedName>
    <definedName name="SourceData_Feedlot.SourceData_Feedlot_MethaneEmissionsPotential_Title">_xlfn.LAMBDA("Methane emissions potential.")</definedName>
    <definedName name="SourceData_Feedlot.SourceData_Feedlot_MethaneEmissionsPotential_Unit">_xlfn.LAMBDA("m3 CH4 / kg VS")</definedName>
    <definedName name="SourceData_Feedlot.SourceData_Feedlot_MethaneEmissionsPotential_Variable">_xlfn.LAMBDA("B0")</definedName>
    <definedName name="SourceData_Feedlot.SourceData_Feedlot_MethaneEmissionsPotential_Variation">_xlfn.LAMBDA("")</definedName>
    <definedName name="SourceData_Feedlot.SourceData_Feedlot_MMSm1T3_Data">_xlfn.LAMBDA(0.02)</definedName>
    <definedName name="SourceData_Feedlot.SourceData_Feedlot_MMSm1T3_Source">_xlfn.LAMBDA("VEERG 2026: 4.1.2.3 CONSTANTS")</definedName>
    <definedName name="SourceData_Feedlot.SourceData_Feedlot_MMSm1T3_Title">_xlfn.LAMBDA("Fraction of volatile solids to each tertiary system assumed that 2 per cent is run - off from the feed pad.")</definedName>
    <definedName name="SourceData_Feedlot.SourceData_Feedlot_MMSm1T3_Unit">_xlfn.LAMBDA("Fraction")</definedName>
    <definedName name="SourceData_Feedlot.SourceData_Feedlot_MMSm1T3_Variable">_xlfn.LAMBDA("MMSm1T3")</definedName>
    <definedName name="SourceData_Feedlot.SourceData_Feedlot_MMSm1T3_Variation">_xlfn.LAMBDA("")</definedName>
    <definedName name="SourceData_Feedlot.SourceData_Feedlot_Stage1MMSOptions">_xlfn.LAMBDA(_xlfn.MAKEARRAY(1, 1, _xlfn.LAMBDA(_xlpm.r,_xlpm.c, INDEX({"Drylot (feed pad)"}, _xlpm.r, _xlpm.c))))</definedName>
    <definedName name="SourceData_Feedlot.SourceData_Feedlot_Stage2MMSOptions">_xlfn.LAMBDA(_xlfn.MAKEARRAY(4, 1, _xlfn.LAMBDA(_xlpm.r,_xlpm.c, INDEX({"Solid storage";"Composting (passive windrow)";"Direct application";"No MMS"}, _xlpm.r, _xlpm.c))))</definedName>
    <definedName name="SourceData_Feedlot.SourceData_Feedlot_Stage3MMSOptions">_xlfn.LAMBDA(_xlfn.MAKEARRAY(1, 1, _xlfn.LAMBDA(_xlpm.r,_xlpm.c, INDEX({"Anaerobic lagoon"}, _xlpm.r, _xlpm.c))))</definedName>
    <definedName name="SourceData_Feedlot.SourceData_Feedlot_VSL_Data">_xlfn.LAMBDA(0.5)</definedName>
    <definedName name="SourceData_Feedlot.SourceData_Feedlot_VSL_Source">_xlfn.LAMBDA("VEERG 2026: 4.1.2.3 CONSTANTS")</definedName>
    <definedName name="SourceData_Feedlot.SourceData_Feedlot_VSL_Title">_xlfn.LAMBDA("Feedlot - Fraction of volatile solids lost during storage in the primary system")</definedName>
    <definedName name="SourceData_Feedlot.SourceData_Feedlot_VSL_Unit">_xlfn.LAMBDA("Fraction")</definedName>
    <definedName name="SourceData_Feedlot.SourceData_Feedlot_VSL_Variable">_xlfn.LAMBDA("VSL")</definedName>
    <definedName name="SourceData_Feedlot.SourceData_Feedlot_VSL_Variation">_xlfn.LAMBDA("")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8" i="86" l="1" a="1"/>
  <c r="H188" i="86" s="1"/>
  <c r="G188" i="86" a="1"/>
  <c r="G188" i="86" s="1"/>
  <c r="F188" i="86" a="1"/>
  <c r="F188" i="86" s="1"/>
  <c r="E188" i="86" a="1"/>
  <c r="E188" i="86" s="1"/>
  <c r="D188" i="86" a="1"/>
  <c r="D188" i="86" s="1"/>
  <c r="H187" i="86" a="1"/>
  <c r="H187" i="86" s="1"/>
  <c r="G187" i="86" a="1"/>
  <c r="G187" i="86" s="1"/>
  <c r="F187" i="86" a="1"/>
  <c r="F187" i="86" s="1"/>
  <c r="E187" i="86" a="1"/>
  <c r="E187" i="86" s="1"/>
  <c r="D187" i="86" a="1"/>
  <c r="D187" i="86" s="1"/>
  <c r="H186" i="86" a="1"/>
  <c r="H186" i="86" s="1"/>
  <c r="G186" i="86" a="1"/>
  <c r="G186" i="86" s="1"/>
  <c r="F186" i="86" a="1"/>
  <c r="F186" i="86" s="1"/>
  <c r="E186" i="86" a="1"/>
  <c r="E186" i="86" s="1"/>
  <c r="D186" i="86" a="1"/>
  <c r="D186" i="86" s="1"/>
  <c r="H185" i="86" a="1"/>
  <c r="H185" i="86" s="1"/>
  <c r="G185" i="86" a="1"/>
  <c r="G185" i="86" s="1"/>
  <c r="F185" i="86" a="1"/>
  <c r="F185" i="86" s="1"/>
  <c r="E185" i="86" a="1"/>
  <c r="E185" i="86" s="1"/>
  <c r="D185" i="86" a="1"/>
  <c r="D185" i="86" s="1"/>
  <c r="H184" i="86" a="1"/>
  <c r="H184" i="86" s="1"/>
  <c r="G184" i="86" a="1"/>
  <c r="G184" i="86" s="1"/>
  <c r="F184" i="86" a="1"/>
  <c r="F184" i="86" s="1"/>
  <c r="E184" i="86" a="1"/>
  <c r="E184" i="86" s="1"/>
  <c r="D184" i="86" a="1"/>
  <c r="D184" i="86" s="1"/>
  <c r="H183" i="86" a="1"/>
  <c r="H183" i="86" s="1"/>
  <c r="G183" i="86" a="1"/>
  <c r="G183" i="86" s="1"/>
  <c r="F183" i="86" a="1"/>
  <c r="F183" i="86" s="1"/>
  <c r="E183" i="86" a="1"/>
  <c r="E183" i="86" s="1"/>
  <c r="D183" i="86" a="1"/>
  <c r="D183" i="86" s="1"/>
  <c r="H182" i="86" a="1"/>
  <c r="H182" i="86" s="1"/>
  <c r="G182" i="86" a="1"/>
  <c r="G182" i="86" s="1"/>
  <c r="F182" i="86" a="1"/>
  <c r="F182" i="86" s="1"/>
  <c r="E182" i="86" a="1"/>
  <c r="E182" i="86" s="1"/>
  <c r="D182" i="86" a="1"/>
  <c r="D182" i="86" s="1"/>
  <c r="H181" i="86" a="1"/>
  <c r="H181" i="86" s="1"/>
  <c r="G181" i="86" a="1"/>
  <c r="G181" i="86" s="1"/>
  <c r="F181" i="86" a="1"/>
  <c r="F181" i="86" s="1"/>
  <c r="E181" i="86" a="1"/>
  <c r="E181" i="86" s="1"/>
  <c r="D181" i="86" a="1"/>
  <c r="D181" i="86" s="1"/>
  <c r="H180" i="86" a="1"/>
  <c r="H180" i="86" s="1"/>
  <c r="G180" i="86" a="1"/>
  <c r="G180" i="86" s="1"/>
  <c r="F180" i="86" a="1"/>
  <c r="F180" i="86" s="1"/>
  <c r="E180" i="86" a="1"/>
  <c r="E180" i="86" s="1"/>
  <c r="D180" i="86" a="1"/>
  <c r="D180" i="86" s="1"/>
  <c r="H179" i="86" a="1"/>
  <c r="H179" i="86" s="1"/>
  <c r="G179" i="86" a="1"/>
  <c r="G179" i="86" s="1"/>
  <c r="F179" i="86" a="1"/>
  <c r="F179" i="86" s="1"/>
  <c r="E179" i="86" a="1"/>
  <c r="E179" i="86" s="1"/>
  <c r="D179" i="86" a="1"/>
  <c r="D179" i="86" s="1"/>
  <c r="H178" i="86" a="1"/>
  <c r="H178" i="86" s="1"/>
  <c r="G178" i="86" a="1"/>
  <c r="G178" i="86" s="1"/>
  <c r="F178" i="86" a="1"/>
  <c r="F178" i="86" s="1"/>
  <c r="E178" i="86" a="1"/>
  <c r="E178" i="86" s="1"/>
  <c r="D178" i="86" a="1"/>
  <c r="D178" i="86" s="1"/>
  <c r="H177" i="86" a="1"/>
  <c r="H177" i="86" s="1"/>
  <c r="G177" i="86" a="1"/>
  <c r="G177" i="86" s="1"/>
  <c r="F177" i="86" a="1"/>
  <c r="F177" i="86" s="1"/>
  <c r="E177" i="86" a="1"/>
  <c r="E177" i="86" s="1"/>
  <c r="D177" i="86" a="1"/>
  <c r="D177" i="86" s="1"/>
  <c r="H176" i="86" a="1"/>
  <c r="H176" i="86" s="1"/>
  <c r="G176" i="86" a="1"/>
  <c r="G176" i="86" s="1"/>
  <c r="F176" i="86" a="1"/>
  <c r="F176" i="86" s="1"/>
  <c r="E176" i="86" a="1"/>
  <c r="E176" i="86" s="1"/>
  <c r="D176" i="86" a="1"/>
  <c r="D176" i="86" s="1"/>
  <c r="D170" i="86" a="1"/>
  <c r="D170" i="86" s="1"/>
  <c r="D169" i="86" a="1"/>
  <c r="D169" i="86" s="1"/>
  <c r="D168" i="86" a="1"/>
  <c r="D168" i="86" s="1"/>
  <c r="D167" i="86" a="1"/>
  <c r="D167" i="86" s="1"/>
  <c r="E164" i="86" a="1"/>
  <c r="E164" i="86" s="1"/>
  <c r="D164" i="86" a="1"/>
  <c r="D164" i="86" s="1"/>
  <c r="D163" i="86" a="1"/>
  <c r="D163" i="86" s="1"/>
  <c r="D162" i="86" a="1"/>
  <c r="D162" i="86" s="1"/>
  <c r="D159" i="86" a="1"/>
  <c r="D159" i="86" s="1"/>
  <c r="D158" i="86" a="1"/>
  <c r="D158" i="86" s="1"/>
  <c r="D157" i="86" a="1"/>
  <c r="D157" i="86" s="1"/>
  <c r="D156" i="86" a="1"/>
  <c r="D156" i="86" s="1"/>
  <c r="D153" i="86" a="1"/>
  <c r="D153" i="86" s="1"/>
  <c r="D152" i="86" a="1"/>
  <c r="D152" i="86" s="1"/>
  <c r="D151" i="86" a="1"/>
  <c r="D151" i="86" s="1"/>
  <c r="D150" i="86" a="1"/>
  <c r="D150" i="86" s="1"/>
  <c r="E147" i="86" a="1"/>
  <c r="E147" i="86" s="1"/>
  <c r="D147" i="86" a="1"/>
  <c r="D147" i="86" s="1"/>
  <c r="E146" i="86" a="1"/>
  <c r="E146" i="86" s="1"/>
  <c r="D146" i="86" a="1"/>
  <c r="D146" i="86" s="1"/>
  <c r="E145" i="86" a="1"/>
  <c r="E145" i="86" s="1"/>
  <c r="D145" i="86" a="1"/>
  <c r="D145" i="86" s="1"/>
  <c r="E144" i="86" a="1"/>
  <c r="E144" i="86" s="1"/>
  <c r="D144" i="86" a="1"/>
  <c r="D144" i="86" s="1"/>
  <c r="E143" i="86" a="1"/>
  <c r="E143" i="86" s="1"/>
  <c r="D143" i="86" a="1"/>
  <c r="D143" i="86" s="1"/>
  <c r="D140" i="86" a="1"/>
  <c r="D140" i="86" s="1"/>
  <c r="D139" i="86" a="1"/>
  <c r="D139" i="86" s="1"/>
  <c r="E136" i="86" a="1"/>
  <c r="E136" i="86" s="1"/>
  <c r="D136" i="86" a="1"/>
  <c r="D136" i="86" s="1"/>
  <c r="E135" i="86" a="1"/>
  <c r="E135" i="86" s="1"/>
  <c r="D135" i="86" a="1"/>
  <c r="D135" i="86" s="1"/>
  <c r="D133" i="86" a="1"/>
  <c r="D133" i="86" s="1"/>
  <c r="D132" i="86" a="1"/>
  <c r="D132" i="86" s="1"/>
  <c r="E129" i="86" a="1"/>
  <c r="E129" i="86" s="1"/>
  <c r="D129" i="86" a="1"/>
  <c r="D129" i="86" s="1"/>
  <c r="E128" i="86" a="1"/>
  <c r="E128" i="86" s="1"/>
  <c r="D128" i="86" a="1"/>
  <c r="D128" i="86" s="1"/>
  <c r="D125" i="86" a="1"/>
  <c r="D125" i="86" s="1"/>
  <c r="D124" i="86" a="1"/>
  <c r="D124" i="86" s="1"/>
  <c r="G121" i="86" a="1"/>
  <c r="G121" i="86" s="1"/>
  <c r="F121" i="86" a="1"/>
  <c r="F121" i="86" s="1"/>
  <c r="E121" i="86" a="1"/>
  <c r="E121" i="86" s="1"/>
  <c r="D121" i="86" a="1"/>
  <c r="D121" i="86" s="1"/>
  <c r="G120" i="86" a="1"/>
  <c r="G120" i="86" s="1"/>
  <c r="F120" i="86" a="1"/>
  <c r="F120" i="86" s="1"/>
  <c r="E120" i="86" a="1"/>
  <c r="E120" i="86" s="1"/>
  <c r="D120" i="86" a="1"/>
  <c r="D120" i="86" s="1"/>
  <c r="D117" i="86" a="1"/>
  <c r="D117" i="86" s="1"/>
  <c r="D116" i="86" a="1"/>
  <c r="D116" i="86" s="1"/>
  <c r="D115" i="86" a="1"/>
  <c r="D115" i="86" s="1"/>
  <c r="G112" i="86" a="1"/>
  <c r="G112" i="86" s="1"/>
  <c r="F112" i="86" a="1"/>
  <c r="F112" i="86" s="1"/>
  <c r="E112" i="86" a="1"/>
  <c r="E112" i="86" s="1"/>
  <c r="D112" i="86" a="1"/>
  <c r="D112" i="86" s="1"/>
  <c r="G111" i="86" a="1"/>
  <c r="G111" i="86" s="1"/>
  <c r="F111" i="86" a="1"/>
  <c r="F111" i="86" s="1"/>
  <c r="E111" i="86" a="1"/>
  <c r="E111" i="86" s="1"/>
  <c r="D111" i="86" a="1"/>
  <c r="D111" i="86" s="1"/>
  <c r="G110" i="86" a="1"/>
  <c r="G110" i="86" s="1"/>
  <c r="F110" i="86" a="1"/>
  <c r="F110" i="86" s="1"/>
  <c r="E110" i="86" a="1"/>
  <c r="E110" i="86" s="1"/>
  <c r="D110" i="86" a="1"/>
  <c r="D110" i="86" s="1"/>
  <c r="D107" i="86" a="1"/>
  <c r="D107" i="86" s="1"/>
  <c r="D106" i="86" a="1"/>
  <c r="D106" i="86" s="1"/>
  <c r="D105" i="86" a="1"/>
  <c r="D105" i="86" s="1"/>
  <c r="D98" i="86" a="1"/>
  <c r="D98" i="86" s="1"/>
  <c r="S97" i="86" a="1"/>
  <c r="S97" i="86" s="1"/>
  <c r="R97" i="86" a="1"/>
  <c r="R97" i="86" s="1"/>
  <c r="Q97" i="86" a="1"/>
  <c r="Q97" i="86" s="1"/>
  <c r="P97" i="86" a="1"/>
  <c r="P97" i="86" s="1"/>
  <c r="O97" i="86" a="1"/>
  <c r="O97" i="86" s="1"/>
  <c r="N97" i="86" a="1"/>
  <c r="N97" i="86" s="1"/>
  <c r="M97" i="86" a="1"/>
  <c r="M97" i="86" s="1"/>
  <c r="L97" i="86" a="1"/>
  <c r="L97" i="86" s="1"/>
  <c r="K97" i="86" a="1"/>
  <c r="K97" i="86" s="1"/>
  <c r="J97" i="86" a="1"/>
  <c r="J97" i="86" s="1"/>
  <c r="I97" i="86" a="1"/>
  <c r="I97" i="86" s="1"/>
  <c r="H97" i="86" a="1"/>
  <c r="H97" i="86" s="1"/>
  <c r="G97" i="86" a="1"/>
  <c r="G97" i="86" s="1"/>
  <c r="F97" i="86" a="1"/>
  <c r="F97" i="86" s="1"/>
  <c r="E97" i="86" a="1"/>
  <c r="E97" i="86" s="1"/>
  <c r="D97" i="86" a="1"/>
  <c r="D97" i="86" s="1"/>
  <c r="S96" i="86" a="1"/>
  <c r="S96" i="86" s="1"/>
  <c r="R96" i="86" a="1"/>
  <c r="R96" i="86" s="1"/>
  <c r="Q96" i="86" a="1"/>
  <c r="Q96" i="86" s="1"/>
  <c r="P96" i="86" a="1"/>
  <c r="P96" i="86" s="1"/>
  <c r="O96" i="86" a="1"/>
  <c r="O96" i="86" s="1"/>
  <c r="N96" i="86" a="1"/>
  <c r="N96" i="86" s="1"/>
  <c r="M96" i="86" a="1"/>
  <c r="M96" i="86" s="1"/>
  <c r="L96" i="86" a="1"/>
  <c r="L96" i="86" s="1"/>
  <c r="K96" i="86" a="1"/>
  <c r="K96" i="86" s="1"/>
  <c r="J96" i="86" a="1"/>
  <c r="J96" i="86" s="1"/>
  <c r="I96" i="86" a="1"/>
  <c r="I96" i="86" s="1"/>
  <c r="H96" i="86" a="1"/>
  <c r="H96" i="86" s="1"/>
  <c r="G96" i="86" a="1"/>
  <c r="G96" i="86" s="1"/>
  <c r="F96" i="86" a="1"/>
  <c r="F96" i="86" s="1"/>
  <c r="E96" i="86" a="1"/>
  <c r="E96" i="86" s="1"/>
  <c r="D96" i="86" a="1"/>
  <c r="D96" i="86" s="1"/>
  <c r="S95" i="86" a="1"/>
  <c r="S95" i="86" s="1"/>
  <c r="R95" i="86" a="1"/>
  <c r="R95" i="86" s="1"/>
  <c r="Q95" i="86" a="1"/>
  <c r="Q95" i="86" s="1"/>
  <c r="P95" i="86" a="1"/>
  <c r="P95" i="86" s="1"/>
  <c r="O95" i="86" a="1"/>
  <c r="O95" i="86" s="1"/>
  <c r="N95" i="86" a="1"/>
  <c r="N95" i="86" s="1"/>
  <c r="M95" i="86" a="1"/>
  <c r="M95" i="86" s="1"/>
  <c r="L95" i="86" a="1"/>
  <c r="L95" i="86" s="1"/>
  <c r="K95" i="86" a="1"/>
  <c r="K95" i="86" s="1"/>
  <c r="J95" i="86" a="1"/>
  <c r="J95" i="86" s="1"/>
  <c r="I95" i="86" a="1"/>
  <c r="I95" i="86" s="1"/>
  <c r="H95" i="86" a="1"/>
  <c r="H95" i="86" s="1"/>
  <c r="G95" i="86" a="1"/>
  <c r="G95" i="86" s="1"/>
  <c r="F95" i="86" a="1"/>
  <c r="F95" i="86" s="1"/>
  <c r="E95" i="86" a="1"/>
  <c r="E95" i="86" s="1"/>
  <c r="D95" i="86" a="1"/>
  <c r="D95" i="86" s="1"/>
  <c r="S94" i="86" a="1"/>
  <c r="S94" i="86" s="1"/>
  <c r="R94" i="86" a="1"/>
  <c r="R94" i="86" s="1"/>
  <c r="Q94" i="86" a="1"/>
  <c r="Q94" i="86" s="1"/>
  <c r="P94" i="86" a="1"/>
  <c r="P94" i="86" s="1"/>
  <c r="O94" i="86" a="1"/>
  <c r="O94" i="86" s="1"/>
  <c r="N94" i="86" a="1"/>
  <c r="N94" i="86" s="1"/>
  <c r="M94" i="86" a="1"/>
  <c r="M94" i="86" s="1"/>
  <c r="L94" i="86" a="1"/>
  <c r="L94" i="86" s="1"/>
  <c r="K94" i="86" a="1"/>
  <c r="K94" i="86" s="1"/>
  <c r="J94" i="86" a="1"/>
  <c r="J94" i="86" s="1"/>
  <c r="I94" i="86" a="1"/>
  <c r="I94" i="86" s="1"/>
  <c r="H94" i="86" a="1"/>
  <c r="H94" i="86" s="1"/>
  <c r="G94" i="86" a="1"/>
  <c r="G94" i="86" s="1"/>
  <c r="F94" i="86" a="1"/>
  <c r="F94" i="86" s="1"/>
  <c r="E94" i="86" a="1"/>
  <c r="E94" i="86" s="1"/>
  <c r="D94" i="86" a="1"/>
  <c r="D94" i="86" s="1"/>
  <c r="S93" i="86" a="1"/>
  <c r="S93" i="86" s="1"/>
  <c r="R93" i="86" a="1"/>
  <c r="R93" i="86" s="1"/>
  <c r="Q93" i="86" a="1"/>
  <c r="Q93" i="86" s="1"/>
  <c r="P93" i="86" a="1"/>
  <c r="P93" i="86" s="1"/>
  <c r="O93" i="86" a="1"/>
  <c r="O93" i="86" s="1"/>
  <c r="N93" i="86" a="1"/>
  <c r="N93" i="86" s="1"/>
  <c r="M93" i="86" a="1"/>
  <c r="M93" i="86" s="1"/>
  <c r="L93" i="86" a="1"/>
  <c r="L93" i="86" s="1"/>
  <c r="K93" i="86" a="1"/>
  <c r="K93" i="86" s="1"/>
  <c r="J93" i="86" a="1"/>
  <c r="J93" i="86" s="1"/>
  <c r="I93" i="86" a="1"/>
  <c r="I93" i="86" s="1"/>
  <c r="H93" i="86" a="1"/>
  <c r="H93" i="86" s="1"/>
  <c r="G93" i="86" a="1"/>
  <c r="G93" i="86" s="1"/>
  <c r="F93" i="86" a="1"/>
  <c r="F93" i="86" s="1"/>
  <c r="E93" i="86" a="1"/>
  <c r="E93" i="86" s="1"/>
  <c r="D93" i="86" a="1"/>
  <c r="D93" i="86" s="1"/>
  <c r="S92" i="86" a="1"/>
  <c r="S92" i="86" s="1"/>
  <c r="R92" i="86" a="1"/>
  <c r="R92" i="86" s="1"/>
  <c r="Q92" i="86" a="1"/>
  <c r="Q92" i="86" s="1"/>
  <c r="P92" i="86" a="1"/>
  <c r="P92" i="86" s="1"/>
  <c r="O92" i="86" a="1"/>
  <c r="O92" i="86" s="1"/>
  <c r="N92" i="86" a="1"/>
  <c r="N92" i="86" s="1"/>
  <c r="M92" i="86" a="1"/>
  <c r="M92" i="86" s="1"/>
  <c r="L92" i="86" a="1"/>
  <c r="L92" i="86" s="1"/>
  <c r="K92" i="86" a="1"/>
  <c r="K92" i="86" s="1"/>
  <c r="J92" i="86" a="1"/>
  <c r="J92" i="86" s="1"/>
  <c r="I92" i="86" a="1"/>
  <c r="I92" i="86" s="1"/>
  <c r="H92" i="86" a="1"/>
  <c r="H92" i="86" s="1"/>
  <c r="G92" i="86" a="1"/>
  <c r="G92" i="86" s="1"/>
  <c r="F92" i="86" a="1"/>
  <c r="F92" i="86" s="1"/>
  <c r="E92" i="86" a="1"/>
  <c r="E92" i="86" s="1"/>
  <c r="D92" i="86" a="1"/>
  <c r="D92" i="86" s="1"/>
  <c r="S91" i="86" a="1"/>
  <c r="S91" i="86" s="1"/>
  <c r="R91" i="86" a="1"/>
  <c r="R91" i="86" s="1"/>
  <c r="Q91" i="86" a="1"/>
  <c r="Q91" i="86" s="1"/>
  <c r="P91" i="86" a="1"/>
  <c r="P91" i="86" s="1"/>
  <c r="O91" i="86" a="1"/>
  <c r="O91" i="86" s="1"/>
  <c r="N91" i="86" a="1"/>
  <c r="N91" i="86" s="1"/>
  <c r="M91" i="86" a="1"/>
  <c r="M91" i="86" s="1"/>
  <c r="L91" i="86" a="1"/>
  <c r="L91" i="86" s="1"/>
  <c r="K91" i="86" a="1"/>
  <c r="K91" i="86" s="1"/>
  <c r="J91" i="86" a="1"/>
  <c r="J91" i="86" s="1"/>
  <c r="I91" i="86" a="1"/>
  <c r="I91" i="86" s="1"/>
  <c r="H91" i="86" a="1"/>
  <c r="H91" i="86" s="1"/>
  <c r="G91" i="86" a="1"/>
  <c r="G91" i="86" s="1"/>
  <c r="F91" i="86" a="1"/>
  <c r="F91" i="86" s="1"/>
  <c r="E91" i="86" a="1"/>
  <c r="E91" i="86" s="1"/>
  <c r="D91" i="86" a="1"/>
  <c r="D91" i="86" s="1"/>
  <c r="S90" i="86" a="1"/>
  <c r="S90" i="86" s="1"/>
  <c r="R90" i="86" a="1"/>
  <c r="R90" i="86" s="1"/>
  <c r="Q90" i="86" a="1"/>
  <c r="Q90" i="86" s="1"/>
  <c r="P90" i="86" a="1"/>
  <c r="P90" i="86" s="1"/>
  <c r="O90" i="86" a="1"/>
  <c r="O90" i="86" s="1"/>
  <c r="N90" i="86" a="1"/>
  <c r="N90" i="86" s="1"/>
  <c r="M90" i="86" a="1"/>
  <c r="M90" i="86" s="1"/>
  <c r="L90" i="86" a="1"/>
  <c r="L90" i="86" s="1"/>
  <c r="K90" i="86" a="1"/>
  <c r="K90" i="86" s="1"/>
  <c r="J90" i="86" a="1"/>
  <c r="J90" i="86" s="1"/>
  <c r="I90" i="86" a="1"/>
  <c r="I90" i="86" s="1"/>
  <c r="H90" i="86" a="1"/>
  <c r="H90" i="86" s="1"/>
  <c r="G90" i="86" a="1"/>
  <c r="G90" i="86" s="1"/>
  <c r="F90" i="86" a="1"/>
  <c r="F90" i="86" s="1"/>
  <c r="E90" i="86" a="1"/>
  <c r="E90" i="86" s="1"/>
  <c r="D90" i="86" a="1"/>
  <c r="D90" i="86" s="1"/>
  <c r="D83" i="86" a="1"/>
  <c r="D83" i="86" s="1"/>
  <c r="D82" i="86" a="1"/>
  <c r="D82" i="86" s="1"/>
  <c r="D81" i="86" a="1"/>
  <c r="D81" i="86" s="1"/>
  <c r="E77" i="86" a="1"/>
  <c r="E77" i="86" s="1"/>
  <c r="D77" i="86" a="1"/>
  <c r="D77" i="86" s="1"/>
  <c r="E76" i="86" a="1"/>
  <c r="E76" i="86" s="1"/>
  <c r="D76" i="86" a="1"/>
  <c r="D76" i="86" s="1"/>
  <c r="E75" i="86" a="1"/>
  <c r="E75" i="86" s="1"/>
  <c r="D75" i="86" a="1"/>
  <c r="D75" i="86" s="1"/>
  <c r="E74" i="86" a="1"/>
  <c r="E74" i="86" s="1"/>
  <c r="D74" i="86" a="1"/>
  <c r="D74" i="86" s="1"/>
  <c r="E73" i="86" a="1"/>
  <c r="E73" i="86" s="1"/>
  <c r="D73" i="86" a="1"/>
  <c r="D73" i="86" s="1"/>
  <c r="E72" i="86" a="1"/>
  <c r="E72" i="86" s="1"/>
  <c r="D72" i="86" a="1"/>
  <c r="D72" i="86" s="1"/>
  <c r="E71" i="86" a="1"/>
  <c r="E71" i="86" s="1"/>
  <c r="D71" i="86" a="1"/>
  <c r="D71" i="86" s="1"/>
  <c r="E70" i="86" a="1"/>
  <c r="E70" i="86" s="1"/>
  <c r="D70" i="86" a="1"/>
  <c r="D70" i="86" s="1"/>
  <c r="E69" i="86" a="1"/>
  <c r="E69" i="86" s="1"/>
  <c r="D69" i="86" a="1"/>
  <c r="D69" i="86" s="1"/>
  <c r="E68" i="86" a="1"/>
  <c r="E68" i="86" s="1"/>
  <c r="D68" i="86" a="1"/>
  <c r="D68" i="86" s="1"/>
  <c r="E67" i="86" a="1"/>
  <c r="E67" i="86" s="1"/>
  <c r="D67" i="86" a="1"/>
  <c r="D67" i="86" s="1"/>
  <c r="E66" i="86" a="1"/>
  <c r="E66" i="86" s="1"/>
  <c r="D66" i="86" a="1"/>
  <c r="D66" i="86" s="1"/>
  <c r="E65" i="86" a="1"/>
  <c r="E65" i="86" s="1"/>
  <c r="D65" i="86" a="1"/>
  <c r="D65" i="86" s="1"/>
  <c r="E64" i="86" a="1"/>
  <c r="E64" i="86" s="1"/>
  <c r="D64" i="86" a="1"/>
  <c r="D64" i="86" s="1"/>
  <c r="D59" i="86" a="1"/>
  <c r="D59" i="86" s="1"/>
  <c r="D58" i="86" a="1"/>
  <c r="D58" i="86" s="1"/>
  <c r="D57" i="86" a="1"/>
  <c r="D57" i="86" s="1"/>
  <c r="G54" i="86" a="1"/>
  <c r="G54" i="86" s="1"/>
  <c r="F54" i="86" a="1"/>
  <c r="F54" i="86" s="1"/>
  <c r="E54" i="86" a="1"/>
  <c r="E54" i="86" s="1"/>
  <c r="D54" i="86" a="1"/>
  <c r="D54" i="86" s="1"/>
  <c r="G53" i="86" a="1"/>
  <c r="G53" i="86" s="1"/>
  <c r="F53" i="86" a="1"/>
  <c r="F53" i="86" s="1"/>
  <c r="E53" i="86" a="1"/>
  <c r="E53" i="86" s="1"/>
  <c r="D53" i="86" a="1"/>
  <c r="D53" i="86" s="1"/>
  <c r="G52" i="86" a="1"/>
  <c r="G52" i="86" s="1"/>
  <c r="F52" i="86" a="1"/>
  <c r="F52" i="86" s="1"/>
  <c r="E52" i="86" a="1"/>
  <c r="E52" i="86" s="1"/>
  <c r="D52" i="86" a="1"/>
  <c r="D52" i="86" s="1"/>
  <c r="G51" i="86" a="1"/>
  <c r="G51" i="86" s="1"/>
  <c r="F51" i="86" a="1"/>
  <c r="F51" i="86" s="1"/>
  <c r="E51" i="86" a="1"/>
  <c r="E51" i="86" s="1"/>
  <c r="D51" i="86" a="1"/>
  <c r="D51" i="86" s="1"/>
  <c r="G50" i="86" a="1"/>
  <c r="G50" i="86" s="1"/>
  <c r="F50" i="86" a="1"/>
  <c r="F50" i="86" s="1"/>
  <c r="E50" i="86" a="1"/>
  <c r="E50" i="86" s="1"/>
  <c r="D50" i="86" a="1"/>
  <c r="D50" i="86" s="1"/>
  <c r="G49" i="86" a="1"/>
  <c r="G49" i="86" s="1"/>
  <c r="F49" i="86" a="1"/>
  <c r="F49" i="86" s="1"/>
  <c r="E49" i="86" a="1"/>
  <c r="E49" i="86" s="1"/>
  <c r="D49" i="86" a="1"/>
  <c r="D49" i="86" s="1"/>
  <c r="G48" i="86" a="1"/>
  <c r="G48" i="86" s="1"/>
  <c r="F48" i="86" a="1"/>
  <c r="F48" i="86" s="1"/>
  <c r="E48" i="86" a="1"/>
  <c r="E48" i="86" s="1"/>
  <c r="D48" i="86" a="1"/>
  <c r="D48" i="86" s="1"/>
  <c r="D46" i="86"/>
  <c r="D46" i="86" a="1"/>
  <c r="D45" i="86" a="1"/>
  <c r="D45" i="86" s="1"/>
  <c r="E43" i="86" a="1"/>
  <c r="E43" i="86" s="1"/>
  <c r="D43" i="86" a="1"/>
  <c r="D43" i="86" s="1"/>
  <c r="E42" i="86" a="1"/>
  <c r="E42" i="86" s="1"/>
  <c r="D42" i="86" a="1"/>
  <c r="D42" i="86" s="1"/>
  <c r="E41" i="86" a="1"/>
  <c r="E41" i="86" s="1"/>
  <c r="D41" i="86" a="1"/>
  <c r="D41" i="86" s="1"/>
  <c r="E40" i="86" a="1"/>
  <c r="E40" i="86" s="1"/>
  <c r="D40" i="86" a="1"/>
  <c r="D40" i="86" s="1"/>
  <c r="E39" i="86" a="1"/>
  <c r="E39" i="86" s="1"/>
  <c r="D39" i="86" a="1"/>
  <c r="D39" i="86" s="1"/>
  <c r="E38" i="86" a="1"/>
  <c r="E38" i="86" s="1"/>
  <c r="D38" i="86" a="1"/>
  <c r="D38" i="86" s="1"/>
  <c r="E37" i="86" a="1"/>
  <c r="E37" i="86" s="1"/>
  <c r="D37" i="86" a="1"/>
  <c r="D37" i="86" s="1"/>
  <c r="D35" i="86"/>
  <c r="D35" i="86" a="1"/>
  <c r="D34" i="86"/>
  <c r="D34" i="86" a="1"/>
  <c r="D30" i="86" a="1"/>
  <c r="D30" i="86" s="1"/>
  <c r="D29" i="86" a="1"/>
  <c r="D29" i="86" s="1"/>
  <c r="D28" i="86" a="1"/>
  <c r="D28" i="86" s="1"/>
  <c r="D27" i="86" a="1"/>
  <c r="D27" i="86" s="1"/>
  <c r="D26" i="86" a="1"/>
  <c r="D26" i="86" s="1"/>
  <c r="D25" i="86" a="1"/>
  <c r="D25" i="86" s="1"/>
  <c r="D24" i="86" a="1"/>
  <c r="D24" i="86" s="1"/>
  <c r="D23" i="86" a="1"/>
  <c r="D23" i="86" s="1"/>
  <c r="D22" i="86" a="1"/>
  <c r="D22" i="86" s="1"/>
  <c r="D21" i="86" a="1"/>
  <c r="D21" i="86" s="1"/>
  <c r="D19" i="86"/>
  <c r="D19" i="86" a="1"/>
  <c r="D18" i="86" a="1"/>
  <c r="D18" i="86" s="1"/>
  <c r="F14" i="86" a="1"/>
  <c r="F14" i="86" s="1"/>
  <c r="E14" i="86" a="1"/>
  <c r="E14" i="86" s="1"/>
  <c r="D14" i="86" a="1"/>
  <c r="D14" i="86" s="1"/>
  <c r="F13" i="86" a="1"/>
  <c r="F13" i="86" s="1"/>
  <c r="E13" i="86" a="1"/>
  <c r="E13" i="86" s="1"/>
  <c r="D13" i="86" a="1"/>
  <c r="D13" i="86" s="1"/>
  <c r="F12" i="86" a="1"/>
  <c r="F12" i="86" s="1"/>
  <c r="E12" i="86" a="1"/>
  <c r="E12" i="86" s="1"/>
  <c r="D12" i="86" a="1"/>
  <c r="D12" i="86" s="1"/>
  <c r="F11" i="86" a="1"/>
  <c r="F11" i="86" s="1"/>
  <c r="E11" i="86" a="1"/>
  <c r="E11" i="86" s="1"/>
  <c r="D11" i="86" a="1"/>
  <c r="D11" i="86" s="1"/>
  <c r="F10" i="86" a="1"/>
  <c r="F10" i="86" s="1"/>
  <c r="E10" i="86" a="1"/>
  <c r="E10" i="86" s="1"/>
  <c r="D10" i="86" a="1"/>
  <c r="D10" i="86" s="1"/>
  <c r="F9" i="86" a="1"/>
  <c r="F9" i="86" s="1"/>
  <c r="E9" i="86" a="1"/>
  <c r="E9" i="86" s="1"/>
  <c r="D9" i="86" a="1"/>
  <c r="D9" i="86" s="1"/>
  <c r="F8" i="86" a="1"/>
  <c r="F8" i="86" s="1"/>
  <c r="E8" i="86" a="1"/>
  <c r="E8" i="86" s="1"/>
  <c r="D8" i="86" a="1"/>
  <c r="D8" i="86" s="1"/>
  <c r="F7" i="86" a="1"/>
  <c r="F7" i="86" s="1"/>
  <c r="E7" i="86" a="1"/>
  <c r="E7" i="86" s="1"/>
  <c r="D7" i="86" a="1"/>
  <c r="D7" i="86" s="1"/>
  <c r="D5" i="86"/>
  <c r="D5" i="86" a="1"/>
  <c r="H112" i="69"/>
  <c r="E134" i="69" a="1"/>
  <c r="E134" i="69" s="1"/>
  <c r="E133" i="69" a="1"/>
  <c r="E133" i="69" s="1"/>
  <c r="D128" i="69" a="1"/>
  <c r="D128" i="69" s="1"/>
  <c r="D136" i="69" a="1"/>
  <c r="D136" i="69" s="1"/>
  <c r="D127" i="69" a="1"/>
  <c r="D127" i="69" s="1"/>
  <c r="D96" i="69"/>
  <c r="D95" i="69"/>
  <c r="D94" i="69"/>
  <c r="D123" i="69"/>
  <c r="D118" i="69"/>
  <c r="H110" i="69"/>
  <c r="H108" i="69"/>
  <c r="D101" i="69" a="1"/>
  <c r="D101" i="69" s="1"/>
  <c r="E105" i="69" a="1"/>
  <c r="E105" i="69" s="1"/>
  <c r="E106" i="69" a="1"/>
  <c r="E106" i="69" s="1"/>
  <c r="H123" i="69" s="1"/>
  <c r="D108" i="69" a="1"/>
  <c r="D108" i="69" s="1"/>
  <c r="D100" i="69" a="1"/>
  <c r="D100" i="69" s="1"/>
  <c r="G13" i="69"/>
  <c r="G14" i="69"/>
  <c r="G42" i="69"/>
  <c r="G70" i="69"/>
  <c r="G44" i="69"/>
  <c r="G73" i="69"/>
  <c r="G72" i="69"/>
  <c r="A17" i="69"/>
  <c r="A16" i="69"/>
  <c r="A15" i="69"/>
  <c r="A11" i="69"/>
  <c r="A8" i="69"/>
  <c r="A7" i="69"/>
  <c r="A4" i="69"/>
  <c r="A3" i="69"/>
  <c r="A16" i="15"/>
  <c r="A15" i="15"/>
  <c r="A14" i="15"/>
  <c r="A11" i="15"/>
  <c r="A8" i="15"/>
  <c r="A7" i="15"/>
  <c r="A4" i="15"/>
  <c r="A3" i="15"/>
  <c r="A16" i="13"/>
  <c r="A15" i="13"/>
  <c r="A14" i="13"/>
  <c r="A11" i="13"/>
  <c r="A8" i="13"/>
  <c r="A7" i="13"/>
  <c r="A4" i="13"/>
  <c r="A3" i="13"/>
  <c r="A16" i="70"/>
  <c r="A3" i="70"/>
  <c r="G47" i="69" a="1"/>
  <c r="G47" i="69" s="1"/>
  <c r="A11" i="70"/>
  <c r="A8" i="70"/>
  <c r="A15" i="70"/>
  <c r="D69" i="69" a="1"/>
  <c r="D69" i="69" s="1"/>
  <c r="E67" i="69" a="1"/>
  <c r="E67" i="69" s="1"/>
  <c r="I96" i="69" s="1"/>
  <c r="E66" i="69" a="1"/>
  <c r="E66" i="69" s="1"/>
  <c r="D62" i="69" a="1"/>
  <c r="D62" i="69" s="1"/>
  <c r="D61" i="69" a="1"/>
  <c r="D61" i="69" s="1"/>
  <c r="D42" i="69" a="1"/>
  <c r="D42" i="69" s="1"/>
  <c r="E40" i="69" a="1"/>
  <c r="E40" i="69" s="1"/>
  <c r="H57" i="69" s="1"/>
  <c r="E39" i="69" a="1"/>
  <c r="E39" i="69" s="1"/>
  <c r="D35" i="69" a="1"/>
  <c r="D35" i="69" s="1"/>
  <c r="D34" i="69" a="1"/>
  <c r="D34" i="69" s="1"/>
  <c r="D13" i="69" a="1"/>
  <c r="D13" i="69" s="1"/>
  <c r="E11" i="69" a="1"/>
  <c r="E11" i="69" s="1"/>
  <c r="G30" i="69" s="1"/>
  <c r="E10" i="69" a="1"/>
  <c r="E10" i="69" s="1"/>
  <c r="D6" i="69" a="1"/>
  <c r="D6" i="69" s="1"/>
  <c r="D5" i="69" a="1"/>
  <c r="D5" i="69" s="1"/>
  <c r="D89" i="69"/>
  <c r="D88" i="69"/>
  <c r="D87" i="69"/>
  <c r="E63" i="69" a="1"/>
  <c r="E102" i="69" a="1"/>
  <c r="H49" i="86" l="1"/>
  <c r="H48" i="86"/>
  <c r="H52" i="86"/>
  <c r="H51" i="86"/>
  <c r="H54" i="86"/>
  <c r="H50" i="86"/>
  <c r="H53" i="86"/>
  <c r="I95" i="69"/>
  <c r="I94" i="69"/>
  <c r="E63" i="69"/>
  <c r="G75" i="69" a="1"/>
  <c r="G75" i="69" s="1"/>
  <c r="H113" i="69" a="1"/>
  <c r="H113" i="69" s="1"/>
  <c r="E102" i="69"/>
  <c r="E31" i="15" a="1"/>
  <c r="E31" i="15" s="1"/>
  <c r="E30" i="15" a="1"/>
  <c r="E30" i="15" s="1"/>
  <c r="H82" i="69"/>
  <c r="G82" i="69"/>
  <c r="F82" i="69"/>
  <c r="H81" i="69"/>
  <c r="G81" i="69"/>
  <c r="F81" i="69"/>
  <c r="H80" i="69"/>
  <c r="G80" i="69"/>
  <c r="F80" i="69"/>
  <c r="D82" i="69"/>
  <c r="D81" i="69"/>
  <c r="D80" i="69"/>
  <c r="G74" i="69"/>
  <c r="D57" i="69"/>
  <c r="G52" i="69"/>
  <c r="F52" i="69"/>
  <c r="E52" i="69"/>
  <c r="D52" i="69"/>
  <c r="D33" i="70"/>
  <c r="D21" i="70"/>
  <c r="G41" i="70"/>
  <c r="F41" i="70"/>
  <c r="E41" i="70"/>
  <c r="G38" i="70"/>
  <c r="F38" i="70"/>
  <c r="E38" i="70"/>
  <c r="G35" i="70"/>
  <c r="F35" i="70"/>
  <c r="E35" i="70"/>
  <c r="M37" i="69" a="1"/>
  <c r="M37" i="69" s="1"/>
  <c r="N37" i="69" a="1"/>
  <c r="N37" i="69" s="1"/>
  <c r="O37" i="69" a="1"/>
  <c r="O37" i="69" s="1"/>
  <c r="P37" i="69" a="1"/>
  <c r="P37" i="69" s="1"/>
  <c r="Q37" i="69" a="1"/>
  <c r="Q37" i="69" s="1"/>
  <c r="R37" i="69" a="1"/>
  <c r="R37" i="69" s="1"/>
  <c r="S37" i="69" a="1"/>
  <c r="S37" i="69" s="1"/>
  <c r="T37" i="69" a="1"/>
  <c r="T37" i="69" s="1"/>
  <c r="U37" i="69" a="1"/>
  <c r="U37" i="69" s="1"/>
  <c r="V37" i="69" a="1"/>
  <c r="V37" i="69" s="1"/>
  <c r="W37" i="69" a="1"/>
  <c r="W37" i="69" s="1"/>
  <c r="M36" i="69" a="1"/>
  <c r="M36" i="69" s="1"/>
  <c r="N36" i="69" a="1"/>
  <c r="N36" i="69" s="1"/>
  <c r="O36" i="69" a="1"/>
  <c r="O36" i="69" s="1"/>
  <c r="P36" i="69" a="1"/>
  <c r="P36" i="69" s="1"/>
  <c r="Q36" i="69" a="1"/>
  <c r="Q36" i="69" s="1"/>
  <c r="R36" i="69" a="1"/>
  <c r="R36" i="69" s="1"/>
  <c r="S36" i="69" a="1"/>
  <c r="S36" i="69" s="1"/>
  <c r="T36" i="69" a="1"/>
  <c r="T36" i="69" s="1"/>
  <c r="U36" i="69" a="1"/>
  <c r="U36" i="69" s="1"/>
  <c r="V36" i="69" a="1"/>
  <c r="V36" i="69" s="1"/>
  <c r="W36" i="69" a="1"/>
  <c r="W36" i="69" s="1"/>
  <c r="M35" i="69" a="1"/>
  <c r="M35" i="69" s="1"/>
  <c r="N35" i="69" a="1"/>
  <c r="N35" i="69" s="1"/>
  <c r="O35" i="69" a="1"/>
  <c r="O35" i="69" s="1"/>
  <c r="P35" i="69" a="1"/>
  <c r="P35" i="69" s="1"/>
  <c r="Q35" i="69" a="1"/>
  <c r="Q35" i="69" s="1"/>
  <c r="R35" i="69" a="1"/>
  <c r="R35" i="69" s="1"/>
  <c r="S35" i="69" a="1"/>
  <c r="S35" i="69" s="1"/>
  <c r="T35" i="69" a="1"/>
  <c r="T35" i="69" s="1"/>
  <c r="U35" i="69" a="1"/>
  <c r="U35" i="69" s="1"/>
  <c r="V35" i="69" a="1"/>
  <c r="V35" i="69" s="1"/>
  <c r="W35" i="69" a="1"/>
  <c r="W35" i="69" s="1"/>
  <c r="M34" i="69" a="1"/>
  <c r="M34" i="69" s="1"/>
  <c r="N34" i="69" a="1"/>
  <c r="N34" i="69" s="1"/>
  <c r="O34" i="69" a="1"/>
  <c r="O34" i="69" s="1"/>
  <c r="P34" i="69" a="1"/>
  <c r="P34" i="69" s="1"/>
  <c r="Q34" i="69" a="1"/>
  <c r="Q34" i="69" s="1"/>
  <c r="R34" i="69" a="1"/>
  <c r="R34" i="69" s="1"/>
  <c r="S34" i="69" a="1"/>
  <c r="S34" i="69" s="1"/>
  <c r="T34" i="69" a="1"/>
  <c r="T34" i="69" s="1"/>
  <c r="U34" i="69" a="1"/>
  <c r="U34" i="69" s="1"/>
  <c r="V34" i="69" a="1"/>
  <c r="V34" i="69" s="1"/>
  <c r="W34" i="69" a="1"/>
  <c r="W34" i="69" s="1"/>
  <c r="W33" i="69" a="1"/>
  <c r="W33" i="69" s="1"/>
  <c r="V33" i="69" a="1"/>
  <c r="V33" i="69" s="1"/>
  <c r="U33" i="69" a="1"/>
  <c r="U33" i="69" s="1"/>
  <c r="T33" i="69" a="1"/>
  <c r="T33" i="69" s="1"/>
  <c r="S33" i="69" a="1"/>
  <c r="S33" i="69" s="1"/>
  <c r="R33" i="69" a="1"/>
  <c r="R33" i="69" s="1"/>
  <c r="Q33" i="69" a="1"/>
  <c r="Q33" i="69" s="1"/>
  <c r="P33" i="69" a="1"/>
  <c r="P33" i="69" s="1"/>
  <c r="O33" i="69" a="1"/>
  <c r="O33" i="69" s="1"/>
  <c r="G45" i="69" s="1"/>
  <c r="N33" i="69" a="1"/>
  <c r="N33" i="69" s="1"/>
  <c r="M33" i="69" a="1"/>
  <c r="M33" i="69" s="1"/>
  <c r="M27" i="69" a="1"/>
  <c r="M27" i="69" s="1"/>
  <c r="M26" i="69" a="1"/>
  <c r="M26" i="69" s="1"/>
  <c r="M25" i="69" a="1"/>
  <c r="M25" i="69" s="1"/>
  <c r="O22" i="69" a="1"/>
  <c r="O22" i="69" s="1"/>
  <c r="N22" i="69" a="1"/>
  <c r="N22" i="69" s="1"/>
  <c r="M22" i="69" a="1"/>
  <c r="M22" i="69" s="1"/>
  <c r="M21" i="69" a="1"/>
  <c r="M21" i="69" s="1"/>
  <c r="M20" i="69" a="1"/>
  <c r="M20" i="69" s="1"/>
  <c r="G46" i="69"/>
  <c r="F25" i="69"/>
  <c r="E25" i="69"/>
  <c r="D25" i="69"/>
  <c r="F20" i="69"/>
  <c r="E20" i="69"/>
  <c r="D20" i="69"/>
  <c r="A14" i="70"/>
  <c r="A7" i="70"/>
  <c r="A4" i="70"/>
  <c r="O17" i="69" a="1"/>
  <c r="O17" i="69" s="1"/>
  <c r="N17" i="69" a="1"/>
  <c r="N17" i="69" s="1"/>
  <c r="G15" i="69" s="1"/>
  <c r="M17" i="69" a="1"/>
  <c r="M17" i="69" s="1"/>
  <c r="M16" i="69" a="1"/>
  <c r="M16" i="69" s="1"/>
  <c r="M15" i="69" a="1"/>
  <c r="M15" i="69" s="1"/>
  <c r="O12" i="69" a="1"/>
  <c r="O12" i="69" s="1"/>
  <c r="N12" i="69" a="1"/>
  <c r="N12" i="69" s="1"/>
  <c r="M12" i="69" a="1"/>
  <c r="M12" i="69" s="1"/>
  <c r="M11" i="69" a="1"/>
  <c r="M11" i="69" s="1"/>
  <c r="M10" i="69" a="1"/>
  <c r="M10" i="69" s="1"/>
  <c r="M6" i="69" a="1"/>
  <c r="M6" i="69" s="1"/>
  <c r="M7" i="69" a="1"/>
  <c r="M7" i="69" s="1"/>
  <c r="N7" i="69" a="1"/>
  <c r="N7" i="69" s="1"/>
  <c r="G69" i="69" s="1"/>
  <c r="O7" i="69" a="1"/>
  <c r="O7" i="69" s="1"/>
  <c r="M5" i="69" a="1"/>
  <c r="M5" i="69" s="1"/>
  <c r="E36" i="69" a="1"/>
  <c r="E7" i="69" a="1"/>
  <c r="E30" i="69" l="1"/>
  <c r="F30" i="69"/>
  <c r="D30" i="69"/>
  <c r="G30" i="70"/>
  <c r="G118" i="69" s="1"/>
  <c r="E30" i="70"/>
  <c r="E118" i="69" s="1"/>
  <c r="F30" i="70"/>
  <c r="F118" i="69" s="1"/>
  <c r="G43" i="69"/>
  <c r="H109" i="69"/>
  <c r="H111" i="69"/>
  <c r="G71" i="69"/>
  <c r="D58" i="69"/>
  <c r="E36" i="69"/>
  <c r="E7" i="69"/>
  <c r="E57" i="69" l="1"/>
  <c r="G57" i="69"/>
  <c r="F57" i="69"/>
  <c r="G123" i="69"/>
  <c r="E123" i="69"/>
  <c r="F123" i="69"/>
  <c r="A11" i="43"/>
  <c r="A10" i="43"/>
  <c r="J51" i="13"/>
  <c r="J50" i="13"/>
  <c r="J49" i="13"/>
  <c r="J48" i="13"/>
  <c r="J45" i="13"/>
  <c r="J44" i="13"/>
  <c r="J43" i="13"/>
  <c r="H51" i="13"/>
  <c r="H50" i="13"/>
  <c r="H49" i="13"/>
  <c r="H48" i="13"/>
  <c r="H45" i="13"/>
  <c r="H44" i="13"/>
  <c r="H43" i="13"/>
  <c r="A39" i="43" l="1"/>
  <c r="A38" i="43"/>
  <c r="A37" i="43"/>
  <c r="A36" i="43"/>
  <c r="A33" i="43"/>
  <c r="A30" i="43"/>
  <c r="A29" i="43"/>
  <c r="A28" i="43"/>
  <c r="A27" i="43"/>
  <c r="A26" i="43"/>
  <c r="A25" i="43"/>
  <c r="A24" i="43"/>
  <c r="A19" i="43"/>
  <c r="A18" i="43"/>
  <c r="A15" i="43"/>
  <c r="A14" i="43"/>
  <c r="A13" i="43"/>
  <c r="A12" i="43"/>
  <c r="A9" i="43"/>
  <c r="A8" i="43"/>
  <c r="A7" i="43"/>
  <c r="A4" i="43"/>
  <c r="F27" i="43" l="1" a="1"/>
  <c r="F27" i="43" s="1"/>
  <c r="E27" i="43" a="1"/>
  <c r="E27" i="43" s="1"/>
  <c r="D27" i="43" a="1"/>
  <c r="D27" i="43" s="1"/>
  <c r="F26" i="43" a="1"/>
  <c r="F26" i="43" s="1"/>
  <c r="N46" i="69" s="1"/>
  <c r="E26" i="43" a="1"/>
  <c r="E26" i="43" s="1"/>
  <c r="M46" i="69" s="1"/>
  <c r="D24" i="70" s="1"/>
  <c r="E96" i="69" s="1"/>
  <c r="D26" i="43" a="1"/>
  <c r="D26" i="43" s="1"/>
  <c r="F25" i="43" a="1"/>
  <c r="F25" i="43" s="1"/>
  <c r="E25" i="43" a="1"/>
  <c r="E25" i="43" s="1"/>
  <c r="D25" i="43" a="1"/>
  <c r="D25" i="43" s="1"/>
  <c r="F24" i="43" a="1"/>
  <c r="F24" i="43" s="1"/>
  <c r="E24" i="43" a="1"/>
  <c r="E24" i="43" s="1"/>
  <c r="D24" i="43" a="1"/>
  <c r="D24" i="43" s="1"/>
  <c r="F23" i="43" a="1"/>
  <c r="F23" i="43" s="1"/>
  <c r="E23" i="43" a="1"/>
  <c r="E23" i="43" s="1"/>
  <c r="D23" i="43" a="1"/>
  <c r="D23" i="43" s="1"/>
  <c r="F22" i="43" a="1"/>
  <c r="F22" i="43" s="1"/>
  <c r="E22" i="43" a="1"/>
  <c r="E22" i="43" s="1"/>
  <c r="D22" i="43" a="1"/>
  <c r="D22" i="43" s="1"/>
  <c r="F21" i="43" a="1"/>
  <c r="F21" i="43" s="1"/>
  <c r="E21" i="43" a="1"/>
  <c r="E21" i="43" s="1"/>
  <c r="D21" i="43" a="1"/>
  <c r="D21" i="43" s="1"/>
  <c r="F20" i="43" a="1"/>
  <c r="F20" i="43" s="1"/>
  <c r="E20" i="43" a="1"/>
  <c r="E20" i="43" s="1"/>
  <c r="D20" i="43" a="1"/>
  <c r="D20" i="43" s="1"/>
  <c r="F19" i="43" a="1"/>
  <c r="F19" i="43" s="1"/>
  <c r="E19" i="43" a="1"/>
  <c r="E19" i="43" s="1"/>
  <c r="D19" i="43" a="1"/>
  <c r="D19" i="43" s="1"/>
  <c r="F18" i="43" a="1"/>
  <c r="F18" i="43" s="1"/>
  <c r="E18" i="43" a="1"/>
  <c r="E18" i="43" s="1"/>
  <c r="D18" i="43" a="1"/>
  <c r="D18" i="43" s="1"/>
  <c r="F17" i="43" a="1"/>
  <c r="F17" i="43" s="1"/>
  <c r="N45" i="69" s="1"/>
  <c r="E17" i="43" a="1"/>
  <c r="E17" i="43" s="1"/>
  <c r="M45" i="69" s="1"/>
  <c r="D23" i="70" s="1"/>
  <c r="E95" i="69" s="1"/>
  <c r="D17" i="43" a="1"/>
  <c r="D17" i="43" s="1"/>
  <c r="F16" i="43" a="1"/>
  <c r="F16" i="43" s="1"/>
  <c r="N43" i="69" s="1"/>
  <c r="E16" i="43" a="1"/>
  <c r="E16" i="43" s="1"/>
  <c r="M43" i="69" s="1"/>
  <c r="D16" i="43" a="1"/>
  <c r="D16" i="43" s="1"/>
  <c r="F15" i="43" a="1"/>
  <c r="F15" i="43" s="1"/>
  <c r="N44" i="69" s="1"/>
  <c r="E15" i="43" a="1"/>
  <c r="E15" i="43" s="1"/>
  <c r="M44" i="69" s="1"/>
  <c r="D22" i="70" s="1"/>
  <c r="E94" i="69" s="1"/>
  <c r="D15" i="43" a="1"/>
  <c r="D15" i="43" s="1"/>
  <c r="F14" i="43" a="1"/>
  <c r="F14" i="43" s="1"/>
  <c r="E14" i="43" a="1"/>
  <c r="E14" i="43" s="1"/>
  <c r="D14" i="43" a="1"/>
  <c r="D14" i="43" s="1"/>
  <c r="F13" i="43" a="1"/>
  <c r="F13" i="43" s="1"/>
  <c r="E13" i="43" a="1"/>
  <c r="E13" i="43" s="1"/>
  <c r="D13" i="43" a="1"/>
  <c r="D13" i="43" s="1"/>
  <c r="F12" i="43" a="1"/>
  <c r="F12" i="43" s="1"/>
  <c r="E12" i="43" a="1"/>
  <c r="E12" i="43" s="1"/>
  <c r="D12" i="43" a="1"/>
  <c r="D12" i="43" s="1"/>
  <c r="F11" i="43" a="1"/>
  <c r="F11" i="43" s="1"/>
  <c r="E11" i="43" a="1"/>
  <c r="E11" i="43" s="1"/>
  <c r="D11" i="43" a="1"/>
  <c r="D11" i="43" s="1"/>
  <c r="F10" i="43" a="1"/>
  <c r="F10" i="43" s="1"/>
  <c r="N47" i="69" s="1"/>
  <c r="E10" i="43" a="1"/>
  <c r="E10" i="43" s="1"/>
  <c r="D10" i="43" a="1"/>
  <c r="D10" i="43" s="1"/>
  <c r="D8" i="43" a="1"/>
  <c r="D8" i="43" s="1"/>
  <c r="D7" i="43" a="1"/>
  <c r="D7" i="43" s="1"/>
  <c r="D6" i="43" a="1"/>
  <c r="D6" i="43" s="1"/>
  <c r="E87" i="69" l="1"/>
  <c r="F87" i="69" s="1" a="1"/>
  <c r="F87" i="69" s="1"/>
  <c r="E80" i="69"/>
  <c r="D34" i="70"/>
  <c r="D35" i="70"/>
  <c r="D40" i="70"/>
  <c r="E33" i="70"/>
  <c r="D41" i="70"/>
  <c r="G25" i="70"/>
  <c r="E82" i="69"/>
  <c r="F25" i="70"/>
  <c r="E21" i="70"/>
  <c r="E89" i="69"/>
  <c r="F89" i="69" s="1" a="1"/>
  <c r="F89" i="69" s="1"/>
  <c r="E25" i="70"/>
  <c r="M47" i="69"/>
  <c r="D30" i="70" s="1"/>
  <c r="E88" i="69"/>
  <c r="F88" i="69" s="1" a="1"/>
  <c r="F88" i="69" s="1"/>
  <c r="E81" i="69"/>
  <c r="D38" i="70"/>
  <c r="D37" i="70"/>
  <c r="E33" i="15" a="1"/>
  <c r="E33" i="15" s="1"/>
  <c r="H95" i="69" l="1"/>
  <c r="G95" i="69"/>
  <c r="F95" i="69"/>
  <c r="H96" i="69"/>
  <c r="G96" i="69"/>
  <c r="F96" i="69"/>
  <c r="H94" i="69"/>
  <c r="F94" i="69"/>
  <c r="G94" i="69"/>
  <c r="I38" i="13"/>
  <c r="G38" i="13" l="1"/>
  <c r="E29" i="15" l="1"/>
  <c r="E32" i="15" s="1" a="1"/>
  <c r="E32" i="15" s="1"/>
  <c r="E47" i="13" l="1"/>
  <c r="H47" i="13" l="1"/>
  <c r="J47" i="13"/>
  <c r="E70" i="13" l="1"/>
  <c r="E62" i="13"/>
  <c r="E71" i="13" l="1"/>
  <c r="E42" i="13"/>
  <c r="E39" i="13"/>
  <c r="E52" i="13"/>
  <c r="H52" i="13" l="1"/>
  <c r="J52" i="13"/>
  <c r="J39" i="13"/>
  <c r="H39" i="13"/>
  <c r="H42" i="13"/>
  <c r="J42" i="13"/>
  <c r="E40" i="13" l="1"/>
  <c r="J40" i="13" l="1"/>
  <c r="H40" i="13"/>
  <c r="E46" i="13"/>
  <c r="H46" i="13" l="1"/>
  <c r="J46" i="13"/>
  <c r="E13" i="15" l="1"/>
  <c r="E11" i="13" l="1"/>
  <c r="E33" i="13" l="1"/>
  <c r="E32" i="13"/>
  <c r="E28" i="13"/>
  <c r="E27" i="13"/>
  <c r="E23" i="13"/>
  <c r="E22" i="13"/>
  <c r="C1" i="13"/>
  <c r="E41" i="13" l="1"/>
  <c r="J41" i="13" l="1"/>
  <c r="J53" i="13" s="1"/>
  <c r="H41" i="13"/>
  <c r="H53" i="13" s="1"/>
  <c r="E53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<sst xmlns="http://schemas.openxmlformats.org/spreadsheetml/2006/main" count="357" uniqueCount="228">
  <si>
    <t>Home</t>
  </si>
  <si>
    <t>N2O MMS</t>
  </si>
  <si>
    <t>Sources &amp; acknowledgements</t>
  </si>
  <si>
    <t>INPUTS</t>
  </si>
  <si>
    <t>APPENDICES</t>
  </si>
  <si>
    <t>Scope 1</t>
  </si>
  <si>
    <t>CO2 : Fuel</t>
  </si>
  <si>
    <t>Total scope 1 emissions</t>
  </si>
  <si>
    <t>Scope 2</t>
  </si>
  <si>
    <t>Total scope 2 emissions</t>
  </si>
  <si>
    <t>Scope 3</t>
  </si>
  <si>
    <t>Total scope 3 emissions</t>
  </si>
  <si>
    <r>
      <t>Sequestered CO</t>
    </r>
    <r>
      <rPr>
        <b/>
        <vertAlign val="subscript"/>
        <sz val="16"/>
        <color theme="0"/>
        <rFont val="Times New Roman"/>
        <family val="1"/>
      </rPr>
      <t>2</t>
    </r>
  </si>
  <si>
    <t>Net emissions</t>
  </si>
  <si>
    <r>
      <t>t CO</t>
    </r>
    <r>
      <rPr>
        <i/>
        <vertAlign val="subscript"/>
        <sz val="12"/>
        <color theme="1" tint="0.34998626667073579"/>
        <rFont val="Times New Roman"/>
        <family val="1"/>
      </rPr>
      <t>2</t>
    </r>
    <r>
      <rPr>
        <i/>
        <sz val="12"/>
        <color theme="1" tint="0.34998626667073579"/>
        <rFont val="Times New Roman"/>
        <family val="1"/>
      </rPr>
      <t>-e / t grains</t>
    </r>
  </si>
  <si>
    <r>
      <t>t CO</t>
    </r>
    <r>
      <rPr>
        <i/>
        <vertAlign val="subscript"/>
        <sz val="12"/>
        <color theme="1" tint="0.34998626667073579"/>
        <rFont val="Times New Roman"/>
        <family val="1"/>
      </rPr>
      <t>2</t>
    </r>
    <r>
      <rPr>
        <i/>
        <sz val="12"/>
        <color theme="1" tint="0.34998626667073579"/>
        <rFont val="Times New Roman"/>
        <family val="1"/>
      </rPr>
      <t>-e / farm</t>
    </r>
  </si>
  <si>
    <t>Grains emissions intensity : Including sequestration</t>
  </si>
  <si>
    <t>Grains emissions intensity : Excluding sequestration</t>
  </si>
  <si>
    <t>Fodder emissions intensity : Excluding sequestration</t>
  </si>
  <si>
    <t>Fodder emissions intensity : Including sequestration</t>
  </si>
  <si>
    <r>
      <t>t CO</t>
    </r>
    <r>
      <rPr>
        <i/>
        <vertAlign val="subscript"/>
        <sz val="12"/>
        <color theme="1" tint="0.34998626667073579"/>
        <rFont val="Times New Roman"/>
        <family val="1"/>
      </rPr>
      <t>2</t>
    </r>
    <r>
      <rPr>
        <i/>
        <sz val="12"/>
        <color theme="1" tint="0.34998626667073579"/>
        <rFont val="Times New Roman"/>
        <family val="1"/>
      </rPr>
      <t>-e</t>
    </r>
  </si>
  <si>
    <t>Sequestration</t>
  </si>
  <si>
    <t>Net farm emissions</t>
  </si>
  <si>
    <t>Plantings</t>
  </si>
  <si>
    <t>CO2 - Fuel</t>
  </si>
  <si>
    <t>CO2 - Lime</t>
  </si>
  <si>
    <t>CO2 - Urea</t>
  </si>
  <si>
    <t>CH4 - Fuel</t>
  </si>
  <si>
    <t>CH4 - Enteric</t>
  </si>
  <si>
    <t>CH4 - Manure Management</t>
  </si>
  <si>
    <t>CH4 - Savannah Burning</t>
  </si>
  <si>
    <t>N2O - Urine and Dung</t>
  </si>
  <si>
    <t>N2O - Atmospheric Deposition</t>
  </si>
  <si>
    <t>N2O - Leaching and Runoff</t>
  </si>
  <si>
    <t xml:space="preserve">N2O - Savannah Burning </t>
  </si>
  <si>
    <t xml:space="preserve">N2O - Fuel </t>
  </si>
  <si>
    <t>Fertiliser</t>
  </si>
  <si>
    <t>Purchased mineral supplementation</t>
  </si>
  <si>
    <t>Purchased feed</t>
  </si>
  <si>
    <t>Herbicides/pesticides</t>
  </si>
  <si>
    <t xml:space="preserve">Electricity </t>
  </si>
  <si>
    <t>Fuel</t>
  </si>
  <si>
    <t>Lime</t>
  </si>
  <si>
    <t>Purchased livestock</t>
  </si>
  <si>
    <t>percent</t>
  </si>
  <si>
    <t>Grains emissions intensity</t>
  </si>
  <si>
    <t>Fodder emissions intensity</t>
  </si>
  <si>
    <t>Grains allocation</t>
  </si>
  <si>
    <t>Fodder allocation</t>
  </si>
  <si>
    <t>Emissions breakdown</t>
  </si>
  <si>
    <t>CH4 : Methane</t>
  </si>
  <si>
    <t>Scope 1 greenhouse gas breakdown</t>
  </si>
  <si>
    <r>
      <t>t CO</t>
    </r>
    <r>
      <rPr>
        <i/>
        <vertAlign val="subscript"/>
        <sz val="12"/>
        <color theme="1" tint="0.34998626667073579"/>
        <rFont val="Times New Roman"/>
        <family val="1"/>
      </rPr>
      <t>2</t>
    </r>
    <r>
      <rPr>
        <i/>
        <sz val="12"/>
        <color theme="1" tint="0.34998626667073579"/>
        <rFont val="Times New Roman"/>
        <family val="1"/>
      </rPr>
      <t>-e / t fodder</t>
    </r>
  </si>
  <si>
    <r>
      <t>Total scope sequestered CO</t>
    </r>
    <r>
      <rPr>
        <b/>
        <vertAlign val="subscript"/>
        <sz val="14"/>
        <color theme="1"/>
        <rFont val="Times New Roman"/>
        <family val="1"/>
        <scheme val="minor"/>
      </rPr>
      <t>2</t>
    </r>
    <r>
      <rPr>
        <b/>
        <sz val="14"/>
        <color theme="1"/>
        <rFont val="Times New Roman"/>
        <family val="1"/>
        <scheme val="minor"/>
      </rPr>
      <t xml:space="preserve"> emissions</t>
    </r>
  </si>
  <si>
    <t>CO2 : Carbon dioxide</t>
  </si>
  <si>
    <t>N2O : Nitrous oxide</t>
  </si>
  <si>
    <t>Emissions overview</t>
  </si>
  <si>
    <t>Allocation method: Mass</t>
  </si>
  <si>
    <t>Residual product X allocation</t>
  </si>
  <si>
    <t>N/A</t>
  </si>
  <si>
    <t>Grains yield</t>
  </si>
  <si>
    <t>tonnes</t>
  </si>
  <si>
    <t>Fodder yield</t>
  </si>
  <si>
    <t>Residual product X emissions intensity : Excluding sequestration</t>
  </si>
  <si>
    <t>Residual product X yield / amount produced</t>
  </si>
  <si>
    <t>Residual product X emissions intensity : Including sequestration</t>
  </si>
  <si>
    <t>Allocation of net emissions between primary product, co-products and residual products</t>
  </si>
  <si>
    <t>Test Farms</t>
  </si>
  <si>
    <t>Farm name</t>
  </si>
  <si>
    <t>State</t>
  </si>
  <si>
    <t>Leaching zone</t>
  </si>
  <si>
    <t>Climate zone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</si>
  <si>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Please select</t>
    </r>
  </si>
  <si>
    <t>Degrees celsius</t>
  </si>
  <si>
    <t>Millimetres</t>
  </si>
  <si>
    <t>Location and climate</t>
  </si>
  <si>
    <t>Your business</t>
  </si>
  <si>
    <t>Location information is used to reference some region and climate-specific emission factors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</si>
  <si>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Automatically calculated, 12 months after start date</t>
    </r>
  </si>
  <si>
    <t xml:space="preserve"> </t>
  </si>
  <si>
    <t>Notes</t>
  </si>
  <si>
    <t>Residual product X emissions intensity (only the processing of the residual product)</t>
  </si>
  <si>
    <r>
      <t xml:space="preserve">For production timeframes that touch multiple years, use the </t>
    </r>
    <r>
      <rPr>
        <b/>
        <sz val="11"/>
        <color rgb="FFFF0000"/>
        <rFont val="Times New Roman"/>
        <family val="1"/>
        <scheme val="minor"/>
      </rPr>
      <t>emissions intensity</t>
    </r>
    <r>
      <rPr>
        <sz val="11"/>
        <color rgb="FFFF0000"/>
        <rFont val="Times New Roman"/>
        <family val="1"/>
        <scheme val="minor"/>
      </rPr>
      <t xml:space="preserve"> tool</t>
    </r>
  </si>
  <si>
    <t>Dry matter digestibility</t>
  </si>
  <si>
    <t>Percent</t>
  </si>
  <si>
    <t>Emissions intensity - IF THIS YEAR IS FULL PRODUCTION CYCLE</t>
  </si>
  <si>
    <t>Unit</t>
  </si>
  <si>
    <t>Manure management system</t>
  </si>
  <si>
    <t>Equations</t>
  </si>
  <si>
    <t>Source data</t>
  </si>
  <si>
    <t>State/Territory</t>
  </si>
  <si>
    <t>Common Name</t>
  </si>
  <si>
    <t>Abbreviation</t>
  </si>
  <si>
    <t>SA 4 Name</t>
  </si>
  <si>
    <t>Region (ABS Statistical area level 4) if state is WA</t>
  </si>
  <si>
    <t>Function name</t>
  </si>
  <si>
    <t>Gas</t>
  </si>
  <si>
    <t>CO2-e factor</t>
  </si>
  <si>
    <t>Variable</t>
  </si>
  <si>
    <t>Conversion factor</t>
  </si>
  <si>
    <t>Conversion factor 1</t>
  </si>
  <si>
    <t>Conversion factor 2</t>
  </si>
  <si>
    <t>Conversion factor combined</t>
  </si>
  <si>
    <t>Western Australia - Outback (South)</t>
  </si>
  <si>
    <t>Rainfall zone</t>
  </si>
  <si>
    <t>N2O - Fertiliser - inorganic</t>
  </si>
  <si>
    <t>N2O - Fertiliser - organic</t>
  </si>
  <si>
    <t>MAT</t>
  </si>
  <si>
    <t>MAP</t>
  </si>
  <si>
    <t>Frost days per year</t>
  </si>
  <si>
    <t>Elevation</t>
  </si>
  <si>
    <t>MAP:PET</t>
  </si>
  <si>
    <t>Min temp</t>
  </si>
  <si>
    <t>Max temp</t>
  </si>
  <si>
    <t>Min rainfall</t>
  </si>
  <si>
    <t>Max rainfall</t>
  </si>
  <si>
    <t>Min frost days</t>
  </si>
  <si>
    <t>Min elevation</t>
  </si>
  <si>
    <t>Min MAP:PET</t>
  </si>
  <si>
    <t>Wet or Dry Zone</t>
  </si>
  <si>
    <t>Max frost days</t>
  </si>
  <si>
    <t>Max elevation</t>
  </si>
  <si>
    <t>Max MAP:PET</t>
  </si>
  <si>
    <t>Temperature zone</t>
  </si>
  <si>
    <t>Meters</t>
  </si>
  <si>
    <t>Days</t>
  </si>
  <si>
    <t>Temperature Zone</t>
  </si>
  <si>
    <t>Min MAT</t>
  </si>
  <si>
    <t>Max MAT</t>
  </si>
  <si>
    <t>Rainfall Zone</t>
  </si>
  <si>
    <t>Annual rainfall</t>
  </si>
  <si>
    <t>MAP:PET ratio</t>
  </si>
  <si>
    <t>Average temperature for reporting period</t>
  </si>
  <si>
    <t>Total rainfall for reporting period</t>
  </si>
  <si>
    <t>Potential evapotranspiration for reporting period</t>
  </si>
  <si>
    <t>Number of frost days for reporting period</t>
  </si>
  <si>
    <t>Leaching Zone</t>
  </si>
  <si>
    <t>Leaching criteria</t>
  </si>
  <si>
    <t>MMS</t>
  </si>
  <si>
    <t>Data source</t>
  </si>
  <si>
    <t>Data score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</si>
  <si>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DD/MM/YYYY or DD Month YYYY</t>
    </r>
  </si>
  <si>
    <t>Tip: Use the web-based GAF Location Helper tool to easily get region and climate information. You will need an internet connection to use the GAF Location Helper.</t>
  </si>
  <si>
    <t>Reporting entity name</t>
  </si>
  <si>
    <t>Test Farms Pty Ltd</t>
  </si>
  <si>
    <t>Freight and transport</t>
  </si>
  <si>
    <t>Enteric methane</t>
  </si>
  <si>
    <t>CALCULATIONS</t>
  </si>
  <si>
    <t>Constants - Common</t>
  </si>
  <si>
    <t>Waste</t>
  </si>
  <si>
    <t>Constants - Livestock</t>
  </si>
  <si>
    <t>Symbol</t>
  </si>
  <si>
    <t>Symbol and MMS</t>
  </si>
  <si>
    <t>ACT</t>
  </si>
  <si>
    <t>NSW</t>
  </si>
  <si>
    <t>NT</t>
  </si>
  <si>
    <t>QLD</t>
  </si>
  <si>
    <t>SA</t>
  </si>
  <si>
    <t>TAS</t>
  </si>
  <si>
    <t>VIC</t>
  </si>
  <si>
    <t>WA</t>
  </si>
  <si>
    <t>💡An 'Emissions accounting period' is a 12 month period where the business can report on the emissions, and is typically the same as the business' financial accounting period.</t>
  </si>
  <si>
    <t>Input - Site</t>
  </si>
  <si>
    <t>Wet or dry climate zone</t>
  </si>
  <si>
    <t>Is in leaching zone</t>
  </si>
  <si>
    <t>FracWET</t>
  </si>
  <si>
    <t>NO - Not in leaching zone</t>
  </si>
  <si>
    <t>Most fuel used at harvest</t>
  </si>
  <si>
    <t>Applied lime before planting</t>
  </si>
  <si>
    <t>Urea at start</t>
  </si>
  <si>
    <t>Cows all the way through</t>
  </si>
  <si>
    <t>burned at end</t>
  </si>
  <si>
    <t>3 fert applications</t>
  </si>
  <si>
    <t>Emissions calculation period start date</t>
  </si>
  <si>
    <t>Emissions calculation period end date</t>
  </si>
  <si>
    <r>
      <t>MCF</t>
    </r>
    <r>
      <rPr>
        <b/>
        <vertAlign val="subscript"/>
        <sz val="11"/>
        <color rgb="FF183C1B"/>
        <rFont val="Times New Roman"/>
        <family val="1"/>
      </rPr>
      <t>im</t>
    </r>
  </si>
  <si>
    <t>NIR definition</t>
  </si>
  <si>
    <t>Total (must equal 100%)</t>
  </si>
  <si>
    <t>Fraction</t>
  </si>
  <si>
    <t>Table_VS_j</t>
  </si>
  <si>
    <t>Table_MCF_i_m</t>
  </si>
  <si>
    <t>Drylot (feed pad)</t>
  </si>
  <si>
    <t>Production system 1: Stage 1</t>
  </si>
  <si>
    <t>Production system 1: Post-treatment destinations</t>
  </si>
  <si>
    <t>Stage 2 MMS</t>
  </si>
  <si>
    <t>Production system 1: Stage 2</t>
  </si>
  <si>
    <t>Intake</t>
  </si>
  <si>
    <t>Dry matter intake</t>
  </si>
  <si>
    <t>kg DM/head/day</t>
  </si>
  <si>
    <t>Volatile solid production</t>
  </si>
  <si>
    <t>No MMS</t>
  </si>
  <si>
    <t>MMS m</t>
  </si>
  <si>
    <t>Stage 1 MMS</t>
  </si>
  <si>
    <t>Table_I_j</t>
  </si>
  <si>
    <t>Input - MMS - Feedlot</t>
  </si>
  <si>
    <t>Domestic (70-80 days)</t>
  </si>
  <si>
    <t>Export mid fed (80-200 days)</t>
  </si>
  <si>
    <t>Export long fed (200+ days)</t>
  </si>
  <si>
    <t>kg dry matter / head  day</t>
  </si>
  <si>
    <t>Table_DMD_j</t>
  </si>
  <si>
    <t>Fraction of manure in primary system drylot</t>
  </si>
  <si>
    <t>Treatment stage T</t>
  </si>
  <si>
    <t>Table_MMS_m-5_T-1</t>
  </si>
  <si>
    <t>Manure management systems</t>
  </si>
  <si>
    <t>Table_M_j_m-5_T-1</t>
  </si>
  <si>
    <t>Table_MMS_m_T-2</t>
  </si>
  <si>
    <t>Fraction of manure sent to stage 2 MMS</t>
  </si>
  <si>
    <t>Feedlot manure management systems</t>
  </si>
  <si>
    <t>Methane conversion factor for state and MMS</t>
  </si>
  <si>
    <t>MMS N2O</t>
  </si>
  <si>
    <t>New South Wales</t>
  </si>
  <si>
    <t>Table_MMS_m-1_T-3</t>
  </si>
  <si>
    <t>Stage 3 MMS</t>
  </si>
  <si>
    <t>Production system 1: Stage 3</t>
  </si>
  <si>
    <t>Fraction of manure sent to tertiary MMS</t>
  </si>
  <si>
    <t>Table_M_j_m-1_T-3</t>
  </si>
  <si>
    <t>Production of methane stage 1 MMS</t>
  </si>
  <si>
    <t>Table_M_j_m_T-2</t>
  </si>
  <si>
    <t>Production of methane in stage 2 MMS</t>
  </si>
  <si>
    <t>Production of methane in stage 3 MMS</t>
  </si>
  <si>
    <t>Calculations - Manure management - Methane - Feedlot</t>
  </si>
  <si>
    <t>Production system j</t>
  </si>
  <si>
    <t>EFN2O</t>
  </si>
  <si>
    <t>Production system only</t>
  </si>
  <si>
    <t>Irrigation method</t>
  </si>
  <si>
    <t>test</t>
  </si>
  <si>
    <t>test 2</t>
  </si>
  <si>
    <t>test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</si>
</sst>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0.000"/>
    <numFmt numFmtId="165" formatCode="#,##0.000"/>
    <numFmt numFmtId="166" formatCode="d/mm/yyyy;@"/>
    <numFmt numFmtId="167" formatCode="_-* #,##0_-;\-* #,##0_-;_-* &quot;-&quot;??_-;_-@_-"/>
    <numFmt numFmtId="168" formatCode="[$-C09]dd\-mmmm\-yyyy;@"/>
    <numFmt numFmtId="169" formatCode="#,##0.000000"/>
  </numFmts>
  <fonts count="60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i/>
      <sz val="10"/>
      <color theme="1" tint="0.34998626667073579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u/>
      <sz val="11"/>
      <color theme="10"/>
      <name val="Times New Roman"/>
      <family val="2"/>
      <scheme val="minor"/>
    </font>
    <font>
      <sz val="9"/>
      <color theme="1" tint="0.249977111117893"/>
      <name val="Times New Roman"/>
      <family val="1"/>
    </font>
    <font>
      <sz val="9"/>
      <color rgb="FF008000"/>
      <name val="Times New Roman"/>
      <family val="1"/>
    </font>
    <font>
      <sz val="9"/>
      <color rgb="FFCC6600"/>
      <name val="Times New Roman"/>
      <family val="1"/>
    </font>
    <font>
      <sz val="12"/>
      <color theme="0"/>
      <name val="Times New Roman"/>
      <family val="1"/>
    </font>
    <font>
      <sz val="8"/>
      <name val="Times New Roman"/>
      <family val="2"/>
      <scheme val="minor"/>
    </font>
    <font>
      <sz val="11"/>
      <color theme="1" tint="0.49998474074526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249977111117893"/>
      <name val="Times New Roman"/>
      <family val="1"/>
    </font>
    <font>
      <sz val="12"/>
      <color theme="1" tint="0.249977111117893"/>
      <name val="Times New Roman"/>
      <family val="1"/>
    </font>
    <font>
      <b/>
      <sz val="12"/>
      <color theme="1" tint="0.249977111117893"/>
      <name val="Times New Roman"/>
      <family val="1"/>
    </font>
    <font>
      <b/>
      <sz val="11"/>
      <color theme="1"/>
      <name val="Times New Roman"/>
      <family val="1"/>
      <scheme val="minor"/>
    </font>
    <font>
      <b/>
      <sz val="14"/>
      <color theme="1"/>
      <name val="Times New Roman"/>
      <family val="1"/>
      <scheme val="minor"/>
    </font>
    <font>
      <b/>
      <vertAlign val="subscript"/>
      <sz val="16"/>
      <color theme="0"/>
      <name val="Times New Roman"/>
      <family val="1"/>
    </font>
    <font>
      <i/>
      <vertAlign val="subscript"/>
      <sz val="12"/>
      <color theme="1" tint="0.34998626667073579"/>
      <name val="Times New Roman"/>
      <family val="1"/>
    </font>
    <font>
      <b/>
      <vertAlign val="subscript"/>
      <sz val="14"/>
      <color theme="1"/>
      <name val="Times New Roman"/>
      <family val="1"/>
      <scheme val="minor"/>
    </font>
    <font>
      <i/>
      <sz val="12"/>
      <color theme="4" tint="-0.249977111117893"/>
      <name val="Times New Roman"/>
      <family val="1"/>
    </font>
    <font>
      <sz val="11"/>
      <color rgb="FF242424"/>
      <name val="Consolas"/>
      <family val="3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1"/>
      <color rgb="FFFF0000"/>
      <name val="Times New Roman"/>
      <family val="1"/>
      <scheme val="minor"/>
    </font>
    <font>
      <b/>
      <sz val="11"/>
      <color rgb="FFFF0000"/>
      <name val="Times New Roman"/>
      <family val="1"/>
      <scheme val="minor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4"/>
      <color theme="5"/>
      <name val="Times New Roman"/>
      <family val="1"/>
    </font>
    <font>
      <sz val="12"/>
      <color theme="1" tint="0.24994659260841701"/>
      <name val="Times New Roman"/>
      <family val="1"/>
    </font>
    <font>
      <b/>
      <vertAlign val="subscript"/>
      <sz val="11"/>
      <color rgb="FF183C1B"/>
      <name val="Times New Roman"/>
      <family val="1"/>
    </font>
    <font>
      <b/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b/>
      <sz val="11"/>
      <color theme="5" tint="-0.499984740745262"/>
      <name val="Times New Roman"/>
      <family val="1"/>
      <scheme val="minor"/>
    </font>
    <font>
      <i/>
      <sz val="12"/>
      <color theme="1" tint="0.14999847407452621"/>
      <name val="Times New Roman"/>
      <family val="1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  <font>
      <b/>
      <sz val="12"/>
      <color rgb="FFC4434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94763"/>
        <bgColor indexed="64"/>
      </patternFill>
    </fill>
    <fill>
      <patternFill patternType="solid">
        <fgColor rgb="FFC44340"/>
        <bgColor indexed="64"/>
      </patternFill>
    </fill>
    <fill>
      <patternFill patternType="solid">
        <fgColor rgb="FF4F4789"/>
        <bgColor indexed="64"/>
      </patternFill>
    </fill>
    <fill>
      <patternFill patternType="solid">
        <fgColor theme="4" tint="-0.249977111117893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thin">
        <color theme="3" tint="0.749961851863155"/>
      </top>
      <bottom/>
      <diagonal/>
    </border>
    <border>
      <left/>
      <right style="thin">
        <color theme="3" tint="0.749961851863155"/>
      </right>
      <top style="thin">
        <color theme="3" tint="0.749961851863155"/>
      </top>
      <bottom/>
      <diagonal/>
    </border>
    <border>
      <left style="thin">
        <color theme="3" tint="0.749961851863155"/>
      </left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/>
      <bottom style="thin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/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 style="thin">
        <color theme="0" tint="-0.34998626667073579"/>
      </bottom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62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7" fillId="3" borderId="0">
      <alignment vertical="center"/>
    </xf>
    <xf numFmtId="0" fontId="44" fillId="4" borderId="0">
      <alignment horizontal="left" vertical="center"/>
    </xf>
    <xf numFmtId="0" fontId="51" fillId="4" borderId="0">
      <alignment vertical="center"/>
    </xf>
    <xf numFmtId="0" fontId="3" fillId="4" borderId="0">
      <alignment horizontal="left" vertical="center"/>
    </xf>
    <xf numFmtId="0" fontId="47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9" fontId="10" fillId="0" borderId="0" applyFont="0" applyFill="0" applyBorder="0" applyAlignment="0" applyProtection="0"/>
    <xf numFmtId="0" fontId="2" fillId="0" borderId="2">
      <alignment horizontal="center" vertical="center"/>
    </xf>
    <xf numFmtId="0" fontId="3" fillId="16" borderId="2">
      <alignment horizontal="center" vertical="center"/>
    </xf>
    <xf numFmtId="9" fontId="2" fillId="0" borderId="2">
      <alignment horizontal="center" vertical="center"/>
    </xf>
    <xf numFmtId="4" fontId="2" fillId="0" borderId="2">
      <alignment horizontal="center" vertical="center"/>
    </xf>
    <xf numFmtId="3" fontId="2" fillId="0" borderId="2">
      <alignment horizontal="center" vertical="center"/>
    </xf>
    <xf numFmtId="0" fontId="14" fillId="0" borderId="2">
      <alignment horizontal="center" vertical="center"/>
    </xf>
    <xf numFmtId="0" fontId="15" fillId="0" borderId="2">
      <alignment horizontal="center" vertical="center"/>
    </xf>
    <xf numFmtId="9" fontId="14" fillId="0" borderId="2">
      <alignment horizontal="center" vertical="center"/>
    </xf>
    <xf numFmtId="165" fontId="14" fillId="0" borderId="2">
      <alignment horizontal="center" vertical="center"/>
    </xf>
    <xf numFmtId="3" fontId="14" fillId="0" borderId="2">
      <alignment horizontal="center" vertical="center"/>
    </xf>
    <xf numFmtId="0" fontId="16" fillId="4" borderId="0">
      <alignment horizontal="left" vertical="center"/>
    </xf>
    <xf numFmtId="0" fontId="6" fillId="4" borderId="4">
      <alignment horizontal="left" vertical="center" indent="1"/>
    </xf>
    <xf numFmtId="164" fontId="8" fillId="4" borderId="4">
      <alignment horizontal="center" vertical="center"/>
    </xf>
    <xf numFmtId="0" fontId="3" fillId="4" borderId="4">
      <alignment horizontal="left" vertical="center"/>
    </xf>
    <xf numFmtId="0" fontId="13" fillId="6" borderId="0">
      <alignment horizontal="left" vertical="center" indent="1"/>
    </xf>
    <xf numFmtId="0" fontId="13" fillId="6" borderId="0">
      <alignment horizontal="center" vertical="center"/>
      <protection locked="0"/>
    </xf>
    <xf numFmtId="0" fontId="12" fillId="4" borderId="0">
      <alignment vertical="center"/>
    </xf>
    <xf numFmtId="0" fontId="17" fillId="7" borderId="0">
      <alignment vertical="center"/>
    </xf>
    <xf numFmtId="0" fontId="11" fillId="0" borderId="0"/>
    <xf numFmtId="0" fontId="18" fillId="0" borderId="0" applyNumberFormat="0" applyFill="0" applyBorder="0" applyAlignment="0" applyProtection="0"/>
    <xf numFmtId="0" fontId="2" fillId="0" borderId="0">
      <alignment horizontal="left" vertical="center" indent="1"/>
    </xf>
    <xf numFmtId="0" fontId="19" fillId="9" borderId="5">
      <alignment horizontal="left" vertical="center" indent="1"/>
    </xf>
    <xf numFmtId="0" fontId="22" fillId="10" borderId="0">
      <alignment horizontal="left" vertical="center" indent="1"/>
    </xf>
    <xf numFmtId="0" fontId="22" fillId="5" borderId="0">
      <alignment horizontal="left" vertical="center" indent="1"/>
    </xf>
    <xf numFmtId="0" fontId="22" fillId="8" borderId="0">
      <alignment horizontal="left" vertical="center" indent="1"/>
    </xf>
    <xf numFmtId="0" fontId="24" fillId="0" borderId="0">
      <alignment horizontal="left" vertical="center" indent="2"/>
    </xf>
    <xf numFmtId="0" fontId="54" fillId="17" borderId="9">
      <alignment horizontal="left" vertical="center"/>
    </xf>
    <xf numFmtId="43" fontId="10" fillId="0" borderId="0" applyFont="0" applyFill="0" applyBorder="0" applyAlignment="0" applyProtection="0"/>
    <xf numFmtId="3" fontId="39" fillId="4" borderId="2">
      <alignment horizontal="center" vertical="center"/>
    </xf>
    <xf numFmtId="168" fontId="2" fillId="0" borderId="2">
      <alignment horizontal="center" vertical="center"/>
    </xf>
    <xf numFmtId="0" fontId="40" fillId="0" borderId="0"/>
    <xf numFmtId="0" fontId="10" fillId="0" borderId="0"/>
    <xf numFmtId="0" fontId="40" fillId="0" borderId="0"/>
    <xf numFmtId="166" fontId="39" fillId="4" borderId="2">
      <alignment horizontal="center" vertical="center"/>
    </xf>
    <xf numFmtId="4" fontId="39" fillId="4" borderId="2">
      <alignment horizontal="center" vertical="center"/>
    </xf>
    <xf numFmtId="0" fontId="46" fillId="4" borderId="0">
      <alignment horizontal="left" vertical="center"/>
    </xf>
    <xf numFmtId="0" fontId="45" fillId="4" borderId="0" applyNumberFormat="0">
      <alignment horizontal="center" vertical="center"/>
    </xf>
    <xf numFmtId="165" fontId="39" fillId="4" borderId="2">
      <alignment horizontal="center" vertical="center"/>
    </xf>
    <xf numFmtId="0" fontId="38" fillId="4" borderId="0">
      <alignment horizontal="left" vertical="center"/>
    </xf>
    <xf numFmtId="169" fontId="39" fillId="4" borderId="2">
      <alignment horizontal="center" vertical="center"/>
    </xf>
    <xf numFmtId="0" fontId="39" fillId="4" borderId="2">
      <alignment horizontal="center" vertical="center"/>
    </xf>
    <xf numFmtId="0" fontId="6" fillId="4" borderId="0">
      <alignment horizontal="left" vertical="center"/>
    </xf>
    <xf numFmtId="0" fontId="50" fillId="4" borderId="0">
      <alignment horizontal="left" vertical="center"/>
    </xf>
    <xf numFmtId="0" fontId="10" fillId="0" borderId="0"/>
    <xf numFmtId="0" fontId="2" fillId="0" borderId="2">
      <alignment horizontal="center" vertical="center"/>
    </xf>
    <xf numFmtId="0" fontId="57" fillId="4" borderId="0">
      <alignment horizontal="left" vertical="center"/>
    </xf>
    <xf numFmtId="0" fontId="58" fillId="4" borderId="0">
      <alignment horizontal="left" vertical="center"/>
    </xf>
  </cellStyleXfs>
  <cellXfs count="136">
    <xf numFmtId="0" fontId="0" fillId="0" borderId="0" xfId="0"/>
    <xf numFmtId="0" fontId="47" fillId="4" borderId="0" xfId="8">
      <alignment horizontal="left" vertical="center"/>
    </xf>
    <xf numFmtId="0" fontId="6" fillId="4" borderId="0" xfId="12">
      <alignment horizontal="left" vertical="center" indent="1"/>
    </xf>
    <xf numFmtId="0" fontId="3" fillId="4" borderId="0" xfId="7">
      <alignment horizontal="left" vertical="center"/>
    </xf>
    <xf numFmtId="0" fontId="17" fillId="3" borderId="0" xfId="4">
      <alignment vertical="center"/>
    </xf>
    <xf numFmtId="0" fontId="51" fillId="4" borderId="0" xfId="6">
      <alignment vertical="center"/>
    </xf>
    <xf numFmtId="0" fontId="44" fillId="4" borderId="0" xfId="5">
      <alignment horizontal="left" vertical="center"/>
    </xf>
    <xf numFmtId="0" fontId="3" fillId="0" borderId="0" xfId="7" applyFill="1">
      <alignment horizontal="left" vertical="center"/>
    </xf>
    <xf numFmtId="0" fontId="4" fillId="0" borderId="0" xfId="2"/>
    <xf numFmtId="0" fontId="1" fillId="0" borderId="0" xfId="3">
      <alignment vertical="center"/>
    </xf>
    <xf numFmtId="0" fontId="2" fillId="4" borderId="0" xfId="7" applyFont="1">
      <alignment horizontal="left" vertical="center"/>
    </xf>
    <xf numFmtId="0" fontId="17" fillId="0" borderId="0" xfId="4" applyFill="1">
      <alignment vertical="center"/>
    </xf>
    <xf numFmtId="0" fontId="11" fillId="0" borderId="0" xfId="2" applyFont="1"/>
    <xf numFmtId="0" fontId="0" fillId="8" borderId="0" xfId="0" applyFill="1"/>
    <xf numFmtId="0" fontId="16" fillId="4" borderId="0" xfId="25">
      <alignment horizontal="left" vertical="center"/>
    </xf>
    <xf numFmtId="0" fontId="12" fillId="4" borderId="0" xfId="31">
      <alignment vertical="center"/>
    </xf>
    <xf numFmtId="0" fontId="17" fillId="7" borderId="0" xfId="32">
      <alignment vertical="center"/>
    </xf>
    <xf numFmtId="0" fontId="2" fillId="9" borderId="0" xfId="7" applyFont="1" applyFill="1" applyAlignment="1">
      <alignment horizontal="left" vertical="center" indent="1"/>
    </xf>
    <xf numFmtId="0" fontId="2" fillId="0" borderId="0" xfId="35">
      <alignment horizontal="left" vertical="center" indent="1"/>
    </xf>
    <xf numFmtId="0" fontId="19" fillId="9" borderId="5" xfId="36">
      <alignment horizontal="left" vertical="center" indent="1"/>
    </xf>
    <xf numFmtId="0" fontId="20" fillId="9" borderId="5" xfId="36" applyFont="1">
      <alignment horizontal="left" vertical="center" indent="1"/>
    </xf>
    <xf numFmtId="0" fontId="21" fillId="9" borderId="5" xfId="36" applyFont="1">
      <alignment horizontal="left" vertical="center" indent="1"/>
    </xf>
    <xf numFmtId="0" fontId="22" fillId="5" borderId="0" xfId="38">
      <alignment horizontal="left" vertical="center" indent="1"/>
    </xf>
    <xf numFmtId="0" fontId="22" fillId="8" borderId="0" xfId="39">
      <alignment horizontal="left" vertical="center" indent="1"/>
    </xf>
    <xf numFmtId="0" fontId="54" fillId="17" borderId="9" xfId="41">
      <alignment horizontal="left" vertical="center"/>
    </xf>
    <xf numFmtId="0" fontId="0" fillId="4" borderId="0" xfId="0" applyFill="1"/>
    <xf numFmtId="2" fontId="32" fillId="4" borderId="1" xfId="0" applyNumberFormat="1" applyFont="1" applyFill="1" applyBorder="1"/>
    <xf numFmtId="2" fontId="0" fillId="4" borderId="0" xfId="0" applyNumberFormat="1" applyFill="1" applyAlignment="1">
      <alignment vertical="center"/>
    </xf>
    <xf numFmtId="0" fontId="6" fillId="4" borderId="1" xfId="12" applyBorder="1" applyAlignment="1">
      <alignment horizontal="left" indent="1"/>
    </xf>
    <xf numFmtId="0" fontId="17" fillId="4" borderId="0" xfId="4" applyFill="1">
      <alignment vertical="center"/>
    </xf>
    <xf numFmtId="0" fontId="31" fillId="4" borderId="0" xfId="0" applyFont="1" applyFill="1"/>
    <xf numFmtId="2" fontId="32" fillId="4" borderId="0" xfId="0" applyNumberFormat="1" applyFont="1" applyFill="1"/>
    <xf numFmtId="0" fontId="6" fillId="4" borderId="0" xfId="12" applyAlignment="1">
      <alignment horizontal="left" indent="1"/>
    </xf>
    <xf numFmtId="0" fontId="32" fillId="4" borderId="1" xfId="0" applyFont="1" applyFill="1" applyBorder="1" applyAlignment="1">
      <alignment vertical="center"/>
    </xf>
    <xf numFmtId="0" fontId="17" fillId="12" borderId="0" xfId="4" applyFill="1">
      <alignment vertical="center"/>
    </xf>
    <xf numFmtId="0" fontId="0" fillId="12" borderId="0" xfId="0" applyFill="1"/>
    <xf numFmtId="2" fontId="0" fillId="12" borderId="0" xfId="0" applyNumberFormat="1" applyFill="1" applyAlignment="1">
      <alignment vertical="center"/>
    </xf>
    <xf numFmtId="0" fontId="17" fillId="13" borderId="0" xfId="4" applyFill="1">
      <alignment vertical="center"/>
    </xf>
    <xf numFmtId="0" fontId="0" fillId="13" borderId="0" xfId="0" applyFill="1"/>
    <xf numFmtId="0" fontId="0" fillId="4" borderId="6" xfId="0" applyFill="1" applyBorder="1"/>
    <xf numFmtId="0" fontId="0" fillId="4" borderId="6" xfId="0" applyFill="1" applyBorder="1" applyAlignment="1">
      <alignment vertical="center"/>
    </xf>
    <xf numFmtId="0" fontId="0" fillId="14" borderId="0" xfId="0" applyFill="1"/>
    <xf numFmtId="0" fontId="17" fillId="14" borderId="0" xfId="4" applyFill="1">
      <alignment vertical="center"/>
    </xf>
    <xf numFmtId="0" fontId="17" fillId="8" borderId="0" xfId="4" applyFill="1">
      <alignment vertical="center"/>
    </xf>
    <xf numFmtId="0" fontId="32" fillId="4" borderId="1" xfId="0" applyFont="1" applyFill="1" applyBorder="1"/>
    <xf numFmtId="0" fontId="47" fillId="4" borderId="0" xfId="8" applyAlignment="1">
      <alignment horizontal="right" vertical="center"/>
    </xf>
    <xf numFmtId="0" fontId="3" fillId="4" borderId="6" xfId="7" applyBorder="1">
      <alignment horizontal="left" vertical="center"/>
    </xf>
    <xf numFmtId="0" fontId="17" fillId="15" borderId="0" xfId="4" applyFill="1">
      <alignment vertical="center"/>
    </xf>
    <xf numFmtId="0" fontId="36" fillId="11" borderId="0" xfId="6" applyFont="1" applyFill="1">
      <alignment vertical="center"/>
    </xf>
    <xf numFmtId="2" fontId="0" fillId="11" borderId="0" xfId="0" applyNumberFormat="1" applyFill="1" applyAlignment="1">
      <alignment vertical="center"/>
    </xf>
    <xf numFmtId="0" fontId="6" fillId="11" borderId="0" xfId="12" applyFill="1">
      <alignment horizontal="left" vertical="center" indent="1"/>
    </xf>
    <xf numFmtId="0" fontId="3" fillId="11" borderId="6" xfId="7" applyFill="1" applyBorder="1">
      <alignment horizontal="left" vertical="center"/>
    </xf>
    <xf numFmtId="0" fontId="0" fillId="11" borderId="6" xfId="0" applyFill="1" applyBorder="1"/>
    <xf numFmtId="0" fontId="47" fillId="11" borderId="0" xfId="8" applyFill="1">
      <alignment horizontal="left" vertical="center"/>
    </xf>
    <xf numFmtId="0" fontId="0" fillId="11" borderId="0" xfId="0" applyFill="1"/>
    <xf numFmtId="0" fontId="3" fillId="4" borderId="0" xfId="8" applyFont="1" applyAlignment="1">
      <alignment horizontal="right" vertical="center"/>
    </xf>
    <xf numFmtId="0" fontId="0" fillId="11" borderId="0" xfId="0" applyFill="1" applyAlignment="1">
      <alignment horizontal="right" vertical="center"/>
    </xf>
    <xf numFmtId="9" fontId="2" fillId="11" borderId="0" xfId="14" applyFont="1" applyFill="1" applyAlignment="1">
      <alignment horizontal="right" vertical="center"/>
    </xf>
    <xf numFmtId="4" fontId="2" fillId="4" borderId="0" xfId="18" applyFill="1" applyBorder="1">
      <alignment horizontal="center" vertical="center"/>
    </xf>
    <xf numFmtId="0" fontId="13" fillId="4" borderId="0" xfId="30" applyFill="1">
      <alignment horizontal="center" vertical="center"/>
      <protection locked="0"/>
    </xf>
    <xf numFmtId="0" fontId="2" fillId="0" borderId="2" xfId="15">
      <alignment horizontal="center" vertical="center"/>
    </xf>
    <xf numFmtId="0" fontId="29" fillId="4" borderId="0" xfId="7" applyFont="1" applyAlignment="1">
      <alignment horizontal="center" vertical="center"/>
    </xf>
    <xf numFmtId="166" fontId="29" fillId="4" borderId="0" xfId="7" applyNumberFormat="1" applyFont="1" applyAlignment="1">
      <alignment horizontal="center" vertical="center"/>
    </xf>
    <xf numFmtId="0" fontId="0" fillId="0" borderId="0" xfId="7" applyFont="1" applyFill="1">
      <alignment horizontal="left" vertical="center"/>
    </xf>
    <xf numFmtId="0" fontId="0" fillId="0" borderId="0" xfId="8" applyFont="1" applyFill="1">
      <alignment horizontal="left" vertical="center"/>
    </xf>
    <xf numFmtId="0" fontId="2" fillId="0" borderId="0" xfId="7" applyFont="1" applyFill="1">
      <alignment horizontal="left" vertical="center"/>
    </xf>
    <xf numFmtId="0" fontId="13" fillId="6" borderId="0" xfId="30">
      <alignment horizontal="center" vertical="center"/>
      <protection locked="0"/>
    </xf>
    <xf numFmtId="0" fontId="3" fillId="16" borderId="2" xfId="16">
      <alignment horizontal="center" vertical="center"/>
    </xf>
    <xf numFmtId="0" fontId="44" fillId="0" borderId="0" xfId="5" applyFill="1">
      <alignment horizontal="left" vertical="center"/>
    </xf>
    <xf numFmtId="0" fontId="51" fillId="0" borderId="0" xfId="6" applyFill="1">
      <alignment vertical="center"/>
    </xf>
    <xf numFmtId="0" fontId="47" fillId="0" borderId="0" xfId="8" applyFill="1">
      <alignment horizontal="left" vertical="center"/>
    </xf>
    <xf numFmtId="0" fontId="9" fillId="0" borderId="0" xfId="12" applyFont="1" applyFill="1" applyAlignment="1">
      <alignment horizontal="left" vertical="center"/>
    </xf>
    <xf numFmtId="0" fontId="41" fillId="0" borderId="0" xfId="0" applyFont="1"/>
    <xf numFmtId="0" fontId="47" fillId="4" borderId="1" xfId="8" applyBorder="1">
      <alignment horizontal="left" vertical="center"/>
    </xf>
    <xf numFmtId="0" fontId="42" fillId="4" borderId="0" xfId="0" applyFont="1" applyFill="1"/>
    <xf numFmtId="9" fontId="2" fillId="0" borderId="2" xfId="17">
      <alignment horizontal="center" vertical="center"/>
    </xf>
    <xf numFmtId="4" fontId="26" fillId="0" borderId="0" xfId="18" applyFont="1" applyBorder="1">
      <alignment horizontal="center" vertical="center"/>
    </xf>
    <xf numFmtId="0" fontId="46" fillId="4" borderId="0" xfId="50">
      <alignment horizontal="left" vertical="center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/>
    <xf numFmtId="0" fontId="5" fillId="2" borderId="0" xfId="9">
      <alignment horizontal="center" vertical="center"/>
    </xf>
    <xf numFmtId="0" fontId="39" fillId="4" borderId="2" xfId="55">
      <alignment horizontal="center" vertical="center"/>
    </xf>
    <xf numFmtId="0" fontId="49" fillId="4" borderId="0" xfId="8" applyFont="1">
      <alignment horizontal="left" vertical="center"/>
    </xf>
    <xf numFmtId="0" fontId="6" fillId="4" borderId="0" xfId="56">
      <alignment horizontal="left" vertical="center"/>
    </xf>
    <xf numFmtId="0" fontId="50" fillId="4" borderId="0" xfId="57">
      <alignment horizontal="left" vertical="center"/>
    </xf>
    <xf numFmtId="0" fontId="10" fillId="0" borderId="0" xfId="58"/>
    <xf numFmtId="0" fontId="39" fillId="4" borderId="2" xfId="55" applyAlignment="1">
      <alignment horizontal="left" vertical="center"/>
    </xf>
    <xf numFmtId="0" fontId="39" fillId="4" borderId="8" xfId="55" applyBorder="1" applyAlignment="1">
      <alignment horizontal="left" vertical="center"/>
    </xf>
    <xf numFmtId="0" fontId="39" fillId="4" borderId="7" xfId="55" applyBorder="1" applyAlignment="1">
      <alignment horizontal="left" vertical="center"/>
    </xf>
    <xf numFmtId="0" fontId="0" fillId="4" borderId="0" xfId="7" applyFont="1">
      <alignment horizontal="left" vertical="center"/>
    </xf>
    <xf numFmtId="4" fontId="26" fillId="4" borderId="0" xfId="18" applyFont="1" applyFill="1" applyBorder="1">
      <alignment horizontal="center" vertical="center"/>
    </xf>
    <xf numFmtId="9" fontId="26" fillId="4" borderId="0" xfId="14" applyFont="1" applyFill="1" applyBorder="1" applyAlignment="1">
      <alignment horizontal="center" vertical="center"/>
    </xf>
    <xf numFmtId="0" fontId="13" fillId="6" borderId="0" xfId="29">
      <alignment horizontal="left" vertical="center" indent="1"/>
    </xf>
    <xf numFmtId="168" fontId="2" fillId="0" borderId="2" xfId="44">
      <alignment horizontal="center" vertical="center"/>
    </xf>
    <xf numFmtId="0" fontId="2" fillId="0" borderId="0" xfId="7" applyFont="1" applyFill="1" applyAlignment="1">
      <alignment horizontal="left" vertical="center" indent="1"/>
    </xf>
    <xf numFmtId="0" fontId="2" fillId="0" borderId="2" xfId="59">
      <alignment horizontal="center" vertical="center"/>
    </xf>
    <xf numFmtId="0" fontId="53" fillId="0" borderId="0" xfId="35" applyFont="1">
      <alignment horizontal="left" vertical="center" indent="1"/>
    </xf>
    <xf numFmtId="0" fontId="11" fillId="0" borderId="0" xfId="33"/>
    <xf numFmtId="0" fontId="22" fillId="10" borderId="0" xfId="37">
      <alignment horizontal="left" vertical="center" indent="1"/>
    </xf>
    <xf numFmtId="0" fontId="3" fillId="4" borderId="3" xfId="7" applyBorder="1">
      <alignment horizontal="left" vertical="center"/>
    </xf>
    <xf numFmtId="166" fontId="39" fillId="4" borderId="2" xfId="43" applyNumberFormat="1">
      <alignment horizontal="center" vertical="center"/>
    </xf>
    <xf numFmtId="164" fontId="8" fillId="4" borderId="0" xfId="27" applyBorder="1">
      <alignment horizontal="center" vertical="center"/>
    </xf>
    <xf numFmtId="0" fontId="26" fillId="4" borderId="0" xfId="8" applyFont="1" applyAlignment="1">
      <alignment horizontal="center" vertical="center"/>
    </xf>
    <xf numFmtId="166" fontId="26" fillId="4" borderId="0" xfId="8" applyNumberFormat="1" applyFont="1" applyAlignment="1">
      <alignment horizontal="center" vertical="center"/>
    </xf>
    <xf numFmtId="0" fontId="26" fillId="4" borderId="0" xfId="12" applyFont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0" xfId="0" applyFont="1" applyFill="1"/>
    <xf numFmtId="0" fontId="26" fillId="4" borderId="0" xfId="0" applyFont="1" applyFill="1"/>
    <xf numFmtId="0" fontId="28" fillId="4" borderId="0" xfId="7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4" fontId="3" fillId="4" borderId="0" xfId="7" applyNumberFormat="1">
      <alignment horizontal="left" vertical="center"/>
    </xf>
    <xf numFmtId="0" fontId="18" fillId="4" borderId="0" xfId="34" applyFill="1" applyBorder="1"/>
    <xf numFmtId="166" fontId="2" fillId="4" borderId="0" xfId="19" applyNumberFormat="1" applyFill="1" applyBorder="1">
      <alignment horizontal="center" vertical="center"/>
    </xf>
    <xf numFmtId="167" fontId="3" fillId="4" borderId="0" xfId="42" applyNumberFormat="1" applyFont="1" applyFill="1" applyBorder="1" applyAlignment="1">
      <alignment horizontal="center" vertical="center"/>
    </xf>
    <xf numFmtId="0" fontId="37" fillId="4" borderId="0" xfId="0" applyFont="1" applyFill="1"/>
    <xf numFmtId="0" fontId="54" fillId="17" borderId="11" xfId="41" applyBorder="1">
      <alignment horizontal="left" vertical="center"/>
    </xf>
    <xf numFmtId="0" fontId="54" fillId="17" borderId="13" xfId="41" applyBorder="1">
      <alignment horizontal="left" vertical="center"/>
    </xf>
    <xf numFmtId="0" fontId="54" fillId="17" borderId="15" xfId="41" applyBorder="1">
      <alignment horizontal="left" vertical="center"/>
    </xf>
    <xf numFmtId="0" fontId="54" fillId="17" borderId="14" xfId="41" applyBorder="1">
      <alignment horizontal="left" vertical="center"/>
    </xf>
    <xf numFmtId="0" fontId="54" fillId="17" borderId="16" xfId="41" applyBorder="1">
      <alignment horizontal="left" vertical="center"/>
    </xf>
    <xf numFmtId="0" fontId="54" fillId="17" borderId="18" xfId="41" applyBorder="1">
      <alignment horizontal="left" vertical="center"/>
    </xf>
    <xf numFmtId="0" fontId="54" fillId="17" borderId="12" xfId="41" applyBorder="1">
      <alignment horizontal="left" vertical="center"/>
    </xf>
    <xf numFmtId="0" fontId="54" fillId="17" borderId="17" xfId="41" applyBorder="1">
      <alignment horizontal="left" vertical="center"/>
    </xf>
    <xf numFmtId="0" fontId="54" fillId="17" borderId="19" xfId="41" applyBorder="1">
      <alignment horizontal="left" vertical="center"/>
    </xf>
    <xf numFmtId="0" fontId="55" fillId="17" borderId="10" xfId="41" applyFont="1" applyBorder="1">
      <alignment horizontal="left" vertical="center"/>
    </xf>
    <xf numFmtId="0" fontId="52" fillId="6" borderId="0" xfId="30" applyFont="1" applyProtection="1">
      <alignment horizontal="center" vertical="center"/>
    </xf>
    <xf numFmtId="0" fontId="56" fillId="14" borderId="0" xfId="4" applyFont="1" applyFill="1">
      <alignment vertical="center"/>
    </xf>
    <xf numFmtId="9" fontId="39" fillId="4" borderId="2" xfId="14" applyFont="1" applyFill="1" applyBorder="1" applyAlignment="1">
      <alignment horizontal="center" vertical="center"/>
    </xf>
    <xf numFmtId="0" fontId="0" fillId="0" borderId="0" xfId="1" applyFont="1" applyFill="1">
      <alignment horizontal="left" vertical="center" indent="1"/>
      <protection locked="0"/>
    </xf>
    <xf numFmtId="0" fontId="58" fillId="4" borderId="0" xfId="61">
      <alignment horizontal="left" vertical="center"/>
    </xf>
    <xf numFmtId="0" fontId="57" fillId="4" borderId="0" xfId="60">
      <alignment horizontal="left" vertical="center"/>
    </xf>
    <xf numFmtId="0" fontId="59" fillId="4" borderId="0" xfId="57" applyFont="1">
      <alignment horizontal="left" vertical="center"/>
    </xf>
    <xf numFmtId="0" fontId="22" fillId="15" borderId="0" xfId="38" applyFill="1">
      <alignment horizontal="left" vertical="center" indent="1"/>
    </xf>
    <xf numFmtId="0" fontId="39" fillId="4" borderId="20" xfId="55" applyBorder="1" applyAlignment="1">
      <alignment horizontal="left" vertical="center"/>
    </xf>
  </cellXfs>
  <cellStyles count="62">
    <cellStyle name="Block heading" xfId="5" xr:uid="{74527274-3B4A-494A-B37C-EA50686E114C}"/>
    <cellStyle name="Block subheading" xfId="50" xr:uid="{34E62905-A3E0-4883-B81A-BDB58FC88DA7}"/>
    <cellStyle name="Code" xfId="25" xr:uid="{99B3520F-01DD-4F8E-A8D0-24EAA04E90EB}"/>
    <cellStyle name="Comma" xfId="42" builtinId="3"/>
    <cellStyle name="Content bold" xfId="7" xr:uid="{468A1381-682E-4BF1-945B-DF2E2BCA4419}"/>
    <cellStyle name="Content bold total" xfId="28" xr:uid="{17159E75-EF9F-42B8-8195-E83583796F67}"/>
    <cellStyle name="Content hidden" xfId="53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Hyperlink" xfId="34" builtinId="8"/>
    <cellStyle name="Information tip" xfId="41" xr:uid="{7D200D09-32E3-4546-9822-1B93AD118A74}"/>
    <cellStyle name="Information variation" xfId="57" xr:uid="{205494A3-14DD-4E6A-BDD3-5C5A864D6FA7}"/>
    <cellStyle name="Input block subheading" xfId="31" xr:uid="{A9FEBDB0-0992-4E30-96E5-9F9CAE92E3FB}"/>
    <cellStyle name="Input date" xfId="44" xr:uid="{A1D72D5E-DCF3-445F-8FC0-A147E105D774}"/>
    <cellStyle name="Input date calculated" xfId="48" xr:uid="{5A42AD0E-F665-46A9-9757-6B6A4BE7013E}"/>
    <cellStyle name="Input number 2 decimal places" xfId="18" xr:uid="{F9671E40-5700-4055-A6D2-272CF9DB620E}"/>
    <cellStyle name="Input number 2 decimal places calculated" xfId="49" xr:uid="{C04BA53C-14E1-48A5-99A3-C9FD44741A2A}"/>
    <cellStyle name="Input number 3 decimal places calculated" xfId="52" xr:uid="{637E6039-0A01-48EF-8C15-C29A497EF449}"/>
    <cellStyle name="Input number 3 decimal places disabled" xfId="23" xr:uid="{6B1B6177-B1C0-4190-858F-6E4C823402C3}"/>
    <cellStyle name="Input number 6 decimal places calculated" xfId="54" xr:uid="{CE70A7A2-3CEE-4689-8FF6-8EB6FCE0A94C}"/>
    <cellStyle name="Input number general" xfId="59" xr:uid="{D8583F7D-F13A-4EA8-BAA6-B42739FDBDDB}"/>
    <cellStyle name="Input number general calculated" xfId="55" xr:uid="{34755FEB-6E4E-4BD7-A478-DF7299A7A914}"/>
    <cellStyle name="Input number no decimals" xfId="19" xr:uid="{B33B4FB5-F3F4-4036-B2DD-663B694E2A90}"/>
    <cellStyle name="Input number no decimals calculated" xfId="43" xr:uid="{5A48F48F-03B2-410E-887B-2A9297006BAF}"/>
    <cellStyle name="Input number no decimals disabled" xfId="24" xr:uid="{7ABDCB2D-7703-4392-9553-5620789B1E19}"/>
    <cellStyle name="Input number percent disabled" xfId="22" xr:uid="{D0E8B42E-13A8-477C-99CB-5FF73C5BBAA4}"/>
    <cellStyle name="Input page heading" xfId="33" xr:uid="{74FB9B3B-4B5B-4B7F-A54C-22E0724783C8}"/>
    <cellStyle name="Input page section heading" xfId="32" xr:uid="{1A05B367-BE5D-4E2B-9831-A28D5CFAC8EC}"/>
    <cellStyle name="Input percent" xfId="17" xr:uid="{923E56A7-7902-46CD-9AA8-0D69F2E1ECA1}"/>
    <cellStyle name="Input select" xfId="16" xr:uid="{3CF2E653-7F22-4996-ABB9-95CA16698B1F}"/>
    <cellStyle name="Input select disabled" xfId="21" xr:uid="{5CE680CC-504C-444D-8337-CF97D9BB5A78}"/>
    <cellStyle name="Input table column header" xfId="30" xr:uid="{EF98B018-1246-451D-91C2-97FCD443EDC9}"/>
    <cellStyle name="Input table header" xfId="29" xr:uid="{04872377-9FDD-4D5A-91FC-B9D8DA1E8E91}"/>
    <cellStyle name="Input text" xfId="15" xr:uid="{4C71A4C5-ADD8-4A09-A7FE-940DA96821F6}"/>
    <cellStyle name="Input text calculated" xfId="51" xr:uid="{43DCF082-1F0D-4E07-9785-CAF41B37CFCC}"/>
    <cellStyle name="Input text disabled" xfId="20" xr:uid="{79E76B35-E5FF-43A1-B0D0-016F346F8B97}"/>
    <cellStyle name="Menu link child" xfId="40" xr:uid="{609090D3-DE1E-48FE-A8AA-233CE9B146E0}"/>
    <cellStyle name="Menu link default" xfId="35" xr:uid="{11B84453-1DD4-492A-B241-FE6AD4CB25FA}"/>
    <cellStyle name="Menu link selected" xfId="37" xr:uid="{B16EBA6F-62C4-483F-8E15-B20D06ABF61F}"/>
    <cellStyle name="Menu link selected equations" xfId="39" xr:uid="{7AFCC545-C221-4BAC-933E-19109D0FB654}"/>
    <cellStyle name="Menu link selected input" xfId="38" xr:uid="{17D327F4-9149-4DAC-85BB-811698090830}"/>
    <cellStyle name="Menu section title" xfId="36" xr:uid="{E2117B15-AE58-4F76-B13B-671D455A4107}"/>
    <cellStyle name="Normal" xfId="0" builtinId="0"/>
    <cellStyle name="Normal 2" xfId="58" xr:uid="{FE64FEFB-54C6-42B4-AA7F-D49670F5ED19}"/>
    <cellStyle name="Normal 2 2" xfId="47" xr:uid="{B8803ACE-513D-4EEF-BBE0-0BB76AE7D7F4}"/>
    <cellStyle name="Normal 4" xfId="45" xr:uid="{99CD1B63-5040-4067-BBD7-470030C57E5D}"/>
    <cellStyle name="Normal 5" xfId="46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7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Percent" xfId="14" builtinId="5"/>
    <cellStyle name="Table description" xfId="61" xr:uid="{8BD2F353-2E3C-42FF-89E9-616E85DC18C5}"/>
    <cellStyle name="Table name" xfId="60" xr:uid="{D56F17A4-9740-44B6-BDDB-150E2C950B8B}"/>
    <cellStyle name="Unit" xfId="12" xr:uid="{90B9E191-F5E0-43AB-A245-D6CA23D4ADFC}"/>
    <cellStyle name="Unit no indent" xfId="56" xr:uid="{2829D020-DAD8-4B7D-9262-450720E27D2B}"/>
    <cellStyle name="Unit total" xfId="26" xr:uid="{65428923-3DAD-47B6-8DDF-0EBD05E7C55B}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39"/>
      <tableStyleElement type="headerRow" dxfId="38"/>
      <tableStyleElement type="totalRow" dxfId="37"/>
      <tableStyleElement type="firstColumn" dxfId="36"/>
      <tableStyleElement type="firstRowStripe" dxfId="35"/>
      <tableStyleElement type="secondRowStripe" dxfId="34"/>
    </tableStyle>
    <tableStyle name="Equation table" pivot="0" count="6" xr9:uid="{B247698E-E41D-4CCD-AA0A-C14817E9DE65}">
      <tableStyleElement type="wholeTable" dxfId="33"/>
      <tableStyleElement type="headerRow" dxfId="32"/>
      <tableStyleElement type="totalRow" dxfId="31"/>
      <tableStyleElement type="firstColumn" dxfId="30"/>
      <tableStyleElement type="firstRowStripe" dxfId="29"/>
      <tableStyleElement type="secondRowStripe" dxfId="28"/>
    </tableStyle>
    <tableStyle name="Table Style 1" pivot="0" count="0" xr9:uid="{97B370DB-5463-4A31-9160-5A96BD6A559D}"/>
  </tableStyles>
  <colors>
    <mruColors>
      <color rgb="FF0C769E"/>
      <color rgb="FFC44340"/>
      <color rgb="FF008000"/>
      <color rgb="FFFFCCCC"/>
      <color rgb="FFC4433F"/>
      <color rgb="FFE9F2FB"/>
      <color rgb="FF183C1B"/>
      <color rgb="FFB2D498"/>
      <color rgb="FFCC6600"/>
      <color rgb="FF4F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22/10/relationships/richValueRel" Target="richData/richValueRel.xml"/><Relationship Id="rId22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16319621022384"/>
          <c:y val="0.15050929286470213"/>
          <c:w val="0.89242065469880916"/>
          <c:h val="0.80727369431244"/>
        </c:manualLayout>
      </c:layout>
      <c:barChart>
        <c:barDir val="bar"/>
        <c:grouping val="clustered"/>
        <c:varyColors val="1"/>
        <c:ser>
          <c:idx val="0"/>
          <c:order val="0"/>
          <c:spPr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4F478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E7A-4896-ABD0-4837ACDC677E}"/>
              </c:ext>
            </c:extLst>
          </c:dPt>
          <c:dPt>
            <c:idx val="1"/>
            <c:invertIfNegative val="0"/>
            <c:bubble3D val="0"/>
            <c:spPr>
              <a:solidFill>
                <a:srgbClr val="89476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E7A-4896-ABD0-4837ACDC677E}"/>
              </c:ext>
            </c:extLst>
          </c:dPt>
          <c:dPt>
            <c:idx val="2"/>
            <c:invertIfNegative val="0"/>
            <c:bubble3D val="0"/>
            <c:spPr>
              <a:solidFill>
                <a:srgbClr val="C4434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E7A-4896-ABD0-4837ACDC677E}"/>
              </c:ext>
            </c:extLst>
          </c:dPt>
          <c:dPt>
            <c:idx val="3"/>
            <c:invertIfNegative val="0"/>
            <c:bubble3D val="0"/>
            <c:spPr>
              <a:solidFill>
                <a:srgbClr val="008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E7A-4896-ABD0-4837ACDC677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E7A-4896-ABD0-4837ACDC677E}"/>
              </c:ext>
            </c:extLst>
          </c:dPt>
          <c:dLbls>
            <c:delete val="1"/>
          </c:dLbls>
          <c:cat>
            <c:strRef>
              <c:f>Results!$D$7:$D$11</c:f>
              <c:strCache>
                <c:ptCount val="5"/>
                <c:pt idx="0">
                  <c:v>Scope 1</c:v>
                </c:pt>
                <c:pt idx="1">
                  <c:v>Scope 2</c:v>
                </c:pt>
                <c:pt idx="2">
                  <c:v>Scope 3</c:v>
                </c:pt>
                <c:pt idx="3">
                  <c:v>Sequestration</c:v>
                </c:pt>
                <c:pt idx="4">
                  <c:v>Net farm emissions</c:v>
                </c:pt>
              </c:strCache>
            </c:strRef>
          </c:cat>
          <c:val>
            <c:numRef>
              <c:f>Results!$E$7:$E$11</c:f>
              <c:numCache>
                <c:formatCode>General</c:formatCode>
                <c:ptCount val="5"/>
                <c:pt idx="0">
                  <c:v>123</c:v>
                </c:pt>
                <c:pt idx="1">
                  <c:v>20</c:v>
                </c:pt>
                <c:pt idx="2">
                  <c:v>300</c:v>
                </c:pt>
                <c:pt idx="3">
                  <c:v>-10</c:v>
                </c:pt>
                <c:pt idx="4" formatCode="0.00">
                  <c:v>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A-4896-ABD0-4837ACDC677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247233007"/>
        <c:axId val="1247233487"/>
      </c:barChart>
      <c:catAx>
        <c:axId val="1247233007"/>
        <c:scaling>
          <c:orientation val="maxMin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9050" cap="sq" cmpd="dbl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233487"/>
        <c:crosses val="autoZero"/>
        <c:auto val="1"/>
        <c:lblAlgn val="ctr"/>
        <c:lblOffset val="100"/>
        <c:noMultiLvlLbl val="0"/>
      </c:catAx>
      <c:valAx>
        <c:axId val="124723348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233007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ofPieChart>
        <c:ofPieType val="bar"/>
        <c:varyColors val="1"/>
        <c:ser>
          <c:idx val="0"/>
          <c:order val="0"/>
          <c:spPr>
            <a:ln>
              <a:solidFill>
                <a:schemeClr val="bg1">
                  <a:lumMod val="95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A7-4C2A-B35C-A4A95399D1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A7-4C2A-B35C-A4A95399D1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A7-4C2A-B35C-A4A95399D1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DA7-4C2A-B35C-A4A95399D1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DA7-4C2A-B35C-A4A95399D12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DA7-4C2A-B35C-A4A95399D12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DA7-4C2A-B35C-A4A95399D12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DA7-4C2A-B35C-A4A95399D12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DA7-4C2A-B35C-A4A95399D12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DA7-4C2A-B35C-A4A95399D12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DA7-4C2A-B35C-A4A95399D12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DA7-4C2A-B35C-A4A95399D12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63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DA7-4C2A-B35C-A4A95399D12E}"/>
              </c:ext>
            </c:extLst>
          </c:dPt>
          <c:cat>
            <c:strRef>
              <c:f>Results!$D$66:$D$77</c:f>
              <c:strCache>
                <c:ptCount val="12"/>
                <c:pt idx="0">
                  <c:v>Fertiliser</c:v>
                </c:pt>
                <c:pt idx="1">
                  <c:v>Purchased mineral supplementation</c:v>
                </c:pt>
                <c:pt idx="2">
                  <c:v>Purchased feed</c:v>
                </c:pt>
                <c:pt idx="3">
                  <c:v>Herbicides/pesticides</c:v>
                </c:pt>
                <c:pt idx="4">
                  <c:v>Electricity </c:v>
                </c:pt>
                <c:pt idx="5">
                  <c:v>Fuel</c:v>
                </c:pt>
                <c:pt idx="6">
                  <c:v>Lime</c:v>
                </c:pt>
                <c:pt idx="7">
                  <c:v>Purchased livestock</c:v>
                </c:pt>
                <c:pt idx="8">
                  <c:v>CO2 : Fuel</c:v>
                </c:pt>
                <c:pt idx="9">
                  <c:v>CO2 : Fuel</c:v>
                </c:pt>
                <c:pt idx="10">
                  <c:v>CO2 : Fuel</c:v>
                </c:pt>
                <c:pt idx="11">
                  <c:v>CO2 : Fuel</c:v>
                </c:pt>
              </c:strCache>
            </c:strRef>
          </c:cat>
          <c:val>
            <c:numRef>
              <c:f>Results!$E$66:$E$77</c:f>
              <c:numCache>
                <c:formatCode>General</c:formatCode>
                <c:ptCount val="12"/>
                <c:pt idx="0">
                  <c:v>123</c:v>
                </c:pt>
                <c:pt idx="1">
                  <c:v>80</c:v>
                </c:pt>
                <c:pt idx="2">
                  <c:v>654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180</c:v>
                </c:pt>
                <c:pt idx="8">
                  <c:v>12</c:v>
                </c:pt>
                <c:pt idx="9">
                  <c:v>67</c:v>
                </c:pt>
                <c:pt idx="10">
                  <c:v>123</c:v>
                </c:pt>
                <c:pt idx="11">
                  <c:v>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DA7-4C2A-B35C-A4A95399D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91"/>
        <c:splitType val="percent"/>
        <c:splitPos val="5"/>
        <c:secondPieSize val="7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ofPieChart>
        <c:ofPieType val="bar"/>
        <c:varyColors val="1"/>
        <c:ser>
          <c:idx val="0"/>
          <c:order val="0"/>
          <c:spPr>
            <a:ln>
              <a:solidFill>
                <a:schemeClr val="bg1">
                  <a:lumMod val="95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CD-45F4-BCDB-962266C57E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CD-45F4-BCDB-962266C57E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CD-45F4-BCDB-962266C57E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8CD-45F4-BCDB-962266C57E5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8CD-45F4-BCDB-962266C57E5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8CD-45F4-BCDB-962266C57E5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8CD-45F4-BCDB-962266C57E5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8CD-45F4-BCDB-962266C57E5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8CD-45F4-BCDB-962266C57E5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8CD-45F4-BCDB-962266C57E5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8CD-45F4-BCDB-962266C57E5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8CD-45F4-BCDB-962266C57E5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8CD-45F4-BCDB-962266C57E5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2C6-40B5-8993-4C2FFE189B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557-485E-BC75-B9CA18B2FB7B}"/>
              </c:ext>
            </c:extLst>
          </c:dPt>
          <c:cat>
            <c:strRef>
              <c:f>Results!$D$39:$D$52</c:f>
              <c:strCache>
                <c:ptCount val="14"/>
                <c:pt idx="0">
                  <c:v>CO2 - Fuel</c:v>
                </c:pt>
                <c:pt idx="1">
                  <c:v>CO2 - Lime</c:v>
                </c:pt>
                <c:pt idx="2">
                  <c:v>CO2 - Urea</c:v>
                </c:pt>
                <c:pt idx="3">
                  <c:v>CH4 - Fuel</c:v>
                </c:pt>
                <c:pt idx="4">
                  <c:v>CH4 - Enteric</c:v>
                </c:pt>
                <c:pt idx="5">
                  <c:v>CH4 - Manure Management</c:v>
                </c:pt>
                <c:pt idx="6">
                  <c:v>CH4 - Savannah Burning</c:v>
                </c:pt>
                <c:pt idx="7">
                  <c:v>N2O - Fertiliser - inorganic</c:v>
                </c:pt>
                <c:pt idx="8">
                  <c:v>N2O - Fertiliser - organic</c:v>
                </c:pt>
                <c:pt idx="9">
                  <c:v>N2O - Urine and Dung</c:v>
                </c:pt>
                <c:pt idx="10">
                  <c:v>N2O - Atmospheric Deposition</c:v>
                </c:pt>
                <c:pt idx="11">
                  <c:v>N2O - Leaching and Runoff</c:v>
                </c:pt>
                <c:pt idx="12">
                  <c:v>N2O - Savannah Burning </c:v>
                </c:pt>
                <c:pt idx="13">
                  <c:v>N2O - Fuel </c:v>
                </c:pt>
              </c:strCache>
            </c:strRef>
          </c:cat>
          <c:val>
            <c:numRef>
              <c:f>Results!$E$39:$E$52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7</c:v>
                </c:pt>
                <c:pt idx="6">
                  <c:v>123</c:v>
                </c:pt>
                <c:pt idx="7">
                  <c:v>0</c:v>
                </c:pt>
                <c:pt idx="8">
                  <c:v>0</c:v>
                </c:pt>
                <c:pt idx="9">
                  <c:v>123</c:v>
                </c:pt>
                <c:pt idx="10">
                  <c:v>1054</c:v>
                </c:pt>
                <c:pt idx="11">
                  <c:v>600</c:v>
                </c:pt>
                <c:pt idx="12">
                  <c:v>82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8CD-45F4-BCDB-962266C57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91"/>
        <c:splitType val="percent"/>
        <c:splitPos val="5"/>
        <c:secondPieSize val="7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317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solidFill>
                <a:schemeClr val="bg1">
                  <a:lumMod val="95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9D-47BB-B11C-1A86027E95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9D-47BB-B11C-1A86027E95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9D-47BB-B11C-1A86027E95A0}"/>
              </c:ext>
            </c:extLst>
          </c:dPt>
          <c:cat>
            <c:strRef>
              <c:f>Results!$D$56:$D$58</c:f>
              <c:strCache>
                <c:ptCount val="3"/>
                <c:pt idx="0">
                  <c:v>CO2 : Carbon dioxide</c:v>
                </c:pt>
                <c:pt idx="1">
                  <c:v>CH4 : Methane</c:v>
                </c:pt>
                <c:pt idx="2">
                  <c:v>N2O : Nitrous oxide</c:v>
                </c:pt>
              </c:strCache>
            </c:strRef>
          </c:cat>
          <c:val>
            <c:numRef>
              <c:f>Results!$E$56:$E$58</c:f>
              <c:numCache>
                <c:formatCode>General</c:formatCode>
                <c:ptCount val="3"/>
                <c:pt idx="0">
                  <c:v>300</c:v>
                </c:pt>
                <c:pt idx="1">
                  <c:v>500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9D-47BB-B11C-1A86027E9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460562</xdr:colOff>
      <xdr:row>5</xdr:row>
      <xdr:rowOff>108696</xdr:rowOff>
    </xdr:from>
    <xdr:to>
      <xdr:col>11</xdr:col>
      <xdr:colOff>412936</xdr:colOff>
      <xdr:row>18</xdr:row>
      <xdr:rowOff>212912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8F57B7-3E43-BA29-E49D-43B7937A6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938212</xdr:colOff>
      <xdr:row>65</xdr:row>
      <xdr:rowOff>200025</xdr:rowOff>
    </xdr:from>
    <xdr:to>
      <xdr:col>9</xdr:col>
      <xdr:colOff>1443037</xdr:colOff>
      <xdr:row>77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EA1AD2-453E-4F97-8BC2-DE4AF2798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66</xdr:row>
      <xdr:rowOff>0</xdr:rowOff>
    </xdr:from>
    <xdr:to>
      <xdr:col>9</xdr:col>
      <xdr:colOff>2381250</xdr:colOff>
      <xdr:row>77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02066C3-101F-42EE-A54C-2F7806F84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28575</xdr:colOff>
      <xdr:row>38</xdr:row>
      <xdr:rowOff>142876</xdr:rowOff>
    </xdr:from>
    <xdr:to>
      <xdr:col>14</xdr:col>
      <xdr:colOff>1066800</xdr:colOff>
      <xdr:row>50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BC43D78-0E51-49C7-B669-59542A620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52</xdr:row>
      <xdr:rowOff>57150</xdr:rowOff>
    </xdr:from>
    <xdr:to>
      <xdr:col>8</xdr:col>
      <xdr:colOff>3524249</xdr:colOff>
      <xdr:row>59</xdr:row>
      <xdr:rowOff>38101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23BD7F2-E312-496C-B50E-9B5D85B0D6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</xdr:colOff>
      <xdr:row>7</xdr:row>
      <xdr:rowOff>138112</xdr:rowOff>
    </xdr:from>
    <xdr:ext cx="2025426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850359A-9E4D-0696-A03E-D3F4FB62C4B4}"/>
                </a:ext>
              </a:extLst>
            </xdr:cNvPr>
            <xdr:cNvSpPr txBox="1"/>
          </xdr:nvSpPr>
          <xdr:spPr>
            <a:xfrm>
              <a:off x="2714625" y="2005012"/>
              <a:ext cx="202542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850359A-9E4D-0696-A03E-D3F4FB62C4B4}"/>
                </a:ext>
              </a:extLst>
            </xdr:cNvPr>
            <xdr:cNvSpPr txBox="1"/>
          </xdr:nvSpPr>
          <xdr:spPr>
            <a:xfrm>
              <a:off x="2714625" y="2005012"/>
              <a:ext cx="202542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𝑉𝑆_𝑗=𝐼_𝑗×(1−𝐷𝑀𝐷_𝑗 )×(1−𝐴)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38100</xdr:colOff>
      <xdr:row>36</xdr:row>
      <xdr:rowOff>195262</xdr:rowOff>
    </xdr:from>
    <xdr:ext cx="3287760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F964EF8-C44B-655E-7174-DF0CF934BFF7}"/>
                </a:ext>
              </a:extLst>
            </xdr:cNvPr>
            <xdr:cNvSpPr txBox="1"/>
          </xdr:nvSpPr>
          <xdr:spPr>
            <a:xfrm>
              <a:off x="2714625" y="8996362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F964EF8-C44B-655E-7174-DF0CF934BFF7}"/>
                </a:ext>
              </a:extLst>
            </xdr:cNvPr>
            <xdr:cNvSpPr txBox="1"/>
          </xdr:nvSpPr>
          <xdr:spPr>
            <a:xfrm>
              <a:off x="2714625" y="8996362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𝑀_(𝑗𝑚=5,𝑇=1)=𝑉𝑆_𝑗×𝐵𝑂×𝑀𝑀𝑆_(𝑚=5,𝑇=1)×𝑀𝐶𝐹_(𝑖𝑚=5)×𝜌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63</xdr:row>
      <xdr:rowOff>138112</xdr:rowOff>
    </xdr:from>
    <xdr:ext cx="3606308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84FEAE1-C964-6752-24BC-E82BACEE792E}"/>
                </a:ext>
              </a:extLst>
            </xdr:cNvPr>
            <xdr:cNvSpPr txBox="1"/>
          </xdr:nvSpPr>
          <xdr:spPr>
            <a:xfrm>
              <a:off x="2671762" y="15873412"/>
              <a:ext cx="360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𝑉𝑆𝐿</m:t>
                        </m:r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84FEAE1-C964-6752-24BC-E82BACEE792E}"/>
                </a:ext>
              </a:extLst>
            </xdr:cNvPr>
            <xdr:cNvSpPr txBox="1"/>
          </xdr:nvSpPr>
          <xdr:spPr>
            <a:xfrm>
              <a:off x="2671762" y="15873412"/>
              <a:ext cx="360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𝑀_(𝑗𝑚𝑇=2)=(1−𝑉𝑆𝐿)×𝑉𝑆_𝑗×𝐵𝑂×𝑀𝑀𝑆_(𝑚𝑇=2)×𝑀𝐶𝐹_𝑖𝑚×𝜌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102</xdr:row>
      <xdr:rowOff>133350</xdr:rowOff>
    </xdr:from>
    <xdr:ext cx="3287760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02E1FF6-299D-2F64-EA9D-F02CB24C30E2}"/>
                </a:ext>
              </a:extLst>
            </xdr:cNvPr>
            <xdr:cNvSpPr txBox="1"/>
          </xdr:nvSpPr>
          <xdr:spPr>
            <a:xfrm>
              <a:off x="2690812" y="23793450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02E1FF6-299D-2F64-EA9D-F02CB24C30E2}"/>
                </a:ext>
              </a:extLst>
            </xdr:cNvPr>
            <xdr:cNvSpPr txBox="1"/>
          </xdr:nvSpPr>
          <xdr:spPr>
            <a:xfrm>
              <a:off x="2690812" y="23793450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𝑀_(𝑗𝑚=1,𝑇=3)=𝑉𝑆_𝑗×𝐵𝑂×𝑀𝑀𝑆_(𝑚=1,𝑇=3)×𝑀𝐶𝐹_(𝑖𝑚=1)×𝜌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129</xdr:row>
      <xdr:rowOff>133350</xdr:rowOff>
    </xdr:from>
    <xdr:ext cx="2614114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BB4D879-97D2-23CB-EF78-EF8C318CF022}"/>
                </a:ext>
              </a:extLst>
            </xdr:cNvPr>
            <xdr:cNvSpPr txBox="1"/>
          </xdr:nvSpPr>
          <xdr:spPr>
            <a:xfrm>
              <a:off x="2690812" y="32213550"/>
              <a:ext cx="261411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𝐶𝐻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𝐷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BB4D879-97D2-23CB-EF78-EF8C318CF022}"/>
                </a:ext>
              </a:extLst>
            </xdr:cNvPr>
            <xdr:cNvSpPr txBox="1"/>
          </xdr:nvSpPr>
          <xdr:spPr>
            <a:xfrm>
              <a:off x="2690812" y="32213550"/>
              <a:ext cx="261411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𝐸_𝐶𝐻4=∑8_𝑗▒∑8_𝑚▒∑8_𝑇▒(𝐷_𝑗×𝑀_𝑗𝑚𝑇×𝑁_𝑗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tdocs\zneagcrc\GAF-VEERG-Functions\Excel\Common_v02.xlsx" TargetMode="External"/><Relationship Id="rId1" Type="http://schemas.openxmlformats.org/officeDocument/2006/relationships/externalLinkPath" Target="Common_v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ants - Common"/>
    </sheetNames>
    <sheetDataSet>
      <sheetData sheetId="0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3166EBA0-AB26-48BA-9789-AEA997D57851}" name="Table_SourceData_Feedlot_MCF" displayName="Table_SourceData_Feedlot_MCF" ref="M32:W37" totalsRowShown="0">
  <autoFilter ref="M32:W37" xr:uid="{3166EBA0-AB26-48BA-9789-AEA997D578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885FE93-299E-44EB-B503-99C305BD6F41}" name="Treatment stage T">
      <calculatedColumnFormula array="1">Common_InputFunctions.Utility_DisplayArrayInTable(SourceData_Feedlot.SourceData_Feedlot_MCF_Data(), Table_SourceData_Feedlot_MCF[[#Headers],[Treatment stage T]], 0)</calculatedColumnFormula>
    </tableColumn>
    <tableColumn id="2" xr3:uid="{D0E12F95-AC29-47D0-913A-0A0B02931616}" name="MMS m" dataDxfId="27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3" xr3:uid="{E17BE7AB-8FAD-4B5C-9F86-E70E6A00B9B1}" name="NSW" dataDxfId="26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4" xr3:uid="{D4C6F922-2719-4479-B7CC-26C5286F73ED}" name="ACT" dataDxfId="25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5" xr3:uid="{5034DCA1-F046-43BC-A94F-832832E6D634}" name="QLD" dataDxfId="24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6" xr3:uid="{186521AB-DFC2-4E3B-A674-A5382DCC5ACD}" name="NT" dataDxfId="23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7" xr3:uid="{95F9E197-F85F-424A-B68D-774604116729}" name="SA" dataDxfId="22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8" xr3:uid="{A6DDF652-660B-4C41-982D-FECC3B1142AF}" name="VIC" dataDxfId="21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9" xr3:uid="{5163E1D2-D984-4DBA-95A9-1667F628B2D9}" name="WA" dataDxfId="20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10" xr3:uid="{A0E67108-978C-4849-A310-69F8E4739C6D}" name="TAS" dataDxfId="19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11" xr3:uid="{27E929DD-0554-43B8-A58C-34B0A39F2EBA}" name="NIR definition" dataDxfId="18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</tableColumns>
  <tableStyleInfo name="Equation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D5C443B2-EDE2-4250-B2EE-016878D19AD9}" name="Table_SourceData_FeedlotMMS" displayName="Table_SourceData_FeedlotMMS" ref="M42:N48" totalsRowShown="0">
  <autoFilter ref="M42:N48" xr:uid="{D5C443B2-EDE2-4250-B2EE-016878D19AD9}">
    <filterColumn colId="0" hiddenButton="1"/>
    <filterColumn colId="1" hiddenButton="1"/>
  </autoFilter>
  <tableColumns count="2">
    <tableColumn id="1" xr3:uid="{F2B173A3-CADE-4DCA-988D-39EE2392D8DB}" name="MMS"/>
    <tableColumn id="2" xr3:uid="{67006656-167A-4452-9820-88D798B88ADD}" name="Symbol and MMS" dataDxfId="17" dataCellStyle="Content normal"/>
  </tableColumns>
  <tableStyleInfo name="Equation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CC28B-CF78-4195-86CA-5AEBBA7FA04E}" name="Table_Data_MMSSymbols" displayName="Table_Data_MMSSymbols" ref="D9:F27" totalsRowShown="0">
  <autoFilter ref="D9:F27" xr:uid="{757CC28B-CF78-4195-86CA-5AEBBA7FA04E}">
    <filterColumn colId="0" hiddenButton="1"/>
    <filterColumn colId="1" hiddenButton="1"/>
    <filterColumn colId="2" hiddenButton="1"/>
  </autoFilter>
  <tableColumns count="3">
    <tableColumn id="1" xr3:uid="{FA4B4DF7-A993-40F2-870A-87A35A1D1CD3}" name="Symbol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2" xr3:uid="{8A23F85B-E11F-43B7-AF58-1032F42D9585}" name="Manure management system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3" xr3:uid="{58D0574C-2490-473B-A8E1-317E3A493B21}" name="Symbol and MMS">
      <calculatedColumnFormula array="1">InputFunctions_Utilities.Utility_DisplayArrayInTable(CommonLivestock_SourceData.SourceData_Livestock_Common_SymbolsMMS_Data(), Table_Data_MMSSymbols[[#Headers],[Symbol]], 0)</calculatedColumnFormula>
    </tableColumn>
  </tableColumns>
  <tableStyleInfo name="Equation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93A6A7-50BC-446C-A28C-B0A1AA14C773}" name="Table_AustralianStates" displayName="Table_AustralianStates" ref="D6:F14" totalsRowShown="0">
  <autoFilter ref="D6:F14" xr:uid="{E0906749-7FC7-47DE-82F6-F796C4463018}">
    <filterColumn colId="0" hiddenButton="1"/>
    <filterColumn colId="1" hiddenButton="1"/>
    <filterColumn colId="2" hiddenButton="1"/>
  </autoFilter>
  <tableColumns count="3">
    <tableColumn id="1" xr3:uid="{3E799B2C-780F-4B49-B17C-18DB0BF00B4B}" name="State/Territory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2" xr3:uid="{2A0C41BB-D1E4-4415-86F7-DB7E5C1E481D}" name="Common Name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3" xr3:uid="{9656CC2D-94E8-4B3C-89F4-B5CA9F9C509A}" name="Abbreviation">
      <calculatedColumnFormula array="1">Common_InputFunctions.Utility_DisplayArrayInTable(Common_SourceData.Common_SourceData_AustralianStatesTerritories_Data(),Table_AustralianStates[[#Headers],[State/Territory]],0)</calculatedColumnFormula>
    </tableColumn>
  </tableColumns>
  <tableStyleInfo name="Equation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F32E78-501E-4F02-B0CE-EAB0A968402C}" name="Table_WASA4Areas" displayName="Table_WASA4Areas" ref="D20:D30" totalsRowShown="0">
  <autoFilter ref="D20:D30" xr:uid="{5FA81339-C6C8-4D36-BEEA-6C4AEDD9E676}">
    <filterColumn colId="0" hiddenButton="1"/>
  </autoFilter>
  <tableColumns count="1">
    <tableColumn id="1" xr3:uid="{EA762860-74A4-4193-8C0E-8E75D325DEDF}" name="SA 4 Name">
      <calculatedColumnFormula array="1">Common_InputFunctions.Utility_DisplayArrayInTable(Common_SourceData.Common_SourceData_WASA4Areas_Data(), Table_WASA4Areas[[#Headers],[SA 4 Name]], 0)</calculatedColumnFormula>
    </tableColumn>
  </tableColumns>
  <tableStyleInfo name="Equation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E9B4F0-EC22-431A-8A38-FA7E1A4C88BF}" name="Table_GWPData" displayName="Table_GWPData" ref="D36:E43" totalsRowShown="0">
  <autoFilter ref="D36:E43" xr:uid="{B8E87A66-3E41-4AD3-925D-01EE21B43D7A}">
    <filterColumn colId="0" hiddenButton="1"/>
    <filterColumn colId="1" hiddenButton="1"/>
  </autoFilter>
  <tableColumns count="2">
    <tableColumn id="1" xr3:uid="{3F32A1AC-440A-45A2-90A9-9E3AAFC8833E}" name="Gas">
      <calculatedColumnFormula array="1">Common_InputFunctions.Utility_DisplayArrayInTable(Common_SourceData.Common_SourceData_GWP_Data(), Table_GWPData[[#Headers],[Gas]], 0)</calculatedColumnFormula>
    </tableColumn>
    <tableColumn id="2" xr3:uid="{8F54E9FB-C5FC-41AE-B4BB-C172A9D87615}" name="CO2-e factor">
      <calculatedColumnFormula array="1">Common_InputFunctions.Utility_DisplayArrayInTable(Common_SourceData.Common_SourceData_GWP_Data(), Table_GWPData[[#Headers],[Gas]], 0)</calculatedColumnFormula>
    </tableColumn>
  </tableColumns>
  <tableStyleInfo name="Equation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83DB5D0-C3E7-4F28-A84B-A4CE0F9A42E0}" name="Table_GasToMolecularConversionFactor" displayName="Table_GasToMolecularConversionFactor" ref="D47:H54" totalsRowShown="0">
  <autoFilter ref="D47:H54" xr:uid="{C1F562BB-DAA6-45BB-951A-7BAFA5B64B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DC7FB39-AD62-4981-8FF8-FB86AEAE8058}" name="Gas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5" xr3:uid="{FFE3EF68-BB73-409C-BD98-9F144BE0D629}" name="Conversion factor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2" xr3:uid="{9C9FD005-BFD7-4205-B791-C5318C740651}" name="Conversion factor 1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3" xr3:uid="{80AB7A3B-ECD9-4AAC-A789-8376B1ED0F18}" name="Conversion factor 2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4" xr3:uid="{874E0D41-40F1-4A8A-B230-582564BE6F0D}" name="Conversion factor combined">
      <calculatedColumnFormula>Table_GasToMolecularConversionFactor[[#This Row],[Conversion factor 1]]/Table_GasToMolecularConversionFactor[[#This Row],[Conversion factor 2]]</calculatedColumnFormula>
    </tableColumn>
  </tableColumns>
  <tableStyleInfo name="Equation 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981089F-1931-4B99-A38C-BDE3FB77FDC9}" name="Table_SourceData_ClimateZones" displayName="Table_SourceData_ClimateZones" ref="D89:S97" totalsRowShown="0">
  <autoFilter ref="D89:S97" xr:uid="{5A437AE9-7724-4CF2-ACCF-291078682F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32BBD0D9-B1BF-4D2E-AE71-C4C4F70538C4}" name="Climate zone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2" xr3:uid="{79076B19-8280-4E7D-9CED-3021409C5D19}" name="MAT" totalsRowDxfId="1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3" xr3:uid="{3186CAF7-317C-4C8B-A0B4-89F12C0D2840}" name="MAP" totalsRowDxfId="1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4" xr3:uid="{16F818DB-5BD7-41F6-8173-A0F4E4E66059}" name="Frost days per year" totalsRowDxfId="1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5" xr3:uid="{ACE99FB3-5852-4867-8EBA-8766A24BFF2B}" name="Elevation" totalsRowDxfId="1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6" xr3:uid="{84D22C88-E757-4B73-BE98-B0E7F355ADDC}" name="MAP:PET" totalsRowDxfId="1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7" xr3:uid="{21431298-B157-4C2A-B94F-9CB4D09CC726}" name="Min temp" totalsRowDxfId="1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8" xr3:uid="{EF95F6BB-3C58-43C2-A327-64CDB5677139}" name="Max temp" totalsRowDxfId="1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9" xr3:uid="{20CDD2CC-B544-4412-9052-BCA5434CFD00}" name="Min rainfall" totalsRowDxfId="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0" xr3:uid="{55AAF13B-6499-45B0-AA94-D1DC2195BD4B}" name="Max rainfall" totalsRowDxfId="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1" xr3:uid="{64DA55C1-2BA7-41B7-8D90-ABCC9CF69152}" name="Min frost days" totalsRowDxfId="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5" xr3:uid="{09B9E720-8D5C-4F91-A682-25D5F4A10A4C}" name="Max frost days" totalsRowDxfId="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2" xr3:uid="{BAF35E5A-8D59-4D03-81F9-680DAB79D55A}" name="Min elevation" totalsRowDxfId="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6" xr3:uid="{09E67BE3-6FA6-407E-8C50-2B03E4F2C0E9}" name="Max elevation" totalsRowDxfId="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3" xr3:uid="{608E536D-6B66-46DE-BC27-1E40353BEB37}" name="Min MAP:PET" totalsRowDxfId="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7" xr3:uid="{86D72675-6E5F-4B95-8BEA-7D61468D93DD}" name="Max MAP:PET" totalsRowDxfId="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</tableColumns>
  <tableStyleInfo name="Equation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0CD6281-9B6D-4914-A18B-63AEA4688AA5}" name="Table_SourceData_WetDryZones" displayName="Table_SourceData_WetDryZones" ref="D63:E77" totalsRowShown="0">
  <autoFilter ref="D63:E77" xr:uid="{3597E019-B21E-4B76-BCC8-D02D497BCFA9}">
    <filterColumn colId="0" hiddenButton="1"/>
    <filterColumn colId="1" hiddenButton="1"/>
  </autoFilter>
  <tableColumns count="2">
    <tableColumn id="1" xr3:uid="{EB44A27D-AD82-452C-A265-3F4B17CD58BA}" name="Climate zone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  <tableColumn id="2" xr3:uid="{1FCABD42-A00E-49D0-8C25-670388E1CD0B}" name="Wet or Dry Zone" totalsRowDxfId="1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</tableColumns>
  <tableStyleInfo name="Equation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C4A50B6-196A-42B7-BA41-FCE816F36788}" name="Table_SourceData_TemperatureZones" displayName="Table_SourceData_TemperatureZones" ref="D109:G112" totalsRowShown="0">
  <autoFilter ref="D109:G112" xr:uid="{AB16FEAB-AB03-45E1-BBD4-66D29CD412DF}">
    <filterColumn colId="0" hiddenButton="1"/>
    <filterColumn colId="1" hiddenButton="1"/>
    <filterColumn colId="2" hiddenButton="1"/>
    <filterColumn colId="3" hiddenButton="1"/>
  </autoFilter>
  <tableColumns count="4">
    <tableColumn id="1" xr3:uid="{092B1497-44D4-45EB-9F1C-D8C94001D845}" name="Temperature Zone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2" xr3:uid="{DC8275B3-5220-4CE8-9768-B68AAD0580FD}" name="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3" xr3:uid="{24EE3906-8FD1-4DD0-A2C8-981CBCB5AEF7}" name="Min 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4" xr3:uid="{CC337367-6644-4335-B200-BFB8EC0A9FD1}" name="Max MAT">
      <calculatedColumnFormula array="1">Common_InputFunctions.Utility_DisplayArrayInTable(Common_SourceData.Common_SourceData_TemperatureZones_Data(),Table_SourceData_TemperatureZones[[#Headers],[Temperature Zone]],0)</calculatedColumnFormula>
    </tableColumn>
  </tableColumns>
  <tableStyleInfo name="Equation 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1BBF843-038A-4835-8085-B54393BAC206}" name="Table_SourceData_RainfallZones" displayName="Table_SourceData_RainfallZones" ref="D119:G121" totalsRowShown="0">
  <autoFilter ref="D119:G121" xr:uid="{E08772F3-2E8C-40A8-B755-08A5BBDF4130}">
    <filterColumn colId="0" hiddenButton="1"/>
    <filterColumn colId="1" hiddenButton="1"/>
    <filterColumn colId="2" hiddenButton="1"/>
    <filterColumn colId="3" hiddenButton="1"/>
  </autoFilter>
  <tableColumns count="4">
    <tableColumn id="1" xr3:uid="{6720C50D-1F2B-4433-8A16-D0F5AED38A5D}" name="Rainfall Zone">
      <calculatedColumnFormula array="1">Common_InputFunctions.Utility_DisplayArrayInTable(Common_SourceData.Common_SourceData_RainfallZones_Data(),Table_SourceData_RainfallZones[[#Headers],[Rainfall Zone]],0)</calculatedColumnFormula>
    </tableColumn>
    <tableColumn id="2" xr3:uid="{E8F597A4-F79F-41A4-904F-F1CC5F08C629}" name="Annual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3" xr3:uid="{9EF92F20-0128-4605-9D12-D6B0CE0550A5}" name="Min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4" xr3:uid="{44B93CC2-CD64-4DBA-B2A2-4AD18B36B7C7}" name="Max rainfall">
      <calculatedColumnFormula array="1">Common_InputFunctions.Utility_DisplayArrayInTable(Common_SourceData.Common_SourceData_RainfallZones_Data(),Table_SourceData_RainfallZones[[#Headers],[Rainfall Zone]],0)</calculatedColumnFormula>
    </tableColumn>
  </tableColumns>
  <tableStyleInfo name="Equation 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2B215E6-6968-4F82-B2EB-A5F78030E968}" name="Table_SourceData_LeachingZones" displayName="Table_SourceData_LeachingZones" ref="D127:E129" totalsRowShown="0">
  <autoFilter ref="D127:E129" xr:uid="{A159E140-02ED-4547-B6E1-6695D8B16A11}">
    <filterColumn colId="0" hiddenButton="1"/>
    <filterColumn colId="1" hiddenButton="1"/>
  </autoFilter>
  <tableColumns count="2">
    <tableColumn id="1" xr3:uid="{FA790FF4-A475-49DC-9478-77D86CF5E2D4}" name="Leaching Zone">
      <calculatedColumnFormula array="1">Common_InputFunctions.Utility_DisplayArrayInTable(Common_SourceData.Common_SourceData_LeachingZones_Data(), Table_SourceData_LeachingZones[[#Headers],[Leaching Zone]], 0)</calculatedColumnFormula>
    </tableColumn>
    <tableColumn id="2" xr3:uid="{7EDA6948-1D04-493D-89DF-0D1FADC83335}" name="Leaching criteria">
      <calculatedColumnFormula array="1">Common_InputFunctions.Utility_DisplayArrayInTable(Common_SourceData.Common_SourceData_LeachingZones_Data(), Table_SourceData_LeachingZones[[#Headers],[Leaching Zone]], 0)</calculatedColumnFormula>
    </tableColumn>
  </tableColumns>
  <tableStyleInfo name="Equation tab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704BEA8-D849-4761-9B50-36AE6488B47E}" name="Table_SourceData_DataScores_Scope3" displayName="Table_SourceData_DataScores_Scope3" ref="D142:E147" totalsRowShown="0">
  <autoFilter ref="D142:E147" xr:uid="{133D42B0-F6D2-470A-858A-37E6A7F5EC2B}">
    <filterColumn colId="0" hiddenButton="1"/>
    <filterColumn colId="1" hiddenButton="1"/>
  </autoFilter>
  <tableColumns count="2">
    <tableColumn id="1" xr3:uid="{E1A30090-A95A-4BF4-A1A0-50C88DD0F3DC}" name="Data source">
      <calculatedColumnFormula array="1">Common_InputFunctions.Utility_DisplayArrayInTable(Common_SourceData.Common_SourceData_DataScores_Scope3_Data(), Table_SourceData_DataScores_Scope3[[#Headers],[Data source]], 0)</calculatedColumnFormula>
    </tableColumn>
    <tableColumn id="2" xr3:uid="{9F0F3F13-B9B6-4093-BDE1-F948843EAB5A}" name="Data score">
      <calculatedColumnFormula array="1">Common_InputFunctions.Utility_DisplayArrayInTable(Common_SourceData.Common_SourceData_DataScores_Scope3_Data(), Table_SourceData_DataScores_Scope3[[#Headers],[Data source]], 0)</calculatedColumnFormula>
    </tableColumn>
  </tableColumns>
  <tableStyleInfo name="Equation tabl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8A86DBE-8823-46D5-9F68-5D1CA7B5A092}" name="Table_SourceData_FracWET" displayName="Table_SourceData_FracWET" ref="D134:E136" totalsRowShown="0">
  <autoFilter ref="D134:E136" xr:uid="{308E99BE-FE1F-47A4-B2CA-97217277C4E9}">
    <filterColumn colId="0" hiddenButton="1"/>
    <filterColumn colId="1" hiddenButton="1"/>
  </autoFilter>
  <tableColumns count="2">
    <tableColumn id="1" xr3:uid="{629F4EE7-F724-4FA0-B95D-675711669138}" name="Is in leaching zone">
      <calculatedColumnFormula array="1">Common_InputFunctions.Utility_DisplayArrayInTable(Common_SourceData.Common_SourceData_FracWET_Data(),Table_SourceData_FracWET[[#Headers],[Is in leaching zone]],0)</calculatedColumnFormula>
    </tableColumn>
    <tableColumn id="2" xr3:uid="{F4C079D8-C2A4-46D1-B6AC-C3A4FB7B12D1}" name="FracWET" dataDxfId="0">
      <calculatedColumnFormula array="1">Common_InputFunctions.Utility_DisplayArrayInTable(Common_SourceData.Common_SourceData_FracWET_Data(),Table_SourceData_FracWET[[#Headers],[Is in leaching zone]],0)</calculatedColumnFormula>
    </tableColumn>
  </tableColumns>
  <tableStyleInfo name="Equation tabl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4E3EB63-960F-4159-9574-88E76FC8C7F6}" name="Table_SourceData_Common_EFN2O" displayName="Table_SourceData_Common_EFN2O" ref="D175:H188" totalsRowShown="0">
  <autoFilter ref="D175:H188" xr:uid="{D41FBEA4-8379-4DF7-A068-BF94D364F1A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6ABBDFA-BA51-46ED-8711-12BCC8D83E8F}" name="Production system j">
      <calculatedColumnFormula array="1">Common_InputFunctions.Utility_DisplayArrayInTable(Common_SourceData.Common_SourceData_EFN2O_Data(), Table_SourceData_Common_EFN2O[[#Headers],[Production system j]], 0)</calculatedColumnFormula>
    </tableColumn>
    <tableColumn id="2" xr3:uid="{91CEFF36-F69D-4371-8887-F77E638C22E0}" name="EFN2O">
      <calculatedColumnFormula array="1">Common_InputFunctions.Utility_DisplayArrayInTable(Common_SourceData.Common_SourceData_EFN2O_Data(), Table_SourceData_Common_EFN2O[[#Headers],[Production system j]], 0)</calculatedColumnFormula>
    </tableColumn>
    <tableColumn id="3" xr3:uid="{41947D81-FA77-4B33-B112-DE1E493B38DF}" name="Production system only">
      <calculatedColumnFormula array="1">Common_InputFunctions.Utility_DisplayArrayInTable(Common_SourceData.Common_SourceData_EFN2O_Data(), Table_SourceData_Common_EFN2O[[#Headers],[Production system j]], 0)</calculatedColumnFormula>
    </tableColumn>
    <tableColumn id="4" xr3:uid="{66A36B17-9C2C-43F0-978E-BD54FC9A5056}" name="Irrigation method">
      <calculatedColumnFormula array="1">Common_InputFunctions.Utility_DisplayArrayInTable(Common_SourceData.Common_SourceData_EFN2O_Data(), Table_SourceData_Common_EFN2O[[#Headers],[Production system j]], 0)</calculatedColumnFormula>
    </tableColumn>
    <tableColumn id="5" xr3:uid="{7ABE2293-BA04-440F-9700-FF0982261690}" name="Rainfall zone">
      <calculatedColumnFormula array="1">Common_InputFunctions.Utility_DisplayArrayInTable(Common_SourceData.Common_SourceData_EFN2O_Data(), Table_SourceData_Common_EFN2O[[#Headers],[Production system j]], 0)</calculatedColumnFormula>
    </tableColumn>
  </tableColumns>
  <tableStyleInfo name="Equation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02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12" Type="http://schemas.openxmlformats.org/officeDocument/2006/relationships/table" Target="../tables/table15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11" Type="http://schemas.openxmlformats.org/officeDocument/2006/relationships/table" Target="../tables/table14.xml"/><Relationship Id="rId5" Type="http://schemas.openxmlformats.org/officeDocument/2006/relationships/table" Target="../tables/table8.xml"/><Relationship Id="rId10" Type="http://schemas.openxmlformats.org/officeDocument/2006/relationships/table" Target="../tables/table13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26AA-F4FA-460F-9B3A-C19960195F0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0AE0-5101-4331-B8DF-043DE9AAFBA8}">
  <sheetPr>
    <pageSetUpPr autoPageBreaks="0"/>
  </sheetPr>
  <dimension ref="A1:K87"/>
  <sheetViews>
    <sheetView showGridLines="0" zoomScaleNormal="100" workbookViewId="0">
      <selection activeCell="A18" sqref="A18"/>
    </sheetView>
  </sheetViews>
  <sheetFormatPr defaultRowHeight="15" x14ac:dyDescent="0.25"/>
  <cols>
    <col min="1" max="1" width="30.7109375" customWidth="1"/>
    <col min="2" max="3" width="2.7109375" customWidth="1"/>
    <col min="4" max="4" width="60.7109375" customWidth="1"/>
    <col min="5" max="6" width="28.7109375" customWidth="1"/>
    <col min="7" max="7" width="28" customWidth="1"/>
    <col min="8" max="8" width="27" customWidth="1"/>
    <col min="9" max="9" width="31.5703125" customWidth="1"/>
    <col min="10" max="10" width="25.28515625" customWidth="1"/>
    <col min="11" max="11" width="7.42578125" customWidth="1"/>
    <col min="12" max="26" width="28.7109375" customWidth="1"/>
  </cols>
  <sheetData>
    <row r="1" spans="1:11" ht="30" customHeight="1" x14ac:dyDescent="0.35">
      <c r="A1" s="97" t="e" vm="1">
        <v>#VALUE!</v>
      </c>
      <c r="C1" s="8" t="e">
        <f>#REF!</f>
        <v>#REF!</v>
      </c>
    </row>
    <row r="2" spans="1:11" ht="20.100000000000001" customHeight="1" x14ac:dyDescent="0.25">
      <c r="A2" s="9"/>
      <c r="C2" s="9"/>
    </row>
    <row r="3" spans="1:11" ht="20.100000000000001" customHeight="1" x14ac:dyDescent="0.25">
      <c r="A3" s="18" t="str">
        <f>HYPERLINK("#'Home'!A1", "Home")</f>
        <v>Home</v>
      </c>
      <c r="C3" s="25"/>
      <c r="D3" s="25"/>
      <c r="E3" s="25"/>
      <c r="F3" s="25"/>
      <c r="G3" s="25"/>
      <c r="H3" s="25"/>
      <c r="I3" s="25"/>
      <c r="J3" s="25"/>
      <c r="K3" s="25"/>
    </row>
    <row r="4" spans="1:11" ht="20.100000000000001" customHeight="1" x14ac:dyDescent="0.25">
      <c r="A4" s="134" t="str">
        <f>HYPERLINK("#'Results'!A1", "Results")</f>
        <v>Results</v>
      </c>
      <c r="C4" s="25"/>
      <c r="D4" s="6" t="s">
        <v>56</v>
      </c>
      <c r="E4" s="6"/>
      <c r="F4" s="6"/>
      <c r="G4" s="6"/>
      <c r="H4" s="6"/>
      <c r="I4" s="6"/>
      <c r="J4" s="6"/>
      <c r="K4" s="29"/>
    </row>
    <row r="5" spans="1:11" ht="20.100000000000001" customHeight="1" x14ac:dyDescent="0.3">
      <c r="A5" s="17"/>
      <c r="C5" s="25"/>
      <c r="D5" s="5"/>
      <c r="E5" s="31"/>
      <c r="F5" s="32"/>
      <c r="G5" s="27"/>
      <c r="H5" s="27"/>
      <c r="I5" s="25"/>
      <c r="J5" s="25"/>
      <c r="K5" s="25"/>
    </row>
    <row r="6" spans="1:11" ht="20.100000000000001" customHeight="1" x14ac:dyDescent="0.25">
      <c r="A6" s="21" t="s">
        <v>3</v>
      </c>
      <c r="C6" s="25"/>
      <c r="D6" s="47" t="s">
        <v>13</v>
      </c>
      <c r="E6" s="47"/>
      <c r="F6" s="47"/>
      <c r="G6" s="27"/>
      <c r="H6" s="27"/>
      <c r="I6" s="25"/>
      <c r="J6" s="25"/>
      <c r="K6" s="25"/>
    </row>
    <row r="7" spans="1:11" ht="20.100000000000001" customHeight="1" x14ac:dyDescent="0.25">
      <c r="A7" s="18" t="str">
        <f>HYPERLINK("#'Input - Site'!A1", "Site")</f>
        <v>Site</v>
      </c>
      <c r="C7" s="25"/>
      <c r="D7" s="1" t="s">
        <v>5</v>
      </c>
      <c r="E7" s="45">
        <v>123</v>
      </c>
      <c r="F7" s="2"/>
      <c r="G7" s="27"/>
      <c r="H7" s="27"/>
      <c r="I7" s="25"/>
      <c r="J7" s="25"/>
      <c r="K7" s="25"/>
    </row>
    <row r="8" spans="1:11" ht="20.100000000000001" customHeight="1" x14ac:dyDescent="0.25">
      <c r="A8" s="18" t="str">
        <f>HYPERLINK("#'Input - MMS - Feedlot'!A1", "MMS - Feedlot")</f>
        <v>MMS - Feedlot</v>
      </c>
      <c r="C8" s="25"/>
      <c r="D8" s="1" t="s">
        <v>8</v>
      </c>
      <c r="E8" s="45">
        <v>20</v>
      </c>
      <c r="F8" s="2"/>
      <c r="G8" s="27"/>
      <c r="H8" s="27"/>
      <c r="I8" s="25"/>
      <c r="J8" s="25"/>
      <c r="K8" s="25"/>
    </row>
    <row r="9" spans="1:11" ht="20.100000000000001" customHeight="1" x14ac:dyDescent="0.25">
      <c r="A9" s="18"/>
      <c r="C9" s="25"/>
      <c r="D9" s="1" t="s">
        <v>10</v>
      </c>
      <c r="E9" s="45">
        <v>300</v>
      </c>
      <c r="F9" s="2"/>
      <c r="G9" s="27"/>
      <c r="H9" s="27"/>
      <c r="I9" s="25"/>
      <c r="J9" s="25"/>
      <c r="K9" s="25"/>
    </row>
    <row r="10" spans="1:11" ht="20.100000000000001" customHeight="1" x14ac:dyDescent="0.25">
      <c r="A10" s="20" t="s">
        <v>147</v>
      </c>
      <c r="C10" s="25"/>
      <c r="D10" s="1" t="s">
        <v>21</v>
      </c>
      <c r="E10" s="45">
        <v>-10</v>
      </c>
      <c r="F10" s="2"/>
      <c r="G10" s="27"/>
      <c r="H10" s="27"/>
      <c r="I10" s="25"/>
      <c r="J10" s="25"/>
      <c r="K10" s="25"/>
    </row>
    <row r="11" spans="1:11" ht="20.100000000000001" customHeight="1" x14ac:dyDescent="0.35">
      <c r="A11" s="18" t="str">
        <f>HYPERLINK("#'Calcs - CH4 MMS Feedlot'!A1", "MMS Methane")</f>
        <v>MMS Methane</v>
      </c>
      <c r="C11" s="25"/>
      <c r="D11" s="33" t="s">
        <v>22</v>
      </c>
      <c r="E11" s="26">
        <f>SUM(E7:E10)</f>
        <v>433</v>
      </c>
      <c r="F11" s="28" t="s">
        <v>15</v>
      </c>
      <c r="G11" s="27"/>
      <c r="H11" s="27"/>
      <c r="I11" s="25"/>
      <c r="J11" s="25"/>
      <c r="K11" s="25"/>
    </row>
    <row r="12" spans="1:11" ht="20.100000000000001" customHeight="1" x14ac:dyDescent="0.25">
      <c r="A12" s="18"/>
      <c r="C12" s="25"/>
      <c r="D12" s="25"/>
      <c r="E12" s="25"/>
      <c r="F12" s="25"/>
      <c r="G12" s="27"/>
      <c r="H12" s="27"/>
      <c r="I12" s="25"/>
      <c r="J12" s="25"/>
      <c r="K12" s="25"/>
    </row>
    <row r="13" spans="1:11" ht="20.100000000000001" customHeight="1" x14ac:dyDescent="0.25">
      <c r="A13" s="19" t="s">
        <v>4</v>
      </c>
      <c r="C13" s="25"/>
      <c r="D13" s="47" t="s">
        <v>85</v>
      </c>
      <c r="E13" s="47"/>
      <c r="F13" s="47"/>
      <c r="G13" s="25"/>
      <c r="H13" s="25"/>
      <c r="I13" s="25"/>
      <c r="J13" s="25"/>
      <c r="K13" s="25"/>
    </row>
    <row r="14" spans="1:11" ht="20.100000000000001" customHeight="1" x14ac:dyDescent="0.25">
      <c r="A14" s="18" t="str">
        <f>HYPERLINK("#'Constants - Common'!A1", "Constants - Common")</f>
        <v>Constants - Common</v>
      </c>
      <c r="C14" s="25"/>
      <c r="D14" s="48" t="s">
        <v>57</v>
      </c>
      <c r="E14" s="49"/>
      <c r="F14" s="50"/>
      <c r="G14" s="27"/>
      <c r="H14" s="27"/>
      <c r="I14" s="25"/>
      <c r="J14" s="25"/>
      <c r="K14" s="25"/>
    </row>
    <row r="15" spans="1:11" ht="20.100000000000001" customHeight="1" x14ac:dyDescent="0.25">
      <c r="A15" s="18" t="str">
        <f>HYPERLINK("#'Constants - Livestock'!A1", "Constants - Livestock")</f>
        <v>Constants - Livestock</v>
      </c>
      <c r="C15" s="25"/>
      <c r="D15" s="51" t="s">
        <v>66</v>
      </c>
      <c r="E15" s="52"/>
      <c r="F15" s="52"/>
      <c r="G15" s="25"/>
      <c r="H15" s="25"/>
      <c r="I15" s="25"/>
      <c r="J15" s="25"/>
      <c r="K15" s="25"/>
    </row>
    <row r="16" spans="1:11" ht="20.100000000000001" customHeight="1" x14ac:dyDescent="0.25">
      <c r="A16" s="18" t="str">
        <f>HYPERLINK("#'Acknowledgements'!A1", "Acknowledgements")</f>
        <v>Acknowledgements</v>
      </c>
      <c r="C16" s="25"/>
      <c r="D16" s="53" t="s">
        <v>47</v>
      </c>
      <c r="E16" s="57">
        <v>0.9</v>
      </c>
      <c r="F16" s="50" t="s">
        <v>44</v>
      </c>
      <c r="G16" s="27"/>
      <c r="H16" s="27"/>
      <c r="I16" s="25"/>
      <c r="J16" s="25"/>
      <c r="K16" s="25"/>
    </row>
    <row r="17" spans="1:11" ht="20.100000000000001" customHeight="1" x14ac:dyDescent="0.25">
      <c r="A17" s="96"/>
      <c r="C17" s="25"/>
      <c r="D17" s="53" t="s">
        <v>48</v>
      </c>
      <c r="E17" s="57">
        <v>0.1</v>
      </c>
      <c r="F17" s="50" t="s">
        <v>44</v>
      </c>
      <c r="G17" s="27"/>
      <c r="H17" s="27"/>
      <c r="I17" s="25"/>
      <c r="J17" s="25"/>
      <c r="K17" s="25"/>
    </row>
    <row r="18" spans="1:11" ht="20.100000000000001" customHeight="1" x14ac:dyDescent="0.25">
      <c r="A18" s="18"/>
      <c r="C18" s="25"/>
      <c r="D18" s="54" t="s">
        <v>58</v>
      </c>
      <c r="E18" s="56" t="s">
        <v>59</v>
      </c>
      <c r="F18" s="54"/>
      <c r="G18" s="27"/>
      <c r="H18" s="27"/>
      <c r="I18" s="25"/>
      <c r="J18" s="25"/>
      <c r="K18" s="25"/>
    </row>
    <row r="19" spans="1:11" ht="20.100000000000001" customHeight="1" x14ac:dyDescent="0.25">
      <c r="A19" s="18"/>
      <c r="C19" s="25"/>
      <c r="D19" s="74" t="s">
        <v>82</v>
      </c>
      <c r="E19" s="25"/>
      <c r="F19" s="25"/>
      <c r="G19" s="25"/>
      <c r="H19" s="25"/>
      <c r="I19" s="25"/>
      <c r="J19" s="25"/>
      <c r="K19" s="25"/>
    </row>
    <row r="20" spans="1:11" ht="20.100000000000001" customHeight="1" x14ac:dyDescent="0.25">
      <c r="C20" s="25"/>
      <c r="D20" s="46" t="s">
        <v>45</v>
      </c>
      <c r="E20" s="40"/>
      <c r="F20" s="39"/>
      <c r="G20" s="25"/>
      <c r="H20" s="25"/>
      <c r="I20" s="25"/>
      <c r="J20" s="25"/>
      <c r="K20" s="25"/>
    </row>
    <row r="21" spans="1:11" ht="20.100000000000001" customHeight="1" x14ac:dyDescent="0.25">
      <c r="C21" s="25"/>
      <c r="D21" s="25" t="s">
        <v>60</v>
      </c>
      <c r="E21" s="30">
        <v>100</v>
      </c>
      <c r="F21" s="2" t="s">
        <v>61</v>
      </c>
      <c r="G21" s="25"/>
      <c r="H21" s="25"/>
      <c r="I21" s="25"/>
      <c r="J21" s="25"/>
      <c r="K21" s="25"/>
    </row>
    <row r="22" spans="1:11" ht="20.100000000000001" customHeight="1" x14ac:dyDescent="0.25">
      <c r="C22" s="25"/>
      <c r="D22" s="1" t="s">
        <v>17</v>
      </c>
      <c r="E22" s="55">
        <f>(E11+E10)*E16/E21</f>
        <v>3.8069999999999999</v>
      </c>
      <c r="F22" s="2" t="s">
        <v>14</v>
      </c>
      <c r="G22" s="25"/>
      <c r="H22" s="25"/>
      <c r="I22" s="25"/>
      <c r="J22" s="25"/>
      <c r="K22" s="25"/>
    </row>
    <row r="23" spans="1:11" ht="20.100000000000001" customHeight="1" x14ac:dyDescent="0.25">
      <c r="C23" s="25"/>
      <c r="D23" s="1" t="s">
        <v>16</v>
      </c>
      <c r="E23" s="55">
        <f>E11*E16/E21</f>
        <v>3.8969999999999998</v>
      </c>
      <c r="F23" s="2" t="s">
        <v>14</v>
      </c>
      <c r="G23" s="25"/>
      <c r="H23" s="25"/>
      <c r="I23" s="25"/>
      <c r="J23" s="25"/>
      <c r="K23" s="25"/>
    </row>
    <row r="24" spans="1:11" ht="20.100000000000001" customHeight="1" x14ac:dyDescent="0.25">
      <c r="C24" s="25"/>
      <c r="D24" s="25"/>
      <c r="E24" s="1"/>
      <c r="F24" s="25"/>
      <c r="G24" s="25"/>
      <c r="H24" s="25"/>
      <c r="I24" s="25"/>
      <c r="J24" s="25"/>
      <c r="K24" s="25"/>
    </row>
    <row r="25" spans="1:11" ht="20.100000000000001" customHeight="1" x14ac:dyDescent="0.25">
      <c r="C25" s="25"/>
      <c r="D25" s="46" t="s">
        <v>46</v>
      </c>
      <c r="E25" s="40"/>
      <c r="F25" s="39"/>
      <c r="G25" s="25"/>
      <c r="H25" s="25"/>
      <c r="I25" s="25"/>
      <c r="J25" s="25"/>
      <c r="K25" s="25"/>
    </row>
    <row r="26" spans="1:11" ht="20.100000000000001" customHeight="1" x14ac:dyDescent="0.25">
      <c r="C26" s="25"/>
      <c r="D26" s="25" t="s">
        <v>62</v>
      </c>
      <c r="E26" s="30">
        <v>10</v>
      </c>
      <c r="F26" s="2" t="s">
        <v>61</v>
      </c>
      <c r="G26" s="25"/>
      <c r="H26" s="25"/>
      <c r="I26" s="25"/>
      <c r="J26" s="25"/>
      <c r="K26" s="25"/>
    </row>
    <row r="27" spans="1:11" ht="20.100000000000001" customHeight="1" x14ac:dyDescent="0.25">
      <c r="C27" s="25"/>
      <c r="D27" s="1" t="s">
        <v>18</v>
      </c>
      <c r="E27" s="55">
        <f>(E11+E10)*E17/E26</f>
        <v>4.2300000000000004</v>
      </c>
      <c r="F27" s="2" t="s">
        <v>52</v>
      </c>
      <c r="G27" s="27"/>
      <c r="H27" s="27"/>
      <c r="I27" s="25"/>
      <c r="J27" s="25"/>
      <c r="K27" s="25"/>
    </row>
    <row r="28" spans="1:11" ht="20.100000000000001" customHeight="1" x14ac:dyDescent="0.3">
      <c r="C28" s="25"/>
      <c r="D28" s="1" t="s">
        <v>19</v>
      </c>
      <c r="E28" s="55">
        <f>E11*E17/E26</f>
        <v>4.33</v>
      </c>
      <c r="F28" s="2" t="s">
        <v>52</v>
      </c>
      <c r="G28" s="31"/>
      <c r="H28" s="31"/>
      <c r="I28" s="25"/>
      <c r="J28" s="25"/>
      <c r="K28" s="25"/>
    </row>
    <row r="29" spans="1:11" ht="20.100000000000001" customHeight="1" x14ac:dyDescent="0.25">
      <c r="C29" s="25"/>
      <c r="D29" s="25"/>
      <c r="E29" s="25"/>
      <c r="F29" s="25"/>
      <c r="G29" s="25"/>
      <c r="H29" s="25"/>
      <c r="I29" s="25"/>
      <c r="J29" s="25"/>
      <c r="K29" s="25"/>
    </row>
    <row r="30" spans="1:11" ht="20.100000000000001" customHeight="1" x14ac:dyDescent="0.25">
      <c r="C30" s="25"/>
      <c r="D30" s="46" t="s">
        <v>81</v>
      </c>
      <c r="E30" s="40"/>
      <c r="F30" s="39"/>
      <c r="G30" s="25"/>
      <c r="H30" s="25"/>
      <c r="I30" s="25"/>
      <c r="J30" s="25"/>
      <c r="K30" s="25"/>
    </row>
    <row r="31" spans="1:11" ht="20.100000000000001" customHeight="1" x14ac:dyDescent="0.25">
      <c r="C31" s="25"/>
      <c r="D31" s="25" t="s">
        <v>64</v>
      </c>
      <c r="E31" s="30">
        <v>50</v>
      </c>
      <c r="F31" s="2" t="s">
        <v>61</v>
      </c>
      <c r="G31" s="25"/>
      <c r="H31" s="25"/>
      <c r="I31" s="25"/>
      <c r="J31" s="25"/>
      <c r="K31" s="25"/>
    </row>
    <row r="32" spans="1:11" ht="20.100000000000001" customHeight="1" x14ac:dyDescent="0.25">
      <c r="C32" s="25"/>
      <c r="D32" s="1" t="s">
        <v>63</v>
      </c>
      <c r="E32" s="55">
        <f>(E11+E10)/E31</f>
        <v>8.4600000000000009</v>
      </c>
      <c r="F32" s="2" t="s">
        <v>52</v>
      </c>
      <c r="G32" s="27"/>
      <c r="H32" s="27"/>
      <c r="I32" s="25"/>
      <c r="J32" s="25"/>
      <c r="K32" s="25"/>
    </row>
    <row r="33" spans="3:11" ht="20.100000000000001" customHeight="1" x14ac:dyDescent="0.3">
      <c r="C33" s="25"/>
      <c r="D33" s="1" t="s">
        <v>65</v>
      </c>
      <c r="E33" s="55">
        <f>E11/E31</f>
        <v>8.66</v>
      </c>
      <c r="F33" s="2" t="s">
        <v>52</v>
      </c>
      <c r="G33" s="31"/>
      <c r="H33" s="31"/>
      <c r="I33" s="25"/>
      <c r="J33" s="25"/>
      <c r="K33" s="25"/>
    </row>
    <row r="34" spans="3:11" ht="20.100000000000001" customHeight="1" x14ac:dyDescent="0.25">
      <c r="C34" s="25"/>
      <c r="D34" s="25"/>
      <c r="E34" s="25"/>
      <c r="F34" s="25"/>
      <c r="G34" s="25"/>
      <c r="H34" s="25"/>
      <c r="I34" s="25"/>
      <c r="J34" s="25"/>
      <c r="K34" s="25"/>
    </row>
    <row r="35" spans="3:11" ht="20.100000000000001" customHeight="1" x14ac:dyDescent="0.25">
      <c r="C35" s="25"/>
      <c r="D35" s="25"/>
      <c r="E35" s="25"/>
      <c r="F35" s="25"/>
      <c r="G35" s="25"/>
      <c r="H35" s="25"/>
      <c r="I35" s="25"/>
      <c r="J35" s="25"/>
      <c r="K35" s="25"/>
    </row>
    <row r="36" spans="3:11" ht="20.100000000000001" customHeight="1" x14ac:dyDescent="0.25">
      <c r="C36" s="25"/>
      <c r="D36" s="6" t="s">
        <v>49</v>
      </c>
      <c r="E36" s="27"/>
      <c r="F36" s="27"/>
      <c r="G36" s="27"/>
      <c r="H36" s="25"/>
      <c r="I36" s="25"/>
      <c r="J36" s="25"/>
      <c r="K36" s="25"/>
    </row>
    <row r="37" spans="3:11" ht="20.100000000000001" customHeight="1" x14ac:dyDescent="0.3">
      <c r="C37" s="25"/>
      <c r="D37" s="30"/>
      <c r="E37" s="31"/>
      <c r="F37" s="31"/>
      <c r="G37" s="31"/>
      <c r="H37" s="29"/>
      <c r="I37" s="25"/>
      <c r="J37" s="25"/>
      <c r="K37" s="25"/>
    </row>
    <row r="38" spans="3:11" ht="20.100000000000001" customHeight="1" x14ac:dyDescent="0.25">
      <c r="C38" s="25"/>
      <c r="D38" s="42" t="s">
        <v>5</v>
      </c>
      <c r="E38" s="42"/>
      <c r="F38" s="128" t="s">
        <v>80</v>
      </c>
      <c r="G38" s="128" t="e">
        <f>#REF!</f>
        <v>#REF!</v>
      </c>
      <c r="H38" s="41"/>
      <c r="I38" s="128" t="e">
        <f>#REF!</f>
        <v>#REF!</v>
      </c>
      <c r="J38" s="41"/>
      <c r="K38" s="25"/>
    </row>
    <row r="39" spans="3:11" ht="20.100000000000001" customHeight="1" x14ac:dyDescent="0.25">
      <c r="C39" s="25"/>
      <c r="D39" s="1" t="s">
        <v>24</v>
      </c>
      <c r="E39" s="45" t="e">
        <f>#REF!</f>
        <v>#REF!</v>
      </c>
      <c r="F39" s="60" t="s">
        <v>167</v>
      </c>
      <c r="G39" s="75">
        <v>0.2</v>
      </c>
      <c r="H39" s="45" t="e">
        <f>E39*G39</f>
        <v>#REF!</v>
      </c>
      <c r="I39" s="75">
        <v>0.8</v>
      </c>
      <c r="J39" s="45" t="e">
        <f>E39*I39</f>
        <v>#REF!</v>
      </c>
      <c r="K39" s="25"/>
    </row>
    <row r="40" spans="3:11" ht="20.100000000000001" customHeight="1" x14ac:dyDescent="0.25">
      <c r="C40" s="25"/>
      <c r="D40" s="1" t="s">
        <v>25</v>
      </c>
      <c r="E40" s="45" t="e">
        <f>#REF!</f>
        <v>#REF!</v>
      </c>
      <c r="F40" s="60" t="s">
        <v>168</v>
      </c>
      <c r="G40" s="75">
        <v>1</v>
      </c>
      <c r="H40" s="45" t="e">
        <f t="shared" ref="H40:H52" si="0">E40*G40</f>
        <v>#REF!</v>
      </c>
      <c r="I40" s="75">
        <v>0</v>
      </c>
      <c r="J40" s="45" t="e">
        <f t="shared" ref="J40:J52" si="1">E40*I40</f>
        <v>#REF!</v>
      </c>
      <c r="K40" s="25"/>
    </row>
    <row r="41" spans="3:11" ht="20.100000000000001" customHeight="1" x14ac:dyDescent="0.25">
      <c r="C41" s="25"/>
      <c r="D41" s="1" t="s">
        <v>26</v>
      </c>
      <c r="E41" s="45" t="e">
        <f>#REF!</f>
        <v>#REF!</v>
      </c>
      <c r="F41" s="60" t="s">
        <v>169</v>
      </c>
      <c r="G41" s="75">
        <v>1</v>
      </c>
      <c r="H41" s="45" t="e">
        <f t="shared" si="0"/>
        <v>#REF!</v>
      </c>
      <c r="I41" s="75">
        <v>0</v>
      </c>
      <c r="J41" s="45" t="e">
        <f t="shared" si="1"/>
        <v>#REF!</v>
      </c>
      <c r="K41" s="25"/>
    </row>
    <row r="42" spans="3:11" ht="20.100000000000001" customHeight="1" x14ac:dyDescent="0.25">
      <c r="C42" s="25"/>
      <c r="D42" s="1" t="s">
        <v>27</v>
      </c>
      <c r="E42" s="45" t="e">
        <f>#REF!</f>
        <v>#REF!</v>
      </c>
      <c r="F42" s="60" t="s">
        <v>167</v>
      </c>
      <c r="G42" s="75">
        <v>0.2</v>
      </c>
      <c r="H42" s="45" t="e">
        <f t="shared" si="0"/>
        <v>#REF!</v>
      </c>
      <c r="I42" s="75">
        <v>0.8</v>
      </c>
      <c r="J42" s="45" t="e">
        <f t="shared" si="1"/>
        <v>#REF!</v>
      </c>
      <c r="K42" s="25"/>
    </row>
    <row r="43" spans="3:11" ht="20.100000000000001" customHeight="1" x14ac:dyDescent="0.25">
      <c r="C43" s="25"/>
      <c r="D43" s="1" t="s">
        <v>28</v>
      </c>
      <c r="E43" s="45">
        <v>3</v>
      </c>
      <c r="F43" s="60" t="s">
        <v>170</v>
      </c>
      <c r="G43" s="75">
        <v>0.5</v>
      </c>
      <c r="H43" s="45">
        <f t="shared" si="0"/>
        <v>1.5</v>
      </c>
      <c r="I43" s="75">
        <v>0.5</v>
      </c>
      <c r="J43" s="45">
        <f t="shared" si="1"/>
        <v>1.5</v>
      </c>
      <c r="K43" s="25"/>
    </row>
    <row r="44" spans="3:11" ht="20.100000000000001" customHeight="1" x14ac:dyDescent="0.25">
      <c r="C44" s="25"/>
      <c r="D44" s="1" t="s">
        <v>29</v>
      </c>
      <c r="E44" s="45">
        <v>7</v>
      </c>
      <c r="F44" s="60" t="s">
        <v>170</v>
      </c>
      <c r="G44" s="75">
        <v>0.5</v>
      </c>
      <c r="H44" s="45">
        <f t="shared" si="0"/>
        <v>3.5</v>
      </c>
      <c r="I44" s="75">
        <v>0.5</v>
      </c>
      <c r="J44" s="45">
        <f t="shared" si="1"/>
        <v>3.5</v>
      </c>
      <c r="K44" s="25"/>
    </row>
    <row r="45" spans="3:11" ht="20.100000000000001" customHeight="1" x14ac:dyDescent="0.25">
      <c r="C45" s="25"/>
      <c r="D45" s="1" t="s">
        <v>30</v>
      </c>
      <c r="E45" s="45">
        <v>123</v>
      </c>
      <c r="F45" s="60" t="s">
        <v>171</v>
      </c>
      <c r="G45" s="75">
        <v>0</v>
      </c>
      <c r="H45" s="45">
        <f t="shared" si="0"/>
        <v>0</v>
      </c>
      <c r="I45" s="75">
        <v>1</v>
      </c>
      <c r="J45" s="45">
        <f t="shared" si="1"/>
        <v>123</v>
      </c>
      <c r="K45" s="25"/>
    </row>
    <row r="46" spans="3:11" ht="20.100000000000001" customHeight="1" x14ac:dyDescent="0.25">
      <c r="C46" s="25"/>
      <c r="D46" s="1" t="s">
        <v>105</v>
      </c>
      <c r="E46" s="45" t="e">
        <f>#REF!</f>
        <v>#REF!</v>
      </c>
      <c r="F46" s="60" t="s">
        <v>172</v>
      </c>
      <c r="G46" s="75">
        <v>0.6</v>
      </c>
      <c r="H46" s="45" t="e">
        <f t="shared" si="0"/>
        <v>#REF!</v>
      </c>
      <c r="I46" s="75">
        <v>0.4</v>
      </c>
      <c r="J46" s="45" t="e">
        <f t="shared" si="1"/>
        <v>#REF!</v>
      </c>
      <c r="K46" s="25"/>
    </row>
    <row r="47" spans="3:11" ht="20.100000000000001" customHeight="1" x14ac:dyDescent="0.25">
      <c r="C47" s="25"/>
      <c r="D47" s="1" t="s">
        <v>106</v>
      </c>
      <c r="E47" s="45" t="e">
        <f>#REF!</f>
        <v>#REF!</v>
      </c>
      <c r="F47" s="60"/>
      <c r="G47" s="75"/>
      <c r="H47" s="45" t="e">
        <f t="shared" si="0"/>
        <v>#REF!</v>
      </c>
      <c r="I47" s="75"/>
      <c r="J47" s="45" t="e">
        <f t="shared" si="1"/>
        <v>#REF!</v>
      </c>
      <c r="K47" s="25"/>
    </row>
    <row r="48" spans="3:11" ht="20.100000000000001" customHeight="1" x14ac:dyDescent="0.25">
      <c r="C48" s="25"/>
      <c r="D48" s="1" t="s">
        <v>31</v>
      </c>
      <c r="E48" s="45">
        <v>123</v>
      </c>
      <c r="F48" s="60" t="s">
        <v>170</v>
      </c>
      <c r="G48" s="75">
        <v>0.5</v>
      </c>
      <c r="H48" s="45">
        <f t="shared" si="0"/>
        <v>61.5</v>
      </c>
      <c r="I48" s="75">
        <v>0.5</v>
      </c>
      <c r="J48" s="45">
        <f t="shared" si="1"/>
        <v>61.5</v>
      </c>
      <c r="K48" s="25"/>
    </row>
    <row r="49" spans="3:11" ht="20.100000000000001" customHeight="1" x14ac:dyDescent="0.25">
      <c r="C49" s="25"/>
      <c r="D49" s="1" t="s">
        <v>32</v>
      </c>
      <c r="E49" s="45">
        <v>1054</v>
      </c>
      <c r="F49" s="60"/>
      <c r="G49" s="75"/>
      <c r="H49" s="45">
        <f t="shared" si="0"/>
        <v>0</v>
      </c>
      <c r="I49" s="75"/>
      <c r="J49" s="45">
        <f t="shared" si="1"/>
        <v>0</v>
      </c>
      <c r="K49" s="25"/>
    </row>
    <row r="50" spans="3:11" ht="20.100000000000001" customHeight="1" x14ac:dyDescent="0.25">
      <c r="C50" s="25"/>
      <c r="D50" s="1" t="s">
        <v>33</v>
      </c>
      <c r="E50" s="45">
        <v>600</v>
      </c>
      <c r="F50" s="60"/>
      <c r="G50" s="75"/>
      <c r="H50" s="45">
        <f t="shared" si="0"/>
        <v>0</v>
      </c>
      <c r="I50" s="75"/>
      <c r="J50" s="45">
        <f t="shared" si="1"/>
        <v>0</v>
      </c>
      <c r="K50" s="25"/>
    </row>
    <row r="51" spans="3:11" ht="20.100000000000001" customHeight="1" x14ac:dyDescent="0.25">
      <c r="C51" s="25"/>
      <c r="D51" s="1" t="s">
        <v>34</v>
      </c>
      <c r="E51" s="45">
        <v>82</v>
      </c>
      <c r="F51" s="60"/>
      <c r="G51" s="75"/>
      <c r="H51" s="45">
        <f t="shared" si="0"/>
        <v>0</v>
      </c>
      <c r="I51" s="75"/>
      <c r="J51" s="45">
        <f t="shared" si="1"/>
        <v>0</v>
      </c>
      <c r="K51" s="25"/>
    </row>
    <row r="52" spans="3:11" ht="20.100000000000001" customHeight="1" x14ac:dyDescent="0.25">
      <c r="C52" s="25"/>
      <c r="D52" s="1" t="s">
        <v>35</v>
      </c>
      <c r="E52" s="45" t="e">
        <f>#REF!</f>
        <v>#REF!</v>
      </c>
      <c r="F52" s="60"/>
      <c r="G52" s="75"/>
      <c r="H52" s="45" t="e">
        <f t="shared" si="0"/>
        <v>#REF!</v>
      </c>
      <c r="I52" s="75"/>
      <c r="J52" s="45" t="e">
        <f t="shared" si="1"/>
        <v>#REF!</v>
      </c>
      <c r="K52" s="25"/>
    </row>
    <row r="53" spans="3:11" ht="20.100000000000001" customHeight="1" x14ac:dyDescent="0.3">
      <c r="C53" s="25"/>
      <c r="D53" s="44" t="s">
        <v>7</v>
      </c>
      <c r="E53" s="26" t="e">
        <f>SUM(E39:E52)</f>
        <v>#REF!</v>
      </c>
      <c r="F53" s="28"/>
      <c r="G53" s="25"/>
      <c r="H53" s="26" t="e">
        <f>SUM(H39:H52)</f>
        <v>#REF!</v>
      </c>
      <c r="I53" s="25"/>
      <c r="J53" s="26" t="e">
        <f>SUM(J39:J52)</f>
        <v>#REF!</v>
      </c>
      <c r="K53" s="25"/>
    </row>
    <row r="54" spans="3:11" ht="20.100000000000001" customHeight="1" x14ac:dyDescent="0.25">
      <c r="C54" s="25"/>
      <c r="D54" s="25"/>
      <c r="E54" s="25"/>
      <c r="F54" s="25"/>
      <c r="G54" s="25"/>
      <c r="H54" s="25"/>
      <c r="I54" s="25"/>
      <c r="J54" s="25"/>
      <c r="K54" s="25"/>
    </row>
    <row r="55" spans="3:11" ht="20.100000000000001" customHeight="1" x14ac:dyDescent="0.25">
      <c r="C55" s="25"/>
      <c r="D55" s="46" t="s">
        <v>51</v>
      </c>
      <c r="E55" s="39"/>
      <c r="F55" s="39"/>
      <c r="G55" s="25"/>
      <c r="H55" s="25"/>
      <c r="I55" s="25"/>
      <c r="J55" s="25"/>
      <c r="K55" s="25"/>
    </row>
    <row r="56" spans="3:11" ht="20.100000000000001" customHeight="1" x14ac:dyDescent="0.35">
      <c r="C56" s="25"/>
      <c r="D56" s="1" t="s">
        <v>54</v>
      </c>
      <c r="E56" s="45">
        <v>300</v>
      </c>
      <c r="F56" s="28" t="s">
        <v>20</v>
      </c>
      <c r="G56" s="25"/>
      <c r="H56" s="25"/>
      <c r="I56" s="25"/>
      <c r="J56" s="25"/>
      <c r="K56" s="25"/>
    </row>
    <row r="57" spans="3:11" ht="20.100000000000001" customHeight="1" x14ac:dyDescent="0.35">
      <c r="C57" s="25"/>
      <c r="D57" s="1" t="s">
        <v>50</v>
      </c>
      <c r="E57" s="45">
        <v>500</v>
      </c>
      <c r="F57" s="32" t="s">
        <v>20</v>
      </c>
      <c r="G57" s="25"/>
      <c r="H57" s="25"/>
      <c r="I57" s="25"/>
      <c r="J57" s="25"/>
      <c r="K57" s="25"/>
    </row>
    <row r="58" spans="3:11" ht="20.100000000000001" customHeight="1" x14ac:dyDescent="0.35">
      <c r="C58" s="25"/>
      <c r="D58" s="1" t="s">
        <v>55</v>
      </c>
      <c r="E58" s="45">
        <v>20</v>
      </c>
      <c r="F58" s="32" t="s">
        <v>20</v>
      </c>
      <c r="G58" s="25"/>
      <c r="H58" s="25"/>
      <c r="I58" s="25"/>
      <c r="J58" s="25"/>
      <c r="K58" s="25"/>
    </row>
    <row r="59" spans="3:11" ht="20.100000000000001" customHeight="1" x14ac:dyDescent="0.25">
      <c r="C59" s="25"/>
      <c r="D59" s="25"/>
      <c r="E59" s="25"/>
      <c r="F59" s="25"/>
      <c r="G59" s="25"/>
      <c r="H59" s="25"/>
      <c r="I59" s="25"/>
      <c r="J59" s="25"/>
      <c r="K59" s="25"/>
    </row>
    <row r="60" spans="3:11" ht="20.100000000000001" customHeight="1" x14ac:dyDescent="0.25">
      <c r="C60" s="25"/>
      <c r="D60" s="25"/>
      <c r="E60" s="25"/>
      <c r="F60" s="25"/>
      <c r="G60" s="25"/>
      <c r="H60" s="25"/>
      <c r="I60" s="25"/>
      <c r="J60" s="25"/>
      <c r="K60" s="25"/>
    </row>
    <row r="61" spans="3:11" ht="20.100000000000001" customHeight="1" x14ac:dyDescent="0.25">
      <c r="C61" s="25"/>
      <c r="D61" s="34" t="s">
        <v>8</v>
      </c>
      <c r="E61" s="34"/>
      <c r="F61" s="34"/>
      <c r="G61" s="35"/>
      <c r="H61" s="36"/>
      <c r="I61" s="35"/>
      <c r="J61" s="35"/>
      <c r="K61" s="25"/>
    </row>
    <row r="62" spans="3:11" ht="20.100000000000001" customHeight="1" x14ac:dyDescent="0.3">
      <c r="C62" s="25"/>
      <c r="D62" s="1" t="s">
        <v>6</v>
      </c>
      <c r="E62" s="45" t="e">
        <f>#REF!</f>
        <v>#REF!</v>
      </c>
      <c r="F62" s="2"/>
      <c r="G62" s="25"/>
      <c r="H62" s="31"/>
      <c r="I62" s="25"/>
      <c r="J62" s="25"/>
      <c r="K62" s="25"/>
    </row>
    <row r="63" spans="3:11" ht="20.100000000000001" customHeight="1" x14ac:dyDescent="0.35">
      <c r="C63" s="25"/>
      <c r="D63" s="44" t="s">
        <v>9</v>
      </c>
      <c r="E63" s="26">
        <v>123</v>
      </c>
      <c r="F63" s="28" t="s">
        <v>20</v>
      </c>
      <c r="G63" s="25"/>
      <c r="H63" s="25"/>
      <c r="I63" s="25"/>
      <c r="J63" s="25"/>
      <c r="K63" s="25"/>
    </row>
    <row r="64" spans="3:11" ht="20.100000000000001" customHeight="1" x14ac:dyDescent="0.25">
      <c r="C64" s="25"/>
      <c r="D64" s="25"/>
      <c r="E64" s="25"/>
      <c r="F64" s="25"/>
      <c r="G64" s="25"/>
      <c r="H64" s="25"/>
      <c r="I64" s="25"/>
      <c r="J64" s="25"/>
      <c r="K64" s="25"/>
    </row>
    <row r="65" spans="3:11" ht="20.100000000000001" customHeight="1" x14ac:dyDescent="0.25">
      <c r="C65" s="25"/>
      <c r="D65" s="37" t="s">
        <v>10</v>
      </c>
      <c r="E65" s="37"/>
      <c r="F65" s="37"/>
      <c r="G65" s="38"/>
      <c r="H65" s="38"/>
      <c r="I65" s="38"/>
      <c r="J65" s="38"/>
      <c r="K65" s="25"/>
    </row>
    <row r="66" spans="3:11" ht="20.100000000000001" customHeight="1" x14ac:dyDescent="0.25">
      <c r="C66" s="25"/>
      <c r="D66" s="1" t="s">
        <v>36</v>
      </c>
      <c r="E66" s="45">
        <v>123</v>
      </c>
      <c r="F66" s="2"/>
      <c r="G66" s="25"/>
      <c r="H66" s="25"/>
      <c r="I66" s="25"/>
      <c r="J66" s="25"/>
      <c r="K66" s="25"/>
    </row>
    <row r="67" spans="3:11" ht="20.100000000000001" customHeight="1" x14ac:dyDescent="0.25">
      <c r="C67" s="25"/>
      <c r="D67" s="1" t="s">
        <v>37</v>
      </c>
      <c r="E67" s="45">
        <v>80</v>
      </c>
      <c r="F67" s="2"/>
      <c r="G67" s="25"/>
      <c r="H67" s="25"/>
      <c r="I67" s="25"/>
      <c r="J67" s="25"/>
      <c r="K67" s="25"/>
    </row>
    <row r="68" spans="3:11" ht="20.100000000000001" customHeight="1" x14ac:dyDescent="0.25">
      <c r="C68" s="25"/>
      <c r="D68" s="1" t="s">
        <v>38</v>
      </c>
      <c r="E68" s="45">
        <v>654</v>
      </c>
      <c r="F68" s="2"/>
      <c r="G68" s="25"/>
      <c r="H68" s="25"/>
      <c r="I68" s="25"/>
      <c r="J68" s="25"/>
      <c r="K68" s="25"/>
    </row>
    <row r="69" spans="3:11" ht="20.100000000000001" customHeight="1" x14ac:dyDescent="0.25">
      <c r="C69" s="25"/>
      <c r="D69" s="1" t="s">
        <v>39</v>
      </c>
      <c r="E69" s="45">
        <v>6</v>
      </c>
      <c r="F69" s="2"/>
      <c r="G69" s="25"/>
      <c r="H69" s="25"/>
      <c r="I69" s="25"/>
      <c r="J69" s="25"/>
      <c r="K69" s="25"/>
    </row>
    <row r="70" spans="3:11" ht="20.100000000000001" customHeight="1" x14ac:dyDescent="0.25">
      <c r="C70" s="25"/>
      <c r="D70" s="1" t="s">
        <v>40</v>
      </c>
      <c r="E70" s="45" t="e">
        <f>#REF!</f>
        <v>#REF!</v>
      </c>
      <c r="F70" s="2"/>
      <c r="G70" s="25"/>
      <c r="H70" s="25"/>
      <c r="I70" s="25"/>
      <c r="J70" s="25"/>
      <c r="K70" s="25"/>
    </row>
    <row r="71" spans="3:11" ht="20.100000000000001" customHeight="1" x14ac:dyDescent="0.25">
      <c r="C71" s="25"/>
      <c r="D71" s="1" t="s">
        <v>41</v>
      </c>
      <c r="E71" s="45" t="e">
        <f>#REF!</f>
        <v>#REF!</v>
      </c>
      <c r="F71" s="2"/>
      <c r="G71" s="25"/>
      <c r="H71" s="25"/>
      <c r="I71" s="25"/>
      <c r="J71" s="25"/>
      <c r="K71" s="25"/>
    </row>
    <row r="72" spans="3:11" ht="20.100000000000001" customHeight="1" x14ac:dyDescent="0.25">
      <c r="C72" s="25"/>
      <c r="D72" s="1" t="s">
        <v>42</v>
      </c>
      <c r="E72" s="45">
        <v>3</v>
      </c>
      <c r="F72" s="2"/>
      <c r="G72" s="25"/>
      <c r="H72" s="25"/>
      <c r="I72" s="25"/>
      <c r="J72" s="25"/>
      <c r="K72" s="25"/>
    </row>
    <row r="73" spans="3:11" ht="20.100000000000001" customHeight="1" x14ac:dyDescent="0.25">
      <c r="C73" s="25"/>
      <c r="D73" s="1" t="s">
        <v>43</v>
      </c>
      <c r="E73" s="45">
        <v>180</v>
      </c>
      <c r="F73" s="2"/>
      <c r="G73" s="25"/>
      <c r="H73" s="25"/>
      <c r="I73" s="25"/>
      <c r="J73" s="25"/>
      <c r="K73" s="25"/>
    </row>
    <row r="74" spans="3:11" ht="20.100000000000001" customHeight="1" x14ac:dyDescent="0.25">
      <c r="C74" s="25"/>
      <c r="D74" s="1" t="s">
        <v>6</v>
      </c>
      <c r="E74" s="45">
        <v>12</v>
      </c>
      <c r="F74" s="2"/>
      <c r="G74" s="25"/>
      <c r="H74" s="25"/>
      <c r="I74" s="25"/>
      <c r="J74" s="25"/>
      <c r="K74" s="25"/>
    </row>
    <row r="75" spans="3:11" ht="20.100000000000001" customHeight="1" x14ac:dyDescent="0.25">
      <c r="C75" s="25"/>
      <c r="D75" s="1" t="s">
        <v>6</v>
      </c>
      <c r="E75" s="45">
        <v>67</v>
      </c>
      <c r="F75" s="2"/>
      <c r="G75" s="25"/>
      <c r="H75" s="25"/>
      <c r="I75" s="25"/>
      <c r="J75" s="25"/>
      <c r="K75" s="25"/>
    </row>
    <row r="76" spans="3:11" ht="15.75" x14ac:dyDescent="0.25">
      <c r="C76" s="25"/>
      <c r="D76" s="1" t="s">
        <v>6</v>
      </c>
      <c r="E76" s="45">
        <v>123</v>
      </c>
      <c r="F76" s="2"/>
      <c r="G76" s="25"/>
      <c r="H76" s="25"/>
      <c r="I76" s="25"/>
      <c r="J76" s="25"/>
      <c r="K76" s="25"/>
    </row>
    <row r="77" spans="3:11" ht="15.75" x14ac:dyDescent="0.25">
      <c r="C77" s="25"/>
      <c r="D77" s="1" t="s">
        <v>6</v>
      </c>
      <c r="E77" s="45">
        <v>893</v>
      </c>
      <c r="F77" s="2"/>
      <c r="G77" s="25"/>
      <c r="H77" s="25"/>
      <c r="I77" s="25"/>
      <c r="J77" s="25"/>
      <c r="K77" s="25"/>
    </row>
    <row r="78" spans="3:11" ht="19.5" x14ac:dyDescent="0.35">
      <c r="C78" s="25"/>
      <c r="D78" s="44" t="s">
        <v>11</v>
      </c>
      <c r="E78" s="26">
        <v>123</v>
      </c>
      <c r="F78" s="28" t="s">
        <v>20</v>
      </c>
      <c r="G78" s="25"/>
      <c r="H78" s="25"/>
      <c r="I78" s="25"/>
      <c r="J78" s="25"/>
      <c r="K78" s="25"/>
    </row>
    <row r="79" spans="3:11" x14ac:dyDescent="0.25">
      <c r="C79" s="25"/>
      <c r="D79" s="25"/>
      <c r="E79" s="25"/>
      <c r="F79" s="25"/>
      <c r="G79" s="25"/>
      <c r="H79" s="25"/>
      <c r="I79" s="25"/>
      <c r="J79" s="25"/>
      <c r="K79" s="25"/>
    </row>
    <row r="80" spans="3:11" x14ac:dyDescent="0.25">
      <c r="C80" s="25"/>
      <c r="D80" s="25"/>
      <c r="E80" s="25"/>
      <c r="F80" s="25"/>
      <c r="G80" s="25"/>
      <c r="H80" s="25"/>
      <c r="I80" s="25"/>
      <c r="J80" s="25"/>
      <c r="K80" s="25"/>
    </row>
    <row r="81" spans="3:11" x14ac:dyDescent="0.25">
      <c r="C81" s="25"/>
      <c r="D81" s="25"/>
      <c r="E81" s="25"/>
      <c r="F81" s="25"/>
      <c r="G81" s="25"/>
      <c r="H81" s="25"/>
      <c r="I81" s="25"/>
      <c r="J81" s="25"/>
      <c r="K81" s="25"/>
    </row>
    <row r="82" spans="3:11" ht="23.25" x14ac:dyDescent="0.25">
      <c r="C82" s="25"/>
      <c r="D82" s="43" t="s">
        <v>12</v>
      </c>
      <c r="E82" s="43"/>
      <c r="F82" s="43"/>
      <c r="G82" s="13"/>
      <c r="H82" s="13"/>
      <c r="I82" s="13"/>
      <c r="J82" s="13"/>
      <c r="K82" s="25"/>
    </row>
    <row r="83" spans="3:11" ht="15.75" x14ac:dyDescent="0.25">
      <c r="C83" s="25"/>
      <c r="D83" s="1" t="s">
        <v>23</v>
      </c>
      <c r="E83" s="45">
        <v>123</v>
      </c>
      <c r="F83" s="2"/>
      <c r="G83" s="25"/>
      <c r="H83" s="25"/>
      <c r="I83" s="25"/>
      <c r="J83" s="25"/>
      <c r="K83" s="25"/>
    </row>
    <row r="84" spans="3:11" ht="20.25" x14ac:dyDescent="0.35">
      <c r="C84" s="25"/>
      <c r="D84" s="44" t="s">
        <v>53</v>
      </c>
      <c r="E84" s="26">
        <v>123</v>
      </c>
      <c r="F84" s="28" t="s">
        <v>20</v>
      </c>
      <c r="G84" s="25"/>
      <c r="H84" s="25"/>
      <c r="I84" s="25"/>
      <c r="J84" s="25"/>
      <c r="K84" s="25"/>
    </row>
    <row r="85" spans="3:11" x14ac:dyDescent="0.25">
      <c r="C85" s="25"/>
      <c r="D85" s="25"/>
      <c r="E85" s="25"/>
      <c r="F85" s="25"/>
      <c r="G85" s="25"/>
      <c r="H85" s="25"/>
      <c r="I85" s="25"/>
      <c r="J85" s="25"/>
      <c r="K85" s="25"/>
    </row>
    <row r="86" spans="3:11" x14ac:dyDescent="0.25">
      <c r="C86" s="25"/>
      <c r="D86" s="25"/>
      <c r="E86" s="25"/>
      <c r="F86" s="25"/>
      <c r="G86" s="25"/>
      <c r="H86" s="25"/>
      <c r="I86" s="25"/>
      <c r="J86" s="25"/>
      <c r="K86" s="25"/>
    </row>
    <row r="87" spans="3:11" x14ac:dyDescent="0.25">
      <c r="C87" s="25"/>
      <c r="D87" s="25"/>
      <c r="E87" s="25"/>
      <c r="F87" s="25"/>
      <c r="G87" s="25"/>
      <c r="H87" s="25"/>
      <c r="I87" s="25"/>
      <c r="J87" s="25"/>
      <c r="K87" s="2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5447-7172-48EB-B2CF-AFAC4A9AE8CE}">
  <sheetPr>
    <pageSetUpPr autoPageBreaks="0"/>
  </sheetPr>
  <dimension ref="A1:AA115"/>
  <sheetViews>
    <sheetView showGridLines="0" topLeftCell="A2" zoomScaleNormal="100" workbookViewId="0">
      <selection activeCell="E21" sqref="E21"/>
    </sheetView>
  </sheetViews>
  <sheetFormatPr defaultColWidth="9.140625" defaultRowHeight="15.75" x14ac:dyDescent="0.25"/>
  <cols>
    <col min="1" max="1" width="30.7109375" style="17" customWidth="1"/>
    <col min="2" max="2" width="4.7109375" style="7" customWidth="1"/>
    <col min="3" max="3" width="4.7109375" style="3" customWidth="1"/>
    <col min="4" max="4" width="60.7109375" style="3" customWidth="1"/>
    <col min="5" max="5" width="50.7109375" style="3" customWidth="1"/>
    <col min="6" max="11" width="28.7109375" style="3" customWidth="1"/>
    <col min="12" max="25" width="28.7109375" style="7" customWidth="1"/>
    <col min="26" max="27" width="9.140625" style="7"/>
    <col min="28" max="16384" width="9.140625" style="3"/>
  </cols>
  <sheetData>
    <row r="1" spans="1:24" s="7" customFormat="1" ht="30" customHeight="1" x14ac:dyDescent="0.35">
      <c r="A1" s="97" t="e" vm="1">
        <v>#VALUE!</v>
      </c>
      <c r="C1" s="12" t="s">
        <v>162</v>
      </c>
    </row>
    <row r="2" spans="1:24" s="7" customFormat="1" ht="20.100000000000001" customHeight="1" x14ac:dyDescent="0.25">
      <c r="A2" s="9"/>
      <c r="C2" s="9"/>
      <c r="D2" s="9"/>
      <c r="E2" s="9"/>
      <c r="F2" s="9"/>
      <c r="G2" s="9"/>
      <c r="H2" s="9"/>
      <c r="I2" s="9"/>
      <c r="J2" s="9"/>
    </row>
    <row r="3" spans="1:24" ht="20.100000000000001" customHeight="1" x14ac:dyDescent="0.25">
      <c r="A3" s="18" t="str">
        <f>HYPERLINK("#'Home'!A1", "Home")</f>
        <v>Home</v>
      </c>
      <c r="C3" s="16"/>
      <c r="D3" s="16"/>
      <c r="E3" s="16"/>
      <c r="F3" s="16"/>
      <c r="G3" s="16"/>
      <c r="H3" s="16"/>
      <c r="I3" s="16"/>
      <c r="J3" s="16"/>
      <c r="K3" s="16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20.100000000000001" customHeight="1" x14ac:dyDescent="0.25">
      <c r="A4" s="18" t="str">
        <f>HYPERLINK("#'Results'!A1", "Results")</f>
        <v>Results</v>
      </c>
      <c r="C4" s="99"/>
      <c r="D4" s="99"/>
      <c r="E4" s="99"/>
      <c r="F4" s="99"/>
      <c r="G4" s="99"/>
      <c r="H4" s="99"/>
      <c r="I4" s="99"/>
      <c r="J4" s="99"/>
      <c r="K4" s="99"/>
    </row>
    <row r="5" spans="1:24" ht="20.100000000000001" customHeight="1" x14ac:dyDescent="0.25">
      <c r="D5" s="6" t="s">
        <v>76</v>
      </c>
      <c r="N5" s="68"/>
    </row>
    <row r="6" spans="1:24" ht="20.100000000000001" customHeight="1" x14ac:dyDescent="0.25">
      <c r="A6" s="21" t="s">
        <v>3</v>
      </c>
      <c r="D6" s="15"/>
      <c r="N6" s="69"/>
    </row>
    <row r="7" spans="1:24" ht="20.100000000000001" customHeight="1" x14ac:dyDescent="0.25">
      <c r="A7" s="22" t="str">
        <f>HYPERLINK("#'Input - Site'!A1", "Site")</f>
        <v>Site</v>
      </c>
      <c r="D7" s="1" t="s">
        <v>68</v>
      </c>
      <c r="E7" s="60" t="s">
        <v>67</v>
      </c>
      <c r="F7" s="2"/>
    </row>
    <row r="8" spans="1:24" ht="20.100000000000001" customHeight="1" x14ac:dyDescent="0.25">
      <c r="A8" s="18" t="str">
        <f>HYPERLINK("#'Input - MMS - Feedlot'!A1", "MMS - Feedlot")</f>
        <v>MMS - Feedlot</v>
      </c>
      <c r="D8" s="10" t="s">
        <v>143</v>
      </c>
      <c r="E8" s="60" t="s">
        <v>144</v>
      </c>
    </row>
    <row r="9" spans="1:24" ht="20.100000000000001" customHeight="1" x14ac:dyDescent="0.25">
      <c r="A9" s="18"/>
      <c r="N9" s="70"/>
    </row>
    <row r="10" spans="1:24" ht="20.100000000000001" customHeight="1" x14ac:dyDescent="0.25">
      <c r="A10" s="20" t="s">
        <v>147</v>
      </c>
      <c r="D10" s="124" t="s">
        <v>161</v>
      </c>
      <c r="E10" s="122"/>
      <c r="F10" s="125"/>
      <c r="G10" s="119"/>
      <c r="N10" s="70"/>
    </row>
    <row r="11" spans="1:24" ht="20.100000000000001" customHeight="1" x14ac:dyDescent="0.25">
      <c r="A11" s="18" t="str">
        <f>HYPERLINK("#'Calcs - CH4 MMS Feedlot'!A1", "MMS Methane")</f>
        <v>MMS Methane</v>
      </c>
      <c r="N11" s="71"/>
    </row>
    <row r="12" spans="1:24" ht="20.100000000000001" customHeight="1" x14ac:dyDescent="0.25">
      <c r="A12" s="18"/>
      <c r="D12" s="10" t="s">
        <v>173</v>
      </c>
      <c r="E12" s="93">
        <v>45292</v>
      </c>
      <c r="F12" s="2" t="s">
        <v>141</v>
      </c>
    </row>
    <row r="13" spans="1:24" ht="20.100000000000001" customHeight="1" x14ac:dyDescent="0.25">
      <c r="A13" s="19" t="s">
        <v>4</v>
      </c>
      <c r="D13" s="10" t="s">
        <v>174</v>
      </c>
      <c r="E13" s="100">
        <f>DATE(YEAR(E12)+1,MONTH(E12),DAY(E12))-1</f>
        <v>45657</v>
      </c>
      <c r="F13" s="2" t="s">
        <v>78</v>
      </c>
      <c r="N13" s="65"/>
      <c r="O13" s="65"/>
    </row>
    <row r="14" spans="1:24" ht="20.100000000000001" customHeight="1" x14ac:dyDescent="0.25">
      <c r="A14" s="18" t="str">
        <f>HYPERLINK("#'Constants - Common'!A1", "Constants - Common")</f>
        <v>Constants - Common</v>
      </c>
      <c r="N14" s="65"/>
      <c r="O14" s="65"/>
    </row>
    <row r="15" spans="1:24" ht="20.100000000000001" customHeight="1" x14ac:dyDescent="0.25">
      <c r="A15" s="18" t="str">
        <f>HYPERLINK("#'Constants - Livestock'!A1", "Constants - Livestock")</f>
        <v>Constants - Livestock</v>
      </c>
      <c r="N15" s="65"/>
      <c r="O15" s="65"/>
    </row>
    <row r="16" spans="1:24" ht="20.100000000000001" customHeight="1" x14ac:dyDescent="0.25">
      <c r="A16" s="18" t="str">
        <f>HYPERLINK("#'Acknowledgements'!A1", "Acknowledgements")</f>
        <v>Acknowledgements</v>
      </c>
      <c r="D16" s="6" t="s">
        <v>75</v>
      </c>
      <c r="N16" s="65"/>
      <c r="O16" s="65"/>
    </row>
    <row r="17" spans="1:25" ht="20.100000000000001" customHeight="1" x14ac:dyDescent="0.25">
      <c r="A17" s="96"/>
    </row>
    <row r="18" spans="1:25" ht="20.100000000000001" customHeight="1" x14ac:dyDescent="0.25">
      <c r="A18" s="18"/>
      <c r="D18" s="126" t="s">
        <v>77</v>
      </c>
      <c r="E18" s="121"/>
      <c r="F18" s="121"/>
      <c r="G18" s="117"/>
    </row>
    <row r="19" spans="1:25" ht="20.100000000000001" customHeight="1" x14ac:dyDescent="0.25">
      <c r="A19"/>
      <c r="D19" s="123" t="s">
        <v>142</v>
      </c>
      <c r="E19" s="120"/>
      <c r="F19" s="120"/>
      <c r="G19" s="118"/>
      <c r="N19" s="68"/>
    </row>
    <row r="20" spans="1:25" ht="20.100000000000001" customHeight="1" x14ac:dyDescent="0.25">
      <c r="A20"/>
      <c r="D20" s="1"/>
      <c r="E20" s="58"/>
      <c r="F20" s="2"/>
      <c r="N20" s="69"/>
    </row>
    <row r="21" spans="1:25" ht="20.100000000000001" customHeight="1" x14ac:dyDescent="0.25">
      <c r="A21"/>
      <c r="D21" s="1" t="s">
        <v>69</v>
      </c>
      <c r="E21" s="67" t="s">
        <v>210</v>
      </c>
      <c r="F21" s="2" t="s">
        <v>72</v>
      </c>
    </row>
    <row r="22" spans="1:25" ht="20.100000000000001" customHeight="1" x14ac:dyDescent="0.25">
      <c r="A22"/>
      <c r="D22" s="1" t="s">
        <v>94</v>
      </c>
      <c r="E22" s="67" t="s">
        <v>103</v>
      </c>
      <c r="F22" s="2" t="s">
        <v>72</v>
      </c>
      <c r="G22" s="1"/>
    </row>
    <row r="23" spans="1:25" ht="20.100000000000001" customHeight="1" x14ac:dyDescent="0.25">
      <c r="A23"/>
      <c r="D23" s="1" t="s">
        <v>70</v>
      </c>
      <c r="E23" s="67" t="s">
        <v>166</v>
      </c>
      <c r="F23" s="2" t="s">
        <v>72</v>
      </c>
    </row>
    <row r="24" spans="1:25" ht="20.100000000000001" customHeight="1" x14ac:dyDescent="0.25">
      <c r="A24"/>
      <c r="D24" s="1" t="s">
        <v>110</v>
      </c>
      <c r="E24" s="60">
        <v>307.7</v>
      </c>
      <c r="F24" s="2" t="s">
        <v>124</v>
      </c>
    </row>
    <row r="25" spans="1:25" ht="20.100000000000001" customHeight="1" x14ac:dyDescent="0.25">
      <c r="A25"/>
      <c r="D25" s="1" t="s">
        <v>132</v>
      </c>
      <c r="E25" s="60">
        <v>18</v>
      </c>
      <c r="F25" s="2" t="s">
        <v>73</v>
      </c>
      <c r="N25" s="69"/>
    </row>
    <row r="26" spans="1:25" ht="20.100000000000001" customHeight="1" x14ac:dyDescent="0.25">
      <c r="A26"/>
      <c r="D26" s="1" t="s">
        <v>133</v>
      </c>
      <c r="E26" s="60">
        <v>3000</v>
      </c>
      <c r="F26" s="2" t="s">
        <v>74</v>
      </c>
    </row>
    <row r="27" spans="1:25" ht="20.100000000000001" customHeight="1" x14ac:dyDescent="0.25">
      <c r="A27"/>
      <c r="D27" s="10" t="s">
        <v>134</v>
      </c>
      <c r="E27" s="60">
        <v>1326</v>
      </c>
      <c r="F27" s="2" t="s">
        <v>74</v>
      </c>
    </row>
    <row r="28" spans="1:25" ht="20.100000000000001" customHeight="1" x14ac:dyDescent="0.25">
      <c r="A28"/>
      <c r="D28" s="1" t="s">
        <v>135</v>
      </c>
      <c r="E28" s="60">
        <v>7</v>
      </c>
      <c r="F28" s="2" t="s">
        <v>125</v>
      </c>
    </row>
    <row r="29" spans="1:25" ht="20.100000000000001" customHeight="1" x14ac:dyDescent="0.25">
      <c r="A29"/>
      <c r="D29" s="10" t="s">
        <v>131</v>
      </c>
      <c r="E29" s="81">
        <f>E26/E27</f>
        <v>2.2624434389140271</v>
      </c>
      <c r="F29" s="2"/>
    </row>
    <row r="30" spans="1:25" ht="20.100000000000001" customHeight="1" x14ac:dyDescent="0.25">
      <c r="A30"/>
      <c r="D30" s="10" t="s">
        <v>104</v>
      </c>
      <c r="E30" s="81" t="e" cm="1">
        <f t="array" ref="E30">Common_InputFunctions.Utility_LookupItemFromMinMax(E26,#REF!,#REF!,#REF!)</f>
        <v>#REF!</v>
      </c>
      <c r="G30" s="59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spans="1:25" ht="20.100000000000001" customHeight="1" x14ac:dyDescent="0.25">
      <c r="A31"/>
      <c r="D31" s="1" t="s">
        <v>71</v>
      </c>
      <c r="E31" s="81" t="e" cm="1">
        <f t="array" ref="E31">Common_InputFunctions.Utility_GetClimateZone(E25,E26,E28,E24,E29)</f>
        <v>#REF!</v>
      </c>
      <c r="F31" s="1"/>
      <c r="G31" s="58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</row>
    <row r="32" spans="1:25" ht="20.100000000000001" customHeight="1" x14ac:dyDescent="0.25">
      <c r="A32"/>
      <c r="D32" s="1" t="s">
        <v>163</v>
      </c>
      <c r="E32" s="81" t="e" cm="1">
        <f t="array" ref="E32">Common_InputFunctions.Utility_LookupValueInTable($E$31,#REF!,#REF!)</f>
        <v>#REF!</v>
      </c>
      <c r="F32" s="1"/>
      <c r="G32" s="58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</row>
    <row r="33" spans="1:25" ht="20.100000000000001" customHeight="1" x14ac:dyDescent="0.25">
      <c r="A33"/>
      <c r="D33" s="1" t="s">
        <v>123</v>
      </c>
      <c r="E33" s="81" t="e" cm="1">
        <f t="array" ref="E33">Common_InputFunctions.Utility_LookupItemFromMinMax(E25,#REF!,#REF!,#REF!)</f>
        <v>#REF!</v>
      </c>
      <c r="G33" s="101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</row>
    <row r="34" spans="1:25" ht="20.100000000000001" customHeight="1" x14ac:dyDescent="0.25">
      <c r="A34"/>
      <c r="J34" s="90"/>
      <c r="K34" s="104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</row>
    <row r="35" spans="1:25" ht="20.100000000000001" customHeight="1" x14ac:dyDescent="0.25">
      <c r="A35"/>
      <c r="J35" s="90"/>
      <c r="K35" s="104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</row>
    <row r="36" spans="1:25" ht="20.100000000000001" customHeight="1" x14ac:dyDescent="0.25">
      <c r="A36"/>
      <c r="D36" s="102"/>
      <c r="E36" s="102"/>
      <c r="F36" s="103"/>
      <c r="G36" s="90"/>
      <c r="H36" s="90"/>
      <c r="I36" s="91"/>
      <c r="J36" s="90"/>
      <c r="K36" s="104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</row>
    <row r="37" spans="1:25" ht="20.100000000000001" customHeight="1" x14ac:dyDescent="0.25">
      <c r="A37"/>
      <c r="D37" s="102"/>
      <c r="E37" s="102"/>
      <c r="F37" s="103"/>
      <c r="G37" s="90"/>
      <c r="H37" s="90"/>
      <c r="I37" s="91"/>
      <c r="J37" s="90"/>
      <c r="K37" s="104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</row>
    <row r="38" spans="1:25" ht="20.100000000000001" customHeight="1" x14ac:dyDescent="0.25">
      <c r="A38"/>
      <c r="D38" s="102"/>
      <c r="E38" s="102"/>
      <c r="F38" s="103"/>
      <c r="G38" s="90"/>
      <c r="H38" s="90"/>
      <c r="I38" s="91"/>
      <c r="J38" s="90"/>
      <c r="K38" s="104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</row>
    <row r="39" spans="1:25" ht="20.100000000000001" customHeight="1" x14ac:dyDescent="0.25">
      <c r="A39"/>
      <c r="D39" s="102"/>
      <c r="E39" s="102"/>
      <c r="F39" s="103"/>
      <c r="G39" s="90"/>
      <c r="H39" s="90"/>
      <c r="I39" s="91"/>
      <c r="J39" s="90"/>
      <c r="K39" s="104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</row>
    <row r="40" spans="1:25" ht="20.100000000000001" customHeight="1" x14ac:dyDescent="0.25">
      <c r="A40"/>
      <c r="D40" s="105"/>
      <c r="E40" s="105"/>
      <c r="F40" s="105"/>
      <c r="G40" s="106"/>
      <c r="H40" s="107"/>
      <c r="I40" s="107"/>
      <c r="J40" s="107"/>
      <c r="K40" s="107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</row>
    <row r="41" spans="1:25" ht="20.100000000000001" customHeight="1" x14ac:dyDescent="0.25">
      <c r="A41"/>
    </row>
    <row r="42" spans="1:25" ht="20.100000000000001" customHeight="1" x14ac:dyDescent="0.25">
      <c r="A42"/>
    </row>
    <row r="43" spans="1:25" ht="20.100000000000001" customHeight="1" x14ac:dyDescent="0.25">
      <c r="A43"/>
    </row>
    <row r="44" spans="1:25" ht="20.100000000000001" customHeight="1" x14ac:dyDescent="0.25"/>
    <row r="45" spans="1:25" ht="20.100000000000001" customHeight="1" x14ac:dyDescent="0.25">
      <c r="D45" s="6"/>
    </row>
    <row r="46" spans="1:25" ht="20.100000000000001" customHeight="1" x14ac:dyDescent="0.25">
      <c r="D46" s="24"/>
    </row>
    <row r="47" spans="1:25" ht="20.100000000000001" customHeight="1" x14ac:dyDescent="0.25">
      <c r="D47" s="108"/>
      <c r="E47" s="108"/>
      <c r="F47" s="108"/>
      <c r="G47" s="108"/>
      <c r="H47" s="108"/>
    </row>
    <row r="48" spans="1:25" ht="20.100000000000001" customHeight="1" x14ac:dyDescent="0.25">
      <c r="D48" s="61"/>
      <c r="E48" s="61"/>
      <c r="F48" s="62"/>
      <c r="G48" s="62"/>
      <c r="H48" s="61"/>
    </row>
    <row r="49" spans="4:8" ht="20.100000000000001" customHeight="1" x14ac:dyDescent="0.25">
      <c r="D49" s="61"/>
      <c r="E49" s="61"/>
      <c r="F49" s="62"/>
      <c r="G49" s="62"/>
      <c r="H49" s="61"/>
    </row>
    <row r="50" spans="4:8" ht="20.100000000000001" customHeight="1" x14ac:dyDescent="0.25">
      <c r="D50" s="61"/>
      <c r="E50" s="61"/>
      <c r="F50" s="62"/>
      <c r="G50" s="62"/>
      <c r="H50" s="61"/>
    </row>
    <row r="51" spans="4:8" ht="20.100000000000001" customHeight="1" x14ac:dyDescent="0.25">
      <c r="D51" s="109"/>
      <c r="E51" s="110"/>
      <c r="F51" s="110"/>
      <c r="G51" s="110"/>
      <c r="H51" s="111"/>
    </row>
    <row r="52" spans="4:8" ht="20.100000000000001" customHeight="1" x14ac:dyDescent="0.25"/>
    <row r="53" spans="4:8" ht="20.100000000000001" customHeight="1" x14ac:dyDescent="0.25"/>
    <row r="54" spans="4:8" ht="20.100000000000001" customHeight="1" x14ac:dyDescent="0.25">
      <c r="G54" s="112"/>
    </row>
    <row r="55" spans="4:8" ht="20.100000000000001" customHeight="1" x14ac:dyDescent="0.25">
      <c r="D55" s="6"/>
    </row>
    <row r="56" spans="4:8" ht="20.100000000000001" customHeight="1" x14ac:dyDescent="0.25"/>
    <row r="57" spans="4:8" ht="20.100000000000001" customHeight="1" x14ac:dyDescent="0.25">
      <c r="D57" s="24"/>
      <c r="F57" s="113"/>
    </row>
    <row r="58" spans="4:8" ht="20.100000000000001" customHeight="1" x14ac:dyDescent="0.25">
      <c r="D58" s="1"/>
      <c r="E58" s="114"/>
    </row>
    <row r="59" spans="4:8" ht="20.100000000000001" customHeight="1" x14ac:dyDescent="0.25">
      <c r="D59" s="1"/>
      <c r="E59" s="114"/>
    </row>
    <row r="60" spans="4:8" ht="20.100000000000001" customHeight="1" x14ac:dyDescent="0.25">
      <c r="D60" s="1"/>
      <c r="E60" s="115"/>
    </row>
    <row r="61" spans="4:8" ht="20.100000000000001" customHeight="1" x14ac:dyDescent="0.25">
      <c r="D61" s="1"/>
    </row>
    <row r="62" spans="4:8" ht="20.100000000000001" customHeight="1" x14ac:dyDescent="0.25"/>
    <row r="63" spans="4:8" ht="20.100000000000001" customHeight="1" x14ac:dyDescent="0.25">
      <c r="D63" s="24"/>
    </row>
    <row r="64" spans="4:8" ht="20.100000000000001" customHeight="1" x14ac:dyDescent="0.25">
      <c r="D64" s="1"/>
      <c r="E64" s="114"/>
    </row>
    <row r="65" spans="4:9" ht="20.100000000000001" customHeight="1" x14ac:dyDescent="0.25">
      <c r="D65" s="1"/>
      <c r="E65" s="114"/>
    </row>
    <row r="66" spans="4:9" ht="20.100000000000001" customHeight="1" x14ac:dyDescent="0.25">
      <c r="D66" s="1"/>
      <c r="E66" s="115"/>
    </row>
    <row r="67" spans="4:9" ht="20.100000000000001" customHeight="1" x14ac:dyDescent="0.25"/>
    <row r="68" spans="4:9" ht="20.100000000000001" customHeight="1" x14ac:dyDescent="0.25"/>
    <row r="69" spans="4:9" ht="20.100000000000001" customHeight="1" x14ac:dyDescent="0.25">
      <c r="D69" s="89"/>
      <c r="E69" s="89"/>
      <c r="F69" s="89"/>
      <c r="G69" s="89"/>
      <c r="H69" s="89"/>
      <c r="I69" s="89"/>
    </row>
    <row r="70" spans="4:9" ht="20.100000000000001" customHeight="1" x14ac:dyDescent="0.25">
      <c r="D70" s="89"/>
      <c r="E70" s="89"/>
      <c r="F70" s="89"/>
      <c r="G70" s="89"/>
      <c r="H70" s="89"/>
      <c r="I70" s="89"/>
    </row>
    <row r="71" spans="4:9" ht="20.100000000000001" customHeight="1" x14ac:dyDescent="0.25">
      <c r="D71" s="89"/>
      <c r="E71" s="89"/>
      <c r="F71" s="89"/>
      <c r="G71" s="89"/>
      <c r="H71" s="89"/>
      <c r="I71" s="89"/>
    </row>
    <row r="72" spans="4:9" ht="20.100000000000001" customHeight="1" x14ac:dyDescent="0.25">
      <c r="D72" s="89"/>
      <c r="E72" s="89"/>
      <c r="F72" s="89"/>
      <c r="G72" s="89"/>
      <c r="H72" s="89"/>
      <c r="I72" s="89"/>
    </row>
    <row r="73" spans="4:9" ht="20.100000000000001" customHeight="1" x14ac:dyDescent="0.25"/>
    <row r="74" spans="4:9" ht="20.100000000000001" customHeight="1" x14ac:dyDescent="0.25"/>
    <row r="75" spans="4:9" ht="20.100000000000001" customHeight="1" x14ac:dyDescent="0.25"/>
    <row r="76" spans="4:9" ht="20.100000000000001" customHeight="1" x14ac:dyDescent="0.25"/>
    <row r="77" spans="4:9" ht="20.100000000000001" customHeight="1" x14ac:dyDescent="0.25"/>
    <row r="78" spans="4:9" ht="20.100000000000001" customHeight="1" x14ac:dyDescent="0.25">
      <c r="D78" s="116"/>
    </row>
    <row r="79" spans="4:9" ht="20.100000000000001" customHeight="1" x14ac:dyDescent="0.25">
      <c r="D79" s="116"/>
    </row>
    <row r="80" spans="4:9" ht="20.100000000000001" customHeight="1" x14ac:dyDescent="0.25">
      <c r="D80" s="116"/>
    </row>
    <row r="81" spans="4:4" ht="20.100000000000001" customHeight="1" x14ac:dyDescent="0.25">
      <c r="D81" s="116"/>
    </row>
    <row r="82" spans="4:4" ht="20.100000000000001" customHeight="1" x14ac:dyDescent="0.25">
      <c r="D82" s="116"/>
    </row>
    <row r="83" spans="4:4" ht="20.100000000000001" customHeight="1" x14ac:dyDescent="0.25"/>
    <row r="84" spans="4:4" ht="20.100000000000001" customHeight="1" x14ac:dyDescent="0.25"/>
    <row r="85" spans="4:4" ht="20.100000000000001" customHeight="1" x14ac:dyDescent="0.25"/>
    <row r="86" spans="4:4" ht="20.100000000000001" customHeight="1" x14ac:dyDescent="0.25"/>
    <row r="87" spans="4:4" ht="20.100000000000001" customHeight="1" x14ac:dyDescent="0.25"/>
    <row r="88" spans="4:4" ht="20.100000000000001" customHeight="1" x14ac:dyDescent="0.25"/>
    <row r="89" spans="4:4" ht="20.100000000000001" customHeight="1" x14ac:dyDescent="0.25"/>
    <row r="90" spans="4:4" ht="20.100000000000001" customHeight="1" x14ac:dyDescent="0.25"/>
    <row r="91" spans="4:4" ht="20.100000000000001" customHeight="1" x14ac:dyDescent="0.25"/>
    <row r="92" spans="4:4" ht="20.100000000000001" customHeight="1" x14ac:dyDescent="0.25"/>
    <row r="93" spans="4:4" ht="20.100000000000001" customHeight="1" x14ac:dyDescent="0.25"/>
    <row r="94" spans="4:4" ht="20.100000000000001" customHeight="1" x14ac:dyDescent="0.25"/>
    <row r="95" spans="4:4" ht="20.100000000000001" customHeight="1" x14ac:dyDescent="0.25"/>
    <row r="96" spans="4:4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</sheetData>
  <phoneticPr fontId="23" type="noConversion"/>
  <dataValidations count="4">
    <dataValidation type="list" allowBlank="1" showInputMessage="1" showErrorMessage="1" sqref="E21" xr:uid="{EEB98A76-93AC-411B-869F-680047BF5E1B}">
      <formula1>INDIRECT("Table_AustralianStates[Common Name]")</formula1>
    </dataValidation>
    <dataValidation type="list" allowBlank="1" showInputMessage="1" showErrorMessage="1" sqref="E22" xr:uid="{FEE229DB-9316-4962-B647-60038C54E99D}">
      <formula1>INDIRECT("Table_WASA4Areas[SA 4 Name]")</formula1>
    </dataValidation>
    <dataValidation type="list" allowBlank="1" showInputMessage="1" showErrorMessage="1" sqref="G36:G39" xr:uid="{1FAF98F1-BA66-4A46-872C-02D4419DFE3B}">
      <formula1>$D$41:$D$43</formula1>
    </dataValidation>
    <dataValidation type="list" allowBlank="1" showInputMessage="1" showErrorMessage="1" sqref="E23" xr:uid="{43B32D4A-5C2C-46E9-876B-6F8FA150486E}">
      <formula1>"YES - In leaching zone, NO - Not in leaching zone"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10A2-02A7-4F78-A2BB-B4DFE856D1FB}">
  <dimension ref="A1:R165"/>
  <sheetViews>
    <sheetView showGridLines="0" workbookViewId="0">
      <selection activeCell="D32" sqref="D32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4" width="79" style="1" customWidth="1"/>
    <col min="5" max="8" width="30.7109375" style="1" customWidth="1"/>
    <col min="9" max="9" width="4.7109375" style="1" customWidth="1"/>
    <col min="10" max="10" width="4.7109375" customWidth="1"/>
    <col min="11" max="11" width="4.7109375" style="85" customWidth="1"/>
    <col min="12" max="17" width="30.7109375" style="85" customWidth="1"/>
    <col min="18" max="18" width="4.7109375" style="85" customWidth="1"/>
  </cols>
  <sheetData>
    <row r="1" spans="1:18" s="97" customFormat="1" ht="30" customHeight="1" x14ac:dyDescent="0.35">
      <c r="A1" s="97" t="e" vm="1">
        <v>#VALUE!</v>
      </c>
      <c r="C1" s="97" t="s">
        <v>194</v>
      </c>
      <c r="K1" s="85"/>
      <c r="L1" s="85"/>
      <c r="M1" s="85"/>
      <c r="N1" s="85"/>
      <c r="O1" s="85"/>
      <c r="P1" s="85"/>
      <c r="Q1" s="85"/>
      <c r="R1" s="85"/>
    </row>
    <row r="2" spans="1:18" s="9" customFormat="1" ht="20.100000000000001" customHeight="1" x14ac:dyDescent="0.25">
      <c r="K2" s="85"/>
      <c r="L2" s="85"/>
      <c r="M2" s="85"/>
      <c r="N2" s="85"/>
      <c r="O2" s="85"/>
      <c r="P2" s="85"/>
      <c r="Q2" s="85"/>
      <c r="R2" s="85"/>
    </row>
    <row r="3" spans="1:18" ht="20.100000000000001" customHeight="1" x14ac:dyDescent="0.25">
      <c r="A3" s="18" t="str">
        <f>HYPERLINK("#'Home'!A1", "Home")</f>
        <v>Home</v>
      </c>
      <c r="C3" s="16"/>
      <c r="D3" s="16"/>
      <c r="E3" s="16"/>
      <c r="F3" s="16"/>
      <c r="G3" s="16"/>
      <c r="H3" s="16"/>
      <c r="I3" s="16"/>
    </row>
    <row r="4" spans="1:18" ht="20.100000000000001" customHeight="1" x14ac:dyDescent="0.25">
      <c r="A4" s="18" t="str">
        <f>HYPERLINK("#'Results'!A1", "Results")</f>
        <v>Results</v>
      </c>
    </row>
    <row r="5" spans="1:18" ht="20.100000000000001" customHeight="1" x14ac:dyDescent="0.25">
      <c r="A5" s="17"/>
      <c r="D5" s="6" t="s">
        <v>186</v>
      </c>
    </row>
    <row r="6" spans="1:18" ht="20.100000000000001" customHeight="1" x14ac:dyDescent="0.25">
      <c r="A6" s="21" t="s">
        <v>3</v>
      </c>
    </row>
    <row r="7" spans="1:18" ht="20.100000000000001" customHeight="1" x14ac:dyDescent="0.25">
      <c r="A7" s="18" t="str">
        <f>HYPERLINK("#'Input - Site'!A1", "Site")</f>
        <v>Site</v>
      </c>
      <c r="D7" s="92"/>
      <c r="E7" s="66" t="s">
        <v>195</v>
      </c>
      <c r="F7" s="66" t="s">
        <v>196</v>
      </c>
      <c r="G7" s="66" t="s">
        <v>197</v>
      </c>
    </row>
    <row r="8" spans="1:18" ht="20.100000000000001" customHeight="1" x14ac:dyDescent="0.25">
      <c r="A8" s="22" t="str">
        <f>HYPERLINK("#'Input - MMS - Feedlot'!A1", "MMS - Feedlot")</f>
        <v>MMS - Feedlot</v>
      </c>
      <c r="D8" s="1" t="s">
        <v>187</v>
      </c>
      <c r="E8" s="95">
        <v>10.4</v>
      </c>
      <c r="F8" s="95">
        <v>10.8</v>
      </c>
      <c r="G8" s="95">
        <v>8.1999999999999993</v>
      </c>
      <c r="H8" s="2" t="s">
        <v>198</v>
      </c>
    </row>
    <row r="9" spans="1:18" ht="20.100000000000001" customHeight="1" x14ac:dyDescent="0.25">
      <c r="A9" s="18"/>
      <c r="D9" s="1" t="s">
        <v>83</v>
      </c>
      <c r="E9" s="75">
        <v>0.81</v>
      </c>
      <c r="F9" s="75">
        <v>0.81</v>
      </c>
      <c r="G9" s="75">
        <v>0.79</v>
      </c>
      <c r="H9" s="2" t="s">
        <v>84</v>
      </c>
    </row>
    <row r="10" spans="1:18" ht="20.100000000000001" customHeight="1" x14ac:dyDescent="0.25">
      <c r="A10" s="20" t="s">
        <v>147</v>
      </c>
    </row>
    <row r="11" spans="1:18" ht="20.100000000000001" customHeight="1" x14ac:dyDescent="0.25">
      <c r="A11" s="18" t="str">
        <f>HYPERLINK("#'Calcs - CH4 MMS Feedlot'!A1", "MMS Methane")</f>
        <v>MMS Methane</v>
      </c>
    </row>
    <row r="12" spans="1:18" ht="20.100000000000001" customHeight="1" x14ac:dyDescent="0.25">
      <c r="A12" s="18"/>
      <c r="D12" s="6" t="s">
        <v>203</v>
      </c>
    </row>
    <row r="13" spans="1:18" ht="20.100000000000001" customHeight="1" x14ac:dyDescent="0.25">
      <c r="A13" s="19" t="s">
        <v>4</v>
      </c>
    </row>
    <row r="14" spans="1:18" ht="20.100000000000001" customHeight="1" x14ac:dyDescent="0.25">
      <c r="A14" s="18" t="str">
        <f>HYPERLINK("#'Constants - Common'!A1", "Constants - Common")</f>
        <v>Constants - Common</v>
      </c>
      <c r="D14" s="77" t="s">
        <v>182</v>
      </c>
    </row>
    <row r="15" spans="1:18" ht="20.100000000000001" customHeight="1" x14ac:dyDescent="0.25">
      <c r="A15" s="18" t="str">
        <f>HYPERLINK("#'Constants - Livestock'!A1", "Constants - Livestock")</f>
        <v>Constants - Livestock</v>
      </c>
      <c r="D15" s="92" t="s">
        <v>192</v>
      </c>
      <c r="E15" s="127" t="s">
        <v>195</v>
      </c>
      <c r="F15" s="127" t="s">
        <v>196</v>
      </c>
      <c r="G15" s="127" t="s">
        <v>197</v>
      </c>
    </row>
    <row r="16" spans="1:18" ht="20.100000000000001" customHeight="1" x14ac:dyDescent="0.25">
      <c r="A16" s="18" t="str">
        <f>HYPERLINK("#'Acknowledgements'!A1", "Acknowledgements")</f>
        <v>Acknowledgements</v>
      </c>
      <c r="D16" s="81" t="s">
        <v>181</v>
      </c>
      <c r="E16" s="129">
        <v>1</v>
      </c>
      <c r="F16" s="129">
        <v>1</v>
      </c>
      <c r="G16" s="129">
        <v>1</v>
      </c>
      <c r="H16" s="2" t="s">
        <v>84</v>
      </c>
    </row>
    <row r="17" spans="1:8" ht="20.100000000000001" customHeight="1" x14ac:dyDescent="0.25">
      <c r="A17" s="96"/>
    </row>
    <row r="18" spans="1:8" ht="20.100000000000001" customHeight="1" x14ac:dyDescent="0.25">
      <c r="A18" s="18"/>
    </row>
    <row r="19" spans="1:8" ht="20.100000000000001" customHeight="1" x14ac:dyDescent="0.25">
      <c r="A19" s="18"/>
      <c r="D19" s="77" t="s">
        <v>185</v>
      </c>
    </row>
    <row r="20" spans="1:8" ht="20.100000000000001" customHeight="1" x14ac:dyDescent="0.25">
      <c r="D20" s="127" t="s">
        <v>184</v>
      </c>
      <c r="E20" s="127" t="s">
        <v>195</v>
      </c>
      <c r="F20" s="127" t="s">
        <v>196</v>
      </c>
      <c r="G20" s="127" t="s">
        <v>197</v>
      </c>
    </row>
    <row r="21" spans="1:8" ht="20.100000000000001" customHeight="1" x14ac:dyDescent="0.25">
      <c r="D21" s="1" t="str">
        <f>"Sent from " &amp; $D$16</f>
        <v>Sent from Drylot (feed pad)</v>
      </c>
      <c r="E21" s="84" t="str">
        <f>IF($D$24="Pasture range and paddock", "⚠️ ALERT: Manure sent to 'pasture range and paddock do not go to stage 2. Select 'No MMS'.", "")</f>
        <v/>
      </c>
    </row>
    <row r="22" spans="1:8" ht="20.100000000000001" customHeight="1" x14ac:dyDescent="0.25">
      <c r="D22" s="81" t="str">
        <f>'Calcs - CH4 MMS Feedlot'!M44</f>
        <v>Solid storage</v>
      </c>
      <c r="E22" s="75">
        <v>0.2</v>
      </c>
      <c r="F22" s="75">
        <v>0.2</v>
      </c>
      <c r="G22" s="75">
        <v>0.2</v>
      </c>
      <c r="H22" s="2" t="s">
        <v>84</v>
      </c>
    </row>
    <row r="23" spans="1:8" ht="20.100000000000001" customHeight="1" x14ac:dyDescent="0.25">
      <c r="A23" s="96"/>
      <c r="D23" s="81" t="str">
        <f>'Calcs - CH4 MMS Feedlot'!M45</f>
        <v>Composting (passive windrow)</v>
      </c>
      <c r="E23" s="75">
        <v>0.2</v>
      </c>
      <c r="F23" s="75">
        <v>0.2</v>
      </c>
      <c r="G23" s="75">
        <v>0.2</v>
      </c>
      <c r="H23" s="2" t="s">
        <v>84</v>
      </c>
    </row>
    <row r="24" spans="1:8" ht="20.100000000000001" customHeight="1" x14ac:dyDescent="0.25">
      <c r="D24" s="81" t="str">
        <f>'Calcs - CH4 MMS Feedlot'!M46</f>
        <v>Direct application</v>
      </c>
      <c r="E24" s="75">
        <v>0.6</v>
      </c>
      <c r="F24" s="75">
        <v>0.6</v>
      </c>
      <c r="G24" s="75">
        <v>0.6</v>
      </c>
      <c r="H24" s="2" t="s">
        <v>84</v>
      </c>
    </row>
    <row r="25" spans="1:8" ht="20.100000000000001" customHeight="1" x14ac:dyDescent="0.25">
      <c r="A25" s="18"/>
      <c r="D25" s="1" t="s">
        <v>177</v>
      </c>
      <c r="E25" s="129">
        <f>IF($D$24="Pasture range and paddock", "N/A", SUM(E22:E24))</f>
        <v>1</v>
      </c>
      <c r="F25" s="129">
        <f>IF($D$24="Pasture range and paddock", "N/A", SUM(F22:F24))</f>
        <v>1</v>
      </c>
      <c r="G25" s="129">
        <f>IF($D$24="Pasture range and paddock", "N/A", SUM(G22:G24))</f>
        <v>1</v>
      </c>
      <c r="H25" s="2" t="s">
        <v>84</v>
      </c>
    </row>
    <row r="26" spans="1:8" ht="20.100000000000001" customHeight="1" x14ac:dyDescent="0.25">
      <c r="A26" s="18"/>
    </row>
    <row r="27" spans="1:8" ht="20.100000000000001" customHeight="1" x14ac:dyDescent="0.25">
      <c r="A27" s="18"/>
    </row>
    <row r="28" spans="1:8" ht="20.100000000000001" customHeight="1" x14ac:dyDescent="0.25">
      <c r="A28" s="18"/>
      <c r="D28" s="77" t="s">
        <v>213</v>
      </c>
    </row>
    <row r="29" spans="1:8" ht="20.100000000000001" customHeight="1" x14ac:dyDescent="0.25">
      <c r="A29" s="18"/>
      <c r="D29" s="92" t="s">
        <v>212</v>
      </c>
      <c r="E29" s="127" t="s">
        <v>195</v>
      </c>
      <c r="F29" s="127" t="s">
        <v>196</v>
      </c>
      <c r="G29" s="127" t="s">
        <v>197</v>
      </c>
    </row>
    <row r="30" spans="1:8" ht="20.100000000000001" customHeight="1" x14ac:dyDescent="0.25">
      <c r="A30" s="18"/>
      <c r="D30" s="81" t="str">
        <f>'Calcs - CH4 MMS Feedlot'!$M$47</f>
        <v>Anaerobic lagoon</v>
      </c>
      <c r="E30" s="129">
        <f>'Calcs - CH4 MMS Feedlot'!$N$12</f>
        <v>0.02</v>
      </c>
      <c r="F30" s="129">
        <f>'Calcs - CH4 MMS Feedlot'!$N$12</f>
        <v>0.02</v>
      </c>
      <c r="G30" s="129">
        <f>'Calcs - CH4 MMS Feedlot'!$N$12</f>
        <v>0.02</v>
      </c>
      <c r="H30" s="2" t="s">
        <v>84</v>
      </c>
    </row>
    <row r="31" spans="1:8" ht="20.100000000000001" customHeight="1" x14ac:dyDescent="0.25">
      <c r="A31" s="96"/>
    </row>
    <row r="32" spans="1:8" ht="20.100000000000001" customHeight="1" x14ac:dyDescent="0.25">
      <c r="A32" s="96"/>
      <c r="D32" s="77" t="s">
        <v>183</v>
      </c>
    </row>
    <row r="33" spans="1:8" ht="20.100000000000001" customHeight="1" x14ac:dyDescent="0.25">
      <c r="A33" s="18"/>
      <c r="D33" s="82" t="str">
        <f>"Sent from " &amp; $D$16</f>
        <v>Sent from Drylot (feed pad)</v>
      </c>
      <c r="E33" s="84" t="str">
        <f>IF($D$24="Pasture range and paddock", "⚠️ ALERT Manure sent to 'pasture range and paddock do not go to stage 2, or post-treatment destinations.", "")</f>
        <v/>
      </c>
    </row>
    <row r="34" spans="1:8" ht="20.100000000000001" customHeight="1" x14ac:dyDescent="0.25">
      <c r="D34" s="1" t="str">
        <f>"Percent sold from " &amp; $D$22</f>
        <v>Percent sold from Solid storage</v>
      </c>
      <c r="E34" s="75">
        <v>0.25</v>
      </c>
      <c r="F34" s="75">
        <v>0.25</v>
      </c>
      <c r="G34" s="75">
        <v>0.25</v>
      </c>
      <c r="H34" s="2" t="s">
        <v>84</v>
      </c>
    </row>
    <row r="35" spans="1:8" ht="20.100000000000001" customHeight="1" x14ac:dyDescent="0.25">
      <c r="D35" s="1" t="str">
        <f>"Percent deposited on farm soils from " &amp; $D$22</f>
        <v>Percent deposited on farm soils from Solid storage</v>
      </c>
      <c r="E35" s="129">
        <f>1-E34</f>
        <v>0.75</v>
      </c>
      <c r="F35" s="129">
        <f>1-F34</f>
        <v>0.75</v>
      </c>
      <c r="G35" s="129">
        <f>1-G34</f>
        <v>0.75</v>
      </c>
      <c r="H35" s="2" t="s">
        <v>84</v>
      </c>
    </row>
    <row r="36" spans="1:8" ht="20.100000000000001" customHeight="1" x14ac:dyDescent="0.25"/>
    <row r="37" spans="1:8" ht="20.100000000000001" customHeight="1" x14ac:dyDescent="0.25">
      <c r="D37" s="1" t="str">
        <f>"Percent sold from " &amp; $D$23</f>
        <v>Percent sold from Composting (passive windrow)</v>
      </c>
      <c r="E37" s="75">
        <v>0.25</v>
      </c>
      <c r="F37" s="75">
        <v>0.25</v>
      </c>
      <c r="G37" s="75">
        <v>0.25</v>
      </c>
      <c r="H37" s="2" t="s">
        <v>84</v>
      </c>
    </row>
    <row r="38" spans="1:8" ht="20.100000000000001" customHeight="1" x14ac:dyDescent="0.25">
      <c r="D38" s="1" t="str">
        <f>"Percent deposited on farm soils from " &amp; $D$23</f>
        <v>Percent deposited on farm soils from Composting (passive windrow)</v>
      </c>
      <c r="E38" s="129">
        <f>1-E37</f>
        <v>0.75</v>
      </c>
      <c r="F38" s="129">
        <f>1-F37</f>
        <v>0.75</v>
      </c>
      <c r="G38" s="129">
        <f>1-G37</f>
        <v>0.75</v>
      </c>
      <c r="H38" s="2" t="s">
        <v>84</v>
      </c>
    </row>
    <row r="39" spans="1:8" ht="20.100000000000001" customHeight="1" x14ac:dyDescent="0.25">
      <c r="A39" s="18"/>
    </row>
    <row r="40" spans="1:8" ht="20.100000000000001" customHeight="1" x14ac:dyDescent="0.25">
      <c r="D40" s="1" t="str">
        <f>"Percent sold from " &amp; $D$24 &amp; " for sale"</f>
        <v>Percent sold from Direct application for sale</v>
      </c>
      <c r="E40" s="75">
        <v>0.25</v>
      </c>
      <c r="F40" s="75">
        <v>0.25</v>
      </c>
      <c r="G40" s="75">
        <v>0.25</v>
      </c>
      <c r="H40" s="2" t="s">
        <v>84</v>
      </c>
    </row>
    <row r="41" spans="1:8" ht="20.100000000000001" customHeight="1" x14ac:dyDescent="0.25">
      <c r="A41" s="72"/>
      <c r="D41" s="1" t="str">
        <f>"Percent deposited on farm soils from " &amp; $D$24</f>
        <v>Percent deposited on farm soils from Direct application</v>
      </c>
      <c r="E41" s="129">
        <f>1-E40</f>
        <v>0.75</v>
      </c>
      <c r="F41" s="129">
        <f>1-F40</f>
        <v>0.75</v>
      </c>
      <c r="G41" s="129">
        <f>1-G40</f>
        <v>0.75</v>
      </c>
      <c r="H41" s="2" t="s">
        <v>84</v>
      </c>
    </row>
    <row r="42" spans="1:8" ht="20.100000000000001" customHeight="1" x14ac:dyDescent="0.25"/>
    <row r="43" spans="1:8" ht="20.100000000000001" customHeight="1" x14ac:dyDescent="0.25"/>
    <row r="44" spans="1:8" ht="20.100000000000001" customHeight="1" x14ac:dyDescent="0.25"/>
    <row r="45" spans="1:8" ht="20.100000000000001" customHeight="1" x14ac:dyDescent="0.25"/>
    <row r="46" spans="1:8" ht="20.100000000000001" customHeight="1" x14ac:dyDescent="0.25"/>
    <row r="47" spans="1:8" ht="20.100000000000001" customHeight="1" x14ac:dyDescent="0.25"/>
    <row r="48" spans="1: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dataValidations count="3">
    <dataValidation type="list" allowBlank="1" showInputMessage="1" showErrorMessage="1" sqref="D17" xr:uid="{4E913AB3-F90B-4C35-BCE1-5DBB8FC05107}">
      <formula1>INDIRECT("Table_SourceData_PoultryMMSStage1[MMS]")</formula1>
    </dataValidation>
    <dataValidation type="whole" operator="equal" allowBlank="1" showInputMessage="1" showErrorMessage="1" sqref="E16:G16" xr:uid="{AD2F5710-950E-4169-B1DB-B494F727C0BB}">
      <formula1>1</formula1>
    </dataValidation>
    <dataValidation operator="equal" allowBlank="1" showInputMessage="1" showErrorMessage="1" sqref="E30:G30" xr:uid="{C4745536-8208-45E9-8F7A-99B1E2C94379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3AD983E-B4D1-438D-A194-5432069DEDFB}">
          <x14:formula1>
            <xm:f>'Constants - Livestock'!$E$16</xm:f>
          </x14:formula1>
          <xm:sqref>D16</xm:sqref>
        </x14:dataValidation>
        <x14:dataValidation type="list" allowBlank="1" showInputMessage="1" showErrorMessage="1" xr:uid="{E07FB3AA-F53C-4B65-95CE-912A14C9716E}">
          <x14:formula1>
            <xm:f>'Calcs - CH4 MMS Feedlot'!$M$47</xm:f>
          </x14:formula1>
          <xm:sqref>D30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1CB6-2463-438A-90A4-6F54247DF8D8}">
  <dimension ref="A1:X165"/>
  <sheetViews>
    <sheetView showGridLines="0" topLeftCell="A111" workbookViewId="0">
      <selection activeCell="F123" sqref="F12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9" width="30.7109375" style="1" customWidth="1"/>
    <col min="10" max="10" width="4.7109375" style="1" customWidth="1"/>
    <col min="11" max="11" width="4.7109375" customWidth="1"/>
    <col min="12" max="12" width="4.7109375" style="1" customWidth="1"/>
    <col min="13" max="23" width="30.7109375" style="1" customWidth="1"/>
    <col min="24" max="24" width="4.7109375" style="1" customWidth="1"/>
  </cols>
  <sheetData>
    <row r="1" spans="1:24" s="8" customFormat="1" ht="30" customHeight="1" x14ac:dyDescent="0.35">
      <c r="A1" s="97" t="e" vm="1">
        <v>#VALUE!</v>
      </c>
      <c r="C1" s="8" t="s">
        <v>220</v>
      </c>
    </row>
    <row r="2" spans="1:24" s="9" customFormat="1" ht="20.100000000000001" customHeight="1" x14ac:dyDescent="0.25"/>
    <row r="3" spans="1:24" ht="20.100000000000001" customHeight="1" x14ac:dyDescent="0.25">
      <c r="A3" s="18" t="str">
        <f>HYPERLINK("#'Home'!A1", "Home")</f>
        <v>Home</v>
      </c>
      <c r="C3" s="4"/>
      <c r="D3" s="4" t="s">
        <v>88</v>
      </c>
      <c r="E3" s="4"/>
      <c r="F3" s="4"/>
      <c r="G3" s="4"/>
      <c r="H3" s="4"/>
      <c r="I3" s="4"/>
      <c r="J3" s="4"/>
      <c r="L3" s="4"/>
      <c r="M3" s="4" t="s">
        <v>89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20.100000000000001" customHeight="1" x14ac:dyDescent="0.25">
      <c r="A4" s="18" t="str">
        <f>HYPERLINK("#'Results'!A1", "Results")</f>
        <v>Results</v>
      </c>
    </row>
    <row r="5" spans="1:24" ht="20.100000000000001" customHeight="1" x14ac:dyDescent="0.25">
      <c r="A5" s="17"/>
      <c r="D5" s="6" t="str" cm="1">
        <f t="array" ref="D5">MMS_Feedlot_Methane_Equations.VEERG_4_1_1_1__5_VolatileSolidProduction_Title()</f>
        <v>Volatile solid production</v>
      </c>
      <c r="M5" s="6" t="str" cm="1">
        <f t="array" ref="M5">SourceData_Feedlot.SourceData_Feedlot_VSL_Title()</f>
        <v>Feedlot - Fraction of volatile solids lost during storage in the primary system</v>
      </c>
    </row>
    <row r="6" spans="1:24" ht="20.100000000000001" customHeight="1" x14ac:dyDescent="0.25">
      <c r="A6" s="21" t="s">
        <v>3</v>
      </c>
      <c r="D6" s="5" t="str" cm="1">
        <f t="array" ref="D6">MMS_Feedlot_Methane_Equations.VEERG_4_1_1_1__5_VolatileSolidProduction_Source()</f>
        <v>VEERG 2026: 4.1.1.1, Equation (5)</v>
      </c>
      <c r="M6" s="5" t="str" cm="1">
        <f t="array" ref="M6">SourceData_Feedlot.SourceData_Feedlot_VSL_Source()</f>
        <v>VEERG 2026: 4.1.2.3 CONSTANTS</v>
      </c>
    </row>
    <row r="7" spans="1:24" ht="20.100000000000001" customHeight="1" x14ac:dyDescent="0.25">
      <c r="A7" s="18" t="str">
        <f>HYPERLINK("#'Input - Site'!A1", "Site")</f>
        <v>Site</v>
      </c>
      <c r="D7" s="14" t="s">
        <v>95</v>
      </c>
      <c r="E7" s="14" t="str" cm="1">
        <f t="array" aca="1" ref="E7" ca="1">Common_InputFunctions.Utility_DisplayFunctionName(D30)</f>
        <v>=(D20 * (1 - D25) * (1 - $G$15))</v>
      </c>
      <c r="M7" s="82" t="str" cm="1">
        <f t="array" ref="M7">SourceData_Feedlot.SourceData_Feedlot_VSL_Variable()</f>
        <v>VSL</v>
      </c>
      <c r="N7" s="1" cm="1">
        <f t="array" ref="N7">SourceData_Feedlot.SourceData_Feedlot_VSL_Data()</f>
        <v>0.5</v>
      </c>
      <c r="O7" s="83" t="str" cm="1">
        <f t="array" ref="O7">SourceData_Feedlot.SourceData_Feedlot_VSL_Unit()</f>
        <v>Fraction</v>
      </c>
    </row>
    <row r="8" spans="1:24" ht="20.100000000000001" customHeight="1" x14ac:dyDescent="0.25">
      <c r="A8" s="18" t="str">
        <f>HYPERLINK("#'Input - MMS - Feedlot'!A1", "MMS - Feedlot")</f>
        <v>MMS - Feedlot</v>
      </c>
    </row>
    <row r="9" spans="1:24" ht="20.100000000000001" customHeight="1" x14ac:dyDescent="0.25">
      <c r="A9" s="18"/>
    </row>
    <row r="10" spans="1:24" ht="20.100000000000001" customHeight="1" x14ac:dyDescent="0.25">
      <c r="A10" s="20" t="s">
        <v>147</v>
      </c>
      <c r="D10" s="82" t="s">
        <v>98</v>
      </c>
      <c r="E10" s="1" t="str" cm="1">
        <f t="array" ref="E10">MMS_Feedlot_Methane_Equations.VEERG_4_1_1_1__5_VolatileSolidProduction_Variable()</f>
        <v>VSj</v>
      </c>
      <c r="M10" s="6" t="str" cm="1">
        <f t="array" ref="M10">SourceData_Feedlot.SourceData_Feedlot_MMSm1T3_Title()</f>
        <v>Fraction of volatile solids to each tertiary system assumed that 2 per cent is run - off from the feed pad.</v>
      </c>
    </row>
    <row r="11" spans="1:24" ht="20.100000000000001" customHeight="1" x14ac:dyDescent="0.25">
      <c r="A11" s="23" t="str">
        <f>HYPERLINK("#'Calcs - CH4 MMS Feedlot'!A1", "MMS Methane")</f>
        <v>MMS Methane</v>
      </c>
      <c r="D11" s="82" t="s">
        <v>86</v>
      </c>
      <c r="E11" s="83" t="str" cm="1">
        <f t="array" ref="E11">MMS_Feedlot_Methane_Equations.VEERG_4_1_1_1__5_VolatileSolidProduction_Unit()</f>
        <v>kg/head/day</v>
      </c>
      <c r="M11" s="5" t="str" cm="1">
        <f t="array" ref="M11">SourceData_Feedlot.SourceData_Feedlot_MMSm1T3_Source()</f>
        <v>VEERG 2026: 4.1.2.3 CONSTANTS</v>
      </c>
    </row>
    <row r="12" spans="1:24" ht="20.100000000000001" customHeight="1" x14ac:dyDescent="0.25">
      <c r="A12" s="18" t="s">
        <v>209</v>
      </c>
      <c r="M12" s="82" t="str" cm="1">
        <f t="array" ref="M12">SourceData_Feedlot.SourceData_Feedlot_MMSm1T3_Variable()</f>
        <v>MMSm1T3</v>
      </c>
      <c r="N12" s="1" cm="1">
        <f t="array" ref="N12">SourceData_Feedlot.SourceData_Feedlot_MMSm1T3_Data()</f>
        <v>0.02</v>
      </c>
      <c r="O12" s="83" t="str" cm="1">
        <f t="array" ref="O12">SourceData_Feedlot.SourceData_Feedlot_MMSm1T3_Unit()</f>
        <v>Fraction</v>
      </c>
    </row>
    <row r="13" spans="1:24" ht="20.100000000000001" customHeight="1" x14ac:dyDescent="0.25">
      <c r="D13" s="86" t="str" cm="1">
        <f t="array" ref="D13:E15">MMS_Feedlot_Methane_Equations.VEERG_4_1_1_1__5_VolatileSolidProduction_Arguments()</f>
        <v>Ij</v>
      </c>
      <c r="E13" s="87" t="str">
        <v>dry matter intake for each group : kg DM/head/day</v>
      </c>
      <c r="F13" s="88"/>
      <c r="G13" s="86" t="str">
        <f>"See " &amp; D17</f>
        <v>See Table_I_j</v>
      </c>
    </row>
    <row r="14" spans="1:24" ht="20.100000000000001" customHeight="1" x14ac:dyDescent="0.25">
      <c r="A14" s="19" t="s">
        <v>4</v>
      </c>
      <c r="D14" s="86" t="str">
        <v>DMDj</v>
      </c>
      <c r="E14" s="87" t="str">
        <v>dry matter digestibility for each group : fraction</v>
      </c>
      <c r="F14" s="88"/>
      <c r="G14" s="86" t="str">
        <f>"See " &amp; D22</f>
        <v>See Table_DMD_j</v>
      </c>
    </row>
    <row r="15" spans="1:24" ht="20.100000000000001" customHeight="1" x14ac:dyDescent="0.25">
      <c r="A15" s="18" t="str">
        <f>HYPERLINK("#'Constants - Common'!A1", "Constants - Common")</f>
        <v>Constants - Common</v>
      </c>
      <c r="D15" s="86" t="str">
        <v>A</v>
      </c>
      <c r="E15" s="87" t="str">
        <v>ash content of manure : fraction</v>
      </c>
      <c r="F15" s="88"/>
      <c r="G15" s="81">
        <f>$N$17</f>
        <v>0.16</v>
      </c>
      <c r="M15" s="6" t="str" cm="1">
        <f t="array" ref="M15">SourceData_Feedlot.SourceData_Feedlot_AshContent_Title()</f>
        <v>Ash content of manure.</v>
      </c>
    </row>
    <row r="16" spans="1:24" ht="20.100000000000001" customHeight="1" x14ac:dyDescent="0.25">
      <c r="A16" s="18" t="str">
        <f>HYPERLINK("#'Constants - Livestock'!A1", "Constants - Livestock")</f>
        <v>Constants - Livestock</v>
      </c>
      <c r="M16" s="5" t="str" cm="1">
        <f t="array" ref="M16">SourceData_Feedlot.SourceData_Feedlot_AshContent_Source()</f>
        <v>VEERG 2026: 4.1.2.3 CONSTANTS</v>
      </c>
    </row>
    <row r="17" spans="1:23" ht="20.100000000000001" customHeight="1" x14ac:dyDescent="0.25">
      <c r="A17" s="18" t="str">
        <f>HYPERLINK("#'Acknowledgements'!A1", "Acknowledgements")</f>
        <v>Acknowledgements</v>
      </c>
      <c r="D17" s="132" t="s">
        <v>193</v>
      </c>
      <c r="M17" s="82" t="str" cm="1">
        <f t="array" ref="M17">SourceData_Feedlot.SourceData_Feedlot_AshContent_Variable()</f>
        <v>A</v>
      </c>
      <c r="N17" s="1" cm="1">
        <f t="array" ref="N17">SourceData_Feedlot.SourceData_Feedlot_AshContent_Data()</f>
        <v>0.16</v>
      </c>
      <c r="O17" s="83" t="str" cm="1">
        <f t="array" ref="O17">SourceData_Feedlot.SourceData_Feedlot_AshContent_Unit()</f>
        <v>Fraction</v>
      </c>
    </row>
    <row r="18" spans="1:23" ht="20.100000000000001" customHeight="1" x14ac:dyDescent="0.25">
      <c r="A18" s="96"/>
      <c r="D18" s="131" t="s">
        <v>187</v>
      </c>
    </row>
    <row r="19" spans="1:23" ht="20.100000000000001" customHeight="1" x14ac:dyDescent="0.25">
      <c r="A19" s="18"/>
      <c r="D19" s="80" t="s">
        <v>195</v>
      </c>
      <c r="E19" s="80" t="s">
        <v>196</v>
      </c>
      <c r="F19" s="80" t="s">
        <v>197</v>
      </c>
    </row>
    <row r="20" spans="1:23" ht="20.100000000000001" customHeight="1" x14ac:dyDescent="0.25">
      <c r="A20" s="18"/>
      <c r="D20" s="81">
        <f>'Input - MMS - Feedlot'!$E$8</f>
        <v>10.4</v>
      </c>
      <c r="E20" s="81">
        <f>'Input - MMS - Feedlot'!$F$8</f>
        <v>10.8</v>
      </c>
      <c r="F20" s="81">
        <f>'Input - MMS - Feedlot'!$G$8</f>
        <v>8.1999999999999993</v>
      </c>
      <c r="G20" s="2" t="s">
        <v>188</v>
      </c>
      <c r="M20" s="6" t="str" cm="1">
        <f t="array" ref="M20">SourceData_Feedlot.SourceData_Feedlot_MethaneEmissionsPotential_Title()</f>
        <v>Methane emissions potential.</v>
      </c>
    </row>
    <row r="21" spans="1:23" ht="20.100000000000001" customHeight="1" x14ac:dyDescent="0.25">
      <c r="A21" t="s">
        <v>79</v>
      </c>
      <c r="M21" s="5" t="str" cm="1">
        <f t="array" ref="M21">SourceData_Feedlot.SourceData_Feedlot_MethaneEmissionsPotential_Source()</f>
        <v>VEERG 2026: 4.1.2.3 CONSTANTS</v>
      </c>
    </row>
    <row r="22" spans="1:23" ht="20.100000000000001" customHeight="1" x14ac:dyDescent="0.25">
      <c r="D22" s="132" t="s">
        <v>199</v>
      </c>
      <c r="M22" s="82" t="str" cm="1">
        <f t="array" ref="M22">SourceData_Feedlot.SourceData_Feedlot_MethaneEmissionsPotential_Variable()</f>
        <v>B0</v>
      </c>
      <c r="N22" s="1" cm="1">
        <f t="array" ref="N22">SourceData_Feedlot.SourceData_Feedlot_MethaneEmissionsPotential_Data()</f>
        <v>0.19</v>
      </c>
      <c r="O22" s="83" t="str" cm="1">
        <f t="array" ref="O22">SourceData_Feedlot.SourceData_Feedlot_MethaneEmissionsPotential_Unit()</f>
        <v>m3 CH4 / kg VS</v>
      </c>
    </row>
    <row r="23" spans="1:23" ht="20.100000000000001" customHeight="1" x14ac:dyDescent="0.25">
      <c r="D23" s="131" t="s">
        <v>83</v>
      </c>
    </row>
    <row r="24" spans="1:23" ht="20.100000000000001" customHeight="1" x14ac:dyDescent="0.25">
      <c r="D24" s="80" t="s">
        <v>195</v>
      </c>
      <c r="E24" s="80" t="s">
        <v>196</v>
      </c>
      <c r="F24" s="80" t="s">
        <v>197</v>
      </c>
    </row>
    <row r="25" spans="1:23" ht="20.100000000000001" customHeight="1" x14ac:dyDescent="0.25">
      <c r="D25" s="81">
        <f>'Input - MMS - Feedlot'!$E$9</f>
        <v>0.81</v>
      </c>
      <c r="E25" s="81">
        <f>'Input - MMS - Feedlot'!$F$9</f>
        <v>0.81</v>
      </c>
      <c r="F25" s="81">
        <f>'Input - MMS - Feedlot'!$G$9</f>
        <v>0.79</v>
      </c>
      <c r="G25" s="2" t="s">
        <v>178</v>
      </c>
      <c r="M25" s="6" t="str" cm="1">
        <f t="array" ref="M25">SourceData_Feedlot.SourceData_Feedlot_MCF_Title()</f>
        <v>Feedlot - MCFs</v>
      </c>
    </row>
    <row r="26" spans="1:23" ht="20.100000000000001" customHeight="1" x14ac:dyDescent="0.25">
      <c r="M26" s="5" t="str" cm="1">
        <f t="array" ref="M26">SourceData_Feedlot.SourceData_Feedlot_MCF_Source()</f>
        <v>VEERG 2026: Table A.1.7.4: Feedlot - MCFs</v>
      </c>
    </row>
    <row r="27" spans="1:23" ht="20.100000000000001" customHeight="1" x14ac:dyDescent="0.25">
      <c r="D27" s="132" t="s">
        <v>179</v>
      </c>
      <c r="M27" s="84" t="str" cm="1">
        <f t="array" ref="M27:M30">SourceData_Feedlot.SourceData_Feedlot_MCF_Variation()</f>
        <v>VARIATION ON SOURCE:</v>
      </c>
    </row>
    <row r="28" spans="1:23" ht="20.100000000000001" customHeight="1" x14ac:dyDescent="0.25">
      <c r="D28" s="131" t="s">
        <v>189</v>
      </c>
      <c r="M28" s="84" t="str">
        <v>Duplicated NSW values for ACT</v>
      </c>
    </row>
    <row r="29" spans="1:23" ht="20.100000000000001" customHeight="1" x14ac:dyDescent="0.25">
      <c r="D29" s="80" t="s">
        <v>195</v>
      </c>
      <c r="E29" s="80" t="s">
        <v>196</v>
      </c>
      <c r="F29" s="80" t="s">
        <v>197</v>
      </c>
      <c r="M29" s="84" t="str">
        <v>Added NT and TAS columns with 'no data' values</v>
      </c>
    </row>
    <row r="30" spans="1:23" ht="20.100000000000001" customHeight="1" x14ac:dyDescent="0.25">
      <c r="D30" s="81">
        <f>(D20 * (1 - D25) * (1 - $G$15))</f>
        <v>1.6598399999999995</v>
      </c>
      <c r="E30" s="81">
        <f>(E20 * (1 - E25) * (1 - $G$15))</f>
        <v>1.7236799999999997</v>
      </c>
      <c r="F30" s="81">
        <f>(F20 * (1 - F25) * (1 - $G$15))</f>
        <v>1.4464799999999995</v>
      </c>
      <c r="G30" s="2" t="str">
        <f>$E$11</f>
        <v>kg/head/day</v>
      </c>
      <c r="M30" s="84" t="str">
        <v>Added 'NIR definition' column with MMS names that match NIR definitions.</v>
      </c>
    </row>
    <row r="31" spans="1:23" ht="20.100000000000001" customHeight="1" x14ac:dyDescent="0.25"/>
    <row r="32" spans="1:23" ht="20.100000000000001" customHeight="1" x14ac:dyDescent="0.25">
      <c r="M32" s="64" t="s">
        <v>201</v>
      </c>
      <c r="N32" s="64" t="s">
        <v>191</v>
      </c>
      <c r="O32" s="64" t="s">
        <v>154</v>
      </c>
      <c r="P32" s="64" t="s">
        <v>153</v>
      </c>
      <c r="Q32" s="64" t="s">
        <v>156</v>
      </c>
      <c r="R32" s="64" t="s">
        <v>155</v>
      </c>
      <c r="S32" s="64" t="s">
        <v>157</v>
      </c>
      <c r="T32" s="64" t="s">
        <v>159</v>
      </c>
      <c r="U32" s="64" t="s">
        <v>160</v>
      </c>
      <c r="V32" s="64" t="s">
        <v>158</v>
      </c>
      <c r="W32" s="64" t="s">
        <v>176</v>
      </c>
    </row>
    <row r="33" spans="3:23" ht="20.100000000000001" customHeight="1" x14ac:dyDescent="0.25">
      <c r="C33" s="73"/>
      <c r="D33" s="73"/>
      <c r="E33" s="73"/>
      <c r="F33" s="73"/>
      <c r="G33" s="73"/>
      <c r="H33" s="73"/>
      <c r="I33" s="73"/>
      <c r="J33" s="73"/>
      <c r="M33" s="64" t="str" cm="1">
        <f t="array" ref="M33">Common_InputFunctions.Utility_DisplayArrayInTable(SourceData_Feedlot.SourceData_Feedlot_MCF_Data(), Table_SourceData_Feedlot_MCF[[#Headers],[Treatment stage T]], 0)</f>
        <v>Primary</v>
      </c>
      <c r="N33" s="64" t="str" cm="1">
        <f t="array" ref="N33">Common_InputFunctions.Utility_DisplayArrayInTable(SourceData_Feedlot.SourceData_Feedlot_MCF_Data(), Table_SourceData_Feedlot_MCF[[#Headers],[Treatment stage T]], 0)</f>
        <v>Dry lot (Feedpad)</v>
      </c>
      <c r="O33" s="64" cm="1">
        <f t="array" ref="O33">Common_InputFunctions.Utility_DisplayArrayInTable(SourceData_Feedlot.SourceData_Feedlot_MCF_Data(), Table_SourceData_Feedlot_MCF[[#Headers],[Treatment stage T]], 0)</f>
        <v>0.01</v>
      </c>
      <c r="P33" s="64" cm="1">
        <f t="array" ref="P33">Common_InputFunctions.Utility_DisplayArrayInTable(SourceData_Feedlot.SourceData_Feedlot_MCF_Data(), Table_SourceData_Feedlot_MCF[[#Headers],[Treatment stage T]], 0)</f>
        <v>0.01</v>
      </c>
      <c r="Q33" s="64" cm="1">
        <f t="array" ref="Q33">Common_InputFunctions.Utility_DisplayArrayInTable(SourceData_Feedlot.SourceData_Feedlot_MCF_Data(), Table_SourceData_Feedlot_MCF[[#Headers],[Treatment stage T]], 0)</f>
        <v>0.03</v>
      </c>
      <c r="R33" s="64" t="str" cm="1">
        <f t="array" ref="R33">Common_InputFunctions.Utility_DisplayArrayInTable(SourceData_Feedlot.SourceData_Feedlot_MCF_Data(), Table_SourceData_Feedlot_MCF[[#Headers],[Treatment stage T]], 0)</f>
        <v>No data</v>
      </c>
      <c r="S33" s="64" cm="1">
        <f t="array" ref="S33">Common_InputFunctions.Utility_DisplayArrayInTable(SourceData_Feedlot.SourceData_Feedlot_MCF_Data(), Table_SourceData_Feedlot_MCF[[#Headers],[Treatment stage T]], 0)</f>
        <v>0.01</v>
      </c>
      <c r="T33" s="64" cm="1">
        <f t="array" ref="T33">Common_InputFunctions.Utility_DisplayArrayInTable(SourceData_Feedlot.SourceData_Feedlot_MCF_Data(), Table_SourceData_Feedlot_MCF[[#Headers],[Treatment stage T]], 0)</f>
        <v>0.01</v>
      </c>
      <c r="U33" s="64" cm="1">
        <f t="array" ref="U33">Common_InputFunctions.Utility_DisplayArrayInTable(SourceData_Feedlot.SourceData_Feedlot_MCF_Data(), Table_SourceData_Feedlot_MCF[[#Headers],[Treatment stage T]], 0)</f>
        <v>0.01</v>
      </c>
      <c r="V33" s="64" t="str" cm="1">
        <f t="array" ref="V33">Common_InputFunctions.Utility_DisplayArrayInTable(SourceData_Feedlot.SourceData_Feedlot_MCF_Data(), Table_SourceData_Feedlot_MCF[[#Headers],[Treatment stage T]], 0)</f>
        <v>No data</v>
      </c>
      <c r="W33" s="64" t="str" cm="1">
        <f t="array" ref="W33">Common_InputFunctions.Utility_DisplayArrayInTable(SourceData_Feedlot.SourceData_Feedlot_MCF_Data(), Table_SourceData_Feedlot_MCF[[#Headers],[Treatment stage T]], 0)</f>
        <v>Drylot (feed pad)</v>
      </c>
    </row>
    <row r="34" spans="3:23" ht="20.100000000000001" customHeight="1" x14ac:dyDescent="0.25">
      <c r="D34" s="6" t="str" cm="1">
        <f t="array" ref="D34">MMS_Feedlot_Methane_Equations.VEERG_4_1_1_1__2_Stage1MethaneProductionDrylot_Title()</f>
        <v>Production of methane in treatment stage 1 MMS</v>
      </c>
      <c r="M34" s="1" t="str" cm="1">
        <f t="array" ref="M34">Common_InputFunctions.Utility_DisplayArrayInTable(SourceData_Feedlot.SourceData_Feedlot_MCF_Data(), Table_SourceData_Feedlot_MCF[[#Headers],[Treatment stage T]], 0)</f>
        <v>Secondary</v>
      </c>
      <c r="N34" s="64" t="str" cm="1">
        <f t="array" ref="N34">Common_InputFunctions.Utility_DisplayArrayInTable(SourceData_Feedlot.SourceData_Feedlot_MCF_Data(), Table_SourceData_Feedlot_MCF[[#Headers],[Treatment stage T]], 0)</f>
        <v>Solid Storage (Stockpile)</v>
      </c>
      <c r="O34" s="64" cm="1">
        <f t="array" ref="O34">Common_InputFunctions.Utility_DisplayArrayInTable(SourceData_Feedlot.SourceData_Feedlot_MCF_Data(), Table_SourceData_Feedlot_MCF[[#Headers],[Treatment stage T]], 0)</f>
        <v>0.02</v>
      </c>
      <c r="P34" s="64" cm="1">
        <f t="array" ref="P34">Common_InputFunctions.Utility_DisplayArrayInTable(SourceData_Feedlot.SourceData_Feedlot_MCF_Data(), Table_SourceData_Feedlot_MCF[[#Headers],[Treatment stage T]], 0)</f>
        <v>0.02</v>
      </c>
      <c r="Q34" s="64" cm="1">
        <f t="array" ref="Q34">Common_InputFunctions.Utility_DisplayArrayInTable(SourceData_Feedlot.SourceData_Feedlot_MCF_Data(), Table_SourceData_Feedlot_MCF[[#Headers],[Treatment stage T]], 0)</f>
        <v>0.02</v>
      </c>
      <c r="R34" s="64" t="str" cm="1">
        <f t="array" ref="R34">Common_InputFunctions.Utility_DisplayArrayInTable(SourceData_Feedlot.SourceData_Feedlot_MCF_Data(), Table_SourceData_Feedlot_MCF[[#Headers],[Treatment stage T]], 0)</f>
        <v>No data</v>
      </c>
      <c r="S34" s="64" cm="1">
        <f t="array" ref="S34">Common_InputFunctions.Utility_DisplayArrayInTable(SourceData_Feedlot.SourceData_Feedlot_MCF_Data(), Table_SourceData_Feedlot_MCF[[#Headers],[Treatment stage T]], 0)</f>
        <v>0.02</v>
      </c>
      <c r="T34" s="64" cm="1">
        <f t="array" ref="T34">Common_InputFunctions.Utility_DisplayArrayInTable(SourceData_Feedlot.SourceData_Feedlot_MCF_Data(), Table_SourceData_Feedlot_MCF[[#Headers],[Treatment stage T]], 0)</f>
        <v>0.02</v>
      </c>
      <c r="U34" s="64" cm="1">
        <f t="array" ref="U34">Common_InputFunctions.Utility_DisplayArrayInTable(SourceData_Feedlot.SourceData_Feedlot_MCF_Data(), Table_SourceData_Feedlot_MCF[[#Headers],[Treatment stage T]], 0)</f>
        <v>0.02</v>
      </c>
      <c r="V34" s="64" t="str" cm="1">
        <f t="array" ref="V34">Common_InputFunctions.Utility_DisplayArrayInTable(SourceData_Feedlot.SourceData_Feedlot_MCF_Data(), Table_SourceData_Feedlot_MCF[[#Headers],[Treatment stage T]], 0)</f>
        <v>No data</v>
      </c>
      <c r="W34" s="64" t="str" cm="1">
        <f t="array" ref="W34">Common_InputFunctions.Utility_DisplayArrayInTable(SourceData_Feedlot.SourceData_Feedlot_MCF_Data(), Table_SourceData_Feedlot_MCF[[#Headers],[Treatment stage T]], 0)</f>
        <v>Solid storage</v>
      </c>
    </row>
    <row r="35" spans="3:23" ht="20.100000000000001" customHeight="1" x14ac:dyDescent="0.25">
      <c r="D35" s="5" t="str" cm="1">
        <f t="array" ref="D35">MMS_Feedlot_Methane_Equations.VEERG_4_1_1_1__2_Stage1MethaneProductionDrylot_Source()</f>
        <v>VEERG 2026: 4.1.1.1, Equation (2)</v>
      </c>
      <c r="M35" s="1" t="str" cm="1">
        <f t="array" ref="M35">Common_InputFunctions.Utility_DisplayArrayInTable(SourceData_Feedlot.SourceData_Feedlot_MCF_Data(), Table_SourceData_Feedlot_MCF[[#Headers],[Treatment stage T]], 0)</f>
        <v>Secondary</v>
      </c>
      <c r="N35" s="64" t="str" cm="1">
        <f t="array" ref="N35">Common_InputFunctions.Utility_DisplayArrayInTable(SourceData_Feedlot.SourceData_Feedlot_MCF_Data(), Table_SourceData_Feedlot_MCF[[#Headers],[Treatment stage T]], 0)</f>
        <v>Composting (Passive Windrow)</v>
      </c>
      <c r="O35" s="64" cm="1">
        <f t="array" ref="O35">Common_InputFunctions.Utility_DisplayArrayInTable(SourceData_Feedlot.SourceData_Feedlot_MCF_Data(), Table_SourceData_Feedlot_MCF[[#Headers],[Treatment stage T]], 0)</f>
        <v>0.01</v>
      </c>
      <c r="P35" s="64" cm="1">
        <f t="array" ref="P35">Common_InputFunctions.Utility_DisplayArrayInTable(SourceData_Feedlot.SourceData_Feedlot_MCF_Data(), Table_SourceData_Feedlot_MCF[[#Headers],[Treatment stage T]], 0)</f>
        <v>0.01</v>
      </c>
      <c r="Q35" s="64" cm="1">
        <f t="array" ref="Q35">Common_InputFunctions.Utility_DisplayArrayInTable(SourceData_Feedlot.SourceData_Feedlot_MCF_Data(), Table_SourceData_Feedlot_MCF[[#Headers],[Treatment stage T]], 0)</f>
        <v>0.01</v>
      </c>
      <c r="R35" s="64" t="str" cm="1">
        <f t="array" ref="R35">Common_InputFunctions.Utility_DisplayArrayInTable(SourceData_Feedlot.SourceData_Feedlot_MCF_Data(), Table_SourceData_Feedlot_MCF[[#Headers],[Treatment stage T]], 0)</f>
        <v>No data</v>
      </c>
      <c r="S35" s="64" cm="1">
        <f t="array" ref="S35">Common_InputFunctions.Utility_DisplayArrayInTable(SourceData_Feedlot.SourceData_Feedlot_MCF_Data(), Table_SourceData_Feedlot_MCF[[#Headers],[Treatment stage T]], 0)</f>
        <v>0.01</v>
      </c>
      <c r="T35" s="64" cm="1">
        <f t="array" ref="T35">Common_InputFunctions.Utility_DisplayArrayInTable(SourceData_Feedlot.SourceData_Feedlot_MCF_Data(), Table_SourceData_Feedlot_MCF[[#Headers],[Treatment stage T]], 0)</f>
        <v>0.01</v>
      </c>
      <c r="U35" s="64" cm="1">
        <f t="array" ref="U35">Common_InputFunctions.Utility_DisplayArrayInTable(SourceData_Feedlot.SourceData_Feedlot_MCF_Data(), Table_SourceData_Feedlot_MCF[[#Headers],[Treatment stage T]], 0)</f>
        <v>0.01</v>
      </c>
      <c r="V35" s="64" t="str" cm="1">
        <f t="array" ref="V35">Common_InputFunctions.Utility_DisplayArrayInTable(SourceData_Feedlot.SourceData_Feedlot_MCF_Data(), Table_SourceData_Feedlot_MCF[[#Headers],[Treatment stage T]], 0)</f>
        <v>No data</v>
      </c>
      <c r="W35" s="64" t="str" cm="1">
        <f t="array" ref="W35">Common_InputFunctions.Utility_DisplayArrayInTable(SourceData_Feedlot.SourceData_Feedlot_MCF_Data(), Table_SourceData_Feedlot_MCF[[#Headers],[Treatment stage T]], 0)</f>
        <v>Composting (passive windrow)</v>
      </c>
    </row>
    <row r="36" spans="3:23" ht="20.100000000000001" customHeight="1" x14ac:dyDescent="0.25">
      <c r="D36" s="14" t="s">
        <v>95</v>
      </c>
      <c r="E36" s="14" t="str" cm="1">
        <f t="array" aca="1" ref="E36" ca="1">Common_InputFunctions.Utility_DisplayFunctionName(E57)</f>
        <v>=(LET(MCFim5, IF(ISNUMBER($G$45), $G$45, 0), D30 * $G$43 * E52 * MCFim5 * $G$46))</v>
      </c>
      <c r="M36" s="1" t="str" cm="1">
        <f t="array" ref="M36">Common_InputFunctions.Utility_DisplayArrayInTable(SourceData_Feedlot.SourceData_Feedlot_MCF_Data(), Table_SourceData_Feedlot_MCF[[#Headers],[Treatment stage T]], 0)</f>
        <v>Secondary</v>
      </c>
      <c r="N36" s="64" t="str" cm="1">
        <f t="array" ref="N36">Common_InputFunctions.Utility_DisplayArrayInTable(SourceData_Feedlot.SourceData_Feedlot_MCF_Data(), Table_SourceData_Feedlot_MCF[[#Headers],[Treatment stage T]], 0)</f>
        <v>Direct Application to soil</v>
      </c>
      <c r="O36" s="64" cm="1">
        <f t="array" ref="O36">Common_InputFunctions.Utility_DisplayArrayInTable(SourceData_Feedlot.SourceData_Feedlot_MCF_Data(), Table_SourceData_Feedlot_MCF[[#Headers],[Treatment stage T]], 0)</f>
        <v>0</v>
      </c>
      <c r="P36" s="64" cm="1">
        <f t="array" ref="P36">Common_InputFunctions.Utility_DisplayArrayInTable(SourceData_Feedlot.SourceData_Feedlot_MCF_Data(), Table_SourceData_Feedlot_MCF[[#Headers],[Treatment stage T]], 0)</f>
        <v>0</v>
      </c>
      <c r="Q36" s="64" cm="1">
        <f t="array" ref="Q36">Common_InputFunctions.Utility_DisplayArrayInTable(SourceData_Feedlot.SourceData_Feedlot_MCF_Data(), Table_SourceData_Feedlot_MCF[[#Headers],[Treatment stage T]], 0)</f>
        <v>0</v>
      </c>
      <c r="R36" s="64" t="str" cm="1">
        <f t="array" ref="R36">Common_InputFunctions.Utility_DisplayArrayInTable(SourceData_Feedlot.SourceData_Feedlot_MCF_Data(), Table_SourceData_Feedlot_MCF[[#Headers],[Treatment stage T]], 0)</f>
        <v>No data</v>
      </c>
      <c r="S36" s="64" cm="1">
        <f t="array" ref="S36">Common_InputFunctions.Utility_DisplayArrayInTable(SourceData_Feedlot.SourceData_Feedlot_MCF_Data(), Table_SourceData_Feedlot_MCF[[#Headers],[Treatment stage T]], 0)</f>
        <v>0</v>
      </c>
      <c r="T36" s="64" cm="1">
        <f t="array" ref="T36">Common_InputFunctions.Utility_DisplayArrayInTable(SourceData_Feedlot.SourceData_Feedlot_MCF_Data(), Table_SourceData_Feedlot_MCF[[#Headers],[Treatment stage T]], 0)</f>
        <v>0</v>
      </c>
      <c r="U36" s="64" cm="1">
        <f t="array" ref="U36">Common_InputFunctions.Utility_DisplayArrayInTable(SourceData_Feedlot.SourceData_Feedlot_MCF_Data(), Table_SourceData_Feedlot_MCF[[#Headers],[Treatment stage T]], 0)</f>
        <v>0</v>
      </c>
      <c r="V36" s="64" t="str" cm="1">
        <f t="array" ref="V36">Common_InputFunctions.Utility_DisplayArrayInTable(SourceData_Feedlot.SourceData_Feedlot_MCF_Data(), Table_SourceData_Feedlot_MCF[[#Headers],[Treatment stage T]], 0)</f>
        <v>No data</v>
      </c>
      <c r="W36" s="64" t="str" cm="1">
        <f t="array" ref="W36">Common_InputFunctions.Utility_DisplayArrayInTable(SourceData_Feedlot.SourceData_Feedlot_MCF_Data(), Table_SourceData_Feedlot_MCF[[#Headers],[Treatment stage T]], 0)</f>
        <v>Direct application</v>
      </c>
    </row>
    <row r="37" spans="3:23" ht="20.100000000000001" customHeight="1" x14ac:dyDescent="0.25">
      <c r="M37" s="1" t="str" cm="1">
        <f t="array" ref="M37">Common_InputFunctions.Utility_DisplayArrayInTable(SourceData_Feedlot.SourceData_Feedlot_MCF_Data(), Table_SourceData_Feedlot_MCF[[#Headers],[Treatment stage T]], 0)</f>
        <v>Tertiary</v>
      </c>
      <c r="N37" s="64" t="str" cm="1">
        <f t="array" ref="N37">Common_InputFunctions.Utility_DisplayArrayInTable(SourceData_Feedlot.SourceData_Feedlot_MCF_Data(), Table_SourceData_Feedlot_MCF[[#Headers],[Treatment stage T]], 0)</f>
        <v>Uncovered anaerobic lagoon (Effluent pond)</v>
      </c>
      <c r="O37" s="64" cm="1">
        <f t="array" ref="O37">Common_InputFunctions.Utility_DisplayArrayInTable(SourceData_Feedlot.SourceData_Feedlot_MCF_Data(), Table_SourceData_Feedlot_MCF[[#Headers],[Treatment stage T]], 0)</f>
        <v>0.75</v>
      </c>
      <c r="P37" s="64" cm="1">
        <f t="array" ref="P37">Common_InputFunctions.Utility_DisplayArrayInTable(SourceData_Feedlot.SourceData_Feedlot_MCF_Data(), Table_SourceData_Feedlot_MCF[[#Headers],[Treatment stage T]], 0)</f>
        <v>0.75</v>
      </c>
      <c r="Q37" s="64" cm="1">
        <f t="array" ref="Q37">Common_InputFunctions.Utility_DisplayArrayInTable(SourceData_Feedlot.SourceData_Feedlot_MCF_Data(), Table_SourceData_Feedlot_MCF[[#Headers],[Treatment stage T]], 0)</f>
        <v>0.77</v>
      </c>
      <c r="R37" s="64" t="str" cm="1">
        <f t="array" ref="R37">Common_InputFunctions.Utility_DisplayArrayInTable(SourceData_Feedlot.SourceData_Feedlot_MCF_Data(), Table_SourceData_Feedlot_MCF[[#Headers],[Treatment stage T]], 0)</f>
        <v>No data</v>
      </c>
      <c r="S37" s="64" cm="1">
        <f t="array" ref="S37">Common_InputFunctions.Utility_DisplayArrayInTable(SourceData_Feedlot.SourceData_Feedlot_MCF_Data(), Table_SourceData_Feedlot_MCF[[#Headers],[Treatment stage T]], 0)</f>
        <v>0.75</v>
      </c>
      <c r="T37" s="64" cm="1">
        <f t="array" ref="T37">Common_InputFunctions.Utility_DisplayArrayInTable(SourceData_Feedlot.SourceData_Feedlot_MCF_Data(), Table_SourceData_Feedlot_MCF[[#Headers],[Treatment stage T]], 0)</f>
        <v>0.75</v>
      </c>
      <c r="U37" s="64" cm="1">
        <f t="array" ref="U37">Common_InputFunctions.Utility_DisplayArrayInTable(SourceData_Feedlot.SourceData_Feedlot_MCF_Data(), Table_SourceData_Feedlot_MCF[[#Headers],[Treatment stage T]], 0)</f>
        <v>0.77</v>
      </c>
      <c r="V37" s="64" t="str" cm="1">
        <f t="array" ref="V37">Common_InputFunctions.Utility_DisplayArrayInTable(SourceData_Feedlot.SourceData_Feedlot_MCF_Data(), Table_SourceData_Feedlot_MCF[[#Headers],[Treatment stage T]], 0)</f>
        <v>No data</v>
      </c>
      <c r="W37" s="64" t="str" cm="1">
        <f t="array" ref="W37">Common_InputFunctions.Utility_DisplayArrayInTable(SourceData_Feedlot.SourceData_Feedlot_MCF_Data(), Table_SourceData_Feedlot_MCF[[#Headers],[Treatment stage T]], 0)</f>
        <v>Anaerobic lagoon</v>
      </c>
    </row>
    <row r="38" spans="3:23" ht="20.100000000000001" customHeight="1" x14ac:dyDescent="0.25"/>
    <row r="39" spans="3:23" ht="20.100000000000001" customHeight="1" x14ac:dyDescent="0.25">
      <c r="D39" s="82" t="s">
        <v>98</v>
      </c>
      <c r="E39" s="1" t="str" cm="1">
        <f t="array" ref="E39">MMS_Feedlot_Methane_Equations.VEERG_4_1_1_1__2_Stage1MethaneProductionDrylot_Variable()</f>
        <v>Mjm5T1</v>
      </c>
    </row>
    <row r="40" spans="3:23" ht="20.100000000000001" customHeight="1" x14ac:dyDescent="0.25">
      <c r="D40" s="82" t="s">
        <v>86</v>
      </c>
      <c r="E40" s="83" t="str" cm="1">
        <f t="array" ref="E40">MMS_Feedlot_Methane_Equations.VEERG_4_1_1_1__2_Stage1MethaneProductionDrylot_Unit()</f>
        <v>kg CH4/head/day</v>
      </c>
      <c r="M40" s="6" t="s">
        <v>207</v>
      </c>
    </row>
    <row r="41" spans="3:23" ht="20.100000000000001" customHeight="1" x14ac:dyDescent="0.25"/>
    <row r="42" spans="3:23" ht="20.100000000000001" customHeight="1" x14ac:dyDescent="0.25">
      <c r="D42" s="86" t="str" cm="1">
        <f t="array" ref="D42:E47">MMS_Feedlot_Methane_Equations.VEERG_4_1_1_1__2_Stage1MethaneProductionDrylot_Arguments()</f>
        <v>VSj</v>
      </c>
      <c r="E42" s="87" t="str">
        <v>volatile solid production from feedlot cattle in each group : kg/head/day</v>
      </c>
      <c r="F42" s="88"/>
      <c r="G42" s="86" t="str">
        <f>"See " &amp; $D$27</f>
        <v>See Table_VS_j</v>
      </c>
      <c r="M42" s="130" t="s">
        <v>138</v>
      </c>
      <c r="N42" s="64" t="s">
        <v>152</v>
      </c>
    </row>
    <row r="43" spans="3:23" ht="20.100000000000001" customHeight="1" x14ac:dyDescent="0.25">
      <c r="D43" s="86" t="str">
        <v>BO</v>
      </c>
      <c r="E43" s="87" t="str">
        <v>emissions potential : m3 CH4/kg VS</v>
      </c>
      <c r="F43" s="88"/>
      <c r="G43" s="86">
        <f>$N$22</f>
        <v>0.19</v>
      </c>
      <c r="M43" s="64" t="str">
        <f>'Constants - Livestock'!$E$16</f>
        <v>Drylot (feed pad)</v>
      </c>
      <c r="N43" s="64" t="str">
        <f>'Constants - Livestock'!$F$16</f>
        <v>Drylot (feed pad) (m=5)</v>
      </c>
    </row>
    <row r="44" spans="3:23" ht="20.100000000000001" customHeight="1" x14ac:dyDescent="0.25">
      <c r="D44" s="86" t="str">
        <v>MMSm5T1</v>
      </c>
      <c r="E44" s="87" t="str">
        <v>fraction of manure in primary system drylot MMS : fraction</v>
      </c>
      <c r="F44" s="88"/>
      <c r="G44" s="86" t="str">
        <f>"See" &amp; D49</f>
        <v>SeeTable_MMS_m-5_T-1</v>
      </c>
      <c r="M44" s="64" t="str">
        <f>'Constants - Livestock'!$E$15</f>
        <v>Solid storage</v>
      </c>
      <c r="N44" s="64" t="str">
        <f>'Constants - Livestock'!$F$15</f>
        <v>Solid storage (m=4)</v>
      </c>
    </row>
    <row r="45" spans="3:23" ht="20.100000000000001" customHeight="1" x14ac:dyDescent="0.25">
      <c r="D45" s="86" t="str">
        <v>MCFim5</v>
      </c>
      <c r="E45" s="87" t="str">
        <v>methane conversion factor for temperature zone and drylot system : fraction</v>
      </c>
      <c r="F45" s="88"/>
      <c r="G45" s="86" t="e">
        <f>HLOOKUP(G47, Table_SourceData_Feedlot_MCF[#All], 2, FALSE)</f>
        <v>#REF!</v>
      </c>
      <c r="M45" s="64" t="str">
        <f>'Constants - Livestock'!$E$17</f>
        <v>Composting (passive windrow)</v>
      </c>
      <c r="N45" s="64" t="str">
        <f>'Constants - Livestock'!$F$17</f>
        <v>Composting (passive windrow) (m=6)</v>
      </c>
    </row>
    <row r="46" spans="3:23" ht="20.100000000000001" customHeight="1" x14ac:dyDescent="0.25">
      <c r="D46" s="86" t="str">
        <v>rho</v>
      </c>
      <c r="E46" s="87" t="str">
        <v>density of methane : kg/m3</v>
      </c>
      <c r="F46" s="88"/>
      <c r="G46" s="86" t="e">
        <f>#REF!</f>
        <v>#REF!</v>
      </c>
      <c r="M46" s="64" t="str">
        <f>'Constants - Livestock'!$E$26</f>
        <v>Direct application</v>
      </c>
      <c r="N46" s="64" t="str">
        <f>'Constants - Livestock'!$F$26</f>
        <v>Direct application (m=13)</v>
      </c>
    </row>
    <row r="47" spans="3:23" ht="20.100000000000001" customHeight="1" x14ac:dyDescent="0.25">
      <c r="D47" s="86" t="str">
        <v>i</v>
      </c>
      <c r="E47" s="87" t="str">
        <v>state</v>
      </c>
      <c r="F47" s="88"/>
      <c r="G47" s="86" t="e" cm="1">
        <f t="array" ref="G47">Common_InputFunctions.Utility_LookupValueInTable('Input - Site'!$E$21,#REF!,#REF!)</f>
        <v>#REF!</v>
      </c>
      <c r="M47" s="1" t="str">
        <f>'Constants - Livestock'!$E$10</f>
        <v>Anaerobic lagoon</v>
      </c>
      <c r="N47" s="1" t="str">
        <f>'Constants - Livestock'!$F$10</f>
        <v>Anaerobic lagoon (m=1)</v>
      </c>
    </row>
    <row r="48" spans="3:23" ht="20.100000000000001" customHeight="1" x14ac:dyDescent="0.25">
      <c r="M48" s="1" t="s">
        <v>190</v>
      </c>
      <c r="N48" s="64" t="s">
        <v>190</v>
      </c>
    </row>
    <row r="49" spans="3:10" ht="20.100000000000001" customHeight="1" x14ac:dyDescent="0.25">
      <c r="D49" s="132" t="s">
        <v>202</v>
      </c>
    </row>
    <row r="50" spans="3:10" ht="20.100000000000001" customHeight="1" x14ac:dyDescent="0.25">
      <c r="D50" s="131" t="s">
        <v>200</v>
      </c>
    </row>
    <row r="51" spans="3:10" ht="20.100000000000001" customHeight="1" x14ac:dyDescent="0.25">
      <c r="D51" s="80" t="s">
        <v>192</v>
      </c>
      <c r="E51" s="80" t="s">
        <v>195</v>
      </c>
      <c r="F51" s="80" t="s">
        <v>196</v>
      </c>
      <c r="G51" s="80" t="s">
        <v>197</v>
      </c>
    </row>
    <row r="52" spans="3:10" ht="20.100000000000001" customHeight="1" x14ac:dyDescent="0.25">
      <c r="D52" s="81" t="str">
        <f>'Input - MMS - Feedlot'!$D$16</f>
        <v>Drylot (feed pad)</v>
      </c>
      <c r="E52" s="81">
        <f>'Input - MMS - Feedlot'!$E$16</f>
        <v>1</v>
      </c>
      <c r="F52" s="81">
        <f>'Input - MMS - Feedlot'!$F$16</f>
        <v>1</v>
      </c>
      <c r="G52" s="81">
        <f>'Input - MMS - Feedlot'!$G$16</f>
        <v>1</v>
      </c>
      <c r="H52" s="2" t="s">
        <v>84</v>
      </c>
    </row>
    <row r="53" spans="3:10" ht="20.100000000000001" customHeight="1" x14ac:dyDescent="0.25"/>
    <row r="54" spans="3:10" ht="20.100000000000001" customHeight="1" x14ac:dyDescent="0.25">
      <c r="D54" s="132" t="s">
        <v>204</v>
      </c>
    </row>
    <row r="55" spans="3:10" ht="20.100000000000001" customHeight="1" x14ac:dyDescent="0.25">
      <c r="D55" s="131" t="s">
        <v>216</v>
      </c>
    </row>
    <row r="56" spans="3:10" ht="20.100000000000001" customHeight="1" x14ac:dyDescent="0.25">
      <c r="D56" s="80" t="s">
        <v>192</v>
      </c>
      <c r="E56" s="80" t="s">
        <v>195</v>
      </c>
      <c r="F56" s="80" t="s">
        <v>196</v>
      </c>
      <c r="G56" s="80" t="s">
        <v>197</v>
      </c>
    </row>
    <row r="57" spans="3:10" ht="20.100000000000001" customHeight="1" x14ac:dyDescent="0.25">
      <c r="D57" s="81" t="str">
        <f>'Input - MMS - Feedlot'!$D$16</f>
        <v>Drylot (feed pad)</v>
      </c>
      <c r="E57" s="81" t="e">
        <f>(_xlfn.LET(_xlpm.MCFim5, IF(ISNUMBER($G$45), $G$45, 0), D30 * $G$43 * E52 * _xlpm.MCFim5 * $G$46))</f>
        <v>#REF!</v>
      </c>
      <c r="F57" s="81" t="e">
        <f>(_xlfn.LET(_xlpm.MCFim5, IF(ISNUMBER($G$45), $G$45, 0), E30 * $G$43 * F52 * _xlpm.MCFim5 * $G$46))</f>
        <v>#REF!</v>
      </c>
      <c r="G57" s="81" t="e">
        <f>(_xlfn.LET(_xlpm.MCFim5, IF(ISNUMBER($G$45), $G$45, 0), F30 * $G$43 * G52 * _xlpm.MCFim5 * $G$46))</f>
        <v>#REF!</v>
      </c>
      <c r="H57" s="2" t="str">
        <f>$E$40</f>
        <v>kg CH4/head/day</v>
      </c>
    </row>
    <row r="58" spans="3:10" ht="20.100000000000001" customHeight="1" x14ac:dyDescent="0.25">
      <c r="D58" s="133" t="str">
        <f>IF(ISNUMBER($G$45),"", "⚠️ ALERT: No MCFim5 data provided. Zero is used instead.")</f>
        <v>⚠️ ALERT: No MCFim5 data provided. Zero is used instead.</v>
      </c>
    </row>
    <row r="59" spans="3:10" ht="20.100000000000001" customHeight="1" x14ac:dyDescent="0.25"/>
    <row r="60" spans="3:10" ht="20.100000000000001" customHeight="1" x14ac:dyDescent="0.25">
      <c r="C60" s="73"/>
      <c r="D60" s="73"/>
      <c r="E60" s="73"/>
      <c r="F60" s="73"/>
      <c r="G60" s="73"/>
      <c r="H60" s="73"/>
      <c r="I60" s="73"/>
      <c r="J60" s="73"/>
    </row>
    <row r="61" spans="3:10" ht="20.100000000000001" customHeight="1" x14ac:dyDescent="0.25">
      <c r="D61" s="6" t="str" cm="1">
        <f t="array" ref="D61">MMS_Feedlot_Methane_Equations.VEERG_4_1_1_1__3_Stage2MethaneProduction_Title()</f>
        <v>Production of methane in treatment stage 2 MMS</v>
      </c>
    </row>
    <row r="62" spans="3:10" ht="20.100000000000001" customHeight="1" x14ac:dyDescent="0.25">
      <c r="D62" s="5" t="str" cm="1">
        <f t="array" ref="D62">MMS_Feedlot_Methane_Equations.VEERG_4_1_1_1__3_Stage2MethaneProduction_Source()</f>
        <v>VEERG 2026: 4.1.1.1, Equation (3)</v>
      </c>
    </row>
    <row r="63" spans="3:10" ht="20.100000000000001" customHeight="1" x14ac:dyDescent="0.25">
      <c r="D63" s="14" t="s">
        <v>95</v>
      </c>
      <c r="E63" s="14" t="str" cm="1">
        <f t="array" aca="1" ref="E63" ca="1">Common_InputFunctions.Utility_DisplayFunctionName(F94)</f>
        <v>=((1 - $G$69) * D$30 * $G$71 * F80 * $F87 * $G$74)</v>
      </c>
    </row>
    <row r="64" spans="3:10" ht="20.100000000000001" customHeight="1" x14ac:dyDescent="0.25"/>
    <row r="65" spans="4:9" ht="20.100000000000001" customHeight="1" x14ac:dyDescent="0.25">
      <c r="D65" s="6"/>
    </row>
    <row r="66" spans="4:9" ht="20.100000000000001" customHeight="1" x14ac:dyDescent="0.25">
      <c r="D66" s="82" t="s">
        <v>98</v>
      </c>
      <c r="E66" s="1" t="str" cm="1">
        <f t="array" ref="E66">MMS_Feedlot_Methane_Equations.VEERG_4_1_1_1__3_Stage2MethaneProduction_Variable()</f>
        <v>MjmT2</v>
      </c>
    </row>
    <row r="67" spans="4:9" ht="20.100000000000001" customHeight="1" x14ac:dyDescent="0.25">
      <c r="D67" s="82" t="s">
        <v>86</v>
      </c>
      <c r="E67" s="83" t="str" cm="1">
        <f t="array" ref="E67">MMS_Feedlot_Methane_Equations.VEERG_4_1_1_1__3_Stage2MethaneProduction_Unit()</f>
        <v>kg CH4/head/day</v>
      </c>
    </row>
    <row r="68" spans="4:9" ht="20.100000000000001" customHeight="1" x14ac:dyDescent="0.25"/>
    <row r="69" spans="4:9" ht="20.100000000000001" customHeight="1" x14ac:dyDescent="0.25">
      <c r="D69" s="86" t="str" cm="1">
        <f t="array" ref="D69:E75">MMS_Feedlot_Methane_Equations.VEERG_4_1_1_1__3_Stage2MethaneProduction_Arguments()</f>
        <v>VSL</v>
      </c>
      <c r="E69" s="87" t="str">
        <v>fraction of volatile solids lost during storage in the primary system : fraction</v>
      </c>
      <c r="F69" s="88"/>
      <c r="G69" s="86">
        <f>$N$7</f>
        <v>0.5</v>
      </c>
    </row>
    <row r="70" spans="4:9" ht="20.100000000000001" customHeight="1" x14ac:dyDescent="0.25">
      <c r="D70" s="86" t="str">
        <v>VSj</v>
      </c>
      <c r="E70" s="87" t="str">
        <v>volatile solid production from feedlot cattle in each group : kg/head/day</v>
      </c>
      <c r="F70" s="88"/>
      <c r="G70" s="86" t="str">
        <f>"See " &amp; $D$27</f>
        <v>See Table_VS_j</v>
      </c>
    </row>
    <row r="71" spans="4:9" ht="20.100000000000001" customHeight="1" x14ac:dyDescent="0.25">
      <c r="D71" s="86" t="str">
        <v>BO</v>
      </c>
      <c r="E71" s="87" t="str">
        <v>emissions potential : m3 CH4/kg VS</v>
      </c>
      <c r="F71" s="88"/>
      <c r="G71" s="86">
        <f>$N$22</f>
        <v>0.19</v>
      </c>
    </row>
    <row r="72" spans="4:9" ht="20.100000000000001" customHeight="1" x14ac:dyDescent="0.25">
      <c r="D72" s="86" t="str">
        <v>MMSmT2</v>
      </c>
      <c r="E72" s="87" t="str">
        <v>fraction of manure in each secondary system : fraction</v>
      </c>
      <c r="F72" s="88"/>
      <c r="G72" s="86" t="str">
        <f>"See " &amp; D77</f>
        <v>See Table_MMS_m_T-2</v>
      </c>
    </row>
    <row r="73" spans="4:9" ht="20.100000000000001" customHeight="1" x14ac:dyDescent="0.25">
      <c r="D73" s="86" t="str">
        <v>MCFim</v>
      </c>
      <c r="E73" s="87" t="str">
        <v>methane conversion factor for temperature zone and MMS : fraction</v>
      </c>
      <c r="F73" s="88"/>
      <c r="G73" s="86" t="str">
        <f>"See " &amp; D84</f>
        <v>See Table_MCF_i_m</v>
      </c>
    </row>
    <row r="74" spans="4:9" ht="20.100000000000001" customHeight="1" x14ac:dyDescent="0.25">
      <c r="D74" s="86" t="str">
        <v>rho</v>
      </c>
      <c r="E74" s="87" t="str">
        <v>density of methane : kg/m3</v>
      </c>
      <c r="F74" s="88"/>
      <c r="G74" s="86" t="e">
        <f>#REF!</f>
        <v>#REF!</v>
      </c>
    </row>
    <row r="75" spans="4:9" ht="20.100000000000001" customHeight="1" x14ac:dyDescent="0.25">
      <c r="D75" s="86" t="str">
        <v>i</v>
      </c>
      <c r="E75" s="87" t="str">
        <v>state</v>
      </c>
      <c r="F75" s="88"/>
      <c r="G75" s="86" t="e" cm="1">
        <f t="array" ref="G75">Common_InputFunctions.Utility_LookupValueInTable('Input - Site'!$E$21,#REF!,#REF!)</f>
        <v>#REF!</v>
      </c>
    </row>
    <row r="76" spans="4:9" ht="20.100000000000001" customHeight="1" x14ac:dyDescent="0.25"/>
    <row r="77" spans="4:9" ht="20.100000000000001" customHeight="1" x14ac:dyDescent="0.25">
      <c r="D77" s="132" t="s">
        <v>205</v>
      </c>
    </row>
    <row r="78" spans="4:9" ht="20.100000000000001" customHeight="1" x14ac:dyDescent="0.25">
      <c r="D78" s="131" t="s">
        <v>206</v>
      </c>
    </row>
    <row r="79" spans="4:9" ht="20.100000000000001" customHeight="1" x14ac:dyDescent="0.25">
      <c r="D79" s="80" t="s">
        <v>192</v>
      </c>
      <c r="E79" s="80" t="s">
        <v>184</v>
      </c>
      <c r="F79" s="80" t="s">
        <v>195</v>
      </c>
      <c r="G79" s="80" t="s">
        <v>196</v>
      </c>
      <c r="H79" s="80" t="s">
        <v>197</v>
      </c>
    </row>
    <row r="80" spans="4:9" ht="20.100000000000001" customHeight="1" x14ac:dyDescent="0.25">
      <c r="D80" s="81" t="str">
        <f>'Input - MMS - Feedlot'!$D$16</f>
        <v>Drylot (feed pad)</v>
      </c>
      <c r="E80" s="81" t="str">
        <f>'Input - MMS - Feedlot'!$D$22</f>
        <v>Solid storage</v>
      </c>
      <c r="F80" s="81">
        <f>'Input - MMS - Feedlot'!E22</f>
        <v>0.2</v>
      </c>
      <c r="G80" s="81">
        <f>'Input - MMS - Feedlot'!F22</f>
        <v>0.2</v>
      </c>
      <c r="H80" s="81">
        <f>'Input - MMS - Feedlot'!G22</f>
        <v>0.2</v>
      </c>
      <c r="I80" s="2" t="s">
        <v>178</v>
      </c>
    </row>
    <row r="81" spans="4:9" ht="20.100000000000001" customHeight="1" x14ac:dyDescent="0.25">
      <c r="D81" s="81" t="str">
        <f>'Input - MMS - Feedlot'!$D$16</f>
        <v>Drylot (feed pad)</v>
      </c>
      <c r="E81" s="81" t="str">
        <f>'Input - MMS - Feedlot'!$D$23</f>
        <v>Composting (passive windrow)</v>
      </c>
      <c r="F81" s="81">
        <f>'Input - MMS - Feedlot'!E23</f>
        <v>0.2</v>
      </c>
      <c r="G81" s="81">
        <f>'Input - MMS - Feedlot'!F23</f>
        <v>0.2</v>
      </c>
      <c r="H81" s="81">
        <f>'Input - MMS - Feedlot'!G23</f>
        <v>0.2</v>
      </c>
      <c r="I81" s="2" t="s">
        <v>178</v>
      </c>
    </row>
    <row r="82" spans="4:9" ht="20.100000000000001" customHeight="1" x14ac:dyDescent="0.25">
      <c r="D82" s="81" t="str">
        <f>'Input - MMS - Feedlot'!$D$16</f>
        <v>Drylot (feed pad)</v>
      </c>
      <c r="E82" s="81" t="str">
        <f>'Input - MMS - Feedlot'!$D$24</f>
        <v>Direct application</v>
      </c>
      <c r="F82" s="81">
        <f>'Input - MMS - Feedlot'!E24</f>
        <v>0.6</v>
      </c>
      <c r="G82" s="81">
        <f>'Input - MMS - Feedlot'!F24</f>
        <v>0.6</v>
      </c>
      <c r="H82" s="81">
        <f>'Input - MMS - Feedlot'!G24</f>
        <v>0.6</v>
      </c>
      <c r="I82" s="2" t="s">
        <v>178</v>
      </c>
    </row>
    <row r="83" spans="4:9" ht="20.100000000000001" customHeight="1" x14ac:dyDescent="0.25"/>
    <row r="84" spans="4:9" ht="20.100000000000001" customHeight="1" x14ac:dyDescent="0.25">
      <c r="D84" s="132" t="s">
        <v>180</v>
      </c>
    </row>
    <row r="85" spans="4:9" ht="20.100000000000001" customHeight="1" x14ac:dyDescent="0.25">
      <c r="D85" s="131" t="s">
        <v>208</v>
      </c>
    </row>
    <row r="86" spans="4:9" ht="20.100000000000001" customHeight="1" x14ac:dyDescent="0.25">
      <c r="D86" s="80" t="s">
        <v>192</v>
      </c>
      <c r="E86" s="80" t="s">
        <v>184</v>
      </c>
      <c r="F86" s="80" t="s">
        <v>175</v>
      </c>
    </row>
    <row r="87" spans="4:9" ht="20.100000000000001" customHeight="1" x14ac:dyDescent="0.25">
      <c r="D87" s="81" t="str">
        <f>'Input - MMS - Feedlot'!$D$16</f>
        <v>Drylot (feed pad)</v>
      </c>
      <c r="E87" s="81" t="str">
        <f>'Input - MMS - Feedlot'!$D$22</f>
        <v>Solid storage</v>
      </c>
      <c r="F87" s="81" t="e" cm="1">
        <f t="array" ref="F87">_xlfn.XLOOKUP($G$75, Table_SourceData_Feedlot_MCF[#Headers], _xlfn.XLOOKUP(E87, Table_SourceData_Feedlot_MCF[NIR definition], Table_SourceData_Feedlot_MCF[]))</f>
        <v>#REF!</v>
      </c>
      <c r="G87" s="2" t="s">
        <v>178</v>
      </c>
    </row>
    <row r="88" spans="4:9" ht="20.100000000000001" customHeight="1" x14ac:dyDescent="0.25">
      <c r="D88" s="81" t="str">
        <f>'Input - MMS - Feedlot'!$D$16</f>
        <v>Drylot (feed pad)</v>
      </c>
      <c r="E88" s="81" t="str">
        <f>'Input - MMS - Feedlot'!$D$23</f>
        <v>Composting (passive windrow)</v>
      </c>
      <c r="F88" s="81" t="e" cm="1">
        <f t="array" ref="F88">_xlfn.XLOOKUP($G$75, Table_SourceData_Feedlot_MCF[#Headers], _xlfn.XLOOKUP(E88, Table_SourceData_Feedlot_MCF[NIR definition], Table_SourceData_Feedlot_MCF[]))</f>
        <v>#REF!</v>
      </c>
      <c r="G88" s="2" t="s">
        <v>178</v>
      </c>
    </row>
    <row r="89" spans="4:9" ht="20.100000000000001" customHeight="1" x14ac:dyDescent="0.25">
      <c r="D89" s="81" t="str">
        <f>'Input - MMS - Feedlot'!$D$16</f>
        <v>Drylot (feed pad)</v>
      </c>
      <c r="E89" s="81" t="str">
        <f>'Input - MMS - Feedlot'!$D$24</f>
        <v>Direct application</v>
      </c>
      <c r="F89" s="81" t="e" cm="1">
        <f t="array" ref="F89">_xlfn.XLOOKUP($G$75, Table_SourceData_Feedlot_MCF[#Headers], _xlfn.XLOOKUP(E89, Table_SourceData_Feedlot_MCF[NIR definition], Table_SourceData_Feedlot_MCF[]))</f>
        <v>#REF!</v>
      </c>
      <c r="G89" s="2" t="s">
        <v>178</v>
      </c>
    </row>
    <row r="90" spans="4:9" ht="20.100000000000001" customHeight="1" x14ac:dyDescent="0.25"/>
    <row r="91" spans="4:9" ht="20.100000000000001" customHeight="1" x14ac:dyDescent="0.25">
      <c r="D91" s="132" t="s">
        <v>217</v>
      </c>
    </row>
    <row r="92" spans="4:9" ht="20.100000000000001" customHeight="1" x14ac:dyDescent="0.25">
      <c r="D92" s="131" t="s">
        <v>218</v>
      </c>
    </row>
    <row r="93" spans="4:9" ht="20.100000000000001" customHeight="1" x14ac:dyDescent="0.25">
      <c r="D93" s="80" t="s">
        <v>192</v>
      </c>
      <c r="E93" s="80" t="s">
        <v>184</v>
      </c>
      <c r="F93" s="80" t="s">
        <v>195</v>
      </c>
      <c r="G93" s="80" t="s">
        <v>196</v>
      </c>
      <c r="H93" s="80" t="s">
        <v>197</v>
      </c>
    </row>
    <row r="94" spans="4:9" ht="20.100000000000001" customHeight="1" x14ac:dyDescent="0.25">
      <c r="D94" s="81" t="str">
        <f>'Input - MMS - Feedlot'!$D$16</f>
        <v>Drylot (feed pad)</v>
      </c>
      <c r="E94" s="81" t="str">
        <f>'Input - MMS - Feedlot'!$D$22</f>
        <v>Solid storage</v>
      </c>
      <c r="F94" s="81" t="e">
        <f t="shared" ref="F94:H96" si="0">((1 - $G$69) * D$30 * $G$71 * F80 * $F87 * $G$74)</f>
        <v>#REF!</v>
      </c>
      <c r="G94" s="81" t="e">
        <f t="shared" si="0"/>
        <v>#REF!</v>
      </c>
      <c r="H94" s="81" t="e">
        <f t="shared" si="0"/>
        <v>#REF!</v>
      </c>
      <c r="I94" s="2" t="str">
        <f>$E$67</f>
        <v>kg CH4/head/day</v>
      </c>
    </row>
    <row r="95" spans="4:9" ht="20.100000000000001" customHeight="1" x14ac:dyDescent="0.25">
      <c r="D95" s="81" t="str">
        <f>'Input - MMS - Feedlot'!$D$16</f>
        <v>Drylot (feed pad)</v>
      </c>
      <c r="E95" s="81" t="str">
        <f>'Input - MMS - Feedlot'!$D$23</f>
        <v>Composting (passive windrow)</v>
      </c>
      <c r="F95" s="81" t="e">
        <f t="shared" si="0"/>
        <v>#REF!</v>
      </c>
      <c r="G95" s="81" t="e">
        <f t="shared" si="0"/>
        <v>#REF!</v>
      </c>
      <c r="H95" s="81" t="e">
        <f t="shared" si="0"/>
        <v>#REF!</v>
      </c>
      <c r="I95" s="2" t="str">
        <f t="shared" ref="I95:I96" si="1">$E$67</f>
        <v>kg CH4/head/day</v>
      </c>
    </row>
    <row r="96" spans="4:9" ht="20.100000000000001" customHeight="1" x14ac:dyDescent="0.25">
      <c r="D96" s="81" t="str">
        <f>'Input - MMS - Feedlot'!$D$16</f>
        <v>Drylot (feed pad)</v>
      </c>
      <c r="E96" s="81" t="str">
        <f>'Input - MMS - Feedlot'!$D$24</f>
        <v>Direct application</v>
      </c>
      <c r="F96" s="81" t="e">
        <f t="shared" si="0"/>
        <v>#REF!</v>
      </c>
      <c r="G96" s="81" t="e">
        <f t="shared" si="0"/>
        <v>#REF!</v>
      </c>
      <c r="H96" s="81" t="e">
        <f t="shared" si="0"/>
        <v>#REF!</v>
      </c>
      <c r="I96" s="2" t="str">
        <f t="shared" si="1"/>
        <v>kg CH4/head/day</v>
      </c>
    </row>
    <row r="97" spans="3:10" ht="20.100000000000001" customHeight="1" x14ac:dyDescent="0.25"/>
    <row r="98" spans="3:10" ht="20.100000000000001" customHeight="1" x14ac:dyDescent="0.25"/>
    <row r="99" spans="3:10" ht="20.100000000000001" customHeight="1" x14ac:dyDescent="0.25">
      <c r="C99" s="73"/>
      <c r="D99" s="73"/>
      <c r="E99" s="73"/>
      <c r="F99" s="73"/>
      <c r="G99" s="73"/>
      <c r="H99" s="73"/>
      <c r="I99" s="73"/>
      <c r="J99" s="73"/>
    </row>
    <row r="100" spans="3:10" ht="20.100000000000001" customHeight="1" x14ac:dyDescent="0.25">
      <c r="D100" s="6" t="str" cm="1">
        <f t="array" ref="D100">MMS_Feedlot_Methane_Equations.VEERG_4_1_1_1__4_Stage3MethaneProductionAnaerobicLagoon_Title()</f>
        <v>Production of methane in treatment stage 3 MMS</v>
      </c>
    </row>
    <row r="101" spans="3:10" ht="20.100000000000001" customHeight="1" x14ac:dyDescent="0.25">
      <c r="D101" s="5" t="str" cm="1">
        <f t="array" ref="D101">MMS_Feedlot_Methane_Equations.VEERG_4_1_1_1__4_Stage3MethaneProductionAnaerobicLagoon_Source()</f>
        <v>VEERG 2026: 4.1.1.1, Equation (4)</v>
      </c>
    </row>
    <row r="102" spans="3:10" ht="20.100000000000001" customHeight="1" x14ac:dyDescent="0.25">
      <c r="D102" s="14" t="s">
        <v>95</v>
      </c>
      <c r="E102" s="14" t="str" cm="1">
        <f t="array" aca="1" ref="E102" ca="1">Common_InputFunctions.Utility_DisplayFunctionName(E123)</f>
        <v>=(D$30 * $H$109 * E118 * $H$111 * $H$112)</v>
      </c>
    </row>
    <row r="103" spans="3:10" ht="20.100000000000001" customHeight="1" x14ac:dyDescent="0.25"/>
    <row r="104" spans="3:10" ht="20.100000000000001" customHeight="1" x14ac:dyDescent="0.25">
      <c r="D104" s="6"/>
    </row>
    <row r="105" spans="3:10" ht="20.100000000000001" customHeight="1" x14ac:dyDescent="0.25">
      <c r="D105" s="82" t="s">
        <v>98</v>
      </c>
      <c r="E105" s="1" t="str" cm="1">
        <f t="array" ref="E105">MMS_Feedlot_Methane_Equations.VEERG_4_1_1_1__4_Stage3MethaneProductionAnaerobicLagoon_Variable()</f>
        <v>Mjm1T3</v>
      </c>
    </row>
    <row r="106" spans="3:10" ht="20.100000000000001" customHeight="1" x14ac:dyDescent="0.25">
      <c r="D106" s="82" t="s">
        <v>86</v>
      </c>
      <c r="E106" s="83" t="str" cm="1">
        <f t="array" ref="E106">MMS_Feedlot_Methane_Equations.VEERG_4_1_1_1__4_Stage3MethaneProductionAnaerobicLagoon_Unit()</f>
        <v>kg CH4/head/day</v>
      </c>
    </row>
    <row r="107" spans="3:10" ht="20.100000000000001" customHeight="1" x14ac:dyDescent="0.25"/>
    <row r="108" spans="3:10" ht="20.100000000000001" customHeight="1" x14ac:dyDescent="0.25">
      <c r="D108" s="86" t="str" cm="1">
        <f t="array" ref="D108:E113">MMS_Feedlot_Methane_Equations.VEERG_4_1_1_1__4_Stage3MethaneProductionAnaerobicLagoon_Arguments()</f>
        <v>VSj</v>
      </c>
      <c r="E108" s="87" t="str">
        <v>volatile solid production from feedlot cattle in each group : kg/head/day</v>
      </c>
      <c r="F108" s="135"/>
      <c r="G108" s="88"/>
      <c r="H108" s="86" t="str">
        <f>"See " &amp; $D$27</f>
        <v>See Table_VS_j</v>
      </c>
    </row>
    <row r="109" spans="3:10" ht="20.100000000000001" customHeight="1" x14ac:dyDescent="0.25">
      <c r="D109" s="86" t="str">
        <v>BO</v>
      </c>
      <c r="E109" s="87" t="str">
        <v>emissions potential : m3 CH4/kg VS</v>
      </c>
      <c r="F109" s="135"/>
      <c r="G109" s="88"/>
      <c r="H109" s="86">
        <f>$N$22</f>
        <v>0.19</v>
      </c>
    </row>
    <row r="110" spans="3:10" ht="20.100000000000001" customHeight="1" x14ac:dyDescent="0.25">
      <c r="D110" s="86" t="str">
        <v>MMSm1T3</v>
      </c>
      <c r="E110" s="87" t="str">
        <v>fraction of manure to tertiary anaerobic lagoon system : fraction</v>
      </c>
      <c r="F110" s="135"/>
      <c r="G110" s="88"/>
      <c r="H110" s="86" t="str">
        <f>"See " &amp; D115</f>
        <v>See Table_MMS_m-1_T-3</v>
      </c>
    </row>
    <row r="111" spans="3:10" ht="20.100000000000001" customHeight="1" x14ac:dyDescent="0.25">
      <c r="D111" s="86" t="str">
        <v>MCFim1</v>
      </c>
      <c r="E111" s="87" t="str">
        <v>methane conversion factor for temperature zone and anaerobic lagoon system : fraction</v>
      </c>
      <c r="F111" s="135"/>
      <c r="G111" s="88"/>
      <c r="H111" s="86" t="e">
        <f>HLOOKUP(H113, Table_SourceData_Feedlot_MCF[#All], 6, FALSE)</f>
        <v>#REF!</v>
      </c>
    </row>
    <row r="112" spans="3:10" ht="20.100000000000001" customHeight="1" x14ac:dyDescent="0.25">
      <c r="D112" s="86" t="str">
        <v>rho</v>
      </c>
      <c r="E112" s="87" t="str">
        <v>density of methane : kg/m3</v>
      </c>
      <c r="F112" s="135"/>
      <c r="G112" s="88"/>
      <c r="H112" s="86" t="e">
        <f>#REF!</f>
        <v>#REF!</v>
      </c>
    </row>
    <row r="113" spans="3:10" ht="20.100000000000001" customHeight="1" x14ac:dyDescent="0.25">
      <c r="D113" s="86" t="str">
        <v>i</v>
      </c>
      <c r="E113" s="87" t="str">
        <v>state</v>
      </c>
      <c r="F113" s="135"/>
      <c r="G113" s="88"/>
      <c r="H113" s="86" t="e" cm="1">
        <f t="array" ref="H113">Common_InputFunctions.Utility_LookupValueInTable('Input - Site'!$E$21,#REF!,#REF!)</f>
        <v>#REF!</v>
      </c>
    </row>
    <row r="114" spans="3:10" ht="20.100000000000001" customHeight="1" x14ac:dyDescent="0.25"/>
    <row r="115" spans="3:10" ht="20.100000000000001" customHeight="1" x14ac:dyDescent="0.25">
      <c r="D115" s="132" t="s">
        <v>211</v>
      </c>
    </row>
    <row r="116" spans="3:10" ht="20.100000000000001" customHeight="1" x14ac:dyDescent="0.25">
      <c r="D116" s="131" t="s">
        <v>214</v>
      </c>
    </row>
    <row r="117" spans="3:10" ht="20.100000000000001" customHeight="1" x14ac:dyDescent="0.25">
      <c r="D117" s="80" t="s">
        <v>192</v>
      </c>
      <c r="E117" s="80" t="s">
        <v>195</v>
      </c>
      <c r="F117" s="80" t="s">
        <v>196</v>
      </c>
      <c r="G117" s="80" t="s">
        <v>197</v>
      </c>
    </row>
    <row r="118" spans="3:10" ht="20.100000000000001" customHeight="1" x14ac:dyDescent="0.25">
      <c r="D118" s="81" t="str">
        <f>'Input - MMS - Feedlot'!$D$16</f>
        <v>Drylot (feed pad)</v>
      </c>
      <c r="E118" s="81">
        <f>'Input - MMS - Feedlot'!E30</f>
        <v>0.02</v>
      </c>
      <c r="F118" s="81">
        <f>'Input - MMS - Feedlot'!F30</f>
        <v>0.02</v>
      </c>
      <c r="G118" s="81">
        <f>'Input - MMS - Feedlot'!G30</f>
        <v>0.02</v>
      </c>
      <c r="H118" s="2" t="s">
        <v>178</v>
      </c>
    </row>
    <row r="119" spans="3:10" ht="20.100000000000001" customHeight="1" x14ac:dyDescent="0.25"/>
    <row r="120" spans="3:10" ht="20.100000000000001" customHeight="1" x14ac:dyDescent="0.25">
      <c r="D120" s="132" t="s">
        <v>215</v>
      </c>
    </row>
    <row r="121" spans="3:10" ht="20.100000000000001" customHeight="1" x14ac:dyDescent="0.25">
      <c r="D121" s="131" t="s">
        <v>219</v>
      </c>
    </row>
    <row r="122" spans="3:10" ht="20.100000000000001" customHeight="1" x14ac:dyDescent="0.25">
      <c r="D122" s="80" t="s">
        <v>192</v>
      </c>
      <c r="E122" s="80" t="s">
        <v>195</v>
      </c>
      <c r="F122" s="80" t="s">
        <v>196</v>
      </c>
      <c r="G122" s="80" t="s">
        <v>197</v>
      </c>
    </row>
    <row r="123" spans="3:10" ht="20.100000000000001" customHeight="1" x14ac:dyDescent="0.25">
      <c r="D123" s="81" t="str">
        <f>'Input - MMS - Feedlot'!$D$16</f>
        <v>Drylot (feed pad)</v>
      </c>
      <c r="E123" s="81" t="e">
        <f>(D$30 * $H$109 * E118 * $H$111 * $H$112)</f>
        <v>#REF!</v>
      </c>
      <c r="F123" s="81" t="e">
        <f>(E$30 * $H$109 * F118 * $H$111 * $H$112)</f>
        <v>#REF!</v>
      </c>
      <c r="G123" s="81" t="e">
        <f>(F$30 * $H$109 * G118 * $H$111 * $H$112)</f>
        <v>#REF!</v>
      </c>
      <c r="H123" s="2" t="str">
        <f>$E$106</f>
        <v>kg CH4/head/day</v>
      </c>
    </row>
    <row r="124" spans="3:10" ht="20.100000000000001" customHeight="1" x14ac:dyDescent="0.25"/>
    <row r="125" spans="3:10" ht="20.100000000000001" customHeight="1" x14ac:dyDescent="0.25"/>
    <row r="126" spans="3:10" ht="20.100000000000001" customHeight="1" x14ac:dyDescent="0.25">
      <c r="C126" s="73"/>
      <c r="D126" s="73"/>
      <c r="E126" s="73"/>
      <c r="F126" s="73"/>
      <c r="G126" s="73"/>
      <c r="H126" s="73"/>
      <c r="I126" s="73"/>
      <c r="J126" s="73"/>
    </row>
    <row r="127" spans="3:10" ht="20.100000000000001" customHeight="1" x14ac:dyDescent="0.25">
      <c r="D127" s="6" t="str" cm="1">
        <f t="array" ref="D127">MMS_Feedlot_Methane_Equations.VEERG_4_1_1_1__1_TotalAnnualMethaneEmissions_Title()</f>
        <v>Total annual methane emissions from manure management</v>
      </c>
    </row>
    <row r="128" spans="3:10" ht="20.100000000000001" customHeight="1" x14ac:dyDescent="0.25">
      <c r="D128" s="5" t="str" cm="1">
        <f t="array" ref="D128">MMS_Feedlot_Methane_Equations.VEERG_4_1_1_1__1_TotalAnnualMethaneEmissions_Source()</f>
        <v>VEERG 2026: 4.1.1.1, Equation (1)</v>
      </c>
    </row>
    <row r="129" spans="4:8" ht="20.100000000000001" customHeight="1" x14ac:dyDescent="0.25">
      <c r="D129" s="14" t="s">
        <v>95</v>
      </c>
      <c r="E129" s="14"/>
    </row>
    <row r="130" spans="4:8" ht="20.100000000000001" customHeight="1" x14ac:dyDescent="0.25"/>
    <row r="131" spans="4:8" ht="20.100000000000001" customHeight="1" x14ac:dyDescent="0.25">
      <c r="D131" s="6"/>
    </row>
    <row r="132" spans="4:8" ht="20.100000000000001" customHeight="1" x14ac:dyDescent="0.25"/>
    <row r="133" spans="4:8" ht="20.100000000000001" customHeight="1" x14ac:dyDescent="0.25">
      <c r="D133" s="82" t="s">
        <v>98</v>
      </c>
      <c r="E133" s="1" t="str" cm="1">
        <f t="array" ref="E133">MMS_Feedlot_Methane_Equations.VEERG_4_1_1_1__1_TotalAnnualMethaneEmissions_Variable()</f>
        <v>ECH4</v>
      </c>
    </row>
    <row r="134" spans="4:8" ht="20.100000000000001" customHeight="1" x14ac:dyDescent="0.25">
      <c r="D134" s="82" t="s">
        <v>86</v>
      </c>
      <c r="E134" s="83" t="str" cm="1">
        <f t="array" ref="E134">MMS_Feedlot_Methane_Equations.VEERG_4_1_1_1__1_TotalAnnualMethaneEmissions_Unit()</f>
        <v>t CH4</v>
      </c>
    </row>
    <row r="135" spans="4:8" ht="20.100000000000001" customHeight="1" x14ac:dyDescent="0.25"/>
    <row r="136" spans="4:8" ht="20.100000000000001" customHeight="1" x14ac:dyDescent="0.25">
      <c r="D136" s="86" t="str" cm="1">
        <f t="array" ref="D136:E138">MMS_Feedlot_Methane_Equations.VEERG_4_1_1_1__1_TotalAnnualMethaneEmissions_Arguments()</f>
        <v>Dj</v>
      </c>
      <c r="E136" s="87" t="str">
        <v>length of stay of each cattle group : days</v>
      </c>
      <c r="F136" s="135"/>
      <c r="G136" s="88"/>
      <c r="H136" s="86"/>
    </row>
    <row r="137" spans="4:8" ht="20.100000000000001" customHeight="1" x14ac:dyDescent="0.25">
      <c r="D137" s="86" t="str">
        <v>MjmT</v>
      </c>
      <c r="E137" s="87" t="str">
        <v>methane production from manure per cattle group, MMS, and treatment stage : kg CH4/head/day</v>
      </c>
      <c r="F137" s="135"/>
      <c r="G137" s="88"/>
      <c r="H137" s="86"/>
    </row>
    <row r="138" spans="4:8" ht="20.100000000000001" customHeight="1" x14ac:dyDescent="0.25">
      <c r="D138" s="86" t="str">
        <v>Nj</v>
      </c>
      <c r="E138" s="87" t="str">
        <v>numbers of beef cattle in each group : head</v>
      </c>
      <c r="F138" s="135"/>
      <c r="G138" s="88"/>
      <c r="H138" s="86"/>
    </row>
    <row r="139" spans="4:8" ht="20.100000000000001" customHeight="1" x14ac:dyDescent="0.25"/>
    <row r="140" spans="4:8" ht="20.100000000000001" customHeight="1" x14ac:dyDescent="0.25"/>
    <row r="141" spans="4:8" ht="20.100000000000001" customHeight="1" x14ac:dyDescent="0.25"/>
    <row r="142" spans="4:8" ht="20.100000000000001" customHeight="1" x14ac:dyDescent="0.25"/>
    <row r="143" spans="4:8" ht="20.100000000000001" customHeight="1" x14ac:dyDescent="0.25"/>
    <row r="144" spans="4:8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dataValidations count="2">
    <dataValidation type="whole" operator="equal" allowBlank="1" showInputMessage="1" showErrorMessage="1" sqref="E52:G52" xr:uid="{AF7BB680-B75F-4AE8-AA2D-EDF03FCB10D8}">
      <formula1>1</formula1>
    </dataValidation>
    <dataValidation operator="equal" allowBlank="1" showInputMessage="1" showErrorMessage="1" sqref="E57:G57 E118:G118 E123:G123" xr:uid="{BF6C354D-1CC7-4759-8034-52BCA09E82CC}"/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3D89-F657-45A6-A770-73699ABB25CC}">
  <dimension ref="A1:M63"/>
  <sheetViews>
    <sheetView showGridLines="0" workbookViewId="0"/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30.85546875" style="1" customWidth="1"/>
    <col min="10" max="13" width="30.7109375" style="1" customWidth="1"/>
    <col min="14" max="16" width="30.7109375" customWidth="1"/>
  </cols>
  <sheetData>
    <row r="1" spans="1:13" ht="30" customHeight="1" x14ac:dyDescent="0.35">
      <c r="A1" s="94" t="e" vm="1">
        <v>#VALUE!</v>
      </c>
      <c r="C1" s="8" t="s">
        <v>150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0.100000000000001" customHeight="1" x14ac:dyDescent="0.25">
      <c r="A2" s="7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0.100000000000001" customHeight="1" x14ac:dyDescent="0.25">
      <c r="A3" s="18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0.100000000000001" customHeight="1" x14ac:dyDescent="0.25">
      <c r="A4" s="18" t="str">
        <f>HYPERLINK("#'Results'!A1", "Results")</f>
        <v>Results</v>
      </c>
    </row>
    <row r="5" spans="1:13" ht="20.100000000000001" customHeight="1" x14ac:dyDescent="0.25">
      <c r="A5" s="17"/>
    </row>
    <row r="6" spans="1:13" ht="20.100000000000001" customHeight="1" x14ac:dyDescent="0.25">
      <c r="A6" s="21" t="s">
        <v>3</v>
      </c>
      <c r="D6" s="6" t="str" cm="1">
        <f t="array" ref="D6">CommonLivestock_SourceData.SourceData_Livestock_Common_SymbolsMMS_Title()</f>
        <v>Table 5.12 Additional symbols used in algorithms for manure related emissions</v>
      </c>
      <c r="E6" s="3"/>
      <c r="F6" s="3"/>
      <c r="G6" s="3"/>
      <c r="H6" s="3"/>
    </row>
    <row r="7" spans="1:13" ht="20.100000000000001" customHeight="1" x14ac:dyDescent="0.25">
      <c r="A7" s="18" t="str">
        <f>HYPERLINK("#'Input - Site'!A1", "Site")</f>
        <v>Site</v>
      </c>
      <c r="D7" s="3" t="str" cm="1">
        <f t="array" ref="D7">CommonLivestock_SourceData.SourceData_Livestock_Common_SymbolsMMS_Vairable()</f>
        <v>MMS</v>
      </c>
      <c r="E7" s="3"/>
      <c r="F7" s="3"/>
      <c r="G7" s="3"/>
      <c r="H7" s="3"/>
    </row>
    <row r="8" spans="1:13" ht="20.100000000000001" customHeight="1" x14ac:dyDescent="0.25">
      <c r="A8" s="18" t="str">
        <f>HYPERLINK("#'Input - Production'!A1", "Production and outputs")</f>
        <v>Production and outputs</v>
      </c>
      <c r="D8" s="5" t="str" cm="1">
        <f t="array" ref="D8">CommonLivestock_SourceData.SourceData_Livestock_Common_SymbolsMMS_Source()</f>
        <v>National Inventory Report 2023 Volume 1: Table 5.12</v>
      </c>
      <c r="E8" s="3"/>
      <c r="F8" s="3"/>
      <c r="G8" s="3"/>
      <c r="H8" s="3"/>
    </row>
    <row r="9" spans="1:13" ht="20.100000000000001" customHeight="1" x14ac:dyDescent="0.25">
      <c r="A9" s="18" t="str">
        <f>HYPERLINK("#'Input - Herd - Dairy'!A1", "Herd - Dairy")</f>
        <v>Herd - Dairy</v>
      </c>
      <c r="D9" s="63" t="s">
        <v>151</v>
      </c>
      <c r="E9" s="64" t="s">
        <v>87</v>
      </c>
      <c r="F9" s="64" t="s">
        <v>152</v>
      </c>
      <c r="G9" s="3"/>
    </row>
    <row r="10" spans="1:13" ht="20.100000000000001" customHeight="1" x14ac:dyDescent="0.25">
      <c r="A10" s="18" t="str">
        <f>HYPERLINK("#'Input - Feed - Dairy'!A1", "Purchased feed - Livestock")</f>
        <v>Purchased feed - Livestock</v>
      </c>
      <c r="D10" s="63" t="str" cm="1">
        <f t="array" ref="D10">Common_InputFunctions.Utility_DisplayArrayInTable(CommonLivestock_SourceData.SourceData_Livestock_Common_SymbolsMMS_Data(), Table_Data_MMSSymbols[[#Headers],[Symbol]], 0)</f>
        <v>1</v>
      </c>
      <c r="E10" s="63" t="str" cm="1">
        <f t="array" ref="E10">Common_InputFunctions.Utility_DisplayArrayInTable(CommonLivestock_SourceData.SourceData_Livestock_Common_SymbolsMMS_Data(), Table_Data_MMSSymbols[[#Headers],[Symbol]], 0)</f>
        <v>Anaerobic lagoon</v>
      </c>
      <c r="F10" s="63" t="str" cm="1">
        <f t="array" ref="F10">Common_InputFunctions.Utility_DisplayArrayInTable(CommonLivestock_SourceData.SourceData_Livestock_Common_SymbolsMMS_Data(), Table_Data_MMSSymbols[[#Headers],[Symbol]], 0)</f>
        <v>Anaerobic lagoon (m=1)</v>
      </c>
      <c r="G10" s="3"/>
    </row>
    <row r="11" spans="1:13" ht="20.100000000000001" customHeight="1" x14ac:dyDescent="0.25">
      <c r="A11" s="18" t="str">
        <f>HYPERLINK("#'Input - Herd - Feedlot'!A1", "Herd - Feedlot")</f>
        <v>Herd - Feedlot</v>
      </c>
      <c r="D11" s="63" t="str" cm="1">
        <f t="array" ref="D11">Common_InputFunctions.Utility_DisplayArrayInTable(CommonLivestock_SourceData.SourceData_Livestock_Common_SymbolsMMS_Data(), Table_Data_MMSSymbols[[#Headers],[Symbol]], 0)</f>
        <v>2</v>
      </c>
      <c r="E11" s="63" t="str" cm="1">
        <f t="array" ref="E11">Common_InputFunctions.Utility_DisplayArrayInTable(CommonLivestock_SourceData.SourceData_Livestock_Common_SymbolsMMS_Data(), Table_Data_MMSSymbols[[#Headers],[Symbol]], 0)</f>
        <v>Liquid systems</v>
      </c>
      <c r="F11" s="63" t="str" cm="1">
        <f t="array" ref="F11">Common_InputFunctions.Utility_DisplayArrayInTable(CommonLivestock_SourceData.SourceData_Livestock_Common_SymbolsMMS_Data(), Table_Data_MMSSymbols[[#Headers],[Symbol]], 0)</f>
        <v>Liquid systems (m=2)</v>
      </c>
      <c r="G11" s="3"/>
    </row>
    <row r="12" spans="1:13" ht="20.100000000000001" customHeight="1" x14ac:dyDescent="0.25">
      <c r="A12" s="18" t="str">
        <f>HYPERLINK("#'Input - Pasture'!A1", "Pasture")</f>
        <v>Pasture</v>
      </c>
      <c r="D12" s="64" t="str" cm="1">
        <f t="array" ref="D12">Common_InputFunctions.Utility_DisplayArrayInTable(CommonLivestock_SourceData.SourceData_Livestock_Common_SymbolsMMS_Data(), Table_Data_MMSSymbols[[#Headers],[Symbol]], 0)</f>
        <v>3</v>
      </c>
      <c r="E12" s="64" t="str" cm="1">
        <f t="array" ref="E12">Common_InputFunctions.Utility_DisplayArrayInTable(CommonLivestock_SourceData.SourceData_Livestock_Common_SymbolsMMS_Data(), Table_Data_MMSSymbols[[#Headers],[Symbol]], 0)</f>
        <v>Daily spread</v>
      </c>
      <c r="F12" s="64" t="str" cm="1">
        <f t="array" ref="F12">Common_InputFunctions.Utility_DisplayArrayInTable(CommonLivestock_SourceData.SourceData_Livestock_Common_SymbolsMMS_Data(), Table_Data_MMSSymbols[[#Headers],[Symbol]], 0)</f>
        <v>Daily spread (m=3)</v>
      </c>
      <c r="G12" s="3"/>
    </row>
    <row r="13" spans="1:13" ht="20.100000000000001" customHeight="1" x14ac:dyDescent="0.25">
      <c r="A13" s="18" t="str">
        <f>HYPERLINK("#'Input - Grains'!A1", "Crop - Grains")</f>
        <v>Crop - Grains</v>
      </c>
      <c r="D13" s="64" t="str" cm="1">
        <f t="array" ref="D13">Common_InputFunctions.Utility_DisplayArrayInTable(CommonLivestock_SourceData.SourceData_Livestock_Common_SymbolsMMS_Data(), Table_Data_MMSSymbols[[#Headers],[Symbol]], 0)</f>
        <v>3a</v>
      </c>
      <c r="E13" s="64" t="str" cm="1">
        <f t="array" ref="E13">Common_InputFunctions.Utility_DisplayArrayInTable(CommonLivestock_SourceData.SourceData_Livestock_Common_SymbolsMMS_Data(), Table_Data_MMSSymbols[[#Headers],[Symbol]], 0)</f>
        <v>Sump and dispersal system</v>
      </c>
      <c r="F13" s="64" t="str" cm="1">
        <f t="array" ref="F13">Common_InputFunctions.Utility_DisplayArrayInTable(CommonLivestock_SourceData.SourceData_Livestock_Common_SymbolsMMS_Data(), Table_Data_MMSSymbols[[#Headers],[Symbol]], 0)</f>
        <v>Sump and dispersal system (m=3a)</v>
      </c>
      <c r="G13" s="3"/>
    </row>
    <row r="14" spans="1:13" ht="20.100000000000001" customHeight="1" x14ac:dyDescent="0.25">
      <c r="A14" s="18" t="str">
        <f>HYPERLINK("#'Input - Fert Lime Chem'!A1", "Fertiliser, Lime &amp; Chemicals")</f>
        <v>Fertiliser, Lime &amp; Chemicals</v>
      </c>
      <c r="D14" s="64" t="str" cm="1">
        <f t="array" ref="D14">Common_InputFunctions.Utility_DisplayArrayInTable(CommonLivestock_SourceData.SourceData_Livestock_Common_SymbolsMMS_Data(), Table_Data_MMSSymbols[[#Headers],[Symbol]], 0)</f>
        <v>3b</v>
      </c>
      <c r="E14" s="64" t="str" cm="1">
        <f t="array" ref="E14">Common_InputFunctions.Utility_DisplayArrayInTable(CommonLivestock_SourceData.SourceData_Livestock_Common_SymbolsMMS_Data(), Table_Data_MMSSymbols[[#Headers],[Symbol]], 0)</f>
        <v>Drains to paddock</v>
      </c>
      <c r="F14" s="64" t="str" cm="1">
        <f t="array" ref="F14">Common_InputFunctions.Utility_DisplayArrayInTable(CommonLivestock_SourceData.SourceData_Livestock_Common_SymbolsMMS_Data(), Table_Data_MMSSymbols[[#Headers],[Symbol]], 0)</f>
        <v>Drains to paddock (m=3b)</v>
      </c>
      <c r="G14" s="3"/>
    </row>
    <row r="15" spans="1:13" ht="20.100000000000001" customHeight="1" x14ac:dyDescent="0.25">
      <c r="A15" s="18" t="str">
        <f>HYPERLINK("#'Input - Fuel &amp; Energy'!A1", "Electricity and fuel")</f>
        <v>Electricity and fuel</v>
      </c>
      <c r="D15" s="64" t="str" cm="1">
        <f t="array" ref="D15">Common_InputFunctions.Utility_DisplayArrayInTable(CommonLivestock_SourceData.SourceData_Livestock_Common_SymbolsMMS_Data(), Table_Data_MMSSymbols[[#Headers],[Symbol]], 0)</f>
        <v>4</v>
      </c>
      <c r="E15" s="64" t="str" cm="1">
        <f t="array" ref="E15">Common_InputFunctions.Utility_DisplayArrayInTable(CommonLivestock_SourceData.SourceData_Livestock_Common_SymbolsMMS_Data(), Table_Data_MMSSymbols[[#Headers],[Symbol]], 0)</f>
        <v>Solid storage</v>
      </c>
      <c r="F15" s="64" t="str" cm="1">
        <f t="array" ref="F15">Common_InputFunctions.Utility_DisplayArrayInTable(CommonLivestock_SourceData.SourceData_Livestock_Common_SymbolsMMS_Data(), Table_Data_MMSSymbols[[#Headers],[Symbol]], 0)</f>
        <v>Solid storage (m=4)</v>
      </c>
      <c r="G15" s="3"/>
    </row>
    <row r="16" spans="1:13" ht="20.100000000000001" customHeight="1" x14ac:dyDescent="0.25">
      <c r="A16" s="96" t="s">
        <v>149</v>
      </c>
      <c r="D16" s="64" t="str" cm="1">
        <f t="array" ref="D16">Common_InputFunctions.Utility_DisplayArrayInTable(CommonLivestock_SourceData.SourceData_Livestock_Common_SymbolsMMS_Data(), Table_Data_MMSSymbols[[#Headers],[Symbol]], 0)</f>
        <v>5</v>
      </c>
      <c r="E16" s="64" t="str" cm="1">
        <f t="array" ref="E16">Common_InputFunctions.Utility_DisplayArrayInTable(CommonLivestock_SourceData.SourceData_Livestock_Common_SymbolsMMS_Data(), Table_Data_MMSSymbols[[#Headers],[Symbol]], 0)</f>
        <v>Drylot (feed pad)</v>
      </c>
      <c r="F16" s="64" t="str" cm="1">
        <f t="array" ref="F16">Common_InputFunctions.Utility_DisplayArrayInTable(CommonLivestock_SourceData.SourceData_Livestock_Common_SymbolsMMS_Data(), Table_Data_MMSSymbols[[#Headers],[Symbol]], 0)</f>
        <v>Drylot (feed pad) (m=5)</v>
      </c>
      <c r="G16" s="3"/>
    </row>
    <row r="17" spans="1:8" ht="20.100000000000001" customHeight="1" x14ac:dyDescent="0.25">
      <c r="A17" s="96" t="s">
        <v>145</v>
      </c>
      <c r="D17" s="64" t="str" cm="1">
        <f t="array" ref="D17">Common_InputFunctions.Utility_DisplayArrayInTable(CommonLivestock_SourceData.SourceData_Livestock_Common_SymbolsMMS_Data(), Table_Data_MMSSymbols[[#Headers],[Symbol]], 0)</f>
        <v>6</v>
      </c>
      <c r="E17" s="64" t="str" cm="1">
        <f t="array" ref="E17">Common_InputFunctions.Utility_DisplayArrayInTable(CommonLivestock_SourceData.SourceData_Livestock_Common_SymbolsMMS_Data(), Table_Data_MMSSymbols[[#Headers],[Symbol]], 0)</f>
        <v>Composting (passive windrow)</v>
      </c>
      <c r="F17" s="64" t="str" cm="1">
        <f t="array" ref="F17">Common_InputFunctions.Utility_DisplayArrayInTable(CommonLivestock_SourceData.SourceData_Livestock_Common_SymbolsMMS_Data(), Table_Data_MMSSymbols[[#Headers],[Symbol]], 0)</f>
        <v>Composting (passive windrow) (m=6)</v>
      </c>
      <c r="G17" s="3"/>
    </row>
    <row r="18" spans="1:8" ht="20.100000000000001" customHeight="1" x14ac:dyDescent="0.25">
      <c r="A18" s="18" t="str">
        <f>HYPERLINK("#'Input - Other Farm Inputs'!A1", "Other farm inputs")</f>
        <v>Other farm inputs</v>
      </c>
      <c r="D18" s="64" t="str" cm="1">
        <f t="array" ref="D18">Common_InputFunctions.Utility_DisplayArrayInTable(CommonLivestock_SourceData.SourceData_Livestock_Common_SymbolsMMS_Data(), Table_Data_MMSSymbols[[#Headers],[Symbol]], 0)</f>
        <v>7</v>
      </c>
      <c r="E18" s="64" t="str" cm="1">
        <f t="array" ref="E18">Common_InputFunctions.Utility_DisplayArrayInTable(CommonLivestock_SourceData.SourceData_Livestock_Common_SymbolsMMS_Data(), Table_Data_MMSSymbols[[#Headers],[Symbol]], 0)</f>
        <v>Digester / covered lagoons</v>
      </c>
      <c r="F18" s="64" t="str" cm="1">
        <f t="array" ref="F18">Common_InputFunctions.Utility_DisplayArrayInTable(CommonLivestock_SourceData.SourceData_Livestock_Common_SymbolsMMS_Data(), Table_Data_MMSSymbols[[#Headers],[Symbol]], 0)</f>
        <v>Digester / covered lagoons (m=7)</v>
      </c>
      <c r="G18" s="3"/>
    </row>
    <row r="19" spans="1:8" ht="20.100000000000001" customHeight="1" x14ac:dyDescent="0.25">
      <c r="A19" s="18" t="str">
        <f>HYPERLINK("#'Input - Data quality'!A1", "Data quality")</f>
        <v>Data quality</v>
      </c>
      <c r="D19" s="64" t="str" cm="1">
        <f t="array" ref="D19">Common_InputFunctions.Utility_DisplayArrayInTable(CommonLivestock_SourceData.SourceData_Livestock_Common_SymbolsMMS_Data(), Table_Data_MMSSymbols[[#Headers],[Symbol]], 0)</f>
        <v>8</v>
      </c>
      <c r="E19" s="64" t="str" cm="1">
        <f t="array" ref="E19">Common_InputFunctions.Utility_DisplayArrayInTable(CommonLivestock_SourceData.SourceData_Livestock_Common_SymbolsMMS_Data(), Table_Data_MMSSymbols[[#Headers],[Symbol]], 0)</f>
        <v>Deep litter</v>
      </c>
      <c r="F19" s="64" t="str" cm="1">
        <f t="array" ref="F19">Common_InputFunctions.Utility_DisplayArrayInTable(CommonLivestock_SourceData.SourceData_Livestock_Common_SymbolsMMS_Data(), Table_Data_MMSSymbols[[#Headers],[Symbol]], 0)</f>
        <v>Deep litter (m=8)</v>
      </c>
      <c r="G19" s="3"/>
    </row>
    <row r="20" spans="1:8" ht="20.100000000000001" customHeight="1" x14ac:dyDescent="0.25">
      <c r="D20" s="64" t="str" cm="1">
        <f t="array" ref="D20">Common_InputFunctions.Utility_DisplayArrayInTable(CommonLivestock_SourceData.SourceData_Livestock_Common_SymbolsMMS_Data(), Table_Data_MMSSymbols[[#Headers],[Symbol]], 0)</f>
        <v>9</v>
      </c>
      <c r="E20" s="64" t="str" cm="1">
        <f t="array" ref="E20">Common_InputFunctions.Utility_DisplayArrayInTable(CommonLivestock_SourceData.SourceData_Livestock_Common_SymbolsMMS_Data(), Table_Data_MMSSymbols[[#Headers],[Symbol]], 0)</f>
        <v>Pit storage</v>
      </c>
      <c r="F20" s="64" t="str" cm="1">
        <f t="array" ref="F20">Common_InputFunctions.Utility_DisplayArrayInTable(CommonLivestock_SourceData.SourceData_Livestock_Common_SymbolsMMS_Data(), Table_Data_MMSSymbols[[#Headers],[Symbol]], 0)</f>
        <v>Pit storage (m=9)</v>
      </c>
      <c r="G20" s="3"/>
    </row>
    <row r="21" spans="1:8" ht="20.100000000000001" customHeight="1" x14ac:dyDescent="0.25">
      <c r="A21" s="20" t="s">
        <v>147</v>
      </c>
      <c r="D21" s="64" t="str" cm="1">
        <f t="array" ref="D21">Common_InputFunctions.Utility_DisplayArrayInTable(CommonLivestock_SourceData.SourceData_Livestock_Common_SymbolsMMS_Data(), Table_Data_MMSSymbols[[#Headers],[Symbol]], 0)</f>
        <v>10</v>
      </c>
      <c r="E21" s="64" t="str" cm="1">
        <f t="array" ref="E21">Common_InputFunctions.Utility_DisplayArrayInTable(CommonLivestock_SourceData.SourceData_Livestock_Common_SymbolsMMS_Data(), Table_Data_MMSSymbols[[#Headers],[Symbol]], 0)</f>
        <v>Poultry manure with bedding</v>
      </c>
      <c r="F21" s="64" t="str" cm="1">
        <f t="array" ref="F21">Common_InputFunctions.Utility_DisplayArrayInTable(CommonLivestock_SourceData.SourceData_Livestock_Common_SymbolsMMS_Data(), Table_Data_MMSSymbols[[#Headers],[Symbol]], 0)</f>
        <v>Poultry manure with bedding (m=10)</v>
      </c>
      <c r="G21" s="3"/>
    </row>
    <row r="22" spans="1:8" ht="20.100000000000001" customHeight="1" x14ac:dyDescent="0.25">
      <c r="A22" s="96" t="s">
        <v>1</v>
      </c>
      <c r="D22" s="64" t="str" cm="1">
        <f t="array" ref="D22">Common_InputFunctions.Utility_DisplayArrayInTable(CommonLivestock_SourceData.SourceData_Livestock_Common_SymbolsMMS_Data(), Table_Data_MMSSymbols[[#Headers],[Symbol]], 0)</f>
        <v>11</v>
      </c>
      <c r="E22" s="64" t="str" cm="1">
        <f t="array" ref="E22">Common_InputFunctions.Utility_DisplayArrayInTable(CommonLivestock_SourceData.SourceData_Livestock_Common_SymbolsMMS_Data(), Table_Data_MMSSymbols[[#Headers],[Symbol]], 0)</f>
        <v>Poultry manure without bedding</v>
      </c>
      <c r="F22" s="64" t="str" cm="1">
        <f t="array" ref="F22">Common_InputFunctions.Utility_DisplayArrayInTable(CommonLivestock_SourceData.SourceData_Livestock_Common_SymbolsMMS_Data(), Table_Data_MMSSymbols[[#Headers],[Symbol]], 0)</f>
        <v>Poultry manure without bedding (m=11)</v>
      </c>
      <c r="G22" s="3"/>
    </row>
    <row r="23" spans="1:8" ht="20.100000000000001" customHeight="1" x14ac:dyDescent="0.25">
      <c r="A23" s="96" t="s">
        <v>146</v>
      </c>
      <c r="D23" s="64" t="str" cm="1">
        <f t="array" ref="D23">Common_InputFunctions.Utility_DisplayArrayInTable(CommonLivestock_SourceData.SourceData_Livestock_Common_SymbolsMMS_Data(), Table_Data_MMSSymbols[[#Headers],[Symbol]], 0)</f>
        <v>11a</v>
      </c>
      <c r="E23" s="64" t="str" cm="1">
        <f t="array" ref="E23">Common_InputFunctions.Utility_DisplayArrayInTable(CommonLivestock_SourceData.SourceData_Livestock_Common_SymbolsMMS_Data(), Table_Data_MMSSymbols[[#Headers],[Symbol]], 0)</f>
        <v>Belt manure removal</v>
      </c>
      <c r="F23" s="64" t="str" cm="1">
        <f t="array" ref="F23">Common_InputFunctions.Utility_DisplayArrayInTable(CommonLivestock_SourceData.SourceData_Livestock_Common_SymbolsMMS_Data(), Table_Data_MMSSymbols[[#Headers],[Symbol]], 0)</f>
        <v>Belt manure removal (m=11a)</v>
      </c>
      <c r="G23" s="3"/>
    </row>
    <row r="24" spans="1:8" ht="20.100000000000001" customHeight="1" x14ac:dyDescent="0.25">
      <c r="A24" s="18" t="str">
        <f>HYPERLINK("#'Calcs - Fert Lime'!A1", "Fertiliser &amp; soil amendments")</f>
        <v>Fertiliser &amp; soil amendments</v>
      </c>
      <c r="D24" s="64" t="str" cm="1">
        <f t="array" ref="D24">Common_InputFunctions.Utility_DisplayArrayInTable(CommonLivestock_SourceData.SourceData_Livestock_Common_SymbolsMMS_Data(), Table_Data_MMSSymbols[[#Headers],[Symbol]], 0)</f>
        <v>11b</v>
      </c>
      <c r="E24" s="64" t="str" cm="1">
        <f t="array" ref="E24">Common_InputFunctions.Utility_DisplayArrayInTable(CommonLivestock_SourceData.SourceData_Livestock_Common_SymbolsMMS_Data(), Table_Data_MMSSymbols[[#Headers],[Symbol]], 0)</f>
        <v>Manure stored in house</v>
      </c>
      <c r="F24" s="64" t="str" cm="1">
        <f t="array" ref="F24">Common_InputFunctions.Utility_DisplayArrayInTable(CommonLivestock_SourceData.SourceData_Livestock_Common_SymbolsMMS_Data(), Table_Data_MMSSymbols[[#Headers],[Symbol]], 0)</f>
        <v>Manure stored in house (m=11b)</v>
      </c>
      <c r="G24" s="3"/>
    </row>
    <row r="25" spans="1:8" ht="20.100000000000001" customHeight="1" x14ac:dyDescent="0.25">
      <c r="A25" s="18" t="str">
        <f>HYPERLINK("#'Calcs - Residue mgmt - Crop'!A1", "Residue management - Crop")</f>
        <v>Residue management - Crop</v>
      </c>
      <c r="D25" s="64" t="str" cm="1">
        <f t="array" ref="D25">Common_InputFunctions.Utility_DisplayArrayInTable(CommonLivestock_SourceData.SourceData_Livestock_Common_SymbolsMMS_Data(), Table_Data_MMSSymbols[[#Headers],[Symbol]], 0)</f>
        <v>12</v>
      </c>
      <c r="E25" s="64" t="str" cm="1">
        <f t="array" ref="E25">Common_InputFunctions.Utility_DisplayArrayInTable(CommonLivestock_SourceData.SourceData_Livestock_Common_SymbolsMMS_Data(), Table_Data_MMSSymbols[[#Headers],[Symbol]], 0)</f>
        <v>Direct processing</v>
      </c>
      <c r="F25" s="64" t="str" cm="1">
        <f t="array" ref="F25">Common_InputFunctions.Utility_DisplayArrayInTable(CommonLivestock_SourceData.SourceData_Livestock_Common_SymbolsMMS_Data(), Table_Data_MMSSymbols[[#Headers],[Symbol]], 0)</f>
        <v>Direct processing (m=12)</v>
      </c>
      <c r="G25" s="3"/>
    </row>
    <row r="26" spans="1:8" ht="20.100000000000001" customHeight="1" x14ac:dyDescent="0.25">
      <c r="A26" s="18" t="str">
        <f>HYPERLINK("#'Calcs - Residue mgmt - Pasture'!A1", "Residue management - Pasture")</f>
        <v>Residue management - Pasture</v>
      </c>
      <c r="D26" s="64" t="str" cm="1">
        <f t="array" ref="D26">Common_InputFunctions.Utility_DisplayArrayInTable(CommonLivestock_SourceData.SourceData_Livestock_Common_SymbolsMMS_Data(), Table_Data_MMSSymbols[[#Headers],[Symbol]], 0)</f>
        <v>13</v>
      </c>
      <c r="E26" s="64" t="str" cm="1">
        <f t="array" ref="E26">Common_InputFunctions.Utility_DisplayArrayInTable(CommonLivestock_SourceData.SourceData_Livestock_Common_SymbolsMMS_Data(), Table_Data_MMSSymbols[[#Headers],[Symbol]], 0)</f>
        <v>Direct application</v>
      </c>
      <c r="F26" s="64" t="str" cm="1">
        <f t="array" ref="F26">Common_InputFunctions.Utility_DisplayArrayInTable(CommonLivestock_SourceData.SourceData_Livestock_Common_SymbolsMMS_Data(), Table_Data_MMSSymbols[[#Headers],[Symbol]], 0)</f>
        <v>Direct application (m=13)</v>
      </c>
      <c r="G26" s="3"/>
    </row>
    <row r="27" spans="1:8" ht="20.100000000000001" customHeight="1" x14ac:dyDescent="0.25">
      <c r="A27" s="18" t="str">
        <f>HYPERLINK("#'Calcs - Field burning'!A1", "Field burning - Crop")</f>
        <v>Field burning - Crop</v>
      </c>
      <c r="D27" s="64" t="str" cm="1">
        <f t="array" ref="D27">Common_InputFunctions.Utility_DisplayArrayInTable(CommonLivestock_SourceData.SourceData_Livestock_Common_SymbolsMMS_Data(), Table_Data_MMSSymbols[[#Headers],[Symbol]], 0)</f>
        <v>14</v>
      </c>
      <c r="E27" s="64" t="str" cm="1">
        <f t="array" ref="E27">Common_InputFunctions.Utility_DisplayArrayInTable(CommonLivestock_SourceData.SourceData_Livestock_Common_SymbolsMMS_Data(), Table_Data_MMSSymbols[[#Headers],[Symbol]], 0)</f>
        <v>Pasture range and paddock</v>
      </c>
      <c r="F27" s="64" t="str" cm="1">
        <f t="array" ref="F27">Common_InputFunctions.Utility_DisplayArrayInTable(CommonLivestock_SourceData.SourceData_Livestock_Common_SymbolsMMS_Data(), Table_Data_MMSSymbols[[#Headers],[Symbol]], 0)</f>
        <v>Pasture range and paddock (m=14)</v>
      </c>
      <c r="G27" s="3"/>
    </row>
    <row r="28" spans="1:8" ht="20.100000000000001" customHeight="1" x14ac:dyDescent="0.25">
      <c r="A28" s="18" t="str">
        <f>HYPERLINK("#'Calcs - Fuel'!A1", "Fuel")</f>
        <v>Fuel</v>
      </c>
      <c r="G28" s="3"/>
      <c r="H28" s="3"/>
    </row>
    <row r="29" spans="1:8" ht="20.100000000000001" customHeight="1" x14ac:dyDescent="0.25">
      <c r="A29" s="18" t="str">
        <f>HYPERLINK("#'Calcs - Electricity'!A1", "Electricity")</f>
        <v>Electricity</v>
      </c>
    </row>
    <row r="30" spans="1:8" ht="20.100000000000001" customHeight="1" x14ac:dyDescent="0.25">
      <c r="A30" s="18" t="str">
        <f>HYPERLINK("#'Calcs - Refrigerants'!A1", "Refrigerants")</f>
        <v>Refrigerants</v>
      </c>
    </row>
    <row r="31" spans="1:8" ht="20.100000000000001" customHeight="1" x14ac:dyDescent="0.25">
      <c r="A31" s="96" t="s">
        <v>149</v>
      </c>
    </row>
    <row r="32" spans="1:8" ht="20.100000000000001" customHeight="1" x14ac:dyDescent="0.25">
      <c r="A32" s="96" t="s">
        <v>145</v>
      </c>
    </row>
    <row r="33" spans="1:1" ht="20.100000000000001" customHeight="1" x14ac:dyDescent="0.25">
      <c r="A33" s="18" t="str">
        <f>HYPERLINK("#'Calcs - Scope 3'!A1", "Purchased goods scope 3")</f>
        <v>Purchased goods scope 3</v>
      </c>
    </row>
    <row r="34" spans="1:1" ht="20.100000000000001" customHeight="1" x14ac:dyDescent="0.25"/>
    <row r="35" spans="1:1" ht="20.100000000000001" customHeight="1" x14ac:dyDescent="0.25">
      <c r="A35" s="19" t="s">
        <v>4</v>
      </c>
    </row>
    <row r="36" spans="1:1" ht="20.100000000000001" customHeight="1" x14ac:dyDescent="0.25">
      <c r="A36" s="18" t="str">
        <f>HYPERLINK("#'Constants - Common'!A1", "Constants - Common")</f>
        <v>Constants - Common</v>
      </c>
    </row>
    <row r="37" spans="1:1" ht="20.100000000000001" customHeight="1" x14ac:dyDescent="0.25">
      <c r="A37" s="18" t="str">
        <f>HYPERLINK("#'Constants - Cropping'!A1", "Constants - Cropping")</f>
        <v>Constants - Cropping</v>
      </c>
    </row>
    <row r="38" spans="1:1" ht="20.100000000000001" customHeight="1" x14ac:dyDescent="0.25">
      <c r="A38" s="98" t="str">
        <f>HYPERLINK("#'Constants - Livestock'!A1", "Constants - Livestock")</f>
        <v>Constants - Livestock</v>
      </c>
    </row>
    <row r="39" spans="1:1" ht="20.100000000000001" customHeight="1" x14ac:dyDescent="0.25">
      <c r="A39" s="18" t="str">
        <f>HYPERLINK("#'Constants - Dairy'!A1", "Constants - Dairy")</f>
        <v>Constants - Dairy</v>
      </c>
    </row>
    <row r="40" spans="1:1" ht="20.100000000000001" customHeight="1" x14ac:dyDescent="0.25">
      <c r="A40" s="96" t="s">
        <v>2</v>
      </c>
    </row>
    <row r="41" spans="1:1" ht="20.100000000000001" customHeight="1" x14ac:dyDescent="0.25">
      <c r="A41" s="72"/>
    </row>
    <row r="42" spans="1:1" ht="20.100000000000001" customHeight="1" x14ac:dyDescent="0.25"/>
    <row r="43" spans="1:1" ht="20.100000000000001" customHeight="1" x14ac:dyDescent="0.25"/>
    <row r="44" spans="1:1" ht="20.100000000000001" customHeight="1" x14ac:dyDescent="0.25"/>
    <row r="45" spans="1:1" ht="20.100000000000001" customHeight="1" x14ac:dyDescent="0.25"/>
    <row r="46" spans="1:1" ht="20.100000000000001" customHeight="1" x14ac:dyDescent="0.25"/>
    <row r="47" spans="1:1" ht="20.100000000000001" customHeight="1" x14ac:dyDescent="0.25"/>
    <row r="48" spans="1:1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A9DA-7B49-4536-9AC1-4BDE2DD493B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813E6-5B8C-4BE9-A4EC-1F351B04B303}">
  <dimension ref="A1:BX196"/>
  <sheetViews>
    <sheetView showGridLines="0" tabSelected="1" topLeftCell="A158" zoomScale="85" zoomScaleNormal="85" workbookViewId="0">
      <selection activeCell="J178" sqref="J178"/>
    </sheetView>
  </sheetViews>
  <sheetFormatPr defaultColWidth="9.140625" defaultRowHeight="15.75" x14ac:dyDescent="0.25"/>
  <cols>
    <col min="1" max="1" width="30.7109375" style="7" customWidth="1"/>
    <col min="2" max="2" width="2.7109375" style="7" customWidth="1"/>
    <col min="3" max="3" width="4.7109375" style="1" customWidth="1"/>
    <col min="4" max="4" width="48" style="1" customWidth="1"/>
    <col min="5" max="16" width="20.7109375" style="1" customWidth="1"/>
    <col min="17" max="17" width="17.28515625" style="1" customWidth="1"/>
    <col min="18" max="19" width="20.7109375" style="1" customWidth="1"/>
    <col min="20" max="20" width="4.7109375" style="1" customWidth="1"/>
    <col min="21" max="32" width="20.7109375" style="7" customWidth="1"/>
    <col min="33" max="38" width="21.85546875" style="7" customWidth="1"/>
    <col min="39" max="43" width="20.7109375" style="7" customWidth="1"/>
    <col min="44" max="64" width="9.140625" style="7"/>
    <col min="65" max="16384" width="9.140625" style="3"/>
  </cols>
  <sheetData>
    <row r="1" spans="1:64" s="8" customFormat="1" ht="30" customHeight="1" x14ac:dyDescent="0.35">
      <c r="A1" s="8" t="e" vm="1">
        <v>#VALUE!</v>
      </c>
      <c r="C1" s="8" t="s">
        <v>148</v>
      </c>
    </row>
    <row r="2" spans="1:64" s="9" customFormat="1" ht="20.100000000000001" customHeight="1" x14ac:dyDescent="0.25"/>
    <row r="3" spans="1:64" ht="20.100000000000001" customHeight="1" x14ac:dyDescent="0.25">
      <c r="A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1"/>
    </row>
    <row r="4" spans="1:64" ht="20.100000000000001" customHeight="1" x14ac:dyDescent="0.25">
      <c r="A4"/>
      <c r="BL4" s="3"/>
    </row>
    <row r="5" spans="1:64" ht="20.100000000000001" customHeight="1" x14ac:dyDescent="0.25">
      <c r="A5"/>
      <c r="D5" s="6" t="str" cm="1">
        <f t="array" ref="D5">Common_SourceData.Common_SourceData_AustralianStatesTerritories_Title()</f>
        <v>Australian states and territories</v>
      </c>
      <c r="BL5" s="3"/>
    </row>
    <row r="6" spans="1:64" ht="20.100000000000001" customHeight="1" x14ac:dyDescent="0.25">
      <c r="A6"/>
      <c r="D6" s="64" t="s">
        <v>90</v>
      </c>
      <c r="E6" s="64" t="s">
        <v>91</v>
      </c>
      <c r="F6" s="64" t="s">
        <v>92</v>
      </c>
    </row>
    <row r="7" spans="1:64" ht="20.100000000000001" customHeight="1" x14ac:dyDescent="0.25">
      <c r="A7"/>
      <c r="D7" s="64" t="str" cm="1">
        <f t="array" ref="D7">Common_InputFunctions.Utility_DisplayArrayInTable(Common_SourceData.Common_SourceData_AustralianStatesTerritories_Data(),Table_AustralianStates[[#Headers],[State/Territory]],0)</f>
        <v>New South Wales</v>
      </c>
      <c r="E7" s="64" t="str" cm="1">
        <f t="array" ref="E7">Common_InputFunctions.Utility_DisplayArrayInTable(Common_SourceData.Common_SourceData_AustralianStatesTerritories_Data(),Table_AustralianStates[[#Headers],[State/Territory]],0)</f>
        <v>New South Wales</v>
      </c>
      <c r="F7" s="64" t="str" cm="1">
        <f t="array" ref="F7">Common_InputFunctions.Utility_DisplayArrayInTable(Common_SourceData.Common_SourceData_AustralianStatesTerritories_Data(),Table_AustralianStates[[#Headers],[State/Territory]],0)</f>
        <v>NSW</v>
      </c>
    </row>
    <row r="8" spans="1:64" ht="20.100000000000001" customHeight="1" x14ac:dyDescent="0.25">
      <c r="A8"/>
      <c r="D8" s="64" t="str" cm="1">
        <f t="array" ref="D8">Common_InputFunctions.Utility_DisplayArrayInTable(Common_SourceData.Common_SourceData_AustralianStatesTerritories_Data(),Table_AustralianStates[[#Headers],[State/Territory]],0)</f>
        <v>Australian Capital Territory</v>
      </c>
      <c r="E8" s="64" t="str" cm="1">
        <f t="array" ref="E8">Common_InputFunctions.Utility_DisplayArrayInTable(Common_SourceData.Common_SourceData_AustralianStatesTerritories_Data(),Table_AustralianStates[[#Headers],[State/Territory]],0)</f>
        <v>ACT</v>
      </c>
      <c r="F8" s="64" t="str" cm="1">
        <f t="array" ref="F8">Common_InputFunctions.Utility_DisplayArrayInTable(Common_SourceData.Common_SourceData_AustralianStatesTerritories_Data(),Table_AustralianStates[[#Headers],[State/Territory]],0)</f>
        <v>ACT</v>
      </c>
    </row>
    <row r="9" spans="1:64" ht="20.100000000000001" customHeight="1" x14ac:dyDescent="0.25">
      <c r="A9"/>
      <c r="D9" s="64" t="str" cm="1">
        <f t="array" ref="D9">Common_InputFunctions.Utility_DisplayArrayInTable(Common_SourceData.Common_SourceData_AustralianStatesTerritories_Data(),Table_AustralianStates[[#Headers],[State/Territory]],0)</f>
        <v>Victoria</v>
      </c>
      <c r="E9" s="64" t="str" cm="1">
        <f t="array" ref="E9">Common_InputFunctions.Utility_DisplayArrayInTable(Common_SourceData.Common_SourceData_AustralianStatesTerritories_Data(),Table_AustralianStates[[#Headers],[State/Territory]],0)</f>
        <v>Victoria</v>
      </c>
      <c r="F9" s="64" t="str" cm="1">
        <f t="array" ref="F9">Common_InputFunctions.Utility_DisplayArrayInTable(Common_SourceData.Common_SourceData_AustralianStatesTerritories_Data(),Table_AustralianStates[[#Headers],[State/Territory]],0)</f>
        <v>VIC</v>
      </c>
    </row>
    <row r="10" spans="1:64" ht="20.100000000000001" customHeight="1" x14ac:dyDescent="0.25">
      <c r="A10"/>
      <c r="D10" s="64" t="str" cm="1">
        <f t="array" ref="D10">Common_InputFunctions.Utility_DisplayArrayInTable(Common_SourceData.Common_SourceData_AustralianStatesTerritories_Data(),Table_AustralianStates[[#Headers],[State/Territory]],0)</f>
        <v>Queensland</v>
      </c>
      <c r="E10" s="64" t="str" cm="1">
        <f t="array" ref="E10">Common_InputFunctions.Utility_DisplayArrayInTable(Common_SourceData.Common_SourceData_AustralianStatesTerritories_Data(),Table_AustralianStates[[#Headers],[State/Territory]],0)</f>
        <v>Queensland</v>
      </c>
      <c r="F10" s="64" t="str" cm="1">
        <f t="array" ref="F10">Common_InputFunctions.Utility_DisplayArrayInTable(Common_SourceData.Common_SourceData_AustralianStatesTerritories_Data(),Table_AustralianStates[[#Headers],[State/Territory]],0)</f>
        <v>QLD</v>
      </c>
    </row>
    <row r="11" spans="1:64" ht="20.100000000000001" customHeight="1" x14ac:dyDescent="0.25">
      <c r="A11"/>
      <c r="D11" s="64" t="str" cm="1">
        <f t="array" ref="D11">Common_InputFunctions.Utility_DisplayArrayInTable(Common_SourceData.Common_SourceData_AustralianStatesTerritories_Data(),Table_AustralianStates[[#Headers],[State/Territory]],0)</f>
        <v>South Australia</v>
      </c>
      <c r="E11" s="64" t="str" cm="1">
        <f t="array" ref="E11">Common_InputFunctions.Utility_DisplayArrayInTable(Common_SourceData.Common_SourceData_AustralianStatesTerritories_Data(),Table_AustralianStates[[#Headers],[State/Territory]],0)</f>
        <v>South Australia</v>
      </c>
      <c r="F11" s="64" t="str" cm="1">
        <f t="array" ref="F11">Common_InputFunctions.Utility_DisplayArrayInTable(Common_SourceData.Common_SourceData_AustralianStatesTerritories_Data(),Table_AustralianStates[[#Headers],[State/Territory]],0)</f>
        <v>SA</v>
      </c>
      <c r="BL11" s="3"/>
    </row>
    <row r="12" spans="1:64" ht="20.100000000000001" customHeight="1" x14ac:dyDescent="0.25">
      <c r="A12"/>
      <c r="D12" s="64" t="str" cm="1">
        <f t="array" ref="D12">Common_InputFunctions.Utility_DisplayArrayInTable(Common_SourceData.Common_SourceData_AustralianStatesTerritories_Data(),Table_AustralianStates[[#Headers],[State/Territory]],0)</f>
        <v>Western Australia</v>
      </c>
      <c r="E12" s="64" t="str" cm="1">
        <f t="array" ref="E12">Common_InputFunctions.Utility_DisplayArrayInTable(Common_SourceData.Common_SourceData_AustralianStatesTerritories_Data(),Table_AustralianStates[[#Headers],[State/Territory]],0)</f>
        <v>Western Australia</v>
      </c>
      <c r="F12" s="64" t="str" cm="1">
        <f t="array" ref="F12">Common_InputFunctions.Utility_DisplayArrayInTable(Common_SourceData.Common_SourceData_AustralianStatesTerritories_Data(),Table_AustralianStates[[#Headers],[State/Territory]],0)</f>
        <v>WA</v>
      </c>
      <c r="BL12" s="3"/>
    </row>
    <row r="13" spans="1:64" ht="20.100000000000001" customHeight="1" x14ac:dyDescent="0.25">
      <c r="A13"/>
      <c r="D13" s="64" t="str" cm="1">
        <f t="array" ref="D13">Common_InputFunctions.Utility_DisplayArrayInTable(Common_SourceData.Common_SourceData_AustralianStatesTerritories_Data(),Table_AustralianStates[[#Headers],[State/Territory]],0)</f>
        <v>Tasmania</v>
      </c>
      <c r="E13" s="64" t="str" cm="1">
        <f t="array" ref="E13">Common_InputFunctions.Utility_DisplayArrayInTable(Common_SourceData.Common_SourceData_AustralianStatesTerritories_Data(),Table_AustralianStates[[#Headers],[State/Territory]],0)</f>
        <v>Tasmania</v>
      </c>
      <c r="F13" s="64" t="str" cm="1">
        <f t="array" ref="F13">Common_InputFunctions.Utility_DisplayArrayInTable(Common_SourceData.Common_SourceData_AustralianStatesTerritories_Data(),Table_AustralianStates[[#Headers],[State/Territory]],0)</f>
        <v>TAS</v>
      </c>
    </row>
    <row r="14" spans="1:64" ht="20.100000000000001" customHeight="1" x14ac:dyDescent="0.25">
      <c r="A14"/>
      <c r="D14" s="64" t="str" cm="1">
        <f t="array" ref="D14">Common_InputFunctions.Utility_DisplayArrayInTable(Common_SourceData.Common_SourceData_AustralianStatesTerritories_Data(),Table_AustralianStates[[#Headers],[State/Territory]],0)</f>
        <v>Northern Territory</v>
      </c>
      <c r="E14" s="64" t="str" cm="1">
        <f t="array" ref="E14">Common_InputFunctions.Utility_DisplayArrayInTable(Common_SourceData.Common_SourceData_AustralianStatesTerritories_Data(),Table_AustralianStates[[#Headers],[State/Territory]],0)</f>
        <v>Northern Territory</v>
      </c>
      <c r="F14" s="64" t="str" cm="1">
        <f t="array" ref="F14">Common_InputFunctions.Utility_DisplayArrayInTable(Common_SourceData.Common_SourceData_AustralianStatesTerritories_Data(),Table_AustralianStates[[#Headers],[State/Territory]],0)</f>
        <v>NT</v>
      </c>
    </row>
    <row r="15" spans="1:64" ht="20.100000000000001" customHeight="1" x14ac:dyDescent="0.25">
      <c r="A15"/>
    </row>
    <row r="16" spans="1:64" ht="20.100000000000001" customHeight="1" x14ac:dyDescent="0.25">
      <c r="A16"/>
    </row>
    <row r="17" spans="1:4" ht="20.100000000000001" customHeight="1" x14ac:dyDescent="0.25">
      <c r="A17"/>
    </row>
    <row r="18" spans="1:4" ht="20.100000000000001" customHeight="1" x14ac:dyDescent="0.25">
      <c r="A18"/>
      <c r="D18" s="6" t="str" cm="1">
        <f t="array" ref="D18">Common_SourceData.Common_SourceData_WASA4Areas_Title()</f>
        <v>ABS Statistcal Areas Level 4 - Western Australia</v>
      </c>
    </row>
    <row r="19" spans="1:4" ht="20.100000000000001" customHeight="1" x14ac:dyDescent="0.25">
      <c r="A19"/>
      <c r="D19" s="5" t="str" cm="1">
        <f t="array" ref="D19">Common_SourceData.Common_SourceData_WASA4Areas_Source()</f>
        <v>Australian Bureau of Statistics (ABS) - Statistical Areas Level 2 - 2021 - Shapefile</v>
      </c>
    </row>
    <row r="20" spans="1:4" ht="20.100000000000001" customHeight="1" x14ac:dyDescent="0.25">
      <c r="A20"/>
      <c r="D20" s="64" t="s">
        <v>93</v>
      </c>
    </row>
    <row r="21" spans="1:4" ht="20.100000000000001" customHeight="1" x14ac:dyDescent="0.25">
      <c r="A21"/>
      <c r="D21" s="64" t="str" cm="1">
        <f t="array" ref="D21">Common_InputFunctions.Utility_DisplayArrayInTable(Common_SourceData.Common_SourceData_WASA4Areas_Data(), Table_WASA4Areas[[#Headers],[SA 4 Name]], 0)</f>
        <v>Bunbury</v>
      </c>
    </row>
    <row r="22" spans="1:4" ht="20.100000000000001" customHeight="1" x14ac:dyDescent="0.25">
      <c r="A22"/>
      <c r="D22" s="64" t="str" cm="1">
        <f t="array" ref="D22">Common_InputFunctions.Utility_DisplayArrayInTable(Common_SourceData.Common_SourceData_WASA4Areas_Data(), Table_WASA4Areas[[#Headers],[SA 4 Name]], 0)</f>
        <v>Mandurah</v>
      </c>
    </row>
    <row r="23" spans="1:4" ht="20.100000000000001" customHeight="1" x14ac:dyDescent="0.25">
      <c r="A23"/>
      <c r="D23" s="64" t="str" cm="1">
        <f t="array" ref="D23">Common_InputFunctions.Utility_DisplayArrayInTable(Common_SourceData.Common_SourceData_WASA4Areas_Data(), Table_WASA4Areas[[#Headers],[SA 4 Name]], 0)</f>
        <v>Perth - Inner</v>
      </c>
    </row>
    <row r="24" spans="1:4" ht="20.100000000000001" customHeight="1" x14ac:dyDescent="0.25">
      <c r="A24"/>
      <c r="D24" s="64" t="str" cm="1">
        <f t="array" ref="D24">Common_InputFunctions.Utility_DisplayArrayInTable(Common_SourceData.Common_SourceData_WASA4Areas_Data(), Table_WASA4Areas[[#Headers],[SA 4 Name]], 0)</f>
        <v>Perth - North East</v>
      </c>
    </row>
    <row r="25" spans="1:4" ht="20.100000000000001" customHeight="1" x14ac:dyDescent="0.25">
      <c r="A25"/>
      <c r="D25" s="64" t="str" cm="1">
        <f t="array" ref="D25">Common_InputFunctions.Utility_DisplayArrayInTable(Common_SourceData.Common_SourceData_WASA4Areas_Data(), Table_WASA4Areas[[#Headers],[SA 4 Name]], 0)</f>
        <v>Perth - North West</v>
      </c>
    </row>
    <row r="26" spans="1:4" ht="20.100000000000001" customHeight="1" x14ac:dyDescent="0.25">
      <c r="A26"/>
      <c r="D26" s="64" t="str" cm="1">
        <f t="array" ref="D26">Common_InputFunctions.Utility_DisplayArrayInTable(Common_SourceData.Common_SourceData_WASA4Areas_Data(), Table_WASA4Areas[[#Headers],[SA 4 Name]], 0)</f>
        <v>Perth - South East</v>
      </c>
    </row>
    <row r="27" spans="1:4" ht="20.100000000000001" customHeight="1" x14ac:dyDescent="0.25">
      <c r="A27"/>
      <c r="D27" s="64" t="str" cm="1">
        <f t="array" ref="D27">Common_InputFunctions.Utility_DisplayArrayInTable(Common_SourceData.Common_SourceData_WASA4Areas_Data(), Table_WASA4Areas[[#Headers],[SA 4 Name]], 0)</f>
        <v>Perth - South West</v>
      </c>
    </row>
    <row r="28" spans="1:4" ht="20.100000000000001" customHeight="1" x14ac:dyDescent="0.25">
      <c r="A28"/>
      <c r="D28" s="64" t="str" cm="1">
        <f t="array" ref="D28">Common_InputFunctions.Utility_DisplayArrayInTable(Common_SourceData.Common_SourceData_WASA4Areas_Data(), Table_WASA4Areas[[#Headers],[SA 4 Name]], 0)</f>
        <v>Western Australia - Wheat Belt</v>
      </c>
    </row>
    <row r="29" spans="1:4" ht="20.100000000000001" customHeight="1" x14ac:dyDescent="0.25">
      <c r="A29"/>
      <c r="D29" s="64" t="str" cm="1">
        <f t="array" ref="D29">Common_InputFunctions.Utility_DisplayArrayInTable(Common_SourceData.Common_SourceData_WASA4Areas_Data(), Table_WASA4Areas[[#Headers],[SA 4 Name]], 0)</f>
        <v>Western Australia - Outback (North)</v>
      </c>
    </row>
    <row r="30" spans="1:4" ht="20.100000000000001" customHeight="1" x14ac:dyDescent="0.25">
      <c r="A30"/>
      <c r="D30" s="64" t="str" cm="1">
        <f t="array" ref="D30">Common_InputFunctions.Utility_DisplayArrayInTable(Common_SourceData.Common_SourceData_WASA4Areas_Data(), Table_WASA4Areas[[#Headers],[SA 4 Name]], 0)</f>
        <v>Western Australia - Outback (South)</v>
      </c>
    </row>
    <row r="31" spans="1:4" ht="20.100000000000001" customHeight="1" x14ac:dyDescent="0.25">
      <c r="A31"/>
    </row>
    <row r="32" spans="1:4" ht="20.100000000000001" customHeight="1" x14ac:dyDescent="0.25">
      <c r="A32"/>
    </row>
    <row r="33" spans="1:8" ht="20.100000000000001" customHeight="1" x14ac:dyDescent="0.25">
      <c r="A33"/>
    </row>
    <row r="34" spans="1:8" ht="20.100000000000001" customHeight="1" x14ac:dyDescent="0.25">
      <c r="A34"/>
      <c r="D34" s="6" t="str" cm="1">
        <f t="array" ref="D34">Common_SourceData.Common_SourceData_GWP_Title()</f>
        <v>Global warming potential for greenhouse gases</v>
      </c>
    </row>
    <row r="35" spans="1:8" ht="20.100000000000001" customHeight="1" x14ac:dyDescent="0.25">
      <c r="A35"/>
      <c r="D35" s="5" t="str" cm="1">
        <f t="array" ref="D35">Common_SourceData.Common_SourceData_GWP_Source()</f>
        <v>XXXXXXX</v>
      </c>
    </row>
    <row r="36" spans="1:8" ht="20.100000000000001" customHeight="1" x14ac:dyDescent="0.25">
      <c r="A36"/>
      <c r="D36" s="64" t="s">
        <v>96</v>
      </c>
      <c r="E36" s="64" t="s">
        <v>97</v>
      </c>
    </row>
    <row r="37" spans="1:8" ht="20.100000000000001" customHeight="1" x14ac:dyDescent="0.25">
      <c r="A37"/>
      <c r="D37" s="64" t="str" cm="1">
        <f t="array" ref="D37">Common_InputFunctions.Utility_DisplayArrayInTable(Common_SourceData.Common_SourceData_GWP_Data(), Table_GWPData[[#Headers],[Gas]], 0)</f>
        <v>CO2</v>
      </c>
      <c r="E37" s="64" cm="1">
        <f t="array" ref="E37">Common_InputFunctions.Utility_DisplayArrayInTable(Common_SourceData.Common_SourceData_GWP_Data(), Table_GWPData[[#Headers],[Gas]], 0)</f>
        <v>1</v>
      </c>
    </row>
    <row r="38" spans="1:8" ht="20.100000000000001" customHeight="1" x14ac:dyDescent="0.25">
      <c r="A38"/>
      <c r="D38" s="64" t="str" cm="1">
        <f t="array" ref="D38">Common_InputFunctions.Utility_DisplayArrayInTable(Common_SourceData.Common_SourceData_GWP_Data(), Table_GWPData[[#Headers],[Gas]], 0)</f>
        <v>CH4</v>
      </c>
      <c r="E38" s="64" cm="1">
        <f t="array" ref="E38">Common_InputFunctions.Utility_DisplayArrayInTable(Common_SourceData.Common_SourceData_GWP_Data(), Table_GWPData[[#Headers],[Gas]], 0)</f>
        <v>28</v>
      </c>
    </row>
    <row r="39" spans="1:8" ht="20.100000000000001" customHeight="1" x14ac:dyDescent="0.25">
      <c r="A39"/>
      <c r="D39" s="64" t="str" cm="1">
        <f t="array" ref="D39">Common_InputFunctions.Utility_DisplayArrayInTable(Common_SourceData.Common_SourceData_GWP_Data(), Table_GWPData[[#Headers],[Gas]], 0)</f>
        <v>N2O</v>
      </c>
      <c r="E39" s="64" cm="1">
        <f t="array" ref="E39">Common_InputFunctions.Utility_DisplayArrayInTable(Common_SourceData.Common_SourceData_GWP_Data(), Table_GWPData[[#Headers],[Gas]], 0)</f>
        <v>265</v>
      </c>
    </row>
    <row r="40" spans="1:8" ht="20.100000000000001" customHeight="1" x14ac:dyDescent="0.25">
      <c r="A40"/>
      <c r="D40" s="64" t="str" cm="1">
        <f t="array" ref="D40">Common_InputFunctions.Utility_DisplayArrayInTable(Common_SourceData.Common_SourceData_GWP_Data(), Table_GWPData[[#Headers],[Gas]], 0)</f>
        <v>CF4</v>
      </c>
      <c r="E40" s="64" cm="1">
        <f t="array" ref="E40">Common_InputFunctions.Utility_DisplayArrayInTable(Common_SourceData.Common_SourceData_GWP_Data(), Table_GWPData[[#Headers],[Gas]], 0)</f>
        <v>6630</v>
      </c>
    </row>
    <row r="41" spans="1:8" ht="20.100000000000001" customHeight="1" x14ac:dyDescent="0.25">
      <c r="A41"/>
      <c r="D41" s="64" t="str" cm="1">
        <f t="array" ref="D41">Common_InputFunctions.Utility_DisplayArrayInTable(Common_SourceData.Common_SourceData_GWP_Data(), Table_GWPData[[#Headers],[Gas]], 0)</f>
        <v>C2F6</v>
      </c>
      <c r="E41" s="64" cm="1">
        <f t="array" ref="E41">Common_InputFunctions.Utility_DisplayArrayInTable(Common_SourceData.Common_SourceData_GWP_Data(), Table_GWPData[[#Headers],[Gas]], 0)</f>
        <v>12200</v>
      </c>
    </row>
    <row r="42" spans="1:8" ht="20.100000000000001" customHeight="1" x14ac:dyDescent="0.25">
      <c r="D42" s="64" t="str" cm="1">
        <f t="array" ref="D42">Common_InputFunctions.Utility_DisplayArrayInTable(Common_SourceData.Common_SourceData_GWP_Data(), Table_GWPData[[#Headers],[Gas]], 0)</f>
        <v>SF6</v>
      </c>
      <c r="E42" s="64" cm="1">
        <f t="array" ref="E42">Common_InputFunctions.Utility_DisplayArrayInTable(Common_SourceData.Common_SourceData_GWP_Data(), Table_GWPData[[#Headers],[Gas]], 0)</f>
        <v>22800</v>
      </c>
    </row>
    <row r="43" spans="1:8" ht="20.100000000000001" customHeight="1" x14ac:dyDescent="0.25">
      <c r="D43" s="64" t="str" cm="1">
        <f t="array" ref="D43">Common_InputFunctions.Utility_DisplayArrayInTable(Common_SourceData.Common_SourceData_GWP_Data(), Table_GWPData[[#Headers],[Gas]], 0)</f>
        <v>NF3</v>
      </c>
      <c r="E43" s="64" cm="1">
        <f t="array" ref="E43">Common_InputFunctions.Utility_DisplayArrayInTable(Common_SourceData.Common_SourceData_GWP_Data(), Table_GWPData[[#Headers],[Gas]], 0)</f>
        <v>17200</v>
      </c>
    </row>
    <row r="44" spans="1:8" ht="20.100000000000001" customHeight="1" x14ac:dyDescent="0.25"/>
    <row r="45" spans="1:8" ht="20.100000000000001" customHeight="1" x14ac:dyDescent="0.25">
      <c r="D45" s="6" t="str" cm="1">
        <f t="array" ref="D45">Common_SourceData.Common_SourceData_ConvertGasElementalToMolecular_Title()</f>
        <v>Factor to convert elemental mass of gas to molecular mass</v>
      </c>
    </row>
    <row r="46" spans="1:8" ht="20.100000000000001" customHeight="1" x14ac:dyDescent="0.25">
      <c r="D46" s="5" t="str" cm="1">
        <f t="array" ref="D46">Common_SourceData.Common_SourceData_ConvertGasElementalToMolecular_Source()</f>
        <v>XXXXXXX</v>
      </c>
    </row>
    <row r="47" spans="1:8" ht="20.100000000000001" customHeight="1" x14ac:dyDescent="0.25">
      <c r="D47" s="64" t="s">
        <v>96</v>
      </c>
      <c r="E47" s="64" t="s">
        <v>99</v>
      </c>
      <c r="F47" s="64" t="s">
        <v>100</v>
      </c>
      <c r="G47" s="64" t="s">
        <v>101</v>
      </c>
      <c r="H47" s="64" t="s">
        <v>102</v>
      </c>
    </row>
    <row r="48" spans="1:8" ht="20.100000000000001" customHeight="1" x14ac:dyDescent="0.25">
      <c r="D48" s="64" t="str" cm="1">
        <f t="array" ref="D48">Common_InputFunctions.Utility_DisplayArrayInTable(Common_SourceData.Common_SourceData_ConvertGasElementalToMolecular_Data(),Table_GasToMolecularConversionFactor[[#Headers],[Gas]], 0)</f>
        <v>CO2</v>
      </c>
      <c r="E48" s="64" t="str" cm="1">
        <f t="array" ref="E48">Common_InputFunctions.Utility_DisplayArrayInTable(Common_SourceData.Common_SourceData_ConvertGasElementalToMolecular_Data(),Table_GasToMolecularConversionFactor[[#Headers],[Gas]], 0)</f>
        <v>44/12</v>
      </c>
      <c r="F48" s="64" cm="1">
        <f t="array" ref="F48">Common_InputFunctions.Utility_DisplayArrayInTable(Common_SourceData.Common_SourceData_ConvertGasElementalToMolecular_Data(),Table_GasToMolecularConversionFactor[[#Headers],[Gas]], 0)</f>
        <v>44</v>
      </c>
      <c r="G48" s="64" cm="1">
        <f t="array" ref="G48">Common_InputFunctions.Utility_DisplayArrayInTable(Common_SourceData.Common_SourceData_ConvertGasElementalToMolecular_Data(),Table_GasToMolecularConversionFactor[[#Headers],[Gas]], 0)</f>
        <v>12</v>
      </c>
      <c r="H48" s="64">
        <f>Table_GasToMolecularConversionFactor[[#This Row],[Conversion factor 1]]/Table_GasToMolecularConversionFactor[[#This Row],[Conversion factor 2]]</f>
        <v>3.6666666666666665</v>
      </c>
    </row>
    <row r="49" spans="4:8" ht="20.100000000000001" customHeight="1" x14ac:dyDescent="0.25">
      <c r="D49" s="64" t="str" cm="1">
        <f t="array" ref="D49">Common_InputFunctions.Utility_DisplayArrayInTable(Common_SourceData.Common_SourceData_ConvertGasElementalToMolecular_Data(),Table_GasToMolecularConversionFactor[[#Headers],[Gas]], 0)</f>
        <v>CH4</v>
      </c>
      <c r="E49" s="64" t="str" cm="1">
        <f t="array" ref="E49">Common_InputFunctions.Utility_DisplayArrayInTable(Common_SourceData.Common_SourceData_ConvertGasElementalToMolecular_Data(),Table_GasToMolecularConversionFactor[[#Headers],[Gas]], 0)</f>
        <v>16/12</v>
      </c>
      <c r="F49" s="64" cm="1">
        <f t="array" ref="F49">Common_InputFunctions.Utility_DisplayArrayInTable(Common_SourceData.Common_SourceData_ConvertGasElementalToMolecular_Data(),Table_GasToMolecularConversionFactor[[#Headers],[Gas]], 0)</f>
        <v>16</v>
      </c>
      <c r="G49" s="64" cm="1">
        <f t="array" ref="G49">Common_InputFunctions.Utility_DisplayArrayInTable(Common_SourceData.Common_SourceData_ConvertGasElementalToMolecular_Data(),Table_GasToMolecularConversionFactor[[#Headers],[Gas]], 0)</f>
        <v>12</v>
      </c>
      <c r="H49" s="64">
        <f>Table_GasToMolecularConversionFactor[[#This Row],[Conversion factor 1]]/Table_GasToMolecularConversionFactor[[#This Row],[Conversion factor 2]]</f>
        <v>1.3333333333333333</v>
      </c>
    </row>
    <row r="50" spans="4:8" ht="20.100000000000001" customHeight="1" x14ac:dyDescent="0.25">
      <c r="D50" s="64" t="str" cm="1">
        <f t="array" ref="D50">Common_InputFunctions.Utility_DisplayArrayInTable(Common_SourceData.Common_SourceData_ConvertGasElementalToMolecular_Data(),Table_GasToMolecularConversionFactor[[#Headers],[Gas]], 0)</f>
        <v>N2O</v>
      </c>
      <c r="E50" s="64" t="str" cm="1">
        <f t="array" ref="E50">Common_InputFunctions.Utility_DisplayArrayInTable(Common_SourceData.Common_SourceData_ConvertGasElementalToMolecular_Data(),Table_GasToMolecularConversionFactor[[#Headers],[Gas]], 0)</f>
        <v>44/28</v>
      </c>
      <c r="F50" s="64" cm="1">
        <f t="array" ref="F50">Common_InputFunctions.Utility_DisplayArrayInTable(Common_SourceData.Common_SourceData_ConvertGasElementalToMolecular_Data(),Table_GasToMolecularConversionFactor[[#Headers],[Gas]], 0)</f>
        <v>44</v>
      </c>
      <c r="G50" s="64" cm="1">
        <f t="array" ref="G50">Common_InputFunctions.Utility_DisplayArrayInTable(Common_SourceData.Common_SourceData_ConvertGasElementalToMolecular_Data(),Table_GasToMolecularConversionFactor[[#Headers],[Gas]], 0)</f>
        <v>28</v>
      </c>
      <c r="H50" s="64">
        <f>Table_GasToMolecularConversionFactor[[#This Row],[Conversion factor 1]]/Table_GasToMolecularConversionFactor[[#This Row],[Conversion factor 2]]</f>
        <v>1.5714285714285714</v>
      </c>
    </row>
    <row r="51" spans="4:8" ht="20.100000000000001" customHeight="1" x14ac:dyDescent="0.25">
      <c r="D51" s="64" t="str" cm="1">
        <f t="array" ref="D51">Common_InputFunctions.Utility_DisplayArrayInTable(Common_SourceData.Common_SourceData_ConvertGasElementalToMolecular_Data(),Table_GasToMolecularConversionFactor[[#Headers],[Gas]], 0)</f>
        <v>Nox</v>
      </c>
      <c r="E51" s="64" t="str" cm="1">
        <f t="array" ref="E51">Common_InputFunctions.Utility_DisplayArrayInTable(Common_SourceData.Common_SourceData_ConvertGasElementalToMolecular_Data(),Table_GasToMolecularConversionFactor[[#Headers],[Gas]], 0)</f>
        <v>46/14</v>
      </c>
      <c r="F51" s="64" cm="1">
        <f t="array" ref="F51">Common_InputFunctions.Utility_DisplayArrayInTable(Common_SourceData.Common_SourceData_ConvertGasElementalToMolecular_Data(),Table_GasToMolecularConversionFactor[[#Headers],[Gas]], 0)</f>
        <v>46</v>
      </c>
      <c r="G51" s="64" cm="1">
        <f t="array" ref="G51">Common_InputFunctions.Utility_DisplayArrayInTable(Common_SourceData.Common_SourceData_ConvertGasElementalToMolecular_Data(),Table_GasToMolecularConversionFactor[[#Headers],[Gas]], 0)</f>
        <v>14</v>
      </c>
      <c r="H51" s="64">
        <f>Table_GasToMolecularConversionFactor[[#This Row],[Conversion factor 1]]/Table_GasToMolecularConversionFactor[[#This Row],[Conversion factor 2]]</f>
        <v>3.2857142857142856</v>
      </c>
    </row>
    <row r="52" spans="4:8" ht="20.100000000000001" customHeight="1" x14ac:dyDescent="0.25">
      <c r="D52" s="64" t="str" cm="1">
        <f t="array" ref="D52">Common_InputFunctions.Utility_DisplayArrayInTable(Common_SourceData.Common_SourceData_ConvertGasElementalToMolecular_Data(),Table_GasToMolecularConversionFactor[[#Headers],[Gas]], 0)</f>
        <v>CO</v>
      </c>
      <c r="E52" s="64" t="str" cm="1">
        <f t="array" ref="E52">Common_InputFunctions.Utility_DisplayArrayInTable(Common_SourceData.Common_SourceData_ConvertGasElementalToMolecular_Data(),Table_GasToMolecularConversionFactor[[#Headers],[Gas]], 0)</f>
        <v>28/12</v>
      </c>
      <c r="F52" s="64" cm="1">
        <f t="array" ref="F52">Common_InputFunctions.Utility_DisplayArrayInTable(Common_SourceData.Common_SourceData_ConvertGasElementalToMolecular_Data(),Table_GasToMolecularConversionFactor[[#Headers],[Gas]], 0)</f>
        <v>28</v>
      </c>
      <c r="G52" s="64" cm="1">
        <f t="array" ref="G52">Common_InputFunctions.Utility_DisplayArrayInTable(Common_SourceData.Common_SourceData_ConvertGasElementalToMolecular_Data(),Table_GasToMolecularConversionFactor[[#Headers],[Gas]], 0)</f>
        <v>12</v>
      </c>
      <c r="H52" s="64">
        <f>Table_GasToMolecularConversionFactor[[#This Row],[Conversion factor 1]]/Table_GasToMolecularConversionFactor[[#This Row],[Conversion factor 2]]</f>
        <v>2.3333333333333335</v>
      </c>
    </row>
    <row r="53" spans="4:8" ht="20.100000000000001" customHeight="1" x14ac:dyDescent="0.25">
      <c r="D53" s="64" t="str" cm="1">
        <f t="array" ref="D53">Common_InputFunctions.Utility_DisplayArrayInTable(Common_SourceData.Common_SourceData_ConvertGasElementalToMolecular_Data(),Table_GasToMolecularConversionFactor[[#Headers],[Gas]], 0)</f>
        <v>CO2 Lime</v>
      </c>
      <c r="E53" s="64" t="str" cm="1">
        <f t="array" ref="E53">Common_InputFunctions.Utility_DisplayArrayInTable(Common_SourceData.Common_SourceData_ConvertGasElementalToMolecular_Data(),Table_GasToMolecularConversionFactor[[#Headers],[Gas]], 0)</f>
        <v>44/12</v>
      </c>
      <c r="F53" s="64" cm="1">
        <f t="array" ref="F53">Common_InputFunctions.Utility_DisplayArrayInTable(Common_SourceData.Common_SourceData_ConvertGasElementalToMolecular_Data(),Table_GasToMolecularConversionFactor[[#Headers],[Gas]], 0)</f>
        <v>44</v>
      </c>
      <c r="G53" s="64" cm="1">
        <f t="array" ref="G53">Common_InputFunctions.Utility_DisplayArrayInTable(Common_SourceData.Common_SourceData_ConvertGasElementalToMolecular_Data(),Table_GasToMolecularConversionFactor[[#Headers],[Gas]], 0)</f>
        <v>12</v>
      </c>
      <c r="H53" s="64">
        <f>Table_GasToMolecularConversionFactor[[#This Row],[Conversion factor 1]]/Table_GasToMolecularConversionFactor[[#This Row],[Conversion factor 2]]</f>
        <v>3.6666666666666665</v>
      </c>
    </row>
    <row r="54" spans="4:8" ht="20.100000000000001" customHeight="1" x14ac:dyDescent="0.25">
      <c r="D54" s="64" t="str" cm="1">
        <f t="array" ref="D54">Common_InputFunctions.Utility_DisplayArrayInTable(Common_SourceData.Common_SourceData_ConvertGasElementalToMolecular_Data(),Table_GasToMolecularConversionFactor[[#Headers],[Gas]], 0)</f>
        <v>NMVOC</v>
      </c>
      <c r="E54" s="64" t="str" cm="1">
        <f t="array" ref="E54">Common_InputFunctions.Utility_DisplayArrayInTable(Common_SourceData.Common_SourceData_ConvertGasElementalToMolecular_Data(),Table_GasToMolecularConversionFactor[[#Headers],[Gas]], 0)</f>
        <v>14/12</v>
      </c>
      <c r="F54" s="64" cm="1">
        <f t="array" ref="F54">Common_InputFunctions.Utility_DisplayArrayInTable(Common_SourceData.Common_SourceData_ConvertGasElementalToMolecular_Data(),Table_GasToMolecularConversionFactor[[#Headers],[Gas]], 0)</f>
        <v>14</v>
      </c>
      <c r="G54" s="64" cm="1">
        <f t="array" ref="G54">Common_InputFunctions.Utility_DisplayArrayInTable(Common_SourceData.Common_SourceData_ConvertGasElementalToMolecular_Data(),Table_GasToMolecularConversionFactor[[#Headers],[Gas]], 0)</f>
        <v>12</v>
      </c>
      <c r="H54" s="64">
        <f>Table_GasToMolecularConversionFactor[[#This Row],[Conversion factor 1]]/Table_GasToMolecularConversionFactor[[#This Row],[Conversion factor 2]]</f>
        <v>1.1666666666666667</v>
      </c>
    </row>
    <row r="55" spans="4:8" ht="20.100000000000001" customHeight="1" x14ac:dyDescent="0.25"/>
    <row r="56" spans="4:8" ht="20.100000000000001" customHeight="1" x14ac:dyDescent="0.25"/>
    <row r="57" spans="4:8" ht="20.100000000000001" customHeight="1" x14ac:dyDescent="0.25">
      <c r="D57" s="6" t="str" cm="1">
        <f t="array" ref="D57">Common_SourceData.Common_SourceData_WetAndDryZones_Title()</f>
        <v>VEERG Australian wet and dry zones</v>
      </c>
    </row>
    <row r="58" spans="4:8" ht="20.100000000000001" customHeight="1" x14ac:dyDescent="0.25">
      <c r="D58" s="5" t="str" cm="1">
        <f t="array" ref="D58">Common_SourceData.Common_SourceData_WetAndDryZones_Source()</f>
        <v>VEERG 2026: Table 1.2: Translating climate zones to wet and dry zones</v>
      </c>
    </row>
    <row r="59" spans="4:8" ht="20.100000000000001" customHeight="1" x14ac:dyDescent="0.25">
      <c r="D59" s="84" t="str" cm="1">
        <f t="array" ref="D59:D61">"⚠️" &amp; Common_SourceData.Common_SourceData_WetAndDryZones_Variation()</f>
        <v>⚠️VARIATION OF SOURCE DATA:</v>
      </c>
    </row>
    <row r="60" spans="4:8" ht="20.100000000000001" customHeight="1" x14ac:dyDescent="0.25">
      <c r="D60" s="84" t="str">
        <v>⚠️Added warm / cool temperate moist / dry - low frost and high temp classes to accommodate climate scenarios excluded by VEERG criteria.</v>
      </c>
    </row>
    <row r="61" spans="4:8" ht="20.100000000000001" customHeight="1" x14ac:dyDescent="0.25">
      <c r="D61" s="84" t="str">
        <v>⚠️Fixed typo - Changed 'Fry' to 'Dry'.</v>
      </c>
    </row>
    <row r="62" spans="4:8" ht="20.100000000000001" customHeight="1" x14ac:dyDescent="0.25"/>
    <row r="63" spans="4:8" ht="20.100000000000001" customHeight="1" x14ac:dyDescent="0.25">
      <c r="D63" s="64" t="s">
        <v>71</v>
      </c>
      <c r="E63" s="64" t="s">
        <v>119</v>
      </c>
    </row>
    <row r="64" spans="4:8" ht="20.100000000000001" customHeight="1" x14ac:dyDescent="0.25">
      <c r="D64" s="64" t="str" cm="1">
        <f t="array" ref="D64">Common_InputFunctions.Utility_DisplayArrayInTable(Common_SourceData.Common_SourceData_WetAndDryZones_Data(), Table_SourceData_WetDryZones[[#Headers],[Climate zone]], 0)</f>
        <v>Tropical montane</v>
      </c>
      <c r="E64" s="64" t="str" cm="1">
        <f t="array" ref="E64">Common_InputFunctions.Utility_DisplayArrayInTable(Common_SourceData.Common_SourceData_WetAndDryZones_Data(), Table_SourceData_WetDryZones[[#Headers],[Climate zone]], 0)</f>
        <v>Wet climate zone</v>
      </c>
    </row>
    <row r="65" spans="4:5" ht="20.100000000000001" customHeight="1" x14ac:dyDescent="0.25">
      <c r="D65" s="64" t="str" cm="1">
        <f t="array" ref="D65">Common_InputFunctions.Utility_DisplayArrayInTable(Common_SourceData.Common_SourceData_WetAndDryZones_Data(), Table_SourceData_WetDryZones[[#Headers],[Climate zone]], 0)</f>
        <v>Tropical wet</v>
      </c>
      <c r="E65" s="64" t="str" cm="1">
        <f t="array" ref="E65">Common_InputFunctions.Utility_DisplayArrayInTable(Common_SourceData.Common_SourceData_WetAndDryZones_Data(), Table_SourceData_WetDryZones[[#Headers],[Climate zone]], 0)</f>
        <v>Wet climate zone</v>
      </c>
    </row>
    <row r="66" spans="4:5" ht="20.100000000000001" customHeight="1" x14ac:dyDescent="0.25">
      <c r="D66" s="64" t="str" cm="1">
        <f t="array" ref="D66">Common_InputFunctions.Utility_DisplayArrayInTable(Common_SourceData.Common_SourceData_WetAndDryZones_Data(), Table_SourceData_WetDryZones[[#Headers],[Climate zone]], 0)</f>
        <v>Tropical moist</v>
      </c>
      <c r="E66" s="64" t="str" cm="1">
        <f t="array" ref="E66">Common_InputFunctions.Utility_DisplayArrayInTable(Common_SourceData.Common_SourceData_WetAndDryZones_Data(), Table_SourceData_WetDryZones[[#Headers],[Climate zone]], 0)</f>
        <v>Wet climate zone</v>
      </c>
    </row>
    <row r="67" spans="4:5" ht="20.100000000000001" customHeight="1" x14ac:dyDescent="0.25">
      <c r="D67" s="64" t="str" cm="1">
        <f t="array" ref="D67">Common_InputFunctions.Utility_DisplayArrayInTable(Common_SourceData.Common_SourceData_WetAndDryZones_Data(), Table_SourceData_WetDryZones[[#Headers],[Climate zone]], 0)</f>
        <v>Tropical dry</v>
      </c>
      <c r="E67" s="64" t="str" cm="1">
        <f t="array" ref="E67">Common_InputFunctions.Utility_DisplayArrayInTable(Common_SourceData.Common_SourceData_WetAndDryZones_Data(), Table_SourceData_WetDryZones[[#Headers],[Climate zone]], 0)</f>
        <v>Dry climate zone</v>
      </c>
    </row>
    <row r="68" spans="4:5" ht="20.100000000000001" customHeight="1" x14ac:dyDescent="0.25">
      <c r="D68" s="64" t="str" cm="1">
        <f t="array" ref="D68">Common_InputFunctions.Utility_DisplayArrayInTable(Common_SourceData.Common_SourceData_WetAndDryZones_Data(), Table_SourceData_WetDryZones[[#Headers],[Climate zone]], 0)</f>
        <v>Warm temperate moist</v>
      </c>
      <c r="E68" s="64" t="str" cm="1">
        <f t="array" ref="E68">Common_InputFunctions.Utility_DisplayArrayInTable(Common_SourceData.Common_SourceData_WetAndDryZones_Data(), Table_SourceData_WetDryZones[[#Headers],[Climate zone]], 0)</f>
        <v>Wet climate zone</v>
      </c>
    </row>
    <row r="69" spans="4:5" ht="20.100000000000001" customHeight="1" x14ac:dyDescent="0.25">
      <c r="D69" s="64" t="str" cm="1">
        <f t="array" ref="D69">Common_InputFunctions.Utility_DisplayArrayInTable(Common_SourceData.Common_SourceData_WetAndDryZones_Data(), Table_SourceData_WetDryZones[[#Headers],[Climate zone]], 0)</f>
        <v>Warm temperate dry</v>
      </c>
      <c r="E69" s="64" t="str" cm="1">
        <f t="array" ref="E69">Common_InputFunctions.Utility_DisplayArrayInTable(Common_SourceData.Common_SourceData_WetAndDryZones_Data(), Table_SourceData_WetDryZones[[#Headers],[Climate zone]], 0)</f>
        <v>Dry climate zone</v>
      </c>
    </row>
    <row r="70" spans="4:5" ht="20.100000000000001" customHeight="1" x14ac:dyDescent="0.25">
      <c r="D70" s="64" t="str" cm="1">
        <f t="array" ref="D70">Common_InputFunctions.Utility_DisplayArrayInTable(Common_SourceData.Common_SourceData_WetAndDryZones_Data(), Table_SourceData_WetDryZones[[#Headers],[Climate zone]], 0)</f>
        <v>Cool temperate moist</v>
      </c>
      <c r="E70" s="64" t="str" cm="1">
        <f t="array" ref="E70">Common_InputFunctions.Utility_DisplayArrayInTable(Common_SourceData.Common_SourceData_WetAndDryZones_Data(), Table_SourceData_WetDryZones[[#Headers],[Climate zone]], 0)</f>
        <v>Wet climate zone</v>
      </c>
    </row>
    <row r="71" spans="4:5" ht="20.100000000000001" customHeight="1" x14ac:dyDescent="0.25">
      <c r="D71" s="64" t="str" cm="1">
        <f t="array" ref="D71">Common_InputFunctions.Utility_DisplayArrayInTable(Common_SourceData.Common_SourceData_WetAndDryZones_Data(), Table_SourceData_WetDryZones[[#Headers],[Climate zone]], 0)</f>
        <v>Cool temperate dry</v>
      </c>
      <c r="E71" s="64" t="str" cm="1">
        <f t="array" ref="E71">Common_InputFunctions.Utility_DisplayArrayInTable(Common_SourceData.Common_SourceData_WetAndDryZones_Data(), Table_SourceData_WetDryZones[[#Headers],[Climate zone]], 0)</f>
        <v>Dry climate zone</v>
      </c>
    </row>
    <row r="72" spans="4:5" ht="20.100000000000001" customHeight="1" x14ac:dyDescent="0.25">
      <c r="D72" s="64" t="str" cm="1">
        <f t="array" ref="D72">Common_InputFunctions.Utility_DisplayArrayInTable(Common_SourceData.Common_SourceData_WetAndDryZones_Data(), Table_SourceData_WetDryZones[[#Headers],[Climate zone]], 0)</f>
        <v>Warm temperate moist - low frost</v>
      </c>
      <c r="E72" s="64" t="str" cm="1">
        <f t="array" ref="E72">Common_InputFunctions.Utility_DisplayArrayInTable(Common_SourceData.Common_SourceData_WetAndDryZones_Data(), Table_SourceData_WetDryZones[[#Headers],[Climate zone]], 0)</f>
        <v>Wet climate zone</v>
      </c>
    </row>
    <row r="73" spans="4:5" ht="20.100000000000001" customHeight="1" x14ac:dyDescent="0.25">
      <c r="D73" s="64" t="str" cm="1">
        <f t="array" ref="D73">Common_InputFunctions.Utility_DisplayArrayInTable(Common_SourceData.Common_SourceData_WetAndDryZones_Data(), Table_SourceData_WetDryZones[[#Headers],[Climate zone]], 0)</f>
        <v>Warm temperate dry - low frost</v>
      </c>
      <c r="E73" s="64" t="str" cm="1">
        <f t="array" ref="E73">Common_InputFunctions.Utility_DisplayArrayInTable(Common_SourceData.Common_SourceData_WetAndDryZones_Data(), Table_SourceData_WetDryZones[[#Headers],[Climate zone]], 0)</f>
        <v>Dry climate zone</v>
      </c>
    </row>
    <row r="74" spans="4:5" ht="20.100000000000001" customHeight="1" x14ac:dyDescent="0.25">
      <c r="D74" s="64" t="str" cm="1">
        <f t="array" ref="D74">Common_InputFunctions.Utility_DisplayArrayInTable(Common_SourceData.Common_SourceData_WetAndDryZones_Data(), Table_SourceData_WetDryZones[[#Headers],[Climate zone]], 0)</f>
        <v>Warm temperate moist - high temp</v>
      </c>
      <c r="E74" s="64" t="str" cm="1">
        <f t="array" ref="E74">Common_InputFunctions.Utility_DisplayArrayInTable(Common_SourceData.Common_SourceData_WetAndDryZones_Data(), Table_SourceData_WetDryZones[[#Headers],[Climate zone]], 0)</f>
        <v>Wet climate zone</v>
      </c>
    </row>
    <row r="75" spans="4:5" ht="20.100000000000001" customHeight="1" x14ac:dyDescent="0.25">
      <c r="D75" s="64" t="str" cm="1">
        <f t="array" ref="D75">Common_InputFunctions.Utility_DisplayArrayInTable(Common_SourceData.Common_SourceData_WetAndDryZones_Data(), Table_SourceData_WetDryZones[[#Headers],[Climate zone]], 0)</f>
        <v>Warm temperate dry - high temp</v>
      </c>
      <c r="E75" s="64" t="str" cm="1">
        <f t="array" ref="E75">Common_InputFunctions.Utility_DisplayArrayInTable(Common_SourceData.Common_SourceData_WetAndDryZones_Data(), Table_SourceData_WetDryZones[[#Headers],[Climate zone]], 0)</f>
        <v>Dry climate zone</v>
      </c>
    </row>
    <row r="76" spans="4:5" ht="20.100000000000001" customHeight="1" x14ac:dyDescent="0.25">
      <c r="D76" s="64" t="str" cm="1">
        <f t="array" ref="D76">Common_InputFunctions.Utility_DisplayArrayInTable(Common_SourceData.Common_SourceData_WetAndDryZones_Data(), Table_SourceData_WetDryZones[[#Headers],[Climate zone]], 0)</f>
        <v>Cool temperate moist - low frost</v>
      </c>
      <c r="E76" s="64" t="str" cm="1">
        <f t="array" ref="E76">Common_InputFunctions.Utility_DisplayArrayInTable(Common_SourceData.Common_SourceData_WetAndDryZones_Data(), Table_SourceData_WetDryZones[[#Headers],[Climate zone]], 0)</f>
        <v>Wet climate zone</v>
      </c>
    </row>
    <row r="77" spans="4:5" ht="20.100000000000001" customHeight="1" x14ac:dyDescent="0.25">
      <c r="D77" s="64" t="str" cm="1">
        <f t="array" ref="D77">Common_InputFunctions.Utility_DisplayArrayInTable(Common_SourceData.Common_SourceData_WetAndDryZones_Data(), Table_SourceData_WetDryZones[[#Headers],[Climate zone]], 0)</f>
        <v>Cool temperate dry - low frost</v>
      </c>
      <c r="E77" s="64" t="str" cm="1">
        <f t="array" ref="E77">Common_InputFunctions.Utility_DisplayArrayInTable(Common_SourceData.Common_SourceData_WetAndDryZones_Data(), Table_SourceData_WetDryZones[[#Headers],[Climate zone]], 0)</f>
        <v>Dry climate zone</v>
      </c>
    </row>
    <row r="78" spans="4:5" ht="20.100000000000001" customHeight="1" x14ac:dyDescent="0.25"/>
    <row r="79" spans="4:5" ht="20.100000000000001" customHeight="1" x14ac:dyDescent="0.25"/>
    <row r="80" spans="4:5" ht="20.100000000000001" customHeight="1" x14ac:dyDescent="0.25"/>
    <row r="81" spans="4:19" ht="20.100000000000001" customHeight="1" x14ac:dyDescent="0.25">
      <c r="D81" s="6" t="str" cm="1">
        <f t="array" ref="D81">Common_SourceData.Common_SourceData_ClimateZones_Title()</f>
        <v>VEERG Australian climate zones</v>
      </c>
    </row>
    <row r="82" spans="4:19" ht="20.100000000000001" customHeight="1" x14ac:dyDescent="0.25">
      <c r="D82" s="5" t="str" cm="1">
        <f t="array" ref="D82">Common_SourceData.Common_SourceData_ClimateZones_Source()</f>
        <v>VEERG 2026: Table 1.3: Climate and Rainfall zone classifications and definitions</v>
      </c>
    </row>
    <row r="83" spans="4:19" ht="20.100000000000001" customHeight="1" x14ac:dyDescent="0.25">
      <c r="D83" s="84" t="str" cm="1">
        <f t="array" ref="D83:D87">"⚠️" &amp; Common_SourceData.Common_SourceData_ClimateZones_Variation()</f>
        <v>⚠️VARIATION OF SOURCE DATA:</v>
      </c>
    </row>
    <row r="84" spans="4:19" ht="20.100000000000001" customHeight="1" x14ac:dyDescent="0.25">
      <c r="D84" s="84" t="str">
        <v>⚠️Added warm / cool temperate moist / dry - low frost and high temp classes to accommodate climate scenarios excluded by VEERG criteria.</v>
      </c>
    </row>
    <row r="85" spans="4:19" ht="20.100000000000001" customHeight="1" x14ac:dyDescent="0.25">
      <c r="D85" s="84" t="str">
        <v>⚠️Fixed typo in MAT value for warm temperate dry - changed 10 to 11.</v>
      </c>
    </row>
    <row r="86" spans="4:19" ht="20.100000000000001" customHeight="1" x14ac:dyDescent="0.25">
      <c r="D86" s="84" t="str">
        <v>⚠️Added min and max columns for MAT, MAP, frost days per year, elevation, MAP:PET to calculate zones from real climate data.</v>
      </c>
    </row>
    <row r="87" spans="4:19" ht="20.100000000000001" customHeight="1" x14ac:dyDescent="0.25">
      <c r="D87" s="84" t="str">
        <v>⚠️GAF accepts rainfall as a proxy for precipitation.</v>
      </c>
    </row>
    <row r="88" spans="4:19" ht="20.100000000000001" customHeight="1" x14ac:dyDescent="0.25"/>
    <row r="89" spans="4:19" ht="20.100000000000001" customHeight="1" x14ac:dyDescent="0.25">
      <c r="D89" s="64" t="s">
        <v>71</v>
      </c>
      <c r="E89" s="64" t="s">
        <v>107</v>
      </c>
      <c r="F89" s="64" t="s">
        <v>108</v>
      </c>
      <c r="G89" s="64" t="s">
        <v>109</v>
      </c>
      <c r="H89" s="64" t="s">
        <v>110</v>
      </c>
      <c r="I89" s="64" t="s">
        <v>111</v>
      </c>
      <c r="J89" s="64" t="s">
        <v>112</v>
      </c>
      <c r="K89" s="64" t="s">
        <v>113</v>
      </c>
      <c r="L89" s="64" t="s">
        <v>114</v>
      </c>
      <c r="M89" s="64" t="s">
        <v>115</v>
      </c>
      <c r="N89" s="64" t="s">
        <v>116</v>
      </c>
      <c r="O89" s="64" t="s">
        <v>120</v>
      </c>
      <c r="P89" s="64" t="s">
        <v>117</v>
      </c>
      <c r="Q89" s="64" t="s">
        <v>121</v>
      </c>
      <c r="R89" s="64" t="s">
        <v>118</v>
      </c>
      <c r="S89" s="64" t="s">
        <v>122</v>
      </c>
    </row>
    <row r="90" spans="4:19" ht="20.100000000000001" customHeight="1" x14ac:dyDescent="0.25">
      <c r="D90" s="64" t="str" cm="1">
        <f t="array" ref="D90">Common_InputFunctions.Utility_DisplayArrayInTable(Common_SourceData.Common_SourceData_ClimateZones_Data(), Table_SourceData_ClimateZones[[#Headers],[Climate zone]], 0)</f>
        <v>Tropical montane</v>
      </c>
      <c r="E90" s="64" t="str" cm="1">
        <f t="array" ref="E90">Common_InputFunctions.Utility_DisplayArrayInTable(Common_SourceData.Common_SourceData_ClimateZones_Data(), Table_SourceData_ClimateZones[[#Headers],[Climate zone]], 0)</f>
        <v>&gt; 18 C</v>
      </c>
      <c r="F90" s="64" t="str" cm="1">
        <f t="array" ref="F90">Common_InputFunctions.Utility_DisplayArrayInTable(Common_SourceData.Common_SourceData_ClimateZones_Data(), Table_SourceData_ClimateZones[[#Headers],[Climate zone]], 0)</f>
        <v>Any</v>
      </c>
      <c r="G90" s="64" t="str" cm="1">
        <f t="array" ref="G90">Common_InputFunctions.Utility_DisplayArrayInTable(Common_SourceData.Common_SourceData_ClimateZones_Data(), Table_SourceData_ClimateZones[[#Headers],[Climate zone]], 0)</f>
        <v>≤ 7</v>
      </c>
      <c r="H90" s="64" t="str" cm="1">
        <f t="array" ref="H90">Common_InputFunctions.Utility_DisplayArrayInTable(Common_SourceData.Common_SourceData_ClimateZones_Data(), Table_SourceData_ClimateZones[[#Headers],[Climate zone]], 0)</f>
        <v>&gt; 1000 m</v>
      </c>
      <c r="I90" s="64" t="str" cm="1">
        <f t="array" ref="I90">Common_InputFunctions.Utility_DisplayArrayInTable(Common_SourceData.Common_SourceData_ClimateZones_Data(), Table_SourceData_ClimateZones[[#Headers],[Climate zone]], 0)</f>
        <v>Any</v>
      </c>
      <c r="J90" s="64" cm="1">
        <f t="array" ref="J90">Common_InputFunctions.Utility_DisplayArrayInTable(Common_SourceData.Common_SourceData_ClimateZones_Data(), Table_SourceData_ClimateZones[[#Headers],[Climate zone]], 0)</f>
        <v>18.001000000000001</v>
      </c>
      <c r="K90" s="64" cm="1">
        <f t="array" ref="K90">Common_InputFunctions.Utility_DisplayArrayInTable(Common_SourceData.Common_SourceData_ClimateZones_Data(), Table_SourceData_ClimateZones[[#Headers],[Climate zone]], 0)</f>
        <v>999999</v>
      </c>
      <c r="L90" s="64" cm="1">
        <f t="array" ref="L90">Common_InputFunctions.Utility_DisplayArrayInTable(Common_SourceData.Common_SourceData_ClimateZones_Data(), Table_SourceData_ClimateZones[[#Headers],[Climate zone]], 0)</f>
        <v>-999999</v>
      </c>
      <c r="M90" s="64" cm="1">
        <f t="array" ref="M90">Common_InputFunctions.Utility_DisplayArrayInTable(Common_SourceData.Common_SourceData_ClimateZones_Data(), Table_SourceData_ClimateZones[[#Headers],[Climate zone]], 0)</f>
        <v>999999</v>
      </c>
      <c r="N90" s="64" cm="1">
        <f t="array" ref="N90">Common_InputFunctions.Utility_DisplayArrayInTable(Common_SourceData.Common_SourceData_ClimateZones_Data(), Table_SourceData_ClimateZones[[#Headers],[Climate zone]], 0)</f>
        <v>-999999</v>
      </c>
      <c r="O90" s="64" cm="1">
        <f t="array" ref="O90">Common_InputFunctions.Utility_DisplayArrayInTable(Common_SourceData.Common_SourceData_ClimateZones_Data(), Table_SourceData_ClimateZones[[#Headers],[Climate zone]], 0)</f>
        <v>7</v>
      </c>
      <c r="P90" s="64" cm="1">
        <f t="array" ref="P90">Common_InputFunctions.Utility_DisplayArrayInTable(Common_SourceData.Common_SourceData_ClimateZones_Data(), Table_SourceData_ClimateZones[[#Headers],[Climate zone]], 0)</f>
        <v>1000</v>
      </c>
      <c r="Q90" s="64" cm="1">
        <f t="array" ref="Q90">Common_InputFunctions.Utility_DisplayArrayInTable(Common_SourceData.Common_SourceData_ClimateZones_Data(), Table_SourceData_ClimateZones[[#Headers],[Climate zone]], 0)</f>
        <v>999999</v>
      </c>
      <c r="R90" s="64" cm="1">
        <f t="array" ref="R90">Common_InputFunctions.Utility_DisplayArrayInTable(Common_SourceData.Common_SourceData_ClimateZones_Data(), Table_SourceData_ClimateZones[[#Headers],[Climate zone]], 0)</f>
        <v>-999999</v>
      </c>
      <c r="S90" s="64" cm="1">
        <f t="array" ref="S90">Common_InputFunctions.Utility_DisplayArrayInTable(Common_SourceData.Common_SourceData_ClimateZones_Data(), Table_SourceData_ClimateZones[[#Headers],[Climate zone]], 0)</f>
        <v>999999</v>
      </c>
    </row>
    <row r="91" spans="4:19" ht="20.100000000000001" customHeight="1" x14ac:dyDescent="0.25">
      <c r="D91" s="64" t="str" cm="1">
        <f t="array" ref="D91">Common_InputFunctions.Utility_DisplayArrayInTable(Common_SourceData.Common_SourceData_ClimateZones_Data(), Table_SourceData_ClimateZones[[#Headers],[Climate zone]], 0)</f>
        <v>Tropical wet</v>
      </c>
      <c r="E91" s="64" t="str" cm="1">
        <f t="array" ref="E91">Common_InputFunctions.Utility_DisplayArrayInTable(Common_SourceData.Common_SourceData_ClimateZones_Data(), Table_SourceData_ClimateZones[[#Headers],[Climate zone]], 0)</f>
        <v>&gt; 18 C</v>
      </c>
      <c r="F91" s="64" t="str" cm="1">
        <f t="array" ref="F91">Common_InputFunctions.Utility_DisplayArrayInTable(Common_SourceData.Common_SourceData_ClimateZones_Data(), Table_SourceData_ClimateZones[[#Headers],[Climate zone]], 0)</f>
        <v>&gt; 2000 mm</v>
      </c>
      <c r="G91" s="64" t="str" cm="1">
        <f t="array" ref="G91">Common_InputFunctions.Utility_DisplayArrayInTable(Common_SourceData.Common_SourceData_ClimateZones_Data(), Table_SourceData_ClimateZones[[#Headers],[Climate zone]], 0)</f>
        <v>≤ 7</v>
      </c>
      <c r="H91" s="64" t="str" cm="1">
        <f t="array" ref="H91">Common_InputFunctions.Utility_DisplayArrayInTable(Common_SourceData.Common_SourceData_ClimateZones_Data(), Table_SourceData_ClimateZones[[#Headers],[Climate zone]], 0)</f>
        <v>≤ 1000 m</v>
      </c>
      <c r="I91" s="64" t="str" cm="1">
        <f t="array" ref="I91">Common_InputFunctions.Utility_DisplayArrayInTable(Common_SourceData.Common_SourceData_ClimateZones_Data(), Table_SourceData_ClimateZones[[#Headers],[Climate zone]], 0)</f>
        <v>Any</v>
      </c>
      <c r="J91" s="64" cm="1">
        <f t="array" ref="J91">Common_InputFunctions.Utility_DisplayArrayInTable(Common_SourceData.Common_SourceData_ClimateZones_Data(), Table_SourceData_ClimateZones[[#Headers],[Climate zone]], 0)</f>
        <v>18.001000000000001</v>
      </c>
      <c r="K91" s="64" cm="1">
        <f t="array" ref="K91">Common_InputFunctions.Utility_DisplayArrayInTable(Common_SourceData.Common_SourceData_ClimateZones_Data(), Table_SourceData_ClimateZones[[#Headers],[Climate zone]], 0)</f>
        <v>999999</v>
      </c>
      <c r="L91" s="64" cm="1">
        <f t="array" ref="L91">Common_InputFunctions.Utility_DisplayArrayInTable(Common_SourceData.Common_SourceData_ClimateZones_Data(), Table_SourceData_ClimateZones[[#Headers],[Climate zone]], 0)</f>
        <v>2000.001</v>
      </c>
      <c r="M91" s="64" cm="1">
        <f t="array" ref="M91">Common_InputFunctions.Utility_DisplayArrayInTable(Common_SourceData.Common_SourceData_ClimateZones_Data(), Table_SourceData_ClimateZones[[#Headers],[Climate zone]], 0)</f>
        <v>999999</v>
      </c>
      <c r="N91" s="64" cm="1">
        <f t="array" ref="N91">Common_InputFunctions.Utility_DisplayArrayInTable(Common_SourceData.Common_SourceData_ClimateZones_Data(), Table_SourceData_ClimateZones[[#Headers],[Climate zone]], 0)</f>
        <v>-999999</v>
      </c>
      <c r="O91" s="64" cm="1">
        <f t="array" ref="O91">Common_InputFunctions.Utility_DisplayArrayInTable(Common_SourceData.Common_SourceData_ClimateZones_Data(), Table_SourceData_ClimateZones[[#Headers],[Climate zone]], 0)</f>
        <v>7</v>
      </c>
      <c r="P91" s="64" cm="1">
        <f t="array" ref="P91">Common_InputFunctions.Utility_DisplayArrayInTable(Common_SourceData.Common_SourceData_ClimateZones_Data(), Table_SourceData_ClimateZones[[#Headers],[Climate zone]], 0)</f>
        <v>-999999</v>
      </c>
      <c r="Q91" s="64" cm="1">
        <f t="array" ref="Q91">Common_InputFunctions.Utility_DisplayArrayInTable(Common_SourceData.Common_SourceData_ClimateZones_Data(), Table_SourceData_ClimateZones[[#Headers],[Climate zone]], 0)</f>
        <v>999.99900000000002</v>
      </c>
      <c r="R91" s="64" cm="1">
        <f t="array" ref="R91">Common_InputFunctions.Utility_DisplayArrayInTable(Common_SourceData.Common_SourceData_ClimateZones_Data(), Table_SourceData_ClimateZones[[#Headers],[Climate zone]], 0)</f>
        <v>-999999</v>
      </c>
      <c r="S91" s="64" cm="1">
        <f t="array" ref="S91">Common_InputFunctions.Utility_DisplayArrayInTable(Common_SourceData.Common_SourceData_ClimateZones_Data(), Table_SourceData_ClimateZones[[#Headers],[Climate zone]], 0)</f>
        <v>999999</v>
      </c>
    </row>
    <row r="92" spans="4:19" ht="20.100000000000001" customHeight="1" x14ac:dyDescent="0.25">
      <c r="D92" s="64" t="str" cm="1">
        <f t="array" ref="D92">Common_InputFunctions.Utility_DisplayArrayInTable(Common_SourceData.Common_SourceData_ClimateZones_Data(), Table_SourceData_ClimateZones[[#Headers],[Climate zone]], 0)</f>
        <v>Tropical moist</v>
      </c>
      <c r="E92" s="64" t="str" cm="1">
        <f t="array" ref="E92">Common_InputFunctions.Utility_DisplayArrayInTable(Common_SourceData.Common_SourceData_ClimateZones_Data(), Table_SourceData_ClimateZones[[#Headers],[Climate zone]], 0)</f>
        <v>&gt; 18 C</v>
      </c>
      <c r="F92" s="64" t="str" cm="1">
        <f t="array" ref="F92">Common_InputFunctions.Utility_DisplayArrayInTable(Common_SourceData.Common_SourceData_ClimateZones_Data(), Table_SourceData_ClimateZones[[#Headers],[Climate zone]], 0)</f>
        <v>&gt; 1000 mm - ≤ 2000 mm</v>
      </c>
      <c r="G92" s="64" t="str" cm="1">
        <f t="array" ref="G92">Common_InputFunctions.Utility_DisplayArrayInTable(Common_SourceData.Common_SourceData_ClimateZones_Data(), Table_SourceData_ClimateZones[[#Headers],[Climate zone]], 0)</f>
        <v>≤ 7</v>
      </c>
      <c r="H92" s="64" t="str" cm="1">
        <f t="array" ref="H92">Common_InputFunctions.Utility_DisplayArrayInTable(Common_SourceData.Common_SourceData_ClimateZones_Data(), Table_SourceData_ClimateZones[[#Headers],[Climate zone]], 0)</f>
        <v>≤ 1000 m</v>
      </c>
      <c r="I92" s="64" t="str" cm="1">
        <f t="array" ref="I92">Common_InputFunctions.Utility_DisplayArrayInTable(Common_SourceData.Common_SourceData_ClimateZones_Data(), Table_SourceData_ClimateZones[[#Headers],[Climate zone]], 0)</f>
        <v>Any</v>
      </c>
      <c r="J92" s="64" cm="1">
        <f t="array" ref="J92">Common_InputFunctions.Utility_DisplayArrayInTable(Common_SourceData.Common_SourceData_ClimateZones_Data(), Table_SourceData_ClimateZones[[#Headers],[Climate zone]], 0)</f>
        <v>18.001000000000001</v>
      </c>
      <c r="K92" s="64" cm="1">
        <f t="array" ref="K92">Common_InputFunctions.Utility_DisplayArrayInTable(Common_SourceData.Common_SourceData_ClimateZones_Data(), Table_SourceData_ClimateZones[[#Headers],[Climate zone]], 0)</f>
        <v>999999</v>
      </c>
      <c r="L92" s="64" cm="1">
        <f t="array" ref="L92">Common_InputFunctions.Utility_DisplayArrayInTable(Common_SourceData.Common_SourceData_ClimateZones_Data(), Table_SourceData_ClimateZones[[#Headers],[Climate zone]], 0)</f>
        <v>1000.001</v>
      </c>
      <c r="M92" s="64" cm="1">
        <f t="array" ref="M92">Common_InputFunctions.Utility_DisplayArrayInTable(Common_SourceData.Common_SourceData_ClimateZones_Data(), Table_SourceData_ClimateZones[[#Headers],[Climate zone]], 0)</f>
        <v>2000</v>
      </c>
      <c r="N92" s="64" cm="1">
        <f t="array" ref="N92">Common_InputFunctions.Utility_DisplayArrayInTable(Common_SourceData.Common_SourceData_ClimateZones_Data(), Table_SourceData_ClimateZones[[#Headers],[Climate zone]], 0)</f>
        <v>-999999</v>
      </c>
      <c r="O92" s="64" cm="1">
        <f t="array" ref="O92">Common_InputFunctions.Utility_DisplayArrayInTable(Common_SourceData.Common_SourceData_ClimateZones_Data(), Table_SourceData_ClimateZones[[#Headers],[Climate zone]], 0)</f>
        <v>7</v>
      </c>
      <c r="P92" s="64" cm="1">
        <f t="array" ref="P92">Common_InputFunctions.Utility_DisplayArrayInTable(Common_SourceData.Common_SourceData_ClimateZones_Data(), Table_SourceData_ClimateZones[[#Headers],[Climate zone]], 0)</f>
        <v>-999999</v>
      </c>
      <c r="Q92" s="64" cm="1">
        <f t="array" ref="Q92">Common_InputFunctions.Utility_DisplayArrayInTable(Common_SourceData.Common_SourceData_ClimateZones_Data(), Table_SourceData_ClimateZones[[#Headers],[Climate zone]], 0)</f>
        <v>999.99900000000002</v>
      </c>
      <c r="R92" s="64" cm="1">
        <f t="array" ref="R92">Common_InputFunctions.Utility_DisplayArrayInTable(Common_SourceData.Common_SourceData_ClimateZones_Data(), Table_SourceData_ClimateZones[[#Headers],[Climate zone]], 0)</f>
        <v>-999999</v>
      </c>
      <c r="S92" s="64" cm="1">
        <f t="array" ref="S92">Common_InputFunctions.Utility_DisplayArrayInTable(Common_SourceData.Common_SourceData_ClimateZones_Data(), Table_SourceData_ClimateZones[[#Headers],[Climate zone]], 0)</f>
        <v>999999</v>
      </c>
    </row>
    <row r="93" spans="4:19" ht="20.100000000000001" customHeight="1" x14ac:dyDescent="0.25">
      <c r="D93" s="64" t="str" cm="1">
        <f t="array" ref="D93">Common_InputFunctions.Utility_DisplayArrayInTable(Common_SourceData.Common_SourceData_ClimateZones_Data(), Table_SourceData_ClimateZones[[#Headers],[Climate zone]], 0)</f>
        <v>Tropical dry</v>
      </c>
      <c r="E93" s="64" t="str" cm="1">
        <f t="array" ref="E93">Common_InputFunctions.Utility_DisplayArrayInTable(Common_SourceData.Common_SourceData_ClimateZones_Data(), Table_SourceData_ClimateZones[[#Headers],[Climate zone]], 0)</f>
        <v>&gt; 18 C</v>
      </c>
      <c r="F93" s="64" t="str" cm="1">
        <f t="array" ref="F93">Common_InputFunctions.Utility_DisplayArrayInTable(Common_SourceData.Common_SourceData_ClimateZones_Data(), Table_SourceData_ClimateZones[[#Headers],[Climate zone]], 0)</f>
        <v>≤ 1000 mm</v>
      </c>
      <c r="G93" s="64" t="str" cm="1">
        <f t="array" ref="G93">Common_InputFunctions.Utility_DisplayArrayInTable(Common_SourceData.Common_SourceData_ClimateZones_Data(), Table_SourceData_ClimateZones[[#Headers],[Climate zone]], 0)</f>
        <v>≤ 7</v>
      </c>
      <c r="H93" s="64" t="str" cm="1">
        <f t="array" ref="H93">Common_InputFunctions.Utility_DisplayArrayInTable(Common_SourceData.Common_SourceData_ClimateZones_Data(), Table_SourceData_ClimateZones[[#Headers],[Climate zone]], 0)</f>
        <v>≤ 1000 m</v>
      </c>
      <c r="I93" s="64" t="str" cm="1">
        <f t="array" ref="I93">Common_InputFunctions.Utility_DisplayArrayInTable(Common_SourceData.Common_SourceData_ClimateZones_Data(), Table_SourceData_ClimateZones[[#Headers],[Climate zone]], 0)</f>
        <v>Any</v>
      </c>
      <c r="J93" s="64" cm="1">
        <f t="array" ref="J93">Common_InputFunctions.Utility_DisplayArrayInTable(Common_SourceData.Common_SourceData_ClimateZones_Data(), Table_SourceData_ClimateZones[[#Headers],[Climate zone]], 0)</f>
        <v>18.001000000000001</v>
      </c>
      <c r="K93" s="64" cm="1">
        <f t="array" ref="K93">Common_InputFunctions.Utility_DisplayArrayInTable(Common_SourceData.Common_SourceData_ClimateZones_Data(), Table_SourceData_ClimateZones[[#Headers],[Climate zone]], 0)</f>
        <v>999999</v>
      </c>
      <c r="L93" s="64" cm="1">
        <f t="array" ref="L93">Common_InputFunctions.Utility_DisplayArrayInTable(Common_SourceData.Common_SourceData_ClimateZones_Data(), Table_SourceData_ClimateZones[[#Headers],[Climate zone]], 0)</f>
        <v>-999999</v>
      </c>
      <c r="M93" s="64" cm="1">
        <f t="array" ref="M93">Common_InputFunctions.Utility_DisplayArrayInTable(Common_SourceData.Common_SourceData_ClimateZones_Data(), Table_SourceData_ClimateZones[[#Headers],[Climate zone]], 0)</f>
        <v>1000</v>
      </c>
      <c r="N93" s="64" cm="1">
        <f t="array" ref="N93">Common_InputFunctions.Utility_DisplayArrayInTable(Common_SourceData.Common_SourceData_ClimateZones_Data(), Table_SourceData_ClimateZones[[#Headers],[Climate zone]], 0)</f>
        <v>-999999</v>
      </c>
      <c r="O93" s="64" cm="1">
        <f t="array" ref="O93">Common_InputFunctions.Utility_DisplayArrayInTable(Common_SourceData.Common_SourceData_ClimateZones_Data(), Table_SourceData_ClimateZones[[#Headers],[Climate zone]], 0)</f>
        <v>7</v>
      </c>
      <c r="P93" s="64" cm="1">
        <f t="array" ref="P93">Common_InputFunctions.Utility_DisplayArrayInTable(Common_SourceData.Common_SourceData_ClimateZones_Data(), Table_SourceData_ClimateZones[[#Headers],[Climate zone]], 0)</f>
        <v>-999999</v>
      </c>
      <c r="Q93" s="64" cm="1">
        <f t="array" ref="Q93">Common_InputFunctions.Utility_DisplayArrayInTable(Common_SourceData.Common_SourceData_ClimateZones_Data(), Table_SourceData_ClimateZones[[#Headers],[Climate zone]], 0)</f>
        <v>999.99900000000002</v>
      </c>
      <c r="R93" s="64" cm="1">
        <f t="array" ref="R93">Common_InputFunctions.Utility_DisplayArrayInTable(Common_SourceData.Common_SourceData_ClimateZones_Data(), Table_SourceData_ClimateZones[[#Headers],[Climate zone]], 0)</f>
        <v>-999999</v>
      </c>
      <c r="S93" s="64" cm="1">
        <f t="array" ref="S93">Common_InputFunctions.Utility_DisplayArrayInTable(Common_SourceData.Common_SourceData_ClimateZones_Data(), Table_SourceData_ClimateZones[[#Headers],[Climate zone]], 0)</f>
        <v>999999</v>
      </c>
    </row>
    <row r="94" spans="4:19" ht="20.100000000000001" customHeight="1" x14ac:dyDescent="0.25">
      <c r="D94" s="64" t="str" cm="1">
        <f t="array" ref="D94">Common_InputFunctions.Utility_DisplayArrayInTable(Common_SourceData.Common_SourceData_ClimateZones_Data(), Table_SourceData_ClimateZones[[#Headers],[Climate zone]], 0)</f>
        <v>Warm temperate moist</v>
      </c>
      <c r="E94" s="64" t="str" cm="1">
        <f t="array" ref="E94">Common_InputFunctions.Utility_DisplayArrayInTable(Common_SourceData.Common_SourceData_ClimateZones_Data(), Table_SourceData_ClimateZones[[#Headers],[Climate zone]], 0)</f>
        <v>&gt; 10 C</v>
      </c>
      <c r="F94" s="64" t="str" cm="1">
        <f t="array" ref="F94">Common_InputFunctions.Utility_DisplayArrayInTable(Common_SourceData.Common_SourceData_ClimateZones_Data(), Table_SourceData_ClimateZones[[#Headers],[Climate zone]], 0)</f>
        <v>Any</v>
      </c>
      <c r="G94" s="64" t="str" cm="1">
        <f t="array" ref="G94">Common_InputFunctions.Utility_DisplayArrayInTable(Common_SourceData.Common_SourceData_ClimateZones_Data(), Table_SourceData_ClimateZones[[#Headers],[Climate zone]], 0)</f>
        <v>Any</v>
      </c>
      <c r="H94" s="64" t="str" cm="1">
        <f t="array" ref="H94">Common_InputFunctions.Utility_DisplayArrayInTable(Common_SourceData.Common_SourceData_ClimateZones_Data(), Table_SourceData_ClimateZones[[#Headers],[Climate zone]], 0)</f>
        <v>Any</v>
      </c>
      <c r="I94" s="64" t="str" cm="1">
        <f t="array" ref="I94">Common_InputFunctions.Utility_DisplayArrayInTable(Common_SourceData.Common_SourceData_ClimateZones_Data(), Table_SourceData_ClimateZones[[#Headers],[Climate zone]], 0)</f>
        <v>&gt; 1</v>
      </c>
      <c r="J94" s="64" cm="1">
        <f t="array" ref="J94">Common_InputFunctions.Utility_DisplayArrayInTable(Common_SourceData.Common_SourceData_ClimateZones_Data(), Table_SourceData_ClimateZones[[#Headers],[Climate zone]], 0)</f>
        <v>10.000999999999999</v>
      </c>
      <c r="K94" s="64" cm="1">
        <f t="array" ref="K94">Common_InputFunctions.Utility_DisplayArrayInTable(Common_SourceData.Common_SourceData_ClimateZones_Data(), Table_SourceData_ClimateZones[[#Headers],[Climate zone]], 0)</f>
        <v>999999</v>
      </c>
      <c r="L94" s="64" cm="1">
        <f t="array" ref="L94">Common_InputFunctions.Utility_DisplayArrayInTable(Common_SourceData.Common_SourceData_ClimateZones_Data(), Table_SourceData_ClimateZones[[#Headers],[Climate zone]], 0)</f>
        <v>-999999</v>
      </c>
      <c r="M94" s="64" cm="1">
        <f t="array" ref="M94">Common_InputFunctions.Utility_DisplayArrayInTable(Common_SourceData.Common_SourceData_ClimateZones_Data(), Table_SourceData_ClimateZones[[#Headers],[Climate zone]], 0)</f>
        <v>999999</v>
      </c>
      <c r="N94" s="64" cm="1">
        <f t="array" ref="N94">Common_InputFunctions.Utility_DisplayArrayInTable(Common_SourceData.Common_SourceData_ClimateZones_Data(), Table_SourceData_ClimateZones[[#Headers],[Climate zone]], 0)</f>
        <v>-999999</v>
      </c>
      <c r="O94" s="64" cm="1">
        <f t="array" ref="O94">Common_InputFunctions.Utility_DisplayArrayInTable(Common_SourceData.Common_SourceData_ClimateZones_Data(), Table_SourceData_ClimateZones[[#Headers],[Climate zone]], 0)</f>
        <v>999999</v>
      </c>
      <c r="P94" s="64" cm="1">
        <f t="array" ref="P94">Common_InputFunctions.Utility_DisplayArrayInTable(Common_SourceData.Common_SourceData_ClimateZones_Data(), Table_SourceData_ClimateZones[[#Headers],[Climate zone]], 0)</f>
        <v>-999999</v>
      </c>
      <c r="Q94" s="64" cm="1">
        <f t="array" ref="Q94">Common_InputFunctions.Utility_DisplayArrayInTable(Common_SourceData.Common_SourceData_ClimateZones_Data(), Table_SourceData_ClimateZones[[#Headers],[Climate zone]], 0)</f>
        <v>999999</v>
      </c>
      <c r="R94" s="64" cm="1">
        <f t="array" ref="R94">Common_InputFunctions.Utility_DisplayArrayInTable(Common_SourceData.Common_SourceData_ClimateZones_Data(), Table_SourceData_ClimateZones[[#Headers],[Climate zone]], 0)</f>
        <v>1.0009999999999999</v>
      </c>
      <c r="S94" s="64" cm="1">
        <f t="array" ref="S94">Common_InputFunctions.Utility_DisplayArrayInTable(Common_SourceData.Common_SourceData_ClimateZones_Data(), Table_SourceData_ClimateZones[[#Headers],[Climate zone]], 0)</f>
        <v>999999</v>
      </c>
    </row>
    <row r="95" spans="4:19" ht="20.100000000000001" customHeight="1" x14ac:dyDescent="0.25">
      <c r="D95" s="64" t="str" cm="1">
        <f t="array" ref="D95">Common_InputFunctions.Utility_DisplayArrayInTable(Common_SourceData.Common_SourceData_ClimateZones_Data(), Table_SourceData_ClimateZones[[#Headers],[Climate zone]], 0)</f>
        <v>Warm temperate dry</v>
      </c>
      <c r="E95" s="64" t="str" cm="1">
        <f t="array" ref="E95">Common_InputFunctions.Utility_DisplayArrayInTable(Common_SourceData.Common_SourceData_ClimateZones_Data(), Table_SourceData_ClimateZones[[#Headers],[Climate zone]], 0)</f>
        <v>&gt; 10 C</v>
      </c>
      <c r="F95" s="64" t="str" cm="1">
        <f t="array" ref="F95">Common_InputFunctions.Utility_DisplayArrayInTable(Common_SourceData.Common_SourceData_ClimateZones_Data(), Table_SourceData_ClimateZones[[#Headers],[Climate zone]], 0)</f>
        <v>Any</v>
      </c>
      <c r="G95" s="64" t="str" cm="1">
        <f t="array" ref="G95">Common_InputFunctions.Utility_DisplayArrayInTable(Common_SourceData.Common_SourceData_ClimateZones_Data(), Table_SourceData_ClimateZones[[#Headers],[Climate zone]], 0)</f>
        <v>Any</v>
      </c>
      <c r="H95" s="64" t="str" cm="1">
        <f t="array" ref="H95">Common_InputFunctions.Utility_DisplayArrayInTable(Common_SourceData.Common_SourceData_ClimateZones_Data(), Table_SourceData_ClimateZones[[#Headers],[Climate zone]], 0)</f>
        <v>Any</v>
      </c>
      <c r="I95" s="64" t="str" cm="1">
        <f t="array" ref="I95">Common_InputFunctions.Utility_DisplayArrayInTable(Common_SourceData.Common_SourceData_ClimateZones_Data(), Table_SourceData_ClimateZones[[#Headers],[Climate zone]], 0)</f>
        <v>≤ 1</v>
      </c>
      <c r="J95" s="64" cm="1">
        <f t="array" ref="J95">Common_InputFunctions.Utility_DisplayArrayInTable(Common_SourceData.Common_SourceData_ClimateZones_Data(), Table_SourceData_ClimateZones[[#Headers],[Climate zone]], 0)</f>
        <v>10.000999999999999</v>
      </c>
      <c r="K95" s="64" cm="1">
        <f t="array" ref="K95">Common_InputFunctions.Utility_DisplayArrayInTable(Common_SourceData.Common_SourceData_ClimateZones_Data(), Table_SourceData_ClimateZones[[#Headers],[Climate zone]], 0)</f>
        <v>999999</v>
      </c>
      <c r="L95" s="64" cm="1">
        <f t="array" ref="L95">Common_InputFunctions.Utility_DisplayArrayInTable(Common_SourceData.Common_SourceData_ClimateZones_Data(), Table_SourceData_ClimateZones[[#Headers],[Climate zone]], 0)</f>
        <v>-999999</v>
      </c>
      <c r="M95" s="64" cm="1">
        <f t="array" ref="M95">Common_InputFunctions.Utility_DisplayArrayInTable(Common_SourceData.Common_SourceData_ClimateZones_Data(), Table_SourceData_ClimateZones[[#Headers],[Climate zone]], 0)</f>
        <v>999999</v>
      </c>
      <c r="N95" s="64" cm="1">
        <f t="array" ref="N95">Common_InputFunctions.Utility_DisplayArrayInTable(Common_SourceData.Common_SourceData_ClimateZones_Data(), Table_SourceData_ClimateZones[[#Headers],[Climate zone]], 0)</f>
        <v>-999999</v>
      </c>
      <c r="O95" s="64" cm="1">
        <f t="array" ref="O95">Common_InputFunctions.Utility_DisplayArrayInTable(Common_SourceData.Common_SourceData_ClimateZones_Data(), Table_SourceData_ClimateZones[[#Headers],[Climate zone]], 0)</f>
        <v>999999</v>
      </c>
      <c r="P95" s="64" cm="1">
        <f t="array" ref="P95">Common_InputFunctions.Utility_DisplayArrayInTable(Common_SourceData.Common_SourceData_ClimateZones_Data(), Table_SourceData_ClimateZones[[#Headers],[Climate zone]], 0)</f>
        <v>-999999</v>
      </c>
      <c r="Q95" s="64" cm="1">
        <f t="array" ref="Q95">Common_InputFunctions.Utility_DisplayArrayInTable(Common_SourceData.Common_SourceData_ClimateZones_Data(), Table_SourceData_ClimateZones[[#Headers],[Climate zone]], 0)</f>
        <v>999999</v>
      </c>
      <c r="R95" s="64" cm="1">
        <f t="array" ref="R95">Common_InputFunctions.Utility_DisplayArrayInTable(Common_SourceData.Common_SourceData_ClimateZones_Data(), Table_SourceData_ClimateZones[[#Headers],[Climate zone]], 0)</f>
        <v>-999999</v>
      </c>
      <c r="S95" s="64" cm="1">
        <f t="array" ref="S95">Common_InputFunctions.Utility_DisplayArrayInTable(Common_SourceData.Common_SourceData_ClimateZones_Data(), Table_SourceData_ClimateZones[[#Headers],[Climate zone]], 0)</f>
        <v>1</v>
      </c>
    </row>
    <row r="96" spans="4:19" ht="20.100000000000001" customHeight="1" x14ac:dyDescent="0.25">
      <c r="D96" s="64" t="str" cm="1">
        <f t="array" ref="D96">Common_InputFunctions.Utility_DisplayArrayInTable(Common_SourceData.Common_SourceData_ClimateZones_Data(), Table_SourceData_ClimateZones[[#Headers],[Climate zone]], 0)</f>
        <v>Cool temperate moist</v>
      </c>
      <c r="E96" s="64" t="str" cm="1">
        <f t="array" ref="E96">Common_InputFunctions.Utility_DisplayArrayInTable(Common_SourceData.Common_SourceData_ClimateZones_Data(), Table_SourceData_ClimateZones[[#Headers],[Climate zone]], 0)</f>
        <v>&gt; 0 C - ≤ 10 C</v>
      </c>
      <c r="F96" s="64" t="str" cm="1">
        <f t="array" ref="F96">Common_InputFunctions.Utility_DisplayArrayInTable(Common_SourceData.Common_SourceData_ClimateZones_Data(), Table_SourceData_ClimateZones[[#Headers],[Climate zone]], 0)</f>
        <v>Any</v>
      </c>
      <c r="G96" s="64" t="str" cm="1">
        <f t="array" ref="G96">Common_InputFunctions.Utility_DisplayArrayInTable(Common_SourceData.Common_SourceData_ClimateZones_Data(), Table_SourceData_ClimateZones[[#Headers],[Climate zone]], 0)</f>
        <v>Any</v>
      </c>
      <c r="H96" s="64" t="str" cm="1">
        <f t="array" ref="H96">Common_InputFunctions.Utility_DisplayArrayInTable(Common_SourceData.Common_SourceData_ClimateZones_Data(), Table_SourceData_ClimateZones[[#Headers],[Climate zone]], 0)</f>
        <v>Any</v>
      </c>
      <c r="I96" s="64" t="str" cm="1">
        <f t="array" ref="I96">Common_InputFunctions.Utility_DisplayArrayInTable(Common_SourceData.Common_SourceData_ClimateZones_Data(), Table_SourceData_ClimateZones[[#Headers],[Climate zone]], 0)</f>
        <v>&gt; 1</v>
      </c>
      <c r="J96" s="64" cm="1">
        <f t="array" ref="J96">Common_InputFunctions.Utility_DisplayArrayInTable(Common_SourceData.Common_SourceData_ClimateZones_Data(), Table_SourceData_ClimateZones[[#Headers],[Climate zone]], 0)</f>
        <v>-999999</v>
      </c>
      <c r="K96" s="64" cm="1">
        <f t="array" ref="K96">Common_InputFunctions.Utility_DisplayArrayInTable(Common_SourceData.Common_SourceData_ClimateZones_Data(), Table_SourceData_ClimateZones[[#Headers],[Climate zone]], 0)</f>
        <v>10</v>
      </c>
      <c r="L96" s="64" cm="1">
        <f t="array" ref="L96">Common_InputFunctions.Utility_DisplayArrayInTable(Common_SourceData.Common_SourceData_ClimateZones_Data(), Table_SourceData_ClimateZones[[#Headers],[Climate zone]], 0)</f>
        <v>-999999</v>
      </c>
      <c r="M96" s="64" cm="1">
        <f t="array" ref="M96">Common_InputFunctions.Utility_DisplayArrayInTable(Common_SourceData.Common_SourceData_ClimateZones_Data(), Table_SourceData_ClimateZones[[#Headers],[Climate zone]], 0)</f>
        <v>999999</v>
      </c>
      <c r="N96" s="64" cm="1">
        <f t="array" ref="N96">Common_InputFunctions.Utility_DisplayArrayInTable(Common_SourceData.Common_SourceData_ClimateZones_Data(), Table_SourceData_ClimateZones[[#Headers],[Climate zone]], 0)</f>
        <v>-999999</v>
      </c>
      <c r="O96" s="64" cm="1">
        <f t="array" ref="O96">Common_InputFunctions.Utility_DisplayArrayInTable(Common_SourceData.Common_SourceData_ClimateZones_Data(), Table_SourceData_ClimateZones[[#Headers],[Climate zone]], 0)</f>
        <v>999999</v>
      </c>
      <c r="P96" s="64" cm="1">
        <f t="array" ref="P96">Common_InputFunctions.Utility_DisplayArrayInTable(Common_SourceData.Common_SourceData_ClimateZones_Data(), Table_SourceData_ClimateZones[[#Headers],[Climate zone]], 0)</f>
        <v>-999999</v>
      </c>
      <c r="Q96" s="64" cm="1">
        <f t="array" ref="Q96">Common_InputFunctions.Utility_DisplayArrayInTable(Common_SourceData.Common_SourceData_ClimateZones_Data(), Table_SourceData_ClimateZones[[#Headers],[Climate zone]], 0)</f>
        <v>999999</v>
      </c>
      <c r="R96" s="64" cm="1">
        <f t="array" ref="R96">Common_InputFunctions.Utility_DisplayArrayInTable(Common_SourceData.Common_SourceData_ClimateZones_Data(), Table_SourceData_ClimateZones[[#Headers],[Climate zone]], 0)</f>
        <v>1.0009999999999999</v>
      </c>
      <c r="S96" s="64" cm="1">
        <f t="array" ref="S96">Common_InputFunctions.Utility_DisplayArrayInTable(Common_SourceData.Common_SourceData_ClimateZones_Data(), Table_SourceData_ClimateZones[[#Headers],[Climate zone]], 0)</f>
        <v>999999</v>
      </c>
    </row>
    <row r="97" spans="4:19" ht="20.100000000000001" customHeight="1" x14ac:dyDescent="0.25">
      <c r="D97" s="64" t="str" cm="1">
        <f t="array" ref="D97">Common_InputFunctions.Utility_DisplayArrayInTable(Common_SourceData.Common_SourceData_ClimateZones_Data(), Table_SourceData_ClimateZones[[#Headers],[Climate zone]], 0)</f>
        <v>Cool temperate dry</v>
      </c>
      <c r="E97" s="64" t="str" cm="1">
        <f t="array" ref="E97">Common_InputFunctions.Utility_DisplayArrayInTable(Common_SourceData.Common_SourceData_ClimateZones_Data(), Table_SourceData_ClimateZones[[#Headers],[Climate zone]], 0)</f>
        <v>&gt; 0 C - ≤ 10 C</v>
      </c>
      <c r="F97" s="64" t="str" cm="1">
        <f t="array" ref="F97">Common_InputFunctions.Utility_DisplayArrayInTable(Common_SourceData.Common_SourceData_ClimateZones_Data(), Table_SourceData_ClimateZones[[#Headers],[Climate zone]], 0)</f>
        <v>Any</v>
      </c>
      <c r="G97" s="64" t="str" cm="1">
        <f t="array" ref="G97">Common_InputFunctions.Utility_DisplayArrayInTable(Common_SourceData.Common_SourceData_ClimateZones_Data(), Table_SourceData_ClimateZones[[#Headers],[Climate zone]], 0)</f>
        <v>Any</v>
      </c>
      <c r="H97" s="64" t="str" cm="1">
        <f t="array" ref="H97">Common_InputFunctions.Utility_DisplayArrayInTable(Common_SourceData.Common_SourceData_ClimateZones_Data(), Table_SourceData_ClimateZones[[#Headers],[Climate zone]], 0)</f>
        <v>Any</v>
      </c>
      <c r="I97" s="64" t="str" cm="1">
        <f t="array" ref="I97">Common_InputFunctions.Utility_DisplayArrayInTable(Common_SourceData.Common_SourceData_ClimateZones_Data(), Table_SourceData_ClimateZones[[#Headers],[Climate zone]], 0)</f>
        <v>≤ 1</v>
      </c>
      <c r="J97" s="64" cm="1">
        <f t="array" ref="J97">Common_InputFunctions.Utility_DisplayArrayInTable(Common_SourceData.Common_SourceData_ClimateZones_Data(), Table_SourceData_ClimateZones[[#Headers],[Climate zone]], 0)</f>
        <v>-999999</v>
      </c>
      <c r="K97" s="64" cm="1">
        <f t="array" ref="K97">Common_InputFunctions.Utility_DisplayArrayInTable(Common_SourceData.Common_SourceData_ClimateZones_Data(), Table_SourceData_ClimateZones[[#Headers],[Climate zone]], 0)</f>
        <v>10</v>
      </c>
      <c r="L97" s="64" cm="1">
        <f t="array" ref="L97">Common_InputFunctions.Utility_DisplayArrayInTable(Common_SourceData.Common_SourceData_ClimateZones_Data(), Table_SourceData_ClimateZones[[#Headers],[Climate zone]], 0)</f>
        <v>-999999</v>
      </c>
      <c r="M97" s="64" cm="1">
        <f t="array" ref="M97">Common_InputFunctions.Utility_DisplayArrayInTable(Common_SourceData.Common_SourceData_ClimateZones_Data(), Table_SourceData_ClimateZones[[#Headers],[Climate zone]], 0)</f>
        <v>999999</v>
      </c>
      <c r="N97" s="64" cm="1">
        <f t="array" ref="N97">Common_InputFunctions.Utility_DisplayArrayInTable(Common_SourceData.Common_SourceData_ClimateZones_Data(), Table_SourceData_ClimateZones[[#Headers],[Climate zone]], 0)</f>
        <v>-999999</v>
      </c>
      <c r="O97" s="64" cm="1">
        <f t="array" ref="O97">Common_InputFunctions.Utility_DisplayArrayInTable(Common_SourceData.Common_SourceData_ClimateZones_Data(), Table_SourceData_ClimateZones[[#Headers],[Climate zone]], 0)</f>
        <v>999999</v>
      </c>
      <c r="P97" s="64" cm="1">
        <f t="array" ref="P97">Common_InputFunctions.Utility_DisplayArrayInTable(Common_SourceData.Common_SourceData_ClimateZones_Data(), Table_SourceData_ClimateZones[[#Headers],[Climate zone]], 0)</f>
        <v>-999999</v>
      </c>
      <c r="Q97" s="64" cm="1">
        <f t="array" ref="Q97">Common_InputFunctions.Utility_DisplayArrayInTable(Common_SourceData.Common_SourceData_ClimateZones_Data(), Table_SourceData_ClimateZones[[#Headers],[Climate zone]], 0)</f>
        <v>999999</v>
      </c>
      <c r="R97" s="64" cm="1">
        <f t="array" ref="R97">Common_InputFunctions.Utility_DisplayArrayInTable(Common_SourceData.Common_SourceData_ClimateZones_Data(), Table_SourceData_ClimateZones[[#Headers],[Climate zone]], 0)</f>
        <v>-999999</v>
      </c>
      <c r="S97" s="64" cm="1">
        <f t="array" ref="S97">Common_InputFunctions.Utility_DisplayArrayInTable(Common_SourceData.Common_SourceData_ClimateZones_Data(), Table_SourceData_ClimateZones[[#Headers],[Climate zone]], 0)</f>
        <v>1</v>
      </c>
    </row>
    <row r="98" spans="4:19" ht="20.100000000000001" customHeight="1" x14ac:dyDescent="0.25">
      <c r="D98" s="83" t="str" cm="1">
        <f t="array" ref="D98:D101">Common_SourceData.Common_SourceData_ClimateZones_Appendices()</f>
        <v>Note:</v>
      </c>
    </row>
    <row r="99" spans="4:19" ht="20.100000000000001" customHeight="1" x14ac:dyDescent="0.25">
      <c r="D99" s="83" t="str">
        <v>MAT = mean annual temperature</v>
      </c>
    </row>
    <row r="100" spans="4:19" ht="20.100000000000001" customHeight="1" x14ac:dyDescent="0.25">
      <c r="D100" s="83" t="str">
        <v>MAP = mean annual precipitation</v>
      </c>
    </row>
    <row r="101" spans="4:19" ht="20.100000000000001" customHeight="1" x14ac:dyDescent="0.25">
      <c r="D101" s="83" t="str">
        <v>PET = potential evapotranspiration</v>
      </c>
    </row>
    <row r="102" spans="4:19" ht="20.100000000000001" customHeight="1" x14ac:dyDescent="0.25">
      <c r="D102" s="83"/>
    </row>
    <row r="103" spans="4:19" ht="20.100000000000001" customHeight="1" x14ac:dyDescent="0.25"/>
    <row r="104" spans="4:19" ht="20.100000000000001" customHeight="1" x14ac:dyDescent="0.25"/>
    <row r="105" spans="4:19" ht="20.100000000000001" customHeight="1" x14ac:dyDescent="0.25">
      <c r="D105" s="6" t="str" cm="1">
        <f t="array" ref="D105">Common_SourceData.Common_SourceData_TemperatureZones_Title()</f>
        <v>VEERG Australian temperature zones</v>
      </c>
    </row>
    <row r="106" spans="4:19" ht="20.100000000000001" customHeight="1" x14ac:dyDescent="0.25">
      <c r="D106" s="5" t="str" cm="1">
        <f t="array" ref="D106">Common_SourceData.Common_SourceData_TemperatureZones_Source()</f>
        <v>VEERG 2026: Table 1.3: Climate and Rainfall zone classifications and definitions</v>
      </c>
    </row>
    <row r="107" spans="4:19" ht="20.100000000000001" customHeight="1" x14ac:dyDescent="0.25">
      <c r="D107" s="84" t="str" cm="1">
        <f t="array" ref="D107">"⚠️" &amp; Common_SourceData.Common_SourceData_TemperatureZones_Variation()</f>
        <v>⚠️VARIATION OF SOURCE DATA: Added extra MAT min and MAT max columns to calculate zone from real temperature data.</v>
      </c>
    </row>
    <row r="108" spans="4:19" ht="20.100000000000001" customHeight="1" x14ac:dyDescent="0.25"/>
    <row r="109" spans="4:19" ht="20.100000000000001" customHeight="1" x14ac:dyDescent="0.25">
      <c r="D109" s="64" t="s">
        <v>126</v>
      </c>
      <c r="E109" s="64" t="s">
        <v>107</v>
      </c>
      <c r="F109" s="64" t="s">
        <v>127</v>
      </c>
      <c r="G109" s="64" t="s">
        <v>128</v>
      </c>
    </row>
    <row r="110" spans="4:19" ht="20.100000000000001" customHeight="1" x14ac:dyDescent="0.25">
      <c r="D110" s="64" t="str" cm="1">
        <f t="array" ref="D110">Common_InputFunctions.Utility_DisplayArrayInTable(Common_SourceData.Common_SourceData_TemperatureZones_Data(),Table_SourceData_TemperatureZones[[#Headers],[Temperature Zone]],0)</f>
        <v>Warm</v>
      </c>
      <c r="E110" s="64" t="str" cm="1">
        <f t="array" ref="E110">Common_InputFunctions.Utility_DisplayArrayInTable(Common_SourceData.Common_SourceData_TemperatureZones_Data(),Table_SourceData_TemperatureZones[[#Headers],[Temperature Zone]],0)</f>
        <v>≥ 26 C</v>
      </c>
      <c r="F110" s="64" cm="1">
        <f t="array" ref="F110">Common_InputFunctions.Utility_DisplayArrayInTable(Common_SourceData.Common_SourceData_TemperatureZones_Data(),Table_SourceData_TemperatureZones[[#Headers],[Temperature Zone]],0)</f>
        <v>26</v>
      </c>
      <c r="G110" s="64" cm="1">
        <f t="array" ref="G110">Common_InputFunctions.Utility_DisplayArrayInTable(Common_SourceData.Common_SourceData_TemperatureZones_Data(),Table_SourceData_TemperatureZones[[#Headers],[Temperature Zone]],0)</f>
        <v>999999</v>
      </c>
    </row>
    <row r="111" spans="4:19" ht="20.100000000000001" customHeight="1" x14ac:dyDescent="0.25">
      <c r="D111" s="64" t="str" cm="1">
        <f t="array" ref="D111">Common_InputFunctions.Utility_DisplayArrayInTable(Common_SourceData.Common_SourceData_TemperatureZones_Data(),Table_SourceData_TemperatureZones[[#Headers],[Temperature Zone]],0)</f>
        <v>Temperate</v>
      </c>
      <c r="E111" s="64" t="str" cm="1">
        <f t="array" ref="E111">Common_InputFunctions.Utility_DisplayArrayInTable(Common_SourceData.Common_SourceData_TemperatureZones_Data(),Table_SourceData_TemperatureZones[[#Headers],[Temperature Zone]],0)</f>
        <v>15 - 25 C</v>
      </c>
      <c r="F111" s="64" cm="1">
        <f t="array" ref="F111">Common_InputFunctions.Utility_DisplayArrayInTable(Common_SourceData.Common_SourceData_TemperatureZones_Data(),Table_SourceData_TemperatureZones[[#Headers],[Temperature Zone]],0)</f>
        <v>15</v>
      </c>
      <c r="G111" s="64" cm="1">
        <f t="array" ref="G111">Common_InputFunctions.Utility_DisplayArrayInTable(Common_SourceData.Common_SourceData_TemperatureZones_Data(),Table_SourceData_TemperatureZones[[#Headers],[Temperature Zone]],0)</f>
        <v>25.998999999999999</v>
      </c>
    </row>
    <row r="112" spans="4:19" ht="20.100000000000001" customHeight="1" x14ac:dyDescent="0.25">
      <c r="D112" s="64" t="str" cm="1">
        <f t="array" ref="D112">Common_InputFunctions.Utility_DisplayArrayInTable(Common_SourceData.Common_SourceData_TemperatureZones_Data(),Table_SourceData_TemperatureZones[[#Headers],[Temperature Zone]],0)</f>
        <v>Cool</v>
      </c>
      <c r="E112" s="64" t="str" cm="1">
        <f t="array" ref="E112">Common_InputFunctions.Utility_DisplayArrayInTable(Common_SourceData.Common_SourceData_TemperatureZones_Data(),Table_SourceData_TemperatureZones[[#Headers],[Temperature Zone]],0)</f>
        <v>≤ 14 C</v>
      </c>
      <c r="F112" s="64" cm="1">
        <f t="array" ref="F112">Common_InputFunctions.Utility_DisplayArrayInTable(Common_SourceData.Common_SourceData_TemperatureZones_Data(),Table_SourceData_TemperatureZones[[#Headers],[Temperature Zone]],0)</f>
        <v>-999999</v>
      </c>
      <c r="G112" s="64" cm="1">
        <f t="array" ref="G112">Common_InputFunctions.Utility_DisplayArrayInTable(Common_SourceData.Common_SourceData_TemperatureZones_Data(),Table_SourceData_TemperatureZones[[#Headers],[Temperature Zone]],0)</f>
        <v>14.999000000000001</v>
      </c>
    </row>
    <row r="113" spans="4:65" ht="20.100000000000001" customHeight="1" x14ac:dyDescent="0.25"/>
    <row r="114" spans="4:65" ht="20.100000000000001" customHeight="1" x14ac:dyDescent="0.25"/>
    <row r="115" spans="4:65" ht="20.100000000000001" customHeight="1" x14ac:dyDescent="0.25">
      <c r="D115" s="6" t="str" cm="1">
        <f t="array" ref="D115">Common_SourceData.Common_SourceData_RainfallZones_Title()</f>
        <v>VEERG Australian rainfall zones</v>
      </c>
      <c r="BM115" s="7"/>
    </row>
    <row r="116" spans="4:65" ht="20.100000000000001" customHeight="1" x14ac:dyDescent="0.25">
      <c r="D116" s="5" t="str" cm="1">
        <f t="array" ref="D116">Common_SourceData.Common_SourceData_RainfallZones_Source()</f>
        <v>VEERG 2026: Table 1.3: Climate and Rainfall zone classifications and definitions</v>
      </c>
      <c r="BM116" s="7"/>
    </row>
    <row r="117" spans="4:65" ht="20.100000000000001" customHeight="1" x14ac:dyDescent="0.25">
      <c r="D117" s="84" t="str" cm="1">
        <f t="array" ref="D117">"⚠️" &amp; Common_SourceData.Common_SourceData_RainfallZones_Variation()</f>
        <v>⚠️VARIATION OF SOURCE DATA: Added extra Rainfall min and Rainfall max columns to calculate zone from real rainfall data.</v>
      </c>
      <c r="BM117" s="7"/>
    </row>
    <row r="118" spans="4:65" ht="20.100000000000001" customHeight="1" x14ac:dyDescent="0.25">
      <c r="BM118" s="7"/>
    </row>
    <row r="119" spans="4:65" ht="20.100000000000001" customHeight="1" x14ac:dyDescent="0.25">
      <c r="D119" s="64" t="s">
        <v>129</v>
      </c>
      <c r="E119" s="64" t="s">
        <v>130</v>
      </c>
      <c r="F119" s="64" t="s">
        <v>114</v>
      </c>
      <c r="G119" s="64" t="s">
        <v>115</v>
      </c>
      <c r="BM119" s="7"/>
    </row>
    <row r="120" spans="4:65" ht="20.100000000000001" customHeight="1" x14ac:dyDescent="0.25">
      <c r="D120" s="64" t="str" cm="1">
        <f t="array" ref="D120">Common_InputFunctions.Utility_DisplayArrayInTable(Common_SourceData.Common_SourceData_RainfallZones_Data(),Table_SourceData_RainfallZones[[#Headers],[Rainfall Zone]],0)</f>
        <v>High rainfall</v>
      </c>
      <c r="E120" s="64" t="str" cm="1">
        <f t="array" ref="E120">Common_InputFunctions.Utility_DisplayArrayInTable(Common_SourceData.Common_SourceData_RainfallZones_Data(),Table_SourceData_RainfallZones[[#Headers],[Rainfall Zone]],0)</f>
        <v>Annual rainfall &gt; 600mm</v>
      </c>
      <c r="F120" s="64" cm="1">
        <f t="array" ref="F120">Common_InputFunctions.Utility_DisplayArrayInTable(Common_SourceData.Common_SourceData_RainfallZones_Data(),Table_SourceData_RainfallZones[[#Headers],[Rainfall Zone]],0)</f>
        <v>600.00099999999998</v>
      </c>
      <c r="G120" s="64" cm="1">
        <f t="array" ref="G120">Common_InputFunctions.Utility_DisplayArrayInTable(Common_SourceData.Common_SourceData_RainfallZones_Data(),Table_SourceData_RainfallZones[[#Headers],[Rainfall Zone]],0)</f>
        <v>999999</v>
      </c>
      <c r="BM120" s="7"/>
    </row>
    <row r="121" spans="4:65" ht="20.100000000000001" customHeight="1" x14ac:dyDescent="0.25">
      <c r="D121" s="64" t="str" cm="1">
        <f t="array" ref="D121">Common_InputFunctions.Utility_DisplayArrayInTable(Common_SourceData.Common_SourceData_RainfallZones_Data(),Table_SourceData_RainfallZones[[#Headers],[Rainfall Zone]],0)</f>
        <v>Low rainfall</v>
      </c>
      <c r="E121" s="64" t="str" cm="1">
        <f t="array" ref="E121">Common_InputFunctions.Utility_DisplayArrayInTable(Common_SourceData.Common_SourceData_RainfallZones_Data(),Table_SourceData_RainfallZones[[#Headers],[Rainfall Zone]],0)</f>
        <v>Annual rainfall ≤ 600mm</v>
      </c>
      <c r="F121" s="64" cm="1">
        <f t="array" ref="F121">Common_InputFunctions.Utility_DisplayArrayInTable(Common_SourceData.Common_SourceData_RainfallZones_Data(),Table_SourceData_RainfallZones[[#Headers],[Rainfall Zone]],0)</f>
        <v>-999999</v>
      </c>
      <c r="G121" s="64" cm="1">
        <f t="array" ref="G121">Common_InputFunctions.Utility_DisplayArrayInTable(Common_SourceData.Common_SourceData_RainfallZones_Data(),Table_SourceData_RainfallZones[[#Headers],[Rainfall Zone]],0)</f>
        <v>600</v>
      </c>
      <c r="BM121" s="7"/>
    </row>
    <row r="122" spans="4:65" ht="20.100000000000001" customHeight="1" x14ac:dyDescent="0.25">
      <c r="BM122" s="7"/>
    </row>
    <row r="123" spans="4:65" ht="20.100000000000001" customHeight="1" x14ac:dyDescent="0.25"/>
    <row r="124" spans="4:65" ht="20.100000000000001" customHeight="1" x14ac:dyDescent="0.25">
      <c r="D124" s="6" t="str" cm="1">
        <f t="array" ref="D124">Common_SourceData.Common_SourceData_LeachingZones_Title()</f>
        <v>VEERG Australian leaching zones</v>
      </c>
    </row>
    <row r="125" spans="4:65" ht="20.100000000000001" customHeight="1" x14ac:dyDescent="0.25">
      <c r="D125" s="5" t="str" cm="1">
        <f t="array" ref="D125">Common_SourceData.Common_SourceData_LeachingZones_Source()</f>
        <v>VEERG 2026: Table 1.3: Climate and Rainfall zone classifications and definitions</v>
      </c>
    </row>
    <row r="126" spans="4:65" ht="20.100000000000001" customHeight="1" x14ac:dyDescent="0.25"/>
    <row r="127" spans="4:65" ht="20.100000000000001" customHeight="1" x14ac:dyDescent="0.25">
      <c r="D127" s="64" t="s">
        <v>136</v>
      </c>
      <c r="E127" s="64" t="s">
        <v>137</v>
      </c>
    </row>
    <row r="128" spans="4:65" ht="20.100000000000001" customHeight="1" x14ac:dyDescent="0.25">
      <c r="D128" s="64" t="str" cm="1">
        <f t="array" ref="D128">Common_InputFunctions.Utility_DisplayArrayInTable(Common_SourceData.Common_SourceData_LeachingZones_Data(), Table_SourceData_LeachingZones[[#Headers],[Leaching Zone]], 0)</f>
        <v>Leaching occurs</v>
      </c>
      <c r="E128" s="64" t="str" cm="1">
        <f t="array" ref="E128">Common_InputFunctions.Utility_DisplayArrayInTable(Common_SourceData.Common_SourceData_LeachingZones_Data(), Table_SourceData_LeachingZones[[#Headers],[Leaching Zone]], 0)</f>
        <v>Σ(𝑟𝑎𝑖𝑛)&gt;Σ(𝐸𝑇0)+𝑠𝑜𝑖𝑙 𝑤𝑎𝑡𝑒𝑟 ℎ𝑜𝑙𝑑𝑖𝑛𝑔 𝑐𝑎𝑝𝑎𝑐𝑖𝑡𝑦</v>
      </c>
    </row>
    <row r="129" spans="4:76" ht="20.100000000000001" customHeight="1" x14ac:dyDescent="0.25">
      <c r="D129" s="64" t="str" cm="1">
        <f t="array" ref="D129">Common_InputFunctions.Utility_DisplayArrayInTable(Common_SourceData.Common_SourceData_LeachingZones_Data(), Table_SourceData_LeachingZones[[#Headers],[Leaching Zone]], 0)</f>
        <v>Leaching does not occur</v>
      </c>
      <c r="E129" s="64" t="str" cm="1">
        <f t="array" ref="E129">Common_InputFunctions.Utility_DisplayArrayInTable(Common_SourceData.Common_SourceData_LeachingZones_Data(), Table_SourceData_LeachingZones[[#Headers],[Leaching Zone]], 0)</f>
        <v>Σ(𝑟𝑎𝑖𝑛)≤Σ(𝐸𝑇0)+𝑠𝑜𝑖𝑙 𝑤𝑎𝑡𝑒𝑟 ℎ𝑜𝑙𝑑𝑖𝑛𝑔 𝑐𝑎𝑝𝑎𝑐𝑖𝑡𝑦</v>
      </c>
    </row>
    <row r="130" spans="4:76" ht="20.100000000000001" customHeight="1" x14ac:dyDescent="0.25"/>
    <row r="131" spans="4:76" ht="20.100000000000001" customHeight="1" x14ac:dyDescent="0.25"/>
    <row r="132" spans="4:76" ht="20.100000000000001" customHeight="1" x14ac:dyDescent="0.25">
      <c r="D132" s="6" t="str" cm="1">
        <f t="array" ref="D132">Common_SourceData.Common_SourceData_FracWET_Title()</f>
        <v>Fraction of N that is available for leaching and runoff</v>
      </c>
      <c r="E132" s="25"/>
    </row>
    <row r="133" spans="4:76" ht="20.100000000000001" customHeight="1" x14ac:dyDescent="0.25">
      <c r="D133" s="5" t="str" cm="1">
        <f t="array" ref="D133">Common_SourceData.Common_SourceData_FracWET_Source()</f>
        <v>VEERG 2026:5.5.2.3 Constant Parameters</v>
      </c>
      <c r="E133" s="25"/>
    </row>
    <row r="134" spans="4:76" ht="20.100000000000001" customHeight="1" x14ac:dyDescent="0.25">
      <c r="D134" t="s">
        <v>164</v>
      </c>
      <c r="E134" t="s">
        <v>165</v>
      </c>
    </row>
    <row r="135" spans="4:76" ht="20.100000000000001" customHeight="1" x14ac:dyDescent="0.25">
      <c r="D135" t="str" cm="1">
        <f t="array" ref="D135">Common_InputFunctions.Utility_DisplayArrayInTable(Common_SourceData.Common_SourceData_FracWET_Data(),Table_SourceData_FracWET[[#Headers],[Is in leaching zone]],0)</f>
        <v>Yes - in leaching zone</v>
      </c>
      <c r="E135" cm="1">
        <f t="array" ref="E135">Common_InputFunctions.Utility_DisplayArrayInTable(Common_SourceData.Common_SourceData_FracWET_Data(),Table_SourceData_FracWET[[#Headers],[Is in leaching zone]],0)</f>
        <v>1</v>
      </c>
    </row>
    <row r="136" spans="4:76" ht="20.100000000000001" customHeight="1" x14ac:dyDescent="0.25">
      <c r="D136" s="1" t="str" cm="1">
        <f t="array" ref="D136">Common_InputFunctions.Utility_DisplayArrayInTable(Common_SourceData.Common_SourceData_FracWET_Data(),Table_SourceData_FracWET[[#Headers],[Is in leaching zone]],0)</f>
        <v>No - not in leaching zone</v>
      </c>
      <c r="E136" s="64" cm="1">
        <f t="array" ref="E136">Common_InputFunctions.Utility_DisplayArrayInTable(Common_SourceData.Common_SourceData_FracWET_Data(),Table_SourceData_FracWET[[#Headers],[Is in leaching zone]],0)</f>
        <v>0</v>
      </c>
    </row>
    <row r="137" spans="4:76" ht="20.100000000000001" customHeight="1" x14ac:dyDescent="0.25"/>
    <row r="138" spans="4:76" ht="20.100000000000001" customHeight="1" x14ac:dyDescent="0.25"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4:76" ht="20.100000000000001" customHeight="1" x14ac:dyDescent="0.25">
      <c r="D139" s="6" t="str" cm="1">
        <f t="array" ref="D139">Common_SourceData.Common_SourceData_DataScores_Scope3_Title()</f>
        <v>Australian data scores for scope 3</v>
      </c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4:76" ht="20.100000000000001" customHeight="1" x14ac:dyDescent="0.25">
      <c r="D140" s="5" t="str" cm="1">
        <f t="array" ref="D140">Common_SourceData.Common_SourceData_DataScores_Scope3_Source()</f>
        <v>VEERG 2026: XXXXXXXX</v>
      </c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4:76" ht="20.100000000000001" customHeight="1" x14ac:dyDescent="0.25">
      <c r="BM141" s="7"/>
    </row>
    <row r="142" spans="4:76" ht="20.100000000000001" customHeight="1" x14ac:dyDescent="0.25">
      <c r="D142" s="64" t="s">
        <v>139</v>
      </c>
      <c r="E142" s="64" t="s">
        <v>140</v>
      </c>
      <c r="BM142" s="7"/>
    </row>
    <row r="143" spans="4:76" ht="20.100000000000001" customHeight="1" x14ac:dyDescent="0.25">
      <c r="D143" s="64" t="str" cm="1">
        <f t="array" ref="D143">Common_InputFunctions.Utility_DisplayArrayInTable(Common_SourceData.Common_SourceData_DataScores_Scope3_Data(), Table_SourceData_DataScores_Scope3[[#Headers],[Data source]], 0)</f>
        <v>International scope 3 database</v>
      </c>
      <c r="E143" s="64" cm="1">
        <f t="array" ref="E143">Common_InputFunctions.Utility_DisplayArrayInTable(Common_SourceData.Common_SourceData_DataScores_Scope3_Data(), Table_SourceData_DataScores_Scope3[[#Headers],[Data source]], 0)</f>
        <v>1</v>
      </c>
      <c r="BM143" s="7"/>
    </row>
    <row r="144" spans="4:76" ht="20.100000000000001" customHeight="1" x14ac:dyDescent="0.25">
      <c r="D144" s="64" t="str" cm="1">
        <f t="array" ref="D144">Common_InputFunctions.Utility_DisplayArrayInTable(Common_SourceData.Common_SourceData_DataScores_Scope3_Data(), Table_SourceData_DataScores_Scope3[[#Headers],[Data source]], 0)</f>
        <v>Australian scope 3 database</v>
      </c>
      <c r="E144" s="64" cm="1">
        <f t="array" ref="E144">Common_InputFunctions.Utility_DisplayArrayInTable(Common_SourceData.Common_SourceData_DataScores_Scope3_Data(), Table_SourceData_DataScores_Scope3[[#Headers],[Data source]], 0)</f>
        <v>2</v>
      </c>
      <c r="BM144" s="7"/>
    </row>
    <row r="145" spans="4:65" ht="20.100000000000001" customHeight="1" x14ac:dyDescent="0.25">
      <c r="D145" s="64" t="str" cm="1">
        <f t="array" ref="D145">Common_InputFunctions.Utility_DisplayArrayInTable(Common_SourceData.Common_SourceData_DataScores_Scope3_Data(), Table_SourceData_DataScores_Scope3[[#Headers],[Data source]], 0)</f>
        <v>State or regional scope 3 database</v>
      </c>
      <c r="E145" s="64" cm="1">
        <f t="array" ref="E145">Common_InputFunctions.Utility_DisplayArrayInTable(Common_SourceData.Common_SourceData_DataScores_Scope3_Data(), Table_SourceData_DataScores_Scope3[[#Headers],[Data source]], 0)</f>
        <v>3</v>
      </c>
      <c r="BM145" s="7"/>
    </row>
    <row r="146" spans="4:65" ht="20.100000000000001" customHeight="1" x14ac:dyDescent="0.25">
      <c r="D146" s="64" t="str" cm="1">
        <f t="array" ref="D146">Common_InputFunctions.Utility_DisplayArrayInTable(Common_SourceData.Common_SourceData_DataScores_Scope3_Data(), Table_SourceData_DataScores_Scope3[[#Headers],[Data source]], 0)</f>
        <v>Emissions intensity calculated from approved method</v>
      </c>
      <c r="E146" s="64" cm="1">
        <f t="array" ref="E146">Common_InputFunctions.Utility_DisplayArrayInTable(Common_SourceData.Common_SourceData_DataScores_Scope3_Data(), Table_SourceData_DataScores_Scope3[[#Headers],[Data source]], 0)</f>
        <v>4</v>
      </c>
      <c r="BM146" s="7"/>
    </row>
    <row r="147" spans="4:65" ht="20.100000000000001" customHeight="1" x14ac:dyDescent="0.25">
      <c r="D147" s="64" t="str" cm="1">
        <f t="array" ref="D147">Common_InputFunctions.Utility_DisplayArrayInTable(Common_SourceData.Common_SourceData_DataScores_Scope3_Data(), Table_SourceData_DataScores_Scope3[[#Headers],[Data source]], 0)</f>
        <v>Verified credential matching ISO14067</v>
      </c>
      <c r="E147" s="64" cm="1">
        <f t="array" ref="E147">Common_InputFunctions.Utility_DisplayArrayInTable(Common_SourceData.Common_SourceData_DataScores_Scope3_Data(), Table_SourceData_DataScores_Scope3[[#Headers],[Data source]], 0)</f>
        <v>5</v>
      </c>
      <c r="BM147" s="7"/>
    </row>
    <row r="148" spans="4:65" ht="20.100000000000001" customHeight="1" x14ac:dyDescent="0.25">
      <c r="BM148" s="7"/>
    </row>
    <row r="149" spans="4:65" ht="20.100000000000001" customHeight="1" x14ac:dyDescent="0.25">
      <c r="BM149" s="7"/>
    </row>
    <row r="150" spans="4:65" ht="20.100000000000001" customHeight="1" x14ac:dyDescent="0.25">
      <c r="D150" s="6" t="str" cm="1">
        <f t="array" ref="D150">Common_SourceData.Common_SourceData_FracLEACH_Title()</f>
        <v>Fraction of N that is available for leaching and runoff</v>
      </c>
      <c r="E150" s="25"/>
      <c r="BM150" s="7"/>
    </row>
    <row r="151" spans="4:65" ht="20.100000000000001" customHeight="1" x14ac:dyDescent="0.25">
      <c r="D151" s="5" t="str" cm="1">
        <f t="array" ref="D151">Common_SourceData.Common_SourceData_FracLEACH_Source()</f>
        <v>VEERG 2026:5.5.2.3 Constant Parameters</v>
      </c>
      <c r="E151" s="25"/>
      <c r="BM151" s="7"/>
    </row>
    <row r="152" spans="4:65" ht="20.100000000000001" customHeight="1" x14ac:dyDescent="0.25">
      <c r="D152" s="5" t="str" cm="1">
        <f t="array" ref="D152">Common_SourceData.Common_SourceData_FracLEACH_NIRReference()</f>
        <v>National Inventory Report Volume 1: Leaching and runoff (3.D.b.2)</v>
      </c>
      <c r="E152" s="25"/>
      <c r="BM152" s="7"/>
    </row>
    <row r="153" spans="4:65" ht="20.100000000000001" customHeight="1" x14ac:dyDescent="0.25">
      <c r="D153" s="25" t="str" cm="1">
        <f t="array" ref="D153:E153">Common_SourceData.Common_SourceData_FracLEACH_Data()</f>
        <v>FracLEACH</v>
      </c>
      <c r="E153" s="25">
        <v>0.24</v>
      </c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</row>
    <row r="154" spans="4:65" ht="20.100000000000001" customHeight="1" x14ac:dyDescent="0.25"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</row>
    <row r="155" spans="4:65" ht="20.100000000000001" customHeight="1" x14ac:dyDescent="0.25"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</row>
    <row r="156" spans="4:65" ht="20.100000000000001" customHeight="1" x14ac:dyDescent="0.25">
      <c r="D156" s="6" t="str" cm="1">
        <f t="array" ref="D156">Common_SourceData.Common_SourceData_EFleach_Title()</f>
        <v>Emission factor for nitrogen leaching and runoff</v>
      </c>
    </row>
    <row r="157" spans="4:65" ht="20.100000000000001" customHeight="1" x14ac:dyDescent="0.25">
      <c r="D157" s="5" t="str" cm="1">
        <f t="array" ref="D157">Common_SourceData.Common_SourceData_EFleach_Source()</f>
        <v>VEERG 2026:5.5.2.3 Constant Parameters</v>
      </c>
    </row>
    <row r="158" spans="4:65" ht="20.100000000000001" customHeight="1" x14ac:dyDescent="0.25">
      <c r="D158" s="5" t="str" cm="1">
        <f t="array" ref="D158">Common_SourceData.Common_SourceData_EFleach_NIRReference()</f>
        <v>National Inventory Report Volume 1: Equation 3.D.B_10</v>
      </c>
    </row>
    <row r="159" spans="4:65" ht="20.100000000000001" customHeight="1" x14ac:dyDescent="0.25">
      <c r="D159" s="1" t="str" cm="1">
        <f t="array" ref="D159:E159">Common_SourceData.Common_SourceData_EFleach_Data()</f>
        <v>EFleach</v>
      </c>
      <c r="E159" s="1">
        <v>1.0999999999999999E-2</v>
      </c>
    </row>
    <row r="160" spans="4:65" ht="20.100000000000001" customHeight="1" x14ac:dyDescent="0.25"/>
    <row r="161" spans="4:67" ht="20.100000000000001" customHeight="1" x14ac:dyDescent="0.25"/>
    <row r="162" spans="4:67" ht="20.100000000000001" customHeight="1" x14ac:dyDescent="0.25">
      <c r="D162" s="6" t="str" cm="1">
        <f t="array" ref="D162">Common_SourceData.Common_SourceData_DensityOfMethane_Title()</f>
        <v>p = density of methane</v>
      </c>
    </row>
    <row r="163" spans="4:67" ht="20.100000000000001" customHeight="1" x14ac:dyDescent="0.25">
      <c r="D163" s="5" t="str" cm="1">
        <f t="array" ref="D163">Common_SourceData.Common_SourceData_DensityOfMethane_Source()</f>
        <v>National Inventory Report 2023 Volume 1: Equations 3.B.1a_2, 3.B.1c_2, 3.B.3_1, 3.B.4g_2</v>
      </c>
    </row>
    <row r="164" spans="4:67" ht="20.100000000000001" customHeight="1" x14ac:dyDescent="0.25">
      <c r="D164" s="1" cm="1">
        <f t="array" ref="D164">Common_SourceData.Common_SourceData_DensityOfMethane_Data()</f>
        <v>0.6784</v>
      </c>
      <c r="E164" s="83" t="str" cm="1">
        <f t="array" ref="E164">Common_SourceData.Common_SourceData_DensityOfMethane_Unit()</f>
        <v>kg/m3</v>
      </c>
    </row>
    <row r="165" spans="4:67" ht="20.100000000000001" customHeight="1" x14ac:dyDescent="0.25">
      <c r="BM165" s="7"/>
      <c r="BN165" s="7"/>
      <c r="BO165" s="7"/>
    </row>
    <row r="166" spans="4:67" ht="20.100000000000001" customHeight="1" x14ac:dyDescent="0.25">
      <c r="BM166" s="7"/>
      <c r="BN166" s="7"/>
      <c r="BO166" s="7"/>
    </row>
    <row r="167" spans="4:67" ht="20.100000000000001" customHeight="1" x14ac:dyDescent="0.25">
      <c r="D167" s="6" t="str" cm="1">
        <f t="array" ref="D167">Common_SourceData.Common_SourceData_EFN2O_Title()</f>
        <v>Nitrous oxide emission factors for inorganic fertiliser application</v>
      </c>
      <c r="BM167" s="7"/>
      <c r="BN167" s="7"/>
      <c r="BO167" s="7"/>
    </row>
    <row r="168" spans="4:67" ht="20.100000000000001" customHeight="1" x14ac:dyDescent="0.25">
      <c r="D168" s="5" t="str" cm="1">
        <f t="array" ref="D168">Common_SourceData.Common_SourceData_EFN2O_Source()</f>
        <v>VEERG 2026: Table A.2.2.1</v>
      </c>
      <c r="BM168" s="7"/>
      <c r="BN168" s="7"/>
      <c r="BO168" s="7"/>
    </row>
    <row r="169" spans="4:67" ht="20.100000000000001" customHeight="1" x14ac:dyDescent="0.25">
      <c r="D169" s="83" t="str" cm="1">
        <f t="array" ref="D169">Common_SourceData.Common_SourceData_EFN2O_Unit()</f>
        <v>(kg N2O-N / kg N</v>
      </c>
      <c r="BM169" s="7"/>
      <c r="BN169" s="7"/>
      <c r="BO169" s="7"/>
    </row>
    <row r="170" spans="4:67" ht="20.100000000000001" customHeight="1" x14ac:dyDescent="0.25">
      <c r="D170" s="84" t="str" cm="1">
        <f t="array" ref="D170:D173">Common_SourceData.Common_SourceData_EFN2O_Variation()</f>
        <v>VARIATION OF SOURCE DATA:</v>
      </c>
      <c r="BM170" s="7"/>
      <c r="BN170" s="7"/>
      <c r="BO170" s="7"/>
    </row>
    <row r="171" spans="4:67" ht="20.100000000000001" customHeight="1" x14ac:dyDescent="0.25">
      <c r="D171" s="84" t="str">
        <v>Removed duplicate 'Aquaculture' row.</v>
      </c>
      <c r="BM171" s="7"/>
      <c r="BN171" s="7"/>
      <c r="BO171" s="7"/>
    </row>
    <row r="172" spans="4:67" ht="20.100000000000001" customHeight="1" x14ac:dyDescent="0.25">
      <c r="D172" s="84" t="str">
        <v>Removed asterisks to aid lookup.</v>
      </c>
      <c r="BM172" s="7"/>
      <c r="BN172" s="7"/>
      <c r="BO172" s="7"/>
    </row>
    <row r="173" spans="4:67" ht="20.100000000000001" customHeight="1" x14ac:dyDescent="0.25">
      <c r="D173" s="84" t="str">
        <v>Added 'production system only', 'rainfall zone' and 'irrigation method' columns to aid lookup.</v>
      </c>
      <c r="BM173" s="7"/>
      <c r="BN173" s="7"/>
      <c r="BO173" s="7"/>
    </row>
    <row r="174" spans="4:67" ht="20.100000000000001" customHeight="1" x14ac:dyDescent="0.25">
      <c r="D174" s="84"/>
      <c r="BM174" s="7"/>
      <c r="BN174" s="7"/>
      <c r="BO174" s="7"/>
    </row>
    <row r="175" spans="4:67" ht="20.100000000000001" customHeight="1" x14ac:dyDescent="0.25">
      <c r="D175" s="64" t="s">
        <v>221</v>
      </c>
      <c r="E175" s="64" t="s">
        <v>222</v>
      </c>
      <c r="F175" s="64" t="s">
        <v>223</v>
      </c>
      <c r="G175" s="64" t="s">
        <v>224</v>
      </c>
      <c r="H175" s="64" t="s">
        <v>104</v>
      </c>
      <c r="J175" s="1" t="s">
        <v>225</v>
      </c>
      <c r="BM175" s="7"/>
      <c r="BN175" s="7"/>
      <c r="BO175" s="7"/>
    </row>
    <row r="176" spans="4:67" ht="20.100000000000001" customHeight="1" x14ac:dyDescent="0.25">
      <c r="D176" s="64" t="str" cm="1">
        <f t="array" ref="D176">Common_InputFunctions.Utility_DisplayArrayInTable(Common_SourceData.Common_SourceData_EFN2O_Data(), Table_SourceData_Common_EFN2O[[#Headers],[Production system j]], 0)</f>
        <v>Irrigated pasture</v>
      </c>
      <c r="E176" s="64" cm="1">
        <f t="array" ref="E176">Common_InputFunctions.Utility_DisplayArrayInTable(Common_SourceData.Common_SourceData_EFN2O_Data(), Table_SourceData_Common_EFN2O[[#Headers],[Production system j]], 0)</f>
        <v>5.8999999999999999E-3</v>
      </c>
      <c r="F176" s="64" t="str" cm="1">
        <f t="array" ref="F176">Common_InputFunctions.Utility_DisplayArrayInTable(Common_SourceData.Common_SourceData_EFN2O_Data(), Table_SourceData_Common_EFN2O[[#Headers],[Production system j]], 0)</f>
        <v>Pasture</v>
      </c>
      <c r="G176" s="64" t="str" cm="1">
        <f t="array" ref="G176">Common_InputFunctions.Utility_DisplayArrayInTable(Common_SourceData.Common_SourceData_EFN2O_Data(), Table_SourceData_Common_EFN2O[[#Headers],[Production system j]], 0)</f>
        <v>Any</v>
      </c>
      <c r="H176" s="64" t="str" cm="1">
        <f t="array" ref="H176">Common_InputFunctions.Utility_DisplayArrayInTable(Common_SourceData.Common_SourceData_EFN2O_Data(), Table_SourceData_Common_EFN2O[[#Headers],[Production system j]], 0)</f>
        <v>Any</v>
      </c>
      <c r="J176" s="1" t="s">
        <v>226</v>
      </c>
      <c r="BM176" s="7"/>
      <c r="BN176" s="7"/>
      <c r="BO176" s="7"/>
    </row>
    <row r="177" spans="4:67" ht="20.100000000000001" customHeight="1" x14ac:dyDescent="0.25">
      <c r="D177" s="64" t="str" cm="1">
        <f t="array" ref="D177">Common_InputFunctions.Utility_DisplayArrayInTable(Common_SourceData.Common_SourceData_EFN2O_Data(), Table_SourceData_Common_EFN2O[[#Headers],[Production system j]], 0)</f>
        <v>Irrigated crop</v>
      </c>
      <c r="E177" s="64" cm="1">
        <f t="array" ref="E177">Common_InputFunctions.Utility_DisplayArrayInTable(Common_SourceData.Common_SourceData_EFN2O_Data(), Table_SourceData_Common_EFN2O[[#Headers],[Production system j]], 0)</f>
        <v>7.0000000000000001E-3</v>
      </c>
      <c r="F177" s="64" t="str" cm="1">
        <f t="array" ref="F177">Common_InputFunctions.Utility_DisplayArrayInTable(Common_SourceData.Common_SourceData_EFN2O_Data(), Table_SourceData_Common_EFN2O[[#Headers],[Production system j]], 0)</f>
        <v>Crop</v>
      </c>
      <c r="G177" s="64" t="str" cm="1">
        <f t="array" ref="G177">Common_InputFunctions.Utility_DisplayArrayInTable(Common_SourceData.Common_SourceData_EFN2O_Data(), Table_SourceData_Common_EFN2O[[#Headers],[Production system j]], 0)</f>
        <v>Any</v>
      </c>
      <c r="H177" s="64" t="str" cm="1">
        <f t="array" ref="H177">Common_InputFunctions.Utility_DisplayArrayInTable(Common_SourceData.Common_SourceData_EFN2O_Data(), Table_SourceData_Common_EFN2O[[#Headers],[Production system j]], 0)</f>
        <v>Any</v>
      </c>
      <c r="J177" s="1" t="s">
        <v>227</v>
      </c>
      <c r="BM177" s="7"/>
      <c r="BN177" s="7"/>
      <c r="BO177" s="7"/>
    </row>
    <row r="178" spans="4:67" ht="20.100000000000001" customHeight="1" x14ac:dyDescent="0.25">
      <c r="D178" s="64" t="str" cm="1">
        <f t="array" ref="D178">Common_InputFunctions.Utility_DisplayArrayInTable(Common_SourceData.Common_SourceData_EFN2O_Data(), Table_SourceData_Common_EFN2O[[#Headers],[Production system j]], 0)</f>
        <v>Non-irrigated pasture</v>
      </c>
      <c r="E178" s="64" cm="1">
        <f t="array" ref="E178">Common_InputFunctions.Utility_DisplayArrayInTable(Common_SourceData.Common_SourceData_EFN2O_Data(), Table_SourceData_Common_EFN2O[[#Headers],[Production system j]], 0)</f>
        <v>1.8E-3</v>
      </c>
      <c r="F178" s="64" t="str" cm="1">
        <f t="array" ref="F178">Common_InputFunctions.Utility_DisplayArrayInTable(Common_SourceData.Common_SourceData_EFN2O_Data(), Table_SourceData_Common_EFN2O[[#Headers],[Production system j]], 0)</f>
        <v>Pasture</v>
      </c>
      <c r="G178" s="64" t="str" cm="1">
        <f t="array" ref="G178">Common_InputFunctions.Utility_DisplayArrayInTable(Common_SourceData.Common_SourceData_EFN2O_Data(), Table_SourceData_Common_EFN2O[[#Headers],[Production system j]], 0)</f>
        <v>Not irrigated</v>
      </c>
      <c r="H178" s="64" t="str" cm="1">
        <f t="array" ref="H178">Common_InputFunctions.Utility_DisplayArrayInTable(Common_SourceData.Common_SourceData_EFN2O_Data(), Table_SourceData_Common_EFN2O[[#Headers],[Production system j]], 0)</f>
        <v>Low rainfall</v>
      </c>
      <c r="BM178" s="7"/>
      <c r="BN178" s="7"/>
      <c r="BO178" s="7"/>
    </row>
    <row r="179" spans="4:67" ht="20.100000000000001" customHeight="1" x14ac:dyDescent="0.25">
      <c r="D179" s="64" t="str" cm="1">
        <f t="array" ref="D179">Common_InputFunctions.Utility_DisplayArrayInTable(Common_SourceData.Common_SourceData_EFN2O_Data(), Table_SourceData_Common_EFN2O[[#Headers],[Production system j]], 0)</f>
        <v>Non-irrigated crop (low rainfall)</v>
      </c>
      <c r="E179" s="64" cm="1">
        <f t="array" ref="E179">Common_InputFunctions.Utility_DisplayArrayInTable(Common_SourceData.Common_SourceData_EFN2O_Data(), Table_SourceData_Common_EFN2O[[#Headers],[Production system j]], 0)</f>
        <v>2.8999999999999998E-3</v>
      </c>
      <c r="F179" s="64" t="str" cm="1">
        <f t="array" ref="F179">Common_InputFunctions.Utility_DisplayArrayInTable(Common_SourceData.Common_SourceData_EFN2O_Data(), Table_SourceData_Common_EFN2O[[#Headers],[Production system j]], 0)</f>
        <v>Crop</v>
      </c>
      <c r="G179" s="64" t="str" cm="1">
        <f t="array" ref="G179">Common_InputFunctions.Utility_DisplayArrayInTable(Common_SourceData.Common_SourceData_EFN2O_Data(), Table_SourceData_Common_EFN2O[[#Headers],[Production system j]], 0)</f>
        <v>Not irrigated</v>
      </c>
      <c r="H179" s="64" t="str" cm="1">
        <f t="array" ref="H179">Common_InputFunctions.Utility_DisplayArrayInTable(Common_SourceData.Common_SourceData_EFN2O_Data(), Table_SourceData_Common_EFN2O[[#Headers],[Production system j]], 0)</f>
        <v>Low rainfall</v>
      </c>
      <c r="BM179" s="7"/>
      <c r="BN179" s="7"/>
      <c r="BO179" s="7"/>
    </row>
    <row r="180" spans="4:67" ht="20.100000000000001" customHeight="1" x14ac:dyDescent="0.25">
      <c r="D180" s="64" t="str" cm="1">
        <f t="array" ref="D180">Common_InputFunctions.Utility_DisplayArrayInTable(Common_SourceData.Common_SourceData_EFN2O_Data(), Table_SourceData_Common_EFN2O[[#Headers],[Production system j]], 0)</f>
        <v>Non-irrigated crop (high rainfall)</v>
      </c>
      <c r="E180" s="64" cm="1">
        <f t="array" ref="E180">Common_InputFunctions.Utility_DisplayArrayInTable(Common_SourceData.Common_SourceData_EFN2O_Data(), Table_SourceData_Common_EFN2O[[#Headers],[Production system j]], 0)</f>
        <v>8.0000000000000002E-3</v>
      </c>
      <c r="F180" s="64" t="str" cm="1">
        <f t="array" ref="F180">Common_InputFunctions.Utility_DisplayArrayInTable(Common_SourceData.Common_SourceData_EFN2O_Data(), Table_SourceData_Common_EFN2O[[#Headers],[Production system j]], 0)</f>
        <v>Crop</v>
      </c>
      <c r="G180" s="64" t="str" cm="1">
        <f t="array" ref="G180">Common_InputFunctions.Utility_DisplayArrayInTable(Common_SourceData.Common_SourceData_EFN2O_Data(), Table_SourceData_Common_EFN2O[[#Headers],[Production system j]], 0)</f>
        <v>Not irrigated</v>
      </c>
      <c r="H180" s="64" t="str" cm="1">
        <f t="array" ref="H180">Common_InputFunctions.Utility_DisplayArrayInTable(Common_SourceData.Common_SourceData_EFN2O_Data(), Table_SourceData_Common_EFN2O[[#Headers],[Production system j]], 0)</f>
        <v>High rainfall</v>
      </c>
    </row>
    <row r="181" spans="4:67" ht="20.100000000000001" customHeight="1" x14ac:dyDescent="0.25">
      <c r="D181" s="64" t="str" cm="1">
        <f t="array" ref="D181">Common_InputFunctions.Utility_DisplayArrayInTable(Common_SourceData.Common_SourceData_EFN2O_Data(), Table_SourceData_Common_EFN2O[[#Headers],[Production system j]], 0)</f>
        <v>Sugar</v>
      </c>
      <c r="E181" s="64" cm="1">
        <f t="array" ref="E181">Common_InputFunctions.Utility_DisplayArrayInTable(Common_SourceData.Common_SourceData_EFN2O_Data(), Table_SourceData_Common_EFN2O[[#Headers],[Production system j]], 0)</f>
        <v>1.9900000000000001E-2</v>
      </c>
      <c r="F181" s="64" t="str" cm="1">
        <f t="array" ref="F181">Common_InputFunctions.Utility_DisplayArrayInTable(Common_SourceData.Common_SourceData_EFN2O_Data(), Table_SourceData_Common_EFN2O[[#Headers],[Production system j]], 0)</f>
        <v>Sugar</v>
      </c>
      <c r="G181" s="64" t="str" cm="1">
        <f t="array" ref="G181">Common_InputFunctions.Utility_DisplayArrayInTable(Common_SourceData.Common_SourceData_EFN2O_Data(), Table_SourceData_Common_EFN2O[[#Headers],[Production system j]], 0)</f>
        <v>Any</v>
      </c>
      <c r="H181" s="64" t="str" cm="1">
        <f t="array" ref="H181">Common_InputFunctions.Utility_DisplayArrayInTable(Common_SourceData.Common_SourceData_EFN2O_Data(), Table_SourceData_Common_EFN2O[[#Headers],[Production system j]], 0)</f>
        <v>Any</v>
      </c>
    </row>
    <row r="182" spans="4:67" ht="20.100000000000001" customHeight="1" x14ac:dyDescent="0.25">
      <c r="D182" s="64" t="str" cm="1">
        <f t="array" ref="D182">Common_InputFunctions.Utility_DisplayArrayInTable(Common_SourceData.Common_SourceData_EFN2O_Data(), Table_SourceData_Common_EFN2O[[#Headers],[Production system j]], 0)</f>
        <v>Cotton</v>
      </c>
      <c r="E182" s="64" cm="1">
        <f t="array" ref="E182">Common_InputFunctions.Utility_DisplayArrayInTable(Common_SourceData.Common_SourceData_EFN2O_Data(), Table_SourceData_Common_EFN2O[[#Headers],[Production system j]], 0)</f>
        <v>5.3E-3</v>
      </c>
      <c r="F182" s="64" t="str" cm="1">
        <f t="array" ref="F182">Common_InputFunctions.Utility_DisplayArrayInTable(Common_SourceData.Common_SourceData_EFN2O_Data(), Table_SourceData_Common_EFN2O[[#Headers],[Production system j]], 0)</f>
        <v>Cotton</v>
      </c>
      <c r="G182" s="64" t="str" cm="1">
        <f t="array" ref="G182">Common_InputFunctions.Utility_DisplayArrayInTable(Common_SourceData.Common_SourceData_EFN2O_Data(), Table_SourceData_Common_EFN2O[[#Headers],[Production system j]], 0)</f>
        <v>Any</v>
      </c>
      <c r="H182" s="64" t="str" cm="1">
        <f t="array" ref="H182">Common_InputFunctions.Utility_DisplayArrayInTable(Common_SourceData.Common_SourceData_EFN2O_Data(), Table_SourceData_Common_EFN2O[[#Headers],[Production system j]], 0)</f>
        <v>Any</v>
      </c>
    </row>
    <row r="183" spans="4:67" ht="20.100000000000001" customHeight="1" x14ac:dyDescent="0.25">
      <c r="D183" s="64" t="str" cm="1">
        <f t="array" ref="D183">Common_InputFunctions.Utility_DisplayArrayInTable(Common_SourceData.Common_SourceData_EFN2O_Data(), Table_SourceData_Common_EFN2O[[#Headers],[Production system j]], 0)</f>
        <v>Horticultural crops</v>
      </c>
      <c r="E183" s="64" cm="1">
        <f t="array" ref="E183">Common_InputFunctions.Utility_DisplayArrayInTable(Common_SourceData.Common_SourceData_EFN2O_Data(), Table_SourceData_Common_EFN2O[[#Headers],[Production system j]], 0)</f>
        <v>6.4000000000000003E-3</v>
      </c>
      <c r="F183" s="64" t="str" cm="1">
        <f t="array" ref="F183">Common_InputFunctions.Utility_DisplayArrayInTable(Common_SourceData.Common_SourceData_EFN2O_Data(), Table_SourceData_Common_EFN2O[[#Headers],[Production system j]], 0)</f>
        <v>Horticultural crops</v>
      </c>
      <c r="G183" s="64" t="str" cm="1">
        <f t="array" ref="G183">Common_InputFunctions.Utility_DisplayArrayInTable(Common_SourceData.Common_SourceData_EFN2O_Data(), Table_SourceData_Common_EFN2O[[#Headers],[Production system j]], 0)</f>
        <v>Any</v>
      </c>
      <c r="H183" s="64" t="str" cm="1">
        <f t="array" ref="H183">Common_InputFunctions.Utility_DisplayArrayInTable(Common_SourceData.Common_SourceData_EFN2O_Data(), Table_SourceData_Common_EFN2O[[#Headers],[Production system j]], 0)</f>
        <v>Any</v>
      </c>
    </row>
    <row r="184" spans="4:67" ht="20.100000000000001" customHeight="1" x14ac:dyDescent="0.25">
      <c r="D184" s="64" t="str" cm="1">
        <f t="array" ref="D184">Common_InputFunctions.Utility_DisplayArrayInTable(Common_SourceData.Common_SourceData_EFN2O_Data(), Table_SourceData_Common_EFN2O[[#Headers],[Production system j]], 0)</f>
        <v>Rice (continuous flooding)</v>
      </c>
      <c r="E184" s="64" cm="1">
        <f t="array" ref="E184">Common_InputFunctions.Utility_DisplayArrayInTable(Common_SourceData.Common_SourceData_EFN2O_Data(), Table_SourceData_Common_EFN2O[[#Headers],[Production system j]], 0)</f>
        <v>3.0000000000000001E-3</v>
      </c>
      <c r="F184" s="64" t="str" cm="1">
        <f t="array" ref="F184">Common_InputFunctions.Utility_DisplayArrayInTable(Common_SourceData.Common_SourceData_EFN2O_Data(), Table_SourceData_Common_EFN2O[[#Headers],[Production system j]], 0)</f>
        <v>Rice</v>
      </c>
      <c r="G184" s="64" t="str" cm="1">
        <f t="array" ref="G184">Common_InputFunctions.Utility_DisplayArrayInTable(Common_SourceData.Common_SourceData_EFN2O_Data(), Table_SourceData_Common_EFN2O[[#Headers],[Production system j]], 0)</f>
        <v>Continuous flooding</v>
      </c>
      <c r="H184" s="64" t="str" cm="1">
        <f t="array" ref="H184">Common_InputFunctions.Utility_DisplayArrayInTable(Common_SourceData.Common_SourceData_EFN2O_Data(), Table_SourceData_Common_EFN2O[[#Headers],[Production system j]], 0)</f>
        <v>Any</v>
      </c>
    </row>
    <row r="185" spans="4:67" ht="20.100000000000001" customHeight="1" x14ac:dyDescent="0.25">
      <c r="D185" s="64" t="str" cm="1">
        <f t="array" ref="D185">Common_InputFunctions.Utility_DisplayArrayInTable(Common_SourceData.Common_SourceData_EFN2O_Data(), Table_SourceData_Common_EFN2O[[#Headers],[Production system j]], 0)</f>
        <v>Rice (single and multiple drainage, or alternate wetting and drying)</v>
      </c>
      <c r="E185" s="64" cm="1">
        <f t="array" ref="E185">Common_InputFunctions.Utility_DisplayArrayInTable(Common_SourceData.Common_SourceData_EFN2O_Data(), Table_SourceData_Common_EFN2O[[#Headers],[Production system j]], 0)</f>
        <v>5.0000000000000001E-3</v>
      </c>
      <c r="F185" s="64" t="str" cm="1">
        <f t="array" ref="F185">Common_InputFunctions.Utility_DisplayArrayInTable(Common_SourceData.Common_SourceData_EFN2O_Data(), Table_SourceData_Common_EFN2O[[#Headers],[Production system j]], 0)</f>
        <v>Rice</v>
      </c>
      <c r="G185" s="64" t="str" cm="1">
        <f t="array" ref="G185">Common_InputFunctions.Utility_DisplayArrayInTable(Common_SourceData.Common_SourceData_EFN2O_Data(), Table_SourceData_Common_EFN2O[[#Headers],[Production system j]], 0)</f>
        <v>Single and multiple drainage, or alternate wetting and drying</v>
      </c>
      <c r="H185" s="64" t="str" cm="1">
        <f t="array" ref="H185">Common_InputFunctions.Utility_DisplayArrayInTable(Common_SourceData.Common_SourceData_EFN2O_Data(), Table_SourceData_Common_EFN2O[[#Headers],[Production system j]], 0)</f>
        <v>Any</v>
      </c>
    </row>
    <row r="186" spans="4:67" ht="20.100000000000001" customHeight="1" x14ac:dyDescent="0.25">
      <c r="D186" s="64" t="str" cm="1">
        <f t="array" ref="D186">Common_InputFunctions.Utility_DisplayArrayInTable(Common_SourceData.Common_SourceData_EFN2O_Data(), Table_SourceData_Common_EFN2O[[#Headers],[Production system j]], 0)</f>
        <v>Aquaculture</v>
      </c>
      <c r="E186" s="64" cm="1">
        <f t="array" ref="E186">Common_InputFunctions.Utility_DisplayArrayInTable(Common_SourceData.Common_SourceData_EFN2O_Data(), Table_SourceData_Common_EFN2O[[#Headers],[Production system j]], 0)</f>
        <v>2.5999999999999999E-3</v>
      </c>
      <c r="F186" s="64" t="str" cm="1">
        <f t="array" ref="F186">Common_InputFunctions.Utility_DisplayArrayInTable(Common_SourceData.Common_SourceData_EFN2O_Data(), Table_SourceData_Common_EFN2O[[#Headers],[Production system j]], 0)</f>
        <v>Aquaculture</v>
      </c>
      <c r="G186" s="64" t="str" cm="1">
        <f t="array" ref="G186">Common_InputFunctions.Utility_DisplayArrayInTable(Common_SourceData.Common_SourceData_EFN2O_Data(), Table_SourceData_Common_EFN2O[[#Headers],[Production system j]], 0)</f>
        <v>Any</v>
      </c>
      <c r="H186" s="64" t="str" cm="1">
        <f t="array" ref="H186">Common_InputFunctions.Utility_DisplayArrayInTable(Common_SourceData.Common_SourceData_EFN2O_Data(), Table_SourceData_Common_EFN2O[[#Headers],[Production system j]], 0)</f>
        <v>Any</v>
      </c>
    </row>
    <row r="187" spans="4:67" ht="20.100000000000001" customHeight="1" x14ac:dyDescent="0.25">
      <c r="D187" s="64" t="str" cm="1">
        <f t="array" ref="D187">Common_InputFunctions.Utility_DisplayArrayInTable(Common_SourceData.Common_SourceData_EFN2O_Data(), Table_SourceData_Common_EFN2O[[#Headers],[Production system j]], 0)</f>
        <v>Forestry</v>
      </c>
      <c r="E187" s="64" cm="1">
        <f t="array" ref="E187">Common_InputFunctions.Utility_DisplayArrayInTable(Common_SourceData.Common_SourceData_EFN2O_Data(), Table_SourceData_Common_EFN2O[[#Headers],[Production system j]], 0)</f>
        <v>1.8E-3</v>
      </c>
      <c r="F187" s="64" t="str" cm="1">
        <f t="array" ref="F187">Common_InputFunctions.Utility_DisplayArrayInTable(Common_SourceData.Common_SourceData_EFN2O_Data(), Table_SourceData_Common_EFN2O[[#Headers],[Production system j]], 0)</f>
        <v>Forestry</v>
      </c>
      <c r="G187" s="64" t="str" cm="1">
        <f t="array" ref="G187">Common_InputFunctions.Utility_DisplayArrayInTable(Common_SourceData.Common_SourceData_EFN2O_Data(), Table_SourceData_Common_EFN2O[[#Headers],[Production system j]], 0)</f>
        <v>Any</v>
      </c>
      <c r="H187" s="64" t="str" cm="1">
        <f t="array" ref="H187">Common_InputFunctions.Utility_DisplayArrayInTable(Common_SourceData.Common_SourceData_EFN2O_Data(), Table_SourceData_Common_EFN2O[[#Headers],[Production system j]], 0)</f>
        <v>Any</v>
      </c>
    </row>
    <row r="188" spans="4:67" ht="20.100000000000001" customHeight="1" x14ac:dyDescent="0.25">
      <c r="D188" s="64" t="str" cm="1">
        <f t="array" ref="D188">Common_InputFunctions.Utility_DisplayArrayInTable(Common_SourceData.Common_SourceData_EFN2O_Data(), Table_SourceData_Common_EFN2O[[#Headers],[Production system j]], 0)</f>
        <v/>
      </c>
      <c r="E188" s="64" t="str" cm="1">
        <f t="array" ref="E188">Common_InputFunctions.Utility_DisplayArrayInTable(Common_SourceData.Common_SourceData_EFN2O_Data(), Table_SourceData_Common_EFN2O[[#Headers],[Production system j]], 0)</f>
        <v/>
      </c>
      <c r="F188" s="64" t="str" cm="1">
        <f t="array" ref="F188">Common_InputFunctions.Utility_DisplayArrayInTable(Common_SourceData.Common_SourceData_EFN2O_Data(), Table_SourceData_Common_EFN2O[[#Headers],[Production system j]], 0)</f>
        <v/>
      </c>
      <c r="G188" s="64" t="str" cm="1">
        <f t="array" ref="G188">Common_InputFunctions.Utility_DisplayArrayInTable(Common_SourceData.Common_SourceData_EFN2O_Data(), Table_SourceData_Common_EFN2O[[#Headers],[Production system j]], 0)</f>
        <v/>
      </c>
      <c r="H188" s="64" t="str" cm="1">
        <f t="array" ref="H188">Common_InputFunctions.Utility_DisplayArrayInTable(Common_SourceData.Common_SourceData_EFN2O_Data(), Table_SourceData_Common_EFN2O[[#Headers],[Production system j]], 0)</f>
        <v/>
      </c>
    </row>
    <row r="189" spans="4:67" ht="20.100000000000001" customHeight="1" x14ac:dyDescent="0.25"/>
    <row r="190" spans="4:67" ht="20.100000000000001" customHeight="1" x14ac:dyDescent="0.25"/>
    <row r="191" spans="4:67" ht="20.100000000000001" customHeight="1" x14ac:dyDescent="0.25"/>
    <row r="192" spans="4:67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</sheetData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gACA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IgB9ACwAewAiAHAAYQB0AGgAIgA6ACIALwBwAHIAbwBqAGUAYwB0AHMALwBDAG8AbQBtAG8AbgBBAGc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E4AYQB0AGkAbwBuAGEAbAAgAEkAbgB2AGUAbgB0AG8AcgB5ACAAUgBlAHAAbwByAHQAIAAyADAAMgAzACAAcgBlAGYAZQByAGUAbgBjAGUAOgBcAG4AQQBnAHIAaQBjAHUAbAB0AHUAcgBhAGwAIABzAG8AaQBsAHMAOgAgAEEAdABtAG8AcwBwAGgAZQByAGkAYwAgAGQAZQBwAG8AcwBpAHQAaQBvAG4AIAAoADMALgBEAC4AYgAuADEAKQBcAG4APQA9AD0APQA9AD0APQA9AD0APQA9AD0APQA9AD0APQA9AD0APQA9AD0APQA9AD0APQA9AD0APQA9AD0APQA9AD0APQA9AD0APQA9AD0APQA9AD0APQA9AD0APQA9AD0APQA9AD0APQA9AD0APQA9AD0APQA9AD0APQA9AD0APQA9AD0APQA9AD0APQA9AD0APQA9AD0APQBcAG4AKgAvAFwAbgBcAG4ALwAqACAAXABuAC0ALQAtAC0ALQAtAC0ALQAtAC0ALQAtAC0ALQAtAC0ALQAtAC0ALQAtAC0ALQAtAC0ALQAtAC0ALQAtAC0ALQAtAC0ALQAtAC0ALQBcAG4AQQBnAFMAbwBpAGwAcwBfAEEAdABtAG8AcwBwAGgAZQByAGkAYwBEAGUAcABvAHMAaQB0AGkAbwBuAFwAbgBBAHQAbQBvAHMAcABoAGUAcgBpAGMAIABkAGUAcABvAHMAaQB0AGkAbwBuACAAZQBtAGkAcwBzAGkAbwBuAHMAIABmAHIAbwBtACAAdQByAGkAbgBlACAAYQBuAGQAIABkAHUAbgBnACAAZABlAHAAbwBzAGkAdABlAGQAIABiAHkAIABnAHIAYQB6AGkAbgBnACAAYQBuAGkAbQBhAGwAcwAgAG8AbgAgAHAAYQBzAHQAdQByAGUALABcAG4AcgBhAG4AZwBlACAAYQBuAGQAIABwAGEAZABkAG8AYwBrAFwAbgBFAE4AMgBPAGEAZABcAG4AdAAgAE4AMgBPAFwAbgBFAE4AMgBPAGEAZAAgAD0AIABNAHYAbwBsAG0AIAAqACAARQBGAGEAZAAgACoAIABDAGcATgAyAE8AIAAqACAAMQAwAF4ALQAzAFwAbgBNAHYAbwBsAG0AIAA6AE0AbQBhAHMAcwAgAG8AZgAgAG4AaQB0AHIAbwBnAGUAbgAgAHYAbwBsAGEAdABpAGwAaQBzAGUAZAAgAGYAcgBvAG0AIAB1AHIAaQBuAGUAIABhAG4AZAAgAGYAYQBlAGMAZQBzACAAZABlAHAAbwBzAGkAdABlAGQAIABvAG4AIABwAGEAcwB0AHUAcgBlACAAOgAgAGsAZwAgAE4AXABuAEUARgBhAGQAIAA6ACAARQBtAGkAcwBzAGkAbwBuACAAZgBhAGMAdABvAHIAIABmAG8AcgAgAGEAdABtAG8AcwBwAGgAZQByAGkAYwAgAGQAZQBwAG8AcwBpAHQAaQBvAG4AIAA6ACAAawBnACAATgAyAE8ALQBOAC8AawBnACAATgBcAG4AQwBnAE4AMgBPACAAOgAgAEYAYQBjAHQAbwByACAAdABvACAAYwBvAG4AdgBlAHIAdAAgAGUAbABlAG0AZQBuAHQAYQBsACAAbQBhAHMAcwAgAG8AZgAgAE4AMgBPACAAdABvACAAbQBvAGwAZQBjAHUAbABhAHIAIABtAGEAcwBzAFwAbgAtAC0ALQAtAC0ALQAtAC0ALQAtAC0ALQAtAC0ALQAtAC0ALQAtAC0ALQAtAC0ALQAtAC0ALQAtAC0ALQAtAC0ALQAtAC0ALQAtAC0AXABuACoALwBcAG4AQQBnAFMAbwBpAGwAcwBfAEEAdABtAG8AcwBwAGgAZQByAGkAYwBEAGUAcABvAHMAaQB0AGkAbwBuAF8ARwBXAFAAXABuACAAPQBMAEEATQBCAEQAQQAoAFwAbgAgACAAIAAgAEUATgAyAE8AYQBkACwARwBXAFAATgAyAE8ALABcAG4AIAAgACAAIAAgACgARQBOADIATwBhAGQAIAAqACAARwBXAFAATgAyAE8AKQBcAG4AIAAgACAAKQA7AFwAbgBcAG4AQQBnAFMAbwBpAGwAcwBfAEEAdABtAG8AcwBwAGgAZQByAGkAYwBEAGUAcABvAHMAaQB0AGkAbwBuAFwAbgAgACAAPQBMAEEATQBCAEQAQQAoAFwAbgAgACAAIAAgAE0AdgBvAGwAbQAsAEUAZgBhAGQALABDAGcATgAyAE8ALABcAG4AIAAgACAAIAAoAE0AdgBvAGwAbQAgACoAIABFAGYAYQBkACAAKgAgAEMAZwBOADIATwAgACoAIAAxADAAXgAtADMAKQBcAG4AIAAgACkAXABuADsAXABuAFwAbgBBAGcAUwBvAGkAbABzAF8AQQB0AG0AbwBzAHAAaABlAHIAaQBjAEQAZQBwAG8AcwBpAHQAaQBvAG4AXwBUAGkAdABsAGUAXABuACAAIAA9AEwAQQBNAEIARABBACgAXAAiAEEAdABtAG8AcwBwAGgAZQByAGkAYwAgAGQAZQBwAG8AcwBpAHQAaQBvAG4AIABlAG0AaQBzAHMAaQBvAG4AcwAgAGYAcgBvAG0AIAB1AHIAaQBuAGUAIABhAG4AZAAgAGQAdQBuAGcAIABkAGUAcABvAHMAaQB0AGUAZAAgAGIAeQAgAGcAcgBhAHoAaQBuAGcAIABhAG4AaQBtAGEAbABzACAAbwBuACAAcABhAHMAdAB1AHIAZQAsACAAcgBhAG4AZwBlACAAYQBuAGQAIABwAGEAZABkAG8AYwBrAFwAIgApADsAXABuAFwAbgBBAGcAUwBvAGkAbABzAF8AQQB0AG0AbwBzAHAAaABlAHIAaQBjAEQAZQBwAG8AcwBpAHQAaQBvAG4AXwBWAGEAcgBpAGEAYgBsAGUAXABuACAAIAA9AEwAQQBNAEIARABBACgAXAAiAEUATgAyAE8AYQBkAFwAIgApADsAXABuAFwAbgBBAGcAUwBvAGkAbABzAF8AQQB0AG0AbwBzAHAAaABlAHIAaQBjAEQAZQBwAG8AcwBpAHQAaQBvAG4AXwBVAG4AaQB0AFwAbgAgACAAPQBMAEEATQBCAEQAQQAoAFwAIgB0ACAATgAyAE8AXAAiACkAOwBcAG4AXABuAEEAZwBTAG8AaQBsAHMAXwBBAHQAbQBvAHMAcABoAGUAcgBpAGMARABlAHAAbwBzAGkAdABpAG8AbgBfAE4ASQBSAFIAZQBmAGUAcgBlAG4AYwBlAFwAbgAgACAAPQBMAEEATQBCAEQAQQAoAFwAIgBOAGEAdABpAG8AbgBhAGwAIABJAG4AdgBlAG4AdABvAHIAeQAgAFIAZQBwAG8AcgB0ACAAVgBvAGwAdQBtAGUAIAAxACwAIAAyADAAMgAzADoAIAAzAC4ARAAuAEIAXwA0AFwAIgApADsAXABuAFwAbgBBAGcAUwBvAGkAbABzAF8AQQB0AG0AbwBzAHAAaABlAHIAaQBjAEQAZQBwAG8AcwBpAHQAaQBvAG4AXwBSAGUAYQBkAGEAYgBsAGUARQBxAHUAYQB0AGkAbwBuAFwAbgAgACAAPQBMAEEATQBCAEQAQQAoAFwAIgBFAE4AMgBPAGEAZAAgAD0AIABNAHYAbwBsAG0AIAAqACAARQBGAGEAZAAgACoAIABDAGcATgAyAE8AIAAqACAAMQAwACAAXgAgAC0AIAAzAFwAIgApADsAXABuAFwAbgBBAGcAUwBvAGkAbABzAF8AQQB0AG0AbwBzAHAAaABlAHIAaQBjAEQAZQBwAG8AcwBpAHQAaQBvAG4AXwBBAHIAZwB1AG0AZQBuAHQAcwBcAG4AIAAgAD0ATABBAE0AQgBEAEEAKABcAG4AIAAgACAAIABNAEEASwBFAEEAUgBSAEEAWQAoADMALAAgADMALAAgAFwAbgAgACAAIAAgACAAIABMAEEATQBCAEQAQQAoAHIALABjACwAIABcAG4AIAAgACAAIAAgACAAIAAgAEkATgBEAEUAWAAoAHsAXABuACAAIAAgACAAIAAgACAAIAAgACAAXAAiAE0AdgBvAGwAbQBcACIALABcACIATQBhAHMAcwAgAG8AZgAgAG4AaQB0AHIAbwBnAGUAbgAgAHYAbwBsAGEAdABpAGwAaQBzAGUAZAAgAGYAcgBvAG0AIAB1AHIAaQBuAGUAIABhAG4AZAAgAGYAYQBlAGMAZQBzACAAZABlAHAAbwBzAGkAdABlAGQAIABvAG4AIABwAGEAcwB0AHUAcgBlAFwAIgAsAFwAIgBrAGcAIABOAFwAIgA7AFwAbgAgACAAIAAgACAAIAAgACAAIAAgAFwAIgBFAEYAYQBkAFwAIgAsAFwAIgBFAG0AaQBzAHMAaQBvAG4AIABmAGEAYwB0AG8AcgAgAGYAbwByACAAYQB0AG0AbwBzAHAAaABlAHIAaQBjACAAZABlAHAAbwBzAGkAdABpAG8AbgBcACIALABcACIAawBnACAATgAyAE8ALQBOAC8AawBnACAATgBcACIAOwBcAG4AIAAgACAAIAAgACAAIAAgACAAIABcACIAQwBnAE4AMgBPAFwAIgAsAFwAIgBGAGEAYwB0AG8AcgAgAHQAbwAgAGMAbwBuAHYAZQByAHQAIABlAGwAZQBtAGUAbgB0AGEAbAAgAG0AYQBzAHMAIABvAGYAIABOADIATwAgAHQAbwAgAG0AbwBsAGUAYwB1AGwAYQByACAAbQBhAHMAcwBcACIALABcACIAXAAiAFwAbgAgACAAIAAgACAAIAAgACAAfQAsACAAcgAsACAAYwApAFwAbgAgACAAIAAgACAAIAApAFwAbgAgACAAIAAgACkAXABuACAAIAApADsAXABuAFwAbgAvACoAIABcAG4ALQAtAC0ALQAtAC0ALQAtAC0ALQAtAC0ALQAtAC0ALQAtAC0ALQAtAC0ALQAtAC0ALQAtAC0ALQAtAC0ALQAtAC0ALQAtAC0ALQAtAFwAbgBBAGcAUwBvAGkAbABzAF8ATQBhAHMAcwBWAG8AbABhAHQAaQBsAGkAcwBlAGQAQQBuAGkAbQBhAGwAVwBhAHMAdABlAFwAbgBUAGgAZQAgAG0AYQBzAHMAIABvAGYAIABuAGkAdAByAG8AZwBlAG4AIAB2AG8AbABhAHQAaQBsAGkAcwBlAGQAIABmAHIAbwBtACAAbQBhAG4AdQByAGUALAAgAHUAcgBpAG4AZQAgAGEAbgBkACAAZgBhAGUAYwBlAHMAIABkAGUAcABvAHMAaQB0AGUAZAAgAG8AbgAgAHMAbwBpAGwAcwBcAG4ATQB2AG8AbABtAFwAbgBrAGcAIABOAFwAbgBNAHYAbwBsAG0AIAA9ACAAKABNAE4AagBtACAAKwAgAFUATgBqAG0AIAArACAARgBOAGoAbQApACAAKgAgAEYAcgBhAGMARwBBAFMATQBzAG8AaQBsAFwAbgBNAE4AagBtACAAOgAgAE0AYQBzAHMAIABvAGYAIABtAGEAbgB1AHIAZQAgAG4AaQB0AHIAbwBnAGUAbgAgAGEAcABwAGwAaQBlAGQAIAB0AG8AIABzAG8AaQBsAHMAIAA6ACAAawBnACAATgBcAG4AVQBOAGoAbQAgADoAIABNAGEAcwBzACAAbwBmACAAdQByAGkAbgBlACAAbgBpAHQAcgBvAGcAZQBuACAAZQB4AGMAcgBlAHQAZQBkACAAbwBuACAAcABhAHMAdAB1AHIAZQAsACAAcgBhAG4AZwBlACAAYQBuAGQAIABwAGEAZABkAG8AYwBrACAAZgBvAHIAIABlAGEAYwBoACAAZABhAGkAcgB5ACAAYwBhAHQAdABsAGUAIABjAGwAYQBzAHMAIAA6ACAAawBnACAATgBcAG4ARgBOAGoAbQAgADoAIABNAGEAcwBzACAAbwBmACAAZgBhAGUAYwBhAGwAIABuAGkAdAByAG8AZwBlAG4AIABlAHgAYwByAGUAdABlAGQAIABvAG4AIABwAGEAcwB0AHUAcgBlACwAIAByAGEAbgBnAGUAIABhAG4AZAAgAHAAYQBkAGQAbwBjAGsAIABmAG8AcgAgAGUAYQBjAGgAIABkAGEAaQByAHkAIABjAGEAdAB0AGwAZQAgAGMAbABhAHMAcwAgADoAIABrAGcAIABOAFwAbgBGAHIAYQBjAEcAQQBTAE0AcwBvAGkAbAAgADoAIABGAHIAYQBjAHQAaQBvAG4AIABvAGYAIABuAGkAdAByAG8AZwBlAG4AIAB2AG8AbABhAHQAaQBsAGkAcwBlAGQAIABmAHIAbwBtACAAdQByAGkAbgBlACAAYQBuAGQAIABmAGEAZQBjAGUAcwAgAGQAZQBwAG8AcwBpAHQAZQBkACAAbwBuACAAcABhAHMAdAB1AHIAZQAgADoAIAAoAGsAZwAgAE4ASAAzAC0ATgAgACsAIABOAE8AeAAtAE4AKQAvAGsAZwAgAE4AXABuAFwAbgAtAC0ALQAtAC0ALQAtAC0ALQAtAC0ALQAtAC0ALQAtAC0ALQAtAC0ALQAtAC0ALQAtAC0ALQAtAC0ALQAtAC0ALQAtAC0ALQAtAC0AXABuACoALwBcAG4AXABuAFwAbgBBAGcAUwBvAGkAbABzAF8ATQBhAHMAcwBWAG8AbABhAHQAaQBsAGkAcwBlAGQAQQBuAGkAbQBhAGwAVwBhAHMAdABlAFwAbgAgACAAPQBMAEEATQBCAEQAQQAoAFwAbgAgACAAIAAgAE0ATgBqAG0ALAAgAFUATgBqAG0ALAAgAEYATgBqAG0ALAAgAEYAcgBhAGMARwBBAFMATQBzAG8AaQBsACwAXABuACAAIAAgACAAKABNAE4AagBtACAAKwAgAFUATgBqAG0AIAArACAARgBOAGoAbQApACAAKgAgAEYAcgBhAGMARwBBAFMATQBzAG8AaQBsAFwAbgAgACAAKQBcAG4AOwBcAG4AXABuAEEAZwBTAG8AaQBsAHMAXwBNAGEAcwBzAFYAbwBsAGEAdABpAGwAaQBzAGUAZABBAG4AaQBtAGEAbABXAGEAcwB0AGUAXwBUAGkAdABsAGUAXABuACAAIAA9AEwAQQBNAEIARABBACgAXAAiAE0AYQBzAHMAIABvAGYAIABuAGkAdAByAG8AZwBlAG4AIAB2AG8AbABhAHQAaQBsAGkAcwBlAGQAIABmAHIAbwBtACAAbQBhAG4AdQByAGUALAAgAHUAcgBpAG4AZQAgAGEAbgBkACAAZgBhAGUAYwBlAHMAIABkAGUAcABvAHMAaQB0AGUAZAAgAG8AbgAgAHMAbwBpAGwAcwBcACIAKQA7AFwAbgBcAG4AQQBnAFMAbwBpAGwAcwBfAE0AYQBzAHMAVgBvAGwAYQB0AGkAbABpAHMAZQBkAEEAbgBpAG0AYQBsAFcAYQBzAHQAZQBfAFYAYQByAGkAYQBiAGwAZQBcAG4AIAAgAD0ATABBAE0AQgBEAEEAKABcACIATQB2AG8AbABtAFwAIgApADsAXABuAFwAbgBBAGcAUwBvAGkAbABzAF8ATQBhAHMAcwBWAG8AbABhAHQAaQBsAGkAcwBlAGQAQQBuAGkAbQBhAGwAVwBhAHMAdABlAF8AVQBuAGkAdABcAG4AIAAgAD0ATABBAE0AQgBEAEEAKABcACIAawBnACAATgBcACIAKQA7AFwAbgBcAG4AQQBnAFMAbwBpAGwAcwBfAE0AYQBzAHMAVgBvAGwAYQB0AGkAbABpAHMAZQBkAEEAbgBpAG0AYQBsAFcAYQBzAHQAZQBfAE4ASQBSAFIAZQBmAGUAcgBlAG4AYwBlAFwAbgAgACAAPQBMAEEATQBCAEQAQQAoAFwAIgBOAGEAdABpAG8AbgBhAGwAIABJAG4AdgBlAG4AdABvAHIAeQAgAFIAZQBwAG8AcgB0ACAAVgBvAGwAdQBtAGUAIAAxACwAIAAyADAAMgAzADoAIAAzAC4ARAAuAEIAXwAyAFwAIgApADsAXABuAFwAbgBBAGcAUwBvAGkAbABzAF8ATQBhAHMAcwBWAG8AbABhAHQAaQBsAGkAcwBlAGQAQQBuAGkAbQBhAGwAVwBhAHMAdABlAF8AUgBlAGEAZABhAGIAbABlAEUAcQB1AGEAdABpAG8AbgBcAG4AIAAgAD0ATABBAE0AQgBEAEEAKABcACIATQB2AG8AbABtACAAPQAgACgATQBOAGoAbQAgACsAIABVAE4AagBtACAAKwAgAEYATgBqAG0AKQAgACoAIABGAHIAYQBjAEcAQQBTAE0AcwBvAGkAbABcACIAKQA7AFwAbgBcAG4AQQBnAFMAbwBpAGwAcwBfAE0AYQBzAHMAVgBvAGwAYQB0AGkAbABpAHMAZQBkAEEAbgBpAG0AYQBsAFcAYQBzAHQAZQBfAEEAcgBnAHUAbQBlAG4AdABzAFwAbgAgACAAPQBMAEEATQBCAEQAQQAoAFwAbgAgACAAIAAgAE0AQQBLAEUAQQBSAFIAQQBZACgANAAsACAAMwAsACAAXABuACAAIAAgACAAIAAgAEwAQQBNAEIARABBACgAcgAsAGMALAAgAFwAbgAgACAAIAAgACAAIAAgACAASQBOAEQARQBYACgAewBcAG4AIAAgACAAIAAgACAAIAAgACAAIABcACIATQBOAGoAbQBcACIALABcACIATQBhAHMAcwAgAG8AZgAgAG0AYQBuAHUAcgBlACAAbgBpAHQAcgBvAGcAZQBuACAAYQBwAHAAbABpAGUAZAAgAHQAbwAgAHMAbwBpAGwAcwBcACIALABcACIAawBnACAATgBcACIAOwBcAG4AIAAgACAAIAAgACAAIAAgACAAIABcACIAVQBOAGoAbQBcACIALABcACIATQBhAHMAcwAgAG8AZgAgAHUAcgBpAG4AZQAgAG4AaQB0AHIAbwBnAGUAbgAgAGUAeABjAHIAZQB0AGUAZAAgAG8AbgAgAHAAYQBzAHQAdQByAGUALAAgAHIAYQBuAGcAZQAgAGEAbgBkACAAcABhAGQAZABvAGMAawAgAGYAbwByACAAZQBhAGMAaAAgAGQAYQBpAHIAeQAgAGMAYQB0AHQAbABlACAAYwBsAGEAcwBzAFwAIgAsAFwAIgBrAGcAIABOAFwAIgA7AFwAbgAgACAAIAAgACAAIAAgACAAIAAgAFwAIgBGAE4AagBtAFwAIgAsAFwAIgBNAGEAcwBzACAAbwBmACAAZgBhAGUAYwBhAGwAIABuAGkAdAByAG8AZwBlAG4AIABlAHgAYwByAGUAdABlAGQAIABvAG4AIABwAGEAcwB0AHUAcgBlACwAIAByAGEAbgBnAGUAIABhAG4AZAAgAHAAYQBkAGQAbwBjAGsAIABmAG8AcgAgAGUAYQBjAGgAIABkAGEAaQByAHkAIABjAGEAdAB0AGwAZQAgAGMAbABhAHMAcwBcACIALABcACIAawBnACAATgBcACIAOwBcAG4AIAAgACAAIAAgACAAIAAgACAAIABcACIARgByAGEAYwBHAEEAUwBNAHMAbwBpAGwAXAAiACwAXAAiAEYAcgBhAGMAdABpAG8AbgAgAG8AZgAgAG4AaQB0AHIAbwBnAGUAbgAgAHYAbwBsAGEAdABpAGwAaQBzAGUAZAAgAGYAcgBvAG0AIAB1AHIAaQBuAGUAIABhAG4AZAAgAGYAYQBlAGMAZQBzACAAZABlAHAAbwBzAGkAdABlAGQAIABvAG4AIABwAGEAcwB0AHUAcgBlAFwAIgAsAFwAIgAoAGsAZwAgAE4ASAAzAC0ATgAgACsAIABOAE8AeAAtAE4AKQAvAGsAZwAgAE4AXAAiAFwAbgAgACAAIAAgACAAIAAgACAAfQAsACAAcgAsACAAYwApAFwAbgAgACAAIAAgACAAIAApAFwAbgAgACAAIAAgACkAXABuACAAIAApADsAXABuAFwAbgBcAG4ALwAqACAAXABuAC0ALQAtAC0ALQAtAC0ALQAtAC0ALQAtAC0ALQAtAC0ALQAtAC0ALQAtAC0ALQAtAC0ALQAtAC0ALQAtAC0ALQAtAC0ALQAtAC0ALQBcAG4AQQBnAFMAbwBpAGwAcwBfAE0AYQBzAHMAVgBvAGwAYQB0AGkAbABpAHMAZQBkAEkAbgBvAHIAZwBhAG4AaQBjAEYAZQByAHQAaQBsAGkAcwBlAHIAXABuAFQAaABlACAAbQBhAHMAcwAgAG8AZgAgAG4AaQB0AHIAbwBnAGUAbgAgAHYAbwBsAGEAdABpAGwAaQBzAGUAZAAgAGYAcgBvAG0AIABpAG4AbwByAGcAYQBuAGkAYwAgAGYAZQByAHQAaQBsAGkAcwBlAHIAIABhAHAAcABsAGkAZQBkACAAdABvACAAcwBvAGkAbABzAFwAbgBNAHYAbwBsAGkAbgBvAHIAZwBhAG4AaQBjAFwAbgBrAGcAIABOAFwAbgBNAHYAbwBsAGkAbgBvAHIAZwBhAG4AaQBjACAAPQAgAE0ATgBmACAAKgAgAEYAcgBhAGMARwBBAFMARgBmAFwAbgBNAE4AZgAgADoATQBhAHMAcwAgAG8AZgAgAG4AaQB0AHIAbwBnAGUAbgAgAGkAbgAgAGkAbgBvAHIAZwBhAG4AaQBjACAAZgBlAHIAdABpAGwAaQBzAGUAcgAgAGEAcABwAGwAaQBlAGQAIAA6ACAAawBnACAATgBcAG4ARgByAGEAYwBHAEEAUwBGAGYAIAA6ACAARgByAGEAYwB0AGkAbwBuACAAbwBmACAAaQBuAG8AcgBnAGEAbgBpAGMAIABmAGUAcgB0AGkAbABpAHMAZQByACAAdABoAGEAdAAgAHYAbwBsAGEAdABpAGwAaQBzAGUAcwAgADoAIAAoAGsAZwAgAE4ASAAzAC0ATgAgACsAIABOAE8AeAAtAE4AKQAvAGsAZwAgAE4AXABuAC0ALQAtAC0ALQAtAC0ALQAtAC0ALQAtAC0ALQAtAC0ALQAtAC0ALQAtAC0ALQAtAC0ALQAtAC0ALQAtAC0ALQAtAC0ALQAtAC0ALQBcAG4AKgAvAFwAbgBcAG4AXABuAEEAZwBzAG8AaQBsAHMAXwBNAGEAcwBzAFYAbwBsAGEAdABpAGwAaQBzAGUAZABJAG4AbwByAGcAYQBuAGkAYwBGAGUAcgB0AGkAbABpAHMAZQByAFwAbgAgACAAPQBMAEEATQBCAEQAQQAoAFwAbgAgACAAIAAgAE0ATgBmACwAIABGAHIAYQBjAEcAQQBTAEYAZgAsAFwAbgAgACAAIAAgAE0ATgBmACAAKgAgAEYAcgBhAGMARwBBAFMARgBmAFwAbgAgACAAKQBcAG4AOwBcAG4AXABuAEEAZwBzAG8AaQBsAHMAXwBNAGEAcwBzAFYAbwBsAGEAdABpAGwAaQBzAGUAZABJAG4AbwByAGcAYQBuAGkAYwBGAGUAcgB0AGkAbABpAHMAZQByAF8AVABpAHQAbABlAFwAbgAgACAAPQBMAEEATQBCAEQAQQAoAFwAIgBNAGEAcwBzACAAbwBmACAAbgBpAHQAcgBvAGcAZQBuACAAdgBvAGwAYQB0AGkAbABpAHMAZQBkACAAZgByAG8AbQAgAGkAbgBvAHIAZwBhAG4AaQBjACAAZgBlAHIAdABpAGwAaQBzAGUAcgAgAGQAZQBwAG8AcwBpAHQAZQBkACAAbwBuACAAcwBvAGkAbABzAFwAIgApADsAXABuAFwAbgBBAGcAcwBvAGkAbABzAF8ATQBhAHMAcwBWAG8AbABhAHQAaQBsAGkAcwBlAGQASQBuAG8AcgBnAGEAbgBpAGMARgBlAHIAdABpAGwAaQBzAGUAcgBfAFYAYQByAGkAYQBiAGwAZQBcAG4AIAAgAD0ATABBAE0AQgBEAEEAKABcACIATQB2AG8AbABpAG4AbwByAGcAYQBuAGkAYwBcACIAKQA7AFwAbgBcAG4AQQBnAHMAbwBpAGwAcwBfAE0AYQBzAHMAVgBvAGwAYQB0AGkAbABpAHMAZQBkAEkAbgBvAHIAZwBhAG4AaQBjAEYAZQByAHQAaQBsAGkAcwBlAHIAXwBVAG4AaQB0AFwAbgAgACAAPQBMAEEATQBCAEQAQQAoAFwAIgBrAGcAIABOAFwAIgApADsAXABuAFwAbgBBAGcAcwBvAGkAbABzAF8ATQBhAHMAcwBWAG8AbABhAHQAaQBsAGkAcwBlAGQASQBuAG8AcgBnAGEAbgBpAGMARgBlAHIAdABpAGwAaQBzAGUAcgBfAE4ASQBSAFIAZQBmAGUAcgBlAG4AYwBlAFwAbgAgACAAPQBMAEEATQBCAEQAQQAoAFwAIgBOAGEAdABpAG8AbgBhAGwAIABJAG4AdgBlAG4AdABvAHIAeQAgAFIAZQBwAG8AcgB0ACAAVgBvAGwAdQBtAGUAIAAxACwAIAAyADAAMgAzADoAIAAzAC4ARAAuAEIAXwAxAFwAIgApADsAXABuAFwAbgBBAGcAcwBvAGkAbABzAF8ATQBhAHMAcwBWAG8AbABhAHQAaQBsAGkAcwBlAGQASQBuAG8AcgBnAGEAbgBpAGMARgBlAHIAdABpAGwAaQBzAGUAcgBfAFIAZQBhAGQAYQBiAGwAZQBFAHEAdQBhAHQAaQBvAG4AXABuACAAIAA9AEwAQQBNAEIARABBACgAXAAiAE0AdgBvAGwAaQBuAG8AcgBnAGEAbgBpAGMAIAA9ACAATQBOAGYAIAAqACAARgByAGEAYwBHAEEAUwBGAGYAXAAiACkAOwBcAG4AXABuAEEAZwBzAG8AaQBsAHMAXwBNAGEAcwBzAFYAbwBsAGEAdABpAGwAaQBzAGUAZABJAG4AbwByAGcAYQBuAGkAYwBGAGUAcgB0AGkAbABpAHMAZQByAF8AQQByAGcAdQBtAGUAbgB0AHMAXABuACAAIAA9AEwAQQBNAEIARABBACgAXABuACAAIAAgACAATQBBAEsARQBBAFIAUgBBAFkAKAAyACwAIAAzACwAIABcAG4AIAAgACAAIAAgACAATABBAE0AQgBEAEEAKAByACwAYwAsACAAXABuACAAIAAgACAAIAAgACAAIABJAE4ARABFAFgAKAB7AFwAbgAgACAAIAAgACAAIAAgACAAIAAgAFwAIgBNAE4AZgBcACIALABcACIATQBhAHMAcwAgAG8AZgAgAG4AaQB0AHIAbwBnAGUAbgAgAGkAbgAgAGkAbgBvAHIAZwBhAG4AaQBjACAAZgBlAHIAdABpAGwAaQBzAGUAcgAgAGEAcABwAGwAaQBlAGQAXAAiACwAXAAiAGsAZwAgAE4AXAAiADsAXABuACAAIAAgACAAIAAgACAAIAAgACAAXAAiAEYAcgBhAGMARwBBAFMARgBmAFwAIgAsAFwAIgBGAHIAYQBjAHQAaQBvAG4AIABvAGYAIABpAG4AbwByAGcAYQBuAGkAYwAgAGYAZQByAHQAaQBsAGkAcwBlAHIAIAB0AGgAYQB0ACAAdgBvAGwAYQB0AGkAbABpAHMAZQBzAFwAIgAsAFwAIgAoAGsAZwAgAE4ASAAzABMgTgAgACsAIABOAE8AeAATIE4AKQAvAGsAZwAgAE4AXAAiAFwAbgAgACAAIAAgACAAIAAgACAAfQAsACAAcgAsACAAYwApAFwAbgAgACAAIAAgACAAIAApAFwAbgAgACAAIAAgACkAXABuACAAIAApADsAXABuAFwAbgBcAG4ALwAqAFwAbgA9AD0APQA9AD0APQA9AD0APQA9AD0APQA9AD0APQA9AD0APQA9AD0APQA9AD0APQA9AD0APQA9AD0APQA9AD0APQA9AD0APQA9AD0APQA9AD0APQA9AD0APQA9AD0APQA9AD0APQA9AD0APQA9AD0APQA9AD0APQA9AD0APQA9AD0APQA9AD0APQA9AD0APQA9AD0APQA9AFwAbgBOAGEAdABpAG8AbgBhAGwAIABJAG4AdgBlAG4AdABvAHIAeQAgAFIAZQBwAG8AcgB0ACAAMgAwADIAMwAgAHIAZQBmAGUAcgBlAG4AYwBlADoAXABuAEEAZwByAGkAYwB1AGwAdAB1AHIAYQBsACAAcwBvAGkAbABzADoAIABMAGUAYQBjAGgAaQBuAGcAIABhAG4AZAAgAFIAdQBuAG8AZgBmACAAKAAzAC4ARAAuAGIALgAyACkAXABuAD0APQA9AD0APQA9AD0APQA9AD0APQA9AD0APQA9AD0APQA9AD0APQA9AD0APQA9AD0APQA9AD0APQA9AD0APQA9AD0APQA9AD0APQA9AD0APQA9AD0APQA9AD0APQA9AD0APQA9AD0APQA9AD0APQA9AD0APQA9AD0APQA9AD0APQA9AD0APQA9AD0APQA9AD0APQA9AD0AXABuACoALwBcAG4AXABuAC8AKgAgAFwAbgAtAC0ALQAtAC0ALQAtAC0ALQAtAC0ALQAtAC0ALQAtAC0ALQAtAC0ALQAtAC0ALQAtAC0ALQAtAC0ALQAtAC0ALQAtAC0ALQAtAC0AXABuAEEAZwBTAG8AaQBsAHMAXwBMAGUAYQBjAGgAaQBuAGcAQQBuAGQAUgB1AG4AbwBmAGYAXABuAEwAZQBhAGMAaABpAG4AZwAgAGEAbgBkACAAcgB1AG4AbwBmAGYAIABlAG0AaQBzAHMAaQBvAG4AcwAgAGYAcgBvAG0AIABjAHIAbwBwACAAcgBlAHMAaQBkAHUAZQAsAFwAbgBpAG4AbwByAGcAYQBuAGkAYwAgAGEAbgBkACAAbwByAGcAYQBuAGkAYwAgAGYAZQByAHQAaQBsAGkAcwBlAHIAIABhAHAAcABsAGkAZQBkACAAdABvACAAcwBvAGkAbAAsAFwAbgB1AHIAaQBuAGUAIABhAG4AZAAgAGQAdQBuAGcAIABkAGUAcABvAHMAaQB0AGUAZAAgAG8AbgAgAHAAYQBzAHQAdQByAGUAXABuAEUATgAyAE8AbABlAGEAYwBoACAAPQAgAE0AbABlAGEAYwBoACAAKgAgAEUARgBsAGUAYQBjAGgAIAAqACAAQwBnAE4AMgBPACAAKgAgADEAMAAgAF4AIAAtACAAMwBcAG4ATQBsAGUAYQBjAGgAIAA6ACAATQBhAHMAcwAgAG8AZgAgAG4AaQB0AHIAbwBnAGUAbgAgAGwAbwBzAHQAIAB0AG8AIABsAGUAYQBjAGgAZQBkACAAYQBuAGQAIAByAHUAbgAgAG8AZgBmACAAOgAgAGsAZwAgAE4AXABuAEUARgBsAGUAYQBjAGgAIAA6ACAARQBtAGkAcwBzAGkAbwBuACAAZgBhAGMAdABvAHIAIABmAG8AcgAgAGwAZQBhAGMAaABpAG4AZwAgAGEAbgBkACAAcgB1AG4AbwBmAGYAIAA6ACAAawBnACAATgAyAE8ALQBOAC8AawBnACAATgBcAG4AQwBnAE4AMgBPACAAOgAgAEYAYQBjAHQAbwByACAAdABvACAAYwBvAG4AdgBlAHIAdAAgAGUAbABlAG0AZQBuAHQAYQBsACAAbQBhAHMAcwAgAG8AZgAgAE4AMgBPACAAdABvACAAbQBvAGwAZQBjAHUAbABhAHIAIABtAGEAcwBzAFwAbgAtAC0ALQAtAC0ALQAtAC0ALQAtAC0ALQAtAC0ALQAtAC0ALQAtAC0ALQAtAC0ALQAtAC0ALQAtAC0ALQAtAC0ALQAtAC0ALQAtAC0AXABuACoALwBcAG4AQQBnAFMAbwBpAGwAcwBfAEwAZQBhAGMAaABpAG4AZwBBAG4AZABSAHUAbgBvAGYAZgBfAEcAVwBQAFwAbgAgAD0ATABBAE0AQgBEAEEAKABcAG4AIAAgACAAIABFAE4AMgBPAGwAZQBhAGMAaAAsAEcAVwBQAE4AMgBPACwAXABuACAAIAAgACAAIAAoAEUATgAyAE8AbABlAGEAYwBoACAAKgAgAEcAVwBQAE4AMgBPACkAXABuACAAIAAgACkAOwBcAG4AXABuAEEAZwBTAG8AaQBsAHMAXwBMAGUAYQBjAGgAaQBuAGcAQQBuAGQAUgB1AG4AbwBmAGYAXABuACAAIAA9AEwAQQBNAEIARABBACgAXABuACAAIAAgACAATQBsAGUAYQBjAGgALABFAEYAbABlAGEAYwBoACwAQwBnAE4AMgBPACwAXABuACAAIAAgACAAKABNAGwAZQBhAGMAaAAgACoAIABFAEYAbABlAGEAYwBoACAAKgAgAEMAZwBOADIATwAgACoAIAAxADAAXgAtADMAKQBcAG4AIAAgACkAXABuADsAXABuAFwAbgBBAGcAUwBvAGkAbABzAF8ATABlAGEAYwBoAGkAbgBnAEEAbgBkAFIAdQBuAG8AZgBmAF8AVABpAHQAbABlAFwAbgAgACAAPQBMAEEATQBCAEQAQQAoAFwAIgBMAGUAYQBjAGgAaQBuAGcAIABhAG4AZAAgAHIAdQBuAG8AZgBmACAAZQBtAGkAcwBzAGkAbwBuAHMAIABmAHIAbwBtACAAYwByAG8AcAAgAHIAZQBzAGkAZAB1AGUALABpAG4AbwByAGcAYQBuAGkAYwAgAGEAbgBkACAAbwByAGcAYQBuAGkAYwAgAGYAZQByAHQAaQBsAGkAcwBlAHIAIABhAHAAcABsAGkAZQBkACAAdABvACAAcwBvAGkAbAAsACAAdQByAGkAbgBlACAAYQBuAGQAIABkAHUAbgBnACAAZABlAHAAbwBzAGkAdABlAGQAIABvAG4AIABwAGEAcwB0AHUAcgBlAFwAIgApADsAXABuAFwAbgBBAGcAUwBvAGkAbABzAF8ATABlAGEAYwBoAGkAbgBnAEEAbgBkAFIAdQBuAG8AZgBmAF8AVgBhAHIAaQBhAGIAbABlAFwAbgAgACAAPQBMAEEATQBCAEQAQQAoAFwAIgBFAE4AMgBPAGwAZQBhAGMAaABcACIAKQA7AFwAbgBcAG4AQQBnAFMAbwBpAGwAcwBfAEwAZQBhAGMAaABpAG4AZwBBAG4AZABSAHUAbgBvAGYAZgBfAFUAbgBpAHQAXABuACAAIAA9AEwAQQBNAEIARABBACgAXAAiAHQAIABOADIATwBcACIAKQA7AFwAbgBcAG4AQQBnAFMAbwBpAGwAcwBfAEwAZQBhAGMAaABpAG4AZwBBAG4AZABSAHUAbgBvAGYAZgBfAE4ASQBSAFIAZQBmAGUAcgBlAG4AYwBlAFwAbgAgACAAPQBMAEEATQBCAEQAQQAoAFwAIgBOAGEAdABpAG8AbgBhAGwAIABJAG4AdgBlAG4AdABvAHIAeQAgAFIAZQBwAG8AcgB0ACAAVgBvAGwAdQBtAGUAIAAxACwAIAAyADAAMgAzADoAIAAzAC4ARAAuAEIAXwAxADAAXAAiACkAOwBcAG4AXABuAEEAZwBTAG8AaQBsAHMAXwBMAGUAYQBjAGgAaQBuAGcAQQBuAGQAUgB1AG4AbwBmAGYAXwBSAGUAYQBkAGEAYgBsAGUARQBxAHUAYQB0AGkAbwBuAFwAbgAgACAAPQBMAEEATQBCAEQAQQAoAFwAIgBFAE4AMgBPAGwAZQBhAGMAaAAgAD0AIABNAGwAZQBhAGMAaAAgACoAIABFAEYAbABlAGEAYwBoACAAKgAgAEMAZwBOADIATwAgACoAIAAxADAAIABeACAALQAgADMAXAAiACkAOwBcAG4AXABuAEEAZwBTAG8AaQBsAHMAXwBMAGUAYQBjAGgAaQBuAGcAQQBuAGQAUgB1AG4AbwBmAGYAXwBBAHIAZwB1AG0AZQBuAHQAcwBcAG4AIAAgAD0ATABBAE0AQgBEAEEAKABcAG4AIAAgACAAIABNAEEASwBFAEEAUgBSAEEAWQAoADMALAAgADMALAAgAFwAbgAgACAAIAAgACAAIABMAEEATQBCAEQAQQAoAHIALABjACwAIABcAG4AIAAgACAAIAAgACAAIAAgAEkATgBEAEUAWAAoAHsAXABuACAAIAAgACAAIAAgACAAIAAgACAAXAAiAE0AbABlAGEAYwBoAFwAIgAsAFwAIgBNAGEAcwBzACAAbwBmACAAbgBpAHQAcgBvAGcAZQBuACAAbABvAHMAdAAgAHQAbwAgAGwAZQBhAGMAaABlAGQAIABhAG4AZAAgAHIAdQBuACAAbwBmAGYAXAAiACwAXAAiAGsAZwAgAE4AXAAiADsAXABuACAAIAAgACAAIAAgACAAIAAgACAAXAAiAEUARgBsAGUAYQBjAGgAXAAiACwAXAAiAEUAbQBpAHMAcwBpAG8AbgAgAGYAYQBjAHQAbwByACAAZgBvAHIAIABsAGUAYQBjAGgAaQBuAGcAIABhAG4AZAAgAHIAdQBuAG8AZgBmAFwAIgAsAFwAIgBrAGcAIABOADIATwAtAE4ALwBrAGcAIABOAFwAIgA7AFwAbgAgACAAIAAgACAAIAAgACAAIAAgAFwAIgBDAGcATgAyAE8AXAAiACwAXAAiAEYAYQBjAHQAbwByACAAdABvACAAYwBvAG4AdgBlAHIAdAAgAGUAbABlAG0AZQBuAHQAYQBsACAAbQBhAHMAcwAgAG8AZgAgAE4AMgBPACAAdABvACAAbQBvAGwAZQBjAHUAbABhAHIAIABtAGEAcwBzAFwAIgAsAFwAIgBcACIAXABuACAAIAAgACAAIAAgACAAIAB9ACwAIAByACwAIABjACkAXABuACAAIAAgACAAIAAgACkAXABuACAAIAAgACAAKQBcAG4AIAAgACkAOwBcAG4AXABuAC8AKgAgAFwAbgAtAC0ALQAtAC0ALQAtAC0ALQAtAC0ALQAtAC0ALQAtAC0ALQAtAC0ALQAtAC0ALQAtAC0ALQAtAC0ALQAtAC0ALQAtAC0ALQAtAC0AXABuAEEAZwBTAG8AaQBsAHMAXwBNAGEAcwBzAEEAbgBpAG0AYQBsAFcAYQBzAHQAZQBOAEwAbwBzAHQAXABuAE0AYQBzAHMAIABvAGYAIABuAGkAdAByAG8AZwBlAG4AIABsAG8AcwB0ACAAZgByAG8AbQAgAG0AYQBuAHUAcgBlACwAIAB1AHIAaQBuAGUAIABhAG4AZAAgAGQAdQBuAGcAIAB0AG8AIABsAGUAYQBjAGgAaQBuAGcAIABhAG4AZAAgAHIAdQBuAG8AZgBmAFwAbgBNAGwAZQBhAGMAaABhAG4AaQBtAGEAbAB3AGEAcwB0AGUAPQAoAE0ATgBqAG0AKwBVAE4AagBtACsARgBOAGoAbQApACoARgByAGEAYwBXAEUAVAAqAEYAcgBhAGMATABFAEEAQwBIAFwAbgBNAGwAZQBhAGMAaABhAG4AaQBtAGEAbAB3AGEAcwB0AGUAXABuAGsAZwAgAE4AXABuAE0ATgBqAG0AIAA6ACAATQBhAHMAcwAgAG8AZgAgAG4AaQB0AHIAbwBnAGUAbgAgAGkAbgAgAG0AYQBuAHUAcgBlACAAYQBwAHAAbABpAGUAZAAgAHQAbwAgAHMAbwBpAGwAcwAgADoAIABrAGcAIABOAFwAbgBVAE4AagBtACAAOgAgAE0AYQBzAHMAIABvAGYAIABuAGkAdAByAG8AZwBlAG4AIABpAG4AIAB1AHIAaQBuAGUAIABkAGUAcABvAHMAaQB0AGUAZAAgAG8AbgAgAHAAYQBzAHQAdQByAGUALAAgAHIAYQBuAGcAZQAgAGEAbgBkACAAcABhAGQAZABvAGMAawAgADoAIABrAGcAIABOAFwAbgBGAE4AagBtACAAOgAgAE0AYQBzAHMAIABvAGYAIABuAGkAdAByAG8AZwBlAG4AIABpAG4AIABkAHUAbgBnACAAZABlAHAAbwBzAGkAdABlAGQAIABvAG4AIABwAGEAcwB0AHUAcgBlACwAcgBhAG4AZwBlACAAYQBuAGQAIABwAGEAZABkAG8AYwBrACAAOgAgAGsAZwAgAE4AXABuAEYAcgBhAGMAVwBFAFQAIAA6ACAARgByAGEAYwB0AGkAbwBuACAAbwBmACAATgAgAGEAdgBhAGkAbABhAGIAbABlACAAZgBvAHIAIABsAGUAYQBjAGgAaQBuAGcAIABhAG4AZAAgAHIAdQBuAG8AZgBmACAAaQBuACAAdABoAGUAIABjAGwAaQBtAGEAdABlACAAegBvAG4AZQAgAG8AZgAgAHQAaABlACAAZQBuAHQAaQB0AHkAIAA6ACAAZgByAGEAYwB0AGkAbwBuAFwAbgBGAHIAYQBjAEwARQBBAEMASAAgADoAIABGAHIAYQBjAHQAaQBvAG4AIABvAGYAIABOACAAdABoAGEAdAAgAGkAcwAgAGwAbwBzAHQAIAB0AGgAcgBvAHUAZwBoACAAbABlAGEAYwBoAGkAbgBnACAAYQBuAGQAIAByAHUAbgBvAGYAZgAgADoAIABmAHIAYQBjAHQAaQBvAG4AXABuAC0ALQAtAC0ALQAtAC0ALQAtAC0ALQAtAC0ALQAtAC0ALQAtAC0ALQAtAC0ALQAtAC0ALQAtAC0ALQAtAC0ALQAtAC0ALQAtAC0ALQBcAG4AKgAvAFwAbgBcAG4AQQBnAFMAbwBpAGwAcwBfAE0AYQBzAHMAQQBuAGkAbQBhAGwAVwBhAHMAdABlAE4ATABvAHMAdABcAG4AIAAgAD0ATABBAE0AQgBEAEEAKABcAG4AIAAgACAAIABNAE4AagBtACwAVQBOAGoAbQAsAEYATgBqAG0ALABGAHIAYQBjAFcARQBUACwARgByAGEAYwBMAEUAQQBDAEgALABcAG4AIAAgACAAIAAoAE0ATgBqAG0AKwBVAE4AagBtACsARgBOAGoAbQApACoARgByAGEAYwBXAEUAVAAqAEYAcgBhAGMATABFAEEAQwBIAFwAbgAgACAAKQBcAG4AOwBcAG4AXABuAEEAZwBTAG8AaQBsAHMAXwBNAGEAcwBzAEEAbgBpAG0AYQBsAFcAYQBzAHQAZQBOAEwAbwBzAHQAXwBUAGkAdABsAGUAXABuACAAIAA9AEwAQQBNAEIARABBACgAXAAiAE0AYQBzAHMAIABvAGYAIABuAGkAdAByAG8AZwBlAG4AIABsAG8AcwB0ACAAZgByAG8AbQAgAG0AYQBuAHUAcgBlACwAIAB1AHIAaQBuAGUAIABhAG4AZAAgAGQAdQBuAGcAIAB0AG8AIABsAGUAYQBjAGgAaQBuAGcAIABhAG4AZAAgAHIAdQBuAG8AZgBmAFwAIgApADsAXABuAFwAbgBBAGcAUwBvAGkAbABzAF8ATQBhAHMAcwBBAG4AaQBtAGEAbABXAGEAcwB0AGUATgBMAG8AcwB0AF8AVgBhAHIAaQBhAGIAbABlAFwAbgAgACAAPQBMAEEATQBCAEQAQQAoAFwAIgBNAGwAZQBhAGMAaABhAG4AaQBtAGEAbAB3AGEAcwB0AGUAXAAiACkAOwBcAG4AXABuAEEAZwBTAG8AaQBsAHMAXwBNAGEAcwBzAEEAbgBpAG0AYQBsAFcAYQBzAHQAZQBOAEwAbwBzAHQAXwBVAG4AaQB0AFwAbgAgACAAPQBMAEEATQBCAEQAQQAoAFwAIgBrAGcAIABOAFwAIgApADsAXABuAFwAbgBBAGcAUwBvAGkAbABzAF8ATQBhAHMAcwBBAG4AaQBtAGEAbABXAGEAcwB0AGUATgBMAG8AcwB0AF8ATgBJAFIAUgBlAGYAZQByAGUAbgBjAGUAXABuACAAIAA9AEwAQQBNAEIARABBACgAXAAiAE4AYQB0AGkAbwBuAGEAbAAgAEkAbgB2AGUAbgB0AG8AcgB5ACAAUgBlAHAAbwByAHQAIABWAG8AbAB1AG0AZQAgADEALAAgADIAMAAyADMAOgAgADMALgBEAC4AQgBfADYAXAAiACkAOwBcAG4AXABuAEEAZwBTAG8AaQBsAHMAXwBNAGEAcwBzAEEAbgBpAG0AYQBsAFcAYQBzAHQAZQBOAEwAbwBzAHQAXwBSAGUAYQBkAGEAYgBsAGUARQBxAHUAYQB0AGkAbwBuAFwAbgAgACAAPQBMAEEATQBCAEQAQQAoAFwAIgBNAGwAZQBhAGMAaABhAG4AaQBtAGEAbAB3AGEAcwB0AGUAPQAoAE0ATgBqAG0AKwBVAE4AagBtACsARgBOAGoAbQApACoARgByAGEAYwBXAEUAVAAqAEYAcgBhAGMATABFAEEAQwBIAFwAIgApADsAXABuAFwAbgBBAGcAUwBvAGkAbABzAF8ATQBhAHMAcwBBAG4AaQBtAGEAbABXAGEAcwB0AGUATgBMAG8AcwB0AF8AQQByAGcAdQBtAGUAbgB0AHMAXABuACAAIAA9AEwAQQBNAEIARABBACgAXABuACAAIAAgACAATQBBAEsARQBBAFIAUgBBAFkAKAAzACwAIAAzACwAIABcAG4AIAAgACAAIAAgACAATABBAE0AQgBEAEEAKAByACwAYwAsACAAXABuACAAIAAgACAAIAAgACAAIABJAE4ARABFAFgAKAB7AFwAbgAgACAAIAAgACAAIAAgACAAIAAgAFwAIgBNAE4AagBtAFwAIgAsAFwAIgBNAGEAcwBzACAAbwBmACAAbgBpAHQAcgBvAGcAZQBuACAAaQBuACAAbQBhAG4AdQByAGUAIABhAHAAcABsAGkAZQBkACAAdABvACAAcwBvAGkAbABzAFwAIgAsAFwAIgBrAGcAIABOAFwAIgA7AFwAbgAgACAAIAAgACAAIAAgACAAIAAgAFwAIgBVAE4AagBtAFwAIgAsAFwAIgBNAGEAcwBzACAAbwBmACAAbgBpAHQAcgBvAGcAZQBuACAAaQBuACAAdQByAGkAbgBlACAAZABlAHAAbwBzAGkAdABlAGQAIABvAG4AIABwAGEAcwB0AHUAcgBlACwAIAByAGEAbgBnAGUAIABhAG4AZAAgAHAAYQBkAGQAbwBjAGsAXAAiACwAXAAiAGsAZwAgAE4AXAAiADsAXABuACAAIAAgACAAIAAgACAAIAAgACAAXAAiAEYATgBqAG0AXAAiACwAXAAiAE0AYQBzAHMAIABvAGYAIABuAGkAdAByAG8AZwBlAG4AIABpAG4AIABkAHUAbgBnACAAZABlAHAAbwBzAGkAdABlAGQAIABvAG4AIABwAGEAcwB0AHUAcgBlACwAcgBhAG4AZwBlACAAYQBuAGQAIABwAGEAZABkAG8AYwBrAFwAIgAsAFwAIgBrAGcAIABOAFwAIgA7AFwAbgAgACAAIAAgACAAIAAgACAAIAAgAFwAIgBGAHIAYQBjAFcARQBUAFwAIgAsAFwAIgBGAHIAYQBjAHQAaQBvAG4AIABvAGYAIABuAGkAdAByAG8AZwBlAG4AIABhAHYAYQBpAGwAYQBiAGwAZQAgAGYAbwByACAAbABlAGEAYwBoAGkAbgBnACAAYQBuAGQAIAByAHUAbgBvAGYAZgAgAGkAbgAgAHQAaABlACAAYwBsAGkAbQBhAHQAZQAgAHoAbwBuAGUAIABvAGYAIAB0AGgAZQAgAGUAbgB0AGkAdAB5AFwAIgAsAFwAIgBmAHIAYQBjAHQAaQBvAG4AXAAiADsAXABuACAAIAAgACAAIAAgACAAIAAgACAAXAAiAEYAcgBhAGMATABFAEEAQwBIAFwAIgAsAFwAIgBGAHIAYQBjAHQAaQBvAG4AIABvAGYAIABuAGkAdAByAG8AZwBlAG4AIAB0AGgAYQB0ACAAaQBzACAAbABvAHMAdAAgAHQAaAByAG8AdQBnAGgAIABsAGUAYQBjAGgAaQBuAGcAIABhAG4AZAAgAHIAdQBuAG8AZgBmAFwAIgAsAFwAIgBmAHIAYQBjAHQAaQBvAG4AXAAiAFwAbgAgACAAIAAgACAAIAAgACAAfQAsACAAcgAsACAAYwApAFwAbgAgACAAIAAgACAAIAApAFwAbgAgACAAIAAgACkAXABuACAAIAApADsAXABuAFwAbgAvACoAIABcAG4ALQAtAC0ALQAtAC0ALQAtAC0ALQAtAC0ALQAtAC0ALQAtAC0ALQAtAC0ALQAtAC0ALQAtAC0ALQAtAC0ALQAtAC0ALQAtAC0ALQAtAFwAbgBBAGcAUwBvAGkAbABzAF8ATQBhAHMAcwBJAG4AbwByAGcAYQBuAGkAYwBGAGUAcgB0AGkAbABpAHMAZQByAE4ATABvAHMAdABcAG4ATQBsAGUAYQBjAGgAaQBuAG8AcgBnAGEAbgBpAGMAXABuAE0AbABlAGEAYwBoAGkAbgBvAHIAZwBhAG4AaQBjACAAPQAgAE0AIAAqACAARgByAGEAYwBXAEUAVAAgACoAIABGAHIAYQBjAEwARQBBAEMASABcAG4ATQAgADoAIABNAGEAcwBzACAAbwBmACAAbgBpAHQAcgBvAGcAZQBuACAAaQBuACAAaQBuAG8AcgBnAGEAbgBpAGMAIABmAGUAcgB0AGkAbABpAHMAZQByACAAYQBwAHAAbABpAGUAZAAgAHQAbwAgAHMAbwBpAGwAcwAgADoAIABrAGcAIABOAFwAbgBGAHIAYQBjAFcARQBUACAAOgAgAEYAcgBhAGMAdABpAG8AbgAgAG8AZgAgAG4AaQB0AHIAbwBnAGUAbgAgAGEAdgBhAGkAbABhAGIAbABlACAAZgBvAHIAIABsAGUAYQBjAGgAaQBuAGcAIABhAG4AZAAgAHIAdQBuAG8AZgBmACAAaQBuACAAdABoAGUAIABjAGwAaQBtAGEAdABlACAAegBvAG4AZQAgAG8AZgAgAHQAaABlACAAZQBuAHQAaQB0AHkAIAA6ACAAZgByAGEAYwB0AGkAbwBuAFwAbgBGAHIAYQBjAEwARQBBAEMASAAgADoAIABGAHIAYQBjAHQAaQBvAG4AIABvAGYAIABuAGkAdAByAG8AZwBlAG4AIAB0AGgAYQB0ACAAaQBzACAAbABvAHMAdAAgAHQAaAByAG8AdQBnAGgAIABsAGUAYQBjAGgAaQBuAGcAIABhAG4AZAAgAHIAdQBuAG8AZgBmACAAOgAgAGYAcgBhAGMAdABpAG8AbgBcAG4ALQAtAC0ALQAtAC0ALQAtAC0ALQAtAC0ALQAtAC0ALQAtAC0ALQAtAC0ALQAtAC0ALQAtAC0ALQAtAC0ALQAtAC0ALQAtAC0ALQAtAFwAbgAqAC8AXABuAFwAbgBBAGcAUwBvAGkAbABzAF8ATQBhAHMAcwBJAG4AbwByAGcAYQBuAGkAYwBGAGUAcgB0AGkAbABpAHMAZQByAE4ATABvAHMAdABcAG4AIAAgAD0ATABBAE0AQgBEAEEAKABcAG4AIAAgACAAIABNACwAIABGAHIAYQBjAFcARQBUACwAIABGAHIAYQBjAEwARQBBAEMASAAsAFwAbgAgACAAIAAgAE0AIAAqACAARgByAGEAYwBXAEUAVAAgACoAIABGAHIAYQBjAEwARQBBAEMASABcAG4AIAAgACkAXABuADsAXABuAFwAbgBBAGcAUwBvAGkAbABzAF8ATQBhAHMAcwBJAG4AbwByAGcAYQBuAGkAYwBGAGUAcgB0AGkAbABpAHMAZQByAE4ATABvAHMAdABfAFQAaQB0AGwAZQBcAG4AIAAgAD0ATABBAE0AQgBEAEEAKABcACIATQBhAHMAcwAgAG8AZgAgAG4AaQB0AHIAbwBnAGUAbgAgAGwAbwBzAHQAIABmAHIAbwBtACAAaQBuAG8AcgBnAGEAbgBpAGMAIABmAGUAcgB0AGkAbABpAHMAZQByACAAdABvACAAbABlAGEAYwBoAGkAbgBnACAAYQBuAGQAIAByAHUAbgBvAGYAZgBcACIAKQA7AFwAbgBcAG4AQQBnAFMAbwBpAGwAcwBfAE0AYQBzAHMASQBuAG8AcgBnAGEAbgBpAGMARgBlAHIAdABpAGwAaQBzAGUAcgBOAEwAbwBzAHQAXwBWAGEAcgBpAGEAYgBsAGUAXABuACAAIAA9AEwAQQBNAEIARABBACgAXAAiAE0AbABlAGEAYwBoAGkAbgBvAHIAZwBhAG4AaQBjAFwAIgApADsAXABuAFwAbgBBAGcAUwBvAGkAbABzAF8ATQBhAHMAcwBJAG4AbwByAGcAYQBuAGkAYwBGAGUAcgB0AGkAbABpAHMAZQByAE4ATABvAHMAdABfAFUAbgBpAHQAXABuACAAIAA9AEwAQQBNAEIARABBACgAXAAiAGsAZwAgAE4AXAAiACkAOwBcAG4AXABuAEEAZwBTAG8AaQBsAHMAXwBNAGEAcwBzAEkAbgBvAHIAZwBhAG4AaQBjAEYAZQByAHQAaQBsAGkAcwBlAHIATgBMAG8AcwB0AF8ATgBJAFIAUgBlAGYAZQByAGUAbgBjAGUAXABuACAAIAA9AEwAQQBNAEIARABBACgAXAAiAE4AYQB0AGkAbwBuAGEAbAAgAEkAbgB2AGUAbgB0AG8AcgB5ACAAUgBlAHAAbwByAHQAIABWAG8AbAB1AG0AZQAgADEALAAgADIAMAAyADMAOgAgADMALgBEAC4AQgBfADUAXAAiACkAOwBcAG4AXABuAEEAZwBTAG8AaQBsAHMAXwBNAGEAcwBzAEkAbgBvAHIAZwBhAG4AaQBjAEYAZQByAHQAaQBsAGkAcwBlAHIATgBMAG8AcwB0AF8AUgBlAGEAZABhAGIAbABlAEUAcQB1AGEAdABpAG8AbgBcAG4AIAAgAD0ATABBAE0AQgBEAEEAKABcACIATQBsAGUAYQBjAGgAaQBuAG8AcgBnAGEAbgBpAGMAIAA9ACAATQAgACoAIABGAHIAYQBjAFcARQBUACAAKgAgAEYAcgBhAGMATABFAEEAQwBIAFwAIgApADsAXABuAFwAbgBBAGcAUwBvAGkAbABzAF8ATQBhAHMAcwBJAG4AbwByAGcAYQBuAGkAYwBGAGUAcgB0AGkAbABpAHMAZQByAE4ATABvAHMAdABfAEEAcgBnAHUAbQBlAG4AdABzAFwAbgAgACAAPQBMAEEATQBCAEQAQQAoAFwAbgAgACAAIAAgAE0AQQBLAEUAQQBSAFIAQQBZACgAMwAsACAAMwAsACAAXABuACAAIAAgACAAIAAgAEwAQQBNAEIARABBACgAcgAsAGMALAAgAFwAbgAgACAAIAAgACAAIAAgACAASQBOAEQARQBYACgAewBcAG4AIAAgACAAIAAgACAAIAAgACAAIABcACIATQBcACIALABcACIATQBhAHMAcwAgAG8AZgAgAG4AaQB0AHIAbwBnAGUAbgAgAGkAbgAgAGkAbgBvAHIAZwBhAG4AaQBjACAAZgBlAHIAdABpAGwAaQBzAGUAcgAgAGEAcABwAGwAaQBlAGQAIAB0AG8AIABzAG8AaQBsAHMAXAAiACwAXAAiAGsAZwAgAE4AXAAiADsAXABuACAAIAAgACAAIAAgACAAIAAgACAAXAAiAEYAcgBhAGMAVwBFAFQAXAAiACwAXAAiAEYAcgBhAGMAdABpAG8AbgAgAG8AZgAgAG4AaQB0AHIAbwBnAGUAbgAgAGEAdgBhAGkAbABhAGIAbABlACAAZgBvAHIAIABsAGUAYQBjAGgAaQBuAGcAIABhAG4AZAAgAHIAdQBuAG8AZgBmACAAaQBuACAAdABoAGUAIABjAGwAaQBtAGEAdABlACAAegBvAG4AZQAgAG8AZgAgAHQAaABlACAAZQBuAHQAaQB0AHkAXAAiACwAXAAiAGYAcgBhAGMAdABpAG8AbgBcACIAOwBcAG4AIAAgACAAIAAgACAAIAAgACAAIABcACIARgByAGEAYwBMAEUAQQBDAEgAXAAiACwAXAAiAEYAcgBhAGMAdABpAG8AbgAgAG8AZgAgAG4AaQB0AHIAbwBnAGUAbgAgAHQAaABhAHQAIABpAHMAIABsAG8AcwB0ACAAdABoAHIAbwB1AGcAaAAgAGwAZQBhAGMAaABpAG4AZwAgAGEAbgBkACAAcgB1AG4AbwBmAGYAXAAiACwAXAAiAGYAcgBhAGMAdABpAG8AbgBcACIAXABuACAAIAAgACAAIAAgACAAIAB9ACwAIAByACwAIABjACkAXABuACAAIAAgACAAIAAgACkAXABuACAAIAAgACAAKQBcAG4AIAAgACkAOwBcAG4AXABuAC8AKgAgAFwAbgAtAC0ALQAtAC0ALQAtAC0ALQAtAC0ALQAtAC0ALQAtAC0ALQAtAC0ALQAtAC0ALQAtAC0ALQAtAC0ALQAtAC0ALQAtAC0ALQAtAC0AXABuAEEAZwBTAG8AaQBsAHMAXwBNAGEAcwBzAEMAcgBvAHAAUgBlAHMAaQBkAHUAZQBOAEwAbwBzAHQAXABuAE0AbABlAGEAYwBoAHIAZQBzAGkAZAB1AGUAXABuAE0AbABlAGEAYwBoAHIAZQBzAGkAZAB1AGUAIAA9ACAATQAgACoAIABGAHIAYQBjAFcARQBUACAAKgAgAEYAcgBhAGMATABFAEEAQwBIAFwAbgBNACAAOgAgAE0AYQBzAHMAIABvAGYAIABuAGkAdAByAG8AZwBlAG4AIABpAG4AIABjAHIAbwBwACAAcgBlAHMAaQBkAHUAZQAgAGEAcABwAGwAaQBlAGQAIAB0AG8AIABzAG8AaQBsAHMAIAA6ACAAawBnACAATgBcAG4ARgByAGEAYwBXAEUAVAAgADoAIABGAHIAYQBjAHQAaQBvAG4AIABvAGYAIABuAGkAdAByAG8AZwBlAG4AIABhAHYAYQBpAGwAYQBiAGwAZQAgAGYAbwByACAAbABlAGEAYwBoAGkAbgBnACAAYQBuAGQAIAByAHUAbgBvAGYAZgAgAGkAbgAgAHQAaABlACAAYwBsAGkAbQBhAHQAZQAgAHoAbwBuAGUAIABvAGYAIAB0AGgAZQAgAGUAbgB0AGkAdAB5ACAAOgAgAGYAcgBhAGMAdABpAG8AbgBcAG4ARgByAGEAYwBMAEUAQQBDAEgAIAA6ACAARgByAGEAYwB0AGkAbwBuACAAbwBmACAAbgBpAHQAcgBvAGcAZQBuACAAdABoAGEAdAAgAGkAcwAgAGwAbwBzAHQAIAB0AGgAcgBvAHUAZwBoACAAbABlAGEAYwBoAGkAbgBnACAAYQBuAGQAIAByAHUAbgBvAGYAZgAgADoAIABmAHIAYQBjAHQAaQBvAG4AXABuAC0ALQAtAC0ALQAtAC0ALQAtAC0ALQAtAC0ALQAtAC0ALQAtAC0ALQAtAC0ALQAtAC0ALQAtAC0ALQAtAC0ALQAtAC0ALQAtAC0ALQBcAG4AKgAvAFwAbgBcAG4AQQBnAFMAbwBpAGwAcwBfAE0AYQBzAHMAQwByAG8AcABSAGUAcwBpAGQAdQBlAE4ATABvAHMAdABcAG4AIAAgAD0ATABBAE0AQgBEAEEAKABcAG4AIAAgACAAIABNACwAIABGAHIAYQBjAFcARQBUACwAIABGAHIAYQBjAEwARQBBAEMASAAsAFwAbgAgACAAIAAgAE0AIAAqACAARgByAGEAYwBXAEUAVAAgACoAIABGAHIAYQBjAEwARQBBAEMASABcAG4AIAAgACkAXABuADsAXABuAFwAbgBBAGcAUwBvAGkAbABzAF8ATQBhAHMAcwBDAHIAbwBwAFIAZQBzAGkAZAB1AGUATgBMAG8AcwB0AF8AVABpAHQAbABlAFwAbgAgACAAPQBMAEEATQBCAEQAQQAoAFwAIgBNAGEAcwBzACAAbwBmACAAbgBpAHQAcgBvAGcAZQBuACAAbABvAHMAdAAgAGYAcgBvAG0AIABjAHIAbwBwACAAcgBlAHMAaQBkAHUAZQAgAHQAbwAgAGwAZQBhAGMAaABpAG4AZwAgAGEAbgBkACAAcgB1AG4AbwBmAGYAXAAiACkAOwBcAG4AXABuAEEAZwBTAG8AaQBsAHMAXwBNAGEAcwBzAEMAcgBvAHAAUgBlAHMAaQBkAHUAZQBOAEwAbwBzAHQAXwBWAGEAcgBpAGEAYgBsAGUAXABuACAAIAA9AEwAQQBNAEIARABBACgAXAAiAE0AbABlAGEAYwBoAHIAZQBzAGkAZAB1AGUAXAAiACkAOwBcAG4AXABuAEEAZwBTAG8AaQBsAHMAXwBNAGEAcwBzAEMAcgBvAHAAUgBlAHMAaQBkAHUAZQBOAEwAbwBzAHQAXwBVAG4AaQB0AFwAbgAgACAAPQBMAEEATQBCAEQAQQAoAFwAIgBrAGcAIABOAFwAIgApADsAXABuAFwAbgBBAGcAUwBvAGkAbABzAF8ATQBhAHMAcwBDAHIAbwBwAFIAZQBzAGkAZAB1AGUATgBMAG8AcwB0AF8ATgBJAFIAUgBlAGYAZQByAGUAbgBjAGUAXABuACAAIAA9AEwAQQBNAEIARABBACgAXAAiAE4AYQB0AGkAbwBuAGEAbAAgAEkAbgB2AGUAbgB0AG8AcgB5ACAAUgBlAHAAbwByAHQAIABWAG8AbAB1AG0AZQAgADEALAAgADIAMAAyADMAOgAgADMALgBEAC4AQgBfADgAXAAiACkAOwBcAG4AXABuAEEAZwBTAG8AaQBsAHMAXwBNAGEAcwBzAEMAcgBvAHAAUgBlAHMAaQBkAHUAZQBOAEwAbwBzAHQAXwBSAGUAYQBkAGEAYgBsAGUARQBxAHUAYQB0AGkAbwBuAFwAbgAgACAAPQBMAEEATQBCAEQAQQAoAFwAIgBNAGwAZQBhAGMAaAByAGUAcwBpAGQAdQBlACAAPQAgAE0AIAAqACAARgByAGEAYwBXAEUAVAAgACoAIABGAHIAYQBjAEwARQBBAEMASABcACIAKQA7AFwAbgBcAG4AQQBnAFMAbwBpAGwAcwBfAE0AYQBzAHMAQwByAG8AcABSAGUAcwBpAGQAdQBlAE4ATABvAHMAdABfAEEAcgBnAHUAbQBlAG4AdABzAFwAbgAgACAAPQBMAEEATQBCAEQAQQAoAFwAbgAgACAAIAAgAE0AQQBLAEUAQQBSAFIAQQBZACgAMwAsACAAMwAsACAAXABuACAAIAAgACAAIAAgAEwAQQBNAEIARABBACgAcgAsAGMALAAgAFwAbgAgACAAIAAgACAAIAAgACAASQBOAEQARQBYACgAewBcAG4AIAAgACAAIAAgACAAIAAgACAAIABcACIATQBcACIALABcACIATQBhAHMAcwAgAG8AZgAgAG4AaQB0AHIAbwBnAGUAbgAgAGkAbgAgAGMAcgBvAHAAIAByAGUAcwBpAGQAdQBlACAAYQBwAHAAbABpAGUAZAAgAHQAbwAgAHMAbwBpAGwAcwBcACIALABcACIAawBnACAATgBcACIAOwBcAG4AIAAgACAAIAAgACAAIAAgACAAIABcACIARgByAGEAYwBXAEUAVABcACIALABcACIARgByAGEAYwB0AGkAbwBuACAAbwBmACAAbgBpAHQAcgBvAGcAZQBuACAAYQB2AGEAaQBsAGEAYgBsAGUAIABmAG8AcgAgAGwAZQBhAGMAaABpAG4AZwAgAGEAbgBkACAAcgB1AG4AbwBmAGYAIABpAG4AIAB0AGgAZQAgAGMAbABpAG0AYQB0AGUAIAB6AG8AbgBlACAAbwBmACAAdABoAGUAIABlAG4AdABpAHQAeQBcACIALABcACIAZgByAGEAYwB0AGkAbwBuAFwAIgA7AFwAbgAgACAAIAAgACAAIAAgACAAIAAgAFwAIgBGAHIAYQBjAEwARQBBAEMASABcACIALABcACIARgByAGEAYwB0AGkAbwBuACAAbwBmACAAbgBpAHQAcgBvAGcAZQBuACAAdABoAGEAdAAgAGkAcwAgAGwAbwBzAHQAIAB0AGgAcgBvAHUAZwBoACAAbABlAGEAYwBoAGkAbgBnACAAYQBuAGQAIAByAHUAbgBvAGYAZgBcACIALABcACIAZgByAGEAYwB0AGkAbwBuAFwAIgBcAG4AIAAgACAAIAAgACAAIAAgAH0ALAAgAHIALAAgAGMAKQBcAG4AIAAgACAAIAAgACAAKQBcAG4AIAAgACAAIAApAFwAbgAgACAAKQA7AFwAbgBcAG4AXABuAC8AKgBcAG4APQA9AD0APQA9AD0APQA9AD0APQA9AD0APQA9AD0APQA9AD0APQA9AD0APQA9AD0APQA9AD0APQA9AD0APQA9AD0APQA9AD0APQA9AD0APQA9AD0APQA9AD0APQA9AD0APQA9AD0APQA9AD0APQA9AD0APQA9AD0APQA9AD0APQA9AD0APQA9AD0APQA9AD0APQA9AD0APQBcAG4ATgBhAHQAaQBvAG4AYQBsACAASQBuAHYAZQBuAHQAbwByAHkAIABSAGUAcABvAHIAdAAgADIAMAAyADMAIAByAGUAZgBlAHIAZQBuAGMAZQA6AFwAbgBVAHIAaQBuAGUAIABhAG4AZAAgAGQAdQBuAGcAIABkAGUAcABvAHMAaQB0AGUAZAAgAGIAeQAgAGcAcgBhAHoAaQBuAGcAIABhAG4AaQBtAGEAbABzACAAKAAzAC4ARAAuAGEALgAzACkAXABuAD0APQA9AD0APQA9AD0APQA9AD0APQA9AD0APQA9AD0APQA9AD0APQA9AD0APQA9AD0APQA9AD0APQA9AD0APQA9AD0APQA9AD0APQA9AD0APQA9AD0APQA9AD0APQA9AD0APQA9AD0APQA9AD0APQA9AD0APQA9AD0APQA9AD0APQA9AD0APQA9AD0APQA9AD0APQA9AD0AXABuACoALwBcAG4AXABuAFwAbgAvACoAIABcAG4ALQAtAC0ALQAtAC0ALQAtAC0ALQAtAC0ALQAtAC0ALQAtAC0ALQAtAC0ALQAtAC0ALQAtAC0ALQAtAC0ALQAtAC0ALQAtAC0ALQAtAFwAbgBVAHIAaQBuAGUAQQBuAGQARAB1AG4AZwBEAGUAcABvAHMAaQB0AGUAZABcAG4ATgBpAHQAcgBvAHUAcwAgAG8AeABpAGQAZQAgAHAAcgBvAGQAdQBjAHQAaQBvAG4AIABmAHIAbwBtACAAdQByAGkAbgBlACAAYQBuAGQAIABkAHUAbgBnACAAZABlAHAAbwBzAGkAdABlAGQAIABiAHkAIABnAHIAYQB6AGkAbgBnACAAYQBuAGkAbQBhAGwAcwAgAG8AbgAgAHAAYQBzAHQAdQByAGUALABcAG4AcgBhAG4AZwBlACAAYQBuAGQAIABwAGEAZABkAG8AYwBrAFwAbgBFAE4AMgBPAGQAaQByAFwAbgB0ACAATgAyAE8AXABuAEUATgAyAE8AZABpAHIAIAA9ACAAKAAoAEEARgBqAG0APQAxADQAIAAqACAARQBGAFAAUgBQACAAKgAgAEMAZwBOADIATwApACAAKwAgACgAQQBVAGoAbQA9ADEANAAgACoAIABFAEYAUABSAFAAIAAqACAAQwBnAE4AMgBPACkAKQAgACoAIAAxADAAXgAtADMAXABuAEEARgBqAG0AIAA6ACAAbQBhAHMAcwAgAG8AZgAgAG4AaQB0AHIAbwBnAGUAbgAgAGkAbgAgAGQAdQBuAGcAIABkAGUAcABvAHMAaQB0AGUAZAAgAG8AbgAgAHAAYQBzAHQAdQByAGUALAAgAHIAYQBuAGcAZQAgAGEAbgBkACAAcABhAGQAZABvAGMAawAgADoAIABrAGcAIABOAFwAbgBBAFUAagBtACAAOgAgAG0AYQBzAHMAIABvAGYAIABuAGkAdAByAG8AZwBlAG4AIABpAG4AIAB1AHIAaQBuAGUAIABkAGUAcABvAHMAaQB0AGUAZAAgAG8AbgAgAHAAYQBzAHQAdQByAGUALAAgAHIAYQBuAGcAZQAgAGEAbgBkACAAcABhAGQAZABvAGMAawAgADoAIABrAGcAIABOAFwAbgBFAEYAUABSAFAAIAA6ACAAZABpAHIAZQBjAHQAIABOADIATwAgAGUAbQBpAHMAcwBpAG8AbgAgAGYAYQBjAHQAbwByACAAZgBvAHIAIABwAGEAcwB0AHUAcgBlACwAIAByAGEAbgBnAGUAIABhAG4AZAAgAHAAYQBkAGQAbwBjAGsAIAA6ACAAawBnACAATgAyAE8ALQBOAC8AawBnACAATgBcAG4AQwBnAE4AMgBPACAAOg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EAZwBTAG8AaQBsAHMAXwBVAHIAaQBuAGUAQQBuAGQARAB1AG4AZwBEAGUAcABvAHMAaQB0AGUAZABfAEcAVwBQAFwAbgAgAD0ATABBAE0AQgBEAEEAKABcAG4AIAAgACAAIABFAE4AMgBPAGQAaQByACwARwBXAFAATgAyAE8ALABcAG4AIAAgACAAIAAgACgARQBOADIATwBkAGkAcgAgACoAIABHAFcAUABOADIATwApAFwAbgAgACAAIAApADsAXABuAFwAbgBBAGcAUwBvAGkAbABzAF8AVQByAGkAbgBlAEEAbgBkAEQAdQBuAGcARABlAHAAbwBzAGkAdABlAGQAXABuACAAIAA9AEwAQQBNAEIARABBACgAXABuACAAIAAgACAAQQBGAGoAbQAsACAAQQBVAGoAbQAsACAARQBGAFAAUgBQACwAIABDAGcATgAyAE8ALABcAG4AIAAgACAAIAAoACgAQQBGAGoAbQAgACoAIABFAEYAUABSAFAAIAAqACAAQwBnAE4AMgBPACkAIAArACAAKABBAFUAagBtACAAKgAgAEUARgBQAFIAUAAgACoAIABDAGcATgAyAE8AKQApACAAKgAgADEAMABeAC0AMwBcAG4AIAAgACkAXABuADsAXABuAFwAbgBBAGcAUwBvAGkAbABzAF8AVQByAGkAbgBlAEEAbgBkAEQAdQBuAGcARABlAHAAbwBzAGkAdABlAGQAXwBUAGkAdABsAGUAXABuACAAIAA9AEwAQQBNAEIARABBACgAXAAiAE4AaQB0AHIAbwB1AHMAIABvAHgAaQBkAGUAIABwAHIAbwBkAHUAYwB0AGkAbwBuACAAZgByAG8AbQAgAHUAcgBpAG4AZQAgAGEAbgBkACAAZAB1AG4AZwAgAGQAZQBwAG8AcwBpAHQAZQBkACAAYgB5ACAAZwByAGEAegBpAG4AZwAgAGEAbgBpAG0AYQBsAHMAIABvAG4AIABwAGEAcwB0AHUAcgBlACwAIAByAGEAbgBnAGUAIABhAG4AZAAgAHAAYQBkAGQAbwBjAGsAXAAiACkAOwBcAG4AXABuAEEAZwBTAG8AaQBsAHMAXwBVAHIAaQBuAGUAQQBuAGQARAB1AG4AZwBEAGUAcABvAHMAaQB0AGUAZABfAFYAYQByAGkAYQBiAGwAZQBcAG4AIAAgAD0ATABBAE0AQgBEAEEAKABcACIARQBOADIATwBkAGkAcgBcACIAKQA7AFwAbgBcAG4AQQBnAFMAbwBpAGwAcwBfAFUAcgBpAG4AZQBBAG4AZABEAHUAbgBnAEQAZQBwAG8AcwBpAHQAZQBkAF8AVQBuAGkAdABcAG4AIAAgAD0ATABBAE0AQgBEAEEAKABcACIAdAAgAE4AMgBPAFwAIgApADsAXABuAFwAbgBBAGcAUwBvAGkAbABzAF8AVQByAGkAbgBlAEEAbgBkAEQAdQBuAGcARABlAHAAbwBzAGkAdABlAGQAXwBOAEkAUgBSAGUAZgBlAHIAZQBuAGMAZQBcAG4AIAAgAD0ATABBAE0AQgBEAEEAKABcACIATgBhAHQAaQBvAG4AYQBsACAASQBuAHYAZQBuAHQAbwByAHkAIABSAGUAcABvAHIAdAAgAFYAbwBsAHUAbQBlACAAMQAsACAAMgAwADIAMwA6ACAAMwAuAEQALgBhAC4AMwBcACIAKQA7AFwAbgBcAG4AQQBnAFMAbwBpAGwAcwBfAFUAcgBpAG4AZQBBAG4AZABEAHUAbgBnAEQAZQBwAG8AcwBpAHQAZQBkAF8AUgBlAGEAZABhAGIAbABlAEUAcQB1AGEAdABpAG8AbgBcAG4AIAAgAD0ATABBAE0AQgBEAEEAKABcACIARQBOADIATwBkAGkAcgAgAD0AIAAoACgAQQBGAGoAbQA9ADEANAAgACoAIABFAEYAUABSAFAAIAAqACAAQwBnAE4AMgBPACkAIAArACAAKABBAFUAagBtAD0AMQA0ACAAKgAgAEUARgBQAFIAUAAgACoAIABDAGcATgAyAE8AKQApACAAKgAgADEAMABeAC0AMwBcACIAKQA7AFwAbgBcAG4AQQBnAFMAbwBpAGwAcwBfAFUAcgBpAG4AZQBBAG4AZABEAHUAbgBnAEQAZQBwAG8AcwBpAHQAZQBkAF8AQQByAGcAdQBtAGUAbgB0AHMAXABuACAAIAA9AEwAQQBNAEIARABBACgAXABuACAAIAAgACAATQBBAEsARQBBAFIAUgBBAFkAKAA0ACwAIAAzACwAIABcAG4AIAAgACAAIAAgACAATABBAE0AQgBEAEEAKAByACwAYwAsACAAXABuACAAIAAgACAAIAAgACAAIABJAE4ARABFAFgAKAB7AFwAbgAgACAAIAAgACAAIAAgACAAIAAgAFwAIgBBAEYAagBtAFwAIgAsAFwAIgBtAGEAcwBzACAAbwBmACAATgAgAGkAbgAgAGQAdQBuAGcAIABkAGUAcABvAHMAaQB0AGUAZAAgAG8AbgAgAHAAYQBzAHQAdQByAGUALAAgAHIAYQBuAGcAZQAgAGEAbgBkACAAcABhAGQAZABvAGMAawBcACIALABcACIAawBnACAATgBcACIAOwBcAG4AIAAgACAAIAAgACAAIAAgACAAIABcACIAQQBVAGoAbQBcACIALABcACIAbQBhAHMAcwAgAG8AZgAgAE4AIABpAG4AIAB1AHIAaQBuAGUAIABkAGUAcABvAHMAaQB0AGUAZAAgAG8AbgAgAHAAYQBzAHQAdQByAGUALAAgAHIAYQBuAGcAZQAgAGEAbgBkACAAcABhAGQAZABvAGMAawBcACIALABcACIAawBnACAATgBcACIAOwBcAG4AIAAgACAAIAAgACAAIAAgACAAIABcACIARQBGAFAAUgBQAFwAIgAsAFwAIgBkAGkAcgBlAGMAdAAgAE4AMgBPACAAZQBtAGkAcwBzAGkAbwBuACAAZgBhAGMAdABvAHIAIABmAG8AcgAgAHAAYQBzAHQAdQByAGUALAAgAHIAYQBuAGcAZQAgAGEAbgBkACAAcABhAGQAZABvAGMAawBcACIALABcACIAawBnACAATgAyAE8ALQBOAC8AawBnACAATgBcACIAOwBcAG4AIAAgACAAIAAgACAAIAAgACAAIABcACIAQwBnAE4AMgBPAFwAIgAsAFwAIgBmAGEAYwB0AG8AcgAgAHQAbwAgAGMAbwBuAHYAZQByAHQAIABlAGwAZQBtAGUAbgB0AGEAbAAgAG0AYQBzAHMAIABvAGYAIABOADIATwAgAHQAbwAgAG0AbwBsAGUAYwB1AGwAYQByACAAbQBhAHMAcwBcACIALABcACIAXAAiAFwAbgAgACAAIAAgACAAIAAgACAAfQAsACAAcgAsACAAYwApAFwAbgAgACAAIAAgACAAIAApAFwAbgAgACAAIAAgACkAXABuACAAIAApADsAXABuAFwAbgBcAG4AXABu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QwBvAG0AbQBvAG4AQwByAG8AcABwAGkAbgBnAF8AQwBhAGwAYwB1AGwAYQB0AGUASABhAHIAdgBlAHMAdABJAG4AZABlAHgAXABuAD0ATABBAE0AQgBEAEEAKABcAG4AIAAgACAAIABDAHIAbwBwAFQAeQBwAGUALAAgAEMAcgBvAHAAVAB5AHAAZQBBAHIAcgBhAHkALAAgAFIAZQBzAGkAZAB1AGUAQwByAG8AcABSAGEAdABpAG8AQQByAHIAYQB5ACwAXABuACAAIAAgACAAMQAvACgAMQArAEMAbwBtAG0AbwBuAF8ASQBuAHAAdQB0AEYAdQBuAGMAdABpAG8AbgBzAC4AVQB0AGkAbABpAHQAeQBfAEwAbwBvAGsAdQBwAFYAYQBsAHUAZQBJAG4AVABhAGIAbABlAE4AdQBtAGIAZQByACgAQwByAG8AcABUAHkAcABlACwAIABDAHIAbwBwAFQAeQBwAGUAQQByAHIAYQB5ACwAIABSAGUAcwBpAGQAdQBlAEMAcgBvAHAAUgBhAHQAaQBvAEEAcgByAGEAeQApACkAXABuACkAOwBcAG4AXABuAEMAbwBtAG0AbwBuAEMAcgBvAHAAcABpAG4AZwBfAEMAYQBsAGMAdQBsAGEAdABlAFIAZQBzAGkAZAB1AGUAQwByAG8AcABSAGEAdABpAG8AXABuAD0ATABBAE0AQgBEAEEAKABcAG4AIAAgACAAIABIAGEAcgB2AGUAcwB0AEkAbgBkAGUAeAAsAFwAbgAgACAAIAAgACgAMQAtAEgAYQByAHYAZQBzAHQASQBuAGQAZQB4ACkALwBIAGEAcgB2AGUAcwB0AEkAbgBkAGUAeABcAG4AKQA7AFwAbgBcAG4AXABuAEMAbwBtAG0AbwBuAEMAcgBvAHAAcABpAG4AZwBfAEMAYQBsAGMAdQBsAGEAdABlAEYAcgBhAGMAdABpAG8AbgBSAGUAcwBpAGQAdQBlAFIAZQBtAG8AdgBlAGQAXABuAD0ATABBAE0AQgBEAEEAKABcAG4AIAAgACAAIABUAG8AdABhAGwAUgBlAHMAaQBkAHUAZQAsACAAQQBtAG8AdQBuAHQAUgBlAG0AbwB2AGUAZAAsAFwAbgAgACAAIAAgACgAQQBtAG8AdQBuAHQAUgBlAG0AbwB2AGUAZAAqADEAMABeADMAKQAvACgAVABvAHQAYQBsAFIAZQBzAGkAZAB1AGUAKgAxADAAXgAzACkAXABuACk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QBuAGQAIABUAEEAUwAgAGMAbwBsAHUAbQBuAHMAIAB3AGkAdABoACAAXAB1ADAAMAAyADcAbgBvACAAZABhAHQAYQBcAHUAMAAwADIANwAgAHYAYQBsAHUAZQBz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FwAIgBOAG8AIABkAGEAdABhAFwAIgAsACAAMAAuADAAMQAsACAAMAAuADAAMQAsACAAMAAuADAAMQAsACAAXAAiAE4AbwAgAGQAYQB0AGEAXAAiACwAIABcACIARAByAHkAbABvAHQAIAAoAGYAZQBlAGQAIABwAGEAZAApAFwAIgA7ACAAXABuACAAIAAgACAAIAAgACAAIAAgACAAXAAiAFMAZQBjAG8AbgBkAGEAcgB5AFwAIgAsACAAXAAiAFMAbwBsAGkAZAAgAFMAdABvAHIAYQBnAGUAIAAoAFMAdABvAGMAawBwAGkAbABlACkAXAAiACwAIAAwAC4AMAAyACwAIAAwAC4AMAAyACwAIAAwAC4AMAAyACwAIABcACIATgBvACAAZABhAHQAYQBcACIALAAgADAALgAwADIALAAgADAALgAwADIALAAgADAALgAwADIALAAgAFwAIgBOAG8AIABkAGEAdABhAFwAIgAsACAAXAAiAFMAbwBsAGkAZAAgAHMAdABvAHIAYQBnAGUAXAAiADsAIABcAG4AIAAgACAAIAAgACAAIAAgACAAIABcACIAUwBlAGMAbwBuAGQAYQByAHkAXAAiACwAIABcACIAQwBvAG0AcABvAHMAdABpAG4AZwAgACgAUABhAHMAcwBpAHYAZQAgAFcAaQBuAGQAcgBvAHcAKQBcACIALAAgADAALgAwADEALAAgADAALgAwADEALAAgADAALgAwADEALAAgAFwAIgBOAG8AIABkAGEAdABhAFwAIgAsACAAMAAuADAAMQAsACAAMAAuADAAMQAsACAAMAAuADAAMQAsACAAXAAiAE4AbwAgAGQAYQB0AGEAXAAiACwAIABcACIAQwBvAG0AcABvAHMAdABpAG4AZwAgACgAcABhAHMAcwBpAHYAZQAgAHcAaQBuAGQAcgBvAHcAKQBcACIAOwAgAFwAbgAgACAAIAAgACAAIAAgACAAIAAgAFwAIgBTAGUAYwBvAG4AZABhAHIAeQBcACIALAAgAFwAIgBEAGkAcgBlAGMAdAAgAEEAcABwAGwAaQBjAGEAdABpAG8AbgAgAHQAbwAgAHMAbwBpAGwAXAAiACwAIAAwACwAIAAwACwAIAAwACwAIABcACIATgBvACAAZABhAHQAYQBcACIALAAgADAALAAgADAALAAgADAALAAgAFwAIgBOAG8AIABkAGEAdABhAFwAIg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FwAIgBOAG8AIABkAGEAdABhAFwAIgAsACAAMAAuADcANQAsACAAMAAuADcANQAsACAAMAAuADcANwAsACAAXAAiAE4AbwAgAGQAYQB0AGEAXAAi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OAGkAdAByAG8AdQBzAE8AeABpAGQAZQBFAEYAcwBcAG4AVABhAGIAbABlACAAQQAuADEALgAxAC4ANQA6ACAAQgBlAGUAZgAgAGYAZQBlAGQAbABvAHQAIABjAGEAdAB0AGwAZQAgAC0AIABOAGkAdAByAG8AdQBzACAAbwB4AGkAZABlACAARQBGAHMAIAAoAEUARgBtAFQAKQBcAG4ALQAtAC0ALQAtAC0ALQAtAC0ALQAtAC0ALQAtAC0ALQAtAC0ALQAtAC0ALQAtAC0ALQAtAC0ALQAtAC0ALQAtAC0ALQAtAC0ALQAtAFwAbgAqAC8AXABuAFwAbgBTAG8AdQByAGMAZQBEAGEAdABhAF8ARgBlAGUAZABsAG8AdABfAE4AaQB0AHIAbwB1AHMATwB4AGkAZABlAEUARgBzAF8AVABpAHQAbABlAFwAbgAgACAAPQBMAEEATQBCAEQAQQAoAFwAIgBGAGUAZQBkAGwAbwB0ACAALQAgAE4AaQB0AHIAbwB1AHMAIABvAHgAaQBkAGUAIABFAEYAcwBcACIAKQA7AFwAbgBcAG4AUwBvAHUAcgBjAGUARABhAHQAYQBfAEYAZQBlAGQAbABvAHQAXwBOAGkAdAByAG8AdQBzAE8AeABpAGQAZQBFAEYAcwBfAFUAbgBpAHQAXABuACAAIAA9AEwAQQBNAEIARABBACgAXAAiAFwAIgApADsAXABuAFwAbgBTAG8AdQByAGMAZQBEAGEAdABhAF8ARgBlAGUAZABsAG8AdABfAE4AaQB0AHIAbwB1AHMATwB4AGkAZABlAEUARgBzAF8AUwBvAHUAcgBjAGUAXABuACAAIAA9AEwAQQBNAEIARABBACgAXAAiAFYARQBFAFIARwAgADIAMAAyADYAOgAgAFQAYQBiAGwAZQAgAEEALgAxAC4AMQAuADUAOgAgAEIAZQBlAGYAIABmAGUAZQBkAGwAbwB0ACAAYwBhAHQAdABsAGUAIAAtACAATgBpAHQAcgBvAHUAcwAgAG8AeABpAGQAZQAgAEUARgBzACAAKABFAEYAbQBUACkAXAAiACkAOwBcAG4AXABuAFMAbwB1AHIAYwBlAEQAYQB0AGEAXwBGAGUAZQBkAGwAbwB0AF8ATgBpAHQAcgBvAHUAcwBPAHgAaQBkAGUARQBGAHM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gBpAHQAcgBvAHUAcwBPAHgAaQBkAGUARQBGAHM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FAEYAbQBUACAAKABrAGcAIABOADIATwAtAE4ALwBrAGcAIABOACkAXAAiACwAIABcACIATgBJAFIAIABkAGUAZgBpAG4AaQB0AGkAbwBuAFwAIgA7AFwAbgAgACAAIAAgACAAIAAgACAAIAAgAFwAIgBQAHIAaQBtAGEAcgB5AFwAIgAsACAAXAAiAEQAcgB5ACAAbABvAHQAIAAoAEYAZQBlAGQAcABhAGQAKQBcACIALAAgADAALgAwADAANQA0ACwAIABcACIARAByAHkAbABvAHQAIAAoAGYAZQBlAGQAIABwAGEAZAApAFwAIgA7AFwAbgAgACAAIAAgACAAIAAgACAAIAAgAFwAIgBTAGUAYwBvAG4AZABhAHIAeQBcACIALAAgAFwAIgBTAG8AbABpAGQAIABTAHQAbwByAGEAZwBlACAAKABTAHQAbwBjAGsAcABpAGwAZQApAFwAIgAsACAAMAAuADAAMAA1ACwAIABcACIAUwBvAGwAaQBkACAAcwB0AG8AcgBhAGcAZQBcACIAOwBcAG4AIAAgACAAIAAgACAAIAAgACAAIABcACIAUwBlAGMAbwBuAGQAYQByAHkAXAAiACwAIABcACIAQwBvAG0AcABvAHMAdABpAG4AZwAgACgAUABhAHMAcwBpAHYAZQAgAFcAaQBuAGQAcgBvAHcAKQBcACIALAAgADAALgAwADE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FAAbwBuAGQAKQBcACIALAAgADA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YAcgBhAGMATgBWAG8AbABhAHQAaQBsAGkAcwBlAGQAXABuAFQAYQBiAGwAZQAgAEEALgAxAC4AMQAuADYAOgAgAEIAZQBlAGYAIABmAGUAZQBkAGwAbwB0ACAAYwBhAHQAdABsAGUAIAAtACAARgByAGEAYwB0AGkAbwBuACAAbwBmACAATgAgAHYAbwBsAGEAdABpAGwAaQBzAGUAZAAgAGIAeQAgAE0ATQBTACAAKABGAHIAYQBjAEcAQQBTAE0AbQBUACkAXABuAC0ALQAtAC0ALQAtAC0ALQAtAC0ALQAtAC0ALQAtAC0ALQAtAC0ALQAtAC0ALQAtAC0ALQAtAC0ALQAtAC0ALQAtAC0ALQAtAC0ALQBcAG4AKgAvAFwAbgBcAG4AUwBvAHUAcgBjAGUARABhAHQAYQBfAEYAZQBlAGQAbABvAHQAXwBGAHIAYQBjAE4AVgBvAGwAYQB0AGkAbABpAHMAZQBkAF8AVABpAHQAbABlAFwAbgAgACAAPQBMAEEATQBCAEQAQQAoAFwAIgBGAGUAZQBkAGwAbwB0ACAALQAgAEYAcgBhAGMAdABpAG8AbgAgAG8AZgAgAE4AIAB2AG8AbABhAHQAaQBsAGkAcwBlAGQAIABiAHkAIABNAE0AUwAgACgARgByAGEAYwBHAEEAUwBNAG0AVAApAFwAIgApADsAXABuAFwAbgBTAG8AdQByAGMAZQBEAGEAdABhAF8ARgBlAGUAZABsAG8AdABfAEYAcgBhAGMATgBWAG8AbABhAHQAaQBsAGkAcwBlAGQAXwBVAG4AaQB0AFwAbgAgACAAPQBMAEEATQBCAEQAQQAoAFwAIgBcACIAKQA7AFwAbgBcAG4AUwBvAHUAcgBjAGUARABhAHQAYQBfAEYAZQBlAGQAbABvAHQAXwBGAHIAYQBjAE4AVgBvAGwAYQB0AGkAbABpAHMAZQBkAF8AUwBvAHUAcgBjAGUAXABuACAAIAA9AEwAQQBNAEIARABBACgAXAAiAFYARQBFAFIARwAgADIAMAAyADYAOgAgAFQAYQBiAGwAZQAgAEEALgAxAC4AMQAuADYAOgAgAEIAZQBlAGYAIABmAGUAZQBkAGwAbwB0ACAAYwBhAHQAdABsAGUAIAAtACAARgByAGEAYwB0AGkAbwBuACAAbwBmACAATgAgAHYAbwBsAGEAdABpAGwAaQBzAGUAZAAgAGIAeQAgAE0ATQBTACAAKABGAHIAYQBjAEcAQQBTAE0AbQBUACkAXAAiACkAOwBcAG4AXABuAFMAbwB1AHIAYwBlAEQAYQB0AGEAXwBGAGUAZQBkAGwAbwB0AF8ARgByAGEAYwBOAFYAbwBsAGEAdABpAGwAaQBzAGUAZA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GAHIAYQBjAE4AVgBvAGwAYQB0AGkAbABpAHMAZQBk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gByAGEAYwBHAEEAUwBNAG0AVAAgACgAawBnACAATgBIADMALQBOACAAKwAgAE4ATwB4AC0ATgApAC8AawBnACAATgBcACIALAAgAFwAIgBOAEkAUgAgAGQAZQBmAGkAbgBpAHQAaQBvAG4AXAAiADsAXABuACAAIAAgACAAIAAgACAAIAAgACAAXAAiAFAAcgBpAG0AYQByAHkAXAAiACwAIABcACIARAByAHkAIABsAG8AdAAgACgARgBlAGUAZABwAGEAZAApAFwAIgAsACAAMAAuADYALAAgAFwAIgBEAHIAeQBsAG8AdAAgACgAZgBlAGUAZAAgAHAAYQBkACkAXAAiADsAXABuACAAIAAgACAAIAAgACAAIAAgACAAXAAiAFMAZQBjAG8AbgBkAGEAcgB5AFwAIgAsACAAXAAiAFMAbwBsAGkAZAAgAFMAdABvAHIAYQBnAGUAIAAoAFMAdABvAGMAawBwAGkAbABlACkAXAAiACwAIAAwAC4AMgA1ACwAIABcACIAUwBvAGwAaQBkACAAcwB0AG8AcgBhAGcAZQBcACIAOwBcAG4AIAAgACAAIAAgACAAIAAgACAAIABcACIAUwBlAGMAbwBuAGQAYQByAHkAXAAiACwAIABcACIAQwBvAG0AcABvAHMAdABpAG4AZwAgACgAUABhAHMAcwBpAHYAZQAgAFcAaQBuAGQAcgBvAHcAKQBcACIALAAgADAALgA0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wAG8AbgBkACkAXAAiACwAIAAwAC4AMwA1ACwAIABcACIAQQBuAGEAZQByAG8AYgBpAGMAIABsAGEAZwBvAG8AbgBcACIAXABuACAAIAAgACAAIAAgACAAIAB9ACwAIAByACwAIABjACkAXABuACAAIAAgACAAIAAgACkAXABuACAAIAAgACAAKQBcAG4AIAAgACkAOwBcAG4AXABuACIAfQAsAHsAIgBwAGEAdABoACIAOgAiAC8AcAByAG8AagBlAGMAdABzAC8ATQBNAFMAXwBGAGUAZQBkAGwAbwB0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EAIABNAGUAdABoAG8AZAAgADEAIAAtACAATQBhAG4AdQByAGUAIABNAGUAdABoAGEAbgBl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xAF8AXwAxAF8AVABvAHQAYQBsAEEAbgBuAHUAYQBsAE0AZQB0AGgAYQBuAGUARQBtAGkAcwBzAGkAbwBuAHMAXABuAFQAbwB0AGEAbAAgAGEAbgBuAHUAYQBsACAAbQBlAHQAaABhAG4AZQAgAGUAbQBpAHMAcwBpAG8AbgBzACAAZgByAG8AbQAgAG0AYQBuAHUAcgBlACAAbQBhAG4AYQBnAGUAbQBlAG4AdABcAG4ARQBfAEMASAA0AFwAbgB0ACAAQwBIADQAXABuAHsARQB9AF8AewBDAEgANAB9AD0AXABcAHMAdQBtAF8AewBqAH0AXABcAHMAdQBtAF8AewBtAH0AXABcAHMAdQBtAF8AewBUAH0AKABEAF8AewBqAH0AXABcAHQAaQBtAGUAcwAgAE0AXwB7AGoAbQBUAH0AXABcAHQAaQBtAGUAcwAgAE4AXwB7AGoAfQApAFwAXAB0AGkAbQBlAHMAMQAwAF4AewAtADMAfQBcAG4ARABfAGoAIAA9ACAAbABlAG4AZwB0AGgAIABvAGYAIABzAHQAYQB5ACAAbwBmACAAZQBhAGMAaAAgAGMAYQB0AHQAbABlACAAZwByAG8AdQBwACAAOgAgAGQAYQB5AHMAXABuAE0AXwBqAG0AVAAgAD0AIABtAGUAdABoAGEAbgBlACAAcAByAG8AZAB1AGMAdABpAG8AbgAgAGYAcgBvAG0AIABtAGEAbgB1AHIAZQAgAHAAZQByACAAYwBhAHQAdABsAGUAIABnAHIAbwB1AHAALAAgAE0ATQBTACwAIABhAG4AZAAgAHQAcgBlAGEAdABtAGUAbgB0ACAAcwB0AGEAZwBlACAAOgAgAGsAZwAgAEMASAA0AC8AaABlAGEAZAAvAGQAYQB5AFwAbgBOAF8AagAgAD0AIABuAHUAbQBiAGUAcgBzACAAbwBmACAAYgBlAGUAZgAgAGMAYQB0AHQAbABlACAAaQBuACAAZQBhAGMAaAAgAGcAcgBvAHUAcAAgADoAIABoAGUAYQBkAFwAbgAtAC0ALQAtAC0ALQAtAC0ALQAtAC0ALQAtAC0ALQAtAC0ALQAtAC0ALQAtAC0ALQAtAC0ALQAtAC0ALQAtAC0ALQAtAC0ALQAtAC0AXABuACoALwBcAG4AXABuAFYARQBFAFIARwBfADQAXwAxAF8AMQBfADEAXwBfADEAXwBUAG8AdABhAGwAQQBuAG4AdQBhAGwATQBlAHQAaABhAG4AZQBFAG0AaQBzAHMAaQBvAG4AcwBcAG4AIAAgAD0ATABBAE0AQgBEAEEAKABcAG4AIAAgACAAIABEAF8AagAsACAATQBfAGoAbQBUACwAIABOAF8AagAsAFwAbgAgACAAIAAgACgARABfAGoAIAAqACAATQBfAGoAbQBUACAAKgAgAE4AXwBqACkAIAAqACAAMQAwACAAXgAgAC0AMwBcAG4AIAAgACkAOwBcAG4AXABuAFYARQBFAFIARwBfADQAXwAxAF8AMQBfADEAXwBfADEAXwBUAG8AdABhAGwAQQBuAG4AdQBhAGwATQBlAHQAaABhAG4AZQBFAG0AaQBzAHMAaQBvAG4AcwBfAFQAaQB0AGwAZQBcAG4AIAAgAD0ATABBAE0AQgBEAEEAKABcACIAVABvAHQAYQBsACAAYQBuAG4AdQBhAGwAIABtAGUAdABoAGEAbgBlACAAZQBtAGkAcwBzAGkAbwBuAHMAIABmAHIAbwBtACAAbQBhAG4AdQByAGUAIABtAGEAbgBhAGcAZQBtAGUAbgB0AFwAIgApADsAXABuAFwAbgBWAEUARQBSAEcAXwA0AF8AMQBfADEAXwAxAF8AXwAxAF8AVABvAHQAYQBsAEEAbgBuAHUAYQBsAE0AZQB0AGgAYQBuAGUARQBtAGkAcwBzAGkAbwBuAHMAXwBWAGEAcgBpAGEAYgBsAGUAXABuACAAIAA9AEwAQQBNAEIARABBACgAXAAiAEUAXwBDAEgANABcACIAKQA7AFwAbgBcAG4AVgBFAEUAUgBHAF8ANABfADEAXwAxAF8AMQBfAF8AMQBfAFQAbwB0AGEAbABBAG4AbgB1AGEAbABNAGUAdABoAGEAbgBlAEUAbQBpAHMAcwBpAG8AbgBzAF8AVQBuAGkAdABcAG4AIAAgAD0ATABBAE0AQgBEAEEAKABcACIAdAAgAEMASAA0AFwAIgApADsAXABuAFwAbgBWAEUARQBSAEcAXwA0AF8AMQBfADEAXwAxAF8AXwAxAF8AVABvAHQAYQBsAEEAbgBuAHUAYQBsAE0AZQB0AGgAYQBuAGUARQBtAGkAcwBzAGkAbwBuAHMAXwBTAG8AdQByAGMAZQBcAG4AIAAgAD0ATABBAE0AQgBEAEEAKABcACIAVgBFAEUAUgBHACAAMgAwADIANgA6ACAANAAuADEALgAxAC4AMQAsACAARQBxAHUAYQB0AGkAbwBuACAAKAAxACkAXAAiACkAOwBcAG4AXABuAFYARQBFAFIARwBfADQAXwAxAF8AMQBfADEAXwBfADEAXwBUAG8AdABhAGwAQQBuAG4AdQBhAGwATQBlAHQAaABhAG4AZQBFAG0AaQBzAHMAaQBvAG4AcwBfAE4ASQBSAFIAZQBmAGUAcgBlAG4AYwBlAFwAbgAgACAAPQBMAEEATQBCAEQAQQAoAFwAIgBcACIAKQA7AFwAbgBcAG4AVgBFAEUAUgBHAF8ANABfADEAXwAxAF8AMQBfAF8AMQBfAFQAbwB0AGEAbABBAG4AbgB1AGEAbABNAGUAdABoAGEAbgBlAEUAbQBpAHMAcwBpAG8AbgBzAF8ATABhAHQAZQB4AEUAcQB1AGEAdABpAG8AbgBcAG4AIAAgAD0ATABBAE0AQgBEAEEAKABcACIAewBFAH0AXwB7AEMASAA0AH0APQBcAFwAcwB1AG0AXwB7AGoAfQBcAFwAcwB1AG0AXwB7AG0AfQBcAFwAcwB1AG0AXwB7AFQAfQAoAEQAXwB7AGoAfQBcAFwAdABpAG0AZQBzACAATQBfAHsAagBtAFQAfQBcAFwAdABpAG0AZQBzACAATgBfAHsAagB9ACkAXABcAHQAaQBtAGUAcwAxADAAXgB7AC0AMwB9AFwAIgApADsAXABuAFwAbgBWAEUARQBSAEcAXwA0AF8AMQBfADEAXwAxAF8AXwAxAF8AVABvAHQAYQBsAEEAbgBuAHUAYQBsAE0AZQB0AGgAYQBuAGUARQBtAGkAcwBzAGkAbwBuAHMAXwBBAHIAZwB1AG0AZQBuAHQAcwBcAG4AIAAgAD0ATABBAE0AQgBEAEEAKABcAG4AIAAgACAAIABNAEEASwBFAEEAUgBSAEEAWQAoADMALAAgADIALABcAG4AIAAgACAAIAAgACAATABBAE0AQgBEAEEAKAByACwAYwAsAFwAbgAgACAAIAAgACAAIAAgACAASQBOAEQARQBYACgAewBcAG4AIAAgACAAIAAgACAAIAAgACAAIABcACIARABfAGoAXAAiACwAXAAiAGwAZQBuAGcAdABoACAAbwBmACAAcwB0AGEAeQAgAG8AZgAgAGUAYQBjAGgAIABjAGEAdAB0AGwAZQAgAGcAcgBvAHUAcAAgADoAIABkAGEAeQBzAFwAIgA7AFwAbgAgACAAIAAgACAAIAAgACAAIAAgAFwAIgBNAF8AagBtAFQAXAAiACwAXAAiAG0AZQB0AGgAYQBuAGUAIABwAHIAbwBkAHUAYwB0AGkAbwBuACAAZgByAG8AbQAgAG0AYQBuAHUAcgBlACAAcABlAHIAIABjAGEAdAB0AGwAZQAgAGcAcgBvAHUAcAAsACAATQBNAFMALAAgAGEAbgBkACAAdAByAGUAYQB0AG0AZQBuAHQAIABzAHQAYQBnAGUAIAA6ACAAawBnACAAQwBIADQALwBoAGUAYQBkAC8AZABhAHkAXAAiADsAXABuACAAIAAgACAAIAAgACAAIAAgACAAXAAiAE4AXwBqAFwAIgAsAFwAIgBuAHUAbQBiAGUAcgBzACAAbwBmACAAYgBlAGUAZgAgAGMAYQB0AHQAbABlACAAaQBuACAAZQBhAGMAaAAgAGcAcgBvAHUAcAAgADoAIABoAGUAYQBk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IAXwBTAHQAYQBnAGUAMQBNAGUAdABoAGEAbgBlAFAAcgBvAGQAdQBjAHQAaQBvAG4ARAByAHkAbABvAHQAXABuAFAAcgBvAGQAdQBjAHQAaQBvAG4AIABvAGYAIABtAGUAdABoAGEAbgBlACAAaQBuACAAdAByAGUAYQB0AG0AZQBuAHQAIABzAHQAYQBnAGUAIAAxACAATQBNAFMAXABuAE0AXwBqAG0ANQBUADEAXABuAGsAZwAgAEMASAA0AC8AaABlAGEAZAAvAGQAYQB5AFwAbgBNAF8AewBqAG0APQA1ACwAVAA9ADEAfQA9AFYAUwBfAHsAagB9AFwAXAB0AGkAbQBlAHMAIABCAE8AXABcAHQAaQBtAGUAcwAgAE0ATQBTAF8AewBtAD0ANQAsAFQAPQAxAH0AXABcAHQAaQBtAGUAcwAgAE0AQwBGAF8AewBpAG0APQA1AH0AXABcAHQAaQBtAGUAcwAgAFwAXAByAGgAbw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DUAVAAxACAAPQAgAGYAcgBhAGMAdABpAG8AbgAgAG8AZgAgAG0AYQBuAHUAcgBlACAAaQBuACAAcAByAGkAbQBhAHIAeQAgAHMAeQBzAHQAZQBtACAAZAByAHkAbABvAHQAIABNAE0AUwAgADoAIABmAHIAYQBjAHQAaQBvAG4AXABuAE0AQwBGAF8AaQBtADUAIAA9ACAAbQBlAHQAaABhAG4AZQAgAGMAbwBuAHYAZQByAHMAaQBvAG4AIABmAGEAYwB0AG8AcgAgAGYAbwByACAAdABlAG0AcABlAHIAYQB0AHUAcgBlACAAegBvAG4AZQAgAGEAbgBkACAAZAByAHkAbABvAHQAIABzAHkAcwB0AGUAbQAgADoAIABmAHIAYQBjAHQAaQBvAG4AXABuAHIAaABvACAAPQAgAGQAZQBuAHMAaQB0AHkAIABvAGYAIABtAGUAdABoAGEAbgBlACAAOgAgAGsAZwAvAG0AMwBcAG4ALQAtAC0ALQAtAC0ALQAtAC0ALQAtAC0ALQAtAC0ALQAtAC0ALQAtAC0ALQAtAC0ALQAtAC0ALQAtAC0ALQAtAC0ALQAtAC0ALQAtAFwAbgAqAC8AXABuAFwAbgBWAEUARQBSAEcAXwA0AF8AMQBfADEAXwAxAF8AXwAyAF8AUwB0AGEAZwBlADEATQBlAHQAaABhAG4AZQBQAHIAbwBkAHUAYwB0AGkAbwBuAEQAcgB5AGwAbwB0AFwAbgAgACAAPQBMAEEATQBCAEQAQQAoAFwAbgAgACAAIAAgAFYAUwBfAGoALAAgAEIATwAsACAATQBNAFMAXwBtADUAVAAxACwAIABNAEMARgBfAGkAbQA1ACwAIAByAGgAbwAsAFwAbgAgACAAIAAgAEwARQBUACgAXABuACAAIAAgACAAIAAgAE0AQwBGAF8AaQBtADUALAAgAEkARgAoAEkAUwBOAFUATQBCAEUAUgAoAE0AQwBGAF8AaQBtADUAKQAsACAATQBDAEYAXwBpAG0ANQAsACAAMAApACwAXABuACAAIAAgACAAIAAgAFYAUwBfAGoAIAAqACAAQgBPACAAKgAgAE0ATQBTAF8AbQA1AFQAMQAgACoAIABNAEMARgBfAGkAbQA1ACAAKgAgAHIAaABvAFwAbgAgACAAIAAgACkAXABuACAAIAApADsAXABuAFwAbgBWAEUARQBSAEcAXwA0AF8AMQBfADEAXwAxAF8AXwAyAF8AUwB0AGEAZwBlADEATQBlAHQAaABhAG4AZQBQAHIAbwBkAHUAYwB0AGkAbwBuAEQAcgB5AGwAbwB0AF8AVABpAHQAbABlAFwAbgAgACAAPQBMAEEATQBCAEQAQQAoAFwAIgBQAHIAbwBkAHUAYwB0AGkAbwBuACAAbwBmACAAbQBlAHQAaABhAG4AZQAgAGkAbgAgAHQAcgBlAGEAdABtAGUAbgB0ACAAcwB0AGEAZwBlACAAMQAgAE0ATQBTAFwAIgApADsAXABuAFwAbgBWAEUARQBSAEcAXwA0AF8AMQBfADEAXwAxAF8AXwAyAF8AUwB0AGEAZwBlADEATQBlAHQAaABhAG4AZQBQAHIAbwBkAHUAYwB0AGkAbwBuAEQAcgB5AGwAbwB0AF8AVgBhAHIAaQBhAGIAbABlAFwAbgAgACAAPQBMAEEATQBCAEQAQQAoAFwAIgBNAF8AagBtADUAVAAxAFwAIgApADsAXABuAFwAbgBWAEUARQBSAEcAXwA0AF8AMQBfADEAXwAxAF8AXwAyAF8AUwB0AGEAZwBlADEATQBlAHQAaABhAG4AZQBQAHIAbwBkAHUAYwB0AGkAbwBuAEQAcgB5AGwAbwB0AF8AVQBuAGkAdABcAG4AIAAgAD0ATABBAE0AQgBEAEEAKABcACIAawBnACAAQwBIADQALwBoAGUAYQBkAC8AZABhAHkAXAAiACkAOwBcAG4AXABuAFYARQBFAFIARwBfADQAXwAxAF8AMQBfADEAXwBfADIAXwBTAHQAYQBnAGUAMQBNAGUAdABoAGEAbgBlAFAAcgBvAGQAdQBjAHQAaQBvAG4ARAByAHkAbABvAHQAXwBTAG8AdQByAGMAZQBcAG4AIAAgAD0ATABBAE0AQgBEAEEAKABcACIAVgBFAEUAUgBHACAAMgAwADIANgA6ACAANAAuADEALgAxAC4AMQAsACAARQBxAHUAYQB0AGkAbwBuACAAKAAyACkAXAAiACkAOwBcAG4AXABuAFYARQBFAFIARwBfADQAXwAxAF8AMQBfADEAXwBfADIAXwBTAHQAYQBnAGUAMQBNAGUAdABoAGEAbgBlAFAAcgBvAGQAdQBjAHQAaQBvAG4ARAByAHkAbABvAHQAXwBOAEkAUgBSAGUAZgBlAHIAZQBuAGMAZQBcAG4AIAAgAD0ATABBAE0AQgBEAEEAKABcACIAXAAiACkAOwBcAG4AXABuAFYARQBFAFIARwBfADQAXwAxAF8AMQBfADEAXwBfADIAXwBTAHQAYQBnAGUAMQBNAGUAdABoAGEAbgBlAFAAcgBvAGQAdQBjAHQAaQBvAG4ARAByAHkAbABvAHQAXwBMAGEAdABlAHgARQBxAHUAYQB0AGkAbwBuAFwAbgAgACAAPQBMAEEATQBCAEQAQQAoAFwAIgBNAF8AewBqAG0APQA1ACwAVAA9ADEAfQA9AFYAUwBfAHsAagB9AFwAXAB0AGkAbQBlAHMAIABCAE8AXABcAHQAaQBtAGUAcwAgAE0ATQBTAF8AewBtAD0ANQAsAFQAPQAxAH0AXABcAHQAaQBtAGUAcwAgAE0AQwBGAF8AewBpAG0APQA1AH0AXABcAHQAaQBtAGUAcwAgAFwAXAByAGgAbwBcACIAKQA7AFwAbgBcAG4AVgBFAEUAUgBHAF8ANABfADEAXwAxAF8AMQBfAF8AMgBfAFMAdABhAGcAZQAxAE0AZQB0AGgAYQBuAGUAUAByAG8AZAB1AGMAdABpAG8AbgBEAHIAeQBsAG8AdABfAEEAcgBnAHUAbQBlAG4AdABzAFwAbgAgACAAPQBMAEEATQBCAEQAQQAoAFwAbgAgACAAIAAgAE0AQQBLAEUAQQBSAFIAQQBZACgANgAsACAAMgAsAFwAbgAgACAAIAAgACAAIABMAEEATQBCAEQAQQAoAHIALABjACwAXABuACAAIAAgACAAIAAgACAAIABJAE4ARABFAFgAKAB7AFwAbgAgACAAIAAgACAAIAAgACAAIAAgAFwAIgBWAFMAXwBqAFwAIgAsAFwAIgB2AG8AbABhAHQAaQBsAGUAIABzAG8AbABpAGQAIABwAHIAbwBkAHUAYwB0AGkAbwBuACAAZgByAG8AbQAgAGYAZQBlAGQAbABvAHQAIABjAGEAdAB0AGwAZQAgAGkAbgAgAGUAYQBjAGgAIABnAHIAbwB1AHAAIAA6ACAAawBnAC8AaABlAGEAZAAvAGQAYQB5AFwAIgA7AFwAbgAgACAAIAAgACAAIAAgACAAIAAgAFwAIgBCAE8AXAAiACwAXAAiAGUAbQBpAHMAcwBpAG8AbgBzACAAcABvAHQAZQBuAHQAaQBhAGwAIAA6ACAAbQAzACAAQwBIADQALwBrAGcAIABWAFMAXAAiADsAXABuACAAIAAgACAAIAAgACAAIAAgACAAXAAiAE0ATQBTAF8AbQA1AFQAMQBcACIALABcACIAZgByAGEAYwB0AGkAbwBuACAAbwBmACAAbQBhAG4AdQByAGUAIABpAG4AIABwAHIAaQBtAGEAcgB5ACAAcwB5AHMAdABlAG0AIABkAHIAeQBsAG8AdAAgAE0ATQBTACAAOgAgAGYAcgBhAGMAdABpAG8AbgBcACIAOwBcAG4AIAAgACAAIAAgACAAIAAgACAAIABcACIATQBDAEYAXwBpAG0ANQBcACIALABcACIAbQBlAHQAaABhAG4AZQAgAGMAbwBuAHYAZQByAHMAaQBvAG4AIABmAGEAYwB0AG8AcgAgAGYAbwByACAAdABlAG0AcABlAHIAYQB0AHUAcgBlACAAegBvAG4AZQAgAGEAbgBkACAAZAByAHkAbABvAHQAIABzAHkAcwB0AGUAbQAgADoAIABmAHIAYQBjAHQAaQBvAG4AXAAiADsAXABuACAAIAAgACAAIAAgACAAIAAgACAAXAAiAHIAaABvAFwAIgAsAFwAIgBkAGUAbgBzAGkAdAB5ACAAbwBmACAAbQBlAHQAaABhAG4AZQAgADoAIABrAGcALwBtADMAXAAiADsAXABuACAAIAAgACAAIAAgACAAIAAgACAAXAAiAGkAXAAiACwAIABcACIAcwB0AGEAdABl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MAXwBTAHQAYQBnAGUAMgBNAGUAdABoAGEAbgBlAFAAcgBvAGQAdQBjAHQAaQBvAG4AXABuAFAAcgBvAGQAdQBjAHQAaQBvAG4AIABvAGYAIABtAGUAdABoAGEAbgBlACAAaQBuACAAdAByAGUAYQB0AG0AZQBuAHQAIABzAHQAYQBnAGUAIAAyACAATQBNAFMAXABuAE0AXwBqAG0AVAAyAFwAbgBrAGcAIABDAEgANAAvAGgAZQBhAGQALwBkAGEAeQBcAG4ATQBfAHsAagBtAFQAPQAyAH0APQAoADEALQBWAFMATAApAFwAXAB0AGkAbQBlAHMAIABWAFMAXwB7AGoAfQBcAFwAdABpAG0AZQBzACAAQgBPAFwAXAB0AGkAbQBlAHMAIABNAE0AUwBfAHsAbQBUAD0AMgB9AFwAXAB0AGkAbQBlAHMAIABNAEMARgBfAHsAaQBtAH0AXABcAHQAaQBtAGUAcwAgAFwAXAByAGgAbwBcAG4AVgBTAEwAIAA9ACAAZgByAGEAYwB0AGkAbwBuACAAbwBmACAAdgBvAGwAYQB0AGkAbABlACAAcwBvAGwAaQBkAHMAIABsAG8AcwB0ACAAZAB1AHIAaQBuAGcAIABzAHQAbwByAGEAZwBlACAAaQBuACAAdABoAGUAIABwAHIAaQBtAGEAcgB5ACAAcwB5AHMAdABlAG0AIAA6ACAAZgByAGEAYwB0AGkAbwBu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VAAyACAAPQAgAGYAcgBhAGMAdABpAG8AbgAgAG8AZgAgAG0AYQBuAHUAcgBlACAAaQBuACAAZQBhAGMAaAAgAHMAZQBjAG8AbgBkAGEAcgB5ACAAcwB5AHMAdABlAG0AIAA6ACAAZgByAGEAYwB0AGkAbwBuAFwAbgBNAEMARgBfAGkAbQAgAD0AIABtAGUAdABoAGEAbgBlACAAYwBvAG4AdgBlAHIAcwBpAG8AbgAgAGYAYQBjAHQAbwByACAAZgBvAHIAIAB0AGUAbQBwAGUAcgBhAHQAdQByAGUAIAB6AG8Ab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MQBfADEAXwAxAF8AXwAzAF8AUwB0AGEAZwBlADIATQBlAHQAaABhAG4AZQBQAHIAbwBkAHUAYwB0AGkAbwBuAFwAbgAgACAAPQBMAEEATQBCAEQAQQAoAFwAbgAgACAAIAAgAFYAUwBMACwAIABWAFMAXwBqACwAIABCAE8ALAAgAE0ATQBTAF8AbQBUADIALAAgAE0AQwBGAF8AaQBtACwAIAByAGgAbwAsAFwAbgAgACAAIAAgACgAMQAgAC0AIABWAFMATAApACAAKgAgAFYAUwBfAGoAIAAqACAAQgBPACAAKgAgAE0ATQBTAF8AbQBUADIAIAAqACAATQBDAEYAXwBpAG0AIAAqACAAcgBoAG8AXABuACAAIAApADsAXABuAFwAbgBWAEUARQBSAEcAXwA0AF8AMQBfADEAXwAxAF8AXwAzAF8AUwB0AGEAZwBlADIATQBlAHQAaABhAG4AZQBQAHIAbwBkAHUAYwB0AGkAbwBuAF8AVABpAHQAbABlAFwAbgAgACAAPQBMAEEATQBCAEQAQQAoAFwAIgBQAHIAbwBkAHUAYwB0AGkAbwBuACAAbwBmACAAbQBlAHQAaABhAG4AZQAgAGkAbgAgAHQAcgBlAGEAdABtAGUAbgB0ACAAcwB0AGEAZwBlACAAMgAgAE0ATQBTAFwAIgApADsAXABuAFwAbgBWAEUARQBSAEcAXwA0AF8AMQBfADEAXwAxAF8AXwAzAF8AUwB0AGEAZwBlADIATQBlAHQAaABhAG4AZQBQAHIAbwBkAHUAYwB0AGkAbwBuAF8AVgBhAHIAaQBhAGIAbABlAFwAbgAgACAAPQBMAEEATQBCAEQAQQAoAFwAIgBNAF8AagBtAFQAMgBcACIAKQA7AFwAbgBcAG4AVgBFAEUAUgBHAF8ANABfADEAXwAxAF8AMQBfAF8AMwBfAFMAdABhAGcAZQAyAE0AZQB0AGgAYQBuAGUAUAByAG8AZAB1AGMAdABpAG8AbgBfAFUAbgBpAHQAXABuACAAIAA9AEwAQQBNAEIARABBACgAXAAiAGsAZwAgAEMASAA0AC8AaABlAGEAZAAvAGQAYQB5AFwAIgApADsAXABuAFwAbgBWAEUARQBSAEcAXwA0AF8AMQBfADEAXwAxAF8AXwAzAF8AUwB0AGEAZwBlADIATQBlAHQAaABhAG4AZQBQAHIAbwBkAHUAYwB0AGkAbwBuAF8AUwBvAHUAcgBjAGUAXABuACAAIAA9AEwAQQBNAEIARABBACgAXAAiAFYARQBFAFIARwAgADIAMAAyADYAOgAgADQALgAxAC4AMQAuADEALAAgAEUAcQB1AGEAdABpAG8AbgAgACgAMwApAFwAIgApADsAXABuAFwAbgBWAEUARQBSAEcAXwA0AF8AMQBfADEAXwAxAF8AXwAzAF8AUwB0AGEAZwBlADIATQBlAHQAaABhAG4AZQBQAHIAbwBkAHUAYwB0AGkAbwBuAF8ATgBJAFIAUgBlAGYAZQByAGUAbgBjAGUAXABuACAAIAA9AEwAQQBNAEIARABBACgAXAAiAFwAIgApADsAXABuAFwAbgBWAEUARQBSAEcAXwA0AF8AMQBfADEAXwAxAF8AXwAzAF8AUwB0AGEAZwBlADIATQBlAHQAaABhAG4AZQBQAHIAbwBkAHUAYwB0AGkAbwBuAF8ATABhAHQAZQB4AEUAcQB1AGEAdABpAG8AbgBcAG4AIAAgAD0ATABBAE0AQgBEAEEAKABcACIATQBfAHsAagBtAFQAPQAyAH0APQAoADEALQBWAFMATAApAFwAXAB0AGkAbQBlAHMAIABWAFMAXwB7AGoAfQBcAFwAdABpAG0AZQBzACAAQgBPAFwAXAB0AGkAbQBlAHMAIABNAE0AUwBfAHsAbQBUAD0AMgB9AFwAXAB0AGkAbQBlAHMAIABNAEMARgBfAHsAaQBtAH0AXABcAHQAaQBtAGUAcwAgAFwAXAByAGgAbwBcACIAKQA7AFwAbgBcAG4AVgBFAEUAUgBHAF8ANABfADEAXwAxAF8AMQBfAF8AMwBfAFMAdABhAGcAZQAyAE0AZQB0AGgAYQBuAGUAUAByAG8AZAB1AGMAdABpAG8AbgBfAEEAcgBnAHUAbQBlAG4AdABzAFwAbgAgACAAPQBMAEEATQBCAEQAQQAoAFwAbgAgACAAIAAgAE0AQQBLAEUAQQBSAFIAQQBZACgANwAsACAAMgAsAFwAbgAgACAAIAAgACAAIABMAEEATQBCAEQAQQAoAHIALABjACwAXABuACAAIAAgACAAIAAgACAAIABJAE4ARABFAFgAKAB7AFwAbgAgACAAIAAgACAAIAAgACAAIAAgAFwAIgBWAFMATABcACIALABcACIAZgByAGEAYwB0AGkAbwBuACAAbwBmACAAdgBvAGwAYQB0AGkAbABlACAAcwBvAGwAaQBkAHMAIABsAG8AcwB0ACAAZAB1AHIAaQBuAGcAIABzAHQAbwByAGEAZwBlACAAaQBuACAAdABoAGUAIABwAHIAaQBtAGEAcgB5ACAAcwB5AHMAdABlAG0AIAA6ACAAZgByAGEAYwB0AGkAbwBuAFwAIgA7AFwAbgAgACAAIAAgACAAIAAgACAAIAAgAFwAIgBWAFMAXwBqAFwAIgAsAFwAIgB2AG8AbABhAHQAaQBsAGUAIABzAG8AbABpAGQAIABwAHIAbwBkAHUAYwB0AGkAbwBuACAAZgByAG8AbQAgAGYAZQBlAGQAbABvAHQAIABjAGEAdAB0AGwAZQAgAGkAbgAgAGUAYQBjAGgAIABnAHIAbwB1AHAAIAA6ACAAawBnAC8AaABlAGEAZAAvAGQAYQB5AFwAIgA7AFwAbgAgACAAIAAgACAAIAAgACAAIAAgAFwAIgBCAE8AXAAiACwAXAAiAGUAbQBpAHMAcwBpAG8AbgBzACAAcABvAHQAZQBuAHQAaQBhAGwAIAA6ACAAbQAzACAAQwBIADQALwBrAGcAIABWAFMAXAAiADsAXABuACAAIAAgACAAIAAgACAAIAAgACAAXAAiAE0ATQBTAF8AbQBUADIAXAAiACwAXAAiAGYAcgBhAGMAdABpAG8AbgAgAG8AZgAgAG0AYQBuAHUAcgBlACAAaQBuACAAZQBhAGMAaAAgAHMAZQBjAG8AbgBkAGEAcgB5ACAAcwB5AHMAdABlAG0AIAA6ACAAZgByAGEAYwB0AGkAbwBuAFwAIgA7AFwAbgAgACAAIAAgACAAIAAgACAAIAAgAFwAIgBNAEMARgBfAGkAbQBcACIALABcACIAbQBlAHQAaABhAG4AZQAgAGMAbwBuAHYAZQByAHMAaQBvAG4AIABmAGEAYwB0AG8AcgAgAGYAbwByACAAdABlAG0AcABlAHIAYQB0AHUAcgBlACAAegBvAG4AZQAgAGEAbgBkACAATQBNAFMAIAA6ACAAZgByAGEAYwB0AGkAbwBuAFwAIgA7AFwAbgAgACAAIAAgACAAIAAgACAAIAAgAFwAIgByAGgAbwBcACIALABcACIAZABlAG4AcwBpAHQAeQAgAG8AZgAgAG0AZQB0AGgAYQBuAGUAIAA6ACAAawBnAC8AbQAzAFwAIgA7AFwAbgAgACAAIAAgACAAIAAgACAAIAAgAFwAIgBpAFwAIgAsACAAXAAiAHMAdABhAHQAZQ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0AF8AUwB0AGEAZwBlADMATQBlAHQAaABhAG4AZQBQAHIAbwBkAHUAYwB0AGkAbwBuAEEAbgBhAGUAcgBvAGIAaQBjAEwAYQBnAG8AbwBuAFwAbgBQAHIAbwBkAHUAYwB0AGkAbwBuACAAbwBmACAAbQBlAHQAaABhAG4AZQAgAGkAbgAgAHQAcgBlAGEAdABtAGUAbgB0ACAAcwB0AGEAZwBlACAAMwAgAE0ATQBTAFwAbgBNAF8AagBtADEAVAAzAFwAbgBrAGcAIABDAEgANAAvAGgAZQBhAGQALwBkAGEAeQBcAG4ATQBfAHsAagBtAD0AMQAsAFQAPQAzAH0APQBWAFMAXwB7AGoAfQBcAFwAdABpAG0AZQBzACAAQgBPAFwAXAB0AGkAbQBlAHMAIABNAE0AUwBfAHsAbQA9ADEALABUAD0AMwB9AFwAXAB0AGkAbQBlAHMAIABNAEMARgBfAHsAaQBtAD0AMQB9AFwAXAB0AGkAbQBlAHMAIABcAFwAcgBoAG8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AxAFQAMwAgAD0AIABmAHIAYQBjAHQAaQBvAG4AIABvAGYAIABtAGEAbgB1AHIAZQAgAHQAbwAgAHQAZQByAHQAaQBhAHIAeQAgAGEAbgBhAGUAcgBvAGIAaQBjACAAbABhAGcAbwBvAG4AIABzAHkAcwB0AGUAbQAgADoAIABmAHIAYQBjAHQAaQBvAG4AXABuAE0AQwBGAF8AaQBtADEAIAA9ACAAbQBlAHQAaABhAG4AZQAgAGMAbwBuAHYAZQByAHMAaQBvAG4AIABmAGEAYwB0AG8AcgAgAGYAbwByACAAdABlAG0AcABlAHIAYQB0AHUAcgBlACAAegBvAG4AZQAgAGEAbgBkACAAYQBuAGEAZQByAG8AYgBpAGMAIABsAGEAZwBvAG8Abg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QAXwBTAHQAYQBnAGUAMwBNAGUAdABoAGEAbgBlAFAAcgBvAGQAdQBjAHQAaQBvAG4AQQBuAGEAZQByAG8AYgBpAGMATABhAGcAbwBvAG4AXABuACAAIAA9AEwAQQBNAEIARABBACgAXABuACAAIAAgACAAVgBTAF8AagAsACAAQgBPACwAIABNAE0AUwBfAG0AMQBUADMALAAgAE0AQwBGAF8AaQBtADEALAAgAHIAaABvACwAXABuACAAIAAgACAAVgBTAF8AagAgACoAIABCAE8AIAAqACAATQBNAFMAXwBtADEAVAAzACAAKgAgAE0AQwBGAF8AaQBtADEAIAAqACAAcgBoAG8AXABuACAAIAApADsAXABuAFwAbgBWAEUARQBSAEcAXwA0AF8AMQBfADEAXwAxAF8AXwA0AF8AUwB0AGEAZwBlADMATQBlAHQAaABhAG4AZQBQAHIAbwBkAHUAYwB0AGkAbwBuAEEAbgBhAGUAcgBvAGIAaQBjAEwAYQBnAG8AbwBuAF8AVABpAHQAbABlAFwAbgAgACAAPQBMAEEATQBCAEQAQQAoAFwAIgBQAHIAbwBkAHUAYwB0AGkAbwBuACAAbwBmACAAbQBlAHQAaABhAG4AZQAgAGkAbgAgAHQAcgBlAGEAdABtAGUAbgB0ACAAcwB0AGEAZwBlACAAMwAgAE0ATQBTAFwAIgApADsAXABuAFwAbgBWAEUARQBSAEcAXwA0AF8AMQBfADEAXwAxAF8AXwA0AF8AUwB0AGEAZwBlADMATQBlAHQAaABhAG4AZQBQAHIAbwBkAHUAYwB0AGkAbwBuAEEAbgBhAGUAcgBvAGIAaQBjAEwAYQBnAG8AbwBuAF8AVgBhAHIAaQBhAGIAbABlAFwAbgAgACAAPQBMAEEATQBCAEQAQQAoAFwAIgBNAF8AagBtADEAVAAzAFwAIgApADsAXABuAFwAbgBWAEUARQBSAEcAXwA0AF8AMQBfADEAXwAxAF8AXwA0AF8AUwB0AGEAZwBlADMATQBlAHQAaABhAG4AZQBQAHIAbwBkAHUAYwB0AGkAbwBuAEEAbgBhAGUAcgBvAGIAaQBjAEwAYQBnAG8AbwBuAF8AVQBuAGkAdABcAG4AIAAgAD0ATABBAE0AQgBEAEEAKABcACIAawBnACAAQwBIADQALwBoAGUAYQBkAC8AZABhAHkAXAAiACkAOwBcAG4AXABuAFYARQBFAFIARwBfADQAXwAxAF8AMQBfADEAXwBfADQAXwBTAHQAYQBnAGUAMwBNAGUAdABoAGEAbgBlAFAAcgBvAGQAdQBjAHQAaQBvAG4AQQBuAGEAZQByAG8AYgBpAGMATABhAGcAbwBvAG4AXwBTAG8AdQByAGMAZQBcAG4AIAAgAD0ATABBAE0AQgBEAEEAKABcACIAVgBFAEUAUgBHACAAMgAwADIANgA6ACAANAAuADEALgAxAC4AMQAsACAARQBxAHUAYQB0AGkAbwBuACAAKAA0ACkAXAAiACkAOwBcAG4AXABuAFYARQBFAFIARwBfADQAXwAxAF8AMQBfADEAXwBfADQAXwBTAHQAYQBnAGUAMwBNAGUAdABoAGEAbgBlAFAAcgBvAGQAdQBjAHQAaQBvAG4AQQBuAGEAZQByAG8AYgBpAGMATABhAGcAbwBvAG4AXwBOAEkAUgBSAGUAZgBlAHIAZQBuAGMAZQBcAG4AIAAgAD0ATABBAE0AQgBEAEEAKABcACIAXAAiACkAOwBcAG4AXABuAFYARQBFAFIARwBfADQAXwAxAF8AMQBfADEAXwBfADQAXwBTAHQAYQBnAGUAMwBNAGUAdABoAGEAbgBlAFAAcgBvAGQAdQBjAHQAaQBvAG4AQQBuAGEAZQByAG8AYgBpAGMATABhAGcAbwBvAG4AXwBMAGEAdABlAHgARQBxAHUAYQB0AGkAbwBuAFwAbgAgACAAPQBMAEEATQBCAEQAQQAoAFwAIgBNAF8AewBqAG0APQAxACwAVAA9ADMAfQA9AFYAUwBfAHsAagB9AFwAXAB0AGkAbQBlAHMAIABCAE8AXABcAHQAaQBtAGUAcwAgAE0ATQBTAF8AewBtAD0AMQAsAFQAPQAzAH0AXABcAHQAaQBtAGUAcwAgAE0AQwBGAF8AewBpAG0APQAxAH0AXABcAHQAaQBtAGUAcwAgAFwAXAByAGgAbwBcACIAKQA7AFwAbgBcAG4AVgBFAEUAUgBHAF8ANABfADEAXwAxAF8AMQBfAF8ANABfAFMAdABhAGcAZQAzAE0AZQB0AGgAYQBuAGUAUAByAG8AZAB1AGMAdABpAG8AbgBBAG4AYQBlAHIAbwBiAGkAYwBMAGEAZwBvAG8AbgBfAEEAcgBnAHUAbQBlAG4AdABzAFwAbgAgACAAPQBMAEEATQBCAEQAQQAoAFwAbgAgACAAIAAgAE0AQQBLAEUAQQBSAFIAQQBZACgANgAsACAAMgAsAFwAbgAgACAAIAAgACAAIABMAEEATQBCAEQAQQAoAHIALABjACwAXABuACAAIAAgACAAIAAgACAAIABJAE4ARABFAFgAKAB7AFwAbgAgACAAIAAgACAAIAAgACAAIAAgAFwAIgBWAFMAXwBqAFwAIgAsAFwAIgB2AG8AbABhAHQAaQBsAGUAIABzAG8AbABpAGQAIABwAHIAbwBkAHUAYwB0AGkAbwBuACAAZgByAG8AbQAgAGYAZQBlAGQAbABvAHQAIABjAGEAdAB0AGwAZQAgAGkAbgAgAGUAYQBjAGgAIABnAHIAbwB1AHAAIABqACAAOgAgAGsAZwAvAGgAZQBhAGQALwBkAGEAeQBcACIAOwBcAG4AIAAgACAAIAAgACAAIAAgACAAIABcACIAQgBPAFwAIgAsAFwAIgBlAG0AaQBzAHMAaQBvAG4AcwAgAHAAbwB0AGUAbgB0AGkAYQBsACAAOgAgAG0AMwAgAEMASAA0AC8AawBnACAAVgBTAFwAIgA7AFwAbgAgACAAIAAgACAAIAAgACAAIAAgAFwAIgBNAE0AUwBfAG0AMQBUADMAXAAiACwAXAAiAGYAcgBhAGMAdABpAG8AbgAgAG8AZgAgAG0AYQBuAHUAcgBlACAAdABvACAAdABlAHIAdABpAGEAcgB5ACAAYQBuAGEAZQByAG8AYgBpAGMAIABsAGEAZwBvAG8AbgAgAHMAeQBzAHQAZQBtACAAOgAgAGYAcgBhAGMAdABpAG8AbgBcACIAOwBcAG4AIAAgACAAIAAgACAAIAAgACAAIABcACIATQBDAEYAXwBpAG0AMQBcACIALABcACIAbQBlAHQAaABhAG4AZQAgAGMAbwBuAHYAZQByAHMAaQBvAG4AIABmAGEAYwB0AG8AcgAgAGYAbwByACAAdABlAG0AcABlAHIAYQB0AHUAcgBlACAAegBvAG4AZQAgAGEAbgBkACAAYQBuAGEAZQByAG8AYgBpAGMAIABsAGEAZwBvAG8AbgAgAHMAeQBzAHQAZQBtACAAOgAgAGYAcgBhAGMAdABpAG8AbgBcACIAOwBcAG4AIAAgACAAIAAgACAAIAAgACAAIABcACIAcgBoAG8AXAAiACwAXAAiAGQAZQBuAHMAaQB0AHkAIABvAGYAIABtAGUAdABoAGEAbgBlACAAOgAgAGsAZwAvAG0AMwBcACIAOwBcAG4AIAAgACAAIAAgACAAIAAgACAAIABcACIAaQBcACIALAAgAFwAIgBzAHQAYQB0AGU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NQBfAFYAbwBsAGEAdABpAGwAZQBTAG8AbABpAGQAUAByAG8AZAB1AGMAdABpAG8AbgBcAG4AVgBvAGwAYQB0AGkAbABlACAAcwBvAGwAaQBkACAAcAByAG8AZAB1AGMAdABpAG8AbgBcAG4AVgBTAF8AagBcAG4AawBnAC8AaABlAGEAZAAvAGQAYQB5AFwAbgBWAFMAXwB7AGoAfQA9AEkAXwB7AGoAfQBcAFwAdABpAG0AZQBzACgAMQAtAEQATQBEAF8AewBqAH0AKQBcAFwAdABpAG0AZQBzACgAMQAtAEEAKQBcAG4ASQBfAGoAIAA9ACAAZAByAHkAIABtAGEAdAB0AGUAcgAgAGkAbgB0AGEAawBlACAAZgBvAHIAIABlAGEAYwBoACAAZwByAG8AdQBwACAAOgAgAGsAZwAgAEQATQAvAGgAZQBhAGQALwBkAGEAeQBcAG4ARABNAEQAXwBqACAAPQAgAGQAcgB5ACAAbQBhAHQAdABlAHIAIABkAGkAZwBlAHMAdABpAGIAaQBsAGkAdAB5ACAAZgBvAHIAIABlAGEAYwBoACAAZwByAG8AdQBwACAAOgAgAGYAcgBhAGMAdABpAG8AbgBcAG4AQQAgAD0AIABhAHMAaAAgAGMAbwBuAHQAZQBuAHQAIABvAGYAIABtAGEAbgB1AHIAZQAgADoAIABmAHIAYQBjAHQAaQBvAG4AXABuAC0ALQAtAC0ALQAtAC0ALQAtAC0ALQAtAC0ALQAtAC0ALQAtAC0ALQAtAC0ALQAtAC0ALQAtAC0ALQAtAC0ALQAtAC0ALQAtAC0ALQBcAG4AKgAvAFwAbgBcAG4AVgBFAEUAUgBHAF8ANABfADEAXwAxAF8AMQBfAF8ANQBfAFYAbwBsAGEAdABpAGwAZQBTAG8AbABpAGQAUAByAG8AZAB1AGMAdABpAG8AbgBcAG4AIAAgAD0ATABBAE0AQgBEAEEAKABcAG4AIAAgACAAIABJAF8AagAsACAARABNAEQAXwBqACwAIABBACwAXABuACAAIAAgACAASQBfAGoAIAAqACAAKAAxACAALQAgAEQATQBEAF8AagApACAAKgAgACgAMQAgAC0AIABBACkAXABuACAAIAApADsAXABuAFwAbgBWAEUARQBSAEcAXwA0AF8AMQBfADEAXwAxAF8AXwA1AF8AVgBvAGwAYQB0AGkAbABlAFMAbwBsAGkAZABQAHIAbwBkAHUAYwB0AGkAbwBuAF8AVABpAHQAbABlAFwAbgAgACAAPQBMAEEATQBCAEQAQQAoAFwAIgBWAG8AbABhAHQAaQBsAGUAIABzAG8AbABpAGQAIABwAHIAbwBkAHUAYwB0AGkAbwBuAFwAIgApADsAXABuAFwAbgBWAEUARQBSAEcAXwA0AF8AMQBfADEAXwAxAF8AXwA1AF8AVgBvAGwAYQB0AGkAbABlAFMAbwBsAGkAZABQAHIAbwBkAHUAYwB0AGkAbwBuAF8AVgBhAHIAaQBhAGIAbABlAFwAbgAgACAAPQBMAEEATQBCAEQAQQAoAFwAIgBWAFMAXwBqAFwAIgApADsAXABuAFwAbgBWAEUARQBSAEcAXwA0AF8AMQBfADEAXwAxAF8AXwA1AF8AVgBvAGwAYQB0AGkAbABlAFMAbwBsAGkAZABQAHIAbwBkAHUAYwB0AGkAbwBuAF8AVQBuAGkAdABcAG4AIAAgAD0ATABBAE0AQgBEAEEAKABcACIAawBnAC8AaABlAGEAZAAvAGQAYQB5AFwAIgApADsAXABuAFwAbgBWAEUARQBSAEcAXwA0AF8AMQBfADEAXwAxAF8AXwA1AF8AVgBvAGwAYQB0AGkAbABlAFMAbwBsAGkAZABQAHIAbwBkAHUAYwB0AGkAbwBuAF8AUwBvAHUAcgBjAGUAXABuACAAIAA9AEwAQQBNAEIARABBACgAXAAiAFYARQBFAFIARwAgADIAMAAyADYAOgAgADQALgAxAC4AMQAuADEALAAgAEUAcQB1AGEAdABpAG8AbgAgACgANQApAFwAIgApADsAXABuAFwAbgBWAEUARQBSAEcAXwA0AF8AMQBfADEAXwAxAF8AXwA1AF8AVgBvAGwAYQB0AGkAbABlAFMAbwBsAGkAZABQAHIAbwBkAHUAYwB0AGkAbwBuAF8ATgBJAFIAUgBlAGYAZQByAGUAbgBjAGUAXABuACAAIAA9AEwAQQBNAEIARABBACgAXAAiAFwAIgApADsAXABuAFwAbgBWAEUARQBSAEcAXwA0AF8AMQBfADEAXwAxAF8AXwA1AF8AVgBvAGwAYQB0AGkAbABlAFMAbwBsAGkAZABQAHIAbwBkAHUAYwB0AGkAbwBuAF8ATABhAHQAZQB4AEUAcQB1AGEAdABpAG8AbgBcAG4AIAAgAD0ATABBAE0AQgBEAEEAKABcACIAVgBTAF8AewBqAH0APQBJAF8AewBqAH0AXABcAHQAaQBtAGUAcwAoADEALQBEAE0ARABfAHsAagB9ACkAXABcAHQAaQBtAGUAcwAoADEALQBBACkAXAAiACkAOwBcAG4AXABuAFYARQBFAFIARwBfADQAXwAxAF8AMQBfADEAXwBfADUAXwBWAG8AbABhAHQAaQBsAGUAUwBvAGwAaQBkAFAAcgBvAGQAdQBjAHQAaQBvAG4AXwBBAHIAZwB1AG0AZQBuAHQAcwBcAG4AIAAgAD0ATABBAE0AQgBEAEEAKABcAG4AIAAgACAAIABNAEEASwBFAEEAUgBSAEEAWQAoADMALAAgADIALABcAG4AIAAgACAAIAAgACAATABBAE0AQgBEAEEAKAByACwAYwAsAFwAbgAgACAAIAAgACAAIAAgACAASQBOAEQARQBYACgAewBcAG4AIAAgACAAIAAgACAAIAAgACAAIABcACIASQBfAGoAXAAiACwAXAAiAGQAcgB5ACAAbQBhAHQAdABlAHIAIABpAG4AdABhAGsAZQAgAGYAbwByACAAZQBhAGMAaAAgAGcAcgBvAHUAcAAgAGoAIAA6ACAAawBnACAARABNAC8AaABlAGEAZAAvAGQAYQB5AFwAIgA7AFwAbgAgACAAIAAgACAAIAAgACAAIAAgAFwAIgBEAE0ARABfAGoAXAAiACwAXAAiAGQAcgB5ACAAbQBhAHQAdABlAHIAIABkAGkAZwBlAHMAdABpAGIAaQBsAGkAdAB5ACAAZgBvAHIAIABlAGEAYwBoACAAZwByAG8AdQBwACAAagAgADoAIABmAHIAYQBjAHQAaQBvAG4AXAAiADsAXABuACAAIAAgACAAIAAgACAAIAAgACAAXAAiAEEAXAAiACwAXAAiAGEAcwBoACAAYwBvAG4AdABlAG4AdAAgAG8AZgAgAG0AYQBuAHUAcgBlACAAOgAgAGYAcgBhAGMAdABpAG8AbgBcACIAXABuACAAIAAgACAAIAAgACAAIAB9ACwAIAByACwAIABjACkAXABuACAAIAAgACAAIAAgACkAXABuACAAIAAgACAAKQBcAG4AIAAgACkAOwBcAG4AXABuAFwAbgBcAG4AXABuAFwAbg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EEAZwBTAG8AaQBsAHMAXwBFAHEAdQBhAHQAaQBvAG4AcwAuAEEAZwBTAG8AaQBsAHMAXwBBAHQAbQBvAHMAcABoAGUAcgBpAGMARABlAHAAbwBzAGkAdABpAG8AbgBfAEcAVwBQACIALAAiAEMAbwBtAG0AbwBuAEEAZwBTAG8AaQBsAHMAXwBFAHEAdQBhAHQAaQBvAG4AcwAuAEEAZwBTAG8AaQBsAHMAXwBBAHQAbQBvAHMAcABoAGUAcgBpAGMARABlAHAAbwBzAGkAdABpAG8AbgAiACwAIgBDAG8AbQBtAG8AbgBBAGcAUwBvAGkAbABzAF8ARQBxAHUAYQB0AGkAbwBuAHMALgBBAGcAUwBvAGkAbABzAF8AQQB0AG0AbwBzAHAAaABlAHIAaQBjAEQAZQBwAG8AcwBpAHQAaQBvAG4AXwBUAGkAdABsAGUAIgAsACIAQwBvAG0AbQBvAG4AQQBnAFMAbwBpAGwAcwBfAEUAcQB1AGEAdABpAG8AbgBzAC4AQQBnAFMAbwBpAGwAcwBfAEEAdABtAG8AcwBwAGgAZQByAGkAYwBEAGUAcABvAHMAaQB0AGkAbwBuAF8AVgBhAHIAaQBhAGIAbABlACIALAAiAEMAbwBtAG0AbwBuAEEAZwBTAG8AaQBsAHMAXwBFAHEAdQBhAHQAaQBvAG4AcwAuAEEAZwBTAG8AaQBsAHMAXwBBAHQAbQBvAHMAcABoAGUAcgBpAGMARABlAHAAbwBzAGkAdABpAG8AbgBfAFUAbgBpAHQAIgAsACIAQwBvAG0AbQBvAG4AQQBnAFMAbwBpAGwAcwBfAEUAcQB1AGEAdABpAG8AbgBzAC4AQQBnAFMAbwBpAGwAcwBfAEEAdABtAG8AcwBwAGgAZQByAGkAYwBEAGUAcABvAHMAaQB0AGkAbwBuAF8ATgBJAFIAUgBlAGYAZQByAGUAbgBjAGUAIgAsACIAQwBvAG0AbQBvAG4AQQBnAFMAbwBpAGwAcwBfAEUAcQB1AGEAdABpAG8AbgBzAC4AQQBnAFMAbwBpAGwAcwBfAEEAdABtAG8AcwBwAGgAZQByAGkAYwBEAGUAcABvAHMAaQB0AGkAbwBuAF8AUgBlAGEAZABhAGIAbABlAEUAcQB1AGEAdABpAG8AbgAiACwAIgBDAG8AbQBtAG8AbgBBAGcAUwBvAGkAbABzAF8ARQBxAHUAYQB0AGkAbwBuAHMALgBBAGcAUwBvAGkAbABzAF8AQQB0AG0AbwBzAHAAaABlAHIAaQBjAEQAZQBwAG8AcwBpAHQAaQBvAG4AXwBBAHIAZwB1AG0AZQBuAHQAcwAiACwAIgBDAG8AbQBtAG8AbgBBAGcAUwBvAGkAbABzAF8ARQBxAHUAYQB0AGkAbwBuAHMALgBBAGcAUwBvAGkAbABzAF8ATQBhAHMAcwBWAG8AbABhAHQAaQBsAGkAcwBlAGQAQQBuAGkAbQBhAGwAVwBhAHMAdABlACIALAAiAEMAbwBtAG0AbwBuAEEAZwBTAG8AaQBsAHMAXwBFAHEAdQBhAHQAaQBvAG4AcwAuAEEAZwBTAG8AaQBsAHMAXwBNAGEAcwBzAFYAbwBsAGEAdABpAGwAaQBzAGUAZABBAG4AaQBtAGEAbABXAGEAcwB0AGUAXwBUAGkAdABsAGUAIgAsACIAQwBvAG0AbQBvAG4AQQBnAFMAbwBpAGwAcwBfAEUAcQB1AGEAdABpAG8AbgBzAC4AQQBnAFMAbwBpAGwAcwBfAE0AYQBzAHMAVgBvAGwAYQB0AGkAbABpAHMAZQBkAEEAbgBpAG0AYQBsAFcAYQBzAHQAZQBfAFYAYQByAGkAYQBiAGwAZQAiACwAIgBDAG8AbQBtAG8AbgBBAGcAUwBvAGkAbABzAF8ARQBxAHUAYQB0AGkAbwBuAHMALgBBAGcAUwBvAGkAbABzAF8ATQBhAHMAcwBWAG8AbABhAHQAaQBsAGkAcwBlAGQAQQBuAGkAbQBhAGwAVwBhAHMAdABlAF8AVQBuAGkAdAAiACwAIgBDAG8AbQBtAG8AbgBBAGcAUwBvAGkAbABzAF8ARQBxAHUAYQB0AGkAbwBuAHMALgBBAGcAUwBvAGkAbABzAF8ATQBhAHMAcwBWAG8AbABhAHQAaQBsAGkAcwBlAGQAQQBuAGkAbQBhAGwAVwBhAHMAdABlAF8ATgBJAFIAUgBlAGYAZQByAGUAbgBjAGUAIgAsACIAQwBvAG0AbQBvAG4AQQBnAFMAbwBpAGwAcwBfAEUAcQB1AGEAdABpAG8AbgBzAC4AQQBnAFMAbwBpAGwAcwBfAE0AYQBzAHMAVgBvAGwAYQB0AGkAbABpAHMAZQBkAEEAbgBpAG0AYQBsAFcAYQBzAHQAZQBfAFIAZQBhAGQAYQBiAGwAZQBFAHEAdQBhAHQAaQBvAG4AIgAsACIAQwBvAG0AbQBvAG4AQQBnAFMAbwBpAGwAcwBfAEUAcQB1AGEAdABpAG8AbgBzAC4AQQBnAFMAbwBpAGwAcwBfAE0AYQBzAHMAVgBvAGwAYQB0AGkAbABpAHMAZQBkAEEAbgBpAG0AYQBsAFcAYQBzAHQAZQBfAEEAcgBnAHUAbQBlAG4AdABzACIALAAiAEMAbwBtAG0AbwBuAEEAZwBTAG8AaQBsAHMAXwBFAHEAdQBhAHQAaQBvAG4AcwAuAEEAZwBzAG8AaQBsAHMAXwBNAGEAcwBzAFYAbwBsAGEAdABpAGwAaQBzAGUAZABJAG4AbwByAGcAYQBuAGkAYwBGAGUAcgB0AGkAbABpAHMAZQByACIALAAiAEMAbwBtAG0AbwBuAEEAZwBTAG8AaQBsAHMAXwBFAHEAdQBhAHQAaQBvAG4AcwAuAEEAZwBzAG8AaQBsAHMAXwBNAGEAcwBzAFYAbwBsAGEAdABpAGwAaQBzAGUAZABJAG4AbwByAGcAYQBuAGkAYwBGAGUAcgB0AGkAbABpAHMAZQByAF8AVABpAHQAbABlACIALAAiAEMAbwBtAG0AbwBuAEEAZwBTAG8AaQBsAHMAXwBFAHEAdQBhAHQAaQBvAG4AcwAuAEEAZwBzAG8AaQBsAHMAXwBNAGEAcwBzAFYAbwBsAGEAdABpAGwAaQBzAGUAZABJAG4AbwByAGcAYQBuAGkAYwBGAGUAcgB0AGkAbABpAHMAZQByAF8AVgBhAHIAaQBhAGIAbABlACIALAAiAEMAbwBtAG0AbwBuAEEAZwBTAG8AaQBsAHMAXwBFAHEAdQBhAHQAaQBvAG4AcwAuAEEAZwBzAG8AaQBsAHMAXwBNAGEAcwBzAFYAbwBsAGEAdABpAGwAaQBzAGUAZABJAG4AbwByAGcAYQBuAGkAYwBGAGUAcgB0AGkAbABpAHMAZQByAF8AVQBuAGkAdAAiACwAIgBDAG8AbQBtAG8AbgBBAGcAUwBvAGkAbABzAF8ARQBxAHUAYQB0AGkAbwBuAHMALgBBAGcAcwBvAGkAbABzAF8ATQBhAHMAcwBWAG8AbABhAHQAaQBsAGkAcwBlAGQASQBuAG8AcgBnAGEAbgBpAGMARgBlAHIAdABpAGwAaQBzAGUAcgBfAE4ASQBSAFIAZQBmAGUAcgBlAG4AYwBlACIALAAiAEMAbwBtAG0AbwBuAEEAZwBTAG8AaQBsAHMAXwBFAHEAdQBhAHQAaQBvAG4AcwAuAEEAZwBzAG8AaQBsAHMAXwBNAGEAcwBzAFYAbwBsAGEAdABpAGwAaQBzAGUAZABJAG4AbwByAGcAYQBuAGkAYwBGAGUAcgB0AGkAbABpAHMAZQByAF8AUgBlAGEAZABhAGIAbABlAEUAcQB1AGEAdABpAG8AbgAiACwAIgBDAG8AbQBtAG8AbgBBAGcAUwBvAGkAbABzAF8ARQBxAHUAYQB0AGkAbwBuAHMALgBBAGcAcwBvAGkAbABzAF8ATQBhAHMAcwBWAG8AbABhAHQAaQBsAGkAcwBlAGQASQBuAG8AcgBnAGEAbgBpAGMARgBlAHIAdABpAGwAaQBzAGUAcgBfAEEAcgBnAHUAbQBlAG4AdABzACIALAAiAEMAbwBtAG0AbwBuAEEAZwBTAG8AaQBsAHMAXwBFAHEAdQBhAHQAaQBvAG4AcwAuAEEAZwBTAG8AaQBsAHMAXwBMAGUAYQBjAGgAaQBuAGcAQQBuAGQAUgB1AG4AbwBmAGYAXwBHAFcAUAAiACwAIgBDAG8AbQBtAG8AbgBBAGcAUwBvAGkAbABzAF8ARQBxAHUAYQB0AGkAbwBuAHMALgBBAGcAUwBvAGkAbABzAF8ATABlAGEAYwBoAGkAbgBnAEEAbgBkAFIAdQBuAG8AZgBmACIALAAiAEMAbwBtAG0AbwBuAEEAZwBTAG8AaQBsAHMAXwBFAHEAdQBhAHQAaQBvAG4AcwAuAEEAZwBTAG8AaQBsAHMAXwBMAGUAYQBjAGgAaQBuAGcAQQBuAGQAUgB1AG4AbwBmAGYAXwBUAGkAdABsAGUAIgAsACIAQwBvAG0AbQBvAG4AQQBnAFMAbwBpAGwAcwBfAEUAcQB1AGEAdABpAG8AbgBzAC4AQQBnAFMAbwBpAGwAcwBfAEwAZQBhAGMAaABpAG4AZwBBAG4AZABSAHUAbgBvAGYAZgBfAFYAYQByAGkAYQBiAGwAZQAiACwAIgBDAG8AbQBtAG8AbgBBAGcAUwBvAGkAbABzAF8ARQBxAHUAYQB0AGkAbwBuAHMALgBBAGcAUwBvAGkAbABzAF8ATABlAGEAYwBoAGkAbgBnAEEAbgBkAFIAdQBuAG8AZgBmAF8AVQBuAGkAdAAiACwAIgBDAG8AbQBtAG8AbgBBAGcAUwBvAGkAbABzAF8ARQBxAHUAYQB0AGkAbwBuAHMALgBBAGcAUwBvAGkAbABzAF8ATABlAGEAYwBoAGkAbgBnAEEAbgBkAFIAdQBuAG8AZgBmAF8ATgBJAFIAUgBlAGYAZQByAGUAbgBjAGUAIgAsACIAQwBvAG0AbQBvAG4AQQBnAFMAbwBpAGwAcwBfAEUAcQB1AGEAdABpAG8AbgBzAC4AQQBnAFMAbwBpAGwAcwBfAEwAZQBhAGMAaABpAG4AZwBBAG4AZABSAHUAbgBvAGYAZgBfAFIAZQBhAGQAYQBiAGwAZQBFAHEAdQBhAHQAaQBvAG4AIgAsACIAQwBvAG0AbQBvAG4AQQBnAFMAbwBpAGwAcwBfAEUAcQB1AGEAdABpAG8AbgBzAC4AQQBnAFMAbwBpAGwAcwBfAEwAZQBhAGMAaABpAG4AZwBBAG4AZABSAHUAbgBvAGYAZgBfAEEAcgBnAHUAbQBlAG4AdABzACIALAAiAEMAbwBtAG0AbwBuAEEAZwBTAG8AaQBsAHMAXwBFAHEAdQBhAHQAaQBvAG4AcwAuAEEAZwBTAG8AaQBsAHMAXwBNAGEAcwBzAEEAbgBpAG0AYQBsAFcAYQBzAHQAZQBOAEwAbwBzAHQAIgAsACIAQwBvAG0AbQBvAG4AQQBnAFMAbwBpAGwAcwBfAEUAcQB1AGEAdABpAG8AbgBzAC4AQQBnAFMAbwBpAGwAcwBfAE0AYQBzAHMAQQBuAGkAbQBhAGwAVwBhAHMAdABlAE4ATABvAHMAdABfAFQAaQB0AGwAZQAiACwAIgBDAG8AbQBtAG8AbgBBAGcAUwBvAGkAbABzAF8ARQBxAHUAYQB0AGkAbwBuAHMALgBBAGcAUwBvAGkAbABzAF8ATQBhAHMAcwBBAG4AaQBtAGEAbABXAGEAcwB0AGUATgBMAG8AcwB0AF8AVgBhAHIAaQBhAGIAbABlACIALAAiAEMAbwBtAG0AbwBuAEEAZwBTAG8AaQBsAHMAXwBFAHEAdQBhAHQAaQBvAG4AcwAuAEEAZwBTAG8AaQBsAHMAXwBNAGEAcwBzAEEAbgBpAG0AYQBsAFcAYQBzAHQAZQBOAEwAbwBzAHQAXwBVAG4AaQB0ACIALAAiAEMAbwBtAG0AbwBuAEEAZwBTAG8AaQBsAHMAXwBFAHEAdQBhAHQAaQBvAG4AcwAuAEEAZwBTAG8AaQBsAHMAXwBNAGEAcwBzAEEAbgBpAG0AYQBsAFcAYQBzAHQAZQBOAEwAbwBzAHQAXwBOAEkAUgBSAGUAZgBlAHIAZQBuAGMAZQAiACwAIgBDAG8AbQBtAG8AbgBBAGcAUwBvAGkAbABzAF8ARQBxAHUAYQB0AGkAbwBuAHMALgBBAGcAUwBvAGkAbABzAF8ATQBhAHMAcwBBAG4AaQBtAGEAbABXAGEAcwB0AGUATgBMAG8AcwB0AF8AUgBlAGEAZABhAGIAbABlAEUAcQB1AGEAdABpAG8AbgAiACwAIgBDAG8AbQBtAG8AbgBBAGcAUwBvAGkAbABzAF8ARQBxAHUAYQB0AGkAbwBuAHMALgBBAGcAUwBvAGkAbABzAF8ATQBhAHMAcwBBAG4AaQBtAGEAbABXAGEAcwB0AGUATgBMAG8AcwB0AF8AQQByAGcAdQBtAGUAbgB0AHMAIgAsACIAQwBvAG0AbQBvAG4AQQBnAFMAbwBpAGwAcwBfAEUAcQB1AGEAdABpAG8AbgBzAC4AQQBnAFMAbwBpAGwAcwBfAE0AYQBzAHMASQBuAG8AcgBnAGEAbgBpAGMARgBlAHIAdABpAGwAaQBzAGUAcgBOAEwAbwBzAHQAIgAsACIAQwBvAG0AbQBvAG4AQQBnAFMAbwBpAGwAcwBfAEUAcQB1AGEAdABpAG8AbgBzAC4AQQBnAFMAbwBpAGwAcwBfAE0AYQBzAHMASQBuAG8AcgBnAGEAbgBpAGMARgBlAHIAdABpAGwAaQBzAGUAcgBOAEwAbwBzAHQAXwBUAGkAdABsAGUAIgAsACIAQwBvAG0AbQBvAG4AQQBnAFMAbwBpAGwAcwBfAEUAcQB1AGEAdABpAG8AbgBzAC4AQQBnAFMAbwBpAGwAcwBfAE0AYQBzAHMASQBuAG8AcgBnAGEAbgBpAGMARgBlAHIAdABpAGwAaQBzAGUAcgBOAEwAbwBzAHQAXwBWAGEAcgBpAGEAYgBsAGUAIgAsACIAQwBvAG0AbQBvAG4AQQBnAFMAbwBpAGwAcwBfAEUAcQB1AGEAdABpAG8AbgBzAC4AQQBnAFMAbwBpAGwAcwBfAE0AYQBzAHMASQBuAG8AcgBnAGEAbgBpAGMARgBlAHIAdABpAGwAaQBzAGUAcgBOAEwAbwBzAHQAXwBVAG4AaQB0ACIALAAiAEMAbwBtAG0AbwBuAEEAZwBTAG8AaQBsAHMAXwBFAHEAdQBhAHQAaQBvAG4AcwAuAEEAZwBTAG8AaQBsAHMAXwBNAGEAcwBzAEkAbgBvAHIAZwBhAG4AaQBjAEYAZQByAHQAaQBsAGkAcwBlAHIATgBMAG8AcwB0AF8ATgBJAFIAUgBlAGYAZQByAGUAbgBjAGUAIgAsACIAQwBvAG0AbQBvAG4AQQBnAFMAbwBpAGwAcwBfAEUAcQB1AGEAdABpAG8AbgBzAC4AQQBnAFMAbwBpAGwAcwBfAE0AYQBzAHMASQBuAG8AcgBnAGEAbgBpAGMARgBlAHIAdABpAGwAaQBzAGUAcgBOAEwAbwBzAHQAXwBSAGUAYQBkAGEAYgBsAGUARQBxAHUAYQB0AGkAbwBuACIALAAiAEMAbwBtAG0AbwBuAEEAZwBTAG8AaQBsAHMAXwBFAHEAdQBhAHQAaQBvAG4AcwAuAEEAZwBTAG8AaQBsAHMAXwBNAGEAcwBzAEkAbgBvAHIAZwBhAG4AaQBjAEYAZQByAHQAaQBsAGkAcwBlAHIATgBMAG8AcwB0AF8AQQByAGcAdQBtAGUAbgB0AHMAIgAsACIAQwBvAG0AbQBvAG4AQQBnAFMAbwBpAGwAcwBfAEUAcQB1AGEAdABpAG8AbgBzAC4AQQBnAFMAbwBpAGwAcwBfAE0AYQBzAHMAQwByAG8AcABSAGUAcwBpAGQAdQBlAE4ATABvAHMAdAAiACwAIgBDAG8AbQBtAG8AbgBBAGcAUwBvAGkAbABzAF8ARQBxAHUAYQB0AGkAbwBuAHMALgBBAGcAUwBvAGkAbABzAF8ATQBhAHMAcwBDAHIAbwBwAFIAZQBzAGkAZAB1AGUATgBMAG8AcwB0AF8AVABpAHQAbABlACIALAAiAEMAbwBtAG0AbwBuAEEAZwBTAG8AaQBsAHMAXwBFAHEAdQBhAHQAaQBvAG4AcwAuAEEAZwBTAG8AaQBsAHMAXwBNAGEAcwBzAEMAcgBvAHAAUgBlAHMAaQBkAHUAZQBOAEwAbwBzAHQAXwBWAGEAcgBpAGEAYgBsAGUAIgAsACIAQwBvAG0AbQBvAG4AQQBnAFMAbwBpAGwAcwBfAEUAcQB1AGEAdABpAG8AbgBzAC4AQQBnAFMAbwBpAGwAcwBfAE0AYQBzAHMAQwByAG8AcABSAGUAcwBpAGQAdQBlAE4ATABvAHMAdABfAFUAbgBpAHQAIgAsACIAQwBvAG0AbQBvAG4AQQBnAFMAbwBpAGwAcwBfAEUAcQB1AGEAdABpAG8AbgBzAC4AQQBnAFMAbwBpAGwAcwBfAE0AYQBzAHMAQwByAG8AcABSAGUAcwBpAGQAdQBlAE4ATABvAHMAdABfAE4ASQBSAFIAZQBmAGUAcgBlAG4AYwBlACIALAAiAEMAbwBtAG0AbwBuAEEAZwBTAG8AaQBsAHMAXwBFAHEAdQBhAHQAaQBvAG4AcwAuAEEAZwBTAG8AaQBsAHMAXwBNAGEAcwBzAEMAcgBvAHAAUgBlAHMAaQBkAHUAZQBOAEwAbwBzAHQAXwBSAGUAYQBkAGEAYgBsAGUARQBxAHUAYQB0AGkAbwBuACIALAAiAEMAbwBtAG0AbwBuAEEAZwBTAG8AaQBsAHMAXwBFAHEAdQBhAHQAaQBvAG4AcwAuAEEAZwBTAG8AaQBsAHMAXwBNAGEAcwBzAEMAcgBvAHAAUgBlAHMAaQBkAHUAZQBOAEwAbwBzAHQAXwBBAHIAZwB1AG0AZQBuAHQAcwAiACwAIgBDAG8AbQBtAG8AbgBBAGcAUwBvAGkAbABzAF8ARQBxAHUAYQB0AGkAbwBuAHMALgBBAGcAUwBvAGkAbABzAF8AVQByAGkAbgBlAEEAbgBkAEQAdQBuAGcARABlAHAAbwBzAGkAdABlAGQAXwBHAFcAUAAiACwAIgBDAG8AbQBtAG8AbgBBAGcAUwBvAGkAbABzAF8ARQBxAHUAYQB0AGkAbwBuAHMALgBBAGcAUwBvAGkAbABzAF8AVQByAGkAbgBlAEEAbgBkAEQAdQBuAGcARABlAHAAbwBzAGkAdABlAGQAIgAsACIAQwBvAG0AbQBvAG4AQQBnAFMAbwBpAGwAcwBfAEUAcQB1AGEAdABpAG8AbgBzAC4AQQBnAFMAbwBpAGwAcwBfAFUAcgBpAG4AZQBBAG4AZABEAHUAbgBnAEQAZQBwAG8AcwBpAHQAZQBkAF8AVABpAHQAbABlACIALAAiAEMAbwBtAG0AbwBuAEEAZwBTAG8AaQBsAHMAXwBFAHEAdQBhAHQAaQBvAG4AcwAuAEEAZwBTAG8AaQBsAHMAXwBVAHIAaQBuAGUAQQBuAGQARAB1AG4AZwBEAGUAcABvAHMAaQB0AGUAZABfAFYAYQByAGkAYQBiAGwAZQAiACwAIgBDAG8AbQBtAG8AbgBBAGcAUwBvAGkAbABzAF8ARQBxAHUAYQB0AGkAbwBuAHMALgBBAGcAUwBvAGkAbABzAF8AVQByAGkAbgBlAEEAbgBkAEQAdQBuAGcARABlAHAAbwBzAGkAdABlAGQAXwBVAG4AaQB0ACIALAAiAEMAbwBtAG0AbwBuAEEAZwBTAG8AaQBsAHMAXwBFAHEAdQBhAHQAaQBvAG4AcwAuAEEAZwBTAG8AaQBsAHMAXwBVAHIAaQBuAGUAQQBuAGQARAB1AG4AZwBEAGUAcABvAHMAaQB0AGUAZABfAE4ASQBSAFIAZQBmAGUAcgBlAG4AYwBlACIALAAiAEMAbwBtAG0AbwBuAEEAZwBTAG8AaQBsAHMAXwBFAHEAdQBhAHQAaQBvAG4AcwAuAEEAZwBTAG8AaQBsAHMAXwBVAHIAaQBuAGUAQQBuAGQARAB1AG4AZwBEAGUAcABvAHMAaQB0AGUAZABfAFIAZQBhAGQAYQBiAGwAZQBFAHEAdQBhAHQAaQBvAG4AIgAsACIAQwBvAG0AbQBvAG4AQQBnAFMAbwBpAGwAcwBfAEUAcQB1AGEAdABpAG8AbgBzAC4AQQBnAFMAbwBpAGwAcwBfAFUAcgBpAG4AZQBBAG4AZABEAHUAbgBnAEQAZQBwAG8AcwBpAHQAZQBkAF8AQQByAGcAdQBtAGUAbgB0AHM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YAZQBlAGQAbABvAHQALgBTAG8AdQByAGMAZQBEAGEAdABhAF8ARgBlAGUAZABsAG8AdABfAFYAUwBMAF8AVABpAHQAbABlACIALAAiAFMAbwB1AHIAYwBlAEQAYQB0AGEAXwBGAGUAZQBkAGwAbwB0AC4AUwBvAHUAcgBjAGUARABhAHQAYQBfAEYAZQBlAGQAbABvAHQAXwBWAFMATABfAFYAYQByAGkAYQBiAGwAZQAiACwAIgBTAG8AdQByAGMAZQBEAGEAdABhAF8ARgBlAGUAZABsAG8AdAAuAFMAbwB1AHIAYwBlAEQAYQB0AGEAXwBGAGUAZQBkAGwAbwB0AF8AVgBTAEwAXwBVAG4AaQB0ACIALAAiAFMAbwB1AHIAYwBlAEQAYQB0AGEAXwBGAGUAZQBkAGwAbwB0AC4AUwBvAHUAcgBjAGUARABhAHQAYQBfAEYAZQBlAGQAbABvAHQAXwBWAFMATABfAFMAbwB1AHIAYwBlACIALAAiAFMAbwB1AHIAYwBlAEQAYQB0AGEAXwBGAGUAZQBkAGwAbwB0AC4AUwBvAHUAcgBjAGUARABhAHQAYQBfAEYAZQBlAGQAbABvAHQAXwBWAFMATABfAFYAYQByAGkAYQB0AGkAbwBuACIALAAiAFMAbwB1AHIAYwBlAEQAYQB0AGEAXwBGAGUAZQBkAGwAbwB0AC4AUwBvAHUAcgBjAGUARABhAHQAYQBfAEYAZQBlAGQAbABvAHQAXwBWAFMATABfAEQAYQB0AGEAIgAsACIAUwBvAHUAcgBjAGUARABhAHQAYQBfAEYAZQBlAGQAbABvAHQALgBTAG8AdQByAGMAZQBEAGEAdABhAF8ARgBlAGUAZABsAG8AdABfAE0ATQBTAG0AMQBUADMAXwBUAGkAdABsAGUAIgAsACIAUwBvAHUAcgBjAGUARABhAHQAYQBfAEYAZQBlAGQAbABvAHQALgBTAG8AdQByAGMAZQBEAGEAdABhAF8ARgBlAGUAZABsAG8AdABfAE0ATQBTAG0AMQBUADMAXwBWAGEAcgBpAGEAYgBsAGUAIgAsACIAUwBvAHUAcgBjAGUARABhAHQAYQBfAEYAZQBlAGQAbABvAHQALgBTAG8AdQByAGMAZQBEAGEAdABhAF8ARgBlAGUAZABsAG8AdABfAE0ATQBTAG0AMQBUADMAXwBVAG4AaQB0ACIALAAiAFMAbwB1AHIAYwBlAEQAYQB0AGEAXwBGAGUAZQBkAGwAbwB0AC4AUwBvAHUAcgBjAGUARABhAHQAYQBfAEYAZQBlAGQAbABvAHQAXwBNAE0AUwBtADEAVAAzAF8AUwBvAHUAcgBjAGUAIgAsACIAUwBvAHUAcgBjAGUARABhAHQAYQBfAEYAZQBlAGQAbABvAHQALgBTAG8AdQByAGMAZQBEAGEAdABhAF8ARgBlAGUAZABsAG8AdABfAE0ATQBTAG0AMQBUADMAXwBWAGEAcgBpAGEAdABpAG8AbgAiACwAIgBTAG8AdQByAGMAZQBEAGEAdABhAF8ARgBlAGUAZABsAG8AdAAuAFMAbwB1AHIAYwBlAEQAYQB0AGEAXwBGAGUAZQBkAGwAbwB0AF8ATQBNAFMAbQAxAFQAMwBfAEQAYQB0AGEAIgAsACIAUwBvAHUAcgBjAGUARABhAHQAYQBfAEYAZQBlAGQAbABvAHQALgBTAG8AdQByAGMAZQBEAGEAdABhAF8ARgBlAGUAZABsAG8AdABfAEEAcwBoAEMAbwBuAHQAZQBuAHQAXwBUAGkAdABsAGUAIgAsACIAUwBvAHUAcgBjAGUARABhAHQAYQBfAEYAZQBlAGQAbABvAHQALgBTAG8AdQByAGMAZQBEAGEAdABhAF8ARgBlAGUAZABsAG8AdABfAEEAcwBoAEMAbwBuAHQAZQBuAHQAXwBWAGEAcgBpAGEAYgBsAGUAIgAsACIAUwBvAHUAcgBjAGUARABhAHQAYQBfAEYAZQBlAGQAbABvAHQALgBTAG8AdQByAGMAZQBEAGEAdABhAF8ARgBlAGUAZABsAG8AdABfAEEAcwBoAEMAbwBuAHQAZQBuAHQAXwBVAG4AaQB0ACIALAAiAFMAbwB1AHIAYwBlAEQAYQB0AGEAXwBGAGUAZQBkAGwAbwB0AC4AUwBvAHUAcgBjAGUARABhAHQAYQBfAEYAZQBlAGQAbABvAHQAXwBBAHMAaABDAG8AbgB0AGUAbgB0AF8AUwBvAHUAcgBjAGUAIgAsACIAUwBvAHUAcgBjAGUARABhAHQAYQBfAEYAZQBlAGQAbABvAHQALgBTAG8AdQByAGMAZQBEAGEAdABhAF8ARgBlAGUAZABsAG8AdABfAEEAcwBoAEMAbwBuAHQAZQBuAHQAXwBWAGEAcgBpAGEAdABpAG8AbgAiACwAIgBTAG8AdQByAGMAZQBEAGEAdABhAF8ARgBlAGUAZABsAG8AdAAuAFMAbwB1AHIAYwBlAEQAYQB0AGEAXwBGAGUAZQBkAGwAbwB0AF8AQQBzAGgAQwBvAG4AdABlAG4AdABfAEQAYQB0AGEAIgAsACIAUwBvAHUAcgBjAGUARABhAHQAYQBfAEYAZQBlAGQAbABvAHQALgBTAG8AdQByAGMAZQBEAGEAdABhAF8ARgBlAGUAZABsAG8AdABfAE0AZQB0AGgAYQBuAGUARQBtAGkAcwBzAGkAbwBuAHMAUABvAHQAZQBuAHQAaQBhAGwAXwBUAGkAdABsAGUAIgAsACIAUwBvAHUAcgBjAGUARABhAHQAYQBfAEYAZQBlAGQAbABvAHQALgBTAG8AdQByAGMAZQBEAGEAdABhAF8ARgBlAGUAZABsAG8AdABfAE0AZQB0AGgAYQBuAGUARQBtAGkAcwBzAGkAbwBuAHMAUABvAHQAZQBuAHQAaQBhAGwAXwBWAGEAcgBpAGEAYgBsAGUAIgAsACIAUwBvAHUAcgBjAGUARABhAHQAYQBfAEYAZQBlAGQAbABvAHQALgBTAG8AdQByAGMAZQBEAGEAdABhAF8ARgBlAGUAZABsAG8AdABfAE0AZQB0AGgAYQBuAGUARQBtAGkAcwBzAGkAbwBuAHMAUABvAHQAZQBuAHQAaQBhAGwAXwBVAG4AaQB0ACIALAAiAFMAbwB1AHIAYwBlAEQAYQB0AGEAXwBGAGUAZQBkAGwAbwB0AC4AUwBvAHUAcgBjAGUARABhAHQAYQBfAEYAZQBlAGQAbABvAHQAXwBNAGUAdABoAGEAbgBlAEUAbQBpAHMAcwBpAG8AbgBzAFAAbwB0AGUAbgB0AGkAYQBsAF8AUwBvAHUAcgBjAGUAIgAsACIAUwBvAHUAcgBjAGUARABhAHQAYQBfAEYAZQBlAGQAbABvAHQALgBTAG8AdQByAGMAZQBEAGEAdABhAF8ARgBlAGUAZABsAG8AdABfAE0AZQB0AGgAYQBuAGUARQBtAGkAcwBzAGkAbwBuAHMAUABvAHQAZQBuAHQAaQBhAGwAXwBWAGEAcgBpAGEAdABpAG8AbgAiACwAIgBTAG8AdQByAGMAZQBEAGEAdABhAF8ARgBlAGUAZABsAG8AdAAuAFMAbwB1AHIAYwBlAEQAYQB0AGEAXwBGAGUAZQBkAGwAbwB0AF8ATQBlAHQAaABhAG4AZQBFAG0AaQBzAHMAaQBvAG4AcwBQAG8AdABlAG4AdABpAGEAbA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NAE0AUwBfAEYAZQBlAGQAbABvAHQAXwBNAGUAdABoAGEAbgBlAF8ARQBxAHUAYQB0AGkAbwBuAHMALgBWAEUARQBSAEcAXwA0AF8AMQBfADEAXwAxAF8AXwAxAF8AVABvAHQAYQBsAEEAbgBuAHUAYQBsAE0AZQB0AGgAYQBuAGUARQBtAGkAcwBzAGkAbwBuAHMAIgAsACIATQBNAFMAXwBGAGUAZQBkAGwAbwB0AF8ATQBlAHQAaABhAG4AZQBfAEUAcQB1AGEAdABpAG8AbgBzAC4AVgBFAEUAUgBHAF8ANABfADEAXwAxAF8AMQBfAF8AMQBfAFQAbwB0AGEAbABBAG4AbgB1AGEAbABNAGUAdABoAGEAbgBlAEUAbQBpAHMAcwBpAG8AbgBzAF8AVABpAHQAbABlACIALAAiAE0ATQBTAF8ARgBlAGUAZABsAG8AdABfAE0AZQB0AGgAYQBuAGUAXwBFAHEAdQBhAHQAaQBvAG4AcwAuAFYARQBFAFIARwBfADQAXwAxAF8AMQBfADEAXwBfADEAXwBUAG8AdABhAGwAQQBuAG4AdQBhAGwATQBlAHQAaABhAG4AZQBFAG0AaQBzAHMAaQBvAG4AcwBfAFYAYQByAGkAYQBiAGwAZQAiACwAIgBNAE0AUwBfAEYAZQBlAGQAbABvAHQAXwBNAGUAdABoAGEAbgBlAF8ARQBxAHUAYQB0AGkAbwBuAHMALgBWAEUARQBSAEcAXwA0AF8AMQBfADEAXwAxAF8AXwAxAF8AVABvAHQAYQBsAEEAbgBuAHUAYQBsAE0AZQB0AGgAYQBuAGUARQBtAGkAcwBzAGkAbwBuAHMAXwBVAG4AaQB0ACIALAAiAE0ATQBTAF8ARgBlAGUAZABsAG8AdABfAE0AZQB0AGgAYQBuAGUAXwBFAHEAdQBhAHQAaQBvAG4AcwAuAFYARQBFAFIARwBfADQAXwAxAF8AMQBfADEAXwBfADEAXwBUAG8AdABhAGwAQQBuAG4AdQBhAGwATQBlAHQAaABhAG4AZQBFAG0AaQBzAHMAaQBvAG4AcwBfAFMAbwB1AHIAYwBlACIALAAiAE0ATQBTAF8ARgBlAGUAZABsAG8AdABfAE0AZQB0AGgAYQBuAGUAXwBFAHEAdQBhAHQAaQBvAG4AcwAuAFYARQBFAFIARwBfADQAXwAxAF8AMQBfADEAXwBfADEAXwBUAG8AdABhAGwAQQBuAG4AdQBhAGwATQBlAHQAaABhAG4AZQBFAG0AaQBzAHMAaQBvAG4AcwBfAE4ASQBSAFIAZQBmAGUAcgBlAG4AYwBlACIALAAiAE0ATQBTAF8ARgBlAGUAZABsAG8AdABfAE0AZQB0AGgAYQBuAGUAXwBFAHEAdQBhAHQAaQBvAG4AcwAuAFYARQBFAFIARwBfADQAXwAxAF8AMQBfADEAXwBfADEAXwBUAG8AdABhAGwAQQBuAG4AdQBhAGwATQBlAHQAaABhAG4AZQBFAG0AaQBzAHMAaQBvAG4AcwBfAEwAYQB0AGUAeABFAHEAdQBhAHQAaQBvAG4AIgAsACIATQBNAFMAXwBGAGUAZQBkAGwAbwB0AF8ATQBlAHQAaABhAG4AZQBfAEUAcQB1AGEAdABpAG8AbgBzAC4AVgBFAEUAUgBHAF8ANABfADEAXwAxAF8AMQBfAF8AMQBfAFQAbwB0AGEAbABBAG4AbgB1AGEAbABNAGUAdABoAGEAbgBlAEUAbQBpAHMAcwBpAG8AbgBzAF8AQQByAGcAdQBtAGUAbgB0AHMAIgAsACIATQBNAFMAXwBGAGUAZQBkAGwAbwB0AF8ATQBlAHQAaABhAG4AZQBfAEUAcQB1AGEAdABpAG8AbgBzAC4AVgBFAEUAUgBHAF8ANABfADEAXwAxAF8AMQBfAF8AMgBfAFMAdABhAGcAZQAxAE0AZQB0AGgAYQBuAGUAUAByAG8AZAB1AGMAdABpAG8AbgBEAHIAeQBsAG8AdAAiACwAIgBNAE0AUwBfAEYAZQBlAGQAbABvAHQAXwBNAGUAdABoAGEAbgBlAF8ARQBxAHUAYQB0AGkAbwBuAHMALgBWAEUARQBSAEcAXwA0AF8AMQBfADEAXwAxAF8AXwAyAF8AUwB0AGEAZwBlADEATQBlAHQAaABhAG4AZQBQAHIAbwBkAHUAYwB0AGkAbwBuAEQAcgB5AGwAbwB0AF8AVABpAHQAbABlACIALAAiAE0ATQBTAF8ARgBlAGUAZABsAG8AdABfAE0AZQB0AGgAYQBuAGUAXwBFAHEAdQBhAHQAaQBvAG4AcwAuAFYARQBFAFIARwBfADQAXwAxAF8AMQBfADEAXwBfADIAXwBTAHQAYQBnAGUAMQBNAGUAdABoAGEAbgBlAFAAcgBvAGQAdQBjAHQAaQBvAG4ARAByAHkAbABvAHQAXwBWAGEAcgBpAGEAYgBsAGUAIgAsACIATQBNAFMAXwBGAGUAZQBkAGwAbwB0AF8ATQBlAHQAaABhAG4AZQBfAEUAcQB1AGEAdABpAG8AbgBzAC4AVgBFAEUAUgBHAF8ANABfADEAXwAxAF8AMQBfAF8AMgBfAFMAdABhAGcAZQAxAE0AZQB0AGgAYQBuAGUAUAByAG8AZAB1AGMAdABpAG8AbgBEAHIAeQBsAG8AdABfAFUAbgBpAHQAIgAsACIATQBNAFMAXwBGAGUAZQBkAGwAbwB0AF8ATQBlAHQAaABhAG4AZQBfAEUAcQB1AGEAdABpAG8AbgBzAC4AVgBFAEUAUgBHAF8ANABfADEAXwAxAF8AMQBfAF8AMgBfAFMAdABhAGcAZQAxAE0AZQB0AGgAYQBuAGUAUAByAG8AZAB1AGMAdABpAG8AbgBEAHIAeQBsAG8AdABfAFMAbwB1AHIAYwBlACIALAAiAE0ATQBTAF8ARgBlAGUAZABsAG8AdABfAE0AZQB0AGgAYQBuAGUAXwBFAHEAdQBhAHQAaQBvAG4AcwAuAFYARQBFAFIARwBfADQAXwAxAF8AMQBfADEAXwBfADIAXwBTAHQAYQBnAGUAMQBNAGUAdABoAGEAbgBlAFAAcgBvAGQAdQBjAHQAaQBvAG4ARAByAHkAbABvAHQAXwBOAEkAUgBSAGUAZgBlAHIAZQBuAGMAZQAiACwAIgBNAE0AUwBfAEYAZQBlAGQAbABvAHQAXwBNAGUAdABoAGEAbgBlAF8ARQBxAHUAYQB0AGkAbwBuAHMALgBWAEUARQBSAEcAXwA0AF8AMQBfADEAXwAxAF8AXwAyAF8AUwB0AGEAZwBlADEATQBlAHQAaABhAG4AZQBQAHIAbwBkAHUAYwB0AGkAbwBuAEQAcgB5AGwAbwB0AF8ATABhAHQAZQB4AEUAcQB1AGEAdABpAG8AbgAiACwAIgBNAE0AUwBfAEYAZQBlAGQAbABvAHQAXwBNAGUAdABoAGEAbgBlAF8ARQBxAHUAYQB0AGkAbwBuAHMALgBWAEUARQBSAEcAXwA0AF8AMQBfADEAXwAxAF8AXwAyAF8AUwB0AGEAZwBlADEATQBlAHQAaABhAG4AZQBQAHIAbwBkAHUAYwB0AGkAbwBuAEQAcgB5AGwAbwB0AF8AQQByAGcAdQBtAGUAbgB0AHMAIgAsACIATQBNAFMAXwBGAGUAZQBkAGwAbwB0AF8ATQBlAHQAaABhAG4AZQBfAEUAcQB1AGEAdABpAG8AbgBzAC4AVgBFAEUAUgBHAF8ANABfADEAXwAxAF8AMQBfAF8AMwBfAFMAdABhAGcAZQAyAE0AZQB0AGgAYQBuAGUAUAByAG8AZAB1AGMAdABpAG8AbgAiACwAIgBNAE0AUwBfAEYAZQBlAGQAbABvAHQAXwBNAGUAdABoAGEAbgBlAF8ARQBxAHUAYQB0AGkAbwBuAHMALgBWAEUARQBSAEcAXwA0AF8AMQBfADEAXwAxAF8AXwAzAF8AUwB0AGEAZwBlADIATQBlAHQAaABhAG4AZQBQAHIAbwBkAHUAYwB0AGkAbwBuAF8AVABpAHQAbABlACIALAAiAE0ATQBTAF8ARgBlAGUAZABsAG8AdABfAE0AZQB0AGgAYQBuAGUAXwBFAHEAdQBhAHQAaQBvAG4AcwAuAFYARQBFAFIARwBfADQAXwAxAF8AMQBfADEAXwBfADMAXwBTAHQAYQBnAGUAMgBNAGUAdABoAGEAbgBlAFAAcgBvAGQAdQBjAHQAaQBvAG4AXwBWAGEAcgBpAGEAYgBsAGUAIgAsACIATQBNAFMAXwBGAGUAZQBkAGwAbwB0AF8ATQBlAHQAaABhAG4AZQBfAEUAcQB1AGEAdABpAG8AbgBzAC4AVgBFAEUAUgBHAF8ANABfADEAXwAxAF8AMQBfAF8AMwBfAFMAdABhAGcAZQAyAE0AZQB0AGgAYQBuAGUAUAByAG8AZAB1AGMAdABpAG8AbgBfAFUAbgBpAHQAIgAsACIATQBNAFMAXwBGAGUAZQBkAGwAbwB0AF8ATQBlAHQAaABhAG4AZQBfAEUAcQB1AGEAdABpAG8AbgBzAC4AVgBFAEUAUgBHAF8ANABfADEAXwAxAF8AMQBfAF8AMwBfAFMAdABhAGcAZQAyAE0AZQB0AGgAYQBuAGUAUAByAG8AZAB1AGMAdABpAG8AbgBfAFMAbwB1AHIAYwBlACIALAAiAE0ATQBTAF8ARgBlAGUAZABsAG8AdABfAE0AZQB0AGgAYQBuAGUAXwBFAHEAdQBhAHQAaQBvAG4AcwAuAFYARQBFAFIARwBfADQAXwAxAF8AMQBfADEAXwBfADMAXwBTAHQAYQBnAGUAMgBNAGUAdABoAGEAbgBlAFAAcgBvAGQAdQBjAHQAaQBvAG4AXwBOAEkAUgBSAGUAZgBlAHIAZQBuAGMAZQAiACwAIgBNAE0AUwBfAEYAZQBlAGQAbABvAHQAXwBNAGUAdABoAGEAbgBlAF8ARQBxAHUAYQB0AGkAbwBuAHMALgBWAEUARQBSAEcAXwA0AF8AMQBfADEAXwAxAF8AXwAzAF8AUwB0AGEAZwBlADIATQBlAHQAaABhAG4AZQBQAHIAbwBkAHUAYwB0AGkAbwBuAF8ATABhAHQAZQB4AEUAcQB1AGEAdABpAG8AbgAiACwAIgBNAE0AUwBfAEYAZQBlAGQAbABvAHQAXwBNAGUAdABoAGEAbgBlAF8ARQBxAHUAYQB0AGkAbwBuAHMALgBWAEUARQBSAEcAXwA0AF8AMQBfADEAXwAxAF8AXwAzAF8AUwB0AGEAZwBlADIATQBlAHQAaABhAG4AZQBQAHIAbwBkAHUAYwB0AGkAbwBuAF8AQQByAGcAdQBtAGUAbgB0AHMAIgAsACIATQBNAFMAXwBGAGUAZQBkAGwAbwB0AF8ATQBlAHQAaABhAG4AZQBfAEUAcQB1AGEAdABpAG8AbgBzAC4AVgBFAEUAUgBHAF8ANABfADEAXwAxAF8AMQBfAF8ANABfAFMAdABhAGcAZQAzAE0AZQB0AGgAYQBuAGUAUAByAG8AZAB1AGMAdABpAG8AbgBBAG4AYQBlAHIAbwBiAGkAYwBMAGEAZwBvAG8AbgAiACwAIgBNAE0AUwBfAEYAZQBlAGQAbABvAHQAXwBNAGUAdABoAGEAbgBlAF8ARQBxAHUAYQB0AGkAbwBuAHMALgBWAEUARQBSAEcAXwA0AF8AMQBfADEAXwAxAF8AXwA0AF8AUwB0AGEAZwBlADMATQBlAHQAaABhAG4AZQBQAHIAbwBkAHUAYwB0AGkAbwBuAEEAbgBhAGUAcgBvAGIAaQBjAEwAYQBnAG8AbwBuAF8AVABpAHQAbABlACIALAAiAE0ATQBTAF8ARgBlAGUAZABsAG8AdABfAE0AZQB0AGgAYQBuAGUAXwBFAHEAdQBhAHQAaQBvAG4AcwAuAFYARQBFAFIARwBfADQAXwAxAF8AMQBfADEAXwBfADQAXwBTAHQAYQBnAGUAMwBNAGUAdABoAGEAbgBlAFAAcgBvAGQAdQBjAHQAaQBvAG4AQQBuAGEAZQByAG8AYgBpAGMATABhAGcAbwBvAG4AXwBWAGEAcgBpAGEAYgBsAGUAIgAsACIATQBNAFMAXwBGAGUAZQBkAGwAbwB0AF8ATQBlAHQAaABhAG4AZQBfAEUAcQB1AGEAdABpAG8AbgBzAC4AVgBFAEUAUgBHAF8ANABfADEAXwAxAF8AMQBfAF8ANABfAFMAdABhAGcAZQAzAE0AZQB0AGgAYQBuAGUAUAByAG8AZAB1AGMAdABpAG8AbgBBAG4AYQBlAHIAbwBiAGkAYwBMAGEAZwBvAG8AbgBfAFUAbgBpAHQAIgAsACIATQBNAFMAXwBGAGUAZQBkAGwAbwB0AF8ATQBlAHQAaABhAG4AZQBfAEUAcQB1AGEAdABpAG8AbgBzAC4AVgBFAEUAUgBHAF8ANABfADEAXwAxAF8AMQBfAF8ANABfAFMAdABhAGcAZQAzAE0AZQB0AGgAYQBuAGUAUAByAG8AZAB1AGMAdABpAG8AbgBBAG4AYQBlAHIAbwBiAGkAYwBMAGEAZwBvAG8AbgBfAFMAbwB1AHIAYwBlACIALAAiAE0ATQBTAF8ARgBlAGUAZABsAG8AdABfAE0AZQB0AGgAYQBuAGUAXwBFAHEAdQBhAHQAaQBvAG4AcwAuAFYARQBFAFIARwBfADQAXwAxAF8AMQBfADEAXwBfADQAXwBTAHQAYQBnAGUAMwBNAGUAdABoAGEAbgBlAFAAcgBvAGQAdQBjAHQAaQBvAG4AQQBuAGEAZQByAG8AYgBpAGMATABhAGcAbwBvAG4AXwBOAEkAUgBSAGUAZgBlAHIAZQBuAGMAZQAiACwAIgBNAE0AUwBfAEYAZQBlAGQAbABvAHQAXwBNAGUAdABoAGEAbgBlAF8ARQBxAHUAYQB0AGkAbwBuAHMALgBWAEUARQBSAEcAXwA0AF8AMQBfADEAXwAxAF8AXwA0AF8AUwB0AGEAZwBlADMATQBlAHQAaABhAG4AZQBQAHIAbwBkAHUAYwB0AGkAbwBuAEEAbgBhAGUAcgBvAGIAaQBjAEwAYQBnAG8AbwBuAF8ATABhAHQAZQB4AEUAcQB1AGEAdABpAG8AbgAiACwAIgBNAE0AUwBfAEYAZQBlAGQAbABvAHQAXwBNAGUAdABoAGEAbgBlAF8ARQBxAHUAYQB0AGkAbwBuAHMALgBWAEUARQBSAEcAXwA0AF8AMQBfADEAXwAxAF8AXwA0AF8AUwB0AGEAZwBlADMATQBlAHQAaABhAG4AZQBQAHIAbwBkAHUAYwB0AGkAbwBuAEEAbgBhAGUAcgBvAGIAaQBjAEwAYQBnAG8AbwBuAF8AQQByAGcAdQBtAGUAbgB0AHMAIgAsACIATQBNAFMAXwBGAGUAZQBkAGwAbwB0AF8ATQBlAHQAaABhAG4AZQBfAEUAcQB1AGEAdABpAG8AbgBzAC4AVgBFAEUAUgBHAF8ANABfADEAXwAxAF8AMQBfAF8ANQBfAFYAbwBsAGEAdABpAGwAZQBTAG8AbABpAGQAUAByAG8AZAB1AGMAdABpAG8AbgAiACwAIgBNAE0AUwBfAEYAZQBlAGQAbABvAHQAXwBNAGUAdABoAGEAbgBlAF8ARQBxAHUAYQB0AGkAbwBuAHMALgBWAEUARQBSAEcAXwA0AF8AMQBfADEAXwAxAF8AXwA1AF8AVgBvAGwAYQB0AGkAbABlAFMAbwBsAGkAZABQAHIAbwBkAHUAYwB0AGkAbwBuAF8AVABpAHQAbABlACIALAAiAE0ATQBTAF8ARgBlAGUAZABsAG8AdABfAE0AZQB0AGgAYQBuAGUAXwBFAHEAdQBhAHQAaQBvAG4AcwAuAFYARQBFAFIARwBfADQAXwAxAF8AMQBfADEAXwBfADUAXwBWAG8AbABhAHQAaQBsAGUAUwBvAGwAaQBkAFAAcgBvAGQAdQBjAHQAaQBvAG4AXwBWAGEAcgBpAGEAYgBsAGUAIgAsACIATQBNAFMAXwBGAGUAZQBkAGwAbwB0AF8ATQBlAHQAaABhAG4AZQBfAEUAcQB1AGEAdABpAG8AbgBzAC4AVgBFAEUAUgBHAF8ANABfADEAXwAxAF8AMQBfAF8ANQBfAFYAbwBsAGEAdABpAGwAZQBTAG8AbABpAGQAUAByAG8AZAB1AGMAdABpAG8AbgBfAFUAbgBpAHQAIgAsACIATQBNAFMAXwBGAGUAZQBkAGwAbwB0AF8ATQBlAHQAaABhAG4AZQBfAEUAcQB1AGEAdABpAG8AbgBzAC4AVgBFAEUAUgBHAF8ANABfADEAXwAxAF8AMQBfAF8ANQBfAFYAbwBsAGEAdABpAGwAZQBTAG8AbABpAGQAUAByAG8AZAB1AGMAdABpAG8AbgBfAFMAbwB1AHIAYwBlACIALAAiAE0ATQBTAF8ARgBlAGUAZABsAG8AdABfAE0AZQB0AGgAYQBuAGUAXwBFAHEAdQBhAHQAaQBvAG4AcwAuAFYARQBFAFIARwBfADQAXwAxAF8AMQBfADEAXwBfADUAXwBWAG8AbABhAHQAaQBsAGUAUwBvAGwAaQBkAFAAcgBvAGQAdQBjAHQAaQBvAG4AXwBOAEkAUgBSAGUAZgBlAHIAZQBuAGMAZQAiACwAIgBNAE0AUwBfAEYAZQBlAGQAbABvAHQAXwBNAGUAdABoAGEAbgBlAF8ARQBxAHUAYQB0AGkAbwBuAHMALgBWAEUARQBSAEcAXwA0AF8AMQBfADEAXwAxAF8AXwA1AF8AVgBvAGwAYQB0AGkAbABlAFMAbwBsAGkAZABQAHIAbwBkAHUAYwB0AGkAbwBuAF8ATABhAHQAZQB4AEUAcQB1AGEAdABpAG8AbgAiACwAIgBNAE0AUwBfAEYAZQBlAGQAbABvAHQAXwBNAGUAdABoAGEAbgBlAF8ARQBxAHUAYQB0AGkAbwBuAHMALgBWAEUARQBSAEcAXwA0AF8AMQBfADEAXwAxAF8AXwA1AF8AVgBvAGwAYQB0AGkAbABlAFMAbwBsAGkAZABQAHIAbwBkAHUAYwB0AGkAbwBu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</AFEJSONBlob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customXml/itemProps2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customXml/itemProps4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Home</vt:lpstr>
      <vt:lpstr>Results</vt:lpstr>
      <vt:lpstr>Input - Site</vt:lpstr>
      <vt:lpstr>Input - MMS - Feedlot</vt:lpstr>
      <vt:lpstr>Calcs - CH4 MMS Feedlot</vt:lpstr>
      <vt:lpstr>Constants - Livestock</vt:lpstr>
      <vt:lpstr>Acknowledgements</vt:lpstr>
      <vt:lpstr>Constants - Common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2026-04-01T00:17:29Z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