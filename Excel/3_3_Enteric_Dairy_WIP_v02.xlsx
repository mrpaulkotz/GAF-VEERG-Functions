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A35B965-CEC1-4157-883B-6CB329B7F1A4}" xr6:coauthVersionLast="47" xr6:coauthVersionMax="47" xr10:uidLastSave="{00000000-0000-0000-0000-000000000000}"/>
  <bookViews>
    <workbookView xWindow="435" yWindow="30" windowWidth="37920" windowHeight="20415"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4"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69" l="1" a="1"/>
  <c r="D24" i="69" s="1"/>
  <c r="D6" i="69" a="1"/>
  <c r="D6" i="69" s="1"/>
  <c r="F56" i="70"/>
  <c r="F55" i="70"/>
  <c r="E56" i="70"/>
  <c r="E55" i="70"/>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D56" i="69" l="1" a="1"/>
  <c r="D56" i="69" s="1"/>
  <c r="R40" i="69"/>
  <c r="R39" i="69"/>
  <c r="I40" i="69"/>
  <c r="I39" i="69"/>
  <c r="P37" i="69" a="1"/>
  <c r="P37" i="69" s="1"/>
  <c r="M37" i="69" a="1"/>
  <c r="M37" i="69" s="1"/>
  <c r="I64" i="69"/>
  <c r="D75" i="69" s="1"/>
  <c r="I66" i="69" a="1"/>
  <c r="I66" i="69" s="1"/>
  <c r="I38" i="69" a="1"/>
  <c r="I38" i="69" s="1"/>
  <c r="D30" i="69" a="1"/>
  <c r="D30" i="69" s="1"/>
  <c r="I37" i="69"/>
  <c r="D45" i="69" s="1"/>
  <c r="D50" i="69" s="1" a="1"/>
  <c r="D50" i="69" s="1"/>
  <c r="F52" i="70"/>
  <c r="G37" i="69" a="1"/>
  <c r="G37" i="69" s="1"/>
  <c r="D37" i="69" a="1"/>
  <c r="D37" i="69" s="1"/>
  <c r="E35" i="69" a="1"/>
  <c r="E35" i="69" s="1"/>
  <c r="E34" i="69" a="1"/>
  <c r="E34" i="69" s="1"/>
  <c r="D29" i="69" a="1"/>
  <c r="D29" i="69" s="1"/>
  <c r="D28" i="69" a="1"/>
  <c r="D28" i="69" s="1"/>
  <c r="E31" i="69" a="1"/>
  <c r="E139" i="69" a="1"/>
  <c r="M50" i="69" l="1"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P185" i="69"/>
  <c r="M184" i="69" a="1"/>
  <c r="M184" i="69" s="1"/>
  <c r="G185" i="69"/>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I90" i="70"/>
  <c r="H90" i="70"/>
  <c r="G90" i="70"/>
  <c r="F90" i="70"/>
  <c r="I89" i="70"/>
  <c r="H89" i="70"/>
  <c r="G89" i="70"/>
  <c r="F89" i="70"/>
  <c r="E90" i="70"/>
  <c r="E89" i="70"/>
  <c r="D88" i="70"/>
  <c r="D104" i="70"/>
  <c r="M104" i="70"/>
  <c r="M103" i="70"/>
  <c r="M102" i="70"/>
  <c r="M101" i="70"/>
  <c r="M88" i="70"/>
  <c r="D97" i="70"/>
  <c r="D96" i="70"/>
  <c r="D95" i="70"/>
  <c r="M87" i="70"/>
  <c r="M86" i="70"/>
  <c r="D81" i="70"/>
  <c r="D80" i="70"/>
  <c r="D79" i="70"/>
  <c r="M85" i="70"/>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G9" i="79"/>
  <c r="G8" i="79"/>
  <c r="E30" i="15"/>
  <c r="E33" i="15"/>
  <c r="E32" i="15"/>
  <c r="E31" i="15"/>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H54" i="104" l="1"/>
  <c r="H52" i="104"/>
  <c r="H49" i="104"/>
  <c r="H50" i="104"/>
  <c r="H53" i="104"/>
  <c r="H48" i="104"/>
  <c r="H51" i="104"/>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Q19" i="69"/>
  <c r="Q24" i="69" s="1" a="1"/>
  <c r="Q24" i="69" s="1"/>
  <c r="P19" i="69"/>
  <c r="P24" i="69" s="1" a="1"/>
  <c r="P24" i="69" s="1"/>
  <c r="O19" i="69"/>
  <c r="O24" i="69" s="1" a="1"/>
  <c r="O24" i="69" s="1"/>
  <c r="N19" i="69"/>
  <c r="N24" i="69" s="1" a="1"/>
  <c r="N24" i="69" s="1"/>
  <c r="M19" i="69"/>
  <c r="M24" i="69" s="1" a="1"/>
  <c r="M2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D149" i="79" a="1"/>
  <c r="D149" i="79" s="1"/>
  <c r="G97" i="70"/>
  <c r="F97" i="70"/>
  <c r="G96" i="70"/>
  <c r="F96" i="70"/>
  <c r="G95" i="70"/>
  <c r="F95" i="70"/>
  <c r="D77" i="70"/>
  <c r="D93" i="70"/>
  <c r="E8" i="69" a="1"/>
  <c r="E57" i="69" a="1"/>
  <c r="E86" i="69" a="1"/>
  <c r="M80" i="69" l="1" a="1"/>
  <c r="M80" i="69" s="1"/>
  <c r="D80" i="69" a="1"/>
  <c r="D80" i="69" s="1"/>
  <c r="G105" i="70"/>
  <c r="F105" i="70"/>
  <c r="E105" i="70"/>
  <c r="I105" i="70"/>
  <c r="H105" i="70"/>
  <c r="E106" i="70"/>
  <c r="I106" i="70"/>
  <c r="H106" i="70"/>
  <c r="G106" i="70"/>
  <c r="F106" i="70"/>
  <c r="R115" i="69"/>
  <c r="F37" i="70"/>
  <c r="E19" i="69" s="1"/>
  <c r="G37" i="70"/>
  <c r="F19" i="69" s="1"/>
  <c r="H37" i="70"/>
  <c r="G19" i="69" s="1"/>
  <c r="G38" i="70"/>
  <c r="I38" i="70"/>
  <c r="H38" i="70"/>
  <c r="E38" i="70"/>
  <c r="I37" i="70"/>
  <c r="H19" i="69" s="1"/>
  <c r="I24" i="69"/>
  <c r="R24" i="69"/>
  <c r="E86" i="69"/>
  <c r="P80" i="69" a="1"/>
  <c r="P80" i="69" s="1"/>
  <c r="N80" i="69" a="1"/>
  <c r="N80" i="69" s="1"/>
  <c r="Q80" i="69" a="1"/>
  <c r="Q80" i="69" s="1"/>
  <c r="I80" i="69"/>
  <c r="O80" i="69" a="1"/>
  <c r="O80" i="69" s="1"/>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G70" i="70" a="1"/>
  <c r="G70" i="70" s="1"/>
  <c r="H72" i="70" a="1"/>
  <c r="H72" i="70" s="1"/>
  <c r="F72" i="70" a="1"/>
  <c r="F72" i="70" s="1"/>
  <c r="G67" i="70" a="1"/>
  <c r="G67" i="70" s="1"/>
  <c r="F67" i="70" a="1"/>
  <c r="F67" i="70" s="1"/>
  <c r="E67" i="70" a="1"/>
  <c r="E67" i="70" s="1"/>
  <c r="E65" i="70" a="1"/>
  <c r="E65" i="70" s="1"/>
  <c r="H71" i="70" a="1"/>
  <c r="H71" i="70" s="1"/>
  <c r="I66" i="70" a="1"/>
  <c r="I66" i="70" s="1"/>
  <c r="E71" i="70" a="1"/>
  <c r="E71" i="70" s="1"/>
  <c r="E66" i="70" a="1"/>
  <c r="E66" i="70" s="1"/>
  <c r="I67" i="70" a="1"/>
  <c r="I67" i="70" s="1"/>
  <c r="G71" i="70" a="1"/>
  <c r="G71" i="70" s="1"/>
  <c r="H66" i="70" a="1"/>
  <c r="H66" i="70" s="1"/>
  <c r="F66" i="70" a="1"/>
  <c r="F66" i="70" s="1"/>
  <c r="H70" i="70" a="1"/>
  <c r="H70" i="70" s="1"/>
  <c r="F71" i="70" a="1"/>
  <c r="F71" i="70" s="1"/>
  <c r="G66" i="70" a="1"/>
  <c r="G66" i="70" s="1"/>
  <c r="I70" i="70" a="1"/>
  <c r="I70" i="70" s="1"/>
  <c r="H65" i="70" a="1"/>
  <c r="H65" i="70" s="1"/>
  <c r="F70" i="70" a="1"/>
  <c r="F70" i="70" s="1"/>
  <c r="G65" i="70" a="1"/>
  <c r="G65" i="70" s="1"/>
  <c r="I72" i="70" a="1"/>
  <c r="I72" i="70" s="1"/>
  <c r="E70" i="70" a="1"/>
  <c r="E70" i="70" s="1"/>
  <c r="F65" i="70" a="1"/>
  <c r="F6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D86" i="70" l="1"/>
  <c r="D102" i="70"/>
  <c r="D87" i="70"/>
  <c r="D103" i="70"/>
  <c r="D85" i="70"/>
  <c r="D101" i="70"/>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<sst xmlns="http://schemas.openxmlformats.org/spreadsheetml/2006/main" count="613" uniqueCount="276">
  <si>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</si>
  <si>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</si>
  <si>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</si>
  <si>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</si>
  <si>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</si>
  <si>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</si>
  <si>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</si>
  <si>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</si>
  <si>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</si>
  <si>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</si>
  <si>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</si>
  <si>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</si>
  <si>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</si>
  <si>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</si>
  <si>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</si>
  <si>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</si>
  <si>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</si>
  <si>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</si>
  <si>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</si>
  <si>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</si>
  <si>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</si>
  <si>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</si>
  <si>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</si>
  <si>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</si>
  <si>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</si>
  <si>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</si>
  <si>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</si>
  <si>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</si>
  <si>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</si>
  <si>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</si>
  <si>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</si>
  <si>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</si>
  <si>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</si>
  <si>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</si>
  <si>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</si>
  <si>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</si>
  <si>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</si>
  <si>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</si>
  <si>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</si>
  <si>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</si>
  <si>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</si>
  <si>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</si>
  <si>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</si>
  <si>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</si>
  <si>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</si>
  <si>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</si>
  <si>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</si>
  <si>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</si>
  <si>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</si>
  <si>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</si>
  <si>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</si>
  <si>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</si>
  <si>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</si>
  <si>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</si>
  <si>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</si>
  <si>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</si>
  <si>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</si>
  <si>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</si>
  <si>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</si>
  <si>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</si>
  <si>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</si>
  <si>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</si>
  <si>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</si>
  <si>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</si>
  <si>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</si>
  <si>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</si>
  <si>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</si>
  <si>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</si>
  <si>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</si>
  <si>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</si>
  <si>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</si>
  <si>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</si>
  <si>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</si>
  <si>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</si>
  <si>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</si>
  <si>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</si>
  <si>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</si>
  <si>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</si>
  <si>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</si>
  <si>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</si>
  <si>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</si>
  <si>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</si>
  <si>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</si>
  <si>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</si>
  <si>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</si>
  <si>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</si>
  <si>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</si>
  <si>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</si>
  <si>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</si>
  <si>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</si>
  <si>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</si>
  <si>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</si>
  <si>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</si>
  <si>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</si>
  <si>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</si>
  <si>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</si>
  <si>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Stage 1 MMS</t>
  </si>
  <si>
    <t>Manure management systems</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</si>
  <si>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</si>
  <si>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</si>
  <si>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</si>
  <si>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</si>
  <si>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</si>
  <si>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</si>
  <si>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</si>
  <si>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</si>
  <si>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</si>
  <si>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</si>
  <si>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</si>
  <si>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</si>
  <si>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</si>
  <si>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</si>
  <si>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</si>
  <si>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</si>
  <si>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</si>
  <si>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</si>
  <si>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</si>
  <si>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</si>
  <si>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</si>
  <si>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</si>
  <si>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</si>
  <si>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</si>
  <si>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</si>
  <si>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</si>
  <si>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</si>
  <si>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</si>
  <si>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</si>
  <si>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</si>
  <si>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</si>
  <si>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</si>
  <si>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</si>
  <si>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</si>
  <si>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</si>
  <si>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</si>
  <si>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</si>
  <si>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</si>
  <si>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</si>
  <si>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</si>
  <si>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</si>
  <si>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</si>
  <si>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</si>
  <si>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</si>
  <si>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</si>
  <si>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</si>
  <si>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</si>
  <si>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</si>
  <si>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</si>
  <si>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</si>
  <si>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</si>
  <si>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</si>
  <si>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</si>
  <si>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</si>
  <si>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</si>
  <si>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</si>
  <si>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</si>
  <si>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</si>
  <si>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</si>
  <si>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</si>
  <si>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</si>
  <si>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</si>
  <si>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</si>
  <si>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</si>
  <si>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</si>
  <si>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</si>
  <si>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</si>
  <si>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</si>
  <si>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</si>
  <si>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</si>
  <si>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</si>
  <si>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</si>
  <si>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</si>
  <si>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</si>
  <si>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</si>
  <si>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</si>
  <si>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</si>
  <si>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</si>
  <si>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</si>
  <si>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</si>
  <si>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</si>
  <si>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</si>
  <si>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</si>
  <si>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</si>
  <si>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</si>
  <si>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</si>
  <si>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</si>
  <si>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</si>
  <si>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</si>
  <si>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</si>
  <si>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</si>
  <si>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</si>
  <si>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</si>
  <si>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</si>
  <si>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</si>
  <si>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</si>
  <si>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</si>
  <si>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</si>
  <si>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</si>
  <si>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</si>
  <si>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</si>
  <si>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</si>
  <si>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</si>
  <si>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</si>
  <si>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</si>
  <si>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</si>
  <si>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</si>
  <si>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</si>
  <si>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</si>
  <si>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</si>
  <si>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</si>
  <si>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</si>
  <si>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</si>
  <si>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</si>
  <si>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</si>
  <si>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</si>
  <si>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</si>
  <si>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</si>
  <si>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</si>
  <si>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</si>
  <si>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</si>
  <si>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</si>
  <si>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</si>
  <si>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</si>
  <si>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</si>
  <si>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</si>
  <si>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</si>
  <si>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</si>
  <si>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</si>
  <si>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</si>
  <si>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</si>
  <si>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</si>
  <si>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</si>
  <si>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</si>
  <si>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</si>
  <si>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</si>
  <si>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</si>
  <si>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</si>
  <si>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</si>
  <si>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</si>
  <si>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</si>
  <si>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Solid storage (after solid separation) - Method 1</t>
  </si>
  <si>
    <t>Solid storage (after solid separation) - Method 2</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</si>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</sst>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0" fillId="4" borderId="0" xfId="8" applyAlignment="1">
      <alignment horizontal="center" vertic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171" fontId="40" fillId="4" borderId="0" xfId="8" applyNumberFormat="1">
      <alignment horizontal="lef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64" fillId="4" borderId="0" xfId="62" applyFont="1">
      <alignment horizontal="left" vertical="center"/>
    </xf>
    <xf numFmtId="0" fontId="13" fillId="6" borderId="0" xfId="29" applyAlignment="1">
      <alignment horizontal="left" vertical="center" indent="3"/>
    </xf>
    <xf numFmtId="0" fontId="65" fillId="6" borderId="0" xfId="30" applyFont="1" applyProtection="1">
      <alignment horizontal="center" vertical="center"/>
    </xf>
    <xf numFmtId="0" fontId="41"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40" fillId="4" borderId="0" xfId="8" applyAlignment="1">
      <alignment horizontal="left" vertical="center" indent="6"/>
    </xf>
    <xf numFmtId="0" fontId="64" fillId="4" borderId="0" xfId="62" applyFont="1" applyAlignment="1">
      <alignment horizontal="left" vertical="center" indent="6"/>
    </xf>
    <xf numFmtId="0" fontId="3" fillId="4" borderId="1" xfId="7" applyBorder="1">
      <alignment horizontal="left" vertical="center"/>
    </xf>
    <xf numFmtId="0" fontId="64" fillId="4" borderId="0" xfId="62" applyFont="1" applyAlignment="1">
      <alignment horizontal="left" vertical="center" indent="5"/>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70" t="e" vm="1">
        <v>#VALUE!</v>
      </c>
      <c r="C1" s="132" t="s">
        <v>241</v>
      </c>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row>
    <row r="2" spans="1:33" ht="20.100000000000001" customHeight="1" x14ac:dyDescent="0.25">
      <c r="A2" s="9"/>
      <c r="C2" s="133"/>
      <c r="D2" s="133"/>
      <c r="E2" s="133"/>
      <c r="F2" s="133"/>
      <c r="G2" s="133"/>
      <c r="H2" s="133"/>
      <c r="I2" s="133"/>
      <c r="J2" s="133"/>
      <c r="K2" s="133"/>
      <c r="L2" s="133"/>
      <c r="M2" s="133"/>
      <c r="N2" s="133"/>
      <c r="O2" s="133"/>
      <c r="P2" s="133"/>
      <c r="Q2" s="133"/>
      <c r="R2" s="133"/>
      <c r="S2" s="133"/>
      <c r="T2" s="133"/>
      <c r="U2" s="133"/>
      <c r="V2" s="133"/>
      <c r="W2" s="133"/>
    </row>
    <row r="3" spans="1:33" ht="20.100000000000001" customHeight="1" x14ac:dyDescent="0.25">
      <c r="A3" s="17" t="str">
        <f>HYPERLINK("#'Home'!A1", "Home")</f>
        <v>Home</v>
      </c>
      <c r="C3" s="134"/>
      <c r="D3" s="134"/>
      <c r="E3" s="134"/>
      <c r="F3" s="134"/>
      <c r="G3" s="134"/>
      <c r="H3" s="134"/>
      <c r="I3" s="134"/>
      <c r="J3" s="134"/>
      <c r="K3" s="134"/>
      <c r="L3" s="134"/>
      <c r="M3" s="134"/>
      <c r="N3" s="134"/>
      <c r="O3" s="134"/>
      <c r="P3" s="134"/>
      <c r="Q3" s="134"/>
      <c r="R3" s="134"/>
      <c r="S3" s="134"/>
      <c r="T3" s="134"/>
      <c r="U3" s="134"/>
      <c r="V3" s="134"/>
      <c r="W3" s="134"/>
    </row>
    <row r="4" spans="1:33" ht="20.100000000000001" customHeight="1" x14ac:dyDescent="0.25">
      <c r="A4" s="117"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47" t="s">
        <v>260</v>
      </c>
      <c r="E5" s="147"/>
      <c r="F5" s="147"/>
      <c r="G5" s="147"/>
      <c r="H5" s="147"/>
      <c r="I5" s="111"/>
      <c r="J5" s="94"/>
      <c r="K5" s="94"/>
      <c r="L5" s="94"/>
      <c r="M5" s="94"/>
      <c r="N5" s="94"/>
      <c r="O5" s="94"/>
      <c r="P5" s="90"/>
      <c r="Q5" s="1"/>
      <c r="R5" s="1"/>
      <c r="S5" s="1"/>
      <c r="T5" s="1"/>
      <c r="U5" s="1"/>
      <c r="V5" s="1"/>
      <c r="W5" s="1"/>
    </row>
    <row r="6" spans="1:33" ht="20.100000000000001" customHeight="1" x14ac:dyDescent="0.25">
      <c r="A6" s="16"/>
      <c r="C6" s="1"/>
      <c r="D6" s="148" t="s">
        <v>228</v>
      </c>
      <c r="E6" s="146"/>
      <c r="F6" s="146"/>
      <c r="G6" s="146"/>
      <c r="H6" s="146"/>
      <c r="I6" s="96"/>
      <c r="J6" s="93"/>
      <c r="K6" s="93"/>
      <c r="L6" s="93"/>
      <c r="M6" s="93"/>
      <c r="N6" s="93"/>
      <c r="O6" s="93"/>
      <c r="P6" s="91"/>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73</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0" t="e" vm="1">
        <v>#VALUE!</v>
      </c>
      <c r="C1" s="118" t="s">
        <v>242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7" t="str">
        <f>HYPERLINK("#'Results'!A1", "Results")</f>
        <v>Results</v>
      </c>
      <c r="C5" s="24"/>
      <c r="D5" s="28"/>
      <c r="E5" s="29"/>
      <c r="F5" s="29"/>
      <c r="G5" s="29"/>
      <c r="H5" s="26"/>
      <c r="I5" s="24"/>
      <c r="J5" s="24"/>
      <c r="K5" s="24"/>
    </row>
    <row r="6" spans="1:11" ht="20.100000000000001" customHeight="1" x14ac:dyDescent="0.25">
      <c r="A6" s="16"/>
      <c r="C6" s="24"/>
      <c r="D6" s="116" t="s">
        <v>112</v>
      </c>
      <c r="E6" s="116" t="s">
        <v>206</v>
      </c>
      <c r="F6" s="116" t="s">
        <v>207</v>
      </c>
      <c r="G6" s="116" t="s">
        <v>127</v>
      </c>
      <c r="H6" s="116" t="s">
        <v>208</v>
      </c>
      <c r="I6" s="116" t="s">
        <v>209</v>
      </c>
      <c r="J6" s="116" t="s">
        <v>128</v>
      </c>
      <c r="K6" s="24"/>
    </row>
    <row r="7" spans="1:11" ht="20.100000000000001" customHeight="1" x14ac:dyDescent="0.25">
      <c r="A7" s="20" t="s">
        <v>1</v>
      </c>
      <c r="C7" s="24"/>
      <c r="D7" s="1" t="s">
        <v>259</v>
      </c>
      <c r="E7" s="113">
        <f>'3.3.1.1-2 Enteric Methane'!E182</f>
        <v>32.464682683989999</v>
      </c>
      <c r="F7" s="113">
        <f>'3.3.1.1-2 Enteric Methane'!N182</f>
        <v>32.464682683989999</v>
      </c>
      <c r="G7" s="57" t="str">
        <f>'3.3.1.1-2 Enteric Methane'!$F$182</f>
        <v>t CH4</v>
      </c>
      <c r="H7" s="113">
        <f>'3.3.1.1-2 Enteric Methane'!E187</f>
        <v>909.01111515171999</v>
      </c>
      <c r="I7" s="113">
        <f>'3.3.1.1-2 Enteric Methane'!N187</f>
        <v>909.01111515171999</v>
      </c>
      <c r="J7" s="57" t="s">
        <v>204</v>
      </c>
      <c r="K7" s="24"/>
    </row>
    <row r="8" spans="1:11" ht="20.100000000000001" customHeight="1" x14ac:dyDescent="0.3">
      <c r="A8" s="17" t="str">
        <f>HYPERLINK("#'Input - Site'!A1", "Site")</f>
        <v>Site</v>
      </c>
      <c r="C8" s="24"/>
      <c r="D8" s="31" t="s">
        <v>126</v>
      </c>
      <c r="E8" s="25"/>
      <c r="F8" s="25"/>
      <c r="G8" s="31"/>
      <c r="H8" s="114">
        <f>SUM(H7)</f>
        <v>909.01111515171999</v>
      </c>
      <c r="I8" s="114">
        <f>SUM(I7:I7)</f>
        <v>909.01111515171999</v>
      </c>
      <c r="J8" s="109" t="s">
        <v>204</v>
      </c>
      <c r="K8" s="24"/>
    </row>
    <row r="9" spans="1:11" ht="20.100000000000001" customHeight="1" x14ac:dyDescent="0.25">
      <c r="A9" s="17" t="str">
        <f>HYPERLINK("#'Input - Dairy'!A1", "Dairy")</f>
        <v>Dairy</v>
      </c>
      <c r="C9" s="24"/>
      <c r="D9" s="1"/>
      <c r="E9" s="113"/>
      <c r="F9" s="113"/>
      <c r="G9" s="57"/>
      <c r="H9" s="113"/>
      <c r="I9" s="113"/>
      <c r="J9" s="57"/>
      <c r="K9" s="24"/>
    </row>
    <row r="10" spans="1:11" ht="20.100000000000001" customHeight="1" x14ac:dyDescent="0.25">
      <c r="A10" s="17"/>
      <c r="C10" s="24"/>
      <c r="D10" s="1"/>
      <c r="E10" s="113"/>
      <c r="F10" s="113"/>
      <c r="G10" s="57"/>
      <c r="H10" s="113"/>
      <c r="I10" s="113"/>
      <c r="J10" s="57"/>
      <c r="K10" s="24"/>
    </row>
    <row r="11" spans="1:11" ht="20.100000000000001" customHeight="1" x14ac:dyDescent="0.25">
      <c r="A11" s="19" t="s">
        <v>73</v>
      </c>
      <c r="C11" s="24"/>
      <c r="D11" s="113"/>
      <c r="E11" s="113"/>
      <c r="F11" s="113"/>
      <c r="G11" s="113"/>
      <c r="H11" s="113"/>
      <c r="I11" s="113"/>
      <c r="J11" s="113"/>
      <c r="K11" s="24"/>
    </row>
    <row r="12" spans="1:11" ht="20.100000000000001" customHeight="1" x14ac:dyDescent="0.25">
      <c r="A12" s="17" t="str">
        <f>HYPERLINK("#'3.3.1.1-2 Enteric Methane'!A1", "3.3.1.1-2 Enteric Methane")</f>
        <v>3.3.1.1-2 Enteric Methane</v>
      </c>
      <c r="C12" s="24"/>
      <c r="D12" s="113"/>
      <c r="E12" s="113"/>
      <c r="F12" s="113"/>
      <c r="G12" s="113"/>
      <c r="H12" s="113"/>
      <c r="I12" s="113"/>
      <c r="J12" s="113"/>
      <c r="K12" s="24"/>
    </row>
    <row r="13" spans="1:11" ht="20.100000000000001" customHeight="1" x14ac:dyDescent="0.25">
      <c r="A13" s="17"/>
      <c r="C13" s="24"/>
      <c r="D13" s="113"/>
      <c r="E13" s="113"/>
      <c r="F13" s="113"/>
      <c r="G13" s="113"/>
      <c r="H13" s="113"/>
      <c r="I13" s="113"/>
      <c r="J13" s="113"/>
      <c r="K13" s="24"/>
    </row>
    <row r="14" spans="1:11" ht="20.100000000000001" customHeight="1" x14ac:dyDescent="0.25">
      <c r="A14" s="18" t="s">
        <v>2</v>
      </c>
      <c r="C14" s="24"/>
      <c r="D14" s="113"/>
      <c r="E14" s="113"/>
      <c r="F14" s="113"/>
      <c r="G14" s="113"/>
      <c r="H14" s="113"/>
      <c r="I14" s="113"/>
      <c r="J14" s="113"/>
      <c r="K14" s="24"/>
    </row>
    <row r="15" spans="1:11" ht="20.100000000000001" customHeight="1" x14ac:dyDescent="0.25">
      <c r="A15" s="17" t="str">
        <f>HYPERLINK("#'Constants - Dairy'!A1", "Constants - Dairy")</f>
        <v>Constants - Dairy</v>
      </c>
      <c r="C15" s="24"/>
      <c r="D15" s="113"/>
      <c r="E15" s="113"/>
      <c r="F15" s="113"/>
      <c r="G15" s="113"/>
      <c r="H15" s="113"/>
      <c r="I15" s="113"/>
      <c r="J15" s="113"/>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2"/>
      <c r="J38" s="112"/>
      <c r="K38" s="24"/>
    </row>
    <row r="39" spans="3:11" ht="20.100000000000001" customHeight="1" x14ac:dyDescent="0.25">
      <c r="C39" s="24"/>
      <c r="D39" s="1"/>
      <c r="E39" s="1"/>
      <c r="F39" s="1"/>
      <c r="G39" s="1"/>
      <c r="H39" s="1"/>
      <c r="I39" s="112"/>
      <c r="J39" s="112"/>
      <c r="K39" s="24"/>
    </row>
    <row r="40" spans="3:11" ht="20.100000000000001" customHeight="1" x14ac:dyDescent="0.25">
      <c r="C40" s="24"/>
      <c r="D40" s="1"/>
      <c r="E40" s="1"/>
      <c r="F40" s="1"/>
      <c r="G40" s="1"/>
      <c r="H40" s="1"/>
      <c r="I40" s="112"/>
      <c r="J40" s="112"/>
      <c r="K40" s="24"/>
    </row>
    <row r="41" spans="3:11" ht="20.100000000000001" customHeight="1" x14ac:dyDescent="0.25">
      <c r="C41" s="24"/>
      <c r="D41" s="1"/>
      <c r="E41" s="1"/>
      <c r="F41" s="1"/>
      <c r="G41" s="1"/>
      <c r="H41" s="1"/>
      <c r="I41" s="112"/>
      <c r="J41" s="112"/>
      <c r="K41" s="24"/>
    </row>
    <row r="42" spans="3:11" ht="20.100000000000001" customHeight="1" x14ac:dyDescent="0.25">
      <c r="C42" s="24"/>
      <c r="D42" s="1"/>
      <c r="E42" s="1"/>
      <c r="F42" s="1"/>
      <c r="G42" s="1"/>
      <c r="H42" s="1"/>
      <c r="I42" s="112"/>
      <c r="J42" s="112"/>
      <c r="K42" s="24"/>
    </row>
    <row r="43" spans="3:11" ht="20.100000000000001" customHeight="1" x14ac:dyDescent="0.25">
      <c r="C43" s="24"/>
      <c r="D43" s="1"/>
      <c r="E43" s="1"/>
      <c r="F43" s="1"/>
      <c r="G43" s="1"/>
      <c r="H43" s="1"/>
      <c r="I43" s="112"/>
      <c r="J43" s="112"/>
      <c r="K43" s="24"/>
    </row>
    <row r="44" spans="3:11" ht="20.100000000000001" customHeight="1" x14ac:dyDescent="0.25">
      <c r="C44" s="24"/>
      <c r="D44" s="1"/>
      <c r="E44" s="1"/>
      <c r="F44" s="1"/>
      <c r="G44" s="1"/>
      <c r="H44" s="1"/>
      <c r="I44" s="112"/>
      <c r="J44" s="112"/>
      <c r="K44" s="24"/>
    </row>
    <row r="45" spans="3:11" ht="20.100000000000001" customHeight="1" x14ac:dyDescent="0.25">
      <c r="C45" s="24"/>
      <c r="D45" s="1"/>
      <c r="E45" s="1"/>
      <c r="F45" s="1"/>
      <c r="G45" s="1"/>
      <c r="H45" s="1"/>
      <c r="I45" s="112"/>
      <c r="J45" s="112"/>
      <c r="K45" s="24"/>
    </row>
    <row r="46" spans="3:11" ht="20.100000000000001" customHeight="1" x14ac:dyDescent="0.25">
      <c r="C46" s="24"/>
      <c r="D46" s="1"/>
      <c r="E46" s="1"/>
      <c r="F46" s="1"/>
      <c r="G46" s="1"/>
      <c r="H46" s="1"/>
      <c r="I46" s="112"/>
      <c r="J46" s="112"/>
      <c r="K46" s="24"/>
    </row>
    <row r="47" spans="3:11" ht="20.100000000000001" customHeight="1" x14ac:dyDescent="0.25">
      <c r="C47" s="24"/>
      <c r="D47" s="1"/>
      <c r="E47" s="1"/>
      <c r="F47" s="1"/>
      <c r="G47" s="1"/>
      <c r="H47" s="1"/>
      <c r="I47" s="112"/>
      <c r="J47" s="112"/>
      <c r="K47" s="24"/>
    </row>
    <row r="48" spans="3:11" ht="20.100000000000001" customHeight="1" x14ac:dyDescent="0.25">
      <c r="C48" s="24"/>
      <c r="D48" s="1"/>
      <c r="E48" s="1"/>
      <c r="F48" s="1"/>
      <c r="G48" s="1"/>
      <c r="H48" s="1"/>
      <c r="I48" s="112"/>
      <c r="J48" s="112"/>
      <c r="K48" s="24"/>
    </row>
    <row r="49" spans="3:11" ht="20.100000000000001" customHeight="1" x14ac:dyDescent="0.25">
      <c r="C49" s="24"/>
      <c r="D49" s="1"/>
      <c r="E49" s="1"/>
      <c r="F49" s="1"/>
      <c r="G49" s="1"/>
      <c r="H49" s="112"/>
      <c r="I49" s="112"/>
      <c r="J49" s="112"/>
      <c r="K49" s="24"/>
    </row>
    <row r="50" spans="3:11" ht="20.100000000000001" customHeight="1" x14ac:dyDescent="0.25">
      <c r="C50" s="24"/>
      <c r="D50" s="1"/>
      <c r="E50" s="1"/>
      <c r="F50" s="1"/>
      <c r="G50" s="1"/>
      <c r="H50" s="112"/>
      <c r="I50" s="112"/>
      <c r="J50" s="112"/>
      <c r="K50" s="24"/>
    </row>
    <row r="51" spans="3:11" ht="20.100000000000001" customHeight="1" x14ac:dyDescent="0.25">
      <c r="C51" s="24"/>
      <c r="D51" s="1"/>
      <c r="E51" s="1"/>
      <c r="F51" s="1"/>
      <c r="G51" s="1"/>
      <c r="H51" s="112"/>
      <c r="I51" s="112"/>
      <c r="J51" s="112"/>
      <c r="K51" s="24"/>
    </row>
    <row r="52" spans="3:11" ht="20.100000000000001" customHeight="1" x14ac:dyDescent="0.25">
      <c r="C52" s="24"/>
      <c r="D52" s="1"/>
      <c r="E52" s="1"/>
      <c r="F52" s="1"/>
      <c r="G52" s="1"/>
      <c r="H52" s="112"/>
      <c r="I52" s="112"/>
      <c r="J52" s="112"/>
      <c r="K52" s="24"/>
    </row>
    <row r="53" spans="3:11" ht="20.100000000000001" customHeight="1" x14ac:dyDescent="0.25">
      <c r="C53" s="24"/>
      <c r="D53" s="1"/>
      <c r="E53" s="1"/>
      <c r="F53" s="1"/>
      <c r="G53" s="1"/>
      <c r="H53" s="112"/>
      <c r="I53" s="112"/>
      <c r="J53" s="112"/>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71</v>
      </c>
      <c r="E8" s="35" t="s">
        <v>72</v>
      </c>
    </row>
    <row r="9" spans="1:24" ht="20.100000000000001" customHeight="1" x14ac:dyDescent="0.25">
      <c r="A9" s="17" t="str">
        <f>HYPERLINK("#'Input - Dairy'!A1", "Dairy")</f>
        <v>Dairy</v>
      </c>
      <c r="N9" s="45"/>
    </row>
    <row r="10" spans="1:24" ht="20.100000000000001" customHeight="1" x14ac:dyDescent="0.25">
      <c r="A10" s="17"/>
      <c r="D10" s="97" t="s">
        <v>86</v>
      </c>
      <c r="E10" s="95"/>
      <c r="F10" s="98"/>
      <c r="G10" s="92"/>
      <c r="N10" s="45"/>
    </row>
    <row r="11" spans="1:24" ht="20.100000000000001" customHeight="1" x14ac:dyDescent="0.25">
      <c r="A11" s="19" t="s">
        <v>73</v>
      </c>
      <c r="N11" s="46"/>
    </row>
    <row r="12" spans="1:24" ht="20.100000000000001" customHeight="1" x14ac:dyDescent="0.25">
      <c r="A12" s="17" t="str">
        <f>HYPERLINK("#'3.3.1.1-2 Enteric Methane'!A1", "3.3.1.1-2 Enteric Methane")</f>
        <v>3.3.1.1-2 Enteric Methane</v>
      </c>
      <c r="D12" s="10" t="s">
        <v>92</v>
      </c>
      <c r="E12" s="66">
        <v>45292</v>
      </c>
      <c r="F12" s="2" t="s">
        <v>69</v>
      </c>
    </row>
    <row r="13" spans="1:24" ht="20.100000000000001" customHeight="1" x14ac:dyDescent="0.25">
      <c r="A13" s="17"/>
      <c r="D13" s="10" t="s">
        <v>93</v>
      </c>
      <c r="E13" s="73">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9" t="s">
        <v>14</v>
      </c>
      <c r="E18" s="94"/>
      <c r="F18" s="94"/>
      <c r="G18" s="90"/>
    </row>
    <row r="19" spans="1:25" ht="20.100000000000001" customHeight="1" x14ac:dyDescent="0.25">
      <c r="A19"/>
      <c r="D19" s="96" t="s">
        <v>70</v>
      </c>
      <c r="E19" s="93"/>
      <c r="F19" s="93"/>
      <c r="G19" s="91"/>
      <c r="N19" s="43"/>
    </row>
    <row r="20" spans="1:25" ht="20.100000000000001" customHeight="1" x14ac:dyDescent="0.25">
      <c r="A20"/>
      <c r="D20" s="1"/>
      <c r="E20" s="33"/>
      <c r="F20" s="2"/>
      <c r="N20" s="44"/>
    </row>
    <row r="21" spans="1:25" ht="20.100000000000001" customHeight="1" x14ac:dyDescent="0.25">
      <c r="A21"/>
      <c r="D21" s="1" t="s">
        <v>6</v>
      </c>
      <c r="E21" s="42" t="s">
        <v>98</v>
      </c>
      <c r="F21" s="2" t="s">
        <v>9</v>
      </c>
    </row>
    <row r="22" spans="1:25" ht="20.100000000000001" customHeight="1" x14ac:dyDescent="0.25">
      <c r="A22"/>
      <c r="D22" s="1" t="s">
        <v>24</v>
      </c>
      <c r="E22" s="42" t="s">
        <v>33</v>
      </c>
      <c r="F22" s="2" t="s">
        <v>9</v>
      </c>
      <c r="G22" s="1"/>
    </row>
    <row r="23" spans="1:25" ht="20.100000000000001" customHeight="1" x14ac:dyDescent="0.25">
      <c r="A23"/>
      <c r="D23" s="1" t="s">
        <v>7</v>
      </c>
      <c r="E23" s="42" t="s">
        <v>91</v>
      </c>
      <c r="F23" s="2" t="s">
        <v>9</v>
      </c>
    </row>
    <row r="24" spans="1:25" ht="20.100000000000001" customHeight="1" x14ac:dyDescent="0.25">
      <c r="A24"/>
      <c r="D24" s="1" t="s">
        <v>38</v>
      </c>
      <c r="E24" s="35">
        <v>307.7</v>
      </c>
      <c r="F24" s="2" t="s">
        <v>52</v>
      </c>
    </row>
    <row r="25" spans="1:25" ht="20.100000000000001" customHeight="1" x14ac:dyDescent="0.25">
      <c r="A25"/>
      <c r="D25" s="1" t="s">
        <v>60</v>
      </c>
      <c r="E25" s="35">
        <v>18</v>
      </c>
      <c r="F25" s="2" t="s">
        <v>10</v>
      </c>
      <c r="N25" s="44"/>
    </row>
    <row r="26" spans="1:25" ht="20.100000000000001" customHeight="1" x14ac:dyDescent="0.25">
      <c r="A26"/>
      <c r="D26" s="1" t="s">
        <v>61</v>
      </c>
      <c r="E26" s="35">
        <v>601</v>
      </c>
      <c r="F26" s="2" t="s">
        <v>11</v>
      </c>
    </row>
    <row r="27" spans="1:25" ht="20.100000000000001" customHeight="1" x14ac:dyDescent="0.25">
      <c r="A27"/>
      <c r="D27" s="10" t="s">
        <v>62</v>
      </c>
      <c r="E27" s="35">
        <v>1326</v>
      </c>
      <c r="F27" s="2" t="s">
        <v>11</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8</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88</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6" workbookViewId="0">
      <selection activeCell="E53" sqref="E53"/>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0" customFormat="1" ht="30" customHeight="1" x14ac:dyDescent="0.35">
      <c r="A1" s="70" t="e" vm="1">
        <v>#VALUE!</v>
      </c>
      <c r="C1" s="70" t="s">
        <v>153</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99</v>
      </c>
      <c r="N5" s="3"/>
      <c r="R5" s="7"/>
    </row>
    <row r="6" spans="1:23" ht="20.100000000000001" customHeight="1" x14ac:dyDescent="0.25">
      <c r="A6" s="16"/>
      <c r="N6" s="3"/>
      <c r="R6" s="7"/>
    </row>
    <row r="7" spans="1:23" ht="20.100000000000001" customHeight="1" x14ac:dyDescent="0.25">
      <c r="A7" s="20" t="s">
        <v>1</v>
      </c>
      <c r="D7" s="1" t="s">
        <v>131</v>
      </c>
      <c r="E7" s="42" t="s">
        <v>176</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5"/>
      <c r="E9" s="41" t="s">
        <v>132</v>
      </c>
      <c r="F9" s="41" t="s">
        <v>149</v>
      </c>
      <c r="G9" s="41" t="s">
        <v>150</v>
      </c>
      <c r="H9" s="41" t="s">
        <v>151</v>
      </c>
      <c r="I9" s="41" t="s">
        <v>152</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4">
        <v>100</v>
      </c>
      <c r="F10" s="104">
        <v>100</v>
      </c>
      <c r="G10" s="104">
        <v>100</v>
      </c>
      <c r="H10" s="104">
        <v>100</v>
      </c>
      <c r="I10" s="104">
        <v>100</v>
      </c>
      <c r="J10" s="2" t="s">
        <v>101</v>
      </c>
      <c r="K10" s="2"/>
      <c r="L10" s="2"/>
      <c r="M10" s="2"/>
      <c r="R10" s="7"/>
    </row>
    <row r="11" spans="1:23" ht="20.100000000000001" customHeight="1" x14ac:dyDescent="0.25">
      <c r="A11" s="19" t="s">
        <v>73</v>
      </c>
      <c r="R11" s="7"/>
    </row>
    <row r="12" spans="1:23" ht="20.100000000000001" customHeight="1" x14ac:dyDescent="0.25">
      <c r="A12" s="17" t="str">
        <f>HYPERLINK("#'3.3.1.1-2 Enteric Methane'!A1", "3.3.1.1-2 Enteric Methane")</f>
        <v>3.3.1.1-2 Enteric Methane</v>
      </c>
      <c r="D12" s="51" t="s">
        <v>173</v>
      </c>
      <c r="R12" s="7"/>
    </row>
    <row r="13" spans="1:23" ht="20.100000000000001" customHeight="1" x14ac:dyDescent="0.25">
      <c r="A13" s="17"/>
      <c r="D13" s="65" t="s">
        <v>165</v>
      </c>
      <c r="E13" s="41" t="s">
        <v>132</v>
      </c>
      <c r="F13" s="41" t="s">
        <v>149</v>
      </c>
      <c r="G13" s="41" t="s">
        <v>150</v>
      </c>
      <c r="H13" s="41" t="s">
        <v>151</v>
      </c>
      <c r="I13" s="41" t="s">
        <v>152</v>
      </c>
      <c r="R13" s="40"/>
    </row>
    <row r="14" spans="1:23" ht="20.100000000000001" customHeight="1" x14ac:dyDescent="0.25">
      <c r="A14" s="18" t="s">
        <v>2</v>
      </c>
      <c r="D14" s="1" t="s">
        <v>174</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154</v>
      </c>
      <c r="K14" s="2"/>
      <c r="L14" s="2"/>
      <c r="M14" s="2"/>
      <c r="R14" s="40"/>
    </row>
    <row r="15" spans="1:23" ht="20.100000000000001" customHeight="1" x14ac:dyDescent="0.25">
      <c r="A15" s="17" t="str">
        <f>HYPERLINK("#'Constants - Dairy'!A1", "Constants - Dairy")</f>
        <v>Constants - Dairy</v>
      </c>
      <c r="D15" s="1" t="s">
        <v>175</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155</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5" t="s">
        <v>164</v>
      </c>
      <c r="E17" s="41" t="s">
        <v>132</v>
      </c>
      <c r="F17" s="41" t="s">
        <v>149</v>
      </c>
      <c r="G17" s="41" t="s">
        <v>150</v>
      </c>
      <c r="H17" s="41" t="s">
        <v>151</v>
      </c>
      <c r="I17" s="41" t="s">
        <v>152</v>
      </c>
      <c r="R17" s="7"/>
    </row>
    <row r="18" spans="1:18" ht="20.100000000000001" customHeight="1" x14ac:dyDescent="0.25">
      <c r="A18" s="17" t="str">
        <f>HYPERLINK("#'Acknowledgements'!A1", "Acknowledgements")</f>
        <v>Acknowledgements</v>
      </c>
      <c r="D18" s="1" t="s">
        <v>174</v>
      </c>
      <c r="E18" s="68" cm="1">
        <f t="array" ref="E18">Common_InputFunctions.Utility_LookupValueInTableNumber($E$7, Table_SourceData_Dairy_WjCowsHeifers[Breed],Table_SourceData_Dairy_WjCowsHeifers[Milking cows])</f>
        <v>550</v>
      </c>
      <c r="F18" s="68" cm="1">
        <f t="array" ref="F18">Common_InputFunctions.Utility_LookupValueInTableNumber($E$7, Table_SourceData_Dairy_WjCowsHeifers[Breed],Table_SourceData_Dairy_WjCowsHeifers[Heifers &gt; 1])</f>
        <v>380</v>
      </c>
      <c r="G18" s="68" cm="1">
        <f t="array" ref="G18">Common_InputFunctions.Utility_LookupValueInTableNumber($E$7, Table_SourceData_Dairy_WjCowsHeifers[Breed],Table_SourceData_Dairy_WjCowsHeifers[Heifers &lt; 1 (weaned)])</f>
        <v>155</v>
      </c>
      <c r="H18" s="68" cm="1">
        <f t="array" ref="H18">Table_SourceData_Dairy_WjBulls[Bulls &gt; 1]</f>
        <v>600</v>
      </c>
      <c r="I18" s="68" cm="1">
        <f t="array" ref="I18">Table_SourceData_Dairy_WjBulls[Bulls &lt; 1 (weaned)]</f>
        <v>225</v>
      </c>
      <c r="J18" s="2" t="s">
        <v>154</v>
      </c>
      <c r="K18" s="2"/>
      <c r="L18" s="2"/>
      <c r="M18" s="2"/>
      <c r="R18" s="7"/>
    </row>
    <row r="19" spans="1:18" ht="20.100000000000001" customHeight="1" x14ac:dyDescent="0.25">
      <c r="D19" s="1" t="s">
        <v>175</v>
      </c>
      <c r="E19" s="68" cm="1">
        <f t="array" ref="E19">Table_SourceData_Dairy_LWGj[Milking cows]</f>
        <v>1.6E-2</v>
      </c>
      <c r="F19" s="68" cm="1">
        <f t="array" ref="F19">Table_SourceData_Dairy_LWGj[Heifers &gt; 1]</f>
        <v>0.6</v>
      </c>
      <c r="G19" s="68" cm="1">
        <f t="array" ref="G19">Table_SourceData_Dairy_LWGj[Heifers &lt; 1 (weaned)]</f>
        <v>0.56999999999999995</v>
      </c>
      <c r="H19" s="68" cm="1">
        <f t="array" ref="H19">Table_SourceData_Dairy_LWGj[Bulls &gt; 1]</f>
        <v>0.1</v>
      </c>
      <c r="I19" s="68" cm="1">
        <f t="array" ref="I19">Table_SourceData_Dairy_LWGj[Bulls &lt; 1 (weaned)]</f>
        <v>0.8</v>
      </c>
      <c r="J19" s="2" t="s">
        <v>155</v>
      </c>
      <c r="K19" s="2"/>
      <c r="L19" s="2"/>
      <c r="M19" s="2"/>
      <c r="R19" s="7"/>
    </row>
    <row r="20" spans="1:18" ht="20.100000000000001" customHeight="1" x14ac:dyDescent="0.25">
      <c r="R20" s="7"/>
    </row>
    <row r="21" spans="1:18" ht="20.100000000000001" customHeight="1" x14ac:dyDescent="0.25">
      <c r="D21" s="51" t="s">
        <v>100</v>
      </c>
      <c r="R21" s="7"/>
    </row>
    <row r="22" spans="1:18" ht="20.100000000000001" customHeight="1" x14ac:dyDescent="0.25">
      <c r="R22" s="7"/>
    </row>
    <row r="23" spans="1:18" ht="20.100000000000001" customHeight="1" x14ac:dyDescent="0.25">
      <c r="D23" s="65" t="s">
        <v>165</v>
      </c>
      <c r="E23" s="41" t="s">
        <v>132</v>
      </c>
      <c r="F23" s="41" t="s">
        <v>149</v>
      </c>
      <c r="G23" s="41" t="s">
        <v>150</v>
      </c>
      <c r="H23" s="41" t="s">
        <v>151</v>
      </c>
      <c r="I23" s="41" t="s">
        <v>152</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53</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53</v>
      </c>
      <c r="K25" s="2"/>
      <c r="L25" s="2"/>
      <c r="M25" s="2"/>
      <c r="R25" s="7"/>
    </row>
    <row r="26" spans="1:18" ht="20.100000000000001" customHeight="1" x14ac:dyDescent="0.25">
      <c r="R26" s="7"/>
    </row>
    <row r="27" spans="1:18" ht="20.100000000000001" customHeight="1" x14ac:dyDescent="0.25">
      <c r="D27" s="65" t="s">
        <v>164</v>
      </c>
      <c r="E27" s="41" t="s">
        <v>132</v>
      </c>
      <c r="F27" s="41" t="s">
        <v>149</v>
      </c>
      <c r="G27" s="41" t="s">
        <v>150</v>
      </c>
      <c r="H27" s="41" t="s">
        <v>151</v>
      </c>
      <c r="I27" s="41" t="s">
        <v>152</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8" cm="1">
        <f t="array" ref="E28">Common_InputFunctions.Utility_LookupValueInTableNumber(E27,Table_SourceData_Dairy_Duration[Animal class j],Table_SourceData_Dairy_Duration[Duration (weaned)])</f>
        <v>365</v>
      </c>
      <c r="F28" s="68" cm="1">
        <f t="array" ref="F28">Common_InputFunctions.Utility_LookupValueInTableNumber(F27,Table_SourceData_Dairy_Duration[Animal class j],Table_SourceData_Dairy_Duration[Duration (weaned)])</f>
        <v>365</v>
      </c>
      <c r="G28" s="68" cm="1">
        <f t="array" ref="G28">Common_InputFunctions.Utility_LookupValueInTableNumber(G27,Table_SourceData_Dairy_Duration[Animal class j],Table_SourceData_Dairy_Duration[Duration (weaned)])</f>
        <v>281</v>
      </c>
      <c r="H28" s="68" cm="1">
        <f t="array" ref="H28">Common_InputFunctions.Utility_LookupValueInTableNumber(H27,Table_SourceData_Dairy_Duration[Animal class j],Table_SourceData_Dairy_Duration[Duration (weaned)])</f>
        <v>365</v>
      </c>
      <c r="I28" s="68" cm="1">
        <f t="array" ref="I28">Common_InputFunctions.Utility_LookupValueInTableNumber(I27,Table_SourceData_Dairy_Duration[Animal class j],Table_SourceData_Dairy_Duration[Duration (weaned)])</f>
        <v>281</v>
      </c>
      <c r="J28" s="2" t="s">
        <v>53</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53</v>
      </c>
      <c r="K29" s="2"/>
      <c r="L29" s="2"/>
      <c r="M29" s="2"/>
      <c r="R29" s="7"/>
    </row>
    <row r="30" spans="1:18" ht="20.100000000000001" customHeight="1" x14ac:dyDescent="0.25">
      <c r="A30" s="17"/>
      <c r="R30" s="7"/>
    </row>
    <row r="31" spans="1:18" ht="20.100000000000001" customHeight="1" x14ac:dyDescent="0.25">
      <c r="A31" s="69"/>
      <c r="R31" s="7"/>
    </row>
    <row r="32" spans="1:18" ht="20.100000000000001" customHeight="1" x14ac:dyDescent="0.25">
      <c r="A32" s="69"/>
      <c r="C32" s="48"/>
      <c r="D32" s="48"/>
      <c r="E32" s="48"/>
      <c r="F32" s="48"/>
      <c r="G32" s="48"/>
      <c r="H32" s="48"/>
      <c r="I32" s="48"/>
      <c r="J32" s="48"/>
      <c r="K32" s="48"/>
      <c r="L32" s="48"/>
      <c r="M32" s="48"/>
      <c r="N32" s="48"/>
      <c r="R32" s="7"/>
    </row>
    <row r="33" spans="1:18" ht="20.100000000000001" customHeight="1" x14ac:dyDescent="0.25">
      <c r="A33" s="17"/>
      <c r="D33" s="6" t="s">
        <v>171</v>
      </c>
      <c r="R33" s="7"/>
    </row>
    <row r="34" spans="1:18" ht="20.100000000000001" customHeight="1" x14ac:dyDescent="0.25">
      <c r="D34" s="51"/>
      <c r="R34" s="7"/>
    </row>
    <row r="35" spans="1:18" ht="20.100000000000001" customHeight="1" x14ac:dyDescent="0.25">
      <c r="D35" s="65" t="s">
        <v>165</v>
      </c>
      <c r="E35" s="41" t="s">
        <v>132</v>
      </c>
      <c r="F35" s="41" t="s">
        <v>149</v>
      </c>
      <c r="G35" s="41" t="s">
        <v>150</v>
      </c>
      <c r="H35" s="41" t="s">
        <v>151</v>
      </c>
      <c r="I35" s="41" t="s">
        <v>152</v>
      </c>
      <c r="R35" s="7"/>
    </row>
    <row r="36" spans="1:18" ht="20.100000000000001" customHeight="1" x14ac:dyDescent="0.25">
      <c r="D36" s="1" t="s">
        <v>170</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172</v>
      </c>
      <c r="K36" s="2"/>
      <c r="L36" s="2"/>
      <c r="M36" s="2"/>
      <c r="R36" s="7"/>
    </row>
    <row r="37" spans="1:18" ht="20.100000000000001" customHeight="1" x14ac:dyDescent="0.25">
      <c r="D37" s="1" t="s">
        <v>16</v>
      </c>
      <c r="E37" s="55">
        <f>'Constants - Dairy'!$D$160</f>
        <v>0.75</v>
      </c>
      <c r="F37" s="55">
        <f>'Constants - Dairy'!$D$160</f>
        <v>0.75</v>
      </c>
      <c r="G37" s="55">
        <f>'Constants - Dairy'!$D$160</f>
        <v>0.75</v>
      </c>
      <c r="H37" s="55">
        <f>'Constants - Dairy'!$D$160</f>
        <v>0.75</v>
      </c>
      <c r="I37" s="55">
        <f>'Constants - Dairy'!$D$160</f>
        <v>0.75</v>
      </c>
      <c r="J37" s="2" t="s">
        <v>94</v>
      </c>
      <c r="K37" s="2"/>
      <c r="L37" s="2"/>
      <c r="M37" s="2"/>
      <c r="R37" s="7"/>
    </row>
    <row r="38" spans="1:18" ht="20.100000000000001" customHeight="1" x14ac:dyDescent="0.25">
      <c r="D38" s="1" t="s">
        <v>104</v>
      </c>
      <c r="E38" s="55">
        <f>'Constants - Dairy'!$D$153</f>
        <v>0.2</v>
      </c>
      <c r="F38" s="55">
        <f>'Constants - Dairy'!$D$153</f>
        <v>0.2</v>
      </c>
      <c r="G38" s="55">
        <f>'Constants - Dairy'!$D$153</f>
        <v>0.2</v>
      </c>
      <c r="H38" s="55">
        <f>'Constants - Dairy'!$D$153</f>
        <v>0.2</v>
      </c>
      <c r="I38" s="55">
        <f>'Constants - Dairy'!$D$153</f>
        <v>0.2</v>
      </c>
      <c r="J38" s="2" t="s">
        <v>94</v>
      </c>
      <c r="K38" s="2"/>
      <c r="L38" s="2"/>
      <c r="M38" s="2"/>
      <c r="R38" s="7"/>
    </row>
    <row r="39" spans="1:18" ht="20.100000000000001" customHeight="1" x14ac:dyDescent="0.25">
      <c r="A39" s="17"/>
      <c r="R39" s="7"/>
    </row>
    <row r="40" spans="1:18" ht="20.100000000000001" customHeight="1" x14ac:dyDescent="0.25">
      <c r="D40" s="65" t="s">
        <v>164</v>
      </c>
      <c r="E40" s="41" t="s">
        <v>132</v>
      </c>
      <c r="F40" s="41" t="s">
        <v>149</v>
      </c>
      <c r="G40" s="41" t="s">
        <v>150</v>
      </c>
      <c r="H40" s="41" t="s">
        <v>151</v>
      </c>
      <c r="I40" s="41" t="s">
        <v>152</v>
      </c>
      <c r="R40" s="7"/>
    </row>
    <row r="41" spans="1:18" ht="20.100000000000001" customHeight="1" x14ac:dyDescent="0.25">
      <c r="A41" s="47"/>
      <c r="D41" s="1" t="s">
        <v>170</v>
      </c>
      <c r="E41" s="68" cm="1">
        <f t="array" ref="E41">Common_InputFunctions.Utility_LookupValueInTableNumber(E40,Table_SourceData_Dairy_Duration[Animal class j],Table_SourceData_Dairy_Duration[Duration (weaned)])</f>
        <v>365</v>
      </c>
      <c r="F41" s="68" cm="1">
        <f t="array" ref="F41">Common_InputFunctions.Utility_LookupValueInTableNumber(F40,Table_SourceData_Dairy_Duration[Animal class j],Table_SourceData_Dairy_Duration[Duration (weaned)])</f>
        <v>365</v>
      </c>
      <c r="G41" s="68" cm="1">
        <f t="array" ref="G41">Common_InputFunctions.Utility_LookupValueInTableNumber(G40,Table_SourceData_Dairy_Duration[Animal class j],Table_SourceData_Dairy_Duration[Duration (weaned)])</f>
        <v>281</v>
      </c>
      <c r="H41" s="68" cm="1">
        <f t="array" ref="H41">Common_InputFunctions.Utility_LookupValueInTableNumber(H40,Table_SourceData_Dairy_Duration[Animal class j],Table_SourceData_Dairy_Duration[Duration (weaned)])</f>
        <v>365</v>
      </c>
      <c r="I41" s="68" cm="1">
        <f t="array" ref="I41">Common_InputFunctions.Utility_LookupValueInTableNumber(I40,Table_SourceData_Dairy_Duration[Animal class j],Table_SourceData_Dairy_Duration[Duration (weaned)])</f>
        <v>281</v>
      </c>
      <c r="J41" s="2" t="s">
        <v>172</v>
      </c>
      <c r="K41" s="2"/>
      <c r="L41" s="2"/>
      <c r="M41" s="2"/>
      <c r="R41" s="7"/>
    </row>
    <row r="42" spans="1:18" ht="20.100000000000001" customHeight="1" x14ac:dyDescent="0.25">
      <c r="D42" s="1" t="s">
        <v>16</v>
      </c>
      <c r="E42" s="68">
        <v>0.75</v>
      </c>
      <c r="F42" s="68">
        <v>0.75</v>
      </c>
      <c r="G42" s="68">
        <v>0.75</v>
      </c>
      <c r="H42" s="68">
        <v>0.75</v>
      </c>
      <c r="I42" s="68">
        <v>0.75</v>
      </c>
      <c r="J42" s="2" t="s">
        <v>94</v>
      </c>
      <c r="K42" s="2"/>
      <c r="L42" s="2"/>
      <c r="M42" s="2"/>
      <c r="R42" s="7"/>
    </row>
    <row r="43" spans="1:18" ht="20.100000000000001" customHeight="1" x14ac:dyDescent="0.25">
      <c r="D43" s="1" t="s">
        <v>104</v>
      </c>
      <c r="E43" s="68">
        <v>0.2</v>
      </c>
      <c r="F43" s="68">
        <v>0.2</v>
      </c>
      <c r="G43" s="68">
        <v>0.2</v>
      </c>
      <c r="H43" s="68">
        <v>0.2</v>
      </c>
      <c r="I43" s="68">
        <v>0.2</v>
      </c>
      <c r="J43" s="2" t="s">
        <v>94</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156</v>
      </c>
      <c r="E47" s="3"/>
      <c r="F47" s="3"/>
      <c r="G47" s="3"/>
      <c r="H47" s="3"/>
      <c r="I47" s="3"/>
      <c r="J47" s="3"/>
      <c r="K47" s="3"/>
      <c r="L47" s="3"/>
      <c r="M47" s="3"/>
      <c r="R47" s="7"/>
    </row>
    <row r="48" spans="1:18" ht="20.100000000000001" customHeight="1" x14ac:dyDescent="0.25">
      <c r="G48" s="6"/>
      <c r="H48" s="6"/>
      <c r="I48" s="6"/>
      <c r="J48" s="120"/>
      <c r="K48" s="120"/>
      <c r="L48" s="120"/>
      <c r="M48" s="120"/>
      <c r="R48" s="7"/>
    </row>
    <row r="49" spans="3:18" ht="20.100000000000001" customHeight="1" x14ac:dyDescent="0.25">
      <c r="D49" s="1" t="s">
        <v>262</v>
      </c>
      <c r="E49" s="42" t="s">
        <v>275</v>
      </c>
      <c r="F49" s="2" t="s">
        <v>9</v>
      </c>
      <c r="H49" s="3"/>
      <c r="I49" s="3"/>
      <c r="J49" s="3"/>
      <c r="K49" s="3"/>
      <c r="L49" s="3"/>
      <c r="M49" s="3"/>
      <c r="R49" s="7"/>
    </row>
    <row r="50" spans="3:18" ht="20.100000000000001" customHeight="1" x14ac:dyDescent="0.25">
      <c r="R50" s="7"/>
    </row>
    <row r="51" spans="3:18" ht="20.100000000000001" customHeight="1" x14ac:dyDescent="0.25">
      <c r="E51" s="41" t="s">
        <v>132</v>
      </c>
      <c r="R51" s="7"/>
    </row>
    <row r="52" spans="3:18" ht="20.100000000000001" customHeight="1" x14ac:dyDescent="0.25">
      <c r="D52" s="1" t="s">
        <v>157</v>
      </c>
      <c r="E52" s="68">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272</v>
      </c>
      <c r="E54" s="41" t="s">
        <v>269</v>
      </c>
      <c r="F54" s="41" t="s">
        <v>270</v>
      </c>
      <c r="R54" s="7"/>
    </row>
    <row r="55" spans="3:18" ht="20.100000000000001" customHeight="1" x14ac:dyDescent="0.25">
      <c r="D55" s="1" t="s">
        <v>267</v>
      </c>
      <c r="E55" s="130">
        <f>'Constants - Dairy'!$D$221/100</f>
        <v>0.04</v>
      </c>
      <c r="F55" s="149">
        <f>'Constants - Dairy'!$D$221/100</f>
        <v>0.04</v>
      </c>
      <c r="G55" s="2" t="s">
        <v>271</v>
      </c>
      <c r="R55" s="7"/>
    </row>
    <row r="56" spans="3:18" ht="20.100000000000001" customHeight="1" x14ac:dyDescent="0.25">
      <c r="D56" s="1" t="s">
        <v>268</v>
      </c>
      <c r="E56" s="130">
        <f>'Constants - Dairy'!$D$227/100</f>
        <v>3.3000000000000002E-2</v>
      </c>
      <c r="F56" s="149">
        <f>'Constants - Dairy'!$D$227/100</f>
        <v>3.3000000000000002E-2</v>
      </c>
      <c r="G56" s="2" t="s">
        <v>271</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167</v>
      </c>
      <c r="R60" s="7"/>
    </row>
    <row r="61" spans="3:18" ht="20.100000000000001" customHeight="1" x14ac:dyDescent="0.25">
      <c r="D61" s="51" t="s">
        <v>160</v>
      </c>
      <c r="R61" s="7"/>
    </row>
    <row r="62" spans="3:18" ht="20.100000000000001" customHeight="1" x14ac:dyDescent="0.25">
      <c r="D62" s="1" t="s">
        <v>162</v>
      </c>
      <c r="E62" s="42" t="s">
        <v>169</v>
      </c>
      <c r="F62" s="2" t="s">
        <v>9</v>
      </c>
      <c r="N62" s="3"/>
      <c r="R62" s="7"/>
    </row>
    <row r="63" spans="3:18" ht="20.100000000000001" customHeight="1" x14ac:dyDescent="0.25">
      <c r="N63" s="3"/>
      <c r="R63" s="7"/>
    </row>
    <row r="64" spans="3:18" ht="20.100000000000001" customHeight="1" x14ac:dyDescent="0.25">
      <c r="D64" s="65" t="s">
        <v>165</v>
      </c>
      <c r="E64" s="41" t="s">
        <v>132</v>
      </c>
      <c r="F64" s="41" t="s">
        <v>149</v>
      </c>
      <c r="G64" s="41" t="s">
        <v>150</v>
      </c>
      <c r="H64" s="41" t="s">
        <v>151</v>
      </c>
      <c r="I64" s="41" t="s">
        <v>152</v>
      </c>
      <c r="N64" s="3"/>
      <c r="R64" s="7"/>
    </row>
    <row r="65" spans="3:18" ht="20.100000000000001" customHeight="1" x14ac:dyDescent="0.25">
      <c r="D65" s="1" t="s">
        <v>118</v>
      </c>
      <c r="E65" s="130" cm="1">
        <f t="array" ref="E65">Common_InputFunctions.Utility_LookupValueInTableNumber($E$62, Table_SourceData_Dairy_ProductionSystemTemplates[Area],Table_SourceData_Dairy_ProductionSystemTemplates[Pasture])</f>
        <v>0.53400000000000003</v>
      </c>
      <c r="F65" s="130" cm="1">
        <f t="array" ref="F65">Common_InputFunctions.Utility_LookupValueInTableNumber($E$62, Table_SourceData_Dairy_ProductionSystemTemplates[Area],Table_SourceData_Dairy_ProductionSystemTemplates[Pasture])</f>
        <v>0.53400000000000003</v>
      </c>
      <c r="G65" s="130" cm="1">
        <f t="array" ref="G65">Common_InputFunctions.Utility_LookupValueInTableNumber($E$62, Table_SourceData_Dairy_ProductionSystemTemplates[Area],Table_SourceData_Dairy_ProductionSystemTemplates[Pasture])</f>
        <v>0.53400000000000003</v>
      </c>
      <c r="H65" s="130" cm="1">
        <f t="array" ref="H65">Common_InputFunctions.Utility_LookupValueInTableNumber($E$62, Table_SourceData_Dairy_ProductionSystemTemplates[Area],Table_SourceData_Dairy_ProductionSystemTemplates[Pasture])</f>
        <v>0.53400000000000003</v>
      </c>
      <c r="I65" s="130" cm="1">
        <f t="array" ref="I65">Common_InputFunctions.Utility_LookupValueInTableNumber($E$62, Table_SourceData_Dairy_ProductionSystemTemplates[Area],Table_SourceData_Dairy_ProductionSystemTemplates[Pasture])</f>
        <v>0.53400000000000003</v>
      </c>
      <c r="J65" s="2" t="s">
        <v>271</v>
      </c>
      <c r="K65" s="2"/>
      <c r="L65" s="2"/>
      <c r="M65" s="2"/>
      <c r="N65" s="3"/>
    </row>
    <row r="66" spans="3:18" ht="20.100000000000001" customHeight="1" x14ac:dyDescent="0.25">
      <c r="D66" s="1" t="s">
        <v>146</v>
      </c>
      <c r="E66" s="130" cm="1">
        <f t="array" ref="E66">Common_InputFunctions.Utility_LookupValueInTableNumber($E$62, Table_SourceData_Dairy_ProductionSystemTemplates[Area],Table_SourceData_Dairy_ProductionSystemTemplates[Milking shed])</f>
        <v>0.11</v>
      </c>
      <c r="F66" s="130" cm="1">
        <f t="array" ref="F66">Common_InputFunctions.Utility_LookupValueInTableNumber($E$62, Table_SourceData_Dairy_ProductionSystemTemplates[Area],Table_SourceData_Dairy_ProductionSystemTemplates[Milking shed])</f>
        <v>0.11</v>
      </c>
      <c r="G66" s="130" cm="1">
        <f t="array" ref="G66">Common_InputFunctions.Utility_LookupValueInTableNumber($E$62, Table_SourceData_Dairy_ProductionSystemTemplates[Area],Table_SourceData_Dairy_ProductionSystemTemplates[Milking shed])</f>
        <v>0.11</v>
      </c>
      <c r="H66" s="130" cm="1">
        <f t="array" ref="H66">Common_InputFunctions.Utility_LookupValueInTableNumber($E$62, Table_SourceData_Dairy_ProductionSystemTemplates[Area],Table_SourceData_Dairy_ProductionSystemTemplates[Milking shed])</f>
        <v>0.11</v>
      </c>
      <c r="I66" s="130" cm="1">
        <f t="array" ref="I66">Common_InputFunctions.Utility_LookupValueInTableNumber($E$62, Table_SourceData_Dairy_ProductionSystemTemplates[Area],Table_SourceData_Dairy_ProductionSystemTemplates[Milking shed])</f>
        <v>0.11</v>
      </c>
      <c r="J66" s="2" t="s">
        <v>271</v>
      </c>
      <c r="K66" s="2"/>
      <c r="L66" s="2"/>
      <c r="M66" s="2"/>
      <c r="N66" s="3"/>
    </row>
    <row r="67" spans="3:18" ht="20.100000000000001" customHeight="1" x14ac:dyDescent="0.25">
      <c r="D67" s="1" t="s">
        <v>161</v>
      </c>
      <c r="E67" s="130" cm="1">
        <f t="array" ref="E67">Common_InputFunctions.Utility_LookupValueInTableNumber($E$62, Table_SourceData_Dairy_ProductionSystemTemplates[Area],Table_SourceData_Dairy_ProductionSystemTemplates[Feedpad])</f>
        <v>0.35599999999999998</v>
      </c>
      <c r="F67" s="130" cm="1">
        <f t="array" ref="F67">Common_InputFunctions.Utility_LookupValueInTableNumber($E$62, Table_SourceData_Dairy_ProductionSystemTemplates[Area],Table_SourceData_Dairy_ProductionSystemTemplates[Feedpad])</f>
        <v>0.35599999999999998</v>
      </c>
      <c r="G67" s="130" cm="1">
        <f t="array" ref="G67">Common_InputFunctions.Utility_LookupValueInTableNumber($E$62, Table_SourceData_Dairy_ProductionSystemTemplates[Area],Table_SourceData_Dairy_ProductionSystemTemplates[Feedpad])</f>
        <v>0.35599999999999998</v>
      </c>
      <c r="H67" s="130" cm="1">
        <f t="array" ref="H67">Common_InputFunctions.Utility_LookupValueInTableNumber($E$62, Table_SourceData_Dairy_ProductionSystemTemplates[Area],Table_SourceData_Dairy_ProductionSystemTemplates[Feedpad])</f>
        <v>0.35599999999999998</v>
      </c>
      <c r="I67" s="130" cm="1">
        <f t="array" ref="I67">Common_InputFunctions.Utility_LookupValueInTableNumber($E$62, Table_SourceData_Dairy_ProductionSystemTemplates[Area],Table_SourceData_Dairy_ProductionSystemTemplates[Feedpad])</f>
        <v>0.35599999999999998</v>
      </c>
      <c r="J67" s="2" t="s">
        <v>271</v>
      </c>
      <c r="K67" s="2"/>
      <c r="L67" s="2"/>
      <c r="M67" s="2"/>
      <c r="N67" s="3"/>
    </row>
    <row r="68" spans="3:18" ht="20.100000000000001" customHeight="1" x14ac:dyDescent="0.25">
      <c r="N68" s="3"/>
    </row>
    <row r="69" spans="3:18" ht="20.100000000000001" customHeight="1" x14ac:dyDescent="0.25">
      <c r="D69" s="65" t="s">
        <v>164</v>
      </c>
      <c r="E69" s="41" t="s">
        <v>132</v>
      </c>
      <c r="F69" s="41" t="s">
        <v>149</v>
      </c>
      <c r="G69" s="41" t="s">
        <v>150</v>
      </c>
      <c r="H69" s="41" t="s">
        <v>151</v>
      </c>
      <c r="I69" s="41" t="s">
        <v>152</v>
      </c>
      <c r="N69" s="3"/>
    </row>
    <row r="70" spans="3:18" ht="20.100000000000001" customHeight="1" x14ac:dyDescent="0.25">
      <c r="D70" s="1" t="s">
        <v>118</v>
      </c>
      <c r="E70" s="129" cm="1">
        <f t="array" ref="E70">Common_InputFunctions.Utility_LookupValueInTableNumber($E$62, Table_SourceData_Dairy_ProductionSystemTemplates[Area],Table_SourceData_Dairy_ProductionSystemTemplates[Pasture])</f>
        <v>0.53400000000000003</v>
      </c>
      <c r="F70" s="129" cm="1">
        <f t="array" ref="F70">Common_InputFunctions.Utility_LookupValueInTableNumber($E$62, Table_SourceData_Dairy_ProductionSystemTemplates[Area],Table_SourceData_Dairy_ProductionSystemTemplates[Pasture])</f>
        <v>0.53400000000000003</v>
      </c>
      <c r="G70" s="129" cm="1">
        <f t="array" ref="G70">Common_InputFunctions.Utility_LookupValueInTableNumber($E$62, Table_SourceData_Dairy_ProductionSystemTemplates[Area],Table_SourceData_Dairy_ProductionSystemTemplates[Pasture])</f>
        <v>0.53400000000000003</v>
      </c>
      <c r="H70" s="129" cm="1">
        <f t="array" ref="H70">Common_InputFunctions.Utility_LookupValueInTableNumber($E$62, Table_SourceData_Dairy_ProductionSystemTemplates[Area],Table_SourceData_Dairy_ProductionSystemTemplates[Pasture])</f>
        <v>0.53400000000000003</v>
      </c>
      <c r="I70" s="129" cm="1">
        <f t="array" ref="I70">Common_InputFunctions.Utility_LookupValueInTableNumber($E$62, Table_SourceData_Dairy_ProductionSystemTemplates[Area],Table_SourceData_Dairy_ProductionSystemTemplates[Pasture])</f>
        <v>0.53400000000000003</v>
      </c>
      <c r="J70" s="2" t="s">
        <v>271</v>
      </c>
      <c r="K70" s="2"/>
      <c r="L70" s="2"/>
      <c r="M70" s="2"/>
      <c r="N70" s="3"/>
    </row>
    <row r="71" spans="3:18" ht="20.100000000000001" customHeight="1" x14ac:dyDescent="0.25">
      <c r="D71" s="1" t="s">
        <v>146</v>
      </c>
      <c r="E71" s="129" cm="1">
        <f t="array" ref="E71">Common_InputFunctions.Utility_LookupValueInTableNumber($E$62, Table_SourceData_Dairy_ProductionSystemTemplates[Area],Table_SourceData_Dairy_ProductionSystemTemplates[Milking shed])</f>
        <v>0.11</v>
      </c>
      <c r="F71" s="129" cm="1">
        <f t="array" ref="F71">Common_InputFunctions.Utility_LookupValueInTableNumber($E$62, Table_SourceData_Dairy_ProductionSystemTemplates[Area],Table_SourceData_Dairy_ProductionSystemTemplates[Milking shed])</f>
        <v>0.11</v>
      </c>
      <c r="G71" s="129" cm="1">
        <f t="array" ref="G71">Common_InputFunctions.Utility_LookupValueInTableNumber($E$62, Table_SourceData_Dairy_ProductionSystemTemplates[Area],Table_SourceData_Dairy_ProductionSystemTemplates[Milking shed])</f>
        <v>0.11</v>
      </c>
      <c r="H71" s="129" cm="1">
        <f t="array" ref="H71">Common_InputFunctions.Utility_LookupValueInTableNumber($E$62, Table_SourceData_Dairy_ProductionSystemTemplates[Area],Table_SourceData_Dairy_ProductionSystemTemplates[Milking shed])</f>
        <v>0.11</v>
      </c>
      <c r="I71" s="129" cm="1">
        <f t="array" ref="I71">Common_InputFunctions.Utility_LookupValueInTableNumber($E$62, Table_SourceData_Dairy_ProductionSystemTemplates[Area],Table_SourceData_Dairy_ProductionSystemTemplates[Milking shed])</f>
        <v>0.11</v>
      </c>
      <c r="J71" s="2" t="s">
        <v>271</v>
      </c>
      <c r="K71" s="2"/>
      <c r="L71" s="2"/>
      <c r="M71" s="2"/>
      <c r="N71" s="3"/>
    </row>
    <row r="72" spans="3:18" ht="20.100000000000001" customHeight="1" x14ac:dyDescent="0.25">
      <c r="D72" s="1" t="s">
        <v>161</v>
      </c>
      <c r="E72" s="129" cm="1">
        <f t="array" ref="E72">Common_InputFunctions.Utility_LookupValueInTableNumber($E$62, Table_SourceData_Dairy_ProductionSystemTemplates[Area],Table_SourceData_Dairy_ProductionSystemTemplates[Feedpad])</f>
        <v>0.35599999999999998</v>
      </c>
      <c r="F72" s="129" cm="1">
        <f t="array" ref="F72">Common_InputFunctions.Utility_LookupValueInTableNumber($E$62, Table_SourceData_Dairy_ProductionSystemTemplates[Area],Table_SourceData_Dairy_ProductionSystemTemplates[Feedpad])</f>
        <v>0.35599999999999998</v>
      </c>
      <c r="G72" s="129" cm="1">
        <f t="array" ref="G72">Common_InputFunctions.Utility_LookupValueInTableNumber($E$62, Table_SourceData_Dairy_ProductionSystemTemplates[Area],Table_SourceData_Dairy_ProductionSystemTemplates[Feedpad])</f>
        <v>0.35599999999999998</v>
      </c>
      <c r="H72" s="129" cm="1">
        <f t="array" ref="H72">Common_InputFunctions.Utility_LookupValueInTableNumber($E$62, Table_SourceData_Dairy_ProductionSystemTemplates[Area],Table_SourceData_Dairy_ProductionSystemTemplates[Feedpad])</f>
        <v>0.35599999999999998</v>
      </c>
      <c r="I72" s="129" cm="1">
        <f t="array" ref="I72">Common_InputFunctions.Utility_LookupValueInTableNumber($E$62, Table_SourceData_Dairy_ProductionSystemTemplates[Area],Table_SourceData_Dairy_ProductionSystemTemplates[Feedpad])</f>
        <v>0.35599999999999998</v>
      </c>
      <c r="J72" s="2" t="s">
        <v>271</v>
      </c>
      <c r="K72" s="2"/>
      <c r="L72" s="2"/>
      <c r="M72" s="2"/>
      <c r="N72" s="3"/>
    </row>
    <row r="73" spans="3:18" ht="20.100000000000001" customHeight="1" x14ac:dyDescent="0.25">
      <c r="E73" s="122"/>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44"/>
    </row>
    <row r="76" spans="3:18" ht="20.100000000000001" customHeight="1" x14ac:dyDescent="0.25">
      <c r="D76" s="6" t="s">
        <v>97</v>
      </c>
      <c r="F76" s="121"/>
      <c r="N76" s="3"/>
    </row>
    <row r="77" spans="3:18" ht="20.100000000000001" customHeight="1" x14ac:dyDescent="0.25">
      <c r="D77" s="51" t="str">
        <f>"From " &amp; $D$66</f>
        <v>From Milking shed</v>
      </c>
      <c r="N77" s="3"/>
    </row>
    <row r="78" spans="3:18" ht="20.100000000000001" customHeight="1" x14ac:dyDescent="0.25">
      <c r="D78" s="136" t="s">
        <v>234</v>
      </c>
      <c r="E78" s="137" t="s">
        <v>235</v>
      </c>
      <c r="F78" s="137" t="s">
        <v>236</v>
      </c>
      <c r="G78" s="137" t="s">
        <v>237</v>
      </c>
      <c r="N78" s="3"/>
    </row>
    <row r="79" spans="3:18" ht="20.100000000000001" customHeight="1" x14ac:dyDescent="0.25">
      <c r="D79" s="138" t="str">
        <f>'Constants - Dairy'!$D$8</f>
        <v>Anaerobic lagoon</v>
      </c>
      <c r="E79" s="42" t="s">
        <v>166</v>
      </c>
      <c r="F79" s="100">
        <v>0.2</v>
      </c>
      <c r="G79" s="49">
        <v>0.2</v>
      </c>
      <c r="N79" s="3"/>
    </row>
    <row r="80" spans="3:18" ht="20.100000000000001" customHeight="1" x14ac:dyDescent="0.25">
      <c r="D80" s="138" t="str">
        <f>'Constants - Dairy'!$D$9</f>
        <v>Sump and dispersal system</v>
      </c>
      <c r="E80" s="42" t="s">
        <v>166</v>
      </c>
      <c r="F80" s="100">
        <v>0.2</v>
      </c>
      <c r="G80" s="49">
        <v>0.2</v>
      </c>
      <c r="N80" s="3"/>
      <c r="R80" s="7"/>
    </row>
    <row r="81" spans="4:18" ht="20.100000000000001" customHeight="1" x14ac:dyDescent="0.25">
      <c r="D81" s="138" t="str">
        <f>'Constants - Dairy'!$D$10</f>
        <v>Drains to paddock</v>
      </c>
      <c r="E81" s="42" t="s">
        <v>166</v>
      </c>
      <c r="F81" s="100">
        <v>0.2</v>
      </c>
      <c r="G81" s="49">
        <v>0.2</v>
      </c>
      <c r="N81" s="3"/>
      <c r="R81" s="7"/>
    </row>
    <row r="82" spans="4:18" ht="20.100000000000001" customHeight="1" x14ac:dyDescent="0.25">
      <c r="D82" s="143" t="s">
        <v>238</v>
      </c>
      <c r="N82" s="3"/>
      <c r="R82" s="7"/>
    </row>
    <row r="83" spans="4:18" ht="20.100000000000001" customHeight="1" x14ac:dyDescent="0.25">
      <c r="D83" s="140" t="s">
        <v>96</v>
      </c>
      <c r="E83" s="41" t="s">
        <v>132</v>
      </c>
      <c r="F83" s="41" t="s">
        <v>149</v>
      </c>
      <c r="G83" s="41" t="s">
        <v>150</v>
      </c>
      <c r="H83" s="41" t="s">
        <v>151</v>
      </c>
      <c r="I83" s="41" t="s">
        <v>152</v>
      </c>
      <c r="J83" s="135" t="s">
        <v>230</v>
      </c>
      <c r="K83" s="65" t="s">
        <v>229</v>
      </c>
      <c r="L83" s="65"/>
      <c r="M83" s="41"/>
      <c r="N83" s="3"/>
      <c r="R83" s="7"/>
    </row>
    <row r="84" spans="4:18" ht="20.100000000000001" customHeight="1" x14ac:dyDescent="0.25">
      <c r="K84" s="115" t="s">
        <v>231</v>
      </c>
      <c r="L84" s="115" t="s">
        <v>232</v>
      </c>
      <c r="M84" s="115" t="s">
        <v>233</v>
      </c>
      <c r="N84" s="3"/>
      <c r="R84" s="7"/>
    </row>
    <row r="85" spans="4:18" ht="20.100000000000001" customHeight="1" x14ac:dyDescent="0.25">
      <c r="D85" s="141" t="str">
        <f>'Constants - Dairy'!$D$8</f>
        <v>Anaerobic lagoon</v>
      </c>
      <c r="E85" s="49">
        <v>0.25</v>
      </c>
      <c r="F85" s="49">
        <v>0.25</v>
      </c>
      <c r="G85" s="49">
        <v>0.25</v>
      </c>
      <c r="H85" s="49">
        <v>0.25</v>
      </c>
      <c r="I85" s="49">
        <v>0.25</v>
      </c>
      <c r="J85" s="2" t="s">
        <v>17</v>
      </c>
      <c r="K85" s="49">
        <v>0.25</v>
      </c>
      <c r="L85" s="49">
        <v>0.25</v>
      </c>
      <c r="M85" s="100">
        <f>1-SUM(K85:L85)</f>
        <v>0.5</v>
      </c>
      <c r="R85" s="7"/>
    </row>
    <row r="86" spans="4:18" ht="20.100000000000001" customHeight="1" x14ac:dyDescent="0.25">
      <c r="D86" s="141" t="str">
        <f>'Constants - Dairy'!$D$9</f>
        <v>Sump and dispersal system</v>
      </c>
      <c r="E86" s="49">
        <v>0.25</v>
      </c>
      <c r="F86" s="49">
        <v>0.25</v>
      </c>
      <c r="G86" s="49">
        <v>0.25</v>
      </c>
      <c r="H86" s="49">
        <v>0.25</v>
      </c>
      <c r="I86" s="49">
        <v>0.25</v>
      </c>
      <c r="J86" s="2" t="s">
        <v>17</v>
      </c>
      <c r="K86" s="49">
        <v>0.25</v>
      </c>
      <c r="L86" s="49">
        <v>0.25</v>
      </c>
      <c r="M86" s="100">
        <f t="shared" ref="M86:M87" si="1">1-SUM(K86:L86)</f>
        <v>0.5</v>
      </c>
      <c r="R86" s="7"/>
    </row>
    <row r="87" spans="4:18" ht="20.100000000000001" customHeight="1" x14ac:dyDescent="0.25">
      <c r="D87" s="141" t="str">
        <f>'Constants - Dairy'!$D$10</f>
        <v>Drains to paddock</v>
      </c>
      <c r="E87" s="49">
        <v>0.25</v>
      </c>
      <c r="F87" s="49">
        <v>0.25</v>
      </c>
      <c r="G87" s="49">
        <v>0.25</v>
      </c>
      <c r="H87" s="49">
        <v>0.25</v>
      </c>
      <c r="I87" s="49">
        <v>0.25</v>
      </c>
      <c r="J87" s="2" t="s">
        <v>17</v>
      </c>
      <c r="K87" s="49">
        <v>0.25</v>
      </c>
      <c r="L87" s="49">
        <v>0.25</v>
      </c>
      <c r="M87" s="100">
        <f t="shared" si="1"/>
        <v>0.5</v>
      </c>
      <c r="R87" s="7"/>
    </row>
    <row r="88" spans="4:18" ht="20.100000000000001" customHeight="1" x14ac:dyDescent="0.25">
      <c r="D88" s="141" t="str">
        <f>'Constants - Dairy'!$D$11 &amp; " (before solid separation)"</f>
        <v>Solid storage (before solid separation)</v>
      </c>
      <c r="E88" s="49">
        <v>0.25</v>
      </c>
      <c r="F88" s="49">
        <v>0.25</v>
      </c>
      <c r="G88" s="49">
        <v>0.25</v>
      </c>
      <c r="H88" s="49">
        <v>0.25</v>
      </c>
      <c r="I88" s="49">
        <v>0.25</v>
      </c>
      <c r="J88" s="2" t="s">
        <v>17</v>
      </c>
      <c r="K88" s="49">
        <v>0.25</v>
      </c>
      <c r="L88" s="49">
        <v>0.25</v>
      </c>
      <c r="M88" s="100">
        <f t="shared" ref="M88" si="2">1-SUM(K88:L88)</f>
        <v>0.5</v>
      </c>
      <c r="R88" s="7"/>
    </row>
    <row r="89" spans="4:18" ht="20.100000000000001" customHeight="1" x14ac:dyDescent="0.25">
      <c r="D89" s="142" t="s">
        <v>239</v>
      </c>
      <c r="E89" s="100">
        <f>E88+(E85*$F79)+(E86*$F80)+(E87*$F81)</f>
        <v>0.39999999999999997</v>
      </c>
      <c r="F89" s="100">
        <f>F88+(F85*$F79)+(F86*$F80)+(F87*$F81)</f>
        <v>0.39999999999999997</v>
      </c>
      <c r="G89" s="100">
        <f>G88+(G85*$F79)+(G86*$F80)+(G87*$F81)</f>
        <v>0.39999999999999997</v>
      </c>
      <c r="H89" s="100">
        <f>H88+(H85*$F79)+(H86*$F80)+(H87*$F81)</f>
        <v>0.39999999999999997</v>
      </c>
      <c r="I89" s="100">
        <f>I88+(I85*$F79)+(I86*$F80)+(I87*$F81)</f>
        <v>0.39999999999999997</v>
      </c>
      <c r="J89" s="2" t="s">
        <v>17</v>
      </c>
      <c r="K89" s="2"/>
      <c r="L89" s="2"/>
      <c r="M89" s="2"/>
      <c r="R89" s="7"/>
    </row>
    <row r="90" spans="4:18" ht="20.100000000000001" customHeight="1" x14ac:dyDescent="0.25">
      <c r="D90" s="142" t="s">
        <v>240</v>
      </c>
      <c r="E90" s="100">
        <f>E88+(E85*$G79)+(E86*$G80)+(E87*$G81)</f>
        <v>0.39999999999999997</v>
      </c>
      <c r="F90" s="100">
        <f>F88+(F85*$G79)+(F86*$G80)+(F87*$G81)</f>
        <v>0.39999999999999997</v>
      </c>
      <c r="G90" s="100">
        <f>G88+(G85*$G79)+(G86*$G80)+(G87*$G81)</f>
        <v>0.39999999999999997</v>
      </c>
      <c r="H90" s="100">
        <f>H88+(H85*$G79)+(H86*$G80)+(H87*$G81)</f>
        <v>0.39999999999999997</v>
      </c>
      <c r="I90" s="100">
        <f>I88+(I85*$G79)+(I86*$G80)+(I87*$G81)</f>
        <v>0.39999999999999997</v>
      </c>
      <c r="J90" s="2" t="s">
        <v>17</v>
      </c>
      <c r="R90" s="7"/>
    </row>
    <row r="91" spans="4:18" ht="20.100000000000001" customHeight="1" x14ac:dyDescent="0.25">
      <c r="F91" s="2"/>
      <c r="R91" s="7"/>
    </row>
    <row r="92" spans="4:18" ht="20.100000000000001" customHeight="1" x14ac:dyDescent="0.25">
      <c r="F92" s="139"/>
      <c r="R92" s="7"/>
    </row>
    <row r="93" spans="4:18" ht="20.100000000000001" customHeight="1" x14ac:dyDescent="0.25">
      <c r="D93" s="51" t="str">
        <f>"From " &amp; $D$67</f>
        <v>From Feed pad</v>
      </c>
      <c r="R93" s="7"/>
    </row>
    <row r="94" spans="4:18" ht="20.100000000000001" customHeight="1" x14ac:dyDescent="0.25">
      <c r="D94" s="136" t="s">
        <v>234</v>
      </c>
      <c r="E94" s="137" t="s">
        <v>235</v>
      </c>
      <c r="F94" s="137" t="s">
        <v>236</v>
      </c>
      <c r="G94" s="137" t="s">
        <v>237</v>
      </c>
      <c r="R94" s="7"/>
    </row>
    <row r="95" spans="4:18" ht="20.100000000000001" customHeight="1" x14ac:dyDescent="0.25">
      <c r="D95" s="138" t="str">
        <f>'Constants - Dairy'!$D$8</f>
        <v>Anaerobic lagoon</v>
      </c>
      <c r="E95" s="42" t="s">
        <v>168</v>
      </c>
      <c r="F95" s="100">
        <f>IF(E95="Yes", 20%, 0)</f>
        <v>0</v>
      </c>
      <c r="G95" s="49">
        <f>IF(E95="Yes", 20%, 0)</f>
        <v>0</v>
      </c>
      <c r="K95" s="2"/>
      <c r="L95" s="2"/>
      <c r="M95" s="2"/>
      <c r="R95" s="7"/>
    </row>
    <row r="96" spans="4:18" ht="20.100000000000001" customHeight="1" x14ac:dyDescent="0.25">
      <c r="D96" s="138" t="str">
        <f>'Constants - Dairy'!$D$9</f>
        <v>Sump and dispersal system</v>
      </c>
      <c r="E96" s="42" t="s">
        <v>166</v>
      </c>
      <c r="F96" s="100">
        <f>IF(E96="Yes", 20%, 0)</f>
        <v>0.2</v>
      </c>
      <c r="G96" s="49">
        <f>IF(E96="Yes", 20%, 0)</f>
        <v>0.2</v>
      </c>
      <c r="R96" s="7"/>
    </row>
    <row r="97" spans="4:18" ht="20.100000000000001" customHeight="1" x14ac:dyDescent="0.25">
      <c r="D97" s="138" t="str">
        <f>'Constants - Dairy'!$D$10</f>
        <v>Drains to paddock</v>
      </c>
      <c r="E97" s="42" t="s">
        <v>166</v>
      </c>
      <c r="F97" s="100">
        <f>IF(E97="Yes", 20%, 0)</f>
        <v>0.2</v>
      </c>
      <c r="G97" s="49">
        <f>IF(E97="Yes", 20%, 0)</f>
        <v>0.2</v>
      </c>
      <c r="R97" s="7"/>
    </row>
    <row r="98" spans="4:18" ht="20.100000000000001" customHeight="1" x14ac:dyDescent="0.25">
      <c r="D98" s="145" t="s">
        <v>238</v>
      </c>
      <c r="F98" s="2"/>
      <c r="R98" s="7"/>
    </row>
    <row r="99" spans="4:18" ht="20.100000000000001" customHeight="1" x14ac:dyDescent="0.25">
      <c r="D99" s="140" t="s">
        <v>96</v>
      </c>
      <c r="E99" s="41" t="s">
        <v>132</v>
      </c>
      <c r="F99" s="41" t="s">
        <v>149</v>
      </c>
      <c r="G99" s="41" t="s">
        <v>150</v>
      </c>
      <c r="H99" s="41" t="s">
        <v>151</v>
      </c>
      <c r="I99" s="41" t="s">
        <v>152</v>
      </c>
      <c r="J99" s="135" t="s">
        <v>230</v>
      </c>
      <c r="K99" s="65" t="s">
        <v>229</v>
      </c>
      <c r="L99" s="65"/>
      <c r="M99" s="41"/>
      <c r="R99" s="7"/>
    </row>
    <row r="100" spans="4:18" ht="20.100000000000001" customHeight="1" x14ac:dyDescent="0.25">
      <c r="D100" s="142"/>
      <c r="K100" s="115" t="s">
        <v>231</v>
      </c>
      <c r="L100" s="115" t="s">
        <v>232</v>
      </c>
      <c r="M100" s="115" t="s">
        <v>233</v>
      </c>
      <c r="R100" s="7"/>
    </row>
    <row r="101" spans="4:18" ht="20.100000000000001" customHeight="1" x14ac:dyDescent="0.25">
      <c r="D101" s="141" t="str">
        <f>'Constants - Dairy'!$D$8</f>
        <v>Anaerobic lagoon</v>
      </c>
      <c r="E101" s="49">
        <v>0.25</v>
      </c>
      <c r="F101" s="49">
        <v>0.25</v>
      </c>
      <c r="G101" s="49">
        <v>0.25</v>
      </c>
      <c r="H101" s="49">
        <v>0.25</v>
      </c>
      <c r="I101" s="49">
        <v>0.25</v>
      </c>
      <c r="J101" s="2" t="s">
        <v>17</v>
      </c>
      <c r="K101" s="49">
        <v>0.25</v>
      </c>
      <c r="L101" s="49">
        <v>0.25</v>
      </c>
      <c r="M101" s="100">
        <f>1-SUM(K101:L101)</f>
        <v>0.5</v>
      </c>
      <c r="R101" s="7"/>
    </row>
    <row r="102" spans="4:18" ht="20.100000000000001" customHeight="1" x14ac:dyDescent="0.25">
      <c r="D102" s="141" t="str">
        <f>'Constants - Dairy'!$D$9</f>
        <v>Sump and dispersal system</v>
      </c>
      <c r="E102" s="49">
        <v>0.25</v>
      </c>
      <c r="F102" s="49">
        <v>0.25</v>
      </c>
      <c r="G102" s="49">
        <v>0.25</v>
      </c>
      <c r="H102" s="49">
        <v>0.25</v>
      </c>
      <c r="I102" s="49">
        <v>0.25</v>
      </c>
      <c r="J102" s="2" t="s">
        <v>17</v>
      </c>
      <c r="K102" s="49">
        <v>0.25</v>
      </c>
      <c r="L102" s="49">
        <v>0.25</v>
      </c>
      <c r="M102" s="100">
        <f t="shared" ref="M102:M103" si="3">1-SUM(K102:L102)</f>
        <v>0.5</v>
      </c>
      <c r="R102" s="7"/>
    </row>
    <row r="103" spans="4:18" ht="20.100000000000001" customHeight="1" x14ac:dyDescent="0.25">
      <c r="D103" s="141" t="str">
        <f>'Constants - Dairy'!$D$10</f>
        <v>Drains to paddock</v>
      </c>
      <c r="E103" s="49">
        <v>0.25</v>
      </c>
      <c r="F103" s="49">
        <v>0.25</v>
      </c>
      <c r="G103" s="49">
        <v>0.25</v>
      </c>
      <c r="H103" s="49">
        <v>0.25</v>
      </c>
      <c r="I103" s="49">
        <v>0.25</v>
      </c>
      <c r="J103" s="2" t="s">
        <v>17</v>
      </c>
      <c r="K103" s="49">
        <v>0.25</v>
      </c>
      <c r="L103" s="49">
        <v>0.25</v>
      </c>
      <c r="M103" s="100">
        <f t="shared" si="3"/>
        <v>0.5</v>
      </c>
      <c r="R103" s="7"/>
    </row>
    <row r="104" spans="4:18" ht="20.100000000000001" customHeight="1" x14ac:dyDescent="0.25">
      <c r="D104" s="141" t="str">
        <f>'Constants - Dairy'!$D$11 &amp; " (before solid separation)"</f>
        <v>Solid storage (before solid separation)</v>
      </c>
      <c r="E104" s="49">
        <v>0.25</v>
      </c>
      <c r="F104" s="49">
        <v>0.25</v>
      </c>
      <c r="G104" s="49">
        <v>0.25</v>
      </c>
      <c r="H104" s="49">
        <v>0.25</v>
      </c>
      <c r="I104" s="49">
        <v>0.25</v>
      </c>
      <c r="J104" s="2" t="s">
        <v>17</v>
      </c>
      <c r="K104" s="49">
        <v>0.25</v>
      </c>
      <c r="L104" s="49">
        <v>0.25</v>
      </c>
      <c r="M104" s="100">
        <f>1-SUM(K104:L104)</f>
        <v>0.5</v>
      </c>
      <c r="R104" s="7"/>
    </row>
    <row r="105" spans="4:18" ht="20.100000000000001" customHeight="1" x14ac:dyDescent="0.25">
      <c r="D105" s="142" t="s">
        <v>239</v>
      </c>
      <c r="E105" s="100">
        <f>E104+(E101*$F95)+(E102*$F96)+(E103*$F97)</f>
        <v>0.35</v>
      </c>
      <c r="F105" s="100">
        <f>F104+(F101*$F95)+(F102*$F96)+(F103*$F97)</f>
        <v>0.35</v>
      </c>
      <c r="G105" s="100">
        <f>G104+(G101*$F95)+(G102*$F96)+(G103*$F97)</f>
        <v>0.35</v>
      </c>
      <c r="H105" s="100">
        <f>H104+(H101*$F95)+(H102*$F96)+(H103*$F97)</f>
        <v>0.35</v>
      </c>
      <c r="I105" s="100">
        <f>I104+(I101*$F95)+(I102*$F96)+(I103*$F97)</f>
        <v>0.35</v>
      </c>
      <c r="J105" s="2" t="s">
        <v>17</v>
      </c>
      <c r="K105" s="2"/>
      <c r="L105" s="2"/>
      <c r="M105" s="2"/>
      <c r="R105" s="7"/>
    </row>
    <row r="106" spans="4:18" ht="20.100000000000001" customHeight="1" x14ac:dyDescent="0.25">
      <c r="D106" s="142" t="s">
        <v>240</v>
      </c>
      <c r="E106" s="100">
        <f>E104+(E101*$G95)+(E102*$G96)+(E103*$G97)</f>
        <v>0.35</v>
      </c>
      <c r="F106" s="100">
        <f>F104+(F101*$G95)+(F102*$G96)+(F103*$G97)</f>
        <v>0.35</v>
      </c>
      <c r="G106" s="100">
        <f>G104+(G101*$G95)+(G102*$G96)+(G103*$G97)</f>
        <v>0.35</v>
      </c>
      <c r="H106" s="100">
        <f>H104+(H101*$G95)+(H102*$G96)+(H103*$G97)</f>
        <v>0.35</v>
      </c>
      <c r="I106" s="100">
        <f>I104+(I101*$G95)+(I102*$G96)+(I103*$G97)</f>
        <v>0.35</v>
      </c>
      <c r="J106" s="2" t="s">
        <v>17</v>
      </c>
      <c r="R106" s="7"/>
    </row>
    <row r="107" spans="4:18" ht="20.100000000000001" customHeight="1" x14ac:dyDescent="0.25"/>
    <row r="108" spans="4:18" ht="20.100000000000001" customHeight="1" x14ac:dyDescent="0.25"/>
    <row r="109" spans="4:18" ht="20.100000000000001" customHeight="1" x14ac:dyDescent="0.25">
      <c r="D109" s="1" t="s">
        <v>113</v>
      </c>
      <c r="E109" s="42" t="s">
        <v>118</v>
      </c>
      <c r="F109" s="2" t="s">
        <v>9</v>
      </c>
    </row>
    <row r="110" spans="4:18" ht="20.100000000000001" customHeight="1" x14ac:dyDescent="0.25">
      <c r="E110" s="42" t="s">
        <v>123</v>
      </c>
      <c r="F110" s="2" t="s">
        <v>9</v>
      </c>
      <c r="K110" s="2"/>
      <c r="L110" s="2"/>
      <c r="M110" s="2"/>
    </row>
    <row r="111" spans="4:18" ht="20.100000000000001" customHeight="1" x14ac:dyDescent="0.25"/>
    <row r="112" spans="4:18" ht="20.100000000000001" customHeight="1" x14ac:dyDescent="0.25"/>
    <row r="113" spans="11:13" ht="20.100000000000001" customHeight="1" x14ac:dyDescent="0.25"/>
    <row r="114" spans="11:13" ht="20.100000000000001" customHeight="1" x14ac:dyDescent="0.25">
      <c r="K114" s="2"/>
      <c r="L114" s="2"/>
      <c r="M114" s="2"/>
    </row>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48" zoomScaleNormal="100" workbookViewId="0">
      <selection activeCell="D80" sqref="D8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243</v>
      </c>
      <c r="K1"/>
    </row>
    <row r="2" spans="1:19" s="9" customFormat="1" ht="20.100000000000001" customHeight="1" x14ac:dyDescent="0.25">
      <c r="K2"/>
    </row>
    <row r="3" spans="1:19" ht="20.100000000000001" customHeight="1" x14ac:dyDescent="0.25">
      <c r="A3" s="17" t="str">
        <f>HYPERLINK("#'Home'!A1", "Home")</f>
        <v>Home</v>
      </c>
      <c r="C3" s="4"/>
      <c r="D3" s="4" t="s">
        <v>107</v>
      </c>
      <c r="E3" s="4"/>
      <c r="F3" s="4"/>
      <c r="G3" s="4"/>
      <c r="H3" s="4"/>
      <c r="I3" s="4"/>
      <c r="J3" s="4"/>
      <c r="L3" s="4"/>
      <c r="M3" s="4" t="s">
        <v>108</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8"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25</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73</v>
      </c>
      <c r="D11" s="56" t="s">
        <v>28</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6" t="s">
        <v>18</v>
      </c>
      <c r="E12" s="57"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7" t="str" cm="1">
        <f t="array" ref="D14:E14">_xlfn.CHOOSECOLS(EntericMethane_Dairy_Equations.VEERG_3_3_1_1__6_MetabolisabilityOfDiet_Arguments(), 1,2)</f>
        <v>DMD_j</v>
      </c>
      <c r="E14" s="127" t="str">
        <v>dry matter digestibility expressed as a fraction</v>
      </c>
      <c r="F14" s="127"/>
      <c r="G14" s="127" t="str" cm="1">
        <f t="array" ref="G14:H14">_xlfn.CHOOSECOLS(EntericMethane_Dairy_Equations.VEERG_3_3_1_1__6_MetabolisabilityOfDiet_Arguments(), 3,4)</f>
        <v>fraction</v>
      </c>
      <c r="H14" s="125" t="str">
        <v>Input</v>
      </c>
      <c r="I14" s="127"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3" t="s">
        <v>109</v>
      </c>
      <c r="M16" s="103" t="s">
        <v>111</v>
      </c>
    </row>
    <row r="17" spans="1:19" ht="20.100000000000001" customHeight="1" x14ac:dyDescent="0.25">
      <c r="A17" s="17" t="str">
        <f>HYPERLINK("#'Constants - Common'!A1", "Constants - Common")</f>
        <v>Constants - Common</v>
      </c>
      <c r="D17" s="102" t="s">
        <v>110</v>
      </c>
      <c r="M17" s="102" t="s">
        <v>198</v>
      </c>
    </row>
    <row r="18" spans="1:19" ht="20.100000000000001" customHeight="1" x14ac:dyDescent="0.25">
      <c r="A18" s="17" t="str">
        <f>HYPERLINK("#'Acknowledgements'!A1", "Acknowledgements")</f>
        <v>Acknowledgements</v>
      </c>
      <c r="D18" s="41" t="s">
        <v>132</v>
      </c>
      <c r="E18" s="41" t="s">
        <v>149</v>
      </c>
      <c r="F18" s="41" t="s">
        <v>150</v>
      </c>
      <c r="G18" s="41" t="s">
        <v>151</v>
      </c>
      <c r="H18" s="41" t="s">
        <v>152</v>
      </c>
      <c r="M18" s="41" t="s">
        <v>132</v>
      </c>
      <c r="N18" s="41" t="s">
        <v>149</v>
      </c>
      <c r="O18" s="41" t="s">
        <v>150</v>
      </c>
      <c r="P18" s="41" t="s">
        <v>151</v>
      </c>
      <c r="Q18" s="41" t="s">
        <v>152</v>
      </c>
    </row>
    <row r="19" spans="1:19" ht="20.100000000000001" customHeight="1" x14ac:dyDescent="0.25">
      <c r="D19" s="55">
        <f>'Input - Dairy'!$E$37</f>
        <v>0.75</v>
      </c>
      <c r="E19" s="55">
        <f>'Input - Dairy'!$F$37</f>
        <v>0.75</v>
      </c>
      <c r="F19" s="55">
        <f>'Input - Dairy'!$G$37</f>
        <v>0.75</v>
      </c>
      <c r="G19" s="55">
        <f>'Input - Dairy'!$H$37</f>
        <v>0.75</v>
      </c>
      <c r="H19" s="55">
        <f>'Input - Dairy'!$I$37</f>
        <v>0.75</v>
      </c>
      <c r="I19" s="2" t="s">
        <v>187</v>
      </c>
      <c r="M19" s="55">
        <f>'Input - Dairy'!$E$42</f>
        <v>0.75</v>
      </c>
      <c r="N19" s="55">
        <f>'Input - Dairy'!$F$42</f>
        <v>0.75</v>
      </c>
      <c r="O19" s="55">
        <f>'Input - Dairy'!$G$42</f>
        <v>0.75</v>
      </c>
      <c r="P19" s="55">
        <f>'Input - Dairy'!$H$42</f>
        <v>0.75</v>
      </c>
      <c r="Q19" s="55">
        <f>'Input - Dairy'!$I$42</f>
        <v>0.75</v>
      </c>
      <c r="R19" s="2" t="s">
        <v>187</v>
      </c>
    </row>
    <row r="20" spans="1:19" ht="20.100000000000001" customHeight="1" x14ac:dyDescent="0.25"/>
    <row r="21" spans="1:19" ht="20.100000000000001" customHeight="1" x14ac:dyDescent="0.25">
      <c r="D21" s="103" t="s">
        <v>188</v>
      </c>
      <c r="M21" s="103" t="s">
        <v>190</v>
      </c>
    </row>
    <row r="22" spans="1:19" ht="20.100000000000001" customHeight="1" x14ac:dyDescent="0.25">
      <c r="D22" s="102" t="s">
        <v>189</v>
      </c>
      <c r="M22" s="102" t="s">
        <v>191</v>
      </c>
    </row>
    <row r="23" spans="1:19" ht="20.100000000000001" customHeight="1" x14ac:dyDescent="0.25">
      <c r="D23" s="54" t="s">
        <v>132</v>
      </c>
      <c r="E23" s="54" t="s">
        <v>149</v>
      </c>
      <c r="F23" s="54" t="s">
        <v>150</v>
      </c>
      <c r="G23" s="54" t="s">
        <v>151</v>
      </c>
      <c r="H23" s="54" t="s">
        <v>152</v>
      </c>
      <c r="M23" s="54" t="s">
        <v>132</v>
      </c>
      <c r="N23" s="54" t="s">
        <v>149</v>
      </c>
      <c r="O23" s="54" t="s">
        <v>150</v>
      </c>
      <c r="P23" s="54" t="s">
        <v>151</v>
      </c>
      <c r="Q23" s="54" t="s">
        <v>152</v>
      </c>
    </row>
    <row r="24" spans="1:19" ht="20.100000000000001" customHeight="1" x14ac:dyDescent="0.25">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M24" s="55" cm="1">
        <f t="array" ref="M24">EntericMethane_Dairy_Equations.VEERG_3_3_1_1__6_MetabolisabilityOfDietVariation(M19)</f>
        <v>0.5948500000000001</v>
      </c>
      <c r="N24" s="55" cm="1">
        <f t="array" ref="N24">EntericMethane_Dairy_Equations.VEERG_3_3_1_1__6_MetabolisabilityOfDietVariation(N19)</f>
        <v>0.5948500000000001</v>
      </c>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25</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6" t="s">
        <v>28</v>
      </c>
      <c r="E34" s="1" t="str" cm="1">
        <f t="array" ref="E34">EntericMethane_Dairy_Equations.VEERG_3_3_1_1__5_MilkProductionFromMilkSolids_Variable()</f>
        <v>MP_j</v>
      </c>
    </row>
    <row r="35" spans="4:18" ht="20.100000000000001" customHeight="1" x14ac:dyDescent="0.25">
      <c r="D35" s="56" t="s">
        <v>18</v>
      </c>
      <c r="E35" s="57" t="str" cm="1">
        <f t="array" ref="E35">EntericMethane_Dairy_Equations.VEERG_3_3_1_1__5_MilkProductionFromMilkSolids_Unit()</f>
        <v>L/head/day</v>
      </c>
    </row>
    <row r="36" spans="4:18" ht="20.100000000000001" customHeight="1" x14ac:dyDescent="0.25"/>
    <row r="37" spans="4:18" ht="20.100000000000001" customHeight="1" x14ac:dyDescent="0.25">
      <c r="D37" s="127" t="str" cm="1">
        <f t="array" ref="D37:E40">_xlfn.CHOOSECOLS(EntericMethane_Dairy_Equations.VEERG_3_3_1_1__5_MilkProductionFromMilkSolids_Arguments(),1,2)</f>
        <v>MPU</v>
      </c>
      <c r="E37" s="126" t="str">
        <v>input milk production unit</v>
      </c>
      <c r="F37" s="128"/>
      <c r="G37" s="127" t="str" cm="1">
        <f t="array" ref="G37:H40">_xlfn.CHOOSECOLS(EntericMethane_Dairy_Equations.VEERG_3_3_1_1__5_MilkProductionFromMilkSolids_Arguments(),3,4)</f>
        <v/>
      </c>
      <c r="H37" s="125" t="str">
        <v>Input</v>
      </c>
      <c r="I37" s="127" t="str">
        <f>'Input - Dairy'!$E$49</f>
        <v>Litres of milk</v>
      </c>
      <c r="M37" s="127" t="str" cm="1">
        <f t="array" ref="M37:N40">_xlfn.CHOOSECOLS(EntericMethane_Dairy_Equations.VEERG_3_3_1_1__5_MilkProductionFromMilkSolids_Arguments(),1,2)</f>
        <v>MPU</v>
      </c>
      <c r="N37" s="126" t="str">
        <v>input milk production unit</v>
      </c>
      <c r="O37" s="128"/>
      <c r="P37" s="127" t="str" cm="1">
        <f t="array" ref="P37:Q40">_xlfn.CHOOSECOLS(EntericMethane_Dairy_Equations.VEERG_3_3_1_1__5_MilkProductionFromMilkSolids_Arguments(),3,4)</f>
        <v/>
      </c>
      <c r="Q37" s="125" t="str">
        <v>Input</v>
      </c>
      <c r="R37" s="127"/>
    </row>
    <row r="38" spans="4:18" ht="20.100000000000001" customHeight="1" x14ac:dyDescent="0.25">
      <c r="D38" s="127" t="str">
        <v>MS_j</v>
      </c>
      <c r="E38" s="126" t="str">
        <v>daily production of milk solids</v>
      </c>
      <c r="F38" s="128"/>
      <c r="G38" s="127" t="str">
        <v>kg MS/head/day</v>
      </c>
      <c r="H38" s="125" t="str">
        <v>Input</v>
      </c>
      <c r="I38" s="124" t="str" cm="1">
        <f t="array" aca="1" ref="I38" ca="1">HYPERLINK(Common_InputFunctions.Utility_SourceHyperlink($D$42),$D$42)</f>
        <v>M1_Table_MS_j</v>
      </c>
      <c r="M38" s="127" t="str">
        <v>MS_j</v>
      </c>
      <c r="N38" s="126" t="str">
        <v>daily production of milk solids</v>
      </c>
      <c r="O38" s="128"/>
      <c r="P38" s="127" t="str">
        <v>kg MS/head/day</v>
      </c>
      <c r="Q38" s="125" t="str">
        <v>Input</v>
      </c>
      <c r="R38" s="124"/>
    </row>
    <row r="39" spans="4:18" ht="20.100000000000001" customHeight="1" x14ac:dyDescent="0.25">
      <c r="D39" s="127" t="str">
        <v>FC_j</v>
      </c>
      <c r="E39" s="126" t="str">
        <v>fat content in fat and protein corrected milk</v>
      </c>
      <c r="F39" s="128"/>
      <c r="G39" s="127" t="str">
        <v>per cent</v>
      </c>
      <c r="H39" s="123" t="str">
        <v>Constant</v>
      </c>
      <c r="I39" s="127">
        <f>'Input - Dairy'!$E$55*100</f>
        <v>4</v>
      </c>
      <c r="M39" s="127" t="str">
        <v>FC_j</v>
      </c>
      <c r="N39" s="126" t="str">
        <v>fat content in fat and protein corrected milk</v>
      </c>
      <c r="O39" s="128"/>
      <c r="P39" s="127" t="str">
        <v>per cent</v>
      </c>
      <c r="Q39" s="123" t="str">
        <v>Constant</v>
      </c>
      <c r="R39" s="127">
        <f>'Input - Dairy'!$F$55*100</f>
        <v>4</v>
      </c>
    </row>
    <row r="40" spans="4:18" ht="20.100000000000001" customHeight="1" x14ac:dyDescent="0.25">
      <c r="D40" s="127" t="str">
        <v>PC_j</v>
      </c>
      <c r="E40" s="127" t="str">
        <v>protein content in fat and protein corrected milk</v>
      </c>
      <c r="F40" s="127"/>
      <c r="G40" s="127" t="str">
        <v>per cent</v>
      </c>
      <c r="H40" s="123" t="str">
        <v>Constant</v>
      </c>
      <c r="I40" s="127">
        <f>'Input - Dairy'!$E$56*100</f>
        <v>3.3000000000000003</v>
      </c>
      <c r="M40" s="127" t="str">
        <v>PC_j</v>
      </c>
      <c r="N40" s="127" t="str">
        <v>protein content in fat and protein corrected milk</v>
      </c>
      <c r="O40" s="127"/>
      <c r="P40" s="127" t="str">
        <v>per cent</v>
      </c>
      <c r="Q40" s="123" t="str">
        <v>Constant</v>
      </c>
      <c r="R40" s="127">
        <f>'Input - Dairy'!$F$56*100</f>
        <v>3.3000000000000003</v>
      </c>
    </row>
    <row r="41" spans="4:18" ht="20.100000000000001" customHeight="1" x14ac:dyDescent="0.25"/>
    <row r="42" spans="4:18" ht="20.100000000000001" customHeight="1" x14ac:dyDescent="0.25">
      <c r="D42" s="103" t="s">
        <v>263</v>
      </c>
    </row>
    <row r="43" spans="4:18" ht="20.100000000000001" customHeight="1" x14ac:dyDescent="0.25">
      <c r="D43" s="102" t="s">
        <v>264</v>
      </c>
    </row>
    <row r="44" spans="4:18" ht="20.100000000000001" customHeight="1" x14ac:dyDescent="0.25">
      <c r="D44" s="41" t="s">
        <v>132</v>
      </c>
      <c r="E44" s="41" t="s">
        <v>149</v>
      </c>
      <c r="F44" s="41" t="s">
        <v>150</v>
      </c>
      <c r="G44" s="41" t="s">
        <v>151</v>
      </c>
      <c r="H44" s="41" t="s">
        <v>152</v>
      </c>
    </row>
    <row r="45" spans="4:18" ht="20.100000000000001" customHeight="1" x14ac:dyDescent="0.25">
      <c r="D45" s="55">
        <f>IF($I$37="Milk solids", 'Input - Dairy'!$E$52, 0)</f>
        <v>0</v>
      </c>
      <c r="E45" s="55">
        <v>0</v>
      </c>
      <c r="F45" s="55">
        <v>0</v>
      </c>
      <c r="G45" s="55">
        <v>0</v>
      </c>
      <c r="H45" s="55">
        <v>0</v>
      </c>
      <c r="I45" s="2" t="s">
        <v>194</v>
      </c>
    </row>
    <row r="46" spans="4:18" ht="20.100000000000001" customHeight="1" x14ac:dyDescent="0.25"/>
    <row r="47" spans="4:18" ht="20.100000000000001" customHeight="1" x14ac:dyDescent="0.25">
      <c r="D47" s="103" t="s">
        <v>265</v>
      </c>
      <c r="M47" s="103" t="s">
        <v>273</v>
      </c>
    </row>
    <row r="48" spans="4:18" ht="20.100000000000001" customHeight="1" x14ac:dyDescent="0.25">
      <c r="D48" s="102" t="s">
        <v>266</v>
      </c>
      <c r="M48" s="102" t="s">
        <v>274</v>
      </c>
    </row>
    <row r="49" spans="1:19" ht="20.100000000000001" customHeight="1" x14ac:dyDescent="0.25">
      <c r="D49" s="54" t="s">
        <v>132</v>
      </c>
      <c r="E49" s="54" t="s">
        <v>149</v>
      </c>
      <c r="F49" s="54" t="s">
        <v>150</v>
      </c>
      <c r="G49" s="54" t="s">
        <v>151</v>
      </c>
      <c r="H49" s="54" t="s">
        <v>152</v>
      </c>
      <c r="M49" s="54" t="s">
        <v>132</v>
      </c>
      <c r="N49" s="54" t="s">
        <v>149</v>
      </c>
      <c r="O49" s="54" t="s">
        <v>150</v>
      </c>
      <c r="P49" s="54" t="s">
        <v>151</v>
      </c>
      <c r="Q49" s="54" t="s">
        <v>152</v>
      </c>
    </row>
    <row r="50" spans="1:19" ht="20.100000000000001" customHeight="1" x14ac:dyDescent="0.25">
      <c r="D50" s="55" cm="1">
        <f t="array" ref="D50">EntericMethane_Dairy_Equations.VEERG_3_3_1_1__5_MilkProductionFromMilkSolids(D45,I39,I40)</f>
        <v>0</v>
      </c>
      <c r="E50" s="55">
        <v>0</v>
      </c>
      <c r="F50" s="55">
        <v>0</v>
      </c>
      <c r="G50" s="55">
        <v>0</v>
      </c>
      <c r="H50" s="55">
        <v>0</v>
      </c>
      <c r="I50" s="2" t="s">
        <v>194</v>
      </c>
      <c r="M50" s="55" cm="1">
        <f t="array" ref="M50">EntericMethane_Dairy_Equations.VEERG_3_3_1_1__5_MilkProductionFromMilkSolids(D45,R39,R40)</f>
        <v>0</v>
      </c>
      <c r="N50" s="55">
        <v>0</v>
      </c>
      <c r="O50" s="55">
        <v>0</v>
      </c>
      <c r="P50" s="55">
        <v>0</v>
      </c>
      <c r="Q50" s="55">
        <v>0</v>
      </c>
      <c r="R50" s="2" t="s">
        <v>194</v>
      </c>
    </row>
    <row r="51" spans="1:19" ht="20.100000000000001" customHeight="1" x14ac:dyDescent="0.25">
      <c r="A51" s="131"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8"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25</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6" t="s">
        <v>28</v>
      </c>
      <c r="E61" s="1" t="str" cm="1">
        <f t="array" ref="E61">EntericMethane_Dairy_Equations.VEERG_3_3_1_1__4_AdditionalIntakeForMilkProduction_Variable()</f>
        <v>MI_j</v>
      </c>
    </row>
    <row r="62" spans="1:19" ht="20.100000000000001" customHeight="1" x14ac:dyDescent="0.25">
      <c r="D62" s="56" t="s">
        <v>18</v>
      </c>
      <c r="E62" s="57"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7" t="str" cm="1">
        <f t="array" ref="D64:E70">_xlfn.CHOOSECOLS(EntericMethane_Dairy_Equations.VEERG_3_3_1_1__4_AdditionalIntakeForMilkProduction_Arguments(), 1,2)</f>
        <v>MPU</v>
      </c>
      <c r="E64" s="126" t="str">
        <v>input milk production unit</v>
      </c>
      <c r="F64" s="128"/>
      <c r="G64" s="127" t="str" cm="1">
        <f t="array" ref="G64:H70">_xlfn.CHOOSECOLS(EntericMethane_Dairy_Equations.VEERG_3_3_1_1__4_AdditionalIntakeForMilkProduction_Arguments(), 3,4)</f>
        <v/>
      </c>
      <c r="H64" s="125" t="str">
        <v>Input</v>
      </c>
      <c r="I64" s="127" t="str">
        <f>'Input - Dairy'!$E$49</f>
        <v>Litres of milk</v>
      </c>
    </row>
    <row r="65" spans="4:18" ht="20.100000000000001" customHeight="1" x14ac:dyDescent="0.25">
      <c r="D65" s="127" t="str">
        <v>MP_j</v>
      </c>
      <c r="E65" s="126" t="str">
        <v>milk production (if input as litres of milk)</v>
      </c>
      <c r="F65" s="128"/>
      <c r="G65" s="127" t="str">
        <v>L/head/day</v>
      </c>
      <c r="H65" s="125" t="str">
        <v>Input</v>
      </c>
      <c r="I65" s="124" t="str" cm="1">
        <f t="array" aca="1" ref="I65" ca="1">HYPERLINK(Common_InputFunctions.Utility_SourceHyperlink($D$72), $D$72)</f>
        <v>Table_MP_j</v>
      </c>
    </row>
    <row r="66" spans="4:18" ht="20.100000000000001" customHeight="1" x14ac:dyDescent="0.25">
      <c r="D66" s="127" t="str">
        <v>MP_j</v>
      </c>
      <c r="E66" s="126" t="str">
        <v>milk production (if input as milk solids)</v>
      </c>
      <c r="F66" s="128"/>
      <c r="G66" s="127" t="str">
        <v>L/head/day</v>
      </c>
      <c r="H66" s="123" t="str">
        <v>Calculated from 3.3.1.1 (5)</v>
      </c>
      <c r="I66" s="124" t="str" cm="1">
        <f t="array" aca="1" ref="I66" ca="1">HYPERLINK(Common_InputFunctions.Utility_SourceHyperlink($D$47),$D$47)</f>
        <v>M1_Table_MP_j_from_solids</v>
      </c>
    </row>
    <row r="67" spans="4:18" ht="20.100000000000001" customHeight="1" x14ac:dyDescent="0.25">
      <c r="D67" s="127" t="str">
        <v>NE</v>
      </c>
      <c r="E67" s="126" t="str">
        <v>net energy</v>
      </c>
      <c r="F67" s="128"/>
      <c r="G67" s="127" t="str">
        <v>MJ net energy/kg milk</v>
      </c>
      <c r="H67" s="123" t="str">
        <v>Constant</v>
      </c>
      <c r="I67" s="127">
        <f>'Constants - Dairy'!$D$167</f>
        <v>3.0539999999999998</v>
      </c>
    </row>
    <row r="68" spans="4:18" ht="20.100000000000001" customHeight="1" x14ac:dyDescent="0.25">
      <c r="D68" s="127" t="str">
        <v>GEC</v>
      </c>
      <c r="E68" s="126" t="str">
        <v>gross energy content</v>
      </c>
      <c r="F68" s="128"/>
      <c r="G68" s="127" t="str">
        <v>MJ/kgDM</v>
      </c>
      <c r="H68" s="123" t="str">
        <v>Constant</v>
      </c>
      <c r="I68" s="127">
        <f>'Constants - Dairy'!$D$174</f>
        <v>18.399999999999999</v>
      </c>
    </row>
    <row r="69" spans="4:18" ht="20.100000000000001" customHeight="1" x14ac:dyDescent="0.25">
      <c r="D69" s="127" t="str">
        <v>k</v>
      </c>
      <c r="E69" s="126" t="str">
        <v>efficiency of metabolizable energy use for milk production</v>
      </c>
      <c r="F69" s="128"/>
      <c r="G69" s="127" t="str">
        <v>fraction</v>
      </c>
      <c r="H69" s="123" t="str">
        <v>Constant</v>
      </c>
      <c r="I69" s="127">
        <f>'Constants - Dairy'!$D$181</f>
        <v>0.6</v>
      </c>
    </row>
    <row r="70" spans="4:18" ht="20.100000000000001" customHeight="1" x14ac:dyDescent="0.25">
      <c r="D70" s="127" t="str">
        <v>qm_j</v>
      </c>
      <c r="E70" s="126" t="str">
        <v>metabolisability of the diet</v>
      </c>
      <c r="F70" s="128"/>
      <c r="G70" s="127" t="str">
        <v>fraction</v>
      </c>
      <c r="H70" s="123" t="str">
        <v>Calculated from 3.3.1.1 (6)</v>
      </c>
      <c r="I70" s="124" t="str" cm="1">
        <f t="array" aca="1" ref="I70" ca="1">HYPERLINK(Common_InputFunctions.Utility_SourceHyperlink($D$21), $D$21)</f>
        <v>M1_Table_qm_j</v>
      </c>
    </row>
    <row r="71" spans="4:18" ht="20.100000000000001" customHeight="1" x14ac:dyDescent="0.25"/>
    <row r="72" spans="4:18" ht="20.100000000000001" customHeight="1" x14ac:dyDescent="0.25">
      <c r="D72" s="103" t="s">
        <v>197</v>
      </c>
    </row>
    <row r="73" spans="4:18" ht="20.100000000000001" customHeight="1" x14ac:dyDescent="0.25">
      <c r="D73" s="102" t="s">
        <v>156</v>
      </c>
    </row>
    <row r="74" spans="4:18" ht="20.100000000000001" customHeight="1" x14ac:dyDescent="0.25">
      <c r="D74" s="41" t="s">
        <v>132</v>
      </c>
      <c r="E74" s="41" t="s">
        <v>149</v>
      </c>
      <c r="F74" s="41" t="s">
        <v>150</v>
      </c>
      <c r="G74" s="41" t="s">
        <v>151</v>
      </c>
      <c r="H74" s="41" t="s">
        <v>152</v>
      </c>
    </row>
    <row r="75" spans="4:18" ht="20.100000000000001" customHeight="1" x14ac:dyDescent="0.25">
      <c r="D75" s="55">
        <f>IF(I64="Milk solids", 0, 'Input - Dairy'!$E$52)</f>
        <v>20</v>
      </c>
      <c r="E75" s="55">
        <v>0</v>
      </c>
      <c r="F75" s="55">
        <v>0</v>
      </c>
      <c r="G75" s="55">
        <v>0</v>
      </c>
      <c r="H75" s="55">
        <v>0</v>
      </c>
      <c r="I75" s="2" t="s">
        <v>194</v>
      </c>
    </row>
    <row r="76" spans="4:18" ht="20.100000000000001" customHeight="1" x14ac:dyDescent="0.25"/>
    <row r="77" spans="4:18" ht="20.100000000000001" customHeight="1" x14ac:dyDescent="0.25">
      <c r="D77" s="103" t="s">
        <v>192</v>
      </c>
      <c r="M77" s="103" t="s">
        <v>195</v>
      </c>
    </row>
    <row r="78" spans="4:18" ht="20.100000000000001" customHeight="1" x14ac:dyDescent="0.25">
      <c r="D78" s="102" t="s">
        <v>193</v>
      </c>
      <c r="M78" s="102" t="s">
        <v>196</v>
      </c>
    </row>
    <row r="79" spans="4:18" ht="20.100000000000001" customHeight="1" x14ac:dyDescent="0.25">
      <c r="D79" s="54" t="s">
        <v>132</v>
      </c>
      <c r="E79" s="54" t="s">
        <v>149</v>
      </c>
      <c r="F79" s="54" t="s">
        <v>150</v>
      </c>
      <c r="G79" s="54" t="s">
        <v>151</v>
      </c>
      <c r="H79" s="54" t="s">
        <v>152</v>
      </c>
      <c r="M79" s="54" t="s">
        <v>132</v>
      </c>
      <c r="N79" s="54" t="s">
        <v>149</v>
      </c>
      <c r="O79" s="54" t="s">
        <v>150</v>
      </c>
      <c r="P79" s="54" t="s">
        <v>151</v>
      </c>
      <c r="Q79" s="54" t="s">
        <v>152</v>
      </c>
    </row>
    <row r="80" spans="4:18" ht="20.100000000000001" customHeight="1" x14ac:dyDescent="0.25">
      <c r="D80" s="55" cm="1">
        <f t="array" ref="D80">EntericMethane_Dairy_Equations.VEERG_3_3_1_1__4_AdditionalIntakeForMilkProduction(IF(I64="Milk solids", D50, D75),$I$67,$I$68,$I$69,D24)</f>
        <v>9.5798721636071917</v>
      </c>
      <c r="E80" s="55" cm="1">
        <f t="array" ref="E80">EntericMethane_Dairy_Equations.VEERG_3_3_1_1__4_AdditionalIntakeForMilkProduction(E75, $I$67,$I$68,$I$69,E24)</f>
        <v>0</v>
      </c>
      <c r="F80" s="55" cm="1">
        <f t="array" ref="F80">EntericMethane_Dairy_Equations.VEERG_3_3_1_1__4_AdditionalIntakeForMilkProduction(F75, $I$67,$I$68,$I$69,F24)</f>
        <v>0</v>
      </c>
      <c r="G80" s="55" cm="1">
        <f t="array" ref="G80">EntericMethane_Dairy_Equations.VEERG_3_3_1_1__4_AdditionalIntakeForMilkProduction(G75, $I$67,$I$68,$I$69,G24)</f>
        <v>0</v>
      </c>
      <c r="H80" s="55" cm="1">
        <f t="array" ref="H80">EntericMethane_Dairy_Equations.VEERG_3_3_1_1__4_AdditionalIntakeForMilkProduction(H75, $I$67,$I$68,$I$69,H24)</f>
        <v>0</v>
      </c>
      <c r="I80" s="2" t="str">
        <f>$E$62</f>
        <v>kg DM/head/day</v>
      </c>
      <c r="M80" s="55" cm="1">
        <f t="array" ref="M80">EntericMethane_Dairy_Equations.VEERG_3_3_1_1__4_AdditionalIntakeForMilkProduction(IF(I64="Milk solids", M50, D75),$I$67,$I$68,$I$69,D24)</f>
        <v>9.5798721636071917</v>
      </c>
      <c r="N80" s="55" cm="1">
        <f t="array" ref="N80">EntericMethane_Dairy_Equations.VEERG_3_3_1_1__4_AdditionalIntakeForMilkProduction(E75, $I$67,$I$68,$I$69,N24)</f>
        <v>0</v>
      </c>
      <c r="O80" s="55" cm="1">
        <f t="array" ref="O80">EntericMethane_Dairy_Equations.VEERG_3_3_1_1__4_AdditionalIntakeForMilkProduction(F75, $I$67,$I$68,$I$69,O24)</f>
        <v>0</v>
      </c>
      <c r="P80" s="55" cm="1">
        <f t="array" ref="P80">EntericMethane_Dairy_Equations.VEERG_3_3_1_1__4_AdditionalIntakeForMilkProduction(G75, $I$67,$I$68,$I$69,P24)</f>
        <v>0</v>
      </c>
      <c r="Q80" s="55"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25</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6" t="s">
        <v>28</v>
      </c>
      <c r="E89" s="1" t="str" cm="1">
        <f t="array" ref="E89">EntericMethane_Dairy_Equations.VEERG_3_3_1_1__3_DryMatterFeedIntake_Variable()</f>
        <v>I_j</v>
      </c>
    </row>
    <row r="90" spans="3:19" ht="20.100000000000001" customHeight="1" x14ac:dyDescent="0.25">
      <c r="D90" s="56" t="s">
        <v>18</v>
      </c>
      <c r="E90" s="57" t="str" cm="1">
        <f t="array" ref="E90">EntericMethane_Dairy_Equations.VEERG_3_3_1_1__3_DryMatterFeedIntake_Unit()</f>
        <v>kg DM/head/day</v>
      </c>
    </row>
    <row r="91" spans="3:19" ht="20.100000000000001" customHeight="1" x14ac:dyDescent="0.25"/>
    <row r="92" spans="3:19" ht="20.100000000000001" customHeight="1" x14ac:dyDescent="0.25">
      <c r="D92" s="127" t="str" cm="1">
        <f t="array" ref="D92:E95">_xlfn.CHOOSECOLS(EntericMethane_Dairy_Equations.VEERG_3_3_1_1__3_DryMatterFeedIntake_Arguments(),1,2)</f>
        <v>W_j</v>
      </c>
      <c r="E92" s="126" t="str">
        <v>liveweight</v>
      </c>
      <c r="F92" s="128"/>
      <c r="G92" s="127" t="str" cm="1">
        <f t="array" ref="G92:H95">_xlfn.CHOOSECOLS(EntericMethane_Dairy_Equations.VEERG_3_3_1_1__3_DryMatterFeedIntake_Arguments(),3,4)</f>
        <v>kg</v>
      </c>
      <c r="H92" s="125" t="str">
        <v>Input</v>
      </c>
      <c r="I92" s="124" t="str" cm="1">
        <f t="array" aca="1" ref="I92" ca="1">HYPERLINK(Common_InputFunctions.Utility_SourceHyperlink($D$97), $D$97)</f>
        <v>M1_Table_W_j</v>
      </c>
    </row>
    <row r="93" spans="3:19" ht="20.100000000000001" customHeight="1" x14ac:dyDescent="0.25">
      <c r="D93" s="127" t="str">
        <v>LWG_j</v>
      </c>
      <c r="E93" s="126" t="str">
        <v>liveweight gain</v>
      </c>
      <c r="F93" s="128"/>
      <c r="G93" s="127" t="str">
        <v>kg/head/day</v>
      </c>
      <c r="H93" s="125" t="str">
        <v>Input</v>
      </c>
      <c r="I93" s="124" t="str" cm="1">
        <f t="array" aca="1" ref="I93" ca="1">HYPERLINK(Common_InputFunctions.Utility_SourceHyperlink($D$102), $D$102)</f>
        <v>M1_Table_LWG_j</v>
      </c>
    </row>
    <row r="94" spans="3:19" ht="20.100000000000001" customHeight="1" x14ac:dyDescent="0.25">
      <c r="D94" s="127" t="str">
        <v>MR_j</v>
      </c>
      <c r="E94" s="126" t="str">
        <v>increase in metabolic rate when producing milk</v>
      </c>
      <c r="F94" s="128"/>
      <c r="G94" s="127" t="str">
        <v>fraction</v>
      </c>
      <c r="H94" s="123" t="str">
        <v>Constant</v>
      </c>
      <c r="I94" s="124" t="str" cm="1">
        <f t="array" aca="1" ref="I94" ca="1">HYPERLINK(Common_InputFunctions.Utility_SourceHyperlink($D$107), $D$107)</f>
        <v>Table_MR_j</v>
      </c>
    </row>
    <row r="95" spans="3:19" ht="20.100000000000001" customHeight="1" x14ac:dyDescent="0.25">
      <c r="D95" s="127" t="str">
        <v>MI_j</v>
      </c>
      <c r="E95" s="126" t="str">
        <v>additional intake required for milk production</v>
      </c>
      <c r="F95" s="128"/>
      <c r="G95" s="127" t="str">
        <v>kg DM/head/day</v>
      </c>
      <c r="H95" s="123" t="str">
        <v>Calculated from 3.3.1.1 (4)</v>
      </c>
      <c r="I95" s="124" t="str" cm="1">
        <f t="array" aca="1" ref="I95" ca="1">HYPERLINK(Common_InputFunctions.Utility_SourceHyperlink($D$77), $D$77)</f>
        <v>M1_Table_MI_j</v>
      </c>
    </row>
    <row r="96" spans="3:19" ht="20.100000000000001" customHeight="1" x14ac:dyDescent="0.25"/>
    <row r="97" spans="1:18" ht="20.100000000000001" customHeight="1" x14ac:dyDescent="0.25">
      <c r="D97" s="103" t="s">
        <v>177</v>
      </c>
      <c r="M97" s="103" t="s">
        <v>179</v>
      </c>
    </row>
    <row r="98" spans="1:18" ht="20.100000000000001" customHeight="1" x14ac:dyDescent="0.25">
      <c r="D98" s="102" t="s">
        <v>178</v>
      </c>
      <c r="M98" s="102" t="s">
        <v>180</v>
      </c>
    </row>
    <row r="99" spans="1:18" ht="20.100000000000001" customHeight="1" x14ac:dyDescent="0.25">
      <c r="D99" s="41" t="s">
        <v>132</v>
      </c>
      <c r="E99" s="41" t="s">
        <v>149</v>
      </c>
      <c r="F99" s="41" t="s">
        <v>150</v>
      </c>
      <c r="G99" s="41" t="s">
        <v>151</v>
      </c>
      <c r="H99" s="41" t="s">
        <v>152</v>
      </c>
      <c r="M99" s="41" t="s">
        <v>132</v>
      </c>
      <c r="N99" s="41" t="s">
        <v>149</v>
      </c>
      <c r="O99" s="41" t="s">
        <v>150</v>
      </c>
      <c r="P99" s="41" t="s">
        <v>151</v>
      </c>
      <c r="Q99" s="41" t="s">
        <v>152</v>
      </c>
    </row>
    <row r="100" spans="1:18" ht="20.100000000000001" customHeight="1" x14ac:dyDescent="0.25">
      <c r="D100" s="55">
        <f>'Input - Dairy'!$E$14</f>
        <v>550</v>
      </c>
      <c r="E100" s="55">
        <f>'Input - Dairy'!$F$14</f>
        <v>380</v>
      </c>
      <c r="F100" s="55">
        <f>'Input - Dairy'!$G$14</f>
        <v>155</v>
      </c>
      <c r="G100" s="55">
        <f>'Input - Dairy'!$H$14</f>
        <v>600</v>
      </c>
      <c r="H100" s="55">
        <f>'Input - Dairy'!$I$14</f>
        <v>225</v>
      </c>
      <c r="I100" s="2" t="s">
        <v>154</v>
      </c>
      <c r="M100" s="55">
        <f>'Input - Dairy'!$E$18</f>
        <v>550</v>
      </c>
      <c r="N100" s="55">
        <f>'Input - Dairy'!$F$18</f>
        <v>380</v>
      </c>
      <c r="O100" s="55">
        <f>'Input - Dairy'!$G$18</f>
        <v>155</v>
      </c>
      <c r="P100" s="55">
        <f>'Input - Dairy'!$H$18</f>
        <v>600</v>
      </c>
      <c r="Q100" s="55">
        <f>'Input - Dairy'!$I$18</f>
        <v>225</v>
      </c>
      <c r="R100" s="2" t="s">
        <v>154</v>
      </c>
    </row>
    <row r="101" spans="1:18" ht="20.100000000000001" customHeight="1" x14ac:dyDescent="0.25"/>
    <row r="102" spans="1:18" ht="20.100000000000001" customHeight="1" x14ac:dyDescent="0.25">
      <c r="D102" s="103" t="s">
        <v>181</v>
      </c>
      <c r="M102" s="103" t="s">
        <v>183</v>
      </c>
    </row>
    <row r="103" spans="1:18" ht="20.100000000000001" customHeight="1" x14ac:dyDescent="0.25">
      <c r="D103" s="102" t="s">
        <v>182</v>
      </c>
      <c r="M103" s="102" t="s">
        <v>184</v>
      </c>
    </row>
    <row r="104" spans="1:18" ht="20.100000000000001" customHeight="1" x14ac:dyDescent="0.25">
      <c r="D104" s="41" t="s">
        <v>132</v>
      </c>
      <c r="E104" s="41" t="s">
        <v>149</v>
      </c>
      <c r="F104" s="41" t="s">
        <v>150</v>
      </c>
      <c r="G104" s="41" t="s">
        <v>151</v>
      </c>
      <c r="H104" s="41" t="s">
        <v>152</v>
      </c>
      <c r="M104" s="41" t="s">
        <v>132</v>
      </c>
      <c r="N104" s="41" t="s">
        <v>149</v>
      </c>
      <c r="O104" s="41" t="s">
        <v>150</v>
      </c>
      <c r="P104" s="41" t="s">
        <v>151</v>
      </c>
      <c r="Q104" s="41" t="s">
        <v>152</v>
      </c>
    </row>
    <row r="105" spans="1:18" ht="20.100000000000001" customHeight="1" x14ac:dyDescent="0.25">
      <c r="A105" s="131" t="str">
        <f>HYPERLINK("#A1", "▲ Back to top")</f>
        <v>▲ Back to top</v>
      </c>
      <c r="D105" s="55">
        <f>'Input - Dairy'!$E$15</f>
        <v>1.6E-2</v>
      </c>
      <c r="E105" s="55">
        <f>'Input - Dairy'!$F$15</f>
        <v>0.6</v>
      </c>
      <c r="F105" s="55">
        <f>'Input - Dairy'!$G$15</f>
        <v>0.56999999999999995</v>
      </c>
      <c r="G105" s="55">
        <f>'Input - Dairy'!$H$15</f>
        <v>0.1</v>
      </c>
      <c r="H105" s="55">
        <f>'Input - Dairy'!$I$15</f>
        <v>0.8</v>
      </c>
      <c r="I105" s="2" t="s">
        <v>155</v>
      </c>
      <c r="M105" s="55">
        <f>'Input - Dairy'!$E$19</f>
        <v>1.6E-2</v>
      </c>
      <c r="N105" s="55">
        <f>'Input - Dairy'!$F$19</f>
        <v>0.6</v>
      </c>
      <c r="O105" s="55">
        <f>'Input - Dairy'!$G$19</f>
        <v>0.56999999999999995</v>
      </c>
      <c r="P105" s="55">
        <f>'Input - Dairy'!$H$19</f>
        <v>0.1</v>
      </c>
      <c r="Q105" s="55">
        <f>'Input - Dairy'!$I$19</f>
        <v>0.8</v>
      </c>
      <c r="R105" s="2" t="s">
        <v>155</v>
      </c>
    </row>
    <row r="106" spans="1:18" ht="20.100000000000001" customHeight="1" x14ac:dyDescent="0.25"/>
    <row r="107" spans="1:18" ht="20.100000000000001" customHeight="1" x14ac:dyDescent="0.25">
      <c r="D107" s="103" t="s">
        <v>185</v>
      </c>
    </row>
    <row r="108" spans="1:18" ht="20.100000000000001" customHeight="1" x14ac:dyDescent="0.25">
      <c r="D108" s="102" t="s">
        <v>186</v>
      </c>
    </row>
    <row r="109" spans="1:18" ht="20.100000000000001" customHeight="1" x14ac:dyDescent="0.25">
      <c r="D109" s="54" t="s">
        <v>132</v>
      </c>
      <c r="E109" s="54" t="s">
        <v>149</v>
      </c>
      <c r="F109" s="54" t="s">
        <v>150</v>
      </c>
      <c r="G109" s="54" t="s">
        <v>151</v>
      </c>
      <c r="H109" s="54" t="s">
        <v>152</v>
      </c>
    </row>
    <row r="110" spans="1:18" ht="20.100000000000001" customHeight="1" x14ac:dyDescent="0.25">
      <c r="D110" s="55">
        <f>'Constants - Dairy'!$E$108</f>
        <v>1.1000000000000001</v>
      </c>
      <c r="E110" s="55">
        <f>'Constants - Dairy'!$E$109</f>
        <v>1</v>
      </c>
      <c r="F110" s="55">
        <f>'Constants - Dairy'!$E$109</f>
        <v>1</v>
      </c>
      <c r="G110" s="55">
        <f>'Constants - Dairy'!$E$109</f>
        <v>1</v>
      </c>
      <c r="H110" s="55">
        <f>'Constants - Dairy'!$E$109</f>
        <v>1</v>
      </c>
      <c r="I110" s="2" t="s">
        <v>94</v>
      </c>
    </row>
    <row r="111" spans="1:18" ht="20.100000000000001" customHeight="1" x14ac:dyDescent="0.25"/>
    <row r="112" spans="1:18" ht="20.100000000000001" customHeight="1" x14ac:dyDescent="0.25">
      <c r="D112" s="103" t="s">
        <v>105</v>
      </c>
      <c r="M112" s="103" t="s">
        <v>106</v>
      </c>
    </row>
    <row r="113" spans="3:19" ht="20.100000000000001" customHeight="1" x14ac:dyDescent="0.25">
      <c r="D113" s="102" t="s">
        <v>200</v>
      </c>
      <c r="M113" s="102" t="s">
        <v>199</v>
      </c>
    </row>
    <row r="114" spans="3:19" ht="20.100000000000001" customHeight="1" x14ac:dyDescent="0.25">
      <c r="D114" s="54" t="s">
        <v>132</v>
      </c>
      <c r="E114" s="54" t="s">
        <v>149</v>
      </c>
      <c r="F114" s="54" t="s">
        <v>150</v>
      </c>
      <c r="G114" s="54" t="s">
        <v>151</v>
      </c>
      <c r="H114" s="54" t="s">
        <v>152</v>
      </c>
      <c r="M114" s="54" t="s">
        <v>132</v>
      </c>
      <c r="N114" s="54" t="s">
        <v>149</v>
      </c>
      <c r="O114" s="54" t="s">
        <v>150</v>
      </c>
      <c r="P114" s="54" t="s">
        <v>151</v>
      </c>
      <c r="Q114" s="54" t="s">
        <v>152</v>
      </c>
    </row>
    <row r="115" spans="3:19" ht="20.100000000000001" customHeight="1" x14ac:dyDescent="0.25">
      <c r="D115" s="55" cm="1">
        <f t="array" ref="D115">EntericMethane_Dairy_Equations.VEERG_3_3_1_1__3_DryMatterFeedIntake(D100,D105,D110,D80)</f>
        <v>18.834317684367193</v>
      </c>
      <c r="E115" s="55" cm="1">
        <f t="array" ref="E115">EntericMethane_Dairy_Equations.VEERG_3_3_1_1__3_DryMatterFeedIntake(E100,E105,E110,E80)</f>
        <v>7.4188685375999972</v>
      </c>
      <c r="F115" s="55" cm="1">
        <f t="array" ref="F115">EntericMethane_Dairy_Equations.VEERG_3_3_1_1__3_DryMatterFeedIntake(F100,F105,F110,F80)</f>
        <v>4.0231734662249998</v>
      </c>
      <c r="G115" s="55" cm="1">
        <f t="array" ref="G115">EntericMethane_Dairy_Equations.VEERG_3_3_1_1__3_DryMatterFeedIntake(G100,G105,G110,G80)</f>
        <v>9.0270202499999979</v>
      </c>
      <c r="H115" s="55" cm="1">
        <f t="array" ref="H115">EntericMethane_Dairy_Equations.VEERG_3_3_1_1__3_DryMatterFeedIntake(H100,H105,H110,H80)</f>
        <v>5.4143472656250013</v>
      </c>
      <c r="I115" s="2" t="str">
        <f>$E$90</f>
        <v>kg DM/head/day</v>
      </c>
      <c r="M115" s="55" cm="1">
        <f t="array" ref="M115">EntericMethane_Dairy_Equations.VEERG_3_3_1_1__3_DryMatterFeedIntake(M100,M105,D110,M80)</f>
        <v>18.834317684367193</v>
      </c>
      <c r="N115" s="55" cm="1">
        <f t="array" ref="N115">EntericMethane_Dairy_Equations.VEERG_3_3_1_1__3_DryMatterFeedIntake(N100,N105,E110,N80)</f>
        <v>7.4188685375999972</v>
      </c>
      <c r="O115" s="55" cm="1">
        <f t="array" ref="O115">EntericMethane_Dairy_Equations.VEERG_3_3_1_1__3_DryMatterFeedIntake(O100,O105,F110,O80)</f>
        <v>4.0231734662249998</v>
      </c>
      <c r="P115" s="55" cm="1">
        <f t="array" ref="P115">EntericMethane_Dairy_Equations.VEERG_3_3_1_1__3_DryMatterFeedIntake(P100,P105,G110,P80)</f>
        <v>9.0270202499999979</v>
      </c>
      <c r="Q115" s="55"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1"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25</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6" t="s">
        <v>28</v>
      </c>
      <c r="E124" s="1" t="str" cm="1">
        <f t="array" ref="E124">EntericMethane_Dairy_Equations.VEERG_3_3_1_1__2_DailyEntericMethaneProduction_Variable()</f>
        <v>M_j</v>
      </c>
    </row>
    <row r="125" spans="3:19" ht="20.100000000000001" customHeight="1" x14ac:dyDescent="0.25">
      <c r="D125" s="56" t="s">
        <v>18</v>
      </c>
      <c r="E125" s="57"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7" t="str" cm="1">
        <f t="array" ref="D127:G127">EntericMethane_Dairy_Equations.VEERG_3_3_1_1__2_DailyEntericMethaneProduction_Arguments()</f>
        <v>I_j</v>
      </c>
      <c r="E127" s="127" t="str">
        <v>dry matter feed intake</v>
      </c>
      <c r="F127" s="127" t="str">
        <v>kg DM/head/day</v>
      </c>
      <c r="G127" s="123" t="str">
        <v>Calculated from 3.3.1.1 (3)</v>
      </c>
      <c r="H127" s="124" t="str" cm="1">
        <f t="array" aca="1" ref="H127" ca="1">HYPERLINK(Common_InputFunctions.Utility_SourceHyperlink($D$112),$D$112)</f>
        <v>M1_Table_I_j</v>
      </c>
    </row>
    <row r="128" spans="3:19" ht="20.100000000000001" customHeight="1" x14ac:dyDescent="0.25"/>
    <row r="129" spans="3:19" ht="20.100000000000001" customHeight="1" x14ac:dyDescent="0.25">
      <c r="D129" s="103" t="s">
        <v>244</v>
      </c>
      <c r="M129" s="103" t="s">
        <v>246</v>
      </c>
    </row>
    <row r="130" spans="3:19" ht="20.100000000000001" customHeight="1" x14ac:dyDescent="0.25">
      <c r="D130" s="102" t="s">
        <v>245</v>
      </c>
      <c r="M130" s="102" t="s">
        <v>247</v>
      </c>
    </row>
    <row r="131" spans="3:19" ht="20.100000000000001" customHeight="1" x14ac:dyDescent="0.25">
      <c r="D131" s="54" t="s">
        <v>132</v>
      </c>
      <c r="E131" s="54" t="s">
        <v>149</v>
      </c>
      <c r="F131" s="54" t="s">
        <v>150</v>
      </c>
      <c r="G131" s="54" t="s">
        <v>151</v>
      </c>
      <c r="H131" s="54" t="s">
        <v>152</v>
      </c>
      <c r="M131" s="54" t="s">
        <v>132</v>
      </c>
      <c r="N131" s="54" t="s">
        <v>149</v>
      </c>
      <c r="O131" s="54" t="s">
        <v>150</v>
      </c>
      <c r="P131" s="54" t="s">
        <v>151</v>
      </c>
      <c r="Q131" s="54" t="s">
        <v>152</v>
      </c>
    </row>
    <row r="132" spans="3:19" ht="20.100000000000001" customHeight="1" x14ac:dyDescent="0.25">
      <c r="D132" s="55" cm="1">
        <f t="array" ref="D132">EntericMethane_Dairy_Equations.VEERG_3_3_1_1__2_DailyEntericMethaneProduction(D115)</f>
        <v>0.38987037606640085</v>
      </c>
      <c r="E132" s="55" cm="1">
        <f t="array" ref="E132">EntericMethane_Dairy_Equations.VEERG_3_3_1_1__2_DailyEntericMethaneProduction(E115)</f>
        <v>0.15357057872831995</v>
      </c>
      <c r="F132" s="55" cm="1">
        <f t="array" ref="F132">EntericMethane_Dairy_Equations.VEERG_3_3_1_1__2_DailyEntericMethaneProduction(F115)</f>
        <v>8.3279690750857505E-2</v>
      </c>
      <c r="G132" s="55" cm="1">
        <f t="array" ref="G132">EntericMethane_Dairy_Equations.VEERG_3_3_1_1__2_DailyEntericMethaneProduction(G115)</f>
        <v>0.18685931917499995</v>
      </c>
      <c r="H132" s="55" cm="1">
        <f t="array" ref="H132">EntericMethane_Dairy_Equations.VEERG_3_3_1_1__2_DailyEntericMethaneProduction(H115)</f>
        <v>0.11207698839843752</v>
      </c>
      <c r="I132" s="2" t="str">
        <f>$E$125</f>
        <v>kg CH4/head/day</v>
      </c>
      <c r="M132" s="55" cm="1">
        <f t="array" ref="M132">EntericMethane_Dairy_Equations.VEERG_3_3_1_1__2_DailyEntericMethaneProduction(M115)</f>
        <v>0.38987037606640085</v>
      </c>
      <c r="N132" s="55" cm="1">
        <f t="array" ref="N132">EntericMethane_Dairy_Equations.VEERG_3_3_1_1__2_DailyEntericMethaneProduction(N115)</f>
        <v>0.15357057872831995</v>
      </c>
      <c r="O132" s="55" cm="1">
        <f t="array" ref="O132">EntericMethane_Dairy_Equations.VEERG_3_3_1_1__2_DailyEntericMethaneProduction(O115)</f>
        <v>8.3279690750857505E-2</v>
      </c>
      <c r="P132" s="55" cm="1">
        <f t="array" ref="P132">EntericMethane_Dairy_Equations.VEERG_3_3_1_1__2_DailyEntericMethaneProduction(P115)</f>
        <v>0.18685931917499995</v>
      </c>
      <c r="Q132" s="55"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1"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8"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25</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6" t="s">
        <v>28</v>
      </c>
      <c r="E145" s="1" t="str" cm="1">
        <f t="array" ref="E145">EntericMethane_Dairy_Equations.VEERG_3_3_1_1__1_TotalAnnualMethaneFromEntericFermentation_Variable()</f>
        <v>E_enteric</v>
      </c>
    </row>
    <row r="146" spans="1:9" ht="20.100000000000001" customHeight="1" x14ac:dyDescent="0.25">
      <c r="D146" s="56" t="s">
        <v>18</v>
      </c>
      <c r="E146" s="57"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7" t="str" cm="1">
        <f t="array" ref="D148:E155">_xlfn.CHOOSECOLS(EntericMethane_Dairy_Equations.VEERG_3_3_1_1__1_TotalAnnualMethaneFromEntericFermentation_Arguments(),1,2)</f>
        <v>N_j124</v>
      </c>
      <c r="E148" s="126" t="str">
        <v>number of dairy cattle in classes j=1,2,4</v>
      </c>
      <c r="F148" s="128"/>
      <c r="G148" s="127" t="str" cm="1">
        <f t="array" ref="G148:H155">_xlfn.CHOOSECOLS(EntericMethane_Dairy_Equations.VEERG_3_3_1_1__1_TotalAnnualMethaneFromEntericFermentation_Arguments(),3,4)</f>
        <v>head</v>
      </c>
      <c r="H148" s="125" t="str">
        <v>Input</v>
      </c>
      <c r="I148" s="124" t="str" cm="1">
        <f t="array" aca="1" ref="I148" ca="1">HYPERLINK(Common_InputFunctions.Utility_SourceHyperlink($D$157),$D$157)</f>
        <v>Table_N_j</v>
      </c>
    </row>
    <row r="149" spans="1:9" ht="20.100000000000001" customHeight="1" x14ac:dyDescent="0.25">
      <c r="D149" s="127" t="str">
        <v>M_j124</v>
      </c>
      <c r="E149" s="126" t="str">
        <v>daily enteric methane production for classes j=1,2,4</v>
      </c>
      <c r="F149" s="128"/>
      <c r="G149" s="127" t="str">
        <v>kg CH4/head/day</v>
      </c>
      <c r="H149" s="123" t="str">
        <v>Calculated from 3.3.1.1 (2)</v>
      </c>
      <c r="I149" s="124" t="str" cm="1">
        <f t="array" aca="1" ref="I149" ca="1">HYPERLINK(Common_InputFunctions.Utility_SourceHyperlink($D$129),$D$129)</f>
        <v>M1_Table_M_j</v>
      </c>
    </row>
    <row r="150" spans="1:9" ht="20.100000000000001" customHeight="1" x14ac:dyDescent="0.25">
      <c r="D150" s="127" t="str">
        <v>D_j124</v>
      </c>
      <c r="E150" s="126" t="str">
        <v>duration of stay on the farm for classes j=1,2,4</v>
      </c>
      <c r="F150" s="128"/>
      <c r="G150" s="127" t="str">
        <v>days</v>
      </c>
      <c r="H150" s="125" t="str">
        <v>Input</v>
      </c>
      <c r="I150" s="124" t="str" cm="1">
        <f t="array" aca="1" ref="I150" ca="1">HYPERLINK(Common_InputFunctions.Utility_SourceHyperlink($D$162),$D$162)</f>
        <v>M1_Table_D_j</v>
      </c>
    </row>
    <row r="151" spans="1:9" ht="20.100000000000001" customHeight="1" x14ac:dyDescent="0.25">
      <c r="A151" s="131" t="str">
        <f>HYPERLINK("#A1", "▲ Back to top")</f>
        <v>▲ Back to top</v>
      </c>
      <c r="D151" s="127" t="str">
        <v>N_j35</v>
      </c>
      <c r="E151" s="126" t="str">
        <v>number of dairy cattle in classes j=3,5</v>
      </c>
      <c r="F151" s="128"/>
      <c r="G151" s="127" t="str">
        <v>head</v>
      </c>
      <c r="H151" s="125" t="str">
        <v>Input</v>
      </c>
      <c r="I151" s="124" t="str" cm="1">
        <f t="array" aca="1" ref="I151" ca="1">HYPERLINK(Common_InputFunctions.Utility_SourceHyperlink($D$157),$D$157)</f>
        <v>Table_N_j</v>
      </c>
    </row>
    <row r="152" spans="1:9" ht="20.100000000000001" customHeight="1" x14ac:dyDescent="0.25">
      <c r="D152" s="127" t="str">
        <v>M_j35</v>
      </c>
      <c r="E152" s="126" t="str">
        <v>daily enteric methane production for weaned classes j=3,5</v>
      </c>
      <c r="F152" s="128"/>
      <c r="G152" s="127" t="str">
        <v>kg CH4/head/day</v>
      </c>
      <c r="H152" s="123" t="str">
        <v>Calculated from 3.3.1.1 (2)</v>
      </c>
      <c r="I152" s="124" t="str" cm="1">
        <f t="array" aca="1" ref="I152" ca="1">HYPERLINK(Common_InputFunctions.Utility_SourceHyperlink($D$129),$D$129)</f>
        <v>M1_Table_M_j</v>
      </c>
    </row>
    <row r="153" spans="1:9" ht="20.100000000000001" customHeight="1" x14ac:dyDescent="0.25">
      <c r="D153" s="127" t="str">
        <v>D_j35</v>
      </c>
      <c r="E153" s="126" t="str">
        <v>duration of stay on the farm for weaned classes j=3,5</v>
      </c>
      <c r="F153" s="128"/>
      <c r="G153" s="127" t="str">
        <v>days</v>
      </c>
      <c r="H153" s="125" t="str">
        <v>Input</v>
      </c>
      <c r="I153" s="124" t="str" cm="1">
        <f t="array" aca="1" ref="I153" ca="1">HYPERLINK(Common_InputFunctions.Utility_SourceHyperlink($D$162),$D$162)</f>
        <v>M1_Table_D_j</v>
      </c>
    </row>
    <row r="154" spans="1:9" ht="20.100000000000001" customHeight="1" x14ac:dyDescent="0.25">
      <c r="D154" s="127" t="str">
        <v>DPW_j35</v>
      </c>
      <c r="E154" s="126" t="str">
        <v>duration of stay on the farm for pre-weaned heifer and bull calves</v>
      </c>
      <c r="F154" s="128"/>
      <c r="G154" s="127" t="str">
        <v>days</v>
      </c>
      <c r="H154" s="125" t="str">
        <v>Input</v>
      </c>
      <c r="I154" s="124" t="str" cm="1">
        <f t="array" aca="1" ref="I154" ca="1">HYPERLINK(Common_InputFunctions.Utility_SourceHyperlink($D$167),$D$167)</f>
        <v>M1_Table_DPW_j-3-5</v>
      </c>
    </row>
    <row r="155" spans="1:9" ht="20.100000000000001" customHeight="1" x14ac:dyDescent="0.25">
      <c r="D155" s="127" t="str">
        <v>MPW_ENTERIC_j35</v>
      </c>
      <c r="E155" s="127" t="str">
        <v>daily methane production for pre-weaned heifer and bull calves</v>
      </c>
      <c r="F155" s="127"/>
      <c r="G155" s="127" t="str">
        <v>kg CH4/head/day</v>
      </c>
      <c r="H155" s="123" t="str">
        <v>Constant</v>
      </c>
      <c r="I155" s="124" t="str" cm="1">
        <f t="array" aca="1" ref="I155" ca="1">HYPERLINK(Common_InputFunctions.Utility_SourceHyperlink($D$172),$D$172)</f>
        <v>M1_Table_MPW_j-3-5</v>
      </c>
    </row>
    <row r="156" spans="1:9" ht="20.100000000000001" customHeight="1" x14ac:dyDescent="0.25"/>
    <row r="157" spans="1:9" ht="20.100000000000001" customHeight="1" x14ac:dyDescent="0.25">
      <c r="D157" s="103" t="s">
        <v>102</v>
      </c>
    </row>
    <row r="158" spans="1:9" ht="20.100000000000001" customHeight="1" x14ac:dyDescent="0.25">
      <c r="D158" s="102" t="s">
        <v>248</v>
      </c>
    </row>
    <row r="159" spans="1:9" ht="20.100000000000001" customHeight="1" x14ac:dyDescent="0.25">
      <c r="D159" s="41" t="s">
        <v>132</v>
      </c>
      <c r="E159" s="41" t="s">
        <v>149</v>
      </c>
      <c r="F159" s="41" t="s">
        <v>150</v>
      </c>
      <c r="G159" s="41" t="s">
        <v>151</v>
      </c>
      <c r="H159" s="41" t="s">
        <v>152</v>
      </c>
    </row>
    <row r="160" spans="1:9" ht="20.100000000000001" customHeight="1" x14ac:dyDescent="0.25">
      <c r="D160" s="55">
        <f>'Input - Dairy'!E10</f>
        <v>100</v>
      </c>
      <c r="E160" s="55">
        <f>'Input - Dairy'!F10</f>
        <v>100</v>
      </c>
      <c r="F160" s="55">
        <f>'Input - Dairy'!G10</f>
        <v>100</v>
      </c>
      <c r="G160" s="55">
        <f>'Input - Dairy'!H10</f>
        <v>100</v>
      </c>
      <c r="H160" s="55">
        <f>'Input - Dairy'!I10</f>
        <v>100</v>
      </c>
      <c r="I160" s="57" t="str">
        <f>$G$148</f>
        <v>head</v>
      </c>
    </row>
    <row r="161" spans="4:18" ht="20.100000000000001" customHeight="1" x14ac:dyDescent="0.25"/>
    <row r="162" spans="4:18" ht="20.100000000000001" customHeight="1" x14ac:dyDescent="0.25">
      <c r="D162" s="103" t="s">
        <v>201</v>
      </c>
      <c r="M162" s="103" t="s">
        <v>202</v>
      </c>
    </row>
    <row r="163" spans="4:18" ht="20.100000000000001" customHeight="1" x14ac:dyDescent="0.25">
      <c r="D163" s="102" t="s">
        <v>249</v>
      </c>
      <c r="M163" s="102" t="s">
        <v>251</v>
      </c>
    </row>
    <row r="164" spans="4:18" ht="20.100000000000001" customHeight="1" x14ac:dyDescent="0.25">
      <c r="D164" s="41" t="s">
        <v>132</v>
      </c>
      <c r="E164" s="41" t="s">
        <v>149</v>
      </c>
      <c r="F164" s="41" t="s">
        <v>150</v>
      </c>
      <c r="G164" s="41" t="s">
        <v>151</v>
      </c>
      <c r="H164" s="41" t="s">
        <v>152</v>
      </c>
      <c r="M164" s="41" t="s">
        <v>132</v>
      </c>
      <c r="N164" s="41" t="s">
        <v>149</v>
      </c>
      <c r="O164" s="41" t="s">
        <v>150</v>
      </c>
      <c r="P164" s="41" t="s">
        <v>151</v>
      </c>
      <c r="Q164" s="41" t="s">
        <v>152</v>
      </c>
    </row>
    <row r="165" spans="4:18" ht="20.100000000000001" customHeight="1" x14ac:dyDescent="0.25">
      <c r="D165" s="55">
        <f>'Input - Dairy'!E24</f>
        <v>365</v>
      </c>
      <c r="E165" s="55">
        <f>'Input - Dairy'!F24</f>
        <v>365</v>
      </c>
      <c r="F165" s="55">
        <f>'Input - Dairy'!G24</f>
        <v>281</v>
      </c>
      <c r="G165" s="55">
        <f>'Input - Dairy'!H24</f>
        <v>365</v>
      </c>
      <c r="H165" s="55">
        <f>'Input - Dairy'!I24</f>
        <v>281</v>
      </c>
      <c r="I165" s="57" t="str">
        <f>$G$150</f>
        <v>days</v>
      </c>
      <c r="M165" s="55">
        <f>'Input - Dairy'!E28</f>
        <v>365</v>
      </c>
      <c r="N165" s="55">
        <f>'Input - Dairy'!F28</f>
        <v>365</v>
      </c>
      <c r="O165" s="55">
        <f>'Input - Dairy'!G28</f>
        <v>281</v>
      </c>
      <c r="P165" s="55">
        <f>'Input - Dairy'!H28</f>
        <v>365</v>
      </c>
      <c r="Q165" s="55">
        <f>'Input - Dairy'!I28</f>
        <v>281</v>
      </c>
      <c r="R165" s="57" t="str">
        <f>$G$150</f>
        <v>days</v>
      </c>
    </row>
    <row r="166" spans="4:18" ht="20.100000000000001" customHeight="1" x14ac:dyDescent="0.25"/>
    <row r="167" spans="4:18" ht="20.100000000000001" customHeight="1" x14ac:dyDescent="0.25">
      <c r="D167" s="103" t="s">
        <v>254</v>
      </c>
      <c r="M167" s="103" t="s">
        <v>252</v>
      </c>
    </row>
    <row r="168" spans="4:18" ht="20.100000000000001" customHeight="1" x14ac:dyDescent="0.25">
      <c r="D168" s="102" t="s">
        <v>250</v>
      </c>
      <c r="M168" s="102" t="s">
        <v>253</v>
      </c>
    </row>
    <row r="169" spans="4:18" ht="20.100000000000001" customHeight="1" x14ac:dyDescent="0.25">
      <c r="D169" s="41" t="s">
        <v>132</v>
      </c>
      <c r="E169" s="41" t="s">
        <v>149</v>
      </c>
      <c r="F169" s="41" t="s">
        <v>150</v>
      </c>
      <c r="G169" s="41" t="s">
        <v>151</v>
      </c>
      <c r="H169" s="41" t="s">
        <v>152</v>
      </c>
      <c r="M169" s="41" t="s">
        <v>132</v>
      </c>
      <c r="N169" s="41" t="s">
        <v>149</v>
      </c>
      <c r="O169" s="41" t="s">
        <v>150</v>
      </c>
      <c r="P169" s="41" t="s">
        <v>151</v>
      </c>
      <c r="Q169" s="41" t="s">
        <v>152</v>
      </c>
    </row>
    <row r="170" spans="4:18" ht="20.100000000000001" customHeight="1" x14ac:dyDescent="0.25">
      <c r="D170" s="55">
        <f>'Input - Dairy'!E25</f>
        <v>0</v>
      </c>
      <c r="E170" s="55">
        <f>'Input - Dairy'!F29</f>
        <v>0</v>
      </c>
      <c r="F170" s="55">
        <f>'Input - Dairy'!G29</f>
        <v>84</v>
      </c>
      <c r="G170" s="55">
        <f>'Input - Dairy'!H29</f>
        <v>0</v>
      </c>
      <c r="H170" s="55">
        <f>'Input - Dairy'!I29</f>
        <v>84</v>
      </c>
      <c r="I170" s="57" t="str">
        <f>$G$150</f>
        <v>days</v>
      </c>
      <c r="M170" s="55">
        <f>'Input - Dairy'!E29</f>
        <v>0</v>
      </c>
      <c r="N170" s="55">
        <f>'Input - Dairy'!F29</f>
        <v>0</v>
      </c>
      <c r="O170" s="55">
        <f>'Input - Dairy'!G29</f>
        <v>84</v>
      </c>
      <c r="P170" s="55">
        <f>'Input - Dairy'!H29</f>
        <v>0</v>
      </c>
      <c r="Q170" s="55">
        <f>'Input - Dairy'!I29</f>
        <v>84</v>
      </c>
      <c r="R170" s="57" t="str">
        <f>$G$150</f>
        <v>days</v>
      </c>
    </row>
    <row r="171" spans="4:18" ht="20.100000000000001" customHeight="1" x14ac:dyDescent="0.25"/>
    <row r="172" spans="4:18" ht="20.100000000000001" customHeight="1" x14ac:dyDescent="0.25">
      <c r="D172" s="103" t="s">
        <v>255</v>
      </c>
    </row>
    <row r="173" spans="4:18" ht="20.100000000000001" customHeight="1" x14ac:dyDescent="0.25">
      <c r="D173" s="102" t="s">
        <v>250</v>
      </c>
    </row>
    <row r="174" spans="4:18" ht="20.100000000000001" customHeight="1" x14ac:dyDescent="0.25">
      <c r="D174" s="54" t="s">
        <v>150</v>
      </c>
      <c r="E174" s="54" t="s">
        <v>152</v>
      </c>
    </row>
    <row r="175" spans="4:18" ht="20.100000000000001" customHeight="1" x14ac:dyDescent="0.25">
      <c r="D175" s="55">
        <f>'Constants - Dairy'!$E$99</f>
        <v>1.7600000000000001E-2</v>
      </c>
      <c r="E175" s="55">
        <f>'Constants - Dairy'!$E$100</f>
        <v>2.0400000000000001E-2</v>
      </c>
      <c r="F175" s="57" t="str">
        <f>G155</f>
        <v>kg CH4/head/day</v>
      </c>
    </row>
    <row r="176" spans="4:18" ht="20.100000000000001" customHeight="1" x14ac:dyDescent="0.25"/>
    <row r="177" spans="1:18" ht="20.100000000000001" customHeight="1" x14ac:dyDescent="0.25">
      <c r="D177" s="103" t="s">
        <v>256</v>
      </c>
      <c r="M177" s="103" t="s">
        <v>256</v>
      </c>
    </row>
    <row r="178" spans="1:18" ht="20.100000000000001" customHeight="1" x14ac:dyDescent="0.25">
      <c r="A178" s="131" t="str">
        <f>HYPERLINK("#A1", "▲ Back to top")</f>
        <v>▲ Back to top</v>
      </c>
      <c r="D178" s="102" t="s">
        <v>257</v>
      </c>
      <c r="M178" s="102" t="s">
        <v>257</v>
      </c>
    </row>
    <row r="179" spans="1:18" ht="20.100000000000001" customHeight="1" x14ac:dyDescent="0.25">
      <c r="D179" s="54" t="s">
        <v>132</v>
      </c>
      <c r="E179" s="54" t="s">
        <v>149</v>
      </c>
      <c r="F179" s="54" t="s">
        <v>150</v>
      </c>
      <c r="G179" s="54" t="s">
        <v>151</v>
      </c>
      <c r="H179" s="54" t="s">
        <v>152</v>
      </c>
      <c r="M179" s="54" t="s">
        <v>132</v>
      </c>
      <c r="N179" s="54" t="s">
        <v>149</v>
      </c>
      <c r="O179" s="54" t="s">
        <v>150</v>
      </c>
      <c r="P179" s="54" t="s">
        <v>151</v>
      </c>
      <c r="Q179" s="54" t="s">
        <v>152</v>
      </c>
    </row>
    <row r="180" spans="1:18" ht="20.100000000000001" customHeight="1" x14ac:dyDescent="0.25">
      <c r="D180" s="55" cm="1">
        <f t="array" ref="D180">EntericMethane_Dairy_Equations.VEERG_3_3_1_1__1_TotalAnnualMethaneFromEntericFermentationVariation(D160,D132,D165,0,0,0,0,0)</f>
        <v>14.230268726423633</v>
      </c>
      <c r="E180" s="55" cm="1">
        <f t="array" ref="E180">EntericMethane_Dairy_Equations.VEERG_3_3_1_1__1_TotalAnnualMethaneFromEntericFermentationVariation(E160,E132,E165,0,0,0,0,0)</f>
        <v>5.6053261235836782</v>
      </c>
      <c r="F180" s="55" cm="1">
        <f t="array" ref="F180">EntericMethane_Dairy_Equations.VEERG_3_3_1_1__1_TotalAnnualMethaneFromEntericFermentationVariation(0,0,0,F160,F132,F165,F170,$D$175)</f>
        <v>2.487999310099096</v>
      </c>
      <c r="G180" s="55" cm="1">
        <f t="array" ref="G180">EntericMethane_Dairy_Equations.VEERG_3_3_1_1__1_TotalAnnualMethaneFromEntericFermentationVariation(G160,G132,G165,0,0,0,0,0)</f>
        <v>6.8203651498874986</v>
      </c>
      <c r="H180" s="55" cm="1">
        <f t="array" ref="H180">EntericMethane_Dairy_Equations.VEERG_3_3_1_1__1_TotalAnnualMethaneFromEntericFermentationVariation(0,0,0,H160,H132,H165,H170,$E$175)</f>
        <v>3.3207233739960946</v>
      </c>
      <c r="I180" s="57" t="str">
        <f>$E$146</f>
        <v>t CH4</v>
      </c>
      <c r="M180" s="55" cm="1">
        <f t="array" ref="M180">EntericMethane_Dairy_Equations.VEERG_3_3_1_1__1_TotalAnnualMethaneFromEntericFermentationVariation(D160,M132,M165,0,0,0,0,0)</f>
        <v>14.230268726423633</v>
      </c>
      <c r="N180" s="55" cm="1">
        <f t="array" ref="N180">EntericMethane_Dairy_Equations.VEERG_3_3_1_1__1_TotalAnnualMethaneFromEntericFermentationVariation(E160,N132,N165,0,0,0,0,0)</f>
        <v>5.6053261235836782</v>
      </c>
      <c r="O180" s="55" cm="1">
        <f t="array" ref="O180">EntericMethane_Dairy_Equations.VEERG_3_3_1_1__1_TotalAnnualMethaneFromEntericFermentationVariation(0,0,0,F160,O132,O165,O170,$D$175)</f>
        <v>2.487999310099096</v>
      </c>
      <c r="P180" s="55" cm="1">
        <f t="array" ref="P180">EntericMethane_Dairy_Equations.VEERG_3_3_1_1__1_TotalAnnualMethaneFromEntericFermentationVariation(G160,P132,P165,0,0,0,0,0)</f>
        <v>6.8203651498874986</v>
      </c>
      <c r="Q180" s="55" cm="1">
        <f t="array" ref="Q180">EntericMethane_Dairy_Equations.VEERG_3_3_1_1__1_TotalAnnualMethaneFromEntericFermentationVariation(0,0,0,H160,Q132,Q165,Q170,$E$175)</f>
        <v>3.3207233739960946</v>
      </c>
      <c r="R180" s="57" t="str">
        <f>$E$146</f>
        <v>t CH4</v>
      </c>
    </row>
    <row r="181" spans="1:18" ht="20.100000000000001" customHeight="1" x14ac:dyDescent="0.25"/>
    <row r="182" spans="1:18" ht="20.100000000000001" customHeight="1" x14ac:dyDescent="0.25">
      <c r="D182" s="105" t="s">
        <v>258</v>
      </c>
      <c r="E182" s="106">
        <f>SUM(D180:H180)</f>
        <v>32.464682683989999</v>
      </c>
      <c r="F182" s="107" t="str">
        <f>$E$146</f>
        <v>t CH4</v>
      </c>
      <c r="M182" s="105" t="s">
        <v>258</v>
      </c>
      <c r="N182" s="106">
        <f>SUM(M180:Q180)</f>
        <v>32.464682683989999</v>
      </c>
      <c r="O182" s="107" t="str">
        <f>$E$146</f>
        <v>t CH4</v>
      </c>
    </row>
    <row r="183" spans="1:18" ht="20.100000000000001" customHeight="1" x14ac:dyDescent="0.25"/>
    <row r="184" spans="1:18" ht="20.100000000000001" customHeight="1" x14ac:dyDescent="0.25">
      <c r="D184" s="60" t="str" cm="1">
        <f t="array" ref="D184:E185">Common_Equations.Common_ConvertCH4ToCO2e_Arguments()</f>
        <v>ECH4</v>
      </c>
      <c r="E184" s="61" t="str">
        <v>Methane emissions (t CH4)</v>
      </c>
      <c r="F184" s="108"/>
      <c r="G184" s="55">
        <f>E182</f>
        <v>32.464682683989999</v>
      </c>
      <c r="M184" s="60" t="str" cm="1">
        <f t="array" ref="M184:N185">Common_Equations.Common_ConvertCH4ToCO2e_Arguments()</f>
        <v>ECH4</v>
      </c>
      <c r="N184" s="61" t="str">
        <v>Methane emissions (t CH4)</v>
      </c>
      <c r="O184" s="108"/>
      <c r="P184" s="55">
        <f>N182</f>
        <v>32.464682683989999</v>
      </c>
    </row>
    <row r="185" spans="1:18" ht="20.100000000000001" customHeight="1" x14ac:dyDescent="0.25">
      <c r="D185" s="60" t="str">
        <v>GWPCH4</v>
      </c>
      <c r="E185" s="61" t="str">
        <v>Global warming potential for methane (t CO2-e / t CH4)</v>
      </c>
      <c r="F185" s="108"/>
      <c r="G185" s="55">
        <f>Common_InputFunctions.Utility_LookupValueInTableNumber("CH4",Table_GWPData[Gas],Table_GWPData[CO2-e factor])</f>
        <v>28</v>
      </c>
      <c r="M185" s="60" t="str">
        <v>GWPCH4</v>
      </c>
      <c r="N185" s="61" t="str">
        <v>Global warming potential for methane (t CO2-e / t CH4)</v>
      </c>
      <c r="O185" s="108"/>
      <c r="P185" s="55">
        <f>Common_InputFunctions.Utility_LookupValueInTableNumber("CH4",Table_GWPData[Gas],Table_GWPData[CO2-e factor])</f>
        <v>28</v>
      </c>
    </row>
    <row r="186" spans="1:18" ht="20.100000000000001" customHeight="1" x14ac:dyDescent="0.25"/>
    <row r="187" spans="1:18" ht="20.100000000000001" customHeight="1" x14ac:dyDescent="0.25">
      <c r="D187" s="48" t="s">
        <v>103</v>
      </c>
      <c r="E187" s="48" cm="1">
        <f t="array" ref="E187">Common_Equations.Common_ConvertN2OToCO2e(G184,G185)</f>
        <v>909.01111515171999</v>
      </c>
      <c r="F187" s="109" t="str" cm="1">
        <f t="array" ref="F187">Common_Equations.Common_ConvertN2OToCO2e_Unit()</f>
        <v>t CO2e</v>
      </c>
      <c r="M187" s="48" t="s">
        <v>103</v>
      </c>
      <c r="N187" s="48" cm="1">
        <f t="array" ref="N187">Common_Equations.Common_ConvertN2OToCO2e(P184,P185)</f>
        <v>909.01111515171999</v>
      </c>
      <c r="O187" s="109"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3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3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81"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261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129</v>
      </c>
      <c r="G5" s="6" t="s">
        <v>130</v>
      </c>
      <c r="J5" s="6" t="s">
        <v>120</v>
      </c>
      <c r="M5" s="1"/>
    </row>
    <row r="6" spans="1:21" ht="20.100000000000001" customHeight="1" x14ac:dyDescent="0.25">
      <c r="A6" s="16"/>
      <c r="M6" s="1"/>
    </row>
    <row r="7" spans="1:21" ht="20.100000000000001" customHeight="1" x14ac:dyDescent="0.25">
      <c r="A7" s="20" t="s">
        <v>1</v>
      </c>
      <c r="D7" s="101" t="s">
        <v>66</v>
      </c>
      <c r="E7" s="39" t="s">
        <v>77</v>
      </c>
      <c r="G7" s="39" t="s">
        <v>119</v>
      </c>
      <c r="J7" s="39" t="s">
        <v>117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121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122</v>
      </c>
      <c r="M9" s="1"/>
    </row>
    <row r="10" spans="1:21" ht="20.100000000000001" customHeight="1" x14ac:dyDescent="0.25">
      <c r="A10" s="17"/>
      <c r="D10" s="39" t="str">
        <f>'Constants - Livestock'!$E$14</f>
        <v>Drains to paddock</v>
      </c>
      <c r="E10" s="39" t="str">
        <f>'Constants - Livestock'!$F$14</f>
        <v>Drains to paddock (m=3b)</v>
      </c>
      <c r="J10" s="1" t="s">
        <v>123</v>
      </c>
      <c r="M10" s="1"/>
    </row>
    <row r="11" spans="1:21" ht="20.100000000000001" customHeight="1" x14ac:dyDescent="0.25">
      <c r="A11" s="19" t="s">
        <v>73</v>
      </c>
      <c r="D11" s="39" t="str">
        <f>'Constants - Livestock'!$E$15</f>
        <v>Solid storage</v>
      </c>
      <c r="E11" s="39" t="str">
        <f>'Constants - Livestock'!$F$15</f>
        <v>Solid storage (m=4)</v>
      </c>
      <c r="J11" s="1" t="s">
        <v>124</v>
      </c>
      <c r="M11" s="1"/>
    </row>
    <row r="12" spans="1:21" ht="20.100000000000001" customHeight="1" x14ac:dyDescent="0.25">
      <c r="A12" s="17" t="str">
        <f>HYPERLINK("#'3.3.1.1-2 Enteric Methane'!A1", "3.3.1.1-2 Enteric Methane")</f>
        <v>3.3.1.1-2 Enteric Methane</v>
      </c>
      <c r="J12" s="1" t="s">
        <v>125</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1"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7" t="str" cm="1">
        <f t="array" ref="D19">SourceData_Dairy.SourceData_Dairy_LiveweightCowsAndHeifers_Unit()</f>
        <v>kg</v>
      </c>
      <c r="M19" s="1"/>
    </row>
    <row r="20" spans="1:13" ht="20.100000000000001" customHeight="1" x14ac:dyDescent="0.25">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131</v>
      </c>
      <c r="E21" s="39" t="s">
        <v>132</v>
      </c>
      <c r="F21" s="39" t="s">
        <v>133</v>
      </c>
      <c r="G21" s="39" t="s">
        <v>134</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131</v>
      </c>
      <c r="E38" s="39" t="s">
        <v>136</v>
      </c>
      <c r="F38" s="39" t="s">
        <v>135</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132</v>
      </c>
      <c r="E46" s="39" t="s">
        <v>133</v>
      </c>
      <c r="F46" s="39" t="s">
        <v>134</v>
      </c>
      <c r="G46" s="39" t="s">
        <v>136</v>
      </c>
      <c r="H46" s="39" t="s">
        <v>135</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19" t="s">
        <v>132</v>
      </c>
      <c r="E54" s="119" t="s">
        <v>133</v>
      </c>
      <c r="F54" s="119" t="s">
        <v>134</v>
      </c>
      <c r="G54" s="119" t="s">
        <v>136</v>
      </c>
      <c r="H54" s="119" t="s">
        <v>135</v>
      </c>
      <c r="M54" s="1"/>
    </row>
    <row r="55" spans="1:13" ht="20.100000000000001" customHeight="1" x14ac:dyDescent="0.25">
      <c r="A55" s="13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137</v>
      </c>
      <c r="E62" s="39" t="s">
        <v>138</v>
      </c>
      <c r="F62" s="39" t="s">
        <v>139</v>
      </c>
      <c r="G62" s="39" t="s">
        <v>140</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95</v>
      </c>
      <c r="E72" s="39" t="s">
        <v>78</v>
      </c>
      <c r="F72" s="39" t="s">
        <v>79</v>
      </c>
      <c r="G72" s="39" t="s">
        <v>80</v>
      </c>
      <c r="H72" s="39" t="s">
        <v>81</v>
      </c>
      <c r="I72" s="39" t="s">
        <v>82</v>
      </c>
      <c r="J72" s="39" t="s">
        <v>83</v>
      </c>
      <c r="K72" s="39" t="s">
        <v>84</v>
      </c>
      <c r="L72" s="39" t="s">
        <v>85</v>
      </c>
      <c r="M72" s="39" t="s">
        <v>148</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3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95</v>
      </c>
      <c r="E86" s="39" t="s">
        <v>141</v>
      </c>
      <c r="F86" s="39" t="s">
        <v>142</v>
      </c>
      <c r="G86" s="39" t="s">
        <v>148</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137</v>
      </c>
      <c r="E98" s="39" t="s">
        <v>143</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3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137</v>
      </c>
      <c r="E107" s="39" t="s">
        <v>144</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145</v>
      </c>
      <c r="E116" s="39" t="s">
        <v>118</v>
      </c>
      <c r="F116" s="39" t="s">
        <v>146</v>
      </c>
      <c r="G116" s="39" t="s">
        <v>147</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95</v>
      </c>
      <c r="E128" s="39" t="s">
        <v>141</v>
      </c>
      <c r="F128" s="39" t="s">
        <v>148</v>
      </c>
      <c r="G128" s="110" t="s">
        <v>163</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3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137</v>
      </c>
      <c r="E141" s="39" t="s">
        <v>158</v>
      </c>
      <c r="F141" s="39" t="s">
        <v>159</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3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31" t="str">
        <f>HYPERLINK("#A1", "▲ Back to top")</f>
        <v>▲ Back to top</v>
      </c>
      <c r="D215" s="56"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7" t="str" cm="1">
        <f t="array" ref="D220">SourceData_Dairy.SourceData_Dairy_FatContentInMilk_Unit()</f>
        <v>percent</v>
      </c>
      <c r="M220" s="24"/>
    </row>
    <row r="221" spans="1:13" x14ac:dyDescent="0.25">
      <c r="D221" s="56"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7" t="str" cm="1">
        <f t="array" ref="D226">SourceData_Dairy.SourceData_Dairy_ProteinContentInMilk_Unit()</f>
        <v>percent</v>
      </c>
      <c r="M226" s="24"/>
    </row>
    <row r="227" spans="4:13" x14ac:dyDescent="0.25">
      <c r="D227" s="56"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74</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8</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8</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89</v>
      </c>
      <c r="E134" t="s">
        <v>90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203</v>
      </c>
      <c r="E142" s="39" t="s">
        <v>90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114</v>
      </c>
      <c r="E186" s="39" t="s">
        <v>115</v>
      </c>
      <c r="F186" s="39" t="s">
        <v>116</v>
      </c>
      <c r="G186" s="39" t="s">
        <v>117</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8</v>
      </c>
      <c r="E206" s="39" t="s">
        <v>205</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210</v>
      </c>
      <c r="E212" s="39" t="s">
        <v>211</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213</v>
      </c>
      <c r="F231" s="38" t="s">
        <v>214</v>
      </c>
      <c r="G231" s="39" t="s">
        <v>215</v>
      </c>
      <c r="H231" s="39" t="s">
        <v>216</v>
      </c>
      <c r="I231" s="39" t="s">
        <v>217</v>
      </c>
      <c r="J231" s="39" t="s">
        <v>218</v>
      </c>
      <c r="K231" s="39" t="s">
        <v>219</v>
      </c>
      <c r="L231" s="39" t="s">
        <v>220</v>
      </c>
      <c r="M231" s="39" t="s">
        <v>221</v>
      </c>
      <c r="N231" s="39" t="s">
        <v>222</v>
      </c>
      <c r="O231" s="39" t="s">
        <v>223</v>
      </c>
      <c r="P231" s="39" t="s">
        <v>224</v>
      </c>
      <c r="Q231" s="39" t="s">
        <v>225</v>
      </c>
      <c r="R231" s="39" t="s">
        <v>226</v>
      </c>
      <c r="S231" s="39" t="s">
        <v>227</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76</v>
      </c>
      <c r="E9" s="39" t="s">
        <v>19</v>
      </c>
      <c r="F9" s="39" t="s">
        <v>77</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73</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71" t="str">
        <f>HYPERLINK("#'Constants - Livestock'!A1", "Constants - Livestock")</f>
        <v>Constants - Livestock</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2026-05-25T06:46:02Z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