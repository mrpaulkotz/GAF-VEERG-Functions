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E2A0FF3-8799-4934-B5D7-0028C6A270A4}" xr6:coauthVersionLast="47" xr6:coauthVersionMax="47" xr10:uidLastSave="{00000000-0000-0000-0000-000000000000}"/>
  <bookViews>
    <workbookView xWindow="1560" yWindow="1560" windowWidth="21600" windowHeight="12645" firstSheet="1" activeTab="4" xr2:uid="{992023F3-CAB7-4E5B-A348-08D563A0EF40}"/>
  </bookViews>
  <sheets>
    <sheet name="Home" sheetId="71" r:id="rId1"/>
    <sheet name="Overview" sheetId="118" r:id="rId2"/>
    <sheet name="Results" sheetId="13" r:id="rId3"/>
    <sheet name="Input - Solid waste" sheetId="70" r:id="rId4"/>
    <sheet name="10.1.1-2 Solid waste treatment" sheetId="69" r:id="rId5"/>
    <sheet name="Constants - Solid Waste" sheetId="110" r:id="rId6"/>
    <sheet name="Constants - Common" sheetId="122"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Table_E_g_offsite">'10.1.1-2 Solid waste treatment'!$D$156:$E$190</definedName>
    <definedName name="Table_E_g_onsite">'10.1.1-2 Solid waste treatment'!$D$115:$E$149</definedName>
    <definedName name="Table_V_w_t_offsite">'10.1.1-2 Solid waste treatment'!$D$58:$E$92</definedName>
    <definedName name="Table_V_w_t_onsite">'10.1.1-2 Solid waste treatment'!$D$20:$E$54</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crop)","","";"Incineration","Green waste (including crop residues or prunings)","","";"Incineration","Wood","","";"Incineration","Sludge","","";"Incineration","Paper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crop)","","";"Composting","Green waste (including crop residues or prunings)","","";"Composting","Wood","","";"Composting","Sludge","","";"Composting","Paper and cardboard","","";"Anaerobic digestion","All organic waste",0.028,"NGAF 2025 Table 19";"Anaerobic digestion","Food waste (including animal carcasses, spoiled animal feed or crop)","","";"Anaerobic digestion","Green waste (including crop residues or prunings)","","";"Anaerobic digestion","Wood","","";"Anaerobic digestion","Sludge","","";"Anaerobic digestion","Paper and cardboard","",""},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8" i="69" l="1"/>
  <c r="H179" i="69"/>
  <c r="H185" i="69"/>
  <c r="H144" i="69"/>
  <c r="H138" i="69"/>
  <c r="D50" i="110" a="1"/>
  <c r="D50" i="110" s="1"/>
  <c r="E50" i="110" a="1"/>
  <c r="E50" i="110" s="1"/>
  <c r="F50" i="110" a="1"/>
  <c r="F50" i="110" s="1"/>
  <c r="G50" i="110" a="1"/>
  <c r="G50" i="110" s="1"/>
  <c r="D49" i="110" a="1"/>
  <c r="D49" i="110" s="1"/>
  <c r="E49" i="110" a="1"/>
  <c r="E49" i="110" s="1"/>
  <c r="F49" i="110" a="1"/>
  <c r="F49" i="110" s="1"/>
  <c r="G49" i="110" a="1"/>
  <c r="G49" i="110" s="1"/>
  <c r="D48" i="110" a="1"/>
  <c r="D48" i="110" s="1"/>
  <c r="E48" i="110" a="1"/>
  <c r="E48" i="110" s="1"/>
  <c r="F48" i="110" a="1"/>
  <c r="F48" i="110" s="1"/>
  <c r="G48" i="110" a="1"/>
  <c r="G48" i="110" s="1"/>
  <c r="D47" i="110" a="1"/>
  <c r="D47" i="110" s="1"/>
  <c r="E47" i="110" a="1"/>
  <c r="E47" i="110" s="1"/>
  <c r="F47" i="110" a="1"/>
  <c r="F47" i="110" s="1"/>
  <c r="G47" i="110" a="1"/>
  <c r="G47" i="110" s="1"/>
  <c r="D46" i="110" a="1"/>
  <c r="D46" i="110" s="1"/>
  <c r="E46" i="110" a="1"/>
  <c r="E46" i="110" s="1"/>
  <c r="O17" i="110" s="1"/>
  <c r="F46" i="110" a="1"/>
  <c r="F46" i="110" s="1"/>
  <c r="G46" i="110" a="1"/>
  <c r="G46" i="110" s="1"/>
  <c r="D45" i="110" a="1"/>
  <c r="D45" i="110" s="1"/>
  <c r="E45" i="110" a="1"/>
  <c r="E45" i="110" s="1"/>
  <c r="F45" i="110" a="1"/>
  <c r="F45" i="110" s="1"/>
  <c r="G45" i="110" a="1"/>
  <c r="G45" i="110" s="1"/>
  <c r="D44" i="110" a="1"/>
  <c r="D44" i="110" s="1"/>
  <c r="E44" i="110" a="1"/>
  <c r="E44" i="110" s="1"/>
  <c r="F44" i="110" a="1"/>
  <c r="F44" i="110" s="1"/>
  <c r="G44" i="110" a="1"/>
  <c r="G44" i="110" s="1"/>
  <c r="D43" i="110" a="1"/>
  <c r="D43" i="110" s="1"/>
  <c r="E43" i="110" a="1"/>
  <c r="E43" i="110" s="1"/>
  <c r="F43" i="110" a="1"/>
  <c r="F43" i="110" s="1"/>
  <c r="G43" i="110" a="1"/>
  <c r="G43" i="110" s="1"/>
  <c r="D42" i="110" a="1"/>
  <c r="D42" i="110" s="1"/>
  <c r="E42" i="110" a="1"/>
  <c r="E42" i="110" s="1"/>
  <c r="F42" i="110" a="1"/>
  <c r="F42" i="110" s="1"/>
  <c r="G42" i="110" a="1"/>
  <c r="G42" i="110" s="1"/>
  <c r="D41" i="110" a="1"/>
  <c r="D41" i="110" s="1"/>
  <c r="E41" i="110" a="1"/>
  <c r="E41" i="110" s="1"/>
  <c r="M18" i="110" s="1"/>
  <c r="F41" i="110" a="1"/>
  <c r="F41" i="110" s="1"/>
  <c r="G41" i="110" a="1"/>
  <c r="G41" i="110" s="1"/>
  <c r="D40" i="110" a="1"/>
  <c r="D40" i="110" s="1"/>
  <c r="E40" i="110" a="1"/>
  <c r="E40" i="110" s="1"/>
  <c r="M17" i="110" s="1"/>
  <c r="F40" i="110" a="1"/>
  <c r="F40" i="110" s="1"/>
  <c r="G40" i="110" a="1"/>
  <c r="G40" i="110" s="1"/>
  <c r="D39" i="110" a="1"/>
  <c r="D39" i="110" s="1"/>
  <c r="E39" i="110" a="1"/>
  <c r="E39" i="110" s="1"/>
  <c r="F39" i="110" a="1"/>
  <c r="F39" i="110" s="1"/>
  <c r="G39" i="110" a="1"/>
  <c r="G39" i="110" s="1"/>
  <c r="D38" i="110" a="1"/>
  <c r="D38" i="110" s="1"/>
  <c r="E38" i="110" a="1"/>
  <c r="E38" i="110" s="1"/>
  <c r="K26" i="110" s="1"/>
  <c r="F38" i="110" a="1"/>
  <c r="F38" i="110" s="1"/>
  <c r="G38" i="110" a="1"/>
  <c r="G38" i="110" s="1"/>
  <c r="D37" i="110" a="1"/>
  <c r="D37" i="110" s="1"/>
  <c r="E37" i="110" a="1"/>
  <c r="E37" i="110" s="1"/>
  <c r="K25" i="110" s="1"/>
  <c r="F37" i="110" a="1"/>
  <c r="F37" i="110" s="1"/>
  <c r="G37" i="110" a="1"/>
  <c r="G37" i="110" s="1"/>
  <c r="E259" i="122" a="1"/>
  <c r="E259" i="122" s="1"/>
  <c r="D259" i="122" a="1"/>
  <c r="D259" i="122" s="1"/>
  <c r="E258" i="122" a="1"/>
  <c r="E258" i="122" s="1"/>
  <c r="D258" i="122" a="1"/>
  <c r="D258" i="122" s="1"/>
  <c r="D256" i="122" a="1"/>
  <c r="D256" i="122" s="1"/>
  <c r="D255" i="122" a="1"/>
  <c r="D255" i="122" s="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a="1"/>
  <c r="D211" i="122" s="1"/>
  <c r="E208" i="122" a="1"/>
  <c r="E208" i="122" s="1"/>
  <c r="D208" i="122" a="1"/>
  <c r="D208" i="122" s="1"/>
  <c r="E207" i="122" a="1"/>
  <c r="E207" i="122" s="1"/>
  <c r="D207" i="122" a="1"/>
  <c r="D207" i="122" s="1"/>
  <c r="D205" i="122" a="1"/>
  <c r="D205" i="122" s="1"/>
  <c r="D204" i="122" a="1"/>
  <c r="D204" i="122" s="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c r="D174" i="122" a="1"/>
  <c r="D173" i="122" a="1"/>
  <c r="D173" i="122" s="1"/>
  <c r="D170" i="122" a="1"/>
  <c r="D170" i="122" s="1"/>
  <c r="D169" i="122"/>
  <c r="D169" i="122" a="1"/>
  <c r="D168" i="122" a="1"/>
  <c r="D168" i="122" s="1"/>
  <c r="D167" i="122" a="1"/>
  <c r="D167" i="122" s="1"/>
  <c r="D164" i="122" a="1"/>
  <c r="D164" i="122" s="1"/>
  <c r="D163" i="122" a="1"/>
  <c r="D163" i="122" s="1"/>
  <c r="D162" i="122" a="1"/>
  <c r="D162" i="122" s="1"/>
  <c r="D161" i="122" a="1"/>
  <c r="D161" i="122" s="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c r="D140" i="122" a="1"/>
  <c r="D139" i="122" a="1"/>
  <c r="D139" i="122" s="1"/>
  <c r="E136" i="122" a="1"/>
  <c r="E136" i="122" s="1"/>
  <c r="D136" i="122" a="1"/>
  <c r="D136" i="122" s="1"/>
  <c r="E135" i="122" a="1"/>
  <c r="E135" i="122" s="1"/>
  <c r="D135" i="122" a="1"/>
  <c r="D135" i="122" s="1"/>
  <c r="D133" i="122" a="1"/>
  <c r="D133" i="122" s="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a="1"/>
  <c r="D82" i="122" s="1"/>
  <c r="D81" i="122" a="1"/>
  <c r="D81" i="122" s="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F7" i="122" a="1"/>
  <c r="F7" i="122" s="1"/>
  <c r="E7" i="122" a="1"/>
  <c r="E7" i="122" s="1"/>
  <c r="D7" i="122" a="1"/>
  <c r="D7" i="122" s="1"/>
  <c r="D5" i="122" a="1"/>
  <c r="D5" i="122" s="1"/>
  <c r="G36" i="110" a="1"/>
  <c r="G36" i="110" s="1"/>
  <c r="G35" i="110" a="1"/>
  <c r="G35" i="110" s="1"/>
  <c r="G34" i="110" a="1"/>
  <c r="G34" i="110" s="1"/>
  <c r="G33" i="110" a="1"/>
  <c r="G33" i="110" s="1"/>
  <c r="G32" i="110" a="1"/>
  <c r="G32" i="110" s="1"/>
  <c r="G31" i="110" a="1"/>
  <c r="G31" i="110" s="1"/>
  <c r="G30" i="110" a="1"/>
  <c r="G30" i="110" s="1"/>
  <c r="G29" i="110" a="1"/>
  <c r="G29" i="110" s="1"/>
  <c r="G28" i="110" a="1"/>
  <c r="G28" i="110" s="1"/>
  <c r="G27" i="110" a="1"/>
  <c r="G27" i="110" s="1"/>
  <c r="G26" i="110" a="1"/>
  <c r="G26" i="110" s="1"/>
  <c r="G25" i="110" a="1"/>
  <c r="G25" i="110" s="1"/>
  <c r="G24" i="110" a="1"/>
  <c r="G24" i="110" s="1"/>
  <c r="G23" i="110" a="1"/>
  <c r="G23" i="110" s="1"/>
  <c r="G22" i="110" a="1"/>
  <c r="G22" i="110" s="1"/>
  <c r="G21" i="110" a="1"/>
  <c r="G21" i="110" s="1"/>
  <c r="G20" i="110" a="1"/>
  <c r="G20" i="110" s="1"/>
  <c r="G19" i="110" a="1"/>
  <c r="G19" i="110" s="1"/>
  <c r="G18" i="110" a="1"/>
  <c r="G18" i="110" s="1"/>
  <c r="G17" i="110" a="1"/>
  <c r="G17" i="110" s="1"/>
  <c r="A77" i="110"/>
  <c r="A49" i="110"/>
  <c r="A109" i="69"/>
  <c r="A136" i="69"/>
  <c r="A66" i="69"/>
  <c r="O21" i="110" l="1"/>
  <c r="O20" i="110"/>
  <c r="O19" i="110"/>
  <c r="O18" i="110"/>
  <c r="M21" i="110"/>
  <c r="M20" i="110"/>
  <c r="M19" i="110"/>
  <c r="H54" i="122"/>
  <c r="H53" i="122"/>
  <c r="H50" i="122"/>
  <c r="H48" i="122"/>
  <c r="H51" i="122"/>
  <c r="H52" i="122"/>
  <c r="H49" i="122"/>
  <c r="A15" i="110"/>
  <c r="A14" i="110"/>
  <c r="A11" i="110"/>
  <c r="A8" i="110"/>
  <c r="A5" i="110"/>
  <c r="A4" i="110"/>
  <c r="A3" i="110"/>
  <c r="A15" i="69"/>
  <c r="A14" i="69"/>
  <c r="A11" i="69"/>
  <c r="A8" i="69"/>
  <c r="A5" i="69"/>
  <c r="A4" i="69"/>
  <c r="A3" i="69"/>
  <c r="A15" i="70"/>
  <c r="A14" i="70"/>
  <c r="A11" i="70"/>
  <c r="A8" i="70"/>
  <c r="A5" i="70"/>
  <c r="A4" i="70"/>
  <c r="A3" i="70"/>
  <c r="A15" i="118"/>
  <c r="A14" i="118"/>
  <c r="A11" i="118"/>
  <c r="A8" i="118"/>
  <c r="A5" i="118"/>
  <c r="A4" i="118"/>
  <c r="A3" i="118"/>
  <c r="A14" i="13"/>
  <c r="A11" i="13"/>
  <c r="A8" i="13"/>
  <c r="D98" i="69" a="1"/>
  <c r="D98" i="69" s="1"/>
  <c r="H105" i="69" l="1" a="1"/>
  <c r="H105" i="69" s="1"/>
  <c r="D105" i="69" a="1"/>
  <c r="D105" i="69" s="1"/>
  <c r="E103" i="69" a="1"/>
  <c r="E103" i="69" s="1"/>
  <c r="F192" i="69" s="1"/>
  <c r="E102" i="69" a="1"/>
  <c r="E102" i="69" s="1"/>
  <c r="D97" i="69" a="1"/>
  <c r="D97" i="69" s="1"/>
  <c r="D96" i="69" a="1"/>
  <c r="D96" i="69" s="1"/>
  <c r="J16" i="69" a="1"/>
  <c r="J16" i="69" s="1"/>
  <c r="J15" i="69" a="1"/>
  <c r="J15" i="69" s="1"/>
  <c r="J14" i="69" a="1"/>
  <c r="J14" i="69" s="1"/>
  <c r="J13" i="69" a="1"/>
  <c r="J13" i="69" s="1"/>
  <c r="I16" i="69" a="1"/>
  <c r="I16" i="69" s="1"/>
  <c r="I15" i="69" a="1"/>
  <c r="I15" i="69" s="1"/>
  <c r="I14" i="69" a="1"/>
  <c r="I14" i="69" s="1"/>
  <c r="I13" i="69" a="1"/>
  <c r="I13" i="69" s="1"/>
  <c r="D7" i="110" a="1"/>
  <c r="D7" i="110" s="1"/>
  <c r="G13" i="69" a="1"/>
  <c r="G13" i="69" s="1"/>
  <c r="D13" i="69" a="1"/>
  <c r="D13" i="69" s="1"/>
  <c r="E11" i="69" a="1"/>
  <c r="E11" i="69" s="1"/>
  <c r="E10" i="69" a="1"/>
  <c r="E10" i="69" s="1"/>
  <c r="D6" i="69" a="1"/>
  <c r="D6" i="69" s="1"/>
  <c r="D5" i="69" a="1"/>
  <c r="D5" i="69" s="1"/>
  <c r="D68" i="110" a="1"/>
  <c r="D68" i="110" s="1"/>
  <c r="E68" i="110" a="1"/>
  <c r="E68" i="110" s="1"/>
  <c r="D67" i="110" a="1"/>
  <c r="D67" i="110" s="1"/>
  <c r="E67" i="110" a="1"/>
  <c r="E67" i="110" s="1"/>
  <c r="D66" i="110" a="1"/>
  <c r="D66" i="110" s="1"/>
  <c r="E66" i="110" a="1"/>
  <c r="E66" i="110" s="1"/>
  <c r="D65" i="110" a="1"/>
  <c r="D65" i="110" s="1"/>
  <c r="E65" i="110" a="1"/>
  <c r="E65" i="110" s="1"/>
  <c r="D64" i="110" a="1"/>
  <c r="D64" i="110" s="1"/>
  <c r="E64" i="110" a="1"/>
  <c r="E64" i="110" s="1"/>
  <c r="D63" i="110" a="1"/>
  <c r="D63" i="110" s="1"/>
  <c r="E63" i="110" a="1"/>
  <c r="E63" i="110" s="1"/>
  <c r="D62" i="110" a="1"/>
  <c r="D62" i="110" s="1"/>
  <c r="E62" i="110" a="1"/>
  <c r="E62" i="110" s="1"/>
  <c r="D61" i="110" a="1"/>
  <c r="D61" i="110" s="1"/>
  <c r="E61" i="110" a="1"/>
  <c r="E61" i="110" s="1"/>
  <c r="D60" i="110" a="1"/>
  <c r="D60" i="110" s="1"/>
  <c r="E60" i="110" a="1"/>
  <c r="E60" i="110" s="1"/>
  <c r="D59" i="110" a="1"/>
  <c r="D59" i="110" s="1"/>
  <c r="E59" i="110" a="1"/>
  <c r="E59" i="110" s="1"/>
  <c r="E58" i="110" a="1"/>
  <c r="E58" i="110" s="1"/>
  <c r="D58" i="110" a="1"/>
  <c r="D58" i="110" s="1"/>
  <c r="D56" i="110" a="1"/>
  <c r="D56" i="110" s="1"/>
  <c r="D54" i="110" a="1"/>
  <c r="D54" i="110" s="1"/>
  <c r="D55" i="110" a="1"/>
  <c r="D55" i="110" s="1"/>
  <c r="D53" i="110" a="1"/>
  <c r="D53" i="110" s="1"/>
  <c r="D52" i="110" a="1"/>
  <c r="D52" i="110" s="1"/>
  <c r="D36" i="110" a="1"/>
  <c r="D36" i="110" s="1"/>
  <c r="E36" i="110" a="1"/>
  <c r="E36" i="110" s="1"/>
  <c r="K24" i="110" s="1"/>
  <c r="F36" i="110" a="1"/>
  <c r="F36" i="110" s="1"/>
  <c r="D35" i="110" a="1"/>
  <c r="D35" i="110" s="1"/>
  <c r="E35" i="110" a="1"/>
  <c r="E35" i="110" s="1"/>
  <c r="K23" i="110" s="1"/>
  <c r="F35" i="110" a="1"/>
  <c r="F35" i="110" s="1"/>
  <c r="D34" i="110" a="1"/>
  <c r="D34" i="110" s="1"/>
  <c r="E34" i="110" a="1"/>
  <c r="E34" i="110" s="1"/>
  <c r="K22" i="110" s="1"/>
  <c r="F34" i="110" a="1"/>
  <c r="F34" i="110" s="1"/>
  <c r="D33" i="110" a="1"/>
  <c r="D33" i="110" s="1"/>
  <c r="E33" i="110" a="1"/>
  <c r="E33" i="110" s="1"/>
  <c r="K21" i="110" s="1"/>
  <c r="F33" i="110" a="1"/>
  <c r="F33" i="110" s="1"/>
  <c r="D32" i="110" a="1"/>
  <c r="D32" i="110" s="1"/>
  <c r="E32" i="110" a="1"/>
  <c r="E32" i="110" s="1"/>
  <c r="K20" i="110" s="1"/>
  <c r="F32" i="110" a="1"/>
  <c r="F32" i="110" s="1"/>
  <c r="D31" i="110" a="1"/>
  <c r="D31" i="110" s="1"/>
  <c r="E31" i="110" a="1"/>
  <c r="E31" i="110" s="1"/>
  <c r="K19" i="110" s="1"/>
  <c r="F31" i="110" a="1"/>
  <c r="F31" i="110" s="1"/>
  <c r="D30" i="110" a="1"/>
  <c r="D30" i="110" s="1"/>
  <c r="E30" i="110" a="1"/>
  <c r="E30" i="110" s="1"/>
  <c r="K18" i="110" s="1"/>
  <c r="F30" i="110" a="1"/>
  <c r="F30" i="110" s="1"/>
  <c r="D29" i="110" a="1"/>
  <c r="D29" i="110" s="1"/>
  <c r="E29" i="110" a="1"/>
  <c r="E29" i="110" s="1"/>
  <c r="K17" i="110" s="1"/>
  <c r="F29" i="110" a="1"/>
  <c r="F29" i="110" s="1"/>
  <c r="D28" i="110" a="1"/>
  <c r="D28" i="110" s="1"/>
  <c r="E28" i="110" a="1"/>
  <c r="E28" i="110" s="1"/>
  <c r="F28" i="110" a="1"/>
  <c r="F28" i="110" s="1"/>
  <c r="D27" i="110" a="1"/>
  <c r="D27" i="110" s="1"/>
  <c r="E27" i="110" a="1"/>
  <c r="E27" i="110" s="1"/>
  <c r="I27" i="110" s="1"/>
  <c r="F27" i="110" a="1"/>
  <c r="F27" i="110" s="1"/>
  <c r="D26" i="110" a="1"/>
  <c r="D26" i="110" s="1"/>
  <c r="E26" i="110" a="1"/>
  <c r="E26" i="110" s="1"/>
  <c r="I26" i="110" s="1"/>
  <c r="F26" i="110" a="1"/>
  <c r="F26" i="110" s="1"/>
  <c r="D25" i="110" a="1"/>
  <c r="D25" i="110" s="1"/>
  <c r="E25" i="110" a="1"/>
  <c r="E25" i="110" s="1"/>
  <c r="I25" i="110" s="1"/>
  <c r="F25" i="110" a="1"/>
  <c r="F25" i="110" s="1"/>
  <c r="D24" i="110" a="1"/>
  <c r="D24" i="110" s="1"/>
  <c r="E24" i="110" a="1"/>
  <c r="E24" i="110" s="1"/>
  <c r="I24" i="110" s="1"/>
  <c r="F24" i="110" a="1"/>
  <c r="F24" i="110" s="1"/>
  <c r="D23" i="110" a="1"/>
  <c r="D23" i="110" s="1"/>
  <c r="E23" i="110" a="1"/>
  <c r="E23" i="110" s="1"/>
  <c r="I23" i="110" s="1"/>
  <c r="F23" i="110" a="1"/>
  <c r="F23" i="110" s="1"/>
  <c r="D22" i="110" a="1"/>
  <c r="D22" i="110" s="1"/>
  <c r="E22" i="110" a="1"/>
  <c r="E22" i="110" s="1"/>
  <c r="I22" i="110" s="1"/>
  <c r="F22" i="110" a="1"/>
  <c r="F22" i="110" s="1"/>
  <c r="D21" i="110" a="1"/>
  <c r="D21" i="110" s="1"/>
  <c r="E21" i="110" a="1"/>
  <c r="E21" i="110" s="1"/>
  <c r="I21" i="110" s="1"/>
  <c r="F21" i="110" a="1"/>
  <c r="F21" i="110" s="1"/>
  <c r="D20" i="110" a="1"/>
  <c r="D20" i="110" s="1"/>
  <c r="E20" i="110" a="1"/>
  <c r="E20" i="110" s="1"/>
  <c r="I20" i="110" s="1"/>
  <c r="F20" i="110" a="1"/>
  <c r="F20" i="110" s="1"/>
  <c r="D19" i="110" a="1"/>
  <c r="D19" i="110" s="1"/>
  <c r="E19" i="110" a="1"/>
  <c r="E19" i="110" s="1"/>
  <c r="I19" i="110" s="1"/>
  <c r="F19" i="110" a="1"/>
  <c r="F19" i="110" s="1"/>
  <c r="D18" i="110" a="1"/>
  <c r="D18" i="110" s="1"/>
  <c r="E18" i="110" a="1"/>
  <c r="E18" i="110" s="1"/>
  <c r="I18" i="110" s="1"/>
  <c r="F18" i="110" a="1"/>
  <c r="F18" i="110" s="1"/>
  <c r="F17" i="110" a="1"/>
  <c r="F17" i="110" s="1"/>
  <c r="E17" i="110" a="1"/>
  <c r="E17" i="110" s="1"/>
  <c r="I17" i="110" s="1"/>
  <c r="D17" i="110" a="1"/>
  <c r="D17" i="110" s="1"/>
  <c r="D15" i="110" a="1"/>
  <c r="D15" i="110" s="1"/>
  <c r="D14" i="110" a="1"/>
  <c r="D14" i="110" s="1"/>
  <c r="D6" i="110" a="1"/>
  <c r="D6" i="110" s="1"/>
  <c r="D5" i="110" a="1"/>
  <c r="D5" i="110" s="1"/>
  <c r="E99" i="69" a="1"/>
  <c r="E7" i="69" a="1"/>
  <c r="F151" i="69" l="1"/>
  <c r="E99" i="69"/>
  <c r="D157" i="69" a="1"/>
  <c r="D116" i="69" a="1"/>
  <c r="D59" i="69" a="1"/>
  <c r="E116" i="69" a="1"/>
  <c r="E59" i="69" a="1"/>
  <c r="E157" i="69" a="1"/>
  <c r="E7" i="69"/>
  <c r="D21" i="69" a="1"/>
  <c r="E21" i="69" a="1"/>
  <c r="A15" i="13"/>
  <c r="A5" i="13"/>
  <c r="A4" i="13"/>
  <c r="A3" i="13"/>
  <c r="J136" i="69" l="1" a="1"/>
  <c r="J136" i="69" s="1"/>
  <c r="J179" i="69" a="1"/>
  <c r="J179" i="69" s="1"/>
  <c r="J138" i="69" a="1"/>
  <c r="J138" i="69" s="1"/>
  <c r="G80" i="69" a="1"/>
  <c r="G80" i="69" s="1"/>
  <c r="G88" i="69" a="1"/>
  <c r="G88" i="69" s="1"/>
  <c r="G79" i="69" a="1"/>
  <c r="G79" i="69" s="1"/>
  <c r="G86" i="69" a="1"/>
  <c r="G86" i="69" s="1"/>
  <c r="G85" i="69" a="1"/>
  <c r="G85" i="69" s="1"/>
  <c r="G92" i="69" a="1"/>
  <c r="G92" i="69" s="1"/>
  <c r="G84" i="69" a="1"/>
  <c r="G84" i="69" s="1"/>
  <c r="G91" i="69" a="1"/>
  <c r="G91" i="69" s="1"/>
  <c r="G83" i="69" a="1"/>
  <c r="G83" i="69" s="1"/>
  <c r="G90" i="69" a="1"/>
  <c r="G90" i="69" s="1"/>
  <c r="G82" i="69" a="1"/>
  <c r="G82" i="69" s="1"/>
  <c r="G89" i="69" a="1"/>
  <c r="G89" i="69" s="1"/>
  <c r="J137" i="69" a="1"/>
  <c r="J137" i="69" s="1"/>
  <c r="J144" i="69" a="1"/>
  <c r="J144" i="69" s="1"/>
  <c r="G143" i="69" a="1"/>
  <c r="G143" i="69" s="1"/>
  <c r="G137" i="69" a="1"/>
  <c r="G137" i="69" s="1"/>
  <c r="G187" i="69" a="1"/>
  <c r="G187" i="69" s="1"/>
  <c r="G180" i="69" a="1"/>
  <c r="G180" i="69" s="1"/>
  <c r="G48" i="69" a="1"/>
  <c r="G48" i="69" s="1"/>
  <c r="G41" i="69" a="1"/>
  <c r="G41" i="69" s="1"/>
  <c r="G149" i="69" a="1"/>
  <c r="G149" i="69" s="1"/>
  <c r="G142" i="69" a="1"/>
  <c r="G142" i="69" s="1"/>
  <c r="G186" i="69" a="1"/>
  <c r="G186" i="69" s="1"/>
  <c r="G136" i="69" a="1"/>
  <c r="G136" i="69" s="1"/>
  <c r="G148" i="69" a="1"/>
  <c r="G148" i="69" s="1"/>
  <c r="G141" i="69" a="1"/>
  <c r="G141" i="69" s="1"/>
  <c r="G47" i="69" a="1"/>
  <c r="G47" i="69" s="1"/>
  <c r="G54" i="69" a="1"/>
  <c r="G54" i="69" s="1"/>
  <c r="G178" i="69" a="1"/>
  <c r="G178" i="69" s="1"/>
  <c r="G147" i="69" a="1"/>
  <c r="G147" i="69" s="1"/>
  <c r="G140" i="69" a="1"/>
  <c r="G140" i="69" s="1"/>
  <c r="G46" i="69" a="1"/>
  <c r="G46" i="69" s="1"/>
  <c r="G184" i="69" a="1"/>
  <c r="G184" i="69" s="1"/>
  <c r="G53" i="69" a="1"/>
  <c r="G53" i="69" s="1"/>
  <c r="G146" i="69" a="1"/>
  <c r="G146" i="69" s="1"/>
  <c r="G139" i="69" a="1"/>
  <c r="G139" i="69" s="1"/>
  <c r="G45" i="69" a="1"/>
  <c r="G45" i="69" s="1"/>
  <c r="G190" i="69" a="1"/>
  <c r="G190" i="69" s="1"/>
  <c r="G183" i="69" a="1"/>
  <c r="G183" i="69" s="1"/>
  <c r="G177" i="69" a="1"/>
  <c r="G177" i="69" s="1"/>
  <c r="G52" i="69" a="1"/>
  <c r="G52" i="69" s="1"/>
  <c r="G145" i="69" a="1"/>
  <c r="G145" i="69" s="1"/>
  <c r="G44" i="69" a="1"/>
  <c r="G44" i="69" s="1"/>
  <c r="G189" i="69" a="1"/>
  <c r="G189" i="69" s="1"/>
  <c r="G182" i="69" a="1"/>
  <c r="G182" i="69" s="1"/>
  <c r="G51" i="69" a="1"/>
  <c r="G51" i="69" s="1"/>
  <c r="G188" i="69" a="1"/>
  <c r="G188" i="69" s="1"/>
  <c r="G181" i="69" a="1"/>
  <c r="G181" i="69" s="1"/>
  <c r="G50" i="69" a="1"/>
  <c r="G50" i="69" s="1"/>
  <c r="G42" i="69" a="1"/>
  <c r="G42" i="69" s="1"/>
  <c r="J178" i="69" a="1"/>
  <c r="J178" i="69" s="1"/>
  <c r="J185" i="69" a="1"/>
  <c r="J185" i="69" s="1"/>
  <c r="H26" i="69" a="1"/>
  <c r="H26" i="69" s="1"/>
  <c r="H48" i="69" a="1"/>
  <c r="H48" i="69" s="1"/>
  <c r="H41" i="69" a="1"/>
  <c r="H41" i="69" s="1"/>
  <c r="H47" i="69" a="1"/>
  <c r="H47" i="69" s="1"/>
  <c r="H54" i="69" a="1"/>
  <c r="H54" i="69" s="1"/>
  <c r="H46" i="69" a="1"/>
  <c r="H46" i="69" s="1"/>
  <c r="H53" i="69" a="1"/>
  <c r="H53" i="69" s="1"/>
  <c r="H45" i="69" a="1"/>
  <c r="H45" i="69" s="1"/>
  <c r="H52" i="69" a="1"/>
  <c r="H52" i="69" s="1"/>
  <c r="H44" i="69" a="1"/>
  <c r="H44" i="69" s="1"/>
  <c r="H51" i="69" a="1"/>
  <c r="H51" i="69" s="1"/>
  <c r="H50" i="69" a="1"/>
  <c r="H50" i="69" s="1"/>
  <c r="H42" i="69" a="1"/>
  <c r="H42" i="69" s="1"/>
  <c r="J177" i="69" a="1"/>
  <c r="J177" i="69" s="1"/>
  <c r="H68" i="69" a="1"/>
  <c r="H68" i="69" s="1"/>
  <c r="H88" i="69" a="1"/>
  <c r="H88" i="69" s="1"/>
  <c r="H79" i="69" a="1"/>
  <c r="H79" i="69" s="1"/>
  <c r="H86" i="69" a="1"/>
  <c r="H86" i="69" s="1"/>
  <c r="H85" i="69" a="1"/>
  <c r="H85" i="69" s="1"/>
  <c r="H92" i="69" a="1"/>
  <c r="H92" i="69" s="1"/>
  <c r="H84" i="69" a="1"/>
  <c r="H84" i="69" s="1"/>
  <c r="H91" i="69" a="1"/>
  <c r="H91" i="69" s="1"/>
  <c r="H83" i="69" a="1"/>
  <c r="H83" i="69" s="1"/>
  <c r="H90" i="69" a="1"/>
  <c r="H90" i="69" s="1"/>
  <c r="H82" i="69" a="1"/>
  <c r="H82" i="69" s="1"/>
  <c r="H89" i="69" a="1"/>
  <c r="H89" i="69" s="1"/>
  <c r="H80" i="69" a="1"/>
  <c r="H80" i="69" s="1"/>
  <c r="H24" i="69" a="1"/>
  <c r="H24" i="69" s="1"/>
  <c r="H75" i="69" a="1"/>
  <c r="H75" i="69" s="1"/>
  <c r="G163" i="69" a="1"/>
  <c r="G163" i="69" s="1"/>
  <c r="G129" i="69" a="1"/>
  <c r="G129" i="69" s="1"/>
  <c r="G176" i="69" a="1"/>
  <c r="G176" i="69" s="1"/>
  <c r="G162" i="69" a="1"/>
  <c r="G162" i="69" s="1"/>
  <c r="G128" i="69" a="1"/>
  <c r="G128" i="69" s="1"/>
  <c r="G175" i="69" a="1"/>
  <c r="G175" i="69" s="1"/>
  <c r="G161" i="69" a="1"/>
  <c r="G161" i="69" s="1"/>
  <c r="G174" i="69" a="1"/>
  <c r="G174" i="69" s="1"/>
  <c r="G160" i="69" a="1"/>
  <c r="G160" i="69" s="1"/>
  <c r="G126" i="69" a="1"/>
  <c r="G126" i="69" s="1"/>
  <c r="G173" i="69" a="1"/>
  <c r="G173" i="69" s="1"/>
  <c r="G159" i="69" a="1"/>
  <c r="G159" i="69" s="1"/>
  <c r="G125" i="69" a="1"/>
  <c r="G125" i="69" s="1"/>
  <c r="G172" i="69" a="1"/>
  <c r="G172" i="69" s="1"/>
  <c r="G158" i="69" a="1"/>
  <c r="G158" i="69" s="1"/>
  <c r="G124" i="69" a="1"/>
  <c r="G124" i="69" s="1"/>
  <c r="G171" i="69" a="1"/>
  <c r="G171" i="69" s="1"/>
  <c r="G123" i="69" a="1"/>
  <c r="G123" i="69" s="1"/>
  <c r="G169" i="69" a="1"/>
  <c r="G169" i="69" s="1"/>
  <c r="G121" i="69" a="1"/>
  <c r="G121" i="69" s="1"/>
  <c r="G134" i="69" a="1"/>
  <c r="G134" i="69" s="1"/>
  <c r="G133" i="69" a="1"/>
  <c r="G133" i="69" s="1"/>
  <c r="G166" i="69" a="1"/>
  <c r="G166" i="69" s="1"/>
  <c r="G132" i="69" a="1"/>
  <c r="G132" i="69" s="1"/>
  <c r="G117" i="69" a="1"/>
  <c r="G117" i="69" s="1"/>
  <c r="G164" i="69" a="1"/>
  <c r="G164" i="69" s="1"/>
  <c r="G130" i="69" a="1"/>
  <c r="G130" i="69" s="1"/>
  <c r="G170" i="69" a="1"/>
  <c r="G170" i="69" s="1"/>
  <c r="G122" i="69" a="1"/>
  <c r="G122" i="69" s="1"/>
  <c r="G135" i="69" a="1"/>
  <c r="G135" i="69" s="1"/>
  <c r="G120" i="69" a="1"/>
  <c r="G120" i="69" s="1"/>
  <c r="G167" i="69" a="1"/>
  <c r="G167" i="69" s="1"/>
  <c r="G119" i="69" a="1"/>
  <c r="G119" i="69" s="1"/>
  <c r="G118" i="69" a="1"/>
  <c r="G118" i="69" s="1"/>
  <c r="G165" i="69" a="1"/>
  <c r="G165" i="69" s="1"/>
  <c r="G131" i="69" a="1"/>
  <c r="G131" i="69" s="1"/>
  <c r="J135" i="69" a="1"/>
  <c r="J135" i="69" s="1"/>
  <c r="J121" i="69" a="1"/>
  <c r="J121" i="69" s="1"/>
  <c r="J134" i="69" a="1"/>
  <c r="J134" i="69" s="1"/>
  <c r="J120" i="69" a="1"/>
  <c r="J120" i="69" s="1"/>
  <c r="J127" i="69" a="1"/>
  <c r="J127" i="69" s="1"/>
  <c r="J133" i="69" a="1"/>
  <c r="J133" i="69" s="1"/>
  <c r="J119" i="69" a="1"/>
  <c r="J119" i="69" s="1"/>
  <c r="J132" i="69" a="1"/>
  <c r="J132" i="69" s="1"/>
  <c r="J118" i="69" a="1"/>
  <c r="J118" i="69" s="1"/>
  <c r="J117" i="69" a="1"/>
  <c r="J117" i="69" s="1"/>
  <c r="J126" i="69" a="1"/>
  <c r="J126" i="69" s="1"/>
  <c r="J125" i="69" a="1"/>
  <c r="J125" i="69" s="1"/>
  <c r="J124" i="69" a="1"/>
  <c r="J124" i="69" s="1"/>
  <c r="J122" i="69" a="1"/>
  <c r="J122" i="69" s="1"/>
  <c r="J123" i="69" a="1"/>
  <c r="J123" i="69" s="1"/>
  <c r="J168" i="69" a="1"/>
  <c r="J168" i="69" s="1"/>
  <c r="J167" i="69" a="1"/>
  <c r="J167" i="69" s="1"/>
  <c r="J166" i="69" a="1"/>
  <c r="J166" i="69" s="1"/>
  <c r="J163" i="69" a="1"/>
  <c r="J163" i="69" s="1"/>
  <c r="J161" i="69" a="1"/>
  <c r="J161" i="69" s="1"/>
  <c r="J160" i="69" a="1"/>
  <c r="J160" i="69" s="1"/>
  <c r="J176" i="69" a="1"/>
  <c r="J176" i="69" s="1"/>
  <c r="J162" i="69" a="1"/>
  <c r="J162" i="69" s="1"/>
  <c r="J175" i="69" a="1"/>
  <c r="J175" i="69" s="1"/>
  <c r="J174" i="69" a="1"/>
  <c r="J174" i="69" s="1"/>
  <c r="J173" i="69" a="1"/>
  <c r="J173" i="69" s="1"/>
  <c r="J159" i="69" a="1"/>
  <c r="J159" i="69" s="1"/>
  <c r="J158" i="69" a="1"/>
  <c r="J158" i="69" s="1"/>
  <c r="J165" i="69" a="1"/>
  <c r="J165" i="69" s="1"/>
  <c r="J164" i="69" a="1"/>
  <c r="J164" i="69" s="1"/>
  <c r="D157" i="69"/>
  <c r="H63" i="69" a="1"/>
  <c r="H63" i="69" s="1"/>
  <c r="H77" i="69" a="1"/>
  <c r="H77" i="69" s="1"/>
  <c r="H39" i="69" a="1"/>
  <c r="H39" i="69" s="1"/>
  <c r="H74" i="69" a="1"/>
  <c r="H74" i="69" s="1"/>
  <c r="E59" i="69"/>
  <c r="H59" i="69" s="1" a="1"/>
  <c r="H59" i="69" s="1"/>
  <c r="H25" i="69" a="1"/>
  <c r="H25" i="69" s="1"/>
  <c r="H69" i="69" a="1"/>
  <c r="H69" i="69" s="1"/>
  <c r="H78" i="69" a="1"/>
  <c r="H78" i="69" s="1"/>
  <c r="H73" i="69" a="1"/>
  <c r="H73" i="69" s="1"/>
  <c r="H31" i="69" a="1"/>
  <c r="H31" i="69" s="1"/>
  <c r="E157" i="69"/>
  <c r="E116" i="69"/>
  <c r="H76" i="69" a="1"/>
  <c r="H76" i="69" s="1"/>
  <c r="H71" i="69" a="1"/>
  <c r="H71" i="69" s="1"/>
  <c r="H67" i="69" a="1"/>
  <c r="H67" i="69" s="1"/>
  <c r="H65" i="69" a="1"/>
  <c r="H65" i="69" s="1"/>
  <c r="H64" i="69" a="1"/>
  <c r="H64" i="69" s="1"/>
  <c r="H62" i="69" a="1"/>
  <c r="H62" i="69" s="1"/>
  <c r="H61" i="69" a="1"/>
  <c r="H61" i="69" s="1"/>
  <c r="H72" i="69" a="1"/>
  <c r="H72" i="69" s="1"/>
  <c r="G71" i="69" a="1"/>
  <c r="G71" i="69" s="1"/>
  <c r="G69" i="69" a="1"/>
  <c r="G69" i="69" s="1"/>
  <c r="G68" i="69" a="1"/>
  <c r="G68" i="69" s="1"/>
  <c r="G67" i="69" a="1"/>
  <c r="G67" i="69" s="1"/>
  <c r="G66" i="69" a="1"/>
  <c r="G66" i="69" s="1"/>
  <c r="G65" i="69" a="1"/>
  <c r="G65" i="69" s="1"/>
  <c r="G78" i="69" a="1"/>
  <c r="G78" i="69" s="1"/>
  <c r="G64" i="69" a="1"/>
  <c r="G64" i="69" s="1"/>
  <c r="G77" i="69" a="1"/>
  <c r="G77" i="69" s="1"/>
  <c r="G63" i="69" a="1"/>
  <c r="G63" i="69" s="1"/>
  <c r="G76" i="69" a="1"/>
  <c r="G76" i="69" s="1"/>
  <c r="G62" i="69" a="1"/>
  <c r="G62" i="69" s="1"/>
  <c r="G75" i="69" a="1"/>
  <c r="G75" i="69" s="1"/>
  <c r="G61" i="69" a="1"/>
  <c r="G61" i="69" s="1"/>
  <c r="G74" i="69" a="1"/>
  <c r="G74" i="69" s="1"/>
  <c r="G60" i="69" a="1"/>
  <c r="G60" i="69" s="1"/>
  <c r="G73" i="69" a="1"/>
  <c r="G73" i="69" s="1"/>
  <c r="G72" i="69" a="1"/>
  <c r="G72" i="69" s="1"/>
  <c r="D116" i="69"/>
  <c r="H38" i="69" a="1"/>
  <c r="H38" i="69" s="1"/>
  <c r="D59" i="69"/>
  <c r="H37" i="69" a="1"/>
  <c r="H37" i="69" s="1"/>
  <c r="H33" i="69" a="1"/>
  <c r="H33" i="69" s="1"/>
  <c r="D21" i="69"/>
  <c r="G38" i="69" a="1"/>
  <c r="G38" i="69" s="1"/>
  <c r="G24" i="69" a="1"/>
  <c r="G24" i="69" s="1"/>
  <c r="G37" i="69" a="1"/>
  <c r="G37" i="69" s="1"/>
  <c r="G23" i="69" a="1"/>
  <c r="G23" i="69" s="1"/>
  <c r="G36" i="69" a="1"/>
  <c r="G36" i="69" s="1"/>
  <c r="G22" i="69" a="1"/>
  <c r="G22" i="69" s="1"/>
  <c r="G35" i="69" a="1"/>
  <c r="G35" i="69" s="1"/>
  <c r="G34" i="69" a="1"/>
  <c r="G34" i="69" s="1"/>
  <c r="G33" i="69" a="1"/>
  <c r="G33" i="69" s="1"/>
  <c r="G31" i="69" a="1"/>
  <c r="G31" i="69" s="1"/>
  <c r="G30" i="69" a="1"/>
  <c r="G30" i="69" s="1"/>
  <c r="G29" i="69" a="1"/>
  <c r="G29" i="69" s="1"/>
  <c r="G28" i="69" a="1"/>
  <c r="G28" i="69" s="1"/>
  <c r="G27" i="69" a="1"/>
  <c r="G27" i="69" s="1"/>
  <c r="G40" i="69" a="1"/>
  <c r="G40" i="69" s="1"/>
  <c r="G26" i="69" a="1"/>
  <c r="G26" i="69" s="1"/>
  <c r="G39" i="69" a="1"/>
  <c r="G39" i="69" s="1"/>
  <c r="G25" i="69" a="1"/>
  <c r="G25" i="69" s="1"/>
  <c r="H23" i="69" a="1"/>
  <c r="H23" i="69" s="1"/>
  <c r="H36" i="69" a="1"/>
  <c r="H36" i="69" s="1"/>
  <c r="H22" i="69" a="1"/>
  <c r="H22" i="69" s="1"/>
  <c r="H66" i="69" a="1"/>
  <c r="H66" i="69" s="1"/>
  <c r="H60" i="69" a="1"/>
  <c r="H60" i="69" s="1"/>
  <c r="H35" i="69" a="1"/>
  <c r="H35" i="69" s="1"/>
  <c r="H34" i="69" a="1"/>
  <c r="H34" i="69" s="1"/>
  <c r="H40" i="69" a="1"/>
  <c r="H40" i="69" s="1"/>
  <c r="E21" i="69"/>
  <c r="H21" i="69" s="1" a="1"/>
  <c r="H21" i="69" s="1"/>
  <c r="H30" i="69" a="1"/>
  <c r="H30" i="69" s="1"/>
  <c r="H29" i="69" a="1"/>
  <c r="H29" i="69" s="1"/>
  <c r="H28" i="69" a="1"/>
  <c r="H28" i="69" s="1"/>
  <c r="H27" i="69" a="1"/>
  <c r="H27" i="69" s="1"/>
  <c r="I24" i="69" l="1" a="1"/>
  <c r="I24" i="69" s="1"/>
  <c r="H119" i="69" s="1"/>
  <c r="I119" i="69" s="1"/>
  <c r="K119" i="69" s="1" a="1"/>
  <c r="K119" i="69" s="1"/>
  <c r="J116" i="69" a="1"/>
  <c r="J116" i="69" s="1"/>
  <c r="I50" i="69" a="1"/>
  <c r="I50" i="69" s="1"/>
  <c r="H145" i="69" s="1"/>
  <c r="I68" i="69" a="1"/>
  <c r="I68" i="69" s="1"/>
  <c r="H166" i="69" s="1"/>
  <c r="I166" i="69" s="1"/>
  <c r="K166" i="69" s="1" a="1"/>
  <c r="K166" i="69" s="1"/>
  <c r="I54" i="69" a="1"/>
  <c r="I54" i="69" s="1"/>
  <c r="H149" i="69" s="1"/>
  <c r="I75" i="69" a="1"/>
  <c r="I75" i="69" s="1"/>
  <c r="H173" i="69" s="1"/>
  <c r="I173" i="69" s="1"/>
  <c r="K173" i="69" s="1" a="1"/>
  <c r="K173" i="69" s="1"/>
  <c r="I52" i="69" a="1"/>
  <c r="I52" i="69" s="1"/>
  <c r="H147" i="69" s="1"/>
  <c r="I47" i="69" a="1"/>
  <c r="I47" i="69" s="1"/>
  <c r="H142" i="69" s="1"/>
  <c r="I26" i="69" a="1"/>
  <c r="I26" i="69" s="1"/>
  <c r="H121" i="69" s="1"/>
  <c r="I121" i="69" s="1"/>
  <c r="K121" i="69" s="1" a="1"/>
  <c r="K121" i="69" s="1"/>
  <c r="I89" i="69" a="1"/>
  <c r="I89" i="69" s="1"/>
  <c r="H187" i="69" s="1"/>
  <c r="I82" i="69" a="1"/>
  <c r="I82" i="69" s="1"/>
  <c r="H180" i="69" s="1"/>
  <c r="I90" i="69" a="1"/>
  <c r="I90" i="69" s="1"/>
  <c r="H188" i="69" s="1"/>
  <c r="I45" i="69" a="1"/>
  <c r="I45" i="69" s="1"/>
  <c r="H140" i="69" s="1"/>
  <c r="I83" i="69" a="1"/>
  <c r="I83" i="69" s="1"/>
  <c r="H181" i="69" s="1"/>
  <c r="I42" i="69" a="1"/>
  <c r="I42" i="69" s="1"/>
  <c r="H137" i="69" s="1"/>
  <c r="I137" i="69" s="1"/>
  <c r="K137" i="69" s="1" a="1"/>
  <c r="K137" i="69" s="1"/>
  <c r="I91" i="69" a="1"/>
  <c r="I91" i="69" s="1"/>
  <c r="H189" i="69" s="1"/>
  <c r="I84" i="69" a="1"/>
  <c r="I84" i="69" s="1"/>
  <c r="H182" i="69" s="1"/>
  <c r="I53" i="69" a="1"/>
  <c r="I53" i="69" s="1"/>
  <c r="H148" i="69" s="1"/>
  <c r="I41" i="69" a="1"/>
  <c r="I41" i="69" s="1"/>
  <c r="H136" i="69" s="1"/>
  <c r="I136" i="69" s="1"/>
  <c r="K136" i="69" s="1" a="1"/>
  <c r="K136" i="69" s="1"/>
  <c r="I92" i="69" a="1"/>
  <c r="I92" i="69" s="1"/>
  <c r="H190" i="69" s="1"/>
  <c r="I48" i="69" a="1"/>
  <c r="I48" i="69" s="1"/>
  <c r="H143" i="69" s="1"/>
  <c r="I85" i="69" a="1"/>
  <c r="I85" i="69" s="1"/>
  <c r="H183" i="69" s="1"/>
  <c r="I51" i="69" a="1"/>
  <c r="I51" i="69" s="1"/>
  <c r="H146" i="69" s="1"/>
  <c r="I46" i="69" a="1"/>
  <c r="I46" i="69" s="1"/>
  <c r="H141" i="69" s="1"/>
  <c r="I86" i="69" a="1"/>
  <c r="I86" i="69" s="1"/>
  <c r="H184" i="69" s="1"/>
  <c r="I79" i="69" a="1"/>
  <c r="I79" i="69" s="1"/>
  <c r="H177" i="69" s="1"/>
  <c r="I177" i="69" s="1"/>
  <c r="K177" i="69" s="1" a="1"/>
  <c r="K177" i="69" s="1"/>
  <c r="I88" i="69" a="1"/>
  <c r="I88" i="69" s="1"/>
  <c r="H186" i="69" s="1"/>
  <c r="I44" i="69" a="1"/>
  <c r="I44" i="69" s="1"/>
  <c r="H139" i="69" s="1"/>
  <c r="I80" i="69" a="1"/>
  <c r="I80" i="69" s="1"/>
  <c r="H178" i="69" s="1"/>
  <c r="I178" i="69" s="1"/>
  <c r="K178" i="69" s="1" a="1"/>
  <c r="K178" i="69" s="1"/>
  <c r="I39" i="69" a="1"/>
  <c r="I39" i="69" s="1"/>
  <c r="H134" i="69" s="1"/>
  <c r="I134" i="69" s="1"/>
  <c r="K134" i="69" s="1" a="1"/>
  <c r="K134" i="69" s="1"/>
  <c r="I78" i="69" a="1"/>
  <c r="I78" i="69" s="1"/>
  <c r="H176" i="69" s="1"/>
  <c r="I176" i="69" s="1"/>
  <c r="K176" i="69" s="1" a="1"/>
  <c r="K176" i="69" s="1"/>
  <c r="I31" i="69" a="1"/>
  <c r="I31" i="69" s="1"/>
  <c r="H126" i="69" s="1"/>
  <c r="I126" i="69" s="1"/>
  <c r="K126" i="69" s="1" a="1"/>
  <c r="K126" i="69" s="1"/>
  <c r="I76" i="69" a="1"/>
  <c r="I76" i="69" s="1"/>
  <c r="H174" i="69" s="1"/>
  <c r="I174" i="69" s="1"/>
  <c r="K174" i="69" s="1" a="1"/>
  <c r="K174" i="69" s="1"/>
  <c r="I73" i="69" a="1"/>
  <c r="I73" i="69" s="1"/>
  <c r="H171" i="69" s="1"/>
  <c r="I74" i="69" a="1"/>
  <c r="I74" i="69" s="1"/>
  <c r="H172" i="69" s="1"/>
  <c r="I25" i="69" a="1"/>
  <c r="I25" i="69" s="1"/>
  <c r="H120" i="69" s="1"/>
  <c r="I120" i="69" s="1"/>
  <c r="K120" i="69" s="1" a="1"/>
  <c r="K120" i="69" s="1"/>
  <c r="I27" i="69" a="1"/>
  <c r="I27" i="69" s="1"/>
  <c r="H122" i="69" s="1"/>
  <c r="I122" i="69" s="1"/>
  <c r="K122" i="69" s="1" a="1"/>
  <c r="K122" i="69" s="1"/>
  <c r="I36" i="69" a="1"/>
  <c r="I36" i="69" s="1"/>
  <c r="H131" i="69" s="1"/>
  <c r="G157" i="69" a="1"/>
  <c r="G157" i="69" s="1"/>
  <c r="G116" i="69" a="1"/>
  <c r="G116" i="69" s="1"/>
  <c r="I63" i="69" a="1"/>
  <c r="I63" i="69" s="1"/>
  <c r="H161" i="69" s="1"/>
  <c r="I161" i="69" s="1"/>
  <c r="K161" i="69" s="1" a="1"/>
  <c r="K161" i="69" s="1"/>
  <c r="J157" i="69" a="1"/>
  <c r="J157" i="69" s="1"/>
  <c r="G59" i="69" a="1"/>
  <c r="G59" i="69" s="1"/>
  <c r="I59" i="69" s="1" a="1"/>
  <c r="I59" i="69" s="1"/>
  <c r="H157" i="69" s="1"/>
  <c r="I72" i="69" a="1"/>
  <c r="I72" i="69" s="1"/>
  <c r="H170" i="69" s="1"/>
  <c r="I71" i="69" a="1"/>
  <c r="I71" i="69" s="1"/>
  <c r="H169" i="69" s="1"/>
  <c r="I77" i="69" a="1"/>
  <c r="I77" i="69" s="1"/>
  <c r="H175" i="69" s="1"/>
  <c r="I175" i="69" s="1"/>
  <c r="K175" i="69" s="1" a="1"/>
  <c r="K175" i="69" s="1"/>
  <c r="I40" i="69" a="1"/>
  <c r="I40" i="69" s="1"/>
  <c r="H135" i="69" s="1"/>
  <c r="I135" i="69" s="1"/>
  <c r="K135" i="69" s="1" a="1"/>
  <c r="K135" i="69" s="1"/>
  <c r="I34" i="69" a="1"/>
  <c r="I34" i="69" s="1"/>
  <c r="H129" i="69" s="1"/>
  <c r="I65" i="69" a="1"/>
  <c r="I65" i="69" s="1"/>
  <c r="H163" i="69" s="1"/>
  <c r="I163" i="69" s="1"/>
  <c r="K163" i="69" s="1" a="1"/>
  <c r="K163" i="69" s="1"/>
  <c r="I69" i="69" a="1"/>
  <c r="I69" i="69" s="1"/>
  <c r="H167" i="69" s="1"/>
  <c r="I167" i="69" s="1"/>
  <c r="K167" i="69" s="1" a="1"/>
  <c r="K167" i="69" s="1"/>
  <c r="I38" i="69" a="1"/>
  <c r="I38" i="69" s="1"/>
  <c r="H133" i="69" s="1"/>
  <c r="I133" i="69" s="1"/>
  <c r="K133" i="69" s="1" a="1"/>
  <c r="K133" i="69" s="1"/>
  <c r="I61" i="69" a="1"/>
  <c r="I61" i="69" s="1"/>
  <c r="H159" i="69" s="1"/>
  <c r="I159" i="69" s="1"/>
  <c r="K159" i="69" s="1" a="1"/>
  <c r="K159" i="69" s="1"/>
  <c r="G21" i="69" a="1"/>
  <c r="G21" i="69" s="1"/>
  <c r="I21" i="69" s="1" a="1"/>
  <c r="I21" i="69" s="1"/>
  <c r="H116" i="69" s="1"/>
  <c r="I35" i="69" a="1"/>
  <c r="I35" i="69" s="1"/>
  <c r="H130" i="69" s="1"/>
  <c r="I22" i="69" a="1"/>
  <c r="I22" i="69" s="1"/>
  <c r="H117" i="69" s="1"/>
  <c r="I117" i="69" s="1"/>
  <c r="K117" i="69" s="1" a="1"/>
  <c r="K117" i="69" s="1"/>
  <c r="I64" i="69" a="1"/>
  <c r="I64" i="69" s="1"/>
  <c r="H162" i="69" s="1"/>
  <c r="I162" i="69" s="1"/>
  <c r="K162" i="69" s="1" a="1"/>
  <c r="K162" i="69" s="1"/>
  <c r="I23" i="69" a="1"/>
  <c r="I23" i="69" s="1"/>
  <c r="H118" i="69" s="1"/>
  <c r="I118" i="69" s="1"/>
  <c r="K118" i="69" s="1" a="1"/>
  <c r="K118" i="69" s="1"/>
  <c r="I37" i="69" a="1"/>
  <c r="I37" i="69" s="1"/>
  <c r="H132" i="69" s="1"/>
  <c r="I132" i="69" s="1"/>
  <c r="K132" i="69" s="1" a="1"/>
  <c r="K132" i="69" s="1"/>
  <c r="I66" i="69" a="1"/>
  <c r="I66" i="69" s="1"/>
  <c r="H164" i="69" s="1"/>
  <c r="I164" i="69" s="1"/>
  <c r="K164" i="69" s="1" a="1"/>
  <c r="K164" i="69" s="1"/>
  <c r="I67" i="69" a="1"/>
  <c r="I67" i="69" s="1"/>
  <c r="H165" i="69" s="1"/>
  <c r="I165" i="69" s="1"/>
  <c r="K165" i="69" s="1" a="1"/>
  <c r="K165" i="69" s="1"/>
  <c r="I30" i="69" a="1"/>
  <c r="I30" i="69" s="1"/>
  <c r="H125" i="69" s="1"/>
  <c r="I125" i="69" s="1"/>
  <c r="K125" i="69" s="1" a="1"/>
  <c r="K125" i="69" s="1"/>
  <c r="I29" i="69" a="1"/>
  <c r="I29" i="69" s="1"/>
  <c r="H124" i="69" s="1"/>
  <c r="I124" i="69" s="1"/>
  <c r="K124" i="69" s="1" a="1"/>
  <c r="K124" i="69" s="1"/>
  <c r="I60" i="69" a="1"/>
  <c r="I60" i="69" s="1"/>
  <c r="H158" i="69" s="1"/>
  <c r="I158" i="69" s="1"/>
  <c r="K158" i="69" s="1" a="1"/>
  <c r="K158" i="69" s="1"/>
  <c r="I28" i="69" a="1"/>
  <c r="I28" i="69" s="1"/>
  <c r="H123" i="69" s="1"/>
  <c r="I123" i="69" s="1"/>
  <c r="K123" i="69" s="1" a="1"/>
  <c r="K123" i="69" s="1"/>
  <c r="H127" i="69"/>
  <c r="I62" i="69" a="1"/>
  <c r="I62" i="69" s="1"/>
  <c r="H160" i="69" s="1"/>
  <c r="I160" i="69" s="1"/>
  <c r="K160" i="69" s="1" a="1"/>
  <c r="K160" i="69" s="1"/>
  <c r="I33" i="69" a="1"/>
  <c r="I33" i="69" s="1"/>
  <c r="H128" i="69" s="1"/>
  <c r="I144" i="69" l="1"/>
  <c r="K144" i="69" s="1" a="1"/>
  <c r="K144" i="69" s="1"/>
  <c r="I185" i="69"/>
  <c r="K185" i="69" s="1" a="1"/>
  <c r="K185" i="69" s="1"/>
  <c r="I179" i="69"/>
  <c r="K179" i="69" s="1" a="1"/>
  <c r="K179" i="69" s="1"/>
  <c r="I168" i="69"/>
  <c r="K168" i="69" s="1" a="1"/>
  <c r="K168" i="69" s="1"/>
  <c r="I127" i="69"/>
  <c r="K127" i="69" s="1" a="1"/>
  <c r="K127" i="69" s="1"/>
  <c r="I138" i="69"/>
  <c r="K138" i="69" s="1" a="1"/>
  <c r="K138" i="69" s="1"/>
  <c r="I116" i="69"/>
  <c r="K116" i="69" s="1" a="1"/>
  <c r="K116" i="69" s="1"/>
  <c r="I157" i="69"/>
  <c r="K157" i="69" s="1" a="1"/>
  <c r="K157" i="69" s="1"/>
  <c r="E192" i="69" l="1"/>
  <c r="E13" i="13" s="1"/>
  <c r="F13" i="13" s="1"/>
  <c r="E151" i="69"/>
  <c r="E9" i="13" s="1"/>
  <c r="F9"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<sst xmlns="http://schemas.openxmlformats.org/spreadsheetml/2006/main" count="400" uniqueCount="162">
  <si>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</si>
  <si>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</si>
  <si>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</si>
  <si>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</si>
  <si>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</si>
  <si>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</si>
  <si>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</si>
  <si>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</si>
  <si>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</si>
  <si>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</si>
  <si>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</si>
  <si>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</si>
  <si>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</si>
  <si>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</si>
  <si>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</si>
  <si>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</si>
  <si>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</si>
  <si>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</si>
  <si>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</si>
  <si>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</si>
  <si>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</si>
  <si>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</si>
  <si>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</si>
  <si>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</si>
  <si>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</si>
  <si>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</si>
  <si>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</si>
  <si>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</si>
  <si>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</si>
  <si>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</si>
  <si>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</si>
  <si>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</si>
  <si>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</si>
  <si>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</si>
  <si>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</si>
  <si>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</si>
  <si>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</si>
  <si>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</si>
  <si>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</si>
  <si>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</si>
  <si>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</si>
  <si>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</si>
  <si>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</si>
  <si>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</si>
  <si>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</si>
  <si>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</si>
  <si>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</si>
  <si>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</si>
  <si>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</si>
  <si>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</si>
  <si>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</si>
  <si>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</si>
  <si>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</si>
  <si>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</si>
  <si>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</si>
  <si>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</si>
  <si>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</si>
  <si>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</si>
  <si>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</si>
  <si>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</si>
  <si>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</si>
  <si>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</si>
  <si>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</si>
  <si>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</si>
  <si>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</si>
  <si>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</si>
  <si>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</si>
  <si>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</si>
  <si>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</si>
  <si>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</si>
  <si>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</si>
  <si>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</si>
  <si>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</si>
  <si>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</si>
  <si>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</si>
  <si>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</si>
  <si>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</si>
  <si>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</si>
  <si>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</si>
  <si>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</si>
  <si>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</si>
  <si>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</si>
  <si>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</si>
  <si>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</si>
  <si>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</si>
  <si>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</si>
  <si>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Description</t>
  </si>
  <si>
    <t>💡 You can add more rows to the table by right-clicking on the table and selecting "Insert &gt; Table rows above/below"</t>
  </si>
  <si>
    <t>Constants - Solid Waste</t>
  </si>
  <si>
    <t>Treatment type t</t>
  </si>
  <si>
    <t>Waste type w</t>
  </si>
  <si>
    <t>EFwt</t>
  </si>
  <si>
    <t>VTMw</t>
  </si>
  <si>
    <t>10.1.1-2 Solid waste treatment</t>
  </si>
  <si>
    <t>Treatment</t>
  </si>
  <si>
    <t>Waste type</t>
  </si>
  <si>
    <t>Vwt</t>
  </si>
  <si>
    <r>
      <t>Q</t>
    </r>
    <r>
      <rPr>
        <b/>
        <vertAlign val="subscript"/>
        <sz val="11"/>
        <color rgb="FF183C1B"/>
        <rFont val="Times New Roman"/>
        <family val="1"/>
      </rPr>
      <t>wt</t>
    </r>
  </si>
  <si>
    <r>
      <t>VTM</t>
    </r>
    <r>
      <rPr>
        <b/>
        <vertAlign val="subscript"/>
        <sz val="11"/>
        <color rgb="FF183C1B"/>
        <rFont val="Times New Roman"/>
        <family val="1"/>
      </rPr>
      <t>w</t>
    </r>
  </si>
  <si>
    <t>Input - Solid waste</t>
  </si>
  <si>
    <t>tonnes</t>
  </si>
  <si>
    <t>Amount unit (select)</t>
  </si>
  <si>
    <t>Treatment location (select)</t>
  </si>
  <si>
    <t>Waste type (select)</t>
  </si>
  <si>
    <t>Treatment type (select)</t>
  </si>
  <si>
    <t>Amount</t>
  </si>
  <si>
    <t>Landfill</t>
  </si>
  <si>
    <t>Table_WasteTypes_Landfill</t>
  </si>
  <si>
    <t>Table_WasteTypes_Incineration</t>
  </si>
  <si>
    <t>Table_WasteTypes_Composting</t>
  </si>
  <si>
    <t>Table_WasteTypes_Anaerobicdigestion</t>
  </si>
  <si>
    <t>Removed and treated off-site</t>
  </si>
  <si>
    <t>cubic metres m3</t>
  </si>
  <si>
    <t>Solid waste treatment</t>
  </si>
  <si>
    <t>Treated on-site</t>
  </si>
  <si>
    <t>Incineration</t>
  </si>
  <si>
    <t>Paper and cardboard</t>
  </si>
  <si>
    <t>Table_V_w_t_onsite</t>
  </si>
  <si>
    <t>Table_V_w_t_offsite</t>
  </si>
  <si>
    <r>
      <rPr>
        <b/>
        <sz val="16"/>
        <color theme="1" tint="0.24994659260841701"/>
        <rFont val="Times New Roman"/>
        <family val="1"/>
      </rPr>
      <t>E</t>
    </r>
    <r>
      <rPr>
        <b/>
        <vertAlign val="subscript"/>
        <sz val="16"/>
        <color theme="1" tint="0.24994659260841701"/>
        <rFont val="Times New Roman"/>
        <family val="1"/>
      </rPr>
      <t>g</t>
    </r>
  </si>
  <si>
    <t>Volume of solid waste treated on-site (scope 1)</t>
  </si>
  <si>
    <t>Volume of solid waste sent offsite for treatment by third party (scope 3)</t>
  </si>
  <si>
    <t>Food waste (including animal carcasses, spoiled animal feed or crop)</t>
  </si>
  <si>
    <t>10:1.1.1 Solid waste treatment</t>
  </si>
  <si>
    <t>Scope 3 source</t>
  </si>
  <si>
    <t>Table_E_g_offsite</t>
  </si>
  <si>
    <t>Emissions from waste management of waste taken off-site (scope 3)</t>
  </si>
  <si>
    <t>Table_E_g_onsite</t>
  </si>
  <si>
    <t>Emissions from waste management of waste treated on-site (scope 1)</t>
  </si>
  <si>
    <t>EF source</t>
  </si>
  <si>
    <t>10: Solid Waste Treatment: Overview</t>
  </si>
  <si>
    <t>10: Solid Waste Treatment: Results</t>
  </si>
  <si>
    <t>Composting</t>
  </si>
  <si>
    <t>Landfill food waste on site (tonnes)</t>
  </si>
  <si>
    <t>Landfill food waste on site (m3)</t>
  </si>
  <si>
    <t>Landfill food waste offsite (tonnes)</t>
  </si>
  <si>
    <t>Landfill food waste offsite (m3)</t>
  </si>
  <si>
    <t>Landfill Paper offsite (tonnes)</t>
  </si>
  <si>
    <t>Landfill Paper waste offsite (m3)</t>
  </si>
  <si>
    <t>Landfill Paper waste on site (tonnes)</t>
  </si>
  <si>
    <t>Landfill Paper on site (m3)</t>
  </si>
  <si>
    <t>Landfill Green waste offsite (tonnes)</t>
  </si>
  <si>
    <t>Landfill Green waste offsite (m3)</t>
  </si>
  <si>
    <t>Landfill Green waste on site (tonnes)</t>
  </si>
  <si>
    <t>Landfill Green waste on site (m3)</t>
  </si>
  <si>
    <t>Green waste (including crop residues or prunings)</t>
  </si>
  <si>
    <t>Compost food waste on site (m3)</t>
  </si>
  <si>
    <t>Compost food waste on site (tonnes)</t>
  </si>
  <si>
    <t>Compost paper and cardboard on site (tonnes)</t>
  </si>
  <si>
    <t>Compost paper and cardboard on site (m3)</t>
  </si>
  <si>
    <t>Not used</t>
  </si>
  <si>
    <r>
      <t>E</t>
    </r>
    <r>
      <rPr>
        <b/>
        <vertAlign val="subscript"/>
        <sz val="11"/>
        <color rgb="FF183C1B"/>
        <rFont val="Times New Roman"/>
        <family val="1"/>
      </rPr>
      <t>g</t>
    </r>
  </si>
  <si>
    <r>
      <t>EF</t>
    </r>
    <r>
      <rPr>
        <b/>
        <vertAlign val="subscript"/>
        <sz val="11"/>
        <color rgb="FF183C1B"/>
        <rFont val="Times New Roman"/>
        <family val="1"/>
      </rPr>
      <t>wtg</t>
    </r>
  </si>
  <si>
    <r>
      <t>Q</t>
    </r>
    <r>
      <rPr>
        <b/>
        <vertAlign val="subscript"/>
        <sz val="11"/>
        <color rgb="FF183C1B"/>
        <rFont val="Times New Roman"/>
        <family val="1"/>
      </rPr>
      <t>volwt</t>
    </r>
  </si>
  <si>
    <r>
      <t>Q</t>
    </r>
    <r>
      <rPr>
        <b/>
        <vertAlign val="subscript"/>
        <sz val="11"/>
        <color rgb="FF533001"/>
        <rFont val="Times New Roman"/>
        <family val="1"/>
      </rPr>
      <t>masswt</t>
    </r>
  </si>
  <si>
    <t>Summed above</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</si>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</sst>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s>
  <fonts count="5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b/>
      <sz val="11"/>
      <color theme="1"/>
      <name val="Times New Roman"/>
      <family val="2"/>
      <scheme val="minor"/>
    </font>
    <font>
      <b/>
      <vertAlign val="subscript"/>
      <sz val="11"/>
      <color rgb="FF183C1B"/>
      <name val="Times New Roman"/>
      <family val="1"/>
    </font>
    <font>
      <b/>
      <sz val="11"/>
      <color theme="1"/>
      <name val="Times New Roman"/>
      <family val="2"/>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8">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43" fontId="31" fillId="4" borderId="0" xfId="8" applyNumberFormat="1">
      <alignment horizontal="left" vertical="center"/>
    </xf>
    <xf numFmtId="0" fontId="12" fillId="6" borderId="0" xfId="29">
      <alignment horizontal="center" vertical="center"/>
      <protection locked="0"/>
    </xf>
    <xf numFmtId="0" fontId="20" fillId="8" borderId="0" xfId="37">
      <alignment horizontal="left" vertical="center" indent="1"/>
    </xf>
    <xf numFmtId="0" fontId="51" fillId="4" borderId="1" xfId="53" applyFont="1" applyBorder="1">
      <alignment horizontal="left" vertical="center"/>
    </xf>
    <xf numFmtId="0" fontId="39" fillId="4" borderId="0" xfId="57">
      <alignment horizontal="left" vertical="center"/>
    </xf>
    <xf numFmtId="0" fontId="40" fillId="4" borderId="0" xfId="58">
      <alignment horizontal="left" vertical="center"/>
    </xf>
    <xf numFmtId="0" fontId="5" fillId="2" borderId="0" xfId="9">
      <alignment horizontal="center" vertical="center"/>
    </xf>
    <xf numFmtId="0" fontId="26" fillId="4" borderId="5" xfId="52" applyBorder="1">
      <alignment horizontal="center" vertical="center"/>
    </xf>
    <xf numFmtId="0" fontId="52" fillId="2" borderId="0" xfId="8" applyFont="1" applyFill="1">
      <alignment horizontal="left" vertical="center"/>
    </xf>
    <xf numFmtId="0" fontId="2" fillId="0" borderId="2" xfId="56">
      <alignment horizontal="center" vertical="center"/>
    </xf>
    <xf numFmtId="0" fontId="45" fillId="4" borderId="2" xfId="64">
      <alignment horizontal="left" vertical="center"/>
    </xf>
    <xf numFmtId="0" fontId="54" fillId="0" borderId="0" xfId="8" applyFont="1" applyFill="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3"/>
      <tableStyleElement type="headerRow" dxfId="72"/>
      <tableStyleElement type="totalRow" dxfId="71"/>
      <tableStyleElement type="firstColumn" dxfId="70"/>
      <tableStyleElement type="firstRowStripe" dxfId="69"/>
      <tableStyleElement type="secondRowStripe" dxfId="68"/>
    </tableStyle>
    <tableStyle name="Equation table" pivot="0" count="6" xr9:uid="{B247698E-E41D-4CCD-AA0A-C14817E9DE65}">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hyperlink" Target="#'10.1.1-2 Solid waste treatment'!D68"/><Relationship Id="rId1" Type="http://schemas.openxmlformats.org/officeDocument/2006/relationships/hyperlink" Target="#'10.1.1-2 Solid waste treatment'!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10.1.1 Solid waste treatment</a:t>
          </a:r>
        </a:p>
      </xdr:txBody>
    </xdr:sp>
    <xdr:clientData/>
  </xdr:oneCellAnchor>
  <xdr:twoCellAnchor>
    <xdr:from>
      <xdr:col>3</xdr:col>
      <xdr:colOff>282285</xdr:colOff>
      <xdr:row>9</xdr:row>
      <xdr:rowOff>132483</xdr:rowOff>
    </xdr:from>
    <xdr:to>
      <xdr:col>5</xdr:col>
      <xdr:colOff>575085</xdr:colOff>
      <xdr:row>12</xdr:row>
      <xdr:rowOff>109533</xdr:rowOff>
    </xdr:to>
    <xdr:sp macro="" textlink="'10.1.1-2 Solid waste treatment'!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Mass of waste from waste volume</a:t>
          </a:fld>
          <a:endParaRPr lang="en-AU" sz="1000">
            <a:solidFill>
              <a:srgbClr val="0C769E"/>
            </a:solidFill>
          </a:endParaRPr>
        </a:p>
      </xdr:txBody>
    </xdr:sp>
    <xdr:clientData/>
  </xdr:twoCellAnchor>
  <xdr:twoCellAnchor>
    <xdr:from>
      <xdr:col>3</xdr:col>
      <xdr:colOff>282285</xdr:colOff>
      <xdr:row>14</xdr:row>
      <xdr:rowOff>142008</xdr:rowOff>
    </xdr:from>
    <xdr:to>
      <xdr:col>5</xdr:col>
      <xdr:colOff>575085</xdr:colOff>
      <xdr:row>17</xdr:row>
      <xdr:rowOff>119058</xdr:rowOff>
    </xdr:to>
    <xdr:sp macro="" textlink="'10.1.1-2 Solid waste treatment'!D96">
      <xdr:nvSpPr>
        <xdr:cNvPr id="2" name="TextBox 1">
          <a:hlinkClick xmlns:r="http://schemas.openxmlformats.org/officeDocument/2006/relationships" r:id="rId2"/>
          <a:extLst>
            <a:ext uri="{FF2B5EF4-FFF2-40B4-BE49-F238E27FC236}">
              <a16:creationId xmlns:a16="http://schemas.microsoft.com/office/drawing/2014/main" id="{047A14AE-B267-4AD5-A886-4CB106B0A775}"/>
            </a:ext>
          </a:extLst>
        </xdr:cNvPr>
        <xdr:cNvSpPr txBox="1"/>
      </xdr:nvSpPr>
      <xdr:spPr>
        <a:xfrm>
          <a:off x="2958810" y="37424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D785-2BD4-4778-B848-1DE745244E64}" type="TxLink">
            <a:rPr lang="en-US" sz="1000" b="1" i="0" u="none" strike="noStrike">
              <a:solidFill>
                <a:srgbClr val="0C769E"/>
              </a:solidFill>
              <a:latin typeface="Times New Roman"/>
              <a:cs typeface="Times New Roman"/>
            </a:rPr>
            <a:pPr algn="ctr"/>
            <a:t>Emissions from waste management by greenhouse gas</a:t>
          </a:fld>
          <a:endParaRPr lang="en-AU" sz="1000" b="1">
            <a:solidFill>
              <a:srgbClr val="0C769E"/>
            </a:solidFill>
          </a:endParaRPr>
        </a:p>
      </xdr:txBody>
    </xdr:sp>
    <xdr:clientData/>
  </xdr:twoCellAnchor>
  <xdr:twoCellAnchor>
    <xdr:from>
      <xdr:col>4</xdr:col>
      <xdr:colOff>422336</xdr:colOff>
      <xdr:row>12</xdr:row>
      <xdr:rowOff>115882</xdr:rowOff>
    </xdr:from>
    <xdr:to>
      <xdr:col>4</xdr:col>
      <xdr:colOff>435036</xdr:colOff>
      <xdr:row>14</xdr:row>
      <xdr:rowOff>148357</xdr:rowOff>
    </xdr:to>
    <xdr:cxnSp macro="">
      <xdr:nvCxnSpPr>
        <xdr:cNvPr id="6" name="Connector: Curved 5">
          <a:extLst>
            <a:ext uri="{FF2B5EF4-FFF2-40B4-BE49-F238E27FC236}">
              <a16:creationId xmlns:a16="http://schemas.microsoft.com/office/drawing/2014/main" id="{0CA296AD-F39E-7853-57E4-65BAF4DD327C}"/>
            </a:ext>
          </a:extLst>
        </xdr:cNvPr>
        <xdr:cNvCxnSpPr>
          <a:stCxn id="5" idx="2"/>
          <a:endCxn id="2" idx="0"/>
        </xdr:cNvCxnSpPr>
      </xdr:nvCxnSpPr>
      <xdr:spPr>
        <a:xfrm rot="5400000">
          <a:off x="3450923" y="3478570"/>
          <a:ext cx="527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Treatment type (select)" dataCellStyle="Input select"/>
    <tableColumn id="2" xr3:uid="{E939A00A-2AD7-4027-AA19-0891463C586E}" name="Waste type (select)" dataCellStyle="Input select"/>
    <tableColumn id="3" xr3:uid="{A780C41E-A9D0-483D-B649-703E68E6813A}" name="Treatment location (select)" dataCellStyle="Input select"/>
    <tableColumn id="4" xr3:uid="{968E99D1-9586-4756-958A-AC8369FD4A59}" name="Amount" dataCellStyle="Input number general"/>
    <tableColumn id="7" xr3:uid="{6513162E-7AC6-46C4-9C43-97A9CB5546FD}" name="Amount unit (select)" dataCellStyle="Input select"/>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52C87-665B-4565-984D-010681CEE8B6}"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27ECD0A0-9936-4A60-BCC5-02F0C62FDA6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7AF1F5E-7BAC-4FF7-B59E-F905655514F2}" name="Waste type w" dataDxfId="6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EEC6B364-DA50-41AA-A530-330FAEE98233}" name="EFwt" dataDxfId="6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1FD94D2-85D3-4478-AB5E-04E4027C2978}" name="EF source" dataDxfId="5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22750E-D63A-47D8-AB88-7693F1AFBB78}"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E899A810-DA34-4DD3-9420-7017118A50BC}"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C8E9200-43B6-459C-B7A6-907C4A1A3CDE}" name="VTMw" dataDxfId="5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B942E3-1D24-4166-921C-DCC10960718D}" name="Table_WasteTypes_Landfill" displayName="Table_WasteTypes_Landfill" ref="I16:I27" totalsRowShown="0">
  <autoFilter ref="I16:I27" xr:uid="{99B942E3-1D24-4166-921C-DCC10960718D}">
    <filterColumn colId="0" hiddenButton="1"/>
  </autoFilter>
  <tableColumns count="1">
    <tableColumn id="1" xr3:uid="{74859A6A-085F-4CA9-9229-C28E9BE3FDB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900595-7035-4239-9059-ACC16835BF72}" name="Table_WasteTypes_Incineration" displayName="Table_WasteTypes_Incineration" ref="K16:K26" totalsRowShown="0" headerRowDxfId="57" headerRowCellStyle="Content normal" dataCellStyle="Content normal">
  <autoFilter ref="K16:K26" xr:uid="{9A900595-7035-4239-9059-ACC16835BF72}">
    <filterColumn colId="0" hiddenButton="1"/>
  </autoFilter>
  <tableColumns count="1">
    <tableColumn id="1" xr3:uid="{CF8EAE7E-F7CA-426B-9112-705975B5522A}" name="Waste type w" dataCellStyle="Content normal">
      <calculatedColumnFormula>E29</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8D39D3-1330-49EB-B431-1B2B8C8238DC}" name="Table_WasteTypes_Composting" displayName="Table_WasteTypes_Composting" ref="M16:M21" totalsRowShown="0" headerRowDxfId="56" headerRowCellStyle="Content normal" dataCellStyle="Content normal">
  <autoFilter ref="M16:M21" xr:uid="{5C8D39D3-1330-49EB-B431-1B2B8C8238DC}">
    <filterColumn colId="0" hiddenButton="1"/>
  </autoFilter>
  <tableColumns count="1">
    <tableColumn id="1" xr3:uid="{5B9ABACD-52AE-4D64-BCA6-1DA86A1A3FC3}" name="Waste type w" totalsRowDxfId="55" dataCellStyle="Content normal">
      <calculatedColumnFormula>E40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EC43E-DF68-429F-A2A4-58BFE6216EC3}" name="Table_WasteTypes_Anaerobicdigestion" displayName="Table_WasteTypes_Anaerobicdigestion" ref="O16:O21" totalsRowShown="0" headerRowDxfId="54" headerRowCellStyle="Content normal" dataCellStyle="Content normal">
  <autoFilter ref="O16:O21" xr:uid="{331EC43E-DF68-429F-A2A4-58BFE6216EC3}">
    <filterColumn colId="0" hiddenButton="1"/>
  </autoFilter>
  <tableColumns count="1">
    <tableColumn id="1" xr3:uid="{2D7DB5DA-05BB-4621-B5A8-576415999BBC}" name="Waste type w" totalsRowDxfId="53" dataCellStyle="Content normal">
      <calculatedColumnFormula>E46</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62C89A-EEF3-4557-BA4C-0BDCB416F42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D4B6DB4-481A-4FEF-868C-8FE4DDDC79FB}" name="State/Territory">
      <calculatedColumnFormula array="1">Common_InputFunctions.Utility_DisplayArrayInTable(Common_SourceData.Common_SourceData_AustralianStatesTerritories_Data(),Table_AustralianStates[[#Headers],[State/Territory]],0)</calculatedColumnFormula>
    </tableColumn>
    <tableColumn id="2" xr3:uid="{1DB9F4BB-866E-402A-8E72-F9AA1AAC977A}" name="Common Name">
      <calculatedColumnFormula array="1">Common_InputFunctions.Utility_DisplayArrayInTable(Common_SourceData.Common_SourceData_AustralianStatesTerritories_Data(),Table_AustralianStates[[#Headers],[State/Territory]],0)</calculatedColumnFormula>
    </tableColumn>
    <tableColumn id="3" xr3:uid="{CD22F0CE-24A4-4449-938F-AD8FC9554D8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B9580B-B024-498E-BE40-18B3F2A5F8DC}" name="Table_WASA4Areas" displayName="Table_WASA4Areas" ref="D20:D30" totalsRowShown="0">
  <autoFilter ref="D20:D30" xr:uid="{5FA81339-C6C8-4D36-BEEA-6C4AEDD9E676}">
    <filterColumn colId="0" hiddenButton="1"/>
  </autoFilter>
  <tableColumns count="1">
    <tableColumn id="1" xr3:uid="{72ECD94F-7340-4F39-B20E-61C2CBB82AB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5B0C5E1-D46A-45D8-BED7-1CB1FE90EFE0}" name="Table_GWPData" displayName="Table_GWPData" ref="D36:E43" totalsRowShown="0">
  <autoFilter ref="D36:E43" xr:uid="{B8E87A66-3E41-4AD3-925D-01EE21B43D7A}">
    <filterColumn colId="0" hiddenButton="1"/>
    <filterColumn colId="1" hiddenButton="1"/>
  </autoFilter>
  <tableColumns count="2">
    <tableColumn id="1" xr3:uid="{3907B388-A89F-4C49-A00D-52C6520483B6}" name="Gas">
      <calculatedColumnFormula array="1">Common_InputFunctions.Utility_DisplayArrayInTable(Common_SourceData.Common_SourceData_GWP_Data(), Table_GWPData[[#Headers],[Gas]], 0)</calculatedColumnFormula>
    </tableColumn>
    <tableColumn id="2" xr3:uid="{7ABD4373-289A-47C0-AB6E-DAF0AE0FC6B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2231A79-E9DA-447C-87D4-2315CA0093A7}"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FD95996-691A-4A36-B2EF-412C3F1230B6}" name="Gas">
      <calculatedColumnFormula array="1">Common_InputFunctions.Utility_DisplayArrayInTable(Common_SourceData.Common_SourceData_ConvertGasElementalToMolecular_Data(),Table_GasToMolecularConversionFactor[[#Headers],[Gas]], 0)</calculatedColumnFormula>
    </tableColumn>
    <tableColumn id="5" xr3:uid="{6355F30E-601A-4138-9E7E-51DDA36EDCA2}" name="Conversion factor">
      <calculatedColumnFormula array="1">Common_InputFunctions.Utility_DisplayArrayInTable(Common_SourceData.Common_SourceData_ConvertGasElementalToMolecular_Data(),Table_GasToMolecularConversionFactor[[#Headers],[Gas]], 0)</calculatedColumnFormula>
    </tableColumn>
    <tableColumn id="2" xr3:uid="{186FBAF4-EDB1-474E-A037-5CCF28A1D4C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3847081-F467-4FAC-A371-F5EFFD2888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EF3B602-6607-43FB-B705-49E6F2C659A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6633ABF-6ACC-4B83-B388-F4D4B99A143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2B430F3-D1CF-4DBE-B788-FF3C20E22F2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3CDDB25-5D60-4029-A9DA-FCDF6DED306F}"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9679764B-2260-453C-903D-6DDFD533890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E0B96EC6-4CC7-4E17-A726-BE318859D69B}"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99D9532F-D633-43D8-9E09-E4CDFE2DA99A}"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8EE4536F-60D5-4869-942F-180544702200}"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0FBAF10F-60EE-41D9-8B7E-87B685FD0BCF}"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AAFC57CF-79ED-4BE2-8E90-4DD13CE49372}"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957B0523-D24F-4CDC-962F-4D2B1660898D}"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9E77BCDD-0E8C-4CF0-A1C5-85B308D8C052}"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153CE395-CEED-4627-A2F5-BCEAC4C343B6}"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AF3247BE-0748-4077-A088-B88274EDB78C}"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CA08E02B-2B67-4F32-A544-1CD765406C64}"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C508455B-0B90-439D-B21C-483306D70F51}"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0F2F2640-788C-4191-ACF6-E8907F671213}"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886FF95-FFB6-4E58-8C4E-685D6C6DD1F1}"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131D092-6791-4628-B313-820B767FA1E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2668848-C846-4A8E-BEB5-6A099515513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02B3268-15E1-4043-8BFA-C290D5EDE873}"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1B0C15-9385-4455-A368-122B3513FD7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140A241-9DC0-4978-AB67-A9BB3EADAD79}" name="Temperature Zone">
      <calculatedColumnFormula array="1">Common_InputFunctions.Utility_DisplayArrayInTable(Common_SourceData.Common_SourceData_TemperatureZones_Data(),Table_SourceData_TemperatureZones[[#Headers],[Temperature Zone]],0)</calculatedColumnFormula>
    </tableColumn>
    <tableColumn id="2" xr3:uid="{659A82A0-B467-4F90-B3D1-FF36E808AC00}" name="MAT">
      <calculatedColumnFormula array="1">Common_InputFunctions.Utility_DisplayArrayInTable(Common_SourceData.Common_SourceData_TemperatureZones_Data(),Table_SourceData_TemperatureZones[[#Headers],[Temperature Zone]],0)</calculatedColumnFormula>
    </tableColumn>
    <tableColumn id="3" xr3:uid="{EEEDF603-F8F9-4B3D-BB24-58F7CC3D6D09}" name="Min MAT">
      <calculatedColumnFormula array="1">Common_InputFunctions.Utility_DisplayArrayInTable(Common_SourceData.Common_SourceData_TemperatureZones_Data(),Table_SourceData_TemperatureZones[[#Headers],[Temperature Zone]],0)</calculatedColumnFormula>
    </tableColumn>
    <tableColumn id="4" xr3:uid="{17B93F0A-0356-41EE-AE8E-1DCCC8A1D16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7D69BCB-2187-4456-838F-A72858BD363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15094D7-0644-4721-A752-A739BCA90BE4}" name="Rainfall Zone">
      <calculatedColumnFormula array="1">Common_InputFunctions.Utility_DisplayArrayInTable(Common_SourceData.Common_SourceData_RainfallZones_Data(),Table_SourceData_RainfallZones[[#Headers],[Rainfall Zone]],0)</calculatedColumnFormula>
    </tableColumn>
    <tableColumn id="2" xr3:uid="{F4BC5612-F203-409C-93B7-6C3F9F5379B8}" name="Annual rainfall">
      <calculatedColumnFormula array="1">Common_InputFunctions.Utility_DisplayArrayInTable(Common_SourceData.Common_SourceData_RainfallZones_Data(),Table_SourceData_RainfallZones[[#Headers],[Rainfall Zone]],0)</calculatedColumnFormula>
    </tableColumn>
    <tableColumn id="3" xr3:uid="{BDC9CD07-0AFF-4F9C-9801-2326AEF5C824}" name="Min rainfall">
      <calculatedColumnFormula array="1">Common_InputFunctions.Utility_DisplayArrayInTable(Common_SourceData.Common_SourceData_RainfallZones_Data(),Table_SourceData_RainfallZones[[#Headers],[Rainfall Zone]],0)</calculatedColumnFormula>
    </tableColumn>
    <tableColumn id="4" xr3:uid="{D0F652DA-AFF8-4B04-8D06-1D159FFDD31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5217865-95C3-40E1-AA89-56CB3B85D5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C628AE4-74F8-40E7-A17D-67CDF7905DDB}" name="Leaching Zone">
      <calculatedColumnFormula array="1">Common_InputFunctions.Utility_DisplayArrayInTable(Common_SourceData.Common_SourceData_LeachingZones_Data(), Table_SourceData_LeachingZones[[#Headers],[Leaching Zone]], 0)</calculatedColumnFormula>
    </tableColumn>
    <tableColumn id="2" xr3:uid="{16F1E50B-E11A-4101-AC47-557A6CCDE40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D8D80C-DC2C-4D39-8B80-9C99993C5EE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09E72D7-5CDD-434D-94EA-23F2C9B35DDC}" name="Data source">
      <calculatedColumnFormula array="1">Common_InputFunctions.Utility_DisplayArrayInTable(Common_SourceData.Common_SourceData_DataScores_Scope3_Data(), Table_SourceData_DataScores_Scope3[[#Headers],[Data source]], 0)</calculatedColumnFormula>
    </tableColumn>
    <tableColumn id="2" xr3:uid="{7ED12F1F-E783-47D4-B77A-057805442CA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F6231B4-3BBC-49B3-811D-D50AE62D4042}" name="Table_SourceData_FracWET" displayName="Table_SourceData_FracWET" ref="D134:E136" totalsRowShown="0">
  <autoFilter ref="D134:E136" xr:uid="{308E99BE-FE1F-47A4-B2CA-97217277C4E9}">
    <filterColumn colId="0" hiddenButton="1"/>
    <filterColumn colId="1" hiddenButton="1"/>
  </autoFilter>
  <tableColumns count="2">
    <tableColumn id="1" xr3:uid="{A87C906C-828A-4DE3-9EB3-2FCA8EE8054D}" name="Is in leaching zone">
      <calculatedColumnFormula array="1">Common_InputFunctions.Utility_DisplayArrayInTable(Common_SourceData.Common_SourceData_FracWET_Data(),Table_SourceData_FracWET[[#Headers],[Is in leaching zone]],0)</calculatedColumnFormula>
    </tableColumn>
    <tableColumn id="2" xr3:uid="{D7930F92-DBDF-4FD8-BF44-B4D67BB114A7}"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3434731-85EF-4619-82A7-BFED79CB949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BD056F0-A1CC-4A9C-B94B-F8E5AA03E7EA}" name="Production system j">
      <calculatedColumnFormula array="1">Common_InputFunctions.Utility_DisplayArrayInTable(Common_SourceData.Common_SourceData_EFN2O_Data(), Table_SourceData_Common_EFN2O[[#Headers],[Production system j]], 0)</calculatedColumnFormula>
    </tableColumn>
    <tableColumn id="2" xr3:uid="{F5F3835B-5BDD-4D93-8E74-BE19BF70454B}" name="EFN2O">
      <calculatedColumnFormula array="1">Common_InputFunctions.Utility_DisplayArrayInTable(Common_SourceData.Common_SourceData_EFN2O_Data(), Table_SourceData_Common_EFN2O[[#Headers],[Production system j]], 0)</calculatedColumnFormula>
    </tableColumn>
    <tableColumn id="3" xr3:uid="{8A59CACB-35E9-4470-AE06-195E43690545}" name="Production system only">
      <calculatedColumnFormula array="1">Common_InputFunctions.Utility_DisplayArrayInTable(Common_SourceData.Common_SourceData_EFN2O_Data(), Table_SourceData_Common_EFN2O[[#Headers],[Production system j]], 0)</calculatedColumnFormula>
    </tableColumn>
    <tableColumn id="4" xr3:uid="{6ED28D0B-B715-44F2-8387-D29DAA981F2E}" name="Irrigation method">
      <calculatedColumnFormula array="1">Common_InputFunctions.Utility_DisplayArrayInTable(Common_SourceData.Common_SourceData_EFN2O_Data(), Table_SourceData_Common_EFN2O[[#Headers],[Production system j]], 0)</calculatedColumnFormula>
    </tableColumn>
    <tableColumn id="5" xr3:uid="{EA6DCE58-4C54-48B7-8FBC-4C308A6B085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A15A194-61C1-4500-ABA0-74793469560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399DD2C-2C8F-4921-AE90-4A605954450F}" name="Irrigation type i">
      <calculatedColumnFormula array="1">Common_InputFunctions.Utility_DisplayArrayInTable(Common_SourceData.Common_SourceData_FracWETIrrigation_Data(), Table_SourceData_FracWETIrrigation[[#Headers],[Irrigation type i]], 0)</calculatedColumnFormula>
    </tableColumn>
    <tableColumn id="2" xr3:uid="{4E1AF06C-CDE4-4181-A993-5B0147FA6DF4}"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5A22928-E920-409B-A0A8-7D229D3CCE6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4C2D9DB-EED2-456F-BEA2-E59493B2159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0EDC8DD-395C-467A-B621-EFC3308C0D3A}"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E413DC2-3522-43D9-B1E2-E3DD5CDAB4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295FB4A-FD24-4CF1-93B7-91D96C60BA18}" name="Month">
      <calculatedColumnFormula array="1">Common_InputFunctions.Utility_DisplayArrayInTable(Common_SourceData.Common_SourceData_MonthsToSeasons_Data(), Table_SourceData_Common_MonthToSeason[[#Headers],[Month]], 0)</calculatedColumnFormula>
    </tableColumn>
    <tableColumn id="2" xr3:uid="{8C39FACA-411D-4F92-BE74-1F43448F529F}"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82D66-F0D0-4E45-A0D8-E36E9B74E28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888068E-C9B5-43FD-A916-9B770491474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0FC6643-2FC3-4D44-9372-A36B5CC73DD7}"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E51BB47-0324-4B13-8E89-7C9A5A09EC52}"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312BF22-4881-442C-A8FD-F976FFCB79B7}"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B70D6DD-C0F4-4284-8B69-FAEF867F1C6E}"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2D0359C8-B312-4F0D-95CC-9F27DD9711CE}"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63BD27-4E04-4451-82B2-4721FC78703D}"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E6852C8-02EF-45CF-AE8F-A903AAB60C57}"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4FF0616-5C4C-44A7-B4AB-CD29BC2285D1}"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F4831-78E1-4196-A054-44C26274DAB4}"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4FFBAFB-4252-464A-913F-2B9A9D6C2256}"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563BB03-86A6-4D44-AA7D-D448DA9F57D7}"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7174980-0D39-4A0A-8B4A-73861E176A7D}"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D03C9E8-98A5-4484-920C-D6CF9FB7836F}"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FBD0566-0721-4CC3-A56B-684599A1581B}"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5C1DBBE-A111-4ED1-ABEE-B8DF2C7A1776}"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41E9C97-ACC7-4EAD-94B5-DD5294FCAE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51F1B45-76B8-41BA-A4E8-39E28B5D22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C4AE05B-BAAC-4518-B0E9-FA3DAFBD52CD}"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4.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4" t="s">
        <v>130</v>
      </c>
      <c r="D1" s="55"/>
      <c r="E1" s="55"/>
      <c r="F1" s="55"/>
      <c r="G1" s="55"/>
      <c r="H1" s="55"/>
      <c r="I1" s="55"/>
      <c r="J1" s="55"/>
      <c r="K1" s="55"/>
      <c r="L1" s="55"/>
      <c r="M1" s="55"/>
      <c r="N1" s="55"/>
      <c r="O1" s="55"/>
      <c r="P1" s="55"/>
    </row>
    <row r="2" spans="1:17" ht="20.100000000000001" customHeight="1" x14ac:dyDescent="0.25">
      <c r="A2" s="8"/>
      <c r="C2" s="55"/>
      <c r="D2" s="55"/>
      <c r="E2" s="55"/>
      <c r="F2" s="55"/>
      <c r="G2" s="55"/>
      <c r="H2" s="55"/>
      <c r="I2" s="55"/>
      <c r="J2" s="55"/>
      <c r="K2" s="55"/>
      <c r="L2" s="55"/>
      <c r="M2" s="55"/>
      <c r="N2" s="55"/>
      <c r="O2" s="55"/>
      <c r="P2" s="55"/>
      <c r="Q2" s="56"/>
    </row>
    <row r="3" spans="1:17" ht="20.100000000000001" customHeight="1" x14ac:dyDescent="0.25">
      <c r="A3" s="13" t="str">
        <f>HYPERLINK("#'Home'!A1", "Home")</f>
        <v>Home</v>
      </c>
      <c r="C3" s="57"/>
      <c r="D3" s="57"/>
      <c r="E3" s="57"/>
      <c r="F3" s="57"/>
      <c r="G3" s="57"/>
      <c r="H3" s="57"/>
      <c r="I3" s="57"/>
      <c r="J3" s="57"/>
      <c r="K3" s="57"/>
      <c r="L3" s="57"/>
      <c r="M3" s="57"/>
      <c r="N3" s="57"/>
      <c r="O3" s="57"/>
      <c r="P3" s="57"/>
    </row>
    <row r="4" spans="1:17" ht="20.100000000000001" customHeight="1" x14ac:dyDescent="0.25">
      <c r="A4" s="43" t="str">
        <f>HYPERLINK("#'Overview'!A1", "Overview")</f>
        <v>Overview</v>
      </c>
    </row>
    <row r="5" spans="1:17" ht="20.100000000000001" customHeight="1" x14ac:dyDescent="0.25">
      <c r="A5" s="13" t="str">
        <f>HYPERLINK("#'Results'!A1", "Results")</f>
        <v>Results</v>
      </c>
      <c r="D5" s="41" t="s">
        <v>83</v>
      </c>
      <c r="E5" s="37"/>
      <c r="F5" s="37"/>
      <c r="G5" s="37"/>
      <c r="H5" s="37"/>
      <c r="I5" s="37"/>
      <c r="J5" s="37"/>
      <c r="K5" s="37"/>
      <c r="L5" s="37"/>
      <c r="M5" s="37"/>
      <c r="N5" s="37"/>
      <c r="O5" s="34"/>
    </row>
    <row r="6" spans="1:17" ht="20.100000000000001" customHeight="1" x14ac:dyDescent="0.25">
      <c r="A6" s="12"/>
      <c r="D6" s="58"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Solid waste'!A1", "Solid waste")</f>
        <v>Solid waste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HYPERLINK("#'10.1.1-2 Solid waste treatment'!A1", "10.1.1-2 Solid waste treatment")</f>
        <v>10.1.1-2 Solid waste treatment</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Solid waste'!A1", "Constants - Solid waste")</f>
        <v>Constants - Solid waste</v>
      </c>
      <c r="O14" s="1" t="s">
        <v>85</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D22" sqref="D22"/>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3" t="e" vm="1">
        <v>#VALUE!</v>
      </c>
      <c r="C1" s="54" t="s">
        <v>131</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Solid waste'!A1", "Solid waste")</f>
        <v>Solid waste</v>
      </c>
      <c r="C8" s="18"/>
      <c r="D8" s="39" t="s">
        <v>50</v>
      </c>
      <c r="E8" s="39" t="s">
        <v>60</v>
      </c>
      <c r="F8" s="39" t="s">
        <v>61</v>
      </c>
      <c r="G8" s="39" t="s">
        <v>55</v>
      </c>
      <c r="H8" s="18"/>
    </row>
    <row r="9" spans="1:8" ht="20.100000000000001" customHeight="1" x14ac:dyDescent="0.25">
      <c r="A9" s="13"/>
      <c r="C9" s="18"/>
      <c r="D9" s="1" t="s">
        <v>123</v>
      </c>
      <c r="E9" s="53">
        <f>'10.1.1-2 Solid waste treatment'!E151</f>
        <v>438.82805000000002</v>
      </c>
      <c r="F9" s="53">
        <f>E9</f>
        <v>438.82805000000002</v>
      </c>
      <c r="G9" s="30" t="s">
        <v>58</v>
      </c>
      <c r="H9" s="18"/>
    </row>
    <row r="10" spans="1:8" ht="20.100000000000001" customHeight="1" x14ac:dyDescent="0.25">
      <c r="A10" s="15" t="s">
        <v>45</v>
      </c>
      <c r="C10" s="18"/>
      <c r="D10" s="1"/>
      <c r="E10" s="53"/>
      <c r="F10" s="53"/>
      <c r="G10" s="30"/>
      <c r="H10" s="18"/>
    </row>
    <row r="11" spans="1:8" ht="20.100000000000001" customHeight="1" x14ac:dyDescent="0.25">
      <c r="A11" s="13" t="str">
        <f>HYPERLINK("#'10.1.1-2 Solid waste treatment'!A1", "10.1.1-2 Solid waste treatment")</f>
        <v>10.1.1-2 Solid waste treatment</v>
      </c>
      <c r="C11" s="18"/>
      <c r="D11" s="1"/>
      <c r="E11" s="1"/>
      <c r="F11" s="1"/>
      <c r="G11" s="1"/>
      <c r="H11" s="18"/>
    </row>
    <row r="12" spans="1:8" ht="20.100000000000001" customHeight="1" x14ac:dyDescent="0.25">
      <c r="A12" s="13"/>
      <c r="C12" s="18"/>
      <c r="D12" s="39" t="s">
        <v>124</v>
      </c>
      <c r="E12" s="39" t="s">
        <v>60</v>
      </c>
      <c r="F12" s="39" t="s">
        <v>61</v>
      </c>
      <c r="G12" s="39" t="s">
        <v>55</v>
      </c>
      <c r="H12" s="18"/>
    </row>
    <row r="13" spans="1:8" ht="20.100000000000001" customHeight="1" x14ac:dyDescent="0.25">
      <c r="A13" s="14" t="s">
        <v>2</v>
      </c>
      <c r="C13" s="18"/>
      <c r="D13" s="1" t="s">
        <v>123</v>
      </c>
      <c r="E13" s="53">
        <f>'10.1.1-2 Solid waste treatment'!E192</f>
        <v>441.15000000000003</v>
      </c>
      <c r="F13" s="53">
        <f>E13</f>
        <v>441.15000000000003</v>
      </c>
      <c r="G13" s="30" t="s">
        <v>58</v>
      </c>
      <c r="H13" s="18"/>
    </row>
    <row r="14" spans="1:8" ht="20.100000000000001" customHeight="1" x14ac:dyDescent="0.25">
      <c r="A14" s="13" t="str">
        <f>HYPERLINK("#'Constants - Solid waste'!A1", "Constants - Solid waste")</f>
        <v>Constants - Solid waste</v>
      </c>
      <c r="C14" s="18"/>
      <c r="D14" s="1"/>
      <c r="E14" s="40"/>
      <c r="F14" s="30"/>
      <c r="G14" s="1"/>
      <c r="H14" s="18"/>
    </row>
    <row r="15" spans="1:8" ht="20.100000000000001" customHeight="1" x14ac:dyDescent="0.25">
      <c r="A15" s="13" t="str">
        <f>HYPERLINK("#'Constants - Common'!A1", "Constants - Common")</f>
        <v>Constants - Common</v>
      </c>
      <c r="C15" s="18"/>
      <c r="D15" s="1"/>
      <c r="E15" s="40"/>
      <c r="F15" s="30"/>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1"/>
      <c r="F21" s="1"/>
      <c r="G21" s="1"/>
      <c r="H21" s="18"/>
    </row>
    <row r="22" spans="1:8" ht="20.100000000000001" customHeight="1" x14ac:dyDescent="0.25">
      <c r="C22" s="18"/>
      <c r="D22" s="1"/>
      <c r="E22" s="1"/>
      <c r="F22" s="1"/>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85"/>
  <sheetViews>
    <sheetView showGridLines="0" topLeftCell="A2" zoomScaleNormal="100" workbookViewId="0">
      <selection activeCell="D11" sqref="D11:I32"/>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99</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113</v>
      </c>
    </row>
    <row r="6" spans="1:10" ht="20.100000000000001" customHeight="1" x14ac:dyDescent="0.25">
      <c r="A6" s="12"/>
    </row>
    <row r="7" spans="1:10" ht="20.100000000000001" customHeight="1" x14ac:dyDescent="0.25">
      <c r="A7" s="16" t="s">
        <v>1</v>
      </c>
      <c r="D7" s="60" t="s">
        <v>87</v>
      </c>
      <c r="E7" s="61"/>
    </row>
    <row r="8" spans="1:10" ht="20.100000000000001" customHeight="1" x14ac:dyDescent="0.25">
      <c r="A8" s="42" t="str">
        <f>HYPERLINK("#'Input - Solid waste'!A1", "Solid waste")</f>
        <v>Solid waste</v>
      </c>
    </row>
    <row r="9" spans="1:10" ht="20.100000000000001" customHeight="1" x14ac:dyDescent="0.25">
      <c r="A9" s="13"/>
      <c r="D9" s="67" t="s">
        <v>86</v>
      </c>
      <c r="E9" s="67" t="s">
        <v>104</v>
      </c>
      <c r="F9" s="67" t="s">
        <v>103</v>
      </c>
      <c r="G9" s="67" t="s">
        <v>102</v>
      </c>
      <c r="H9" s="67" t="s">
        <v>105</v>
      </c>
      <c r="I9" s="67" t="s">
        <v>101</v>
      </c>
    </row>
    <row r="10" spans="1:10" ht="20.100000000000001" customHeight="1" x14ac:dyDescent="0.25">
      <c r="A10" s="15" t="s">
        <v>45</v>
      </c>
      <c r="D10" s="26" t="s">
        <v>148</v>
      </c>
      <c r="E10" s="27" t="s">
        <v>132</v>
      </c>
      <c r="F10" s="27" t="s">
        <v>116</v>
      </c>
      <c r="G10" s="27" t="s">
        <v>111</v>
      </c>
      <c r="H10" s="75">
        <v>50</v>
      </c>
      <c r="I10" s="27" t="s">
        <v>100</v>
      </c>
    </row>
    <row r="11" spans="1:10" ht="20.100000000000001" customHeight="1" x14ac:dyDescent="0.25">
      <c r="A11" s="13" t="str">
        <f>HYPERLINK("#'10.1.1-2 Solid waste treatment'!A1", "10.1.1-2 Solid waste treatment")</f>
        <v>10.1.1-2 Solid waste treatment</v>
      </c>
      <c r="D11" s="26" t="s">
        <v>149</v>
      </c>
      <c r="E11" s="27" t="s">
        <v>132</v>
      </c>
      <c r="F11" s="27" t="s">
        <v>116</v>
      </c>
      <c r="G11" s="27" t="s">
        <v>114</v>
      </c>
      <c r="H11" s="75">
        <v>50</v>
      </c>
      <c r="I11" s="27" t="s">
        <v>112</v>
      </c>
    </row>
    <row r="12" spans="1:10" ht="20.100000000000001" customHeight="1" x14ac:dyDescent="0.25">
      <c r="A12" s="13"/>
      <c r="D12" s="26" t="s">
        <v>147</v>
      </c>
      <c r="E12" s="27" t="s">
        <v>132</v>
      </c>
      <c r="F12" s="27" t="s">
        <v>122</v>
      </c>
      <c r="G12" s="27" t="s">
        <v>111</v>
      </c>
      <c r="H12" s="75">
        <v>50</v>
      </c>
      <c r="I12" s="27" t="s">
        <v>100</v>
      </c>
    </row>
    <row r="13" spans="1:10" ht="20.100000000000001" customHeight="1" x14ac:dyDescent="0.25">
      <c r="A13" s="14" t="s">
        <v>2</v>
      </c>
      <c r="D13" s="26" t="s">
        <v>146</v>
      </c>
      <c r="E13" s="27" t="s">
        <v>132</v>
      </c>
      <c r="F13" s="27" t="s">
        <v>122</v>
      </c>
      <c r="G13" s="27" t="s">
        <v>114</v>
      </c>
      <c r="H13" s="75">
        <v>50</v>
      </c>
      <c r="I13" s="27" t="s">
        <v>112</v>
      </c>
    </row>
    <row r="14" spans="1:10" ht="20.100000000000001" customHeight="1" x14ac:dyDescent="0.25">
      <c r="A14" s="13" t="str">
        <f>HYPERLINK("#'Constants - Solid waste'!A1", "Constants - Solid waste")</f>
        <v>Constants - Solid waste</v>
      </c>
      <c r="D14" s="26" t="s">
        <v>135</v>
      </c>
      <c r="E14" s="27" t="s">
        <v>106</v>
      </c>
      <c r="F14" s="27" t="s">
        <v>122</v>
      </c>
      <c r="G14" s="27" t="s">
        <v>111</v>
      </c>
      <c r="H14" s="75">
        <v>50</v>
      </c>
      <c r="I14" s="27" t="s">
        <v>100</v>
      </c>
    </row>
    <row r="15" spans="1:10" ht="20.100000000000001" customHeight="1" x14ac:dyDescent="0.25">
      <c r="A15" s="13" t="str">
        <f>HYPERLINK("#'Constants - Common'!A1", "Constants - Common")</f>
        <v>Constants - Common</v>
      </c>
      <c r="D15" s="26" t="s">
        <v>136</v>
      </c>
      <c r="E15" s="27" t="s">
        <v>106</v>
      </c>
      <c r="F15" s="27" t="s">
        <v>122</v>
      </c>
      <c r="G15" s="27" t="s">
        <v>111</v>
      </c>
      <c r="H15" s="75">
        <v>50</v>
      </c>
      <c r="I15" s="27" t="s">
        <v>112</v>
      </c>
    </row>
    <row r="16" spans="1:10" ht="20.100000000000001" customHeight="1" x14ac:dyDescent="0.25">
      <c r="D16" s="26" t="s">
        <v>133</v>
      </c>
      <c r="E16" s="27" t="s">
        <v>106</v>
      </c>
      <c r="F16" s="27" t="s">
        <v>122</v>
      </c>
      <c r="G16" s="27" t="s">
        <v>114</v>
      </c>
      <c r="H16" s="75">
        <v>50</v>
      </c>
      <c r="I16" s="27" t="s">
        <v>100</v>
      </c>
    </row>
    <row r="17" spans="1:11" ht="20.100000000000001" customHeight="1" x14ac:dyDescent="0.25">
      <c r="D17" s="26" t="s">
        <v>134</v>
      </c>
      <c r="E17" s="27" t="s">
        <v>106</v>
      </c>
      <c r="F17" s="27" t="s">
        <v>122</v>
      </c>
      <c r="G17" s="27" t="s">
        <v>114</v>
      </c>
      <c r="H17" s="75">
        <v>50</v>
      </c>
      <c r="I17" s="27" t="s">
        <v>112</v>
      </c>
    </row>
    <row r="18" spans="1:11" ht="20.100000000000001" customHeight="1" x14ac:dyDescent="0.25">
      <c r="D18" s="26" t="s">
        <v>137</v>
      </c>
      <c r="E18" s="27" t="s">
        <v>106</v>
      </c>
      <c r="F18" s="27" t="s">
        <v>116</v>
      </c>
      <c r="G18" s="27" t="s">
        <v>111</v>
      </c>
      <c r="H18" s="75">
        <v>50</v>
      </c>
      <c r="I18" s="27" t="s">
        <v>100</v>
      </c>
    </row>
    <row r="19" spans="1:11" ht="20.100000000000001" customHeight="1" x14ac:dyDescent="0.25">
      <c r="D19" s="26" t="s">
        <v>138</v>
      </c>
      <c r="E19" s="27" t="s">
        <v>106</v>
      </c>
      <c r="F19" s="27" t="s">
        <v>116</v>
      </c>
      <c r="G19" s="27" t="s">
        <v>111</v>
      </c>
      <c r="H19" s="75">
        <v>50</v>
      </c>
      <c r="I19" s="27" t="s">
        <v>112</v>
      </c>
    </row>
    <row r="20" spans="1:11" ht="20.100000000000001" customHeight="1" x14ac:dyDescent="0.25">
      <c r="A20" s="13"/>
      <c r="D20" s="26" t="s">
        <v>139</v>
      </c>
      <c r="E20" s="27" t="s">
        <v>106</v>
      </c>
      <c r="F20" s="27" t="s">
        <v>116</v>
      </c>
      <c r="G20" s="27" t="s">
        <v>114</v>
      </c>
      <c r="H20" s="75">
        <v>50</v>
      </c>
      <c r="I20" s="27" t="s">
        <v>100</v>
      </c>
    </row>
    <row r="21" spans="1:11" ht="20.100000000000001" customHeight="1" x14ac:dyDescent="0.25">
      <c r="A21" s="13"/>
      <c r="D21" s="26" t="s">
        <v>140</v>
      </c>
      <c r="E21" s="27" t="s">
        <v>106</v>
      </c>
      <c r="F21" s="27" t="s">
        <v>116</v>
      </c>
      <c r="G21" s="27" t="s">
        <v>114</v>
      </c>
      <c r="H21" s="75">
        <v>50</v>
      </c>
      <c r="I21" s="27" t="s">
        <v>112</v>
      </c>
    </row>
    <row r="22" spans="1:11" ht="20.100000000000001" customHeight="1" x14ac:dyDescent="0.25">
      <c r="D22" s="26" t="s">
        <v>141</v>
      </c>
      <c r="E22" s="27" t="s">
        <v>106</v>
      </c>
      <c r="F22" s="27" t="s">
        <v>145</v>
      </c>
      <c r="G22" s="27" t="s">
        <v>111</v>
      </c>
      <c r="H22" s="75">
        <v>50</v>
      </c>
      <c r="I22" s="27" t="s">
        <v>100</v>
      </c>
    </row>
    <row r="23" spans="1:11" ht="20.100000000000001" customHeight="1" x14ac:dyDescent="0.25">
      <c r="A23" s="13"/>
      <c r="D23" s="26" t="s">
        <v>142</v>
      </c>
      <c r="E23" s="27" t="s">
        <v>106</v>
      </c>
      <c r="F23" s="27" t="s">
        <v>145</v>
      </c>
      <c r="G23" s="27" t="s">
        <v>111</v>
      </c>
      <c r="H23" s="75">
        <v>50</v>
      </c>
      <c r="I23" s="27" t="s">
        <v>112</v>
      </c>
    </row>
    <row r="24" spans="1:11" ht="20.100000000000001" customHeight="1" x14ac:dyDescent="0.25">
      <c r="D24" s="26" t="s">
        <v>143</v>
      </c>
      <c r="E24" s="27" t="s">
        <v>106</v>
      </c>
      <c r="F24" s="27" t="s">
        <v>145</v>
      </c>
      <c r="G24" s="27" t="s">
        <v>114</v>
      </c>
      <c r="H24" s="75">
        <v>50</v>
      </c>
      <c r="I24" s="27" t="s">
        <v>100</v>
      </c>
    </row>
    <row r="25" spans="1:11" ht="20.100000000000001" customHeight="1" x14ac:dyDescent="0.25">
      <c r="D25" s="26" t="s">
        <v>144</v>
      </c>
      <c r="E25" s="27" t="s">
        <v>106</v>
      </c>
      <c r="F25" s="27" t="s">
        <v>145</v>
      </c>
      <c r="G25" s="27" t="s">
        <v>114</v>
      </c>
      <c r="H25" s="75">
        <v>50</v>
      </c>
      <c r="I25" s="27" t="s">
        <v>112</v>
      </c>
    </row>
    <row r="26" spans="1:11" ht="20.100000000000001" customHeight="1" x14ac:dyDescent="0.25">
      <c r="D26" s="26" t="s">
        <v>156</v>
      </c>
      <c r="E26" s="27" t="s">
        <v>115</v>
      </c>
      <c r="F26" s="27" t="s">
        <v>116</v>
      </c>
      <c r="G26" s="27" t="s">
        <v>114</v>
      </c>
      <c r="H26" s="75">
        <v>50</v>
      </c>
      <c r="I26" s="27" t="s">
        <v>100</v>
      </c>
    </row>
    <row r="27" spans="1:11" ht="20.100000000000001" customHeight="1" x14ac:dyDescent="0.25">
      <c r="D27" s="26" t="s">
        <v>157</v>
      </c>
      <c r="E27" s="27" t="s">
        <v>115</v>
      </c>
      <c r="F27" s="27" t="s">
        <v>116</v>
      </c>
      <c r="G27" s="27" t="s">
        <v>114</v>
      </c>
      <c r="H27" s="75">
        <v>50</v>
      </c>
      <c r="I27" s="27" t="s">
        <v>112</v>
      </c>
    </row>
    <row r="28" spans="1:11" ht="20.100000000000001" customHeight="1" x14ac:dyDescent="0.25">
      <c r="D28" s="26" t="s">
        <v>158</v>
      </c>
      <c r="E28" s="27" t="s">
        <v>115</v>
      </c>
      <c r="F28" s="27" t="s">
        <v>145</v>
      </c>
      <c r="G28" s="27" t="s">
        <v>114</v>
      </c>
      <c r="H28" s="75">
        <v>50</v>
      </c>
      <c r="I28" s="27" t="s">
        <v>100</v>
      </c>
    </row>
    <row r="29" spans="1:11" ht="20.100000000000001" customHeight="1" x14ac:dyDescent="0.25">
      <c r="A29" s="13"/>
      <c r="D29" s="26" t="s">
        <v>159</v>
      </c>
      <c r="E29" s="27" t="s">
        <v>115</v>
      </c>
      <c r="F29" s="27" t="s">
        <v>145</v>
      </c>
      <c r="G29" s="27" t="s">
        <v>114</v>
      </c>
      <c r="H29" s="75">
        <v>50</v>
      </c>
      <c r="I29" s="27" t="s">
        <v>112</v>
      </c>
      <c r="K29" s="47"/>
    </row>
    <row r="30" spans="1:11" ht="20.100000000000001" customHeight="1" x14ac:dyDescent="0.25">
      <c r="A30" s="13"/>
      <c r="D30" s="26" t="s">
        <v>160</v>
      </c>
      <c r="E30" s="27" t="s">
        <v>115</v>
      </c>
      <c r="F30" s="27" t="s">
        <v>145</v>
      </c>
      <c r="G30" s="27" t="s">
        <v>111</v>
      </c>
      <c r="H30" s="75">
        <v>50</v>
      </c>
      <c r="I30" s="27" t="s">
        <v>100</v>
      </c>
      <c r="K30" s="47"/>
    </row>
    <row r="31" spans="1:11" ht="20.100000000000001" customHeight="1" x14ac:dyDescent="0.25">
      <c r="A31" s="32"/>
      <c r="D31" s="26" t="s">
        <v>161</v>
      </c>
      <c r="E31" s="27" t="s">
        <v>115</v>
      </c>
      <c r="F31" s="27" t="s">
        <v>145</v>
      </c>
      <c r="G31" s="27" t="s">
        <v>111</v>
      </c>
      <c r="H31" s="75">
        <v>50</v>
      </c>
      <c r="I31" s="27" t="s">
        <v>112</v>
      </c>
      <c r="K31" s="47"/>
    </row>
    <row r="32" spans="1:11" ht="20.100000000000001" customHeight="1" x14ac:dyDescent="0.25">
      <c r="A32" s="32"/>
      <c r="D32" s="26" t="s">
        <v>159</v>
      </c>
      <c r="E32" s="27" t="s">
        <v>115</v>
      </c>
      <c r="F32" s="27" t="s">
        <v>145</v>
      </c>
      <c r="G32" s="27" t="s">
        <v>114</v>
      </c>
      <c r="H32" s="75">
        <v>50</v>
      </c>
      <c r="I32" s="27" t="s">
        <v>112</v>
      </c>
      <c r="K32" s="47"/>
    </row>
    <row r="33" spans="1:12" ht="20.100000000000001" customHeight="1" x14ac:dyDescent="0.25">
      <c r="A33" s="13"/>
      <c r="K33" s="47"/>
    </row>
    <row r="34" spans="1:12" ht="20.100000000000001" customHeight="1" x14ac:dyDescent="0.25">
      <c r="K34" s="47"/>
    </row>
    <row r="35" spans="1:12" ht="20.100000000000001" customHeight="1" x14ac:dyDescent="0.25"/>
    <row r="36" spans="1:12" ht="20.100000000000001" customHeight="1" x14ac:dyDescent="0.25">
      <c r="L36" s="47"/>
    </row>
    <row r="37" spans="1:12" ht="20.100000000000001" customHeight="1" x14ac:dyDescent="0.25">
      <c r="L37" s="47"/>
    </row>
    <row r="38" spans="1:12" ht="20.100000000000001" customHeight="1" x14ac:dyDescent="0.25">
      <c r="C38" s="46"/>
    </row>
    <row r="39" spans="1:12" ht="20.100000000000001" customHeight="1" x14ac:dyDescent="0.25">
      <c r="A39" s="13"/>
      <c r="C39" s="46"/>
      <c r="J39" s="46"/>
    </row>
    <row r="40" spans="1:12" s="47" customFormat="1" ht="20.100000000000001" customHeight="1" x14ac:dyDescent="0.25">
      <c r="C40" s="1"/>
      <c r="D40" s="1"/>
      <c r="E40" s="1"/>
      <c r="F40" s="1"/>
      <c r="G40" s="1"/>
      <c r="H40" s="1"/>
      <c r="I40" s="1"/>
      <c r="J40" s="1"/>
    </row>
    <row r="41" spans="1:12" s="47" customFormat="1" ht="20.100000000000001" customHeight="1" x14ac:dyDescent="0.25">
      <c r="A41" s="48"/>
      <c r="C41" s="1"/>
      <c r="D41" s="1"/>
      <c r="E41" s="1"/>
      <c r="F41" s="1"/>
      <c r="G41" s="1"/>
      <c r="H41" s="1"/>
      <c r="I41" s="1"/>
      <c r="J41" s="1"/>
      <c r="L41" s="47" t="s">
        <v>85</v>
      </c>
    </row>
    <row r="42" spans="1:12" ht="20.100000000000001" customHeight="1" x14ac:dyDescent="0.25"/>
    <row r="43" spans="1:12" ht="20.100000000000001" customHeight="1" x14ac:dyDescent="0.25"/>
    <row r="44" spans="1:12" ht="20.100000000000001" customHeight="1" x14ac:dyDescent="0.25">
      <c r="A44" s="52"/>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66"/>
    </row>
    <row r="74" spans="4:4" ht="20.100000000000001" customHeight="1" x14ac:dyDescent="0.25"/>
    <row r="75" spans="4:4" ht="20.100000000000001" customHeight="1" x14ac:dyDescent="0.25">
      <c r="D75" s="66"/>
    </row>
    <row r="76" spans="4:4" ht="20.100000000000001" customHeight="1" x14ac:dyDescent="0.25">
      <c r="D76" s="66"/>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38"/>
    </row>
  </sheetData>
  <conditionalFormatting sqref="F162:F163">
    <cfRule type="cellIs" dxfId="16" priority="20" operator="lessThan">
      <formula>0</formula>
    </cfRule>
  </conditionalFormatting>
  <conditionalFormatting sqref="F174:F175">
    <cfRule type="cellIs" dxfId="15" priority="19" operator="lessThan">
      <formula>0</formula>
    </cfRule>
  </conditionalFormatting>
  <conditionalFormatting sqref="F186:F187">
    <cfRule type="cellIs" dxfId="14" priority="18" operator="lessThan">
      <formula>0</formula>
    </cfRule>
  </conditionalFormatting>
  <conditionalFormatting sqref="F274:F275">
    <cfRule type="cellIs" dxfId="13" priority="93" operator="lessThan">
      <formula>0</formula>
    </cfRule>
  </conditionalFormatting>
  <conditionalFormatting sqref="F279:F280">
    <cfRule type="cellIs" dxfId="12" priority="92" operator="lessThan">
      <formula>0</formula>
    </cfRule>
  </conditionalFormatting>
  <conditionalFormatting sqref="F284:F285">
    <cfRule type="cellIs" dxfId="11" priority="91" operator="lessThan">
      <formula>0</formula>
    </cfRule>
  </conditionalFormatting>
  <conditionalFormatting sqref="F308:F309">
    <cfRule type="cellIs" dxfId="10" priority="85" operator="lessThan">
      <formula>0</formula>
    </cfRule>
  </conditionalFormatting>
  <conditionalFormatting sqref="F313:F314">
    <cfRule type="cellIs" dxfId="9" priority="84" operator="lessThan">
      <formula>0</formula>
    </cfRule>
  </conditionalFormatting>
  <conditionalFormatting sqref="F318:F319">
    <cfRule type="cellIs" dxfId="8" priority="83" operator="lessThan">
      <formula>0</formula>
    </cfRule>
  </conditionalFormatting>
  <conditionalFormatting sqref="I33 F71">
    <cfRule type="cellIs" dxfId="7" priority="62" operator="lessThan">
      <formula>0</formula>
    </cfRule>
  </conditionalFormatting>
  <conditionalFormatting sqref="I79:I83">
    <cfRule type="cellIs" dxfId="6" priority="5" operator="lessThan">
      <formula>0</formula>
    </cfRule>
  </conditionalFormatting>
  <conditionalFormatting sqref="I87 I146">
    <cfRule type="cellIs" dxfId="5" priority="74" operator="lessThan">
      <formula>0</formula>
    </cfRule>
  </conditionalFormatting>
  <conditionalFormatting sqref="I98:I100">
    <cfRule type="cellIs" dxfId="4" priority="4" operator="lessThan">
      <formula>0</formula>
    </cfRule>
  </conditionalFormatting>
  <conditionalFormatting sqref="I104:I107">
    <cfRule type="cellIs" dxfId="3" priority="3"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79" operator="lessThan">
      <formula>0</formula>
    </cfRule>
  </conditionalFormatting>
  <conditionalFormatting sqref="J37 I59 F150:F151">
    <cfRule type="cellIs" dxfId="0" priority="21" operator="lessThan">
      <formula>0</formula>
    </cfRule>
  </conditionalFormatting>
  <dataValidations count="9">
    <dataValidation type="list" allowBlank="1" showInputMessage="1" showErrorMessage="1" sqref="D301" xr:uid="{4E913AB3-F90B-4C35-BCE1-5DBB8FC05107}">
      <formula1>INDIRECT("Table_SourceData_PoultryMMSStage1[MMS]")</formula1>
    </dataValidation>
    <dataValidation type="list" allowBlank="1" showInputMessage="1" showErrorMessage="1" sqref="E249" xr:uid="{9FB53635-991F-44AA-A123-E8ABEF9EE0A6}">
      <formula1>INDIRECT("Table_SourceData_Dairy_ProductionSystemTemplates[Area]")</formula1>
    </dataValidation>
    <dataValidation type="list" allowBlank="1" showInputMessage="1" showErrorMessage="1" sqref="E273 E278 E283 E317 E312 E307 E185 E173 E149 E161" xr:uid="{00A4EA4C-90D3-4150-979D-4D71C7F37A31}">
      <formula1>"Yes, No"</formula1>
    </dataValidation>
    <dataValidation type="list" allowBlank="1" showInputMessage="1" showErrorMessage="1" sqref="E89" xr:uid="{DBA884B0-B52E-420E-8FD2-21B082EB75E2}">
      <formula1>INDIRECT("Table_SourceData_Swine_IrrigationMethods[Irrigation method]")</formula1>
    </dataValidation>
    <dataValidation type="list" allowBlank="1" showInputMessage="1" showErrorMessage="1" sqref="E35" xr:uid="{48A1E533-1334-4AAC-A5F5-B295A34573CB}">
      <formula1>INDIRECT("Table_SourceData_ElectricityEFs[State, Territory or grid description]")</formula1>
    </dataValidation>
    <dataValidation type="list" allowBlank="1" showInputMessage="1" showErrorMessage="1" sqref="E10:E32" xr:uid="{BE2CA0F8-93F9-493C-B304-DCA372760E4E}">
      <formula1>INDIRECT(_xlfn.UNIQUE("Table_SourceData_WasteSolid_WasteTreatmentEFs[Treatment type t]"))</formula1>
    </dataValidation>
    <dataValidation type="list" allowBlank="1" showInputMessage="1" showErrorMessage="1" sqref="G10:G32" xr:uid="{EB782CB2-069D-4346-96A4-9C640517727F}">
      <formula1>"Treated on-site, Removed and treated off-site"</formula1>
    </dataValidation>
    <dataValidation type="list" allowBlank="1" showInputMessage="1" showErrorMessage="1" sqref="I10:I32" xr:uid="{5637D9FB-43C0-46B6-8C23-E9E5D77EE5AE}">
      <formula1>"tonnes, cubic metres m3"</formula1>
    </dataValidation>
    <dataValidation type="list" allowBlank="1" showInputMessage="1" showErrorMessage="1" sqref="F10:F32" xr:uid="{502FA925-EB70-4F2C-8CD1-14FB9D0D2E6F}">
      <formula1>INDIRECT("Table_WasteTypes_" &amp; SUBSTITUTE(E10, " ", "") &amp; "[Waste type w]")</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tabSelected="1" zoomScaleNormal="100" workbookViewId="0">
      <selection activeCell="G154" sqref="G154"/>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93</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WasteSolid_Equations.VEERG_10_1_1_1__2_MassOfWasteFromVolume_Title()</f>
        <v>Mass of waste from waste volume</v>
      </c>
    </row>
    <row r="6" spans="1:12" ht="20.100000000000001" customHeight="1" x14ac:dyDescent="0.25">
      <c r="A6" s="12"/>
      <c r="D6" s="4" t="str" cm="1">
        <f t="array" ref="D6">WasteSolid_Equations.VEERG_10_1_1_1__2_MassOfWasteFromVolume_Source()</f>
        <v>VEERG 2026: 10.1.1.1, Equation (2)</v>
      </c>
    </row>
    <row r="7" spans="1:12" ht="20.100000000000001" customHeight="1" x14ac:dyDescent="0.25">
      <c r="A7" s="16" t="s">
        <v>1</v>
      </c>
      <c r="D7" s="10" t="s">
        <v>10</v>
      </c>
      <c r="E7" s="10" t="str" cm="1">
        <f t="array" aca="1" ref="E7" ca="1">Common_InputFunctions.Utility_DisplayFunctionName(I21)</f>
        <v>=WasteSolid_Equations.VEERG_10_1_1_1__2_MassOfWasteFromVolume</v>
      </c>
    </row>
    <row r="8" spans="1:12" ht="20.100000000000001" customHeight="1" x14ac:dyDescent="0.25">
      <c r="A8" s="13" t="str">
        <f>HYPERLINK("#'Input - Solid waste'!A1", "Solid waste")</f>
        <v>Solid waste</v>
      </c>
    </row>
    <row r="9" spans="1:12" ht="20.100000000000001" customHeight="1" x14ac:dyDescent="0.25">
      <c r="A9" s="13"/>
    </row>
    <row r="10" spans="1:12" ht="20.100000000000001" customHeight="1" x14ac:dyDescent="0.25">
      <c r="A10" s="15" t="s">
        <v>45</v>
      </c>
      <c r="D10" s="29" t="s">
        <v>13</v>
      </c>
      <c r="E10" s="1" t="str" cm="1">
        <f t="array" ref="E10">WasteSolid_Equations.VEERG_10_1_1_1__2_MassOfWasteFromVolume_Variable()</f>
        <v>Q_wt</v>
      </c>
    </row>
    <row r="11" spans="1:12" ht="20.100000000000001" customHeight="1" x14ac:dyDescent="0.25">
      <c r="A11" s="68" t="str">
        <f>HYPERLINK("#'10.1.1-2 Solid waste treatment'!A1", "10.1.1-2 Solid waste treatment")</f>
        <v>10.1.1-2 Solid waste treatment</v>
      </c>
      <c r="D11" s="29" t="s">
        <v>5</v>
      </c>
      <c r="E11" s="30" t="str" cm="1">
        <f t="array" ref="E11">WasteSolid_Equations.VEERG_10_1_1_1__2_MassOfWasteFromVolume_Unit()</f>
        <v>t</v>
      </c>
    </row>
    <row r="12" spans="1:12" ht="20.100000000000001" customHeight="1" x14ac:dyDescent="0.25">
      <c r="A12" s="13"/>
    </row>
    <row r="13" spans="1:12" ht="20.100000000000001" customHeight="1" x14ac:dyDescent="0.25">
      <c r="A13" s="14" t="s">
        <v>2</v>
      </c>
      <c r="D13" s="49" t="str" cm="1">
        <f t="array" ref="D13:E16">_xlfn.CHOOSECOLS(WasteSolid_Equations.VEERG_10_1_1_1__2_MassOfWasteFromVolume_Arguments(),1,2)</f>
        <v>V_wt</v>
      </c>
      <c r="E13" s="51" t="str">
        <v>volume of solid waste type w being sent to treatment facility t</v>
      </c>
      <c r="F13" s="50"/>
      <c r="G13" s="49" t="str" cm="1">
        <f t="array" ref="G13:H16">_xlfn.CHOOSECOLS(WasteSolid_Equations.VEERG_10_1_1_1__2_MassOfWasteFromVolume_Arguments(),3,4)</f>
        <v>m3</v>
      </c>
      <c r="H13" s="45" t="str">
        <v>Input</v>
      </c>
      <c r="I13" s="76" t="str" cm="1">
        <f t="array" aca="1" ref="I13" ca="1">HYPERLINK(Common_InputFunctions.Utility_SourceHyperlink($D$18),$D$18)</f>
        <v>Table_V_w_t_onsite</v>
      </c>
      <c r="J13" s="76" t="str" cm="1">
        <f t="array" aca="1" ref="J13" ca="1">HYPERLINK(Common_InputFunctions.Utility_SourceHyperlink($D$56),$D$56)</f>
        <v>Table_V_w_t_offsite</v>
      </c>
    </row>
    <row r="14" spans="1:12" ht="20.100000000000001" customHeight="1" x14ac:dyDescent="0.25">
      <c r="A14" s="13" t="str">
        <f>HYPERLINK("#'Constants - Solid waste'!A1", "Constants - Solid waste")</f>
        <v>Constants - Solid waste</v>
      </c>
      <c r="D14" s="49" t="str">
        <v>VTM_w</v>
      </c>
      <c r="E14" s="51" t="str">
        <v>conversion factor of volume to mass for waste type w</v>
      </c>
      <c r="F14" s="50"/>
      <c r="G14" s="49" t="str">
        <v>t/m3</v>
      </c>
      <c r="H14" s="44" t="str">
        <v>Constant</v>
      </c>
      <c r="I14" s="76" t="str" cm="1">
        <f t="array" aca="1" ref="I14" ca="1">HYPERLINK(Common_InputFunctions.Utility_SourceHyperlink($D$18),$D$18)</f>
        <v>Table_V_w_t_onsite</v>
      </c>
      <c r="J14" s="76" t="str" cm="1">
        <f t="array" aca="1" ref="J14" ca="1">HYPERLINK(Common_InputFunctions.Utility_SourceHyperlink($D$56),$D$56)</f>
        <v>Table_V_w_t_offsite</v>
      </c>
    </row>
    <row r="15" spans="1:12" ht="20.100000000000001" customHeight="1" x14ac:dyDescent="0.25">
      <c r="A15" s="13" t="str">
        <f>HYPERLINK("#'Constants - Common'!A1", "Constants - Common")</f>
        <v>Constants - Common</v>
      </c>
      <c r="D15" s="49" t="str">
        <v>w</v>
      </c>
      <c r="E15" s="51" t="str">
        <v>waste type</v>
      </c>
      <c r="F15" s="50"/>
      <c r="G15" s="49" t="str">
        <v/>
      </c>
      <c r="H15" s="45" t="str">
        <v>Input</v>
      </c>
      <c r="I15" s="76" t="str" cm="1">
        <f t="array" aca="1" ref="I15" ca="1">HYPERLINK(Common_InputFunctions.Utility_SourceHyperlink($D$18),$D$18)</f>
        <v>Table_V_w_t_onsite</v>
      </c>
      <c r="J15" s="76" t="str" cm="1">
        <f t="array" aca="1" ref="J15" ca="1">HYPERLINK(Common_InputFunctions.Utility_SourceHyperlink($D$56),$D$56)</f>
        <v>Table_V_w_t_offsite</v>
      </c>
    </row>
    <row r="16" spans="1:12" ht="20.100000000000001" customHeight="1" x14ac:dyDescent="0.25">
      <c r="D16" s="49" t="str">
        <v>t</v>
      </c>
      <c r="E16" s="51" t="str">
        <v>treatment facility</v>
      </c>
      <c r="F16" s="50"/>
      <c r="G16" s="49" t="str">
        <v/>
      </c>
      <c r="H16" s="45" t="str">
        <v>Input</v>
      </c>
      <c r="I16" s="76" t="str" cm="1">
        <f t="array" aca="1" ref="I16" ca="1">HYPERLINK(Common_InputFunctions.Utility_SourceHyperlink($D$18),$D$18)</f>
        <v>Table_V_w_t_onsite</v>
      </c>
      <c r="J16" s="76" t="str" cm="1">
        <f t="array" aca="1" ref="J16" ca="1">HYPERLINK(Common_InputFunctions.Utility_SourceHyperlink($D$56),$D$56)</f>
        <v>Table_V_w_t_offsite</v>
      </c>
    </row>
    <row r="17" spans="1:9" ht="20.100000000000001" customHeight="1" x14ac:dyDescent="0.25"/>
    <row r="18" spans="1:9" ht="20.100000000000001" customHeight="1" x14ac:dyDescent="0.25">
      <c r="D18" s="70" t="s">
        <v>117</v>
      </c>
    </row>
    <row r="19" spans="1:9" ht="20.100000000000001" customHeight="1" x14ac:dyDescent="0.25">
      <c r="D19" s="71" t="s">
        <v>120</v>
      </c>
    </row>
    <row r="20" spans="1:9" ht="20.100000000000001" customHeight="1" x14ac:dyDescent="0.25">
      <c r="A20" s="13"/>
      <c r="D20" s="67" t="s">
        <v>94</v>
      </c>
      <c r="E20" s="67" t="s">
        <v>95</v>
      </c>
      <c r="F20" s="67"/>
      <c r="G20" s="67" t="s">
        <v>96</v>
      </c>
      <c r="H20" s="72" t="s">
        <v>98</v>
      </c>
      <c r="I20" s="72" t="s">
        <v>97</v>
      </c>
    </row>
    <row r="21" spans="1:9" ht="20.100000000000001" customHeight="1" x14ac:dyDescent="0.25">
      <c r="A21" s="13"/>
      <c r="D21" s="49" t="str" cm="1">
        <f t="array" ref="D21:D54">Table_SourceData_WasteSolid_WasteTreatmentEFs[Treatment type t]</f>
        <v>Landfill</v>
      </c>
      <c r="E21" s="51" t="str" cm="1">
        <f t="array" ref="E21:E54">Table_SourceData_WasteSolid_WasteTreatmentEFs[Waste type w]</f>
        <v>Food waste (including animal carcasses, spoiled animal feed or crop)</v>
      </c>
      <c r="F21" s="73"/>
      <c r="G21" s="28"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8" cm="1">
        <f t="array" ref="H21">Common_InputFunctions.Utility_LookupValueInTableNumber(E21,Table_SourceData_WasteSolid_VolumeToMassConversion[Waste type w],Table_SourceData_WasteSolid_VolumeToMassConversion[VTMw])</f>
        <v>0.5</v>
      </c>
      <c r="I21" s="28" cm="1">
        <f t="array" ref="I21">WasteSolid_Equations.VEERG_10_1_1_1__2_MassOfWasteFromVolume(G21,H21)</f>
        <v>25</v>
      </c>
    </row>
    <row r="22" spans="1:9" ht="20.100000000000001" customHeight="1" x14ac:dyDescent="0.25">
      <c r="D22" s="49" t="str">
        <v>Landfill</v>
      </c>
      <c r="E22" s="51" t="str">
        <v>Paper and cardboard</v>
      </c>
      <c r="F22" s="73"/>
      <c r="G22" s="28"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8" cm="1">
        <f t="array" ref="H22">Common_InputFunctions.Utility_LookupValueInTableNumber(E22,Table_SourceData_WasteSolid_VolumeToMassConversion[Waste type w],Table_SourceData_WasteSolid_VolumeToMassConversion[VTMw])</f>
        <v>0.09</v>
      </c>
      <c r="I22" s="28" cm="1">
        <f t="array" ref="I22">WasteSolid_Equations.VEERG_10_1_1_1__2_MassOfWasteFromVolume(G22,H22)</f>
        <v>4.5</v>
      </c>
    </row>
    <row r="23" spans="1:9" ht="20.100000000000001" customHeight="1" x14ac:dyDescent="0.25">
      <c r="A23" s="13"/>
      <c r="D23" s="49" t="str">
        <v>Landfill</v>
      </c>
      <c r="E23" s="51" t="str">
        <v>Green waste (including crop residues or prunings)</v>
      </c>
      <c r="F23" s="73"/>
      <c r="G23" s="28"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8" cm="1">
        <f t="array" ref="H23">Common_InputFunctions.Utility_LookupValueInTableNumber(E23,Table_SourceData_WasteSolid_VolumeToMassConversion[Waste type w],Table_SourceData_WasteSolid_VolumeToMassConversion[VTMw])</f>
        <v>0.24</v>
      </c>
      <c r="I23" s="28" cm="1">
        <f t="array" ref="I23">WasteSolid_Equations.VEERG_10_1_1_1__2_MassOfWasteFromVolume(G23,H23)</f>
        <v>12</v>
      </c>
    </row>
    <row r="24" spans="1:9" ht="20.100000000000001" customHeight="1" x14ac:dyDescent="0.25">
      <c r="D24" s="49" t="str">
        <v>Landfill</v>
      </c>
      <c r="E24" s="51" t="str">
        <v>Wood</v>
      </c>
      <c r="F24" s="73"/>
      <c r="G24" s="28"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8" cm="1">
        <f t="array" ref="H24">Common_InputFunctions.Utility_LookupValueInTableNumber(E24,Table_SourceData_WasteSolid_VolumeToMassConversion[Waste type w],Table_SourceData_WasteSolid_VolumeToMassConversion[VTMw])</f>
        <v>0.15</v>
      </c>
      <c r="I24" s="28" cm="1">
        <f t="array" ref="I24">WasteSolid_Equations.VEERG_10_1_1_1__2_MassOfWasteFromVolume(G24,H24)</f>
        <v>0</v>
      </c>
    </row>
    <row r="25" spans="1:9" ht="20.100000000000001" customHeight="1" x14ac:dyDescent="0.25">
      <c r="D25" s="49" t="str">
        <v>Landfill</v>
      </c>
      <c r="E25" s="51" t="str">
        <v>Textiles</v>
      </c>
      <c r="F25" s="73"/>
      <c r="G25" s="28"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8" cm="1">
        <f t="array" ref="H25">Common_InputFunctions.Utility_LookupValueInTableNumber(E25,Table_SourceData_WasteSolid_VolumeToMassConversion[Waste type w],Table_SourceData_WasteSolid_VolumeToMassConversion[VTMw])</f>
        <v>0.14000000000000001</v>
      </c>
      <c r="I25" s="28" cm="1">
        <f t="array" ref="I25">WasteSolid_Equations.VEERG_10_1_1_1__2_MassOfWasteFromVolume(G25,H25)</f>
        <v>0</v>
      </c>
    </row>
    <row r="26" spans="1:9" ht="20.100000000000001" customHeight="1" x14ac:dyDescent="0.25">
      <c r="D26" s="49" t="str">
        <v>Landfill</v>
      </c>
      <c r="E26" s="51" t="str">
        <v>Sludge</v>
      </c>
      <c r="F26" s="73"/>
      <c r="G26" s="28"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8" cm="1">
        <f t="array" ref="H26">Common_InputFunctions.Utility_LookupValueInTableNumber(E26,Table_SourceData_WasteSolid_VolumeToMassConversion[Waste type w],Table_SourceData_WasteSolid_VolumeToMassConversion[VTMw])</f>
        <v>0.72</v>
      </c>
      <c r="I26" s="28" cm="1">
        <f t="array" ref="I26">WasteSolid_Equations.VEERG_10_1_1_1__2_MassOfWasteFromVolume(G26,H26)</f>
        <v>0</v>
      </c>
    </row>
    <row r="27" spans="1:9" ht="20.100000000000001" customHeight="1" x14ac:dyDescent="0.25">
      <c r="D27" s="49" t="str">
        <v>Landfill</v>
      </c>
      <c r="E27" s="51" t="str">
        <v>Rubber and leather</v>
      </c>
      <c r="F27" s="73"/>
      <c r="G27" s="28"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8" cm="1">
        <f t="array" ref="H27">Common_InputFunctions.Utility_LookupValueInTableNumber(E27,Table_SourceData_WasteSolid_VolumeToMassConversion[Waste type w],Table_SourceData_WasteSolid_VolumeToMassConversion[VTMw])</f>
        <v>0.14000000000000001</v>
      </c>
      <c r="I27" s="28" cm="1">
        <f t="array" ref="I27">WasteSolid_Equations.VEERG_10_1_1_1__2_MassOfWasteFromVolume(G27,H27)</f>
        <v>0</v>
      </c>
    </row>
    <row r="28" spans="1:9" ht="20.100000000000001" customHeight="1" x14ac:dyDescent="0.25">
      <c r="D28" s="49" t="str">
        <v>Landfill</v>
      </c>
      <c r="E28" s="51" t="str">
        <v>Inert waste (including concrete, metal, plastic or glass)</v>
      </c>
      <c r="F28" s="73"/>
      <c r="G28" s="28"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8" cm="1">
        <f t="array" ref="H28">Common_InputFunctions.Utility_LookupValueInTableNumber(E28,Table_SourceData_WasteSolid_VolumeToMassConversion[Waste type w],Table_SourceData_WasteSolid_VolumeToMassConversion[VTMw])</f>
        <v>0.42</v>
      </c>
      <c r="I28" s="28" cm="1">
        <f t="array" ref="I28">WasteSolid_Equations.VEERG_10_1_1_1__2_MassOfWasteFromVolume(G28,H28)</f>
        <v>0</v>
      </c>
    </row>
    <row r="29" spans="1:9" ht="20.100000000000001" customHeight="1" x14ac:dyDescent="0.25">
      <c r="D29" s="49" t="str">
        <v>Landfill</v>
      </c>
      <c r="E29" s="51" t="str">
        <v>Municipal solid waste</v>
      </c>
      <c r="F29" s="73"/>
      <c r="G29" s="28"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8" cm="1">
        <f t="array" ref="H29">Common_InputFunctions.Utility_LookupValueInTableNumber(E29,Table_SourceData_WasteSolid_VolumeToMassConversion[Waste type w],Table_SourceData_WasteSolid_VolumeToMassConversion[VTMw])</f>
        <v>0.36</v>
      </c>
      <c r="I29" s="28" cm="1">
        <f t="array" ref="I29">WasteSolid_Equations.VEERG_10_1_1_1__2_MassOfWasteFromVolume(G29,H29)</f>
        <v>0</v>
      </c>
    </row>
    <row r="30" spans="1:9" ht="20.100000000000001" customHeight="1" x14ac:dyDescent="0.25">
      <c r="D30" s="49" t="str">
        <v>Landfill</v>
      </c>
      <c r="E30" s="51" t="str">
        <v>Commercial and industrial waste</v>
      </c>
      <c r="F30" s="73"/>
      <c r="G30" s="28"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8" cm="1">
        <f t="array" ref="H30">Common_InputFunctions.Utility_LookupValueInTableNumber(E30,Table_SourceData_WasteSolid_VolumeToMassConversion[Waste type w],Table_SourceData_WasteSolid_VolumeToMassConversion[VTMw])</f>
        <v>0.33</v>
      </c>
      <c r="I30" s="28" cm="1">
        <f t="array" ref="I30">WasteSolid_Equations.VEERG_10_1_1_1__2_MassOfWasteFromVolume(G30,H30)</f>
        <v>0</v>
      </c>
    </row>
    <row r="31" spans="1:9" ht="20.100000000000001" customHeight="1" x14ac:dyDescent="0.25">
      <c r="D31" s="49" t="str">
        <v>Landfill</v>
      </c>
      <c r="E31" s="51" t="str">
        <v>Construction and demolition waste</v>
      </c>
      <c r="F31" s="73"/>
      <c r="G31" s="28"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8" cm="1">
        <f t="array" ref="H31">Common_InputFunctions.Utility_LookupValueInTableNumber(E31,Table_SourceData_WasteSolid_VolumeToMassConversion[Waste type w],Table_SourceData_WasteSolid_VolumeToMassConversion[VTMw])</f>
        <v>0.39</v>
      </c>
      <c r="I31" s="28" cm="1">
        <f t="array" ref="I31">WasteSolid_Equations.VEERG_10_1_1_1__2_MassOfWasteFromVolume(G31,H31)</f>
        <v>0</v>
      </c>
    </row>
    <row r="32" spans="1:9" ht="20.100000000000001" customHeight="1" x14ac:dyDescent="0.25">
      <c r="D32" s="49" t="str">
        <v>Incineration</v>
      </c>
      <c r="E32" s="51" t="str">
        <v>Food waste, green waste, wood, sludge</v>
      </c>
      <c r="F32" s="73"/>
      <c r="G32" s="28" t="s">
        <v>150</v>
      </c>
      <c r="H32" s="28" t="s">
        <v>150</v>
      </c>
      <c r="I32" s="28" t="s">
        <v>150</v>
      </c>
    </row>
    <row r="33" spans="4:9" ht="20.100000000000001" customHeight="1" x14ac:dyDescent="0.25">
      <c r="D33" s="49" t="str">
        <v>Incineration</v>
      </c>
      <c r="E33" s="51" t="str">
        <v>Food waste (including animal carcasses, spoiled animal feed or crop)</v>
      </c>
      <c r="F33" s="73"/>
      <c r="G33" s="28"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8" cm="1">
        <f t="array" ref="H33">Common_InputFunctions.Utility_LookupValueInTableNumber(E33,Table_SourceData_WasteSolid_VolumeToMassConversion[Waste type w],Table_SourceData_WasteSolid_VolumeToMassConversion[VTMw])</f>
        <v>0.5</v>
      </c>
      <c r="I33" s="28" cm="1">
        <f t="array" ref="I33">WasteSolid_Equations.VEERG_10_1_1_1__2_MassOfWasteFromVolume(G33,H33)</f>
        <v>0</v>
      </c>
    </row>
    <row r="34" spans="4:9" ht="20.100000000000001" customHeight="1" x14ac:dyDescent="0.25">
      <c r="D34" s="49" t="str">
        <v>Incineration</v>
      </c>
      <c r="E34" s="51" t="str">
        <v>Green waste (including crop residues or prunings)</v>
      </c>
      <c r="F34" s="73"/>
      <c r="G34" s="28"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8" cm="1">
        <f t="array" ref="H34">Common_InputFunctions.Utility_LookupValueInTableNumber(E34,Table_SourceData_WasteSolid_VolumeToMassConversion[Waste type w],Table_SourceData_WasteSolid_VolumeToMassConversion[VTMw])</f>
        <v>0.24</v>
      </c>
      <c r="I34" s="28" cm="1">
        <f t="array" ref="I34">WasteSolid_Equations.VEERG_10_1_1_1__2_MassOfWasteFromVolume(G34,H34)</f>
        <v>24</v>
      </c>
    </row>
    <row r="35" spans="4:9" ht="20.100000000000001" customHeight="1" x14ac:dyDescent="0.25">
      <c r="D35" s="49" t="str">
        <v>Incineration</v>
      </c>
      <c r="E35" s="51" t="str">
        <v>Wood</v>
      </c>
      <c r="F35" s="73"/>
      <c r="G35" s="28"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8" cm="1">
        <f t="array" ref="H35">Common_InputFunctions.Utility_LookupValueInTableNumber(E35,Table_SourceData_WasteSolid_VolumeToMassConversion[Waste type w],Table_SourceData_WasteSolid_VolumeToMassConversion[VTMw])</f>
        <v>0.15</v>
      </c>
      <c r="I35" s="28" cm="1">
        <f t="array" ref="I35">WasteSolid_Equations.VEERG_10_1_1_1__2_MassOfWasteFromVolume(G35,H35)</f>
        <v>0</v>
      </c>
    </row>
    <row r="36" spans="4:9" ht="20.100000000000001" customHeight="1" x14ac:dyDescent="0.25">
      <c r="D36" s="49" t="str">
        <v>Incineration</v>
      </c>
      <c r="E36" s="51" t="str">
        <v>Sludge</v>
      </c>
      <c r="F36" s="73"/>
      <c r="G36" s="28"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8" cm="1">
        <f t="array" ref="H36">Common_InputFunctions.Utility_LookupValueInTableNumber(E36,Table_SourceData_WasteSolid_VolumeToMassConversion[Waste type w],Table_SourceData_WasteSolid_VolumeToMassConversion[VTMw])</f>
        <v>0.72</v>
      </c>
      <c r="I36" s="28" cm="1">
        <f t="array" ref="I36">WasteSolid_Equations.VEERG_10_1_1_1__2_MassOfWasteFromVolume(G36,H36)</f>
        <v>0</v>
      </c>
    </row>
    <row r="37" spans="4:9" ht="20.100000000000001" customHeight="1" x14ac:dyDescent="0.25">
      <c r="D37" s="49" t="str">
        <v>Incineration</v>
      </c>
      <c r="E37" s="51" t="str">
        <v>Paper and cardboard</v>
      </c>
      <c r="F37" s="73"/>
      <c r="G37" s="28"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8" cm="1">
        <f t="array" ref="H37">Common_InputFunctions.Utility_LookupValueInTableNumber(E37,Table_SourceData_WasteSolid_VolumeToMassConversion[Waste type w],Table_SourceData_WasteSolid_VolumeToMassConversion[VTMw])</f>
        <v>0.09</v>
      </c>
      <c r="I37" s="28" cm="1">
        <f t="array" ref="I37">WasteSolid_Equations.VEERG_10_1_1_1__2_MassOfWasteFromVolume(G37,H37)</f>
        <v>4.5</v>
      </c>
    </row>
    <row r="38" spans="4:9" ht="20.100000000000001" customHeight="1" x14ac:dyDescent="0.25">
      <c r="D38" s="49" t="str">
        <v>Incineration</v>
      </c>
      <c r="E38" s="51" t="str">
        <v>Textiles</v>
      </c>
      <c r="F38" s="73"/>
      <c r="G38" s="28"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8" cm="1">
        <f t="array" ref="H38">Common_InputFunctions.Utility_LookupValueInTableNumber(E38,Table_SourceData_WasteSolid_VolumeToMassConversion[Waste type w],Table_SourceData_WasteSolid_VolumeToMassConversion[VTMw])</f>
        <v>0.14000000000000001</v>
      </c>
      <c r="I38" s="28" cm="1">
        <f t="array" ref="I38">WasteSolid_Equations.VEERG_10_1_1_1__2_MassOfWasteFromVolume(G38,H38)</f>
        <v>0</v>
      </c>
    </row>
    <row r="39" spans="4:9" ht="20.100000000000001" customHeight="1" x14ac:dyDescent="0.25">
      <c r="D39" s="49" t="str">
        <v>Incineration</v>
      </c>
      <c r="E39" s="51" t="str">
        <v>Rubber and leather</v>
      </c>
      <c r="F39" s="73"/>
      <c r="G39" s="28"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8" cm="1">
        <f t="array" ref="H39">Common_InputFunctions.Utility_LookupValueInTableNumber(E39,Table_SourceData_WasteSolid_VolumeToMassConversion[Waste type w],Table_SourceData_WasteSolid_VolumeToMassConversion[VTMw])</f>
        <v>0.14000000000000001</v>
      </c>
      <c r="I39" s="28" cm="1">
        <f t="array" ref="I39">WasteSolid_Equations.VEERG_10_1_1_1__2_MassOfWasteFromVolume(G39,H39)</f>
        <v>0</v>
      </c>
    </row>
    <row r="40" spans="4:9" ht="20.100000000000001" customHeight="1" x14ac:dyDescent="0.25">
      <c r="D40" s="49" t="str">
        <v>Incineration</v>
      </c>
      <c r="E40" s="49" t="str">
        <v>Inert waste (including concrete, metal, plastic or glass)</v>
      </c>
      <c r="F40" s="49"/>
      <c r="G40" s="28"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8" cm="1">
        <f t="array" ref="H40">Common_InputFunctions.Utility_LookupValueInTableNumber(E40,Table_SourceData_WasteSolid_VolumeToMassConversion[Waste type w],Table_SourceData_WasteSolid_VolumeToMassConversion[VTMw])</f>
        <v>0.42</v>
      </c>
      <c r="I40" s="28" cm="1">
        <f t="array" ref="I40">WasteSolid_Equations.VEERG_10_1_1_1__2_MassOfWasteFromVolume(G40,H40)</f>
        <v>0</v>
      </c>
    </row>
    <row r="41" spans="4:9" ht="20.100000000000001" customHeight="1" x14ac:dyDescent="0.25">
      <c r="D41" s="49" t="str">
        <v>Incineration</v>
      </c>
      <c r="E41" s="51" t="str">
        <v>Municipal solid waste</v>
      </c>
      <c r="F41" s="50"/>
      <c r="G41" s="28"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8" cm="1">
        <f t="array" ref="H41">Common_InputFunctions.Utility_LookupValueInTableNumber(E41,Table_SourceData_WasteSolid_VolumeToMassConversion[Waste type w],Table_SourceData_WasteSolid_VolumeToMassConversion[VTMw])</f>
        <v>0.36</v>
      </c>
      <c r="I41" s="28" cm="1">
        <f t="array" ref="I41">WasteSolid_Equations.VEERG_10_1_1_1__2_MassOfWasteFromVolume(G41,H41)</f>
        <v>0</v>
      </c>
    </row>
    <row r="42" spans="4:9" ht="20.100000000000001" customHeight="1" x14ac:dyDescent="0.25">
      <c r="D42" s="49" t="str">
        <v>Incineration</v>
      </c>
      <c r="E42" s="51" t="str">
        <v>Commercial and industrial waste</v>
      </c>
      <c r="F42" s="50"/>
      <c r="G42" s="28"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8" cm="1">
        <f t="array" ref="H42">Common_InputFunctions.Utility_LookupValueInTableNumber(E42,Table_SourceData_WasteSolid_VolumeToMassConversion[Waste type w],Table_SourceData_WasteSolid_VolumeToMassConversion[VTMw])</f>
        <v>0.33</v>
      </c>
      <c r="I42" s="28" cm="1">
        <f t="array" ref="I42">WasteSolid_Equations.VEERG_10_1_1_1__2_MassOfWasteFromVolume(G42,H42)</f>
        <v>0</v>
      </c>
    </row>
    <row r="43" spans="4:9" ht="20.100000000000001" customHeight="1" x14ac:dyDescent="0.25">
      <c r="D43" s="49" t="str">
        <v>Composting</v>
      </c>
      <c r="E43" s="51" t="str">
        <v>All organic waste</v>
      </c>
      <c r="F43" s="50"/>
      <c r="G43" s="28" t="s">
        <v>150</v>
      </c>
      <c r="H43" s="28" t="s">
        <v>150</v>
      </c>
      <c r="I43" s="28" t="s">
        <v>150</v>
      </c>
    </row>
    <row r="44" spans="4:9" ht="20.100000000000001" customHeight="1" x14ac:dyDescent="0.25">
      <c r="D44" s="49" t="str">
        <v>Composting</v>
      </c>
      <c r="E44" s="51" t="str">
        <v>Food waste (including animal carcasses, spoiled animal feed or crop)</v>
      </c>
      <c r="F44" s="50"/>
      <c r="G44" s="28"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8" cm="1">
        <f t="array" ref="H44">Common_InputFunctions.Utility_LookupValueInTableNumber(E44,Table_SourceData_WasteSolid_VolumeToMassConversion[Waste type w],Table_SourceData_WasteSolid_VolumeToMassConversion[VTMw])</f>
        <v>0.5</v>
      </c>
      <c r="I44" s="28" cm="1">
        <f t="array" ref="I44">WasteSolid_Equations.VEERG_10_1_1_1__2_MassOfWasteFromVolume(G44,H44)</f>
        <v>25</v>
      </c>
    </row>
    <row r="45" spans="4:9" ht="20.100000000000001" customHeight="1" x14ac:dyDescent="0.25">
      <c r="D45" s="49" t="str">
        <v>Composting</v>
      </c>
      <c r="E45" s="51" t="str">
        <v>Green waste (including crop residues or prunings)</v>
      </c>
      <c r="F45" s="50"/>
      <c r="G45" s="28"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8" cm="1">
        <f t="array" ref="H45">Common_InputFunctions.Utility_LookupValueInTableNumber(E45,Table_SourceData_WasteSolid_VolumeToMassConversion[Waste type w],Table_SourceData_WasteSolid_VolumeToMassConversion[VTMw])</f>
        <v>0.24</v>
      </c>
      <c r="I45" s="28" cm="1">
        <f t="array" ref="I45">WasteSolid_Equations.VEERG_10_1_1_1__2_MassOfWasteFromVolume(G45,H45)</f>
        <v>0</v>
      </c>
    </row>
    <row r="46" spans="4:9" ht="20.100000000000001" customHeight="1" x14ac:dyDescent="0.25">
      <c r="D46" s="49" t="str">
        <v>Composting</v>
      </c>
      <c r="E46" s="51" t="str">
        <v>Wood</v>
      </c>
      <c r="F46" s="50"/>
      <c r="G46" s="28"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8" cm="1">
        <f t="array" ref="H46">Common_InputFunctions.Utility_LookupValueInTableNumber(E46,Table_SourceData_WasteSolid_VolumeToMassConversion[Waste type w],Table_SourceData_WasteSolid_VolumeToMassConversion[VTMw])</f>
        <v>0.15</v>
      </c>
      <c r="I46" s="28" cm="1">
        <f t="array" ref="I46">WasteSolid_Equations.VEERG_10_1_1_1__2_MassOfWasteFromVolume(G46,H46)</f>
        <v>0</v>
      </c>
    </row>
    <row r="47" spans="4:9" ht="20.100000000000001" customHeight="1" x14ac:dyDescent="0.25">
      <c r="D47" s="49" t="str">
        <v>Composting</v>
      </c>
      <c r="E47" s="51" t="str">
        <v>Sludge</v>
      </c>
      <c r="F47" s="50"/>
      <c r="G47" s="28"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8" cm="1">
        <f t="array" ref="H47">Common_InputFunctions.Utility_LookupValueInTableNumber(E47,Table_SourceData_WasteSolid_VolumeToMassConversion[Waste type w],Table_SourceData_WasteSolid_VolumeToMassConversion[VTMw])</f>
        <v>0.72</v>
      </c>
      <c r="I47" s="28" cm="1">
        <f t="array" ref="I47">WasteSolid_Equations.VEERG_10_1_1_1__2_MassOfWasteFromVolume(G47,H47)</f>
        <v>0</v>
      </c>
    </row>
    <row r="48" spans="4:9" ht="20.100000000000001" customHeight="1" x14ac:dyDescent="0.25">
      <c r="D48" s="49" t="str">
        <v>Composting</v>
      </c>
      <c r="E48" s="51" t="str">
        <v>Paper and cardboard</v>
      </c>
      <c r="F48" s="50"/>
      <c r="G48" s="28"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8" cm="1">
        <f t="array" ref="H48">Common_InputFunctions.Utility_LookupValueInTableNumber(E48,Table_SourceData_WasteSolid_VolumeToMassConversion[Waste type w],Table_SourceData_WasteSolid_VolumeToMassConversion[VTMw])</f>
        <v>0.09</v>
      </c>
      <c r="I48" s="28" cm="1">
        <f t="array" ref="I48">WasteSolid_Equations.VEERG_10_1_1_1__2_MassOfWasteFromVolume(G48,H48)</f>
        <v>4.5</v>
      </c>
    </row>
    <row r="49" spans="4:9" ht="20.100000000000001" customHeight="1" x14ac:dyDescent="0.25">
      <c r="D49" s="49" t="str">
        <v>Anaerobic digestion</v>
      </c>
      <c r="E49" s="51" t="str">
        <v>All organic waste</v>
      </c>
      <c r="F49" s="50"/>
      <c r="G49" s="28" t="s">
        <v>150</v>
      </c>
      <c r="H49" s="28" t="s">
        <v>150</v>
      </c>
      <c r="I49" s="28" t="s">
        <v>150</v>
      </c>
    </row>
    <row r="50" spans="4:9" ht="20.100000000000001" customHeight="1" x14ac:dyDescent="0.25">
      <c r="D50" s="49" t="str">
        <v>Anaerobic digestion</v>
      </c>
      <c r="E50" s="51" t="str">
        <v>Food waste (including animal carcasses, spoiled animal feed or crop)</v>
      </c>
      <c r="F50" s="50"/>
      <c r="G50" s="28"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8" cm="1">
        <f t="array" ref="H50">Common_InputFunctions.Utility_LookupValueInTableNumber(E50,Table_SourceData_WasteSolid_VolumeToMassConversion[Waste type w],Table_SourceData_WasteSolid_VolumeToMassConversion[VTMw])</f>
        <v>0.5</v>
      </c>
      <c r="I50" s="28" cm="1">
        <f t="array" ref="I50">WasteSolid_Equations.VEERG_10_1_1_1__2_MassOfWasteFromVolume(G50,H50)</f>
        <v>0</v>
      </c>
    </row>
    <row r="51" spans="4:9" ht="20.100000000000001" customHeight="1" x14ac:dyDescent="0.25">
      <c r="D51" s="49" t="str">
        <v>Anaerobic digestion</v>
      </c>
      <c r="E51" s="51" t="str">
        <v>Green waste (including crop residues or prunings)</v>
      </c>
      <c r="F51" s="50"/>
      <c r="G51" s="28"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8" cm="1">
        <f t="array" ref="H51">Common_InputFunctions.Utility_LookupValueInTableNumber(E51,Table_SourceData_WasteSolid_VolumeToMassConversion[Waste type w],Table_SourceData_WasteSolid_VolumeToMassConversion[VTMw])</f>
        <v>0.24</v>
      </c>
      <c r="I51" s="28" cm="1">
        <f t="array" ref="I51">WasteSolid_Equations.VEERG_10_1_1_1__2_MassOfWasteFromVolume(G51,H51)</f>
        <v>0</v>
      </c>
    </row>
    <row r="52" spans="4:9" ht="20.100000000000001" customHeight="1" x14ac:dyDescent="0.25">
      <c r="D52" s="49" t="str">
        <v>Anaerobic digestion</v>
      </c>
      <c r="E52" s="51" t="str">
        <v>Wood</v>
      </c>
      <c r="F52" s="50"/>
      <c r="G52" s="28"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8" cm="1">
        <f t="array" ref="H52">Common_InputFunctions.Utility_LookupValueInTableNumber(E52,Table_SourceData_WasteSolid_VolumeToMassConversion[Waste type w],Table_SourceData_WasteSolid_VolumeToMassConversion[VTMw])</f>
        <v>0.15</v>
      </c>
      <c r="I52" s="28" cm="1">
        <f t="array" ref="I52">WasteSolid_Equations.VEERG_10_1_1_1__2_MassOfWasteFromVolume(G52,H52)</f>
        <v>0</v>
      </c>
    </row>
    <row r="53" spans="4:9" ht="20.100000000000001" customHeight="1" x14ac:dyDescent="0.25">
      <c r="D53" s="49" t="str">
        <v>Anaerobic digestion</v>
      </c>
      <c r="E53" s="51" t="str">
        <v>Sludge</v>
      </c>
      <c r="F53" s="50"/>
      <c r="G53" s="28"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8" cm="1">
        <f t="array" ref="H53">Common_InputFunctions.Utility_LookupValueInTableNumber(E53,Table_SourceData_WasteSolid_VolumeToMassConversion[Waste type w],Table_SourceData_WasteSolid_VolumeToMassConversion[VTMw])</f>
        <v>0.72</v>
      </c>
      <c r="I53" s="28" cm="1">
        <f t="array" ref="I53">WasteSolid_Equations.VEERG_10_1_1_1__2_MassOfWasteFromVolume(G53,H53)</f>
        <v>0</v>
      </c>
    </row>
    <row r="54" spans="4:9" ht="20.100000000000001" customHeight="1" x14ac:dyDescent="0.25">
      <c r="D54" s="49" t="str">
        <v>Anaerobic digestion</v>
      </c>
      <c r="E54" s="51" t="str">
        <v>Paper and cardboard</v>
      </c>
      <c r="F54" s="50"/>
      <c r="G54" s="28"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8" cm="1">
        <f t="array" ref="H54">Common_InputFunctions.Utility_LookupValueInTableNumber(E54,Table_SourceData_WasteSolid_VolumeToMassConversion[Waste type w],Table_SourceData_WasteSolid_VolumeToMassConversion[VTMw])</f>
        <v>0.09</v>
      </c>
      <c r="I54" s="28" cm="1">
        <f t="array" ref="I54">WasteSolid_Equations.VEERG_10_1_1_1__2_MassOfWasteFromVolume(G54,H54)</f>
        <v>0</v>
      </c>
    </row>
    <row r="55" spans="4:9" ht="20.100000000000001" customHeight="1" x14ac:dyDescent="0.25"/>
    <row r="56" spans="4:9" ht="20.100000000000001" customHeight="1" x14ac:dyDescent="0.25">
      <c r="D56" s="70" t="s">
        <v>118</v>
      </c>
    </row>
    <row r="57" spans="4:9" ht="20.100000000000001" customHeight="1" x14ac:dyDescent="0.25">
      <c r="D57" s="71" t="s">
        <v>121</v>
      </c>
    </row>
    <row r="58" spans="4:9" ht="20.100000000000001" customHeight="1" x14ac:dyDescent="0.25">
      <c r="D58" s="67" t="s">
        <v>94</v>
      </c>
      <c r="E58" s="67" t="s">
        <v>95</v>
      </c>
      <c r="F58" s="67"/>
      <c r="G58" s="67" t="s">
        <v>96</v>
      </c>
      <c r="H58" s="72" t="s">
        <v>98</v>
      </c>
      <c r="I58" s="72" t="s">
        <v>97</v>
      </c>
    </row>
    <row r="59" spans="4:9" ht="20.100000000000001" customHeight="1" x14ac:dyDescent="0.25">
      <c r="D59" s="49" t="str" cm="1">
        <f t="array" ref="D59:D92">Table_SourceData_WasteSolid_WasteTreatmentEFs[Treatment type t]</f>
        <v>Landfill</v>
      </c>
      <c r="E59" s="51" t="str" cm="1">
        <f t="array" ref="E59:E92">Table_SourceData_WasteSolid_WasteTreatmentEFs[Waste type w]</f>
        <v>Food waste (including animal carcasses, spoiled animal feed or crop)</v>
      </c>
      <c r="F59" s="73"/>
      <c r="G59" s="28"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8" cm="1">
        <f t="array" ref="H59">Common_InputFunctions.Utility_LookupValueInTableNumber(E59,Table_SourceData_WasteSolid_VolumeToMassConversion[Waste type w],Table_SourceData_WasteSolid_VolumeToMassConversion[VTMw])</f>
        <v>0.5</v>
      </c>
      <c r="I59" s="28" cm="1">
        <f t="array" ref="I59">WasteSolid_Equations.VEERG_10_1_1_1__2_MassOfWasteFromVolume(G59,H59)</f>
        <v>25</v>
      </c>
    </row>
    <row r="60" spans="4:9" ht="20.100000000000001" customHeight="1" x14ac:dyDescent="0.25">
      <c r="D60" s="49" t="str">
        <v>Landfill</v>
      </c>
      <c r="E60" s="51" t="str">
        <v>Paper and cardboard</v>
      </c>
      <c r="F60" s="73"/>
      <c r="G60" s="28"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8" cm="1">
        <f t="array" ref="H60">Common_InputFunctions.Utility_LookupValueInTableNumber(E60,Table_SourceData_WasteSolid_VolumeToMassConversion[Waste type w],Table_SourceData_WasteSolid_VolumeToMassConversion[VTMw])</f>
        <v>0.09</v>
      </c>
      <c r="I60" s="28" cm="1">
        <f t="array" ref="I60">WasteSolid_Equations.VEERG_10_1_1_1__2_MassOfWasteFromVolume(G60,H60)</f>
        <v>4.5</v>
      </c>
    </row>
    <row r="61" spans="4:9" ht="20.100000000000001" customHeight="1" x14ac:dyDescent="0.25">
      <c r="D61" s="49" t="str">
        <v>Landfill</v>
      </c>
      <c r="E61" s="51" t="str">
        <v>Green waste (including crop residues or prunings)</v>
      </c>
      <c r="F61" s="73"/>
      <c r="G61" s="28"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8" cm="1">
        <f t="array" ref="H61">Common_InputFunctions.Utility_LookupValueInTableNumber(E61,Table_SourceData_WasteSolid_VolumeToMassConversion[Waste type w],Table_SourceData_WasteSolid_VolumeToMassConversion[VTMw])</f>
        <v>0.24</v>
      </c>
      <c r="I61" s="28" cm="1">
        <f t="array" ref="I61">WasteSolid_Equations.VEERG_10_1_1_1__2_MassOfWasteFromVolume(G61,H61)</f>
        <v>12</v>
      </c>
    </row>
    <row r="62" spans="4:9" ht="20.100000000000001" customHeight="1" x14ac:dyDescent="0.25">
      <c r="D62" s="49" t="str">
        <v>Landfill</v>
      </c>
      <c r="E62" s="51" t="str">
        <v>Wood</v>
      </c>
      <c r="F62" s="73"/>
      <c r="G62" s="28"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8" cm="1">
        <f t="array" ref="H62">Common_InputFunctions.Utility_LookupValueInTableNumber(E62,Table_SourceData_WasteSolid_VolumeToMassConversion[Waste type w],Table_SourceData_WasteSolid_VolumeToMassConversion[VTMw])</f>
        <v>0.15</v>
      </c>
      <c r="I62" s="28" cm="1">
        <f t="array" ref="I62">WasteSolid_Equations.VEERG_10_1_1_1__2_MassOfWasteFromVolume(G62,H62)</f>
        <v>0</v>
      </c>
    </row>
    <row r="63" spans="4:9" ht="20.100000000000001" customHeight="1" x14ac:dyDescent="0.25">
      <c r="D63" s="49" t="str">
        <v>Landfill</v>
      </c>
      <c r="E63" s="51" t="str">
        <v>Textiles</v>
      </c>
      <c r="F63" s="73"/>
      <c r="G63" s="28"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8" cm="1">
        <f t="array" ref="H63">Common_InputFunctions.Utility_LookupValueInTableNumber(E63,Table_SourceData_WasteSolid_VolumeToMassConversion[Waste type w],Table_SourceData_WasteSolid_VolumeToMassConversion[VTMw])</f>
        <v>0.14000000000000001</v>
      </c>
      <c r="I63" s="28" cm="1">
        <f t="array" ref="I63">WasteSolid_Equations.VEERG_10_1_1_1__2_MassOfWasteFromVolume(G63,H63)</f>
        <v>0</v>
      </c>
    </row>
    <row r="64" spans="4:9" ht="20.100000000000001" customHeight="1" x14ac:dyDescent="0.25">
      <c r="D64" s="49" t="str">
        <v>Landfill</v>
      </c>
      <c r="E64" s="51" t="str">
        <v>Sludge</v>
      </c>
      <c r="F64" s="73"/>
      <c r="G64" s="28"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8" cm="1">
        <f t="array" ref="H64">Common_InputFunctions.Utility_LookupValueInTableNumber(E64,Table_SourceData_WasteSolid_VolumeToMassConversion[Waste type w],Table_SourceData_WasteSolid_VolumeToMassConversion[VTMw])</f>
        <v>0.72</v>
      </c>
      <c r="I64" s="28" cm="1">
        <f t="array" ref="I64">WasteSolid_Equations.VEERG_10_1_1_1__2_MassOfWasteFromVolume(G64,H64)</f>
        <v>0</v>
      </c>
    </row>
    <row r="65" spans="1:9" ht="20.100000000000001" customHeight="1" x14ac:dyDescent="0.25">
      <c r="D65" s="49" t="str">
        <v>Landfill</v>
      </c>
      <c r="E65" s="51" t="str">
        <v>Rubber and leather</v>
      </c>
      <c r="F65" s="73"/>
      <c r="G65" s="28"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8" cm="1">
        <f t="array" ref="H65">Common_InputFunctions.Utility_LookupValueInTableNumber(E65,Table_SourceData_WasteSolid_VolumeToMassConversion[Waste type w],Table_SourceData_WasteSolid_VolumeToMassConversion[VTMw])</f>
        <v>0.14000000000000001</v>
      </c>
      <c r="I65" s="28" cm="1">
        <f t="array" ref="I65">WasteSolid_Equations.VEERG_10_1_1_1__2_MassOfWasteFromVolume(G65,H65)</f>
        <v>0</v>
      </c>
    </row>
    <row r="66" spans="1:9" ht="20.100000000000001" customHeight="1" x14ac:dyDescent="0.25">
      <c r="A66" s="52" t="str">
        <f>HYPERLINK("#A1", "▲ Back to top")</f>
        <v>▲ Back to top</v>
      </c>
      <c r="D66" s="49" t="str">
        <v>Landfill</v>
      </c>
      <c r="E66" s="51" t="str">
        <v>Inert waste (including concrete, metal, plastic or glass)</v>
      </c>
      <c r="F66" s="73"/>
      <c r="G66" s="28"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8" cm="1">
        <f t="array" ref="H66">Common_InputFunctions.Utility_LookupValueInTableNumber(E66,Table_SourceData_WasteSolid_VolumeToMassConversion[Waste type w],Table_SourceData_WasteSolid_VolumeToMassConversion[VTMw])</f>
        <v>0.42</v>
      </c>
      <c r="I66" s="28" cm="1">
        <f t="array" ref="I66">WasteSolid_Equations.VEERG_10_1_1_1__2_MassOfWasteFromVolume(G66,H66)</f>
        <v>0</v>
      </c>
    </row>
    <row r="67" spans="1:9" ht="20.100000000000001" customHeight="1" x14ac:dyDescent="0.25">
      <c r="D67" s="49" t="str">
        <v>Landfill</v>
      </c>
      <c r="E67" s="51" t="str">
        <v>Municipal solid waste</v>
      </c>
      <c r="F67" s="73"/>
      <c r="G67" s="28"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8" cm="1">
        <f t="array" ref="H67">Common_InputFunctions.Utility_LookupValueInTableNumber(E67,Table_SourceData_WasteSolid_VolumeToMassConversion[Waste type w],Table_SourceData_WasteSolid_VolumeToMassConversion[VTMw])</f>
        <v>0.36</v>
      </c>
      <c r="I67" s="28" cm="1">
        <f t="array" ref="I67">WasteSolid_Equations.VEERG_10_1_1_1__2_MassOfWasteFromVolume(G67,H67)</f>
        <v>0</v>
      </c>
    </row>
    <row r="68" spans="1:9" ht="20.100000000000001" customHeight="1" x14ac:dyDescent="0.25">
      <c r="D68" s="49" t="str">
        <v>Landfill</v>
      </c>
      <c r="E68" s="51" t="str">
        <v>Commercial and industrial waste</v>
      </c>
      <c r="F68" s="73"/>
      <c r="G68" s="28"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8" cm="1">
        <f t="array" ref="H68">Common_InputFunctions.Utility_LookupValueInTableNumber(E68,Table_SourceData_WasteSolid_VolumeToMassConversion[Waste type w],Table_SourceData_WasteSolid_VolumeToMassConversion[VTMw])</f>
        <v>0.33</v>
      </c>
      <c r="I68" s="28" cm="1">
        <f t="array" ref="I68">WasteSolid_Equations.VEERG_10_1_1_1__2_MassOfWasteFromVolume(G68,H68)</f>
        <v>0</v>
      </c>
    </row>
    <row r="69" spans="1:9" ht="20.100000000000001" customHeight="1" x14ac:dyDescent="0.25">
      <c r="D69" s="49" t="str">
        <v>Landfill</v>
      </c>
      <c r="E69" s="51" t="str">
        <v>Construction and demolition waste</v>
      </c>
      <c r="F69" s="73"/>
      <c r="G69" s="28"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8" cm="1">
        <f t="array" ref="H69">Common_InputFunctions.Utility_LookupValueInTableNumber(E69,Table_SourceData_WasteSolid_VolumeToMassConversion[Waste type w],Table_SourceData_WasteSolid_VolumeToMassConversion[VTMw])</f>
        <v>0.39</v>
      </c>
      <c r="I69" s="28" cm="1">
        <f t="array" ref="I69">WasteSolid_Equations.VEERG_10_1_1_1__2_MassOfWasteFromVolume(G69,H69)</f>
        <v>0</v>
      </c>
    </row>
    <row r="70" spans="1:9" ht="20.100000000000001" customHeight="1" x14ac:dyDescent="0.25">
      <c r="D70" s="49" t="str">
        <v>Incineration</v>
      </c>
      <c r="E70" s="51" t="str">
        <v>Food waste, green waste, wood, sludge</v>
      </c>
      <c r="F70" s="73"/>
      <c r="G70" s="28" t="s">
        <v>150</v>
      </c>
      <c r="H70" s="28" t="s">
        <v>150</v>
      </c>
      <c r="I70" s="28" t="s">
        <v>150</v>
      </c>
    </row>
    <row r="71" spans="1:9" ht="20.100000000000001" customHeight="1" x14ac:dyDescent="0.25">
      <c r="D71" s="49" t="str">
        <v>Incineration</v>
      </c>
      <c r="E71" s="51" t="str">
        <v>Food waste (including animal carcasses, spoiled animal feed or crop)</v>
      </c>
      <c r="F71" s="73"/>
      <c r="G71" s="28"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8" cm="1">
        <f t="array" ref="H71">Common_InputFunctions.Utility_LookupValueInTableNumber(E71,Table_SourceData_WasteSolid_VolumeToMassConversion[Waste type w],Table_SourceData_WasteSolid_VolumeToMassConversion[VTMw])</f>
        <v>0.5</v>
      </c>
      <c r="I71" s="28" cm="1">
        <f t="array" ref="I71">WasteSolid_Equations.VEERG_10_1_1_1__2_MassOfWasteFromVolume(G71,H71)</f>
        <v>0</v>
      </c>
    </row>
    <row r="72" spans="1:9" ht="20.100000000000001" customHeight="1" x14ac:dyDescent="0.25">
      <c r="D72" s="49" t="str">
        <v>Incineration</v>
      </c>
      <c r="E72" s="51" t="str">
        <v>Green waste (including crop residues or prunings)</v>
      </c>
      <c r="F72" s="73"/>
      <c r="G72" s="28"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8" cm="1">
        <f t="array" ref="H72">Common_InputFunctions.Utility_LookupValueInTableNumber(E72,Table_SourceData_WasteSolid_VolumeToMassConversion[Waste type w],Table_SourceData_WasteSolid_VolumeToMassConversion[VTMw])</f>
        <v>0.24</v>
      </c>
      <c r="I72" s="28" cm="1">
        <f t="array" ref="I72">WasteSolid_Equations.VEERG_10_1_1_1__2_MassOfWasteFromVolume(G72,H72)</f>
        <v>12</v>
      </c>
    </row>
    <row r="73" spans="1:9" ht="20.100000000000001" customHeight="1" x14ac:dyDescent="0.25">
      <c r="D73" s="49" t="str">
        <v>Incineration</v>
      </c>
      <c r="E73" s="51" t="str">
        <v>Wood</v>
      </c>
      <c r="F73" s="73"/>
      <c r="G73" s="28"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8" cm="1">
        <f t="array" ref="H73">Common_InputFunctions.Utility_LookupValueInTableNumber(E73,Table_SourceData_WasteSolid_VolumeToMassConversion[Waste type w],Table_SourceData_WasteSolid_VolumeToMassConversion[VTMw])</f>
        <v>0.15</v>
      </c>
      <c r="I73" s="28" cm="1">
        <f t="array" ref="I73">WasteSolid_Equations.VEERG_10_1_1_1__2_MassOfWasteFromVolume(G73,H73)</f>
        <v>0</v>
      </c>
    </row>
    <row r="74" spans="1:9" ht="20.100000000000001" customHeight="1" x14ac:dyDescent="0.25">
      <c r="D74" s="49" t="str">
        <v>Incineration</v>
      </c>
      <c r="E74" s="51" t="str">
        <v>Sludge</v>
      </c>
      <c r="F74" s="73"/>
      <c r="G74" s="28"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8" cm="1">
        <f t="array" ref="H74">Common_InputFunctions.Utility_LookupValueInTableNumber(E74,Table_SourceData_WasteSolid_VolumeToMassConversion[Waste type w],Table_SourceData_WasteSolid_VolumeToMassConversion[VTMw])</f>
        <v>0.72</v>
      </c>
      <c r="I74" s="28" cm="1">
        <f t="array" ref="I74">WasteSolid_Equations.VEERG_10_1_1_1__2_MassOfWasteFromVolume(G74,H74)</f>
        <v>0</v>
      </c>
    </row>
    <row r="75" spans="1:9" ht="20.100000000000001" customHeight="1" x14ac:dyDescent="0.25">
      <c r="D75" s="49" t="str">
        <v>Incineration</v>
      </c>
      <c r="E75" s="51" t="str">
        <v>Paper and cardboard</v>
      </c>
      <c r="F75" s="73"/>
      <c r="G75" s="28"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8" cm="1">
        <f t="array" ref="H75">Common_InputFunctions.Utility_LookupValueInTableNumber(E75,Table_SourceData_WasteSolid_VolumeToMassConversion[Waste type w],Table_SourceData_WasteSolid_VolumeToMassConversion[VTMw])</f>
        <v>0.09</v>
      </c>
      <c r="I75" s="28" cm="1">
        <f t="array" ref="I75">WasteSolid_Equations.VEERG_10_1_1_1__2_MassOfWasteFromVolume(G75,H75)</f>
        <v>0</v>
      </c>
    </row>
    <row r="76" spans="1:9" ht="20.100000000000001" customHeight="1" x14ac:dyDescent="0.25">
      <c r="D76" s="49" t="str">
        <v>Incineration</v>
      </c>
      <c r="E76" s="51" t="str">
        <v>Textiles</v>
      </c>
      <c r="F76" s="73"/>
      <c r="G76" s="28"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8" cm="1">
        <f t="array" ref="H76">Common_InputFunctions.Utility_LookupValueInTableNumber(E76,Table_SourceData_WasteSolid_VolumeToMassConversion[Waste type w],Table_SourceData_WasteSolid_VolumeToMassConversion[VTMw])</f>
        <v>0.14000000000000001</v>
      </c>
      <c r="I76" s="28" cm="1">
        <f t="array" ref="I76">WasteSolid_Equations.VEERG_10_1_1_1__2_MassOfWasteFromVolume(G76,H76)</f>
        <v>0</v>
      </c>
    </row>
    <row r="77" spans="1:9" ht="20.100000000000001" customHeight="1" x14ac:dyDescent="0.25">
      <c r="D77" s="49" t="str">
        <v>Incineration</v>
      </c>
      <c r="E77" s="51" t="str">
        <v>Rubber and leather</v>
      </c>
      <c r="F77" s="73"/>
      <c r="G77" s="28"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8" cm="1">
        <f t="array" ref="H77">Common_InputFunctions.Utility_LookupValueInTableNumber(E77,Table_SourceData_WasteSolid_VolumeToMassConversion[Waste type w],Table_SourceData_WasteSolid_VolumeToMassConversion[VTMw])</f>
        <v>0.14000000000000001</v>
      </c>
      <c r="I77" s="28" cm="1">
        <f t="array" ref="I77">WasteSolid_Equations.VEERG_10_1_1_1__2_MassOfWasteFromVolume(G77,H77)</f>
        <v>0</v>
      </c>
    </row>
    <row r="78" spans="1:9" ht="20.100000000000001" customHeight="1" x14ac:dyDescent="0.25">
      <c r="D78" s="49" t="str">
        <v>Incineration</v>
      </c>
      <c r="E78" s="51" t="str">
        <v>Inert waste (including concrete, metal, plastic or glass)</v>
      </c>
      <c r="F78" s="73"/>
      <c r="G78" s="28"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8" cm="1">
        <f t="array" ref="H78">Common_InputFunctions.Utility_LookupValueInTableNumber(E78,Table_SourceData_WasteSolid_VolumeToMassConversion[Waste type w],Table_SourceData_WasteSolid_VolumeToMassConversion[VTMw])</f>
        <v>0.42</v>
      </c>
      <c r="I78" s="28" cm="1">
        <f t="array" ref="I78">WasteSolid_Equations.VEERG_10_1_1_1__2_MassOfWasteFromVolume(G78,H78)</f>
        <v>0</v>
      </c>
    </row>
    <row r="79" spans="1:9" ht="20.100000000000001" customHeight="1" x14ac:dyDescent="0.25">
      <c r="D79" s="49" t="str">
        <v>Incineration</v>
      </c>
      <c r="E79" s="51" t="str">
        <v>Municipal solid waste</v>
      </c>
      <c r="F79" s="50"/>
      <c r="G79" s="28"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8" cm="1">
        <f t="array" ref="H79">Common_InputFunctions.Utility_LookupValueInTableNumber(E79,Table_SourceData_WasteSolid_VolumeToMassConversion[Waste type w],Table_SourceData_WasteSolid_VolumeToMassConversion[VTMw])</f>
        <v>0.36</v>
      </c>
      <c r="I79" s="28" cm="1">
        <f t="array" ref="I79">WasteSolid_Equations.VEERG_10_1_1_1__2_MassOfWasteFromVolume(G79,H79)</f>
        <v>0</v>
      </c>
    </row>
    <row r="80" spans="1:9" ht="20.100000000000001" customHeight="1" x14ac:dyDescent="0.25">
      <c r="D80" s="49" t="str">
        <v>Incineration</v>
      </c>
      <c r="E80" s="51" t="str">
        <v>Commercial and industrial waste</v>
      </c>
      <c r="F80" s="50"/>
      <c r="G80" s="28"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8" cm="1">
        <f t="array" ref="H80">Common_InputFunctions.Utility_LookupValueInTableNumber(E80,Table_SourceData_WasteSolid_VolumeToMassConversion[Waste type w],Table_SourceData_WasteSolid_VolumeToMassConversion[VTMw])</f>
        <v>0.33</v>
      </c>
      <c r="I80" s="28" cm="1">
        <f t="array" ref="I80">WasteSolid_Equations.VEERG_10_1_1_1__2_MassOfWasteFromVolume(G80,H80)</f>
        <v>0</v>
      </c>
    </row>
    <row r="81" spans="3:12" ht="20.100000000000001" customHeight="1" x14ac:dyDescent="0.25">
      <c r="D81" s="49" t="str">
        <v>Composting</v>
      </c>
      <c r="E81" s="51" t="str">
        <v>All organic waste</v>
      </c>
      <c r="F81" s="50"/>
      <c r="G81" s="28" t="s">
        <v>150</v>
      </c>
      <c r="H81" s="28" t="s">
        <v>150</v>
      </c>
      <c r="I81" s="28" t="s">
        <v>150</v>
      </c>
    </row>
    <row r="82" spans="3:12" ht="20.100000000000001" customHeight="1" x14ac:dyDescent="0.25">
      <c r="D82" s="49" t="str">
        <v>Composting</v>
      </c>
      <c r="E82" s="51" t="str">
        <v>Food waste (including animal carcasses, spoiled animal feed or crop)</v>
      </c>
      <c r="F82" s="50"/>
      <c r="G82" s="28"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8" cm="1">
        <f t="array" ref="H82">Common_InputFunctions.Utility_LookupValueInTableNumber(E82,Table_SourceData_WasteSolid_VolumeToMassConversion[Waste type w],Table_SourceData_WasteSolid_VolumeToMassConversion[VTMw])</f>
        <v>0.5</v>
      </c>
      <c r="I82" s="28" cm="1">
        <f t="array" ref="I82">WasteSolid_Equations.VEERG_10_1_1_1__2_MassOfWasteFromVolume(G82,H82)</f>
        <v>0</v>
      </c>
    </row>
    <row r="83" spans="3:12" ht="20.100000000000001" customHeight="1" x14ac:dyDescent="0.25">
      <c r="D83" s="49" t="str">
        <v>Composting</v>
      </c>
      <c r="E83" s="51" t="str">
        <v>Green waste (including crop residues or prunings)</v>
      </c>
      <c r="F83" s="50"/>
      <c r="G83" s="28"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8" cm="1">
        <f t="array" ref="H83">Common_InputFunctions.Utility_LookupValueInTableNumber(E83,Table_SourceData_WasteSolid_VolumeToMassConversion[Waste type w],Table_SourceData_WasteSolid_VolumeToMassConversion[VTMw])</f>
        <v>0.24</v>
      </c>
      <c r="I83" s="28" cm="1">
        <f t="array" ref="I83">WasteSolid_Equations.VEERG_10_1_1_1__2_MassOfWasteFromVolume(G83,H83)</f>
        <v>0</v>
      </c>
    </row>
    <row r="84" spans="3:12" ht="20.100000000000001" customHeight="1" x14ac:dyDescent="0.25">
      <c r="D84" s="49" t="str">
        <v>Composting</v>
      </c>
      <c r="E84" s="51" t="str">
        <v>Wood</v>
      </c>
      <c r="F84" s="50"/>
      <c r="G84" s="28"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8" cm="1">
        <f t="array" ref="H84">Common_InputFunctions.Utility_LookupValueInTableNumber(E84,Table_SourceData_WasteSolid_VolumeToMassConversion[Waste type w],Table_SourceData_WasteSolid_VolumeToMassConversion[VTMw])</f>
        <v>0.15</v>
      </c>
      <c r="I84" s="28" cm="1">
        <f t="array" ref="I84">WasteSolid_Equations.VEERG_10_1_1_1__2_MassOfWasteFromVolume(G84,H84)</f>
        <v>0</v>
      </c>
    </row>
    <row r="85" spans="3:12" ht="20.100000000000001" customHeight="1" x14ac:dyDescent="0.25">
      <c r="D85" s="49" t="str">
        <v>Composting</v>
      </c>
      <c r="E85" s="51" t="str">
        <v>Sludge</v>
      </c>
      <c r="F85" s="50"/>
      <c r="G85" s="28"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8" cm="1">
        <f t="array" ref="H85">Common_InputFunctions.Utility_LookupValueInTableNumber(E85,Table_SourceData_WasteSolid_VolumeToMassConversion[Waste type w],Table_SourceData_WasteSolid_VolumeToMassConversion[VTMw])</f>
        <v>0.72</v>
      </c>
      <c r="I85" s="28" cm="1">
        <f t="array" ref="I85">WasteSolid_Equations.VEERG_10_1_1_1__2_MassOfWasteFromVolume(G85,H85)</f>
        <v>0</v>
      </c>
    </row>
    <row r="86" spans="3:12" ht="20.100000000000001" customHeight="1" x14ac:dyDescent="0.25">
      <c r="D86" s="49" t="str">
        <v>Composting</v>
      </c>
      <c r="E86" s="51" t="str">
        <v>Paper and cardboard</v>
      </c>
      <c r="F86" s="50"/>
      <c r="G86" s="28"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8" cm="1">
        <f t="array" ref="H86">Common_InputFunctions.Utility_LookupValueInTableNumber(E86,Table_SourceData_WasteSolid_VolumeToMassConversion[Waste type w],Table_SourceData_WasteSolid_VolumeToMassConversion[VTMw])</f>
        <v>0.09</v>
      </c>
      <c r="I86" s="28" cm="1">
        <f t="array" ref="I86">WasteSolid_Equations.VEERG_10_1_1_1__2_MassOfWasteFromVolume(G86,H86)</f>
        <v>0</v>
      </c>
    </row>
    <row r="87" spans="3:12" ht="20.100000000000001" customHeight="1" x14ac:dyDescent="0.25">
      <c r="D87" s="49" t="str">
        <v>Anaerobic digestion</v>
      </c>
      <c r="E87" s="51" t="str">
        <v>All organic waste</v>
      </c>
      <c r="F87" s="50"/>
      <c r="G87" s="28" t="s">
        <v>150</v>
      </c>
      <c r="H87" s="28" t="s">
        <v>150</v>
      </c>
      <c r="I87" s="28" t="s">
        <v>150</v>
      </c>
    </row>
    <row r="88" spans="3:12" ht="20.100000000000001" customHeight="1" x14ac:dyDescent="0.25">
      <c r="D88" s="49" t="str">
        <v>Anaerobic digestion</v>
      </c>
      <c r="E88" s="51" t="str">
        <v>Food waste (including animal carcasses, spoiled animal feed or crop)</v>
      </c>
      <c r="F88" s="50"/>
      <c r="G88" s="28"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8" cm="1">
        <f t="array" ref="H88">Common_InputFunctions.Utility_LookupValueInTableNumber(E88,Table_SourceData_WasteSolid_VolumeToMassConversion[Waste type w],Table_SourceData_WasteSolid_VolumeToMassConversion[VTMw])</f>
        <v>0.5</v>
      </c>
      <c r="I88" s="28" cm="1">
        <f t="array" ref="I88">WasteSolid_Equations.VEERG_10_1_1_1__2_MassOfWasteFromVolume(G88,H88)</f>
        <v>0</v>
      </c>
    </row>
    <row r="89" spans="3:12" ht="20.100000000000001" customHeight="1" x14ac:dyDescent="0.25">
      <c r="D89" s="49" t="str">
        <v>Anaerobic digestion</v>
      </c>
      <c r="E89" s="51" t="str">
        <v>Green waste (including crop residues or prunings)</v>
      </c>
      <c r="F89" s="50"/>
      <c r="G89" s="28"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8" cm="1">
        <f t="array" ref="H89">Common_InputFunctions.Utility_LookupValueInTableNumber(E89,Table_SourceData_WasteSolid_VolumeToMassConversion[Waste type w],Table_SourceData_WasteSolid_VolumeToMassConversion[VTMw])</f>
        <v>0.24</v>
      </c>
      <c r="I89" s="28" cm="1">
        <f t="array" ref="I89">WasteSolid_Equations.VEERG_10_1_1_1__2_MassOfWasteFromVolume(G89,H89)</f>
        <v>0</v>
      </c>
    </row>
    <row r="90" spans="3:12" ht="20.100000000000001" customHeight="1" x14ac:dyDescent="0.25">
      <c r="D90" s="49" t="str">
        <v>Anaerobic digestion</v>
      </c>
      <c r="E90" s="51" t="str">
        <v>Wood</v>
      </c>
      <c r="F90" s="50"/>
      <c r="G90" s="28"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8" cm="1">
        <f t="array" ref="H90">Common_InputFunctions.Utility_LookupValueInTableNumber(E90,Table_SourceData_WasteSolid_VolumeToMassConversion[Waste type w],Table_SourceData_WasteSolid_VolumeToMassConversion[VTMw])</f>
        <v>0.15</v>
      </c>
      <c r="I90" s="28" cm="1">
        <f t="array" ref="I90">WasteSolid_Equations.VEERG_10_1_1_1__2_MassOfWasteFromVolume(G90,H90)</f>
        <v>0</v>
      </c>
    </row>
    <row r="91" spans="3:12" ht="20.100000000000001" customHeight="1" x14ac:dyDescent="0.25">
      <c r="D91" s="49" t="str">
        <v>Anaerobic digestion</v>
      </c>
      <c r="E91" s="51" t="str">
        <v>Sludge</v>
      </c>
      <c r="F91" s="50"/>
      <c r="G91" s="28"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8" cm="1">
        <f t="array" ref="H91">Common_InputFunctions.Utility_LookupValueInTableNumber(E91,Table_SourceData_WasteSolid_VolumeToMassConversion[Waste type w],Table_SourceData_WasteSolid_VolumeToMassConversion[VTMw])</f>
        <v>0.72</v>
      </c>
      <c r="I91" s="28" cm="1">
        <f t="array" ref="I91">WasteSolid_Equations.VEERG_10_1_1_1__2_MassOfWasteFromVolume(G91,H91)</f>
        <v>0</v>
      </c>
    </row>
    <row r="92" spans="3:12" ht="20.100000000000001" customHeight="1" x14ac:dyDescent="0.25">
      <c r="D92" s="49" t="str">
        <v>Anaerobic digestion</v>
      </c>
      <c r="E92" s="51" t="str">
        <v>Paper and cardboard</v>
      </c>
      <c r="F92" s="50"/>
      <c r="G92" s="28"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8" cm="1">
        <f t="array" ref="H92">Common_InputFunctions.Utility_LookupValueInTableNumber(E92,Table_SourceData_WasteSolid_VolumeToMassConversion[Waste type w],Table_SourceData_WasteSolid_VolumeToMassConversion[VTMw])</f>
        <v>0.09</v>
      </c>
      <c r="I92" s="28"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63"/>
      <c r="D95" s="63"/>
      <c r="E95" s="63"/>
      <c r="F95" s="63"/>
      <c r="G95" s="63"/>
      <c r="H95" s="63"/>
      <c r="I95" s="63"/>
      <c r="J95" s="63"/>
      <c r="K95" s="63"/>
      <c r="L95" s="63"/>
    </row>
    <row r="96" spans="3:12" ht="20.100000000000001" customHeight="1" x14ac:dyDescent="0.25">
      <c r="D96" s="5" t="str" cm="1">
        <f t="array" ref="D96">WasteSolid_Equations.VEERG_10_1_1_1__1_EmissionsFromWasteManagement_Title()</f>
        <v>Emissions from waste management by greenhouse gas</v>
      </c>
    </row>
    <row r="97" spans="1:9" ht="20.100000000000001" customHeight="1" x14ac:dyDescent="0.25">
      <c r="D97" s="4" t="str" cm="1">
        <f t="array" ref="D97">WasteSolid_Equations.VEERG_10_1_1_1__1_EmissionsFromWasteManagement_Source()</f>
        <v>VEERG 2026: 10.1.1.1, Equation (1)</v>
      </c>
    </row>
    <row r="98" spans="1:9" ht="20.100000000000001" customHeight="1" x14ac:dyDescent="0.25">
      <c r="D98" s="31"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0" t="s">
        <v>10</v>
      </c>
      <c r="E99" s="10"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9" t="s">
        <v>13</v>
      </c>
      <c r="E102" s="1" t="str" cm="1">
        <f t="array" ref="E102">WasteSolid_Equations.VEERG_10_1_1_1__1_EmissionsFromWasteManagement_Variable()</f>
        <v>E_g</v>
      </c>
    </row>
    <row r="103" spans="1:9" ht="20.100000000000001" customHeight="1" x14ac:dyDescent="0.25">
      <c r="D103" s="29" t="s">
        <v>5</v>
      </c>
      <c r="E103" s="30" t="str" cm="1">
        <f t="array" ref="E103">WasteSolid_Equations.VEERG_10_1_1_1__1_EmissionsFromWasteManagement_Unit()</f>
        <v>t CO2e</v>
      </c>
    </row>
    <row r="104" spans="1:9" ht="20.100000000000001" customHeight="1" x14ac:dyDescent="0.25"/>
    <row r="105" spans="1:9" ht="20.100000000000001" customHeight="1" x14ac:dyDescent="0.25">
      <c r="D105" s="49" t="str" cm="1">
        <f t="array" ref="D105:E111">_xlfn.CHOOSECOLS(WasteSolid_Equations.VEERG_10_1_1_1__1_EmissionsFromWasteManagement_Arguments(),1,2)</f>
        <v>Q_wt</v>
      </c>
      <c r="E105" s="51" t="str">
        <v>quantity of solid waste of type w being sent to treatment facility t, on a wet weight basis</v>
      </c>
      <c r="F105" s="65"/>
      <c r="G105" s="50"/>
      <c r="H105" s="49" t="str" cm="1">
        <f t="array" ref="H105:I111">_xlfn.CHOOSECOLS(WasteSolid_Equations.VEERG_10_1_1_1__1_EmissionsFromWasteManagement_Arguments(),3,4)</f>
        <v>t</v>
      </c>
      <c r="I105" s="44" t="str">
        <v>Sum of Q_volwt and Q_masswt</v>
      </c>
    </row>
    <row r="106" spans="1:9" ht="20.100000000000001" customHeight="1" x14ac:dyDescent="0.25">
      <c r="D106" s="49" t="str">
        <v>EF_wtg</v>
      </c>
      <c r="E106" s="51" t="str">
        <v>emission factor for greenhouse gas g for the management of waste at treatment facility t</v>
      </c>
      <c r="F106" s="65"/>
      <c r="G106" s="50"/>
      <c r="H106" s="49" t="str">
        <v>t CO2e/t</v>
      </c>
      <c r="I106" s="44" t="str">
        <v>Constant</v>
      </c>
    </row>
    <row r="107" spans="1:9" ht="20.100000000000001" customHeight="1" x14ac:dyDescent="0.25">
      <c r="D107" s="49" t="str">
        <v>w</v>
      </c>
      <c r="E107" s="51" t="str">
        <v>waste type</v>
      </c>
      <c r="F107" s="65"/>
      <c r="G107" s="50"/>
      <c r="H107" s="49" t="str">
        <v/>
      </c>
      <c r="I107" s="45" t="str">
        <v>Input</v>
      </c>
    </row>
    <row r="108" spans="1:9" ht="20.100000000000001" customHeight="1" x14ac:dyDescent="0.25">
      <c r="D108" s="49" t="str">
        <v>t</v>
      </c>
      <c r="E108" s="51" t="str">
        <v>treatment facility</v>
      </c>
      <c r="F108" s="65"/>
      <c r="G108" s="50"/>
      <c r="H108" s="49" t="str">
        <v/>
      </c>
      <c r="I108" s="45" t="str">
        <v>Input</v>
      </c>
    </row>
    <row r="109" spans="1:9" ht="20.100000000000001" customHeight="1" x14ac:dyDescent="0.25">
      <c r="A109" s="52" t="str">
        <f>HYPERLINK("#A1", "▲ Back to top")</f>
        <v>▲ Back to top</v>
      </c>
      <c r="D109" s="49" t="str">
        <v>g</v>
      </c>
      <c r="E109" s="51" t="str">
        <v>greenhouse gas</v>
      </c>
      <c r="F109" s="65"/>
      <c r="G109" s="50"/>
      <c r="H109" s="49" t="str">
        <v/>
      </c>
      <c r="I109" s="45" t="str">
        <v>Input</v>
      </c>
    </row>
    <row r="110" spans="1:9" ht="20.100000000000001" customHeight="1" x14ac:dyDescent="0.25">
      <c r="D110" s="49" t="str">
        <v>Q_volwt</v>
      </c>
      <c r="E110" s="51" t="str">
        <v>quantity of sold waste input as volume and converted to tonnes</v>
      </c>
      <c r="F110" s="65"/>
      <c r="G110" s="50"/>
      <c r="H110" s="49" t="str">
        <v>tonnes</v>
      </c>
      <c r="I110" s="44" t="str">
        <v>Calculated from 10.1.1.1 (2)</v>
      </c>
    </row>
    <row r="111" spans="1:9" ht="20.100000000000001" customHeight="1" x14ac:dyDescent="0.25">
      <c r="D111" s="49" t="str">
        <v>Q_masswt</v>
      </c>
      <c r="E111" s="51" t="str">
        <v>quantity of solid waste input as mass</v>
      </c>
      <c r="F111" s="65"/>
      <c r="G111" s="50"/>
      <c r="H111" s="49" t="str">
        <v>tonnes</v>
      </c>
      <c r="I111" s="45" t="str">
        <v>Input</v>
      </c>
    </row>
    <row r="112" spans="1:9" ht="20.100000000000001" customHeight="1" x14ac:dyDescent="0.25"/>
    <row r="113" spans="4:11" ht="20.100000000000001" customHeight="1" x14ac:dyDescent="0.25">
      <c r="D113" s="70" t="s">
        <v>127</v>
      </c>
    </row>
    <row r="114" spans="4:11" ht="20.100000000000001" customHeight="1" x14ac:dyDescent="0.25">
      <c r="D114" s="71" t="s">
        <v>128</v>
      </c>
    </row>
    <row r="115" spans="4:11" ht="20.100000000000001" customHeight="1" x14ac:dyDescent="0.25">
      <c r="D115" s="67" t="s">
        <v>94</v>
      </c>
      <c r="E115" s="67" t="s">
        <v>95</v>
      </c>
      <c r="F115" s="67"/>
      <c r="G115" s="67" t="s">
        <v>154</v>
      </c>
      <c r="H115" s="72" t="s">
        <v>153</v>
      </c>
      <c r="I115" s="72" t="s">
        <v>97</v>
      </c>
      <c r="J115" s="72" t="s">
        <v>152</v>
      </c>
      <c r="K115" s="72" t="s">
        <v>151</v>
      </c>
    </row>
    <row r="116" spans="4:11" ht="20.100000000000001" customHeight="1" x14ac:dyDescent="0.25">
      <c r="D116" s="49" t="str" cm="1">
        <f t="array" ref="D116:D149">Table_SourceData_WasteSolid_WasteTreatmentEFs[Treatment type t]</f>
        <v>Landfill</v>
      </c>
      <c r="E116" s="51" t="str" cm="1">
        <f t="array" ref="E116:E149">Table_SourceData_WasteSolid_WasteTreatmentEFs[Waste type w]</f>
        <v>Food waste (including animal carcasses, spoiled animal feed or crop)</v>
      </c>
      <c r="F116" s="73"/>
      <c r="G116" s="28"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8">
        <f t="shared" ref="H116:H135" si="0">I21</f>
        <v>25</v>
      </c>
      <c r="I116" s="28">
        <f>G116+H116</f>
        <v>75</v>
      </c>
      <c r="J116" s="28" cm="1">
        <f t="array" ref="J116">Common_InputFunctions.Utility_LookupValueInTableTwoColumns(D116,E116,Table_SourceData_WasteSolid_WasteTreatmentEFs[Treatment type t],Table_SourceData_WasteSolid_WasteTreatmentEFs[Waste type w],Table_SourceData_WasteSolid_WasteTreatmentEFs[EFwt])</f>
        <v>2.1</v>
      </c>
      <c r="K116" s="28" cm="1">
        <f t="array" ref="K116">WasteSolid_Equations.VEERG_10_1_1_1__1_EmissionsFromWasteManagement(I116, J116)</f>
        <v>157.5</v>
      </c>
    </row>
    <row r="117" spans="4:11" ht="20.100000000000001" customHeight="1" x14ac:dyDescent="0.25">
      <c r="D117" s="49" t="str">
        <v>Landfill</v>
      </c>
      <c r="E117" s="51" t="str">
        <v>Paper and cardboard</v>
      </c>
      <c r="F117" s="73"/>
      <c r="G117" s="28"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8">
        <f t="shared" si="0"/>
        <v>4.5</v>
      </c>
      <c r="I117" s="28">
        <f t="shared" ref="I117:I135" si="1">G117+H117</f>
        <v>54.5</v>
      </c>
      <c r="J117" s="28" cm="1">
        <f t="array" ref="J117">Common_InputFunctions.Utility_LookupValueInTableTwoColumns(D117,E117,Table_SourceData_WasteSolid_WasteTreatmentEFs[Treatment type t],Table_SourceData_WasteSolid_WasteTreatmentEFs[Waste type w],Table_SourceData_WasteSolid_WasteTreatmentEFs[EFwt])</f>
        <v>3.3</v>
      </c>
      <c r="K117" s="28" cm="1">
        <f t="array" ref="K117">WasteSolid_Equations.VEERG_10_1_1_1__1_EmissionsFromWasteManagement(I117, J117)</f>
        <v>179.85</v>
      </c>
    </row>
    <row r="118" spans="4:11" ht="20.100000000000001" customHeight="1" x14ac:dyDescent="0.25">
      <c r="D118" s="49" t="str">
        <v>Landfill</v>
      </c>
      <c r="E118" s="51" t="str">
        <v>Green waste (including crop residues or prunings)</v>
      </c>
      <c r="F118" s="73"/>
      <c r="G118" s="28"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8">
        <f t="shared" si="0"/>
        <v>12</v>
      </c>
      <c r="I118" s="28">
        <f t="shared" si="1"/>
        <v>62</v>
      </c>
      <c r="J118" s="28" cm="1">
        <f t="array" ref="J118">Common_InputFunctions.Utility_LookupValueInTableTwoColumns(D118,E118,Table_SourceData_WasteSolid_WasteTreatmentEFs[Treatment type t],Table_SourceData_WasteSolid_WasteTreatmentEFs[Waste type w],Table_SourceData_WasteSolid_WasteTreatmentEFs[EFwt])</f>
        <v>1.6</v>
      </c>
      <c r="K118" s="28" cm="1">
        <f t="array" ref="K118">WasteSolid_Equations.VEERG_10_1_1_1__1_EmissionsFromWasteManagement(I118, J118)</f>
        <v>99.2</v>
      </c>
    </row>
    <row r="119" spans="4:11" ht="20.100000000000001" customHeight="1" x14ac:dyDescent="0.25">
      <c r="D119" s="49" t="str">
        <v>Landfill</v>
      </c>
      <c r="E119" s="51" t="str">
        <v>Wood</v>
      </c>
      <c r="F119" s="73"/>
      <c r="G119" s="28"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8">
        <f t="shared" si="0"/>
        <v>0</v>
      </c>
      <c r="I119" s="28">
        <f t="shared" si="1"/>
        <v>0</v>
      </c>
      <c r="J119" s="28" cm="1">
        <f t="array" ref="J119">Common_InputFunctions.Utility_LookupValueInTableTwoColumns(D119,E119,Table_SourceData_WasteSolid_WasteTreatmentEFs[Treatment type t],Table_SourceData_WasteSolid_WasteTreatmentEFs[Waste type w],Table_SourceData_WasteSolid_WasteTreatmentEFs[EFwt])</f>
        <v>0.7</v>
      </c>
      <c r="K119" s="28" cm="1">
        <f t="array" ref="K119">WasteSolid_Equations.VEERG_10_1_1_1__1_EmissionsFromWasteManagement(I119, J119)</f>
        <v>0</v>
      </c>
    </row>
    <row r="120" spans="4:11" ht="20.100000000000001" customHeight="1" x14ac:dyDescent="0.25">
      <c r="D120" s="49" t="str">
        <v>Landfill</v>
      </c>
      <c r="E120" s="51" t="str">
        <v>Textiles</v>
      </c>
      <c r="F120" s="73"/>
      <c r="G120" s="28"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8">
        <f t="shared" si="0"/>
        <v>0</v>
      </c>
      <c r="I120" s="28">
        <f t="shared" si="1"/>
        <v>0</v>
      </c>
      <c r="J120" s="28" cm="1">
        <f t="array" ref="J120">Common_InputFunctions.Utility_LookupValueInTableTwoColumns(D120,E120,Table_SourceData_WasteSolid_WasteTreatmentEFs[Treatment type t],Table_SourceData_WasteSolid_WasteTreatmentEFs[Waste type w],Table_SourceData_WasteSolid_WasteTreatmentEFs[EFwt])</f>
        <v>2</v>
      </c>
      <c r="K120" s="28" cm="1">
        <f t="array" ref="K120">WasteSolid_Equations.VEERG_10_1_1_1__1_EmissionsFromWasteManagement(I120, J120)</f>
        <v>0</v>
      </c>
    </row>
    <row r="121" spans="4:11" ht="20.100000000000001" customHeight="1" x14ac:dyDescent="0.25">
      <c r="D121" s="49" t="str">
        <v>Landfill</v>
      </c>
      <c r="E121" s="51" t="str">
        <v>Sludge</v>
      </c>
      <c r="F121" s="73"/>
      <c r="G121" s="28"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8">
        <f t="shared" si="0"/>
        <v>0</v>
      </c>
      <c r="I121" s="28">
        <f t="shared" si="1"/>
        <v>0</v>
      </c>
      <c r="J121" s="28" cm="1">
        <f t="array" ref="J121">Common_InputFunctions.Utility_LookupValueInTableTwoColumns(D121,E121,Table_SourceData_WasteSolid_WasteTreatmentEFs[Treatment type t],Table_SourceData_WasteSolid_WasteTreatmentEFs[Waste type w],Table_SourceData_WasteSolid_WasteTreatmentEFs[EFwt])</f>
        <v>0.4</v>
      </c>
      <c r="K121" s="28" cm="1">
        <f t="array" ref="K121">WasteSolid_Equations.VEERG_10_1_1_1__1_EmissionsFromWasteManagement(I121, J121)</f>
        <v>0</v>
      </c>
    </row>
    <row r="122" spans="4:11" ht="20.100000000000001" customHeight="1" x14ac:dyDescent="0.25">
      <c r="D122" s="49" t="str">
        <v>Landfill</v>
      </c>
      <c r="E122" s="51" t="str">
        <v>Rubber and leather</v>
      </c>
      <c r="F122" s="73"/>
      <c r="G122" s="28"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8">
        <f t="shared" si="0"/>
        <v>0</v>
      </c>
      <c r="I122" s="28">
        <f t="shared" si="1"/>
        <v>0</v>
      </c>
      <c r="J122" s="28" cm="1">
        <f t="array" ref="J122">Common_InputFunctions.Utility_LookupValueInTableTwoColumns(D122,E122,Table_SourceData_WasteSolid_WasteTreatmentEFs[Treatment type t],Table_SourceData_WasteSolid_WasteTreatmentEFs[Waste type w],Table_SourceData_WasteSolid_WasteTreatmentEFs[EFwt])</f>
        <v>3.3</v>
      </c>
      <c r="K122" s="28" cm="1">
        <f t="array" ref="K122">WasteSolid_Equations.VEERG_10_1_1_1__1_EmissionsFromWasteManagement(I122, J122)</f>
        <v>0</v>
      </c>
    </row>
    <row r="123" spans="4:11" ht="20.100000000000001" customHeight="1" x14ac:dyDescent="0.25">
      <c r="D123" s="49" t="str">
        <v>Landfill</v>
      </c>
      <c r="E123" s="51" t="str">
        <v>Inert waste (including concrete, metal, plastic or glass)</v>
      </c>
      <c r="F123" s="73"/>
      <c r="G123" s="28"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8">
        <f t="shared" si="0"/>
        <v>0</v>
      </c>
      <c r="I123" s="28">
        <f t="shared" si="1"/>
        <v>0</v>
      </c>
      <c r="J123" s="28" cm="1">
        <f t="array" ref="J123">Common_InputFunctions.Utility_LookupValueInTableTwoColumns(D123,E123,Table_SourceData_WasteSolid_WasteTreatmentEFs[Treatment type t],Table_SourceData_WasteSolid_WasteTreatmentEFs[Waste type w],Table_SourceData_WasteSolid_WasteTreatmentEFs[EFwt])</f>
        <v>0</v>
      </c>
      <c r="K123" s="28" cm="1">
        <f t="array" ref="K123">WasteSolid_Equations.VEERG_10_1_1_1__1_EmissionsFromWasteManagement(I123, J123)</f>
        <v>0</v>
      </c>
    </row>
    <row r="124" spans="4:11" ht="20.100000000000001" customHeight="1" x14ac:dyDescent="0.25">
      <c r="D124" s="49" t="str">
        <v>Landfill</v>
      </c>
      <c r="E124" s="51" t="str">
        <v>Municipal solid waste</v>
      </c>
      <c r="F124" s="73"/>
      <c r="G124" s="28"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8">
        <f t="shared" si="0"/>
        <v>0</v>
      </c>
      <c r="I124" s="28">
        <f t="shared" si="1"/>
        <v>0</v>
      </c>
      <c r="J124" s="28" cm="1">
        <f t="array" ref="J124">Common_InputFunctions.Utility_LookupValueInTableTwoColumns(D124,E124,Table_SourceData_WasteSolid_WasteTreatmentEFs[Treatment type t],Table_SourceData_WasteSolid_WasteTreatmentEFs[Waste type w],Table_SourceData_WasteSolid_WasteTreatmentEFs[EFwt])</f>
        <v>1.6</v>
      </c>
      <c r="K124" s="28" cm="1">
        <f t="array" ref="K124">WasteSolid_Equations.VEERG_10_1_1_1__1_EmissionsFromWasteManagement(I124, J124)</f>
        <v>0</v>
      </c>
    </row>
    <row r="125" spans="4:11" ht="20.100000000000001" customHeight="1" x14ac:dyDescent="0.25">
      <c r="D125" s="49" t="str">
        <v>Landfill</v>
      </c>
      <c r="E125" s="51" t="str">
        <v>Commercial and industrial waste</v>
      </c>
      <c r="F125" s="73"/>
      <c r="G125" s="28"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8">
        <f t="shared" si="0"/>
        <v>0</v>
      </c>
      <c r="I125" s="28">
        <f t="shared" si="1"/>
        <v>0</v>
      </c>
      <c r="J125" s="28" cm="1">
        <f t="array" ref="J125">Common_InputFunctions.Utility_LookupValueInTableTwoColumns(D125,E125,Table_SourceData_WasteSolid_WasteTreatmentEFs[Treatment type t],Table_SourceData_WasteSolid_WasteTreatmentEFs[Waste type w],Table_SourceData_WasteSolid_WasteTreatmentEFs[EFwt])</f>
        <v>1.3</v>
      </c>
      <c r="K125" s="28" cm="1">
        <f t="array" ref="K125">WasteSolid_Equations.VEERG_10_1_1_1__1_EmissionsFromWasteManagement(I125, J125)</f>
        <v>0</v>
      </c>
    </row>
    <row r="126" spans="4:11" ht="20.100000000000001" customHeight="1" x14ac:dyDescent="0.25">
      <c r="D126" s="49" t="str">
        <v>Landfill</v>
      </c>
      <c r="E126" s="51" t="str">
        <v>Construction and demolition waste</v>
      </c>
      <c r="F126" s="73"/>
      <c r="G126" s="28"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8">
        <f t="shared" si="0"/>
        <v>0</v>
      </c>
      <c r="I126" s="28">
        <f t="shared" si="1"/>
        <v>0</v>
      </c>
      <c r="J126" s="28" cm="1">
        <f t="array" ref="J126">Common_InputFunctions.Utility_LookupValueInTableTwoColumns(D126,E126,Table_SourceData_WasteSolid_WasteTreatmentEFs[Treatment type t],Table_SourceData_WasteSolid_WasteTreatmentEFs[Waste type w],Table_SourceData_WasteSolid_WasteTreatmentEFs[EFwt])</f>
        <v>0.2</v>
      </c>
      <c r="K126" s="28" cm="1">
        <f t="array" ref="K126">WasteSolid_Equations.VEERG_10_1_1_1__1_EmissionsFromWasteManagement(I126, J126)</f>
        <v>0</v>
      </c>
    </row>
    <row r="127" spans="4:11" ht="20.100000000000001" customHeight="1" x14ac:dyDescent="0.25">
      <c r="D127" s="49" t="str">
        <v>Incineration</v>
      </c>
      <c r="E127" s="51" t="str">
        <v>Food waste, green waste, wood, sludge</v>
      </c>
      <c r="F127" s="73"/>
      <c r="G127" s="28" t="s">
        <v>150</v>
      </c>
      <c r="H127" s="28" t="str">
        <f t="shared" si="0"/>
        <v>Not used</v>
      </c>
      <c r="I127" s="28">
        <f>SUM(G128:G131)+SUM(H128:H131)</f>
        <v>74</v>
      </c>
      <c r="J127" s="28" cm="1">
        <f t="array" ref="J127">Common_InputFunctions.Utility_LookupValueInTableTwoColumns(D127,E127,Table_SourceData_WasteSolid_WasteTreatmentEFs[Treatment type t],Table_SourceData_WasteSolid_WasteTreatmentEFs[Waste type w],Table_SourceData_WasteSolid_WasteTreatmentEFs[EFwt])</f>
        <v>0</v>
      </c>
      <c r="K127" s="28" cm="1">
        <f t="array" ref="K127">WasteSolid_Equations.VEERG_10_1_1_1__1_EmissionsFromWasteManagement(I127, J127)</f>
        <v>0</v>
      </c>
    </row>
    <row r="128" spans="4:11" ht="20.100000000000001" customHeight="1" x14ac:dyDescent="0.25">
      <c r="D128" s="49" t="str">
        <v>Incineration</v>
      </c>
      <c r="E128" s="51" t="str">
        <v>Food waste (including animal carcasses, spoiled animal feed or crop)</v>
      </c>
      <c r="F128" s="73"/>
      <c r="G128" s="28"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8">
        <f t="shared" si="0"/>
        <v>0</v>
      </c>
      <c r="I128" s="28" t="s">
        <v>155</v>
      </c>
      <c r="J128" s="28" t="s">
        <v>150</v>
      </c>
      <c r="K128" s="28" t="s">
        <v>150</v>
      </c>
    </row>
    <row r="129" spans="1:11" ht="20.100000000000001" customHeight="1" x14ac:dyDescent="0.25">
      <c r="D129" s="49" t="str">
        <v>Incineration</v>
      </c>
      <c r="E129" s="51" t="str">
        <v>Green waste (including crop residues or prunings)</v>
      </c>
      <c r="F129" s="73"/>
      <c r="G129" s="28"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8">
        <f t="shared" si="0"/>
        <v>24</v>
      </c>
      <c r="I129" s="28" t="s">
        <v>155</v>
      </c>
      <c r="J129" s="28" t="s">
        <v>150</v>
      </c>
      <c r="K129" s="28" t="s">
        <v>150</v>
      </c>
    </row>
    <row r="130" spans="1:11" ht="20.100000000000001" customHeight="1" x14ac:dyDescent="0.25">
      <c r="D130" s="49" t="str">
        <v>Incineration</v>
      </c>
      <c r="E130" s="51" t="str">
        <v>Wood</v>
      </c>
      <c r="F130" s="73"/>
      <c r="G130" s="28"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8">
        <f t="shared" si="0"/>
        <v>0</v>
      </c>
      <c r="I130" s="28" t="s">
        <v>155</v>
      </c>
      <c r="J130" s="28" t="s">
        <v>150</v>
      </c>
      <c r="K130" s="28" t="s">
        <v>150</v>
      </c>
    </row>
    <row r="131" spans="1:11" ht="20.100000000000001" customHeight="1" x14ac:dyDescent="0.25">
      <c r="D131" s="49" t="str">
        <v>Incineration</v>
      </c>
      <c r="E131" s="51" t="str">
        <v>Sludge</v>
      </c>
      <c r="F131" s="73"/>
      <c r="G131" s="28"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8">
        <f t="shared" si="0"/>
        <v>0</v>
      </c>
      <c r="I131" s="28" t="s">
        <v>155</v>
      </c>
      <c r="J131" s="28" t="s">
        <v>150</v>
      </c>
      <c r="K131" s="28" t="s">
        <v>150</v>
      </c>
    </row>
    <row r="132" spans="1:11" ht="20.100000000000001" customHeight="1" x14ac:dyDescent="0.25">
      <c r="D132" s="49" t="str">
        <v>Incineration</v>
      </c>
      <c r="E132" s="51" t="str">
        <v>Paper and cardboard</v>
      </c>
      <c r="F132" s="73"/>
      <c r="G132" s="28"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8">
        <f t="shared" si="0"/>
        <v>4.5</v>
      </c>
      <c r="I132" s="28">
        <f t="shared" si="1"/>
        <v>54.5</v>
      </c>
      <c r="J132" s="28"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8" cm="1">
        <f t="array" ref="K132">WasteSolid_Equations.VEERG_10_1_1_1__1_EmissionsFromWasteManagement(I132, J132)</f>
        <v>0.92104999999999992</v>
      </c>
    </row>
    <row r="133" spans="1:11" ht="20.100000000000001" customHeight="1" x14ac:dyDescent="0.25">
      <c r="D133" s="49" t="str">
        <v>Incineration</v>
      </c>
      <c r="E133" s="51" t="str">
        <v>Textiles</v>
      </c>
      <c r="F133" s="73"/>
      <c r="G133" s="28"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8">
        <f t="shared" si="0"/>
        <v>0</v>
      </c>
      <c r="I133" s="28">
        <f t="shared" si="1"/>
        <v>0</v>
      </c>
      <c r="J133" s="28"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8" cm="1">
        <f t="array" ref="K133">WasteSolid_Equations.VEERG_10_1_1_1__1_EmissionsFromWasteManagement(I133, J133)</f>
        <v>0</v>
      </c>
    </row>
    <row r="134" spans="1:11" ht="20.100000000000001" customHeight="1" x14ac:dyDescent="0.25">
      <c r="D134" s="49" t="str">
        <v>Incineration</v>
      </c>
      <c r="E134" s="51" t="str">
        <v>Rubber and leather</v>
      </c>
      <c r="F134" s="73"/>
      <c r="G134" s="28"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8">
        <f t="shared" si="0"/>
        <v>0</v>
      </c>
      <c r="I134" s="28">
        <f t="shared" si="1"/>
        <v>0</v>
      </c>
      <c r="J134" s="28" cm="1">
        <f t="array" ref="J134">Common_InputFunctions.Utility_LookupValueInTableTwoColumns(D134,E134,Table_SourceData_WasteSolid_WasteTreatmentEFs[Treatment type t],Table_SourceData_WasteSolid_WasteTreatmentEFs[Waste type w],Table_SourceData_WasteSolid_WasteTreatmentEFs[EFwt])</f>
        <v>0.4919</v>
      </c>
      <c r="K134" s="28" cm="1">
        <f t="array" ref="K134">WasteSolid_Equations.VEERG_10_1_1_1__1_EmissionsFromWasteManagement(I134, J134)</f>
        <v>0</v>
      </c>
    </row>
    <row r="135" spans="1:11" ht="20.100000000000001" customHeight="1" x14ac:dyDescent="0.25">
      <c r="D135" s="49" t="str">
        <v>Incineration</v>
      </c>
      <c r="E135" s="51" t="str">
        <v>Inert waste (including concrete, metal, plastic or glass)</v>
      </c>
      <c r="F135" s="73"/>
      <c r="G135" s="28"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8">
        <f t="shared" si="0"/>
        <v>0</v>
      </c>
      <c r="I135" s="28">
        <f t="shared" si="1"/>
        <v>0</v>
      </c>
      <c r="J135" s="28" cm="1">
        <f t="array" ref="J135">Common_InputFunctions.Utility_LookupValueInTableTwoColumns(D135,E135,Table_SourceData_WasteSolid_WasteTreatmentEFs[Treatment type t],Table_SourceData_WasteSolid_WasteTreatmentEFs[Waste type w],Table_SourceData_WasteSolid_WasteTreatmentEFs[EFwt])</f>
        <v>0.11</v>
      </c>
      <c r="K135" s="28" cm="1">
        <f t="array" ref="K135">WasteSolid_Equations.VEERG_10_1_1_1__1_EmissionsFromWasteManagement(I135, J135)</f>
        <v>0</v>
      </c>
    </row>
    <row r="136" spans="1:11" ht="20.100000000000001" customHeight="1" x14ac:dyDescent="0.25">
      <c r="A136" s="52" t="str">
        <f>HYPERLINK("#A1", "▲ Back to top")</f>
        <v>▲ Back to top</v>
      </c>
      <c r="D136" s="49" t="str">
        <v>Incineration</v>
      </c>
      <c r="E136" s="51" t="str">
        <v>Municipal solid waste</v>
      </c>
      <c r="F136" s="50"/>
      <c r="G136" s="28"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8">
        <f t="shared" ref="H136:H149" si="2">I41</f>
        <v>0</v>
      </c>
      <c r="I136" s="28">
        <f t="shared" ref="I136:I137" si="3">G136+H136</f>
        <v>0</v>
      </c>
      <c r="J136" s="28"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8" cm="1">
        <f t="array" ref="K136">WasteSolid_Equations.VEERG_10_1_1_1__1_EmissionsFromWasteManagement(I136, J136)</f>
        <v>0</v>
      </c>
    </row>
    <row r="137" spans="1:11" ht="20.100000000000001" customHeight="1" x14ac:dyDescent="0.25">
      <c r="D137" s="49" t="str">
        <v>Incineration</v>
      </c>
      <c r="E137" s="51" t="str">
        <v>Commercial and industrial waste</v>
      </c>
      <c r="F137" s="50"/>
      <c r="G137" s="28"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8">
        <f t="shared" si="2"/>
        <v>0</v>
      </c>
      <c r="I137" s="28">
        <f t="shared" si="3"/>
        <v>0</v>
      </c>
      <c r="J137" s="28" cm="1">
        <f t="array" ref="J137">Common_InputFunctions.Utility_LookupValueInTableTwoColumns(D137,E137,Table_SourceData_WasteSolid_WasteTreatmentEFs[Treatment type t],Table_SourceData_WasteSolid_WasteTreatmentEFs[Waste type w],Table_SourceData_WasteSolid_WasteTreatmentEFs[EFwt])</f>
        <v>1.649</v>
      </c>
      <c r="K137" s="28" cm="1">
        <f t="array" ref="K137">WasteSolid_Equations.VEERG_10_1_1_1__1_EmissionsFromWasteManagement(I137, J137)</f>
        <v>0</v>
      </c>
    </row>
    <row r="138" spans="1:11" ht="20.100000000000001" customHeight="1" x14ac:dyDescent="0.25">
      <c r="D138" s="49" t="str">
        <v>Composting</v>
      </c>
      <c r="E138" s="51" t="str">
        <v>All organic waste</v>
      </c>
      <c r="F138" s="50"/>
      <c r="G138" s="28" t="s">
        <v>150</v>
      </c>
      <c r="H138" s="28" t="str">
        <f t="shared" si="2"/>
        <v>Not used</v>
      </c>
      <c r="I138" s="28">
        <f>SUM(G139:G143)+SUM(H139:H143)</f>
        <v>29.5</v>
      </c>
      <c r="J138" s="28"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8" cm="1">
        <f t="array" ref="K138">WasteSolid_Equations.VEERG_10_1_1_1__1_EmissionsFromWasteManagement(I138, J138)</f>
        <v>1.357</v>
      </c>
    </row>
    <row r="139" spans="1:11" ht="20.100000000000001" customHeight="1" x14ac:dyDescent="0.25">
      <c r="D139" s="49" t="str">
        <v>Composting</v>
      </c>
      <c r="E139" s="51" t="str">
        <v>Food waste (including animal carcasses, spoiled animal feed or crop)</v>
      </c>
      <c r="F139" s="50"/>
      <c r="G139" s="28"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8">
        <f t="shared" si="2"/>
        <v>25</v>
      </c>
      <c r="I139" s="28" t="s">
        <v>155</v>
      </c>
      <c r="J139" s="28" t="s">
        <v>150</v>
      </c>
      <c r="K139" s="28" t="s">
        <v>150</v>
      </c>
    </row>
    <row r="140" spans="1:11" ht="20.100000000000001" customHeight="1" x14ac:dyDescent="0.25">
      <c r="D140" s="49" t="str">
        <v>Composting</v>
      </c>
      <c r="E140" s="51" t="str">
        <v>Green waste (including crop residues or prunings)</v>
      </c>
      <c r="F140" s="50"/>
      <c r="G140" s="28"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8">
        <f t="shared" si="2"/>
        <v>0</v>
      </c>
      <c r="I140" s="28" t="s">
        <v>155</v>
      </c>
      <c r="J140" s="28" t="s">
        <v>150</v>
      </c>
      <c r="K140" s="28" t="s">
        <v>150</v>
      </c>
    </row>
    <row r="141" spans="1:11" ht="20.100000000000001" customHeight="1" x14ac:dyDescent="0.25">
      <c r="D141" s="49" t="str">
        <v>Composting</v>
      </c>
      <c r="E141" s="51" t="str">
        <v>Wood</v>
      </c>
      <c r="F141" s="50"/>
      <c r="G141" s="28"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8">
        <f t="shared" si="2"/>
        <v>0</v>
      </c>
      <c r="I141" s="28" t="s">
        <v>155</v>
      </c>
      <c r="J141" s="28" t="s">
        <v>150</v>
      </c>
      <c r="K141" s="28" t="s">
        <v>150</v>
      </c>
    </row>
    <row r="142" spans="1:11" ht="20.100000000000001" customHeight="1" x14ac:dyDescent="0.25">
      <c r="D142" s="49" t="str">
        <v>Composting</v>
      </c>
      <c r="E142" s="51" t="str">
        <v>Sludge</v>
      </c>
      <c r="F142" s="50"/>
      <c r="G142" s="28"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8">
        <f t="shared" si="2"/>
        <v>0</v>
      </c>
      <c r="I142" s="28" t="s">
        <v>155</v>
      </c>
      <c r="J142" s="28" t="s">
        <v>150</v>
      </c>
      <c r="K142" s="28" t="s">
        <v>150</v>
      </c>
    </row>
    <row r="143" spans="1:11" ht="20.100000000000001" customHeight="1" x14ac:dyDescent="0.25">
      <c r="D143" s="49" t="str">
        <v>Composting</v>
      </c>
      <c r="E143" s="51" t="str">
        <v>Paper and cardboard</v>
      </c>
      <c r="F143" s="50"/>
      <c r="G143" s="28"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8">
        <f t="shared" si="2"/>
        <v>4.5</v>
      </c>
      <c r="I143" s="28" t="s">
        <v>155</v>
      </c>
      <c r="J143" s="28" t="s">
        <v>150</v>
      </c>
      <c r="K143" s="28" t="s">
        <v>150</v>
      </c>
    </row>
    <row r="144" spans="1:11" ht="20.100000000000001" customHeight="1" x14ac:dyDescent="0.25">
      <c r="D144" s="49" t="str">
        <v>Anaerobic digestion</v>
      </c>
      <c r="E144" s="51" t="str">
        <v>All organic waste</v>
      </c>
      <c r="F144" s="50"/>
      <c r="G144" s="28" t="s">
        <v>150</v>
      </c>
      <c r="H144" s="28" t="str">
        <f t="shared" si="2"/>
        <v>Not used</v>
      </c>
      <c r="I144" s="28">
        <f>SUM(G145:G149)+SUM(H145:H149)</f>
        <v>0</v>
      </c>
      <c r="J144" s="28"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8" cm="1">
        <f t="array" ref="K144">WasteSolid_Equations.VEERG_10_1_1_1__1_EmissionsFromWasteManagement(I144, J144)</f>
        <v>0</v>
      </c>
    </row>
    <row r="145" spans="4:11" ht="20.100000000000001" customHeight="1" x14ac:dyDescent="0.25">
      <c r="D145" s="49" t="str">
        <v>Anaerobic digestion</v>
      </c>
      <c r="E145" s="51" t="str">
        <v>Food waste (including animal carcasses, spoiled animal feed or crop)</v>
      </c>
      <c r="F145" s="50"/>
      <c r="G145" s="28"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8">
        <f t="shared" si="2"/>
        <v>0</v>
      </c>
      <c r="I145" s="28" t="s">
        <v>155</v>
      </c>
      <c r="J145" s="28" t="s">
        <v>150</v>
      </c>
      <c r="K145" s="28" t="s">
        <v>150</v>
      </c>
    </row>
    <row r="146" spans="4:11" ht="20.100000000000001" customHeight="1" x14ac:dyDescent="0.25">
      <c r="D146" s="49" t="str">
        <v>Anaerobic digestion</v>
      </c>
      <c r="E146" s="51" t="str">
        <v>Green waste (including crop residues or prunings)</v>
      </c>
      <c r="F146" s="50"/>
      <c r="G146" s="28"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8">
        <f t="shared" si="2"/>
        <v>0</v>
      </c>
      <c r="I146" s="28" t="s">
        <v>155</v>
      </c>
      <c r="J146" s="28" t="s">
        <v>150</v>
      </c>
      <c r="K146" s="28" t="s">
        <v>150</v>
      </c>
    </row>
    <row r="147" spans="4:11" ht="20.100000000000001" customHeight="1" x14ac:dyDescent="0.25">
      <c r="D147" s="49" t="str">
        <v>Anaerobic digestion</v>
      </c>
      <c r="E147" s="51" t="str">
        <v>Wood</v>
      </c>
      <c r="F147" s="50"/>
      <c r="G147" s="28"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8">
        <f t="shared" si="2"/>
        <v>0</v>
      </c>
      <c r="I147" s="28" t="s">
        <v>155</v>
      </c>
      <c r="J147" s="28" t="s">
        <v>150</v>
      </c>
      <c r="K147" s="28" t="s">
        <v>150</v>
      </c>
    </row>
    <row r="148" spans="4:11" ht="20.100000000000001" customHeight="1" x14ac:dyDescent="0.25">
      <c r="D148" s="49" t="str">
        <v>Anaerobic digestion</v>
      </c>
      <c r="E148" s="51" t="str">
        <v>Sludge</v>
      </c>
      <c r="F148" s="50"/>
      <c r="G148" s="28"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8">
        <f t="shared" si="2"/>
        <v>0</v>
      </c>
      <c r="I148" s="28" t="s">
        <v>155</v>
      </c>
      <c r="J148" s="28" t="s">
        <v>150</v>
      </c>
      <c r="K148" s="28" t="s">
        <v>150</v>
      </c>
    </row>
    <row r="149" spans="4:11" ht="20.100000000000001" customHeight="1" x14ac:dyDescent="0.25">
      <c r="D149" s="49" t="str">
        <v>Anaerobic digestion</v>
      </c>
      <c r="E149" s="51" t="str">
        <v>Paper and cardboard</v>
      </c>
      <c r="F149" s="50"/>
      <c r="G149" s="28"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8">
        <f t="shared" si="2"/>
        <v>0</v>
      </c>
      <c r="I149" s="28" t="s">
        <v>155</v>
      </c>
      <c r="J149" s="28" t="s">
        <v>150</v>
      </c>
      <c r="K149" s="28" t="s">
        <v>150</v>
      </c>
    </row>
    <row r="150" spans="4:11" ht="20.100000000000001" customHeight="1" x14ac:dyDescent="0.25"/>
    <row r="151" spans="4:11" ht="20.100000000000001" customHeight="1" x14ac:dyDescent="0.25">
      <c r="D151" s="62" t="s">
        <v>119</v>
      </c>
      <c r="E151" s="64">
        <f>SUM(K116:K149)</f>
        <v>438.82805000000002</v>
      </c>
      <c r="F151" s="69" t="str">
        <f>$E$103</f>
        <v>t CO2e</v>
      </c>
    </row>
    <row r="152" spans="4:11" ht="20.100000000000001" customHeight="1" x14ac:dyDescent="0.25"/>
    <row r="153" spans="4:11" ht="20.100000000000001" customHeight="1" x14ac:dyDescent="0.25"/>
    <row r="154" spans="4:11" ht="20.100000000000001" customHeight="1" x14ac:dyDescent="0.25">
      <c r="D154" s="70" t="s">
        <v>125</v>
      </c>
    </row>
    <row r="155" spans="4:11" ht="20.100000000000001" customHeight="1" x14ac:dyDescent="0.25">
      <c r="D155" s="71" t="s">
        <v>126</v>
      </c>
    </row>
    <row r="156" spans="4:11" ht="20.100000000000001" customHeight="1" x14ac:dyDescent="0.25">
      <c r="D156" s="67" t="s">
        <v>94</v>
      </c>
      <c r="E156" s="67" t="s">
        <v>95</v>
      </c>
      <c r="F156" s="67"/>
      <c r="G156" s="67" t="s">
        <v>154</v>
      </c>
      <c r="H156" s="72" t="s">
        <v>153</v>
      </c>
      <c r="I156" s="72" t="s">
        <v>97</v>
      </c>
      <c r="J156" s="72" t="s">
        <v>152</v>
      </c>
      <c r="K156" s="72" t="s">
        <v>151</v>
      </c>
    </row>
    <row r="157" spans="4:11" ht="20.100000000000001" customHeight="1" x14ac:dyDescent="0.25">
      <c r="D157" s="49" t="str" cm="1">
        <f t="array" ref="D157:D190">Table_SourceData_WasteSolid_WasteTreatmentEFs[Treatment type t]</f>
        <v>Landfill</v>
      </c>
      <c r="E157" s="51" t="str" cm="1">
        <f t="array" ref="E157:E190">Table_SourceData_WasteSolid_WasteTreatmentEFs[Waste type w]</f>
        <v>Food waste (including animal carcasses, spoiled animal feed or crop)</v>
      </c>
      <c r="F157" s="73"/>
      <c r="G157" s="28"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8">
        <f t="shared" ref="H157:H176" si="4">I59</f>
        <v>25</v>
      </c>
      <c r="I157" s="28">
        <f>G157+H157</f>
        <v>75</v>
      </c>
      <c r="J157" s="28" cm="1">
        <f t="array" ref="J157">Common_InputFunctions.Utility_LookupValueInTableTwoColumns(D157,E157,Table_SourceData_WasteSolid_WasteTreatmentEFs[Treatment type t],Table_SourceData_WasteSolid_WasteTreatmentEFs[Waste type w],Table_SourceData_WasteSolid_WasteTreatmentEFs[EFwt])</f>
        <v>2.1</v>
      </c>
      <c r="K157" s="28" cm="1">
        <f t="array" ref="K157">WasteSolid_Equations.VEERG_10_1_1_1__1_EmissionsFromWasteManagement(I157, J157)</f>
        <v>157.5</v>
      </c>
    </row>
    <row r="158" spans="4:11" ht="20.100000000000001" customHeight="1" x14ac:dyDescent="0.25">
      <c r="D158" s="49" t="str">
        <v>Landfill</v>
      </c>
      <c r="E158" s="51" t="str">
        <v>Paper and cardboard</v>
      </c>
      <c r="F158" s="73"/>
      <c r="G158" s="28"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8">
        <f t="shared" si="4"/>
        <v>4.5</v>
      </c>
      <c r="I158" s="28">
        <f t="shared" ref="I158:I176" si="5">G158+H158</f>
        <v>54.5</v>
      </c>
      <c r="J158" s="28" cm="1">
        <f t="array" ref="J158">Common_InputFunctions.Utility_LookupValueInTableTwoColumns(D158,E158,Table_SourceData_WasteSolid_WasteTreatmentEFs[Treatment type t],Table_SourceData_WasteSolid_WasteTreatmentEFs[Waste type w],Table_SourceData_WasteSolid_WasteTreatmentEFs[EFwt])</f>
        <v>3.3</v>
      </c>
      <c r="K158" s="28" cm="1">
        <f t="array" ref="K158">WasteSolid_Equations.VEERG_10_1_1_1__1_EmissionsFromWasteManagement(I158, J158)</f>
        <v>179.85</v>
      </c>
    </row>
    <row r="159" spans="4:11" ht="20.100000000000001" customHeight="1" x14ac:dyDescent="0.25">
      <c r="D159" s="49" t="str">
        <v>Landfill</v>
      </c>
      <c r="E159" s="51" t="str">
        <v>Green waste (including crop residues or prunings)</v>
      </c>
      <c r="F159" s="73"/>
      <c r="G159" s="28"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8">
        <f t="shared" si="4"/>
        <v>12</v>
      </c>
      <c r="I159" s="28">
        <f t="shared" si="5"/>
        <v>62</v>
      </c>
      <c r="J159" s="28" cm="1">
        <f t="array" ref="J159">Common_InputFunctions.Utility_LookupValueInTableTwoColumns(D159,E159,Table_SourceData_WasteSolid_WasteTreatmentEFs[Treatment type t],Table_SourceData_WasteSolid_WasteTreatmentEFs[Waste type w],Table_SourceData_WasteSolid_WasteTreatmentEFs[EFwt])</f>
        <v>1.6</v>
      </c>
      <c r="K159" s="28" cm="1">
        <f t="array" ref="K159">WasteSolid_Equations.VEERG_10_1_1_1__1_EmissionsFromWasteManagement(I159, J159)</f>
        <v>99.2</v>
      </c>
    </row>
    <row r="160" spans="4:11" ht="20.100000000000001" customHeight="1" x14ac:dyDescent="0.25">
      <c r="D160" s="49" t="str">
        <v>Landfill</v>
      </c>
      <c r="E160" s="51" t="str">
        <v>Wood</v>
      </c>
      <c r="F160" s="73"/>
      <c r="G160" s="28"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8">
        <f t="shared" si="4"/>
        <v>0</v>
      </c>
      <c r="I160" s="28">
        <f t="shared" si="5"/>
        <v>0</v>
      </c>
      <c r="J160" s="28" cm="1">
        <f t="array" ref="J160">Common_InputFunctions.Utility_LookupValueInTableTwoColumns(D160,E160,Table_SourceData_WasteSolid_WasteTreatmentEFs[Treatment type t],Table_SourceData_WasteSolid_WasteTreatmentEFs[Waste type w],Table_SourceData_WasteSolid_WasteTreatmentEFs[EFwt])</f>
        <v>0.7</v>
      </c>
      <c r="K160" s="28" cm="1">
        <f t="array" ref="K160">WasteSolid_Equations.VEERG_10_1_1_1__1_EmissionsFromWasteManagement(I160, J160)</f>
        <v>0</v>
      </c>
    </row>
    <row r="161" spans="4:11" ht="20.100000000000001" customHeight="1" x14ac:dyDescent="0.25">
      <c r="D161" s="49" t="str">
        <v>Landfill</v>
      </c>
      <c r="E161" s="51" t="str">
        <v>Textiles</v>
      </c>
      <c r="F161" s="73"/>
      <c r="G161" s="28"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8">
        <f t="shared" si="4"/>
        <v>0</v>
      </c>
      <c r="I161" s="28">
        <f t="shared" si="5"/>
        <v>0</v>
      </c>
      <c r="J161" s="28" cm="1">
        <f t="array" ref="J161">Common_InputFunctions.Utility_LookupValueInTableTwoColumns(D161,E161,Table_SourceData_WasteSolid_WasteTreatmentEFs[Treatment type t],Table_SourceData_WasteSolid_WasteTreatmentEFs[Waste type w],Table_SourceData_WasteSolid_WasteTreatmentEFs[EFwt])</f>
        <v>2</v>
      </c>
      <c r="K161" s="28" cm="1">
        <f t="array" ref="K161">WasteSolid_Equations.VEERG_10_1_1_1__1_EmissionsFromWasteManagement(I161, J161)</f>
        <v>0</v>
      </c>
    </row>
    <row r="162" spans="4:11" ht="20.100000000000001" customHeight="1" x14ac:dyDescent="0.25">
      <c r="D162" s="49" t="str">
        <v>Landfill</v>
      </c>
      <c r="E162" s="51" t="str">
        <v>Sludge</v>
      </c>
      <c r="F162" s="73"/>
      <c r="G162" s="28"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8">
        <f t="shared" si="4"/>
        <v>0</v>
      </c>
      <c r="I162" s="28">
        <f t="shared" si="5"/>
        <v>0</v>
      </c>
      <c r="J162" s="28" cm="1">
        <f t="array" ref="J162">Common_InputFunctions.Utility_LookupValueInTableTwoColumns(D162,E162,Table_SourceData_WasteSolid_WasteTreatmentEFs[Treatment type t],Table_SourceData_WasteSolid_WasteTreatmentEFs[Waste type w],Table_SourceData_WasteSolid_WasteTreatmentEFs[EFwt])</f>
        <v>0.4</v>
      </c>
      <c r="K162" s="28" cm="1">
        <f t="array" ref="K162">WasteSolid_Equations.VEERG_10_1_1_1__1_EmissionsFromWasteManagement(I162, J162)</f>
        <v>0</v>
      </c>
    </row>
    <row r="163" spans="4:11" ht="20.100000000000001" customHeight="1" x14ac:dyDescent="0.25">
      <c r="D163" s="49" t="str">
        <v>Landfill</v>
      </c>
      <c r="E163" s="51" t="str">
        <v>Rubber and leather</v>
      </c>
      <c r="F163" s="73"/>
      <c r="G163" s="28"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8">
        <f t="shared" si="4"/>
        <v>0</v>
      </c>
      <c r="I163" s="28">
        <f t="shared" si="5"/>
        <v>0</v>
      </c>
      <c r="J163" s="28" cm="1">
        <f t="array" ref="J163">Common_InputFunctions.Utility_LookupValueInTableTwoColumns(D163,E163,Table_SourceData_WasteSolid_WasteTreatmentEFs[Treatment type t],Table_SourceData_WasteSolid_WasteTreatmentEFs[Waste type w],Table_SourceData_WasteSolid_WasteTreatmentEFs[EFwt])</f>
        <v>3.3</v>
      </c>
      <c r="K163" s="28" cm="1">
        <f t="array" ref="K163">WasteSolid_Equations.VEERG_10_1_1_1__1_EmissionsFromWasteManagement(I163, J163)</f>
        <v>0</v>
      </c>
    </row>
    <row r="164" spans="4:11" ht="20.100000000000001" customHeight="1" x14ac:dyDescent="0.25">
      <c r="D164" s="49" t="str">
        <v>Landfill</v>
      </c>
      <c r="E164" s="51" t="str">
        <v>Inert waste (including concrete, metal, plastic or glass)</v>
      </c>
      <c r="F164" s="73"/>
      <c r="G164" s="28"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8">
        <f t="shared" si="4"/>
        <v>0</v>
      </c>
      <c r="I164" s="28">
        <f t="shared" si="5"/>
        <v>0</v>
      </c>
      <c r="J164" s="28" cm="1">
        <f t="array" ref="J164">Common_InputFunctions.Utility_LookupValueInTableTwoColumns(D164,E164,Table_SourceData_WasteSolid_WasteTreatmentEFs[Treatment type t],Table_SourceData_WasteSolid_WasteTreatmentEFs[Waste type w],Table_SourceData_WasteSolid_WasteTreatmentEFs[EFwt])</f>
        <v>0</v>
      </c>
      <c r="K164" s="28" cm="1">
        <f t="array" ref="K164">WasteSolid_Equations.VEERG_10_1_1_1__1_EmissionsFromWasteManagement(I164, J164)</f>
        <v>0</v>
      </c>
    </row>
    <row r="165" spans="4:11" ht="20.100000000000001" customHeight="1" x14ac:dyDescent="0.25">
      <c r="D165" s="49" t="str">
        <v>Landfill</v>
      </c>
      <c r="E165" s="51" t="str">
        <v>Municipal solid waste</v>
      </c>
      <c r="F165" s="73"/>
      <c r="G165" s="28"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8">
        <f t="shared" si="4"/>
        <v>0</v>
      </c>
      <c r="I165" s="28">
        <f t="shared" si="5"/>
        <v>0</v>
      </c>
      <c r="J165" s="28" cm="1">
        <f t="array" ref="J165">Common_InputFunctions.Utility_LookupValueInTableTwoColumns(D165,E165,Table_SourceData_WasteSolid_WasteTreatmentEFs[Treatment type t],Table_SourceData_WasteSolid_WasteTreatmentEFs[Waste type w],Table_SourceData_WasteSolid_WasteTreatmentEFs[EFwt])</f>
        <v>1.6</v>
      </c>
      <c r="K165" s="28" cm="1">
        <f t="array" ref="K165">WasteSolid_Equations.VEERG_10_1_1_1__1_EmissionsFromWasteManagement(I165, J165)</f>
        <v>0</v>
      </c>
    </row>
    <row r="166" spans="4:11" ht="20.100000000000001" customHeight="1" x14ac:dyDescent="0.25">
      <c r="D166" s="49" t="str">
        <v>Landfill</v>
      </c>
      <c r="E166" s="51" t="str">
        <v>Commercial and industrial waste</v>
      </c>
      <c r="F166" s="73"/>
      <c r="G166" s="28"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8">
        <f t="shared" si="4"/>
        <v>0</v>
      </c>
      <c r="I166" s="28">
        <f t="shared" si="5"/>
        <v>0</v>
      </c>
      <c r="J166" s="28" cm="1">
        <f t="array" ref="J166">Common_InputFunctions.Utility_LookupValueInTableTwoColumns(D166,E166,Table_SourceData_WasteSolid_WasteTreatmentEFs[Treatment type t],Table_SourceData_WasteSolid_WasteTreatmentEFs[Waste type w],Table_SourceData_WasteSolid_WasteTreatmentEFs[EFwt])</f>
        <v>1.3</v>
      </c>
      <c r="K166" s="28" cm="1">
        <f t="array" ref="K166">WasteSolid_Equations.VEERG_10_1_1_1__1_EmissionsFromWasteManagement(I166, J166)</f>
        <v>0</v>
      </c>
    </row>
    <row r="167" spans="4:11" ht="20.100000000000001" customHeight="1" x14ac:dyDescent="0.25">
      <c r="D167" s="49" t="str">
        <v>Landfill</v>
      </c>
      <c r="E167" s="51" t="str">
        <v>Construction and demolition waste</v>
      </c>
      <c r="F167" s="73"/>
      <c r="G167" s="28"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8">
        <f t="shared" si="4"/>
        <v>0</v>
      </c>
      <c r="I167" s="28">
        <f t="shared" si="5"/>
        <v>0</v>
      </c>
      <c r="J167" s="28" cm="1">
        <f t="array" ref="J167">Common_InputFunctions.Utility_LookupValueInTableTwoColumns(D167,E167,Table_SourceData_WasteSolid_WasteTreatmentEFs[Treatment type t],Table_SourceData_WasteSolid_WasteTreatmentEFs[Waste type w],Table_SourceData_WasteSolid_WasteTreatmentEFs[EFwt])</f>
        <v>0.2</v>
      </c>
      <c r="K167" s="28" cm="1">
        <f t="array" ref="K167">WasteSolid_Equations.VEERG_10_1_1_1__1_EmissionsFromWasteManagement(I167, J167)</f>
        <v>0</v>
      </c>
    </row>
    <row r="168" spans="4:11" ht="20.100000000000001" customHeight="1" x14ac:dyDescent="0.25">
      <c r="D168" s="49" t="str">
        <v>Incineration</v>
      </c>
      <c r="E168" s="51" t="str">
        <v>Food waste, green waste, wood, sludge</v>
      </c>
      <c r="F168" s="73"/>
      <c r="G168" s="28" t="s">
        <v>150</v>
      </c>
      <c r="H168" s="28" t="str">
        <f t="shared" si="4"/>
        <v>Not used</v>
      </c>
      <c r="I168" s="28">
        <f>SUM(G169:G172)+SUM(H169:H172)</f>
        <v>62</v>
      </c>
      <c r="J168" s="28" cm="1">
        <f t="array" ref="J168">Common_InputFunctions.Utility_LookupValueInTableTwoColumns(D168,E168,Table_SourceData_WasteSolid_WasteTreatmentEFs[Treatment type t],Table_SourceData_WasteSolid_WasteTreatmentEFs[Waste type w],Table_SourceData_WasteSolid_WasteTreatmentEFs[EFwt])</f>
        <v>0</v>
      </c>
      <c r="K168" s="28" cm="1">
        <f t="array" ref="K168">WasteSolid_Equations.VEERG_10_1_1_1__1_EmissionsFromWasteManagement(I168, J168)</f>
        <v>0</v>
      </c>
    </row>
    <row r="169" spans="4:11" ht="20.100000000000001" customHeight="1" x14ac:dyDescent="0.25">
      <c r="D169" s="49" t="str">
        <v>Incineration</v>
      </c>
      <c r="E169" s="51" t="str">
        <v>Food waste (including animal carcasses, spoiled animal feed or crop)</v>
      </c>
      <c r="F169" s="73"/>
      <c r="G169" s="28"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8">
        <f t="shared" si="4"/>
        <v>0</v>
      </c>
      <c r="I169" s="28" t="s">
        <v>155</v>
      </c>
      <c r="J169" s="28" t="s">
        <v>150</v>
      </c>
      <c r="K169" s="28" t="s">
        <v>150</v>
      </c>
    </row>
    <row r="170" spans="4:11" ht="20.100000000000001" customHeight="1" x14ac:dyDescent="0.25">
      <c r="D170" s="49" t="str">
        <v>Incineration</v>
      </c>
      <c r="E170" s="51" t="str">
        <v>Green waste (including crop residues or prunings)</v>
      </c>
      <c r="F170" s="73"/>
      <c r="G170" s="28"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8">
        <f t="shared" si="4"/>
        <v>12</v>
      </c>
      <c r="I170" s="28" t="s">
        <v>155</v>
      </c>
      <c r="J170" s="28" t="s">
        <v>150</v>
      </c>
      <c r="K170" s="28" t="s">
        <v>150</v>
      </c>
    </row>
    <row r="171" spans="4:11" ht="20.100000000000001" customHeight="1" x14ac:dyDescent="0.25">
      <c r="D171" s="49" t="str">
        <v>Incineration</v>
      </c>
      <c r="E171" s="51" t="str">
        <v>Wood</v>
      </c>
      <c r="F171" s="73"/>
      <c r="G171" s="28"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8">
        <f t="shared" si="4"/>
        <v>0</v>
      </c>
      <c r="I171" s="28" t="s">
        <v>155</v>
      </c>
      <c r="J171" s="28" t="s">
        <v>150</v>
      </c>
      <c r="K171" s="28" t="s">
        <v>150</v>
      </c>
    </row>
    <row r="172" spans="4:11" ht="20.100000000000001" customHeight="1" x14ac:dyDescent="0.25">
      <c r="D172" s="49" t="str">
        <v>Incineration</v>
      </c>
      <c r="E172" s="51" t="str">
        <v>Sludge</v>
      </c>
      <c r="F172" s="73"/>
      <c r="G172" s="28"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8">
        <f t="shared" si="4"/>
        <v>0</v>
      </c>
      <c r="I172" s="28" t="s">
        <v>155</v>
      </c>
      <c r="J172" s="28" t="s">
        <v>150</v>
      </c>
      <c r="K172" s="28" t="s">
        <v>150</v>
      </c>
    </row>
    <row r="173" spans="4:11" ht="20.100000000000001" customHeight="1" x14ac:dyDescent="0.25">
      <c r="D173" s="49" t="str">
        <v>Incineration</v>
      </c>
      <c r="E173" s="51" t="str">
        <v>Paper and cardboard</v>
      </c>
      <c r="F173" s="73"/>
      <c r="G173" s="28"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8">
        <f t="shared" si="4"/>
        <v>0</v>
      </c>
      <c r="I173" s="28">
        <f t="shared" si="5"/>
        <v>0</v>
      </c>
      <c r="J173" s="28"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8" cm="1">
        <f t="array" ref="K173">WasteSolid_Equations.VEERG_10_1_1_1__1_EmissionsFromWasteManagement(I173, J173)</f>
        <v>0</v>
      </c>
    </row>
    <row r="174" spans="4:11" ht="20.100000000000001" customHeight="1" x14ac:dyDescent="0.25">
      <c r="D174" s="49" t="str">
        <v>Incineration</v>
      </c>
      <c r="E174" s="51" t="str">
        <v>Textiles</v>
      </c>
      <c r="F174" s="73"/>
      <c r="G174" s="28"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8">
        <f t="shared" si="4"/>
        <v>0</v>
      </c>
      <c r="I174" s="28">
        <f t="shared" si="5"/>
        <v>0</v>
      </c>
      <c r="J174" s="28"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8" cm="1">
        <f t="array" ref="K174">WasteSolid_Equations.VEERG_10_1_1_1__1_EmissionsFromWasteManagement(I174, J174)</f>
        <v>0</v>
      </c>
    </row>
    <row r="175" spans="4:11" ht="20.100000000000001" customHeight="1" x14ac:dyDescent="0.25">
      <c r="D175" s="49" t="str">
        <v>Incineration</v>
      </c>
      <c r="E175" s="51" t="str">
        <v>Rubber and leather</v>
      </c>
      <c r="F175" s="73"/>
      <c r="G175" s="28"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8">
        <f t="shared" si="4"/>
        <v>0</v>
      </c>
      <c r="I175" s="28">
        <f t="shared" si="5"/>
        <v>0</v>
      </c>
      <c r="J175" s="28" cm="1">
        <f t="array" ref="J175">Common_InputFunctions.Utility_LookupValueInTableTwoColumns(D175,E175,Table_SourceData_WasteSolid_WasteTreatmentEFs[Treatment type t],Table_SourceData_WasteSolid_WasteTreatmentEFs[Waste type w],Table_SourceData_WasteSolid_WasteTreatmentEFs[EFwt])</f>
        <v>0.4919</v>
      </c>
      <c r="K175" s="28" cm="1">
        <f t="array" ref="K175">WasteSolid_Equations.VEERG_10_1_1_1__1_EmissionsFromWasteManagement(I175, J175)</f>
        <v>0</v>
      </c>
    </row>
    <row r="176" spans="4:11" ht="20.100000000000001" customHeight="1" x14ac:dyDescent="0.25">
      <c r="D176" s="49" t="str">
        <v>Incineration</v>
      </c>
      <c r="E176" s="51" t="str">
        <v>Inert waste (including concrete, metal, plastic or glass)</v>
      </c>
      <c r="F176" s="73"/>
      <c r="G176" s="28"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8">
        <f t="shared" si="4"/>
        <v>0</v>
      </c>
      <c r="I176" s="28">
        <f t="shared" si="5"/>
        <v>0</v>
      </c>
      <c r="J176" s="28" cm="1">
        <f t="array" ref="J176">Common_InputFunctions.Utility_LookupValueInTableTwoColumns(D176,E176,Table_SourceData_WasteSolid_WasteTreatmentEFs[Treatment type t],Table_SourceData_WasteSolid_WasteTreatmentEFs[Waste type w],Table_SourceData_WasteSolid_WasteTreatmentEFs[EFwt])</f>
        <v>0.11</v>
      </c>
      <c r="K176" s="28" cm="1">
        <f t="array" ref="K176">WasteSolid_Equations.VEERG_10_1_1_1__1_EmissionsFromWasteManagement(I176, J176)</f>
        <v>0</v>
      </c>
    </row>
    <row r="177" spans="4:11" ht="20.100000000000001" customHeight="1" x14ac:dyDescent="0.25">
      <c r="D177" s="49" t="str">
        <v>Incineration</v>
      </c>
      <c r="E177" s="51" t="str">
        <v>Municipal solid waste</v>
      </c>
      <c r="F177" s="50"/>
      <c r="G177" s="28"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8">
        <f t="shared" ref="H177:H190" si="6">I79</f>
        <v>0</v>
      </c>
      <c r="I177" s="28">
        <f t="shared" ref="I177:I178" si="7">G177+H177</f>
        <v>0</v>
      </c>
      <c r="J177" s="28"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8" cm="1">
        <f t="array" ref="K177">WasteSolid_Equations.VEERG_10_1_1_1__1_EmissionsFromWasteManagement(I177, J177)</f>
        <v>0</v>
      </c>
    </row>
    <row r="178" spans="4:11" ht="20.100000000000001" customHeight="1" x14ac:dyDescent="0.25">
      <c r="D178" s="49" t="str">
        <v>Incineration</v>
      </c>
      <c r="E178" s="51" t="str">
        <v>Commercial and industrial waste</v>
      </c>
      <c r="F178" s="50"/>
      <c r="G178" s="28"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8">
        <f t="shared" si="6"/>
        <v>0</v>
      </c>
      <c r="I178" s="28">
        <f t="shared" si="7"/>
        <v>0</v>
      </c>
      <c r="J178" s="28" cm="1">
        <f t="array" ref="J178">Common_InputFunctions.Utility_LookupValueInTableTwoColumns(D178,E178,Table_SourceData_WasteSolid_WasteTreatmentEFs[Treatment type t],Table_SourceData_WasteSolid_WasteTreatmentEFs[Waste type w],Table_SourceData_WasteSolid_WasteTreatmentEFs[EFwt])</f>
        <v>1.649</v>
      </c>
      <c r="K178" s="28" cm="1">
        <f t="array" ref="K178">WasteSolid_Equations.VEERG_10_1_1_1__1_EmissionsFromWasteManagement(I178, J178)</f>
        <v>0</v>
      </c>
    </row>
    <row r="179" spans="4:11" ht="20.100000000000001" customHeight="1" x14ac:dyDescent="0.25">
      <c r="D179" s="49" t="str">
        <v>Composting</v>
      </c>
      <c r="E179" s="51" t="str">
        <v>All organic waste</v>
      </c>
      <c r="F179" s="50"/>
      <c r="G179" s="28" t="s">
        <v>150</v>
      </c>
      <c r="H179" s="28" t="str">
        <f t="shared" si="6"/>
        <v>Not used</v>
      </c>
      <c r="I179" s="28">
        <f>SUM(G180:G184)+SUM(H180:H184)</f>
        <v>100</v>
      </c>
      <c r="J179" s="28"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8" cm="1">
        <f t="array" ref="K179">WasteSolid_Equations.VEERG_10_1_1_1__1_EmissionsFromWasteManagement(I179, J179)</f>
        <v>4.5999999999999996</v>
      </c>
    </row>
    <row r="180" spans="4:11" ht="20.100000000000001" customHeight="1" x14ac:dyDescent="0.25">
      <c r="D180" s="49" t="str">
        <v>Composting</v>
      </c>
      <c r="E180" s="51" t="str">
        <v>Food waste (including animal carcasses, spoiled animal feed or crop)</v>
      </c>
      <c r="F180" s="50"/>
      <c r="G180" s="28"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8">
        <f t="shared" si="6"/>
        <v>0</v>
      </c>
      <c r="I180" s="28" t="s">
        <v>155</v>
      </c>
      <c r="J180" s="28" t="s">
        <v>150</v>
      </c>
      <c r="K180" s="28" t="s">
        <v>150</v>
      </c>
    </row>
    <row r="181" spans="4:11" ht="20.100000000000001" customHeight="1" x14ac:dyDescent="0.25">
      <c r="D181" s="49" t="str">
        <v>Composting</v>
      </c>
      <c r="E181" s="51" t="str">
        <v>Green waste (including crop residues or prunings)</v>
      </c>
      <c r="F181" s="50"/>
      <c r="G181" s="28"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8">
        <f t="shared" si="6"/>
        <v>0</v>
      </c>
      <c r="I181" s="28" t="s">
        <v>155</v>
      </c>
      <c r="J181" s="28" t="s">
        <v>150</v>
      </c>
      <c r="K181" s="28" t="s">
        <v>150</v>
      </c>
    </row>
    <row r="182" spans="4:11" ht="20.100000000000001" customHeight="1" x14ac:dyDescent="0.25">
      <c r="D182" s="49" t="str">
        <v>Composting</v>
      </c>
      <c r="E182" s="51" t="str">
        <v>Wood</v>
      </c>
      <c r="F182" s="50"/>
      <c r="G182" s="28"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8">
        <f t="shared" si="6"/>
        <v>0</v>
      </c>
      <c r="I182" s="28" t="s">
        <v>155</v>
      </c>
      <c r="J182" s="28" t="s">
        <v>150</v>
      </c>
      <c r="K182" s="28" t="s">
        <v>150</v>
      </c>
    </row>
    <row r="183" spans="4:11" ht="20.100000000000001" customHeight="1" x14ac:dyDescent="0.25">
      <c r="D183" s="49" t="str">
        <v>Composting</v>
      </c>
      <c r="E183" s="51" t="str">
        <v>Sludge</v>
      </c>
      <c r="F183" s="50"/>
      <c r="G183" s="28"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8">
        <f t="shared" si="6"/>
        <v>0</v>
      </c>
      <c r="I183" s="28" t="s">
        <v>155</v>
      </c>
      <c r="J183" s="28" t="s">
        <v>150</v>
      </c>
      <c r="K183" s="28" t="s">
        <v>150</v>
      </c>
    </row>
    <row r="184" spans="4:11" ht="20.100000000000001" customHeight="1" x14ac:dyDescent="0.25">
      <c r="D184" s="49" t="str">
        <v>Composting</v>
      </c>
      <c r="E184" s="51" t="str">
        <v>Paper and cardboard</v>
      </c>
      <c r="F184" s="50"/>
      <c r="G184" s="28"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8">
        <f t="shared" si="6"/>
        <v>0</v>
      </c>
      <c r="I184" s="28" t="s">
        <v>155</v>
      </c>
      <c r="J184" s="28" t="s">
        <v>150</v>
      </c>
      <c r="K184" s="28" t="s">
        <v>150</v>
      </c>
    </row>
    <row r="185" spans="4:11" ht="20.100000000000001" customHeight="1" x14ac:dyDescent="0.25">
      <c r="D185" s="49" t="str">
        <v>Anaerobic digestion</v>
      </c>
      <c r="E185" s="51" t="str">
        <v>All organic waste</v>
      </c>
      <c r="F185" s="50"/>
      <c r="G185" s="28" t="s">
        <v>150</v>
      </c>
      <c r="H185" s="28" t="str">
        <f t="shared" si="6"/>
        <v>Not used</v>
      </c>
      <c r="I185" s="28">
        <f>SUM(G186:G190)+SUM(H186:H190)</f>
        <v>0</v>
      </c>
      <c r="J185" s="28"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8" cm="1">
        <f t="array" ref="K185">WasteSolid_Equations.VEERG_10_1_1_1__1_EmissionsFromWasteManagement(I185, J185)</f>
        <v>0</v>
      </c>
    </row>
    <row r="186" spans="4:11" ht="20.100000000000001" customHeight="1" x14ac:dyDescent="0.25">
      <c r="D186" s="49" t="str">
        <v>Anaerobic digestion</v>
      </c>
      <c r="E186" s="51" t="str">
        <v>Food waste (including animal carcasses, spoiled animal feed or crop)</v>
      </c>
      <c r="F186" s="50"/>
      <c r="G186" s="28"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8">
        <f t="shared" si="6"/>
        <v>0</v>
      </c>
      <c r="I186" s="28" t="s">
        <v>155</v>
      </c>
      <c r="J186" s="28" t="s">
        <v>150</v>
      </c>
      <c r="K186" s="28" t="s">
        <v>150</v>
      </c>
    </row>
    <row r="187" spans="4:11" ht="20.100000000000001" customHeight="1" x14ac:dyDescent="0.25">
      <c r="D187" s="49" t="str">
        <v>Anaerobic digestion</v>
      </c>
      <c r="E187" s="51" t="str">
        <v>Green waste (including crop residues or prunings)</v>
      </c>
      <c r="F187" s="50"/>
      <c r="G187" s="28"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8">
        <f t="shared" si="6"/>
        <v>0</v>
      </c>
      <c r="I187" s="28" t="s">
        <v>155</v>
      </c>
      <c r="J187" s="28" t="s">
        <v>150</v>
      </c>
      <c r="K187" s="28" t="s">
        <v>150</v>
      </c>
    </row>
    <row r="188" spans="4:11" ht="20.100000000000001" customHeight="1" x14ac:dyDescent="0.25">
      <c r="D188" s="49" t="str">
        <v>Anaerobic digestion</v>
      </c>
      <c r="E188" s="51" t="str">
        <v>Wood</v>
      </c>
      <c r="F188" s="50"/>
      <c r="G188" s="28"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8">
        <f t="shared" si="6"/>
        <v>0</v>
      </c>
      <c r="I188" s="28" t="s">
        <v>155</v>
      </c>
      <c r="J188" s="28" t="s">
        <v>150</v>
      </c>
      <c r="K188" s="28" t="s">
        <v>150</v>
      </c>
    </row>
    <row r="189" spans="4:11" ht="20.100000000000001" customHeight="1" x14ac:dyDescent="0.25">
      <c r="D189" s="49" t="str">
        <v>Anaerobic digestion</v>
      </c>
      <c r="E189" s="51" t="str">
        <v>Sludge</v>
      </c>
      <c r="F189" s="50"/>
      <c r="G189" s="28"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8">
        <f t="shared" si="6"/>
        <v>0</v>
      </c>
      <c r="I189" s="28" t="s">
        <v>155</v>
      </c>
      <c r="J189" s="28" t="s">
        <v>150</v>
      </c>
      <c r="K189" s="28" t="s">
        <v>150</v>
      </c>
    </row>
    <row r="190" spans="4:11" ht="20.100000000000001" customHeight="1" x14ac:dyDescent="0.25">
      <c r="D190" s="49" t="str">
        <v>Anaerobic digestion</v>
      </c>
      <c r="E190" s="51" t="str">
        <v>Paper and cardboard</v>
      </c>
      <c r="F190" s="50"/>
      <c r="G190" s="28"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8">
        <f t="shared" si="6"/>
        <v>0</v>
      </c>
      <c r="I190" s="28" t="s">
        <v>155</v>
      </c>
      <c r="J190" s="28" t="s">
        <v>150</v>
      </c>
      <c r="K190" s="28" t="s">
        <v>150</v>
      </c>
    </row>
    <row r="191" spans="4:11" ht="20.100000000000001" customHeight="1" x14ac:dyDescent="0.25"/>
    <row r="192" spans="4:11" ht="20.100000000000001" customHeight="1" x14ac:dyDescent="0.25">
      <c r="D192" s="62" t="s">
        <v>119</v>
      </c>
      <c r="E192" s="64">
        <f>SUM(K157:K190)</f>
        <v>441.15000000000003</v>
      </c>
      <c r="F192" s="69"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5" zoomScale="85" zoomScaleNormal="85" workbookViewId="0">
      <selection activeCell="H10" sqref="H10"/>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88</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WasteSolid_SourceData.Waste_EmissionFactorsForWasteTreatment_Title()</f>
        <v>Emission factors for wastes disposed of at different treatment facilities</v>
      </c>
    </row>
    <row r="6" spans="1:35" ht="20.100000000000001" customHeight="1" x14ac:dyDescent="0.25">
      <c r="A6" s="12"/>
      <c r="D6" s="4" t="str" cm="1">
        <f t="array" ref="D6">WasteSolid_SourceData.Waste_EmissionFactorsForWasteTreatment_Source()</f>
        <v>VEERG 2026: Table A.4.1.1</v>
      </c>
    </row>
    <row r="7" spans="1:35" ht="20.100000000000001" customHeight="1" x14ac:dyDescent="0.25">
      <c r="A7" s="16" t="s">
        <v>1</v>
      </c>
      <c r="D7" s="31" t="str" cm="1">
        <f t="array" ref="D7:D13">WasteSolid_SourceData.Waste_EmissionFactorsForWasteTreatment_Variation()</f>
        <v>VARIATION ON SOURCE:</v>
      </c>
    </row>
    <row r="8" spans="1:35" ht="20.100000000000001" customHeight="1" x14ac:dyDescent="0.25">
      <c r="A8" s="13" t="str">
        <f>HYPERLINK("#'Input - Solid waste'!A1", "Solid waste")</f>
        <v>Solid waste</v>
      </c>
      <c r="D8" s="31" t="str">
        <v>Fixed typo 'paper and carboard' to 'paper and cardboard'</v>
      </c>
    </row>
    <row r="9" spans="1:35" ht="20.100000000000001" customHeight="1" x14ac:dyDescent="0.25">
      <c r="A9" s="13"/>
      <c r="D9" s="31" t="str">
        <v>Fixed typo 'prunnings' to 'prunings'</v>
      </c>
    </row>
    <row r="10" spans="1:35" ht="20.100000000000001" customHeight="1" x14ac:dyDescent="0.25">
      <c r="A10" s="15" t="s">
        <v>45</v>
      </c>
      <c r="D10" s="31" t="str">
        <v>Added EF source column with specific references</v>
      </c>
    </row>
    <row r="11" spans="1:35" ht="20.100000000000001" customHeight="1" x14ac:dyDescent="0.25">
      <c r="A11" s="13" t="str">
        <f>HYPERLINK("#'10.1.1-2 Solid waste treatment'!A1", "10.1.1-2 Solid waste treatment")</f>
        <v>10.1.1-2 Solid waste treatment</v>
      </c>
      <c r="D11" s="31" t="str">
        <v>Added sub-categories for 'Incineration: Food waste, green waste, wood, sludge' in order to use volume to mass conversion factor values</v>
      </c>
    </row>
    <row r="12" spans="1:35" ht="20.100000000000001" customHeight="1" x14ac:dyDescent="0.25">
      <c r="A12" s="13"/>
      <c r="D12" s="31" t="str">
        <v>Added sub-categories for 'Composting: All organic waste' in order to use volume to mass conversion factor values</v>
      </c>
    </row>
    <row r="13" spans="1:35" ht="20.100000000000001" customHeight="1" x14ac:dyDescent="0.25">
      <c r="A13" s="14" t="s">
        <v>2</v>
      </c>
      <c r="D13" s="31" t="str">
        <v>Added sub-categories for 'Anaerobic digestion: All organic waste' in order to use volume to mass conversion factor values</v>
      </c>
    </row>
    <row r="14" spans="1:35" ht="20.100000000000001" customHeight="1" x14ac:dyDescent="0.25">
      <c r="A14" s="59" t="str">
        <f>HYPERLINK("#'Constants - Solid waste'!A1", "Constants - Solid waste")</f>
        <v>Constants - Solid waste</v>
      </c>
      <c r="D14" s="1" t="str" cm="1">
        <f t="array" ref="D14">WasteSolid_SourceData.Waste_EmissionFactorsForWasteTreatment_Variable()</f>
        <v>EFwt</v>
      </c>
    </row>
    <row r="15" spans="1:35" ht="20.100000000000001" customHeight="1" x14ac:dyDescent="0.25">
      <c r="A15" s="13" t="str">
        <f>HYPERLINK("#'Constants - Common'!A1", "Constants - Common")</f>
        <v>Constants - Common</v>
      </c>
      <c r="D15" s="30" t="str" cm="1">
        <f t="array" ref="D15">WasteSolid_SourceData.Waste_EmissionFactorsForWasteTreatment_Unit()</f>
        <v>t CO2e / t</v>
      </c>
      <c r="I15" s="1" t="s">
        <v>107</v>
      </c>
      <c r="K15" s="1" t="s">
        <v>108</v>
      </c>
      <c r="M15" s="1" t="s">
        <v>109</v>
      </c>
      <c r="O15" s="1" t="s">
        <v>110</v>
      </c>
    </row>
    <row r="16" spans="1:35" ht="20.100000000000001" customHeight="1" x14ac:dyDescent="0.25">
      <c r="D16" s="26" t="s">
        <v>89</v>
      </c>
      <c r="E16" s="26" t="s">
        <v>90</v>
      </c>
      <c r="F16" s="26" t="s">
        <v>91</v>
      </c>
      <c r="G16" s="26" t="s">
        <v>129</v>
      </c>
      <c r="I16" s="26" t="s">
        <v>90</v>
      </c>
      <c r="K16" s="74" t="s">
        <v>90</v>
      </c>
      <c r="M16" s="74" t="s">
        <v>90</v>
      </c>
      <c r="O16" s="74" t="s">
        <v>90</v>
      </c>
    </row>
    <row r="17" spans="1:15" ht="20.100000000000001" customHeight="1" x14ac:dyDescent="0.25">
      <c r="D17" s="26" t="str" cm="1">
        <f t="array" ref="D17">Common_InputFunctions.Utility_DisplayArrayInTable(WasteSolid_SourceData.Waste_EmissionFactorsForWasteTreatment_Data(), Table_SourceData_WasteSolid_WasteTreatmentEFs[[#Headers],[Treatment type t]], 0)</f>
        <v>Landfill</v>
      </c>
      <c r="E17" s="26"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6" cm="1">
        <f t="array" ref="F17">Common_InputFunctions.Utility_DisplayArrayInTable(WasteSolid_SourceData.Waste_EmissionFactorsForWasteTreatment_Data(), Table_SourceData_WasteSolid_WasteTreatmentEFs[[#Headers],[Treatment type t]], 0)</f>
        <v>2.1</v>
      </c>
      <c r="G17" s="26" t="str" cm="1">
        <f t="array" ref="G17">Common_InputFunctions.Utility_DisplayArrayInTable(WasteSolid_SourceData.Waste_EmissionFactorsForWasteTreatment_Data(), Table_SourceData_WasteSolid_WasteTreatmentEFs[[#Headers],[Treatment type t]], 0)</f>
        <v>NGAF 2025 table 15</v>
      </c>
      <c r="I17" s="26"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D18" s="1" t="str" cm="1">
        <f t="array" ref="D18">Common_InputFunctions.Utility_DisplayArrayInTable(WasteSolid_SourceData.Waste_EmissionFactorsForWasteTreatment_Data(), Table_SourceData_WasteSolid_WasteTreatmentEFs[[#Headers],[Treatment type t]], 0)</f>
        <v>Landfill</v>
      </c>
      <c r="E18" s="26" t="str" cm="1">
        <f t="array" ref="E18">Common_InputFunctions.Utility_DisplayArrayInTable(WasteSolid_SourceData.Waste_EmissionFactorsForWasteTreatment_Data(), Table_SourceData_WasteSolid_WasteTreatmentEFs[[#Headers],[Treatment type t]], 0)</f>
        <v>Paper and cardboard</v>
      </c>
      <c r="F18" s="26" cm="1">
        <f t="array" ref="F18">Common_InputFunctions.Utility_DisplayArrayInTable(WasteSolid_SourceData.Waste_EmissionFactorsForWasteTreatment_Data(), Table_SourceData_WasteSolid_WasteTreatmentEFs[[#Headers],[Treatment type t]], 0)</f>
        <v>3.3</v>
      </c>
      <c r="G18" s="26" t="str" cm="1">
        <f t="array" ref="G18">Common_InputFunctions.Utility_DisplayArrayInTable(WasteSolid_SourceData.Waste_EmissionFactorsForWasteTreatment_Data(), Table_SourceData_WasteSolid_WasteTreatmentEFs[[#Headers],[Treatment type t]], 0)</f>
        <v>NGAF 2025 table 15</v>
      </c>
      <c r="I18" s="26"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D19" s="1" t="str" cm="1">
        <f t="array" ref="D19">Common_InputFunctions.Utility_DisplayArrayInTable(WasteSolid_SourceData.Waste_EmissionFactorsForWasteTreatment_Data(), Table_SourceData_WasteSolid_WasteTreatmentEFs[[#Headers],[Treatment type t]], 0)</f>
        <v>Landfill</v>
      </c>
      <c r="E19" s="26" t="str" cm="1">
        <f t="array" ref="E19">Common_InputFunctions.Utility_DisplayArrayInTable(WasteSolid_SourceData.Waste_EmissionFactorsForWasteTreatment_Data(), Table_SourceData_WasteSolid_WasteTreatmentEFs[[#Headers],[Treatment type t]], 0)</f>
        <v>Green waste (including crop residues or prunings)</v>
      </c>
      <c r="F19" s="26" cm="1">
        <f t="array" ref="F19">Common_InputFunctions.Utility_DisplayArrayInTable(WasteSolid_SourceData.Waste_EmissionFactorsForWasteTreatment_Data(), Table_SourceData_WasteSolid_WasteTreatmentEFs[[#Headers],[Treatment type t]], 0)</f>
        <v>1.6</v>
      </c>
      <c r="G19" s="26" t="str" cm="1">
        <f t="array" ref="G19">Common_InputFunctions.Utility_DisplayArrayInTable(WasteSolid_SourceData.Waste_EmissionFactorsForWasteTreatment_Data(), Table_SourceData_WasteSolid_WasteTreatmentEFs[[#Headers],[Treatment type t]], 0)</f>
        <v>NGAF 2025 table 15</v>
      </c>
      <c r="I19" s="26"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13"/>
      <c r="D20" s="1" t="str" cm="1">
        <f t="array" ref="D20">Common_InputFunctions.Utility_DisplayArrayInTable(WasteSolid_SourceData.Waste_EmissionFactorsForWasteTreatment_Data(), Table_SourceData_WasteSolid_WasteTreatmentEFs[[#Headers],[Treatment type t]], 0)</f>
        <v>Landfill</v>
      </c>
      <c r="E20" s="26" t="str" cm="1">
        <f t="array" ref="E20">Common_InputFunctions.Utility_DisplayArrayInTable(WasteSolid_SourceData.Waste_EmissionFactorsForWasteTreatment_Data(), Table_SourceData_WasteSolid_WasteTreatmentEFs[[#Headers],[Treatment type t]], 0)</f>
        <v>Wood</v>
      </c>
      <c r="F20" s="26" cm="1">
        <f t="array" ref="F20">Common_InputFunctions.Utility_DisplayArrayInTable(WasteSolid_SourceData.Waste_EmissionFactorsForWasteTreatment_Data(), Table_SourceData_WasteSolid_WasteTreatmentEFs[[#Headers],[Treatment type t]], 0)</f>
        <v>0.7</v>
      </c>
      <c r="G20" s="26" t="str" cm="1">
        <f t="array" ref="G20">Common_InputFunctions.Utility_DisplayArrayInTable(WasteSolid_SourceData.Waste_EmissionFactorsForWasteTreatment_Data(), Table_SourceData_WasteSolid_WasteTreatmentEFs[[#Headers],[Treatment type t]], 0)</f>
        <v>NGAF 2025 table 15</v>
      </c>
      <c r="I20" s="26" t="str">
        <f>Table_SourceData_WasteSolid_WasteTreatmentEFs[[#This Row],[Waste type w]]</f>
        <v>Wood</v>
      </c>
      <c r="K20" s="1" t="str">
        <f t="shared" si="0"/>
        <v>Sludge</v>
      </c>
      <c r="M20" s="1" t="str">
        <f>E43</f>
        <v>Sludge</v>
      </c>
      <c r="O20" s="1" t="str">
        <f>E49</f>
        <v>Sludge</v>
      </c>
    </row>
    <row r="21" spans="1:15" ht="20.100000000000001" customHeight="1" x14ac:dyDescent="0.25">
      <c r="A21" s="13"/>
      <c r="D21" s="1" t="str" cm="1">
        <f t="array" ref="D21">Common_InputFunctions.Utility_DisplayArrayInTable(WasteSolid_SourceData.Waste_EmissionFactorsForWasteTreatment_Data(), Table_SourceData_WasteSolid_WasteTreatmentEFs[[#Headers],[Treatment type t]], 0)</f>
        <v>Landfill</v>
      </c>
      <c r="E21" s="26" t="str" cm="1">
        <f t="array" ref="E21">Common_InputFunctions.Utility_DisplayArrayInTable(WasteSolid_SourceData.Waste_EmissionFactorsForWasteTreatment_Data(), Table_SourceData_WasteSolid_WasteTreatmentEFs[[#Headers],[Treatment type t]], 0)</f>
        <v>Textiles</v>
      </c>
      <c r="F21" s="26" cm="1">
        <f t="array" ref="F21">Common_InputFunctions.Utility_DisplayArrayInTable(WasteSolid_SourceData.Waste_EmissionFactorsForWasteTreatment_Data(), Table_SourceData_WasteSolid_WasteTreatmentEFs[[#Headers],[Treatment type t]], 0)</f>
        <v>2</v>
      </c>
      <c r="G21" s="26" t="str" cm="1">
        <f t="array" ref="G21">Common_InputFunctions.Utility_DisplayArrayInTable(WasteSolid_SourceData.Waste_EmissionFactorsForWasteTreatment_Data(), Table_SourceData_WasteSolid_WasteTreatmentEFs[[#Headers],[Treatment type t]], 0)</f>
        <v>NGAF 2025 table 15</v>
      </c>
      <c r="I21" s="26"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D22" s="1" t="str" cm="1">
        <f t="array" ref="D22">Common_InputFunctions.Utility_DisplayArrayInTable(WasteSolid_SourceData.Waste_EmissionFactorsForWasteTreatment_Data(), Table_SourceData_WasteSolid_WasteTreatmentEFs[[#Headers],[Treatment type t]], 0)</f>
        <v>Landfill</v>
      </c>
      <c r="E22" s="26" t="str" cm="1">
        <f t="array" ref="E22">Common_InputFunctions.Utility_DisplayArrayInTable(WasteSolid_SourceData.Waste_EmissionFactorsForWasteTreatment_Data(), Table_SourceData_WasteSolid_WasteTreatmentEFs[[#Headers],[Treatment type t]], 0)</f>
        <v>Sludge</v>
      </c>
      <c r="F22" s="26" cm="1">
        <f t="array" ref="F22">Common_InputFunctions.Utility_DisplayArrayInTable(WasteSolid_SourceData.Waste_EmissionFactorsForWasteTreatment_Data(), Table_SourceData_WasteSolid_WasteTreatmentEFs[[#Headers],[Treatment type t]], 0)</f>
        <v>0.4</v>
      </c>
      <c r="G22" s="26" t="str" cm="1">
        <f t="array" ref="G22">Common_InputFunctions.Utility_DisplayArrayInTable(WasteSolid_SourceData.Waste_EmissionFactorsForWasteTreatment_Data(), Table_SourceData_WasteSolid_WasteTreatmentEFs[[#Headers],[Treatment type t]], 0)</f>
        <v>NGAF 2025 table 15</v>
      </c>
      <c r="I22" s="26" t="str">
        <f>Table_SourceData_WasteSolid_WasteTreatmentEFs[[#This Row],[Waste type w]]</f>
        <v>Sludge</v>
      </c>
      <c r="K22" s="1" t="str">
        <f t="shared" si="0"/>
        <v>Textiles</v>
      </c>
    </row>
    <row r="23" spans="1:15" ht="20.100000000000001" customHeight="1" x14ac:dyDescent="0.25">
      <c r="A23" s="13"/>
      <c r="D23" s="1" t="str" cm="1">
        <f t="array" ref="D23">Common_InputFunctions.Utility_DisplayArrayInTable(WasteSolid_SourceData.Waste_EmissionFactorsForWasteTreatment_Data(), Table_SourceData_WasteSolid_WasteTreatmentEFs[[#Headers],[Treatment type t]], 0)</f>
        <v>Landfill</v>
      </c>
      <c r="E23" s="26" t="str" cm="1">
        <f t="array" ref="E23">Common_InputFunctions.Utility_DisplayArrayInTable(WasteSolid_SourceData.Waste_EmissionFactorsForWasteTreatment_Data(), Table_SourceData_WasteSolid_WasteTreatmentEFs[[#Headers],[Treatment type t]], 0)</f>
        <v>Rubber and leather</v>
      </c>
      <c r="F23" s="26" cm="1">
        <f t="array" ref="F23">Common_InputFunctions.Utility_DisplayArrayInTable(WasteSolid_SourceData.Waste_EmissionFactorsForWasteTreatment_Data(), Table_SourceData_WasteSolid_WasteTreatmentEFs[[#Headers],[Treatment type t]], 0)</f>
        <v>3.3</v>
      </c>
      <c r="G23" s="26" t="str" cm="1">
        <f t="array" ref="G23">Common_InputFunctions.Utility_DisplayArrayInTable(WasteSolid_SourceData.Waste_EmissionFactorsForWasteTreatment_Data(), Table_SourceData_WasteSolid_WasteTreatmentEFs[[#Headers],[Treatment type t]], 0)</f>
        <v>NGAF 2025 table 15</v>
      </c>
      <c r="I23" s="26" t="str">
        <f>Table_SourceData_WasteSolid_WasteTreatmentEFs[[#This Row],[Waste type w]]</f>
        <v>Rubber and leather</v>
      </c>
      <c r="K23" s="1" t="str">
        <f t="shared" si="0"/>
        <v>Rubber and leather</v>
      </c>
    </row>
    <row r="24" spans="1:15" ht="20.100000000000001" customHeight="1" x14ac:dyDescent="0.25">
      <c r="D24" s="1" t="str" cm="1">
        <f t="array" ref="D24">Common_InputFunctions.Utility_DisplayArrayInTable(WasteSolid_SourceData.Waste_EmissionFactorsForWasteTreatment_Data(), Table_SourceData_WasteSolid_WasteTreatmentEFs[[#Headers],[Treatment type t]], 0)</f>
        <v>Landfill</v>
      </c>
      <c r="E24" s="26" t="str" cm="1">
        <f t="array" ref="E24">Common_InputFunctions.Utility_DisplayArrayInTable(WasteSolid_SourceData.Waste_EmissionFactorsForWasteTreatment_Data(), Table_SourceData_WasteSolid_WasteTreatmentEFs[[#Headers],[Treatment type t]], 0)</f>
        <v>Inert waste (including concrete, metal, plastic or glass)</v>
      </c>
      <c r="F24" s="26" cm="1">
        <f t="array" ref="F24">Common_InputFunctions.Utility_DisplayArrayInTable(WasteSolid_SourceData.Waste_EmissionFactorsForWasteTreatment_Data(), Table_SourceData_WasteSolid_WasteTreatmentEFs[[#Headers],[Treatment type t]], 0)</f>
        <v>0</v>
      </c>
      <c r="G24" s="26" t="str" cm="1">
        <f t="array" ref="G24">Common_InputFunctions.Utility_DisplayArrayInTable(WasteSolid_SourceData.Waste_EmissionFactorsForWasteTreatment_Data(), Table_SourceData_WasteSolid_WasteTreatmentEFs[[#Headers],[Treatment type t]], 0)</f>
        <v>NGAF 2025 table 15</v>
      </c>
      <c r="I24" s="26"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D25" s="1" t="str" cm="1">
        <f t="array" ref="D25">Common_InputFunctions.Utility_DisplayArrayInTable(WasteSolid_SourceData.Waste_EmissionFactorsForWasteTreatment_Data(), Table_SourceData_WasteSolid_WasteTreatmentEFs[[#Headers],[Treatment type t]], 0)</f>
        <v>Landfill</v>
      </c>
      <c r="E25" s="26" t="str" cm="1">
        <f t="array" ref="E25">Common_InputFunctions.Utility_DisplayArrayInTable(WasteSolid_SourceData.Waste_EmissionFactorsForWasteTreatment_Data(), Table_SourceData_WasteSolid_WasteTreatmentEFs[[#Headers],[Treatment type t]], 0)</f>
        <v>Municipal solid waste</v>
      </c>
      <c r="F25" s="26" cm="1">
        <f t="array" ref="F25">Common_InputFunctions.Utility_DisplayArrayInTable(WasteSolid_SourceData.Waste_EmissionFactorsForWasteTreatment_Data(), Table_SourceData_WasteSolid_WasteTreatmentEFs[[#Headers],[Treatment type t]], 0)</f>
        <v>1.6</v>
      </c>
      <c r="G25" s="26" t="str" cm="1">
        <f t="array" ref="G25">Common_InputFunctions.Utility_DisplayArrayInTable(WasteSolid_SourceData.Waste_EmissionFactorsForWasteTreatment_Data(), Table_SourceData_WasteSolid_WasteTreatmentEFs[[#Headers],[Treatment type t]], 0)</f>
        <v>NGAF 2025 table 15</v>
      </c>
      <c r="I25" s="26"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6" t="str" cm="1">
        <f t="array" ref="E26">Common_InputFunctions.Utility_DisplayArrayInTable(WasteSolid_SourceData.Waste_EmissionFactorsForWasteTreatment_Data(), Table_SourceData_WasteSolid_WasteTreatmentEFs[[#Headers],[Treatment type t]], 0)</f>
        <v>Commercial and industrial waste</v>
      </c>
      <c r="F26" s="26" cm="1">
        <f t="array" ref="F26">Common_InputFunctions.Utility_DisplayArrayInTable(WasteSolid_SourceData.Waste_EmissionFactorsForWasteTreatment_Data(), Table_SourceData_WasteSolid_WasteTreatmentEFs[[#Headers],[Treatment type t]], 0)</f>
        <v>1.3</v>
      </c>
      <c r="G26" s="26" t="str" cm="1">
        <f t="array" ref="G26">Common_InputFunctions.Utility_DisplayArrayInTable(WasteSolid_SourceData.Waste_EmissionFactorsForWasteTreatment_Data(), Table_SourceData_WasteSolid_WasteTreatmentEFs[[#Headers],[Treatment type t]], 0)</f>
        <v>NGAF 2025 table 15</v>
      </c>
      <c r="I26" s="26"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6" t="str" cm="1">
        <f t="array" ref="E27">Common_InputFunctions.Utility_DisplayArrayInTable(WasteSolid_SourceData.Waste_EmissionFactorsForWasteTreatment_Data(), Table_SourceData_WasteSolid_WasteTreatmentEFs[[#Headers],[Treatment type t]], 0)</f>
        <v>Construction and demolition waste</v>
      </c>
      <c r="F27" s="26" cm="1">
        <f t="array" ref="F27">Common_InputFunctions.Utility_DisplayArrayInTable(WasteSolid_SourceData.Waste_EmissionFactorsForWasteTreatment_Data(), Table_SourceData_WasteSolid_WasteTreatmentEFs[[#Headers],[Treatment type t]], 0)</f>
        <v>0.2</v>
      </c>
      <c r="G27" s="26" t="str" cm="1">
        <f t="array" ref="G27">Common_InputFunctions.Utility_DisplayArrayInTable(WasteSolid_SourceData.Waste_EmissionFactorsForWasteTreatment_Data(), Table_SourceData_WasteSolid_WasteTreatmentEFs[[#Headers],[Treatment type t]], 0)</f>
        <v>NGAF 2025 table 15</v>
      </c>
      <c r="I27" s="26" t="str">
        <f>Table_SourceData_WasteSolid_WasteTreatmentEFs[[#This Row],[Waste type w]]</f>
        <v>Construction and demolition waste</v>
      </c>
    </row>
    <row r="28" spans="1:15" ht="20.100000000000001" customHeight="1" x14ac:dyDescent="0.25">
      <c r="D28" s="1" t="str" cm="1">
        <f t="array" ref="D28">Common_InputFunctions.Utility_DisplayArrayInTable(WasteSolid_SourceData.Waste_EmissionFactorsForWasteTreatment_Data(), Table_SourceData_WasteSolid_WasteTreatmentEFs[[#Headers],[Treatment type t]], 0)</f>
        <v>Incineration</v>
      </c>
      <c r="E28" s="26" t="str" cm="1">
        <f t="array" ref="E28">Common_InputFunctions.Utility_DisplayArrayInTable(WasteSolid_SourceData.Waste_EmissionFactorsForWasteTreatment_Data(), Table_SourceData_WasteSolid_WasteTreatmentEFs[[#Headers],[Treatment type t]], 0)</f>
        <v>Food waste, green waste, wood, sludge</v>
      </c>
      <c r="F28" s="26" cm="1">
        <f t="array" ref="F28">Common_InputFunctions.Utility_DisplayArrayInTable(WasteSolid_SourceData.Waste_EmissionFactorsForWasteTreatment_Data(), Table_SourceData_WasteSolid_WasteTreatmentEFs[[#Headers],[Treatment type t]], 0)</f>
        <v>0</v>
      </c>
      <c r="G28" s="26"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1" t="str" cm="1">
        <f t="array" ref="D29">Common_InputFunctions.Utility_DisplayArrayInTable(WasteSolid_SourceData.Waste_EmissionFactorsForWasteTreatment_Data(), Table_SourceData_WasteSolid_WasteTreatmentEFs[[#Headers],[Treatment type t]], 0)</f>
        <v>Incineration</v>
      </c>
      <c r="E29" s="26"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6" t="str" cm="1">
        <f t="array" ref="F29">Common_InputFunctions.Utility_DisplayArrayInTable(WasteSolid_SourceData.Waste_EmissionFactorsForWasteTreatment_Data(), Table_SourceData_WasteSolid_WasteTreatmentEFs[[#Headers],[Treatment type t]], 0)</f>
        <v/>
      </c>
      <c r="G29" s="26"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1" t="str" cm="1">
        <f t="array" ref="D30">Common_InputFunctions.Utility_DisplayArrayInTable(WasteSolid_SourceData.Waste_EmissionFactorsForWasteTreatment_Data(), Table_SourceData_WasteSolid_WasteTreatmentEFs[[#Headers],[Treatment type t]], 0)</f>
        <v>Incineration</v>
      </c>
      <c r="E30" s="26" t="str" cm="1">
        <f t="array" ref="E30">Common_InputFunctions.Utility_DisplayArrayInTable(WasteSolid_SourceData.Waste_EmissionFactorsForWasteTreatment_Data(), Table_SourceData_WasteSolid_WasteTreatmentEFs[[#Headers],[Treatment type t]], 0)</f>
        <v>Green waste (including crop residues or prunings)</v>
      </c>
      <c r="F30" s="26" t="str" cm="1">
        <f t="array" ref="F30">Common_InputFunctions.Utility_DisplayArrayInTable(WasteSolid_SourceData.Waste_EmissionFactorsForWasteTreatment_Data(), Table_SourceData_WasteSolid_WasteTreatmentEFs[[#Headers],[Treatment type t]], 0)</f>
        <v/>
      </c>
      <c r="G30" s="26"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1" t="str" cm="1">
        <f t="array" ref="D31">Common_InputFunctions.Utility_DisplayArrayInTable(WasteSolid_SourceData.Waste_EmissionFactorsForWasteTreatment_Data(), Table_SourceData_WasteSolid_WasteTreatmentEFs[[#Headers],[Treatment type t]], 0)</f>
        <v>Incineration</v>
      </c>
      <c r="E31" s="26" t="str" cm="1">
        <f t="array" ref="E31">Common_InputFunctions.Utility_DisplayArrayInTable(WasteSolid_SourceData.Waste_EmissionFactorsForWasteTreatment_Data(), Table_SourceData_WasteSolid_WasteTreatmentEFs[[#Headers],[Treatment type t]], 0)</f>
        <v>Wood</v>
      </c>
      <c r="F31" s="26" t="str" cm="1">
        <f t="array" ref="F31">Common_InputFunctions.Utility_DisplayArrayInTable(WasteSolid_SourceData.Waste_EmissionFactorsForWasteTreatment_Data(), Table_SourceData_WasteSolid_WasteTreatmentEFs[[#Headers],[Treatment type t]], 0)</f>
        <v/>
      </c>
      <c r="G31" s="26"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1" t="str" cm="1">
        <f t="array" ref="D32">Common_InputFunctions.Utility_DisplayArrayInTable(WasteSolid_SourceData.Waste_EmissionFactorsForWasteTreatment_Data(), Table_SourceData_WasteSolid_WasteTreatmentEFs[[#Headers],[Treatment type t]], 0)</f>
        <v>Incineration</v>
      </c>
      <c r="E32" s="26" t="str" cm="1">
        <f t="array" ref="E32">Common_InputFunctions.Utility_DisplayArrayInTable(WasteSolid_SourceData.Waste_EmissionFactorsForWasteTreatment_Data(), Table_SourceData_WasteSolid_WasteTreatmentEFs[[#Headers],[Treatment type t]], 0)</f>
        <v>Sludge</v>
      </c>
      <c r="F32" s="26" t="str" cm="1">
        <f t="array" ref="F32">Common_InputFunctions.Utility_DisplayArrayInTable(WasteSolid_SourceData.Waste_EmissionFactorsForWasteTreatment_Data(), Table_SourceData_WasteSolid_WasteTreatmentEFs[[#Headers],[Treatment type t]], 0)</f>
        <v/>
      </c>
      <c r="G32" s="26"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1" t="str" cm="1">
        <f t="array" ref="D33">Common_InputFunctions.Utility_DisplayArrayInTable(WasteSolid_SourceData.Waste_EmissionFactorsForWasteTreatment_Data(), Table_SourceData_WasteSolid_WasteTreatmentEFs[[#Headers],[Treatment type t]], 0)</f>
        <v>Incineration</v>
      </c>
      <c r="E33" s="26" t="str" cm="1">
        <f t="array" ref="E33">Common_InputFunctions.Utility_DisplayArrayInTable(WasteSolid_SourceData.Waste_EmissionFactorsForWasteTreatment_Data(), Table_SourceData_WasteSolid_WasteTreatmentEFs[[#Headers],[Treatment type t]], 0)</f>
        <v>Paper and cardboard</v>
      </c>
      <c r="F33" s="26" cm="1">
        <f t="array" ref="F33">Common_InputFunctions.Utility_DisplayArrayInTable(WasteSolid_SourceData.Waste_EmissionFactorsForWasteTreatment_Data(), Table_SourceData_WasteSolid_WasteTreatmentEFs[[#Headers],[Treatment type t]], 0)</f>
        <v>1.6899999999999998E-2</v>
      </c>
      <c r="G33" s="26"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1" t="str" cm="1">
        <f t="array" ref="D34">Common_InputFunctions.Utility_DisplayArrayInTable(WasteSolid_SourceData.Waste_EmissionFactorsForWasteTreatment_Data(), Table_SourceData_WasteSolid_WasteTreatmentEFs[[#Headers],[Treatment type t]], 0)</f>
        <v>Incineration</v>
      </c>
      <c r="E34" s="26" t="str" cm="1">
        <f t="array" ref="E34">Common_InputFunctions.Utility_DisplayArrayInTable(WasteSolid_SourceData.Waste_EmissionFactorsForWasteTreatment_Data(), Table_SourceData_WasteSolid_WasteTreatmentEFs[[#Headers],[Treatment type t]], 0)</f>
        <v>Textiles</v>
      </c>
      <c r="F34" s="26" cm="1">
        <f t="array" ref="F34">Common_InputFunctions.Utility_DisplayArrayInTable(WasteSolid_SourceData.Waste_EmissionFactorsForWasteTreatment_Data(), Table_SourceData_WasteSolid_WasteTreatmentEFs[[#Headers],[Treatment type t]], 0)</f>
        <v>0.36670000000000003</v>
      </c>
      <c r="G34" s="26"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1" t="str" cm="1">
        <f t="array" ref="D35">Common_InputFunctions.Utility_DisplayArrayInTable(WasteSolid_SourceData.Waste_EmissionFactorsForWasteTreatment_Data(), Table_SourceData_WasteSolid_WasteTreatmentEFs[[#Headers],[Treatment type t]], 0)</f>
        <v>Incineration</v>
      </c>
      <c r="E35" s="26" t="str" cm="1">
        <f t="array" ref="E35">Common_InputFunctions.Utility_DisplayArrayInTable(WasteSolid_SourceData.Waste_EmissionFactorsForWasteTreatment_Data(), Table_SourceData_WasteSolid_WasteTreatmentEFs[[#Headers],[Treatment type t]], 0)</f>
        <v>Rubber and leather</v>
      </c>
      <c r="F35" s="26" cm="1">
        <f t="array" ref="F35">Common_InputFunctions.Utility_DisplayArrayInTable(WasteSolid_SourceData.Waste_EmissionFactorsForWasteTreatment_Data(), Table_SourceData_WasteSolid_WasteTreatmentEFs[[#Headers],[Treatment type t]], 0)</f>
        <v>0.4919</v>
      </c>
      <c r="G35" s="26"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1" t="str" cm="1">
        <f t="array" ref="D36">Common_InputFunctions.Utility_DisplayArrayInTable(WasteSolid_SourceData.Waste_EmissionFactorsForWasteTreatment_Data(), Table_SourceData_WasteSolid_WasteTreatmentEFs[[#Headers],[Treatment type t]], 0)</f>
        <v>Incineration</v>
      </c>
      <c r="E36" s="26" t="str" cm="1">
        <f t="array" ref="E36">Common_InputFunctions.Utility_DisplayArrayInTable(WasteSolid_SourceData.Waste_EmissionFactorsForWasteTreatment_Data(), Table_SourceData_WasteSolid_WasteTreatmentEFs[[#Headers],[Treatment type t]], 0)</f>
        <v>Inert waste (including concrete, metal, plastic or glass)</v>
      </c>
      <c r="F36" s="26" cm="1">
        <f t="array" ref="F36">Common_InputFunctions.Utility_DisplayArrayInTable(WasteSolid_SourceData.Waste_EmissionFactorsForWasteTreatment_Data(), Table_SourceData_WasteSolid_WasteTreatmentEFs[[#Headers],[Treatment type t]], 0)</f>
        <v>0.11</v>
      </c>
      <c r="G36" s="26"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1" t="str" cm="1">
        <f t="array" ref="D37">Common_InputFunctions.Utility_DisplayArrayInTable(WasteSolid_SourceData.Waste_EmissionFactorsForWasteTreatment_Data(), Table_SourceData_WasteSolid_WasteTreatmentEFs[[#Headers],[Treatment type t]], 0)</f>
        <v>Incineration</v>
      </c>
      <c r="E37" s="26" t="str" cm="1">
        <f t="array" ref="E37">Common_InputFunctions.Utility_DisplayArrayInTable(WasteSolid_SourceData.Waste_EmissionFactorsForWasteTreatment_Data(), Table_SourceData_WasteSolid_WasteTreatmentEFs[[#Headers],[Treatment type t]], 0)</f>
        <v>Municipal solid waste</v>
      </c>
      <c r="F37" s="26" cm="1">
        <f t="array" ref="F37">Common_InputFunctions.Utility_DisplayArrayInTable(WasteSolid_SourceData.Waste_EmissionFactorsForWasteTreatment_Data(), Table_SourceData_WasteSolid_WasteTreatmentEFs[[#Headers],[Treatment type t]], 0)</f>
        <v>5.3699999999999998E-2</v>
      </c>
      <c r="G37" s="77"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1" t="str" cm="1">
        <f t="array" ref="D38">Common_InputFunctions.Utility_DisplayArrayInTable(WasteSolid_SourceData.Waste_EmissionFactorsForWasteTreatment_Data(), Table_SourceData_WasteSolid_WasteTreatmentEFs[[#Headers],[Treatment type t]], 0)</f>
        <v>Incineration</v>
      </c>
      <c r="E38" s="26" t="str" cm="1">
        <f t="array" ref="E38">Common_InputFunctions.Utility_DisplayArrayInTable(WasteSolid_SourceData.Waste_EmissionFactorsForWasteTreatment_Data(), Table_SourceData_WasteSolid_WasteTreatmentEFs[[#Headers],[Treatment type t]], 0)</f>
        <v>Commercial and industrial waste</v>
      </c>
      <c r="F38" s="26" cm="1">
        <f t="array" ref="F38">Common_InputFunctions.Utility_DisplayArrayInTable(WasteSolid_SourceData.Waste_EmissionFactorsForWasteTreatment_Data(), Table_SourceData_WasteSolid_WasteTreatmentEFs[[#Headers],[Treatment type t]], 0)</f>
        <v>1.649</v>
      </c>
      <c r="G38" s="77"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1" t="str" cm="1">
        <f t="array" ref="D39">Common_InputFunctions.Utility_DisplayArrayInTable(WasteSolid_SourceData.Waste_EmissionFactorsForWasteTreatment_Data(), Table_SourceData_WasteSolid_WasteTreatmentEFs[[#Headers],[Treatment type t]], 0)</f>
        <v>Composting</v>
      </c>
      <c r="E39" s="26" t="str" cm="1">
        <f t="array" ref="E39">Common_InputFunctions.Utility_DisplayArrayInTable(WasteSolid_SourceData.Waste_EmissionFactorsForWasteTreatment_Data(), Table_SourceData_WasteSolid_WasteTreatmentEFs[[#Headers],[Treatment type t]], 0)</f>
        <v>All organic waste</v>
      </c>
      <c r="F39" s="26" cm="1">
        <f t="array" ref="F39">Common_InputFunctions.Utility_DisplayArrayInTable(WasteSolid_SourceData.Waste_EmissionFactorsForWasteTreatment_Data(), Table_SourceData_WasteSolid_WasteTreatmentEFs[[#Headers],[Treatment type t]], 0)</f>
        <v>4.5999999999999999E-2</v>
      </c>
      <c r="G39" s="77"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1" t="str" cm="1">
        <f t="array" ref="D40">Common_InputFunctions.Utility_DisplayArrayInTable(WasteSolid_SourceData.Waste_EmissionFactorsForWasteTreatment_Data(), Table_SourceData_WasteSolid_WasteTreatmentEFs[[#Headers],[Treatment type t]], 0)</f>
        <v>Composting</v>
      </c>
      <c r="E40" s="26"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6" t="str" cm="1">
        <f t="array" ref="F40">Common_InputFunctions.Utility_DisplayArrayInTable(WasteSolid_SourceData.Waste_EmissionFactorsForWasteTreatment_Data(), Table_SourceData_WasteSolid_WasteTreatmentEFs[[#Headers],[Treatment type t]], 0)</f>
        <v/>
      </c>
      <c r="G40" s="77"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1" t="str" cm="1">
        <f t="array" ref="D41">Common_InputFunctions.Utility_DisplayArrayInTable(WasteSolid_SourceData.Waste_EmissionFactorsForWasteTreatment_Data(), Table_SourceData_WasteSolid_WasteTreatmentEFs[[#Headers],[Treatment type t]], 0)</f>
        <v>Composting</v>
      </c>
      <c r="E41" s="26" t="str" cm="1">
        <f t="array" ref="E41">Common_InputFunctions.Utility_DisplayArrayInTable(WasteSolid_SourceData.Waste_EmissionFactorsForWasteTreatment_Data(), Table_SourceData_WasteSolid_WasteTreatmentEFs[[#Headers],[Treatment type t]], 0)</f>
        <v>Green waste (including crop residues or prunings)</v>
      </c>
      <c r="F41" s="26" t="str" cm="1">
        <f t="array" ref="F41">Common_InputFunctions.Utility_DisplayArrayInTable(WasteSolid_SourceData.Waste_EmissionFactorsForWasteTreatment_Data(), Table_SourceData_WasteSolid_WasteTreatmentEFs[[#Headers],[Treatment type t]], 0)</f>
        <v/>
      </c>
      <c r="G41" s="77"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1" t="str" cm="1">
        <f t="array" ref="D42">Common_InputFunctions.Utility_DisplayArrayInTable(WasteSolid_SourceData.Waste_EmissionFactorsForWasteTreatment_Data(), Table_SourceData_WasteSolid_WasteTreatmentEFs[[#Headers],[Treatment type t]], 0)</f>
        <v>Composting</v>
      </c>
      <c r="E42" s="26" t="str" cm="1">
        <f t="array" ref="E42">Common_InputFunctions.Utility_DisplayArrayInTable(WasteSolid_SourceData.Waste_EmissionFactorsForWasteTreatment_Data(), Table_SourceData_WasteSolid_WasteTreatmentEFs[[#Headers],[Treatment type t]], 0)</f>
        <v>Wood</v>
      </c>
      <c r="F42" s="26" t="str" cm="1">
        <f t="array" ref="F42">Common_InputFunctions.Utility_DisplayArrayInTable(WasteSolid_SourceData.Waste_EmissionFactorsForWasteTreatment_Data(), Table_SourceData_WasteSolid_WasteTreatmentEFs[[#Headers],[Treatment type t]], 0)</f>
        <v/>
      </c>
      <c r="G42" s="77"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1" t="str" cm="1">
        <f t="array" ref="D43">Common_InputFunctions.Utility_DisplayArrayInTable(WasteSolid_SourceData.Waste_EmissionFactorsForWasteTreatment_Data(), Table_SourceData_WasteSolid_WasteTreatmentEFs[[#Headers],[Treatment type t]], 0)</f>
        <v>Composting</v>
      </c>
      <c r="E43" s="26" t="str" cm="1">
        <f t="array" ref="E43">Common_InputFunctions.Utility_DisplayArrayInTable(WasteSolid_SourceData.Waste_EmissionFactorsForWasteTreatment_Data(), Table_SourceData_WasteSolid_WasteTreatmentEFs[[#Headers],[Treatment type t]], 0)</f>
        <v>Sludge</v>
      </c>
      <c r="F43" s="26" t="str" cm="1">
        <f t="array" ref="F43">Common_InputFunctions.Utility_DisplayArrayInTable(WasteSolid_SourceData.Waste_EmissionFactorsForWasteTreatment_Data(), Table_SourceData_WasteSolid_WasteTreatmentEFs[[#Headers],[Treatment type t]], 0)</f>
        <v/>
      </c>
      <c r="G43" s="77"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1" t="str" cm="1">
        <f t="array" ref="D44">Common_InputFunctions.Utility_DisplayArrayInTable(WasteSolid_SourceData.Waste_EmissionFactorsForWasteTreatment_Data(), Table_SourceData_WasteSolid_WasteTreatmentEFs[[#Headers],[Treatment type t]], 0)</f>
        <v>Composting</v>
      </c>
      <c r="E44" s="26" t="str" cm="1">
        <f t="array" ref="E44">Common_InputFunctions.Utility_DisplayArrayInTable(WasteSolid_SourceData.Waste_EmissionFactorsForWasteTreatment_Data(), Table_SourceData_WasteSolid_WasteTreatmentEFs[[#Headers],[Treatment type t]], 0)</f>
        <v>Paper and cardboard</v>
      </c>
      <c r="F44" s="26" t="str" cm="1">
        <f t="array" ref="F44">Common_InputFunctions.Utility_DisplayArrayInTable(WasteSolid_SourceData.Waste_EmissionFactorsForWasteTreatment_Data(), Table_SourceData_WasteSolid_WasteTreatmentEFs[[#Headers],[Treatment type t]], 0)</f>
        <v/>
      </c>
      <c r="G44" s="77"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1" t="str" cm="1">
        <f t="array" ref="D45">Common_InputFunctions.Utility_DisplayArrayInTable(WasteSolid_SourceData.Waste_EmissionFactorsForWasteTreatment_Data(), Table_SourceData_WasteSolid_WasteTreatmentEFs[[#Headers],[Treatment type t]], 0)</f>
        <v>Anaerobic digestion</v>
      </c>
      <c r="E45" s="26" t="str" cm="1">
        <f t="array" ref="E45">Common_InputFunctions.Utility_DisplayArrayInTable(WasteSolid_SourceData.Waste_EmissionFactorsForWasteTreatment_Data(), Table_SourceData_WasteSolid_WasteTreatmentEFs[[#Headers],[Treatment type t]], 0)</f>
        <v>All organic waste</v>
      </c>
      <c r="F45" s="26" cm="1">
        <f t="array" ref="F45">Common_InputFunctions.Utility_DisplayArrayInTable(WasteSolid_SourceData.Waste_EmissionFactorsForWasteTreatment_Data(), Table_SourceData_WasteSolid_WasteTreatmentEFs[[#Headers],[Treatment type t]], 0)</f>
        <v>2.8000000000000001E-2</v>
      </c>
      <c r="G45" s="77"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1" t="str" cm="1">
        <f t="array" ref="D46">Common_InputFunctions.Utility_DisplayArrayInTable(WasteSolid_SourceData.Waste_EmissionFactorsForWasteTreatment_Data(), Table_SourceData_WasteSolid_WasteTreatmentEFs[[#Headers],[Treatment type t]], 0)</f>
        <v>Anaerobic digestion</v>
      </c>
      <c r="E46" s="26"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6" t="str" cm="1">
        <f t="array" ref="F46">Common_InputFunctions.Utility_DisplayArrayInTable(WasteSolid_SourceData.Waste_EmissionFactorsForWasteTreatment_Data(), Table_SourceData_WasteSolid_WasteTreatmentEFs[[#Headers],[Treatment type t]], 0)</f>
        <v/>
      </c>
      <c r="G46" s="77"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1" t="str" cm="1">
        <f t="array" ref="D47">Common_InputFunctions.Utility_DisplayArrayInTable(WasteSolid_SourceData.Waste_EmissionFactorsForWasteTreatment_Data(), Table_SourceData_WasteSolid_WasteTreatmentEFs[[#Headers],[Treatment type t]], 0)</f>
        <v>Anaerobic digestion</v>
      </c>
      <c r="E47" s="26" t="str" cm="1">
        <f t="array" ref="E47">Common_InputFunctions.Utility_DisplayArrayInTable(WasteSolid_SourceData.Waste_EmissionFactorsForWasteTreatment_Data(), Table_SourceData_WasteSolid_WasteTreatmentEFs[[#Headers],[Treatment type t]], 0)</f>
        <v>Green waste (including crop residues or prunings)</v>
      </c>
      <c r="F47" s="26" t="str" cm="1">
        <f t="array" ref="F47">Common_InputFunctions.Utility_DisplayArrayInTable(WasteSolid_SourceData.Waste_EmissionFactorsForWasteTreatment_Data(), Table_SourceData_WasteSolid_WasteTreatmentEFs[[#Headers],[Treatment type t]], 0)</f>
        <v/>
      </c>
      <c r="G47" s="77"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6" t="str" cm="1">
        <f t="array" ref="E48">Common_InputFunctions.Utility_DisplayArrayInTable(WasteSolid_SourceData.Waste_EmissionFactorsForWasteTreatment_Data(), Table_SourceData_WasteSolid_WasteTreatmentEFs[[#Headers],[Treatment type t]], 0)</f>
        <v>Wood</v>
      </c>
      <c r="F48" s="26" t="str" cm="1">
        <f t="array" ref="F48">Common_InputFunctions.Utility_DisplayArrayInTable(WasteSolid_SourceData.Waste_EmissionFactorsForWasteTreatment_Data(), Table_SourceData_WasteSolid_WasteTreatmentEFs[[#Headers],[Treatment type t]], 0)</f>
        <v/>
      </c>
      <c r="G48" s="77"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2" t="str">
        <f>HYPERLINK("#A1", "▲ Back to top")</f>
        <v>▲ Back to top</v>
      </c>
      <c r="D49" s="1" t="str" cm="1">
        <f t="array" ref="D49">Common_InputFunctions.Utility_DisplayArrayInTable(WasteSolid_SourceData.Waste_EmissionFactorsForWasteTreatment_Data(), Table_SourceData_WasteSolid_WasteTreatmentEFs[[#Headers],[Treatment type t]], 0)</f>
        <v>Anaerobic digestion</v>
      </c>
      <c r="E49" s="26" t="str" cm="1">
        <f t="array" ref="E49">Common_InputFunctions.Utility_DisplayArrayInTable(WasteSolid_SourceData.Waste_EmissionFactorsForWasteTreatment_Data(), Table_SourceData_WasteSolid_WasteTreatmentEFs[[#Headers],[Treatment type t]], 0)</f>
        <v>Sludge</v>
      </c>
      <c r="F49" s="26" t="str" cm="1">
        <f t="array" ref="F49">Common_InputFunctions.Utility_DisplayArrayInTable(WasteSolid_SourceData.Waste_EmissionFactorsForWasteTreatment_Data(), Table_SourceData_WasteSolid_WasteTreatmentEFs[[#Headers],[Treatment type t]], 0)</f>
        <v/>
      </c>
      <c r="G49" s="77"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1" t="str" cm="1">
        <f t="array" ref="D50">Common_InputFunctions.Utility_DisplayArrayInTable(WasteSolid_SourceData.Waste_EmissionFactorsForWasteTreatment_Data(), Table_SourceData_WasteSolid_WasteTreatmentEFs[[#Headers],[Treatment type t]], 0)</f>
        <v>Anaerobic digestion</v>
      </c>
      <c r="E50" s="26" t="str" cm="1">
        <f t="array" ref="E50">Common_InputFunctions.Utility_DisplayArrayInTable(WasteSolid_SourceData.Waste_EmissionFactorsForWasteTreatment_Data(), Table_SourceData_WasteSolid_WasteTreatmentEFs[[#Headers],[Treatment type t]], 0)</f>
        <v>Paper and cardboard</v>
      </c>
      <c r="F50" s="26" t="str" cm="1">
        <f t="array" ref="F50">Common_InputFunctions.Utility_DisplayArrayInTable(WasteSolid_SourceData.Waste_EmissionFactorsForWasteTreatment_Data(), Table_SourceData_WasteSolid_WasteTreatmentEFs[[#Headers],[Treatment type t]], 0)</f>
        <v/>
      </c>
      <c r="G50" s="77"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5" t="str" cm="1">
        <f t="array" ref="D52">WasteSolid_SourceData.Waste_WasteVolumeToMassConversion_Title()</f>
        <v>Volume to mass conversion factor for various waste types</v>
      </c>
    </row>
    <row r="53" spans="1:7" ht="20.100000000000001" customHeight="1" x14ac:dyDescent="0.25">
      <c r="D53" s="4" t="str" cm="1">
        <f t="array" ref="D53">WasteSolid_SourceData.Waste_WasteVolumeToMassConversion_Source()</f>
        <v>VEERG 2026: Table A.4.1.2</v>
      </c>
    </row>
    <row r="54" spans="1:7" ht="20.100000000000001" customHeight="1" x14ac:dyDescent="0.25">
      <c r="D54" s="31" t="str" cm="1">
        <f t="array" ref="D54">WasteSolid_SourceData.Waste_WasteVolumeToMassConversion_Variation()</f>
        <v>VARIATION OF SOURCE: Changed column header CFw to VTMw to match title variable.</v>
      </c>
    </row>
    <row r="55" spans="1:7" ht="20.100000000000001" customHeight="1" x14ac:dyDescent="0.25">
      <c r="D55" s="1" t="str" cm="1">
        <f t="array" ref="D55">WasteSolid_SourceData.Waste_WasteVolumeToMassConversion_Variable()</f>
        <v>VTMw</v>
      </c>
    </row>
    <row r="56" spans="1:7" ht="20.100000000000001" customHeight="1" x14ac:dyDescent="0.25">
      <c r="D56" s="30" t="str" cm="1">
        <f t="array" ref="D56">WasteSolid_SourceData.Waste_WasteVolumeToMassConversion_Unit()</f>
        <v>t/m3</v>
      </c>
    </row>
    <row r="57" spans="1:7" ht="20.100000000000001" customHeight="1" x14ac:dyDescent="0.25">
      <c r="D57" s="26" t="s">
        <v>90</v>
      </c>
      <c r="E57" s="26" t="s">
        <v>92</v>
      </c>
    </row>
    <row r="58" spans="1:7" ht="20.100000000000001" customHeight="1" x14ac:dyDescent="0.25">
      <c r="D58" s="26"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6"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26"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26"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6"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6"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6"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6"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6"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6"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6"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6"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2"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3525-8353-48E3-B0E3-4A36F8DAEFB6}">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AnAEYAcgB5ACcAIAB0AG8AIAAnAEQAcgB5AC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PgAgADEAOAAgAEMAXAAiACwAIABcACIAQQBuAHkAXAAiACwAIABcACIAZCIgADcAXAAiACwAIABcACIAPg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D4AIAAxADgAIABDAFwAIgAsACAAXAAiAD4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PgAgADEAOAAgAEMAXAAiACwAIABcACIAPg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Pg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A+ACAAMQAwACAAQwBcACIALAAgAFwAIgBBAG4AeQBcACIALAAgAFwAIgBBAG4AeQBcACIALAAgAFwAIgBBAG4AeQBcACIALAAgAFwAIgA+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A+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A+ACAAMAAgAEMAIAAtACAAZCIgADEAMAAgAEMAXAAiACwAIABcACIAQQBuAHkAXAAiACwAIABcACIAQQBuAHkAXAAiACwAIABcACIAQQBuAHkAXAAiACwAIABcACIAPg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Pg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A+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D4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A8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AnAFAAbwB1AGwAdAByAHkAIAB3AGkAdABoACAAYQBuAGQAIAB3AGkAdABoAG8AdQB0ACAAbABpAHQAdABlAHIAJwAgAGMAbwBsAHUAbQBuACAAdwBpAHQAaAAgAHMAZQBwAGEAcgBhAHQAZQAgAE4ASQBSACAAZABlAGYAaQBuAGkAdABpAG8AbgBzACAAdABvACAAYQBpAGQAIABsAG8AbwBrAHUAcAAuACAAQQBkAGQAZQBkACAAJwBNAEEAVAAgAHIAYQB3AC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J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C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BcACIAXAAiACwAIABcACIAXAAiADsAXABuACAAIAAgACAAIAAgACAAIABcACIASQBuAGMAaQBuAGUAcgBhAHQAaQBvAG4AXAAiACwAIABcACIARwByAGUAZQBuACAAdwBhAHMAdABlACAAKABpAG4AYwBsAHUAZABpAG4AZwAgAGMAcgBvAHAAIAByAGUAcwBpAGQAdQBlAHMAIABvAHIAIABwAHIAdQBuAGkAbgBnAHMAKQBcACIALAAgAFwAIgBcACIALAAgAFwAIgBcACIAOwBcAG4AIAAgACAAIAAgACAAIAAgAFwAIgBJAG4AYwBpAG4AZQByAGEAdABpAG8AbgBcACIALAAgAFwAIgBXAG8AbwBkAFwAIgAsACAAXAAiAFwAIgAsACAAXAAiAFwAIgA7AFwAbgAgACAAIAAgACAAIAAgACAAXAAiAEkAbgBjAGkAbgBlAHIAYQB0AGkAbwBuAFwAIgAsACAAXAAiAFMAbAB1AGQAZwBlAFwAIgAsACAAXAAiAFwAIg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XAAiAFwAIgAsACAAXAAiAFwAIgA7AFwAbgAgACAAIAAgACAAIAAgACAAXAAiAEMAbwBtAHAAbwBzAHQAaQBuAGcAXAAiACwAIABcACIARwByAGUAZQBuACAAdwBhAHMAdABlACAAKABpAG4AYwBsAHUAZABpAG4AZwAgAGMAcgBvAHAAIAByAGUAcwBpAGQAdQBlAHMAIABvAHIAIABwAHIAdQBuAGkAbgBnAHMAKQBcACIALAAgAFwAIgBcACIALAAgAFwAIgBcACIAOwBcAG4AIAAgACAAIAAgACAAIAAgAFwAIgBDAG8AbQBwAG8AcwB0AGkAbgBnAFwAIgAsACAAXAAiAFcAbwBvAGQAXAAiACwAIABcACIAXAAiACwAIABcACIAXAAiADsAXABuACAAIAAgACAAIAAgACAAIABcACIAQwBvAG0AcABvAHMAdABpAG4AZwBcACIALAAgAFwAIgBTAGwAdQBkAGcAZQBcACIALAAgAFwAIgBcACIALAAgAFwAIgBcACIAOwBcAG4AIAAgACAAIAAgACAAIAAgAFwAIgBDAG8AbQBwAG8AcwB0AGkAbgBnAFwAIgAsACAAXAAiAFAAYQBwAGUAcgAgAGEAbgBkACAAYwBhAHIAZABiAG8AYQByAGQAXAAiACwAIABcACIAXAAi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BcACIAXAAiACwAIABcACIAXAAiADsAXABuACAAIAAgACAAIAAgACAAIABcACIAQQBuAGEAZQByAG8AYgBpAGMAIABkAGkAZwBlAHMAdABpAG8AbgBcACIALAAgAFwAIgBHAHIAZQBlAG4AIAB3AGEAcwB0AGUAIAAoAGkAbgBjAGwAdQBkAGkAbgBnACAAYwByAG8AcAAgAHIAZQBzAGkAZAB1AGUAcwAgAG8AcgAgAHAAcgB1AG4AaQBuAGcAcwApAFwAIgAsACAAXAAiAFwAIgAsACAAXAAiAFwAIgA7AFwAbgAgACAAIAAgACAAIAAgACAAXAAiAEEAbgBhAGUAcgBvAGIAaQBjACAAZABpAGcAZQBzAHQAaQBvAG4AXAAiACwAIABcACIAVwBvAG8AZABcACIALAAgAFwAIgBcACIALAAgAFwAIgBcACIAOwBcAG4AIAAgACAAIAAgACAAIAAgAFwAIgBBAG4AYQBlAHIAbwBiAGkAYwAgAGQAaQBnAGUAcwB0AGkAbwBuAFwAIgAsACAAXAAiAFMAbAB1AGQAZwBlAFwAIgAsACAAXAAiAFwAIgAsACAAXAAiAFwAIgA7AFwAbgAgACAAIAAgACAAIAAgACAAXAAiAEEAbgBhAGUAcgBvAGIAaQBjACAAZABpAGcAZQBzAHQAaQBvAG4AXAAiACwAIABcACIAUABhAHAAZQByACAAYQBuAGQAIABjAGEAcgBkAGIAbwBhAHIAZABcACIALAAgAFwAIgBcACI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AnAHAAYQBwAGUAcgAgAGEAbgBkACAAYwBhAHIAYgBvAGEAcgBkACcAIAB0AG8AIAAnAHAAYQBwAGUAcgAgAGEAbgBkACAAYwBhAHIAZABiAG8AYQByAGQAJwBcACIAOwBcAG4AIAAgACAAIAAgACAAIAAgAFwAIgBGAGkAeABlAGQAIAB0AHkAcABvACAAJwBwAHIAdQBuAG4AaQBuAGcAcwAnACAAdABvACAAJwBwAHIAdQBuAGkAbgBnAHMAJwBcACIAOwBcAG4AIAAgACAAIAAgACAAIAAgAFwAIgBBAGQAZABlAGQAIABFAEYAIABzAG8AdQByAGMAZQAgAGMAbwBsAHUAbQBuACAAdwBpAHQAaAAgAHMAcABlAGMAaQBmAGkAYwAgAHIAZQBmAGUAcgBlAG4AYwBlAHMAXAAiADsAXABuACAAIAAgACAAIAAgACAAIABcACIAQQBkAGQAZQBkACAAcwB1AGIALQBjAGEAdABlAGcAbwByAGkAZQBzACAAZgBvAHIAIAAnAEkAbgBjAGkAbgBlAHIAYQB0AGkAbwBuADoAIABGAG8AbwBkACAAdwBhAHMAdABlACwAIABnAHIAZQBlAG4AIAB3AGEAcwB0AGUALAAgAHcAbwBvAGQALAAgAHMAbAB1AGQAZwBlACcAIABpAG4AIABvAHIAZABlAHIAIAB0AG8AIAB1AHMAZQAgAHYAbwBsAHUAbQBlACAAdABvACAAbQBhAHMAcwAgAGMAbwBuAHYAZQByAHMAaQBvAG4AIABmAGEAYwB0AG8AcgAgAHYAYQBsAHUAZQBzAFwAIgA7AFwAbgAgACAAIAAgACAAIAAgACAAXAAiAEEAZABkAGUAZAAgAHMAdQBiAC0AYwBhAHQAZQBnAG8AcgBpAGUAcwAgAGYAbwByACAAJwBDAG8AbQBwAG8AcwB0AGkAbgBnADoAIABBAGwAbAAgAG8AcgBnAGEAbgBpAGMAIAB3AGEAcwB0AGUAJwAgAGkAbgAgAG8AcgBkAGUAcgAgAHQAbwAgAHUAcwBlACAAdgBvAGwAdQBtAGUAIAB0AG8AIABtAGEAcwBzACAAYwBvAG4AdgBlAHIAcwBpAG8AbgAgAGYAYQBjAHQAbwByACAAdgBhAGwAdQBlAHMAXAAiADsAXABuACAAIAAgACAAIAAgACAAIABcACIAQQBkAGQAZQBkACAAcwB1AGIALQBjAGEAdABlAGcAbwByAGkAZQBzACAAZgBvAHIAIAAnAEEAbgBhAGUAcgBvAGIAaQBjACAAZABpAGcAZQBzAHQAaQBvAG4AOgAgAEEAbABsACAAbwByAGcAYQBuAGkAYwAgAHcAYQBzAHQAZQAn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JAG4AcAB1AHQARgB1AG4AYwB0AGkAbwBuAHMALgBXAGEAcwB0AGUAUwBvAGwAaQBkAF8ASQBuAHAAdQB0AEYAdQBuAGMAdABpAG8AbgBzAF8AUwB1AG0AVwBhAHMAdABlAFQAcgBlAGEAdABtAGUAbgB0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Overview</vt:lpstr>
      <vt:lpstr>Results</vt:lpstr>
      <vt:lpstr>Input - Solid waste</vt:lpstr>
      <vt:lpstr>10.1.1-2 Solid waste treatment</vt:lpstr>
      <vt:lpstr>Constants - Solid Waste</vt:lpstr>
      <vt:lpstr>Constants - Common</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