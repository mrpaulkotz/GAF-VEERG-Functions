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65BA8CD-716F-47F2-B1A3-D3E0DC74A94E}" xr6:coauthVersionLast="47" xr6:coauthVersionMax="47" xr10:uidLastSave="{00000000-0000-0000-0000-000000000000}"/>
  <bookViews>
    <workbookView xWindow="1065" yWindow="840" windowWidth="36645" windowHeight="19350" activeTab="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06"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2" i="98" l="1"/>
  <c r="G52" i="98"/>
  <c r="G300" i="76"/>
  <c r="Q300" i="76"/>
  <c r="Q128" i="97"/>
  <c r="G128" i="97"/>
  <c r="A13" i="43" l="1"/>
  <c r="A13" i="79"/>
  <c r="A13" i="105"/>
  <c r="A13" i="98"/>
  <c r="A13" i="97"/>
  <c r="A13" i="76"/>
  <c r="A13" i="69"/>
  <c r="A13" i="70"/>
  <c r="A13" i="15"/>
  <c r="A13" i="13"/>
  <c r="A22" i="43" l="1"/>
  <c r="A21" i="43"/>
  <c r="A20" i="43"/>
  <c r="A19" i="43"/>
  <c r="A16" i="43"/>
  <c r="A15" i="43"/>
  <c r="A14" i="43"/>
  <c r="A12" i="43"/>
  <c r="A9" i="43"/>
  <c r="A8" i="43"/>
  <c r="A5" i="43"/>
  <c r="A4" i="43"/>
  <c r="A3" i="43"/>
  <c r="A22" i="79"/>
  <c r="A21" i="79"/>
  <c r="A20" i="79"/>
  <c r="A19" i="79"/>
  <c r="A16" i="79"/>
  <c r="A15" i="79"/>
  <c r="A14" i="79"/>
  <c r="A12" i="79"/>
  <c r="A9" i="79"/>
  <c r="A8" i="79"/>
  <c r="A5" i="79"/>
  <c r="A4" i="79"/>
  <c r="A3" i="79"/>
  <c r="A22" i="105"/>
  <c r="A21" i="105"/>
  <c r="A20" i="105"/>
  <c r="A19" i="105"/>
  <c r="A16" i="105"/>
  <c r="A15" i="105"/>
  <c r="A14" i="105"/>
  <c r="A12" i="105"/>
  <c r="A9" i="105"/>
  <c r="A8" i="105"/>
  <c r="A5" i="105"/>
  <c r="A4" i="105"/>
  <c r="A3" i="105"/>
  <c r="A22" i="98"/>
  <c r="A21" i="98"/>
  <c r="A20" i="98"/>
  <c r="A19" i="98"/>
  <c r="A16" i="98"/>
  <c r="A15" i="98"/>
  <c r="A14" i="98"/>
  <c r="A12" i="98"/>
  <c r="A9" i="98"/>
  <c r="A8" i="98"/>
  <c r="A5" i="98"/>
  <c r="A4" i="98"/>
  <c r="A3" i="98"/>
  <c r="A22" i="97"/>
  <c r="A21" i="97"/>
  <c r="A20" i="97"/>
  <c r="A19" i="97"/>
  <c r="A16" i="97"/>
  <c r="A15" i="97"/>
  <c r="A14" i="97"/>
  <c r="A12" i="97"/>
  <c r="A9" i="97"/>
  <c r="A8" i="97"/>
  <c r="A5" i="97"/>
  <c r="A4" i="97"/>
  <c r="A3" i="97"/>
  <c r="A22" i="76"/>
  <c r="A21" i="76"/>
  <c r="A20" i="76"/>
  <c r="A19" i="76"/>
  <c r="A16" i="76"/>
  <c r="A15" i="76"/>
  <c r="A14" i="76"/>
  <c r="A12" i="76"/>
  <c r="A9" i="76"/>
  <c r="A8" i="76"/>
  <c r="A5" i="76"/>
  <c r="A4" i="76"/>
  <c r="A3" i="76"/>
  <c r="A22" i="69"/>
  <c r="A21" i="69"/>
  <c r="A20" i="69"/>
  <c r="A19" i="69"/>
  <c r="A16" i="69"/>
  <c r="A15" i="69"/>
  <c r="A14" i="69"/>
  <c r="A12" i="69"/>
  <c r="A9" i="69"/>
  <c r="A8" i="69"/>
  <c r="A5" i="69"/>
  <c r="A4" i="69"/>
  <c r="A3" i="69"/>
  <c r="A22" i="70"/>
  <c r="A21" i="70"/>
  <c r="A20" i="70"/>
  <c r="A19" i="70"/>
  <c r="A16" i="70"/>
  <c r="A15" i="70"/>
  <c r="A14" i="70"/>
  <c r="A12" i="70"/>
  <c r="A9" i="70"/>
  <c r="A8" i="70"/>
  <c r="A5" i="70"/>
  <c r="A4" i="70"/>
  <c r="A3" i="70"/>
  <c r="A22" i="15"/>
  <c r="A21" i="15"/>
  <c r="A20" i="15"/>
  <c r="A19" i="15"/>
  <c r="A16" i="15"/>
  <c r="A15" i="15"/>
  <c r="A14" i="15"/>
  <c r="A12" i="15"/>
  <c r="A9" i="15"/>
  <c r="A8" i="15"/>
  <c r="A5" i="15"/>
  <c r="A4" i="15"/>
  <c r="A3" i="15"/>
  <c r="A4" i="13"/>
  <c r="A92" i="70"/>
  <c r="A46" i="70"/>
  <c r="A117" i="79"/>
  <c r="A63" i="79"/>
  <c r="A278" i="105"/>
  <c r="A247" i="105"/>
  <c r="A211" i="105"/>
  <c r="A163" i="105"/>
  <c r="A122" i="105"/>
  <c r="A63" i="105"/>
  <c r="A54" i="98"/>
  <c r="A61" i="97"/>
  <c r="A130" i="97"/>
  <c r="A108" i="97"/>
  <c r="A302" i="76"/>
  <c r="A244" i="76"/>
  <c r="A171" i="76"/>
  <c r="A125" i="76"/>
  <c r="A102" i="76"/>
  <c r="A77" i="76"/>
  <c r="A266" i="69"/>
  <c r="A231" i="69"/>
  <c r="A213" i="69"/>
  <c r="A186" i="69"/>
  <c r="A110" i="69"/>
  <c r="A70" i="69"/>
  <c r="E47" i="70"/>
  <c r="E54" i="70"/>
  <c r="E62" i="70"/>
  <c r="E69" i="70"/>
  <c r="E76" i="70"/>
  <c r="E83" i="70"/>
  <c r="R229" i="69"/>
  <c r="H229" i="69"/>
  <c r="R210" i="69" a="1"/>
  <c r="R210" i="69" s="1"/>
  <c r="Q210" i="69" a="1"/>
  <c r="Q210" i="69" s="1"/>
  <c r="P210" i="69"/>
  <c r="P210" i="69" a="1"/>
  <c r="O210" i="69" a="1"/>
  <c r="O210" i="69" s="1"/>
  <c r="R209" i="69" a="1"/>
  <c r="R209" i="69" s="1"/>
  <c r="Q209" i="69" a="1"/>
  <c r="Q209" i="69" s="1"/>
  <c r="P209" i="69"/>
  <c r="P209" i="69" a="1"/>
  <c r="O209" i="69" a="1"/>
  <c r="O209" i="69" s="1"/>
  <c r="R208" i="69" a="1"/>
  <c r="R208" i="69" s="1"/>
  <c r="Q208" i="69"/>
  <c r="Q208" i="69" a="1"/>
  <c r="P208" i="69" a="1"/>
  <c r="P208" i="69" s="1"/>
  <c r="O208" i="69" a="1"/>
  <c r="O208" i="69" s="1"/>
  <c r="R207" i="69" a="1"/>
  <c r="R207" i="69" s="1"/>
  <c r="Q207" i="69"/>
  <c r="Q207" i="69" a="1"/>
  <c r="P207" i="69" a="1"/>
  <c r="P207" i="69" s="1"/>
  <c r="O207" i="69" a="1"/>
  <c r="O207" i="69" s="1"/>
  <c r="R206" i="69"/>
  <c r="R206" i="69" a="1"/>
  <c r="Q206" i="69" a="1"/>
  <c r="Q206" i="69" s="1"/>
  <c r="P206" i="69" a="1"/>
  <c r="P206" i="69" s="1"/>
  <c r="O206" i="69" a="1"/>
  <c r="O206" i="69" s="1"/>
  <c r="Q180" i="69" a="1"/>
  <c r="Q180" i="69" s="1"/>
  <c r="S180" i="69" a="1"/>
  <c r="S180" i="69" s="1"/>
  <c r="R180" i="69" a="1"/>
  <c r="R180" i="69" s="1"/>
  <c r="P180" i="69" a="1"/>
  <c r="P180" i="69" s="1"/>
  <c r="S179" i="69" a="1"/>
  <c r="S179" i="69" s="1"/>
  <c r="R179" i="69" a="1"/>
  <c r="R179" i="69" s="1"/>
  <c r="Q179" i="69"/>
  <c r="Q179" i="69" a="1"/>
  <c r="P179" i="69" a="1"/>
  <c r="P179" i="69" s="1"/>
  <c r="S178" i="69" a="1"/>
  <c r="S178" i="69" s="1"/>
  <c r="R178" i="69" a="1"/>
  <c r="R178" i="69" s="1"/>
  <c r="Q178" i="69" a="1"/>
  <c r="Q178" i="69" s="1"/>
  <c r="P178" i="69" a="1"/>
  <c r="P178" i="69" s="1"/>
  <c r="S177" i="69" a="1"/>
  <c r="S177" i="69" s="1"/>
  <c r="R177" i="69"/>
  <c r="R177" i="69" a="1"/>
  <c r="Q177" i="69" a="1"/>
  <c r="Q177" i="69" s="1"/>
  <c r="P177" i="69" a="1"/>
  <c r="P177" i="69" s="1"/>
  <c r="S176" i="69" a="1"/>
  <c r="S176" i="69" s="1"/>
  <c r="R176" i="69" a="1"/>
  <c r="R176" i="69" s="1"/>
  <c r="Q176" i="69" a="1"/>
  <c r="Q176" i="69" s="1"/>
  <c r="P176" i="69" a="1"/>
  <c r="P176" i="69" s="1"/>
  <c r="S175" i="69"/>
  <c r="S175" i="69" a="1"/>
  <c r="R175" i="69" a="1"/>
  <c r="R175" i="69" s="1"/>
  <c r="Q175" i="69" a="1"/>
  <c r="Q175" i="69" s="1"/>
  <c r="P175" i="69" a="1"/>
  <c r="P175" i="69" s="1"/>
  <c r="S174" i="69" a="1"/>
  <c r="S174" i="69" s="1"/>
  <c r="R174" i="69" a="1"/>
  <c r="R174" i="69" s="1"/>
  <c r="Q174" i="69" a="1"/>
  <c r="Q174" i="69" s="1"/>
  <c r="P174" i="69" a="1"/>
  <c r="P174" i="69" s="1"/>
  <c r="S173" i="69"/>
  <c r="S173" i="69" a="1"/>
  <c r="R173" i="69" a="1"/>
  <c r="R173" i="69" s="1"/>
  <c r="Q173" i="69"/>
  <c r="Q173" i="69" a="1"/>
  <c r="P173" i="69" a="1"/>
  <c r="P173" i="69" s="1"/>
  <c r="S172" i="69" a="1"/>
  <c r="S172" i="69" s="1"/>
  <c r="R172" i="69" a="1"/>
  <c r="R172" i="69" s="1"/>
  <c r="Q172" i="69" a="1"/>
  <c r="Q172" i="69" s="1"/>
  <c r="P172" i="69" a="1"/>
  <c r="P172" i="69" s="1"/>
  <c r="S171" i="69" a="1"/>
  <c r="S171" i="69" s="1"/>
  <c r="R171" i="69" a="1"/>
  <c r="R171" i="69" s="1"/>
  <c r="Q171" i="69"/>
  <c r="Q171" i="69" a="1"/>
  <c r="P171" i="69"/>
  <c r="P171" i="69" a="1"/>
  <c r="S170" i="69" a="1"/>
  <c r="S170" i="69" s="1"/>
  <c r="R170" i="69" a="1"/>
  <c r="R170" i="69" s="1"/>
  <c r="Q170" i="69"/>
  <c r="Q170" i="69" a="1"/>
  <c r="P170" i="69" a="1"/>
  <c r="P170" i="69" s="1"/>
  <c r="S169" i="69" a="1"/>
  <c r="S169" i="69" s="1"/>
  <c r="R169" i="69"/>
  <c r="R169" i="69" a="1"/>
  <c r="Q169" i="69"/>
  <c r="Q169" i="69" a="1"/>
  <c r="P169" i="69" a="1"/>
  <c r="P169" i="69" s="1"/>
  <c r="S168" i="69" a="1"/>
  <c r="S168" i="69" s="1"/>
  <c r="R168" i="69"/>
  <c r="R168" i="69" a="1"/>
  <c r="Q168" i="69" a="1"/>
  <c r="Q168" i="69" s="1"/>
  <c r="P168" i="69" a="1"/>
  <c r="P168" i="69" s="1"/>
  <c r="S167" i="69" a="1"/>
  <c r="S167" i="69" s="1"/>
  <c r="R167" i="69" a="1"/>
  <c r="R167" i="69" s="1"/>
  <c r="Q167" i="69" a="1"/>
  <c r="Q167" i="69" s="1"/>
  <c r="P167" i="69" a="1"/>
  <c r="P167" i="69" s="1"/>
  <c r="S166" i="69"/>
  <c r="S166" i="69" a="1"/>
  <c r="R166" i="69" a="1"/>
  <c r="R166" i="69" s="1"/>
  <c r="Q166" i="69" a="1"/>
  <c r="Q166" i="69" s="1"/>
  <c r="P166" i="69" a="1"/>
  <c r="P166" i="69" s="1"/>
  <c r="S165" i="69" a="1"/>
  <c r="S165" i="69" s="1"/>
  <c r="R165" i="69" a="1"/>
  <c r="R165" i="69" s="1"/>
  <c r="Q165" i="69" a="1"/>
  <c r="Q165" i="69" s="1"/>
  <c r="P165" i="69" a="1"/>
  <c r="P165" i="69" s="1"/>
  <c r="O156" i="69"/>
  <c r="S126" i="69"/>
  <c r="Q121" i="69" a="1"/>
  <c r="Q121" i="69" s="1"/>
  <c r="N121" i="69" a="1"/>
  <c r="N121" i="69" s="1"/>
  <c r="S122" i="69"/>
  <c r="I123" i="69" a="1"/>
  <c r="I123" i="69" s="1"/>
  <c r="I121" i="69" a="1"/>
  <c r="I121" i="69" s="1"/>
  <c r="N160" i="69"/>
  <c r="N159" i="69"/>
  <c r="N158" i="69"/>
  <c r="N157" i="69"/>
  <c r="N156" i="69"/>
  <c r="N155" i="69"/>
  <c r="I201" i="69"/>
  <c r="I125" i="69"/>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O160" i="69" s="1" a="1"/>
  <c r="O160" i="69"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c r="D211" i="106" a="1"/>
  <c r="E208" i="106" a="1"/>
  <c r="E208" i="106" s="1"/>
  <c r="D208" i="106" a="1"/>
  <c r="D208" i="106" s="1"/>
  <c r="E207" i="106" a="1"/>
  <c r="E207" i="106" s="1"/>
  <c r="D207" i="106" a="1"/>
  <c r="D207" i="106" s="1"/>
  <c r="D205" i="106" a="1"/>
  <c r="D205" i="106" s="1"/>
  <c r="D204" i="106" a="1"/>
  <c r="D204" i="106" s="1"/>
  <c r="D203" i="106" a="1"/>
  <c r="D203" i="106" s="1"/>
  <c r="D202" i="106"/>
  <c r="D202" i="106" a="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c r="D178" i="106" a="1"/>
  <c r="E175" i="106" a="1"/>
  <c r="E175" i="106" s="1"/>
  <c r="D175" i="106"/>
  <c r="D175" i="106" a="1"/>
  <c r="D174" i="106" a="1"/>
  <c r="D174" i="106" s="1"/>
  <c r="D173" i="106"/>
  <c r="D173" i="106" a="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c r="D133" i="106" a="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c r="D116" i="106" a="1"/>
  <c r="D115" i="106"/>
  <c r="D115" i="106" a="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8" i="106" a="1"/>
  <c r="D98"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F246" i="105"/>
  <c r="F241" i="105"/>
  <c r="F237" i="105"/>
  <c r="F233" i="105"/>
  <c r="F229" i="105"/>
  <c r="F224" i="105"/>
  <c r="F107" i="105"/>
  <c r="F102" i="105"/>
  <c r="F98" i="105"/>
  <c r="F94" i="105"/>
  <c r="F90" i="105"/>
  <c r="F85" i="105"/>
  <c r="L51" i="70"/>
  <c r="L59" i="70"/>
  <c r="L66" i="70"/>
  <c r="L73" i="70"/>
  <c r="L80" i="70"/>
  <c r="L88" i="70"/>
  <c r="I212" i="76"/>
  <c r="H212" i="76"/>
  <c r="G212" i="76"/>
  <c r="F212" i="76"/>
  <c r="I207" i="76"/>
  <c r="H207" i="76"/>
  <c r="G207" i="76"/>
  <c r="F207" i="76"/>
  <c r="I203" i="76"/>
  <c r="H203" i="76"/>
  <c r="G203" i="76"/>
  <c r="F203" i="76"/>
  <c r="I199" i="76"/>
  <c r="H199" i="76"/>
  <c r="G199" i="76"/>
  <c r="F199" i="76"/>
  <c r="I195" i="76"/>
  <c r="H195" i="76"/>
  <c r="G195" i="76"/>
  <c r="F195" i="76"/>
  <c r="I190" i="76"/>
  <c r="H190" i="76"/>
  <c r="G190" i="76"/>
  <c r="F190" i="76"/>
  <c r="E114" i="69" a="1"/>
  <c r="E33" i="15" l="1"/>
  <c r="E155" i="69"/>
  <c r="E30" i="15"/>
  <c r="I14" i="98"/>
  <c r="Q264" i="69"/>
  <c r="E31" i="15"/>
  <c r="E32" i="15" s="1"/>
  <c r="I119" i="97"/>
  <c r="E156" i="69"/>
  <c r="E157" i="69"/>
  <c r="E158" i="69"/>
  <c r="E159" i="69"/>
  <c r="E160" i="69"/>
  <c r="I41" i="98"/>
  <c r="G264" i="69"/>
  <c r="O155" i="69" a="1"/>
  <c r="O155" i="69" s="1"/>
  <c r="O157" i="69" a="1"/>
  <c r="O157" i="69" s="1"/>
  <c r="O158" i="69" a="1"/>
  <c r="O158" i="69" s="1"/>
  <c r="O159" i="69" a="1"/>
  <c r="O159" i="69" s="1"/>
  <c r="P155" i="69"/>
  <c r="H50" i="106"/>
  <c r="I42" i="98" s="1"/>
  <c r="H51" i="106"/>
  <c r="H52" i="106"/>
  <c r="F62" i="97"/>
  <c r="I23" i="98"/>
  <c r="F112" i="105"/>
  <c r="I22" i="97"/>
  <c r="J22" i="105"/>
  <c r="J32" i="97"/>
  <c r="J52" i="105"/>
  <c r="S22" i="97"/>
  <c r="T52" i="105"/>
  <c r="H88" i="69"/>
  <c r="J131" i="69"/>
  <c r="F155" i="69"/>
  <c r="H53" i="106"/>
  <c r="G82" i="105"/>
  <c r="F123" i="105"/>
  <c r="H49" i="106"/>
  <c r="H54" i="106"/>
  <c r="H48" i="106"/>
  <c r="R25" i="76"/>
  <c r="F142" i="76"/>
  <c r="I62" i="76"/>
  <c r="S62" i="76"/>
  <c r="H30" i="76"/>
  <c r="H25" i="76"/>
  <c r="F153" i="76"/>
  <c r="J187" i="76"/>
  <c r="I28" i="69"/>
  <c r="S28" i="69"/>
  <c r="F93" i="69"/>
  <c r="H254" i="69"/>
  <c r="E114" i="69"/>
  <c r="I120" i="97" l="1"/>
  <c r="I256" i="76"/>
  <c r="E27" i="70"/>
  <c r="I17" i="105" l="1" a="1"/>
  <c r="I17" i="105" s="1"/>
  <c r="I16" i="105" a="1"/>
  <c r="I16" i="105" s="1"/>
  <c r="I15" i="105" a="1"/>
  <c r="I15" i="105" s="1"/>
  <c r="I14" i="105" a="1"/>
  <c r="I14" i="105" s="1"/>
  <c r="I13" i="105" a="1"/>
  <c r="I13" i="105" s="1"/>
  <c r="E175" i="76" a="1"/>
  <c r="E175" i="76" l="1"/>
  <c r="A22" i="13" l="1"/>
  <c r="A21" i="13"/>
  <c r="A20" i="13"/>
  <c r="A19" i="13"/>
  <c r="A16" i="13"/>
  <c r="A15" i="13"/>
  <c r="A14" i="13"/>
  <c r="A12" i="13"/>
  <c r="A9" i="13"/>
  <c r="A8" i="13"/>
  <c r="A5" i="13"/>
  <c r="A3" i="13"/>
  <c r="F106" i="105"/>
  <c r="F105" i="105"/>
  <c r="F104" i="105"/>
  <c r="F103" i="105"/>
  <c r="F101" i="105"/>
  <c r="F100" i="105"/>
  <c r="F99" i="105"/>
  <c r="F97" i="105"/>
  <c r="F96" i="105"/>
  <c r="F95" i="105"/>
  <c r="F93" i="105"/>
  <c r="F92" i="105"/>
  <c r="F91" i="105"/>
  <c r="F89" i="105"/>
  <c r="F88" i="105"/>
  <c r="F87" i="105"/>
  <c r="F86" i="105"/>
  <c r="F84" i="105"/>
  <c r="F83" i="105"/>
  <c r="F82" i="105"/>
  <c r="F245" i="105"/>
  <c r="F244" i="105"/>
  <c r="F243" i="105"/>
  <c r="F242" i="105"/>
  <c r="F240" i="105"/>
  <c r="F239" i="105"/>
  <c r="F238" i="105"/>
  <c r="F236" i="105"/>
  <c r="F235" i="105"/>
  <c r="F234" i="105"/>
  <c r="F232" i="105"/>
  <c r="F231" i="105"/>
  <c r="F230" i="105"/>
  <c r="F228" i="105"/>
  <c r="F227" i="105"/>
  <c r="F226" i="105"/>
  <c r="F225" i="105"/>
  <c r="F223" i="105"/>
  <c r="F222" i="105"/>
  <c r="F221" i="105"/>
  <c r="D213" i="105"/>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O49" i="98"/>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I18" i="98"/>
  <c r="I17" i="98"/>
  <c r="I16" i="98"/>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R66" i="76"/>
  <c r="Q66" i="76"/>
  <c r="P66" i="76"/>
  <c r="R65" i="76"/>
  <c r="Q65" i="76"/>
  <c r="P65" i="76"/>
  <c r="R64" i="76"/>
  <c r="Q64" i="76"/>
  <c r="P64" i="76"/>
  <c r="R63" i="76"/>
  <c r="Q63" i="76"/>
  <c r="P63" i="76"/>
  <c r="R62" i="76"/>
  <c r="Q62" i="76"/>
  <c r="P62" i="76"/>
  <c r="O66" i="76"/>
  <c r="O65" i="76"/>
  <c r="O64" i="76"/>
  <c r="O63" i="76"/>
  <c r="O62" i="76"/>
  <c r="F130" i="97" a="1"/>
  <c r="F130" i="97" s="1"/>
  <c r="D127" i="97" a="1"/>
  <c r="D127" i="97" s="1"/>
  <c r="I122" i="97"/>
  <c r="I121" i="97"/>
  <c r="F302" i="76" a="1"/>
  <c r="F302" i="76" s="1"/>
  <c r="D299" i="76" a="1"/>
  <c r="D299" i="76" s="1"/>
  <c r="E7" i="98" a="1"/>
  <c r="E112" i="97" a="1"/>
  <c r="O112" i="97" a="1"/>
  <c r="E7" i="97" a="1"/>
  <c r="E248" i="76" a="1"/>
  <c r="E34" i="98" a="1"/>
  <c r="E7" i="105" a="1"/>
  <c r="J251" i="105" l="1"/>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I211" i="76"/>
  <c r="H211" i="76"/>
  <c r="G211" i="76"/>
  <c r="F211" i="76"/>
  <c r="I210" i="76"/>
  <c r="H210" i="76"/>
  <c r="G210" i="76"/>
  <c r="F210" i="76"/>
  <c r="I209" i="76"/>
  <c r="H209" i="76"/>
  <c r="G209" i="76"/>
  <c r="F209" i="76"/>
  <c r="I208" i="76"/>
  <c r="H208" i="76"/>
  <c r="G208" i="76"/>
  <c r="F208" i="76"/>
  <c r="I206" i="76"/>
  <c r="H206" i="76"/>
  <c r="G206" i="76"/>
  <c r="F206" i="76"/>
  <c r="I205" i="76"/>
  <c r="H205" i="76"/>
  <c r="G205" i="76"/>
  <c r="F205" i="76"/>
  <c r="I204" i="76"/>
  <c r="H204" i="76"/>
  <c r="G204" i="76"/>
  <c r="I202" i="76"/>
  <c r="H202" i="76"/>
  <c r="G202" i="76"/>
  <c r="F202" i="76"/>
  <c r="I201" i="76"/>
  <c r="H201" i="76"/>
  <c r="G201" i="76"/>
  <c r="F201" i="76"/>
  <c r="I200" i="76"/>
  <c r="H200" i="76"/>
  <c r="G200" i="76"/>
  <c r="F200" i="76"/>
  <c r="F204" i="76"/>
  <c r="I198" i="76"/>
  <c r="H198" i="76"/>
  <c r="G198" i="76"/>
  <c r="F198" i="76"/>
  <c r="I197" i="76"/>
  <c r="H197" i="76"/>
  <c r="G197" i="76"/>
  <c r="F197" i="76"/>
  <c r="I196" i="76"/>
  <c r="H196" i="76"/>
  <c r="G196" i="76"/>
  <c r="F196" i="76"/>
  <c r="I194" i="76"/>
  <c r="H194" i="76"/>
  <c r="G194" i="76"/>
  <c r="F194" i="76"/>
  <c r="I193" i="76"/>
  <c r="H193" i="76"/>
  <c r="G193" i="76"/>
  <c r="F193" i="76"/>
  <c r="I192" i="76"/>
  <c r="H192" i="76"/>
  <c r="G192" i="76"/>
  <c r="F192" i="76"/>
  <c r="I191" i="76"/>
  <c r="H191" i="76"/>
  <c r="G191" i="76"/>
  <c r="F191" i="76"/>
  <c r="I189" i="76"/>
  <c r="H189" i="76"/>
  <c r="G189" i="76"/>
  <c r="F189" i="76"/>
  <c r="I188" i="76"/>
  <c r="H188" i="76"/>
  <c r="G188" i="76"/>
  <c r="F188" i="76"/>
  <c r="I187" i="76"/>
  <c r="H187" i="76"/>
  <c r="G187" i="76"/>
  <c r="F187" i="76"/>
  <c r="E179" i="76" a="1"/>
  <c r="E179" i="76" s="1"/>
  <c r="E178" i="76" a="1"/>
  <c r="E178" i="76" s="1"/>
  <c r="D174" i="76" a="1"/>
  <c r="D174" i="76" s="1"/>
  <c r="D173" i="76" a="1"/>
  <c r="D173" i="76" s="1"/>
  <c r="E133" i="76" a="1"/>
  <c r="E133" i="76" s="1"/>
  <c r="E132" i="76" a="1"/>
  <c r="E132" i="76" s="1"/>
  <c r="D128" i="76" a="1"/>
  <c r="D128" i="76" s="1"/>
  <c r="D127" i="76" a="1"/>
  <c r="D127" i="76" s="1"/>
  <c r="D81" i="76" a="1"/>
  <c r="D81" i="76" s="1"/>
  <c r="H95" i="76"/>
  <c r="G95" i="76"/>
  <c r="F95" i="76"/>
  <c r="E95" i="76"/>
  <c r="E86" i="76" a="1"/>
  <c r="E86" i="76" s="1"/>
  <c r="S100" i="76" s="1"/>
  <c r="E85" i="76" a="1"/>
  <c r="E85" i="76" s="1"/>
  <c r="D80" i="76" a="1"/>
  <c r="D80" i="76" s="1"/>
  <c r="D79" i="76" a="1"/>
  <c r="D79" i="76" s="1"/>
  <c r="D104" i="76" a="1"/>
  <c r="D104" i="76" s="1"/>
  <c r="D105" i="76" a="1"/>
  <c r="D105" i="76" s="1"/>
  <c r="H66" i="76"/>
  <c r="G66" i="76"/>
  <c r="F66" i="76"/>
  <c r="E66" i="76"/>
  <c r="H65" i="76"/>
  <c r="G65" i="76"/>
  <c r="F65" i="76"/>
  <c r="E65" i="76"/>
  <c r="H64" i="76"/>
  <c r="G64" i="76"/>
  <c r="F64" i="76"/>
  <c r="E64" i="76"/>
  <c r="H63" i="76"/>
  <c r="G63" i="76"/>
  <c r="F63" i="76"/>
  <c r="E63" i="76"/>
  <c r="H62" i="76"/>
  <c r="G62" i="76"/>
  <c r="F62" i="76"/>
  <c r="E62" i="76"/>
  <c r="H57" i="76"/>
  <c r="G57" i="76"/>
  <c r="Q75" i="76" s="1" a="1"/>
  <c r="Q75" i="76" s="1"/>
  <c r="F57" i="76"/>
  <c r="P75" i="76" s="1" a="1"/>
  <c r="P75" i="76" s="1"/>
  <c r="E57" i="76"/>
  <c r="H56" i="76"/>
  <c r="R74" i="76" s="1" a="1"/>
  <c r="R74" i="76" s="1"/>
  <c r="G56" i="76"/>
  <c r="Q74" i="76" s="1" a="1"/>
  <c r="Q74" i="76" s="1"/>
  <c r="F56" i="76"/>
  <c r="P74" i="76" s="1" a="1"/>
  <c r="P74" i="76" s="1"/>
  <c r="E56" i="76"/>
  <c r="H55" i="76"/>
  <c r="G55" i="76"/>
  <c r="Q73" i="76" s="1" a="1"/>
  <c r="Q73" i="76" s="1"/>
  <c r="F55" i="76"/>
  <c r="P73" i="76" s="1" a="1"/>
  <c r="P73" i="76" s="1"/>
  <c r="E55" i="76"/>
  <c r="O73" i="76" s="1" a="1"/>
  <c r="O73" i="76" s="1"/>
  <c r="H54" i="76"/>
  <c r="R72" i="76" s="1" a="1"/>
  <c r="R72" i="76" s="1"/>
  <c r="G54" i="76"/>
  <c r="Q72" i="76" s="1" a="1"/>
  <c r="Q72" i="76" s="1"/>
  <c r="F54" i="76"/>
  <c r="E54" i="76"/>
  <c r="H53" i="76"/>
  <c r="R71" i="76" s="1" a="1"/>
  <c r="R71" i="76" s="1"/>
  <c r="G53" i="76"/>
  <c r="Q71" i="76" s="1" a="1"/>
  <c r="Q71" i="76" s="1"/>
  <c r="F53" i="76"/>
  <c r="P71" i="76" s="1" a="1"/>
  <c r="P71" i="76" s="1"/>
  <c r="E53" i="76"/>
  <c r="O71" i="76" s="1" a="1"/>
  <c r="O71" i="76" s="1"/>
  <c r="E45" i="76" a="1"/>
  <c r="E45" i="76" s="1"/>
  <c r="E44" i="76" a="1"/>
  <c r="E44" i="76" s="1"/>
  <c r="D40" i="76" a="1"/>
  <c r="D40" i="76" s="1"/>
  <c r="D39" i="76" a="1"/>
  <c r="D39" i="76" s="1"/>
  <c r="G30" i="76"/>
  <c r="F30" i="76"/>
  <c r="E30" i="76"/>
  <c r="D30" i="76"/>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G20" i="76"/>
  <c r="F20" i="76"/>
  <c r="E20" i="76"/>
  <c r="D20" i="76"/>
  <c r="G254" i="69"/>
  <c r="F254" i="69"/>
  <c r="E254" i="69"/>
  <c r="D254" i="69"/>
  <c r="E11" i="76" a="1"/>
  <c r="E11" i="76" s="1"/>
  <c r="E10" i="76" a="1"/>
  <c r="E10" i="76" s="1"/>
  <c r="D6" i="76" a="1"/>
  <c r="D6" i="76" s="1"/>
  <c r="D5" i="76" a="1"/>
  <c r="D5" i="76" s="1"/>
  <c r="E110" i="76" a="1"/>
  <c r="E110" i="76" s="1"/>
  <c r="E109" i="76" a="1"/>
  <c r="E109" i="76" s="1"/>
  <c r="P266" i="69" a="1"/>
  <c r="P266" i="69" s="1"/>
  <c r="N263" i="69" a="1"/>
  <c r="N263" i="69" s="1"/>
  <c r="I143" i="69"/>
  <c r="H143" i="69"/>
  <c r="G143" i="69"/>
  <c r="F143" i="69"/>
  <c r="I142" i="69"/>
  <c r="H142" i="69"/>
  <c r="G142" i="69"/>
  <c r="F142" i="69"/>
  <c r="I141" i="69"/>
  <c r="H141" i="69"/>
  <c r="G141" i="69"/>
  <c r="F141" i="69"/>
  <c r="I140" i="69"/>
  <c r="H140" i="69"/>
  <c r="G140" i="69"/>
  <c r="F140" i="69"/>
  <c r="I139" i="69"/>
  <c r="H139" i="69"/>
  <c r="G139" i="69"/>
  <c r="F139" i="69"/>
  <c r="I138" i="69"/>
  <c r="H138" i="69"/>
  <c r="G138" i="69"/>
  <c r="F138" i="69"/>
  <c r="R32" i="69"/>
  <c r="Q32" i="69"/>
  <c r="P32" i="69"/>
  <c r="R31" i="69"/>
  <c r="Q31" i="69"/>
  <c r="P31" i="69"/>
  <c r="R30" i="69"/>
  <c r="Q30" i="69"/>
  <c r="P30" i="69"/>
  <c r="R29" i="69"/>
  <c r="Q29" i="69"/>
  <c r="P29" i="69"/>
  <c r="O32" i="69"/>
  <c r="O31" i="69"/>
  <c r="O30" i="69"/>
  <c r="O29" i="69"/>
  <c r="R28" i="69"/>
  <c r="Q28" i="69"/>
  <c r="P28" i="69"/>
  <c r="O28" i="69"/>
  <c r="E41" i="76" a="1"/>
  <c r="E7" i="76" a="1"/>
  <c r="E82" i="76" a="1"/>
  <c r="E129" i="76" a="1"/>
  <c r="E106" i="76" a="1"/>
  <c r="E71" i="76" l="1" a="1"/>
  <c r="E71" i="76" s="1"/>
  <c r="H35" i="76"/>
  <c r="R35" i="76"/>
  <c r="G21" i="70" a="1"/>
  <c r="G21" i="70" s="1"/>
  <c r="P25" i="76" s="1"/>
  <c r="P35" i="76" s="1" a="1"/>
  <c r="P35" i="76" s="1"/>
  <c r="G17" i="70" a="1"/>
  <c r="G17" i="70" s="1"/>
  <c r="F25" i="76" s="1"/>
  <c r="F35" i="76" s="1" a="1"/>
  <c r="F35" i="76" s="1"/>
  <c r="H17" i="70" a="1"/>
  <c r="H17" i="70" s="1"/>
  <c r="G25" i="76" s="1"/>
  <c r="G35" i="76" s="1" a="1"/>
  <c r="G35" i="76" s="1"/>
  <c r="H21" i="70" a="1"/>
  <c r="H21" i="70" s="1"/>
  <c r="Q25" i="76" s="1"/>
  <c r="Q35" i="76" s="1" a="1"/>
  <c r="Q35" i="76" s="1"/>
  <c r="E21" i="70" a="1"/>
  <c r="E21" i="70" s="1"/>
  <c r="N25" i="76" s="1"/>
  <c r="N35" i="76" s="1" a="1"/>
  <c r="N35" i="76" s="1"/>
  <c r="E17" i="70" a="1"/>
  <c r="E17" i="70" s="1"/>
  <c r="D25" i="76" s="1"/>
  <c r="D35" i="76" s="1" a="1"/>
  <c r="D35" i="76" s="1"/>
  <c r="F17" i="70" a="1"/>
  <c r="F17" i="70" s="1"/>
  <c r="E25" i="76" s="1"/>
  <c r="E35" i="76" s="1" a="1"/>
  <c r="E35" i="76" s="1"/>
  <c r="F21" i="70" a="1"/>
  <c r="F21" i="70" s="1"/>
  <c r="O25" i="76" s="1"/>
  <c r="O35" i="76" s="1" a="1"/>
  <c r="O35" i="76"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D10" i="70"/>
  <c r="D11" i="70"/>
  <c r="G249" i="69"/>
  <c r="F249" i="69"/>
  <c r="E249" i="69"/>
  <c r="D249" i="69"/>
  <c r="I126" i="69"/>
  <c r="I150" i="69"/>
  <c r="H150" i="69"/>
  <c r="G150" i="69"/>
  <c r="F150" i="69"/>
  <c r="I149" i="69"/>
  <c r="H149" i="69"/>
  <c r="G149" i="69"/>
  <c r="F149" i="69"/>
  <c r="I148" i="69"/>
  <c r="H148" i="69"/>
  <c r="G148" i="69"/>
  <c r="F148" i="69"/>
  <c r="I147" i="69"/>
  <c r="H147" i="69"/>
  <c r="G147" i="69"/>
  <c r="F147" i="69"/>
  <c r="I146" i="69"/>
  <c r="H146" i="69"/>
  <c r="G146" i="69"/>
  <c r="F146" i="69"/>
  <c r="I145" i="69"/>
  <c r="H145" i="69"/>
  <c r="G145" i="69"/>
  <c r="F145" i="69"/>
  <c r="I144" i="69"/>
  <c r="H144" i="69"/>
  <c r="G144" i="69"/>
  <c r="F144" i="69"/>
  <c r="H51" i="70"/>
  <c r="G51" i="70"/>
  <c r="F51" i="70"/>
  <c r="H80" i="70"/>
  <c r="G80" i="70"/>
  <c r="F80" i="70"/>
  <c r="H73" i="70"/>
  <c r="G73" i="70"/>
  <c r="F73" i="70"/>
  <c r="H66" i="70"/>
  <c r="G66" i="70"/>
  <c r="F66" i="70"/>
  <c r="H59" i="70"/>
  <c r="G59" i="70"/>
  <c r="F59" i="70"/>
  <c r="I137" i="69"/>
  <c r="H137" i="69"/>
  <c r="G137" i="69"/>
  <c r="F137" i="69"/>
  <c r="I136" i="69"/>
  <c r="H136" i="69"/>
  <c r="G136" i="69"/>
  <c r="F136" i="69"/>
  <c r="I135" i="69"/>
  <c r="H135" i="69"/>
  <c r="G135" i="69"/>
  <c r="F135" i="69"/>
  <c r="I134" i="69"/>
  <c r="H134" i="69"/>
  <c r="G134" i="69"/>
  <c r="F134" i="69"/>
  <c r="I133" i="69"/>
  <c r="H133" i="69"/>
  <c r="G133" i="69"/>
  <c r="F133" i="69"/>
  <c r="I132" i="69"/>
  <c r="H132" i="69"/>
  <c r="G132" i="69"/>
  <c r="F132" i="69"/>
  <c r="I131" i="69"/>
  <c r="H131" i="69"/>
  <c r="G131" i="69"/>
  <c r="F131" i="69"/>
  <c r="D48" i="69" a="1"/>
  <c r="D48" i="69" s="1"/>
  <c r="H63" i="69"/>
  <c r="G63" i="69"/>
  <c r="F63" i="69"/>
  <c r="E63" i="69"/>
  <c r="H32" i="69"/>
  <c r="G32" i="69"/>
  <c r="F32" i="69"/>
  <c r="E32" i="69"/>
  <c r="H31" i="69"/>
  <c r="G31" i="69"/>
  <c r="F31" i="69"/>
  <c r="E31" i="69"/>
  <c r="H30" i="69"/>
  <c r="G30" i="69"/>
  <c r="F30" i="69"/>
  <c r="E30" i="69"/>
  <c r="H29" i="69"/>
  <c r="G29" i="69"/>
  <c r="F29" i="69"/>
  <c r="E29" i="69"/>
  <c r="H28" i="69"/>
  <c r="G28" i="69"/>
  <c r="F28" i="69"/>
  <c r="E28" i="69"/>
  <c r="H23" i="69"/>
  <c r="G23" i="69"/>
  <c r="F23" i="69"/>
  <c r="E23" i="69"/>
  <c r="H22" i="69"/>
  <c r="G22" i="69"/>
  <c r="F22" i="69"/>
  <c r="E22" i="69"/>
  <c r="H21" i="69"/>
  <c r="G21" i="69"/>
  <c r="F21" i="69"/>
  <c r="E21" i="69"/>
  <c r="H20" i="69"/>
  <c r="G20" i="69"/>
  <c r="F20" i="69"/>
  <c r="E20" i="69"/>
  <c r="H19" i="69"/>
  <c r="G19" i="69"/>
  <c r="F19" i="69"/>
  <c r="E19" i="69"/>
  <c r="E7" i="69" a="1"/>
  <c r="E47" i="69" a="1"/>
  <c r="E40" i="69" l="1"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P121" i="76" a="1"/>
  <c r="P121" i="76" s="1"/>
  <c r="P25" i="97" s="1"/>
  <c r="P118" i="76" a="1"/>
  <c r="P118" i="76" s="1"/>
  <c r="P22" i="97" s="1"/>
  <c r="P120" i="76" a="1"/>
  <c r="P120" i="76" s="1"/>
  <c r="P24" i="97" s="1"/>
  <c r="P119" i="76" a="1"/>
  <c r="P119" i="76" s="1"/>
  <c r="P123" i="76" a="1"/>
  <c r="P123" i="76" s="1"/>
  <c r="P27" i="97" s="1"/>
  <c r="P122" i="76" a="1"/>
  <c r="P122" i="76" s="1"/>
  <c r="P26" i="97" s="1"/>
  <c r="O123" i="76" a="1"/>
  <c r="O123" i="76" s="1"/>
  <c r="O27" i="97" s="1"/>
  <c r="O122" i="76" a="1"/>
  <c r="O122" i="76" s="1"/>
  <c r="O26" i="97" s="1"/>
  <c r="O121" i="76" a="1"/>
  <c r="O121" i="76" s="1"/>
  <c r="O25" i="97" s="1"/>
  <c r="O120" i="76" a="1"/>
  <c r="O120" i="76" s="1"/>
  <c r="O24" i="97" s="1"/>
  <c r="O119" i="76" a="1"/>
  <c r="O119" i="76" s="1"/>
  <c r="O118" i="76" a="1"/>
  <c r="O118" i="76" s="1"/>
  <c r="O22" i="97" s="1"/>
  <c r="R122" i="76" a="1"/>
  <c r="R122" i="76" s="1"/>
  <c r="R26" i="97" s="1"/>
  <c r="R120" i="76" a="1"/>
  <c r="R120" i="76" s="1"/>
  <c r="R24" i="97" s="1"/>
  <c r="R119" i="76" a="1"/>
  <c r="R119" i="76" s="1"/>
  <c r="R118" i="76" a="1"/>
  <c r="R118" i="76" s="1"/>
  <c r="R22" i="97" s="1"/>
  <c r="R121" i="76" a="1"/>
  <c r="R121" i="76" s="1"/>
  <c r="R25" i="97" s="1"/>
  <c r="R123" i="76" a="1"/>
  <c r="R123" i="76" s="1"/>
  <c r="R27" i="97" s="1"/>
  <c r="Q123" i="76" a="1"/>
  <c r="Q123" i="76" s="1"/>
  <c r="Q27" i="97" s="1"/>
  <c r="Q122" i="76" a="1"/>
  <c r="Q122" i="76" s="1"/>
  <c r="Q26" i="97" s="1"/>
  <c r="Q121" i="76" a="1"/>
  <c r="Q121" i="76" s="1"/>
  <c r="Q25" i="97" s="1"/>
  <c r="Q120" i="76" a="1"/>
  <c r="Q120" i="76" s="1"/>
  <c r="Q24" i="97" s="1"/>
  <c r="Q119" i="76" a="1"/>
  <c r="Q119" i="76" s="1"/>
  <c r="Q118" i="76" a="1"/>
  <c r="Q118" i="76" s="1"/>
  <c r="Q22" i="97" s="1"/>
  <c r="Q68" i="69" a="1"/>
  <c r="Q68" i="69" s="1"/>
  <c r="Q211" i="69" s="1" a="1"/>
  <c r="Q211" i="69" s="1"/>
  <c r="R68" i="69" a="1"/>
  <c r="R68" i="69" s="1"/>
  <c r="R211" i="69" s="1" a="1"/>
  <c r="R211" i="69" s="1"/>
  <c r="E120" i="76" a="1"/>
  <c r="E120" i="76" s="1"/>
  <c r="E24" i="97" s="1"/>
  <c r="O68" i="69" a="1"/>
  <c r="O68" i="69" s="1"/>
  <c r="O211" i="69" s="1" a="1"/>
  <c r="O211" i="69" s="1"/>
  <c r="E68" i="69" a="1"/>
  <c r="E68" i="69" s="1"/>
  <c r="P68" i="69" a="1"/>
  <c r="P68" i="69" s="1"/>
  <c r="P211" i="69" s="1" a="1"/>
  <c r="P211" i="69" s="1"/>
  <c r="E119" i="76" a="1"/>
  <c r="E119" i="76" s="1"/>
  <c r="E23" i="98" s="1"/>
  <c r="E123" i="76" a="1"/>
  <c r="E123" i="76" s="1"/>
  <c r="E121" i="76" a="1"/>
  <c r="E121" i="76" s="1"/>
  <c r="E118" i="76" a="1"/>
  <c r="E118" i="76" s="1"/>
  <c r="E122" i="76" a="1"/>
  <c r="E122" i="76" s="1"/>
  <c r="F120" i="76" a="1"/>
  <c r="F120" i="76" s="1"/>
  <c r="F123" i="76" a="1"/>
  <c r="F123" i="76" s="1"/>
  <c r="F119" i="76" a="1"/>
  <c r="F119" i="76" s="1"/>
  <c r="F23" i="98" s="1"/>
  <c r="F122" i="76" a="1"/>
  <c r="F122" i="76" s="1"/>
  <c r="F118" i="76" a="1"/>
  <c r="F118" i="76" s="1"/>
  <c r="F121" i="76" a="1"/>
  <c r="F121" i="76" s="1"/>
  <c r="H119" i="76" a="1"/>
  <c r="H119" i="76" s="1"/>
  <c r="H23" i="98" s="1"/>
  <c r="H121" i="76" a="1"/>
  <c r="H121" i="76" s="1"/>
  <c r="H123" i="76" a="1"/>
  <c r="H123" i="76" s="1"/>
  <c r="H122" i="76" a="1"/>
  <c r="H122" i="76" s="1"/>
  <c r="H118" i="76" a="1"/>
  <c r="H118" i="76" s="1"/>
  <c r="H120" i="76" a="1"/>
  <c r="H120" i="76" s="1"/>
  <c r="G123" i="76" a="1"/>
  <c r="G123" i="76" s="1"/>
  <c r="G119" i="76" a="1"/>
  <c r="G119" i="76" s="1"/>
  <c r="G23" i="98" s="1"/>
  <c r="G122" i="76" a="1"/>
  <c r="G122" i="76" s="1"/>
  <c r="G118" i="76" a="1"/>
  <c r="G118" i="76" s="1"/>
  <c r="G120" i="76" a="1"/>
  <c r="G120" i="76" s="1"/>
  <c r="G121" i="76" a="1"/>
  <c r="G121" i="76" s="1"/>
  <c r="G68" i="69" a="1"/>
  <c r="G68" i="69" s="1"/>
  <c r="F68" i="69" a="1"/>
  <c r="F68" i="69" s="1"/>
  <c r="H68" i="69" a="1"/>
  <c r="H68" i="69" s="1"/>
  <c r="E47" i="69"/>
  <c r="E7" i="69"/>
  <c r="E23" i="97" l="1"/>
  <c r="O23" i="97"/>
  <c r="N23" i="98"/>
  <c r="P23" i="98"/>
  <c r="Q23" i="97"/>
  <c r="O23" i="98"/>
  <c r="P23" i="97"/>
  <c r="Q23" i="98"/>
  <c r="R23" i="97"/>
  <c r="E27" i="97"/>
  <c r="G27" i="97"/>
  <c r="H23" i="97"/>
  <c r="E26" i="97"/>
  <c r="E22" i="97"/>
  <c r="E25" i="97"/>
  <c r="G25" i="97"/>
  <c r="G24" i="97"/>
  <c r="H22" i="97"/>
  <c r="G22" i="97"/>
  <c r="H26" i="97"/>
  <c r="G26" i="97"/>
  <c r="H27" i="97"/>
  <c r="F25" i="97"/>
  <c r="F22" i="97"/>
  <c r="F26" i="97"/>
  <c r="F23" i="97"/>
  <c r="H24" i="97"/>
  <c r="F27" i="97"/>
  <c r="F24" i="97"/>
  <c r="G23" i="97"/>
  <c r="H25" i="97"/>
  <c r="E80" i="70" l="1"/>
  <c r="E73" i="70"/>
  <c r="E66" i="70"/>
  <c r="E59" i="70"/>
  <c r="E51" i="70"/>
  <c r="H88" i="70"/>
  <c r="G88" i="70"/>
  <c r="F88" i="70"/>
  <c r="E88" i="70"/>
  <c r="L50" i="70"/>
  <c r="L49" i="70"/>
  <c r="L48" i="70"/>
  <c r="L58" i="70"/>
  <c r="L57" i="70"/>
  <c r="L56" i="70"/>
  <c r="L55" i="70"/>
  <c r="L65" i="70"/>
  <c r="L64" i="70"/>
  <c r="L63" i="70"/>
  <c r="L72" i="70"/>
  <c r="L71" i="70"/>
  <c r="L70" i="70"/>
  <c r="L79" i="70"/>
  <c r="L78" i="70"/>
  <c r="L77" i="70"/>
  <c r="L87" i="70"/>
  <c r="L86" i="70"/>
  <c r="L85" i="70"/>
  <c r="L84" i="70"/>
  <c r="H35" i="70"/>
  <c r="G35" i="70"/>
  <c r="F35" i="70"/>
  <c r="E35" i="70"/>
  <c r="F266" i="69" l="1"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235" i="69" a="1"/>
  <c r="E190" i="69" a="1"/>
  <c r="E218" i="69" a="1"/>
  <c r="E74" i="69" a="1"/>
  <c r="I68" i="69" l="1"/>
  <c r="S68" i="69"/>
  <c r="T165" i="69"/>
  <c r="S37" i="69"/>
  <c r="S103" i="69"/>
  <c r="P261" i="69"/>
  <c r="F261" i="69"/>
  <c r="R259" i="69"/>
  <c r="S206" i="69"/>
  <c r="I200" i="69"/>
  <c r="I122" i="69"/>
  <c r="H20" i="70" a="1"/>
  <c r="H20" i="70" s="1"/>
  <c r="Q88" i="69" s="1"/>
  <c r="G20" i="70" a="1"/>
  <c r="G20" i="70" s="1"/>
  <c r="P88" i="69" s="1"/>
  <c r="F20" i="70" a="1"/>
  <c r="F20" i="70" s="1"/>
  <c r="O88" i="69" s="1"/>
  <c r="E20" i="70" a="1"/>
  <c r="E20" i="70" s="1"/>
  <c r="N88" i="69" s="1"/>
  <c r="G16" i="70" a="1"/>
  <c r="G16" i="70" s="1"/>
  <c r="F88" i="69" s="1"/>
  <c r="H16" i="70" a="1"/>
  <c r="H16" i="70" s="1"/>
  <c r="G88" i="69" s="1"/>
  <c r="F16" i="70" a="1"/>
  <c r="F16" i="70" s="1"/>
  <c r="E88" i="69" s="1"/>
  <c r="E16" i="70" a="1"/>
  <c r="E16" i="70" s="1"/>
  <c r="D88" i="69" s="1"/>
  <c r="I37" i="69"/>
  <c r="E235" i="69"/>
  <c r="E218" i="69"/>
  <c r="E74" i="69"/>
  <c r="E190" i="69"/>
  <c r="I206" i="69"/>
  <c r="J165" i="69"/>
  <c r="I103" i="69"/>
  <c r="H259" i="69"/>
  <c r="I123" i="97" l="1"/>
  <c r="H28" i="98" l="1" a="1"/>
  <c r="H28" i="98" s="1"/>
  <c r="G28" i="98" a="1"/>
  <c r="G28" i="98" s="1"/>
  <c r="E28" i="98" a="1"/>
  <c r="E28" i="98" s="1"/>
  <c r="F28" i="98" a="1"/>
  <c r="F28" i="98" s="1"/>
  <c r="O28" i="98" a="1"/>
  <c r="O28" i="98" s="1"/>
  <c r="P28" i="98" a="1"/>
  <c r="P28" i="98" s="1"/>
  <c r="N28" i="98" a="1"/>
  <c r="N28" i="98" s="1"/>
  <c r="Q28" i="98" a="1"/>
  <c r="Q28" i="98" s="1"/>
  <c r="Q56" i="105" l="1"/>
  <c r="Q59" i="105"/>
  <c r="Q58" i="105"/>
  <c r="Q57" i="105"/>
  <c r="P56" i="105"/>
  <c r="P59" i="105"/>
  <c r="P58" i="105"/>
  <c r="P57" i="105"/>
  <c r="F58" i="105"/>
  <c r="F57" i="105"/>
  <c r="F56" i="105"/>
  <c r="F59" i="105"/>
  <c r="H57" i="105"/>
  <c r="H56" i="105"/>
  <c r="H58" i="105"/>
  <c r="H59" i="105"/>
  <c r="S59" i="105"/>
  <c r="S58" i="105"/>
  <c r="S57" i="105"/>
  <c r="S56" i="105"/>
  <c r="R56" i="105"/>
  <c r="R59" i="105"/>
  <c r="R58" i="105"/>
  <c r="R57" i="105"/>
  <c r="G58" i="105"/>
  <c r="G57" i="105"/>
  <c r="G56" i="105"/>
  <c r="G59" i="105"/>
  <c r="I58" i="105"/>
  <c r="I57" i="105"/>
  <c r="I56" i="105"/>
  <c r="I59" i="105"/>
  <c r="Q47" i="98" a="1"/>
  <c r="Q47" i="98" s="1"/>
  <c r="N47" i="98" a="1"/>
  <c r="N47" i="98" s="1"/>
  <c r="P47" i="98" a="1"/>
  <c r="P47" i="98" s="1"/>
  <c r="O47" i="98" a="1"/>
  <c r="O47" i="98" s="1"/>
  <c r="F47" i="98" a="1"/>
  <c r="F47" i="98" s="1"/>
  <c r="E47" i="98" a="1"/>
  <c r="E47" i="98" s="1"/>
  <c r="G47" i="98" a="1"/>
  <c r="G47" i="98" s="1"/>
  <c r="H47" i="98" a="1"/>
  <c r="H47" i="98" s="1"/>
  <c r="N49" i="98" l="1"/>
  <c r="E49" i="98"/>
  <c r="A39" i="74"/>
  <c r="A38" i="74"/>
  <c r="A37" i="74"/>
  <c r="A36" i="74"/>
  <c r="A33" i="74"/>
  <c r="A30" i="74"/>
  <c r="A29" i="74"/>
  <c r="A28" i="74"/>
  <c r="A27" i="74"/>
  <c r="A26" i="74"/>
  <c r="A25" i="74"/>
  <c r="A24" i="74"/>
  <c r="A19" i="74"/>
  <c r="A18" i="74"/>
  <c r="A15" i="74"/>
  <c r="A14" i="74"/>
  <c r="A13" i="74"/>
  <c r="A12" i="74"/>
  <c r="A11" i="74"/>
  <c r="A10" i="74"/>
  <c r="A9" i="74"/>
  <c r="A8" i="74"/>
  <c r="A7" i="74"/>
  <c r="A4" i="74"/>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32" i="70" s="1"/>
  <c r="D58" i="79"/>
  <c r="K41" i="79"/>
  <c r="G41" i="79"/>
  <c r="D29" i="70" s="1"/>
  <c r="D41" i="79"/>
  <c r="D54" i="79"/>
  <c r="E45" i="79"/>
  <c r="L45" i="79"/>
  <c r="H44" i="79"/>
  <c r="D42" i="79"/>
  <c r="D34" i="70" s="1"/>
  <c r="K42" i="79"/>
  <c r="D55" i="79"/>
  <c r="E42" i="79"/>
  <c r="L42" i="79"/>
  <c r="G45" i="79"/>
  <c r="D33" i="70" s="1"/>
  <c r="K46" i="79"/>
  <c r="D46" i="79"/>
  <c r="D59" i="79"/>
  <c r="G43" i="79"/>
  <c r="D31" i="70" s="1"/>
  <c r="K44" i="79"/>
  <c r="D57" i="79"/>
  <c r="D44" i="79"/>
  <c r="L41" i="79"/>
  <c r="H41" i="79"/>
  <c r="E41" i="79"/>
  <c r="E46" i="79"/>
  <c r="H45" i="79"/>
  <c r="L46" i="79"/>
  <c r="D43" i="79"/>
  <c r="G42" i="79"/>
  <c r="D30" i="70" s="1"/>
  <c r="D56" i="79"/>
  <c r="K43" i="79"/>
  <c r="L43" i="79"/>
  <c r="H42" i="79"/>
  <c r="E43" i="79"/>
  <c r="D60" i="79"/>
  <c r="D47" i="79"/>
  <c r="E29" i="15"/>
  <c r="D264" i="105" l="1"/>
  <c r="N195" i="105"/>
  <c r="N76" i="97"/>
  <c r="D45" i="97"/>
  <c r="D234" i="105"/>
  <c r="D147" i="105"/>
  <c r="N147" i="105"/>
  <c r="D195" i="105"/>
  <c r="N45" i="97"/>
  <c r="D92" i="97"/>
  <c r="N264" i="105"/>
  <c r="N35" i="105"/>
  <c r="D95" i="105"/>
  <c r="N65" i="105"/>
  <c r="N92" i="97"/>
  <c r="D65" i="105"/>
  <c r="D159" i="76"/>
  <c r="E159" i="76" s="1" a="1"/>
  <c r="E159" i="76" s="1"/>
  <c r="D148" i="76"/>
  <c r="E148" i="76" s="1" a="1"/>
  <c r="E148" i="76" s="1"/>
  <c r="D68" i="97"/>
  <c r="E68" i="97" s="1" a="1"/>
  <c r="E68" i="97" s="1"/>
  <c r="D129" i="105"/>
  <c r="E129" i="105" s="1" a="1"/>
  <c r="E129" i="105" s="1"/>
  <c r="D118" i="105"/>
  <c r="E118" i="105" s="1" a="1"/>
  <c r="E118" i="105" s="1"/>
  <c r="D59" i="70"/>
  <c r="D51" i="70"/>
  <c r="D88" i="70"/>
  <c r="D80" i="70"/>
  <c r="D73" i="70"/>
  <c r="D66" i="70"/>
  <c r="N151" i="105"/>
  <c r="D199" i="105"/>
  <c r="N77" i="97"/>
  <c r="N49" i="97"/>
  <c r="D268" i="105"/>
  <c r="D96" i="97"/>
  <c r="N268" i="105"/>
  <c r="D99" i="105"/>
  <c r="D69" i="105"/>
  <c r="N39" i="105"/>
  <c r="N69" i="105"/>
  <c r="N96" i="97"/>
  <c r="N199" i="105"/>
  <c r="D49" i="97"/>
  <c r="D238" i="105"/>
  <c r="D151" i="105"/>
  <c r="D88" i="97"/>
  <c r="N260" i="105"/>
  <c r="D91" i="105"/>
  <c r="D61" i="105"/>
  <c r="N31" i="105"/>
  <c r="D230" i="105"/>
  <c r="N61" i="105"/>
  <c r="N88" i="97"/>
  <c r="N75" i="97"/>
  <c r="D260" i="105"/>
  <c r="D41" i="97"/>
  <c r="N191" i="105"/>
  <c r="N143" i="105"/>
  <c r="N41" i="97"/>
  <c r="D191" i="105"/>
  <c r="D143" i="105"/>
  <c r="D36" i="97"/>
  <c r="D225" i="105"/>
  <c r="D138" i="105"/>
  <c r="N138" i="105"/>
  <c r="D186" i="105"/>
  <c r="N83" i="97"/>
  <c r="N36" i="97"/>
  <c r="N74" i="97"/>
  <c r="D83" i="97"/>
  <c r="N255" i="105"/>
  <c r="D86" i="105"/>
  <c r="D56" i="105"/>
  <c r="N26" i="105"/>
  <c r="N56" i="105"/>
  <c r="N186" i="105"/>
  <c r="D255" i="105"/>
  <c r="N79" i="97"/>
  <c r="D251" i="105"/>
  <c r="N182" i="105"/>
  <c r="N73" i="97"/>
  <c r="D32" i="97"/>
  <c r="D221" i="105"/>
  <c r="D134" i="105"/>
  <c r="N134" i="105"/>
  <c r="D182" i="105"/>
  <c r="N52" i="105"/>
  <c r="D82" i="105"/>
  <c r="N32" i="97"/>
  <c r="N251" i="105"/>
  <c r="D52" i="105"/>
  <c r="N22" i="105"/>
  <c r="D79" i="97"/>
  <c r="N272" i="105"/>
  <c r="D103" i="105"/>
  <c r="D73" i="105"/>
  <c r="N43" i="105"/>
  <c r="N78" i="97"/>
  <c r="N73" i="105"/>
  <c r="N100" i="97"/>
  <c r="D272" i="105"/>
  <c r="N203" i="105"/>
  <c r="D53" i="97"/>
  <c r="D242" i="105"/>
  <c r="D155" i="105"/>
  <c r="N53" i="97"/>
  <c r="N155" i="105"/>
  <c r="D100" i="97"/>
  <c r="D203" i="105"/>
  <c r="D83" i="70"/>
  <c r="N291" i="76"/>
  <c r="N123" i="76"/>
  <c r="N100" i="76"/>
  <c r="D78" i="97"/>
  <c r="D128" i="105"/>
  <c r="E128" i="105" s="1" a="1"/>
  <c r="E128" i="105" s="1"/>
  <c r="N27" i="97"/>
  <c r="D269" i="76"/>
  <c r="N269" i="76"/>
  <c r="N238" i="76"/>
  <c r="N169" i="76"/>
  <c r="D117" i="105"/>
  <c r="E117" i="105" s="1" a="1"/>
  <c r="E117" i="105" s="1"/>
  <c r="D291" i="76"/>
  <c r="D43" i="105"/>
  <c r="D67" i="97"/>
  <c r="E67" i="97" s="1" a="1"/>
  <c r="E67" i="97" s="1"/>
  <c r="D27" i="97"/>
  <c r="D147" i="76"/>
  <c r="E147" i="76" s="1" a="1"/>
  <c r="E147" i="76" s="1"/>
  <c r="D100" i="76"/>
  <c r="D95" i="76"/>
  <c r="D208" i="76"/>
  <c r="D238" i="76"/>
  <c r="N108" i="69"/>
  <c r="D169" i="76"/>
  <c r="N181" i="69"/>
  <c r="N211" i="69"/>
  <c r="D68" i="69"/>
  <c r="D158" i="76"/>
  <c r="E158" i="76" s="1" a="1"/>
  <c r="E158" i="76" s="1"/>
  <c r="D123" i="76"/>
  <c r="N68" i="69"/>
  <c r="D147" i="69"/>
  <c r="D181" i="69"/>
  <c r="D160" i="69"/>
  <c r="D108" i="69"/>
  <c r="D63" i="69"/>
  <c r="D98" i="69"/>
  <c r="E98" i="69" s="1" a="1"/>
  <c r="E98" i="69" s="1"/>
  <c r="D211" i="69"/>
  <c r="N165" i="69"/>
  <c r="D165" i="69"/>
  <c r="D131" i="69"/>
  <c r="D47" i="70"/>
  <c r="D62" i="70"/>
  <c r="D54" i="70"/>
  <c r="D76" i="70"/>
  <c r="D69" i="70"/>
  <c r="D31" i="105"/>
  <c r="D125" i="105"/>
  <c r="E125" i="105" s="1" a="1"/>
  <c r="E125" i="105" s="1"/>
  <c r="D114" i="105"/>
  <c r="E114" i="105" s="1" a="1"/>
  <c r="E114" i="105" s="1"/>
  <c r="N270" i="76"/>
  <c r="N217" i="76"/>
  <c r="D270" i="76"/>
  <c r="D123" i="105"/>
  <c r="D217" i="76"/>
  <c r="D187" i="76"/>
  <c r="D22" i="105"/>
  <c r="D112" i="105"/>
  <c r="E112" i="105" s="1" a="1"/>
  <c r="E112" i="105" s="1"/>
  <c r="D26" i="105"/>
  <c r="D124" i="105"/>
  <c r="E124" i="105" s="1" a="1"/>
  <c r="E124" i="105" s="1"/>
  <c r="D113" i="105"/>
  <c r="E113" i="105" s="1" a="1"/>
  <c r="E113" i="105" s="1"/>
  <c r="D39" i="105"/>
  <c r="D127" i="105"/>
  <c r="E127" i="105" s="1" a="1"/>
  <c r="E127" i="105" s="1"/>
  <c r="D116" i="105"/>
  <c r="E116" i="105" s="1" a="1"/>
  <c r="E116" i="105" s="1"/>
  <c r="D35" i="105"/>
  <c r="D126" i="105"/>
  <c r="E126" i="105" s="1" a="1"/>
  <c r="E126" i="105" s="1"/>
  <c r="D115" i="105"/>
  <c r="E115" i="105" s="1" a="1"/>
  <c r="E115" i="105" s="1"/>
  <c r="N24" i="97"/>
  <c r="N226" i="76"/>
  <c r="D208" i="69"/>
  <c r="N64" i="76"/>
  <c r="D120" i="76"/>
  <c r="D95" i="69"/>
  <c r="E95" i="69" s="1" a="1"/>
  <c r="E95" i="69" s="1"/>
  <c r="D85" i="70"/>
  <c r="D48" i="70"/>
  <c r="N279" i="76"/>
  <c r="N166" i="76"/>
  <c r="D105" i="69"/>
  <c r="N266" i="76"/>
  <c r="D64" i="97"/>
  <c r="E64" i="97" s="1" a="1"/>
  <c r="E64" i="97" s="1"/>
  <c r="D75" i="97"/>
  <c r="N39" i="69"/>
  <c r="D138" i="69"/>
  <c r="N120" i="76"/>
  <c r="D266" i="76"/>
  <c r="D39" i="69"/>
  <c r="N30" i="69"/>
  <c r="D155" i="76"/>
  <c r="E155" i="76" s="1" a="1"/>
  <c r="E155" i="76" s="1"/>
  <c r="N172" i="69"/>
  <c r="D172" i="69"/>
  <c r="D24" i="97"/>
  <c r="N73" i="76"/>
  <c r="D226" i="76"/>
  <c r="D21" i="69"/>
  <c r="D144" i="76"/>
  <c r="E144" i="76" s="1" a="1"/>
  <c r="E144" i="76" s="1"/>
  <c r="D55" i="76"/>
  <c r="D56" i="70"/>
  <c r="D78" i="70"/>
  <c r="D166" i="76"/>
  <c r="N208" i="69"/>
  <c r="D71" i="70"/>
  <c r="D279" i="76"/>
  <c r="D73" i="76"/>
  <c r="N105" i="69"/>
  <c r="D196" i="76"/>
  <c r="D157" i="69"/>
  <c r="D41" i="70"/>
  <c r="D64" i="76"/>
  <c r="D30" i="69"/>
  <c r="N71" i="76"/>
  <c r="D84" i="70"/>
  <c r="D70" i="70"/>
  <c r="D63" i="70"/>
  <c r="N28" i="69"/>
  <c r="D28" i="69"/>
  <c r="D39" i="70"/>
  <c r="N164" i="76"/>
  <c r="D77" i="70"/>
  <c r="D93" i="69"/>
  <c r="E93" i="69" s="1" a="1"/>
  <c r="E93" i="69" s="1"/>
  <c r="N264" i="76"/>
  <c r="D62" i="97"/>
  <c r="N103" i="69"/>
  <c r="D73" i="97"/>
  <c r="N118" i="76"/>
  <c r="D264" i="76"/>
  <c r="N37" i="69"/>
  <c r="D103" i="69"/>
  <c r="D206" i="69"/>
  <c r="D155" i="69"/>
  <c r="D71" i="76"/>
  <c r="D118" i="76"/>
  <c r="N22" i="97"/>
  <c r="D164" i="76"/>
  <c r="N62" i="76"/>
  <c r="D142" i="76"/>
  <c r="E142" i="76" s="1" a="1"/>
  <c r="E142" i="76" s="1"/>
  <c r="D55" i="70"/>
  <c r="N206" i="69"/>
  <c r="D153" i="76"/>
  <c r="D37" i="69"/>
  <c r="D62" i="76"/>
  <c r="D22" i="97"/>
  <c r="D19" i="69"/>
  <c r="D53" i="76"/>
  <c r="D47" i="98"/>
  <c r="M28" i="98"/>
  <c r="D28" i="98"/>
  <c r="M47" i="98"/>
  <c r="N221" i="76"/>
  <c r="M23" i="98"/>
  <c r="D119" i="76"/>
  <c r="N207" i="69"/>
  <c r="N29" i="69"/>
  <c r="D207" i="69"/>
  <c r="D191" i="76"/>
  <c r="N265" i="76"/>
  <c r="N165" i="76"/>
  <c r="D156" i="69"/>
  <c r="D40" i="70"/>
  <c r="N23" i="97"/>
  <c r="D63" i="97"/>
  <c r="E63" i="97" s="1" a="1"/>
  <c r="E63" i="97" s="1"/>
  <c r="N63" i="76"/>
  <c r="D168" i="69"/>
  <c r="N119" i="76"/>
  <c r="D265" i="76"/>
  <c r="D38" i="69"/>
  <c r="N168" i="69"/>
  <c r="N38" i="69"/>
  <c r="D23" i="98"/>
  <c r="D54" i="76"/>
  <c r="D154" i="76"/>
  <c r="E154" i="76" s="1" a="1"/>
  <c r="E154" i="76" s="1"/>
  <c r="D94" i="69"/>
  <c r="E94" i="69" s="1" a="1"/>
  <c r="E94" i="69" s="1"/>
  <c r="N274" i="76"/>
  <c r="D165" i="76"/>
  <c r="D29" i="69"/>
  <c r="D63" i="76"/>
  <c r="D134" i="69"/>
  <c r="D20" i="69"/>
  <c r="N104" i="69"/>
  <c r="D274" i="76"/>
  <c r="D104" i="69"/>
  <c r="D74" i="97"/>
  <c r="D143" i="76"/>
  <c r="E143" i="76" s="1" a="1"/>
  <c r="E143" i="76" s="1"/>
  <c r="N72" i="76"/>
  <c r="D72" i="76"/>
  <c r="D23" i="97"/>
  <c r="D221" i="76"/>
  <c r="N25" i="97"/>
  <c r="N175" i="69"/>
  <c r="D49" i="70"/>
  <c r="D40" i="69"/>
  <c r="N31" i="69"/>
  <c r="D267" i="76"/>
  <c r="D167" i="76"/>
  <c r="N121" i="76"/>
  <c r="D25" i="97"/>
  <c r="N209" i="69"/>
  <c r="D57" i="70"/>
  <c r="D42" i="70"/>
  <c r="D121" i="76"/>
  <c r="D64" i="70"/>
  <c r="D156" i="76"/>
  <c r="E156" i="76" s="1" a="1"/>
  <c r="E156" i="76" s="1"/>
  <c r="D65" i="97"/>
  <c r="E65" i="97" s="1" a="1"/>
  <c r="E65" i="97" s="1"/>
  <c r="D96" i="69"/>
  <c r="E96" i="69" s="1" a="1"/>
  <c r="E96" i="69" s="1"/>
  <c r="D230" i="76"/>
  <c r="D76" i="97"/>
  <c r="D106" i="69"/>
  <c r="D175" i="69"/>
  <c r="D31" i="69"/>
  <c r="D145" i="76"/>
  <c r="E145" i="76" s="1" a="1"/>
  <c r="E145" i="76" s="1"/>
  <c r="N283" i="76"/>
  <c r="N230" i="76"/>
  <c r="D283" i="76"/>
  <c r="D74" i="76"/>
  <c r="N267" i="76"/>
  <c r="N65" i="76"/>
  <c r="D56" i="76"/>
  <c r="D79" i="70"/>
  <c r="N40" i="69"/>
  <c r="D141" i="69"/>
  <c r="D209" i="69"/>
  <c r="D200" i="76"/>
  <c r="D86" i="70"/>
  <c r="N106" i="69"/>
  <c r="D22" i="69"/>
  <c r="D158" i="69"/>
  <c r="N74" i="76"/>
  <c r="D65" i="76"/>
  <c r="N167" i="76"/>
  <c r="N26" i="97"/>
  <c r="D144" i="69"/>
  <c r="D32" i="69"/>
  <c r="D210" i="69"/>
  <c r="D65" i="70"/>
  <c r="D168" i="76"/>
  <c r="D50" i="70"/>
  <c r="D178" i="69"/>
  <c r="D77" i="97"/>
  <c r="D26" i="97"/>
  <c r="N107" i="69"/>
  <c r="D23" i="69"/>
  <c r="D58" i="70"/>
  <c r="D41" i="69"/>
  <c r="N66" i="76"/>
  <c r="D87" i="70"/>
  <c r="N32" i="69"/>
  <c r="D107" i="69"/>
  <c r="N268" i="76"/>
  <c r="N210" i="69"/>
  <c r="N41" i="69"/>
  <c r="D97" i="69"/>
  <c r="E97" i="69" s="1" a="1"/>
  <c r="E97" i="69" s="1"/>
  <c r="D72" i="70"/>
  <c r="D159" i="69"/>
  <c r="D204" i="76"/>
  <c r="N122" i="76"/>
  <c r="D66" i="76"/>
  <c r="N287" i="76"/>
  <c r="D234" i="76"/>
  <c r="N178" i="69"/>
  <c r="D146" i="76"/>
  <c r="E146" i="76" s="1" a="1"/>
  <c r="E146" i="76" s="1"/>
  <c r="D287" i="76"/>
  <c r="D57" i="76"/>
  <c r="D43" i="70"/>
  <c r="N75" i="76"/>
  <c r="D157" i="76"/>
  <c r="E157" i="76" s="1" a="1"/>
  <c r="E157" i="76" s="1"/>
  <c r="D268" i="76"/>
  <c r="N234" i="76"/>
  <c r="N168" i="76"/>
  <c r="D75" i="76"/>
  <c r="D66" i="97"/>
  <c r="E66" i="97" s="1" a="1"/>
  <c r="E66" i="97" s="1"/>
  <c r="D122" i="76"/>
  <c r="E13" i="15"/>
  <c r="E252" i="105" l="1"/>
  <c r="O183" i="105"/>
  <c r="E33" i="97"/>
  <c r="E222" i="105"/>
  <c r="E135" i="105"/>
  <c r="O135" i="105"/>
  <c r="E80" i="97"/>
  <c r="E183" i="105"/>
  <c r="O33" i="97"/>
  <c r="E83" i="105"/>
  <c r="O80" i="97"/>
  <c r="O23" i="105"/>
  <c r="O252" i="105"/>
  <c r="E53" i="105"/>
  <c r="O53" i="105"/>
  <c r="E263" i="105"/>
  <c r="E199" i="76"/>
  <c r="O194" i="105"/>
  <c r="O229" i="76"/>
  <c r="E229" i="76"/>
  <c r="E44" i="97"/>
  <c r="E233" i="105"/>
  <c r="E146" i="105"/>
  <c r="O146" i="105"/>
  <c r="E194" i="105"/>
  <c r="O44" i="97"/>
  <c r="E64" i="105"/>
  <c r="O263" i="105"/>
  <c r="O282" i="76"/>
  <c r="E94" i="105"/>
  <c r="O64" i="105"/>
  <c r="O34" i="105"/>
  <c r="E282" i="76"/>
  <c r="E91" i="97"/>
  <c r="E34" i="105"/>
  <c r="O91" i="97"/>
  <c r="E251" i="105"/>
  <c r="O32" i="97"/>
  <c r="O182" i="105"/>
  <c r="E32" i="97"/>
  <c r="E221" i="105"/>
  <c r="E134" i="105"/>
  <c r="O134" i="105"/>
  <c r="E182" i="105"/>
  <c r="O52" i="105"/>
  <c r="E82" i="105"/>
  <c r="O251" i="105"/>
  <c r="O79" i="97"/>
  <c r="O22" i="105"/>
  <c r="E52" i="105"/>
  <c r="E79" i="97"/>
  <c r="E169" i="76" a="1"/>
  <c r="E169" i="76" s="1"/>
  <c r="Q169" i="76" a="1"/>
  <c r="Q169" i="76" s="1"/>
  <c r="R169" i="76" a="1"/>
  <c r="R169" i="76" s="1"/>
  <c r="H169" i="76" a="1"/>
  <c r="H169" i="76" s="1"/>
  <c r="G169" i="76" a="1"/>
  <c r="G169" i="76" s="1"/>
  <c r="F169" i="76" a="1"/>
  <c r="F169" i="76" s="1"/>
  <c r="P169" i="76" a="1"/>
  <c r="P169" i="76" s="1"/>
  <c r="O169" i="76" a="1"/>
  <c r="O169" i="76" s="1"/>
  <c r="E233" i="76"/>
  <c r="E48" i="97"/>
  <c r="E237" i="105"/>
  <c r="E150" i="105"/>
  <c r="O150" i="105"/>
  <c r="E198" i="105"/>
  <c r="O233" i="76"/>
  <c r="O48" i="97"/>
  <c r="E95" i="97"/>
  <c r="O286" i="76"/>
  <c r="O267" i="105"/>
  <c r="E98" i="105"/>
  <c r="E68" i="105"/>
  <c r="O38" i="105"/>
  <c r="O68" i="105"/>
  <c r="O95" i="97"/>
  <c r="E203" i="76"/>
  <c r="O198" i="105"/>
  <c r="E38" i="105"/>
  <c r="E267" i="105"/>
  <c r="E286" i="76"/>
  <c r="E99" i="97"/>
  <c r="O271" i="105"/>
  <c r="E102" i="105"/>
  <c r="E72" i="105"/>
  <c r="O42" i="105"/>
  <c r="O72" i="105"/>
  <c r="O237" i="76"/>
  <c r="O99" i="97"/>
  <c r="E271" i="105"/>
  <c r="E207" i="76"/>
  <c r="O202" i="105"/>
  <c r="O290" i="76"/>
  <c r="E52" i="97"/>
  <c r="E241" i="105"/>
  <c r="E202" i="105"/>
  <c r="O52" i="97"/>
  <c r="E237" i="76"/>
  <c r="O154" i="105"/>
  <c r="E42" i="105"/>
  <c r="E154" i="105"/>
  <c r="E290" i="76"/>
  <c r="O196" i="105"/>
  <c r="E46" i="97"/>
  <c r="E235" i="105"/>
  <c r="E148" i="105"/>
  <c r="O148" i="105"/>
  <c r="E196" i="105"/>
  <c r="O46" i="97"/>
  <c r="E93" i="97"/>
  <c r="O265" i="105"/>
  <c r="E96" i="105"/>
  <c r="E66" i="105"/>
  <c r="O36" i="105"/>
  <c r="O93" i="97"/>
  <c r="O66" i="105"/>
  <c r="E265" i="105"/>
  <c r="E295" i="76"/>
  <c r="O207" i="105"/>
  <c r="E57" i="97"/>
  <c r="E246" i="105"/>
  <c r="E159" i="105"/>
  <c r="O159" i="105"/>
  <c r="E207" i="105"/>
  <c r="O295" i="76"/>
  <c r="O57" i="97"/>
  <c r="E104" i="97"/>
  <c r="O276" i="105"/>
  <c r="O77" i="105"/>
  <c r="E47" i="105"/>
  <c r="E212" i="76"/>
  <c r="E107" i="105"/>
  <c r="O104" i="97"/>
  <c r="E276" i="105"/>
  <c r="E77" i="105"/>
  <c r="O47" i="105"/>
  <c r="O242" i="76"/>
  <c r="E242" i="76"/>
  <c r="O62" i="105"/>
  <c r="O89" i="97"/>
  <c r="E261" i="105"/>
  <c r="O192" i="105"/>
  <c r="E42" i="97"/>
  <c r="E231" i="105"/>
  <c r="E144" i="105"/>
  <c r="O144" i="105"/>
  <c r="E62" i="105"/>
  <c r="O42" i="97"/>
  <c r="O261" i="105"/>
  <c r="E192" i="105"/>
  <c r="E89" i="97"/>
  <c r="O32" i="105"/>
  <c r="E92" i="105"/>
  <c r="O101" i="97"/>
  <c r="E273" i="105"/>
  <c r="O204" i="105"/>
  <c r="E54" i="97"/>
  <c r="E243" i="105"/>
  <c r="E156" i="105"/>
  <c r="O156" i="105"/>
  <c r="E204" i="105"/>
  <c r="O44" i="105"/>
  <c r="E101" i="97"/>
  <c r="E74" i="105"/>
  <c r="O74" i="105"/>
  <c r="E104" i="105"/>
  <c r="O54" i="97"/>
  <c r="O273" i="105"/>
  <c r="O39" i="97"/>
  <c r="E86" i="97"/>
  <c r="O258" i="105"/>
  <c r="E89" i="105"/>
  <c r="E59" i="105"/>
  <c r="O29" i="105"/>
  <c r="O59" i="105"/>
  <c r="O86" i="97"/>
  <c r="O189" i="105"/>
  <c r="E258" i="105"/>
  <c r="O141" i="105"/>
  <c r="E141" i="105"/>
  <c r="E39" i="97"/>
  <c r="E228" i="105"/>
  <c r="E189" i="105"/>
  <c r="E190" i="76"/>
  <c r="O185" i="105"/>
  <c r="E25" i="105"/>
  <c r="E273" i="76"/>
  <c r="E35" i="97"/>
  <c r="E224" i="105"/>
  <c r="E137" i="105"/>
  <c r="O137" i="105"/>
  <c r="E185" i="105"/>
  <c r="O35" i="97"/>
  <c r="O220" i="76"/>
  <c r="E82" i="97"/>
  <c r="O254" i="105"/>
  <c r="E85" i="105"/>
  <c r="E55" i="105"/>
  <c r="O25" i="105"/>
  <c r="O82" i="97"/>
  <c r="E254" i="105"/>
  <c r="E220" i="76"/>
  <c r="O273" i="76"/>
  <c r="O55" i="105"/>
  <c r="O51" i="97"/>
  <c r="E98" i="97"/>
  <c r="O270" i="105"/>
  <c r="E101" i="105"/>
  <c r="E71" i="105"/>
  <c r="O41" i="105"/>
  <c r="O71" i="105"/>
  <c r="O98" i="97"/>
  <c r="E270" i="105"/>
  <c r="O201" i="105"/>
  <c r="E51" i="97"/>
  <c r="E201" i="105"/>
  <c r="E240" i="105"/>
  <c r="O153" i="105"/>
  <c r="E153" i="105"/>
  <c r="E275" i="105"/>
  <c r="O206" i="105"/>
  <c r="E56" i="97"/>
  <c r="E245" i="105"/>
  <c r="E158" i="105"/>
  <c r="O158" i="105"/>
  <c r="E206" i="105"/>
  <c r="E103" i="97"/>
  <c r="O56" i="97"/>
  <c r="O46" i="105"/>
  <c r="O275" i="105"/>
  <c r="E106" i="105"/>
  <c r="O76" i="105"/>
  <c r="O103" i="97"/>
  <c r="E76" i="105"/>
  <c r="E199" i="105"/>
  <c r="O49" i="97"/>
  <c r="E96" i="97"/>
  <c r="O268" i="105"/>
  <c r="E99" i="105"/>
  <c r="E69" i="105"/>
  <c r="O39" i="105"/>
  <c r="O69" i="105"/>
  <c r="O96" i="97"/>
  <c r="E268" i="105"/>
  <c r="E49" i="97"/>
  <c r="E151" i="105"/>
  <c r="E238" i="105"/>
  <c r="O199" i="105"/>
  <c r="O151" i="105"/>
  <c r="E188" i="105"/>
  <c r="O38" i="97"/>
  <c r="E85" i="97"/>
  <c r="O257" i="105"/>
  <c r="E88" i="105"/>
  <c r="E58" i="105"/>
  <c r="O28" i="105"/>
  <c r="O58" i="105"/>
  <c r="O85" i="97"/>
  <c r="E257" i="105"/>
  <c r="E140" i="105"/>
  <c r="E38" i="97"/>
  <c r="E227" i="105"/>
  <c r="O188" i="105"/>
  <c r="O140" i="105"/>
  <c r="O260" i="105"/>
  <c r="E91" i="105"/>
  <c r="E61" i="105"/>
  <c r="O31" i="105"/>
  <c r="O61" i="105"/>
  <c r="O88" i="97"/>
  <c r="E260" i="105"/>
  <c r="O191" i="105"/>
  <c r="E41" i="97"/>
  <c r="E230" i="105"/>
  <c r="E143" i="105"/>
  <c r="O41" i="97"/>
  <c r="E191" i="105"/>
  <c r="O143" i="105"/>
  <c r="E88" i="97"/>
  <c r="S266" i="76" a="1"/>
  <c r="S266" i="76" s="1"/>
  <c r="R266" i="76" a="1"/>
  <c r="R266" i="76" s="1"/>
  <c r="Q266" i="76" a="1"/>
  <c r="Q266" i="76" s="1"/>
  <c r="P266" i="76" a="1"/>
  <c r="P266" i="76" s="1"/>
  <c r="H266" i="76" a="1"/>
  <c r="H266" i="76" s="1"/>
  <c r="G266" i="76" a="1"/>
  <c r="G266" i="76" s="1"/>
  <c r="F266" i="76" a="1"/>
  <c r="F266" i="76" s="1"/>
  <c r="I266" i="76" a="1"/>
  <c r="I266" i="76" s="1"/>
  <c r="O40" i="97"/>
  <c r="E87" i="97"/>
  <c r="O259" i="105"/>
  <c r="E90" i="105"/>
  <c r="E60" i="105"/>
  <c r="O30" i="105"/>
  <c r="O60" i="105"/>
  <c r="O87" i="97"/>
  <c r="O225" i="76"/>
  <c r="E195" i="76"/>
  <c r="E259" i="105"/>
  <c r="E225" i="76"/>
  <c r="O190" i="105"/>
  <c r="E142" i="105"/>
  <c r="E278" i="76"/>
  <c r="O278" i="76"/>
  <c r="E40" i="97"/>
  <c r="O142" i="105"/>
  <c r="E229" i="105"/>
  <c r="E190" i="105"/>
  <c r="E30" i="105"/>
  <c r="O195" i="105"/>
  <c r="E45" i="97"/>
  <c r="E234" i="105"/>
  <c r="E147" i="105"/>
  <c r="O147" i="105"/>
  <c r="E195" i="105"/>
  <c r="O264" i="105"/>
  <c r="O45" i="97"/>
  <c r="E92" i="97"/>
  <c r="O92" i="97"/>
  <c r="O35" i="105"/>
  <c r="E264" i="105"/>
  <c r="E95" i="105"/>
  <c r="O65" i="105"/>
  <c r="E65" i="105"/>
  <c r="O50" i="97"/>
  <c r="E97" i="97"/>
  <c r="O269" i="105"/>
  <c r="E100" i="105"/>
  <c r="E70" i="105"/>
  <c r="O40" i="105"/>
  <c r="O70" i="105"/>
  <c r="O97" i="97"/>
  <c r="E269" i="105"/>
  <c r="O200" i="105"/>
  <c r="E50" i="97"/>
  <c r="E200" i="105"/>
  <c r="E152" i="105"/>
  <c r="E239" i="105"/>
  <c r="O152" i="105"/>
  <c r="G208" i="69" a="1"/>
  <c r="G208" i="69" s="1"/>
  <c r="H208" i="69" a="1"/>
  <c r="H208" i="69" s="1"/>
  <c r="E208" i="69" a="1"/>
  <c r="E208" i="69" s="1"/>
  <c r="F208" i="69" a="1"/>
  <c r="F208" i="69" s="1"/>
  <c r="E274" i="105"/>
  <c r="O205" i="105"/>
  <c r="E55" i="97"/>
  <c r="E244" i="105"/>
  <c r="E157" i="105"/>
  <c r="O157" i="105"/>
  <c r="E205" i="105"/>
  <c r="O55" i="97"/>
  <c r="O45" i="105"/>
  <c r="E75" i="105"/>
  <c r="O274" i="105"/>
  <c r="E102" i="97"/>
  <c r="O75" i="105"/>
  <c r="E105" i="105"/>
  <c r="O102" i="97"/>
  <c r="P268" i="76" a="1"/>
  <c r="P268" i="76" s="1"/>
  <c r="I268" i="76" a="1"/>
  <c r="I268" i="76" s="1"/>
  <c r="H268" i="76" a="1"/>
  <c r="H268" i="76" s="1"/>
  <c r="G268" i="76" a="1"/>
  <c r="G268" i="76" s="1"/>
  <c r="F268" i="76" a="1"/>
  <c r="F268" i="76" s="1"/>
  <c r="S268" i="76" a="1"/>
  <c r="S268" i="76" s="1"/>
  <c r="R268" i="76" a="1"/>
  <c r="R268" i="76" s="1"/>
  <c r="Q268" i="76" a="1"/>
  <c r="Q268" i="76" s="1"/>
  <c r="E47" i="97"/>
  <c r="E236" i="105"/>
  <c r="E149" i="105"/>
  <c r="O149" i="105"/>
  <c r="E197" i="105"/>
  <c r="O47" i="97"/>
  <c r="E94" i="97"/>
  <c r="O266" i="105"/>
  <c r="E97" i="105"/>
  <c r="E67" i="105"/>
  <c r="O37" i="105"/>
  <c r="O67" i="105"/>
  <c r="O94" i="97"/>
  <c r="E266" i="105"/>
  <c r="O197" i="105"/>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O73" i="105"/>
  <c r="O100" i="97"/>
  <c r="E272" i="105"/>
  <c r="O203" i="105"/>
  <c r="E53" i="97"/>
  <c r="E242" i="105"/>
  <c r="E155" i="105"/>
  <c r="O155" i="105"/>
  <c r="O43" i="105"/>
  <c r="E73" i="105"/>
  <c r="E100" i="97"/>
  <c r="E103" i="105"/>
  <c r="E203" i="105"/>
  <c r="O53" i="97"/>
  <c r="O272" i="105"/>
  <c r="O184" i="105"/>
  <c r="E34" i="97"/>
  <c r="E223" i="105"/>
  <c r="E136" i="105"/>
  <c r="O136" i="105"/>
  <c r="E184" i="105"/>
  <c r="O253" i="105"/>
  <c r="O34" i="97"/>
  <c r="E81" i="97"/>
  <c r="E84" i="105"/>
  <c r="O81" i="97"/>
  <c r="E253" i="105"/>
  <c r="E54" i="105"/>
  <c r="O24" i="105"/>
  <c r="O54" i="105"/>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O139" i="105"/>
  <c r="E187" i="105"/>
  <c r="E256" i="105"/>
  <c r="O37" i="97"/>
  <c r="E84" i="97"/>
  <c r="O256" i="105"/>
  <c r="E87" i="105"/>
  <c r="E57" i="105"/>
  <c r="O27" i="105"/>
  <c r="O57" i="105"/>
  <c r="O84" i="97"/>
  <c r="E139" i="105"/>
  <c r="E226" i="105"/>
  <c r="O187" i="105"/>
  <c r="E37" i="97"/>
  <c r="S267" i="76" a="1"/>
  <c r="S267" i="76" s="1"/>
  <c r="R267" i="76" a="1"/>
  <c r="R267" i="76" s="1"/>
  <c r="Q267" i="76" a="1"/>
  <c r="Q267" i="76" s="1"/>
  <c r="P267" i="76" a="1"/>
  <c r="P267" i="76" s="1"/>
  <c r="H267" i="76" a="1"/>
  <c r="H267" i="76" s="1"/>
  <c r="I267" i="76" a="1"/>
  <c r="I267" i="76" s="1"/>
  <c r="G267" i="76" a="1"/>
  <c r="G267" i="76" s="1"/>
  <c r="F267" i="76" a="1"/>
  <c r="F267" i="76" s="1"/>
  <c r="E36" i="97"/>
  <c r="E225" i="105"/>
  <c r="E138" i="105"/>
  <c r="O138" i="105"/>
  <c r="E186" i="105"/>
  <c r="O36" i="97"/>
  <c r="E83" i="97"/>
  <c r="O255" i="105"/>
  <c r="E86" i="105"/>
  <c r="E56" i="105"/>
  <c r="O26" i="105"/>
  <c r="O56" i="105"/>
  <c r="O83" i="97"/>
  <c r="O186" i="105"/>
  <c r="E255" i="105"/>
  <c r="O90" i="97"/>
  <c r="E262" i="105"/>
  <c r="O193" i="105"/>
  <c r="E43" i="97"/>
  <c r="E232" i="105"/>
  <c r="E145" i="105"/>
  <c r="O145" i="105"/>
  <c r="E193" i="105"/>
  <c r="E63" i="105"/>
  <c r="O43" i="97"/>
  <c r="O262" i="105"/>
  <c r="O63" i="105"/>
  <c r="E90" i="97"/>
  <c r="O33" i="105"/>
  <c r="E93" i="105"/>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28" i="105"/>
  <c r="E37" i="105"/>
  <c r="E39" i="105"/>
  <c r="E32" i="105"/>
  <c r="E23" i="105"/>
  <c r="E24" i="105"/>
  <c r="E36" i="105"/>
  <c r="E26" i="105"/>
  <c r="E31" i="105"/>
  <c r="E35" i="105"/>
  <c r="E22" i="105"/>
  <c r="E43" i="105"/>
  <c r="E44" i="105"/>
  <c r="E40" i="105"/>
  <c r="E46" i="105"/>
  <c r="E27" i="105"/>
  <c r="E45" i="105"/>
  <c r="E33" i="105"/>
  <c r="E29" i="105"/>
  <c r="E41" i="105"/>
  <c r="O175" i="69"/>
  <c r="O230" i="76"/>
  <c r="O283" i="76"/>
  <c r="E230" i="76"/>
  <c r="E175" i="69"/>
  <c r="E283" i="76"/>
  <c r="E200" i="76"/>
  <c r="E141" i="69"/>
  <c r="O238" i="76"/>
  <c r="E291" i="76"/>
  <c r="O291" i="76"/>
  <c r="E238" i="76"/>
  <c r="E208" i="76"/>
  <c r="E181" i="69"/>
  <c r="E147" i="69"/>
  <c r="O181" i="69"/>
  <c r="O270" i="76"/>
  <c r="E165" i="69"/>
  <c r="E270" i="76"/>
  <c r="E187" i="76"/>
  <c r="E217" i="76"/>
  <c r="E131" i="69"/>
  <c r="O165" i="69"/>
  <c r="O217" i="76"/>
  <c r="O183" i="69"/>
  <c r="E240" i="76"/>
  <c r="O240" i="76"/>
  <c r="E149" i="69"/>
  <c r="E293" i="76"/>
  <c r="O293" i="76"/>
  <c r="E210" i="76"/>
  <c r="E183" i="69"/>
  <c r="O174" i="69"/>
  <c r="O228" i="76"/>
  <c r="E281" i="76"/>
  <c r="E140" i="69"/>
  <c r="O281" i="76"/>
  <c r="E174" i="69"/>
  <c r="E198" i="76"/>
  <c r="E228" i="76"/>
  <c r="E62" i="97" a="1"/>
  <c r="E62" i="97" s="1"/>
  <c r="E148" i="69"/>
  <c r="E182" i="69"/>
  <c r="O239" i="76"/>
  <c r="E292" i="76"/>
  <c r="O292" i="76"/>
  <c r="O182" i="69"/>
  <c r="E209" i="76"/>
  <c r="E239" i="76"/>
  <c r="E150" i="69"/>
  <c r="E184" i="69"/>
  <c r="O241" i="76"/>
  <c r="O294" i="76"/>
  <c r="E294" i="76"/>
  <c r="E211" i="76"/>
  <c r="E241" i="76"/>
  <c r="O184" i="69"/>
  <c r="E170" i="69"/>
  <c r="E276" i="76"/>
  <c r="E136" i="69"/>
  <c r="O223" i="76"/>
  <c r="O170" i="69"/>
  <c r="E223" i="76"/>
  <c r="E193" i="76"/>
  <c r="O276" i="76"/>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E235" i="76"/>
  <c r="E205" i="76"/>
  <c r="E288" i="76"/>
  <c r="O179" i="69"/>
  <c r="E179" i="69"/>
  <c r="E145" i="69"/>
  <c r="O288" i="76"/>
  <c r="O235" i="76"/>
  <c r="G167" i="76" a="1"/>
  <c r="G167" i="76" s="1"/>
  <c r="H233" i="76" s="1" a="1"/>
  <c r="H233" i="76" s="1"/>
  <c r="O167" i="76" a="1"/>
  <c r="O167" i="76" s="1"/>
  <c r="P233" i="76" s="1" a="1"/>
  <c r="P233" i="76" s="1"/>
  <c r="R167" i="76" a="1"/>
  <c r="R167" i="76" s="1"/>
  <c r="S233" i="76" s="1" a="1"/>
  <c r="S233" i="76" s="1"/>
  <c r="P167" i="76" a="1"/>
  <c r="P167" i="76" s="1"/>
  <c r="Q233" i="76" s="1" a="1"/>
  <c r="Q233" i="76" s="1"/>
  <c r="E167" i="76" a="1"/>
  <c r="E167" i="76" s="1"/>
  <c r="F233" i="76" s="1" a="1"/>
  <c r="F233" i="76" s="1"/>
  <c r="H167" i="76" a="1"/>
  <c r="H167" i="76" s="1"/>
  <c r="I233" i="76" s="1" a="1"/>
  <c r="I233" i="76" s="1"/>
  <c r="Q167" i="76" a="1"/>
  <c r="Q167" i="76" s="1"/>
  <c r="R233" i="76" s="1" a="1"/>
  <c r="R233" i="76" s="1"/>
  <c r="F167" i="76" a="1"/>
  <c r="F167" i="76" s="1"/>
  <c r="G233" i="76" s="1" a="1"/>
  <c r="G233" i="76" s="1"/>
  <c r="F104" i="69" a="1"/>
  <c r="F104" i="69" s="1"/>
  <c r="E104" i="69" a="1"/>
  <c r="E104" i="69" s="1"/>
  <c r="H104" i="69" a="1"/>
  <c r="H104" i="69" s="1"/>
  <c r="G104" i="69" a="1"/>
  <c r="G104" i="69" s="1"/>
  <c r="P104" i="69" a="1"/>
  <c r="P104" i="69" s="1"/>
  <c r="R104" i="69" a="1"/>
  <c r="R104" i="69" s="1"/>
  <c r="O104" i="69" a="1"/>
  <c r="O104" i="69" s="1"/>
  <c r="Q104" i="69" a="1"/>
  <c r="Q104" i="69" s="1"/>
  <c r="E178" i="69"/>
  <c r="E144" i="69"/>
  <c r="E287" i="76"/>
  <c r="O287" i="76"/>
  <c r="O234" i="76"/>
  <c r="E234" i="76"/>
  <c r="E204" i="76"/>
  <c r="O178" i="69"/>
  <c r="E169" i="69"/>
  <c r="O169" i="69"/>
  <c r="E275" i="76"/>
  <c r="O275" i="76"/>
  <c r="O222" i="76"/>
  <c r="E222" i="76"/>
  <c r="E192" i="76"/>
  <c r="E135" i="69"/>
  <c r="E176" i="69"/>
  <c r="E142" i="69"/>
  <c r="O176" i="69"/>
  <c r="O231" i="76"/>
  <c r="O284" i="76"/>
  <c r="E201" i="76"/>
  <c r="E284" i="76"/>
  <c r="E231" i="76"/>
  <c r="E146" i="69"/>
  <c r="E289" i="76"/>
  <c r="E236" i="76"/>
  <c r="E206" i="76"/>
  <c r="O236" i="76"/>
  <c r="E180" i="69"/>
  <c r="O180" i="69"/>
  <c r="O289" i="76"/>
  <c r="E165" i="76" a="1"/>
  <c r="E165" i="76" s="1"/>
  <c r="F225" i="76" s="1" a="1"/>
  <c r="F225" i="76" s="1"/>
  <c r="P165" i="76" a="1"/>
  <c r="P165" i="76" s="1"/>
  <c r="Q225" i="76" s="1" a="1"/>
  <c r="Q225" i="76" s="1"/>
  <c r="H165" i="76" a="1"/>
  <c r="H165" i="76" s="1"/>
  <c r="I225" i="76" s="1" a="1"/>
  <c r="I225" i="76" s="1"/>
  <c r="G165" i="76" a="1"/>
  <c r="G165" i="76" s="1"/>
  <c r="H225" i="76" s="1" a="1"/>
  <c r="H225" i="76" s="1"/>
  <c r="Q165" i="76" a="1"/>
  <c r="Q165" i="76" s="1"/>
  <c r="R225" i="76" s="1" a="1"/>
  <c r="R225" i="76" s="1"/>
  <c r="F165" i="76" a="1"/>
  <c r="F165" i="76" s="1"/>
  <c r="G225" i="76" s="1" a="1"/>
  <c r="G225" i="76" s="1"/>
  <c r="O165" i="76" a="1"/>
  <c r="O165" i="76" s="1"/>
  <c r="P225" i="76" s="1" a="1"/>
  <c r="P225" i="76" s="1"/>
  <c r="R165" i="76" a="1"/>
  <c r="R165" i="76" s="1"/>
  <c r="S225" i="76" s="1" a="1"/>
  <c r="S225" i="76" s="1"/>
  <c r="E153" i="76" a="1"/>
  <c r="E153" i="76" s="1"/>
  <c r="P164" i="76" s="1" a="1"/>
  <c r="P164" i="76" s="1"/>
  <c r="Q220" i="76" s="1" a="1"/>
  <c r="Q220" i="76" s="1"/>
  <c r="O171" i="69"/>
  <c r="O277" i="76"/>
  <c r="E277" i="76"/>
  <c r="E137" i="69"/>
  <c r="O224" i="76"/>
  <c r="E224" i="76"/>
  <c r="E194" i="76"/>
  <c r="E171" i="69"/>
  <c r="F168" i="76" a="1"/>
  <c r="F168" i="76" s="1"/>
  <c r="G237" i="76" s="1" a="1"/>
  <c r="G237" i="76" s="1"/>
  <c r="R168" i="76" a="1"/>
  <c r="R168" i="76" s="1"/>
  <c r="S237" i="76" s="1" a="1"/>
  <c r="S237" i="76" s="1"/>
  <c r="O168" i="76" a="1"/>
  <c r="O168" i="76" s="1"/>
  <c r="P237" i="76" s="1" a="1"/>
  <c r="P237" i="76" s="1"/>
  <c r="Q168" i="76" a="1"/>
  <c r="Q168" i="76" s="1"/>
  <c r="R237" i="76" s="1" a="1"/>
  <c r="R237" i="76" s="1"/>
  <c r="P168" i="76" a="1"/>
  <c r="P168" i="76" s="1"/>
  <c r="Q237" i="76" s="1" a="1"/>
  <c r="Q237" i="76" s="1"/>
  <c r="H168" i="76" a="1"/>
  <c r="H168" i="76" s="1"/>
  <c r="I237" i="76" s="1" a="1"/>
  <c r="I237" i="76" s="1"/>
  <c r="G168" i="76" a="1"/>
  <c r="G168" i="76" s="1"/>
  <c r="H237" i="76" s="1" a="1"/>
  <c r="H237" i="76" s="1"/>
  <c r="E168" i="76" a="1"/>
  <c r="E168" i="76" s="1"/>
  <c r="F237" i="76" s="1" a="1"/>
  <c r="F237" i="76" s="1"/>
  <c r="E285" i="76"/>
  <c r="E232" i="76"/>
  <c r="E143" i="69"/>
  <c r="E202" i="76"/>
  <c r="O285" i="76"/>
  <c r="E177" i="69"/>
  <c r="O177" i="69"/>
  <c r="O232" i="76"/>
  <c r="R106" i="69" a="1"/>
  <c r="R106" i="69" s="1"/>
  <c r="G106" i="69" a="1"/>
  <c r="G106" i="69" s="1"/>
  <c r="P106" i="69" a="1"/>
  <c r="P106" i="69" s="1"/>
  <c r="F106" i="69" a="1"/>
  <c r="F106" i="69" s="1"/>
  <c r="H106" i="69" a="1"/>
  <c r="H106" i="69" s="1"/>
  <c r="Q106" i="69" a="1"/>
  <c r="Q106" i="69" s="1"/>
  <c r="E106" i="69" a="1"/>
  <c r="E106" i="69" s="1"/>
  <c r="O106" i="69" a="1"/>
  <c r="O106" i="69" s="1"/>
  <c r="O166" i="76" a="1"/>
  <c r="O166" i="76" s="1"/>
  <c r="P229" i="76" s="1" a="1"/>
  <c r="P229" i="76" s="1"/>
  <c r="H166" i="76" a="1"/>
  <c r="H166" i="76" s="1"/>
  <c r="I229" i="76" s="1" a="1"/>
  <c r="I229" i="76" s="1"/>
  <c r="F166" i="76" a="1"/>
  <c r="F166" i="76" s="1"/>
  <c r="G229" i="76" s="1" a="1"/>
  <c r="G229" i="76" s="1"/>
  <c r="Q166" i="76" a="1"/>
  <c r="Q166" i="76" s="1"/>
  <c r="R229" i="76" s="1" a="1"/>
  <c r="R229" i="76" s="1"/>
  <c r="E166" i="76" a="1"/>
  <c r="E166" i="76" s="1"/>
  <c r="F229" i="76" s="1" a="1"/>
  <c r="F229" i="76" s="1"/>
  <c r="P166" i="76" a="1"/>
  <c r="P166" i="76" s="1"/>
  <c r="Q229" i="76" s="1" a="1"/>
  <c r="Q229" i="76" s="1"/>
  <c r="G166" i="76" a="1"/>
  <c r="G166" i="76" s="1"/>
  <c r="H229" i="76" s="1" a="1"/>
  <c r="H229" i="76" s="1"/>
  <c r="R166" i="76" a="1"/>
  <c r="R166" i="76" s="1"/>
  <c r="S229" i="76" s="1" a="1"/>
  <c r="S229" i="76" s="1"/>
  <c r="O280" i="76"/>
  <c r="E280" i="76"/>
  <c r="E197" i="76"/>
  <c r="E173" i="69"/>
  <c r="E227" i="76"/>
  <c r="E139" i="69"/>
  <c r="O173" i="69"/>
  <c r="O227" i="76"/>
  <c r="O167" i="69"/>
  <c r="O219" i="76"/>
  <c r="O272" i="76"/>
  <c r="E272" i="76"/>
  <c r="E133" i="69"/>
  <c r="E219" i="76"/>
  <c r="E189" i="76"/>
  <c r="E167" i="69"/>
  <c r="E279" i="76"/>
  <c r="O172" i="69"/>
  <c r="E138" i="69"/>
  <c r="E172" i="69"/>
  <c r="E226" i="76"/>
  <c r="O226" i="76"/>
  <c r="E196" i="76"/>
  <c r="O279" i="76"/>
  <c r="F107" i="69" a="1"/>
  <c r="F107" i="69" s="1"/>
  <c r="G107" i="69" a="1"/>
  <c r="G107" i="69" s="1"/>
  <c r="P107" i="69" a="1"/>
  <c r="P107" i="69" s="1"/>
  <c r="E107" i="69" a="1"/>
  <c r="E107" i="69" s="1"/>
  <c r="R107" i="69" a="1"/>
  <c r="R107" i="69" s="1"/>
  <c r="H107" i="69" a="1"/>
  <c r="H107" i="69" s="1"/>
  <c r="O107" i="69" a="1"/>
  <c r="O107" i="69" s="1"/>
  <c r="Q107" i="69" a="1"/>
  <c r="Q107" i="69" s="1"/>
  <c r="O221" i="76"/>
  <c r="E168" i="69"/>
  <c r="E274" i="76"/>
  <c r="E221" i="76"/>
  <c r="E191" i="76"/>
  <c r="O274" i="76"/>
  <c r="E134" i="69"/>
  <c r="O168" i="69"/>
  <c r="E188" i="76"/>
  <c r="E132" i="69"/>
  <c r="E166" i="69"/>
  <c r="O218" i="76"/>
  <c r="O166" i="69"/>
  <c r="E271" i="76"/>
  <c r="O271" i="76"/>
  <c r="E218" i="76"/>
  <c r="P108" i="69" a="1"/>
  <c r="P108" i="69" s="1"/>
  <c r="F108" i="69" a="1"/>
  <c r="F108" i="69" s="1"/>
  <c r="H108" i="69" a="1"/>
  <c r="H108" i="69" s="1"/>
  <c r="G108" i="69" a="1"/>
  <c r="G108" i="69" s="1"/>
  <c r="Q108" i="69" a="1"/>
  <c r="Q108" i="69" s="1"/>
  <c r="R108" i="69" a="1"/>
  <c r="R108" i="69" s="1"/>
  <c r="O108" i="69" a="1"/>
  <c r="O108" i="69" s="1"/>
  <c r="E108" i="69" a="1"/>
  <c r="E108" i="69" s="1"/>
  <c r="S183" i="69" l="1" a="1"/>
  <c r="S183" i="69" s="1"/>
  <c r="S184" i="69" a="1"/>
  <c r="S184" i="69" s="1"/>
  <c r="S182" i="69" a="1"/>
  <c r="S182" i="69" s="1"/>
  <c r="S181" i="69" a="1"/>
  <c r="S181" i="69" s="1"/>
  <c r="R181" i="69" a="1"/>
  <c r="R181" i="69" s="1"/>
  <c r="R184" i="69" a="1"/>
  <c r="R184" i="69" s="1"/>
  <c r="R183" i="69" a="1"/>
  <c r="R183" i="69" s="1"/>
  <c r="R182" i="69" a="1"/>
  <c r="R182" i="69" s="1"/>
  <c r="Q181" i="69" a="1"/>
  <c r="Q181" i="69" s="1"/>
  <c r="Q182" i="69" a="1"/>
  <c r="Q182" i="69" s="1"/>
  <c r="Q184" i="69" a="1"/>
  <c r="Q184" i="69" s="1"/>
  <c r="Q183" i="69" a="1"/>
  <c r="Q183" i="69" s="1"/>
  <c r="P182" i="69" a="1"/>
  <c r="P182" i="69" s="1"/>
  <c r="P184" i="69" a="1"/>
  <c r="P184" i="69" s="1"/>
  <c r="P181" i="69" a="1"/>
  <c r="P181" i="69" s="1"/>
  <c r="P183" i="69" a="1"/>
  <c r="P183" i="69" s="1"/>
  <c r="P264" i="76" a="1"/>
  <c r="P264" i="76" s="1"/>
  <c r="I264" i="76" a="1"/>
  <c r="I264" i="76" s="1"/>
  <c r="I44" i="97"/>
  <c r="I34" i="105"/>
  <c r="Q40" i="97"/>
  <c r="Q30" i="105"/>
  <c r="G48" i="97"/>
  <c r="G38" i="105"/>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S48" i="97"/>
  <c r="S38" i="105"/>
  <c r="G30" i="105"/>
  <c r="G40" i="97"/>
  <c r="P34" i="105"/>
  <c r="P44" i="97"/>
  <c r="F30" i="105"/>
  <c r="F40" i="97"/>
  <c r="R48" i="97"/>
  <c r="R38" i="105"/>
  <c r="G264" i="76" a="1"/>
  <c r="G264" i="76" s="1"/>
  <c r="I242" i="76" a="1"/>
  <c r="I242" i="76" s="1"/>
  <c r="I239" i="76" a="1"/>
  <c r="I239" i="76" s="1"/>
  <c r="I292" i="76" s="1" a="1"/>
  <c r="I292" i="76" s="1"/>
  <c r="I238" i="76" a="1"/>
  <c r="I238" i="76" s="1"/>
  <c r="I240" i="76" a="1"/>
  <c r="I240" i="76" s="1"/>
  <c r="I241" i="76" a="1"/>
  <c r="I241" i="76" s="1"/>
  <c r="I294" i="76" s="1" a="1"/>
  <c r="I294" i="76" s="1"/>
  <c r="I48" i="97"/>
  <c r="I38" i="105"/>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I184" i="69" a="1"/>
  <c r="I184" i="69" s="1"/>
  <c r="H184" i="69" a="1"/>
  <c r="H184" i="69" s="1"/>
  <c r="G184" i="69" a="1"/>
  <c r="G184" i="69" s="1"/>
  <c r="F184" i="69" a="1"/>
  <c r="F184" i="69" s="1"/>
  <c r="Q264" i="76" a="1"/>
  <c r="Q264" i="76" s="1"/>
  <c r="Q48" i="97"/>
  <c r="Q38" i="105"/>
  <c r="R264" i="76" a="1"/>
  <c r="R264" i="76" s="1"/>
  <c r="H206" i="69" a="1"/>
  <c r="H206" i="69" s="1"/>
  <c r="F48" i="97"/>
  <c r="F38" i="105"/>
  <c r="H42" i="105"/>
  <c r="H52" i="97"/>
  <c r="I42" i="105"/>
  <c r="I52" i="97"/>
  <c r="Q52" i="97"/>
  <c r="Q42" i="105"/>
  <c r="Q35" i="97"/>
  <c r="Q25" i="105"/>
  <c r="H48" i="97"/>
  <c r="H38" i="105"/>
  <c r="F52" i="97"/>
  <c r="F42" i="105"/>
  <c r="S44" i="97"/>
  <c r="S34" i="105"/>
  <c r="R52" i="97"/>
  <c r="R42" i="105"/>
  <c r="S30" i="105"/>
  <c r="S40" i="97"/>
  <c r="F206" i="69" a="1"/>
  <c r="F206" i="69" s="1"/>
  <c r="P48" i="97"/>
  <c r="P38" i="105"/>
  <c r="H44" i="97"/>
  <c r="H34" i="105"/>
  <c r="P52" i="97"/>
  <c r="P42" i="105"/>
  <c r="P40" i="97"/>
  <c r="P30" i="105"/>
  <c r="I183" i="69" a="1"/>
  <c r="I183" i="69" s="1"/>
  <c r="H183" i="69" a="1"/>
  <c r="H183" i="69" s="1"/>
  <c r="G183" i="69" a="1"/>
  <c r="G183" i="69" s="1"/>
  <c r="F183" i="69" a="1"/>
  <c r="F183" i="69" s="1"/>
  <c r="R40" i="97"/>
  <c r="R30" i="105"/>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S52" i="97"/>
  <c r="S42" i="105"/>
  <c r="F34" i="105"/>
  <c r="F44" i="97"/>
  <c r="F182" i="69" a="1"/>
  <c r="F182" i="69" s="1"/>
  <c r="I182" i="69" a="1"/>
  <c r="I182" i="69" s="1"/>
  <c r="H182" i="69" a="1"/>
  <c r="H182" i="69" s="1"/>
  <c r="G182" i="69" a="1"/>
  <c r="G182" i="69" s="1"/>
  <c r="I293" i="76" a="1"/>
  <c r="I293" i="76"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Q44" i="97"/>
  <c r="Q34" i="105"/>
  <c r="G42" i="105"/>
  <c r="G52" i="97"/>
  <c r="R34" i="105"/>
  <c r="R44" i="97"/>
  <c r="H30" i="105"/>
  <c r="H40" i="97"/>
  <c r="G44" i="97"/>
  <c r="G34" i="105"/>
  <c r="I30" i="105"/>
  <c r="I40" i="97"/>
  <c r="I181" i="69" a="1"/>
  <c r="I181" i="69" s="1"/>
  <c r="H181" i="69" a="1"/>
  <c r="H181" i="69" s="1"/>
  <c r="G181" i="69" a="1"/>
  <c r="G181" i="69" s="1"/>
  <c r="F181" i="69" a="1"/>
  <c r="F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P35" i="97" l="1"/>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F142" i="105" a="1"/>
  <c r="F142" i="105" s="1"/>
  <c r="F190" i="105" a="1"/>
  <c r="F190" i="105" s="1"/>
  <c r="F259" i="105" a="1"/>
  <c r="F259" i="105" s="1"/>
  <c r="Q47" i="105"/>
  <c r="Q57" i="97"/>
  <c r="S271" i="105" a="1"/>
  <c r="S271" i="105" s="1"/>
  <c r="S202" i="105" a="1"/>
  <c r="S202" i="105" s="1"/>
  <c r="S154" i="105" a="1"/>
  <c r="S154" i="105" s="1"/>
  <c r="P57" i="97"/>
  <c r="P47" i="105"/>
  <c r="P198" i="105" a="1"/>
  <c r="P198" i="105" s="1"/>
  <c r="P267" i="105" a="1"/>
  <c r="P267" i="105" s="1"/>
  <c r="P150" i="105" a="1"/>
  <c r="P150" i="105" s="1"/>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R190" i="105" a="1"/>
  <c r="R190" i="105" s="1"/>
  <c r="R259" i="105" a="1"/>
  <c r="R259" i="105" s="1"/>
  <c r="R142" i="105" a="1"/>
  <c r="R142" i="105" s="1"/>
  <c r="R271" i="105" a="1"/>
  <c r="R271" i="105" s="1"/>
  <c r="R154" i="105" a="1"/>
  <c r="R154" i="105" s="1"/>
  <c r="R202" i="105" a="1"/>
  <c r="R202" i="105" s="1"/>
  <c r="S46" i="105"/>
  <c r="S56" i="97"/>
  <c r="S103" i="97" s="1" a="1"/>
  <c r="S103" i="97" s="1"/>
  <c r="G198" i="105" a="1"/>
  <c r="G198" i="105" s="1"/>
  <c r="G150" i="105" a="1"/>
  <c r="G150" i="105" s="1"/>
  <c r="G267" i="105" a="1"/>
  <c r="G267" i="105" s="1"/>
  <c r="G46" i="105"/>
  <c r="G56" i="97"/>
  <c r="G103" i="97" s="1" a="1"/>
  <c r="G103" i="97" s="1"/>
  <c r="R263" i="105" a="1"/>
  <c r="R263" i="105" s="1"/>
  <c r="R146" i="105" a="1"/>
  <c r="R146" i="105" s="1"/>
  <c r="R194" i="105" a="1"/>
  <c r="R194" i="105" s="1"/>
  <c r="S44" i="105"/>
  <c r="S54" i="97"/>
  <c r="S101" i="97" s="1" a="1"/>
  <c r="S101" i="97" s="1"/>
  <c r="D229" i="69" a="1"/>
  <c r="D229" i="69" s="1"/>
  <c r="D259" i="69" s="1" a="1"/>
  <c r="D259" i="69" s="1"/>
  <c r="G47" i="105"/>
  <c r="G57" i="97"/>
  <c r="S194" i="105" a="1"/>
  <c r="S194" i="105" s="1"/>
  <c r="S263" i="105" a="1"/>
  <c r="S263" i="105" s="1"/>
  <c r="S146" i="105" a="1"/>
  <c r="S146" i="105" s="1"/>
  <c r="H198" i="105" a="1"/>
  <c r="H198" i="105" s="1"/>
  <c r="H150" i="105" a="1"/>
  <c r="H150" i="105" s="1"/>
  <c r="H267" i="105" a="1"/>
  <c r="H267" i="105" s="1"/>
  <c r="S43" i="105"/>
  <c r="S53" i="97"/>
  <c r="S100" i="97" s="1" a="1"/>
  <c r="S100" i="97" s="1"/>
  <c r="Q259" i="105" a="1"/>
  <c r="Q259" i="105" s="1"/>
  <c r="Q142" i="105" a="1"/>
  <c r="Q142" i="105" s="1"/>
  <c r="Q190" i="105" a="1"/>
  <c r="Q190" i="105" s="1"/>
  <c r="F263" i="105" a="1"/>
  <c r="F263" i="105" s="1"/>
  <c r="F194" i="105" a="1"/>
  <c r="F194" i="105" s="1"/>
  <c r="F146" i="105" a="1"/>
  <c r="F146" i="105" s="1"/>
  <c r="S57" i="97"/>
  <c r="S47" i="105"/>
  <c r="S294" i="76" a="1"/>
  <c r="S294" i="76" s="1"/>
  <c r="G44" i="105"/>
  <c r="G54" i="97"/>
  <c r="G101" i="97" s="1" a="1"/>
  <c r="G101" i="97" s="1"/>
  <c r="G293" i="76" a="1"/>
  <c r="G293" i="76" s="1"/>
  <c r="F154" i="105" a="1"/>
  <c r="F154" i="105" s="1"/>
  <c r="F271" i="105" a="1"/>
  <c r="F271" i="105" s="1"/>
  <c r="F202" i="105" a="1"/>
  <c r="F202" i="105" s="1"/>
  <c r="Q137" i="105" a="1"/>
  <c r="Q137" i="105" s="1"/>
  <c r="Q254" i="105" a="1"/>
  <c r="Q254" i="105" s="1"/>
  <c r="Q185" i="105" a="1"/>
  <c r="Q185" i="105" s="1"/>
  <c r="Q150" i="105" a="1"/>
  <c r="Q150" i="105" s="1"/>
  <c r="Q198" i="105" a="1"/>
  <c r="Q198" i="105" s="1"/>
  <c r="Q267" i="105" a="1"/>
  <c r="Q267" i="105" s="1"/>
  <c r="S150" i="105" a="1"/>
  <c r="S150" i="105" s="1"/>
  <c r="S198" i="105" a="1"/>
  <c r="S198" i="105" s="1"/>
  <c r="S267" i="105" a="1"/>
  <c r="S267" i="105" s="1"/>
  <c r="I263" i="105" a="1"/>
  <c r="I263" i="105" s="1"/>
  <c r="I146" i="105" a="1"/>
  <c r="I146" i="105" s="1"/>
  <c r="I194" i="105" a="1"/>
  <c r="I194" i="105" s="1"/>
  <c r="G53" i="97"/>
  <c r="G100" i="97" s="1" a="1"/>
  <c r="G100" i="97" s="1"/>
  <c r="G43" i="105"/>
  <c r="S35" i="97"/>
  <c r="S25" i="105"/>
  <c r="G35" i="97"/>
  <c r="G25" i="105"/>
  <c r="I267" i="105" a="1"/>
  <c r="I267" i="105" s="1"/>
  <c r="I150" i="105" a="1"/>
  <c r="I150" i="105" s="1"/>
  <c r="I198" i="105" a="1"/>
  <c r="I198" i="105" s="1"/>
  <c r="F294" i="76" a="1"/>
  <c r="F294" i="76" s="1"/>
  <c r="I25" i="105"/>
  <c r="I35" i="97"/>
  <c r="Q263" i="105" a="1"/>
  <c r="Q263" i="105" s="1"/>
  <c r="Q194" i="105" a="1"/>
  <c r="Q194" i="105" s="1"/>
  <c r="Q146" i="105" a="1"/>
  <c r="Q146" i="105" s="1"/>
  <c r="P259" i="105" a="1"/>
  <c r="P259" i="105" s="1"/>
  <c r="P190" i="105" a="1"/>
  <c r="P190" i="105" s="1"/>
  <c r="P142" i="105" a="1"/>
  <c r="P142" i="105" s="1"/>
  <c r="Q202" i="105" a="1"/>
  <c r="Q202" i="105" s="1"/>
  <c r="Q154" i="105" a="1"/>
  <c r="Q154" i="105" s="1"/>
  <c r="Q271" i="105" a="1"/>
  <c r="Q271" i="105" s="1"/>
  <c r="F267" i="105" a="1"/>
  <c r="F267" i="105" s="1"/>
  <c r="F150" i="105" a="1"/>
  <c r="F150" i="105" s="1"/>
  <c r="F198" i="105" a="1"/>
  <c r="F198"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P271" i="105" a="1"/>
  <c r="P271" i="105" s="1"/>
  <c r="P154" i="105" a="1"/>
  <c r="P154" i="105" s="1"/>
  <c r="P202" i="105" a="1"/>
  <c r="P202" i="105" s="1"/>
  <c r="G291" i="76" a="1"/>
  <c r="G291" i="76" s="1"/>
  <c r="R44" i="105"/>
  <c r="R54" i="97"/>
  <c r="R101" i="97" s="1" a="1"/>
  <c r="R101" i="97" s="1"/>
  <c r="I45" i="105"/>
  <c r="I55" i="97"/>
  <c r="I102" i="97" s="1" a="1"/>
  <c r="I102" i="97" s="1"/>
  <c r="R198" i="105" a="1"/>
  <c r="R198" i="105" s="1"/>
  <c r="R267" i="105" a="1"/>
  <c r="R267" i="105" s="1"/>
  <c r="R150" i="105" a="1"/>
  <c r="R150" i="105"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G190" i="105" a="1"/>
  <c r="G190" i="105" s="1"/>
  <c r="G142" i="105" a="1"/>
  <c r="G142" i="105" s="1"/>
  <c r="G259" i="105" a="1"/>
  <c r="G259" i="105" s="1"/>
  <c r="H44" i="105"/>
  <c r="H54" i="97"/>
  <c r="H101" i="97" s="1" a="1"/>
  <c r="H101" i="97" s="1"/>
  <c r="H35" i="97"/>
  <c r="H25" i="105"/>
  <c r="G263" i="105" a="1"/>
  <c r="G263" i="105" s="1"/>
  <c r="G194" i="105" a="1"/>
  <c r="G194" i="105" s="1"/>
  <c r="G146" i="105" a="1"/>
  <c r="G146" i="105" s="1"/>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Q229" i="69" a="1"/>
  <c r="Q229" i="69" s="1"/>
  <c r="Q259" i="69" s="1" a="1"/>
  <c r="Q259" i="69" s="1"/>
  <c r="P229" i="69" a="1"/>
  <c r="P229" i="69" s="1"/>
  <c r="P259" i="69" s="1" a="1"/>
  <c r="P259" i="69" s="1"/>
  <c r="G229" i="69" a="1"/>
  <c r="G229" i="69" s="1"/>
  <c r="G259" i="69" s="1" a="1"/>
  <c r="G259" i="69" s="1"/>
  <c r="O229" i="69" a="1"/>
  <c r="O229" i="69" s="1"/>
  <c r="O259" i="69" s="1" a="1"/>
  <c r="O259" i="69" s="1"/>
  <c r="F229" i="69" a="1"/>
  <c r="F229" i="69" s="1"/>
  <c r="F259" i="69" s="1" a="1"/>
  <c r="F259" i="69" s="1"/>
  <c r="N229" i="69" a="1"/>
  <c r="N229" i="69" s="1"/>
  <c r="N259" i="69" s="1" a="1"/>
  <c r="N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G23" i="105" l="1"/>
  <c r="G271" i="76" a="1"/>
  <c r="G271" i="76" s="1"/>
  <c r="G24" i="105"/>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S183" i="105" a="1"/>
  <c r="S183"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S253" i="105" a="1"/>
  <c r="S253"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51" i="105" a="1"/>
  <c r="I251" i="105" s="1"/>
  <c r="I134" i="105" a="1"/>
  <c r="I134" i="105" s="1"/>
  <c r="I182" i="105" a="1"/>
  <c r="I182" i="105" s="1"/>
  <c r="H182" i="105" a="1"/>
  <c r="H182" i="105" s="1"/>
  <c r="H251" i="105" a="1"/>
  <c r="H251" i="105" s="1"/>
  <c r="H134" i="105" a="1"/>
  <c r="H134" i="105" s="1"/>
  <c r="G135" i="105" a="1"/>
  <c r="G135" i="105" s="1"/>
  <c r="G252" i="105" a="1"/>
  <c r="G252" i="105" s="1"/>
  <c r="G183" i="105" a="1"/>
  <c r="G183"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184" i="105" a="1"/>
  <c r="G184" i="105" s="1"/>
  <c r="G253" i="105" a="1"/>
  <c r="G253" i="105" s="1"/>
  <c r="G136" i="105" a="1"/>
  <c r="G136"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O261" i="69"/>
  <c r="F33" i="97"/>
  <c r="F80" i="97" s="1" a="1"/>
  <c r="F80" i="97" s="1"/>
  <c r="F34" i="97"/>
  <c r="F81" i="97" s="1" a="1"/>
  <c r="F81" i="97" s="1"/>
  <c r="R32" i="97"/>
  <c r="R79" i="97" s="1" a="1"/>
  <c r="R79" i="97" s="1"/>
  <c r="E261" i="69"/>
  <c r="R34" i="97"/>
  <c r="R81" i="97" s="1" a="1"/>
  <c r="R81" i="97" s="1"/>
  <c r="G32" i="97"/>
  <c r="G79" i="97" s="1" a="1"/>
  <c r="G79" i="97" s="1"/>
  <c r="S34" i="97"/>
  <c r="S81" i="97" s="1" a="1"/>
  <c r="S81" i="97" s="1"/>
  <c r="F32" i="97"/>
  <c r="F79" i="97" s="1" a="1"/>
  <c r="F79" i="97" s="1"/>
  <c r="P251" i="105" l="1"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Q263" i="69"/>
  <c r="O266" i="69" s="1" a="1"/>
  <c r="O266" i="69" s="1"/>
  <c r="I7" i="13" s="1"/>
  <c r="F7" i="13"/>
  <c r="G263" i="69"/>
  <c r="E266" i="69" s="1" a="1"/>
  <c r="E266" i="69" s="1"/>
  <c r="H7" i="13" s="1"/>
  <c r="E7" i="13"/>
  <c r="E297" i="76"/>
  <c r="O297" i="76"/>
  <c r="O209" i="105" l="1"/>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<sst xmlns="http://schemas.openxmlformats.org/spreadsheetml/2006/main" count="1122" uniqueCount="369">
  <si>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</si>
  <si>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</si>
  <si>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</si>
  <si>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</si>
  <si>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</si>
  <si>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</si>
  <si>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</si>
  <si>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</si>
  <si>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</si>
  <si>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</si>
  <si>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</si>
  <si>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</si>
  <si>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</si>
  <si>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</si>
  <si>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</si>
  <si>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</si>
  <si>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</si>
  <si>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</si>
  <si>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</si>
  <si>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</si>
  <si>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</si>
  <si>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</si>
  <si>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</si>
  <si>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</si>
  <si>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</si>
  <si>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</si>
  <si>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</si>
  <si>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</si>
  <si>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</si>
  <si>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</si>
  <si>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</si>
  <si>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</si>
  <si>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</si>
  <si>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</si>
  <si>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</si>
  <si>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</si>
  <si>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</si>
  <si>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</si>
  <si>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</si>
  <si>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</si>
  <si>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</si>
  <si>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</si>
  <si>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</si>
  <si>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</si>
  <si>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</si>
  <si>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</si>
  <si>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</si>
  <si>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</si>
  <si>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</si>
  <si>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</si>
  <si>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</si>
  <si>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</si>
  <si>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</si>
  <si>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</si>
  <si>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</si>
  <si>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</si>
  <si>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</si>
  <si>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</si>
  <si>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</si>
  <si>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</si>
  <si>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</si>
  <si>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</si>
  <si>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</si>
  <si>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</si>
  <si>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</si>
  <si>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</si>
  <si>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</si>
  <si>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</si>
  <si>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</si>
  <si>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</si>
  <si>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</si>
  <si>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</si>
  <si>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</si>
  <si>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</si>
  <si>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</si>
  <si>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</si>
  <si>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</si>
  <si>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</si>
  <si>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</si>
  <si>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</si>
  <si>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</si>
  <si>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</si>
  <si>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</si>
  <si>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</si>
  <si>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</si>
  <si>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</si>
  <si>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</si>
  <si>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</si>
  <si>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</si>
  <si>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</si>
  <si>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</si>
  <si>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</si>
  <si>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</si>
  <si>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</si>
  <si>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</si>
  <si>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</si>
  <si>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</si>
  <si>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</si>
  <si>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</si>
  <si>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</si>
  <si>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</si>
  <si>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</si>
  <si>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</si>
  <si>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</si>
  <si>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</si>
  <si>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</si>
  <si>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</si>
  <si>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</si>
  <si>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</si>
  <si>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</si>
  <si>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</si>
  <si>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</si>
  <si>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</si>
  <si>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</si>
  <si>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</si>
  <si>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</si>
  <si>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</si>
  <si>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</si>
  <si>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</si>
  <si>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</si>
  <si>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</si>
  <si>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</si>
  <si>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</si>
  <si>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</si>
  <si>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</si>
  <si>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</si>
  <si>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</si>
  <si>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</si>
  <si>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</si>
  <si>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</si>
  <si>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</si>
  <si>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</si>
  <si>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</si>
  <si>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</si>
  <si>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</si>
  <si>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</si>
  <si>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</si>
  <si>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Acknowledgements</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</si>
  <si>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</si>
  <si>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</si>
  <si>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</si>
  <si>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</si>
  <si>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</si>
  <si>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</si>
  <si>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</si>
  <si>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</si>
  <si>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</si>
  <si>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</si>
  <si>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</si>
  <si>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</si>
  <si>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</si>
  <si>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</si>
  <si>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</si>
  <si>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</si>
  <si>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</si>
  <si>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</si>
  <si>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</si>
  <si>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</si>
  <si>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</si>
  <si>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</si>
  <si>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</si>
  <si>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</si>
  <si>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</si>
  <si>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</si>
  <si>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</si>
  <si>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</si>
  <si>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</si>
  <si>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</si>
  <si>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</si>
  <si>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</si>
  <si>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</si>
  <si>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</si>
  <si>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</si>
  <si>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</si>
  <si>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</si>
  <si>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</si>
  <si>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</si>
  <si>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</si>
  <si>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</si>
  <si>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</si>
  <si>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</si>
  <si>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</si>
  <si>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Solid separation from stage 1 MMS</t>
  </si>
  <si>
    <t>Were solids separated? (select)</t>
  </si>
  <si>
    <t>Percent separated (Method 1)</t>
  </si>
  <si>
    <t>Percent separated (Method 2)</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</si>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</sst>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9"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4"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1" fillId="11" borderId="0">
      <alignment horizontal="left" vertical="center" indent="1"/>
    </xf>
    <xf numFmtId="0" fontId="65" fillId="15" borderId="2">
      <alignment horizontal="center" vertical="center"/>
    </xf>
    <xf numFmtId="0" fontId="66" fillId="16" borderId="2">
      <alignment horizontal="center" vertical="center"/>
    </xf>
    <xf numFmtId="0" fontId="69" fillId="0" borderId="0" applyNumberFormat="0" applyFill="0" applyBorder="0" applyAlignment="0" applyProtection="0"/>
    <xf numFmtId="0" fontId="67" fillId="4" borderId="2">
      <alignment horizontal="left" vertical="center"/>
    </xf>
    <xf numFmtId="0" fontId="34" fillId="4" borderId="2">
      <alignment horizontal="left" vertical="center"/>
    </xf>
    <xf numFmtId="0" fontId="70" fillId="0" borderId="0"/>
  </cellStyleXfs>
  <cellXfs count="153">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5"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4"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9"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4"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34"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39"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1"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45" fillId="13" borderId="20" xfId="41" applyBorder="1">
      <alignment horizontal="left" vertical="center"/>
    </xf>
    <xf numFmtId="0" fontId="59"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0" fillId="4" borderId="0" xfId="8" applyFont="1">
      <alignment horizontal="left" vertical="center"/>
    </xf>
    <xf numFmtId="0" fontId="61" fillId="4" borderId="0" xfId="8" applyFont="1">
      <alignment horizontal="left" vertical="center"/>
    </xf>
    <xf numFmtId="3" fontId="34" fillId="4" borderId="2" xfId="55" applyNumberFormat="1">
      <alignment horizontal="center"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3"/>
    </xf>
    <xf numFmtId="0" fontId="59" fillId="6" borderId="0" xfId="30" applyFont="1" applyAlignment="1" applyProtection="1">
      <alignment horizontal="left" vertical="center"/>
    </xf>
    <xf numFmtId="0" fontId="13" fillId="6" borderId="0" xfId="29" applyAlignment="1">
      <alignment horizontal="left" vertical="center" indent="6"/>
    </xf>
    <xf numFmtId="0" fontId="41" fillId="4" borderId="0" xfId="8" applyFont="1" applyAlignment="1">
      <alignment horizontal="left" vertical="center" indent="9"/>
    </xf>
    <xf numFmtId="0" fontId="39" fillId="4" borderId="0" xfId="8" applyAlignment="1">
      <alignment horizontal="left" vertical="center" indent="9"/>
    </xf>
    <xf numFmtId="0" fontId="39" fillId="4" borderId="0" xfId="8" applyAlignment="1">
      <alignment horizontal="center" vertical="center"/>
    </xf>
    <xf numFmtId="0" fontId="63" fillId="4" borderId="0" xfId="62" applyFont="1" applyAlignment="1">
      <alignment horizontal="left" vertical="center" indent="6"/>
    </xf>
    <xf numFmtId="0" fontId="63" fillId="4" borderId="0" xfId="62" applyFont="1" applyAlignment="1">
      <alignment horizontal="left" vertical="center" indent="2"/>
    </xf>
    <xf numFmtId="0" fontId="63" fillId="4" borderId="0" xfId="62" applyFont="1">
      <alignment horizontal="left" vertical="center"/>
    </xf>
    <xf numFmtId="0" fontId="45" fillId="13" borderId="9" xfId="41" applyBorder="1">
      <alignment horizontal="left" vertical="center"/>
    </xf>
    <xf numFmtId="0" fontId="64" fillId="4" borderId="0" xfId="62" applyFont="1">
      <alignment horizontal="left" vertical="center"/>
    </xf>
    <xf numFmtId="170" fontId="8" fillId="4" borderId="0" xfId="10" applyNumberFormat="1">
      <alignment horizontal="center" vertical="center"/>
    </xf>
    <xf numFmtId="0" fontId="65" fillId="15" borderId="2" xfId="65">
      <alignment horizontal="center" vertical="center"/>
    </xf>
    <xf numFmtId="0" fontId="66" fillId="16" borderId="2" xfId="66">
      <alignment horizontal="center" vertical="center"/>
    </xf>
    <xf numFmtId="0" fontId="67" fillId="4" borderId="2" xfId="55" applyFont="1" applyAlignment="1">
      <alignment horizontal="left" vertical="center"/>
    </xf>
    <xf numFmtId="0" fontId="66" fillId="16" borderId="6" xfId="66" applyBorder="1">
      <alignment horizontal="center" vertical="center"/>
    </xf>
    <xf numFmtId="0" fontId="67"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7" fillId="4" borderId="6" xfId="68" applyBorder="1">
      <alignment horizontal="left" vertical="center"/>
    </xf>
    <xf numFmtId="0" fontId="67" fillId="4" borderId="7" xfId="68" applyBorder="1">
      <alignment horizontal="left" vertical="center"/>
    </xf>
    <xf numFmtId="0" fontId="70" fillId="0" borderId="0" xfId="34" applyFont="1"/>
    <xf numFmtId="0" fontId="70" fillId="0" borderId="0" xfId="70"/>
    <xf numFmtId="0" fontId="0" fillId="0" borderId="21" xfId="0" applyBorder="1"/>
    <xf numFmtId="0" fontId="0" fillId="4" borderId="21" xfId="0" applyFill="1" applyBorder="1"/>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10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0"/>
      <tableStyleElement type="headerRow" dxfId="99"/>
      <tableStyleElement type="totalRow" dxfId="98"/>
      <tableStyleElement type="firstColumn" dxfId="97"/>
      <tableStyleElement type="firstRowStripe" dxfId="96"/>
      <tableStyleElement type="secondRowStripe" dxfId="95"/>
    </tableStyle>
    <tableStyle name="Equation table" pivot="0" count="6" xr9:uid="{B247698E-E41D-4CCD-AA0A-C14817E9DE65}">
      <tableStyleElement type="wholeTable" dxfId="94"/>
      <tableStyleElement type="headerRow" dxfId="93"/>
      <tableStyleElement type="totalRow" dxfId="92"/>
      <tableStyleElement type="firstColumn" dxfId="91"/>
      <tableStyleElement type="firstRowStripe" dxfId="90"/>
      <tableStyleElement type="secondRowStripe" dxfId="89"/>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9955337" y="543486"/>
          <a:ext cx="1891139"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5954427" y="3028950"/>
          <a:ext cx="1842566"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5944760" y="5753100"/>
          <a:ext cx="1842565"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56404" y="8097610"/>
          <a:ext cx="1842567"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085327" y="8100332"/>
          <a:ext cx="1842568"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6949023" y="8100332"/>
          <a:ext cx="1842567"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23</xdr:col>
      <xdr:colOff>505104</xdr:colOff>
      <xdr:row>38</xdr:row>
      <xdr:rowOff>192852</xdr:rowOff>
    </xdr:to>
    <xdr:pic>
      <xdr:nvPicPr>
        <xdr:cNvPr id="3" name="Picture 2">
          <a:extLst>
            <a:ext uri="{FF2B5EF4-FFF2-40B4-BE49-F238E27FC236}">
              <a16:creationId xmlns:a16="http://schemas.microsoft.com/office/drawing/2014/main" id="{C4988C8F-F8C7-81AF-C032-DF6853653A93}"/>
            </a:ext>
          </a:extLst>
        </xdr:cNvPr>
        <xdr:cNvPicPr>
          <a:picLocks noChangeAspect="1"/>
        </xdr:cNvPicPr>
      </xdr:nvPicPr>
      <xdr:blipFill>
        <a:blip xmlns:r="http://schemas.openxmlformats.org/officeDocument/2006/relationships" r:embed="rId1"/>
        <a:stretch>
          <a:fillRect/>
        </a:stretch>
      </xdr:blipFill>
      <xdr:spPr>
        <a:xfrm>
          <a:off x="23678029" y="874059"/>
          <a:ext cx="14041810" cy="8821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87"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86"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85"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84"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83"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82"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81"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80"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8" dataCellStyle="Content normal">
  <autoFilter ref="D89:G93" xr:uid="{61D86DCB-D80D-4593-96F3-A897FC93073F}"/>
  <tableColumns count="4">
    <tableColumn id="1" xr3:uid="{1C4094D2-E798-4EA4-8FBC-50FBA0E527D4}" name="Class" dataDxfId="77"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76"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75"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7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73" dataCellStyle="Content normal">
  <autoFilter ref="D78:E82" xr:uid="{E34928EB-73E5-43B2-830B-089F30DA4EF0}"/>
  <tableColumns count="2">
    <tableColumn id="1" xr3:uid="{CAC8EB28-568F-4E9F-8E36-EBDFF74A58D3}" name="Class" dataDxfId="72"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7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70" dataCellStyle="Content normal">
  <autoFilter ref="D111:F117" xr:uid="{1333872B-E46C-4DC7-8E2D-1F3D704794C8}"/>
  <tableColumns count="3">
    <tableColumn id="1" xr3:uid="{6DD7EF85-D333-4B03-BD58-78D84BEEC9B4}" name="MMSm" dataDxfId="69"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8"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6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6E3ED7D-B9CD-4192-B821-5B419D60F23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7C2EA6C-D25D-4C33-AEA0-CA7B250E39E2}" name="State/Territory">
      <calculatedColumnFormula array="1">Common_InputFunctions.Utility_DisplayArrayInTable(Common_SourceData.Common_SourceData_AustralianStatesTerritories_Data(),Table_AustralianStates[[#Headers],[State/Territory]],0)</calculatedColumnFormula>
    </tableColumn>
    <tableColumn id="2" xr3:uid="{1C767934-3B57-475F-9043-61B46B4B44B2}" name="Common Name">
      <calculatedColumnFormula array="1">Common_InputFunctions.Utility_DisplayArrayInTable(Common_SourceData.Common_SourceData_AustralianStatesTerritories_Data(),Table_AustralianStates[[#Headers],[State/Territory]],0)</calculatedColumnFormula>
    </tableColumn>
    <tableColumn id="3" xr3:uid="{E2EA12E4-9CF6-4C68-A5D0-F05AC4B8A9F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E2EC9E8-0E91-4093-A370-A0FB47853ED2}" name="Table_WASA4Areas" displayName="Table_WASA4Areas" ref="D20:D30" totalsRowShown="0">
  <autoFilter ref="D20:D30" xr:uid="{5FA81339-C6C8-4D36-BEEA-6C4AEDD9E676}">
    <filterColumn colId="0" hiddenButton="1"/>
  </autoFilter>
  <tableColumns count="1">
    <tableColumn id="1" xr3:uid="{B100C6B8-0EEF-4141-89C3-B97B70A52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2197674-F4EC-40C4-BA61-58B06682F8E5}" name="Table_GWPData" displayName="Table_GWPData" ref="D36:E43" totalsRowShown="0">
  <autoFilter ref="D36:E43" xr:uid="{B8E87A66-3E41-4AD3-925D-01EE21B43D7A}">
    <filterColumn colId="0" hiddenButton="1"/>
    <filterColumn colId="1" hiddenButton="1"/>
  </autoFilter>
  <tableColumns count="2">
    <tableColumn id="1" xr3:uid="{DE6DB2AF-8B82-435D-A79B-8205BD960246}" name="Gas">
      <calculatedColumnFormula array="1">Common_InputFunctions.Utility_DisplayArrayInTable(Common_SourceData.Common_SourceData_GWP_Data(), Table_GWPData[[#Headers],[Gas]], 0)</calculatedColumnFormula>
    </tableColumn>
    <tableColumn id="2" xr3:uid="{C1872EA8-E6F7-4CDB-BE15-139748243EE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03DACCB-4A75-40B0-8551-2B1D21A465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0D8DCA3-10F5-4031-86FD-216D8A755B9E}" name="Gas">
      <calculatedColumnFormula array="1">Common_InputFunctions.Utility_DisplayArrayInTable(Common_SourceData.Common_SourceData_ConvertGasElementalToMolecular_Data(),Table_GasToMolecularConversionFactor[[#Headers],[Gas]], 0)</calculatedColumnFormula>
    </tableColumn>
    <tableColumn id="5" xr3:uid="{A53FF128-FAFA-48C3-8A6E-8E78B89CFD95}" name="Conversion factor">
      <calculatedColumnFormula array="1">Common_InputFunctions.Utility_DisplayArrayInTable(Common_SourceData.Common_SourceData_ConvertGasElementalToMolecular_Data(),Table_GasToMolecularConversionFactor[[#Headers],[Gas]], 0)</calculatedColumnFormula>
    </tableColumn>
    <tableColumn id="2" xr3:uid="{F83400CF-8874-42E5-9041-D872244B9CF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87A7E6-25FB-4F61-B2BC-8876667D6A1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E372DE5-34A1-40F8-8BF5-A8018838457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5132B17-5458-42C3-9E74-261F277F666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5DB17EF-0F05-492B-8DF4-50777CFB302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5C83B84-0235-4B48-9882-D789359978A3}" name="MA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3" xr3:uid="{2427DEBF-B9EF-405D-977C-D0B2800FCBB1}" name="MAP"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4" xr3:uid="{EBA92C07-A154-437D-BDD5-52695464C73C}" name="Frost days per year"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5" xr3:uid="{99735E8A-3D39-449D-A7C0-CD9B7DAE3957}" name="Elevation"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6" xr3:uid="{B79F49BE-04C8-4800-9DCB-948081BBD991}" name="MAP:PE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7" xr3:uid="{223EBFAE-1287-4A0A-AA3E-9342D3BF4364}" name="Min tem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8" xr3:uid="{351C7274-AFD2-4546-A140-A95A456892E8}" name="Max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9" xr3:uid="{C74C0D42-AEEA-4278-AD59-0334EC505CEC}" name="Min rainfall"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10" xr3:uid="{8B3776A6-D901-494F-A436-67BB3CB20929}" name="Max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1" xr3:uid="{29781557-BEE7-4BC2-8FCF-88051FE8BA04}" name="Min frost days"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5" xr3:uid="{226D5EA0-8392-496D-B07B-0115FF6685C1}" name="Max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2" xr3:uid="{97FCC930-F093-4ED4-A18F-679D2FFE3417}" name="Min 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6" xr3:uid="{2B589B12-9689-4C72-B4ED-6C287BBF0233}" name="Max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3" xr3:uid="{D7A13881-2DB8-4008-8FA2-574069DAD6F6}" name="Min 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7" xr3:uid="{2145277F-3B0D-4FA7-97B5-A7338EBFBA01}" name="Max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2E9396F-7D92-4EBB-887B-ADD206B4ADD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C9BA32D-00D8-4C52-9DF7-220AA12DE65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81E5122-308B-41E4-B622-AE4C693CCA35}" name="Wet or Dry Zone" totalsRowDxfId="5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A688357-E7C3-4A2A-B4D3-A0F24B08E30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403960-4434-43CD-ABBE-E8DF4D86B9F5}" name="Temperature Zone">
      <calculatedColumnFormula array="1">Common_InputFunctions.Utility_DisplayArrayInTable(Common_SourceData.Common_SourceData_TemperatureZones_Data(),Table_SourceData_TemperatureZones[[#Headers],[Temperature Zone]],0)</calculatedColumnFormula>
    </tableColumn>
    <tableColumn id="2" xr3:uid="{66A4AD83-37E6-4BCB-BC66-B572872B5198}" name="MAT">
      <calculatedColumnFormula array="1">Common_InputFunctions.Utility_DisplayArrayInTable(Common_SourceData.Common_SourceData_TemperatureZones_Data(),Table_SourceData_TemperatureZones[[#Headers],[Temperature Zone]],0)</calculatedColumnFormula>
    </tableColumn>
    <tableColumn id="3" xr3:uid="{B9291C4C-E6A7-4495-A3EE-77DAB17978C7}" name="Min MAT">
      <calculatedColumnFormula array="1">Common_InputFunctions.Utility_DisplayArrayInTable(Common_SourceData.Common_SourceData_TemperatureZones_Data(),Table_SourceData_TemperatureZones[[#Headers],[Temperature Zone]],0)</calculatedColumnFormula>
    </tableColumn>
    <tableColumn id="4" xr3:uid="{3C13F341-9CBC-46A8-BC68-8C55D43C93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CCA099A-1815-4C9E-8BE1-EAFCEA3125C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F4D7F70-B372-4198-B448-F69D7AB5C57A}" name="Rainfall Zone">
      <calculatedColumnFormula array="1">Common_InputFunctions.Utility_DisplayArrayInTable(Common_SourceData.Common_SourceData_RainfallZones_Data(),Table_SourceData_RainfallZones[[#Headers],[Rainfall Zone]],0)</calculatedColumnFormula>
    </tableColumn>
    <tableColumn id="2" xr3:uid="{0636C224-96C6-4792-91A4-1FC86B7BC2BB}" name="Annual rainfall">
      <calculatedColumnFormula array="1">Common_InputFunctions.Utility_DisplayArrayInTable(Common_SourceData.Common_SourceData_RainfallZones_Data(),Table_SourceData_RainfallZones[[#Headers],[Rainfall Zone]],0)</calculatedColumnFormula>
    </tableColumn>
    <tableColumn id="3" xr3:uid="{58B0F4F3-EB24-4A00-9F9A-0E64F1E2D5D0}" name="Min rainfall">
      <calculatedColumnFormula array="1">Common_InputFunctions.Utility_DisplayArrayInTable(Common_SourceData.Common_SourceData_RainfallZones_Data(),Table_SourceData_RainfallZones[[#Headers],[Rainfall Zone]],0)</calculatedColumnFormula>
    </tableColumn>
    <tableColumn id="4" xr3:uid="{CB6299EC-5E20-4209-BE64-AC6EDA2A45B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1D1277F-7083-467C-A78B-B5A5473D337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866685-43DA-480D-AE27-DAD823223B61}" name="Leaching Zone">
      <calculatedColumnFormula array="1">Common_InputFunctions.Utility_DisplayArrayInTable(Common_SourceData.Common_SourceData_LeachingZones_Data(), Table_SourceData_LeachingZones[[#Headers],[Leaching Zone]], 0)</calculatedColumnFormula>
    </tableColumn>
    <tableColumn id="2" xr3:uid="{92ECD4D2-81B9-467C-BA67-C008BE7F8F2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757BE5D-8986-486B-9942-45BFD29D063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71FE53BA-D360-4C24-8E5B-28CB3F969908}" name="Data source">
      <calculatedColumnFormula array="1">Common_InputFunctions.Utility_DisplayArrayInTable(Common_SourceData.Common_SourceData_DataScores_Scope3_Data(), Table_SourceData_DataScores_Scope3[[#Headers],[Data source]], 0)</calculatedColumnFormula>
    </tableColumn>
    <tableColumn id="2" xr3:uid="{58F6D1E3-6B78-4718-A383-427BF82805E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D5BAE0A-AE6C-4E5D-9102-8C3D108836A9}" name="Table_SourceData_FracWET" displayName="Table_SourceData_FracWET" ref="D134:E136" totalsRowShown="0">
  <autoFilter ref="D134:E136" xr:uid="{308E99BE-FE1F-47A4-B2CA-97217277C4E9}">
    <filterColumn colId="0" hiddenButton="1"/>
    <filterColumn colId="1" hiddenButton="1"/>
  </autoFilter>
  <tableColumns count="2">
    <tableColumn id="1" xr3:uid="{BC669E04-ED77-44FE-9D5F-8C8107EB4A98}" name="Is in leaching zone">
      <calculatedColumnFormula array="1">Common_InputFunctions.Utility_DisplayArrayInTable(Common_SourceData.Common_SourceData_FracWET_Data(),Table_SourceData_FracWET[[#Headers],[Is in leaching zone]],0)</calculatedColumnFormula>
    </tableColumn>
    <tableColumn id="2" xr3:uid="{A3948F95-F1C4-45B3-81A4-39D322485349}" name="FracWET" dataDxfId="5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7B971EA-407C-45A5-9FFB-F7AA722C8E0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2F3F9BB-DA9E-4193-9F8B-B6A61E653CCF}" name="Production system j">
      <calculatedColumnFormula array="1">Common_InputFunctions.Utility_DisplayArrayInTable(Common_SourceData.Common_SourceData_EFN2O_Data(), Table_SourceData_Common_EFN2O[[#Headers],[Production system j]], 0)</calculatedColumnFormula>
    </tableColumn>
    <tableColumn id="2" xr3:uid="{3D22419F-B45A-49E4-9B2C-61DFA559A5E6}" name="EFN2O">
      <calculatedColumnFormula array="1">Common_InputFunctions.Utility_DisplayArrayInTable(Common_SourceData.Common_SourceData_EFN2O_Data(), Table_SourceData_Common_EFN2O[[#Headers],[Production system j]], 0)</calculatedColumnFormula>
    </tableColumn>
    <tableColumn id="3" xr3:uid="{25D60932-977A-4B69-B269-FC2D0FBEF5FD}" name="Production system only">
      <calculatedColumnFormula array="1">Common_InputFunctions.Utility_DisplayArrayInTable(Common_SourceData.Common_SourceData_EFN2O_Data(), Table_SourceData_Common_EFN2O[[#Headers],[Production system j]], 0)</calculatedColumnFormula>
    </tableColumn>
    <tableColumn id="4" xr3:uid="{C0A42ED4-5BEF-4593-8E87-70CB6EE0301D}" name="Irrigation method">
      <calculatedColumnFormula array="1">Common_InputFunctions.Utility_DisplayArrayInTable(Common_SourceData.Common_SourceData_EFN2O_Data(), Table_SourceData_Common_EFN2O[[#Headers],[Production system j]], 0)</calculatedColumnFormula>
    </tableColumn>
    <tableColumn id="5" xr3:uid="{782D7ADE-E7B1-4141-A25C-555CE2F063C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FD55417-029C-4CE1-94B5-7F7CCA88A9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AEF521B-87A4-4DF0-9061-A42BD804FA47}" name="Irrigation type i">
      <calculatedColumnFormula array="1">Common_InputFunctions.Utility_DisplayArrayInTable(Common_SourceData.Common_SourceData_FracWETIrrigation_Data(), Table_SourceData_FracWETIrrigation[[#Headers],[Irrigation type i]], 0)</calculatedColumnFormula>
    </tableColumn>
    <tableColumn id="2" xr3:uid="{413EF7D5-6C1D-48C4-ADE3-C2FBFE9CDBF0}" name="FracWET" dataDxfId="4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D0385FD-EFA3-4C84-B44D-9F37B130504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4B3DD1A-762C-4056-B47D-C7F4C3D2140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FA3D3B2-F03B-4A49-B036-1E6713C6C2BA}" name="EFPRP" dataDxfId="4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D7CF299F-EB3B-4475-B57E-88E228BFA0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91AEBD9-B5D9-477E-A4F8-180604EEEB5F}" name="Month">
      <calculatedColumnFormula array="1">Common_InputFunctions.Utility_DisplayArrayInTable(Common_SourceData.Common_SourceData_MonthsToSeasons_Data(), Table_SourceData_Common_MonthToSeason[[#Headers],[Month]], 0)</calculatedColumnFormula>
    </tableColumn>
    <tableColumn id="2" xr3:uid="{68A7ECE7-9AF7-4FB2-8EBA-0AF2F740F298}" name="Season" dataDxfId="4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5A68CD2-471B-4B4F-9D5E-65C39267BD6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6D78F8A-058B-42CA-B726-7AEBBCA6C2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091063A-29C3-4F2A-BFEF-BD86006AD144}" name="MAT (ºC)"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8D6B89D-F8F7-4100-9AC6-7433F92DE90E}" name="Anaerobic lagoon"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AD0EE1F-0F8D-4B1E-BC41-D905561F457C}" name="Digester / covered lagoons"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0A47EB3-89E9-49EA-A584-4FFFF617FFFE}" name="Liquid system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379D57A-CF72-4017-8026-7368D62E7C6E}" name="Daily spread"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8CAA5F5-A9E2-490C-8E9E-F98FEC2B85B7}" name="Composting (passive windrow)"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932A796-896E-4749-8473-D4D99CB5A8DA}" name="Solid storage"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15FC1CD-D6D4-48C6-BB02-0784024F60E1}" name="Pit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EBE432B-3D78-4900-9DC3-1FD9ACCBB17C}" name="Deep litter"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1D0680-FD86-4172-B5F0-E4CCA7F0900F}" name="Poultry manure with bedding"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403667-5932-4CF5-8344-621BAA196406}" name="Poultry manure without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72C37E3-C784-49F8-9FFA-148700905D66}" name="Direct process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ECAD450-29C4-40CA-9D51-7672268D9D32}" name="Direct applicati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BCC1851-11A9-41A2-B4BC-E7AFBD1EAA84}" name="Pasture range and paddock"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9CC47FE-434C-431F-B727-358EA13CFB6F}" name="MAT raw"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BV1:BV64"/>
  <sheetViews>
    <sheetView showGridLines="0" tabSelected="1" zoomScale="85" zoomScaleNormal="85" workbookViewId="0">
      <selection activeCell="AL10" sqref="AL10"/>
    </sheetView>
  </sheetViews>
  <sheetFormatPr defaultRowHeight="15" x14ac:dyDescent="0.25"/>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151" customFormat="1" x14ac:dyDescent="0.25"/>
    <row r="34" spans="74:74" x14ac:dyDescent="0.25">
      <c r="BV34" t="s">
        <v>368</v>
      </c>
    </row>
    <row r="37" spans="74:74" s="152" customFormat="1" x14ac:dyDescent="0.25"/>
    <row r="38" spans="74:74" s="22" customFormat="1" x14ac:dyDescent="0.25"/>
    <row r="39" spans="74:74" s="22" customFormat="1" x14ac:dyDescent="0.25"/>
    <row r="40" spans="74:74" s="22" customFormat="1" x14ac:dyDescent="0.25"/>
    <row r="41" spans="74:74" s="22" customFormat="1" x14ac:dyDescent="0.25"/>
    <row r="42" spans="74:74" s="22" customFormat="1" x14ac:dyDescent="0.25"/>
    <row r="43" spans="74:74" s="22" customFormat="1" x14ac:dyDescent="0.25"/>
    <row r="44" spans="74:74" s="22" customFormat="1" x14ac:dyDescent="0.25"/>
    <row r="45" spans="74:74" s="22" customFormat="1" x14ac:dyDescent="0.25"/>
    <row r="46" spans="74:74" s="22" customFormat="1" x14ac:dyDescent="0.25"/>
    <row r="47" spans="74:74" s="22" customFormat="1" x14ac:dyDescent="0.25"/>
    <row r="48" spans="74:74"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151"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3" sqref="A1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8" t="e" vm="1">
        <v>#VALUE!</v>
      </c>
      <c r="C1" s="116" t="s">
        <v>138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5</v>
      </c>
      <c r="E4" s="24"/>
      <c r="F4" s="24"/>
      <c r="G4" s="24"/>
      <c r="H4" s="6"/>
      <c r="I4" s="6"/>
      <c r="J4" s="6"/>
      <c r="K4" s="25"/>
    </row>
    <row r="5" spans="1:11" ht="20.100000000000001" customHeight="1" x14ac:dyDescent="0.3">
      <c r="A5" s="17" t="str">
        <f>HYPERLINK("#'Results'!A1", "Results")</f>
        <v>Results</v>
      </c>
      <c r="C5" s="22"/>
      <c r="D5" s="26"/>
      <c r="E5" s="27"/>
      <c r="F5" s="27"/>
      <c r="G5" s="27"/>
      <c r="H5" s="24"/>
      <c r="I5" s="22"/>
      <c r="J5" s="22"/>
      <c r="K5" s="22"/>
    </row>
    <row r="6" spans="1:11" ht="20.100000000000001" customHeight="1" x14ac:dyDescent="0.25">
      <c r="A6" s="16"/>
      <c r="C6" s="22"/>
      <c r="D6" s="115" t="s">
        <v>104</v>
      </c>
      <c r="E6" s="115" t="s">
        <v>128</v>
      </c>
      <c r="F6" s="115" t="s">
        <v>129</v>
      </c>
      <c r="G6" s="115" t="s">
        <v>117</v>
      </c>
      <c r="H6" s="115" t="s">
        <v>130</v>
      </c>
      <c r="I6" s="115" t="s">
        <v>131</v>
      </c>
      <c r="J6" s="115" t="s">
        <v>118</v>
      </c>
      <c r="K6" s="22"/>
    </row>
    <row r="7" spans="1:11" ht="20.100000000000001" customHeight="1" x14ac:dyDescent="0.25">
      <c r="A7" s="20" t="s">
        <v>3</v>
      </c>
      <c r="C7" s="22"/>
      <c r="D7" s="1" t="s">
        <v>343</v>
      </c>
      <c r="E7" s="138">
        <f>'4.5.1.1-2 Methane'!E261</f>
        <v>2.3840372404992007</v>
      </c>
      <c r="F7" s="138">
        <f>'4.5.1.1-2 Methane'!O261</f>
        <v>2.4087425821440007</v>
      </c>
      <c r="G7" s="54" t="s">
        <v>124</v>
      </c>
      <c r="H7" s="112">
        <f>'4.5.1.1-2 Methane'!E266</f>
        <v>66.753042733977622</v>
      </c>
      <c r="I7" s="112">
        <f>'4.5.1.1-2 Methane'!O266</f>
        <v>67.44479230003202</v>
      </c>
      <c r="J7" s="54" t="s">
        <v>126</v>
      </c>
      <c r="K7" s="22"/>
    </row>
    <row r="8" spans="1:11" ht="20.100000000000001" customHeight="1" x14ac:dyDescent="0.25">
      <c r="A8" s="17" t="str">
        <f>HYPERLINK("#'Input - Site'!A1", "Site")</f>
        <v>Site</v>
      </c>
      <c r="C8" s="22"/>
      <c r="D8" s="1" t="s">
        <v>344</v>
      </c>
      <c r="E8" s="138">
        <f>'4.5.1.3-4 Direct N2O'!E297</f>
        <v>7.4343140661428567E-2</v>
      </c>
      <c r="F8" s="138">
        <f>'4.5.1.3-4 Direct N2O'!O297</f>
        <v>7.4343140661428567E-2</v>
      </c>
      <c r="G8" s="54" t="s">
        <v>135</v>
      </c>
      <c r="H8" s="112">
        <f>'4.5.1.3-4 Direct N2O'!E302</f>
        <v>19.700932275278571</v>
      </c>
      <c r="I8" s="112">
        <f>'4.5.1.3-4 Direct N2O'!O302</f>
        <v>19.700932275278571</v>
      </c>
      <c r="J8" s="54" t="s">
        <v>126</v>
      </c>
      <c r="K8" s="22"/>
    </row>
    <row r="9" spans="1:11" ht="20.100000000000001" customHeight="1" x14ac:dyDescent="0.25">
      <c r="A9" s="17" t="str">
        <f>HYPERLINK("#'Input - Swine'!A1", "Swine")</f>
        <v>Swine</v>
      </c>
      <c r="C9" s="22"/>
      <c r="D9" s="1" t="s">
        <v>345</v>
      </c>
      <c r="E9" s="138">
        <f>'4.5.1.5-6 Atmos Dep'!E125</f>
        <v>2.4944401836750004E-2</v>
      </c>
      <c r="F9" s="138">
        <f>'4.5.1.5-6 Atmos Dep'!O125</f>
        <v>2.4944401836750004E-2</v>
      </c>
      <c r="G9" s="54" t="s">
        <v>135</v>
      </c>
      <c r="H9" s="112">
        <f>'4.5.1.5-6 Atmos Dep'!E130</f>
        <v>6.6102664867387508</v>
      </c>
      <c r="I9" s="112">
        <f>'4.5.1.5-6 Atmos Dep'!O130</f>
        <v>6.6102664867387508</v>
      </c>
      <c r="J9" s="54" t="s">
        <v>126</v>
      </c>
      <c r="K9" s="22"/>
    </row>
    <row r="10" spans="1:11" ht="20.100000000000001" customHeight="1" x14ac:dyDescent="0.25">
      <c r="A10" s="17"/>
      <c r="C10" s="22"/>
      <c r="D10" s="1" t="s">
        <v>276</v>
      </c>
      <c r="E10" s="138">
        <f>'4.5.1.7-8 Leaching and runoff'!E49</f>
        <v>2.6075015999999998E-4</v>
      </c>
      <c r="F10" s="138">
        <f>'4.5.1.7-8 Leaching and runoff'!N49</f>
        <v>2.6075015999999998E-4</v>
      </c>
      <c r="G10" s="54" t="s">
        <v>135</v>
      </c>
      <c r="H10" s="112">
        <f>'4.5.1.7-8 Leaching and runoff'!E54</f>
        <v>6.9098792399999998E-2</v>
      </c>
      <c r="I10" s="112">
        <f>'4.5.1.7-8 Leaching and runoff'!N54</f>
        <v>6.9098792399999998E-2</v>
      </c>
      <c r="J10" s="54" t="s">
        <v>126</v>
      </c>
      <c r="K10" s="22"/>
    </row>
    <row r="11" spans="1:11" ht="20.100000000000001" customHeight="1" x14ac:dyDescent="0.3">
      <c r="A11" s="19" t="s">
        <v>76</v>
      </c>
      <c r="C11" s="22"/>
      <c r="D11" s="29" t="s">
        <v>116</v>
      </c>
      <c r="E11" s="23"/>
      <c r="F11" s="23"/>
      <c r="G11" s="29"/>
      <c r="H11" s="114">
        <f>SUM(H7:H10)</f>
        <v>93.133340288394947</v>
      </c>
      <c r="I11" s="114">
        <f>SUM(I7:I10)</f>
        <v>93.825089854449345</v>
      </c>
      <c r="J11" s="105" t="s">
        <v>126</v>
      </c>
      <c r="K11" s="22"/>
    </row>
    <row r="12" spans="1:11" ht="20.100000000000001" customHeight="1" x14ac:dyDescent="0.25">
      <c r="A12" s="17" t="str">
        <f>HYPERLINK("#'4.5.1.1-2 Methane'!A1", "4.5.1.1-2 Methane")</f>
        <v>4.5.1.1-2 Methane</v>
      </c>
      <c r="C12" s="22"/>
      <c r="D12" s="1"/>
      <c r="E12" s="1"/>
      <c r="F12" s="1"/>
      <c r="G12" s="24"/>
      <c r="H12" s="22"/>
      <c r="I12" s="1"/>
      <c r="J12" s="1"/>
      <c r="K12" s="22"/>
    </row>
    <row r="13" spans="1:11" ht="20.100000000000001" customHeight="1" x14ac:dyDescent="0.25">
      <c r="A13" s="17" t="str">
        <f>HYPERLINK("#'4.5.1.3-4 Direct N2O'!A1", "4.5.1.3-4 Direct N2O")</f>
        <v>4.5.1.3-4 Direct N2O</v>
      </c>
      <c r="C13" s="22"/>
      <c r="D13" s="48" t="s">
        <v>292</v>
      </c>
      <c r="E13" s="1"/>
      <c r="F13" s="1"/>
      <c r="G13" s="1"/>
      <c r="H13" s="24"/>
      <c r="I13" s="1"/>
      <c r="J13" s="22"/>
      <c r="K13" s="22"/>
    </row>
    <row r="14" spans="1:11" ht="20.100000000000001" customHeight="1" x14ac:dyDescent="0.25">
      <c r="A14" s="17" t="str">
        <f>HYPERLINK("#'4.5.1.5-6 Atmos Dep'!A1", "4.5.1.5-6 Soil atm. deposition")</f>
        <v>4.5.1.5-6 Soil atm. deposition</v>
      </c>
      <c r="C14" s="22"/>
      <c r="D14" s="106" t="s">
        <v>329</v>
      </c>
      <c r="E14" s="1"/>
      <c r="F14" s="1"/>
      <c r="G14" s="1"/>
      <c r="H14" s="1"/>
      <c r="I14" s="1"/>
      <c r="J14" s="22"/>
      <c r="K14" s="22"/>
    </row>
    <row r="15" spans="1:11" ht="20.100000000000001" customHeight="1" x14ac:dyDescent="0.25">
      <c r="A15" s="17" t="str">
        <f>HYPERLINK("#'4.5.1.7-8 Leaching and runoff'!A1", "4.5.1.7-8 Leaching &amp; runoff")</f>
        <v>4.5.1.7-8 Leaching &amp; runoff</v>
      </c>
      <c r="C15" s="22"/>
      <c r="D15" s="137" t="s">
        <v>330</v>
      </c>
      <c r="E15" s="1"/>
      <c r="F15" s="1"/>
      <c r="G15" s="1"/>
      <c r="H15" s="1"/>
      <c r="I15" s="1"/>
      <c r="J15" s="22"/>
      <c r="K15" s="22"/>
    </row>
    <row r="16" spans="1:11" ht="20.100000000000001" customHeight="1" x14ac:dyDescent="0.25">
      <c r="A16" s="17" t="str">
        <f>HYPERLINK("#'4.5.1.9 Manure applied to soils'!A1", "4.5.1.9 Manure applied to soils")</f>
        <v>4.5.1.9 Manure applied to soils</v>
      </c>
      <c r="C16" s="22"/>
      <c r="D16" s="115" t="s">
        <v>331</v>
      </c>
      <c r="E16" s="115" t="s">
        <v>332</v>
      </c>
      <c r="F16" s="115" t="s">
        <v>333</v>
      </c>
      <c r="G16" s="115" t="s">
        <v>334</v>
      </c>
      <c r="H16" s="115" t="s">
        <v>335</v>
      </c>
      <c r="I16" s="1"/>
      <c r="J16" s="22"/>
      <c r="K16" s="22"/>
    </row>
    <row r="17" spans="1:11" ht="20.100000000000001" customHeight="1" x14ac:dyDescent="0.25">
      <c r="C17" s="22"/>
      <c r="D17" s="1" t="s">
        <v>336</v>
      </c>
      <c r="E17" s="132">
        <f>'4.5.1.9 Manure applied to soils'!E161</f>
        <v>3256.7704915650011</v>
      </c>
      <c r="F17" s="54" t="str">
        <f>'4.5.1.9 Manure applied to soils'!F161</f>
        <v>kg N</v>
      </c>
      <c r="G17" s="1" t="s">
        <v>342</v>
      </c>
      <c r="H17" s="1" t="s">
        <v>337</v>
      </c>
      <c r="I17" s="1"/>
      <c r="J17" s="22"/>
      <c r="K17" s="22"/>
    </row>
    <row r="18" spans="1:11" ht="20.100000000000001" customHeight="1" x14ac:dyDescent="0.25">
      <c r="A18" s="18" t="s">
        <v>4</v>
      </c>
      <c r="C18" s="22"/>
      <c r="D18" s="1" t="s">
        <v>338</v>
      </c>
      <c r="E18" s="132">
        <f>'4.5.1.9 Manure applied to soils'!E278</f>
        <v>653.20846285499988</v>
      </c>
      <c r="F18" s="54" t="str">
        <f>'4.5.1.9 Manure applied to soils'!F278</f>
        <v>kg N</v>
      </c>
      <c r="G18" s="1" t="s">
        <v>342</v>
      </c>
      <c r="H18" s="1" t="s">
        <v>337</v>
      </c>
      <c r="I18" s="22"/>
      <c r="J18" s="22"/>
      <c r="K18" s="22"/>
    </row>
    <row r="19" spans="1:11" ht="20.100000000000001" customHeight="1" x14ac:dyDescent="0.25">
      <c r="A19" s="17" t="str">
        <f>HYPERLINK("#'Constants - Swine'!A1", "Constants - Swine")</f>
        <v>Constants - Swine</v>
      </c>
      <c r="C19" s="22"/>
      <c r="D19" s="1" t="s">
        <v>339</v>
      </c>
      <c r="E19" s="132">
        <f>'4.5.1.9 Manure applied to soils'!E209</f>
        <v>653.20846285499988</v>
      </c>
      <c r="F19" s="54" t="str">
        <f>'4.5.1.9 Manure applied to soils'!F209</f>
        <v>kg N</v>
      </c>
      <c r="G19" s="1" t="s">
        <v>340</v>
      </c>
      <c r="H19" s="1" t="s">
        <v>341</v>
      </c>
      <c r="I19" s="22"/>
      <c r="J19" s="22"/>
      <c r="K19" s="22"/>
    </row>
    <row r="20" spans="1:11" ht="20.100000000000001" customHeight="1" x14ac:dyDescent="0.3">
      <c r="A20" s="17" t="str">
        <f>HYPERLINK("#'Constants - Livestock'!A1", "Constants - Livestock")</f>
        <v>Constants - Livestock</v>
      </c>
      <c r="C20" s="22"/>
      <c r="D20" s="1"/>
      <c r="E20" s="1"/>
      <c r="F20" s="1"/>
      <c r="G20" s="1"/>
      <c r="H20" s="27"/>
      <c r="I20" s="22"/>
      <c r="J20" s="22"/>
      <c r="K20" s="22"/>
    </row>
    <row r="21" spans="1:11" ht="20.100000000000001" customHeight="1" x14ac:dyDescent="0.3">
      <c r="A21" s="17" t="str">
        <f>HYPERLINK("#'Constants - Common'!A1", "Constants - Common")</f>
        <v>Constants - Common</v>
      </c>
      <c r="C21" s="22"/>
      <c r="D21" s="1"/>
      <c r="E21" s="1"/>
      <c r="F21" s="1"/>
      <c r="G21" s="1"/>
      <c r="H21" s="27"/>
      <c r="I21" s="22"/>
      <c r="J21" s="22"/>
      <c r="K21" s="22"/>
    </row>
    <row r="22" spans="1:11" ht="20.100000000000001" customHeight="1" x14ac:dyDescent="0.3">
      <c r="A22" s="17" t="str">
        <f>HYPERLINK("#'Acknowledgements'!A1", "Acknowledgements")</f>
        <v>Acknowledgements</v>
      </c>
      <c r="C22" s="22"/>
      <c r="D22" s="1"/>
      <c r="E22" s="1"/>
      <c r="F22" s="1"/>
      <c r="G22" s="1"/>
      <c r="H22" s="27"/>
      <c r="I22" s="22"/>
      <c r="J22" s="22"/>
      <c r="K22" s="22"/>
    </row>
    <row r="23" spans="1:11" ht="20.100000000000001" customHeight="1" x14ac:dyDescent="0.3">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3" sqref="A3: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15</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17" t="str">
        <f>HYPERLINK("#'Input - Site'!A1", "Site")</f>
        <v>Site</v>
      </c>
      <c r="D8" s="10" t="s">
        <v>72</v>
      </c>
      <c r="E8" s="33" t="s">
        <v>73</v>
      </c>
    </row>
    <row r="9" spans="1:24" ht="20.100000000000001" customHeight="1" x14ac:dyDescent="0.25">
      <c r="A9" s="17" t="str">
        <f>HYPERLINK("#'Input - Swine'!A1", "Swine")</f>
        <v>Swine</v>
      </c>
      <c r="N9" s="42"/>
    </row>
    <row r="10" spans="1:24" ht="20.100000000000001" customHeight="1" x14ac:dyDescent="0.25">
      <c r="A10" s="17"/>
      <c r="D10" s="94" t="s">
        <v>90</v>
      </c>
      <c r="E10" s="92"/>
      <c r="F10" s="95"/>
      <c r="G10" s="89"/>
      <c r="N10" s="42"/>
    </row>
    <row r="11" spans="1:24" ht="20.100000000000001" customHeight="1" x14ac:dyDescent="0.25">
      <c r="A11" s="19" t="s">
        <v>76</v>
      </c>
      <c r="N11" s="43"/>
    </row>
    <row r="12" spans="1:24" ht="20.100000000000001" customHeight="1" x14ac:dyDescent="0.25">
      <c r="A12" s="17" t="str">
        <f>HYPERLINK("#'4.5.1.1-2 Methane'!A1", "4.5.1.1-2 Methane")</f>
        <v>4.5.1.1-2 Methane</v>
      </c>
      <c r="D12" s="10" t="s">
        <v>96</v>
      </c>
      <c r="E12" s="64">
        <v>45292</v>
      </c>
      <c r="F12" s="2" t="s">
        <v>70</v>
      </c>
    </row>
    <row r="13" spans="1:24" ht="20.100000000000001" customHeight="1" x14ac:dyDescent="0.25">
      <c r="A13" s="17" t="str">
        <f>HYPERLINK("#'4.5.1.3-4 Direct N2O'!A1", "4.5.1.3-4 Direct N2O")</f>
        <v>4.5.1.3-4 Direct N2O</v>
      </c>
      <c r="D13" s="10" t="s">
        <v>97</v>
      </c>
      <c r="E13" s="70">
        <f>DATE(YEAR(E12)+1,MONTH(E12),DAY(E12))-1</f>
        <v>45657</v>
      </c>
      <c r="F13" s="2" t="s">
        <v>17</v>
      </c>
      <c r="N13" s="38"/>
      <c r="O13" s="38"/>
    </row>
    <row r="14" spans="1:24" ht="20.100000000000001" customHeight="1" x14ac:dyDescent="0.25">
      <c r="A14" s="17" t="str">
        <f>HYPERLINK("#'4.5.1.5-6 Atmos Dep'!A1", "4.5.1.5-6 Soil atm. deposition")</f>
        <v>4.5.1.5-6 Soil atm. deposition</v>
      </c>
      <c r="N14" s="38"/>
      <c r="O14" s="38"/>
    </row>
    <row r="15" spans="1:24" ht="20.100000000000001" customHeight="1" x14ac:dyDescent="0.25">
      <c r="A15" s="17" t="str">
        <f>HYPERLINK("#'4.5.1.7-8 Leaching and runoff'!A1", "4.5.1.7-8 Leaching &amp; runoff")</f>
        <v>4.5.1.7-8 Leaching &amp; runoff</v>
      </c>
      <c r="N15" s="38"/>
      <c r="O15" s="38"/>
    </row>
    <row r="16" spans="1:24" ht="20.100000000000001" customHeight="1" x14ac:dyDescent="0.25">
      <c r="A16" s="17" t="str">
        <f>HYPERLINK("#'4.5.1.9 Manure applied to soils'!A1", "4.5.1.9 Manure applied to soils")</f>
        <v>4.5.1.9 Manure applied to soils</v>
      </c>
      <c r="D16" s="6" t="s">
        <v>14</v>
      </c>
      <c r="N16" s="38"/>
      <c r="O16" s="38"/>
    </row>
    <row r="17" spans="1:25" ht="20.100000000000001" customHeight="1" x14ac:dyDescent="0.25">
      <c r="A17"/>
    </row>
    <row r="18" spans="1:25" ht="20.100000000000001" customHeight="1" x14ac:dyDescent="0.25">
      <c r="A18" s="18" t="s">
        <v>4</v>
      </c>
      <c r="D18" s="96" t="s">
        <v>16</v>
      </c>
      <c r="E18" s="91"/>
      <c r="F18" s="91"/>
      <c r="G18" s="87"/>
    </row>
    <row r="19" spans="1:25" ht="20.100000000000001" customHeight="1" x14ac:dyDescent="0.25">
      <c r="A19" s="17" t="str">
        <f>HYPERLINK("#'Constants - Swine'!A1", "Constants - Swine")</f>
        <v>Constants - Swine</v>
      </c>
      <c r="D19" s="93" t="s">
        <v>71</v>
      </c>
      <c r="E19" s="90"/>
      <c r="F19" s="90"/>
      <c r="G19" s="88"/>
      <c r="N19" s="40"/>
    </row>
    <row r="20" spans="1:25" ht="20.100000000000001" customHeight="1" x14ac:dyDescent="0.25">
      <c r="A20" s="17" t="str">
        <f>HYPERLINK("#'Constants - Livestock'!A1", "Constants - Livestock")</f>
        <v>Constants - Livestock</v>
      </c>
      <c r="D20" s="1"/>
      <c r="E20" s="31"/>
      <c r="F20" s="2"/>
      <c r="N20" s="41"/>
    </row>
    <row r="21" spans="1:25" ht="20.100000000000001" customHeight="1" x14ac:dyDescent="0.25">
      <c r="A21" s="17" t="str">
        <f>HYPERLINK("#'Constants - Common'!A1", "Constants - Common")</f>
        <v>Constants - Common</v>
      </c>
      <c r="D21" s="1" t="s">
        <v>8</v>
      </c>
      <c r="E21" s="39" t="s">
        <v>133</v>
      </c>
      <c r="F21" s="2" t="s">
        <v>11</v>
      </c>
    </row>
    <row r="22" spans="1:25" ht="20.100000000000001" customHeight="1" x14ac:dyDescent="0.25">
      <c r="A22" s="17" t="str">
        <f>HYPERLINK("#'Acknowledgements'!A1", "Acknowledgements")</f>
        <v>Acknowledgements</v>
      </c>
      <c r="D22" s="1" t="s">
        <v>25</v>
      </c>
      <c r="E22" s="39" t="s">
        <v>34</v>
      </c>
      <c r="F22" s="2" t="s">
        <v>11</v>
      </c>
      <c r="G22" s="1"/>
    </row>
    <row r="23" spans="1:25" ht="20.100000000000001" customHeight="1" x14ac:dyDescent="0.25">
      <c r="A23"/>
      <c r="D23" s="1" t="s">
        <v>9</v>
      </c>
      <c r="E23" s="39" t="s">
        <v>95</v>
      </c>
      <c r="F23" s="2" t="s">
        <v>11</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D54" s="84"/>
      <c r="G54" s="82"/>
    </row>
    <row r="55" spans="4:8" ht="20.100000000000001" customHeight="1" x14ac:dyDescent="0.25">
      <c r="D55" s="84"/>
    </row>
    <row r="56" spans="4:8" ht="20.100000000000001" customHeight="1" x14ac:dyDescent="0.25">
      <c r="D56" s="84"/>
    </row>
    <row r="57" spans="4:8" ht="20.100000000000001" customHeight="1" x14ac:dyDescent="0.2">
      <c r="D57" s="84"/>
      <c r="F57" s="83"/>
    </row>
    <row r="58" spans="4:8" ht="20.100000000000001" customHeight="1" x14ac:dyDescent="0.25">
      <c r="D58" s="84"/>
      <c r="E58" s="84"/>
    </row>
    <row r="59" spans="4:8" ht="20.100000000000001" customHeight="1" x14ac:dyDescent="0.25">
      <c r="D59" s="84"/>
      <c r="E59" s="84"/>
    </row>
    <row r="60" spans="4:8" ht="20.100000000000001" customHeight="1" x14ac:dyDescent="0.25">
      <c r="D60" s="84"/>
      <c r="E60" s="85"/>
    </row>
    <row r="61" spans="4:8" ht="20.100000000000001" customHeight="1" x14ac:dyDescent="0.25">
      <c r="D61" s="84"/>
    </row>
    <row r="62" spans="4:8" ht="20.100000000000001" customHeight="1" x14ac:dyDescent="0.25">
      <c r="D62" s="84"/>
    </row>
    <row r="63" spans="4:8" ht="20.100000000000001" customHeight="1" x14ac:dyDescent="0.25">
      <c r="D63" s="84"/>
    </row>
    <row r="64" spans="4:8" ht="20.100000000000001" customHeight="1" x14ac:dyDescent="0.25">
      <c r="D64" s="84"/>
      <c r="E64" s="84"/>
    </row>
    <row r="65" spans="4:9" ht="20.100000000000001" customHeight="1" x14ac:dyDescent="0.25">
      <c r="D65" s="84"/>
      <c r="E65" s="84"/>
    </row>
    <row r="66" spans="4:9" ht="20.100000000000001" customHeight="1" x14ac:dyDescent="0.25">
      <c r="D66" s="84"/>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zoomScale="85" zoomScaleNormal="85" workbookViewId="0">
      <selection activeCell="A3" sqref="A3:A24"/>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8" customFormat="1" ht="30" customHeight="1" x14ac:dyDescent="0.35">
      <c r="A1" s="68" t="e" vm="1">
        <v>#VALUE!</v>
      </c>
      <c r="C1" s="68" t="s">
        <v>139</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6" t="s">
        <v>186</v>
      </c>
      <c r="E5" s="91"/>
      <c r="F5" s="91"/>
      <c r="G5" s="91"/>
      <c r="H5" s="87"/>
      <c r="M5" s="3"/>
      <c r="Q5" s="7"/>
    </row>
    <row r="6" spans="1:22" ht="20.100000000000001" customHeight="1" x14ac:dyDescent="0.25">
      <c r="A6" s="16"/>
      <c r="D6" s="93" t="s">
        <v>187</v>
      </c>
      <c r="E6" s="90"/>
      <c r="F6" s="90"/>
      <c r="G6" s="88"/>
      <c r="H6" s="117"/>
      <c r="M6" s="3"/>
      <c r="Q6" s="7"/>
    </row>
    <row r="7" spans="1:22" ht="20.100000000000001" customHeight="1" x14ac:dyDescent="0.25">
      <c r="A7" s="20" t="s">
        <v>3</v>
      </c>
      <c r="M7" s="3"/>
      <c r="Q7" s="7"/>
    </row>
    <row r="8" spans="1:22" ht="20.100000000000001" customHeight="1" x14ac:dyDescent="0.25">
      <c r="A8" s="17" t="str">
        <f>HYPERLINK("#'Input - Site'!A1", "Site")</f>
        <v>Site</v>
      </c>
      <c r="M8" s="3"/>
      <c r="Q8" s="7"/>
    </row>
    <row r="9" spans="1:22" ht="20.100000000000001" customHeight="1" x14ac:dyDescent="0.25">
      <c r="A9" s="17" t="str">
        <f>HYPERLINK("#'Input - Swine'!A1", "Swine")</f>
        <v>Swine</v>
      </c>
      <c r="E9" s="118" t="s">
        <v>142</v>
      </c>
      <c r="F9" s="118" t="s">
        <v>143</v>
      </c>
      <c r="G9" s="118" t="s">
        <v>144</v>
      </c>
      <c r="H9" s="118" t="s">
        <v>206</v>
      </c>
      <c r="Q9" s="7"/>
    </row>
    <row r="10" spans="1:22" ht="20.100000000000001" customHeight="1" x14ac:dyDescent="0.25">
      <c r="A10" s="17"/>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54</v>
      </c>
      <c r="Q10" s="7"/>
    </row>
    <row r="11" spans="1:22" ht="20.100000000000001" customHeight="1" x14ac:dyDescent="0.25">
      <c r="A11" s="19" t="s">
        <v>76</v>
      </c>
      <c r="D11" s="48" t="str">
        <f>"Average number of head between " &amp; TEXT('Input - Site'!$E$12, "dd mmm yy") &amp; " and " &amp; TEXT('Input - Site'!$E$13, "dd mmm yy")</f>
        <v>Average number of head between 01 Jan 24 and 31 Dec 24</v>
      </c>
      <c r="E11" s="66">
        <v>100</v>
      </c>
      <c r="F11" s="66">
        <v>100</v>
      </c>
      <c r="G11" s="66">
        <v>100</v>
      </c>
      <c r="H11" s="66">
        <v>100</v>
      </c>
      <c r="I11" s="2" t="s">
        <v>99</v>
      </c>
      <c r="Q11" s="7"/>
    </row>
    <row r="12" spans="1:22" ht="20.100000000000001" customHeight="1" x14ac:dyDescent="0.25">
      <c r="A12" s="17" t="str">
        <f>HYPERLINK("#'4.5.1.1-2 Methane'!A1", "4.5.1.1-2 Methane")</f>
        <v>4.5.1.1-2 Methane</v>
      </c>
      <c r="Q12" s="7"/>
    </row>
    <row r="13" spans="1:22" ht="20.100000000000001" customHeight="1" x14ac:dyDescent="0.25">
      <c r="A13" s="17" t="str">
        <f>HYPERLINK("#'4.5.1.3-4 Direct N2O'!A1", "4.5.1.3-4 Direct N2O")</f>
        <v>4.5.1.3-4 Direct N2O</v>
      </c>
      <c r="D13" s="6" t="s">
        <v>141</v>
      </c>
      <c r="Q13" s="38"/>
    </row>
    <row r="14" spans="1:22" ht="20.100000000000001" customHeight="1" x14ac:dyDescent="0.25">
      <c r="A14" s="17" t="str">
        <f>HYPERLINK("#'4.5.1.5-6 Atmos Dep'!A1", "4.5.1.5-6 Soil atm. deposition")</f>
        <v>4.5.1.5-6 Soil atm. deposition</v>
      </c>
      <c r="Q14" s="38"/>
    </row>
    <row r="15" spans="1:22" ht="20.100000000000001" customHeight="1" x14ac:dyDescent="0.25">
      <c r="A15" s="17" t="str">
        <f>HYPERLINK("#'4.5.1.7-8 Leaching and runoff'!A1", "4.5.1.7-8 Leaching &amp; runoff")</f>
        <v>4.5.1.7-8 Leaching &amp; runoff</v>
      </c>
      <c r="D15" s="63" t="s">
        <v>203</v>
      </c>
      <c r="E15" s="118" t="s">
        <v>142</v>
      </c>
      <c r="F15" s="118" t="s">
        <v>143</v>
      </c>
      <c r="G15" s="118" t="s">
        <v>144</v>
      </c>
      <c r="H15" s="118" t="s">
        <v>206</v>
      </c>
      <c r="Q15" s="38"/>
    </row>
    <row r="16" spans="1:22" ht="20.100000000000001" customHeight="1" x14ac:dyDescent="0.25">
      <c r="A16" s="17" t="str">
        <f>HYPERLINK("#'4.5.1.9 Manure applied to soils'!A1", "4.5.1.9 Manure applied to soils")</f>
        <v>4.5.1.9 Manure applied to soils</v>
      </c>
      <c r="D16" s="1" t="s">
        <v>145</v>
      </c>
      <c r="E16" s="52" cm="1">
        <f t="array" ref="E16">Common_InputFunctions.Utility_LookupValueInTableNumber(E15, Table_SourceData_Swine_VolatileSolids[Class], Table_SourceData_Swine_VolatileSolids[VSj])</f>
        <v>0.4</v>
      </c>
      <c r="F16" s="52" cm="1">
        <f t="array" ref="F16">Common_InputFunctions.Utility_LookupValueInTableNumber(F15, Table_SourceData_Swine_VolatileSolids[Class], Table_SourceData_Swine_VolatileSolids[VSj])</f>
        <v>0.46</v>
      </c>
      <c r="G16" s="52" cm="1">
        <f t="array" ref="G16">Common_InputFunctions.Utility_LookupValueInTableNumber(G15, Table_SourceData_Swine_VolatileSolids[Class], Table_SourceData_Swine_VolatileSolids[VSj])</f>
        <v>0.55000000000000004</v>
      </c>
      <c r="H16" s="52" cm="1">
        <f t="array" ref="H16">Common_InputFunctions.Utility_LookupValueInTableNumber(H15, Table_SourceData_Swine_VolatileSolids[Class], Table_SourceData_Swine_VolatileSolids[VSj])</f>
        <v>0.39</v>
      </c>
      <c r="I16" s="2" t="s">
        <v>120</v>
      </c>
      <c r="Q16" s="38"/>
    </row>
    <row r="17" spans="1:17" ht="20.100000000000001" customHeight="1" x14ac:dyDescent="0.25">
      <c r="D17" s="1" t="s">
        <v>146</v>
      </c>
      <c r="E17" s="52" cm="1">
        <f t="array" ref="E17">Common_InputFunctions.Utility_LookupValueInTableNumber(E15, Table_SourceData_Swine_NitrogenInWaste[Class name], Table_SourceData_Swine_NitrogenInWaste[NWj Daily])</f>
        <v>4.5999999999999999E-2</v>
      </c>
      <c r="F17" s="52" cm="1">
        <f t="array" ref="F17">Common_InputFunctions.Utility_LookupValueInTableNumber(F15, Table_SourceData_Swine_NitrogenInWaste[Class name], Table_SourceData_Swine_NitrogenInWaste[NWj Daily])</f>
        <v>4.9000000000000002E-2</v>
      </c>
      <c r="G17" s="52" cm="1">
        <f t="array" ref="G17">Common_InputFunctions.Utility_LookupValueInTableNumber(G15, Table_SourceData_Swine_NitrogenInWaste[Class name], Table_SourceData_Swine_NitrogenInWaste[NWj Daily])</f>
        <v>4.5999999999999999E-2</v>
      </c>
      <c r="H17" s="52" cm="1">
        <f t="array" ref="H17">Common_InputFunctions.Utility_LookupValueInTableNumber(H15, Table_SourceData_Swine_NitrogenInWaste[Class name], Table_SourceData_Swine_NitrogenInWaste[NWj Daily])</f>
        <v>3.1199999999999999E-2</v>
      </c>
      <c r="I17" s="2" t="s">
        <v>147</v>
      </c>
      <c r="Q17" s="7"/>
    </row>
    <row r="18" spans="1:17" ht="20.100000000000001" customHeight="1" x14ac:dyDescent="0.25">
      <c r="A18" s="18" t="s">
        <v>4</v>
      </c>
      <c r="J18" s="2"/>
      <c r="Q18" s="7"/>
    </row>
    <row r="19" spans="1:17" ht="20.100000000000001" customHeight="1" x14ac:dyDescent="0.25">
      <c r="A19" s="17" t="str">
        <f>HYPERLINK("#'Constants - Swine'!A1", "Constants - Swine")</f>
        <v>Constants - Swine</v>
      </c>
      <c r="D19" s="63" t="s">
        <v>204</v>
      </c>
      <c r="E19" s="118" t="s">
        <v>142</v>
      </c>
      <c r="F19" s="118" t="s">
        <v>143</v>
      </c>
      <c r="G19" s="118" t="s">
        <v>144</v>
      </c>
      <c r="H19" s="118" t="s">
        <v>206</v>
      </c>
      <c r="Q19" s="7"/>
    </row>
    <row r="20" spans="1:17" ht="20.100000000000001" customHeight="1" x14ac:dyDescent="0.25">
      <c r="A20" s="17" t="str">
        <f>HYPERLINK("#'Constants - Livestock'!A1", "Constants - Livestock")</f>
        <v>Constants - Livestock</v>
      </c>
      <c r="D20" s="1" t="s">
        <v>145</v>
      </c>
      <c r="E20" s="66" cm="1">
        <f t="array" ref="E20">Common_InputFunctions.Utility_LookupValueInTableNumber(E19, Table_SourceData_Swine_VolatileSolids[Class], Table_SourceData_Swine_VolatileSolids[VSj])</f>
        <v>0.4</v>
      </c>
      <c r="F20" s="66" cm="1">
        <f t="array" ref="F20">Common_InputFunctions.Utility_LookupValueInTableNumber(F19, Table_SourceData_Swine_VolatileSolids[Class], Table_SourceData_Swine_VolatileSolids[VSj])</f>
        <v>0.46</v>
      </c>
      <c r="G20" s="66" cm="1">
        <f t="array" ref="G20">Common_InputFunctions.Utility_LookupValueInTableNumber(G19, Table_SourceData_Swine_VolatileSolids[Class], Table_SourceData_Swine_VolatileSolids[VSj])</f>
        <v>0.55000000000000004</v>
      </c>
      <c r="H20" s="66" cm="1">
        <f t="array" ref="H20">Common_InputFunctions.Utility_LookupValueInTableNumber(H19, Table_SourceData_Swine_VolatileSolids[Class], Table_SourceData_Swine_VolatileSolids[VSj])</f>
        <v>0.39</v>
      </c>
      <c r="I20" s="2" t="s">
        <v>120</v>
      </c>
      <c r="Q20" s="7"/>
    </row>
    <row r="21" spans="1:17" ht="20.100000000000001" customHeight="1" x14ac:dyDescent="0.25">
      <c r="A21" s="17" t="str">
        <f>HYPERLINK("#'Constants - Common'!A1", "Constants - Common")</f>
        <v>Constants - Common</v>
      </c>
      <c r="D21" s="1" t="s">
        <v>146</v>
      </c>
      <c r="E21" s="66" cm="1">
        <f t="array" ref="E21">Common_InputFunctions.Utility_LookupValueInTableNumber(E19, Table_SourceData_Swine_NitrogenInWaste[Class name], Table_SourceData_Swine_NitrogenInWaste[NWj Daily])</f>
        <v>4.5999999999999999E-2</v>
      </c>
      <c r="F21" s="66" cm="1">
        <f t="array" ref="F21">Common_InputFunctions.Utility_LookupValueInTableNumber(F19, Table_SourceData_Swine_NitrogenInWaste[Class name], Table_SourceData_Swine_NitrogenInWaste[NWj Daily])</f>
        <v>4.9000000000000002E-2</v>
      </c>
      <c r="G21" s="66" cm="1">
        <f t="array" ref="G21">Common_InputFunctions.Utility_LookupValueInTableNumber(G19, Table_SourceData_Swine_NitrogenInWaste[Class name], Table_SourceData_Swine_NitrogenInWaste[NWj Daily])</f>
        <v>4.5999999999999999E-2</v>
      </c>
      <c r="H21" s="66" cm="1">
        <f t="array" ref="H21">Common_InputFunctions.Utility_LookupValueInTableNumber(H19, Table_SourceData_Swine_NitrogenInWaste[Class name], Table_SourceData_Swine_NitrogenInWaste[NWj Daily])</f>
        <v>3.1199999999999999E-2</v>
      </c>
      <c r="I21" s="2" t="s">
        <v>147</v>
      </c>
      <c r="Q21" s="7"/>
    </row>
    <row r="22" spans="1:17" ht="20.100000000000001" customHeight="1" x14ac:dyDescent="0.25">
      <c r="A22" s="17" t="str">
        <f>HYPERLINK("#'Acknowledgements'!A1", "Acknowledgements")</f>
        <v>Acknowledgements</v>
      </c>
      <c r="Q22" s="7"/>
    </row>
    <row r="23" spans="1:17" ht="20.100000000000001" customHeight="1" x14ac:dyDescent="0.25">
      <c r="Q23" s="7"/>
    </row>
    <row r="24" spans="1:17" ht="20.100000000000001" customHeight="1" x14ac:dyDescent="0.25">
      <c r="A24" s="17"/>
      <c r="D24" s="6" t="s">
        <v>178</v>
      </c>
      <c r="Q24" s="7"/>
    </row>
    <row r="25" spans="1:17" ht="20.100000000000001" customHeight="1" x14ac:dyDescent="0.25">
      <c r="Q25" s="7"/>
    </row>
    <row r="26" spans="1:17" ht="20.100000000000001" customHeight="1" x14ac:dyDescent="0.25">
      <c r="A26" s="17"/>
      <c r="D26" s="1" t="s">
        <v>109</v>
      </c>
      <c r="E26" s="39" t="s">
        <v>347</v>
      </c>
      <c r="F26" s="2" t="s">
        <v>11</v>
      </c>
      <c r="Q26" s="7"/>
    </row>
    <row r="27" spans="1:17" ht="20.100000000000001" customHeight="1" x14ac:dyDescent="0.25">
      <c r="A27" s="17"/>
      <c r="E27" s="106" t="str">
        <f>IF(E26="Outdoor/free range", "In an outdoor/free range system the only likely stage 1 MMS is 'Drylot (feed pad)'", "")</f>
        <v>In an outdoor/free range system the only likely stage 1 MMS is 'Drylot (feed pad)'</v>
      </c>
      <c r="Q27" s="7"/>
    </row>
    <row r="28" spans="1:17" ht="20.100000000000001" customHeight="1" x14ac:dyDescent="0.25">
      <c r="A28" s="17"/>
      <c r="D28" s="63" t="s">
        <v>179</v>
      </c>
      <c r="E28" s="118" t="s">
        <v>142</v>
      </c>
      <c r="F28" s="118" t="s">
        <v>143</v>
      </c>
      <c r="G28" s="118" t="s">
        <v>144</v>
      </c>
      <c r="H28" s="118" t="s">
        <v>206</v>
      </c>
      <c r="Q28" s="7"/>
    </row>
    <row r="29" spans="1:17" ht="20.100000000000001" customHeight="1" x14ac:dyDescent="0.25">
      <c r="A29" s="17"/>
      <c r="D29" s="125" t="str">
        <f>'Constants - Swine'!$G$41</f>
        <v>Anaerobic lagoon</v>
      </c>
      <c r="E29" s="46">
        <v>0.15</v>
      </c>
      <c r="F29" s="46">
        <v>0.15</v>
      </c>
      <c r="G29" s="46">
        <v>0.15</v>
      </c>
      <c r="H29" s="46">
        <v>0.15</v>
      </c>
      <c r="I29" s="2" t="s">
        <v>18</v>
      </c>
      <c r="Q29" s="7"/>
    </row>
    <row r="30" spans="1:17" ht="20.100000000000001" customHeight="1" x14ac:dyDescent="0.25">
      <c r="A30" s="17"/>
      <c r="D30" s="125" t="str">
        <f>'Constants - Swine'!$G$42</f>
        <v>Drylot (feed pad)</v>
      </c>
      <c r="E30" s="46">
        <v>0.15</v>
      </c>
      <c r="F30" s="46">
        <v>0.15</v>
      </c>
      <c r="G30" s="46">
        <v>0.15</v>
      </c>
      <c r="H30" s="46">
        <v>0.15</v>
      </c>
      <c r="I30" s="2" t="s">
        <v>18</v>
      </c>
      <c r="Q30" s="7"/>
    </row>
    <row r="31" spans="1:17" ht="20.100000000000001" customHeight="1" x14ac:dyDescent="0.25">
      <c r="A31" s="67"/>
      <c r="D31" s="125" t="str">
        <f>'Constants - Swine'!$G$43</f>
        <v>Digester / covered lagoons</v>
      </c>
      <c r="E31" s="46">
        <v>0.15</v>
      </c>
      <c r="F31" s="46">
        <v>0.15</v>
      </c>
      <c r="G31" s="46">
        <v>0.15</v>
      </c>
      <c r="H31" s="46">
        <v>0.15</v>
      </c>
      <c r="I31" s="2" t="s">
        <v>18</v>
      </c>
      <c r="Q31" s="7"/>
    </row>
    <row r="32" spans="1:17" ht="20.100000000000001" customHeight="1" x14ac:dyDescent="0.25">
      <c r="A32" s="67"/>
      <c r="D32" s="125" t="str">
        <f>'Constants - Swine'!$G$44</f>
        <v>Deep litter</v>
      </c>
      <c r="E32" s="46">
        <v>0.15</v>
      </c>
      <c r="F32" s="46">
        <v>0.15</v>
      </c>
      <c r="G32" s="46">
        <v>0.15</v>
      </c>
      <c r="H32" s="46">
        <v>0.15</v>
      </c>
      <c r="I32" s="2" t="s">
        <v>18</v>
      </c>
      <c r="Q32" s="7"/>
    </row>
    <row r="33" spans="1:17" ht="20.100000000000001" customHeight="1" x14ac:dyDescent="0.25">
      <c r="A33" s="17"/>
      <c r="D33" s="125" t="str">
        <f>'Constants - Swine'!$G$45</f>
        <v>Pit storage</v>
      </c>
      <c r="E33" s="46">
        <v>0.15</v>
      </c>
      <c r="F33" s="46">
        <v>0.15</v>
      </c>
      <c r="G33" s="46">
        <v>0.15</v>
      </c>
      <c r="H33" s="46">
        <v>0.15</v>
      </c>
      <c r="I33" s="2" t="s">
        <v>18</v>
      </c>
      <c r="Q33" s="7"/>
    </row>
    <row r="34" spans="1:17" ht="20.100000000000001" customHeight="1" x14ac:dyDescent="0.25">
      <c r="D34" s="125" t="str">
        <f>'Constants - Swine'!$D$42</f>
        <v>Solid storage</v>
      </c>
      <c r="E34" s="46">
        <v>0.25</v>
      </c>
      <c r="F34" s="46">
        <v>0.25</v>
      </c>
      <c r="G34" s="46">
        <v>0.25</v>
      </c>
      <c r="H34" s="46">
        <v>0.25</v>
      </c>
      <c r="I34" s="2" t="s">
        <v>18</v>
      </c>
      <c r="Q34" s="7"/>
    </row>
    <row r="35" spans="1:17" ht="20.100000000000001" customHeight="1" x14ac:dyDescent="0.25">
      <c r="D35" s="124" t="s">
        <v>180</v>
      </c>
      <c r="E35" s="97">
        <f>SUM(E29,E30,E31,E32,E33,E34)</f>
        <v>1</v>
      </c>
      <c r="F35" s="97">
        <f>SUM(F29,F30,F31,F32,F33,F34)</f>
        <v>1</v>
      </c>
      <c r="G35" s="97">
        <f>SUM(G29,G30,G31,G32,G33,G34)</f>
        <v>1</v>
      </c>
      <c r="H35" s="97">
        <f>SUM(H29,H30,H31,H32,H33,H34)</f>
        <v>1</v>
      </c>
      <c r="Q35" s="7"/>
    </row>
    <row r="36" spans="1:17" ht="20.100000000000001" customHeight="1" x14ac:dyDescent="0.25">
      <c r="Q36" s="7"/>
    </row>
    <row r="37" spans="1:17" ht="20.100000000000001" customHeight="1" x14ac:dyDescent="0.25">
      <c r="D37" s="134" t="s">
        <v>192</v>
      </c>
      <c r="Q37" s="7"/>
    </row>
    <row r="38" spans="1:17" ht="20.100000000000001" customHeight="1" x14ac:dyDescent="0.25">
      <c r="D38" s="127" t="s">
        <v>182</v>
      </c>
      <c r="E38" s="118" t="s">
        <v>183</v>
      </c>
      <c r="F38" s="118" t="s">
        <v>184</v>
      </c>
      <c r="G38" s="118" t="s">
        <v>185</v>
      </c>
      <c r="Q38" s="7"/>
    </row>
    <row r="39" spans="1:17" ht="20.100000000000001" customHeight="1" x14ac:dyDescent="0.25">
      <c r="A39" s="17"/>
      <c r="D39" s="126" t="str">
        <f>"Solids separated from " &amp; $D$29</f>
        <v>Solids separated from Anaerobic lagoon</v>
      </c>
      <c r="E39" s="39" t="s">
        <v>148</v>
      </c>
      <c r="F39" s="97">
        <v>0.2</v>
      </c>
      <c r="G39" s="46">
        <v>0.2</v>
      </c>
      <c r="Q39" s="7"/>
    </row>
    <row r="40" spans="1:17" ht="20.100000000000001" customHeight="1" x14ac:dyDescent="0.25">
      <c r="D40" s="126" t="str">
        <f>"Solids separated from " &amp; $D$30</f>
        <v>Solids separated from Drylot (feed pad)</v>
      </c>
      <c r="E40" s="39" t="s">
        <v>148</v>
      </c>
      <c r="F40" s="97">
        <v>0.2</v>
      </c>
      <c r="G40" s="46">
        <v>0.2</v>
      </c>
      <c r="Q40" s="7"/>
    </row>
    <row r="41" spans="1:17" ht="20.100000000000001" customHeight="1" x14ac:dyDescent="0.25">
      <c r="A41" s="44"/>
      <c r="D41" s="126" t="str">
        <f>"Solids separated from " &amp; $D$31</f>
        <v>Solids separated from Digester / covered lagoons</v>
      </c>
      <c r="E41" s="39" t="s">
        <v>148</v>
      </c>
      <c r="F41" s="97">
        <v>0.2</v>
      </c>
      <c r="G41" s="46">
        <v>0.2</v>
      </c>
      <c r="Q41" s="7"/>
    </row>
    <row r="42" spans="1:17" ht="20.100000000000001" customHeight="1" x14ac:dyDescent="0.25">
      <c r="D42" s="126" t="str">
        <f>"Solids separated from " &amp; $D$32</f>
        <v>Solids separated from Deep litter</v>
      </c>
      <c r="E42" s="39" t="s">
        <v>148</v>
      </c>
      <c r="F42" s="97">
        <v>0.2</v>
      </c>
      <c r="G42" s="46">
        <v>0.2</v>
      </c>
      <c r="Q42" s="7"/>
    </row>
    <row r="43" spans="1:17" ht="20.100000000000001" customHeight="1" x14ac:dyDescent="0.25">
      <c r="D43" s="126" t="str">
        <f>"Solids separated from " &amp; $D$33</f>
        <v>Solids separated from Pit storage</v>
      </c>
      <c r="E43" s="39" t="s">
        <v>148</v>
      </c>
      <c r="F43" s="97">
        <v>0.2</v>
      </c>
      <c r="G43" s="46">
        <v>0.2</v>
      </c>
      <c r="Q43" s="7"/>
    </row>
    <row r="44" spans="1:17" ht="20.100000000000001" customHeight="1" x14ac:dyDescent="0.25">
      <c r="D44" s="124"/>
      <c r="F44" s="2"/>
      <c r="Q44" s="7"/>
    </row>
    <row r="45" spans="1:17" ht="20.100000000000001" customHeight="1" x14ac:dyDescent="0.25">
      <c r="D45" s="133" t="s">
        <v>192</v>
      </c>
      <c r="Q45" s="7"/>
    </row>
    <row r="46" spans="1:17" ht="20.100000000000001" customHeight="1" x14ac:dyDescent="0.25">
      <c r="A46" s="150" t="str">
        <f>HYPERLINK("#A1", "▲ Back to top")</f>
        <v>▲ Back to top</v>
      </c>
      <c r="D46" s="129" t="s">
        <v>181</v>
      </c>
      <c r="E46" s="128" t="s">
        <v>142</v>
      </c>
      <c r="F46" s="128" t="s">
        <v>143</v>
      </c>
      <c r="G46" s="128" t="s">
        <v>144</v>
      </c>
      <c r="H46" s="128" t="s">
        <v>206</v>
      </c>
      <c r="I46" s="135" t="s">
        <v>193</v>
      </c>
      <c r="J46" s="63" t="s">
        <v>188</v>
      </c>
      <c r="K46" s="63"/>
      <c r="L46" s="119"/>
      <c r="Q46" s="7"/>
    </row>
    <row r="47" spans="1:17" ht="20.100000000000001" customHeight="1" x14ac:dyDescent="0.25">
      <c r="D47" s="130" t="str">
        <f>"From stage 1: " &amp; $D$29</f>
        <v>From stage 1: Anaerobic lagoon</v>
      </c>
      <c r="E47" s="106" t="str">
        <f>IF(SUM(E29:K29)&gt;0,"Manure was sent to this MMS, please complete this section.","NO manure was sent to this MMS. Leave this section blank.")</f>
        <v>Manure was sent to this MMS, please complete this section.</v>
      </c>
      <c r="J47" s="132" t="s">
        <v>189</v>
      </c>
      <c r="K47" s="132" t="s">
        <v>190</v>
      </c>
      <c r="L47" s="132" t="s">
        <v>191</v>
      </c>
      <c r="Q47" s="7"/>
    </row>
    <row r="48" spans="1:17" ht="20.100000000000001" customHeight="1" x14ac:dyDescent="0.25">
      <c r="D48" s="131" t="str">
        <f>$D$31</f>
        <v>Digester / covered lagoons</v>
      </c>
      <c r="E48" s="46">
        <v>0.2</v>
      </c>
      <c r="F48" s="46">
        <v>0.25</v>
      </c>
      <c r="G48" s="46">
        <v>0.25</v>
      </c>
      <c r="H48" s="46">
        <v>0.25</v>
      </c>
      <c r="I48" s="2" t="s">
        <v>18</v>
      </c>
      <c r="J48" s="46">
        <v>0.25</v>
      </c>
      <c r="K48" s="46">
        <v>0.25</v>
      </c>
      <c r="L48" s="97">
        <f t="shared" ref="L48:L50" si="0">1-SUM(J48:K48)</f>
        <v>0.5</v>
      </c>
      <c r="Q48" s="7"/>
    </row>
    <row r="49" spans="4:17" ht="20.100000000000001" customHeight="1" x14ac:dyDescent="0.25">
      <c r="D49" s="131" t="str">
        <f>$D$32</f>
        <v>Deep litter</v>
      </c>
      <c r="E49" s="46">
        <v>0.2</v>
      </c>
      <c r="F49" s="46">
        <v>0.25</v>
      </c>
      <c r="G49" s="46">
        <v>0.25</v>
      </c>
      <c r="H49" s="46">
        <v>0.25</v>
      </c>
      <c r="I49" s="2" t="s">
        <v>18</v>
      </c>
      <c r="J49" s="46">
        <v>0.25</v>
      </c>
      <c r="K49" s="46">
        <v>0.25</v>
      </c>
      <c r="L49" s="97">
        <f t="shared" si="0"/>
        <v>0.5</v>
      </c>
      <c r="Q49" s="7"/>
    </row>
    <row r="50" spans="4:17" ht="20.100000000000001" customHeight="1" x14ac:dyDescent="0.25">
      <c r="D50" s="131" t="str">
        <f>$D$33</f>
        <v>Pit storage</v>
      </c>
      <c r="E50" s="46">
        <v>0.2</v>
      </c>
      <c r="F50" s="46">
        <v>0.25</v>
      </c>
      <c r="G50" s="46">
        <v>0.25</v>
      </c>
      <c r="H50" s="46">
        <v>0.25</v>
      </c>
      <c r="I50" s="2" t="s">
        <v>18</v>
      </c>
      <c r="J50" s="46">
        <v>0.25</v>
      </c>
      <c r="K50" s="46">
        <v>0.25</v>
      </c>
      <c r="L50" s="97">
        <f t="shared" si="0"/>
        <v>0.5</v>
      </c>
      <c r="Q50" s="7"/>
    </row>
    <row r="51" spans="4:17" ht="20.100000000000001" customHeight="1" x14ac:dyDescent="0.25">
      <c r="D51" s="131" t="str">
        <f>'Constants - Swine'!$D$47</f>
        <v>Direct application</v>
      </c>
      <c r="E51" s="97">
        <f>1-SUM(E48:E50)</f>
        <v>0.39999999999999991</v>
      </c>
      <c r="F51" s="97">
        <f>1-SUM(F48:F50)</f>
        <v>0.25</v>
      </c>
      <c r="G51" s="97">
        <f>1-SUM(G48:G50)</f>
        <v>0.25</v>
      </c>
      <c r="H51" s="97">
        <f>1-SUM(H48:H50)</f>
        <v>0.25</v>
      </c>
      <c r="I51" s="2" t="s">
        <v>18</v>
      </c>
      <c r="J51" s="97">
        <v>0</v>
      </c>
      <c r="K51" s="97">
        <v>0</v>
      </c>
      <c r="L51" s="97">
        <f>1-SUM(J51:K51)</f>
        <v>1</v>
      </c>
      <c r="Q51" s="7"/>
    </row>
    <row r="52" spans="4:17" ht="20.100000000000001" customHeight="1" x14ac:dyDescent="0.25">
      <c r="Q52" s="7"/>
    </row>
    <row r="53" spans="4:17" ht="20.100000000000001" customHeight="1" x14ac:dyDescent="0.25">
      <c r="D53" s="126"/>
      <c r="F53" s="2"/>
      <c r="Q53" s="7"/>
    </row>
    <row r="54" spans="4:17" ht="20.100000000000001" customHeight="1" x14ac:dyDescent="0.25">
      <c r="D54" s="130" t="str">
        <f>"From stage 1: " &amp; $D$30</f>
        <v>From stage 1: Drylot (feed pad)</v>
      </c>
      <c r="E54" s="106" t="str">
        <f>IF(SUM(E30:K30)&gt;0,"Manure was sent to this MMS, please complete this section.","NO manure was sent to this MMS. Leave this section blank.")</f>
        <v>Manure was sent to this MMS, please complete this section.</v>
      </c>
      <c r="J54" s="132" t="s">
        <v>189</v>
      </c>
      <c r="K54" s="132" t="s">
        <v>190</v>
      </c>
      <c r="L54" s="132" t="s">
        <v>191</v>
      </c>
      <c r="Q54" s="7"/>
    </row>
    <row r="55" spans="4:17" ht="20.100000000000001" customHeight="1" x14ac:dyDescent="0.25">
      <c r="D55" s="131" t="str">
        <f>$D$29</f>
        <v>Anaerobic lagoon</v>
      </c>
      <c r="E55" s="46">
        <v>0.2</v>
      </c>
      <c r="F55" s="46">
        <v>0.25</v>
      </c>
      <c r="G55" s="46">
        <v>0.25</v>
      </c>
      <c r="H55" s="46">
        <v>0.25</v>
      </c>
      <c r="I55" s="2" t="s">
        <v>18</v>
      </c>
      <c r="J55" s="46">
        <v>0.25</v>
      </c>
      <c r="K55" s="46">
        <v>0.25</v>
      </c>
      <c r="L55" s="97">
        <f>1-SUM(J55:K55)</f>
        <v>0.5</v>
      </c>
      <c r="Q55" s="7"/>
    </row>
    <row r="56" spans="4:17" ht="20.100000000000001" customHeight="1" x14ac:dyDescent="0.25">
      <c r="D56" s="131" t="str">
        <f>$D$31</f>
        <v>Digester / covered lagoons</v>
      </c>
      <c r="E56" s="46">
        <v>0.2</v>
      </c>
      <c r="F56" s="46">
        <v>0.25</v>
      </c>
      <c r="G56" s="46">
        <v>0.25</v>
      </c>
      <c r="H56" s="46">
        <v>0.25</v>
      </c>
      <c r="I56" s="2" t="s">
        <v>18</v>
      </c>
      <c r="J56" s="46">
        <v>0.25</v>
      </c>
      <c r="K56" s="46">
        <v>0.25</v>
      </c>
      <c r="L56" s="97">
        <f t="shared" ref="L56:L58" si="1">1-SUM(J56:K56)</f>
        <v>0.5</v>
      </c>
      <c r="Q56" s="7"/>
    </row>
    <row r="57" spans="4:17" ht="20.100000000000001" customHeight="1" x14ac:dyDescent="0.25">
      <c r="D57" s="131" t="str">
        <f>$D$32</f>
        <v>Deep litter</v>
      </c>
      <c r="E57" s="46">
        <v>0.2</v>
      </c>
      <c r="F57" s="46">
        <v>0.25</v>
      </c>
      <c r="G57" s="46">
        <v>0.25</v>
      </c>
      <c r="H57" s="46">
        <v>0.25</v>
      </c>
      <c r="I57" s="2" t="s">
        <v>18</v>
      </c>
      <c r="J57" s="46">
        <v>0.25</v>
      </c>
      <c r="K57" s="46">
        <v>0.25</v>
      </c>
      <c r="L57" s="97">
        <f t="shared" si="1"/>
        <v>0.5</v>
      </c>
      <c r="Q57" s="7"/>
    </row>
    <row r="58" spans="4:17" ht="20.100000000000001" customHeight="1" x14ac:dyDescent="0.25">
      <c r="D58" s="131" t="str">
        <f>$D$33</f>
        <v>Pit storage</v>
      </c>
      <c r="E58" s="46">
        <v>0.2</v>
      </c>
      <c r="F58" s="46">
        <v>0.25</v>
      </c>
      <c r="G58" s="46">
        <v>0.25</v>
      </c>
      <c r="H58" s="46">
        <v>0.25</v>
      </c>
      <c r="I58" s="2" t="s">
        <v>18</v>
      </c>
      <c r="J58" s="46">
        <v>0.25</v>
      </c>
      <c r="K58" s="46">
        <v>0.25</v>
      </c>
      <c r="L58" s="97">
        <f t="shared" si="1"/>
        <v>0.5</v>
      </c>
      <c r="Q58" s="7"/>
    </row>
    <row r="59" spans="4:17" ht="20.100000000000001" customHeight="1" x14ac:dyDescent="0.25">
      <c r="D59" s="131" t="str">
        <f>'Constants - Swine'!$D$47</f>
        <v>Direct application</v>
      </c>
      <c r="E59" s="97">
        <f>1-SUM(E55:E58)</f>
        <v>0.19999999999999996</v>
      </c>
      <c r="F59" s="97">
        <f t="shared" ref="F59:H59" si="2">1-SUM(F55:F58)</f>
        <v>0</v>
      </c>
      <c r="G59" s="97">
        <f t="shared" si="2"/>
        <v>0</v>
      </c>
      <c r="H59" s="97">
        <f t="shared" si="2"/>
        <v>0</v>
      </c>
      <c r="J59" s="97">
        <v>0</v>
      </c>
      <c r="K59" s="97">
        <v>0</v>
      </c>
      <c r="L59" s="97">
        <f>1-SUM(J59:K59)</f>
        <v>1</v>
      </c>
      <c r="Q59" s="7"/>
    </row>
    <row r="60" spans="4:17" ht="20.100000000000001" customHeight="1" x14ac:dyDescent="0.25">
      <c r="Q60" s="7"/>
    </row>
    <row r="61" spans="4:17" ht="20.100000000000001" customHeight="1" x14ac:dyDescent="0.25">
      <c r="Q61" s="7"/>
    </row>
    <row r="62" spans="4:17" ht="20.100000000000001" customHeight="1" x14ac:dyDescent="0.25">
      <c r="D62" s="130" t="str">
        <f>"From stage 1: " &amp; $D$31</f>
        <v>From stage 1: Digester / covered lagoons</v>
      </c>
      <c r="E62" s="106" t="str">
        <f>IF(SUM(E31:K31)&gt;0,"Manure was sent to this MMS, please complete this section.","NO manure was sent to this MMS. Leave this section blank.")</f>
        <v>Manure was sent to this MMS, please complete this section.</v>
      </c>
      <c r="J62" s="132" t="s">
        <v>189</v>
      </c>
      <c r="K62" s="132" t="s">
        <v>190</v>
      </c>
      <c r="L62" s="132" t="s">
        <v>191</v>
      </c>
      <c r="Q62" s="7"/>
    </row>
    <row r="63" spans="4:17" ht="20.100000000000001" customHeight="1" x14ac:dyDescent="0.25">
      <c r="D63" s="131" t="str">
        <f>$D$29</f>
        <v>Anaerobic lagoon</v>
      </c>
      <c r="E63" s="46">
        <v>0.2</v>
      </c>
      <c r="F63" s="46">
        <v>0.25</v>
      </c>
      <c r="G63" s="46">
        <v>0.25</v>
      </c>
      <c r="H63" s="46">
        <v>0.25</v>
      </c>
      <c r="I63" s="2" t="s">
        <v>18</v>
      </c>
      <c r="J63" s="46">
        <v>0.25</v>
      </c>
      <c r="K63" s="46">
        <v>0.25</v>
      </c>
      <c r="L63" s="97">
        <f>1-SUM(J63:K63)</f>
        <v>0.5</v>
      </c>
      <c r="Q63" s="7"/>
    </row>
    <row r="64" spans="4:17" ht="20.100000000000001" customHeight="1" x14ac:dyDescent="0.25">
      <c r="D64" s="131" t="str">
        <f>$D$32</f>
        <v>Deep litter</v>
      </c>
      <c r="E64" s="46">
        <v>0.2</v>
      </c>
      <c r="F64" s="46">
        <v>0.25</v>
      </c>
      <c r="G64" s="46">
        <v>0.25</v>
      </c>
      <c r="H64" s="46">
        <v>0.25</v>
      </c>
      <c r="I64" s="2" t="s">
        <v>18</v>
      </c>
      <c r="J64" s="46">
        <v>0.25</v>
      </c>
      <c r="K64" s="46">
        <v>0.25</v>
      </c>
      <c r="L64" s="97">
        <f>1-SUM(J64:K64)</f>
        <v>0.5</v>
      </c>
      <c r="Q64" s="7"/>
    </row>
    <row r="65" spans="4:17" ht="20.100000000000001" customHeight="1" x14ac:dyDescent="0.25">
      <c r="D65" s="131" t="str">
        <f>$D$33</f>
        <v>Pit storage</v>
      </c>
      <c r="E65" s="46">
        <v>0.2</v>
      </c>
      <c r="F65" s="46">
        <v>0.25</v>
      </c>
      <c r="G65" s="46">
        <v>0.25</v>
      </c>
      <c r="H65" s="46">
        <v>0.25</v>
      </c>
      <c r="I65" s="2" t="s">
        <v>18</v>
      </c>
      <c r="J65" s="46">
        <v>0.25</v>
      </c>
      <c r="K65" s="46">
        <v>0.25</v>
      </c>
      <c r="L65" s="97">
        <f>1-SUM(J65:K65)</f>
        <v>0.5</v>
      </c>
      <c r="Q65" s="7"/>
    </row>
    <row r="66" spans="4:17" ht="20.100000000000001" customHeight="1" x14ac:dyDescent="0.25">
      <c r="D66" s="131" t="str">
        <f>'Constants - Swine'!$D$47</f>
        <v>Direct application</v>
      </c>
      <c r="E66" s="97">
        <f>1-SUM(E63:E65)</f>
        <v>0.39999999999999991</v>
      </c>
      <c r="F66" s="97">
        <f>1-SUM(F63:F65)</f>
        <v>0.25</v>
      </c>
      <c r="G66" s="97">
        <f>1-SUM(G63:G65)</f>
        <v>0.25</v>
      </c>
      <c r="H66" s="97">
        <f>1-SUM(H63:H65)</f>
        <v>0.25</v>
      </c>
      <c r="I66" s="2" t="s">
        <v>18</v>
      </c>
      <c r="J66" s="97">
        <v>0</v>
      </c>
      <c r="K66" s="97">
        <v>0</v>
      </c>
      <c r="L66" s="97">
        <f>1-SUM(J66:K66)</f>
        <v>1</v>
      </c>
      <c r="Q66" s="7"/>
    </row>
    <row r="67" spans="4:17" ht="20.100000000000001" customHeight="1" x14ac:dyDescent="0.25">
      <c r="Q67" s="7"/>
    </row>
    <row r="68" spans="4:17" ht="20.100000000000001" customHeight="1" x14ac:dyDescent="0.25">
      <c r="D68" s="124"/>
      <c r="Q68" s="7"/>
    </row>
    <row r="69" spans="4:17" ht="20.100000000000001" customHeight="1" x14ac:dyDescent="0.25">
      <c r="D69" s="130" t="str">
        <f>"From stage 1: " &amp; $D$32</f>
        <v>From stage 1: Deep litter</v>
      </c>
      <c r="E69" s="106" t="str">
        <f>IF(SUM(E32:K32)&gt;0,"Manure was sent to this MMS, please complete this section.","NO manure was sent to this MMS. Leave this section blank.")</f>
        <v>Manure was sent to this MMS, please complete this section.</v>
      </c>
      <c r="J69" s="132" t="s">
        <v>189</v>
      </c>
      <c r="K69" s="132" t="s">
        <v>190</v>
      </c>
      <c r="L69" s="132" t="s">
        <v>191</v>
      </c>
      <c r="Q69" s="7"/>
    </row>
    <row r="70" spans="4:17" ht="20.100000000000001" customHeight="1" x14ac:dyDescent="0.25">
      <c r="D70" s="131" t="str">
        <f>$D$29</f>
        <v>Anaerobic lagoon</v>
      </c>
      <c r="E70" s="46">
        <v>0.2</v>
      </c>
      <c r="F70" s="46">
        <v>0.25</v>
      </c>
      <c r="G70" s="46">
        <v>0.25</v>
      </c>
      <c r="H70" s="46">
        <v>0.25</v>
      </c>
      <c r="I70" s="2" t="s">
        <v>18</v>
      </c>
      <c r="J70" s="46">
        <v>0.25</v>
      </c>
      <c r="K70" s="46">
        <v>0.25</v>
      </c>
      <c r="L70" s="97">
        <f>1-SUM(J70:K70)</f>
        <v>0.5</v>
      </c>
      <c r="Q70" s="7"/>
    </row>
    <row r="71" spans="4:17" ht="20.100000000000001" customHeight="1" x14ac:dyDescent="0.25">
      <c r="D71" s="131" t="str">
        <f>$D$31</f>
        <v>Digester / covered lagoons</v>
      </c>
      <c r="E71" s="46">
        <v>0.2</v>
      </c>
      <c r="F71" s="46">
        <v>0.25</v>
      </c>
      <c r="G71" s="46">
        <v>0.25</v>
      </c>
      <c r="H71" s="46">
        <v>0.25</v>
      </c>
      <c r="I71" s="2" t="s">
        <v>18</v>
      </c>
      <c r="J71" s="46">
        <v>0.25</v>
      </c>
      <c r="K71" s="46">
        <v>0.25</v>
      </c>
      <c r="L71" s="97">
        <f>1-SUM(J71:K71)</f>
        <v>0.5</v>
      </c>
      <c r="Q71" s="7"/>
    </row>
    <row r="72" spans="4:17" ht="20.100000000000001" customHeight="1" x14ac:dyDescent="0.25">
      <c r="D72" s="131" t="str">
        <f>$D$33</f>
        <v>Pit storage</v>
      </c>
      <c r="E72" s="46">
        <v>0.2</v>
      </c>
      <c r="F72" s="46">
        <v>0.25</v>
      </c>
      <c r="G72" s="46">
        <v>0.25</v>
      </c>
      <c r="H72" s="46">
        <v>0.25</v>
      </c>
      <c r="I72" s="2" t="s">
        <v>18</v>
      </c>
      <c r="J72" s="46">
        <v>0.25</v>
      </c>
      <c r="K72" s="46">
        <v>0.25</v>
      </c>
      <c r="L72" s="97">
        <f>1-SUM(J72:K72)</f>
        <v>0.5</v>
      </c>
      <c r="Q72" s="7"/>
    </row>
    <row r="73" spans="4:17" ht="20.100000000000001" customHeight="1" x14ac:dyDescent="0.25">
      <c r="D73" s="131" t="str">
        <f>'Constants - Swine'!$D$47</f>
        <v>Direct application</v>
      </c>
      <c r="E73" s="97">
        <f>1-SUM(E70:E72)</f>
        <v>0.39999999999999991</v>
      </c>
      <c r="F73" s="97">
        <f>1-SUM(F70:F72)</f>
        <v>0.25</v>
      </c>
      <c r="G73" s="97">
        <f>1-SUM(G70:G72)</f>
        <v>0.25</v>
      </c>
      <c r="H73" s="97">
        <f>1-SUM(H70:H72)</f>
        <v>0.25</v>
      </c>
      <c r="I73" s="2" t="s">
        <v>18</v>
      </c>
      <c r="J73" s="97">
        <v>0</v>
      </c>
      <c r="K73" s="97">
        <v>0</v>
      </c>
      <c r="L73" s="97">
        <f>1-SUM(J73:K73)</f>
        <v>1</v>
      </c>
      <c r="Q73" s="7"/>
    </row>
    <row r="74" spans="4:17" ht="20.100000000000001" customHeight="1" x14ac:dyDescent="0.25">
      <c r="Q74" s="7"/>
    </row>
    <row r="75" spans="4:17" ht="20.100000000000001" customHeight="1" x14ac:dyDescent="0.25">
      <c r="Q75" s="7"/>
    </row>
    <row r="76" spans="4:17" ht="20.100000000000001" customHeight="1" x14ac:dyDescent="0.25">
      <c r="D76" s="130" t="str">
        <f>"From stage 1: " &amp; $D$33</f>
        <v>From stage 1: Pit storage</v>
      </c>
      <c r="E76" s="106" t="str">
        <f>IF(SUM(E33:K33)&gt;0,"Manure was sent to this MMS, please complete this section.","NO manure was sent to this MMS. Leave this section blank.")</f>
        <v>Manure was sent to this MMS, please complete this section.</v>
      </c>
      <c r="J76" s="132" t="s">
        <v>189</v>
      </c>
      <c r="K76" s="132" t="s">
        <v>190</v>
      </c>
      <c r="L76" s="132" t="s">
        <v>191</v>
      </c>
      <c r="Q76" s="7"/>
    </row>
    <row r="77" spans="4:17" ht="20.100000000000001" customHeight="1" x14ac:dyDescent="0.25">
      <c r="D77" s="131" t="str">
        <f>$D$29</f>
        <v>Anaerobic lagoon</v>
      </c>
      <c r="E77" s="46">
        <v>0.2</v>
      </c>
      <c r="F77" s="46">
        <v>0.25</v>
      </c>
      <c r="G77" s="46">
        <v>0.25</v>
      </c>
      <c r="H77" s="46">
        <v>0.25</v>
      </c>
      <c r="I77" s="2" t="s">
        <v>18</v>
      </c>
      <c r="J77" s="46">
        <v>0.25</v>
      </c>
      <c r="K77" s="46">
        <v>0.25</v>
      </c>
      <c r="L77" s="97">
        <f>1-SUM(J77:K77)</f>
        <v>0.5</v>
      </c>
      <c r="Q77" s="7"/>
    </row>
    <row r="78" spans="4:17" ht="20.100000000000001" customHeight="1" x14ac:dyDescent="0.25">
      <c r="D78" s="131" t="str">
        <f>$D$31</f>
        <v>Digester / covered lagoons</v>
      </c>
      <c r="E78" s="46">
        <v>0.2</v>
      </c>
      <c r="F78" s="46">
        <v>0.25</v>
      </c>
      <c r="G78" s="46">
        <v>0.25</v>
      </c>
      <c r="H78" s="46">
        <v>0.25</v>
      </c>
      <c r="I78" s="2" t="s">
        <v>18</v>
      </c>
      <c r="J78" s="46">
        <v>0.25</v>
      </c>
      <c r="K78" s="46">
        <v>0.25</v>
      </c>
      <c r="L78" s="97">
        <f>1-SUM(J78:K78)</f>
        <v>0.5</v>
      </c>
      <c r="Q78" s="7"/>
    </row>
    <row r="79" spans="4:17" ht="20.100000000000001" customHeight="1" x14ac:dyDescent="0.25">
      <c r="D79" s="131" t="str">
        <f>$D$32</f>
        <v>Deep litter</v>
      </c>
      <c r="E79" s="46">
        <v>0.2</v>
      </c>
      <c r="F79" s="46">
        <v>0.25</v>
      </c>
      <c r="G79" s="46">
        <v>0.25</v>
      </c>
      <c r="H79" s="46">
        <v>0.25</v>
      </c>
      <c r="I79" s="2" t="s">
        <v>18</v>
      </c>
      <c r="J79" s="46">
        <v>0.25</v>
      </c>
      <c r="K79" s="46">
        <v>0.25</v>
      </c>
      <c r="L79" s="97">
        <f>1-SUM(J79:K79)</f>
        <v>0.5</v>
      </c>
      <c r="Q79" s="7"/>
    </row>
    <row r="80" spans="4:17" ht="20.100000000000001" customHeight="1" x14ac:dyDescent="0.25">
      <c r="D80" s="131" t="str">
        <f>'Constants - Swine'!$D$47</f>
        <v>Direct application</v>
      </c>
      <c r="E80" s="97">
        <f>1-SUM(E77:E79)</f>
        <v>0.39999999999999991</v>
      </c>
      <c r="F80" s="97">
        <f>1-SUM(F77:F79)</f>
        <v>0.25</v>
      </c>
      <c r="G80" s="97">
        <f>1-SUM(G77:G79)</f>
        <v>0.25</v>
      </c>
      <c r="H80" s="97">
        <f>1-SUM(H77:H79)</f>
        <v>0.25</v>
      </c>
      <c r="I80" s="2" t="s">
        <v>18</v>
      </c>
      <c r="J80" s="97">
        <v>0</v>
      </c>
      <c r="K80" s="97">
        <v>0</v>
      </c>
      <c r="L80" s="97">
        <f>1-SUM(J80:K80)</f>
        <v>1</v>
      </c>
      <c r="Q80" s="7"/>
    </row>
    <row r="81" spans="1:17" ht="20.100000000000001" customHeight="1" x14ac:dyDescent="0.25">
      <c r="Q81" s="7"/>
    </row>
    <row r="82" spans="1:17" ht="20.100000000000001" customHeight="1" x14ac:dyDescent="0.25">
      <c r="Q82" s="7"/>
    </row>
    <row r="83" spans="1:17" ht="20.100000000000001" customHeight="1" x14ac:dyDescent="0.25">
      <c r="D83" s="130" t="str">
        <f>"From stage 1: " &amp; $D$34</f>
        <v>From stage 1: Solid storage</v>
      </c>
      <c r="E83" s="106" t="str">
        <f>IF(OR(SUM(E34:H34)&gt;0,COUNTIF(E39:E43,"Yes")&gt;0),"Manure was sent to this MMS, please complete this section.","NO manure was sent to this MMS. Leave this section blank.")</f>
        <v>Manure was sent to this MMS, please complete this section.</v>
      </c>
      <c r="J83" s="132" t="s">
        <v>189</v>
      </c>
      <c r="K83" s="132" t="s">
        <v>190</v>
      </c>
      <c r="L83" s="132" t="s">
        <v>191</v>
      </c>
      <c r="Q83" s="7"/>
    </row>
    <row r="84" spans="1:17" ht="20.100000000000001" customHeight="1" x14ac:dyDescent="0.25">
      <c r="D84" s="131" t="str">
        <f>$D$29</f>
        <v>Anaerobic lagoon</v>
      </c>
      <c r="E84" s="46">
        <v>0.2</v>
      </c>
      <c r="F84" s="46">
        <v>0.2</v>
      </c>
      <c r="G84" s="46">
        <v>0.2</v>
      </c>
      <c r="H84" s="46">
        <v>0.2</v>
      </c>
      <c r="I84" s="2" t="s">
        <v>18</v>
      </c>
      <c r="J84" s="46">
        <v>0.25</v>
      </c>
      <c r="K84" s="46">
        <v>0.25</v>
      </c>
      <c r="L84" s="97">
        <f>1-SUM(J84:K84)</f>
        <v>0.5</v>
      </c>
      <c r="Q84" s="7"/>
    </row>
    <row r="85" spans="1:17" ht="20.100000000000001" customHeight="1" x14ac:dyDescent="0.25">
      <c r="D85" s="131" t="str">
        <f>$D$31</f>
        <v>Digester / covered lagoons</v>
      </c>
      <c r="E85" s="46">
        <v>0.2</v>
      </c>
      <c r="F85" s="46">
        <v>0.2</v>
      </c>
      <c r="G85" s="46">
        <v>0.2</v>
      </c>
      <c r="H85" s="46">
        <v>0.2</v>
      </c>
      <c r="I85" s="2" t="s">
        <v>18</v>
      </c>
      <c r="J85" s="46">
        <v>0.25</v>
      </c>
      <c r="K85" s="46">
        <v>0.25</v>
      </c>
      <c r="L85" s="97">
        <f>1-SUM(J85:K85)</f>
        <v>0.5</v>
      </c>
      <c r="Q85" s="7"/>
    </row>
    <row r="86" spans="1:17" ht="20.100000000000001" customHeight="1" x14ac:dyDescent="0.25">
      <c r="D86" s="131" t="str">
        <f>$D$32</f>
        <v>Deep litter</v>
      </c>
      <c r="E86" s="46">
        <v>0.2</v>
      </c>
      <c r="F86" s="46">
        <v>0.2</v>
      </c>
      <c r="G86" s="46">
        <v>0.2</v>
      </c>
      <c r="H86" s="46">
        <v>0.2</v>
      </c>
      <c r="I86" s="2" t="s">
        <v>18</v>
      </c>
      <c r="J86" s="46">
        <v>0.25</v>
      </c>
      <c r="K86" s="46">
        <v>0.25</v>
      </c>
      <c r="L86" s="97">
        <f>1-SUM(J86:K86)</f>
        <v>0.5</v>
      </c>
      <c r="Q86" s="7"/>
    </row>
    <row r="87" spans="1:17" ht="20.100000000000001" customHeight="1" x14ac:dyDescent="0.25">
      <c r="D87" s="131" t="str">
        <f>$D$33</f>
        <v>Pit storage</v>
      </c>
      <c r="E87" s="46">
        <v>0.1</v>
      </c>
      <c r="F87" s="46">
        <v>0.1</v>
      </c>
      <c r="G87" s="46">
        <v>0.1</v>
      </c>
      <c r="H87" s="46">
        <v>0.1</v>
      </c>
      <c r="I87" s="2" t="s">
        <v>18</v>
      </c>
      <c r="J87" s="46">
        <v>0.25</v>
      </c>
      <c r="K87" s="46">
        <v>0.25</v>
      </c>
      <c r="L87" s="97">
        <f>1-SUM(J87:K87)</f>
        <v>0.5</v>
      </c>
      <c r="Q87" s="7"/>
    </row>
    <row r="88" spans="1:17" ht="20.100000000000001" customHeight="1" x14ac:dyDescent="0.25">
      <c r="D88" s="131" t="str">
        <f>'Constants - Swine'!$D$47</f>
        <v>Direct application</v>
      </c>
      <c r="E88" s="97">
        <f>1-SUM(E84:E87)</f>
        <v>0.29999999999999993</v>
      </c>
      <c r="F88" s="97">
        <f>1-SUM(F84:F87)</f>
        <v>0.29999999999999993</v>
      </c>
      <c r="G88" s="97">
        <f>1-SUM(G84:G87)</f>
        <v>0.29999999999999993</v>
      </c>
      <c r="H88" s="97">
        <f>1-SUM(H84:H87)</f>
        <v>0.29999999999999993</v>
      </c>
      <c r="I88" s="2" t="s">
        <v>18</v>
      </c>
      <c r="J88" s="97">
        <v>0</v>
      </c>
      <c r="K88" s="97">
        <v>0</v>
      </c>
      <c r="L88" s="97">
        <f>1-SUM(J88:K88)</f>
        <v>1</v>
      </c>
      <c r="Q88" s="7"/>
    </row>
    <row r="89" spans="1:17" ht="20.100000000000001" customHeight="1" x14ac:dyDescent="0.25">
      <c r="Q89" s="7"/>
    </row>
    <row r="90" spans="1:17" ht="20.100000000000001" customHeight="1" x14ac:dyDescent="0.25">
      <c r="Q90" s="7"/>
    </row>
    <row r="91" spans="1:17" ht="20.100000000000001" customHeight="1" x14ac:dyDescent="0.25">
      <c r="D91" s="1" t="s">
        <v>263</v>
      </c>
      <c r="E91" s="39" t="s">
        <v>136</v>
      </c>
      <c r="F91" s="2" t="s">
        <v>11</v>
      </c>
      <c r="Q91" s="7"/>
    </row>
    <row r="92" spans="1:17" ht="20.100000000000001" customHeight="1" x14ac:dyDescent="0.25">
      <c r="A92" s="150" t="str">
        <f>HYPERLINK("#A1", "▲ Back to top")</f>
        <v>▲ Back to top</v>
      </c>
      <c r="D92" s="1" t="s">
        <v>108</v>
      </c>
      <c r="E92" s="39" t="s">
        <v>113</v>
      </c>
      <c r="F92" s="2" t="s">
        <v>11</v>
      </c>
      <c r="Q92" s="7"/>
    </row>
    <row r="93" spans="1:17" ht="20.100000000000001" customHeight="1" x14ac:dyDescent="0.25">
      <c r="Q93" s="7"/>
    </row>
    <row r="94" spans="1:17" ht="20.100000000000001" customHeight="1" x14ac:dyDescent="0.25">
      <c r="Q94" s="7"/>
    </row>
    <row r="95" spans="1:17" ht="20.100000000000001" customHeight="1" x14ac:dyDescent="0.25">
      <c r="Q95" s="7"/>
    </row>
    <row r="96" spans="1: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205:G205">
    <cfRule type="cellIs" dxfId="31" priority="79" operator="lessThan">
      <formula>0</formula>
    </cfRule>
  </conditionalFormatting>
  <conditionalFormatting sqref="F40:F41">
    <cfRule type="cellIs" dxfId="30" priority="69" operator="lessThan">
      <formula>0</formula>
    </cfRule>
  </conditionalFormatting>
  <conditionalFormatting sqref="F44">
    <cfRule type="cellIs" dxfId="29" priority="68" operator="lessThan">
      <formula>0</formula>
    </cfRule>
  </conditionalFormatting>
  <conditionalFormatting sqref="F5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29:I34">
    <cfRule type="cellIs" dxfId="17" priority="55" operator="lessThan">
      <formula>0</formula>
    </cfRule>
  </conditionalFormatting>
  <conditionalFormatting sqref="I55:I59">
    <cfRule type="cellIs" dxfId="16" priority="6" operator="lessThan">
      <formula>0</formula>
    </cfRule>
  </conditionalFormatting>
  <conditionalFormatting sqref="I63:I66">
    <cfRule type="cellIs" dxfId="15" priority="5" operator="lessThan">
      <formula>0</formula>
    </cfRule>
  </conditionalFormatting>
  <conditionalFormatting sqref="I70:I73">
    <cfRule type="cellIs" dxfId="14" priority="4" operator="lessThan">
      <formula>0</formula>
    </cfRule>
  </conditionalFormatting>
  <conditionalFormatting sqref="I77:I80">
    <cfRule type="cellIs" dxfId="13" priority="3" operator="lessThan">
      <formula>0</formula>
    </cfRule>
  </conditionalFormatting>
  <conditionalFormatting sqref="I84:I88">
    <cfRule type="cellIs" dxfId="12" priority="1" operator="lessThan">
      <formula>0</formula>
    </cfRule>
  </conditionalFormatting>
  <conditionalFormatting sqref="J147">
    <cfRule type="cellIs" dxfId="11" priority="24" operator="lessThan">
      <formula>0</formula>
    </cfRule>
  </conditionalFormatting>
  <conditionalFormatting sqref="L113:L116">
    <cfRule type="cellIs" dxfId="10" priority="11" operator="lessThan">
      <formula>0</formula>
    </cfRule>
  </conditionalFormatting>
  <conditionalFormatting sqref="L119">
    <cfRule type="cellIs" dxfId="9" priority="17" operator="lessThan">
      <formula>0</formula>
    </cfRule>
  </conditionalFormatting>
  <conditionalFormatting sqref="L125:L128">
    <cfRule type="cellIs" dxfId="8" priority="10" operator="lessThan">
      <formula>0</formula>
    </cfRule>
  </conditionalFormatting>
  <conditionalFormatting sqref="L131">
    <cfRule type="cellIs" dxfId="7" priority="16" operator="lessThan">
      <formula>0</formula>
    </cfRule>
  </conditionalFormatting>
  <conditionalFormatting sqref="L137:L140">
    <cfRule type="cellIs" dxfId="6" priority="9" operator="lessThan">
      <formula>0</formula>
    </cfRule>
  </conditionalFormatting>
  <conditionalFormatting sqref="L143">
    <cfRule type="cellIs" dxfId="5" priority="15" operator="lessThan">
      <formula>0</formula>
    </cfRule>
  </conditionalFormatting>
  <conditionalFormatting sqref="L149:L152">
    <cfRule type="cellIs" dxfId="4" priority="8" operator="lessThan">
      <formula>0</formula>
    </cfRule>
  </conditionalFormatting>
  <conditionalFormatting sqref="L155">
    <cfRule type="cellIs" dxfId="3" priority="14" operator="lessThan">
      <formula>0</formula>
    </cfRule>
  </conditionalFormatting>
  <conditionalFormatting sqref="L159:L160">
    <cfRule type="cellIs" dxfId="2"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1" priority="102" operator="lessThan">
      <formula>0</formula>
    </cfRule>
  </conditionalFormatting>
  <conditionalFormatting sqref="N43:O43 I48:I51 M101 I119:J119 K180:L180 K184:L185 K188:L189 K194:L195 K198:L198 I199:L199 I205:L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45" zoomScale="85" zoomScaleNormal="85" workbookViewId="0">
      <selection activeCell="D45" sqref="D4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160</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A6" s="16"/>
      <c r="D6" s="5" t="str" cm="1">
        <f t="array" ref="D6">MMS_Swine_Methane_Equations.VEERG_4_5_1_1__4_FractionVolatileSolidsPrimarySystem_Source()</f>
        <v>VEERG 2026: 4.5.1.1, Equation (4)</v>
      </c>
    </row>
    <row r="7" spans="1:21" ht="20.100000000000001" customHeight="1" x14ac:dyDescent="0.25">
      <c r="A7" s="20" t="s">
        <v>3</v>
      </c>
      <c r="D7" s="13" t="s">
        <v>26</v>
      </c>
      <c r="E7" s="13" t="str" cm="1">
        <f t="array" aca="1" ref="E7" ca="1">Common_InputFunctions.Utility_DisplayFunctionName($E$37)</f>
        <v>=MMS_Swine_Methane_Equations.VEERG_4_5_1_1__4_FractionVolatileSolidsPrimarySystem</v>
      </c>
    </row>
    <row r="8" spans="1:21" ht="20.100000000000001" customHeight="1" x14ac:dyDescent="0.25">
      <c r="A8" s="17" t="str">
        <f>HYPERLINK("#'Input - Site'!A1", "Site")</f>
        <v>Site</v>
      </c>
      <c r="D8" s="55"/>
    </row>
    <row r="9" spans="1:21" ht="20.100000000000001" customHeight="1" x14ac:dyDescent="0.25">
      <c r="A9" s="17" t="str">
        <f>HYPERLINK("#'Input - Swine'!A1", "Swine")</f>
        <v>Swine</v>
      </c>
    </row>
    <row r="10" spans="1:21" ht="20.100000000000001" customHeight="1" x14ac:dyDescent="0.25">
      <c r="A10" s="17"/>
      <c r="D10" s="53" t="s">
        <v>29</v>
      </c>
      <c r="E10" s="1" t="str" cm="1">
        <f t="array" ref="E10">MMS_Swine_Methane_Equations.VEERG_4_5_1_1__4_FractionVolatileSolidsPrimarySystem_Variable()</f>
        <v>FVSjmT1</v>
      </c>
    </row>
    <row r="11" spans="1:21" ht="20.100000000000001" customHeight="1" x14ac:dyDescent="0.25">
      <c r="A11" s="19" t="s">
        <v>76</v>
      </c>
      <c r="D11" s="53" t="s">
        <v>19</v>
      </c>
      <c r="E11" s="54" t="str" cm="1">
        <f t="array" ref="E11">MMS_Swine_Methane_Equations.VEERG_4_5_1_1__4_FractionVolatileSolidsPrimarySystem_Unit()</f>
        <v>fraction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Common_InputFunctions.Utility_DisplayArguments_1_2(MMS_Swine_Methane_Equations.VEERG_4_5_1_1__4_FractionVolatileSolidsPrimarySystem_Arguments())</f>
        <v>MMSjmT1</v>
      </c>
      <c r="E13" s="58" t="str">
        <v>fraction of manure to each primary MMS for each class prior to solid separation</v>
      </c>
      <c r="F13" s="100"/>
      <c r="G13" s="57" t="str" cm="1">
        <f t="array" ref="G13:H14">Common_InputFunctions.Utility_DisplayArguments_3_4(MMS_Swine_Methane_Equations.VEERG_4_5_1_1__4_FractionVolatileSolidsPrimarySystem_Arguments())</f>
        <v>fraction</v>
      </c>
      <c r="H13" s="142" t="str">
        <v>Input</v>
      </c>
      <c r="I13" s="143" t="str" cm="1">
        <f t="array" aca="1" ref="I13" ca="1">HYPERLINK(Common_InputFunctions.Utility_SourceHyperlink($D$16), $D$16)</f>
        <v>Table_MMS_j_m_T-1</v>
      </c>
    </row>
    <row r="14" spans="1:21" ht="20.100000000000001" customHeight="1" x14ac:dyDescent="0.25">
      <c r="A14" s="17" t="str">
        <f>HYPERLINK("#'4.5.1.5-6 Atmos Dep'!A1", "4.5.1.5-6 Soil atm. deposition")</f>
        <v>4.5.1.5-6 Soil atm. deposition</v>
      </c>
      <c r="D14" s="57" t="str">
        <v>SSm</v>
      </c>
      <c r="E14" s="58" t="str">
        <v>fraction of volatile solids separated to solid storage for each MMS</v>
      </c>
      <c r="F14" s="100"/>
      <c r="G14" s="57" t="str">
        <v>fraction</v>
      </c>
      <c r="H14" s="142" t="str">
        <v>Input</v>
      </c>
      <c r="I14" s="143" t="str" cm="1">
        <f t="array" aca="1" ref="I14" ca="1">HYPERLINK(Common_InputFunctions.Utility_SourceHyperlink($D$25), $D$25)</f>
        <v>M1_Table_SS_m</v>
      </c>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21" t="s">
        <v>244</v>
      </c>
    </row>
    <row r="17" spans="1:19" ht="20.100000000000001" customHeight="1" x14ac:dyDescent="0.25">
      <c r="D17" s="122" t="s">
        <v>162</v>
      </c>
    </row>
    <row r="18" spans="1:19" ht="20.100000000000001" customHeight="1" x14ac:dyDescent="0.25">
      <c r="A18" s="18" t="s">
        <v>4</v>
      </c>
      <c r="D18" s="119" t="s">
        <v>163</v>
      </c>
      <c r="E18" s="119" t="s">
        <v>142</v>
      </c>
      <c r="F18" s="119" t="s">
        <v>143</v>
      </c>
      <c r="G18" s="119" t="s">
        <v>144</v>
      </c>
      <c r="H18" s="119" t="s">
        <v>206</v>
      </c>
    </row>
    <row r="19" spans="1:19" ht="20.100000000000001" customHeight="1" x14ac:dyDescent="0.25">
      <c r="A19" s="17" t="str">
        <f>HYPERLINK("#'Constants - Swine'!A1", "Constants - Swine")</f>
        <v>Constants - Swine</v>
      </c>
      <c r="D19" s="57" t="str">
        <f>'Input - Swine'!$D$29</f>
        <v>Anaerobic lagoon</v>
      </c>
      <c r="E19" s="52">
        <f>'Input - Swine'!E29</f>
        <v>0.15</v>
      </c>
      <c r="F19" s="52">
        <f>'Input - Swine'!F29</f>
        <v>0.15</v>
      </c>
      <c r="G19" s="52">
        <f>'Input - Swine'!G29</f>
        <v>0.15</v>
      </c>
      <c r="H19" s="52">
        <f>'Input - Swine'!H29</f>
        <v>0.15</v>
      </c>
      <c r="I19" s="2" t="str">
        <f>G13</f>
        <v>fraction</v>
      </c>
    </row>
    <row r="20" spans="1:19" ht="20.100000000000001" customHeight="1" x14ac:dyDescent="0.25">
      <c r="A20" s="17" t="str">
        <f>HYPERLINK("#'Constants - Livestock'!A1", "Constants - Livestock")</f>
        <v>Constants - Livestock</v>
      </c>
      <c r="D20" s="57" t="str">
        <f>'Input - Swine'!$D$30</f>
        <v>Drylot (feed pad)</v>
      </c>
      <c r="E20" s="52">
        <f>'Input - Swine'!E30</f>
        <v>0.15</v>
      </c>
      <c r="F20" s="52">
        <f>'Input - Swine'!F30</f>
        <v>0.15</v>
      </c>
      <c r="G20" s="52">
        <f>'Input - Swine'!G30</f>
        <v>0.15</v>
      </c>
      <c r="H20" s="52">
        <f>'Input - Swine'!H30</f>
        <v>0.15</v>
      </c>
      <c r="I20" s="2"/>
    </row>
    <row r="21" spans="1:19" ht="20.100000000000001" customHeight="1" x14ac:dyDescent="0.25">
      <c r="A21" s="17" t="str">
        <f>HYPERLINK("#'Constants - Common'!A1", "Constants - Common")</f>
        <v>Constants - Common</v>
      </c>
      <c r="D21" s="57" t="str">
        <f>'Input - Swine'!$D$31</f>
        <v>Digester / covered lagoons</v>
      </c>
      <c r="E21" s="52">
        <f>'Input - Swine'!E31</f>
        <v>0.15</v>
      </c>
      <c r="F21" s="52">
        <f>'Input - Swine'!F31</f>
        <v>0.15</v>
      </c>
      <c r="G21" s="52">
        <f>'Input - Swine'!G31</f>
        <v>0.15</v>
      </c>
      <c r="H21" s="52">
        <f>'Input - Swine'!H31</f>
        <v>0.15</v>
      </c>
      <c r="I21" s="2"/>
    </row>
    <row r="22" spans="1:19" ht="20.100000000000001" customHeight="1" x14ac:dyDescent="0.25">
      <c r="A22" s="17" t="str">
        <f>HYPERLINK("#'Acknowledgements'!A1", "Acknowledgements")</f>
        <v>Acknowledgements</v>
      </c>
      <c r="D22" s="57" t="str">
        <f>'Input - Swine'!$D$32</f>
        <v>Deep litter</v>
      </c>
      <c r="E22" s="52">
        <f>'Input - Swine'!E32</f>
        <v>0.15</v>
      </c>
      <c r="F22" s="52">
        <f>'Input - Swine'!F32</f>
        <v>0.15</v>
      </c>
      <c r="G22" s="52">
        <f>'Input - Swine'!G32</f>
        <v>0.15</v>
      </c>
      <c r="H22" s="52">
        <f>'Input - Swine'!H32</f>
        <v>0.15</v>
      </c>
      <c r="I22" s="2"/>
    </row>
    <row r="23" spans="1:19" ht="20.100000000000001" customHeight="1" x14ac:dyDescent="0.25">
      <c r="D23" s="57" t="str">
        <f>'Input - Swine'!$D$33</f>
        <v>Pit storage</v>
      </c>
      <c r="E23" s="52">
        <f>'Input - Swine'!E33</f>
        <v>0.15</v>
      </c>
      <c r="F23" s="52">
        <f>'Input - Swine'!F33</f>
        <v>0.15</v>
      </c>
      <c r="G23" s="52">
        <f>'Input - Swine'!G33</f>
        <v>0.15</v>
      </c>
      <c r="H23" s="52">
        <f>'Input - Swine'!H33</f>
        <v>0.15</v>
      </c>
      <c r="I23" s="2"/>
    </row>
    <row r="24" spans="1:19" ht="20.100000000000001" customHeight="1" x14ac:dyDescent="0.25">
      <c r="A24" s="17"/>
    </row>
    <row r="25" spans="1:19" ht="20.100000000000001" customHeight="1" x14ac:dyDescent="0.25">
      <c r="D25" s="121" t="s">
        <v>245</v>
      </c>
      <c r="N25" s="121" t="s">
        <v>207</v>
      </c>
    </row>
    <row r="26" spans="1:19" ht="20.100000000000001" customHeight="1" x14ac:dyDescent="0.25">
      <c r="D26" s="122" t="s">
        <v>194</v>
      </c>
      <c r="N26" s="122" t="s">
        <v>208</v>
      </c>
    </row>
    <row r="27" spans="1:19" ht="20.100000000000001" customHeight="1" x14ac:dyDescent="0.25">
      <c r="D27" s="119" t="s">
        <v>163</v>
      </c>
      <c r="E27" s="119" t="s">
        <v>142</v>
      </c>
      <c r="F27" s="119" t="s">
        <v>143</v>
      </c>
      <c r="G27" s="119" t="s">
        <v>144</v>
      </c>
      <c r="H27" s="119" t="s">
        <v>206</v>
      </c>
      <c r="N27" s="119" t="s">
        <v>163</v>
      </c>
      <c r="O27" s="119" t="s">
        <v>142</v>
      </c>
      <c r="P27" s="119" t="s">
        <v>143</v>
      </c>
      <c r="Q27" s="119" t="s">
        <v>144</v>
      </c>
      <c r="R27" s="119" t="s">
        <v>206</v>
      </c>
    </row>
    <row r="28" spans="1:19" ht="20.100000000000001" customHeight="1" x14ac:dyDescent="0.25">
      <c r="D28" s="57" t="str">
        <f>'Input - Swine'!$D$29</f>
        <v>Anaerobic lagoon</v>
      </c>
      <c r="E28" s="52">
        <f>'Input - Swine'!$F$39</f>
        <v>0.2</v>
      </c>
      <c r="F28" s="52">
        <f>'Input - Swine'!$F$39</f>
        <v>0.2</v>
      </c>
      <c r="G28" s="52">
        <f>'Input - Swine'!$F$39</f>
        <v>0.2</v>
      </c>
      <c r="H28" s="52">
        <f>'Input - Swine'!$F$39</f>
        <v>0.2</v>
      </c>
      <c r="I28" s="2" t="str">
        <f>G14</f>
        <v>fraction</v>
      </c>
      <c r="N28" s="57" t="str">
        <f>'Input - Swine'!$D$29</f>
        <v>Anaerobic lagoon</v>
      </c>
      <c r="O28" s="52">
        <f>'Input - Swine'!$G$39</f>
        <v>0.2</v>
      </c>
      <c r="P28" s="52">
        <f>'Input - Swine'!$G$39</f>
        <v>0.2</v>
      </c>
      <c r="Q28" s="52">
        <f>'Input - Swine'!$G$39</f>
        <v>0.2</v>
      </c>
      <c r="R28" s="52">
        <f>'Input - Swine'!$G$39</f>
        <v>0.2</v>
      </c>
      <c r="S28" s="2" t="str">
        <f>G14</f>
        <v>fraction</v>
      </c>
    </row>
    <row r="29" spans="1:19" ht="20.100000000000001" customHeight="1" x14ac:dyDescent="0.25">
      <c r="D29" s="57" t="str">
        <f>'Input - Swine'!$D$30</f>
        <v>Drylot (feed pad)</v>
      </c>
      <c r="E29" s="52">
        <f>'Input - Swine'!$F$40</f>
        <v>0.2</v>
      </c>
      <c r="F29" s="52">
        <f>'Input - Swine'!$F$40</f>
        <v>0.2</v>
      </c>
      <c r="G29" s="52">
        <f>'Input - Swine'!$F$40</f>
        <v>0.2</v>
      </c>
      <c r="H29" s="52">
        <f>'Input - Swine'!$F$40</f>
        <v>0.2</v>
      </c>
      <c r="I29" s="2"/>
      <c r="N29" s="57" t="str">
        <f>'Input - Swine'!$D$30</f>
        <v>Drylot (feed pad)</v>
      </c>
      <c r="O29" s="52">
        <f>'Input - Swine'!$G$40</f>
        <v>0.2</v>
      </c>
      <c r="P29" s="52">
        <f>'Input - Swine'!$G$40</f>
        <v>0.2</v>
      </c>
      <c r="Q29" s="52">
        <f>'Input - Swine'!$G$40</f>
        <v>0.2</v>
      </c>
      <c r="R29" s="52">
        <f>'Input - Swine'!$G$40</f>
        <v>0.2</v>
      </c>
      <c r="S29" s="2"/>
    </row>
    <row r="30" spans="1:19" ht="20.100000000000001" customHeight="1" x14ac:dyDescent="0.25">
      <c r="D30" s="57" t="str">
        <f>'Input - Swine'!$D$31</f>
        <v>Digester / covered lagoons</v>
      </c>
      <c r="E30" s="52">
        <f>'Input - Swine'!$F$41</f>
        <v>0.2</v>
      </c>
      <c r="F30" s="52">
        <f>'Input - Swine'!$F$41</f>
        <v>0.2</v>
      </c>
      <c r="G30" s="52">
        <f>'Input - Swine'!$F$41</f>
        <v>0.2</v>
      </c>
      <c r="H30" s="52">
        <f>'Input - Swine'!$F$41</f>
        <v>0.2</v>
      </c>
      <c r="I30" s="2"/>
      <c r="N30" s="57" t="str">
        <f>'Input - Swine'!$D$31</f>
        <v>Digester / covered lagoons</v>
      </c>
      <c r="O30" s="52">
        <f>'Input - Swine'!$G$41</f>
        <v>0.2</v>
      </c>
      <c r="P30" s="52">
        <f>'Input - Swine'!$G$41</f>
        <v>0.2</v>
      </c>
      <c r="Q30" s="52">
        <f>'Input - Swine'!$G$41</f>
        <v>0.2</v>
      </c>
      <c r="R30" s="52">
        <f>'Input - Swine'!$G$41</f>
        <v>0.2</v>
      </c>
      <c r="S30" s="2"/>
    </row>
    <row r="31" spans="1:19" ht="20.100000000000001" customHeight="1" x14ac:dyDescent="0.25">
      <c r="D31" s="57" t="str">
        <f>'Input - Swine'!$D$32</f>
        <v>Deep litter</v>
      </c>
      <c r="E31" s="52">
        <f>'Input - Swine'!$F$42</f>
        <v>0.2</v>
      </c>
      <c r="F31" s="52">
        <f>'Input - Swine'!$F$42</f>
        <v>0.2</v>
      </c>
      <c r="G31" s="52">
        <f>'Input - Swine'!$F$42</f>
        <v>0.2</v>
      </c>
      <c r="H31" s="52">
        <f>'Input - Swine'!$F$42</f>
        <v>0.2</v>
      </c>
      <c r="I31" s="2"/>
      <c r="N31" s="57" t="str">
        <f>'Input - Swine'!$D$32</f>
        <v>Deep litter</v>
      </c>
      <c r="O31" s="52">
        <f>'Input - Swine'!$G$42</f>
        <v>0.2</v>
      </c>
      <c r="P31" s="52">
        <f>'Input - Swine'!$G$42</f>
        <v>0.2</v>
      </c>
      <c r="Q31" s="52">
        <f>'Input - Swine'!$G$42</f>
        <v>0.2</v>
      </c>
      <c r="R31" s="52">
        <f>'Input - Swine'!$G$42</f>
        <v>0.2</v>
      </c>
      <c r="S31" s="2"/>
    </row>
    <row r="32" spans="1:19" ht="20.100000000000001" customHeight="1" x14ac:dyDescent="0.25">
      <c r="D32" s="57" t="str">
        <f>'Input - Swine'!$D$33</f>
        <v>Pit storage</v>
      </c>
      <c r="E32" s="52">
        <f>'Input - Swine'!$F$43</f>
        <v>0.2</v>
      </c>
      <c r="F32" s="52">
        <f>'Input - Swine'!$F$43</f>
        <v>0.2</v>
      </c>
      <c r="G32" s="52">
        <f>'Input - Swine'!$F$43</f>
        <v>0.2</v>
      </c>
      <c r="H32" s="52">
        <f>'Input - Swine'!$F$43</f>
        <v>0.2</v>
      </c>
      <c r="I32" s="2"/>
      <c r="N32" s="57" t="str">
        <f>'Input - Swine'!$D$33</f>
        <v>Pit storage</v>
      </c>
      <c r="O32" s="52">
        <f>'Input - Swine'!$G$43</f>
        <v>0.2</v>
      </c>
      <c r="P32" s="52">
        <f>'Input - Swine'!$G$43</f>
        <v>0.2</v>
      </c>
      <c r="Q32" s="52">
        <f>'Input - Swine'!$G$43</f>
        <v>0.2</v>
      </c>
      <c r="R32" s="52">
        <f>'Input - Swine'!$G$43</f>
        <v>0.2</v>
      </c>
      <c r="S32" s="2"/>
    </row>
    <row r="33" spans="3:21" ht="20.100000000000001" customHeight="1" x14ac:dyDescent="0.25"/>
    <row r="34" spans="3:21" ht="20.100000000000001" customHeight="1" x14ac:dyDescent="0.25">
      <c r="D34" s="121" t="s">
        <v>242</v>
      </c>
      <c r="N34" s="121" t="s">
        <v>243</v>
      </c>
    </row>
    <row r="35" spans="3:21" ht="20.100000000000001" customHeight="1" x14ac:dyDescent="0.25">
      <c r="D35" s="122" t="s">
        <v>195</v>
      </c>
      <c r="N35" s="122" t="s">
        <v>209</v>
      </c>
    </row>
    <row r="36" spans="3:21" ht="20.100000000000001" customHeight="1" x14ac:dyDescent="0.25">
      <c r="D36" s="51" t="s">
        <v>163</v>
      </c>
      <c r="E36" s="51" t="s">
        <v>142</v>
      </c>
      <c r="F36" s="51" t="s">
        <v>143</v>
      </c>
      <c r="G36" s="51" t="s">
        <v>144</v>
      </c>
      <c r="H36" s="51" t="s">
        <v>206</v>
      </c>
      <c r="N36" s="51" t="s">
        <v>163</v>
      </c>
      <c r="O36" s="51" t="s">
        <v>142</v>
      </c>
      <c r="P36" s="51" t="s">
        <v>143</v>
      </c>
      <c r="Q36" s="51" t="s">
        <v>144</v>
      </c>
      <c r="R36" s="51" t="s">
        <v>206</v>
      </c>
    </row>
    <row r="37" spans="3:21" ht="20.100000000000001" customHeight="1" x14ac:dyDescent="0.25">
      <c r="D37" s="57" t="str">
        <f>'Input - Swine'!$D$29</f>
        <v>Anaerobic lagoon</v>
      </c>
      <c r="E37" s="52" cm="1">
        <f t="array" ref="E37">MMS_Swine_Methane_Equations.VEERG_4_5_1_1__4_FractionVolatileSolidsPrimarySystem(E19,E28)</f>
        <v>0.12</v>
      </c>
      <c r="F37" s="52" cm="1">
        <f t="array" ref="F37">MMS_Swine_Methane_Equations.VEERG_4_5_1_1__4_FractionVolatileSolidsPrimarySystem(F19,F28)</f>
        <v>0.12</v>
      </c>
      <c r="G37" s="52" cm="1">
        <f t="array" ref="G37">MMS_Swine_Methane_Equations.VEERG_4_5_1_1__4_FractionVolatileSolidsPrimarySystem(G19,G28)</f>
        <v>0.12</v>
      </c>
      <c r="H37" s="52" cm="1">
        <f t="array" ref="H37">MMS_Swine_Methane_Equations.VEERG_4_5_1_1__4_FractionVolatileSolidsPrimarySystem(H19,H28)</f>
        <v>0.12</v>
      </c>
      <c r="I37" s="2" t="str">
        <f>$E$11</f>
        <v>fraction</v>
      </c>
      <c r="N37" s="57" t="str">
        <f>'Input - Swine'!$D$29</f>
        <v>Anaerobic lagoon</v>
      </c>
      <c r="O37" s="52" cm="1">
        <f t="array" ref="O37">MMS_Swine_Methane_Equations.VEERG_4_5_1_1__4_FractionVolatileSolidsPrimarySystem(E19,O28)</f>
        <v>0.12</v>
      </c>
      <c r="P37" s="52" cm="1">
        <f t="array" ref="P37">MMS_Swine_Methane_Equations.VEERG_4_5_1_1__4_FractionVolatileSolidsPrimarySystem(F19,P28)</f>
        <v>0.12</v>
      </c>
      <c r="Q37" s="52" cm="1">
        <f t="array" ref="Q37">MMS_Swine_Methane_Equations.VEERG_4_5_1_1__4_FractionVolatileSolidsPrimarySystem(G19,Q28)</f>
        <v>0.12</v>
      </c>
      <c r="R37" s="52" cm="1">
        <f t="array" ref="R37">MMS_Swine_Methane_Equations.VEERG_4_5_1_1__4_FractionVolatileSolidsPrimarySystem(H19,R28)</f>
        <v>0.12</v>
      </c>
      <c r="S37" s="2" t="str">
        <f>$E$11</f>
        <v>fraction</v>
      </c>
    </row>
    <row r="38" spans="3:21" ht="20.100000000000001" customHeight="1" x14ac:dyDescent="0.25">
      <c r="D38" s="57" t="str">
        <f>'Input - Swine'!$D$30</f>
        <v>Drylot (feed pad)</v>
      </c>
      <c r="E38" s="52" cm="1">
        <f t="array" ref="E38">MMS_Swine_Methane_Equations.VEERG_4_5_1_1__4_FractionVolatileSolidsPrimarySystem(E20,E29)</f>
        <v>0.12</v>
      </c>
      <c r="F38" s="52" cm="1">
        <f t="array" ref="F38">MMS_Swine_Methane_Equations.VEERG_4_5_1_1__4_FractionVolatileSolidsPrimarySystem(F20,F29)</f>
        <v>0.12</v>
      </c>
      <c r="G38" s="52" cm="1">
        <f t="array" ref="G38">MMS_Swine_Methane_Equations.VEERG_4_5_1_1__4_FractionVolatileSolidsPrimarySystem(G20,G29)</f>
        <v>0.12</v>
      </c>
      <c r="H38" s="52" cm="1">
        <f t="array" ref="H38">MMS_Swine_Methane_Equations.VEERG_4_5_1_1__4_FractionVolatileSolidsPrimarySystem(H20,H29)</f>
        <v>0.12</v>
      </c>
      <c r="I38" s="2"/>
      <c r="N38" s="57" t="str">
        <f>'Input - Swine'!$D$30</f>
        <v>Drylot (feed pad)</v>
      </c>
      <c r="O38" s="52" cm="1">
        <f t="array" ref="O38">MMS_Swine_Methane_Equations.VEERG_4_5_1_1__4_FractionVolatileSolidsPrimarySystem(E20,O29)</f>
        <v>0.12</v>
      </c>
      <c r="P38" s="52" cm="1">
        <f t="array" ref="P38">MMS_Swine_Methane_Equations.VEERG_4_5_1_1__4_FractionVolatileSolidsPrimarySystem(F20,P29)</f>
        <v>0.12</v>
      </c>
      <c r="Q38" s="52" cm="1">
        <f t="array" ref="Q38">MMS_Swine_Methane_Equations.VEERG_4_5_1_1__4_FractionVolatileSolidsPrimarySystem(G20,Q29)</f>
        <v>0.12</v>
      </c>
      <c r="R38" s="52" cm="1">
        <f t="array" ref="R38">MMS_Swine_Methane_Equations.VEERG_4_5_1_1__4_FractionVolatileSolidsPrimarySystem(H20,R29)</f>
        <v>0.12</v>
      </c>
      <c r="S38" s="2"/>
    </row>
    <row r="39" spans="3:21" ht="20.100000000000001" customHeight="1" x14ac:dyDescent="0.25">
      <c r="D39" s="57" t="str">
        <f>'Input - Swine'!$D$31</f>
        <v>Digester / covered lagoons</v>
      </c>
      <c r="E39" s="52" cm="1">
        <f t="array" ref="E39">MMS_Swine_Methane_Equations.VEERG_4_5_1_1__4_FractionVolatileSolidsPrimarySystem(E21,E30)</f>
        <v>0.12</v>
      </c>
      <c r="F39" s="52" cm="1">
        <f t="array" ref="F39">MMS_Swine_Methane_Equations.VEERG_4_5_1_1__4_FractionVolatileSolidsPrimarySystem(F21,F30)</f>
        <v>0.12</v>
      </c>
      <c r="G39" s="52" cm="1">
        <f t="array" ref="G39">MMS_Swine_Methane_Equations.VEERG_4_5_1_1__4_FractionVolatileSolidsPrimarySystem(G21,G30)</f>
        <v>0.12</v>
      </c>
      <c r="H39" s="52" cm="1">
        <f t="array" ref="H39">MMS_Swine_Methane_Equations.VEERG_4_5_1_1__4_FractionVolatileSolidsPrimarySystem(H21,H30)</f>
        <v>0.12</v>
      </c>
      <c r="I39" s="2"/>
      <c r="N39" s="57" t="str">
        <f>'Input - Swine'!$D$31</f>
        <v>Digester / covered lagoons</v>
      </c>
      <c r="O39" s="52" cm="1">
        <f t="array" ref="O39">MMS_Swine_Methane_Equations.VEERG_4_5_1_1__4_FractionVolatileSolidsPrimarySystem(E21,O30)</f>
        <v>0.12</v>
      </c>
      <c r="P39" s="52" cm="1">
        <f t="array" ref="P39">MMS_Swine_Methane_Equations.VEERG_4_5_1_1__4_FractionVolatileSolidsPrimarySystem(F21,P30)</f>
        <v>0.12</v>
      </c>
      <c r="Q39" s="52" cm="1">
        <f t="array" ref="Q39">MMS_Swine_Methane_Equations.VEERG_4_5_1_1__4_FractionVolatileSolidsPrimarySystem(G21,Q30)</f>
        <v>0.12</v>
      </c>
      <c r="R39" s="52" cm="1">
        <f t="array" ref="R39">MMS_Swine_Methane_Equations.VEERG_4_5_1_1__4_FractionVolatileSolidsPrimarySystem(H21,R30)</f>
        <v>0.12</v>
      </c>
      <c r="S39" s="2"/>
    </row>
    <row r="40" spans="3:21" ht="20.100000000000001" customHeight="1" x14ac:dyDescent="0.25">
      <c r="D40" s="57" t="str">
        <f>'Input - Swine'!$D$32</f>
        <v>Deep litter</v>
      </c>
      <c r="E40" s="52" cm="1">
        <f t="array" ref="E40">MMS_Swine_Methane_Equations.VEERG_4_5_1_1__4_FractionVolatileSolidsPrimarySystem(E22,E31)</f>
        <v>0.12</v>
      </c>
      <c r="F40" s="52" cm="1">
        <f t="array" ref="F40">MMS_Swine_Methane_Equations.VEERG_4_5_1_1__4_FractionVolatileSolidsPrimarySystem(F22,F31)</f>
        <v>0.12</v>
      </c>
      <c r="G40" s="52" cm="1">
        <f t="array" ref="G40">MMS_Swine_Methane_Equations.VEERG_4_5_1_1__4_FractionVolatileSolidsPrimarySystem(G22,G31)</f>
        <v>0.12</v>
      </c>
      <c r="H40" s="52" cm="1">
        <f t="array" ref="H40">MMS_Swine_Methane_Equations.VEERG_4_5_1_1__4_FractionVolatileSolidsPrimarySystem(H22,H31)</f>
        <v>0.12</v>
      </c>
      <c r="I40" s="2"/>
      <c r="N40" s="57" t="str">
        <f>'Input - Swine'!$D$32</f>
        <v>Deep litter</v>
      </c>
      <c r="O40" s="52" cm="1">
        <f t="array" ref="O40">MMS_Swine_Methane_Equations.VEERG_4_5_1_1__4_FractionVolatileSolidsPrimarySystem(E22,O31)</f>
        <v>0.12</v>
      </c>
      <c r="P40" s="52" cm="1">
        <f t="array" ref="P40">MMS_Swine_Methane_Equations.VEERG_4_5_1_1__4_FractionVolatileSolidsPrimarySystem(F22,P31)</f>
        <v>0.12</v>
      </c>
      <c r="Q40" s="52" cm="1">
        <f t="array" ref="Q40">MMS_Swine_Methane_Equations.VEERG_4_5_1_1__4_FractionVolatileSolidsPrimarySystem(G22,Q31)</f>
        <v>0.12</v>
      </c>
      <c r="R40" s="52" cm="1">
        <f t="array" ref="R40">MMS_Swine_Methane_Equations.VEERG_4_5_1_1__4_FractionVolatileSolidsPrimarySystem(H22,R31)</f>
        <v>0.12</v>
      </c>
      <c r="S40" s="2"/>
    </row>
    <row r="41" spans="3:21" ht="20.100000000000001" customHeight="1" x14ac:dyDescent="0.25">
      <c r="D41" s="57" t="str">
        <f>'Input - Swine'!$D$33</f>
        <v>Pit storage</v>
      </c>
      <c r="E41" s="52" cm="1">
        <f t="array" ref="E41">MMS_Swine_Methane_Equations.VEERG_4_5_1_1__4_FractionVolatileSolidsPrimarySystem(E23,E32)</f>
        <v>0.12</v>
      </c>
      <c r="F41" s="52" cm="1">
        <f t="array" ref="F41">MMS_Swine_Methane_Equations.VEERG_4_5_1_1__4_FractionVolatileSolidsPrimarySystem(F23,F32)</f>
        <v>0.12</v>
      </c>
      <c r="G41" s="52" cm="1">
        <f t="array" ref="G41">MMS_Swine_Methane_Equations.VEERG_4_5_1_1__4_FractionVolatileSolidsPrimarySystem(G23,G32)</f>
        <v>0.12</v>
      </c>
      <c r="H41" s="52" cm="1">
        <f t="array" ref="H41">MMS_Swine_Methane_Equations.VEERG_4_5_1_1__4_FractionVolatileSolidsPrimarySystem(H23,H32)</f>
        <v>0.12</v>
      </c>
      <c r="I41" s="2"/>
      <c r="N41" s="57" t="str">
        <f>'Input - Swine'!$D$33</f>
        <v>Pit storage</v>
      </c>
      <c r="O41" s="52" cm="1">
        <f t="array" ref="O41">MMS_Swine_Methane_Equations.VEERG_4_5_1_1__4_FractionVolatileSolidsPrimarySystem(E23,O32)</f>
        <v>0.12</v>
      </c>
      <c r="P41" s="52" cm="1">
        <f t="array" ref="P41">MMS_Swine_Methane_Equations.VEERG_4_5_1_1__4_FractionVolatileSolidsPrimarySystem(F23,P32)</f>
        <v>0.12</v>
      </c>
      <c r="Q41" s="52" cm="1">
        <f t="array" ref="Q41">MMS_Swine_Methane_Equations.VEERG_4_5_1_1__4_FractionVolatileSolidsPrimarySystem(G23,Q32)</f>
        <v>0.12</v>
      </c>
      <c r="R41" s="52" cm="1">
        <f t="array" ref="R4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5"/>
      <c r="D44" s="45"/>
      <c r="E44" s="45"/>
      <c r="F44" s="45"/>
      <c r="G44" s="45"/>
      <c r="H44" s="45"/>
      <c r="I44" s="45"/>
      <c r="J44" s="45"/>
      <c r="K44" s="45"/>
      <c r="M44" s="45"/>
      <c r="N44" s="45"/>
      <c r="O44" s="45"/>
      <c r="P44" s="45"/>
      <c r="Q44" s="45"/>
      <c r="R44" s="45"/>
      <c r="S44" s="45"/>
      <c r="T44" s="45"/>
      <c r="U44" s="45"/>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26</v>
      </c>
      <c r="E47" s="13" t="str" cm="1">
        <f t="array" aca="1" ref="E47" ca="1">Common_InputFunctions.Utility_DisplayFunctionName($E$68)</f>
        <v>=MMS_Swine_Methane_Equations.VEERG_4_5_1_1__5_FractionVolatileSolidsSolidStorageVariation</v>
      </c>
    </row>
    <row r="48" spans="3:21" ht="20.100000000000001" customHeight="1" x14ac:dyDescent="0.25">
      <c r="D48" s="55"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5"/>
    </row>
    <row r="52" spans="4:9" ht="20.100000000000001" customHeight="1" x14ac:dyDescent="0.25"/>
    <row r="53" spans="4:9" ht="20.100000000000001" customHeight="1" x14ac:dyDescent="0.25">
      <c r="D53" s="53" t="s">
        <v>29</v>
      </c>
      <c r="E53" s="1" t="str" cm="1">
        <f t="array" ref="E53">MMS_Swine_Methane_Equations.VEERG_4_5_1_1__5_FractionVolatileSolidsSolidStorage_Variable()</f>
        <v>FVSjm4T1</v>
      </c>
    </row>
    <row r="54" spans="4:9" ht="20.100000000000001" customHeight="1" x14ac:dyDescent="0.25">
      <c r="D54" s="53" t="s">
        <v>19</v>
      </c>
      <c r="E54" s="54" t="str" cm="1">
        <f t="array" ref="E54">MMS_Swine_Methane_Equations.VEERG_4_5_1_1__5_FractionVolatileSolidsSolidStorage_Unit()</f>
        <v>fraction</v>
      </c>
    </row>
    <row r="55" spans="4:9" ht="20.100000000000001" customHeight="1" x14ac:dyDescent="0.25"/>
    <row r="56" spans="4:9" ht="20.100000000000001" customHeight="1" x14ac:dyDescent="0.25">
      <c r="D56" s="108" t="str" cm="1">
        <f t="array" ref="D56:E58">Common_InputFunctions.Utility_DisplayArguments_1_2(MMS_Swine_Methane_Equations.VEERG_4_5_1_1__5_FractionVolatileSolidsSolidStorage_Arguments())</f>
        <v>MMSjm4T1</v>
      </c>
      <c r="E56" s="110" t="str">
        <v>fraction of manure in solid storage primary system</v>
      </c>
      <c r="F56" s="109"/>
      <c r="G56" s="108" t="str" cm="1">
        <f t="array" ref="G56:H58">Common_InputFunctions.Utility_DisplayArguments_3_4(MMS_Swine_Methane_Equations.VEERG_4_5_1_1__5_FractionVolatileSolidsSolidStorage_Arguments())</f>
        <v>fraction</v>
      </c>
      <c r="H56" s="140" t="str">
        <v>Input</v>
      </c>
      <c r="I56" s="143" t="str" cm="1">
        <f t="array" aca="1" ref="I56" ca="1">HYPERLINK(Common_InputFunctions.Utility_SourceHyperlink($D$60), $D$60)</f>
        <v>Table_MMS_j_m-4_T-1</v>
      </c>
    </row>
    <row r="57" spans="4:9" ht="20.100000000000001" customHeight="1" x14ac:dyDescent="0.25">
      <c r="D57" s="108" t="str">
        <v>MMSjm179T1</v>
      </c>
      <c r="E57" s="110" t="str">
        <v>fraction of manure in MMS 1, 7, and 9 in treatment stage 1</v>
      </c>
      <c r="F57" s="109"/>
      <c r="G57" s="108" t="str">
        <v>fraction</v>
      </c>
      <c r="H57" s="140" t="str">
        <v>Input</v>
      </c>
      <c r="I57" s="143" t="str" cm="1">
        <f t="array" aca="1" ref="I57" ca="1">HYPERLINK(Common_InputFunctions.Utility_SourceHyperlink($D$16), $D$16)</f>
        <v>Table_MMS_j_m_T-1</v>
      </c>
    </row>
    <row r="58" spans="4:9" ht="20.100000000000001" customHeight="1" x14ac:dyDescent="0.25">
      <c r="D58" s="108" t="str">
        <v>SSm</v>
      </c>
      <c r="E58" s="110" t="str">
        <v>fraction of volatile solids separated to solid storage for each MMS</v>
      </c>
      <c r="F58" s="109"/>
      <c r="G58" s="108" t="str">
        <v>fraction</v>
      </c>
      <c r="H58" s="140" t="str">
        <v>Input</v>
      </c>
      <c r="I58" s="143" t="str" cm="1">
        <f t="array" aca="1" ref="I58" ca="1">HYPERLINK(Common_InputFunctions.Utility_SourceHyperlink($D$25), $D$25)</f>
        <v>M1_Table_SS_m</v>
      </c>
    </row>
    <row r="59" spans="4:9" ht="20.100000000000001" customHeight="1" x14ac:dyDescent="0.25"/>
    <row r="60" spans="4:9" ht="20.100000000000001" customHeight="1" x14ac:dyDescent="0.25">
      <c r="D60" s="121" t="s">
        <v>164</v>
      </c>
    </row>
    <row r="61" spans="4:9" ht="20.100000000000001" customHeight="1" x14ac:dyDescent="0.25">
      <c r="D61" s="122" t="s">
        <v>165</v>
      </c>
    </row>
    <row r="62" spans="4:9" ht="20.100000000000001" customHeight="1" x14ac:dyDescent="0.25">
      <c r="D62" s="119" t="s">
        <v>163</v>
      </c>
      <c r="E62" s="119" t="s">
        <v>142</v>
      </c>
      <c r="F62" s="119" t="s">
        <v>143</v>
      </c>
      <c r="G62" s="119" t="s">
        <v>144</v>
      </c>
      <c r="H62" s="119" t="s">
        <v>206</v>
      </c>
    </row>
    <row r="63" spans="4:9" ht="20.100000000000001" customHeight="1" x14ac:dyDescent="0.25">
      <c r="D63" s="57" t="str">
        <f>'Input - Swine'!$D$34</f>
        <v>Solid storage</v>
      </c>
      <c r="E63" s="52">
        <f>'Input - Swine'!E34</f>
        <v>0.25</v>
      </c>
      <c r="F63" s="52">
        <f>'Input - Swine'!F34</f>
        <v>0.25</v>
      </c>
      <c r="G63" s="52">
        <f>'Input - Swine'!G34</f>
        <v>0.25</v>
      </c>
      <c r="H63" s="52">
        <f>'Input - Swine'!H34</f>
        <v>0.25</v>
      </c>
      <c r="I63" s="2" t="str">
        <f>$G$56</f>
        <v>fraction</v>
      </c>
    </row>
    <row r="64" spans="4:9" ht="20.100000000000001" customHeight="1" x14ac:dyDescent="0.25"/>
    <row r="65" spans="1:21" ht="20.100000000000001" customHeight="1" x14ac:dyDescent="0.25">
      <c r="D65" s="121" t="s">
        <v>196</v>
      </c>
      <c r="N65" s="121" t="s">
        <v>210</v>
      </c>
    </row>
    <row r="66" spans="1:21" ht="20.100000000000001" customHeight="1" x14ac:dyDescent="0.25">
      <c r="D66" s="122" t="s">
        <v>197</v>
      </c>
      <c r="N66" s="122" t="s">
        <v>211</v>
      </c>
    </row>
    <row r="67" spans="1:21" ht="20.100000000000001" customHeight="1" x14ac:dyDescent="0.25">
      <c r="D67" s="51" t="s">
        <v>163</v>
      </c>
      <c r="E67" s="51" t="s">
        <v>142</v>
      </c>
      <c r="F67" s="51" t="s">
        <v>143</v>
      </c>
      <c r="G67" s="51" t="s">
        <v>144</v>
      </c>
      <c r="H67" s="51" t="s">
        <v>206</v>
      </c>
      <c r="N67" s="51" t="s">
        <v>163</v>
      </c>
      <c r="O67" s="51" t="s">
        <v>142</v>
      </c>
      <c r="P67" s="51" t="s">
        <v>143</v>
      </c>
      <c r="Q67" s="51" t="s">
        <v>144</v>
      </c>
      <c r="R67" s="51" t="s">
        <v>206</v>
      </c>
    </row>
    <row r="68" spans="1:21" ht="20.100000000000001" customHeight="1" x14ac:dyDescent="0.25">
      <c r="D68" s="57" t="str">
        <f>'Input - Swine'!$D$34</f>
        <v>Solid storage</v>
      </c>
      <c r="E68" s="52" cm="1">
        <f t="array" ref="E68">MMS_Swine_Methane_Equations.VEERG_4_5_1_1__5_FractionVolatileSolidsSolidStorageVariation(E63,E19,E20,E21,E22,E23,E28,E29,E30,E31,E32)</f>
        <v>0.40000000000000013</v>
      </c>
      <c r="F68" s="52" cm="1">
        <f t="array" ref="F68">MMS_Swine_Methane_Equations.VEERG_4_5_1_1__5_FractionVolatileSolidsSolidStorageVariation(F63,F19,F20,F21,F22,F23,F28,F29,F30,F31,F32)</f>
        <v>0.40000000000000013</v>
      </c>
      <c r="G68" s="52" cm="1">
        <f t="array" ref="G68">MMS_Swine_Methane_Equations.VEERG_4_5_1_1__5_FractionVolatileSolidsSolidStorageVariation(G63,G19,G20,G21,G22,G23,G28,G29,G30,G31,G32)</f>
        <v>0.40000000000000013</v>
      </c>
      <c r="H68" s="52" cm="1">
        <f t="array" ref="H68">MMS_Swine_Methane_Equations.VEERG_4_5_1_1__5_FractionVolatileSolidsSolidStorageVariation(H63,H19,H20,H21,H22,H23,H28,H29,H30,H31,H32)</f>
        <v>0.40000000000000013</v>
      </c>
      <c r="I68" s="2" t="str">
        <f>$E$54</f>
        <v>fraction</v>
      </c>
      <c r="N68" s="57" t="str">
        <f>'Input - Swine'!$D$34</f>
        <v>Solid storage</v>
      </c>
      <c r="O68" s="52" cm="1">
        <f t="array" ref="O68">MMS_Swine_Methane_Equations.VEERG_4_5_1_1__5_FractionVolatileSolidsSolidStorageVariation(E63,E19,E20,E21,E22,E23,O28,O29,O30,O31,O32)</f>
        <v>0.40000000000000013</v>
      </c>
      <c r="P68" s="52" cm="1">
        <f t="array" ref="P68">MMS_Swine_Methane_Equations.VEERG_4_5_1_1__5_FractionVolatileSolidsSolidStorageVariation(F63,F19,F20,F21,F22,F23,P28,P29,P30,P31,P32)</f>
        <v>0.40000000000000013</v>
      </c>
      <c r="Q68" s="52" cm="1">
        <f t="array" ref="Q68">MMS_Swine_Methane_Equations.VEERG_4_5_1_1__5_FractionVolatileSolidsSolidStorageVariation(G63,G19,G20,G21,G22,G23,Q28,Q29,Q30,Q31,Q32)</f>
        <v>0.40000000000000013</v>
      </c>
      <c r="R68" s="52" cm="1">
        <f t="array" ref="R68">MMS_Swine_Methane_Equations.VEERG_4_5_1_1__5_FractionVolatileSolidsSolidStorageVariation(H63,H19,H20,H21,H22,H23,R28,R29,R30,R31,R32)</f>
        <v>0.40000000000000013</v>
      </c>
      <c r="S68" s="2" t="str">
        <f>$E$54</f>
        <v>fraction</v>
      </c>
    </row>
    <row r="69" spans="1:21" ht="20.100000000000001" customHeight="1" x14ac:dyDescent="0.25"/>
    <row r="70" spans="1:21" ht="20.100000000000001" customHeight="1" x14ac:dyDescent="0.25">
      <c r="A70" s="150" t="str">
        <f>HYPERLINK("#A1", "▲ Back to top")</f>
        <v>▲ Back to top</v>
      </c>
    </row>
    <row r="71" spans="1:21" ht="20.100000000000001" customHeight="1" x14ac:dyDescent="0.25">
      <c r="C71" s="45"/>
      <c r="D71" s="45"/>
      <c r="E71" s="45"/>
      <c r="F71" s="45"/>
      <c r="G71" s="45"/>
      <c r="H71" s="45"/>
      <c r="I71" s="45"/>
      <c r="J71" s="45"/>
      <c r="K71" s="45"/>
      <c r="M71" s="45"/>
      <c r="N71" s="45"/>
      <c r="O71" s="45"/>
      <c r="P71" s="45"/>
      <c r="Q71" s="45"/>
      <c r="R71" s="45"/>
      <c r="S71" s="45"/>
      <c r="T71" s="45"/>
      <c r="U71" s="45"/>
    </row>
    <row r="72" spans="1:21" ht="20.100000000000001" customHeight="1" x14ac:dyDescent="0.25">
      <c r="D72" s="6" t="str" cm="1">
        <f t="array" ref="D72">MMS_Swine_Methane_Equations.VEERG_4_5_1_1__7_VolatileSolidsTransferredStage2_Title()</f>
        <v>Volatile solids transferred to treatment stage 2 MMS</v>
      </c>
    </row>
    <row r="73" spans="1:21" ht="20.100000000000001" customHeight="1" x14ac:dyDescent="0.25">
      <c r="D73" s="5" t="str" cm="1">
        <f t="array" ref="D73">MMS_Swine_Methane_Equations.VEERG_4_5_1_1__7_VolatileSolidsTransferredStage2_Source()</f>
        <v>VEERG 2026: 4.5.1.1, Equation (7)</v>
      </c>
    </row>
    <row r="74" spans="1:21" ht="20.100000000000001" customHeight="1" x14ac:dyDescent="0.25">
      <c r="D74" s="13" t="s">
        <v>26</v>
      </c>
      <c r="E74" s="13" t="str" cm="1">
        <f t="array" aca="1" ref="E74" ca="1">Common_InputFunctions.Utility_DisplayFunctionName(E103)</f>
        <v>=MMS_Swine_Methane_Equations.VEERG_4_5_1_1__7_VolatileSolidsTransferredStage2</v>
      </c>
    </row>
    <row r="75" spans="1:21" ht="20.100000000000001" customHeight="1" x14ac:dyDescent="0.25"/>
    <row r="76" spans="1:21" ht="20.100000000000001" customHeight="1" x14ac:dyDescent="0.25"/>
    <row r="77" spans="1:21" ht="20.100000000000001" customHeight="1" x14ac:dyDescent="0.25"/>
    <row r="78" spans="1:21" ht="20.100000000000001" customHeight="1" x14ac:dyDescent="0.25">
      <c r="D78" s="53" t="s">
        <v>29</v>
      </c>
      <c r="E78" s="1" t="str" cm="1">
        <f t="array" ref="E78">MMS_Swine_Methane_Equations.VEERG_4_5_1_1__7_VolatileSolidsTransferredStage2_Variable()</f>
        <v>VSTijmT2</v>
      </c>
    </row>
    <row r="79" spans="1:21" ht="20.100000000000001" customHeight="1" x14ac:dyDescent="0.25">
      <c r="D79" s="53" t="s">
        <v>19</v>
      </c>
      <c r="E79" s="54" t="str" cm="1">
        <f t="array" ref="E79">MMS_Swine_Methane_Equations.VEERG_4_5_1_1__7_VolatileSolidsTransferredStage2_Unit()</f>
        <v>kg VS</v>
      </c>
    </row>
    <row r="80" spans="1:21" ht="20.100000000000001" customHeight="1" x14ac:dyDescent="0.25"/>
    <row r="81" spans="4:18" ht="20.100000000000001" customHeight="1" x14ac:dyDescent="0.25">
      <c r="D81" s="57" t="str" cm="1">
        <f t="array" ref="D81:E83">Common_InputFunctions.Utility_DisplayArguments_1_2(MMS_Swine_Methane_Equations.VEERG_4_5_1_1__7_VolatileSolidsTransferredStage2_Arguments())</f>
        <v>VSj</v>
      </c>
      <c r="E81" s="58" t="str">
        <v>volatile solid production from swine in each class</v>
      </c>
      <c r="F81" s="59"/>
      <c r="G81" s="57" t="str" cm="1">
        <f t="array" ref="G81:H83">Common_InputFunctions.Utility_DisplayArguments_3_4(MMS_Swine_Methane_Equations.VEERG_4_5_1_1__7_VolatileSolidsTransferredStage2_Arguments())</f>
        <v>kg/head/day</v>
      </c>
      <c r="H81" s="140" t="str">
        <v>Input</v>
      </c>
      <c r="I81" s="143" t="str" cm="1">
        <f t="array" aca="1" ref="I81" ca="1">HYPERLINK(Common_InputFunctions.Utility_SourceHyperlink(D85), D85)</f>
        <v>M1_Table_VS_j</v>
      </c>
      <c r="J81" s="143"/>
    </row>
    <row r="82" spans="4:18" ht="20.100000000000001" customHeight="1" x14ac:dyDescent="0.25">
      <c r="D82" s="57" t="str">
        <v>FVSjmT1</v>
      </c>
      <c r="E82" s="58" t="str">
        <v>fraction of volatile solids in each primary system</v>
      </c>
      <c r="F82" s="59"/>
      <c r="G82" s="57" t="str">
        <v>fraction</v>
      </c>
      <c r="H82" s="139" t="str">
        <v>Calculated from 4.5.1.1 (4)(5)</v>
      </c>
      <c r="I82" s="143" t="str" cm="1">
        <f t="array" aca="1" ref="I82" ca="1">HYPERLINK(Common_InputFunctions.Utility_SourceHyperlink($D$34), $D$34)</f>
        <v>M1_Table_FVS_j_m_T-1</v>
      </c>
      <c r="J82" s="143" t="str" cm="1">
        <f t="array" aca="1" ref="J82" ca="1">HYPERLINK(Common_InputFunctions.Utility_SourceHyperlink($D$65), $D$65)</f>
        <v>M1_Table_FVS_j_m-4_T-1</v>
      </c>
    </row>
    <row r="83" spans="4:18" ht="20.100000000000001" customHeight="1" x14ac:dyDescent="0.25">
      <c r="D83" s="57" t="str">
        <v>VSLmT1</v>
      </c>
      <c r="E83" s="58" t="str">
        <v>fraction of volatile solids lost during storage in the primary system</v>
      </c>
      <c r="F83" s="59"/>
      <c r="G83" s="57" t="str">
        <v>fraction</v>
      </c>
      <c r="H83" s="139" t="str">
        <v>Lookup</v>
      </c>
      <c r="I83" s="143" t="str" cm="1">
        <f t="array" aca="1" ref="I83" ca="1">HYPERLINK(Common_InputFunctions.Utility_SourceHyperlink($D$90), $D$90)</f>
        <v>Table_VSL_m_T-1</v>
      </c>
      <c r="J83" s="143"/>
    </row>
    <row r="84" spans="4:18" ht="20.100000000000001" customHeight="1" x14ac:dyDescent="0.25"/>
    <row r="85" spans="4:18" ht="20.100000000000001" customHeight="1" x14ac:dyDescent="0.25">
      <c r="D85" s="121" t="s">
        <v>212</v>
      </c>
      <c r="N85" s="121" t="s">
        <v>214</v>
      </c>
    </row>
    <row r="86" spans="4:18" ht="20.100000000000001" customHeight="1" x14ac:dyDescent="0.25">
      <c r="D86" s="122" t="s">
        <v>213</v>
      </c>
      <c r="N86" s="122" t="s">
        <v>215</v>
      </c>
    </row>
    <row r="87" spans="4:18" ht="20.100000000000001" customHeight="1" x14ac:dyDescent="0.25">
      <c r="D87" s="119" t="s">
        <v>142</v>
      </c>
      <c r="E87" s="119" t="s">
        <v>143</v>
      </c>
      <c r="F87" s="119" t="s">
        <v>144</v>
      </c>
      <c r="G87" s="119" t="s">
        <v>206</v>
      </c>
      <c r="I87" s="2"/>
      <c r="J87" s="2"/>
      <c r="N87" s="119" t="s">
        <v>142</v>
      </c>
      <c r="O87" s="119" t="s">
        <v>143</v>
      </c>
      <c r="P87" s="119" t="s">
        <v>144</v>
      </c>
      <c r="Q87" s="119" t="s">
        <v>206</v>
      </c>
    </row>
    <row r="88" spans="4:18" ht="20.100000000000001" customHeight="1" x14ac:dyDescent="0.25">
      <c r="D88" s="52">
        <f>'Input - Swine'!E16</f>
        <v>0.4</v>
      </c>
      <c r="E88" s="52">
        <f>'Input - Swine'!F16</f>
        <v>0.46</v>
      </c>
      <c r="F88" s="52">
        <f>'Input - Swine'!G16</f>
        <v>0.55000000000000004</v>
      </c>
      <c r="G88" s="52">
        <f>'Input - Swine'!H16</f>
        <v>0.39</v>
      </c>
      <c r="H88" s="2" t="str">
        <f>$G$81</f>
        <v>kg/head/day</v>
      </c>
      <c r="N88" s="52">
        <f>'Input - Swine'!E20</f>
        <v>0.4</v>
      </c>
      <c r="O88" s="52">
        <f>'Input - Swine'!F20</f>
        <v>0.46</v>
      </c>
      <c r="P88" s="52">
        <f>'Input - Swine'!G20</f>
        <v>0.55000000000000004</v>
      </c>
      <c r="Q88" s="52">
        <f>'Input - Swine'!H20</f>
        <v>0.39</v>
      </c>
      <c r="R88" s="2" t="str">
        <f>$G$81</f>
        <v>kg/head/day</v>
      </c>
    </row>
    <row r="89" spans="4:18" ht="20.100000000000001" customHeight="1" x14ac:dyDescent="0.25"/>
    <row r="90" spans="4:18" ht="20.100000000000001" customHeight="1" x14ac:dyDescent="0.25">
      <c r="D90" s="121" t="s">
        <v>166</v>
      </c>
    </row>
    <row r="91" spans="4:18" ht="20.100000000000001" customHeight="1" x14ac:dyDescent="0.25">
      <c r="D91" s="122" t="s">
        <v>157</v>
      </c>
    </row>
    <row r="92" spans="4:18" ht="20.100000000000001" customHeight="1" x14ac:dyDescent="0.25">
      <c r="D92" s="51" t="s">
        <v>163</v>
      </c>
      <c r="E92" s="51" t="s">
        <v>167</v>
      </c>
    </row>
    <row r="93" spans="4:18" ht="20.100000000000001" customHeight="1" x14ac:dyDescent="0.25">
      <c r="D93" s="57" t="str">
        <f>'Input - Swine'!$D$29</f>
        <v>Anaerobic lagoon</v>
      </c>
      <c r="E93" s="52" cm="1">
        <f t="array" ref="E93">Common_InputFunctions.Utility_LookupValueInTableNumber(D93,Table_SourceData_SwineVSL[MMS],Table_SourceData_SwineVSL[VSL])</f>
        <v>0</v>
      </c>
      <c r="F93" s="2" t="str">
        <f>G83</f>
        <v>fraction</v>
      </c>
    </row>
    <row r="94" spans="4:18" ht="20.100000000000001" customHeight="1" x14ac:dyDescent="0.25">
      <c r="D94" s="57" t="str">
        <f>'Input - Swine'!$D$30</f>
        <v>Drylot (feed pad)</v>
      </c>
      <c r="E94" s="52" cm="1">
        <f t="array" ref="E94">Common_InputFunctions.Utility_LookupValueInTableNumber(D94,Table_SourceData_SwineVSL[MMS],Table_SourceData_SwineVSL[VSL])</f>
        <v>0</v>
      </c>
      <c r="F94" s="2"/>
    </row>
    <row r="95" spans="4:18" ht="20.100000000000001" customHeight="1" x14ac:dyDescent="0.25">
      <c r="D95" s="57" t="str">
        <f>'Input - Swine'!$D$31</f>
        <v>Digester / covered lagoons</v>
      </c>
      <c r="E95" s="52" cm="1">
        <f t="array" ref="E95">Common_InputFunctions.Utility_LookupValueInTableNumber(D95,Table_SourceData_SwineVSL[MMS],Table_SourceData_SwineVSL[VSL])</f>
        <v>0.75</v>
      </c>
      <c r="F95" s="2"/>
    </row>
    <row r="96" spans="4:18" ht="20.100000000000001" customHeight="1" x14ac:dyDescent="0.25">
      <c r="D96" s="57" t="str">
        <f>'Input - Swine'!$D$32</f>
        <v>Deep litter</v>
      </c>
      <c r="E96" s="52" cm="1">
        <f t="array" ref="E96">Common_InputFunctions.Utility_LookupValueInTableNumber(D96,Table_SourceData_SwineVSL[MMS],Table_SourceData_SwineVSL[VSL])</f>
        <v>0.05</v>
      </c>
      <c r="F96" s="2"/>
      <c r="G96" s="107" t="s">
        <v>168</v>
      </c>
    </row>
    <row r="97" spans="1:21" ht="20.100000000000001" customHeight="1" x14ac:dyDescent="0.25">
      <c r="D97" s="57" t="str">
        <f>'Input - Swine'!$D$33</f>
        <v>Pit storage</v>
      </c>
      <c r="E97" s="52" cm="1">
        <f t="array" ref="E97">Common_InputFunctions.Utility_LookupValueInTableNumber(D97,Table_SourceData_SwineVSL[MMS],Table_SourceData_SwineVSL[VSL])</f>
        <v>0</v>
      </c>
      <c r="F97" s="2"/>
    </row>
    <row r="98" spans="1:21" ht="20.100000000000001" customHeight="1" x14ac:dyDescent="0.25">
      <c r="D98" s="57" t="str">
        <f>'Input - Swine'!$D$34</f>
        <v>Solid storage</v>
      </c>
      <c r="E98" s="52" cm="1">
        <f t="array" ref="E98">Common_InputFunctions.Utility_LookupValueInTableNumber(D98,Table_SourceData_SwineVSL[MMS],Table_SourceData_SwineVSL[VSL])</f>
        <v>0</v>
      </c>
      <c r="F98" s="2"/>
    </row>
    <row r="99" spans="1:21" ht="20.100000000000001" customHeight="1" x14ac:dyDescent="0.25"/>
    <row r="100" spans="1:21" ht="20.100000000000001" customHeight="1" x14ac:dyDescent="0.25">
      <c r="D100" s="121" t="s">
        <v>201</v>
      </c>
      <c r="N100" s="121" t="s">
        <v>216</v>
      </c>
    </row>
    <row r="101" spans="1:21" ht="20.100000000000001" customHeight="1" x14ac:dyDescent="0.25">
      <c r="D101" s="122" t="s">
        <v>202</v>
      </c>
      <c r="N101" s="122" t="s">
        <v>217</v>
      </c>
    </row>
    <row r="102" spans="1:21" ht="20.100000000000001" customHeight="1" x14ac:dyDescent="0.25">
      <c r="D102" s="51" t="s">
        <v>163</v>
      </c>
      <c r="E102" s="51" t="s">
        <v>142</v>
      </c>
      <c r="F102" s="51" t="s">
        <v>143</v>
      </c>
      <c r="G102" s="51" t="s">
        <v>144</v>
      </c>
      <c r="H102" s="51" t="s">
        <v>206</v>
      </c>
      <c r="N102" s="51" t="s">
        <v>163</v>
      </c>
      <c r="O102" s="51" t="s">
        <v>142</v>
      </c>
      <c r="P102" s="51" t="s">
        <v>143</v>
      </c>
      <c r="Q102" s="51" t="s">
        <v>144</v>
      </c>
      <c r="R102" s="51" t="s">
        <v>206</v>
      </c>
    </row>
    <row r="103" spans="1:21" ht="20.100000000000001" customHeight="1" x14ac:dyDescent="0.25">
      <c r="D103" s="57" t="str">
        <f>'Input - Swine'!$D$29</f>
        <v>Anaerobic lagoon</v>
      </c>
      <c r="E103" s="52" cm="1">
        <f t="array" ref="E103">MMS_Swine_Methane_Equations.VEERG_4_5_1_1__7_VolatileSolidsTransferredStage2(D$88,E37,$E93)</f>
        <v>4.8000000000000001E-2</v>
      </c>
      <c r="F103" s="52" cm="1">
        <f t="array" ref="F103">MMS_Swine_Methane_Equations.VEERG_4_5_1_1__7_VolatileSolidsTransferredStage2(E$88,F37,$E93)</f>
        <v>5.5199999999999999E-2</v>
      </c>
      <c r="G103" s="52" cm="1">
        <f t="array" ref="G103">MMS_Swine_Methane_Equations.VEERG_4_5_1_1__7_VolatileSolidsTransferredStage2(F$88,G37,$E93)</f>
        <v>6.6000000000000003E-2</v>
      </c>
      <c r="H103" s="52" cm="1">
        <f t="array" ref="H103">MMS_Swine_Methane_Equations.VEERG_4_5_1_1__7_VolatileSolidsTransferredStage2(G$88,H37,$E93)</f>
        <v>4.6800000000000001E-2</v>
      </c>
      <c r="I103" s="2" t="str">
        <f>$E$79</f>
        <v>kg VS</v>
      </c>
      <c r="N103" s="57" t="str">
        <f>'Input - Swine'!$D$29</f>
        <v>Anaerobic lagoon</v>
      </c>
      <c r="O103" s="52" cm="1">
        <f t="array" ref="O103">MMS_Swine_Methane_Equations.VEERG_4_5_1_1__7_VolatileSolidsTransferredStage2(N$88,O37,$E93)</f>
        <v>4.8000000000000001E-2</v>
      </c>
      <c r="P103" s="52" cm="1">
        <f t="array" ref="P103">MMS_Swine_Methane_Equations.VEERG_4_5_1_1__7_VolatileSolidsTransferredStage2(O$88,P37,$E93)</f>
        <v>5.5199999999999999E-2</v>
      </c>
      <c r="Q103" s="52" cm="1">
        <f t="array" ref="Q103">MMS_Swine_Methane_Equations.VEERG_4_5_1_1__7_VolatileSolidsTransferredStage2(P$88,Q37,$E93)</f>
        <v>6.6000000000000003E-2</v>
      </c>
      <c r="R103" s="52" cm="1">
        <f t="array" ref="R103">MMS_Swine_Methane_Equations.VEERG_4_5_1_1__7_VolatileSolidsTransferredStage2(Q$88,R37,$E93)</f>
        <v>4.6800000000000001E-2</v>
      </c>
      <c r="S103" s="2" t="str">
        <f t="shared" ref="S103" si="0">$E$79</f>
        <v>kg VS</v>
      </c>
    </row>
    <row r="104" spans="1:21" ht="20.100000000000001" customHeight="1" x14ac:dyDescent="0.25">
      <c r="D104" s="57" t="str">
        <f>'Input - Swine'!$D$30</f>
        <v>Drylot (feed pad)</v>
      </c>
      <c r="E104" s="52" cm="1">
        <f t="array" ref="E104">MMS_Swine_Methane_Equations.VEERG_4_5_1_1__7_VolatileSolidsTransferredStage2(D$88,E38,$E94)</f>
        <v>4.8000000000000001E-2</v>
      </c>
      <c r="F104" s="52" cm="1">
        <f t="array" ref="F104">MMS_Swine_Methane_Equations.VEERG_4_5_1_1__7_VolatileSolidsTransferredStage2(E$88,F38,$E94)</f>
        <v>5.5199999999999999E-2</v>
      </c>
      <c r="G104" s="52" cm="1">
        <f t="array" ref="G104">MMS_Swine_Methane_Equations.VEERG_4_5_1_1__7_VolatileSolidsTransferredStage2(F$88,G38,$E94)</f>
        <v>6.6000000000000003E-2</v>
      </c>
      <c r="H104" s="52" cm="1">
        <f t="array" ref="H104">MMS_Swine_Methane_Equations.VEERG_4_5_1_1__7_VolatileSolidsTransferredStage2(G$88,H38,$E94)</f>
        <v>4.6800000000000001E-2</v>
      </c>
      <c r="I104" s="2"/>
      <c r="N104" s="57" t="str">
        <f>'Input - Swine'!$D$30</f>
        <v>Drylot (feed pad)</v>
      </c>
      <c r="O104" s="52" cm="1">
        <f t="array" ref="O104">MMS_Swine_Methane_Equations.VEERG_4_5_1_1__7_VolatileSolidsTransferredStage2(N$88,O38,$E94)</f>
        <v>4.8000000000000001E-2</v>
      </c>
      <c r="P104" s="52" cm="1">
        <f t="array" ref="P104">MMS_Swine_Methane_Equations.VEERG_4_5_1_1__7_VolatileSolidsTransferredStage2(O$88,P38,$E94)</f>
        <v>5.5199999999999999E-2</v>
      </c>
      <c r="Q104" s="52" cm="1">
        <f t="array" ref="Q104">MMS_Swine_Methane_Equations.VEERG_4_5_1_1__7_VolatileSolidsTransferredStage2(P$88,Q38,$E94)</f>
        <v>6.6000000000000003E-2</v>
      </c>
      <c r="R104" s="52" cm="1">
        <f t="array" ref="R104">MMS_Swine_Methane_Equations.VEERG_4_5_1_1__7_VolatileSolidsTransferredStage2(Q$88,R38,$E94)</f>
        <v>4.6800000000000001E-2</v>
      </c>
      <c r="S104" s="2"/>
    </row>
    <row r="105" spans="1:21" ht="20.100000000000001" customHeight="1" x14ac:dyDescent="0.25">
      <c r="D105" s="57" t="str">
        <f>'Input - Swine'!$D$31</f>
        <v>Digester / covered lagoons</v>
      </c>
      <c r="E105" s="52" cm="1">
        <f t="array" ref="E105">MMS_Swine_Methane_Equations.VEERG_4_5_1_1__7_VolatileSolidsTransferredStage2(D$88,E39,$E95)</f>
        <v>1.2E-2</v>
      </c>
      <c r="F105" s="52" cm="1">
        <f t="array" ref="F105">MMS_Swine_Methane_Equations.VEERG_4_5_1_1__7_VolatileSolidsTransferredStage2(E$88,F39,$E95)</f>
        <v>1.38E-2</v>
      </c>
      <c r="G105" s="52" cm="1">
        <f t="array" ref="G105">MMS_Swine_Methane_Equations.VEERG_4_5_1_1__7_VolatileSolidsTransferredStage2(F$88,G39,$E95)</f>
        <v>1.6500000000000001E-2</v>
      </c>
      <c r="H105" s="52" cm="1">
        <f t="array" ref="H105">MMS_Swine_Methane_Equations.VEERG_4_5_1_1__7_VolatileSolidsTransferredStage2(G$88,H39,$E95)</f>
        <v>1.17E-2</v>
      </c>
      <c r="I105" s="2"/>
      <c r="N105" s="57" t="str">
        <f>'Input - Swine'!$D$31</f>
        <v>Digester / covered lagoons</v>
      </c>
      <c r="O105" s="52" cm="1">
        <f t="array" ref="O105">MMS_Swine_Methane_Equations.VEERG_4_5_1_1__7_VolatileSolidsTransferredStage2(N$88,O39,$E95)</f>
        <v>1.2E-2</v>
      </c>
      <c r="P105" s="52" cm="1">
        <f t="array" ref="P105">MMS_Swine_Methane_Equations.VEERG_4_5_1_1__7_VolatileSolidsTransferredStage2(O$88,P39,$E95)</f>
        <v>1.38E-2</v>
      </c>
      <c r="Q105" s="52" cm="1">
        <f t="array" ref="Q105">MMS_Swine_Methane_Equations.VEERG_4_5_1_1__7_VolatileSolidsTransferredStage2(P$88,Q39,$E95)</f>
        <v>1.6500000000000001E-2</v>
      </c>
      <c r="R105" s="52" cm="1">
        <f t="array" ref="R105">MMS_Swine_Methane_Equations.VEERG_4_5_1_1__7_VolatileSolidsTransferredStage2(Q$88,R39,$E95)</f>
        <v>1.17E-2</v>
      </c>
      <c r="S105" s="2"/>
    </row>
    <row r="106" spans="1:21" ht="20.100000000000001" customHeight="1" x14ac:dyDescent="0.25">
      <c r="D106" s="57" t="str">
        <f>'Input - Swine'!$D$32</f>
        <v>Deep litter</v>
      </c>
      <c r="E106" s="52" cm="1">
        <f t="array" ref="E106">MMS_Swine_Methane_Equations.VEERG_4_5_1_1__7_VolatileSolidsTransferredStage2(D$88,E40,$E96)</f>
        <v>4.5600000000000002E-2</v>
      </c>
      <c r="F106" s="52" cm="1">
        <f t="array" ref="F106">MMS_Swine_Methane_Equations.VEERG_4_5_1_1__7_VolatileSolidsTransferredStage2(E$88,F40,$E96)</f>
        <v>5.2439999999999994E-2</v>
      </c>
      <c r="G106" s="52" cm="1">
        <f t="array" ref="G106">MMS_Swine_Methane_Equations.VEERG_4_5_1_1__7_VolatileSolidsTransferredStage2(F$88,G40,$E96)</f>
        <v>6.2700000000000006E-2</v>
      </c>
      <c r="H106" s="52" cm="1">
        <f t="array" ref="H106">MMS_Swine_Methane_Equations.VEERG_4_5_1_1__7_VolatileSolidsTransferredStage2(G$88,H40,$E96)</f>
        <v>4.446E-2</v>
      </c>
      <c r="I106" s="2"/>
      <c r="N106" s="57" t="str">
        <f>'Input - Swine'!$D$32</f>
        <v>Deep litter</v>
      </c>
      <c r="O106" s="52" cm="1">
        <f t="array" ref="O106">MMS_Swine_Methane_Equations.VEERG_4_5_1_1__7_VolatileSolidsTransferredStage2(N$88,O40,$E96)</f>
        <v>4.5600000000000002E-2</v>
      </c>
      <c r="P106" s="52" cm="1">
        <f t="array" ref="P106">MMS_Swine_Methane_Equations.VEERG_4_5_1_1__7_VolatileSolidsTransferredStage2(O$88,P40,$E96)</f>
        <v>5.2439999999999994E-2</v>
      </c>
      <c r="Q106" s="52" cm="1">
        <f t="array" ref="Q106">MMS_Swine_Methane_Equations.VEERG_4_5_1_1__7_VolatileSolidsTransferredStage2(P$88,Q40,$E96)</f>
        <v>6.2700000000000006E-2</v>
      </c>
      <c r="R106" s="52" cm="1">
        <f t="array" ref="R106">MMS_Swine_Methane_Equations.VEERG_4_5_1_1__7_VolatileSolidsTransferredStage2(Q$88,R40,$E96)</f>
        <v>4.446E-2</v>
      </c>
      <c r="S106" s="2"/>
    </row>
    <row r="107" spans="1:21" ht="20.100000000000001" customHeight="1" x14ac:dyDescent="0.25">
      <c r="D107" s="57" t="str">
        <f>'Input - Swine'!$D$33</f>
        <v>Pit storage</v>
      </c>
      <c r="E107" s="52" cm="1">
        <f t="array" ref="E107">MMS_Swine_Methane_Equations.VEERG_4_5_1_1__7_VolatileSolidsTransferredStage2(D$88,E41,$E97)</f>
        <v>4.8000000000000001E-2</v>
      </c>
      <c r="F107" s="52" cm="1">
        <f t="array" ref="F107">MMS_Swine_Methane_Equations.VEERG_4_5_1_1__7_VolatileSolidsTransferredStage2(E$88,F41,$E97)</f>
        <v>5.5199999999999999E-2</v>
      </c>
      <c r="G107" s="52" cm="1">
        <f t="array" ref="G107">MMS_Swine_Methane_Equations.VEERG_4_5_1_1__7_VolatileSolidsTransferredStage2(F$88,G41,$E97)</f>
        <v>6.6000000000000003E-2</v>
      </c>
      <c r="H107" s="52" cm="1">
        <f t="array" ref="H107">MMS_Swine_Methane_Equations.VEERG_4_5_1_1__7_VolatileSolidsTransferredStage2(G$88,H41,$E97)</f>
        <v>4.6800000000000001E-2</v>
      </c>
      <c r="I107" s="2"/>
      <c r="N107" s="57" t="str">
        <f>'Input - Swine'!$D$33</f>
        <v>Pit storage</v>
      </c>
      <c r="O107" s="52" cm="1">
        <f t="array" ref="O107">MMS_Swine_Methane_Equations.VEERG_4_5_1_1__7_VolatileSolidsTransferredStage2(N$88,O41,$E97)</f>
        <v>4.8000000000000001E-2</v>
      </c>
      <c r="P107" s="52" cm="1">
        <f t="array" ref="P107">MMS_Swine_Methane_Equations.VEERG_4_5_1_1__7_VolatileSolidsTransferredStage2(O$88,P41,$E97)</f>
        <v>5.5199999999999999E-2</v>
      </c>
      <c r="Q107" s="52" cm="1">
        <f t="array" ref="Q107">MMS_Swine_Methane_Equations.VEERG_4_5_1_1__7_VolatileSolidsTransferredStage2(P$88,Q41,$E97)</f>
        <v>6.6000000000000003E-2</v>
      </c>
      <c r="R107" s="52" cm="1">
        <f t="array" ref="R107">MMS_Swine_Methane_Equations.VEERG_4_5_1_1__7_VolatileSolidsTransferredStage2(Q$88,R41,$E97)</f>
        <v>4.6800000000000001E-2</v>
      </c>
      <c r="S107" s="2"/>
    </row>
    <row r="108" spans="1:21" ht="20.100000000000001" customHeight="1" x14ac:dyDescent="0.25">
      <c r="D108" s="57" t="str">
        <f>'Input - Swine'!$D$34</f>
        <v>Solid storage</v>
      </c>
      <c r="E108" s="52" cm="1">
        <f t="array" ref="E108">MMS_Swine_Methane_Equations.VEERG_4_5_1_1__7_VolatileSolidsTransferredStage2(D$88,E68,$E98)</f>
        <v>0.16000000000000006</v>
      </c>
      <c r="F108" s="52" cm="1">
        <f t="array" ref="F108">MMS_Swine_Methane_Equations.VEERG_4_5_1_1__7_VolatileSolidsTransferredStage2(E$88,F68,$E98)</f>
        <v>0.18400000000000008</v>
      </c>
      <c r="G108" s="52" cm="1">
        <f t="array" ref="G108">MMS_Swine_Methane_Equations.VEERG_4_5_1_1__7_VolatileSolidsTransferredStage2(F$88,G68,$E98)</f>
        <v>0.22000000000000008</v>
      </c>
      <c r="H108" s="52" cm="1">
        <f t="array" ref="H108">MMS_Swine_Methane_Equations.VEERG_4_5_1_1__7_VolatileSolidsTransferredStage2(G$88,H68,$E98)</f>
        <v>0.15600000000000006</v>
      </c>
      <c r="I108" s="2"/>
      <c r="N108" s="57" t="str">
        <f>'Input - Swine'!$D$34</f>
        <v>Solid storage</v>
      </c>
      <c r="O108" s="52" cm="1">
        <f t="array" ref="O108">MMS_Swine_Methane_Equations.VEERG_4_5_1_1__7_VolatileSolidsTransferredStage2(N$88,O68,$E98)</f>
        <v>0.16000000000000006</v>
      </c>
      <c r="P108" s="52" cm="1">
        <f t="array" ref="P108">MMS_Swine_Methane_Equations.VEERG_4_5_1_1__7_VolatileSolidsTransferredStage2(O$88,P68,$E98)</f>
        <v>0.18400000000000008</v>
      </c>
      <c r="Q108" s="52" cm="1">
        <f t="array" ref="Q108">MMS_Swine_Methane_Equations.VEERG_4_5_1_1__7_VolatileSolidsTransferredStage2(P$88,Q68,$E98)</f>
        <v>0.22000000000000008</v>
      </c>
      <c r="R108" s="52" cm="1">
        <f t="array" ref="R108">MMS_Swine_Methane_Equations.VEERG_4_5_1_1__7_VolatileSolidsTransferredStage2(Q$88,R68,$E98)</f>
        <v>0.15600000000000006</v>
      </c>
      <c r="S108" s="2"/>
    </row>
    <row r="109" spans="1:21" ht="20.100000000000001" customHeight="1" x14ac:dyDescent="0.25"/>
    <row r="110" spans="1:21" ht="20.100000000000001" customHeight="1" x14ac:dyDescent="0.25">
      <c r="A110" s="149" t="str">
        <f>HYPERLINK("#A1", "▲ Back to top")</f>
        <v>▲ Back to top</v>
      </c>
    </row>
    <row r="111" spans="1:21" ht="20.100000000000001" customHeight="1" x14ac:dyDescent="0.25">
      <c r="C111" s="45"/>
      <c r="D111" s="45"/>
      <c r="E111" s="45"/>
      <c r="F111" s="45"/>
      <c r="G111" s="45"/>
      <c r="H111" s="45"/>
      <c r="I111" s="45"/>
      <c r="J111" s="45"/>
      <c r="K111" s="45"/>
      <c r="M111" s="45"/>
      <c r="N111" s="45"/>
      <c r="O111" s="45"/>
      <c r="P111" s="45"/>
      <c r="Q111" s="45"/>
      <c r="R111" s="45"/>
      <c r="S111" s="45"/>
      <c r="T111" s="45"/>
      <c r="U111" s="45"/>
    </row>
    <row r="112" spans="1: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26</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3" t="s">
        <v>29</v>
      </c>
      <c r="E118" s="1" t="str" cm="1">
        <f t="array" ref="E118">MMS_Swine_Methane_Equations.VEERG_4_5_1_1__6_Stage2MethaneProduction_Variable()</f>
        <v>MijmT2</v>
      </c>
    </row>
    <row r="119" spans="4:19" ht="20.100000000000001" customHeight="1" x14ac:dyDescent="0.25">
      <c r="D119" s="53" t="s">
        <v>19</v>
      </c>
      <c r="E119" s="54" t="str" cm="1">
        <f t="array" ref="E119">MMS_Swine_Methane_Equations.VEERG_4_5_1_1__6_Stage2MethaneProduction_Unit()</f>
        <v>kg CH4/head/day</v>
      </c>
    </row>
    <row r="120" spans="4:19" ht="20.100000000000001" customHeight="1" x14ac:dyDescent="0.25"/>
    <row r="121" spans="4:19" ht="20.100000000000001" customHeight="1" x14ac:dyDescent="0.25">
      <c r="D121" s="57" t="str" cm="1">
        <f t="array" ref="D121:E126">Common_InputFunctions.Utility_DisplayArguments_1_2(MMS_Swine_Methane_Equations.VEERG_4_5_1_1__6_Stage2MethaneProduction_Arguments())</f>
        <v>VSTjmT2</v>
      </c>
      <c r="E121" s="58" t="str">
        <v>volatile solids transferred to treatment stage 2 MMS</v>
      </c>
      <c r="F121" s="59"/>
      <c r="G121" s="57" t="str" cm="1">
        <f t="array" ref="G121:H126">Common_InputFunctions.Utility_DisplayArguments_3_4(MMS_Swine_Methane_Equations.VEERG_4_5_1_1__6_Stage2MethaneProduction_Arguments())</f>
        <v>kg/head/day</v>
      </c>
      <c r="H121" s="139" t="str">
        <v>Calculated from 4.5.1.1 (7)</v>
      </c>
      <c r="I121" s="143" t="str" cm="1">
        <f t="array" aca="1" ref="I121" ca="1">HYPERLINK(Common_InputFunctions.Utility_SourceHyperlink($D$100), $D$100)</f>
        <v>M1 Table_VST_j_m_T-2</v>
      </c>
      <c r="N121" s="57" t="str" cm="1">
        <f t="array" ref="N121:O126">Common_InputFunctions.Utility_DisplayArguments_1_2(MMS_Swine_Methane_Equations.VEERG_4_5_1_1__6_Stage2MethaneProduction_Arguments_Method2())</f>
        <v>VSTjmT2</v>
      </c>
      <c r="O121" s="58" t="str">
        <v>volatile solids transferred to treatment stage 2 MMS</v>
      </c>
      <c r="P121" s="59"/>
      <c r="Q121" s="57" t="str" cm="1">
        <f t="array" ref="Q121:R126">Common_InputFunctions.Utility_DisplayArguments_3_4(MMS_Swine_Methane_Equations.VEERG_4_5_1_1__6_Stage2MethaneProduction_Arguments_Method2())</f>
        <v>kg/head/day</v>
      </c>
      <c r="R121" s="139" t="str">
        <v>Calculated from 4.5.1.1 (7)</v>
      </c>
      <c r="S121" s="143"/>
    </row>
    <row r="122" spans="4:19" ht="20.100000000000001" customHeight="1" x14ac:dyDescent="0.25">
      <c r="D122" s="57" t="str">
        <v>BO</v>
      </c>
      <c r="E122" s="58" t="str">
        <v>emissions potential</v>
      </c>
      <c r="F122" s="59"/>
      <c r="G122" s="57" t="str">
        <v>m3 CH4/kg VS</v>
      </c>
      <c r="H122" s="139" t="str">
        <v>Constant</v>
      </c>
      <c r="I122" s="57">
        <f>'Constants - Swine'!$E$21</f>
        <v>0.19</v>
      </c>
      <c r="N122" s="57" t="str">
        <v>BO</v>
      </c>
      <c r="O122" s="58" t="str">
        <v>emissions potential</v>
      </c>
      <c r="P122" s="59"/>
      <c r="Q122" s="57" t="str">
        <v>m3 CH4/kg VS</v>
      </c>
      <c r="R122" s="139" t="str">
        <v>Constant</v>
      </c>
      <c r="S122" s="57">
        <f>'Constants - Swine'!$E$21</f>
        <v>0.19</v>
      </c>
    </row>
    <row r="123" spans="4:19" ht="20.100000000000001" customHeight="1" x14ac:dyDescent="0.25">
      <c r="D123" s="57" t="str">
        <v>MMSjmT2</v>
      </c>
      <c r="E123" s="58" t="str">
        <v>fraction of manure in each secondary system</v>
      </c>
      <c r="F123" s="59"/>
      <c r="G123" s="57" t="str">
        <v>fraction</v>
      </c>
      <c r="H123" s="140" t="str">
        <v>Input</v>
      </c>
      <c r="I123" s="143" t="str" cm="1">
        <f t="array" aca="1" ref="I123" ca="1">HYPERLINK(Common_InputFunctions.Utility_SourceHyperlink($D$128), $D$128)</f>
        <v>Table_MMS_j_m_T-2</v>
      </c>
      <c r="N123" s="57" t="str">
        <v>MMSjmT2</v>
      </c>
      <c r="O123" s="58" t="str">
        <v>fraction of manure in each secondary system</v>
      </c>
      <c r="P123" s="59"/>
      <c r="Q123" s="57" t="str">
        <v>fraction</v>
      </c>
      <c r="R123" s="140" t="str">
        <v>Input</v>
      </c>
      <c r="S123" s="143"/>
    </row>
    <row r="124" spans="4:19" ht="20.100000000000001" customHeight="1" x14ac:dyDescent="0.25">
      <c r="D124" s="57" t="str">
        <v>MCFim</v>
      </c>
      <c r="E124" s="58" t="str">
        <v>methane conversion factor for temperate zone and system</v>
      </c>
      <c r="F124" s="59"/>
      <c r="G124" s="57" t="str">
        <v>fraction</v>
      </c>
      <c r="H124" s="139" t="str">
        <v>Constant</v>
      </c>
      <c r="I124" s="143" t="str" cm="1">
        <f t="array" aca="1" ref="I124" ca="1">HYPERLINK(Common_InputFunctions.Utility_SourceHyperlink($D$152), $D$152)</f>
        <v>M1_Table_MCF_i_m</v>
      </c>
      <c r="N124" s="57" t="str">
        <v>MCFim</v>
      </c>
      <c r="O124" s="58" t="str">
        <v>methane conversion factor for temperate zone and system</v>
      </c>
      <c r="P124" s="59"/>
      <c r="Q124" s="57" t="str">
        <v>fraction</v>
      </c>
      <c r="R124" s="139" t="str">
        <v>Constant</v>
      </c>
      <c r="S124" s="143"/>
    </row>
    <row r="125" spans="4:19" ht="20.100000000000001" customHeight="1" x14ac:dyDescent="0.25">
      <c r="D125" s="57" t="str">
        <v>rho</v>
      </c>
      <c r="E125" s="58" t="str">
        <v>density of methane</v>
      </c>
      <c r="F125" s="59"/>
      <c r="G125" s="57" t="str">
        <v>kg/m3</v>
      </c>
      <c r="H125" s="139" t="str">
        <v>Constant</v>
      </c>
      <c r="I125" s="57">
        <f>'Constants - Common'!$D$175</f>
        <v>0.6784</v>
      </c>
      <c r="N125" s="57" t="str">
        <v>rho</v>
      </c>
      <c r="O125" s="58" t="str">
        <v>density of methane</v>
      </c>
      <c r="P125" s="59"/>
      <c r="Q125" s="57" t="str">
        <v>kg/m3</v>
      </c>
      <c r="R125" s="139" t="str">
        <v>Constant</v>
      </c>
      <c r="S125" s="57"/>
    </row>
    <row r="126" spans="4:19" ht="20.100000000000001" customHeight="1" x14ac:dyDescent="0.25">
      <c r="D126" s="57" t="str">
        <v>i</v>
      </c>
      <c r="E126" s="58" t="str">
        <v>state</v>
      </c>
      <c r="F126" s="59"/>
      <c r="G126" s="57" t="str">
        <v/>
      </c>
      <c r="H126" s="140" t="str">
        <v>Input</v>
      </c>
      <c r="I126" s="57" t="str">
        <f>'Input - Site'!$E$21</f>
        <v>Western Australia</v>
      </c>
      <c r="N126" s="57" t="str">
        <v>MAT</v>
      </c>
      <c r="O126" s="58" t="str">
        <v>Mean annual temperature</v>
      </c>
      <c r="P126" s="59"/>
      <c r="Q126" s="57" t="str">
        <v>°C</v>
      </c>
      <c r="R126" s="140" t="str">
        <v>Input</v>
      </c>
      <c r="S126" s="57">
        <f>'Input - Site'!$E$25</f>
        <v>18</v>
      </c>
    </row>
    <row r="127" spans="4:19" ht="20.100000000000001" customHeight="1" x14ac:dyDescent="0.25"/>
    <row r="128" spans="4:19" ht="20.100000000000001" customHeight="1" x14ac:dyDescent="0.25">
      <c r="D128" s="121" t="s">
        <v>169</v>
      </c>
    </row>
    <row r="129" spans="4:10" ht="20.100000000000001" customHeight="1" x14ac:dyDescent="0.25">
      <c r="D129" s="122" t="s">
        <v>170</v>
      </c>
    </row>
    <row r="130" spans="4:10" ht="20.100000000000001" customHeight="1" x14ac:dyDescent="0.25">
      <c r="D130" s="119" t="s">
        <v>163</v>
      </c>
      <c r="E130" s="119" t="s">
        <v>171</v>
      </c>
      <c r="F130" s="119" t="s">
        <v>142</v>
      </c>
      <c r="G130" s="119" t="s">
        <v>143</v>
      </c>
      <c r="H130" s="119" t="s">
        <v>144</v>
      </c>
      <c r="I130" s="119" t="s">
        <v>206</v>
      </c>
    </row>
    <row r="131" spans="4:10" ht="20.100000000000001" customHeight="1" x14ac:dyDescent="0.25">
      <c r="D131" s="57" t="str">
        <f>'Input - Swine'!$D$29</f>
        <v>Anaerobic lagoon</v>
      </c>
      <c r="E131" s="57" t="str">
        <f>'Input - Swine'!$D$48</f>
        <v>Digester / covered lagoons</v>
      </c>
      <c r="F131" s="52">
        <f>'Input - Swine'!E48</f>
        <v>0.2</v>
      </c>
      <c r="G131" s="52">
        <f>'Input - Swine'!F48</f>
        <v>0.25</v>
      </c>
      <c r="H131" s="52">
        <f>'Input - Swine'!G48</f>
        <v>0.25</v>
      </c>
      <c r="I131" s="52">
        <f>'Input - Swine'!H48</f>
        <v>0.25</v>
      </c>
      <c r="J131" s="2" t="str">
        <f>$G$123</f>
        <v>fraction</v>
      </c>
    </row>
    <row r="132" spans="4:10" ht="20.100000000000001" customHeight="1" x14ac:dyDescent="0.25">
      <c r="D132" s="57"/>
      <c r="E132" s="57" t="str">
        <f>'Input - Swine'!$D$49</f>
        <v>Deep litter</v>
      </c>
      <c r="F132" s="52">
        <f>'Input - Swine'!E49</f>
        <v>0.2</v>
      </c>
      <c r="G132" s="52">
        <f>'Input - Swine'!F49</f>
        <v>0.25</v>
      </c>
      <c r="H132" s="52">
        <f>'Input - Swine'!G49</f>
        <v>0.25</v>
      </c>
      <c r="I132" s="52">
        <f>'Input - Swine'!H49</f>
        <v>0.25</v>
      </c>
      <c r="J132" s="2"/>
    </row>
    <row r="133" spans="4:10" ht="20.100000000000001" customHeight="1" x14ac:dyDescent="0.25">
      <c r="D133" s="57"/>
      <c r="E133" s="57" t="str">
        <f>'Input - Swine'!$D$50</f>
        <v>Pit storage</v>
      </c>
      <c r="F133" s="52">
        <f>'Input - Swine'!E50</f>
        <v>0.2</v>
      </c>
      <c r="G133" s="52">
        <f>'Input - Swine'!F50</f>
        <v>0.25</v>
      </c>
      <c r="H133" s="52">
        <f>'Input - Swine'!G50</f>
        <v>0.25</v>
      </c>
      <c r="I133" s="52">
        <f>'Input - Swine'!H50</f>
        <v>0.25</v>
      </c>
      <c r="J133" s="2"/>
    </row>
    <row r="134" spans="4:10" ht="20.100000000000001" customHeight="1" x14ac:dyDescent="0.25">
      <c r="D134" s="57" t="str">
        <f>'Input - Swine'!$D$30</f>
        <v>Drylot (feed pad)</v>
      </c>
      <c r="E134" s="57" t="str">
        <f>'Input - Swine'!$D$55</f>
        <v>Anaerobic lagoon</v>
      </c>
      <c r="F134" s="52">
        <f>'Input - Swine'!E55</f>
        <v>0.2</v>
      </c>
      <c r="G134" s="52">
        <f>'Input - Swine'!F55</f>
        <v>0.25</v>
      </c>
      <c r="H134" s="52">
        <f>'Input - Swine'!G55</f>
        <v>0.25</v>
      </c>
      <c r="I134" s="52">
        <f>'Input - Swine'!H55</f>
        <v>0.25</v>
      </c>
      <c r="J134" s="2"/>
    </row>
    <row r="135" spans="4:10" ht="20.100000000000001" customHeight="1" x14ac:dyDescent="0.25">
      <c r="D135" s="57"/>
      <c r="E135" s="57" t="str">
        <f>'Input - Swine'!$D$56</f>
        <v>Digester / covered lagoons</v>
      </c>
      <c r="F135" s="52">
        <f>'Input - Swine'!E56</f>
        <v>0.2</v>
      </c>
      <c r="G135" s="52">
        <f>'Input - Swine'!F56</f>
        <v>0.25</v>
      </c>
      <c r="H135" s="52">
        <f>'Input - Swine'!G56</f>
        <v>0.25</v>
      </c>
      <c r="I135" s="52">
        <f>'Input - Swine'!H56</f>
        <v>0.25</v>
      </c>
      <c r="J135" s="2"/>
    </row>
    <row r="136" spans="4:10" ht="20.100000000000001" customHeight="1" x14ac:dyDescent="0.25">
      <c r="D136" s="57"/>
      <c r="E136" s="57" t="str">
        <f>'Input - Swine'!$D$57</f>
        <v>Deep litter</v>
      </c>
      <c r="F136" s="52">
        <f>'Input - Swine'!E57</f>
        <v>0.2</v>
      </c>
      <c r="G136" s="52">
        <f>'Input - Swine'!F57</f>
        <v>0.25</v>
      </c>
      <c r="H136" s="52">
        <f>'Input - Swine'!G57</f>
        <v>0.25</v>
      </c>
      <c r="I136" s="52">
        <f>'Input - Swine'!H57</f>
        <v>0.25</v>
      </c>
      <c r="J136" s="2"/>
    </row>
    <row r="137" spans="4:10" ht="20.100000000000001" customHeight="1" x14ac:dyDescent="0.25">
      <c r="D137" s="57"/>
      <c r="E137" s="57" t="str">
        <f>'Input - Swine'!$D$58</f>
        <v>Pit storage</v>
      </c>
      <c r="F137" s="52">
        <f>'Input - Swine'!E58</f>
        <v>0.2</v>
      </c>
      <c r="G137" s="52">
        <f>'Input - Swine'!F58</f>
        <v>0.25</v>
      </c>
      <c r="H137" s="52">
        <f>'Input - Swine'!G58</f>
        <v>0.25</v>
      </c>
      <c r="I137" s="52">
        <f>'Input - Swine'!H58</f>
        <v>0.25</v>
      </c>
      <c r="J137" s="2"/>
    </row>
    <row r="138" spans="4:10" ht="20.100000000000001" customHeight="1" x14ac:dyDescent="0.25">
      <c r="D138" s="57" t="str">
        <f>'Input - Swine'!$D$31</f>
        <v>Digester / covered lagoons</v>
      </c>
      <c r="E138" s="57" t="str">
        <f>'Input - Swine'!$D$63</f>
        <v>Anaerobic lagoon</v>
      </c>
      <c r="F138" s="52">
        <f>'Input - Swine'!E63</f>
        <v>0.2</v>
      </c>
      <c r="G138" s="52">
        <f>'Input - Swine'!F63</f>
        <v>0.25</v>
      </c>
      <c r="H138" s="52">
        <f>'Input - Swine'!G63</f>
        <v>0.25</v>
      </c>
      <c r="I138" s="52">
        <f>'Input - Swine'!H63</f>
        <v>0.25</v>
      </c>
      <c r="J138" s="2"/>
    </row>
    <row r="139" spans="4:10" ht="20.100000000000001" customHeight="1" x14ac:dyDescent="0.25">
      <c r="D139" s="57"/>
      <c r="E139" s="57" t="str">
        <f>'Input - Swine'!$D$64</f>
        <v>Deep litter</v>
      </c>
      <c r="F139" s="52">
        <f>'Input - Swine'!E64</f>
        <v>0.2</v>
      </c>
      <c r="G139" s="52">
        <f>'Input - Swine'!F64</f>
        <v>0.25</v>
      </c>
      <c r="H139" s="52">
        <f>'Input - Swine'!G64</f>
        <v>0.25</v>
      </c>
      <c r="I139" s="52">
        <f>'Input - Swine'!H64</f>
        <v>0.25</v>
      </c>
      <c r="J139" s="2"/>
    </row>
    <row r="140" spans="4:10" ht="20.100000000000001" customHeight="1" x14ac:dyDescent="0.25">
      <c r="D140" s="57"/>
      <c r="E140" s="57" t="str">
        <f>'Input - Swine'!$D$65</f>
        <v>Pit storage</v>
      </c>
      <c r="F140" s="52">
        <f>'Input - Swine'!E65</f>
        <v>0.2</v>
      </c>
      <c r="G140" s="52">
        <f>'Input - Swine'!F65</f>
        <v>0.25</v>
      </c>
      <c r="H140" s="52">
        <f>'Input - Swine'!G65</f>
        <v>0.25</v>
      </c>
      <c r="I140" s="52">
        <f>'Input - Swine'!H65</f>
        <v>0.25</v>
      </c>
      <c r="J140" s="2"/>
    </row>
    <row r="141" spans="4:10" ht="20.100000000000001" customHeight="1" x14ac:dyDescent="0.25">
      <c r="D141" s="57" t="str">
        <f>'Input - Swine'!$D$32</f>
        <v>Deep litter</v>
      </c>
      <c r="E141" s="57" t="str">
        <f>'Input - Swine'!$D$70</f>
        <v>Anaerobic lagoon</v>
      </c>
      <c r="F141" s="52">
        <f>'Input - Swine'!E70</f>
        <v>0.2</v>
      </c>
      <c r="G141" s="52">
        <f>'Input - Swine'!F70</f>
        <v>0.25</v>
      </c>
      <c r="H141" s="52">
        <f>'Input - Swine'!G70</f>
        <v>0.25</v>
      </c>
      <c r="I141" s="52">
        <f>'Input - Swine'!H70</f>
        <v>0.25</v>
      </c>
      <c r="J141" s="2"/>
    </row>
    <row r="142" spans="4:10" ht="20.100000000000001" customHeight="1" x14ac:dyDescent="0.25">
      <c r="D142" s="57"/>
      <c r="E142" s="57" t="str">
        <f>'Input - Swine'!$D$71</f>
        <v>Digester / covered lagoons</v>
      </c>
      <c r="F142" s="52">
        <f>'Input - Swine'!E71</f>
        <v>0.2</v>
      </c>
      <c r="G142" s="52">
        <f>'Input - Swine'!F71</f>
        <v>0.25</v>
      </c>
      <c r="H142" s="52">
        <f>'Input - Swine'!G71</f>
        <v>0.25</v>
      </c>
      <c r="I142" s="52">
        <f>'Input - Swine'!H71</f>
        <v>0.25</v>
      </c>
      <c r="J142" s="2"/>
    </row>
    <row r="143" spans="4:10" ht="20.100000000000001" customHeight="1" x14ac:dyDescent="0.25">
      <c r="D143" s="57"/>
      <c r="E143" s="57" t="str">
        <f>'Input - Swine'!$D$72</f>
        <v>Pit storage</v>
      </c>
      <c r="F143" s="52">
        <f>'Input - Swine'!E72</f>
        <v>0.2</v>
      </c>
      <c r="G143" s="52">
        <f>'Input - Swine'!F72</f>
        <v>0.25</v>
      </c>
      <c r="H143" s="52">
        <f>'Input - Swine'!G72</f>
        <v>0.25</v>
      </c>
      <c r="I143" s="52">
        <f>'Input - Swine'!H72</f>
        <v>0.25</v>
      </c>
      <c r="J143" s="2"/>
    </row>
    <row r="144" spans="4:10" ht="20.100000000000001" customHeight="1" x14ac:dyDescent="0.25">
      <c r="D144" s="57" t="str">
        <f>'Input - Swine'!$D$33</f>
        <v>Pit storage</v>
      </c>
      <c r="E144" s="57" t="str">
        <f>'Input - Swine'!$D$77</f>
        <v>Anaerobic lagoon</v>
      </c>
      <c r="F144" s="52">
        <f>'Input - Swine'!E77</f>
        <v>0.2</v>
      </c>
      <c r="G144" s="52">
        <f>'Input - Swine'!F77</f>
        <v>0.25</v>
      </c>
      <c r="H144" s="52">
        <f>'Input - Swine'!G77</f>
        <v>0.25</v>
      </c>
      <c r="I144" s="52">
        <f>'Input - Swine'!H77</f>
        <v>0.25</v>
      </c>
      <c r="J144" s="2"/>
    </row>
    <row r="145" spans="4:16" ht="20.100000000000001" customHeight="1" x14ac:dyDescent="0.25">
      <c r="D145" s="57"/>
      <c r="E145" s="57" t="str">
        <f>'Input - Swine'!$D$78</f>
        <v>Digester / covered lagoons</v>
      </c>
      <c r="F145" s="52">
        <f>'Input - Swine'!E78</f>
        <v>0.2</v>
      </c>
      <c r="G145" s="52">
        <f>'Input - Swine'!F78</f>
        <v>0.25</v>
      </c>
      <c r="H145" s="52">
        <f>'Input - Swine'!G78</f>
        <v>0.25</v>
      </c>
      <c r="I145" s="52">
        <f>'Input - Swine'!H78</f>
        <v>0.25</v>
      </c>
      <c r="J145" s="2"/>
    </row>
    <row r="146" spans="4:16" ht="20.100000000000001" customHeight="1" x14ac:dyDescent="0.25">
      <c r="D146" s="57"/>
      <c r="E146" s="57" t="str">
        <f>'Input - Swine'!$D$79</f>
        <v>Deep litter</v>
      </c>
      <c r="F146" s="52">
        <f>'Input - Swine'!E79</f>
        <v>0.2</v>
      </c>
      <c r="G146" s="52">
        <f>'Input - Swine'!F79</f>
        <v>0.25</v>
      </c>
      <c r="H146" s="52">
        <f>'Input - Swine'!G79</f>
        <v>0.25</v>
      </c>
      <c r="I146" s="52">
        <f>'Input - Swine'!H79</f>
        <v>0.25</v>
      </c>
      <c r="J146" s="2"/>
    </row>
    <row r="147" spans="4:16" ht="20.100000000000001" customHeight="1" x14ac:dyDescent="0.25">
      <c r="D147" s="57" t="str">
        <f>'Input - Swine'!$D$34</f>
        <v>Solid storage</v>
      </c>
      <c r="E147" s="57" t="str">
        <f>'Input - Swine'!$D$84</f>
        <v>Anaerobic lagoon</v>
      </c>
      <c r="F147" s="52">
        <f>'Input - Swine'!E84</f>
        <v>0.2</v>
      </c>
      <c r="G147" s="52">
        <f>'Input - Swine'!F84</f>
        <v>0.2</v>
      </c>
      <c r="H147" s="52">
        <f>'Input - Swine'!G84</f>
        <v>0.2</v>
      </c>
      <c r="I147" s="52">
        <f>'Input - Swine'!H84</f>
        <v>0.2</v>
      </c>
      <c r="J147" s="2"/>
    </row>
    <row r="148" spans="4:16" ht="20.100000000000001" customHeight="1" x14ac:dyDescent="0.25">
      <c r="D148" s="57"/>
      <c r="E148" s="57" t="str">
        <f>'Input - Swine'!$D$85</f>
        <v>Digester / covered lagoons</v>
      </c>
      <c r="F148" s="52">
        <f>'Input - Swine'!E85</f>
        <v>0.2</v>
      </c>
      <c r="G148" s="52">
        <f>'Input - Swine'!F85</f>
        <v>0.2</v>
      </c>
      <c r="H148" s="52">
        <f>'Input - Swine'!G85</f>
        <v>0.2</v>
      </c>
      <c r="I148" s="52">
        <f>'Input - Swine'!H85</f>
        <v>0.2</v>
      </c>
      <c r="J148" s="2"/>
    </row>
    <row r="149" spans="4:16" ht="20.100000000000001" customHeight="1" x14ac:dyDescent="0.25">
      <c r="D149" s="57"/>
      <c r="E149" s="57" t="str">
        <f>'Input - Swine'!$D$86</f>
        <v>Deep litter</v>
      </c>
      <c r="F149" s="52">
        <f>'Input - Swine'!E86</f>
        <v>0.2</v>
      </c>
      <c r="G149" s="52">
        <f>'Input - Swine'!F86</f>
        <v>0.2</v>
      </c>
      <c r="H149" s="52">
        <f>'Input - Swine'!G86</f>
        <v>0.2</v>
      </c>
      <c r="I149" s="52">
        <f>'Input - Swine'!H86</f>
        <v>0.2</v>
      </c>
      <c r="J149" s="2"/>
    </row>
    <row r="150" spans="4:16" ht="20.100000000000001" customHeight="1" x14ac:dyDescent="0.25">
      <c r="D150" s="57"/>
      <c r="E150" s="57" t="str">
        <f>'Input - Swine'!$D$87</f>
        <v>Pit storage</v>
      </c>
      <c r="F150" s="52">
        <f>'Input - Swine'!E87</f>
        <v>0.1</v>
      </c>
      <c r="G150" s="52">
        <f>'Input - Swine'!F87</f>
        <v>0.1</v>
      </c>
      <c r="H150" s="52">
        <f>'Input - Swine'!G87</f>
        <v>0.1</v>
      </c>
      <c r="I150" s="52">
        <f>'Input - Swine'!H87</f>
        <v>0.1</v>
      </c>
      <c r="J150" s="2"/>
      <c r="N150" s="21" t="s">
        <v>367</v>
      </c>
      <c r="O150" s="21"/>
      <c r="P150" s="21"/>
    </row>
    <row r="151" spans="4:16" ht="20.100000000000001" customHeight="1" x14ac:dyDescent="0.25"/>
    <row r="152" spans="4:16" ht="20.100000000000001" customHeight="1" x14ac:dyDescent="0.25">
      <c r="D152" s="121" t="s">
        <v>122</v>
      </c>
      <c r="N152" s="121" t="s">
        <v>122</v>
      </c>
    </row>
    <row r="153" spans="4:16" ht="20.100000000000001" customHeight="1" x14ac:dyDescent="0.25">
      <c r="D153" s="122" t="s">
        <v>198</v>
      </c>
      <c r="N153" s="122" t="s">
        <v>366</v>
      </c>
    </row>
    <row r="154" spans="4:16" ht="20.100000000000001" customHeight="1" x14ac:dyDescent="0.25">
      <c r="D154" s="51" t="s">
        <v>67</v>
      </c>
      <c r="E154" s="51" t="s">
        <v>98</v>
      </c>
      <c r="N154" s="51" t="s">
        <v>67</v>
      </c>
      <c r="O154" s="51" t="s">
        <v>98</v>
      </c>
    </row>
    <row r="155" spans="4:16" ht="20.100000000000001" customHeight="1" x14ac:dyDescent="0.25">
      <c r="D155" s="57" t="str">
        <f>'Input - Swine'!$D$29</f>
        <v>Anaerobic lagoon</v>
      </c>
      <c r="E155" s="52">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7" t="str">
        <f>'Input - Swine'!$D$29</f>
        <v>Anaerobic lagoon</v>
      </c>
      <c r="O155" s="52" cm="1">
        <f t="array" ref="O155">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7" t="str">
        <f>'Input - Swine'!$D$30</f>
        <v>Drylot (feed pad)</v>
      </c>
      <c r="E156" s="52">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7" t="str">
        <f>'Input - Swine'!$D$30</f>
        <v>Drylot (feed pad)</v>
      </c>
      <c r="O156" s="52">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7" t="str">
        <f>'Input - Swine'!$D$31</f>
        <v>Digester / covered lagoons</v>
      </c>
      <c r="E157" s="52">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7" t="str">
        <f>'Input - Swine'!$D$31</f>
        <v>Digester / covered lagoons</v>
      </c>
      <c r="O157" s="52" cm="1">
        <f t="array" ref="O157">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7" t="str">
        <f>'Input - Swine'!$D$32</f>
        <v>Deep litter</v>
      </c>
      <c r="E158" s="52">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7" t="str">
        <f>'Input - Swine'!$D$32</f>
        <v>Deep litter</v>
      </c>
      <c r="O158" s="52" cm="1">
        <f t="array" ref="O158">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7" t="str">
        <f>'Input - Swine'!$D$33</f>
        <v>Pit storage</v>
      </c>
      <c r="E159" s="52">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7" t="str">
        <f>'Input - Swine'!$D$33</f>
        <v>Pit storage</v>
      </c>
      <c r="O159" s="52" cm="1">
        <f t="array" ref="O159">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7" t="str">
        <f>'Input - Swine'!$D$34</f>
        <v>Solid storage</v>
      </c>
      <c r="E160" s="52">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7" t="str">
        <f>'Input - Swine'!$D$34</f>
        <v>Solid storage</v>
      </c>
      <c r="O160" s="52" cm="1">
        <f t="array" ref="O160">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21" t="s">
        <v>199</v>
      </c>
      <c r="N162" s="121" t="s">
        <v>218</v>
      </c>
    </row>
    <row r="163" spans="4:20" ht="20.100000000000001" customHeight="1" x14ac:dyDescent="0.25">
      <c r="D163" s="122" t="s">
        <v>200</v>
      </c>
      <c r="N163" s="122" t="s">
        <v>219</v>
      </c>
    </row>
    <row r="164" spans="4:20" ht="20.100000000000001" customHeight="1" x14ac:dyDescent="0.25">
      <c r="D164" s="51" t="s">
        <v>163</v>
      </c>
      <c r="E164" s="51" t="s">
        <v>171</v>
      </c>
      <c r="F164" s="51" t="s">
        <v>142</v>
      </c>
      <c r="G164" s="51" t="s">
        <v>143</v>
      </c>
      <c r="H164" s="51" t="s">
        <v>144</v>
      </c>
      <c r="I164" s="51" t="s">
        <v>206</v>
      </c>
      <c r="N164" s="51" t="s">
        <v>163</v>
      </c>
      <c r="O164" s="51" t="s">
        <v>171</v>
      </c>
      <c r="P164" s="51" t="s">
        <v>142</v>
      </c>
      <c r="Q164" s="51" t="s">
        <v>143</v>
      </c>
      <c r="R164" s="51" t="s">
        <v>144</v>
      </c>
      <c r="S164" s="51" t="s">
        <v>206</v>
      </c>
    </row>
    <row r="165" spans="4:20" ht="20.100000000000001" customHeight="1" x14ac:dyDescent="0.25">
      <c r="D165" s="57" t="str">
        <f>'Input - Swine'!$D$29</f>
        <v>Anaerobic lagoon</v>
      </c>
      <c r="E165" s="57" t="str">
        <f>'Input - Swine'!$D$48</f>
        <v>Digester / covered lagoons</v>
      </c>
      <c r="F165" s="52" cm="1">
        <f t="array" ref="F165">MMS_Swine_Methane_Equations.VEERG_4_5_1_1__6_Stage2MethaneProduction(E$103,$I$122,F131,VLOOKUP($E165,$D$155:$E$160,2, FALSE),$I$125)</f>
        <v>1.2374016000000002E-4</v>
      </c>
      <c r="G165" s="52" cm="1">
        <f t="array" ref="G165">MMS_Swine_Methane_Equations.VEERG_4_5_1_1__6_Stage2MethaneProduction(F$103,$I$122,G131,VLOOKUP($E165,$D$155:$E$160,2, FALSE),$I$125)</f>
        <v>1.7787648000000002E-4</v>
      </c>
      <c r="H165" s="52" cm="1">
        <f t="array" ref="H165">MMS_Swine_Methane_Equations.VEERG_4_5_1_1__6_Stage2MethaneProduction(G$103,$I$122,H131,VLOOKUP($E165,$D$155:$E$160,2, FALSE),$I$125)</f>
        <v>2.1267840000000003E-4</v>
      </c>
      <c r="I165" s="52" cm="1">
        <f t="array" ref="I165">MMS_Swine_Methane_Equations.VEERG_4_5_1_1__6_Stage2MethaneProduction(H$103,$I$122,I131,VLOOKUP($E165,$D$155:$E$160,2, FALSE),$I$125)</f>
        <v>1.5080832000000002E-4</v>
      </c>
      <c r="J165" s="2" t="str">
        <f>$E$119</f>
        <v>kg CH4/head/day</v>
      </c>
      <c r="N165" s="57" t="str">
        <f>'Input - Swine'!$D$29</f>
        <v>Anaerobic lagoon</v>
      </c>
      <c r="O165" s="57" t="str">
        <f>'Input - Swine'!$D$48</f>
        <v>Digester / covered lagoons</v>
      </c>
      <c r="P165" s="52" cm="1">
        <f t="array" ref="P165">MMS_Swine_Methane_Equations.VEERG_4_5_1_1__6_Stage2MethaneProduction(O$103,$I$122,F131,VLOOKUP($O165,$N$155:$O$160,2, FALSE),$I$125)</f>
        <v>1.2374016000000002E-4</v>
      </c>
      <c r="Q165" s="52" cm="1">
        <f t="array" ref="Q165">MMS_Swine_Methane_Equations.VEERG_4_5_1_1__6_Stage2MethaneProduction(P$103,$I$122,G131,VLOOKUP($O165,$N$155:$O$160,2, FALSE),$I$125)</f>
        <v>1.7787648000000002E-4</v>
      </c>
      <c r="R165" s="52" cm="1">
        <f t="array" ref="R165">MMS_Swine_Methane_Equations.VEERG_4_5_1_1__6_Stage2MethaneProduction(Q$103,$I$122,H131,VLOOKUP($O165,$N$155:$O$160,2, FALSE),$I$125)</f>
        <v>2.1267840000000003E-4</v>
      </c>
      <c r="S165" s="52" cm="1">
        <f t="array" ref="S165">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7"/>
      <c r="E166" s="57" t="str">
        <f>'Input - Swine'!$D$49</f>
        <v>Deep litter</v>
      </c>
      <c r="F166" s="52" cm="1">
        <f t="array" ref="F166">MMS_Swine_Methane_Equations.VEERG_4_5_1_1__6_Stage2MethaneProduction(E$103,$I$122,F132,VLOOKUP($E166,$D$155:$E$160,2, FALSE),$I$125)</f>
        <v>4.9496064000000004E-5</v>
      </c>
      <c r="G166" s="52" cm="1">
        <f t="array" ref="G166">MMS_Swine_Methane_Equations.VEERG_4_5_1_1__6_Stage2MethaneProduction(F$103,$I$122,G132,VLOOKUP($E166,$D$155:$E$160,2, FALSE),$I$125)</f>
        <v>7.1150592000000014E-5</v>
      </c>
      <c r="H166" s="52" cm="1">
        <f t="array" ref="H166">MMS_Swine_Methane_Equations.VEERG_4_5_1_1__6_Stage2MethaneProduction(G$103,$I$122,H132,VLOOKUP($E166,$D$155:$E$160,2, FALSE),$I$125)</f>
        <v>8.5071360000000011E-5</v>
      </c>
      <c r="I166" s="52" cm="1">
        <f t="array" ref="I166">MMS_Swine_Methane_Equations.VEERG_4_5_1_1__6_Stage2MethaneProduction(H$103,$I$122,I132,VLOOKUP($E166,$D$155:$E$160,2, FALSE),$I$125)</f>
        <v>6.0323328000000009E-5</v>
      </c>
      <c r="J166" s="2"/>
      <c r="N166" s="57"/>
      <c r="O166" s="57" t="str">
        <f>'Input - Swine'!$D$49</f>
        <v>Deep litter</v>
      </c>
      <c r="P166" s="52" cm="1">
        <f t="array" ref="P166">MMS_Swine_Methane_Equations.VEERG_4_5_1_1__6_Stage2MethaneProduction(O$103,$I$122,F132,VLOOKUP($O166,$N$155:$O$160,2, FALSE),$I$125)</f>
        <v>4.9496064000000004E-5</v>
      </c>
      <c r="Q166" s="52" cm="1">
        <f t="array" ref="Q166">MMS_Swine_Methane_Equations.VEERG_4_5_1_1__6_Stage2MethaneProduction(P$103,$I$122,G132,VLOOKUP($O166,$N$155:$O$160,2, FALSE),$I$125)</f>
        <v>7.1150592000000014E-5</v>
      </c>
      <c r="R166" s="52" cm="1">
        <f t="array" ref="R166">MMS_Swine_Methane_Equations.VEERG_4_5_1_1__6_Stage2MethaneProduction(Q$103,$I$122,H132,VLOOKUP($O166,$N$155:$O$160,2, FALSE),$I$125)</f>
        <v>8.5071360000000011E-5</v>
      </c>
      <c r="S166" s="52" cm="1">
        <f t="array" ref="S166">MMS_Swine_Methane_Equations.VEERG_4_5_1_1__6_Stage2MethaneProduction(R$103,$I$122,I132,VLOOKUP($O166,$N$155:$O$160,2, FALSE),$I$125)</f>
        <v>6.0323328000000009E-5</v>
      </c>
      <c r="T166" s="2"/>
    </row>
    <row r="167" spans="4:20" ht="20.100000000000001" customHeight="1" x14ac:dyDescent="0.25">
      <c r="D167" s="57"/>
      <c r="E167" s="57" t="str">
        <f>'Input - Swine'!$D$50</f>
        <v>Pit storage</v>
      </c>
      <c r="F167" s="52" cm="1">
        <f t="array" ref="F167">MMS_Swine_Methane_Equations.VEERG_4_5_1_1__6_Stage2MethaneProduction(E$103,$I$122,F133,VLOOKUP($E167,$D$155:$E$160,2, FALSE),$I$125)</f>
        <v>3.7122047999999999E-5</v>
      </c>
      <c r="G167" s="52" cm="1">
        <f t="array" ref="G167">MMS_Swine_Methane_Equations.VEERG_4_5_1_1__6_Stage2MethaneProduction(F$103,$I$122,G133,VLOOKUP($E167,$D$155:$E$160,2, FALSE),$I$125)</f>
        <v>5.3362944000000004E-5</v>
      </c>
      <c r="H167" s="52" cm="1">
        <f t="array" ref="H167">MMS_Swine_Methane_Equations.VEERG_4_5_1_1__6_Stage2MethaneProduction(G$103,$I$122,H133,VLOOKUP($E167,$D$155:$E$160,2, FALSE),$I$125)</f>
        <v>6.3803520000000008E-5</v>
      </c>
      <c r="I167" s="52" cm="1">
        <f t="array" ref="I167">MMS_Swine_Methane_Equations.VEERG_4_5_1_1__6_Stage2MethaneProduction(H$103,$I$122,I133,VLOOKUP($E167,$D$155:$E$160,2, FALSE),$I$125)</f>
        <v>4.5242496000000002E-5</v>
      </c>
      <c r="J167" s="2"/>
      <c r="N167" s="57"/>
      <c r="O167" s="57" t="str">
        <f>'Input - Swine'!$D$50</f>
        <v>Pit storage</v>
      </c>
      <c r="P167" s="52" cm="1">
        <f t="array" ref="P167">MMS_Swine_Methane_Equations.VEERG_4_5_1_1__6_Stage2MethaneProduction(O$103,$I$122,F133,VLOOKUP($O167,$N$155:$O$160,2, FALSE),$I$125)</f>
        <v>3.7122047999999999E-5</v>
      </c>
      <c r="Q167" s="52" cm="1">
        <f t="array" ref="Q167">MMS_Swine_Methane_Equations.VEERG_4_5_1_1__6_Stage2MethaneProduction(P$103,$I$122,G133,VLOOKUP($O167,$N$155:$O$160,2, FALSE),$I$125)</f>
        <v>5.3362944000000004E-5</v>
      </c>
      <c r="R167" s="52" cm="1">
        <f t="array" ref="R167">MMS_Swine_Methane_Equations.VEERG_4_5_1_1__6_Stage2MethaneProduction(Q$103,$I$122,H133,VLOOKUP($O167,$N$155:$O$160,2, FALSE),$I$125)</f>
        <v>6.3803520000000008E-5</v>
      </c>
      <c r="S167" s="52" cm="1">
        <f t="array" ref="S167">MMS_Swine_Methane_Equations.VEERG_4_5_1_1__6_Stage2MethaneProduction(R$103,$I$122,I133,VLOOKUP($O167,$N$155:$O$160,2, FALSE),$I$125)</f>
        <v>4.5242496000000002E-5</v>
      </c>
      <c r="T167" s="2"/>
    </row>
    <row r="168" spans="4:20" ht="20.100000000000001" customHeight="1" x14ac:dyDescent="0.25">
      <c r="D168" s="57" t="str">
        <f>'Input - Swine'!$D$30</f>
        <v>Drylot (feed pad)</v>
      </c>
      <c r="E168" s="57" t="str">
        <f>'Input - Swine'!$D$55</f>
        <v>Anaerobic lagoon</v>
      </c>
      <c r="F168" s="52" cm="1">
        <f t="array" ref="F168">MMS_Swine_Methane_Equations.VEERG_4_5_1_1__6_Stage2MethaneProduction(E$104,$I$122,F134,VLOOKUP($E168,$D$155:$E$160,2, FALSE),$I$125)</f>
        <v>9.4042521600000016E-4</v>
      </c>
      <c r="G168" s="52" cm="1">
        <f t="array" ref="G168">MMS_Swine_Methane_Equations.VEERG_4_5_1_1__6_Stage2MethaneProduction(F$104,$I$122,G134,VLOOKUP($E168,$D$155:$E$160,2, FALSE),$I$125)</f>
        <v>1.3518612480000003E-3</v>
      </c>
      <c r="H168" s="52" cm="1">
        <f t="array" ref="H168">MMS_Swine_Methane_Equations.VEERG_4_5_1_1__6_Stage2MethaneProduction(G$104,$I$122,H134,VLOOKUP($E168,$D$155:$E$160,2, FALSE),$I$125)</f>
        <v>1.6163558400000002E-3</v>
      </c>
      <c r="I168" s="52" cm="1">
        <f t="array" ref="I168">MMS_Swine_Methane_Equations.VEERG_4_5_1_1__6_Stage2MethaneProduction(H$104,$I$122,I134,VLOOKUP($E168,$D$155:$E$160,2, FALSE),$I$125)</f>
        <v>1.146143232E-3</v>
      </c>
      <c r="J168" s="2"/>
      <c r="N168" s="57" t="str">
        <f>'Input - Swine'!$D$30</f>
        <v>Drylot (feed pad)</v>
      </c>
      <c r="O168" s="57" t="str">
        <f>'Input - Swine'!$D$55</f>
        <v>Anaerobic lagoon</v>
      </c>
      <c r="P168" s="52" cm="1">
        <f t="array" ref="P168">MMS_Swine_Methane_Equations.VEERG_4_5_1_1__6_Stage2MethaneProduction(O$104,$I$122,F134,VLOOKUP($O168,$N$155:$O$160,2, FALSE),$I$125)</f>
        <v>9.5279923199999999E-4</v>
      </c>
      <c r="Q168" s="52" cm="1">
        <f t="array" ref="Q168">MMS_Swine_Methane_Equations.VEERG_4_5_1_1__6_Stage2MethaneProduction(P$104,$I$122,G134,VLOOKUP($O168,$N$155:$O$160,2, FALSE),$I$125)</f>
        <v>1.3696488960000003E-3</v>
      </c>
      <c r="R168" s="52" cm="1">
        <f t="array" ref="R168">MMS_Swine_Methane_Equations.VEERG_4_5_1_1__6_Stage2MethaneProduction(Q$104,$I$122,H134,VLOOKUP($O168,$N$155:$O$160,2, FALSE),$I$125)</f>
        <v>1.63762368E-3</v>
      </c>
      <c r="S168" s="52" cm="1">
        <f t="array" ref="S168">MMS_Swine_Methane_Equations.VEERG_4_5_1_1__6_Stage2MethaneProduction(R$104,$I$122,I134,VLOOKUP($O168,$N$155:$O$160,2, FALSE),$I$125)</f>
        <v>1.1612240640000002E-3</v>
      </c>
      <c r="T168" s="2"/>
    </row>
    <row r="169" spans="4:20" ht="20.100000000000001" customHeight="1" x14ac:dyDescent="0.25">
      <c r="D169" s="57"/>
      <c r="E169" s="57" t="str">
        <f>'Input - Swine'!$D$56</f>
        <v>Digester / covered lagoons</v>
      </c>
      <c r="F169" s="52" cm="1">
        <f t="array" ref="F169">MMS_Swine_Methane_Equations.VEERG_4_5_1_1__6_Stage2MethaneProduction(E$104,$I$122,F135,VLOOKUP($E169,$D$155:$E$160,2, FALSE),$I$125)</f>
        <v>1.2374016000000002E-4</v>
      </c>
      <c r="G169" s="52" cm="1">
        <f t="array" ref="G169">MMS_Swine_Methane_Equations.VEERG_4_5_1_1__6_Stage2MethaneProduction(F$104,$I$122,G135,VLOOKUP($E169,$D$155:$E$160,2, FALSE),$I$125)</f>
        <v>1.7787648000000002E-4</v>
      </c>
      <c r="H169" s="52" cm="1">
        <f t="array" ref="H169">MMS_Swine_Methane_Equations.VEERG_4_5_1_1__6_Stage2MethaneProduction(G$104,$I$122,H135,VLOOKUP($E169,$D$155:$E$160,2, FALSE),$I$125)</f>
        <v>2.1267840000000003E-4</v>
      </c>
      <c r="I169" s="52" cm="1">
        <f t="array" ref="I169">MMS_Swine_Methane_Equations.VEERG_4_5_1_1__6_Stage2MethaneProduction(H$104,$I$122,I135,VLOOKUP($E169,$D$155:$E$160,2, FALSE),$I$125)</f>
        <v>1.5080832000000002E-4</v>
      </c>
      <c r="J169" s="2"/>
      <c r="N169" s="57"/>
      <c r="O169" s="57" t="str">
        <f>'Input - Swine'!$D$56</f>
        <v>Digester / covered lagoons</v>
      </c>
      <c r="P169" s="52" cm="1">
        <f t="array" ref="P169">MMS_Swine_Methane_Equations.VEERG_4_5_1_1__6_Stage2MethaneProduction(O$104,$I$122,F135,VLOOKUP($O169,$N$155:$O$160,2, FALSE),$I$125)</f>
        <v>1.2374016000000002E-4</v>
      </c>
      <c r="Q169" s="52" cm="1">
        <f t="array" ref="Q169">MMS_Swine_Methane_Equations.VEERG_4_5_1_1__6_Stage2MethaneProduction(P$104,$I$122,G135,VLOOKUP($O169,$N$155:$O$160,2, FALSE),$I$125)</f>
        <v>1.7787648000000002E-4</v>
      </c>
      <c r="R169" s="52" cm="1">
        <f t="array" ref="R169">MMS_Swine_Methane_Equations.VEERG_4_5_1_1__6_Stage2MethaneProduction(Q$104,$I$122,H135,VLOOKUP($O169,$N$155:$O$160,2, FALSE),$I$125)</f>
        <v>2.1267840000000003E-4</v>
      </c>
      <c r="S169" s="52" cm="1">
        <f t="array" ref="S169">MMS_Swine_Methane_Equations.VEERG_4_5_1_1__6_Stage2MethaneProduction(R$104,$I$122,I135,VLOOKUP($O169,$N$155:$O$160,2, FALSE),$I$125)</f>
        <v>1.5080832000000002E-4</v>
      </c>
      <c r="T169" s="2"/>
    </row>
    <row r="170" spans="4:20" ht="20.100000000000001" customHeight="1" x14ac:dyDescent="0.25">
      <c r="D170" s="57"/>
      <c r="E170" s="57" t="str">
        <f>'Input - Swine'!$D$57</f>
        <v>Deep litter</v>
      </c>
      <c r="F170" s="52" cm="1">
        <f t="array" ref="F170">MMS_Swine_Methane_Equations.VEERG_4_5_1_1__6_Stage2MethaneProduction(E$104,$I$122,F136,VLOOKUP($E170,$D$155:$E$160,2, FALSE),$I$125)</f>
        <v>4.9496064000000004E-5</v>
      </c>
      <c r="G170" s="52" cm="1">
        <f t="array" ref="G170">MMS_Swine_Methane_Equations.VEERG_4_5_1_1__6_Stage2MethaneProduction(F$104,$I$122,G136,VLOOKUP($E170,$D$155:$E$160,2, FALSE),$I$125)</f>
        <v>7.1150592000000014E-5</v>
      </c>
      <c r="H170" s="52" cm="1">
        <f t="array" ref="H170">MMS_Swine_Methane_Equations.VEERG_4_5_1_1__6_Stage2MethaneProduction(G$104,$I$122,H136,VLOOKUP($E170,$D$155:$E$160,2, FALSE),$I$125)</f>
        <v>8.5071360000000011E-5</v>
      </c>
      <c r="I170" s="52" cm="1">
        <f t="array" ref="I170">MMS_Swine_Methane_Equations.VEERG_4_5_1_1__6_Stage2MethaneProduction(H$104,$I$122,I136,VLOOKUP($E170,$D$155:$E$160,2, FALSE),$I$125)</f>
        <v>6.0323328000000009E-5</v>
      </c>
      <c r="J170" s="2"/>
      <c r="N170" s="57"/>
      <c r="O170" s="57" t="str">
        <f>'Input - Swine'!$D$57</f>
        <v>Deep litter</v>
      </c>
      <c r="P170" s="52" cm="1">
        <f t="array" ref="P170">MMS_Swine_Methane_Equations.VEERG_4_5_1_1__6_Stage2MethaneProduction(O$104,$I$122,F136,VLOOKUP($O170,$N$155:$O$160,2, FALSE),$I$125)</f>
        <v>4.9496064000000004E-5</v>
      </c>
      <c r="Q170" s="52" cm="1">
        <f t="array" ref="Q170">MMS_Swine_Methane_Equations.VEERG_4_5_1_1__6_Stage2MethaneProduction(P$104,$I$122,G136,VLOOKUP($O170,$N$155:$O$160,2, FALSE),$I$125)</f>
        <v>7.1150592000000014E-5</v>
      </c>
      <c r="R170" s="52" cm="1">
        <f t="array" ref="R170">MMS_Swine_Methane_Equations.VEERG_4_5_1_1__6_Stage2MethaneProduction(Q$104,$I$122,H136,VLOOKUP($O170,$N$155:$O$160,2, FALSE),$I$125)</f>
        <v>8.5071360000000011E-5</v>
      </c>
      <c r="S170" s="52" cm="1">
        <f t="array" ref="S170">MMS_Swine_Methane_Equations.VEERG_4_5_1_1__6_Stage2MethaneProduction(R$104,$I$122,I136,VLOOKUP($O170,$N$155:$O$160,2, FALSE),$I$125)</f>
        <v>6.0323328000000009E-5</v>
      </c>
      <c r="T170" s="2"/>
    </row>
    <row r="171" spans="4:20" ht="20.100000000000001" customHeight="1" x14ac:dyDescent="0.25">
      <c r="D171" s="57"/>
      <c r="E171" s="57" t="str">
        <f>'Input - Swine'!$D$58</f>
        <v>Pit storage</v>
      </c>
      <c r="F171" s="52" cm="1">
        <f t="array" ref="F171">MMS_Swine_Methane_Equations.VEERG_4_5_1_1__6_Stage2MethaneProduction(E$104,$I$122,F137,VLOOKUP($E171,$D$155:$E$160,2, FALSE),$I$125)</f>
        <v>3.7122047999999999E-5</v>
      </c>
      <c r="G171" s="52" cm="1">
        <f t="array" ref="G171">MMS_Swine_Methane_Equations.VEERG_4_5_1_1__6_Stage2MethaneProduction(F$104,$I$122,G137,VLOOKUP($E171,$D$155:$E$160,2, FALSE),$I$125)</f>
        <v>5.3362944000000004E-5</v>
      </c>
      <c r="H171" s="52" cm="1">
        <f t="array" ref="H171">MMS_Swine_Methane_Equations.VEERG_4_5_1_1__6_Stage2MethaneProduction(G$104,$I$122,H137,VLOOKUP($E171,$D$155:$E$160,2, FALSE),$I$125)</f>
        <v>6.3803520000000008E-5</v>
      </c>
      <c r="I171" s="52" cm="1">
        <f t="array" ref="I171">MMS_Swine_Methane_Equations.VEERG_4_5_1_1__6_Stage2MethaneProduction(H$104,$I$122,I137,VLOOKUP($E171,$D$155:$E$160,2, FALSE),$I$125)</f>
        <v>4.5242496000000002E-5</v>
      </c>
      <c r="J171" s="2"/>
      <c r="N171" s="57"/>
      <c r="O171" s="57" t="str">
        <f>'Input - Swine'!$D$58</f>
        <v>Pit storage</v>
      </c>
      <c r="P171" s="52" cm="1">
        <f t="array" ref="P171">MMS_Swine_Methane_Equations.VEERG_4_5_1_1__6_Stage2MethaneProduction(O$104,$I$122,F137,VLOOKUP($O171,$N$155:$O$160,2, FALSE),$I$125)</f>
        <v>3.7122047999999999E-5</v>
      </c>
      <c r="Q171" s="52" cm="1">
        <f t="array" ref="Q171">MMS_Swine_Methane_Equations.VEERG_4_5_1_1__6_Stage2MethaneProduction(P$104,$I$122,G137,VLOOKUP($O171,$N$155:$O$160,2, FALSE),$I$125)</f>
        <v>5.3362944000000004E-5</v>
      </c>
      <c r="R171" s="52" cm="1">
        <f t="array" ref="R171">MMS_Swine_Methane_Equations.VEERG_4_5_1_1__6_Stage2MethaneProduction(Q$104,$I$122,H137,VLOOKUP($O171,$N$155:$O$160,2, FALSE),$I$125)</f>
        <v>6.3803520000000008E-5</v>
      </c>
      <c r="S171" s="52" cm="1">
        <f t="array" ref="S171">MMS_Swine_Methane_Equations.VEERG_4_5_1_1__6_Stage2MethaneProduction(R$104,$I$122,I137,VLOOKUP($O171,$N$155:$O$160,2, FALSE),$I$125)</f>
        <v>4.5242496000000002E-5</v>
      </c>
      <c r="T171" s="2"/>
    </row>
    <row r="172" spans="4:20" ht="20.100000000000001" customHeight="1" x14ac:dyDescent="0.25">
      <c r="D172" s="57" t="str">
        <f>'Input - Swine'!$D$31</f>
        <v>Digester / covered lagoons</v>
      </c>
      <c r="E172" s="57" t="str">
        <f>'Input - Swine'!$D$63</f>
        <v>Anaerobic lagoon</v>
      </c>
      <c r="F172" s="52" cm="1">
        <f t="array" ref="F172">MMS_Swine_Methane_Equations.VEERG_4_5_1_1__6_Stage2MethaneProduction(E$105,$I$122,F138,VLOOKUP($E172,$D$155:$E$160,2, FALSE),$I$125)</f>
        <v>2.3510630400000004E-4</v>
      </c>
      <c r="G172" s="52" cm="1">
        <f t="array" ref="G172">MMS_Swine_Methane_Equations.VEERG_4_5_1_1__6_Stage2MethaneProduction(F$105,$I$122,G138,VLOOKUP($E172,$D$155:$E$160,2, FALSE),$I$125)</f>
        <v>3.3796531200000008E-4</v>
      </c>
      <c r="H172" s="52" cm="1">
        <f t="array" ref="H172">MMS_Swine_Methane_Equations.VEERG_4_5_1_1__6_Stage2MethaneProduction(G$105,$I$122,H138,VLOOKUP($E172,$D$155:$E$160,2, FALSE),$I$125)</f>
        <v>4.0408896000000005E-4</v>
      </c>
      <c r="I172" s="52" cm="1">
        <f t="array" ref="I172">MMS_Swine_Methane_Equations.VEERG_4_5_1_1__6_Stage2MethaneProduction(H$105,$I$122,I138,VLOOKUP($E172,$D$155:$E$160,2, FALSE),$I$125)</f>
        <v>2.86535808E-4</v>
      </c>
      <c r="J172" s="2"/>
      <c r="N172" s="57" t="str">
        <f>'Input - Swine'!$D$31</f>
        <v>Digester / covered lagoons</v>
      </c>
      <c r="O172" s="57" t="str">
        <f>'Input - Swine'!$D$63</f>
        <v>Anaerobic lagoon</v>
      </c>
      <c r="P172" s="52" cm="1">
        <f t="array" ref="P172">MMS_Swine_Methane_Equations.VEERG_4_5_1_1__6_Stage2MethaneProduction(O$105,$I$122,F138,VLOOKUP($O172,$N$155:$O$160,2, FALSE),$I$125)</f>
        <v>2.38199808E-4</v>
      </c>
      <c r="Q172" s="52" cm="1">
        <f t="array" ref="Q172">MMS_Swine_Methane_Equations.VEERG_4_5_1_1__6_Stage2MethaneProduction(P$105,$I$122,G138,VLOOKUP($O172,$N$155:$O$160,2, FALSE),$I$125)</f>
        <v>3.4241222400000008E-4</v>
      </c>
      <c r="R172" s="52" cm="1">
        <f t="array" ref="R172">MMS_Swine_Methane_Equations.VEERG_4_5_1_1__6_Stage2MethaneProduction(Q$105,$I$122,H138,VLOOKUP($O172,$N$155:$O$160,2, FALSE),$I$125)</f>
        <v>4.0940592000000001E-4</v>
      </c>
      <c r="S172" s="52" cm="1">
        <f t="array" ref="S172">MMS_Swine_Methane_Equations.VEERG_4_5_1_1__6_Stage2MethaneProduction(R$105,$I$122,I138,VLOOKUP($O172,$N$155:$O$160,2, FALSE),$I$125)</f>
        <v>2.9030601600000004E-4</v>
      </c>
      <c r="T172" s="2"/>
    </row>
    <row r="173" spans="4:20" ht="20.100000000000001" customHeight="1" x14ac:dyDescent="0.25">
      <c r="D173" s="57"/>
      <c r="E173" s="57" t="str">
        <f>'Input - Swine'!$D$64</f>
        <v>Deep litter</v>
      </c>
      <c r="F173" s="52" cm="1">
        <f t="array" ref="F173">MMS_Swine_Methane_Equations.VEERG_4_5_1_1__6_Stage2MethaneProduction(E$105,$I$122,F139,VLOOKUP($E173,$D$155:$E$160,2, FALSE),$I$125)</f>
        <v>1.2374016000000001E-5</v>
      </c>
      <c r="G173" s="52" cm="1">
        <f t="array" ref="G173">MMS_Swine_Methane_Equations.VEERG_4_5_1_1__6_Stage2MethaneProduction(F$105,$I$122,G139,VLOOKUP($E173,$D$155:$E$160,2, FALSE),$I$125)</f>
        <v>1.7787648000000004E-5</v>
      </c>
      <c r="H173" s="52" cm="1">
        <f t="array" ref="H173">MMS_Swine_Methane_Equations.VEERG_4_5_1_1__6_Stage2MethaneProduction(G$105,$I$122,H139,VLOOKUP($E173,$D$155:$E$160,2, FALSE),$I$125)</f>
        <v>2.1267840000000003E-5</v>
      </c>
      <c r="I173" s="52" cm="1">
        <f t="array" ref="I173">MMS_Swine_Methane_Equations.VEERG_4_5_1_1__6_Stage2MethaneProduction(H$105,$I$122,I139,VLOOKUP($E173,$D$155:$E$160,2, FALSE),$I$125)</f>
        <v>1.5080832000000002E-5</v>
      </c>
      <c r="J173" s="2"/>
      <c r="N173" s="57"/>
      <c r="O173" s="57" t="str">
        <f>'Input - Swine'!$D$64</f>
        <v>Deep litter</v>
      </c>
      <c r="P173" s="52" cm="1">
        <f t="array" ref="P173">MMS_Swine_Methane_Equations.VEERG_4_5_1_1__6_Stage2MethaneProduction(O$105,$I$122,F139,VLOOKUP($O173,$N$155:$O$160,2, FALSE),$I$125)</f>
        <v>1.2374016000000001E-5</v>
      </c>
      <c r="Q173" s="52" cm="1">
        <f t="array" ref="Q173">MMS_Swine_Methane_Equations.VEERG_4_5_1_1__6_Stage2MethaneProduction(P$105,$I$122,G139,VLOOKUP($O173,$N$155:$O$160,2, FALSE),$I$125)</f>
        <v>1.7787648000000004E-5</v>
      </c>
      <c r="R173" s="52" cm="1">
        <f t="array" ref="R173">MMS_Swine_Methane_Equations.VEERG_4_5_1_1__6_Stage2MethaneProduction(Q$105,$I$122,H139,VLOOKUP($O173,$N$155:$O$160,2, FALSE),$I$125)</f>
        <v>2.1267840000000003E-5</v>
      </c>
      <c r="S173" s="52" cm="1">
        <f t="array" ref="S173">MMS_Swine_Methane_Equations.VEERG_4_5_1_1__6_Stage2MethaneProduction(R$105,$I$122,I139,VLOOKUP($O173,$N$155:$O$160,2, FALSE),$I$125)</f>
        <v>1.5080832000000002E-5</v>
      </c>
      <c r="T173" s="2"/>
    </row>
    <row r="174" spans="4:20" ht="20.100000000000001" customHeight="1" x14ac:dyDescent="0.25">
      <c r="D174" s="57"/>
      <c r="E174" s="57" t="str">
        <f>'Input - Swine'!$D$65</f>
        <v>Pit storage</v>
      </c>
      <c r="F174" s="52" cm="1">
        <f t="array" ref="F174">MMS_Swine_Methane_Equations.VEERG_4_5_1_1__6_Stage2MethaneProduction(E$105,$I$122,F140,VLOOKUP($E174,$D$155:$E$160,2, FALSE),$I$125)</f>
        <v>9.2805119999999998E-6</v>
      </c>
      <c r="G174" s="52" cm="1">
        <f t="array" ref="G174">MMS_Swine_Methane_Equations.VEERG_4_5_1_1__6_Stage2MethaneProduction(F$105,$I$122,G140,VLOOKUP($E174,$D$155:$E$160,2, FALSE),$I$125)</f>
        <v>1.3340736000000001E-5</v>
      </c>
      <c r="H174" s="52" cm="1">
        <f t="array" ref="H174">MMS_Swine_Methane_Equations.VEERG_4_5_1_1__6_Stage2MethaneProduction(G$105,$I$122,H140,VLOOKUP($E174,$D$155:$E$160,2, FALSE),$I$125)</f>
        <v>1.5950880000000002E-5</v>
      </c>
      <c r="I174" s="52" cm="1">
        <f t="array" ref="I174">MMS_Swine_Methane_Equations.VEERG_4_5_1_1__6_Stage2MethaneProduction(H$105,$I$122,I140,VLOOKUP($E174,$D$155:$E$160,2, FALSE),$I$125)</f>
        <v>1.1310624E-5</v>
      </c>
      <c r="J174" s="2"/>
      <c r="N174" s="57"/>
      <c r="O174" s="57" t="str">
        <f>'Input - Swine'!$D$65</f>
        <v>Pit storage</v>
      </c>
      <c r="P174" s="52" cm="1">
        <f t="array" ref="P174">MMS_Swine_Methane_Equations.VEERG_4_5_1_1__6_Stage2MethaneProduction(O$105,$I$122,F140,VLOOKUP($O174,$N$155:$O$160,2, FALSE),$I$125)</f>
        <v>9.2805119999999998E-6</v>
      </c>
      <c r="Q174" s="52" cm="1">
        <f t="array" ref="Q174">MMS_Swine_Methane_Equations.VEERG_4_5_1_1__6_Stage2MethaneProduction(P$105,$I$122,G140,VLOOKUP($O174,$N$155:$O$160,2, FALSE),$I$125)</f>
        <v>1.3340736000000001E-5</v>
      </c>
      <c r="R174" s="52" cm="1">
        <f t="array" ref="R174">MMS_Swine_Methane_Equations.VEERG_4_5_1_1__6_Stage2MethaneProduction(Q$105,$I$122,H140,VLOOKUP($O174,$N$155:$O$160,2, FALSE),$I$125)</f>
        <v>1.5950880000000002E-5</v>
      </c>
      <c r="S174" s="52" cm="1">
        <f t="array" ref="S174">MMS_Swine_Methane_Equations.VEERG_4_5_1_1__6_Stage2MethaneProduction(R$105,$I$122,I140,VLOOKUP($O174,$N$155:$O$160,2, FALSE),$I$125)</f>
        <v>1.1310624E-5</v>
      </c>
      <c r="T174" s="2"/>
    </row>
    <row r="175" spans="4:20" ht="20.100000000000001" customHeight="1" x14ac:dyDescent="0.25">
      <c r="D175" s="57" t="str">
        <f>'Input - Swine'!$D$32</f>
        <v>Deep litter</v>
      </c>
      <c r="E175" s="57" t="str">
        <f>'Input - Swine'!$D$70</f>
        <v>Anaerobic lagoon</v>
      </c>
      <c r="F175" s="52" cm="1">
        <f t="array" ref="F175">MMS_Swine_Methane_Equations.VEERG_4_5_1_1__6_Stage2MethaneProduction(E$106,$I$122,F141,VLOOKUP($E175,$D$155:$E$160,2, FALSE),$I$125)</f>
        <v>8.9340395520000001E-4</v>
      </c>
      <c r="G175" s="52" cm="1">
        <f t="array" ref="G175">MMS_Swine_Methane_Equations.VEERG_4_5_1_1__6_Stage2MethaneProduction(F$106,$I$122,G141,VLOOKUP($E175,$D$155:$E$160,2, FALSE),$I$125)</f>
        <v>1.2842681856000001E-3</v>
      </c>
      <c r="H175" s="52" cm="1">
        <f t="array" ref="H175">MMS_Swine_Methane_Equations.VEERG_4_5_1_1__6_Stage2MethaneProduction(G$106,$I$122,H141,VLOOKUP($E175,$D$155:$E$160,2, FALSE),$I$125)</f>
        <v>1.5355380480000004E-3</v>
      </c>
      <c r="I175" s="52" cm="1">
        <f t="array" ref="I175">MMS_Swine_Methane_Equations.VEERG_4_5_1_1__6_Stage2MethaneProduction(H$106,$I$122,I141,VLOOKUP($E175,$D$155:$E$160,2, FALSE),$I$125)</f>
        <v>1.0888360704000002E-3</v>
      </c>
      <c r="J175" s="2"/>
      <c r="N175" s="57" t="str">
        <f>'Input - Swine'!$D$32</f>
        <v>Deep litter</v>
      </c>
      <c r="O175" s="57" t="str">
        <f>'Input - Swine'!$D$70</f>
        <v>Anaerobic lagoon</v>
      </c>
      <c r="P175" s="52" cm="1">
        <f t="array" ref="P175">MMS_Swine_Methane_Equations.VEERG_4_5_1_1__6_Stage2MethaneProduction(O$106,$I$122,F141,VLOOKUP($O175,$N$155:$O$160,2, FALSE),$I$125)</f>
        <v>9.0515927040000002E-4</v>
      </c>
      <c r="Q175" s="52" cm="1">
        <f t="array" ref="Q175">MMS_Swine_Methane_Equations.VEERG_4_5_1_1__6_Stage2MethaneProduction(P$106,$I$122,G141,VLOOKUP($O175,$N$155:$O$160,2, FALSE),$I$125)</f>
        <v>1.3011664512E-3</v>
      </c>
      <c r="R175" s="52" cm="1">
        <f t="array" ref="R175">MMS_Swine_Methane_Equations.VEERG_4_5_1_1__6_Stage2MethaneProduction(Q$106,$I$122,H141,VLOOKUP($O175,$N$155:$O$160,2, FALSE),$I$125)</f>
        <v>1.5557424960000003E-3</v>
      </c>
      <c r="S175" s="52" cm="1">
        <f t="array" ref="S175">MMS_Swine_Methane_Equations.VEERG_4_5_1_1__6_Stage2MethaneProduction(R$106,$I$122,I141,VLOOKUP($O175,$N$155:$O$160,2, FALSE),$I$125)</f>
        <v>1.1031628608000001E-3</v>
      </c>
      <c r="T175" s="2"/>
    </row>
    <row r="176" spans="4:20" ht="20.100000000000001" customHeight="1" x14ac:dyDescent="0.25">
      <c r="D176" s="57"/>
      <c r="E176" s="57" t="str">
        <f>'Input - Swine'!$D$71</f>
        <v>Digester / covered lagoons</v>
      </c>
      <c r="F176" s="52" cm="1">
        <f t="array" ref="F176">MMS_Swine_Methane_Equations.VEERG_4_5_1_1__6_Stage2MethaneProduction(E$106,$I$122,F142,VLOOKUP($E176,$D$155:$E$160,2, FALSE),$I$125)</f>
        <v>1.1755315200000002E-4</v>
      </c>
      <c r="G176" s="52" cm="1">
        <f t="array" ref="G176">MMS_Swine_Methane_Equations.VEERG_4_5_1_1__6_Stage2MethaneProduction(F$106,$I$122,G142,VLOOKUP($E176,$D$155:$E$160,2, FALSE),$I$125)</f>
        <v>1.6898265599999998E-4</v>
      </c>
      <c r="H176" s="52" cm="1">
        <f t="array" ref="H176">MMS_Swine_Methane_Equations.VEERG_4_5_1_1__6_Stage2MethaneProduction(G$106,$I$122,H142,VLOOKUP($E176,$D$155:$E$160,2, FALSE),$I$125)</f>
        <v>2.0204448000000003E-4</v>
      </c>
      <c r="I176" s="52" cm="1">
        <f t="array" ref="I176">MMS_Swine_Methane_Equations.VEERG_4_5_1_1__6_Stage2MethaneProduction(H$106,$I$122,I142,VLOOKUP($E176,$D$155:$E$160,2, FALSE),$I$125)</f>
        <v>1.43267904E-4</v>
      </c>
      <c r="J176" s="2"/>
      <c r="N176" s="57"/>
      <c r="O176" s="57" t="str">
        <f>'Input - Swine'!$D$71</f>
        <v>Digester / covered lagoons</v>
      </c>
      <c r="P176" s="52" cm="1">
        <f t="array" ref="P176">MMS_Swine_Methane_Equations.VEERG_4_5_1_1__6_Stage2MethaneProduction(O$106,$I$122,F142,VLOOKUP($O176,$N$155:$O$160,2, FALSE),$I$125)</f>
        <v>1.1755315200000002E-4</v>
      </c>
      <c r="Q176" s="52" cm="1">
        <f t="array" ref="Q176">MMS_Swine_Methane_Equations.VEERG_4_5_1_1__6_Stage2MethaneProduction(P$106,$I$122,G142,VLOOKUP($O176,$N$155:$O$160,2, FALSE),$I$125)</f>
        <v>1.6898265599999998E-4</v>
      </c>
      <c r="R176" s="52" cm="1">
        <f t="array" ref="R176">MMS_Swine_Methane_Equations.VEERG_4_5_1_1__6_Stage2MethaneProduction(Q$106,$I$122,H142,VLOOKUP($O176,$N$155:$O$160,2, FALSE),$I$125)</f>
        <v>2.0204448000000003E-4</v>
      </c>
      <c r="S176" s="52" cm="1">
        <f t="array" ref="S176">MMS_Swine_Methane_Equations.VEERG_4_5_1_1__6_Stage2MethaneProduction(R$106,$I$122,I142,VLOOKUP($O176,$N$155:$O$160,2, FALSE),$I$125)</f>
        <v>1.43267904E-4</v>
      </c>
      <c r="T176" s="2"/>
    </row>
    <row r="177" spans="1:21" ht="20.100000000000001" customHeight="1" x14ac:dyDescent="0.25">
      <c r="D177" s="57"/>
      <c r="E177" s="57" t="str">
        <f>'Input - Swine'!$D$72</f>
        <v>Pit storage</v>
      </c>
      <c r="F177" s="52" cm="1">
        <f t="array" ref="F177">MMS_Swine_Methane_Equations.VEERG_4_5_1_1__6_Stage2MethaneProduction(E$106,$I$122,F143,VLOOKUP($E177,$D$155:$E$160,2, FALSE),$I$125)</f>
        <v>3.5265945600000003E-5</v>
      </c>
      <c r="G177" s="52" cm="1">
        <f t="array" ref="G177">MMS_Swine_Methane_Equations.VEERG_4_5_1_1__6_Stage2MethaneProduction(F$106,$I$122,G143,VLOOKUP($E177,$D$155:$E$160,2, FALSE),$I$125)</f>
        <v>5.0694796799999996E-5</v>
      </c>
      <c r="H177" s="52" cm="1">
        <f t="array" ref="H177">MMS_Swine_Methane_Equations.VEERG_4_5_1_1__6_Stage2MethaneProduction(G$106,$I$122,H143,VLOOKUP($E177,$D$155:$E$160,2, FALSE),$I$125)</f>
        <v>6.0613344000000005E-5</v>
      </c>
      <c r="I177" s="52" cm="1">
        <f t="array" ref="I177">MMS_Swine_Methane_Equations.VEERG_4_5_1_1__6_Stage2MethaneProduction(H$106,$I$122,I143,VLOOKUP($E177,$D$155:$E$160,2, FALSE),$I$125)</f>
        <v>4.2980371200000003E-5</v>
      </c>
      <c r="J177" s="2"/>
      <c r="N177" s="57"/>
      <c r="O177" s="57" t="str">
        <f>'Input - Swine'!$D$72</f>
        <v>Pit storage</v>
      </c>
      <c r="P177" s="52" cm="1">
        <f t="array" ref="P177">MMS_Swine_Methane_Equations.VEERG_4_5_1_1__6_Stage2MethaneProduction(O$106,$I$122,F143,VLOOKUP($O177,$N$155:$O$160,2, FALSE),$I$125)</f>
        <v>3.5265945600000003E-5</v>
      </c>
      <c r="Q177" s="52" cm="1">
        <f t="array" ref="Q177">MMS_Swine_Methane_Equations.VEERG_4_5_1_1__6_Stage2MethaneProduction(P$106,$I$122,G143,VLOOKUP($O177,$N$155:$O$160,2, FALSE),$I$125)</f>
        <v>5.0694796799999996E-5</v>
      </c>
      <c r="R177" s="52" cm="1">
        <f t="array" ref="R177">MMS_Swine_Methane_Equations.VEERG_4_5_1_1__6_Stage2MethaneProduction(Q$106,$I$122,H143,VLOOKUP($O177,$N$155:$O$160,2, FALSE),$I$125)</f>
        <v>6.0613344000000005E-5</v>
      </c>
      <c r="S177" s="52" cm="1">
        <f t="array" ref="S177">MMS_Swine_Methane_Equations.VEERG_4_5_1_1__6_Stage2MethaneProduction(R$106,$I$122,I143,VLOOKUP($O177,$N$155:$O$160,2, FALSE),$I$125)</f>
        <v>4.2980371200000003E-5</v>
      </c>
      <c r="T177" s="2"/>
    </row>
    <row r="178" spans="1:21" ht="20.100000000000001" customHeight="1" x14ac:dyDescent="0.25">
      <c r="D178" s="57" t="str">
        <f>'Input - Swine'!$D$33</f>
        <v>Pit storage</v>
      </c>
      <c r="E178" s="57" t="str">
        <f>'Input - Swine'!$D$77</f>
        <v>Anaerobic lagoon</v>
      </c>
      <c r="F178" s="52" cm="1">
        <f t="array" ref="F178">MMS_Swine_Methane_Equations.VEERG_4_5_1_1__6_Stage2MethaneProduction(E$107,$I$122,F144,VLOOKUP($E178,$D$155:$E$160,2, FALSE),$I$125)</f>
        <v>9.4042521600000016E-4</v>
      </c>
      <c r="G178" s="52" cm="1">
        <f t="array" ref="G178">MMS_Swine_Methane_Equations.VEERG_4_5_1_1__6_Stage2MethaneProduction(F$107,$I$122,G144,VLOOKUP($E178,$D$155:$E$160,2, FALSE),$I$125)</f>
        <v>1.3518612480000003E-3</v>
      </c>
      <c r="H178" s="52" cm="1">
        <f t="array" ref="H178">MMS_Swine_Methane_Equations.VEERG_4_5_1_1__6_Stage2MethaneProduction(G$107,$I$122,H144,VLOOKUP($E178,$D$155:$E$160,2, FALSE),$I$125)</f>
        <v>1.6163558400000002E-3</v>
      </c>
      <c r="I178" s="52" cm="1">
        <f t="array" ref="I178">MMS_Swine_Methane_Equations.VEERG_4_5_1_1__6_Stage2MethaneProduction(H$107,$I$122,I144,VLOOKUP($E178,$D$155:$E$160,2, FALSE),$I$125)</f>
        <v>1.146143232E-3</v>
      </c>
      <c r="J178" s="2"/>
      <c r="N178" s="57" t="str">
        <f>'Input - Swine'!$D$33</f>
        <v>Pit storage</v>
      </c>
      <c r="O178" s="57" t="str">
        <f>'Input - Swine'!$D$77</f>
        <v>Anaerobic lagoon</v>
      </c>
      <c r="P178" s="52" cm="1">
        <f t="array" ref="P178">MMS_Swine_Methane_Equations.VEERG_4_5_1_1__6_Stage2MethaneProduction(O$107,$I$122,F144,VLOOKUP($O178,$N$155:$O$160,2, FALSE),$I$125)</f>
        <v>9.5279923199999999E-4</v>
      </c>
      <c r="Q178" s="52" cm="1">
        <f t="array" ref="Q178">MMS_Swine_Methane_Equations.VEERG_4_5_1_1__6_Stage2MethaneProduction(P$107,$I$122,G144,VLOOKUP($O178,$N$155:$O$160,2, FALSE),$I$125)</f>
        <v>1.3696488960000003E-3</v>
      </c>
      <c r="R178" s="52" cm="1">
        <f t="array" ref="R178">MMS_Swine_Methane_Equations.VEERG_4_5_1_1__6_Stage2MethaneProduction(Q$107,$I$122,H144,VLOOKUP($O178,$N$155:$O$160,2, FALSE),$I$125)</f>
        <v>1.63762368E-3</v>
      </c>
      <c r="S178" s="52" cm="1">
        <f t="array" ref="S178">MMS_Swine_Methane_Equations.VEERG_4_5_1_1__6_Stage2MethaneProduction(R$107,$I$122,I144,VLOOKUP($O178,$N$155:$O$160,2, FALSE),$I$125)</f>
        <v>1.1612240640000002E-3</v>
      </c>
      <c r="T178" s="2"/>
    </row>
    <row r="179" spans="1:21" ht="20.100000000000001" customHeight="1" x14ac:dyDescent="0.25">
      <c r="D179" s="57"/>
      <c r="E179" s="57" t="str">
        <f>'Input - Swine'!$D$78</f>
        <v>Digester / covered lagoons</v>
      </c>
      <c r="F179" s="52" cm="1">
        <f t="array" ref="F179">MMS_Swine_Methane_Equations.VEERG_4_5_1_1__6_Stage2MethaneProduction(E$107,$I$122,F145,VLOOKUP($E179,$D$155:$E$160,2, FALSE),$I$125)</f>
        <v>1.2374016000000002E-4</v>
      </c>
      <c r="G179" s="52" cm="1">
        <f t="array" ref="G179">MMS_Swine_Methane_Equations.VEERG_4_5_1_1__6_Stage2MethaneProduction(F$107,$I$122,G145,VLOOKUP($E179,$D$155:$E$160,2, FALSE),$I$125)</f>
        <v>1.7787648000000002E-4</v>
      </c>
      <c r="H179" s="52" cm="1">
        <f t="array" ref="H179">MMS_Swine_Methane_Equations.VEERG_4_5_1_1__6_Stage2MethaneProduction(G$107,$I$122,H145,VLOOKUP($E179,$D$155:$E$160,2, FALSE),$I$125)</f>
        <v>2.1267840000000003E-4</v>
      </c>
      <c r="I179" s="52" cm="1">
        <f t="array" ref="I179">MMS_Swine_Methane_Equations.VEERG_4_5_1_1__6_Stage2MethaneProduction(H$107,$I$122,I145,VLOOKUP($E179,$D$155:$E$160,2, FALSE),$I$125)</f>
        <v>1.5080832000000002E-4</v>
      </c>
      <c r="J179" s="2"/>
      <c r="N179" s="57"/>
      <c r="O179" s="57" t="str">
        <f>'Input - Swine'!$D$78</f>
        <v>Digester / covered lagoons</v>
      </c>
      <c r="P179" s="52" cm="1">
        <f t="array" ref="P179">MMS_Swine_Methane_Equations.VEERG_4_5_1_1__6_Stage2MethaneProduction(O$107,$I$122,F145,VLOOKUP($O179,$N$155:$O$160,2, FALSE),$I$125)</f>
        <v>1.2374016000000002E-4</v>
      </c>
      <c r="Q179" s="52" cm="1">
        <f t="array" ref="Q179">MMS_Swine_Methane_Equations.VEERG_4_5_1_1__6_Stage2MethaneProduction(P$107,$I$122,G145,VLOOKUP($O179,$N$155:$O$160,2, FALSE),$I$125)</f>
        <v>1.7787648000000002E-4</v>
      </c>
      <c r="R179" s="52" cm="1">
        <f t="array" ref="R179">MMS_Swine_Methane_Equations.VEERG_4_5_1_1__6_Stage2MethaneProduction(Q$107,$I$122,H145,VLOOKUP($O179,$N$155:$O$160,2, FALSE),$I$125)</f>
        <v>2.1267840000000003E-4</v>
      </c>
      <c r="S179" s="52" cm="1">
        <f t="array" ref="S179">MMS_Swine_Methane_Equations.VEERG_4_5_1_1__6_Stage2MethaneProduction(R$107,$I$122,I145,VLOOKUP($O179,$N$155:$O$160,2, FALSE),$I$125)</f>
        <v>1.5080832000000002E-4</v>
      </c>
      <c r="T179" s="2"/>
    </row>
    <row r="180" spans="1:21" ht="20.100000000000001" customHeight="1" x14ac:dyDescent="0.25">
      <c r="D180" s="57"/>
      <c r="E180" s="57" t="str">
        <f>'Input - Swine'!$D$79</f>
        <v>Deep litter</v>
      </c>
      <c r="F180" s="52" cm="1">
        <f t="array" ref="F180">MMS_Swine_Methane_Equations.VEERG_4_5_1_1__6_Stage2MethaneProduction(E$107,$I$122,F146,VLOOKUP($E180,$D$155:$E$160,2, FALSE),$I$125)</f>
        <v>4.9496064000000004E-5</v>
      </c>
      <c r="G180" s="52" cm="1">
        <f t="array" ref="G180">MMS_Swine_Methane_Equations.VEERG_4_5_1_1__6_Stage2MethaneProduction(F$107,$I$122,G146,VLOOKUP($E180,$D$155:$E$160,2, FALSE),$I$125)</f>
        <v>7.1150592000000014E-5</v>
      </c>
      <c r="H180" s="52" cm="1">
        <f t="array" ref="H180">MMS_Swine_Methane_Equations.VEERG_4_5_1_1__6_Stage2MethaneProduction(G$107,$I$122,H146,VLOOKUP($E180,$D$155:$E$160,2, FALSE),$I$125)</f>
        <v>8.5071360000000011E-5</v>
      </c>
      <c r="I180" s="52" cm="1">
        <f t="array" ref="I180">MMS_Swine_Methane_Equations.VEERG_4_5_1_1__6_Stage2MethaneProduction(H$107,$I$122,I146,VLOOKUP($E180,$D$155:$E$160,2, FALSE),$I$125)</f>
        <v>6.0323328000000009E-5</v>
      </c>
      <c r="J180" s="2"/>
      <c r="N180" s="57"/>
      <c r="O180" s="57" t="str">
        <f>'Input - Swine'!$D$79</f>
        <v>Deep litter</v>
      </c>
      <c r="P180" s="52" cm="1">
        <f t="array" ref="P180">MMS_Swine_Methane_Equations.VEERG_4_5_1_1__6_Stage2MethaneProduction(O$107,$I$122,F146,VLOOKUP($O180,$N$155:$O$160,2, FALSE),$I$125)</f>
        <v>4.9496064000000004E-5</v>
      </c>
      <c r="Q180" s="52" cm="1">
        <f t="array" ref="Q180">MMS_Swine_Methane_Equations.VEERG_4_5_1_1__6_Stage2MethaneProduction(P$107,$I$122,G146,VLOOKUP($O180,$N$155:$O$160,2, FALSE),$I$125)</f>
        <v>7.1150592000000014E-5</v>
      </c>
      <c r="R180" s="52" cm="1">
        <f t="array" ref="R180">MMS_Swine_Methane_Equations.VEERG_4_5_1_1__6_Stage2MethaneProduction(Q$107,$I$122,H146,VLOOKUP($O180,$N$155:$O$160,2, FALSE),$I$125)</f>
        <v>8.5071360000000011E-5</v>
      </c>
      <c r="S180" s="52" cm="1">
        <f t="array" ref="S180">MMS_Swine_Methane_Equations.VEERG_4_5_1_1__6_Stage2MethaneProduction(R$107,$I$122,I146,VLOOKUP($O180,$N$155:$O$160,2, FALSE),$I$125)</f>
        <v>6.0323328000000009E-5</v>
      </c>
      <c r="T180" s="2"/>
    </row>
    <row r="181" spans="1:21" ht="20.100000000000001" customHeight="1" x14ac:dyDescent="0.25">
      <c r="D181" s="57" t="str">
        <f>'Input - Swine'!$D$34</f>
        <v>Solid storage</v>
      </c>
      <c r="E181" s="57" t="str">
        <f>'Input - Swine'!$D$84</f>
        <v>Anaerobic lagoon</v>
      </c>
      <c r="F181" s="52" cm="1">
        <f t="array" ref="F181">MMS_Swine_Methane_Equations.VEERG_4_5_1_1__6_Stage2MethaneProduction(E$108,$I$122,F147,VLOOKUP($E181,$D$155:$E$160,2, FALSE),$I$125)</f>
        <v>3.134750720000001E-3</v>
      </c>
      <c r="G181" s="52" cm="1">
        <f t="array" ref="G181">MMS_Swine_Methane_Equations.VEERG_4_5_1_1__6_Stage2MethaneProduction(F$108,$I$122,G147,VLOOKUP($E181,$D$155:$E$160,2, FALSE),$I$125)</f>
        <v>3.6049633280000022E-3</v>
      </c>
      <c r="H181" s="52" cm="1">
        <f t="array" ref="H181">MMS_Swine_Methane_Equations.VEERG_4_5_1_1__6_Stage2MethaneProduction(G$108,$I$122,H147,VLOOKUP($E181,$D$155:$E$160,2, FALSE),$I$125)</f>
        <v>4.310282240000002E-3</v>
      </c>
      <c r="I181" s="52" cm="1">
        <f t="array" ref="I181">MMS_Swine_Methane_Equations.VEERG_4_5_1_1__6_Stage2MethaneProduction(H$108,$I$122,I147,VLOOKUP($E181,$D$155:$E$160,2, FALSE),$I$125)</f>
        <v>3.0563819520000013E-3</v>
      </c>
      <c r="J181" s="2"/>
      <c r="N181" s="57" t="str">
        <f>'Input - Swine'!$D$34</f>
        <v>Solid storage</v>
      </c>
      <c r="O181" s="57" t="str">
        <f>'Input - Swine'!$D$84</f>
        <v>Anaerobic lagoon</v>
      </c>
      <c r="P181" s="52" cm="1">
        <f t="array" ref="P181">MMS_Swine_Methane_Equations.VEERG_4_5_1_1__6_Stage2MethaneProduction(O$108,$I$122,F147,VLOOKUP($O181,$N$155:$O$160,2, FALSE),$I$125)</f>
        <v>3.1759974400000011E-3</v>
      </c>
      <c r="Q181" s="52" cm="1">
        <f t="array" ref="Q181">MMS_Swine_Methane_Equations.VEERG_4_5_1_1__6_Stage2MethaneProduction(P$108,$I$122,G147,VLOOKUP($O181,$N$155:$O$160,2, FALSE),$I$125)</f>
        <v>3.6523970560000023E-3</v>
      </c>
      <c r="R181" s="52" cm="1">
        <f t="array" ref="R181">MMS_Swine_Methane_Equations.VEERG_4_5_1_1__6_Stage2MethaneProduction(Q$108,$I$122,H147,VLOOKUP($O181,$N$155:$O$160,2, FALSE),$I$125)</f>
        <v>4.366996480000003E-3</v>
      </c>
      <c r="S181" s="52" cm="1">
        <f t="array" ref="S181">MMS_Swine_Methane_Equations.VEERG_4_5_1_1__6_Stage2MethaneProduction(R$108,$I$122,I147,VLOOKUP($O181,$N$155:$O$160,2, FALSE),$I$125)</f>
        <v>3.0965975040000014E-3</v>
      </c>
      <c r="T181" s="2"/>
    </row>
    <row r="182" spans="1:21" ht="20.100000000000001" customHeight="1" x14ac:dyDescent="0.25">
      <c r="D182" s="57"/>
      <c r="E182" s="57" t="str">
        <f>'Input - Swine'!$D$85</f>
        <v>Digester / covered lagoons</v>
      </c>
      <c r="F182" s="52" cm="1">
        <f t="array" ref="F182">MMS_Swine_Methane_Equations.VEERG_4_5_1_1__6_Stage2MethaneProduction(E$108,$I$122,F148,VLOOKUP($E182,$D$155:$E$160,2, FALSE),$I$125)</f>
        <v>4.124672000000002E-4</v>
      </c>
      <c r="G182" s="52" cm="1">
        <f t="array" ref="G182">MMS_Swine_Methane_Equations.VEERG_4_5_1_1__6_Stage2MethaneProduction(F$108,$I$122,G148,VLOOKUP($E182,$D$155:$E$160,2, FALSE),$I$125)</f>
        <v>4.7433728000000037E-4</v>
      </c>
      <c r="H182" s="52" cm="1">
        <f t="array" ref="H182">MMS_Swine_Methane_Equations.VEERG_4_5_1_1__6_Stage2MethaneProduction(G$108,$I$122,H148,VLOOKUP($E182,$D$155:$E$160,2, FALSE),$I$125)</f>
        <v>5.6714240000000032E-4</v>
      </c>
      <c r="I182" s="52" cm="1">
        <f t="array" ref="I182">MMS_Swine_Methane_Equations.VEERG_4_5_1_1__6_Stage2MethaneProduction(H$108,$I$122,I148,VLOOKUP($E182,$D$155:$E$160,2, FALSE),$I$125)</f>
        <v>4.0215552000000021E-4</v>
      </c>
      <c r="J182" s="2"/>
      <c r="N182" s="57"/>
      <c r="O182" s="57" t="str">
        <f>'Input - Swine'!$D$85</f>
        <v>Digester / covered lagoons</v>
      </c>
      <c r="P182" s="52" cm="1">
        <f t="array" ref="P182">MMS_Swine_Methane_Equations.VEERG_4_5_1_1__6_Stage2MethaneProduction(O$108,$I$122,F148,VLOOKUP($O182,$N$155:$O$160,2, FALSE),$I$125)</f>
        <v>4.124672000000002E-4</v>
      </c>
      <c r="Q182" s="52" cm="1">
        <f t="array" ref="Q182">MMS_Swine_Methane_Equations.VEERG_4_5_1_1__6_Stage2MethaneProduction(P$108,$I$122,G148,VLOOKUP($O182,$N$155:$O$160,2, FALSE),$I$125)</f>
        <v>4.7433728000000037E-4</v>
      </c>
      <c r="R182" s="52" cm="1">
        <f t="array" ref="R182">MMS_Swine_Methane_Equations.VEERG_4_5_1_1__6_Stage2MethaneProduction(Q$108,$I$122,H148,VLOOKUP($O182,$N$155:$O$160,2, FALSE),$I$125)</f>
        <v>5.6714240000000032E-4</v>
      </c>
      <c r="S182" s="52" cm="1">
        <f t="array" ref="S182">MMS_Swine_Methane_Equations.VEERG_4_5_1_1__6_Stage2MethaneProduction(R$108,$I$122,I148,VLOOKUP($O182,$N$155:$O$160,2, FALSE),$I$125)</f>
        <v>4.0215552000000021E-4</v>
      </c>
      <c r="T182" s="2"/>
    </row>
    <row r="183" spans="1:21" ht="20.100000000000001" customHeight="1" x14ac:dyDescent="0.25">
      <c r="D183" s="57"/>
      <c r="E183" s="57" t="str">
        <f>'Input - Swine'!$D$86</f>
        <v>Deep litter</v>
      </c>
      <c r="F183" s="52" cm="1">
        <f t="array" ref="F183">MMS_Swine_Methane_Equations.VEERG_4_5_1_1__6_Stage2MethaneProduction(E$108,$I$122,F149,VLOOKUP($E183,$D$155:$E$160,2, FALSE),$I$125)</f>
        <v>1.6498688000000006E-4</v>
      </c>
      <c r="G183" s="52" cm="1">
        <f t="array" ref="G183">MMS_Swine_Methane_Equations.VEERG_4_5_1_1__6_Stage2MethaneProduction(F$108,$I$122,G149,VLOOKUP($E183,$D$155:$E$160,2, FALSE),$I$125)</f>
        <v>1.8973491200000015E-4</v>
      </c>
      <c r="H183" s="52" cm="1">
        <f t="array" ref="H183">MMS_Swine_Methane_Equations.VEERG_4_5_1_1__6_Stage2MethaneProduction(G$108,$I$122,H149,VLOOKUP($E183,$D$155:$E$160,2, FALSE),$I$125)</f>
        <v>2.2685696000000015E-4</v>
      </c>
      <c r="I183" s="52" cm="1">
        <f t="array" ref="I183">MMS_Swine_Methane_Equations.VEERG_4_5_1_1__6_Stage2MethaneProduction(H$108,$I$122,I149,VLOOKUP($E183,$D$155:$E$160,2, FALSE),$I$125)</f>
        <v>1.6086220800000007E-4</v>
      </c>
      <c r="J183" s="2"/>
      <c r="N183" s="57"/>
      <c r="O183" s="57" t="str">
        <f>'Input - Swine'!$D$86</f>
        <v>Deep litter</v>
      </c>
      <c r="P183" s="52" cm="1">
        <f t="array" ref="P183">MMS_Swine_Methane_Equations.VEERG_4_5_1_1__6_Stage2MethaneProduction(O$108,$I$122,F149,VLOOKUP($O183,$N$155:$O$160,2, FALSE),$I$125)</f>
        <v>1.6498688000000006E-4</v>
      </c>
      <c r="Q183" s="52" cm="1">
        <f t="array" ref="Q183">MMS_Swine_Methane_Equations.VEERG_4_5_1_1__6_Stage2MethaneProduction(P$108,$I$122,G149,VLOOKUP($O183,$N$155:$O$160,2, FALSE),$I$125)</f>
        <v>1.8973491200000015E-4</v>
      </c>
      <c r="R183" s="52" cm="1">
        <f t="array" ref="R183">MMS_Swine_Methane_Equations.VEERG_4_5_1_1__6_Stage2MethaneProduction(Q$108,$I$122,H149,VLOOKUP($O183,$N$155:$O$160,2, FALSE),$I$125)</f>
        <v>2.2685696000000015E-4</v>
      </c>
      <c r="S183" s="52" cm="1">
        <f t="array" ref="S183">MMS_Swine_Methane_Equations.VEERG_4_5_1_1__6_Stage2MethaneProduction(R$108,$I$122,I149,VLOOKUP($O183,$N$155:$O$160,2, FALSE),$I$125)</f>
        <v>1.6086220800000007E-4</v>
      </c>
      <c r="T183" s="2"/>
    </row>
    <row r="184" spans="1:21" ht="20.100000000000001" customHeight="1" x14ac:dyDescent="0.25">
      <c r="D184" s="57"/>
      <c r="E184" s="57" t="str">
        <f>'Input - Swine'!$D$87</f>
        <v>Pit storage</v>
      </c>
      <c r="F184" s="52" cm="1">
        <f t="array" ref="F184">MMS_Swine_Methane_Equations.VEERG_4_5_1_1__6_Stage2MethaneProduction(E$108,$I$122,F150,VLOOKUP($E184,$D$155:$E$160,2, FALSE),$I$125)</f>
        <v>6.1870080000000021E-5</v>
      </c>
      <c r="G184" s="52" cm="1">
        <f t="array" ref="G184">MMS_Swine_Methane_Equations.VEERG_4_5_1_1__6_Stage2MethaneProduction(F$108,$I$122,G150,VLOOKUP($E184,$D$155:$E$160,2, FALSE),$I$125)</f>
        <v>7.1150592000000042E-5</v>
      </c>
      <c r="H184" s="52" cm="1">
        <f t="array" ref="H184">MMS_Swine_Methane_Equations.VEERG_4_5_1_1__6_Stage2MethaneProduction(G$108,$I$122,H150,VLOOKUP($E184,$D$155:$E$160,2, FALSE),$I$125)</f>
        <v>8.5071360000000051E-5</v>
      </c>
      <c r="I184" s="52" cm="1">
        <f t="array" ref="I184">MMS_Swine_Methane_Equations.VEERG_4_5_1_1__6_Stage2MethaneProduction(H$108,$I$122,I150,VLOOKUP($E184,$D$155:$E$160,2, FALSE),$I$125)</f>
        <v>6.0323328000000023E-5</v>
      </c>
      <c r="J184" s="2"/>
      <c r="N184" s="57"/>
      <c r="O184" s="57" t="str">
        <f>'Input - Swine'!$D$87</f>
        <v>Pit storage</v>
      </c>
      <c r="P184" s="52" cm="1">
        <f t="array" ref="P184">MMS_Swine_Methane_Equations.VEERG_4_5_1_1__6_Stage2MethaneProduction(O$108,$I$122,F150,VLOOKUP($O184,$N$155:$O$160,2, FALSE),$I$125)</f>
        <v>6.1870080000000021E-5</v>
      </c>
      <c r="Q184" s="52" cm="1">
        <f t="array" ref="Q184">MMS_Swine_Methane_Equations.VEERG_4_5_1_1__6_Stage2MethaneProduction(P$108,$I$122,G150,VLOOKUP($O184,$N$155:$O$160,2, FALSE),$I$125)</f>
        <v>7.1150592000000042E-5</v>
      </c>
      <c r="R184" s="52" cm="1">
        <f t="array" ref="R184">MMS_Swine_Methane_Equations.VEERG_4_5_1_1__6_Stage2MethaneProduction(Q$108,$I$122,H150,VLOOKUP($O184,$N$155:$O$160,2, FALSE),$I$125)</f>
        <v>8.5071360000000051E-5</v>
      </c>
      <c r="S184" s="52" cm="1">
        <f t="array" ref="S184">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50" t="str">
        <f>HYPERLINK("#A1", "▲ Back to top")</f>
        <v>▲ Back to top</v>
      </c>
    </row>
    <row r="187" spans="1:21" ht="20.100000000000001" customHeight="1" x14ac:dyDescent="0.25">
      <c r="C187" s="45"/>
      <c r="D187" s="45"/>
      <c r="E187" s="45"/>
      <c r="F187" s="45"/>
      <c r="G187" s="45"/>
      <c r="H187" s="45"/>
      <c r="I187" s="45"/>
      <c r="J187" s="45"/>
      <c r="K187" s="45"/>
      <c r="M187" s="45"/>
      <c r="N187" s="45"/>
      <c r="O187" s="45"/>
      <c r="P187" s="45"/>
      <c r="Q187" s="45"/>
      <c r="R187" s="45"/>
      <c r="S187" s="45"/>
      <c r="T187" s="45"/>
      <c r="U187" s="45"/>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26</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3" t="s">
        <v>29</v>
      </c>
      <c r="E194" s="1" t="str" cm="1">
        <f t="array" ref="E194">MMS_Swine_Methane_Equations.VEERG_4_5_1_1__3_Stage1MethaneProduction_Variable()</f>
        <v>MijmT1</v>
      </c>
    </row>
    <row r="195" spans="4:19" ht="20.100000000000001" customHeight="1" x14ac:dyDescent="0.25">
      <c r="D195" s="53" t="s">
        <v>19</v>
      </c>
      <c r="E195" s="54" t="str" cm="1">
        <f t="array" ref="E195">MMS_Swine_Methane_Equations.VEERG_4_5_1_1__3_Stage1MethaneProduction_Unit()</f>
        <v>kg CH4/head/day</v>
      </c>
    </row>
    <row r="196" spans="4:19" ht="20.100000000000001" customHeight="1" x14ac:dyDescent="0.25"/>
    <row r="197" spans="4:19" ht="20.100000000000001" customHeight="1" x14ac:dyDescent="0.25">
      <c r="D197" s="144" t="str" cm="1">
        <f t="array" ref="D197:E201">Common_InputFunctions.Utility_DisplayArguments_1_2(MMS_Swine_Methane_Equations.VEERG_4_5_1_1__3_Stage1MethaneProduction_Arguments())</f>
        <v>VSj</v>
      </c>
      <c r="E197" s="146" t="str">
        <v>volatile solid production from swine in each class</v>
      </c>
      <c r="F197" s="145"/>
      <c r="G197" s="144" t="str" cm="1">
        <f t="array" ref="G197:H201">Common_InputFunctions.Utility_DisplayArguments_3_4(MMS_Swine_Methane_Equations.VEERG_4_5_1_1__3_Stage1MethaneProduction_Arguments())</f>
        <v>kg/head/day</v>
      </c>
      <c r="H197" s="140" t="str">
        <v>Input</v>
      </c>
      <c r="I197" s="143" t="str" cm="1">
        <f t="array" aca="1" ref="I197" ca="1">HYPERLINK(Common_InputFunctions.Utility_SourceHyperlink($D$85), $D$85)</f>
        <v>M1_Table_VS_j</v>
      </c>
      <c r="J197" s="143"/>
    </row>
    <row r="198" spans="4:19" ht="20.100000000000001" customHeight="1" x14ac:dyDescent="0.25">
      <c r="D198" s="144" t="str">
        <v>FVSjmT1</v>
      </c>
      <c r="E198" s="146" t="str">
        <v>fraction of volatile solids in each primary system</v>
      </c>
      <c r="F198" s="145"/>
      <c r="G198" s="144" t="str">
        <v>fraction</v>
      </c>
      <c r="H198" s="139" t="str">
        <v>Calculated from 4.5.1.1 (4)(5)</v>
      </c>
      <c r="I198" s="143" t="str" cm="1">
        <f t="array" aca="1" ref="I198" ca="1">HYPERLINK(Common_InputFunctions.Utility_SourceHyperlink($D$34), $D$34)</f>
        <v>M1_Table_FVS_j_m_T-1</v>
      </c>
      <c r="J198" s="143" t="str" cm="1">
        <f t="array" aca="1" ref="J198" ca="1">HYPERLINK(Common_InputFunctions.Utility_SourceHyperlink($D$65), $D$65)</f>
        <v>M1_Table_FVS_j_m-4_T-1</v>
      </c>
    </row>
    <row r="199" spans="4:19" ht="20.100000000000001" customHeight="1" x14ac:dyDescent="0.25">
      <c r="D199" s="144" t="str">
        <v>MCFim</v>
      </c>
      <c r="E199" s="146" t="str">
        <v>methane conversion factor for temperate zone and system</v>
      </c>
      <c r="F199" s="145"/>
      <c r="G199" s="144" t="str">
        <v>fraction</v>
      </c>
      <c r="H199" s="139" t="str">
        <v>Constant</v>
      </c>
      <c r="I199" s="143" t="str" cm="1">
        <f t="array" aca="1" ref="I199" ca="1">HYPERLINK(Common_InputFunctions.Utility_SourceHyperlink($D$152), $D$152)</f>
        <v>M1_Table_MCF_i_m</v>
      </c>
      <c r="J199" s="143"/>
    </row>
    <row r="200" spans="4:19" ht="20.100000000000001" customHeight="1" x14ac:dyDescent="0.25">
      <c r="D200" s="144" t="str">
        <v>BO</v>
      </c>
      <c r="E200" s="146" t="str">
        <v>emissions potential</v>
      </c>
      <c r="F200" s="145"/>
      <c r="G200" s="144" t="str">
        <v>m3 CH4/kg VS</v>
      </c>
      <c r="H200" s="139" t="str">
        <v>Constant</v>
      </c>
      <c r="I200" s="144">
        <f>'Constants - Swine'!$E$21</f>
        <v>0.19</v>
      </c>
      <c r="J200" s="59"/>
    </row>
    <row r="201" spans="4:19" ht="20.100000000000001" customHeight="1" x14ac:dyDescent="0.25">
      <c r="D201" s="144" t="str">
        <v>rho</v>
      </c>
      <c r="E201" s="146" t="str">
        <v>density of methane</v>
      </c>
      <c r="F201" s="145"/>
      <c r="G201" s="144" t="str">
        <v>kg/m3</v>
      </c>
      <c r="H201" s="139" t="str">
        <v>Constant</v>
      </c>
      <c r="I201" s="144">
        <f>'Constants - Common'!$D$175</f>
        <v>0.6784</v>
      </c>
      <c r="J201" s="59"/>
    </row>
    <row r="202" spans="4:19" ht="20.100000000000001" customHeight="1" x14ac:dyDescent="0.25"/>
    <row r="203" spans="4:19" ht="20.100000000000001" customHeight="1" x14ac:dyDescent="0.25">
      <c r="D203" s="121" t="s">
        <v>222</v>
      </c>
      <c r="N203" s="121" t="s">
        <v>220</v>
      </c>
    </row>
    <row r="204" spans="4:19" ht="20.100000000000001" customHeight="1" x14ac:dyDescent="0.25">
      <c r="D204" s="122" t="s">
        <v>223</v>
      </c>
      <c r="N204" s="122" t="s">
        <v>221</v>
      </c>
    </row>
    <row r="205" spans="4:19" ht="20.100000000000001" customHeight="1" x14ac:dyDescent="0.25">
      <c r="D205" s="51" t="s">
        <v>163</v>
      </c>
      <c r="E205" s="51" t="s">
        <v>142</v>
      </c>
      <c r="F205" s="51" t="s">
        <v>143</v>
      </c>
      <c r="G205" s="51" t="s">
        <v>144</v>
      </c>
      <c r="H205" s="51" t="s">
        <v>206</v>
      </c>
      <c r="N205" s="51" t="s">
        <v>163</v>
      </c>
      <c r="O205" s="51" t="s">
        <v>142</v>
      </c>
      <c r="P205" s="51" t="s">
        <v>143</v>
      </c>
      <c r="Q205" s="51" t="s">
        <v>144</v>
      </c>
      <c r="R205" s="51" t="s">
        <v>206</v>
      </c>
    </row>
    <row r="206" spans="4:19" ht="20.100000000000001" customHeight="1" x14ac:dyDescent="0.25">
      <c r="D206" s="57" t="str">
        <f>'Input - Swine'!$D$29</f>
        <v>Anaerobic lagoon</v>
      </c>
      <c r="E206" s="52" cm="1">
        <f t="array" ref="E206">MMS_Swine_Methane_Equations.VEERG_4_5_1_1__3_Stage1MethaneProduction(D$88,E37,VLOOKUP($D206, $D$155:$E$160, 2, FALSE),$I$200,$I$201)</f>
        <v>4.7021260799999997E-3</v>
      </c>
      <c r="F206" s="52" cm="1">
        <f t="array" ref="F206">MMS_Swine_Methane_Equations.VEERG_4_5_1_1__3_Stage1MethaneProduction(E$88,F37,VLOOKUP($D206, $D$155:$E$160, 2, FALSE),$I$200,$I$201)</f>
        <v>5.4074449920000012E-3</v>
      </c>
      <c r="G206" s="52" cm="1">
        <f t="array" ref="G206">MMS_Swine_Methane_Equations.VEERG_4_5_1_1__3_Stage1MethaneProduction(F$88,G37,VLOOKUP($D206, $D$155:$E$160, 2, FALSE),$I$200,$I$201)</f>
        <v>6.4654233600000008E-3</v>
      </c>
      <c r="H206" s="52" cm="1">
        <f t="array" ref="H206">MMS_Swine_Methane_Equations.VEERG_4_5_1_1__3_Stage1MethaneProduction(G$88,H37,VLOOKUP($D206, $D$155:$E$160, 2, FALSE),$I$200,$I$201)</f>
        <v>4.5845729280000001E-3</v>
      </c>
      <c r="I206" s="2" t="str">
        <f>$E$195</f>
        <v>kg CH4/head/day</v>
      </c>
      <c r="N206" s="57" t="str">
        <f>'Input - Swine'!$D$29</f>
        <v>Anaerobic lagoon</v>
      </c>
      <c r="O206" s="52" cm="1">
        <f t="array" ref="O206">MMS_Swine_Methane_Equations.VEERG_4_5_1_1__3_Stage1MethaneProduction(N$88,O37,VLOOKUP($N206, $N$155:$O$160, 2, FALSE),$I$200,$I$201)</f>
        <v>4.7639961599999997E-3</v>
      </c>
      <c r="P206" s="52" cm="1">
        <f t="array" ref="P206">MMS_Swine_Methane_Equations.VEERG_4_5_1_1__3_Stage1MethaneProduction(O$88,P37,VLOOKUP($N206, $N$155:$O$160, 2, FALSE),$I$200,$I$201)</f>
        <v>5.4785955839999996E-3</v>
      </c>
      <c r="Q206" s="52" cm="1">
        <f t="array" ref="Q206">MMS_Swine_Methane_Equations.VEERG_4_5_1_1__3_Stage1MethaneProduction(P$88,Q37,VLOOKUP($N206, $N$155:$O$160, 2, FALSE),$I$200,$I$201)</f>
        <v>6.5504947200000002E-3</v>
      </c>
      <c r="R206" s="52" cm="1">
        <f t="array" ref="R206">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7" t="str">
        <f>'Input - Swine'!$D$30</f>
        <v>Drylot (feed pad)</v>
      </c>
      <c r="E207" s="52" cm="1">
        <f t="array" ref="E207">MMS_Swine_Methane_Equations.VEERG_4_5_1_1__3_Stage1MethaneProduction(D$88,E38,VLOOKUP($D207, $D$155:$E$160, 2, FALSE),$I$200,$I$201)</f>
        <v>6.1870080000000008E-5</v>
      </c>
      <c r="F207" s="52" cm="1">
        <f t="array" ref="F207">MMS_Swine_Methane_Equations.VEERG_4_5_1_1__3_Stage1MethaneProduction(E$88,F38,VLOOKUP($D207, $D$155:$E$160, 2, FALSE),$I$200,$I$201)</f>
        <v>7.1150592000000001E-5</v>
      </c>
      <c r="G207" s="52" cm="1">
        <f t="array" ref="G207">MMS_Swine_Methane_Equations.VEERG_4_5_1_1__3_Stage1MethaneProduction(F$88,G38,VLOOKUP($D207, $D$155:$E$160, 2, FALSE),$I$200,$I$201)</f>
        <v>8.5071360000000011E-5</v>
      </c>
      <c r="H207" s="52" cm="1">
        <f t="array" ref="H207">MMS_Swine_Methane_Equations.VEERG_4_5_1_1__3_Stage1MethaneProduction(G$88,H38,VLOOKUP($D207, $D$155:$E$160, 2, FALSE),$I$200,$I$201)</f>
        <v>6.0323328000000009E-5</v>
      </c>
      <c r="I207" s="2"/>
      <c r="N207" s="57" t="str">
        <f>'Input - Swine'!$D$30</f>
        <v>Drylot (feed pad)</v>
      </c>
      <c r="O207" s="52" cm="1">
        <f t="array" ref="O207">MMS_Swine_Methane_Equations.VEERG_4_5_1_1__3_Stage1MethaneProduction(N$88,O38,VLOOKUP($N207, $N$155:$O$160, 2, FALSE),$I$200,$I$201)</f>
        <v>6.1870080000000008E-5</v>
      </c>
      <c r="P207" s="52" cm="1">
        <f t="array" ref="P207">MMS_Swine_Methane_Equations.VEERG_4_5_1_1__3_Stage1MethaneProduction(O$88,P38,VLOOKUP($N207, $N$155:$O$160, 2, FALSE),$I$200,$I$201)</f>
        <v>7.1150592000000001E-5</v>
      </c>
      <c r="Q207" s="52" cm="1">
        <f t="array" ref="Q207">MMS_Swine_Methane_Equations.VEERG_4_5_1_1__3_Stage1MethaneProduction(P$88,Q38,VLOOKUP($N207, $N$155:$O$160, 2, FALSE),$I$200,$I$201)</f>
        <v>8.5071360000000011E-5</v>
      </c>
      <c r="R207" s="52" cm="1">
        <f t="array" ref="R207">MMS_Swine_Methane_Equations.VEERG_4_5_1_1__3_Stage1MethaneProduction(Q$88,R38,VLOOKUP($N207, $N$155:$O$160, 2, FALSE),$I$200,$I$201)</f>
        <v>6.0323328000000009E-5</v>
      </c>
      <c r="S207" s="2"/>
    </row>
    <row r="208" spans="4:19" ht="20.100000000000001" customHeight="1" x14ac:dyDescent="0.25">
      <c r="D208" s="57" t="str">
        <f>'Input - Swine'!$D$31</f>
        <v>Digester / covered lagoons</v>
      </c>
      <c r="E208" s="52" cm="1">
        <f t="array" ref="E208">MMS_Swine_Methane_Equations.VEERG_4_5_1_1__3_Stage1MethaneProduction(D$88,E39,VLOOKUP($D208, $D$155:$E$160, 2, FALSE),$I$200,$I$201)</f>
        <v>6.1870080000000008E-4</v>
      </c>
      <c r="F208" s="52" cm="1">
        <f t="array" ref="F208">MMS_Swine_Methane_Equations.VEERG_4_5_1_1__3_Stage1MethaneProduction(E$88,F39,VLOOKUP($D208, $D$155:$E$160, 2, FALSE),$I$200,$I$201)</f>
        <v>7.1150592000000009E-4</v>
      </c>
      <c r="G208" s="52" cm="1">
        <f t="array" ref="G208">MMS_Swine_Methane_Equations.VEERG_4_5_1_1__3_Stage1MethaneProduction(F$88,G39,VLOOKUP($D208, $D$155:$E$160, 2, FALSE),$I$200,$I$201)</f>
        <v>8.5071360000000011E-4</v>
      </c>
      <c r="H208" s="52" cm="1">
        <f t="array" ref="H208">MMS_Swine_Methane_Equations.VEERG_4_5_1_1__3_Stage1MethaneProduction(G$88,H39,VLOOKUP($D208, $D$155:$E$160, 2, FALSE),$I$200,$I$201)</f>
        <v>6.0323328000000008E-4</v>
      </c>
      <c r="I208" s="2"/>
      <c r="N208" s="57" t="str">
        <f>'Input - Swine'!$D$31</f>
        <v>Digester / covered lagoons</v>
      </c>
      <c r="O208" s="52" cm="1">
        <f t="array" ref="O208">MMS_Swine_Methane_Equations.VEERG_4_5_1_1__3_Stage1MethaneProduction(N$88,O39,VLOOKUP($N208, $N$155:$O$160, 2, FALSE),$I$200,$I$201)</f>
        <v>6.1870080000000008E-4</v>
      </c>
      <c r="P208" s="52" cm="1">
        <f t="array" ref="P208">MMS_Swine_Methane_Equations.VEERG_4_5_1_1__3_Stage1MethaneProduction(O$88,P39,VLOOKUP($N208, $N$155:$O$160, 2, FALSE),$I$200,$I$201)</f>
        <v>7.1150592000000009E-4</v>
      </c>
      <c r="Q208" s="52" cm="1">
        <f t="array" ref="Q208">MMS_Swine_Methane_Equations.VEERG_4_5_1_1__3_Stage1MethaneProduction(P$88,Q39,VLOOKUP($N208, $N$155:$O$160, 2, FALSE),$I$200,$I$201)</f>
        <v>8.5071360000000011E-4</v>
      </c>
      <c r="R208" s="52" cm="1">
        <f t="array" ref="R208">MMS_Swine_Methane_Equations.VEERG_4_5_1_1__3_Stage1MethaneProduction(Q$88,R39,VLOOKUP($N208, $N$155:$O$160, 2, FALSE),$I$200,$I$201)</f>
        <v>6.0323328000000008E-4</v>
      </c>
      <c r="S208" s="2"/>
    </row>
    <row r="209" spans="1:21" ht="20.100000000000001" customHeight="1" x14ac:dyDescent="0.25">
      <c r="D209" s="57" t="str">
        <f>'Input - Swine'!$D$32</f>
        <v>Deep litter</v>
      </c>
      <c r="E209" s="52" cm="1">
        <f t="array" ref="E209">MMS_Swine_Methane_Equations.VEERG_4_5_1_1__3_Stage1MethaneProduction(D$88,E40,VLOOKUP($D209, $D$155:$E$160, 2, FALSE),$I$200,$I$201)</f>
        <v>2.4748032000000003E-4</v>
      </c>
      <c r="F209" s="52" cm="1">
        <f t="array" ref="F209">MMS_Swine_Methane_Equations.VEERG_4_5_1_1__3_Stage1MethaneProduction(E$88,F40,VLOOKUP($D209, $D$155:$E$160, 2, FALSE),$I$200,$I$201)</f>
        <v>2.84602368E-4</v>
      </c>
      <c r="G209" s="52" cm="1">
        <f t="array" ref="G209">MMS_Swine_Methane_Equations.VEERG_4_5_1_1__3_Stage1MethaneProduction(F$88,G40,VLOOKUP($D209, $D$155:$E$160, 2, FALSE),$I$200,$I$201)</f>
        <v>3.4028544000000004E-4</v>
      </c>
      <c r="H209" s="52" cm="1">
        <f t="array" ref="H209">MMS_Swine_Methane_Equations.VEERG_4_5_1_1__3_Stage1MethaneProduction(G$88,H40,VLOOKUP($D209, $D$155:$E$160, 2, FALSE),$I$200,$I$201)</f>
        <v>2.4129331200000004E-4</v>
      </c>
      <c r="I209" s="2"/>
      <c r="N209" s="57" t="str">
        <f>'Input - Swine'!$D$32</f>
        <v>Deep litter</v>
      </c>
      <c r="O209" s="52" cm="1">
        <f t="array" ref="O209">MMS_Swine_Methane_Equations.VEERG_4_5_1_1__3_Stage1MethaneProduction(N$88,O40,VLOOKUP($N209, $N$155:$O$160, 2, FALSE),$I$200,$I$201)</f>
        <v>2.4748032000000003E-4</v>
      </c>
      <c r="P209" s="52" cm="1">
        <f t="array" ref="P209">MMS_Swine_Methane_Equations.VEERG_4_5_1_1__3_Stage1MethaneProduction(O$88,P40,VLOOKUP($N209, $N$155:$O$160, 2, FALSE),$I$200,$I$201)</f>
        <v>2.84602368E-4</v>
      </c>
      <c r="Q209" s="52" cm="1">
        <f t="array" ref="Q209">MMS_Swine_Methane_Equations.VEERG_4_5_1_1__3_Stage1MethaneProduction(P$88,Q40,VLOOKUP($N209, $N$155:$O$160, 2, FALSE),$I$200,$I$201)</f>
        <v>3.4028544000000004E-4</v>
      </c>
      <c r="R209" s="52" cm="1">
        <f t="array" ref="R209">MMS_Swine_Methane_Equations.VEERG_4_5_1_1__3_Stage1MethaneProduction(Q$88,R40,VLOOKUP($N209, $N$155:$O$160, 2, FALSE),$I$200,$I$201)</f>
        <v>2.4129331200000004E-4</v>
      </c>
      <c r="S209" s="2"/>
    </row>
    <row r="210" spans="1:21" ht="20.100000000000001" customHeight="1" x14ac:dyDescent="0.25">
      <c r="D210" s="57" t="str">
        <f>'Input - Swine'!$D$33</f>
        <v>Pit storage</v>
      </c>
      <c r="E210" s="52" cm="1">
        <f t="array" ref="E210">MMS_Swine_Methane_Equations.VEERG_4_5_1_1__3_Stage1MethaneProduction(D$88,E41,VLOOKUP($D210, $D$155:$E$160, 2, FALSE),$I$200,$I$201)</f>
        <v>1.8561024E-4</v>
      </c>
      <c r="F210" s="52" cm="1">
        <f t="array" ref="F210">MMS_Swine_Methane_Equations.VEERG_4_5_1_1__3_Stage1MethaneProduction(E$88,F41,VLOOKUP($D210, $D$155:$E$160, 2, FALSE),$I$200,$I$201)</f>
        <v>2.1345177599999999E-4</v>
      </c>
      <c r="G210" s="52" cm="1">
        <f t="array" ref="G210">MMS_Swine_Methane_Equations.VEERG_4_5_1_1__3_Stage1MethaneProduction(F$88,G41,VLOOKUP($D210, $D$155:$E$160, 2, FALSE),$I$200,$I$201)</f>
        <v>2.5521407999999998E-4</v>
      </c>
      <c r="H210" s="52" cm="1">
        <f t="array" ref="H210">MMS_Swine_Methane_Equations.VEERG_4_5_1_1__3_Stage1MethaneProduction(G$88,H41,VLOOKUP($D210, $D$155:$E$160, 2, FALSE),$I$200,$I$201)</f>
        <v>1.8096998400000001E-4</v>
      </c>
      <c r="I210" s="2"/>
      <c r="N210" s="57" t="str">
        <f>'Input - Swine'!$D$33</f>
        <v>Pit storage</v>
      </c>
      <c r="O210" s="52" cm="1">
        <f t="array" ref="O210">MMS_Swine_Methane_Equations.VEERG_4_5_1_1__3_Stage1MethaneProduction(N$88,O41,VLOOKUP($N210, $N$155:$O$160, 2, FALSE),$I$200,$I$201)</f>
        <v>1.8561024E-4</v>
      </c>
      <c r="P210" s="52" cm="1">
        <f t="array" ref="P210">MMS_Swine_Methane_Equations.VEERG_4_5_1_1__3_Stage1MethaneProduction(O$88,P41,VLOOKUP($N210, $N$155:$O$160, 2, FALSE),$I$200,$I$201)</f>
        <v>2.1345177599999999E-4</v>
      </c>
      <c r="Q210" s="52" cm="1">
        <f t="array" ref="Q210">MMS_Swine_Methane_Equations.VEERG_4_5_1_1__3_Stage1MethaneProduction(P$88,Q41,VLOOKUP($N210, $N$155:$O$160, 2, FALSE),$I$200,$I$201)</f>
        <v>2.5521407999999998E-4</v>
      </c>
      <c r="R210" s="52" cm="1">
        <f t="array" ref="R210">MMS_Swine_Methane_Equations.VEERG_4_5_1_1__3_Stage1MethaneProduction(Q$88,R41,VLOOKUP($N210, $N$155:$O$160, 2, FALSE),$I$200,$I$201)</f>
        <v>1.8096998400000001E-4</v>
      </c>
      <c r="S210" s="2"/>
    </row>
    <row r="211" spans="1:21" ht="20.100000000000001" customHeight="1" x14ac:dyDescent="0.25">
      <c r="D211" s="57" t="str">
        <f>'Input - Swine'!$D$34</f>
        <v>Solid storage</v>
      </c>
      <c r="E211" s="52" cm="1">
        <f t="array" ref="E211">MMS_Swine_Methane_Equations.VEERG_4_5_1_1__3_Stage1MethaneProduction(D$88,E68,VLOOKUP($D211, $D$155:$E$160, 2, FALSE),$I$200,$I$201)</f>
        <v>4.124672000000002E-4</v>
      </c>
      <c r="F211" s="52" cm="1">
        <f t="array" ref="F211">MMS_Swine_Methane_Equations.VEERG_4_5_1_1__3_Stage1MethaneProduction(E$88,F68,VLOOKUP($D211, $D$155:$E$160, 2, FALSE),$I$200,$I$201)</f>
        <v>4.7433728000000026E-4</v>
      </c>
      <c r="G211" s="52" cm="1">
        <f t="array" ref="G211">MMS_Swine_Methane_Equations.VEERG_4_5_1_1__3_Stage1MethaneProduction(F$88,G68,VLOOKUP($D211, $D$155:$E$160, 2, FALSE),$I$200,$I$201)</f>
        <v>5.6714240000000022E-4</v>
      </c>
      <c r="H211" s="52" cm="1">
        <f t="array" ref="H211">MMS_Swine_Methane_Equations.VEERG_4_5_1_1__3_Stage1MethaneProduction(G$88,H68,VLOOKUP($D211, $D$155:$E$160, 2, FALSE),$I$200,$I$201)</f>
        <v>4.0215552000000016E-4</v>
      </c>
      <c r="I211" s="2"/>
      <c r="N211" s="57" t="str">
        <f>'Input - Swine'!$D$34</f>
        <v>Solid storage</v>
      </c>
      <c r="O211" s="52" cm="1">
        <f t="array" ref="O211">MMS_Swine_Methane_Equations.VEERG_4_5_1_1__3_Stage1MethaneProduction(N$88,O68,VLOOKUP($N211, $N$155:$O$160, 2, FALSE),$I$200,$I$201)</f>
        <v>4.124672000000002E-4</v>
      </c>
      <c r="P211" s="52" cm="1">
        <f t="array" ref="P211">MMS_Swine_Methane_Equations.VEERG_4_5_1_1__3_Stage1MethaneProduction(O$88,P68,VLOOKUP($N211, $N$155:$O$160, 2, FALSE),$I$200,$I$201)</f>
        <v>4.7433728000000026E-4</v>
      </c>
      <c r="Q211" s="52" cm="1">
        <f t="array" ref="Q211">MMS_Swine_Methane_Equations.VEERG_4_5_1_1__3_Stage1MethaneProduction(P$88,Q68,VLOOKUP($N211, $N$155:$O$160, 2, FALSE),$I$200,$I$201)</f>
        <v>5.6714240000000022E-4</v>
      </c>
      <c r="R211" s="52" cm="1">
        <f t="array" ref="R21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50" t="str">
        <f>HYPERLINK("#A1", "▲ Back to top")</f>
        <v>▲ Back to top</v>
      </c>
    </row>
    <row r="214" spans="1:21" ht="20.100000000000001" customHeight="1" x14ac:dyDescent="0.25">
      <c r="C214" s="45"/>
      <c r="D214" s="45"/>
      <c r="E214" s="45"/>
      <c r="F214" s="45"/>
      <c r="G214" s="45"/>
      <c r="H214" s="45"/>
      <c r="I214" s="45"/>
      <c r="J214" s="45"/>
      <c r="K214" s="45"/>
      <c r="M214" s="45"/>
      <c r="N214" s="45"/>
      <c r="O214" s="45"/>
      <c r="P214" s="45"/>
      <c r="Q214" s="45"/>
      <c r="R214" s="45"/>
      <c r="S214" s="45"/>
      <c r="T214" s="45"/>
      <c r="U214" s="45"/>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5"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26</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3" t="s">
        <v>29</v>
      </c>
      <c r="E221" s="1" t="str" cm="1">
        <f t="array" ref="E221">MMS_Swine_Methane_Equations.VEERG_4_5_1_1__2_MethaneProductionPerClass_Variable()</f>
        <v>Mmj</v>
      </c>
    </row>
    <row r="222" spans="1:21" ht="20.100000000000001" customHeight="1" x14ac:dyDescent="0.25">
      <c r="D222" s="53" t="s">
        <v>19</v>
      </c>
      <c r="E222" s="54" t="str" cm="1">
        <f t="array" ref="E222">MMS_Swine_Methane_Equations.VEERG_4_5_1_1__2_MethaneProductionPerClass_Unit()</f>
        <v>kg CH4/head/day</v>
      </c>
    </row>
    <row r="223" spans="1:21" ht="20.100000000000001" customHeight="1" x14ac:dyDescent="0.25"/>
    <row r="224" spans="1:21" ht="20.100000000000001" customHeight="1" x14ac:dyDescent="0.25">
      <c r="D224" s="57" t="str" cm="1">
        <f t="array" ref="D224:E224">_xlfn.CHOOSECOLS(MMS_Swine_Methane_Equations.VEERG_4_5_1_1__2_MethaneProductionPerClass_Arguments(), 1, 2)</f>
        <v>MjmT</v>
      </c>
      <c r="E224" s="58" t="str">
        <v>methane production from manure per class, MMS, and treatment stage</v>
      </c>
      <c r="F224" s="100"/>
      <c r="G224" s="57" t="str" cm="1">
        <f t="array" ref="G224:H224">_xlfn.CHOOSECOLS(MMS_Swine_Methane_Equations.VEERG_4_5_1_1__2_MethaneProductionPerClass_Arguments(), 3,4)</f>
        <v>kg CH4/head/day</v>
      </c>
      <c r="H224" s="139" t="str">
        <v>Calculated from 4.5.1.1 (3) and (6)</v>
      </c>
      <c r="I224" s="143" t="str" cm="1">
        <f t="array" aca="1" ref="I224" ca="1">HYPERLINK(Common_InputFunctions.Utility_SourceHyperlink(D203), D203)</f>
        <v>M1_Table_M_i_j_m_T-1</v>
      </c>
      <c r="J224" s="143" t="str" cm="1">
        <f t="array" aca="1" ref="J224" ca="1">HYPERLINK(Common_InputFunctions.Utility_SourceHyperlink(D162), D162)</f>
        <v>M1_Table_M_i_j_m_T-2</v>
      </c>
    </row>
    <row r="225" spans="1:21" ht="20.100000000000001" customHeight="1" x14ac:dyDescent="0.25"/>
    <row r="226" spans="1:21" ht="20.100000000000001" customHeight="1" x14ac:dyDescent="0.25">
      <c r="D226" s="121" t="s">
        <v>224</v>
      </c>
      <c r="N226" s="121" t="s">
        <v>226</v>
      </c>
    </row>
    <row r="227" spans="1:21" ht="20.100000000000001" customHeight="1" x14ac:dyDescent="0.25">
      <c r="D227" s="122" t="s">
        <v>225</v>
      </c>
      <c r="N227" s="122" t="s">
        <v>227</v>
      </c>
    </row>
    <row r="228" spans="1:21" ht="20.100000000000001" customHeight="1" x14ac:dyDescent="0.25">
      <c r="D228" s="51" t="s">
        <v>142</v>
      </c>
      <c r="E228" s="51" t="s">
        <v>143</v>
      </c>
      <c r="F228" s="51" t="s">
        <v>144</v>
      </c>
      <c r="G228" s="51" t="s">
        <v>206</v>
      </c>
      <c r="N228" s="51" t="s">
        <v>142</v>
      </c>
      <c r="O228" s="51" t="s">
        <v>143</v>
      </c>
      <c r="P228" s="51" t="s">
        <v>144</v>
      </c>
      <c r="Q228" s="51" t="s">
        <v>206</v>
      </c>
    </row>
    <row r="229" spans="1:21" ht="20.100000000000001" customHeight="1" x14ac:dyDescent="0.25">
      <c r="D229" s="52" cm="1">
        <f t="array" ref="D229">MMS_Swine_Methane_Equations.VEERG_4_5_1_1__2_MethaneProductionPerClassVariation(E206:E211,F165:F184)</f>
        <v>1.3780116684800005E-2</v>
      </c>
      <c r="E229" s="52" cm="1">
        <f t="array" ref="E229">MMS_Swine_Methane_Equations.VEERG_4_5_1_1__2_MethaneProductionPerClassVariation(F206:F211,G165:G184)</f>
        <v>1.6933247974400007E-2</v>
      </c>
      <c r="F229" s="52" cm="1">
        <f t="array" ref="F229">MMS_Swine_Methane_Equations.VEERG_4_5_1_1__2_MethaneProductionPerClassVariation(G206:G211,H165:H184)</f>
        <v>2.0246274752000006E-2</v>
      </c>
      <c r="G229" s="52" cm="1">
        <f t="array" ref="G229">MMS_Swine_Methane_Equations.VEERG_4_5_1_1__2_MethaneProductionPerClassVariation(H206:H211,I165:I184)</f>
        <v>1.4356449369600002E-2</v>
      </c>
      <c r="H229" s="2" t="str">
        <f>$E$222</f>
        <v>kg CH4/head/day</v>
      </c>
      <c r="N229" s="52" cm="1">
        <f t="array" ref="N229">MMS_Swine_Methane_Equations.VEERG_4_5_1_1__2_MethaneProductionPerClassVariation(O206:O211,P165:P184)</f>
        <v>1.3922830336000004E-2</v>
      </c>
      <c r="O229" s="52" cm="1">
        <f t="array" ref="O229">MMS_Swine_Methane_Equations.VEERG_4_5_1_1__2_MethaneProductionPerClassVariation(P206:P211,Q165:Q184)</f>
        <v>1.7108752768000005E-2</v>
      </c>
      <c r="P229" s="52" cm="1">
        <f t="array" ref="P229">MMS_Swine_Methane_Equations.VEERG_4_5_1_1__2_MethaneProductionPerClassVariation(Q206:Q211,R165:R184)</f>
        <v>2.0456117440000005E-2</v>
      </c>
      <c r="Q229" s="52" cm="1">
        <f t="array" ref="Q229">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50" t="str">
        <f>HYPERLINK("#A1", "▲ Back to top")</f>
        <v>▲ Back to top</v>
      </c>
    </row>
    <row r="232" spans="1:21" ht="20.100000000000001" customHeight="1" x14ac:dyDescent="0.25">
      <c r="C232" s="45"/>
      <c r="D232" s="45"/>
      <c r="E232" s="45"/>
      <c r="F232" s="45"/>
      <c r="G232" s="45"/>
      <c r="H232" s="45"/>
      <c r="I232" s="45"/>
      <c r="J232" s="45"/>
      <c r="K232" s="45"/>
      <c r="M232" s="45"/>
      <c r="N232" s="45"/>
      <c r="O232" s="45"/>
      <c r="P232" s="45"/>
      <c r="Q232" s="45"/>
      <c r="R232" s="45"/>
      <c r="S232" s="45"/>
      <c r="T232" s="45"/>
      <c r="U232" s="45"/>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26</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3" t="s">
        <v>29</v>
      </c>
      <c r="E239" s="1" t="str" cm="1">
        <f t="array" ref="E239">MMS_Swine_Methane_Equations.VEERG_4_5_1_1__1_TotalAnnualMethaneEmissions_Variable()</f>
        <v>ECH4</v>
      </c>
    </row>
    <row r="240" spans="1:21" ht="20.100000000000001" customHeight="1" x14ac:dyDescent="0.25">
      <c r="D240" s="53" t="s">
        <v>19</v>
      </c>
      <c r="E240" s="54" t="str" cm="1">
        <f t="array" ref="E240">MMS_Swine_Methane_Equations.VEERG_4_5_1_1__1_TotalAnnualMethaneEmissions_Unit()</f>
        <v>t CH4</v>
      </c>
    </row>
    <row r="241" spans="4:14" ht="20.100000000000001" customHeight="1" x14ac:dyDescent="0.25"/>
    <row r="242" spans="4:14" ht="20.100000000000001" customHeight="1" x14ac:dyDescent="0.25">
      <c r="D242" s="57" t="str" cm="1">
        <f t="array" ref="D242:E244">_xlfn.CHOOSECOLS(MMS_Swine_Methane_Equations.VEERG_4_5_1_1__1_TotalAnnualMethaneEmissions_Arguments(), 1, 2)</f>
        <v>Dj</v>
      </c>
      <c r="E242" s="58" t="str">
        <v>length of stay of each class of swine</v>
      </c>
      <c r="F242" s="59"/>
      <c r="G242" s="57" t="str" cm="1">
        <f t="array" ref="G242:H244">_xlfn.CHOOSECOLS(MMS_Swine_Methane_Equations.VEERG_4_5_1_1__1_TotalAnnualMethaneEmissions_Arguments(), 3,4)</f>
        <v>days</v>
      </c>
      <c r="H242" s="140" t="str">
        <v>Input</v>
      </c>
      <c r="I242" s="143" t="str" cm="1">
        <f t="array" aca="1" ref="I242" ca="1">HYPERLINK(Common_InputFunctions.Utility_SourceHyperlink(D246), D246)</f>
        <v>Table_D_j</v>
      </c>
    </row>
    <row r="243" spans="4:14" ht="20.100000000000001" customHeight="1" x14ac:dyDescent="0.25">
      <c r="D243" s="57" t="str">
        <v>Mmj</v>
      </c>
      <c r="E243" s="58" t="str">
        <v>methane production from manure in each swine class</v>
      </c>
      <c r="F243" s="59"/>
      <c r="G243" s="57" t="str">
        <v>kg CH4/head/day</v>
      </c>
      <c r="H243" s="139" t="str">
        <v>Calculated from 4.5.1.1 (2)</v>
      </c>
      <c r="I243" s="143" t="str" cm="1">
        <f t="array" aca="1" ref="I243" ca="1">HYPERLINK(Common_InputFunctions.Utility_SourceHyperlink(D226), D226)</f>
        <v>M1_Table_M_m_j</v>
      </c>
    </row>
    <row r="244" spans="4:14" ht="20.100000000000001" customHeight="1" x14ac:dyDescent="0.25">
      <c r="D244" s="57" t="str">
        <v>Nj</v>
      </c>
      <c r="E244" s="58" t="str">
        <v>numbers of swine in each class</v>
      </c>
      <c r="F244" s="59"/>
      <c r="G244" s="57" t="str">
        <v>head</v>
      </c>
      <c r="H244" s="140" t="str">
        <v>Input</v>
      </c>
      <c r="I244" s="143" t="str" cm="1">
        <f t="array" aca="1" ref="I244" ca="1">HYPERLINK(Common_InputFunctions.Utility_SourceHyperlink(D226), D226)</f>
        <v>M1_Table_M_m_j</v>
      </c>
    </row>
    <row r="245" spans="4:14" ht="20.100000000000001" customHeight="1" x14ac:dyDescent="0.25"/>
    <row r="246" spans="4:14" ht="20.100000000000001" customHeight="1" x14ac:dyDescent="0.25">
      <c r="D246" s="121" t="s">
        <v>173</v>
      </c>
    </row>
    <row r="247" spans="4:14" ht="20.100000000000001" customHeight="1" x14ac:dyDescent="0.25">
      <c r="D247" s="122" t="s">
        <v>174</v>
      </c>
    </row>
    <row r="248" spans="4:14" ht="20.100000000000001" customHeight="1" x14ac:dyDescent="0.25">
      <c r="D248" s="119" t="s">
        <v>142</v>
      </c>
      <c r="E248" s="119" t="s">
        <v>143</v>
      </c>
      <c r="F248" s="119" t="s">
        <v>144</v>
      </c>
      <c r="G248" s="119" t="s">
        <v>206</v>
      </c>
    </row>
    <row r="249" spans="4:14" ht="20.100000000000001" customHeight="1" x14ac:dyDescent="0.25">
      <c r="D249" s="123">
        <f>'Input - Swine'!E10</f>
        <v>365</v>
      </c>
      <c r="E249" s="123">
        <f>'Input - Swine'!F10</f>
        <v>365</v>
      </c>
      <c r="F249" s="123">
        <f>'Input - Swine'!G10</f>
        <v>365</v>
      </c>
      <c r="G249" s="123">
        <f>'Input - Swine'!H10</f>
        <v>365</v>
      </c>
      <c r="H249" s="2" t="str">
        <f>G242</f>
        <v>days</v>
      </c>
    </row>
    <row r="250" spans="4:14" ht="20.100000000000001" customHeight="1" x14ac:dyDescent="0.25"/>
    <row r="251" spans="4:14" ht="20.100000000000001" customHeight="1" x14ac:dyDescent="0.25">
      <c r="D251" s="121" t="s">
        <v>175</v>
      </c>
    </row>
    <row r="252" spans="4:14" ht="20.100000000000001" customHeight="1" x14ac:dyDescent="0.25">
      <c r="D252" s="122" t="s">
        <v>176</v>
      </c>
    </row>
    <row r="253" spans="4:14" ht="20.100000000000001" customHeight="1" x14ac:dyDescent="0.25">
      <c r="D253" s="119" t="s">
        <v>142</v>
      </c>
      <c r="E253" s="119" t="s">
        <v>143</v>
      </c>
      <c r="F253" s="119" t="s">
        <v>144</v>
      </c>
      <c r="G253" s="119" t="s">
        <v>206</v>
      </c>
    </row>
    <row r="254" spans="4:14" ht="20.100000000000001" customHeight="1" x14ac:dyDescent="0.25">
      <c r="D254" s="123">
        <f>'Input - Swine'!$E$11</f>
        <v>100</v>
      </c>
      <c r="E254" s="123">
        <f>'Input - Swine'!$F$11</f>
        <v>100</v>
      </c>
      <c r="F254" s="123">
        <f>'Input - Swine'!$G$11</f>
        <v>100</v>
      </c>
      <c r="G254" s="123">
        <f>'Input - Swine'!$H$11</f>
        <v>100</v>
      </c>
      <c r="H254" s="2" t="str">
        <f>G244</f>
        <v>head</v>
      </c>
    </row>
    <row r="255" spans="4:14" ht="20.100000000000001" customHeight="1" x14ac:dyDescent="0.25"/>
    <row r="256" spans="4:14" ht="20.100000000000001" customHeight="1" x14ac:dyDescent="0.25">
      <c r="D256" s="121" t="s">
        <v>123</v>
      </c>
      <c r="N256" s="121" t="s">
        <v>134</v>
      </c>
    </row>
    <row r="257" spans="1:18" ht="20.100000000000001" customHeight="1" x14ac:dyDescent="0.25">
      <c r="D257" s="122" t="s">
        <v>205</v>
      </c>
      <c r="N257" s="122" t="s">
        <v>228</v>
      </c>
    </row>
    <row r="258" spans="1:18" ht="20.100000000000001" customHeight="1" x14ac:dyDescent="0.25">
      <c r="D258" s="51" t="s">
        <v>142</v>
      </c>
      <c r="E258" s="51" t="s">
        <v>143</v>
      </c>
      <c r="F258" s="51" t="s">
        <v>144</v>
      </c>
      <c r="G258" s="51" t="s">
        <v>206</v>
      </c>
      <c r="N258" s="51" t="s">
        <v>142</v>
      </c>
      <c r="O258" s="51" t="s">
        <v>143</v>
      </c>
      <c r="P258" s="51" t="s">
        <v>144</v>
      </c>
      <c r="Q258" s="51" t="s">
        <v>206</v>
      </c>
    </row>
    <row r="259" spans="1:18" ht="20.100000000000001" customHeight="1" x14ac:dyDescent="0.25">
      <c r="D259" s="52" cm="1">
        <f t="array" ref="D259">MMS_Swine_Methane_Equations.VEERG_4_5_1_1__1_TotalAnnualMethaneEmissions(D249,D$229,D254)</f>
        <v>0.50297425899520021</v>
      </c>
      <c r="E259" s="52" cm="1">
        <f t="array" ref="E259">MMS_Swine_Methane_Equations.VEERG_4_5_1_1__1_TotalAnnualMethaneEmissions(E249,E$229,E254)</f>
        <v>0.61806355106560018</v>
      </c>
      <c r="F259" s="52" cm="1">
        <f t="array" ref="F259">MMS_Swine_Methane_Equations.VEERG_4_5_1_1__1_TotalAnnualMethaneEmissions(F249,F$229,F254)</f>
        <v>0.73898902844800007</v>
      </c>
      <c r="G259" s="52" cm="1">
        <f t="array" ref="G259">MMS_Swine_Methane_Equations.VEERG_4_5_1_1__1_TotalAnnualMethaneEmissions(G249,G$229,G254)</f>
        <v>0.52401040199040005</v>
      </c>
      <c r="H259" s="2" t="str">
        <f>$E$240</f>
        <v>t CH4</v>
      </c>
      <c r="N259" s="52" cm="1">
        <f t="array" ref="N259">MMS_Swine_Methane_Equations.VEERG_4_5_1_1__1_TotalAnnualMethaneEmissions(D249,N$229,D254)</f>
        <v>0.50818330726400018</v>
      </c>
      <c r="O259" s="52" cm="1">
        <f t="array" ref="O259">MMS_Swine_Methane_Equations.VEERG_4_5_1_1__1_TotalAnnualMethaneEmissions(E249,O$229,E254)</f>
        <v>0.62446947603200009</v>
      </c>
      <c r="P259" s="52" cm="1">
        <f t="array" ref="P259">MMS_Swine_Methane_Equations.VEERG_4_5_1_1__1_TotalAnnualMethaneEmissions(F249,P$229,F254)</f>
        <v>0.74664828656000026</v>
      </c>
      <c r="Q259" s="52" cm="1">
        <f t="array" ref="Q259">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101" t="s">
        <v>177</v>
      </c>
      <c r="E261" s="102">
        <f>SUM(D259:G259)</f>
        <v>2.3840372404992007</v>
      </c>
      <c r="F261" s="103" t="str">
        <f>$E$240</f>
        <v>t CH4</v>
      </c>
      <c r="N261" s="101" t="s">
        <v>177</v>
      </c>
      <c r="O261" s="102">
        <f>SUM(N259:Q259)</f>
        <v>2.4087425821440007</v>
      </c>
      <c r="P261" s="103" t="str">
        <f>$E$240</f>
        <v>t CH4</v>
      </c>
    </row>
    <row r="262" spans="1:18" ht="20.100000000000001" customHeight="1" x14ac:dyDescent="0.25"/>
    <row r="263" spans="1:18" ht="20.100000000000001" customHeight="1" x14ac:dyDescent="0.25">
      <c r="D263" s="57" t="str" cm="1">
        <f t="array" ref="D263:E264">Common_Equations.Common_ConvertCH4ToCO2e_Arguments()</f>
        <v>ECH4</v>
      </c>
      <c r="E263" s="58" t="str">
        <v>Methane emissions (t CH4)</v>
      </c>
      <c r="F263" s="104"/>
      <c r="G263" s="52">
        <f>E261</f>
        <v>2.3840372404992007</v>
      </c>
      <c r="N263" s="57" t="str" cm="1">
        <f t="array" ref="N263:O264">Common_Equations.Common_ConvertCH4ToCO2e_Arguments()</f>
        <v>ECH4</v>
      </c>
      <c r="O263" s="58" t="str">
        <v>Methane emissions (t CH4)</v>
      </c>
      <c r="P263" s="104"/>
      <c r="Q263" s="52">
        <f>O261</f>
        <v>2.4087425821440007</v>
      </c>
    </row>
    <row r="264" spans="1:18" ht="20.100000000000001" customHeight="1" x14ac:dyDescent="0.25">
      <c r="D264" s="57" t="str">
        <v>GWPCH4</v>
      </c>
      <c r="E264" s="58" t="str">
        <v>Global warming potential for methane (t CO2-e / t CH4)</v>
      </c>
      <c r="F264" s="104"/>
      <c r="G264" s="52">
        <f>Common_InputFunctions.Utility_LookupValueInTableNumber("CH4",Table_GWPData[Gas],Table_GWPData[CO2-e factor])</f>
        <v>28</v>
      </c>
      <c r="N264" s="57" t="str">
        <v>GWPCH4</v>
      </c>
      <c r="O264" s="58" t="str">
        <v>Global warming potential for methane (t CO2-e / t CH4)</v>
      </c>
      <c r="P264" s="104"/>
      <c r="Q264" s="52">
        <f>Common_InputFunctions.Utility_LookupValueInTableNumber("CH4",Table_GWPData[Gas],Table_GWPData[CO2-e factor])</f>
        <v>28</v>
      </c>
    </row>
    <row r="265" spans="1:18" ht="20.100000000000001" customHeight="1" x14ac:dyDescent="0.25"/>
    <row r="266" spans="1:18" ht="20.100000000000001" customHeight="1" x14ac:dyDescent="0.25">
      <c r="A266" s="150" t="str">
        <f>HYPERLINK("#A1", "▲ Back to top")</f>
        <v>▲ Back to top</v>
      </c>
      <c r="D266" s="45" t="s">
        <v>100</v>
      </c>
      <c r="E266" s="45" cm="1">
        <f t="array" ref="E266">Common_Equations.Common_ConvertCH4ToCO2e(G263,G264)</f>
        <v>66.753042733977622</v>
      </c>
      <c r="F266" s="105" t="str" cm="1">
        <f t="array" ref="F266">Common_Equations.Common_ConvertN2OToCO2e_Unit()</f>
        <v>t CO2e</v>
      </c>
      <c r="N266" s="45" t="s">
        <v>100</v>
      </c>
      <c r="O266" s="45" cm="1">
        <f t="array" ref="O266">Common_Equations.Common_ConvertCH4ToCO2e(Q263,Q264)</f>
        <v>67.44479230003202</v>
      </c>
      <c r="P266" s="105"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2"/>
    </row>
    <row r="342" spans="8:8" x14ac:dyDescent="0.25">
      <c r="H342" s="22"/>
    </row>
  </sheetData>
  <dataValidations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G275" zoomScale="85" zoomScaleNormal="85" workbookViewId="0">
      <selection activeCell="G300" sqref="G3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229</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A6" s="16"/>
      <c r="D6" s="5" t="str" cm="1">
        <f t="array" ref="D6">MMS_Swine_N2ODirect_Equations.VEERG_4_5_1_3__5_AnnualNitrogenExcretion_Source()</f>
        <v>VEERG 2026: 4.5.1.3, Equation (5)</v>
      </c>
    </row>
    <row r="7" spans="1:21" ht="20.100000000000001" customHeight="1" x14ac:dyDescent="0.25">
      <c r="A7" s="20" t="s">
        <v>3</v>
      </c>
      <c r="D7" s="13" t="s">
        <v>26</v>
      </c>
      <c r="E7" s="13" t="str" cm="1">
        <f t="array" aca="1" ref="E7" ca="1">Common_InputFunctions.Utility_DisplayFunctionName($E$35)</f>
        <v>=MMS_Swine_N2ODirect_Equations.VEERG_4_5_1_3__5_AnnualNitrogenExcretion</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MMS_Swine_N2ODirect_Equations.VEERG_4_5_1_3__5_AnnualNitrogenExcretion_Variable()</f>
        <v>AE_j</v>
      </c>
    </row>
    <row r="11" spans="1:21" ht="20.100000000000001" customHeight="1" x14ac:dyDescent="0.25">
      <c r="A11" s="19" t="s">
        <v>76</v>
      </c>
      <c r="D11" s="53" t="s">
        <v>19</v>
      </c>
      <c r="E11" s="54" t="str" cm="1">
        <f t="array" ref="E11">MMS_Swine_N2ODirect_Equations.VEERG_4_5_1_3__5_AnnualNitrogenExcretion_Unit()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144" t="str" cm="1">
        <f t="array" ref="D13:E15">Common_InputFunctions.Utility_DisplayArguments_1_2(MMS_Swine_N2ODirect_Equations.VEERG_4_5_1_3__5_AnnualNitrogenExcretion_Arguments())</f>
        <v>N_j</v>
      </c>
      <c r="E13" s="146" t="str">
        <v>number of swine in each group</v>
      </c>
      <c r="F13" s="145"/>
      <c r="G13" s="144" t="str" cm="1">
        <f t="array" ref="G13:H15">Common_InputFunctions.Utility_DisplayArguments_3_4(MMS_Swine_N2ODirect_Equations.VEERG_4_5_1_3__5_AnnualNitrogenExcretion_Arguments())</f>
        <v>head</v>
      </c>
      <c r="H13" s="140" t="str">
        <v>Input</v>
      </c>
      <c r="I13" s="143" t="str" cm="1">
        <f t="array" aca="1" ref="I13" ca="1">HYPERLINK(Common_InputFunctions.Utility_SourceHyperlink(D17), D17)</f>
        <v>Table_N_j</v>
      </c>
    </row>
    <row r="14" spans="1:21" ht="20.100000000000001" customHeight="1" x14ac:dyDescent="0.25">
      <c r="A14" s="17" t="str">
        <f>HYPERLINK("#'4.5.1.5-6 Atmos Dep'!A1", "4.5.1.5-6 Soil atm. deposition")</f>
        <v>4.5.1.5-6 Soil atm. deposition</v>
      </c>
      <c r="D14" s="144" t="str">
        <v>NW_j</v>
      </c>
      <c r="E14" s="144" t="str">
        <v>nitrogen produced in swine manure and waste feed in each class</v>
      </c>
      <c r="F14" s="144"/>
      <c r="G14" s="144" t="str">
        <v>kg N/head/day</v>
      </c>
      <c r="H14" s="140" t="str">
        <v>Input</v>
      </c>
      <c r="I14" s="143" t="str" cm="1">
        <f t="array" aca="1" ref="I14" ca="1">HYPERLINK(Common_InputFunctions.Utility_SourceHyperlink(D22), D22)</f>
        <v>M1_Table_NW_j</v>
      </c>
    </row>
    <row r="15" spans="1:21" ht="20.100000000000001" customHeight="1" x14ac:dyDescent="0.25">
      <c r="A15" s="17" t="str">
        <f>HYPERLINK("#'4.5.1.7-8 Leaching and runoff'!A1", "4.5.1.7-8 Leaching &amp; runoff")</f>
        <v>4.5.1.7-8 Leaching &amp; runoff</v>
      </c>
      <c r="D15" s="144" t="str">
        <v>D_j</v>
      </c>
      <c r="E15" s="146" t="str">
        <v>duration of stay of swine group</v>
      </c>
      <c r="F15" s="145"/>
      <c r="G15" s="144" t="str">
        <v>days</v>
      </c>
      <c r="H15" s="140" t="str">
        <v>Input</v>
      </c>
      <c r="I15" s="143" t="str" cm="1">
        <f t="array" aca="1" ref="I15" ca="1">HYPERLINK(Common_InputFunctions.Utility_SourceHyperlink(D27), D27)</f>
        <v>Table_D_j</v>
      </c>
    </row>
    <row r="16" spans="1:21" ht="20.100000000000001" customHeight="1" x14ac:dyDescent="0.25">
      <c r="A16" s="17" t="str">
        <f>HYPERLINK("#'4.5.1.9 Manure applied to soils'!A1", "4.5.1.9 Manure applied to soils")</f>
        <v>4.5.1.9 Manure applied to soils</v>
      </c>
    </row>
    <row r="17" spans="1:18" ht="20.100000000000001" customHeight="1" x14ac:dyDescent="0.25">
      <c r="D17" s="121" t="s">
        <v>175</v>
      </c>
    </row>
    <row r="18" spans="1:18" ht="20.100000000000001" customHeight="1" x14ac:dyDescent="0.25">
      <c r="A18" s="18" t="s">
        <v>4</v>
      </c>
      <c r="D18" s="122" t="s">
        <v>176</v>
      </c>
    </row>
    <row r="19" spans="1:18" ht="20.100000000000001" customHeight="1" x14ac:dyDescent="0.25">
      <c r="A19" s="17" t="str">
        <f>HYPERLINK("#'Constants - Swine'!A1", "Constants - Swine")</f>
        <v>Constants - Swine</v>
      </c>
      <c r="D19" s="119" t="s">
        <v>142</v>
      </c>
      <c r="E19" s="119" t="s">
        <v>143</v>
      </c>
      <c r="F19" s="119" t="s">
        <v>144</v>
      </c>
      <c r="G19" s="119" t="s">
        <v>206</v>
      </c>
    </row>
    <row r="20" spans="1:18" ht="20.100000000000001" customHeight="1" x14ac:dyDescent="0.25">
      <c r="A20" s="17" t="str">
        <f>HYPERLINK("#'Constants - Livestock'!A1", "Constants - Livestock")</f>
        <v>Constants - Livestock</v>
      </c>
      <c r="D20" s="123">
        <f>'Input - Swine'!$E$11</f>
        <v>100</v>
      </c>
      <c r="E20" s="123">
        <f>'Input - Swine'!$F$11</f>
        <v>100</v>
      </c>
      <c r="F20" s="123">
        <f>'Input - Swine'!$G$11</f>
        <v>100</v>
      </c>
      <c r="G20" s="123">
        <f>'Input - Swine'!$H$11</f>
        <v>100</v>
      </c>
      <c r="H20" s="2" t="str">
        <f>G13</f>
        <v>head</v>
      </c>
    </row>
    <row r="21" spans="1:18" ht="20.100000000000001" customHeight="1" x14ac:dyDescent="0.25">
      <c r="A21" s="17" t="str">
        <f>HYPERLINK("#'Constants - Common'!A1", "Constants - Common")</f>
        <v>Constants - Common</v>
      </c>
    </row>
    <row r="22" spans="1:18" ht="20.100000000000001" customHeight="1" x14ac:dyDescent="0.25">
      <c r="A22" s="17" t="str">
        <f>HYPERLINK("#'Acknowledgements'!A1", "Acknowledgements")</f>
        <v>Acknowledgements</v>
      </c>
      <c r="D22" s="121" t="s">
        <v>236</v>
      </c>
      <c r="N22" s="121" t="s">
        <v>297</v>
      </c>
    </row>
    <row r="23" spans="1:18" ht="20.100000000000001" customHeight="1" x14ac:dyDescent="0.25">
      <c r="D23" s="122" t="s">
        <v>296</v>
      </c>
      <c r="N23" s="122" t="s">
        <v>298</v>
      </c>
    </row>
    <row r="24" spans="1:18" ht="20.100000000000001" customHeight="1" x14ac:dyDescent="0.25">
      <c r="A24" s="17"/>
      <c r="D24" s="119" t="s">
        <v>142</v>
      </c>
      <c r="E24" s="119" t="s">
        <v>143</v>
      </c>
      <c r="F24" s="119" t="s">
        <v>144</v>
      </c>
      <c r="G24" s="119" t="s">
        <v>206</v>
      </c>
      <c r="N24" s="119" t="s">
        <v>142</v>
      </c>
      <c r="O24" s="119" t="s">
        <v>143</v>
      </c>
      <c r="P24" s="119" t="s">
        <v>144</v>
      </c>
      <c r="Q24" s="119" t="s">
        <v>206</v>
      </c>
    </row>
    <row r="25" spans="1:18" ht="20.100000000000001" customHeight="1" x14ac:dyDescent="0.25">
      <c r="D25" s="52">
        <f>'Input - Swine'!E17</f>
        <v>4.5999999999999999E-2</v>
      </c>
      <c r="E25" s="52">
        <f>'Input - Swine'!F17</f>
        <v>4.9000000000000002E-2</v>
      </c>
      <c r="F25" s="52">
        <f>'Input - Swine'!G17</f>
        <v>4.5999999999999999E-2</v>
      </c>
      <c r="G25" s="52">
        <f>'Input - Swine'!H17</f>
        <v>3.1199999999999999E-2</v>
      </c>
      <c r="H25" s="2" t="str">
        <f>G14</f>
        <v>kg N/head/day</v>
      </c>
      <c r="N25" s="52">
        <f>'Input - Swine'!E21</f>
        <v>4.5999999999999999E-2</v>
      </c>
      <c r="O25" s="52">
        <f>'Input - Swine'!F21</f>
        <v>4.9000000000000002E-2</v>
      </c>
      <c r="P25" s="52">
        <f>'Input - Swine'!G21</f>
        <v>4.5999999999999999E-2</v>
      </c>
      <c r="Q25" s="52">
        <f>'Input - Swine'!H21</f>
        <v>3.1199999999999999E-2</v>
      </c>
      <c r="R25" s="2" t="str">
        <f>G14</f>
        <v>kg N/head/day</v>
      </c>
    </row>
    <row r="26" spans="1:18" ht="20.100000000000001" customHeight="1" x14ac:dyDescent="0.25"/>
    <row r="27" spans="1:18" ht="20.100000000000001" customHeight="1" x14ac:dyDescent="0.25">
      <c r="D27" s="121" t="s">
        <v>173</v>
      </c>
    </row>
    <row r="28" spans="1:18" ht="20.100000000000001" customHeight="1" x14ac:dyDescent="0.25">
      <c r="D28" s="122" t="s">
        <v>237</v>
      </c>
    </row>
    <row r="29" spans="1:18" ht="20.100000000000001" customHeight="1" x14ac:dyDescent="0.25">
      <c r="D29" s="119" t="s">
        <v>142</v>
      </c>
      <c r="E29" s="119" t="s">
        <v>143</v>
      </c>
      <c r="F29" s="119" t="s">
        <v>144</v>
      </c>
      <c r="G29" s="119" t="s">
        <v>206</v>
      </c>
    </row>
    <row r="30" spans="1:18" ht="20.100000000000001" customHeight="1" x14ac:dyDescent="0.25">
      <c r="D30" s="123">
        <f>'Input - Swine'!E10</f>
        <v>365</v>
      </c>
      <c r="E30" s="123">
        <f>'Input - Swine'!F10</f>
        <v>365</v>
      </c>
      <c r="F30" s="123">
        <f>'Input - Swine'!G10</f>
        <v>365</v>
      </c>
      <c r="G30" s="123">
        <f>'Input - Swine'!H10</f>
        <v>365</v>
      </c>
      <c r="H30" s="2" t="str">
        <f>G15</f>
        <v>days</v>
      </c>
    </row>
    <row r="31" spans="1:18" ht="20.100000000000001" customHeight="1" x14ac:dyDescent="0.25"/>
    <row r="32" spans="1:18" ht="20.100000000000001" customHeight="1" x14ac:dyDescent="0.25">
      <c r="D32" s="121" t="s">
        <v>299</v>
      </c>
      <c r="N32" s="121" t="s">
        <v>301</v>
      </c>
    </row>
    <row r="33" spans="3:18" ht="20.100000000000001" customHeight="1" x14ac:dyDescent="0.25">
      <c r="D33" s="122" t="s">
        <v>300</v>
      </c>
      <c r="N33" s="122" t="s">
        <v>302</v>
      </c>
    </row>
    <row r="34" spans="3:18" ht="20.100000000000001" customHeight="1" x14ac:dyDescent="0.25">
      <c r="D34" s="51" t="s">
        <v>142</v>
      </c>
      <c r="E34" s="51" t="s">
        <v>143</v>
      </c>
      <c r="F34" s="51" t="s">
        <v>144</v>
      </c>
      <c r="G34" s="51" t="s">
        <v>206</v>
      </c>
      <c r="N34" s="51" t="s">
        <v>142</v>
      </c>
      <c r="O34" s="51" t="s">
        <v>143</v>
      </c>
      <c r="P34" s="51" t="s">
        <v>144</v>
      </c>
      <c r="Q34" s="51" t="s">
        <v>206</v>
      </c>
    </row>
    <row r="35" spans="3:18" ht="20.100000000000001" customHeight="1" x14ac:dyDescent="0.25">
      <c r="D35" s="123" cm="1">
        <f t="array" ref="D35">MMS_Swine_N2ODirect_Equations.VEERG_4_5_1_3__5_AnnualNitrogenExcretion(D20,D25,D30)</f>
        <v>1678.9999999999998</v>
      </c>
      <c r="E35" s="123" cm="1">
        <f t="array" ref="E35">MMS_Swine_N2ODirect_Equations.VEERG_4_5_1_3__5_AnnualNitrogenExcretion(E20,E25,E30)</f>
        <v>1788.5000000000002</v>
      </c>
      <c r="F35" s="123" cm="1">
        <f t="array" ref="F35">MMS_Swine_N2ODirect_Equations.VEERG_4_5_1_3__5_AnnualNitrogenExcretion(F20,F25,F30)</f>
        <v>1678.9999999999998</v>
      </c>
      <c r="G35" s="123" cm="1">
        <f t="array" ref="G35">MMS_Swine_N2ODirect_Equations.VEERG_4_5_1_3__5_AnnualNitrogenExcretion(G20,G25,G30)</f>
        <v>1138.8</v>
      </c>
      <c r="H35" s="2" t="str">
        <f>$E$11</f>
        <v>kg N</v>
      </c>
      <c r="N35" s="123" cm="1">
        <f t="array" ref="N35">MMS_Swine_N2ODirect_Equations.VEERG_4_5_1_3__5_AnnualNitrogenExcretion(D20,N25,D30)</f>
        <v>1678.9999999999998</v>
      </c>
      <c r="O35" s="123" cm="1">
        <f t="array" ref="O35">MMS_Swine_N2ODirect_Equations.VEERG_4_5_1_3__5_AnnualNitrogenExcretion(E20,O25,E30)</f>
        <v>1788.5000000000002</v>
      </c>
      <c r="P35" s="123" cm="1">
        <f t="array" ref="P35">MMS_Swine_N2ODirect_Equations.VEERG_4_5_1_3__5_AnnualNitrogenExcretion(F20,P25,F30)</f>
        <v>1678.9999999999998</v>
      </c>
      <c r="Q35" s="123" cm="1">
        <f t="array" ref="Q35">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26</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3" t="s">
        <v>29</v>
      </c>
      <c r="E44" s="1" t="str" cm="1">
        <f t="array" ref="E44">MMS_Swine_N2ODirect_Equations.VEERG_4_5_1_3__3_FractionOfNitrogenInPrimaryMMS_Variable()</f>
        <v>FN_jmT1</v>
      </c>
    </row>
    <row r="45" spans="3:18" ht="20.100000000000001" customHeight="1" x14ac:dyDescent="0.25">
      <c r="D45" s="53" t="s">
        <v>19</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7" t="str" cm="1">
        <f t="array" ref="D47:E48">Common_InputFunctions.Utility_DisplayArguments_1_2(MMS_Swine_N2ODirect_Equations.VEERG_4_5_1_3__3_FractionOfNitrogenInPrimaryMMS_Arguments())</f>
        <v>MMS_jmT1</v>
      </c>
      <c r="E47" s="58" t="str">
        <v>fraction of manure in primary MMS</v>
      </c>
      <c r="F47" s="59"/>
      <c r="G47" s="144" t="str" cm="1">
        <f t="array" ref="G47:H48">Common_InputFunctions.Utility_DisplayArguments_3_4(MMS_Swine_N2ODirect_Equations.VEERG_4_5_1_3__3_FractionOfNitrogenInPrimaryMMS_Arguments())</f>
        <v>fraction</v>
      </c>
      <c r="H47" s="140" t="str">
        <v>Input</v>
      </c>
      <c r="I47" s="143" t="str" cm="1">
        <f t="array" aca="1" ref="I47" ca="1">HYPERLINK(Common_InputFunctions.Utility_SourceHyperlink(D50), D50)</f>
        <v>Table_MMS_j_m-1-7-9-8_T-1</v>
      </c>
    </row>
    <row r="48" spans="3:18" ht="20.100000000000001" customHeight="1" x14ac:dyDescent="0.25">
      <c r="D48" s="57" t="str">
        <v>SN_m</v>
      </c>
      <c r="E48" s="58" t="str">
        <v>fraction of nitrogen separated to solid storage for each MMS</v>
      </c>
      <c r="F48" s="59"/>
      <c r="G48" s="144" t="str">
        <v>fraction</v>
      </c>
      <c r="H48" s="140" t="str">
        <v>Input</v>
      </c>
      <c r="I48" s="143" t="str" cm="1">
        <f t="array" aca="1" ref="I48" ca="1">HYPERLINK(Common_InputFunctions.Utility_SourceHyperlink(D59), D59)</f>
        <v>M1_Table_SN_m-1-7-9</v>
      </c>
    </row>
    <row r="49" spans="4:19" ht="20.100000000000001" customHeight="1" x14ac:dyDescent="0.25"/>
    <row r="50" spans="4:19" ht="20.100000000000001" customHeight="1" x14ac:dyDescent="0.25">
      <c r="D50" s="121" t="s">
        <v>161</v>
      </c>
    </row>
    <row r="51" spans="4:19" ht="20.100000000000001" customHeight="1" x14ac:dyDescent="0.25">
      <c r="D51" s="122" t="s">
        <v>238</v>
      </c>
    </row>
    <row r="52" spans="4:19" ht="20.100000000000001" customHeight="1" x14ac:dyDescent="0.25">
      <c r="D52" s="119" t="s">
        <v>163</v>
      </c>
      <c r="E52" s="119" t="s">
        <v>142</v>
      </c>
      <c r="F52" s="119" t="s">
        <v>143</v>
      </c>
      <c r="G52" s="119" t="s">
        <v>144</v>
      </c>
      <c r="H52" s="119" t="s">
        <v>206</v>
      </c>
    </row>
    <row r="53" spans="4:19" ht="20.100000000000001" customHeight="1" x14ac:dyDescent="0.25">
      <c r="D53" s="57" t="str">
        <f>'Input - Swine'!$D$29</f>
        <v>Anaerobic lagoon</v>
      </c>
      <c r="E53" s="52">
        <f>'Input - Swine'!E29</f>
        <v>0.15</v>
      </c>
      <c r="F53" s="52">
        <f>'Input - Swine'!F29</f>
        <v>0.15</v>
      </c>
      <c r="G53" s="52">
        <f>'Input - Swine'!G29</f>
        <v>0.15</v>
      </c>
      <c r="H53" s="52">
        <f>'Input - Swine'!H29</f>
        <v>0.15</v>
      </c>
      <c r="I53" s="2" t="str">
        <f>G47</f>
        <v>fraction</v>
      </c>
    </row>
    <row r="54" spans="4:19" ht="20.100000000000001" customHeight="1" x14ac:dyDescent="0.25">
      <c r="D54" s="57" t="str">
        <f>'Input - Swine'!$D$30</f>
        <v>Drylot (feed pad)</v>
      </c>
      <c r="E54" s="52">
        <f>'Input - Swine'!E30</f>
        <v>0.15</v>
      </c>
      <c r="F54" s="52">
        <f>'Input - Swine'!F30</f>
        <v>0.15</v>
      </c>
      <c r="G54" s="52">
        <f>'Input - Swine'!G30</f>
        <v>0.15</v>
      </c>
      <c r="H54" s="52">
        <f>'Input - Swine'!H30</f>
        <v>0.15</v>
      </c>
      <c r="I54" s="2"/>
    </row>
    <row r="55" spans="4:19" ht="20.100000000000001" customHeight="1" x14ac:dyDescent="0.25">
      <c r="D55" s="57" t="str">
        <f>'Input - Swine'!$D$31</f>
        <v>Digester / covered lagoons</v>
      </c>
      <c r="E55" s="52">
        <f>'Input - Swine'!E31</f>
        <v>0.15</v>
      </c>
      <c r="F55" s="52">
        <f>'Input - Swine'!F31</f>
        <v>0.15</v>
      </c>
      <c r="G55" s="52">
        <f>'Input - Swine'!G31</f>
        <v>0.15</v>
      </c>
      <c r="H55" s="52">
        <f>'Input - Swine'!H31</f>
        <v>0.15</v>
      </c>
      <c r="I55" s="2"/>
    </row>
    <row r="56" spans="4:19" ht="20.100000000000001" customHeight="1" x14ac:dyDescent="0.25">
      <c r="D56" s="57" t="str">
        <f>'Input - Swine'!$D$32</f>
        <v>Deep litter</v>
      </c>
      <c r="E56" s="52">
        <f>'Input - Swine'!E32</f>
        <v>0.15</v>
      </c>
      <c r="F56" s="52">
        <f>'Input - Swine'!F32</f>
        <v>0.15</v>
      </c>
      <c r="G56" s="52">
        <f>'Input - Swine'!G32</f>
        <v>0.15</v>
      </c>
      <c r="H56" s="52">
        <f>'Input - Swine'!H32</f>
        <v>0.15</v>
      </c>
      <c r="I56" s="2"/>
    </row>
    <row r="57" spans="4:19" ht="20.100000000000001" customHeight="1" x14ac:dyDescent="0.25">
      <c r="D57" s="57" t="str">
        <f>'Input - Swine'!$D$33</f>
        <v>Pit storage</v>
      </c>
      <c r="E57" s="52">
        <f>'Input - Swine'!E33</f>
        <v>0.15</v>
      </c>
      <c r="F57" s="52">
        <f>'Input - Swine'!F33</f>
        <v>0.15</v>
      </c>
      <c r="G57" s="52">
        <f>'Input - Swine'!G33</f>
        <v>0.15</v>
      </c>
      <c r="H57" s="52">
        <f>'Input - Swine'!H33</f>
        <v>0.15</v>
      </c>
      <c r="I57" s="2"/>
    </row>
    <row r="58" spans="4:19" ht="20.100000000000001" customHeight="1" x14ac:dyDescent="0.25"/>
    <row r="59" spans="4:19" ht="20.100000000000001" customHeight="1" x14ac:dyDescent="0.25">
      <c r="D59" s="121" t="s">
        <v>239</v>
      </c>
      <c r="N59" s="121" t="s">
        <v>266</v>
      </c>
    </row>
    <row r="60" spans="4:19" ht="20.100000000000001" customHeight="1" x14ac:dyDescent="0.25">
      <c r="D60" s="122" t="s">
        <v>240</v>
      </c>
      <c r="N60" s="122" t="s">
        <v>267</v>
      </c>
    </row>
    <row r="61" spans="4:19" ht="20.100000000000001" customHeight="1" x14ac:dyDescent="0.25">
      <c r="D61" s="119" t="s">
        <v>163</v>
      </c>
      <c r="E61" s="119" t="s">
        <v>142</v>
      </c>
      <c r="F61" s="119" t="s">
        <v>143</v>
      </c>
      <c r="G61" s="119" t="s">
        <v>144</v>
      </c>
      <c r="H61" s="119" t="s">
        <v>206</v>
      </c>
      <c r="N61" s="119" t="s">
        <v>163</v>
      </c>
      <c r="O61" s="119" t="s">
        <v>142</v>
      </c>
      <c r="P61" s="119" t="s">
        <v>143</v>
      </c>
      <c r="Q61" s="119" t="s">
        <v>144</v>
      </c>
      <c r="R61" s="119" t="s">
        <v>206</v>
      </c>
    </row>
    <row r="62" spans="4:19" ht="20.100000000000001" customHeight="1" x14ac:dyDescent="0.25">
      <c r="D62" s="57" t="str">
        <f>'Input - Swine'!$D$29</f>
        <v>Anaerobic lagoon</v>
      </c>
      <c r="E62" s="52">
        <f>'Input - Swine'!$F$39</f>
        <v>0.2</v>
      </c>
      <c r="F62" s="52">
        <f>'Input - Swine'!$F$39</f>
        <v>0.2</v>
      </c>
      <c r="G62" s="52">
        <f>'Input - Swine'!$F$39</f>
        <v>0.2</v>
      </c>
      <c r="H62" s="52">
        <f>'Input - Swine'!$F$39</f>
        <v>0.2</v>
      </c>
      <c r="I62" s="2" t="str">
        <f>G48</f>
        <v>fraction</v>
      </c>
      <c r="N62" s="57" t="str">
        <f>'Input - Swine'!$D$29</f>
        <v>Anaerobic lagoon</v>
      </c>
      <c r="O62" s="52">
        <f>'Input - Swine'!$G$39</f>
        <v>0.2</v>
      </c>
      <c r="P62" s="52">
        <f>'Input - Swine'!$G$39</f>
        <v>0.2</v>
      </c>
      <c r="Q62" s="52">
        <f>'Input - Swine'!$G$39</f>
        <v>0.2</v>
      </c>
      <c r="R62" s="52">
        <f>'Input - Swine'!$G$39</f>
        <v>0.2</v>
      </c>
      <c r="S62" s="2" t="str">
        <f>G48</f>
        <v>fraction</v>
      </c>
    </row>
    <row r="63" spans="4:19" ht="20.100000000000001" customHeight="1" x14ac:dyDescent="0.25">
      <c r="D63" s="57" t="str">
        <f>'Input - Swine'!$D$30</f>
        <v>Drylot (feed pad)</v>
      </c>
      <c r="E63" s="52">
        <f>'Input - Swine'!$F$40</f>
        <v>0.2</v>
      </c>
      <c r="F63" s="52">
        <f>'Input - Swine'!$F$40</f>
        <v>0.2</v>
      </c>
      <c r="G63" s="52">
        <f>'Input - Swine'!$F$40</f>
        <v>0.2</v>
      </c>
      <c r="H63" s="52">
        <f>'Input - Swine'!$F$40</f>
        <v>0.2</v>
      </c>
      <c r="I63" s="2"/>
      <c r="N63" s="57" t="str">
        <f>'Input - Swine'!$D$30</f>
        <v>Drylot (feed pad)</v>
      </c>
      <c r="O63" s="52">
        <f>'Input - Swine'!$G$40</f>
        <v>0.2</v>
      </c>
      <c r="P63" s="52">
        <f>'Input - Swine'!$G$40</f>
        <v>0.2</v>
      </c>
      <c r="Q63" s="52">
        <f>'Input - Swine'!$G$40</f>
        <v>0.2</v>
      </c>
      <c r="R63" s="52">
        <f>'Input - Swine'!$G$40</f>
        <v>0.2</v>
      </c>
      <c r="S63" s="2"/>
    </row>
    <row r="64" spans="4:19" ht="20.100000000000001" customHeight="1" x14ac:dyDescent="0.25">
      <c r="D64" s="57" t="str">
        <f>'Input - Swine'!$D$31</f>
        <v>Digester / covered lagoons</v>
      </c>
      <c r="E64" s="52">
        <f>'Input - Swine'!$F$41</f>
        <v>0.2</v>
      </c>
      <c r="F64" s="52">
        <f>'Input - Swine'!$F$41</f>
        <v>0.2</v>
      </c>
      <c r="G64" s="52">
        <f>'Input - Swine'!$F$41</f>
        <v>0.2</v>
      </c>
      <c r="H64" s="52">
        <f>'Input - Swine'!$F$41</f>
        <v>0.2</v>
      </c>
      <c r="I64" s="2"/>
      <c r="N64" s="57" t="str">
        <f>'Input - Swine'!$D$31</f>
        <v>Digester / covered lagoons</v>
      </c>
      <c r="O64" s="52">
        <f>'Input - Swine'!$G$41</f>
        <v>0.2</v>
      </c>
      <c r="P64" s="52">
        <f>'Input - Swine'!$G$41</f>
        <v>0.2</v>
      </c>
      <c r="Q64" s="52">
        <f>'Input - Swine'!$G$41</f>
        <v>0.2</v>
      </c>
      <c r="R64" s="52">
        <f>'Input - Swine'!$G$41</f>
        <v>0.2</v>
      </c>
      <c r="S64" s="2"/>
    </row>
    <row r="65" spans="1:21" ht="20.100000000000001" customHeight="1" x14ac:dyDescent="0.25">
      <c r="D65" s="57" t="str">
        <f>'Input - Swine'!$D$32</f>
        <v>Deep litter</v>
      </c>
      <c r="E65" s="52">
        <f>'Input - Swine'!$F$42</f>
        <v>0.2</v>
      </c>
      <c r="F65" s="52">
        <f>'Input - Swine'!$F$42</f>
        <v>0.2</v>
      </c>
      <c r="G65" s="52">
        <f>'Input - Swine'!$F$42</f>
        <v>0.2</v>
      </c>
      <c r="H65" s="52">
        <f>'Input - Swine'!$F$42</f>
        <v>0.2</v>
      </c>
      <c r="I65" s="2"/>
      <c r="N65" s="57" t="str">
        <f>'Input - Swine'!$D$32</f>
        <v>Deep litter</v>
      </c>
      <c r="O65" s="52">
        <f>'Input - Swine'!$G$42</f>
        <v>0.2</v>
      </c>
      <c r="P65" s="52">
        <f>'Input - Swine'!$G$42</f>
        <v>0.2</v>
      </c>
      <c r="Q65" s="52">
        <f>'Input - Swine'!$G$42</f>
        <v>0.2</v>
      </c>
      <c r="R65" s="52">
        <f>'Input - Swine'!$G$42</f>
        <v>0.2</v>
      </c>
      <c r="S65" s="2"/>
    </row>
    <row r="66" spans="1:21" ht="20.100000000000001" customHeight="1" x14ac:dyDescent="0.25">
      <c r="D66" s="57" t="str">
        <f>'Input - Swine'!$D$33</f>
        <v>Pit storage</v>
      </c>
      <c r="E66" s="52">
        <f>'Input - Swine'!$F$43</f>
        <v>0.2</v>
      </c>
      <c r="F66" s="52">
        <f>'Input - Swine'!$F$43</f>
        <v>0.2</v>
      </c>
      <c r="G66" s="52">
        <f>'Input - Swine'!$F$43</f>
        <v>0.2</v>
      </c>
      <c r="H66" s="52">
        <f>'Input - Swine'!$F$43</f>
        <v>0.2</v>
      </c>
      <c r="I66" s="2"/>
      <c r="N66" s="57" t="str">
        <f>'Input - Swine'!$D$33</f>
        <v>Pit storage</v>
      </c>
      <c r="O66" s="52">
        <f>'Input - Swine'!$G$43</f>
        <v>0.2</v>
      </c>
      <c r="P66" s="52">
        <f>'Input - Swine'!$G$43</f>
        <v>0.2</v>
      </c>
      <c r="Q66" s="52">
        <f>'Input - Swine'!$G$43</f>
        <v>0.2</v>
      </c>
      <c r="R66" s="52">
        <f>'Input - Swine'!$G$43</f>
        <v>0.2</v>
      </c>
      <c r="S66" s="2"/>
    </row>
    <row r="67" spans="1:21" ht="20.100000000000001" customHeight="1" x14ac:dyDescent="0.25"/>
    <row r="68" spans="1:21" ht="20.100000000000001" customHeight="1" x14ac:dyDescent="0.25">
      <c r="D68" s="121" t="s">
        <v>241</v>
      </c>
      <c r="N68" s="121" t="s">
        <v>272</v>
      </c>
    </row>
    <row r="69" spans="1:21" ht="20.100000000000001" customHeight="1" x14ac:dyDescent="0.25">
      <c r="D69" s="122" t="s">
        <v>246</v>
      </c>
      <c r="N69" s="122" t="s">
        <v>273</v>
      </c>
    </row>
    <row r="70" spans="1:21" ht="20.100000000000001" customHeight="1" x14ac:dyDescent="0.25">
      <c r="D70" s="51" t="s">
        <v>163</v>
      </c>
      <c r="E70" s="51" t="s">
        <v>142</v>
      </c>
      <c r="F70" s="51" t="s">
        <v>143</v>
      </c>
      <c r="G70" s="51" t="s">
        <v>144</v>
      </c>
      <c r="H70" s="51" t="s">
        <v>206</v>
      </c>
      <c r="N70" s="51" t="s">
        <v>163</v>
      </c>
      <c r="O70" s="51" t="s">
        <v>142</v>
      </c>
      <c r="P70" s="51" t="s">
        <v>143</v>
      </c>
      <c r="Q70" s="51" t="s">
        <v>144</v>
      </c>
      <c r="R70" s="51" t="s">
        <v>206</v>
      </c>
    </row>
    <row r="71" spans="1:21" ht="20.100000000000001" customHeight="1" x14ac:dyDescent="0.25">
      <c r="D71" s="57" t="str">
        <f>'Input - Swine'!$D$29</f>
        <v>Anaerobic lagoon</v>
      </c>
      <c r="E71" s="52" cm="1">
        <f t="array" ref="E71">MMS_Swine_N2ODirect_Equations.VEERG_4_5_1_3__3_FractionOfNitrogenInPrimaryMMS(E53,E62)</f>
        <v>0.12</v>
      </c>
      <c r="F71" s="52" cm="1">
        <f t="array" ref="F71">MMS_Swine_N2ODirect_Equations.VEERG_4_5_1_3__3_FractionOfNitrogenInPrimaryMMS(F53,F62)</f>
        <v>0.12</v>
      </c>
      <c r="G71" s="52" cm="1">
        <f t="array" ref="G71">MMS_Swine_N2ODirect_Equations.VEERG_4_5_1_3__3_FractionOfNitrogenInPrimaryMMS(G53,G62)</f>
        <v>0.12</v>
      </c>
      <c r="H71" s="52" cm="1">
        <f t="array" ref="H71">MMS_Swine_N2ODirect_Equations.VEERG_4_5_1_3__3_FractionOfNitrogenInPrimaryMMS(H53,H62)</f>
        <v>0.12</v>
      </c>
      <c r="I71" s="2" t="str">
        <f>$E$45</f>
        <v>fraction</v>
      </c>
      <c r="N71" s="57" t="str">
        <f>'Input - Swine'!$D$29</f>
        <v>Anaerobic lagoon</v>
      </c>
      <c r="O71" s="52" cm="1">
        <f t="array" ref="O71">MMS_Swine_N2ODirect_Equations.VEERG_4_5_1_3__3_FractionOfNitrogenInPrimaryMMS(E53,O62)</f>
        <v>0.12</v>
      </c>
      <c r="P71" s="52" cm="1">
        <f t="array" ref="P71">MMS_Swine_N2ODirect_Equations.VEERG_4_5_1_3__3_FractionOfNitrogenInPrimaryMMS(F53,P62)</f>
        <v>0.12</v>
      </c>
      <c r="Q71" s="52" cm="1">
        <f t="array" ref="Q71">MMS_Swine_N2ODirect_Equations.VEERG_4_5_1_3__3_FractionOfNitrogenInPrimaryMMS(G53,Q62)</f>
        <v>0.12</v>
      </c>
      <c r="R71" s="52" cm="1">
        <f t="array" ref="R71">MMS_Swine_N2ODirect_Equations.VEERG_4_5_1_3__3_FractionOfNitrogenInPrimaryMMS(H53,R62)</f>
        <v>0.12</v>
      </c>
      <c r="S71" s="2" t="str">
        <f>$E$45</f>
        <v>fraction</v>
      </c>
    </row>
    <row r="72" spans="1:21" ht="20.100000000000001" customHeight="1" x14ac:dyDescent="0.25">
      <c r="D72" s="57" t="str">
        <f>'Input - Swine'!$D$30</f>
        <v>Drylot (feed pad)</v>
      </c>
      <c r="E72" s="52" cm="1">
        <f t="array" ref="E72">MMS_Swine_N2ODirect_Equations.VEERG_4_5_1_3__3_FractionOfNitrogenInPrimaryMMS(E54,E63)</f>
        <v>0.12</v>
      </c>
      <c r="F72" s="52" cm="1">
        <f t="array" ref="F72">MMS_Swine_N2ODirect_Equations.VEERG_4_5_1_3__3_FractionOfNitrogenInPrimaryMMS(F54,F63)</f>
        <v>0.12</v>
      </c>
      <c r="G72" s="52" cm="1">
        <f t="array" ref="G72">MMS_Swine_N2ODirect_Equations.VEERG_4_5_1_3__3_FractionOfNitrogenInPrimaryMMS(G54,G63)</f>
        <v>0.12</v>
      </c>
      <c r="H72" s="52" cm="1">
        <f t="array" ref="H72">MMS_Swine_N2ODirect_Equations.VEERG_4_5_1_3__3_FractionOfNitrogenInPrimaryMMS(H54,H63)</f>
        <v>0.12</v>
      </c>
      <c r="I72" s="2"/>
      <c r="N72" s="57" t="str">
        <f>'Input - Swine'!$D$30</f>
        <v>Drylot (feed pad)</v>
      </c>
      <c r="O72" s="52" cm="1">
        <f t="array" ref="O72">MMS_Swine_N2ODirect_Equations.VEERG_4_5_1_3__3_FractionOfNitrogenInPrimaryMMS(E54,O63)</f>
        <v>0.12</v>
      </c>
      <c r="P72" s="52" cm="1">
        <f t="array" ref="P72">MMS_Swine_N2ODirect_Equations.VEERG_4_5_1_3__3_FractionOfNitrogenInPrimaryMMS(F54,P63)</f>
        <v>0.12</v>
      </c>
      <c r="Q72" s="52" cm="1">
        <f t="array" ref="Q72">MMS_Swine_N2ODirect_Equations.VEERG_4_5_1_3__3_FractionOfNitrogenInPrimaryMMS(G54,Q63)</f>
        <v>0.12</v>
      </c>
      <c r="R72" s="52" cm="1">
        <f t="array" ref="R72">MMS_Swine_N2ODirect_Equations.VEERG_4_5_1_3__3_FractionOfNitrogenInPrimaryMMS(H54,R63)</f>
        <v>0.12</v>
      </c>
      <c r="S72" s="2"/>
    </row>
    <row r="73" spans="1:21" ht="20.100000000000001" customHeight="1" x14ac:dyDescent="0.25">
      <c r="D73" s="57" t="str">
        <f>'Input - Swine'!$D$31</f>
        <v>Digester / covered lagoons</v>
      </c>
      <c r="E73" s="52" cm="1">
        <f t="array" ref="E73">MMS_Swine_N2ODirect_Equations.VEERG_4_5_1_3__3_FractionOfNitrogenInPrimaryMMS(E55,E64)</f>
        <v>0.12</v>
      </c>
      <c r="F73" s="52" cm="1">
        <f t="array" ref="F73">MMS_Swine_N2ODirect_Equations.VEERG_4_5_1_3__3_FractionOfNitrogenInPrimaryMMS(F55,F64)</f>
        <v>0.12</v>
      </c>
      <c r="G73" s="52" cm="1">
        <f t="array" ref="G73">MMS_Swine_N2ODirect_Equations.VEERG_4_5_1_3__3_FractionOfNitrogenInPrimaryMMS(G55,G64)</f>
        <v>0.12</v>
      </c>
      <c r="H73" s="52" cm="1">
        <f t="array" ref="H73">MMS_Swine_N2ODirect_Equations.VEERG_4_5_1_3__3_FractionOfNitrogenInPrimaryMMS(H55,H64)</f>
        <v>0.12</v>
      </c>
      <c r="I73" s="2"/>
      <c r="N73" s="57" t="str">
        <f>'Input - Swine'!$D$31</f>
        <v>Digester / covered lagoons</v>
      </c>
      <c r="O73" s="52" cm="1">
        <f t="array" ref="O73">MMS_Swine_N2ODirect_Equations.VEERG_4_5_1_3__3_FractionOfNitrogenInPrimaryMMS(E55,O64)</f>
        <v>0.12</v>
      </c>
      <c r="P73" s="52" cm="1">
        <f t="array" ref="P73">MMS_Swine_N2ODirect_Equations.VEERG_4_5_1_3__3_FractionOfNitrogenInPrimaryMMS(F55,P64)</f>
        <v>0.12</v>
      </c>
      <c r="Q73" s="52" cm="1">
        <f t="array" ref="Q73">MMS_Swine_N2ODirect_Equations.VEERG_4_5_1_3__3_FractionOfNitrogenInPrimaryMMS(G55,Q64)</f>
        <v>0.12</v>
      </c>
      <c r="R73" s="52" cm="1">
        <f t="array" ref="R73">MMS_Swine_N2ODirect_Equations.VEERG_4_5_1_3__3_FractionOfNitrogenInPrimaryMMS(H55,R64)</f>
        <v>0.12</v>
      </c>
      <c r="S73" s="2"/>
    </row>
    <row r="74" spans="1:21" ht="20.100000000000001" customHeight="1" x14ac:dyDescent="0.25">
      <c r="D74" s="57" t="str">
        <f>'Input - Swine'!$D$32</f>
        <v>Deep litter</v>
      </c>
      <c r="E74" s="52" cm="1">
        <f t="array" ref="E74">MMS_Swine_N2ODirect_Equations.VEERG_4_5_1_3__3_FractionOfNitrogenInPrimaryMMS(E56,E65)</f>
        <v>0.12</v>
      </c>
      <c r="F74" s="52" cm="1">
        <f t="array" ref="F74">MMS_Swine_N2ODirect_Equations.VEERG_4_5_1_3__3_FractionOfNitrogenInPrimaryMMS(F56,F65)</f>
        <v>0.12</v>
      </c>
      <c r="G74" s="52" cm="1">
        <f t="array" ref="G74">MMS_Swine_N2ODirect_Equations.VEERG_4_5_1_3__3_FractionOfNitrogenInPrimaryMMS(G56,G65)</f>
        <v>0.12</v>
      </c>
      <c r="H74" s="52" cm="1">
        <f t="array" ref="H74">MMS_Swine_N2ODirect_Equations.VEERG_4_5_1_3__3_FractionOfNitrogenInPrimaryMMS(H56,H65)</f>
        <v>0.12</v>
      </c>
      <c r="I74" s="2"/>
      <c r="N74" s="57" t="str">
        <f>'Input - Swine'!$D$32</f>
        <v>Deep litter</v>
      </c>
      <c r="O74" s="52" cm="1">
        <f t="array" ref="O74">MMS_Swine_N2ODirect_Equations.VEERG_4_5_1_3__3_FractionOfNitrogenInPrimaryMMS(E56,O65)</f>
        <v>0.12</v>
      </c>
      <c r="P74" s="52" cm="1">
        <f t="array" ref="P74">MMS_Swine_N2ODirect_Equations.VEERG_4_5_1_3__3_FractionOfNitrogenInPrimaryMMS(F56,P65)</f>
        <v>0.12</v>
      </c>
      <c r="Q74" s="52" cm="1">
        <f t="array" ref="Q74">MMS_Swine_N2ODirect_Equations.VEERG_4_5_1_3__3_FractionOfNitrogenInPrimaryMMS(G56,Q65)</f>
        <v>0.12</v>
      </c>
      <c r="R74" s="52" cm="1">
        <f t="array" ref="R74">MMS_Swine_N2ODirect_Equations.VEERG_4_5_1_3__3_FractionOfNitrogenInPrimaryMMS(H56,R65)</f>
        <v>0.12</v>
      </c>
      <c r="S74" s="2"/>
    </row>
    <row r="75" spans="1:21" ht="20.100000000000001" customHeight="1" x14ac:dyDescent="0.25">
      <c r="D75" s="57" t="str">
        <f>'Input - Swine'!$D$33</f>
        <v>Pit storage</v>
      </c>
      <c r="E75" s="52" cm="1">
        <f t="array" ref="E75">MMS_Swine_N2ODirect_Equations.VEERG_4_5_1_3__3_FractionOfNitrogenInPrimaryMMS(E57,E66)</f>
        <v>0.12</v>
      </c>
      <c r="F75" s="52" cm="1">
        <f t="array" ref="F75">MMS_Swine_N2ODirect_Equations.VEERG_4_5_1_3__3_FractionOfNitrogenInPrimaryMMS(F57,F66)</f>
        <v>0.12</v>
      </c>
      <c r="G75" s="52" cm="1">
        <f t="array" ref="G75">MMS_Swine_N2ODirect_Equations.VEERG_4_5_1_3__3_FractionOfNitrogenInPrimaryMMS(G57,G66)</f>
        <v>0.12</v>
      </c>
      <c r="H75" s="52" cm="1">
        <f t="array" ref="H75">MMS_Swine_N2ODirect_Equations.VEERG_4_5_1_3__3_FractionOfNitrogenInPrimaryMMS(H57,H66)</f>
        <v>0.12</v>
      </c>
      <c r="I75" s="2"/>
      <c r="N75" s="57" t="str">
        <f>'Input - Swine'!$D$33</f>
        <v>Pit storage</v>
      </c>
      <c r="O75" s="52" cm="1">
        <f t="array" ref="O75">MMS_Swine_N2ODirect_Equations.VEERG_4_5_1_3__3_FractionOfNitrogenInPrimaryMMS(E57,O66)</f>
        <v>0.12</v>
      </c>
      <c r="P75" s="52" cm="1">
        <f t="array" ref="P75">MMS_Swine_N2ODirect_Equations.VEERG_4_5_1_3__3_FractionOfNitrogenInPrimaryMMS(F57,P66)</f>
        <v>0.12</v>
      </c>
      <c r="Q75" s="52" cm="1">
        <f t="array" ref="Q75">MMS_Swine_N2ODirect_Equations.VEERG_4_5_1_3__3_FractionOfNitrogenInPrimaryMMS(G57,Q66)</f>
        <v>0.12</v>
      </c>
      <c r="R75" s="52" cm="1">
        <f t="array" ref="R75">MMS_Swine_N2ODirect_Equations.VEERG_4_5_1_3__3_FractionOfNitrogenInPrimaryMMS(H57,R66)</f>
        <v>0.12</v>
      </c>
      <c r="S75" s="2"/>
    </row>
    <row r="76" spans="1:21" ht="20.100000000000001" customHeight="1" x14ac:dyDescent="0.25"/>
    <row r="77" spans="1:21" ht="20.100000000000001" customHeight="1" x14ac:dyDescent="0.25">
      <c r="A77" s="150" t="str">
        <f>HYPERLINK("#A1", "▲ Back to top")</f>
        <v>▲ Back to top</v>
      </c>
    </row>
    <row r="78" spans="1:21" ht="20.100000000000001" customHeight="1" x14ac:dyDescent="0.25">
      <c r="C78" s="45"/>
      <c r="D78" s="45"/>
      <c r="E78" s="45"/>
      <c r="F78" s="45"/>
      <c r="G78" s="45"/>
      <c r="H78" s="45"/>
      <c r="I78" s="45"/>
      <c r="J78" s="45"/>
      <c r="K78" s="45"/>
      <c r="M78" s="45"/>
      <c r="N78" s="45"/>
      <c r="O78" s="45"/>
      <c r="P78" s="45"/>
      <c r="Q78" s="45"/>
      <c r="R78" s="45"/>
      <c r="S78" s="45"/>
      <c r="T78" s="45"/>
      <c r="U78" s="45"/>
    </row>
    <row r="79" spans="1:21" ht="20.100000000000001" customHeight="1" x14ac:dyDescent="0.25">
      <c r="D79" s="6" t="str" cm="1">
        <f t="array" ref="D79">MMS_Swine_N2ODirect_Equations.VEERG_4_5_1_3__4_FractionOfNitrogenInSolidStorage_Title()</f>
        <v>Fraction of nitrogen in solid storage</v>
      </c>
    </row>
    <row r="80" spans="1: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5"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26</v>
      </c>
      <c r="E82" s="13" t="str" cm="1">
        <f t="array" aca="1" ref="E82" ca="1">Common_InputFunctions.Utility_DisplayFunctionName($E$100)</f>
        <v>=MMS_Swine_N2ODirect_Equations.VEERG_4_5_1_3__4_FractionOfNitrogenInSolidStorageVariation</v>
      </c>
    </row>
    <row r="83" spans="4:9" ht="20.100000000000001" customHeight="1" x14ac:dyDescent="0.25">
      <c r="D83" s="55"/>
    </row>
    <row r="84" spans="4:9" ht="20.100000000000001" customHeight="1" x14ac:dyDescent="0.25"/>
    <row r="85" spans="4:9" ht="20.100000000000001" customHeight="1" x14ac:dyDescent="0.25">
      <c r="D85" s="53" t="s">
        <v>29</v>
      </c>
      <c r="E85" s="1" t="str" cm="1">
        <f t="array" ref="E85">MMS_Swine_N2ODirect_Equations.VEERG_4_5_1_3__4_FractionOfNitrogenInSolidStorage_Variable()</f>
        <v>FN_jm4T1</v>
      </c>
    </row>
    <row r="86" spans="4:9" ht="20.100000000000001" customHeight="1" x14ac:dyDescent="0.25">
      <c r="D86" s="53" t="s">
        <v>19</v>
      </c>
      <c r="E86" s="54" t="str" cm="1">
        <f t="array" ref="E86">MMS_Swine_N2ODirect_Equations.VEERG_4_5_1_3__4_FractionOfNitrogenInSolidStorage_Unit()</f>
        <v>fraction</v>
      </c>
    </row>
    <row r="87" spans="4:9" ht="20.100000000000001" customHeight="1" x14ac:dyDescent="0.25"/>
    <row r="88" spans="4:9" ht="20.100000000000001" customHeight="1" x14ac:dyDescent="0.25">
      <c r="D88" s="144" t="str" cm="1">
        <f t="array" ref="D88:E90">Common_InputFunctions.Utility_DisplayArguments_1_2(MMS_Swine_N2ODirect_Equations.VEERG_4_5_1_3__4_FractionOfNitrogenInSolidStorage_Arguments())</f>
        <v>MMS_jm4T1</v>
      </c>
      <c r="E88" s="144" t="str">
        <v>fraction of manure in solid storage MMS</v>
      </c>
      <c r="F88" s="144"/>
      <c r="G88" s="144" t="str" cm="1">
        <f t="array" ref="G88:H90">Common_InputFunctions.Utility_DisplayArguments_3_4(MMS_Swine_N2ODirect_Equations.VEERG_4_5_1_3__4_FractionOfNitrogenInSolidStorage_Arguments())</f>
        <v>fraction</v>
      </c>
      <c r="H88" s="140" t="str">
        <v>Input</v>
      </c>
      <c r="I88" s="143" t="str" cm="1">
        <f t="array" aca="1" ref="I88" ca="1">HYPERLINK(Common_InputFunctions.Utility_SourceHyperlink($D$92), $D$92)</f>
        <v>Table_MMS_j_m-4_T-1</v>
      </c>
    </row>
    <row r="89" spans="4:9" ht="20.100000000000001" customHeight="1" x14ac:dyDescent="0.25">
      <c r="D89" s="144" t="str">
        <v>MMS_jm179T1</v>
      </c>
      <c r="E89" s="144" t="str">
        <v>fraction of manure in primary liquid systems (m=1,7,9)</v>
      </c>
      <c r="F89" s="144"/>
      <c r="G89" s="144" t="str">
        <v>fraction</v>
      </c>
      <c r="H89" s="140" t="str">
        <v>Input</v>
      </c>
      <c r="I89" s="143" t="str" cm="1">
        <f t="array" aca="1" ref="I89" ca="1">HYPERLINK(Common_InputFunctions.Utility_SourceHyperlink($D$50), $D$50)</f>
        <v>Table_MMS_j_m-1-7-9-8_T-1</v>
      </c>
    </row>
    <row r="90" spans="4:9" ht="20.100000000000001" customHeight="1" x14ac:dyDescent="0.25">
      <c r="D90" s="144" t="str">
        <v>SN_m</v>
      </c>
      <c r="E90" s="144" t="str">
        <v>fraction of nitrogen separated to solid storage for each MMS</v>
      </c>
      <c r="F90" s="144"/>
      <c r="G90" s="144" t="str">
        <v>fraction</v>
      </c>
      <c r="H90" s="140" t="str">
        <v>Input</v>
      </c>
      <c r="I90" s="143" t="str" cm="1">
        <f t="array" aca="1" ref="I90" ca="1">HYPERLINK(Common_InputFunctions.Utility_SourceHyperlink($D$59), $D$59)</f>
        <v>M1_Table_SN_m-1-7-9</v>
      </c>
    </row>
    <row r="91" spans="4:9" ht="20.100000000000001" customHeight="1" x14ac:dyDescent="0.25"/>
    <row r="92" spans="4:9" ht="20.100000000000001" customHeight="1" x14ac:dyDescent="0.25">
      <c r="D92" s="121" t="s">
        <v>164</v>
      </c>
    </row>
    <row r="93" spans="4:9" ht="20.100000000000001" customHeight="1" x14ac:dyDescent="0.25">
      <c r="D93" s="122" t="s">
        <v>165</v>
      </c>
    </row>
    <row r="94" spans="4:9" ht="20.100000000000001" customHeight="1" x14ac:dyDescent="0.25">
      <c r="D94" s="119" t="s">
        <v>163</v>
      </c>
      <c r="E94" s="119" t="s">
        <v>142</v>
      </c>
      <c r="F94" s="119" t="s">
        <v>143</v>
      </c>
      <c r="G94" s="119" t="s">
        <v>144</v>
      </c>
      <c r="H94" s="119" t="s">
        <v>206</v>
      </c>
    </row>
    <row r="95" spans="4:9" ht="20.100000000000001" customHeight="1" x14ac:dyDescent="0.25">
      <c r="D95" s="57" t="str">
        <f>'Input - Swine'!$D$34</f>
        <v>Solid storage</v>
      </c>
      <c r="E95" s="52">
        <f>'Input - Swine'!E34</f>
        <v>0.25</v>
      </c>
      <c r="F95" s="52">
        <f>'Input - Swine'!F34</f>
        <v>0.25</v>
      </c>
      <c r="G95" s="52">
        <f>'Input - Swine'!G34</f>
        <v>0.25</v>
      </c>
      <c r="H95" s="52">
        <f>'Input - Swine'!H34</f>
        <v>0.25</v>
      </c>
      <c r="I95" s="2" t="s">
        <v>121</v>
      </c>
    </row>
    <row r="96" spans="4:9" ht="20.100000000000001" customHeight="1" x14ac:dyDescent="0.25"/>
    <row r="97" spans="1:21" ht="20.100000000000001" customHeight="1" x14ac:dyDescent="0.25">
      <c r="D97" s="121" t="s">
        <v>196</v>
      </c>
      <c r="N97" s="121" t="s">
        <v>210</v>
      </c>
    </row>
    <row r="98" spans="1:21" ht="20.100000000000001" customHeight="1" x14ac:dyDescent="0.25">
      <c r="D98" s="122" t="s">
        <v>197</v>
      </c>
      <c r="N98" s="122" t="s">
        <v>211</v>
      </c>
    </row>
    <row r="99" spans="1:21" ht="20.100000000000001" customHeight="1" x14ac:dyDescent="0.25">
      <c r="D99" s="51" t="s">
        <v>163</v>
      </c>
      <c r="E99" s="51" t="s">
        <v>142</v>
      </c>
      <c r="F99" s="51" t="s">
        <v>143</v>
      </c>
      <c r="G99" s="51" t="s">
        <v>144</v>
      </c>
      <c r="H99" s="51" t="s">
        <v>206</v>
      </c>
      <c r="N99" s="51" t="s">
        <v>163</v>
      </c>
      <c r="O99" s="51" t="s">
        <v>142</v>
      </c>
      <c r="P99" s="51" t="s">
        <v>143</v>
      </c>
      <c r="Q99" s="51" t="s">
        <v>144</v>
      </c>
      <c r="R99" s="51" t="s">
        <v>206</v>
      </c>
    </row>
    <row r="100" spans="1:21" ht="20.100000000000001" customHeight="1" x14ac:dyDescent="0.25">
      <c r="D100" s="57" t="str">
        <f>'Input - Swine'!$D$34</f>
        <v>Solid storage</v>
      </c>
      <c r="E100" s="52" cm="1">
        <f t="array" ref="E100">MMS_Swine_N2ODirect_Equations.VEERG_4_5_1_3__4_FractionOfNitrogenInSolidStorageVariation(E95,E53,E54,E55,E56,E57,E62,E63,E64,E65,E66)</f>
        <v>0.40000000000000013</v>
      </c>
      <c r="F100" s="52" cm="1">
        <f t="array" ref="F100">MMS_Swine_N2ODirect_Equations.VEERG_4_5_1_3__4_FractionOfNitrogenInSolidStorageVariation(F95,F53,F54,F55,F56,F57,F62,F63,F64,F65,F66)</f>
        <v>0.40000000000000013</v>
      </c>
      <c r="G100" s="52" cm="1">
        <f t="array" ref="G100">MMS_Swine_N2ODirect_Equations.VEERG_4_5_1_3__4_FractionOfNitrogenInSolidStorageVariation(G95,G53,G54,G55,G56,G57,G62,G63,G64,G65,G66)</f>
        <v>0.40000000000000013</v>
      </c>
      <c r="H100" s="52" cm="1">
        <f t="array" ref="H100">MMS_Swine_N2ODirect_Equations.VEERG_4_5_1_3__4_FractionOfNitrogenInSolidStorageVariation(H95,H53,H54,H55,H56,H57,H62,H63,H64,H65,H66)</f>
        <v>0.40000000000000013</v>
      </c>
      <c r="I100" s="2" t="str">
        <f>$E$86</f>
        <v>fraction</v>
      </c>
      <c r="N100" s="57" t="str">
        <f>'Input - Swine'!$D$34</f>
        <v>Solid storage</v>
      </c>
      <c r="O100" s="52" cm="1">
        <f t="array" ref="O100">MMS_Swine_N2ODirect_Equations.VEERG_4_5_1_3__4_FractionOfNitrogenInSolidStorageVariation(E95,E53,E54,E55,E56,E57,O62,O63,O64,O65,O66)</f>
        <v>0.40000000000000013</v>
      </c>
      <c r="P100" s="52" cm="1">
        <f t="array" ref="P100">MMS_Swine_N2ODirect_Equations.VEERG_4_5_1_3__4_FractionOfNitrogenInSolidStorageVariation(F95,F53,F54,F55,F56,F57,P62,P63,P64,P65,P66)</f>
        <v>0.40000000000000013</v>
      </c>
      <c r="Q100" s="52" cm="1">
        <f t="array" ref="Q100">MMS_Swine_N2ODirect_Equations.VEERG_4_5_1_3__4_FractionOfNitrogenInSolidStorageVariation(G95,G53,G54,G55,G56,G57,Q62,Q63,Q64,Q65,Q66)</f>
        <v>0.40000000000000013</v>
      </c>
      <c r="R100" s="52" cm="1">
        <f t="array" ref="R100">MMS_Swine_N2ODirect_Equations.VEERG_4_5_1_3__4_FractionOfNitrogenInSolidStorageVariation(H95,H53,H54,H55,H56,H57,R62,R63,R64,R65,R66)</f>
        <v>0.40000000000000013</v>
      </c>
      <c r="S100" s="2" t="str">
        <f>$E$86</f>
        <v>fraction</v>
      </c>
    </row>
    <row r="101" spans="1:21" ht="20.100000000000001" customHeight="1" x14ac:dyDescent="0.25"/>
    <row r="102" spans="1:21" ht="20.100000000000001" customHeight="1" x14ac:dyDescent="0.25">
      <c r="A102" s="150" t="str">
        <f>HYPERLINK("#A1", "▲ Back to top")</f>
        <v>▲ Back to top</v>
      </c>
    </row>
    <row r="103" spans="1:21" ht="20.100000000000001" customHeight="1" x14ac:dyDescent="0.25">
      <c r="C103" s="45"/>
      <c r="D103" s="45"/>
      <c r="E103" s="45"/>
      <c r="F103" s="45"/>
      <c r="G103" s="45"/>
      <c r="H103" s="45"/>
      <c r="I103" s="45"/>
      <c r="J103" s="45"/>
      <c r="K103" s="45"/>
      <c r="M103" s="45"/>
      <c r="N103" s="45"/>
      <c r="O103" s="45"/>
      <c r="P103" s="45"/>
      <c r="Q103" s="45"/>
      <c r="R103" s="45"/>
      <c r="S103" s="45"/>
      <c r="T103" s="45"/>
      <c r="U103" s="45"/>
    </row>
    <row r="104" spans="1:21" ht="20.100000000000001" customHeight="1" x14ac:dyDescent="0.25">
      <c r="D104" s="6" t="str" cm="1">
        <f t="array" ref="D104">MMS_Swine_N2ODirect_Equations.VEERG_4_5_1_3__2_Stage1NitrogenInMMS_Title()</f>
        <v>Nitrogen in treatment stage 1 MMS</v>
      </c>
    </row>
    <row r="105" spans="1:21" ht="20.100000000000001" customHeight="1" x14ac:dyDescent="0.25">
      <c r="D105" s="5" t="str" cm="1">
        <f t="array" ref="D105">MMS_Swine_N2ODirect_Equations.VEERG_4_5_1_3__2_Stage1NitrogenInMMS_Source()</f>
        <v>VEERG 2026: 4.5.1.3, Equation (2)</v>
      </c>
    </row>
    <row r="106" spans="1:21" ht="20.100000000000001" customHeight="1" x14ac:dyDescent="0.25">
      <c r="D106" s="13" t="s">
        <v>26</v>
      </c>
      <c r="E106" s="13" t="str" cm="1">
        <f t="array" aca="1" ref="E106" ca="1">Common_InputFunctions.Utility_DisplayFunctionName(E118)</f>
        <v>=MMS_Swine_N2ODirect_Equations.VEERG_4_5_1_3__2_Stage1NitrogenInMMS</v>
      </c>
    </row>
    <row r="107" spans="1:21" ht="20.100000000000001" customHeight="1" x14ac:dyDescent="0.25"/>
    <row r="108" spans="1:21" ht="20.100000000000001" customHeight="1" x14ac:dyDescent="0.25"/>
    <row r="109" spans="1:21" ht="20.100000000000001" customHeight="1" x14ac:dyDescent="0.25">
      <c r="D109" s="53" t="s">
        <v>29</v>
      </c>
      <c r="E109" s="1" t="str" cm="1">
        <f t="array" ref="E109">MMS_Swine_N2ODirect_Equations.VEERG_4_5_1_3__2_Stage1NitrogenInMMS_Variable()</f>
        <v>MN_jmT1</v>
      </c>
    </row>
    <row r="110" spans="1:21" ht="20.100000000000001" customHeight="1" x14ac:dyDescent="0.25">
      <c r="D110" s="53" t="s">
        <v>19</v>
      </c>
      <c r="E110" s="54" t="str" cm="1">
        <f t="array" ref="E110">MMS_Swine_N2ODirect_Equations.VEERG_4_5_1_3__2_Stage1NitrogenInMMS_Unit()</f>
        <v>kg N</v>
      </c>
    </row>
    <row r="111" spans="1:21" ht="20.100000000000001" customHeight="1" x14ac:dyDescent="0.25"/>
    <row r="112" spans="1:21" ht="20.100000000000001" customHeight="1" x14ac:dyDescent="0.25">
      <c r="D112" s="57" t="str" cm="1">
        <f t="array" ref="D112:E113">Common_InputFunctions.Utility_DisplayArguments_1_2(MMS_Swine_N2ODirect_Equations.VEERG_4_5_1_3__2_Stage1NitrogenInMMS_Arguments())</f>
        <v>AE_j</v>
      </c>
      <c r="E112" s="58" t="str">
        <v>total nitrogen excreted by each swine class</v>
      </c>
      <c r="F112" s="59"/>
      <c r="G112" s="144" t="str" cm="1">
        <f t="array" ref="G112:H113">Common_InputFunctions.Utility_DisplayArguments_3_4(MMS_Swine_N2ODirect_Equations.VEERG_4_5_1_3__2_Stage1NitrogenInMMS_Arguments())</f>
        <v>kg N</v>
      </c>
      <c r="H112" s="139" t="str">
        <v>Calculated from 4.5.1.3 (5)</v>
      </c>
      <c r="I112" s="143" t="str" cm="1">
        <f t="array" aca="1" ref="I112" ca="1">HYPERLINK(Common_InputFunctions.Utility_SourceHyperlink(D32), D32)</f>
        <v>M1_Table_AE_j</v>
      </c>
      <c r="J112" s="143"/>
    </row>
    <row r="113" spans="1:21" ht="20.100000000000001" customHeight="1" x14ac:dyDescent="0.25">
      <c r="D113" s="57" t="str">
        <v>FN_jmT1</v>
      </c>
      <c r="E113" s="58" t="str">
        <v>fraction of nitrogen in each primary MMS system</v>
      </c>
      <c r="F113" s="59"/>
      <c r="G113" s="144" t="str">
        <v>fraction</v>
      </c>
      <c r="H113" s="139" t="str">
        <v>Calculated from 4.5.1.3 (3)(4)</v>
      </c>
      <c r="I113" s="143" t="str" cm="1">
        <f t="array" aca="1" ref="I113" ca="1">HYPERLINK(Common_InputFunctions.Utility_SourceHyperlink(D68), D68)</f>
        <v>M1_Table_FN_j_m_T-1</v>
      </c>
      <c r="J113" s="143" t="str" cm="1">
        <f t="array" aca="1" ref="J113" ca="1">HYPERLINK(Common_InputFunctions.Utility_SourceHyperlink(D97), D97)</f>
        <v>M1_Table_FVS_j_m-4_T-1</v>
      </c>
    </row>
    <row r="114" spans="1:21" ht="20.100000000000001" customHeight="1" x14ac:dyDescent="0.25"/>
    <row r="115" spans="1:21" ht="20.100000000000001" customHeight="1" x14ac:dyDescent="0.25">
      <c r="D115" s="121" t="s">
        <v>247</v>
      </c>
      <c r="N115" s="121" t="s">
        <v>268</v>
      </c>
    </row>
    <row r="116" spans="1:21" ht="20.100000000000001" customHeight="1" x14ac:dyDescent="0.25">
      <c r="D116" s="122" t="s">
        <v>248</v>
      </c>
      <c r="N116" s="122" t="s">
        <v>269</v>
      </c>
    </row>
    <row r="117" spans="1:21" ht="20.100000000000001" customHeight="1" x14ac:dyDescent="0.25">
      <c r="D117" s="51" t="s">
        <v>163</v>
      </c>
      <c r="E117" s="51" t="s">
        <v>142</v>
      </c>
      <c r="F117" s="51" t="s">
        <v>143</v>
      </c>
      <c r="G117" s="51" t="s">
        <v>144</v>
      </c>
      <c r="H117" s="51" t="s">
        <v>206</v>
      </c>
      <c r="N117" s="51" t="s">
        <v>163</v>
      </c>
      <c r="O117" s="51" t="s">
        <v>142</v>
      </c>
      <c r="P117" s="51" t="s">
        <v>143</v>
      </c>
      <c r="Q117" s="51" t="s">
        <v>144</v>
      </c>
      <c r="R117" s="51" t="s">
        <v>206</v>
      </c>
    </row>
    <row r="118" spans="1:21" ht="20.100000000000001" customHeight="1" x14ac:dyDescent="0.25">
      <c r="D118" s="57" t="str">
        <f>'Input - Swine'!$D$29</f>
        <v>Anaerobic lagoon</v>
      </c>
      <c r="E118" s="52" cm="1">
        <f t="array" ref="E118">MMS_Swine_N2ODirect_Equations.VEERG_4_5_1_3__2_Stage1NitrogenInMMS(D$35,E71)</f>
        <v>201.47999999999996</v>
      </c>
      <c r="F118" s="52" cm="1">
        <f t="array" ref="F118">MMS_Swine_N2ODirect_Equations.VEERG_4_5_1_3__2_Stage1NitrogenInMMS(E$35,F71)</f>
        <v>214.62000000000003</v>
      </c>
      <c r="G118" s="52" cm="1">
        <f t="array" ref="G118">MMS_Swine_N2ODirect_Equations.VEERG_4_5_1_3__2_Stage1NitrogenInMMS(F$35,G71)</f>
        <v>201.47999999999996</v>
      </c>
      <c r="H118" s="52" cm="1">
        <f t="array" ref="H118">MMS_Swine_N2ODirect_Equations.VEERG_4_5_1_3__2_Stage1NitrogenInMMS(G$35,H71)</f>
        <v>136.65599999999998</v>
      </c>
      <c r="I118" s="2" t="str">
        <f t="shared" ref="I118" si="0">$E$110</f>
        <v>kg N</v>
      </c>
      <c r="N118" s="57" t="str">
        <f>'Input - Swine'!$D$29</f>
        <v>Anaerobic lagoon</v>
      </c>
      <c r="O118" s="52" cm="1">
        <f t="array" ref="O118">MMS_Swine_N2ODirect_Equations.VEERG_4_5_1_3__2_Stage1NitrogenInMMS(N$35,O71)</f>
        <v>201.47999999999996</v>
      </c>
      <c r="P118" s="52" cm="1">
        <f t="array" ref="P118">MMS_Swine_N2ODirect_Equations.VEERG_4_5_1_3__2_Stage1NitrogenInMMS(O$35,P71)</f>
        <v>214.62000000000003</v>
      </c>
      <c r="Q118" s="52" cm="1">
        <f t="array" ref="Q118">MMS_Swine_N2ODirect_Equations.VEERG_4_5_1_3__2_Stage1NitrogenInMMS(P$35,Q71)</f>
        <v>201.47999999999996</v>
      </c>
      <c r="R118" s="52" cm="1">
        <f t="array" ref="R118">MMS_Swine_N2ODirect_Equations.VEERG_4_5_1_3__2_Stage1NitrogenInMMS(Q$35,R71)</f>
        <v>136.65599999999998</v>
      </c>
      <c r="S118" s="2" t="str">
        <f t="shared" ref="S118" si="1">$E$110</f>
        <v>kg N</v>
      </c>
    </row>
    <row r="119" spans="1:21" ht="20.100000000000001" customHeight="1" x14ac:dyDescent="0.25">
      <c r="D119" s="57" t="str">
        <f>'Input - Swine'!$D$30</f>
        <v>Drylot (feed pad)</v>
      </c>
      <c r="E119" s="52" cm="1">
        <f t="array" ref="E119">MMS_Swine_N2ODirect_Equations.VEERG_4_5_1_3__2_Stage1NitrogenInMMS(D$35,E72)</f>
        <v>201.47999999999996</v>
      </c>
      <c r="F119" s="52" cm="1">
        <f t="array" ref="F119">MMS_Swine_N2ODirect_Equations.VEERG_4_5_1_3__2_Stage1NitrogenInMMS(E$35,F72)</f>
        <v>214.62000000000003</v>
      </c>
      <c r="G119" s="52" cm="1">
        <f t="array" ref="G119">MMS_Swine_N2ODirect_Equations.VEERG_4_5_1_3__2_Stage1NitrogenInMMS(F$35,G72)</f>
        <v>201.47999999999996</v>
      </c>
      <c r="H119" s="52" cm="1">
        <f t="array" ref="H119">MMS_Swine_N2ODirect_Equations.VEERG_4_5_1_3__2_Stage1NitrogenInMMS(G$35,H72)</f>
        <v>136.65599999999998</v>
      </c>
      <c r="I119" s="2"/>
      <c r="N119" s="57" t="str">
        <f>'Input - Swine'!$D$30</f>
        <v>Drylot (feed pad)</v>
      </c>
      <c r="O119" s="52" cm="1">
        <f t="array" ref="O119">MMS_Swine_N2ODirect_Equations.VEERG_4_5_1_3__2_Stage1NitrogenInMMS(N$35,O72)</f>
        <v>201.47999999999996</v>
      </c>
      <c r="P119" s="52" cm="1">
        <f t="array" ref="P119">MMS_Swine_N2ODirect_Equations.VEERG_4_5_1_3__2_Stage1NitrogenInMMS(O$35,P72)</f>
        <v>214.62000000000003</v>
      </c>
      <c r="Q119" s="52" cm="1">
        <f t="array" ref="Q119">MMS_Swine_N2ODirect_Equations.VEERG_4_5_1_3__2_Stage1NitrogenInMMS(P$35,Q72)</f>
        <v>201.47999999999996</v>
      </c>
      <c r="R119" s="52" cm="1">
        <f t="array" ref="R119">MMS_Swine_N2ODirect_Equations.VEERG_4_5_1_3__2_Stage1NitrogenInMMS(Q$35,R72)</f>
        <v>136.65599999999998</v>
      </c>
      <c r="S119" s="2"/>
    </row>
    <row r="120" spans="1:21" ht="20.100000000000001" customHeight="1" x14ac:dyDescent="0.25">
      <c r="D120" s="57" t="str">
        <f>'Input - Swine'!$D$31</f>
        <v>Digester / covered lagoons</v>
      </c>
      <c r="E120" s="52" cm="1">
        <f t="array" ref="E120">MMS_Swine_N2ODirect_Equations.VEERG_4_5_1_3__2_Stage1NitrogenInMMS(D$35,E73)</f>
        <v>201.47999999999996</v>
      </c>
      <c r="F120" s="52" cm="1">
        <f t="array" ref="F120">MMS_Swine_N2ODirect_Equations.VEERG_4_5_1_3__2_Stage1NitrogenInMMS(E$35,F73)</f>
        <v>214.62000000000003</v>
      </c>
      <c r="G120" s="52" cm="1">
        <f t="array" ref="G120">MMS_Swine_N2ODirect_Equations.VEERG_4_5_1_3__2_Stage1NitrogenInMMS(F$35,G73)</f>
        <v>201.47999999999996</v>
      </c>
      <c r="H120" s="52" cm="1">
        <f t="array" ref="H120">MMS_Swine_N2ODirect_Equations.VEERG_4_5_1_3__2_Stage1NitrogenInMMS(G$35,H73)</f>
        <v>136.65599999999998</v>
      </c>
      <c r="I120" s="2"/>
      <c r="N120" s="57" t="str">
        <f>'Input - Swine'!$D$31</f>
        <v>Digester / covered lagoons</v>
      </c>
      <c r="O120" s="52" cm="1">
        <f t="array" ref="O120">MMS_Swine_N2ODirect_Equations.VEERG_4_5_1_3__2_Stage1NitrogenInMMS(N$35,O73)</f>
        <v>201.47999999999996</v>
      </c>
      <c r="P120" s="52" cm="1">
        <f t="array" ref="P120">MMS_Swine_N2ODirect_Equations.VEERG_4_5_1_3__2_Stage1NitrogenInMMS(O$35,P73)</f>
        <v>214.62000000000003</v>
      </c>
      <c r="Q120" s="52" cm="1">
        <f t="array" ref="Q120">MMS_Swine_N2ODirect_Equations.VEERG_4_5_1_3__2_Stage1NitrogenInMMS(P$35,Q73)</f>
        <v>201.47999999999996</v>
      </c>
      <c r="R120" s="52" cm="1">
        <f t="array" ref="R120">MMS_Swine_N2ODirect_Equations.VEERG_4_5_1_3__2_Stage1NitrogenInMMS(Q$35,R73)</f>
        <v>136.65599999999998</v>
      </c>
      <c r="S120" s="2"/>
    </row>
    <row r="121" spans="1:21" ht="20.100000000000001" customHeight="1" x14ac:dyDescent="0.25">
      <c r="D121" s="57" t="str">
        <f>'Input - Swine'!$D$32</f>
        <v>Deep litter</v>
      </c>
      <c r="E121" s="52" cm="1">
        <f t="array" ref="E121">MMS_Swine_N2ODirect_Equations.VEERG_4_5_1_3__2_Stage1NitrogenInMMS(D$35,E74)</f>
        <v>201.47999999999996</v>
      </c>
      <c r="F121" s="52" cm="1">
        <f t="array" ref="F121">MMS_Swine_N2ODirect_Equations.VEERG_4_5_1_3__2_Stage1NitrogenInMMS(E$35,F74)</f>
        <v>214.62000000000003</v>
      </c>
      <c r="G121" s="52" cm="1">
        <f t="array" ref="G121">MMS_Swine_N2ODirect_Equations.VEERG_4_5_1_3__2_Stage1NitrogenInMMS(F$35,G74)</f>
        <v>201.47999999999996</v>
      </c>
      <c r="H121" s="52" cm="1">
        <f t="array" ref="H121">MMS_Swine_N2ODirect_Equations.VEERG_4_5_1_3__2_Stage1NitrogenInMMS(G$35,H74)</f>
        <v>136.65599999999998</v>
      </c>
      <c r="I121" s="2"/>
      <c r="N121" s="57" t="str">
        <f>'Input - Swine'!$D$32</f>
        <v>Deep litter</v>
      </c>
      <c r="O121" s="52" cm="1">
        <f t="array" ref="O121">MMS_Swine_N2ODirect_Equations.VEERG_4_5_1_3__2_Stage1NitrogenInMMS(N$35,O74)</f>
        <v>201.47999999999996</v>
      </c>
      <c r="P121" s="52" cm="1">
        <f t="array" ref="P121">MMS_Swine_N2ODirect_Equations.VEERG_4_5_1_3__2_Stage1NitrogenInMMS(O$35,P74)</f>
        <v>214.62000000000003</v>
      </c>
      <c r="Q121" s="52" cm="1">
        <f t="array" ref="Q121">MMS_Swine_N2ODirect_Equations.VEERG_4_5_1_3__2_Stage1NitrogenInMMS(P$35,Q74)</f>
        <v>201.47999999999996</v>
      </c>
      <c r="R121" s="52" cm="1">
        <f t="array" ref="R121">MMS_Swine_N2ODirect_Equations.VEERG_4_5_1_3__2_Stage1NitrogenInMMS(Q$35,R74)</f>
        <v>136.65599999999998</v>
      </c>
      <c r="S121" s="2"/>
    </row>
    <row r="122" spans="1:21" ht="20.100000000000001" customHeight="1" x14ac:dyDescent="0.25">
      <c r="D122" s="57" t="str">
        <f>'Input - Swine'!$D$33</f>
        <v>Pit storage</v>
      </c>
      <c r="E122" s="52" cm="1">
        <f t="array" ref="E122">MMS_Swine_N2ODirect_Equations.VEERG_4_5_1_3__2_Stage1NitrogenInMMS(D$35,E75)</f>
        <v>201.47999999999996</v>
      </c>
      <c r="F122" s="52" cm="1">
        <f t="array" ref="F122">MMS_Swine_N2ODirect_Equations.VEERG_4_5_1_3__2_Stage1NitrogenInMMS(E$35,F75)</f>
        <v>214.62000000000003</v>
      </c>
      <c r="G122" s="52" cm="1">
        <f t="array" ref="G122">MMS_Swine_N2ODirect_Equations.VEERG_4_5_1_3__2_Stage1NitrogenInMMS(F$35,G75)</f>
        <v>201.47999999999996</v>
      </c>
      <c r="H122" s="52" cm="1">
        <f t="array" ref="H122">MMS_Swine_N2ODirect_Equations.VEERG_4_5_1_3__2_Stage1NitrogenInMMS(G$35,H75)</f>
        <v>136.65599999999998</v>
      </c>
      <c r="I122" s="2"/>
      <c r="N122" s="57" t="str">
        <f>'Input - Swine'!$D$33</f>
        <v>Pit storage</v>
      </c>
      <c r="O122" s="52" cm="1">
        <f t="array" ref="O122">MMS_Swine_N2ODirect_Equations.VEERG_4_5_1_3__2_Stage1NitrogenInMMS(N$35,O75)</f>
        <v>201.47999999999996</v>
      </c>
      <c r="P122" s="52" cm="1">
        <f t="array" ref="P122">MMS_Swine_N2ODirect_Equations.VEERG_4_5_1_3__2_Stage1NitrogenInMMS(O$35,P75)</f>
        <v>214.62000000000003</v>
      </c>
      <c r="Q122" s="52" cm="1">
        <f t="array" ref="Q122">MMS_Swine_N2ODirect_Equations.VEERG_4_5_1_3__2_Stage1NitrogenInMMS(P$35,Q75)</f>
        <v>201.47999999999996</v>
      </c>
      <c r="R122" s="52" cm="1">
        <f t="array" ref="R122">MMS_Swine_N2ODirect_Equations.VEERG_4_5_1_3__2_Stage1NitrogenInMMS(Q$35,R75)</f>
        <v>136.65599999999998</v>
      </c>
      <c r="S122" s="2"/>
    </row>
    <row r="123" spans="1:21" ht="20.100000000000001" customHeight="1" x14ac:dyDescent="0.25">
      <c r="D123" s="57" t="str">
        <f>'Input - Swine'!$D$34</f>
        <v>Solid storage</v>
      </c>
      <c r="E123" s="52" cm="1">
        <f t="array" ref="E123">MMS_Swine_N2ODirect_Equations.VEERG_4_5_1_3__2_Stage1NitrogenInMMS(D$35,E100)</f>
        <v>671.60000000000014</v>
      </c>
      <c r="F123" s="52" cm="1">
        <f t="array" ref="F123">MMS_Swine_N2ODirect_Equations.VEERG_4_5_1_3__2_Stage1NitrogenInMMS(E$35,F100)</f>
        <v>715.40000000000032</v>
      </c>
      <c r="G123" s="52" cm="1">
        <f t="array" ref="G123">MMS_Swine_N2ODirect_Equations.VEERG_4_5_1_3__2_Stage1NitrogenInMMS(F$35,G100)</f>
        <v>671.60000000000014</v>
      </c>
      <c r="H123" s="52" cm="1">
        <f t="array" ref="H123">MMS_Swine_N2ODirect_Equations.VEERG_4_5_1_3__2_Stage1NitrogenInMMS(G$35,H100)</f>
        <v>455.52000000000015</v>
      </c>
      <c r="I123" s="2"/>
      <c r="N123" s="57" t="str">
        <f>'Input - Swine'!$D$34</f>
        <v>Solid storage</v>
      </c>
      <c r="O123" s="52" cm="1">
        <f t="array" ref="O123">MMS_Swine_N2ODirect_Equations.VEERG_4_5_1_3__2_Stage1NitrogenInMMS(N$35,O100)</f>
        <v>671.60000000000014</v>
      </c>
      <c r="P123" s="52" cm="1">
        <f t="array" ref="P123">MMS_Swine_N2ODirect_Equations.VEERG_4_5_1_3__2_Stage1NitrogenInMMS(O$35,P100)</f>
        <v>715.40000000000032</v>
      </c>
      <c r="Q123" s="52" cm="1">
        <f t="array" ref="Q123">MMS_Swine_N2ODirect_Equations.VEERG_4_5_1_3__2_Stage1NitrogenInMMS(P$35,Q100)</f>
        <v>671.60000000000014</v>
      </c>
      <c r="R123" s="52" cm="1">
        <f t="array" ref="R123">MMS_Swine_N2ODirect_Equations.VEERG_4_5_1_3__2_Stage1NitrogenInMMS(Q$35,R100)</f>
        <v>455.52000000000015</v>
      </c>
      <c r="S123" s="2"/>
    </row>
    <row r="124" spans="1:21" ht="20.100000000000001" customHeight="1" x14ac:dyDescent="0.25"/>
    <row r="125" spans="1:21" ht="20.100000000000001" customHeight="1" x14ac:dyDescent="0.25">
      <c r="A125" s="150" t="str">
        <f>HYPERLINK("#A1", "▲ Back to top")</f>
        <v>▲ Back to top</v>
      </c>
    </row>
    <row r="126" spans="1:21" ht="20.100000000000001" customHeight="1" x14ac:dyDescent="0.25">
      <c r="C126" s="45"/>
      <c r="D126" s="45"/>
      <c r="E126" s="45"/>
      <c r="F126" s="45"/>
      <c r="G126" s="45"/>
      <c r="H126" s="45"/>
      <c r="I126" s="45"/>
      <c r="J126" s="45"/>
      <c r="K126" s="45"/>
      <c r="M126" s="45"/>
      <c r="N126" s="45"/>
      <c r="O126" s="45"/>
      <c r="P126" s="45"/>
      <c r="Q126" s="45"/>
      <c r="R126" s="45"/>
      <c r="S126" s="45"/>
      <c r="T126" s="45"/>
      <c r="U126" s="45"/>
    </row>
    <row r="127" spans="1:21" ht="20.100000000000001" customHeight="1" x14ac:dyDescent="0.25">
      <c r="D127" s="6" t="str" cm="1">
        <f t="array" ref="D127">MMS_Swine_N2ODirect_Equations.VEERG_4_5_1_3__7_NitrogenTransferredToStage2MMS_Title()</f>
        <v>Nitrogen transferred to treatment stage 2 MMS</v>
      </c>
    </row>
    <row r="128" spans="1: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26</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3" t="s">
        <v>29</v>
      </c>
      <c r="E132" s="1" t="str" cm="1">
        <f t="array" ref="E132">MMS_Swine_N2ODirect_Equations.VEERG_4_5_1_3__7_NitrogenTransferredToStage2MMS_Variable()</f>
        <v>NT_jmT2</v>
      </c>
    </row>
    <row r="133" spans="4:9" ht="20.100000000000001" customHeight="1" x14ac:dyDescent="0.25">
      <c r="D133" s="53" t="s">
        <v>19</v>
      </c>
      <c r="E133" s="54" t="str" cm="1">
        <f t="array" ref="E133">MMS_Swine_N2ODirect_Equations.VEERG_4_5_1_3__7_NitrogenTransferredToStage2MMS_Unit()</f>
        <v>kg N</v>
      </c>
    </row>
    <row r="134" spans="4:9" ht="20.100000000000001" customHeight="1" x14ac:dyDescent="0.25"/>
    <row r="135" spans="4:9" ht="20.100000000000001" customHeight="1" x14ac:dyDescent="0.25">
      <c r="D135" s="57" t="str" cm="1">
        <f t="array" ref="D135:E137">Common_InputFunctions.Utility_DisplayArguments_1_2(MMS_Swine_N2ODirect_Equations.VEERG_4_5_1_3__7_NitrogenTransferredToStage2MMS_Arguments())</f>
        <v>MN_jmT1</v>
      </c>
      <c r="E135" s="57" t="str">
        <v>nitrogen per swine class in treatment stage 1 MMS</v>
      </c>
      <c r="F135" s="57"/>
      <c r="G135" s="144" t="str" cm="1">
        <f t="array" ref="G135:H137">Common_InputFunctions.Utility_DisplayArguments_3_4(MMS_Swine_N2ODirect_Equations.VEERG_4_5_1_3__7_NitrogenTransferredToStage2MMS_Arguments())</f>
        <v>kg N</v>
      </c>
      <c r="H135" s="139" t="str">
        <v>Calculated from 4.5.1.3 (2)(6)</v>
      </c>
      <c r="I135" s="143" t="str" cm="1">
        <f t="array" aca="1" ref="I135" ca="1">HYPERLINK(Common_InputFunctions.Utility_SourceHyperlink(D115), D115)</f>
        <v>M1_Table_MN_j_m_T-1</v>
      </c>
    </row>
    <row r="136" spans="4:9" ht="20.100000000000001" customHeight="1" x14ac:dyDescent="0.25">
      <c r="D136" s="57" t="str">
        <v>FracGASMmT1</v>
      </c>
      <c r="E136" s="57" t="str">
        <v>fraction of N volatilised from MMS treatment at stage 1</v>
      </c>
      <c r="F136" s="57"/>
      <c r="G136" s="144" t="str">
        <v>fraction</v>
      </c>
      <c r="H136" s="139" t="str">
        <v>Lookup</v>
      </c>
      <c r="I136" s="143" t="str" cm="1">
        <f t="array" aca="1" ref="I136" ca="1">HYPERLINK(Common_InputFunctions.Utility_SourceHyperlink(D139), D139)</f>
        <v>Table_FracGASM_m_t-1</v>
      </c>
    </row>
    <row r="137" spans="4:9" ht="20.100000000000001" customHeight="1" x14ac:dyDescent="0.25">
      <c r="D137" s="57" t="str">
        <v>EF_mT1</v>
      </c>
      <c r="E137" s="57" t="str">
        <v>nitrous oxide emission factor for MMS treatment at stage 1</v>
      </c>
      <c r="F137" s="57"/>
      <c r="G137" s="144" t="str">
        <v>kg N2O-N/kg N</v>
      </c>
      <c r="H137" s="139" t="str">
        <v>Lookup</v>
      </c>
      <c r="I137" s="143" t="str" cm="1">
        <f t="array" aca="1" ref="I137" ca="1">HYPERLINK(Common_InputFunctions.Utility_SourceHyperlink(D150), D150)</f>
        <v>Table_EF_m_t-1</v>
      </c>
    </row>
    <row r="138" spans="4:9" ht="20.100000000000001" customHeight="1" x14ac:dyDescent="0.25"/>
    <row r="139" spans="4:9" ht="20.100000000000001" customHeight="1" x14ac:dyDescent="0.25">
      <c r="D139" s="121" t="s">
        <v>249</v>
      </c>
    </row>
    <row r="140" spans="4:9" ht="20.100000000000001" customHeight="1" x14ac:dyDescent="0.25">
      <c r="D140" s="122" t="s">
        <v>250</v>
      </c>
    </row>
    <row r="141" spans="4:9" ht="20.100000000000001" customHeight="1" x14ac:dyDescent="0.25">
      <c r="D141" s="51" t="s">
        <v>67</v>
      </c>
      <c r="E141" s="51" t="s">
        <v>251</v>
      </c>
    </row>
    <row r="142" spans="4:9" ht="20.100000000000001" customHeight="1" x14ac:dyDescent="0.25">
      <c r="D142" s="57" t="str">
        <f>'Input - Swine'!$D$29</f>
        <v>Anaerobic lagoon</v>
      </c>
      <c r="E142" s="52"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7" t="str">
        <f>'Input - Swine'!$D$30</f>
        <v>Drylot (feed pad)</v>
      </c>
      <c r="E143" s="52" cm="1">
        <f t="array" ref="E143">Common_InputFunctions.Utility_LookupValueInTableNumber(D143, Table_SourceData_Swine_FracGASM[NIR reference],Table_SourceData_Swine_FracGASM[FracGASMmT])</f>
        <v>0.3</v>
      </c>
    </row>
    <row r="144" spans="4:9" ht="20.100000000000001" customHeight="1" x14ac:dyDescent="0.25">
      <c r="D144" s="57" t="str">
        <f>'Input - Swine'!$D$31</f>
        <v>Digester / covered lagoons</v>
      </c>
      <c r="E144" s="52" cm="1">
        <f t="array" ref="E144">Common_InputFunctions.Utility_LookupValueInTableNumber(D144, Table_SourceData_Swine_FracGASM[NIR reference],Table_SourceData_Swine_FracGASM[FracGASMmT])</f>
        <v>0</v>
      </c>
    </row>
    <row r="145" spans="4:6" ht="20.100000000000001" customHeight="1" x14ac:dyDescent="0.25">
      <c r="D145" s="57" t="str">
        <f>'Input - Swine'!$D$32</f>
        <v>Deep litter</v>
      </c>
      <c r="E145" s="52" cm="1">
        <f t="array" ref="E145">Common_InputFunctions.Utility_LookupValueInTableNumber(D145, Table_SourceData_Swine_FracGASM[NIR reference],Table_SourceData_Swine_FracGASM[FracGASMmT])</f>
        <v>0.125</v>
      </c>
    </row>
    <row r="146" spans="4:6" ht="20.100000000000001" customHeight="1" x14ac:dyDescent="0.25">
      <c r="D146" s="57" t="str">
        <f>'Input - Swine'!$D$33</f>
        <v>Pit storage</v>
      </c>
      <c r="E146" s="52" cm="1">
        <f t="array" ref="E146">Common_InputFunctions.Utility_LookupValueInTableNumber(D146, Table_SourceData_Swine_FracGASM[NIR reference],Table_SourceData_Swine_FracGASM[FracGASMmT])</f>
        <v>0.25</v>
      </c>
    </row>
    <row r="147" spans="4:6" ht="20.100000000000001" customHeight="1" x14ac:dyDescent="0.25">
      <c r="D147" s="57" t="str">
        <f>'Input - Swine'!$D$34</f>
        <v>Solid storage</v>
      </c>
      <c r="E147" s="52" cm="1">
        <f t="array" ref="E147">Common_InputFunctions.Utility_LookupValueInTableNumber(D147, Table_SourceData_Swine_FracGASM[NIR reference],Table_SourceData_Swine_FracGASM[FracGASMmT])</f>
        <v>0.2</v>
      </c>
    </row>
    <row r="148" spans="4:6" ht="20.100000000000001" customHeight="1" x14ac:dyDescent="0.25">
      <c r="D148" s="57" t="str">
        <f>'Constants - Swine'!$D$47</f>
        <v>Direct application</v>
      </c>
      <c r="E148" s="52"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21" t="s">
        <v>252</v>
      </c>
    </row>
    <row r="151" spans="4:6" ht="20.100000000000001" customHeight="1" x14ac:dyDescent="0.25">
      <c r="D151" s="122" t="s">
        <v>253</v>
      </c>
    </row>
    <row r="152" spans="4:6" ht="20.100000000000001" customHeight="1" x14ac:dyDescent="0.25">
      <c r="D152" s="51" t="s">
        <v>67</v>
      </c>
      <c r="E152" s="51" t="s">
        <v>254</v>
      </c>
    </row>
    <row r="153" spans="4:6" ht="20.100000000000001" customHeight="1" x14ac:dyDescent="0.25">
      <c r="D153" s="57" t="str">
        <f>'Input - Swine'!$D$29</f>
        <v>Anaerobic lagoon</v>
      </c>
      <c r="E153" s="52"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7" t="str">
        <f>'Input - Swine'!$D$30</f>
        <v>Drylot (feed pad)</v>
      </c>
      <c r="E154" s="52" cm="1">
        <f t="array" ref="E154">Common_InputFunctions.Utility_LookupValueInTableNumber(D154, Table_SourceData_Swine_FracGASM28[NIR reference],Table_SourceData_Swine_FracGASM28[EFmT])</f>
        <v>0.02</v>
      </c>
    </row>
    <row r="155" spans="4:6" ht="20.100000000000001" customHeight="1" x14ac:dyDescent="0.25">
      <c r="D155" s="57" t="str">
        <f>'Input - Swine'!$D$31</f>
        <v>Digester / covered lagoons</v>
      </c>
      <c r="E155" s="52" cm="1">
        <f t="array" ref="E155">Common_InputFunctions.Utility_LookupValueInTableNumber(D155, Table_SourceData_Swine_FracGASM28[NIR reference],Table_SourceData_Swine_FracGASM28[EFmT])</f>
        <v>0</v>
      </c>
    </row>
    <row r="156" spans="4:6" ht="20.100000000000001" customHeight="1" x14ac:dyDescent="0.25">
      <c r="D156" s="57" t="str">
        <f>'Input - Swine'!$D$32</f>
        <v>Deep litter</v>
      </c>
      <c r="E156" s="52" cm="1">
        <f t="array" ref="E156">Common_InputFunctions.Utility_LookupValueInTableNumber(D156, Table_SourceData_Swine_FracGASM28[NIR reference],Table_SourceData_Swine_FracGASM28[EFmT])</f>
        <v>0.01</v>
      </c>
    </row>
    <row r="157" spans="4:6" ht="20.100000000000001" customHeight="1" x14ac:dyDescent="0.25">
      <c r="D157" s="57" t="str">
        <f>'Input - Swine'!$D$33</f>
        <v>Pit storage</v>
      </c>
      <c r="E157" s="52" cm="1">
        <f t="array" ref="E157">Common_InputFunctions.Utility_LookupValueInTableNumber(D157, Table_SourceData_Swine_FracGASM28[NIR reference],Table_SourceData_Swine_FracGASM28[EFmT])</f>
        <v>2E-3</v>
      </c>
    </row>
    <row r="158" spans="4:6" ht="20.100000000000001" customHeight="1" x14ac:dyDescent="0.25">
      <c r="D158" s="57" t="str">
        <f>'Input - Swine'!$D$34</f>
        <v>Solid storage</v>
      </c>
      <c r="E158" s="52" cm="1">
        <f t="array" ref="E158">Common_InputFunctions.Utility_LookupValueInTableNumber(D158, Table_SourceData_Swine_FracGASM28[NIR reference],Table_SourceData_Swine_FracGASM28[EFmT])</f>
        <v>5.0000000000000001E-3</v>
      </c>
    </row>
    <row r="159" spans="4:6" ht="20.100000000000001" customHeight="1" x14ac:dyDescent="0.25">
      <c r="D159" s="57" t="str">
        <f>'Constants - Swine'!$D$47</f>
        <v>Direct application</v>
      </c>
      <c r="E159" s="52"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21" t="s">
        <v>256</v>
      </c>
      <c r="N161" s="121" t="s">
        <v>270</v>
      </c>
    </row>
    <row r="162" spans="1:21" ht="20.100000000000001" customHeight="1" x14ac:dyDescent="0.25">
      <c r="D162" s="122" t="s">
        <v>257</v>
      </c>
      <c r="N162" s="122" t="s">
        <v>271</v>
      </c>
    </row>
    <row r="163" spans="1:21" ht="20.100000000000001" customHeight="1" x14ac:dyDescent="0.25">
      <c r="D163" s="51" t="s">
        <v>163</v>
      </c>
      <c r="E163" s="51" t="s">
        <v>142</v>
      </c>
      <c r="F163" s="51" t="s">
        <v>143</v>
      </c>
      <c r="G163" s="51" t="s">
        <v>144</v>
      </c>
      <c r="H163" s="51" t="s">
        <v>206</v>
      </c>
      <c r="N163" s="51" t="s">
        <v>163</v>
      </c>
      <c r="O163" s="51" t="s">
        <v>142</v>
      </c>
      <c r="P163" s="51" t="s">
        <v>143</v>
      </c>
      <c r="Q163" s="51" t="s">
        <v>144</v>
      </c>
      <c r="R163" s="51" t="s">
        <v>206</v>
      </c>
    </row>
    <row r="164" spans="1:21" ht="20.100000000000001" customHeight="1" x14ac:dyDescent="0.25">
      <c r="D164" s="57" t="str">
        <f>'Input - Swine'!$D$29</f>
        <v>Anaerobic lagoon</v>
      </c>
      <c r="E164" s="52" cm="1">
        <f t="array" ref="E164">MMS_Swine_N2ODirect_Equations.VEERG_4_5_1_3__7_NitrogenTransferredToStage2MMS(E118,$E142,$E153)</f>
        <v>90.665999999999968</v>
      </c>
      <c r="F164" s="52" cm="1">
        <f t="array" ref="F164">MMS_Swine_N2ODirect_Equations.VEERG_4_5_1_3__7_NitrogenTransferredToStage2MMS(F118,$E142,$E153)</f>
        <v>96.579000000000008</v>
      </c>
      <c r="G164" s="52" cm="1">
        <f t="array" ref="G164">MMS_Swine_N2ODirect_Equations.VEERG_4_5_1_3__7_NitrogenTransferredToStage2MMS(G118,$E142,$E153)</f>
        <v>90.665999999999968</v>
      </c>
      <c r="H164" s="52" cm="1">
        <f t="array" ref="H164">MMS_Swine_N2ODirect_Equations.VEERG_4_5_1_3__7_NitrogenTransferredToStage2MMS(H118,$E142,$E153)</f>
        <v>61.495199999999983</v>
      </c>
      <c r="I164" s="2" t="str">
        <f>$E$133</f>
        <v>kg N</v>
      </c>
      <c r="N164" s="57" t="str">
        <f>'Input - Swine'!$D$29</f>
        <v>Anaerobic lagoon</v>
      </c>
      <c r="O164" s="52" cm="1">
        <f t="array" ref="O164">MMS_Swine_N2ODirect_Equations.VEERG_4_5_1_3__7_NitrogenTransferredToStage2MMS(O118,$E142,$E153)</f>
        <v>90.665999999999968</v>
      </c>
      <c r="P164" s="52" cm="1">
        <f t="array" ref="P164">MMS_Swine_N2ODirect_Equations.VEERG_4_5_1_3__7_NitrogenTransferredToStage2MMS(P118,$E142,$E153)</f>
        <v>96.579000000000008</v>
      </c>
      <c r="Q164" s="52" cm="1">
        <f t="array" ref="Q164">MMS_Swine_N2ODirect_Equations.VEERG_4_5_1_3__7_NitrogenTransferredToStage2MMS(Q118,$E142,$E153)</f>
        <v>90.665999999999968</v>
      </c>
      <c r="R164" s="52" cm="1">
        <f t="array" ref="R164">MMS_Swine_N2ODirect_Equations.VEERG_4_5_1_3__7_NitrogenTransferredToStage2MMS(R118,$E142,$E153)</f>
        <v>61.495199999999983</v>
      </c>
      <c r="S164" s="2" t="str">
        <f>$E$133</f>
        <v>kg N</v>
      </c>
    </row>
    <row r="165" spans="1:21" ht="20.100000000000001" customHeight="1" x14ac:dyDescent="0.25">
      <c r="D165" s="57" t="str">
        <f>'Input - Swine'!$D$30</f>
        <v>Drylot (feed pad)</v>
      </c>
      <c r="E165" s="52" cm="1">
        <f t="array" ref="E165">MMS_Swine_N2ODirect_Equations.VEERG_4_5_1_3__7_NitrogenTransferredToStage2MMS(E119,$E143,$E154)</f>
        <v>137.00639999999996</v>
      </c>
      <c r="F165" s="52" cm="1">
        <f t="array" ref="F165">MMS_Swine_N2ODirect_Equations.VEERG_4_5_1_3__7_NitrogenTransferredToStage2MMS(F119,$E143,$E154)</f>
        <v>145.94160000000002</v>
      </c>
      <c r="G165" s="52" cm="1">
        <f t="array" ref="G165">MMS_Swine_N2ODirect_Equations.VEERG_4_5_1_3__7_NitrogenTransferredToStage2MMS(G119,$E143,$E154)</f>
        <v>137.00639999999996</v>
      </c>
      <c r="H165" s="52" cm="1">
        <f t="array" ref="H165">MMS_Swine_N2ODirect_Equations.VEERG_4_5_1_3__7_NitrogenTransferredToStage2MMS(H119,$E143,$E154)</f>
        <v>92.92607999999997</v>
      </c>
      <c r="I165" s="2"/>
      <c r="N165" s="57" t="str">
        <f>'Input - Swine'!$D$30</f>
        <v>Drylot (feed pad)</v>
      </c>
      <c r="O165" s="52" cm="1">
        <f t="array" ref="O165">MMS_Swine_N2ODirect_Equations.VEERG_4_5_1_3__7_NitrogenTransferredToStage2MMS(O119,$E143,$E154)</f>
        <v>137.00639999999996</v>
      </c>
      <c r="P165" s="52" cm="1">
        <f t="array" ref="P165">MMS_Swine_N2ODirect_Equations.VEERG_4_5_1_3__7_NitrogenTransferredToStage2MMS(P119,$E143,$E154)</f>
        <v>145.94160000000002</v>
      </c>
      <c r="Q165" s="52" cm="1">
        <f t="array" ref="Q165">MMS_Swine_N2ODirect_Equations.VEERG_4_5_1_3__7_NitrogenTransferredToStage2MMS(Q119,$E143,$E154)</f>
        <v>137.00639999999996</v>
      </c>
      <c r="R165" s="52" cm="1">
        <f t="array" ref="R165">MMS_Swine_N2ODirect_Equations.VEERG_4_5_1_3__7_NitrogenTransferredToStage2MMS(R119,$E143,$E154)</f>
        <v>92.92607999999997</v>
      </c>
      <c r="S165" s="2"/>
    </row>
    <row r="166" spans="1:21" ht="20.100000000000001" customHeight="1" x14ac:dyDescent="0.25">
      <c r="D166" s="57" t="str">
        <f>'Input - Swine'!$D$31</f>
        <v>Digester / covered lagoons</v>
      </c>
      <c r="E166" s="52" cm="1">
        <f t="array" ref="E166">MMS_Swine_N2ODirect_Equations.VEERG_4_5_1_3__7_NitrogenTransferredToStage2MMS(E120,$E144,$E155)</f>
        <v>201.47999999999996</v>
      </c>
      <c r="F166" s="52" cm="1">
        <f t="array" ref="F166">MMS_Swine_N2ODirect_Equations.VEERG_4_5_1_3__7_NitrogenTransferredToStage2MMS(F120,$E144,$E155)</f>
        <v>214.62000000000003</v>
      </c>
      <c r="G166" s="52" cm="1">
        <f t="array" ref="G166">MMS_Swine_N2ODirect_Equations.VEERG_4_5_1_3__7_NitrogenTransferredToStage2MMS(G120,$E144,$E155)</f>
        <v>201.47999999999996</v>
      </c>
      <c r="H166" s="52" cm="1">
        <f t="array" ref="H166">MMS_Swine_N2ODirect_Equations.VEERG_4_5_1_3__7_NitrogenTransferredToStage2MMS(H120,$E144,$E155)</f>
        <v>136.65599999999998</v>
      </c>
      <c r="I166" s="2"/>
      <c r="N166" s="57" t="str">
        <f>'Input - Swine'!$D$31</f>
        <v>Digester / covered lagoons</v>
      </c>
      <c r="O166" s="52" cm="1">
        <f t="array" ref="O166">MMS_Swine_N2ODirect_Equations.VEERG_4_5_1_3__7_NitrogenTransferredToStage2MMS(O120,$E144,$E155)</f>
        <v>201.47999999999996</v>
      </c>
      <c r="P166" s="52" cm="1">
        <f t="array" ref="P166">MMS_Swine_N2ODirect_Equations.VEERG_4_5_1_3__7_NitrogenTransferredToStage2MMS(P120,$E144,$E155)</f>
        <v>214.62000000000003</v>
      </c>
      <c r="Q166" s="52" cm="1">
        <f t="array" ref="Q166">MMS_Swine_N2ODirect_Equations.VEERG_4_5_1_3__7_NitrogenTransferredToStage2MMS(Q120,$E144,$E155)</f>
        <v>201.47999999999996</v>
      </c>
      <c r="R166" s="52" cm="1">
        <f t="array" ref="R166">MMS_Swine_N2ODirect_Equations.VEERG_4_5_1_3__7_NitrogenTransferredToStage2MMS(R120,$E144,$E155)</f>
        <v>136.65599999999998</v>
      </c>
      <c r="S166" s="2"/>
    </row>
    <row r="167" spans="1:21" ht="20.100000000000001" customHeight="1" x14ac:dyDescent="0.25">
      <c r="D167" s="57" t="str">
        <f>'Input - Swine'!$D$32</f>
        <v>Deep litter</v>
      </c>
      <c r="E167" s="52" cm="1">
        <f t="array" ref="E167">MMS_Swine_N2ODirect_Equations.VEERG_4_5_1_3__7_NitrogenTransferredToStage2MMS(E121,$E145,$E156)</f>
        <v>174.28019999999995</v>
      </c>
      <c r="F167" s="52" cm="1">
        <f t="array" ref="F167">MMS_Swine_N2ODirect_Equations.VEERG_4_5_1_3__7_NitrogenTransferredToStage2MMS(F121,$E145,$E156)</f>
        <v>185.64630000000002</v>
      </c>
      <c r="G167" s="52" cm="1">
        <f t="array" ref="G167">MMS_Swine_N2ODirect_Equations.VEERG_4_5_1_3__7_NitrogenTransferredToStage2MMS(G121,$E145,$E156)</f>
        <v>174.28019999999995</v>
      </c>
      <c r="H167" s="52" cm="1">
        <f t="array" ref="H167">MMS_Swine_N2ODirect_Equations.VEERG_4_5_1_3__7_NitrogenTransferredToStage2MMS(H121,$E145,$E156)</f>
        <v>118.20743999999998</v>
      </c>
      <c r="I167" s="2"/>
      <c r="N167" s="57" t="str">
        <f>'Input - Swine'!$D$32</f>
        <v>Deep litter</v>
      </c>
      <c r="O167" s="52" cm="1">
        <f t="array" ref="O167">MMS_Swine_N2ODirect_Equations.VEERG_4_5_1_3__7_NitrogenTransferredToStage2MMS(O121,$E145,$E156)</f>
        <v>174.28019999999995</v>
      </c>
      <c r="P167" s="52" cm="1">
        <f t="array" ref="P167">MMS_Swine_N2ODirect_Equations.VEERG_4_5_1_3__7_NitrogenTransferredToStage2MMS(P121,$E145,$E156)</f>
        <v>185.64630000000002</v>
      </c>
      <c r="Q167" s="52" cm="1">
        <f t="array" ref="Q167">MMS_Swine_N2ODirect_Equations.VEERG_4_5_1_3__7_NitrogenTransferredToStage2MMS(Q121,$E145,$E156)</f>
        <v>174.28019999999995</v>
      </c>
      <c r="R167" s="52" cm="1">
        <f t="array" ref="R167">MMS_Swine_N2ODirect_Equations.VEERG_4_5_1_3__7_NitrogenTransferredToStage2MMS(R121,$E145,$E156)</f>
        <v>118.20743999999998</v>
      </c>
      <c r="S167" s="2"/>
    </row>
    <row r="168" spans="1:21" ht="20.100000000000001" customHeight="1" x14ac:dyDescent="0.25">
      <c r="D168" s="57" t="str">
        <f>'Input - Swine'!$D$33</f>
        <v>Pit storage</v>
      </c>
      <c r="E168" s="52" cm="1">
        <f t="array" ref="E168">MMS_Swine_N2ODirect_Equations.VEERG_4_5_1_3__7_NitrogenTransferredToStage2MMS(E122,$E146,$E157)</f>
        <v>150.70703999999998</v>
      </c>
      <c r="F168" s="52" cm="1">
        <f t="array" ref="F168">MMS_Swine_N2ODirect_Equations.VEERG_4_5_1_3__7_NitrogenTransferredToStage2MMS(F122,$E146,$E157)</f>
        <v>160.53576000000001</v>
      </c>
      <c r="G168" s="52" cm="1">
        <f t="array" ref="G168">MMS_Swine_N2ODirect_Equations.VEERG_4_5_1_3__7_NitrogenTransferredToStage2MMS(G122,$E146,$E157)</f>
        <v>150.70703999999998</v>
      </c>
      <c r="H168" s="52" cm="1">
        <f t="array" ref="H168">MMS_Swine_N2ODirect_Equations.VEERG_4_5_1_3__7_NitrogenTransferredToStage2MMS(H122,$E146,$E157)</f>
        <v>102.21868799999999</v>
      </c>
      <c r="I168" s="2"/>
      <c r="N168" s="57" t="str">
        <f>'Input - Swine'!$D$33</f>
        <v>Pit storage</v>
      </c>
      <c r="O168" s="52" cm="1">
        <f t="array" ref="O168">MMS_Swine_N2ODirect_Equations.VEERG_4_5_1_3__7_NitrogenTransferredToStage2MMS(O122,$E146,$E157)</f>
        <v>150.70703999999998</v>
      </c>
      <c r="P168" s="52" cm="1">
        <f t="array" ref="P168">MMS_Swine_N2ODirect_Equations.VEERG_4_5_1_3__7_NitrogenTransferredToStage2MMS(P122,$E146,$E157)</f>
        <v>160.53576000000001</v>
      </c>
      <c r="Q168" s="52" cm="1">
        <f t="array" ref="Q168">MMS_Swine_N2ODirect_Equations.VEERG_4_5_1_3__7_NitrogenTransferredToStage2MMS(Q122,$E146,$E157)</f>
        <v>150.70703999999998</v>
      </c>
      <c r="R168" s="52" cm="1">
        <f t="array" ref="R168">MMS_Swine_N2ODirect_Equations.VEERG_4_5_1_3__7_NitrogenTransferredToStage2MMS(R122,$E146,$E157)</f>
        <v>102.21868799999999</v>
      </c>
      <c r="S168" s="2"/>
    </row>
    <row r="169" spans="1:21" ht="20.100000000000001" customHeight="1" x14ac:dyDescent="0.25">
      <c r="D169" s="57" t="str">
        <f>'Input - Swine'!$D$34</f>
        <v>Solid storage</v>
      </c>
      <c r="E169" s="52" cm="1">
        <f t="array" ref="E169">MMS_Swine_N2ODirect_Equations.VEERG_4_5_1_3__7_NitrogenTransferredToStage2MMS(E123,$E147,$E158)</f>
        <v>533.92200000000014</v>
      </c>
      <c r="F169" s="52" cm="1">
        <f t="array" ref="F169">MMS_Swine_N2ODirect_Equations.VEERG_4_5_1_3__7_NitrogenTransferredToStage2MMS(F123,$E147,$E158)</f>
        <v>568.74300000000028</v>
      </c>
      <c r="G169" s="52" cm="1">
        <f t="array" ref="G169">MMS_Swine_N2ODirect_Equations.VEERG_4_5_1_3__7_NitrogenTransferredToStage2MMS(G123,$E147,$E158)</f>
        <v>533.92200000000014</v>
      </c>
      <c r="H169" s="52" cm="1">
        <f t="array" ref="H169">MMS_Swine_N2ODirect_Equations.VEERG_4_5_1_3__7_NitrogenTransferredToStage2MMS(H123,$E147,$E158)</f>
        <v>362.13840000000016</v>
      </c>
      <c r="I169" s="2"/>
      <c r="N169" s="57" t="str">
        <f>'Input - Swine'!$D$34</f>
        <v>Solid storage</v>
      </c>
      <c r="O169" s="52" cm="1">
        <f t="array" ref="O169">MMS_Swine_N2ODirect_Equations.VEERG_4_5_1_3__7_NitrogenTransferredToStage2MMS(O123,$E147,$E158)</f>
        <v>533.92200000000014</v>
      </c>
      <c r="P169" s="52" cm="1">
        <f t="array" ref="P169">MMS_Swine_N2ODirect_Equations.VEERG_4_5_1_3__7_NitrogenTransferredToStage2MMS(P123,$E147,$E158)</f>
        <v>568.74300000000028</v>
      </c>
      <c r="Q169" s="52" cm="1">
        <f t="array" ref="Q169">MMS_Swine_N2ODirect_Equations.VEERG_4_5_1_3__7_NitrogenTransferredToStage2MMS(Q123,$E147,$E158)</f>
        <v>533.92200000000014</v>
      </c>
      <c r="R169" s="52" cm="1">
        <f t="array" ref="R169">MMS_Swine_N2ODirect_Equations.VEERG_4_5_1_3__7_NitrogenTransferredToStage2MMS(R123,$E147,$E158)</f>
        <v>362.13840000000016</v>
      </c>
      <c r="S169" s="2"/>
    </row>
    <row r="170" spans="1:21" ht="20.100000000000001" customHeight="1" x14ac:dyDescent="0.25"/>
    <row r="171" spans="1:21" ht="20.100000000000001" customHeight="1" x14ac:dyDescent="0.25">
      <c r="A171" s="150" t="str">
        <f>HYPERLINK("#A1", "▲ Back to top")</f>
        <v>▲ Back to top</v>
      </c>
    </row>
    <row r="172" spans="1:21" ht="20.100000000000001" customHeight="1" x14ac:dyDescent="0.25">
      <c r="C172" s="45"/>
      <c r="D172" s="45"/>
      <c r="E172" s="45"/>
      <c r="F172" s="45"/>
      <c r="G172" s="45"/>
      <c r="H172" s="45"/>
      <c r="I172" s="45"/>
      <c r="J172" s="45"/>
      <c r="K172" s="45"/>
      <c r="M172" s="45"/>
      <c r="N172" s="45"/>
      <c r="O172" s="45"/>
      <c r="P172" s="45"/>
      <c r="Q172" s="45"/>
      <c r="R172" s="45"/>
      <c r="S172" s="45"/>
      <c r="T172" s="45"/>
      <c r="U172" s="45"/>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26</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3" t="s">
        <v>29</v>
      </c>
      <c r="E178" s="1" t="str" cm="1">
        <f t="array" ref="E178">MMS_Swine_N2ODirect_Equations.VEERG_4_5_1_3__6_Stage2NitrogenInMMS_Variable()</f>
        <v>MN_jmT2</v>
      </c>
    </row>
    <row r="179" spans="4:10" ht="20.100000000000001" customHeight="1" x14ac:dyDescent="0.25">
      <c r="D179" s="53" t="s">
        <v>19</v>
      </c>
      <c r="E179" s="54" t="str" cm="1">
        <f t="array" ref="E179">MMS_Swine_N2ODirect_Equations.VEERG_4_5_1_3__6_Stage2NitrogenInMMS_Unit()</f>
        <v>kg N</v>
      </c>
    </row>
    <row r="180" spans="4:10" ht="20.100000000000001" customHeight="1" x14ac:dyDescent="0.25"/>
    <row r="181" spans="4:10" ht="20.100000000000001" customHeight="1" x14ac:dyDescent="0.25">
      <c r="D181" s="108" t="str" cm="1">
        <f t="array" ref="D181:E182">Common_InputFunctions.Utility_DisplayArguments_1_2(MMS_Swine_N2ODirect_Equations.VEERG_4_5_1_3__6_Stage2NitrogenInMMS_Arguments())</f>
        <v>NT_jmT2</v>
      </c>
      <c r="E181" s="110" t="str">
        <v>nitrogen transferred to secondary treatment MMS</v>
      </c>
      <c r="F181" s="109"/>
      <c r="G181" s="144" t="str" cm="1">
        <f t="array" ref="G181:H182">Common_InputFunctions.Utility_DisplayArguments_3_4(MMS_Swine_N2ODirect_Equations.VEERG_4_5_1_3__6_Stage2NitrogenInMMS_Arguments())</f>
        <v>kg N</v>
      </c>
      <c r="H181" s="139" t="str">
        <v>Calculated from 4.5.1.3 (7)</v>
      </c>
      <c r="I181" s="143" t="str" cm="1">
        <f t="array" aca="1" ref="I181" ca="1">HYPERLINK(Common_InputFunctions.Utility_SourceHyperlink(D161), D161)</f>
        <v>M1_Table_NT_j_m_T-2</v>
      </c>
    </row>
    <row r="182" spans="4:10" ht="20.100000000000001" customHeight="1" x14ac:dyDescent="0.25">
      <c r="D182" s="108" t="str">
        <v>MMS_jmT2</v>
      </c>
      <c r="E182" s="110" t="str">
        <v>fraction of manure in each secondary system</v>
      </c>
      <c r="F182" s="109"/>
      <c r="G182" s="144" t="str">
        <v>fraction</v>
      </c>
      <c r="H182" s="140" t="str">
        <v>Input</v>
      </c>
      <c r="I182" s="143" t="str" cm="1">
        <f t="array" aca="1" ref="I182" ca="1">HYPERLINK(Common_InputFunctions.Utility_SourceHyperlink(D184), D184)</f>
        <v>Table_MMS_j_m_T-2</v>
      </c>
    </row>
    <row r="183" spans="4:10" ht="20.100000000000001" customHeight="1" x14ac:dyDescent="0.25"/>
    <row r="184" spans="4:10" ht="20.100000000000001" customHeight="1" x14ac:dyDescent="0.25">
      <c r="D184" s="121" t="s">
        <v>169</v>
      </c>
    </row>
    <row r="185" spans="4:10" ht="20.100000000000001" customHeight="1" x14ac:dyDescent="0.25">
      <c r="D185" s="122" t="s">
        <v>170</v>
      </c>
    </row>
    <row r="186" spans="4:10" ht="20.100000000000001" customHeight="1" x14ac:dyDescent="0.25">
      <c r="D186" s="119" t="s">
        <v>163</v>
      </c>
      <c r="E186" s="119" t="s">
        <v>171</v>
      </c>
      <c r="F186" s="119" t="s">
        <v>142</v>
      </c>
      <c r="G186" s="119" t="s">
        <v>143</v>
      </c>
      <c r="H186" s="119" t="s">
        <v>144</v>
      </c>
      <c r="I186" s="119" t="s">
        <v>206</v>
      </c>
    </row>
    <row r="187" spans="4:10" ht="20.100000000000001" customHeight="1" x14ac:dyDescent="0.25">
      <c r="D187" s="57" t="str">
        <f>'Input - Swine'!$D$29</f>
        <v>Anaerobic lagoon</v>
      </c>
      <c r="E187" s="57" t="str">
        <f>'Input - Swine'!$D$48</f>
        <v>Digester / covered lagoons</v>
      </c>
      <c r="F187" s="52">
        <f>'Input - Swine'!E48</f>
        <v>0.2</v>
      </c>
      <c r="G187" s="52">
        <f>'Input - Swine'!F48</f>
        <v>0.25</v>
      </c>
      <c r="H187" s="52">
        <f>'Input - Swine'!G48</f>
        <v>0.25</v>
      </c>
      <c r="I187" s="52">
        <f>'Input - Swine'!H48</f>
        <v>0.25</v>
      </c>
      <c r="J187" s="2" t="str">
        <f>G182</f>
        <v>fraction</v>
      </c>
    </row>
    <row r="188" spans="4:10" ht="20.100000000000001" customHeight="1" x14ac:dyDescent="0.25">
      <c r="D188" s="57"/>
      <c r="E188" s="57" t="str">
        <f>'Input - Swine'!$D$49</f>
        <v>Deep litter</v>
      </c>
      <c r="F188" s="52">
        <f>'Input - Swine'!E49</f>
        <v>0.2</v>
      </c>
      <c r="G188" s="52">
        <f>'Input - Swine'!F49</f>
        <v>0.25</v>
      </c>
      <c r="H188" s="52">
        <f>'Input - Swine'!G49</f>
        <v>0.25</v>
      </c>
      <c r="I188" s="52">
        <f>'Input - Swine'!H49</f>
        <v>0.25</v>
      </c>
      <c r="J188" s="2"/>
    </row>
    <row r="189" spans="4:10" ht="20.100000000000001" customHeight="1" x14ac:dyDescent="0.25">
      <c r="D189" s="57"/>
      <c r="E189" s="57" t="str">
        <f>'Input - Swine'!$D$50</f>
        <v>Pit storage</v>
      </c>
      <c r="F189" s="52">
        <f>'Input - Swine'!E50</f>
        <v>0.2</v>
      </c>
      <c r="G189" s="52">
        <f>'Input - Swine'!F50</f>
        <v>0.25</v>
      </c>
      <c r="H189" s="52">
        <f>'Input - Swine'!G50</f>
        <v>0.25</v>
      </c>
      <c r="I189" s="52">
        <f>'Input - Swine'!H50</f>
        <v>0.25</v>
      </c>
      <c r="J189" s="2"/>
    </row>
    <row r="190" spans="4:10" ht="20.100000000000001" customHeight="1" x14ac:dyDescent="0.25">
      <c r="D190" s="57"/>
      <c r="E190" s="57" t="str">
        <f>'Input - Swine'!$D$51</f>
        <v>Direct application</v>
      </c>
      <c r="F190" s="52">
        <f>'Input - Swine'!E51</f>
        <v>0.39999999999999991</v>
      </c>
      <c r="G190" s="52">
        <f>'Input - Swine'!F51</f>
        <v>0.25</v>
      </c>
      <c r="H190" s="52">
        <f>'Input - Swine'!G51</f>
        <v>0.25</v>
      </c>
      <c r="I190" s="52">
        <f>'Input - Swine'!H51</f>
        <v>0.25</v>
      </c>
      <c r="J190" s="2"/>
    </row>
    <row r="191" spans="4:10" ht="20.100000000000001" customHeight="1" x14ac:dyDescent="0.25">
      <c r="D191" s="57" t="str">
        <f>'Input - Swine'!$D$30</f>
        <v>Drylot (feed pad)</v>
      </c>
      <c r="E191" s="57" t="str">
        <f>'Input - Swine'!$D$55</f>
        <v>Anaerobic lagoon</v>
      </c>
      <c r="F191" s="52">
        <f>'Input - Swine'!E55</f>
        <v>0.2</v>
      </c>
      <c r="G191" s="52">
        <f>'Input - Swine'!F55</f>
        <v>0.25</v>
      </c>
      <c r="H191" s="52">
        <f>'Input - Swine'!G55</f>
        <v>0.25</v>
      </c>
      <c r="I191" s="52">
        <f>'Input - Swine'!H55</f>
        <v>0.25</v>
      </c>
      <c r="J191" s="2"/>
    </row>
    <row r="192" spans="4:10" ht="20.100000000000001" customHeight="1" x14ac:dyDescent="0.25">
      <c r="D192" s="57"/>
      <c r="E192" s="57" t="str">
        <f>'Input - Swine'!$D$56</f>
        <v>Digester / covered lagoons</v>
      </c>
      <c r="F192" s="52">
        <f>'Input - Swine'!E56</f>
        <v>0.2</v>
      </c>
      <c r="G192" s="52">
        <f>'Input - Swine'!F56</f>
        <v>0.25</v>
      </c>
      <c r="H192" s="52">
        <f>'Input - Swine'!G56</f>
        <v>0.25</v>
      </c>
      <c r="I192" s="52">
        <f>'Input - Swine'!H56</f>
        <v>0.25</v>
      </c>
      <c r="J192" s="2"/>
    </row>
    <row r="193" spans="4:10" ht="20.100000000000001" customHeight="1" x14ac:dyDescent="0.25">
      <c r="D193" s="57"/>
      <c r="E193" s="57" t="str">
        <f>'Input - Swine'!$D$57</f>
        <v>Deep litter</v>
      </c>
      <c r="F193" s="52">
        <f>'Input - Swine'!E57</f>
        <v>0.2</v>
      </c>
      <c r="G193" s="52">
        <f>'Input - Swine'!F57</f>
        <v>0.25</v>
      </c>
      <c r="H193" s="52">
        <f>'Input - Swine'!G57</f>
        <v>0.25</v>
      </c>
      <c r="I193" s="52">
        <f>'Input - Swine'!H57</f>
        <v>0.25</v>
      </c>
      <c r="J193" s="2"/>
    </row>
    <row r="194" spans="4:10" ht="20.100000000000001" customHeight="1" x14ac:dyDescent="0.25">
      <c r="D194" s="57"/>
      <c r="E194" s="57" t="str">
        <f>'Input - Swine'!$D$58</f>
        <v>Pit storage</v>
      </c>
      <c r="F194" s="52">
        <f>'Input - Swine'!E58</f>
        <v>0.2</v>
      </c>
      <c r="G194" s="52">
        <f>'Input - Swine'!F58</f>
        <v>0.25</v>
      </c>
      <c r="H194" s="52">
        <f>'Input - Swine'!G58</f>
        <v>0.25</v>
      </c>
      <c r="I194" s="52">
        <f>'Input - Swine'!H58</f>
        <v>0.25</v>
      </c>
      <c r="J194" s="2"/>
    </row>
    <row r="195" spans="4:10" ht="20.100000000000001" customHeight="1" x14ac:dyDescent="0.25">
      <c r="D195" s="57"/>
      <c r="E195" s="57" t="str">
        <f>'Input - Swine'!$D$59</f>
        <v>Direct application</v>
      </c>
      <c r="F195" s="52">
        <f>'Input - Swine'!E59</f>
        <v>0.19999999999999996</v>
      </c>
      <c r="G195" s="52">
        <f>'Input - Swine'!F59</f>
        <v>0</v>
      </c>
      <c r="H195" s="52">
        <f>'Input - Swine'!G59</f>
        <v>0</v>
      </c>
      <c r="I195" s="52">
        <f>'Input - Swine'!H59</f>
        <v>0</v>
      </c>
      <c r="J195" s="2"/>
    </row>
    <row r="196" spans="4:10" ht="20.100000000000001" customHeight="1" x14ac:dyDescent="0.25">
      <c r="D196" s="57" t="str">
        <f>'Input - Swine'!$D$31</f>
        <v>Digester / covered lagoons</v>
      </c>
      <c r="E196" s="57" t="str">
        <f>'Input - Swine'!$D$63</f>
        <v>Anaerobic lagoon</v>
      </c>
      <c r="F196" s="52">
        <f>'Input - Swine'!E63</f>
        <v>0.2</v>
      </c>
      <c r="G196" s="52">
        <f>'Input - Swine'!F63</f>
        <v>0.25</v>
      </c>
      <c r="H196" s="52">
        <f>'Input - Swine'!G63</f>
        <v>0.25</v>
      </c>
      <c r="I196" s="52">
        <f>'Input - Swine'!H63</f>
        <v>0.25</v>
      </c>
      <c r="J196" s="2"/>
    </row>
    <row r="197" spans="4:10" ht="20.100000000000001" customHeight="1" x14ac:dyDescent="0.25">
      <c r="D197" s="57"/>
      <c r="E197" s="57" t="str">
        <f>'Input - Swine'!$D$64</f>
        <v>Deep litter</v>
      </c>
      <c r="F197" s="52">
        <f>'Input - Swine'!E64</f>
        <v>0.2</v>
      </c>
      <c r="G197" s="52">
        <f>'Input - Swine'!F64</f>
        <v>0.25</v>
      </c>
      <c r="H197" s="52">
        <f>'Input - Swine'!G64</f>
        <v>0.25</v>
      </c>
      <c r="I197" s="52">
        <f>'Input - Swine'!H64</f>
        <v>0.25</v>
      </c>
      <c r="J197" s="2"/>
    </row>
    <row r="198" spans="4:10" ht="20.100000000000001" customHeight="1" x14ac:dyDescent="0.25">
      <c r="D198" s="57"/>
      <c r="E198" s="57" t="str">
        <f>'Input - Swine'!$D$65</f>
        <v>Pit storage</v>
      </c>
      <c r="F198" s="52">
        <f>'Input - Swine'!E65</f>
        <v>0.2</v>
      </c>
      <c r="G198" s="52">
        <f>'Input - Swine'!F65</f>
        <v>0.25</v>
      </c>
      <c r="H198" s="52">
        <f>'Input - Swine'!G65</f>
        <v>0.25</v>
      </c>
      <c r="I198" s="52">
        <f>'Input - Swine'!H65</f>
        <v>0.25</v>
      </c>
      <c r="J198" s="2"/>
    </row>
    <row r="199" spans="4:10" ht="20.100000000000001" customHeight="1" x14ac:dyDescent="0.25">
      <c r="D199" s="57"/>
      <c r="E199" s="57" t="str">
        <f>'Input - Swine'!$D$66</f>
        <v>Direct application</v>
      </c>
      <c r="F199" s="52">
        <f>'Input - Swine'!E66</f>
        <v>0.39999999999999991</v>
      </c>
      <c r="G199" s="52">
        <f>'Input - Swine'!F66</f>
        <v>0.25</v>
      </c>
      <c r="H199" s="52">
        <f>'Input - Swine'!G66</f>
        <v>0.25</v>
      </c>
      <c r="I199" s="52">
        <f>'Input - Swine'!H66</f>
        <v>0.25</v>
      </c>
      <c r="J199" s="2"/>
    </row>
    <row r="200" spans="4:10" ht="20.100000000000001" customHeight="1" x14ac:dyDescent="0.25">
      <c r="D200" s="57" t="str">
        <f>'Input - Swine'!$D$32</f>
        <v>Deep litter</v>
      </c>
      <c r="E200" s="57" t="str">
        <f>'Input - Swine'!$D$70</f>
        <v>Anaerobic lagoon</v>
      </c>
      <c r="F200" s="52">
        <f>'Input - Swine'!E70</f>
        <v>0.2</v>
      </c>
      <c r="G200" s="52">
        <f>'Input - Swine'!F70</f>
        <v>0.25</v>
      </c>
      <c r="H200" s="52">
        <f>'Input - Swine'!G70</f>
        <v>0.25</v>
      </c>
      <c r="I200" s="52">
        <f>'Input - Swine'!H70</f>
        <v>0.25</v>
      </c>
      <c r="J200" s="2"/>
    </row>
    <row r="201" spans="4:10" ht="20.100000000000001" customHeight="1" x14ac:dyDescent="0.25">
      <c r="D201" s="57"/>
      <c r="E201" s="57" t="str">
        <f>'Input - Swine'!$D$71</f>
        <v>Digester / covered lagoons</v>
      </c>
      <c r="F201" s="52">
        <f>'Input - Swine'!E71</f>
        <v>0.2</v>
      </c>
      <c r="G201" s="52">
        <f>'Input - Swine'!F71</f>
        <v>0.25</v>
      </c>
      <c r="H201" s="52">
        <f>'Input - Swine'!G71</f>
        <v>0.25</v>
      </c>
      <c r="I201" s="52">
        <f>'Input - Swine'!H71</f>
        <v>0.25</v>
      </c>
      <c r="J201" s="2"/>
    </row>
    <row r="202" spans="4:10" ht="20.100000000000001" customHeight="1" x14ac:dyDescent="0.25">
      <c r="D202" s="57"/>
      <c r="E202" s="57" t="str">
        <f>'Input - Swine'!$D$72</f>
        <v>Pit storage</v>
      </c>
      <c r="F202" s="52">
        <f>'Input - Swine'!E72</f>
        <v>0.2</v>
      </c>
      <c r="G202" s="52">
        <f>'Input - Swine'!F72</f>
        <v>0.25</v>
      </c>
      <c r="H202" s="52">
        <f>'Input - Swine'!G72</f>
        <v>0.25</v>
      </c>
      <c r="I202" s="52">
        <f>'Input - Swine'!H72</f>
        <v>0.25</v>
      </c>
      <c r="J202" s="2"/>
    </row>
    <row r="203" spans="4:10" ht="20.100000000000001" customHeight="1" x14ac:dyDescent="0.25">
      <c r="D203" s="57"/>
      <c r="E203" s="57" t="str">
        <f>'Input - Swine'!$D$73</f>
        <v>Direct application</v>
      </c>
      <c r="F203" s="52">
        <f>'Input - Swine'!E73</f>
        <v>0.39999999999999991</v>
      </c>
      <c r="G203" s="52">
        <f>'Input - Swine'!F73</f>
        <v>0.25</v>
      </c>
      <c r="H203" s="52">
        <f>'Input - Swine'!G73</f>
        <v>0.25</v>
      </c>
      <c r="I203" s="52">
        <f>'Input - Swine'!H73</f>
        <v>0.25</v>
      </c>
      <c r="J203" s="2"/>
    </row>
    <row r="204" spans="4:10" ht="20.100000000000001" customHeight="1" x14ac:dyDescent="0.25">
      <c r="D204" s="57" t="str">
        <f>'Input - Swine'!$D$33</f>
        <v>Pit storage</v>
      </c>
      <c r="E204" s="57" t="str">
        <f>'Input - Swine'!$D$77</f>
        <v>Anaerobic lagoon</v>
      </c>
      <c r="F204" s="52">
        <f>'Input - Swine'!E77</f>
        <v>0.2</v>
      </c>
      <c r="G204" s="52">
        <f>'Input - Swine'!F77</f>
        <v>0.25</v>
      </c>
      <c r="H204" s="52">
        <f>'Input - Swine'!G77</f>
        <v>0.25</v>
      </c>
      <c r="I204" s="52">
        <f>'Input - Swine'!H77</f>
        <v>0.25</v>
      </c>
      <c r="J204" s="2"/>
    </row>
    <row r="205" spans="4:10" ht="20.100000000000001" customHeight="1" x14ac:dyDescent="0.25">
      <c r="D205" s="57"/>
      <c r="E205" s="57" t="str">
        <f>'Input - Swine'!$D$78</f>
        <v>Digester / covered lagoons</v>
      </c>
      <c r="F205" s="52">
        <f>'Input - Swine'!E78</f>
        <v>0.2</v>
      </c>
      <c r="G205" s="52">
        <f>'Input - Swine'!F78</f>
        <v>0.25</v>
      </c>
      <c r="H205" s="52">
        <f>'Input - Swine'!G78</f>
        <v>0.25</v>
      </c>
      <c r="I205" s="52">
        <f>'Input - Swine'!H78</f>
        <v>0.25</v>
      </c>
      <c r="J205" s="2"/>
    </row>
    <row r="206" spans="4:10" ht="20.100000000000001" customHeight="1" x14ac:dyDescent="0.25">
      <c r="D206" s="57"/>
      <c r="E206" s="57" t="str">
        <f>'Input - Swine'!$D$79</f>
        <v>Deep litter</v>
      </c>
      <c r="F206" s="52">
        <f>'Input - Swine'!E79</f>
        <v>0.2</v>
      </c>
      <c r="G206" s="52">
        <f>'Input - Swine'!F79</f>
        <v>0.25</v>
      </c>
      <c r="H206" s="52">
        <f>'Input - Swine'!G79</f>
        <v>0.25</v>
      </c>
      <c r="I206" s="52">
        <f>'Input - Swine'!H79</f>
        <v>0.25</v>
      </c>
      <c r="J206" s="2"/>
    </row>
    <row r="207" spans="4:10" ht="20.100000000000001" customHeight="1" x14ac:dyDescent="0.25">
      <c r="D207" s="57"/>
      <c r="E207" s="57" t="str">
        <f>'Input - Swine'!$D$80</f>
        <v>Direct application</v>
      </c>
      <c r="F207" s="52">
        <f>'Input - Swine'!E80</f>
        <v>0.39999999999999991</v>
      </c>
      <c r="G207" s="52">
        <f>'Input - Swine'!F80</f>
        <v>0.25</v>
      </c>
      <c r="H207" s="52">
        <f>'Input - Swine'!G80</f>
        <v>0.25</v>
      </c>
      <c r="I207" s="52">
        <f>'Input - Swine'!H80</f>
        <v>0.25</v>
      </c>
      <c r="J207" s="2"/>
    </row>
    <row r="208" spans="4:10" ht="20.100000000000001" customHeight="1" x14ac:dyDescent="0.25">
      <c r="D208" s="57" t="str">
        <f>'Input - Swine'!$D$34</f>
        <v>Solid storage</v>
      </c>
      <c r="E208" s="57" t="str">
        <f>'Input - Swine'!$D$84</f>
        <v>Anaerobic lagoon</v>
      </c>
      <c r="F208" s="52">
        <f>'Input - Swine'!E84</f>
        <v>0.2</v>
      </c>
      <c r="G208" s="52">
        <f>'Input - Swine'!F84</f>
        <v>0.2</v>
      </c>
      <c r="H208" s="52">
        <f>'Input - Swine'!G84</f>
        <v>0.2</v>
      </c>
      <c r="I208" s="52">
        <f>'Input - Swine'!H84</f>
        <v>0.2</v>
      </c>
      <c r="J208" s="2"/>
    </row>
    <row r="209" spans="4:20" ht="20.100000000000001" customHeight="1" x14ac:dyDescent="0.25">
      <c r="D209" s="57"/>
      <c r="E209" s="57" t="str">
        <f>'Input - Swine'!$D$85</f>
        <v>Digester / covered lagoons</v>
      </c>
      <c r="F209" s="52">
        <f>'Input - Swine'!E85</f>
        <v>0.2</v>
      </c>
      <c r="G209" s="52">
        <f>'Input - Swine'!F85</f>
        <v>0.2</v>
      </c>
      <c r="H209" s="52">
        <f>'Input - Swine'!G85</f>
        <v>0.2</v>
      </c>
      <c r="I209" s="52">
        <f>'Input - Swine'!H85</f>
        <v>0.2</v>
      </c>
      <c r="J209" s="2"/>
    </row>
    <row r="210" spans="4:20" ht="20.100000000000001" customHeight="1" x14ac:dyDescent="0.25">
      <c r="D210" s="57"/>
      <c r="E210" s="57" t="str">
        <f>'Input - Swine'!$D$86</f>
        <v>Deep litter</v>
      </c>
      <c r="F210" s="52">
        <f>'Input - Swine'!E86</f>
        <v>0.2</v>
      </c>
      <c r="G210" s="52">
        <f>'Input - Swine'!F86</f>
        <v>0.2</v>
      </c>
      <c r="H210" s="52">
        <f>'Input - Swine'!G86</f>
        <v>0.2</v>
      </c>
      <c r="I210" s="52">
        <f>'Input - Swine'!H86</f>
        <v>0.2</v>
      </c>
      <c r="J210" s="2"/>
    </row>
    <row r="211" spans="4:20" ht="20.100000000000001" customHeight="1" x14ac:dyDescent="0.25">
      <c r="D211" s="57"/>
      <c r="E211" s="57" t="str">
        <f>'Input - Swine'!$D$87</f>
        <v>Pit storage</v>
      </c>
      <c r="F211" s="52">
        <f>'Input - Swine'!E87</f>
        <v>0.1</v>
      </c>
      <c r="G211" s="52">
        <f>'Input - Swine'!F87</f>
        <v>0.1</v>
      </c>
      <c r="H211" s="52">
        <f>'Input - Swine'!G87</f>
        <v>0.1</v>
      </c>
      <c r="I211" s="52">
        <f>'Input - Swine'!H87</f>
        <v>0.1</v>
      </c>
      <c r="J211" s="2"/>
    </row>
    <row r="212" spans="4:20" ht="20.100000000000001" customHeight="1" x14ac:dyDescent="0.25">
      <c r="D212" s="57"/>
      <c r="E212" s="57" t="str">
        <f>'Input - Swine'!$D$88</f>
        <v>Direct application</v>
      </c>
      <c r="F212" s="52">
        <f>'Input - Swine'!E88</f>
        <v>0.29999999999999993</v>
      </c>
      <c r="G212" s="52">
        <f>'Input - Swine'!F88</f>
        <v>0.29999999999999993</v>
      </c>
      <c r="H212" s="52">
        <f>'Input - Swine'!G88</f>
        <v>0.29999999999999993</v>
      </c>
      <c r="I212" s="52">
        <f>'Input - Swine'!H88</f>
        <v>0.29999999999999993</v>
      </c>
      <c r="J212" s="2"/>
    </row>
    <row r="213" spans="4:20" ht="20.100000000000001" customHeight="1" x14ac:dyDescent="0.25"/>
    <row r="214" spans="4:20" ht="20.100000000000001" customHeight="1" x14ac:dyDescent="0.25">
      <c r="D214" s="121" t="s">
        <v>258</v>
      </c>
      <c r="N214" s="121" t="s">
        <v>258</v>
      </c>
    </row>
    <row r="215" spans="4:20" ht="20.100000000000001" customHeight="1" x14ac:dyDescent="0.25">
      <c r="D215" s="122" t="s">
        <v>259</v>
      </c>
      <c r="N215" s="122" t="s">
        <v>259</v>
      </c>
    </row>
    <row r="216" spans="4:20" ht="20.100000000000001" customHeight="1" x14ac:dyDescent="0.25">
      <c r="D216" s="51" t="s">
        <v>163</v>
      </c>
      <c r="E216" s="51" t="s">
        <v>171</v>
      </c>
      <c r="F216" s="51" t="s">
        <v>142</v>
      </c>
      <c r="G216" s="51" t="s">
        <v>143</v>
      </c>
      <c r="H216" s="51" t="s">
        <v>144</v>
      </c>
      <c r="I216" s="51" t="s">
        <v>206</v>
      </c>
      <c r="N216" s="51" t="s">
        <v>163</v>
      </c>
      <c r="O216" s="51" t="s">
        <v>171</v>
      </c>
      <c r="P216" s="51" t="s">
        <v>142</v>
      </c>
      <c r="Q216" s="51" t="s">
        <v>143</v>
      </c>
      <c r="R216" s="51" t="s">
        <v>144</v>
      </c>
      <c r="S216" s="51" t="s">
        <v>206</v>
      </c>
    </row>
    <row r="217" spans="4:20" ht="20.100000000000001" customHeight="1" x14ac:dyDescent="0.25">
      <c r="D217" s="57" t="str">
        <f>'Input - Swine'!$D$29</f>
        <v>Anaerobic lagoon</v>
      </c>
      <c r="E217" s="57" t="str">
        <f>'Input - Swine'!$D$48</f>
        <v>Digester / covered lagoons</v>
      </c>
      <c r="F217" s="52" cm="1">
        <f t="array" ref="F217">MMS_Swine_N2ODirect_Equations.VEERG_4_5_1_3__6_Stage2NitrogenInMMS(E$164,F187)</f>
        <v>18.133199999999995</v>
      </c>
      <c r="G217" s="52" cm="1">
        <f t="array" ref="G217">MMS_Swine_N2ODirect_Equations.VEERG_4_5_1_3__6_Stage2NitrogenInMMS(F$164,G187)</f>
        <v>24.144750000000002</v>
      </c>
      <c r="H217" s="52" cm="1">
        <f t="array" ref="H217">MMS_Swine_N2ODirect_Equations.VEERG_4_5_1_3__6_Stage2NitrogenInMMS(G$164,H187)</f>
        <v>22.666499999999992</v>
      </c>
      <c r="I217" s="52" cm="1">
        <f t="array" ref="I217">MMS_Swine_N2ODirect_Equations.VEERG_4_5_1_3__6_Stage2NitrogenInMMS(H$164,I187)</f>
        <v>15.373799999999996</v>
      </c>
      <c r="J217" s="2" t="str">
        <f>$E$179</f>
        <v>kg N</v>
      </c>
      <c r="N217" s="57" t="str">
        <f>'Input - Swine'!$D$29</f>
        <v>Anaerobic lagoon</v>
      </c>
      <c r="O217" s="57" t="str">
        <f>'Input - Swine'!$D$48</f>
        <v>Digester / covered lagoons</v>
      </c>
      <c r="P217" s="52" cm="1">
        <f t="array" ref="P217">MMS_Swine_N2ODirect_Equations.VEERG_4_5_1_3__6_Stage2NitrogenInMMS(O$164,F187)</f>
        <v>18.133199999999995</v>
      </c>
      <c r="Q217" s="52" cm="1">
        <f t="array" ref="Q217">MMS_Swine_N2ODirect_Equations.VEERG_4_5_1_3__6_Stage2NitrogenInMMS(P$164,G187)</f>
        <v>24.144750000000002</v>
      </c>
      <c r="R217" s="52" cm="1">
        <f t="array" ref="R217">MMS_Swine_N2ODirect_Equations.VEERG_4_5_1_3__6_Stage2NitrogenInMMS(Q$164,H187)</f>
        <v>22.666499999999992</v>
      </c>
      <c r="S217" s="52" cm="1">
        <f t="array" ref="S217">MMS_Swine_N2ODirect_Equations.VEERG_4_5_1_3__6_Stage2NitrogenInMMS(R$164,I187)</f>
        <v>15.373799999999996</v>
      </c>
      <c r="T217" s="2" t="str">
        <f>$E$179</f>
        <v>kg N</v>
      </c>
    </row>
    <row r="218" spans="4:20" ht="20.100000000000001" customHeight="1" x14ac:dyDescent="0.25">
      <c r="D218" s="57"/>
      <c r="E218" s="57" t="str">
        <f>'Input - Swine'!$D$49</f>
        <v>Deep litter</v>
      </c>
      <c r="F218" s="52" cm="1">
        <f t="array" ref="F218">MMS_Swine_N2ODirect_Equations.VEERG_4_5_1_3__6_Stage2NitrogenInMMS(E$164,F188)</f>
        <v>18.133199999999995</v>
      </c>
      <c r="G218" s="52" cm="1">
        <f t="array" ref="G218">MMS_Swine_N2ODirect_Equations.VEERG_4_5_1_3__6_Stage2NitrogenInMMS(F$164,G188)</f>
        <v>24.144750000000002</v>
      </c>
      <c r="H218" s="52" cm="1">
        <f t="array" ref="H218">MMS_Swine_N2ODirect_Equations.VEERG_4_5_1_3__6_Stage2NitrogenInMMS(G$164,H188)</f>
        <v>22.666499999999992</v>
      </c>
      <c r="I218" s="52" cm="1">
        <f t="array" ref="I218">MMS_Swine_N2ODirect_Equations.VEERG_4_5_1_3__6_Stage2NitrogenInMMS(H$164,I188)</f>
        <v>15.373799999999996</v>
      </c>
      <c r="J218" s="2"/>
      <c r="N218" s="57"/>
      <c r="O218" s="57" t="str">
        <f>'Input - Swine'!$D$49</f>
        <v>Deep litter</v>
      </c>
      <c r="P218" s="52" cm="1">
        <f t="array" ref="P218">MMS_Swine_N2ODirect_Equations.VEERG_4_5_1_3__6_Stage2NitrogenInMMS(O$164,F188)</f>
        <v>18.133199999999995</v>
      </c>
      <c r="Q218" s="52" cm="1">
        <f t="array" ref="Q218">MMS_Swine_N2ODirect_Equations.VEERG_4_5_1_3__6_Stage2NitrogenInMMS(P$164,G188)</f>
        <v>24.144750000000002</v>
      </c>
      <c r="R218" s="52" cm="1">
        <f t="array" ref="R218">MMS_Swine_N2ODirect_Equations.VEERG_4_5_1_3__6_Stage2NitrogenInMMS(Q$164,H188)</f>
        <v>22.666499999999992</v>
      </c>
      <c r="S218" s="52" cm="1">
        <f t="array" ref="S218">MMS_Swine_N2ODirect_Equations.VEERG_4_5_1_3__6_Stage2NitrogenInMMS(R$164,I188)</f>
        <v>15.373799999999996</v>
      </c>
      <c r="T218" s="2"/>
    </row>
    <row r="219" spans="4:20" ht="20.100000000000001" customHeight="1" x14ac:dyDescent="0.25">
      <c r="D219" s="57"/>
      <c r="E219" s="57" t="str">
        <f>'Input - Swine'!$D$50</f>
        <v>Pit storage</v>
      </c>
      <c r="F219" s="52" cm="1">
        <f t="array" ref="F219">MMS_Swine_N2ODirect_Equations.VEERG_4_5_1_3__6_Stage2NitrogenInMMS(E$164,F189)</f>
        <v>18.133199999999995</v>
      </c>
      <c r="G219" s="52" cm="1">
        <f t="array" ref="G219">MMS_Swine_N2ODirect_Equations.VEERG_4_5_1_3__6_Stage2NitrogenInMMS(F$164,G189)</f>
        <v>24.144750000000002</v>
      </c>
      <c r="H219" s="52" cm="1">
        <f t="array" ref="H219">MMS_Swine_N2ODirect_Equations.VEERG_4_5_1_3__6_Stage2NitrogenInMMS(G$164,H189)</f>
        <v>22.666499999999992</v>
      </c>
      <c r="I219" s="52" cm="1">
        <f t="array" ref="I219">MMS_Swine_N2ODirect_Equations.VEERG_4_5_1_3__6_Stage2NitrogenInMMS(H$164,I189)</f>
        <v>15.373799999999996</v>
      </c>
      <c r="J219" s="2"/>
      <c r="N219" s="57"/>
      <c r="O219" s="57" t="str">
        <f>'Input - Swine'!$D$50</f>
        <v>Pit storage</v>
      </c>
      <c r="P219" s="52" cm="1">
        <f t="array" ref="P219">MMS_Swine_N2ODirect_Equations.VEERG_4_5_1_3__6_Stage2NitrogenInMMS(O$164,F189)</f>
        <v>18.133199999999995</v>
      </c>
      <c r="Q219" s="52" cm="1">
        <f t="array" ref="Q219">MMS_Swine_N2ODirect_Equations.VEERG_4_5_1_3__6_Stage2NitrogenInMMS(P$164,G189)</f>
        <v>24.144750000000002</v>
      </c>
      <c r="R219" s="52" cm="1">
        <f t="array" ref="R219">MMS_Swine_N2ODirect_Equations.VEERG_4_5_1_3__6_Stage2NitrogenInMMS(Q$164,H189)</f>
        <v>22.666499999999992</v>
      </c>
      <c r="S219" s="52" cm="1">
        <f t="array" ref="S219">MMS_Swine_N2ODirect_Equations.VEERG_4_5_1_3__6_Stage2NitrogenInMMS(R$164,I189)</f>
        <v>15.373799999999996</v>
      </c>
      <c r="T219" s="2"/>
    </row>
    <row r="220" spans="4:20" ht="20.100000000000001" customHeight="1" x14ac:dyDescent="0.25">
      <c r="D220" s="57"/>
      <c r="E220" s="57" t="str">
        <f>'Input - Swine'!$D$51</f>
        <v>Direct application</v>
      </c>
      <c r="F220" s="52" cm="1">
        <f t="array" ref="F220">MMS_Swine_N2ODirect_Equations.VEERG_4_5_1_3__6_Stage2NitrogenInMMS(E$164,F190)</f>
        <v>36.266399999999976</v>
      </c>
      <c r="G220" s="52" cm="1">
        <f t="array" ref="G220">MMS_Swine_N2ODirect_Equations.VEERG_4_5_1_3__6_Stage2NitrogenInMMS(F$164,G190)</f>
        <v>24.144750000000002</v>
      </c>
      <c r="H220" s="52" cm="1">
        <f t="array" ref="H220">MMS_Swine_N2ODirect_Equations.VEERG_4_5_1_3__6_Stage2NitrogenInMMS(G$164,H190)</f>
        <v>22.666499999999992</v>
      </c>
      <c r="I220" s="52" cm="1">
        <f t="array" ref="I220">MMS_Swine_N2ODirect_Equations.VEERG_4_5_1_3__6_Stage2NitrogenInMMS(H$164,I190)</f>
        <v>15.373799999999996</v>
      </c>
      <c r="J220" s="2"/>
      <c r="N220" s="57"/>
      <c r="O220" s="57" t="str">
        <f>'Input - Swine'!$D$51</f>
        <v>Direct application</v>
      </c>
      <c r="P220" s="52" cm="1">
        <f t="array" ref="P220">MMS_Swine_N2ODirect_Equations.VEERG_4_5_1_3__6_Stage2NitrogenInMMS(O$164,F190)</f>
        <v>36.266399999999976</v>
      </c>
      <c r="Q220" s="52" cm="1">
        <f t="array" ref="Q220">MMS_Swine_N2ODirect_Equations.VEERG_4_5_1_3__6_Stage2NitrogenInMMS(P$164,G190)</f>
        <v>24.144750000000002</v>
      </c>
      <c r="R220" s="52" cm="1">
        <f t="array" ref="R220">MMS_Swine_N2ODirect_Equations.VEERG_4_5_1_3__6_Stage2NitrogenInMMS(Q$164,H190)</f>
        <v>22.666499999999992</v>
      </c>
      <c r="S220" s="52" cm="1">
        <f t="array" ref="S220">MMS_Swine_N2ODirect_Equations.VEERG_4_5_1_3__6_Stage2NitrogenInMMS(R$164,I190)</f>
        <v>15.373799999999996</v>
      </c>
      <c r="T220" s="2"/>
    </row>
    <row r="221" spans="4:20" ht="20.100000000000001" customHeight="1" x14ac:dyDescent="0.25">
      <c r="D221" s="57" t="str">
        <f>'Input - Swine'!$D$30</f>
        <v>Drylot (feed pad)</v>
      </c>
      <c r="E221" s="57" t="str">
        <f>'Input - Swine'!$D$55</f>
        <v>Anaerobic lagoon</v>
      </c>
      <c r="F221" s="52" cm="1">
        <f t="array" ref="F221">MMS_Swine_N2ODirect_Equations.VEERG_4_5_1_3__6_Stage2NitrogenInMMS(E$165,F191)</f>
        <v>27.401279999999993</v>
      </c>
      <c r="G221" s="52" cm="1">
        <f t="array" ref="G221">MMS_Swine_N2ODirect_Equations.VEERG_4_5_1_3__6_Stage2NitrogenInMMS(F$165,G191)</f>
        <v>36.485400000000006</v>
      </c>
      <c r="H221" s="52" cm="1">
        <f t="array" ref="H221">MMS_Swine_N2ODirect_Equations.VEERG_4_5_1_3__6_Stage2NitrogenInMMS(G$165,H191)</f>
        <v>34.251599999999989</v>
      </c>
      <c r="I221" s="52" cm="1">
        <f t="array" ref="I221">MMS_Swine_N2ODirect_Equations.VEERG_4_5_1_3__6_Stage2NitrogenInMMS(H$165,I191)</f>
        <v>23.231519999999993</v>
      </c>
      <c r="J221" s="2"/>
      <c r="N221" s="57" t="str">
        <f>'Input - Swine'!$D$30</f>
        <v>Drylot (feed pad)</v>
      </c>
      <c r="O221" s="57" t="str">
        <f>'Input - Swine'!$D$55</f>
        <v>Anaerobic lagoon</v>
      </c>
      <c r="P221" s="52" cm="1">
        <f t="array" ref="P221">MMS_Swine_N2ODirect_Equations.VEERG_4_5_1_3__6_Stage2NitrogenInMMS(O$165,F191)</f>
        <v>27.401279999999993</v>
      </c>
      <c r="Q221" s="52" cm="1">
        <f t="array" ref="Q221">MMS_Swine_N2ODirect_Equations.VEERG_4_5_1_3__6_Stage2NitrogenInMMS(P$165,G191)</f>
        <v>36.485400000000006</v>
      </c>
      <c r="R221" s="52" cm="1">
        <f t="array" ref="R221">MMS_Swine_N2ODirect_Equations.VEERG_4_5_1_3__6_Stage2NitrogenInMMS(Q$165,H191)</f>
        <v>34.251599999999989</v>
      </c>
      <c r="S221" s="52" cm="1">
        <f t="array" ref="S221">MMS_Swine_N2ODirect_Equations.VEERG_4_5_1_3__6_Stage2NitrogenInMMS(R$165,I191)</f>
        <v>23.231519999999993</v>
      </c>
      <c r="T221" s="2"/>
    </row>
    <row r="222" spans="4:20" ht="20.100000000000001" customHeight="1" x14ac:dyDescent="0.25">
      <c r="D222" s="57"/>
      <c r="E222" s="57" t="str">
        <f>'Input - Swine'!$D$56</f>
        <v>Digester / covered lagoons</v>
      </c>
      <c r="F222" s="52" cm="1">
        <f t="array" ref="F222">MMS_Swine_N2ODirect_Equations.VEERG_4_5_1_3__6_Stage2NitrogenInMMS(E$165,F192)</f>
        <v>27.401279999999993</v>
      </c>
      <c r="G222" s="52" cm="1">
        <f t="array" ref="G222">MMS_Swine_N2ODirect_Equations.VEERG_4_5_1_3__6_Stage2NitrogenInMMS(F$165,G192)</f>
        <v>36.485400000000006</v>
      </c>
      <c r="H222" s="52" cm="1">
        <f t="array" ref="H222">MMS_Swine_N2ODirect_Equations.VEERG_4_5_1_3__6_Stage2NitrogenInMMS(G$165,H192)</f>
        <v>34.251599999999989</v>
      </c>
      <c r="I222" s="52" cm="1">
        <f t="array" ref="I222">MMS_Swine_N2ODirect_Equations.VEERG_4_5_1_3__6_Stage2NitrogenInMMS(H$165,I192)</f>
        <v>23.231519999999993</v>
      </c>
      <c r="J222" s="2"/>
      <c r="N222" s="57"/>
      <c r="O222" s="57" t="str">
        <f>'Input - Swine'!$D$56</f>
        <v>Digester / covered lagoons</v>
      </c>
      <c r="P222" s="52" cm="1">
        <f t="array" ref="P222">MMS_Swine_N2ODirect_Equations.VEERG_4_5_1_3__6_Stage2NitrogenInMMS(O$165,F192)</f>
        <v>27.401279999999993</v>
      </c>
      <c r="Q222" s="52" cm="1">
        <f t="array" ref="Q222">MMS_Swine_N2ODirect_Equations.VEERG_4_5_1_3__6_Stage2NitrogenInMMS(P$165,G192)</f>
        <v>36.485400000000006</v>
      </c>
      <c r="R222" s="52" cm="1">
        <f t="array" ref="R222">MMS_Swine_N2ODirect_Equations.VEERG_4_5_1_3__6_Stage2NitrogenInMMS(Q$165,H192)</f>
        <v>34.251599999999989</v>
      </c>
      <c r="S222" s="52" cm="1">
        <f t="array" ref="S222">MMS_Swine_N2ODirect_Equations.VEERG_4_5_1_3__6_Stage2NitrogenInMMS(R$165,I192)</f>
        <v>23.231519999999993</v>
      </c>
      <c r="T222" s="2"/>
    </row>
    <row r="223" spans="4:20" ht="20.100000000000001" customHeight="1" x14ac:dyDescent="0.25">
      <c r="D223" s="57"/>
      <c r="E223" s="57" t="str">
        <f>'Input - Swine'!$D$57</f>
        <v>Deep litter</v>
      </c>
      <c r="F223" s="52" cm="1">
        <f t="array" ref="F223">MMS_Swine_N2ODirect_Equations.VEERG_4_5_1_3__6_Stage2NitrogenInMMS(E$165,F193)</f>
        <v>27.401279999999993</v>
      </c>
      <c r="G223" s="52" cm="1">
        <f t="array" ref="G223">MMS_Swine_N2ODirect_Equations.VEERG_4_5_1_3__6_Stage2NitrogenInMMS(F$165,G193)</f>
        <v>36.485400000000006</v>
      </c>
      <c r="H223" s="52" cm="1">
        <f t="array" ref="H223">MMS_Swine_N2ODirect_Equations.VEERG_4_5_1_3__6_Stage2NitrogenInMMS(G$165,H193)</f>
        <v>34.251599999999989</v>
      </c>
      <c r="I223" s="52" cm="1">
        <f t="array" ref="I223">MMS_Swine_N2ODirect_Equations.VEERG_4_5_1_3__6_Stage2NitrogenInMMS(H$165,I193)</f>
        <v>23.231519999999993</v>
      </c>
      <c r="J223" s="2"/>
      <c r="N223" s="57"/>
      <c r="O223" s="57" t="str">
        <f>'Input - Swine'!$D$57</f>
        <v>Deep litter</v>
      </c>
      <c r="P223" s="52" cm="1">
        <f t="array" ref="P223">MMS_Swine_N2ODirect_Equations.VEERG_4_5_1_3__6_Stage2NitrogenInMMS(O$165,F193)</f>
        <v>27.401279999999993</v>
      </c>
      <c r="Q223" s="52" cm="1">
        <f t="array" ref="Q223">MMS_Swine_N2ODirect_Equations.VEERG_4_5_1_3__6_Stage2NitrogenInMMS(P$165,G193)</f>
        <v>36.485400000000006</v>
      </c>
      <c r="R223" s="52" cm="1">
        <f t="array" ref="R223">MMS_Swine_N2ODirect_Equations.VEERG_4_5_1_3__6_Stage2NitrogenInMMS(Q$165,H193)</f>
        <v>34.251599999999989</v>
      </c>
      <c r="S223" s="52" cm="1">
        <f t="array" ref="S223">MMS_Swine_N2ODirect_Equations.VEERG_4_5_1_3__6_Stage2NitrogenInMMS(R$165,I193)</f>
        <v>23.231519999999993</v>
      </c>
      <c r="T223" s="2"/>
    </row>
    <row r="224" spans="4:20" ht="20.100000000000001" customHeight="1" x14ac:dyDescent="0.25">
      <c r="D224" s="57"/>
      <c r="E224" s="57" t="str">
        <f>'Input - Swine'!$D$58</f>
        <v>Pit storage</v>
      </c>
      <c r="F224" s="52" cm="1">
        <f t="array" ref="F224">MMS_Swine_N2ODirect_Equations.VEERG_4_5_1_3__6_Stage2NitrogenInMMS(E$165,F194)</f>
        <v>27.401279999999993</v>
      </c>
      <c r="G224" s="52" cm="1">
        <f t="array" ref="G224">MMS_Swine_N2ODirect_Equations.VEERG_4_5_1_3__6_Stage2NitrogenInMMS(F$165,G194)</f>
        <v>36.485400000000006</v>
      </c>
      <c r="H224" s="52" cm="1">
        <f t="array" ref="H224">MMS_Swine_N2ODirect_Equations.VEERG_4_5_1_3__6_Stage2NitrogenInMMS(G$165,H194)</f>
        <v>34.251599999999989</v>
      </c>
      <c r="I224" s="52" cm="1">
        <f t="array" ref="I224">MMS_Swine_N2ODirect_Equations.VEERG_4_5_1_3__6_Stage2NitrogenInMMS(H$165,I194)</f>
        <v>23.231519999999993</v>
      </c>
      <c r="J224" s="2"/>
      <c r="N224" s="57"/>
      <c r="O224" s="57" t="str">
        <f>'Input - Swine'!$D$58</f>
        <v>Pit storage</v>
      </c>
      <c r="P224" s="52" cm="1">
        <f t="array" ref="P224">MMS_Swine_N2ODirect_Equations.VEERG_4_5_1_3__6_Stage2NitrogenInMMS(O$165,F194)</f>
        <v>27.401279999999993</v>
      </c>
      <c r="Q224" s="52" cm="1">
        <f t="array" ref="Q224">MMS_Swine_N2ODirect_Equations.VEERG_4_5_1_3__6_Stage2NitrogenInMMS(P$165,G194)</f>
        <v>36.485400000000006</v>
      </c>
      <c r="R224" s="52" cm="1">
        <f t="array" ref="R224">MMS_Swine_N2ODirect_Equations.VEERG_4_5_1_3__6_Stage2NitrogenInMMS(Q$165,H194)</f>
        <v>34.251599999999989</v>
      </c>
      <c r="S224" s="52" cm="1">
        <f t="array" ref="S224">MMS_Swine_N2ODirect_Equations.VEERG_4_5_1_3__6_Stage2NitrogenInMMS(R$165,I194)</f>
        <v>23.231519999999993</v>
      </c>
      <c r="T224" s="2"/>
    </row>
    <row r="225" spans="4:20" ht="20.100000000000001" customHeight="1" x14ac:dyDescent="0.25">
      <c r="D225" s="57"/>
      <c r="E225" s="57" t="str">
        <f>'Input - Swine'!$D$59</f>
        <v>Direct application</v>
      </c>
      <c r="F225" s="52" cm="1">
        <f t="array" ref="F225">MMS_Swine_N2ODirect_Equations.VEERG_4_5_1_3__6_Stage2NitrogenInMMS(E$165,F195)</f>
        <v>27.401279999999986</v>
      </c>
      <c r="G225" s="52" cm="1">
        <f t="array" ref="G225">MMS_Swine_N2ODirect_Equations.VEERG_4_5_1_3__6_Stage2NitrogenInMMS(F$165,G195)</f>
        <v>0</v>
      </c>
      <c r="H225" s="52" cm="1">
        <f t="array" ref="H225">MMS_Swine_N2ODirect_Equations.VEERG_4_5_1_3__6_Stage2NitrogenInMMS(G$165,H195)</f>
        <v>0</v>
      </c>
      <c r="I225" s="52" cm="1">
        <f t="array" ref="I225">MMS_Swine_N2ODirect_Equations.VEERG_4_5_1_3__6_Stage2NitrogenInMMS(H$165,I195)</f>
        <v>0</v>
      </c>
      <c r="J225" s="2"/>
      <c r="N225" s="57"/>
      <c r="O225" s="57" t="str">
        <f>'Input - Swine'!$D$59</f>
        <v>Direct application</v>
      </c>
      <c r="P225" s="52" cm="1">
        <f t="array" ref="P225">MMS_Swine_N2ODirect_Equations.VEERG_4_5_1_3__6_Stage2NitrogenInMMS(O$165,F195)</f>
        <v>27.401279999999986</v>
      </c>
      <c r="Q225" s="52" cm="1">
        <f t="array" ref="Q225">MMS_Swine_N2ODirect_Equations.VEERG_4_5_1_3__6_Stage2NitrogenInMMS(P$165,G195)</f>
        <v>0</v>
      </c>
      <c r="R225" s="52" cm="1">
        <f t="array" ref="R225">MMS_Swine_N2ODirect_Equations.VEERG_4_5_1_3__6_Stage2NitrogenInMMS(Q$165,H195)</f>
        <v>0</v>
      </c>
      <c r="S225" s="52" cm="1">
        <f t="array" ref="S225">MMS_Swine_N2ODirect_Equations.VEERG_4_5_1_3__6_Stage2NitrogenInMMS(R$165,I195)</f>
        <v>0</v>
      </c>
      <c r="T225" s="2"/>
    </row>
    <row r="226" spans="4:20" ht="20.100000000000001" customHeight="1" x14ac:dyDescent="0.25">
      <c r="D226" s="57" t="str">
        <f>'Input - Swine'!$D$31</f>
        <v>Digester / covered lagoons</v>
      </c>
      <c r="E226" s="57" t="str">
        <f>'Input - Swine'!$D$63</f>
        <v>Anaerobic lagoon</v>
      </c>
      <c r="F226" s="52" cm="1">
        <f t="array" ref="F226">MMS_Swine_N2ODirect_Equations.VEERG_4_5_1_3__6_Stage2NitrogenInMMS(E$166,F196)</f>
        <v>40.295999999999992</v>
      </c>
      <c r="G226" s="52" cm="1">
        <f t="array" ref="G226">MMS_Swine_N2ODirect_Equations.VEERG_4_5_1_3__6_Stage2NitrogenInMMS(F$166,G196)</f>
        <v>53.655000000000008</v>
      </c>
      <c r="H226" s="52" cm="1">
        <f t="array" ref="H226">MMS_Swine_N2ODirect_Equations.VEERG_4_5_1_3__6_Stage2NitrogenInMMS(G$166,H196)</f>
        <v>50.36999999999999</v>
      </c>
      <c r="I226" s="52" cm="1">
        <f t="array" ref="I226">MMS_Swine_N2ODirect_Equations.VEERG_4_5_1_3__6_Stage2NitrogenInMMS(H$166,I196)</f>
        <v>34.163999999999994</v>
      </c>
      <c r="J226" s="2"/>
      <c r="N226" s="57" t="str">
        <f>'Input - Swine'!$D$31</f>
        <v>Digester / covered lagoons</v>
      </c>
      <c r="O226" s="57" t="str">
        <f>'Input - Swine'!$D$63</f>
        <v>Anaerobic lagoon</v>
      </c>
      <c r="P226" s="52" cm="1">
        <f t="array" ref="P226">MMS_Swine_N2ODirect_Equations.VEERG_4_5_1_3__6_Stage2NitrogenInMMS(O$166,F196)</f>
        <v>40.295999999999992</v>
      </c>
      <c r="Q226" s="52" cm="1">
        <f t="array" ref="Q226">MMS_Swine_N2ODirect_Equations.VEERG_4_5_1_3__6_Stage2NitrogenInMMS(P$166,G196)</f>
        <v>53.655000000000008</v>
      </c>
      <c r="R226" s="52" cm="1">
        <f t="array" ref="R226">MMS_Swine_N2ODirect_Equations.VEERG_4_5_1_3__6_Stage2NitrogenInMMS(Q$166,H196)</f>
        <v>50.36999999999999</v>
      </c>
      <c r="S226" s="52" cm="1">
        <f t="array" ref="S226">MMS_Swine_N2ODirect_Equations.VEERG_4_5_1_3__6_Stage2NitrogenInMMS(R$166,I196)</f>
        <v>34.163999999999994</v>
      </c>
      <c r="T226" s="2"/>
    </row>
    <row r="227" spans="4:20" ht="20.100000000000001" customHeight="1" x14ac:dyDescent="0.25">
      <c r="D227" s="57"/>
      <c r="E227" s="57" t="str">
        <f>'Input - Swine'!$D$64</f>
        <v>Deep litter</v>
      </c>
      <c r="F227" s="52" cm="1">
        <f t="array" ref="F227">MMS_Swine_N2ODirect_Equations.VEERG_4_5_1_3__6_Stage2NitrogenInMMS(E$166,F197)</f>
        <v>40.295999999999992</v>
      </c>
      <c r="G227" s="52" cm="1">
        <f t="array" ref="G227">MMS_Swine_N2ODirect_Equations.VEERG_4_5_1_3__6_Stage2NitrogenInMMS(F$166,G197)</f>
        <v>53.655000000000008</v>
      </c>
      <c r="H227" s="52" cm="1">
        <f t="array" ref="H227">MMS_Swine_N2ODirect_Equations.VEERG_4_5_1_3__6_Stage2NitrogenInMMS(G$166,H197)</f>
        <v>50.36999999999999</v>
      </c>
      <c r="I227" s="52" cm="1">
        <f t="array" ref="I227">MMS_Swine_N2ODirect_Equations.VEERG_4_5_1_3__6_Stage2NitrogenInMMS(H$166,I197)</f>
        <v>34.163999999999994</v>
      </c>
      <c r="J227" s="2"/>
      <c r="N227" s="57"/>
      <c r="O227" s="57" t="str">
        <f>'Input - Swine'!$D$64</f>
        <v>Deep litter</v>
      </c>
      <c r="P227" s="52" cm="1">
        <f t="array" ref="P227">MMS_Swine_N2ODirect_Equations.VEERG_4_5_1_3__6_Stage2NitrogenInMMS(O$166,F197)</f>
        <v>40.295999999999992</v>
      </c>
      <c r="Q227" s="52" cm="1">
        <f t="array" ref="Q227">MMS_Swine_N2ODirect_Equations.VEERG_4_5_1_3__6_Stage2NitrogenInMMS(P$166,G197)</f>
        <v>53.655000000000008</v>
      </c>
      <c r="R227" s="52" cm="1">
        <f t="array" ref="R227">MMS_Swine_N2ODirect_Equations.VEERG_4_5_1_3__6_Stage2NitrogenInMMS(Q$166,H197)</f>
        <v>50.36999999999999</v>
      </c>
      <c r="S227" s="52" cm="1">
        <f t="array" ref="S227">MMS_Swine_N2ODirect_Equations.VEERG_4_5_1_3__6_Stage2NitrogenInMMS(R$166,I197)</f>
        <v>34.163999999999994</v>
      </c>
      <c r="T227" s="2"/>
    </row>
    <row r="228" spans="4:20" ht="20.100000000000001" customHeight="1" x14ac:dyDescent="0.25">
      <c r="D228" s="57"/>
      <c r="E228" s="57" t="str">
        <f>'Input - Swine'!$D$65</f>
        <v>Pit storage</v>
      </c>
      <c r="F228" s="52" cm="1">
        <f t="array" ref="F228">MMS_Swine_N2ODirect_Equations.VEERG_4_5_1_3__6_Stage2NitrogenInMMS(E$166,F198)</f>
        <v>40.295999999999992</v>
      </c>
      <c r="G228" s="52" cm="1">
        <f t="array" ref="G228">MMS_Swine_N2ODirect_Equations.VEERG_4_5_1_3__6_Stage2NitrogenInMMS(F$166,G198)</f>
        <v>53.655000000000008</v>
      </c>
      <c r="H228" s="52" cm="1">
        <f t="array" ref="H228">MMS_Swine_N2ODirect_Equations.VEERG_4_5_1_3__6_Stage2NitrogenInMMS(G$166,H198)</f>
        <v>50.36999999999999</v>
      </c>
      <c r="I228" s="52" cm="1">
        <f t="array" ref="I228">MMS_Swine_N2ODirect_Equations.VEERG_4_5_1_3__6_Stage2NitrogenInMMS(H$166,I198)</f>
        <v>34.163999999999994</v>
      </c>
      <c r="J228" s="2"/>
      <c r="N228" s="57"/>
      <c r="O228" s="57" t="str">
        <f>'Input - Swine'!$D$65</f>
        <v>Pit storage</v>
      </c>
      <c r="P228" s="52" cm="1">
        <f t="array" ref="P228">MMS_Swine_N2ODirect_Equations.VEERG_4_5_1_3__6_Stage2NitrogenInMMS(O$166,F198)</f>
        <v>40.295999999999992</v>
      </c>
      <c r="Q228" s="52" cm="1">
        <f t="array" ref="Q228">MMS_Swine_N2ODirect_Equations.VEERG_4_5_1_3__6_Stage2NitrogenInMMS(P$166,G198)</f>
        <v>53.655000000000008</v>
      </c>
      <c r="R228" s="52" cm="1">
        <f t="array" ref="R228">MMS_Swine_N2ODirect_Equations.VEERG_4_5_1_3__6_Stage2NitrogenInMMS(Q$166,H198)</f>
        <v>50.36999999999999</v>
      </c>
      <c r="S228" s="52" cm="1">
        <f t="array" ref="S228">MMS_Swine_N2ODirect_Equations.VEERG_4_5_1_3__6_Stage2NitrogenInMMS(R$166,I198)</f>
        <v>34.163999999999994</v>
      </c>
      <c r="T228" s="2"/>
    </row>
    <row r="229" spans="4:20" ht="20.100000000000001" customHeight="1" x14ac:dyDescent="0.25">
      <c r="D229" s="57"/>
      <c r="E229" s="57" t="str">
        <f>'Input - Swine'!$D$66</f>
        <v>Direct application</v>
      </c>
      <c r="F229" s="52" cm="1">
        <f t="array" ref="F229">MMS_Swine_N2ODirect_Equations.VEERG_4_5_1_3__6_Stage2NitrogenInMMS(E$166,F199)</f>
        <v>80.59199999999997</v>
      </c>
      <c r="G229" s="52" cm="1">
        <f t="array" ref="G229">MMS_Swine_N2ODirect_Equations.VEERG_4_5_1_3__6_Stage2NitrogenInMMS(F$166,G199)</f>
        <v>53.655000000000008</v>
      </c>
      <c r="H229" s="52" cm="1">
        <f t="array" ref="H229">MMS_Swine_N2ODirect_Equations.VEERG_4_5_1_3__6_Stage2NitrogenInMMS(G$166,H199)</f>
        <v>50.36999999999999</v>
      </c>
      <c r="I229" s="52" cm="1">
        <f t="array" ref="I229">MMS_Swine_N2ODirect_Equations.VEERG_4_5_1_3__6_Stage2NitrogenInMMS(H$166,I199)</f>
        <v>34.163999999999994</v>
      </c>
      <c r="J229" s="2"/>
      <c r="N229" s="57"/>
      <c r="O229" s="57" t="str">
        <f>'Input - Swine'!$D$66</f>
        <v>Direct application</v>
      </c>
      <c r="P229" s="52" cm="1">
        <f t="array" ref="P229">MMS_Swine_N2ODirect_Equations.VEERG_4_5_1_3__6_Stage2NitrogenInMMS(O$166,F199)</f>
        <v>80.59199999999997</v>
      </c>
      <c r="Q229" s="52" cm="1">
        <f t="array" ref="Q229">MMS_Swine_N2ODirect_Equations.VEERG_4_5_1_3__6_Stage2NitrogenInMMS(P$166,G199)</f>
        <v>53.655000000000008</v>
      </c>
      <c r="R229" s="52" cm="1">
        <f t="array" ref="R229">MMS_Swine_N2ODirect_Equations.VEERG_4_5_1_3__6_Stage2NitrogenInMMS(Q$166,H199)</f>
        <v>50.36999999999999</v>
      </c>
      <c r="S229" s="52" cm="1">
        <f t="array" ref="S229">MMS_Swine_N2ODirect_Equations.VEERG_4_5_1_3__6_Stage2NitrogenInMMS(R$166,I199)</f>
        <v>34.163999999999994</v>
      </c>
      <c r="T229" s="2"/>
    </row>
    <row r="230" spans="4:20" ht="20.100000000000001" customHeight="1" x14ac:dyDescent="0.25">
      <c r="D230" s="57" t="str">
        <f>'Input - Swine'!$D$32</f>
        <v>Deep litter</v>
      </c>
      <c r="E230" s="57" t="str">
        <f>'Input - Swine'!$D$70</f>
        <v>Anaerobic lagoon</v>
      </c>
      <c r="F230" s="52" cm="1">
        <f t="array" ref="F230">MMS_Swine_N2ODirect_Equations.VEERG_4_5_1_3__6_Stage2NitrogenInMMS(E$167,F200)</f>
        <v>34.856039999999993</v>
      </c>
      <c r="G230" s="52" cm="1">
        <f t="array" ref="G230">MMS_Swine_N2ODirect_Equations.VEERG_4_5_1_3__6_Stage2NitrogenInMMS(F$167,G200)</f>
        <v>46.411575000000006</v>
      </c>
      <c r="H230" s="52" cm="1">
        <f t="array" ref="H230">MMS_Swine_N2ODirect_Equations.VEERG_4_5_1_3__6_Stage2NitrogenInMMS(G$167,H200)</f>
        <v>43.570049999999988</v>
      </c>
      <c r="I230" s="52" cm="1">
        <f t="array" ref="I230">MMS_Swine_N2ODirect_Equations.VEERG_4_5_1_3__6_Stage2NitrogenInMMS(H$167,I200)</f>
        <v>29.551859999999994</v>
      </c>
      <c r="J230" s="2"/>
      <c r="N230" s="57" t="str">
        <f>'Input - Swine'!$D$32</f>
        <v>Deep litter</v>
      </c>
      <c r="O230" s="57" t="str">
        <f>'Input - Swine'!$D$70</f>
        <v>Anaerobic lagoon</v>
      </c>
      <c r="P230" s="52" cm="1">
        <f t="array" ref="P230">MMS_Swine_N2ODirect_Equations.VEERG_4_5_1_3__6_Stage2NitrogenInMMS(O$167,F200)</f>
        <v>34.856039999999993</v>
      </c>
      <c r="Q230" s="52" cm="1">
        <f t="array" ref="Q230">MMS_Swine_N2ODirect_Equations.VEERG_4_5_1_3__6_Stage2NitrogenInMMS(P$167,G200)</f>
        <v>46.411575000000006</v>
      </c>
      <c r="R230" s="52" cm="1">
        <f t="array" ref="R230">MMS_Swine_N2ODirect_Equations.VEERG_4_5_1_3__6_Stage2NitrogenInMMS(Q$167,H200)</f>
        <v>43.570049999999988</v>
      </c>
      <c r="S230" s="52" cm="1">
        <f t="array" ref="S230">MMS_Swine_N2ODirect_Equations.VEERG_4_5_1_3__6_Stage2NitrogenInMMS(R$167,I200)</f>
        <v>29.551859999999994</v>
      </c>
      <c r="T230" s="2"/>
    </row>
    <row r="231" spans="4:20" ht="20.100000000000001" customHeight="1" x14ac:dyDescent="0.25">
      <c r="D231" s="57"/>
      <c r="E231" s="57" t="str">
        <f>'Input - Swine'!$D$71</f>
        <v>Digester / covered lagoons</v>
      </c>
      <c r="F231" s="52" cm="1">
        <f t="array" ref="F231">MMS_Swine_N2ODirect_Equations.VEERG_4_5_1_3__6_Stage2NitrogenInMMS(E$167,F201)</f>
        <v>34.856039999999993</v>
      </c>
      <c r="G231" s="52" cm="1">
        <f t="array" ref="G231">MMS_Swine_N2ODirect_Equations.VEERG_4_5_1_3__6_Stage2NitrogenInMMS(F$167,G201)</f>
        <v>46.411575000000006</v>
      </c>
      <c r="H231" s="52" cm="1">
        <f t="array" ref="H231">MMS_Swine_N2ODirect_Equations.VEERG_4_5_1_3__6_Stage2NitrogenInMMS(G$167,H201)</f>
        <v>43.570049999999988</v>
      </c>
      <c r="I231" s="52" cm="1">
        <f t="array" ref="I231">MMS_Swine_N2ODirect_Equations.VEERG_4_5_1_3__6_Stage2NitrogenInMMS(H$167,I201)</f>
        <v>29.551859999999994</v>
      </c>
      <c r="J231" s="2"/>
      <c r="N231" s="57"/>
      <c r="O231" s="57" t="str">
        <f>'Input - Swine'!$D$71</f>
        <v>Digester / covered lagoons</v>
      </c>
      <c r="P231" s="52" cm="1">
        <f t="array" ref="P231">MMS_Swine_N2ODirect_Equations.VEERG_4_5_1_3__6_Stage2NitrogenInMMS(O$167,F201)</f>
        <v>34.856039999999993</v>
      </c>
      <c r="Q231" s="52" cm="1">
        <f t="array" ref="Q231">MMS_Swine_N2ODirect_Equations.VEERG_4_5_1_3__6_Stage2NitrogenInMMS(P$167,G201)</f>
        <v>46.411575000000006</v>
      </c>
      <c r="R231" s="52" cm="1">
        <f t="array" ref="R231">MMS_Swine_N2ODirect_Equations.VEERG_4_5_1_3__6_Stage2NitrogenInMMS(Q$167,H201)</f>
        <v>43.570049999999988</v>
      </c>
      <c r="S231" s="52" cm="1">
        <f t="array" ref="S231">MMS_Swine_N2ODirect_Equations.VEERG_4_5_1_3__6_Stage2NitrogenInMMS(R$167,I201)</f>
        <v>29.551859999999994</v>
      </c>
      <c r="T231" s="2"/>
    </row>
    <row r="232" spans="4:20" ht="20.100000000000001" customHeight="1" x14ac:dyDescent="0.25">
      <c r="D232" s="57"/>
      <c r="E232" s="57" t="str">
        <f>'Input - Swine'!$D$72</f>
        <v>Pit storage</v>
      </c>
      <c r="F232" s="52" cm="1">
        <f t="array" ref="F232">MMS_Swine_N2ODirect_Equations.VEERG_4_5_1_3__6_Stage2NitrogenInMMS(E$167,F202)</f>
        <v>34.856039999999993</v>
      </c>
      <c r="G232" s="52" cm="1">
        <f t="array" ref="G232">MMS_Swine_N2ODirect_Equations.VEERG_4_5_1_3__6_Stage2NitrogenInMMS(F$167,G202)</f>
        <v>46.411575000000006</v>
      </c>
      <c r="H232" s="52" cm="1">
        <f t="array" ref="H232">MMS_Swine_N2ODirect_Equations.VEERG_4_5_1_3__6_Stage2NitrogenInMMS(G$167,H202)</f>
        <v>43.570049999999988</v>
      </c>
      <c r="I232" s="52" cm="1">
        <f t="array" ref="I232">MMS_Swine_N2ODirect_Equations.VEERG_4_5_1_3__6_Stage2NitrogenInMMS(H$167,I202)</f>
        <v>29.551859999999994</v>
      </c>
      <c r="J232" s="2"/>
      <c r="N232" s="57"/>
      <c r="O232" s="57" t="str">
        <f>'Input - Swine'!$D$72</f>
        <v>Pit storage</v>
      </c>
      <c r="P232" s="52" cm="1">
        <f t="array" ref="P232">MMS_Swine_N2ODirect_Equations.VEERG_4_5_1_3__6_Stage2NitrogenInMMS(O$167,F202)</f>
        <v>34.856039999999993</v>
      </c>
      <c r="Q232" s="52" cm="1">
        <f t="array" ref="Q232">MMS_Swine_N2ODirect_Equations.VEERG_4_5_1_3__6_Stage2NitrogenInMMS(P$167,G202)</f>
        <v>46.411575000000006</v>
      </c>
      <c r="R232" s="52" cm="1">
        <f t="array" ref="R232">MMS_Swine_N2ODirect_Equations.VEERG_4_5_1_3__6_Stage2NitrogenInMMS(Q$167,H202)</f>
        <v>43.570049999999988</v>
      </c>
      <c r="S232" s="52" cm="1">
        <f t="array" ref="S232">MMS_Swine_N2ODirect_Equations.VEERG_4_5_1_3__6_Stage2NitrogenInMMS(R$167,I202)</f>
        <v>29.551859999999994</v>
      </c>
      <c r="T232" s="2"/>
    </row>
    <row r="233" spans="4:20" ht="20.100000000000001" customHeight="1" x14ac:dyDescent="0.25">
      <c r="D233" s="57"/>
      <c r="E233" s="57" t="str">
        <f>'Input - Swine'!$D$73</f>
        <v>Direct application</v>
      </c>
      <c r="F233" s="52" cm="1">
        <f t="array" ref="F233">MMS_Swine_N2ODirect_Equations.VEERG_4_5_1_3__6_Stage2NitrogenInMMS(E$167,F203)</f>
        <v>69.712079999999972</v>
      </c>
      <c r="G233" s="52" cm="1">
        <f t="array" ref="G233">MMS_Swine_N2ODirect_Equations.VEERG_4_5_1_3__6_Stage2NitrogenInMMS(F$167,G203)</f>
        <v>46.411575000000006</v>
      </c>
      <c r="H233" s="52" cm="1">
        <f t="array" ref="H233">MMS_Swine_N2ODirect_Equations.VEERG_4_5_1_3__6_Stage2NitrogenInMMS(G$167,H203)</f>
        <v>43.570049999999988</v>
      </c>
      <c r="I233" s="52" cm="1">
        <f t="array" ref="I233">MMS_Swine_N2ODirect_Equations.VEERG_4_5_1_3__6_Stage2NitrogenInMMS(H$167,I203)</f>
        <v>29.551859999999994</v>
      </c>
      <c r="J233" s="2"/>
      <c r="N233" s="57"/>
      <c r="O233" s="57" t="str">
        <f>'Input - Swine'!$D$73</f>
        <v>Direct application</v>
      </c>
      <c r="P233" s="52" cm="1">
        <f t="array" ref="P233">MMS_Swine_N2ODirect_Equations.VEERG_4_5_1_3__6_Stage2NitrogenInMMS(O$167,F203)</f>
        <v>69.712079999999972</v>
      </c>
      <c r="Q233" s="52" cm="1">
        <f t="array" ref="Q233">MMS_Swine_N2ODirect_Equations.VEERG_4_5_1_3__6_Stage2NitrogenInMMS(P$167,G203)</f>
        <v>46.411575000000006</v>
      </c>
      <c r="R233" s="52" cm="1">
        <f t="array" ref="R233">MMS_Swine_N2ODirect_Equations.VEERG_4_5_1_3__6_Stage2NitrogenInMMS(Q$167,H203)</f>
        <v>43.570049999999988</v>
      </c>
      <c r="S233" s="52" cm="1">
        <f t="array" ref="S233">MMS_Swine_N2ODirect_Equations.VEERG_4_5_1_3__6_Stage2NitrogenInMMS(R$167,I203)</f>
        <v>29.551859999999994</v>
      </c>
      <c r="T233" s="2"/>
    </row>
    <row r="234" spans="4:20" ht="20.100000000000001" customHeight="1" x14ac:dyDescent="0.25">
      <c r="D234" s="57" t="str">
        <f>'Input - Swine'!$D$33</f>
        <v>Pit storage</v>
      </c>
      <c r="E234" s="57" t="str">
        <f>'Input - Swine'!$D$77</f>
        <v>Anaerobic lagoon</v>
      </c>
      <c r="F234" s="52" cm="1">
        <f t="array" ref="F234">MMS_Swine_N2ODirect_Equations.VEERG_4_5_1_3__6_Stage2NitrogenInMMS(E$168,F204)</f>
        <v>30.141407999999998</v>
      </c>
      <c r="G234" s="52" cm="1">
        <f t="array" ref="G234">MMS_Swine_N2ODirect_Equations.VEERG_4_5_1_3__6_Stage2NitrogenInMMS(F$168,G204)</f>
        <v>40.133940000000003</v>
      </c>
      <c r="H234" s="52" cm="1">
        <f t="array" ref="H234">MMS_Swine_N2ODirect_Equations.VEERG_4_5_1_3__6_Stage2NitrogenInMMS(G$168,H204)</f>
        <v>37.676759999999994</v>
      </c>
      <c r="I234" s="52" cm="1">
        <f t="array" ref="I234">MMS_Swine_N2ODirect_Equations.VEERG_4_5_1_3__6_Stage2NitrogenInMMS(H$168,I204)</f>
        <v>25.554671999999997</v>
      </c>
      <c r="J234" s="2"/>
      <c r="N234" s="57" t="str">
        <f>'Input - Swine'!$D$33</f>
        <v>Pit storage</v>
      </c>
      <c r="O234" s="57" t="str">
        <f>'Input - Swine'!$D$77</f>
        <v>Anaerobic lagoon</v>
      </c>
      <c r="P234" s="52" cm="1">
        <f t="array" ref="P234">MMS_Swine_N2ODirect_Equations.VEERG_4_5_1_3__6_Stage2NitrogenInMMS(O$168,F204)</f>
        <v>30.141407999999998</v>
      </c>
      <c r="Q234" s="52" cm="1">
        <f t="array" ref="Q234">MMS_Swine_N2ODirect_Equations.VEERG_4_5_1_3__6_Stage2NitrogenInMMS(P$168,G204)</f>
        <v>40.133940000000003</v>
      </c>
      <c r="R234" s="52" cm="1">
        <f t="array" ref="R234">MMS_Swine_N2ODirect_Equations.VEERG_4_5_1_3__6_Stage2NitrogenInMMS(Q$168,H204)</f>
        <v>37.676759999999994</v>
      </c>
      <c r="S234" s="52" cm="1">
        <f t="array" ref="S234">MMS_Swine_N2ODirect_Equations.VEERG_4_5_1_3__6_Stage2NitrogenInMMS(R$168,I204)</f>
        <v>25.554671999999997</v>
      </c>
      <c r="T234" s="2"/>
    </row>
    <row r="235" spans="4:20" ht="20.100000000000001" customHeight="1" x14ac:dyDescent="0.25">
      <c r="D235" s="57"/>
      <c r="E235" s="57" t="str">
        <f>'Input - Swine'!$D$78</f>
        <v>Digester / covered lagoons</v>
      </c>
      <c r="F235" s="52" cm="1">
        <f t="array" ref="F235">MMS_Swine_N2ODirect_Equations.VEERG_4_5_1_3__6_Stage2NitrogenInMMS(E$168,F205)</f>
        <v>30.141407999999998</v>
      </c>
      <c r="G235" s="52" cm="1">
        <f t="array" ref="G235">MMS_Swine_N2ODirect_Equations.VEERG_4_5_1_3__6_Stage2NitrogenInMMS(F$168,G205)</f>
        <v>40.133940000000003</v>
      </c>
      <c r="H235" s="52" cm="1">
        <f t="array" ref="H235">MMS_Swine_N2ODirect_Equations.VEERG_4_5_1_3__6_Stage2NitrogenInMMS(G$168,H205)</f>
        <v>37.676759999999994</v>
      </c>
      <c r="I235" s="52" cm="1">
        <f t="array" ref="I235">MMS_Swine_N2ODirect_Equations.VEERG_4_5_1_3__6_Stage2NitrogenInMMS(H$168,I205)</f>
        <v>25.554671999999997</v>
      </c>
      <c r="J235" s="2"/>
      <c r="N235" s="57"/>
      <c r="O235" s="57" t="str">
        <f>'Input - Swine'!$D$78</f>
        <v>Digester / covered lagoons</v>
      </c>
      <c r="P235" s="52" cm="1">
        <f t="array" ref="P235">MMS_Swine_N2ODirect_Equations.VEERG_4_5_1_3__6_Stage2NitrogenInMMS(O$168,F205)</f>
        <v>30.141407999999998</v>
      </c>
      <c r="Q235" s="52" cm="1">
        <f t="array" ref="Q235">MMS_Swine_N2ODirect_Equations.VEERG_4_5_1_3__6_Stage2NitrogenInMMS(P$168,G205)</f>
        <v>40.133940000000003</v>
      </c>
      <c r="R235" s="52" cm="1">
        <f t="array" ref="R235">MMS_Swine_N2ODirect_Equations.VEERG_4_5_1_3__6_Stage2NitrogenInMMS(Q$168,H205)</f>
        <v>37.676759999999994</v>
      </c>
      <c r="S235" s="52" cm="1">
        <f t="array" ref="S235">MMS_Swine_N2ODirect_Equations.VEERG_4_5_1_3__6_Stage2NitrogenInMMS(R$168,I205)</f>
        <v>25.554671999999997</v>
      </c>
      <c r="T235" s="2"/>
    </row>
    <row r="236" spans="4:20" ht="20.100000000000001" customHeight="1" x14ac:dyDescent="0.25">
      <c r="D236" s="57"/>
      <c r="E236" s="57" t="str">
        <f>'Input - Swine'!$D$79</f>
        <v>Deep litter</v>
      </c>
      <c r="F236" s="52" cm="1">
        <f t="array" ref="F236">MMS_Swine_N2ODirect_Equations.VEERG_4_5_1_3__6_Stage2NitrogenInMMS(E$168,F206)</f>
        <v>30.141407999999998</v>
      </c>
      <c r="G236" s="52" cm="1">
        <f t="array" ref="G236">MMS_Swine_N2ODirect_Equations.VEERG_4_5_1_3__6_Stage2NitrogenInMMS(F$168,G206)</f>
        <v>40.133940000000003</v>
      </c>
      <c r="H236" s="52" cm="1">
        <f t="array" ref="H236">MMS_Swine_N2ODirect_Equations.VEERG_4_5_1_3__6_Stage2NitrogenInMMS(G$168,H206)</f>
        <v>37.676759999999994</v>
      </c>
      <c r="I236" s="52" cm="1">
        <f t="array" ref="I236">MMS_Swine_N2ODirect_Equations.VEERG_4_5_1_3__6_Stage2NitrogenInMMS(H$168,I206)</f>
        <v>25.554671999999997</v>
      </c>
      <c r="J236" s="2"/>
      <c r="N236" s="57"/>
      <c r="O236" s="57" t="str">
        <f>'Input - Swine'!$D$79</f>
        <v>Deep litter</v>
      </c>
      <c r="P236" s="52" cm="1">
        <f t="array" ref="P236">MMS_Swine_N2ODirect_Equations.VEERG_4_5_1_3__6_Stage2NitrogenInMMS(O$168,F206)</f>
        <v>30.141407999999998</v>
      </c>
      <c r="Q236" s="52" cm="1">
        <f t="array" ref="Q236">MMS_Swine_N2ODirect_Equations.VEERG_4_5_1_3__6_Stage2NitrogenInMMS(P$168,G206)</f>
        <v>40.133940000000003</v>
      </c>
      <c r="R236" s="52" cm="1">
        <f t="array" ref="R236">MMS_Swine_N2ODirect_Equations.VEERG_4_5_1_3__6_Stage2NitrogenInMMS(Q$168,H206)</f>
        <v>37.676759999999994</v>
      </c>
      <c r="S236" s="52" cm="1">
        <f t="array" ref="S236">MMS_Swine_N2ODirect_Equations.VEERG_4_5_1_3__6_Stage2NitrogenInMMS(R$168,I206)</f>
        <v>25.554671999999997</v>
      </c>
      <c r="T236" s="2"/>
    </row>
    <row r="237" spans="4:20" ht="20.100000000000001" customHeight="1" x14ac:dyDescent="0.25">
      <c r="D237" s="57"/>
      <c r="E237" s="57" t="str">
        <f>'Input - Swine'!$D$80</f>
        <v>Direct application</v>
      </c>
      <c r="F237" s="52" cm="1">
        <f t="array" ref="F237">MMS_Swine_N2ODirect_Equations.VEERG_4_5_1_3__6_Stage2NitrogenInMMS(E$168,F207)</f>
        <v>60.282815999999976</v>
      </c>
      <c r="G237" s="52" cm="1">
        <f t="array" ref="G237">MMS_Swine_N2ODirect_Equations.VEERG_4_5_1_3__6_Stage2NitrogenInMMS(F$168,G207)</f>
        <v>40.133940000000003</v>
      </c>
      <c r="H237" s="52" cm="1">
        <f t="array" ref="H237">MMS_Swine_N2ODirect_Equations.VEERG_4_5_1_3__6_Stage2NitrogenInMMS(G$168,H207)</f>
        <v>37.676759999999994</v>
      </c>
      <c r="I237" s="52" cm="1">
        <f t="array" ref="I237">MMS_Swine_N2ODirect_Equations.VEERG_4_5_1_3__6_Stage2NitrogenInMMS(H$168,I207)</f>
        <v>25.554671999999997</v>
      </c>
      <c r="J237" s="2"/>
      <c r="N237" s="57"/>
      <c r="O237" s="57" t="str">
        <f>'Input - Swine'!$D$80</f>
        <v>Direct application</v>
      </c>
      <c r="P237" s="52" cm="1">
        <f t="array" ref="P237">MMS_Swine_N2ODirect_Equations.VEERG_4_5_1_3__6_Stage2NitrogenInMMS(O$168,F207)</f>
        <v>60.282815999999976</v>
      </c>
      <c r="Q237" s="52" cm="1">
        <f t="array" ref="Q237">MMS_Swine_N2ODirect_Equations.VEERG_4_5_1_3__6_Stage2NitrogenInMMS(P$168,G207)</f>
        <v>40.133940000000003</v>
      </c>
      <c r="R237" s="52" cm="1">
        <f t="array" ref="R237">MMS_Swine_N2ODirect_Equations.VEERG_4_5_1_3__6_Stage2NitrogenInMMS(Q$168,H207)</f>
        <v>37.676759999999994</v>
      </c>
      <c r="S237" s="52" cm="1">
        <f t="array" ref="S237">MMS_Swine_N2ODirect_Equations.VEERG_4_5_1_3__6_Stage2NitrogenInMMS(R$168,I207)</f>
        <v>25.554671999999997</v>
      </c>
      <c r="T237" s="2"/>
    </row>
    <row r="238" spans="4:20" ht="20.100000000000001" customHeight="1" x14ac:dyDescent="0.25">
      <c r="D238" s="57" t="str">
        <f>'Input - Swine'!$D$34</f>
        <v>Solid storage</v>
      </c>
      <c r="E238" s="57" t="str">
        <f>'Input - Swine'!$D$84</f>
        <v>Anaerobic lagoon</v>
      </c>
      <c r="F238" s="52" cm="1">
        <f t="array" ref="F238">MMS_Swine_N2ODirect_Equations.VEERG_4_5_1_3__6_Stage2NitrogenInMMS(E$169,F208)</f>
        <v>106.78440000000003</v>
      </c>
      <c r="G238" s="52" cm="1">
        <f t="array" ref="G238">MMS_Swine_N2ODirect_Equations.VEERG_4_5_1_3__6_Stage2NitrogenInMMS(F$169,G208)</f>
        <v>113.74860000000007</v>
      </c>
      <c r="H238" s="52" cm="1">
        <f t="array" ref="H238">MMS_Swine_N2ODirect_Equations.VEERG_4_5_1_3__6_Stage2NitrogenInMMS(G$169,H208)</f>
        <v>106.78440000000003</v>
      </c>
      <c r="I238" s="52" cm="1">
        <f t="array" ref="I238">MMS_Swine_N2ODirect_Equations.VEERG_4_5_1_3__6_Stage2NitrogenInMMS(H$169,I208)</f>
        <v>72.427680000000038</v>
      </c>
      <c r="J238" s="2"/>
      <c r="N238" s="57" t="str">
        <f>'Input - Swine'!$D$34</f>
        <v>Solid storage</v>
      </c>
      <c r="O238" s="57" t="str">
        <f>'Input - Swine'!$D$84</f>
        <v>Anaerobic lagoon</v>
      </c>
      <c r="P238" s="52" cm="1">
        <f t="array" ref="P238">MMS_Swine_N2ODirect_Equations.VEERG_4_5_1_3__6_Stage2NitrogenInMMS(O$169,F208)</f>
        <v>106.78440000000003</v>
      </c>
      <c r="Q238" s="52" cm="1">
        <f t="array" ref="Q238">MMS_Swine_N2ODirect_Equations.VEERG_4_5_1_3__6_Stage2NitrogenInMMS(P$169,G208)</f>
        <v>113.74860000000007</v>
      </c>
      <c r="R238" s="52" cm="1">
        <f t="array" ref="R238">MMS_Swine_N2ODirect_Equations.VEERG_4_5_1_3__6_Stage2NitrogenInMMS(Q$169,H208)</f>
        <v>106.78440000000003</v>
      </c>
      <c r="S238" s="52" cm="1">
        <f t="array" ref="S238">MMS_Swine_N2ODirect_Equations.VEERG_4_5_1_3__6_Stage2NitrogenInMMS(R$169,I208)</f>
        <v>72.427680000000038</v>
      </c>
      <c r="T238" s="2"/>
    </row>
    <row r="239" spans="4:20" ht="20.100000000000001" customHeight="1" x14ac:dyDescent="0.25">
      <c r="D239" s="57"/>
      <c r="E239" s="57" t="str">
        <f>'Input - Swine'!$D$85</f>
        <v>Digester / covered lagoons</v>
      </c>
      <c r="F239" s="52" cm="1">
        <f t="array" ref="F239">MMS_Swine_N2ODirect_Equations.VEERG_4_5_1_3__6_Stage2NitrogenInMMS(E$169,F209)</f>
        <v>106.78440000000003</v>
      </c>
      <c r="G239" s="52" cm="1">
        <f t="array" ref="G239">MMS_Swine_N2ODirect_Equations.VEERG_4_5_1_3__6_Stage2NitrogenInMMS(F$169,G209)</f>
        <v>113.74860000000007</v>
      </c>
      <c r="H239" s="52" cm="1">
        <f t="array" ref="H239">MMS_Swine_N2ODirect_Equations.VEERG_4_5_1_3__6_Stage2NitrogenInMMS(G$169,H209)</f>
        <v>106.78440000000003</v>
      </c>
      <c r="I239" s="52" cm="1">
        <f t="array" ref="I239">MMS_Swine_N2ODirect_Equations.VEERG_4_5_1_3__6_Stage2NitrogenInMMS(H$169,I209)</f>
        <v>72.427680000000038</v>
      </c>
      <c r="J239" s="2"/>
      <c r="N239" s="57"/>
      <c r="O239" s="57" t="str">
        <f>'Input - Swine'!$D$85</f>
        <v>Digester / covered lagoons</v>
      </c>
      <c r="P239" s="52" cm="1">
        <f t="array" ref="P239">MMS_Swine_N2ODirect_Equations.VEERG_4_5_1_3__6_Stage2NitrogenInMMS(O$169,F209)</f>
        <v>106.78440000000003</v>
      </c>
      <c r="Q239" s="52" cm="1">
        <f t="array" ref="Q239">MMS_Swine_N2ODirect_Equations.VEERG_4_5_1_3__6_Stage2NitrogenInMMS(P$169,G209)</f>
        <v>113.74860000000007</v>
      </c>
      <c r="R239" s="52" cm="1">
        <f t="array" ref="R239">MMS_Swine_N2ODirect_Equations.VEERG_4_5_1_3__6_Stage2NitrogenInMMS(Q$169,H209)</f>
        <v>106.78440000000003</v>
      </c>
      <c r="S239" s="52" cm="1">
        <f t="array" ref="S239">MMS_Swine_N2ODirect_Equations.VEERG_4_5_1_3__6_Stage2NitrogenInMMS(R$169,I209)</f>
        <v>72.427680000000038</v>
      </c>
      <c r="T239" s="2"/>
    </row>
    <row r="240" spans="4:20" ht="20.100000000000001" customHeight="1" x14ac:dyDescent="0.25">
      <c r="D240" s="57"/>
      <c r="E240" s="57" t="str">
        <f>'Input - Swine'!$D$86</f>
        <v>Deep litter</v>
      </c>
      <c r="F240" s="52" cm="1">
        <f t="array" ref="F240">MMS_Swine_N2ODirect_Equations.VEERG_4_5_1_3__6_Stage2NitrogenInMMS(E$169,F210)</f>
        <v>106.78440000000003</v>
      </c>
      <c r="G240" s="52" cm="1">
        <f t="array" ref="G240">MMS_Swine_N2ODirect_Equations.VEERG_4_5_1_3__6_Stage2NitrogenInMMS(F$169,G210)</f>
        <v>113.74860000000007</v>
      </c>
      <c r="H240" s="52" cm="1">
        <f t="array" ref="H240">MMS_Swine_N2ODirect_Equations.VEERG_4_5_1_3__6_Stage2NitrogenInMMS(G$169,H210)</f>
        <v>106.78440000000003</v>
      </c>
      <c r="I240" s="52" cm="1">
        <f t="array" ref="I240">MMS_Swine_N2ODirect_Equations.VEERG_4_5_1_3__6_Stage2NitrogenInMMS(H$169,I210)</f>
        <v>72.427680000000038</v>
      </c>
      <c r="J240" s="2"/>
      <c r="N240" s="57"/>
      <c r="O240" s="57" t="str">
        <f>'Input - Swine'!$D$86</f>
        <v>Deep litter</v>
      </c>
      <c r="P240" s="52" cm="1">
        <f t="array" ref="P240">MMS_Swine_N2ODirect_Equations.VEERG_4_5_1_3__6_Stage2NitrogenInMMS(O$169,F210)</f>
        <v>106.78440000000003</v>
      </c>
      <c r="Q240" s="52" cm="1">
        <f t="array" ref="Q240">MMS_Swine_N2ODirect_Equations.VEERG_4_5_1_3__6_Stage2NitrogenInMMS(P$169,G210)</f>
        <v>113.74860000000007</v>
      </c>
      <c r="R240" s="52" cm="1">
        <f t="array" ref="R240">MMS_Swine_N2ODirect_Equations.VEERG_4_5_1_3__6_Stage2NitrogenInMMS(Q$169,H210)</f>
        <v>106.78440000000003</v>
      </c>
      <c r="S240" s="52" cm="1">
        <f t="array" ref="S240">MMS_Swine_N2ODirect_Equations.VEERG_4_5_1_3__6_Stage2NitrogenInMMS(R$169,I210)</f>
        <v>72.427680000000038</v>
      </c>
      <c r="T240" s="2"/>
    </row>
    <row r="241" spans="1:21" ht="20.100000000000001" customHeight="1" x14ac:dyDescent="0.25">
      <c r="D241" s="57"/>
      <c r="E241" s="57" t="str">
        <f>'Input - Swine'!$D$87</f>
        <v>Pit storage</v>
      </c>
      <c r="F241" s="52" cm="1">
        <f t="array" ref="F241">MMS_Swine_N2ODirect_Equations.VEERG_4_5_1_3__6_Stage2NitrogenInMMS(E$169,F211)</f>
        <v>53.392200000000017</v>
      </c>
      <c r="G241" s="52" cm="1">
        <f t="array" ref="G241">MMS_Swine_N2ODirect_Equations.VEERG_4_5_1_3__6_Stage2NitrogenInMMS(F$169,G211)</f>
        <v>56.874300000000034</v>
      </c>
      <c r="H241" s="52" cm="1">
        <f t="array" ref="H241">MMS_Swine_N2ODirect_Equations.VEERG_4_5_1_3__6_Stage2NitrogenInMMS(G$169,H211)</f>
        <v>53.392200000000017</v>
      </c>
      <c r="I241" s="52" cm="1">
        <f t="array" ref="I241">MMS_Swine_N2ODirect_Equations.VEERG_4_5_1_3__6_Stage2NitrogenInMMS(H$169,I211)</f>
        <v>36.213840000000019</v>
      </c>
      <c r="J241" s="2"/>
      <c r="N241" s="57"/>
      <c r="O241" s="57" t="str">
        <f>'Input - Swine'!$D$87</f>
        <v>Pit storage</v>
      </c>
      <c r="P241" s="52" cm="1">
        <f t="array" ref="P241">MMS_Swine_N2ODirect_Equations.VEERG_4_5_1_3__6_Stage2NitrogenInMMS(O$169,F211)</f>
        <v>53.392200000000017</v>
      </c>
      <c r="Q241" s="52" cm="1">
        <f t="array" ref="Q241">MMS_Swine_N2ODirect_Equations.VEERG_4_5_1_3__6_Stage2NitrogenInMMS(P$169,G211)</f>
        <v>56.874300000000034</v>
      </c>
      <c r="R241" s="52" cm="1">
        <f t="array" ref="R241">MMS_Swine_N2ODirect_Equations.VEERG_4_5_1_3__6_Stage2NitrogenInMMS(Q$169,H211)</f>
        <v>53.392200000000017</v>
      </c>
      <c r="S241" s="52" cm="1">
        <f t="array" ref="S241">MMS_Swine_N2ODirect_Equations.VEERG_4_5_1_3__6_Stage2NitrogenInMMS(R$169,I211)</f>
        <v>36.213840000000019</v>
      </c>
      <c r="T241" s="2"/>
    </row>
    <row r="242" spans="1:21" ht="20.100000000000001" customHeight="1" x14ac:dyDescent="0.25">
      <c r="D242" s="57"/>
      <c r="E242" s="57" t="str">
        <f>'Input - Swine'!$D$88</f>
        <v>Direct application</v>
      </c>
      <c r="F242" s="52" cm="1">
        <f t="array" ref="F242">MMS_Swine_N2ODirect_Equations.VEERG_4_5_1_3__6_Stage2NitrogenInMMS(E$169,F212)</f>
        <v>160.17660000000001</v>
      </c>
      <c r="G242" s="52" cm="1">
        <f t="array" ref="G242">MMS_Swine_N2ODirect_Equations.VEERG_4_5_1_3__6_Stage2NitrogenInMMS(F$169,G212)</f>
        <v>170.62290000000004</v>
      </c>
      <c r="H242" s="52" cm="1">
        <f t="array" ref="H242">MMS_Swine_N2ODirect_Equations.VEERG_4_5_1_3__6_Stage2NitrogenInMMS(G$169,H212)</f>
        <v>160.17660000000001</v>
      </c>
      <c r="I242" s="52" cm="1">
        <f t="array" ref="I242">MMS_Swine_N2ODirect_Equations.VEERG_4_5_1_3__6_Stage2NitrogenInMMS(H$169,I212)</f>
        <v>108.64152000000003</v>
      </c>
      <c r="J242" s="2"/>
      <c r="N242" s="57"/>
      <c r="O242" s="57" t="str">
        <f>'Input - Swine'!$D$88</f>
        <v>Direct application</v>
      </c>
      <c r="P242" s="52" cm="1">
        <f t="array" ref="P242">MMS_Swine_N2ODirect_Equations.VEERG_4_5_1_3__6_Stage2NitrogenInMMS(O$169,F212)</f>
        <v>160.17660000000001</v>
      </c>
      <c r="Q242" s="52" cm="1">
        <f t="array" ref="Q242">MMS_Swine_N2ODirect_Equations.VEERG_4_5_1_3__6_Stage2NitrogenInMMS(P$169,G212)</f>
        <v>170.62290000000004</v>
      </c>
      <c r="R242" s="52" cm="1">
        <f t="array" ref="R242">MMS_Swine_N2ODirect_Equations.VEERG_4_5_1_3__6_Stage2NitrogenInMMS(Q$169,H212)</f>
        <v>160.17660000000001</v>
      </c>
      <c r="S242" s="52" cm="1">
        <f t="array" ref="S242">MMS_Swine_N2ODirect_Equations.VEERG_4_5_1_3__6_Stage2NitrogenInMMS(R$169,I212)</f>
        <v>108.64152000000003</v>
      </c>
      <c r="T242" s="2"/>
    </row>
    <row r="243" spans="1:21" ht="20.100000000000001" customHeight="1" x14ac:dyDescent="0.25"/>
    <row r="244" spans="1:21" ht="20.100000000000001" customHeight="1" x14ac:dyDescent="0.25">
      <c r="A244" s="150" t="str">
        <f>HYPERLINK("#A1", "▲ Back to top")</f>
        <v>▲ Back to top</v>
      </c>
    </row>
    <row r="245" spans="1:21" ht="20.100000000000001" customHeight="1" x14ac:dyDescent="0.25">
      <c r="C245" s="45"/>
      <c r="D245" s="45"/>
      <c r="E245" s="45"/>
      <c r="F245" s="45"/>
      <c r="G245" s="45"/>
      <c r="H245" s="45"/>
      <c r="I245" s="45"/>
      <c r="J245" s="45"/>
      <c r="K245" s="45"/>
      <c r="M245" s="45"/>
      <c r="N245" s="45"/>
      <c r="O245" s="45"/>
      <c r="P245" s="45"/>
      <c r="Q245" s="45"/>
      <c r="R245" s="45"/>
      <c r="S245" s="45"/>
      <c r="T245" s="45"/>
      <c r="U245" s="45"/>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26</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3" t="s">
        <v>29</v>
      </c>
      <c r="E251" s="1" t="str" cm="1">
        <f t="array" ref="E251">MMS_Swine_N2ODirect_Equations.VEERG_4_5_1_3__1_TotalAnnualDirectNitrousOxideEmissionsFromMMS_Variable()</f>
        <v>E_N2Odir</v>
      </c>
    </row>
    <row r="252" spans="1:21" ht="20.100000000000001" customHeight="1" x14ac:dyDescent="0.25">
      <c r="D252" s="53" t="s">
        <v>19</v>
      </c>
      <c r="E252" s="54"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8" t="str" cm="1">
        <f t="array" ref="D254:E256">Common_InputFunctions.Utility_DisplayArguments_1_2(MMS_Swine_N2ODirect_Equations.VEERG_4_5_1_3__1_TotalAnnualDirectNitrousOxideEmissionsFromMMS_Arguments())</f>
        <v>MN_jmT</v>
      </c>
      <c r="E254" s="110" t="str">
        <v>nitrogen per swine class, MMS and treatment stage</v>
      </c>
      <c r="F254" s="109"/>
      <c r="G254" s="144" t="str" cm="1">
        <f t="array" ref="G254:H256">Common_InputFunctions.Utility_DisplayArguments_3_4(MMS_Swine_N2ODirect_Equations.VEERG_4_5_1_3__1_TotalAnnualDirectNitrousOxideEmissionsFromMMS_Arguments())</f>
        <v>kg N</v>
      </c>
      <c r="H254" s="139" t="str">
        <v>Calculated from 4.5.1.3 (2)(6)</v>
      </c>
      <c r="I254" s="143" t="str" cm="1">
        <f t="array" aca="1" ref="I254" ca="1">HYPERLINK(Common_InputFunctions.Utility_SourceHyperlink(D115), D115)</f>
        <v>M1_Table_MN_j_m_T-1</v>
      </c>
      <c r="J254" s="143" t="str" cm="1">
        <f t="array" aca="1" ref="J254" ca="1">HYPERLINK(Common_InputFunctions.Utility_SourceHyperlink(D214), D214)</f>
        <v>M1_Table_MN_j_m_T-2</v>
      </c>
    </row>
    <row r="255" spans="1:21" ht="20.100000000000001" customHeight="1" x14ac:dyDescent="0.25">
      <c r="D255" s="108" t="str">
        <v>EF_jm</v>
      </c>
      <c r="E255" s="110" t="str">
        <v>nitrous oxide emission factor for MMS</v>
      </c>
      <c r="F255" s="109"/>
      <c r="G255" s="144" t="str">
        <v>kg N2O-N/kg N</v>
      </c>
      <c r="H255" s="139" t="str">
        <v>Constant</v>
      </c>
      <c r="I255" s="148" t="str" cm="1">
        <f t="array" aca="1" ref="I255" ca="1">HYPERLINK(Common_InputFunctions.Utility_SourceHyperlink(D150), D150)</f>
        <v>Table_EF_m_t-1</v>
      </c>
      <c r="J255" s="147"/>
    </row>
    <row r="256" spans="1:21" ht="20.100000000000001" customHeight="1" x14ac:dyDescent="0.25">
      <c r="D256" s="108" t="str">
        <v>C_N2O</v>
      </c>
      <c r="E256" s="110" t="str">
        <v>factor to convert elemental mass of nitrous oxide to molecular mass</v>
      </c>
      <c r="F256" s="109"/>
      <c r="G256" s="144" t="str">
        <v/>
      </c>
      <c r="H256" s="139" t="str">
        <v>Constant</v>
      </c>
      <c r="I256" s="58">
        <f>Common_InputFunctions.Utility_LookupValueInTableNumber("N2O",Table_GasToMolecularConversionFactor[Gas],Table_GasToMolecularConversionFactor[Conversion factor combined])</f>
        <v>1.5714285714285714</v>
      </c>
      <c r="J256" s="109"/>
    </row>
    <row r="257" spans="4:20" ht="20.100000000000001" customHeight="1" x14ac:dyDescent="0.25"/>
    <row r="258" spans="4:20" ht="20.100000000000001" customHeight="1" x14ac:dyDescent="0.25">
      <c r="D258" s="136" t="s">
        <v>350</v>
      </c>
      <c r="E258" s="91"/>
      <c r="F258" s="91"/>
      <c r="G258" s="87"/>
    </row>
    <row r="259" spans="4:20" ht="20.100000000000001" customHeight="1" x14ac:dyDescent="0.25">
      <c r="D259" s="93" t="s">
        <v>348</v>
      </c>
      <c r="E259" s="90"/>
      <c r="F259" s="90"/>
      <c r="G259" s="88"/>
    </row>
    <row r="260" spans="4:20" ht="20.100000000000001" customHeight="1" x14ac:dyDescent="0.25"/>
    <row r="261" spans="4:20" ht="20.100000000000001" customHeight="1" x14ac:dyDescent="0.25">
      <c r="D261" s="121" t="s">
        <v>260</v>
      </c>
      <c r="N261" s="121" t="s">
        <v>274</v>
      </c>
    </row>
    <row r="262" spans="4:20" ht="20.100000000000001" customHeight="1" x14ac:dyDescent="0.25">
      <c r="D262" s="122" t="s">
        <v>261</v>
      </c>
      <c r="N262" s="122" t="s">
        <v>275</v>
      </c>
    </row>
    <row r="263" spans="4:20" ht="20.100000000000001" customHeight="1" x14ac:dyDescent="0.25">
      <c r="D263" s="51" t="s">
        <v>163</v>
      </c>
      <c r="E263" s="51" t="s">
        <v>171</v>
      </c>
      <c r="F263" s="51" t="s">
        <v>142</v>
      </c>
      <c r="G263" s="51" t="s">
        <v>143</v>
      </c>
      <c r="H263" s="51" t="s">
        <v>144</v>
      </c>
      <c r="I263" s="51" t="s">
        <v>206</v>
      </c>
      <c r="N263" s="51" t="s">
        <v>163</v>
      </c>
      <c r="O263" s="51" t="s">
        <v>171</v>
      </c>
      <c r="P263" s="51" t="s">
        <v>142</v>
      </c>
      <c r="Q263" s="51" t="s">
        <v>143</v>
      </c>
      <c r="R263" s="51" t="s">
        <v>144</v>
      </c>
      <c r="S263" s="51" t="s">
        <v>206</v>
      </c>
    </row>
    <row r="264" spans="4:20" ht="20.100000000000001" customHeight="1" x14ac:dyDescent="0.25">
      <c r="D264" s="57" t="str">
        <f>'Input - Swine'!$D$29</f>
        <v>Anaerobic lagoon</v>
      </c>
      <c r="E264" s="57" t="s">
        <v>172</v>
      </c>
      <c r="F264" s="52" cm="1">
        <f t="array" ref="F264">MMS_Swine_N2ODirect_Equations.VEERG_4_5_1_3__1_TotalAnnualDirectNitrousOxideEmissionsFromMMS(E118, _xlfn.XLOOKUP($D264, $D$153:$D$159, $E$153:$E$159), $I$256)</f>
        <v>0</v>
      </c>
      <c r="G264" s="52" cm="1">
        <f t="array" ref="G264">MMS_Swine_N2ODirect_Equations.VEERG_4_5_1_3__1_TotalAnnualDirectNitrousOxideEmissionsFromMMS(F118, _xlfn.XLOOKUP($D264, $D$153:$D$159, $E$153:$E$159), $I$256)</f>
        <v>0</v>
      </c>
      <c r="H264" s="52" cm="1">
        <f t="array" ref="H264">MMS_Swine_N2ODirect_Equations.VEERG_4_5_1_3__1_TotalAnnualDirectNitrousOxideEmissionsFromMMS(G118, _xlfn.XLOOKUP($D264, $D$153:$D$159, $E$153:$E$159), $I$256)</f>
        <v>0</v>
      </c>
      <c r="I264" s="52" cm="1">
        <f t="array" ref="I264">MMS_Swine_N2ODirect_Equations.VEERG_4_5_1_3__1_TotalAnnualDirectNitrousOxideEmissionsFromMMS(H118, _xlfn.XLOOKUP($D264, $D$153:$D$159, $E$153:$E$159), $I$256)</f>
        <v>0</v>
      </c>
      <c r="J264" s="2" t="str">
        <f>$E$252</f>
        <v>t N2O</v>
      </c>
      <c r="N264" s="57" t="str">
        <f>'Input - Swine'!$D$29</f>
        <v>Anaerobic lagoon</v>
      </c>
      <c r="O264" s="57" t="s">
        <v>172</v>
      </c>
      <c r="P264" s="52" cm="1">
        <f t="array" ref="P264">MMS_Swine_N2ODirect_Equations.VEERG_4_5_1_3__1_TotalAnnualDirectNitrousOxideEmissionsFromMMS(O118, _xlfn.XLOOKUP($D264, $D$153:$D$159, $E$153:$E$159), $I$256)</f>
        <v>0</v>
      </c>
      <c r="Q264" s="52" cm="1">
        <f t="array" ref="Q264">MMS_Swine_N2ODirect_Equations.VEERG_4_5_1_3__1_TotalAnnualDirectNitrousOxideEmissionsFromMMS(P118, _xlfn.XLOOKUP($D264, $D$153:$D$159, $E$153:$E$159), $I$256)</f>
        <v>0</v>
      </c>
      <c r="R264" s="52" cm="1">
        <f t="array" ref="R264">MMS_Swine_N2ODirect_Equations.VEERG_4_5_1_3__1_TotalAnnualDirectNitrousOxideEmissionsFromMMS(Q118, _xlfn.XLOOKUP($D264, $D$153:$D$159, $E$153:$E$159), $I$256)</f>
        <v>0</v>
      </c>
      <c r="S264" s="52" cm="1">
        <f t="array" ref="S264">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7" t="str">
        <f>'Input - Swine'!$D$30</f>
        <v>Drylot (feed pad)</v>
      </c>
      <c r="E265" s="57" t="s">
        <v>172</v>
      </c>
      <c r="F265" s="52" cm="1">
        <f t="array" ref="F265">MMS_Swine_N2ODirect_Equations.VEERG_4_5_1_3__1_TotalAnnualDirectNitrousOxideEmissionsFromMMS(E119, _xlfn.XLOOKUP($D265, $D$153:$D$159, $E$153:$E$159), $I$256)</f>
        <v>6.3322285714285699E-3</v>
      </c>
      <c r="G265" s="52" cm="1">
        <f t="array" ref="G265">MMS_Swine_N2ODirect_Equations.VEERG_4_5_1_3__1_TotalAnnualDirectNitrousOxideEmissionsFromMMS(F119, _xlfn.XLOOKUP($D265, $D$153:$D$159, $E$153:$E$159), $I$256)</f>
        <v>6.7452000000000007E-3</v>
      </c>
      <c r="H265" s="52" cm="1">
        <f t="array" ref="H265">MMS_Swine_N2ODirect_Equations.VEERG_4_5_1_3__1_TotalAnnualDirectNitrousOxideEmissionsFromMMS(G119, _xlfn.XLOOKUP($D265, $D$153:$D$159, $E$153:$E$159), $I$256)</f>
        <v>6.3322285714285699E-3</v>
      </c>
      <c r="I265" s="52" cm="1">
        <f t="array" ref="I265">MMS_Swine_N2ODirect_Equations.VEERG_4_5_1_3__1_TotalAnnualDirectNitrousOxideEmissionsFromMMS(H119, _xlfn.XLOOKUP($D265, $D$153:$D$159, $E$153:$E$159), $I$256)</f>
        <v>4.2949028571428564E-3</v>
      </c>
      <c r="J265" s="2"/>
      <c r="N265" s="57" t="str">
        <f>'Input - Swine'!$D$30</f>
        <v>Drylot (feed pad)</v>
      </c>
      <c r="O265" s="57" t="s">
        <v>172</v>
      </c>
      <c r="P265" s="52" cm="1">
        <f t="array" ref="P265">MMS_Swine_N2ODirect_Equations.VEERG_4_5_1_3__1_TotalAnnualDirectNitrousOxideEmissionsFromMMS(O119, _xlfn.XLOOKUP($D265, $D$153:$D$159, $E$153:$E$159), $I$256)</f>
        <v>6.3322285714285699E-3</v>
      </c>
      <c r="Q265" s="52" cm="1">
        <f t="array" ref="Q265">MMS_Swine_N2ODirect_Equations.VEERG_4_5_1_3__1_TotalAnnualDirectNitrousOxideEmissionsFromMMS(P119, _xlfn.XLOOKUP($D265, $D$153:$D$159, $E$153:$E$159), $I$256)</f>
        <v>6.7452000000000007E-3</v>
      </c>
      <c r="R265" s="52" cm="1">
        <f t="array" ref="R265">MMS_Swine_N2ODirect_Equations.VEERG_4_5_1_3__1_TotalAnnualDirectNitrousOxideEmissionsFromMMS(Q119, _xlfn.XLOOKUP($D265, $D$153:$D$159, $E$153:$E$159), $I$256)</f>
        <v>6.3322285714285699E-3</v>
      </c>
      <c r="S265" s="52" cm="1">
        <f t="array" ref="S265">MMS_Swine_N2ODirect_Equations.VEERG_4_5_1_3__1_TotalAnnualDirectNitrousOxideEmissionsFromMMS(R119, _xlfn.XLOOKUP($D265, $D$153:$D$159, $E$153:$E$159), $I$256)</f>
        <v>4.2949028571428564E-3</v>
      </c>
      <c r="T265" s="2"/>
    </row>
    <row r="266" spans="4:20" ht="20.100000000000001" customHeight="1" x14ac:dyDescent="0.25">
      <c r="D266" s="57" t="str">
        <f>'Input - Swine'!$D$31</f>
        <v>Digester / covered lagoons</v>
      </c>
      <c r="E266" s="57" t="s">
        <v>172</v>
      </c>
      <c r="F266" s="52" cm="1">
        <f t="array" ref="F266">MMS_Swine_N2ODirect_Equations.VEERG_4_5_1_3__1_TotalAnnualDirectNitrousOxideEmissionsFromMMS(E120, _xlfn.XLOOKUP($D266, $D$153:$D$159, $E$153:$E$159), $I$256)</f>
        <v>0</v>
      </c>
      <c r="G266" s="52" cm="1">
        <f t="array" ref="G266">MMS_Swine_N2ODirect_Equations.VEERG_4_5_1_3__1_TotalAnnualDirectNitrousOxideEmissionsFromMMS(F120, _xlfn.XLOOKUP($D266, $D$153:$D$159, $E$153:$E$159), $I$256)</f>
        <v>0</v>
      </c>
      <c r="H266" s="52" cm="1">
        <f t="array" ref="H266">MMS_Swine_N2ODirect_Equations.VEERG_4_5_1_3__1_TotalAnnualDirectNitrousOxideEmissionsFromMMS(G120, _xlfn.XLOOKUP($D266, $D$153:$D$159, $E$153:$E$159), $I$256)</f>
        <v>0</v>
      </c>
      <c r="I266" s="52" cm="1">
        <f t="array" ref="I266">MMS_Swine_N2ODirect_Equations.VEERG_4_5_1_3__1_TotalAnnualDirectNitrousOxideEmissionsFromMMS(H120, _xlfn.XLOOKUP($D266, $D$153:$D$159, $E$153:$E$159), $I$256)</f>
        <v>0</v>
      </c>
      <c r="J266" s="2"/>
      <c r="N266" s="57" t="str">
        <f>'Input - Swine'!$D$31</f>
        <v>Digester / covered lagoons</v>
      </c>
      <c r="O266" s="57" t="s">
        <v>172</v>
      </c>
      <c r="P266" s="52" cm="1">
        <f t="array" ref="P266">MMS_Swine_N2ODirect_Equations.VEERG_4_5_1_3__1_TotalAnnualDirectNitrousOxideEmissionsFromMMS(O120, _xlfn.XLOOKUP($D266, $D$153:$D$159, $E$153:$E$159), $I$256)</f>
        <v>0</v>
      </c>
      <c r="Q266" s="52" cm="1">
        <f t="array" ref="Q266">MMS_Swine_N2ODirect_Equations.VEERG_4_5_1_3__1_TotalAnnualDirectNitrousOxideEmissionsFromMMS(P120, _xlfn.XLOOKUP($D266, $D$153:$D$159, $E$153:$E$159), $I$256)</f>
        <v>0</v>
      </c>
      <c r="R266" s="52" cm="1">
        <f t="array" ref="R266">MMS_Swine_N2ODirect_Equations.VEERG_4_5_1_3__1_TotalAnnualDirectNitrousOxideEmissionsFromMMS(Q120, _xlfn.XLOOKUP($D266, $D$153:$D$159, $E$153:$E$159), $I$256)</f>
        <v>0</v>
      </c>
      <c r="S266" s="52" cm="1">
        <f t="array" ref="S266">MMS_Swine_N2ODirect_Equations.VEERG_4_5_1_3__1_TotalAnnualDirectNitrousOxideEmissionsFromMMS(R120, _xlfn.XLOOKUP($D266, $D$153:$D$159, $E$153:$E$159), $I$256)</f>
        <v>0</v>
      </c>
      <c r="T266" s="2"/>
    </row>
    <row r="267" spans="4:20" ht="20.100000000000001" customHeight="1" x14ac:dyDescent="0.25">
      <c r="D267" s="57" t="str">
        <f>'Input - Swine'!$D$32</f>
        <v>Deep litter</v>
      </c>
      <c r="E267" s="57" t="s">
        <v>172</v>
      </c>
      <c r="F267" s="52" cm="1">
        <f t="array" ref="F267">MMS_Swine_N2ODirect_Equations.VEERG_4_5_1_3__1_TotalAnnualDirectNitrousOxideEmissionsFromMMS(E121, _xlfn.XLOOKUP($D267, $D$153:$D$159, $E$153:$E$159), $I$256)</f>
        <v>3.166114285714285E-3</v>
      </c>
      <c r="G267" s="52" cm="1">
        <f t="array" ref="G267">MMS_Swine_N2ODirect_Equations.VEERG_4_5_1_3__1_TotalAnnualDirectNitrousOxideEmissionsFromMMS(F121, _xlfn.XLOOKUP($D267, $D$153:$D$159, $E$153:$E$159), $I$256)</f>
        <v>3.3726000000000003E-3</v>
      </c>
      <c r="H267" s="52" cm="1">
        <f t="array" ref="H267">MMS_Swine_N2ODirect_Equations.VEERG_4_5_1_3__1_TotalAnnualDirectNitrousOxideEmissionsFromMMS(G121, _xlfn.XLOOKUP($D267, $D$153:$D$159, $E$153:$E$159), $I$256)</f>
        <v>3.166114285714285E-3</v>
      </c>
      <c r="I267" s="52" cm="1">
        <f t="array" ref="I267">MMS_Swine_N2ODirect_Equations.VEERG_4_5_1_3__1_TotalAnnualDirectNitrousOxideEmissionsFromMMS(H121, _xlfn.XLOOKUP($D267, $D$153:$D$159, $E$153:$E$159), $I$256)</f>
        <v>2.1474514285714282E-3</v>
      </c>
      <c r="J267" s="2"/>
      <c r="N267" s="57" t="str">
        <f>'Input - Swine'!$D$32</f>
        <v>Deep litter</v>
      </c>
      <c r="O267" s="57" t="s">
        <v>172</v>
      </c>
      <c r="P267" s="52" cm="1">
        <f t="array" ref="P267">MMS_Swine_N2ODirect_Equations.VEERG_4_5_1_3__1_TotalAnnualDirectNitrousOxideEmissionsFromMMS(O121, _xlfn.XLOOKUP($D267, $D$153:$D$159, $E$153:$E$159), $I$256)</f>
        <v>3.166114285714285E-3</v>
      </c>
      <c r="Q267" s="52" cm="1">
        <f t="array" ref="Q267">MMS_Swine_N2ODirect_Equations.VEERG_4_5_1_3__1_TotalAnnualDirectNitrousOxideEmissionsFromMMS(P121, _xlfn.XLOOKUP($D267, $D$153:$D$159, $E$153:$E$159), $I$256)</f>
        <v>3.3726000000000003E-3</v>
      </c>
      <c r="R267" s="52" cm="1">
        <f t="array" ref="R267">MMS_Swine_N2ODirect_Equations.VEERG_4_5_1_3__1_TotalAnnualDirectNitrousOxideEmissionsFromMMS(Q121, _xlfn.XLOOKUP($D267, $D$153:$D$159, $E$153:$E$159), $I$256)</f>
        <v>3.166114285714285E-3</v>
      </c>
      <c r="S267" s="52" cm="1">
        <f t="array" ref="S267">MMS_Swine_N2ODirect_Equations.VEERG_4_5_1_3__1_TotalAnnualDirectNitrousOxideEmissionsFromMMS(R121, _xlfn.XLOOKUP($D267, $D$153:$D$159, $E$153:$E$159), $I$256)</f>
        <v>2.1474514285714282E-3</v>
      </c>
      <c r="T267" s="2"/>
    </row>
    <row r="268" spans="4:20" ht="20.100000000000001" customHeight="1" x14ac:dyDescent="0.25">
      <c r="D268" s="57" t="str">
        <f>'Input - Swine'!$D$33</f>
        <v>Pit storage</v>
      </c>
      <c r="E268" s="57" t="s">
        <v>172</v>
      </c>
      <c r="F268" s="52" cm="1">
        <f t="array" ref="F268">MMS_Swine_N2ODirect_Equations.VEERG_4_5_1_3__1_TotalAnnualDirectNitrousOxideEmissionsFromMMS(E122, _xlfn.XLOOKUP($D268, $D$153:$D$159, $E$153:$E$159), $I$256)</f>
        <v>6.3322285714285703E-4</v>
      </c>
      <c r="G268" s="52" cm="1">
        <f t="array" ref="G268">MMS_Swine_N2ODirect_Equations.VEERG_4_5_1_3__1_TotalAnnualDirectNitrousOxideEmissionsFromMMS(F122, _xlfn.XLOOKUP($D268, $D$153:$D$159, $E$153:$E$159), $I$256)</f>
        <v>6.7452000000000018E-4</v>
      </c>
      <c r="H268" s="52" cm="1">
        <f t="array" ref="H268">MMS_Swine_N2ODirect_Equations.VEERG_4_5_1_3__1_TotalAnnualDirectNitrousOxideEmissionsFromMMS(G122, _xlfn.XLOOKUP($D268, $D$153:$D$159, $E$153:$E$159), $I$256)</f>
        <v>6.3322285714285703E-4</v>
      </c>
      <c r="I268" s="52" cm="1">
        <f t="array" ref="I268">MMS_Swine_N2ODirect_Equations.VEERG_4_5_1_3__1_TotalAnnualDirectNitrousOxideEmissionsFromMMS(H122, _xlfn.XLOOKUP($D268, $D$153:$D$159, $E$153:$E$159), $I$256)</f>
        <v>4.294902857142856E-4</v>
      </c>
      <c r="J268" s="2"/>
      <c r="N268" s="57" t="str">
        <f>'Input - Swine'!$D$33</f>
        <v>Pit storage</v>
      </c>
      <c r="O268" s="57" t="s">
        <v>172</v>
      </c>
      <c r="P268" s="52" cm="1">
        <f t="array" ref="P268">MMS_Swine_N2ODirect_Equations.VEERG_4_5_1_3__1_TotalAnnualDirectNitrousOxideEmissionsFromMMS(O122, _xlfn.XLOOKUP($D268, $D$153:$D$159, $E$153:$E$159), $I$256)</f>
        <v>6.3322285714285703E-4</v>
      </c>
      <c r="Q268" s="52" cm="1">
        <f t="array" ref="Q268">MMS_Swine_N2ODirect_Equations.VEERG_4_5_1_3__1_TotalAnnualDirectNitrousOxideEmissionsFromMMS(P122, _xlfn.XLOOKUP($D268, $D$153:$D$159, $E$153:$E$159), $I$256)</f>
        <v>6.7452000000000018E-4</v>
      </c>
      <c r="R268" s="52" cm="1">
        <f t="array" ref="R268">MMS_Swine_N2ODirect_Equations.VEERG_4_5_1_3__1_TotalAnnualDirectNitrousOxideEmissionsFromMMS(Q122, _xlfn.XLOOKUP($D268, $D$153:$D$159, $E$153:$E$159), $I$256)</f>
        <v>6.3322285714285703E-4</v>
      </c>
      <c r="S268" s="52" cm="1">
        <f t="array" ref="S268">MMS_Swine_N2ODirect_Equations.VEERG_4_5_1_3__1_TotalAnnualDirectNitrousOxideEmissionsFromMMS(R122, _xlfn.XLOOKUP($D268, $D$153:$D$159, $E$153:$E$159), $I$256)</f>
        <v>4.294902857142856E-4</v>
      </c>
      <c r="T268" s="2"/>
    </row>
    <row r="269" spans="4:20" ht="20.100000000000001" customHeight="1" x14ac:dyDescent="0.25">
      <c r="D269" s="57" t="str">
        <f>'Input - Swine'!$D$34</f>
        <v>Solid storage</v>
      </c>
      <c r="E269" s="57" t="s">
        <v>172</v>
      </c>
      <c r="F269" s="52" cm="1">
        <f t="array" ref="F269">MMS_Swine_N2ODirect_Equations.VEERG_4_5_1_3__1_TotalAnnualDirectNitrousOxideEmissionsFromMMS(E123, _xlfn.XLOOKUP($D269, $D$153:$D$159, $E$153:$E$159), $I$256)</f>
        <v>5.2768571428571439E-3</v>
      </c>
      <c r="G269" s="52" cm="1">
        <f t="array" ref="G269">MMS_Swine_N2ODirect_Equations.VEERG_4_5_1_3__1_TotalAnnualDirectNitrousOxideEmissionsFromMMS(F123, _xlfn.XLOOKUP($D269, $D$153:$D$159, $E$153:$E$159), $I$256)</f>
        <v>5.6210000000000027E-3</v>
      </c>
      <c r="H269" s="52" cm="1">
        <f t="array" ref="H269">MMS_Swine_N2ODirect_Equations.VEERG_4_5_1_3__1_TotalAnnualDirectNitrousOxideEmissionsFromMMS(G123, _xlfn.XLOOKUP($D269, $D$153:$D$159, $E$153:$E$159), $I$256)</f>
        <v>5.2768571428571439E-3</v>
      </c>
      <c r="I269" s="52" cm="1">
        <f t="array" ref="I269">MMS_Swine_N2ODirect_Equations.VEERG_4_5_1_3__1_TotalAnnualDirectNitrousOxideEmissionsFromMMS(H123, _xlfn.XLOOKUP($D269, $D$153:$D$159, $E$153:$E$159), $I$256)</f>
        <v>3.5790857142857157E-3</v>
      </c>
      <c r="J269" s="2"/>
      <c r="N269" s="57" t="str">
        <f>'Input - Swine'!$D$34</f>
        <v>Solid storage</v>
      </c>
      <c r="O269" s="57" t="s">
        <v>172</v>
      </c>
      <c r="P269" s="52" cm="1">
        <f t="array" ref="P269">MMS_Swine_N2ODirect_Equations.VEERG_4_5_1_3__1_TotalAnnualDirectNitrousOxideEmissionsFromMMS(O123, _xlfn.XLOOKUP($D269, $D$153:$D$159, $E$153:$E$159), $I$256)</f>
        <v>5.2768571428571439E-3</v>
      </c>
      <c r="Q269" s="52" cm="1">
        <f t="array" ref="Q269">MMS_Swine_N2ODirect_Equations.VEERG_4_5_1_3__1_TotalAnnualDirectNitrousOxideEmissionsFromMMS(P123, _xlfn.XLOOKUP($D269, $D$153:$D$159, $E$153:$E$159), $I$256)</f>
        <v>5.6210000000000027E-3</v>
      </c>
      <c r="R269" s="52" cm="1">
        <f t="array" ref="R269">MMS_Swine_N2ODirect_Equations.VEERG_4_5_1_3__1_TotalAnnualDirectNitrousOxideEmissionsFromMMS(Q123, _xlfn.XLOOKUP($D269, $D$153:$D$159, $E$153:$E$159), $I$256)</f>
        <v>5.2768571428571439E-3</v>
      </c>
      <c r="S269" s="52" cm="1">
        <f t="array" ref="S269">MMS_Swine_N2ODirect_Equations.VEERG_4_5_1_3__1_TotalAnnualDirectNitrousOxideEmissionsFromMMS(R123, _xlfn.XLOOKUP($D269, $D$153:$D$159, $E$153:$E$159), $I$256)</f>
        <v>3.5790857142857157E-3</v>
      </c>
      <c r="T269" s="2"/>
    </row>
    <row r="270" spans="4:20" ht="20.100000000000001" customHeight="1" x14ac:dyDescent="0.25">
      <c r="D270" s="57" t="str">
        <f>'Input - Swine'!$D$29</f>
        <v>Anaerobic lagoon</v>
      </c>
      <c r="E270" s="57" t="str">
        <f>'Input - Swine'!$D$48</f>
        <v>Digester / covered lagoons</v>
      </c>
      <c r="F270" s="52" cm="1">
        <f t="array" ref="F270">MMS_Swine_N2ODirect_Equations.VEERG_4_5_1_3__1_TotalAnnualDirectNitrousOxideEmissionsFromMMS(F217, _xlfn.XLOOKUP($E270, $D$153:$D$159, $E$153:$E$159), $I$256)</f>
        <v>0</v>
      </c>
      <c r="G270" s="52" cm="1">
        <f t="array" ref="G270">MMS_Swine_N2ODirect_Equations.VEERG_4_5_1_3__1_TotalAnnualDirectNitrousOxideEmissionsFromMMS(G217, _xlfn.XLOOKUP($E270, $D$153:$D$159, $E$153:$E$159), $I$256)</f>
        <v>0</v>
      </c>
      <c r="H270" s="52" cm="1">
        <f t="array" ref="H270">MMS_Swine_N2ODirect_Equations.VEERG_4_5_1_3__1_TotalAnnualDirectNitrousOxideEmissionsFromMMS(H217, _xlfn.XLOOKUP($E270, $D$153:$D$159, $E$153:$E$159), $I$256)</f>
        <v>0</v>
      </c>
      <c r="I270" s="52" cm="1">
        <f t="array" ref="I270">MMS_Swine_N2ODirect_Equations.VEERG_4_5_1_3__1_TotalAnnualDirectNitrousOxideEmissionsFromMMS(I217, _xlfn.XLOOKUP($E270, $D$153:$D$159, $E$153:$E$159), $I$256)</f>
        <v>0</v>
      </c>
      <c r="J270" s="2"/>
      <c r="N270" s="57" t="str">
        <f>'Input - Swine'!$D$29</f>
        <v>Anaerobic lagoon</v>
      </c>
      <c r="O270" s="57" t="str">
        <f>'Input - Swine'!$D$48</f>
        <v>Digester / covered lagoons</v>
      </c>
      <c r="P270" s="52" cm="1">
        <f t="array" ref="P270">MMS_Swine_N2ODirect_Equations.VEERG_4_5_1_3__1_TotalAnnualDirectNitrousOxideEmissionsFromMMS(P217, _xlfn.XLOOKUP($E270, $D$153:$D$159, $E$153:$E$159), $I$256)</f>
        <v>0</v>
      </c>
      <c r="Q270" s="52" cm="1">
        <f t="array" ref="Q270">MMS_Swine_N2ODirect_Equations.VEERG_4_5_1_3__1_TotalAnnualDirectNitrousOxideEmissionsFromMMS(Q217, _xlfn.XLOOKUP($E270, $D$153:$D$159, $E$153:$E$159), $I$256)</f>
        <v>0</v>
      </c>
      <c r="R270" s="52" cm="1">
        <f t="array" ref="R270">MMS_Swine_N2ODirect_Equations.VEERG_4_5_1_3__1_TotalAnnualDirectNitrousOxideEmissionsFromMMS(R217, _xlfn.XLOOKUP($E270, $D$153:$D$159, $E$153:$E$159), $I$256)</f>
        <v>0</v>
      </c>
      <c r="S270" s="52" cm="1">
        <f t="array" ref="S270">MMS_Swine_N2ODirect_Equations.VEERG_4_5_1_3__1_TotalAnnualDirectNitrousOxideEmissionsFromMMS(S217, _xlfn.XLOOKUP($E270, $D$153:$D$159, $E$153:$E$159), $I$256)</f>
        <v>0</v>
      </c>
      <c r="T270" s="2"/>
    </row>
    <row r="271" spans="4:20" ht="20.100000000000001" customHeight="1" x14ac:dyDescent="0.25">
      <c r="D271" s="57"/>
      <c r="E271" s="57" t="str">
        <f>'Input - Swine'!$D$49</f>
        <v>Deep litter</v>
      </c>
      <c r="F271" s="52" cm="1">
        <f t="array" ref="F271">MMS_Swine_N2ODirect_Equations.VEERG_4_5_1_3__1_TotalAnnualDirectNitrousOxideEmissionsFromMMS(F218, _xlfn.XLOOKUP($E271, $D$153:$D$159, $E$153:$E$159), $I$256)</f>
        <v>2.8495028571428569E-4</v>
      </c>
      <c r="G271" s="52" cm="1">
        <f t="array" ref="G271">MMS_Swine_N2ODirect_Equations.VEERG_4_5_1_3__1_TotalAnnualDirectNitrousOxideEmissionsFromMMS(G218, _xlfn.XLOOKUP($E271, $D$153:$D$159, $E$153:$E$159), $I$256)</f>
        <v>3.7941750000000007E-4</v>
      </c>
      <c r="H271" s="52" cm="1">
        <f t="array" ref="H271">MMS_Swine_N2ODirect_Equations.VEERG_4_5_1_3__1_TotalAnnualDirectNitrousOxideEmissionsFromMMS(H218, _xlfn.XLOOKUP($E271, $D$153:$D$159, $E$153:$E$159), $I$256)</f>
        <v>3.5618785714285701E-4</v>
      </c>
      <c r="I271" s="52" cm="1">
        <f t="array" ref="I271">MMS_Swine_N2ODirect_Equations.VEERG_4_5_1_3__1_TotalAnnualDirectNitrousOxideEmissionsFromMMS(I218, _xlfn.XLOOKUP($E271, $D$153:$D$159, $E$153:$E$159), $I$256)</f>
        <v>2.4158828571428564E-4</v>
      </c>
      <c r="J271" s="2"/>
      <c r="N271" s="57"/>
      <c r="O271" s="57" t="str">
        <f>'Input - Swine'!$D$49</f>
        <v>Deep litter</v>
      </c>
      <c r="P271" s="52" cm="1">
        <f t="array" ref="P271">MMS_Swine_N2ODirect_Equations.VEERG_4_5_1_3__1_TotalAnnualDirectNitrousOxideEmissionsFromMMS(P218, _xlfn.XLOOKUP($E271, $D$153:$D$159, $E$153:$E$159), $I$256)</f>
        <v>2.8495028571428569E-4</v>
      </c>
      <c r="Q271" s="52" cm="1">
        <f t="array" ref="Q271">MMS_Swine_N2ODirect_Equations.VEERG_4_5_1_3__1_TotalAnnualDirectNitrousOxideEmissionsFromMMS(Q218, _xlfn.XLOOKUP($E271, $D$153:$D$159, $E$153:$E$159), $I$256)</f>
        <v>3.7941750000000007E-4</v>
      </c>
      <c r="R271" s="52" cm="1">
        <f t="array" ref="R271">MMS_Swine_N2ODirect_Equations.VEERG_4_5_1_3__1_TotalAnnualDirectNitrousOxideEmissionsFromMMS(R218, _xlfn.XLOOKUP($E271, $D$153:$D$159, $E$153:$E$159), $I$256)</f>
        <v>3.5618785714285701E-4</v>
      </c>
      <c r="S271" s="52" cm="1">
        <f t="array" ref="S271">MMS_Swine_N2ODirect_Equations.VEERG_4_5_1_3__1_TotalAnnualDirectNitrousOxideEmissionsFromMMS(S218, _xlfn.XLOOKUP($E271, $D$153:$D$159, $E$153:$E$159), $I$256)</f>
        <v>2.4158828571428564E-4</v>
      </c>
      <c r="T271" s="2"/>
    </row>
    <row r="272" spans="4:20" ht="20.100000000000001" customHeight="1" x14ac:dyDescent="0.25">
      <c r="D272" s="57"/>
      <c r="E272" s="57" t="str">
        <f>'Input - Swine'!$D$50</f>
        <v>Pit storage</v>
      </c>
      <c r="F272" s="52" cm="1">
        <f t="array" ref="F272">MMS_Swine_N2ODirect_Equations.VEERG_4_5_1_3__1_TotalAnnualDirectNitrousOxideEmissionsFromMMS(F219, _xlfn.XLOOKUP($E272, $D$153:$D$159, $E$153:$E$159), $I$256)</f>
        <v>5.6990057142857125E-5</v>
      </c>
      <c r="G272" s="52" cm="1">
        <f t="array" ref="G272">MMS_Swine_N2ODirect_Equations.VEERG_4_5_1_3__1_TotalAnnualDirectNitrousOxideEmissionsFromMMS(G219, _xlfn.XLOOKUP($E272, $D$153:$D$159, $E$153:$E$159), $I$256)</f>
        <v>7.5883500000000013E-5</v>
      </c>
      <c r="H272" s="52" cm="1">
        <f t="array" ref="H272">MMS_Swine_N2ODirect_Equations.VEERG_4_5_1_3__1_TotalAnnualDirectNitrousOxideEmissionsFromMMS(H219, _xlfn.XLOOKUP($E272, $D$153:$D$159, $E$153:$E$159), $I$256)</f>
        <v>7.1237571428571408E-5</v>
      </c>
      <c r="I272" s="52" cm="1">
        <f t="array" ref="I272">MMS_Swine_N2ODirect_Equations.VEERG_4_5_1_3__1_TotalAnnualDirectNitrousOxideEmissionsFromMMS(I219, _xlfn.XLOOKUP($E272, $D$153:$D$159, $E$153:$E$159), $I$256)</f>
        <v>4.831765714285713E-5</v>
      </c>
      <c r="J272" s="2"/>
      <c r="N272" s="57"/>
      <c r="O272" s="57" t="str">
        <f>'Input - Swine'!$D$50</f>
        <v>Pit storage</v>
      </c>
      <c r="P272" s="52" cm="1">
        <f t="array" ref="P272">MMS_Swine_N2ODirect_Equations.VEERG_4_5_1_3__1_TotalAnnualDirectNitrousOxideEmissionsFromMMS(P219, _xlfn.XLOOKUP($E272, $D$153:$D$159, $E$153:$E$159), $I$256)</f>
        <v>5.6990057142857125E-5</v>
      </c>
      <c r="Q272" s="52" cm="1">
        <f t="array" ref="Q272">MMS_Swine_N2ODirect_Equations.VEERG_4_5_1_3__1_TotalAnnualDirectNitrousOxideEmissionsFromMMS(Q219, _xlfn.XLOOKUP($E272, $D$153:$D$159, $E$153:$E$159), $I$256)</f>
        <v>7.5883500000000013E-5</v>
      </c>
      <c r="R272" s="52" cm="1">
        <f t="array" ref="R272">MMS_Swine_N2ODirect_Equations.VEERG_4_5_1_3__1_TotalAnnualDirectNitrousOxideEmissionsFromMMS(R219, _xlfn.XLOOKUP($E272, $D$153:$D$159, $E$153:$E$159), $I$256)</f>
        <v>7.1237571428571408E-5</v>
      </c>
      <c r="S272" s="52" cm="1">
        <f t="array" ref="S272">MMS_Swine_N2ODirect_Equations.VEERG_4_5_1_3__1_TotalAnnualDirectNitrousOxideEmissionsFromMMS(S219, _xlfn.XLOOKUP($E272, $D$153:$D$159, $E$153:$E$159), $I$256)</f>
        <v>4.831765714285713E-5</v>
      </c>
      <c r="T272" s="2"/>
    </row>
    <row r="273" spans="4:20" ht="20.100000000000001" customHeight="1" x14ac:dyDescent="0.25">
      <c r="D273" s="57"/>
      <c r="E273" s="57" t="str">
        <f>'Input - Swine'!$D$51</f>
        <v>Direct application</v>
      </c>
      <c r="F273" s="52" t="s">
        <v>172</v>
      </c>
      <c r="G273" s="52" t="s">
        <v>172</v>
      </c>
      <c r="H273" s="52" t="s">
        <v>172</v>
      </c>
      <c r="I273" s="52" t="s">
        <v>172</v>
      </c>
      <c r="J273" s="2"/>
      <c r="N273" s="57"/>
      <c r="O273" s="57" t="str">
        <f>'Input - Swine'!$D$51</f>
        <v>Direct application</v>
      </c>
      <c r="P273" s="52" t="s">
        <v>172</v>
      </c>
      <c r="Q273" s="52" t="s">
        <v>172</v>
      </c>
      <c r="R273" s="52" t="s">
        <v>172</v>
      </c>
      <c r="S273" s="52" t="s">
        <v>172</v>
      </c>
      <c r="T273" s="2"/>
    </row>
    <row r="274" spans="4:20" ht="20.100000000000001" customHeight="1" x14ac:dyDescent="0.25">
      <c r="D274" s="57" t="str">
        <f>'Input - Swine'!$D$30</f>
        <v>Drylot (feed pad)</v>
      </c>
      <c r="E274" s="57" t="str">
        <f>'Input - Swine'!$D$55</f>
        <v>Anaerobic lagoon</v>
      </c>
      <c r="F274" s="52" cm="1">
        <f t="array" ref="F274">MMS_Swine_N2ODirect_Equations.VEERG_4_5_1_3__1_TotalAnnualDirectNitrousOxideEmissionsFromMMS(F221, _xlfn.XLOOKUP($E274, $D$153:$D$159, $E$153:$E$159), $I$256)</f>
        <v>0</v>
      </c>
      <c r="G274" s="52" cm="1">
        <f t="array" ref="G274">MMS_Swine_N2ODirect_Equations.VEERG_4_5_1_3__1_TotalAnnualDirectNitrousOxideEmissionsFromMMS(G221, _xlfn.XLOOKUP($E274, $D$153:$D$159, $E$153:$E$159), $I$256)</f>
        <v>0</v>
      </c>
      <c r="H274" s="52" cm="1">
        <f t="array" ref="H274">MMS_Swine_N2ODirect_Equations.VEERG_4_5_1_3__1_TotalAnnualDirectNitrousOxideEmissionsFromMMS(H221, _xlfn.XLOOKUP($E274, $D$153:$D$159, $E$153:$E$159), $I$256)</f>
        <v>0</v>
      </c>
      <c r="I274" s="52" cm="1">
        <f t="array" ref="I274">MMS_Swine_N2ODirect_Equations.VEERG_4_5_1_3__1_TotalAnnualDirectNitrousOxideEmissionsFromMMS(I221, _xlfn.XLOOKUP($E274, $D$153:$D$159, $E$153:$E$159), $I$256)</f>
        <v>0</v>
      </c>
      <c r="J274" s="2"/>
      <c r="N274" s="57" t="str">
        <f>'Input - Swine'!$D$30</f>
        <v>Drylot (feed pad)</v>
      </c>
      <c r="O274" s="57" t="str">
        <f>'Input - Swine'!$D$55</f>
        <v>Anaerobic lagoon</v>
      </c>
      <c r="P274" s="52" cm="1">
        <f t="array" ref="P274">MMS_Swine_N2ODirect_Equations.VEERG_4_5_1_3__1_TotalAnnualDirectNitrousOxideEmissionsFromMMS(P221, _xlfn.XLOOKUP($E274, $D$153:$D$159, $E$153:$E$159), $I$256)</f>
        <v>0</v>
      </c>
      <c r="Q274" s="52" cm="1">
        <f t="array" ref="Q274">MMS_Swine_N2ODirect_Equations.VEERG_4_5_1_3__1_TotalAnnualDirectNitrousOxideEmissionsFromMMS(Q221, _xlfn.XLOOKUP($E274, $D$153:$D$159, $E$153:$E$159), $I$256)</f>
        <v>0</v>
      </c>
      <c r="R274" s="52" cm="1">
        <f t="array" ref="R274">MMS_Swine_N2ODirect_Equations.VEERG_4_5_1_3__1_TotalAnnualDirectNitrousOxideEmissionsFromMMS(R221, _xlfn.XLOOKUP($E274, $D$153:$D$159, $E$153:$E$159), $I$256)</f>
        <v>0</v>
      </c>
      <c r="S274" s="52" cm="1">
        <f t="array" ref="S274">MMS_Swine_N2ODirect_Equations.VEERG_4_5_1_3__1_TotalAnnualDirectNitrousOxideEmissionsFromMMS(S221, _xlfn.XLOOKUP($E274, $D$153:$D$159, $E$153:$E$159), $I$256)</f>
        <v>0</v>
      </c>
      <c r="T274" s="2"/>
    </row>
    <row r="275" spans="4:20" ht="20.100000000000001" customHeight="1" x14ac:dyDescent="0.25">
      <c r="D275" s="57"/>
      <c r="E275" s="57" t="str">
        <f>'Input - Swine'!$D$56</f>
        <v>Digester / covered lagoons</v>
      </c>
      <c r="F275" s="52" cm="1">
        <f t="array" ref="F275">MMS_Swine_N2ODirect_Equations.VEERG_4_5_1_3__1_TotalAnnualDirectNitrousOxideEmissionsFromMMS(F222, _xlfn.XLOOKUP($E275, $D$153:$D$159, $E$153:$E$159), $I$256)</f>
        <v>0</v>
      </c>
      <c r="G275" s="52" cm="1">
        <f t="array" ref="G275">MMS_Swine_N2ODirect_Equations.VEERG_4_5_1_3__1_TotalAnnualDirectNitrousOxideEmissionsFromMMS(G222, _xlfn.XLOOKUP($E275, $D$153:$D$159, $E$153:$E$159), $I$256)</f>
        <v>0</v>
      </c>
      <c r="H275" s="52" cm="1">
        <f t="array" ref="H275">MMS_Swine_N2ODirect_Equations.VEERG_4_5_1_3__1_TotalAnnualDirectNitrousOxideEmissionsFromMMS(H222, _xlfn.XLOOKUP($E275, $D$153:$D$159, $E$153:$E$159), $I$256)</f>
        <v>0</v>
      </c>
      <c r="I275" s="52" cm="1">
        <f t="array" ref="I275">MMS_Swine_N2ODirect_Equations.VEERG_4_5_1_3__1_TotalAnnualDirectNitrousOxideEmissionsFromMMS(I222, _xlfn.XLOOKUP($E275, $D$153:$D$159, $E$153:$E$159), $I$256)</f>
        <v>0</v>
      </c>
      <c r="J275" s="2"/>
      <c r="N275" s="57"/>
      <c r="O275" s="57" t="str">
        <f>'Input - Swine'!$D$56</f>
        <v>Digester / covered lagoons</v>
      </c>
      <c r="P275" s="52" cm="1">
        <f t="array" ref="P275">MMS_Swine_N2ODirect_Equations.VEERG_4_5_1_3__1_TotalAnnualDirectNitrousOxideEmissionsFromMMS(P222, _xlfn.XLOOKUP($E275, $D$153:$D$159, $E$153:$E$159), $I$256)</f>
        <v>0</v>
      </c>
      <c r="Q275" s="52" cm="1">
        <f t="array" ref="Q275">MMS_Swine_N2ODirect_Equations.VEERG_4_5_1_3__1_TotalAnnualDirectNitrousOxideEmissionsFromMMS(Q222, _xlfn.XLOOKUP($E275, $D$153:$D$159, $E$153:$E$159), $I$256)</f>
        <v>0</v>
      </c>
      <c r="R275" s="52" cm="1">
        <f t="array" ref="R275">MMS_Swine_N2ODirect_Equations.VEERG_4_5_1_3__1_TotalAnnualDirectNitrousOxideEmissionsFromMMS(R222, _xlfn.XLOOKUP($E275, $D$153:$D$159, $E$153:$E$159), $I$256)</f>
        <v>0</v>
      </c>
      <c r="S275" s="52" cm="1">
        <f t="array" ref="S275">MMS_Swine_N2ODirect_Equations.VEERG_4_5_1_3__1_TotalAnnualDirectNitrousOxideEmissionsFromMMS(S222, _xlfn.XLOOKUP($E275, $D$153:$D$159, $E$153:$E$159), $I$256)</f>
        <v>0</v>
      </c>
      <c r="T275" s="2"/>
    </row>
    <row r="276" spans="4:20" ht="20.100000000000001" customHeight="1" x14ac:dyDescent="0.25">
      <c r="D276" s="57"/>
      <c r="E276" s="57" t="str">
        <f>'Input - Swine'!$D$57</f>
        <v>Deep litter</v>
      </c>
      <c r="F276" s="52" cm="1">
        <f t="array" ref="F276">MMS_Swine_N2ODirect_Equations.VEERG_4_5_1_3__1_TotalAnnualDirectNitrousOxideEmissionsFromMMS(F223, _xlfn.XLOOKUP($E276, $D$153:$D$159, $E$153:$E$159), $I$256)</f>
        <v>4.3059154285714273E-4</v>
      </c>
      <c r="G276" s="52" cm="1">
        <f t="array" ref="G276">MMS_Swine_N2ODirect_Equations.VEERG_4_5_1_3__1_TotalAnnualDirectNitrousOxideEmissionsFromMMS(G223, _xlfn.XLOOKUP($E276, $D$153:$D$159, $E$153:$E$159), $I$256)</f>
        <v>5.7334200000000012E-4</v>
      </c>
      <c r="H276" s="52" cm="1">
        <f t="array" ref="H276">MMS_Swine_N2ODirect_Equations.VEERG_4_5_1_3__1_TotalAnnualDirectNitrousOxideEmissionsFromMMS(H223, _xlfn.XLOOKUP($E276, $D$153:$D$159, $E$153:$E$159), $I$256)</f>
        <v>5.3823942857142838E-4</v>
      </c>
      <c r="I276" s="52" cm="1">
        <f t="array" ref="I276">MMS_Swine_N2ODirect_Equations.VEERG_4_5_1_3__1_TotalAnnualDirectNitrousOxideEmissionsFromMMS(I223, _xlfn.XLOOKUP($E276, $D$153:$D$159, $E$153:$E$159), $I$256)</f>
        <v>3.6506674285714276E-4</v>
      </c>
      <c r="J276" s="2"/>
      <c r="N276" s="57"/>
      <c r="O276" s="57" t="str">
        <f>'Input - Swine'!$D$57</f>
        <v>Deep litter</v>
      </c>
      <c r="P276" s="52" cm="1">
        <f t="array" ref="P276">MMS_Swine_N2ODirect_Equations.VEERG_4_5_1_3__1_TotalAnnualDirectNitrousOxideEmissionsFromMMS(P223, _xlfn.XLOOKUP($E276, $D$153:$D$159, $E$153:$E$159), $I$256)</f>
        <v>4.3059154285714273E-4</v>
      </c>
      <c r="Q276" s="52" cm="1">
        <f t="array" ref="Q276">MMS_Swine_N2ODirect_Equations.VEERG_4_5_1_3__1_TotalAnnualDirectNitrousOxideEmissionsFromMMS(Q223, _xlfn.XLOOKUP($E276, $D$153:$D$159, $E$153:$E$159), $I$256)</f>
        <v>5.7334200000000012E-4</v>
      </c>
      <c r="R276" s="52" cm="1">
        <f t="array" ref="R276">MMS_Swine_N2ODirect_Equations.VEERG_4_5_1_3__1_TotalAnnualDirectNitrousOxideEmissionsFromMMS(R223, _xlfn.XLOOKUP($E276, $D$153:$D$159, $E$153:$E$159), $I$256)</f>
        <v>5.3823942857142838E-4</v>
      </c>
      <c r="S276" s="52" cm="1">
        <f t="array" ref="S276">MMS_Swine_N2ODirect_Equations.VEERG_4_5_1_3__1_TotalAnnualDirectNitrousOxideEmissionsFromMMS(S223, _xlfn.XLOOKUP($E276, $D$153:$D$159, $E$153:$E$159), $I$256)</f>
        <v>3.6506674285714276E-4</v>
      </c>
      <c r="T276" s="2"/>
    </row>
    <row r="277" spans="4:20" ht="20.100000000000001" customHeight="1" x14ac:dyDescent="0.25">
      <c r="D277" s="57"/>
      <c r="E277" s="57" t="str">
        <f>'Input - Swine'!$D$58</f>
        <v>Pit storage</v>
      </c>
      <c r="F277" s="52" cm="1">
        <f t="array" ref="F277">MMS_Swine_N2ODirect_Equations.VEERG_4_5_1_3__1_TotalAnnualDirectNitrousOxideEmissionsFromMMS(F224, _xlfn.XLOOKUP($E277, $D$153:$D$159, $E$153:$E$159), $I$256)</f>
        <v>8.6118308571428545E-5</v>
      </c>
      <c r="G277" s="52" cm="1">
        <f t="array" ref="G277">MMS_Swine_N2ODirect_Equations.VEERG_4_5_1_3__1_TotalAnnualDirectNitrousOxideEmissionsFromMMS(G224, _xlfn.XLOOKUP($E277, $D$153:$D$159, $E$153:$E$159), $I$256)</f>
        <v>1.1466840000000002E-4</v>
      </c>
      <c r="H277" s="52" cm="1">
        <f t="array" ref="H277">MMS_Swine_N2ODirect_Equations.VEERG_4_5_1_3__1_TotalAnnualDirectNitrousOxideEmissionsFromMMS(H224, _xlfn.XLOOKUP($E277, $D$153:$D$159, $E$153:$E$159), $I$256)</f>
        <v>1.0764788571428568E-4</v>
      </c>
      <c r="I277" s="52" cm="1">
        <f t="array" ref="I277">MMS_Swine_N2ODirect_Equations.VEERG_4_5_1_3__1_TotalAnnualDirectNitrousOxideEmissionsFromMMS(I224, _xlfn.XLOOKUP($E277, $D$153:$D$159, $E$153:$E$159), $I$256)</f>
        <v>7.3013348571428544E-5</v>
      </c>
      <c r="J277" s="2"/>
      <c r="N277" s="57"/>
      <c r="O277" s="57" t="str">
        <f>'Input - Swine'!$D$58</f>
        <v>Pit storage</v>
      </c>
      <c r="P277" s="52" cm="1">
        <f t="array" ref="P277">MMS_Swine_N2ODirect_Equations.VEERG_4_5_1_3__1_TotalAnnualDirectNitrousOxideEmissionsFromMMS(P224, _xlfn.XLOOKUP($E277, $D$153:$D$159, $E$153:$E$159), $I$256)</f>
        <v>8.6118308571428545E-5</v>
      </c>
      <c r="Q277" s="52" cm="1">
        <f t="array" ref="Q277">MMS_Swine_N2ODirect_Equations.VEERG_4_5_1_3__1_TotalAnnualDirectNitrousOxideEmissionsFromMMS(Q224, _xlfn.XLOOKUP($E277, $D$153:$D$159, $E$153:$E$159), $I$256)</f>
        <v>1.1466840000000002E-4</v>
      </c>
      <c r="R277" s="52" cm="1">
        <f t="array" ref="R277">MMS_Swine_N2ODirect_Equations.VEERG_4_5_1_3__1_TotalAnnualDirectNitrousOxideEmissionsFromMMS(R224, _xlfn.XLOOKUP($E277, $D$153:$D$159, $E$153:$E$159), $I$256)</f>
        <v>1.0764788571428568E-4</v>
      </c>
      <c r="S277" s="52" cm="1">
        <f t="array" ref="S277">MMS_Swine_N2ODirect_Equations.VEERG_4_5_1_3__1_TotalAnnualDirectNitrousOxideEmissionsFromMMS(S224, _xlfn.XLOOKUP($E277, $D$153:$D$159, $E$153:$E$159), $I$256)</f>
        <v>7.3013348571428544E-5</v>
      </c>
      <c r="T277" s="2"/>
    </row>
    <row r="278" spans="4:20" ht="20.100000000000001" customHeight="1" x14ac:dyDescent="0.25">
      <c r="D278" s="57"/>
      <c r="E278" s="57" t="str">
        <f>'Input - Swine'!$D$59</f>
        <v>Direct application</v>
      </c>
      <c r="F278" s="52" t="s">
        <v>172</v>
      </c>
      <c r="G278" s="52" t="s">
        <v>172</v>
      </c>
      <c r="H278" s="52" t="s">
        <v>172</v>
      </c>
      <c r="I278" s="52" t="s">
        <v>172</v>
      </c>
      <c r="J278" s="2"/>
      <c r="N278" s="57"/>
      <c r="O278" s="57" t="str">
        <f>'Input - Swine'!$D$59</f>
        <v>Direct application</v>
      </c>
      <c r="P278" s="52" t="s">
        <v>172</v>
      </c>
      <c r="Q278" s="52" t="s">
        <v>172</v>
      </c>
      <c r="R278" s="52" t="s">
        <v>172</v>
      </c>
      <c r="S278" s="52" t="s">
        <v>172</v>
      </c>
      <c r="T278" s="2"/>
    </row>
    <row r="279" spans="4:20" ht="20.100000000000001" customHeight="1" x14ac:dyDescent="0.25">
      <c r="D279" s="57" t="str">
        <f>'Input - Swine'!$D$31</f>
        <v>Digester / covered lagoons</v>
      </c>
      <c r="E279" s="57" t="str">
        <f>'Input - Swine'!$D$63</f>
        <v>Anaerobic lagoon</v>
      </c>
      <c r="F279" s="52" cm="1">
        <f t="array" ref="F279">MMS_Swine_N2ODirect_Equations.VEERG_4_5_1_3__1_TotalAnnualDirectNitrousOxideEmissionsFromMMS(F226, _xlfn.XLOOKUP($E279, $D$153:$D$159, $E$153:$E$159), $I$256)</f>
        <v>0</v>
      </c>
      <c r="G279" s="52" cm="1">
        <f t="array" ref="G279">MMS_Swine_N2ODirect_Equations.VEERG_4_5_1_3__1_TotalAnnualDirectNitrousOxideEmissionsFromMMS(G226, _xlfn.XLOOKUP($E279, $D$153:$D$159, $E$153:$E$159), $I$256)</f>
        <v>0</v>
      </c>
      <c r="H279" s="52" cm="1">
        <f t="array" ref="H279">MMS_Swine_N2ODirect_Equations.VEERG_4_5_1_3__1_TotalAnnualDirectNitrousOxideEmissionsFromMMS(H226, _xlfn.XLOOKUP($E279, $D$153:$D$159, $E$153:$E$159), $I$256)</f>
        <v>0</v>
      </c>
      <c r="I279" s="52" cm="1">
        <f t="array" ref="I279">MMS_Swine_N2ODirect_Equations.VEERG_4_5_1_3__1_TotalAnnualDirectNitrousOxideEmissionsFromMMS(I226, _xlfn.XLOOKUP($E279, $D$153:$D$159, $E$153:$E$159), $I$256)</f>
        <v>0</v>
      </c>
      <c r="J279" s="2"/>
      <c r="N279" s="57" t="str">
        <f>'Input - Swine'!$D$31</f>
        <v>Digester / covered lagoons</v>
      </c>
      <c r="O279" s="57" t="str">
        <f>'Input - Swine'!$D$63</f>
        <v>Anaerobic lagoon</v>
      </c>
      <c r="P279" s="52" cm="1">
        <f t="array" ref="P279">MMS_Swine_N2ODirect_Equations.VEERG_4_5_1_3__1_TotalAnnualDirectNitrousOxideEmissionsFromMMS(P226, _xlfn.XLOOKUP($E279, $D$153:$D$159, $E$153:$E$159), $I$256)</f>
        <v>0</v>
      </c>
      <c r="Q279" s="52" cm="1">
        <f t="array" ref="Q279">MMS_Swine_N2ODirect_Equations.VEERG_4_5_1_3__1_TotalAnnualDirectNitrousOxideEmissionsFromMMS(Q226, _xlfn.XLOOKUP($E279, $D$153:$D$159, $E$153:$E$159), $I$256)</f>
        <v>0</v>
      </c>
      <c r="R279" s="52" cm="1">
        <f t="array" ref="R279">MMS_Swine_N2ODirect_Equations.VEERG_4_5_1_3__1_TotalAnnualDirectNitrousOxideEmissionsFromMMS(R226, _xlfn.XLOOKUP($E279, $D$153:$D$159, $E$153:$E$159), $I$256)</f>
        <v>0</v>
      </c>
      <c r="S279" s="52" cm="1">
        <f t="array" ref="S279">MMS_Swine_N2ODirect_Equations.VEERG_4_5_1_3__1_TotalAnnualDirectNitrousOxideEmissionsFromMMS(S226, _xlfn.XLOOKUP($E279, $D$153:$D$159, $E$153:$E$159), $I$256)</f>
        <v>0</v>
      </c>
      <c r="T279" s="2"/>
    </row>
    <row r="280" spans="4:20" ht="20.100000000000001" customHeight="1" x14ac:dyDescent="0.25">
      <c r="D280" s="57"/>
      <c r="E280" s="57" t="str">
        <f>'Input - Swine'!$D$64</f>
        <v>Deep litter</v>
      </c>
      <c r="F280" s="52" cm="1">
        <f t="array" ref="F280">MMS_Swine_N2ODirect_Equations.VEERG_4_5_1_3__1_TotalAnnualDirectNitrousOxideEmissionsFromMMS(F227, _xlfn.XLOOKUP($E280, $D$153:$D$159, $E$153:$E$159), $I$256)</f>
        <v>6.3322285714285703E-4</v>
      </c>
      <c r="G280" s="52" cm="1">
        <f t="array" ref="G280">MMS_Swine_N2ODirect_Equations.VEERG_4_5_1_3__1_TotalAnnualDirectNitrousOxideEmissionsFromMMS(G227, _xlfn.XLOOKUP($E280, $D$153:$D$159, $E$153:$E$159), $I$256)</f>
        <v>8.4315000000000008E-4</v>
      </c>
      <c r="H280" s="52" cm="1">
        <f t="array" ref="H280">MMS_Swine_N2ODirect_Equations.VEERG_4_5_1_3__1_TotalAnnualDirectNitrousOxideEmissionsFromMMS(H227, _xlfn.XLOOKUP($E280, $D$153:$D$159, $E$153:$E$159), $I$256)</f>
        <v>7.9152857142857124E-4</v>
      </c>
      <c r="I280" s="52" cm="1">
        <f t="array" ref="I280">MMS_Swine_N2ODirect_Equations.VEERG_4_5_1_3__1_TotalAnnualDirectNitrousOxideEmissionsFromMMS(I227, _xlfn.XLOOKUP($E280, $D$153:$D$159, $E$153:$E$159), $I$256)</f>
        <v>5.3686285714285705E-4</v>
      </c>
      <c r="J280" s="2"/>
      <c r="N280" s="57"/>
      <c r="O280" s="57" t="str">
        <f>'Input - Swine'!$D$64</f>
        <v>Deep litter</v>
      </c>
      <c r="P280" s="52" cm="1">
        <f t="array" ref="P280">MMS_Swine_N2ODirect_Equations.VEERG_4_5_1_3__1_TotalAnnualDirectNitrousOxideEmissionsFromMMS(P227, _xlfn.XLOOKUP($E280, $D$153:$D$159, $E$153:$E$159), $I$256)</f>
        <v>6.3322285714285703E-4</v>
      </c>
      <c r="Q280" s="52" cm="1">
        <f t="array" ref="Q280">MMS_Swine_N2ODirect_Equations.VEERG_4_5_1_3__1_TotalAnnualDirectNitrousOxideEmissionsFromMMS(Q227, _xlfn.XLOOKUP($E280, $D$153:$D$159, $E$153:$E$159), $I$256)</f>
        <v>8.4315000000000008E-4</v>
      </c>
      <c r="R280" s="52" cm="1">
        <f t="array" ref="R280">MMS_Swine_N2ODirect_Equations.VEERG_4_5_1_3__1_TotalAnnualDirectNitrousOxideEmissionsFromMMS(R227, _xlfn.XLOOKUP($E280, $D$153:$D$159, $E$153:$E$159), $I$256)</f>
        <v>7.9152857142857124E-4</v>
      </c>
      <c r="S280" s="52" cm="1">
        <f t="array" ref="S280">MMS_Swine_N2ODirect_Equations.VEERG_4_5_1_3__1_TotalAnnualDirectNitrousOxideEmissionsFromMMS(S227, _xlfn.XLOOKUP($E280, $D$153:$D$159, $E$153:$E$159), $I$256)</f>
        <v>5.3686285714285705E-4</v>
      </c>
      <c r="T280" s="2"/>
    </row>
    <row r="281" spans="4:20" ht="20.100000000000001" customHeight="1" x14ac:dyDescent="0.25">
      <c r="D281" s="57"/>
      <c r="E281" s="57" t="str">
        <f>'Input - Swine'!$D$65</f>
        <v>Pit storage</v>
      </c>
      <c r="F281" s="52" cm="1">
        <f t="array" ref="F281">MMS_Swine_N2ODirect_Equations.VEERG_4_5_1_3__1_TotalAnnualDirectNitrousOxideEmissionsFromMMS(F228, _xlfn.XLOOKUP($E281, $D$153:$D$159, $E$153:$E$159), $I$256)</f>
        <v>1.266445714285714E-4</v>
      </c>
      <c r="G281" s="52" cm="1">
        <f t="array" ref="G281">MMS_Swine_N2ODirect_Equations.VEERG_4_5_1_3__1_TotalAnnualDirectNitrousOxideEmissionsFromMMS(G228, _xlfn.XLOOKUP($E281, $D$153:$D$159, $E$153:$E$159), $I$256)</f>
        <v>1.6863000000000004E-4</v>
      </c>
      <c r="H281" s="52" cm="1">
        <f t="array" ref="H281">MMS_Swine_N2ODirect_Equations.VEERG_4_5_1_3__1_TotalAnnualDirectNitrousOxideEmissionsFromMMS(H228, _xlfn.XLOOKUP($E281, $D$153:$D$159, $E$153:$E$159), $I$256)</f>
        <v>1.5830571428571426E-4</v>
      </c>
      <c r="I281" s="52" cm="1">
        <f t="array" ref="I281">MMS_Swine_N2ODirect_Equations.VEERG_4_5_1_3__1_TotalAnnualDirectNitrousOxideEmissionsFromMMS(I228, _xlfn.XLOOKUP($E281, $D$153:$D$159, $E$153:$E$159), $I$256)</f>
        <v>1.073725714285714E-4</v>
      </c>
      <c r="J281" s="2"/>
      <c r="N281" s="57"/>
      <c r="O281" s="57" t="str">
        <f>'Input - Swine'!$D$65</f>
        <v>Pit storage</v>
      </c>
      <c r="P281" s="52" cm="1">
        <f t="array" ref="P281">MMS_Swine_N2ODirect_Equations.VEERG_4_5_1_3__1_TotalAnnualDirectNitrousOxideEmissionsFromMMS(P228, _xlfn.XLOOKUP($E281, $D$153:$D$159, $E$153:$E$159), $I$256)</f>
        <v>1.266445714285714E-4</v>
      </c>
      <c r="Q281" s="52" cm="1">
        <f t="array" ref="Q281">MMS_Swine_N2ODirect_Equations.VEERG_4_5_1_3__1_TotalAnnualDirectNitrousOxideEmissionsFromMMS(Q228, _xlfn.XLOOKUP($E281, $D$153:$D$159, $E$153:$E$159), $I$256)</f>
        <v>1.6863000000000004E-4</v>
      </c>
      <c r="R281" s="52" cm="1">
        <f t="array" ref="R281">MMS_Swine_N2ODirect_Equations.VEERG_4_5_1_3__1_TotalAnnualDirectNitrousOxideEmissionsFromMMS(R228, _xlfn.XLOOKUP($E281, $D$153:$D$159, $E$153:$E$159), $I$256)</f>
        <v>1.5830571428571426E-4</v>
      </c>
      <c r="S281" s="52" cm="1">
        <f t="array" ref="S281">MMS_Swine_N2ODirect_Equations.VEERG_4_5_1_3__1_TotalAnnualDirectNitrousOxideEmissionsFromMMS(S228, _xlfn.XLOOKUP($E281, $D$153:$D$159, $E$153:$E$159), $I$256)</f>
        <v>1.073725714285714E-4</v>
      </c>
      <c r="T281" s="2"/>
    </row>
    <row r="282" spans="4:20" ht="20.100000000000001" customHeight="1" x14ac:dyDescent="0.25">
      <c r="D282" s="57"/>
      <c r="E282" s="57" t="str">
        <f>'Input - Swine'!$D$66</f>
        <v>Direct application</v>
      </c>
      <c r="F282" s="52" t="s">
        <v>172</v>
      </c>
      <c r="G282" s="52" t="s">
        <v>172</v>
      </c>
      <c r="H282" s="52" t="s">
        <v>172</v>
      </c>
      <c r="I282" s="52" t="s">
        <v>172</v>
      </c>
      <c r="J282" s="2"/>
      <c r="N282" s="57"/>
      <c r="O282" s="57" t="str">
        <f>'Input - Swine'!$D$66</f>
        <v>Direct application</v>
      </c>
      <c r="P282" s="52" t="s">
        <v>172</v>
      </c>
      <c r="Q282" s="52" t="s">
        <v>172</v>
      </c>
      <c r="R282" s="52" t="s">
        <v>172</v>
      </c>
      <c r="S282" s="52" t="s">
        <v>172</v>
      </c>
      <c r="T282" s="2"/>
    </row>
    <row r="283" spans="4:20" ht="20.100000000000001" customHeight="1" x14ac:dyDescent="0.25">
      <c r="D283" s="57" t="str">
        <f>'Input - Swine'!$D$32</f>
        <v>Deep litter</v>
      </c>
      <c r="E283" s="57" t="str">
        <f>'Input - Swine'!$D$70</f>
        <v>Anaerobic lagoon</v>
      </c>
      <c r="F283" s="52" cm="1">
        <f t="array" ref="F283">MMS_Swine_N2ODirect_Equations.VEERG_4_5_1_3__1_TotalAnnualDirectNitrousOxideEmissionsFromMMS(F230, _xlfn.XLOOKUP($E283, $D$153:$D$159, $E$153:$E$159), $I$256)</f>
        <v>0</v>
      </c>
      <c r="G283" s="52" cm="1">
        <f t="array" ref="G283">MMS_Swine_N2ODirect_Equations.VEERG_4_5_1_3__1_TotalAnnualDirectNitrousOxideEmissionsFromMMS(G230, _xlfn.XLOOKUP($E283, $D$153:$D$159, $E$153:$E$159), $I$256)</f>
        <v>0</v>
      </c>
      <c r="H283" s="52" cm="1">
        <f t="array" ref="H283">MMS_Swine_N2ODirect_Equations.VEERG_4_5_1_3__1_TotalAnnualDirectNitrousOxideEmissionsFromMMS(H230, _xlfn.XLOOKUP($E283, $D$153:$D$159, $E$153:$E$159), $I$256)</f>
        <v>0</v>
      </c>
      <c r="I283" s="52" cm="1">
        <f t="array" ref="I283">MMS_Swine_N2ODirect_Equations.VEERG_4_5_1_3__1_TotalAnnualDirectNitrousOxideEmissionsFromMMS(I230, _xlfn.XLOOKUP($E283, $D$153:$D$159, $E$153:$E$159), $I$256)</f>
        <v>0</v>
      </c>
      <c r="J283" s="2"/>
      <c r="N283" s="57" t="str">
        <f>'Input - Swine'!$D$32</f>
        <v>Deep litter</v>
      </c>
      <c r="O283" s="57" t="str">
        <f>'Input - Swine'!$D$70</f>
        <v>Anaerobic lagoon</v>
      </c>
      <c r="P283" s="52" cm="1">
        <f t="array" ref="P283">MMS_Swine_N2ODirect_Equations.VEERG_4_5_1_3__1_TotalAnnualDirectNitrousOxideEmissionsFromMMS(P230, _xlfn.XLOOKUP($E283, $D$153:$D$159, $E$153:$E$159), $I$256)</f>
        <v>0</v>
      </c>
      <c r="Q283" s="52" cm="1">
        <f t="array" ref="Q283">MMS_Swine_N2ODirect_Equations.VEERG_4_5_1_3__1_TotalAnnualDirectNitrousOxideEmissionsFromMMS(Q230, _xlfn.XLOOKUP($E283, $D$153:$D$159, $E$153:$E$159), $I$256)</f>
        <v>0</v>
      </c>
      <c r="R283" s="52" cm="1">
        <f t="array" ref="R283">MMS_Swine_N2ODirect_Equations.VEERG_4_5_1_3__1_TotalAnnualDirectNitrousOxideEmissionsFromMMS(R230, _xlfn.XLOOKUP($E283, $D$153:$D$159, $E$153:$E$159), $I$256)</f>
        <v>0</v>
      </c>
      <c r="S283" s="52" cm="1">
        <f t="array" ref="S283">MMS_Swine_N2ODirect_Equations.VEERG_4_5_1_3__1_TotalAnnualDirectNitrousOxideEmissionsFromMMS(S230, _xlfn.XLOOKUP($E283, $D$153:$D$159, $E$153:$E$159), $I$256)</f>
        <v>0</v>
      </c>
      <c r="T283" s="2"/>
    </row>
    <row r="284" spans="4:20" ht="20.100000000000001" customHeight="1" x14ac:dyDescent="0.25">
      <c r="D284" s="57"/>
      <c r="E284" s="57" t="str">
        <f>'Input - Swine'!$D$71</f>
        <v>Digester / covered lagoons</v>
      </c>
      <c r="F284" s="52" cm="1">
        <f t="array" ref="F284">MMS_Swine_N2ODirect_Equations.VEERG_4_5_1_3__1_TotalAnnualDirectNitrousOxideEmissionsFromMMS(F231, _xlfn.XLOOKUP($E284, $D$153:$D$159, $E$153:$E$159), $I$256)</f>
        <v>0</v>
      </c>
      <c r="G284" s="52" cm="1">
        <f t="array" ref="G284">MMS_Swine_N2ODirect_Equations.VEERG_4_5_1_3__1_TotalAnnualDirectNitrousOxideEmissionsFromMMS(G231, _xlfn.XLOOKUP($E284, $D$153:$D$159, $E$153:$E$159), $I$256)</f>
        <v>0</v>
      </c>
      <c r="H284" s="52" cm="1">
        <f t="array" ref="H284">MMS_Swine_N2ODirect_Equations.VEERG_4_5_1_3__1_TotalAnnualDirectNitrousOxideEmissionsFromMMS(H231, _xlfn.XLOOKUP($E284, $D$153:$D$159, $E$153:$E$159), $I$256)</f>
        <v>0</v>
      </c>
      <c r="I284" s="52" cm="1">
        <f t="array" ref="I284">MMS_Swine_N2ODirect_Equations.VEERG_4_5_1_3__1_TotalAnnualDirectNitrousOxideEmissionsFromMMS(I231, _xlfn.XLOOKUP($E284, $D$153:$D$159, $E$153:$E$159), $I$256)</f>
        <v>0</v>
      </c>
      <c r="J284" s="2"/>
      <c r="N284" s="57"/>
      <c r="O284" s="57" t="str">
        <f>'Input - Swine'!$D$71</f>
        <v>Digester / covered lagoons</v>
      </c>
      <c r="P284" s="52" cm="1">
        <f t="array" ref="P284">MMS_Swine_N2ODirect_Equations.VEERG_4_5_1_3__1_TotalAnnualDirectNitrousOxideEmissionsFromMMS(P231, _xlfn.XLOOKUP($E284, $D$153:$D$159, $E$153:$E$159), $I$256)</f>
        <v>0</v>
      </c>
      <c r="Q284" s="52" cm="1">
        <f t="array" ref="Q284">MMS_Swine_N2ODirect_Equations.VEERG_4_5_1_3__1_TotalAnnualDirectNitrousOxideEmissionsFromMMS(Q231, _xlfn.XLOOKUP($E284, $D$153:$D$159, $E$153:$E$159), $I$256)</f>
        <v>0</v>
      </c>
      <c r="R284" s="52" cm="1">
        <f t="array" ref="R284">MMS_Swine_N2ODirect_Equations.VEERG_4_5_1_3__1_TotalAnnualDirectNitrousOxideEmissionsFromMMS(R231, _xlfn.XLOOKUP($E284, $D$153:$D$159, $E$153:$E$159), $I$256)</f>
        <v>0</v>
      </c>
      <c r="S284" s="52" cm="1">
        <f t="array" ref="S284">MMS_Swine_N2ODirect_Equations.VEERG_4_5_1_3__1_TotalAnnualDirectNitrousOxideEmissionsFromMMS(S231, _xlfn.XLOOKUP($E284, $D$153:$D$159, $E$153:$E$159), $I$256)</f>
        <v>0</v>
      </c>
      <c r="T284" s="2"/>
    </row>
    <row r="285" spans="4:20" ht="20.100000000000001" customHeight="1" x14ac:dyDescent="0.25">
      <c r="D285" s="57"/>
      <c r="E285" s="57" t="str">
        <f>'Input - Swine'!$D$72</f>
        <v>Pit storage</v>
      </c>
      <c r="F285" s="52" cm="1">
        <f t="array" ref="F285">MMS_Swine_N2ODirect_Equations.VEERG_4_5_1_3__1_TotalAnnualDirectNitrousOxideEmissionsFromMMS(F232, _xlfn.XLOOKUP($E285, $D$153:$D$159, $E$153:$E$159), $I$256)</f>
        <v>1.0954755428571425E-4</v>
      </c>
      <c r="G285" s="52" cm="1">
        <f t="array" ref="G285">MMS_Swine_N2ODirect_Equations.VEERG_4_5_1_3__1_TotalAnnualDirectNitrousOxideEmissionsFromMMS(G232, _xlfn.XLOOKUP($E285, $D$153:$D$159, $E$153:$E$159), $I$256)</f>
        <v>1.4586495000000002E-4</v>
      </c>
      <c r="H285" s="52" cm="1">
        <f t="array" ref="H285">MMS_Swine_N2ODirect_Equations.VEERG_4_5_1_3__1_TotalAnnualDirectNitrousOxideEmissionsFromMMS(H232, _xlfn.XLOOKUP($E285, $D$153:$D$159, $E$153:$E$159), $I$256)</f>
        <v>1.3693444285714282E-4</v>
      </c>
      <c r="I285" s="52" cm="1">
        <f t="array" ref="I285">MMS_Swine_N2ODirect_Equations.VEERG_4_5_1_3__1_TotalAnnualDirectNitrousOxideEmissionsFromMMS(I232, _xlfn.XLOOKUP($E285, $D$153:$D$159, $E$153:$E$159), $I$256)</f>
        <v>9.2877274285714271E-5</v>
      </c>
      <c r="J285" s="2"/>
      <c r="N285" s="57"/>
      <c r="O285" s="57" t="str">
        <f>'Input - Swine'!$D$72</f>
        <v>Pit storage</v>
      </c>
      <c r="P285" s="52" cm="1">
        <f t="array" ref="P285">MMS_Swine_N2ODirect_Equations.VEERG_4_5_1_3__1_TotalAnnualDirectNitrousOxideEmissionsFromMMS(P232, _xlfn.XLOOKUP($E285, $D$153:$D$159, $E$153:$E$159), $I$256)</f>
        <v>1.0954755428571425E-4</v>
      </c>
      <c r="Q285" s="52" cm="1">
        <f t="array" ref="Q285">MMS_Swine_N2ODirect_Equations.VEERG_4_5_1_3__1_TotalAnnualDirectNitrousOxideEmissionsFromMMS(Q232, _xlfn.XLOOKUP($E285, $D$153:$D$159, $E$153:$E$159), $I$256)</f>
        <v>1.4586495000000002E-4</v>
      </c>
      <c r="R285" s="52" cm="1">
        <f t="array" ref="R285">MMS_Swine_N2ODirect_Equations.VEERG_4_5_1_3__1_TotalAnnualDirectNitrousOxideEmissionsFromMMS(R232, _xlfn.XLOOKUP($E285, $D$153:$D$159, $E$153:$E$159), $I$256)</f>
        <v>1.3693444285714282E-4</v>
      </c>
      <c r="S285" s="52" cm="1">
        <f t="array" ref="S285">MMS_Swine_N2ODirect_Equations.VEERG_4_5_1_3__1_TotalAnnualDirectNitrousOxideEmissionsFromMMS(S232, _xlfn.XLOOKUP($E285, $D$153:$D$159, $E$153:$E$159), $I$256)</f>
        <v>9.2877274285714271E-5</v>
      </c>
      <c r="T285" s="2"/>
    </row>
    <row r="286" spans="4:20" ht="20.100000000000001" customHeight="1" x14ac:dyDescent="0.25">
      <c r="D286" s="57"/>
      <c r="E286" s="57" t="str">
        <f>'Input - Swine'!$D$73</f>
        <v>Direct application</v>
      </c>
      <c r="F286" s="52" t="s">
        <v>172</v>
      </c>
      <c r="G286" s="52" t="s">
        <v>172</v>
      </c>
      <c r="H286" s="52" t="s">
        <v>172</v>
      </c>
      <c r="I286" s="52" t="s">
        <v>172</v>
      </c>
      <c r="J286" s="2"/>
      <c r="N286" s="57"/>
      <c r="O286" s="57" t="str">
        <f>'Input - Swine'!$D$73</f>
        <v>Direct application</v>
      </c>
      <c r="P286" s="52" t="s">
        <v>172</v>
      </c>
      <c r="Q286" s="52" t="s">
        <v>172</v>
      </c>
      <c r="R286" s="52" t="s">
        <v>172</v>
      </c>
      <c r="S286" s="52" t="s">
        <v>172</v>
      </c>
      <c r="T286" s="2"/>
    </row>
    <row r="287" spans="4:20" ht="20.100000000000001" customHeight="1" x14ac:dyDescent="0.25">
      <c r="D287" s="57" t="str">
        <f>'Input - Swine'!$D$33</f>
        <v>Pit storage</v>
      </c>
      <c r="E287" s="57" t="str">
        <f>'Input - Swine'!$D$77</f>
        <v>Anaerobic lagoon</v>
      </c>
      <c r="F287" s="52" cm="1">
        <f t="array" ref="F287">MMS_Swine_N2ODirect_Equations.VEERG_4_5_1_3__1_TotalAnnualDirectNitrousOxideEmissionsFromMMS(F234, _xlfn.XLOOKUP($E287, $D$153:$D$159, $E$153:$E$159), $I$256)</f>
        <v>0</v>
      </c>
      <c r="G287" s="52" cm="1">
        <f t="array" ref="G287">MMS_Swine_N2ODirect_Equations.VEERG_4_5_1_3__1_TotalAnnualDirectNitrousOxideEmissionsFromMMS(G234, _xlfn.XLOOKUP($E287, $D$153:$D$159, $E$153:$E$159), $I$256)</f>
        <v>0</v>
      </c>
      <c r="H287" s="52" cm="1">
        <f t="array" ref="H287">MMS_Swine_N2ODirect_Equations.VEERG_4_5_1_3__1_TotalAnnualDirectNitrousOxideEmissionsFromMMS(H234, _xlfn.XLOOKUP($E287, $D$153:$D$159, $E$153:$E$159), $I$256)</f>
        <v>0</v>
      </c>
      <c r="I287" s="52" cm="1">
        <f t="array" ref="I287">MMS_Swine_N2ODirect_Equations.VEERG_4_5_1_3__1_TotalAnnualDirectNitrousOxideEmissionsFromMMS(I234, _xlfn.XLOOKUP($E287, $D$153:$D$159, $E$153:$E$159), $I$256)</f>
        <v>0</v>
      </c>
      <c r="J287" s="2"/>
      <c r="N287" s="57" t="str">
        <f>'Input - Swine'!$D$33</f>
        <v>Pit storage</v>
      </c>
      <c r="O287" s="57" t="str">
        <f>'Input - Swine'!$D$77</f>
        <v>Anaerobic lagoon</v>
      </c>
      <c r="P287" s="52" cm="1">
        <f t="array" ref="P287">MMS_Swine_N2ODirect_Equations.VEERG_4_5_1_3__1_TotalAnnualDirectNitrousOxideEmissionsFromMMS(P234, _xlfn.XLOOKUP($E287, $D$153:$D$159, $E$153:$E$159), $I$256)</f>
        <v>0</v>
      </c>
      <c r="Q287" s="52" cm="1">
        <f t="array" ref="Q287">MMS_Swine_N2ODirect_Equations.VEERG_4_5_1_3__1_TotalAnnualDirectNitrousOxideEmissionsFromMMS(Q234, _xlfn.XLOOKUP($E287, $D$153:$D$159, $E$153:$E$159), $I$256)</f>
        <v>0</v>
      </c>
      <c r="R287" s="52" cm="1">
        <f t="array" ref="R287">MMS_Swine_N2ODirect_Equations.VEERG_4_5_1_3__1_TotalAnnualDirectNitrousOxideEmissionsFromMMS(R234, _xlfn.XLOOKUP($E287, $D$153:$D$159, $E$153:$E$159), $I$256)</f>
        <v>0</v>
      </c>
      <c r="S287" s="52" cm="1">
        <f t="array" ref="S287">MMS_Swine_N2ODirect_Equations.VEERG_4_5_1_3__1_TotalAnnualDirectNitrousOxideEmissionsFromMMS(S234, _xlfn.XLOOKUP($E287, $D$153:$D$159, $E$153:$E$159), $I$256)</f>
        <v>0</v>
      </c>
      <c r="T287" s="2"/>
    </row>
    <row r="288" spans="4:20" ht="20.100000000000001" customHeight="1" x14ac:dyDescent="0.25">
      <c r="D288" s="57"/>
      <c r="E288" s="57" t="str">
        <f>'Input - Swine'!$D$78</f>
        <v>Digester / covered lagoons</v>
      </c>
      <c r="F288" s="52" cm="1">
        <f t="array" ref="F288">MMS_Swine_N2ODirect_Equations.VEERG_4_5_1_3__1_TotalAnnualDirectNitrousOxideEmissionsFromMMS(F235, _xlfn.XLOOKUP($E288, $D$153:$D$159, $E$153:$E$159), $I$256)</f>
        <v>0</v>
      </c>
      <c r="G288" s="52" cm="1">
        <f t="array" ref="G288">MMS_Swine_N2ODirect_Equations.VEERG_4_5_1_3__1_TotalAnnualDirectNitrousOxideEmissionsFromMMS(G235, _xlfn.XLOOKUP($E288, $D$153:$D$159, $E$153:$E$159), $I$256)</f>
        <v>0</v>
      </c>
      <c r="H288" s="52" cm="1">
        <f t="array" ref="H288">MMS_Swine_N2ODirect_Equations.VEERG_4_5_1_3__1_TotalAnnualDirectNitrousOxideEmissionsFromMMS(H235, _xlfn.XLOOKUP($E288, $D$153:$D$159, $E$153:$E$159), $I$256)</f>
        <v>0</v>
      </c>
      <c r="I288" s="52" cm="1">
        <f t="array" ref="I288">MMS_Swine_N2ODirect_Equations.VEERG_4_5_1_3__1_TotalAnnualDirectNitrousOxideEmissionsFromMMS(I235, _xlfn.XLOOKUP($E288, $D$153:$D$159, $E$153:$E$159), $I$256)</f>
        <v>0</v>
      </c>
      <c r="J288" s="2"/>
      <c r="N288" s="57"/>
      <c r="O288" s="57" t="str">
        <f>'Input - Swine'!$D$78</f>
        <v>Digester / covered lagoons</v>
      </c>
      <c r="P288" s="52" cm="1">
        <f t="array" ref="P288">MMS_Swine_N2ODirect_Equations.VEERG_4_5_1_3__1_TotalAnnualDirectNitrousOxideEmissionsFromMMS(P235, _xlfn.XLOOKUP($E288, $D$153:$D$159, $E$153:$E$159), $I$256)</f>
        <v>0</v>
      </c>
      <c r="Q288" s="52" cm="1">
        <f t="array" ref="Q288">MMS_Swine_N2ODirect_Equations.VEERG_4_5_1_3__1_TotalAnnualDirectNitrousOxideEmissionsFromMMS(Q235, _xlfn.XLOOKUP($E288, $D$153:$D$159, $E$153:$E$159), $I$256)</f>
        <v>0</v>
      </c>
      <c r="R288" s="52" cm="1">
        <f t="array" ref="R288">MMS_Swine_N2ODirect_Equations.VEERG_4_5_1_3__1_TotalAnnualDirectNitrousOxideEmissionsFromMMS(R235, _xlfn.XLOOKUP($E288, $D$153:$D$159, $E$153:$E$159), $I$256)</f>
        <v>0</v>
      </c>
      <c r="S288" s="52" cm="1">
        <f t="array" ref="S288">MMS_Swine_N2ODirect_Equations.VEERG_4_5_1_3__1_TotalAnnualDirectNitrousOxideEmissionsFromMMS(S235, _xlfn.XLOOKUP($E288, $D$153:$D$159, $E$153:$E$159), $I$256)</f>
        <v>0</v>
      </c>
      <c r="T288" s="2"/>
    </row>
    <row r="289" spans="1:20" ht="20.100000000000001" customHeight="1" x14ac:dyDescent="0.25">
      <c r="D289" s="57"/>
      <c r="E289" s="57" t="str">
        <f>'Input - Swine'!$D$79</f>
        <v>Deep litter</v>
      </c>
      <c r="F289" s="52" cm="1">
        <f t="array" ref="F289">MMS_Swine_N2ODirect_Equations.VEERG_4_5_1_3__1_TotalAnnualDirectNitrousOxideEmissionsFromMMS(F236, _xlfn.XLOOKUP($E289, $D$153:$D$159, $E$153:$E$159), $I$256)</f>
        <v>4.7365069714285705E-4</v>
      </c>
      <c r="G289" s="52" cm="1">
        <f t="array" ref="G289">MMS_Swine_N2ODirect_Equations.VEERG_4_5_1_3__1_TotalAnnualDirectNitrousOxideEmissionsFromMMS(G236, _xlfn.XLOOKUP($E289, $D$153:$D$159, $E$153:$E$159), $I$256)</f>
        <v>6.306762E-4</v>
      </c>
      <c r="H289" s="52" cm="1">
        <f t="array" ref="H289">MMS_Swine_N2ODirect_Equations.VEERG_4_5_1_3__1_TotalAnnualDirectNitrousOxideEmissionsFromMMS(H236, _xlfn.XLOOKUP($E289, $D$153:$D$159, $E$153:$E$159), $I$256)</f>
        <v>5.9206337142857137E-4</v>
      </c>
      <c r="I289" s="52" cm="1">
        <f t="array" ref="I289">MMS_Swine_N2ODirect_Equations.VEERG_4_5_1_3__1_TotalAnnualDirectNitrousOxideEmissionsFromMMS(I236, _xlfn.XLOOKUP($E289, $D$153:$D$159, $E$153:$E$159), $I$256)</f>
        <v>4.0157341714285705E-4</v>
      </c>
      <c r="J289" s="2"/>
      <c r="N289" s="57"/>
      <c r="O289" s="57" t="str">
        <f>'Input - Swine'!$D$79</f>
        <v>Deep litter</v>
      </c>
      <c r="P289" s="52" cm="1">
        <f t="array" ref="P289">MMS_Swine_N2ODirect_Equations.VEERG_4_5_1_3__1_TotalAnnualDirectNitrousOxideEmissionsFromMMS(P236, _xlfn.XLOOKUP($E289, $D$153:$D$159, $E$153:$E$159), $I$256)</f>
        <v>4.7365069714285705E-4</v>
      </c>
      <c r="Q289" s="52" cm="1">
        <f t="array" ref="Q289">MMS_Swine_N2ODirect_Equations.VEERG_4_5_1_3__1_TotalAnnualDirectNitrousOxideEmissionsFromMMS(Q236, _xlfn.XLOOKUP($E289, $D$153:$D$159, $E$153:$E$159), $I$256)</f>
        <v>6.306762E-4</v>
      </c>
      <c r="R289" s="52" cm="1">
        <f t="array" ref="R289">MMS_Swine_N2ODirect_Equations.VEERG_4_5_1_3__1_TotalAnnualDirectNitrousOxideEmissionsFromMMS(R236, _xlfn.XLOOKUP($E289, $D$153:$D$159, $E$153:$E$159), $I$256)</f>
        <v>5.9206337142857137E-4</v>
      </c>
      <c r="S289" s="52" cm="1">
        <f t="array" ref="S289">MMS_Swine_N2ODirect_Equations.VEERG_4_5_1_3__1_TotalAnnualDirectNitrousOxideEmissionsFromMMS(S236, _xlfn.XLOOKUP($E289, $D$153:$D$159, $E$153:$E$159), $I$256)</f>
        <v>4.0157341714285705E-4</v>
      </c>
      <c r="T289" s="2"/>
    </row>
    <row r="290" spans="1:20" ht="20.100000000000001" customHeight="1" x14ac:dyDescent="0.25">
      <c r="D290" s="57"/>
      <c r="E290" s="57" t="str">
        <f>'Input - Swine'!$D$80</f>
        <v>Direct application</v>
      </c>
      <c r="F290" s="52" t="s">
        <v>172</v>
      </c>
      <c r="G290" s="52" t="s">
        <v>172</v>
      </c>
      <c r="H290" s="52" t="s">
        <v>172</v>
      </c>
      <c r="I290" s="52" t="s">
        <v>172</v>
      </c>
      <c r="J290" s="2"/>
      <c r="N290" s="57"/>
      <c r="O290" s="57" t="str">
        <f>'Input - Swine'!$D$80</f>
        <v>Direct application</v>
      </c>
      <c r="P290" s="52" t="s">
        <v>172</v>
      </c>
      <c r="Q290" s="52" t="s">
        <v>172</v>
      </c>
      <c r="R290" s="52" t="s">
        <v>172</v>
      </c>
      <c r="S290" s="52" t="s">
        <v>172</v>
      </c>
      <c r="T290" s="2"/>
    </row>
    <row r="291" spans="1:20" ht="20.100000000000001" customHeight="1" x14ac:dyDescent="0.25">
      <c r="D291" s="57" t="str">
        <f>'Input - Swine'!$D$34</f>
        <v>Solid storage</v>
      </c>
      <c r="E291" s="57" t="str">
        <f>'Input - Swine'!$D$84</f>
        <v>Anaerobic lagoon</v>
      </c>
      <c r="F291" s="52" cm="1">
        <f t="array" ref="F291">MMS_Swine_N2ODirect_Equations.VEERG_4_5_1_3__1_TotalAnnualDirectNitrousOxideEmissionsFromMMS(F238, _xlfn.XLOOKUP($E291, $D$153:$D$159, $E$153:$E$159), $I$256)</f>
        <v>0</v>
      </c>
      <c r="G291" s="52" cm="1">
        <f t="array" ref="G291">MMS_Swine_N2ODirect_Equations.VEERG_4_5_1_3__1_TotalAnnualDirectNitrousOxideEmissionsFromMMS(G238, _xlfn.XLOOKUP($E291, $D$153:$D$159, $E$153:$E$159), $I$256)</f>
        <v>0</v>
      </c>
      <c r="H291" s="52" cm="1">
        <f t="array" ref="H291">MMS_Swine_N2ODirect_Equations.VEERG_4_5_1_3__1_TotalAnnualDirectNitrousOxideEmissionsFromMMS(H238, _xlfn.XLOOKUP($E291, $D$153:$D$159, $E$153:$E$159), $I$256)</f>
        <v>0</v>
      </c>
      <c r="I291" s="52" cm="1">
        <f t="array" ref="I291">MMS_Swine_N2ODirect_Equations.VEERG_4_5_1_3__1_TotalAnnualDirectNitrousOxideEmissionsFromMMS(I238, _xlfn.XLOOKUP($E291, $D$153:$D$159, $E$153:$E$159), $I$256)</f>
        <v>0</v>
      </c>
      <c r="J291" s="2"/>
      <c r="N291" s="57" t="str">
        <f>'Input - Swine'!$D$34</f>
        <v>Solid storage</v>
      </c>
      <c r="O291" s="57" t="str">
        <f>'Input - Swine'!$D$84</f>
        <v>Anaerobic lagoon</v>
      </c>
      <c r="P291" s="52" cm="1">
        <f t="array" ref="P291">MMS_Swine_N2ODirect_Equations.VEERG_4_5_1_3__1_TotalAnnualDirectNitrousOxideEmissionsFromMMS(P238, _xlfn.XLOOKUP($E291, $D$153:$D$159, $E$153:$E$159), $I$256)</f>
        <v>0</v>
      </c>
      <c r="Q291" s="52" cm="1">
        <f t="array" ref="Q291">MMS_Swine_N2ODirect_Equations.VEERG_4_5_1_3__1_TotalAnnualDirectNitrousOxideEmissionsFromMMS(Q238, _xlfn.XLOOKUP($E291, $D$153:$D$159, $E$153:$E$159), $I$256)</f>
        <v>0</v>
      </c>
      <c r="R291" s="52" cm="1">
        <f t="array" ref="R291">MMS_Swine_N2ODirect_Equations.VEERG_4_5_1_3__1_TotalAnnualDirectNitrousOxideEmissionsFromMMS(R238, _xlfn.XLOOKUP($E291, $D$153:$D$159, $E$153:$E$159), $I$256)</f>
        <v>0</v>
      </c>
      <c r="S291" s="52" cm="1">
        <f t="array" ref="S291">MMS_Swine_N2ODirect_Equations.VEERG_4_5_1_3__1_TotalAnnualDirectNitrousOxideEmissionsFromMMS(S238, _xlfn.XLOOKUP($E291, $D$153:$D$159, $E$153:$E$159), $I$256)</f>
        <v>0</v>
      </c>
      <c r="T291" s="2"/>
    </row>
    <row r="292" spans="1:20" ht="20.100000000000001" customHeight="1" x14ac:dyDescent="0.25">
      <c r="D292" s="57"/>
      <c r="E292" s="57" t="str">
        <f>'Input - Swine'!$D$85</f>
        <v>Digester / covered lagoons</v>
      </c>
      <c r="F292" s="52" cm="1">
        <f t="array" ref="F292">MMS_Swine_N2ODirect_Equations.VEERG_4_5_1_3__1_TotalAnnualDirectNitrousOxideEmissionsFromMMS(F239, _xlfn.XLOOKUP($E292, $D$153:$D$159, $E$153:$E$159), $I$256)</f>
        <v>0</v>
      </c>
      <c r="G292" s="52" cm="1">
        <f t="array" ref="G292">MMS_Swine_N2ODirect_Equations.VEERG_4_5_1_3__1_TotalAnnualDirectNitrousOxideEmissionsFromMMS(G239, _xlfn.XLOOKUP($E292, $D$153:$D$159, $E$153:$E$159), $I$256)</f>
        <v>0</v>
      </c>
      <c r="H292" s="52" cm="1">
        <f t="array" ref="H292">MMS_Swine_N2ODirect_Equations.VEERG_4_5_1_3__1_TotalAnnualDirectNitrousOxideEmissionsFromMMS(H239, _xlfn.XLOOKUP($E292, $D$153:$D$159, $E$153:$E$159), $I$256)</f>
        <v>0</v>
      </c>
      <c r="I292" s="52" cm="1">
        <f t="array" ref="I292">MMS_Swine_N2ODirect_Equations.VEERG_4_5_1_3__1_TotalAnnualDirectNitrousOxideEmissionsFromMMS(I239, _xlfn.XLOOKUP($E292, $D$153:$D$159, $E$153:$E$159), $I$256)</f>
        <v>0</v>
      </c>
      <c r="J292" s="2"/>
      <c r="N292" s="57"/>
      <c r="O292" s="57" t="str">
        <f>'Input - Swine'!$D$85</f>
        <v>Digester / covered lagoons</v>
      </c>
      <c r="P292" s="52" cm="1">
        <f t="array" ref="P292">MMS_Swine_N2ODirect_Equations.VEERG_4_5_1_3__1_TotalAnnualDirectNitrousOxideEmissionsFromMMS(P239, _xlfn.XLOOKUP($E292, $D$153:$D$159, $E$153:$E$159), $I$256)</f>
        <v>0</v>
      </c>
      <c r="Q292" s="52" cm="1">
        <f t="array" ref="Q292">MMS_Swine_N2ODirect_Equations.VEERG_4_5_1_3__1_TotalAnnualDirectNitrousOxideEmissionsFromMMS(Q239, _xlfn.XLOOKUP($E292, $D$153:$D$159, $E$153:$E$159), $I$256)</f>
        <v>0</v>
      </c>
      <c r="R292" s="52" cm="1">
        <f t="array" ref="R292">MMS_Swine_N2ODirect_Equations.VEERG_4_5_1_3__1_TotalAnnualDirectNitrousOxideEmissionsFromMMS(R239, _xlfn.XLOOKUP($E292, $D$153:$D$159, $E$153:$E$159), $I$256)</f>
        <v>0</v>
      </c>
      <c r="S292" s="52" cm="1">
        <f t="array" ref="S292">MMS_Swine_N2ODirect_Equations.VEERG_4_5_1_3__1_TotalAnnualDirectNitrousOxideEmissionsFromMMS(S239, _xlfn.XLOOKUP($E292, $D$153:$D$159, $E$153:$E$159), $I$256)</f>
        <v>0</v>
      </c>
      <c r="T292" s="2"/>
    </row>
    <row r="293" spans="1:20" ht="20.100000000000001" customHeight="1" x14ac:dyDescent="0.25">
      <c r="D293" s="57"/>
      <c r="E293" s="57" t="str">
        <f>'Input - Swine'!$D$86</f>
        <v>Deep litter</v>
      </c>
      <c r="F293" s="52" cm="1">
        <f t="array" ref="F293">MMS_Swine_N2ODirect_Equations.VEERG_4_5_1_3__1_TotalAnnualDirectNitrousOxideEmissionsFromMMS(F240, _xlfn.XLOOKUP($E293, $D$153:$D$159, $E$153:$E$159), $I$256)</f>
        <v>1.6780405714285722E-3</v>
      </c>
      <c r="G293" s="52" cm="1">
        <f t="array" ref="G293">MMS_Swine_N2ODirect_Equations.VEERG_4_5_1_3__1_TotalAnnualDirectNitrousOxideEmissionsFromMMS(G240, _xlfn.XLOOKUP($E293, $D$153:$D$159, $E$153:$E$159), $I$256)</f>
        <v>1.787478000000001E-3</v>
      </c>
      <c r="H293" s="52" cm="1">
        <f t="array" ref="H293">MMS_Swine_N2ODirect_Equations.VEERG_4_5_1_3__1_TotalAnnualDirectNitrousOxideEmissionsFromMMS(H240, _xlfn.XLOOKUP($E293, $D$153:$D$159, $E$153:$E$159), $I$256)</f>
        <v>1.6780405714285722E-3</v>
      </c>
      <c r="I293" s="52" cm="1">
        <f t="array" ref="I293">MMS_Swine_N2ODirect_Equations.VEERG_4_5_1_3__1_TotalAnnualDirectNitrousOxideEmissionsFromMMS(I240, _xlfn.XLOOKUP($E293, $D$153:$D$159, $E$153:$E$159), $I$256)</f>
        <v>1.1381492571428578E-3</v>
      </c>
      <c r="J293" s="2"/>
      <c r="N293" s="57"/>
      <c r="O293" s="57" t="str">
        <f>'Input - Swine'!$D$86</f>
        <v>Deep litter</v>
      </c>
      <c r="P293" s="52" cm="1">
        <f t="array" ref="P293">MMS_Swine_N2ODirect_Equations.VEERG_4_5_1_3__1_TotalAnnualDirectNitrousOxideEmissionsFromMMS(P240, _xlfn.XLOOKUP($E293, $D$153:$D$159, $E$153:$E$159), $I$256)</f>
        <v>1.6780405714285722E-3</v>
      </c>
      <c r="Q293" s="52" cm="1">
        <f t="array" ref="Q293">MMS_Swine_N2ODirect_Equations.VEERG_4_5_1_3__1_TotalAnnualDirectNitrousOxideEmissionsFromMMS(Q240, _xlfn.XLOOKUP($E293, $D$153:$D$159, $E$153:$E$159), $I$256)</f>
        <v>1.787478000000001E-3</v>
      </c>
      <c r="R293" s="52" cm="1">
        <f t="array" ref="R293">MMS_Swine_N2ODirect_Equations.VEERG_4_5_1_3__1_TotalAnnualDirectNitrousOxideEmissionsFromMMS(R240, _xlfn.XLOOKUP($E293, $D$153:$D$159, $E$153:$E$159), $I$256)</f>
        <v>1.6780405714285722E-3</v>
      </c>
      <c r="S293" s="52" cm="1">
        <f t="array" ref="S293">MMS_Swine_N2ODirect_Equations.VEERG_4_5_1_3__1_TotalAnnualDirectNitrousOxideEmissionsFromMMS(S240, _xlfn.XLOOKUP($E293, $D$153:$D$159, $E$153:$E$159), $I$256)</f>
        <v>1.1381492571428578E-3</v>
      </c>
      <c r="T293" s="2"/>
    </row>
    <row r="294" spans="1:20" ht="20.100000000000001" customHeight="1" x14ac:dyDescent="0.25">
      <c r="D294" s="57"/>
      <c r="E294" s="57" t="str">
        <f>'Input - Swine'!$D$87</f>
        <v>Pit storage</v>
      </c>
      <c r="F294" s="52" cm="1">
        <f t="array" ref="F294">MMS_Swine_N2ODirect_Equations.VEERG_4_5_1_3__1_TotalAnnualDirectNitrousOxideEmissionsFromMMS(F241, _xlfn.XLOOKUP($E294, $D$153:$D$159, $E$153:$E$159), $I$256)</f>
        <v>1.6780405714285717E-4</v>
      </c>
      <c r="G294" s="52" cm="1">
        <f t="array" ref="G294">MMS_Swine_N2ODirect_Equations.VEERG_4_5_1_3__1_TotalAnnualDirectNitrousOxideEmissionsFromMMS(G241, _xlfn.XLOOKUP($E294, $D$153:$D$159, $E$153:$E$159), $I$256)</f>
        <v>1.7874780000000013E-4</v>
      </c>
      <c r="H294" s="52" cm="1">
        <f t="array" ref="H294">MMS_Swine_N2ODirect_Equations.VEERG_4_5_1_3__1_TotalAnnualDirectNitrousOxideEmissionsFromMMS(H241, _xlfn.XLOOKUP($E294, $D$153:$D$159, $E$153:$E$159), $I$256)</f>
        <v>1.6780405714285717E-4</v>
      </c>
      <c r="I294" s="52" cm="1">
        <f t="array" ref="I294">MMS_Swine_N2ODirect_Equations.VEERG_4_5_1_3__1_TotalAnnualDirectNitrousOxideEmissionsFromMMS(I241, _xlfn.XLOOKUP($E294, $D$153:$D$159, $E$153:$E$159), $I$256)</f>
        <v>1.1381492571428576E-4</v>
      </c>
      <c r="J294" s="2"/>
      <c r="N294" s="57"/>
      <c r="O294" s="57" t="str">
        <f>'Input - Swine'!$D$87</f>
        <v>Pit storage</v>
      </c>
      <c r="P294" s="52" cm="1">
        <f t="array" ref="P294">MMS_Swine_N2ODirect_Equations.VEERG_4_5_1_3__1_TotalAnnualDirectNitrousOxideEmissionsFromMMS(P241, _xlfn.XLOOKUP($E294, $D$153:$D$159, $E$153:$E$159), $I$256)</f>
        <v>1.6780405714285717E-4</v>
      </c>
      <c r="Q294" s="52" cm="1">
        <f t="array" ref="Q294">MMS_Swine_N2ODirect_Equations.VEERG_4_5_1_3__1_TotalAnnualDirectNitrousOxideEmissionsFromMMS(Q241, _xlfn.XLOOKUP($E294, $D$153:$D$159, $E$153:$E$159), $I$256)</f>
        <v>1.7874780000000013E-4</v>
      </c>
      <c r="R294" s="52" cm="1">
        <f t="array" ref="R294">MMS_Swine_N2ODirect_Equations.VEERG_4_5_1_3__1_TotalAnnualDirectNitrousOxideEmissionsFromMMS(R241, _xlfn.XLOOKUP($E294, $D$153:$D$159, $E$153:$E$159), $I$256)</f>
        <v>1.6780405714285717E-4</v>
      </c>
      <c r="S294" s="52" cm="1">
        <f t="array" ref="S294">MMS_Swine_N2ODirect_Equations.VEERG_4_5_1_3__1_TotalAnnualDirectNitrousOxideEmissionsFromMMS(S241, _xlfn.XLOOKUP($E294, $D$153:$D$159, $E$153:$E$159), $I$256)</f>
        <v>1.1381492571428576E-4</v>
      </c>
      <c r="T294" s="2"/>
    </row>
    <row r="295" spans="1:20" ht="20.100000000000001" customHeight="1" x14ac:dyDescent="0.25">
      <c r="D295" s="57"/>
      <c r="E295" s="57" t="str">
        <f>'Input - Swine'!$D$88</f>
        <v>Direct application</v>
      </c>
      <c r="F295" s="52" t="s">
        <v>172</v>
      </c>
      <c r="G295" s="52" t="s">
        <v>172</v>
      </c>
      <c r="H295" s="52" t="s">
        <v>172</v>
      </c>
      <c r="I295" s="52" t="s">
        <v>172</v>
      </c>
      <c r="J295" s="2"/>
      <c r="N295" s="57"/>
      <c r="O295" s="57" t="str">
        <f>'Input - Swine'!$D$88</f>
        <v>Direct application</v>
      </c>
      <c r="P295" s="52" t="s">
        <v>172</v>
      </c>
      <c r="Q295" s="52" t="s">
        <v>172</v>
      </c>
      <c r="R295" s="52" t="s">
        <v>172</v>
      </c>
      <c r="S295" s="52" t="s">
        <v>172</v>
      </c>
      <c r="T295" s="2"/>
    </row>
    <row r="296" spans="1:20" ht="20.100000000000001" customHeight="1" x14ac:dyDescent="0.25"/>
    <row r="297" spans="1:20" ht="20.100000000000001" customHeight="1" x14ac:dyDescent="0.25">
      <c r="D297" s="101" t="s">
        <v>103</v>
      </c>
      <c r="E297" s="102">
        <f>SUM(F264:I294)</f>
        <v>7.4343140661428567E-2</v>
      </c>
      <c r="F297" s="103" t="str">
        <f>$E$252</f>
        <v>t N2O</v>
      </c>
      <c r="N297" s="101" t="s">
        <v>103</v>
      </c>
      <c r="O297" s="102">
        <f>SUM(P264:S294)</f>
        <v>7.4343140661428567E-2</v>
      </c>
      <c r="P297" s="103" t="str">
        <f>$E$252</f>
        <v>t N2O</v>
      </c>
    </row>
    <row r="298" spans="1:20" ht="20.100000000000001" customHeight="1" x14ac:dyDescent="0.25"/>
    <row r="299" spans="1:20" ht="20.100000000000001" customHeight="1" x14ac:dyDescent="0.25">
      <c r="D299" s="57" t="str" cm="1">
        <f t="array" ref="D299:E300">Common_Equations.Common_ConvertN2OToCO2e_Arguments()</f>
        <v>EN2O</v>
      </c>
      <c r="E299" s="58" t="str">
        <v>Nitrous oxide emissions (t N2O)</v>
      </c>
      <c r="F299" s="104"/>
      <c r="G299" s="52">
        <f>E297</f>
        <v>7.4343140661428567E-2</v>
      </c>
      <c r="N299" s="57" t="str" cm="1">
        <f t="array" ref="N299:O300">Common_Equations.Common_ConvertN2OToCO2e_Arguments()</f>
        <v>EN2O</v>
      </c>
      <c r="O299" s="58" t="str">
        <v>Nitrous oxide emissions (t N2O)</v>
      </c>
      <c r="P299" s="104"/>
      <c r="Q299" s="52">
        <f>O297</f>
        <v>7.4343140661428567E-2</v>
      </c>
    </row>
    <row r="300" spans="1:20" ht="20.100000000000001" customHeight="1" x14ac:dyDescent="0.25">
      <c r="D300" s="57" t="str">
        <v>GWPN2O</v>
      </c>
      <c r="E300" s="58" t="str">
        <v>Global warming potential for nitrous oxide (t CO2-e / t N2O)</v>
      </c>
      <c r="F300" s="104"/>
      <c r="G300" s="52">
        <f>Common_InputFunctions.Utility_LookupValueInTableNumber("N2O",Table_GWPData[Gas],Table_GWPData[CO2-e factor])</f>
        <v>265</v>
      </c>
      <c r="N300" s="57" t="str">
        <v>GWPN2O</v>
      </c>
      <c r="O300" s="58" t="str">
        <v>Global warming potential for nitrous oxide (t CO2-e / t N2O)</v>
      </c>
      <c r="P300" s="104"/>
      <c r="Q300" s="52">
        <f>Common_InputFunctions.Utility_LookupValueInTableNumber("N2O",Table_GWPData[Gas],Table_GWPData[CO2-e factor])</f>
        <v>265</v>
      </c>
    </row>
    <row r="301" spans="1:20" ht="20.100000000000001" customHeight="1" x14ac:dyDescent="0.25"/>
    <row r="302" spans="1:20" ht="20.100000000000001" customHeight="1" x14ac:dyDescent="0.25">
      <c r="A302" s="150" t="str">
        <f>HYPERLINK("#A1", "▲ Back to top")</f>
        <v>▲ Back to top</v>
      </c>
      <c r="D302" s="45" t="s">
        <v>100</v>
      </c>
      <c r="E302" s="45" cm="1">
        <f t="array" ref="E302">Common_Equations.Common_ConvertN2OToCO2e(G299,G300)</f>
        <v>19.700932275278571</v>
      </c>
      <c r="F302" s="105" t="str" cm="1">
        <f t="array" ref="F302">Common_Equations.Common_ConvertN2OToCO2e_Unit()</f>
        <v>t CO2e</v>
      </c>
      <c r="N302" s="45" t="s">
        <v>100</v>
      </c>
      <c r="O302" s="45" cm="1">
        <f t="array" ref="O302">Common_Equations.Common_ConvertN2OToCO2e(Q299,Q300)</f>
        <v>19.700932275278571</v>
      </c>
      <c r="P302" s="105" t="str" cm="1">
        <f t="array" ref="P302">Common_Equations.Common_ConvertN2OToCO2e_Unit()</f>
        <v>t CO2e</v>
      </c>
    </row>
    <row r="303" spans="1:20" ht="20.100000000000001" customHeight="1" x14ac:dyDescent="0.25"/>
    <row r="304" spans="1:20" ht="20.100000000000001" customHeight="1" x14ac:dyDescent="0.25"/>
  </sheetData>
  <dataValidations disablePrompts="1"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F106" zoomScale="85" zoomScaleNormal="85" workbookViewId="0">
      <selection activeCell="I120" sqref="I12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291</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A6" s="16"/>
      <c r="D6" s="5" t="str" cm="1">
        <f t="array" ref="D6">MMS_Swine_AtmosphericDeposition_Equations.VEERG_4_5_1_5__2_TotalNitrogenVolatilisedFromMMS_Source()</f>
        <v>VEERG 2026: 4.5.1.1, Equation (2)</v>
      </c>
    </row>
    <row r="7" spans="1:21" ht="20.100000000000001" customHeight="1" x14ac:dyDescent="0.25">
      <c r="A7" s="20" t="s">
        <v>3</v>
      </c>
      <c r="D7" s="13" t="s">
        <v>26</v>
      </c>
      <c r="E7" s="13" t="str" cm="1">
        <f t="array" aca="1" ref="E7" ca="1">Common_InputFunctions.Utility_DisplayFunctionName(F73)</f>
        <v>=MMS_Swine_AtmosphericDeposition_Equations.VEERG_4_5_1_5__2_TotalNitrogenVolatilisedFromMMS</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MMS_Swine_AtmosphericDeposition_Equations.VEERG_4_5_1_5__2_TotalNitrogenVolatilisedFromMMS_Variable()</f>
        <v>MMS_ATMOS</v>
      </c>
    </row>
    <row r="11" spans="1:21" ht="20.100000000000001" customHeight="1" x14ac:dyDescent="0.25">
      <c r="A11" s="19" t="s">
        <v>76</v>
      </c>
      <c r="D11" s="53" t="s">
        <v>19</v>
      </c>
      <c r="E11" s="54" t="str" cm="1">
        <f t="array" ref="E11">MMS_Swine_AtmosphericDeposition_Equations.VEERG_4_5_1_5__2_TotalNitrogenVolatilisedFromMMS_Unit()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Common_InputFunctions.Utility_DisplayArguments_1_2(MMS_Swine_AtmosphericDeposition_Equations.VEERG_4_5_1_5__2_TotalNitrogenVolatilisedFromMMS_Arguments())</f>
        <v>MN_jmT</v>
      </c>
      <c r="E13" s="58" t="str">
        <v>nitrogen per swine class, MMS and treatment stage</v>
      </c>
      <c r="F13" s="59"/>
      <c r="G13" s="144" t="str" cm="1">
        <f t="array" ref="G13:H14">Common_InputFunctions.Utility_DisplayArguments_3_4(MMS_Swine_AtmosphericDeposition_Equations.VEERG_4_5_1_5__2_TotalNitrogenVolatilisedFromMMS_Arguments())</f>
        <v>kg N</v>
      </c>
      <c r="H13" s="139" t="str">
        <v>Calculated from 4.5.1.3 (2)(6)</v>
      </c>
      <c r="I13" s="143" t="str" cm="1">
        <f t="array" aca="1" ref="I13" ca="1">HYPERLINK(Common_InputFunctions.Utility_SourceHyperlink(D19), D19)</f>
        <v>M1_Table_MN_j_m_T-1</v>
      </c>
      <c r="J13" s="143" t="str" cm="1">
        <f t="array" aca="1" ref="J13" ca="1">HYPERLINK(Common_InputFunctions.Utility_SourceHyperlink(D29), D29)</f>
        <v>M1_Table_MN_j_m_T-2</v>
      </c>
    </row>
    <row r="14" spans="1:21" ht="20.100000000000001" customHeight="1" x14ac:dyDescent="0.25">
      <c r="A14" s="17" t="str">
        <f>HYPERLINK("#'4.5.1.5-6 Atmos Dep'!A1", "4.5.1.5-6 Soil atm. deposition")</f>
        <v>4.5.1.5-6 Soil atm. deposition</v>
      </c>
      <c r="D14" s="57" t="str">
        <v>FracGASMmT</v>
      </c>
      <c r="E14" s="58" t="str">
        <v>fraction of N volatilised in each MMS</v>
      </c>
      <c r="F14" s="59"/>
      <c r="G14" s="144" t="str">
        <v>(kg NH3-N + NOx-N)/kg N</v>
      </c>
      <c r="H14" s="139" t="str">
        <v>Constant</v>
      </c>
      <c r="I14" s="148" t="str" cm="1">
        <f t="array" aca="1" ref="I14" ca="1">HYPERLINK(Common_InputFunctions.Utility_SourceHyperlink(D59), D59)</f>
        <v>Table_FracGASM_m_t</v>
      </c>
      <c r="J14" s="147"/>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36" t="s">
        <v>349</v>
      </c>
      <c r="E16" s="91"/>
      <c r="F16" s="91"/>
      <c r="G16" s="87"/>
    </row>
    <row r="17" spans="1:20" ht="20.100000000000001" customHeight="1" x14ac:dyDescent="0.25">
      <c r="D17" s="93" t="s">
        <v>348</v>
      </c>
      <c r="E17" s="90"/>
      <c r="F17" s="90"/>
      <c r="G17" s="88"/>
    </row>
    <row r="18" spans="1:20" ht="20.100000000000001" customHeight="1" x14ac:dyDescent="0.25">
      <c r="A18" s="18" t="s">
        <v>4</v>
      </c>
    </row>
    <row r="19" spans="1:20" ht="20.100000000000001" customHeight="1" x14ac:dyDescent="0.25">
      <c r="A19" s="17" t="str">
        <f>HYPERLINK("#'Constants - Swine'!A1", "Constants - Swine")</f>
        <v>Constants - Swine</v>
      </c>
      <c r="D19" s="121" t="s">
        <v>247</v>
      </c>
      <c r="N19" s="121" t="s">
        <v>247</v>
      </c>
    </row>
    <row r="20" spans="1:20" ht="20.100000000000001" customHeight="1" x14ac:dyDescent="0.25">
      <c r="A20" s="17" t="str">
        <f>HYPERLINK("#'Constants - Livestock'!A1", "Constants - Livestock")</f>
        <v>Constants - Livestock</v>
      </c>
      <c r="D20" s="122" t="s">
        <v>248</v>
      </c>
      <c r="N20" s="122" t="s">
        <v>248</v>
      </c>
    </row>
    <row r="21" spans="1:20" ht="20.100000000000001" customHeight="1" x14ac:dyDescent="0.25">
      <c r="A21" s="17" t="str">
        <f>HYPERLINK("#'Constants - Common'!A1", "Constants - Common")</f>
        <v>Constants - Common</v>
      </c>
      <c r="D21" s="51" t="s">
        <v>163</v>
      </c>
      <c r="E21" s="51" t="s">
        <v>142</v>
      </c>
      <c r="F21" s="51" t="s">
        <v>143</v>
      </c>
      <c r="G21" s="51" t="s">
        <v>144</v>
      </c>
      <c r="H21" s="51" t="s">
        <v>206</v>
      </c>
      <c r="N21" s="51" t="s">
        <v>163</v>
      </c>
      <c r="O21" s="51" t="s">
        <v>142</v>
      </c>
      <c r="P21" s="51" t="s">
        <v>143</v>
      </c>
      <c r="Q21" s="51" t="s">
        <v>144</v>
      </c>
      <c r="R21" s="51" t="s">
        <v>206</v>
      </c>
    </row>
    <row r="22" spans="1:20" ht="20.100000000000001" customHeight="1" x14ac:dyDescent="0.25">
      <c r="A22" s="17" t="str">
        <f>HYPERLINK("#'Acknowledgements'!A1", "Acknowledgements")</f>
        <v>Acknowledgements</v>
      </c>
      <c r="D22" s="57" t="str">
        <f>'Input - Swine'!$D$29</f>
        <v>Anaerobic lagoon</v>
      </c>
      <c r="E22" s="52">
        <f>'4.5.1.3-4 Direct N2O'!E118</f>
        <v>201.47999999999996</v>
      </c>
      <c r="F22" s="52">
        <f>'4.5.1.3-4 Direct N2O'!F118</f>
        <v>214.62000000000003</v>
      </c>
      <c r="G22" s="52">
        <f>'4.5.1.3-4 Direct N2O'!G118</f>
        <v>201.47999999999996</v>
      </c>
      <c r="H22" s="52">
        <f>'4.5.1.3-4 Direct N2O'!H118</f>
        <v>136.65599999999998</v>
      </c>
      <c r="I22" s="2" t="str">
        <f>$G$13</f>
        <v>kg N</v>
      </c>
      <c r="N22" s="57" t="str">
        <f>'Input - Swine'!$D$29</f>
        <v>Anaerobic lagoon</v>
      </c>
      <c r="O22" s="52">
        <f>'4.5.1.3-4 Direct N2O'!O118</f>
        <v>201.47999999999996</v>
      </c>
      <c r="P22" s="52">
        <f>'4.5.1.3-4 Direct N2O'!P118</f>
        <v>214.62000000000003</v>
      </c>
      <c r="Q22" s="52">
        <f>'4.5.1.3-4 Direct N2O'!Q118</f>
        <v>201.47999999999996</v>
      </c>
      <c r="R22" s="52">
        <f>'4.5.1.3-4 Direct N2O'!R118</f>
        <v>136.65599999999998</v>
      </c>
      <c r="S22" s="2" t="str">
        <f>$G$13</f>
        <v>kg N</v>
      </c>
    </row>
    <row r="23" spans="1:20" ht="20.100000000000001" customHeight="1" x14ac:dyDescent="0.25">
      <c r="D23" s="57" t="str">
        <f>'Input - Swine'!$D$30</f>
        <v>Drylot (feed pad)</v>
      </c>
      <c r="E23" s="52">
        <f>'4.5.1.3-4 Direct N2O'!E119</f>
        <v>201.47999999999996</v>
      </c>
      <c r="F23" s="52">
        <f>'4.5.1.3-4 Direct N2O'!F119</f>
        <v>214.62000000000003</v>
      </c>
      <c r="G23" s="52">
        <f>'4.5.1.3-4 Direct N2O'!G119</f>
        <v>201.47999999999996</v>
      </c>
      <c r="H23" s="52">
        <f>'4.5.1.3-4 Direct N2O'!H119</f>
        <v>136.65599999999998</v>
      </c>
      <c r="I23" s="2"/>
      <c r="N23" s="57" t="str">
        <f>'Input - Swine'!$D$30</f>
        <v>Drylot (feed pad)</v>
      </c>
      <c r="O23" s="52">
        <f>'4.5.1.3-4 Direct N2O'!O119</f>
        <v>201.47999999999996</v>
      </c>
      <c r="P23" s="52">
        <f>'4.5.1.3-4 Direct N2O'!P119</f>
        <v>214.62000000000003</v>
      </c>
      <c r="Q23" s="52">
        <f>'4.5.1.3-4 Direct N2O'!Q119</f>
        <v>201.47999999999996</v>
      </c>
      <c r="R23" s="52">
        <f>'4.5.1.3-4 Direct N2O'!R119</f>
        <v>136.65599999999998</v>
      </c>
      <c r="S23" s="2"/>
    </row>
    <row r="24" spans="1:20" ht="20.100000000000001" customHeight="1" x14ac:dyDescent="0.25">
      <c r="A24" s="17"/>
      <c r="D24" s="57" t="str">
        <f>'Input - Swine'!$D$31</f>
        <v>Digester / covered lagoons</v>
      </c>
      <c r="E24" s="52">
        <f>'4.5.1.3-4 Direct N2O'!E120</f>
        <v>201.47999999999996</v>
      </c>
      <c r="F24" s="52">
        <f>'4.5.1.3-4 Direct N2O'!F120</f>
        <v>214.62000000000003</v>
      </c>
      <c r="G24" s="52">
        <f>'4.5.1.3-4 Direct N2O'!G120</f>
        <v>201.47999999999996</v>
      </c>
      <c r="H24" s="52">
        <f>'4.5.1.3-4 Direct N2O'!H120</f>
        <v>136.65599999999998</v>
      </c>
      <c r="I24" s="2"/>
      <c r="N24" s="57" t="str">
        <f>'Input - Swine'!$D$31</f>
        <v>Digester / covered lagoons</v>
      </c>
      <c r="O24" s="52">
        <f>'4.5.1.3-4 Direct N2O'!O120</f>
        <v>201.47999999999996</v>
      </c>
      <c r="P24" s="52">
        <f>'4.5.1.3-4 Direct N2O'!P120</f>
        <v>214.62000000000003</v>
      </c>
      <c r="Q24" s="52">
        <f>'4.5.1.3-4 Direct N2O'!Q120</f>
        <v>201.47999999999996</v>
      </c>
      <c r="R24" s="52">
        <f>'4.5.1.3-4 Direct N2O'!R120</f>
        <v>136.65599999999998</v>
      </c>
      <c r="S24" s="2"/>
    </row>
    <row r="25" spans="1:20" ht="20.100000000000001" customHeight="1" x14ac:dyDescent="0.25">
      <c r="D25" s="57" t="str">
        <f>'Input - Swine'!$D$32</f>
        <v>Deep litter</v>
      </c>
      <c r="E25" s="52">
        <f>'4.5.1.3-4 Direct N2O'!E121</f>
        <v>201.47999999999996</v>
      </c>
      <c r="F25" s="52">
        <f>'4.5.1.3-4 Direct N2O'!F121</f>
        <v>214.62000000000003</v>
      </c>
      <c r="G25" s="52">
        <f>'4.5.1.3-4 Direct N2O'!G121</f>
        <v>201.47999999999996</v>
      </c>
      <c r="H25" s="52">
        <f>'4.5.1.3-4 Direct N2O'!H121</f>
        <v>136.65599999999998</v>
      </c>
      <c r="I25" s="2"/>
      <c r="N25" s="57" t="str">
        <f>'Input - Swine'!$D$32</f>
        <v>Deep litter</v>
      </c>
      <c r="O25" s="52">
        <f>'4.5.1.3-4 Direct N2O'!O121</f>
        <v>201.47999999999996</v>
      </c>
      <c r="P25" s="52">
        <f>'4.5.1.3-4 Direct N2O'!P121</f>
        <v>214.62000000000003</v>
      </c>
      <c r="Q25" s="52">
        <f>'4.5.1.3-4 Direct N2O'!Q121</f>
        <v>201.47999999999996</v>
      </c>
      <c r="R25" s="52">
        <f>'4.5.1.3-4 Direct N2O'!R121</f>
        <v>136.65599999999998</v>
      </c>
      <c r="S25" s="2"/>
    </row>
    <row r="26" spans="1:20" ht="20.100000000000001" customHeight="1" x14ac:dyDescent="0.25">
      <c r="D26" s="57" t="str">
        <f>'Input - Swine'!$D$33</f>
        <v>Pit storage</v>
      </c>
      <c r="E26" s="52">
        <f>'4.5.1.3-4 Direct N2O'!E122</f>
        <v>201.47999999999996</v>
      </c>
      <c r="F26" s="52">
        <f>'4.5.1.3-4 Direct N2O'!F122</f>
        <v>214.62000000000003</v>
      </c>
      <c r="G26" s="52">
        <f>'4.5.1.3-4 Direct N2O'!G122</f>
        <v>201.47999999999996</v>
      </c>
      <c r="H26" s="52">
        <f>'4.5.1.3-4 Direct N2O'!H122</f>
        <v>136.65599999999998</v>
      </c>
      <c r="I26" s="2"/>
      <c r="N26" s="57" t="str">
        <f>'Input - Swine'!$D$33</f>
        <v>Pit storage</v>
      </c>
      <c r="O26" s="52">
        <f>'4.5.1.3-4 Direct N2O'!O122</f>
        <v>201.47999999999996</v>
      </c>
      <c r="P26" s="52">
        <f>'4.5.1.3-4 Direct N2O'!P122</f>
        <v>214.62000000000003</v>
      </c>
      <c r="Q26" s="52">
        <f>'4.5.1.3-4 Direct N2O'!Q122</f>
        <v>201.47999999999996</v>
      </c>
      <c r="R26" s="52">
        <f>'4.5.1.3-4 Direct N2O'!R122</f>
        <v>136.65599999999998</v>
      </c>
      <c r="S26" s="2"/>
    </row>
    <row r="27" spans="1:20" ht="20.100000000000001" customHeight="1" x14ac:dyDescent="0.25">
      <c r="D27" s="57" t="str">
        <f>'Input - Swine'!$D$34</f>
        <v>Solid storage</v>
      </c>
      <c r="E27" s="52">
        <f>'4.5.1.3-4 Direct N2O'!E123</f>
        <v>671.60000000000014</v>
      </c>
      <c r="F27" s="52">
        <f>'4.5.1.3-4 Direct N2O'!F123</f>
        <v>715.40000000000032</v>
      </c>
      <c r="G27" s="52">
        <f>'4.5.1.3-4 Direct N2O'!G123</f>
        <v>671.60000000000014</v>
      </c>
      <c r="H27" s="52">
        <f>'4.5.1.3-4 Direct N2O'!H123</f>
        <v>455.52000000000015</v>
      </c>
      <c r="I27" s="2"/>
      <c r="N27" s="57" t="str">
        <f>'Input - Swine'!$D$34</f>
        <v>Solid storage</v>
      </c>
      <c r="O27" s="52">
        <f>'4.5.1.3-4 Direct N2O'!O123</f>
        <v>671.60000000000014</v>
      </c>
      <c r="P27" s="52">
        <f>'4.5.1.3-4 Direct N2O'!P123</f>
        <v>715.40000000000032</v>
      </c>
      <c r="Q27" s="52">
        <f>'4.5.1.3-4 Direct N2O'!Q123</f>
        <v>671.60000000000014</v>
      </c>
      <c r="R27" s="52">
        <f>'4.5.1.3-4 Direct N2O'!R123</f>
        <v>455.52000000000015</v>
      </c>
      <c r="S27" s="2"/>
    </row>
    <row r="28" spans="1:20" ht="20.100000000000001" customHeight="1" x14ac:dyDescent="0.25"/>
    <row r="29" spans="1:20" ht="20.100000000000001" customHeight="1" x14ac:dyDescent="0.25">
      <c r="D29" s="121" t="s">
        <v>258</v>
      </c>
      <c r="N29" s="121" t="s">
        <v>258</v>
      </c>
    </row>
    <row r="30" spans="1:20" ht="20.100000000000001" customHeight="1" x14ac:dyDescent="0.25">
      <c r="D30" s="122" t="s">
        <v>259</v>
      </c>
      <c r="N30" s="122" t="s">
        <v>259</v>
      </c>
    </row>
    <row r="31" spans="1:20" ht="20.100000000000001" customHeight="1" x14ac:dyDescent="0.25">
      <c r="D31" s="51" t="s">
        <v>163</v>
      </c>
      <c r="E31" s="51" t="s">
        <v>171</v>
      </c>
      <c r="F31" s="51" t="s">
        <v>142</v>
      </c>
      <c r="G31" s="51" t="s">
        <v>143</v>
      </c>
      <c r="H31" s="51" t="s">
        <v>144</v>
      </c>
      <c r="I31" s="51" t="s">
        <v>206</v>
      </c>
      <c r="N31" s="51" t="s">
        <v>163</v>
      </c>
      <c r="O31" s="51" t="s">
        <v>171</v>
      </c>
      <c r="P31" s="51" t="s">
        <v>142</v>
      </c>
      <c r="Q31" s="51" t="s">
        <v>143</v>
      </c>
      <c r="R31" s="51" t="s">
        <v>144</v>
      </c>
      <c r="S31" s="51" t="s">
        <v>206</v>
      </c>
    </row>
    <row r="32" spans="1:20" ht="20.100000000000001" customHeight="1" x14ac:dyDescent="0.25">
      <c r="D32" s="57" t="str">
        <f>'Input - Swine'!$D$29</f>
        <v>Anaerobic lagoon</v>
      </c>
      <c r="E32" s="57" t="str">
        <f>'Input - Swine'!$D$48</f>
        <v>Digester / covered lagoons</v>
      </c>
      <c r="F32" s="52">
        <f>'4.5.1.3-4 Direct N2O'!F217</f>
        <v>18.133199999999995</v>
      </c>
      <c r="G32" s="52">
        <f>'4.5.1.3-4 Direct N2O'!G217</f>
        <v>24.144750000000002</v>
      </c>
      <c r="H32" s="52">
        <f>'4.5.1.3-4 Direct N2O'!H217</f>
        <v>22.666499999999992</v>
      </c>
      <c r="I32" s="52">
        <f>'4.5.1.3-4 Direct N2O'!I217</f>
        <v>15.373799999999996</v>
      </c>
      <c r="J32" s="2" t="str">
        <f>$G$13</f>
        <v>kg N</v>
      </c>
      <c r="N32" s="57" t="str">
        <f>'Input - Swine'!$D$29</f>
        <v>Anaerobic lagoon</v>
      </c>
      <c r="O32" s="57" t="str">
        <f>'Input - Swine'!$D$48</f>
        <v>Digester / covered lagoons</v>
      </c>
      <c r="P32" s="52">
        <f>'4.5.1.3-4 Direct N2O'!P217</f>
        <v>18.133199999999995</v>
      </c>
      <c r="Q32" s="52">
        <f>'4.5.1.3-4 Direct N2O'!Q217</f>
        <v>24.144750000000002</v>
      </c>
      <c r="R32" s="52">
        <f>'4.5.1.3-4 Direct N2O'!R217</f>
        <v>22.666499999999992</v>
      </c>
      <c r="S32" s="52">
        <f>'4.5.1.3-4 Direct N2O'!S217</f>
        <v>15.373799999999996</v>
      </c>
      <c r="T32" s="2" t="str">
        <f>$G$13</f>
        <v>kg N</v>
      </c>
    </row>
    <row r="33" spans="4:20" ht="20.100000000000001" customHeight="1" x14ac:dyDescent="0.25">
      <c r="D33" s="57"/>
      <c r="E33" s="57" t="str">
        <f>'Input - Swine'!$D$49</f>
        <v>Deep litter</v>
      </c>
      <c r="F33" s="52">
        <f>'4.5.1.3-4 Direct N2O'!F218</f>
        <v>18.133199999999995</v>
      </c>
      <c r="G33" s="52">
        <f>'4.5.1.3-4 Direct N2O'!G218</f>
        <v>24.144750000000002</v>
      </c>
      <c r="H33" s="52">
        <f>'4.5.1.3-4 Direct N2O'!H218</f>
        <v>22.666499999999992</v>
      </c>
      <c r="I33" s="52">
        <f>'4.5.1.3-4 Direct N2O'!I218</f>
        <v>15.373799999999996</v>
      </c>
      <c r="J33" s="2"/>
      <c r="N33" s="57"/>
      <c r="O33" s="57" t="str">
        <f>'Input - Swine'!$D$49</f>
        <v>Deep litter</v>
      </c>
      <c r="P33" s="52">
        <f>'4.5.1.3-4 Direct N2O'!P218</f>
        <v>18.133199999999995</v>
      </c>
      <c r="Q33" s="52">
        <f>'4.5.1.3-4 Direct N2O'!Q218</f>
        <v>24.144750000000002</v>
      </c>
      <c r="R33" s="52">
        <f>'4.5.1.3-4 Direct N2O'!R218</f>
        <v>22.666499999999992</v>
      </c>
      <c r="S33" s="52">
        <f>'4.5.1.3-4 Direct N2O'!S218</f>
        <v>15.373799999999996</v>
      </c>
      <c r="T33" s="2"/>
    </row>
    <row r="34" spans="4:20" ht="20.100000000000001" customHeight="1" x14ac:dyDescent="0.25">
      <c r="D34" s="57"/>
      <c r="E34" s="57" t="str">
        <f>'Input - Swine'!$D$50</f>
        <v>Pit storage</v>
      </c>
      <c r="F34" s="52">
        <f>'4.5.1.3-4 Direct N2O'!F219</f>
        <v>18.133199999999995</v>
      </c>
      <c r="G34" s="52">
        <f>'4.5.1.3-4 Direct N2O'!G219</f>
        <v>24.144750000000002</v>
      </c>
      <c r="H34" s="52">
        <f>'4.5.1.3-4 Direct N2O'!H219</f>
        <v>22.666499999999992</v>
      </c>
      <c r="I34" s="52">
        <f>'4.5.1.3-4 Direct N2O'!I219</f>
        <v>15.373799999999996</v>
      </c>
      <c r="J34" s="2"/>
      <c r="N34" s="57"/>
      <c r="O34" s="57" t="str">
        <f>'Input - Swine'!$D$50</f>
        <v>Pit storage</v>
      </c>
      <c r="P34" s="52">
        <f>'4.5.1.3-4 Direct N2O'!P219</f>
        <v>18.133199999999995</v>
      </c>
      <c r="Q34" s="52">
        <f>'4.5.1.3-4 Direct N2O'!Q219</f>
        <v>24.144750000000002</v>
      </c>
      <c r="R34" s="52">
        <f>'4.5.1.3-4 Direct N2O'!R219</f>
        <v>22.666499999999992</v>
      </c>
      <c r="S34" s="52">
        <f>'4.5.1.3-4 Direct N2O'!S219</f>
        <v>15.373799999999996</v>
      </c>
      <c r="T34" s="2"/>
    </row>
    <row r="35" spans="4:20" ht="20.100000000000001" customHeight="1" x14ac:dyDescent="0.25">
      <c r="D35" s="57"/>
      <c r="E35" s="57" t="str">
        <f>'Input - Swine'!$D$51</f>
        <v>Direct application</v>
      </c>
      <c r="F35" s="52">
        <f>'4.5.1.3-4 Direct N2O'!F220</f>
        <v>36.266399999999976</v>
      </c>
      <c r="G35" s="52">
        <f>'4.5.1.3-4 Direct N2O'!G220</f>
        <v>24.144750000000002</v>
      </c>
      <c r="H35" s="52">
        <f>'4.5.1.3-4 Direct N2O'!H220</f>
        <v>22.666499999999992</v>
      </c>
      <c r="I35" s="52">
        <f>'4.5.1.3-4 Direct N2O'!I220</f>
        <v>15.373799999999996</v>
      </c>
      <c r="J35" s="2"/>
      <c r="N35" s="57"/>
      <c r="O35" s="57" t="str">
        <f>'Input - Swine'!$D$51</f>
        <v>Direct application</v>
      </c>
      <c r="P35" s="52">
        <f>'4.5.1.3-4 Direct N2O'!P220</f>
        <v>36.266399999999976</v>
      </c>
      <c r="Q35" s="52">
        <f>'4.5.1.3-4 Direct N2O'!Q220</f>
        <v>24.144750000000002</v>
      </c>
      <c r="R35" s="52">
        <f>'4.5.1.3-4 Direct N2O'!R220</f>
        <v>22.666499999999992</v>
      </c>
      <c r="S35" s="52">
        <f>'4.5.1.3-4 Direct N2O'!S220</f>
        <v>15.373799999999996</v>
      </c>
      <c r="T35" s="2"/>
    </row>
    <row r="36" spans="4:20" ht="20.100000000000001" customHeight="1" x14ac:dyDescent="0.25">
      <c r="D36" s="57" t="str">
        <f>'Input - Swine'!$D$30</f>
        <v>Drylot (feed pad)</v>
      </c>
      <c r="E36" s="57" t="str">
        <f>'Input - Swine'!$D$55</f>
        <v>Anaerobic lagoon</v>
      </c>
      <c r="F36" s="52">
        <f>'4.5.1.3-4 Direct N2O'!F221</f>
        <v>27.401279999999993</v>
      </c>
      <c r="G36" s="52">
        <f>'4.5.1.3-4 Direct N2O'!G221</f>
        <v>36.485400000000006</v>
      </c>
      <c r="H36" s="52">
        <f>'4.5.1.3-4 Direct N2O'!H221</f>
        <v>34.251599999999989</v>
      </c>
      <c r="I36" s="52">
        <f>'4.5.1.3-4 Direct N2O'!I221</f>
        <v>23.231519999999993</v>
      </c>
      <c r="J36" s="2"/>
      <c r="N36" s="57" t="str">
        <f>'Input - Swine'!$D$30</f>
        <v>Drylot (feed pad)</v>
      </c>
      <c r="O36" s="57" t="str">
        <f>'Input - Swine'!$D$55</f>
        <v>Anaerobic lagoon</v>
      </c>
      <c r="P36" s="52">
        <f>'4.5.1.3-4 Direct N2O'!P221</f>
        <v>27.401279999999993</v>
      </c>
      <c r="Q36" s="52">
        <f>'4.5.1.3-4 Direct N2O'!Q221</f>
        <v>36.485400000000006</v>
      </c>
      <c r="R36" s="52">
        <f>'4.5.1.3-4 Direct N2O'!R221</f>
        <v>34.251599999999989</v>
      </c>
      <c r="S36" s="52">
        <f>'4.5.1.3-4 Direct N2O'!S221</f>
        <v>23.231519999999993</v>
      </c>
      <c r="T36" s="2"/>
    </row>
    <row r="37" spans="4:20" ht="20.100000000000001" customHeight="1" x14ac:dyDescent="0.25">
      <c r="D37" s="57"/>
      <c r="E37" s="57" t="str">
        <f>'Input - Swine'!$D$56</f>
        <v>Digester / covered lagoons</v>
      </c>
      <c r="F37" s="52">
        <f>'4.5.1.3-4 Direct N2O'!F222</f>
        <v>27.401279999999993</v>
      </c>
      <c r="G37" s="52">
        <f>'4.5.1.3-4 Direct N2O'!G222</f>
        <v>36.485400000000006</v>
      </c>
      <c r="H37" s="52">
        <f>'4.5.1.3-4 Direct N2O'!H222</f>
        <v>34.251599999999989</v>
      </c>
      <c r="I37" s="52">
        <f>'4.5.1.3-4 Direct N2O'!I222</f>
        <v>23.231519999999993</v>
      </c>
      <c r="J37" s="2"/>
      <c r="N37" s="57"/>
      <c r="O37" s="57" t="str">
        <f>'Input - Swine'!$D$56</f>
        <v>Digester / covered lagoons</v>
      </c>
      <c r="P37" s="52">
        <f>'4.5.1.3-4 Direct N2O'!P222</f>
        <v>27.401279999999993</v>
      </c>
      <c r="Q37" s="52">
        <f>'4.5.1.3-4 Direct N2O'!Q222</f>
        <v>36.485400000000006</v>
      </c>
      <c r="R37" s="52">
        <f>'4.5.1.3-4 Direct N2O'!R222</f>
        <v>34.251599999999989</v>
      </c>
      <c r="S37" s="52">
        <f>'4.5.1.3-4 Direct N2O'!S222</f>
        <v>23.231519999999993</v>
      </c>
      <c r="T37" s="2"/>
    </row>
    <row r="38" spans="4:20" ht="20.100000000000001" customHeight="1" x14ac:dyDescent="0.25">
      <c r="D38" s="57"/>
      <c r="E38" s="57" t="str">
        <f>'Input - Swine'!$D$57</f>
        <v>Deep litter</v>
      </c>
      <c r="F38" s="52">
        <f>'4.5.1.3-4 Direct N2O'!F223</f>
        <v>27.401279999999993</v>
      </c>
      <c r="G38" s="52">
        <f>'4.5.1.3-4 Direct N2O'!G223</f>
        <v>36.485400000000006</v>
      </c>
      <c r="H38" s="52">
        <f>'4.5.1.3-4 Direct N2O'!H223</f>
        <v>34.251599999999989</v>
      </c>
      <c r="I38" s="52">
        <f>'4.5.1.3-4 Direct N2O'!I223</f>
        <v>23.231519999999993</v>
      </c>
      <c r="J38" s="2"/>
      <c r="N38" s="57"/>
      <c r="O38" s="57" t="str">
        <f>'Input - Swine'!$D$57</f>
        <v>Deep litter</v>
      </c>
      <c r="P38" s="52">
        <f>'4.5.1.3-4 Direct N2O'!P223</f>
        <v>27.401279999999993</v>
      </c>
      <c r="Q38" s="52">
        <f>'4.5.1.3-4 Direct N2O'!Q223</f>
        <v>36.485400000000006</v>
      </c>
      <c r="R38" s="52">
        <f>'4.5.1.3-4 Direct N2O'!R223</f>
        <v>34.251599999999989</v>
      </c>
      <c r="S38" s="52">
        <f>'4.5.1.3-4 Direct N2O'!S223</f>
        <v>23.231519999999993</v>
      </c>
      <c r="T38" s="2"/>
    </row>
    <row r="39" spans="4:20" ht="20.100000000000001" customHeight="1" x14ac:dyDescent="0.25">
      <c r="D39" s="57"/>
      <c r="E39" s="57" t="str">
        <f>'Input - Swine'!$D$58</f>
        <v>Pit storage</v>
      </c>
      <c r="F39" s="52">
        <f>'4.5.1.3-4 Direct N2O'!F224</f>
        <v>27.401279999999993</v>
      </c>
      <c r="G39" s="52">
        <f>'4.5.1.3-4 Direct N2O'!G224</f>
        <v>36.485400000000006</v>
      </c>
      <c r="H39" s="52">
        <f>'4.5.1.3-4 Direct N2O'!H224</f>
        <v>34.251599999999989</v>
      </c>
      <c r="I39" s="52">
        <f>'4.5.1.3-4 Direct N2O'!I224</f>
        <v>23.231519999999993</v>
      </c>
      <c r="J39" s="2"/>
      <c r="N39" s="57"/>
      <c r="O39" s="57" t="str">
        <f>'Input - Swine'!$D$58</f>
        <v>Pit storage</v>
      </c>
      <c r="P39" s="52">
        <f>'4.5.1.3-4 Direct N2O'!P224</f>
        <v>27.401279999999993</v>
      </c>
      <c r="Q39" s="52">
        <f>'4.5.1.3-4 Direct N2O'!Q224</f>
        <v>36.485400000000006</v>
      </c>
      <c r="R39" s="52">
        <f>'4.5.1.3-4 Direct N2O'!R224</f>
        <v>34.251599999999989</v>
      </c>
      <c r="S39" s="52">
        <f>'4.5.1.3-4 Direct N2O'!S224</f>
        <v>23.231519999999993</v>
      </c>
      <c r="T39" s="2"/>
    </row>
    <row r="40" spans="4:20" ht="20.100000000000001" customHeight="1" x14ac:dyDescent="0.25">
      <c r="D40" s="57"/>
      <c r="E40" s="57" t="str">
        <f>'Input - Swine'!$D$59</f>
        <v>Direct application</v>
      </c>
      <c r="F40" s="52">
        <f>'4.5.1.3-4 Direct N2O'!F225</f>
        <v>27.401279999999986</v>
      </c>
      <c r="G40" s="52">
        <f>'4.5.1.3-4 Direct N2O'!G225</f>
        <v>0</v>
      </c>
      <c r="H40" s="52">
        <f>'4.5.1.3-4 Direct N2O'!H225</f>
        <v>0</v>
      </c>
      <c r="I40" s="52">
        <f>'4.5.1.3-4 Direct N2O'!I225</f>
        <v>0</v>
      </c>
      <c r="J40" s="2"/>
      <c r="N40" s="57"/>
      <c r="O40" s="57" t="str">
        <f>'Input - Swine'!$D$59</f>
        <v>Direct application</v>
      </c>
      <c r="P40" s="52">
        <f>'4.5.1.3-4 Direct N2O'!P225</f>
        <v>27.401279999999986</v>
      </c>
      <c r="Q40" s="52">
        <f>'4.5.1.3-4 Direct N2O'!Q225</f>
        <v>0</v>
      </c>
      <c r="R40" s="52">
        <f>'4.5.1.3-4 Direct N2O'!R225</f>
        <v>0</v>
      </c>
      <c r="S40" s="52">
        <f>'4.5.1.3-4 Direct N2O'!S225</f>
        <v>0</v>
      </c>
      <c r="T40" s="2"/>
    </row>
    <row r="41" spans="4:20" ht="20.100000000000001" customHeight="1" x14ac:dyDescent="0.25">
      <c r="D41" s="57" t="str">
        <f>'Input - Swine'!$D$31</f>
        <v>Digester / covered lagoons</v>
      </c>
      <c r="E41" s="57" t="str">
        <f>'Input - Swine'!$D$63</f>
        <v>Anaerobic lagoon</v>
      </c>
      <c r="F41" s="52">
        <f>'4.5.1.3-4 Direct N2O'!F226</f>
        <v>40.295999999999992</v>
      </c>
      <c r="G41" s="52">
        <f>'4.5.1.3-4 Direct N2O'!G226</f>
        <v>53.655000000000008</v>
      </c>
      <c r="H41" s="52">
        <f>'4.5.1.3-4 Direct N2O'!H226</f>
        <v>50.36999999999999</v>
      </c>
      <c r="I41" s="52">
        <f>'4.5.1.3-4 Direct N2O'!I226</f>
        <v>34.163999999999994</v>
      </c>
      <c r="J41" s="2"/>
      <c r="N41" s="57" t="str">
        <f>'Input - Swine'!$D$31</f>
        <v>Digester / covered lagoons</v>
      </c>
      <c r="O41" s="57" t="str">
        <f>'Input - Swine'!$D$63</f>
        <v>Anaerobic lagoon</v>
      </c>
      <c r="P41" s="52">
        <f>'4.5.1.3-4 Direct N2O'!P226</f>
        <v>40.295999999999992</v>
      </c>
      <c r="Q41" s="52">
        <f>'4.5.1.3-4 Direct N2O'!Q226</f>
        <v>53.655000000000008</v>
      </c>
      <c r="R41" s="52">
        <f>'4.5.1.3-4 Direct N2O'!R226</f>
        <v>50.36999999999999</v>
      </c>
      <c r="S41" s="52">
        <f>'4.5.1.3-4 Direct N2O'!S226</f>
        <v>34.163999999999994</v>
      </c>
      <c r="T41" s="2"/>
    </row>
    <row r="42" spans="4:20" ht="20.100000000000001" customHeight="1" x14ac:dyDescent="0.25">
      <c r="D42" s="57"/>
      <c r="E42" s="57" t="str">
        <f>'Input - Swine'!$D$64</f>
        <v>Deep litter</v>
      </c>
      <c r="F42" s="52">
        <f>'4.5.1.3-4 Direct N2O'!F227</f>
        <v>40.295999999999992</v>
      </c>
      <c r="G42" s="52">
        <f>'4.5.1.3-4 Direct N2O'!G227</f>
        <v>53.655000000000008</v>
      </c>
      <c r="H42" s="52">
        <f>'4.5.1.3-4 Direct N2O'!H227</f>
        <v>50.36999999999999</v>
      </c>
      <c r="I42" s="52">
        <f>'4.5.1.3-4 Direct N2O'!I227</f>
        <v>34.163999999999994</v>
      </c>
      <c r="J42" s="2"/>
      <c r="N42" s="57"/>
      <c r="O42" s="57" t="str">
        <f>'Input - Swine'!$D$64</f>
        <v>Deep litter</v>
      </c>
      <c r="P42" s="52">
        <f>'4.5.1.3-4 Direct N2O'!P227</f>
        <v>40.295999999999992</v>
      </c>
      <c r="Q42" s="52">
        <f>'4.5.1.3-4 Direct N2O'!Q227</f>
        <v>53.655000000000008</v>
      </c>
      <c r="R42" s="52">
        <f>'4.5.1.3-4 Direct N2O'!R227</f>
        <v>50.36999999999999</v>
      </c>
      <c r="S42" s="52">
        <f>'4.5.1.3-4 Direct N2O'!S227</f>
        <v>34.163999999999994</v>
      </c>
      <c r="T42" s="2"/>
    </row>
    <row r="43" spans="4:20" ht="20.100000000000001" customHeight="1" x14ac:dyDescent="0.25">
      <c r="D43" s="57"/>
      <c r="E43" s="57" t="str">
        <f>'Input - Swine'!$D$65</f>
        <v>Pit storage</v>
      </c>
      <c r="F43" s="52">
        <f>'4.5.1.3-4 Direct N2O'!F228</f>
        <v>40.295999999999992</v>
      </c>
      <c r="G43" s="52">
        <f>'4.5.1.3-4 Direct N2O'!G228</f>
        <v>53.655000000000008</v>
      </c>
      <c r="H43" s="52">
        <f>'4.5.1.3-4 Direct N2O'!H228</f>
        <v>50.36999999999999</v>
      </c>
      <c r="I43" s="52">
        <f>'4.5.1.3-4 Direct N2O'!I228</f>
        <v>34.163999999999994</v>
      </c>
      <c r="J43" s="2"/>
      <c r="N43" s="57"/>
      <c r="O43" s="57" t="str">
        <f>'Input - Swine'!$D$65</f>
        <v>Pit storage</v>
      </c>
      <c r="P43" s="52">
        <f>'4.5.1.3-4 Direct N2O'!P228</f>
        <v>40.295999999999992</v>
      </c>
      <c r="Q43" s="52">
        <f>'4.5.1.3-4 Direct N2O'!Q228</f>
        <v>53.655000000000008</v>
      </c>
      <c r="R43" s="52">
        <f>'4.5.1.3-4 Direct N2O'!R228</f>
        <v>50.36999999999999</v>
      </c>
      <c r="S43" s="52">
        <f>'4.5.1.3-4 Direct N2O'!S228</f>
        <v>34.163999999999994</v>
      </c>
      <c r="T43" s="2"/>
    </row>
    <row r="44" spans="4:20" ht="20.100000000000001" customHeight="1" x14ac:dyDescent="0.25">
      <c r="D44" s="57"/>
      <c r="E44" s="57" t="str">
        <f>'Input - Swine'!$D$66</f>
        <v>Direct application</v>
      </c>
      <c r="F44" s="52">
        <f>'4.5.1.3-4 Direct N2O'!F229</f>
        <v>80.59199999999997</v>
      </c>
      <c r="G44" s="52">
        <f>'4.5.1.3-4 Direct N2O'!G229</f>
        <v>53.655000000000008</v>
      </c>
      <c r="H44" s="52">
        <f>'4.5.1.3-4 Direct N2O'!H229</f>
        <v>50.36999999999999</v>
      </c>
      <c r="I44" s="52">
        <f>'4.5.1.3-4 Direct N2O'!I229</f>
        <v>34.163999999999994</v>
      </c>
      <c r="J44" s="2"/>
      <c r="N44" s="57"/>
      <c r="O44" s="57" t="str">
        <f>'Input - Swine'!$D$66</f>
        <v>Direct application</v>
      </c>
      <c r="P44" s="52">
        <f>'4.5.1.3-4 Direct N2O'!P229</f>
        <v>80.59199999999997</v>
      </c>
      <c r="Q44" s="52">
        <f>'4.5.1.3-4 Direct N2O'!Q229</f>
        <v>53.655000000000008</v>
      </c>
      <c r="R44" s="52">
        <f>'4.5.1.3-4 Direct N2O'!R229</f>
        <v>50.36999999999999</v>
      </c>
      <c r="S44" s="52">
        <f>'4.5.1.3-4 Direct N2O'!S229</f>
        <v>34.163999999999994</v>
      </c>
      <c r="T44" s="2"/>
    </row>
    <row r="45" spans="4:20" ht="20.100000000000001" customHeight="1" x14ac:dyDescent="0.25">
      <c r="D45" s="57" t="str">
        <f>'Input - Swine'!$D$32</f>
        <v>Deep litter</v>
      </c>
      <c r="E45" s="57" t="str">
        <f>'Input - Swine'!$D$70</f>
        <v>Anaerobic lagoon</v>
      </c>
      <c r="F45" s="52">
        <f>'4.5.1.3-4 Direct N2O'!F230</f>
        <v>34.856039999999993</v>
      </c>
      <c r="G45" s="52">
        <f>'4.5.1.3-4 Direct N2O'!G230</f>
        <v>46.411575000000006</v>
      </c>
      <c r="H45" s="52">
        <f>'4.5.1.3-4 Direct N2O'!H230</f>
        <v>43.570049999999988</v>
      </c>
      <c r="I45" s="52">
        <f>'4.5.1.3-4 Direct N2O'!I230</f>
        <v>29.551859999999994</v>
      </c>
      <c r="J45" s="2"/>
      <c r="N45" s="57" t="str">
        <f>'Input - Swine'!$D$32</f>
        <v>Deep litter</v>
      </c>
      <c r="O45" s="57" t="str">
        <f>'Input - Swine'!$D$70</f>
        <v>Anaerobic lagoon</v>
      </c>
      <c r="P45" s="52">
        <f>'4.5.1.3-4 Direct N2O'!P230</f>
        <v>34.856039999999993</v>
      </c>
      <c r="Q45" s="52">
        <f>'4.5.1.3-4 Direct N2O'!Q230</f>
        <v>46.411575000000006</v>
      </c>
      <c r="R45" s="52">
        <f>'4.5.1.3-4 Direct N2O'!R230</f>
        <v>43.570049999999988</v>
      </c>
      <c r="S45" s="52">
        <f>'4.5.1.3-4 Direct N2O'!S230</f>
        <v>29.551859999999994</v>
      </c>
      <c r="T45" s="2"/>
    </row>
    <row r="46" spans="4:20" ht="20.100000000000001" customHeight="1" x14ac:dyDescent="0.25">
      <c r="D46" s="57"/>
      <c r="E46" s="57" t="str">
        <f>'Input - Swine'!$D$71</f>
        <v>Digester / covered lagoons</v>
      </c>
      <c r="F46" s="52">
        <f>'4.5.1.3-4 Direct N2O'!F231</f>
        <v>34.856039999999993</v>
      </c>
      <c r="G46" s="52">
        <f>'4.5.1.3-4 Direct N2O'!G231</f>
        <v>46.411575000000006</v>
      </c>
      <c r="H46" s="52">
        <f>'4.5.1.3-4 Direct N2O'!H231</f>
        <v>43.570049999999988</v>
      </c>
      <c r="I46" s="52">
        <f>'4.5.1.3-4 Direct N2O'!I231</f>
        <v>29.551859999999994</v>
      </c>
      <c r="J46" s="2"/>
      <c r="N46" s="57"/>
      <c r="O46" s="57" t="str">
        <f>'Input - Swine'!$D$71</f>
        <v>Digester / covered lagoons</v>
      </c>
      <c r="P46" s="52">
        <f>'4.5.1.3-4 Direct N2O'!P231</f>
        <v>34.856039999999993</v>
      </c>
      <c r="Q46" s="52">
        <f>'4.5.1.3-4 Direct N2O'!Q231</f>
        <v>46.411575000000006</v>
      </c>
      <c r="R46" s="52">
        <f>'4.5.1.3-4 Direct N2O'!R231</f>
        <v>43.570049999999988</v>
      </c>
      <c r="S46" s="52">
        <f>'4.5.1.3-4 Direct N2O'!S231</f>
        <v>29.551859999999994</v>
      </c>
      <c r="T46" s="2"/>
    </row>
    <row r="47" spans="4:20" ht="20.100000000000001" customHeight="1" x14ac:dyDescent="0.25">
      <c r="D47" s="57"/>
      <c r="E47" s="57" t="str">
        <f>'Input - Swine'!$D$72</f>
        <v>Pit storage</v>
      </c>
      <c r="F47" s="52">
        <f>'4.5.1.3-4 Direct N2O'!F232</f>
        <v>34.856039999999993</v>
      </c>
      <c r="G47" s="52">
        <f>'4.5.1.3-4 Direct N2O'!G232</f>
        <v>46.411575000000006</v>
      </c>
      <c r="H47" s="52">
        <f>'4.5.1.3-4 Direct N2O'!H232</f>
        <v>43.570049999999988</v>
      </c>
      <c r="I47" s="52">
        <f>'4.5.1.3-4 Direct N2O'!I232</f>
        <v>29.551859999999994</v>
      </c>
      <c r="J47" s="2"/>
      <c r="N47" s="57"/>
      <c r="O47" s="57" t="str">
        <f>'Input - Swine'!$D$72</f>
        <v>Pit storage</v>
      </c>
      <c r="P47" s="52">
        <f>'4.5.1.3-4 Direct N2O'!P232</f>
        <v>34.856039999999993</v>
      </c>
      <c r="Q47" s="52">
        <f>'4.5.1.3-4 Direct N2O'!Q232</f>
        <v>46.411575000000006</v>
      </c>
      <c r="R47" s="52">
        <f>'4.5.1.3-4 Direct N2O'!R232</f>
        <v>43.570049999999988</v>
      </c>
      <c r="S47" s="52">
        <f>'4.5.1.3-4 Direct N2O'!S232</f>
        <v>29.551859999999994</v>
      </c>
      <c r="T47" s="2"/>
    </row>
    <row r="48" spans="4:20" ht="20.100000000000001" customHeight="1" x14ac:dyDescent="0.25">
      <c r="D48" s="57"/>
      <c r="E48" s="57" t="str">
        <f>'Input - Swine'!$D$73</f>
        <v>Direct application</v>
      </c>
      <c r="F48" s="52">
        <f>'4.5.1.3-4 Direct N2O'!F233</f>
        <v>69.712079999999972</v>
      </c>
      <c r="G48" s="52">
        <f>'4.5.1.3-4 Direct N2O'!G233</f>
        <v>46.411575000000006</v>
      </c>
      <c r="H48" s="52">
        <f>'4.5.1.3-4 Direct N2O'!H233</f>
        <v>43.570049999999988</v>
      </c>
      <c r="I48" s="52">
        <f>'4.5.1.3-4 Direct N2O'!I233</f>
        <v>29.551859999999994</v>
      </c>
      <c r="J48" s="2"/>
      <c r="N48" s="57"/>
      <c r="O48" s="57" t="str">
        <f>'Input - Swine'!$D$73</f>
        <v>Direct application</v>
      </c>
      <c r="P48" s="52">
        <f>'4.5.1.3-4 Direct N2O'!P233</f>
        <v>69.712079999999972</v>
      </c>
      <c r="Q48" s="52">
        <f>'4.5.1.3-4 Direct N2O'!Q233</f>
        <v>46.411575000000006</v>
      </c>
      <c r="R48" s="52">
        <f>'4.5.1.3-4 Direct N2O'!R233</f>
        <v>43.570049999999988</v>
      </c>
      <c r="S48" s="52">
        <f>'4.5.1.3-4 Direct N2O'!S233</f>
        <v>29.551859999999994</v>
      </c>
      <c r="T48" s="2"/>
    </row>
    <row r="49" spans="1:20" ht="20.100000000000001" customHeight="1" x14ac:dyDescent="0.25">
      <c r="D49" s="57" t="str">
        <f>'Input - Swine'!$D$33</f>
        <v>Pit storage</v>
      </c>
      <c r="E49" s="57" t="str">
        <f>'Input - Swine'!$D$77</f>
        <v>Anaerobic lagoon</v>
      </c>
      <c r="F49" s="52">
        <f>'4.5.1.3-4 Direct N2O'!F234</f>
        <v>30.141407999999998</v>
      </c>
      <c r="G49" s="52">
        <f>'4.5.1.3-4 Direct N2O'!G234</f>
        <v>40.133940000000003</v>
      </c>
      <c r="H49" s="52">
        <f>'4.5.1.3-4 Direct N2O'!H234</f>
        <v>37.676759999999994</v>
      </c>
      <c r="I49" s="52">
        <f>'4.5.1.3-4 Direct N2O'!I234</f>
        <v>25.554671999999997</v>
      </c>
      <c r="J49" s="2"/>
      <c r="N49" s="57" t="str">
        <f>'Input - Swine'!$D$33</f>
        <v>Pit storage</v>
      </c>
      <c r="O49" s="57" t="str">
        <f>'Input - Swine'!$D$77</f>
        <v>Anaerobic lagoon</v>
      </c>
      <c r="P49" s="52">
        <f>'4.5.1.3-4 Direct N2O'!P234</f>
        <v>30.141407999999998</v>
      </c>
      <c r="Q49" s="52">
        <f>'4.5.1.3-4 Direct N2O'!Q234</f>
        <v>40.133940000000003</v>
      </c>
      <c r="R49" s="52">
        <f>'4.5.1.3-4 Direct N2O'!R234</f>
        <v>37.676759999999994</v>
      </c>
      <c r="S49" s="52">
        <f>'4.5.1.3-4 Direct N2O'!S234</f>
        <v>25.554671999999997</v>
      </c>
      <c r="T49" s="2"/>
    </row>
    <row r="50" spans="1:20" ht="20.100000000000001" customHeight="1" x14ac:dyDescent="0.25">
      <c r="D50" s="57"/>
      <c r="E50" s="57" t="str">
        <f>'Input - Swine'!$D$78</f>
        <v>Digester / covered lagoons</v>
      </c>
      <c r="F50" s="52">
        <f>'4.5.1.3-4 Direct N2O'!F235</f>
        <v>30.141407999999998</v>
      </c>
      <c r="G50" s="52">
        <f>'4.5.1.3-4 Direct N2O'!G235</f>
        <v>40.133940000000003</v>
      </c>
      <c r="H50" s="52">
        <f>'4.5.1.3-4 Direct N2O'!H235</f>
        <v>37.676759999999994</v>
      </c>
      <c r="I50" s="52">
        <f>'4.5.1.3-4 Direct N2O'!I235</f>
        <v>25.554671999999997</v>
      </c>
      <c r="J50" s="2"/>
      <c r="N50" s="57"/>
      <c r="O50" s="57" t="str">
        <f>'Input - Swine'!$D$78</f>
        <v>Digester / covered lagoons</v>
      </c>
      <c r="P50" s="52">
        <f>'4.5.1.3-4 Direct N2O'!P235</f>
        <v>30.141407999999998</v>
      </c>
      <c r="Q50" s="52">
        <f>'4.5.1.3-4 Direct N2O'!Q235</f>
        <v>40.133940000000003</v>
      </c>
      <c r="R50" s="52">
        <f>'4.5.1.3-4 Direct N2O'!R235</f>
        <v>37.676759999999994</v>
      </c>
      <c r="S50" s="52">
        <f>'4.5.1.3-4 Direct N2O'!S235</f>
        <v>25.554671999999997</v>
      </c>
      <c r="T50" s="2"/>
    </row>
    <row r="51" spans="1:20" ht="20.100000000000001" customHeight="1" x14ac:dyDescent="0.25">
      <c r="D51" s="57"/>
      <c r="E51" s="57" t="str">
        <f>'Input - Swine'!$D$79</f>
        <v>Deep litter</v>
      </c>
      <c r="F51" s="52">
        <f>'4.5.1.3-4 Direct N2O'!F236</f>
        <v>30.141407999999998</v>
      </c>
      <c r="G51" s="52">
        <f>'4.5.1.3-4 Direct N2O'!G236</f>
        <v>40.133940000000003</v>
      </c>
      <c r="H51" s="52">
        <f>'4.5.1.3-4 Direct N2O'!H236</f>
        <v>37.676759999999994</v>
      </c>
      <c r="I51" s="52">
        <f>'4.5.1.3-4 Direct N2O'!I236</f>
        <v>25.554671999999997</v>
      </c>
      <c r="J51" s="2"/>
      <c r="N51" s="57"/>
      <c r="O51" s="57" t="str">
        <f>'Input - Swine'!$D$79</f>
        <v>Deep litter</v>
      </c>
      <c r="P51" s="52">
        <f>'4.5.1.3-4 Direct N2O'!P236</f>
        <v>30.141407999999998</v>
      </c>
      <c r="Q51" s="52">
        <f>'4.5.1.3-4 Direct N2O'!Q236</f>
        <v>40.133940000000003</v>
      </c>
      <c r="R51" s="52">
        <f>'4.5.1.3-4 Direct N2O'!R236</f>
        <v>37.676759999999994</v>
      </c>
      <c r="S51" s="52">
        <f>'4.5.1.3-4 Direct N2O'!S236</f>
        <v>25.554671999999997</v>
      </c>
      <c r="T51" s="2"/>
    </row>
    <row r="52" spans="1:20" ht="20.100000000000001" customHeight="1" x14ac:dyDescent="0.25">
      <c r="D52" s="57"/>
      <c r="E52" s="57" t="str">
        <f>'Input - Swine'!$D$80</f>
        <v>Direct application</v>
      </c>
      <c r="F52" s="52">
        <f>'4.5.1.3-4 Direct N2O'!F237</f>
        <v>60.282815999999976</v>
      </c>
      <c r="G52" s="52">
        <f>'4.5.1.3-4 Direct N2O'!G237</f>
        <v>40.133940000000003</v>
      </c>
      <c r="H52" s="52">
        <f>'4.5.1.3-4 Direct N2O'!H237</f>
        <v>37.676759999999994</v>
      </c>
      <c r="I52" s="52">
        <f>'4.5.1.3-4 Direct N2O'!I237</f>
        <v>25.554671999999997</v>
      </c>
      <c r="J52" s="2"/>
      <c r="N52" s="57"/>
      <c r="O52" s="57" t="str">
        <f>'Input - Swine'!$D$80</f>
        <v>Direct application</v>
      </c>
      <c r="P52" s="52">
        <f>'4.5.1.3-4 Direct N2O'!P237</f>
        <v>60.282815999999976</v>
      </c>
      <c r="Q52" s="52">
        <f>'4.5.1.3-4 Direct N2O'!Q237</f>
        <v>40.133940000000003</v>
      </c>
      <c r="R52" s="52">
        <f>'4.5.1.3-4 Direct N2O'!R237</f>
        <v>37.676759999999994</v>
      </c>
      <c r="S52" s="52">
        <f>'4.5.1.3-4 Direct N2O'!S237</f>
        <v>25.554671999999997</v>
      </c>
      <c r="T52" s="2"/>
    </row>
    <row r="53" spans="1:20" ht="20.100000000000001" customHeight="1" x14ac:dyDescent="0.25">
      <c r="D53" s="57" t="str">
        <f>'Input - Swine'!$D$34</f>
        <v>Solid storage</v>
      </c>
      <c r="E53" s="57" t="str">
        <f>'Input - Swine'!$D$84</f>
        <v>Anaerobic lagoon</v>
      </c>
      <c r="F53" s="52">
        <f>'4.5.1.3-4 Direct N2O'!F238</f>
        <v>106.78440000000003</v>
      </c>
      <c r="G53" s="52">
        <f>'4.5.1.3-4 Direct N2O'!G238</f>
        <v>113.74860000000007</v>
      </c>
      <c r="H53" s="52">
        <f>'4.5.1.3-4 Direct N2O'!H238</f>
        <v>106.78440000000003</v>
      </c>
      <c r="I53" s="52">
        <f>'4.5.1.3-4 Direct N2O'!I238</f>
        <v>72.427680000000038</v>
      </c>
      <c r="J53" s="2"/>
      <c r="N53" s="57" t="str">
        <f>'Input - Swine'!$D$34</f>
        <v>Solid storage</v>
      </c>
      <c r="O53" s="57" t="str">
        <f>'Input - Swine'!$D$84</f>
        <v>Anaerobic lagoon</v>
      </c>
      <c r="P53" s="52">
        <f>'4.5.1.3-4 Direct N2O'!P238</f>
        <v>106.78440000000003</v>
      </c>
      <c r="Q53" s="52">
        <f>'4.5.1.3-4 Direct N2O'!Q238</f>
        <v>113.74860000000007</v>
      </c>
      <c r="R53" s="52">
        <f>'4.5.1.3-4 Direct N2O'!R238</f>
        <v>106.78440000000003</v>
      </c>
      <c r="S53" s="52">
        <f>'4.5.1.3-4 Direct N2O'!S238</f>
        <v>72.427680000000038</v>
      </c>
      <c r="T53" s="2"/>
    </row>
    <row r="54" spans="1:20" ht="20.100000000000001" customHeight="1" x14ac:dyDescent="0.25">
      <c r="D54" s="57"/>
      <c r="E54" s="57" t="str">
        <f>'Input - Swine'!$D$85</f>
        <v>Digester / covered lagoons</v>
      </c>
      <c r="F54" s="52">
        <f>'4.5.1.3-4 Direct N2O'!F239</f>
        <v>106.78440000000003</v>
      </c>
      <c r="G54" s="52">
        <f>'4.5.1.3-4 Direct N2O'!G239</f>
        <v>113.74860000000007</v>
      </c>
      <c r="H54" s="52">
        <f>'4.5.1.3-4 Direct N2O'!H239</f>
        <v>106.78440000000003</v>
      </c>
      <c r="I54" s="52">
        <f>'4.5.1.3-4 Direct N2O'!I239</f>
        <v>72.427680000000038</v>
      </c>
      <c r="J54" s="2"/>
      <c r="N54" s="57"/>
      <c r="O54" s="57" t="str">
        <f>'Input - Swine'!$D$85</f>
        <v>Digester / covered lagoons</v>
      </c>
      <c r="P54" s="52">
        <f>'4.5.1.3-4 Direct N2O'!P239</f>
        <v>106.78440000000003</v>
      </c>
      <c r="Q54" s="52">
        <f>'4.5.1.3-4 Direct N2O'!Q239</f>
        <v>113.74860000000007</v>
      </c>
      <c r="R54" s="52">
        <f>'4.5.1.3-4 Direct N2O'!R239</f>
        <v>106.78440000000003</v>
      </c>
      <c r="S54" s="52">
        <f>'4.5.1.3-4 Direct N2O'!S239</f>
        <v>72.427680000000038</v>
      </c>
      <c r="T54" s="2"/>
    </row>
    <row r="55" spans="1:20" ht="20.100000000000001" customHeight="1" x14ac:dyDescent="0.25">
      <c r="D55" s="57"/>
      <c r="E55" s="57" t="str">
        <f>'Input - Swine'!$D$86</f>
        <v>Deep litter</v>
      </c>
      <c r="F55" s="52">
        <f>'4.5.1.3-4 Direct N2O'!F240</f>
        <v>106.78440000000003</v>
      </c>
      <c r="G55" s="52">
        <f>'4.5.1.3-4 Direct N2O'!G240</f>
        <v>113.74860000000007</v>
      </c>
      <c r="H55" s="52">
        <f>'4.5.1.3-4 Direct N2O'!H240</f>
        <v>106.78440000000003</v>
      </c>
      <c r="I55" s="52">
        <f>'4.5.1.3-4 Direct N2O'!I240</f>
        <v>72.427680000000038</v>
      </c>
      <c r="J55" s="2"/>
      <c r="N55" s="57"/>
      <c r="O55" s="57" t="str">
        <f>'Input - Swine'!$D$86</f>
        <v>Deep litter</v>
      </c>
      <c r="P55" s="52">
        <f>'4.5.1.3-4 Direct N2O'!P240</f>
        <v>106.78440000000003</v>
      </c>
      <c r="Q55" s="52">
        <f>'4.5.1.3-4 Direct N2O'!Q240</f>
        <v>113.74860000000007</v>
      </c>
      <c r="R55" s="52">
        <f>'4.5.1.3-4 Direct N2O'!R240</f>
        <v>106.78440000000003</v>
      </c>
      <c r="S55" s="52">
        <f>'4.5.1.3-4 Direct N2O'!S240</f>
        <v>72.427680000000038</v>
      </c>
      <c r="T55" s="2"/>
    </row>
    <row r="56" spans="1:20" ht="20.100000000000001" customHeight="1" x14ac:dyDescent="0.25">
      <c r="D56" s="57"/>
      <c r="E56" s="57" t="str">
        <f>'Input - Swine'!$D$87</f>
        <v>Pit storage</v>
      </c>
      <c r="F56" s="52">
        <f>'4.5.1.3-4 Direct N2O'!F241</f>
        <v>53.392200000000017</v>
      </c>
      <c r="G56" s="52">
        <f>'4.5.1.3-4 Direct N2O'!G241</f>
        <v>56.874300000000034</v>
      </c>
      <c r="H56" s="52">
        <f>'4.5.1.3-4 Direct N2O'!H241</f>
        <v>53.392200000000017</v>
      </c>
      <c r="I56" s="52">
        <f>'4.5.1.3-4 Direct N2O'!I241</f>
        <v>36.213840000000019</v>
      </c>
      <c r="J56" s="2"/>
      <c r="N56" s="57"/>
      <c r="O56" s="57" t="str">
        <f>'Input - Swine'!$D$87</f>
        <v>Pit storage</v>
      </c>
      <c r="P56" s="52">
        <f>'4.5.1.3-4 Direct N2O'!P241</f>
        <v>53.392200000000017</v>
      </c>
      <c r="Q56" s="52">
        <f>'4.5.1.3-4 Direct N2O'!Q241</f>
        <v>56.874300000000034</v>
      </c>
      <c r="R56" s="52">
        <f>'4.5.1.3-4 Direct N2O'!R241</f>
        <v>53.392200000000017</v>
      </c>
      <c r="S56" s="52">
        <f>'4.5.1.3-4 Direct N2O'!S241</f>
        <v>36.213840000000019</v>
      </c>
      <c r="T56" s="2"/>
    </row>
    <row r="57" spans="1:20" ht="20.100000000000001" customHeight="1" x14ac:dyDescent="0.25">
      <c r="D57" s="57"/>
      <c r="E57" s="57" t="str">
        <f>'Input - Swine'!$D$88</f>
        <v>Direct application</v>
      </c>
      <c r="F57" s="52">
        <f>'4.5.1.3-4 Direct N2O'!F242</f>
        <v>160.17660000000001</v>
      </c>
      <c r="G57" s="52">
        <f>'4.5.1.3-4 Direct N2O'!G242</f>
        <v>170.62290000000004</v>
      </c>
      <c r="H57" s="52">
        <f>'4.5.1.3-4 Direct N2O'!H242</f>
        <v>160.17660000000001</v>
      </c>
      <c r="I57" s="52">
        <f>'4.5.1.3-4 Direct N2O'!I242</f>
        <v>108.64152000000003</v>
      </c>
      <c r="J57" s="2"/>
      <c r="N57" s="57"/>
      <c r="O57" s="57" t="str">
        <f>'Input - Swine'!$D$88</f>
        <v>Direct application</v>
      </c>
      <c r="P57" s="52">
        <f>'4.5.1.3-4 Direct N2O'!P242</f>
        <v>160.17660000000001</v>
      </c>
      <c r="Q57" s="52">
        <f>'4.5.1.3-4 Direct N2O'!Q242</f>
        <v>170.62290000000004</v>
      </c>
      <c r="R57" s="52">
        <f>'4.5.1.3-4 Direct N2O'!R242</f>
        <v>160.17660000000001</v>
      </c>
      <c r="S57" s="52">
        <f>'4.5.1.3-4 Direct N2O'!S242</f>
        <v>108.64152000000003</v>
      </c>
      <c r="T57" s="2"/>
    </row>
    <row r="58" spans="1:20" ht="20.100000000000001" customHeight="1" x14ac:dyDescent="0.25"/>
    <row r="59" spans="1:20" ht="20.100000000000001" customHeight="1" x14ac:dyDescent="0.25">
      <c r="D59" s="121" t="s">
        <v>307</v>
      </c>
    </row>
    <row r="60" spans="1:20" ht="20.100000000000001" customHeight="1" x14ac:dyDescent="0.25">
      <c r="D60" s="122" t="s">
        <v>308</v>
      </c>
    </row>
    <row r="61" spans="1:20" ht="20.100000000000001" customHeight="1" x14ac:dyDescent="0.25">
      <c r="A61" s="150" t="str">
        <f>HYPERLINK("#A1", "▲ Back to top")</f>
        <v>▲ Back to top</v>
      </c>
      <c r="D61" s="51" t="s">
        <v>163</v>
      </c>
      <c r="E61" s="51" t="s">
        <v>251</v>
      </c>
    </row>
    <row r="62" spans="1:20" ht="20.100000000000001" customHeight="1" x14ac:dyDescent="0.25">
      <c r="D62" s="57" t="str">
        <f>'Input - Swine'!$D$29</f>
        <v>Anaerobic lagoon</v>
      </c>
      <c r="E62" s="52" cm="1">
        <f t="array" ref="E62">Common_InputFunctions.Utility_LookupValueInTableNumber(D62, Table_SourceData_Swine_FracGASM[NIR reference],Table_SourceData_Swine_FracGASM[FracGASMmT])</f>
        <v>0.55000000000000004</v>
      </c>
      <c r="F62" s="2" t="str">
        <f>G14</f>
        <v>(kg NH3-N + NOx-N)/kg N</v>
      </c>
    </row>
    <row r="63" spans="1:20" ht="20.100000000000001" customHeight="1" x14ac:dyDescent="0.25">
      <c r="D63" s="57" t="str">
        <f>'Input - Swine'!$D$30</f>
        <v>Drylot (feed pad)</v>
      </c>
      <c r="E63" s="52" cm="1">
        <f t="array" ref="E63">Common_InputFunctions.Utility_LookupValueInTableNumber(D63, Table_SourceData_Swine_FracGASM[NIR reference],Table_SourceData_Swine_FracGASM[FracGASMmT])</f>
        <v>0.3</v>
      </c>
    </row>
    <row r="64" spans="1:20" ht="20.100000000000001" customHeight="1" x14ac:dyDescent="0.25">
      <c r="D64" s="57" t="str">
        <f>'Input - Swine'!$D$31</f>
        <v>Digester / covered lagoons</v>
      </c>
      <c r="E64" s="52" cm="1">
        <f t="array" ref="E64">Common_InputFunctions.Utility_LookupValueInTableNumber(D64, Table_SourceData_Swine_FracGASM[NIR reference],Table_SourceData_Swine_FracGASM[FracGASMmT])</f>
        <v>0</v>
      </c>
    </row>
    <row r="65" spans="4:20" ht="20.100000000000001" customHeight="1" x14ac:dyDescent="0.25">
      <c r="D65" s="57" t="str">
        <f>'Input - Swine'!$D$32</f>
        <v>Deep litter</v>
      </c>
      <c r="E65" s="52" cm="1">
        <f t="array" ref="E65">Common_InputFunctions.Utility_LookupValueInTableNumber(D65, Table_SourceData_Swine_FracGASM[NIR reference],Table_SourceData_Swine_FracGASM[FracGASMmT])</f>
        <v>0.125</v>
      </c>
    </row>
    <row r="66" spans="4:20" ht="20.100000000000001" customHeight="1" x14ac:dyDescent="0.25">
      <c r="D66" s="57" t="str">
        <f>'Input - Swine'!$D$33</f>
        <v>Pit storage</v>
      </c>
      <c r="E66" s="52" cm="1">
        <f t="array" ref="E66">Common_InputFunctions.Utility_LookupValueInTableNumber(D66, Table_SourceData_Swine_FracGASM[NIR reference],Table_SourceData_Swine_FracGASM[FracGASMmT])</f>
        <v>0.25</v>
      </c>
    </row>
    <row r="67" spans="4:20" ht="20.100000000000001" customHeight="1" x14ac:dyDescent="0.25">
      <c r="D67" s="57" t="str">
        <f>'Input - Swine'!$D$34</f>
        <v>Solid storage</v>
      </c>
      <c r="E67" s="52" cm="1">
        <f t="array" ref="E67">Common_InputFunctions.Utility_LookupValueInTableNumber(D67, Table_SourceData_Swine_FracGASM[NIR reference],Table_SourceData_Swine_FracGASM[FracGASMmT])</f>
        <v>0.2</v>
      </c>
    </row>
    <row r="68" spans="4:20" ht="20.100000000000001" customHeight="1" x14ac:dyDescent="0.25">
      <c r="D68" s="57" t="str">
        <f>'Constants - Swine'!D47</f>
        <v>Direct application</v>
      </c>
      <c r="E68" s="52"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21" t="s">
        <v>260</v>
      </c>
      <c r="N70" s="121" t="s">
        <v>260</v>
      </c>
    </row>
    <row r="71" spans="4:20" ht="20.100000000000001" customHeight="1" x14ac:dyDescent="0.25">
      <c r="D71" s="122" t="s">
        <v>261</v>
      </c>
      <c r="N71" s="122" t="s">
        <v>261</v>
      </c>
    </row>
    <row r="72" spans="4:20" ht="20.100000000000001" customHeight="1" x14ac:dyDescent="0.25">
      <c r="D72" s="51" t="s">
        <v>163</v>
      </c>
      <c r="E72" s="51" t="s">
        <v>171</v>
      </c>
      <c r="F72" s="51" t="s">
        <v>142</v>
      </c>
      <c r="G72" s="51" t="s">
        <v>143</v>
      </c>
      <c r="H72" s="51" t="s">
        <v>144</v>
      </c>
      <c r="I72" s="51" t="s">
        <v>206</v>
      </c>
      <c r="N72" s="51" t="s">
        <v>163</v>
      </c>
      <c r="O72" s="51" t="s">
        <v>171</v>
      </c>
      <c r="P72" s="51" t="s">
        <v>142</v>
      </c>
      <c r="Q72" s="51" t="s">
        <v>143</v>
      </c>
      <c r="R72" s="51" t="s">
        <v>144</v>
      </c>
      <c r="S72" s="51" t="s">
        <v>206</v>
      </c>
    </row>
    <row r="73" spans="4:20" ht="20.100000000000001" customHeight="1" x14ac:dyDescent="0.25">
      <c r="D73" s="57" t="str">
        <f>'Input - Swine'!$D$29</f>
        <v>Anaerobic lagoon</v>
      </c>
      <c r="E73" s="57" t="s">
        <v>172</v>
      </c>
      <c r="F73" s="52" cm="1">
        <f t="array" ref="F73">MMS_Swine_AtmosphericDeposition_Equations.VEERG_4_5_1_5__2_TotalNitrogenVolatilisedFromMMS(E22,_xlfn.XLOOKUP($D73,$D$62:$D$68,$E$62:$E$68))</f>
        <v>110.81399999999999</v>
      </c>
      <c r="G73" s="52" cm="1">
        <f t="array" ref="G73">MMS_Swine_AtmosphericDeposition_Equations.VEERG_4_5_1_5__2_TotalNitrogenVolatilisedFromMMS(F22,_xlfn.XLOOKUP($D73,$D$62:$D$68,$E$62:$E$68))</f>
        <v>118.04100000000003</v>
      </c>
      <c r="H73" s="52" cm="1">
        <f t="array" ref="H73">MMS_Swine_AtmosphericDeposition_Equations.VEERG_4_5_1_5__2_TotalNitrogenVolatilisedFromMMS(G22,_xlfn.XLOOKUP($D73,$D$62:$D$68,$E$62:$E$68))</f>
        <v>110.81399999999999</v>
      </c>
      <c r="I73" s="52" cm="1">
        <f t="array" ref="I73">MMS_Swine_AtmosphericDeposition_Equations.VEERG_4_5_1_5__2_TotalNitrogenVolatilisedFromMMS(H22,_xlfn.XLOOKUP($D73,$D$62:$D$68,$E$62:$E$68))</f>
        <v>75.160799999999995</v>
      </c>
      <c r="J73" s="2" t="str">
        <f>$E$11</f>
        <v>kg N</v>
      </c>
      <c r="N73" s="57" t="str">
        <f>'Input - Swine'!$D$29</f>
        <v>Anaerobic lagoon</v>
      </c>
      <c r="O73" s="57" t="s">
        <v>172</v>
      </c>
      <c r="P73" s="52" cm="1">
        <f t="array" ref="P73">MMS_Swine_AtmosphericDeposition_Equations.VEERG_4_5_1_5__2_TotalNitrogenVolatilisedFromMMS(O22,_xlfn.XLOOKUP($N73,$D$62:$D$68,$E$62:$E$68))</f>
        <v>110.81399999999999</v>
      </c>
      <c r="Q73" s="52" cm="1">
        <f t="array" ref="Q73">MMS_Swine_AtmosphericDeposition_Equations.VEERG_4_5_1_5__2_TotalNitrogenVolatilisedFromMMS(P22,_xlfn.XLOOKUP($N73,$D$62:$D$68,$E$62:$E$68))</f>
        <v>118.04100000000003</v>
      </c>
      <c r="R73" s="52" cm="1">
        <f t="array" ref="R73">MMS_Swine_AtmosphericDeposition_Equations.VEERG_4_5_1_5__2_TotalNitrogenVolatilisedFromMMS(Q22,_xlfn.XLOOKUP($N73,$D$62:$D$68,$E$62:$E$68))</f>
        <v>110.81399999999999</v>
      </c>
      <c r="S73" s="52" cm="1">
        <f t="array" ref="S73">MMS_Swine_AtmosphericDeposition_Equations.VEERG_4_5_1_5__2_TotalNitrogenVolatilisedFromMMS(R22,_xlfn.XLOOKUP($N73,$D$62:$D$68,$E$62:$E$68))</f>
        <v>75.160799999999995</v>
      </c>
      <c r="T73" s="2" t="str">
        <f>$E$11</f>
        <v>kg N</v>
      </c>
    </row>
    <row r="74" spans="4:20" ht="20.100000000000001" customHeight="1" x14ac:dyDescent="0.25">
      <c r="D74" s="57" t="str">
        <f>'Input - Swine'!$D$30</f>
        <v>Drylot (feed pad)</v>
      </c>
      <c r="E74" s="57" t="s">
        <v>172</v>
      </c>
      <c r="F74" s="52" cm="1">
        <f t="array" ref="F74">MMS_Swine_AtmosphericDeposition_Equations.VEERG_4_5_1_5__2_TotalNitrogenVolatilisedFromMMS(E23,_xlfn.XLOOKUP($D74,$D$62:$D$68,$E$62:$E$68))</f>
        <v>60.443999999999988</v>
      </c>
      <c r="G74" s="52" cm="1">
        <f t="array" ref="G74">MMS_Swine_AtmosphericDeposition_Equations.VEERG_4_5_1_5__2_TotalNitrogenVolatilisedFromMMS(F23,_xlfn.XLOOKUP($D74,$D$62:$D$68,$E$62:$E$68))</f>
        <v>64.38600000000001</v>
      </c>
      <c r="H74" s="52" cm="1">
        <f t="array" ref="H74">MMS_Swine_AtmosphericDeposition_Equations.VEERG_4_5_1_5__2_TotalNitrogenVolatilisedFromMMS(G23,_xlfn.XLOOKUP($D74,$D$62:$D$68,$E$62:$E$68))</f>
        <v>60.443999999999988</v>
      </c>
      <c r="I74" s="52" cm="1">
        <f t="array" ref="I74">MMS_Swine_AtmosphericDeposition_Equations.VEERG_4_5_1_5__2_TotalNitrogenVolatilisedFromMMS(H23,_xlfn.XLOOKUP($D74,$D$62:$D$68,$E$62:$E$68))</f>
        <v>40.996799999999993</v>
      </c>
      <c r="J74" s="2"/>
      <c r="N74" s="57" t="str">
        <f>'Input - Swine'!$D$30</f>
        <v>Drylot (feed pad)</v>
      </c>
      <c r="O74" s="57" t="s">
        <v>172</v>
      </c>
      <c r="P74" s="52" cm="1">
        <f t="array" ref="P74">MMS_Swine_AtmosphericDeposition_Equations.VEERG_4_5_1_5__2_TotalNitrogenVolatilisedFromMMS(O23,_xlfn.XLOOKUP($N74,$D$62:$D$68,$E$62:$E$68))</f>
        <v>60.443999999999988</v>
      </c>
      <c r="Q74" s="52" cm="1">
        <f t="array" ref="Q74">MMS_Swine_AtmosphericDeposition_Equations.VEERG_4_5_1_5__2_TotalNitrogenVolatilisedFromMMS(P23,_xlfn.XLOOKUP($N74,$D$62:$D$68,$E$62:$E$68))</f>
        <v>64.38600000000001</v>
      </c>
      <c r="R74" s="52" cm="1">
        <f t="array" ref="R74">MMS_Swine_AtmosphericDeposition_Equations.VEERG_4_5_1_5__2_TotalNitrogenVolatilisedFromMMS(Q23,_xlfn.XLOOKUP($N74,$D$62:$D$68,$E$62:$E$68))</f>
        <v>60.443999999999988</v>
      </c>
      <c r="S74" s="52" cm="1">
        <f t="array" ref="S74">MMS_Swine_AtmosphericDeposition_Equations.VEERG_4_5_1_5__2_TotalNitrogenVolatilisedFromMMS(R23,_xlfn.XLOOKUP($N74,$D$62:$D$68,$E$62:$E$68))</f>
        <v>40.996799999999993</v>
      </c>
      <c r="T74" s="2"/>
    </row>
    <row r="75" spans="4:20" ht="20.100000000000001" customHeight="1" x14ac:dyDescent="0.25">
      <c r="D75" s="57" t="str">
        <f>'Input - Swine'!$D$31</f>
        <v>Digester / covered lagoons</v>
      </c>
      <c r="E75" s="57" t="s">
        <v>172</v>
      </c>
      <c r="F75" s="52" cm="1">
        <f t="array" ref="F75">MMS_Swine_AtmosphericDeposition_Equations.VEERG_4_5_1_5__2_TotalNitrogenVolatilisedFromMMS(E24,_xlfn.XLOOKUP($D75,$D$62:$D$68,$E$62:$E$68))</f>
        <v>0</v>
      </c>
      <c r="G75" s="52" cm="1">
        <f t="array" ref="G75">MMS_Swine_AtmosphericDeposition_Equations.VEERG_4_5_1_5__2_TotalNitrogenVolatilisedFromMMS(F24,_xlfn.XLOOKUP($D75,$D$62:$D$68,$E$62:$E$68))</f>
        <v>0</v>
      </c>
      <c r="H75" s="52" cm="1">
        <f t="array" ref="H75">MMS_Swine_AtmosphericDeposition_Equations.VEERG_4_5_1_5__2_TotalNitrogenVolatilisedFromMMS(G24,_xlfn.XLOOKUP($D75,$D$62:$D$68,$E$62:$E$68))</f>
        <v>0</v>
      </c>
      <c r="I75" s="52" cm="1">
        <f t="array" ref="I75">MMS_Swine_AtmosphericDeposition_Equations.VEERG_4_5_1_5__2_TotalNitrogenVolatilisedFromMMS(H24,_xlfn.XLOOKUP($D75,$D$62:$D$68,$E$62:$E$68))</f>
        <v>0</v>
      </c>
      <c r="J75" s="2"/>
      <c r="N75" s="57" t="str">
        <f>'Input - Swine'!$D$31</f>
        <v>Digester / covered lagoons</v>
      </c>
      <c r="O75" s="57" t="s">
        <v>172</v>
      </c>
      <c r="P75" s="52" cm="1">
        <f t="array" ref="P75">MMS_Swine_AtmosphericDeposition_Equations.VEERG_4_5_1_5__2_TotalNitrogenVolatilisedFromMMS(O24,_xlfn.XLOOKUP($N75,$D$62:$D$68,$E$62:$E$68))</f>
        <v>0</v>
      </c>
      <c r="Q75" s="52" cm="1">
        <f t="array" ref="Q75">MMS_Swine_AtmosphericDeposition_Equations.VEERG_4_5_1_5__2_TotalNitrogenVolatilisedFromMMS(P24,_xlfn.XLOOKUP($N75,$D$62:$D$68,$E$62:$E$68))</f>
        <v>0</v>
      </c>
      <c r="R75" s="52" cm="1">
        <f t="array" ref="R75">MMS_Swine_AtmosphericDeposition_Equations.VEERG_4_5_1_5__2_TotalNitrogenVolatilisedFromMMS(Q24,_xlfn.XLOOKUP($N75,$D$62:$D$68,$E$62:$E$68))</f>
        <v>0</v>
      </c>
      <c r="S75" s="52" cm="1">
        <f t="array" ref="S75">MMS_Swine_AtmosphericDeposition_Equations.VEERG_4_5_1_5__2_TotalNitrogenVolatilisedFromMMS(R24,_xlfn.XLOOKUP($N75,$D$62:$D$68,$E$62:$E$68))</f>
        <v>0</v>
      </c>
      <c r="T75" s="2"/>
    </row>
    <row r="76" spans="4:20" ht="20.100000000000001" customHeight="1" x14ac:dyDescent="0.25">
      <c r="D76" s="57" t="str">
        <f>'Input - Swine'!$D$32</f>
        <v>Deep litter</v>
      </c>
      <c r="E76" s="57" t="s">
        <v>172</v>
      </c>
      <c r="F76" s="52" cm="1">
        <f t="array" ref="F76">MMS_Swine_AtmosphericDeposition_Equations.VEERG_4_5_1_5__2_TotalNitrogenVolatilisedFromMMS(E25,_xlfn.XLOOKUP($D76,$D$62:$D$68,$E$62:$E$68))</f>
        <v>25.184999999999995</v>
      </c>
      <c r="G76" s="52" cm="1">
        <f t="array" ref="G76">MMS_Swine_AtmosphericDeposition_Equations.VEERG_4_5_1_5__2_TotalNitrogenVolatilisedFromMMS(F25,_xlfn.XLOOKUP($D76,$D$62:$D$68,$E$62:$E$68))</f>
        <v>26.827500000000004</v>
      </c>
      <c r="H76" s="52" cm="1">
        <f t="array" ref="H76">MMS_Swine_AtmosphericDeposition_Equations.VEERG_4_5_1_5__2_TotalNitrogenVolatilisedFromMMS(G25,_xlfn.XLOOKUP($D76,$D$62:$D$68,$E$62:$E$68))</f>
        <v>25.184999999999995</v>
      </c>
      <c r="I76" s="52" cm="1">
        <f t="array" ref="I76">MMS_Swine_AtmosphericDeposition_Equations.VEERG_4_5_1_5__2_TotalNitrogenVolatilisedFromMMS(H25,_xlfn.XLOOKUP($D76,$D$62:$D$68,$E$62:$E$68))</f>
        <v>17.081999999999997</v>
      </c>
      <c r="J76" s="2"/>
      <c r="N76" s="57" t="str">
        <f>'Input - Swine'!$D$32</f>
        <v>Deep litter</v>
      </c>
      <c r="O76" s="57" t="s">
        <v>172</v>
      </c>
      <c r="P76" s="52" cm="1">
        <f t="array" ref="P76">MMS_Swine_AtmosphericDeposition_Equations.VEERG_4_5_1_5__2_TotalNitrogenVolatilisedFromMMS(O25,_xlfn.XLOOKUP($N76,$D$62:$D$68,$E$62:$E$68))</f>
        <v>25.184999999999995</v>
      </c>
      <c r="Q76" s="52" cm="1">
        <f t="array" ref="Q76">MMS_Swine_AtmosphericDeposition_Equations.VEERG_4_5_1_5__2_TotalNitrogenVolatilisedFromMMS(P25,_xlfn.XLOOKUP($N76,$D$62:$D$68,$E$62:$E$68))</f>
        <v>26.827500000000004</v>
      </c>
      <c r="R76" s="52" cm="1">
        <f t="array" ref="R76">MMS_Swine_AtmosphericDeposition_Equations.VEERG_4_5_1_5__2_TotalNitrogenVolatilisedFromMMS(Q25,_xlfn.XLOOKUP($N76,$D$62:$D$68,$E$62:$E$68))</f>
        <v>25.184999999999995</v>
      </c>
      <c r="S76" s="52" cm="1">
        <f t="array" ref="S76">MMS_Swine_AtmosphericDeposition_Equations.VEERG_4_5_1_5__2_TotalNitrogenVolatilisedFromMMS(R25,_xlfn.XLOOKUP($N76,$D$62:$D$68,$E$62:$E$68))</f>
        <v>17.081999999999997</v>
      </c>
      <c r="T76" s="2"/>
    </row>
    <row r="77" spans="4:20" ht="20.100000000000001" customHeight="1" x14ac:dyDescent="0.25">
      <c r="D77" s="57" t="str">
        <f>'Input - Swine'!$D$33</f>
        <v>Pit storage</v>
      </c>
      <c r="E77" s="57" t="s">
        <v>172</v>
      </c>
      <c r="F77" s="52" cm="1">
        <f t="array" ref="F77">MMS_Swine_AtmosphericDeposition_Equations.VEERG_4_5_1_5__2_TotalNitrogenVolatilisedFromMMS(E26,_xlfn.XLOOKUP($D77,$D$62:$D$68,$E$62:$E$68))</f>
        <v>50.36999999999999</v>
      </c>
      <c r="G77" s="52" cm="1">
        <f t="array" ref="G77">MMS_Swine_AtmosphericDeposition_Equations.VEERG_4_5_1_5__2_TotalNitrogenVolatilisedFromMMS(F26,_xlfn.XLOOKUP($D77,$D$62:$D$68,$E$62:$E$68))</f>
        <v>53.655000000000008</v>
      </c>
      <c r="H77" s="52" cm="1">
        <f t="array" ref="H77">MMS_Swine_AtmosphericDeposition_Equations.VEERG_4_5_1_5__2_TotalNitrogenVolatilisedFromMMS(G26,_xlfn.XLOOKUP($D77,$D$62:$D$68,$E$62:$E$68))</f>
        <v>50.36999999999999</v>
      </c>
      <c r="I77" s="52" cm="1">
        <f t="array" ref="I77">MMS_Swine_AtmosphericDeposition_Equations.VEERG_4_5_1_5__2_TotalNitrogenVolatilisedFromMMS(H26,_xlfn.XLOOKUP($D77,$D$62:$D$68,$E$62:$E$68))</f>
        <v>34.163999999999994</v>
      </c>
      <c r="J77" s="2"/>
      <c r="N77" s="57" t="str">
        <f>'Input - Swine'!$D$33</f>
        <v>Pit storage</v>
      </c>
      <c r="O77" s="57" t="s">
        <v>172</v>
      </c>
      <c r="P77" s="52" cm="1">
        <f t="array" ref="P77">MMS_Swine_AtmosphericDeposition_Equations.VEERG_4_5_1_5__2_TotalNitrogenVolatilisedFromMMS(O26,_xlfn.XLOOKUP($N77,$D$62:$D$68,$E$62:$E$68))</f>
        <v>50.36999999999999</v>
      </c>
      <c r="Q77" s="52" cm="1">
        <f t="array" ref="Q77">MMS_Swine_AtmosphericDeposition_Equations.VEERG_4_5_1_5__2_TotalNitrogenVolatilisedFromMMS(P26,_xlfn.XLOOKUP($N77,$D$62:$D$68,$E$62:$E$68))</f>
        <v>53.655000000000008</v>
      </c>
      <c r="R77" s="52" cm="1">
        <f t="array" ref="R77">MMS_Swine_AtmosphericDeposition_Equations.VEERG_4_5_1_5__2_TotalNitrogenVolatilisedFromMMS(Q26,_xlfn.XLOOKUP($N77,$D$62:$D$68,$E$62:$E$68))</f>
        <v>50.36999999999999</v>
      </c>
      <c r="S77" s="52" cm="1">
        <f t="array" ref="S77">MMS_Swine_AtmosphericDeposition_Equations.VEERG_4_5_1_5__2_TotalNitrogenVolatilisedFromMMS(R26,_xlfn.XLOOKUP($N77,$D$62:$D$68,$E$62:$E$68))</f>
        <v>34.163999999999994</v>
      </c>
      <c r="T77" s="2"/>
    </row>
    <row r="78" spans="4:20" ht="20.100000000000001" customHeight="1" x14ac:dyDescent="0.25">
      <c r="D78" s="57" t="str">
        <f>'Input - Swine'!$D$34</f>
        <v>Solid storage</v>
      </c>
      <c r="E78" s="57" t="s">
        <v>172</v>
      </c>
      <c r="F78" s="52" cm="1">
        <f t="array" ref="F78">MMS_Swine_AtmosphericDeposition_Equations.VEERG_4_5_1_5__2_TotalNitrogenVolatilisedFromMMS(E27,_xlfn.XLOOKUP($D78,$D$62:$D$68,$E$62:$E$68))</f>
        <v>134.32000000000002</v>
      </c>
      <c r="G78" s="52" cm="1">
        <f t="array" ref="G78">MMS_Swine_AtmosphericDeposition_Equations.VEERG_4_5_1_5__2_TotalNitrogenVolatilisedFromMMS(F27,_xlfn.XLOOKUP($D78,$D$62:$D$68,$E$62:$E$68))</f>
        <v>143.08000000000007</v>
      </c>
      <c r="H78" s="52" cm="1">
        <f t="array" ref="H78">MMS_Swine_AtmosphericDeposition_Equations.VEERG_4_5_1_5__2_TotalNitrogenVolatilisedFromMMS(G27,_xlfn.XLOOKUP($D78,$D$62:$D$68,$E$62:$E$68))</f>
        <v>134.32000000000002</v>
      </c>
      <c r="I78" s="52" cm="1">
        <f t="array" ref="I78">MMS_Swine_AtmosphericDeposition_Equations.VEERG_4_5_1_5__2_TotalNitrogenVolatilisedFromMMS(H27,_xlfn.XLOOKUP($D78,$D$62:$D$68,$E$62:$E$68))</f>
        <v>91.104000000000042</v>
      </c>
      <c r="J78" s="2"/>
      <c r="N78" s="57" t="str">
        <f>'Input - Swine'!$D$34</f>
        <v>Solid storage</v>
      </c>
      <c r="O78" s="57" t="s">
        <v>172</v>
      </c>
      <c r="P78" s="52" cm="1">
        <f t="array" ref="P78">MMS_Swine_AtmosphericDeposition_Equations.VEERG_4_5_1_5__2_TotalNitrogenVolatilisedFromMMS(O27,_xlfn.XLOOKUP($N78,$D$62:$D$68,$E$62:$E$68))</f>
        <v>134.32000000000002</v>
      </c>
      <c r="Q78" s="52" cm="1">
        <f t="array" ref="Q78">MMS_Swine_AtmosphericDeposition_Equations.VEERG_4_5_1_5__2_TotalNitrogenVolatilisedFromMMS(P27,_xlfn.XLOOKUP($N78,$D$62:$D$68,$E$62:$E$68))</f>
        <v>143.08000000000007</v>
      </c>
      <c r="R78" s="52" cm="1">
        <f t="array" ref="R78">MMS_Swine_AtmosphericDeposition_Equations.VEERG_4_5_1_5__2_TotalNitrogenVolatilisedFromMMS(Q27,_xlfn.XLOOKUP($N78,$D$62:$D$68,$E$62:$E$68))</f>
        <v>134.32000000000002</v>
      </c>
      <c r="S78" s="52" cm="1">
        <f t="array" ref="S78">MMS_Swine_AtmosphericDeposition_Equations.VEERG_4_5_1_5__2_TotalNitrogenVolatilisedFromMMS(R27,_xlfn.XLOOKUP($N78,$D$62:$D$68,$E$62:$E$68))</f>
        <v>91.104000000000042</v>
      </c>
      <c r="T78" s="2"/>
    </row>
    <row r="79" spans="4:20" ht="20.100000000000001" customHeight="1" x14ac:dyDescent="0.25">
      <c r="D79" s="57" t="str">
        <f>'Input - Swine'!$D$29</f>
        <v>Anaerobic lagoon</v>
      </c>
      <c r="E79" s="57" t="str">
        <f>'Input - Swine'!$D$48</f>
        <v>Digester / covered lagoons</v>
      </c>
      <c r="F79" s="52" cm="1">
        <f t="array" ref="F79">MMS_Swine_AtmosphericDeposition_Equations.VEERG_4_5_1_5__2_TotalNitrogenVolatilisedFromMMS(F32,_xlfn.XLOOKUP($E79,$D$62:$D$68,$E$62:$E$68))</f>
        <v>0</v>
      </c>
      <c r="G79" s="52" cm="1">
        <f t="array" ref="G79">MMS_Swine_AtmosphericDeposition_Equations.VEERG_4_5_1_5__2_TotalNitrogenVolatilisedFromMMS(G32,_xlfn.XLOOKUP($E79,$D$62:$D$68,$E$62:$E$68))</f>
        <v>0</v>
      </c>
      <c r="H79" s="52" cm="1">
        <f t="array" ref="H79">MMS_Swine_AtmosphericDeposition_Equations.VEERG_4_5_1_5__2_TotalNitrogenVolatilisedFromMMS(H32,_xlfn.XLOOKUP($E79,$D$62:$D$68,$E$62:$E$68))</f>
        <v>0</v>
      </c>
      <c r="I79" s="52" cm="1">
        <f t="array" ref="I79">MMS_Swine_AtmosphericDeposition_Equations.VEERG_4_5_1_5__2_TotalNitrogenVolatilisedFromMMS(I32,_xlfn.XLOOKUP($E79,$D$62:$D$68,$E$62:$E$68))</f>
        <v>0</v>
      </c>
      <c r="J79" s="2"/>
      <c r="N79" s="57" t="str">
        <f>'Input - Swine'!$D$29</f>
        <v>Anaerobic lagoon</v>
      </c>
      <c r="O79" s="57" t="str">
        <f>'Input - Swine'!$D$48</f>
        <v>Digester / covered lagoons</v>
      </c>
      <c r="P79" s="52" cm="1">
        <f t="array" ref="P79">MMS_Swine_AtmosphericDeposition_Equations.VEERG_4_5_1_5__2_TotalNitrogenVolatilisedFromMMS(P32,_xlfn.XLOOKUP($O79,$D$62:$D$68,$E$62:$E$68))</f>
        <v>0</v>
      </c>
      <c r="Q79" s="52" cm="1">
        <f t="array" ref="Q79">MMS_Swine_AtmosphericDeposition_Equations.VEERG_4_5_1_5__2_TotalNitrogenVolatilisedFromMMS(Q32,_xlfn.XLOOKUP($O79,$D$62:$D$68,$E$62:$E$68))</f>
        <v>0</v>
      </c>
      <c r="R79" s="52" cm="1">
        <f t="array" ref="R79">MMS_Swine_AtmosphericDeposition_Equations.VEERG_4_5_1_5__2_TotalNitrogenVolatilisedFromMMS(R32,_xlfn.XLOOKUP($O79,$D$62:$D$68,$E$62:$E$68))</f>
        <v>0</v>
      </c>
      <c r="S79" s="52" cm="1">
        <f t="array" ref="S79">MMS_Swine_AtmosphericDeposition_Equations.VEERG_4_5_1_5__2_TotalNitrogenVolatilisedFromMMS(S32,_xlfn.XLOOKUP($O79,$D$62:$D$68,$E$62:$E$68))</f>
        <v>0</v>
      </c>
      <c r="T79" s="2"/>
    </row>
    <row r="80" spans="4:20" ht="20.100000000000001" customHeight="1" x14ac:dyDescent="0.25">
      <c r="D80" s="57"/>
      <c r="E80" s="57" t="str">
        <f>'Input - Swine'!$D$49</f>
        <v>Deep litter</v>
      </c>
      <c r="F80" s="52" cm="1">
        <f t="array" ref="F80">MMS_Swine_AtmosphericDeposition_Equations.VEERG_4_5_1_5__2_TotalNitrogenVolatilisedFromMMS(F33,_xlfn.XLOOKUP($E80,$D$62:$D$68,$E$62:$E$68))</f>
        <v>2.2666499999999994</v>
      </c>
      <c r="G80" s="52" cm="1">
        <f t="array" ref="G80">MMS_Swine_AtmosphericDeposition_Equations.VEERG_4_5_1_5__2_TotalNitrogenVolatilisedFromMMS(G33,_xlfn.XLOOKUP($E80,$D$62:$D$68,$E$62:$E$68))</f>
        <v>3.0180937500000002</v>
      </c>
      <c r="H80" s="52" cm="1">
        <f t="array" ref="H80">MMS_Swine_AtmosphericDeposition_Equations.VEERG_4_5_1_5__2_TotalNitrogenVolatilisedFromMMS(H33,_xlfn.XLOOKUP($E80,$D$62:$D$68,$E$62:$E$68))</f>
        <v>2.833312499999999</v>
      </c>
      <c r="I80" s="52" cm="1">
        <f t="array" ref="I80">MMS_Swine_AtmosphericDeposition_Equations.VEERG_4_5_1_5__2_TotalNitrogenVolatilisedFromMMS(I33,_xlfn.XLOOKUP($E80,$D$62:$D$68,$E$62:$E$68))</f>
        <v>1.9217249999999995</v>
      </c>
      <c r="J80" s="2"/>
      <c r="N80" s="57"/>
      <c r="O80" s="57" t="str">
        <f>'Input - Swine'!$D$49</f>
        <v>Deep litter</v>
      </c>
      <c r="P80" s="52" cm="1">
        <f t="array" ref="P80">MMS_Swine_AtmosphericDeposition_Equations.VEERG_4_5_1_5__2_TotalNitrogenVolatilisedFromMMS(P33,_xlfn.XLOOKUP($O80,$D$62:$D$68,$E$62:$E$68))</f>
        <v>2.2666499999999994</v>
      </c>
      <c r="Q80" s="52" cm="1">
        <f t="array" ref="Q80">MMS_Swine_AtmosphericDeposition_Equations.VEERG_4_5_1_5__2_TotalNitrogenVolatilisedFromMMS(Q33,_xlfn.XLOOKUP($O80,$D$62:$D$68,$E$62:$E$68))</f>
        <v>3.0180937500000002</v>
      </c>
      <c r="R80" s="52" cm="1">
        <f t="array" ref="R80">MMS_Swine_AtmosphericDeposition_Equations.VEERG_4_5_1_5__2_TotalNitrogenVolatilisedFromMMS(R33,_xlfn.XLOOKUP($O80,$D$62:$D$68,$E$62:$E$68))</f>
        <v>2.833312499999999</v>
      </c>
      <c r="S80" s="52" cm="1">
        <f t="array" ref="S80">MMS_Swine_AtmosphericDeposition_Equations.VEERG_4_5_1_5__2_TotalNitrogenVolatilisedFromMMS(S33,_xlfn.XLOOKUP($O80,$D$62:$D$68,$E$62:$E$68))</f>
        <v>1.9217249999999995</v>
      </c>
      <c r="T80" s="2"/>
    </row>
    <row r="81" spans="4:20" ht="20.100000000000001" customHeight="1" x14ac:dyDescent="0.25">
      <c r="D81" s="57"/>
      <c r="E81" s="57" t="str">
        <f>'Input - Swine'!$D$50</f>
        <v>Pit storage</v>
      </c>
      <c r="F81" s="52" cm="1">
        <f t="array" ref="F81">MMS_Swine_AtmosphericDeposition_Equations.VEERG_4_5_1_5__2_TotalNitrogenVolatilisedFromMMS(F34,_xlfn.XLOOKUP($E81,$D$62:$D$68,$E$62:$E$68))</f>
        <v>4.5332999999999988</v>
      </c>
      <c r="G81" s="52" cm="1">
        <f t="array" ref="G81">MMS_Swine_AtmosphericDeposition_Equations.VEERG_4_5_1_5__2_TotalNitrogenVolatilisedFromMMS(G34,_xlfn.XLOOKUP($E81,$D$62:$D$68,$E$62:$E$68))</f>
        <v>6.0361875000000005</v>
      </c>
      <c r="H81" s="52" cm="1">
        <f t="array" ref="H81">MMS_Swine_AtmosphericDeposition_Equations.VEERG_4_5_1_5__2_TotalNitrogenVolatilisedFromMMS(H34,_xlfn.XLOOKUP($E81,$D$62:$D$68,$E$62:$E$68))</f>
        <v>5.666624999999998</v>
      </c>
      <c r="I81" s="52" cm="1">
        <f t="array" ref="I81">MMS_Swine_AtmosphericDeposition_Equations.VEERG_4_5_1_5__2_TotalNitrogenVolatilisedFromMMS(I34,_xlfn.XLOOKUP($E81,$D$62:$D$68,$E$62:$E$68))</f>
        <v>3.8434499999999989</v>
      </c>
      <c r="J81" s="2"/>
      <c r="N81" s="57"/>
      <c r="O81" s="57" t="str">
        <f>'Input - Swine'!$D$50</f>
        <v>Pit storage</v>
      </c>
      <c r="P81" s="52" cm="1">
        <f t="array" ref="P81">MMS_Swine_AtmosphericDeposition_Equations.VEERG_4_5_1_5__2_TotalNitrogenVolatilisedFromMMS(P34,_xlfn.XLOOKUP($O81,$D$62:$D$68,$E$62:$E$68))</f>
        <v>4.5332999999999988</v>
      </c>
      <c r="Q81" s="52" cm="1">
        <f t="array" ref="Q81">MMS_Swine_AtmosphericDeposition_Equations.VEERG_4_5_1_5__2_TotalNitrogenVolatilisedFromMMS(Q34,_xlfn.XLOOKUP($O81,$D$62:$D$68,$E$62:$E$68))</f>
        <v>6.0361875000000005</v>
      </c>
      <c r="R81" s="52" cm="1">
        <f t="array" ref="R81">MMS_Swine_AtmosphericDeposition_Equations.VEERG_4_5_1_5__2_TotalNitrogenVolatilisedFromMMS(R34,_xlfn.XLOOKUP($O81,$D$62:$D$68,$E$62:$E$68))</f>
        <v>5.666624999999998</v>
      </c>
      <c r="S81" s="52" cm="1">
        <f t="array" ref="S81">MMS_Swine_AtmosphericDeposition_Equations.VEERG_4_5_1_5__2_TotalNitrogenVolatilisedFromMMS(S34,_xlfn.XLOOKUP($O81,$D$62:$D$68,$E$62:$E$68))</f>
        <v>3.8434499999999989</v>
      </c>
      <c r="T81" s="2"/>
    </row>
    <row r="82" spans="4:20" ht="20.100000000000001" customHeight="1" x14ac:dyDescent="0.25">
      <c r="D82" s="57"/>
      <c r="E82" s="57" t="str">
        <f>'Input - Swine'!$D$51</f>
        <v>Direct application</v>
      </c>
      <c r="F82" s="52" t="s">
        <v>172</v>
      </c>
      <c r="G82" s="52" t="s">
        <v>172</v>
      </c>
      <c r="H82" s="52" t="s">
        <v>172</v>
      </c>
      <c r="I82" s="52" t="s">
        <v>172</v>
      </c>
      <c r="N82" s="57"/>
      <c r="O82" s="57" t="str">
        <f>'Input - Swine'!$D$51</f>
        <v>Direct application</v>
      </c>
      <c r="P82" s="52" t="s">
        <v>172</v>
      </c>
      <c r="Q82" s="52" t="s">
        <v>172</v>
      </c>
      <c r="R82" s="52" t="s">
        <v>172</v>
      </c>
      <c r="S82" s="52" t="s">
        <v>172</v>
      </c>
      <c r="T82" s="2"/>
    </row>
    <row r="83" spans="4:20" ht="20.100000000000001" customHeight="1" x14ac:dyDescent="0.25">
      <c r="D83" s="57" t="str">
        <f>'Input - Swine'!$D$30</f>
        <v>Drylot (feed pad)</v>
      </c>
      <c r="E83" s="57" t="str">
        <f>'Input - Swine'!$D$55</f>
        <v>Anaerobic lagoon</v>
      </c>
      <c r="F83" s="52" cm="1">
        <f t="array" ref="F83">MMS_Swine_AtmosphericDeposition_Equations.VEERG_4_5_1_5__2_TotalNitrogenVolatilisedFromMMS(F36,_xlfn.XLOOKUP($E83,$D$62:$D$68,$E$62:$E$68))</f>
        <v>15.070703999999997</v>
      </c>
      <c r="G83" s="52" cm="1">
        <f t="array" ref="G83">MMS_Swine_AtmosphericDeposition_Equations.VEERG_4_5_1_5__2_TotalNitrogenVolatilisedFromMMS(G36,_xlfn.XLOOKUP($E83,$D$62:$D$68,$E$62:$E$68))</f>
        <v>20.066970000000005</v>
      </c>
      <c r="H83" s="52" cm="1">
        <f t="array" ref="H83">MMS_Swine_AtmosphericDeposition_Equations.VEERG_4_5_1_5__2_TotalNitrogenVolatilisedFromMMS(H36,_xlfn.XLOOKUP($E83,$D$62:$D$68,$E$62:$E$68))</f>
        <v>18.838379999999997</v>
      </c>
      <c r="I83" s="52" cm="1">
        <f t="array" ref="I83">MMS_Swine_AtmosphericDeposition_Equations.VEERG_4_5_1_5__2_TotalNitrogenVolatilisedFromMMS(I36,_xlfn.XLOOKUP($E83,$D$62:$D$68,$E$62:$E$68))</f>
        <v>12.777335999999996</v>
      </c>
      <c r="J83" s="2"/>
      <c r="N83" s="57" t="str">
        <f>'Input - Swine'!$D$30</f>
        <v>Drylot (feed pad)</v>
      </c>
      <c r="O83" s="57" t="str">
        <f>'Input - Swine'!$D$55</f>
        <v>Anaerobic lagoon</v>
      </c>
      <c r="P83" s="52" cm="1">
        <f t="array" ref="P83">MMS_Swine_AtmosphericDeposition_Equations.VEERG_4_5_1_5__2_TotalNitrogenVolatilisedFromMMS(P36,_xlfn.XLOOKUP($O83,$D$62:$D$68,$E$62:$E$68))</f>
        <v>15.070703999999997</v>
      </c>
      <c r="Q83" s="52" cm="1">
        <f t="array" ref="Q83">MMS_Swine_AtmosphericDeposition_Equations.VEERG_4_5_1_5__2_TotalNitrogenVolatilisedFromMMS(Q36,_xlfn.XLOOKUP($O83,$D$62:$D$68,$E$62:$E$68))</f>
        <v>20.066970000000005</v>
      </c>
      <c r="R83" s="52" cm="1">
        <f t="array" ref="R83">MMS_Swine_AtmosphericDeposition_Equations.VEERG_4_5_1_5__2_TotalNitrogenVolatilisedFromMMS(R36,_xlfn.XLOOKUP($O83,$D$62:$D$68,$E$62:$E$68))</f>
        <v>18.838379999999997</v>
      </c>
      <c r="S83" s="52" cm="1">
        <f t="array" ref="S83">MMS_Swine_AtmosphericDeposition_Equations.VEERG_4_5_1_5__2_TotalNitrogenVolatilisedFromMMS(S36,_xlfn.XLOOKUP($O83,$D$62:$D$68,$E$62:$E$68))</f>
        <v>12.777335999999996</v>
      </c>
      <c r="T83" s="2"/>
    </row>
    <row r="84" spans="4:20" ht="20.100000000000001" customHeight="1" x14ac:dyDescent="0.25">
      <c r="D84" s="57"/>
      <c r="E84" s="57" t="str">
        <f>'Input - Swine'!$D$56</f>
        <v>Digester / covered lagoons</v>
      </c>
      <c r="F84" s="52" cm="1">
        <f t="array" ref="F84">MMS_Swine_AtmosphericDeposition_Equations.VEERG_4_5_1_5__2_TotalNitrogenVolatilisedFromMMS(F37,_xlfn.XLOOKUP($E84,$D$62:$D$68,$E$62:$E$68))</f>
        <v>0</v>
      </c>
      <c r="G84" s="52" cm="1">
        <f t="array" ref="G84">MMS_Swine_AtmosphericDeposition_Equations.VEERG_4_5_1_5__2_TotalNitrogenVolatilisedFromMMS(G37,_xlfn.XLOOKUP($E84,$D$62:$D$68,$E$62:$E$68))</f>
        <v>0</v>
      </c>
      <c r="H84" s="52" cm="1">
        <f t="array" ref="H84">MMS_Swine_AtmosphericDeposition_Equations.VEERG_4_5_1_5__2_TotalNitrogenVolatilisedFromMMS(H37,_xlfn.XLOOKUP($E84,$D$62:$D$68,$E$62:$E$68))</f>
        <v>0</v>
      </c>
      <c r="I84" s="52" cm="1">
        <f t="array" ref="I84">MMS_Swine_AtmosphericDeposition_Equations.VEERG_4_5_1_5__2_TotalNitrogenVolatilisedFromMMS(I37,_xlfn.XLOOKUP($E84,$D$62:$D$68,$E$62:$E$68))</f>
        <v>0</v>
      </c>
      <c r="J84" s="2"/>
      <c r="N84" s="57"/>
      <c r="O84" s="57" t="str">
        <f>'Input - Swine'!$D$56</f>
        <v>Digester / covered lagoons</v>
      </c>
      <c r="P84" s="52" cm="1">
        <f t="array" ref="P84">MMS_Swine_AtmosphericDeposition_Equations.VEERG_4_5_1_5__2_TotalNitrogenVolatilisedFromMMS(P37,_xlfn.XLOOKUP($O84,$D$62:$D$68,$E$62:$E$68))</f>
        <v>0</v>
      </c>
      <c r="Q84" s="52" cm="1">
        <f t="array" ref="Q84">MMS_Swine_AtmosphericDeposition_Equations.VEERG_4_5_1_5__2_TotalNitrogenVolatilisedFromMMS(Q37,_xlfn.XLOOKUP($O84,$D$62:$D$68,$E$62:$E$68))</f>
        <v>0</v>
      </c>
      <c r="R84" s="52" cm="1">
        <f t="array" ref="R84">MMS_Swine_AtmosphericDeposition_Equations.VEERG_4_5_1_5__2_TotalNitrogenVolatilisedFromMMS(R37,_xlfn.XLOOKUP($O84,$D$62:$D$68,$E$62:$E$68))</f>
        <v>0</v>
      </c>
      <c r="S84" s="52" cm="1">
        <f t="array" ref="S84">MMS_Swine_AtmosphericDeposition_Equations.VEERG_4_5_1_5__2_TotalNitrogenVolatilisedFromMMS(S37,_xlfn.XLOOKUP($O84,$D$62:$D$68,$E$62:$E$68))</f>
        <v>0</v>
      </c>
      <c r="T84" s="2"/>
    </row>
    <row r="85" spans="4:20" ht="20.100000000000001" customHeight="1" x14ac:dyDescent="0.25">
      <c r="D85" s="57"/>
      <c r="E85" s="57" t="str">
        <f>'Input - Swine'!$D$57</f>
        <v>Deep litter</v>
      </c>
      <c r="F85" s="52" cm="1">
        <f t="array" ref="F85">MMS_Swine_AtmosphericDeposition_Equations.VEERG_4_5_1_5__2_TotalNitrogenVolatilisedFromMMS(F38,_xlfn.XLOOKUP($E85,$D$62:$D$68,$E$62:$E$68))</f>
        <v>3.4251599999999991</v>
      </c>
      <c r="G85" s="52" cm="1">
        <f t="array" ref="G85">MMS_Swine_AtmosphericDeposition_Equations.VEERG_4_5_1_5__2_TotalNitrogenVolatilisedFromMMS(G38,_xlfn.XLOOKUP($E85,$D$62:$D$68,$E$62:$E$68))</f>
        <v>4.5606750000000007</v>
      </c>
      <c r="H85" s="52" cm="1">
        <f t="array" ref="H85">MMS_Swine_AtmosphericDeposition_Equations.VEERG_4_5_1_5__2_TotalNitrogenVolatilisedFromMMS(H38,_xlfn.XLOOKUP($E85,$D$62:$D$68,$E$62:$E$68))</f>
        <v>4.2814499999999986</v>
      </c>
      <c r="I85" s="52" cm="1">
        <f t="array" ref="I85">MMS_Swine_AtmosphericDeposition_Equations.VEERG_4_5_1_5__2_TotalNitrogenVolatilisedFromMMS(I38,_xlfn.XLOOKUP($E85,$D$62:$D$68,$E$62:$E$68))</f>
        <v>2.9039399999999991</v>
      </c>
      <c r="J85" s="2"/>
      <c r="N85" s="57"/>
      <c r="O85" s="57" t="str">
        <f>'Input - Swine'!$D$57</f>
        <v>Deep litter</v>
      </c>
      <c r="P85" s="52" cm="1">
        <f t="array" ref="P85">MMS_Swine_AtmosphericDeposition_Equations.VEERG_4_5_1_5__2_TotalNitrogenVolatilisedFromMMS(P38,_xlfn.XLOOKUP($O85,$D$62:$D$68,$E$62:$E$68))</f>
        <v>3.4251599999999991</v>
      </c>
      <c r="Q85" s="52" cm="1">
        <f t="array" ref="Q85">MMS_Swine_AtmosphericDeposition_Equations.VEERG_4_5_1_5__2_TotalNitrogenVolatilisedFromMMS(Q38,_xlfn.XLOOKUP($O85,$D$62:$D$68,$E$62:$E$68))</f>
        <v>4.5606750000000007</v>
      </c>
      <c r="R85" s="52" cm="1">
        <f t="array" ref="R85">MMS_Swine_AtmosphericDeposition_Equations.VEERG_4_5_1_5__2_TotalNitrogenVolatilisedFromMMS(R38,_xlfn.XLOOKUP($O85,$D$62:$D$68,$E$62:$E$68))</f>
        <v>4.2814499999999986</v>
      </c>
      <c r="S85" s="52" cm="1">
        <f t="array" ref="S85">MMS_Swine_AtmosphericDeposition_Equations.VEERG_4_5_1_5__2_TotalNitrogenVolatilisedFromMMS(S38,_xlfn.XLOOKUP($O85,$D$62:$D$68,$E$62:$E$68))</f>
        <v>2.9039399999999991</v>
      </c>
      <c r="T85" s="2"/>
    </row>
    <row r="86" spans="4:20" ht="20.100000000000001" customHeight="1" x14ac:dyDescent="0.25">
      <c r="D86" s="57"/>
      <c r="E86" s="57" t="str">
        <f>'Input - Swine'!$D$58</f>
        <v>Pit storage</v>
      </c>
      <c r="F86" s="52" cm="1">
        <f t="array" ref="F86">MMS_Swine_AtmosphericDeposition_Equations.VEERG_4_5_1_5__2_TotalNitrogenVolatilisedFromMMS(F39,_xlfn.XLOOKUP($E86,$D$62:$D$68,$E$62:$E$68))</f>
        <v>6.8503199999999982</v>
      </c>
      <c r="G86" s="52" cm="1">
        <f t="array" ref="G86">MMS_Swine_AtmosphericDeposition_Equations.VEERG_4_5_1_5__2_TotalNitrogenVolatilisedFromMMS(G39,_xlfn.XLOOKUP($E86,$D$62:$D$68,$E$62:$E$68))</f>
        <v>9.1213500000000014</v>
      </c>
      <c r="H86" s="52" cm="1">
        <f t="array" ref="H86">MMS_Swine_AtmosphericDeposition_Equations.VEERG_4_5_1_5__2_TotalNitrogenVolatilisedFromMMS(H39,_xlfn.XLOOKUP($E86,$D$62:$D$68,$E$62:$E$68))</f>
        <v>8.5628999999999973</v>
      </c>
      <c r="I86" s="52" cm="1">
        <f t="array" ref="I86">MMS_Swine_AtmosphericDeposition_Equations.VEERG_4_5_1_5__2_TotalNitrogenVolatilisedFromMMS(I39,_xlfn.XLOOKUP($E86,$D$62:$D$68,$E$62:$E$68))</f>
        <v>5.8078799999999982</v>
      </c>
      <c r="J86" s="2"/>
      <c r="N86" s="57"/>
      <c r="O86" s="57" t="str">
        <f>'Input - Swine'!$D$58</f>
        <v>Pit storage</v>
      </c>
      <c r="P86" s="52" cm="1">
        <f t="array" ref="P86">MMS_Swine_AtmosphericDeposition_Equations.VEERG_4_5_1_5__2_TotalNitrogenVolatilisedFromMMS(P39,_xlfn.XLOOKUP($O86,$D$62:$D$68,$E$62:$E$68))</f>
        <v>6.8503199999999982</v>
      </c>
      <c r="Q86" s="52" cm="1">
        <f t="array" ref="Q86">MMS_Swine_AtmosphericDeposition_Equations.VEERG_4_5_1_5__2_TotalNitrogenVolatilisedFromMMS(Q39,_xlfn.XLOOKUP($O86,$D$62:$D$68,$E$62:$E$68))</f>
        <v>9.1213500000000014</v>
      </c>
      <c r="R86" s="52" cm="1">
        <f t="array" ref="R86">MMS_Swine_AtmosphericDeposition_Equations.VEERG_4_5_1_5__2_TotalNitrogenVolatilisedFromMMS(R39,_xlfn.XLOOKUP($O86,$D$62:$D$68,$E$62:$E$68))</f>
        <v>8.5628999999999973</v>
      </c>
      <c r="S86" s="52" cm="1">
        <f t="array" ref="S86">MMS_Swine_AtmosphericDeposition_Equations.VEERG_4_5_1_5__2_TotalNitrogenVolatilisedFromMMS(S39,_xlfn.XLOOKUP($O86,$D$62:$D$68,$E$62:$E$68))</f>
        <v>5.8078799999999982</v>
      </c>
      <c r="T86" s="2"/>
    </row>
    <row r="87" spans="4:20" ht="20.100000000000001" customHeight="1" x14ac:dyDescent="0.25">
      <c r="D87" s="57"/>
      <c r="E87" s="57" t="str">
        <f>'Input - Swine'!$D$59</f>
        <v>Direct application</v>
      </c>
      <c r="F87" s="52" t="s">
        <v>172</v>
      </c>
      <c r="G87" s="52" t="s">
        <v>172</v>
      </c>
      <c r="H87" s="52" t="s">
        <v>172</v>
      </c>
      <c r="I87" s="52" t="s">
        <v>172</v>
      </c>
      <c r="N87" s="57"/>
      <c r="O87" s="57" t="str">
        <f>'Input - Swine'!$D$59</f>
        <v>Direct application</v>
      </c>
      <c r="P87" s="52" t="s">
        <v>172</v>
      </c>
      <c r="Q87" s="52" t="s">
        <v>172</v>
      </c>
      <c r="R87" s="52" t="s">
        <v>172</v>
      </c>
      <c r="S87" s="52" t="s">
        <v>172</v>
      </c>
      <c r="T87" s="2"/>
    </row>
    <row r="88" spans="4:20" ht="20.100000000000001" customHeight="1" x14ac:dyDescent="0.25">
      <c r="D88" s="57" t="str">
        <f>'Input - Swine'!$D$31</f>
        <v>Digester / covered lagoons</v>
      </c>
      <c r="E88" s="57" t="str">
        <f>'Input - Swine'!$D$63</f>
        <v>Anaerobic lagoon</v>
      </c>
      <c r="F88" s="52" cm="1">
        <f t="array" ref="F88">MMS_Swine_AtmosphericDeposition_Equations.VEERG_4_5_1_5__2_TotalNitrogenVolatilisedFromMMS(F41,_xlfn.XLOOKUP($E88,$D$62:$D$68,$E$62:$E$68))</f>
        <v>22.162799999999997</v>
      </c>
      <c r="G88" s="52" cm="1">
        <f t="array" ref="G88">MMS_Swine_AtmosphericDeposition_Equations.VEERG_4_5_1_5__2_TotalNitrogenVolatilisedFromMMS(G41,_xlfn.XLOOKUP($E88,$D$62:$D$68,$E$62:$E$68))</f>
        <v>29.510250000000006</v>
      </c>
      <c r="H88" s="52" cm="1">
        <f t="array" ref="H88">MMS_Swine_AtmosphericDeposition_Equations.VEERG_4_5_1_5__2_TotalNitrogenVolatilisedFromMMS(H41,_xlfn.XLOOKUP($E88,$D$62:$D$68,$E$62:$E$68))</f>
        <v>27.703499999999998</v>
      </c>
      <c r="I88" s="52" cm="1">
        <f t="array" ref="I88">MMS_Swine_AtmosphericDeposition_Equations.VEERG_4_5_1_5__2_TotalNitrogenVolatilisedFromMMS(I41,_xlfn.XLOOKUP($E88,$D$62:$D$68,$E$62:$E$68))</f>
        <v>18.790199999999999</v>
      </c>
      <c r="J88" s="2"/>
      <c r="N88" s="57" t="str">
        <f>'Input - Swine'!$D$31</f>
        <v>Digester / covered lagoons</v>
      </c>
      <c r="O88" s="57" t="str">
        <f>'Input - Swine'!$D$63</f>
        <v>Anaerobic lagoon</v>
      </c>
      <c r="P88" s="52" cm="1">
        <f t="array" ref="P88">MMS_Swine_AtmosphericDeposition_Equations.VEERG_4_5_1_5__2_TotalNitrogenVolatilisedFromMMS(P41,_xlfn.XLOOKUP($O88,$D$62:$D$68,$E$62:$E$68))</f>
        <v>22.162799999999997</v>
      </c>
      <c r="Q88" s="52" cm="1">
        <f t="array" ref="Q88">MMS_Swine_AtmosphericDeposition_Equations.VEERG_4_5_1_5__2_TotalNitrogenVolatilisedFromMMS(Q41,_xlfn.XLOOKUP($O88,$D$62:$D$68,$E$62:$E$68))</f>
        <v>29.510250000000006</v>
      </c>
      <c r="R88" s="52" cm="1">
        <f t="array" ref="R88">MMS_Swine_AtmosphericDeposition_Equations.VEERG_4_5_1_5__2_TotalNitrogenVolatilisedFromMMS(R41,_xlfn.XLOOKUP($O88,$D$62:$D$68,$E$62:$E$68))</f>
        <v>27.703499999999998</v>
      </c>
      <c r="S88" s="52" cm="1">
        <f t="array" ref="S88">MMS_Swine_AtmosphericDeposition_Equations.VEERG_4_5_1_5__2_TotalNitrogenVolatilisedFromMMS(S41,_xlfn.XLOOKUP($O88,$D$62:$D$68,$E$62:$E$68))</f>
        <v>18.790199999999999</v>
      </c>
      <c r="T88" s="2"/>
    </row>
    <row r="89" spans="4:20" ht="20.100000000000001" customHeight="1" x14ac:dyDescent="0.25">
      <c r="D89" s="57"/>
      <c r="E89" s="57" t="str">
        <f>'Input - Swine'!$D$64</f>
        <v>Deep litter</v>
      </c>
      <c r="F89" s="52" cm="1">
        <f t="array" ref="F89">MMS_Swine_AtmosphericDeposition_Equations.VEERG_4_5_1_5__2_TotalNitrogenVolatilisedFromMMS(F42,_xlfn.XLOOKUP($E89,$D$62:$D$68,$E$62:$E$68))</f>
        <v>5.036999999999999</v>
      </c>
      <c r="G89" s="52" cm="1">
        <f t="array" ref="G89">MMS_Swine_AtmosphericDeposition_Equations.VEERG_4_5_1_5__2_TotalNitrogenVolatilisedFromMMS(G42,_xlfn.XLOOKUP($E89,$D$62:$D$68,$E$62:$E$68))</f>
        <v>6.706875000000001</v>
      </c>
      <c r="H89" s="52" cm="1">
        <f t="array" ref="H89">MMS_Swine_AtmosphericDeposition_Equations.VEERG_4_5_1_5__2_TotalNitrogenVolatilisedFromMMS(H42,_xlfn.XLOOKUP($E89,$D$62:$D$68,$E$62:$E$68))</f>
        <v>6.2962499999999988</v>
      </c>
      <c r="I89" s="52" cm="1">
        <f t="array" ref="I89">MMS_Swine_AtmosphericDeposition_Equations.VEERG_4_5_1_5__2_TotalNitrogenVolatilisedFromMMS(I42,_xlfn.XLOOKUP($E89,$D$62:$D$68,$E$62:$E$68))</f>
        <v>4.2704999999999993</v>
      </c>
      <c r="J89" s="2"/>
      <c r="N89" s="57"/>
      <c r="O89" s="57" t="str">
        <f>'Input - Swine'!$D$64</f>
        <v>Deep litter</v>
      </c>
      <c r="P89" s="52" cm="1">
        <f t="array" ref="P89">MMS_Swine_AtmosphericDeposition_Equations.VEERG_4_5_1_5__2_TotalNitrogenVolatilisedFromMMS(P42,_xlfn.XLOOKUP($O89,$D$62:$D$68,$E$62:$E$68))</f>
        <v>5.036999999999999</v>
      </c>
      <c r="Q89" s="52" cm="1">
        <f t="array" ref="Q89">MMS_Swine_AtmosphericDeposition_Equations.VEERG_4_5_1_5__2_TotalNitrogenVolatilisedFromMMS(Q42,_xlfn.XLOOKUP($O89,$D$62:$D$68,$E$62:$E$68))</f>
        <v>6.706875000000001</v>
      </c>
      <c r="R89" s="52" cm="1">
        <f t="array" ref="R89">MMS_Swine_AtmosphericDeposition_Equations.VEERG_4_5_1_5__2_TotalNitrogenVolatilisedFromMMS(R42,_xlfn.XLOOKUP($O89,$D$62:$D$68,$E$62:$E$68))</f>
        <v>6.2962499999999988</v>
      </c>
      <c r="S89" s="52" cm="1">
        <f t="array" ref="S89">MMS_Swine_AtmosphericDeposition_Equations.VEERG_4_5_1_5__2_TotalNitrogenVolatilisedFromMMS(S42,_xlfn.XLOOKUP($O89,$D$62:$D$68,$E$62:$E$68))</f>
        <v>4.2704999999999993</v>
      </c>
      <c r="T89" s="2"/>
    </row>
    <row r="90" spans="4:20" ht="20.100000000000001" customHeight="1" x14ac:dyDescent="0.25">
      <c r="D90" s="57"/>
      <c r="E90" s="57" t="str">
        <f>'Input - Swine'!$D$65</f>
        <v>Pit storage</v>
      </c>
      <c r="F90" s="52" cm="1">
        <f t="array" ref="F90">MMS_Swine_AtmosphericDeposition_Equations.VEERG_4_5_1_5__2_TotalNitrogenVolatilisedFromMMS(F43,_xlfn.XLOOKUP($E90,$D$62:$D$68,$E$62:$E$68))</f>
        <v>10.073999999999998</v>
      </c>
      <c r="G90" s="52" cm="1">
        <f t="array" ref="G90">MMS_Swine_AtmosphericDeposition_Equations.VEERG_4_5_1_5__2_TotalNitrogenVolatilisedFromMMS(G43,_xlfn.XLOOKUP($E90,$D$62:$D$68,$E$62:$E$68))</f>
        <v>13.413750000000002</v>
      </c>
      <c r="H90" s="52" cm="1">
        <f t="array" ref="H90">MMS_Swine_AtmosphericDeposition_Equations.VEERG_4_5_1_5__2_TotalNitrogenVolatilisedFromMMS(H43,_xlfn.XLOOKUP($E90,$D$62:$D$68,$E$62:$E$68))</f>
        <v>12.592499999999998</v>
      </c>
      <c r="I90" s="52" cm="1">
        <f t="array" ref="I90">MMS_Swine_AtmosphericDeposition_Equations.VEERG_4_5_1_5__2_TotalNitrogenVolatilisedFromMMS(I43,_xlfn.XLOOKUP($E90,$D$62:$D$68,$E$62:$E$68))</f>
        <v>8.5409999999999986</v>
      </c>
      <c r="J90" s="2"/>
      <c r="N90" s="57"/>
      <c r="O90" s="57" t="str">
        <f>'Input - Swine'!$D$65</f>
        <v>Pit storage</v>
      </c>
      <c r="P90" s="52" cm="1">
        <f t="array" ref="P90">MMS_Swine_AtmosphericDeposition_Equations.VEERG_4_5_1_5__2_TotalNitrogenVolatilisedFromMMS(P43,_xlfn.XLOOKUP($O90,$D$62:$D$68,$E$62:$E$68))</f>
        <v>10.073999999999998</v>
      </c>
      <c r="Q90" s="52" cm="1">
        <f t="array" ref="Q90">MMS_Swine_AtmosphericDeposition_Equations.VEERG_4_5_1_5__2_TotalNitrogenVolatilisedFromMMS(Q43,_xlfn.XLOOKUP($O90,$D$62:$D$68,$E$62:$E$68))</f>
        <v>13.413750000000002</v>
      </c>
      <c r="R90" s="52" cm="1">
        <f t="array" ref="R90">MMS_Swine_AtmosphericDeposition_Equations.VEERG_4_5_1_5__2_TotalNitrogenVolatilisedFromMMS(R43,_xlfn.XLOOKUP($O90,$D$62:$D$68,$E$62:$E$68))</f>
        <v>12.592499999999998</v>
      </c>
      <c r="S90" s="52" cm="1">
        <f t="array" ref="S90">MMS_Swine_AtmosphericDeposition_Equations.VEERG_4_5_1_5__2_TotalNitrogenVolatilisedFromMMS(S43,_xlfn.XLOOKUP($O90,$D$62:$D$68,$E$62:$E$68))</f>
        <v>8.5409999999999986</v>
      </c>
      <c r="T90" s="2"/>
    </row>
    <row r="91" spans="4:20" ht="20.100000000000001" customHeight="1" x14ac:dyDescent="0.25">
      <c r="D91" s="57"/>
      <c r="E91" s="57" t="str">
        <f>'Input - Swine'!$D$66</f>
        <v>Direct application</v>
      </c>
      <c r="F91" s="52" t="s">
        <v>172</v>
      </c>
      <c r="G91" s="52" t="s">
        <v>172</v>
      </c>
      <c r="H91" s="52" t="s">
        <v>172</v>
      </c>
      <c r="I91" s="52" t="s">
        <v>172</v>
      </c>
      <c r="N91" s="57"/>
      <c r="O91" s="57" t="str">
        <f>'Input - Swine'!$D$66</f>
        <v>Direct application</v>
      </c>
      <c r="P91" s="52" t="s">
        <v>172</v>
      </c>
      <c r="Q91" s="52" t="s">
        <v>172</v>
      </c>
      <c r="R91" s="52" t="s">
        <v>172</v>
      </c>
      <c r="S91" s="52" t="s">
        <v>172</v>
      </c>
      <c r="T91" s="2"/>
    </row>
    <row r="92" spans="4:20" ht="20.100000000000001" customHeight="1" x14ac:dyDescent="0.25">
      <c r="D92" s="57" t="str">
        <f>'Input - Swine'!$D$32</f>
        <v>Deep litter</v>
      </c>
      <c r="E92" s="57" t="str">
        <f>'Input - Swine'!$D$70</f>
        <v>Anaerobic lagoon</v>
      </c>
      <c r="F92" s="52" cm="1">
        <f t="array" ref="F92">MMS_Swine_AtmosphericDeposition_Equations.VEERG_4_5_1_5__2_TotalNitrogenVolatilisedFromMMS(F45,_xlfn.XLOOKUP($E92,$D$62:$D$68,$E$62:$E$68))</f>
        <v>19.170821999999998</v>
      </c>
      <c r="G92" s="52" cm="1">
        <f t="array" ref="G92">MMS_Swine_AtmosphericDeposition_Equations.VEERG_4_5_1_5__2_TotalNitrogenVolatilisedFromMMS(G45,_xlfn.XLOOKUP($E92,$D$62:$D$68,$E$62:$E$68))</f>
        <v>25.526366250000006</v>
      </c>
      <c r="H92" s="52" cm="1">
        <f t="array" ref="H92">MMS_Swine_AtmosphericDeposition_Equations.VEERG_4_5_1_5__2_TotalNitrogenVolatilisedFromMMS(H45,_xlfn.XLOOKUP($E92,$D$62:$D$68,$E$62:$E$68))</f>
        <v>23.963527499999994</v>
      </c>
      <c r="I92" s="52" cm="1">
        <f t="array" ref="I92">MMS_Swine_AtmosphericDeposition_Equations.VEERG_4_5_1_5__2_TotalNitrogenVolatilisedFromMMS(I45,_xlfn.XLOOKUP($E92,$D$62:$D$68,$E$62:$E$68))</f>
        <v>16.253522999999998</v>
      </c>
      <c r="J92" s="2"/>
      <c r="N92" s="57" t="str">
        <f>'Input - Swine'!$D$32</f>
        <v>Deep litter</v>
      </c>
      <c r="O92" s="57" t="str">
        <f>'Input - Swine'!$D$70</f>
        <v>Anaerobic lagoon</v>
      </c>
      <c r="P92" s="52" cm="1">
        <f t="array" ref="P92">MMS_Swine_AtmosphericDeposition_Equations.VEERG_4_5_1_5__2_TotalNitrogenVolatilisedFromMMS(P45,_xlfn.XLOOKUP($O92,$D$62:$D$68,$E$62:$E$68))</f>
        <v>19.170821999999998</v>
      </c>
      <c r="Q92" s="52" cm="1">
        <f t="array" ref="Q92">MMS_Swine_AtmosphericDeposition_Equations.VEERG_4_5_1_5__2_TotalNitrogenVolatilisedFromMMS(Q45,_xlfn.XLOOKUP($O92,$D$62:$D$68,$E$62:$E$68))</f>
        <v>25.526366250000006</v>
      </c>
      <c r="R92" s="52" cm="1">
        <f t="array" ref="R92">MMS_Swine_AtmosphericDeposition_Equations.VEERG_4_5_1_5__2_TotalNitrogenVolatilisedFromMMS(R45,_xlfn.XLOOKUP($O92,$D$62:$D$68,$E$62:$E$68))</f>
        <v>23.963527499999994</v>
      </c>
      <c r="S92" s="52" cm="1">
        <f t="array" ref="S92">MMS_Swine_AtmosphericDeposition_Equations.VEERG_4_5_1_5__2_TotalNitrogenVolatilisedFromMMS(S45,_xlfn.XLOOKUP($O92,$D$62:$D$68,$E$62:$E$68))</f>
        <v>16.253522999999998</v>
      </c>
      <c r="T92" s="2"/>
    </row>
    <row r="93" spans="4:20" ht="20.100000000000001" customHeight="1" x14ac:dyDescent="0.25">
      <c r="D93" s="57"/>
      <c r="E93" s="57" t="str">
        <f>'Input - Swine'!$D$71</f>
        <v>Digester / covered lagoons</v>
      </c>
      <c r="F93" s="52" cm="1">
        <f t="array" ref="F93">MMS_Swine_AtmosphericDeposition_Equations.VEERG_4_5_1_5__2_TotalNitrogenVolatilisedFromMMS(F46,_xlfn.XLOOKUP($E93,$D$62:$D$68,$E$62:$E$68))</f>
        <v>0</v>
      </c>
      <c r="G93" s="52" cm="1">
        <f t="array" ref="G93">MMS_Swine_AtmosphericDeposition_Equations.VEERG_4_5_1_5__2_TotalNitrogenVolatilisedFromMMS(G46,_xlfn.XLOOKUP($E93,$D$62:$D$68,$E$62:$E$68))</f>
        <v>0</v>
      </c>
      <c r="H93" s="52" cm="1">
        <f t="array" ref="H93">MMS_Swine_AtmosphericDeposition_Equations.VEERG_4_5_1_5__2_TotalNitrogenVolatilisedFromMMS(H46,_xlfn.XLOOKUP($E93,$D$62:$D$68,$E$62:$E$68))</f>
        <v>0</v>
      </c>
      <c r="I93" s="52" cm="1">
        <f t="array" ref="I93">MMS_Swine_AtmosphericDeposition_Equations.VEERG_4_5_1_5__2_TotalNitrogenVolatilisedFromMMS(I46,_xlfn.XLOOKUP($E93,$D$62:$D$68,$E$62:$E$68))</f>
        <v>0</v>
      </c>
      <c r="J93" s="2"/>
      <c r="N93" s="57"/>
      <c r="O93" s="57" t="str">
        <f>'Input - Swine'!$D$71</f>
        <v>Digester / covered lagoons</v>
      </c>
      <c r="P93" s="52" cm="1">
        <f t="array" ref="P93">MMS_Swine_AtmosphericDeposition_Equations.VEERG_4_5_1_5__2_TotalNitrogenVolatilisedFromMMS(P46,_xlfn.XLOOKUP($O93,$D$62:$D$68,$E$62:$E$68))</f>
        <v>0</v>
      </c>
      <c r="Q93" s="52" cm="1">
        <f t="array" ref="Q93">MMS_Swine_AtmosphericDeposition_Equations.VEERG_4_5_1_5__2_TotalNitrogenVolatilisedFromMMS(Q46,_xlfn.XLOOKUP($O93,$D$62:$D$68,$E$62:$E$68))</f>
        <v>0</v>
      </c>
      <c r="R93" s="52" cm="1">
        <f t="array" ref="R93">MMS_Swine_AtmosphericDeposition_Equations.VEERG_4_5_1_5__2_TotalNitrogenVolatilisedFromMMS(R46,_xlfn.XLOOKUP($O93,$D$62:$D$68,$E$62:$E$68))</f>
        <v>0</v>
      </c>
      <c r="S93" s="52" cm="1">
        <f t="array" ref="S93">MMS_Swine_AtmosphericDeposition_Equations.VEERG_4_5_1_5__2_TotalNitrogenVolatilisedFromMMS(S46,_xlfn.XLOOKUP($O93,$D$62:$D$68,$E$62:$E$68))</f>
        <v>0</v>
      </c>
      <c r="T93" s="2"/>
    </row>
    <row r="94" spans="4:20" ht="20.100000000000001" customHeight="1" x14ac:dyDescent="0.25">
      <c r="D94" s="57"/>
      <c r="E94" s="57" t="str">
        <f>'Input - Swine'!$D$72</f>
        <v>Pit storage</v>
      </c>
      <c r="F94" s="52" cm="1">
        <f t="array" ref="F94">MMS_Swine_AtmosphericDeposition_Equations.VEERG_4_5_1_5__2_TotalNitrogenVolatilisedFromMMS(F47,_xlfn.XLOOKUP($E94,$D$62:$D$68,$E$62:$E$68))</f>
        <v>8.7140099999999983</v>
      </c>
      <c r="G94" s="52" cm="1">
        <f t="array" ref="G94">MMS_Swine_AtmosphericDeposition_Equations.VEERG_4_5_1_5__2_TotalNitrogenVolatilisedFromMMS(G47,_xlfn.XLOOKUP($E94,$D$62:$D$68,$E$62:$E$68))</f>
        <v>11.602893750000002</v>
      </c>
      <c r="H94" s="52" cm="1">
        <f t="array" ref="H94">MMS_Swine_AtmosphericDeposition_Equations.VEERG_4_5_1_5__2_TotalNitrogenVolatilisedFromMMS(H47,_xlfn.XLOOKUP($E94,$D$62:$D$68,$E$62:$E$68))</f>
        <v>10.892512499999997</v>
      </c>
      <c r="I94" s="52" cm="1">
        <f t="array" ref="I94">MMS_Swine_AtmosphericDeposition_Equations.VEERG_4_5_1_5__2_TotalNitrogenVolatilisedFromMMS(I47,_xlfn.XLOOKUP($E94,$D$62:$D$68,$E$62:$E$68))</f>
        <v>7.3879649999999986</v>
      </c>
      <c r="J94" s="2"/>
      <c r="N94" s="57"/>
      <c r="O94" s="57" t="str">
        <f>'Input - Swine'!$D$72</f>
        <v>Pit storage</v>
      </c>
      <c r="P94" s="52" cm="1">
        <f t="array" ref="P94">MMS_Swine_AtmosphericDeposition_Equations.VEERG_4_5_1_5__2_TotalNitrogenVolatilisedFromMMS(P47,_xlfn.XLOOKUP($O94,$D$62:$D$68,$E$62:$E$68))</f>
        <v>8.7140099999999983</v>
      </c>
      <c r="Q94" s="52" cm="1">
        <f t="array" ref="Q94">MMS_Swine_AtmosphericDeposition_Equations.VEERG_4_5_1_5__2_TotalNitrogenVolatilisedFromMMS(Q47,_xlfn.XLOOKUP($O94,$D$62:$D$68,$E$62:$E$68))</f>
        <v>11.602893750000002</v>
      </c>
      <c r="R94" s="52" cm="1">
        <f t="array" ref="R94">MMS_Swine_AtmosphericDeposition_Equations.VEERG_4_5_1_5__2_TotalNitrogenVolatilisedFromMMS(R47,_xlfn.XLOOKUP($O94,$D$62:$D$68,$E$62:$E$68))</f>
        <v>10.892512499999997</v>
      </c>
      <c r="S94" s="52" cm="1">
        <f t="array" ref="S94">MMS_Swine_AtmosphericDeposition_Equations.VEERG_4_5_1_5__2_TotalNitrogenVolatilisedFromMMS(S47,_xlfn.XLOOKUP($O94,$D$62:$D$68,$E$62:$E$68))</f>
        <v>7.3879649999999986</v>
      </c>
      <c r="T94" s="2"/>
    </row>
    <row r="95" spans="4:20" ht="20.100000000000001" customHeight="1" x14ac:dyDescent="0.25">
      <c r="D95" s="57"/>
      <c r="E95" s="57" t="str">
        <f>'Input - Swine'!$D$73</f>
        <v>Direct application</v>
      </c>
      <c r="F95" s="52" t="s">
        <v>172</v>
      </c>
      <c r="G95" s="52" t="s">
        <v>172</v>
      </c>
      <c r="H95" s="52" t="s">
        <v>172</v>
      </c>
      <c r="I95" s="52" t="s">
        <v>172</v>
      </c>
      <c r="N95" s="57"/>
      <c r="O95" s="57" t="str">
        <f>'Input - Swine'!$D$73</f>
        <v>Direct application</v>
      </c>
      <c r="P95" s="52" t="s">
        <v>172</v>
      </c>
      <c r="Q95" s="52" t="s">
        <v>172</v>
      </c>
      <c r="R95" s="52" t="s">
        <v>172</v>
      </c>
      <c r="S95" s="52" t="s">
        <v>172</v>
      </c>
      <c r="T95" s="2"/>
    </row>
    <row r="96" spans="4:20" ht="20.100000000000001" customHeight="1" x14ac:dyDescent="0.25">
      <c r="D96" s="57" t="str">
        <f>'Input - Swine'!$D$33</f>
        <v>Pit storage</v>
      </c>
      <c r="E96" s="57" t="str">
        <f>'Input - Swine'!$D$77</f>
        <v>Anaerobic lagoon</v>
      </c>
      <c r="F96" s="52" cm="1">
        <f t="array" ref="F96">MMS_Swine_AtmosphericDeposition_Equations.VEERG_4_5_1_5__2_TotalNitrogenVolatilisedFromMMS(F49,_xlfn.XLOOKUP($E96,$D$62:$D$68,$E$62:$E$68))</f>
        <v>16.577774399999999</v>
      </c>
      <c r="G96" s="52" cm="1">
        <f t="array" ref="G96">MMS_Swine_AtmosphericDeposition_Equations.VEERG_4_5_1_5__2_TotalNitrogenVolatilisedFromMMS(G49,_xlfn.XLOOKUP($E96,$D$62:$D$68,$E$62:$E$68))</f>
        <v>22.073667000000004</v>
      </c>
      <c r="H96" s="52" cm="1">
        <f t="array" ref="H96">MMS_Swine_AtmosphericDeposition_Equations.VEERG_4_5_1_5__2_TotalNitrogenVolatilisedFromMMS(H49,_xlfn.XLOOKUP($E96,$D$62:$D$68,$E$62:$E$68))</f>
        <v>20.722217999999998</v>
      </c>
      <c r="I96" s="52" cm="1">
        <f t="array" ref="I96">MMS_Swine_AtmosphericDeposition_Equations.VEERG_4_5_1_5__2_TotalNitrogenVolatilisedFromMMS(I49,_xlfn.XLOOKUP($E96,$D$62:$D$68,$E$62:$E$68))</f>
        <v>14.055069599999999</v>
      </c>
      <c r="J96" s="2"/>
      <c r="N96" s="57" t="str">
        <f>'Input - Swine'!$D$33</f>
        <v>Pit storage</v>
      </c>
      <c r="O96" s="57" t="str">
        <f>'Input - Swine'!$D$77</f>
        <v>Anaerobic lagoon</v>
      </c>
      <c r="P96" s="52" cm="1">
        <f t="array" ref="P96">MMS_Swine_AtmosphericDeposition_Equations.VEERG_4_5_1_5__2_TotalNitrogenVolatilisedFromMMS(P49,_xlfn.XLOOKUP($O96,$D$62:$D$68,$E$62:$E$68))</f>
        <v>16.577774399999999</v>
      </c>
      <c r="Q96" s="52" cm="1">
        <f t="array" ref="Q96">MMS_Swine_AtmosphericDeposition_Equations.VEERG_4_5_1_5__2_TotalNitrogenVolatilisedFromMMS(Q49,_xlfn.XLOOKUP($O96,$D$62:$D$68,$E$62:$E$68))</f>
        <v>22.073667000000004</v>
      </c>
      <c r="R96" s="52" cm="1">
        <f t="array" ref="R96">MMS_Swine_AtmosphericDeposition_Equations.VEERG_4_5_1_5__2_TotalNitrogenVolatilisedFromMMS(R49,_xlfn.XLOOKUP($O96,$D$62:$D$68,$E$62:$E$68))</f>
        <v>20.722217999999998</v>
      </c>
      <c r="S96" s="52" cm="1">
        <f t="array" ref="S96">MMS_Swine_AtmosphericDeposition_Equations.VEERG_4_5_1_5__2_TotalNitrogenVolatilisedFromMMS(S49,_xlfn.XLOOKUP($O96,$D$62:$D$68,$E$62:$E$68))</f>
        <v>14.055069599999999</v>
      </c>
      <c r="T96" s="2"/>
    </row>
    <row r="97" spans="1:21" ht="20.100000000000001" customHeight="1" x14ac:dyDescent="0.25">
      <c r="D97" s="57"/>
      <c r="E97" s="57" t="str">
        <f>'Input - Swine'!$D$78</f>
        <v>Digester / covered lagoons</v>
      </c>
      <c r="F97" s="52" cm="1">
        <f t="array" ref="F97">MMS_Swine_AtmosphericDeposition_Equations.VEERG_4_5_1_5__2_TotalNitrogenVolatilisedFromMMS(F50,_xlfn.XLOOKUP($E97,$D$62:$D$68,$E$62:$E$68))</f>
        <v>0</v>
      </c>
      <c r="G97" s="52" cm="1">
        <f t="array" ref="G97">MMS_Swine_AtmosphericDeposition_Equations.VEERG_4_5_1_5__2_TotalNitrogenVolatilisedFromMMS(G50,_xlfn.XLOOKUP($E97,$D$62:$D$68,$E$62:$E$68))</f>
        <v>0</v>
      </c>
      <c r="H97" s="52" cm="1">
        <f t="array" ref="H97">MMS_Swine_AtmosphericDeposition_Equations.VEERG_4_5_1_5__2_TotalNitrogenVolatilisedFromMMS(H50,_xlfn.XLOOKUP($E97,$D$62:$D$68,$E$62:$E$68))</f>
        <v>0</v>
      </c>
      <c r="I97" s="52" cm="1">
        <f t="array" ref="I97">MMS_Swine_AtmosphericDeposition_Equations.VEERG_4_5_1_5__2_TotalNitrogenVolatilisedFromMMS(I50,_xlfn.XLOOKUP($E97,$D$62:$D$68,$E$62:$E$68))</f>
        <v>0</v>
      </c>
      <c r="J97" s="2"/>
      <c r="N97" s="57"/>
      <c r="O97" s="57" t="str">
        <f>'Input - Swine'!$D$78</f>
        <v>Digester / covered lagoons</v>
      </c>
      <c r="P97" s="52" cm="1">
        <f t="array" ref="P97">MMS_Swine_AtmosphericDeposition_Equations.VEERG_4_5_1_5__2_TotalNitrogenVolatilisedFromMMS(P50,_xlfn.XLOOKUP($O97,$D$62:$D$68,$E$62:$E$68))</f>
        <v>0</v>
      </c>
      <c r="Q97" s="52" cm="1">
        <f t="array" ref="Q97">MMS_Swine_AtmosphericDeposition_Equations.VEERG_4_5_1_5__2_TotalNitrogenVolatilisedFromMMS(Q50,_xlfn.XLOOKUP($O97,$D$62:$D$68,$E$62:$E$68))</f>
        <v>0</v>
      </c>
      <c r="R97" s="52" cm="1">
        <f t="array" ref="R97">MMS_Swine_AtmosphericDeposition_Equations.VEERG_4_5_1_5__2_TotalNitrogenVolatilisedFromMMS(R50,_xlfn.XLOOKUP($O97,$D$62:$D$68,$E$62:$E$68))</f>
        <v>0</v>
      </c>
      <c r="S97" s="52" cm="1">
        <f t="array" ref="S97">MMS_Swine_AtmosphericDeposition_Equations.VEERG_4_5_1_5__2_TotalNitrogenVolatilisedFromMMS(S50,_xlfn.XLOOKUP($O97,$D$62:$D$68,$E$62:$E$68))</f>
        <v>0</v>
      </c>
      <c r="T97" s="2"/>
    </row>
    <row r="98" spans="1:21" ht="20.100000000000001" customHeight="1" x14ac:dyDescent="0.25">
      <c r="D98" s="57"/>
      <c r="E98" s="57" t="str">
        <f>'Input - Swine'!$D$79</f>
        <v>Deep litter</v>
      </c>
      <c r="F98" s="52" cm="1">
        <f t="array" ref="F98">MMS_Swine_AtmosphericDeposition_Equations.VEERG_4_5_1_5__2_TotalNitrogenVolatilisedFromMMS(F51,_xlfn.XLOOKUP($E98,$D$62:$D$68,$E$62:$E$68))</f>
        <v>3.7676759999999998</v>
      </c>
      <c r="G98" s="52" cm="1">
        <f t="array" ref="G98">MMS_Swine_AtmosphericDeposition_Equations.VEERG_4_5_1_5__2_TotalNitrogenVolatilisedFromMMS(G51,_xlfn.XLOOKUP($E98,$D$62:$D$68,$E$62:$E$68))</f>
        <v>5.0167425000000003</v>
      </c>
      <c r="H98" s="52" cm="1">
        <f t="array" ref="H98">MMS_Swine_AtmosphericDeposition_Equations.VEERG_4_5_1_5__2_TotalNitrogenVolatilisedFromMMS(H51,_xlfn.XLOOKUP($E98,$D$62:$D$68,$E$62:$E$68))</f>
        <v>4.7095949999999993</v>
      </c>
      <c r="I98" s="52" cm="1">
        <f t="array" ref="I98">MMS_Swine_AtmosphericDeposition_Equations.VEERG_4_5_1_5__2_TotalNitrogenVolatilisedFromMMS(I51,_xlfn.XLOOKUP($E98,$D$62:$D$68,$E$62:$E$68))</f>
        <v>3.1943339999999996</v>
      </c>
      <c r="J98" s="2"/>
      <c r="N98" s="57"/>
      <c r="O98" s="57" t="str">
        <f>'Input - Swine'!$D$79</f>
        <v>Deep litter</v>
      </c>
      <c r="P98" s="52" cm="1">
        <f t="array" ref="P98">MMS_Swine_AtmosphericDeposition_Equations.VEERG_4_5_1_5__2_TotalNitrogenVolatilisedFromMMS(P51,_xlfn.XLOOKUP($O98,$D$62:$D$68,$E$62:$E$68))</f>
        <v>3.7676759999999998</v>
      </c>
      <c r="Q98" s="52" cm="1">
        <f t="array" ref="Q98">MMS_Swine_AtmosphericDeposition_Equations.VEERG_4_5_1_5__2_TotalNitrogenVolatilisedFromMMS(Q51,_xlfn.XLOOKUP($O98,$D$62:$D$68,$E$62:$E$68))</f>
        <v>5.0167425000000003</v>
      </c>
      <c r="R98" s="52" cm="1">
        <f t="array" ref="R98">MMS_Swine_AtmosphericDeposition_Equations.VEERG_4_5_1_5__2_TotalNitrogenVolatilisedFromMMS(R51,_xlfn.XLOOKUP($O98,$D$62:$D$68,$E$62:$E$68))</f>
        <v>4.7095949999999993</v>
      </c>
      <c r="S98" s="52" cm="1">
        <f t="array" ref="S98">MMS_Swine_AtmosphericDeposition_Equations.VEERG_4_5_1_5__2_TotalNitrogenVolatilisedFromMMS(S51,_xlfn.XLOOKUP($O98,$D$62:$D$68,$E$62:$E$68))</f>
        <v>3.1943339999999996</v>
      </c>
      <c r="T98" s="2"/>
    </row>
    <row r="99" spans="1:21" ht="20.100000000000001" customHeight="1" x14ac:dyDescent="0.25">
      <c r="D99" s="57"/>
      <c r="E99" s="57" t="str">
        <f>'Input - Swine'!$D$80</f>
        <v>Direct application</v>
      </c>
      <c r="F99" s="52" t="s">
        <v>172</v>
      </c>
      <c r="G99" s="52" t="s">
        <v>172</v>
      </c>
      <c r="H99" s="52" t="s">
        <v>172</v>
      </c>
      <c r="I99" s="52" t="s">
        <v>172</v>
      </c>
      <c r="N99" s="57"/>
      <c r="O99" s="57" t="str">
        <f>'Input - Swine'!$D$80</f>
        <v>Direct application</v>
      </c>
      <c r="P99" s="52" t="s">
        <v>172</v>
      </c>
      <c r="Q99" s="52" t="s">
        <v>172</v>
      </c>
      <c r="R99" s="52" t="s">
        <v>172</v>
      </c>
      <c r="S99" s="52" t="s">
        <v>172</v>
      </c>
      <c r="T99" s="2"/>
    </row>
    <row r="100" spans="1:21" ht="20.100000000000001" customHeight="1" x14ac:dyDescent="0.25">
      <c r="D100" s="57" t="str">
        <f>'Input - Swine'!$D$34</f>
        <v>Solid storage</v>
      </c>
      <c r="E100" s="57" t="str">
        <f>'Input - Swine'!$D$84</f>
        <v>Anaerobic lagoon</v>
      </c>
      <c r="F100" s="52" cm="1">
        <f t="array" ref="F100">MMS_Swine_AtmosphericDeposition_Equations.VEERG_4_5_1_5__2_TotalNitrogenVolatilisedFromMMS(F53,_xlfn.XLOOKUP($E100,$D$62:$D$68,$E$62:$E$68))</f>
        <v>58.731420000000021</v>
      </c>
      <c r="G100" s="52" cm="1">
        <f t="array" ref="G100">MMS_Swine_AtmosphericDeposition_Equations.VEERG_4_5_1_5__2_TotalNitrogenVolatilisedFromMMS(G53,_xlfn.XLOOKUP($E100,$D$62:$D$68,$E$62:$E$68))</f>
        <v>62.56173000000004</v>
      </c>
      <c r="H100" s="52" cm="1">
        <f t="array" ref="H100">MMS_Swine_AtmosphericDeposition_Equations.VEERG_4_5_1_5__2_TotalNitrogenVolatilisedFromMMS(H53,_xlfn.XLOOKUP($E100,$D$62:$D$68,$E$62:$E$68))</f>
        <v>58.731420000000021</v>
      </c>
      <c r="I100" s="52" cm="1">
        <f t="array" ref="I100">MMS_Swine_AtmosphericDeposition_Equations.VEERG_4_5_1_5__2_TotalNitrogenVolatilisedFromMMS(I53,_xlfn.XLOOKUP($E100,$D$62:$D$68,$E$62:$E$68))</f>
        <v>39.835224000000025</v>
      </c>
      <c r="J100" s="2"/>
      <c r="N100" s="57" t="str">
        <f>'Input - Swine'!$D$34</f>
        <v>Solid storage</v>
      </c>
      <c r="O100" s="57" t="str">
        <f>'Input - Swine'!$D$84</f>
        <v>Anaerobic lagoon</v>
      </c>
      <c r="P100" s="52" cm="1">
        <f t="array" ref="P100">MMS_Swine_AtmosphericDeposition_Equations.VEERG_4_5_1_5__2_TotalNitrogenVolatilisedFromMMS(P53,_xlfn.XLOOKUP($O100,$D$62:$D$68,$E$62:$E$68))</f>
        <v>58.731420000000021</v>
      </c>
      <c r="Q100" s="52" cm="1">
        <f t="array" ref="Q100">MMS_Swine_AtmosphericDeposition_Equations.VEERG_4_5_1_5__2_TotalNitrogenVolatilisedFromMMS(Q53,_xlfn.XLOOKUP($O100,$D$62:$D$68,$E$62:$E$68))</f>
        <v>62.56173000000004</v>
      </c>
      <c r="R100" s="52" cm="1">
        <f t="array" ref="R100">MMS_Swine_AtmosphericDeposition_Equations.VEERG_4_5_1_5__2_TotalNitrogenVolatilisedFromMMS(R53,_xlfn.XLOOKUP($O100,$D$62:$D$68,$E$62:$E$68))</f>
        <v>58.731420000000021</v>
      </c>
      <c r="S100" s="52" cm="1">
        <f t="array" ref="S100">MMS_Swine_AtmosphericDeposition_Equations.VEERG_4_5_1_5__2_TotalNitrogenVolatilisedFromMMS(S53,_xlfn.XLOOKUP($O100,$D$62:$D$68,$E$62:$E$68))</f>
        <v>39.835224000000025</v>
      </c>
      <c r="T100" s="2"/>
    </row>
    <row r="101" spans="1:21" ht="20.100000000000001" customHeight="1" x14ac:dyDescent="0.25">
      <c r="D101" s="57"/>
      <c r="E101" s="57" t="str">
        <f>'Input - Swine'!$D$85</f>
        <v>Digester / covered lagoons</v>
      </c>
      <c r="F101" s="52" cm="1">
        <f t="array" ref="F101">MMS_Swine_AtmosphericDeposition_Equations.VEERG_4_5_1_5__2_TotalNitrogenVolatilisedFromMMS(F54,_xlfn.XLOOKUP($E101,$D$62:$D$68,$E$62:$E$68))</f>
        <v>0</v>
      </c>
      <c r="G101" s="52" cm="1">
        <f t="array" ref="G101">MMS_Swine_AtmosphericDeposition_Equations.VEERG_4_5_1_5__2_TotalNitrogenVolatilisedFromMMS(G54,_xlfn.XLOOKUP($E101,$D$62:$D$68,$E$62:$E$68))</f>
        <v>0</v>
      </c>
      <c r="H101" s="52" cm="1">
        <f t="array" ref="H101">MMS_Swine_AtmosphericDeposition_Equations.VEERG_4_5_1_5__2_TotalNitrogenVolatilisedFromMMS(H54,_xlfn.XLOOKUP($E101,$D$62:$D$68,$E$62:$E$68))</f>
        <v>0</v>
      </c>
      <c r="I101" s="52" cm="1">
        <f t="array" ref="I101">MMS_Swine_AtmosphericDeposition_Equations.VEERG_4_5_1_5__2_TotalNitrogenVolatilisedFromMMS(I54,_xlfn.XLOOKUP($E101,$D$62:$D$68,$E$62:$E$68))</f>
        <v>0</v>
      </c>
      <c r="J101" s="2"/>
      <c r="N101" s="57"/>
      <c r="O101" s="57" t="str">
        <f>'Input - Swine'!$D$85</f>
        <v>Digester / covered lagoons</v>
      </c>
      <c r="P101" s="52" cm="1">
        <f t="array" ref="P101">MMS_Swine_AtmosphericDeposition_Equations.VEERG_4_5_1_5__2_TotalNitrogenVolatilisedFromMMS(P54,_xlfn.XLOOKUP($O101,$D$62:$D$68,$E$62:$E$68))</f>
        <v>0</v>
      </c>
      <c r="Q101" s="52" cm="1">
        <f t="array" ref="Q101">MMS_Swine_AtmosphericDeposition_Equations.VEERG_4_5_1_5__2_TotalNitrogenVolatilisedFromMMS(Q54,_xlfn.XLOOKUP($O101,$D$62:$D$68,$E$62:$E$68))</f>
        <v>0</v>
      </c>
      <c r="R101" s="52" cm="1">
        <f t="array" ref="R101">MMS_Swine_AtmosphericDeposition_Equations.VEERG_4_5_1_5__2_TotalNitrogenVolatilisedFromMMS(R54,_xlfn.XLOOKUP($O101,$D$62:$D$68,$E$62:$E$68))</f>
        <v>0</v>
      </c>
      <c r="S101" s="52" cm="1">
        <f t="array" ref="S101">MMS_Swine_AtmosphericDeposition_Equations.VEERG_4_5_1_5__2_TotalNitrogenVolatilisedFromMMS(S54,_xlfn.XLOOKUP($O101,$D$62:$D$68,$E$62:$E$68))</f>
        <v>0</v>
      </c>
      <c r="T101" s="2"/>
    </row>
    <row r="102" spans="1:21" ht="20.100000000000001" customHeight="1" x14ac:dyDescent="0.25">
      <c r="D102" s="57"/>
      <c r="E102" s="57" t="str">
        <f>'Input - Swine'!$D$86</f>
        <v>Deep litter</v>
      </c>
      <c r="F102" s="52" cm="1">
        <f t="array" ref="F102">MMS_Swine_AtmosphericDeposition_Equations.VEERG_4_5_1_5__2_TotalNitrogenVolatilisedFromMMS(F55,_xlfn.XLOOKUP($E102,$D$62:$D$68,$E$62:$E$68))</f>
        <v>13.348050000000004</v>
      </c>
      <c r="G102" s="52" cm="1">
        <f t="array" ref="G102">MMS_Swine_AtmosphericDeposition_Equations.VEERG_4_5_1_5__2_TotalNitrogenVolatilisedFromMMS(G55,_xlfn.XLOOKUP($E102,$D$62:$D$68,$E$62:$E$68))</f>
        <v>14.218575000000008</v>
      </c>
      <c r="H102" s="52" cm="1">
        <f t="array" ref="H102">MMS_Swine_AtmosphericDeposition_Equations.VEERG_4_5_1_5__2_TotalNitrogenVolatilisedFromMMS(H55,_xlfn.XLOOKUP($E102,$D$62:$D$68,$E$62:$E$68))</f>
        <v>13.348050000000004</v>
      </c>
      <c r="I102" s="52" cm="1">
        <f t="array" ref="I102">MMS_Swine_AtmosphericDeposition_Equations.VEERG_4_5_1_5__2_TotalNitrogenVolatilisedFromMMS(I55,_xlfn.XLOOKUP($E102,$D$62:$D$68,$E$62:$E$68))</f>
        <v>9.0534600000000047</v>
      </c>
      <c r="J102" s="2"/>
      <c r="N102" s="57"/>
      <c r="O102" s="57" t="str">
        <f>'Input - Swine'!$D$86</f>
        <v>Deep litter</v>
      </c>
      <c r="P102" s="52" cm="1">
        <f t="array" ref="P102">MMS_Swine_AtmosphericDeposition_Equations.VEERG_4_5_1_5__2_TotalNitrogenVolatilisedFromMMS(P55,_xlfn.XLOOKUP($O102,$D$62:$D$68,$E$62:$E$68))</f>
        <v>13.348050000000004</v>
      </c>
      <c r="Q102" s="52" cm="1">
        <f t="array" ref="Q102">MMS_Swine_AtmosphericDeposition_Equations.VEERG_4_5_1_5__2_TotalNitrogenVolatilisedFromMMS(Q55,_xlfn.XLOOKUP($O102,$D$62:$D$68,$E$62:$E$68))</f>
        <v>14.218575000000008</v>
      </c>
      <c r="R102" s="52" cm="1">
        <f t="array" ref="R102">MMS_Swine_AtmosphericDeposition_Equations.VEERG_4_5_1_5__2_TotalNitrogenVolatilisedFromMMS(R55,_xlfn.XLOOKUP($O102,$D$62:$D$68,$E$62:$E$68))</f>
        <v>13.348050000000004</v>
      </c>
      <c r="S102" s="52" cm="1">
        <f t="array" ref="S102">MMS_Swine_AtmosphericDeposition_Equations.VEERG_4_5_1_5__2_TotalNitrogenVolatilisedFromMMS(S55,_xlfn.XLOOKUP($O102,$D$62:$D$68,$E$62:$E$68))</f>
        <v>9.0534600000000047</v>
      </c>
      <c r="T102" s="2"/>
    </row>
    <row r="103" spans="1:21" ht="20.100000000000001" customHeight="1" x14ac:dyDescent="0.25">
      <c r="D103" s="57"/>
      <c r="E103" s="57" t="str">
        <f>'Input - Swine'!$D$87</f>
        <v>Pit storage</v>
      </c>
      <c r="F103" s="52" cm="1">
        <f t="array" ref="F103">MMS_Swine_AtmosphericDeposition_Equations.VEERG_4_5_1_5__2_TotalNitrogenVolatilisedFromMMS(F56,_xlfn.XLOOKUP($E103,$D$62:$D$68,$E$62:$E$68))</f>
        <v>13.348050000000004</v>
      </c>
      <c r="G103" s="52" cm="1">
        <f t="array" ref="G103">MMS_Swine_AtmosphericDeposition_Equations.VEERG_4_5_1_5__2_TotalNitrogenVolatilisedFromMMS(G56,_xlfn.XLOOKUP($E103,$D$62:$D$68,$E$62:$E$68))</f>
        <v>14.218575000000008</v>
      </c>
      <c r="H103" s="52" cm="1">
        <f t="array" ref="H103">MMS_Swine_AtmosphericDeposition_Equations.VEERG_4_5_1_5__2_TotalNitrogenVolatilisedFromMMS(H56,_xlfn.XLOOKUP($E103,$D$62:$D$68,$E$62:$E$68))</f>
        <v>13.348050000000004</v>
      </c>
      <c r="I103" s="52" cm="1">
        <f t="array" ref="I103">MMS_Swine_AtmosphericDeposition_Equations.VEERG_4_5_1_5__2_TotalNitrogenVolatilisedFromMMS(I56,_xlfn.XLOOKUP($E103,$D$62:$D$68,$E$62:$E$68))</f>
        <v>9.0534600000000047</v>
      </c>
      <c r="J103" s="2"/>
      <c r="N103" s="57"/>
      <c r="O103" s="57" t="str">
        <f>'Input - Swine'!$D$87</f>
        <v>Pit storage</v>
      </c>
      <c r="P103" s="52" cm="1">
        <f t="array" ref="P103">MMS_Swine_AtmosphericDeposition_Equations.VEERG_4_5_1_5__2_TotalNitrogenVolatilisedFromMMS(P56,_xlfn.XLOOKUP($O103,$D$62:$D$68,$E$62:$E$68))</f>
        <v>13.348050000000004</v>
      </c>
      <c r="Q103" s="52" cm="1">
        <f t="array" ref="Q103">MMS_Swine_AtmosphericDeposition_Equations.VEERG_4_5_1_5__2_TotalNitrogenVolatilisedFromMMS(Q56,_xlfn.XLOOKUP($O103,$D$62:$D$68,$E$62:$E$68))</f>
        <v>14.218575000000008</v>
      </c>
      <c r="R103" s="52" cm="1">
        <f t="array" ref="R103">MMS_Swine_AtmosphericDeposition_Equations.VEERG_4_5_1_5__2_TotalNitrogenVolatilisedFromMMS(R56,_xlfn.XLOOKUP($O103,$D$62:$D$68,$E$62:$E$68))</f>
        <v>13.348050000000004</v>
      </c>
      <c r="S103" s="52" cm="1">
        <f t="array" ref="S103">MMS_Swine_AtmosphericDeposition_Equations.VEERG_4_5_1_5__2_TotalNitrogenVolatilisedFromMMS(S56,_xlfn.XLOOKUP($O103,$D$62:$D$68,$E$62:$E$68))</f>
        <v>9.0534600000000047</v>
      </c>
      <c r="T103" s="2"/>
    </row>
    <row r="104" spans="1:21" ht="20.100000000000001" customHeight="1" x14ac:dyDescent="0.25">
      <c r="D104" s="57"/>
      <c r="E104" s="57" t="str">
        <f>'Input - Swine'!$D$88</f>
        <v>Direct application</v>
      </c>
      <c r="F104" s="52" t="s">
        <v>172</v>
      </c>
      <c r="G104" s="52" t="s">
        <v>172</v>
      </c>
      <c r="H104" s="52" t="s">
        <v>172</v>
      </c>
      <c r="I104" s="52" t="s">
        <v>172</v>
      </c>
      <c r="N104" s="57"/>
      <c r="O104" s="57" t="str">
        <f>'Input - Swine'!$D$88</f>
        <v>Direct application</v>
      </c>
      <c r="P104" s="52" t="s">
        <v>172</v>
      </c>
      <c r="Q104" s="52" t="s">
        <v>172</v>
      </c>
      <c r="R104" s="52" t="s">
        <v>172</v>
      </c>
      <c r="S104" s="52" t="s">
        <v>172</v>
      </c>
      <c r="T104" s="2"/>
    </row>
    <row r="105" spans="1:21" ht="20.100000000000001" customHeight="1" x14ac:dyDescent="0.25"/>
    <row r="106" spans="1:21" ht="20.100000000000001" customHeight="1" x14ac:dyDescent="0.25">
      <c r="D106" s="113" t="s">
        <v>265</v>
      </c>
      <c r="E106" s="45">
        <f>SUM(F73:I104)</f>
        <v>2267.6728942500004</v>
      </c>
      <c r="F106" s="105" t="str">
        <f>$E$11</f>
        <v>kg N</v>
      </c>
      <c r="N106" s="113" t="s">
        <v>265</v>
      </c>
      <c r="O106" s="45">
        <f>SUM(P73:S104)</f>
        <v>2267.6728942500004</v>
      </c>
      <c r="P106" s="105" t="str">
        <f>$E$11</f>
        <v>kg N</v>
      </c>
    </row>
    <row r="107" spans="1:21" ht="20.100000000000001" customHeight="1" x14ac:dyDescent="0.25"/>
    <row r="108" spans="1:21" ht="20.100000000000001" customHeight="1" x14ac:dyDescent="0.25">
      <c r="A108" s="150" t="str">
        <f>HYPERLINK("#A1", "▲ Back to top")</f>
        <v>▲ Back to top</v>
      </c>
    </row>
    <row r="109" spans="1:21" ht="20.100000000000001" customHeight="1" x14ac:dyDescent="0.25">
      <c r="C109" s="45"/>
      <c r="D109" s="45"/>
      <c r="E109" s="45"/>
      <c r="F109" s="45"/>
      <c r="G109" s="45"/>
      <c r="H109" s="45"/>
      <c r="I109" s="45"/>
      <c r="J109" s="45"/>
      <c r="K109" s="45"/>
      <c r="N109" s="45"/>
      <c r="O109" s="45"/>
      <c r="P109" s="45"/>
      <c r="Q109" s="45"/>
      <c r="R109" s="45"/>
      <c r="S109" s="45"/>
      <c r="T109" s="45"/>
      <c r="U109" s="45"/>
    </row>
    <row r="110" spans="1: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1: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1:21" ht="20.100000000000001" customHeight="1" x14ac:dyDescent="0.25">
      <c r="D112" s="13" t="s">
        <v>26</v>
      </c>
      <c r="E112" s="13" t="str" cm="1">
        <f t="array" aca="1" ref="E112" ca="1">Common_InputFunctions.Utility_DisplayFunctionName(E125)</f>
        <v>=MMS_Swine_AtmosphericDeposition_Equations.VEERG_4_5_1_5__1_AnnualAtmosphericDepositionEmissionsFromMMS</v>
      </c>
      <c r="N112" s="13" t="s">
        <v>26</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3" t="s">
        <v>29</v>
      </c>
      <c r="E115" s="1" t="str" cm="1">
        <f t="array" ref="E115">MMS_Swine_AtmosphericDeposition_Equations.VEERG_4_5_1_5__1_AnnualAtmosphericDepositionEmissionsFromMMS_Variable()</f>
        <v>E_N2OMMSad</v>
      </c>
      <c r="N115" s="53" t="s">
        <v>29</v>
      </c>
      <c r="O115" s="1" t="str" cm="1">
        <f t="array" ref="O115">MMS_Swine_AtmosphericDeposition_Equations.VEERG_4_5_1_5__1_AnnualAtmosphericDepositionEmissionsFromMMS_Variable()</f>
        <v>E_N2OMMSad</v>
      </c>
    </row>
    <row r="116" spans="4:19" ht="20.100000000000001" customHeight="1" x14ac:dyDescent="0.25">
      <c r="D116" s="53" t="s">
        <v>19</v>
      </c>
      <c r="E116" s="54" t="str" cm="1">
        <f t="array" ref="E116">MMS_Swine_AtmosphericDeposition_Equations.VEERG_4_5_1_5__1_AnnualAtmosphericDepositionEmissionsFromMMS_Unit()</f>
        <v>t N2O</v>
      </c>
      <c r="N116" s="53" t="s">
        <v>19</v>
      </c>
      <c r="O116" s="54"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7" t="str" cm="1">
        <f t="array" ref="D118:E123">Common_InputFunctions.Utility_DisplayArguments_1_2(MMS_Swine_AtmosphericDeposition_Equations.VEERG_4_5_1_5__1_AnnualAtmosphericDepositionEmissionsFromMMS_Arguments())</f>
        <v>MMS_ATMOS</v>
      </c>
      <c r="E118" s="58" t="str">
        <v>mass of N volatilised from MMS</v>
      </c>
      <c r="F118" s="59"/>
      <c r="G118" s="144" t="str" cm="1">
        <f t="array" ref="G118:H123">Common_InputFunctions.Utility_DisplayArguments_3_4(MMS_Swine_AtmosphericDeposition_Equations.VEERG_4_5_1_5__1_AnnualAtmosphericDepositionEmissionsFromMMS_Arguments())</f>
        <v>kg N</v>
      </c>
      <c r="H118" s="139" t="str">
        <v>Calculated from 4.5.1.5 (2)</v>
      </c>
      <c r="I118" s="144">
        <f>$E$106</f>
        <v>2267.6728942500004</v>
      </c>
      <c r="N118" s="57" t="str" cm="1">
        <f t="array" ref="N118:O123">Common_InputFunctions.Utility_DisplayArguments_1_2(MMS_Swine_AtmosphericDeposition_Equations.VEERG_4_5_1_5__1_AnnualAtmosphericDepositionEmissionsFromMMS_Arguments())</f>
        <v>MMS_ATMOS</v>
      </c>
      <c r="O118" s="58" t="str">
        <v>mass of N volatilised from MMS</v>
      </c>
      <c r="P118" s="59"/>
      <c r="Q118" s="144" t="str" cm="1">
        <f t="array" ref="Q118:R123">Common_InputFunctions.Utility_DisplayArguments_3_4(MMS_Swine_AtmosphericDeposition_Equations.VEERG_4_5_1_5__1_AnnualAtmosphericDepositionEmissionsFromMMS_Arguments())</f>
        <v>kg N</v>
      </c>
      <c r="R118" s="139" t="str">
        <v>Calculated from 4.5.1.5 (2)</v>
      </c>
      <c r="S118" s="57">
        <f>$E$106</f>
        <v>2267.6728942500004</v>
      </c>
    </row>
    <row r="119" spans="4:19" ht="20.100000000000001" customHeight="1" x14ac:dyDescent="0.25">
      <c r="D119" s="57" t="str">
        <v>EF_N2O</v>
      </c>
      <c r="E119" s="58" t="str">
        <v>nitrous oxide emission factor for atmospheric deposition</v>
      </c>
      <c r="F119" s="59"/>
      <c r="G119" s="144" t="str">
        <v>kg N2O-N/kg N</v>
      </c>
      <c r="H119" s="139" t="str">
        <v>Constant</v>
      </c>
      <c r="I119" s="144">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7" t="str">
        <v>EF_N2O</v>
      </c>
      <c r="O119" s="58" t="str">
        <v>nitrous oxide emission factor for atmospheric deposition</v>
      </c>
      <c r="P119" s="59"/>
      <c r="Q119" s="144" t="str">
        <v>kg N2O-N/kg N</v>
      </c>
      <c r="R119" s="139" t="str">
        <v>Constant</v>
      </c>
      <c r="S119" s="57"/>
    </row>
    <row r="120" spans="4:19" ht="20.100000000000001" customHeight="1" x14ac:dyDescent="0.25">
      <c r="D120" s="57" t="str">
        <v>C_N2O</v>
      </c>
      <c r="E120" s="58" t="str">
        <v>factor to convert elemental mass of N2O to molecular mass</v>
      </c>
      <c r="F120" s="59"/>
      <c r="G120" s="144" t="str">
        <v/>
      </c>
      <c r="H120" s="139" t="str">
        <v>Constant</v>
      </c>
      <c r="I120" s="144">
        <f>Common_InputFunctions.Utility_LookupValueInTableNumber("N2O",Table_GasToMolecularConversionFactor[Gas],Table_GasToMolecularConversionFactor[Conversion factor combined])</f>
        <v>1.5714285714285714</v>
      </c>
      <c r="N120" s="57" t="str">
        <v>C_N2O</v>
      </c>
      <c r="O120" s="58" t="str">
        <v>factor to convert elemental mass of N2O to molecular mass</v>
      </c>
      <c r="P120" s="59"/>
      <c r="Q120" s="144" t="str">
        <v/>
      </c>
      <c r="R120" s="139" t="str">
        <v>Constant</v>
      </c>
      <c r="S120" s="57"/>
    </row>
    <row r="121" spans="4:19" ht="20.100000000000001" customHeight="1" x14ac:dyDescent="0.25">
      <c r="D121" s="57" t="str">
        <v>j</v>
      </c>
      <c r="E121" s="58" t="str">
        <v>production system</v>
      </c>
      <c r="F121" s="59"/>
      <c r="G121" s="144" t="str">
        <v/>
      </c>
      <c r="H121" s="140" t="str">
        <v>Input</v>
      </c>
      <c r="I121" s="144" t="str">
        <f>'Input - Swine'!$E$91</f>
        <v>Crop</v>
      </c>
      <c r="N121" s="57" t="str">
        <v>j</v>
      </c>
      <c r="O121" s="58" t="str">
        <v>production system</v>
      </c>
      <c r="P121" s="59"/>
      <c r="Q121" s="144" t="str">
        <v/>
      </c>
      <c r="R121" s="140" t="str">
        <v>Input</v>
      </c>
      <c r="S121" s="57"/>
    </row>
    <row r="122" spans="4:19" ht="20.100000000000001" customHeight="1" x14ac:dyDescent="0.25">
      <c r="D122" s="57" t="str">
        <v>ir</v>
      </c>
      <c r="E122" s="58" t="str">
        <v>irrigation method</v>
      </c>
      <c r="F122" s="59"/>
      <c r="G122" s="144" t="str">
        <v/>
      </c>
      <c r="H122" s="140" t="str">
        <v>Input</v>
      </c>
      <c r="I122" s="144" t="str">
        <f>'Input - Swine'!$E$92</f>
        <v>Sprinkler irrigation</v>
      </c>
      <c r="N122" s="57" t="str">
        <v>ir</v>
      </c>
      <c r="O122" s="58" t="str">
        <v>irrigation method</v>
      </c>
      <c r="P122" s="59"/>
      <c r="Q122" s="144" t="str">
        <v/>
      </c>
      <c r="R122" s="140" t="str">
        <v>Input</v>
      </c>
      <c r="S122" s="57"/>
    </row>
    <row r="123" spans="4:19" ht="20.100000000000001" customHeight="1" x14ac:dyDescent="0.25">
      <c r="D123" s="57" t="str">
        <v>r</v>
      </c>
      <c r="E123" s="58" t="str">
        <v>rainfall region</v>
      </c>
      <c r="F123" s="59"/>
      <c r="G123" s="144" t="str">
        <v/>
      </c>
      <c r="H123" s="140" t="str">
        <v>Input</v>
      </c>
      <c r="I123" s="144" t="str">
        <f>'Input - Site'!$E$30</f>
        <v>High rainfall</v>
      </c>
      <c r="N123" s="57" t="str">
        <v>r</v>
      </c>
      <c r="O123" s="58" t="str">
        <v>rainfall region</v>
      </c>
      <c r="P123" s="59"/>
      <c r="Q123" s="144" t="str">
        <v/>
      </c>
      <c r="R123" s="140" t="str">
        <v>Input</v>
      </c>
      <c r="S123" s="57"/>
    </row>
    <row r="124" spans="4:19" ht="20.100000000000001" customHeight="1" x14ac:dyDescent="0.25"/>
    <row r="125" spans="4:19" ht="20.100000000000001" customHeight="1" x14ac:dyDescent="0.25">
      <c r="D125" s="101" t="s">
        <v>262</v>
      </c>
      <c r="E125" s="102" cm="1">
        <f t="array" ref="E125">MMS_Swine_AtmosphericDeposition_Equations.VEERG_4_5_1_5__1_AnnualAtmosphericDepositionEmissionsFromMMS(I118,I119,I120)</f>
        <v>2.4944401836750004E-2</v>
      </c>
      <c r="F125" s="103" t="str">
        <f>E116</f>
        <v>t N2O</v>
      </c>
      <c r="N125" s="101" t="s">
        <v>262</v>
      </c>
      <c r="O125" s="102" cm="1">
        <f t="array" ref="O125">MMS_Swine_AtmosphericDeposition_Equations.VEERG_4_5_1_5__1_AnnualAtmosphericDepositionEmissionsFromMMS(S118,I119,I120)</f>
        <v>2.4944401836750004E-2</v>
      </c>
      <c r="P125" s="103" t="str">
        <f>O116</f>
        <v>t N2O</v>
      </c>
    </row>
    <row r="126" spans="4:19" ht="20.100000000000001" customHeight="1" x14ac:dyDescent="0.25"/>
    <row r="127" spans="4:19" ht="20.100000000000001" customHeight="1" x14ac:dyDescent="0.25">
      <c r="D127" s="57" t="str" cm="1">
        <f t="array" ref="D127:E128">Common_Equations.Common_ConvertN2OToCO2e_Arguments()</f>
        <v>EN2O</v>
      </c>
      <c r="E127" s="58" t="str">
        <v>Nitrous oxide emissions (t N2O)</v>
      </c>
      <c r="F127" s="104"/>
      <c r="G127" s="52">
        <f>E125</f>
        <v>2.4944401836750004E-2</v>
      </c>
      <c r="N127" s="57" t="str" cm="1">
        <f t="array" ref="N127:O128">Common_Equations.Common_ConvertN2OToCO2e_Arguments()</f>
        <v>EN2O</v>
      </c>
      <c r="O127" s="58" t="str">
        <v>Nitrous oxide emissions (t N2O)</v>
      </c>
      <c r="P127" s="104"/>
      <c r="Q127" s="52">
        <f>O125</f>
        <v>2.4944401836750004E-2</v>
      </c>
    </row>
    <row r="128" spans="4:19" ht="20.100000000000001" customHeight="1" x14ac:dyDescent="0.25">
      <c r="D128" s="57" t="str">
        <v>GWPN2O</v>
      </c>
      <c r="E128" s="58" t="str">
        <v>Global warming potential for nitrous oxide (t CO2-e / t N2O)</v>
      </c>
      <c r="F128" s="104"/>
      <c r="G128" s="52">
        <f>Common_InputFunctions.Utility_LookupValueInTableNumber("N2O",Table_GWPData[Gas],Table_GWPData[CO2-e factor])</f>
        <v>265</v>
      </c>
      <c r="N128" s="57" t="str">
        <v>GWPN2O</v>
      </c>
      <c r="O128" s="58" t="str">
        <v>Global warming potential for nitrous oxide (t CO2-e / t N2O)</v>
      </c>
      <c r="P128" s="104"/>
      <c r="Q128" s="52">
        <f>Common_InputFunctions.Utility_LookupValueInTableNumber("N2O",Table_GWPData[Gas],Table_GWPData[CO2-e factor])</f>
        <v>265</v>
      </c>
    </row>
    <row r="129" spans="1:16" ht="20.100000000000001" customHeight="1" x14ac:dyDescent="0.25"/>
    <row r="130" spans="1:16" ht="20.100000000000001" customHeight="1" x14ac:dyDescent="0.25">
      <c r="A130" s="150" t="str">
        <f>HYPERLINK("#A1", "▲ Back to top")</f>
        <v>▲ Back to top</v>
      </c>
      <c r="D130" s="45" t="s">
        <v>100</v>
      </c>
      <c r="E130" s="45" cm="1">
        <f t="array" ref="E130">Common_Equations.Common_ConvertN2OToCO2e(G127,G128)</f>
        <v>6.6102664867387508</v>
      </c>
      <c r="F130" s="105" t="str" cm="1">
        <f t="array" ref="F130">Common_Equations.Common_ConvertN2OToCO2e_Unit()</f>
        <v>t CO2e</v>
      </c>
      <c r="N130" s="45" t="s">
        <v>100</v>
      </c>
      <c r="O130" s="45" cm="1">
        <f t="array" ref="O130">Common_Equations.Common_ConvertN2OToCO2e(Q127,Q128)</f>
        <v>6.6102664867387508</v>
      </c>
      <c r="P130" s="105" t="str" cm="1">
        <f t="array" ref="P130">Common_Equations.Common_ConvertN2OToCO2e_Unit()</f>
        <v>t CO2e</v>
      </c>
    </row>
    <row r="131" spans="1:16" ht="20.100000000000001" customHeight="1" x14ac:dyDescent="0.25"/>
    <row r="132" spans="1:16" ht="20.100000000000001" customHeight="1" x14ac:dyDescent="0.25"/>
    <row r="133" spans="1:16" ht="20.100000000000001" customHeight="1" x14ac:dyDescent="0.25"/>
    <row r="134" spans="1:16" ht="20.100000000000001" customHeight="1" x14ac:dyDescent="0.25"/>
    <row r="135" spans="1:16" ht="20.100000000000001" customHeight="1" x14ac:dyDescent="0.25"/>
    <row r="136" spans="1:16" ht="20.100000000000001" customHeight="1" x14ac:dyDescent="0.25"/>
    <row r="137" spans="1:16" ht="20.100000000000001" customHeight="1" x14ac:dyDescent="0.25"/>
    <row r="138" spans="1:16" ht="20.100000000000001" customHeight="1" x14ac:dyDescent="0.25"/>
    <row r="139" spans="1:16" ht="20.100000000000001" customHeight="1" x14ac:dyDescent="0.25"/>
    <row r="140" spans="1:16" ht="20.100000000000001" customHeight="1" x14ac:dyDescent="0.25"/>
    <row r="141" spans="1:16" ht="20.100000000000001" customHeight="1" x14ac:dyDescent="0.25"/>
    <row r="142" spans="1:16" ht="20.100000000000001" customHeight="1" x14ac:dyDescent="0.25"/>
    <row r="143" spans="1:16" ht="20.100000000000001" customHeight="1" x14ac:dyDescent="0.25"/>
    <row r="144" spans="1: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4" workbookViewId="0">
      <selection activeCell="D16" sqref="D16:E1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290</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A6" s="16"/>
      <c r="D6" s="5" t="str" cm="1">
        <f t="array" ref="D6">MMS_Swine_LeachingAndRunoff_Equations.VEERG_4_5_1_7__2_MassOfNitrogenLostToLeachingAndRunoffFromDrylotMMS_Source()</f>
        <v>VEERG 2026: 4.5.1.7, Equation (2)</v>
      </c>
    </row>
    <row r="7" spans="1:19" ht="20.100000000000001" customHeight="1" x14ac:dyDescent="0.25">
      <c r="A7" s="20" t="s">
        <v>3</v>
      </c>
      <c r="D7" s="13" t="s">
        <v>26</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7" t="str">
        <f>HYPERLINK("#'Input - Site'!A1", "Site")</f>
        <v>Site</v>
      </c>
    </row>
    <row r="9" spans="1:19" ht="20.100000000000001" customHeight="1" x14ac:dyDescent="0.25">
      <c r="A9" s="17" t="str">
        <f>HYPERLINK("#'Input - Swine'!A1", "Swine")</f>
        <v>Swine</v>
      </c>
    </row>
    <row r="10" spans="1:19" ht="20.100000000000001" customHeight="1" x14ac:dyDescent="0.25">
      <c r="A10" s="17"/>
      <c r="D10" s="53" t="s">
        <v>29</v>
      </c>
      <c r="E10" s="1" t="str" cm="1">
        <f t="array" ref="E10">MMS_Swine_LeachingAndRunoff_Equations.VEERG_4_5_1_7__2_MassOfNitrogenLostToLeachingAndRunoffFromDrylotMMS_Variable()</f>
        <v>MNLeach_jm5</v>
      </c>
      <c r="F10" s="107" t="s">
        <v>277</v>
      </c>
    </row>
    <row r="11" spans="1:19" ht="20.100000000000001" customHeight="1" x14ac:dyDescent="0.25">
      <c r="A11" s="19" t="s">
        <v>76</v>
      </c>
      <c r="D11" s="53" t="s">
        <v>19</v>
      </c>
      <c r="E11" s="54" t="str" cm="1">
        <f t="array" ref="E11">MMS_Swine_LeachingAndRunoff_Equations.VEERG_4_5_1_7__2_MassOfNitrogenLostToLeachingAndRunoffFromDrylotMMS_Unit()</f>
        <v>kg N</v>
      </c>
      <c r="F11" s="107" t="s">
        <v>282</v>
      </c>
    </row>
    <row r="12" spans="1:19" ht="20.100000000000001" customHeight="1" x14ac:dyDescent="0.25">
      <c r="A12" s="17" t="str">
        <f>HYPERLINK("#'4.5.1.1-2 Methane'!A1", "4.5.1.1-2 Methane")</f>
        <v>4.5.1.1-2 Methane</v>
      </c>
    </row>
    <row r="13" spans="1:19" ht="20.100000000000001" customHeight="1" x14ac:dyDescent="0.25">
      <c r="A13" s="17" t="str">
        <f>HYPERLINK("#'4.5.1.3-4 Direct N2O'!A1", "4.5.1.3-4 Direct N2O")</f>
        <v>4.5.1.3-4 Direct N2O</v>
      </c>
      <c r="D13" s="144" t="str" cm="1">
        <f t="array" ref="D13:E18">Common_InputFunctions.Utility_DisplayArguments_1_2(MMS_Swine_LeachingAndRunoff_Equations.VEERG_4_5_1_7__2_MassOfNitrogenLostToLeachingAndRunoffFromDrylotMMS_Arguments())</f>
        <v>MN_jm5T1</v>
      </c>
      <c r="E13" s="146" t="str">
        <v>nitrogen in treatment stage 1 drylot MMS</v>
      </c>
      <c r="F13" s="145"/>
      <c r="G13" s="144" t="str" cm="1">
        <f t="array" ref="G13:H18">Common_InputFunctions.Utility_DisplayArguments_3_4(MMS_Swine_LeachingAndRunoff_Equations.VEERG_4_5_1_7__2_MassOfNitrogenLostToLeachingAndRunoffFromDrylotMMS_Arguments())</f>
        <v>kg N</v>
      </c>
      <c r="H13" s="139" t="str">
        <v>Calculated from 4.5.1.3 (2)</v>
      </c>
      <c r="I13" s="143" t="str" cm="1">
        <f t="array" aca="1" ref="I13" ca="1">HYPERLINK(Common_InputFunctions.Utility_SourceHyperlink(D20), D20)</f>
        <v>M1_Table_MN_j_m-5_T-1</v>
      </c>
    </row>
    <row r="14" spans="1:19" ht="20.100000000000001" customHeight="1" x14ac:dyDescent="0.25">
      <c r="A14" s="17" t="str">
        <f>HYPERLINK("#'4.5.1.5-6 Atmos Dep'!A1", "4.5.1.5-6 Soil atm. deposition")</f>
        <v>4.5.1.5-6 Soil atm. deposition</v>
      </c>
      <c r="D14" s="144" t="str">
        <v>FracWET</v>
      </c>
      <c r="E14" s="146" t="str">
        <v>fraction of N available for leaching and runoff</v>
      </c>
      <c r="F14" s="145"/>
      <c r="G14" s="144" t="str">
        <v>fraction</v>
      </c>
      <c r="H14" s="139" t="str">
        <v>Constant</v>
      </c>
      <c r="I14" s="144">
        <f>Common_InputFunctions.CommonCropping_GetFracWET(I16,I18,#REF!,#REF!,Table_SourceData_FracWETIrrigation[Irrigation type i],Table_SourceData_FracWETIrrigation[FracWET])</f>
        <v>1</v>
      </c>
    </row>
    <row r="15" spans="1:19" ht="20.100000000000001" customHeight="1" x14ac:dyDescent="0.25">
      <c r="A15" s="17" t="str">
        <f>HYPERLINK("#'4.5.1.7-8 Leaching and runoff'!A1", "4.5.1.7-8 Leaching &amp; runoff")</f>
        <v>4.5.1.7-8 Leaching &amp; runoff</v>
      </c>
      <c r="D15" s="144" t="str">
        <v>FracLEACH_MS</v>
      </c>
      <c r="E15" s="146" t="str">
        <v>fraction of N lost through leaching and runoff</v>
      </c>
      <c r="F15" s="145"/>
      <c r="G15" s="144" t="str">
        <v>fraction</v>
      </c>
      <c r="H15" s="139" t="str">
        <v>Constant</v>
      </c>
      <c r="I15" s="144">
        <f>'Constants - Swine'!$E$17</f>
        <v>0.02</v>
      </c>
    </row>
    <row r="16" spans="1:19" ht="20.100000000000001" customHeight="1" x14ac:dyDescent="0.25">
      <c r="A16" s="17" t="str">
        <f>HYPERLINK("#'4.5.1.9 Manure applied to soils'!A1", "4.5.1.9 Manure applied to soils")</f>
        <v>4.5.1.9 Manure applied to soils</v>
      </c>
      <c r="D16" s="144" t="str">
        <v>z</v>
      </c>
      <c r="E16" s="146" t="str">
        <v>location in leaching zone</v>
      </c>
      <c r="F16" s="145"/>
      <c r="G16" s="144" t="str">
        <v/>
      </c>
      <c r="H16" s="140" t="str">
        <v>Input</v>
      </c>
      <c r="I16" s="144" t="str">
        <f>'Input - Site'!$E$23</f>
        <v>NO - Not in leaching zone</v>
      </c>
    </row>
    <row r="17" spans="1:19" ht="20.100000000000001" customHeight="1" x14ac:dyDescent="0.25">
      <c r="D17" s="144" t="str">
        <v>j</v>
      </c>
      <c r="E17" s="146" t="str">
        <v>production system</v>
      </c>
      <c r="F17" s="145"/>
      <c r="G17" s="144" t="str">
        <v/>
      </c>
      <c r="H17" s="140" t="str">
        <v>Input</v>
      </c>
      <c r="I17" s="144" t="str">
        <f>'Input - Swine'!$E$91</f>
        <v>Crop</v>
      </c>
    </row>
    <row r="18" spans="1:19" ht="20.100000000000001" customHeight="1" x14ac:dyDescent="0.25">
      <c r="A18" s="18" t="s">
        <v>4</v>
      </c>
      <c r="D18" s="144" t="str">
        <v>ir</v>
      </c>
      <c r="E18" s="146" t="str">
        <v>irrigation method</v>
      </c>
      <c r="F18" s="145"/>
      <c r="G18" s="144" t="str">
        <v/>
      </c>
      <c r="H18" s="140" t="str">
        <v>Input</v>
      </c>
      <c r="I18" s="144" t="str">
        <f>'Input - Swine'!$E$92</f>
        <v>Sprinkler irrigation</v>
      </c>
    </row>
    <row r="19" spans="1:19" ht="20.100000000000001" customHeight="1" x14ac:dyDescent="0.25">
      <c r="A19" s="17" t="str">
        <f>HYPERLINK("#'Constants - Swine'!A1", "Constants - Swine")</f>
        <v>Constants - Swine</v>
      </c>
    </row>
    <row r="20" spans="1:19" ht="20.100000000000001" customHeight="1" x14ac:dyDescent="0.25">
      <c r="A20" s="17" t="str">
        <f>HYPERLINK("#'Constants - Livestock'!A1", "Constants - Livestock")</f>
        <v>Constants - Livestock</v>
      </c>
      <c r="D20" s="99" t="s">
        <v>278</v>
      </c>
      <c r="M20" s="99" t="s">
        <v>280</v>
      </c>
    </row>
    <row r="21" spans="1:19" ht="20.100000000000001" customHeight="1" x14ac:dyDescent="0.25">
      <c r="A21" s="17" t="str">
        <f>HYPERLINK("#'Constants - Common'!A1", "Constants - Common")</f>
        <v>Constants - Common</v>
      </c>
      <c r="D21" s="98" t="s">
        <v>279</v>
      </c>
      <c r="M21" s="98" t="s">
        <v>281</v>
      </c>
    </row>
    <row r="22" spans="1:19" ht="20.100000000000001" customHeight="1" x14ac:dyDescent="0.25">
      <c r="A22" s="17" t="str">
        <f>HYPERLINK("#'Acknowledgements'!A1", "Acknowledgements")</f>
        <v>Acknowledgements</v>
      </c>
      <c r="D22" s="51" t="s">
        <v>163</v>
      </c>
      <c r="E22" s="51" t="s">
        <v>142</v>
      </c>
      <c r="F22" s="51" t="s">
        <v>143</v>
      </c>
      <c r="G22" s="51" t="s">
        <v>144</v>
      </c>
      <c r="H22" s="51" t="s">
        <v>206</v>
      </c>
      <c r="M22" s="51" t="s">
        <v>163</v>
      </c>
      <c r="N22" s="51" t="s">
        <v>142</v>
      </c>
      <c r="O22" s="51" t="s">
        <v>143</v>
      </c>
      <c r="P22" s="51" t="s">
        <v>144</v>
      </c>
      <c r="Q22" s="51" t="s">
        <v>206</v>
      </c>
    </row>
    <row r="23" spans="1:19" ht="20.100000000000001" customHeight="1" x14ac:dyDescent="0.25">
      <c r="D23" s="52" t="str">
        <f>'Input - Swine'!$D$30</f>
        <v>Drylot (feed pad)</v>
      </c>
      <c r="E23" s="52">
        <f>'4.5.1.3-4 Direct N2O'!E119</f>
        <v>201.47999999999996</v>
      </c>
      <c r="F23" s="52">
        <f>'4.5.1.3-4 Direct N2O'!F119</f>
        <v>214.62000000000003</v>
      </c>
      <c r="G23" s="52">
        <f>'4.5.1.3-4 Direct N2O'!G119</f>
        <v>201.47999999999996</v>
      </c>
      <c r="H23" s="52">
        <f>'4.5.1.3-4 Direct N2O'!H119</f>
        <v>136.65599999999998</v>
      </c>
      <c r="I23" s="2" t="str">
        <f>$G$13</f>
        <v>kg N</v>
      </c>
      <c r="M23" s="52" t="str">
        <f>'Input - Swine'!$D$30</f>
        <v>Drylot (feed pad)</v>
      </c>
      <c r="N23" s="52">
        <f>'4.5.1.3-4 Direct N2O'!O119</f>
        <v>201.47999999999996</v>
      </c>
      <c r="O23" s="52">
        <f>'4.5.1.3-4 Direct N2O'!P119</f>
        <v>214.62000000000003</v>
      </c>
      <c r="P23" s="52">
        <f>'4.5.1.3-4 Direct N2O'!Q119</f>
        <v>201.47999999999996</v>
      </c>
      <c r="Q23" s="52">
        <f>'4.5.1.3-4 Direct N2O'!R119</f>
        <v>136.65599999999998</v>
      </c>
      <c r="R23" s="2" t="str">
        <f>$G$13</f>
        <v>kg N</v>
      </c>
    </row>
    <row r="24" spans="1:19" ht="20.100000000000001" customHeight="1" x14ac:dyDescent="0.25">
      <c r="A24" s="17"/>
    </row>
    <row r="25" spans="1:19" ht="20.100000000000001" customHeight="1" x14ac:dyDescent="0.25">
      <c r="D25" s="99" t="s">
        <v>283</v>
      </c>
      <c r="M25" s="99" t="s">
        <v>283</v>
      </c>
    </row>
    <row r="26" spans="1:19" ht="20.100000000000001" customHeight="1" x14ac:dyDescent="0.25">
      <c r="D26" s="98" t="s">
        <v>284</v>
      </c>
      <c r="M26" s="98" t="s">
        <v>284</v>
      </c>
    </row>
    <row r="27" spans="1:19" ht="20.100000000000001" customHeight="1" x14ac:dyDescent="0.25">
      <c r="D27" s="51" t="s">
        <v>163</v>
      </c>
      <c r="E27" s="51" t="s">
        <v>142</v>
      </c>
      <c r="F27" s="51" t="s">
        <v>143</v>
      </c>
      <c r="G27" s="51" t="s">
        <v>144</v>
      </c>
      <c r="H27" s="51" t="s">
        <v>206</v>
      </c>
      <c r="M27" s="51" t="s">
        <v>163</v>
      </c>
      <c r="N27" s="51" t="s">
        <v>142</v>
      </c>
      <c r="O27" s="51" t="s">
        <v>143</v>
      </c>
      <c r="P27" s="51" t="s">
        <v>144</v>
      </c>
      <c r="Q27" s="51" t="s">
        <v>206</v>
      </c>
    </row>
    <row r="28" spans="1:19" ht="20.100000000000001" customHeight="1" x14ac:dyDescent="0.25">
      <c r="D28" s="52" t="str">
        <f>'Input - Swine'!$D$30</f>
        <v>Drylot (feed pad)</v>
      </c>
      <c r="E28" s="52" cm="1">
        <f t="array" ref="E28">MMS_Swine_LeachingAndRunoff_Equations.VEERG_4_5_1_7__2_MassOfNitrogenLostToLeachingAndRunoffFromDrylotMMS(E23,$I$14,$I$15)</f>
        <v>4.0295999999999994</v>
      </c>
      <c r="F28" s="52" cm="1">
        <f t="array" ref="F28">MMS_Swine_LeachingAndRunoff_Equations.VEERG_4_5_1_7__2_MassOfNitrogenLostToLeachingAndRunoffFromDrylotMMS(F23,$I$14,$I$15)</f>
        <v>4.2924000000000007</v>
      </c>
      <c r="G28" s="52" cm="1">
        <f t="array" ref="G28">MMS_Swine_LeachingAndRunoff_Equations.VEERG_4_5_1_7__2_MassOfNitrogenLostToLeachingAndRunoffFromDrylotMMS(G23,$I$14,$I$15)</f>
        <v>4.0295999999999994</v>
      </c>
      <c r="H28" s="52" cm="1">
        <f t="array" ref="H28">MMS_Swine_LeachingAndRunoff_Equations.VEERG_4_5_1_7__2_MassOfNitrogenLostToLeachingAndRunoffFromDrylotMMS(H23,$I$14,$I$15)</f>
        <v>2.7331199999999995</v>
      </c>
      <c r="I28" s="2" t="str">
        <f>$E$11</f>
        <v>kg N</v>
      </c>
      <c r="M28" s="52" t="str">
        <f>'Input - Swine'!$D$30</f>
        <v>Drylot (feed pad)</v>
      </c>
      <c r="N28" s="52" cm="1">
        <f t="array" ref="N28">MMS_Swine_LeachingAndRunoff_Equations.VEERG_4_5_1_7__2_MassOfNitrogenLostToLeachingAndRunoffFromDrylotMMS(N23,$I$14,$I$15)</f>
        <v>4.0295999999999994</v>
      </c>
      <c r="O28" s="52" cm="1">
        <f t="array" ref="O28">MMS_Swine_LeachingAndRunoff_Equations.VEERG_4_5_1_7__2_MassOfNitrogenLostToLeachingAndRunoffFromDrylotMMS(O23,$I$14,$I$15)</f>
        <v>4.2924000000000007</v>
      </c>
      <c r="P28" s="52" cm="1">
        <f t="array" ref="P28">MMS_Swine_LeachingAndRunoff_Equations.VEERG_4_5_1_7__2_MassOfNitrogenLostToLeachingAndRunoffFromDrylotMMS(P23,$I$14,$I$15)</f>
        <v>4.0295999999999994</v>
      </c>
      <c r="Q28" s="52" cm="1">
        <f t="array" ref="Q28">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5"/>
      <c r="D31" s="45"/>
      <c r="E31" s="45"/>
      <c r="F31" s="45"/>
      <c r="G31" s="45"/>
      <c r="H31" s="45"/>
      <c r="I31" s="45"/>
      <c r="J31" s="45"/>
      <c r="L31" s="45"/>
      <c r="M31" s="45"/>
      <c r="N31" s="45"/>
      <c r="O31" s="45"/>
      <c r="P31" s="45"/>
      <c r="Q31" s="45"/>
      <c r="R31" s="45"/>
      <c r="S31" s="45"/>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26</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3" t="s">
        <v>29</v>
      </c>
      <c r="E37" s="1" t="str" cm="1">
        <f t="array" ref="E37">MMS_Swine_LeachingAndRunoff_Equations.VEERG_4_5_1_7__1_AnnualEmissionsFromLeachingAndRunoffFromMMS_Variable()</f>
        <v>E_N2Oleach</v>
      </c>
    </row>
    <row r="38" spans="4:18" ht="20.100000000000001" customHeight="1" x14ac:dyDescent="0.25">
      <c r="D38" s="53" t="s">
        <v>19</v>
      </c>
      <c r="E38" s="54"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44" t="str" cm="1">
        <f t="array" ref="D40:E42">Common_InputFunctions.Utility_DisplayArguments_1_2(MMS_Swine_LeachingAndRunoff_Equations.VEERG_4_5_1_7__1_AnnualEmissionsFromLeachingAndRunoffFromMMS_Arguments())</f>
        <v>MNLeach_jm5</v>
      </c>
      <c r="E40" s="146" t="str">
        <v>mass of N lost through leaching and runoff from drylot MMS</v>
      </c>
      <c r="F40" s="145"/>
      <c r="G40" s="144" t="str" cm="1">
        <f t="array" ref="G40:H42">Common_InputFunctions.Utility_DisplayArguments_3_4(MMS_Swine_LeachingAndRunoff_Equations.VEERG_4_5_1_7__1_AnnualEmissionsFromLeachingAndRunoffFromMMS_Arguments())</f>
        <v>kg N</v>
      </c>
      <c r="H40" s="139" t="str">
        <v>Calculated from 4.5.1.7 (2)</v>
      </c>
      <c r="I40" s="143" t="str" cm="1">
        <f t="array" aca="1" ref="I40" ca="1">HYPERLINK(Common_InputFunctions.Utility_SourceHyperlink(D25), D25)</f>
        <v>M1_Table_MN_leach_j_m-5</v>
      </c>
    </row>
    <row r="41" spans="4:18" ht="20.100000000000001" customHeight="1" x14ac:dyDescent="0.25">
      <c r="D41" s="144" t="str">
        <v>EF_leach</v>
      </c>
      <c r="E41" s="146" t="str">
        <v>emission factor for leaching and runoff</v>
      </c>
      <c r="F41" s="145"/>
      <c r="G41" s="144" t="str">
        <v>kg N2O-N/kg N</v>
      </c>
      <c r="H41" s="139" t="str">
        <v>Constant</v>
      </c>
      <c r="I41" s="144">
        <f>'Constants - Common'!$E$170</f>
        <v>1.0999999999999999E-2</v>
      </c>
    </row>
    <row r="42" spans="4:18" ht="20.100000000000001" customHeight="1" x14ac:dyDescent="0.25">
      <c r="D42" s="144" t="str">
        <v>C_N2O</v>
      </c>
      <c r="E42" s="146" t="str">
        <v>factor to convert elemental mass of N2O to molecular mass</v>
      </c>
      <c r="F42" s="145"/>
      <c r="G42" s="144" t="str">
        <v/>
      </c>
      <c r="H42" s="139" t="str">
        <v>Constant</v>
      </c>
      <c r="I42" s="144">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9" t="s">
        <v>285</v>
      </c>
      <c r="M44" s="99" t="s">
        <v>288</v>
      </c>
    </row>
    <row r="45" spans="4:18" ht="20.100000000000001" customHeight="1" x14ac:dyDescent="0.25">
      <c r="D45" s="98" t="s">
        <v>286</v>
      </c>
      <c r="M45" s="98" t="s">
        <v>289</v>
      </c>
    </row>
    <row r="46" spans="4:18" ht="20.100000000000001" customHeight="1" x14ac:dyDescent="0.25">
      <c r="D46" s="51" t="s">
        <v>163</v>
      </c>
      <c r="E46" s="51" t="s">
        <v>142</v>
      </c>
      <c r="F46" s="51" t="s">
        <v>143</v>
      </c>
      <c r="G46" s="51" t="s">
        <v>144</v>
      </c>
      <c r="H46" s="51" t="s">
        <v>206</v>
      </c>
      <c r="M46" s="51" t="s">
        <v>163</v>
      </c>
      <c r="N46" s="51" t="s">
        <v>142</v>
      </c>
      <c r="O46" s="51" t="s">
        <v>143</v>
      </c>
      <c r="P46" s="51" t="s">
        <v>144</v>
      </c>
      <c r="Q46" s="51" t="s">
        <v>206</v>
      </c>
    </row>
    <row r="47" spans="4:18" ht="20.100000000000001" customHeight="1" x14ac:dyDescent="0.25">
      <c r="D47" s="52" t="str">
        <f>'Input - Swine'!$D$30</f>
        <v>Drylot (feed pad)</v>
      </c>
      <c r="E47" s="52" cm="1">
        <f t="array" ref="E47">MMS_Swine_LeachingAndRunoff_Equations.VEERG_4_5_1_7__1_AnnualEmissionsFromLeachingAndRunoffFromMMS(E28,$I$41,$I$42)</f>
        <v>6.9654514285714269E-5</v>
      </c>
      <c r="F47" s="52" cm="1">
        <f t="array" ref="F47">MMS_Swine_LeachingAndRunoff_Equations.VEERG_4_5_1_7__1_AnnualEmissionsFromLeachingAndRunoffFromMMS(F28,$I$41,$I$42)</f>
        <v>7.4197200000000009E-5</v>
      </c>
      <c r="G47" s="52" cm="1">
        <f t="array" ref="G47">MMS_Swine_LeachingAndRunoff_Equations.VEERG_4_5_1_7__1_AnnualEmissionsFromLeachingAndRunoffFromMMS(G28,$I$41,$I$42)</f>
        <v>6.9654514285714269E-5</v>
      </c>
      <c r="H47" s="52" cm="1">
        <f t="array" ref="H47">MMS_Swine_LeachingAndRunoff_Equations.VEERG_4_5_1_7__1_AnnualEmissionsFromLeachingAndRunoffFromMMS(H28,$I$41,$I$42)</f>
        <v>4.7243931428571419E-5</v>
      </c>
      <c r="I47" s="2" t="str">
        <f>$E$38</f>
        <v>t N2O</v>
      </c>
      <c r="M47" s="52" t="str">
        <f>'Input - Swine'!$D$30</f>
        <v>Drylot (feed pad)</v>
      </c>
      <c r="N47" s="52" cm="1">
        <f t="array" ref="N47">MMS_Swine_LeachingAndRunoff_Equations.VEERG_4_5_1_7__1_AnnualEmissionsFromLeachingAndRunoffFromMMS(N28,$I$41,$I$42)</f>
        <v>6.9654514285714269E-5</v>
      </c>
      <c r="O47" s="52" cm="1">
        <f t="array" ref="O47">MMS_Swine_LeachingAndRunoff_Equations.VEERG_4_5_1_7__1_AnnualEmissionsFromLeachingAndRunoffFromMMS(O28,$I$41,$I$42)</f>
        <v>7.4197200000000009E-5</v>
      </c>
      <c r="P47" s="52" cm="1">
        <f t="array" ref="P47">MMS_Swine_LeachingAndRunoff_Equations.VEERG_4_5_1_7__1_AnnualEmissionsFromLeachingAndRunoffFromMMS(P28,$I$41,$I$42)</f>
        <v>6.9654514285714269E-5</v>
      </c>
      <c r="Q47" s="52" cm="1">
        <f t="array" ref="Q47">MMS_Swine_LeachingAndRunoff_Equations.VEERG_4_5_1_7__1_AnnualEmissionsFromLeachingAndRunoffFromMMS(Q28,$I$41,$I$42)</f>
        <v>4.7243931428571419E-5</v>
      </c>
      <c r="R47" s="2" t="str">
        <f>$E$38</f>
        <v>t N2O</v>
      </c>
    </row>
    <row r="48" spans="4:18" ht="20.100000000000001" customHeight="1" x14ac:dyDescent="0.25"/>
    <row r="49" spans="1:16" ht="20.100000000000001" customHeight="1" x14ac:dyDescent="0.25">
      <c r="D49" s="101" t="s">
        <v>287</v>
      </c>
      <c r="E49" s="102">
        <f>SUM(E47:H47)</f>
        <v>2.6075015999999998E-4</v>
      </c>
      <c r="F49" s="103" t="str">
        <f>$E$38</f>
        <v>t N2O</v>
      </c>
      <c r="M49" s="101" t="s">
        <v>287</v>
      </c>
      <c r="N49" s="102">
        <f>SUM(N47:Q47)</f>
        <v>2.6075015999999998E-4</v>
      </c>
      <c r="O49" s="103" t="str">
        <f>$E$38</f>
        <v>t N2O</v>
      </c>
    </row>
    <row r="50" spans="1:16" ht="20.100000000000001" customHeight="1" x14ac:dyDescent="0.25"/>
    <row r="51" spans="1:16" ht="20.100000000000001" customHeight="1" x14ac:dyDescent="0.25">
      <c r="D51" s="57" t="str" cm="1">
        <f t="array" ref="D51:E52">Common_Equations.Common_ConvertN2OToCO2e_Arguments()</f>
        <v>EN2O</v>
      </c>
      <c r="E51" s="58" t="str">
        <v>Nitrous oxide emissions (t N2O)</v>
      </c>
      <c r="F51" s="104"/>
      <c r="G51" s="52">
        <f>E49</f>
        <v>2.6075015999999998E-4</v>
      </c>
      <c r="M51" s="57" t="str" cm="1">
        <f t="array" ref="M51:N52">Common_Equations.Common_ConvertN2OToCO2e_Arguments()</f>
        <v>EN2O</v>
      </c>
      <c r="N51" s="58" t="str">
        <v>Nitrous oxide emissions (t N2O)</v>
      </c>
      <c r="O51" s="104"/>
      <c r="P51" s="52">
        <f>N49</f>
        <v>2.6075015999999998E-4</v>
      </c>
    </row>
    <row r="52" spans="1:16" ht="20.100000000000001" customHeight="1" x14ac:dyDescent="0.25">
      <c r="D52" s="57" t="str">
        <v>GWPN2O</v>
      </c>
      <c r="E52" s="58" t="str">
        <v>Global warming potential for nitrous oxide (t CO2-e / t N2O)</v>
      </c>
      <c r="F52" s="104"/>
      <c r="G52" s="52">
        <f>Common_InputFunctions.Utility_LookupValueInTableNumber("N2O",Table_GWPData[Gas],Table_GWPData[CO2-e factor])</f>
        <v>265</v>
      </c>
      <c r="M52" s="57" t="str">
        <v>GWPN2O</v>
      </c>
      <c r="N52" s="58" t="str">
        <v>Global warming potential for nitrous oxide (t CO2-e / t N2O)</v>
      </c>
      <c r="O52" s="104"/>
      <c r="P52" s="52">
        <f>Common_InputFunctions.Utility_LookupValueInTableNumber("N2O",Table_GWPData[Gas],Table_GWPData[CO2-e factor])</f>
        <v>265</v>
      </c>
    </row>
    <row r="53" spans="1:16" ht="20.100000000000001" customHeight="1" x14ac:dyDescent="0.25"/>
    <row r="54" spans="1:16" ht="20.100000000000001" customHeight="1" x14ac:dyDescent="0.25">
      <c r="A54" s="150" t="str">
        <f>HYPERLINK("#A1", "▲ Back to top")</f>
        <v>▲ Back to top</v>
      </c>
      <c r="D54" s="45" t="s">
        <v>100</v>
      </c>
      <c r="E54" s="45" cm="1">
        <f t="array" ref="E54">Common_Equations.Common_ConvertN2OToCO2e(G51,G52)</f>
        <v>6.9098792399999998E-2</v>
      </c>
      <c r="F54" s="105" t="str" cm="1">
        <f t="array" ref="F54">Common_Equations.Common_ConvertN2OToCO2e_Unit()</f>
        <v>t CO2e</v>
      </c>
      <c r="M54" s="45" t="s">
        <v>100</v>
      </c>
      <c r="N54" s="45" cm="1">
        <f t="array" ref="N54">Common_Equations.Common_ConvertN2OToCO2e(P51,P52)</f>
        <v>6.9098792399999998E-2</v>
      </c>
      <c r="O54" s="105" t="str" cm="1">
        <f t="array" ref="O54">Common_Equations.Common_ConvertN2OToCO2e_Unit()</f>
        <v>t CO2e</v>
      </c>
    </row>
    <row r="55" spans="1:16" ht="20.100000000000001" customHeight="1" x14ac:dyDescent="0.25"/>
    <row r="56" spans="1:16" ht="20.100000000000001" customHeight="1" x14ac:dyDescent="0.25"/>
    <row r="57" spans="1:16" ht="20.100000000000001" customHeight="1" x14ac:dyDescent="0.25"/>
    <row r="58" spans="1:16" ht="20.100000000000001" customHeight="1" x14ac:dyDescent="0.25"/>
    <row r="59" spans="1:16" ht="20.100000000000001" customHeight="1" x14ac:dyDescent="0.25"/>
    <row r="60" spans="1:16" ht="20.100000000000001" customHeight="1" x14ac:dyDescent="0.25"/>
    <row r="61" spans="1:16" ht="20.100000000000001" customHeight="1" x14ac:dyDescent="0.25"/>
    <row r="62" spans="1:16" ht="20.100000000000001" customHeight="1" x14ac:dyDescent="0.25"/>
    <row r="63" spans="1:16" ht="20.100000000000001" customHeight="1" x14ac:dyDescent="0.25"/>
    <row r="64" spans="1: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topLeftCell="A78"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292</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A6" s="16"/>
      <c r="D6" s="5" t="str" cm="1">
        <f t="array" ref="D6">MMS_Swine_ManureAppliedToSoils_Equations.VEERG_4_5_1_9__1_MassOfNitrogenAppliedToSoilsScope1_Source()</f>
        <v>VEERG 2026: 4.5.1.9, Equation (1)</v>
      </c>
    </row>
    <row r="7" spans="1:21" ht="20.100000000000001" customHeight="1" x14ac:dyDescent="0.25">
      <c r="A7" s="20" t="s">
        <v>3</v>
      </c>
      <c r="D7" s="13" t="s">
        <v>26</v>
      </c>
      <c r="E7" s="13" t="str" cm="1">
        <f t="array" aca="1" ref="E7" ca="1">Common_InputFunctions.Utility_DisplayFunctionName(F134)</f>
        <v>=MMS_Swine_ManureAppliedToSoils_Equations.VEERG_4_5_1_9__1_MassOfNitrogenAppliedToSoilsScope1</v>
      </c>
    </row>
    <row r="8" spans="1:21" ht="20.100000000000001" customHeight="1" x14ac:dyDescent="0.25">
      <c r="A8" s="17" t="str">
        <f>HYPERLINK("#'Input - Site'!A1", "Site")</f>
        <v>Site</v>
      </c>
    </row>
    <row r="9" spans="1:21" ht="20.100000000000001" customHeight="1" x14ac:dyDescent="0.25">
      <c r="A9" s="17" t="str">
        <f>HYPERLINK("#'Input - Swine'!A1", "Swine")</f>
        <v>Swine</v>
      </c>
      <c r="G9" s="107" t="s">
        <v>294</v>
      </c>
    </row>
    <row r="10" spans="1:21" ht="20.100000000000001" customHeight="1" x14ac:dyDescent="0.25">
      <c r="A10" s="17"/>
      <c r="D10" s="53" t="s">
        <v>29</v>
      </c>
      <c r="E10" s="1" t="str" cm="1">
        <f t="array" ref="E10">MMS_Swine_ManureAppliedToSoils_Equations.VEERG_4_5_1_9__1_MassOfNitrogenAppliedToSoilsScope1_Variable()</f>
        <v>MNSoil_scope1</v>
      </c>
      <c r="G10" s="5" t="s">
        <v>293</v>
      </c>
    </row>
    <row r="11" spans="1:21" ht="20.100000000000001" customHeight="1" x14ac:dyDescent="0.25">
      <c r="A11" s="19" t="s">
        <v>76</v>
      </c>
      <c r="D11" s="53" t="s">
        <v>19</v>
      </c>
      <c r="E11" s="54" t="str" cm="1">
        <f t="array" ref="E11">MMS_Swine_ManureAppliedToSoils_Equations.VEERG_4_5_1_9__1_MassOfNitrogenAppliedToSoilsScope1_Unit()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7">Common_InputFunctions.Utility_DisplayArguments_1_2(MMS_Swine_ManureAppliedToSoils_Equations.VEERG_4_5_1_9__1_MassOfNitrogenAppliedToSoilsScope1_Arguments())</f>
        <v>MN_jmT2</v>
      </c>
      <c r="E13" s="58" t="str">
        <v>mass of N in MMS at treatment stage 2</v>
      </c>
      <c r="F13" s="100"/>
      <c r="G13" s="59" t="str" cm="1">
        <f t="array" ref="G13:H17">Common_InputFunctions.Utility_DisplayArguments_3_4(MMS_Swine_ManureAppliedToSoils_Equations.VEERG_4_5_1_9__1_MassOfNitrogenAppliedToSoilsScope1_Arguments())</f>
        <v>kg N</v>
      </c>
      <c r="H13" s="139" t="str">
        <v>Calculated from 4.5.1.3 (6)</v>
      </c>
      <c r="I13" s="141" t="str" cm="1">
        <f t="array" aca="1" ref="I13" ca="1">HYPERLINK(Common_InputFunctions.Utility_SourceHyperlink(D19), D19)</f>
        <v>M1_Table_MN_j_m_T-2</v>
      </c>
    </row>
    <row r="14" spans="1:21" ht="20.100000000000001" customHeight="1" x14ac:dyDescent="0.25">
      <c r="A14" s="17" t="str">
        <f>HYPERLINK("#'4.5.1.5-6 Atmos Dep'!A1", "4.5.1.5-6 Soil atm. deposition")</f>
        <v>4.5.1.5-6 Soil atm. deposition</v>
      </c>
      <c r="D14" s="57" t="str">
        <v>EF_mT2</v>
      </c>
      <c r="E14" s="58" t="str">
        <v>nitrous oxide emission factor for each MMS at treatment stage 2</v>
      </c>
      <c r="F14" s="100"/>
      <c r="G14" s="59" t="str">
        <v>kg N2O-N/kg N</v>
      </c>
      <c r="H14" s="139" t="str">
        <v>Constant</v>
      </c>
      <c r="I14" s="141" t="str" cm="1">
        <f t="array" aca="1" ref="I14" ca="1">HYPERLINK(Common_InputFunctions.Utility_SourceHyperlink(D120), D120)</f>
        <v>Table_EF_m_T</v>
      </c>
    </row>
    <row r="15" spans="1:21" ht="20.100000000000001" customHeight="1" x14ac:dyDescent="0.25">
      <c r="A15" s="17" t="str">
        <f>HYPERLINK("#'4.5.1.7-8 Leaching and runoff'!A1", "4.5.1.7-8 Leaching &amp; runoff")</f>
        <v>4.5.1.7-8 Leaching &amp; runoff</v>
      </c>
      <c r="D15" s="57" t="str">
        <v>FracGASM_mT2</v>
      </c>
      <c r="E15" s="58" t="str">
        <v>fraction of animal waste N volatilised in each MMS at treatment stage 2</v>
      </c>
      <c r="F15" s="100"/>
      <c r="G15" s="59" t="str">
        <v>(kg NH3-N + NOx-N)/kg N</v>
      </c>
      <c r="H15" s="139" t="str">
        <v>Constant</v>
      </c>
      <c r="I15" s="141" t="str" cm="1">
        <f t="array" aca="1" ref="I15" ca="1">HYPERLINK(Common_InputFunctions.Utility_SourceHyperlink(D109), D109)</f>
        <v>Table_FracGASM_m_t</v>
      </c>
    </row>
    <row r="16" spans="1:21" ht="20.100000000000001" customHeight="1" x14ac:dyDescent="0.25">
      <c r="A16" s="17" t="str">
        <f>HYPERLINK("#'4.5.1.9 Manure applied to soils'!A1", "4.5.1.9 Manure applied to soils")</f>
        <v>4.5.1.9 Manure applied to soils</v>
      </c>
      <c r="D16" s="57" t="str">
        <v>MNLeach_jm5</v>
      </c>
      <c r="E16" s="58" t="str">
        <v>mass of N lost to leaching and runoff from drylot MMS</v>
      </c>
      <c r="F16" s="100"/>
      <c r="G16" s="59" t="str">
        <v>kg N</v>
      </c>
      <c r="H16" s="139" t="str">
        <v>Calculated from 4.5.1.7 (2)</v>
      </c>
      <c r="I16" s="141" t="str" cm="1">
        <f t="array" aca="1" ref="I16" ca="1">HYPERLINK(Common_InputFunctions.Utility_SourceHyperlink(D49), D49)</f>
        <v>M1_Table_MN_leach_j_m-5</v>
      </c>
    </row>
    <row r="17" spans="1:20" ht="20.100000000000001" customHeight="1" x14ac:dyDescent="0.25">
      <c r="D17" s="57" t="str">
        <v>PF</v>
      </c>
      <c r="E17" s="58" t="str">
        <v>fraction of manure applied to soil within the piggery boundary</v>
      </c>
      <c r="F17" s="100"/>
      <c r="G17" s="59" t="str">
        <v>fraction</v>
      </c>
      <c r="H17" s="140" t="str">
        <v>Input</v>
      </c>
      <c r="I17" s="141" t="str" cm="1">
        <f t="array" aca="1" ref="I17" ca="1">HYPERLINK(Common_InputFunctions.Utility_SourceHyperlink(D79), D79)</f>
        <v>M1_Table_PF</v>
      </c>
    </row>
    <row r="18" spans="1:20" ht="20.100000000000001" customHeight="1" x14ac:dyDescent="0.25">
      <c r="A18" s="18" t="s">
        <v>4</v>
      </c>
    </row>
    <row r="19" spans="1:20" ht="20.100000000000001" customHeight="1" x14ac:dyDescent="0.25">
      <c r="A19" s="17" t="str">
        <f>HYPERLINK("#'Constants - Swine'!A1", "Constants - Swine")</f>
        <v>Constants - Swine</v>
      </c>
      <c r="D19" s="121" t="s">
        <v>258</v>
      </c>
      <c r="N19" s="121" t="s">
        <v>314</v>
      </c>
    </row>
    <row r="20" spans="1:20" ht="20.100000000000001" customHeight="1" x14ac:dyDescent="0.25">
      <c r="A20" s="17" t="str">
        <f>HYPERLINK("#'Constants - Livestock'!A1", "Constants - Livestock")</f>
        <v>Constants - Livestock</v>
      </c>
      <c r="D20" s="122" t="s">
        <v>259</v>
      </c>
      <c r="N20" s="122" t="s">
        <v>315</v>
      </c>
    </row>
    <row r="21" spans="1:20" ht="20.100000000000001" customHeight="1" x14ac:dyDescent="0.25">
      <c r="A21" s="17" t="str">
        <f>HYPERLINK("#'Constants - Common'!A1", "Constants - Common")</f>
        <v>Constants - Common</v>
      </c>
      <c r="D21" s="51" t="s">
        <v>163</v>
      </c>
      <c r="E21" s="51" t="s">
        <v>171</v>
      </c>
      <c r="F21" s="51" t="s">
        <v>142</v>
      </c>
      <c r="G21" s="51" t="s">
        <v>143</v>
      </c>
      <c r="H21" s="51" t="s">
        <v>144</v>
      </c>
      <c r="I21" s="51" t="s">
        <v>206</v>
      </c>
      <c r="N21" s="51" t="s">
        <v>163</v>
      </c>
      <c r="O21" s="51" t="s">
        <v>171</v>
      </c>
      <c r="P21" s="51" t="s">
        <v>142</v>
      </c>
      <c r="Q21" s="51" t="s">
        <v>143</v>
      </c>
      <c r="R21" s="51" t="s">
        <v>144</v>
      </c>
      <c r="S21" s="51" t="s">
        <v>206</v>
      </c>
    </row>
    <row r="22" spans="1:20" ht="20.100000000000001" customHeight="1" x14ac:dyDescent="0.25">
      <c r="A22" s="17" t="str">
        <f>HYPERLINK("#'Acknowledgements'!A1", "Acknowledgements")</f>
        <v>Acknowledgements</v>
      </c>
      <c r="D22" s="57" t="str">
        <f>'Input - Swine'!$D$29</f>
        <v>Anaerobic lagoon</v>
      </c>
      <c r="E22" s="57" t="str">
        <f>'Input - Swine'!$D$48</f>
        <v>Digester / covered lagoons</v>
      </c>
      <c r="F22" s="52">
        <f>'4.5.1.3-4 Direct N2O'!F217</f>
        <v>18.133199999999995</v>
      </c>
      <c r="G22" s="52">
        <f>'4.5.1.3-4 Direct N2O'!G217</f>
        <v>24.144750000000002</v>
      </c>
      <c r="H22" s="52">
        <f>'4.5.1.3-4 Direct N2O'!H217</f>
        <v>22.666499999999992</v>
      </c>
      <c r="I22" s="52">
        <f>'4.5.1.3-4 Direct N2O'!I217</f>
        <v>15.373799999999996</v>
      </c>
      <c r="J22" s="2" t="str">
        <f>$G$13</f>
        <v>kg N</v>
      </c>
      <c r="N22" s="57" t="str">
        <f>'Input - Swine'!$D$29</f>
        <v>Anaerobic lagoon</v>
      </c>
      <c r="O22" s="57" t="str">
        <f>'Input - Swine'!$D$48</f>
        <v>Digester / covered lagoons</v>
      </c>
      <c r="P22" s="52">
        <f>'4.5.1.3-4 Direct N2O'!P217</f>
        <v>18.133199999999995</v>
      </c>
      <c r="Q22" s="52">
        <f>'4.5.1.3-4 Direct N2O'!Q217</f>
        <v>24.144750000000002</v>
      </c>
      <c r="R22" s="52">
        <f>'4.5.1.3-4 Direct N2O'!R217</f>
        <v>22.666499999999992</v>
      </c>
      <c r="S22" s="52">
        <f>'4.5.1.3-4 Direct N2O'!S217</f>
        <v>15.373799999999996</v>
      </c>
      <c r="T22" s="2" t="str">
        <f>$G$13</f>
        <v>kg N</v>
      </c>
    </row>
    <row r="23" spans="1:20" ht="20.100000000000001" customHeight="1" x14ac:dyDescent="0.25">
      <c r="D23" s="57"/>
      <c r="E23" s="57" t="str">
        <f>'Input - Swine'!$D$49</f>
        <v>Deep litter</v>
      </c>
      <c r="F23" s="52">
        <f>'4.5.1.3-4 Direct N2O'!F218</f>
        <v>18.133199999999995</v>
      </c>
      <c r="G23" s="52">
        <f>'4.5.1.3-4 Direct N2O'!G218</f>
        <v>24.144750000000002</v>
      </c>
      <c r="H23" s="52">
        <f>'4.5.1.3-4 Direct N2O'!H218</f>
        <v>22.666499999999992</v>
      </c>
      <c r="I23" s="52">
        <f>'4.5.1.3-4 Direct N2O'!I218</f>
        <v>15.373799999999996</v>
      </c>
      <c r="J23" s="2"/>
      <c r="N23" s="57"/>
      <c r="O23" s="57" t="str">
        <f>'Input - Swine'!$D$49</f>
        <v>Deep litter</v>
      </c>
      <c r="P23" s="52">
        <f>'4.5.1.3-4 Direct N2O'!P218</f>
        <v>18.133199999999995</v>
      </c>
      <c r="Q23" s="52">
        <f>'4.5.1.3-4 Direct N2O'!Q218</f>
        <v>24.144750000000002</v>
      </c>
      <c r="R23" s="52">
        <f>'4.5.1.3-4 Direct N2O'!R218</f>
        <v>22.666499999999992</v>
      </c>
      <c r="S23" s="52">
        <f>'4.5.1.3-4 Direct N2O'!S218</f>
        <v>15.373799999999996</v>
      </c>
      <c r="T23" s="2"/>
    </row>
    <row r="24" spans="1:20" ht="20.100000000000001" customHeight="1" x14ac:dyDescent="0.25">
      <c r="A24" s="17"/>
      <c r="D24" s="57"/>
      <c r="E24" s="57" t="str">
        <f>'Input - Swine'!$D$50</f>
        <v>Pit storage</v>
      </c>
      <c r="F24" s="52">
        <f>'4.5.1.3-4 Direct N2O'!F219</f>
        <v>18.133199999999995</v>
      </c>
      <c r="G24" s="52">
        <f>'4.5.1.3-4 Direct N2O'!G219</f>
        <v>24.144750000000002</v>
      </c>
      <c r="H24" s="52">
        <f>'4.5.1.3-4 Direct N2O'!H219</f>
        <v>22.666499999999992</v>
      </c>
      <c r="I24" s="52">
        <f>'4.5.1.3-4 Direct N2O'!I219</f>
        <v>15.373799999999996</v>
      </c>
      <c r="J24" s="2"/>
      <c r="N24" s="57"/>
      <c r="O24" s="57" t="str">
        <f>'Input - Swine'!$D$50</f>
        <v>Pit storage</v>
      </c>
      <c r="P24" s="52">
        <f>'4.5.1.3-4 Direct N2O'!P219</f>
        <v>18.133199999999995</v>
      </c>
      <c r="Q24" s="52">
        <f>'4.5.1.3-4 Direct N2O'!Q219</f>
        <v>24.144750000000002</v>
      </c>
      <c r="R24" s="52">
        <f>'4.5.1.3-4 Direct N2O'!R219</f>
        <v>22.666499999999992</v>
      </c>
      <c r="S24" s="52">
        <f>'4.5.1.3-4 Direct N2O'!S219</f>
        <v>15.373799999999996</v>
      </c>
      <c r="T24" s="2"/>
    </row>
    <row r="25" spans="1:20" ht="20.100000000000001" customHeight="1" x14ac:dyDescent="0.25">
      <c r="D25" s="57"/>
      <c r="E25" s="57" t="str">
        <f>'Input - Swine'!$D$51</f>
        <v>Direct application</v>
      </c>
      <c r="F25" s="52">
        <f>'4.5.1.3-4 Direct N2O'!F220</f>
        <v>36.266399999999976</v>
      </c>
      <c r="G25" s="52">
        <f>'4.5.1.3-4 Direct N2O'!G220</f>
        <v>24.144750000000002</v>
      </c>
      <c r="H25" s="52">
        <f>'4.5.1.3-4 Direct N2O'!H220</f>
        <v>22.666499999999992</v>
      </c>
      <c r="I25" s="52">
        <f>'4.5.1.3-4 Direct N2O'!I220</f>
        <v>15.373799999999996</v>
      </c>
      <c r="J25" s="2"/>
      <c r="N25" s="57"/>
      <c r="O25" s="57" t="str">
        <f>'Input - Swine'!$D$51</f>
        <v>Direct application</v>
      </c>
      <c r="P25" s="52">
        <f>'4.5.1.3-4 Direct N2O'!P220</f>
        <v>36.266399999999976</v>
      </c>
      <c r="Q25" s="52">
        <f>'4.5.1.3-4 Direct N2O'!Q220</f>
        <v>24.144750000000002</v>
      </c>
      <c r="R25" s="52">
        <f>'4.5.1.3-4 Direct N2O'!R220</f>
        <v>22.666499999999992</v>
      </c>
      <c r="S25" s="52">
        <f>'4.5.1.3-4 Direct N2O'!S220</f>
        <v>15.373799999999996</v>
      </c>
      <c r="T25" s="2"/>
    </row>
    <row r="26" spans="1:20" ht="20.100000000000001" customHeight="1" x14ac:dyDescent="0.25">
      <c r="D26" s="57" t="str">
        <f>'Input - Swine'!$D$30</f>
        <v>Drylot (feed pad)</v>
      </c>
      <c r="E26" s="57" t="str">
        <f>'Input - Swine'!$D$55</f>
        <v>Anaerobic lagoon</v>
      </c>
      <c r="F26" s="52">
        <f>'4.5.1.3-4 Direct N2O'!F221</f>
        <v>27.401279999999993</v>
      </c>
      <c r="G26" s="52">
        <f>'4.5.1.3-4 Direct N2O'!G221</f>
        <v>36.485400000000006</v>
      </c>
      <c r="H26" s="52">
        <f>'4.5.1.3-4 Direct N2O'!H221</f>
        <v>34.251599999999989</v>
      </c>
      <c r="I26" s="52">
        <f>'4.5.1.3-4 Direct N2O'!I221</f>
        <v>23.231519999999993</v>
      </c>
      <c r="J26" s="2"/>
      <c r="N26" s="57" t="str">
        <f>'Input - Swine'!$D$30</f>
        <v>Drylot (feed pad)</v>
      </c>
      <c r="O26" s="57" t="str">
        <f>'Input - Swine'!$D$55</f>
        <v>Anaerobic lagoon</v>
      </c>
      <c r="P26" s="52">
        <f>'4.5.1.3-4 Direct N2O'!P221</f>
        <v>27.401279999999993</v>
      </c>
      <c r="Q26" s="52">
        <f>'4.5.1.3-4 Direct N2O'!Q221</f>
        <v>36.485400000000006</v>
      </c>
      <c r="R26" s="52">
        <f>'4.5.1.3-4 Direct N2O'!R221</f>
        <v>34.251599999999989</v>
      </c>
      <c r="S26" s="52">
        <f>'4.5.1.3-4 Direct N2O'!S221</f>
        <v>23.231519999999993</v>
      </c>
      <c r="T26" s="2"/>
    </row>
    <row r="27" spans="1:20" ht="20.100000000000001" customHeight="1" x14ac:dyDescent="0.25">
      <c r="D27" s="57"/>
      <c r="E27" s="57" t="str">
        <f>'Input - Swine'!$D$56</f>
        <v>Digester / covered lagoons</v>
      </c>
      <c r="F27" s="52">
        <f>'4.5.1.3-4 Direct N2O'!F222</f>
        <v>27.401279999999993</v>
      </c>
      <c r="G27" s="52">
        <f>'4.5.1.3-4 Direct N2O'!G222</f>
        <v>36.485400000000006</v>
      </c>
      <c r="H27" s="52">
        <f>'4.5.1.3-4 Direct N2O'!H222</f>
        <v>34.251599999999989</v>
      </c>
      <c r="I27" s="52">
        <f>'4.5.1.3-4 Direct N2O'!I222</f>
        <v>23.231519999999993</v>
      </c>
      <c r="J27" s="2"/>
      <c r="N27" s="57"/>
      <c r="O27" s="57" t="str">
        <f>'Input - Swine'!$D$56</f>
        <v>Digester / covered lagoons</v>
      </c>
      <c r="P27" s="52">
        <f>'4.5.1.3-4 Direct N2O'!P222</f>
        <v>27.401279999999993</v>
      </c>
      <c r="Q27" s="52">
        <f>'4.5.1.3-4 Direct N2O'!Q222</f>
        <v>36.485400000000006</v>
      </c>
      <c r="R27" s="52">
        <f>'4.5.1.3-4 Direct N2O'!R222</f>
        <v>34.251599999999989</v>
      </c>
      <c r="S27" s="52">
        <f>'4.5.1.3-4 Direct N2O'!S222</f>
        <v>23.231519999999993</v>
      </c>
      <c r="T27" s="2"/>
    </row>
    <row r="28" spans="1:20" ht="20.100000000000001" customHeight="1" x14ac:dyDescent="0.25">
      <c r="D28" s="57"/>
      <c r="E28" s="57" t="str">
        <f>'Input - Swine'!$D$57</f>
        <v>Deep litter</v>
      </c>
      <c r="F28" s="52">
        <f>'4.5.1.3-4 Direct N2O'!F223</f>
        <v>27.401279999999993</v>
      </c>
      <c r="G28" s="52">
        <f>'4.5.1.3-4 Direct N2O'!G223</f>
        <v>36.485400000000006</v>
      </c>
      <c r="H28" s="52">
        <f>'4.5.1.3-4 Direct N2O'!H223</f>
        <v>34.251599999999989</v>
      </c>
      <c r="I28" s="52">
        <f>'4.5.1.3-4 Direct N2O'!I223</f>
        <v>23.231519999999993</v>
      </c>
      <c r="J28" s="2"/>
      <c r="N28" s="57"/>
      <c r="O28" s="57" t="str">
        <f>'Input - Swine'!$D$57</f>
        <v>Deep litter</v>
      </c>
      <c r="P28" s="52">
        <f>'4.5.1.3-4 Direct N2O'!P223</f>
        <v>27.401279999999993</v>
      </c>
      <c r="Q28" s="52">
        <f>'4.5.1.3-4 Direct N2O'!Q223</f>
        <v>36.485400000000006</v>
      </c>
      <c r="R28" s="52">
        <f>'4.5.1.3-4 Direct N2O'!R223</f>
        <v>34.251599999999989</v>
      </c>
      <c r="S28" s="52">
        <f>'4.5.1.3-4 Direct N2O'!S223</f>
        <v>23.231519999999993</v>
      </c>
      <c r="T28" s="2"/>
    </row>
    <row r="29" spans="1:20" ht="20.100000000000001" customHeight="1" x14ac:dyDescent="0.25">
      <c r="D29" s="57"/>
      <c r="E29" s="57" t="str">
        <f>'Input - Swine'!$D$58</f>
        <v>Pit storage</v>
      </c>
      <c r="F29" s="52">
        <f>'4.5.1.3-4 Direct N2O'!F224</f>
        <v>27.401279999999993</v>
      </c>
      <c r="G29" s="52">
        <f>'4.5.1.3-4 Direct N2O'!G224</f>
        <v>36.485400000000006</v>
      </c>
      <c r="H29" s="52">
        <f>'4.5.1.3-4 Direct N2O'!H224</f>
        <v>34.251599999999989</v>
      </c>
      <c r="I29" s="52">
        <f>'4.5.1.3-4 Direct N2O'!I224</f>
        <v>23.231519999999993</v>
      </c>
      <c r="J29" s="2"/>
      <c r="N29" s="57"/>
      <c r="O29" s="57" t="str">
        <f>'Input - Swine'!$D$58</f>
        <v>Pit storage</v>
      </c>
      <c r="P29" s="52">
        <f>'4.5.1.3-4 Direct N2O'!P224</f>
        <v>27.401279999999993</v>
      </c>
      <c r="Q29" s="52">
        <f>'4.5.1.3-4 Direct N2O'!Q224</f>
        <v>36.485400000000006</v>
      </c>
      <c r="R29" s="52">
        <f>'4.5.1.3-4 Direct N2O'!R224</f>
        <v>34.251599999999989</v>
      </c>
      <c r="S29" s="52">
        <f>'4.5.1.3-4 Direct N2O'!S224</f>
        <v>23.231519999999993</v>
      </c>
      <c r="T29" s="2"/>
    </row>
    <row r="30" spans="1:20" ht="20.100000000000001" customHeight="1" x14ac:dyDescent="0.25">
      <c r="D30" s="57"/>
      <c r="E30" s="57" t="str">
        <f>'Input - Swine'!$D$59</f>
        <v>Direct application</v>
      </c>
      <c r="F30" s="52">
        <f>'4.5.1.3-4 Direct N2O'!F225</f>
        <v>27.401279999999986</v>
      </c>
      <c r="G30" s="52">
        <f>'4.5.1.3-4 Direct N2O'!G225</f>
        <v>0</v>
      </c>
      <c r="H30" s="52">
        <f>'4.5.1.3-4 Direct N2O'!H225</f>
        <v>0</v>
      </c>
      <c r="I30" s="52">
        <f>'4.5.1.3-4 Direct N2O'!I225</f>
        <v>0</v>
      </c>
      <c r="J30" s="2"/>
      <c r="N30" s="57"/>
      <c r="O30" s="57" t="str">
        <f>'Input - Swine'!$D$59</f>
        <v>Direct application</v>
      </c>
      <c r="P30" s="52">
        <f>'4.5.1.3-4 Direct N2O'!P225</f>
        <v>27.401279999999986</v>
      </c>
      <c r="Q30" s="52">
        <f>'4.5.1.3-4 Direct N2O'!Q225</f>
        <v>0</v>
      </c>
      <c r="R30" s="52">
        <f>'4.5.1.3-4 Direct N2O'!R225</f>
        <v>0</v>
      </c>
      <c r="S30" s="52">
        <f>'4.5.1.3-4 Direct N2O'!S225</f>
        <v>0</v>
      </c>
      <c r="T30" s="2"/>
    </row>
    <row r="31" spans="1:20" ht="20.100000000000001" customHeight="1" x14ac:dyDescent="0.25">
      <c r="D31" s="57" t="str">
        <f>'Input - Swine'!$D$31</f>
        <v>Digester / covered lagoons</v>
      </c>
      <c r="E31" s="57" t="str">
        <f>'Input - Swine'!$D$63</f>
        <v>Anaerobic lagoon</v>
      </c>
      <c r="F31" s="52">
        <f>'4.5.1.3-4 Direct N2O'!F226</f>
        <v>40.295999999999992</v>
      </c>
      <c r="G31" s="52">
        <f>'4.5.1.3-4 Direct N2O'!G226</f>
        <v>53.655000000000008</v>
      </c>
      <c r="H31" s="52">
        <f>'4.5.1.3-4 Direct N2O'!H226</f>
        <v>50.36999999999999</v>
      </c>
      <c r="I31" s="52">
        <f>'4.5.1.3-4 Direct N2O'!I226</f>
        <v>34.163999999999994</v>
      </c>
      <c r="J31" s="2"/>
      <c r="N31" s="57" t="str">
        <f>'Input - Swine'!$D$31</f>
        <v>Digester / covered lagoons</v>
      </c>
      <c r="O31" s="57" t="str">
        <f>'Input - Swine'!$D$63</f>
        <v>Anaerobic lagoon</v>
      </c>
      <c r="P31" s="52">
        <f>'4.5.1.3-4 Direct N2O'!P226</f>
        <v>40.295999999999992</v>
      </c>
      <c r="Q31" s="52">
        <f>'4.5.1.3-4 Direct N2O'!Q226</f>
        <v>53.655000000000008</v>
      </c>
      <c r="R31" s="52">
        <f>'4.5.1.3-4 Direct N2O'!R226</f>
        <v>50.36999999999999</v>
      </c>
      <c r="S31" s="52">
        <f>'4.5.1.3-4 Direct N2O'!S226</f>
        <v>34.163999999999994</v>
      </c>
      <c r="T31" s="2"/>
    </row>
    <row r="32" spans="1:20" ht="20.100000000000001" customHeight="1" x14ac:dyDescent="0.25">
      <c r="D32" s="57"/>
      <c r="E32" s="57" t="str">
        <f>'Input - Swine'!$D$64</f>
        <v>Deep litter</v>
      </c>
      <c r="F32" s="52">
        <f>'4.5.1.3-4 Direct N2O'!F227</f>
        <v>40.295999999999992</v>
      </c>
      <c r="G32" s="52">
        <f>'4.5.1.3-4 Direct N2O'!G227</f>
        <v>53.655000000000008</v>
      </c>
      <c r="H32" s="52">
        <f>'4.5.1.3-4 Direct N2O'!H227</f>
        <v>50.36999999999999</v>
      </c>
      <c r="I32" s="52">
        <f>'4.5.1.3-4 Direct N2O'!I227</f>
        <v>34.163999999999994</v>
      </c>
      <c r="J32" s="2"/>
      <c r="N32" s="57"/>
      <c r="O32" s="57" t="str">
        <f>'Input - Swine'!$D$64</f>
        <v>Deep litter</v>
      </c>
      <c r="P32" s="52">
        <f>'4.5.1.3-4 Direct N2O'!P227</f>
        <v>40.295999999999992</v>
      </c>
      <c r="Q32" s="52">
        <f>'4.5.1.3-4 Direct N2O'!Q227</f>
        <v>53.655000000000008</v>
      </c>
      <c r="R32" s="52">
        <f>'4.5.1.3-4 Direct N2O'!R227</f>
        <v>50.36999999999999</v>
      </c>
      <c r="S32" s="52">
        <f>'4.5.1.3-4 Direct N2O'!S227</f>
        <v>34.163999999999994</v>
      </c>
      <c r="T32" s="2"/>
    </row>
    <row r="33" spans="4:20" ht="20.100000000000001" customHeight="1" x14ac:dyDescent="0.25">
      <c r="D33" s="57"/>
      <c r="E33" s="57" t="str">
        <f>'Input - Swine'!$D$65</f>
        <v>Pit storage</v>
      </c>
      <c r="F33" s="52">
        <f>'4.5.1.3-4 Direct N2O'!F228</f>
        <v>40.295999999999992</v>
      </c>
      <c r="G33" s="52">
        <f>'4.5.1.3-4 Direct N2O'!G228</f>
        <v>53.655000000000008</v>
      </c>
      <c r="H33" s="52">
        <f>'4.5.1.3-4 Direct N2O'!H228</f>
        <v>50.36999999999999</v>
      </c>
      <c r="I33" s="52">
        <f>'4.5.1.3-4 Direct N2O'!I228</f>
        <v>34.163999999999994</v>
      </c>
      <c r="J33" s="2"/>
      <c r="N33" s="57"/>
      <c r="O33" s="57" t="str">
        <f>'Input - Swine'!$D$65</f>
        <v>Pit storage</v>
      </c>
      <c r="P33" s="52">
        <f>'4.5.1.3-4 Direct N2O'!P228</f>
        <v>40.295999999999992</v>
      </c>
      <c r="Q33" s="52">
        <f>'4.5.1.3-4 Direct N2O'!Q228</f>
        <v>53.655000000000008</v>
      </c>
      <c r="R33" s="52">
        <f>'4.5.1.3-4 Direct N2O'!R228</f>
        <v>50.36999999999999</v>
      </c>
      <c r="S33" s="52">
        <f>'4.5.1.3-4 Direct N2O'!S228</f>
        <v>34.163999999999994</v>
      </c>
      <c r="T33" s="2"/>
    </row>
    <row r="34" spans="4:20" ht="20.100000000000001" customHeight="1" x14ac:dyDescent="0.25">
      <c r="D34" s="57"/>
      <c r="E34" s="57" t="str">
        <f>'Input - Swine'!$D$66</f>
        <v>Direct application</v>
      </c>
      <c r="F34" s="52">
        <f>'4.5.1.3-4 Direct N2O'!F229</f>
        <v>80.59199999999997</v>
      </c>
      <c r="G34" s="52">
        <f>'4.5.1.3-4 Direct N2O'!G229</f>
        <v>53.655000000000008</v>
      </c>
      <c r="H34" s="52">
        <f>'4.5.1.3-4 Direct N2O'!H229</f>
        <v>50.36999999999999</v>
      </c>
      <c r="I34" s="52">
        <f>'4.5.1.3-4 Direct N2O'!I229</f>
        <v>34.163999999999994</v>
      </c>
      <c r="J34" s="2"/>
      <c r="N34" s="57"/>
      <c r="O34" s="57" t="str">
        <f>'Input - Swine'!$D$66</f>
        <v>Direct application</v>
      </c>
      <c r="P34" s="52">
        <f>'4.5.1.3-4 Direct N2O'!P229</f>
        <v>80.59199999999997</v>
      </c>
      <c r="Q34" s="52">
        <f>'4.5.1.3-4 Direct N2O'!Q229</f>
        <v>53.655000000000008</v>
      </c>
      <c r="R34" s="52">
        <f>'4.5.1.3-4 Direct N2O'!R229</f>
        <v>50.36999999999999</v>
      </c>
      <c r="S34" s="52">
        <f>'4.5.1.3-4 Direct N2O'!S229</f>
        <v>34.163999999999994</v>
      </c>
      <c r="T34" s="2"/>
    </row>
    <row r="35" spans="4:20" ht="20.100000000000001" customHeight="1" x14ac:dyDescent="0.25">
      <c r="D35" s="57" t="str">
        <f>'Input - Swine'!$D$32</f>
        <v>Deep litter</v>
      </c>
      <c r="E35" s="57" t="str">
        <f>'Input - Swine'!$D$70</f>
        <v>Anaerobic lagoon</v>
      </c>
      <c r="F35" s="52">
        <f>'4.5.1.3-4 Direct N2O'!F230</f>
        <v>34.856039999999993</v>
      </c>
      <c r="G35" s="52">
        <f>'4.5.1.3-4 Direct N2O'!G230</f>
        <v>46.411575000000006</v>
      </c>
      <c r="H35" s="52">
        <f>'4.5.1.3-4 Direct N2O'!H230</f>
        <v>43.570049999999988</v>
      </c>
      <c r="I35" s="52">
        <f>'4.5.1.3-4 Direct N2O'!I230</f>
        <v>29.551859999999994</v>
      </c>
      <c r="J35" s="2"/>
      <c r="N35" s="57" t="str">
        <f>'Input - Swine'!$D$32</f>
        <v>Deep litter</v>
      </c>
      <c r="O35" s="57" t="str">
        <f>'Input - Swine'!$D$70</f>
        <v>Anaerobic lagoon</v>
      </c>
      <c r="P35" s="52">
        <f>'4.5.1.3-4 Direct N2O'!P230</f>
        <v>34.856039999999993</v>
      </c>
      <c r="Q35" s="52">
        <f>'4.5.1.3-4 Direct N2O'!Q230</f>
        <v>46.411575000000006</v>
      </c>
      <c r="R35" s="52">
        <f>'4.5.1.3-4 Direct N2O'!R230</f>
        <v>43.570049999999988</v>
      </c>
      <c r="S35" s="52">
        <f>'4.5.1.3-4 Direct N2O'!S230</f>
        <v>29.551859999999994</v>
      </c>
      <c r="T35" s="2"/>
    </row>
    <row r="36" spans="4:20" ht="20.100000000000001" customHeight="1" x14ac:dyDescent="0.25">
      <c r="D36" s="57"/>
      <c r="E36" s="57" t="str">
        <f>'Input - Swine'!$D$71</f>
        <v>Digester / covered lagoons</v>
      </c>
      <c r="F36" s="52">
        <f>'4.5.1.3-4 Direct N2O'!F231</f>
        <v>34.856039999999993</v>
      </c>
      <c r="G36" s="52">
        <f>'4.5.1.3-4 Direct N2O'!G231</f>
        <v>46.411575000000006</v>
      </c>
      <c r="H36" s="52">
        <f>'4.5.1.3-4 Direct N2O'!H231</f>
        <v>43.570049999999988</v>
      </c>
      <c r="I36" s="52">
        <f>'4.5.1.3-4 Direct N2O'!I231</f>
        <v>29.551859999999994</v>
      </c>
      <c r="J36" s="2"/>
      <c r="N36" s="57"/>
      <c r="O36" s="57" t="str">
        <f>'Input - Swine'!$D$71</f>
        <v>Digester / covered lagoons</v>
      </c>
      <c r="P36" s="52">
        <f>'4.5.1.3-4 Direct N2O'!P231</f>
        <v>34.856039999999993</v>
      </c>
      <c r="Q36" s="52">
        <f>'4.5.1.3-4 Direct N2O'!Q231</f>
        <v>46.411575000000006</v>
      </c>
      <c r="R36" s="52">
        <f>'4.5.1.3-4 Direct N2O'!R231</f>
        <v>43.570049999999988</v>
      </c>
      <c r="S36" s="52">
        <f>'4.5.1.3-4 Direct N2O'!S231</f>
        <v>29.551859999999994</v>
      </c>
      <c r="T36" s="2"/>
    </row>
    <row r="37" spans="4:20" ht="20.100000000000001" customHeight="1" x14ac:dyDescent="0.25">
      <c r="D37" s="57"/>
      <c r="E37" s="57" t="str">
        <f>'Input - Swine'!$D$72</f>
        <v>Pit storage</v>
      </c>
      <c r="F37" s="52">
        <f>'4.5.1.3-4 Direct N2O'!F232</f>
        <v>34.856039999999993</v>
      </c>
      <c r="G37" s="52">
        <f>'4.5.1.3-4 Direct N2O'!G232</f>
        <v>46.411575000000006</v>
      </c>
      <c r="H37" s="52">
        <f>'4.5.1.3-4 Direct N2O'!H232</f>
        <v>43.570049999999988</v>
      </c>
      <c r="I37" s="52">
        <f>'4.5.1.3-4 Direct N2O'!I232</f>
        <v>29.551859999999994</v>
      </c>
      <c r="J37" s="2"/>
      <c r="N37" s="57"/>
      <c r="O37" s="57" t="str">
        <f>'Input - Swine'!$D$72</f>
        <v>Pit storage</v>
      </c>
      <c r="P37" s="52">
        <f>'4.5.1.3-4 Direct N2O'!P232</f>
        <v>34.856039999999993</v>
      </c>
      <c r="Q37" s="52">
        <f>'4.5.1.3-4 Direct N2O'!Q232</f>
        <v>46.411575000000006</v>
      </c>
      <c r="R37" s="52">
        <f>'4.5.1.3-4 Direct N2O'!R232</f>
        <v>43.570049999999988</v>
      </c>
      <c r="S37" s="52">
        <f>'4.5.1.3-4 Direct N2O'!S232</f>
        <v>29.551859999999994</v>
      </c>
      <c r="T37" s="2"/>
    </row>
    <row r="38" spans="4:20" ht="20.100000000000001" customHeight="1" x14ac:dyDescent="0.25">
      <c r="D38" s="57"/>
      <c r="E38" s="57" t="str">
        <f>'Input - Swine'!$D$73</f>
        <v>Direct application</v>
      </c>
      <c r="F38" s="52">
        <f>'4.5.1.3-4 Direct N2O'!F233</f>
        <v>69.712079999999972</v>
      </c>
      <c r="G38" s="52">
        <f>'4.5.1.3-4 Direct N2O'!G233</f>
        <v>46.411575000000006</v>
      </c>
      <c r="H38" s="52">
        <f>'4.5.1.3-4 Direct N2O'!H233</f>
        <v>43.570049999999988</v>
      </c>
      <c r="I38" s="52">
        <f>'4.5.1.3-4 Direct N2O'!I233</f>
        <v>29.551859999999994</v>
      </c>
      <c r="J38" s="2"/>
      <c r="N38" s="57"/>
      <c r="O38" s="57" t="str">
        <f>'Input - Swine'!$D$73</f>
        <v>Direct application</v>
      </c>
      <c r="P38" s="52">
        <f>'4.5.1.3-4 Direct N2O'!P233</f>
        <v>69.712079999999972</v>
      </c>
      <c r="Q38" s="52">
        <f>'4.5.1.3-4 Direct N2O'!Q233</f>
        <v>46.411575000000006</v>
      </c>
      <c r="R38" s="52">
        <f>'4.5.1.3-4 Direct N2O'!R233</f>
        <v>43.570049999999988</v>
      </c>
      <c r="S38" s="52">
        <f>'4.5.1.3-4 Direct N2O'!S233</f>
        <v>29.551859999999994</v>
      </c>
      <c r="T38" s="2"/>
    </row>
    <row r="39" spans="4:20" ht="20.100000000000001" customHeight="1" x14ac:dyDescent="0.25">
      <c r="D39" s="57" t="str">
        <f>'Input - Swine'!$D$33</f>
        <v>Pit storage</v>
      </c>
      <c r="E39" s="57" t="str">
        <f>'Input - Swine'!$D$77</f>
        <v>Anaerobic lagoon</v>
      </c>
      <c r="F39" s="52">
        <f>'4.5.1.3-4 Direct N2O'!F234</f>
        <v>30.141407999999998</v>
      </c>
      <c r="G39" s="52">
        <f>'4.5.1.3-4 Direct N2O'!G234</f>
        <v>40.133940000000003</v>
      </c>
      <c r="H39" s="52">
        <f>'4.5.1.3-4 Direct N2O'!H234</f>
        <v>37.676759999999994</v>
      </c>
      <c r="I39" s="52">
        <f>'4.5.1.3-4 Direct N2O'!I234</f>
        <v>25.554671999999997</v>
      </c>
      <c r="J39" s="2"/>
      <c r="N39" s="57" t="str">
        <f>'Input - Swine'!$D$33</f>
        <v>Pit storage</v>
      </c>
      <c r="O39" s="57" t="str">
        <f>'Input - Swine'!$D$77</f>
        <v>Anaerobic lagoon</v>
      </c>
      <c r="P39" s="52">
        <f>'4.5.1.3-4 Direct N2O'!P234</f>
        <v>30.141407999999998</v>
      </c>
      <c r="Q39" s="52">
        <f>'4.5.1.3-4 Direct N2O'!Q234</f>
        <v>40.133940000000003</v>
      </c>
      <c r="R39" s="52">
        <f>'4.5.1.3-4 Direct N2O'!R234</f>
        <v>37.676759999999994</v>
      </c>
      <c r="S39" s="52">
        <f>'4.5.1.3-4 Direct N2O'!S234</f>
        <v>25.554671999999997</v>
      </c>
      <c r="T39" s="2"/>
    </row>
    <row r="40" spans="4:20" ht="20.100000000000001" customHeight="1" x14ac:dyDescent="0.25">
      <c r="D40" s="57"/>
      <c r="E40" s="57" t="str">
        <f>'Input - Swine'!$D$78</f>
        <v>Digester / covered lagoons</v>
      </c>
      <c r="F40" s="52">
        <f>'4.5.1.3-4 Direct N2O'!F235</f>
        <v>30.141407999999998</v>
      </c>
      <c r="G40" s="52">
        <f>'4.5.1.3-4 Direct N2O'!G235</f>
        <v>40.133940000000003</v>
      </c>
      <c r="H40" s="52">
        <f>'4.5.1.3-4 Direct N2O'!H235</f>
        <v>37.676759999999994</v>
      </c>
      <c r="I40" s="52">
        <f>'4.5.1.3-4 Direct N2O'!I235</f>
        <v>25.554671999999997</v>
      </c>
      <c r="J40" s="2"/>
      <c r="N40" s="57"/>
      <c r="O40" s="57" t="str">
        <f>'Input - Swine'!$D$78</f>
        <v>Digester / covered lagoons</v>
      </c>
      <c r="P40" s="52">
        <f>'4.5.1.3-4 Direct N2O'!P235</f>
        <v>30.141407999999998</v>
      </c>
      <c r="Q40" s="52">
        <f>'4.5.1.3-4 Direct N2O'!Q235</f>
        <v>40.133940000000003</v>
      </c>
      <c r="R40" s="52">
        <f>'4.5.1.3-4 Direct N2O'!R235</f>
        <v>37.676759999999994</v>
      </c>
      <c r="S40" s="52">
        <f>'4.5.1.3-4 Direct N2O'!S235</f>
        <v>25.554671999999997</v>
      </c>
      <c r="T40" s="2"/>
    </row>
    <row r="41" spans="4:20" ht="20.100000000000001" customHeight="1" x14ac:dyDescent="0.25">
      <c r="D41" s="57"/>
      <c r="E41" s="57" t="str">
        <f>'Input - Swine'!$D$79</f>
        <v>Deep litter</v>
      </c>
      <c r="F41" s="52">
        <f>'4.5.1.3-4 Direct N2O'!F236</f>
        <v>30.141407999999998</v>
      </c>
      <c r="G41" s="52">
        <f>'4.5.1.3-4 Direct N2O'!G236</f>
        <v>40.133940000000003</v>
      </c>
      <c r="H41" s="52">
        <f>'4.5.1.3-4 Direct N2O'!H236</f>
        <v>37.676759999999994</v>
      </c>
      <c r="I41" s="52">
        <f>'4.5.1.3-4 Direct N2O'!I236</f>
        <v>25.554671999999997</v>
      </c>
      <c r="J41" s="2"/>
      <c r="N41" s="57"/>
      <c r="O41" s="57" t="str">
        <f>'Input - Swine'!$D$79</f>
        <v>Deep litter</v>
      </c>
      <c r="P41" s="52">
        <f>'4.5.1.3-4 Direct N2O'!P236</f>
        <v>30.141407999999998</v>
      </c>
      <c r="Q41" s="52">
        <f>'4.5.1.3-4 Direct N2O'!Q236</f>
        <v>40.133940000000003</v>
      </c>
      <c r="R41" s="52">
        <f>'4.5.1.3-4 Direct N2O'!R236</f>
        <v>37.676759999999994</v>
      </c>
      <c r="S41" s="52">
        <f>'4.5.1.3-4 Direct N2O'!S236</f>
        <v>25.554671999999997</v>
      </c>
      <c r="T41" s="2"/>
    </row>
    <row r="42" spans="4:20" ht="20.100000000000001" customHeight="1" x14ac:dyDescent="0.25">
      <c r="D42" s="57"/>
      <c r="E42" s="57" t="str">
        <f>'Input - Swine'!$D$80</f>
        <v>Direct application</v>
      </c>
      <c r="F42" s="52">
        <f>'4.5.1.3-4 Direct N2O'!F237</f>
        <v>60.282815999999976</v>
      </c>
      <c r="G42" s="52">
        <f>'4.5.1.3-4 Direct N2O'!G237</f>
        <v>40.133940000000003</v>
      </c>
      <c r="H42" s="52">
        <f>'4.5.1.3-4 Direct N2O'!H237</f>
        <v>37.676759999999994</v>
      </c>
      <c r="I42" s="52">
        <f>'4.5.1.3-4 Direct N2O'!I237</f>
        <v>25.554671999999997</v>
      </c>
      <c r="J42" s="2"/>
      <c r="N42" s="57"/>
      <c r="O42" s="57" t="str">
        <f>'Input - Swine'!$D$80</f>
        <v>Direct application</v>
      </c>
      <c r="P42" s="52">
        <f>'4.5.1.3-4 Direct N2O'!P237</f>
        <v>60.282815999999976</v>
      </c>
      <c r="Q42" s="52">
        <f>'4.5.1.3-4 Direct N2O'!Q237</f>
        <v>40.133940000000003</v>
      </c>
      <c r="R42" s="52">
        <f>'4.5.1.3-4 Direct N2O'!R237</f>
        <v>37.676759999999994</v>
      </c>
      <c r="S42" s="52">
        <f>'4.5.1.3-4 Direct N2O'!S237</f>
        <v>25.554671999999997</v>
      </c>
      <c r="T42" s="2"/>
    </row>
    <row r="43" spans="4:20" ht="20.100000000000001" customHeight="1" x14ac:dyDescent="0.25">
      <c r="D43" s="57" t="str">
        <f>'Input - Swine'!$D$34</f>
        <v>Solid storage</v>
      </c>
      <c r="E43" s="57" t="str">
        <f>'Input - Swine'!$D$84</f>
        <v>Anaerobic lagoon</v>
      </c>
      <c r="F43" s="52">
        <f>'4.5.1.3-4 Direct N2O'!F238</f>
        <v>106.78440000000003</v>
      </c>
      <c r="G43" s="52">
        <f>'4.5.1.3-4 Direct N2O'!G238</f>
        <v>113.74860000000007</v>
      </c>
      <c r="H43" s="52">
        <f>'4.5.1.3-4 Direct N2O'!H238</f>
        <v>106.78440000000003</v>
      </c>
      <c r="I43" s="52">
        <f>'4.5.1.3-4 Direct N2O'!I238</f>
        <v>72.427680000000038</v>
      </c>
      <c r="J43" s="2"/>
      <c r="N43" s="57" t="str">
        <f>'Input - Swine'!$D$34</f>
        <v>Solid storage</v>
      </c>
      <c r="O43" s="57" t="str">
        <f>'Input - Swine'!$D$84</f>
        <v>Anaerobic lagoon</v>
      </c>
      <c r="P43" s="52">
        <f>'4.5.1.3-4 Direct N2O'!P238</f>
        <v>106.78440000000003</v>
      </c>
      <c r="Q43" s="52">
        <f>'4.5.1.3-4 Direct N2O'!Q238</f>
        <v>113.74860000000007</v>
      </c>
      <c r="R43" s="52">
        <f>'4.5.1.3-4 Direct N2O'!R238</f>
        <v>106.78440000000003</v>
      </c>
      <c r="S43" s="52">
        <f>'4.5.1.3-4 Direct N2O'!S238</f>
        <v>72.427680000000038</v>
      </c>
      <c r="T43" s="2"/>
    </row>
    <row r="44" spans="4:20" ht="20.100000000000001" customHeight="1" x14ac:dyDescent="0.25">
      <c r="D44" s="57"/>
      <c r="E44" s="57" t="str">
        <f>'Input - Swine'!$D$85</f>
        <v>Digester / covered lagoons</v>
      </c>
      <c r="F44" s="52">
        <f>'4.5.1.3-4 Direct N2O'!F239</f>
        <v>106.78440000000003</v>
      </c>
      <c r="G44" s="52">
        <f>'4.5.1.3-4 Direct N2O'!G239</f>
        <v>113.74860000000007</v>
      </c>
      <c r="H44" s="52">
        <f>'4.5.1.3-4 Direct N2O'!H239</f>
        <v>106.78440000000003</v>
      </c>
      <c r="I44" s="52">
        <f>'4.5.1.3-4 Direct N2O'!I239</f>
        <v>72.427680000000038</v>
      </c>
      <c r="J44" s="2"/>
      <c r="N44" s="57"/>
      <c r="O44" s="57" t="str">
        <f>'Input - Swine'!$D$85</f>
        <v>Digester / covered lagoons</v>
      </c>
      <c r="P44" s="52">
        <f>'4.5.1.3-4 Direct N2O'!P239</f>
        <v>106.78440000000003</v>
      </c>
      <c r="Q44" s="52">
        <f>'4.5.1.3-4 Direct N2O'!Q239</f>
        <v>113.74860000000007</v>
      </c>
      <c r="R44" s="52">
        <f>'4.5.1.3-4 Direct N2O'!R239</f>
        <v>106.78440000000003</v>
      </c>
      <c r="S44" s="52">
        <f>'4.5.1.3-4 Direct N2O'!S239</f>
        <v>72.427680000000038</v>
      </c>
      <c r="T44" s="2"/>
    </row>
    <row r="45" spans="4:20" ht="20.100000000000001" customHeight="1" x14ac:dyDescent="0.25">
      <c r="D45" s="57"/>
      <c r="E45" s="57" t="str">
        <f>'Input - Swine'!$D$86</f>
        <v>Deep litter</v>
      </c>
      <c r="F45" s="52">
        <f>'4.5.1.3-4 Direct N2O'!F240</f>
        <v>106.78440000000003</v>
      </c>
      <c r="G45" s="52">
        <f>'4.5.1.3-4 Direct N2O'!G240</f>
        <v>113.74860000000007</v>
      </c>
      <c r="H45" s="52">
        <f>'4.5.1.3-4 Direct N2O'!H240</f>
        <v>106.78440000000003</v>
      </c>
      <c r="I45" s="52">
        <f>'4.5.1.3-4 Direct N2O'!I240</f>
        <v>72.427680000000038</v>
      </c>
      <c r="J45" s="2"/>
      <c r="N45" s="57"/>
      <c r="O45" s="57" t="str">
        <f>'Input - Swine'!$D$86</f>
        <v>Deep litter</v>
      </c>
      <c r="P45" s="52">
        <f>'4.5.1.3-4 Direct N2O'!P240</f>
        <v>106.78440000000003</v>
      </c>
      <c r="Q45" s="52">
        <f>'4.5.1.3-4 Direct N2O'!Q240</f>
        <v>113.74860000000007</v>
      </c>
      <c r="R45" s="52">
        <f>'4.5.1.3-4 Direct N2O'!R240</f>
        <v>106.78440000000003</v>
      </c>
      <c r="S45" s="52">
        <f>'4.5.1.3-4 Direct N2O'!S240</f>
        <v>72.427680000000038</v>
      </c>
      <c r="T45" s="2"/>
    </row>
    <row r="46" spans="4:20" ht="20.100000000000001" customHeight="1" x14ac:dyDescent="0.25">
      <c r="D46" s="57"/>
      <c r="E46" s="57" t="str">
        <f>'Input - Swine'!$D$87</f>
        <v>Pit storage</v>
      </c>
      <c r="F46" s="52">
        <f>'4.5.1.3-4 Direct N2O'!F241</f>
        <v>53.392200000000017</v>
      </c>
      <c r="G46" s="52">
        <f>'4.5.1.3-4 Direct N2O'!G241</f>
        <v>56.874300000000034</v>
      </c>
      <c r="H46" s="52">
        <f>'4.5.1.3-4 Direct N2O'!H241</f>
        <v>53.392200000000017</v>
      </c>
      <c r="I46" s="52">
        <f>'4.5.1.3-4 Direct N2O'!I241</f>
        <v>36.213840000000019</v>
      </c>
      <c r="J46" s="2"/>
      <c r="N46" s="57"/>
      <c r="O46" s="57" t="str">
        <f>'Input - Swine'!$D$87</f>
        <v>Pit storage</v>
      </c>
      <c r="P46" s="52">
        <f>'4.5.1.3-4 Direct N2O'!P241</f>
        <v>53.392200000000017</v>
      </c>
      <c r="Q46" s="52">
        <f>'4.5.1.3-4 Direct N2O'!Q241</f>
        <v>56.874300000000034</v>
      </c>
      <c r="R46" s="52">
        <f>'4.5.1.3-4 Direct N2O'!R241</f>
        <v>53.392200000000017</v>
      </c>
      <c r="S46" s="52">
        <f>'4.5.1.3-4 Direct N2O'!S241</f>
        <v>36.213840000000019</v>
      </c>
      <c r="T46" s="2"/>
    </row>
    <row r="47" spans="4:20" ht="20.100000000000001" customHeight="1" x14ac:dyDescent="0.25">
      <c r="D47" s="57"/>
      <c r="E47" s="57" t="str">
        <f>'Input - Swine'!$D$88</f>
        <v>Direct application</v>
      </c>
      <c r="F47" s="52">
        <f>'4.5.1.3-4 Direct N2O'!F242</f>
        <v>160.17660000000001</v>
      </c>
      <c r="G47" s="52">
        <f>'4.5.1.3-4 Direct N2O'!G242</f>
        <v>170.62290000000004</v>
      </c>
      <c r="H47" s="52">
        <f>'4.5.1.3-4 Direct N2O'!H242</f>
        <v>160.17660000000001</v>
      </c>
      <c r="I47" s="52">
        <f>'4.5.1.3-4 Direct N2O'!I242</f>
        <v>108.64152000000003</v>
      </c>
      <c r="J47" s="2"/>
      <c r="N47" s="57"/>
      <c r="O47" s="57" t="str">
        <f>'Input - Swine'!$D$88</f>
        <v>Direct application</v>
      </c>
      <c r="P47" s="52">
        <f>'4.5.1.3-4 Direct N2O'!P242</f>
        <v>160.17660000000001</v>
      </c>
      <c r="Q47" s="52">
        <f>'4.5.1.3-4 Direct N2O'!Q242</f>
        <v>170.62290000000004</v>
      </c>
      <c r="R47" s="52">
        <f>'4.5.1.3-4 Direct N2O'!R242</f>
        <v>160.17660000000001</v>
      </c>
      <c r="S47" s="52">
        <f>'4.5.1.3-4 Direct N2O'!S242</f>
        <v>108.64152000000003</v>
      </c>
      <c r="T47" s="2"/>
    </row>
    <row r="48" spans="4:20" ht="20.100000000000001" customHeight="1" x14ac:dyDescent="0.25"/>
    <row r="49" spans="1:20" ht="20.100000000000001" customHeight="1" x14ac:dyDescent="0.25">
      <c r="D49" s="121" t="s">
        <v>283</v>
      </c>
      <c r="N49" s="121" t="s">
        <v>283</v>
      </c>
    </row>
    <row r="50" spans="1:20" ht="20.100000000000001" customHeight="1" x14ac:dyDescent="0.25">
      <c r="D50" s="122" t="s">
        <v>303</v>
      </c>
      <c r="N50" s="122" t="s">
        <v>303</v>
      </c>
    </row>
    <row r="51" spans="1:20" ht="20.100000000000001" customHeight="1" x14ac:dyDescent="0.25">
      <c r="D51" s="51" t="s">
        <v>163</v>
      </c>
      <c r="E51" s="51" t="s">
        <v>171</v>
      </c>
      <c r="F51" s="51" t="s">
        <v>142</v>
      </c>
      <c r="G51" s="51" t="s">
        <v>143</v>
      </c>
      <c r="H51" s="51" t="s">
        <v>144</v>
      </c>
      <c r="I51" s="51" t="s">
        <v>206</v>
      </c>
      <c r="N51" s="51" t="s">
        <v>163</v>
      </c>
      <c r="O51" s="51" t="s">
        <v>171</v>
      </c>
      <c r="P51" s="51" t="s">
        <v>142</v>
      </c>
      <c r="Q51" s="51" t="s">
        <v>143</v>
      </c>
      <c r="R51" s="51" t="s">
        <v>144</v>
      </c>
      <c r="S51" s="51" t="s">
        <v>206</v>
      </c>
    </row>
    <row r="52" spans="1:20" ht="20.100000000000001" customHeight="1" x14ac:dyDescent="0.25">
      <c r="D52" s="57" t="str">
        <f>'Input - Swine'!$D$29</f>
        <v>Anaerobic lagoon</v>
      </c>
      <c r="E52" s="57" t="str">
        <f>'Input - Swine'!$D$48</f>
        <v>Digester / covered lagoons</v>
      </c>
      <c r="F52" s="52">
        <v>0</v>
      </c>
      <c r="G52" s="52">
        <v>0</v>
      </c>
      <c r="H52" s="52">
        <v>0</v>
      </c>
      <c r="I52" s="52">
        <v>0</v>
      </c>
      <c r="J52" s="2" t="str">
        <f>$G$16</f>
        <v>kg N</v>
      </c>
      <c r="N52" s="57" t="str">
        <f>'Input - Swine'!$D$29</f>
        <v>Anaerobic lagoon</v>
      </c>
      <c r="O52" s="57" t="str">
        <f>'Input - Swine'!$D$48</f>
        <v>Digester / covered lagoons</v>
      </c>
      <c r="P52" s="52">
        <v>0</v>
      </c>
      <c r="Q52" s="52">
        <v>0</v>
      </c>
      <c r="R52" s="52">
        <v>0</v>
      </c>
      <c r="S52" s="52">
        <v>0</v>
      </c>
      <c r="T52" s="2" t="str">
        <f>$G$16</f>
        <v>kg N</v>
      </c>
    </row>
    <row r="53" spans="1:20" ht="20.100000000000001" customHeight="1" x14ac:dyDescent="0.25">
      <c r="D53" s="57"/>
      <c r="E53" s="57" t="str">
        <f>'Input - Swine'!$D$49</f>
        <v>Deep litter</v>
      </c>
      <c r="F53" s="52">
        <v>0</v>
      </c>
      <c r="G53" s="52">
        <v>0</v>
      </c>
      <c r="H53" s="52">
        <v>0</v>
      </c>
      <c r="I53" s="52">
        <v>0</v>
      </c>
      <c r="J53" s="2"/>
      <c r="N53" s="57"/>
      <c r="O53" s="57" t="str">
        <f>'Input - Swine'!$D$49</f>
        <v>Deep litter</v>
      </c>
      <c r="P53" s="52">
        <v>0</v>
      </c>
      <c r="Q53" s="52">
        <v>0</v>
      </c>
      <c r="R53" s="52">
        <v>0</v>
      </c>
      <c r="S53" s="52">
        <v>0</v>
      </c>
      <c r="T53" s="2"/>
    </row>
    <row r="54" spans="1:20" ht="20.100000000000001" customHeight="1" x14ac:dyDescent="0.25">
      <c r="D54" s="57"/>
      <c r="E54" s="57" t="str">
        <f>'Input - Swine'!$D$50</f>
        <v>Pit storage</v>
      </c>
      <c r="F54" s="52">
        <v>0</v>
      </c>
      <c r="G54" s="52">
        <v>0</v>
      </c>
      <c r="H54" s="52">
        <v>0</v>
      </c>
      <c r="I54" s="52">
        <v>0</v>
      </c>
      <c r="J54" s="2"/>
      <c r="N54" s="57"/>
      <c r="O54" s="57" t="str">
        <f>'Input - Swine'!$D$50</f>
        <v>Pit storage</v>
      </c>
      <c r="P54" s="52">
        <v>0</v>
      </c>
      <c r="Q54" s="52">
        <v>0</v>
      </c>
      <c r="R54" s="52">
        <v>0</v>
      </c>
      <c r="S54" s="52">
        <v>0</v>
      </c>
      <c r="T54" s="2"/>
    </row>
    <row r="55" spans="1:20" ht="20.100000000000001" customHeight="1" x14ac:dyDescent="0.25">
      <c r="D55" s="57"/>
      <c r="E55" s="57" t="str">
        <f>'Input - Swine'!$D$51</f>
        <v>Direct application</v>
      </c>
      <c r="F55" s="52">
        <v>0</v>
      </c>
      <c r="G55" s="52">
        <v>0</v>
      </c>
      <c r="H55" s="52">
        <v>0</v>
      </c>
      <c r="I55" s="52">
        <v>0</v>
      </c>
      <c r="J55" s="2"/>
      <c r="N55" s="57"/>
      <c r="O55" s="57" t="str">
        <f>'Input - Swine'!$D$51</f>
        <v>Direct application</v>
      </c>
      <c r="P55" s="52">
        <v>0</v>
      </c>
      <c r="Q55" s="52">
        <v>0</v>
      </c>
      <c r="R55" s="52">
        <v>0</v>
      </c>
      <c r="S55" s="52">
        <v>0</v>
      </c>
      <c r="T55" s="2"/>
    </row>
    <row r="56" spans="1:20" ht="20.100000000000001" customHeight="1" x14ac:dyDescent="0.25">
      <c r="D56" s="57" t="str">
        <f>'Input - Swine'!$D$30</f>
        <v>Drylot (feed pad)</v>
      </c>
      <c r="E56" s="57" t="str">
        <f>'Input - Swine'!$D$55</f>
        <v>Anaerobic lagoon</v>
      </c>
      <c r="F56" s="52">
        <f>'4.5.1.7-8 Leaching and runoff'!E$28</f>
        <v>4.0295999999999994</v>
      </c>
      <c r="G56" s="52">
        <f>'4.5.1.7-8 Leaching and runoff'!F$28</f>
        <v>4.2924000000000007</v>
      </c>
      <c r="H56" s="52">
        <f>'4.5.1.7-8 Leaching and runoff'!G$28</f>
        <v>4.0295999999999994</v>
      </c>
      <c r="I56" s="52">
        <f>'4.5.1.7-8 Leaching and runoff'!H$28</f>
        <v>2.7331199999999995</v>
      </c>
      <c r="J56" s="2"/>
      <c r="N56" s="57" t="str">
        <f>'Input - Swine'!$D$30</f>
        <v>Drylot (feed pad)</v>
      </c>
      <c r="O56" s="57" t="str">
        <f>'Input - Swine'!$D$55</f>
        <v>Anaerobic lagoon</v>
      </c>
      <c r="P56" s="52">
        <f>'4.5.1.7-8 Leaching and runoff'!N$28</f>
        <v>4.0295999999999994</v>
      </c>
      <c r="Q56" s="52">
        <f>'4.5.1.7-8 Leaching and runoff'!O$28</f>
        <v>4.2924000000000007</v>
      </c>
      <c r="R56" s="52">
        <f>'4.5.1.7-8 Leaching and runoff'!P$28</f>
        <v>4.0295999999999994</v>
      </c>
      <c r="S56" s="52">
        <f>'4.5.1.7-8 Leaching and runoff'!Q$28</f>
        <v>2.7331199999999995</v>
      </c>
      <c r="T56" s="2"/>
    </row>
    <row r="57" spans="1:20" ht="20.100000000000001" customHeight="1" x14ac:dyDescent="0.25">
      <c r="D57" s="57"/>
      <c r="E57" s="57" t="str">
        <f>'Input - Swine'!$D$56</f>
        <v>Digester / covered lagoons</v>
      </c>
      <c r="F57" s="52">
        <f>'4.5.1.7-8 Leaching and runoff'!E$28</f>
        <v>4.0295999999999994</v>
      </c>
      <c r="G57" s="52">
        <f>'4.5.1.7-8 Leaching and runoff'!F$28</f>
        <v>4.2924000000000007</v>
      </c>
      <c r="H57" s="52">
        <f>'4.5.1.7-8 Leaching and runoff'!G$28</f>
        <v>4.0295999999999994</v>
      </c>
      <c r="I57" s="52">
        <f>'4.5.1.7-8 Leaching and runoff'!H$28</f>
        <v>2.7331199999999995</v>
      </c>
      <c r="J57" s="2"/>
      <c r="N57" s="57"/>
      <c r="O57" s="57" t="str">
        <f>'Input - Swine'!$D$56</f>
        <v>Digester / covered lagoons</v>
      </c>
      <c r="P57" s="52">
        <f>'4.5.1.7-8 Leaching and runoff'!N$28</f>
        <v>4.0295999999999994</v>
      </c>
      <c r="Q57" s="52">
        <f>'4.5.1.7-8 Leaching and runoff'!O$28</f>
        <v>4.2924000000000007</v>
      </c>
      <c r="R57" s="52">
        <f>'4.5.1.7-8 Leaching and runoff'!P$28</f>
        <v>4.0295999999999994</v>
      </c>
      <c r="S57" s="52">
        <f>'4.5.1.7-8 Leaching and runoff'!Q$28</f>
        <v>2.7331199999999995</v>
      </c>
      <c r="T57" s="2"/>
    </row>
    <row r="58" spans="1:20" ht="20.100000000000001" customHeight="1" x14ac:dyDescent="0.25">
      <c r="D58" s="57"/>
      <c r="E58" s="57" t="str">
        <f>'Input - Swine'!$D$57</f>
        <v>Deep litter</v>
      </c>
      <c r="F58" s="52">
        <f>'4.5.1.7-8 Leaching and runoff'!E$28</f>
        <v>4.0295999999999994</v>
      </c>
      <c r="G58" s="52">
        <f>'4.5.1.7-8 Leaching and runoff'!F$28</f>
        <v>4.2924000000000007</v>
      </c>
      <c r="H58" s="52">
        <f>'4.5.1.7-8 Leaching and runoff'!G$28</f>
        <v>4.0295999999999994</v>
      </c>
      <c r="I58" s="52">
        <f>'4.5.1.7-8 Leaching and runoff'!H$28</f>
        <v>2.7331199999999995</v>
      </c>
      <c r="J58" s="2"/>
      <c r="N58" s="57"/>
      <c r="O58" s="57" t="str">
        <f>'Input - Swine'!$D$57</f>
        <v>Deep litter</v>
      </c>
      <c r="P58" s="52">
        <f>'4.5.1.7-8 Leaching and runoff'!N$28</f>
        <v>4.0295999999999994</v>
      </c>
      <c r="Q58" s="52">
        <f>'4.5.1.7-8 Leaching and runoff'!O$28</f>
        <v>4.2924000000000007</v>
      </c>
      <c r="R58" s="52">
        <f>'4.5.1.7-8 Leaching and runoff'!P$28</f>
        <v>4.0295999999999994</v>
      </c>
      <c r="S58" s="52">
        <f>'4.5.1.7-8 Leaching and runoff'!Q$28</f>
        <v>2.7331199999999995</v>
      </c>
      <c r="T58" s="2"/>
    </row>
    <row r="59" spans="1:20" ht="20.100000000000001" customHeight="1" x14ac:dyDescent="0.25">
      <c r="D59" s="57"/>
      <c r="E59" s="57" t="str">
        <f>'Input - Swine'!$D$58</f>
        <v>Pit storage</v>
      </c>
      <c r="F59" s="52">
        <f>'4.5.1.7-8 Leaching and runoff'!E$28</f>
        <v>4.0295999999999994</v>
      </c>
      <c r="G59" s="52">
        <f>'4.5.1.7-8 Leaching and runoff'!F$28</f>
        <v>4.2924000000000007</v>
      </c>
      <c r="H59" s="52">
        <f>'4.5.1.7-8 Leaching and runoff'!G$28</f>
        <v>4.0295999999999994</v>
      </c>
      <c r="I59" s="52">
        <f>'4.5.1.7-8 Leaching and runoff'!H$28</f>
        <v>2.7331199999999995</v>
      </c>
      <c r="J59" s="2"/>
      <c r="N59" s="57"/>
      <c r="O59" s="57" t="str">
        <f>'Input - Swine'!$D$58</f>
        <v>Pit storage</v>
      </c>
      <c r="P59" s="52">
        <f>'4.5.1.7-8 Leaching and runoff'!N$28</f>
        <v>4.0295999999999994</v>
      </c>
      <c r="Q59" s="52">
        <f>'4.5.1.7-8 Leaching and runoff'!O$28</f>
        <v>4.2924000000000007</v>
      </c>
      <c r="R59" s="52">
        <f>'4.5.1.7-8 Leaching and runoff'!P$28</f>
        <v>4.0295999999999994</v>
      </c>
      <c r="S59" s="52">
        <f>'4.5.1.7-8 Leaching and runoff'!Q$28</f>
        <v>2.7331199999999995</v>
      </c>
      <c r="T59" s="2"/>
    </row>
    <row r="60" spans="1:20" ht="20.100000000000001" customHeight="1" x14ac:dyDescent="0.25">
      <c r="D60" s="57"/>
      <c r="E60" s="57" t="str">
        <f>'Input - Swine'!$D$59</f>
        <v>Direct application</v>
      </c>
      <c r="F60" s="52">
        <v>0</v>
      </c>
      <c r="G60" s="52">
        <v>0</v>
      </c>
      <c r="H60" s="52">
        <v>0</v>
      </c>
      <c r="I60" s="52">
        <v>0</v>
      </c>
      <c r="J60" s="2"/>
      <c r="N60" s="57"/>
      <c r="O60" s="57" t="str">
        <f>'Input - Swine'!$D$59</f>
        <v>Direct application</v>
      </c>
      <c r="P60" s="52">
        <v>0</v>
      </c>
      <c r="Q60" s="52">
        <v>0</v>
      </c>
      <c r="R60" s="52">
        <v>0</v>
      </c>
      <c r="S60" s="52">
        <v>0</v>
      </c>
      <c r="T60" s="2"/>
    </row>
    <row r="61" spans="1:20" ht="20.100000000000001" customHeight="1" x14ac:dyDescent="0.25">
      <c r="D61" s="57" t="str">
        <f>'Input - Swine'!$D$31</f>
        <v>Digester / covered lagoons</v>
      </c>
      <c r="E61" s="57" t="str">
        <f>'Input - Swine'!$D$63</f>
        <v>Anaerobic lagoon</v>
      </c>
      <c r="F61" s="52">
        <v>0</v>
      </c>
      <c r="G61" s="52">
        <v>0</v>
      </c>
      <c r="H61" s="52">
        <v>0</v>
      </c>
      <c r="I61" s="52">
        <v>0</v>
      </c>
      <c r="J61" s="2"/>
      <c r="N61" s="57" t="str">
        <f>'Input - Swine'!$D$31</f>
        <v>Digester / covered lagoons</v>
      </c>
      <c r="O61" s="57" t="str">
        <f>'Input - Swine'!$D$63</f>
        <v>Anaerobic lagoon</v>
      </c>
      <c r="P61" s="52">
        <v>0</v>
      </c>
      <c r="Q61" s="52">
        <v>0</v>
      </c>
      <c r="R61" s="52">
        <v>0</v>
      </c>
      <c r="S61" s="52">
        <v>0</v>
      </c>
      <c r="T61" s="2"/>
    </row>
    <row r="62" spans="1:20" ht="20.100000000000001" customHeight="1" x14ac:dyDescent="0.25">
      <c r="D62" s="57"/>
      <c r="E62" s="57" t="str">
        <f>'Input - Swine'!$D$64</f>
        <v>Deep litter</v>
      </c>
      <c r="F62" s="52">
        <v>0</v>
      </c>
      <c r="G62" s="52">
        <v>0</v>
      </c>
      <c r="H62" s="52">
        <v>0</v>
      </c>
      <c r="I62" s="52">
        <v>0</v>
      </c>
      <c r="J62" s="2"/>
      <c r="N62" s="57"/>
      <c r="O62" s="57" t="str">
        <f>'Input - Swine'!$D$64</f>
        <v>Deep litter</v>
      </c>
      <c r="P62" s="52">
        <v>0</v>
      </c>
      <c r="Q62" s="52">
        <v>0</v>
      </c>
      <c r="R62" s="52">
        <v>0</v>
      </c>
      <c r="S62" s="52">
        <v>0</v>
      </c>
      <c r="T62" s="2"/>
    </row>
    <row r="63" spans="1:20" ht="20.100000000000001" customHeight="1" x14ac:dyDescent="0.25">
      <c r="A63" s="150" t="str">
        <f>HYPERLINK("#A1", "▲ Back to top")</f>
        <v>▲ Back to top</v>
      </c>
      <c r="D63" s="57"/>
      <c r="E63" s="57" t="str">
        <f>'Input - Swine'!$D$65</f>
        <v>Pit storage</v>
      </c>
      <c r="F63" s="52">
        <v>0</v>
      </c>
      <c r="G63" s="52">
        <v>0</v>
      </c>
      <c r="H63" s="52">
        <v>0</v>
      </c>
      <c r="I63" s="52">
        <v>0</v>
      </c>
      <c r="J63" s="2"/>
      <c r="N63" s="57"/>
      <c r="O63" s="57" t="str">
        <f>'Input - Swine'!$D$65</f>
        <v>Pit storage</v>
      </c>
      <c r="P63" s="52">
        <v>0</v>
      </c>
      <c r="Q63" s="52">
        <v>0</v>
      </c>
      <c r="R63" s="52">
        <v>0</v>
      </c>
      <c r="S63" s="52">
        <v>0</v>
      </c>
      <c r="T63" s="2"/>
    </row>
    <row r="64" spans="1:20" ht="20.100000000000001" customHeight="1" x14ac:dyDescent="0.25">
      <c r="D64" s="57"/>
      <c r="E64" s="57" t="str">
        <f>'Input - Swine'!$D$66</f>
        <v>Direct application</v>
      </c>
      <c r="F64" s="52">
        <v>0</v>
      </c>
      <c r="G64" s="52">
        <v>0</v>
      </c>
      <c r="H64" s="52">
        <v>0</v>
      </c>
      <c r="I64" s="52">
        <v>0</v>
      </c>
      <c r="J64" s="2"/>
      <c r="N64" s="57"/>
      <c r="O64" s="57" t="str">
        <f>'Input - Swine'!$D$66</f>
        <v>Direct application</v>
      </c>
      <c r="P64" s="52">
        <v>0</v>
      </c>
      <c r="Q64" s="52">
        <v>0</v>
      </c>
      <c r="R64" s="52">
        <v>0</v>
      </c>
      <c r="S64" s="52">
        <v>0</v>
      </c>
      <c r="T64" s="2"/>
    </row>
    <row r="65" spans="4:20" ht="20.100000000000001" customHeight="1" x14ac:dyDescent="0.25">
      <c r="D65" s="57" t="str">
        <f>'Input - Swine'!$D$32</f>
        <v>Deep litter</v>
      </c>
      <c r="E65" s="57" t="str">
        <f>'Input - Swine'!$D$70</f>
        <v>Anaerobic lagoon</v>
      </c>
      <c r="F65" s="52">
        <v>0</v>
      </c>
      <c r="G65" s="52">
        <v>0</v>
      </c>
      <c r="H65" s="52">
        <v>0</v>
      </c>
      <c r="I65" s="52">
        <v>0</v>
      </c>
      <c r="J65" s="2"/>
      <c r="N65" s="57" t="str">
        <f>'Input - Swine'!$D$32</f>
        <v>Deep litter</v>
      </c>
      <c r="O65" s="57" t="str">
        <f>'Input - Swine'!$D$70</f>
        <v>Anaerobic lagoon</v>
      </c>
      <c r="P65" s="52">
        <v>0</v>
      </c>
      <c r="Q65" s="52">
        <v>0</v>
      </c>
      <c r="R65" s="52">
        <v>0</v>
      </c>
      <c r="S65" s="52">
        <v>0</v>
      </c>
      <c r="T65" s="2"/>
    </row>
    <row r="66" spans="4:20" ht="20.100000000000001" customHeight="1" x14ac:dyDescent="0.25">
      <c r="D66" s="57"/>
      <c r="E66" s="57" t="str">
        <f>'Input - Swine'!$D$71</f>
        <v>Digester / covered lagoons</v>
      </c>
      <c r="F66" s="52">
        <v>0</v>
      </c>
      <c r="G66" s="52">
        <v>0</v>
      </c>
      <c r="H66" s="52">
        <v>0</v>
      </c>
      <c r="I66" s="52">
        <v>0</v>
      </c>
      <c r="J66" s="2"/>
      <c r="N66" s="57"/>
      <c r="O66" s="57" t="str">
        <f>'Input - Swine'!$D$71</f>
        <v>Digester / covered lagoons</v>
      </c>
      <c r="P66" s="52">
        <v>0</v>
      </c>
      <c r="Q66" s="52">
        <v>0</v>
      </c>
      <c r="R66" s="52">
        <v>0</v>
      </c>
      <c r="S66" s="52">
        <v>0</v>
      </c>
      <c r="T66" s="2"/>
    </row>
    <row r="67" spans="4:20" ht="20.100000000000001" customHeight="1" x14ac:dyDescent="0.25">
      <c r="D67" s="57"/>
      <c r="E67" s="57" t="str">
        <f>'Input - Swine'!$D$72</f>
        <v>Pit storage</v>
      </c>
      <c r="F67" s="52">
        <v>0</v>
      </c>
      <c r="G67" s="52">
        <v>0</v>
      </c>
      <c r="H67" s="52">
        <v>0</v>
      </c>
      <c r="I67" s="52">
        <v>0</v>
      </c>
      <c r="J67" s="2"/>
      <c r="N67" s="57"/>
      <c r="O67" s="57" t="str">
        <f>'Input - Swine'!$D$72</f>
        <v>Pit storage</v>
      </c>
      <c r="P67" s="52">
        <v>0</v>
      </c>
      <c r="Q67" s="52">
        <v>0</v>
      </c>
      <c r="R67" s="52">
        <v>0</v>
      </c>
      <c r="S67" s="52">
        <v>0</v>
      </c>
      <c r="T67" s="2"/>
    </row>
    <row r="68" spans="4:20" ht="20.100000000000001" customHeight="1" x14ac:dyDescent="0.25">
      <c r="D68" s="57"/>
      <c r="E68" s="57" t="str">
        <f>'Input - Swine'!$D$73</f>
        <v>Direct application</v>
      </c>
      <c r="F68" s="52">
        <v>0</v>
      </c>
      <c r="G68" s="52">
        <v>0</v>
      </c>
      <c r="H68" s="52">
        <v>0</v>
      </c>
      <c r="I68" s="52">
        <v>0</v>
      </c>
      <c r="J68" s="2"/>
      <c r="N68" s="57"/>
      <c r="O68" s="57" t="str">
        <f>'Input - Swine'!$D$73</f>
        <v>Direct application</v>
      </c>
      <c r="P68" s="52">
        <v>0</v>
      </c>
      <c r="Q68" s="52">
        <v>0</v>
      </c>
      <c r="R68" s="52">
        <v>0</v>
      </c>
      <c r="S68" s="52">
        <v>0</v>
      </c>
      <c r="T68" s="2"/>
    </row>
    <row r="69" spans="4:20" ht="20.100000000000001" customHeight="1" x14ac:dyDescent="0.25">
      <c r="D69" s="57" t="str">
        <f>'Input - Swine'!$D$33</f>
        <v>Pit storage</v>
      </c>
      <c r="E69" s="57" t="str">
        <f>'Input - Swine'!$D$77</f>
        <v>Anaerobic lagoon</v>
      </c>
      <c r="F69" s="52">
        <v>0</v>
      </c>
      <c r="G69" s="52">
        <v>0</v>
      </c>
      <c r="H69" s="52">
        <v>0</v>
      </c>
      <c r="I69" s="52">
        <v>0</v>
      </c>
      <c r="J69" s="2"/>
      <c r="N69" s="57" t="str">
        <f>'Input - Swine'!$D$33</f>
        <v>Pit storage</v>
      </c>
      <c r="O69" s="57" t="str">
        <f>'Input - Swine'!$D$77</f>
        <v>Anaerobic lagoon</v>
      </c>
      <c r="P69" s="52">
        <v>0</v>
      </c>
      <c r="Q69" s="52">
        <v>0</v>
      </c>
      <c r="R69" s="52">
        <v>0</v>
      </c>
      <c r="S69" s="52">
        <v>0</v>
      </c>
      <c r="T69" s="2"/>
    </row>
    <row r="70" spans="4:20" ht="20.100000000000001" customHeight="1" x14ac:dyDescent="0.25">
      <c r="D70" s="57"/>
      <c r="E70" s="57" t="str">
        <f>'Input - Swine'!$D$78</f>
        <v>Digester / covered lagoons</v>
      </c>
      <c r="F70" s="52">
        <v>0</v>
      </c>
      <c r="G70" s="52">
        <v>0</v>
      </c>
      <c r="H70" s="52">
        <v>0</v>
      </c>
      <c r="I70" s="52">
        <v>0</v>
      </c>
      <c r="J70" s="2"/>
      <c r="N70" s="57"/>
      <c r="O70" s="57" t="str">
        <f>'Input - Swine'!$D$78</f>
        <v>Digester / covered lagoons</v>
      </c>
      <c r="P70" s="52">
        <v>0</v>
      </c>
      <c r="Q70" s="52">
        <v>0</v>
      </c>
      <c r="R70" s="52">
        <v>0</v>
      </c>
      <c r="S70" s="52">
        <v>0</v>
      </c>
      <c r="T70" s="2"/>
    </row>
    <row r="71" spans="4:20" ht="20.100000000000001" customHeight="1" x14ac:dyDescent="0.25">
      <c r="D71" s="57"/>
      <c r="E71" s="57" t="str">
        <f>'Input - Swine'!$D$79</f>
        <v>Deep litter</v>
      </c>
      <c r="F71" s="52">
        <v>0</v>
      </c>
      <c r="G71" s="52">
        <v>0</v>
      </c>
      <c r="H71" s="52">
        <v>0</v>
      </c>
      <c r="I71" s="52">
        <v>0</v>
      </c>
      <c r="J71" s="2"/>
      <c r="N71" s="57"/>
      <c r="O71" s="57" t="str">
        <f>'Input - Swine'!$D$79</f>
        <v>Deep litter</v>
      </c>
      <c r="P71" s="52">
        <v>0</v>
      </c>
      <c r="Q71" s="52">
        <v>0</v>
      </c>
      <c r="R71" s="52">
        <v>0</v>
      </c>
      <c r="S71" s="52">
        <v>0</v>
      </c>
      <c r="T71" s="2"/>
    </row>
    <row r="72" spans="4:20" ht="20.100000000000001" customHeight="1" x14ac:dyDescent="0.25">
      <c r="D72" s="57"/>
      <c r="E72" s="57" t="str">
        <f>'Input - Swine'!$D$80</f>
        <v>Direct application</v>
      </c>
      <c r="F72" s="52">
        <v>0</v>
      </c>
      <c r="G72" s="52">
        <v>0</v>
      </c>
      <c r="H72" s="52">
        <v>0</v>
      </c>
      <c r="I72" s="52">
        <v>0</v>
      </c>
      <c r="J72" s="2"/>
      <c r="N72" s="57"/>
      <c r="O72" s="57" t="str">
        <f>'Input - Swine'!$D$80</f>
        <v>Direct application</v>
      </c>
      <c r="P72" s="52">
        <v>0</v>
      </c>
      <c r="Q72" s="52">
        <v>0</v>
      </c>
      <c r="R72" s="52">
        <v>0</v>
      </c>
      <c r="S72" s="52">
        <v>0</v>
      </c>
      <c r="T72" s="2"/>
    </row>
    <row r="73" spans="4:20" ht="20.100000000000001" customHeight="1" x14ac:dyDescent="0.25">
      <c r="D73" s="57" t="str">
        <f>'Input - Swine'!$D$34</f>
        <v>Solid storage</v>
      </c>
      <c r="E73" s="57" t="str">
        <f>'Input - Swine'!$D$84</f>
        <v>Anaerobic lagoon</v>
      </c>
      <c r="F73" s="52">
        <v>0</v>
      </c>
      <c r="G73" s="52">
        <v>0</v>
      </c>
      <c r="H73" s="52">
        <v>0</v>
      </c>
      <c r="I73" s="52">
        <v>0</v>
      </c>
      <c r="J73" s="2"/>
      <c r="N73" s="57" t="str">
        <f>'Input - Swine'!$D$34</f>
        <v>Solid storage</v>
      </c>
      <c r="O73" s="57" t="str">
        <f>'Input - Swine'!$D$84</f>
        <v>Anaerobic lagoon</v>
      </c>
      <c r="P73" s="52">
        <v>0</v>
      </c>
      <c r="Q73" s="52">
        <v>0</v>
      </c>
      <c r="R73" s="52">
        <v>0</v>
      </c>
      <c r="S73" s="52">
        <v>0</v>
      </c>
      <c r="T73" s="2"/>
    </row>
    <row r="74" spans="4:20" ht="20.100000000000001" customHeight="1" x14ac:dyDescent="0.25">
      <c r="D74" s="57"/>
      <c r="E74" s="57" t="str">
        <f>'Input - Swine'!$D$85</f>
        <v>Digester / covered lagoons</v>
      </c>
      <c r="F74" s="52">
        <v>0</v>
      </c>
      <c r="G74" s="52">
        <v>0</v>
      </c>
      <c r="H74" s="52">
        <v>0</v>
      </c>
      <c r="I74" s="52">
        <v>0</v>
      </c>
      <c r="J74" s="2"/>
      <c r="N74" s="57"/>
      <c r="O74" s="57" t="str">
        <f>'Input - Swine'!$D$85</f>
        <v>Digester / covered lagoons</v>
      </c>
      <c r="P74" s="52">
        <v>0</v>
      </c>
      <c r="Q74" s="52">
        <v>0</v>
      </c>
      <c r="R74" s="52">
        <v>0</v>
      </c>
      <c r="S74" s="52">
        <v>0</v>
      </c>
      <c r="T74" s="2"/>
    </row>
    <row r="75" spans="4:20" ht="20.100000000000001" customHeight="1" x14ac:dyDescent="0.25">
      <c r="D75" s="57"/>
      <c r="E75" s="57" t="str">
        <f>'Input - Swine'!$D$86</f>
        <v>Deep litter</v>
      </c>
      <c r="F75" s="52">
        <v>0</v>
      </c>
      <c r="G75" s="52">
        <v>0</v>
      </c>
      <c r="H75" s="52">
        <v>0</v>
      </c>
      <c r="I75" s="52">
        <v>0</v>
      </c>
      <c r="J75" s="2"/>
      <c r="N75" s="57"/>
      <c r="O75" s="57" t="str">
        <f>'Input - Swine'!$D$86</f>
        <v>Deep litter</v>
      </c>
      <c r="P75" s="52">
        <v>0</v>
      </c>
      <c r="Q75" s="52">
        <v>0</v>
      </c>
      <c r="R75" s="52">
        <v>0</v>
      </c>
      <c r="S75" s="52">
        <v>0</v>
      </c>
      <c r="T75" s="2"/>
    </row>
    <row r="76" spans="4:20" ht="20.100000000000001" customHeight="1" x14ac:dyDescent="0.25">
      <c r="D76" s="57"/>
      <c r="E76" s="57" t="str">
        <f>'Input - Swine'!$D$87</f>
        <v>Pit storage</v>
      </c>
      <c r="F76" s="52">
        <v>0</v>
      </c>
      <c r="G76" s="52">
        <v>0</v>
      </c>
      <c r="H76" s="52">
        <v>0</v>
      </c>
      <c r="I76" s="52">
        <v>0</v>
      </c>
      <c r="J76" s="2"/>
      <c r="N76" s="57"/>
      <c r="O76" s="57" t="str">
        <f>'Input - Swine'!$D$87</f>
        <v>Pit storage</v>
      </c>
      <c r="P76" s="52">
        <v>0</v>
      </c>
      <c r="Q76" s="52">
        <v>0</v>
      </c>
      <c r="R76" s="52">
        <v>0</v>
      </c>
      <c r="S76" s="52">
        <v>0</v>
      </c>
      <c r="T76" s="2"/>
    </row>
    <row r="77" spans="4:20" ht="20.100000000000001" customHeight="1" x14ac:dyDescent="0.25">
      <c r="D77" s="57"/>
      <c r="E77" s="57" t="str">
        <f>'Input - Swine'!$D$88</f>
        <v>Direct application</v>
      </c>
      <c r="F77" s="52">
        <v>0</v>
      </c>
      <c r="G77" s="52">
        <v>0</v>
      </c>
      <c r="H77" s="52">
        <v>0</v>
      </c>
      <c r="I77" s="52">
        <v>0</v>
      </c>
      <c r="J77" s="2"/>
      <c r="N77" s="57"/>
      <c r="O77" s="57" t="str">
        <f>'Input - Swine'!$D$88</f>
        <v>Direct application</v>
      </c>
      <c r="P77" s="52">
        <v>0</v>
      </c>
      <c r="Q77" s="52">
        <v>0</v>
      </c>
      <c r="R77" s="52">
        <v>0</v>
      </c>
      <c r="S77" s="52">
        <v>0</v>
      </c>
      <c r="T77" s="2"/>
    </row>
    <row r="78" spans="4:20" ht="20.100000000000001" customHeight="1" x14ac:dyDescent="0.25"/>
    <row r="79" spans="4:20" ht="20.100000000000001" customHeight="1" x14ac:dyDescent="0.25">
      <c r="D79" s="121" t="s">
        <v>304</v>
      </c>
    </row>
    <row r="80" spans="4:20" ht="20.100000000000001" customHeight="1" x14ac:dyDescent="0.25">
      <c r="D80" s="122" t="s">
        <v>305</v>
      </c>
    </row>
    <row r="81" spans="4:7" ht="20.100000000000001" customHeight="1" x14ac:dyDescent="0.25">
      <c r="D81" s="119" t="s">
        <v>163</v>
      </c>
      <c r="E81" s="119" t="s">
        <v>171</v>
      </c>
      <c r="F81" s="119" t="s">
        <v>306</v>
      </c>
    </row>
    <row r="82" spans="4:7" ht="20.100000000000001" customHeight="1" x14ac:dyDescent="0.25">
      <c r="D82" s="57" t="str">
        <f>'Input - Swine'!$D$29</f>
        <v>Anaerobic lagoon</v>
      </c>
      <c r="E82" s="57" t="str">
        <f>'Input - Swine'!$D$48</f>
        <v>Digester / covered lagoons</v>
      </c>
      <c r="F82" s="52">
        <f>'Input - Swine'!K48+'Input - Swine'!L48</f>
        <v>0.75</v>
      </c>
      <c r="G82" s="2" t="str">
        <f>G17</f>
        <v>fraction</v>
      </c>
    </row>
    <row r="83" spans="4:7" ht="20.100000000000001" customHeight="1" x14ac:dyDescent="0.25">
      <c r="D83" s="57"/>
      <c r="E83" s="57" t="str">
        <f>'Input - Swine'!$D$49</f>
        <v>Deep litter</v>
      </c>
      <c r="F83" s="52">
        <f>'Input - Swine'!K49+'Input - Swine'!L49</f>
        <v>0.75</v>
      </c>
      <c r="G83" s="2"/>
    </row>
    <row r="84" spans="4:7" ht="20.100000000000001" customHeight="1" x14ac:dyDescent="0.25">
      <c r="D84" s="57"/>
      <c r="E84" s="57" t="str">
        <f>'Input - Swine'!$D$50</f>
        <v>Pit storage</v>
      </c>
      <c r="F84" s="52">
        <f>'Input - Swine'!K50+'Input - Swine'!L50</f>
        <v>0.75</v>
      </c>
      <c r="G84" s="2"/>
    </row>
    <row r="85" spans="4:7" ht="20.100000000000001" customHeight="1" x14ac:dyDescent="0.25">
      <c r="D85" s="57"/>
      <c r="E85" s="57" t="str">
        <f>'Input - Swine'!$D$51</f>
        <v>Direct application</v>
      </c>
      <c r="F85" s="52">
        <f>'Input - Swine'!K51+'Input - Swine'!L51</f>
        <v>1</v>
      </c>
    </row>
    <row r="86" spans="4:7" ht="20.100000000000001" customHeight="1" x14ac:dyDescent="0.25">
      <c r="D86" s="57" t="str">
        <f>'Input - Swine'!$D$30</f>
        <v>Drylot (feed pad)</v>
      </c>
      <c r="E86" s="57" t="str">
        <f>'Input - Swine'!$D$55</f>
        <v>Anaerobic lagoon</v>
      </c>
      <c r="F86" s="52">
        <f>'Input - Swine'!K55+'Input - Swine'!L55</f>
        <v>0.75</v>
      </c>
      <c r="G86" s="2"/>
    </row>
    <row r="87" spans="4:7" ht="20.100000000000001" customHeight="1" x14ac:dyDescent="0.25">
      <c r="D87" s="57"/>
      <c r="E87" s="57" t="str">
        <f>'Input - Swine'!$D$56</f>
        <v>Digester / covered lagoons</v>
      </c>
      <c r="F87" s="52">
        <f>'Input - Swine'!K56+'Input - Swine'!L56</f>
        <v>0.75</v>
      </c>
      <c r="G87" s="2"/>
    </row>
    <row r="88" spans="4:7" ht="20.100000000000001" customHeight="1" x14ac:dyDescent="0.25">
      <c r="D88" s="57"/>
      <c r="E88" s="57" t="str">
        <f>'Input - Swine'!$D$57</f>
        <v>Deep litter</v>
      </c>
      <c r="F88" s="52">
        <f>'Input - Swine'!K57+'Input - Swine'!L57</f>
        <v>0.75</v>
      </c>
      <c r="G88" s="2"/>
    </row>
    <row r="89" spans="4:7" ht="20.100000000000001" customHeight="1" x14ac:dyDescent="0.25">
      <c r="D89" s="57"/>
      <c r="E89" s="57" t="str">
        <f>'Input - Swine'!$D$58</f>
        <v>Pit storage</v>
      </c>
      <c r="F89" s="52">
        <f>'Input - Swine'!K58+'Input - Swine'!L58</f>
        <v>0.75</v>
      </c>
      <c r="G89" s="2"/>
    </row>
    <row r="90" spans="4:7" ht="20.100000000000001" customHeight="1" x14ac:dyDescent="0.25">
      <c r="D90" s="57"/>
      <c r="E90" s="57" t="str">
        <f>'Input - Swine'!$D$59</f>
        <v>Direct application</v>
      </c>
      <c r="F90" s="52">
        <f>'Input - Swine'!K59+'Input - Swine'!L59</f>
        <v>1</v>
      </c>
    </row>
    <row r="91" spans="4:7" ht="20.100000000000001" customHeight="1" x14ac:dyDescent="0.25">
      <c r="D91" s="57" t="str">
        <f>'Input - Swine'!$D$31</f>
        <v>Digester / covered lagoons</v>
      </c>
      <c r="E91" s="57" t="str">
        <f>'Input - Swine'!$D$63</f>
        <v>Anaerobic lagoon</v>
      </c>
      <c r="F91" s="52">
        <f>'Input - Swine'!K63+'Input - Swine'!L63</f>
        <v>0.75</v>
      </c>
      <c r="G91" s="2"/>
    </row>
    <row r="92" spans="4:7" ht="20.100000000000001" customHeight="1" x14ac:dyDescent="0.25">
      <c r="D92" s="57"/>
      <c r="E92" s="57" t="str">
        <f>'Input - Swine'!$D$64</f>
        <v>Deep litter</v>
      </c>
      <c r="F92" s="52">
        <f>'Input - Swine'!K64+'Input - Swine'!L64</f>
        <v>0.75</v>
      </c>
      <c r="G92" s="2"/>
    </row>
    <row r="93" spans="4:7" ht="20.100000000000001" customHeight="1" x14ac:dyDescent="0.25">
      <c r="D93" s="57"/>
      <c r="E93" s="57" t="str">
        <f>'Input - Swine'!$D$65</f>
        <v>Pit storage</v>
      </c>
      <c r="F93" s="52">
        <f>'Input - Swine'!K65+'Input - Swine'!L65</f>
        <v>0.75</v>
      </c>
      <c r="G93" s="2"/>
    </row>
    <row r="94" spans="4:7" ht="20.100000000000001" customHeight="1" x14ac:dyDescent="0.25">
      <c r="D94" s="57"/>
      <c r="E94" s="57" t="str">
        <f>'Input - Swine'!$D$66</f>
        <v>Direct application</v>
      </c>
      <c r="F94" s="52">
        <f>'Input - Swine'!K66+'Input - Swine'!L66</f>
        <v>1</v>
      </c>
    </row>
    <row r="95" spans="4:7" ht="20.100000000000001" customHeight="1" x14ac:dyDescent="0.25">
      <c r="D95" s="57" t="str">
        <f>'Input - Swine'!$D$32</f>
        <v>Deep litter</v>
      </c>
      <c r="E95" s="57" t="str">
        <f>'Input - Swine'!$D$70</f>
        <v>Anaerobic lagoon</v>
      </c>
      <c r="F95" s="52">
        <f>'Input - Swine'!K70+'Input - Swine'!L70</f>
        <v>0.75</v>
      </c>
      <c r="G95" s="2"/>
    </row>
    <row r="96" spans="4:7" ht="20.100000000000001" customHeight="1" x14ac:dyDescent="0.25">
      <c r="D96" s="57"/>
      <c r="E96" s="57" t="str">
        <f>'Input - Swine'!$D$71</f>
        <v>Digester / covered lagoons</v>
      </c>
      <c r="F96" s="52">
        <f>'Input - Swine'!K71+'Input - Swine'!L71</f>
        <v>0.75</v>
      </c>
      <c r="G96" s="2"/>
    </row>
    <row r="97" spans="4:7" ht="20.100000000000001" customHeight="1" x14ac:dyDescent="0.25">
      <c r="D97" s="57"/>
      <c r="E97" s="57" t="str">
        <f>'Input - Swine'!$D$72</f>
        <v>Pit storage</v>
      </c>
      <c r="F97" s="52">
        <f>'Input - Swine'!K72+'Input - Swine'!L72</f>
        <v>0.75</v>
      </c>
      <c r="G97" s="2"/>
    </row>
    <row r="98" spans="4:7" ht="20.100000000000001" customHeight="1" x14ac:dyDescent="0.25">
      <c r="D98" s="57"/>
      <c r="E98" s="57" t="str">
        <f>'Input - Swine'!$D$73</f>
        <v>Direct application</v>
      </c>
      <c r="F98" s="52">
        <f>'Input - Swine'!K73+'Input - Swine'!L73</f>
        <v>1</v>
      </c>
    </row>
    <row r="99" spans="4:7" ht="20.100000000000001" customHeight="1" x14ac:dyDescent="0.25">
      <c r="D99" s="57" t="str">
        <f>'Input - Swine'!$D$33</f>
        <v>Pit storage</v>
      </c>
      <c r="E99" s="57" t="str">
        <f>'Input - Swine'!$D$77</f>
        <v>Anaerobic lagoon</v>
      </c>
      <c r="F99" s="52">
        <f>'Input - Swine'!K77+'Input - Swine'!L77</f>
        <v>0.75</v>
      </c>
      <c r="G99" s="2"/>
    </row>
    <row r="100" spans="4:7" ht="20.100000000000001" customHeight="1" x14ac:dyDescent="0.25">
      <c r="D100" s="57"/>
      <c r="E100" s="57" t="str">
        <f>'Input - Swine'!$D$78</f>
        <v>Digester / covered lagoons</v>
      </c>
      <c r="F100" s="52">
        <f>'Input - Swine'!K78+'Input - Swine'!L78</f>
        <v>0.75</v>
      </c>
      <c r="G100" s="2"/>
    </row>
    <row r="101" spans="4:7" ht="20.100000000000001" customHeight="1" x14ac:dyDescent="0.25">
      <c r="D101" s="57"/>
      <c r="E101" s="57" t="str">
        <f>'Input - Swine'!$D$79</f>
        <v>Deep litter</v>
      </c>
      <c r="F101" s="52">
        <f>'Input - Swine'!K79+'Input - Swine'!L79</f>
        <v>0.75</v>
      </c>
      <c r="G101" s="2"/>
    </row>
    <row r="102" spans="4:7" ht="20.100000000000001" customHeight="1" x14ac:dyDescent="0.25">
      <c r="D102" s="57"/>
      <c r="E102" s="57" t="str">
        <f>'Input - Swine'!$D$80</f>
        <v>Direct application</v>
      </c>
      <c r="F102" s="52">
        <f>'Input - Swine'!K80+'Input - Swine'!L80</f>
        <v>1</v>
      </c>
    </row>
    <row r="103" spans="4:7" ht="20.100000000000001" customHeight="1" x14ac:dyDescent="0.25">
      <c r="D103" s="57" t="str">
        <f>'Input - Swine'!$D$34</f>
        <v>Solid storage</v>
      </c>
      <c r="E103" s="57" t="str">
        <f>'Input - Swine'!$D$84</f>
        <v>Anaerobic lagoon</v>
      </c>
      <c r="F103" s="52">
        <f>'Input - Swine'!K84+'Input - Swine'!L84</f>
        <v>0.75</v>
      </c>
      <c r="G103" s="2"/>
    </row>
    <row r="104" spans="4:7" ht="20.100000000000001" customHeight="1" x14ac:dyDescent="0.25">
      <c r="D104" s="57"/>
      <c r="E104" s="57" t="str">
        <f>'Input - Swine'!$D$85</f>
        <v>Digester / covered lagoons</v>
      </c>
      <c r="F104" s="52">
        <f>'Input - Swine'!K85+'Input - Swine'!L85</f>
        <v>0.75</v>
      </c>
      <c r="G104" s="2"/>
    </row>
    <row r="105" spans="4:7" ht="20.100000000000001" customHeight="1" x14ac:dyDescent="0.25">
      <c r="D105" s="57"/>
      <c r="E105" s="57" t="str">
        <f>'Input - Swine'!$D$86</f>
        <v>Deep litter</v>
      </c>
      <c r="F105" s="52">
        <f>'Input - Swine'!K86+'Input - Swine'!L86</f>
        <v>0.75</v>
      </c>
      <c r="G105" s="2"/>
    </row>
    <row r="106" spans="4:7" ht="20.100000000000001" customHeight="1" x14ac:dyDescent="0.25">
      <c r="D106" s="57"/>
      <c r="E106" s="57" t="str">
        <f>'Input - Swine'!$D$87</f>
        <v>Pit storage</v>
      </c>
      <c r="F106" s="52">
        <f>'Input - Swine'!K87+'Input - Swine'!L87</f>
        <v>0.75</v>
      </c>
      <c r="G106" s="2"/>
    </row>
    <row r="107" spans="4:7" ht="20.100000000000001" customHeight="1" x14ac:dyDescent="0.25">
      <c r="D107" s="57"/>
      <c r="E107" s="57" t="str">
        <f>'Input - Swine'!$D$88</f>
        <v>Direct application</v>
      </c>
      <c r="F107" s="52">
        <f>'Input - Swine'!K88+'Input - Swine'!L88</f>
        <v>1</v>
      </c>
    </row>
    <row r="108" spans="4:7" ht="20.100000000000001" customHeight="1" x14ac:dyDescent="0.25"/>
    <row r="109" spans="4:7" ht="20.100000000000001" customHeight="1" x14ac:dyDescent="0.25">
      <c r="D109" s="121" t="s">
        <v>307</v>
      </c>
    </row>
    <row r="110" spans="4:7" ht="20.100000000000001" customHeight="1" x14ac:dyDescent="0.25">
      <c r="D110" s="122" t="s">
        <v>308</v>
      </c>
    </row>
    <row r="111" spans="4:7" ht="20.100000000000001" customHeight="1" x14ac:dyDescent="0.25">
      <c r="D111" s="51" t="s">
        <v>163</v>
      </c>
      <c r="E111" s="51" t="s">
        <v>251</v>
      </c>
    </row>
    <row r="112" spans="4:7" ht="20.100000000000001" customHeight="1" x14ac:dyDescent="0.25">
      <c r="D112" s="57" t="str">
        <f>'Input - Swine'!$D$29</f>
        <v>Anaerobic lagoon</v>
      </c>
      <c r="E112" s="52" cm="1">
        <f t="array" ref="E112">Common_InputFunctions.Utility_LookupValueInTableNumber(D112, Table_SourceData_Swine_FracGASM[NIR reference],Table_SourceData_Swine_FracGASM[FracGASMmT])</f>
        <v>0.55000000000000004</v>
      </c>
      <c r="F112" s="2" t="str">
        <f>G15</f>
        <v>(kg NH3-N + NOx-N)/kg N</v>
      </c>
    </row>
    <row r="113" spans="1:6" ht="20.100000000000001" customHeight="1" x14ac:dyDescent="0.25">
      <c r="D113" s="57" t="str">
        <f>'Input - Swine'!$D$30</f>
        <v>Drylot (feed pad)</v>
      </c>
      <c r="E113" s="52" cm="1">
        <f t="array" ref="E113">Common_InputFunctions.Utility_LookupValueInTableNumber(D113, Table_SourceData_Swine_FracGASM[NIR reference],Table_SourceData_Swine_FracGASM[FracGASMmT])</f>
        <v>0.3</v>
      </c>
    </row>
    <row r="114" spans="1:6" ht="20.100000000000001" customHeight="1" x14ac:dyDescent="0.25">
      <c r="D114" s="57" t="str">
        <f>'Input - Swine'!$D$31</f>
        <v>Digester / covered lagoons</v>
      </c>
      <c r="E114" s="52" cm="1">
        <f t="array" ref="E114">Common_InputFunctions.Utility_LookupValueInTableNumber(D114, Table_SourceData_Swine_FracGASM[NIR reference],Table_SourceData_Swine_FracGASM[FracGASMmT])</f>
        <v>0</v>
      </c>
    </row>
    <row r="115" spans="1:6" ht="20.100000000000001" customHeight="1" x14ac:dyDescent="0.25">
      <c r="D115" s="57" t="str">
        <f>'Input - Swine'!$D$32</f>
        <v>Deep litter</v>
      </c>
      <c r="E115" s="52" cm="1">
        <f t="array" ref="E115">Common_InputFunctions.Utility_LookupValueInTableNumber(D115, Table_SourceData_Swine_FracGASM[NIR reference],Table_SourceData_Swine_FracGASM[FracGASMmT])</f>
        <v>0.125</v>
      </c>
    </row>
    <row r="116" spans="1:6" ht="20.100000000000001" customHeight="1" x14ac:dyDescent="0.25">
      <c r="D116" s="57" t="str">
        <f>'Input - Swine'!$D$33</f>
        <v>Pit storage</v>
      </c>
      <c r="E116" s="52" cm="1">
        <f t="array" ref="E116">Common_InputFunctions.Utility_LookupValueInTableNumber(D116, Table_SourceData_Swine_FracGASM[NIR reference],Table_SourceData_Swine_FracGASM[FracGASMmT])</f>
        <v>0.25</v>
      </c>
    </row>
    <row r="117" spans="1:6" ht="20.100000000000001" customHeight="1" x14ac:dyDescent="0.25">
      <c r="D117" s="57" t="str">
        <f>'Input - Swine'!$D$34</f>
        <v>Solid storage</v>
      </c>
      <c r="E117" s="52" cm="1">
        <f t="array" ref="E117">Common_InputFunctions.Utility_LookupValueInTableNumber(D117, Table_SourceData_Swine_FracGASM[NIR reference],Table_SourceData_Swine_FracGASM[FracGASMmT])</f>
        <v>0.2</v>
      </c>
    </row>
    <row r="118" spans="1:6" ht="20.100000000000001" customHeight="1" x14ac:dyDescent="0.25">
      <c r="D118" s="57" t="str">
        <f>'Constants - Swine'!$D$47</f>
        <v>Direct application</v>
      </c>
      <c r="E118" s="52" cm="1">
        <f t="array" ref="E118">Common_InputFunctions.Utility_LookupValueInTableNumber(D118, Table_SourceData_Swine_FracGASM[NIR reference],Table_SourceData_Swine_FracGASM[FracGASMmT])</f>
        <v>0</v>
      </c>
    </row>
    <row r="119" spans="1:6" ht="20.100000000000001" customHeight="1" x14ac:dyDescent="0.25"/>
    <row r="120" spans="1:6" ht="20.100000000000001" customHeight="1" x14ac:dyDescent="0.25">
      <c r="D120" s="121" t="s">
        <v>309</v>
      </c>
    </row>
    <row r="121" spans="1:6" ht="20.100000000000001" customHeight="1" x14ac:dyDescent="0.25">
      <c r="D121" s="122" t="s">
        <v>310</v>
      </c>
    </row>
    <row r="122" spans="1:6" ht="20.100000000000001" customHeight="1" x14ac:dyDescent="0.25">
      <c r="A122" s="150" t="str">
        <f>HYPERLINK("#A1", "▲ Back to top")</f>
        <v>▲ Back to top</v>
      </c>
      <c r="D122" s="51" t="s">
        <v>67</v>
      </c>
      <c r="E122" s="51" t="s">
        <v>254</v>
      </c>
    </row>
    <row r="123" spans="1:6" ht="20.100000000000001" customHeight="1" x14ac:dyDescent="0.25">
      <c r="D123" s="57" t="str">
        <f>'Input - Swine'!$D$29</f>
        <v>Anaerobic lagoon</v>
      </c>
      <c r="E123" s="52" cm="1">
        <f t="array" ref="E123">Common_InputFunctions.Utility_LookupValueInTableNumber(D123, Table_SourceData_Swine_FracGASM28[NIR reference],Table_SourceData_Swine_FracGASM28[EFmT])</f>
        <v>0</v>
      </c>
      <c r="F123" s="2" t="str">
        <f>G14</f>
        <v>kg N2O-N/kg N</v>
      </c>
    </row>
    <row r="124" spans="1:6" ht="20.100000000000001" customHeight="1" x14ac:dyDescent="0.25">
      <c r="D124" s="57" t="str">
        <f>'Input - Swine'!$D$30</f>
        <v>Drylot (feed pad)</v>
      </c>
      <c r="E124" s="52" cm="1">
        <f t="array" ref="E124">Common_InputFunctions.Utility_LookupValueInTableNumber(D124, Table_SourceData_Swine_FracGASM28[NIR reference],Table_SourceData_Swine_FracGASM28[EFmT])</f>
        <v>0.02</v>
      </c>
    </row>
    <row r="125" spans="1:6" ht="20.100000000000001" customHeight="1" x14ac:dyDescent="0.25">
      <c r="D125" s="57" t="str">
        <f>'Input - Swine'!$D$31</f>
        <v>Digester / covered lagoons</v>
      </c>
      <c r="E125" s="52" cm="1">
        <f t="array" ref="E125">Common_InputFunctions.Utility_LookupValueInTableNumber(D125, Table_SourceData_Swine_FracGASM28[NIR reference],Table_SourceData_Swine_FracGASM28[EFmT])</f>
        <v>0</v>
      </c>
    </row>
    <row r="126" spans="1:6" ht="20.100000000000001" customHeight="1" x14ac:dyDescent="0.25">
      <c r="D126" s="57" t="str">
        <f>'Input - Swine'!$D$32</f>
        <v>Deep litter</v>
      </c>
      <c r="E126" s="52" cm="1">
        <f t="array" ref="E126">Common_InputFunctions.Utility_LookupValueInTableNumber(D126, Table_SourceData_Swine_FracGASM28[NIR reference],Table_SourceData_Swine_FracGASM28[EFmT])</f>
        <v>0.01</v>
      </c>
    </row>
    <row r="127" spans="1:6" ht="20.100000000000001" customHeight="1" x14ac:dyDescent="0.25">
      <c r="D127" s="57" t="str">
        <f>'Input - Swine'!$D$33</f>
        <v>Pit storage</v>
      </c>
      <c r="E127" s="52" cm="1">
        <f t="array" ref="E127">Common_InputFunctions.Utility_LookupValueInTableNumber(D127, Table_SourceData_Swine_FracGASM28[NIR reference],Table_SourceData_Swine_FracGASM28[EFmT])</f>
        <v>2E-3</v>
      </c>
    </row>
    <row r="128" spans="1:6" ht="20.100000000000001" customHeight="1" x14ac:dyDescent="0.25">
      <c r="D128" s="57" t="str">
        <f>'Input - Swine'!$D$34</f>
        <v>Solid storage</v>
      </c>
      <c r="E128" s="52" cm="1">
        <f t="array" ref="E128">Common_InputFunctions.Utility_LookupValueInTableNumber(D128, Table_SourceData_Swine_FracGASM28[NIR reference],Table_SourceData_Swine_FracGASM28[EFmT])</f>
        <v>5.0000000000000001E-3</v>
      </c>
    </row>
    <row r="129" spans="4:20" ht="20.100000000000001" customHeight="1" x14ac:dyDescent="0.25">
      <c r="D129" s="57" t="str">
        <f>'Constants - Swine'!$D$47</f>
        <v>Direct application</v>
      </c>
      <c r="E129" s="52"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21" t="s">
        <v>311</v>
      </c>
      <c r="N131" s="121" t="s">
        <v>311</v>
      </c>
    </row>
    <row r="132" spans="4:20" ht="20.100000000000001" customHeight="1" x14ac:dyDescent="0.25">
      <c r="D132" s="122" t="s">
        <v>312</v>
      </c>
      <c r="N132" s="122" t="s">
        <v>312</v>
      </c>
    </row>
    <row r="133" spans="4:20" ht="20.100000000000001" customHeight="1" x14ac:dyDescent="0.25">
      <c r="D133" s="51" t="s">
        <v>163</v>
      </c>
      <c r="E133" s="51" t="s">
        <v>171</v>
      </c>
      <c r="F133" s="51" t="s">
        <v>142</v>
      </c>
      <c r="G133" s="51" t="s">
        <v>143</v>
      </c>
      <c r="H133" s="51" t="s">
        <v>144</v>
      </c>
      <c r="I133" s="51" t="s">
        <v>206</v>
      </c>
      <c r="N133" s="51" t="s">
        <v>163</v>
      </c>
      <c r="O133" s="51" t="s">
        <v>171</v>
      </c>
      <c r="P133" s="51" t="s">
        <v>142</v>
      </c>
      <c r="Q133" s="51" t="s">
        <v>143</v>
      </c>
      <c r="R133" s="51" t="s">
        <v>144</v>
      </c>
      <c r="S133" s="51" t="s">
        <v>206</v>
      </c>
    </row>
    <row r="134" spans="4:20" ht="20.100000000000001" customHeight="1" x14ac:dyDescent="0.25">
      <c r="D134" s="57" t="str">
        <f>'Input - Swine'!$D$29</f>
        <v>Anaerobic lagoon</v>
      </c>
      <c r="E134" s="57" t="str">
        <f>'Input - Swine'!$D$48</f>
        <v>Digester / covered lagoons</v>
      </c>
      <c r="F134" s="52" cm="1">
        <f t="array" ref="F134">MMS_Swine_ManureAppliedToSoils_Equations.VEERG_4_5_1_9__1_MassOfNitrogenAppliedToSoilsScope1(F22,_xlfn.XLOOKUP($E134,$D$123:$D$129,$E$123:$E$129), _xlfn.XLOOKUP($E134,$D$112:$D$118,$E$112:$E$118),F52,$F82)</f>
        <v>13.599899999999996</v>
      </c>
      <c r="G134" s="52" cm="1">
        <f t="array" ref="G134">MMS_Swine_ManureAppliedToSoils_Equations.VEERG_4_5_1_9__1_MassOfNitrogenAppliedToSoilsScope1(G22,_xlfn.XLOOKUP($E134,$D$123:$D$129,$E$123:$E$129), _xlfn.XLOOKUP($E134,$D$112:$D$118,$E$112:$E$118),G52,$F82)</f>
        <v>18.108562500000001</v>
      </c>
      <c r="H134" s="52" cm="1">
        <f t="array" ref="H134">MMS_Swine_ManureAppliedToSoils_Equations.VEERG_4_5_1_9__1_MassOfNitrogenAppliedToSoilsScope1(H22,_xlfn.XLOOKUP($E134,$D$123:$D$129,$E$123:$E$129), _xlfn.XLOOKUP($E134,$D$112:$D$118,$E$112:$E$118),H52,$F82)</f>
        <v>16.999874999999996</v>
      </c>
      <c r="I134" s="52" cm="1">
        <f t="array" ref="I134">MMS_Swine_ManureAppliedToSoils_Equations.VEERG_4_5_1_9__1_MassOfNitrogenAppliedToSoilsScope1(I22,_xlfn.XLOOKUP($E134,$D$123:$D$129,$E$123:$E$129), _xlfn.XLOOKUP($E134,$D$112:$D$118,$E$112:$E$118),I52,$F82)</f>
        <v>11.530349999999997</v>
      </c>
      <c r="J134" s="2" t="str">
        <f>$E$11</f>
        <v>kg N</v>
      </c>
      <c r="N134" s="57" t="str">
        <f>'Input - Swine'!$D$29</f>
        <v>Anaerobic lagoon</v>
      </c>
      <c r="O134" s="57" t="str">
        <f>'Input - Swine'!$D$48</f>
        <v>Digester / covered lagoons</v>
      </c>
      <c r="P134" s="52" cm="1">
        <f t="array" ref="P134">MMS_Swine_ManureAppliedToSoils_Equations.VEERG_4_5_1_9__1_MassOfNitrogenAppliedToSoilsScope1(P22,_xlfn.XLOOKUP($O134,$D$123:$D$129,$E$123:$E$129), _xlfn.XLOOKUP($O134,$D$112:$D$118,$E$112:$E$118),P52,$F82)</f>
        <v>13.599899999999996</v>
      </c>
      <c r="Q134" s="52" cm="1">
        <f t="array" ref="Q134">MMS_Swine_ManureAppliedToSoils_Equations.VEERG_4_5_1_9__1_MassOfNitrogenAppliedToSoilsScope1(Q22,_xlfn.XLOOKUP($O134,$D$123:$D$129,$E$123:$E$129), _xlfn.XLOOKUP($O134,$D$112:$D$118,$E$112:$E$118),Q52,$F82)</f>
        <v>18.108562500000001</v>
      </c>
      <c r="R134" s="52" cm="1">
        <f t="array" ref="R134">MMS_Swine_ManureAppliedToSoils_Equations.VEERG_4_5_1_9__1_MassOfNitrogenAppliedToSoilsScope1(R22,_xlfn.XLOOKUP($O134,$D$123:$D$129,$E$123:$E$129), _xlfn.XLOOKUP($O134,$D$112:$D$118,$E$112:$E$118),R52,$F82)</f>
        <v>16.999874999999996</v>
      </c>
      <c r="S134" s="52" cm="1">
        <f t="array" ref="S134">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7"/>
      <c r="E135" s="57" t="str">
        <f>'Input - Swine'!$D$49</f>
        <v>Deep litter</v>
      </c>
      <c r="F135" s="52" cm="1">
        <f t="array" ref="F135">MMS_Swine_ManureAppliedToSoils_Equations.VEERG_4_5_1_9__1_MassOfNitrogenAppliedToSoilsScope1(F23,_xlfn.XLOOKUP($E135,$D$123:$D$129,$E$123:$E$129), _xlfn.XLOOKUP($E135,$D$112:$D$118,$E$112:$E$118),F53,$F83)</f>
        <v>11.763913499999997</v>
      </c>
      <c r="G135" s="52" cm="1">
        <f t="array" ref="G135">MMS_Swine_ManureAppliedToSoils_Equations.VEERG_4_5_1_9__1_MassOfNitrogenAppliedToSoilsScope1(G23,_xlfn.XLOOKUP($E135,$D$123:$D$129,$E$123:$E$129), _xlfn.XLOOKUP($E135,$D$112:$D$118,$E$112:$E$118),G53,$F83)</f>
        <v>15.663906562499999</v>
      </c>
      <c r="H135" s="52" cm="1">
        <f t="array" ref="H135">MMS_Swine_ManureAppliedToSoils_Equations.VEERG_4_5_1_9__1_MassOfNitrogenAppliedToSoilsScope1(H23,_xlfn.XLOOKUP($E135,$D$123:$D$129,$E$123:$E$129), _xlfn.XLOOKUP($E135,$D$112:$D$118,$E$112:$E$118),H53,$F83)</f>
        <v>14.704891874999994</v>
      </c>
      <c r="I135" s="52" cm="1">
        <f t="array" ref="I135">MMS_Swine_ManureAppliedToSoils_Equations.VEERG_4_5_1_9__1_MassOfNitrogenAppliedToSoilsScope1(I23,_xlfn.XLOOKUP($E135,$D$123:$D$129,$E$123:$E$129), _xlfn.XLOOKUP($E135,$D$112:$D$118,$E$112:$E$118),I53,$F83)</f>
        <v>9.9737527499999974</v>
      </c>
      <c r="J135" s="2"/>
      <c r="N135" s="57"/>
      <c r="O135" s="57" t="str">
        <f>'Input - Swine'!$D$49</f>
        <v>Deep litter</v>
      </c>
      <c r="P135" s="52" cm="1">
        <f t="array" ref="P135">MMS_Swine_ManureAppliedToSoils_Equations.VEERG_4_5_1_9__1_MassOfNitrogenAppliedToSoilsScope1(P23,_xlfn.XLOOKUP($O135,$D$123:$D$129,$E$123:$E$129), _xlfn.XLOOKUP($O135,$D$112:$D$118,$E$112:$E$118),P53,$F83)</f>
        <v>11.763913499999997</v>
      </c>
      <c r="Q135" s="52" cm="1">
        <f t="array" ref="Q135">MMS_Swine_ManureAppliedToSoils_Equations.VEERG_4_5_1_9__1_MassOfNitrogenAppliedToSoilsScope1(Q23,_xlfn.XLOOKUP($O135,$D$123:$D$129,$E$123:$E$129), _xlfn.XLOOKUP($O135,$D$112:$D$118,$E$112:$E$118),Q53,$F83)</f>
        <v>15.663906562499999</v>
      </c>
      <c r="R135" s="52" cm="1">
        <f t="array" ref="R135">MMS_Swine_ManureAppliedToSoils_Equations.VEERG_4_5_1_9__1_MassOfNitrogenAppliedToSoilsScope1(R23,_xlfn.XLOOKUP($O135,$D$123:$D$129,$E$123:$E$129), _xlfn.XLOOKUP($O135,$D$112:$D$118,$E$112:$E$118),R53,$F83)</f>
        <v>14.704891874999994</v>
      </c>
      <c r="S135" s="52" cm="1">
        <f t="array" ref="S135">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7"/>
      <c r="E136" s="57" t="str">
        <f>'Input - Swine'!$D$50</f>
        <v>Pit storage</v>
      </c>
      <c r="F136" s="52" cm="1">
        <f t="array" ref="F136">MMS_Swine_ManureAppliedToSoils_Equations.VEERG_4_5_1_9__1_MassOfNitrogenAppliedToSoilsScope1(F24,_xlfn.XLOOKUP($E136,$D$123:$D$129,$E$123:$E$129), _xlfn.XLOOKUP($E136,$D$112:$D$118,$E$112:$E$118),F54,$F84)</f>
        <v>10.172725199999997</v>
      </c>
      <c r="G136" s="52" cm="1">
        <f t="array" ref="G136">MMS_Swine_ManureAppliedToSoils_Equations.VEERG_4_5_1_9__1_MassOfNitrogenAppliedToSoilsScope1(G24,_xlfn.XLOOKUP($E136,$D$123:$D$129,$E$123:$E$129), _xlfn.XLOOKUP($E136,$D$112:$D$118,$E$112:$E$118),G54,$F84)</f>
        <v>13.545204750000002</v>
      </c>
      <c r="H136" s="52" cm="1">
        <f t="array" ref="H136">MMS_Swine_ManureAppliedToSoils_Equations.VEERG_4_5_1_9__1_MassOfNitrogenAppliedToSoilsScope1(H24,_xlfn.XLOOKUP($E136,$D$123:$D$129,$E$123:$E$129), _xlfn.XLOOKUP($E136,$D$112:$D$118,$E$112:$E$118),H54,$F84)</f>
        <v>12.715906499999996</v>
      </c>
      <c r="I136" s="52" cm="1">
        <f t="array" ref="I136">MMS_Swine_ManureAppliedToSoils_Equations.VEERG_4_5_1_9__1_MassOfNitrogenAppliedToSoilsScope1(I24,_xlfn.XLOOKUP($E136,$D$123:$D$129,$E$123:$E$129), _xlfn.XLOOKUP($E136,$D$112:$D$118,$E$112:$E$118),I54,$F84)</f>
        <v>8.6247017999999969</v>
      </c>
      <c r="J136" s="2"/>
      <c r="N136" s="57"/>
      <c r="O136" s="57" t="str">
        <f>'Input - Swine'!$D$50</f>
        <v>Pit storage</v>
      </c>
      <c r="P136" s="52" cm="1">
        <f t="array" ref="P136">MMS_Swine_ManureAppliedToSoils_Equations.VEERG_4_5_1_9__1_MassOfNitrogenAppliedToSoilsScope1(P24,_xlfn.XLOOKUP($O136,$D$123:$D$129,$E$123:$E$129), _xlfn.XLOOKUP($O136,$D$112:$D$118,$E$112:$E$118),P54,$F84)</f>
        <v>10.172725199999997</v>
      </c>
      <c r="Q136" s="52" cm="1">
        <f t="array" ref="Q136">MMS_Swine_ManureAppliedToSoils_Equations.VEERG_4_5_1_9__1_MassOfNitrogenAppliedToSoilsScope1(Q24,_xlfn.XLOOKUP($O136,$D$123:$D$129,$E$123:$E$129), _xlfn.XLOOKUP($O136,$D$112:$D$118,$E$112:$E$118),Q54,$F84)</f>
        <v>13.545204750000002</v>
      </c>
      <c r="R136" s="52" cm="1">
        <f t="array" ref="R136">MMS_Swine_ManureAppliedToSoils_Equations.VEERG_4_5_1_9__1_MassOfNitrogenAppliedToSoilsScope1(R24,_xlfn.XLOOKUP($O136,$D$123:$D$129,$E$123:$E$129), _xlfn.XLOOKUP($O136,$D$112:$D$118,$E$112:$E$118),R54,$F84)</f>
        <v>12.715906499999996</v>
      </c>
      <c r="S136" s="52" cm="1">
        <f t="array" ref="S136">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7"/>
      <c r="E137" s="57" t="str">
        <f>'Input - Swine'!$D$51</f>
        <v>Direct application</v>
      </c>
      <c r="F137" s="52" cm="1">
        <f t="array" ref="F137">MMS_Swine_ManureAppliedToSoils_Equations.VEERG_4_5_1_9__1_MassOfNitrogenAppliedToSoilsScope1(F25,_xlfn.XLOOKUP($E137,$D$123:$D$129,$E$123:$E$129), _xlfn.XLOOKUP($E137,$D$112:$D$118,$E$112:$E$118),F55,$F85)</f>
        <v>36.266399999999976</v>
      </c>
      <c r="G137" s="52" cm="1">
        <f t="array" ref="G137">MMS_Swine_ManureAppliedToSoils_Equations.VEERG_4_5_1_9__1_MassOfNitrogenAppliedToSoilsScope1(G25,_xlfn.XLOOKUP($E137,$D$123:$D$129,$E$123:$E$129), _xlfn.XLOOKUP($E137,$D$112:$D$118,$E$112:$E$118),G55,$F85)</f>
        <v>24.144750000000002</v>
      </c>
      <c r="H137" s="52" cm="1">
        <f t="array" ref="H137">MMS_Swine_ManureAppliedToSoils_Equations.VEERG_4_5_1_9__1_MassOfNitrogenAppliedToSoilsScope1(H25,_xlfn.XLOOKUP($E137,$D$123:$D$129,$E$123:$E$129), _xlfn.XLOOKUP($E137,$D$112:$D$118,$E$112:$E$118),H55,$F85)</f>
        <v>22.666499999999992</v>
      </c>
      <c r="I137" s="52" cm="1">
        <f t="array" ref="I137">MMS_Swine_ManureAppliedToSoils_Equations.VEERG_4_5_1_9__1_MassOfNitrogenAppliedToSoilsScope1(I25,_xlfn.XLOOKUP($E137,$D$123:$D$129,$E$123:$E$129), _xlfn.XLOOKUP($E137,$D$112:$D$118,$E$112:$E$118),I55,$F85)</f>
        <v>15.373799999999996</v>
      </c>
      <c r="J137" s="2"/>
      <c r="N137" s="57"/>
      <c r="O137" s="57" t="str">
        <f>'Input - Swine'!$D$51</f>
        <v>Direct application</v>
      </c>
      <c r="P137" s="52" cm="1">
        <f t="array" ref="P137">MMS_Swine_ManureAppliedToSoils_Equations.VEERG_4_5_1_9__1_MassOfNitrogenAppliedToSoilsScope1(P25,_xlfn.XLOOKUP($O137,$D$123:$D$129,$E$123:$E$129), _xlfn.XLOOKUP($O137,$D$112:$D$118,$E$112:$E$118),P55,$F85)</f>
        <v>36.266399999999976</v>
      </c>
      <c r="Q137" s="52" cm="1">
        <f t="array" ref="Q137">MMS_Swine_ManureAppliedToSoils_Equations.VEERG_4_5_1_9__1_MassOfNitrogenAppliedToSoilsScope1(Q25,_xlfn.XLOOKUP($O137,$D$123:$D$129,$E$123:$E$129), _xlfn.XLOOKUP($O137,$D$112:$D$118,$E$112:$E$118),Q55,$F85)</f>
        <v>24.144750000000002</v>
      </c>
      <c r="R137" s="52" cm="1">
        <f t="array" ref="R137">MMS_Swine_ManureAppliedToSoils_Equations.VEERG_4_5_1_9__1_MassOfNitrogenAppliedToSoilsScope1(R25,_xlfn.XLOOKUP($O137,$D$123:$D$129,$E$123:$E$129), _xlfn.XLOOKUP($O137,$D$112:$D$118,$E$112:$E$118),R55,$F85)</f>
        <v>22.666499999999992</v>
      </c>
      <c r="S137" s="52" cm="1">
        <f t="array" ref="S137">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7" t="str">
        <f>'Input - Swine'!$D$30</f>
        <v>Drylot (feed pad)</v>
      </c>
      <c r="E138" s="57" t="str">
        <f>'Input - Swine'!$D$55</f>
        <v>Anaerobic lagoon</v>
      </c>
      <c r="F138" s="52" cm="1">
        <f t="array" ref="F138">MMS_Swine_ManureAppliedToSoils_Equations.VEERG_4_5_1_9__1_MassOfNitrogenAppliedToSoilsScope1(F26,_xlfn.XLOOKUP($E138,$D$123:$D$129,$E$123:$E$129), _xlfn.XLOOKUP($E138,$D$112:$D$118,$E$112:$E$118),F56,$F86)</f>
        <v>6.2257319999999963</v>
      </c>
      <c r="G138" s="52" cm="1">
        <f t="array" ref="G138">MMS_Swine_ManureAppliedToSoils_Equations.VEERG_4_5_1_9__1_MassOfNitrogenAppliedToSoilsScope1(G26,_xlfn.XLOOKUP($E138,$D$123:$D$129,$E$123:$E$129), _xlfn.XLOOKUP($E138,$D$112:$D$118,$E$112:$E$118),G56,$F86)</f>
        <v>9.0945225000000001</v>
      </c>
      <c r="H138" s="52" cm="1">
        <f t="array" ref="H138">MMS_Swine_ManureAppliedToSoils_Equations.VEERG_4_5_1_9__1_MassOfNitrogenAppliedToSoilsScope1(H26,_xlfn.XLOOKUP($E138,$D$123:$D$129,$E$123:$E$129), _xlfn.XLOOKUP($E138,$D$112:$D$118,$E$112:$E$118),H56,$F86)</f>
        <v>8.5377149999999951</v>
      </c>
      <c r="I138" s="52" cm="1">
        <f t="array" ref="I138">MMS_Swine_ManureAppliedToSoils_Equations.VEERG_4_5_1_9__1_MassOfNitrogenAppliedToSoilsScope1(I26,_xlfn.XLOOKUP($E138,$D$123:$D$129,$E$123:$E$129), _xlfn.XLOOKUP($E138,$D$112:$D$118,$E$112:$E$118),I56,$F86)</f>
        <v>5.790797999999997</v>
      </c>
      <c r="J138" s="2"/>
      <c r="N138" s="57" t="str">
        <f>'Input - Swine'!$D$30</f>
        <v>Drylot (feed pad)</v>
      </c>
      <c r="O138" s="57" t="str">
        <f>'Input - Swine'!$D$55</f>
        <v>Anaerobic lagoon</v>
      </c>
      <c r="P138" s="52" cm="1">
        <f t="array" ref="P138">MMS_Swine_ManureAppliedToSoils_Equations.VEERG_4_5_1_9__1_MassOfNitrogenAppliedToSoilsScope1(P26,_xlfn.XLOOKUP($O138,$D$123:$D$129,$E$123:$E$129), _xlfn.XLOOKUP($O138,$D$112:$D$118,$E$112:$E$118),P56,$F86)</f>
        <v>6.2257319999999963</v>
      </c>
      <c r="Q138" s="52" cm="1">
        <f t="array" ref="Q138">MMS_Swine_ManureAppliedToSoils_Equations.VEERG_4_5_1_9__1_MassOfNitrogenAppliedToSoilsScope1(Q26,_xlfn.XLOOKUP($O138,$D$123:$D$129,$E$123:$E$129), _xlfn.XLOOKUP($O138,$D$112:$D$118,$E$112:$E$118),Q56,$F86)</f>
        <v>9.0945225000000001</v>
      </c>
      <c r="R138" s="52" cm="1">
        <f t="array" ref="R138">MMS_Swine_ManureAppliedToSoils_Equations.VEERG_4_5_1_9__1_MassOfNitrogenAppliedToSoilsScope1(R26,_xlfn.XLOOKUP($O138,$D$123:$D$129,$E$123:$E$129), _xlfn.XLOOKUP($O138,$D$112:$D$118,$E$112:$E$118),R56,$F86)</f>
        <v>8.5377149999999951</v>
      </c>
      <c r="S138" s="52" cm="1">
        <f t="array" ref="S138">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7"/>
      <c r="E139" s="57" t="str">
        <f>'Input - Swine'!$D$56</f>
        <v>Digester / covered lagoons</v>
      </c>
      <c r="F139" s="52" cm="1">
        <f t="array" ref="F139">MMS_Swine_ManureAppliedToSoils_Equations.VEERG_4_5_1_9__1_MassOfNitrogenAppliedToSoilsScope1(F27,_xlfn.XLOOKUP($E139,$D$123:$D$129,$E$123:$E$129), _xlfn.XLOOKUP($E139,$D$112:$D$118,$E$112:$E$118),F57,$F87)</f>
        <v>17.528759999999995</v>
      </c>
      <c r="G139" s="52" cm="1">
        <f t="array" ref="G139">MMS_Swine_ManureAppliedToSoils_Equations.VEERG_4_5_1_9__1_MassOfNitrogenAppliedToSoilsScope1(G27,_xlfn.XLOOKUP($E139,$D$123:$D$129,$E$123:$E$129), _xlfn.XLOOKUP($E139,$D$112:$D$118,$E$112:$E$118),G57,$F87)</f>
        <v>24.144750000000002</v>
      </c>
      <c r="H139" s="52" cm="1">
        <f t="array" ref="H139">MMS_Swine_ManureAppliedToSoils_Equations.VEERG_4_5_1_9__1_MassOfNitrogenAppliedToSoilsScope1(H27,_xlfn.XLOOKUP($E139,$D$123:$D$129,$E$123:$E$129), _xlfn.XLOOKUP($E139,$D$112:$D$118,$E$112:$E$118),H57,$F87)</f>
        <v>22.666499999999992</v>
      </c>
      <c r="I139" s="52" cm="1">
        <f t="array" ref="I139">MMS_Swine_ManureAppliedToSoils_Equations.VEERG_4_5_1_9__1_MassOfNitrogenAppliedToSoilsScope1(I27,_xlfn.XLOOKUP($E139,$D$123:$D$129,$E$123:$E$129), _xlfn.XLOOKUP($E139,$D$112:$D$118,$E$112:$E$118),I57,$F87)</f>
        <v>15.373799999999996</v>
      </c>
      <c r="J139" s="2"/>
      <c r="N139" s="57"/>
      <c r="O139" s="57" t="str">
        <f>'Input - Swine'!$D$56</f>
        <v>Digester / covered lagoons</v>
      </c>
      <c r="P139" s="52" cm="1">
        <f t="array" ref="P139">MMS_Swine_ManureAppliedToSoils_Equations.VEERG_4_5_1_9__1_MassOfNitrogenAppliedToSoilsScope1(P27,_xlfn.XLOOKUP($O139,$D$123:$D$129,$E$123:$E$129), _xlfn.XLOOKUP($O139,$D$112:$D$118,$E$112:$E$118),P57,$F87)</f>
        <v>17.528759999999995</v>
      </c>
      <c r="Q139" s="52" cm="1">
        <f t="array" ref="Q139">MMS_Swine_ManureAppliedToSoils_Equations.VEERG_4_5_1_9__1_MassOfNitrogenAppliedToSoilsScope1(Q27,_xlfn.XLOOKUP($O139,$D$123:$D$129,$E$123:$E$129), _xlfn.XLOOKUP($O139,$D$112:$D$118,$E$112:$E$118),Q57,$F87)</f>
        <v>24.144750000000002</v>
      </c>
      <c r="R139" s="52" cm="1">
        <f t="array" ref="R139">MMS_Swine_ManureAppliedToSoils_Equations.VEERG_4_5_1_9__1_MassOfNitrogenAppliedToSoilsScope1(R27,_xlfn.XLOOKUP($O139,$D$123:$D$129,$E$123:$E$129), _xlfn.XLOOKUP($O139,$D$112:$D$118,$E$112:$E$118),R57,$F87)</f>
        <v>22.666499999999992</v>
      </c>
      <c r="S139" s="52" cm="1">
        <f t="array" ref="S139">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7"/>
      <c r="E140" s="57" t="str">
        <f>'Input - Swine'!$D$57</f>
        <v>Deep litter</v>
      </c>
      <c r="F140" s="52" cm="1">
        <f t="array" ref="F140">MMS_Swine_ManureAppliedToSoils_Equations.VEERG_4_5_1_9__1_MassOfNitrogenAppliedToSoilsScope1(F28,_xlfn.XLOOKUP($E140,$D$123:$D$129,$E$123:$E$129), _xlfn.XLOOKUP($E140,$D$112:$D$118,$E$112:$E$118),F58,$F88)</f>
        <v>14.754380399999995</v>
      </c>
      <c r="G140" s="52" cm="1">
        <f t="array" ref="G140">MMS_Swine_ManureAppliedToSoils_Equations.VEERG_4_5_1_9__1_MassOfNitrogenAppliedToSoilsScope1(G28,_xlfn.XLOOKUP($E140,$D$123:$D$129,$E$123:$E$129), _xlfn.XLOOKUP($E140,$D$112:$D$118,$E$112:$E$118),G58,$F88)</f>
        <v>20.450603250000004</v>
      </c>
      <c r="H140" s="52" cm="1">
        <f t="array" ref="H140">MMS_Swine_ManureAppliedToSoils_Equations.VEERG_4_5_1_9__1_MassOfNitrogenAppliedToSoilsScope1(H28,_xlfn.XLOOKUP($E140,$D$123:$D$129,$E$123:$E$129), _xlfn.XLOOKUP($E140,$D$112:$D$118,$E$112:$E$118),H58,$F88)</f>
        <v>19.198525499999995</v>
      </c>
      <c r="I140" s="52" cm="1">
        <f t="array" ref="I140">MMS_Swine_ManureAppliedToSoils_Equations.VEERG_4_5_1_9__1_MassOfNitrogenAppliedToSoilsScope1(I28,_xlfn.XLOOKUP($E140,$D$123:$D$129,$E$123:$E$129), _xlfn.XLOOKUP($E140,$D$112:$D$118,$E$112:$E$118),I58,$F88)</f>
        <v>13.021608599999993</v>
      </c>
      <c r="J140" s="2"/>
      <c r="N140" s="57"/>
      <c r="O140" s="57" t="str">
        <f>'Input - Swine'!$D$57</f>
        <v>Deep litter</v>
      </c>
      <c r="P140" s="52" cm="1">
        <f t="array" ref="P140">MMS_Swine_ManureAppliedToSoils_Equations.VEERG_4_5_1_9__1_MassOfNitrogenAppliedToSoilsScope1(P28,_xlfn.XLOOKUP($O140,$D$123:$D$129,$E$123:$E$129), _xlfn.XLOOKUP($O140,$D$112:$D$118,$E$112:$E$118),P58,$F88)</f>
        <v>14.754380399999995</v>
      </c>
      <c r="Q140" s="52" cm="1">
        <f t="array" ref="Q140">MMS_Swine_ManureAppliedToSoils_Equations.VEERG_4_5_1_9__1_MassOfNitrogenAppliedToSoilsScope1(Q28,_xlfn.XLOOKUP($O140,$D$123:$D$129,$E$123:$E$129), _xlfn.XLOOKUP($O140,$D$112:$D$118,$E$112:$E$118),Q58,$F88)</f>
        <v>20.450603250000004</v>
      </c>
      <c r="R140" s="52" cm="1">
        <f t="array" ref="R140">MMS_Swine_ManureAppliedToSoils_Equations.VEERG_4_5_1_9__1_MassOfNitrogenAppliedToSoilsScope1(R28,_xlfn.XLOOKUP($O140,$D$123:$D$129,$E$123:$E$129), _xlfn.XLOOKUP($O140,$D$112:$D$118,$E$112:$E$118),R58,$F88)</f>
        <v>19.198525499999995</v>
      </c>
      <c r="S140" s="52" cm="1">
        <f t="array" ref="S140">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7"/>
      <c r="E141" s="57" t="str">
        <f>'Input - Swine'!$D$58</f>
        <v>Pit storage</v>
      </c>
      <c r="F141" s="52" cm="1">
        <f t="array" ref="F141">MMS_Swine_ManureAppliedToSoils_Equations.VEERG_4_5_1_9__1_MassOfNitrogenAppliedToSoilsScope1(F29,_xlfn.XLOOKUP($E141,$D$123:$D$129,$E$123:$E$129), _xlfn.XLOOKUP($E141,$D$112:$D$118,$E$112:$E$118),F59,$F89)</f>
        <v>12.349918079999997</v>
      </c>
      <c r="G141" s="52" cm="1">
        <f t="array" ref="G141">MMS_Swine_ManureAppliedToSoils_Equations.VEERG_4_5_1_9__1_MassOfNitrogenAppliedToSoilsScope1(G29,_xlfn.XLOOKUP($E141,$D$123:$D$129,$E$123:$E$129), _xlfn.XLOOKUP($E141,$D$112:$D$118,$E$112:$E$118),G59,$F89)</f>
        <v>17.249009400000006</v>
      </c>
      <c r="H141" s="52" cm="1">
        <f t="array" ref="H141">MMS_Swine_ManureAppliedToSoils_Equations.VEERG_4_5_1_9__1_MassOfNitrogenAppliedToSoilsScope1(H29,_xlfn.XLOOKUP($E141,$D$123:$D$129,$E$123:$E$129), _xlfn.XLOOKUP($E141,$D$112:$D$118,$E$112:$E$118),H59,$F89)</f>
        <v>16.192947599999997</v>
      </c>
      <c r="I141" s="52" cm="1">
        <f t="array" ref="I141">MMS_Swine_ManureAppliedToSoils_Equations.VEERG_4_5_1_9__1_MassOfNitrogenAppliedToSoilsScope1(I29,_xlfn.XLOOKUP($E141,$D$123:$D$129,$E$123:$E$129), _xlfn.XLOOKUP($E141,$D$112:$D$118,$E$112:$E$118),I59,$F89)</f>
        <v>10.983042719999995</v>
      </c>
      <c r="J141" s="2"/>
      <c r="N141" s="57"/>
      <c r="O141" s="57" t="str">
        <f>'Input - Swine'!$D$58</f>
        <v>Pit storage</v>
      </c>
      <c r="P141" s="52" cm="1">
        <f t="array" ref="P141">MMS_Swine_ManureAppliedToSoils_Equations.VEERG_4_5_1_9__1_MassOfNitrogenAppliedToSoilsScope1(P29,_xlfn.XLOOKUP($O141,$D$123:$D$129,$E$123:$E$129), _xlfn.XLOOKUP($O141,$D$112:$D$118,$E$112:$E$118),P59,$F89)</f>
        <v>12.349918079999997</v>
      </c>
      <c r="Q141" s="52" cm="1">
        <f t="array" ref="Q141">MMS_Swine_ManureAppliedToSoils_Equations.VEERG_4_5_1_9__1_MassOfNitrogenAppliedToSoilsScope1(Q29,_xlfn.XLOOKUP($O141,$D$123:$D$129,$E$123:$E$129), _xlfn.XLOOKUP($O141,$D$112:$D$118,$E$112:$E$118),Q59,$F89)</f>
        <v>17.249009400000006</v>
      </c>
      <c r="R141" s="52" cm="1">
        <f t="array" ref="R141">MMS_Swine_ManureAppliedToSoils_Equations.VEERG_4_5_1_9__1_MassOfNitrogenAppliedToSoilsScope1(R29,_xlfn.XLOOKUP($O141,$D$123:$D$129,$E$123:$E$129), _xlfn.XLOOKUP($O141,$D$112:$D$118,$E$112:$E$118),R59,$F89)</f>
        <v>16.192947599999997</v>
      </c>
      <c r="S141" s="52" cm="1">
        <f t="array" ref="S14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7"/>
      <c r="E142" s="57" t="str">
        <f>'Input - Swine'!$D$59</f>
        <v>Direct application</v>
      </c>
      <c r="F142" s="52" cm="1">
        <f t="array" ref="F142">MMS_Swine_ManureAppliedToSoils_Equations.VEERG_4_5_1_9__1_MassOfNitrogenAppliedToSoilsScope1(F30,_xlfn.XLOOKUP($E142,$D$123:$D$129,$E$123:$E$129), _xlfn.XLOOKUP($E142,$D$112:$D$118,$E$112:$E$118),F60,$F90)</f>
        <v>27.401279999999986</v>
      </c>
      <c r="G142" s="52" cm="1">
        <f t="array" ref="G142">MMS_Swine_ManureAppliedToSoils_Equations.VEERG_4_5_1_9__1_MassOfNitrogenAppliedToSoilsScope1(G30,_xlfn.XLOOKUP($E142,$D$123:$D$129,$E$123:$E$129), _xlfn.XLOOKUP($E142,$D$112:$D$118,$E$112:$E$118),G60,$F90)</f>
        <v>0</v>
      </c>
      <c r="H142" s="52" cm="1">
        <f t="array" ref="H142">MMS_Swine_ManureAppliedToSoils_Equations.VEERG_4_5_1_9__1_MassOfNitrogenAppliedToSoilsScope1(H30,_xlfn.XLOOKUP($E142,$D$123:$D$129,$E$123:$E$129), _xlfn.XLOOKUP($E142,$D$112:$D$118,$E$112:$E$118),H60,$F90)</f>
        <v>0</v>
      </c>
      <c r="I142" s="52" cm="1">
        <f t="array" ref="I142">MMS_Swine_ManureAppliedToSoils_Equations.VEERG_4_5_1_9__1_MassOfNitrogenAppliedToSoilsScope1(I30,_xlfn.XLOOKUP($E142,$D$123:$D$129,$E$123:$E$129), _xlfn.XLOOKUP($E142,$D$112:$D$118,$E$112:$E$118),I60,$F90)</f>
        <v>0</v>
      </c>
      <c r="J142" s="2"/>
      <c r="N142" s="57"/>
      <c r="O142" s="57" t="str">
        <f>'Input - Swine'!$D$59</f>
        <v>Direct application</v>
      </c>
      <c r="P142" s="52" cm="1">
        <f t="array" ref="P142">MMS_Swine_ManureAppliedToSoils_Equations.VEERG_4_5_1_9__1_MassOfNitrogenAppliedToSoilsScope1(P30,_xlfn.XLOOKUP($O142,$D$123:$D$129,$E$123:$E$129), _xlfn.XLOOKUP($O142,$D$112:$D$118,$E$112:$E$118),P60,$F90)</f>
        <v>27.401279999999986</v>
      </c>
      <c r="Q142" s="52" cm="1">
        <f t="array" ref="Q142">MMS_Swine_ManureAppliedToSoils_Equations.VEERG_4_5_1_9__1_MassOfNitrogenAppliedToSoilsScope1(Q30,_xlfn.XLOOKUP($O142,$D$123:$D$129,$E$123:$E$129), _xlfn.XLOOKUP($O142,$D$112:$D$118,$E$112:$E$118),Q60,$F90)</f>
        <v>0</v>
      </c>
      <c r="R142" s="52" cm="1">
        <f t="array" ref="R142">MMS_Swine_ManureAppliedToSoils_Equations.VEERG_4_5_1_9__1_MassOfNitrogenAppliedToSoilsScope1(R30,_xlfn.XLOOKUP($O142,$D$123:$D$129,$E$123:$E$129), _xlfn.XLOOKUP($O142,$D$112:$D$118,$E$112:$E$118),R60,$F90)</f>
        <v>0</v>
      </c>
      <c r="S142" s="52" cm="1">
        <f t="array" ref="S142">MMS_Swine_ManureAppliedToSoils_Equations.VEERG_4_5_1_9__1_MassOfNitrogenAppliedToSoilsScope1(S30,_xlfn.XLOOKUP($O142,$D$123:$D$129,$E$123:$E$129), _xlfn.XLOOKUP($O142,$D$112:$D$118,$E$112:$E$118),S60,$F90)</f>
        <v>0</v>
      </c>
      <c r="T142" s="2"/>
    </row>
    <row r="143" spans="4:20" ht="20.100000000000001" customHeight="1" x14ac:dyDescent="0.25">
      <c r="D143" s="57" t="str">
        <f>'Input - Swine'!$D$31</f>
        <v>Digester / covered lagoons</v>
      </c>
      <c r="E143" s="57" t="str">
        <f>'Input - Swine'!$D$63</f>
        <v>Anaerobic lagoon</v>
      </c>
      <c r="F143" s="52" cm="1">
        <f t="array" ref="F143">MMS_Swine_ManureAppliedToSoils_Equations.VEERG_4_5_1_9__1_MassOfNitrogenAppliedToSoilsScope1(F31,_xlfn.XLOOKUP($E143,$D$123:$D$129,$E$123:$E$129), _xlfn.XLOOKUP($E143,$D$112:$D$118,$E$112:$E$118),F61,$F91)</f>
        <v>13.599899999999996</v>
      </c>
      <c r="G143" s="52" cm="1">
        <f t="array" ref="G143">MMS_Swine_ManureAppliedToSoils_Equations.VEERG_4_5_1_9__1_MassOfNitrogenAppliedToSoilsScope1(G31,_xlfn.XLOOKUP($E143,$D$123:$D$129,$E$123:$E$129), _xlfn.XLOOKUP($E143,$D$112:$D$118,$E$112:$E$118),G61,$F91)</f>
        <v>18.108562500000001</v>
      </c>
      <c r="H143" s="52" cm="1">
        <f t="array" ref="H143">MMS_Swine_ManureAppliedToSoils_Equations.VEERG_4_5_1_9__1_MassOfNitrogenAppliedToSoilsScope1(H31,_xlfn.XLOOKUP($E143,$D$123:$D$129,$E$123:$E$129), _xlfn.XLOOKUP($E143,$D$112:$D$118,$E$112:$E$118),H61,$F91)</f>
        <v>16.999874999999996</v>
      </c>
      <c r="I143" s="52" cm="1">
        <f t="array" ref="I143">MMS_Swine_ManureAppliedToSoils_Equations.VEERG_4_5_1_9__1_MassOfNitrogenAppliedToSoilsScope1(I31,_xlfn.XLOOKUP($E143,$D$123:$D$129,$E$123:$E$129), _xlfn.XLOOKUP($E143,$D$112:$D$118,$E$112:$E$118),I61,$F91)</f>
        <v>11.530349999999997</v>
      </c>
      <c r="J143" s="2"/>
      <c r="N143" s="57" t="str">
        <f>'Input - Swine'!$D$31</f>
        <v>Digester / covered lagoons</v>
      </c>
      <c r="O143" s="57" t="str">
        <f>'Input - Swine'!$D$63</f>
        <v>Anaerobic lagoon</v>
      </c>
      <c r="P143" s="52" cm="1">
        <f t="array" ref="P143">MMS_Swine_ManureAppliedToSoils_Equations.VEERG_4_5_1_9__1_MassOfNitrogenAppliedToSoilsScope1(P31,_xlfn.XLOOKUP($O143,$D$123:$D$129,$E$123:$E$129), _xlfn.XLOOKUP($O143,$D$112:$D$118,$E$112:$E$118),P61,$F91)</f>
        <v>13.599899999999996</v>
      </c>
      <c r="Q143" s="52" cm="1">
        <f t="array" ref="Q143">MMS_Swine_ManureAppliedToSoils_Equations.VEERG_4_5_1_9__1_MassOfNitrogenAppliedToSoilsScope1(Q31,_xlfn.XLOOKUP($O143,$D$123:$D$129,$E$123:$E$129), _xlfn.XLOOKUP($O143,$D$112:$D$118,$E$112:$E$118),Q61,$F91)</f>
        <v>18.108562500000001</v>
      </c>
      <c r="R143" s="52" cm="1">
        <f t="array" ref="R143">MMS_Swine_ManureAppliedToSoils_Equations.VEERG_4_5_1_9__1_MassOfNitrogenAppliedToSoilsScope1(R31,_xlfn.XLOOKUP($O143,$D$123:$D$129,$E$123:$E$129), _xlfn.XLOOKUP($O143,$D$112:$D$118,$E$112:$E$118),R61,$F91)</f>
        <v>16.999874999999996</v>
      </c>
      <c r="S143" s="52" cm="1">
        <f t="array" ref="S143">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7"/>
      <c r="E144" s="57" t="str">
        <f>'Input - Swine'!$D$64</f>
        <v>Deep litter</v>
      </c>
      <c r="F144" s="52" cm="1">
        <f t="array" ref="F144">MMS_Swine_ManureAppliedToSoils_Equations.VEERG_4_5_1_9__1_MassOfNitrogenAppliedToSoilsScope1(F32,_xlfn.XLOOKUP($E144,$D$123:$D$129,$E$123:$E$129), _xlfn.XLOOKUP($E144,$D$112:$D$118,$E$112:$E$118),F62,$F92)</f>
        <v>26.142029999999995</v>
      </c>
      <c r="G144" s="52" cm="1">
        <f t="array" ref="G144">MMS_Swine_ManureAppliedToSoils_Equations.VEERG_4_5_1_9__1_MassOfNitrogenAppliedToSoilsScope1(G32,_xlfn.XLOOKUP($E144,$D$123:$D$129,$E$123:$E$129), _xlfn.XLOOKUP($E144,$D$112:$D$118,$E$112:$E$118),G62,$F92)</f>
        <v>34.808681250000006</v>
      </c>
      <c r="H144" s="52" cm="1">
        <f t="array" ref="H144">MMS_Swine_ManureAppliedToSoils_Equations.VEERG_4_5_1_9__1_MassOfNitrogenAppliedToSoilsScope1(H32,_xlfn.XLOOKUP($E144,$D$123:$D$129,$E$123:$E$129), _xlfn.XLOOKUP($E144,$D$112:$D$118,$E$112:$E$118),H62,$F92)</f>
        <v>32.677537499999993</v>
      </c>
      <c r="I144" s="52" cm="1">
        <f t="array" ref="I144">MMS_Swine_ManureAppliedToSoils_Equations.VEERG_4_5_1_9__1_MassOfNitrogenAppliedToSoilsScope1(I32,_xlfn.XLOOKUP($E144,$D$123:$D$129,$E$123:$E$129), _xlfn.XLOOKUP($E144,$D$112:$D$118,$E$112:$E$118),I62,$F92)</f>
        <v>22.163894999999997</v>
      </c>
      <c r="J144" s="2"/>
      <c r="N144" s="57"/>
      <c r="O144" s="57" t="str">
        <f>'Input - Swine'!$D$64</f>
        <v>Deep litter</v>
      </c>
      <c r="P144" s="52" cm="1">
        <f t="array" ref="P144">MMS_Swine_ManureAppliedToSoils_Equations.VEERG_4_5_1_9__1_MassOfNitrogenAppliedToSoilsScope1(P32,_xlfn.XLOOKUP($O144,$D$123:$D$129,$E$123:$E$129), _xlfn.XLOOKUP($O144,$D$112:$D$118,$E$112:$E$118),P62,$F92)</f>
        <v>26.142029999999995</v>
      </c>
      <c r="Q144" s="52" cm="1">
        <f t="array" ref="Q144">MMS_Swine_ManureAppliedToSoils_Equations.VEERG_4_5_1_9__1_MassOfNitrogenAppliedToSoilsScope1(Q32,_xlfn.XLOOKUP($O144,$D$123:$D$129,$E$123:$E$129), _xlfn.XLOOKUP($O144,$D$112:$D$118,$E$112:$E$118),Q62,$F92)</f>
        <v>34.808681250000006</v>
      </c>
      <c r="R144" s="52" cm="1">
        <f t="array" ref="R144">MMS_Swine_ManureAppliedToSoils_Equations.VEERG_4_5_1_9__1_MassOfNitrogenAppliedToSoilsScope1(R32,_xlfn.XLOOKUP($O144,$D$123:$D$129,$E$123:$E$129), _xlfn.XLOOKUP($O144,$D$112:$D$118,$E$112:$E$118),R62,$F92)</f>
        <v>32.677537499999993</v>
      </c>
      <c r="S144" s="52" cm="1">
        <f t="array" ref="S144">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7"/>
      <c r="E145" s="57" t="str">
        <f>'Input - Swine'!$D$65</f>
        <v>Pit storage</v>
      </c>
      <c r="F145" s="52" cm="1">
        <f t="array" ref="F145">MMS_Swine_ManureAppliedToSoils_Equations.VEERG_4_5_1_9__1_MassOfNitrogenAppliedToSoilsScope1(F33,_xlfn.XLOOKUP($E145,$D$123:$D$129,$E$123:$E$129), _xlfn.XLOOKUP($E145,$D$112:$D$118,$E$112:$E$118),F63,$F93)</f>
        <v>22.606055999999995</v>
      </c>
      <c r="G145" s="52" cm="1">
        <f t="array" ref="G145">MMS_Swine_ManureAppliedToSoils_Equations.VEERG_4_5_1_9__1_MassOfNitrogenAppliedToSoilsScope1(G33,_xlfn.XLOOKUP($E145,$D$123:$D$129,$E$123:$E$129), _xlfn.XLOOKUP($E145,$D$112:$D$118,$E$112:$E$118),G63,$F93)</f>
        <v>30.100455000000004</v>
      </c>
      <c r="H145" s="52" cm="1">
        <f t="array" ref="H145">MMS_Swine_ManureAppliedToSoils_Equations.VEERG_4_5_1_9__1_MassOfNitrogenAppliedToSoilsScope1(H33,_xlfn.XLOOKUP($E145,$D$123:$D$129,$E$123:$E$129), _xlfn.XLOOKUP($E145,$D$112:$D$118,$E$112:$E$118),H63,$F93)</f>
        <v>28.257569999999994</v>
      </c>
      <c r="I145" s="52" cm="1">
        <f t="array" ref="I145">MMS_Swine_ManureAppliedToSoils_Equations.VEERG_4_5_1_9__1_MassOfNitrogenAppliedToSoilsScope1(I33,_xlfn.XLOOKUP($E145,$D$123:$D$129,$E$123:$E$129), _xlfn.XLOOKUP($E145,$D$112:$D$118,$E$112:$E$118),I63,$F93)</f>
        <v>19.166003999999997</v>
      </c>
      <c r="J145" s="2"/>
      <c r="N145" s="57"/>
      <c r="O145" s="57" t="str">
        <f>'Input - Swine'!$D$65</f>
        <v>Pit storage</v>
      </c>
      <c r="P145" s="52" cm="1">
        <f t="array" ref="P145">MMS_Swine_ManureAppliedToSoils_Equations.VEERG_4_5_1_9__1_MassOfNitrogenAppliedToSoilsScope1(P33,_xlfn.XLOOKUP($O145,$D$123:$D$129,$E$123:$E$129), _xlfn.XLOOKUP($O145,$D$112:$D$118,$E$112:$E$118),P63,$F93)</f>
        <v>22.606055999999995</v>
      </c>
      <c r="Q145" s="52" cm="1">
        <f t="array" ref="Q145">MMS_Swine_ManureAppliedToSoils_Equations.VEERG_4_5_1_9__1_MassOfNitrogenAppliedToSoilsScope1(Q33,_xlfn.XLOOKUP($O145,$D$123:$D$129,$E$123:$E$129), _xlfn.XLOOKUP($O145,$D$112:$D$118,$E$112:$E$118),Q63,$F93)</f>
        <v>30.100455000000004</v>
      </c>
      <c r="R145" s="52" cm="1">
        <f t="array" ref="R145">MMS_Swine_ManureAppliedToSoils_Equations.VEERG_4_5_1_9__1_MassOfNitrogenAppliedToSoilsScope1(R33,_xlfn.XLOOKUP($O145,$D$123:$D$129,$E$123:$E$129), _xlfn.XLOOKUP($O145,$D$112:$D$118,$E$112:$E$118),R63,$F93)</f>
        <v>28.257569999999994</v>
      </c>
      <c r="S145" s="52" cm="1">
        <f t="array" ref="S145">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7"/>
      <c r="E146" s="57" t="str">
        <f>'Input - Swine'!$D$66</f>
        <v>Direct application</v>
      </c>
      <c r="F146" s="52" cm="1">
        <f t="array" ref="F146">MMS_Swine_ManureAppliedToSoils_Equations.VEERG_4_5_1_9__1_MassOfNitrogenAppliedToSoilsScope1(F34,_xlfn.XLOOKUP($E146,$D$123:$D$129,$E$123:$E$129), _xlfn.XLOOKUP($E146,$D$112:$D$118,$E$112:$E$118),F64,$F94)</f>
        <v>80.59199999999997</v>
      </c>
      <c r="G146" s="52" cm="1">
        <f t="array" ref="G146">MMS_Swine_ManureAppliedToSoils_Equations.VEERG_4_5_1_9__1_MassOfNitrogenAppliedToSoilsScope1(G34,_xlfn.XLOOKUP($E146,$D$123:$D$129,$E$123:$E$129), _xlfn.XLOOKUP($E146,$D$112:$D$118,$E$112:$E$118),G64,$F94)</f>
        <v>53.655000000000008</v>
      </c>
      <c r="H146" s="52" cm="1">
        <f t="array" ref="H146">MMS_Swine_ManureAppliedToSoils_Equations.VEERG_4_5_1_9__1_MassOfNitrogenAppliedToSoilsScope1(H34,_xlfn.XLOOKUP($E146,$D$123:$D$129,$E$123:$E$129), _xlfn.XLOOKUP($E146,$D$112:$D$118,$E$112:$E$118),H64,$F94)</f>
        <v>50.36999999999999</v>
      </c>
      <c r="I146" s="52" cm="1">
        <f t="array" ref="I146">MMS_Swine_ManureAppliedToSoils_Equations.VEERG_4_5_1_9__1_MassOfNitrogenAppliedToSoilsScope1(I34,_xlfn.XLOOKUP($E146,$D$123:$D$129,$E$123:$E$129), _xlfn.XLOOKUP($E146,$D$112:$D$118,$E$112:$E$118),I64,$F94)</f>
        <v>34.163999999999994</v>
      </c>
      <c r="J146" s="2"/>
      <c r="N146" s="57"/>
      <c r="O146" s="57" t="str">
        <f>'Input - Swine'!$D$66</f>
        <v>Direct application</v>
      </c>
      <c r="P146" s="52" cm="1">
        <f t="array" ref="P146">MMS_Swine_ManureAppliedToSoils_Equations.VEERG_4_5_1_9__1_MassOfNitrogenAppliedToSoilsScope1(P34,_xlfn.XLOOKUP($O146,$D$123:$D$129,$E$123:$E$129), _xlfn.XLOOKUP($O146,$D$112:$D$118,$E$112:$E$118),P64,$F94)</f>
        <v>80.59199999999997</v>
      </c>
      <c r="Q146" s="52" cm="1">
        <f t="array" ref="Q146">MMS_Swine_ManureAppliedToSoils_Equations.VEERG_4_5_1_9__1_MassOfNitrogenAppliedToSoilsScope1(Q34,_xlfn.XLOOKUP($O146,$D$123:$D$129,$E$123:$E$129), _xlfn.XLOOKUP($O146,$D$112:$D$118,$E$112:$E$118),Q64,$F94)</f>
        <v>53.655000000000008</v>
      </c>
      <c r="R146" s="52" cm="1">
        <f t="array" ref="R146">MMS_Swine_ManureAppliedToSoils_Equations.VEERG_4_5_1_9__1_MassOfNitrogenAppliedToSoilsScope1(R34,_xlfn.XLOOKUP($O146,$D$123:$D$129,$E$123:$E$129), _xlfn.XLOOKUP($O146,$D$112:$D$118,$E$112:$E$118),R64,$F94)</f>
        <v>50.36999999999999</v>
      </c>
      <c r="S146" s="52" cm="1">
        <f t="array" ref="S146">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7" t="str">
        <f>'Input - Swine'!$D$32</f>
        <v>Deep litter</v>
      </c>
      <c r="E147" s="57" t="str">
        <f>'Input - Swine'!$D$70</f>
        <v>Anaerobic lagoon</v>
      </c>
      <c r="F147" s="52" cm="1">
        <f t="array" ref="F147">MMS_Swine_ManureAppliedToSoils_Equations.VEERG_4_5_1_9__1_MassOfNitrogenAppliedToSoilsScope1(F35,_xlfn.XLOOKUP($E147,$D$123:$D$129,$E$123:$E$129), _xlfn.XLOOKUP($E147,$D$112:$D$118,$E$112:$E$118),F65,$F95)</f>
        <v>11.763913499999997</v>
      </c>
      <c r="G147" s="52" cm="1">
        <f t="array" ref="G147">MMS_Swine_ManureAppliedToSoils_Equations.VEERG_4_5_1_9__1_MassOfNitrogenAppliedToSoilsScope1(G35,_xlfn.XLOOKUP($E147,$D$123:$D$129,$E$123:$E$129), _xlfn.XLOOKUP($E147,$D$112:$D$118,$E$112:$E$118),G65,$F95)</f>
        <v>15.663906562499999</v>
      </c>
      <c r="H147" s="52" cm="1">
        <f t="array" ref="H147">MMS_Swine_ManureAppliedToSoils_Equations.VEERG_4_5_1_9__1_MassOfNitrogenAppliedToSoilsScope1(H35,_xlfn.XLOOKUP($E147,$D$123:$D$129,$E$123:$E$129), _xlfn.XLOOKUP($E147,$D$112:$D$118,$E$112:$E$118),H65,$F95)</f>
        <v>14.704891874999994</v>
      </c>
      <c r="I147" s="52" cm="1">
        <f t="array" ref="I147">MMS_Swine_ManureAppliedToSoils_Equations.VEERG_4_5_1_9__1_MassOfNitrogenAppliedToSoilsScope1(I35,_xlfn.XLOOKUP($E147,$D$123:$D$129,$E$123:$E$129), _xlfn.XLOOKUP($E147,$D$112:$D$118,$E$112:$E$118),I65,$F95)</f>
        <v>9.9737527499999974</v>
      </c>
      <c r="J147" s="2"/>
      <c r="N147" s="57" t="str">
        <f>'Input - Swine'!$D$32</f>
        <v>Deep litter</v>
      </c>
      <c r="O147" s="57" t="str">
        <f>'Input - Swine'!$D$70</f>
        <v>Anaerobic lagoon</v>
      </c>
      <c r="P147" s="52" cm="1">
        <f t="array" ref="P147">MMS_Swine_ManureAppliedToSoils_Equations.VEERG_4_5_1_9__1_MassOfNitrogenAppliedToSoilsScope1(P35,_xlfn.XLOOKUP($O147,$D$123:$D$129,$E$123:$E$129), _xlfn.XLOOKUP($O147,$D$112:$D$118,$E$112:$E$118),P65,$F95)</f>
        <v>11.763913499999997</v>
      </c>
      <c r="Q147" s="52" cm="1">
        <f t="array" ref="Q147">MMS_Swine_ManureAppliedToSoils_Equations.VEERG_4_5_1_9__1_MassOfNitrogenAppliedToSoilsScope1(Q35,_xlfn.XLOOKUP($O147,$D$123:$D$129,$E$123:$E$129), _xlfn.XLOOKUP($O147,$D$112:$D$118,$E$112:$E$118),Q65,$F95)</f>
        <v>15.663906562499999</v>
      </c>
      <c r="R147" s="52" cm="1">
        <f t="array" ref="R147">MMS_Swine_ManureAppliedToSoils_Equations.VEERG_4_5_1_9__1_MassOfNitrogenAppliedToSoilsScope1(R35,_xlfn.XLOOKUP($O147,$D$123:$D$129,$E$123:$E$129), _xlfn.XLOOKUP($O147,$D$112:$D$118,$E$112:$E$118),R65,$F95)</f>
        <v>14.704891874999994</v>
      </c>
      <c r="S147" s="52" cm="1">
        <f t="array" ref="S147">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7"/>
      <c r="E148" s="57" t="str">
        <f>'Input - Swine'!$D$71</f>
        <v>Digester / covered lagoons</v>
      </c>
      <c r="F148" s="52" cm="1">
        <f t="array" ref="F148">MMS_Swine_ManureAppliedToSoils_Equations.VEERG_4_5_1_9__1_MassOfNitrogenAppliedToSoilsScope1(F36,_xlfn.XLOOKUP($E148,$D$123:$D$129,$E$123:$E$129), _xlfn.XLOOKUP($E148,$D$112:$D$118,$E$112:$E$118),F66,$F96)</f>
        <v>26.142029999999995</v>
      </c>
      <c r="G148" s="52" cm="1">
        <f t="array" ref="G148">MMS_Swine_ManureAppliedToSoils_Equations.VEERG_4_5_1_9__1_MassOfNitrogenAppliedToSoilsScope1(G36,_xlfn.XLOOKUP($E148,$D$123:$D$129,$E$123:$E$129), _xlfn.XLOOKUP($E148,$D$112:$D$118,$E$112:$E$118),G66,$F96)</f>
        <v>34.808681250000006</v>
      </c>
      <c r="H148" s="52" cm="1">
        <f t="array" ref="H148">MMS_Swine_ManureAppliedToSoils_Equations.VEERG_4_5_1_9__1_MassOfNitrogenAppliedToSoilsScope1(H36,_xlfn.XLOOKUP($E148,$D$123:$D$129,$E$123:$E$129), _xlfn.XLOOKUP($E148,$D$112:$D$118,$E$112:$E$118),H66,$F96)</f>
        <v>32.677537499999993</v>
      </c>
      <c r="I148" s="52" cm="1">
        <f t="array" ref="I148">MMS_Swine_ManureAppliedToSoils_Equations.VEERG_4_5_1_9__1_MassOfNitrogenAppliedToSoilsScope1(I36,_xlfn.XLOOKUP($E148,$D$123:$D$129,$E$123:$E$129), _xlfn.XLOOKUP($E148,$D$112:$D$118,$E$112:$E$118),I66,$F96)</f>
        <v>22.163894999999997</v>
      </c>
      <c r="J148" s="2"/>
      <c r="N148" s="57"/>
      <c r="O148" s="57" t="str">
        <f>'Input - Swine'!$D$71</f>
        <v>Digester / covered lagoons</v>
      </c>
      <c r="P148" s="52" cm="1">
        <f t="array" ref="P148">MMS_Swine_ManureAppliedToSoils_Equations.VEERG_4_5_1_9__1_MassOfNitrogenAppliedToSoilsScope1(P36,_xlfn.XLOOKUP($O148,$D$123:$D$129,$E$123:$E$129), _xlfn.XLOOKUP($O148,$D$112:$D$118,$E$112:$E$118),P66,$F96)</f>
        <v>26.142029999999995</v>
      </c>
      <c r="Q148" s="52" cm="1">
        <f t="array" ref="Q148">MMS_Swine_ManureAppliedToSoils_Equations.VEERG_4_5_1_9__1_MassOfNitrogenAppliedToSoilsScope1(Q36,_xlfn.XLOOKUP($O148,$D$123:$D$129,$E$123:$E$129), _xlfn.XLOOKUP($O148,$D$112:$D$118,$E$112:$E$118),Q66,$F96)</f>
        <v>34.808681250000006</v>
      </c>
      <c r="R148" s="52" cm="1">
        <f t="array" ref="R148">MMS_Swine_ManureAppliedToSoils_Equations.VEERG_4_5_1_9__1_MassOfNitrogenAppliedToSoilsScope1(R36,_xlfn.XLOOKUP($O148,$D$123:$D$129,$E$123:$E$129), _xlfn.XLOOKUP($O148,$D$112:$D$118,$E$112:$E$118),R66,$F96)</f>
        <v>32.677537499999993</v>
      </c>
      <c r="S148" s="52" cm="1">
        <f t="array" ref="S148">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7"/>
      <c r="E149" s="57" t="str">
        <f>'Input - Swine'!$D$72</f>
        <v>Pit storage</v>
      </c>
      <c r="F149" s="52" cm="1">
        <f t="array" ref="F149">MMS_Swine_ManureAppliedToSoils_Equations.VEERG_4_5_1_9__1_MassOfNitrogenAppliedToSoilsScope1(F37,_xlfn.XLOOKUP($E149,$D$123:$D$129,$E$123:$E$129), _xlfn.XLOOKUP($E149,$D$112:$D$118,$E$112:$E$118),F67,$F97)</f>
        <v>19.554238439999999</v>
      </c>
      <c r="G149" s="52" cm="1">
        <f t="array" ref="G149">MMS_Swine_ManureAppliedToSoils_Equations.VEERG_4_5_1_9__1_MassOfNitrogenAppliedToSoilsScope1(G37,_xlfn.XLOOKUP($E149,$D$123:$D$129,$E$123:$E$129), _xlfn.XLOOKUP($E149,$D$112:$D$118,$E$112:$E$118),G67,$F97)</f>
        <v>26.036893575000004</v>
      </c>
      <c r="H149" s="52" cm="1">
        <f t="array" ref="H149">MMS_Swine_ManureAppliedToSoils_Equations.VEERG_4_5_1_9__1_MassOfNitrogenAppliedToSoilsScope1(H37,_xlfn.XLOOKUP($E149,$D$123:$D$129,$E$123:$E$129), _xlfn.XLOOKUP($E149,$D$112:$D$118,$E$112:$E$118),H67,$F97)</f>
        <v>24.442798049999993</v>
      </c>
      <c r="I149" s="52" cm="1">
        <f t="array" ref="I149">MMS_Swine_ManureAppliedToSoils_Equations.VEERG_4_5_1_9__1_MassOfNitrogenAppliedToSoilsScope1(I37,_xlfn.XLOOKUP($E149,$D$123:$D$129,$E$123:$E$129), _xlfn.XLOOKUP($E149,$D$112:$D$118,$E$112:$E$118),I67,$F97)</f>
        <v>16.578593459999997</v>
      </c>
      <c r="J149" s="2"/>
      <c r="N149" s="57"/>
      <c r="O149" s="57" t="str">
        <f>'Input - Swine'!$D$72</f>
        <v>Pit storage</v>
      </c>
      <c r="P149" s="52" cm="1">
        <f t="array" ref="P149">MMS_Swine_ManureAppliedToSoils_Equations.VEERG_4_5_1_9__1_MassOfNitrogenAppliedToSoilsScope1(P37,_xlfn.XLOOKUP($O149,$D$123:$D$129,$E$123:$E$129), _xlfn.XLOOKUP($O149,$D$112:$D$118,$E$112:$E$118),P67,$F97)</f>
        <v>19.554238439999999</v>
      </c>
      <c r="Q149" s="52" cm="1">
        <f t="array" ref="Q149">MMS_Swine_ManureAppliedToSoils_Equations.VEERG_4_5_1_9__1_MassOfNitrogenAppliedToSoilsScope1(Q37,_xlfn.XLOOKUP($O149,$D$123:$D$129,$E$123:$E$129), _xlfn.XLOOKUP($O149,$D$112:$D$118,$E$112:$E$118),Q67,$F97)</f>
        <v>26.036893575000004</v>
      </c>
      <c r="R149" s="52" cm="1">
        <f t="array" ref="R149">MMS_Swine_ManureAppliedToSoils_Equations.VEERG_4_5_1_9__1_MassOfNitrogenAppliedToSoilsScope1(R37,_xlfn.XLOOKUP($O149,$D$123:$D$129,$E$123:$E$129), _xlfn.XLOOKUP($O149,$D$112:$D$118,$E$112:$E$118),R67,$F97)</f>
        <v>24.442798049999993</v>
      </c>
      <c r="S149" s="52" cm="1">
        <f t="array" ref="S149">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7"/>
      <c r="E150" s="57" t="str">
        <f>'Input - Swine'!$D$73</f>
        <v>Direct application</v>
      </c>
      <c r="F150" s="52" cm="1">
        <f t="array" ref="F150">MMS_Swine_ManureAppliedToSoils_Equations.VEERG_4_5_1_9__1_MassOfNitrogenAppliedToSoilsScope1(F38,_xlfn.XLOOKUP($E150,$D$123:$D$129,$E$123:$E$129), _xlfn.XLOOKUP($E150,$D$112:$D$118,$E$112:$E$118),F68,$F98)</f>
        <v>69.712079999999972</v>
      </c>
      <c r="G150" s="52" cm="1">
        <f t="array" ref="G150">MMS_Swine_ManureAppliedToSoils_Equations.VEERG_4_5_1_9__1_MassOfNitrogenAppliedToSoilsScope1(G38,_xlfn.XLOOKUP($E150,$D$123:$D$129,$E$123:$E$129), _xlfn.XLOOKUP($E150,$D$112:$D$118,$E$112:$E$118),G68,$F98)</f>
        <v>46.411575000000006</v>
      </c>
      <c r="H150" s="52" cm="1">
        <f t="array" ref="H150">MMS_Swine_ManureAppliedToSoils_Equations.VEERG_4_5_1_9__1_MassOfNitrogenAppliedToSoilsScope1(H38,_xlfn.XLOOKUP($E150,$D$123:$D$129,$E$123:$E$129), _xlfn.XLOOKUP($E150,$D$112:$D$118,$E$112:$E$118),H68,$F98)</f>
        <v>43.570049999999988</v>
      </c>
      <c r="I150" s="52" cm="1">
        <f t="array" ref="I150">MMS_Swine_ManureAppliedToSoils_Equations.VEERG_4_5_1_9__1_MassOfNitrogenAppliedToSoilsScope1(I38,_xlfn.XLOOKUP($E150,$D$123:$D$129,$E$123:$E$129), _xlfn.XLOOKUP($E150,$D$112:$D$118,$E$112:$E$118),I68,$F98)</f>
        <v>29.551859999999994</v>
      </c>
      <c r="J150" s="2"/>
      <c r="N150" s="57"/>
      <c r="O150" s="57" t="str">
        <f>'Input - Swine'!$D$73</f>
        <v>Direct application</v>
      </c>
      <c r="P150" s="52" cm="1">
        <f t="array" ref="P150">MMS_Swine_ManureAppliedToSoils_Equations.VEERG_4_5_1_9__1_MassOfNitrogenAppliedToSoilsScope1(P38,_xlfn.XLOOKUP($O150,$D$123:$D$129,$E$123:$E$129), _xlfn.XLOOKUP($O150,$D$112:$D$118,$E$112:$E$118),P68,$F98)</f>
        <v>69.712079999999972</v>
      </c>
      <c r="Q150" s="52" cm="1">
        <f t="array" ref="Q150">MMS_Swine_ManureAppliedToSoils_Equations.VEERG_4_5_1_9__1_MassOfNitrogenAppliedToSoilsScope1(Q38,_xlfn.XLOOKUP($O150,$D$123:$D$129,$E$123:$E$129), _xlfn.XLOOKUP($O150,$D$112:$D$118,$E$112:$E$118),Q68,$F98)</f>
        <v>46.411575000000006</v>
      </c>
      <c r="R150" s="52" cm="1">
        <f t="array" ref="R150">MMS_Swine_ManureAppliedToSoils_Equations.VEERG_4_5_1_9__1_MassOfNitrogenAppliedToSoilsScope1(R38,_xlfn.XLOOKUP($O150,$D$123:$D$129,$E$123:$E$129), _xlfn.XLOOKUP($O150,$D$112:$D$118,$E$112:$E$118),R68,$F98)</f>
        <v>43.570049999999988</v>
      </c>
      <c r="S150" s="52" cm="1">
        <f t="array" ref="S150">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7" t="str">
        <f>'Input - Swine'!$D$33</f>
        <v>Pit storage</v>
      </c>
      <c r="E151" s="57" t="str">
        <f>'Input - Swine'!$D$77</f>
        <v>Anaerobic lagoon</v>
      </c>
      <c r="F151" s="52" cm="1">
        <f t="array" ref="F151">MMS_Swine_ManureAppliedToSoils_Equations.VEERG_4_5_1_9__1_MassOfNitrogenAppliedToSoilsScope1(F39,_xlfn.XLOOKUP($E151,$D$123:$D$129,$E$123:$E$129), _xlfn.XLOOKUP($E151,$D$112:$D$118,$E$112:$E$118),F69,$F99)</f>
        <v>10.172725199999999</v>
      </c>
      <c r="G151" s="52" cm="1">
        <f t="array" ref="G151">MMS_Swine_ManureAppliedToSoils_Equations.VEERG_4_5_1_9__1_MassOfNitrogenAppliedToSoilsScope1(G39,_xlfn.XLOOKUP($E151,$D$123:$D$129,$E$123:$E$129), _xlfn.XLOOKUP($E151,$D$112:$D$118,$E$112:$E$118),G69,$F99)</f>
        <v>13.54520475</v>
      </c>
      <c r="H151" s="52" cm="1">
        <f t="array" ref="H151">MMS_Swine_ManureAppliedToSoils_Equations.VEERG_4_5_1_9__1_MassOfNitrogenAppliedToSoilsScope1(H39,_xlfn.XLOOKUP($E151,$D$123:$D$129,$E$123:$E$129), _xlfn.XLOOKUP($E151,$D$112:$D$118,$E$112:$E$118),H69,$F99)</f>
        <v>12.715906499999997</v>
      </c>
      <c r="I151" s="52" cm="1">
        <f t="array" ref="I151">MMS_Swine_ManureAppliedToSoils_Equations.VEERG_4_5_1_9__1_MassOfNitrogenAppliedToSoilsScope1(I39,_xlfn.XLOOKUP($E151,$D$123:$D$129,$E$123:$E$129), _xlfn.XLOOKUP($E151,$D$112:$D$118,$E$112:$E$118),I69,$F99)</f>
        <v>8.6247017999999969</v>
      </c>
      <c r="J151" s="2"/>
      <c r="N151" s="57" t="str">
        <f>'Input - Swine'!$D$33</f>
        <v>Pit storage</v>
      </c>
      <c r="O151" s="57" t="str">
        <f>'Input - Swine'!$D$77</f>
        <v>Anaerobic lagoon</v>
      </c>
      <c r="P151" s="52" cm="1">
        <f t="array" ref="P151">MMS_Swine_ManureAppliedToSoils_Equations.VEERG_4_5_1_9__1_MassOfNitrogenAppliedToSoilsScope1(P39,_xlfn.XLOOKUP($O151,$D$123:$D$129,$E$123:$E$129), _xlfn.XLOOKUP($O151,$D$112:$D$118,$E$112:$E$118),P69,$F99)</f>
        <v>10.172725199999999</v>
      </c>
      <c r="Q151" s="52" cm="1">
        <f t="array" ref="Q151">MMS_Swine_ManureAppliedToSoils_Equations.VEERG_4_5_1_9__1_MassOfNitrogenAppliedToSoilsScope1(Q39,_xlfn.XLOOKUP($O151,$D$123:$D$129,$E$123:$E$129), _xlfn.XLOOKUP($O151,$D$112:$D$118,$E$112:$E$118),Q69,$F99)</f>
        <v>13.54520475</v>
      </c>
      <c r="R151" s="52" cm="1">
        <f t="array" ref="R151">MMS_Swine_ManureAppliedToSoils_Equations.VEERG_4_5_1_9__1_MassOfNitrogenAppliedToSoilsScope1(R39,_xlfn.XLOOKUP($O151,$D$123:$D$129,$E$123:$E$129), _xlfn.XLOOKUP($O151,$D$112:$D$118,$E$112:$E$118),R69,$F99)</f>
        <v>12.715906499999997</v>
      </c>
      <c r="S151" s="52" cm="1">
        <f t="array" ref="S15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7"/>
      <c r="E152" s="57" t="str">
        <f>'Input - Swine'!$D$78</f>
        <v>Digester / covered lagoons</v>
      </c>
      <c r="F152" s="52" cm="1">
        <f t="array" ref="F152">MMS_Swine_ManureAppliedToSoils_Equations.VEERG_4_5_1_9__1_MassOfNitrogenAppliedToSoilsScope1(F40,_xlfn.XLOOKUP($E152,$D$123:$D$129,$E$123:$E$129), _xlfn.XLOOKUP($E152,$D$112:$D$118,$E$112:$E$118),F70,$F100)</f>
        <v>22.606055999999999</v>
      </c>
      <c r="G152" s="52" cm="1">
        <f t="array" ref="G152">MMS_Swine_ManureAppliedToSoils_Equations.VEERG_4_5_1_9__1_MassOfNitrogenAppliedToSoilsScope1(G40,_xlfn.XLOOKUP($E152,$D$123:$D$129,$E$123:$E$129), _xlfn.XLOOKUP($E152,$D$112:$D$118,$E$112:$E$118),G70,$F100)</f>
        <v>30.100455000000004</v>
      </c>
      <c r="H152" s="52" cm="1">
        <f t="array" ref="H152">MMS_Swine_ManureAppliedToSoils_Equations.VEERG_4_5_1_9__1_MassOfNitrogenAppliedToSoilsScope1(H40,_xlfn.XLOOKUP($E152,$D$123:$D$129,$E$123:$E$129), _xlfn.XLOOKUP($E152,$D$112:$D$118,$E$112:$E$118),H70,$F100)</f>
        <v>28.257569999999994</v>
      </c>
      <c r="I152" s="52" cm="1">
        <f t="array" ref="I152">MMS_Swine_ManureAppliedToSoils_Equations.VEERG_4_5_1_9__1_MassOfNitrogenAppliedToSoilsScope1(I40,_xlfn.XLOOKUP($E152,$D$123:$D$129,$E$123:$E$129), _xlfn.XLOOKUP($E152,$D$112:$D$118,$E$112:$E$118),I70,$F100)</f>
        <v>19.166003999999997</v>
      </c>
      <c r="J152" s="2"/>
      <c r="N152" s="57"/>
      <c r="O152" s="57" t="str">
        <f>'Input - Swine'!$D$78</f>
        <v>Digester / covered lagoons</v>
      </c>
      <c r="P152" s="52" cm="1">
        <f t="array" ref="P152">MMS_Swine_ManureAppliedToSoils_Equations.VEERG_4_5_1_9__1_MassOfNitrogenAppliedToSoilsScope1(P40,_xlfn.XLOOKUP($O152,$D$123:$D$129,$E$123:$E$129), _xlfn.XLOOKUP($O152,$D$112:$D$118,$E$112:$E$118),P70,$F100)</f>
        <v>22.606055999999999</v>
      </c>
      <c r="Q152" s="52" cm="1">
        <f t="array" ref="Q152">MMS_Swine_ManureAppliedToSoils_Equations.VEERG_4_5_1_9__1_MassOfNitrogenAppliedToSoilsScope1(Q40,_xlfn.XLOOKUP($O152,$D$123:$D$129,$E$123:$E$129), _xlfn.XLOOKUP($O152,$D$112:$D$118,$E$112:$E$118),Q70,$F100)</f>
        <v>30.100455000000004</v>
      </c>
      <c r="R152" s="52" cm="1">
        <f t="array" ref="R152">MMS_Swine_ManureAppliedToSoils_Equations.VEERG_4_5_1_9__1_MassOfNitrogenAppliedToSoilsScope1(R40,_xlfn.XLOOKUP($O152,$D$123:$D$129,$E$123:$E$129), _xlfn.XLOOKUP($O152,$D$112:$D$118,$E$112:$E$118),R70,$F100)</f>
        <v>28.257569999999994</v>
      </c>
      <c r="S152" s="52" cm="1">
        <f t="array" ref="S152">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7"/>
      <c r="E153" s="57" t="str">
        <f>'Input - Swine'!$D$79</f>
        <v>Deep litter</v>
      </c>
      <c r="F153" s="52" cm="1">
        <f t="array" ref="F153">MMS_Swine_ManureAppliedToSoils_Equations.VEERG_4_5_1_9__1_MassOfNitrogenAppliedToSoilsScope1(F41,_xlfn.XLOOKUP($E153,$D$123:$D$129,$E$123:$E$129), _xlfn.XLOOKUP($E153,$D$112:$D$118,$E$112:$E$118),F71,$F101)</f>
        <v>19.554238439999999</v>
      </c>
      <c r="G153" s="52" cm="1">
        <f t="array" ref="G153">MMS_Swine_ManureAppliedToSoils_Equations.VEERG_4_5_1_9__1_MassOfNitrogenAppliedToSoilsScope1(G41,_xlfn.XLOOKUP($E153,$D$123:$D$129,$E$123:$E$129), _xlfn.XLOOKUP($E153,$D$112:$D$118,$E$112:$E$118),G71,$F101)</f>
        <v>26.036893575000001</v>
      </c>
      <c r="H153" s="52" cm="1">
        <f t="array" ref="H153">MMS_Swine_ManureAppliedToSoils_Equations.VEERG_4_5_1_9__1_MassOfNitrogenAppliedToSoilsScope1(H41,_xlfn.XLOOKUP($E153,$D$123:$D$129,$E$123:$E$129), _xlfn.XLOOKUP($E153,$D$112:$D$118,$E$112:$E$118),H71,$F101)</f>
        <v>24.442798049999993</v>
      </c>
      <c r="I153" s="52" cm="1">
        <f t="array" ref="I153">MMS_Swine_ManureAppliedToSoils_Equations.VEERG_4_5_1_9__1_MassOfNitrogenAppliedToSoilsScope1(I41,_xlfn.XLOOKUP($E153,$D$123:$D$129,$E$123:$E$129), _xlfn.XLOOKUP($E153,$D$112:$D$118,$E$112:$E$118),I71,$F101)</f>
        <v>16.578593459999997</v>
      </c>
      <c r="J153" s="2"/>
      <c r="N153" s="57"/>
      <c r="O153" s="57" t="str">
        <f>'Input - Swine'!$D$79</f>
        <v>Deep litter</v>
      </c>
      <c r="P153" s="52" cm="1">
        <f t="array" ref="P153">MMS_Swine_ManureAppliedToSoils_Equations.VEERG_4_5_1_9__1_MassOfNitrogenAppliedToSoilsScope1(P41,_xlfn.XLOOKUP($O153,$D$123:$D$129,$E$123:$E$129), _xlfn.XLOOKUP($O153,$D$112:$D$118,$E$112:$E$118),P71,$F101)</f>
        <v>19.554238439999999</v>
      </c>
      <c r="Q153" s="52" cm="1">
        <f t="array" ref="Q153">MMS_Swine_ManureAppliedToSoils_Equations.VEERG_4_5_1_9__1_MassOfNitrogenAppliedToSoilsScope1(Q41,_xlfn.XLOOKUP($O153,$D$123:$D$129,$E$123:$E$129), _xlfn.XLOOKUP($O153,$D$112:$D$118,$E$112:$E$118),Q71,$F101)</f>
        <v>26.036893575000001</v>
      </c>
      <c r="R153" s="52" cm="1">
        <f t="array" ref="R153">MMS_Swine_ManureAppliedToSoils_Equations.VEERG_4_5_1_9__1_MassOfNitrogenAppliedToSoilsScope1(R41,_xlfn.XLOOKUP($O153,$D$123:$D$129,$E$123:$E$129), _xlfn.XLOOKUP($O153,$D$112:$D$118,$E$112:$E$118),R71,$F101)</f>
        <v>24.442798049999993</v>
      </c>
      <c r="S153" s="52" cm="1">
        <f t="array" ref="S153">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7"/>
      <c r="E154" s="57" t="str">
        <f>'Input - Swine'!$D$80</f>
        <v>Direct application</v>
      </c>
      <c r="F154" s="52" cm="1">
        <f t="array" ref="F154">MMS_Swine_ManureAppliedToSoils_Equations.VEERG_4_5_1_9__1_MassOfNitrogenAppliedToSoilsScope1(F42,_xlfn.XLOOKUP($E154,$D$123:$D$129,$E$123:$E$129), _xlfn.XLOOKUP($E154,$D$112:$D$118,$E$112:$E$118),F72,$F102)</f>
        <v>60.282815999999976</v>
      </c>
      <c r="G154" s="52" cm="1">
        <f t="array" ref="G154">MMS_Swine_ManureAppliedToSoils_Equations.VEERG_4_5_1_9__1_MassOfNitrogenAppliedToSoilsScope1(G42,_xlfn.XLOOKUP($E154,$D$123:$D$129,$E$123:$E$129), _xlfn.XLOOKUP($E154,$D$112:$D$118,$E$112:$E$118),G72,$F102)</f>
        <v>40.133940000000003</v>
      </c>
      <c r="H154" s="52" cm="1">
        <f t="array" ref="H154">MMS_Swine_ManureAppliedToSoils_Equations.VEERG_4_5_1_9__1_MassOfNitrogenAppliedToSoilsScope1(H42,_xlfn.XLOOKUP($E154,$D$123:$D$129,$E$123:$E$129), _xlfn.XLOOKUP($E154,$D$112:$D$118,$E$112:$E$118),H72,$F102)</f>
        <v>37.676759999999994</v>
      </c>
      <c r="I154" s="52" cm="1">
        <f t="array" ref="I154">MMS_Swine_ManureAppliedToSoils_Equations.VEERG_4_5_1_9__1_MassOfNitrogenAppliedToSoilsScope1(I42,_xlfn.XLOOKUP($E154,$D$123:$D$129,$E$123:$E$129), _xlfn.XLOOKUP($E154,$D$112:$D$118,$E$112:$E$118),I72,$F102)</f>
        <v>25.554671999999997</v>
      </c>
      <c r="J154" s="2"/>
      <c r="N154" s="57"/>
      <c r="O154" s="57" t="str">
        <f>'Input - Swine'!$D$80</f>
        <v>Direct application</v>
      </c>
      <c r="P154" s="52" cm="1">
        <f t="array" ref="P154">MMS_Swine_ManureAppliedToSoils_Equations.VEERG_4_5_1_9__1_MassOfNitrogenAppliedToSoilsScope1(P42,_xlfn.XLOOKUP($O154,$D$123:$D$129,$E$123:$E$129), _xlfn.XLOOKUP($O154,$D$112:$D$118,$E$112:$E$118),P72,$F102)</f>
        <v>60.282815999999976</v>
      </c>
      <c r="Q154" s="52" cm="1">
        <f t="array" ref="Q154">MMS_Swine_ManureAppliedToSoils_Equations.VEERG_4_5_1_9__1_MassOfNitrogenAppliedToSoilsScope1(Q42,_xlfn.XLOOKUP($O154,$D$123:$D$129,$E$123:$E$129), _xlfn.XLOOKUP($O154,$D$112:$D$118,$E$112:$E$118),Q72,$F102)</f>
        <v>40.133940000000003</v>
      </c>
      <c r="R154" s="52" cm="1">
        <f t="array" ref="R154">MMS_Swine_ManureAppliedToSoils_Equations.VEERG_4_5_1_9__1_MassOfNitrogenAppliedToSoilsScope1(R42,_xlfn.XLOOKUP($O154,$D$123:$D$129,$E$123:$E$129), _xlfn.XLOOKUP($O154,$D$112:$D$118,$E$112:$E$118),R72,$F102)</f>
        <v>37.676759999999994</v>
      </c>
      <c r="S154" s="52" cm="1">
        <f t="array" ref="S154">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7" t="str">
        <f>'Input - Swine'!$D$34</f>
        <v>Solid storage</v>
      </c>
      <c r="E155" s="57" t="str">
        <f>'Input - Swine'!$D$84</f>
        <v>Anaerobic lagoon</v>
      </c>
      <c r="F155" s="52" cm="1">
        <f t="array" ref="F155">MMS_Swine_ManureAppliedToSoils_Equations.VEERG_4_5_1_9__1_MassOfNitrogenAppliedToSoilsScope1(F43,_xlfn.XLOOKUP($E155,$D$123:$D$129,$E$123:$E$129), _xlfn.XLOOKUP($E155,$D$112:$D$118,$E$112:$E$118),F73,$F103)</f>
        <v>36.039735000000007</v>
      </c>
      <c r="G155" s="52" cm="1">
        <f t="array" ref="G155">MMS_Swine_ManureAppliedToSoils_Equations.VEERG_4_5_1_9__1_MassOfNitrogenAppliedToSoilsScope1(G43,_xlfn.XLOOKUP($E155,$D$123:$D$129,$E$123:$E$129), _xlfn.XLOOKUP($E155,$D$112:$D$118,$E$112:$E$118),G73,$F103)</f>
        <v>38.390152500000021</v>
      </c>
      <c r="H155" s="52" cm="1">
        <f t="array" ref="H155">MMS_Swine_ManureAppliedToSoils_Equations.VEERG_4_5_1_9__1_MassOfNitrogenAppliedToSoilsScope1(H43,_xlfn.XLOOKUP($E155,$D$123:$D$129,$E$123:$E$129), _xlfn.XLOOKUP($E155,$D$112:$D$118,$E$112:$E$118),H73,$F103)</f>
        <v>36.039735000000007</v>
      </c>
      <c r="I155" s="52" cm="1">
        <f t="array" ref="I155">MMS_Swine_ManureAppliedToSoils_Equations.VEERG_4_5_1_9__1_MassOfNitrogenAppliedToSoilsScope1(I43,_xlfn.XLOOKUP($E155,$D$123:$D$129,$E$123:$E$129), _xlfn.XLOOKUP($E155,$D$112:$D$118,$E$112:$E$118),I73,$F103)</f>
        <v>24.44434200000001</v>
      </c>
      <c r="J155" s="2"/>
      <c r="N155" s="57" t="str">
        <f>'Input - Swine'!$D$34</f>
        <v>Solid storage</v>
      </c>
      <c r="O155" s="57" t="str">
        <f>'Input - Swine'!$D$84</f>
        <v>Anaerobic lagoon</v>
      </c>
      <c r="P155" s="52" cm="1">
        <f t="array" ref="P155">MMS_Swine_ManureAppliedToSoils_Equations.VEERG_4_5_1_9__1_MassOfNitrogenAppliedToSoilsScope1(P43,_xlfn.XLOOKUP($O155,$D$123:$D$129,$E$123:$E$129), _xlfn.XLOOKUP($O155,$D$112:$D$118,$E$112:$E$118),P73,$F103)</f>
        <v>36.039735000000007</v>
      </c>
      <c r="Q155" s="52" cm="1">
        <f t="array" ref="Q155">MMS_Swine_ManureAppliedToSoils_Equations.VEERG_4_5_1_9__1_MassOfNitrogenAppliedToSoilsScope1(Q43,_xlfn.XLOOKUP($O155,$D$123:$D$129,$E$123:$E$129), _xlfn.XLOOKUP($O155,$D$112:$D$118,$E$112:$E$118),Q73,$F103)</f>
        <v>38.390152500000021</v>
      </c>
      <c r="R155" s="52" cm="1">
        <f t="array" ref="R155">MMS_Swine_ManureAppliedToSoils_Equations.VEERG_4_5_1_9__1_MassOfNitrogenAppliedToSoilsScope1(R43,_xlfn.XLOOKUP($O155,$D$123:$D$129,$E$123:$E$129), _xlfn.XLOOKUP($O155,$D$112:$D$118,$E$112:$E$118),R73,$F103)</f>
        <v>36.039735000000007</v>
      </c>
      <c r="S155" s="52" cm="1">
        <f t="array" ref="S155">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7"/>
      <c r="E156" s="57" t="str">
        <f>'Input - Swine'!$D$85</f>
        <v>Digester / covered lagoons</v>
      </c>
      <c r="F156" s="52" cm="1">
        <f t="array" ref="F156">MMS_Swine_ManureAppliedToSoils_Equations.VEERG_4_5_1_9__1_MassOfNitrogenAppliedToSoilsScope1(F44,_xlfn.XLOOKUP($E156,$D$123:$D$129,$E$123:$E$129), _xlfn.XLOOKUP($E156,$D$112:$D$118,$E$112:$E$118),F74,$F104)</f>
        <v>80.088300000000032</v>
      </c>
      <c r="G156" s="52" cm="1">
        <f t="array" ref="G156">MMS_Swine_ManureAppliedToSoils_Equations.VEERG_4_5_1_9__1_MassOfNitrogenAppliedToSoilsScope1(G44,_xlfn.XLOOKUP($E156,$D$123:$D$129,$E$123:$E$129), _xlfn.XLOOKUP($E156,$D$112:$D$118,$E$112:$E$118),G74,$F104)</f>
        <v>85.31145000000005</v>
      </c>
      <c r="H156" s="52" cm="1">
        <f t="array" ref="H156">MMS_Swine_ManureAppliedToSoils_Equations.VEERG_4_5_1_9__1_MassOfNitrogenAppliedToSoilsScope1(H44,_xlfn.XLOOKUP($E156,$D$123:$D$129,$E$123:$E$129), _xlfn.XLOOKUP($E156,$D$112:$D$118,$E$112:$E$118),H74,$F104)</f>
        <v>80.088300000000032</v>
      </c>
      <c r="I156" s="52" cm="1">
        <f t="array" ref="I156">MMS_Swine_ManureAppliedToSoils_Equations.VEERG_4_5_1_9__1_MassOfNitrogenAppliedToSoilsScope1(I44,_xlfn.XLOOKUP($E156,$D$123:$D$129,$E$123:$E$129), _xlfn.XLOOKUP($E156,$D$112:$D$118,$E$112:$E$118),I74,$F104)</f>
        <v>54.320760000000028</v>
      </c>
      <c r="J156" s="2"/>
      <c r="N156" s="57"/>
      <c r="O156" s="57" t="str">
        <f>'Input - Swine'!$D$85</f>
        <v>Digester / covered lagoons</v>
      </c>
      <c r="P156" s="52" cm="1">
        <f t="array" ref="P156">MMS_Swine_ManureAppliedToSoils_Equations.VEERG_4_5_1_9__1_MassOfNitrogenAppliedToSoilsScope1(P44,_xlfn.XLOOKUP($O156,$D$123:$D$129,$E$123:$E$129), _xlfn.XLOOKUP($O156,$D$112:$D$118,$E$112:$E$118),P74,$F104)</f>
        <v>80.088300000000032</v>
      </c>
      <c r="Q156" s="52" cm="1">
        <f t="array" ref="Q156">MMS_Swine_ManureAppliedToSoils_Equations.VEERG_4_5_1_9__1_MassOfNitrogenAppliedToSoilsScope1(Q44,_xlfn.XLOOKUP($O156,$D$123:$D$129,$E$123:$E$129), _xlfn.XLOOKUP($O156,$D$112:$D$118,$E$112:$E$118),Q74,$F104)</f>
        <v>85.31145000000005</v>
      </c>
      <c r="R156" s="52" cm="1">
        <f t="array" ref="R156">MMS_Swine_ManureAppliedToSoils_Equations.VEERG_4_5_1_9__1_MassOfNitrogenAppliedToSoilsScope1(R44,_xlfn.XLOOKUP($O156,$D$123:$D$129,$E$123:$E$129), _xlfn.XLOOKUP($O156,$D$112:$D$118,$E$112:$E$118),R74,$F104)</f>
        <v>80.088300000000032</v>
      </c>
      <c r="S156" s="52" cm="1">
        <f t="array" ref="S156">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7"/>
      <c r="E157" s="57" t="str">
        <f>'Input - Swine'!$D$86</f>
        <v>Deep litter</v>
      </c>
      <c r="F157" s="52" cm="1">
        <f t="array" ref="F157">MMS_Swine_ManureAppliedToSoils_Equations.VEERG_4_5_1_9__1_MassOfNitrogenAppliedToSoilsScope1(F45,_xlfn.XLOOKUP($E157,$D$123:$D$129,$E$123:$E$129), _xlfn.XLOOKUP($E157,$D$112:$D$118,$E$112:$E$118),F75,$F105)</f>
        <v>69.276379500000019</v>
      </c>
      <c r="G157" s="52" cm="1">
        <f t="array" ref="G157">MMS_Swine_ManureAppliedToSoils_Equations.VEERG_4_5_1_9__1_MassOfNitrogenAppliedToSoilsScope1(G45,_xlfn.XLOOKUP($E157,$D$123:$D$129,$E$123:$E$129), _xlfn.XLOOKUP($E157,$D$112:$D$118,$E$112:$E$118),G75,$F105)</f>
        <v>73.794404250000042</v>
      </c>
      <c r="H157" s="52" cm="1">
        <f t="array" ref="H157">MMS_Swine_ManureAppliedToSoils_Equations.VEERG_4_5_1_9__1_MassOfNitrogenAppliedToSoilsScope1(H45,_xlfn.XLOOKUP($E157,$D$123:$D$129,$E$123:$E$129), _xlfn.XLOOKUP($E157,$D$112:$D$118,$E$112:$E$118),H75,$F105)</f>
        <v>69.276379500000019</v>
      </c>
      <c r="I157" s="52" cm="1">
        <f t="array" ref="I157">MMS_Swine_ManureAppliedToSoils_Equations.VEERG_4_5_1_9__1_MassOfNitrogenAppliedToSoilsScope1(I45,_xlfn.XLOOKUP($E157,$D$123:$D$129,$E$123:$E$129), _xlfn.XLOOKUP($E157,$D$112:$D$118,$E$112:$E$118),I75,$F105)</f>
        <v>46.987457400000025</v>
      </c>
      <c r="J157" s="2"/>
      <c r="N157" s="57"/>
      <c r="O157" s="57" t="str">
        <f>'Input - Swine'!$D$86</f>
        <v>Deep litter</v>
      </c>
      <c r="P157" s="52" cm="1">
        <f t="array" ref="P157">MMS_Swine_ManureAppliedToSoils_Equations.VEERG_4_5_1_9__1_MassOfNitrogenAppliedToSoilsScope1(P45,_xlfn.XLOOKUP($O157,$D$123:$D$129,$E$123:$E$129), _xlfn.XLOOKUP($O157,$D$112:$D$118,$E$112:$E$118),P75,$F105)</f>
        <v>69.276379500000019</v>
      </c>
      <c r="Q157" s="52" cm="1">
        <f t="array" ref="Q157">MMS_Swine_ManureAppliedToSoils_Equations.VEERG_4_5_1_9__1_MassOfNitrogenAppliedToSoilsScope1(Q45,_xlfn.XLOOKUP($O157,$D$123:$D$129,$E$123:$E$129), _xlfn.XLOOKUP($O157,$D$112:$D$118,$E$112:$E$118),Q75,$F105)</f>
        <v>73.794404250000042</v>
      </c>
      <c r="R157" s="52" cm="1">
        <f t="array" ref="R157">MMS_Swine_ManureAppliedToSoils_Equations.VEERG_4_5_1_9__1_MassOfNitrogenAppliedToSoilsScope1(R45,_xlfn.XLOOKUP($O157,$D$123:$D$129,$E$123:$E$129), _xlfn.XLOOKUP($O157,$D$112:$D$118,$E$112:$E$118),R75,$F105)</f>
        <v>69.276379500000019</v>
      </c>
      <c r="S157" s="52" cm="1">
        <f t="array" ref="S157">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7"/>
      <c r="E158" s="57" t="str">
        <f>'Input - Swine'!$D$87</f>
        <v>Pit storage</v>
      </c>
      <c r="F158" s="52" cm="1">
        <f t="array" ref="F158">MMS_Swine_ManureAppliedToSoils_Equations.VEERG_4_5_1_9__1_MassOfNitrogenAppliedToSoilsScope1(F46,_xlfn.XLOOKUP($E158,$D$123:$D$129,$E$123:$E$129), _xlfn.XLOOKUP($E158,$D$112:$D$118,$E$112:$E$118),F76,$F106)</f>
        <v>29.953024200000009</v>
      </c>
      <c r="G158" s="52" cm="1">
        <f t="array" ref="G158">MMS_Swine_ManureAppliedToSoils_Equations.VEERG_4_5_1_9__1_MassOfNitrogenAppliedToSoilsScope1(G46,_xlfn.XLOOKUP($E158,$D$123:$D$129,$E$123:$E$129), _xlfn.XLOOKUP($E158,$D$112:$D$118,$E$112:$E$118),G76,$F106)</f>
        <v>31.906482300000018</v>
      </c>
      <c r="H158" s="52" cm="1">
        <f t="array" ref="H158">MMS_Swine_ManureAppliedToSoils_Equations.VEERG_4_5_1_9__1_MassOfNitrogenAppliedToSoilsScope1(H46,_xlfn.XLOOKUP($E158,$D$123:$D$129,$E$123:$E$129), _xlfn.XLOOKUP($E158,$D$112:$D$118,$E$112:$E$118),H76,$F106)</f>
        <v>29.953024200000009</v>
      </c>
      <c r="I158" s="52" cm="1">
        <f t="array" ref="I158">MMS_Swine_ManureAppliedToSoils_Equations.VEERG_4_5_1_9__1_MassOfNitrogenAppliedToSoilsScope1(I46,_xlfn.XLOOKUP($E158,$D$123:$D$129,$E$123:$E$129), _xlfn.XLOOKUP($E158,$D$112:$D$118,$E$112:$E$118),I76,$F106)</f>
        <v>20.31596424000001</v>
      </c>
      <c r="J158" s="2"/>
      <c r="N158" s="57"/>
      <c r="O158" s="57" t="str">
        <f>'Input - Swine'!$D$87</f>
        <v>Pit storage</v>
      </c>
      <c r="P158" s="52" cm="1">
        <f t="array" ref="P158">MMS_Swine_ManureAppliedToSoils_Equations.VEERG_4_5_1_9__1_MassOfNitrogenAppliedToSoilsScope1(P46,_xlfn.XLOOKUP($O158,$D$123:$D$129,$E$123:$E$129), _xlfn.XLOOKUP($O158,$D$112:$D$118,$E$112:$E$118),P76,$F106)</f>
        <v>29.953024200000009</v>
      </c>
      <c r="Q158" s="52" cm="1">
        <f t="array" ref="Q158">MMS_Swine_ManureAppliedToSoils_Equations.VEERG_4_5_1_9__1_MassOfNitrogenAppliedToSoilsScope1(Q46,_xlfn.XLOOKUP($O158,$D$123:$D$129,$E$123:$E$129), _xlfn.XLOOKUP($O158,$D$112:$D$118,$E$112:$E$118),Q76,$F106)</f>
        <v>31.906482300000018</v>
      </c>
      <c r="R158" s="52" cm="1">
        <f t="array" ref="R158">MMS_Swine_ManureAppliedToSoils_Equations.VEERG_4_5_1_9__1_MassOfNitrogenAppliedToSoilsScope1(R46,_xlfn.XLOOKUP($O158,$D$123:$D$129,$E$123:$E$129), _xlfn.XLOOKUP($O158,$D$112:$D$118,$E$112:$E$118),R76,$F106)</f>
        <v>29.953024200000009</v>
      </c>
      <c r="S158" s="52" cm="1">
        <f t="array" ref="S158">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7"/>
      <c r="E159" s="57" t="str">
        <f>'Input - Swine'!$D$88</f>
        <v>Direct application</v>
      </c>
      <c r="F159" s="52" cm="1">
        <f t="array" ref="F159">MMS_Swine_ManureAppliedToSoils_Equations.VEERG_4_5_1_9__1_MassOfNitrogenAppliedToSoilsScope1(F47,_xlfn.XLOOKUP($E159,$D$123:$D$129,$E$123:$E$129), _xlfn.XLOOKUP($E159,$D$112:$D$118,$E$112:$E$118),F77,$F107)</f>
        <v>160.17660000000001</v>
      </c>
      <c r="G159" s="52" cm="1">
        <f t="array" ref="G159">MMS_Swine_ManureAppliedToSoils_Equations.VEERG_4_5_1_9__1_MassOfNitrogenAppliedToSoilsScope1(G47,_xlfn.XLOOKUP($E159,$D$123:$D$129,$E$123:$E$129), _xlfn.XLOOKUP($E159,$D$112:$D$118,$E$112:$E$118),G77,$F107)</f>
        <v>170.62290000000004</v>
      </c>
      <c r="H159" s="52" cm="1">
        <f t="array" ref="H159">MMS_Swine_ManureAppliedToSoils_Equations.VEERG_4_5_1_9__1_MassOfNitrogenAppliedToSoilsScope1(H47,_xlfn.XLOOKUP($E159,$D$123:$D$129,$E$123:$E$129), _xlfn.XLOOKUP($E159,$D$112:$D$118,$E$112:$E$118),H77,$F107)</f>
        <v>160.17660000000001</v>
      </c>
      <c r="I159" s="52" cm="1">
        <f t="array" ref="I159">MMS_Swine_ManureAppliedToSoils_Equations.VEERG_4_5_1_9__1_MassOfNitrogenAppliedToSoilsScope1(I47,_xlfn.XLOOKUP($E159,$D$123:$D$129,$E$123:$E$129), _xlfn.XLOOKUP($E159,$D$112:$D$118,$E$112:$E$118),I77,$F107)</f>
        <v>108.64152000000003</v>
      </c>
      <c r="J159" s="2"/>
      <c r="N159" s="57"/>
      <c r="O159" s="57" t="str">
        <f>'Input - Swine'!$D$88</f>
        <v>Direct application</v>
      </c>
      <c r="P159" s="52" cm="1">
        <f t="array" ref="P159">MMS_Swine_ManureAppliedToSoils_Equations.VEERG_4_5_1_9__1_MassOfNitrogenAppliedToSoilsScope1(P47,_xlfn.XLOOKUP($O159,$D$123:$D$129,$E$123:$E$129), _xlfn.XLOOKUP($O159,$D$112:$D$118,$E$112:$E$118),P77,$F107)</f>
        <v>160.17660000000001</v>
      </c>
      <c r="Q159" s="52" cm="1">
        <f t="array" ref="Q159">MMS_Swine_ManureAppliedToSoils_Equations.VEERG_4_5_1_9__1_MassOfNitrogenAppliedToSoilsScope1(Q47,_xlfn.XLOOKUP($O159,$D$123:$D$129,$E$123:$E$129), _xlfn.XLOOKUP($O159,$D$112:$D$118,$E$112:$E$118),Q77,$F107)</f>
        <v>170.62290000000004</v>
      </c>
      <c r="R159" s="52" cm="1">
        <f t="array" ref="R159">MMS_Swine_ManureAppliedToSoils_Equations.VEERG_4_5_1_9__1_MassOfNitrogenAppliedToSoilsScope1(R47,_xlfn.XLOOKUP($O159,$D$123:$D$129,$E$123:$E$129), _xlfn.XLOOKUP($O159,$D$112:$D$118,$E$112:$E$118),R77,$F107)</f>
        <v>160.17660000000001</v>
      </c>
      <c r="S159" s="52" cm="1">
        <f t="array" ref="S159">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101" t="s">
        <v>313</v>
      </c>
      <c r="E161" s="102">
        <f>SUM(F134:I159)</f>
        <v>3256.7704915650011</v>
      </c>
      <c r="F161" s="103" t="str">
        <f>$E$11</f>
        <v>kg N</v>
      </c>
      <c r="N161" s="101" t="s">
        <v>313</v>
      </c>
      <c r="O161" s="102">
        <f>SUM(P134:S159)</f>
        <v>3256.7704915650011</v>
      </c>
      <c r="P161" s="103" t="str">
        <f>$E$11</f>
        <v>kg N</v>
      </c>
    </row>
    <row r="162" spans="1:21" ht="20.100000000000001" customHeight="1" x14ac:dyDescent="0.25"/>
    <row r="163" spans="1:21" ht="20.100000000000001" customHeight="1" x14ac:dyDescent="0.25">
      <c r="A163" s="150" t="str">
        <f>HYPERLINK("#A1", "▲ Back to top")</f>
        <v>▲ Back to top</v>
      </c>
    </row>
    <row r="164" spans="1:21" ht="20.100000000000001" customHeight="1" x14ac:dyDescent="0.25">
      <c r="C164" s="45"/>
      <c r="D164" s="45"/>
      <c r="E164" s="45"/>
      <c r="F164" s="45"/>
      <c r="G164" s="45"/>
      <c r="H164" s="45"/>
      <c r="I164" s="45"/>
      <c r="J164" s="45"/>
      <c r="K164" s="45"/>
      <c r="M164" s="45"/>
      <c r="N164" s="45"/>
      <c r="O164" s="45"/>
      <c r="P164" s="45"/>
      <c r="Q164" s="45"/>
      <c r="R164" s="45"/>
      <c r="S164" s="45"/>
      <c r="T164" s="45"/>
      <c r="U164" s="45"/>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26</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3" t="s">
        <v>29</v>
      </c>
      <c r="E170" s="1" t="str" cm="1">
        <f t="array" ref="E170">MMS_Swine_ManureAppliedToSoils_Equations.VEERG_4_5_1_9__2_MassOfNitrogenAppliedToSoilsScope3_Variable()</f>
        <v>MNSoil_scope3</v>
      </c>
    </row>
    <row r="171" spans="1:21" ht="20.100000000000001" customHeight="1" x14ac:dyDescent="0.25">
      <c r="D171" s="53" t="s">
        <v>19</v>
      </c>
      <c r="E171" s="54"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44" t="str" cm="1">
        <f t="array" ref="D173:E177">Common_InputFunctions.Utility_DisplayArguments_1_2(MMS_Swine_ManureAppliedToSoils_Equations.VEERG_4_5_1_9__2_MassOfNitrogenAppliedToSoilsScope3_Arguments())</f>
        <v>MN_jmT2</v>
      </c>
      <c r="E173" s="146" t="str">
        <v>mass of N in MMS at treatment stage 2</v>
      </c>
      <c r="F173" s="145"/>
      <c r="G173" s="144" t="str" cm="1">
        <f t="array" ref="G173:H177">Common_InputFunctions.Utility_DisplayArguments_3_4(MMS_Swine_ManureAppliedToSoils_Equations.VEERG_4_5_1_9__2_MassOfNitrogenAppliedToSoilsScope3_Arguments())</f>
        <v>kg N</v>
      </c>
      <c r="H173" s="139" t="str">
        <v>Calculated from 4.5.1.3 (6)</v>
      </c>
      <c r="I173" s="143" t="str" cm="1">
        <f t="array" aca="1" ref="I173" ca="1">HYPERLINK(Common_InputFunctions.Utility_SourceHyperlink(D19), D19)</f>
        <v>M1_Table_MN_j_m_T-2</v>
      </c>
    </row>
    <row r="174" spans="1:21" ht="20.100000000000001" customHeight="1" x14ac:dyDescent="0.25">
      <c r="D174" s="144" t="str">
        <v>EF_mT2</v>
      </c>
      <c r="E174" s="146" t="str">
        <v>nitrous oxide emission factor for each MMS at treatment stage 2</v>
      </c>
      <c r="F174" s="145"/>
      <c r="G174" s="144" t="str">
        <v>kg N2O-N/kg N</v>
      </c>
      <c r="H174" s="139" t="str">
        <v>Constant</v>
      </c>
      <c r="I174" s="143" t="str" cm="1">
        <f t="array" aca="1" ref="I174" ca="1">HYPERLINK(Common_InputFunctions.Utility_SourceHyperlink(D120), D120)</f>
        <v>Table_EF_m_T</v>
      </c>
    </row>
    <row r="175" spans="1:21" ht="20.100000000000001" customHeight="1" x14ac:dyDescent="0.25">
      <c r="D175" s="144" t="str">
        <v>FracGASM_mT2</v>
      </c>
      <c r="E175" s="146" t="str">
        <v>fraction of animal waste N volatilised in each MMS at treatment stage 2</v>
      </c>
      <c r="F175" s="145"/>
      <c r="G175" s="144" t="str">
        <v>(kg NH3-N + NOx-N)/kg N</v>
      </c>
      <c r="H175" s="139" t="str">
        <v>Constant</v>
      </c>
      <c r="I175" s="143" t="str" cm="1">
        <f t="array" aca="1" ref="I175" ca="1">HYPERLINK(Common_InputFunctions.Utility_SourceHyperlink(D109), D109)</f>
        <v>Table_FracGASM_m_t</v>
      </c>
    </row>
    <row r="176" spans="1:21" ht="20.100000000000001" customHeight="1" x14ac:dyDescent="0.25">
      <c r="D176" s="144" t="str">
        <v>MNLeach_jm5</v>
      </c>
      <c r="E176" s="146" t="str">
        <v>mass of N lost to leaching and runoff from drylot MMS</v>
      </c>
      <c r="F176" s="145"/>
      <c r="G176" s="144" t="str">
        <v>kg N</v>
      </c>
      <c r="H176" s="139" t="str">
        <v>Calculated from 4.5.1.7 (2)</v>
      </c>
      <c r="I176" s="143" t="str" cm="1">
        <f t="array" aca="1" ref="I176" ca="1">HYPERLINK(Common_InputFunctions.Utility_SourceHyperlink(D49), D49)</f>
        <v>M1_Table_MN_leach_j_m-5</v>
      </c>
    </row>
    <row r="177" spans="4:20" ht="20.100000000000001" customHeight="1" x14ac:dyDescent="0.25">
      <c r="D177" s="144" t="str">
        <v>PF</v>
      </c>
      <c r="E177" s="146" t="str">
        <v>fraction of manure applied to soil within the piggery boundary</v>
      </c>
      <c r="F177" s="145"/>
      <c r="G177" s="144" t="str">
        <v>fraction</v>
      </c>
      <c r="H177" s="140" t="str">
        <v>Input</v>
      </c>
      <c r="I177" s="143" t="str" cm="1">
        <f t="array" aca="1" ref="I177" ca="1">HYPERLINK(Common_InputFunctions.Utility_SourceHyperlink(D79), D79)</f>
        <v>M1_Table_PF</v>
      </c>
    </row>
    <row r="178" spans="4:20" ht="20.100000000000001" customHeight="1" x14ac:dyDescent="0.25"/>
    <row r="179" spans="4:20" ht="20.100000000000001" customHeight="1" x14ac:dyDescent="0.25">
      <c r="D179" s="121" t="s">
        <v>316</v>
      </c>
      <c r="N179" s="121" t="s">
        <v>316</v>
      </c>
    </row>
    <row r="180" spans="4:20" ht="20.100000000000001" customHeight="1" x14ac:dyDescent="0.25">
      <c r="D180" s="122" t="s">
        <v>317</v>
      </c>
      <c r="N180" s="122" t="s">
        <v>317</v>
      </c>
    </row>
    <row r="181" spans="4:20" ht="20.100000000000001" customHeight="1" x14ac:dyDescent="0.25">
      <c r="D181" s="51" t="s">
        <v>163</v>
      </c>
      <c r="E181" s="51" t="s">
        <v>171</v>
      </c>
      <c r="F181" s="51" t="s">
        <v>142</v>
      </c>
      <c r="G181" s="51" t="s">
        <v>143</v>
      </c>
      <c r="H181" s="51" t="s">
        <v>144</v>
      </c>
      <c r="I181" s="51" t="s">
        <v>206</v>
      </c>
      <c r="N181" s="51" t="s">
        <v>163</v>
      </c>
      <c r="O181" s="51" t="s">
        <v>171</v>
      </c>
      <c r="P181" s="51" t="s">
        <v>142</v>
      </c>
      <c r="Q181" s="51" t="s">
        <v>143</v>
      </c>
      <c r="R181" s="51" t="s">
        <v>144</v>
      </c>
      <c r="S181" s="51" t="s">
        <v>206</v>
      </c>
    </row>
    <row r="182" spans="4:20" ht="20.100000000000001" customHeight="1" x14ac:dyDescent="0.25">
      <c r="D182" s="57" t="str">
        <f>'Input - Swine'!$D$29</f>
        <v>Anaerobic lagoon</v>
      </c>
      <c r="E182" s="57" t="str">
        <f>'Input - Swine'!$D$48</f>
        <v>Digester / covered lagoons</v>
      </c>
      <c r="F182" s="52" cm="1">
        <f t="array" ref="F182">MMS_Swine_ManureAppliedToSoils_Equations.VEERG_4_5_1_9__2_MassOfNitrogenAppliedToSoilsScope3(F22,_xlfn.XLOOKUP($E182,$D$123:$D$129,$E$123:$E$129), _xlfn.XLOOKUP($E182,$D$112:$D$118,$E$112:$E$118),F52,$F82)</f>
        <v>4.5332999999999988</v>
      </c>
      <c r="G182" s="52" cm="1">
        <f t="array" ref="G182">MMS_Swine_ManureAppliedToSoils_Equations.VEERG_4_5_1_9__2_MassOfNitrogenAppliedToSoilsScope3(G22,_xlfn.XLOOKUP($E182,$D$123:$D$129,$E$123:$E$129), _xlfn.XLOOKUP($E182,$D$112:$D$118,$E$112:$E$118),G52,$F82)</f>
        <v>6.0361875000000005</v>
      </c>
      <c r="H182" s="52" cm="1">
        <f t="array" ref="H182">MMS_Swine_ManureAppliedToSoils_Equations.VEERG_4_5_1_9__2_MassOfNitrogenAppliedToSoilsScope3(H22,_xlfn.XLOOKUP($E182,$D$123:$D$129,$E$123:$E$129), _xlfn.XLOOKUP($E182,$D$112:$D$118,$E$112:$E$118),H52,$F82)</f>
        <v>5.666624999999998</v>
      </c>
      <c r="I182" s="52" cm="1">
        <f t="array" ref="I182">MMS_Swine_ManureAppliedToSoils_Equations.VEERG_4_5_1_9__2_MassOfNitrogenAppliedToSoilsScope3(I22,_xlfn.XLOOKUP($E182,$D$123:$D$129,$E$123:$E$129), _xlfn.XLOOKUP($E182,$D$112:$D$118,$E$112:$E$118),I52,$F82)</f>
        <v>3.8434499999999989</v>
      </c>
      <c r="J182" s="2" t="str">
        <f>$E$171</f>
        <v>kg N</v>
      </c>
      <c r="N182" s="57" t="str">
        <f>'Input - Swine'!$D$29</f>
        <v>Anaerobic lagoon</v>
      </c>
      <c r="O182" s="57" t="str">
        <f>'Input - Swine'!$D$48</f>
        <v>Digester / covered lagoons</v>
      </c>
      <c r="P182" s="52" cm="1">
        <f t="array" ref="P182">MMS_Swine_ManureAppliedToSoils_Equations.VEERG_4_5_1_9__2_MassOfNitrogenAppliedToSoilsScope3(P22,_xlfn.XLOOKUP($O182,$D$123:$D$129,$E$123:$E$129), _xlfn.XLOOKUP($O182,$D$112:$D$118,$E$112:$E$118),P52,$F82)</f>
        <v>4.5332999999999988</v>
      </c>
      <c r="Q182" s="52" cm="1">
        <f t="array" ref="Q182">MMS_Swine_ManureAppliedToSoils_Equations.VEERG_4_5_1_9__2_MassOfNitrogenAppliedToSoilsScope3(Q22,_xlfn.XLOOKUP($O182,$D$123:$D$129,$E$123:$E$129), _xlfn.XLOOKUP($O182,$D$112:$D$118,$E$112:$E$118),Q52,$F82)</f>
        <v>6.0361875000000005</v>
      </c>
      <c r="R182" s="52" cm="1">
        <f t="array" ref="R182">MMS_Swine_ManureAppliedToSoils_Equations.VEERG_4_5_1_9__2_MassOfNitrogenAppliedToSoilsScope3(R22,_xlfn.XLOOKUP($O182,$D$123:$D$129,$E$123:$E$129), _xlfn.XLOOKUP($O182,$D$112:$D$118,$E$112:$E$118),R52,$F82)</f>
        <v>5.666624999999998</v>
      </c>
      <c r="S182" s="52" cm="1">
        <f t="array" ref="S182">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7"/>
      <c r="E183" s="57" t="str">
        <f>'Input - Swine'!$D$49</f>
        <v>Deep litter</v>
      </c>
      <c r="F183" s="52" cm="1">
        <f t="array" ref="F183">MMS_Swine_ManureAppliedToSoils_Equations.VEERG_4_5_1_9__2_MassOfNitrogenAppliedToSoilsScope3(F23,_xlfn.XLOOKUP($E183,$D$123:$D$129,$E$123:$E$129), _xlfn.XLOOKUP($E183,$D$112:$D$118,$E$112:$E$118),F53,$F83)</f>
        <v>3.9213044999999989</v>
      </c>
      <c r="G183" s="52" cm="1">
        <f t="array" ref="G183">MMS_Swine_ManureAppliedToSoils_Equations.VEERG_4_5_1_9__2_MassOfNitrogenAppliedToSoilsScope3(G23,_xlfn.XLOOKUP($E183,$D$123:$D$129,$E$123:$E$129), _xlfn.XLOOKUP($E183,$D$112:$D$118,$E$112:$E$118),G53,$F83)</f>
        <v>5.2213021875000001</v>
      </c>
      <c r="H183" s="52" cm="1">
        <f t="array" ref="H183">MMS_Swine_ManureAppliedToSoils_Equations.VEERG_4_5_1_9__2_MassOfNitrogenAppliedToSoilsScope3(H23,_xlfn.XLOOKUP($E183,$D$123:$D$129,$E$123:$E$129), _xlfn.XLOOKUP($E183,$D$112:$D$118,$E$112:$E$118),H53,$F83)</f>
        <v>4.9016306249999984</v>
      </c>
      <c r="I183" s="52" cm="1">
        <f t="array" ref="I183">MMS_Swine_ManureAppliedToSoils_Equations.VEERG_4_5_1_9__2_MassOfNitrogenAppliedToSoilsScope3(I23,_xlfn.XLOOKUP($E183,$D$123:$D$129,$E$123:$E$129), _xlfn.XLOOKUP($E183,$D$112:$D$118,$E$112:$E$118),I53,$F83)</f>
        <v>3.3245842499999991</v>
      </c>
      <c r="J183" s="2"/>
      <c r="N183" s="57"/>
      <c r="O183" s="57" t="str">
        <f>'Input - Swine'!$D$49</f>
        <v>Deep litter</v>
      </c>
      <c r="P183" s="52" cm="1">
        <f t="array" ref="P183">MMS_Swine_ManureAppliedToSoils_Equations.VEERG_4_5_1_9__2_MassOfNitrogenAppliedToSoilsScope3(P23,_xlfn.XLOOKUP($O183,$D$123:$D$129,$E$123:$E$129), _xlfn.XLOOKUP($O183,$D$112:$D$118,$E$112:$E$118),P53,$F83)</f>
        <v>3.9213044999999989</v>
      </c>
      <c r="Q183" s="52" cm="1">
        <f t="array" ref="Q183">MMS_Swine_ManureAppliedToSoils_Equations.VEERG_4_5_1_9__2_MassOfNitrogenAppliedToSoilsScope3(Q23,_xlfn.XLOOKUP($O183,$D$123:$D$129,$E$123:$E$129), _xlfn.XLOOKUP($O183,$D$112:$D$118,$E$112:$E$118),Q53,$F83)</f>
        <v>5.2213021875000001</v>
      </c>
      <c r="R183" s="52" cm="1">
        <f t="array" ref="R183">MMS_Swine_ManureAppliedToSoils_Equations.VEERG_4_5_1_9__2_MassOfNitrogenAppliedToSoilsScope3(R23,_xlfn.XLOOKUP($O183,$D$123:$D$129,$E$123:$E$129), _xlfn.XLOOKUP($O183,$D$112:$D$118,$E$112:$E$118),R53,$F83)</f>
        <v>4.9016306249999984</v>
      </c>
      <c r="S183" s="52" cm="1">
        <f t="array" ref="S183">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7"/>
      <c r="E184" s="57" t="str">
        <f>'Input - Swine'!$D$50</f>
        <v>Pit storage</v>
      </c>
      <c r="F184" s="52" cm="1">
        <f t="array" ref="F184">MMS_Swine_ManureAppliedToSoils_Equations.VEERG_4_5_1_9__2_MassOfNitrogenAppliedToSoilsScope3(F24,_xlfn.XLOOKUP($E184,$D$123:$D$129,$E$123:$E$129), _xlfn.XLOOKUP($E184,$D$112:$D$118,$E$112:$E$118),F54,$F84)</f>
        <v>3.3909083999999989</v>
      </c>
      <c r="G184" s="52" cm="1">
        <f t="array" ref="G184">MMS_Swine_ManureAppliedToSoils_Equations.VEERG_4_5_1_9__2_MassOfNitrogenAppliedToSoilsScope3(G24,_xlfn.XLOOKUP($E184,$D$123:$D$129,$E$123:$E$129), _xlfn.XLOOKUP($E184,$D$112:$D$118,$E$112:$E$118),G54,$F84)</f>
        <v>4.5150682500000006</v>
      </c>
      <c r="H184" s="52" cm="1">
        <f t="array" ref="H184">MMS_Swine_ManureAppliedToSoils_Equations.VEERG_4_5_1_9__2_MassOfNitrogenAppliedToSoilsScope3(H24,_xlfn.XLOOKUP($E184,$D$123:$D$129,$E$123:$E$129), _xlfn.XLOOKUP($E184,$D$112:$D$118,$E$112:$E$118),H54,$F84)</f>
        <v>4.2386354999999982</v>
      </c>
      <c r="I184" s="52" cm="1">
        <f t="array" ref="I184">MMS_Swine_ManureAppliedToSoils_Equations.VEERG_4_5_1_9__2_MassOfNitrogenAppliedToSoilsScope3(I24,_xlfn.XLOOKUP($E184,$D$123:$D$129,$E$123:$E$129), _xlfn.XLOOKUP($E184,$D$112:$D$118,$E$112:$E$118),I54,$F84)</f>
        <v>2.8749005999999993</v>
      </c>
      <c r="J184" s="2"/>
      <c r="N184" s="57"/>
      <c r="O184" s="57" t="str">
        <f>'Input - Swine'!$D$50</f>
        <v>Pit storage</v>
      </c>
      <c r="P184" s="52" cm="1">
        <f t="array" ref="P184">MMS_Swine_ManureAppliedToSoils_Equations.VEERG_4_5_1_9__2_MassOfNitrogenAppliedToSoilsScope3(P24,_xlfn.XLOOKUP($O184,$D$123:$D$129,$E$123:$E$129), _xlfn.XLOOKUP($O184,$D$112:$D$118,$E$112:$E$118),P54,$F84)</f>
        <v>3.3909083999999989</v>
      </c>
      <c r="Q184" s="52" cm="1">
        <f t="array" ref="Q184">MMS_Swine_ManureAppliedToSoils_Equations.VEERG_4_5_1_9__2_MassOfNitrogenAppliedToSoilsScope3(Q24,_xlfn.XLOOKUP($O184,$D$123:$D$129,$E$123:$E$129), _xlfn.XLOOKUP($O184,$D$112:$D$118,$E$112:$E$118),Q54,$F84)</f>
        <v>4.5150682500000006</v>
      </c>
      <c r="R184" s="52" cm="1">
        <f t="array" ref="R184">MMS_Swine_ManureAppliedToSoils_Equations.VEERG_4_5_1_9__2_MassOfNitrogenAppliedToSoilsScope3(R24,_xlfn.XLOOKUP($O184,$D$123:$D$129,$E$123:$E$129), _xlfn.XLOOKUP($O184,$D$112:$D$118,$E$112:$E$118),R54,$F84)</f>
        <v>4.2386354999999982</v>
      </c>
      <c r="S184" s="52" cm="1">
        <f t="array" ref="S184">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7"/>
      <c r="E185" s="57" t="str">
        <f>'Input - Swine'!$D$51</f>
        <v>Direct application</v>
      </c>
      <c r="F185" s="52" cm="1">
        <f t="array" ref="F185">MMS_Swine_ManureAppliedToSoils_Equations.VEERG_4_5_1_9__2_MassOfNitrogenAppliedToSoilsScope3(F25,_xlfn.XLOOKUP($E185,$D$123:$D$129,$E$123:$E$129), _xlfn.XLOOKUP($E185,$D$112:$D$118,$E$112:$E$118),F55,$F85)</f>
        <v>0</v>
      </c>
      <c r="G185" s="52" cm="1">
        <f t="array" ref="G185">MMS_Swine_ManureAppliedToSoils_Equations.VEERG_4_5_1_9__2_MassOfNitrogenAppliedToSoilsScope3(G25,_xlfn.XLOOKUP($E185,$D$123:$D$129,$E$123:$E$129), _xlfn.XLOOKUP($E185,$D$112:$D$118,$E$112:$E$118),G55,$F85)</f>
        <v>0</v>
      </c>
      <c r="H185" s="52" cm="1">
        <f t="array" ref="H185">MMS_Swine_ManureAppliedToSoils_Equations.VEERG_4_5_1_9__2_MassOfNitrogenAppliedToSoilsScope3(H25,_xlfn.XLOOKUP($E185,$D$123:$D$129,$E$123:$E$129), _xlfn.XLOOKUP($E185,$D$112:$D$118,$E$112:$E$118),H55,$F85)</f>
        <v>0</v>
      </c>
      <c r="I185" s="52" cm="1">
        <f t="array" ref="I185">MMS_Swine_ManureAppliedToSoils_Equations.VEERG_4_5_1_9__2_MassOfNitrogenAppliedToSoilsScope3(I25,_xlfn.XLOOKUP($E185,$D$123:$D$129,$E$123:$E$129), _xlfn.XLOOKUP($E185,$D$112:$D$118,$E$112:$E$118),I55,$F85)</f>
        <v>0</v>
      </c>
      <c r="J185" s="2"/>
      <c r="N185" s="57"/>
      <c r="O185" s="57" t="str">
        <f>'Input - Swine'!$D$51</f>
        <v>Direct application</v>
      </c>
      <c r="P185" s="52" cm="1">
        <f t="array" ref="P185">MMS_Swine_ManureAppliedToSoils_Equations.VEERG_4_5_1_9__2_MassOfNitrogenAppliedToSoilsScope3(P25,_xlfn.XLOOKUP($O185,$D$123:$D$129,$E$123:$E$129), _xlfn.XLOOKUP($O185,$D$112:$D$118,$E$112:$E$118),P55,$F85)</f>
        <v>0</v>
      </c>
      <c r="Q185" s="52" cm="1">
        <f t="array" ref="Q185">MMS_Swine_ManureAppliedToSoils_Equations.VEERG_4_5_1_9__2_MassOfNitrogenAppliedToSoilsScope3(Q25,_xlfn.XLOOKUP($O185,$D$123:$D$129,$E$123:$E$129), _xlfn.XLOOKUP($O185,$D$112:$D$118,$E$112:$E$118),Q55,$F85)</f>
        <v>0</v>
      </c>
      <c r="R185" s="52" cm="1">
        <f t="array" ref="R185">MMS_Swine_ManureAppliedToSoils_Equations.VEERG_4_5_1_9__2_MassOfNitrogenAppliedToSoilsScope3(R25,_xlfn.XLOOKUP($O185,$D$123:$D$129,$E$123:$E$129), _xlfn.XLOOKUP($O185,$D$112:$D$118,$E$112:$E$118),R55,$F85)</f>
        <v>0</v>
      </c>
      <c r="S185" s="52" cm="1">
        <f t="array" ref="S185">MMS_Swine_ManureAppliedToSoils_Equations.VEERG_4_5_1_9__2_MassOfNitrogenAppliedToSoilsScope3(S25,_xlfn.XLOOKUP($O185,$D$123:$D$129,$E$123:$E$129), _xlfn.XLOOKUP($O185,$D$112:$D$118,$E$112:$E$118),S55,$F85)</f>
        <v>0</v>
      </c>
      <c r="T185" s="2"/>
    </row>
    <row r="186" spans="4:20" ht="20.100000000000001" customHeight="1" x14ac:dyDescent="0.25">
      <c r="D186" s="57" t="str">
        <f>'Input - Swine'!$D$30</f>
        <v>Drylot (feed pad)</v>
      </c>
      <c r="E186" s="57" t="str">
        <f>'Input - Swine'!$D$55</f>
        <v>Anaerobic lagoon</v>
      </c>
      <c r="F186" s="52" cm="1">
        <f t="array" ref="F186">MMS_Swine_ManureAppliedToSoils_Equations.VEERG_4_5_1_9__2_MassOfNitrogenAppliedToSoilsScope3(F26,_xlfn.XLOOKUP($E186,$D$123:$D$129,$E$123:$E$129), _xlfn.XLOOKUP($E186,$D$112:$D$118,$E$112:$E$118),F56,$F86)</f>
        <v>2.0752439999999988</v>
      </c>
      <c r="G186" s="52" cm="1">
        <f t="array" ref="G186">MMS_Swine_ManureAppliedToSoils_Equations.VEERG_4_5_1_9__2_MassOfNitrogenAppliedToSoilsScope3(G26,_xlfn.XLOOKUP($E186,$D$123:$D$129,$E$123:$E$129), _xlfn.XLOOKUP($E186,$D$112:$D$118,$E$112:$E$118),G56,$F86)</f>
        <v>3.0315075</v>
      </c>
      <c r="H186" s="52" cm="1">
        <f t="array" ref="H186">MMS_Swine_ManureAppliedToSoils_Equations.VEERG_4_5_1_9__2_MassOfNitrogenAppliedToSoilsScope3(H26,_xlfn.XLOOKUP($E186,$D$123:$D$129,$E$123:$E$129), _xlfn.XLOOKUP($E186,$D$112:$D$118,$E$112:$E$118),H56,$F86)</f>
        <v>2.8459049999999984</v>
      </c>
      <c r="I186" s="52" cm="1">
        <f t="array" ref="I186">MMS_Swine_ManureAppliedToSoils_Equations.VEERG_4_5_1_9__2_MassOfNitrogenAppliedToSoilsScope3(I26,_xlfn.XLOOKUP($E186,$D$123:$D$129,$E$123:$E$129), _xlfn.XLOOKUP($E186,$D$112:$D$118,$E$112:$E$118),I56,$F86)</f>
        <v>1.9302659999999991</v>
      </c>
      <c r="J186" s="2"/>
      <c r="N186" s="57" t="str">
        <f>'Input - Swine'!$D$30</f>
        <v>Drylot (feed pad)</v>
      </c>
      <c r="O186" s="57" t="str">
        <f>'Input - Swine'!$D$55</f>
        <v>Anaerobic lagoon</v>
      </c>
      <c r="P186" s="52" cm="1">
        <f t="array" ref="P186">MMS_Swine_ManureAppliedToSoils_Equations.VEERG_4_5_1_9__2_MassOfNitrogenAppliedToSoilsScope3(P26,_xlfn.XLOOKUP($O186,$D$123:$D$129,$E$123:$E$129), _xlfn.XLOOKUP($O186,$D$112:$D$118,$E$112:$E$118),P56,$F86)</f>
        <v>2.0752439999999988</v>
      </c>
      <c r="Q186" s="52" cm="1">
        <f t="array" ref="Q186">MMS_Swine_ManureAppliedToSoils_Equations.VEERG_4_5_1_9__2_MassOfNitrogenAppliedToSoilsScope3(Q26,_xlfn.XLOOKUP($O186,$D$123:$D$129,$E$123:$E$129), _xlfn.XLOOKUP($O186,$D$112:$D$118,$E$112:$E$118),Q56,$F86)</f>
        <v>3.0315075</v>
      </c>
      <c r="R186" s="52" cm="1">
        <f t="array" ref="R186">MMS_Swine_ManureAppliedToSoils_Equations.VEERG_4_5_1_9__2_MassOfNitrogenAppliedToSoilsScope3(R26,_xlfn.XLOOKUP($O186,$D$123:$D$129,$E$123:$E$129), _xlfn.XLOOKUP($O186,$D$112:$D$118,$E$112:$E$118),R56,$F86)</f>
        <v>2.8459049999999984</v>
      </c>
      <c r="S186" s="52" cm="1">
        <f t="array" ref="S186">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7"/>
      <c r="E187" s="57" t="str">
        <f>'Input - Swine'!$D$56</f>
        <v>Digester / covered lagoons</v>
      </c>
      <c r="F187" s="52" cm="1">
        <f t="array" ref="F187">MMS_Swine_ManureAppliedToSoils_Equations.VEERG_4_5_1_9__2_MassOfNitrogenAppliedToSoilsScope3(F27,_xlfn.XLOOKUP($E187,$D$123:$D$129,$E$123:$E$129), _xlfn.XLOOKUP($E187,$D$112:$D$118,$E$112:$E$118),F57,$F87)</f>
        <v>5.8429199999999986</v>
      </c>
      <c r="G187" s="52" cm="1">
        <f t="array" ref="G187">MMS_Swine_ManureAppliedToSoils_Equations.VEERG_4_5_1_9__2_MassOfNitrogenAppliedToSoilsScope3(G27,_xlfn.XLOOKUP($E187,$D$123:$D$129,$E$123:$E$129), _xlfn.XLOOKUP($E187,$D$112:$D$118,$E$112:$E$118),G57,$F87)</f>
        <v>8.0482500000000012</v>
      </c>
      <c r="H187" s="52" cm="1">
        <f t="array" ref="H187">MMS_Swine_ManureAppliedToSoils_Equations.VEERG_4_5_1_9__2_MassOfNitrogenAppliedToSoilsScope3(H27,_xlfn.XLOOKUP($E187,$D$123:$D$129,$E$123:$E$129), _xlfn.XLOOKUP($E187,$D$112:$D$118,$E$112:$E$118),H57,$F87)</f>
        <v>7.5554999999999977</v>
      </c>
      <c r="I187" s="52" cm="1">
        <f t="array" ref="I187">MMS_Swine_ManureAppliedToSoils_Equations.VEERG_4_5_1_9__2_MassOfNitrogenAppliedToSoilsScope3(I27,_xlfn.XLOOKUP($E187,$D$123:$D$129,$E$123:$E$129), _xlfn.XLOOKUP($E187,$D$112:$D$118,$E$112:$E$118),I57,$F87)</f>
        <v>5.1245999999999983</v>
      </c>
      <c r="J187" s="2"/>
      <c r="N187" s="57"/>
      <c r="O187" s="57" t="str">
        <f>'Input - Swine'!$D$56</f>
        <v>Digester / covered lagoons</v>
      </c>
      <c r="P187" s="52" cm="1">
        <f t="array" ref="P187">MMS_Swine_ManureAppliedToSoils_Equations.VEERG_4_5_1_9__2_MassOfNitrogenAppliedToSoilsScope3(P27,_xlfn.XLOOKUP($O187,$D$123:$D$129,$E$123:$E$129), _xlfn.XLOOKUP($O187,$D$112:$D$118,$E$112:$E$118),P57,$F87)</f>
        <v>5.8429199999999986</v>
      </c>
      <c r="Q187" s="52" cm="1">
        <f t="array" ref="Q187">MMS_Swine_ManureAppliedToSoils_Equations.VEERG_4_5_1_9__2_MassOfNitrogenAppliedToSoilsScope3(Q27,_xlfn.XLOOKUP($O187,$D$123:$D$129,$E$123:$E$129), _xlfn.XLOOKUP($O187,$D$112:$D$118,$E$112:$E$118),Q57,$F87)</f>
        <v>8.0482500000000012</v>
      </c>
      <c r="R187" s="52" cm="1">
        <f t="array" ref="R187">MMS_Swine_ManureAppliedToSoils_Equations.VEERG_4_5_1_9__2_MassOfNitrogenAppliedToSoilsScope3(R27,_xlfn.XLOOKUP($O187,$D$123:$D$129,$E$123:$E$129), _xlfn.XLOOKUP($O187,$D$112:$D$118,$E$112:$E$118),R57,$F87)</f>
        <v>7.5554999999999977</v>
      </c>
      <c r="S187" s="52" cm="1">
        <f t="array" ref="S187">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7"/>
      <c r="E188" s="57" t="str">
        <f>'Input - Swine'!$D$57</f>
        <v>Deep litter</v>
      </c>
      <c r="F188" s="52" cm="1">
        <f t="array" ref="F188">MMS_Swine_ManureAppliedToSoils_Equations.VEERG_4_5_1_9__2_MassOfNitrogenAppliedToSoilsScope3(F28,_xlfn.XLOOKUP($E188,$D$123:$D$129,$E$123:$E$129), _xlfn.XLOOKUP($E188,$D$112:$D$118,$E$112:$E$118),F58,$F88)</f>
        <v>4.9181267999999987</v>
      </c>
      <c r="G188" s="52" cm="1">
        <f t="array" ref="G188">MMS_Swine_ManureAppliedToSoils_Equations.VEERG_4_5_1_9__2_MassOfNitrogenAppliedToSoilsScope3(G28,_xlfn.XLOOKUP($E188,$D$123:$D$129,$E$123:$E$129), _xlfn.XLOOKUP($E188,$D$112:$D$118,$E$112:$E$118),G58,$F88)</f>
        <v>6.816867750000001</v>
      </c>
      <c r="H188" s="52" cm="1">
        <f t="array" ref="H188">MMS_Swine_ManureAppliedToSoils_Equations.VEERG_4_5_1_9__2_MassOfNitrogenAppliedToSoilsScope3(H28,_xlfn.XLOOKUP($E188,$D$123:$D$129,$E$123:$E$129), _xlfn.XLOOKUP($E188,$D$112:$D$118,$E$112:$E$118),H58,$F88)</f>
        <v>6.3995084999999978</v>
      </c>
      <c r="I188" s="52" cm="1">
        <f t="array" ref="I188">MMS_Swine_ManureAppliedToSoils_Equations.VEERG_4_5_1_9__2_MassOfNitrogenAppliedToSoilsScope3(I28,_xlfn.XLOOKUP($E188,$D$123:$D$129,$E$123:$E$129), _xlfn.XLOOKUP($E188,$D$112:$D$118,$E$112:$E$118),I58,$F88)</f>
        <v>4.3405361999999981</v>
      </c>
      <c r="J188" s="2"/>
      <c r="N188" s="57"/>
      <c r="O188" s="57" t="str">
        <f>'Input - Swine'!$D$57</f>
        <v>Deep litter</v>
      </c>
      <c r="P188" s="52" cm="1">
        <f t="array" ref="P188">MMS_Swine_ManureAppliedToSoils_Equations.VEERG_4_5_1_9__2_MassOfNitrogenAppliedToSoilsScope3(P28,_xlfn.XLOOKUP($O188,$D$123:$D$129,$E$123:$E$129), _xlfn.XLOOKUP($O188,$D$112:$D$118,$E$112:$E$118),P58,$F88)</f>
        <v>4.9181267999999987</v>
      </c>
      <c r="Q188" s="52" cm="1">
        <f t="array" ref="Q188">MMS_Swine_ManureAppliedToSoils_Equations.VEERG_4_5_1_9__2_MassOfNitrogenAppliedToSoilsScope3(Q28,_xlfn.XLOOKUP($O188,$D$123:$D$129,$E$123:$E$129), _xlfn.XLOOKUP($O188,$D$112:$D$118,$E$112:$E$118),Q58,$F88)</f>
        <v>6.816867750000001</v>
      </c>
      <c r="R188" s="52" cm="1">
        <f t="array" ref="R188">MMS_Swine_ManureAppliedToSoils_Equations.VEERG_4_5_1_9__2_MassOfNitrogenAppliedToSoilsScope3(R28,_xlfn.XLOOKUP($O188,$D$123:$D$129,$E$123:$E$129), _xlfn.XLOOKUP($O188,$D$112:$D$118,$E$112:$E$118),R58,$F88)</f>
        <v>6.3995084999999978</v>
      </c>
      <c r="S188" s="52" cm="1">
        <f t="array" ref="S188">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7"/>
      <c r="E189" s="57" t="str">
        <f>'Input - Swine'!$D$58</f>
        <v>Pit storage</v>
      </c>
      <c r="F189" s="52" cm="1">
        <f t="array" ref="F189">MMS_Swine_ManureAppliedToSoils_Equations.VEERG_4_5_1_9__2_MassOfNitrogenAppliedToSoilsScope3(F29,_xlfn.XLOOKUP($E189,$D$123:$D$129,$E$123:$E$129), _xlfn.XLOOKUP($E189,$D$112:$D$118,$E$112:$E$118),F59,$F89)</f>
        <v>4.1166393599999989</v>
      </c>
      <c r="G189" s="52" cm="1">
        <f t="array" ref="G189">MMS_Swine_ManureAppliedToSoils_Equations.VEERG_4_5_1_9__2_MassOfNitrogenAppliedToSoilsScope3(G29,_xlfn.XLOOKUP($E189,$D$123:$D$129,$E$123:$E$129), _xlfn.XLOOKUP($E189,$D$112:$D$118,$E$112:$E$118),G59,$F89)</f>
        <v>5.7496698000000013</v>
      </c>
      <c r="H189" s="52" cm="1">
        <f t="array" ref="H189">MMS_Swine_ManureAppliedToSoils_Equations.VEERG_4_5_1_9__2_MassOfNitrogenAppliedToSoilsScope3(H29,_xlfn.XLOOKUP($E189,$D$123:$D$129,$E$123:$E$129), _xlfn.XLOOKUP($E189,$D$112:$D$118,$E$112:$E$118),H59,$F89)</f>
        <v>5.3976491999999983</v>
      </c>
      <c r="I189" s="52" cm="1">
        <f t="array" ref="I189">MMS_Swine_ManureAppliedToSoils_Equations.VEERG_4_5_1_9__2_MassOfNitrogenAppliedToSoilsScope3(I29,_xlfn.XLOOKUP($E189,$D$123:$D$129,$E$123:$E$129), _xlfn.XLOOKUP($E189,$D$112:$D$118,$E$112:$E$118),I59,$F89)</f>
        <v>3.6610142399999983</v>
      </c>
      <c r="J189" s="2"/>
      <c r="N189" s="57"/>
      <c r="O189" s="57" t="str">
        <f>'Input - Swine'!$D$58</f>
        <v>Pit storage</v>
      </c>
      <c r="P189" s="52" cm="1">
        <f t="array" ref="P189">MMS_Swine_ManureAppliedToSoils_Equations.VEERG_4_5_1_9__2_MassOfNitrogenAppliedToSoilsScope3(P29,_xlfn.XLOOKUP($O189,$D$123:$D$129,$E$123:$E$129), _xlfn.XLOOKUP($O189,$D$112:$D$118,$E$112:$E$118),P59,$F89)</f>
        <v>4.1166393599999989</v>
      </c>
      <c r="Q189" s="52" cm="1">
        <f t="array" ref="Q189">MMS_Swine_ManureAppliedToSoils_Equations.VEERG_4_5_1_9__2_MassOfNitrogenAppliedToSoilsScope3(Q29,_xlfn.XLOOKUP($O189,$D$123:$D$129,$E$123:$E$129), _xlfn.XLOOKUP($O189,$D$112:$D$118,$E$112:$E$118),Q59,$F89)</f>
        <v>5.7496698000000013</v>
      </c>
      <c r="R189" s="52" cm="1">
        <f t="array" ref="R189">MMS_Swine_ManureAppliedToSoils_Equations.VEERG_4_5_1_9__2_MassOfNitrogenAppliedToSoilsScope3(R29,_xlfn.XLOOKUP($O189,$D$123:$D$129,$E$123:$E$129), _xlfn.XLOOKUP($O189,$D$112:$D$118,$E$112:$E$118),R59,$F89)</f>
        <v>5.3976491999999983</v>
      </c>
      <c r="S189" s="52" cm="1">
        <f t="array" ref="S189">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7"/>
      <c r="E190" s="57" t="str">
        <f>'Input - Swine'!$D$59</f>
        <v>Direct application</v>
      </c>
      <c r="F190" s="52" cm="1">
        <f t="array" ref="F190">MMS_Swine_ManureAppliedToSoils_Equations.VEERG_4_5_1_9__2_MassOfNitrogenAppliedToSoilsScope3(F30,_xlfn.XLOOKUP($E190,$D$123:$D$129,$E$123:$E$129), _xlfn.XLOOKUP($E190,$D$112:$D$118,$E$112:$E$118),F60,$F90)</f>
        <v>0</v>
      </c>
      <c r="G190" s="52" cm="1">
        <f t="array" ref="G190">MMS_Swine_ManureAppliedToSoils_Equations.VEERG_4_5_1_9__2_MassOfNitrogenAppliedToSoilsScope3(G30,_xlfn.XLOOKUP($E190,$D$123:$D$129,$E$123:$E$129), _xlfn.XLOOKUP($E190,$D$112:$D$118,$E$112:$E$118),G60,$F90)</f>
        <v>0</v>
      </c>
      <c r="H190" s="52" cm="1">
        <f t="array" ref="H190">MMS_Swine_ManureAppliedToSoils_Equations.VEERG_4_5_1_9__2_MassOfNitrogenAppliedToSoilsScope3(H30,_xlfn.XLOOKUP($E190,$D$123:$D$129,$E$123:$E$129), _xlfn.XLOOKUP($E190,$D$112:$D$118,$E$112:$E$118),H60,$F90)</f>
        <v>0</v>
      </c>
      <c r="I190" s="52" cm="1">
        <f t="array" ref="I190">MMS_Swine_ManureAppliedToSoils_Equations.VEERG_4_5_1_9__2_MassOfNitrogenAppliedToSoilsScope3(I30,_xlfn.XLOOKUP($E190,$D$123:$D$129,$E$123:$E$129), _xlfn.XLOOKUP($E190,$D$112:$D$118,$E$112:$E$118),I60,$F90)</f>
        <v>0</v>
      </c>
      <c r="J190" s="2"/>
      <c r="N190" s="57"/>
      <c r="O190" s="57" t="str">
        <f>'Input - Swine'!$D$59</f>
        <v>Direct application</v>
      </c>
      <c r="P190" s="52" cm="1">
        <f t="array" ref="P190">MMS_Swine_ManureAppliedToSoils_Equations.VEERG_4_5_1_9__2_MassOfNitrogenAppliedToSoilsScope3(P30,_xlfn.XLOOKUP($O190,$D$123:$D$129,$E$123:$E$129), _xlfn.XLOOKUP($O190,$D$112:$D$118,$E$112:$E$118),P60,$F90)</f>
        <v>0</v>
      </c>
      <c r="Q190" s="52" cm="1">
        <f t="array" ref="Q190">MMS_Swine_ManureAppliedToSoils_Equations.VEERG_4_5_1_9__2_MassOfNitrogenAppliedToSoilsScope3(Q30,_xlfn.XLOOKUP($O190,$D$123:$D$129,$E$123:$E$129), _xlfn.XLOOKUP($O190,$D$112:$D$118,$E$112:$E$118),Q60,$F90)</f>
        <v>0</v>
      </c>
      <c r="R190" s="52" cm="1">
        <f t="array" ref="R190">MMS_Swine_ManureAppliedToSoils_Equations.VEERG_4_5_1_9__2_MassOfNitrogenAppliedToSoilsScope3(R30,_xlfn.XLOOKUP($O190,$D$123:$D$129,$E$123:$E$129), _xlfn.XLOOKUP($O190,$D$112:$D$118,$E$112:$E$118),R60,$F90)</f>
        <v>0</v>
      </c>
      <c r="S190" s="52" cm="1">
        <f t="array" ref="S190">MMS_Swine_ManureAppliedToSoils_Equations.VEERG_4_5_1_9__2_MassOfNitrogenAppliedToSoilsScope3(S30,_xlfn.XLOOKUP($O190,$D$123:$D$129,$E$123:$E$129), _xlfn.XLOOKUP($O190,$D$112:$D$118,$E$112:$E$118),S60,$F90)</f>
        <v>0</v>
      </c>
      <c r="T190" s="2"/>
    </row>
    <row r="191" spans="4:20" ht="20.100000000000001" customHeight="1" x14ac:dyDescent="0.25">
      <c r="D191" s="57" t="str">
        <f>'Input - Swine'!$D$31</f>
        <v>Digester / covered lagoons</v>
      </c>
      <c r="E191" s="57" t="str">
        <f>'Input - Swine'!$D$63</f>
        <v>Anaerobic lagoon</v>
      </c>
      <c r="F191" s="52" cm="1">
        <f t="array" ref="F191">MMS_Swine_ManureAppliedToSoils_Equations.VEERG_4_5_1_9__2_MassOfNitrogenAppliedToSoilsScope3(F31,_xlfn.XLOOKUP($E191,$D$123:$D$129,$E$123:$E$129), _xlfn.XLOOKUP($E191,$D$112:$D$118,$E$112:$E$118),F61,$F91)</f>
        <v>4.5332999999999988</v>
      </c>
      <c r="G191" s="52" cm="1">
        <f t="array" ref="G191">MMS_Swine_ManureAppliedToSoils_Equations.VEERG_4_5_1_9__2_MassOfNitrogenAppliedToSoilsScope3(G31,_xlfn.XLOOKUP($E191,$D$123:$D$129,$E$123:$E$129), _xlfn.XLOOKUP($E191,$D$112:$D$118,$E$112:$E$118),G61,$F91)</f>
        <v>6.0361875000000005</v>
      </c>
      <c r="H191" s="52" cm="1">
        <f t="array" ref="H191">MMS_Swine_ManureAppliedToSoils_Equations.VEERG_4_5_1_9__2_MassOfNitrogenAppliedToSoilsScope3(H31,_xlfn.XLOOKUP($E191,$D$123:$D$129,$E$123:$E$129), _xlfn.XLOOKUP($E191,$D$112:$D$118,$E$112:$E$118),H61,$F91)</f>
        <v>5.666624999999998</v>
      </c>
      <c r="I191" s="52" cm="1">
        <f t="array" ref="I191">MMS_Swine_ManureAppliedToSoils_Equations.VEERG_4_5_1_9__2_MassOfNitrogenAppliedToSoilsScope3(I31,_xlfn.XLOOKUP($E191,$D$123:$D$129,$E$123:$E$129), _xlfn.XLOOKUP($E191,$D$112:$D$118,$E$112:$E$118),I61,$F91)</f>
        <v>3.8434499999999989</v>
      </c>
      <c r="J191" s="2"/>
      <c r="N191" s="57" t="str">
        <f>'Input - Swine'!$D$31</f>
        <v>Digester / covered lagoons</v>
      </c>
      <c r="O191" s="57" t="str">
        <f>'Input - Swine'!$D$63</f>
        <v>Anaerobic lagoon</v>
      </c>
      <c r="P191" s="52" cm="1">
        <f t="array" ref="P191">MMS_Swine_ManureAppliedToSoils_Equations.VEERG_4_5_1_9__2_MassOfNitrogenAppliedToSoilsScope3(P31,_xlfn.XLOOKUP($O191,$D$123:$D$129,$E$123:$E$129), _xlfn.XLOOKUP($O191,$D$112:$D$118,$E$112:$E$118),P61,$F91)</f>
        <v>4.5332999999999988</v>
      </c>
      <c r="Q191" s="52" cm="1">
        <f t="array" ref="Q191">MMS_Swine_ManureAppliedToSoils_Equations.VEERG_4_5_1_9__2_MassOfNitrogenAppliedToSoilsScope3(Q31,_xlfn.XLOOKUP($O191,$D$123:$D$129,$E$123:$E$129), _xlfn.XLOOKUP($O191,$D$112:$D$118,$E$112:$E$118),Q61,$F91)</f>
        <v>6.0361875000000005</v>
      </c>
      <c r="R191" s="52" cm="1">
        <f t="array" ref="R191">MMS_Swine_ManureAppliedToSoils_Equations.VEERG_4_5_1_9__2_MassOfNitrogenAppliedToSoilsScope3(R31,_xlfn.XLOOKUP($O191,$D$123:$D$129,$E$123:$E$129), _xlfn.XLOOKUP($O191,$D$112:$D$118,$E$112:$E$118),R61,$F91)</f>
        <v>5.666624999999998</v>
      </c>
      <c r="S191" s="52" cm="1">
        <f t="array" ref="S19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7"/>
      <c r="E192" s="57" t="str">
        <f>'Input - Swine'!$D$64</f>
        <v>Deep litter</v>
      </c>
      <c r="F192" s="52" cm="1">
        <f t="array" ref="F192">MMS_Swine_ManureAppliedToSoils_Equations.VEERG_4_5_1_9__2_MassOfNitrogenAppliedToSoilsScope3(F32,_xlfn.XLOOKUP($E192,$D$123:$D$129,$E$123:$E$129), _xlfn.XLOOKUP($E192,$D$112:$D$118,$E$112:$E$118),F62,$F92)</f>
        <v>8.7140099999999983</v>
      </c>
      <c r="G192" s="52" cm="1">
        <f t="array" ref="G192">MMS_Swine_ManureAppliedToSoils_Equations.VEERG_4_5_1_9__2_MassOfNitrogenAppliedToSoilsScope3(G32,_xlfn.XLOOKUP($E192,$D$123:$D$129,$E$123:$E$129), _xlfn.XLOOKUP($E192,$D$112:$D$118,$E$112:$E$118),G62,$F92)</f>
        <v>11.602893750000002</v>
      </c>
      <c r="H192" s="52" cm="1">
        <f t="array" ref="H192">MMS_Swine_ManureAppliedToSoils_Equations.VEERG_4_5_1_9__2_MassOfNitrogenAppliedToSoilsScope3(H32,_xlfn.XLOOKUP($E192,$D$123:$D$129,$E$123:$E$129), _xlfn.XLOOKUP($E192,$D$112:$D$118,$E$112:$E$118),H62,$F92)</f>
        <v>10.892512499999997</v>
      </c>
      <c r="I192" s="52" cm="1">
        <f t="array" ref="I192">MMS_Swine_ManureAppliedToSoils_Equations.VEERG_4_5_1_9__2_MassOfNitrogenAppliedToSoilsScope3(I32,_xlfn.XLOOKUP($E192,$D$123:$D$129,$E$123:$E$129), _xlfn.XLOOKUP($E192,$D$112:$D$118,$E$112:$E$118),I62,$F92)</f>
        <v>7.3879649999999986</v>
      </c>
      <c r="J192" s="2"/>
      <c r="N192" s="57"/>
      <c r="O192" s="57" t="str">
        <f>'Input - Swine'!$D$64</f>
        <v>Deep litter</v>
      </c>
      <c r="P192" s="52" cm="1">
        <f t="array" ref="P192">MMS_Swine_ManureAppliedToSoils_Equations.VEERG_4_5_1_9__2_MassOfNitrogenAppliedToSoilsScope3(P32,_xlfn.XLOOKUP($O192,$D$123:$D$129,$E$123:$E$129), _xlfn.XLOOKUP($O192,$D$112:$D$118,$E$112:$E$118),P62,$F92)</f>
        <v>8.7140099999999983</v>
      </c>
      <c r="Q192" s="52" cm="1">
        <f t="array" ref="Q192">MMS_Swine_ManureAppliedToSoils_Equations.VEERG_4_5_1_9__2_MassOfNitrogenAppliedToSoilsScope3(Q32,_xlfn.XLOOKUP($O192,$D$123:$D$129,$E$123:$E$129), _xlfn.XLOOKUP($O192,$D$112:$D$118,$E$112:$E$118),Q62,$F92)</f>
        <v>11.602893750000002</v>
      </c>
      <c r="R192" s="52" cm="1">
        <f t="array" ref="R192">MMS_Swine_ManureAppliedToSoils_Equations.VEERG_4_5_1_9__2_MassOfNitrogenAppliedToSoilsScope3(R32,_xlfn.XLOOKUP($O192,$D$123:$D$129,$E$123:$E$129), _xlfn.XLOOKUP($O192,$D$112:$D$118,$E$112:$E$118),R62,$F92)</f>
        <v>10.892512499999997</v>
      </c>
      <c r="S192" s="52" cm="1">
        <f t="array" ref="S192">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7"/>
      <c r="E193" s="57" t="str">
        <f>'Input - Swine'!$D$65</f>
        <v>Pit storage</v>
      </c>
      <c r="F193" s="52" cm="1">
        <f t="array" ref="F193">MMS_Swine_ManureAppliedToSoils_Equations.VEERG_4_5_1_9__2_MassOfNitrogenAppliedToSoilsScope3(F33,_xlfn.XLOOKUP($E193,$D$123:$D$129,$E$123:$E$129), _xlfn.XLOOKUP($E193,$D$112:$D$118,$E$112:$E$118),F63,$F93)</f>
        <v>7.5353519999999987</v>
      </c>
      <c r="G193" s="52" cm="1">
        <f t="array" ref="G193">MMS_Swine_ManureAppliedToSoils_Equations.VEERG_4_5_1_9__2_MassOfNitrogenAppliedToSoilsScope3(G33,_xlfn.XLOOKUP($E193,$D$123:$D$129,$E$123:$E$129), _xlfn.XLOOKUP($E193,$D$112:$D$118,$E$112:$E$118),G63,$F93)</f>
        <v>10.033485000000001</v>
      </c>
      <c r="H193" s="52" cm="1">
        <f t="array" ref="H193">MMS_Swine_ManureAppliedToSoils_Equations.VEERG_4_5_1_9__2_MassOfNitrogenAppliedToSoilsScope3(H33,_xlfn.XLOOKUP($E193,$D$123:$D$129,$E$123:$E$129), _xlfn.XLOOKUP($E193,$D$112:$D$118,$E$112:$E$118),H63,$F93)</f>
        <v>9.4191899999999986</v>
      </c>
      <c r="I193" s="52" cm="1">
        <f t="array" ref="I193">MMS_Swine_ManureAppliedToSoils_Equations.VEERG_4_5_1_9__2_MassOfNitrogenAppliedToSoilsScope3(I33,_xlfn.XLOOKUP($E193,$D$123:$D$129,$E$123:$E$129), _xlfn.XLOOKUP($E193,$D$112:$D$118,$E$112:$E$118),I63,$F93)</f>
        <v>6.3886679999999991</v>
      </c>
      <c r="J193" s="2"/>
      <c r="N193" s="57"/>
      <c r="O193" s="57" t="str">
        <f>'Input - Swine'!$D$65</f>
        <v>Pit storage</v>
      </c>
      <c r="P193" s="52" cm="1">
        <f t="array" ref="P193">MMS_Swine_ManureAppliedToSoils_Equations.VEERG_4_5_1_9__2_MassOfNitrogenAppliedToSoilsScope3(P33,_xlfn.XLOOKUP($O193,$D$123:$D$129,$E$123:$E$129), _xlfn.XLOOKUP($O193,$D$112:$D$118,$E$112:$E$118),P63,$F93)</f>
        <v>7.5353519999999987</v>
      </c>
      <c r="Q193" s="52" cm="1">
        <f t="array" ref="Q193">MMS_Swine_ManureAppliedToSoils_Equations.VEERG_4_5_1_9__2_MassOfNitrogenAppliedToSoilsScope3(Q33,_xlfn.XLOOKUP($O193,$D$123:$D$129,$E$123:$E$129), _xlfn.XLOOKUP($O193,$D$112:$D$118,$E$112:$E$118),Q63,$F93)</f>
        <v>10.033485000000001</v>
      </c>
      <c r="R193" s="52" cm="1">
        <f t="array" ref="R193">MMS_Swine_ManureAppliedToSoils_Equations.VEERG_4_5_1_9__2_MassOfNitrogenAppliedToSoilsScope3(R33,_xlfn.XLOOKUP($O193,$D$123:$D$129,$E$123:$E$129), _xlfn.XLOOKUP($O193,$D$112:$D$118,$E$112:$E$118),R63,$F93)</f>
        <v>9.4191899999999986</v>
      </c>
      <c r="S193" s="52" cm="1">
        <f t="array" ref="S193">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7"/>
      <c r="E194" s="57" t="str">
        <f>'Input - Swine'!$D$66</f>
        <v>Direct application</v>
      </c>
      <c r="F194" s="52" cm="1">
        <f t="array" ref="F194">MMS_Swine_ManureAppliedToSoils_Equations.VEERG_4_5_1_9__2_MassOfNitrogenAppliedToSoilsScope3(F34,_xlfn.XLOOKUP($E194,$D$123:$D$129,$E$123:$E$129), _xlfn.XLOOKUP($E194,$D$112:$D$118,$E$112:$E$118),F64,$F94)</f>
        <v>0</v>
      </c>
      <c r="G194" s="52" cm="1">
        <f t="array" ref="G194">MMS_Swine_ManureAppliedToSoils_Equations.VEERG_4_5_1_9__2_MassOfNitrogenAppliedToSoilsScope3(G34,_xlfn.XLOOKUP($E194,$D$123:$D$129,$E$123:$E$129), _xlfn.XLOOKUP($E194,$D$112:$D$118,$E$112:$E$118),G64,$F94)</f>
        <v>0</v>
      </c>
      <c r="H194" s="52" cm="1">
        <f t="array" ref="H194">MMS_Swine_ManureAppliedToSoils_Equations.VEERG_4_5_1_9__2_MassOfNitrogenAppliedToSoilsScope3(H34,_xlfn.XLOOKUP($E194,$D$123:$D$129,$E$123:$E$129), _xlfn.XLOOKUP($E194,$D$112:$D$118,$E$112:$E$118),H64,$F94)</f>
        <v>0</v>
      </c>
      <c r="I194" s="52" cm="1">
        <f t="array" ref="I194">MMS_Swine_ManureAppliedToSoils_Equations.VEERG_4_5_1_9__2_MassOfNitrogenAppliedToSoilsScope3(I34,_xlfn.XLOOKUP($E194,$D$123:$D$129,$E$123:$E$129), _xlfn.XLOOKUP($E194,$D$112:$D$118,$E$112:$E$118),I64,$F94)</f>
        <v>0</v>
      </c>
      <c r="J194" s="2"/>
      <c r="N194" s="57"/>
      <c r="O194" s="57" t="str">
        <f>'Input - Swine'!$D$66</f>
        <v>Direct application</v>
      </c>
      <c r="P194" s="52" cm="1">
        <f t="array" ref="P194">MMS_Swine_ManureAppliedToSoils_Equations.VEERG_4_5_1_9__2_MassOfNitrogenAppliedToSoilsScope3(P34,_xlfn.XLOOKUP($O194,$D$123:$D$129,$E$123:$E$129), _xlfn.XLOOKUP($O194,$D$112:$D$118,$E$112:$E$118),P64,$F94)</f>
        <v>0</v>
      </c>
      <c r="Q194" s="52" cm="1">
        <f t="array" ref="Q194">MMS_Swine_ManureAppliedToSoils_Equations.VEERG_4_5_1_9__2_MassOfNitrogenAppliedToSoilsScope3(Q34,_xlfn.XLOOKUP($O194,$D$123:$D$129,$E$123:$E$129), _xlfn.XLOOKUP($O194,$D$112:$D$118,$E$112:$E$118),Q64,$F94)</f>
        <v>0</v>
      </c>
      <c r="R194" s="52" cm="1">
        <f t="array" ref="R194">MMS_Swine_ManureAppliedToSoils_Equations.VEERG_4_5_1_9__2_MassOfNitrogenAppliedToSoilsScope3(R34,_xlfn.XLOOKUP($O194,$D$123:$D$129,$E$123:$E$129), _xlfn.XLOOKUP($O194,$D$112:$D$118,$E$112:$E$118),R64,$F94)</f>
        <v>0</v>
      </c>
      <c r="S194" s="52" cm="1">
        <f t="array" ref="S194">MMS_Swine_ManureAppliedToSoils_Equations.VEERG_4_5_1_9__2_MassOfNitrogenAppliedToSoilsScope3(S34,_xlfn.XLOOKUP($O194,$D$123:$D$129,$E$123:$E$129), _xlfn.XLOOKUP($O194,$D$112:$D$118,$E$112:$E$118),S64,$F94)</f>
        <v>0</v>
      </c>
      <c r="T194" s="2"/>
    </row>
    <row r="195" spans="4:20" ht="20.100000000000001" customHeight="1" x14ac:dyDescent="0.25">
      <c r="D195" s="57" t="str">
        <f>'Input - Swine'!$D$32</f>
        <v>Deep litter</v>
      </c>
      <c r="E195" s="57" t="str">
        <f>'Input - Swine'!$D$70</f>
        <v>Anaerobic lagoon</v>
      </c>
      <c r="F195" s="52" cm="1">
        <f t="array" ref="F195">MMS_Swine_ManureAppliedToSoils_Equations.VEERG_4_5_1_9__2_MassOfNitrogenAppliedToSoilsScope3(F35,_xlfn.XLOOKUP($E195,$D$123:$D$129,$E$123:$E$129), _xlfn.XLOOKUP($E195,$D$112:$D$118,$E$112:$E$118),F65,$F95)</f>
        <v>3.9213044999999989</v>
      </c>
      <c r="G195" s="52" cm="1">
        <f t="array" ref="G195">MMS_Swine_ManureAppliedToSoils_Equations.VEERG_4_5_1_9__2_MassOfNitrogenAppliedToSoilsScope3(G35,_xlfn.XLOOKUP($E195,$D$123:$D$129,$E$123:$E$129), _xlfn.XLOOKUP($E195,$D$112:$D$118,$E$112:$E$118),G65,$F95)</f>
        <v>5.2213021875000001</v>
      </c>
      <c r="H195" s="52" cm="1">
        <f t="array" ref="H195">MMS_Swine_ManureAppliedToSoils_Equations.VEERG_4_5_1_9__2_MassOfNitrogenAppliedToSoilsScope3(H35,_xlfn.XLOOKUP($E195,$D$123:$D$129,$E$123:$E$129), _xlfn.XLOOKUP($E195,$D$112:$D$118,$E$112:$E$118),H65,$F95)</f>
        <v>4.9016306249999984</v>
      </c>
      <c r="I195" s="52" cm="1">
        <f t="array" ref="I195">MMS_Swine_ManureAppliedToSoils_Equations.VEERG_4_5_1_9__2_MassOfNitrogenAppliedToSoilsScope3(I35,_xlfn.XLOOKUP($E195,$D$123:$D$129,$E$123:$E$129), _xlfn.XLOOKUP($E195,$D$112:$D$118,$E$112:$E$118),I65,$F95)</f>
        <v>3.3245842499999991</v>
      </c>
      <c r="J195" s="2"/>
      <c r="N195" s="57" t="str">
        <f>'Input - Swine'!$D$32</f>
        <v>Deep litter</v>
      </c>
      <c r="O195" s="57" t="str">
        <f>'Input - Swine'!$D$70</f>
        <v>Anaerobic lagoon</v>
      </c>
      <c r="P195" s="52" cm="1">
        <f t="array" ref="P195">MMS_Swine_ManureAppliedToSoils_Equations.VEERG_4_5_1_9__2_MassOfNitrogenAppliedToSoilsScope3(P35,_xlfn.XLOOKUP($O195,$D$123:$D$129,$E$123:$E$129), _xlfn.XLOOKUP($O195,$D$112:$D$118,$E$112:$E$118),P65,$F95)</f>
        <v>3.9213044999999989</v>
      </c>
      <c r="Q195" s="52" cm="1">
        <f t="array" ref="Q195">MMS_Swine_ManureAppliedToSoils_Equations.VEERG_4_5_1_9__2_MassOfNitrogenAppliedToSoilsScope3(Q35,_xlfn.XLOOKUP($O195,$D$123:$D$129,$E$123:$E$129), _xlfn.XLOOKUP($O195,$D$112:$D$118,$E$112:$E$118),Q65,$F95)</f>
        <v>5.2213021875000001</v>
      </c>
      <c r="R195" s="52" cm="1">
        <f t="array" ref="R195">MMS_Swine_ManureAppliedToSoils_Equations.VEERG_4_5_1_9__2_MassOfNitrogenAppliedToSoilsScope3(R35,_xlfn.XLOOKUP($O195,$D$123:$D$129,$E$123:$E$129), _xlfn.XLOOKUP($O195,$D$112:$D$118,$E$112:$E$118),R65,$F95)</f>
        <v>4.9016306249999984</v>
      </c>
      <c r="S195" s="52" cm="1">
        <f t="array" ref="S195">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7"/>
      <c r="E196" s="57" t="str">
        <f>'Input - Swine'!$D$71</f>
        <v>Digester / covered lagoons</v>
      </c>
      <c r="F196" s="52" cm="1">
        <f t="array" ref="F196">MMS_Swine_ManureAppliedToSoils_Equations.VEERG_4_5_1_9__2_MassOfNitrogenAppliedToSoilsScope3(F36,_xlfn.XLOOKUP($E196,$D$123:$D$129,$E$123:$E$129), _xlfn.XLOOKUP($E196,$D$112:$D$118,$E$112:$E$118),F66,$F96)</f>
        <v>8.7140099999999983</v>
      </c>
      <c r="G196" s="52" cm="1">
        <f t="array" ref="G196">MMS_Swine_ManureAppliedToSoils_Equations.VEERG_4_5_1_9__2_MassOfNitrogenAppliedToSoilsScope3(G36,_xlfn.XLOOKUP($E196,$D$123:$D$129,$E$123:$E$129), _xlfn.XLOOKUP($E196,$D$112:$D$118,$E$112:$E$118),G66,$F96)</f>
        <v>11.602893750000002</v>
      </c>
      <c r="H196" s="52" cm="1">
        <f t="array" ref="H196">MMS_Swine_ManureAppliedToSoils_Equations.VEERG_4_5_1_9__2_MassOfNitrogenAppliedToSoilsScope3(H36,_xlfn.XLOOKUP($E196,$D$123:$D$129,$E$123:$E$129), _xlfn.XLOOKUP($E196,$D$112:$D$118,$E$112:$E$118),H66,$F96)</f>
        <v>10.892512499999997</v>
      </c>
      <c r="I196" s="52" cm="1">
        <f t="array" ref="I196">MMS_Swine_ManureAppliedToSoils_Equations.VEERG_4_5_1_9__2_MassOfNitrogenAppliedToSoilsScope3(I36,_xlfn.XLOOKUP($E196,$D$123:$D$129,$E$123:$E$129), _xlfn.XLOOKUP($E196,$D$112:$D$118,$E$112:$E$118),I66,$F96)</f>
        <v>7.3879649999999986</v>
      </c>
      <c r="J196" s="2"/>
      <c r="N196" s="57"/>
      <c r="O196" s="57" t="str">
        <f>'Input - Swine'!$D$71</f>
        <v>Digester / covered lagoons</v>
      </c>
      <c r="P196" s="52" cm="1">
        <f t="array" ref="P196">MMS_Swine_ManureAppliedToSoils_Equations.VEERG_4_5_1_9__2_MassOfNitrogenAppliedToSoilsScope3(P36,_xlfn.XLOOKUP($O196,$D$123:$D$129,$E$123:$E$129), _xlfn.XLOOKUP($O196,$D$112:$D$118,$E$112:$E$118),P66,$F96)</f>
        <v>8.7140099999999983</v>
      </c>
      <c r="Q196" s="52" cm="1">
        <f t="array" ref="Q196">MMS_Swine_ManureAppliedToSoils_Equations.VEERG_4_5_1_9__2_MassOfNitrogenAppliedToSoilsScope3(Q36,_xlfn.XLOOKUP($O196,$D$123:$D$129,$E$123:$E$129), _xlfn.XLOOKUP($O196,$D$112:$D$118,$E$112:$E$118),Q66,$F96)</f>
        <v>11.602893750000002</v>
      </c>
      <c r="R196" s="52" cm="1">
        <f t="array" ref="R196">MMS_Swine_ManureAppliedToSoils_Equations.VEERG_4_5_1_9__2_MassOfNitrogenAppliedToSoilsScope3(R36,_xlfn.XLOOKUP($O196,$D$123:$D$129,$E$123:$E$129), _xlfn.XLOOKUP($O196,$D$112:$D$118,$E$112:$E$118),R66,$F96)</f>
        <v>10.892512499999997</v>
      </c>
      <c r="S196" s="52" cm="1">
        <f t="array" ref="S196">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7"/>
      <c r="E197" s="57" t="str">
        <f>'Input - Swine'!$D$72</f>
        <v>Pit storage</v>
      </c>
      <c r="F197" s="52" cm="1">
        <f t="array" ref="F197">MMS_Swine_ManureAppliedToSoils_Equations.VEERG_4_5_1_9__2_MassOfNitrogenAppliedToSoilsScope3(F37,_xlfn.XLOOKUP($E197,$D$123:$D$129,$E$123:$E$129), _xlfn.XLOOKUP($E197,$D$112:$D$118,$E$112:$E$118),F67,$F97)</f>
        <v>6.518079479999999</v>
      </c>
      <c r="G197" s="52" cm="1">
        <f t="array" ref="G197">MMS_Swine_ManureAppliedToSoils_Equations.VEERG_4_5_1_9__2_MassOfNitrogenAppliedToSoilsScope3(G37,_xlfn.XLOOKUP($E197,$D$123:$D$129,$E$123:$E$129), _xlfn.XLOOKUP($E197,$D$112:$D$118,$E$112:$E$118),G67,$F97)</f>
        <v>8.6789645250000014</v>
      </c>
      <c r="H197" s="52" cm="1">
        <f t="array" ref="H197">MMS_Swine_ManureAppliedToSoils_Equations.VEERG_4_5_1_9__2_MassOfNitrogenAppliedToSoilsScope3(H37,_xlfn.XLOOKUP($E197,$D$123:$D$129,$E$123:$E$129), _xlfn.XLOOKUP($E197,$D$112:$D$118,$E$112:$E$118),H67,$F97)</f>
        <v>8.1475993499999984</v>
      </c>
      <c r="I197" s="52" cm="1">
        <f t="array" ref="I197">MMS_Swine_ManureAppliedToSoils_Equations.VEERG_4_5_1_9__2_MassOfNitrogenAppliedToSoilsScope3(I37,_xlfn.XLOOKUP($E197,$D$123:$D$129,$E$123:$E$129), _xlfn.XLOOKUP($E197,$D$112:$D$118,$E$112:$E$118),I67,$F97)</f>
        <v>5.5261978199999993</v>
      </c>
      <c r="J197" s="2"/>
      <c r="N197" s="57"/>
      <c r="O197" s="57" t="str">
        <f>'Input - Swine'!$D$72</f>
        <v>Pit storage</v>
      </c>
      <c r="P197" s="52" cm="1">
        <f t="array" ref="P197">MMS_Swine_ManureAppliedToSoils_Equations.VEERG_4_5_1_9__2_MassOfNitrogenAppliedToSoilsScope3(P37,_xlfn.XLOOKUP($O197,$D$123:$D$129,$E$123:$E$129), _xlfn.XLOOKUP($O197,$D$112:$D$118,$E$112:$E$118),P67,$F97)</f>
        <v>6.518079479999999</v>
      </c>
      <c r="Q197" s="52" cm="1">
        <f t="array" ref="Q197">MMS_Swine_ManureAppliedToSoils_Equations.VEERG_4_5_1_9__2_MassOfNitrogenAppliedToSoilsScope3(Q37,_xlfn.XLOOKUP($O197,$D$123:$D$129,$E$123:$E$129), _xlfn.XLOOKUP($O197,$D$112:$D$118,$E$112:$E$118),Q67,$F97)</f>
        <v>8.6789645250000014</v>
      </c>
      <c r="R197" s="52" cm="1">
        <f t="array" ref="R197">MMS_Swine_ManureAppliedToSoils_Equations.VEERG_4_5_1_9__2_MassOfNitrogenAppliedToSoilsScope3(R37,_xlfn.XLOOKUP($O197,$D$123:$D$129,$E$123:$E$129), _xlfn.XLOOKUP($O197,$D$112:$D$118,$E$112:$E$118),R67,$F97)</f>
        <v>8.1475993499999984</v>
      </c>
      <c r="S197" s="52" cm="1">
        <f t="array" ref="S197">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7"/>
      <c r="E198" s="57" t="str">
        <f>'Input - Swine'!$D$73</f>
        <v>Direct application</v>
      </c>
      <c r="F198" s="52" cm="1">
        <f t="array" ref="F198">MMS_Swine_ManureAppliedToSoils_Equations.VEERG_4_5_1_9__2_MassOfNitrogenAppliedToSoilsScope3(F38,_xlfn.XLOOKUP($E198,$D$123:$D$129,$E$123:$E$129), _xlfn.XLOOKUP($E198,$D$112:$D$118,$E$112:$E$118),F68,$F98)</f>
        <v>0</v>
      </c>
      <c r="G198" s="52" cm="1">
        <f t="array" ref="G198">MMS_Swine_ManureAppliedToSoils_Equations.VEERG_4_5_1_9__2_MassOfNitrogenAppliedToSoilsScope3(G38,_xlfn.XLOOKUP($E198,$D$123:$D$129,$E$123:$E$129), _xlfn.XLOOKUP($E198,$D$112:$D$118,$E$112:$E$118),G68,$F98)</f>
        <v>0</v>
      </c>
      <c r="H198" s="52" cm="1">
        <f t="array" ref="H198">MMS_Swine_ManureAppliedToSoils_Equations.VEERG_4_5_1_9__2_MassOfNitrogenAppliedToSoilsScope3(H38,_xlfn.XLOOKUP($E198,$D$123:$D$129,$E$123:$E$129), _xlfn.XLOOKUP($E198,$D$112:$D$118,$E$112:$E$118),H68,$F98)</f>
        <v>0</v>
      </c>
      <c r="I198" s="52" cm="1">
        <f t="array" ref="I198">MMS_Swine_ManureAppliedToSoils_Equations.VEERG_4_5_1_9__2_MassOfNitrogenAppliedToSoilsScope3(I38,_xlfn.XLOOKUP($E198,$D$123:$D$129,$E$123:$E$129), _xlfn.XLOOKUP($E198,$D$112:$D$118,$E$112:$E$118),I68,$F98)</f>
        <v>0</v>
      </c>
      <c r="J198" s="2"/>
      <c r="N198" s="57"/>
      <c r="O198" s="57" t="str">
        <f>'Input - Swine'!$D$73</f>
        <v>Direct application</v>
      </c>
      <c r="P198" s="52" cm="1">
        <f t="array" ref="P198">MMS_Swine_ManureAppliedToSoils_Equations.VEERG_4_5_1_9__2_MassOfNitrogenAppliedToSoilsScope3(P38,_xlfn.XLOOKUP($O198,$D$123:$D$129,$E$123:$E$129), _xlfn.XLOOKUP($O198,$D$112:$D$118,$E$112:$E$118),P68,$F98)</f>
        <v>0</v>
      </c>
      <c r="Q198" s="52" cm="1">
        <f t="array" ref="Q198">MMS_Swine_ManureAppliedToSoils_Equations.VEERG_4_5_1_9__2_MassOfNitrogenAppliedToSoilsScope3(Q38,_xlfn.XLOOKUP($O198,$D$123:$D$129,$E$123:$E$129), _xlfn.XLOOKUP($O198,$D$112:$D$118,$E$112:$E$118),Q68,$F98)</f>
        <v>0</v>
      </c>
      <c r="R198" s="52" cm="1">
        <f t="array" ref="R198">MMS_Swine_ManureAppliedToSoils_Equations.VEERG_4_5_1_9__2_MassOfNitrogenAppliedToSoilsScope3(R38,_xlfn.XLOOKUP($O198,$D$123:$D$129,$E$123:$E$129), _xlfn.XLOOKUP($O198,$D$112:$D$118,$E$112:$E$118),R68,$F98)</f>
        <v>0</v>
      </c>
      <c r="S198" s="52" cm="1">
        <f t="array" ref="S198">MMS_Swine_ManureAppliedToSoils_Equations.VEERG_4_5_1_9__2_MassOfNitrogenAppliedToSoilsScope3(S38,_xlfn.XLOOKUP($O198,$D$123:$D$129,$E$123:$E$129), _xlfn.XLOOKUP($O198,$D$112:$D$118,$E$112:$E$118),S68,$F98)</f>
        <v>0</v>
      </c>
      <c r="T198" s="2"/>
    </row>
    <row r="199" spans="4:20" ht="20.100000000000001" customHeight="1" x14ac:dyDescent="0.25">
      <c r="D199" s="57" t="str">
        <f>'Input - Swine'!$D$33</f>
        <v>Pit storage</v>
      </c>
      <c r="E199" s="57" t="str">
        <f>'Input - Swine'!$D$77</f>
        <v>Anaerobic lagoon</v>
      </c>
      <c r="F199" s="52" cm="1">
        <f t="array" ref="F199">MMS_Swine_ManureAppliedToSoils_Equations.VEERG_4_5_1_9__2_MassOfNitrogenAppliedToSoilsScope3(F39,_xlfn.XLOOKUP($E199,$D$123:$D$129,$E$123:$E$129), _xlfn.XLOOKUP($E199,$D$112:$D$118,$E$112:$E$118),F69,$F99)</f>
        <v>3.3909083999999994</v>
      </c>
      <c r="G199" s="52" cm="1">
        <f t="array" ref="G199">MMS_Swine_ManureAppliedToSoils_Equations.VEERG_4_5_1_9__2_MassOfNitrogenAppliedToSoilsScope3(G39,_xlfn.XLOOKUP($E199,$D$123:$D$129,$E$123:$E$129), _xlfn.XLOOKUP($E199,$D$112:$D$118,$E$112:$E$118),G69,$F99)</f>
        <v>4.5150682499999997</v>
      </c>
      <c r="H199" s="52" cm="1">
        <f t="array" ref="H199">MMS_Swine_ManureAppliedToSoils_Equations.VEERG_4_5_1_9__2_MassOfNitrogenAppliedToSoilsScope3(H39,_xlfn.XLOOKUP($E199,$D$123:$D$129,$E$123:$E$129), _xlfn.XLOOKUP($E199,$D$112:$D$118,$E$112:$E$118),H69,$F99)</f>
        <v>4.2386354999999991</v>
      </c>
      <c r="I199" s="52" cm="1">
        <f t="array" ref="I199">MMS_Swine_ManureAppliedToSoils_Equations.VEERG_4_5_1_9__2_MassOfNitrogenAppliedToSoilsScope3(I39,_xlfn.XLOOKUP($E199,$D$123:$D$129,$E$123:$E$129), _xlfn.XLOOKUP($E199,$D$112:$D$118,$E$112:$E$118),I69,$F99)</f>
        <v>2.8749005999999993</v>
      </c>
      <c r="J199" s="2"/>
      <c r="N199" s="57" t="str">
        <f>'Input - Swine'!$D$33</f>
        <v>Pit storage</v>
      </c>
      <c r="O199" s="57" t="str">
        <f>'Input - Swine'!$D$77</f>
        <v>Anaerobic lagoon</v>
      </c>
      <c r="P199" s="52" cm="1">
        <f t="array" ref="P199">MMS_Swine_ManureAppliedToSoils_Equations.VEERG_4_5_1_9__2_MassOfNitrogenAppliedToSoilsScope3(P39,_xlfn.XLOOKUP($O199,$D$123:$D$129,$E$123:$E$129), _xlfn.XLOOKUP($O199,$D$112:$D$118,$E$112:$E$118),P69,$F99)</f>
        <v>3.3909083999999994</v>
      </c>
      <c r="Q199" s="52" cm="1">
        <f t="array" ref="Q199">MMS_Swine_ManureAppliedToSoils_Equations.VEERG_4_5_1_9__2_MassOfNitrogenAppliedToSoilsScope3(Q39,_xlfn.XLOOKUP($O199,$D$123:$D$129,$E$123:$E$129), _xlfn.XLOOKUP($O199,$D$112:$D$118,$E$112:$E$118),Q69,$F99)</f>
        <v>4.5150682499999997</v>
      </c>
      <c r="R199" s="52" cm="1">
        <f t="array" ref="R199">MMS_Swine_ManureAppliedToSoils_Equations.VEERG_4_5_1_9__2_MassOfNitrogenAppliedToSoilsScope3(R39,_xlfn.XLOOKUP($O199,$D$123:$D$129,$E$123:$E$129), _xlfn.XLOOKUP($O199,$D$112:$D$118,$E$112:$E$118),R69,$F99)</f>
        <v>4.2386354999999991</v>
      </c>
      <c r="S199" s="52" cm="1">
        <f t="array" ref="S199">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7"/>
      <c r="E200" s="57" t="str">
        <f>'Input - Swine'!$D$78</f>
        <v>Digester / covered lagoons</v>
      </c>
      <c r="F200" s="52" cm="1">
        <f t="array" ref="F200">MMS_Swine_ManureAppliedToSoils_Equations.VEERG_4_5_1_9__2_MassOfNitrogenAppliedToSoilsScope3(F40,_xlfn.XLOOKUP($E200,$D$123:$D$129,$E$123:$E$129), _xlfn.XLOOKUP($E200,$D$112:$D$118,$E$112:$E$118),F70,$F100)</f>
        <v>7.5353519999999996</v>
      </c>
      <c r="G200" s="52" cm="1">
        <f t="array" ref="G200">MMS_Swine_ManureAppliedToSoils_Equations.VEERG_4_5_1_9__2_MassOfNitrogenAppliedToSoilsScope3(G40,_xlfn.XLOOKUP($E200,$D$123:$D$129,$E$123:$E$129), _xlfn.XLOOKUP($E200,$D$112:$D$118,$E$112:$E$118),G70,$F100)</f>
        <v>10.033485000000001</v>
      </c>
      <c r="H200" s="52" cm="1">
        <f t="array" ref="H200">MMS_Swine_ManureAppliedToSoils_Equations.VEERG_4_5_1_9__2_MassOfNitrogenAppliedToSoilsScope3(H40,_xlfn.XLOOKUP($E200,$D$123:$D$129,$E$123:$E$129), _xlfn.XLOOKUP($E200,$D$112:$D$118,$E$112:$E$118),H70,$F100)</f>
        <v>9.4191899999999986</v>
      </c>
      <c r="I200" s="52" cm="1">
        <f t="array" ref="I200">MMS_Swine_ManureAppliedToSoils_Equations.VEERG_4_5_1_9__2_MassOfNitrogenAppliedToSoilsScope3(I40,_xlfn.XLOOKUP($E200,$D$123:$D$129,$E$123:$E$129), _xlfn.XLOOKUP($E200,$D$112:$D$118,$E$112:$E$118),I70,$F100)</f>
        <v>6.3886679999999991</v>
      </c>
      <c r="J200" s="2"/>
      <c r="N200" s="57"/>
      <c r="O200" s="57" t="str">
        <f>'Input - Swine'!$D$78</f>
        <v>Digester / covered lagoons</v>
      </c>
      <c r="P200" s="52" cm="1">
        <f t="array" ref="P200">MMS_Swine_ManureAppliedToSoils_Equations.VEERG_4_5_1_9__2_MassOfNitrogenAppliedToSoilsScope3(P40,_xlfn.XLOOKUP($O200,$D$123:$D$129,$E$123:$E$129), _xlfn.XLOOKUP($O200,$D$112:$D$118,$E$112:$E$118),P70,$F100)</f>
        <v>7.5353519999999996</v>
      </c>
      <c r="Q200" s="52" cm="1">
        <f t="array" ref="Q200">MMS_Swine_ManureAppliedToSoils_Equations.VEERG_4_5_1_9__2_MassOfNitrogenAppliedToSoilsScope3(Q40,_xlfn.XLOOKUP($O200,$D$123:$D$129,$E$123:$E$129), _xlfn.XLOOKUP($O200,$D$112:$D$118,$E$112:$E$118),Q70,$F100)</f>
        <v>10.033485000000001</v>
      </c>
      <c r="R200" s="52" cm="1">
        <f t="array" ref="R200">MMS_Swine_ManureAppliedToSoils_Equations.VEERG_4_5_1_9__2_MassOfNitrogenAppliedToSoilsScope3(R40,_xlfn.XLOOKUP($O200,$D$123:$D$129,$E$123:$E$129), _xlfn.XLOOKUP($O200,$D$112:$D$118,$E$112:$E$118),R70,$F100)</f>
        <v>9.4191899999999986</v>
      </c>
      <c r="S200" s="52" cm="1">
        <f t="array" ref="S200">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7"/>
      <c r="E201" s="57" t="str">
        <f>'Input - Swine'!$D$79</f>
        <v>Deep litter</v>
      </c>
      <c r="F201" s="52" cm="1">
        <f t="array" ref="F201">MMS_Swine_ManureAppliedToSoils_Equations.VEERG_4_5_1_9__2_MassOfNitrogenAppliedToSoilsScope3(F41,_xlfn.XLOOKUP($E201,$D$123:$D$129,$E$123:$E$129), _xlfn.XLOOKUP($E201,$D$112:$D$118,$E$112:$E$118),F71,$F101)</f>
        <v>6.5180794799999999</v>
      </c>
      <c r="G201" s="52" cm="1">
        <f t="array" ref="G201">MMS_Swine_ManureAppliedToSoils_Equations.VEERG_4_5_1_9__2_MassOfNitrogenAppliedToSoilsScope3(G41,_xlfn.XLOOKUP($E201,$D$123:$D$129,$E$123:$E$129), _xlfn.XLOOKUP($E201,$D$112:$D$118,$E$112:$E$118),G71,$F101)</f>
        <v>8.6789645249999996</v>
      </c>
      <c r="H201" s="52" cm="1">
        <f t="array" ref="H201">MMS_Swine_ManureAppliedToSoils_Equations.VEERG_4_5_1_9__2_MassOfNitrogenAppliedToSoilsScope3(H41,_xlfn.XLOOKUP($E201,$D$123:$D$129,$E$123:$E$129), _xlfn.XLOOKUP($E201,$D$112:$D$118,$E$112:$E$118),H71,$F101)</f>
        <v>8.1475993499999984</v>
      </c>
      <c r="I201" s="52" cm="1">
        <f t="array" ref="I201">MMS_Swine_ManureAppliedToSoils_Equations.VEERG_4_5_1_9__2_MassOfNitrogenAppliedToSoilsScope3(I41,_xlfn.XLOOKUP($E201,$D$123:$D$129,$E$123:$E$129), _xlfn.XLOOKUP($E201,$D$112:$D$118,$E$112:$E$118),I71,$F101)</f>
        <v>5.5261978199999993</v>
      </c>
      <c r="J201" s="2"/>
      <c r="N201" s="57"/>
      <c r="O201" s="57" t="str">
        <f>'Input - Swine'!$D$79</f>
        <v>Deep litter</v>
      </c>
      <c r="P201" s="52" cm="1">
        <f t="array" ref="P201">MMS_Swine_ManureAppliedToSoils_Equations.VEERG_4_5_1_9__2_MassOfNitrogenAppliedToSoilsScope3(P41,_xlfn.XLOOKUP($O201,$D$123:$D$129,$E$123:$E$129), _xlfn.XLOOKUP($O201,$D$112:$D$118,$E$112:$E$118),P71,$F101)</f>
        <v>6.5180794799999999</v>
      </c>
      <c r="Q201" s="52" cm="1">
        <f t="array" ref="Q201">MMS_Swine_ManureAppliedToSoils_Equations.VEERG_4_5_1_9__2_MassOfNitrogenAppliedToSoilsScope3(Q41,_xlfn.XLOOKUP($O201,$D$123:$D$129,$E$123:$E$129), _xlfn.XLOOKUP($O201,$D$112:$D$118,$E$112:$E$118),Q71,$F101)</f>
        <v>8.6789645249999996</v>
      </c>
      <c r="R201" s="52" cm="1">
        <f t="array" ref="R201">MMS_Swine_ManureAppliedToSoils_Equations.VEERG_4_5_1_9__2_MassOfNitrogenAppliedToSoilsScope3(R41,_xlfn.XLOOKUP($O201,$D$123:$D$129,$E$123:$E$129), _xlfn.XLOOKUP($O201,$D$112:$D$118,$E$112:$E$118),R71,$F101)</f>
        <v>8.1475993499999984</v>
      </c>
      <c r="S201" s="52" cm="1">
        <f t="array" ref="S20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7"/>
      <c r="E202" s="57" t="str">
        <f>'Input - Swine'!$D$80</f>
        <v>Direct application</v>
      </c>
      <c r="F202" s="52" cm="1">
        <f t="array" ref="F202">MMS_Swine_ManureAppliedToSoils_Equations.VEERG_4_5_1_9__2_MassOfNitrogenAppliedToSoilsScope3(F42,_xlfn.XLOOKUP($E202,$D$123:$D$129,$E$123:$E$129), _xlfn.XLOOKUP($E202,$D$112:$D$118,$E$112:$E$118),F72,$F102)</f>
        <v>0</v>
      </c>
      <c r="G202" s="52" cm="1">
        <f t="array" ref="G202">MMS_Swine_ManureAppliedToSoils_Equations.VEERG_4_5_1_9__2_MassOfNitrogenAppliedToSoilsScope3(G42,_xlfn.XLOOKUP($E202,$D$123:$D$129,$E$123:$E$129), _xlfn.XLOOKUP($E202,$D$112:$D$118,$E$112:$E$118),G72,$F102)</f>
        <v>0</v>
      </c>
      <c r="H202" s="52" cm="1">
        <f t="array" ref="H202">MMS_Swine_ManureAppliedToSoils_Equations.VEERG_4_5_1_9__2_MassOfNitrogenAppliedToSoilsScope3(H42,_xlfn.XLOOKUP($E202,$D$123:$D$129,$E$123:$E$129), _xlfn.XLOOKUP($E202,$D$112:$D$118,$E$112:$E$118),H72,$F102)</f>
        <v>0</v>
      </c>
      <c r="I202" s="52" cm="1">
        <f t="array" ref="I202">MMS_Swine_ManureAppliedToSoils_Equations.VEERG_4_5_1_9__2_MassOfNitrogenAppliedToSoilsScope3(I42,_xlfn.XLOOKUP($E202,$D$123:$D$129,$E$123:$E$129), _xlfn.XLOOKUP($E202,$D$112:$D$118,$E$112:$E$118),I72,$F102)</f>
        <v>0</v>
      </c>
      <c r="J202" s="2"/>
      <c r="N202" s="57"/>
      <c r="O202" s="57" t="str">
        <f>'Input - Swine'!$D$80</f>
        <v>Direct application</v>
      </c>
      <c r="P202" s="52" cm="1">
        <f t="array" ref="P202">MMS_Swine_ManureAppliedToSoils_Equations.VEERG_4_5_1_9__2_MassOfNitrogenAppliedToSoilsScope3(P42,_xlfn.XLOOKUP($O202,$D$123:$D$129,$E$123:$E$129), _xlfn.XLOOKUP($O202,$D$112:$D$118,$E$112:$E$118),P72,$F102)</f>
        <v>0</v>
      </c>
      <c r="Q202" s="52" cm="1">
        <f t="array" ref="Q202">MMS_Swine_ManureAppliedToSoils_Equations.VEERG_4_5_1_9__2_MassOfNitrogenAppliedToSoilsScope3(Q42,_xlfn.XLOOKUP($O202,$D$123:$D$129,$E$123:$E$129), _xlfn.XLOOKUP($O202,$D$112:$D$118,$E$112:$E$118),Q72,$F102)</f>
        <v>0</v>
      </c>
      <c r="R202" s="52" cm="1">
        <f t="array" ref="R202">MMS_Swine_ManureAppliedToSoils_Equations.VEERG_4_5_1_9__2_MassOfNitrogenAppliedToSoilsScope3(R42,_xlfn.XLOOKUP($O202,$D$123:$D$129,$E$123:$E$129), _xlfn.XLOOKUP($O202,$D$112:$D$118,$E$112:$E$118),R72,$F102)</f>
        <v>0</v>
      </c>
      <c r="S202" s="52" cm="1">
        <f t="array" ref="S202">MMS_Swine_ManureAppliedToSoils_Equations.VEERG_4_5_1_9__2_MassOfNitrogenAppliedToSoilsScope3(S42,_xlfn.XLOOKUP($O202,$D$123:$D$129,$E$123:$E$129), _xlfn.XLOOKUP($O202,$D$112:$D$118,$E$112:$E$118),S72,$F102)</f>
        <v>0</v>
      </c>
      <c r="T202" s="2"/>
    </row>
    <row r="203" spans="4:20" ht="20.100000000000001" customHeight="1" x14ac:dyDescent="0.25">
      <c r="D203" s="57" t="str">
        <f>'Input - Swine'!$D$34</f>
        <v>Solid storage</v>
      </c>
      <c r="E203" s="57" t="str">
        <f>'Input - Swine'!$D$84</f>
        <v>Anaerobic lagoon</v>
      </c>
      <c r="F203" s="52" cm="1">
        <f t="array" ref="F203">MMS_Swine_ManureAppliedToSoils_Equations.VEERG_4_5_1_9__2_MassOfNitrogenAppliedToSoilsScope3(F43,_xlfn.XLOOKUP($E203,$D$123:$D$129,$E$123:$E$129), _xlfn.XLOOKUP($E203,$D$112:$D$118,$E$112:$E$118),F73,$F103)</f>
        <v>12.013245000000003</v>
      </c>
      <c r="G203" s="52" cm="1">
        <f t="array" ref="G203">MMS_Swine_ManureAppliedToSoils_Equations.VEERG_4_5_1_9__2_MassOfNitrogenAppliedToSoilsScope3(G43,_xlfn.XLOOKUP($E203,$D$123:$D$129,$E$123:$E$129), _xlfn.XLOOKUP($E203,$D$112:$D$118,$E$112:$E$118),G73,$F103)</f>
        <v>12.796717500000007</v>
      </c>
      <c r="H203" s="52" cm="1">
        <f t="array" ref="H203">MMS_Swine_ManureAppliedToSoils_Equations.VEERG_4_5_1_9__2_MassOfNitrogenAppliedToSoilsScope3(H43,_xlfn.XLOOKUP($E203,$D$123:$D$129,$E$123:$E$129), _xlfn.XLOOKUP($E203,$D$112:$D$118,$E$112:$E$118),H73,$F103)</f>
        <v>12.013245000000003</v>
      </c>
      <c r="I203" s="52" cm="1">
        <f t="array" ref="I203">MMS_Swine_ManureAppliedToSoils_Equations.VEERG_4_5_1_9__2_MassOfNitrogenAppliedToSoilsScope3(I43,_xlfn.XLOOKUP($E203,$D$123:$D$129,$E$123:$E$129), _xlfn.XLOOKUP($E203,$D$112:$D$118,$E$112:$E$118),I73,$F103)</f>
        <v>8.1481140000000032</v>
      </c>
      <c r="J203" s="2"/>
      <c r="N203" s="57" t="str">
        <f>'Input - Swine'!$D$34</f>
        <v>Solid storage</v>
      </c>
      <c r="O203" s="57" t="str">
        <f>'Input - Swine'!$D$84</f>
        <v>Anaerobic lagoon</v>
      </c>
      <c r="P203" s="52" cm="1">
        <f t="array" ref="P203">MMS_Swine_ManureAppliedToSoils_Equations.VEERG_4_5_1_9__2_MassOfNitrogenAppliedToSoilsScope3(P43,_xlfn.XLOOKUP($O203,$D$123:$D$129,$E$123:$E$129), _xlfn.XLOOKUP($O203,$D$112:$D$118,$E$112:$E$118),P73,$F103)</f>
        <v>12.013245000000003</v>
      </c>
      <c r="Q203" s="52" cm="1">
        <f t="array" ref="Q203">MMS_Swine_ManureAppliedToSoils_Equations.VEERG_4_5_1_9__2_MassOfNitrogenAppliedToSoilsScope3(Q43,_xlfn.XLOOKUP($O203,$D$123:$D$129,$E$123:$E$129), _xlfn.XLOOKUP($O203,$D$112:$D$118,$E$112:$E$118),Q73,$F103)</f>
        <v>12.796717500000007</v>
      </c>
      <c r="R203" s="52" cm="1">
        <f t="array" ref="R203">MMS_Swine_ManureAppliedToSoils_Equations.VEERG_4_5_1_9__2_MassOfNitrogenAppliedToSoilsScope3(R43,_xlfn.XLOOKUP($O203,$D$123:$D$129,$E$123:$E$129), _xlfn.XLOOKUP($O203,$D$112:$D$118,$E$112:$E$118),R73,$F103)</f>
        <v>12.013245000000003</v>
      </c>
      <c r="S203" s="52" cm="1">
        <f t="array" ref="S203">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7"/>
      <c r="E204" s="57" t="str">
        <f>'Input - Swine'!$D$85</f>
        <v>Digester / covered lagoons</v>
      </c>
      <c r="F204" s="52" cm="1">
        <f t="array" ref="F204">MMS_Swine_ManureAppliedToSoils_Equations.VEERG_4_5_1_9__2_MassOfNitrogenAppliedToSoilsScope3(F44,_xlfn.XLOOKUP($E204,$D$123:$D$129,$E$123:$E$129), _xlfn.XLOOKUP($E204,$D$112:$D$118,$E$112:$E$118),F74,$F104)</f>
        <v>26.696100000000008</v>
      </c>
      <c r="G204" s="52" cm="1">
        <f t="array" ref="G204">MMS_Swine_ManureAppliedToSoils_Equations.VEERG_4_5_1_9__2_MassOfNitrogenAppliedToSoilsScope3(G44,_xlfn.XLOOKUP($E204,$D$123:$D$129,$E$123:$E$129), _xlfn.XLOOKUP($E204,$D$112:$D$118,$E$112:$E$118),G74,$F104)</f>
        <v>28.437150000000017</v>
      </c>
      <c r="H204" s="52" cm="1">
        <f t="array" ref="H204">MMS_Swine_ManureAppliedToSoils_Equations.VEERG_4_5_1_9__2_MassOfNitrogenAppliedToSoilsScope3(H44,_xlfn.XLOOKUP($E204,$D$123:$D$129,$E$123:$E$129), _xlfn.XLOOKUP($E204,$D$112:$D$118,$E$112:$E$118),H74,$F104)</f>
        <v>26.696100000000008</v>
      </c>
      <c r="I204" s="52" cm="1">
        <f t="array" ref="I204">MMS_Swine_ManureAppliedToSoils_Equations.VEERG_4_5_1_9__2_MassOfNitrogenAppliedToSoilsScope3(I44,_xlfn.XLOOKUP($E204,$D$123:$D$129,$E$123:$E$129), _xlfn.XLOOKUP($E204,$D$112:$D$118,$E$112:$E$118),I74,$F104)</f>
        <v>18.106920000000009</v>
      </c>
      <c r="J204" s="2"/>
      <c r="N204" s="57"/>
      <c r="O204" s="57" t="str">
        <f>'Input - Swine'!$D$85</f>
        <v>Digester / covered lagoons</v>
      </c>
      <c r="P204" s="52" cm="1">
        <f t="array" ref="P204">MMS_Swine_ManureAppliedToSoils_Equations.VEERG_4_5_1_9__2_MassOfNitrogenAppliedToSoilsScope3(P44,_xlfn.XLOOKUP($O204,$D$123:$D$129,$E$123:$E$129), _xlfn.XLOOKUP($O204,$D$112:$D$118,$E$112:$E$118),P74,$F104)</f>
        <v>26.696100000000008</v>
      </c>
      <c r="Q204" s="52" cm="1">
        <f t="array" ref="Q204">MMS_Swine_ManureAppliedToSoils_Equations.VEERG_4_5_1_9__2_MassOfNitrogenAppliedToSoilsScope3(Q44,_xlfn.XLOOKUP($O204,$D$123:$D$129,$E$123:$E$129), _xlfn.XLOOKUP($O204,$D$112:$D$118,$E$112:$E$118),Q74,$F104)</f>
        <v>28.437150000000017</v>
      </c>
      <c r="R204" s="52" cm="1">
        <f t="array" ref="R204">MMS_Swine_ManureAppliedToSoils_Equations.VEERG_4_5_1_9__2_MassOfNitrogenAppliedToSoilsScope3(R44,_xlfn.XLOOKUP($O204,$D$123:$D$129,$E$123:$E$129), _xlfn.XLOOKUP($O204,$D$112:$D$118,$E$112:$E$118),R74,$F104)</f>
        <v>26.696100000000008</v>
      </c>
      <c r="S204" s="52" cm="1">
        <f t="array" ref="S204">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7"/>
      <c r="E205" s="57" t="str">
        <f>'Input - Swine'!$D$86</f>
        <v>Deep litter</v>
      </c>
      <c r="F205" s="52" cm="1">
        <f t="array" ref="F205">MMS_Swine_ManureAppliedToSoils_Equations.VEERG_4_5_1_9__2_MassOfNitrogenAppliedToSoilsScope3(F45,_xlfn.XLOOKUP($E205,$D$123:$D$129,$E$123:$E$129), _xlfn.XLOOKUP($E205,$D$112:$D$118,$E$112:$E$118),F75,$F105)</f>
        <v>23.092126500000006</v>
      </c>
      <c r="G205" s="52" cm="1">
        <f t="array" ref="G205">MMS_Swine_ManureAppliedToSoils_Equations.VEERG_4_5_1_9__2_MassOfNitrogenAppliedToSoilsScope3(G45,_xlfn.XLOOKUP($E205,$D$123:$D$129,$E$123:$E$129), _xlfn.XLOOKUP($E205,$D$112:$D$118,$E$112:$E$118),G75,$F105)</f>
        <v>24.598134750000014</v>
      </c>
      <c r="H205" s="52" cm="1">
        <f t="array" ref="H205">MMS_Swine_ManureAppliedToSoils_Equations.VEERG_4_5_1_9__2_MassOfNitrogenAppliedToSoilsScope3(H45,_xlfn.XLOOKUP($E205,$D$123:$D$129,$E$123:$E$129), _xlfn.XLOOKUP($E205,$D$112:$D$118,$E$112:$E$118),H75,$F105)</f>
        <v>23.092126500000006</v>
      </c>
      <c r="I205" s="52" cm="1">
        <f t="array" ref="I205">MMS_Swine_ManureAppliedToSoils_Equations.VEERG_4_5_1_9__2_MassOfNitrogenAppliedToSoilsScope3(I45,_xlfn.XLOOKUP($E205,$D$123:$D$129,$E$123:$E$129), _xlfn.XLOOKUP($E205,$D$112:$D$118,$E$112:$E$118),I75,$F105)</f>
        <v>15.662485800000008</v>
      </c>
      <c r="J205" s="2"/>
      <c r="N205" s="57"/>
      <c r="O205" s="57" t="str">
        <f>'Input - Swine'!$D$86</f>
        <v>Deep litter</v>
      </c>
      <c r="P205" s="52" cm="1">
        <f t="array" ref="P205">MMS_Swine_ManureAppliedToSoils_Equations.VEERG_4_5_1_9__2_MassOfNitrogenAppliedToSoilsScope3(P45,_xlfn.XLOOKUP($O205,$D$123:$D$129,$E$123:$E$129), _xlfn.XLOOKUP($O205,$D$112:$D$118,$E$112:$E$118),P75,$F105)</f>
        <v>23.092126500000006</v>
      </c>
      <c r="Q205" s="52" cm="1">
        <f t="array" ref="Q205">MMS_Swine_ManureAppliedToSoils_Equations.VEERG_4_5_1_9__2_MassOfNitrogenAppliedToSoilsScope3(Q45,_xlfn.XLOOKUP($O205,$D$123:$D$129,$E$123:$E$129), _xlfn.XLOOKUP($O205,$D$112:$D$118,$E$112:$E$118),Q75,$F105)</f>
        <v>24.598134750000014</v>
      </c>
      <c r="R205" s="52" cm="1">
        <f t="array" ref="R205">MMS_Swine_ManureAppliedToSoils_Equations.VEERG_4_5_1_9__2_MassOfNitrogenAppliedToSoilsScope3(R45,_xlfn.XLOOKUP($O205,$D$123:$D$129,$E$123:$E$129), _xlfn.XLOOKUP($O205,$D$112:$D$118,$E$112:$E$118),R75,$F105)</f>
        <v>23.092126500000006</v>
      </c>
      <c r="S205" s="52" cm="1">
        <f t="array" ref="S205">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7"/>
      <c r="E206" s="57" t="str">
        <f>'Input - Swine'!$D$87</f>
        <v>Pit storage</v>
      </c>
      <c r="F206" s="52" cm="1">
        <f t="array" ref="F206">MMS_Swine_ManureAppliedToSoils_Equations.VEERG_4_5_1_9__2_MassOfNitrogenAppliedToSoilsScope3(F46,_xlfn.XLOOKUP($E206,$D$123:$D$129,$E$123:$E$129), _xlfn.XLOOKUP($E206,$D$112:$D$118,$E$112:$E$118),F76,$F106)</f>
        <v>9.9843414000000035</v>
      </c>
      <c r="G206" s="52" cm="1">
        <f t="array" ref="G206">MMS_Swine_ManureAppliedToSoils_Equations.VEERG_4_5_1_9__2_MassOfNitrogenAppliedToSoilsScope3(G46,_xlfn.XLOOKUP($E206,$D$123:$D$129,$E$123:$E$129), _xlfn.XLOOKUP($E206,$D$112:$D$118,$E$112:$E$118),G76,$F106)</f>
        <v>10.635494100000006</v>
      </c>
      <c r="H206" s="52" cm="1">
        <f t="array" ref="H206">MMS_Swine_ManureAppliedToSoils_Equations.VEERG_4_5_1_9__2_MassOfNitrogenAppliedToSoilsScope3(H46,_xlfn.XLOOKUP($E206,$D$123:$D$129,$E$123:$E$129), _xlfn.XLOOKUP($E206,$D$112:$D$118,$E$112:$E$118),H76,$F106)</f>
        <v>9.9843414000000035</v>
      </c>
      <c r="I206" s="52" cm="1">
        <f t="array" ref="I206">MMS_Swine_ManureAppliedToSoils_Equations.VEERG_4_5_1_9__2_MassOfNitrogenAppliedToSoilsScope3(I46,_xlfn.XLOOKUP($E206,$D$123:$D$129,$E$123:$E$129), _xlfn.XLOOKUP($E206,$D$112:$D$118,$E$112:$E$118),I76,$F106)</f>
        <v>6.7719880800000034</v>
      </c>
      <c r="J206" s="2"/>
      <c r="N206" s="57"/>
      <c r="O206" s="57" t="str">
        <f>'Input - Swine'!$D$87</f>
        <v>Pit storage</v>
      </c>
      <c r="P206" s="52" cm="1">
        <f t="array" ref="P206">MMS_Swine_ManureAppliedToSoils_Equations.VEERG_4_5_1_9__2_MassOfNitrogenAppliedToSoilsScope3(P46,_xlfn.XLOOKUP($O206,$D$123:$D$129,$E$123:$E$129), _xlfn.XLOOKUP($O206,$D$112:$D$118,$E$112:$E$118),P76,$F106)</f>
        <v>9.9843414000000035</v>
      </c>
      <c r="Q206" s="52" cm="1">
        <f t="array" ref="Q206">MMS_Swine_ManureAppliedToSoils_Equations.VEERG_4_5_1_9__2_MassOfNitrogenAppliedToSoilsScope3(Q46,_xlfn.XLOOKUP($O206,$D$123:$D$129,$E$123:$E$129), _xlfn.XLOOKUP($O206,$D$112:$D$118,$E$112:$E$118),Q76,$F106)</f>
        <v>10.635494100000006</v>
      </c>
      <c r="R206" s="52" cm="1">
        <f t="array" ref="R206">MMS_Swine_ManureAppliedToSoils_Equations.VEERG_4_5_1_9__2_MassOfNitrogenAppliedToSoilsScope3(R46,_xlfn.XLOOKUP($O206,$D$123:$D$129,$E$123:$E$129), _xlfn.XLOOKUP($O206,$D$112:$D$118,$E$112:$E$118),R76,$F106)</f>
        <v>9.9843414000000035</v>
      </c>
      <c r="S206" s="52" cm="1">
        <f t="array" ref="S206">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7"/>
      <c r="E207" s="57" t="str">
        <f>'Input - Swine'!$D$88</f>
        <v>Direct application</v>
      </c>
      <c r="F207" s="52" cm="1">
        <f t="array" ref="F207">MMS_Swine_ManureAppliedToSoils_Equations.VEERG_4_5_1_9__2_MassOfNitrogenAppliedToSoilsScope3(F47,_xlfn.XLOOKUP($E207,$D$123:$D$129,$E$123:$E$129), _xlfn.XLOOKUP($E207,$D$112:$D$118,$E$112:$E$118),F77,$F107)</f>
        <v>0</v>
      </c>
      <c r="G207" s="52" cm="1">
        <f t="array" ref="G207">MMS_Swine_ManureAppliedToSoils_Equations.VEERG_4_5_1_9__2_MassOfNitrogenAppliedToSoilsScope3(G47,_xlfn.XLOOKUP($E207,$D$123:$D$129,$E$123:$E$129), _xlfn.XLOOKUP($E207,$D$112:$D$118,$E$112:$E$118),G77,$F107)</f>
        <v>0</v>
      </c>
      <c r="H207" s="52" cm="1">
        <f t="array" ref="H207">MMS_Swine_ManureAppliedToSoils_Equations.VEERG_4_5_1_9__2_MassOfNitrogenAppliedToSoilsScope3(H47,_xlfn.XLOOKUP($E207,$D$123:$D$129,$E$123:$E$129), _xlfn.XLOOKUP($E207,$D$112:$D$118,$E$112:$E$118),H77,$F107)</f>
        <v>0</v>
      </c>
      <c r="I207" s="52" cm="1">
        <f t="array" ref="I207">MMS_Swine_ManureAppliedToSoils_Equations.VEERG_4_5_1_9__2_MassOfNitrogenAppliedToSoilsScope3(I47,_xlfn.XLOOKUP($E207,$D$123:$D$129,$E$123:$E$129), _xlfn.XLOOKUP($E207,$D$112:$D$118,$E$112:$E$118),I77,$F107)</f>
        <v>0</v>
      </c>
      <c r="J207" s="2"/>
      <c r="N207" s="57"/>
      <c r="O207" s="57" t="str">
        <f>'Input - Swine'!$D$88</f>
        <v>Direct application</v>
      </c>
      <c r="P207" s="52" cm="1">
        <f t="array" ref="P207">MMS_Swine_ManureAppliedToSoils_Equations.VEERG_4_5_1_9__2_MassOfNitrogenAppliedToSoilsScope3(P47,_xlfn.XLOOKUP($O207,$D$123:$D$129,$E$123:$E$129), _xlfn.XLOOKUP($O207,$D$112:$D$118,$E$112:$E$118),P77,$F107)</f>
        <v>0</v>
      </c>
      <c r="Q207" s="52" cm="1">
        <f t="array" ref="Q207">MMS_Swine_ManureAppliedToSoils_Equations.VEERG_4_5_1_9__2_MassOfNitrogenAppliedToSoilsScope3(Q47,_xlfn.XLOOKUP($O207,$D$123:$D$129,$E$123:$E$129), _xlfn.XLOOKUP($O207,$D$112:$D$118,$E$112:$E$118),Q77,$F107)</f>
        <v>0</v>
      </c>
      <c r="R207" s="52" cm="1">
        <f t="array" ref="R207">MMS_Swine_ManureAppliedToSoils_Equations.VEERG_4_5_1_9__2_MassOfNitrogenAppliedToSoilsScope3(R47,_xlfn.XLOOKUP($O207,$D$123:$D$129,$E$123:$E$129), _xlfn.XLOOKUP($O207,$D$112:$D$118,$E$112:$E$118),R77,$F107)</f>
        <v>0</v>
      </c>
      <c r="S207" s="52" cm="1">
        <f t="array" ref="S207">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101" t="s">
        <v>318</v>
      </c>
      <c r="E209" s="102">
        <f>SUM(F182:I207)</f>
        <v>653.20846285499988</v>
      </c>
      <c r="F209" s="103" t="str">
        <f>$E$11</f>
        <v>kg N</v>
      </c>
      <c r="N209" s="101" t="s">
        <v>318</v>
      </c>
      <c r="O209" s="102">
        <f>SUM(P182:S207)</f>
        <v>653.20846285499988</v>
      </c>
      <c r="P209" s="103" t="str">
        <f>$E$11</f>
        <v>kg N</v>
      </c>
    </row>
    <row r="210" spans="1:21" ht="20.100000000000001" customHeight="1" x14ac:dyDescent="0.25"/>
    <row r="211" spans="1:21" ht="20.100000000000001" customHeight="1" x14ac:dyDescent="0.25">
      <c r="A211" s="150" t="str">
        <f>HYPERLINK("#A1", "▲ Back to top")</f>
        <v>▲ Back to top</v>
      </c>
    </row>
    <row r="212" spans="1:21" ht="20.100000000000001" customHeight="1" x14ac:dyDescent="0.25">
      <c r="C212" s="45"/>
      <c r="D212" s="45"/>
      <c r="E212" s="45"/>
      <c r="F212" s="45"/>
      <c r="G212" s="45"/>
      <c r="H212" s="45"/>
      <c r="I212" s="45"/>
      <c r="J212" s="45"/>
      <c r="K212" s="45"/>
      <c r="M212" s="45"/>
      <c r="N212" s="45"/>
      <c r="O212" s="45"/>
      <c r="P212" s="45"/>
      <c r="Q212" s="45"/>
      <c r="R212" s="45"/>
      <c r="S212" s="45"/>
      <c r="T212" s="45"/>
      <c r="U212" s="45"/>
    </row>
    <row r="213" spans="1:21" ht="20.100000000000001" customHeight="1" x14ac:dyDescent="0.25">
      <c r="D213" s="136" t="str">
        <f>"Below are applications of " &amp; D110 &amp; " that are applied to the following contexts:"</f>
        <v>Below are applications of Fraction of N volatilised from MMS that are applied to the following contexts:</v>
      </c>
      <c r="E213" s="91"/>
      <c r="F213" s="91"/>
      <c r="G213" s="91"/>
      <c r="H213" s="87"/>
    </row>
    <row r="214" spans="1:21" ht="20.100000000000001" customHeight="1" x14ac:dyDescent="0.25">
      <c r="D214" s="93" t="s">
        <v>319</v>
      </c>
      <c r="E214" s="90"/>
      <c r="F214" s="90"/>
      <c r="G214" s="90"/>
      <c r="H214" s="88"/>
    </row>
    <row r="215" spans="1:21" ht="20.100000000000001" customHeight="1" x14ac:dyDescent="0.25"/>
    <row r="216" spans="1:21" ht="20.100000000000001" customHeight="1" x14ac:dyDescent="0.25">
      <c r="D216" s="6" t="s">
        <v>320</v>
      </c>
    </row>
    <row r="217" spans="1:21" ht="20.100000000000001" customHeight="1" x14ac:dyDescent="0.25"/>
    <row r="218" spans="1:21" ht="20.100000000000001" customHeight="1" x14ac:dyDescent="0.25">
      <c r="D218" s="121" t="s">
        <v>321</v>
      </c>
    </row>
    <row r="219" spans="1:21" ht="20.100000000000001" customHeight="1" x14ac:dyDescent="0.25">
      <c r="D219" s="122" t="s">
        <v>322</v>
      </c>
    </row>
    <row r="220" spans="1:21" ht="20.100000000000001" customHeight="1" x14ac:dyDescent="0.25">
      <c r="D220" s="51" t="s">
        <v>163</v>
      </c>
      <c r="E220" s="51" t="s">
        <v>171</v>
      </c>
      <c r="F220" s="51" t="s">
        <v>323</v>
      </c>
    </row>
    <row r="221" spans="1:21" ht="20.100000000000001" customHeight="1" x14ac:dyDescent="0.25">
      <c r="D221" s="57" t="str">
        <f>'Input - Swine'!$D$29</f>
        <v>Anaerobic lagoon</v>
      </c>
      <c r="E221" s="57" t="str">
        <f>'Input - Swine'!$D$48</f>
        <v>Digester / covered lagoons</v>
      </c>
      <c r="F221" s="52">
        <f>'Input - Swine'!K48</f>
        <v>0.25</v>
      </c>
      <c r="G221" s="2" t="s">
        <v>121</v>
      </c>
    </row>
    <row r="222" spans="1:21" ht="20.100000000000001" customHeight="1" x14ac:dyDescent="0.25">
      <c r="D222" s="57"/>
      <c r="E222" s="57" t="str">
        <f>'Input - Swine'!$D$49</f>
        <v>Deep litter</v>
      </c>
      <c r="F222" s="52">
        <f>'Input - Swine'!K49</f>
        <v>0.25</v>
      </c>
      <c r="G222" s="2"/>
    </row>
    <row r="223" spans="1:21" ht="20.100000000000001" customHeight="1" x14ac:dyDescent="0.25">
      <c r="D223" s="57"/>
      <c r="E223" s="57" t="str">
        <f>'Input - Swine'!$D$50</f>
        <v>Pit storage</v>
      </c>
      <c r="F223" s="52">
        <f>'Input - Swine'!K50</f>
        <v>0.25</v>
      </c>
      <c r="G223" s="2"/>
    </row>
    <row r="224" spans="1:21" ht="20.100000000000001" customHeight="1" x14ac:dyDescent="0.25">
      <c r="D224" s="57"/>
      <c r="E224" s="57" t="str">
        <f>'Input - Swine'!$D$51</f>
        <v>Direct application</v>
      </c>
      <c r="F224" s="52">
        <f>'Input - Swine'!K51</f>
        <v>0</v>
      </c>
      <c r="G224" s="2"/>
    </row>
    <row r="225" spans="4:7" ht="20.100000000000001" customHeight="1" x14ac:dyDescent="0.25">
      <c r="D225" s="57" t="str">
        <f>'Input - Swine'!$D$30</f>
        <v>Drylot (feed pad)</v>
      </c>
      <c r="E225" s="57" t="str">
        <f>'Input - Swine'!$D$55</f>
        <v>Anaerobic lagoon</v>
      </c>
      <c r="F225" s="52">
        <f>'Input - Swine'!K55</f>
        <v>0.25</v>
      </c>
      <c r="G225" s="2"/>
    </row>
    <row r="226" spans="4:7" ht="20.100000000000001" customHeight="1" x14ac:dyDescent="0.25">
      <c r="D226" s="57"/>
      <c r="E226" s="57" t="str">
        <f>'Input - Swine'!$D$56</f>
        <v>Digester / covered lagoons</v>
      </c>
      <c r="F226" s="52">
        <f>'Input - Swine'!K56</f>
        <v>0.25</v>
      </c>
      <c r="G226" s="2"/>
    </row>
    <row r="227" spans="4:7" ht="20.100000000000001" customHeight="1" x14ac:dyDescent="0.25">
      <c r="D227" s="57"/>
      <c r="E227" s="57" t="str">
        <f>'Input - Swine'!$D$57</f>
        <v>Deep litter</v>
      </c>
      <c r="F227" s="52">
        <f>'Input - Swine'!K57</f>
        <v>0.25</v>
      </c>
      <c r="G227" s="2"/>
    </row>
    <row r="228" spans="4:7" ht="20.100000000000001" customHeight="1" x14ac:dyDescent="0.25">
      <c r="D228" s="57"/>
      <c r="E228" s="57" t="str">
        <f>'Input - Swine'!$D$58</f>
        <v>Pit storage</v>
      </c>
      <c r="F228" s="52">
        <f>'Input - Swine'!K58</f>
        <v>0.25</v>
      </c>
      <c r="G228" s="2"/>
    </row>
    <row r="229" spans="4:7" ht="20.100000000000001" customHeight="1" x14ac:dyDescent="0.25">
      <c r="D229" s="57"/>
      <c r="E229" s="57" t="str">
        <f>'Input - Swine'!$D$59</f>
        <v>Direct application</v>
      </c>
      <c r="F229" s="52">
        <f>'Input - Swine'!K59</f>
        <v>0</v>
      </c>
      <c r="G229" s="2"/>
    </row>
    <row r="230" spans="4:7" ht="20.100000000000001" customHeight="1" x14ac:dyDescent="0.25">
      <c r="D230" s="57" t="str">
        <f>'Input - Swine'!$D$31</f>
        <v>Digester / covered lagoons</v>
      </c>
      <c r="E230" s="57" t="str">
        <f>'Input - Swine'!$D$63</f>
        <v>Anaerobic lagoon</v>
      </c>
      <c r="F230" s="52">
        <f>'Input - Swine'!K63</f>
        <v>0.25</v>
      </c>
      <c r="G230" s="2"/>
    </row>
    <row r="231" spans="4:7" ht="20.100000000000001" customHeight="1" x14ac:dyDescent="0.25">
      <c r="D231" s="57"/>
      <c r="E231" s="57" t="str">
        <f>'Input - Swine'!$D$64</f>
        <v>Deep litter</v>
      </c>
      <c r="F231" s="52">
        <f>'Input - Swine'!K64</f>
        <v>0.25</v>
      </c>
      <c r="G231" s="2"/>
    </row>
    <row r="232" spans="4:7" ht="20.100000000000001" customHeight="1" x14ac:dyDescent="0.25">
      <c r="D232" s="57"/>
      <c r="E232" s="57" t="str">
        <f>'Input - Swine'!$D$65</f>
        <v>Pit storage</v>
      </c>
      <c r="F232" s="52">
        <f>'Input - Swine'!K65</f>
        <v>0.25</v>
      </c>
      <c r="G232" s="2"/>
    </row>
    <row r="233" spans="4:7" ht="20.100000000000001" customHeight="1" x14ac:dyDescent="0.25">
      <c r="D233" s="57"/>
      <c r="E233" s="57" t="str">
        <f>'Input - Swine'!$D$66</f>
        <v>Direct application</v>
      </c>
      <c r="F233" s="52">
        <f>'Input - Swine'!K66</f>
        <v>0</v>
      </c>
      <c r="G233" s="2"/>
    </row>
    <row r="234" spans="4:7" ht="20.100000000000001" customHeight="1" x14ac:dyDescent="0.25">
      <c r="D234" s="57" t="str">
        <f>'Input - Swine'!$D$32</f>
        <v>Deep litter</v>
      </c>
      <c r="E234" s="57" t="str">
        <f>'Input - Swine'!$D$70</f>
        <v>Anaerobic lagoon</v>
      </c>
      <c r="F234" s="52">
        <f>'Input - Swine'!K70</f>
        <v>0.25</v>
      </c>
      <c r="G234" s="2"/>
    </row>
    <row r="235" spans="4:7" ht="20.100000000000001" customHeight="1" x14ac:dyDescent="0.25">
      <c r="D235" s="57"/>
      <c r="E235" s="57" t="str">
        <f>'Input - Swine'!$D$71</f>
        <v>Digester / covered lagoons</v>
      </c>
      <c r="F235" s="52">
        <f>'Input - Swine'!K71</f>
        <v>0.25</v>
      </c>
      <c r="G235" s="2"/>
    </row>
    <row r="236" spans="4:7" ht="20.100000000000001" customHeight="1" x14ac:dyDescent="0.25">
      <c r="D236" s="57"/>
      <c r="E236" s="57" t="str">
        <f>'Input - Swine'!$D$72</f>
        <v>Pit storage</v>
      </c>
      <c r="F236" s="52">
        <f>'Input - Swine'!K72</f>
        <v>0.25</v>
      </c>
      <c r="G236" s="2"/>
    </row>
    <row r="237" spans="4:7" ht="20.100000000000001" customHeight="1" x14ac:dyDescent="0.25">
      <c r="D237" s="57"/>
      <c r="E237" s="57" t="str">
        <f>'Input - Swine'!$D$73</f>
        <v>Direct application</v>
      </c>
      <c r="F237" s="52">
        <f>'Input - Swine'!K73</f>
        <v>0</v>
      </c>
      <c r="G237" s="2"/>
    </row>
    <row r="238" spans="4:7" ht="20.100000000000001" customHeight="1" x14ac:dyDescent="0.25">
      <c r="D238" s="57" t="str">
        <f>'Input - Swine'!$D$33</f>
        <v>Pit storage</v>
      </c>
      <c r="E238" s="57" t="str">
        <f>'Input - Swine'!$D$77</f>
        <v>Anaerobic lagoon</v>
      </c>
      <c r="F238" s="52">
        <f>'Input - Swine'!K77</f>
        <v>0.25</v>
      </c>
      <c r="G238" s="2"/>
    </row>
    <row r="239" spans="4:7" ht="20.100000000000001" customHeight="1" x14ac:dyDescent="0.25">
      <c r="D239" s="57"/>
      <c r="E239" s="57" t="str">
        <f>'Input - Swine'!$D$78</f>
        <v>Digester / covered lagoons</v>
      </c>
      <c r="F239" s="52">
        <f>'Input - Swine'!K78</f>
        <v>0.25</v>
      </c>
      <c r="G239" s="2"/>
    </row>
    <row r="240" spans="4:7" ht="20.100000000000001" customHeight="1" x14ac:dyDescent="0.25">
      <c r="D240" s="57"/>
      <c r="E240" s="57" t="str">
        <f>'Input - Swine'!$D$79</f>
        <v>Deep litter</v>
      </c>
      <c r="F240" s="52">
        <f>'Input - Swine'!K79</f>
        <v>0.25</v>
      </c>
      <c r="G240" s="2"/>
    </row>
    <row r="241" spans="1:20" ht="20.100000000000001" customHeight="1" x14ac:dyDescent="0.25">
      <c r="D241" s="57"/>
      <c r="E241" s="57" t="str">
        <f>'Input - Swine'!$D$80</f>
        <v>Direct application</v>
      </c>
      <c r="F241" s="52">
        <f>'Input - Swine'!K80</f>
        <v>0</v>
      </c>
      <c r="G241" s="2"/>
    </row>
    <row r="242" spans="1:20" ht="20.100000000000001" customHeight="1" x14ac:dyDescent="0.25">
      <c r="D242" s="57" t="str">
        <f>'Input - Swine'!$D$34</f>
        <v>Solid storage</v>
      </c>
      <c r="E242" s="57" t="str">
        <f>'Input - Swine'!$D$84</f>
        <v>Anaerobic lagoon</v>
      </c>
      <c r="F242" s="52">
        <f>'Input - Swine'!K84</f>
        <v>0.25</v>
      </c>
      <c r="G242" s="2"/>
    </row>
    <row r="243" spans="1:20" ht="20.100000000000001" customHeight="1" x14ac:dyDescent="0.25">
      <c r="D243" s="57"/>
      <c r="E243" s="57" t="str">
        <f>'Input - Swine'!$D$85</f>
        <v>Digester / covered lagoons</v>
      </c>
      <c r="F243" s="52">
        <f>'Input - Swine'!K85</f>
        <v>0.25</v>
      </c>
      <c r="G243" s="2"/>
    </row>
    <row r="244" spans="1:20" ht="20.100000000000001" customHeight="1" x14ac:dyDescent="0.25">
      <c r="D244" s="57"/>
      <c r="E244" s="57" t="str">
        <f>'Input - Swine'!$D$86</f>
        <v>Deep litter</v>
      </c>
      <c r="F244" s="52">
        <f>'Input - Swine'!K86</f>
        <v>0.25</v>
      </c>
      <c r="G244" s="2"/>
    </row>
    <row r="245" spans="1:20" ht="20.100000000000001" customHeight="1" x14ac:dyDescent="0.25">
      <c r="D245" s="57"/>
      <c r="E245" s="57" t="str">
        <f>'Input - Swine'!$D$87</f>
        <v>Pit storage</v>
      </c>
      <c r="F245" s="52">
        <f>'Input - Swine'!K87</f>
        <v>0.25</v>
      </c>
      <c r="G245" s="2"/>
    </row>
    <row r="246" spans="1:20" ht="20.100000000000001" customHeight="1" x14ac:dyDescent="0.25">
      <c r="D246" s="57"/>
      <c r="E246" s="57" t="str">
        <f>'Input - Swine'!$D$88</f>
        <v>Direct application</v>
      </c>
      <c r="F246" s="52">
        <f>'Input - Swine'!K88</f>
        <v>0</v>
      </c>
      <c r="G246" s="2"/>
    </row>
    <row r="247" spans="1:20" ht="20.100000000000001" customHeight="1" x14ac:dyDescent="0.25">
      <c r="A247" s="150" t="str">
        <f>HYPERLINK("#A1", "▲ Back to top")</f>
        <v>▲ Back to top</v>
      </c>
    </row>
    <row r="248" spans="1:20" ht="20.100000000000001" customHeight="1" x14ac:dyDescent="0.25">
      <c r="D248" s="121" t="s">
        <v>324</v>
      </c>
      <c r="N248" s="121" t="s">
        <v>326</v>
      </c>
    </row>
    <row r="249" spans="1:20" ht="20.100000000000001" customHeight="1" x14ac:dyDescent="0.25">
      <c r="D249" s="122" t="s">
        <v>327</v>
      </c>
      <c r="N249" s="122" t="s">
        <v>328</v>
      </c>
    </row>
    <row r="250" spans="1:20" ht="20.100000000000001" customHeight="1" x14ac:dyDescent="0.25">
      <c r="D250" s="51" t="s">
        <v>163</v>
      </c>
      <c r="E250" s="51" t="s">
        <v>171</v>
      </c>
      <c r="F250" s="51" t="s">
        <v>142</v>
      </c>
      <c r="G250" s="51" t="s">
        <v>143</v>
      </c>
      <c r="H250" s="51" t="s">
        <v>144</v>
      </c>
      <c r="I250" s="51" t="s">
        <v>206</v>
      </c>
      <c r="N250" s="51" t="s">
        <v>163</v>
      </c>
      <c r="O250" s="51" t="s">
        <v>171</v>
      </c>
      <c r="P250" s="51" t="s">
        <v>142</v>
      </c>
      <c r="Q250" s="51" t="s">
        <v>143</v>
      </c>
      <c r="R250" s="51" t="s">
        <v>144</v>
      </c>
      <c r="S250" s="51" t="s">
        <v>206</v>
      </c>
    </row>
    <row r="251" spans="1:20" ht="20.100000000000001" customHeight="1" x14ac:dyDescent="0.25">
      <c r="D251" s="57" t="str">
        <f>'Input - Swine'!$D$29</f>
        <v>Anaerobic lagoon</v>
      </c>
      <c r="E251" s="57" t="str">
        <f>'Input - Swine'!$D$48</f>
        <v>Digester / covered lagoons</v>
      </c>
      <c r="F251" s="52" cm="1">
        <f t="array" ref="F251">MMS_Swine_ManureAppliedToSoils_Equations.VEERG_4_5_1_9__1_MassOfNitrogenAppliedToSoilsScope1(F22,_xlfn.XLOOKUP($E251,$D$123:$D$129,$E$123:$E$129), _xlfn.XLOOKUP($E251,$D$112:$D$118,$E$112:$E$118),F52,$F221)</f>
        <v>4.5332999999999988</v>
      </c>
      <c r="G251" s="52" cm="1">
        <f t="array" ref="G251">MMS_Swine_ManureAppliedToSoils_Equations.VEERG_4_5_1_9__1_MassOfNitrogenAppliedToSoilsScope1(G22,_xlfn.XLOOKUP($E251,$D$123:$D$129,$E$123:$E$129), _xlfn.XLOOKUP($E251,$D$112:$D$118,$E$112:$E$118),G52,$F221)</f>
        <v>6.0361875000000005</v>
      </c>
      <c r="H251" s="52" cm="1">
        <f t="array" ref="H251">MMS_Swine_ManureAppliedToSoils_Equations.VEERG_4_5_1_9__1_MassOfNitrogenAppliedToSoilsScope1(H22,_xlfn.XLOOKUP($E251,$D$123:$D$129,$E$123:$E$129), _xlfn.XLOOKUP($E251,$D$112:$D$118,$E$112:$E$118),H52,$F221)</f>
        <v>5.666624999999998</v>
      </c>
      <c r="I251" s="52" cm="1">
        <f t="array" ref="I251">MMS_Swine_ManureAppliedToSoils_Equations.VEERG_4_5_1_9__1_MassOfNitrogenAppliedToSoilsScope1(I22,_xlfn.XLOOKUP($E251,$D$123:$D$129,$E$123:$E$129), _xlfn.XLOOKUP($E251,$D$112:$D$118,$E$112:$E$118),I52,$F221)</f>
        <v>3.8434499999999989</v>
      </c>
      <c r="J251" s="2" t="str">
        <f t="shared" ref="J251" si="1">$E$11</f>
        <v>kg N</v>
      </c>
      <c r="N251" s="57" t="str">
        <f>'Input - Swine'!$D$29</f>
        <v>Anaerobic lagoon</v>
      </c>
      <c r="O251" s="57" t="str">
        <f>'Input - Swine'!$D$48</f>
        <v>Digester / covered lagoons</v>
      </c>
      <c r="P251" s="52" cm="1">
        <f t="array" ref="P251">MMS_Swine_ManureAppliedToSoils_Equations.VEERG_4_5_1_9__1_MassOfNitrogenAppliedToSoilsScope1(P22,_xlfn.XLOOKUP($E251,$D$123:$D$129,$E$123:$E$129), _xlfn.XLOOKUP($E251,$D$112:$D$118,$E$112:$E$118),P52,$F221)</f>
        <v>4.5332999999999988</v>
      </c>
      <c r="Q251" s="52" cm="1">
        <f t="array" ref="Q251">MMS_Swine_ManureAppliedToSoils_Equations.VEERG_4_5_1_9__1_MassOfNitrogenAppliedToSoilsScope1(Q22,_xlfn.XLOOKUP($E251,$D$123:$D$129,$E$123:$E$129), _xlfn.XLOOKUP($E251,$D$112:$D$118,$E$112:$E$118),Q52,$F221)</f>
        <v>6.0361875000000005</v>
      </c>
      <c r="R251" s="52" cm="1">
        <f t="array" ref="R251">MMS_Swine_ManureAppliedToSoils_Equations.VEERG_4_5_1_9__1_MassOfNitrogenAppliedToSoilsScope1(R22,_xlfn.XLOOKUP($E251,$D$123:$D$129,$E$123:$E$129), _xlfn.XLOOKUP($E251,$D$112:$D$118,$E$112:$E$118),R52,$F221)</f>
        <v>5.666624999999998</v>
      </c>
      <c r="S251" s="52" cm="1">
        <f t="array" ref="S25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7"/>
      <c r="E252" s="57" t="str">
        <f>'Input - Swine'!$D$49</f>
        <v>Deep litter</v>
      </c>
      <c r="F252" s="52" cm="1">
        <f t="array" ref="F252">MMS_Swine_ManureAppliedToSoils_Equations.VEERG_4_5_1_9__1_MassOfNitrogenAppliedToSoilsScope1(F23,_xlfn.XLOOKUP($E252,$D$123:$D$129,$E$123:$E$129), _xlfn.XLOOKUP($E252,$D$112:$D$118,$E$112:$E$118),F53,$F222)</f>
        <v>3.9213044999999989</v>
      </c>
      <c r="G252" s="52" cm="1">
        <f t="array" ref="G252">MMS_Swine_ManureAppliedToSoils_Equations.VEERG_4_5_1_9__1_MassOfNitrogenAppliedToSoilsScope1(G23,_xlfn.XLOOKUP($E252,$D$123:$D$129,$E$123:$E$129), _xlfn.XLOOKUP($E252,$D$112:$D$118,$E$112:$E$118),G53,$F222)</f>
        <v>5.2213021875000001</v>
      </c>
      <c r="H252" s="52" cm="1">
        <f t="array" ref="H252">MMS_Swine_ManureAppliedToSoils_Equations.VEERG_4_5_1_9__1_MassOfNitrogenAppliedToSoilsScope1(H23,_xlfn.XLOOKUP($E252,$D$123:$D$129,$E$123:$E$129), _xlfn.XLOOKUP($E252,$D$112:$D$118,$E$112:$E$118),H53,$F222)</f>
        <v>4.9016306249999984</v>
      </c>
      <c r="I252" s="52" cm="1">
        <f t="array" ref="I252">MMS_Swine_ManureAppliedToSoils_Equations.VEERG_4_5_1_9__1_MassOfNitrogenAppliedToSoilsScope1(I23,_xlfn.XLOOKUP($E252,$D$123:$D$129,$E$123:$E$129), _xlfn.XLOOKUP($E252,$D$112:$D$118,$E$112:$E$118),I53,$F222)</f>
        <v>3.3245842499999991</v>
      </c>
      <c r="J252" s="2"/>
      <c r="N252" s="57"/>
      <c r="O252" s="57" t="str">
        <f>'Input - Swine'!$D$49</f>
        <v>Deep litter</v>
      </c>
      <c r="P252" s="52" cm="1">
        <f t="array" ref="P252">MMS_Swine_ManureAppliedToSoils_Equations.VEERG_4_5_1_9__1_MassOfNitrogenAppliedToSoilsScope1(P23,_xlfn.XLOOKUP($E252,$D$123:$D$129,$E$123:$E$129), _xlfn.XLOOKUP($E252,$D$112:$D$118,$E$112:$E$118),P53,$F222)</f>
        <v>3.9213044999999989</v>
      </c>
      <c r="Q252" s="52" cm="1">
        <f t="array" ref="Q252">MMS_Swine_ManureAppliedToSoils_Equations.VEERG_4_5_1_9__1_MassOfNitrogenAppliedToSoilsScope1(Q23,_xlfn.XLOOKUP($E252,$D$123:$D$129,$E$123:$E$129), _xlfn.XLOOKUP($E252,$D$112:$D$118,$E$112:$E$118),Q53,$F222)</f>
        <v>5.2213021875000001</v>
      </c>
      <c r="R252" s="52" cm="1">
        <f t="array" ref="R252">MMS_Swine_ManureAppliedToSoils_Equations.VEERG_4_5_1_9__1_MassOfNitrogenAppliedToSoilsScope1(R23,_xlfn.XLOOKUP($E252,$D$123:$D$129,$E$123:$E$129), _xlfn.XLOOKUP($E252,$D$112:$D$118,$E$112:$E$118),R53,$F222)</f>
        <v>4.9016306249999984</v>
      </c>
      <c r="S252" s="52" cm="1">
        <f t="array" ref="S252">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7"/>
      <c r="E253" s="57" t="str">
        <f>'Input - Swine'!$D$50</f>
        <v>Pit storage</v>
      </c>
      <c r="F253" s="52" cm="1">
        <f t="array" ref="F253">MMS_Swine_ManureAppliedToSoils_Equations.VEERG_4_5_1_9__1_MassOfNitrogenAppliedToSoilsScope1(F24,_xlfn.XLOOKUP($E253,$D$123:$D$129,$E$123:$E$129), _xlfn.XLOOKUP($E253,$D$112:$D$118,$E$112:$E$118),F54,$F223)</f>
        <v>3.3909083999999989</v>
      </c>
      <c r="G253" s="52" cm="1">
        <f t="array" ref="G253">MMS_Swine_ManureAppliedToSoils_Equations.VEERG_4_5_1_9__1_MassOfNitrogenAppliedToSoilsScope1(G24,_xlfn.XLOOKUP($E253,$D$123:$D$129,$E$123:$E$129), _xlfn.XLOOKUP($E253,$D$112:$D$118,$E$112:$E$118),G54,$F223)</f>
        <v>4.5150682500000006</v>
      </c>
      <c r="H253" s="52" cm="1">
        <f t="array" ref="H253">MMS_Swine_ManureAppliedToSoils_Equations.VEERG_4_5_1_9__1_MassOfNitrogenAppliedToSoilsScope1(H24,_xlfn.XLOOKUP($E253,$D$123:$D$129,$E$123:$E$129), _xlfn.XLOOKUP($E253,$D$112:$D$118,$E$112:$E$118),H54,$F223)</f>
        <v>4.2386354999999982</v>
      </c>
      <c r="I253" s="52" cm="1">
        <f t="array" ref="I253">MMS_Swine_ManureAppliedToSoils_Equations.VEERG_4_5_1_9__1_MassOfNitrogenAppliedToSoilsScope1(I24,_xlfn.XLOOKUP($E253,$D$123:$D$129,$E$123:$E$129), _xlfn.XLOOKUP($E253,$D$112:$D$118,$E$112:$E$118),I54,$F223)</f>
        <v>2.8749005999999993</v>
      </c>
      <c r="J253" s="2"/>
      <c r="N253" s="57"/>
      <c r="O253" s="57" t="str">
        <f>'Input - Swine'!$D$50</f>
        <v>Pit storage</v>
      </c>
      <c r="P253" s="52" cm="1">
        <f t="array" ref="P253">MMS_Swine_ManureAppliedToSoils_Equations.VEERG_4_5_1_9__1_MassOfNitrogenAppliedToSoilsScope1(P24,_xlfn.XLOOKUP($E253,$D$123:$D$129,$E$123:$E$129), _xlfn.XLOOKUP($E253,$D$112:$D$118,$E$112:$E$118),P54,$F223)</f>
        <v>3.3909083999999989</v>
      </c>
      <c r="Q253" s="52" cm="1">
        <f t="array" ref="Q253">MMS_Swine_ManureAppliedToSoils_Equations.VEERG_4_5_1_9__1_MassOfNitrogenAppliedToSoilsScope1(Q24,_xlfn.XLOOKUP($E253,$D$123:$D$129,$E$123:$E$129), _xlfn.XLOOKUP($E253,$D$112:$D$118,$E$112:$E$118),Q54,$F223)</f>
        <v>4.5150682500000006</v>
      </c>
      <c r="R253" s="52" cm="1">
        <f t="array" ref="R253">MMS_Swine_ManureAppliedToSoils_Equations.VEERG_4_5_1_9__1_MassOfNitrogenAppliedToSoilsScope1(R24,_xlfn.XLOOKUP($E253,$D$123:$D$129,$E$123:$E$129), _xlfn.XLOOKUP($E253,$D$112:$D$118,$E$112:$E$118),R54,$F223)</f>
        <v>4.2386354999999982</v>
      </c>
      <c r="S253" s="52" cm="1">
        <f t="array" ref="S253">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7"/>
      <c r="E254" s="57" t="str">
        <f>'Input - Swine'!$D$51</f>
        <v>Direct application</v>
      </c>
      <c r="F254" s="52" cm="1">
        <f t="array" ref="F254">MMS_Swine_ManureAppliedToSoils_Equations.VEERG_4_5_1_9__1_MassOfNitrogenAppliedToSoilsScope1(F25,_xlfn.XLOOKUP($E254,$D$123:$D$129,$E$123:$E$129), _xlfn.XLOOKUP($E254,$D$112:$D$118,$E$112:$E$118),F55,$F224)</f>
        <v>0</v>
      </c>
      <c r="G254" s="52" cm="1">
        <f t="array" ref="G254">MMS_Swine_ManureAppliedToSoils_Equations.VEERG_4_5_1_9__1_MassOfNitrogenAppliedToSoilsScope1(G25,_xlfn.XLOOKUP($E254,$D$123:$D$129,$E$123:$E$129), _xlfn.XLOOKUP($E254,$D$112:$D$118,$E$112:$E$118),G55,$F224)</f>
        <v>0</v>
      </c>
      <c r="H254" s="52" cm="1">
        <f t="array" ref="H254">MMS_Swine_ManureAppliedToSoils_Equations.VEERG_4_5_1_9__1_MassOfNitrogenAppliedToSoilsScope1(H25,_xlfn.XLOOKUP($E254,$D$123:$D$129,$E$123:$E$129), _xlfn.XLOOKUP($E254,$D$112:$D$118,$E$112:$E$118),H55,$F224)</f>
        <v>0</v>
      </c>
      <c r="I254" s="52" cm="1">
        <f t="array" ref="I254">MMS_Swine_ManureAppliedToSoils_Equations.VEERG_4_5_1_9__1_MassOfNitrogenAppliedToSoilsScope1(I25,_xlfn.XLOOKUP($E254,$D$123:$D$129,$E$123:$E$129), _xlfn.XLOOKUP($E254,$D$112:$D$118,$E$112:$E$118),I55,$F224)</f>
        <v>0</v>
      </c>
      <c r="J254" s="2"/>
      <c r="N254" s="57"/>
      <c r="O254" s="57" t="str">
        <f>'Input - Swine'!$D$51</f>
        <v>Direct application</v>
      </c>
      <c r="P254" s="52" cm="1">
        <f t="array" ref="P254">MMS_Swine_ManureAppliedToSoils_Equations.VEERG_4_5_1_9__1_MassOfNitrogenAppliedToSoilsScope1(P25,_xlfn.XLOOKUP($E254,$D$123:$D$129,$E$123:$E$129), _xlfn.XLOOKUP($E254,$D$112:$D$118,$E$112:$E$118),P55,$F224)</f>
        <v>0</v>
      </c>
      <c r="Q254" s="52" cm="1">
        <f t="array" ref="Q254">MMS_Swine_ManureAppliedToSoils_Equations.VEERG_4_5_1_9__1_MassOfNitrogenAppliedToSoilsScope1(Q25,_xlfn.XLOOKUP($E254,$D$123:$D$129,$E$123:$E$129), _xlfn.XLOOKUP($E254,$D$112:$D$118,$E$112:$E$118),Q55,$F224)</f>
        <v>0</v>
      </c>
      <c r="R254" s="52" cm="1">
        <f t="array" ref="R254">MMS_Swine_ManureAppliedToSoils_Equations.VEERG_4_5_1_9__1_MassOfNitrogenAppliedToSoilsScope1(R25,_xlfn.XLOOKUP($E254,$D$123:$D$129,$E$123:$E$129), _xlfn.XLOOKUP($E254,$D$112:$D$118,$E$112:$E$118),R55,$F224)</f>
        <v>0</v>
      </c>
      <c r="S254" s="52" cm="1">
        <f t="array" ref="S254">MMS_Swine_ManureAppliedToSoils_Equations.VEERG_4_5_1_9__1_MassOfNitrogenAppliedToSoilsScope1(S25,_xlfn.XLOOKUP($E254,$D$123:$D$129,$E$123:$E$129), _xlfn.XLOOKUP($E254,$D$112:$D$118,$E$112:$E$118),S55,$F224)</f>
        <v>0</v>
      </c>
      <c r="T254" s="2"/>
    </row>
    <row r="255" spans="1:20" ht="20.100000000000001" customHeight="1" x14ac:dyDescent="0.25">
      <c r="D255" s="57" t="str">
        <f>'Input - Swine'!$D$30</f>
        <v>Drylot (feed pad)</v>
      </c>
      <c r="E255" s="57" t="str">
        <f>'Input - Swine'!$D$55</f>
        <v>Anaerobic lagoon</v>
      </c>
      <c r="F255" s="52" cm="1">
        <f t="array" ref="F255">MMS_Swine_ManureAppliedToSoils_Equations.VEERG_4_5_1_9__1_MassOfNitrogenAppliedToSoilsScope1(F26,_xlfn.XLOOKUP($E255,$D$123:$D$129,$E$123:$E$129), _xlfn.XLOOKUP($E255,$D$112:$D$118,$E$112:$E$118),F56,$F225)</f>
        <v>2.0752439999999988</v>
      </c>
      <c r="G255" s="52" cm="1">
        <f t="array" ref="G255">MMS_Swine_ManureAppliedToSoils_Equations.VEERG_4_5_1_9__1_MassOfNitrogenAppliedToSoilsScope1(G26,_xlfn.XLOOKUP($E255,$D$123:$D$129,$E$123:$E$129), _xlfn.XLOOKUP($E255,$D$112:$D$118,$E$112:$E$118),G56,$F225)</f>
        <v>3.0315075</v>
      </c>
      <c r="H255" s="52" cm="1">
        <f t="array" ref="H255">MMS_Swine_ManureAppliedToSoils_Equations.VEERG_4_5_1_9__1_MassOfNitrogenAppliedToSoilsScope1(H26,_xlfn.XLOOKUP($E255,$D$123:$D$129,$E$123:$E$129), _xlfn.XLOOKUP($E255,$D$112:$D$118,$E$112:$E$118),H56,$F225)</f>
        <v>2.8459049999999984</v>
      </c>
      <c r="I255" s="52" cm="1">
        <f t="array" ref="I255">MMS_Swine_ManureAppliedToSoils_Equations.VEERG_4_5_1_9__1_MassOfNitrogenAppliedToSoilsScope1(I26,_xlfn.XLOOKUP($E255,$D$123:$D$129,$E$123:$E$129), _xlfn.XLOOKUP($E255,$D$112:$D$118,$E$112:$E$118),I56,$F225)</f>
        <v>1.9302659999999991</v>
      </c>
      <c r="J255" s="2"/>
      <c r="N255" s="57" t="str">
        <f>'Input - Swine'!$D$30</f>
        <v>Drylot (feed pad)</v>
      </c>
      <c r="O255" s="57" t="str">
        <f>'Input - Swine'!$D$55</f>
        <v>Anaerobic lagoon</v>
      </c>
      <c r="P255" s="52" cm="1">
        <f t="array" ref="P255">MMS_Swine_ManureAppliedToSoils_Equations.VEERG_4_5_1_9__1_MassOfNitrogenAppliedToSoilsScope1(P26,_xlfn.XLOOKUP($E255,$D$123:$D$129,$E$123:$E$129), _xlfn.XLOOKUP($E255,$D$112:$D$118,$E$112:$E$118),P56,$F225)</f>
        <v>2.0752439999999988</v>
      </c>
      <c r="Q255" s="52" cm="1">
        <f t="array" ref="Q255">MMS_Swine_ManureAppliedToSoils_Equations.VEERG_4_5_1_9__1_MassOfNitrogenAppliedToSoilsScope1(Q26,_xlfn.XLOOKUP($E255,$D$123:$D$129,$E$123:$E$129), _xlfn.XLOOKUP($E255,$D$112:$D$118,$E$112:$E$118),Q56,$F225)</f>
        <v>3.0315075</v>
      </c>
      <c r="R255" s="52" cm="1">
        <f t="array" ref="R255">MMS_Swine_ManureAppliedToSoils_Equations.VEERG_4_5_1_9__1_MassOfNitrogenAppliedToSoilsScope1(R26,_xlfn.XLOOKUP($E255,$D$123:$D$129,$E$123:$E$129), _xlfn.XLOOKUP($E255,$D$112:$D$118,$E$112:$E$118),R56,$F225)</f>
        <v>2.8459049999999984</v>
      </c>
      <c r="S255" s="52" cm="1">
        <f t="array" ref="S255">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7"/>
      <c r="E256" s="57" t="str">
        <f>'Input - Swine'!$D$56</f>
        <v>Digester / covered lagoons</v>
      </c>
      <c r="F256" s="52" cm="1">
        <f t="array" ref="F256">MMS_Swine_ManureAppliedToSoils_Equations.VEERG_4_5_1_9__1_MassOfNitrogenAppliedToSoilsScope1(F27,_xlfn.XLOOKUP($E256,$D$123:$D$129,$E$123:$E$129), _xlfn.XLOOKUP($E256,$D$112:$D$118,$E$112:$E$118),F57,$F226)</f>
        <v>5.8429199999999986</v>
      </c>
      <c r="G256" s="52" cm="1">
        <f t="array" ref="G256">MMS_Swine_ManureAppliedToSoils_Equations.VEERG_4_5_1_9__1_MassOfNitrogenAppliedToSoilsScope1(G27,_xlfn.XLOOKUP($E256,$D$123:$D$129,$E$123:$E$129), _xlfn.XLOOKUP($E256,$D$112:$D$118,$E$112:$E$118),G57,$F226)</f>
        <v>8.0482500000000012</v>
      </c>
      <c r="H256" s="52" cm="1">
        <f t="array" ref="H256">MMS_Swine_ManureAppliedToSoils_Equations.VEERG_4_5_1_9__1_MassOfNitrogenAppliedToSoilsScope1(H27,_xlfn.XLOOKUP($E256,$D$123:$D$129,$E$123:$E$129), _xlfn.XLOOKUP($E256,$D$112:$D$118,$E$112:$E$118),H57,$F226)</f>
        <v>7.5554999999999977</v>
      </c>
      <c r="I256" s="52" cm="1">
        <f t="array" ref="I256">MMS_Swine_ManureAppliedToSoils_Equations.VEERG_4_5_1_9__1_MassOfNitrogenAppliedToSoilsScope1(I27,_xlfn.XLOOKUP($E256,$D$123:$D$129,$E$123:$E$129), _xlfn.XLOOKUP($E256,$D$112:$D$118,$E$112:$E$118),I57,$F226)</f>
        <v>5.1245999999999983</v>
      </c>
      <c r="J256" s="2"/>
      <c r="N256" s="57"/>
      <c r="O256" s="57" t="str">
        <f>'Input - Swine'!$D$56</f>
        <v>Digester / covered lagoons</v>
      </c>
      <c r="P256" s="52" cm="1">
        <f t="array" ref="P256">MMS_Swine_ManureAppliedToSoils_Equations.VEERG_4_5_1_9__1_MassOfNitrogenAppliedToSoilsScope1(P27,_xlfn.XLOOKUP($E256,$D$123:$D$129,$E$123:$E$129), _xlfn.XLOOKUP($E256,$D$112:$D$118,$E$112:$E$118),P57,$F226)</f>
        <v>5.8429199999999986</v>
      </c>
      <c r="Q256" s="52" cm="1">
        <f t="array" ref="Q256">MMS_Swine_ManureAppliedToSoils_Equations.VEERG_4_5_1_9__1_MassOfNitrogenAppliedToSoilsScope1(Q27,_xlfn.XLOOKUP($E256,$D$123:$D$129,$E$123:$E$129), _xlfn.XLOOKUP($E256,$D$112:$D$118,$E$112:$E$118),Q57,$F226)</f>
        <v>8.0482500000000012</v>
      </c>
      <c r="R256" s="52" cm="1">
        <f t="array" ref="R256">MMS_Swine_ManureAppliedToSoils_Equations.VEERG_4_5_1_9__1_MassOfNitrogenAppliedToSoilsScope1(R27,_xlfn.XLOOKUP($E256,$D$123:$D$129,$E$123:$E$129), _xlfn.XLOOKUP($E256,$D$112:$D$118,$E$112:$E$118),R57,$F226)</f>
        <v>7.5554999999999977</v>
      </c>
      <c r="S256" s="52" cm="1">
        <f t="array" ref="S256">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7"/>
      <c r="E257" s="57" t="str">
        <f>'Input - Swine'!$D$57</f>
        <v>Deep litter</v>
      </c>
      <c r="F257" s="52" cm="1">
        <f t="array" ref="F257">MMS_Swine_ManureAppliedToSoils_Equations.VEERG_4_5_1_9__1_MassOfNitrogenAppliedToSoilsScope1(F28,_xlfn.XLOOKUP($E257,$D$123:$D$129,$E$123:$E$129), _xlfn.XLOOKUP($E257,$D$112:$D$118,$E$112:$E$118),F58,$F227)</f>
        <v>4.9181267999999987</v>
      </c>
      <c r="G257" s="52" cm="1">
        <f t="array" ref="G257">MMS_Swine_ManureAppliedToSoils_Equations.VEERG_4_5_1_9__1_MassOfNitrogenAppliedToSoilsScope1(G28,_xlfn.XLOOKUP($E257,$D$123:$D$129,$E$123:$E$129), _xlfn.XLOOKUP($E257,$D$112:$D$118,$E$112:$E$118),G58,$F227)</f>
        <v>6.816867750000001</v>
      </c>
      <c r="H257" s="52" cm="1">
        <f t="array" ref="H257">MMS_Swine_ManureAppliedToSoils_Equations.VEERG_4_5_1_9__1_MassOfNitrogenAppliedToSoilsScope1(H28,_xlfn.XLOOKUP($E257,$D$123:$D$129,$E$123:$E$129), _xlfn.XLOOKUP($E257,$D$112:$D$118,$E$112:$E$118),H58,$F227)</f>
        <v>6.3995084999999978</v>
      </c>
      <c r="I257" s="52" cm="1">
        <f t="array" ref="I257">MMS_Swine_ManureAppliedToSoils_Equations.VEERG_4_5_1_9__1_MassOfNitrogenAppliedToSoilsScope1(I28,_xlfn.XLOOKUP($E257,$D$123:$D$129,$E$123:$E$129), _xlfn.XLOOKUP($E257,$D$112:$D$118,$E$112:$E$118),I58,$F227)</f>
        <v>4.3405361999999981</v>
      </c>
      <c r="J257" s="2"/>
      <c r="N257" s="57"/>
      <c r="O257" s="57" t="str">
        <f>'Input - Swine'!$D$57</f>
        <v>Deep litter</v>
      </c>
      <c r="P257" s="52" cm="1">
        <f t="array" ref="P257">MMS_Swine_ManureAppliedToSoils_Equations.VEERG_4_5_1_9__1_MassOfNitrogenAppliedToSoilsScope1(P28,_xlfn.XLOOKUP($E257,$D$123:$D$129,$E$123:$E$129), _xlfn.XLOOKUP($E257,$D$112:$D$118,$E$112:$E$118),P58,$F227)</f>
        <v>4.9181267999999987</v>
      </c>
      <c r="Q257" s="52" cm="1">
        <f t="array" ref="Q257">MMS_Swine_ManureAppliedToSoils_Equations.VEERG_4_5_1_9__1_MassOfNitrogenAppliedToSoilsScope1(Q28,_xlfn.XLOOKUP($E257,$D$123:$D$129,$E$123:$E$129), _xlfn.XLOOKUP($E257,$D$112:$D$118,$E$112:$E$118),Q58,$F227)</f>
        <v>6.816867750000001</v>
      </c>
      <c r="R257" s="52" cm="1">
        <f t="array" ref="R257">MMS_Swine_ManureAppliedToSoils_Equations.VEERG_4_5_1_9__1_MassOfNitrogenAppliedToSoilsScope1(R28,_xlfn.XLOOKUP($E257,$D$123:$D$129,$E$123:$E$129), _xlfn.XLOOKUP($E257,$D$112:$D$118,$E$112:$E$118),R58,$F227)</f>
        <v>6.3995084999999978</v>
      </c>
      <c r="S257" s="52" cm="1">
        <f t="array" ref="S257">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7"/>
      <c r="E258" s="57" t="str">
        <f>'Input - Swine'!$D$58</f>
        <v>Pit storage</v>
      </c>
      <c r="F258" s="52" cm="1">
        <f t="array" ref="F258">MMS_Swine_ManureAppliedToSoils_Equations.VEERG_4_5_1_9__1_MassOfNitrogenAppliedToSoilsScope1(F29,_xlfn.XLOOKUP($E258,$D$123:$D$129,$E$123:$E$129), _xlfn.XLOOKUP($E258,$D$112:$D$118,$E$112:$E$118),F59,$F228)</f>
        <v>4.1166393599999989</v>
      </c>
      <c r="G258" s="52" cm="1">
        <f t="array" ref="G258">MMS_Swine_ManureAppliedToSoils_Equations.VEERG_4_5_1_9__1_MassOfNitrogenAppliedToSoilsScope1(G29,_xlfn.XLOOKUP($E258,$D$123:$D$129,$E$123:$E$129), _xlfn.XLOOKUP($E258,$D$112:$D$118,$E$112:$E$118),G59,$F228)</f>
        <v>5.7496698000000013</v>
      </c>
      <c r="H258" s="52" cm="1">
        <f t="array" ref="H258">MMS_Swine_ManureAppliedToSoils_Equations.VEERG_4_5_1_9__1_MassOfNitrogenAppliedToSoilsScope1(H29,_xlfn.XLOOKUP($E258,$D$123:$D$129,$E$123:$E$129), _xlfn.XLOOKUP($E258,$D$112:$D$118,$E$112:$E$118),H59,$F228)</f>
        <v>5.3976491999999983</v>
      </c>
      <c r="I258" s="52" cm="1">
        <f t="array" ref="I258">MMS_Swine_ManureAppliedToSoils_Equations.VEERG_4_5_1_9__1_MassOfNitrogenAppliedToSoilsScope1(I29,_xlfn.XLOOKUP($E258,$D$123:$D$129,$E$123:$E$129), _xlfn.XLOOKUP($E258,$D$112:$D$118,$E$112:$E$118),I59,$F228)</f>
        <v>3.6610142399999983</v>
      </c>
      <c r="J258" s="2"/>
      <c r="N258" s="57"/>
      <c r="O258" s="57" t="str">
        <f>'Input - Swine'!$D$58</f>
        <v>Pit storage</v>
      </c>
      <c r="P258" s="52" cm="1">
        <f t="array" ref="P258">MMS_Swine_ManureAppliedToSoils_Equations.VEERG_4_5_1_9__1_MassOfNitrogenAppliedToSoilsScope1(P29,_xlfn.XLOOKUP($E258,$D$123:$D$129,$E$123:$E$129), _xlfn.XLOOKUP($E258,$D$112:$D$118,$E$112:$E$118),P59,$F228)</f>
        <v>4.1166393599999989</v>
      </c>
      <c r="Q258" s="52" cm="1">
        <f t="array" ref="Q258">MMS_Swine_ManureAppliedToSoils_Equations.VEERG_4_5_1_9__1_MassOfNitrogenAppliedToSoilsScope1(Q29,_xlfn.XLOOKUP($E258,$D$123:$D$129,$E$123:$E$129), _xlfn.XLOOKUP($E258,$D$112:$D$118,$E$112:$E$118),Q59,$F228)</f>
        <v>5.7496698000000013</v>
      </c>
      <c r="R258" s="52" cm="1">
        <f t="array" ref="R258">MMS_Swine_ManureAppliedToSoils_Equations.VEERG_4_5_1_9__1_MassOfNitrogenAppliedToSoilsScope1(R29,_xlfn.XLOOKUP($E258,$D$123:$D$129,$E$123:$E$129), _xlfn.XLOOKUP($E258,$D$112:$D$118,$E$112:$E$118),R59,$F228)</f>
        <v>5.3976491999999983</v>
      </c>
      <c r="S258" s="52" cm="1">
        <f t="array" ref="S258">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7"/>
      <c r="E259" s="57" t="str">
        <f>'Input - Swine'!$D$59</f>
        <v>Direct application</v>
      </c>
      <c r="F259" s="52" cm="1">
        <f t="array" ref="F259">MMS_Swine_ManureAppliedToSoils_Equations.VEERG_4_5_1_9__1_MassOfNitrogenAppliedToSoilsScope1(F30,_xlfn.XLOOKUP($E259,$D$123:$D$129,$E$123:$E$129), _xlfn.XLOOKUP($E259,$D$112:$D$118,$E$112:$E$118),F60,$F229)</f>
        <v>0</v>
      </c>
      <c r="G259" s="52" cm="1">
        <f t="array" ref="G259">MMS_Swine_ManureAppliedToSoils_Equations.VEERG_4_5_1_9__1_MassOfNitrogenAppliedToSoilsScope1(G30,_xlfn.XLOOKUP($E259,$D$123:$D$129,$E$123:$E$129), _xlfn.XLOOKUP($E259,$D$112:$D$118,$E$112:$E$118),G60,$F229)</f>
        <v>0</v>
      </c>
      <c r="H259" s="52" cm="1">
        <f t="array" ref="H259">MMS_Swine_ManureAppliedToSoils_Equations.VEERG_4_5_1_9__1_MassOfNitrogenAppliedToSoilsScope1(H30,_xlfn.XLOOKUP($E259,$D$123:$D$129,$E$123:$E$129), _xlfn.XLOOKUP($E259,$D$112:$D$118,$E$112:$E$118),H60,$F229)</f>
        <v>0</v>
      </c>
      <c r="I259" s="52" cm="1">
        <f t="array" ref="I259">MMS_Swine_ManureAppliedToSoils_Equations.VEERG_4_5_1_9__1_MassOfNitrogenAppliedToSoilsScope1(I30,_xlfn.XLOOKUP($E259,$D$123:$D$129,$E$123:$E$129), _xlfn.XLOOKUP($E259,$D$112:$D$118,$E$112:$E$118),I60,$F229)</f>
        <v>0</v>
      </c>
      <c r="J259" s="2"/>
      <c r="N259" s="57"/>
      <c r="O259" s="57" t="str">
        <f>'Input - Swine'!$D$59</f>
        <v>Direct application</v>
      </c>
      <c r="P259" s="52" cm="1">
        <f t="array" ref="P259">MMS_Swine_ManureAppliedToSoils_Equations.VEERG_4_5_1_9__1_MassOfNitrogenAppliedToSoilsScope1(P30,_xlfn.XLOOKUP($E259,$D$123:$D$129,$E$123:$E$129), _xlfn.XLOOKUP($E259,$D$112:$D$118,$E$112:$E$118),P60,$F229)</f>
        <v>0</v>
      </c>
      <c r="Q259" s="52" cm="1">
        <f t="array" ref="Q259">MMS_Swine_ManureAppliedToSoils_Equations.VEERG_4_5_1_9__1_MassOfNitrogenAppliedToSoilsScope1(Q30,_xlfn.XLOOKUP($E259,$D$123:$D$129,$E$123:$E$129), _xlfn.XLOOKUP($E259,$D$112:$D$118,$E$112:$E$118),Q60,$F229)</f>
        <v>0</v>
      </c>
      <c r="R259" s="52" cm="1">
        <f t="array" ref="R259">MMS_Swine_ManureAppliedToSoils_Equations.VEERG_4_5_1_9__1_MassOfNitrogenAppliedToSoilsScope1(R30,_xlfn.XLOOKUP($E259,$D$123:$D$129,$E$123:$E$129), _xlfn.XLOOKUP($E259,$D$112:$D$118,$E$112:$E$118),R60,$F229)</f>
        <v>0</v>
      </c>
      <c r="S259" s="52" cm="1">
        <f t="array" ref="S259">MMS_Swine_ManureAppliedToSoils_Equations.VEERG_4_5_1_9__1_MassOfNitrogenAppliedToSoilsScope1(S30,_xlfn.XLOOKUP($E259,$D$123:$D$129,$E$123:$E$129), _xlfn.XLOOKUP($E259,$D$112:$D$118,$E$112:$E$118),S60,$F229)</f>
        <v>0</v>
      </c>
      <c r="T259" s="2"/>
    </row>
    <row r="260" spans="4:20" ht="20.100000000000001" customHeight="1" x14ac:dyDescent="0.25">
      <c r="D260" s="57" t="str">
        <f>'Input - Swine'!$D$31</f>
        <v>Digester / covered lagoons</v>
      </c>
      <c r="E260" s="57" t="str">
        <f>'Input - Swine'!$D$63</f>
        <v>Anaerobic lagoon</v>
      </c>
      <c r="F260" s="52" cm="1">
        <f t="array" ref="F260">MMS_Swine_ManureAppliedToSoils_Equations.VEERG_4_5_1_9__1_MassOfNitrogenAppliedToSoilsScope1(F31,_xlfn.XLOOKUP($E260,$D$123:$D$129,$E$123:$E$129), _xlfn.XLOOKUP($E260,$D$112:$D$118,$E$112:$E$118),F61,$F230)</f>
        <v>4.5332999999999988</v>
      </c>
      <c r="G260" s="52" cm="1">
        <f t="array" ref="G260">MMS_Swine_ManureAppliedToSoils_Equations.VEERG_4_5_1_9__1_MassOfNitrogenAppliedToSoilsScope1(G31,_xlfn.XLOOKUP($E260,$D$123:$D$129,$E$123:$E$129), _xlfn.XLOOKUP($E260,$D$112:$D$118,$E$112:$E$118),G61,$F230)</f>
        <v>6.0361875000000005</v>
      </c>
      <c r="H260" s="52" cm="1">
        <f t="array" ref="H260">MMS_Swine_ManureAppliedToSoils_Equations.VEERG_4_5_1_9__1_MassOfNitrogenAppliedToSoilsScope1(H31,_xlfn.XLOOKUP($E260,$D$123:$D$129,$E$123:$E$129), _xlfn.XLOOKUP($E260,$D$112:$D$118,$E$112:$E$118),H61,$F230)</f>
        <v>5.666624999999998</v>
      </c>
      <c r="I260" s="52" cm="1">
        <f t="array" ref="I260">MMS_Swine_ManureAppliedToSoils_Equations.VEERG_4_5_1_9__1_MassOfNitrogenAppliedToSoilsScope1(I31,_xlfn.XLOOKUP($E260,$D$123:$D$129,$E$123:$E$129), _xlfn.XLOOKUP($E260,$D$112:$D$118,$E$112:$E$118),I61,$F230)</f>
        <v>3.8434499999999989</v>
      </c>
      <c r="J260" s="2"/>
      <c r="N260" s="57" t="str">
        <f>'Input - Swine'!$D$31</f>
        <v>Digester / covered lagoons</v>
      </c>
      <c r="O260" s="57" t="str">
        <f>'Input - Swine'!$D$63</f>
        <v>Anaerobic lagoon</v>
      </c>
      <c r="P260" s="52" cm="1">
        <f t="array" ref="P260">MMS_Swine_ManureAppliedToSoils_Equations.VEERG_4_5_1_9__1_MassOfNitrogenAppliedToSoilsScope1(P31,_xlfn.XLOOKUP($E260,$D$123:$D$129,$E$123:$E$129), _xlfn.XLOOKUP($E260,$D$112:$D$118,$E$112:$E$118),P61,$F230)</f>
        <v>4.5332999999999988</v>
      </c>
      <c r="Q260" s="52" cm="1">
        <f t="array" ref="Q260">MMS_Swine_ManureAppliedToSoils_Equations.VEERG_4_5_1_9__1_MassOfNitrogenAppliedToSoilsScope1(Q31,_xlfn.XLOOKUP($E260,$D$123:$D$129,$E$123:$E$129), _xlfn.XLOOKUP($E260,$D$112:$D$118,$E$112:$E$118),Q61,$F230)</f>
        <v>6.0361875000000005</v>
      </c>
      <c r="R260" s="52" cm="1">
        <f t="array" ref="R260">MMS_Swine_ManureAppliedToSoils_Equations.VEERG_4_5_1_9__1_MassOfNitrogenAppliedToSoilsScope1(R31,_xlfn.XLOOKUP($E260,$D$123:$D$129,$E$123:$E$129), _xlfn.XLOOKUP($E260,$D$112:$D$118,$E$112:$E$118),R61,$F230)</f>
        <v>5.666624999999998</v>
      </c>
      <c r="S260" s="52" cm="1">
        <f t="array" ref="S260">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7"/>
      <c r="E261" s="57" t="str">
        <f>'Input - Swine'!$D$64</f>
        <v>Deep litter</v>
      </c>
      <c r="F261" s="52" cm="1">
        <f t="array" ref="F261">MMS_Swine_ManureAppliedToSoils_Equations.VEERG_4_5_1_9__1_MassOfNitrogenAppliedToSoilsScope1(F32,_xlfn.XLOOKUP($E261,$D$123:$D$129,$E$123:$E$129), _xlfn.XLOOKUP($E261,$D$112:$D$118,$E$112:$E$118),F62,$F231)</f>
        <v>8.7140099999999983</v>
      </c>
      <c r="G261" s="52" cm="1">
        <f t="array" ref="G261">MMS_Swine_ManureAppliedToSoils_Equations.VEERG_4_5_1_9__1_MassOfNitrogenAppliedToSoilsScope1(G32,_xlfn.XLOOKUP($E261,$D$123:$D$129,$E$123:$E$129), _xlfn.XLOOKUP($E261,$D$112:$D$118,$E$112:$E$118),G62,$F231)</f>
        <v>11.602893750000002</v>
      </c>
      <c r="H261" s="52" cm="1">
        <f t="array" ref="H261">MMS_Swine_ManureAppliedToSoils_Equations.VEERG_4_5_1_9__1_MassOfNitrogenAppliedToSoilsScope1(H32,_xlfn.XLOOKUP($E261,$D$123:$D$129,$E$123:$E$129), _xlfn.XLOOKUP($E261,$D$112:$D$118,$E$112:$E$118),H62,$F231)</f>
        <v>10.892512499999997</v>
      </c>
      <c r="I261" s="52" cm="1">
        <f t="array" ref="I261">MMS_Swine_ManureAppliedToSoils_Equations.VEERG_4_5_1_9__1_MassOfNitrogenAppliedToSoilsScope1(I32,_xlfn.XLOOKUP($E261,$D$123:$D$129,$E$123:$E$129), _xlfn.XLOOKUP($E261,$D$112:$D$118,$E$112:$E$118),I62,$F231)</f>
        <v>7.3879649999999986</v>
      </c>
      <c r="J261" s="2"/>
      <c r="N261" s="57"/>
      <c r="O261" s="57" t="str">
        <f>'Input - Swine'!$D$64</f>
        <v>Deep litter</v>
      </c>
      <c r="P261" s="52" cm="1">
        <f t="array" ref="P261">MMS_Swine_ManureAppliedToSoils_Equations.VEERG_4_5_1_9__1_MassOfNitrogenAppliedToSoilsScope1(P32,_xlfn.XLOOKUP($E261,$D$123:$D$129,$E$123:$E$129), _xlfn.XLOOKUP($E261,$D$112:$D$118,$E$112:$E$118),P62,$F231)</f>
        <v>8.7140099999999983</v>
      </c>
      <c r="Q261" s="52" cm="1">
        <f t="array" ref="Q261">MMS_Swine_ManureAppliedToSoils_Equations.VEERG_4_5_1_9__1_MassOfNitrogenAppliedToSoilsScope1(Q32,_xlfn.XLOOKUP($E261,$D$123:$D$129,$E$123:$E$129), _xlfn.XLOOKUP($E261,$D$112:$D$118,$E$112:$E$118),Q62,$F231)</f>
        <v>11.602893750000002</v>
      </c>
      <c r="R261" s="52" cm="1">
        <f t="array" ref="R261">MMS_Swine_ManureAppliedToSoils_Equations.VEERG_4_5_1_9__1_MassOfNitrogenAppliedToSoilsScope1(R32,_xlfn.XLOOKUP($E261,$D$123:$D$129,$E$123:$E$129), _xlfn.XLOOKUP($E261,$D$112:$D$118,$E$112:$E$118),R62,$F231)</f>
        <v>10.892512499999997</v>
      </c>
      <c r="S261" s="52" cm="1">
        <f t="array" ref="S26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7"/>
      <c r="E262" s="57" t="str">
        <f>'Input - Swine'!$D$65</f>
        <v>Pit storage</v>
      </c>
      <c r="F262" s="52" cm="1">
        <f t="array" ref="F262">MMS_Swine_ManureAppliedToSoils_Equations.VEERG_4_5_1_9__1_MassOfNitrogenAppliedToSoilsScope1(F33,_xlfn.XLOOKUP($E262,$D$123:$D$129,$E$123:$E$129), _xlfn.XLOOKUP($E262,$D$112:$D$118,$E$112:$E$118),F63,$F232)</f>
        <v>7.5353519999999987</v>
      </c>
      <c r="G262" s="52" cm="1">
        <f t="array" ref="G262">MMS_Swine_ManureAppliedToSoils_Equations.VEERG_4_5_1_9__1_MassOfNitrogenAppliedToSoilsScope1(G33,_xlfn.XLOOKUP($E262,$D$123:$D$129,$E$123:$E$129), _xlfn.XLOOKUP($E262,$D$112:$D$118,$E$112:$E$118),G63,$F232)</f>
        <v>10.033485000000001</v>
      </c>
      <c r="H262" s="52" cm="1">
        <f t="array" ref="H262">MMS_Swine_ManureAppliedToSoils_Equations.VEERG_4_5_1_9__1_MassOfNitrogenAppliedToSoilsScope1(H33,_xlfn.XLOOKUP($E262,$D$123:$D$129,$E$123:$E$129), _xlfn.XLOOKUP($E262,$D$112:$D$118,$E$112:$E$118),H63,$F232)</f>
        <v>9.4191899999999986</v>
      </c>
      <c r="I262" s="52" cm="1">
        <f t="array" ref="I262">MMS_Swine_ManureAppliedToSoils_Equations.VEERG_4_5_1_9__1_MassOfNitrogenAppliedToSoilsScope1(I33,_xlfn.XLOOKUP($E262,$D$123:$D$129,$E$123:$E$129), _xlfn.XLOOKUP($E262,$D$112:$D$118,$E$112:$E$118),I63,$F232)</f>
        <v>6.3886679999999991</v>
      </c>
      <c r="J262" s="2"/>
      <c r="N262" s="57"/>
      <c r="O262" s="57" t="str">
        <f>'Input - Swine'!$D$65</f>
        <v>Pit storage</v>
      </c>
      <c r="P262" s="52" cm="1">
        <f t="array" ref="P262">MMS_Swine_ManureAppliedToSoils_Equations.VEERG_4_5_1_9__1_MassOfNitrogenAppliedToSoilsScope1(P33,_xlfn.XLOOKUP($E262,$D$123:$D$129,$E$123:$E$129), _xlfn.XLOOKUP($E262,$D$112:$D$118,$E$112:$E$118),P63,$F232)</f>
        <v>7.5353519999999987</v>
      </c>
      <c r="Q262" s="52" cm="1">
        <f t="array" ref="Q262">MMS_Swine_ManureAppliedToSoils_Equations.VEERG_4_5_1_9__1_MassOfNitrogenAppliedToSoilsScope1(Q33,_xlfn.XLOOKUP($E262,$D$123:$D$129,$E$123:$E$129), _xlfn.XLOOKUP($E262,$D$112:$D$118,$E$112:$E$118),Q63,$F232)</f>
        <v>10.033485000000001</v>
      </c>
      <c r="R262" s="52" cm="1">
        <f t="array" ref="R262">MMS_Swine_ManureAppliedToSoils_Equations.VEERG_4_5_1_9__1_MassOfNitrogenAppliedToSoilsScope1(R33,_xlfn.XLOOKUP($E262,$D$123:$D$129,$E$123:$E$129), _xlfn.XLOOKUP($E262,$D$112:$D$118,$E$112:$E$118),R63,$F232)</f>
        <v>9.4191899999999986</v>
      </c>
      <c r="S262" s="52" cm="1">
        <f t="array" ref="S262">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7"/>
      <c r="E263" s="57" t="str">
        <f>'Input - Swine'!$D$66</f>
        <v>Direct application</v>
      </c>
      <c r="F263" s="52" cm="1">
        <f t="array" ref="F263">MMS_Swine_ManureAppliedToSoils_Equations.VEERG_4_5_1_9__1_MassOfNitrogenAppliedToSoilsScope1(F34,_xlfn.XLOOKUP($E263,$D$123:$D$129,$E$123:$E$129), _xlfn.XLOOKUP($E263,$D$112:$D$118,$E$112:$E$118),F64,$F233)</f>
        <v>0</v>
      </c>
      <c r="G263" s="52" cm="1">
        <f t="array" ref="G263">MMS_Swine_ManureAppliedToSoils_Equations.VEERG_4_5_1_9__1_MassOfNitrogenAppliedToSoilsScope1(G34,_xlfn.XLOOKUP($E263,$D$123:$D$129,$E$123:$E$129), _xlfn.XLOOKUP($E263,$D$112:$D$118,$E$112:$E$118),G64,$F233)</f>
        <v>0</v>
      </c>
      <c r="H263" s="52" cm="1">
        <f t="array" ref="H263">MMS_Swine_ManureAppliedToSoils_Equations.VEERG_4_5_1_9__1_MassOfNitrogenAppliedToSoilsScope1(H34,_xlfn.XLOOKUP($E263,$D$123:$D$129,$E$123:$E$129), _xlfn.XLOOKUP($E263,$D$112:$D$118,$E$112:$E$118),H64,$F233)</f>
        <v>0</v>
      </c>
      <c r="I263" s="52" cm="1">
        <f t="array" ref="I263">MMS_Swine_ManureAppliedToSoils_Equations.VEERG_4_5_1_9__1_MassOfNitrogenAppliedToSoilsScope1(I34,_xlfn.XLOOKUP($E263,$D$123:$D$129,$E$123:$E$129), _xlfn.XLOOKUP($E263,$D$112:$D$118,$E$112:$E$118),I64,$F233)</f>
        <v>0</v>
      </c>
      <c r="J263" s="2"/>
      <c r="N263" s="57"/>
      <c r="O263" s="57" t="str">
        <f>'Input - Swine'!$D$66</f>
        <v>Direct application</v>
      </c>
      <c r="P263" s="52" cm="1">
        <f t="array" ref="P263">MMS_Swine_ManureAppliedToSoils_Equations.VEERG_4_5_1_9__1_MassOfNitrogenAppliedToSoilsScope1(P34,_xlfn.XLOOKUP($E263,$D$123:$D$129,$E$123:$E$129), _xlfn.XLOOKUP($E263,$D$112:$D$118,$E$112:$E$118),P64,$F233)</f>
        <v>0</v>
      </c>
      <c r="Q263" s="52" cm="1">
        <f t="array" ref="Q263">MMS_Swine_ManureAppliedToSoils_Equations.VEERG_4_5_1_9__1_MassOfNitrogenAppliedToSoilsScope1(Q34,_xlfn.XLOOKUP($E263,$D$123:$D$129,$E$123:$E$129), _xlfn.XLOOKUP($E263,$D$112:$D$118,$E$112:$E$118),Q64,$F233)</f>
        <v>0</v>
      </c>
      <c r="R263" s="52" cm="1">
        <f t="array" ref="R263">MMS_Swine_ManureAppliedToSoils_Equations.VEERG_4_5_1_9__1_MassOfNitrogenAppliedToSoilsScope1(R34,_xlfn.XLOOKUP($E263,$D$123:$D$129,$E$123:$E$129), _xlfn.XLOOKUP($E263,$D$112:$D$118,$E$112:$E$118),R64,$F233)</f>
        <v>0</v>
      </c>
      <c r="S263" s="52" cm="1">
        <f t="array" ref="S263">MMS_Swine_ManureAppliedToSoils_Equations.VEERG_4_5_1_9__1_MassOfNitrogenAppliedToSoilsScope1(S34,_xlfn.XLOOKUP($E263,$D$123:$D$129,$E$123:$E$129), _xlfn.XLOOKUP($E263,$D$112:$D$118,$E$112:$E$118),S64,$F233)</f>
        <v>0</v>
      </c>
      <c r="T263" s="2"/>
    </row>
    <row r="264" spans="4:20" ht="20.100000000000001" customHeight="1" x14ac:dyDescent="0.25">
      <c r="D264" s="57" t="str">
        <f>'Input - Swine'!$D$32</f>
        <v>Deep litter</v>
      </c>
      <c r="E264" s="57" t="str">
        <f>'Input - Swine'!$D$70</f>
        <v>Anaerobic lagoon</v>
      </c>
      <c r="F264" s="52" cm="1">
        <f t="array" ref="F264">MMS_Swine_ManureAppliedToSoils_Equations.VEERG_4_5_1_9__1_MassOfNitrogenAppliedToSoilsScope1(F35,_xlfn.XLOOKUP($E264,$D$123:$D$129,$E$123:$E$129), _xlfn.XLOOKUP($E264,$D$112:$D$118,$E$112:$E$118),F65,$F234)</f>
        <v>3.9213044999999989</v>
      </c>
      <c r="G264" s="52" cm="1">
        <f t="array" ref="G264">MMS_Swine_ManureAppliedToSoils_Equations.VEERG_4_5_1_9__1_MassOfNitrogenAppliedToSoilsScope1(G35,_xlfn.XLOOKUP($E264,$D$123:$D$129,$E$123:$E$129), _xlfn.XLOOKUP($E264,$D$112:$D$118,$E$112:$E$118),G65,$F234)</f>
        <v>5.2213021875000001</v>
      </c>
      <c r="H264" s="52" cm="1">
        <f t="array" ref="H264">MMS_Swine_ManureAppliedToSoils_Equations.VEERG_4_5_1_9__1_MassOfNitrogenAppliedToSoilsScope1(H35,_xlfn.XLOOKUP($E264,$D$123:$D$129,$E$123:$E$129), _xlfn.XLOOKUP($E264,$D$112:$D$118,$E$112:$E$118),H65,$F234)</f>
        <v>4.9016306249999984</v>
      </c>
      <c r="I264" s="52" cm="1">
        <f t="array" ref="I264">MMS_Swine_ManureAppliedToSoils_Equations.VEERG_4_5_1_9__1_MassOfNitrogenAppliedToSoilsScope1(I35,_xlfn.XLOOKUP($E264,$D$123:$D$129,$E$123:$E$129), _xlfn.XLOOKUP($E264,$D$112:$D$118,$E$112:$E$118),I65,$F234)</f>
        <v>3.3245842499999991</v>
      </c>
      <c r="J264" s="2"/>
      <c r="N264" s="57" t="str">
        <f>'Input - Swine'!$D$32</f>
        <v>Deep litter</v>
      </c>
      <c r="O264" s="57" t="str">
        <f>'Input - Swine'!$D$70</f>
        <v>Anaerobic lagoon</v>
      </c>
      <c r="P264" s="52" cm="1">
        <f t="array" ref="P264">MMS_Swine_ManureAppliedToSoils_Equations.VEERG_4_5_1_9__1_MassOfNitrogenAppliedToSoilsScope1(P35,_xlfn.XLOOKUP($E264,$D$123:$D$129,$E$123:$E$129), _xlfn.XLOOKUP($E264,$D$112:$D$118,$E$112:$E$118),P65,$F234)</f>
        <v>3.9213044999999989</v>
      </c>
      <c r="Q264" s="52" cm="1">
        <f t="array" ref="Q264">MMS_Swine_ManureAppliedToSoils_Equations.VEERG_4_5_1_9__1_MassOfNitrogenAppliedToSoilsScope1(Q35,_xlfn.XLOOKUP($E264,$D$123:$D$129,$E$123:$E$129), _xlfn.XLOOKUP($E264,$D$112:$D$118,$E$112:$E$118),Q65,$F234)</f>
        <v>5.2213021875000001</v>
      </c>
      <c r="R264" s="52" cm="1">
        <f t="array" ref="R264">MMS_Swine_ManureAppliedToSoils_Equations.VEERG_4_5_1_9__1_MassOfNitrogenAppliedToSoilsScope1(R35,_xlfn.XLOOKUP($E264,$D$123:$D$129,$E$123:$E$129), _xlfn.XLOOKUP($E264,$D$112:$D$118,$E$112:$E$118),R65,$F234)</f>
        <v>4.9016306249999984</v>
      </c>
      <c r="S264" s="52" cm="1">
        <f t="array" ref="S264">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7"/>
      <c r="E265" s="57" t="str">
        <f>'Input - Swine'!$D$71</f>
        <v>Digester / covered lagoons</v>
      </c>
      <c r="F265" s="52" cm="1">
        <f t="array" ref="F265">MMS_Swine_ManureAppliedToSoils_Equations.VEERG_4_5_1_9__1_MassOfNitrogenAppliedToSoilsScope1(F36,_xlfn.XLOOKUP($E265,$D$123:$D$129,$E$123:$E$129), _xlfn.XLOOKUP($E265,$D$112:$D$118,$E$112:$E$118),F66,$F235)</f>
        <v>8.7140099999999983</v>
      </c>
      <c r="G265" s="52" cm="1">
        <f t="array" ref="G265">MMS_Swine_ManureAppliedToSoils_Equations.VEERG_4_5_1_9__1_MassOfNitrogenAppliedToSoilsScope1(G36,_xlfn.XLOOKUP($E265,$D$123:$D$129,$E$123:$E$129), _xlfn.XLOOKUP($E265,$D$112:$D$118,$E$112:$E$118),G66,$F235)</f>
        <v>11.602893750000002</v>
      </c>
      <c r="H265" s="52" cm="1">
        <f t="array" ref="H265">MMS_Swine_ManureAppliedToSoils_Equations.VEERG_4_5_1_9__1_MassOfNitrogenAppliedToSoilsScope1(H36,_xlfn.XLOOKUP($E265,$D$123:$D$129,$E$123:$E$129), _xlfn.XLOOKUP($E265,$D$112:$D$118,$E$112:$E$118),H66,$F235)</f>
        <v>10.892512499999997</v>
      </c>
      <c r="I265" s="52" cm="1">
        <f t="array" ref="I265">MMS_Swine_ManureAppliedToSoils_Equations.VEERG_4_5_1_9__1_MassOfNitrogenAppliedToSoilsScope1(I36,_xlfn.XLOOKUP($E265,$D$123:$D$129,$E$123:$E$129), _xlfn.XLOOKUP($E265,$D$112:$D$118,$E$112:$E$118),I66,$F235)</f>
        <v>7.3879649999999986</v>
      </c>
      <c r="J265" s="2"/>
      <c r="N265" s="57"/>
      <c r="O265" s="57" t="str">
        <f>'Input - Swine'!$D$71</f>
        <v>Digester / covered lagoons</v>
      </c>
      <c r="P265" s="52" cm="1">
        <f t="array" ref="P265">MMS_Swine_ManureAppliedToSoils_Equations.VEERG_4_5_1_9__1_MassOfNitrogenAppliedToSoilsScope1(P36,_xlfn.XLOOKUP($E265,$D$123:$D$129,$E$123:$E$129), _xlfn.XLOOKUP($E265,$D$112:$D$118,$E$112:$E$118),P66,$F235)</f>
        <v>8.7140099999999983</v>
      </c>
      <c r="Q265" s="52" cm="1">
        <f t="array" ref="Q265">MMS_Swine_ManureAppliedToSoils_Equations.VEERG_4_5_1_9__1_MassOfNitrogenAppliedToSoilsScope1(Q36,_xlfn.XLOOKUP($E265,$D$123:$D$129,$E$123:$E$129), _xlfn.XLOOKUP($E265,$D$112:$D$118,$E$112:$E$118),Q66,$F235)</f>
        <v>11.602893750000002</v>
      </c>
      <c r="R265" s="52" cm="1">
        <f t="array" ref="R265">MMS_Swine_ManureAppliedToSoils_Equations.VEERG_4_5_1_9__1_MassOfNitrogenAppliedToSoilsScope1(R36,_xlfn.XLOOKUP($E265,$D$123:$D$129,$E$123:$E$129), _xlfn.XLOOKUP($E265,$D$112:$D$118,$E$112:$E$118),R66,$F235)</f>
        <v>10.892512499999997</v>
      </c>
      <c r="S265" s="52" cm="1">
        <f t="array" ref="S265">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7"/>
      <c r="E266" s="57" t="str">
        <f>'Input - Swine'!$D$72</f>
        <v>Pit storage</v>
      </c>
      <c r="F266" s="52" cm="1">
        <f t="array" ref="F266">MMS_Swine_ManureAppliedToSoils_Equations.VEERG_4_5_1_9__1_MassOfNitrogenAppliedToSoilsScope1(F37,_xlfn.XLOOKUP($E266,$D$123:$D$129,$E$123:$E$129), _xlfn.XLOOKUP($E266,$D$112:$D$118,$E$112:$E$118),F67,$F236)</f>
        <v>6.518079479999999</v>
      </c>
      <c r="G266" s="52" cm="1">
        <f t="array" ref="G266">MMS_Swine_ManureAppliedToSoils_Equations.VEERG_4_5_1_9__1_MassOfNitrogenAppliedToSoilsScope1(G37,_xlfn.XLOOKUP($E266,$D$123:$D$129,$E$123:$E$129), _xlfn.XLOOKUP($E266,$D$112:$D$118,$E$112:$E$118),G67,$F236)</f>
        <v>8.6789645250000014</v>
      </c>
      <c r="H266" s="52" cm="1">
        <f t="array" ref="H266">MMS_Swine_ManureAppliedToSoils_Equations.VEERG_4_5_1_9__1_MassOfNitrogenAppliedToSoilsScope1(H37,_xlfn.XLOOKUP($E266,$D$123:$D$129,$E$123:$E$129), _xlfn.XLOOKUP($E266,$D$112:$D$118,$E$112:$E$118),H67,$F236)</f>
        <v>8.1475993499999984</v>
      </c>
      <c r="I266" s="52" cm="1">
        <f t="array" ref="I266">MMS_Swine_ManureAppliedToSoils_Equations.VEERG_4_5_1_9__1_MassOfNitrogenAppliedToSoilsScope1(I37,_xlfn.XLOOKUP($E266,$D$123:$D$129,$E$123:$E$129), _xlfn.XLOOKUP($E266,$D$112:$D$118,$E$112:$E$118),I67,$F236)</f>
        <v>5.5261978199999993</v>
      </c>
      <c r="J266" s="2"/>
      <c r="N266" s="57"/>
      <c r="O266" s="57" t="str">
        <f>'Input - Swine'!$D$72</f>
        <v>Pit storage</v>
      </c>
      <c r="P266" s="52" cm="1">
        <f t="array" ref="P266">MMS_Swine_ManureAppliedToSoils_Equations.VEERG_4_5_1_9__1_MassOfNitrogenAppliedToSoilsScope1(P37,_xlfn.XLOOKUP($E266,$D$123:$D$129,$E$123:$E$129), _xlfn.XLOOKUP($E266,$D$112:$D$118,$E$112:$E$118),P67,$F236)</f>
        <v>6.518079479999999</v>
      </c>
      <c r="Q266" s="52" cm="1">
        <f t="array" ref="Q266">MMS_Swine_ManureAppliedToSoils_Equations.VEERG_4_5_1_9__1_MassOfNitrogenAppliedToSoilsScope1(Q37,_xlfn.XLOOKUP($E266,$D$123:$D$129,$E$123:$E$129), _xlfn.XLOOKUP($E266,$D$112:$D$118,$E$112:$E$118),Q67,$F236)</f>
        <v>8.6789645250000014</v>
      </c>
      <c r="R266" s="52" cm="1">
        <f t="array" ref="R266">MMS_Swine_ManureAppliedToSoils_Equations.VEERG_4_5_1_9__1_MassOfNitrogenAppliedToSoilsScope1(R37,_xlfn.XLOOKUP($E266,$D$123:$D$129,$E$123:$E$129), _xlfn.XLOOKUP($E266,$D$112:$D$118,$E$112:$E$118),R67,$F236)</f>
        <v>8.1475993499999984</v>
      </c>
      <c r="S266" s="52" cm="1">
        <f t="array" ref="S266">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7"/>
      <c r="E267" s="57" t="str">
        <f>'Input - Swine'!$D$73</f>
        <v>Direct application</v>
      </c>
      <c r="F267" s="52" cm="1">
        <f t="array" ref="F267">MMS_Swine_ManureAppliedToSoils_Equations.VEERG_4_5_1_9__1_MassOfNitrogenAppliedToSoilsScope1(F38,_xlfn.XLOOKUP($E267,$D$123:$D$129,$E$123:$E$129), _xlfn.XLOOKUP($E267,$D$112:$D$118,$E$112:$E$118),F68,$F237)</f>
        <v>0</v>
      </c>
      <c r="G267" s="52" cm="1">
        <f t="array" ref="G267">MMS_Swine_ManureAppliedToSoils_Equations.VEERG_4_5_1_9__1_MassOfNitrogenAppliedToSoilsScope1(G38,_xlfn.XLOOKUP($E267,$D$123:$D$129,$E$123:$E$129), _xlfn.XLOOKUP($E267,$D$112:$D$118,$E$112:$E$118),G68,$F237)</f>
        <v>0</v>
      </c>
      <c r="H267" s="52" cm="1">
        <f t="array" ref="H267">MMS_Swine_ManureAppliedToSoils_Equations.VEERG_4_5_1_9__1_MassOfNitrogenAppliedToSoilsScope1(H38,_xlfn.XLOOKUP($E267,$D$123:$D$129,$E$123:$E$129), _xlfn.XLOOKUP($E267,$D$112:$D$118,$E$112:$E$118),H68,$F237)</f>
        <v>0</v>
      </c>
      <c r="I267" s="52" cm="1">
        <f t="array" ref="I267">MMS_Swine_ManureAppliedToSoils_Equations.VEERG_4_5_1_9__1_MassOfNitrogenAppliedToSoilsScope1(I38,_xlfn.XLOOKUP($E267,$D$123:$D$129,$E$123:$E$129), _xlfn.XLOOKUP($E267,$D$112:$D$118,$E$112:$E$118),I68,$F237)</f>
        <v>0</v>
      </c>
      <c r="J267" s="2"/>
      <c r="N267" s="57"/>
      <c r="O267" s="57" t="str">
        <f>'Input - Swine'!$D$73</f>
        <v>Direct application</v>
      </c>
      <c r="P267" s="52" cm="1">
        <f t="array" ref="P267">MMS_Swine_ManureAppliedToSoils_Equations.VEERG_4_5_1_9__1_MassOfNitrogenAppliedToSoilsScope1(P38,_xlfn.XLOOKUP($E267,$D$123:$D$129,$E$123:$E$129), _xlfn.XLOOKUP($E267,$D$112:$D$118,$E$112:$E$118),P68,$F237)</f>
        <v>0</v>
      </c>
      <c r="Q267" s="52" cm="1">
        <f t="array" ref="Q267">MMS_Swine_ManureAppliedToSoils_Equations.VEERG_4_5_1_9__1_MassOfNitrogenAppliedToSoilsScope1(Q38,_xlfn.XLOOKUP($E267,$D$123:$D$129,$E$123:$E$129), _xlfn.XLOOKUP($E267,$D$112:$D$118,$E$112:$E$118),Q68,$F237)</f>
        <v>0</v>
      </c>
      <c r="R267" s="52" cm="1">
        <f t="array" ref="R267">MMS_Swine_ManureAppliedToSoils_Equations.VEERG_4_5_1_9__1_MassOfNitrogenAppliedToSoilsScope1(R38,_xlfn.XLOOKUP($E267,$D$123:$D$129,$E$123:$E$129), _xlfn.XLOOKUP($E267,$D$112:$D$118,$E$112:$E$118),R68,$F237)</f>
        <v>0</v>
      </c>
      <c r="S267" s="52" cm="1">
        <f t="array" ref="S267">MMS_Swine_ManureAppliedToSoils_Equations.VEERG_4_5_1_9__1_MassOfNitrogenAppliedToSoilsScope1(S38,_xlfn.XLOOKUP($E267,$D$123:$D$129,$E$123:$E$129), _xlfn.XLOOKUP($E267,$D$112:$D$118,$E$112:$E$118),S68,$F237)</f>
        <v>0</v>
      </c>
      <c r="T267" s="2"/>
    </row>
    <row r="268" spans="4:20" ht="20.100000000000001" customHeight="1" x14ac:dyDescent="0.25">
      <c r="D268" s="57" t="str">
        <f>'Input - Swine'!$D$33</f>
        <v>Pit storage</v>
      </c>
      <c r="E268" s="57" t="str">
        <f>'Input - Swine'!$D$77</f>
        <v>Anaerobic lagoon</v>
      </c>
      <c r="F268" s="52" cm="1">
        <f t="array" ref="F268">MMS_Swine_ManureAppliedToSoils_Equations.VEERG_4_5_1_9__1_MassOfNitrogenAppliedToSoilsScope1(F39,_xlfn.XLOOKUP($E268,$D$123:$D$129,$E$123:$E$129), _xlfn.XLOOKUP($E268,$D$112:$D$118,$E$112:$E$118),F69,$F238)</f>
        <v>3.3909083999999994</v>
      </c>
      <c r="G268" s="52" cm="1">
        <f t="array" ref="G268">MMS_Swine_ManureAppliedToSoils_Equations.VEERG_4_5_1_9__1_MassOfNitrogenAppliedToSoilsScope1(G39,_xlfn.XLOOKUP($E268,$D$123:$D$129,$E$123:$E$129), _xlfn.XLOOKUP($E268,$D$112:$D$118,$E$112:$E$118),G69,$F238)</f>
        <v>4.5150682499999997</v>
      </c>
      <c r="H268" s="52" cm="1">
        <f t="array" ref="H268">MMS_Swine_ManureAppliedToSoils_Equations.VEERG_4_5_1_9__1_MassOfNitrogenAppliedToSoilsScope1(H39,_xlfn.XLOOKUP($E268,$D$123:$D$129,$E$123:$E$129), _xlfn.XLOOKUP($E268,$D$112:$D$118,$E$112:$E$118),H69,$F238)</f>
        <v>4.2386354999999991</v>
      </c>
      <c r="I268" s="52" cm="1">
        <f t="array" ref="I268">MMS_Swine_ManureAppliedToSoils_Equations.VEERG_4_5_1_9__1_MassOfNitrogenAppliedToSoilsScope1(I39,_xlfn.XLOOKUP($E268,$D$123:$D$129,$E$123:$E$129), _xlfn.XLOOKUP($E268,$D$112:$D$118,$E$112:$E$118),I69,$F238)</f>
        <v>2.8749005999999993</v>
      </c>
      <c r="J268" s="2"/>
      <c r="N268" s="57" t="str">
        <f>'Input - Swine'!$D$33</f>
        <v>Pit storage</v>
      </c>
      <c r="O268" s="57" t="str">
        <f>'Input - Swine'!$D$77</f>
        <v>Anaerobic lagoon</v>
      </c>
      <c r="P268" s="52" cm="1">
        <f t="array" ref="P268">MMS_Swine_ManureAppliedToSoils_Equations.VEERG_4_5_1_9__1_MassOfNitrogenAppliedToSoilsScope1(P39,_xlfn.XLOOKUP($E268,$D$123:$D$129,$E$123:$E$129), _xlfn.XLOOKUP($E268,$D$112:$D$118,$E$112:$E$118),P69,$F238)</f>
        <v>3.3909083999999994</v>
      </c>
      <c r="Q268" s="52" cm="1">
        <f t="array" ref="Q268">MMS_Swine_ManureAppliedToSoils_Equations.VEERG_4_5_1_9__1_MassOfNitrogenAppliedToSoilsScope1(Q39,_xlfn.XLOOKUP($E268,$D$123:$D$129,$E$123:$E$129), _xlfn.XLOOKUP($E268,$D$112:$D$118,$E$112:$E$118),Q69,$F238)</f>
        <v>4.5150682499999997</v>
      </c>
      <c r="R268" s="52" cm="1">
        <f t="array" ref="R268">MMS_Swine_ManureAppliedToSoils_Equations.VEERG_4_5_1_9__1_MassOfNitrogenAppliedToSoilsScope1(R39,_xlfn.XLOOKUP($E268,$D$123:$D$129,$E$123:$E$129), _xlfn.XLOOKUP($E268,$D$112:$D$118,$E$112:$E$118),R69,$F238)</f>
        <v>4.2386354999999991</v>
      </c>
      <c r="S268" s="52" cm="1">
        <f t="array" ref="S268">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7"/>
      <c r="E269" s="57" t="str">
        <f>'Input - Swine'!$D$78</f>
        <v>Digester / covered lagoons</v>
      </c>
      <c r="F269" s="52" cm="1">
        <f t="array" ref="F269">MMS_Swine_ManureAppliedToSoils_Equations.VEERG_4_5_1_9__1_MassOfNitrogenAppliedToSoilsScope1(F40,_xlfn.XLOOKUP($E269,$D$123:$D$129,$E$123:$E$129), _xlfn.XLOOKUP($E269,$D$112:$D$118,$E$112:$E$118),F70,$F239)</f>
        <v>7.5353519999999996</v>
      </c>
      <c r="G269" s="52" cm="1">
        <f t="array" ref="G269">MMS_Swine_ManureAppliedToSoils_Equations.VEERG_4_5_1_9__1_MassOfNitrogenAppliedToSoilsScope1(G40,_xlfn.XLOOKUP($E269,$D$123:$D$129,$E$123:$E$129), _xlfn.XLOOKUP($E269,$D$112:$D$118,$E$112:$E$118),G70,$F239)</f>
        <v>10.033485000000001</v>
      </c>
      <c r="H269" s="52" cm="1">
        <f t="array" ref="H269">MMS_Swine_ManureAppliedToSoils_Equations.VEERG_4_5_1_9__1_MassOfNitrogenAppliedToSoilsScope1(H40,_xlfn.XLOOKUP($E269,$D$123:$D$129,$E$123:$E$129), _xlfn.XLOOKUP($E269,$D$112:$D$118,$E$112:$E$118),H70,$F239)</f>
        <v>9.4191899999999986</v>
      </c>
      <c r="I269" s="52" cm="1">
        <f t="array" ref="I269">MMS_Swine_ManureAppliedToSoils_Equations.VEERG_4_5_1_9__1_MassOfNitrogenAppliedToSoilsScope1(I40,_xlfn.XLOOKUP($E269,$D$123:$D$129,$E$123:$E$129), _xlfn.XLOOKUP($E269,$D$112:$D$118,$E$112:$E$118),I70,$F239)</f>
        <v>6.3886679999999991</v>
      </c>
      <c r="J269" s="2"/>
      <c r="N269" s="57"/>
      <c r="O269" s="57" t="str">
        <f>'Input - Swine'!$D$78</f>
        <v>Digester / covered lagoons</v>
      </c>
      <c r="P269" s="52" cm="1">
        <f t="array" ref="P269">MMS_Swine_ManureAppliedToSoils_Equations.VEERG_4_5_1_9__1_MassOfNitrogenAppliedToSoilsScope1(P40,_xlfn.XLOOKUP($E269,$D$123:$D$129,$E$123:$E$129), _xlfn.XLOOKUP($E269,$D$112:$D$118,$E$112:$E$118),P70,$F239)</f>
        <v>7.5353519999999996</v>
      </c>
      <c r="Q269" s="52" cm="1">
        <f t="array" ref="Q269">MMS_Swine_ManureAppliedToSoils_Equations.VEERG_4_5_1_9__1_MassOfNitrogenAppliedToSoilsScope1(Q40,_xlfn.XLOOKUP($E269,$D$123:$D$129,$E$123:$E$129), _xlfn.XLOOKUP($E269,$D$112:$D$118,$E$112:$E$118),Q70,$F239)</f>
        <v>10.033485000000001</v>
      </c>
      <c r="R269" s="52" cm="1">
        <f t="array" ref="R269">MMS_Swine_ManureAppliedToSoils_Equations.VEERG_4_5_1_9__1_MassOfNitrogenAppliedToSoilsScope1(R40,_xlfn.XLOOKUP($E269,$D$123:$D$129,$E$123:$E$129), _xlfn.XLOOKUP($E269,$D$112:$D$118,$E$112:$E$118),R70,$F239)</f>
        <v>9.4191899999999986</v>
      </c>
      <c r="S269" s="52" cm="1">
        <f t="array" ref="S269">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7"/>
      <c r="E270" s="57" t="str">
        <f>'Input - Swine'!$D$79</f>
        <v>Deep litter</v>
      </c>
      <c r="F270" s="52" cm="1">
        <f t="array" ref="F270">MMS_Swine_ManureAppliedToSoils_Equations.VEERG_4_5_1_9__1_MassOfNitrogenAppliedToSoilsScope1(F41,_xlfn.XLOOKUP($E270,$D$123:$D$129,$E$123:$E$129), _xlfn.XLOOKUP($E270,$D$112:$D$118,$E$112:$E$118),F71,$F240)</f>
        <v>6.5180794799999999</v>
      </c>
      <c r="G270" s="52" cm="1">
        <f t="array" ref="G270">MMS_Swine_ManureAppliedToSoils_Equations.VEERG_4_5_1_9__1_MassOfNitrogenAppliedToSoilsScope1(G41,_xlfn.XLOOKUP($E270,$D$123:$D$129,$E$123:$E$129), _xlfn.XLOOKUP($E270,$D$112:$D$118,$E$112:$E$118),G71,$F240)</f>
        <v>8.6789645249999996</v>
      </c>
      <c r="H270" s="52" cm="1">
        <f t="array" ref="H270">MMS_Swine_ManureAppliedToSoils_Equations.VEERG_4_5_1_9__1_MassOfNitrogenAppliedToSoilsScope1(H41,_xlfn.XLOOKUP($E270,$D$123:$D$129,$E$123:$E$129), _xlfn.XLOOKUP($E270,$D$112:$D$118,$E$112:$E$118),H71,$F240)</f>
        <v>8.1475993499999984</v>
      </c>
      <c r="I270" s="52" cm="1">
        <f t="array" ref="I270">MMS_Swine_ManureAppliedToSoils_Equations.VEERG_4_5_1_9__1_MassOfNitrogenAppliedToSoilsScope1(I41,_xlfn.XLOOKUP($E270,$D$123:$D$129,$E$123:$E$129), _xlfn.XLOOKUP($E270,$D$112:$D$118,$E$112:$E$118),I71,$F240)</f>
        <v>5.5261978199999993</v>
      </c>
      <c r="J270" s="2"/>
      <c r="N270" s="57"/>
      <c r="O270" s="57" t="str">
        <f>'Input - Swine'!$D$79</f>
        <v>Deep litter</v>
      </c>
      <c r="P270" s="52" cm="1">
        <f t="array" ref="P270">MMS_Swine_ManureAppliedToSoils_Equations.VEERG_4_5_1_9__1_MassOfNitrogenAppliedToSoilsScope1(P41,_xlfn.XLOOKUP($E270,$D$123:$D$129,$E$123:$E$129), _xlfn.XLOOKUP($E270,$D$112:$D$118,$E$112:$E$118),P71,$F240)</f>
        <v>6.5180794799999999</v>
      </c>
      <c r="Q270" s="52" cm="1">
        <f t="array" ref="Q270">MMS_Swine_ManureAppliedToSoils_Equations.VEERG_4_5_1_9__1_MassOfNitrogenAppliedToSoilsScope1(Q41,_xlfn.XLOOKUP($E270,$D$123:$D$129,$E$123:$E$129), _xlfn.XLOOKUP($E270,$D$112:$D$118,$E$112:$E$118),Q71,$F240)</f>
        <v>8.6789645249999996</v>
      </c>
      <c r="R270" s="52" cm="1">
        <f t="array" ref="R270">MMS_Swine_ManureAppliedToSoils_Equations.VEERG_4_5_1_9__1_MassOfNitrogenAppliedToSoilsScope1(R41,_xlfn.XLOOKUP($E270,$D$123:$D$129,$E$123:$E$129), _xlfn.XLOOKUP($E270,$D$112:$D$118,$E$112:$E$118),R71,$F240)</f>
        <v>8.1475993499999984</v>
      </c>
      <c r="S270" s="52" cm="1">
        <f t="array" ref="S270">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7"/>
      <c r="E271" s="57" t="str">
        <f>'Input - Swine'!$D$80</f>
        <v>Direct application</v>
      </c>
      <c r="F271" s="52" cm="1">
        <f t="array" ref="F271">MMS_Swine_ManureAppliedToSoils_Equations.VEERG_4_5_1_9__1_MassOfNitrogenAppliedToSoilsScope1(F42,_xlfn.XLOOKUP($E271,$D$123:$D$129,$E$123:$E$129), _xlfn.XLOOKUP($E271,$D$112:$D$118,$E$112:$E$118),F72,$F241)</f>
        <v>0</v>
      </c>
      <c r="G271" s="52" cm="1">
        <f t="array" ref="G271">MMS_Swine_ManureAppliedToSoils_Equations.VEERG_4_5_1_9__1_MassOfNitrogenAppliedToSoilsScope1(G42,_xlfn.XLOOKUP($E271,$D$123:$D$129,$E$123:$E$129), _xlfn.XLOOKUP($E271,$D$112:$D$118,$E$112:$E$118),G72,$F241)</f>
        <v>0</v>
      </c>
      <c r="H271" s="52" cm="1">
        <f t="array" ref="H271">MMS_Swine_ManureAppliedToSoils_Equations.VEERG_4_5_1_9__1_MassOfNitrogenAppliedToSoilsScope1(H42,_xlfn.XLOOKUP($E271,$D$123:$D$129,$E$123:$E$129), _xlfn.XLOOKUP($E271,$D$112:$D$118,$E$112:$E$118),H72,$F241)</f>
        <v>0</v>
      </c>
      <c r="I271" s="52" cm="1">
        <f t="array" ref="I271">MMS_Swine_ManureAppliedToSoils_Equations.VEERG_4_5_1_9__1_MassOfNitrogenAppliedToSoilsScope1(I42,_xlfn.XLOOKUP($E271,$D$123:$D$129,$E$123:$E$129), _xlfn.XLOOKUP($E271,$D$112:$D$118,$E$112:$E$118),I72,$F241)</f>
        <v>0</v>
      </c>
      <c r="J271" s="2"/>
      <c r="N271" s="57"/>
      <c r="O271" s="57" t="str">
        <f>'Input - Swine'!$D$80</f>
        <v>Direct application</v>
      </c>
      <c r="P271" s="52" cm="1">
        <f t="array" ref="P271">MMS_Swine_ManureAppliedToSoils_Equations.VEERG_4_5_1_9__1_MassOfNitrogenAppliedToSoilsScope1(P42,_xlfn.XLOOKUP($E271,$D$123:$D$129,$E$123:$E$129), _xlfn.XLOOKUP($E271,$D$112:$D$118,$E$112:$E$118),P72,$F241)</f>
        <v>0</v>
      </c>
      <c r="Q271" s="52" cm="1">
        <f t="array" ref="Q271">MMS_Swine_ManureAppliedToSoils_Equations.VEERG_4_5_1_9__1_MassOfNitrogenAppliedToSoilsScope1(Q42,_xlfn.XLOOKUP($E271,$D$123:$D$129,$E$123:$E$129), _xlfn.XLOOKUP($E271,$D$112:$D$118,$E$112:$E$118),Q72,$F241)</f>
        <v>0</v>
      </c>
      <c r="R271" s="52" cm="1">
        <f t="array" ref="R271">MMS_Swine_ManureAppliedToSoils_Equations.VEERG_4_5_1_9__1_MassOfNitrogenAppliedToSoilsScope1(R42,_xlfn.XLOOKUP($E271,$D$123:$D$129,$E$123:$E$129), _xlfn.XLOOKUP($E271,$D$112:$D$118,$E$112:$E$118),R72,$F241)</f>
        <v>0</v>
      </c>
      <c r="S271" s="52" cm="1">
        <f t="array" ref="S271">MMS_Swine_ManureAppliedToSoils_Equations.VEERG_4_5_1_9__1_MassOfNitrogenAppliedToSoilsScope1(S42,_xlfn.XLOOKUP($E271,$D$123:$D$129,$E$123:$E$129), _xlfn.XLOOKUP($E271,$D$112:$D$118,$E$112:$E$118),S72,$F241)</f>
        <v>0</v>
      </c>
      <c r="T271" s="2"/>
    </row>
    <row r="272" spans="4:20" ht="20.100000000000001" customHeight="1" x14ac:dyDescent="0.25">
      <c r="D272" s="57" t="str">
        <f>'Input - Swine'!$D$34</f>
        <v>Solid storage</v>
      </c>
      <c r="E272" s="57" t="str">
        <f>'Input - Swine'!$D$84</f>
        <v>Anaerobic lagoon</v>
      </c>
      <c r="F272" s="52" cm="1">
        <f t="array" ref="F272">MMS_Swine_ManureAppliedToSoils_Equations.VEERG_4_5_1_9__1_MassOfNitrogenAppliedToSoilsScope1(F43,_xlfn.XLOOKUP($E272,$D$123:$D$129,$E$123:$E$129), _xlfn.XLOOKUP($E272,$D$112:$D$118,$E$112:$E$118),F73,$F242)</f>
        <v>12.013245000000003</v>
      </c>
      <c r="G272" s="52" cm="1">
        <f t="array" ref="G272">MMS_Swine_ManureAppliedToSoils_Equations.VEERG_4_5_1_9__1_MassOfNitrogenAppliedToSoilsScope1(G43,_xlfn.XLOOKUP($E272,$D$123:$D$129,$E$123:$E$129), _xlfn.XLOOKUP($E272,$D$112:$D$118,$E$112:$E$118),G73,$F242)</f>
        <v>12.796717500000007</v>
      </c>
      <c r="H272" s="52" cm="1">
        <f t="array" ref="H272">MMS_Swine_ManureAppliedToSoils_Equations.VEERG_4_5_1_9__1_MassOfNitrogenAppliedToSoilsScope1(H43,_xlfn.XLOOKUP($E272,$D$123:$D$129,$E$123:$E$129), _xlfn.XLOOKUP($E272,$D$112:$D$118,$E$112:$E$118),H73,$F242)</f>
        <v>12.013245000000003</v>
      </c>
      <c r="I272" s="52" cm="1">
        <f t="array" ref="I272">MMS_Swine_ManureAppliedToSoils_Equations.VEERG_4_5_1_9__1_MassOfNitrogenAppliedToSoilsScope1(I43,_xlfn.XLOOKUP($E272,$D$123:$D$129,$E$123:$E$129), _xlfn.XLOOKUP($E272,$D$112:$D$118,$E$112:$E$118),I73,$F242)</f>
        <v>8.1481140000000032</v>
      </c>
      <c r="J272" s="2"/>
      <c r="N272" s="57" t="str">
        <f>'Input - Swine'!$D$34</f>
        <v>Solid storage</v>
      </c>
      <c r="O272" s="57" t="str">
        <f>'Input - Swine'!$D$84</f>
        <v>Anaerobic lagoon</v>
      </c>
      <c r="P272" s="52" cm="1">
        <f t="array" ref="P272">MMS_Swine_ManureAppliedToSoils_Equations.VEERG_4_5_1_9__1_MassOfNitrogenAppliedToSoilsScope1(P43,_xlfn.XLOOKUP($E272,$D$123:$D$129,$E$123:$E$129), _xlfn.XLOOKUP($E272,$D$112:$D$118,$E$112:$E$118),P73,$F242)</f>
        <v>12.013245000000003</v>
      </c>
      <c r="Q272" s="52" cm="1">
        <f t="array" ref="Q272">MMS_Swine_ManureAppliedToSoils_Equations.VEERG_4_5_1_9__1_MassOfNitrogenAppliedToSoilsScope1(Q43,_xlfn.XLOOKUP($E272,$D$123:$D$129,$E$123:$E$129), _xlfn.XLOOKUP($E272,$D$112:$D$118,$E$112:$E$118),Q73,$F242)</f>
        <v>12.796717500000007</v>
      </c>
      <c r="R272" s="52" cm="1">
        <f t="array" ref="R272">MMS_Swine_ManureAppliedToSoils_Equations.VEERG_4_5_1_9__1_MassOfNitrogenAppliedToSoilsScope1(R43,_xlfn.XLOOKUP($E272,$D$123:$D$129,$E$123:$E$129), _xlfn.XLOOKUP($E272,$D$112:$D$118,$E$112:$E$118),R73,$F242)</f>
        <v>12.013245000000003</v>
      </c>
      <c r="S272" s="52" cm="1">
        <f t="array" ref="S272">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7"/>
      <c r="E273" s="57" t="str">
        <f>'Input - Swine'!$D$85</f>
        <v>Digester / covered lagoons</v>
      </c>
      <c r="F273" s="52" cm="1">
        <f t="array" ref="F273">MMS_Swine_ManureAppliedToSoils_Equations.VEERG_4_5_1_9__1_MassOfNitrogenAppliedToSoilsScope1(F44,_xlfn.XLOOKUP($E273,$D$123:$D$129,$E$123:$E$129), _xlfn.XLOOKUP($E273,$D$112:$D$118,$E$112:$E$118),F74,$F243)</f>
        <v>26.696100000000008</v>
      </c>
      <c r="G273" s="52" cm="1">
        <f t="array" ref="G273">MMS_Swine_ManureAppliedToSoils_Equations.VEERG_4_5_1_9__1_MassOfNitrogenAppliedToSoilsScope1(G44,_xlfn.XLOOKUP($E273,$D$123:$D$129,$E$123:$E$129), _xlfn.XLOOKUP($E273,$D$112:$D$118,$E$112:$E$118),G74,$F243)</f>
        <v>28.437150000000017</v>
      </c>
      <c r="H273" s="52" cm="1">
        <f t="array" ref="H273">MMS_Swine_ManureAppliedToSoils_Equations.VEERG_4_5_1_9__1_MassOfNitrogenAppliedToSoilsScope1(H44,_xlfn.XLOOKUP($E273,$D$123:$D$129,$E$123:$E$129), _xlfn.XLOOKUP($E273,$D$112:$D$118,$E$112:$E$118),H74,$F243)</f>
        <v>26.696100000000008</v>
      </c>
      <c r="I273" s="52" cm="1">
        <f t="array" ref="I273">MMS_Swine_ManureAppliedToSoils_Equations.VEERG_4_5_1_9__1_MassOfNitrogenAppliedToSoilsScope1(I44,_xlfn.XLOOKUP($E273,$D$123:$D$129,$E$123:$E$129), _xlfn.XLOOKUP($E273,$D$112:$D$118,$E$112:$E$118),I74,$F243)</f>
        <v>18.106920000000009</v>
      </c>
      <c r="J273" s="2"/>
      <c r="N273" s="57"/>
      <c r="O273" s="57" t="str">
        <f>'Input - Swine'!$D$85</f>
        <v>Digester / covered lagoons</v>
      </c>
      <c r="P273" s="52" cm="1">
        <f t="array" ref="P273">MMS_Swine_ManureAppliedToSoils_Equations.VEERG_4_5_1_9__1_MassOfNitrogenAppliedToSoilsScope1(P44,_xlfn.XLOOKUP($E273,$D$123:$D$129,$E$123:$E$129), _xlfn.XLOOKUP($E273,$D$112:$D$118,$E$112:$E$118),P74,$F243)</f>
        <v>26.696100000000008</v>
      </c>
      <c r="Q273" s="52" cm="1">
        <f t="array" ref="Q273">MMS_Swine_ManureAppliedToSoils_Equations.VEERG_4_5_1_9__1_MassOfNitrogenAppliedToSoilsScope1(Q44,_xlfn.XLOOKUP($E273,$D$123:$D$129,$E$123:$E$129), _xlfn.XLOOKUP($E273,$D$112:$D$118,$E$112:$E$118),Q74,$F243)</f>
        <v>28.437150000000017</v>
      </c>
      <c r="R273" s="52" cm="1">
        <f t="array" ref="R273">MMS_Swine_ManureAppliedToSoils_Equations.VEERG_4_5_1_9__1_MassOfNitrogenAppliedToSoilsScope1(R44,_xlfn.XLOOKUP($E273,$D$123:$D$129,$E$123:$E$129), _xlfn.XLOOKUP($E273,$D$112:$D$118,$E$112:$E$118),R74,$F243)</f>
        <v>26.696100000000008</v>
      </c>
      <c r="S273" s="52" cm="1">
        <f t="array" ref="S273">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7"/>
      <c r="E274" s="57" t="str">
        <f>'Input - Swine'!$D$86</f>
        <v>Deep litter</v>
      </c>
      <c r="F274" s="52" cm="1">
        <f t="array" ref="F274">MMS_Swine_ManureAppliedToSoils_Equations.VEERG_4_5_1_9__1_MassOfNitrogenAppliedToSoilsScope1(F45,_xlfn.XLOOKUP($E274,$D$123:$D$129,$E$123:$E$129), _xlfn.XLOOKUP($E274,$D$112:$D$118,$E$112:$E$118),F75,$F244)</f>
        <v>23.092126500000006</v>
      </c>
      <c r="G274" s="52" cm="1">
        <f t="array" ref="G274">MMS_Swine_ManureAppliedToSoils_Equations.VEERG_4_5_1_9__1_MassOfNitrogenAppliedToSoilsScope1(G45,_xlfn.XLOOKUP($E274,$D$123:$D$129,$E$123:$E$129), _xlfn.XLOOKUP($E274,$D$112:$D$118,$E$112:$E$118),G75,$F244)</f>
        <v>24.598134750000014</v>
      </c>
      <c r="H274" s="52" cm="1">
        <f t="array" ref="H274">MMS_Swine_ManureAppliedToSoils_Equations.VEERG_4_5_1_9__1_MassOfNitrogenAppliedToSoilsScope1(H45,_xlfn.XLOOKUP($E274,$D$123:$D$129,$E$123:$E$129), _xlfn.XLOOKUP($E274,$D$112:$D$118,$E$112:$E$118),H75,$F244)</f>
        <v>23.092126500000006</v>
      </c>
      <c r="I274" s="52" cm="1">
        <f t="array" ref="I274">MMS_Swine_ManureAppliedToSoils_Equations.VEERG_4_5_1_9__1_MassOfNitrogenAppliedToSoilsScope1(I45,_xlfn.XLOOKUP($E274,$D$123:$D$129,$E$123:$E$129), _xlfn.XLOOKUP($E274,$D$112:$D$118,$E$112:$E$118),I75,$F244)</f>
        <v>15.662485800000008</v>
      </c>
      <c r="J274" s="2"/>
      <c r="N274" s="57"/>
      <c r="O274" s="57" t="str">
        <f>'Input - Swine'!$D$86</f>
        <v>Deep litter</v>
      </c>
      <c r="P274" s="52" cm="1">
        <f t="array" ref="P274">MMS_Swine_ManureAppliedToSoils_Equations.VEERG_4_5_1_9__1_MassOfNitrogenAppliedToSoilsScope1(P45,_xlfn.XLOOKUP($E274,$D$123:$D$129,$E$123:$E$129), _xlfn.XLOOKUP($E274,$D$112:$D$118,$E$112:$E$118),P75,$F244)</f>
        <v>23.092126500000006</v>
      </c>
      <c r="Q274" s="52" cm="1">
        <f t="array" ref="Q274">MMS_Swine_ManureAppliedToSoils_Equations.VEERG_4_5_1_9__1_MassOfNitrogenAppliedToSoilsScope1(Q45,_xlfn.XLOOKUP($E274,$D$123:$D$129,$E$123:$E$129), _xlfn.XLOOKUP($E274,$D$112:$D$118,$E$112:$E$118),Q75,$F244)</f>
        <v>24.598134750000014</v>
      </c>
      <c r="R274" s="52" cm="1">
        <f t="array" ref="R274">MMS_Swine_ManureAppliedToSoils_Equations.VEERG_4_5_1_9__1_MassOfNitrogenAppliedToSoilsScope1(R45,_xlfn.XLOOKUP($E274,$D$123:$D$129,$E$123:$E$129), _xlfn.XLOOKUP($E274,$D$112:$D$118,$E$112:$E$118),R75,$F244)</f>
        <v>23.092126500000006</v>
      </c>
      <c r="S274" s="52" cm="1">
        <f t="array" ref="S274">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7"/>
      <c r="E275" s="57" t="str">
        <f>'Input - Swine'!$D$87</f>
        <v>Pit storage</v>
      </c>
      <c r="F275" s="52" cm="1">
        <f t="array" ref="F275">MMS_Swine_ManureAppliedToSoils_Equations.VEERG_4_5_1_9__1_MassOfNitrogenAppliedToSoilsScope1(F46,_xlfn.XLOOKUP($E275,$D$123:$D$129,$E$123:$E$129), _xlfn.XLOOKUP($E275,$D$112:$D$118,$E$112:$E$118),F76,$F245)</f>
        <v>9.9843414000000035</v>
      </c>
      <c r="G275" s="52" cm="1">
        <f t="array" ref="G275">MMS_Swine_ManureAppliedToSoils_Equations.VEERG_4_5_1_9__1_MassOfNitrogenAppliedToSoilsScope1(G46,_xlfn.XLOOKUP($E275,$D$123:$D$129,$E$123:$E$129), _xlfn.XLOOKUP($E275,$D$112:$D$118,$E$112:$E$118),G76,$F245)</f>
        <v>10.635494100000006</v>
      </c>
      <c r="H275" s="52" cm="1">
        <f t="array" ref="H275">MMS_Swine_ManureAppliedToSoils_Equations.VEERG_4_5_1_9__1_MassOfNitrogenAppliedToSoilsScope1(H46,_xlfn.XLOOKUP($E275,$D$123:$D$129,$E$123:$E$129), _xlfn.XLOOKUP($E275,$D$112:$D$118,$E$112:$E$118),H76,$F245)</f>
        <v>9.9843414000000035</v>
      </c>
      <c r="I275" s="52" cm="1">
        <f t="array" ref="I275">MMS_Swine_ManureAppliedToSoils_Equations.VEERG_4_5_1_9__1_MassOfNitrogenAppliedToSoilsScope1(I46,_xlfn.XLOOKUP($E275,$D$123:$D$129,$E$123:$E$129), _xlfn.XLOOKUP($E275,$D$112:$D$118,$E$112:$E$118),I76,$F245)</f>
        <v>6.7719880800000034</v>
      </c>
      <c r="J275" s="2"/>
      <c r="N275" s="57"/>
      <c r="O275" s="57" t="str">
        <f>'Input - Swine'!$D$87</f>
        <v>Pit storage</v>
      </c>
      <c r="P275" s="52" cm="1">
        <f t="array" ref="P275">MMS_Swine_ManureAppliedToSoils_Equations.VEERG_4_5_1_9__1_MassOfNitrogenAppliedToSoilsScope1(P46,_xlfn.XLOOKUP($E275,$D$123:$D$129,$E$123:$E$129), _xlfn.XLOOKUP($E275,$D$112:$D$118,$E$112:$E$118),P76,$F245)</f>
        <v>9.9843414000000035</v>
      </c>
      <c r="Q275" s="52" cm="1">
        <f t="array" ref="Q275">MMS_Swine_ManureAppliedToSoils_Equations.VEERG_4_5_1_9__1_MassOfNitrogenAppliedToSoilsScope1(Q46,_xlfn.XLOOKUP($E275,$D$123:$D$129,$E$123:$E$129), _xlfn.XLOOKUP($E275,$D$112:$D$118,$E$112:$E$118),Q76,$F245)</f>
        <v>10.635494100000006</v>
      </c>
      <c r="R275" s="52" cm="1">
        <f t="array" ref="R275">MMS_Swine_ManureAppliedToSoils_Equations.VEERG_4_5_1_9__1_MassOfNitrogenAppliedToSoilsScope1(R46,_xlfn.XLOOKUP($E275,$D$123:$D$129,$E$123:$E$129), _xlfn.XLOOKUP($E275,$D$112:$D$118,$E$112:$E$118),R76,$F245)</f>
        <v>9.9843414000000035</v>
      </c>
      <c r="S275" s="52" cm="1">
        <f t="array" ref="S275">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7"/>
      <c r="E276" s="57" t="str">
        <f>'Input - Swine'!$D$88</f>
        <v>Direct application</v>
      </c>
      <c r="F276" s="52" cm="1">
        <f t="array" ref="F276">MMS_Swine_ManureAppliedToSoils_Equations.VEERG_4_5_1_9__1_MassOfNitrogenAppliedToSoilsScope1(F47,_xlfn.XLOOKUP($E276,$D$123:$D$129,$E$123:$E$129), _xlfn.XLOOKUP($E276,$D$112:$D$118,$E$112:$E$118),F77,$F246)</f>
        <v>0</v>
      </c>
      <c r="G276" s="52" cm="1">
        <f t="array" ref="G276">MMS_Swine_ManureAppliedToSoils_Equations.VEERG_4_5_1_9__1_MassOfNitrogenAppliedToSoilsScope1(G47,_xlfn.XLOOKUP($E276,$D$123:$D$129,$E$123:$E$129), _xlfn.XLOOKUP($E276,$D$112:$D$118,$E$112:$E$118),G77,$F246)</f>
        <v>0</v>
      </c>
      <c r="H276" s="52" cm="1">
        <f t="array" ref="H276">MMS_Swine_ManureAppliedToSoils_Equations.VEERG_4_5_1_9__1_MassOfNitrogenAppliedToSoilsScope1(H47,_xlfn.XLOOKUP($E276,$D$123:$D$129,$E$123:$E$129), _xlfn.XLOOKUP($E276,$D$112:$D$118,$E$112:$E$118),H77,$F246)</f>
        <v>0</v>
      </c>
      <c r="I276" s="52" cm="1">
        <f t="array" ref="I276">MMS_Swine_ManureAppliedToSoils_Equations.VEERG_4_5_1_9__1_MassOfNitrogenAppliedToSoilsScope1(I47,_xlfn.XLOOKUP($E276,$D$123:$D$129,$E$123:$E$129), _xlfn.XLOOKUP($E276,$D$112:$D$118,$E$112:$E$118),I77,$F246)</f>
        <v>0</v>
      </c>
      <c r="J276" s="2"/>
      <c r="N276" s="57"/>
      <c r="O276" s="57" t="str">
        <f>'Input - Swine'!$D$88</f>
        <v>Direct application</v>
      </c>
      <c r="P276" s="52" cm="1">
        <f t="array" ref="P276">MMS_Swine_ManureAppliedToSoils_Equations.VEERG_4_5_1_9__1_MassOfNitrogenAppliedToSoilsScope1(P47,_xlfn.XLOOKUP($E276,$D$123:$D$129,$E$123:$E$129), _xlfn.XLOOKUP($E276,$D$112:$D$118,$E$112:$E$118),P77,$F246)</f>
        <v>0</v>
      </c>
      <c r="Q276" s="52" cm="1">
        <f t="array" ref="Q276">MMS_Swine_ManureAppliedToSoils_Equations.VEERG_4_5_1_9__1_MassOfNitrogenAppliedToSoilsScope1(Q47,_xlfn.XLOOKUP($E276,$D$123:$D$129,$E$123:$E$129), _xlfn.XLOOKUP($E276,$D$112:$D$118,$E$112:$E$118),Q77,$F246)</f>
        <v>0</v>
      </c>
      <c r="R276" s="52" cm="1">
        <f t="array" ref="R276">MMS_Swine_ManureAppliedToSoils_Equations.VEERG_4_5_1_9__1_MassOfNitrogenAppliedToSoilsScope1(R47,_xlfn.XLOOKUP($E276,$D$123:$D$129,$E$123:$E$129), _xlfn.XLOOKUP($E276,$D$112:$D$118,$E$112:$E$118),R77,$F246)</f>
        <v>0</v>
      </c>
      <c r="S276" s="52" cm="1">
        <f t="array" ref="S276">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50" t="str">
        <f>HYPERLINK("#A1", "▲ Back to top")</f>
        <v>▲ Back to top</v>
      </c>
      <c r="D278" s="101" t="s">
        <v>325</v>
      </c>
      <c r="E278" s="102">
        <f>SUM(F251:I276)</f>
        <v>653.20846285499988</v>
      </c>
      <c r="F278" s="103" t="str">
        <f>$E$11</f>
        <v>kg N</v>
      </c>
      <c r="N278" s="101" t="s">
        <v>325</v>
      </c>
      <c r="O278" s="102">
        <f>SUM(P251:S276)</f>
        <v>653.20846285499988</v>
      </c>
      <c r="P278" s="103"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M5" s="1"/>
    </row>
    <row r="6" spans="1:21" ht="20.100000000000001" customHeight="1" x14ac:dyDescent="0.25">
      <c r="A6" s="16"/>
      <c r="D6" s="6" t="s">
        <v>264</v>
      </c>
      <c r="G6" s="6" t="s">
        <v>110</v>
      </c>
      <c r="M6" s="1"/>
    </row>
    <row r="7" spans="1:21" ht="20.100000000000001" customHeight="1" x14ac:dyDescent="0.25">
      <c r="A7" s="20" t="s">
        <v>3</v>
      </c>
      <c r="M7" s="1"/>
    </row>
    <row r="8" spans="1:21" ht="20.100000000000001" customHeight="1" x14ac:dyDescent="0.25">
      <c r="A8" s="17" t="str">
        <f>HYPERLINK("#'Input - Site'!A1", "Site")</f>
        <v>Site</v>
      </c>
      <c r="D8" s="37" t="s">
        <v>109</v>
      </c>
      <c r="G8" s="37" t="s">
        <v>108</v>
      </c>
      <c r="M8" s="1"/>
    </row>
    <row r="9" spans="1:21" ht="20.100000000000001" customHeight="1" x14ac:dyDescent="0.25">
      <c r="A9" s="17" t="str">
        <f>HYPERLINK("#'Input - Swine'!A1", "Swine")</f>
        <v>Swine</v>
      </c>
      <c r="D9" s="37" t="s">
        <v>346</v>
      </c>
      <c r="G9" s="37" t="s">
        <v>111</v>
      </c>
      <c r="M9" s="1"/>
    </row>
    <row r="10" spans="1:21" ht="20.100000000000001" customHeight="1" x14ac:dyDescent="0.25">
      <c r="A10" s="17"/>
      <c r="D10" s="1" t="s">
        <v>136</v>
      </c>
      <c r="G10" s="37" t="s">
        <v>112</v>
      </c>
      <c r="M10" s="1"/>
    </row>
    <row r="11" spans="1:21" ht="20.100000000000001" customHeight="1" x14ac:dyDescent="0.25">
      <c r="A11" s="19" t="s">
        <v>76</v>
      </c>
      <c r="G11" s="1" t="s">
        <v>113</v>
      </c>
      <c r="M11" s="1"/>
    </row>
    <row r="12" spans="1:21" ht="20.100000000000001" customHeight="1" x14ac:dyDescent="0.25">
      <c r="A12" s="17" t="str">
        <f>HYPERLINK("#'4.5.1.1-2 Methane'!A1", "4.5.1.1-2 Methane")</f>
        <v>4.5.1.1-2 Methane</v>
      </c>
      <c r="G12" s="1" t="s">
        <v>114</v>
      </c>
      <c r="M12" s="1"/>
    </row>
    <row r="13" spans="1:21" ht="20.100000000000001" customHeight="1" x14ac:dyDescent="0.25">
      <c r="A13" s="17" t="str">
        <f>HYPERLINK("#'4.5.1.3-4 Direct N2O'!A1", "4.5.1.3-4 Direct N2O")</f>
        <v>4.5.1.3-4 Direct N2O</v>
      </c>
      <c r="G13" s="1" t="s">
        <v>115</v>
      </c>
      <c r="M13" s="1"/>
    </row>
    <row r="14" spans="1:21" ht="20.100000000000001" customHeight="1" x14ac:dyDescent="0.25">
      <c r="A14" s="17" t="str">
        <f>HYPERLINK("#'4.5.1.5-6 Atmos Dep'!A1", "4.5.1.5-6 Soil atm. deposition")</f>
        <v>4.5.1.5-6 Soil atm. deposition</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HYPERLINK("#'4.5.1.7-8 Leaching and runoff'!A1", "4.5.1.7-8 Leaching &amp; runoff")</f>
        <v>4.5.1.7-8 Leaching &amp; runoff</v>
      </c>
      <c r="D15" s="5" t="str" cm="1">
        <f t="array" ref="D15">SourceData_Swine.SourceData_Swine_FracLEACH_DrylotMMS_Source()</f>
        <v>VEERG 2026: 4.5.2.3 CONSTANT</v>
      </c>
      <c r="M15" s="1"/>
    </row>
    <row r="16" spans="1:21" ht="20.100000000000001" customHeight="1" x14ac:dyDescent="0.25">
      <c r="A16" s="17" t="str">
        <f>HYPERLINK("#'4.5.1.9 Manure applied to soils'!A1", "4.5.1.9 Manure applied to soils")</f>
        <v>4.5.1.9 Manure applied to soils</v>
      </c>
      <c r="D16" s="55" t="str" cm="1">
        <f t="array" ref="D16">SourceData_Swine.SourceData_Swine_FracLEACH_DrylotMMS_Variation()</f>
        <v>VARIATION ON SOURCE: Text refers to 'solid storage' MMS, but equation refers to 'drylot' MMS.</v>
      </c>
      <c r="M16" s="1"/>
    </row>
    <row r="17" spans="1:13" ht="20.100000000000001" customHeight="1" x14ac:dyDescent="0.25">
      <c r="D17" s="53" t="str" cm="1">
        <f t="array" ref="D17">SourceData_Swine.SourceData_Swine_FracLEACH_DrylotMMS_Variable()</f>
        <v>FracLEACH_MS</v>
      </c>
      <c r="E17" s="1" cm="1">
        <f t="array" ref="E17">SourceData_Swine.SourceData_Swine_FracLEACH_DrylotMMS_Data()</f>
        <v>0.02</v>
      </c>
      <c r="F17" s="54" t="str" cm="1">
        <f t="array" ref="F17">SourceData_Swine.SourceData_Swine_FracLEACH_DrylotMMS_Unit()</f>
        <v>fraction</v>
      </c>
      <c r="M17" s="1"/>
    </row>
    <row r="18" spans="1:13" ht="20.100000000000001" customHeight="1" x14ac:dyDescent="0.25">
      <c r="A18" s="18" t="s">
        <v>4</v>
      </c>
      <c r="M18" s="1"/>
    </row>
    <row r="19" spans="1:13" ht="20.100000000000001" customHeight="1" x14ac:dyDescent="0.25">
      <c r="A19" s="17" t="str">
        <f>HYPERLINK("#'Constants - Swine'!A1", "Constants - Swine")</f>
        <v>Constants - Swine</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HYPERLINK("#'Constants - Common'!A1", "Constants - Common")</f>
        <v>Constants - Common</v>
      </c>
      <c r="D21" s="53" t="str" cm="1">
        <f t="array" ref="D21">SourceData_Swine.SourceData_Swine_MethaneVolatileSolidsEmissionsPotential_Variable()</f>
        <v>B0</v>
      </c>
      <c r="E21" s="1" cm="1">
        <f t="array" ref="E21">SourceData_Swine.SourceData_Swine_MethaneVolatileSolidsEmissionsPotential_Data()</f>
        <v>0.19</v>
      </c>
      <c r="F21" s="54" t="str" cm="1">
        <f t="array" ref="F21">SourceData_Swine.SourceData_Swine_MethaneVolatileSolidsEmissionsPotential_Unit()</f>
        <v>m3 CH4 / kg VS</v>
      </c>
      <c r="M21" s="1"/>
    </row>
    <row r="22" spans="1:13" ht="20.100000000000001" customHeight="1" x14ac:dyDescent="0.25">
      <c r="A22" s="17" t="str">
        <f>HYPERLINK("#'Acknowledgements'!A1", "Acknowledgements")</f>
        <v>Acknowledgements</v>
      </c>
      <c r="M22" s="1"/>
    </row>
    <row r="23" spans="1:13" ht="20.100000000000001" customHeight="1" x14ac:dyDescent="0.25">
      <c r="M23" s="1"/>
    </row>
    <row r="24" spans="1:13" ht="20.100000000000001" customHeight="1" x14ac:dyDescent="0.25">
      <c r="A24" s="17"/>
      <c r="D24" s="6" t="str" cm="1">
        <f t="array" ref="D24">SourceData_Swine.SourceData_Swine_MMS_MCFs_Title()</f>
        <v>Methane conversion factor for temperature zone and manure management system.</v>
      </c>
      <c r="H24" s="107" t="s">
        <v>151</v>
      </c>
      <c r="M24" s="1"/>
    </row>
    <row r="25" spans="1:13" ht="20.100000000000001" customHeight="1" x14ac:dyDescent="0.25">
      <c r="D25" s="5" t="str" cm="1">
        <f t="array" ref="D25">SourceData_Swine.SourceData_Swine_MMS_MCFs_Source()</f>
        <v>VEERG 2026: Table A.1.6.4: Swine - MCFs (MCFim)</v>
      </c>
      <c r="H25" s="107" t="s">
        <v>152</v>
      </c>
      <c r="M25" s="1"/>
    </row>
    <row r="26" spans="1:13" ht="20.100000000000001" customHeight="1" x14ac:dyDescent="0.25">
      <c r="D26" s="55"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7" t="s">
        <v>67</v>
      </c>
      <c r="E28" s="37" t="s">
        <v>83</v>
      </c>
      <c r="F28" s="37" t="s">
        <v>82</v>
      </c>
      <c r="G28" s="37" t="s">
        <v>85</v>
      </c>
      <c r="H28" s="37" t="s">
        <v>84</v>
      </c>
      <c r="I28" s="37" t="s">
        <v>86</v>
      </c>
      <c r="J28" s="37" t="s">
        <v>87</v>
      </c>
      <c r="K28" s="37" t="s">
        <v>88</v>
      </c>
      <c r="L28" s="37" t="s">
        <v>89</v>
      </c>
      <c r="M28" s="37" t="s">
        <v>153</v>
      </c>
    </row>
    <row r="29" spans="1:13" ht="20.100000000000001" customHeight="1" x14ac:dyDescent="0.25">
      <c r="D29" s="37" t="str" cm="1">
        <f t="array" ref="D29">Common_InputFunctions.Utility_DisplayArrayInTable(SourceData_Swine.SourceData_Swine_MMS_MCFs_Data(),Table_SourceData_Swine_MMSMCF[[#Headers],[MMS]],0)</f>
        <v>Outdoor (Dry lot)</v>
      </c>
      <c r="E29" s="37" cm="1">
        <f t="array" ref="E29">Common_InputFunctions.Utility_DisplayArrayInTable(SourceData_Swine.SourceData_Swine_MMS_MCFs_Data(),Table_SourceData_Swine_MMSMCF[[#Headers],[MMS]],0)</f>
        <v>0.01</v>
      </c>
      <c r="F29" s="37" cm="1">
        <f t="array" ref="F29">Common_InputFunctions.Utility_DisplayArrayInTable(SourceData_Swine.SourceData_Swine_MMS_MCFs_Data(),Table_SourceData_Swine_MMSMCF[[#Headers],[MMS]],0)</f>
        <v>0.01</v>
      </c>
      <c r="G29" s="37" cm="1">
        <f t="array" ref="G29">Common_InputFunctions.Utility_DisplayArrayInTable(SourceData_Swine.SourceData_Swine_MMS_MCFs_Data(),Table_SourceData_Swine_MMSMCF[[#Headers],[MMS]],0)</f>
        <v>0.03</v>
      </c>
      <c r="H29" s="37" cm="1">
        <f t="array" ref="H29">Common_InputFunctions.Utility_DisplayArrayInTable(SourceData_Swine.SourceData_Swine_MMS_MCFs_Data(),Table_SourceData_Swine_MMSMCF[[#Headers],[MMS]],0)</f>
        <v>0.03</v>
      </c>
      <c r="I29" s="37" cm="1">
        <f t="array" ref="I29">Common_InputFunctions.Utility_DisplayArrayInTable(SourceData_Swine.SourceData_Swine_MMS_MCFs_Data(),Table_SourceData_Swine_MMSMCF[[#Headers],[MMS]],0)</f>
        <v>0.01</v>
      </c>
      <c r="J29" s="37" cm="1">
        <f t="array" ref="J29">Common_InputFunctions.Utility_DisplayArrayInTable(SourceData_Swine.SourceData_Swine_MMS_MCFs_Data(),Table_SourceData_Swine_MMSMCF[[#Headers],[MMS]],0)</f>
        <v>0.01</v>
      </c>
      <c r="K29" s="37" cm="1">
        <f t="array" ref="K29">Common_InputFunctions.Utility_DisplayArrayInTable(SourceData_Swine.SourceData_Swine_MMS_MCFs_Data(),Table_SourceData_Swine_MMSMCF[[#Headers],[MMS]],0)</f>
        <v>0.01</v>
      </c>
      <c r="L29" s="37" cm="1">
        <f t="array" ref="L29">Common_InputFunctions.Utility_DisplayArrayInTable(SourceData_Swine.SourceData_Swine_MMS_MCFs_Data(),Table_SourceData_Swine_MMSMCF[[#Headers],[MMS]],0)</f>
        <v>0.01</v>
      </c>
      <c r="M29" s="37"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7" cm="1">
        <f t="array" ref="E30">Common_InputFunctions.Utility_DisplayArrayInTable(SourceData_Swine.SourceData_Swine_MMS_MCFs_Data(),Table_SourceData_Swine_MMSMCF[[#Headers],[MMS]],0)</f>
        <v>0.04</v>
      </c>
      <c r="F30" s="37" cm="1">
        <f t="array" ref="F30">Common_InputFunctions.Utility_DisplayArrayInTable(SourceData_Swine.SourceData_Swine_MMS_MCFs_Data(),Table_SourceData_Swine_MMSMCF[[#Headers],[MMS]],0)</f>
        <v>0.04</v>
      </c>
      <c r="G30" s="37" cm="1">
        <f t="array" ref="G30">Common_InputFunctions.Utility_DisplayArrayInTable(SourceData_Swine.SourceData_Swine_MMS_MCFs_Data(),Table_SourceData_Swine_MMSMCF[[#Headers],[MMS]],0)</f>
        <v>0.04</v>
      </c>
      <c r="H30" s="37" cm="1">
        <f t="array" ref="H30">Common_InputFunctions.Utility_DisplayArrayInTable(SourceData_Swine.SourceData_Swine_MMS_MCFs_Data(),Table_SourceData_Swine_MMSMCF[[#Headers],[MMS]],0)</f>
        <v>0.04</v>
      </c>
      <c r="I30" s="37" cm="1">
        <f t="array" ref="I30">Common_InputFunctions.Utility_DisplayArrayInTable(SourceData_Swine.SourceData_Swine_MMS_MCFs_Data(),Table_SourceData_Swine_MMSMCF[[#Headers],[MMS]],0)</f>
        <v>0.04</v>
      </c>
      <c r="J30" s="37" cm="1">
        <f t="array" ref="J30">Common_InputFunctions.Utility_DisplayArrayInTable(SourceData_Swine.SourceData_Swine_MMS_MCFs_Data(),Table_SourceData_Swine_MMSMCF[[#Headers],[MMS]],0)</f>
        <v>0.04</v>
      </c>
      <c r="K30" s="37" cm="1">
        <f t="array" ref="K30">Common_InputFunctions.Utility_DisplayArrayInTable(SourceData_Swine.SourceData_Swine_MMS_MCFs_Data(),Table_SourceData_Swine_MMSMCF[[#Headers],[MMS]],0)</f>
        <v>0.04</v>
      </c>
      <c r="L30" s="37" cm="1">
        <f t="array" ref="L30">Common_InputFunctions.Utility_DisplayArrayInTable(SourceData_Swine.SourceData_Swine_MMS_MCFs_Data(),Table_SourceData_Swine_MMSMCF[[#Headers],[MMS]],0)</f>
        <v>0.04</v>
      </c>
      <c r="M30" s="37"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7" cm="1">
        <f t="array" ref="E31">Common_InputFunctions.Utility_DisplayArrayInTable(SourceData_Swine.SourceData_Swine_MMS_MCFs_Data(),Table_SourceData_Swine_MMSMCF[[#Headers],[MMS]],0)</f>
        <v>0.02</v>
      </c>
      <c r="F31" s="37" cm="1">
        <f t="array" ref="F31">Common_InputFunctions.Utility_DisplayArrayInTable(SourceData_Swine.SourceData_Swine_MMS_MCFs_Data(),Table_SourceData_Swine_MMSMCF[[#Headers],[MMS]],0)</f>
        <v>0.02</v>
      </c>
      <c r="G31" s="37" cm="1">
        <f t="array" ref="G31">Common_InputFunctions.Utility_DisplayArrayInTable(SourceData_Swine.SourceData_Swine_MMS_MCFs_Data(),Table_SourceData_Swine_MMSMCF[[#Headers],[MMS]],0)</f>
        <v>0.02</v>
      </c>
      <c r="H31" s="37" cm="1">
        <f t="array" ref="H31">Common_InputFunctions.Utility_DisplayArrayInTable(SourceData_Swine.SourceData_Swine_MMS_MCFs_Data(),Table_SourceData_Swine_MMSMCF[[#Headers],[MMS]],0)</f>
        <v>0.02</v>
      </c>
      <c r="I31" s="37" cm="1">
        <f t="array" ref="I31">Common_InputFunctions.Utility_DisplayArrayInTable(SourceData_Swine.SourceData_Swine_MMS_MCFs_Data(),Table_SourceData_Swine_MMSMCF[[#Headers],[MMS]],0)</f>
        <v>0.02</v>
      </c>
      <c r="J31" s="37" cm="1">
        <f t="array" ref="J31">Common_InputFunctions.Utility_DisplayArrayInTable(SourceData_Swine.SourceData_Swine_MMS_MCFs_Data(),Table_SourceData_Swine_MMSMCF[[#Headers],[MMS]],0)</f>
        <v>0.02</v>
      </c>
      <c r="K31" s="37" cm="1">
        <f t="array" ref="K31">Common_InputFunctions.Utility_DisplayArrayInTable(SourceData_Swine.SourceData_Swine_MMS_MCFs_Data(),Table_SourceData_Swine_MMSMCF[[#Headers],[MMS]],0)</f>
        <v>0.02</v>
      </c>
      <c r="L31" s="37" cm="1">
        <f t="array" ref="L31">Common_InputFunctions.Utility_DisplayArrayInTable(SourceData_Swine.SourceData_Swine_MMS_MCFs_Data(),Table_SourceData_Swine_MMSMCF[[#Headers],[MMS]],0)</f>
        <v>0.02</v>
      </c>
      <c r="M31" s="37"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7" cm="1">
        <f t="array" ref="E32">Common_InputFunctions.Utility_DisplayArrayInTable(SourceData_Swine.SourceData_Swine_MMS_MCFs_Data(),Table_SourceData_Swine_MMSMCF[[#Headers],[MMS]],0)</f>
        <v>0.75</v>
      </c>
      <c r="F32" s="37" cm="1">
        <f t="array" ref="F32">Common_InputFunctions.Utility_DisplayArrayInTable(SourceData_Swine.SourceData_Swine_MMS_MCFs_Data(),Table_SourceData_Swine_MMSMCF[[#Headers],[MMS]],0)</f>
        <v>0.75</v>
      </c>
      <c r="G32" s="37" cm="1">
        <f t="array" ref="G32">Common_InputFunctions.Utility_DisplayArrayInTable(SourceData_Swine.SourceData_Swine_MMS_MCFs_Data(),Table_SourceData_Swine_MMSMCF[[#Headers],[MMS]],0)</f>
        <v>0.78</v>
      </c>
      <c r="H32" s="37" cm="1">
        <f t="array" ref="H32">Common_InputFunctions.Utility_DisplayArrayInTable(SourceData_Swine.SourceData_Swine_MMS_MCFs_Data(),Table_SourceData_Swine_MMSMCF[[#Headers],[MMS]],0)</f>
        <v>0.78</v>
      </c>
      <c r="I32" s="37" cm="1">
        <f t="array" ref="I32">Common_InputFunctions.Utility_DisplayArrayInTable(SourceData_Swine.SourceData_Swine_MMS_MCFs_Data(),Table_SourceData_Swine_MMSMCF[[#Headers],[MMS]],0)</f>
        <v>0.75</v>
      </c>
      <c r="J32" s="37" cm="1">
        <f t="array" ref="J32">Common_InputFunctions.Utility_DisplayArrayInTable(SourceData_Swine.SourceData_Swine_MMS_MCFs_Data(),Table_SourceData_Swine_MMSMCF[[#Headers],[MMS]],0)</f>
        <v>0.7</v>
      </c>
      <c r="K32" s="37" cm="1">
        <f t="array" ref="K32">Common_InputFunctions.Utility_DisplayArrayInTable(SourceData_Swine.SourceData_Swine_MMS_MCFs_Data(),Table_SourceData_Swine_MMSMCF[[#Headers],[MMS]],0)</f>
        <v>0.74</v>
      </c>
      <c r="L32" s="37" cm="1">
        <f t="array" ref="L32">Common_InputFunctions.Utility_DisplayArrayInTable(SourceData_Swine.SourceData_Swine_MMS_MCFs_Data(),Table_SourceData_Swine_MMSMCF[[#Headers],[MMS]],0)</f>
        <v>0.76</v>
      </c>
      <c r="M32" s="37"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7" cm="1">
        <f t="array" ref="E33">Common_InputFunctions.Utility_DisplayArrayInTable(SourceData_Swine.SourceData_Swine_MMS_MCFs_Data(),Table_SourceData_Swine_MMSMCF[[#Headers],[MMS]],0)</f>
        <v>0.1</v>
      </c>
      <c r="F33" s="37" cm="1">
        <f t="array" ref="F33">Common_InputFunctions.Utility_DisplayArrayInTable(SourceData_Swine.SourceData_Swine_MMS_MCFs_Data(),Table_SourceData_Swine_MMSMCF[[#Headers],[MMS]],0)</f>
        <v>0.1</v>
      </c>
      <c r="G33" s="37" cm="1">
        <f t="array" ref="G33">Common_InputFunctions.Utility_DisplayArrayInTable(SourceData_Swine.SourceData_Swine_MMS_MCFs_Data(),Table_SourceData_Swine_MMSMCF[[#Headers],[MMS]],0)</f>
        <v>0.1</v>
      </c>
      <c r="H33" s="37" cm="1">
        <f t="array" ref="H33">Common_InputFunctions.Utility_DisplayArrayInTable(SourceData_Swine.SourceData_Swine_MMS_MCFs_Data(),Table_SourceData_Swine_MMSMCF[[#Headers],[MMS]],0)</f>
        <v>0.1</v>
      </c>
      <c r="I33" s="37" cm="1">
        <f t="array" ref="I33">Common_InputFunctions.Utility_DisplayArrayInTable(SourceData_Swine.SourceData_Swine_MMS_MCFs_Data(),Table_SourceData_Swine_MMSMCF[[#Headers],[MMS]],0)</f>
        <v>0.1</v>
      </c>
      <c r="J33" s="37" cm="1">
        <f t="array" ref="J33">Common_InputFunctions.Utility_DisplayArrayInTable(SourceData_Swine.SourceData_Swine_MMS_MCFs_Data(),Table_SourceData_Swine_MMSMCF[[#Headers],[MMS]],0)</f>
        <v>0.1</v>
      </c>
      <c r="K33" s="37" cm="1">
        <f t="array" ref="K33">Common_InputFunctions.Utility_DisplayArrayInTable(SourceData_Swine.SourceData_Swine_MMS_MCFs_Data(),Table_SourceData_Swine_MMSMCF[[#Headers],[MMS]],0)</f>
        <v>0.1</v>
      </c>
      <c r="L33" s="37" cm="1">
        <f t="array" ref="L33">Common_InputFunctions.Utility_DisplayArrayInTable(SourceData_Swine.SourceData_Swine_MMS_MCFs_Data(),Table_SourceData_Swine_MMSMCF[[#Headers],[MMS]],0)</f>
        <v>0.1</v>
      </c>
      <c r="M33" s="37"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7" cm="1">
        <f t="array" ref="E34">Common_InputFunctions.Utility_DisplayArrayInTable(SourceData_Swine.SourceData_Swine_MMS_MCFs_Data(),Table_SourceData_Swine_MMSMCF[[#Headers],[MMS]],0)</f>
        <v>0.03</v>
      </c>
      <c r="F34" s="37" cm="1">
        <f t="array" ref="F34">Common_InputFunctions.Utility_DisplayArrayInTable(SourceData_Swine.SourceData_Swine_MMS_MCFs_Data(),Table_SourceData_Swine_MMSMCF[[#Headers],[MMS]],0)</f>
        <v>0.03</v>
      </c>
      <c r="G34" s="37" cm="1">
        <f t="array" ref="G34">Common_InputFunctions.Utility_DisplayArrayInTable(SourceData_Swine.SourceData_Swine_MMS_MCFs_Data(),Table_SourceData_Swine_MMSMCF[[#Headers],[MMS]],0)</f>
        <v>0.03</v>
      </c>
      <c r="H34" s="37" cm="1">
        <f t="array" ref="H34">Common_InputFunctions.Utility_DisplayArrayInTable(SourceData_Swine.SourceData_Swine_MMS_MCFs_Data(),Table_SourceData_Swine_MMSMCF[[#Headers],[MMS]],0)</f>
        <v>0.03</v>
      </c>
      <c r="I34" s="37" cm="1">
        <f t="array" ref="I34">Common_InputFunctions.Utility_DisplayArrayInTable(SourceData_Swine.SourceData_Swine_MMS_MCFs_Data(),Table_SourceData_Swine_MMSMCF[[#Headers],[MMS]],0)</f>
        <v>0.03</v>
      </c>
      <c r="J34" s="37" cm="1">
        <f t="array" ref="J34">Common_InputFunctions.Utility_DisplayArrayInTable(SourceData_Swine.SourceData_Swine_MMS_MCFs_Data(),Table_SourceData_Swine_MMSMCF[[#Headers],[MMS]],0)</f>
        <v>0.03</v>
      </c>
      <c r="K34" s="37" cm="1">
        <f t="array" ref="K34">Common_InputFunctions.Utility_DisplayArrayInTable(SourceData_Swine.SourceData_Swine_MMS_MCFs_Data(),Table_SourceData_Swine_MMSMCF[[#Headers],[MMS]],0)</f>
        <v>0.03</v>
      </c>
      <c r="L34" s="37" cm="1">
        <f t="array" ref="L34">Common_InputFunctions.Utility_DisplayArrayInTable(SourceData_Swine.SourceData_Swine_MMS_MCFs_Data(),Table_SourceData_Swine_MMSMCF[[#Headers],[MMS]],0)</f>
        <v>0.03</v>
      </c>
      <c r="M34" s="37"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7" cm="1">
        <f t="array" ref="E35">Common_InputFunctions.Utility_DisplayArrayInTable(SourceData_Swine.SourceData_Swine_MMS_MCFs_Data(),Table_SourceData_Swine_MMSMCF[[#Headers],[MMS]],0)</f>
        <v>0</v>
      </c>
      <c r="F35" s="37" cm="1">
        <f t="array" ref="F35">Common_InputFunctions.Utility_DisplayArrayInTable(SourceData_Swine.SourceData_Swine_MMS_MCFs_Data(),Table_SourceData_Swine_MMSMCF[[#Headers],[MMS]],0)</f>
        <v>0</v>
      </c>
      <c r="G35" s="37" cm="1">
        <f t="array" ref="G35">Common_InputFunctions.Utility_DisplayArrayInTable(SourceData_Swine.SourceData_Swine_MMS_MCFs_Data(),Table_SourceData_Swine_MMSMCF[[#Headers],[MMS]],0)</f>
        <v>0</v>
      </c>
      <c r="H35" s="37" cm="1">
        <f t="array" ref="H35">Common_InputFunctions.Utility_DisplayArrayInTable(SourceData_Swine.SourceData_Swine_MMS_MCFs_Data(),Table_SourceData_Swine_MMSMCF[[#Headers],[MMS]],0)</f>
        <v>0</v>
      </c>
      <c r="I35" s="37" cm="1">
        <f t="array" ref="I35">Common_InputFunctions.Utility_DisplayArrayInTable(SourceData_Swine.SourceData_Swine_MMS_MCFs_Data(),Table_SourceData_Swine_MMSMCF[[#Headers],[MMS]],0)</f>
        <v>0</v>
      </c>
      <c r="J35" s="37" cm="1">
        <f t="array" ref="J35">Common_InputFunctions.Utility_DisplayArrayInTable(SourceData_Swine.SourceData_Swine_MMS_MCFs_Data(),Table_SourceData_Swine_MMSMCF[[#Headers],[MMS]],0)</f>
        <v>0</v>
      </c>
      <c r="K35" s="37" cm="1">
        <f t="array" ref="K35">Common_InputFunctions.Utility_DisplayArrayInTable(SourceData_Swine.SourceData_Swine_MMS_MCFs_Data(),Table_SourceData_Swine_MMSMCF[[#Headers],[MMS]],0)</f>
        <v>0</v>
      </c>
      <c r="L35" s="37" cm="1">
        <f t="array" ref="L35">Common_InputFunctions.Utility_DisplayArrayInTable(SourceData_Swine.SourceData_Swine_MMS_MCFs_Data(),Table_SourceData_Swine_MMSMCF[[#Headers],[MMS]],0)</f>
        <v>0</v>
      </c>
      <c r="M35" s="37"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154</v>
      </c>
      <c r="G38" s="6" t="s">
        <v>155</v>
      </c>
      <c r="K38" s="6" t="s">
        <v>156</v>
      </c>
      <c r="M38" s="1"/>
    </row>
    <row r="39" spans="4:13" ht="20.100000000000001" customHeight="1" x14ac:dyDescent="0.25">
      <c r="M39" s="1"/>
    </row>
    <row r="40" spans="4:13" ht="20.100000000000001" customHeight="1" x14ac:dyDescent="0.25">
      <c r="D40" s="120" t="s">
        <v>67</v>
      </c>
      <c r="E40" s="37" t="s">
        <v>81</v>
      </c>
      <c r="G40" s="120" t="s">
        <v>67</v>
      </c>
      <c r="H40" s="37" t="s">
        <v>81</v>
      </c>
      <c r="K40" s="120" t="s">
        <v>67</v>
      </c>
      <c r="L40" s="37" t="s">
        <v>81</v>
      </c>
      <c r="M40" s="1"/>
    </row>
    <row r="41" spans="4:13" ht="20.100000000000001" customHeight="1" x14ac:dyDescent="0.25">
      <c r="D41" s="37" t="str">
        <f>'Constants - Livestock'!$E$10</f>
        <v>Anaerobic lagoon</v>
      </c>
      <c r="E41" s="37" t="str">
        <f>'Constants - Livestock'!$F$10</f>
        <v>Anaerobic lagoon (m=1)</v>
      </c>
      <c r="G41" s="37" t="str">
        <f>'Constants - Livestock'!$E$10</f>
        <v>Anaerobic lagoon</v>
      </c>
      <c r="H41" s="37" t="str">
        <f>'Constants - Livestock'!$F$10</f>
        <v>Anaerobic lagoon (m=1)</v>
      </c>
      <c r="K41" s="37" t="str">
        <f>'Constants - Livestock'!$E$10</f>
        <v>Anaerobic lagoon</v>
      </c>
      <c r="L41" s="37" t="str">
        <f>'Constants - Livestock'!$F$10</f>
        <v>Anaerobic lagoon (m=1)</v>
      </c>
      <c r="M41" s="1"/>
    </row>
    <row r="42" spans="4:13" ht="20.100000000000001" customHeight="1" x14ac:dyDescent="0.25">
      <c r="D42" s="37" t="str">
        <f>'Constants - Livestock'!$E$15</f>
        <v>Solid storage</v>
      </c>
      <c r="E42" s="37" t="str">
        <f>'Constants - Livestock'!$F$15</f>
        <v>Solid storage (m=4)</v>
      </c>
      <c r="G42" s="37" t="str">
        <f>'Constants - Livestock'!$E$16</f>
        <v>Drylot (feed pad)</v>
      </c>
      <c r="H42" s="37" t="str">
        <f>'Constants - Livestock'!$F$16</f>
        <v>Drylot (feed pad) (m=5)</v>
      </c>
      <c r="K42" s="37" t="str">
        <f>'Constants - Livestock'!$E$15</f>
        <v>Solid storage</v>
      </c>
      <c r="L42" s="37" t="str">
        <f>'Constants - Livestock'!$F$15</f>
        <v>Solid storage (m=4)</v>
      </c>
      <c r="M42" s="1"/>
    </row>
    <row r="43" spans="4:13" ht="20.100000000000001" customHeight="1" x14ac:dyDescent="0.25">
      <c r="D43" s="37" t="str">
        <f>'Constants - Livestock'!$E$16</f>
        <v>Drylot (feed pad)</v>
      </c>
      <c r="E43" s="37" t="str">
        <f>'Constants - Livestock'!$F$16</f>
        <v>Drylot (feed pad) (m=5)</v>
      </c>
      <c r="G43" s="37" t="str">
        <f>'Constants - Livestock'!$E$18</f>
        <v>Digester / covered lagoons</v>
      </c>
      <c r="H43" s="37" t="str">
        <f>'Constants - Livestock'!$F$18</f>
        <v>Digester / covered lagoons (m=7)</v>
      </c>
      <c r="K43" s="37" t="str">
        <f>'Constants - Livestock'!$E$16</f>
        <v>Drylot (feed pad)</v>
      </c>
      <c r="L43" s="37" t="str">
        <f>'Constants - Livestock'!$F$16</f>
        <v>Drylot (feed pad) (m=5)</v>
      </c>
      <c r="M43" s="1"/>
    </row>
    <row r="44" spans="4:13" ht="20.100000000000001" customHeight="1" x14ac:dyDescent="0.25">
      <c r="D44" s="37" t="str">
        <f>'Constants - Livestock'!$E$18</f>
        <v>Digester / covered lagoons</v>
      </c>
      <c r="E44" s="37" t="str">
        <f>'Constants - Livestock'!$F$18</f>
        <v>Digester / covered lagoons (m=7)</v>
      </c>
      <c r="G44" s="37" t="str">
        <f>'Constants - Livestock'!$E$19</f>
        <v>Deep litter</v>
      </c>
      <c r="H44" s="37" t="str">
        <f>'Constants - Livestock'!$F$19</f>
        <v>Deep litter (m=8)</v>
      </c>
      <c r="K44" s="37" t="str">
        <f>'Constants - Livestock'!$E$18</f>
        <v>Digester / covered lagoons</v>
      </c>
      <c r="L44" s="37" t="str">
        <f>'Constants - Livestock'!$F$18</f>
        <v>Digester / covered lagoons (m=7)</v>
      </c>
      <c r="M44" s="1"/>
    </row>
    <row r="45" spans="4:13" ht="20.100000000000001" customHeight="1" x14ac:dyDescent="0.25">
      <c r="D45" s="37" t="str">
        <f>'Constants - Livestock'!$E$19</f>
        <v>Deep litter</v>
      </c>
      <c r="E45" s="37" t="str">
        <f>'Constants - Livestock'!$F$19</f>
        <v>Deep litter (m=8)</v>
      </c>
      <c r="G45" s="37" t="str">
        <f>'Constants - Livestock'!$E$20</f>
        <v>Pit storage</v>
      </c>
      <c r="H45" s="37" t="str">
        <f>'Constants - Livestock'!$F$20</f>
        <v>Pit storage (m=9)</v>
      </c>
      <c r="K45" s="37" t="str">
        <f>'Constants - Livestock'!$E$19</f>
        <v>Deep litter</v>
      </c>
      <c r="L45" s="37" t="str">
        <f>'Constants - Livestock'!$F$19</f>
        <v>Deep litter (m=8)</v>
      </c>
      <c r="M45" s="1"/>
    </row>
    <row r="46" spans="4:13" ht="20.100000000000001" customHeight="1" x14ac:dyDescent="0.25">
      <c r="D46" s="37" t="str">
        <f>'Constants - Livestock'!$E$20</f>
        <v>Pit storage</v>
      </c>
      <c r="E46" s="37" t="str">
        <f>'Constants - Livestock'!$F$20</f>
        <v>Pit storage (m=9)</v>
      </c>
      <c r="K46" s="37" t="str">
        <f>'Constants - Livestock'!$E$20</f>
        <v>Pit storage</v>
      </c>
      <c r="L46" s="37" t="str">
        <f>'Constants - Livestock'!$F$20</f>
        <v>Pit storage (m=9)</v>
      </c>
      <c r="M46" s="1"/>
    </row>
    <row r="47" spans="4:13" ht="20.100000000000001" customHeight="1" x14ac:dyDescent="0.25">
      <c r="D47" s="37" t="str">
        <f>'Constants - Livestock'!$E$26</f>
        <v>Direct application</v>
      </c>
      <c r="E47" s="37"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157</v>
      </c>
      <c r="G51" s="6" t="s">
        <v>158</v>
      </c>
      <c r="M51" s="1"/>
    </row>
    <row r="52" spans="1:13" ht="20.100000000000001" customHeight="1" x14ac:dyDescent="0.25">
      <c r="M52" s="1"/>
    </row>
    <row r="53" spans="1:13" ht="20.100000000000001" customHeight="1" x14ac:dyDescent="0.25">
      <c r="D53" s="120" t="s">
        <v>67</v>
      </c>
      <c r="E53" s="37" t="s">
        <v>159</v>
      </c>
      <c r="G53" s="37" t="s">
        <v>109</v>
      </c>
      <c r="M53" s="1"/>
    </row>
    <row r="54" spans="1:13" ht="20.100000000000001" customHeight="1" x14ac:dyDescent="0.25">
      <c r="D54" s="37" t="str">
        <f>'Constants - Livestock'!$E$10</f>
        <v>Anaerobic lagoon</v>
      </c>
      <c r="E54" s="37">
        <v>0</v>
      </c>
      <c r="G54" s="37"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7" t="str">
        <f>'Constants - Livestock'!$E$15</f>
        <v>Solid storage</v>
      </c>
      <c r="E55" s="37">
        <v>0</v>
      </c>
      <c r="G55" s="37"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7" t="str">
        <f>'Constants - Livestock'!$E$16</f>
        <v>Drylot (feed pad)</v>
      </c>
      <c r="E56" s="37">
        <v>0</v>
      </c>
      <c r="G56" s="37"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7" t="str">
        <f>'Constants - Livestock'!$E$18</f>
        <v>Digester / covered lagoons</v>
      </c>
      <c r="E57" s="37">
        <v>0.75</v>
      </c>
      <c r="M57" s="1"/>
    </row>
    <row r="58" spans="1:13" ht="20.100000000000001" customHeight="1" x14ac:dyDescent="0.25">
      <c r="D58" s="37" t="str">
        <f>'Constants - Livestock'!$E$19</f>
        <v>Deep litter</v>
      </c>
      <c r="E58" s="37">
        <v>0.05</v>
      </c>
      <c r="M58" s="1"/>
    </row>
    <row r="59" spans="1:13" ht="20.100000000000001" customHeight="1" x14ac:dyDescent="0.25">
      <c r="D59" s="37" t="str">
        <f>'Constants - Livestock'!$E$20</f>
        <v>Pit storage</v>
      </c>
      <c r="E59" s="37">
        <v>0</v>
      </c>
      <c r="M59" s="1"/>
    </row>
    <row r="60" spans="1:13" ht="20.100000000000001" customHeight="1" x14ac:dyDescent="0.25">
      <c r="D60" s="37" t="str">
        <f>'Constants - Livestock'!$E$26</f>
        <v>Direct application</v>
      </c>
      <c r="E60" s="37">
        <v>0</v>
      </c>
      <c r="M60" s="1"/>
    </row>
    <row r="61" spans="1:13" ht="20.100000000000001" customHeight="1" x14ac:dyDescent="0.25">
      <c r="M61" s="1"/>
    </row>
    <row r="62" spans="1:13" ht="20.100000000000001" customHeight="1" x14ac:dyDescent="0.25">
      <c r="M62" s="1"/>
    </row>
    <row r="63" spans="1:13" ht="20.100000000000001" customHeight="1" x14ac:dyDescent="0.25">
      <c r="A63" s="150"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5"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7" t="s">
        <v>149</v>
      </c>
      <c r="E67" s="37" t="s">
        <v>150</v>
      </c>
      <c r="M67" s="1"/>
    </row>
    <row r="68" spans="4:22" ht="20.100000000000001" customHeight="1" x14ac:dyDescent="0.25">
      <c r="D68" s="37" t="str" cm="1">
        <f t="array" ref="D68">Common_InputFunctions.Utility_DisplayArrayInTable(SourceData_Swine.SourceData_Swine_VolatileSolids_Data(), Table_SourceData_Swine_VolatileSolids[[#Headers],[Class]], 0)</f>
        <v>Boars</v>
      </c>
      <c r="E68" s="37"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7"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7"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7"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5"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7" t="s">
        <v>149</v>
      </c>
      <c r="E78" s="37" t="s">
        <v>232</v>
      </c>
      <c r="M78" s="1"/>
      <c r="V78" s="1"/>
    </row>
    <row r="79" spans="4:22" ht="20.100000000000001" customHeight="1" x14ac:dyDescent="0.25">
      <c r="D79" s="37" t="str" cm="1">
        <f t="array" ref="D79">Common_InputFunctions.Utility_DisplayArrayInTable(SourceData_Swine.SourceData_Swine_FeedIntake_Data(), Table_SourceData_Swine_FeedIntake[[#Headers],[Class]], 0)</f>
        <v>Boars</v>
      </c>
      <c r="E79" s="37" cm="1">
        <f t="array" ref="E79">Common_InputFunctions.Utility_DisplayArrayInTable(SourceData_Swine.SourceData_Swine_FeedIntake_Data(), Table_SourceData_Swine_FeedIntake[[#Headers],[Class]], 0)</f>
        <v>2.62</v>
      </c>
      <c r="M79" s="1"/>
      <c r="V79" s="1"/>
    </row>
    <row r="80" spans="4:22" ht="20.100000000000001" customHeight="1" x14ac:dyDescent="0.25">
      <c r="D80" s="37" t="str" cm="1">
        <f t="array" ref="D80">Common_InputFunctions.Utility_DisplayArrayInTable(SourceData_Swine.SourceData_Swine_FeedIntake_Data(), Table_SourceData_Swine_FeedIntake[[#Headers],[Class]], 0)</f>
        <v>Sows</v>
      </c>
      <c r="E80" s="37"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7" t="str" cm="1">
        <f t="array" ref="D81">Common_InputFunctions.Utility_DisplayArrayInTable(SourceData_Swine.SourceData_Swine_FeedIntake_Data(), Table_SourceData_Swine_FeedIntake[[#Headers],[Class]], 0)</f>
        <v>Gilts</v>
      </c>
      <c r="E81" s="37" cm="1">
        <f t="array" ref="E81">Common_InputFunctions.Utility_DisplayArrayInTable(SourceData_Swine.SourceData_Swine_FeedIntake_Data(), Table_SourceData_Swine_FeedIntake[[#Headers],[Class]], 0)</f>
        <v>2.5</v>
      </c>
      <c r="M81" s="1"/>
      <c r="V81" s="1"/>
    </row>
    <row r="82" spans="4:23" ht="20.100000000000001" customHeight="1" x14ac:dyDescent="0.25">
      <c r="D82" s="37" t="str" cm="1">
        <f t="array" ref="D82">Common_InputFunctions.Utility_DisplayArrayInTable(SourceData_Swine.SourceData_Swine_FeedIntake_Data(), Table_SourceData_Swine_FeedIntake[[#Headers],[Class]], 0)</f>
        <v>Others</v>
      </c>
      <c r="E82" s="37"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5"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7" t="s">
        <v>149</v>
      </c>
      <c r="E89" s="37" t="s">
        <v>230</v>
      </c>
      <c r="F89" s="37" t="s">
        <v>231</v>
      </c>
      <c r="G89" s="37" t="s">
        <v>295</v>
      </c>
      <c r="M89" s="1"/>
      <c r="V89" s="1"/>
      <c r="W89" s="1"/>
    </row>
    <row r="90" spans="4:23" ht="20.100000000000001" customHeight="1" x14ac:dyDescent="0.25">
      <c r="D90" s="37" t="str" cm="1">
        <f t="array" ref="D90">Common_InputFunctions.Utility_DisplayArrayInTable(SourceData_Swine.SourceData_Swine_NitrogenInWaste_Data(), Table_SourceData_Swine_NitrogenInWaste[[#Headers],[Class]], 0)</f>
        <v>Boars</v>
      </c>
      <c r="E90" s="37" cm="1">
        <f t="array" ref="E90">Common_InputFunctions.Utility_DisplayArrayInTable(SourceData_Swine.SourceData_Swine_NitrogenInWaste_Data(), Table_SourceData_Swine_NitrogenInWaste[[#Headers],[Class]], 0)</f>
        <v>4.5999999999999999E-2</v>
      </c>
      <c r="F90" s="37" cm="1">
        <f t="array" ref="F90">Common_InputFunctions.Utility_DisplayArrayInTable(SourceData_Swine.SourceData_Swine_NitrogenInWaste_Data(), Table_SourceData_Swine_NitrogenInWaste[[#Headers],[Class]], 0)</f>
        <v>4.5999999999999999E-2</v>
      </c>
      <c r="G90" s="37"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7" t="str" cm="1">
        <f t="array" ref="D91">Common_InputFunctions.Utility_DisplayArrayInTable(SourceData_Swine.SourceData_Swine_NitrogenInWaste_Data(), Table_SourceData_Swine_NitrogenInWaste[[#Headers],[Class]], 0)</f>
        <v>Sows</v>
      </c>
      <c r="E91" s="37" cm="1">
        <f t="array" ref="E91">Common_InputFunctions.Utility_DisplayArrayInTable(SourceData_Swine.SourceData_Swine_NitrogenInWaste_Data(), Table_SourceData_Swine_NitrogenInWaste[[#Headers],[Class]], 0)</f>
        <v>4.9000000000000002E-2</v>
      </c>
      <c r="F91" s="37" cm="1">
        <f t="array" ref="F91">Common_InputFunctions.Utility_DisplayArrayInTable(SourceData_Swine.SourceData_Swine_NitrogenInWaste_Data(), Table_SourceData_Swine_NitrogenInWaste[[#Headers],[Class]], 0)</f>
        <v>4.9000000000000002E-2</v>
      </c>
      <c r="G91" s="37"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7" t="str" cm="1">
        <f t="array" ref="D92">Common_InputFunctions.Utility_DisplayArrayInTable(SourceData_Swine.SourceData_Swine_NitrogenInWaste_Data(), Table_SourceData_Swine_NitrogenInWaste[[#Headers],[Class]], 0)</f>
        <v>Gilts</v>
      </c>
      <c r="E92" s="37" cm="1">
        <f t="array" ref="E92">Common_InputFunctions.Utility_DisplayArrayInTable(SourceData_Swine.SourceData_Swine_NitrogenInWaste_Data(), Table_SourceData_Swine_NitrogenInWaste[[#Headers],[Class]], 0)</f>
        <v>4.5999999999999999E-2</v>
      </c>
      <c r="F92" s="37" cm="1">
        <f t="array" ref="F92">Common_InputFunctions.Utility_DisplayArrayInTable(SourceData_Swine.SourceData_Swine_NitrogenInWaste_Data(), Table_SourceData_Swine_NitrogenInWaste[[#Headers],[Class]], 0)</f>
        <v>4.5999999999999999E-2</v>
      </c>
      <c r="G92" s="37"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7" t="str" cm="1">
        <f t="array" ref="D93">Common_InputFunctions.Utility_DisplayArrayInTable(SourceData_Swine.SourceData_Swine_NitrogenInWaste_Data(), Table_SourceData_Swine_NitrogenInWaste[[#Headers],[Class]], 0)</f>
        <v>Others (kg/head/year)</v>
      </c>
      <c r="E93" s="37" cm="1">
        <f t="array" ref="E93">Common_InputFunctions.Utility_DisplayArrayInTable(SourceData_Swine.SourceData_Swine_NitrogenInWaste_Data(), Table_SourceData_Swine_NitrogenInWaste[[#Headers],[Class]], 0)</f>
        <v>11.4</v>
      </c>
      <c r="F93" s="37" cm="1">
        <f t="array" ref="F93">Common_InputFunctions.Utility_DisplayArrayInTable(SourceData_Swine.SourceData_Swine_NitrogenInWaste_Data(), Table_SourceData_Swine_NitrogenInWaste[[#Headers],[Class]], 0)</f>
        <v>3.1199999999999999E-2</v>
      </c>
      <c r="G93" s="37"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5" t="str" cm="1">
        <f t="array" ref="D98">SourceData_Swine.SourceData_Swine_FractionNVolatilised_Variation()</f>
        <v>VARIATION ON SOURCE DATA: Added 'NIR reference column to aid lookup.</v>
      </c>
      <c r="M98" s="1"/>
    </row>
    <row r="99" spans="4:13" ht="20.100000000000001" customHeight="1" x14ac:dyDescent="0.25">
      <c r="D99" s="37" t="s">
        <v>233</v>
      </c>
      <c r="E99" s="37" t="s">
        <v>234</v>
      </c>
      <c r="F99" s="37" t="s">
        <v>235</v>
      </c>
      <c r="M99" s="1"/>
    </row>
    <row r="100" spans="4:13" ht="20.100000000000001" customHeight="1" x14ac:dyDescent="0.25">
      <c r="D100" s="37" t="str" cm="1">
        <f t="array" ref="D100">Common_InputFunctions.Utility_DisplayArrayInTable(SourceData_Swine.SourceData_Swine_FractionNVolatilised_Data(), Table_SourceData_Swine_FracGASM[[#Headers],[MMSm]],0)</f>
        <v>Outdoor (Dry lot)</v>
      </c>
      <c r="E100" s="37" cm="1">
        <f t="array" ref="E100">Common_InputFunctions.Utility_DisplayArrayInTable(SourceData_Swine.SourceData_Swine_FractionNVolatilised_Data(), Table_SourceData_Swine_FracGASM[[#Headers],[MMSm]],0)</f>
        <v>0.3</v>
      </c>
      <c r="F100" s="37"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7" t="str" cm="1">
        <f t="array" ref="D101">Common_InputFunctions.Utility_DisplayArrayInTable(SourceData_Swine.SourceData_Swine_FractionNVolatilised_Data(), Table_SourceData_Swine_FracGASM[[#Headers],[MMSm]],0)</f>
        <v>Deep litter</v>
      </c>
      <c r="E101" s="37" cm="1">
        <f t="array" ref="E101">Common_InputFunctions.Utility_DisplayArrayInTable(SourceData_Swine.SourceData_Swine_FractionNVolatilised_Data(), Table_SourceData_Swine_FracGASM[[#Headers],[MMSm]],0)</f>
        <v>0.125</v>
      </c>
      <c r="F101" s="37"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7" t="str" cm="1">
        <f t="array" ref="D102">Common_InputFunctions.Utility_DisplayArrayInTable(SourceData_Swine.SourceData_Swine_FractionNVolatilised_Data(), Table_SourceData_Swine_FracGASM[[#Headers],[MMSm]],0)</f>
        <v>Stockpile (Solid storage)</v>
      </c>
      <c r="E102" s="37" cm="1">
        <f t="array" ref="E102">Common_InputFunctions.Utility_DisplayArrayInTable(SourceData_Swine.SourceData_Swine_FractionNVolatilised_Data(), Table_SourceData_Swine_FracGASM[[#Headers],[MMSm]],0)</f>
        <v>0.2</v>
      </c>
      <c r="F102" s="37"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7" t="str" cm="1">
        <f t="array" ref="D103">Common_InputFunctions.Utility_DisplayArrayInTable(SourceData_Swine.SourceData_Swine_FractionNVolatilised_Data(), Table_SourceData_Swine_FracGASM[[#Headers],[MMSm]],0)</f>
        <v>Effluent pond (Uncovered anaerobic lagoon)</v>
      </c>
      <c r="E103" s="37" cm="1">
        <f t="array" ref="E103">Common_InputFunctions.Utility_DisplayArrayInTable(SourceData_Swine.SourceData_Swine_FractionNVolatilised_Data(), Table_SourceData_Swine_FracGASM[[#Headers],[MMSm]],0)</f>
        <v>0.55000000000000004</v>
      </c>
      <c r="F103" s="37"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7" t="str" cm="1">
        <f t="array" ref="D104">Common_InputFunctions.Utility_DisplayArrayInTable(SourceData_Swine.SourceData_Swine_FractionNVolatilised_Data(), Table_SourceData_Swine_FracGASM[[#Headers],[MMSm]],0)</f>
        <v>Anaerobic digester / Covered lagoon</v>
      </c>
      <c r="E104" s="37" cm="1">
        <f t="array" ref="E104">Common_InputFunctions.Utility_DisplayArrayInTable(SourceData_Swine.SourceData_Swine_FractionNVolatilised_Data(), Table_SourceData_Swine_FracGASM[[#Headers],[MMSm]],0)</f>
        <v>0</v>
      </c>
      <c r="F104" s="37"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7" t="str" cm="1">
        <f t="array" ref="D105">Common_InputFunctions.Utility_DisplayArrayInTable(SourceData_Swine.SourceData_Swine_FractionNVolatilised_Data(), Table_SourceData_Swine_FracGASM[[#Headers],[MMSm]],0)</f>
        <v>Short HRT tank storage &lt; 1 month (pit storage)</v>
      </c>
      <c r="E105" s="37" cm="1">
        <f t="array" ref="E105">Common_InputFunctions.Utility_DisplayArrayInTable(SourceData_Swine.SourceData_Swine_FractionNVolatilised_Data(), Table_SourceData_Swine_FracGASM[[#Headers],[MMSm]],0)</f>
        <v>0.25</v>
      </c>
      <c r="F105" s="37"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5" t="str" cm="1">
        <f t="array" ref="D110">SourceData_Swine.SourceData_Swine_NitrousOxideEFs_Variation()</f>
        <v>VARIATION ON SOURCE DATA: Added 'NIR reference column to aid lookup.</v>
      </c>
      <c r="M110" s="1"/>
    </row>
    <row r="111" spans="4:13" ht="20.100000000000001" customHeight="1" x14ac:dyDescent="0.25">
      <c r="D111" s="37" t="s">
        <v>233</v>
      </c>
      <c r="E111" s="37" t="s">
        <v>255</v>
      </c>
      <c r="F111" s="37" t="s">
        <v>235</v>
      </c>
      <c r="M111" s="1"/>
    </row>
    <row r="112" spans="4:13" ht="20.100000000000001" customHeight="1" x14ac:dyDescent="0.25">
      <c r="D112" s="37" t="str" cm="1">
        <f t="array" ref="D112">Common_InputFunctions.Utility_DisplayArrayInTable(SourceData_Swine.SourceData_Swine_NitrousOxideEFs_Data(), Table_SourceData_Swine_FracGASM28[[#Headers],[MMSm]],0)</f>
        <v>Outdoor (Dry lot)</v>
      </c>
      <c r="E112" s="37" cm="1">
        <f t="array" ref="E112">Common_InputFunctions.Utility_DisplayArrayInTable(SourceData_Swine.SourceData_Swine_NitrousOxideEFs_Data(), Table_SourceData_Swine_FracGASM28[[#Headers],[MMSm]],0)</f>
        <v>0.02</v>
      </c>
      <c r="F112" s="37"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7" t="str" cm="1">
        <f t="array" ref="D113">Common_InputFunctions.Utility_DisplayArrayInTable(SourceData_Swine.SourceData_Swine_NitrousOxideEFs_Data(), Table_SourceData_Swine_FracGASM28[[#Headers],[MMSm]],0)</f>
        <v>Deep litter</v>
      </c>
      <c r="E113" s="37" cm="1">
        <f t="array" ref="E113">Common_InputFunctions.Utility_DisplayArrayInTable(SourceData_Swine.SourceData_Swine_NitrousOxideEFs_Data(), Table_SourceData_Swine_FracGASM28[[#Headers],[MMSm]],0)</f>
        <v>0.01</v>
      </c>
      <c r="F113" s="37"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7" t="str" cm="1">
        <f t="array" ref="D114">Common_InputFunctions.Utility_DisplayArrayInTable(SourceData_Swine.SourceData_Swine_NitrousOxideEFs_Data(), Table_SourceData_Swine_FracGASM28[[#Headers],[MMSm]],0)</f>
        <v>Stockpile (Solid storage)</v>
      </c>
      <c r="E114" s="37" cm="1">
        <f t="array" ref="E114">Common_InputFunctions.Utility_DisplayArrayInTable(SourceData_Swine.SourceData_Swine_NitrousOxideEFs_Data(), Table_SourceData_Swine_FracGASM28[[#Headers],[MMSm]],0)</f>
        <v>5.0000000000000001E-3</v>
      </c>
      <c r="F114" s="37"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7" t="str" cm="1">
        <f t="array" ref="D115">Common_InputFunctions.Utility_DisplayArrayInTable(SourceData_Swine.SourceData_Swine_NitrousOxideEFs_Data(), Table_SourceData_Swine_FracGASM28[[#Headers],[MMSm]],0)</f>
        <v>Effluent pond (Uncovered anaerobic lagoon)</v>
      </c>
      <c r="E115" s="37" cm="1">
        <f t="array" ref="E115">Common_InputFunctions.Utility_DisplayArrayInTable(SourceData_Swine.SourceData_Swine_NitrousOxideEFs_Data(), Table_SourceData_Swine_FracGASM28[[#Headers],[MMSm]],0)</f>
        <v>0</v>
      </c>
      <c r="F115" s="37"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7" t="str" cm="1">
        <f t="array" ref="D116">Common_InputFunctions.Utility_DisplayArrayInTable(SourceData_Swine.SourceData_Swine_NitrousOxideEFs_Data(), Table_SourceData_Swine_FracGASM28[[#Headers],[MMSm]],0)</f>
        <v>Anaerobic digestor / Covered lagoon</v>
      </c>
      <c r="E116" s="37" cm="1">
        <f t="array" ref="E116">Common_InputFunctions.Utility_DisplayArrayInTable(SourceData_Swine.SourceData_Swine_NitrousOxideEFs_Data(), Table_SourceData_Swine_FracGASM28[[#Headers],[MMSm]],0)</f>
        <v>0</v>
      </c>
      <c r="F116" s="37"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50" t="str">
        <f>HYPERLINK("#A1", "▲ Back to top")</f>
        <v>▲ Back to top</v>
      </c>
      <c r="D117" s="37" t="str" cm="1">
        <f t="array" ref="D117">Common_InputFunctions.Utility_DisplayArrayInTable(SourceData_Swine.SourceData_Swine_NitrousOxideEFs_Data(), Table_SourceData_Swine_FracGASM28[[#Headers],[MMSm]],0)</f>
        <v>Short HRT tank storage &lt; 1 month (pit storage)</v>
      </c>
      <c r="E117" s="37" cm="1">
        <f t="array" ref="E117">Common_InputFunctions.Utility_DisplayArrayInTable(SourceData_Swine.SourceData_Swine_NitrousOxideEFs_Data(), Table_SourceData_Swine_FracGASM28[[#Headers],[MMSm]],0)</f>
        <v>2E-3</v>
      </c>
      <c r="F117" s="37"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M120" s="1"/>
    </row>
    <row r="121" spans="1:22" ht="20.100000000000001" customHeight="1" x14ac:dyDescent="0.25">
      <c r="M121" s="1"/>
    </row>
    <row r="122" spans="1:22" ht="20.100000000000001" customHeight="1" x14ac:dyDescent="0.25">
      <c r="M122" s="1"/>
    </row>
    <row r="123" spans="1:22" ht="20.100000000000001" customHeight="1" x14ac:dyDescent="0.25">
      <c r="M123" s="1"/>
    </row>
    <row r="124" spans="1:22" ht="20.100000000000001" customHeight="1" x14ac:dyDescent="0.25">
      <c r="M124" s="1"/>
    </row>
    <row r="125" spans="1:22" ht="20.100000000000001" customHeight="1" x14ac:dyDescent="0.25">
      <c r="M125" s="1"/>
      <c r="V125" s="1"/>
    </row>
    <row r="126" spans="1:22" ht="20.100000000000001" customHeight="1" x14ac:dyDescent="0.25">
      <c r="M126" s="1"/>
      <c r="V126" s="1"/>
    </row>
    <row r="127" spans="1:22" ht="20.100000000000001" customHeight="1" x14ac:dyDescent="0.25">
      <c r="M127" s="1"/>
      <c r="V127" s="1"/>
    </row>
    <row r="128" spans="1: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428C-4DC5-4BD6-BBEB-2A47208D1A43}">
  <dimension ref="A1:BY250"/>
  <sheetViews>
    <sheetView showGridLines="0" topLeftCell="A175" zoomScale="85" zoomScaleNormal="85" workbookViewId="0">
      <selection activeCell="E257" sqref="E257"/>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125</v>
      </c>
      <c r="E142" s="37" t="s">
        <v>94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105</v>
      </c>
      <c r="E186" s="37" t="s">
        <v>106</v>
      </c>
      <c r="F186" s="37" t="s">
        <v>107</v>
      </c>
      <c r="G186" s="37" t="s">
        <v>108</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127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119</v>
      </c>
      <c r="E212" s="37" t="s">
        <v>132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row>
    <row r="231" spans="4:19" x14ac:dyDescent="0.25">
      <c r="D231" s="37" t="s">
        <v>52</v>
      </c>
      <c r="E231" s="37" t="s">
        <v>351</v>
      </c>
      <c r="F231" s="36" t="s">
        <v>352</v>
      </c>
      <c r="G231" s="37" t="s">
        <v>353</v>
      </c>
      <c r="H231" s="37" t="s">
        <v>354</v>
      </c>
      <c r="I231" s="37" t="s">
        <v>355</v>
      </c>
      <c r="J231" s="37" t="s">
        <v>356</v>
      </c>
      <c r="K231" s="37" t="s">
        <v>357</v>
      </c>
      <c r="L231" s="37" t="s">
        <v>358</v>
      </c>
      <c r="M231" s="37" t="s">
        <v>359</v>
      </c>
      <c r="N231" s="37" t="s">
        <v>360</v>
      </c>
      <c r="O231" s="37" t="s">
        <v>361</v>
      </c>
      <c r="P231" s="37" t="s">
        <v>362</v>
      </c>
      <c r="Q231" s="37" t="s">
        <v>363</v>
      </c>
      <c r="R231" s="37" t="s">
        <v>364</v>
      </c>
      <c r="S231" s="37" t="s">
        <v>365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6" t="s">
        <v>80</v>
      </c>
      <c r="E9" s="37" t="s">
        <v>20</v>
      </c>
      <c r="F9" s="37" t="s">
        <v>81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HYPERLINK("#'4.5.1.1-2 Methane'!A1", "4.5.1.1-2 Methane")</f>
        <v>4.5.1.1-2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HYPERLINK("#'4.5.1.3-4 Direct N2O'!A1", "4.5.1.3-4 Direct N2O")</f>
        <v>4.5.1.3-4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HYPERLINK("#'4.5.1.5-6 Atmos Dep'!A1", "4.5.1.5-6 Soil atm. deposition")</f>
        <v>4.5.1.5-6 Soil atm.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HYPERLINK("#'4.5.1.7-8 Leaching and runoff'!A1", "4.5.1.7-8 Leaching &amp; runoff")</f>
        <v>4.5.1.7-8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HYPERLINK("#'4.5.1.9 Manure applied to soils'!A1", "4.5.1.9 Manure applied to soils")</f>
        <v>4.5.1.9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8" t="s">
        <v>4</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Swine'!A1", "Constants - Swine")</f>
        <v>Constants - Swine</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Livestock'!A1", "Constants - Livestock")</f>
        <v>Constants - Livestock</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HYPERLINK("#'Acknowledgements'!A1", "Acknowledgements")</f>
        <v>Acknowledgements</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IgB9ACwAewAiAHAAYQB0AGgAIgA6ACIALwBwAHIAbwBqAGUAYwB0AHMALwBFAG4AdABlAHIAaQBjAE0AZQB0AGgAYQBuAGUAXwBTAHcAaQBuAGUAXwBFAHEAdQBhAHQAaQBvAG4AcwAiACwAIgB0AGUAeAB0ACIAOgAi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gBfAFMAdABhAGcAZQAyAE0AZQB0AGgAYQBuAGUAUAByAG8AZAB1AGMAdABpAG8AbgBfAEEAcgBnAHUAbQBlAG4AdABzAF8ATQBlAHQAaABvAGQAMgAiACwAIgBNAE0AUwBfAFMAdwBpAG4AZQBfAE0AZQB0AGgAYQBuAGUAXwBFAHEAdQBhAHQAaQBvAG4AcwAuAFYARQBFAFIARwBfADQAXwA1AF8AMQBfADEAXwBfADcAXwBWAG8AbABhAHQAaQBsAGUAUwBvAGwAaQBkAHMAVAByAGEAbgBzAGYAZQByAHIAZQBkAFMAdABhAGcAZQAyACIALAAiAE0ATQBTAF8AUwB3AGkAbgBlAF8ATQBlAHQAaABhAG4AZQBfAEUAcQB1AGEAdABpAG8AbgBzAC4AVgBFAEUAUgBHAF8ANABfADUAXwAxAF8AMQBfAF8ANwBfAFYAbwBsAGEAdABpAGwAZQBTAG8AbABpAGQAcwBUAHIAYQBuAHMAZgBlAHIAcgBlAGQAUwB0AGEAZwBlADIAXwBUAGkAdABsAGUAIgAsACIATQBNAFMAXwBTAHcAaQBuAGUAXwBNAGUAdABoAGEAbgBlAF8ARQBxAHUAYQB0AGkAbwBuAHMALgBWAEUARQBSAEcAXwA0AF8ANQBfADEAXwAxAF8AXwA3AF8AVgBvAGwAYQB0AGkAbABlAFMAbwBsAGkAZABzAFQAcgBhAG4AcwBmAGUAcgByAGUAZABTAHQAYQBnAGUAMgBfAFYAYQByAGkAYQBiAGwAZQAiACwAIgBNAE0AUwBfAFMAdwBpAG4AZQBfAE0AZQB0AGgAYQBuAGUAXwBFAHEAdQBhAHQAaQBvAG4AcwAuAFYARQBFAFIARwBfADQAXwA1AF8AMQBfADEAXwBfADcAXwBWAG8AbABhAHQAaQBsAGUAUwBvAGwAaQBkAHMAVAByAGEAbgBzAGYAZQByAHIAZQBkAFMAdABhAGcAZQAyAF8AVQBuAGkAdAAiACwAIgBNAE0AUwBfAFMAdwBpAG4AZQBfAE0AZQB0AGgAYQBuAGUAXwBFAHEAdQBhAHQAaQBvAG4AcwAuAFYARQBFAFIARwBfADQAXwA1AF8AMQBfADEAXwBfADcAXwBWAG8AbABhAHQAaQBsAGUAUwBvAGwAaQBkAHMAVAByAGEAbgBzAGYAZQByAHIAZQBkAFMAdABhAGcAZQAyAF8AUwBvAHUAcgBjAGUAIgAsACIATQBNAFMAXwBTAHcAaQBuAGUAXwBNAGUAdABoAGEAbgBlAF8ARQBxAHUAYQB0AGkAbwBuAHMALgBWAEUARQBSAEcAXwA0AF8ANQBfADEAXwAxAF8AXwA3AF8AVgBvAGwAYQB0AGkAbABlAFMAbwBsAGkAZABzAFQAcgBhAG4AcwBmAGUAcgByAGUAZABTAHQAYQBnAGUAMgBfAE4ASQBSAFIAZQBmAGUAcgBlAG4AYwBlACIALAAiAE0ATQBTAF8AUwB3AGkAbgBlAF8ATQBlAHQAaABhAG4AZQBfAEUAcQB1AGEAdABpAG8AbgBzAC4AVgBFAEUAUgBHAF8ANABfADUAXwAxAF8AMQBfAF8ANwBfAFYAbwBsAGEAdABpAGwAZQBTAG8AbABpAGQAcwBUAHIAYQBuAHMAZgBlAHIAcgBlAGQAUwB0AGEAZwBlADIAXwBMAGEAdABlAHgARQBxAHUAYQB0AGkAbwBuACIALAAiAE0ATQBTAF8AUwB3AGkAbgBlAF8ATQBlAHQAaABhAG4AZQBfAEUAcQB1AGEAdABpAG8AbgBzAC4AVgBFAEUAUgBHAF8ANABfADUAXwAxAF8AMQBfAF8ANwBfAFYAbwBsAGEAdABpAGwAZQBTAG8AbABpAGQAcwBUAHIAYQBuAHMAZgBlAHIAcgBlAGQAUwB0AGEAZwBlADIAXwBBAHIAZwB1AG0AZQBuAHQAcwAiACwAIgBNAE0AUwBfAFMAdwBpAG4AZQBfAE4AMgBPAEQAaQByAGUAYwB0AF8ARQBxAHUAYQB0AGkAbwBuAHMALgBWAEUARQBSAEcAXwA0AF8ANQBfADEAXwAzAF8AXwAxAF8AVABvAHQAYQBsAEEAbgBuAHUAYQBsAEQAaQByAGUAYwB0AE4AaQB0AHIAbwB1AHMATwB4AGkAZABlAEUAbQBpAHMAcwBpAG8AbgBzAEYAcgBvAG0ATQBNAFMAIgAsACIATQBNAFMAXwBTAHcAaQBuAGUAXwBOADIATwBEAGkAcgBlAGMAdABfAEUAcQB1AGEAdABpAG8AbgBzAC4AVgBFAEUAUgBHAF8ANABfADUAXwAxAF8AMwBfAF8AMQBfAFQAbwB0AGEAbABBAG4AbgB1AGEAbABEAGkAcgBlAGMAdABOAGkAdAByAG8AdQBzAE8AeABpAGQAZQBFAG0AaQBzAHMAaQBvAG4AcwBGAHIAbwBtAE0ATQBTAF8AVABpAHQAbABlACIALAAiAE0ATQBTAF8AUwB3AGkAbgBlAF8ATgAyAE8ARABpAHIAZQBjAHQAXwBFAHEAdQBhAHQAaQBvAG4AcwAuAFYARQBFAFIARwBfADQAXwA1AF8AMQBfADMAXwBfADEAXwBUAG8AdABhAGwAQQBuAG4AdQBhAGwARABpAHIAZQBjAHQATgBpAHQAcgBvAHUAcwBPAHgAaQBkAGUARQBtAGkAcwBzAGkAbwBuAHMARgByAG8AbQBNAE0AUwBfAFYAYQByAGkAYQBiAGwAZQAiACwAIgBNAE0AUwBfAFMAdwBpAG4AZQBfAE4AMgBPAEQAaQByAGUAYwB0AF8ARQBxAHUAYQB0AGkAbwBuAHMALgBWAEUARQBSAEcAXwA0AF8ANQBfADEAXwAzAF8AXwAxAF8AVABvAHQAYQBsAEEAbgBuAHUAYQBsAEQAaQByAGUAYwB0AE4AaQB0AHIAbwB1AHMATwB4AGkAZABlAEUAbQBpAHMAcwBpAG8AbgBzAEYAcgBvAG0ATQBNAFMAXwBVAG4AaQB0ACIALAAiAE0ATQBTAF8AUwB3AGkAbgBlAF8ATgAyAE8ARABpAHIAZQBjAHQAXwBFAHEAdQBhAHQAaQBvAG4AcwAuAFYARQBFAFIARwBfADQAXwA1AF8AMQBfADMAXwBfADEAXwBUAG8AdABhAGwAQQBuAG4AdQBhAGwARABpAHIAZQBjAHQATgBpAHQAcgBvAHUAcwBPAHgAaQBkAGUARQBtAGkAcwBzAGkAbwBuAHMARgByAG8AbQBNAE0AUwBfAFMAbwB1AHIAYwBlACIALAAiAE0ATQBTAF8AUwB3AGkAbgBlAF8ATgAyAE8ARABpAHIAZQBjAHQAXwBFAHEAdQBhAHQAaQBvAG4AcwAuAFYARQBFAFIARwBfADQAXwA1AF8AMQBfADMAXwBfADEAXwBUAG8AdABhAGwAQQBuAG4AdQBhAGwARABpAHIAZQBjAHQATgBpAHQAcgBvAHUAcwBPAHgAaQBkAGUARQBtAGkAcwBzAGkAbwBuAHMARgByAG8AbQBNAE0AUwBfAE4ASQBSAFIAZQBmAGUAcgBlAG4AYwBlACIALAAiAE0ATQBTAF8AUwB3AGkAbgBlAF8ATgAyAE8ARABpAHIAZQBjAHQAXwBFAHEAdQBhAHQAaQBvAG4AcwAuAFYARQBFAFIARwBfADQAXwA1AF8AMQBfADMAXwBfADEAXwBUAG8AdABhAGwAQQBuAG4AdQBhAGwARABpAHIAZQBjAHQATgBpAHQAcgBvAHUAcwBPAHgAaQBkAGUARQBtAGkAcwBzAGkAbwBuAHMARgByAG8AbQBNAE0AUwBfAEwAYQB0AGUAeABFAHEAdQBhAHQAaQBvAG4AIgAsACIATQBNAFMAXwBTAHcAaQBuAGUAXwBOADIATwBEAGkAcgBlAGMAdABfAEUAcQB1AGEAdABpAG8AbgBzAC4AVgBFAEUAUgBHAF8ANABfADUAXwAxAF8AMwBfAF8AMQBfAFQAbwB0AGEAbABBAG4AbgB1AGEAbABEAGkAcgBlAGMAdABOAGkAdAByAG8AdQBzAE8AeABpAGQAZQBFAG0AaQBzAHMAaQBvAG4AcwBGAHIAbwBtAE0ATQBTAF8AQQByAGcAdQBtAGUAbgB0AHMAIgAsACIATQBNAFMAXwBTAHcAaQBuAGUAXwBOADIATwBEAGkAcgBlAGMAdABfAEUAcQB1AGEAdABpAG8AbgBzAC4AVgBFAEUAUgBHAF8ANABfADUAXwAxAF8AMwBfAF8AMgBfAFMAdABhAGcAZQAxAE4AaQB0AHIAbwBnAGUAbgBJAG4ATQBNAFMAIgAsACIATQBNAFMAXwBTAHcAaQBuAGUAXwBOADIATwBEAGkAcgBlAGMAdABfAEUAcQB1AGEAdABpAG8AbgBzAC4AVgBFAEUAUgBHAF8ANABfADUAXwAxAF8AMwBfAF8AMgBfAFMAdABhAGcAZQAxAE4AaQB0AHIAbwBnAGUAbgBJAG4ATQBNAFMAXwBUAGkAdABsAGUAIgAsACIATQBNAFMAXwBTAHcAaQBuAGUAXwBOADIATwBEAGkAcgBlAGMAdABfAEUAcQB1AGEAdABpAG8AbgBzAC4AVgBFAEUAUgBHAF8ANABfADUAXwAxAF8AMwBfAF8AMgBfAFMAdABhAGcAZQAxAE4AaQB0AHIAbwBnAGUAbgBJAG4ATQBNAFMAXwBWAGEAcgBpAGEAYgBsAGUAIgAsACIATQBNAFMAXwBTAHcAaQBuAGUAXwBOADIATwBEAGkAcgBlAGMAdABfAEUAcQB1AGEAdABpAG8AbgBzAC4AVgBFAEUAUgBHAF8ANABfADUAXwAxAF8AMwBfAF8AMgBfAFMAdABhAGcAZQAxAE4AaQB0AHIAbwBnAGUAbgBJAG4ATQBNAFMAXwBVAG4AaQB0ACIALAAiAE0ATQBTAF8AUwB3AGkAbgBlAF8ATgAyAE8ARABpAHIAZQBjAHQAXwBFAHEAdQBhAHQAaQBvAG4AcwAuAFYARQBFAFIARwBfADQAXwA1AF8AMQBfADMAXwBfADIAXwBTAHQAYQBnAGUAMQBOAGkAdAByAG8AZwBlAG4ASQBuAE0ATQBTAF8AUwBvAHUAcgBjAGUAIgAsACIATQBNAFMAXwBTAHcAaQBuAGUAXwBOADIATwBEAGkAcgBlAGMAdABfAEUAcQB1AGEAdABpAG8AbgBzAC4AVgBFAEUAUgBHAF8ANABfADUAXwAxAF8AMwBfAF8AMgBfAFMAdABhAGcAZQAxAE4AaQB0AHIAbwBnAGUAbgBJAG4ATQBNAFMAXwBOAEkAUgBSAGUAZgBlAHIAZQBuAGMAZQAiACwAIgBNAE0AUwBfAFMAdwBpAG4AZQBfAE4AMgBPAEQAaQByAGUAYwB0AF8ARQBxAHUAYQB0AGkAbwBuAHMALgBWAEUARQBSAEcAXwA0AF8ANQBfADEAXwAzAF8AXwAyAF8AUwB0AGEAZwBlADEATgBpAHQAcgBvAGcAZQBuAEkAbgBNAE0AUwBfAEwAYQB0AGUAeABFAHEAdQBhAHQAaQBvAG4AIgAsACIATQBNAFMAXwBTAHcAaQBuAGUAXwBOADIATwBEAGkAcgBlAGMAdABfAEUAcQB1AGEAdABpAG8AbgBzAC4AVgBFAEUAUgBHAF8ANABfADUAXwAxAF8AMwBfAF8AMgBfAFMAdABhAGcAZQAxAE4AaQB0AHIAbwBnAGUAbgBJAG4ATQBNAFMAXwBBAHIAZwB1AG0AZQBuAHQAcwAiACwAIgBNAE0AUwBfAFMAdwBpAG4AZQBfAE4AMgBPAEQAaQByAGUAYwB0AF8ARQBxAHUAYQB0AGkAbwBuAHMALgBWAEUARQBSAEcAXwA0AF8ANQBfADEAXwAzAF8AXwAzAF8ARgByAGEAYwB0AGkAbwBuAE8AZgBOAGkAdAByAG8AZwBlAG4ASQBuAFAAcgBpAG0AYQByAHkATQBNAFMAIgAsACIATQBNAFMAXwBTAHcAaQBuAGUAXwBOADIATwBEAGkAcgBlAGMAdABfAEUAcQB1AGEAdABpAG8AbgBzAC4AVgBFAEUAUgBHAF8ANABfADUAXwAxAF8AMwBfAF8AMwBfAEYAcgBhAGMAdABpAG8AbgBPAGYATgBpAHQAcgBvAGcAZQBuAEkAbgBQAHIAaQBtAGEAcgB5AE0ATQBTAF8AVABpAHQAbABlACIALAAiAE0ATQBTAF8AUwB3AGkAbgBlAF8ATgAyAE8ARABpAHIAZQBjAHQAXwBFAHEAdQBhAHQAaQBvAG4AcwAuAFYARQBFAFIARwBfADQAXwA1AF8AMQBfADMAXwBfADMAXwBGAHIAYQBjAHQAaQBvAG4ATwBmAE4AaQB0AHIAbwBnAGUAbgBJAG4AUAByAGkAbQBhAHIAeQBNAE0AUwBfAFYAYQByAGkAYQBiAGwAZQAiACwAIgBNAE0AUwBfAFMAdwBpAG4AZQBfAE4AMgBPAEQAaQByAGUAYwB0AF8ARQBxAHUAYQB0AGkAbwBuAHMALgBWAEUARQBSAEcAXwA0AF8ANQBfADEAXwAzAF8AXwAzAF8ARgByAGEAYwB0AGkAbwBuAE8AZgBOAGkAdAByAG8AZwBlAG4ASQBuAFAAcgBpAG0AYQByAHkATQBNAFMAXwBVAG4AaQB0ACIALAAiAE0ATQBTAF8AUwB3AGkAbgBlAF8ATgAyAE8ARABpAHIAZQBjAHQAXwBFAHEAdQBhAHQAaQBvAG4AcwAuAFYARQBFAFIARwBfADQAXwA1AF8AMQBfADMAXwBfADMAXwBGAHIAYQBjAHQAaQBvAG4ATwBmAE4AaQB0AHIAbwBnAGUAbgBJAG4AUAByAGkAbQBhAHIAeQBNAE0AUwBfAFMAbwB1AHIAYwBlACIALAAiAE0ATQBTAF8AUwB3AGkAbgBlAF8ATgAyAE8ARABpAHIAZQBjAHQAXwBFAHEAdQBhAHQAaQBvAG4AcwAuAFYARQBFAFIARwBfADQAXwA1AF8AMQBfADMAXwBfADMAXwBGAHIAYQBjAHQAaQBvAG4ATwBmAE4AaQB0AHIAbwBnAGUAbgBJAG4AUAByAGkAbQBhAHIAeQBNAE0AUwBfAE4ASQBSAFIAZQBmAGUAcgBlAG4AYwBlACIALAAiAE0ATQBTAF8AUwB3AGkAbgBlAF8ATgAyAE8ARABpAHIAZQBjAHQAXwBFAHEAdQBhAHQAaQBvAG4AcwAuAFYARQBFAFIARwBfADQAXwA1AF8AMQBfADMAXwBfADMAXwBGAHIAYQBjAHQAaQBvAG4ATwBmAE4AaQB0AHIAbwBnAGUAbgBJAG4AUAByAGkAbQBhAHIAeQBNAE0AUwBfAEwAYQB0AGUAeABFAHEAdQBhAHQAaQBvAG4AIgAsACIATQBNAFMAXwBTAHcAaQBuAGUAXwBOADIATwBEAGkAcgBlAGMAdABfAEUAcQB1AGEAdABpAG8AbgBzAC4AVgBFAEUAUgBHAF8ANABfADUAXwAxAF8AMwBfAF8AMwBfAEYAcgBhAGMAdABpAG8AbgBPAGYATgBpAHQAcgBvAGcAZQBuAEkAbgBQAHIAaQBtAGEAcgB5AE0ATQBTAF8AQQByAGcAdQBtAGUAbgB0AHMAIgAsACIATQBNAFMAXwBTAHcAaQBuAGUAXwBOADIATwBEAGkAcgBlAGMAdABfAEUAcQB1AGEAdABpAG8AbgBzAC4AVgBFAEUAUgBHAF8ANABfADUAXwAxAF8AMwBfAF8ANABfAEYAcgBhAGMAdABpAG8AbgBPAGYATgBpAHQAcgBvAGcAZQBuAEkAbgBTAG8AbABpAGQAUwB0AG8AcgBhAGcAZQAiACwAIgBNAE0AUwBfAFMAdwBpAG4AZQBfAE4AMgBPAEQAaQByAGUAYwB0AF8ARQBxAHUAYQB0AGkAbwBuAHMALgBWAEUARQBSAEcAXwA0AF8ANQBfADEAXwAzAF8AXwA0AF8ARgByAGEAYwB0AGkAbwBuAE8AZgBOAGkAdAByAG8AZwBlAG4ASQBuAFMAbwBsAGkAZABTAHQAbwByAGEAZwBlAFYAYQByAGkAYQB0AGkAbwBuACIALAAiAE0ATQBTAF8AUwB3AGkAbgBlAF8ATgAyAE8ARABpAHIAZQBjAHQAXwBFAHEAdQBhAHQAaQBvAG4AcwAuAFYARQBFAFIARwBfADQAXwA1AF8AMQBfADMAXwBfADQAXwBGAHIAYQBjAHQAaQBvAG4ATwBmAE4AaQB0AHIAbwBnAGUAbgBJAG4AUwBvAGwAaQBkAFMAdABvAHIAYQBnAGUAXwBUAGkAdABsAGUAIgAsACIATQBNAFMAXwBTAHcAaQBuAGUAXwBOADIATwBEAGkAcgBlAGMAdABfAEUAcQB1AGEAdABpAG8AbgBzAC4AVgBFAEUAUgBHAF8ANABfADUAXwAxAF8AMwBfAF8ANABfAEYAcgBhAGMAdABpAG8AbgBPAGYATgBpAHQAcgBvAGcAZQBuAEkAbgBTAG8AbABpAGQAUwB0AG8AcgBhAGcAZQBfAFYAYQByAGkAYQBiAGwAZQAiACwAIgBNAE0AUwBfAFMAdwBpAG4AZQBfAE4AMgBPAEQAaQByAGUAYwB0AF8ARQBxAHUAYQB0AGkAbwBuAHMALgBWAEUARQBSAEcAXwA0AF8ANQBfADEAXwAzAF8AXwA0AF8ARgByAGEAYwB0AGkAbwBuAE8AZgBOAGkAdAByAG8AZwBlAG4ASQBuAFMAbwBsAGkAZABTAHQAbwByAGEAZwBlAF8AVQBuAGkAdAAiACwAIgBNAE0AUwBfAFMAdwBpAG4AZQBfAE4AMgBPAEQAaQByAGUAYwB0AF8ARQBxAHUAYQB0AGkAbwBuAHMALgBWAEUARQBSAEcAXwA0AF8ANQBfADEAXwAzAF8AXwA0AF8ARgByAGEAYwB0AGkAbwBuAE8AZgBOAGkAdAByAG8AZwBlAG4ASQBuAFMAbwBsAGkAZABTAHQAbwByAGEAZwBlAF8AUwBvAHUAcgBjAGUAIgAsACIATQBNAFMAXwBTAHcAaQBuAGUAXwBOADIATwBEAGkAcgBlAGMAdABfAEUAcQB1AGEAdABpAG8AbgBzAC4AVgBFAEUAUgBHAF8ANABfADUAXwAxAF8AMwBfAF8ANABfAEYAcgBhAGMAdABpAG8AbgBPAGYATgBpAHQAcgBvAGcAZQBuAEkAbgBTAG8AbABpAGQAUwB0AG8AcgBhAGcAZQBfAE4ASQBSAFIAZQBmAGUAcgBlAG4AYwBlACIALAAiAE0ATQBTAF8AUwB3AGkAbgBlAF8ATgAyAE8ARABpAHIAZQBjAHQAXwBFAHEAdQBhAHQAaQBvAG4AcwAuAFYARQBFAFIARwBfADQAXwA1AF8AMQBfADMAXwBfADQAXwBGAHIAYQBjAHQAaQBvAG4ATwBmAE4AaQB0AHIAbwBnAGUAbgBJAG4AUwBvAGwAaQBkAFMAdABvAHIAYQBnAGUAXwBMAGEAdABlAHgARQBxAHUAYQB0AGkAbwBuACIALAAiAE0ATQBTAF8AUwB3AGkAbgBlAF8ATgAyAE8ARABpAHIAZQBjAHQAXwBFAHEAdQBhAHQAaQBvAG4AcwAuAFYARQBFAFIARwBfADQAXwA1AF8AMQBfADMAXwBfADQAXwBGAHIAYQBjAHQAaQBvAG4ATwBmAE4AaQB0AHIAbwBnAGUAbgBJAG4AUwBvAGwAaQBkAFMAdABvAHIAYQBnAGUAXwBMAGEAdABlAHgARQBxAHUAYQB0AGkAbwBuAFYAYQByAGkAYQB0AGkAbwBuACIALAAiAE0ATQBTAF8AUwB3AGkAbgBlAF8ATgAyAE8ARABpAHIAZQBjAHQAXwBFAHEAdQBhAHQAaQBvAG4AcwAuAFYARQBFAFIARwBfADQAXwA1AF8AMQBfADMAXwBfADQAXwBGAHIAYQBjAHQAaQBvAG4ATwBmAE4AaQB0AHIAbwBnAGUAbgBJAG4AUwBvAGwAaQBkAFMAdABvAHIAYQBnAGUAXwBBAHIAZwB1AG0AZQBuAHQAcwAiACwAIgBNAE0AUwBfAFMAdwBpAG4AZQBfAE4AMgBPAEQAaQByAGUAYwB0AF8ARQBxAHUAYQB0AGkAbwBuAHMALgBWAEUARQBSAEcAXwA0AF8ANQBfADEAXwAzAF8AXwA0AF8ARgByAGEAYwB0AGkAbwBuAE8AZgBOAGkAdAByAG8AZwBlAG4ASQBuAFMAbwBsAGkAZABTAHQAbwByAGEAZwBlAF8AVgBhAHIAaQBhAHQAaQBvAG4AIgAsACIATQBNAFMAXwBTAHcAaQBuAGUAXwBOADIATwBEAGkAcgBlAGMAdABfAEUAcQB1AGEAdABpAG8AbgBzAC4AVgBFAEUAUgBHAF8ANABfADUAXwAxAF8AMwBfAF8ANQBfAEEAbgBuAHUAYQBsAE4AaQB0AHIAbwBnAGUAbgBFAHgAYwByAGUAdABpAG8AbgAiACwAIgBNAE0AUwBfAFMAdwBpAG4AZQBfAE4AMgBPAEQAaQByAGUAYwB0AF8ARQBxAHUAYQB0AGkAbwBuAHMALgBWAEUARQBSAEcAXwA0AF8ANQBfADEAXwAzAF8AXwA1AF8AQQBuAG4AdQBhAGwATgBpAHQAcgBvAGcAZQBuAEUAeABjAHIAZQB0AGkAbwBuAF8AVABpAHQAbABlACIALAAiAE0ATQBTAF8AUwB3AGkAbgBlAF8ATgAyAE8ARABpAHIAZQBjAHQAXwBFAHEAdQBhAHQAaQBvAG4AcwAuAFYARQBFAFIARwBfADQAXwA1AF8AMQBfADMAXwBfADUAXwBBAG4AbgB1AGEAbABOAGkAdAByAG8AZwBlAG4ARQB4AGMAcgBlAHQAaQBvAG4AXwBWAGEAcgBpAGEAYgBsAGUAIgAsACIATQBNAFMAXwBTAHcAaQBuAGUAXwBOADIATwBEAGkAcgBlAGMAdABfAEUAcQB1AGEAdABpAG8AbgBzAC4AVgBFAEUAUgBHAF8ANABfADUAXwAxAF8AMwBfAF8ANQBfAEEAbgBuAHUAYQBsAE4AaQB0AHIAbwBnAGUAbgBFAHgAYwByAGUAdABpAG8AbgBfAFUAbgBpAHQAIgAsACIATQBNAFMAXwBTAHcAaQBuAGUAXwBOADIATwBEAGkAcgBlAGMAdABfAEUAcQB1AGEAdABpAG8AbgBzAC4AVgBFAEUAUgBHAF8ANABfADUAXwAxAF8AMwBfAF8ANQBfAEEAbgBuAHUAYQBsAE4AaQB0AHIAbwBnAGUAbgBFAHgAYwByAGUAdABpAG8AbgBfAFMAbwB1AHIAYwBlACIALAAiAE0ATQBTAF8AUwB3AGkAbgBlAF8ATgAyAE8ARABpAHIAZQBjAHQAXwBFAHEAdQBhAHQAaQBvAG4AcwAuAFYARQBFAFIARwBfADQAXwA1AF8AMQBfADMAXwBfADUAXwBBAG4AbgB1AGEAbABOAGkAdAByAG8AZwBlAG4ARQB4AGMAcgBlAHQAaQBvAG4AXwBOAEkAUgBSAGUAZgBlAHIAZQBuAGMAZQAiACwAIgBNAE0AUwBfAFMAdwBpAG4AZQBfAE4AMgBPAEQAaQByAGUAYwB0AF8ARQBxAHUAYQB0AGkAbwBuAHMALgBWAEUARQBSAEcAXwA0AF8ANQBfADEAXwAzAF8AXwA1AF8AQQBuAG4AdQBhAGwATgBpAHQAcgBvAGcAZQBuAEUAeABjAHIAZQB0AGkAbwBuAF8ATABhAHQAZQB4AEUAcQB1AGEAdABpAG8AbgAiACwAIgBNAE0AUwBfAFMAdwBpAG4AZQBfAE4AMgBPAEQAaQByAGUAYwB0AF8ARQBxAHUAYQB0AGkAbwBuAHMALgBWAEUARQBSAEcAXwA0AF8ANQBfADEAXwAzAF8AXwA1AF8AQQBuAG4AdQBhAGwATgBpAHQAcgBvAGcAZQBuAEUAeABjAHIAZQB0AGkAbwBuAF8AQQByAGcAdQBtAGUAbgB0AHMAIgAsACIATQBNAFMAXwBTAHcAaQBuAGUAXwBOADIATwBEAGkAcgBlAGMAdABfAEUAcQB1AGEAdABpAG8AbgBzAC4AVgBFAEUAUgBHAF8ANABfADUAXwAxAF8AMwBfAF8ANgBfAFMAdABhAGcAZQAyAE4AaQB0AHIAbwBnAGUAbgBJAG4ATQBNAFMAIgAsACIATQBNAFMAXwBTAHcAaQBuAGUAXwBOADIATwBEAGkAcgBlAGMAdABfAEUAcQB1AGEAdABpAG8AbgBzAC4AVgBFAEUAUgBHAF8ANABfADUAXwAxAF8AMwBfAF8ANgBfAFMAdABhAGcAZQAyAE4AaQB0AHIAbwBnAGUAbgBJAG4ATQBNAFMAXwBUAGkAdABsAGUAIgAsACIATQBNAFMAXwBTAHcAaQBuAGUAXwBOADIATwBEAGkAcgBlAGMAdABfAEUAcQB1AGEAdABpAG8AbgBzAC4AVgBFAEUAUgBHAF8ANABfADUAXwAxAF8AMwBfAF8ANgBfAFMAdABhAGcAZQAyAE4AaQB0AHIAbwBnAGUAbgBJAG4ATQBNAFMAXwBWAGEAcgBpAGEAYgBsAGUAIgAsACIATQBNAFMAXwBTAHcAaQBuAGUAXwBOADIATwBEAGkAcgBlAGMAdABfAEUAcQB1AGEAdABpAG8AbgBzAC4AVgBFAEUAUgBHAF8ANABfADUAXwAxAF8AMwBfAF8ANgBfAFMAdABhAGcAZQAyAE4AaQB0AHIAbwBnAGUAbgBJAG4ATQBNAFMAXwBVAG4AaQB0ACIALAAiAE0ATQBTAF8AUwB3AGkAbgBlAF8ATgAyAE8ARABpAHIAZQBjAHQAXwBFAHEAdQBhAHQAaQBvAG4AcwAuAFYARQBFAFIARwBfADQAXwA1AF8AMQBfADMAXwBfADYAXwBTAHQAYQBnAGUAMgBOAGkAdAByAG8AZwBlAG4ASQBuAE0ATQBTAF8AUwBvAHUAcgBjAGUAIgAsACIATQBNAFMAXwBTAHcAaQBuAGUAXwBOADIATwBEAGkAcgBlAGMAdABfAEUAcQB1AGEAdABpAG8AbgBzAC4AVgBFAEUAUgBHAF8ANABfADUAXwAxAF8AMwBfAF8ANgBfAFMAdABhAGcAZQAyAE4AaQB0AHIAbwBnAGUAbgBJAG4ATQBNAFMAXwBOAEkAUgBSAGUAZgBlAHIAZQBuAGMAZQAiACwAIgBNAE0AUwBfAFMAdwBpAG4AZQBfAE4AMgBPAEQAaQByAGUAYwB0AF8ARQBxAHUAYQB0AGkAbwBuAHMALgBWAEUARQBSAEcAXwA0AF8ANQBfADEAXwAzAF8AXwA2AF8AUwB0AGEAZwBlADIATgBpAHQAcgBvAGcAZQBuAEkAbgBNAE0AUwBfAEwAYQB0AGUAeABFAHEAdQBhAHQAaQBvAG4AIgAsACIATQBNAFMAXwBTAHcAaQBuAGUAXwBOADIATwBEAGkAcgBlAGMAdABfAEUAcQB1AGEAdABpAG8AbgBzAC4AVgBFAEUAUgBHAF8ANABfADUAXwAxAF8AMwBfAF8ANgBfAFMAdABhAGcAZQAyAE4AaQB0AHIAbwBnAGUAbgBJAG4ATQBNAFMAXwBBAHIAZwB1AG0AZQBuAHQAcwAiACwAIgBNAE0AUwBfAFMAdwBpAG4AZQBfAE4AMgBPAEQAaQByAGUAYwB0AF8ARQBxAHUAYQB0AGkAbwBuAHMALgBWAEUARQBSAEcAXwA0AF8ANQBfADEAXwAzAF8AXwA3AF8ATgBpAHQAcgBvAGcAZQBuAFQAcgBhAG4AcwBmAGUAcgByAGUAZABUAG8AUwB0AGEAZwBlADIATQBNAFMAIgAsACIATQBNAFMAXwBTAHcAaQBuAGUAXwBOADIATwBEAGkAcgBlAGMAdABfAEUAcQB1AGEAdABpAG8AbgBzAC4AVgBFAEUAUgBHAF8ANABfADUAXwAxAF8AMwBfAF8ANwBfAE4AaQB0AHIAbwBnAGUAbgBUAHIAYQBuAHMAZgBlAHIAcgBlAGQAVABvAFMAdABhAGcAZQAyAE0ATQBTAF8AVABpAHQAbABlACIALAAiAE0ATQBTAF8AUwB3AGkAbgBlAF8ATgAyAE8ARABpAHIAZQBjAHQAXwBFAHEAdQBhAHQAaQBvAG4AcwAuAFYARQBFAFIARwBfADQAXwA1AF8AMQBfADMAXwBfADcAXwBOAGkAdAByAG8AZwBlAG4AVAByAGEAbgBzAGYAZQByAHIAZQBkAFQAbwBTAHQAYQBnAGUAMgBNAE0AUwBfAFYAYQByAGkAYQBiAGwAZQAiACwAIgBNAE0AUwBfAFMAdwBpAG4AZQBfAE4AMgBPAEQAaQByAGUAYwB0AF8ARQBxAHUAYQB0AGkAbwBuAHMALgBWAEUARQBSAEcAXwA0AF8ANQBfADEAXwAzAF8AXwA3AF8ATgBpAHQAcgBvAGcAZQBuAFQAcgBhAG4AcwBmAGUAcgByAGUAZABUAG8AUwB0AGEAZwBlADIATQBNAFMAXwBVAG4AaQB0ACIALAAiAE0ATQBTAF8AUwB3AGkAbgBlAF8ATgAyAE8ARABpAHIAZQBjAHQAXwBFAHEAdQBhAHQAaQBvAG4AcwAuAFYARQBFAFIARwBfADQAXwA1AF8AMQBfADMAXwBfADcAXwBOAGkAdAByAG8AZwBlAG4AVAByAGEAbgBzAGYAZQByAHIAZQBkAFQAbwBTAHQAYQBnAGUAMgBNAE0AUwBfAFMAbwB1AHIAYwBlACIALAAiAE0ATQBTAF8AUwB3AGkAbgBlAF8ATgAyAE8ARABpAHIAZQBjAHQAXwBFAHEAdQBhAHQAaQBvAG4AcwAuAFYARQBFAFIARwBfADQAXwA1AF8AMQBfADMAXwBfADcAXwBOAGkAdAByAG8AZwBlAG4AVAByAGEAbgBzAGYAZQByAHIAZQBkAFQAbwBTAHQAYQBnAGUAMgBNAE0AUwBfAE4ASQBSAFIAZQBmAGUAcgBlAG4AYwBlACIALAAiAE0ATQBTAF8AUwB3AGkAbgBlAF8ATgAyAE8ARABpAHIAZQBjAHQAXwBFAHEAdQBhAHQAaQBvAG4AcwAuAFYARQBFAFIARwBfADQAXwA1AF8AMQBfADMAXwBfADcAXwBOAGkAdAByAG8AZwBlAG4AVAByAGEAbgBzAGYAZQByAHIAZQBkAFQAbwBTAHQAYQBnAGUAMgBNAE0AUwBfAEwAYQB0AGUAeABFAHEAdQBhAHQAaQBvAG4AIgAsACIATQBNAFMAXwBTAHcAaQBuAGUAXwBOADIATwBEAGkAcgBlAGMAdABfAEUAcQB1AGEAdABpAG8AbgBzAC4AVgBFAEUAUgBHAF8ANABfADUAXwAxAF8AMwBfAF8ANwBfAE4AaQB0AHIAbwBnAGUAbgBUAHIAYQBuAHMAZgBlAHIAcgBlAGQAVABvAFMAdABhAGcAZQAyAE0ATQBTAF8AQQByAGcAdQBtAGUAbgB0AH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2026-04-29T04:39:04Z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