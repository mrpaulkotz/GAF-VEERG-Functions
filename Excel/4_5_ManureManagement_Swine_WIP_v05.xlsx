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E74287F0-7371-43E8-8685-C56DF49BCD65}" xr6:coauthVersionLast="47" xr6:coauthVersionMax="47" xr10:uidLastSave="{00000000-0000-0000-0000-000000000000}"/>
  <bookViews>
    <workbookView xWindow="4380" yWindow="645" windowWidth="28770" windowHeight="17250" activeTab="10" xr2:uid="{992023F3-CAB7-4E5B-A348-08D563A0EF40}"/>
  </bookViews>
  <sheets>
    <sheet name="Home" sheetId="71" r:id="rId1"/>
    <sheet name="Overview" sheetId="109" r:id="rId2"/>
    <sheet name="Results" sheetId="13" r:id="rId3"/>
    <sheet name="Input - Site" sheetId="15" r:id="rId4"/>
    <sheet name="Input - Swine" sheetId="70" r:id="rId5"/>
    <sheet name="4.5.1.1-2 Methane" sheetId="69" r:id="rId6"/>
    <sheet name="4.5.1.3-4 Direct N2O" sheetId="76" r:id="rId7"/>
    <sheet name="4.5.1.5-6 Atmos Dep" sheetId="97" r:id="rId8"/>
    <sheet name="4.5.1.7-8 Leaching and runoff" sheetId="98" r:id="rId9"/>
    <sheet name="4.5.1.9 Manure applied to soils" sheetId="105" r:id="rId10"/>
    <sheet name="Constants - Swine" sheetId="79" r:id="rId11"/>
    <sheet name="Constants - Common" sheetId="106" r:id="rId12"/>
    <sheet name="Constants - Livestock" sheetId="43" r:id="rId13"/>
    <sheet name="Acknowledgements" sheetId="72" r:id="rId14"/>
    <sheet name="Tab template" sheetId="74" r:id="rId15"/>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2" i="98" l="1"/>
  <c r="G52" i="98"/>
  <c r="G300" i="76"/>
  <c r="Q300" i="76"/>
  <c r="Q128" i="97"/>
  <c r="G128" i="97"/>
  <c r="A13" i="43" l="1"/>
  <c r="A13" i="79"/>
  <c r="A13" i="105"/>
  <c r="A13" i="98"/>
  <c r="A13" i="97"/>
  <c r="A13" i="76"/>
  <c r="A13" i="69"/>
  <c r="A13" i="70"/>
  <c r="A13" i="15"/>
  <c r="A13" i="13"/>
  <c r="A22" i="43" l="1"/>
  <c r="A21" i="43"/>
  <c r="A20" i="43"/>
  <c r="A19" i="43"/>
  <c r="A16" i="43"/>
  <c r="A15" i="43"/>
  <c r="A14" i="43"/>
  <c r="A12" i="43"/>
  <c r="A9" i="43"/>
  <c r="A8" i="43"/>
  <c r="A5" i="43"/>
  <c r="A4" i="43"/>
  <c r="A3" i="43"/>
  <c r="A22" i="79"/>
  <c r="A21" i="79"/>
  <c r="A20" i="79"/>
  <c r="A19" i="79"/>
  <c r="A16" i="79"/>
  <c r="A15" i="79"/>
  <c r="A14" i="79"/>
  <c r="A12" i="79"/>
  <c r="A9" i="79"/>
  <c r="A8" i="79"/>
  <c r="A5" i="79"/>
  <c r="A4" i="79"/>
  <c r="A3" i="79"/>
  <c r="A22" i="105"/>
  <c r="A21" i="105"/>
  <c r="A20" i="105"/>
  <c r="A19" i="105"/>
  <c r="A16" i="105"/>
  <c r="A15" i="105"/>
  <c r="A14" i="105"/>
  <c r="A12" i="105"/>
  <c r="A9" i="105"/>
  <c r="A8" i="105"/>
  <c r="A5" i="105"/>
  <c r="A4" i="105"/>
  <c r="A3" i="105"/>
  <c r="A22" i="98"/>
  <c r="A21" i="98"/>
  <c r="A20" i="98"/>
  <c r="A19" i="98"/>
  <c r="A16" i="98"/>
  <c r="A15" i="98"/>
  <c r="A14" i="98"/>
  <c r="A12" i="98"/>
  <c r="A9" i="98"/>
  <c r="A8" i="98"/>
  <c r="A5" i="98"/>
  <c r="A4" i="98"/>
  <c r="A3" i="98"/>
  <c r="A22" i="97"/>
  <c r="A21" i="97"/>
  <c r="A20" i="97"/>
  <c r="A19" i="97"/>
  <c r="A16" i="97"/>
  <c r="A15" i="97"/>
  <c r="A14" i="97"/>
  <c r="A12" i="97"/>
  <c r="A9" i="97"/>
  <c r="A8" i="97"/>
  <c r="A5" i="97"/>
  <c r="A4" i="97"/>
  <c r="A3" i="97"/>
  <c r="A22" i="76"/>
  <c r="A21" i="76"/>
  <c r="A20" i="76"/>
  <c r="A19" i="76"/>
  <c r="A16" i="76"/>
  <c r="A15" i="76"/>
  <c r="A14" i="76"/>
  <c r="A12" i="76"/>
  <c r="A9" i="76"/>
  <c r="A8" i="76"/>
  <c r="A5" i="76"/>
  <c r="A4" i="76"/>
  <c r="A3" i="76"/>
  <c r="A22" i="69"/>
  <c r="A21" i="69"/>
  <c r="A20" i="69"/>
  <c r="A19" i="69"/>
  <c r="A16" i="69"/>
  <c r="A15" i="69"/>
  <c r="A14" i="69"/>
  <c r="A12" i="69"/>
  <c r="A9" i="69"/>
  <c r="A8" i="69"/>
  <c r="A5" i="69"/>
  <c r="A4" i="69"/>
  <c r="A3" i="69"/>
  <c r="A22" i="70"/>
  <c r="A21" i="70"/>
  <c r="A20" i="70"/>
  <c r="A19" i="70"/>
  <c r="A16" i="70"/>
  <c r="A15" i="70"/>
  <c r="A14" i="70"/>
  <c r="A12" i="70"/>
  <c r="A9" i="70"/>
  <c r="A8" i="70"/>
  <c r="A5" i="70"/>
  <c r="A4" i="70"/>
  <c r="A3" i="70"/>
  <c r="A22" i="15"/>
  <c r="A21" i="15"/>
  <c r="A20" i="15"/>
  <c r="A19" i="15"/>
  <c r="A16" i="15"/>
  <c r="A15" i="15"/>
  <c r="A14" i="15"/>
  <c r="A12" i="15"/>
  <c r="A9" i="15"/>
  <c r="A8" i="15"/>
  <c r="A5" i="15"/>
  <c r="A4" i="15"/>
  <c r="A3" i="15"/>
  <c r="A4" i="13"/>
  <c r="A92" i="70"/>
  <c r="A46" i="70"/>
  <c r="A117" i="79"/>
  <c r="A63" i="79"/>
  <c r="A278" i="105"/>
  <c r="A247" i="105"/>
  <c r="A211" i="105"/>
  <c r="A163" i="105"/>
  <c r="A122" i="105"/>
  <c r="A63" i="105"/>
  <c r="A54" i="98"/>
  <c r="A61" i="97"/>
  <c r="A130" i="97"/>
  <c r="A108" i="97"/>
  <c r="A302" i="76"/>
  <c r="A244" i="76"/>
  <c r="A171" i="76"/>
  <c r="A125" i="76"/>
  <c r="A102" i="76"/>
  <c r="A77" i="76"/>
  <c r="A266" i="69"/>
  <c r="A231" i="69"/>
  <c r="A213" i="69"/>
  <c r="A186" i="69"/>
  <c r="A110" i="69"/>
  <c r="A70" i="69"/>
  <c r="E47" i="70"/>
  <c r="E54" i="70"/>
  <c r="E62" i="70"/>
  <c r="E69" i="70"/>
  <c r="E76" i="70"/>
  <c r="E83" i="70"/>
  <c r="R229" i="69"/>
  <c r="H229" i="69"/>
  <c r="R210" i="69" a="1"/>
  <c r="R210" i="69" s="1"/>
  <c r="Q210" i="69" a="1"/>
  <c r="Q210" i="69" s="1"/>
  <c r="P210" i="69"/>
  <c r="P210" i="69" a="1"/>
  <c r="O210" i="69" a="1"/>
  <c r="O210" i="69" s="1"/>
  <c r="R209" i="69" a="1"/>
  <c r="R209" i="69" s="1"/>
  <c r="Q209" i="69" a="1"/>
  <c r="Q209" i="69" s="1"/>
  <c r="P209" i="69"/>
  <c r="P209" i="69" a="1"/>
  <c r="O209" i="69" a="1"/>
  <c r="O209" i="69" s="1"/>
  <c r="R208" i="69" a="1"/>
  <c r="R208" i="69" s="1"/>
  <c r="Q208" i="69"/>
  <c r="Q208" i="69" a="1"/>
  <c r="P208" i="69" a="1"/>
  <c r="P208" i="69" s="1"/>
  <c r="O208" i="69" a="1"/>
  <c r="O208" i="69" s="1"/>
  <c r="R207" i="69" a="1"/>
  <c r="R207" i="69" s="1"/>
  <c r="Q207" i="69"/>
  <c r="Q207" i="69" a="1"/>
  <c r="P207" i="69" a="1"/>
  <c r="P207" i="69" s="1"/>
  <c r="O207" i="69" a="1"/>
  <c r="O207" i="69" s="1"/>
  <c r="R206" i="69"/>
  <c r="R206" i="69" a="1"/>
  <c r="Q206" i="69" a="1"/>
  <c r="Q206" i="69" s="1"/>
  <c r="P206" i="69" a="1"/>
  <c r="P206" i="69" s="1"/>
  <c r="O206" i="69" a="1"/>
  <c r="O206" i="69" s="1"/>
  <c r="Q180" i="69" a="1"/>
  <c r="Q180" i="69" s="1"/>
  <c r="S180" i="69" a="1"/>
  <c r="S180" i="69" s="1"/>
  <c r="R180" i="69" a="1"/>
  <c r="R180" i="69" s="1"/>
  <c r="P180" i="69" a="1"/>
  <c r="P180" i="69" s="1"/>
  <c r="S179" i="69" a="1"/>
  <c r="S179" i="69" s="1"/>
  <c r="R179" i="69" a="1"/>
  <c r="R179" i="69" s="1"/>
  <c r="Q179" i="69"/>
  <c r="Q179" i="69" a="1"/>
  <c r="P179" i="69" a="1"/>
  <c r="P179" i="69" s="1"/>
  <c r="S178" i="69" a="1"/>
  <c r="S178" i="69" s="1"/>
  <c r="R178" i="69" a="1"/>
  <c r="R178" i="69" s="1"/>
  <c r="Q178" i="69" a="1"/>
  <c r="Q178" i="69" s="1"/>
  <c r="P178" i="69" a="1"/>
  <c r="P178" i="69" s="1"/>
  <c r="S177" i="69" a="1"/>
  <c r="S177" i="69" s="1"/>
  <c r="R177" i="69"/>
  <c r="R177" i="69" a="1"/>
  <c r="Q177" i="69" a="1"/>
  <c r="Q177" i="69" s="1"/>
  <c r="P177" i="69" a="1"/>
  <c r="P177" i="69" s="1"/>
  <c r="S176" i="69" a="1"/>
  <c r="S176" i="69" s="1"/>
  <c r="R176" i="69" a="1"/>
  <c r="R176" i="69" s="1"/>
  <c r="Q176" i="69" a="1"/>
  <c r="Q176" i="69" s="1"/>
  <c r="P176" i="69" a="1"/>
  <c r="P176" i="69" s="1"/>
  <c r="S175" i="69"/>
  <c r="S175" i="69" a="1"/>
  <c r="R175" i="69" a="1"/>
  <c r="R175" i="69" s="1"/>
  <c r="Q175" i="69" a="1"/>
  <c r="Q175" i="69" s="1"/>
  <c r="P175" i="69" a="1"/>
  <c r="P175" i="69" s="1"/>
  <c r="S174" i="69" a="1"/>
  <c r="S174" i="69" s="1"/>
  <c r="R174" i="69" a="1"/>
  <c r="R174" i="69" s="1"/>
  <c r="Q174" i="69" a="1"/>
  <c r="Q174" i="69" s="1"/>
  <c r="P174" i="69" a="1"/>
  <c r="P174" i="69" s="1"/>
  <c r="S173" i="69"/>
  <c r="S173" i="69" a="1"/>
  <c r="R173" i="69" a="1"/>
  <c r="R173" i="69" s="1"/>
  <c r="Q173" i="69"/>
  <c r="Q173" i="69" a="1"/>
  <c r="P173" i="69" a="1"/>
  <c r="P173" i="69" s="1"/>
  <c r="S172" i="69" a="1"/>
  <c r="S172" i="69" s="1"/>
  <c r="R172" i="69" a="1"/>
  <c r="R172" i="69" s="1"/>
  <c r="Q172" i="69" a="1"/>
  <c r="Q172" i="69" s="1"/>
  <c r="P172" i="69" a="1"/>
  <c r="P172" i="69" s="1"/>
  <c r="S171" i="69" a="1"/>
  <c r="S171" i="69" s="1"/>
  <c r="R171" i="69" a="1"/>
  <c r="R171" i="69" s="1"/>
  <c r="Q171" i="69"/>
  <c r="Q171" i="69" a="1"/>
  <c r="P171" i="69"/>
  <c r="P171" i="69" a="1"/>
  <c r="S170" i="69" a="1"/>
  <c r="S170" i="69" s="1"/>
  <c r="R170" i="69" a="1"/>
  <c r="R170" i="69" s="1"/>
  <c r="Q170" i="69"/>
  <c r="Q170" i="69" a="1"/>
  <c r="P170" i="69" a="1"/>
  <c r="P170" i="69" s="1"/>
  <c r="S169" i="69" a="1"/>
  <c r="S169" i="69" s="1"/>
  <c r="R169" i="69"/>
  <c r="R169" i="69" a="1"/>
  <c r="Q169" i="69"/>
  <c r="Q169" i="69" a="1"/>
  <c r="P169" i="69" a="1"/>
  <c r="P169" i="69" s="1"/>
  <c r="S168" i="69" a="1"/>
  <c r="S168" i="69" s="1"/>
  <c r="R168" i="69"/>
  <c r="R168" i="69" a="1"/>
  <c r="Q168" i="69" a="1"/>
  <c r="Q168" i="69" s="1"/>
  <c r="P168" i="69" a="1"/>
  <c r="P168" i="69" s="1"/>
  <c r="S167" i="69" a="1"/>
  <c r="S167" i="69" s="1"/>
  <c r="R167" i="69" a="1"/>
  <c r="R167" i="69" s="1"/>
  <c r="Q167" i="69" a="1"/>
  <c r="Q167" i="69" s="1"/>
  <c r="P167" i="69" a="1"/>
  <c r="P167" i="69" s="1"/>
  <c r="S166" i="69"/>
  <c r="S166" i="69" a="1"/>
  <c r="R166" i="69" a="1"/>
  <c r="R166" i="69" s="1"/>
  <c r="Q166" i="69" a="1"/>
  <c r="Q166" i="69" s="1"/>
  <c r="P166" i="69" a="1"/>
  <c r="P166" i="69" s="1"/>
  <c r="S165" i="69" a="1"/>
  <c r="S165" i="69" s="1"/>
  <c r="R165" i="69" a="1"/>
  <c r="R165" i="69" s="1"/>
  <c r="Q165" i="69" a="1"/>
  <c r="Q165" i="69" s="1"/>
  <c r="P165" i="69" a="1"/>
  <c r="P165" i="69" s="1"/>
  <c r="O156" i="69"/>
  <c r="S126" i="69"/>
  <c r="Q121" i="69" a="1"/>
  <c r="Q121" i="69" s="1"/>
  <c r="N121" i="69" a="1"/>
  <c r="N121" i="69" s="1"/>
  <c r="S122" i="69"/>
  <c r="I123" i="69" a="1"/>
  <c r="I123" i="69" s="1"/>
  <c r="I121" i="69" a="1"/>
  <c r="I121" i="69" s="1"/>
  <c r="N160" i="69"/>
  <c r="N159" i="69"/>
  <c r="N158" i="69"/>
  <c r="N157" i="69"/>
  <c r="N156" i="69"/>
  <c r="N155" i="69"/>
  <c r="I201" i="69"/>
  <c r="I125" i="69"/>
  <c r="S250" i="106" a="1"/>
  <c r="S250" i="106" s="1"/>
  <c r="R250" i="106" a="1"/>
  <c r="R250" i="106" s="1"/>
  <c r="Q250" i="106" a="1"/>
  <c r="Q250" i="106" s="1"/>
  <c r="P250" i="106" a="1"/>
  <c r="P250" i="106" s="1"/>
  <c r="O250" i="106" a="1"/>
  <c r="O250" i="106" s="1"/>
  <c r="N250" i="106" a="1"/>
  <c r="N250" i="106" s="1"/>
  <c r="M250" i="106" a="1"/>
  <c r="M250" i="106" s="1"/>
  <c r="L250" i="106" a="1"/>
  <c r="L250" i="106" s="1"/>
  <c r="K250" i="106" a="1"/>
  <c r="K250" i="106" s="1"/>
  <c r="J250" i="106" a="1"/>
  <c r="J250" i="106" s="1"/>
  <c r="I250" i="106" a="1"/>
  <c r="I250" i="106" s="1"/>
  <c r="H250" i="106" a="1"/>
  <c r="H250" i="106" s="1"/>
  <c r="G250" i="106" a="1"/>
  <c r="G250" i="106" s="1"/>
  <c r="F250" i="106" a="1"/>
  <c r="F250" i="106" s="1"/>
  <c r="E250" i="106" a="1"/>
  <c r="E250" i="106" s="1"/>
  <c r="D250" i="106" a="1"/>
  <c r="D250" i="106" s="1"/>
  <c r="S249" i="106" a="1"/>
  <c r="S249" i="106" s="1"/>
  <c r="R249" i="106" a="1"/>
  <c r="R249" i="106" s="1"/>
  <c r="Q249" i="106" a="1"/>
  <c r="Q249" i="106" s="1"/>
  <c r="P249" i="106" a="1"/>
  <c r="P249" i="106" s="1"/>
  <c r="O249" i="106" a="1"/>
  <c r="O249" i="106" s="1"/>
  <c r="N249" i="106" a="1"/>
  <c r="N249" i="106" s="1"/>
  <c r="M249" i="106" a="1"/>
  <c r="M249" i="106" s="1"/>
  <c r="L249" i="106" a="1"/>
  <c r="L249" i="106" s="1"/>
  <c r="K249" i="106" a="1"/>
  <c r="K249" i="106" s="1"/>
  <c r="J249" i="106" a="1"/>
  <c r="J249" i="106" s="1"/>
  <c r="I249" i="106" a="1"/>
  <c r="I249" i="106" s="1"/>
  <c r="H249" i="106" a="1"/>
  <c r="H249" i="106" s="1"/>
  <c r="G249" i="106" a="1"/>
  <c r="G249" i="106" s="1"/>
  <c r="F249" i="106" a="1"/>
  <c r="F249" i="106" s="1"/>
  <c r="E249" i="106" a="1"/>
  <c r="E249" i="106" s="1"/>
  <c r="D249" i="106" a="1"/>
  <c r="D249" i="106" s="1"/>
  <c r="S248" i="106" a="1"/>
  <c r="S248" i="106" s="1"/>
  <c r="R248" i="106" a="1"/>
  <c r="R248" i="106" s="1"/>
  <c r="Q248" i="106" a="1"/>
  <c r="Q248" i="106" s="1"/>
  <c r="P248" i="106" a="1"/>
  <c r="P248" i="106" s="1"/>
  <c r="O248" i="106" a="1"/>
  <c r="O248" i="106" s="1"/>
  <c r="N248" i="106" a="1"/>
  <c r="N248" i="106" s="1"/>
  <c r="M248" i="106" a="1"/>
  <c r="M248" i="106" s="1"/>
  <c r="L248" i="106" a="1"/>
  <c r="L248" i="106" s="1"/>
  <c r="K248" i="106" a="1"/>
  <c r="K248" i="106" s="1"/>
  <c r="J248" i="106" a="1"/>
  <c r="J248" i="106" s="1"/>
  <c r="I248" i="106" a="1"/>
  <c r="I248" i="106" s="1"/>
  <c r="H248" i="106" a="1"/>
  <c r="H248" i="106" s="1"/>
  <c r="G248" i="106" a="1"/>
  <c r="G248" i="106" s="1"/>
  <c r="F248" i="106" a="1"/>
  <c r="F248" i="106" s="1"/>
  <c r="E248" i="106" a="1"/>
  <c r="E248" i="106" s="1"/>
  <c r="D248" i="106" a="1"/>
  <c r="D248" i="106" s="1"/>
  <c r="S247" i="106" a="1"/>
  <c r="S247" i="106" s="1"/>
  <c r="R247" i="106" a="1"/>
  <c r="R247" i="106" s="1"/>
  <c r="Q247" i="106" a="1"/>
  <c r="Q247" i="106" s="1"/>
  <c r="P247" i="106" a="1"/>
  <c r="P247" i="106" s="1"/>
  <c r="O247" i="106" a="1"/>
  <c r="O247" i="106" s="1"/>
  <c r="N247" i="106" a="1"/>
  <c r="N247" i="106" s="1"/>
  <c r="M247" i="106" a="1"/>
  <c r="M247" i="106" s="1"/>
  <c r="L247" i="106" a="1"/>
  <c r="L247" i="106" s="1"/>
  <c r="K247" i="106" a="1"/>
  <c r="K247" i="106" s="1"/>
  <c r="J247" i="106" a="1"/>
  <c r="J247" i="106" s="1"/>
  <c r="I247" i="106" a="1"/>
  <c r="I247" i="106" s="1"/>
  <c r="H247" i="106" a="1"/>
  <c r="H247" i="106" s="1"/>
  <c r="G247" i="106" a="1"/>
  <c r="G247" i="106" s="1"/>
  <c r="F247" i="106" a="1"/>
  <c r="F247" i="106" s="1"/>
  <c r="E247" i="106" a="1"/>
  <c r="E247" i="106" s="1"/>
  <c r="D247" i="106" a="1"/>
  <c r="D247" i="106" s="1"/>
  <c r="S246" i="106" a="1"/>
  <c r="S246" i="106" s="1"/>
  <c r="R246" i="106" a="1"/>
  <c r="R246" i="106" s="1"/>
  <c r="Q246" i="106" a="1"/>
  <c r="Q246" i="106" s="1"/>
  <c r="P246" i="106" a="1"/>
  <c r="P246" i="106" s="1"/>
  <c r="O246" i="106" a="1"/>
  <c r="O246" i="106" s="1"/>
  <c r="N246" i="106" a="1"/>
  <c r="N246" i="106" s="1"/>
  <c r="M246" i="106" a="1"/>
  <c r="M246" i="106" s="1"/>
  <c r="L246" i="106" a="1"/>
  <c r="L246" i="106" s="1"/>
  <c r="K246" i="106" a="1"/>
  <c r="K246" i="106" s="1"/>
  <c r="J246" i="106" a="1"/>
  <c r="J246" i="106" s="1"/>
  <c r="I246" i="106" a="1"/>
  <c r="I246" i="106" s="1"/>
  <c r="H246" i="106" a="1"/>
  <c r="H246" i="106" s="1"/>
  <c r="G246" i="106" a="1"/>
  <c r="G246" i="106" s="1"/>
  <c r="F246" i="106" a="1"/>
  <c r="F246" i="106" s="1"/>
  <c r="E246" i="106" a="1"/>
  <c r="E246" i="106" s="1"/>
  <c r="D246" i="106" a="1"/>
  <c r="D246" i="106" s="1"/>
  <c r="S245" i="106" a="1"/>
  <c r="S245" i="106" s="1"/>
  <c r="R245" i="106" a="1"/>
  <c r="R245" i="106" s="1"/>
  <c r="Q245" i="106" a="1"/>
  <c r="Q245" i="106" s="1"/>
  <c r="P245" i="106" a="1"/>
  <c r="P245" i="106" s="1"/>
  <c r="O245" i="106" a="1"/>
  <c r="O245" i="106" s="1"/>
  <c r="N245" i="106" a="1"/>
  <c r="N245" i="106" s="1"/>
  <c r="M245" i="106" a="1"/>
  <c r="M245" i="106" s="1"/>
  <c r="L245" i="106" a="1"/>
  <c r="L245" i="106" s="1"/>
  <c r="K245" i="106" a="1"/>
  <c r="K245" i="106" s="1"/>
  <c r="J245" i="106" a="1"/>
  <c r="J245" i="106" s="1"/>
  <c r="I245" i="106" a="1"/>
  <c r="I245" i="106" s="1"/>
  <c r="H245" i="106" a="1"/>
  <c r="H245" i="106" s="1"/>
  <c r="G245" i="106" a="1"/>
  <c r="G245" i="106" s="1"/>
  <c r="F245" i="106" a="1"/>
  <c r="F245" i="106" s="1"/>
  <c r="E245" i="106" a="1"/>
  <c r="E245" i="106" s="1"/>
  <c r="D245" i="106" a="1"/>
  <c r="D245" i="106" s="1"/>
  <c r="S244" i="106" a="1"/>
  <c r="S244" i="106" s="1"/>
  <c r="R244" i="106" a="1"/>
  <c r="R244" i="106" s="1"/>
  <c r="Q244" i="106" a="1"/>
  <c r="Q244" i="106" s="1"/>
  <c r="P244" i="106" a="1"/>
  <c r="P244" i="106" s="1"/>
  <c r="O244" i="106" a="1"/>
  <c r="O244" i="106" s="1"/>
  <c r="N244" i="106" a="1"/>
  <c r="N244" i="106" s="1"/>
  <c r="M244" i="106" a="1"/>
  <c r="M244" i="106" s="1"/>
  <c r="L244" i="106" a="1"/>
  <c r="L244" i="106" s="1"/>
  <c r="K244" i="106" a="1"/>
  <c r="K244" i="106" s="1"/>
  <c r="J244" i="106" a="1"/>
  <c r="J244" i="106" s="1"/>
  <c r="I244" i="106" a="1"/>
  <c r="I244" i="106" s="1"/>
  <c r="H244" i="106" a="1"/>
  <c r="H244" i="106" s="1"/>
  <c r="G244" i="106" a="1"/>
  <c r="G244" i="106" s="1"/>
  <c r="F244" i="106" a="1"/>
  <c r="F244" i="106" s="1"/>
  <c r="E244" i="106" a="1"/>
  <c r="E244" i="106" s="1"/>
  <c r="D244" i="106" a="1"/>
  <c r="D244" i="106" s="1"/>
  <c r="S243" i="106" a="1"/>
  <c r="S243" i="106" s="1"/>
  <c r="R243" i="106" a="1"/>
  <c r="R243" i="106" s="1"/>
  <c r="Q243" i="106" a="1"/>
  <c r="Q243" i="106" s="1"/>
  <c r="P243" i="106" a="1"/>
  <c r="P243" i="106" s="1"/>
  <c r="O243" i="106" a="1"/>
  <c r="O243" i="106" s="1"/>
  <c r="N243" i="106" a="1"/>
  <c r="N243" i="106" s="1"/>
  <c r="M243" i="106" a="1"/>
  <c r="M243" i="106" s="1"/>
  <c r="L243" i="106" a="1"/>
  <c r="L243" i="106" s="1"/>
  <c r="K243" i="106" a="1"/>
  <c r="K243" i="106" s="1"/>
  <c r="J243" i="106" a="1"/>
  <c r="J243" i="106" s="1"/>
  <c r="I243" i="106" a="1"/>
  <c r="I243" i="106" s="1"/>
  <c r="H243" i="106" a="1"/>
  <c r="H243" i="106" s="1"/>
  <c r="G243" i="106" a="1"/>
  <c r="G243" i="106" s="1"/>
  <c r="F243" i="106" a="1"/>
  <c r="F243" i="106" s="1"/>
  <c r="E243" i="106" a="1"/>
  <c r="E243" i="106" s="1"/>
  <c r="D243" i="106" a="1"/>
  <c r="D243" i="106" s="1"/>
  <c r="S242" i="106" a="1"/>
  <c r="S242" i="106" s="1"/>
  <c r="R242" i="106" a="1"/>
  <c r="R242" i="106" s="1"/>
  <c r="Q242" i="106" a="1"/>
  <c r="Q242" i="106" s="1"/>
  <c r="P242" i="106" a="1"/>
  <c r="P242" i="106" s="1"/>
  <c r="O242" i="106" a="1"/>
  <c r="O242" i="106" s="1"/>
  <c r="N242" i="106" a="1"/>
  <c r="N242" i="106" s="1"/>
  <c r="M242" i="106" a="1"/>
  <c r="M242" i="106" s="1"/>
  <c r="L242" i="106" a="1"/>
  <c r="L242" i="106" s="1"/>
  <c r="K242" i="106" a="1"/>
  <c r="K242" i="106" s="1"/>
  <c r="J242" i="106" a="1"/>
  <c r="J242" i="106" s="1"/>
  <c r="I242" i="106" a="1"/>
  <c r="I242" i="106" s="1"/>
  <c r="H242" i="106" a="1"/>
  <c r="H242" i="106" s="1"/>
  <c r="G242" i="106" a="1"/>
  <c r="G242" i="106" s="1"/>
  <c r="F242" i="106" a="1"/>
  <c r="F242" i="106" s="1"/>
  <c r="E242" i="106" a="1"/>
  <c r="E242" i="106" s="1"/>
  <c r="D242" i="106" a="1"/>
  <c r="D242" i="106" s="1"/>
  <c r="S241" i="106" a="1"/>
  <c r="S241" i="106" s="1"/>
  <c r="R241" i="106" a="1"/>
  <c r="R241" i="106" s="1"/>
  <c r="Q241" i="106" a="1"/>
  <c r="Q241" i="106" s="1"/>
  <c r="P241" i="106" a="1"/>
  <c r="P241" i="106" s="1"/>
  <c r="O241" i="106" a="1"/>
  <c r="O241" i="106" s="1"/>
  <c r="N241" i="106" a="1"/>
  <c r="N241" i="106" s="1"/>
  <c r="M241" i="106" a="1"/>
  <c r="M241" i="106" s="1"/>
  <c r="L241" i="106" a="1"/>
  <c r="L241" i="106" s="1"/>
  <c r="K241" i="106" a="1"/>
  <c r="K241" i="106" s="1"/>
  <c r="J241" i="106" a="1"/>
  <c r="J241" i="106" s="1"/>
  <c r="I241" i="106" a="1"/>
  <c r="I241" i="106" s="1"/>
  <c r="H241" i="106" a="1"/>
  <c r="H241" i="106" s="1"/>
  <c r="G241" i="106" a="1"/>
  <c r="G241" i="106" s="1"/>
  <c r="F241" i="106" a="1"/>
  <c r="F241" i="106" s="1"/>
  <c r="E241" i="106" a="1"/>
  <c r="E241" i="106" s="1"/>
  <c r="D241" i="106" a="1"/>
  <c r="D241" i="106" s="1"/>
  <c r="S240" i="106" a="1"/>
  <c r="S240" i="106" s="1"/>
  <c r="R240" i="106" a="1"/>
  <c r="R240" i="106" s="1"/>
  <c r="Q240" i="106" a="1"/>
  <c r="Q240" i="106" s="1"/>
  <c r="P240" i="106" a="1"/>
  <c r="P240" i="106" s="1"/>
  <c r="O240" i="106" a="1"/>
  <c r="O240" i="106" s="1"/>
  <c r="N240" i="106" a="1"/>
  <c r="N240" i="106" s="1"/>
  <c r="M240" i="106" a="1"/>
  <c r="M240" i="106" s="1"/>
  <c r="L240" i="106" a="1"/>
  <c r="L240" i="106" s="1"/>
  <c r="K240" i="106" a="1"/>
  <c r="K240" i="106" s="1"/>
  <c r="J240" i="106" a="1"/>
  <c r="J240" i="106" s="1"/>
  <c r="I240" i="106" a="1"/>
  <c r="I240" i="106" s="1"/>
  <c r="H240" i="106" a="1"/>
  <c r="H240" i="106" s="1"/>
  <c r="G240" i="106" a="1"/>
  <c r="G240" i="106" s="1"/>
  <c r="F240" i="106" a="1"/>
  <c r="F240" i="106" s="1"/>
  <c r="E240" i="106" a="1"/>
  <c r="E240" i="106" s="1"/>
  <c r="D240" i="106" a="1"/>
  <c r="D240" i="106" s="1"/>
  <c r="S239" i="106" a="1"/>
  <c r="S239" i="106" s="1"/>
  <c r="R239" i="106" a="1"/>
  <c r="R239" i="106" s="1"/>
  <c r="Q239" i="106" a="1"/>
  <c r="Q239" i="106" s="1"/>
  <c r="P239" i="106" a="1"/>
  <c r="P239" i="106" s="1"/>
  <c r="O239" i="106" a="1"/>
  <c r="O239" i="106" s="1"/>
  <c r="N239" i="106" a="1"/>
  <c r="N239" i="106" s="1"/>
  <c r="M239" i="106" a="1"/>
  <c r="M239" i="106" s="1"/>
  <c r="L239" i="106" a="1"/>
  <c r="L239" i="106" s="1"/>
  <c r="K239" i="106" a="1"/>
  <c r="K239" i="106" s="1"/>
  <c r="J239" i="106" a="1"/>
  <c r="J239" i="106" s="1"/>
  <c r="I239" i="106" a="1"/>
  <c r="I239" i="106" s="1"/>
  <c r="H239" i="106" a="1"/>
  <c r="H239" i="106" s="1"/>
  <c r="G239" i="106" a="1"/>
  <c r="G239" i="106" s="1"/>
  <c r="F239" i="106" a="1"/>
  <c r="F239" i="106" s="1"/>
  <c r="E239" i="106" a="1"/>
  <c r="E239" i="106" s="1"/>
  <c r="D239" i="106" a="1"/>
  <c r="D239" i="106" s="1"/>
  <c r="S238" i="106" a="1"/>
  <c r="S238" i="106" s="1"/>
  <c r="R238" i="106" a="1"/>
  <c r="R238" i="106" s="1"/>
  <c r="Q238" i="106" a="1"/>
  <c r="Q238" i="106" s="1"/>
  <c r="P238" i="106" a="1"/>
  <c r="P238" i="106" s="1"/>
  <c r="O238" i="106" a="1"/>
  <c r="O238" i="106" s="1"/>
  <c r="N238" i="106" a="1"/>
  <c r="N238" i="106" s="1"/>
  <c r="M238" i="106" a="1"/>
  <c r="M238" i="106" s="1"/>
  <c r="L238" i="106" a="1"/>
  <c r="L238" i="106" s="1"/>
  <c r="K238" i="106" a="1"/>
  <c r="K238" i="106" s="1"/>
  <c r="J238" i="106" a="1"/>
  <c r="J238" i="106" s="1"/>
  <c r="I238" i="106" a="1"/>
  <c r="I238" i="106" s="1"/>
  <c r="H238" i="106" a="1"/>
  <c r="H238" i="106" s="1"/>
  <c r="G238" i="106" a="1"/>
  <c r="G238" i="106" s="1"/>
  <c r="F238" i="106" a="1"/>
  <c r="F238" i="106" s="1"/>
  <c r="E238" i="106" a="1"/>
  <c r="E238" i="106" s="1"/>
  <c r="D238" i="106" a="1"/>
  <c r="D238" i="106" s="1"/>
  <c r="S237" i="106" a="1"/>
  <c r="S237" i="106" s="1"/>
  <c r="R237" i="106" a="1"/>
  <c r="R237" i="106" s="1"/>
  <c r="Q237" i="106" a="1"/>
  <c r="Q237" i="106" s="1"/>
  <c r="P237" i="106" a="1"/>
  <c r="P237" i="106" s="1"/>
  <c r="O237" i="106" a="1"/>
  <c r="O237" i="106" s="1"/>
  <c r="N237" i="106" a="1"/>
  <c r="N237" i="106" s="1"/>
  <c r="M237" i="106" a="1"/>
  <c r="M237" i="106" s="1"/>
  <c r="L237" i="106" a="1"/>
  <c r="L237" i="106" s="1"/>
  <c r="K237" i="106" a="1"/>
  <c r="K237" i="106" s="1"/>
  <c r="J237" i="106" a="1"/>
  <c r="J237" i="106" s="1"/>
  <c r="I237" i="106" a="1"/>
  <c r="I237" i="106" s="1"/>
  <c r="H237" i="106" a="1"/>
  <c r="H237" i="106" s="1"/>
  <c r="G237" i="106" a="1"/>
  <c r="G237" i="106" s="1"/>
  <c r="F237" i="106" a="1"/>
  <c r="F237" i="106" s="1"/>
  <c r="E237" i="106" a="1"/>
  <c r="E237" i="106" s="1"/>
  <c r="D237" i="106" a="1"/>
  <c r="D237" i="106" s="1"/>
  <c r="S236" i="106" a="1"/>
  <c r="S236" i="106" s="1"/>
  <c r="R236" i="106" a="1"/>
  <c r="R236" i="106" s="1"/>
  <c r="Q236" i="106" a="1"/>
  <c r="Q236" i="106" s="1"/>
  <c r="P236" i="106" a="1"/>
  <c r="P236" i="106" s="1"/>
  <c r="O236" i="106" a="1"/>
  <c r="O236" i="106" s="1"/>
  <c r="N236" i="106" a="1"/>
  <c r="N236" i="106" s="1"/>
  <c r="M236" i="106" a="1"/>
  <c r="M236" i="106" s="1"/>
  <c r="L236" i="106" a="1"/>
  <c r="L236" i="106" s="1"/>
  <c r="K236" i="106" a="1"/>
  <c r="K236" i="106" s="1"/>
  <c r="J236" i="106" a="1"/>
  <c r="J236" i="106" s="1"/>
  <c r="I236" i="106" a="1"/>
  <c r="I236" i="106" s="1"/>
  <c r="H236" i="106" a="1"/>
  <c r="H236" i="106" s="1"/>
  <c r="G236" i="106" a="1"/>
  <c r="G236" i="106" s="1"/>
  <c r="F236" i="106" a="1"/>
  <c r="F236" i="106" s="1"/>
  <c r="E236" i="106" a="1"/>
  <c r="E236" i="106" s="1"/>
  <c r="D236" i="106" a="1"/>
  <c r="D236" i="106" s="1"/>
  <c r="S235" i="106" a="1"/>
  <c r="S235" i="106" s="1"/>
  <c r="R235" i="106" a="1"/>
  <c r="R235" i="106" s="1"/>
  <c r="Q235" i="106" a="1"/>
  <c r="Q235" i="106" s="1"/>
  <c r="P235" i="106" a="1"/>
  <c r="P235" i="106" s="1"/>
  <c r="O235" i="106" a="1"/>
  <c r="O235" i="106" s="1"/>
  <c r="N235" i="106" a="1"/>
  <c r="N235" i="106" s="1"/>
  <c r="M235" i="106" a="1"/>
  <c r="M235" i="106" s="1"/>
  <c r="L235" i="106" a="1"/>
  <c r="L235" i="106" s="1"/>
  <c r="K235" i="106" a="1"/>
  <c r="K235" i="106" s="1"/>
  <c r="J235" i="106" a="1"/>
  <c r="J235" i="106" s="1"/>
  <c r="I235" i="106" a="1"/>
  <c r="I235" i="106" s="1"/>
  <c r="H235" i="106" a="1"/>
  <c r="H235" i="106" s="1"/>
  <c r="G235" i="106" a="1"/>
  <c r="G235" i="106" s="1"/>
  <c r="F235" i="106" a="1"/>
  <c r="F235" i="106" s="1"/>
  <c r="E235" i="106" a="1"/>
  <c r="E235" i="106" s="1"/>
  <c r="D235" i="106" a="1"/>
  <c r="D235" i="106" s="1"/>
  <c r="S234" i="106" a="1"/>
  <c r="S234" i="106" s="1"/>
  <c r="R234" i="106" a="1"/>
  <c r="R234" i="106" s="1"/>
  <c r="Q234" i="106" a="1"/>
  <c r="Q234" i="106" s="1"/>
  <c r="P234" i="106" a="1"/>
  <c r="P234" i="106" s="1"/>
  <c r="O234" i="106" a="1"/>
  <c r="O234" i="106" s="1"/>
  <c r="N234" i="106" a="1"/>
  <c r="N234" i="106" s="1"/>
  <c r="M234" i="106" a="1"/>
  <c r="M234" i="106" s="1"/>
  <c r="L234" i="106" a="1"/>
  <c r="L234" i="106" s="1"/>
  <c r="K234" i="106" a="1"/>
  <c r="K234" i="106" s="1"/>
  <c r="J234" i="106" a="1"/>
  <c r="J234" i="106" s="1"/>
  <c r="I234" i="106" a="1"/>
  <c r="I234" i="106" s="1"/>
  <c r="H234" i="106" a="1"/>
  <c r="H234" i="106" s="1"/>
  <c r="G234" i="106" a="1"/>
  <c r="G234" i="106" s="1"/>
  <c r="F234" i="106" a="1"/>
  <c r="F234" i="106" s="1"/>
  <c r="E234" i="106" a="1"/>
  <c r="E234" i="106" s="1"/>
  <c r="D234" i="106" a="1"/>
  <c r="D234" i="106" s="1"/>
  <c r="S233" i="106" a="1"/>
  <c r="S233" i="106" s="1"/>
  <c r="R233" i="106" a="1"/>
  <c r="R233" i="106" s="1"/>
  <c r="Q233" i="106" a="1"/>
  <c r="Q233" i="106" s="1"/>
  <c r="P233" i="106" a="1"/>
  <c r="P233" i="106" s="1"/>
  <c r="O233" i="106" a="1"/>
  <c r="O233" i="106" s="1"/>
  <c r="N233" i="106" a="1"/>
  <c r="N233" i="106" s="1"/>
  <c r="M233" i="106" a="1"/>
  <c r="M233" i="106" s="1"/>
  <c r="L233" i="106" a="1"/>
  <c r="L233" i="106" s="1"/>
  <c r="K233" i="106" a="1"/>
  <c r="K233" i="106" s="1"/>
  <c r="J233" i="106" a="1"/>
  <c r="J233" i="106" s="1"/>
  <c r="I233" i="106" a="1"/>
  <c r="I233" i="106" s="1"/>
  <c r="H233" i="106" a="1"/>
  <c r="H233" i="106" s="1"/>
  <c r="G233" i="106" a="1"/>
  <c r="G233" i="106" s="1"/>
  <c r="F233" i="106" a="1"/>
  <c r="F233" i="106" s="1"/>
  <c r="E233" i="106" a="1"/>
  <c r="E233" i="106" s="1"/>
  <c r="D233" i="106" a="1"/>
  <c r="D233" i="106" s="1"/>
  <c r="S232" i="106" a="1"/>
  <c r="S232" i="106" s="1"/>
  <c r="O160" i="69" s="1" a="1"/>
  <c r="O160" i="69" s="1"/>
  <c r="R232" i="106" a="1"/>
  <c r="R232" i="106" s="1"/>
  <c r="Q232" i="106" a="1"/>
  <c r="Q232" i="106" s="1"/>
  <c r="P232" i="106" a="1"/>
  <c r="P232" i="106" s="1"/>
  <c r="O232" i="106" a="1"/>
  <c r="O232" i="106" s="1"/>
  <c r="N232" i="106" a="1"/>
  <c r="N232" i="106" s="1"/>
  <c r="M232" i="106" a="1"/>
  <c r="M232" i="106" s="1"/>
  <c r="L232" i="106" a="1"/>
  <c r="L232" i="106" s="1"/>
  <c r="K232" i="106" a="1"/>
  <c r="K232" i="106" s="1"/>
  <c r="J232" i="106" a="1"/>
  <c r="J232" i="106" s="1"/>
  <c r="I232" i="106" a="1"/>
  <c r="I232" i="106" s="1"/>
  <c r="H232" i="106" a="1"/>
  <c r="H232" i="106" s="1"/>
  <c r="G232" i="106" a="1"/>
  <c r="G232" i="106" s="1"/>
  <c r="F232" i="106" a="1"/>
  <c r="F232" i="106" s="1"/>
  <c r="E232" i="106" a="1"/>
  <c r="E232" i="106" s="1"/>
  <c r="D232" i="106" a="1"/>
  <c r="D232" i="106" s="1"/>
  <c r="D228" i="106" a="1"/>
  <c r="D228" i="106" s="1"/>
  <c r="D227" i="106" a="1"/>
  <c r="D227" i="106" s="1"/>
  <c r="E224" i="106" a="1"/>
  <c r="E224" i="106" s="1"/>
  <c r="D224" i="106" a="1"/>
  <c r="D224" i="106" s="1"/>
  <c r="E223" i="106" a="1"/>
  <c r="E223" i="106" s="1"/>
  <c r="D223" i="106" a="1"/>
  <c r="D223" i="106" s="1"/>
  <c r="E222" i="106" a="1"/>
  <c r="E222" i="106" s="1"/>
  <c r="D222" i="106" a="1"/>
  <c r="D222" i="106" s="1"/>
  <c r="E221" i="106" a="1"/>
  <c r="E221" i="106" s="1"/>
  <c r="D221" i="106" a="1"/>
  <c r="D221" i="106" s="1"/>
  <c r="E220" i="106" a="1"/>
  <c r="E220" i="106" s="1"/>
  <c r="D220" i="106" a="1"/>
  <c r="D220" i="106" s="1"/>
  <c r="E219" i="106" a="1"/>
  <c r="E219" i="106" s="1"/>
  <c r="D219" i="106" a="1"/>
  <c r="D219" i="106" s="1"/>
  <c r="E218" i="106" a="1"/>
  <c r="E218" i="106" s="1"/>
  <c r="D218" i="106" a="1"/>
  <c r="D218" i="106" s="1"/>
  <c r="E217" i="106" a="1"/>
  <c r="E217" i="106" s="1"/>
  <c r="D217" i="106" a="1"/>
  <c r="D217" i="106" s="1"/>
  <c r="E216" i="106" a="1"/>
  <c r="E216" i="106" s="1"/>
  <c r="D216" i="106" a="1"/>
  <c r="D216" i="106" s="1"/>
  <c r="E215" i="106" a="1"/>
  <c r="E215" i="106" s="1"/>
  <c r="D215" i="106" a="1"/>
  <c r="D215" i="106" s="1"/>
  <c r="E214" i="106" a="1"/>
  <c r="E214" i="106" s="1"/>
  <c r="D214" i="106" a="1"/>
  <c r="D214" i="106" s="1"/>
  <c r="E213" i="106" a="1"/>
  <c r="E213" i="106" s="1"/>
  <c r="D213" i="106" a="1"/>
  <c r="D213" i="106" s="1"/>
  <c r="D211" i="106"/>
  <c r="D211" i="106" a="1"/>
  <c r="E208" i="106" a="1"/>
  <c r="E208" i="106" s="1"/>
  <c r="D208" i="106" a="1"/>
  <c r="D208" i="106" s="1"/>
  <c r="E207" i="106" a="1"/>
  <c r="E207" i="106" s="1"/>
  <c r="D207" i="106" a="1"/>
  <c r="D207" i="106" s="1"/>
  <c r="D205" i="106" a="1"/>
  <c r="D205" i="106" s="1"/>
  <c r="D204" i="106" a="1"/>
  <c r="D204" i="106" s="1"/>
  <c r="D203" i="106" a="1"/>
  <c r="D203" i="106" s="1"/>
  <c r="D202" i="106"/>
  <c r="D202" i="106" a="1"/>
  <c r="H199" i="106" a="1"/>
  <c r="H199" i="106" s="1"/>
  <c r="G199" i="106" a="1"/>
  <c r="G199" i="106" s="1"/>
  <c r="F199" i="106" a="1"/>
  <c r="F199" i="106" s="1"/>
  <c r="E199" i="106" a="1"/>
  <c r="E199" i="106" s="1"/>
  <c r="D199" i="106" a="1"/>
  <c r="D199" i="106" s="1"/>
  <c r="H198" i="106" a="1"/>
  <c r="H198" i="106" s="1"/>
  <c r="G198" i="106" a="1"/>
  <c r="G198" i="106" s="1"/>
  <c r="F198" i="106" a="1"/>
  <c r="F198" i="106" s="1"/>
  <c r="E198" i="106" a="1"/>
  <c r="E198" i="106" s="1"/>
  <c r="D198" i="106" a="1"/>
  <c r="D198" i="106" s="1"/>
  <c r="H197" i="106" a="1"/>
  <c r="H197" i="106" s="1"/>
  <c r="G197" i="106" a="1"/>
  <c r="G197" i="106" s="1"/>
  <c r="F197" i="106" a="1"/>
  <c r="F197" i="106" s="1"/>
  <c r="E197" i="106" a="1"/>
  <c r="E197" i="106" s="1"/>
  <c r="D197" i="106" a="1"/>
  <c r="D197" i="106" s="1"/>
  <c r="H196" i="106" a="1"/>
  <c r="H196" i="106" s="1"/>
  <c r="G196" i="106" a="1"/>
  <c r="G196" i="106" s="1"/>
  <c r="F196" i="106" a="1"/>
  <c r="F196" i="106" s="1"/>
  <c r="E196" i="106" a="1"/>
  <c r="E196" i="106" s="1"/>
  <c r="D196" i="106" a="1"/>
  <c r="D196" i="106" s="1"/>
  <c r="H195" i="106" a="1"/>
  <c r="H195" i="106" s="1"/>
  <c r="G195" i="106" a="1"/>
  <c r="G195" i="106" s="1"/>
  <c r="F195" i="106" a="1"/>
  <c r="F195" i="106" s="1"/>
  <c r="E195" i="106" a="1"/>
  <c r="E195" i="106" s="1"/>
  <c r="D195" i="106" a="1"/>
  <c r="D195" i="106" s="1"/>
  <c r="H194" i="106" a="1"/>
  <c r="H194" i="106" s="1"/>
  <c r="G194" i="106" a="1"/>
  <c r="G194" i="106" s="1"/>
  <c r="F194" i="106" a="1"/>
  <c r="F194" i="106" s="1"/>
  <c r="E194" i="106" a="1"/>
  <c r="E194" i="106" s="1"/>
  <c r="D194" i="106" a="1"/>
  <c r="D194" i="106" s="1"/>
  <c r="H193" i="106" a="1"/>
  <c r="H193" i="106" s="1"/>
  <c r="G193" i="106" a="1"/>
  <c r="G193" i="106" s="1"/>
  <c r="F193" i="106" a="1"/>
  <c r="F193" i="106" s="1"/>
  <c r="E193" i="106" a="1"/>
  <c r="E193" i="106" s="1"/>
  <c r="D193" i="106" a="1"/>
  <c r="D193" i="106" s="1"/>
  <c r="H192" i="106" a="1"/>
  <c r="H192" i="106" s="1"/>
  <c r="G192" i="106" a="1"/>
  <c r="G192" i="106" s="1"/>
  <c r="F192" i="106" a="1"/>
  <c r="F192" i="106" s="1"/>
  <c r="E192" i="106" a="1"/>
  <c r="E192" i="106" s="1"/>
  <c r="D192" i="106" a="1"/>
  <c r="D192" i="106" s="1"/>
  <c r="H191" i="106" a="1"/>
  <c r="H191" i="106" s="1"/>
  <c r="G191" i="106" a="1"/>
  <c r="G191" i="106" s="1"/>
  <c r="F191" i="106" a="1"/>
  <c r="F191" i="106" s="1"/>
  <c r="E191" i="106" a="1"/>
  <c r="E191" i="106" s="1"/>
  <c r="D191" i="106" a="1"/>
  <c r="D191" i="106" s="1"/>
  <c r="H190" i="106" a="1"/>
  <c r="H190" i="106" s="1"/>
  <c r="G190" i="106" a="1"/>
  <c r="G190" i="106" s="1"/>
  <c r="F190" i="106" a="1"/>
  <c r="F190" i="106" s="1"/>
  <c r="E190" i="106" a="1"/>
  <c r="E190" i="106" s="1"/>
  <c r="D190" i="106" a="1"/>
  <c r="D190" i="106" s="1"/>
  <c r="H189" i="106" a="1"/>
  <c r="H189" i="106" s="1"/>
  <c r="G189" i="106" a="1"/>
  <c r="G189" i="106" s="1"/>
  <c r="F189" i="106" a="1"/>
  <c r="F189" i="106" s="1"/>
  <c r="E189" i="106" a="1"/>
  <c r="E189" i="106" s="1"/>
  <c r="D189" i="106" a="1"/>
  <c r="D189" i="106" s="1"/>
  <c r="H188" i="106" a="1"/>
  <c r="H188" i="106" s="1"/>
  <c r="G188" i="106" a="1"/>
  <c r="G188" i="106" s="1"/>
  <c r="F188" i="106" a="1"/>
  <c r="F188" i="106" s="1"/>
  <c r="E188" i="106" a="1"/>
  <c r="E188" i="106" s="1"/>
  <c r="D188" i="106" a="1"/>
  <c r="D188" i="106" s="1"/>
  <c r="H187" i="106" a="1"/>
  <c r="H187" i="106" s="1"/>
  <c r="G187" i="106" a="1"/>
  <c r="G187" i="106" s="1"/>
  <c r="F187" i="106" a="1"/>
  <c r="F187" i="106" s="1"/>
  <c r="E187" i="106" a="1"/>
  <c r="E187" i="106" s="1"/>
  <c r="D187" i="106" a="1"/>
  <c r="D187" i="106" s="1"/>
  <c r="D181" i="106" a="1"/>
  <c r="D181" i="106" s="1"/>
  <c r="D180" i="106" a="1"/>
  <c r="D180" i="106" s="1"/>
  <c r="D179" i="106" a="1"/>
  <c r="D179" i="106" s="1"/>
  <c r="D178" i="106"/>
  <c r="D178" i="106" a="1"/>
  <c r="E175" i="106" a="1"/>
  <c r="E175" i="106" s="1"/>
  <c r="D175" i="106"/>
  <c r="D175" i="106" a="1"/>
  <c r="D174" i="106" a="1"/>
  <c r="D174" i="106" s="1"/>
  <c r="D173" i="106"/>
  <c r="D173" i="106" a="1"/>
  <c r="D170" i="106" a="1"/>
  <c r="D170" i="106" s="1"/>
  <c r="D169" i="106" a="1"/>
  <c r="D169" i="106" s="1"/>
  <c r="D168" i="106" a="1"/>
  <c r="D168" i="106" s="1"/>
  <c r="D167" i="106" a="1"/>
  <c r="D167" i="106" s="1"/>
  <c r="D164" i="106" a="1"/>
  <c r="D164" i="106" s="1"/>
  <c r="D163" i="106" a="1"/>
  <c r="D163" i="106" s="1"/>
  <c r="D162" i="106" a="1"/>
  <c r="D162" i="106" s="1"/>
  <c r="D161" i="106" a="1"/>
  <c r="D161" i="106" s="1"/>
  <c r="E158" i="106" a="1"/>
  <c r="E158" i="106" s="1"/>
  <c r="D158" i="106" a="1"/>
  <c r="D158" i="106" s="1"/>
  <c r="E157" i="106" a="1"/>
  <c r="E157" i="106" s="1"/>
  <c r="D157" i="106" a="1"/>
  <c r="D157" i="106" s="1"/>
  <c r="E156" i="106" a="1"/>
  <c r="E156" i="106" s="1"/>
  <c r="D156" i="106" a="1"/>
  <c r="D156" i="106" s="1"/>
  <c r="E155" i="106" a="1"/>
  <c r="E155" i="106" s="1"/>
  <c r="D155" i="106" a="1"/>
  <c r="D155" i="106" s="1"/>
  <c r="E154" i="106" a="1"/>
  <c r="E154" i="106" s="1"/>
  <c r="D154" i="106" a="1"/>
  <c r="D154" i="106" s="1"/>
  <c r="D151" i="106" a="1"/>
  <c r="D151" i="106" s="1"/>
  <c r="D150" i="106" a="1"/>
  <c r="D150" i="106" s="1"/>
  <c r="E147" i="106" a="1"/>
  <c r="E147" i="106" s="1"/>
  <c r="D147" i="106" a="1"/>
  <c r="D147" i="106" s="1"/>
  <c r="E146" i="106" a="1"/>
  <c r="E146" i="106" s="1"/>
  <c r="D146" i="106" a="1"/>
  <c r="D146" i="106" s="1"/>
  <c r="E145" i="106" a="1"/>
  <c r="E145" i="106" s="1"/>
  <c r="D145" i="106" a="1"/>
  <c r="D145" i="106" s="1"/>
  <c r="E144" i="106" a="1"/>
  <c r="E144" i="106" s="1"/>
  <c r="D144" i="106" a="1"/>
  <c r="D144" i="106" s="1"/>
  <c r="E143" i="106" a="1"/>
  <c r="E143" i="106" s="1"/>
  <c r="D143" i="106" a="1"/>
  <c r="D143" i="106" s="1"/>
  <c r="D141" i="106" a="1"/>
  <c r="D141" i="106" s="1"/>
  <c r="D140" i="106" a="1"/>
  <c r="D140" i="106" s="1"/>
  <c r="D139" i="106" a="1"/>
  <c r="D139" i="106" s="1"/>
  <c r="E136" i="106" a="1"/>
  <c r="E136" i="106" s="1"/>
  <c r="D136" i="106" a="1"/>
  <c r="D136" i="106" s="1"/>
  <c r="E135" i="106" a="1"/>
  <c r="E135" i="106" s="1"/>
  <c r="D135" i="106" a="1"/>
  <c r="D135" i="106" s="1"/>
  <c r="D133" i="106"/>
  <c r="D133" i="106" a="1"/>
  <c r="D132" i="106" a="1"/>
  <c r="D132" i="106" s="1"/>
  <c r="E129" i="106" a="1"/>
  <c r="E129" i="106" s="1"/>
  <c r="D129" i="106" a="1"/>
  <c r="D129" i="106" s="1"/>
  <c r="E128" i="106" a="1"/>
  <c r="E128" i="106" s="1"/>
  <c r="D128" i="106" a="1"/>
  <c r="D128" i="106" s="1"/>
  <c r="D125" i="106" a="1"/>
  <c r="D125" i="106" s="1"/>
  <c r="D124" i="106" a="1"/>
  <c r="D124" i="106" s="1"/>
  <c r="G121" i="106" a="1"/>
  <c r="G121" i="106" s="1"/>
  <c r="F121" i="106" a="1"/>
  <c r="F121" i="106" s="1"/>
  <c r="E121" i="106" a="1"/>
  <c r="E121" i="106" s="1"/>
  <c r="D121" i="106" a="1"/>
  <c r="D121" i="106" s="1"/>
  <c r="G120" i="106" a="1"/>
  <c r="G120" i="106" s="1"/>
  <c r="F120" i="106" a="1"/>
  <c r="F120" i="106" s="1"/>
  <c r="E120" i="106" a="1"/>
  <c r="E120" i="106" s="1"/>
  <c r="D120" i="106" a="1"/>
  <c r="D120" i="106" s="1"/>
  <c r="D117" i="106" a="1"/>
  <c r="D117" i="106" s="1"/>
  <c r="D116" i="106"/>
  <c r="D116" i="106" a="1"/>
  <c r="D115" i="106"/>
  <c r="D115" i="106" a="1"/>
  <c r="G112" i="106" a="1"/>
  <c r="G112" i="106" s="1"/>
  <c r="F112" i="106" a="1"/>
  <c r="F112" i="106" s="1"/>
  <c r="E112" i="106" a="1"/>
  <c r="E112" i="106" s="1"/>
  <c r="D112" i="106" a="1"/>
  <c r="D112" i="106" s="1"/>
  <c r="G111" i="106" a="1"/>
  <c r="G111" i="106" s="1"/>
  <c r="F111" i="106" a="1"/>
  <c r="F111" i="106" s="1"/>
  <c r="E111" i="106" a="1"/>
  <c r="E111" i="106" s="1"/>
  <c r="D111" i="106" a="1"/>
  <c r="D111" i="106" s="1"/>
  <c r="G110" i="106" a="1"/>
  <c r="G110" i="106" s="1"/>
  <c r="F110" i="106" a="1"/>
  <c r="F110" i="106" s="1"/>
  <c r="E110" i="106" a="1"/>
  <c r="E110" i="106" s="1"/>
  <c r="D110" i="106" a="1"/>
  <c r="D110" i="106" s="1"/>
  <c r="D107" i="106" a="1"/>
  <c r="D107" i="106" s="1"/>
  <c r="D106" i="106" a="1"/>
  <c r="D106" i="106" s="1"/>
  <c r="D105" i="106" a="1"/>
  <c r="D105" i="106" s="1"/>
  <c r="D98" i="106" a="1"/>
  <c r="D98" i="106" s="1"/>
  <c r="S97" i="106" a="1"/>
  <c r="S97" i="106" s="1"/>
  <c r="R97" i="106" a="1"/>
  <c r="R97" i="106" s="1"/>
  <c r="Q97" i="106" a="1"/>
  <c r="Q97" i="106" s="1"/>
  <c r="P97" i="106" a="1"/>
  <c r="P97" i="106" s="1"/>
  <c r="O97" i="106" a="1"/>
  <c r="O97" i="106" s="1"/>
  <c r="N97" i="106" a="1"/>
  <c r="N97" i="106" s="1"/>
  <c r="M97" i="106" a="1"/>
  <c r="M97" i="106" s="1"/>
  <c r="L97" i="106" a="1"/>
  <c r="L97" i="106" s="1"/>
  <c r="K97" i="106" a="1"/>
  <c r="K97" i="106" s="1"/>
  <c r="J97" i="106" a="1"/>
  <c r="J97" i="106" s="1"/>
  <c r="I97" i="106" a="1"/>
  <c r="I97" i="106" s="1"/>
  <c r="H97" i="106" a="1"/>
  <c r="H97" i="106" s="1"/>
  <c r="G97" i="106" a="1"/>
  <c r="G97" i="106" s="1"/>
  <c r="F97" i="106" a="1"/>
  <c r="F97" i="106" s="1"/>
  <c r="E97" i="106" a="1"/>
  <c r="E97" i="106" s="1"/>
  <c r="D97" i="106" a="1"/>
  <c r="D97" i="106" s="1"/>
  <c r="S96" i="106" a="1"/>
  <c r="S96" i="106" s="1"/>
  <c r="R96" i="106" a="1"/>
  <c r="R96" i="106" s="1"/>
  <c r="Q96" i="106" a="1"/>
  <c r="Q96" i="106" s="1"/>
  <c r="P96" i="106" a="1"/>
  <c r="P96" i="106" s="1"/>
  <c r="O96" i="106" a="1"/>
  <c r="O96" i="106" s="1"/>
  <c r="N96" i="106" a="1"/>
  <c r="N96" i="106" s="1"/>
  <c r="M96" i="106" a="1"/>
  <c r="M96" i="106" s="1"/>
  <c r="L96" i="106" a="1"/>
  <c r="L96" i="106" s="1"/>
  <c r="K96" i="106" a="1"/>
  <c r="K96" i="106" s="1"/>
  <c r="J96" i="106" a="1"/>
  <c r="J96" i="106" s="1"/>
  <c r="I96" i="106" a="1"/>
  <c r="I96" i="106" s="1"/>
  <c r="H96" i="106" a="1"/>
  <c r="H96" i="106" s="1"/>
  <c r="G96" i="106" a="1"/>
  <c r="G96" i="106" s="1"/>
  <c r="F96" i="106" a="1"/>
  <c r="F96" i="106" s="1"/>
  <c r="E96" i="106" a="1"/>
  <c r="E96" i="106" s="1"/>
  <c r="D96" i="106" a="1"/>
  <c r="D96" i="106" s="1"/>
  <c r="S95" i="106" a="1"/>
  <c r="S95" i="106" s="1"/>
  <c r="R95" i="106" a="1"/>
  <c r="R95" i="106" s="1"/>
  <c r="Q95" i="106" a="1"/>
  <c r="Q95" i="106" s="1"/>
  <c r="P95" i="106" a="1"/>
  <c r="P95" i="106" s="1"/>
  <c r="O95" i="106" a="1"/>
  <c r="O95" i="106" s="1"/>
  <c r="N95" i="106" a="1"/>
  <c r="N95" i="106" s="1"/>
  <c r="M95" i="106" a="1"/>
  <c r="M95" i="106" s="1"/>
  <c r="L95" i="106" a="1"/>
  <c r="L95" i="106" s="1"/>
  <c r="K95" i="106" a="1"/>
  <c r="K95" i="106" s="1"/>
  <c r="J95" i="106" a="1"/>
  <c r="J95" i="106" s="1"/>
  <c r="I95" i="106" a="1"/>
  <c r="I95" i="106" s="1"/>
  <c r="H95" i="106" a="1"/>
  <c r="H95" i="106" s="1"/>
  <c r="G95" i="106" a="1"/>
  <c r="G95" i="106" s="1"/>
  <c r="F95" i="106" a="1"/>
  <c r="F95" i="106" s="1"/>
  <c r="E95" i="106" a="1"/>
  <c r="E95" i="106" s="1"/>
  <c r="D95" i="106" a="1"/>
  <c r="D95" i="106" s="1"/>
  <c r="S94" i="106" a="1"/>
  <c r="S94" i="106" s="1"/>
  <c r="R94" i="106" a="1"/>
  <c r="R94" i="106" s="1"/>
  <c r="Q94" i="106" a="1"/>
  <c r="Q94" i="106" s="1"/>
  <c r="P94" i="106" a="1"/>
  <c r="P94" i="106" s="1"/>
  <c r="O94" i="106" a="1"/>
  <c r="O94" i="106" s="1"/>
  <c r="N94" i="106" a="1"/>
  <c r="N94" i="106" s="1"/>
  <c r="M94" i="106" a="1"/>
  <c r="M94" i="106" s="1"/>
  <c r="L94" i="106" a="1"/>
  <c r="L94" i="106" s="1"/>
  <c r="K94" i="106" a="1"/>
  <c r="K94" i="106" s="1"/>
  <c r="J94" i="106" a="1"/>
  <c r="J94" i="106" s="1"/>
  <c r="I94" i="106" a="1"/>
  <c r="I94" i="106" s="1"/>
  <c r="H94" i="106" a="1"/>
  <c r="H94" i="106" s="1"/>
  <c r="G94" i="106" a="1"/>
  <c r="G94" i="106" s="1"/>
  <c r="F94" i="106" a="1"/>
  <c r="F94" i="106" s="1"/>
  <c r="E94" i="106" a="1"/>
  <c r="E94" i="106" s="1"/>
  <c r="D94" i="106" a="1"/>
  <c r="D94" i="106" s="1"/>
  <c r="S93" i="106" a="1"/>
  <c r="S93" i="106" s="1"/>
  <c r="R93" i="106" a="1"/>
  <c r="R93" i="106" s="1"/>
  <c r="Q93" i="106" a="1"/>
  <c r="Q93" i="106" s="1"/>
  <c r="P93" i="106" a="1"/>
  <c r="P93" i="106" s="1"/>
  <c r="O93" i="106" a="1"/>
  <c r="O93" i="106" s="1"/>
  <c r="N93" i="106" a="1"/>
  <c r="N93" i="106" s="1"/>
  <c r="M93" i="106" a="1"/>
  <c r="M93" i="106" s="1"/>
  <c r="L93" i="106" a="1"/>
  <c r="L93" i="106" s="1"/>
  <c r="K93" i="106" a="1"/>
  <c r="K93" i="106" s="1"/>
  <c r="J93" i="106" a="1"/>
  <c r="J93" i="106" s="1"/>
  <c r="I93" i="106" a="1"/>
  <c r="I93" i="106" s="1"/>
  <c r="H93" i="106" a="1"/>
  <c r="H93" i="106" s="1"/>
  <c r="G93" i="106" a="1"/>
  <c r="G93" i="106" s="1"/>
  <c r="F93" i="106" a="1"/>
  <c r="F93" i="106" s="1"/>
  <c r="E93" i="106" a="1"/>
  <c r="E93" i="106" s="1"/>
  <c r="D93" i="106" a="1"/>
  <c r="D93" i="106" s="1"/>
  <c r="S92" i="106" a="1"/>
  <c r="S92" i="106" s="1"/>
  <c r="R92" i="106" a="1"/>
  <c r="R92" i="106" s="1"/>
  <c r="Q92" i="106" a="1"/>
  <c r="Q92" i="106" s="1"/>
  <c r="P92" i="106" a="1"/>
  <c r="P92" i="106" s="1"/>
  <c r="O92" i="106" a="1"/>
  <c r="O92" i="106" s="1"/>
  <c r="N92" i="106" a="1"/>
  <c r="N92" i="106" s="1"/>
  <c r="M92" i="106" a="1"/>
  <c r="M92" i="106" s="1"/>
  <c r="L92" i="106" a="1"/>
  <c r="L92" i="106" s="1"/>
  <c r="K92" i="106" a="1"/>
  <c r="K92" i="106" s="1"/>
  <c r="J92" i="106" a="1"/>
  <c r="J92" i="106" s="1"/>
  <c r="I92" i="106" a="1"/>
  <c r="I92" i="106" s="1"/>
  <c r="H92" i="106" a="1"/>
  <c r="H92" i="106" s="1"/>
  <c r="G92" i="106" a="1"/>
  <c r="G92" i="106" s="1"/>
  <c r="F92" i="106" a="1"/>
  <c r="F92" i="106" s="1"/>
  <c r="E92" i="106" a="1"/>
  <c r="E92" i="106" s="1"/>
  <c r="D92" i="106" a="1"/>
  <c r="D92" i="106" s="1"/>
  <c r="S91" i="106" a="1"/>
  <c r="S91" i="106" s="1"/>
  <c r="R91" i="106" a="1"/>
  <c r="R91" i="106" s="1"/>
  <c r="Q91" i="106" a="1"/>
  <c r="Q91" i="106" s="1"/>
  <c r="P91" i="106" a="1"/>
  <c r="P91" i="106" s="1"/>
  <c r="O91" i="106" a="1"/>
  <c r="O91" i="106" s="1"/>
  <c r="N91" i="106" a="1"/>
  <c r="N91" i="106" s="1"/>
  <c r="M91" i="106" a="1"/>
  <c r="M91" i="106" s="1"/>
  <c r="L91" i="106" a="1"/>
  <c r="L91" i="106" s="1"/>
  <c r="K91" i="106" a="1"/>
  <c r="K91" i="106" s="1"/>
  <c r="J91" i="106" a="1"/>
  <c r="J91" i="106" s="1"/>
  <c r="I91" i="106" a="1"/>
  <c r="I91" i="106" s="1"/>
  <c r="H91" i="106" a="1"/>
  <c r="H91" i="106" s="1"/>
  <c r="G91" i="106" a="1"/>
  <c r="G91" i="106" s="1"/>
  <c r="F91" i="106" a="1"/>
  <c r="F91" i="106" s="1"/>
  <c r="E91" i="106" a="1"/>
  <c r="E91" i="106" s="1"/>
  <c r="D91" i="106" a="1"/>
  <c r="D91" i="106" s="1"/>
  <c r="S90" i="106" a="1"/>
  <c r="S90" i="106" s="1"/>
  <c r="R90" i="106" a="1"/>
  <c r="R90" i="106" s="1"/>
  <c r="Q90" i="106" a="1"/>
  <c r="Q90" i="106" s="1"/>
  <c r="P90" i="106" a="1"/>
  <c r="P90" i="106" s="1"/>
  <c r="O90" i="106" a="1"/>
  <c r="O90" i="106" s="1"/>
  <c r="N90" i="106" a="1"/>
  <c r="N90" i="106" s="1"/>
  <c r="M90" i="106" a="1"/>
  <c r="M90" i="106" s="1"/>
  <c r="L90" i="106" a="1"/>
  <c r="L90" i="106" s="1"/>
  <c r="K90" i="106" a="1"/>
  <c r="K90" i="106" s="1"/>
  <c r="J90" i="106" a="1"/>
  <c r="J90" i="106" s="1"/>
  <c r="I90" i="106" a="1"/>
  <c r="I90" i="106" s="1"/>
  <c r="H90" i="106" a="1"/>
  <c r="H90" i="106" s="1"/>
  <c r="G90" i="106" a="1"/>
  <c r="G90" i="106" s="1"/>
  <c r="F90" i="106" a="1"/>
  <c r="F90" i="106" s="1"/>
  <c r="E90" i="106" a="1"/>
  <c r="E90" i="106" s="1"/>
  <c r="D90" i="106" a="1"/>
  <c r="D90" i="106" s="1"/>
  <c r="D83" i="106" a="1"/>
  <c r="D83" i="106" s="1"/>
  <c r="D82" i="106" a="1"/>
  <c r="D82" i="106" s="1"/>
  <c r="D81" i="106" a="1"/>
  <c r="D81" i="106" s="1"/>
  <c r="E77" i="106" a="1"/>
  <c r="E77" i="106" s="1"/>
  <c r="D77" i="106" a="1"/>
  <c r="D77" i="106" s="1"/>
  <c r="E76" i="106" a="1"/>
  <c r="E76" i="106" s="1"/>
  <c r="D76" i="106" a="1"/>
  <c r="D76" i="106" s="1"/>
  <c r="E75" i="106" a="1"/>
  <c r="E75" i="106" s="1"/>
  <c r="D75" i="106" a="1"/>
  <c r="D75" i="106" s="1"/>
  <c r="E74" i="106" a="1"/>
  <c r="E74" i="106" s="1"/>
  <c r="D74" i="106" a="1"/>
  <c r="D74" i="106" s="1"/>
  <c r="E73" i="106" a="1"/>
  <c r="E73" i="106" s="1"/>
  <c r="D73" i="106" a="1"/>
  <c r="D73" i="106" s="1"/>
  <c r="E72" i="106" a="1"/>
  <c r="E72" i="106" s="1"/>
  <c r="D72" i="106" a="1"/>
  <c r="D72" i="106" s="1"/>
  <c r="E71" i="106" a="1"/>
  <c r="E71" i="106" s="1"/>
  <c r="D71" i="106" a="1"/>
  <c r="D71" i="106" s="1"/>
  <c r="E70" i="106" a="1"/>
  <c r="E70" i="106" s="1"/>
  <c r="D70" i="106" a="1"/>
  <c r="D70" i="106" s="1"/>
  <c r="E69" i="106" a="1"/>
  <c r="E69" i="106" s="1"/>
  <c r="D69" i="106" a="1"/>
  <c r="D69" i="106" s="1"/>
  <c r="E68" i="106" a="1"/>
  <c r="E68" i="106" s="1"/>
  <c r="D68" i="106" a="1"/>
  <c r="D68" i="106" s="1"/>
  <c r="E67" i="106" a="1"/>
  <c r="E67" i="106" s="1"/>
  <c r="D67" i="106" a="1"/>
  <c r="D67" i="106" s="1"/>
  <c r="E66" i="106" a="1"/>
  <c r="E66" i="106" s="1"/>
  <c r="D66" i="106" a="1"/>
  <c r="D66" i="106" s="1"/>
  <c r="E65" i="106" a="1"/>
  <c r="E65" i="106" s="1"/>
  <c r="D65" i="106" a="1"/>
  <c r="D65" i="106" s="1"/>
  <c r="E64" i="106" a="1"/>
  <c r="E64" i="106" s="1"/>
  <c r="D64" i="106" a="1"/>
  <c r="D64" i="106" s="1"/>
  <c r="D59" i="106" a="1"/>
  <c r="D59" i="106" s="1"/>
  <c r="D58" i="106" a="1"/>
  <c r="D58" i="106" s="1"/>
  <c r="D57" i="106" a="1"/>
  <c r="D57" i="106" s="1"/>
  <c r="G54" i="106" a="1"/>
  <c r="G54" i="106" s="1"/>
  <c r="F54" i="106" a="1"/>
  <c r="F54" i="106" s="1"/>
  <c r="E54" i="106" a="1"/>
  <c r="E54" i="106" s="1"/>
  <c r="D54" i="106" a="1"/>
  <c r="D54" i="106" s="1"/>
  <c r="G53" i="106" a="1"/>
  <c r="G53" i="106" s="1"/>
  <c r="F53" i="106" a="1"/>
  <c r="F53" i="106" s="1"/>
  <c r="E53" i="106" a="1"/>
  <c r="E53" i="106" s="1"/>
  <c r="D53" i="106" a="1"/>
  <c r="D53" i="106" s="1"/>
  <c r="G52" i="106" a="1"/>
  <c r="G52" i="106" s="1"/>
  <c r="F52" i="106" a="1"/>
  <c r="F52" i="106" s="1"/>
  <c r="E52" i="106" a="1"/>
  <c r="E52" i="106" s="1"/>
  <c r="D52" i="106" a="1"/>
  <c r="D52" i="106" s="1"/>
  <c r="G51" i="106" a="1"/>
  <c r="G51" i="106" s="1"/>
  <c r="F51" i="106" a="1"/>
  <c r="F51" i="106" s="1"/>
  <c r="E51" i="106" a="1"/>
  <c r="E51" i="106" s="1"/>
  <c r="D51" i="106" a="1"/>
  <c r="D51" i="106" s="1"/>
  <c r="G50" i="106" a="1"/>
  <c r="G50" i="106" s="1"/>
  <c r="F50" i="106" a="1"/>
  <c r="F50" i="106" s="1"/>
  <c r="E50" i="106" a="1"/>
  <c r="E50" i="106" s="1"/>
  <c r="D50" i="106" a="1"/>
  <c r="D50" i="106" s="1"/>
  <c r="G49" i="106" a="1"/>
  <c r="G49" i="106" s="1"/>
  <c r="F49" i="106" a="1"/>
  <c r="F49" i="106" s="1"/>
  <c r="E49" i="106" a="1"/>
  <c r="E49" i="106" s="1"/>
  <c r="D49" i="106" a="1"/>
  <c r="D49" i="106" s="1"/>
  <c r="G48" i="106" a="1"/>
  <c r="G48" i="106" s="1"/>
  <c r="F48" i="106" a="1"/>
  <c r="F48" i="106" s="1"/>
  <c r="E48" i="106" a="1"/>
  <c r="E48" i="106" s="1"/>
  <c r="D48" i="106" a="1"/>
  <c r="D48" i="106" s="1"/>
  <c r="D46" i="106" a="1"/>
  <c r="D46" i="106" s="1"/>
  <c r="D45" i="106" a="1"/>
  <c r="D45" i="106" s="1"/>
  <c r="E43" i="106" a="1"/>
  <c r="E43" i="106" s="1"/>
  <c r="D43" i="106" a="1"/>
  <c r="D43" i="106" s="1"/>
  <c r="E42" i="106" a="1"/>
  <c r="E42" i="106" s="1"/>
  <c r="D42" i="106" a="1"/>
  <c r="D42" i="106" s="1"/>
  <c r="E41" i="106" a="1"/>
  <c r="E41" i="106" s="1"/>
  <c r="D41" i="106" a="1"/>
  <c r="D41" i="106" s="1"/>
  <c r="E40" i="106" a="1"/>
  <c r="E40" i="106" s="1"/>
  <c r="D40" i="106" a="1"/>
  <c r="D40" i="106" s="1"/>
  <c r="E39" i="106" a="1"/>
  <c r="E39" i="106" s="1"/>
  <c r="D39" i="106" a="1"/>
  <c r="D39" i="106" s="1"/>
  <c r="E38" i="106" a="1"/>
  <c r="E38" i="106" s="1"/>
  <c r="D38" i="106" a="1"/>
  <c r="D38" i="106" s="1"/>
  <c r="E37" i="106" a="1"/>
  <c r="E37" i="106" s="1"/>
  <c r="D37" i="106" a="1"/>
  <c r="D37" i="106" s="1"/>
  <c r="D35" i="106" a="1"/>
  <c r="D35" i="106" s="1"/>
  <c r="D34" i="106" a="1"/>
  <c r="D34" i="106" s="1"/>
  <c r="D30" i="106" a="1"/>
  <c r="D30" i="106" s="1"/>
  <c r="D29" i="106" a="1"/>
  <c r="D29" i="106" s="1"/>
  <c r="D28" i="106" a="1"/>
  <c r="D28" i="106" s="1"/>
  <c r="D27" i="106" a="1"/>
  <c r="D27" i="106" s="1"/>
  <c r="D26" i="106" a="1"/>
  <c r="D26" i="106" s="1"/>
  <c r="D25" i="106" a="1"/>
  <c r="D25" i="106" s="1"/>
  <c r="D24" i="106" a="1"/>
  <c r="D24" i="106" s="1"/>
  <c r="D23" i="106" a="1"/>
  <c r="D23" i="106" s="1"/>
  <c r="D22" i="106" a="1"/>
  <c r="D22" i="106" s="1"/>
  <c r="D21" i="106" a="1"/>
  <c r="D21" i="106" s="1"/>
  <c r="D19" i="106" a="1"/>
  <c r="D19" i="106" s="1"/>
  <c r="D18" i="106" a="1"/>
  <c r="D18" i="106" s="1"/>
  <c r="F14" i="106" a="1"/>
  <c r="F14" i="106" s="1"/>
  <c r="E14" i="106" a="1"/>
  <c r="E14" i="106" s="1"/>
  <c r="D14" i="106" a="1"/>
  <c r="D14" i="106" s="1"/>
  <c r="F13" i="106" a="1"/>
  <c r="F13" i="106" s="1"/>
  <c r="E13" i="106" a="1"/>
  <c r="E13" i="106" s="1"/>
  <c r="D13" i="106" a="1"/>
  <c r="D13" i="106" s="1"/>
  <c r="F12" i="106" a="1"/>
  <c r="F12" i="106" s="1"/>
  <c r="E12" i="106" a="1"/>
  <c r="E12" i="106" s="1"/>
  <c r="D12" i="106" a="1"/>
  <c r="D12" i="106" s="1"/>
  <c r="F11" i="106" a="1"/>
  <c r="F11" i="106" s="1"/>
  <c r="E11" i="106" a="1"/>
  <c r="E11" i="106" s="1"/>
  <c r="D11" i="106" a="1"/>
  <c r="D11" i="106" s="1"/>
  <c r="F10" i="106" a="1"/>
  <c r="F10" i="106" s="1"/>
  <c r="E10" i="106" a="1"/>
  <c r="E10" i="106" s="1"/>
  <c r="D10" i="106" a="1"/>
  <c r="D10" i="106" s="1"/>
  <c r="F9" i="106" a="1"/>
  <c r="F9" i="106" s="1"/>
  <c r="E9" i="106" a="1"/>
  <c r="E9" i="106" s="1"/>
  <c r="D9" i="106" a="1"/>
  <c r="D9" i="106" s="1"/>
  <c r="F8" i="106" a="1"/>
  <c r="F8" i="106" s="1"/>
  <c r="E8" i="106" a="1"/>
  <c r="E8" i="106" s="1"/>
  <c r="D8" i="106" a="1"/>
  <c r="D8" i="106" s="1"/>
  <c r="F7" i="106" a="1"/>
  <c r="F7" i="106" s="1"/>
  <c r="E7" i="106" a="1"/>
  <c r="E7" i="106" s="1"/>
  <c r="D7" i="106" a="1"/>
  <c r="D7" i="106" s="1"/>
  <c r="D5" i="106" a="1"/>
  <c r="D5" i="106" s="1"/>
  <c r="G13" i="105" a="1"/>
  <c r="G13" i="105" s="1"/>
  <c r="T22" i="105" s="1"/>
  <c r="D13" i="105" a="1"/>
  <c r="D13" i="105" s="1"/>
  <c r="I173" i="105" a="1"/>
  <c r="I173" i="105" s="1"/>
  <c r="I174" i="105" a="1"/>
  <c r="I174" i="105" s="1"/>
  <c r="I175" i="105" a="1"/>
  <c r="I175" i="105" s="1"/>
  <c r="I176" i="105" a="1"/>
  <c r="I176" i="105" s="1"/>
  <c r="I177" i="105" a="1"/>
  <c r="I177" i="105" s="1"/>
  <c r="G173" i="105" a="1"/>
  <c r="G173" i="105" s="1"/>
  <c r="D173" i="105" a="1"/>
  <c r="D173" i="105" s="1"/>
  <c r="I40" i="98" a="1"/>
  <c r="I40" i="98" s="1"/>
  <c r="G40" i="98" a="1"/>
  <c r="G40" i="98" s="1"/>
  <c r="D40" i="98" a="1"/>
  <c r="D40" i="98" s="1"/>
  <c r="I13" i="98" a="1"/>
  <c r="I13" i="98" s="1"/>
  <c r="G13" i="98" a="1"/>
  <c r="G13" i="98" s="1"/>
  <c r="R23" i="98" s="1"/>
  <c r="D13" i="98" a="1"/>
  <c r="D13" i="98" s="1"/>
  <c r="Q118" i="97" a="1"/>
  <c r="Q118" i="97" s="1"/>
  <c r="N118" i="97" a="1"/>
  <c r="N118" i="97" s="1"/>
  <c r="G118" i="97" a="1"/>
  <c r="G118" i="97" s="1"/>
  <c r="D118" i="97" a="1"/>
  <c r="D118" i="97" s="1"/>
  <c r="J13" i="97" a="1"/>
  <c r="J13" i="97" s="1"/>
  <c r="I13" i="97" a="1"/>
  <c r="I13" i="97" s="1"/>
  <c r="I14" i="97" a="1"/>
  <c r="I14" i="97" s="1"/>
  <c r="G13" i="97" a="1"/>
  <c r="G13" i="97" s="1"/>
  <c r="T32" i="97" s="1"/>
  <c r="D13" i="97" a="1"/>
  <c r="D13" i="97" s="1"/>
  <c r="I15" i="76" a="1"/>
  <c r="I15" i="76" s="1"/>
  <c r="I14" i="76" a="1"/>
  <c r="I14" i="76" s="1"/>
  <c r="I13" i="76" a="1"/>
  <c r="I13" i="76" s="1"/>
  <c r="G13" i="76" a="1"/>
  <c r="G13" i="76" s="1"/>
  <c r="H20" i="76" s="1"/>
  <c r="D13" i="76" a="1"/>
  <c r="D13" i="76" s="1"/>
  <c r="I48" i="76" a="1"/>
  <c r="I48" i="76" s="1"/>
  <c r="I47" i="76" a="1"/>
  <c r="I47" i="76" s="1"/>
  <c r="G47" i="76" a="1"/>
  <c r="G47" i="76" s="1"/>
  <c r="I53" i="76" s="1"/>
  <c r="D47" i="76" a="1"/>
  <c r="D47" i="76" s="1"/>
  <c r="I88" i="76" a="1"/>
  <c r="I88" i="76" s="1"/>
  <c r="I89" i="76" a="1"/>
  <c r="I89" i="76" s="1"/>
  <c r="I90" i="76" a="1"/>
  <c r="I90" i="76" s="1"/>
  <c r="G88" i="76" a="1"/>
  <c r="G88" i="76" s="1"/>
  <c r="D88" i="76" a="1"/>
  <c r="D88" i="76" s="1"/>
  <c r="J113" i="76" a="1"/>
  <c r="J113" i="76" s="1"/>
  <c r="I113" i="76" a="1"/>
  <c r="I113" i="76" s="1"/>
  <c r="I112" i="76" a="1"/>
  <c r="I112" i="76" s="1"/>
  <c r="G112" i="76" a="1"/>
  <c r="G112" i="76" s="1"/>
  <c r="D112" i="76" a="1"/>
  <c r="D112" i="76" s="1"/>
  <c r="I135" i="76" a="1"/>
  <c r="I135" i="76" s="1"/>
  <c r="I136" i="76" a="1"/>
  <c r="I136" i="76" s="1"/>
  <c r="I137" i="76" a="1"/>
  <c r="I137" i="76" s="1"/>
  <c r="G135" i="76" a="1"/>
  <c r="G135" i="76" s="1"/>
  <c r="D135" i="76" a="1"/>
  <c r="D135" i="76" s="1"/>
  <c r="I182" i="76" a="1"/>
  <c r="I182" i="76" s="1"/>
  <c r="I181" i="76" a="1"/>
  <c r="I181" i="76" s="1"/>
  <c r="G181" i="76" a="1"/>
  <c r="G181" i="76" s="1"/>
  <c r="D181" i="76" a="1"/>
  <c r="D181" i="76" s="1"/>
  <c r="J254" i="76" a="1"/>
  <c r="J254" i="76" s="1"/>
  <c r="I254" i="76" a="1"/>
  <c r="I254" i="76" s="1"/>
  <c r="I255" i="76" a="1"/>
  <c r="I255" i="76" s="1"/>
  <c r="G254" i="76" a="1"/>
  <c r="G254" i="76" s="1"/>
  <c r="D254" i="76" a="1"/>
  <c r="D254" i="76" s="1"/>
  <c r="I14" i="69" a="1"/>
  <c r="I14" i="69" s="1"/>
  <c r="I13" i="69" a="1"/>
  <c r="I13" i="69" s="1"/>
  <c r="I58" i="69" a="1"/>
  <c r="I58" i="69" s="1"/>
  <c r="I57" i="69" a="1"/>
  <c r="I57" i="69" s="1"/>
  <c r="I56" i="69" a="1"/>
  <c r="I56" i="69" s="1"/>
  <c r="I81" i="69" a="1"/>
  <c r="I81" i="69" s="1"/>
  <c r="J82" i="69" a="1"/>
  <c r="J82" i="69" s="1"/>
  <c r="I82" i="69" a="1"/>
  <c r="I82" i="69" s="1"/>
  <c r="I83" i="69" a="1"/>
  <c r="I83" i="69" s="1"/>
  <c r="I124" i="69" a="1"/>
  <c r="I124" i="69" s="1"/>
  <c r="I197" i="69" a="1"/>
  <c r="I197" i="69" s="1"/>
  <c r="J198" i="69" a="1"/>
  <c r="J198" i="69" s="1"/>
  <c r="I198" i="69" a="1"/>
  <c r="I198" i="69" s="1"/>
  <c r="I199" i="69" a="1"/>
  <c r="I199" i="69" s="1"/>
  <c r="J224" i="69" a="1"/>
  <c r="J224" i="69" s="1"/>
  <c r="I224" i="69" a="1"/>
  <c r="I224" i="69" s="1"/>
  <c r="I242" i="69" a="1"/>
  <c r="I242" i="69" s="1"/>
  <c r="I243" i="69" a="1"/>
  <c r="I243" i="69" s="1"/>
  <c r="I244" i="69" a="1"/>
  <c r="I244" i="69" s="1"/>
  <c r="G13" i="69" a="1"/>
  <c r="G13" i="69" s="1"/>
  <c r="I19" i="69" s="1"/>
  <c r="D13" i="69" a="1"/>
  <c r="D13" i="69" s="1"/>
  <c r="G56" i="69" a="1"/>
  <c r="G56" i="69" s="1"/>
  <c r="I63" i="69" s="1"/>
  <c r="D56" i="69" a="1"/>
  <c r="D56" i="69" s="1"/>
  <c r="G81" i="69" a="1"/>
  <c r="G81" i="69" s="1"/>
  <c r="R88" i="69" s="1"/>
  <c r="D81" i="69" a="1"/>
  <c r="D81" i="69" s="1"/>
  <c r="G121" i="69" a="1"/>
  <c r="G121" i="69" s="1"/>
  <c r="D121" i="69" a="1"/>
  <c r="D121" i="69" s="1"/>
  <c r="G197" i="69" a="1"/>
  <c r="G197" i="69" s="1"/>
  <c r="D197" i="69" a="1"/>
  <c r="D197" i="69" s="1"/>
  <c r="G224" i="69" a="1"/>
  <c r="G224" i="69" s="1"/>
  <c r="D224" i="69" a="1"/>
  <c r="D224" i="69" s="1"/>
  <c r="G242" i="69" a="1"/>
  <c r="G242" i="69" s="1"/>
  <c r="H249" i="69" s="1"/>
  <c r="D242" i="69" a="1"/>
  <c r="D242" i="69" s="1"/>
  <c r="E240" i="69" a="1"/>
  <c r="E240" i="69" s="1"/>
  <c r="E239" i="69" a="1"/>
  <c r="E239" i="69" s="1"/>
  <c r="D234" i="69" a="1"/>
  <c r="D234" i="69" s="1"/>
  <c r="D233" i="69" a="1"/>
  <c r="D233" i="69" s="1"/>
  <c r="E222" i="69" a="1"/>
  <c r="E222" i="69" s="1"/>
  <c r="E221" i="69" a="1"/>
  <c r="E221" i="69" s="1"/>
  <c r="D217" i="69" a="1"/>
  <c r="D217" i="69" s="1"/>
  <c r="D216" i="69" a="1"/>
  <c r="D216" i="69" s="1"/>
  <c r="D215" i="69" a="1"/>
  <c r="D215" i="69" s="1"/>
  <c r="E195" i="69" a="1"/>
  <c r="E195" i="69" s="1"/>
  <c r="E194" i="69" a="1"/>
  <c r="E194" i="69" s="1"/>
  <c r="D189" i="69" a="1"/>
  <c r="D189" i="69" s="1"/>
  <c r="D188" i="69" a="1"/>
  <c r="D188" i="69" s="1"/>
  <c r="E119" i="69" a="1"/>
  <c r="E119" i="69" s="1"/>
  <c r="E118" i="69" a="1"/>
  <c r="E118" i="69" s="1"/>
  <c r="D113" i="69" a="1"/>
  <c r="D113" i="69" s="1"/>
  <c r="D112" i="69" a="1"/>
  <c r="D112" i="69" s="1"/>
  <c r="E79" i="69" a="1"/>
  <c r="E79" i="69" s="1"/>
  <c r="E78" i="69" a="1"/>
  <c r="E78" i="69" s="1"/>
  <c r="D73" i="69" a="1"/>
  <c r="D73" i="69" s="1"/>
  <c r="D72" i="69" a="1"/>
  <c r="D72" i="69" s="1"/>
  <c r="E54" i="69" a="1"/>
  <c r="E54" i="69" s="1"/>
  <c r="E53" i="69" a="1"/>
  <c r="E53" i="69" s="1"/>
  <c r="D46" i="69" a="1"/>
  <c r="D46" i="69" s="1"/>
  <c r="D45" i="69" a="1"/>
  <c r="D45" i="69" s="1"/>
  <c r="E11" i="69" a="1"/>
  <c r="E11" i="69" s="1"/>
  <c r="E10" i="69" a="1"/>
  <c r="E10" i="69" s="1"/>
  <c r="D6" i="69" a="1"/>
  <c r="D6" i="69" s="1"/>
  <c r="D5" i="69" a="1"/>
  <c r="D5" i="69" s="1"/>
  <c r="F246" i="105"/>
  <c r="F241" i="105"/>
  <c r="F237" i="105"/>
  <c r="F233" i="105"/>
  <c r="F229" i="105"/>
  <c r="F224" i="105"/>
  <c r="F107" i="105"/>
  <c r="F102" i="105"/>
  <c r="F98" i="105"/>
  <c r="F94" i="105"/>
  <c r="F90" i="105"/>
  <c r="F85" i="105"/>
  <c r="L51" i="70"/>
  <c r="L59" i="70"/>
  <c r="L66" i="70"/>
  <c r="L73" i="70"/>
  <c r="L80" i="70"/>
  <c r="L88" i="70"/>
  <c r="I212" i="76"/>
  <c r="H212" i="76"/>
  <c r="G212" i="76"/>
  <c r="F212" i="76"/>
  <c r="I207" i="76"/>
  <c r="H207" i="76"/>
  <c r="G207" i="76"/>
  <c r="F207" i="76"/>
  <c r="I203" i="76"/>
  <c r="H203" i="76"/>
  <c r="G203" i="76"/>
  <c r="F203" i="76"/>
  <c r="I199" i="76"/>
  <c r="H199" i="76"/>
  <c r="G199" i="76"/>
  <c r="F199" i="76"/>
  <c r="I195" i="76"/>
  <c r="H195" i="76"/>
  <c r="G195" i="76"/>
  <c r="F195" i="76"/>
  <c r="I190" i="76"/>
  <c r="H190" i="76"/>
  <c r="G190" i="76"/>
  <c r="F190" i="76"/>
  <c r="E114" i="69" a="1"/>
  <c r="E33" i="15" l="1"/>
  <c r="E155" i="69"/>
  <c r="E30" i="15"/>
  <c r="I14" i="98"/>
  <c r="Q264" i="69"/>
  <c r="E31" i="15"/>
  <c r="E32" i="15" s="1"/>
  <c r="I119" i="97"/>
  <c r="E156" i="69"/>
  <c r="E157" i="69"/>
  <c r="E158" i="69"/>
  <c r="E159" i="69"/>
  <c r="E160" i="69"/>
  <c r="I41" i="98"/>
  <c r="G264" i="69"/>
  <c r="O155" i="69" a="1"/>
  <c r="O155" i="69" s="1"/>
  <c r="O157" i="69" a="1"/>
  <c r="O157" i="69" s="1"/>
  <c r="O158" i="69" a="1"/>
  <c r="O158" i="69" s="1"/>
  <c r="O159" i="69" a="1"/>
  <c r="O159" i="69" s="1"/>
  <c r="P155" i="69"/>
  <c r="H50" i="106"/>
  <c r="I42" i="98" s="1"/>
  <c r="H51" i="106"/>
  <c r="H52" i="106"/>
  <c r="F62" i="97"/>
  <c r="I23" i="98"/>
  <c r="F112" i="105"/>
  <c r="I22" i="97"/>
  <c r="J22" i="105"/>
  <c r="J32" i="97"/>
  <c r="J52" i="105"/>
  <c r="S22" i="97"/>
  <c r="T52" i="105"/>
  <c r="H88" i="69"/>
  <c r="J131" i="69"/>
  <c r="F155" i="69"/>
  <c r="H53" i="106"/>
  <c r="G82" i="105"/>
  <c r="F123" i="105"/>
  <c r="H49" i="106"/>
  <c r="H54" i="106"/>
  <c r="H48" i="106"/>
  <c r="R25" i="76"/>
  <c r="F142" i="76"/>
  <c r="I62" i="76"/>
  <c r="S62" i="76"/>
  <c r="H30" i="76"/>
  <c r="H25" i="76"/>
  <c r="F153" i="76"/>
  <c r="J187" i="76"/>
  <c r="I28" i="69"/>
  <c r="S28" i="69"/>
  <c r="F93" i="69"/>
  <c r="H254" i="69"/>
  <c r="E114" i="69"/>
  <c r="I120" i="97" l="1"/>
  <c r="I256" i="76"/>
  <c r="E27" i="70"/>
  <c r="I17" i="105" l="1" a="1"/>
  <c r="I17" i="105" s="1"/>
  <c r="I16" i="105" a="1"/>
  <c r="I16" i="105" s="1"/>
  <c r="I15" i="105" a="1"/>
  <c r="I15" i="105" s="1"/>
  <c r="I14" i="105" a="1"/>
  <c r="I14" i="105" s="1"/>
  <c r="I13" i="105" a="1"/>
  <c r="I13" i="105" s="1"/>
  <c r="E175" i="76" a="1"/>
  <c r="E175" i="76" l="1"/>
  <c r="A22" i="13" l="1"/>
  <c r="A21" i="13"/>
  <c r="A20" i="13"/>
  <c r="A19" i="13"/>
  <c r="A16" i="13"/>
  <c r="A15" i="13"/>
  <c r="A14" i="13"/>
  <c r="A12" i="13"/>
  <c r="A9" i="13"/>
  <c r="A8" i="13"/>
  <c r="A5" i="13"/>
  <c r="A3" i="13"/>
  <c r="F106" i="105"/>
  <c r="F105" i="105"/>
  <c r="F104" i="105"/>
  <c r="F103" i="105"/>
  <c r="F101" i="105"/>
  <c r="F100" i="105"/>
  <c r="F99" i="105"/>
  <c r="F97" i="105"/>
  <c r="F96" i="105"/>
  <c r="F95" i="105"/>
  <c r="F93" i="105"/>
  <c r="F92" i="105"/>
  <c r="F91" i="105"/>
  <c r="F89" i="105"/>
  <c r="F88" i="105"/>
  <c r="F87" i="105"/>
  <c r="F86" i="105"/>
  <c r="F84" i="105"/>
  <c r="F83" i="105"/>
  <c r="F82" i="105"/>
  <c r="F245" i="105"/>
  <c r="F244" i="105"/>
  <c r="F243" i="105"/>
  <c r="F242" i="105"/>
  <c r="F240" i="105"/>
  <c r="F239" i="105"/>
  <c r="F238" i="105"/>
  <c r="F236" i="105"/>
  <c r="F235" i="105"/>
  <c r="F234" i="105"/>
  <c r="F232" i="105"/>
  <c r="F231" i="105"/>
  <c r="F230" i="105"/>
  <c r="F228" i="105"/>
  <c r="F227" i="105"/>
  <c r="F226" i="105"/>
  <c r="F225" i="105"/>
  <c r="F223" i="105"/>
  <c r="F222" i="105"/>
  <c r="F221" i="105"/>
  <c r="D213" i="105"/>
  <c r="E171" i="105" a="1"/>
  <c r="E171" i="105" s="1"/>
  <c r="E170" i="105" a="1"/>
  <c r="E170" i="105" s="1"/>
  <c r="D166" i="105" a="1"/>
  <c r="D166" i="105" s="1"/>
  <c r="D165" i="105" a="1"/>
  <c r="D165" i="105" s="1"/>
  <c r="E167" i="105" a="1"/>
  <c r="J182" i="105" l="1"/>
  <c r="T182" i="105"/>
  <c r="E167" i="105"/>
  <c r="D5" i="105" l="1" a="1"/>
  <c r="D5" i="105" s="1"/>
  <c r="G93" i="79" a="1"/>
  <c r="G93" i="79" s="1"/>
  <c r="G92" i="79" a="1"/>
  <c r="G92" i="79" s="1"/>
  <c r="G91" i="79" a="1"/>
  <c r="G91" i="79" s="1"/>
  <c r="G90" i="79" a="1"/>
  <c r="G90" i="79" s="1"/>
  <c r="D93" i="79" a="1"/>
  <c r="D93" i="79" s="1"/>
  <c r="E11" i="105" a="1"/>
  <c r="E11" i="105" s="1"/>
  <c r="E10" i="105" a="1"/>
  <c r="E10" i="105" s="1"/>
  <c r="D6" i="105" a="1"/>
  <c r="D6" i="105" s="1"/>
  <c r="O54" i="98" a="1"/>
  <c r="O54" i="98" s="1"/>
  <c r="M51" i="98" a="1"/>
  <c r="M51" i="98" s="1"/>
  <c r="O49" i="98"/>
  <c r="F54" i="98" a="1"/>
  <c r="F54" i="98" s="1"/>
  <c r="D51" i="98" a="1"/>
  <c r="D51" i="98" s="1"/>
  <c r="E38" i="98" a="1"/>
  <c r="E38" i="98" s="1"/>
  <c r="R47" i="98" s="1"/>
  <c r="E37" i="98" a="1"/>
  <c r="E37" i="98" s="1"/>
  <c r="D33" i="98" a="1"/>
  <c r="D33" i="98" s="1"/>
  <c r="D32" i="98" a="1"/>
  <c r="D32" i="98" s="1"/>
  <c r="D16" i="79" a="1"/>
  <c r="D16" i="79" s="1"/>
  <c r="F17" i="79" a="1"/>
  <c r="F17" i="79" s="1"/>
  <c r="E17" i="79" a="1"/>
  <c r="E17" i="79" s="1"/>
  <c r="I15" i="98" s="1"/>
  <c r="D17" i="79" a="1"/>
  <c r="D17" i="79" s="1"/>
  <c r="D15" i="79" a="1"/>
  <c r="D15" i="79" s="1"/>
  <c r="D14" i="79" a="1"/>
  <c r="D14" i="79" s="1"/>
  <c r="I18" i="98"/>
  <c r="I17" i="98"/>
  <c r="I16" i="98"/>
  <c r="E11" i="98" a="1"/>
  <c r="E11" i="98" s="1"/>
  <c r="R28" i="98" s="1"/>
  <c r="E10" i="98" a="1"/>
  <c r="E10" i="98" s="1"/>
  <c r="D6" i="98" a="1"/>
  <c r="D6" i="98" s="1"/>
  <c r="D5" i="98" a="1"/>
  <c r="D5" i="98" s="1"/>
  <c r="O116" i="97" a="1"/>
  <c r="O116" i="97" s="1"/>
  <c r="P125" i="97" s="1"/>
  <c r="E116" i="97" a="1"/>
  <c r="E116" i="97" s="1"/>
  <c r="F125" i="97" s="1"/>
  <c r="O115" i="97" a="1"/>
  <c r="O115" i="97" s="1"/>
  <c r="E115" i="97" a="1"/>
  <c r="E115" i="97" s="1"/>
  <c r="N111" i="97" a="1"/>
  <c r="N111" i="97" s="1"/>
  <c r="D111" i="97" a="1"/>
  <c r="D111" i="97" s="1"/>
  <c r="N110" i="97" a="1"/>
  <c r="N110" i="97" s="1"/>
  <c r="D110" i="97" a="1"/>
  <c r="D110" i="97" s="1"/>
  <c r="E11" i="97" a="1"/>
  <c r="E11" i="97" s="1"/>
  <c r="E10" i="97" a="1"/>
  <c r="E10" i="97" s="1"/>
  <c r="D6" i="97" a="1"/>
  <c r="D6" i="97" s="1"/>
  <c r="D5" i="97" a="1"/>
  <c r="D5" i="97" s="1"/>
  <c r="P130" i="97" a="1"/>
  <c r="P130" i="97" s="1"/>
  <c r="N127" i="97" a="1"/>
  <c r="N127" i="97" s="1"/>
  <c r="P302" i="76" a="1"/>
  <c r="P302" i="76" s="1"/>
  <c r="N299" i="76" a="1"/>
  <c r="N299" i="76" s="1"/>
  <c r="R66" i="76"/>
  <c r="Q66" i="76"/>
  <c r="P66" i="76"/>
  <c r="R65" i="76"/>
  <c r="Q65" i="76"/>
  <c r="P65" i="76"/>
  <c r="R64" i="76"/>
  <c r="Q64" i="76"/>
  <c r="P64" i="76"/>
  <c r="R63" i="76"/>
  <c r="Q63" i="76"/>
  <c r="P63" i="76"/>
  <c r="R62" i="76"/>
  <c r="Q62" i="76"/>
  <c r="P62" i="76"/>
  <c r="O66" i="76"/>
  <c r="O65" i="76"/>
  <c r="O64" i="76"/>
  <c r="O63" i="76"/>
  <c r="O62" i="76"/>
  <c r="F130" i="97" a="1"/>
  <c r="F130" i="97" s="1"/>
  <c r="D127" i="97" a="1"/>
  <c r="D127" i="97" s="1"/>
  <c r="I122" i="97"/>
  <c r="I121" i="97"/>
  <c r="F302" i="76" a="1"/>
  <c r="F302" i="76" s="1"/>
  <c r="D299" i="76" a="1"/>
  <c r="D299" i="76" s="1"/>
  <c r="O112" i="97" a="1"/>
  <c r="E7" i="105" a="1"/>
  <c r="E7" i="97" a="1"/>
  <c r="E248" i="76" a="1"/>
  <c r="E7" i="98" a="1"/>
  <c r="E112" i="97" a="1"/>
  <c r="E34" i="98" a="1"/>
  <c r="J251" i="105" l="1"/>
  <c r="T134" i="105"/>
  <c r="I47" i="98"/>
  <c r="P106" i="97"/>
  <c r="T251" i="105"/>
  <c r="F278" i="105"/>
  <c r="F18" i="13" s="1"/>
  <c r="F209" i="105"/>
  <c r="F19" i="13" s="1"/>
  <c r="P209" i="105"/>
  <c r="P278" i="105"/>
  <c r="P161" i="105"/>
  <c r="F161" i="105"/>
  <c r="F17" i="13" s="1"/>
  <c r="J134" i="105"/>
  <c r="E7" i="105"/>
  <c r="I28" i="98"/>
  <c r="F49" i="98"/>
  <c r="E34" i="98"/>
  <c r="E7" i="98"/>
  <c r="J73" i="97"/>
  <c r="T73" i="97"/>
  <c r="F106" i="97"/>
  <c r="O112" i="97"/>
  <c r="E112" i="97"/>
  <c r="E7" i="97"/>
  <c r="E248" i="76"/>
  <c r="E252" i="76" l="1" a="1"/>
  <c r="E252" i="76" s="1"/>
  <c r="T264" i="76" s="1"/>
  <c r="E251" i="76" a="1"/>
  <c r="E251" i="76" s="1"/>
  <c r="D247" i="76" a="1"/>
  <c r="D247" i="76" s="1"/>
  <c r="D246" i="76" a="1"/>
  <c r="D246" i="76" s="1"/>
  <c r="I211" i="76"/>
  <c r="H211" i="76"/>
  <c r="G211" i="76"/>
  <c r="F211" i="76"/>
  <c r="I210" i="76"/>
  <c r="H210" i="76"/>
  <c r="G210" i="76"/>
  <c r="F210" i="76"/>
  <c r="I209" i="76"/>
  <c r="H209" i="76"/>
  <c r="G209" i="76"/>
  <c r="F209" i="76"/>
  <c r="I208" i="76"/>
  <c r="H208" i="76"/>
  <c r="G208" i="76"/>
  <c r="F208" i="76"/>
  <c r="I206" i="76"/>
  <c r="H206" i="76"/>
  <c r="G206" i="76"/>
  <c r="F206" i="76"/>
  <c r="I205" i="76"/>
  <c r="H205" i="76"/>
  <c r="G205" i="76"/>
  <c r="F205" i="76"/>
  <c r="I204" i="76"/>
  <c r="H204" i="76"/>
  <c r="G204" i="76"/>
  <c r="I202" i="76"/>
  <c r="H202" i="76"/>
  <c r="G202" i="76"/>
  <c r="F202" i="76"/>
  <c r="I201" i="76"/>
  <c r="H201" i="76"/>
  <c r="G201" i="76"/>
  <c r="F201" i="76"/>
  <c r="I200" i="76"/>
  <c r="H200" i="76"/>
  <c r="G200" i="76"/>
  <c r="F200" i="76"/>
  <c r="F204" i="76"/>
  <c r="I198" i="76"/>
  <c r="H198" i="76"/>
  <c r="G198" i="76"/>
  <c r="F198" i="76"/>
  <c r="I197" i="76"/>
  <c r="H197" i="76"/>
  <c r="G197" i="76"/>
  <c r="F197" i="76"/>
  <c r="I196" i="76"/>
  <c r="H196" i="76"/>
  <c r="G196" i="76"/>
  <c r="F196" i="76"/>
  <c r="I194" i="76"/>
  <c r="H194" i="76"/>
  <c r="G194" i="76"/>
  <c r="F194" i="76"/>
  <c r="I193" i="76"/>
  <c r="H193" i="76"/>
  <c r="G193" i="76"/>
  <c r="F193" i="76"/>
  <c r="I192" i="76"/>
  <c r="H192" i="76"/>
  <c r="G192" i="76"/>
  <c r="F192" i="76"/>
  <c r="I191" i="76"/>
  <c r="H191" i="76"/>
  <c r="G191" i="76"/>
  <c r="F191" i="76"/>
  <c r="I189" i="76"/>
  <c r="H189" i="76"/>
  <c r="G189" i="76"/>
  <c r="F189" i="76"/>
  <c r="I188" i="76"/>
  <c r="H188" i="76"/>
  <c r="G188" i="76"/>
  <c r="F188" i="76"/>
  <c r="I187" i="76"/>
  <c r="H187" i="76"/>
  <c r="G187" i="76"/>
  <c r="F187" i="76"/>
  <c r="E179" i="76" a="1"/>
  <c r="E179" i="76" s="1"/>
  <c r="E178" i="76" a="1"/>
  <c r="E178" i="76" s="1"/>
  <c r="D174" i="76" a="1"/>
  <c r="D174" i="76" s="1"/>
  <c r="D173" i="76" a="1"/>
  <c r="D173" i="76" s="1"/>
  <c r="E133" i="76" a="1"/>
  <c r="E133" i="76" s="1"/>
  <c r="E132" i="76" a="1"/>
  <c r="E132" i="76" s="1"/>
  <c r="D128" i="76" a="1"/>
  <c r="D128" i="76" s="1"/>
  <c r="D127" i="76" a="1"/>
  <c r="D127" i="76" s="1"/>
  <c r="D81" i="76" a="1"/>
  <c r="D81" i="76" s="1"/>
  <c r="H95" i="76"/>
  <c r="G95" i="76"/>
  <c r="F95" i="76"/>
  <c r="E95" i="76"/>
  <c r="E86" i="76" a="1"/>
  <c r="E86" i="76" s="1"/>
  <c r="S100" i="76" s="1"/>
  <c r="E85" i="76" a="1"/>
  <c r="E85" i="76" s="1"/>
  <c r="D80" i="76" a="1"/>
  <c r="D80" i="76" s="1"/>
  <c r="D79" i="76" a="1"/>
  <c r="D79" i="76" s="1"/>
  <c r="D104" i="76" a="1"/>
  <c r="D104" i="76" s="1"/>
  <c r="D105" i="76" a="1"/>
  <c r="D105" i="76" s="1"/>
  <c r="H66" i="76"/>
  <c r="G66" i="76"/>
  <c r="F66" i="76"/>
  <c r="E66" i="76"/>
  <c r="H65" i="76"/>
  <c r="G65" i="76"/>
  <c r="F65" i="76"/>
  <c r="E65" i="76"/>
  <c r="H64" i="76"/>
  <c r="G64" i="76"/>
  <c r="F64" i="76"/>
  <c r="E64" i="76"/>
  <c r="H63" i="76"/>
  <c r="G63" i="76"/>
  <c r="F63" i="76"/>
  <c r="E63" i="76"/>
  <c r="H62" i="76"/>
  <c r="G62" i="76"/>
  <c r="F62" i="76"/>
  <c r="E62" i="76"/>
  <c r="H57" i="76"/>
  <c r="G57" i="76"/>
  <c r="Q75" i="76" s="1" a="1"/>
  <c r="Q75" i="76" s="1"/>
  <c r="F57" i="76"/>
  <c r="P75" i="76" s="1" a="1"/>
  <c r="P75" i="76" s="1"/>
  <c r="E57" i="76"/>
  <c r="H56" i="76"/>
  <c r="R74" i="76" s="1" a="1"/>
  <c r="R74" i="76" s="1"/>
  <c r="G56" i="76"/>
  <c r="Q74" i="76" s="1" a="1"/>
  <c r="Q74" i="76" s="1"/>
  <c r="F56" i="76"/>
  <c r="P74" i="76" s="1" a="1"/>
  <c r="P74" i="76" s="1"/>
  <c r="E56" i="76"/>
  <c r="H55" i="76"/>
  <c r="G55" i="76"/>
  <c r="Q73" i="76" s="1" a="1"/>
  <c r="Q73" i="76" s="1"/>
  <c r="F55" i="76"/>
  <c r="P73" i="76" s="1" a="1"/>
  <c r="P73" i="76" s="1"/>
  <c r="E55" i="76"/>
  <c r="O73" i="76" s="1" a="1"/>
  <c r="O73" i="76" s="1"/>
  <c r="H54" i="76"/>
  <c r="R72" i="76" s="1" a="1"/>
  <c r="R72" i="76" s="1"/>
  <c r="G54" i="76"/>
  <c r="Q72" i="76" s="1" a="1"/>
  <c r="Q72" i="76" s="1"/>
  <c r="F54" i="76"/>
  <c r="E54" i="76"/>
  <c r="H53" i="76"/>
  <c r="R71" i="76" s="1" a="1"/>
  <c r="R71" i="76" s="1"/>
  <c r="G53" i="76"/>
  <c r="Q71" i="76" s="1" a="1"/>
  <c r="Q71" i="76" s="1"/>
  <c r="F53" i="76"/>
  <c r="P71" i="76" s="1" a="1"/>
  <c r="P71" i="76" s="1"/>
  <c r="E53" i="76"/>
  <c r="O71" i="76" s="1" a="1"/>
  <c r="O71" i="76" s="1"/>
  <c r="E45" i="76" a="1"/>
  <c r="E45" i="76" s="1"/>
  <c r="E44" i="76" a="1"/>
  <c r="E44" i="76" s="1"/>
  <c r="D40" i="76" a="1"/>
  <c r="D40" i="76" s="1"/>
  <c r="D39" i="76" a="1"/>
  <c r="D39" i="76" s="1"/>
  <c r="G30" i="76"/>
  <c r="F30" i="76"/>
  <c r="E30" i="76"/>
  <c r="D30" i="76"/>
  <c r="F117" i="79" a="1"/>
  <c r="F117" i="79" s="1"/>
  <c r="E117" i="79" a="1"/>
  <c r="E117" i="79" s="1"/>
  <c r="D117" i="79" a="1"/>
  <c r="D117" i="79" s="1"/>
  <c r="F116" i="79" a="1"/>
  <c r="F116" i="79" s="1"/>
  <c r="E116" i="79" a="1"/>
  <c r="E116" i="79" s="1"/>
  <c r="D116" i="79" a="1"/>
  <c r="D116" i="79" s="1"/>
  <c r="F115" i="79" a="1"/>
  <c r="F115" i="79" s="1"/>
  <c r="E115" i="79" a="1"/>
  <c r="E115" i="79" s="1"/>
  <c r="D115" i="79" a="1"/>
  <c r="D115" i="79" s="1"/>
  <c r="F114" i="79" a="1"/>
  <c r="F114" i="79" s="1"/>
  <c r="E114" i="79" a="1"/>
  <c r="E114" i="79" s="1"/>
  <c r="D114" i="79" a="1"/>
  <c r="D114" i="79" s="1"/>
  <c r="F113" i="79" a="1"/>
  <c r="F113" i="79" s="1"/>
  <c r="E113" i="79" a="1"/>
  <c r="E113" i="79" s="1"/>
  <c r="D113" i="79" a="1"/>
  <c r="D113" i="79" s="1"/>
  <c r="F112" i="79" a="1"/>
  <c r="F112" i="79" s="1"/>
  <c r="E112" i="79" a="1"/>
  <c r="E112" i="79" s="1"/>
  <c r="D112" i="79" a="1"/>
  <c r="D112" i="79" s="1"/>
  <c r="D110" i="79" a="1"/>
  <c r="D110" i="79" s="1"/>
  <c r="D109" i="79" a="1"/>
  <c r="D109" i="79" s="1"/>
  <c r="D108" i="79" a="1"/>
  <c r="D108" i="79" s="1"/>
  <c r="D105" i="79" a="1"/>
  <c r="D105" i="79" s="1"/>
  <c r="E105" i="79" a="1"/>
  <c r="E105" i="79" s="1"/>
  <c r="F105" i="79" a="1"/>
  <c r="F105" i="79" s="1"/>
  <c r="D104" i="79" a="1"/>
  <c r="D104" i="79" s="1"/>
  <c r="E104" i="79" a="1"/>
  <c r="E104" i="79" s="1"/>
  <c r="F104" i="79" a="1"/>
  <c r="F104" i="79" s="1"/>
  <c r="D103" i="79" a="1"/>
  <c r="D103" i="79" s="1"/>
  <c r="E103" i="79" a="1"/>
  <c r="E103" i="79" s="1"/>
  <c r="F103" i="79" a="1"/>
  <c r="F103" i="79" s="1"/>
  <c r="D102" i="79" a="1"/>
  <c r="D102" i="79" s="1"/>
  <c r="E102" i="79" a="1"/>
  <c r="E102" i="79" s="1"/>
  <c r="F102" i="79" a="1"/>
  <c r="F102" i="79" s="1"/>
  <c r="D101" i="79" a="1"/>
  <c r="D101" i="79" s="1"/>
  <c r="E101" i="79" a="1"/>
  <c r="E101" i="79" s="1"/>
  <c r="F101" i="79" a="1"/>
  <c r="F101" i="79" s="1"/>
  <c r="F100" i="79" a="1"/>
  <c r="F100" i="79" s="1"/>
  <c r="E100" i="79" a="1"/>
  <c r="E100" i="79" s="1"/>
  <c r="D100" i="79" a="1"/>
  <c r="D100" i="79" s="1"/>
  <c r="D98" i="79" a="1"/>
  <c r="D98" i="79" s="1"/>
  <c r="D97" i="79" a="1"/>
  <c r="D97" i="79" s="1"/>
  <c r="D96" i="79" a="1"/>
  <c r="D96" i="79" s="1"/>
  <c r="E82" i="79" a="1"/>
  <c r="E82" i="79" s="1"/>
  <c r="D82" i="79" a="1"/>
  <c r="D82" i="79" s="1"/>
  <c r="E81" i="79" a="1"/>
  <c r="E81" i="79" s="1"/>
  <c r="D81" i="79" a="1"/>
  <c r="D81" i="79" s="1"/>
  <c r="E80" i="79" a="1"/>
  <c r="E80" i="79" s="1"/>
  <c r="D80" i="79" a="1"/>
  <c r="D80" i="79" s="1"/>
  <c r="E79" i="79" a="1"/>
  <c r="E79" i="79" s="1"/>
  <c r="D79" i="79" a="1"/>
  <c r="D79" i="79" s="1"/>
  <c r="D76" i="79" a="1"/>
  <c r="D76" i="79" s="1"/>
  <c r="D75" i="79" a="1"/>
  <c r="D75" i="79" s="1"/>
  <c r="D74" i="79" a="1"/>
  <c r="D74" i="79" s="1"/>
  <c r="F93" i="79" a="1"/>
  <c r="F93" i="79" s="1"/>
  <c r="E93" i="79" a="1"/>
  <c r="E93" i="79" s="1"/>
  <c r="F92" i="79" a="1"/>
  <c r="F92" i="79" s="1"/>
  <c r="E92" i="79" a="1"/>
  <c r="E92" i="79" s="1"/>
  <c r="D92" i="79" a="1"/>
  <c r="D92" i="79" s="1"/>
  <c r="F91" i="79" a="1"/>
  <c r="F91" i="79" s="1"/>
  <c r="E91" i="79" a="1"/>
  <c r="E91" i="79" s="1"/>
  <c r="D91" i="79" a="1"/>
  <c r="D91" i="79" s="1"/>
  <c r="F90" i="79" a="1"/>
  <c r="F90" i="79" s="1"/>
  <c r="E90" i="79" a="1"/>
  <c r="E90" i="79" s="1"/>
  <c r="D90" i="79" a="1"/>
  <c r="D90" i="79" s="1"/>
  <c r="D87" i="79" a="1"/>
  <c r="D87" i="79" s="1"/>
  <c r="D86" i="79" a="1"/>
  <c r="D86" i="79" s="1"/>
  <c r="D85" i="79" a="1"/>
  <c r="D85" i="79" s="1"/>
  <c r="G20" i="76"/>
  <c r="F20" i="76"/>
  <c r="E20" i="76"/>
  <c r="D20" i="76"/>
  <c r="G254" i="69"/>
  <c r="F254" i="69"/>
  <c r="E254" i="69"/>
  <c r="D254" i="69"/>
  <c r="E11" i="76" a="1"/>
  <c r="E11" i="76" s="1"/>
  <c r="E10" i="76" a="1"/>
  <c r="E10" i="76" s="1"/>
  <c r="D6" i="76" a="1"/>
  <c r="D6" i="76" s="1"/>
  <c r="D5" i="76" a="1"/>
  <c r="D5" i="76" s="1"/>
  <c r="E110" i="76" a="1"/>
  <c r="E110" i="76" s="1"/>
  <c r="E109" i="76" a="1"/>
  <c r="E109" i="76" s="1"/>
  <c r="P266" i="69" a="1"/>
  <c r="P266" i="69" s="1"/>
  <c r="N263" i="69" a="1"/>
  <c r="N263" i="69" s="1"/>
  <c r="I143" i="69"/>
  <c r="H143" i="69"/>
  <c r="G143" i="69"/>
  <c r="F143" i="69"/>
  <c r="I142" i="69"/>
  <c r="H142" i="69"/>
  <c r="G142" i="69"/>
  <c r="F142" i="69"/>
  <c r="I141" i="69"/>
  <c r="H141" i="69"/>
  <c r="G141" i="69"/>
  <c r="F141" i="69"/>
  <c r="I140" i="69"/>
  <c r="H140" i="69"/>
  <c r="G140" i="69"/>
  <c r="F140" i="69"/>
  <c r="I139" i="69"/>
  <c r="H139" i="69"/>
  <c r="G139" i="69"/>
  <c r="F139" i="69"/>
  <c r="I138" i="69"/>
  <c r="H138" i="69"/>
  <c r="G138" i="69"/>
  <c r="F138" i="69"/>
  <c r="R32" i="69"/>
  <c r="Q32" i="69"/>
  <c r="P32" i="69"/>
  <c r="R31" i="69"/>
  <c r="Q31" i="69"/>
  <c r="P31" i="69"/>
  <c r="R30" i="69"/>
  <c r="Q30" i="69"/>
  <c r="P30" i="69"/>
  <c r="R29" i="69"/>
  <c r="Q29" i="69"/>
  <c r="P29" i="69"/>
  <c r="O32" i="69"/>
  <c r="O31" i="69"/>
  <c r="O30" i="69"/>
  <c r="O29" i="69"/>
  <c r="R28" i="69"/>
  <c r="Q28" i="69"/>
  <c r="P28" i="69"/>
  <c r="O28" i="69"/>
  <c r="E82" i="76" a="1"/>
  <c r="E129" i="76" a="1"/>
  <c r="E106" i="76" a="1"/>
  <c r="E7" i="76" a="1"/>
  <c r="E41" i="76" a="1"/>
  <c r="E71" i="76" l="1" a="1"/>
  <c r="E71" i="76" s="1"/>
  <c r="H35" i="76"/>
  <c r="R35" i="76"/>
  <c r="G21" i="70" a="1"/>
  <c r="G21" i="70" s="1"/>
  <c r="P25" i="76" s="1"/>
  <c r="P35" i="76" s="1" a="1"/>
  <c r="P35" i="76" s="1"/>
  <c r="G17" i="70" a="1"/>
  <c r="G17" i="70" s="1"/>
  <c r="F25" i="76" s="1"/>
  <c r="F35" i="76" s="1" a="1"/>
  <c r="F35" i="76" s="1"/>
  <c r="H17" i="70" a="1"/>
  <c r="H17" i="70" s="1"/>
  <c r="G25" i="76" s="1"/>
  <c r="G35" i="76" s="1" a="1"/>
  <c r="G35" i="76" s="1"/>
  <c r="H21" i="70" a="1"/>
  <c r="H21" i="70" s="1"/>
  <c r="Q25" i="76" s="1"/>
  <c r="Q35" i="76" s="1" a="1"/>
  <c r="Q35" i="76" s="1"/>
  <c r="E21" i="70" a="1"/>
  <c r="E21" i="70" s="1"/>
  <c r="N25" i="76" s="1"/>
  <c r="N35" i="76" s="1" a="1"/>
  <c r="N35" i="76" s="1"/>
  <c r="E17" i="70" a="1"/>
  <c r="E17" i="70" s="1"/>
  <c r="D25" i="76" s="1"/>
  <c r="D35" i="76" s="1" a="1"/>
  <c r="D35" i="76" s="1"/>
  <c r="F17" i="70" a="1"/>
  <c r="F17" i="70" s="1"/>
  <c r="E25" i="76" s="1"/>
  <c r="E35" i="76" s="1" a="1"/>
  <c r="E35" i="76" s="1"/>
  <c r="F21" i="70" a="1"/>
  <c r="F21" i="70" s="1"/>
  <c r="O25" i="76" s="1"/>
  <c r="O35" i="76" s="1" a="1"/>
  <c r="O35" i="76" s="1"/>
  <c r="H72" i="76" a="1"/>
  <c r="H72" i="76" s="1"/>
  <c r="O100" i="76" a="1"/>
  <c r="O100" i="76" s="1"/>
  <c r="H75" i="76" a="1"/>
  <c r="H75" i="76" s="1"/>
  <c r="R75" i="76" a="1"/>
  <c r="R75" i="76" s="1"/>
  <c r="P100" i="76" a="1"/>
  <c r="P100" i="76" s="1"/>
  <c r="S118" i="76"/>
  <c r="S164" i="76"/>
  <c r="T217" i="76"/>
  <c r="P297" i="76"/>
  <c r="E74" i="76" a="1"/>
  <c r="E74" i="76" s="1"/>
  <c r="O74" i="76" a="1"/>
  <c r="O74" i="76" s="1"/>
  <c r="I100" i="76"/>
  <c r="E75" i="76" a="1"/>
  <c r="E75" i="76" s="1"/>
  <c r="O75" i="76" a="1"/>
  <c r="O75" i="76" s="1"/>
  <c r="R100" i="76" a="1"/>
  <c r="R100" i="76" s="1"/>
  <c r="H73" i="76" a="1"/>
  <c r="H73" i="76" s="1"/>
  <c r="R73" i="76" a="1"/>
  <c r="R73" i="76" s="1"/>
  <c r="E72" i="76" a="1"/>
  <c r="E72" i="76" s="1"/>
  <c r="O72" i="76" a="1"/>
  <c r="O72" i="76" s="1"/>
  <c r="F72" i="76" a="1"/>
  <c r="F72" i="76" s="1"/>
  <c r="P72" i="76" a="1"/>
  <c r="P72" i="76" s="1"/>
  <c r="S71" i="76"/>
  <c r="Q100" i="76" a="1"/>
  <c r="Q100" i="76" s="1"/>
  <c r="G100" i="76" a="1"/>
  <c r="G100" i="76" s="1"/>
  <c r="I118" i="76"/>
  <c r="G75" i="76" a="1"/>
  <c r="G75" i="76" s="1"/>
  <c r="G73" i="76" a="1"/>
  <c r="G73" i="76" s="1"/>
  <c r="F297" i="76"/>
  <c r="J264" i="76"/>
  <c r="E73" i="76" a="1"/>
  <c r="E73" i="76" s="1"/>
  <c r="F74" i="76" a="1"/>
  <c r="F74" i="76" s="1"/>
  <c r="E100" i="76" a="1"/>
  <c r="E100" i="76" s="1"/>
  <c r="G74" i="76" a="1"/>
  <c r="G74" i="76" s="1"/>
  <c r="F100" i="76" a="1"/>
  <c r="F100" i="76" s="1"/>
  <c r="I164" i="76"/>
  <c r="F71" i="76" a="1"/>
  <c r="F71" i="76" s="1"/>
  <c r="H74" i="76" a="1"/>
  <c r="H74" i="76" s="1"/>
  <c r="G71" i="76" a="1"/>
  <c r="G71" i="76" s="1"/>
  <c r="H71" i="76" a="1"/>
  <c r="H71" i="76" s="1"/>
  <c r="F75" i="76" a="1"/>
  <c r="F75" i="76" s="1"/>
  <c r="H100" i="76" a="1"/>
  <c r="H100" i="76" s="1"/>
  <c r="J217" i="76"/>
  <c r="F73" i="76" a="1"/>
  <c r="F73" i="76" s="1"/>
  <c r="G72" i="76" a="1"/>
  <c r="G72" i="76" s="1"/>
  <c r="E129" i="76"/>
  <c r="E106" i="76"/>
  <c r="I71" i="76"/>
  <c r="E82" i="76"/>
  <c r="E41" i="76"/>
  <c r="E7" i="76"/>
  <c r="D10" i="70"/>
  <c r="D11" i="70"/>
  <c r="G249" i="69"/>
  <c r="F249" i="69"/>
  <c r="E249" i="69"/>
  <c r="D249" i="69"/>
  <c r="I126" i="69"/>
  <c r="I150" i="69"/>
  <c r="H150" i="69"/>
  <c r="G150" i="69"/>
  <c r="F150" i="69"/>
  <c r="I149" i="69"/>
  <c r="H149" i="69"/>
  <c r="G149" i="69"/>
  <c r="F149" i="69"/>
  <c r="I148" i="69"/>
  <c r="H148" i="69"/>
  <c r="G148" i="69"/>
  <c r="F148" i="69"/>
  <c r="I147" i="69"/>
  <c r="H147" i="69"/>
  <c r="G147" i="69"/>
  <c r="F147" i="69"/>
  <c r="I146" i="69"/>
  <c r="H146" i="69"/>
  <c r="G146" i="69"/>
  <c r="F146" i="69"/>
  <c r="I145" i="69"/>
  <c r="H145" i="69"/>
  <c r="G145" i="69"/>
  <c r="F145" i="69"/>
  <c r="I144" i="69"/>
  <c r="H144" i="69"/>
  <c r="G144" i="69"/>
  <c r="F144" i="69"/>
  <c r="H51" i="70"/>
  <c r="G51" i="70"/>
  <c r="F51" i="70"/>
  <c r="H80" i="70"/>
  <c r="G80" i="70"/>
  <c r="F80" i="70"/>
  <c r="H73" i="70"/>
  <c r="G73" i="70"/>
  <c r="F73" i="70"/>
  <c r="H66" i="70"/>
  <c r="G66" i="70"/>
  <c r="F66" i="70"/>
  <c r="H59" i="70"/>
  <c r="G59" i="70"/>
  <c r="F59" i="70"/>
  <c r="I137" i="69"/>
  <c r="H137" i="69"/>
  <c r="G137" i="69"/>
  <c r="F137" i="69"/>
  <c r="I136" i="69"/>
  <c r="H136" i="69"/>
  <c r="G136" i="69"/>
  <c r="F136" i="69"/>
  <c r="I135" i="69"/>
  <c r="H135" i="69"/>
  <c r="G135" i="69"/>
  <c r="F135" i="69"/>
  <c r="I134" i="69"/>
  <c r="H134" i="69"/>
  <c r="G134" i="69"/>
  <c r="F134" i="69"/>
  <c r="I133" i="69"/>
  <c r="H133" i="69"/>
  <c r="G133" i="69"/>
  <c r="F133" i="69"/>
  <c r="I132" i="69"/>
  <c r="H132" i="69"/>
  <c r="G132" i="69"/>
  <c r="F132" i="69"/>
  <c r="I131" i="69"/>
  <c r="H131" i="69"/>
  <c r="G131" i="69"/>
  <c r="F131" i="69"/>
  <c r="D48" i="69" a="1"/>
  <c r="D48" i="69" s="1"/>
  <c r="H63" i="69"/>
  <c r="G63" i="69"/>
  <c r="F63" i="69"/>
  <c r="E63" i="69"/>
  <c r="H32" i="69"/>
  <c r="G32" i="69"/>
  <c r="F32" i="69"/>
  <c r="E32" i="69"/>
  <c r="H31" i="69"/>
  <c r="G31" i="69"/>
  <c r="F31" i="69"/>
  <c r="E31" i="69"/>
  <c r="H30" i="69"/>
  <c r="G30" i="69"/>
  <c r="F30" i="69"/>
  <c r="E30" i="69"/>
  <c r="H29" i="69"/>
  <c r="G29" i="69"/>
  <c r="F29" i="69"/>
  <c r="E29" i="69"/>
  <c r="H28" i="69"/>
  <c r="G28" i="69"/>
  <c r="F28" i="69"/>
  <c r="E28" i="69"/>
  <c r="H23" i="69"/>
  <c r="G23" i="69"/>
  <c r="F23" i="69"/>
  <c r="E23" i="69"/>
  <c r="H22" i="69"/>
  <c r="G22" i="69"/>
  <c r="F22" i="69"/>
  <c r="E22" i="69"/>
  <c r="H21" i="69"/>
  <c r="G21" i="69"/>
  <c r="F21" i="69"/>
  <c r="E21" i="69"/>
  <c r="H20" i="69"/>
  <c r="G20" i="69"/>
  <c r="F20" i="69"/>
  <c r="E20" i="69"/>
  <c r="H19" i="69"/>
  <c r="G19" i="69"/>
  <c r="F19" i="69"/>
  <c r="E19" i="69"/>
  <c r="E47" i="69" a="1"/>
  <c r="E7" i="69" a="1"/>
  <c r="E40" i="69" l="1" a="1"/>
  <c r="E40" i="69" s="1"/>
  <c r="O40" i="69" a="1"/>
  <c r="O40" i="69" s="1"/>
  <c r="P40" i="69" a="1"/>
  <c r="P40" i="69" s="1"/>
  <c r="F40" i="69" a="1"/>
  <c r="F40" i="69" s="1"/>
  <c r="P37" i="69" a="1"/>
  <c r="P37" i="69" s="1"/>
  <c r="F37" i="69" a="1"/>
  <c r="F37" i="69" s="1"/>
  <c r="H40" i="69" a="1"/>
  <c r="H40" i="69" s="1"/>
  <c r="R40" i="69" a="1"/>
  <c r="R40" i="69" s="1"/>
  <c r="P39" i="69" a="1"/>
  <c r="P39" i="69" s="1"/>
  <c r="F39" i="69" a="1"/>
  <c r="F39" i="69" s="1"/>
  <c r="Q39" i="69" a="1"/>
  <c r="Q39" i="69" s="1"/>
  <c r="G39" i="69" a="1"/>
  <c r="G39" i="69" s="1"/>
  <c r="G40" i="69" a="1"/>
  <c r="G40" i="69" s="1"/>
  <c r="Q40" i="69" a="1"/>
  <c r="Q40" i="69" s="1"/>
  <c r="Q37" i="69" a="1"/>
  <c r="Q37" i="69" s="1"/>
  <c r="G37" i="69" a="1"/>
  <c r="G37" i="69" s="1"/>
  <c r="O41" i="69" a="1"/>
  <c r="O41" i="69" s="1"/>
  <c r="E41" i="69" a="1"/>
  <c r="E41" i="69" s="1"/>
  <c r="R37" i="69" a="1"/>
  <c r="R37" i="69" s="1"/>
  <c r="H37" i="69" a="1"/>
  <c r="H37" i="69" s="1"/>
  <c r="F41" i="69" a="1"/>
  <c r="F41" i="69" s="1"/>
  <c r="P41" i="69" a="1"/>
  <c r="P41" i="69" s="1"/>
  <c r="E38" i="69" a="1"/>
  <c r="E38" i="69" s="1"/>
  <c r="O38" i="69" a="1"/>
  <c r="O38" i="69" s="1"/>
  <c r="Q41" i="69" a="1"/>
  <c r="Q41" i="69" s="1"/>
  <c r="G41" i="69" a="1"/>
  <c r="G41" i="69" s="1"/>
  <c r="O37" i="69" a="1"/>
  <c r="O37" i="69" s="1"/>
  <c r="E37" i="69" a="1"/>
  <c r="E37" i="69" s="1"/>
  <c r="R41" i="69" a="1"/>
  <c r="R41" i="69" s="1"/>
  <c r="H41" i="69" a="1"/>
  <c r="H41" i="69" s="1"/>
  <c r="H38" i="69" a="1"/>
  <c r="H38" i="69" s="1"/>
  <c r="R38" i="69" a="1"/>
  <c r="R38" i="69" s="1"/>
  <c r="R39" i="69" a="1"/>
  <c r="R39" i="69" s="1"/>
  <c r="H39" i="69" a="1"/>
  <c r="H39" i="69" s="1"/>
  <c r="P38" i="69" a="1"/>
  <c r="P38" i="69" s="1"/>
  <c r="F38" i="69" a="1"/>
  <c r="F38" i="69" s="1"/>
  <c r="G38" i="69" a="1"/>
  <c r="G38" i="69" s="1"/>
  <c r="Q38" i="69" a="1"/>
  <c r="Q38" i="69" s="1"/>
  <c r="O39" i="69" a="1"/>
  <c r="O39" i="69" s="1"/>
  <c r="E39" i="69" a="1"/>
  <c r="E39" i="69" s="1"/>
  <c r="P121" i="76" a="1"/>
  <c r="P121" i="76" s="1"/>
  <c r="P25" i="97" s="1"/>
  <c r="P118" i="76" a="1"/>
  <c r="P118" i="76" s="1"/>
  <c r="P22" i="97" s="1"/>
  <c r="P120" i="76" a="1"/>
  <c r="P120" i="76" s="1"/>
  <c r="P24" i="97" s="1"/>
  <c r="P119" i="76" a="1"/>
  <c r="P119" i="76" s="1"/>
  <c r="P123" i="76" a="1"/>
  <c r="P123" i="76" s="1"/>
  <c r="P27" i="97" s="1"/>
  <c r="P122" i="76" a="1"/>
  <c r="P122" i="76" s="1"/>
  <c r="P26" i="97" s="1"/>
  <c r="O123" i="76" a="1"/>
  <c r="O123" i="76" s="1"/>
  <c r="O27" i="97" s="1"/>
  <c r="O122" i="76" a="1"/>
  <c r="O122" i="76" s="1"/>
  <c r="O26" i="97" s="1"/>
  <c r="O121" i="76" a="1"/>
  <c r="O121" i="76" s="1"/>
  <c r="O25" i="97" s="1"/>
  <c r="O120" i="76" a="1"/>
  <c r="O120" i="76" s="1"/>
  <c r="O24" i="97" s="1"/>
  <c r="O119" i="76" a="1"/>
  <c r="O119" i="76" s="1"/>
  <c r="O118" i="76" a="1"/>
  <c r="O118" i="76" s="1"/>
  <c r="O22" i="97" s="1"/>
  <c r="R122" i="76" a="1"/>
  <c r="R122" i="76" s="1"/>
  <c r="R26" i="97" s="1"/>
  <c r="R120" i="76" a="1"/>
  <c r="R120" i="76" s="1"/>
  <c r="R24" i="97" s="1"/>
  <c r="R119" i="76" a="1"/>
  <c r="R119" i="76" s="1"/>
  <c r="R118" i="76" a="1"/>
  <c r="R118" i="76" s="1"/>
  <c r="R22" i="97" s="1"/>
  <c r="R121" i="76" a="1"/>
  <c r="R121" i="76" s="1"/>
  <c r="R25" i="97" s="1"/>
  <c r="R123" i="76" a="1"/>
  <c r="R123" i="76" s="1"/>
  <c r="R27" i="97" s="1"/>
  <c r="Q123" i="76" a="1"/>
  <c r="Q123" i="76" s="1"/>
  <c r="Q27" i="97" s="1"/>
  <c r="Q122" i="76" a="1"/>
  <c r="Q122" i="76" s="1"/>
  <c r="Q26" i="97" s="1"/>
  <c r="Q121" i="76" a="1"/>
  <c r="Q121" i="76" s="1"/>
  <c r="Q25" i="97" s="1"/>
  <c r="Q120" i="76" a="1"/>
  <c r="Q120" i="76" s="1"/>
  <c r="Q24" i="97" s="1"/>
  <c r="Q119" i="76" a="1"/>
  <c r="Q119" i="76" s="1"/>
  <c r="Q118" i="76" a="1"/>
  <c r="Q118" i="76" s="1"/>
  <c r="Q22" i="97" s="1"/>
  <c r="Q68" i="69" a="1"/>
  <c r="Q68" i="69" s="1"/>
  <c r="Q211" i="69" s="1" a="1"/>
  <c r="Q211" i="69" s="1"/>
  <c r="R68" i="69" a="1"/>
  <c r="R68" i="69" s="1"/>
  <c r="R211" i="69" s="1" a="1"/>
  <c r="R211" i="69" s="1"/>
  <c r="E120" i="76" a="1"/>
  <c r="E120" i="76" s="1"/>
  <c r="E24" i="97" s="1"/>
  <c r="O68" i="69" a="1"/>
  <c r="O68" i="69" s="1"/>
  <c r="O211" i="69" s="1" a="1"/>
  <c r="O211" i="69" s="1"/>
  <c r="E68" i="69" a="1"/>
  <c r="E68" i="69" s="1"/>
  <c r="P68" i="69" a="1"/>
  <c r="P68" i="69" s="1"/>
  <c r="P211" i="69" s="1" a="1"/>
  <c r="P211" i="69" s="1"/>
  <c r="E119" i="76" a="1"/>
  <c r="E119" i="76" s="1"/>
  <c r="E23" i="98" s="1"/>
  <c r="E123" i="76" a="1"/>
  <c r="E123" i="76" s="1"/>
  <c r="E121" i="76" a="1"/>
  <c r="E121" i="76" s="1"/>
  <c r="E118" i="76" a="1"/>
  <c r="E118" i="76" s="1"/>
  <c r="E122" i="76" a="1"/>
  <c r="E122" i="76" s="1"/>
  <c r="F120" i="76" a="1"/>
  <c r="F120" i="76" s="1"/>
  <c r="F123" i="76" a="1"/>
  <c r="F123" i="76" s="1"/>
  <c r="F119" i="76" a="1"/>
  <c r="F119" i="76" s="1"/>
  <c r="F23" i="98" s="1"/>
  <c r="F122" i="76" a="1"/>
  <c r="F122" i="76" s="1"/>
  <c r="F118" i="76" a="1"/>
  <c r="F118" i="76" s="1"/>
  <c r="F121" i="76" a="1"/>
  <c r="F121" i="76" s="1"/>
  <c r="H119" i="76" a="1"/>
  <c r="H119" i="76" s="1"/>
  <c r="H23" i="98" s="1"/>
  <c r="H121" i="76" a="1"/>
  <c r="H121" i="76" s="1"/>
  <c r="H123" i="76" a="1"/>
  <c r="H123" i="76" s="1"/>
  <c r="H122" i="76" a="1"/>
  <c r="H122" i="76" s="1"/>
  <c r="H118" i="76" a="1"/>
  <c r="H118" i="76" s="1"/>
  <c r="H120" i="76" a="1"/>
  <c r="H120" i="76" s="1"/>
  <c r="G123" i="76" a="1"/>
  <c r="G123" i="76" s="1"/>
  <c r="G119" i="76" a="1"/>
  <c r="G119" i="76" s="1"/>
  <c r="G23" i="98" s="1"/>
  <c r="G122" i="76" a="1"/>
  <c r="G122" i="76" s="1"/>
  <c r="G118" i="76" a="1"/>
  <c r="G118" i="76" s="1"/>
  <c r="G120" i="76" a="1"/>
  <c r="G120" i="76" s="1"/>
  <c r="G121" i="76" a="1"/>
  <c r="G121" i="76" s="1"/>
  <c r="G68" i="69" a="1"/>
  <c r="G68" i="69" s="1"/>
  <c r="F68" i="69" a="1"/>
  <c r="F68" i="69" s="1"/>
  <c r="H68" i="69" a="1"/>
  <c r="H68" i="69" s="1"/>
  <c r="E47" i="69"/>
  <c r="E7" i="69"/>
  <c r="E23" i="97" l="1"/>
  <c r="O23" i="97"/>
  <c r="N23" i="98"/>
  <c r="P23" i="98"/>
  <c r="Q23" i="97"/>
  <c r="O23" i="98"/>
  <c r="P23" i="97"/>
  <c r="Q23" i="98"/>
  <c r="R23" i="97"/>
  <c r="E27" i="97"/>
  <c r="G27" i="97"/>
  <c r="H23" i="97"/>
  <c r="E26" i="97"/>
  <c r="E22" i="97"/>
  <c r="E25" i="97"/>
  <c r="G25" i="97"/>
  <c r="G24" i="97"/>
  <c r="H22" i="97"/>
  <c r="G22" i="97"/>
  <c r="H26" i="97"/>
  <c r="G26" i="97"/>
  <c r="H27" i="97"/>
  <c r="F25" i="97"/>
  <c r="F22" i="97"/>
  <c r="F26" i="97"/>
  <c r="F23" i="97"/>
  <c r="H24" i="97"/>
  <c r="F27" i="97"/>
  <c r="F24" i="97"/>
  <c r="G23" i="97"/>
  <c r="H25" i="97"/>
  <c r="E80" i="70" l="1"/>
  <c r="E73" i="70"/>
  <c r="E66" i="70"/>
  <c r="E59" i="70"/>
  <c r="E51" i="70"/>
  <c r="H88" i="70"/>
  <c r="G88" i="70"/>
  <c r="F88" i="70"/>
  <c r="E88" i="70"/>
  <c r="L50" i="70"/>
  <c r="L49" i="70"/>
  <c r="L48" i="70"/>
  <c r="L58" i="70"/>
  <c r="L57" i="70"/>
  <c r="L56" i="70"/>
  <c r="L55" i="70"/>
  <c r="L65" i="70"/>
  <c r="L64" i="70"/>
  <c r="L63" i="70"/>
  <c r="L72" i="70"/>
  <c r="L71" i="70"/>
  <c r="L70" i="70"/>
  <c r="L79" i="70"/>
  <c r="L78" i="70"/>
  <c r="L77" i="70"/>
  <c r="L87" i="70"/>
  <c r="L86" i="70"/>
  <c r="L85" i="70"/>
  <c r="L84" i="70"/>
  <c r="H35" i="70"/>
  <c r="G35" i="70"/>
  <c r="F35" i="70"/>
  <c r="E35" i="70"/>
  <c r="F266" i="69" l="1" a="1"/>
  <c r="F266" i="69" s="1"/>
  <c r="D263" i="69" a="1"/>
  <c r="D263" i="69" s="1"/>
  <c r="G56" i="79" a="1"/>
  <c r="G56" i="79" s="1"/>
  <c r="G55" i="79" a="1"/>
  <c r="G55" i="79" s="1"/>
  <c r="G54" i="79" a="1"/>
  <c r="G54" i="79" s="1"/>
  <c r="M35" i="79" a="1"/>
  <c r="M35" i="79" s="1"/>
  <c r="L35" i="79" a="1"/>
  <c r="L35" i="79" s="1"/>
  <c r="K35" i="79" a="1"/>
  <c r="K35" i="79" s="1"/>
  <c r="J35" i="79" a="1"/>
  <c r="J35" i="79" s="1"/>
  <c r="I35" i="79" a="1"/>
  <c r="I35" i="79" s="1"/>
  <c r="H35" i="79" a="1"/>
  <c r="H35" i="79" s="1"/>
  <c r="G35" i="79" a="1"/>
  <c r="G35" i="79" s="1"/>
  <c r="F35" i="79" a="1"/>
  <c r="F35" i="79" s="1"/>
  <c r="E35" i="79" a="1"/>
  <c r="E35" i="79" s="1"/>
  <c r="D35" i="79" a="1"/>
  <c r="D35" i="79" s="1"/>
  <c r="M34" i="79" a="1"/>
  <c r="M34" i="79" s="1"/>
  <c r="L34" i="79" a="1"/>
  <c r="L34" i="79" s="1"/>
  <c r="K34" i="79" a="1"/>
  <c r="K34" i="79" s="1"/>
  <c r="J34" i="79" a="1"/>
  <c r="J34" i="79" s="1"/>
  <c r="I34" i="79" a="1"/>
  <c r="I34" i="79" s="1"/>
  <c r="H34" i="79" a="1"/>
  <c r="H34" i="79" s="1"/>
  <c r="G34" i="79" a="1"/>
  <c r="G34" i="79" s="1"/>
  <c r="F34" i="79" a="1"/>
  <c r="F34" i="79" s="1"/>
  <c r="E34" i="79" a="1"/>
  <c r="E34" i="79" s="1"/>
  <c r="D34" i="79" a="1"/>
  <c r="D34" i="79" s="1"/>
  <c r="M33" i="79" a="1"/>
  <c r="M33" i="79" s="1"/>
  <c r="L33" i="79" a="1"/>
  <c r="L33" i="79" s="1"/>
  <c r="K33" i="79" a="1"/>
  <c r="K33" i="79" s="1"/>
  <c r="J33" i="79" a="1"/>
  <c r="J33" i="79" s="1"/>
  <c r="I33" i="79" a="1"/>
  <c r="I33" i="79" s="1"/>
  <c r="H33" i="79" a="1"/>
  <c r="H33" i="79" s="1"/>
  <c r="G33" i="79" a="1"/>
  <c r="G33" i="79" s="1"/>
  <c r="F33" i="79" a="1"/>
  <c r="F33" i="79" s="1"/>
  <c r="E33" i="79" a="1"/>
  <c r="E33" i="79" s="1"/>
  <c r="D33" i="79" a="1"/>
  <c r="D33" i="79" s="1"/>
  <c r="M32" i="79" a="1"/>
  <c r="M32" i="79" s="1"/>
  <c r="L32" i="79" a="1"/>
  <c r="L32" i="79" s="1"/>
  <c r="K32" i="79" a="1"/>
  <c r="K32" i="79" s="1"/>
  <c r="J32" i="79" a="1"/>
  <c r="J32" i="79" s="1"/>
  <c r="I32" i="79" a="1"/>
  <c r="I32" i="79" s="1"/>
  <c r="H32" i="79" a="1"/>
  <c r="H32" i="79" s="1"/>
  <c r="G32" i="79" a="1"/>
  <c r="G32" i="79" s="1"/>
  <c r="F32" i="79" a="1"/>
  <c r="F32" i="79" s="1"/>
  <c r="E32" i="79" a="1"/>
  <c r="E32" i="79" s="1"/>
  <c r="D32" i="79" a="1"/>
  <c r="D32" i="79" s="1"/>
  <c r="M31" i="79" a="1"/>
  <c r="M31" i="79" s="1"/>
  <c r="L31" i="79" a="1"/>
  <c r="L31" i="79" s="1"/>
  <c r="K31" i="79" a="1"/>
  <c r="K31" i="79" s="1"/>
  <c r="J31" i="79" a="1"/>
  <c r="J31" i="79" s="1"/>
  <c r="I31" i="79" a="1"/>
  <c r="I31" i="79" s="1"/>
  <c r="H31" i="79" a="1"/>
  <c r="H31" i="79" s="1"/>
  <c r="G31" i="79" a="1"/>
  <c r="G31" i="79" s="1"/>
  <c r="F31" i="79" a="1"/>
  <c r="F31" i="79" s="1"/>
  <c r="E31" i="79" a="1"/>
  <c r="E31" i="79" s="1"/>
  <c r="D31" i="79" a="1"/>
  <c r="D31" i="79" s="1"/>
  <c r="M30" i="79" a="1"/>
  <c r="M30" i="79" s="1"/>
  <c r="L30" i="79" a="1"/>
  <c r="L30" i="79" s="1"/>
  <c r="K30" i="79" a="1"/>
  <c r="K30" i="79" s="1"/>
  <c r="J30" i="79" a="1"/>
  <c r="J30" i="79" s="1"/>
  <c r="I30" i="79" a="1"/>
  <c r="I30" i="79" s="1"/>
  <c r="H30" i="79" a="1"/>
  <c r="H30" i="79" s="1"/>
  <c r="G30" i="79" a="1"/>
  <c r="G30" i="79" s="1"/>
  <c r="F30" i="79" a="1"/>
  <c r="F30" i="79" s="1"/>
  <c r="E30" i="79" a="1"/>
  <c r="E30" i="79" s="1"/>
  <c r="D30" i="79" a="1"/>
  <c r="D30" i="79" s="1"/>
  <c r="M29" i="79" a="1"/>
  <c r="M29" i="79" s="1"/>
  <c r="L29" i="79" a="1"/>
  <c r="L29" i="79" s="1"/>
  <c r="K29" i="79" a="1"/>
  <c r="K29" i="79" s="1"/>
  <c r="J29" i="79" a="1"/>
  <c r="J29" i="79" s="1"/>
  <c r="I29" i="79" a="1"/>
  <c r="I29" i="79" s="1"/>
  <c r="H29" i="79" a="1"/>
  <c r="H29" i="79" s="1"/>
  <c r="G29" i="79" a="1"/>
  <c r="G29" i="79" s="1"/>
  <c r="F29" i="79" a="1"/>
  <c r="F29" i="79" s="1"/>
  <c r="E29" i="79" a="1"/>
  <c r="E29" i="79" s="1"/>
  <c r="D29" i="79" a="1"/>
  <c r="D29" i="79" s="1"/>
  <c r="D26" i="79" a="1"/>
  <c r="D26" i="79" s="1"/>
  <c r="D25" i="79" a="1"/>
  <c r="D25" i="79" s="1"/>
  <c r="D24" i="79" a="1"/>
  <c r="D24" i="79" s="1"/>
  <c r="F21" i="79" a="1"/>
  <c r="F21" i="79" s="1"/>
  <c r="E21" i="79" a="1"/>
  <c r="E21" i="79" s="1"/>
  <c r="D21" i="79" a="1"/>
  <c r="D21" i="79" s="1"/>
  <c r="D20" i="79" a="1"/>
  <c r="D20" i="79" s="1"/>
  <c r="D19" i="79" a="1"/>
  <c r="D19" i="79" s="1"/>
  <c r="E71" i="79" a="1"/>
  <c r="E71" i="79" s="1"/>
  <c r="D71" i="79" a="1"/>
  <c r="D71" i="79" s="1"/>
  <c r="E70" i="79" a="1"/>
  <c r="E70" i="79" s="1"/>
  <c r="D70" i="79" a="1"/>
  <c r="D70" i="79" s="1"/>
  <c r="E69" i="79" a="1"/>
  <c r="E69" i="79" s="1"/>
  <c r="D69" i="79" a="1"/>
  <c r="D69" i="79" s="1"/>
  <c r="E68" i="79" a="1"/>
  <c r="E68" i="79" s="1"/>
  <c r="D68" i="79" a="1"/>
  <c r="D68" i="79" s="1"/>
  <c r="D65" i="79" a="1"/>
  <c r="D65" i="79" s="1"/>
  <c r="D64" i="79" a="1"/>
  <c r="D64" i="79" s="1"/>
  <c r="D63" i="79" a="1"/>
  <c r="D63" i="79" s="1"/>
  <c r="E74" i="69" a="1"/>
  <c r="E218" i="69" a="1"/>
  <c r="E235" i="69" a="1"/>
  <c r="E190" i="69" a="1"/>
  <c r="I68" i="69" l="1"/>
  <c r="S68" i="69"/>
  <c r="T165" i="69"/>
  <c r="S37" i="69"/>
  <c r="S103" i="69"/>
  <c r="P261" i="69"/>
  <c r="F261" i="69"/>
  <c r="R259" i="69"/>
  <c r="S206" i="69"/>
  <c r="I200" i="69"/>
  <c r="I122" i="69"/>
  <c r="H20" i="70" a="1"/>
  <c r="H20" i="70" s="1"/>
  <c r="Q88" i="69" s="1"/>
  <c r="G20" i="70" a="1"/>
  <c r="G20" i="70" s="1"/>
  <c r="P88" i="69" s="1"/>
  <c r="F20" i="70" a="1"/>
  <c r="F20" i="70" s="1"/>
  <c r="O88" i="69" s="1"/>
  <c r="E20" i="70" a="1"/>
  <c r="E20" i="70" s="1"/>
  <c r="N88" i="69" s="1"/>
  <c r="G16" i="70" a="1"/>
  <c r="G16" i="70" s="1"/>
  <c r="F88" i="69" s="1"/>
  <c r="H16" i="70" a="1"/>
  <c r="H16" i="70" s="1"/>
  <c r="G88" i="69" s="1"/>
  <c r="F16" i="70" a="1"/>
  <c r="F16" i="70" s="1"/>
  <c r="E88" i="69" s="1"/>
  <c r="E16" i="70" a="1"/>
  <c r="E16" i="70" s="1"/>
  <c r="D88" i="69" s="1"/>
  <c r="I37" i="69"/>
  <c r="E235" i="69"/>
  <c r="E218" i="69"/>
  <c r="E74" i="69"/>
  <c r="E190" i="69"/>
  <c r="I206" i="69"/>
  <c r="J165" i="69"/>
  <c r="I103" i="69"/>
  <c r="H259" i="69"/>
  <c r="I123" i="97" l="1"/>
  <c r="H28" i="98" l="1" a="1"/>
  <c r="H28" i="98" s="1"/>
  <c r="G28" i="98" a="1"/>
  <c r="G28" i="98" s="1"/>
  <c r="E28" i="98" a="1"/>
  <c r="E28" i="98" s="1"/>
  <c r="F28" i="98" a="1"/>
  <c r="F28" i="98" s="1"/>
  <c r="O28" i="98" a="1"/>
  <c r="O28" i="98" s="1"/>
  <c r="P28" i="98" a="1"/>
  <c r="P28" i="98" s="1"/>
  <c r="N28" i="98" a="1"/>
  <c r="N28" i="98" s="1"/>
  <c r="Q28" i="98" a="1"/>
  <c r="Q28" i="98" s="1"/>
  <c r="Q56" i="105" l="1"/>
  <c r="Q59" i="105"/>
  <c r="Q58" i="105"/>
  <c r="Q57" i="105"/>
  <c r="P56" i="105"/>
  <c r="P59" i="105"/>
  <c r="P58" i="105"/>
  <c r="P57" i="105"/>
  <c r="F58" i="105"/>
  <c r="F57" i="105"/>
  <c r="F56" i="105"/>
  <c r="F59" i="105"/>
  <c r="H57" i="105"/>
  <c r="H56" i="105"/>
  <c r="H58" i="105"/>
  <c r="H59" i="105"/>
  <c r="S59" i="105"/>
  <c r="S58" i="105"/>
  <c r="S57" i="105"/>
  <c r="S56" i="105"/>
  <c r="R56" i="105"/>
  <c r="R59" i="105"/>
  <c r="R58" i="105"/>
  <c r="R57" i="105"/>
  <c r="G58" i="105"/>
  <c r="G57" i="105"/>
  <c r="G56" i="105"/>
  <c r="G59" i="105"/>
  <c r="I58" i="105"/>
  <c r="I57" i="105"/>
  <c r="I56" i="105"/>
  <c r="I59" i="105"/>
  <c r="Q47" i="98" a="1"/>
  <c r="Q47" i="98" s="1"/>
  <c r="N47" i="98" a="1"/>
  <c r="N47" i="98" s="1"/>
  <c r="P47" i="98" a="1"/>
  <c r="P47" i="98" s="1"/>
  <c r="O47" i="98" a="1"/>
  <c r="O47" i="98" s="1"/>
  <c r="F47" i="98" a="1"/>
  <c r="F47" i="98" s="1"/>
  <c r="E47" i="98" a="1"/>
  <c r="E47" i="98" s="1"/>
  <c r="G47" i="98" a="1"/>
  <c r="G47" i="98" s="1"/>
  <c r="H47" i="98" a="1"/>
  <c r="H47" i="98" s="1"/>
  <c r="N49" i="98" l="1"/>
  <c r="E49" i="98"/>
  <c r="A39" i="74"/>
  <c r="A38" i="74"/>
  <c r="A37" i="74"/>
  <c r="A36" i="74"/>
  <c r="A33" i="74"/>
  <c r="A30" i="74"/>
  <c r="A29" i="74"/>
  <c r="A28" i="74"/>
  <c r="A27" i="74"/>
  <c r="A26" i="74"/>
  <c r="A25" i="74"/>
  <c r="A24" i="74"/>
  <c r="A19" i="74"/>
  <c r="A18" i="74"/>
  <c r="A15" i="74"/>
  <c r="A14" i="74"/>
  <c r="A13" i="74"/>
  <c r="A12" i="74"/>
  <c r="A11" i="74"/>
  <c r="A10" i="74"/>
  <c r="A9" i="74"/>
  <c r="A8" i="74"/>
  <c r="A7" i="74"/>
  <c r="A4" i="74"/>
  <c r="G51" i="98" l="1"/>
  <c r="E54" i="98" s="1" a="1"/>
  <c r="E54" i="98" s="1"/>
  <c r="H10" i="13" s="1"/>
  <c r="E10" i="13"/>
  <c r="P51" i="98"/>
  <c r="N54" i="98" s="1" a="1"/>
  <c r="N54" i="98" s="1"/>
  <c r="I10" i="13" s="1"/>
  <c r="F10" i="13"/>
  <c r="F27" i="43" a="1"/>
  <c r="F27" i="43" s="1"/>
  <c r="E27" i="43" a="1"/>
  <c r="E27" i="43" s="1"/>
  <c r="D27" i="43" a="1"/>
  <c r="D27" i="43" s="1"/>
  <c r="F26" i="43" a="1"/>
  <c r="F26" i="43" s="1"/>
  <c r="E47" i="79"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44" i="79" l="1"/>
  <c r="H43" i="79"/>
  <c r="L44" i="79"/>
  <c r="D45" i="79"/>
  <c r="K45" i="79"/>
  <c r="G44" i="79"/>
  <c r="D32" i="70" s="1"/>
  <c r="D58" i="79"/>
  <c r="K41" i="79"/>
  <c r="G41" i="79"/>
  <c r="D29" i="70" s="1"/>
  <c r="D41" i="79"/>
  <c r="D54" i="79"/>
  <c r="E45" i="79"/>
  <c r="L45" i="79"/>
  <c r="H44" i="79"/>
  <c r="D42" i="79"/>
  <c r="D34" i="70" s="1"/>
  <c r="K42" i="79"/>
  <c r="D55" i="79"/>
  <c r="E42" i="79"/>
  <c r="L42" i="79"/>
  <c r="G45" i="79"/>
  <c r="D33" i="70" s="1"/>
  <c r="K46" i="79"/>
  <c r="D46" i="79"/>
  <c r="D59" i="79"/>
  <c r="G43" i="79"/>
  <c r="D31" i="70" s="1"/>
  <c r="K44" i="79"/>
  <c r="D57" i="79"/>
  <c r="D44" i="79"/>
  <c r="L41" i="79"/>
  <c r="H41" i="79"/>
  <c r="E41" i="79"/>
  <c r="E46" i="79"/>
  <c r="H45" i="79"/>
  <c r="L46" i="79"/>
  <c r="D43" i="79"/>
  <c r="G42" i="79"/>
  <c r="D30" i="70" s="1"/>
  <c r="D56" i="79"/>
  <c r="K43" i="79"/>
  <c r="L43" i="79"/>
  <c r="H42" i="79"/>
  <c r="E43" i="79"/>
  <c r="D60" i="79"/>
  <c r="D47" i="79"/>
  <c r="E29" i="15"/>
  <c r="D264" i="105" l="1"/>
  <c r="N195" i="105"/>
  <c r="N76" i="97"/>
  <c r="D45" i="97"/>
  <c r="D234" i="105"/>
  <c r="D147" i="105"/>
  <c r="N147" i="105"/>
  <c r="D195" i="105"/>
  <c r="N45" i="97"/>
  <c r="D92" i="97"/>
  <c r="N264" i="105"/>
  <c r="N35" i="105"/>
  <c r="D95" i="105"/>
  <c r="N65" i="105"/>
  <c r="N92" i="97"/>
  <c r="D65" i="105"/>
  <c r="D159" i="76"/>
  <c r="E159" i="76" s="1" a="1"/>
  <c r="E159" i="76" s="1"/>
  <c r="D148" i="76"/>
  <c r="E148" i="76" s="1" a="1"/>
  <c r="E148" i="76" s="1"/>
  <c r="D68" i="97"/>
  <c r="E68" i="97" s="1" a="1"/>
  <c r="E68" i="97" s="1"/>
  <c r="D129" i="105"/>
  <c r="E129" i="105" s="1" a="1"/>
  <c r="E129" i="105" s="1"/>
  <c r="D118" i="105"/>
  <c r="E118" i="105" s="1" a="1"/>
  <c r="E118" i="105" s="1"/>
  <c r="D59" i="70"/>
  <c r="D51" i="70"/>
  <c r="D88" i="70"/>
  <c r="D80" i="70"/>
  <c r="D73" i="70"/>
  <c r="D66" i="70"/>
  <c r="N151" i="105"/>
  <c r="D199" i="105"/>
  <c r="N77" i="97"/>
  <c r="N49" i="97"/>
  <c r="D268" i="105"/>
  <c r="D96" i="97"/>
  <c r="N268" i="105"/>
  <c r="D99" i="105"/>
  <c r="D69" i="105"/>
  <c r="N39" i="105"/>
  <c r="N69" i="105"/>
  <c r="N96" i="97"/>
  <c r="N199" i="105"/>
  <c r="D49" i="97"/>
  <c r="D238" i="105"/>
  <c r="D151" i="105"/>
  <c r="D88" i="97"/>
  <c r="N260" i="105"/>
  <c r="D91" i="105"/>
  <c r="D61" i="105"/>
  <c r="N31" i="105"/>
  <c r="D230" i="105"/>
  <c r="N61" i="105"/>
  <c r="N88" i="97"/>
  <c r="N75" i="97"/>
  <c r="D260" i="105"/>
  <c r="D41" i="97"/>
  <c r="N191" i="105"/>
  <c r="N143" i="105"/>
  <c r="N41" i="97"/>
  <c r="D191" i="105"/>
  <c r="D143" i="105"/>
  <c r="D36" i="97"/>
  <c r="D225" i="105"/>
  <c r="D138" i="105"/>
  <c r="N138" i="105"/>
  <c r="D186" i="105"/>
  <c r="N83" i="97"/>
  <c r="N36" i="97"/>
  <c r="N74" i="97"/>
  <c r="D83" i="97"/>
  <c r="N255" i="105"/>
  <c r="D86" i="105"/>
  <c r="D56" i="105"/>
  <c r="N26" i="105"/>
  <c r="N56" i="105"/>
  <c r="N186" i="105"/>
  <c r="D255" i="105"/>
  <c r="N79" i="97"/>
  <c r="D251" i="105"/>
  <c r="N182" i="105"/>
  <c r="N73" i="97"/>
  <c r="D32" i="97"/>
  <c r="D221" i="105"/>
  <c r="D134" i="105"/>
  <c r="N134" i="105"/>
  <c r="D182" i="105"/>
  <c r="N52" i="105"/>
  <c r="D82" i="105"/>
  <c r="N32" i="97"/>
  <c r="N251" i="105"/>
  <c r="D52" i="105"/>
  <c r="N22" i="105"/>
  <c r="D79" i="97"/>
  <c r="N272" i="105"/>
  <c r="D103" i="105"/>
  <c r="D73" i="105"/>
  <c r="N43" i="105"/>
  <c r="N78" i="97"/>
  <c r="N73" i="105"/>
  <c r="N100" i="97"/>
  <c r="D272" i="105"/>
  <c r="N203" i="105"/>
  <c r="D53" i="97"/>
  <c r="D242" i="105"/>
  <c r="D155" i="105"/>
  <c r="N53" i="97"/>
  <c r="N155" i="105"/>
  <c r="D100" i="97"/>
  <c r="D203" i="105"/>
  <c r="D83" i="70"/>
  <c r="N291" i="76"/>
  <c r="N123" i="76"/>
  <c r="N100" i="76"/>
  <c r="D78" i="97"/>
  <c r="D128" i="105"/>
  <c r="E128" i="105" s="1" a="1"/>
  <c r="E128" i="105" s="1"/>
  <c r="N27" i="97"/>
  <c r="D269" i="76"/>
  <c r="N269" i="76"/>
  <c r="N238" i="76"/>
  <c r="N169" i="76"/>
  <c r="D117" i="105"/>
  <c r="E117" i="105" s="1" a="1"/>
  <c r="E117" i="105" s="1"/>
  <c r="D291" i="76"/>
  <c r="D43" i="105"/>
  <c r="D67" i="97"/>
  <c r="E67" i="97" s="1" a="1"/>
  <c r="E67" i="97" s="1"/>
  <c r="D27" i="97"/>
  <c r="D147" i="76"/>
  <c r="E147" i="76" s="1" a="1"/>
  <c r="E147" i="76" s="1"/>
  <c r="D100" i="76"/>
  <c r="D95" i="76"/>
  <c r="D208" i="76"/>
  <c r="D238" i="76"/>
  <c r="N108" i="69"/>
  <c r="D169" i="76"/>
  <c r="N181" i="69"/>
  <c r="N211" i="69"/>
  <c r="D68" i="69"/>
  <c r="D158" i="76"/>
  <c r="E158" i="76" s="1" a="1"/>
  <c r="E158" i="76" s="1"/>
  <c r="D123" i="76"/>
  <c r="N68" i="69"/>
  <c r="D147" i="69"/>
  <c r="D181" i="69"/>
  <c r="D160" i="69"/>
  <c r="D108" i="69"/>
  <c r="D63" i="69"/>
  <c r="D98" i="69"/>
  <c r="E98" i="69" s="1" a="1"/>
  <c r="E98" i="69" s="1"/>
  <c r="D211" i="69"/>
  <c r="N165" i="69"/>
  <c r="D165" i="69"/>
  <c r="D131" i="69"/>
  <c r="D47" i="70"/>
  <c r="D62" i="70"/>
  <c r="D54" i="70"/>
  <c r="D76" i="70"/>
  <c r="D69" i="70"/>
  <c r="D31" i="105"/>
  <c r="D125" i="105"/>
  <c r="E125" i="105" s="1" a="1"/>
  <c r="E125" i="105" s="1"/>
  <c r="D114" i="105"/>
  <c r="E114" i="105" s="1" a="1"/>
  <c r="E114" i="105" s="1"/>
  <c r="N270" i="76"/>
  <c r="N217" i="76"/>
  <c r="D270" i="76"/>
  <c r="D123" i="105"/>
  <c r="D217" i="76"/>
  <c r="D187" i="76"/>
  <c r="D22" i="105"/>
  <c r="D112" i="105"/>
  <c r="E112" i="105" s="1" a="1"/>
  <c r="E112" i="105" s="1"/>
  <c r="D26" i="105"/>
  <c r="D124" i="105"/>
  <c r="E124" i="105" s="1" a="1"/>
  <c r="E124" i="105" s="1"/>
  <c r="D113" i="105"/>
  <c r="E113" i="105" s="1" a="1"/>
  <c r="E113" i="105" s="1"/>
  <c r="D39" i="105"/>
  <c r="D127" i="105"/>
  <c r="E127" i="105" s="1" a="1"/>
  <c r="E127" i="105" s="1"/>
  <c r="D116" i="105"/>
  <c r="E116" i="105" s="1" a="1"/>
  <c r="E116" i="105" s="1"/>
  <c r="D35" i="105"/>
  <c r="D126" i="105"/>
  <c r="E126" i="105" s="1" a="1"/>
  <c r="E126" i="105" s="1"/>
  <c r="D115" i="105"/>
  <c r="E115" i="105" s="1" a="1"/>
  <c r="E115" i="105" s="1"/>
  <c r="N24" i="97"/>
  <c r="N226" i="76"/>
  <c r="D208" i="69"/>
  <c r="N64" i="76"/>
  <c r="D120" i="76"/>
  <c r="D95" i="69"/>
  <c r="E95" i="69" s="1" a="1"/>
  <c r="E95" i="69" s="1"/>
  <c r="D85" i="70"/>
  <c r="D48" i="70"/>
  <c r="N279" i="76"/>
  <c r="N166" i="76"/>
  <c r="D105" i="69"/>
  <c r="N266" i="76"/>
  <c r="D64" i="97"/>
  <c r="E64" i="97" s="1" a="1"/>
  <c r="E64" i="97" s="1"/>
  <c r="D75" i="97"/>
  <c r="N39" i="69"/>
  <c r="D138" i="69"/>
  <c r="N120" i="76"/>
  <c r="D266" i="76"/>
  <c r="D39" i="69"/>
  <c r="N30" i="69"/>
  <c r="D155" i="76"/>
  <c r="E155" i="76" s="1" a="1"/>
  <c r="E155" i="76" s="1"/>
  <c r="N172" i="69"/>
  <c r="D172" i="69"/>
  <c r="D24" i="97"/>
  <c r="N73" i="76"/>
  <c r="D226" i="76"/>
  <c r="D21" i="69"/>
  <c r="D144" i="76"/>
  <c r="E144" i="76" s="1" a="1"/>
  <c r="E144" i="76" s="1"/>
  <c r="D55" i="76"/>
  <c r="D56" i="70"/>
  <c r="D78" i="70"/>
  <c r="D166" i="76"/>
  <c r="N208" i="69"/>
  <c r="D71" i="70"/>
  <c r="D279" i="76"/>
  <c r="D73" i="76"/>
  <c r="N105" i="69"/>
  <c r="D196" i="76"/>
  <c r="D157" i="69"/>
  <c r="D41" i="70"/>
  <c r="D64" i="76"/>
  <c r="D30" i="69"/>
  <c r="N71" i="76"/>
  <c r="D84" i="70"/>
  <c r="D70" i="70"/>
  <c r="D63" i="70"/>
  <c r="N28" i="69"/>
  <c r="D28" i="69"/>
  <c r="D39" i="70"/>
  <c r="N164" i="76"/>
  <c r="D77" i="70"/>
  <c r="D93" i="69"/>
  <c r="E93" i="69" s="1" a="1"/>
  <c r="E93" i="69" s="1"/>
  <c r="N264" i="76"/>
  <c r="D62" i="97"/>
  <c r="N103" i="69"/>
  <c r="D73" i="97"/>
  <c r="N118" i="76"/>
  <c r="D264" i="76"/>
  <c r="N37" i="69"/>
  <c r="D103" i="69"/>
  <c r="D206" i="69"/>
  <c r="D155" i="69"/>
  <c r="D71" i="76"/>
  <c r="D118" i="76"/>
  <c r="N22" i="97"/>
  <c r="D164" i="76"/>
  <c r="N62" i="76"/>
  <c r="D142" i="76"/>
  <c r="E142" i="76" s="1" a="1"/>
  <c r="E142" i="76" s="1"/>
  <c r="D55" i="70"/>
  <c r="N206" i="69"/>
  <c r="D153" i="76"/>
  <c r="D37" i="69"/>
  <c r="D62" i="76"/>
  <c r="D22" i="97"/>
  <c r="D19" i="69"/>
  <c r="D53" i="76"/>
  <c r="D47" i="98"/>
  <c r="M28" i="98"/>
  <c r="D28" i="98"/>
  <c r="M47" i="98"/>
  <c r="N221" i="76"/>
  <c r="M23" i="98"/>
  <c r="D119" i="76"/>
  <c r="N207" i="69"/>
  <c r="N29" i="69"/>
  <c r="D207" i="69"/>
  <c r="D191" i="76"/>
  <c r="N265" i="76"/>
  <c r="N165" i="76"/>
  <c r="D156" i="69"/>
  <c r="D40" i="70"/>
  <c r="N23" i="97"/>
  <c r="D63" i="97"/>
  <c r="E63" i="97" s="1" a="1"/>
  <c r="E63" i="97" s="1"/>
  <c r="N63" i="76"/>
  <c r="D168" i="69"/>
  <c r="N119" i="76"/>
  <c r="D265" i="76"/>
  <c r="D38" i="69"/>
  <c r="N168" i="69"/>
  <c r="N38" i="69"/>
  <c r="D23" i="98"/>
  <c r="D54" i="76"/>
  <c r="D154" i="76"/>
  <c r="E154" i="76" s="1" a="1"/>
  <c r="E154" i="76" s="1"/>
  <c r="D94" i="69"/>
  <c r="E94" i="69" s="1" a="1"/>
  <c r="E94" i="69" s="1"/>
  <c r="N274" i="76"/>
  <c r="D165" i="76"/>
  <c r="D29" i="69"/>
  <c r="D63" i="76"/>
  <c r="D134" i="69"/>
  <c r="D20" i="69"/>
  <c r="N104" i="69"/>
  <c r="D274" i="76"/>
  <c r="D104" i="69"/>
  <c r="D74" i="97"/>
  <c r="D143" i="76"/>
  <c r="E143" i="76" s="1" a="1"/>
  <c r="E143" i="76" s="1"/>
  <c r="N72" i="76"/>
  <c r="D72" i="76"/>
  <c r="D23" i="97"/>
  <c r="D221" i="76"/>
  <c r="N25" i="97"/>
  <c r="N175" i="69"/>
  <c r="D49" i="70"/>
  <c r="D40" i="69"/>
  <c r="N31" i="69"/>
  <c r="D267" i="76"/>
  <c r="D167" i="76"/>
  <c r="N121" i="76"/>
  <c r="D25" i="97"/>
  <c r="N209" i="69"/>
  <c r="D57" i="70"/>
  <c r="D42" i="70"/>
  <c r="D121" i="76"/>
  <c r="D64" i="70"/>
  <c r="D156" i="76"/>
  <c r="E156" i="76" s="1" a="1"/>
  <c r="E156" i="76" s="1"/>
  <c r="D65" i="97"/>
  <c r="E65" i="97" s="1" a="1"/>
  <c r="E65" i="97" s="1"/>
  <c r="D96" i="69"/>
  <c r="E96" i="69" s="1" a="1"/>
  <c r="E96" i="69" s="1"/>
  <c r="D230" i="76"/>
  <c r="D76" i="97"/>
  <c r="D106" i="69"/>
  <c r="D175" i="69"/>
  <c r="D31" i="69"/>
  <c r="D145" i="76"/>
  <c r="E145" i="76" s="1" a="1"/>
  <c r="E145" i="76" s="1"/>
  <c r="N283" i="76"/>
  <c r="N230" i="76"/>
  <c r="D283" i="76"/>
  <c r="D74" i="76"/>
  <c r="N267" i="76"/>
  <c r="N65" i="76"/>
  <c r="D56" i="76"/>
  <c r="D79" i="70"/>
  <c r="N40" i="69"/>
  <c r="D141" i="69"/>
  <c r="D209" i="69"/>
  <c r="D200" i="76"/>
  <c r="D86" i="70"/>
  <c r="N106" i="69"/>
  <c r="D22" i="69"/>
  <c r="D158" i="69"/>
  <c r="N74" i="76"/>
  <c r="D65" i="76"/>
  <c r="N167" i="76"/>
  <c r="N26" i="97"/>
  <c r="D144" i="69"/>
  <c r="D32" i="69"/>
  <c r="D210" i="69"/>
  <c r="D65" i="70"/>
  <c r="D168" i="76"/>
  <c r="D50" i="70"/>
  <c r="D178" i="69"/>
  <c r="D77" i="97"/>
  <c r="D26" i="97"/>
  <c r="N107" i="69"/>
  <c r="D23" i="69"/>
  <c r="D58" i="70"/>
  <c r="D41" i="69"/>
  <c r="N66" i="76"/>
  <c r="D87" i="70"/>
  <c r="N32" i="69"/>
  <c r="D107" i="69"/>
  <c r="N268" i="76"/>
  <c r="N210" i="69"/>
  <c r="N41" i="69"/>
  <c r="D97" i="69"/>
  <c r="E97" i="69" s="1" a="1"/>
  <c r="E97" i="69" s="1"/>
  <c r="D72" i="70"/>
  <c r="D159" i="69"/>
  <c r="D204" i="76"/>
  <c r="N122" i="76"/>
  <c r="D66" i="76"/>
  <c r="N287" i="76"/>
  <c r="D234" i="76"/>
  <c r="N178" i="69"/>
  <c r="D146" i="76"/>
  <c r="E146" i="76" s="1" a="1"/>
  <c r="E146" i="76" s="1"/>
  <c r="D287" i="76"/>
  <c r="D57" i="76"/>
  <c r="D43" i="70"/>
  <c r="N75" i="76"/>
  <c r="D157" i="76"/>
  <c r="E157" i="76" s="1" a="1"/>
  <c r="E157" i="76" s="1"/>
  <c r="D268" i="76"/>
  <c r="N234" i="76"/>
  <c r="N168" i="76"/>
  <c r="D75" i="76"/>
  <c r="D66" i="97"/>
  <c r="E66" i="97" s="1" a="1"/>
  <c r="E66" i="97" s="1"/>
  <c r="D122" i="76"/>
  <c r="E13" i="15"/>
  <c r="E252" i="105" l="1"/>
  <c r="O183" i="105"/>
  <c r="E33" i="97"/>
  <c r="E222" i="105"/>
  <c r="E135" i="105"/>
  <c r="O135" i="105"/>
  <c r="E80" i="97"/>
  <c r="E183" i="105"/>
  <c r="O33" i="97"/>
  <c r="E83" i="105"/>
  <c r="O80" i="97"/>
  <c r="O23" i="105"/>
  <c r="O252" i="105"/>
  <c r="E53" i="105"/>
  <c r="O53" i="105"/>
  <c r="E263" i="105"/>
  <c r="E199" i="76"/>
  <c r="O194" i="105"/>
  <c r="O229" i="76"/>
  <c r="E229" i="76"/>
  <c r="E44" i="97"/>
  <c r="E233" i="105"/>
  <c r="E146" i="105"/>
  <c r="O146" i="105"/>
  <c r="E194" i="105"/>
  <c r="O44" i="97"/>
  <c r="E64" i="105"/>
  <c r="O263" i="105"/>
  <c r="O282" i="76"/>
  <c r="E94" i="105"/>
  <c r="O64" i="105"/>
  <c r="O34" i="105"/>
  <c r="E282" i="76"/>
  <c r="E91" i="97"/>
  <c r="E34" i="105"/>
  <c r="O91" i="97"/>
  <c r="E251" i="105"/>
  <c r="O32" i="97"/>
  <c r="O182" i="105"/>
  <c r="E32" i="97"/>
  <c r="E221" i="105"/>
  <c r="E134" i="105"/>
  <c r="O134" i="105"/>
  <c r="E182" i="105"/>
  <c r="O52" i="105"/>
  <c r="E82" i="105"/>
  <c r="O251" i="105"/>
  <c r="O79" i="97"/>
  <c r="O22" i="105"/>
  <c r="E52" i="105"/>
  <c r="E79" i="97"/>
  <c r="E169" i="76" a="1"/>
  <c r="E169" i="76" s="1"/>
  <c r="Q169" i="76" a="1"/>
  <c r="Q169" i="76" s="1"/>
  <c r="R169" i="76" a="1"/>
  <c r="R169" i="76" s="1"/>
  <c r="H169" i="76" a="1"/>
  <c r="H169" i="76" s="1"/>
  <c r="G169" i="76" a="1"/>
  <c r="G169" i="76" s="1"/>
  <c r="F169" i="76" a="1"/>
  <c r="F169" i="76" s="1"/>
  <c r="P169" i="76" a="1"/>
  <c r="P169" i="76" s="1"/>
  <c r="O169" i="76" a="1"/>
  <c r="O169" i="76" s="1"/>
  <c r="E233" i="76"/>
  <c r="E48" i="97"/>
  <c r="E237" i="105"/>
  <c r="E150" i="105"/>
  <c r="O150" i="105"/>
  <c r="E198" i="105"/>
  <c r="O233" i="76"/>
  <c r="O48" i="97"/>
  <c r="E95" i="97"/>
  <c r="O286" i="76"/>
  <c r="O267" i="105"/>
  <c r="E98" i="105"/>
  <c r="E68" i="105"/>
  <c r="O38" i="105"/>
  <c r="O68" i="105"/>
  <c r="O95" i="97"/>
  <c r="E203" i="76"/>
  <c r="O198" i="105"/>
  <c r="E38" i="105"/>
  <c r="E267" i="105"/>
  <c r="E286" i="76"/>
  <c r="E99" i="97"/>
  <c r="O271" i="105"/>
  <c r="E102" i="105"/>
  <c r="E72" i="105"/>
  <c r="O42" i="105"/>
  <c r="O72" i="105"/>
  <c r="O237" i="76"/>
  <c r="O99" i="97"/>
  <c r="E271" i="105"/>
  <c r="E207" i="76"/>
  <c r="O202" i="105"/>
  <c r="O290" i="76"/>
  <c r="E52" i="97"/>
  <c r="E241" i="105"/>
  <c r="E202" i="105"/>
  <c r="O52" i="97"/>
  <c r="E237" i="76"/>
  <c r="O154" i="105"/>
  <c r="E42" i="105"/>
  <c r="E154" i="105"/>
  <c r="E290" i="76"/>
  <c r="O196" i="105"/>
  <c r="E46" i="97"/>
  <c r="E235" i="105"/>
  <c r="E148" i="105"/>
  <c r="O148" i="105"/>
  <c r="E196" i="105"/>
  <c r="O46" i="97"/>
  <c r="E93" i="97"/>
  <c r="O265" i="105"/>
  <c r="E96" i="105"/>
  <c r="E66" i="105"/>
  <c r="O36" i="105"/>
  <c r="O93" i="97"/>
  <c r="O66" i="105"/>
  <c r="E265" i="105"/>
  <c r="E295" i="76"/>
  <c r="O207" i="105"/>
  <c r="E57" i="97"/>
  <c r="E246" i="105"/>
  <c r="E159" i="105"/>
  <c r="O159" i="105"/>
  <c r="E207" i="105"/>
  <c r="O295" i="76"/>
  <c r="O57" i="97"/>
  <c r="E104" i="97"/>
  <c r="O276" i="105"/>
  <c r="O77" i="105"/>
  <c r="E47" i="105"/>
  <c r="E212" i="76"/>
  <c r="E107" i="105"/>
  <c r="O104" i="97"/>
  <c r="E276" i="105"/>
  <c r="E77" i="105"/>
  <c r="O47" i="105"/>
  <c r="O242" i="76"/>
  <c r="E242" i="76"/>
  <c r="O62" i="105"/>
  <c r="O89" i="97"/>
  <c r="E261" i="105"/>
  <c r="O192" i="105"/>
  <c r="E42" i="97"/>
  <c r="E231" i="105"/>
  <c r="E144" i="105"/>
  <c r="O144" i="105"/>
  <c r="E62" i="105"/>
  <c r="O42" i="97"/>
  <c r="O261" i="105"/>
  <c r="E192" i="105"/>
  <c r="E89" i="97"/>
  <c r="O32" i="105"/>
  <c r="E92" i="105"/>
  <c r="O101" i="97"/>
  <c r="E273" i="105"/>
  <c r="O204" i="105"/>
  <c r="E54" i="97"/>
  <c r="E243" i="105"/>
  <c r="E156" i="105"/>
  <c r="O156" i="105"/>
  <c r="E204" i="105"/>
  <c r="O44" i="105"/>
  <c r="E101" i="97"/>
  <c r="E74" i="105"/>
  <c r="O74" i="105"/>
  <c r="E104" i="105"/>
  <c r="O54" i="97"/>
  <c r="O273" i="105"/>
  <c r="O39" i="97"/>
  <c r="E86" i="97"/>
  <c r="O258" i="105"/>
  <c r="E89" i="105"/>
  <c r="E59" i="105"/>
  <c r="O29" i="105"/>
  <c r="O59" i="105"/>
  <c r="O86" i="97"/>
  <c r="O189" i="105"/>
  <c r="E258" i="105"/>
  <c r="O141" i="105"/>
  <c r="E141" i="105"/>
  <c r="E39" i="97"/>
  <c r="E228" i="105"/>
  <c r="E189" i="105"/>
  <c r="E190" i="76"/>
  <c r="O185" i="105"/>
  <c r="E25" i="105"/>
  <c r="E273" i="76"/>
  <c r="E35" i="97"/>
  <c r="E224" i="105"/>
  <c r="E137" i="105"/>
  <c r="O137" i="105"/>
  <c r="E185" i="105"/>
  <c r="O35" i="97"/>
  <c r="O220" i="76"/>
  <c r="E82" i="97"/>
  <c r="O254" i="105"/>
  <c r="E85" i="105"/>
  <c r="E55" i="105"/>
  <c r="O25" i="105"/>
  <c r="O82" i="97"/>
  <c r="E254" i="105"/>
  <c r="E220" i="76"/>
  <c r="O273" i="76"/>
  <c r="O55" i="105"/>
  <c r="O51" i="97"/>
  <c r="E98" i="97"/>
  <c r="O270" i="105"/>
  <c r="E101" i="105"/>
  <c r="E71" i="105"/>
  <c r="O41" i="105"/>
  <c r="O71" i="105"/>
  <c r="O98" i="97"/>
  <c r="E270" i="105"/>
  <c r="O201" i="105"/>
  <c r="E51" i="97"/>
  <c r="E201" i="105"/>
  <c r="E240" i="105"/>
  <c r="O153" i="105"/>
  <c r="E153" i="105"/>
  <c r="E275" i="105"/>
  <c r="O206" i="105"/>
  <c r="E56" i="97"/>
  <c r="E245" i="105"/>
  <c r="E158" i="105"/>
  <c r="O158" i="105"/>
  <c r="E206" i="105"/>
  <c r="E103" i="97"/>
  <c r="O56" i="97"/>
  <c r="O46" i="105"/>
  <c r="O275" i="105"/>
  <c r="E106" i="105"/>
  <c r="O76" i="105"/>
  <c r="O103" i="97"/>
  <c r="E76" i="105"/>
  <c r="E199" i="105"/>
  <c r="O49" i="97"/>
  <c r="E96" i="97"/>
  <c r="O268" i="105"/>
  <c r="E99" i="105"/>
  <c r="E69" i="105"/>
  <c r="O39" i="105"/>
  <c r="O69" i="105"/>
  <c r="O96" i="97"/>
  <c r="E268" i="105"/>
  <c r="E49" i="97"/>
  <c r="E151" i="105"/>
  <c r="E238" i="105"/>
  <c r="O199" i="105"/>
  <c r="O151" i="105"/>
  <c r="E188" i="105"/>
  <c r="O38" i="97"/>
  <c r="E85" i="97"/>
  <c r="O257" i="105"/>
  <c r="E88" i="105"/>
  <c r="E58" i="105"/>
  <c r="O28" i="105"/>
  <c r="O58" i="105"/>
  <c r="O85" i="97"/>
  <c r="E257" i="105"/>
  <c r="E140" i="105"/>
  <c r="E38" i="97"/>
  <c r="E227" i="105"/>
  <c r="O188" i="105"/>
  <c r="O140" i="105"/>
  <c r="O260" i="105"/>
  <c r="E91" i="105"/>
  <c r="E61" i="105"/>
  <c r="O31" i="105"/>
  <c r="O61" i="105"/>
  <c r="O88" i="97"/>
  <c r="E260" i="105"/>
  <c r="O191" i="105"/>
  <c r="E41" i="97"/>
  <c r="E230" i="105"/>
  <c r="E143" i="105"/>
  <c r="O41" i="97"/>
  <c r="E191" i="105"/>
  <c r="O143" i="105"/>
  <c r="E88" i="97"/>
  <c r="S266" i="76" a="1"/>
  <c r="S266" i="76" s="1"/>
  <c r="R266" i="76" a="1"/>
  <c r="R266" i="76" s="1"/>
  <c r="Q266" i="76" a="1"/>
  <c r="Q266" i="76" s="1"/>
  <c r="P266" i="76" a="1"/>
  <c r="P266" i="76" s="1"/>
  <c r="H266" i="76" a="1"/>
  <c r="H266" i="76" s="1"/>
  <c r="G266" i="76" a="1"/>
  <c r="G266" i="76" s="1"/>
  <c r="F266" i="76" a="1"/>
  <c r="F266" i="76" s="1"/>
  <c r="I266" i="76" a="1"/>
  <c r="I266" i="76" s="1"/>
  <c r="O40" i="97"/>
  <c r="E87" i="97"/>
  <c r="O259" i="105"/>
  <c r="E90" i="105"/>
  <c r="E60" i="105"/>
  <c r="O30" i="105"/>
  <c r="O60" i="105"/>
  <c r="O87" i="97"/>
  <c r="O225" i="76"/>
  <c r="E195" i="76"/>
  <c r="E259" i="105"/>
  <c r="E225" i="76"/>
  <c r="O190" i="105"/>
  <c r="E142" i="105"/>
  <c r="E278" i="76"/>
  <c r="O278" i="76"/>
  <c r="E40" i="97"/>
  <c r="O142" i="105"/>
  <c r="E229" i="105"/>
  <c r="E190" i="105"/>
  <c r="E30" i="105"/>
  <c r="O195" i="105"/>
  <c r="E45" i="97"/>
  <c r="E234" i="105"/>
  <c r="E147" i="105"/>
  <c r="O147" i="105"/>
  <c r="E195" i="105"/>
  <c r="O264" i="105"/>
  <c r="O45" i="97"/>
  <c r="E92" i="97"/>
  <c r="O92" i="97"/>
  <c r="O35" i="105"/>
  <c r="E264" i="105"/>
  <c r="E95" i="105"/>
  <c r="O65" i="105"/>
  <c r="E65" i="105"/>
  <c r="O50" i="97"/>
  <c r="E97" i="97"/>
  <c r="O269" i="105"/>
  <c r="E100" i="105"/>
  <c r="E70" i="105"/>
  <c r="O40" i="105"/>
  <c r="O70" i="105"/>
  <c r="O97" i="97"/>
  <c r="E269" i="105"/>
  <c r="O200" i="105"/>
  <c r="E50" i="97"/>
  <c r="E200" i="105"/>
  <c r="E152" i="105"/>
  <c r="E239" i="105"/>
  <c r="O152" i="105"/>
  <c r="G208" i="69" a="1"/>
  <c r="G208" i="69" s="1"/>
  <c r="H208" i="69" a="1"/>
  <c r="H208" i="69" s="1"/>
  <c r="E208" i="69" a="1"/>
  <c r="E208" i="69" s="1"/>
  <c r="F208" i="69" a="1"/>
  <c r="F208" i="69" s="1"/>
  <c r="E274" i="105"/>
  <c r="O205" i="105"/>
  <c r="E55" i="97"/>
  <c r="E244" i="105"/>
  <c r="E157" i="105"/>
  <c r="O157" i="105"/>
  <c r="E205" i="105"/>
  <c r="O55" i="97"/>
  <c r="O45" i="105"/>
  <c r="E75" i="105"/>
  <c r="O274" i="105"/>
  <c r="E102" i="97"/>
  <c r="O75" i="105"/>
  <c r="E105" i="105"/>
  <c r="O102" i="97"/>
  <c r="P268" i="76" a="1"/>
  <c r="P268" i="76" s="1"/>
  <c r="I268" i="76" a="1"/>
  <c r="I268" i="76" s="1"/>
  <c r="H268" i="76" a="1"/>
  <c r="H268" i="76" s="1"/>
  <c r="G268" i="76" a="1"/>
  <c r="G268" i="76" s="1"/>
  <c r="F268" i="76" a="1"/>
  <c r="F268" i="76" s="1"/>
  <c r="S268" i="76" a="1"/>
  <c r="S268" i="76" s="1"/>
  <c r="R268" i="76" a="1"/>
  <c r="R268" i="76" s="1"/>
  <c r="Q268" i="76" a="1"/>
  <c r="Q268" i="76" s="1"/>
  <c r="E47" i="97"/>
  <c r="E236" i="105"/>
  <c r="E149" i="105"/>
  <c r="O149" i="105"/>
  <c r="E197" i="105"/>
  <c r="O47" i="97"/>
  <c r="E94" i="97"/>
  <c r="O266" i="105"/>
  <c r="E97" i="105"/>
  <c r="E67" i="105"/>
  <c r="O37" i="105"/>
  <c r="O67" i="105"/>
  <c r="O94" i="97"/>
  <c r="E266" i="105"/>
  <c r="O197" i="105"/>
  <c r="E207" i="69" a="1"/>
  <c r="E207" i="69" s="1"/>
  <c r="F207" i="69" a="1"/>
  <c r="F207" i="69" s="1"/>
  <c r="G207" i="69" a="1"/>
  <c r="G207" i="69" s="1"/>
  <c r="H207" i="69" a="1"/>
  <c r="H207" i="69" s="1"/>
  <c r="E211" i="69" a="1"/>
  <c r="E211" i="69" s="1"/>
  <c r="H211" i="69" a="1"/>
  <c r="H211" i="69" s="1"/>
  <c r="G211" i="69" a="1"/>
  <c r="G211" i="69" s="1"/>
  <c r="F211" i="69" a="1"/>
  <c r="F211" i="69" s="1"/>
  <c r="G269" i="76" a="1"/>
  <c r="G269" i="76" s="1"/>
  <c r="F269" i="76" a="1"/>
  <c r="F269" i="76" s="1"/>
  <c r="S269" i="76" a="1"/>
  <c r="S269" i="76" s="1"/>
  <c r="R269" i="76" a="1"/>
  <c r="R269" i="76" s="1"/>
  <c r="I269" i="76" a="1"/>
  <c r="I269" i="76" s="1"/>
  <c r="Q269" i="76" a="1"/>
  <c r="Q269" i="76" s="1"/>
  <c r="P269" i="76" a="1"/>
  <c r="P269" i="76" s="1"/>
  <c r="H269" i="76" a="1"/>
  <c r="H269" i="76" s="1"/>
  <c r="O73" i="105"/>
  <c r="O100" i="97"/>
  <c r="E272" i="105"/>
  <c r="O203" i="105"/>
  <c r="E53" i="97"/>
  <c r="E242" i="105"/>
  <c r="E155" i="105"/>
  <c r="O155" i="105"/>
  <c r="O43" i="105"/>
  <c r="E73" i="105"/>
  <c r="E100" i="97"/>
  <c r="E103" i="105"/>
  <c r="E203" i="105"/>
  <c r="O53" i="97"/>
  <c r="O272" i="105"/>
  <c r="O184" i="105"/>
  <c r="E34" i="97"/>
  <c r="E223" i="105"/>
  <c r="E136" i="105"/>
  <c r="O136" i="105"/>
  <c r="E184" i="105"/>
  <c r="O253" i="105"/>
  <c r="O34" i="97"/>
  <c r="E81" i="97"/>
  <c r="E84" i="105"/>
  <c r="O81" i="97"/>
  <c r="E253" i="105"/>
  <c r="E54" i="105"/>
  <c r="O24" i="105"/>
  <c r="O54" i="105"/>
  <c r="H209" i="69" a="1"/>
  <c r="H209" i="69" s="1"/>
  <c r="G209" i="69" a="1"/>
  <c r="G209" i="69" s="1"/>
  <c r="F209" i="69" a="1"/>
  <c r="F209" i="69" s="1"/>
  <c r="E209" i="69" a="1"/>
  <c r="E209" i="69" s="1"/>
  <c r="I265" i="76" a="1"/>
  <c r="I265" i="76" s="1"/>
  <c r="H265" i="76" a="1"/>
  <c r="H265" i="76" s="1"/>
  <c r="G265" i="76" a="1"/>
  <c r="G265" i="76" s="1"/>
  <c r="F265" i="76" a="1"/>
  <c r="F265" i="76" s="1"/>
  <c r="S265" i="76" a="1"/>
  <c r="S265" i="76" s="1"/>
  <c r="R265" i="76" a="1"/>
  <c r="R265" i="76" s="1"/>
  <c r="Q265" i="76" a="1"/>
  <c r="Q265" i="76" s="1"/>
  <c r="P265" i="76" a="1"/>
  <c r="P265" i="76" s="1"/>
  <c r="O139" i="105"/>
  <c r="E187" i="105"/>
  <c r="E256" i="105"/>
  <c r="O37" i="97"/>
  <c r="E84" i="97"/>
  <c r="O256" i="105"/>
  <c r="E87" i="105"/>
  <c r="E57" i="105"/>
  <c r="O27" i="105"/>
  <c r="O57" i="105"/>
  <c r="O84" i="97"/>
  <c r="E139" i="105"/>
  <c r="E226" i="105"/>
  <c r="O187" i="105"/>
  <c r="E37" i="97"/>
  <c r="S267" i="76" a="1"/>
  <c r="S267" i="76" s="1"/>
  <c r="R267" i="76" a="1"/>
  <c r="R267" i="76" s="1"/>
  <c r="Q267" i="76" a="1"/>
  <c r="Q267" i="76" s="1"/>
  <c r="P267" i="76" a="1"/>
  <c r="P267" i="76" s="1"/>
  <c r="H267" i="76" a="1"/>
  <c r="H267" i="76" s="1"/>
  <c r="I267" i="76" a="1"/>
  <c r="I267" i="76" s="1"/>
  <c r="G267" i="76" a="1"/>
  <c r="G267" i="76" s="1"/>
  <c r="F267" i="76" a="1"/>
  <c r="F267" i="76" s="1"/>
  <c r="E36" i="97"/>
  <c r="E225" i="105"/>
  <c r="E138" i="105"/>
  <c r="O138" i="105"/>
  <c r="E186" i="105"/>
  <c r="O36" i="97"/>
  <c r="E83" i="97"/>
  <c r="O255" i="105"/>
  <c r="E86" i="105"/>
  <c r="E56" i="105"/>
  <c r="O26" i="105"/>
  <c r="O56" i="105"/>
  <c r="O83" i="97"/>
  <c r="O186" i="105"/>
  <c r="E255" i="105"/>
  <c r="O90" i="97"/>
  <c r="E262" i="105"/>
  <c r="O193" i="105"/>
  <c r="E43" i="97"/>
  <c r="E232" i="105"/>
  <c r="E145" i="105"/>
  <c r="O145" i="105"/>
  <c r="E193" i="105"/>
  <c r="E63" i="105"/>
  <c r="O43" i="97"/>
  <c r="O262" i="105"/>
  <c r="O63" i="105"/>
  <c r="E90" i="97"/>
  <c r="O33" i="105"/>
  <c r="E93" i="105"/>
  <c r="E210" i="69" a="1"/>
  <c r="E210" i="69" s="1"/>
  <c r="G210" i="69" a="1"/>
  <c r="G210" i="69" s="1"/>
  <c r="F210" i="69" a="1"/>
  <c r="F210" i="69" s="1"/>
  <c r="H210" i="69" a="1"/>
  <c r="H210" i="69" s="1"/>
  <c r="E123" i="105" a="1"/>
  <c r="E123" i="105" s="1"/>
  <c r="S74" i="97" a="1"/>
  <c r="S74" i="97" s="1"/>
  <c r="R75" i="97" a="1"/>
  <c r="R75" i="97" s="1"/>
  <c r="S75" i="97" a="1"/>
  <c r="S75" i="97" s="1"/>
  <c r="S78" i="97" a="1"/>
  <c r="S78" i="97" s="1"/>
  <c r="Q78" i="97" a="1"/>
  <c r="Q78" i="97" s="1"/>
  <c r="P75" i="97" a="1"/>
  <c r="P75" i="97" s="1"/>
  <c r="R77" i="97" a="1"/>
  <c r="R77" i="97" s="1"/>
  <c r="Q76" i="97" a="1"/>
  <c r="Q76" i="97" s="1"/>
  <c r="S77" i="97" a="1"/>
  <c r="S77" i="97" s="1"/>
  <c r="R78" i="97" a="1"/>
  <c r="R78" i="97" s="1"/>
  <c r="P74" i="97" a="1"/>
  <c r="P74" i="97" s="1"/>
  <c r="R76" i="97" a="1"/>
  <c r="R76" i="97" s="1"/>
  <c r="Q74" i="97" a="1"/>
  <c r="Q74" i="97" s="1"/>
  <c r="P77" i="97" a="1"/>
  <c r="P77" i="97" s="1"/>
  <c r="Q75" i="97" a="1"/>
  <c r="Q75" i="97" s="1"/>
  <c r="P78" i="97" a="1"/>
  <c r="P78" i="97" s="1"/>
  <c r="Q77" i="97" a="1"/>
  <c r="Q77" i="97" s="1"/>
  <c r="R74" i="97" a="1"/>
  <c r="R74" i="97" s="1"/>
  <c r="P76" i="97" a="1"/>
  <c r="P76" i="97" s="1"/>
  <c r="S76" i="97" a="1"/>
  <c r="S76" i="97" s="1"/>
  <c r="H78" i="97" a="1"/>
  <c r="H78" i="97" s="1"/>
  <c r="G78" i="97" a="1"/>
  <c r="G78" i="97" s="1"/>
  <c r="F78" i="97" a="1"/>
  <c r="F78" i="97" s="1"/>
  <c r="I78" i="97" a="1"/>
  <c r="I78" i="97" s="1"/>
  <c r="I74" i="97" a="1"/>
  <c r="I74" i="97" s="1"/>
  <c r="H74" i="97" a="1"/>
  <c r="H74" i="97" s="1"/>
  <c r="G74" i="97" a="1"/>
  <c r="G74" i="97" s="1"/>
  <c r="F74" i="97" a="1"/>
  <c r="F74" i="97" s="1"/>
  <c r="H76" i="97" a="1"/>
  <c r="H76" i="97" s="1"/>
  <c r="G76" i="97" a="1"/>
  <c r="G76" i="97" s="1"/>
  <c r="I76" i="97" a="1"/>
  <c r="I76" i="97" s="1"/>
  <c r="F76" i="97" a="1"/>
  <c r="F76" i="97" s="1"/>
  <c r="I77" i="97" a="1"/>
  <c r="I77" i="97" s="1"/>
  <c r="H77" i="97" a="1"/>
  <c r="H77" i="97" s="1"/>
  <c r="G77" i="97" a="1"/>
  <c r="G77" i="97" s="1"/>
  <c r="F77" i="97" a="1"/>
  <c r="F77" i="97" s="1"/>
  <c r="H75" i="97" a="1"/>
  <c r="H75" i="97" s="1"/>
  <c r="G75" i="97" a="1"/>
  <c r="G75" i="97" s="1"/>
  <c r="F75" i="97" a="1"/>
  <c r="F75" i="97" s="1"/>
  <c r="I75" i="97" a="1"/>
  <c r="I75" i="97" s="1"/>
  <c r="E28" i="105"/>
  <c r="E37" i="105"/>
  <c r="E39" i="105"/>
  <c r="E32" i="105"/>
  <c r="E23" i="105"/>
  <c r="E24" i="105"/>
  <c r="E36" i="105"/>
  <c r="E26" i="105"/>
  <c r="E31" i="105"/>
  <c r="E35" i="105"/>
  <c r="E22" i="105"/>
  <c r="E43" i="105"/>
  <c r="E44" i="105"/>
  <c r="E40" i="105"/>
  <c r="E46" i="105"/>
  <c r="E27" i="105"/>
  <c r="E45" i="105"/>
  <c r="E33" i="105"/>
  <c r="E29" i="105"/>
  <c r="E41" i="105"/>
  <c r="O175" i="69"/>
  <c r="O230" i="76"/>
  <c r="O283" i="76"/>
  <c r="E230" i="76"/>
  <c r="E175" i="69"/>
  <c r="E283" i="76"/>
  <c r="E200" i="76"/>
  <c r="E141" i="69"/>
  <c r="O238" i="76"/>
  <c r="E291" i="76"/>
  <c r="O291" i="76"/>
  <c r="E238" i="76"/>
  <c r="E208" i="76"/>
  <c r="E181" i="69"/>
  <c r="E147" i="69"/>
  <c r="O181" i="69"/>
  <c r="O270" i="76"/>
  <c r="E165" i="69"/>
  <c r="E270" i="76"/>
  <c r="E187" i="76"/>
  <c r="E217" i="76"/>
  <c r="E131" i="69"/>
  <c r="O165" i="69"/>
  <c r="O217" i="76"/>
  <c r="O183" i="69"/>
  <c r="E240" i="76"/>
  <c r="O240" i="76"/>
  <c r="E149" i="69"/>
  <c r="E293" i="76"/>
  <c r="O293" i="76"/>
  <c r="E210" i="76"/>
  <c r="E183" i="69"/>
  <c r="O174" i="69"/>
  <c r="O228" i="76"/>
  <c r="E281" i="76"/>
  <c r="E140" i="69"/>
  <c r="O281" i="76"/>
  <c r="E174" i="69"/>
  <c r="E198" i="76"/>
  <c r="E228" i="76"/>
  <c r="E62" i="97" a="1"/>
  <c r="E62" i="97" s="1"/>
  <c r="E148" i="69"/>
  <c r="E182" i="69"/>
  <c r="O239" i="76"/>
  <c r="E292" i="76"/>
  <c r="O292" i="76"/>
  <c r="O182" i="69"/>
  <c r="E209" i="76"/>
  <c r="E239" i="76"/>
  <c r="E150" i="69"/>
  <c r="E184" i="69"/>
  <c r="O241" i="76"/>
  <c r="O294" i="76"/>
  <c r="E294" i="76"/>
  <c r="E211" i="76"/>
  <c r="E241" i="76"/>
  <c r="O184" i="69"/>
  <c r="E170" i="69"/>
  <c r="E276" i="76"/>
  <c r="E136" i="69"/>
  <c r="O223" i="76"/>
  <c r="O170" i="69"/>
  <c r="E223" i="76"/>
  <c r="E193" i="76"/>
  <c r="O276" i="76"/>
  <c r="E105" i="69" a="1"/>
  <c r="E105" i="69" s="1"/>
  <c r="Q105" i="69" a="1"/>
  <c r="Q105" i="69" s="1"/>
  <c r="G105" i="69" a="1"/>
  <c r="G105" i="69" s="1"/>
  <c r="F105" i="69" a="1"/>
  <c r="F105" i="69" s="1"/>
  <c r="P105" i="69" a="1"/>
  <c r="P105" i="69" s="1"/>
  <c r="R105" i="69" a="1"/>
  <c r="R105" i="69" s="1"/>
  <c r="H105" i="69" a="1"/>
  <c r="H105" i="69" s="1"/>
  <c r="O105" i="69" a="1"/>
  <c r="O105" i="69" s="1"/>
  <c r="H103" i="69" a="1"/>
  <c r="H103" i="69" s="1"/>
  <c r="E103" i="69" a="1"/>
  <c r="E103" i="69" s="1"/>
  <c r="R103" i="69" a="1"/>
  <c r="R103" i="69" s="1"/>
  <c r="G103" i="69" a="1"/>
  <c r="G103" i="69" s="1"/>
  <c r="F103" i="69" a="1"/>
  <c r="F103" i="69" s="1"/>
  <c r="Q103" i="69" a="1"/>
  <c r="Q103" i="69" s="1"/>
  <c r="P103" i="69" a="1"/>
  <c r="P103" i="69" s="1"/>
  <c r="O103" i="69" a="1"/>
  <c r="O103" i="69" s="1"/>
  <c r="E235" i="76"/>
  <c r="E205" i="76"/>
  <c r="E288" i="76"/>
  <c r="O179" i="69"/>
  <c r="E179" i="69"/>
  <c r="E145" i="69"/>
  <c r="O288" i="76"/>
  <c r="O235" i="76"/>
  <c r="G167" i="76" a="1"/>
  <c r="G167" i="76" s="1"/>
  <c r="H233" i="76" s="1" a="1"/>
  <c r="H233" i="76" s="1"/>
  <c r="O167" i="76" a="1"/>
  <c r="O167" i="76" s="1"/>
  <c r="P233" i="76" s="1" a="1"/>
  <c r="P233" i="76" s="1"/>
  <c r="R167" i="76" a="1"/>
  <c r="R167" i="76" s="1"/>
  <c r="S233" i="76" s="1" a="1"/>
  <c r="S233" i="76" s="1"/>
  <c r="P167" i="76" a="1"/>
  <c r="P167" i="76" s="1"/>
  <c r="Q233" i="76" s="1" a="1"/>
  <c r="Q233" i="76" s="1"/>
  <c r="E167" i="76" a="1"/>
  <c r="E167" i="76" s="1"/>
  <c r="F233" i="76" s="1" a="1"/>
  <c r="F233" i="76" s="1"/>
  <c r="H167" i="76" a="1"/>
  <c r="H167" i="76" s="1"/>
  <c r="I233" i="76" s="1" a="1"/>
  <c r="I233" i="76" s="1"/>
  <c r="Q167" i="76" a="1"/>
  <c r="Q167" i="76" s="1"/>
  <c r="R233" i="76" s="1" a="1"/>
  <c r="R233" i="76" s="1"/>
  <c r="F167" i="76" a="1"/>
  <c r="F167" i="76" s="1"/>
  <c r="G233" i="76" s="1" a="1"/>
  <c r="G233" i="76" s="1"/>
  <c r="F104" i="69" a="1"/>
  <c r="F104" i="69" s="1"/>
  <c r="E104" i="69" a="1"/>
  <c r="E104" i="69" s="1"/>
  <c r="H104" i="69" a="1"/>
  <c r="H104" i="69" s="1"/>
  <c r="G104" i="69" a="1"/>
  <c r="G104" i="69" s="1"/>
  <c r="P104" i="69" a="1"/>
  <c r="P104" i="69" s="1"/>
  <c r="R104" i="69" a="1"/>
  <c r="R104" i="69" s="1"/>
  <c r="O104" i="69" a="1"/>
  <c r="O104" i="69" s="1"/>
  <c r="Q104" i="69" a="1"/>
  <c r="Q104" i="69" s="1"/>
  <c r="E178" i="69"/>
  <c r="E144" i="69"/>
  <c r="E287" i="76"/>
  <c r="O287" i="76"/>
  <c r="O234" i="76"/>
  <c r="E234" i="76"/>
  <c r="E204" i="76"/>
  <c r="O178" i="69"/>
  <c r="E169" i="69"/>
  <c r="O169" i="69"/>
  <c r="E275" i="76"/>
  <c r="O275" i="76"/>
  <c r="O222" i="76"/>
  <c r="E222" i="76"/>
  <c r="E192" i="76"/>
  <c r="E135" i="69"/>
  <c r="E176" i="69"/>
  <c r="E142" i="69"/>
  <c r="O176" i="69"/>
  <c r="O231" i="76"/>
  <c r="O284" i="76"/>
  <c r="E201" i="76"/>
  <c r="E284" i="76"/>
  <c r="E231" i="76"/>
  <c r="E146" i="69"/>
  <c r="E289" i="76"/>
  <c r="E236" i="76"/>
  <c r="E206" i="76"/>
  <c r="O236" i="76"/>
  <c r="E180" i="69"/>
  <c r="O180" i="69"/>
  <c r="O289" i="76"/>
  <c r="E165" i="76" a="1"/>
  <c r="E165" i="76" s="1"/>
  <c r="F225" i="76" s="1" a="1"/>
  <c r="F225" i="76" s="1"/>
  <c r="P165" i="76" a="1"/>
  <c r="P165" i="76" s="1"/>
  <c r="Q225" i="76" s="1" a="1"/>
  <c r="Q225" i="76" s="1"/>
  <c r="H165" i="76" a="1"/>
  <c r="H165" i="76" s="1"/>
  <c r="I225" i="76" s="1" a="1"/>
  <c r="I225" i="76" s="1"/>
  <c r="G165" i="76" a="1"/>
  <c r="G165" i="76" s="1"/>
  <c r="H225" i="76" s="1" a="1"/>
  <c r="H225" i="76" s="1"/>
  <c r="Q165" i="76" a="1"/>
  <c r="Q165" i="76" s="1"/>
  <c r="R225" i="76" s="1" a="1"/>
  <c r="R225" i="76" s="1"/>
  <c r="F165" i="76" a="1"/>
  <c r="F165" i="76" s="1"/>
  <c r="G225" i="76" s="1" a="1"/>
  <c r="G225" i="76" s="1"/>
  <c r="O165" i="76" a="1"/>
  <c r="O165" i="76" s="1"/>
  <c r="P225" i="76" s="1" a="1"/>
  <c r="P225" i="76" s="1"/>
  <c r="R165" i="76" a="1"/>
  <c r="R165" i="76" s="1"/>
  <c r="S225" i="76" s="1" a="1"/>
  <c r="S225" i="76" s="1"/>
  <c r="E153" i="76" a="1"/>
  <c r="E153" i="76" s="1"/>
  <c r="P164" i="76" s="1" a="1"/>
  <c r="P164" i="76" s="1"/>
  <c r="Q220" i="76" s="1" a="1"/>
  <c r="Q220" i="76" s="1"/>
  <c r="O171" i="69"/>
  <c r="O277" i="76"/>
  <c r="E277" i="76"/>
  <c r="E137" i="69"/>
  <c r="O224" i="76"/>
  <c r="E224" i="76"/>
  <c r="E194" i="76"/>
  <c r="E171" i="69"/>
  <c r="F168" i="76" a="1"/>
  <c r="F168" i="76" s="1"/>
  <c r="G237" i="76" s="1" a="1"/>
  <c r="G237" i="76" s="1"/>
  <c r="R168" i="76" a="1"/>
  <c r="R168" i="76" s="1"/>
  <c r="S237" i="76" s="1" a="1"/>
  <c r="S237" i="76" s="1"/>
  <c r="O168" i="76" a="1"/>
  <c r="O168" i="76" s="1"/>
  <c r="P237" i="76" s="1" a="1"/>
  <c r="P237" i="76" s="1"/>
  <c r="Q168" i="76" a="1"/>
  <c r="Q168" i="76" s="1"/>
  <c r="R237" i="76" s="1" a="1"/>
  <c r="R237" i="76" s="1"/>
  <c r="P168" i="76" a="1"/>
  <c r="P168" i="76" s="1"/>
  <c r="Q237" i="76" s="1" a="1"/>
  <c r="Q237" i="76" s="1"/>
  <c r="H168" i="76" a="1"/>
  <c r="H168" i="76" s="1"/>
  <c r="I237" i="76" s="1" a="1"/>
  <c r="I237" i="76" s="1"/>
  <c r="G168" i="76" a="1"/>
  <c r="G168" i="76" s="1"/>
  <c r="H237" i="76" s="1" a="1"/>
  <c r="H237" i="76" s="1"/>
  <c r="E168" i="76" a="1"/>
  <c r="E168" i="76" s="1"/>
  <c r="F237" i="76" s="1" a="1"/>
  <c r="F237" i="76" s="1"/>
  <c r="E285" i="76"/>
  <c r="E232" i="76"/>
  <c r="E143" i="69"/>
  <c r="E202" i="76"/>
  <c r="O285" i="76"/>
  <c r="E177" i="69"/>
  <c r="O177" i="69"/>
  <c r="O232" i="76"/>
  <c r="R106" i="69" a="1"/>
  <c r="R106" i="69" s="1"/>
  <c r="G106" i="69" a="1"/>
  <c r="G106" i="69" s="1"/>
  <c r="P106" i="69" a="1"/>
  <c r="P106" i="69" s="1"/>
  <c r="F106" i="69" a="1"/>
  <c r="F106" i="69" s="1"/>
  <c r="H106" i="69" a="1"/>
  <c r="H106" i="69" s="1"/>
  <c r="Q106" i="69" a="1"/>
  <c r="Q106" i="69" s="1"/>
  <c r="E106" i="69" a="1"/>
  <c r="E106" i="69" s="1"/>
  <c r="O106" i="69" a="1"/>
  <c r="O106" i="69" s="1"/>
  <c r="O166" i="76" a="1"/>
  <c r="O166" i="76" s="1"/>
  <c r="P229" i="76" s="1" a="1"/>
  <c r="P229" i="76" s="1"/>
  <c r="H166" i="76" a="1"/>
  <c r="H166" i="76" s="1"/>
  <c r="I229" i="76" s="1" a="1"/>
  <c r="I229" i="76" s="1"/>
  <c r="F166" i="76" a="1"/>
  <c r="F166" i="76" s="1"/>
  <c r="G229" i="76" s="1" a="1"/>
  <c r="G229" i="76" s="1"/>
  <c r="Q166" i="76" a="1"/>
  <c r="Q166" i="76" s="1"/>
  <c r="R229" i="76" s="1" a="1"/>
  <c r="R229" i="76" s="1"/>
  <c r="E166" i="76" a="1"/>
  <c r="E166" i="76" s="1"/>
  <c r="F229" i="76" s="1" a="1"/>
  <c r="F229" i="76" s="1"/>
  <c r="P166" i="76" a="1"/>
  <c r="P166" i="76" s="1"/>
  <c r="Q229" i="76" s="1" a="1"/>
  <c r="Q229" i="76" s="1"/>
  <c r="G166" i="76" a="1"/>
  <c r="G166" i="76" s="1"/>
  <c r="H229" i="76" s="1" a="1"/>
  <c r="H229" i="76" s="1"/>
  <c r="R166" i="76" a="1"/>
  <c r="R166" i="76" s="1"/>
  <c r="S229" i="76" s="1" a="1"/>
  <c r="S229" i="76" s="1"/>
  <c r="O280" i="76"/>
  <c r="E280" i="76"/>
  <c r="E197" i="76"/>
  <c r="E173" i="69"/>
  <c r="E227" i="76"/>
  <c r="E139" i="69"/>
  <c r="O173" i="69"/>
  <c r="O227" i="76"/>
  <c r="O167" i="69"/>
  <c r="O219" i="76"/>
  <c r="O272" i="76"/>
  <c r="E272" i="76"/>
  <c r="E133" i="69"/>
  <c r="E219" i="76"/>
  <c r="E189" i="76"/>
  <c r="E167" i="69"/>
  <c r="E279" i="76"/>
  <c r="O172" i="69"/>
  <c r="E138" i="69"/>
  <c r="E172" i="69"/>
  <c r="E226" i="76"/>
  <c r="O226" i="76"/>
  <c r="E196" i="76"/>
  <c r="O279" i="76"/>
  <c r="F107" i="69" a="1"/>
  <c r="F107" i="69" s="1"/>
  <c r="G107" i="69" a="1"/>
  <c r="G107" i="69" s="1"/>
  <c r="P107" i="69" a="1"/>
  <c r="P107" i="69" s="1"/>
  <c r="E107" i="69" a="1"/>
  <c r="E107" i="69" s="1"/>
  <c r="R107" i="69" a="1"/>
  <c r="R107" i="69" s="1"/>
  <c r="H107" i="69" a="1"/>
  <c r="H107" i="69" s="1"/>
  <c r="O107" i="69" a="1"/>
  <c r="O107" i="69" s="1"/>
  <c r="Q107" i="69" a="1"/>
  <c r="Q107" i="69" s="1"/>
  <c r="O221" i="76"/>
  <c r="E168" i="69"/>
  <c r="E274" i="76"/>
  <c r="E221" i="76"/>
  <c r="E191" i="76"/>
  <c r="O274" i="76"/>
  <c r="E134" i="69"/>
  <c r="O168" i="69"/>
  <c r="E188" i="76"/>
  <c r="E132" i="69"/>
  <c r="E166" i="69"/>
  <c r="O218" i="76"/>
  <c r="O166" i="69"/>
  <c r="E271" i="76"/>
  <c r="O271" i="76"/>
  <c r="E218" i="76"/>
  <c r="P108" i="69" a="1"/>
  <c r="P108" i="69" s="1"/>
  <c r="F108" i="69" a="1"/>
  <c r="F108" i="69" s="1"/>
  <c r="H108" i="69" a="1"/>
  <c r="H108" i="69" s="1"/>
  <c r="G108" i="69" a="1"/>
  <c r="G108" i="69" s="1"/>
  <c r="Q108" i="69" a="1"/>
  <c r="Q108" i="69" s="1"/>
  <c r="R108" i="69" a="1"/>
  <c r="R108" i="69" s="1"/>
  <c r="O108" i="69" a="1"/>
  <c r="O108" i="69" s="1"/>
  <c r="E108" i="69" a="1"/>
  <c r="E108" i="69" s="1"/>
  <c r="S183" i="69" l="1" a="1"/>
  <c r="S183" i="69" s="1"/>
  <c r="S184" i="69" a="1"/>
  <c r="S184" i="69" s="1"/>
  <c r="S182" i="69" a="1"/>
  <c r="S182" i="69" s="1"/>
  <c r="S181" i="69" a="1"/>
  <c r="S181" i="69" s="1"/>
  <c r="R181" i="69" a="1"/>
  <c r="R181" i="69" s="1"/>
  <c r="R184" i="69" a="1"/>
  <c r="R184" i="69" s="1"/>
  <c r="R183" i="69" a="1"/>
  <c r="R183" i="69" s="1"/>
  <c r="R182" i="69" a="1"/>
  <c r="R182" i="69" s="1"/>
  <c r="Q181" i="69" a="1"/>
  <c r="Q181" i="69" s="1"/>
  <c r="Q182" i="69" a="1"/>
  <c r="Q182" i="69" s="1"/>
  <c r="Q184" i="69" a="1"/>
  <c r="Q184" i="69" s="1"/>
  <c r="Q183" i="69" a="1"/>
  <c r="Q183" i="69" s="1"/>
  <c r="P182" i="69" a="1"/>
  <c r="P182" i="69" s="1"/>
  <c r="P184" i="69" a="1"/>
  <c r="P184" i="69" s="1"/>
  <c r="P181" i="69" a="1"/>
  <c r="P181" i="69" s="1"/>
  <c r="P183" i="69" a="1"/>
  <c r="P183" i="69" s="1"/>
  <c r="P264" i="76" a="1"/>
  <c r="P264" i="76" s="1"/>
  <c r="I264" i="76" a="1"/>
  <c r="I264" i="76" s="1"/>
  <c r="I44" i="97"/>
  <c r="I34" i="105"/>
  <c r="Q40" i="97"/>
  <c r="Q30" i="105"/>
  <c r="G48" i="97"/>
  <c r="G38" i="105"/>
  <c r="F264" i="76" a="1"/>
  <c r="F264" i="76" s="1"/>
  <c r="H241" i="76" a="1"/>
  <c r="H241" i="76" s="1"/>
  <c r="H294" i="76" s="1" a="1"/>
  <c r="H294" i="76" s="1"/>
  <c r="H239" i="76" a="1"/>
  <c r="H239" i="76" s="1"/>
  <c r="H292" i="76" s="1" a="1"/>
  <c r="H292" i="76" s="1"/>
  <c r="H242" i="76" a="1"/>
  <c r="H242" i="76" s="1"/>
  <c r="H240" i="76" a="1"/>
  <c r="H240" i="76" s="1"/>
  <c r="H293" i="76" s="1" a="1"/>
  <c r="H293" i="76" s="1"/>
  <c r="H238" i="76" a="1"/>
  <c r="H238" i="76" s="1"/>
  <c r="H291" i="76" s="1" a="1"/>
  <c r="H291" i="76" s="1"/>
  <c r="S48" i="97"/>
  <c r="S38" i="105"/>
  <c r="G30" i="105"/>
  <c r="G40" i="97"/>
  <c r="P34" i="105"/>
  <c r="P44" i="97"/>
  <c r="F30" i="105"/>
  <c r="F40" i="97"/>
  <c r="R48" i="97"/>
  <c r="R38" i="105"/>
  <c r="G264" i="76" a="1"/>
  <c r="G264" i="76" s="1"/>
  <c r="I242" i="76" a="1"/>
  <c r="I242" i="76" s="1"/>
  <c r="I239" i="76" a="1"/>
  <c r="I239" i="76" s="1"/>
  <c r="I292" i="76" s="1" a="1"/>
  <c r="I292" i="76" s="1"/>
  <c r="I238" i="76" a="1"/>
  <c r="I238" i="76" s="1"/>
  <c r="I240" i="76" a="1"/>
  <c r="I240" i="76" s="1"/>
  <c r="I241" i="76" a="1"/>
  <c r="I241" i="76" s="1"/>
  <c r="I294" i="76" s="1" a="1"/>
  <c r="I294" i="76" s="1"/>
  <c r="I48" i="97"/>
  <c r="I38" i="105"/>
  <c r="H264" i="76" a="1"/>
  <c r="H264" i="76" s="1"/>
  <c r="S242" i="76" a="1"/>
  <c r="S242" i="76" s="1"/>
  <c r="S238" i="76" a="1"/>
  <c r="S238" i="76" s="1"/>
  <c r="S291" i="76" s="1" a="1"/>
  <c r="S291" i="76" s="1"/>
  <c r="S239" i="76" a="1"/>
  <c r="S239" i="76" s="1"/>
  <c r="S292" i="76" s="1" a="1"/>
  <c r="S292" i="76" s="1"/>
  <c r="S241" i="76" a="1"/>
  <c r="S241" i="76" s="1"/>
  <c r="S240" i="76" a="1"/>
  <c r="S240" i="76" s="1"/>
  <c r="S293" i="76" s="1" a="1"/>
  <c r="S293" i="76" s="1"/>
  <c r="R242" i="76" a="1"/>
  <c r="R242" i="76" s="1"/>
  <c r="R238" i="76" a="1"/>
  <c r="R238" i="76" s="1"/>
  <c r="R240" i="76" a="1"/>
  <c r="R240" i="76" s="1"/>
  <c r="R293" i="76" s="1" a="1"/>
  <c r="R293" i="76" s="1"/>
  <c r="R241" i="76" a="1"/>
  <c r="R241" i="76" s="1"/>
  <c r="R294" i="76" s="1" a="1"/>
  <c r="R294" i="76" s="1"/>
  <c r="R239" i="76" a="1"/>
  <c r="R239" i="76" s="1"/>
  <c r="R292" i="76" s="1" a="1"/>
  <c r="R292" i="76" s="1"/>
  <c r="F242" i="76" a="1"/>
  <c r="F242" i="76" s="1"/>
  <c r="F241" i="76" a="1"/>
  <c r="F241" i="76" s="1"/>
  <c r="F238" i="76" a="1"/>
  <c r="F238" i="76" s="1"/>
  <c r="F240" i="76" a="1"/>
  <c r="F240" i="76" s="1"/>
  <c r="F293" i="76" s="1" a="1"/>
  <c r="F293" i="76" s="1"/>
  <c r="F239" i="76" a="1"/>
  <c r="F239" i="76" s="1"/>
  <c r="F292" i="76" s="1" a="1"/>
  <c r="F292" i="76" s="1"/>
  <c r="I184" i="69" a="1"/>
  <c r="I184" i="69" s="1"/>
  <c r="H184" i="69" a="1"/>
  <c r="H184" i="69" s="1"/>
  <c r="G184" i="69" a="1"/>
  <c r="G184" i="69" s="1"/>
  <c r="F184" i="69" a="1"/>
  <c r="F184" i="69" s="1"/>
  <c r="Q264" i="76" a="1"/>
  <c r="Q264" i="76" s="1"/>
  <c r="Q48" i="97"/>
  <c r="Q38" i="105"/>
  <c r="R264" i="76" a="1"/>
  <c r="R264" i="76" s="1"/>
  <c r="H206" i="69" a="1"/>
  <c r="H206" i="69" s="1"/>
  <c r="F48" i="97"/>
  <c r="F38" i="105"/>
  <c r="H42" i="105"/>
  <c r="H52" i="97"/>
  <c r="I42" i="105"/>
  <c r="I52" i="97"/>
  <c r="Q52" i="97"/>
  <c r="Q42" i="105"/>
  <c r="Q35" i="97"/>
  <c r="Q25" i="105"/>
  <c r="H48" i="97"/>
  <c r="H38" i="105"/>
  <c r="F52" i="97"/>
  <c r="F42" i="105"/>
  <c r="S44" i="97"/>
  <c r="S34" i="105"/>
  <c r="R52" i="97"/>
  <c r="R42" i="105"/>
  <c r="S30" i="105"/>
  <c r="S40" i="97"/>
  <c r="F206" i="69" a="1"/>
  <c r="F206" i="69" s="1"/>
  <c r="P48" i="97"/>
  <c r="P38" i="105"/>
  <c r="H44" i="97"/>
  <c r="H34" i="105"/>
  <c r="P52" i="97"/>
  <c r="P42" i="105"/>
  <c r="P40" i="97"/>
  <c r="P30" i="105"/>
  <c r="I183" i="69" a="1"/>
  <c r="I183" i="69" s="1"/>
  <c r="H183" i="69" a="1"/>
  <c r="H183" i="69" s="1"/>
  <c r="G183" i="69" a="1"/>
  <c r="G183" i="69" s="1"/>
  <c r="F183" i="69" a="1"/>
  <c r="F183" i="69" s="1"/>
  <c r="R40" i="97"/>
  <c r="R30" i="105"/>
  <c r="E206" i="69" a="1"/>
  <c r="E206" i="69" s="1"/>
  <c r="P242" i="76" a="1"/>
  <c r="P242" i="76" s="1"/>
  <c r="P238" i="76" a="1"/>
  <c r="P238" i="76" s="1"/>
  <c r="P241" i="76" a="1"/>
  <c r="P241" i="76" s="1"/>
  <c r="P294" i="76" s="1" a="1"/>
  <c r="P294" i="76" s="1"/>
  <c r="P239" i="76" a="1"/>
  <c r="P239" i="76" s="1"/>
  <c r="P292" i="76" s="1" a="1"/>
  <c r="P292" i="76" s="1"/>
  <c r="P240" i="76" a="1"/>
  <c r="P240" i="76" s="1"/>
  <c r="P293" i="76" s="1" a="1"/>
  <c r="P293" i="76" s="1"/>
  <c r="S52" i="97"/>
  <c r="S42" i="105"/>
  <c r="F34" i="105"/>
  <c r="F44" i="97"/>
  <c r="F182" i="69" a="1"/>
  <c r="F182" i="69" s="1"/>
  <c r="I182" i="69" a="1"/>
  <c r="I182" i="69" s="1"/>
  <c r="H182" i="69" a="1"/>
  <c r="H182" i="69" s="1"/>
  <c r="G182" i="69" a="1"/>
  <c r="G182" i="69" s="1"/>
  <c r="I293" i="76" a="1"/>
  <c r="I293" i="76" s="1"/>
  <c r="G206" i="69" a="1"/>
  <c r="G206" i="69" s="1"/>
  <c r="Q242" i="76" a="1"/>
  <c r="Q242" i="76" s="1"/>
  <c r="Q240" i="76" a="1"/>
  <c r="Q240" i="76" s="1"/>
  <c r="Q293" i="76" s="1" a="1"/>
  <c r="Q293" i="76" s="1"/>
  <c r="Q238" i="76" a="1"/>
  <c r="Q238" i="76" s="1"/>
  <c r="Q291" i="76" s="1" a="1"/>
  <c r="Q291" i="76" s="1"/>
  <c r="Q241" i="76" a="1"/>
  <c r="Q241" i="76" s="1"/>
  <c r="Q294" i="76" s="1" a="1"/>
  <c r="Q294" i="76" s="1"/>
  <c r="Q239" i="76" a="1"/>
  <c r="Q239" i="76" s="1"/>
  <c r="Q292" i="76" s="1" a="1"/>
  <c r="Q292" i="76" s="1"/>
  <c r="Q44" i="97"/>
  <c r="Q34" i="105"/>
  <c r="G42" i="105"/>
  <c r="G52" i="97"/>
  <c r="R34" i="105"/>
  <c r="R44" i="97"/>
  <c r="H30" i="105"/>
  <c r="H40" i="97"/>
  <c r="G44" i="97"/>
  <c r="G34" i="105"/>
  <c r="I30" i="105"/>
  <c r="I40" i="97"/>
  <c r="I181" i="69" a="1"/>
  <c r="I181" i="69" s="1"/>
  <c r="H181" i="69" a="1"/>
  <c r="H181" i="69" s="1"/>
  <c r="G181" i="69" a="1"/>
  <c r="G181" i="69" s="1"/>
  <c r="F181" i="69" a="1"/>
  <c r="F181" i="69" s="1"/>
  <c r="S264" i="76" a="1"/>
  <c r="S264" i="76" s="1"/>
  <c r="G239" i="76" a="1"/>
  <c r="G239" i="76" s="1"/>
  <c r="G292" i="76" s="1" a="1"/>
  <c r="G292" i="76" s="1"/>
  <c r="G238" i="76" a="1"/>
  <c r="G238" i="76" s="1"/>
  <c r="G242" i="76" a="1"/>
  <c r="G242" i="76" s="1"/>
  <c r="G241" i="76" a="1"/>
  <c r="G241" i="76" s="1"/>
  <c r="G240" i="76" a="1"/>
  <c r="G240" i="76" s="1"/>
  <c r="F175" i="69" a="1"/>
  <c r="F175" i="69" s="1"/>
  <c r="F177" i="69" a="1"/>
  <c r="F177" i="69" s="1"/>
  <c r="F176" i="69" a="1"/>
  <c r="F176" i="69" s="1"/>
  <c r="F172" i="69" a="1"/>
  <c r="F172" i="69" s="1"/>
  <c r="F174" i="69" a="1"/>
  <c r="F174" i="69" s="1"/>
  <c r="F173" i="69" a="1"/>
  <c r="F173" i="69" s="1"/>
  <c r="G167" i="69" a="1"/>
  <c r="G167" i="69" s="1"/>
  <c r="G165" i="69" a="1"/>
  <c r="G165" i="69" s="1"/>
  <c r="G166" i="69" a="1"/>
  <c r="G166" i="69" s="1"/>
  <c r="F180" i="69" a="1"/>
  <c r="F180" i="69" s="1"/>
  <c r="F178" i="69" a="1"/>
  <c r="F178" i="69" s="1"/>
  <c r="F179" i="69" a="1"/>
  <c r="F179" i="69" s="1"/>
  <c r="I165" i="69" a="1"/>
  <c r="I165" i="69" s="1"/>
  <c r="I167" i="69" a="1"/>
  <c r="I167" i="69" s="1"/>
  <c r="I166" i="69" a="1"/>
  <c r="I166" i="69" s="1"/>
  <c r="G177" i="69" a="1"/>
  <c r="G177" i="69" s="1"/>
  <c r="G176" i="69" a="1"/>
  <c r="G176" i="69" s="1"/>
  <c r="G175" i="69" a="1"/>
  <c r="G175" i="69" s="1"/>
  <c r="H180" i="69" a="1"/>
  <c r="H180" i="69" s="1"/>
  <c r="H179" i="69" a="1"/>
  <c r="H179" i="69" s="1"/>
  <c r="H178" i="69" a="1"/>
  <c r="H178" i="69" s="1"/>
  <c r="H171" i="69" a="1"/>
  <c r="H171" i="69" s="1"/>
  <c r="H170" i="69" a="1"/>
  <c r="H170" i="69" s="1"/>
  <c r="H169" i="69" a="1"/>
  <c r="H169" i="69" s="1"/>
  <c r="H168" i="69" a="1"/>
  <c r="H168" i="69" s="1"/>
  <c r="H166" i="69" a="1"/>
  <c r="H166" i="69" s="1"/>
  <c r="H165" i="69" a="1"/>
  <c r="H165" i="69" s="1"/>
  <c r="H167" i="69" a="1"/>
  <c r="H167" i="69" s="1"/>
  <c r="G180" i="69" a="1"/>
  <c r="G180" i="69" s="1"/>
  <c r="G179" i="69" a="1"/>
  <c r="G179" i="69" s="1"/>
  <c r="G178" i="69" a="1"/>
  <c r="G178" i="69" s="1"/>
  <c r="I171" i="69" a="1"/>
  <c r="I171" i="69" s="1"/>
  <c r="I170" i="69" a="1"/>
  <c r="I170" i="69" s="1"/>
  <c r="I169" i="69" a="1"/>
  <c r="I169" i="69" s="1"/>
  <c r="I168" i="69" a="1"/>
  <c r="I168" i="69" s="1"/>
  <c r="I172" i="69" a="1"/>
  <c r="I172" i="69" s="1"/>
  <c r="I174" i="69" a="1"/>
  <c r="I174" i="69" s="1"/>
  <c r="I173" i="69" a="1"/>
  <c r="I173" i="69" s="1"/>
  <c r="I177" i="69" a="1"/>
  <c r="I177" i="69" s="1"/>
  <c r="I175" i="69" a="1"/>
  <c r="I175" i="69" s="1"/>
  <c r="I176" i="69" a="1"/>
  <c r="I176" i="69" s="1"/>
  <c r="F168" i="69" a="1"/>
  <c r="F168" i="69" s="1"/>
  <c r="F171" i="69" a="1"/>
  <c r="F171" i="69" s="1"/>
  <c r="F170" i="69" a="1"/>
  <c r="F170" i="69" s="1"/>
  <c r="F169" i="69" a="1"/>
  <c r="F169" i="69" s="1"/>
  <c r="I179" i="69" a="1"/>
  <c r="I179" i="69" s="1"/>
  <c r="I178" i="69" a="1"/>
  <c r="I178" i="69" s="1"/>
  <c r="I180" i="69" a="1"/>
  <c r="I180" i="69" s="1"/>
  <c r="H177" i="69" a="1"/>
  <c r="H177" i="69" s="1"/>
  <c r="H176" i="69" a="1"/>
  <c r="H176" i="69" s="1"/>
  <c r="H175" i="69" a="1"/>
  <c r="H175" i="69" s="1"/>
  <c r="G171" i="69" a="1"/>
  <c r="G171" i="69" s="1"/>
  <c r="G170" i="69" a="1"/>
  <c r="G170" i="69" s="1"/>
  <c r="G169" i="69" a="1"/>
  <c r="G169" i="69" s="1"/>
  <c r="G168" i="69" a="1"/>
  <c r="G168" i="69" s="1"/>
  <c r="G174" i="69" a="1"/>
  <c r="G174" i="69" s="1"/>
  <c r="G173" i="69" a="1"/>
  <c r="G173" i="69" s="1"/>
  <c r="G172" i="69" a="1"/>
  <c r="G172" i="69" s="1"/>
  <c r="F167" i="69" a="1"/>
  <c r="F167" i="69" s="1"/>
  <c r="F165" i="69" a="1"/>
  <c r="F165" i="69" s="1"/>
  <c r="F166" i="69" a="1"/>
  <c r="F166" i="69" s="1"/>
  <c r="H173" i="69" a="1"/>
  <c r="H173" i="69" s="1"/>
  <c r="H172" i="69" a="1"/>
  <c r="H172" i="69" s="1"/>
  <c r="H174" i="69" a="1"/>
  <c r="H174" i="69" s="1"/>
  <c r="I73" i="97" a="1"/>
  <c r="I73" i="97" s="1"/>
  <c r="R73" i="97" a="1"/>
  <c r="R73" i="97" s="1"/>
  <c r="G73" i="97" a="1"/>
  <c r="G73" i="97" s="1"/>
  <c r="P73" i="97" a="1"/>
  <c r="P73" i="97" s="1"/>
  <c r="F73" i="97" a="1"/>
  <c r="F73" i="97" s="1"/>
  <c r="H73" i="97" a="1"/>
  <c r="H73" i="97" s="1"/>
  <c r="Q73" i="97" a="1"/>
  <c r="Q73" i="97" s="1"/>
  <c r="S73" i="97" a="1"/>
  <c r="S73" i="97" s="1"/>
  <c r="G164" i="76" a="1"/>
  <c r="G164" i="76" s="1"/>
  <c r="H220" i="76" s="1" a="1"/>
  <c r="H220" i="76" s="1"/>
  <c r="G231" i="76" a="1"/>
  <c r="G231" i="76" s="1"/>
  <c r="G284" i="76" s="1" a="1"/>
  <c r="G284" i="76" s="1"/>
  <c r="G232" i="76" a="1"/>
  <c r="G232" i="76" s="1"/>
  <c r="G285" i="76" s="1" a="1"/>
  <c r="G285" i="76" s="1"/>
  <c r="G230" i="76" a="1"/>
  <c r="G230" i="76" s="1"/>
  <c r="G283" i="76" s="1" a="1"/>
  <c r="G283" i="76" s="1"/>
  <c r="H164" i="76" a="1"/>
  <c r="H164" i="76" s="1"/>
  <c r="I220" i="76" s="1" a="1"/>
  <c r="I220" i="76" s="1"/>
  <c r="I234" i="76" a="1"/>
  <c r="I234" i="76" s="1"/>
  <c r="I287" i="76" s="1" a="1"/>
  <c r="I287" i="76" s="1"/>
  <c r="I236" i="76" a="1"/>
  <c r="I236" i="76" s="1"/>
  <c r="I289" i="76" s="1" a="1"/>
  <c r="I289" i="76" s="1"/>
  <c r="I235" i="76" a="1"/>
  <c r="I235" i="76" s="1"/>
  <c r="I288" i="76" s="1" a="1"/>
  <c r="I288" i="76" s="1"/>
  <c r="Q234" i="76" a="1"/>
  <c r="Q234" i="76" s="1"/>
  <c r="Q287" i="76" s="1" a="1"/>
  <c r="Q287" i="76" s="1"/>
  <c r="Q235" i="76" a="1"/>
  <c r="Q235" i="76" s="1"/>
  <c r="Q288" i="76" s="1" a="1"/>
  <c r="Q288" i="76" s="1"/>
  <c r="Q236" i="76" a="1"/>
  <c r="Q236" i="76" s="1"/>
  <c r="Q289" i="76" s="1" a="1"/>
  <c r="Q289" i="76" s="1"/>
  <c r="R235" i="76" a="1"/>
  <c r="R235" i="76" s="1"/>
  <c r="R288" i="76" s="1" a="1"/>
  <c r="R288" i="76" s="1"/>
  <c r="R236" i="76" a="1"/>
  <c r="R236" i="76" s="1"/>
  <c r="R289" i="76" s="1" a="1"/>
  <c r="R289" i="76" s="1"/>
  <c r="R234" i="76" a="1"/>
  <c r="R234" i="76" s="1"/>
  <c r="R287" i="76" s="1" a="1"/>
  <c r="R287" i="76" s="1"/>
  <c r="R232" i="76" a="1"/>
  <c r="R232" i="76" s="1"/>
  <c r="R285" i="76" s="1" a="1"/>
  <c r="R285" i="76" s="1"/>
  <c r="R231" i="76" a="1"/>
  <c r="R231" i="76" s="1"/>
  <c r="R284" i="76" s="1" a="1"/>
  <c r="R284" i="76" s="1"/>
  <c r="R230" i="76" a="1"/>
  <c r="R230" i="76" s="1"/>
  <c r="R283" i="76" s="1" a="1"/>
  <c r="R283" i="76" s="1"/>
  <c r="Q164" i="76" a="1"/>
  <c r="Q164" i="76" s="1"/>
  <c r="R220" i="76" s="1" a="1"/>
  <c r="R220" i="76" s="1"/>
  <c r="S226" i="76" a="1"/>
  <c r="S226" i="76" s="1"/>
  <c r="S279" i="76" s="1" a="1"/>
  <c r="S279" i="76" s="1"/>
  <c r="S227" i="76" a="1"/>
  <c r="S227" i="76" s="1"/>
  <c r="S280" i="76" s="1" a="1"/>
  <c r="S280" i="76" s="1"/>
  <c r="S228" i="76" a="1"/>
  <c r="S228" i="76" s="1"/>
  <c r="S281" i="76" s="1" a="1"/>
  <c r="S281" i="76" s="1"/>
  <c r="H226" i="76" a="1"/>
  <c r="H226" i="76" s="1"/>
  <c r="H279" i="76" s="1" a="1"/>
  <c r="H279" i="76" s="1"/>
  <c r="H227" i="76" a="1"/>
  <c r="H227" i="76" s="1"/>
  <c r="H280" i="76" s="1" a="1"/>
  <c r="H280" i="76" s="1"/>
  <c r="H228" i="76" a="1"/>
  <c r="H228" i="76" s="1"/>
  <c r="H281" i="76" s="1" a="1"/>
  <c r="H281" i="76" s="1"/>
  <c r="P235" i="76" a="1"/>
  <c r="P235" i="76" s="1"/>
  <c r="P288" i="76" s="1" a="1"/>
  <c r="P288" i="76" s="1"/>
  <c r="P234" i="76" a="1"/>
  <c r="P234" i="76" s="1"/>
  <c r="P287" i="76" s="1" a="1"/>
  <c r="P287" i="76" s="1"/>
  <c r="P236" i="76" a="1"/>
  <c r="P236" i="76" s="1"/>
  <c r="P289" i="76" s="1" a="1"/>
  <c r="P289" i="76" s="1"/>
  <c r="Q218" i="76" a="1"/>
  <c r="Q218" i="76" s="1"/>
  <c r="Q271" i="76" s="1" a="1"/>
  <c r="Q271" i="76" s="1"/>
  <c r="Q217" i="76" a="1"/>
  <c r="Q217" i="76" s="1"/>
  <c r="Q270" i="76" s="1" a="1"/>
  <c r="Q270" i="76" s="1"/>
  <c r="Q219" i="76" a="1"/>
  <c r="Q219" i="76" s="1"/>
  <c r="Q272" i="76" s="1" a="1"/>
  <c r="Q272" i="76" s="1"/>
  <c r="I231" i="76" a="1"/>
  <c r="I231" i="76" s="1"/>
  <c r="I284" i="76" s="1" a="1"/>
  <c r="I284" i="76" s="1"/>
  <c r="I230" i="76" a="1"/>
  <c r="I230" i="76" s="1"/>
  <c r="I283" i="76" s="1" a="1"/>
  <c r="I283" i="76" s="1"/>
  <c r="I232" i="76" a="1"/>
  <c r="I232" i="76" s="1"/>
  <c r="I285" i="76" s="1" a="1"/>
  <c r="I285" i="76" s="1"/>
  <c r="F164" i="76" a="1"/>
  <c r="F164" i="76" s="1"/>
  <c r="G220" i="76" s="1" a="1"/>
  <c r="G220" i="76" s="1"/>
  <c r="I222" i="76" a="1"/>
  <c r="I222" i="76" s="1"/>
  <c r="I275" i="76" s="1" a="1"/>
  <c r="I275" i="76" s="1"/>
  <c r="I221" i="76" a="1"/>
  <c r="I221" i="76" s="1"/>
  <c r="I274" i="76" s="1" a="1"/>
  <c r="I274" i="76" s="1"/>
  <c r="I224" i="76" a="1"/>
  <c r="I224" i="76" s="1"/>
  <c r="I277" i="76" s="1" a="1"/>
  <c r="I277" i="76" s="1"/>
  <c r="I223" i="76" a="1"/>
  <c r="I223" i="76" s="1"/>
  <c r="I276" i="76" s="1" a="1"/>
  <c r="I276" i="76" s="1"/>
  <c r="Q228" i="76" a="1"/>
  <c r="Q228" i="76" s="1"/>
  <c r="Q281" i="76" s="1" a="1"/>
  <c r="Q281" i="76" s="1"/>
  <c r="Q227" i="76" a="1"/>
  <c r="Q227" i="76" s="1"/>
  <c r="Q280" i="76" s="1" a="1"/>
  <c r="Q280" i="76" s="1"/>
  <c r="Q226" i="76" a="1"/>
  <c r="Q226" i="76" s="1"/>
  <c r="Q279" i="76" s="1" a="1"/>
  <c r="Q279" i="76" s="1"/>
  <c r="S234" i="76" a="1"/>
  <c r="S234" i="76" s="1"/>
  <c r="S287" i="76" s="1" a="1"/>
  <c r="S287" i="76" s="1"/>
  <c r="S236" i="76" a="1"/>
  <c r="S236" i="76" s="1"/>
  <c r="S289" i="76" s="1" a="1"/>
  <c r="S289" i="76" s="1"/>
  <c r="S235" i="76" a="1"/>
  <c r="S235" i="76" s="1"/>
  <c r="S288" i="76" s="1" a="1"/>
  <c r="S288" i="76" s="1"/>
  <c r="F231" i="76" a="1"/>
  <c r="F231" i="76" s="1"/>
  <c r="F284" i="76" s="1" a="1"/>
  <c r="F284" i="76" s="1"/>
  <c r="F230" i="76" a="1"/>
  <c r="F230" i="76" s="1"/>
  <c r="F283" i="76" s="1" a="1"/>
  <c r="F283" i="76" s="1"/>
  <c r="F232" i="76" a="1"/>
  <c r="F232" i="76" s="1"/>
  <c r="F285" i="76" s="1" a="1"/>
  <c r="F285" i="76" s="1"/>
  <c r="R164" i="76" a="1"/>
  <c r="R164" i="76" s="1"/>
  <c r="S220" i="76" s="1" a="1"/>
  <c r="S220" i="76" s="1"/>
  <c r="S221" i="76" a="1"/>
  <c r="S221" i="76" s="1"/>
  <c r="S274" i="76" s="1" a="1"/>
  <c r="S274" i="76" s="1"/>
  <c r="S222" i="76" a="1"/>
  <c r="S222" i="76" s="1"/>
  <c r="S275" i="76" s="1" a="1"/>
  <c r="S275" i="76" s="1"/>
  <c r="S223" i="76" a="1"/>
  <c r="S223" i="76" s="1"/>
  <c r="S276" i="76" s="1" a="1"/>
  <c r="S276" i="76" s="1"/>
  <c r="S224" i="76" a="1"/>
  <c r="S224" i="76" s="1"/>
  <c r="S277" i="76" s="1" a="1"/>
  <c r="S277" i="76" s="1"/>
  <c r="Q232" i="76" a="1"/>
  <c r="Q232" i="76" s="1"/>
  <c r="Q285" i="76" s="1" a="1"/>
  <c r="Q285" i="76" s="1"/>
  <c r="Q230" i="76" a="1"/>
  <c r="Q230" i="76" s="1"/>
  <c r="Q283" i="76" s="1" a="1"/>
  <c r="Q283" i="76" s="1"/>
  <c r="Q231" i="76" a="1"/>
  <c r="Q231" i="76" s="1"/>
  <c r="Q284" i="76" s="1" a="1"/>
  <c r="Q284" i="76" s="1"/>
  <c r="O164" i="76" a="1"/>
  <c r="O164" i="76" s="1"/>
  <c r="P220" i="76" s="1" a="1"/>
  <c r="P220" i="76" s="1"/>
  <c r="R226" i="76" a="1"/>
  <c r="R226" i="76" s="1"/>
  <c r="R279" i="76" s="1" a="1"/>
  <c r="R279" i="76" s="1"/>
  <c r="R227" i="76" a="1"/>
  <c r="R227" i="76" s="1"/>
  <c r="R280" i="76" s="1" a="1"/>
  <c r="R280" i="76" s="1"/>
  <c r="R228" i="76" a="1"/>
  <c r="R228" i="76" s="1"/>
  <c r="R281" i="76" s="1" a="1"/>
  <c r="R281" i="76" s="1"/>
  <c r="S230" i="76" a="1"/>
  <c r="S230" i="76" s="1"/>
  <c r="S283" i="76" s="1" a="1"/>
  <c r="S283" i="76" s="1"/>
  <c r="S232" i="76" a="1"/>
  <c r="S232" i="76" s="1"/>
  <c r="S285" i="76" s="1" a="1"/>
  <c r="S285" i="76" s="1"/>
  <c r="S231" i="76" a="1"/>
  <c r="S231" i="76" s="1"/>
  <c r="S284" i="76" s="1" a="1"/>
  <c r="S284" i="76" s="1"/>
  <c r="P223" i="76" a="1"/>
  <c r="P223" i="76" s="1"/>
  <c r="P276" i="76" s="1" a="1"/>
  <c r="P276" i="76" s="1"/>
  <c r="P221" i="76" a="1"/>
  <c r="P221" i="76" s="1"/>
  <c r="P274" i="76" s="1" a="1"/>
  <c r="P274" i="76" s="1"/>
  <c r="P222" i="76" a="1"/>
  <c r="P222" i="76" s="1"/>
  <c r="P275" i="76" s="1" a="1"/>
  <c r="P275" i="76" s="1"/>
  <c r="P224" i="76" a="1"/>
  <c r="P224" i="76" s="1"/>
  <c r="P277" i="76" s="1" a="1"/>
  <c r="P277" i="76" s="1"/>
  <c r="G228" i="76" a="1"/>
  <c r="G228" i="76" s="1"/>
  <c r="G281" i="76" s="1" a="1"/>
  <c r="G281" i="76" s="1"/>
  <c r="G226" i="76" a="1"/>
  <c r="G226" i="76" s="1"/>
  <c r="G279" i="76" s="1" a="1"/>
  <c r="G279" i="76" s="1"/>
  <c r="G227" i="76" a="1"/>
  <c r="G227" i="76" s="1"/>
  <c r="G280" i="76" s="1" a="1"/>
  <c r="G280" i="76" s="1"/>
  <c r="G224" i="76" a="1"/>
  <c r="G224" i="76" s="1"/>
  <c r="G277" i="76" s="1" a="1"/>
  <c r="G277" i="76" s="1"/>
  <c r="G221" i="76" a="1"/>
  <c r="G221" i="76" s="1"/>
  <c r="G274" i="76" s="1" a="1"/>
  <c r="G274" i="76" s="1"/>
  <c r="G223" i="76" a="1"/>
  <c r="G223" i="76" s="1"/>
  <c r="G276" i="76" s="1" a="1"/>
  <c r="G276" i="76" s="1"/>
  <c r="G222" i="76" a="1"/>
  <c r="G222" i="76" s="1"/>
  <c r="G275" i="76" s="1" a="1"/>
  <c r="G275" i="76" s="1"/>
  <c r="P231" i="76" a="1"/>
  <c r="P231" i="76" s="1"/>
  <c r="P284" i="76" s="1" a="1"/>
  <c r="P284" i="76" s="1"/>
  <c r="P232" i="76" a="1"/>
  <c r="P232" i="76" s="1"/>
  <c r="P285" i="76" s="1" a="1"/>
  <c r="P285" i="76" s="1"/>
  <c r="P230" i="76" a="1"/>
  <c r="P230" i="76" s="1"/>
  <c r="P283" i="76" s="1" a="1"/>
  <c r="P283" i="76" s="1"/>
  <c r="G234" i="76" a="1"/>
  <c r="G234" i="76" s="1"/>
  <c r="G287" i="76" s="1" a="1"/>
  <c r="G287" i="76" s="1"/>
  <c r="G236" i="76" a="1"/>
  <c r="G236" i="76" s="1"/>
  <c r="G289" i="76" s="1" a="1"/>
  <c r="G289" i="76" s="1"/>
  <c r="G235" i="76" a="1"/>
  <c r="G235" i="76" s="1"/>
  <c r="G288" i="76" s="1" a="1"/>
  <c r="G288" i="76" s="1"/>
  <c r="I226" i="76" a="1"/>
  <c r="I226" i="76" s="1"/>
  <c r="I279" i="76" s="1" a="1"/>
  <c r="I279" i="76" s="1"/>
  <c r="I228" i="76" a="1"/>
  <c r="I228" i="76" s="1"/>
  <c r="I281" i="76" s="1" a="1"/>
  <c r="I281" i="76" s="1"/>
  <c r="I227" i="76" a="1"/>
  <c r="I227" i="76" s="1"/>
  <c r="I280" i="76" s="1" a="1"/>
  <c r="I280" i="76" s="1"/>
  <c r="R222" i="76" a="1"/>
  <c r="R222" i="76" s="1"/>
  <c r="R275" i="76" s="1" a="1"/>
  <c r="R275" i="76" s="1"/>
  <c r="R224" i="76" a="1"/>
  <c r="R224" i="76" s="1"/>
  <c r="R277" i="76" s="1" a="1"/>
  <c r="R277" i="76" s="1"/>
  <c r="R221" i="76" a="1"/>
  <c r="R221" i="76" s="1"/>
  <c r="R274" i="76" s="1" a="1"/>
  <c r="R274" i="76" s="1"/>
  <c r="R223" i="76" a="1"/>
  <c r="R223" i="76" s="1"/>
  <c r="R276" i="76" s="1" a="1"/>
  <c r="R276" i="76" s="1"/>
  <c r="H230" i="76" a="1"/>
  <c r="H230" i="76" s="1"/>
  <c r="H283" i="76" s="1" a="1"/>
  <c r="H283" i="76" s="1"/>
  <c r="H231" i="76" a="1"/>
  <c r="H231" i="76" s="1"/>
  <c r="H284" i="76" s="1" a="1"/>
  <c r="H284" i="76" s="1"/>
  <c r="H232" i="76" a="1"/>
  <c r="H232" i="76" s="1"/>
  <c r="H285" i="76" s="1" a="1"/>
  <c r="H285" i="76" s="1"/>
  <c r="F227" i="76" a="1"/>
  <c r="F227" i="76" s="1"/>
  <c r="F280" i="76" s="1" a="1"/>
  <c r="F280" i="76" s="1"/>
  <c r="F228" i="76" a="1"/>
  <c r="F228" i="76" s="1"/>
  <c r="F281" i="76" s="1" a="1"/>
  <c r="F281" i="76" s="1"/>
  <c r="F226" i="76" a="1"/>
  <c r="F226" i="76" s="1"/>
  <c r="F279" i="76" s="1" a="1"/>
  <c r="F279" i="76" s="1"/>
  <c r="P226" i="76" a="1"/>
  <c r="P226" i="76" s="1"/>
  <c r="P279" i="76" s="1" a="1"/>
  <c r="P279" i="76" s="1"/>
  <c r="P228" i="76" a="1"/>
  <c r="P228" i="76" s="1"/>
  <c r="P281" i="76" s="1" a="1"/>
  <c r="P281" i="76" s="1"/>
  <c r="P227" i="76" a="1"/>
  <c r="P227" i="76" s="1"/>
  <c r="P280" i="76" s="1" a="1"/>
  <c r="P280" i="76" s="1"/>
  <c r="H223" i="76" a="1"/>
  <c r="H223" i="76" s="1"/>
  <c r="H276" i="76" s="1" a="1"/>
  <c r="H276" i="76" s="1"/>
  <c r="H222" i="76" a="1"/>
  <c r="H222" i="76" s="1"/>
  <c r="H275" i="76" s="1" a="1"/>
  <c r="H275" i="76" s="1"/>
  <c r="H224" i="76" a="1"/>
  <c r="H224" i="76" s="1"/>
  <c r="H277" i="76" s="1" a="1"/>
  <c r="H277" i="76" s="1"/>
  <c r="H221" i="76" a="1"/>
  <c r="H221" i="76" s="1"/>
  <c r="H274" i="76" s="1" a="1"/>
  <c r="H274" i="76" s="1"/>
  <c r="Q222" i="76" a="1"/>
  <c r="Q222" i="76" s="1"/>
  <c r="Q275" i="76" s="1" a="1"/>
  <c r="Q275" i="76" s="1"/>
  <c r="Q224" i="76" a="1"/>
  <c r="Q224" i="76" s="1"/>
  <c r="Q277" i="76" s="1" a="1"/>
  <c r="Q277" i="76" s="1"/>
  <c r="Q221" i="76" a="1"/>
  <c r="Q221" i="76" s="1"/>
  <c r="Q274" i="76" s="1" a="1"/>
  <c r="Q274" i="76" s="1"/>
  <c r="Q223" i="76" a="1"/>
  <c r="Q223" i="76" s="1"/>
  <c r="Q276" i="76" s="1" a="1"/>
  <c r="Q276" i="76" s="1"/>
  <c r="F234" i="76" a="1"/>
  <c r="F234" i="76" s="1"/>
  <c r="F287" i="76" s="1" a="1"/>
  <c r="F287" i="76" s="1"/>
  <c r="F236" i="76" a="1"/>
  <c r="F236" i="76" s="1"/>
  <c r="F289" i="76" s="1" a="1"/>
  <c r="F289" i="76" s="1"/>
  <c r="F235" i="76" a="1"/>
  <c r="F235" i="76" s="1"/>
  <c r="F288" i="76" s="1" a="1"/>
  <c r="F288" i="76" s="1"/>
  <c r="F223" i="76" a="1"/>
  <c r="F223" i="76" s="1"/>
  <c r="F276" i="76" s="1" a="1"/>
  <c r="F276" i="76" s="1"/>
  <c r="F224" i="76" a="1"/>
  <c r="F224" i="76" s="1"/>
  <c r="F277" i="76" s="1" a="1"/>
  <c r="F277" i="76" s="1"/>
  <c r="F222" i="76" a="1"/>
  <c r="F222" i="76" s="1"/>
  <c r="F275" i="76" s="1" a="1"/>
  <c r="F275" i="76" s="1"/>
  <c r="F221" i="76" a="1"/>
  <c r="F221" i="76" s="1"/>
  <c r="F274" i="76" s="1" a="1"/>
  <c r="F274" i="76" s="1"/>
  <c r="H236" i="76" a="1"/>
  <c r="H236" i="76" s="1"/>
  <c r="H289" i="76" s="1" a="1"/>
  <c r="H289" i="76" s="1"/>
  <c r="H235" i="76" a="1"/>
  <c r="H235" i="76" s="1"/>
  <c r="H288" i="76" s="1" a="1"/>
  <c r="H288" i="76" s="1"/>
  <c r="H234" i="76" a="1"/>
  <c r="H234" i="76" s="1"/>
  <c r="H287" i="76" s="1" a="1"/>
  <c r="H287" i="76" s="1"/>
  <c r="E164" i="76" a="1"/>
  <c r="E164" i="76" s="1"/>
  <c r="F220" i="76" s="1" a="1"/>
  <c r="F220" i="76" s="1"/>
  <c r="P35" i="97" l="1"/>
  <c r="P25" i="105"/>
  <c r="G154" i="105" a="1"/>
  <c r="G154" i="105" s="1"/>
  <c r="G271" i="105" a="1"/>
  <c r="G271" i="105" s="1"/>
  <c r="G202" i="105" a="1"/>
  <c r="G202" i="105" s="1"/>
  <c r="Q45" i="105"/>
  <c r="Q55" i="97"/>
  <c r="Q102" i="97" s="1" a="1"/>
  <c r="Q102" i="97" s="1"/>
  <c r="P43" i="105"/>
  <c r="P53" i="97"/>
  <c r="P100" i="97" s="1" a="1"/>
  <c r="P100" i="97" s="1"/>
  <c r="H271" i="105" a="1"/>
  <c r="H271" i="105" s="1"/>
  <c r="H154" i="105" a="1"/>
  <c r="H154" i="105" s="1"/>
  <c r="H202" i="105" a="1"/>
  <c r="H202" i="105" s="1"/>
  <c r="F43" i="105"/>
  <c r="F53" i="97"/>
  <c r="F100" i="97" s="1" a="1"/>
  <c r="F100" i="97" s="1"/>
  <c r="R43" i="105"/>
  <c r="R53" i="97"/>
  <c r="R100" i="97" s="1" a="1"/>
  <c r="R100" i="97" s="1"/>
  <c r="I57" i="97"/>
  <c r="I47" i="105"/>
  <c r="F142" i="105" a="1"/>
  <c r="F142" i="105" s="1"/>
  <c r="F190" i="105" a="1"/>
  <c r="F190" i="105" s="1"/>
  <c r="F259" i="105" a="1"/>
  <c r="F259" i="105" s="1"/>
  <c r="Q47" i="105"/>
  <c r="Q57" i="97"/>
  <c r="S271" i="105" a="1"/>
  <c r="S271" i="105" s="1"/>
  <c r="S202" i="105" a="1"/>
  <c r="S202" i="105" s="1"/>
  <c r="S154" i="105" a="1"/>
  <c r="S154" i="105" s="1"/>
  <c r="P57" i="97"/>
  <c r="P47" i="105"/>
  <c r="P198" i="105" a="1"/>
  <c r="P198" i="105" s="1"/>
  <c r="P267" i="105" a="1"/>
  <c r="P267" i="105" s="1"/>
  <c r="P150" i="105" a="1"/>
  <c r="P150" i="105" s="1"/>
  <c r="F46" i="105"/>
  <c r="F56" i="97"/>
  <c r="F103" i="97" s="1" a="1"/>
  <c r="F103" i="97" s="1"/>
  <c r="R47" i="105"/>
  <c r="R57" i="97"/>
  <c r="H142" i="105" a="1"/>
  <c r="H142" i="105" s="1"/>
  <c r="H190" i="105" a="1"/>
  <c r="H190" i="105" s="1"/>
  <c r="H259" i="105" a="1"/>
  <c r="H259" i="105" s="1"/>
  <c r="S259" i="105" a="1"/>
  <c r="S259" i="105" s="1"/>
  <c r="S142" i="105" a="1"/>
  <c r="S142" i="105" s="1"/>
  <c r="S190" i="105" a="1"/>
  <c r="S190" i="105" s="1"/>
  <c r="R291" i="76" a="1"/>
  <c r="R291" i="76" s="1"/>
  <c r="F47" i="105"/>
  <c r="F57" i="97"/>
  <c r="S45" i="105"/>
  <c r="S55" i="97"/>
  <c r="S102" i="97" s="1" a="1"/>
  <c r="S102" i="97" s="1"/>
  <c r="P146" i="105" a="1"/>
  <c r="P146" i="105" s="1"/>
  <c r="P263" i="105" a="1"/>
  <c r="P263" i="105" s="1"/>
  <c r="P194" i="105" a="1"/>
  <c r="P194" i="105" s="1"/>
  <c r="G45" i="105"/>
  <c r="G55" i="97"/>
  <c r="G102" i="97" s="1" a="1"/>
  <c r="G102" i="97" s="1"/>
  <c r="R190" i="105" a="1"/>
  <c r="R190" i="105" s="1"/>
  <c r="R259" i="105" a="1"/>
  <c r="R259" i="105" s="1"/>
  <c r="R142" i="105" a="1"/>
  <c r="R142" i="105" s="1"/>
  <c r="R271" i="105" a="1"/>
  <c r="R271" i="105" s="1"/>
  <c r="R154" i="105" a="1"/>
  <c r="R154" i="105" s="1"/>
  <c r="R202" i="105" a="1"/>
  <c r="R202" i="105" s="1"/>
  <c r="S46" i="105"/>
  <c r="S56" i="97"/>
  <c r="S103" i="97" s="1" a="1"/>
  <c r="S103" i="97" s="1"/>
  <c r="G198" i="105" a="1"/>
  <c r="G198" i="105" s="1"/>
  <c r="G150" i="105" a="1"/>
  <c r="G150" i="105" s="1"/>
  <c r="G267" i="105" a="1"/>
  <c r="G267" i="105" s="1"/>
  <c r="G46" i="105"/>
  <c r="G56" i="97"/>
  <c r="G103" i="97" s="1" a="1"/>
  <c r="G103" i="97" s="1"/>
  <c r="R263" i="105" a="1"/>
  <c r="R263" i="105" s="1"/>
  <c r="R146" i="105" a="1"/>
  <c r="R146" i="105" s="1"/>
  <c r="R194" i="105" a="1"/>
  <c r="R194" i="105" s="1"/>
  <c r="S44" i="105"/>
  <c r="S54" i="97"/>
  <c r="S101" i="97" s="1" a="1"/>
  <c r="S101" i="97" s="1"/>
  <c r="D229" i="69" a="1"/>
  <c r="D229" i="69" s="1"/>
  <c r="D259" i="69" s="1" a="1"/>
  <c r="D259" i="69" s="1"/>
  <c r="G47" i="105"/>
  <c r="G57" i="97"/>
  <c r="S194" i="105" a="1"/>
  <c r="S194" i="105" s="1"/>
  <c r="S263" i="105" a="1"/>
  <c r="S263" i="105" s="1"/>
  <c r="S146" i="105" a="1"/>
  <c r="S146" i="105" s="1"/>
  <c r="H198" i="105" a="1"/>
  <c r="H198" i="105" s="1"/>
  <c r="H150" i="105" a="1"/>
  <c r="H150" i="105" s="1"/>
  <c r="H267" i="105" a="1"/>
  <c r="H267" i="105" s="1"/>
  <c r="S43" i="105"/>
  <c r="S53" i="97"/>
  <c r="S100" i="97" s="1" a="1"/>
  <c r="S100" i="97" s="1"/>
  <c r="Q259" i="105" a="1"/>
  <c r="Q259" i="105" s="1"/>
  <c r="Q142" i="105" a="1"/>
  <c r="Q142" i="105" s="1"/>
  <c r="Q190" i="105" a="1"/>
  <c r="Q190" i="105" s="1"/>
  <c r="F263" i="105" a="1"/>
  <c r="F263" i="105" s="1"/>
  <c r="F194" i="105" a="1"/>
  <c r="F194" i="105" s="1"/>
  <c r="F146" i="105" a="1"/>
  <c r="F146" i="105" s="1"/>
  <c r="S57" i="97"/>
  <c r="S47" i="105"/>
  <c r="S294" i="76" a="1"/>
  <c r="S294" i="76" s="1"/>
  <c r="G44" i="105"/>
  <c r="G54" i="97"/>
  <c r="G101" i="97" s="1" a="1"/>
  <c r="G101" i="97" s="1"/>
  <c r="G293" i="76" a="1"/>
  <c r="G293" i="76" s="1"/>
  <c r="F154" i="105" a="1"/>
  <c r="F154" i="105" s="1"/>
  <c r="F271" i="105" a="1"/>
  <c r="F271" i="105" s="1"/>
  <c r="F202" i="105" a="1"/>
  <c r="F202" i="105" s="1"/>
  <c r="Q137" i="105" a="1"/>
  <c r="Q137" i="105" s="1"/>
  <c r="Q254" i="105" a="1"/>
  <c r="Q254" i="105" s="1"/>
  <c r="Q185" i="105" a="1"/>
  <c r="Q185" i="105" s="1"/>
  <c r="Q150" i="105" a="1"/>
  <c r="Q150" i="105" s="1"/>
  <c r="Q198" i="105" a="1"/>
  <c r="Q198" i="105" s="1"/>
  <c r="Q267" i="105" a="1"/>
  <c r="Q267" i="105" s="1"/>
  <c r="S150" i="105" a="1"/>
  <c r="S150" i="105" s="1"/>
  <c r="S198" i="105" a="1"/>
  <c r="S198" i="105" s="1"/>
  <c r="S267" i="105" a="1"/>
  <c r="S267" i="105" s="1"/>
  <c r="I263" i="105" a="1"/>
  <c r="I263" i="105" s="1"/>
  <c r="I146" i="105" a="1"/>
  <c r="I146" i="105" s="1"/>
  <c r="I194" i="105" a="1"/>
  <c r="I194" i="105" s="1"/>
  <c r="G53" i="97"/>
  <c r="G100" i="97" s="1" a="1"/>
  <c r="G100" i="97" s="1"/>
  <c r="G43" i="105"/>
  <c r="S35" i="97"/>
  <c r="S25" i="105"/>
  <c r="G35" i="97"/>
  <c r="G25" i="105"/>
  <c r="I267" i="105" a="1"/>
  <c r="I267" i="105" s="1"/>
  <c r="I150" i="105" a="1"/>
  <c r="I150" i="105" s="1"/>
  <c r="I198" i="105" a="1"/>
  <c r="I198" i="105" s="1"/>
  <c r="F294" i="76" a="1"/>
  <c r="F294" i="76" s="1"/>
  <c r="I25" i="105"/>
  <c r="I35" i="97"/>
  <c r="Q263" i="105" a="1"/>
  <c r="Q263" i="105" s="1"/>
  <c r="Q194" i="105" a="1"/>
  <c r="Q194" i="105" s="1"/>
  <c r="Q146" i="105" a="1"/>
  <c r="Q146" i="105" s="1"/>
  <c r="P259" i="105" a="1"/>
  <c r="P259" i="105" s="1"/>
  <c r="P190" i="105" a="1"/>
  <c r="P190" i="105" s="1"/>
  <c r="P142" i="105" a="1"/>
  <c r="P142" i="105" s="1"/>
  <c r="Q202" i="105" a="1"/>
  <c r="Q202" i="105" s="1"/>
  <c r="Q154" i="105" a="1"/>
  <c r="Q154" i="105" s="1"/>
  <c r="Q271" i="105" a="1"/>
  <c r="Q271" i="105" s="1"/>
  <c r="F267" i="105" a="1"/>
  <c r="F267" i="105" s="1"/>
  <c r="F150" i="105" a="1"/>
  <c r="F150" i="105" s="1"/>
  <c r="F198" i="105" a="1"/>
  <c r="F198" i="105" s="1"/>
  <c r="P291" i="76" a="1"/>
  <c r="P291" i="76" s="1"/>
  <c r="G294" i="76" a="1"/>
  <c r="G294" i="76" s="1"/>
  <c r="H43" i="105"/>
  <c r="H53" i="97"/>
  <c r="H100" i="97" s="1" a="1"/>
  <c r="H100" i="97" s="1"/>
  <c r="F291" i="76" a="1"/>
  <c r="F291" i="76" s="1"/>
  <c r="I56" i="97"/>
  <c r="I103" i="97" s="1" a="1"/>
  <c r="I103" i="97" s="1"/>
  <c r="I46" i="105"/>
  <c r="H45" i="105"/>
  <c r="H55" i="97"/>
  <c r="H102" i="97" s="1" a="1"/>
  <c r="H102" i="97" s="1"/>
  <c r="R35" i="97"/>
  <c r="R25" i="105"/>
  <c r="Q44" i="105"/>
  <c r="Q54" i="97"/>
  <c r="Q101" i="97" s="1" a="1"/>
  <c r="Q101" i="97" s="1"/>
  <c r="P45" i="105"/>
  <c r="P55" i="97"/>
  <c r="P102" i="97" s="1" a="1"/>
  <c r="P102" i="97" s="1"/>
  <c r="P271" i="105" a="1"/>
  <c r="P271" i="105" s="1"/>
  <c r="P154" i="105" a="1"/>
  <c r="P154" i="105" s="1"/>
  <c r="P202" i="105" a="1"/>
  <c r="P202" i="105" s="1"/>
  <c r="G291" i="76" a="1"/>
  <c r="G291" i="76" s="1"/>
  <c r="R44" i="105"/>
  <c r="R54" i="97"/>
  <c r="R101" i="97" s="1" a="1"/>
  <c r="R101" i="97" s="1"/>
  <c r="I45" i="105"/>
  <c r="I55" i="97"/>
  <c r="I102" i="97" s="1" a="1"/>
  <c r="I102" i="97" s="1"/>
  <c r="R198" i="105" a="1"/>
  <c r="R198" i="105" s="1"/>
  <c r="R267" i="105" a="1"/>
  <c r="R267" i="105" s="1"/>
  <c r="R150" i="105" a="1"/>
  <c r="R150" i="105" s="1"/>
  <c r="H47" i="105"/>
  <c r="H57" i="97"/>
  <c r="F35" i="97"/>
  <c r="F25" i="105"/>
  <c r="I259" i="105" a="1"/>
  <c r="I259" i="105" s="1"/>
  <c r="I142" i="105" a="1"/>
  <c r="I142" i="105" s="1"/>
  <c r="I190" i="105" a="1"/>
  <c r="I190" i="105" s="1"/>
  <c r="Q46" i="105"/>
  <c r="Q56" i="97"/>
  <c r="Q103" i="97" s="1" a="1"/>
  <c r="Q103" i="97" s="1"/>
  <c r="P44" i="105"/>
  <c r="P54" i="97"/>
  <c r="P101" i="97" s="1" a="1"/>
  <c r="P101" i="97" s="1"/>
  <c r="I271" i="105" a="1"/>
  <c r="I271" i="105" s="1"/>
  <c r="I202" i="105" a="1"/>
  <c r="I202" i="105" s="1"/>
  <c r="I154" i="105" a="1"/>
  <c r="I154" i="105" s="1"/>
  <c r="F54" i="97"/>
  <c r="F101" i="97" s="1" a="1"/>
  <c r="F101" i="97" s="1"/>
  <c r="F44" i="105"/>
  <c r="R46" i="105"/>
  <c r="R56" i="97"/>
  <c r="R103" i="97" s="1" a="1"/>
  <c r="R103" i="97" s="1"/>
  <c r="I43" i="105"/>
  <c r="I53" i="97"/>
  <c r="I100" i="97" s="1" a="1"/>
  <c r="I100" i="97" s="1"/>
  <c r="G190" i="105" a="1"/>
  <c r="G190" i="105" s="1"/>
  <c r="G142" i="105" a="1"/>
  <c r="G142" i="105" s="1"/>
  <c r="G259" i="105" a="1"/>
  <c r="G259" i="105" s="1"/>
  <c r="H44" i="105"/>
  <c r="H54" i="97"/>
  <c r="H101" i="97" s="1" a="1"/>
  <c r="H101" i="97" s="1"/>
  <c r="H35" i="97"/>
  <c r="H25" i="105"/>
  <c r="G263" i="105" a="1"/>
  <c r="G263" i="105" s="1"/>
  <c r="G194" i="105" a="1"/>
  <c r="G194" i="105" s="1"/>
  <c r="G146" i="105" a="1"/>
  <c r="G146" i="105" s="1"/>
  <c r="Q43" i="105"/>
  <c r="Q53" i="97"/>
  <c r="Q100" i="97" s="1" a="1"/>
  <c r="Q100" i="97" s="1"/>
  <c r="P46" i="105"/>
  <c r="P56" i="97"/>
  <c r="P103" i="97" s="1" a="1"/>
  <c r="P103" i="97" s="1"/>
  <c r="H194" i="105" a="1"/>
  <c r="H194" i="105" s="1"/>
  <c r="H263" i="105" a="1"/>
  <c r="H263" i="105" s="1"/>
  <c r="H146" i="105" a="1"/>
  <c r="H146" i="105" s="1"/>
  <c r="I291" i="76" a="1"/>
  <c r="I291" i="76" s="1"/>
  <c r="F45" i="105"/>
  <c r="F55" i="97"/>
  <c r="F102" i="97" s="1" a="1"/>
  <c r="F102" i="97" s="1"/>
  <c r="R45" i="105"/>
  <c r="R55" i="97"/>
  <c r="R102" i="97" s="1" a="1"/>
  <c r="R102" i="97" s="1"/>
  <c r="I44" i="105"/>
  <c r="I54" i="97"/>
  <c r="I101" i="97" s="1" a="1"/>
  <c r="I101" i="97" s="1"/>
  <c r="H46" i="105"/>
  <c r="H56" i="97"/>
  <c r="H103" i="97" s="1" a="1"/>
  <c r="H103" i="97" s="1"/>
  <c r="E229" i="69" a="1"/>
  <c r="E229" i="69" s="1"/>
  <c r="E259" i="69" s="1" a="1"/>
  <c r="E259" i="69" s="1"/>
  <c r="Q229" i="69" a="1"/>
  <c r="Q229" i="69" s="1"/>
  <c r="Q259" i="69" s="1" a="1"/>
  <c r="Q259" i="69" s="1"/>
  <c r="P229" i="69" a="1"/>
  <c r="P229" i="69" s="1"/>
  <c r="P259" i="69" s="1" a="1"/>
  <c r="P259" i="69" s="1"/>
  <c r="G229" i="69" a="1"/>
  <c r="G229" i="69" s="1"/>
  <c r="G259" i="69" s="1" a="1"/>
  <c r="G259" i="69" s="1"/>
  <c r="O229" i="69" a="1"/>
  <c r="O229" i="69" s="1"/>
  <c r="O259" i="69" s="1" a="1"/>
  <c r="O259" i="69" s="1"/>
  <c r="F229" i="69" a="1"/>
  <c r="F229" i="69" s="1"/>
  <c r="F259" i="69" s="1" a="1"/>
  <c r="F259" i="69" s="1"/>
  <c r="N229" i="69" a="1"/>
  <c r="N229" i="69" s="1"/>
  <c r="N259" i="69" s="1" a="1"/>
  <c r="N259" i="69" s="1"/>
  <c r="R36" i="97"/>
  <c r="R83" i="97" s="1" a="1"/>
  <c r="R83" i="97" s="1"/>
  <c r="R26" i="105"/>
  <c r="P45" i="97"/>
  <c r="P92" i="97" s="1" a="1"/>
  <c r="P92" i="97" s="1"/>
  <c r="P35" i="105"/>
  <c r="P37" i="97"/>
  <c r="P84" i="97" s="1" a="1"/>
  <c r="P84" i="97" s="1"/>
  <c r="P27" i="105"/>
  <c r="R42" i="97"/>
  <c r="R89" i="97" s="1" a="1"/>
  <c r="R89" i="97" s="1"/>
  <c r="R32" i="105"/>
  <c r="S50" i="97"/>
  <c r="S97" i="97" s="1" a="1"/>
  <c r="S97" i="97" s="1"/>
  <c r="S40" i="105"/>
  <c r="P51" i="97"/>
  <c r="P98" i="97" s="1" a="1"/>
  <c r="P98" i="97" s="1"/>
  <c r="P41" i="105"/>
  <c r="Q37" i="97"/>
  <c r="Q84" i="97" s="1" a="1"/>
  <c r="Q84" i="97" s="1"/>
  <c r="Q27" i="105"/>
  <c r="P39" i="97"/>
  <c r="P86" i="97" s="1" a="1"/>
  <c r="P86" i="97" s="1"/>
  <c r="P29" i="105"/>
  <c r="S51" i="97"/>
  <c r="S98" i="97" s="1" a="1"/>
  <c r="S98" i="97" s="1"/>
  <c r="S41" i="105"/>
  <c r="P49" i="97"/>
  <c r="P96" i="97" s="1" a="1"/>
  <c r="P96" i="97" s="1"/>
  <c r="P39" i="105"/>
  <c r="R37" i="97"/>
  <c r="R84" i="97" s="1" a="1"/>
  <c r="R84" i="97" s="1"/>
  <c r="R27" i="105"/>
  <c r="P46" i="97"/>
  <c r="P93" i="97" s="1" a="1"/>
  <c r="P93" i="97" s="1"/>
  <c r="P36" i="105"/>
  <c r="P38" i="97"/>
  <c r="P85" i="97" s="1" a="1"/>
  <c r="P85" i="97" s="1"/>
  <c r="P28" i="105"/>
  <c r="S49" i="97"/>
  <c r="S96" i="97" s="1" a="1"/>
  <c r="S96" i="97" s="1"/>
  <c r="S39" i="105"/>
  <c r="P50" i="97"/>
  <c r="P97" i="97" s="1" a="1"/>
  <c r="P97" i="97" s="1"/>
  <c r="P40" i="105"/>
  <c r="S46" i="97"/>
  <c r="S93" i="97" s="1" a="1"/>
  <c r="S93" i="97" s="1"/>
  <c r="S36" i="105"/>
  <c r="R49" i="97"/>
  <c r="R96" i="97" s="1" a="1"/>
  <c r="R96" i="97" s="1"/>
  <c r="R39" i="105"/>
  <c r="P36" i="97"/>
  <c r="P83" i="97" s="1" a="1"/>
  <c r="P83" i="97" s="1"/>
  <c r="P26" i="105"/>
  <c r="S45" i="97"/>
  <c r="S92" i="97" s="1" a="1"/>
  <c r="S92" i="97" s="1"/>
  <c r="S35" i="105"/>
  <c r="Q42" i="97"/>
  <c r="Q89" i="97" s="1" a="1"/>
  <c r="Q89" i="97" s="1"/>
  <c r="Q32" i="105"/>
  <c r="Q34" i="97"/>
  <c r="Q81" i="97" s="1" a="1"/>
  <c r="Q81" i="97" s="1"/>
  <c r="Q24" i="105"/>
  <c r="R51" i="97"/>
  <c r="R98" i="97" s="1" a="1"/>
  <c r="R98" i="97" s="1"/>
  <c r="R41" i="105"/>
  <c r="Q50" i="97"/>
  <c r="Q97" i="97" s="1" a="1"/>
  <c r="Q97" i="97" s="1"/>
  <c r="Q40" i="105"/>
  <c r="R38" i="97"/>
  <c r="R85" i="97" s="1" a="1"/>
  <c r="R85" i="97" s="1"/>
  <c r="R28" i="105"/>
  <c r="R43" i="97"/>
  <c r="R90" i="97" s="1" a="1"/>
  <c r="R90" i="97" s="1"/>
  <c r="R33" i="105"/>
  <c r="R39" i="97"/>
  <c r="R86" i="97" s="1" a="1"/>
  <c r="R86" i="97" s="1"/>
  <c r="R29" i="105"/>
  <c r="P47" i="97"/>
  <c r="P94" i="97" s="1" a="1"/>
  <c r="P94" i="97" s="1"/>
  <c r="P37" i="105"/>
  <c r="S47" i="97"/>
  <c r="S94" i="97" s="1" a="1"/>
  <c r="S94" i="97" s="1"/>
  <c r="S37" i="105"/>
  <c r="Q41" i="97"/>
  <c r="Q88" i="97" s="1" a="1"/>
  <c r="Q88" i="97" s="1"/>
  <c r="Q31" i="105"/>
  <c r="Q46" i="97"/>
  <c r="Q93" i="97" s="1" a="1"/>
  <c r="Q93" i="97" s="1"/>
  <c r="Q36" i="105"/>
  <c r="Q43" i="97"/>
  <c r="Q90" i="97" s="1" a="1"/>
  <c r="Q90" i="97" s="1"/>
  <c r="Q33" i="105"/>
  <c r="Q32" i="97"/>
  <c r="Q79" i="97" s="1" a="1"/>
  <c r="Q79" i="97" s="1"/>
  <c r="Q22" i="105"/>
  <c r="R50" i="97"/>
  <c r="R97" i="97" s="1" a="1"/>
  <c r="R97" i="97" s="1"/>
  <c r="R40" i="105"/>
  <c r="P42" i="97"/>
  <c r="P89" i="97" s="1" a="1"/>
  <c r="P89" i="97" s="1"/>
  <c r="P32" i="105"/>
  <c r="Q47" i="97"/>
  <c r="Q94" i="97" s="1" a="1"/>
  <c r="Q94" i="97" s="1"/>
  <c r="Q37" i="105"/>
  <c r="R41" i="97"/>
  <c r="R88" i="97" s="1" a="1"/>
  <c r="R88" i="97" s="1"/>
  <c r="R31" i="105"/>
  <c r="Q45" i="97"/>
  <c r="Q92" i="97" s="1" a="1"/>
  <c r="Q92" i="97" s="1"/>
  <c r="Q35" i="105"/>
  <c r="Q33" i="97"/>
  <c r="Q80" i="97" s="1" a="1"/>
  <c r="Q80" i="97" s="1"/>
  <c r="Q23" i="105"/>
  <c r="Q51" i="97"/>
  <c r="Q98" i="97" s="1" a="1"/>
  <c r="Q98" i="97" s="1"/>
  <c r="Q41" i="105"/>
  <c r="P43" i="97"/>
  <c r="P90" i="97" s="1" a="1"/>
  <c r="P90" i="97" s="1"/>
  <c r="P33" i="105"/>
  <c r="S43" i="97"/>
  <c r="S90" i="97" s="1" a="1"/>
  <c r="S90" i="97" s="1"/>
  <c r="S33" i="105"/>
  <c r="Q49" i="97"/>
  <c r="Q96" i="97" s="1" a="1"/>
  <c r="Q96" i="97" s="1"/>
  <c r="Q39" i="105"/>
  <c r="P41" i="97"/>
  <c r="P88" i="97" s="1" a="1"/>
  <c r="P88" i="97" s="1"/>
  <c r="P31" i="105"/>
  <c r="S38" i="97"/>
  <c r="S85" i="97" s="1" a="1"/>
  <c r="S85" i="97" s="1"/>
  <c r="S28" i="105"/>
  <c r="R45" i="97"/>
  <c r="R92" i="97" s="1" a="1"/>
  <c r="R92" i="97" s="1"/>
  <c r="R35" i="105"/>
  <c r="Q38" i="97"/>
  <c r="Q85" i="97" s="1" a="1"/>
  <c r="Q85" i="97" s="1"/>
  <c r="Q28" i="105"/>
  <c r="S37" i="97"/>
  <c r="S84" i="97" s="1" a="1"/>
  <c r="S84" i="97" s="1"/>
  <c r="S27" i="105"/>
  <c r="S41" i="97"/>
  <c r="S88" i="97" s="1" a="1"/>
  <c r="S88" i="97" s="1"/>
  <c r="S31" i="105"/>
  <c r="R46" i="97"/>
  <c r="R93" i="97" s="1" a="1"/>
  <c r="R93" i="97" s="1"/>
  <c r="R36" i="105"/>
  <c r="S39" i="97"/>
  <c r="S86" i="97" s="1" a="1"/>
  <c r="S86" i="97" s="1"/>
  <c r="S29" i="105"/>
  <c r="S42" i="97"/>
  <c r="S89" i="97" s="1" a="1"/>
  <c r="S89" i="97" s="1"/>
  <c r="S32" i="105"/>
  <c r="Q36" i="97"/>
  <c r="Q83" i="97" s="1" a="1"/>
  <c r="Q83" i="97" s="1"/>
  <c r="Q26" i="105"/>
  <c r="Q39" i="97"/>
  <c r="Q86" i="97" s="1" a="1"/>
  <c r="Q86" i="97" s="1"/>
  <c r="Q29" i="105"/>
  <c r="S36" i="97"/>
  <c r="S83" i="97" s="1" a="1"/>
  <c r="S83" i="97" s="1"/>
  <c r="S26" i="105"/>
  <c r="R47" i="97"/>
  <c r="R94" i="97" s="1" a="1"/>
  <c r="R94" i="97" s="1"/>
  <c r="R37" i="105"/>
  <c r="G37" i="97"/>
  <c r="G84" i="97" s="1" a="1"/>
  <c r="G84" i="97" s="1"/>
  <c r="G27" i="105"/>
  <c r="F47" i="97"/>
  <c r="F94" i="97" s="1" a="1"/>
  <c r="F94" i="97" s="1"/>
  <c r="F37" i="105"/>
  <c r="F37" i="97"/>
  <c r="F84" i="97" s="1" a="1"/>
  <c r="F84" i="97" s="1"/>
  <c r="F27" i="105"/>
  <c r="G38" i="97"/>
  <c r="G85" i="97" s="1" a="1"/>
  <c r="G85" i="97" s="1"/>
  <c r="G28" i="105"/>
  <c r="H43" i="97"/>
  <c r="H90" i="97" s="1" a="1"/>
  <c r="H90" i="97" s="1"/>
  <c r="H33" i="105"/>
  <c r="I37" i="97"/>
  <c r="I84" i="97" s="1" a="1"/>
  <c r="I84" i="97" s="1"/>
  <c r="I27" i="105"/>
  <c r="F36" i="97"/>
  <c r="F83" i="97" s="1" a="1"/>
  <c r="F83" i="97" s="1"/>
  <c r="F26" i="105"/>
  <c r="H49" i="97"/>
  <c r="H96" i="97" s="1" a="1"/>
  <c r="H96" i="97" s="1"/>
  <c r="H39" i="105"/>
  <c r="F39" i="97"/>
  <c r="F86" i="97" s="1" a="1"/>
  <c r="F86" i="97" s="1"/>
  <c r="F29" i="105"/>
  <c r="H36" i="97"/>
  <c r="H83" i="97" s="1" a="1"/>
  <c r="H83" i="97" s="1"/>
  <c r="H26" i="105"/>
  <c r="G36" i="97"/>
  <c r="G83" i="97" s="1" a="1"/>
  <c r="G83" i="97" s="1"/>
  <c r="G26" i="105"/>
  <c r="F45" i="97"/>
  <c r="F92" i="97" s="1" a="1"/>
  <c r="F92" i="97" s="1"/>
  <c r="F35" i="105"/>
  <c r="H42" i="97"/>
  <c r="H89" i="97" s="1" a="1"/>
  <c r="H89" i="97" s="1"/>
  <c r="H32" i="105"/>
  <c r="F38" i="97"/>
  <c r="F85" i="97" s="1" a="1"/>
  <c r="F85" i="97" s="1"/>
  <c r="F28" i="105"/>
  <c r="H39" i="97"/>
  <c r="H86" i="97" s="1" a="1"/>
  <c r="H86" i="97" s="1"/>
  <c r="H29" i="105"/>
  <c r="G39" i="97"/>
  <c r="G86" i="97" s="1" a="1"/>
  <c r="G86" i="97" s="1"/>
  <c r="G29" i="105"/>
  <c r="F46" i="97"/>
  <c r="F93" i="97" s="1" a="1"/>
  <c r="F93" i="97" s="1"/>
  <c r="F36" i="105"/>
  <c r="H41" i="97"/>
  <c r="H88" i="97" s="1" a="1"/>
  <c r="H88" i="97" s="1"/>
  <c r="H31" i="105"/>
  <c r="H50" i="97"/>
  <c r="H97" i="97" s="1" a="1"/>
  <c r="H97" i="97" s="1"/>
  <c r="H40" i="105"/>
  <c r="F50" i="97"/>
  <c r="F97" i="97" s="1" a="1"/>
  <c r="F97" i="97" s="1"/>
  <c r="F40" i="105"/>
  <c r="H37" i="97"/>
  <c r="H84" i="97" s="1" a="1"/>
  <c r="H84" i="97" s="1"/>
  <c r="H27" i="105"/>
  <c r="G50" i="97"/>
  <c r="G97" i="97" s="1" a="1"/>
  <c r="G97" i="97" s="1"/>
  <c r="G40" i="105"/>
  <c r="G45" i="97"/>
  <c r="G92" i="97" s="1" a="1"/>
  <c r="G92" i="97" s="1"/>
  <c r="G35" i="105"/>
  <c r="G51" i="97"/>
  <c r="G98" i="97" s="1" a="1"/>
  <c r="G98" i="97" s="1"/>
  <c r="G41" i="105"/>
  <c r="G42" i="97"/>
  <c r="G89" i="97" s="1" a="1"/>
  <c r="G89" i="97" s="1"/>
  <c r="G32" i="105"/>
  <c r="F51" i="97"/>
  <c r="F98" i="97" s="1" a="1"/>
  <c r="F98" i="97" s="1"/>
  <c r="F41" i="105"/>
  <c r="F41" i="97"/>
  <c r="F88" i="97" s="1" a="1"/>
  <c r="F88" i="97" s="1"/>
  <c r="F31" i="105"/>
  <c r="H46" i="97"/>
  <c r="H93" i="97" s="1" a="1"/>
  <c r="H93" i="97" s="1"/>
  <c r="H36" i="105"/>
  <c r="I42" i="97"/>
  <c r="I89" i="97" s="1" a="1"/>
  <c r="I89" i="97" s="1"/>
  <c r="I32" i="105"/>
  <c r="G41" i="97"/>
  <c r="G88" i="97" s="1" a="1"/>
  <c r="G88" i="97" s="1"/>
  <c r="G31" i="105"/>
  <c r="I47" i="97"/>
  <c r="I94" i="97" s="1" a="1"/>
  <c r="I94" i="97" s="1"/>
  <c r="I37" i="105"/>
  <c r="G47" i="97"/>
  <c r="G94" i="97" s="1" a="1"/>
  <c r="G94" i="97" s="1"/>
  <c r="G37" i="105"/>
  <c r="H51" i="97"/>
  <c r="H98" i="97" s="1" a="1"/>
  <c r="H98" i="97" s="1"/>
  <c r="H41" i="105"/>
  <c r="F49" i="97"/>
  <c r="F96" i="97" s="1" a="1"/>
  <c r="F96" i="97" s="1"/>
  <c r="F39" i="105"/>
  <c r="G46" i="97"/>
  <c r="G93" i="97" s="1" a="1"/>
  <c r="G93" i="97" s="1"/>
  <c r="G36" i="105"/>
  <c r="I38" i="97"/>
  <c r="I85" i="97" s="1" a="1"/>
  <c r="I85" i="97" s="1"/>
  <c r="I28" i="105"/>
  <c r="F42" i="97"/>
  <c r="F89" i="97" s="1" a="1"/>
  <c r="F89" i="97" s="1"/>
  <c r="F32" i="105"/>
  <c r="G43" i="97"/>
  <c r="G90" i="97" s="1" a="1"/>
  <c r="G90" i="97" s="1"/>
  <c r="G33" i="105"/>
  <c r="I39" i="97"/>
  <c r="I86" i="97" s="1" a="1"/>
  <c r="I86" i="97" s="1"/>
  <c r="I29" i="105"/>
  <c r="I46" i="97"/>
  <c r="I93" i="97" s="1" a="1"/>
  <c r="I93" i="97" s="1"/>
  <c r="I36" i="105"/>
  <c r="H38" i="97"/>
  <c r="H85" i="97" s="1" a="1"/>
  <c r="H85" i="97" s="1"/>
  <c r="H28" i="105"/>
  <c r="H47" i="97"/>
  <c r="H94" i="97" s="1" a="1"/>
  <c r="H94" i="97" s="1"/>
  <c r="H37" i="105"/>
  <c r="F43" i="97"/>
  <c r="F90" i="97" s="1" a="1"/>
  <c r="F90" i="97" s="1"/>
  <c r="F33" i="105"/>
  <c r="H45" i="97"/>
  <c r="H92" i="97" s="1" a="1"/>
  <c r="H92" i="97" s="1"/>
  <c r="H35" i="105"/>
  <c r="I43" i="97"/>
  <c r="I90" i="97" s="1" a="1"/>
  <c r="I90" i="97" s="1"/>
  <c r="I33" i="105"/>
  <c r="G49" i="97"/>
  <c r="G96" i="97" s="1" a="1"/>
  <c r="G96" i="97" s="1"/>
  <c r="G39" i="105"/>
  <c r="I45" i="97"/>
  <c r="I92" i="97" s="1" a="1"/>
  <c r="I92" i="97" s="1"/>
  <c r="I35" i="105"/>
  <c r="I41" i="97"/>
  <c r="I88" i="97" s="1" a="1"/>
  <c r="I88" i="97" s="1"/>
  <c r="I31" i="105"/>
  <c r="I36" i="97"/>
  <c r="I83" i="97" s="1" a="1"/>
  <c r="I83" i="97" s="1"/>
  <c r="I26" i="105"/>
  <c r="I50" i="97"/>
  <c r="I97" i="97" s="1" a="1"/>
  <c r="I97" i="97" s="1"/>
  <c r="I40" i="105"/>
  <c r="I51" i="97"/>
  <c r="I98" i="97" s="1" a="1"/>
  <c r="I98" i="97" s="1"/>
  <c r="I41" i="105"/>
  <c r="I49" i="97"/>
  <c r="I96" i="97" s="1" a="1"/>
  <c r="I96" i="97" s="1"/>
  <c r="I39" i="105"/>
  <c r="F217" i="76" a="1"/>
  <c r="F217" i="76" s="1"/>
  <c r="F219" i="76" a="1"/>
  <c r="F219" i="76" s="1"/>
  <c r="F218" i="76" a="1"/>
  <c r="F218" i="76" s="1"/>
  <c r="S217" i="76" a="1"/>
  <c r="S217" i="76" s="1"/>
  <c r="S218" i="76" a="1"/>
  <c r="S218" i="76" s="1"/>
  <c r="S219" i="76" a="1"/>
  <c r="S219" i="76" s="1"/>
  <c r="P217" i="76" a="1"/>
  <c r="P217" i="76" s="1"/>
  <c r="P218" i="76" a="1"/>
  <c r="P218" i="76" s="1"/>
  <c r="P219" i="76" a="1"/>
  <c r="P219" i="76" s="1"/>
  <c r="G219" i="76" a="1"/>
  <c r="G219" i="76" s="1"/>
  <c r="G218" i="76" a="1"/>
  <c r="G218" i="76" s="1"/>
  <c r="G217" i="76" a="1"/>
  <c r="G217" i="76" s="1"/>
  <c r="I217" i="76" a="1"/>
  <c r="I217" i="76" s="1"/>
  <c r="I218" i="76" a="1"/>
  <c r="I218" i="76" s="1"/>
  <c r="I219" i="76" a="1"/>
  <c r="I219" i="76" s="1"/>
  <c r="R218" i="76" a="1"/>
  <c r="R218" i="76" s="1"/>
  <c r="R219" i="76" a="1"/>
  <c r="R219" i="76" s="1"/>
  <c r="R217" i="76" a="1"/>
  <c r="R217" i="76" s="1"/>
  <c r="H219" i="76" a="1"/>
  <c r="H219" i="76" s="1"/>
  <c r="H217" i="76" a="1"/>
  <c r="H217" i="76" s="1"/>
  <c r="H218" i="76" a="1"/>
  <c r="H218" i="76" s="1"/>
  <c r="G23" i="105" l="1"/>
  <c r="G271" i="76" a="1"/>
  <c r="G271" i="76" s="1"/>
  <c r="G24" i="105"/>
  <c r="G272" i="76" a="1"/>
  <c r="G272" i="76" s="1"/>
  <c r="F157" i="105" a="1"/>
  <c r="F157" i="105" s="1"/>
  <c r="F274" i="105" a="1"/>
  <c r="F274" i="105" s="1"/>
  <c r="F205" i="105" a="1"/>
  <c r="F205" i="105" s="1"/>
  <c r="P159" i="105" a="1"/>
  <c r="P159" i="105" s="1"/>
  <c r="P276" i="105" a="1"/>
  <c r="P276" i="105" s="1"/>
  <c r="P207" i="105" a="1"/>
  <c r="P207" i="105" s="1"/>
  <c r="P24" i="105"/>
  <c r="P253" i="105" s="1" a="1"/>
  <c r="P253" i="105" s="1"/>
  <c r="P272" i="76" a="1"/>
  <c r="P272" i="76" s="1"/>
  <c r="H156" i="105" a="1"/>
  <c r="H156" i="105" s="1"/>
  <c r="H273" i="105" a="1"/>
  <c r="H273" i="105" s="1"/>
  <c r="H204" i="105" a="1"/>
  <c r="H204" i="105" s="1"/>
  <c r="P156" i="105" a="1"/>
  <c r="P156" i="105" s="1"/>
  <c r="P273" i="105" a="1"/>
  <c r="P273" i="105" s="1"/>
  <c r="P204" i="105" a="1"/>
  <c r="P204" i="105" s="1"/>
  <c r="I274" i="105" a="1"/>
  <c r="I274" i="105" s="1"/>
  <c r="I157" i="105" a="1"/>
  <c r="I157" i="105" s="1"/>
  <c r="I205" i="105" a="1"/>
  <c r="I205" i="105" s="1"/>
  <c r="H205" i="105" a="1"/>
  <c r="H205" i="105" s="1"/>
  <c r="H157" i="105" a="1"/>
  <c r="H157" i="105" s="1"/>
  <c r="H274" i="105" a="1"/>
  <c r="H274" i="105" s="1"/>
  <c r="S137" i="105" a="1"/>
  <c r="S137" i="105" s="1"/>
  <c r="S254" i="105" a="1"/>
  <c r="S254" i="105" s="1"/>
  <c r="S185" i="105" a="1"/>
  <c r="S185" i="105" s="1"/>
  <c r="F203" i="105" a="1"/>
  <c r="F203" i="105" s="1"/>
  <c r="F272" i="105" a="1"/>
  <c r="F272" i="105" s="1"/>
  <c r="F155" i="105" a="1"/>
  <c r="F155" i="105" s="1"/>
  <c r="F204" i="105" a="1"/>
  <c r="F204" i="105" s="1"/>
  <c r="F156" i="105" a="1"/>
  <c r="F156" i="105" s="1"/>
  <c r="F273" i="105" a="1"/>
  <c r="F273" i="105" s="1"/>
  <c r="P274" i="105" a="1"/>
  <c r="P274" i="105" s="1"/>
  <c r="P205" i="105" a="1"/>
  <c r="P205" i="105" s="1"/>
  <c r="P157" i="105" a="1"/>
  <c r="P157" i="105" s="1"/>
  <c r="S276" i="105" a="1"/>
  <c r="S276" i="105" s="1"/>
  <c r="S159" i="105" a="1"/>
  <c r="S159" i="105" s="1"/>
  <c r="S207" i="105" a="1"/>
  <c r="S207" i="105" s="1"/>
  <c r="P23" i="105"/>
  <c r="P252" i="105" s="1" a="1"/>
  <c r="P252" i="105" s="1"/>
  <c r="P271" i="76" a="1"/>
  <c r="P271" i="76" s="1"/>
  <c r="I206" i="105" a="1"/>
  <c r="I206" i="105" s="1"/>
  <c r="I158" i="105" a="1"/>
  <c r="I158" i="105" s="1"/>
  <c r="I275" i="105" a="1"/>
  <c r="I275" i="105" s="1"/>
  <c r="S273" i="105" a="1"/>
  <c r="S273" i="105" s="1"/>
  <c r="S204" i="105" a="1"/>
  <c r="S204" i="105" s="1"/>
  <c r="S156" i="105" a="1"/>
  <c r="S156" i="105" s="1"/>
  <c r="Q206" i="105" a="1"/>
  <c r="Q206" i="105" s="1"/>
  <c r="Q158" i="105" a="1"/>
  <c r="Q158" i="105" s="1"/>
  <c r="Q275" i="105" a="1"/>
  <c r="Q275" i="105" s="1"/>
  <c r="R273" i="105" a="1"/>
  <c r="R273" i="105" s="1"/>
  <c r="R204" i="105" a="1"/>
  <c r="R204" i="105" s="1"/>
  <c r="R156" i="105" a="1"/>
  <c r="R156" i="105" s="1"/>
  <c r="G203" i="105" a="1"/>
  <c r="G203" i="105" s="1"/>
  <c r="G272" i="105" a="1"/>
  <c r="G272" i="105" s="1"/>
  <c r="G155" i="105" a="1"/>
  <c r="G155" i="105" s="1"/>
  <c r="H22" i="105"/>
  <c r="H270" i="76" a="1"/>
  <c r="H270" i="76" s="1"/>
  <c r="S24" i="105"/>
  <c r="S184" i="105" s="1" a="1"/>
  <c r="S184" i="105" s="1"/>
  <c r="S272" i="76" a="1"/>
  <c r="S272" i="76" s="1"/>
  <c r="S23" i="105"/>
  <c r="S135" i="105" s="1" a="1"/>
  <c r="S135" i="105" s="1"/>
  <c r="S271" i="76" a="1"/>
  <c r="S271" i="76" s="1"/>
  <c r="S272" i="105" a="1"/>
  <c r="S272" i="105" s="1"/>
  <c r="S203" i="105" a="1"/>
  <c r="S203" i="105" s="1"/>
  <c r="S155" i="105" a="1"/>
  <c r="S155" i="105" s="1"/>
  <c r="F22" i="105"/>
  <c r="F182" i="105" s="1" a="1"/>
  <c r="F182" i="105" s="1"/>
  <c r="F270" i="76" a="1"/>
  <c r="F270" i="76" s="1"/>
  <c r="R22" i="105"/>
  <c r="R134" i="105" s="1" a="1"/>
  <c r="R134" i="105" s="1"/>
  <c r="R270" i="76" a="1"/>
  <c r="R270" i="76" s="1"/>
  <c r="P275" i="105" a="1"/>
  <c r="P275" i="105" s="1"/>
  <c r="P158" i="105" a="1"/>
  <c r="P158" i="105" s="1"/>
  <c r="P206" i="105" a="1"/>
  <c r="P206" i="105" s="1"/>
  <c r="I155" i="105" a="1"/>
  <c r="I155" i="105" s="1"/>
  <c r="I203" i="105" a="1"/>
  <c r="I203" i="105" s="1"/>
  <c r="I272" i="105" a="1"/>
  <c r="I272" i="105" s="1"/>
  <c r="H203" i="105" a="1"/>
  <c r="H203" i="105" s="1"/>
  <c r="H272" i="105" a="1"/>
  <c r="H272" i="105" s="1"/>
  <c r="H155" i="105" a="1"/>
  <c r="H155" i="105" s="1"/>
  <c r="G274" i="105" a="1"/>
  <c r="G274" i="105" s="1"/>
  <c r="G157" i="105" a="1"/>
  <c r="G157" i="105" s="1"/>
  <c r="G205" i="105" a="1"/>
  <c r="G205" i="105" s="1"/>
  <c r="Q276" i="105" a="1"/>
  <c r="Q276" i="105" s="1"/>
  <c r="Q207" i="105" a="1"/>
  <c r="Q207" i="105" s="1"/>
  <c r="Q159" i="105" a="1"/>
  <c r="Q159" i="105" s="1"/>
  <c r="P203" i="105" a="1"/>
  <c r="P203" i="105" s="1"/>
  <c r="P272" i="105" a="1"/>
  <c r="P272" i="105" s="1"/>
  <c r="P155" i="105" a="1"/>
  <c r="P155" i="105" s="1"/>
  <c r="P22" i="105"/>
  <c r="P182" i="105" s="1" a="1"/>
  <c r="P182" i="105" s="1"/>
  <c r="P270" i="76" a="1"/>
  <c r="P270" i="76" s="1"/>
  <c r="H24" i="105"/>
  <c r="H253" i="105" s="1" a="1"/>
  <c r="H253" i="105" s="1"/>
  <c r="H272" i="76" a="1"/>
  <c r="H272" i="76" s="1"/>
  <c r="S22" i="105"/>
  <c r="S134" i="105" s="1" a="1"/>
  <c r="S134" i="105" s="1"/>
  <c r="S270" i="76" a="1"/>
  <c r="S270" i="76" s="1"/>
  <c r="R24" i="105"/>
  <c r="R136" i="105" s="1" a="1"/>
  <c r="R136" i="105" s="1"/>
  <c r="R272" i="76" a="1"/>
  <c r="R272" i="76" s="1"/>
  <c r="F23" i="105"/>
  <c r="F183" i="105" s="1" a="1"/>
  <c r="F183" i="105" s="1"/>
  <c r="F271" i="76" a="1"/>
  <c r="F271" i="76" s="1"/>
  <c r="F254" i="105" a="1"/>
  <c r="F254" i="105" s="1"/>
  <c r="F137" i="105" a="1"/>
  <c r="F137" i="105" s="1"/>
  <c r="F185" i="105" a="1"/>
  <c r="F185" i="105" s="1"/>
  <c r="G275" i="105" a="1"/>
  <c r="G275" i="105" s="1"/>
  <c r="G206" i="105" a="1"/>
  <c r="G206" i="105" s="1"/>
  <c r="G158" i="105" a="1"/>
  <c r="G158" i="105" s="1"/>
  <c r="I24" i="105"/>
  <c r="I136" i="105" s="1" a="1"/>
  <c r="I136" i="105" s="1"/>
  <c r="I272" i="76" a="1"/>
  <c r="I272" i="76" s="1"/>
  <c r="H23" i="105"/>
  <c r="H252" i="105" s="1" a="1"/>
  <c r="H252" i="105" s="1"/>
  <c r="H271" i="76" a="1"/>
  <c r="H271" i="76" s="1"/>
  <c r="R23" i="105"/>
  <c r="R252" i="105" s="1" a="1"/>
  <c r="R252" i="105" s="1"/>
  <c r="R271" i="76" a="1"/>
  <c r="R271" i="76" s="1"/>
  <c r="F24" i="105"/>
  <c r="F136" i="105" s="1" a="1"/>
  <c r="F136" i="105" s="1"/>
  <c r="F272" i="76" a="1"/>
  <c r="F272" i="76" s="1"/>
  <c r="H275" i="105" a="1"/>
  <c r="H275" i="105" s="1"/>
  <c r="H158" i="105" a="1"/>
  <c r="H158" i="105" s="1"/>
  <c r="H206" i="105" a="1"/>
  <c r="H206" i="105" s="1"/>
  <c r="Q203" i="105" a="1"/>
  <c r="Q203" i="105" s="1"/>
  <c r="Q272" i="105" a="1"/>
  <c r="Q272" i="105" s="1"/>
  <c r="Q155" i="105" a="1"/>
  <c r="Q155" i="105" s="1"/>
  <c r="R275" i="105" a="1"/>
  <c r="R275" i="105" s="1"/>
  <c r="R206" i="105" a="1"/>
  <c r="R206" i="105" s="1"/>
  <c r="R158" i="105" a="1"/>
  <c r="R158" i="105" s="1"/>
  <c r="I137" i="105" a="1"/>
  <c r="I137" i="105" s="1"/>
  <c r="I185" i="105" a="1"/>
  <c r="I185" i="105" s="1"/>
  <c r="I254" i="105" a="1"/>
  <c r="I254" i="105" s="1"/>
  <c r="G156" i="105" a="1"/>
  <c r="G156" i="105" s="1"/>
  <c r="G204" i="105" a="1"/>
  <c r="G204" i="105" s="1"/>
  <c r="G273" i="105" a="1"/>
  <c r="G273" i="105" s="1"/>
  <c r="R276" i="105" a="1"/>
  <c r="R276" i="105" s="1"/>
  <c r="R159" i="105" a="1"/>
  <c r="R159" i="105" s="1"/>
  <c r="R207" i="105" a="1"/>
  <c r="R207" i="105" s="1"/>
  <c r="Q205" i="105" a="1"/>
  <c r="Q205" i="105" s="1"/>
  <c r="Q274" i="105" a="1"/>
  <c r="Q274" i="105" s="1"/>
  <c r="Q157" i="105" a="1"/>
  <c r="Q157" i="105" s="1"/>
  <c r="H159" i="105" a="1"/>
  <c r="H159" i="105" s="1"/>
  <c r="H207" i="105" a="1"/>
  <c r="H207" i="105" s="1"/>
  <c r="H276" i="105" a="1"/>
  <c r="H276" i="105" s="1"/>
  <c r="F275" i="105" a="1"/>
  <c r="F275" i="105" s="1"/>
  <c r="F206" i="105" a="1"/>
  <c r="F206" i="105" s="1"/>
  <c r="F158" i="105" a="1"/>
  <c r="F158" i="105" s="1"/>
  <c r="I207" i="105" a="1"/>
  <c r="I207" i="105" s="1"/>
  <c r="I276" i="105" a="1"/>
  <c r="I276" i="105" s="1"/>
  <c r="I159" i="105" a="1"/>
  <c r="I159" i="105" s="1"/>
  <c r="Q204" i="105" a="1"/>
  <c r="Q204" i="105" s="1"/>
  <c r="Q156" i="105" a="1"/>
  <c r="Q156" i="105" s="1"/>
  <c r="Q273" i="105" a="1"/>
  <c r="Q273" i="105" s="1"/>
  <c r="S157" i="105" a="1"/>
  <c r="S157" i="105" s="1"/>
  <c r="S205" i="105" a="1"/>
  <c r="S205" i="105" s="1"/>
  <c r="S274" i="105" a="1"/>
  <c r="S274" i="105" s="1"/>
  <c r="G22" i="105"/>
  <c r="G251" i="105" s="1" a="1"/>
  <c r="G251" i="105" s="1"/>
  <c r="G270" i="76" a="1"/>
  <c r="G270" i="76" s="1"/>
  <c r="R205" i="105" a="1"/>
  <c r="R205" i="105" s="1"/>
  <c r="R157" i="105" a="1"/>
  <c r="R157" i="105" s="1"/>
  <c r="R274" i="105" a="1"/>
  <c r="R274" i="105" s="1"/>
  <c r="H185" i="105" a="1"/>
  <c r="H185" i="105" s="1"/>
  <c r="H254" i="105" a="1"/>
  <c r="H254" i="105" s="1"/>
  <c r="H137" i="105" a="1"/>
  <c r="H137" i="105" s="1"/>
  <c r="R185" i="105" a="1"/>
  <c r="R185" i="105" s="1"/>
  <c r="R137" i="105" a="1"/>
  <c r="R137" i="105" s="1"/>
  <c r="R254" i="105" a="1"/>
  <c r="R254" i="105" s="1"/>
  <c r="S206" i="105" a="1"/>
  <c r="S206" i="105" s="1"/>
  <c r="S275" i="105" a="1"/>
  <c r="S275" i="105" s="1"/>
  <c r="S158" i="105" a="1"/>
  <c r="S158" i="105" s="1"/>
  <c r="P137" i="105" a="1"/>
  <c r="P137" i="105" s="1"/>
  <c r="P254" i="105" a="1"/>
  <c r="P254" i="105" s="1"/>
  <c r="P185" i="105" a="1"/>
  <c r="P185" i="105" s="1"/>
  <c r="I23" i="105"/>
  <c r="I135" i="105" s="1" a="1"/>
  <c r="I135" i="105" s="1"/>
  <c r="I271" i="76" a="1"/>
  <c r="I271" i="76" s="1"/>
  <c r="I156" i="105" a="1"/>
  <c r="I156" i="105" s="1"/>
  <c r="I273" i="105" a="1"/>
  <c r="I273" i="105" s="1"/>
  <c r="I204" i="105" a="1"/>
  <c r="I204" i="105" s="1"/>
  <c r="I22" i="105"/>
  <c r="I270" i="76" a="1"/>
  <c r="I270" i="76" s="1"/>
  <c r="G254" i="105" a="1"/>
  <c r="G254" i="105" s="1"/>
  <c r="G185" i="105" a="1"/>
  <c r="G185" i="105" s="1"/>
  <c r="G137" i="105" a="1"/>
  <c r="G137" i="105" s="1"/>
  <c r="G159" i="105" a="1"/>
  <c r="G159" i="105" s="1"/>
  <c r="G276" i="105" a="1"/>
  <c r="G276" i="105" s="1"/>
  <c r="G207" i="105" a="1"/>
  <c r="G207" i="105" s="1"/>
  <c r="F276" i="105" a="1"/>
  <c r="F276" i="105" s="1"/>
  <c r="F207" i="105" a="1"/>
  <c r="F207" i="105" s="1"/>
  <c r="F159" i="105" a="1"/>
  <c r="F159" i="105" s="1"/>
  <c r="R203" i="105" a="1"/>
  <c r="R203" i="105" s="1"/>
  <c r="R272" i="105" a="1"/>
  <c r="R272" i="105" s="1"/>
  <c r="R155" i="105" a="1"/>
  <c r="R155" i="105" s="1"/>
  <c r="I269" i="105" a="1"/>
  <c r="I269" i="105" s="1"/>
  <c r="I152" i="105" a="1"/>
  <c r="I152" i="105" s="1"/>
  <c r="I200" i="105" a="1"/>
  <c r="I200" i="105" s="1"/>
  <c r="F193" i="105" a="1"/>
  <c r="F193" i="105" s="1"/>
  <c r="F262" i="105" a="1"/>
  <c r="F262" i="105" s="1"/>
  <c r="F145" i="105" a="1"/>
  <c r="F145" i="105" s="1"/>
  <c r="I188" i="105" a="1"/>
  <c r="I188" i="105" s="1"/>
  <c r="I140" i="105" a="1"/>
  <c r="I140" i="105" s="1"/>
  <c r="I257" i="105" a="1"/>
  <c r="I257" i="105" s="1"/>
  <c r="I192" i="105" a="1"/>
  <c r="I192" i="105" s="1"/>
  <c r="I261" i="105" a="1"/>
  <c r="I261" i="105" s="1"/>
  <c r="I144" i="105" a="1"/>
  <c r="I144" i="105" s="1"/>
  <c r="G269" i="105" a="1"/>
  <c r="G269" i="105" s="1"/>
  <c r="G152" i="105" a="1"/>
  <c r="G152" i="105" s="1"/>
  <c r="G200" i="105" a="1"/>
  <c r="G200" i="105" s="1"/>
  <c r="H258" i="105" a="1"/>
  <c r="H258" i="105" s="1"/>
  <c r="H189" i="105" a="1"/>
  <c r="H189" i="105" s="1"/>
  <c r="H141" i="105" a="1"/>
  <c r="H141" i="105" s="1"/>
  <c r="H268" i="105" a="1"/>
  <c r="H268" i="105" s="1"/>
  <c r="H151" i="105" a="1"/>
  <c r="H151" i="105" s="1"/>
  <c r="H199" i="105" a="1"/>
  <c r="H199" i="105" s="1"/>
  <c r="G139" i="105" a="1"/>
  <c r="G139" i="105" s="1"/>
  <c r="G187" i="105" a="1"/>
  <c r="G187" i="105" s="1"/>
  <c r="G256" i="105" a="1"/>
  <c r="G256" i="105" s="1"/>
  <c r="R196" i="105" a="1"/>
  <c r="R196" i="105" s="1"/>
  <c r="R265" i="105" a="1"/>
  <c r="R265" i="105" s="1"/>
  <c r="R148" i="105" a="1"/>
  <c r="R148" i="105" s="1"/>
  <c r="Q268" i="105" a="1"/>
  <c r="Q268" i="105" s="1"/>
  <c r="Q199" i="105" a="1"/>
  <c r="Q199" i="105" s="1"/>
  <c r="Q151" i="105" a="1"/>
  <c r="Q151" i="105" s="1"/>
  <c r="Q197" i="105" a="1"/>
  <c r="Q197" i="105" s="1"/>
  <c r="Q266" i="105" a="1"/>
  <c r="Q266" i="105" s="1"/>
  <c r="Q149" i="105" a="1"/>
  <c r="Q149" i="105" s="1"/>
  <c r="S197" i="105" a="1"/>
  <c r="S197" i="105" s="1"/>
  <c r="S149" i="105" a="1"/>
  <c r="S149" i="105" s="1"/>
  <c r="S266" i="105" a="1"/>
  <c r="S266" i="105" s="1"/>
  <c r="Q184" i="105" a="1"/>
  <c r="Q184" i="105" s="1"/>
  <c r="Q136" i="105" a="1"/>
  <c r="Q136" i="105" s="1"/>
  <c r="Q253" i="105" a="1"/>
  <c r="Q253" i="105" s="1"/>
  <c r="S268" i="105" a="1"/>
  <c r="S268" i="105" s="1"/>
  <c r="S151" i="105" a="1"/>
  <c r="S151" i="105" s="1"/>
  <c r="S199" i="105" a="1"/>
  <c r="S199" i="105" s="1"/>
  <c r="Q139" i="105" a="1"/>
  <c r="Q139" i="105" s="1"/>
  <c r="Q187" i="105" a="1"/>
  <c r="Q187" i="105" s="1"/>
  <c r="Q256" i="105" a="1"/>
  <c r="Q256" i="105" s="1"/>
  <c r="I186" i="105" a="1"/>
  <c r="I186" i="105" s="1"/>
  <c r="I138" i="105" a="1"/>
  <c r="I138" i="105" s="1"/>
  <c r="I255" i="105" a="1"/>
  <c r="I255" i="105" s="1"/>
  <c r="H149" i="105" a="1"/>
  <c r="H149" i="105" s="1"/>
  <c r="H266" i="105" a="1"/>
  <c r="H266" i="105" s="1"/>
  <c r="H197" i="105" a="1"/>
  <c r="H197" i="105" s="1"/>
  <c r="G148" i="105" a="1"/>
  <c r="G148" i="105" s="1"/>
  <c r="G265" i="105" a="1"/>
  <c r="G265" i="105" s="1"/>
  <c r="G196" i="105" a="1"/>
  <c r="G196" i="105" s="1"/>
  <c r="H148" i="105" a="1"/>
  <c r="H148" i="105" s="1"/>
  <c r="H196" i="105" a="1"/>
  <c r="H196" i="105" s="1"/>
  <c r="H265" i="105" a="1"/>
  <c r="H265" i="105" s="1"/>
  <c r="H187" i="105" a="1"/>
  <c r="H187" i="105" s="1"/>
  <c r="H139" i="105" a="1"/>
  <c r="H139" i="105" s="1"/>
  <c r="H256" i="105" a="1"/>
  <c r="H256" i="105" s="1"/>
  <c r="F188" i="105" a="1"/>
  <c r="F188" i="105" s="1"/>
  <c r="F140" i="105" a="1"/>
  <c r="F140" i="105" s="1"/>
  <c r="F257" i="105" a="1"/>
  <c r="F257" i="105" s="1"/>
  <c r="F186" i="105" a="1"/>
  <c r="F186" i="105" s="1"/>
  <c r="F255" i="105" a="1"/>
  <c r="F255" i="105" s="1"/>
  <c r="F138" i="105" a="1"/>
  <c r="F138" i="105" s="1"/>
  <c r="R266" i="105" a="1"/>
  <c r="R266" i="105" s="1"/>
  <c r="R149" i="105" a="1"/>
  <c r="R149" i="105" s="1"/>
  <c r="R197" i="105" a="1"/>
  <c r="R197" i="105" s="1"/>
  <c r="S260" i="105" a="1"/>
  <c r="S260" i="105" s="1"/>
  <c r="S143" i="105" a="1"/>
  <c r="S143" i="105" s="1"/>
  <c r="S191" i="105" a="1"/>
  <c r="S191" i="105" s="1"/>
  <c r="S262" i="105" a="1"/>
  <c r="S262" i="105" s="1"/>
  <c r="S193" i="105" a="1"/>
  <c r="S193" i="105" s="1"/>
  <c r="S145" i="105" a="1"/>
  <c r="S145" i="105" s="1"/>
  <c r="P144" i="105" a="1"/>
  <c r="P144" i="105" s="1"/>
  <c r="P261" i="105" a="1"/>
  <c r="P261" i="105" s="1"/>
  <c r="P192" i="105" a="1"/>
  <c r="P192" i="105" s="1"/>
  <c r="P266" i="105" a="1"/>
  <c r="P266" i="105" s="1"/>
  <c r="P197" i="105" a="1"/>
  <c r="P197" i="105" s="1"/>
  <c r="P149" i="105" a="1"/>
  <c r="P149" i="105" s="1"/>
  <c r="Q144" i="105" a="1"/>
  <c r="Q144" i="105" s="1"/>
  <c r="Q192" i="105" a="1"/>
  <c r="Q192" i="105" s="1"/>
  <c r="Q261" i="105" a="1"/>
  <c r="Q261" i="105" s="1"/>
  <c r="P188" i="105" a="1"/>
  <c r="P188" i="105" s="1"/>
  <c r="P257" i="105" a="1"/>
  <c r="P257" i="105" s="1"/>
  <c r="P140" i="105" a="1"/>
  <c r="P140" i="105" s="1"/>
  <c r="P153" i="105" a="1"/>
  <c r="P153" i="105" s="1"/>
  <c r="P201" i="105" a="1"/>
  <c r="P201" i="105" s="1"/>
  <c r="P270" i="105" a="1"/>
  <c r="P270" i="105" s="1"/>
  <c r="S183" i="105" a="1"/>
  <c r="S183" i="105" s="1"/>
  <c r="I143" i="105" a="1"/>
  <c r="I143" i="105" s="1"/>
  <c r="I260" i="105" a="1"/>
  <c r="I260" i="105" s="1"/>
  <c r="I191" i="105" a="1"/>
  <c r="I191" i="105" s="1"/>
  <c r="H188" i="105" a="1"/>
  <c r="H188" i="105" s="1"/>
  <c r="H257" i="105" a="1"/>
  <c r="H257" i="105" s="1"/>
  <c r="H140" i="105" a="1"/>
  <c r="H140" i="105" s="1"/>
  <c r="F268" i="105" a="1"/>
  <c r="F268" i="105" s="1"/>
  <c r="F151" i="105" a="1"/>
  <c r="F151" i="105" s="1"/>
  <c r="F199" i="105" a="1"/>
  <c r="F199" i="105" s="1"/>
  <c r="F260" i="105" a="1"/>
  <c r="F260" i="105" s="1"/>
  <c r="F191" i="105" a="1"/>
  <c r="F191" i="105" s="1"/>
  <c r="F143" i="105" a="1"/>
  <c r="F143" i="105" s="1"/>
  <c r="F200" i="105" a="1"/>
  <c r="F200" i="105" s="1"/>
  <c r="F269" i="105" a="1"/>
  <c r="F269" i="105" s="1"/>
  <c r="F152" i="105" a="1"/>
  <c r="F152" i="105" s="1"/>
  <c r="H144" i="105" a="1"/>
  <c r="H144" i="105" s="1"/>
  <c r="H192" i="105" a="1"/>
  <c r="H192" i="105" s="1"/>
  <c r="H261" i="105" a="1"/>
  <c r="H261" i="105" s="1"/>
  <c r="I139" i="105" a="1"/>
  <c r="I139" i="105" s="1"/>
  <c r="I256" i="105" a="1"/>
  <c r="I256" i="105" s="1"/>
  <c r="I187" i="105" a="1"/>
  <c r="I187" i="105" s="1"/>
  <c r="S186" i="105" a="1"/>
  <c r="S186" i="105" s="1"/>
  <c r="S138" i="105" a="1"/>
  <c r="S138" i="105" s="1"/>
  <c r="S255" i="105" a="1"/>
  <c r="S255" i="105" s="1"/>
  <c r="S187" i="105" a="1"/>
  <c r="S187" i="105" s="1"/>
  <c r="S256" i="105" a="1"/>
  <c r="S256" i="105" s="1"/>
  <c r="S139" i="105" a="1"/>
  <c r="S139" i="105" s="1"/>
  <c r="P262" i="105" a="1"/>
  <c r="P262" i="105" s="1"/>
  <c r="P145" i="105" a="1"/>
  <c r="P145" i="105" s="1"/>
  <c r="P193" i="105" a="1"/>
  <c r="P193" i="105" s="1"/>
  <c r="R269" i="105" a="1"/>
  <c r="R269" i="105" s="1"/>
  <c r="R200" i="105" a="1"/>
  <c r="R200" i="105" s="1"/>
  <c r="R152" i="105" a="1"/>
  <c r="R152" i="105" s="1"/>
  <c r="R258" i="105" a="1"/>
  <c r="R258" i="105" s="1"/>
  <c r="R141" i="105" a="1"/>
  <c r="R141" i="105" s="1"/>
  <c r="R189" i="105" a="1"/>
  <c r="R189" i="105" s="1"/>
  <c r="S264" i="105" a="1"/>
  <c r="S264" i="105" s="1"/>
  <c r="S195" i="105" a="1"/>
  <c r="S195" i="105" s="1"/>
  <c r="S147" i="105" a="1"/>
  <c r="S147" i="105" s="1"/>
  <c r="P148" i="105" a="1"/>
  <c r="P148" i="105" s="1"/>
  <c r="P196" i="105" a="1"/>
  <c r="P196" i="105" s="1"/>
  <c r="P265" i="105" a="1"/>
  <c r="P265" i="105" s="1"/>
  <c r="S200" i="105" a="1"/>
  <c r="S200" i="105" s="1"/>
  <c r="S152" i="105" a="1"/>
  <c r="S152" i="105" s="1"/>
  <c r="S269" i="105" a="1"/>
  <c r="S269" i="105" s="1"/>
  <c r="I195" i="105" a="1"/>
  <c r="I195" i="105" s="1"/>
  <c r="I147" i="105" a="1"/>
  <c r="I147" i="105" s="1"/>
  <c r="I264" i="105" a="1"/>
  <c r="I264" i="105" s="1"/>
  <c r="I265" i="105" a="1"/>
  <c r="I265" i="105" s="1"/>
  <c r="I148" i="105" a="1"/>
  <c r="I148" i="105" s="1"/>
  <c r="I196" i="105" a="1"/>
  <c r="I196" i="105" s="1"/>
  <c r="H201" i="105" a="1"/>
  <c r="H201" i="105" s="1"/>
  <c r="H270" i="105" a="1"/>
  <c r="H270" i="105" s="1"/>
  <c r="H153" i="105" a="1"/>
  <c r="H153" i="105" s="1"/>
  <c r="F201" i="105" a="1"/>
  <c r="F201" i="105" s="1"/>
  <c r="F270" i="105" a="1"/>
  <c r="F270" i="105" s="1"/>
  <c r="F153" i="105" a="1"/>
  <c r="F153" i="105" s="1"/>
  <c r="H152" i="105" a="1"/>
  <c r="H152" i="105" s="1"/>
  <c r="H200" i="105" a="1"/>
  <c r="H200" i="105" s="1"/>
  <c r="H269" i="105" a="1"/>
  <c r="H269" i="105" s="1"/>
  <c r="F195" i="105" a="1"/>
  <c r="F195" i="105" s="1"/>
  <c r="F147" i="105" a="1"/>
  <c r="F147" i="105" s="1"/>
  <c r="F264" i="105" a="1"/>
  <c r="F264" i="105" s="1"/>
  <c r="H262" i="105" a="1"/>
  <c r="H262" i="105" s="1"/>
  <c r="H193" i="105" a="1"/>
  <c r="H193" i="105" s="1"/>
  <c r="H145" i="105" a="1"/>
  <c r="H145" i="105" s="1"/>
  <c r="Q189" i="105" a="1"/>
  <c r="Q189" i="105" s="1"/>
  <c r="Q258" i="105" a="1"/>
  <c r="Q258" i="105" s="1"/>
  <c r="Q141" i="105" a="1"/>
  <c r="Q141" i="105" s="1"/>
  <c r="Q188" i="105" a="1"/>
  <c r="Q188" i="105" s="1"/>
  <c r="Q257" i="105" a="1"/>
  <c r="Q257" i="105" s="1"/>
  <c r="Q140" i="105" a="1"/>
  <c r="Q140" i="105" s="1"/>
  <c r="Q270" i="105" a="1"/>
  <c r="Q270" i="105" s="1"/>
  <c r="Q153" i="105" a="1"/>
  <c r="Q153" i="105" s="1"/>
  <c r="Q201" i="105" a="1"/>
  <c r="Q201" i="105" s="1"/>
  <c r="Q182" i="105" a="1"/>
  <c r="Q182" i="105" s="1"/>
  <c r="Q251" i="105" a="1"/>
  <c r="Q251" i="105" s="1"/>
  <c r="Q134" i="105" a="1"/>
  <c r="Q134" i="105" s="1"/>
  <c r="R145" i="105" a="1"/>
  <c r="R145" i="105" s="1"/>
  <c r="R262" i="105" a="1"/>
  <c r="R262" i="105" s="1"/>
  <c r="R193" i="105" a="1"/>
  <c r="R193" i="105" s="1"/>
  <c r="P186" i="105" a="1"/>
  <c r="P186" i="105" s="1"/>
  <c r="P138" i="105" a="1"/>
  <c r="P138" i="105" s="1"/>
  <c r="P255" i="105" a="1"/>
  <c r="P255" i="105" s="1"/>
  <c r="R256" i="105" a="1"/>
  <c r="R256" i="105" s="1"/>
  <c r="R187" i="105" a="1"/>
  <c r="R187" i="105" s="1"/>
  <c r="R139" i="105" a="1"/>
  <c r="R139" i="105" s="1"/>
  <c r="R261" i="105" a="1"/>
  <c r="R261" i="105" s="1"/>
  <c r="R192" i="105" a="1"/>
  <c r="R192" i="105" s="1"/>
  <c r="R144" i="105" a="1"/>
  <c r="R144" i="105" s="1"/>
  <c r="S253" i="105" a="1"/>
  <c r="S253" i="105" s="1"/>
  <c r="G151" i="105" a="1"/>
  <c r="G151" i="105" s="1"/>
  <c r="G268" i="105" a="1"/>
  <c r="G268" i="105" s="1"/>
  <c r="G199" i="105" a="1"/>
  <c r="G199" i="105" s="1"/>
  <c r="I258" i="105" a="1"/>
  <c r="I258" i="105" s="1"/>
  <c r="I189" i="105" a="1"/>
  <c r="I189" i="105" s="1"/>
  <c r="I141" i="105" a="1"/>
  <c r="I141" i="105" s="1"/>
  <c r="G197" i="105" a="1"/>
  <c r="G197" i="105" s="1"/>
  <c r="G149" i="105" a="1"/>
  <c r="G149" i="105" s="1"/>
  <c r="G266" i="105" a="1"/>
  <c r="G266" i="105" s="1"/>
  <c r="G144" i="105" a="1"/>
  <c r="G144" i="105" s="1"/>
  <c r="G261" i="105" a="1"/>
  <c r="G261" i="105" s="1"/>
  <c r="G192" i="105" a="1"/>
  <c r="G192" i="105" s="1"/>
  <c r="H260" i="105" a="1"/>
  <c r="H260" i="105" s="1"/>
  <c r="H143" i="105" a="1"/>
  <c r="H143" i="105" s="1"/>
  <c r="H191" i="105" a="1"/>
  <c r="H191" i="105" s="1"/>
  <c r="G255" i="105" a="1"/>
  <c r="G255" i="105" s="1"/>
  <c r="G186" i="105" a="1"/>
  <c r="G186" i="105" s="1"/>
  <c r="G138" i="105" a="1"/>
  <c r="G138" i="105" s="1"/>
  <c r="G140" i="105" a="1"/>
  <c r="G140" i="105" s="1"/>
  <c r="G188" i="105" a="1"/>
  <c r="G188" i="105" s="1"/>
  <c r="G257" i="105" a="1"/>
  <c r="G257" i="105" s="1"/>
  <c r="Q186" i="105" a="1"/>
  <c r="Q186" i="105" s="1"/>
  <c r="Q138" i="105" a="1"/>
  <c r="Q138" i="105" s="1"/>
  <c r="Q255" i="105" a="1"/>
  <c r="Q255" i="105" s="1"/>
  <c r="R264" i="105" a="1"/>
  <c r="R264" i="105" s="1"/>
  <c r="R147" i="105" a="1"/>
  <c r="R147" i="105" s="1"/>
  <c r="R195" i="105" a="1"/>
  <c r="R195" i="105" s="1"/>
  <c r="Q252" i="105" a="1"/>
  <c r="Q252" i="105" s="1"/>
  <c r="Q183" i="105" a="1"/>
  <c r="Q183" i="105" s="1"/>
  <c r="Q135" i="105" a="1"/>
  <c r="Q135" i="105" s="1"/>
  <c r="Q262" i="105" a="1"/>
  <c r="Q262" i="105" s="1"/>
  <c r="Q145" i="105" a="1"/>
  <c r="Q145" i="105" s="1"/>
  <c r="Q193" i="105" a="1"/>
  <c r="Q193" i="105" s="1"/>
  <c r="R140" i="105" a="1"/>
  <c r="R140" i="105" s="1"/>
  <c r="R257" i="105" a="1"/>
  <c r="R257" i="105" s="1"/>
  <c r="R188" i="105" a="1"/>
  <c r="R188" i="105" s="1"/>
  <c r="R151" i="105" a="1"/>
  <c r="R151" i="105" s="1"/>
  <c r="R199" i="105" a="1"/>
  <c r="R199" i="105" s="1"/>
  <c r="R268" i="105" a="1"/>
  <c r="R268" i="105" s="1"/>
  <c r="P199" i="105" a="1"/>
  <c r="P199" i="105" s="1"/>
  <c r="P151" i="105" a="1"/>
  <c r="P151" i="105" s="1"/>
  <c r="P268" i="105" a="1"/>
  <c r="P268" i="105" s="1"/>
  <c r="P139" i="105" a="1"/>
  <c r="P139" i="105" s="1"/>
  <c r="P256" i="105" a="1"/>
  <c r="P256" i="105" s="1"/>
  <c r="P187" i="105" a="1"/>
  <c r="P187" i="105" s="1"/>
  <c r="I199" i="105" a="1"/>
  <c r="I199" i="105" s="1"/>
  <c r="I151" i="105" a="1"/>
  <c r="I151" i="105" s="1"/>
  <c r="I268" i="105" a="1"/>
  <c r="I268" i="105" s="1"/>
  <c r="I262" i="105" a="1"/>
  <c r="I262" i="105" s="1"/>
  <c r="I145" i="105" a="1"/>
  <c r="I145" i="105" s="1"/>
  <c r="I193" i="105" a="1"/>
  <c r="I193" i="105" s="1"/>
  <c r="G262" i="105" a="1"/>
  <c r="G262" i="105" s="1"/>
  <c r="G145" i="105" a="1"/>
  <c r="G145" i="105" s="1"/>
  <c r="G193" i="105" a="1"/>
  <c r="G193" i="105" s="1"/>
  <c r="I197" i="105" a="1"/>
  <c r="I197" i="105" s="1"/>
  <c r="I266" i="105" a="1"/>
  <c r="I266" i="105" s="1"/>
  <c r="I149" i="105" a="1"/>
  <c r="I149" i="105" s="1"/>
  <c r="G153" i="105" a="1"/>
  <c r="G153" i="105" s="1"/>
  <c r="G270" i="105" a="1"/>
  <c r="G270" i="105" s="1"/>
  <c r="G201" i="105" a="1"/>
  <c r="G201" i="105" s="1"/>
  <c r="F196" i="105" a="1"/>
  <c r="F196" i="105" s="1"/>
  <c r="F265" i="105" a="1"/>
  <c r="F265" i="105" s="1"/>
  <c r="F148" i="105" a="1"/>
  <c r="F148" i="105" s="1"/>
  <c r="H255" i="105" a="1"/>
  <c r="H255" i="105" s="1"/>
  <c r="H138" i="105" a="1"/>
  <c r="H138" i="105" s="1"/>
  <c r="H186" i="105" a="1"/>
  <c r="H186" i="105" s="1"/>
  <c r="F187" i="105" a="1"/>
  <c r="F187" i="105" s="1"/>
  <c r="F256" i="105" a="1"/>
  <c r="F256" i="105" s="1"/>
  <c r="F139" i="105" a="1"/>
  <c r="F139" i="105" s="1"/>
  <c r="S192" i="105" a="1"/>
  <c r="S192" i="105" s="1"/>
  <c r="S261" i="105" a="1"/>
  <c r="S261" i="105" s="1"/>
  <c r="S144" i="105" a="1"/>
  <c r="S144" i="105" s="1"/>
  <c r="S257" i="105" a="1"/>
  <c r="S257" i="105" s="1"/>
  <c r="S188" i="105" a="1"/>
  <c r="S188" i="105" s="1"/>
  <c r="S140" i="105" a="1"/>
  <c r="S140" i="105" s="1"/>
  <c r="Q195" i="105" a="1"/>
  <c r="Q195" i="105" s="1"/>
  <c r="Q147" i="105" a="1"/>
  <c r="Q147" i="105" s="1"/>
  <c r="Q264" i="105" a="1"/>
  <c r="Q264" i="105" s="1"/>
  <c r="Q148" i="105" a="1"/>
  <c r="Q148" i="105" s="1"/>
  <c r="Q265" i="105" a="1"/>
  <c r="Q265" i="105" s="1"/>
  <c r="Q196" i="105" a="1"/>
  <c r="Q196" i="105" s="1"/>
  <c r="Q269" i="105" a="1"/>
  <c r="Q269" i="105" s="1"/>
  <c r="Q152" i="105" a="1"/>
  <c r="Q152" i="105" s="1"/>
  <c r="Q200" i="105" a="1"/>
  <c r="Q200" i="105" s="1"/>
  <c r="S196" i="105" a="1"/>
  <c r="S196" i="105" s="1"/>
  <c r="S148" i="105" a="1"/>
  <c r="S148" i="105" s="1"/>
  <c r="S265" i="105" a="1"/>
  <c r="S265" i="105" s="1"/>
  <c r="S201" i="105" a="1"/>
  <c r="S201" i="105" s="1"/>
  <c r="S270" i="105" a="1"/>
  <c r="S270" i="105" s="1"/>
  <c r="S153" i="105" a="1"/>
  <c r="S153" i="105" s="1"/>
  <c r="P195" i="105" a="1"/>
  <c r="P195" i="105" s="1"/>
  <c r="P147" i="105" a="1"/>
  <c r="P147" i="105" s="1"/>
  <c r="P264" i="105" a="1"/>
  <c r="P264" i="105" s="1"/>
  <c r="I251" i="105" a="1"/>
  <c r="I251" i="105" s="1"/>
  <c r="I134" i="105" a="1"/>
  <c r="I134" i="105" s="1"/>
  <c r="I182" i="105" a="1"/>
  <c r="I182" i="105" s="1"/>
  <c r="H182" i="105" a="1"/>
  <c r="H182" i="105" s="1"/>
  <c r="H251" i="105" a="1"/>
  <c r="H251" i="105" s="1"/>
  <c r="H134" i="105" a="1"/>
  <c r="H134" i="105" s="1"/>
  <c r="G135" i="105" a="1"/>
  <c r="G135" i="105" s="1"/>
  <c r="G252" i="105" a="1"/>
  <c r="G252" i="105" s="1"/>
  <c r="G183" i="105" a="1"/>
  <c r="G183" i="105" s="1"/>
  <c r="I270" i="105" a="1"/>
  <c r="I270" i="105" s="1"/>
  <c r="I153" i="105" a="1"/>
  <c r="I153" i="105" s="1"/>
  <c r="I201" i="105" a="1"/>
  <c r="I201" i="105" s="1"/>
  <c r="H264" i="105" a="1"/>
  <c r="H264" i="105" s="1"/>
  <c r="H195" i="105" a="1"/>
  <c r="H195" i="105" s="1"/>
  <c r="H147" i="105" a="1"/>
  <c r="H147" i="105" s="1"/>
  <c r="F144" i="105" a="1"/>
  <c r="F144" i="105" s="1"/>
  <c r="F261" i="105" a="1"/>
  <c r="F261" i="105" s="1"/>
  <c r="F192" i="105" a="1"/>
  <c r="F192" i="105" s="1"/>
  <c r="G191" i="105" a="1"/>
  <c r="G191" i="105" s="1"/>
  <c r="G143" i="105" a="1"/>
  <c r="G143" i="105" s="1"/>
  <c r="G260" i="105" a="1"/>
  <c r="G260" i="105" s="1"/>
  <c r="G195" i="105" a="1"/>
  <c r="G195" i="105" s="1"/>
  <c r="G264" i="105" a="1"/>
  <c r="G264" i="105" s="1"/>
  <c r="G147" i="105" a="1"/>
  <c r="G147" i="105" s="1"/>
  <c r="G189" i="105" a="1"/>
  <c r="G189" i="105" s="1"/>
  <c r="G258" i="105" a="1"/>
  <c r="G258" i="105" s="1"/>
  <c r="G141" i="105" a="1"/>
  <c r="G141" i="105" s="1"/>
  <c r="F141" i="105" a="1"/>
  <c r="F141" i="105" s="1"/>
  <c r="F258" i="105" a="1"/>
  <c r="F258" i="105" s="1"/>
  <c r="F189" i="105" a="1"/>
  <c r="F189" i="105" s="1"/>
  <c r="F266" i="105" a="1"/>
  <c r="F266" i="105" s="1"/>
  <c r="F149" i="105" a="1"/>
  <c r="F149" i="105" s="1"/>
  <c r="F197" i="105" a="1"/>
  <c r="F197" i="105" s="1"/>
  <c r="S258" i="105" a="1"/>
  <c r="S258" i="105" s="1"/>
  <c r="S189" i="105" a="1"/>
  <c r="S189" i="105" s="1"/>
  <c r="S141" i="105" a="1"/>
  <c r="S141" i="105" s="1"/>
  <c r="P143" i="105" a="1"/>
  <c r="P143" i="105" s="1"/>
  <c r="P260" i="105" a="1"/>
  <c r="P260" i="105" s="1"/>
  <c r="P191" i="105" a="1"/>
  <c r="P191" i="105" s="1"/>
  <c r="R143" i="105" a="1"/>
  <c r="R143" i="105" s="1"/>
  <c r="R191" i="105" a="1"/>
  <c r="R191" i="105" s="1"/>
  <c r="R260" i="105" a="1"/>
  <c r="R260" i="105" s="1"/>
  <c r="Q260" i="105" a="1"/>
  <c r="Q260" i="105" s="1"/>
  <c r="Q191" i="105" a="1"/>
  <c r="Q191" i="105" s="1"/>
  <c r="Q143" i="105" a="1"/>
  <c r="Q143" i="105" s="1"/>
  <c r="R270" i="105" a="1"/>
  <c r="R270" i="105" s="1"/>
  <c r="R153" i="105" a="1"/>
  <c r="R153" i="105" s="1"/>
  <c r="R201" i="105" a="1"/>
  <c r="R201" i="105" s="1"/>
  <c r="P152" i="105" a="1"/>
  <c r="P152" i="105" s="1"/>
  <c r="P200" i="105" a="1"/>
  <c r="P200" i="105" s="1"/>
  <c r="P269" i="105" a="1"/>
  <c r="P269" i="105" s="1"/>
  <c r="P258" i="105" a="1"/>
  <c r="P258" i="105" s="1"/>
  <c r="P189" i="105" a="1"/>
  <c r="P189" i="105" s="1"/>
  <c r="P141" i="105" a="1"/>
  <c r="P141" i="105" s="1"/>
  <c r="R255" i="105" a="1"/>
  <c r="R255" i="105" s="1"/>
  <c r="R186" i="105" a="1"/>
  <c r="R186" i="105" s="1"/>
  <c r="R138" i="105" a="1"/>
  <c r="R138" i="105" s="1"/>
  <c r="G184" i="105" a="1"/>
  <c r="G184" i="105" s="1"/>
  <c r="G253" i="105" a="1"/>
  <c r="G253" i="105" s="1"/>
  <c r="G136" i="105" a="1"/>
  <c r="G136" i="105" s="1"/>
  <c r="G33" i="97"/>
  <c r="G80" i="97" s="1" a="1"/>
  <c r="G80" i="97" s="1"/>
  <c r="S33" i="97"/>
  <c r="S80" i="97" s="1" a="1"/>
  <c r="S80" i="97" s="1"/>
  <c r="R33" i="97"/>
  <c r="R80" i="97" s="1" a="1"/>
  <c r="R80" i="97" s="1"/>
  <c r="S32" i="97"/>
  <c r="S79" i="97" s="1" a="1"/>
  <c r="S79" i="97" s="1"/>
  <c r="G34" i="97"/>
  <c r="G81" i="97" s="1" a="1"/>
  <c r="G81" i="97" s="1"/>
  <c r="I34" i="97"/>
  <c r="I81" i="97" s="1" a="1"/>
  <c r="I81" i="97" s="1"/>
  <c r="P34" i="97"/>
  <c r="P81" i="97" s="1" a="1"/>
  <c r="P81" i="97" s="1"/>
  <c r="P33" i="97"/>
  <c r="P80" i="97" s="1" a="1"/>
  <c r="P80" i="97" s="1"/>
  <c r="I33" i="97"/>
  <c r="I80" i="97" s="1" a="1"/>
  <c r="I80" i="97" s="1"/>
  <c r="P32" i="97"/>
  <c r="P79" i="97" s="1" a="1"/>
  <c r="P79" i="97" s="1"/>
  <c r="H33" i="97"/>
  <c r="H80" i="97" s="1" a="1"/>
  <c r="H80" i="97" s="1"/>
  <c r="H32" i="97"/>
  <c r="H79" i="97" s="1" a="1"/>
  <c r="H79" i="97" s="1"/>
  <c r="I32" i="97"/>
  <c r="I79" i="97" s="1" a="1"/>
  <c r="I79" i="97" s="1"/>
  <c r="H34" i="97"/>
  <c r="H81" i="97" s="1" a="1"/>
  <c r="H81" i="97" s="1"/>
  <c r="O261" i="69"/>
  <c r="F33" i="97"/>
  <c r="F80" i="97" s="1" a="1"/>
  <c r="F80" i="97" s="1"/>
  <c r="F34" i="97"/>
  <c r="F81" i="97" s="1" a="1"/>
  <c r="F81" i="97" s="1"/>
  <c r="R32" i="97"/>
  <c r="R79" i="97" s="1" a="1"/>
  <c r="R79" i="97" s="1"/>
  <c r="E261" i="69"/>
  <c r="R34" i="97"/>
  <c r="R81" i="97" s="1" a="1"/>
  <c r="R81" i="97" s="1"/>
  <c r="G32" i="97"/>
  <c r="G79" i="97" s="1" a="1"/>
  <c r="G79" i="97" s="1"/>
  <c r="S34" i="97"/>
  <c r="S81" i="97" s="1" a="1"/>
  <c r="S81" i="97" s="1"/>
  <c r="F32" i="97"/>
  <c r="F79" i="97" s="1" a="1"/>
  <c r="F79" i="97" s="1"/>
  <c r="P251" i="105" l="1" a="1"/>
  <c r="P251" i="105" s="1"/>
  <c r="P134" i="105" a="1"/>
  <c r="P134" i="105" s="1"/>
  <c r="F251" i="105" a="1"/>
  <c r="F251" i="105" s="1"/>
  <c r="R251" i="105" a="1"/>
  <c r="R251" i="105" s="1"/>
  <c r="R182" i="105" a="1"/>
  <c r="R182" i="105" s="1"/>
  <c r="F252" i="105" a="1"/>
  <c r="F252" i="105" s="1"/>
  <c r="P183" i="105" a="1"/>
  <c r="P183" i="105" s="1"/>
  <c r="P135" i="105" a="1"/>
  <c r="P135" i="105" s="1"/>
  <c r="F135" i="105" a="1"/>
  <c r="F135" i="105" s="1"/>
  <c r="F253" i="105" a="1"/>
  <c r="F253" i="105" s="1"/>
  <c r="S136" i="105" a="1"/>
  <c r="S136" i="105" s="1"/>
  <c r="F184" i="105" a="1"/>
  <c r="F184" i="105" s="1"/>
  <c r="E106" i="97"/>
  <c r="S252" i="105" a="1"/>
  <c r="S252" i="105" s="1"/>
  <c r="O106" i="97"/>
  <c r="F134" i="105" a="1"/>
  <c r="F134" i="105" s="1"/>
  <c r="R183" i="105" a="1"/>
  <c r="R183" i="105" s="1"/>
  <c r="R135" i="105" a="1"/>
  <c r="R135" i="105" s="1"/>
  <c r="P136" i="105" a="1"/>
  <c r="P136" i="105" s="1"/>
  <c r="G134" i="105" a="1"/>
  <c r="G134" i="105" s="1"/>
  <c r="H183" i="105" a="1"/>
  <c r="H183" i="105" s="1"/>
  <c r="S182" i="105" a="1"/>
  <c r="S182" i="105" s="1"/>
  <c r="R184" i="105" a="1"/>
  <c r="R184" i="105" s="1"/>
  <c r="I183" i="105" a="1"/>
  <c r="I183" i="105" s="1"/>
  <c r="H135" i="105" a="1"/>
  <c r="H135" i="105" s="1"/>
  <c r="S251" i="105" a="1"/>
  <c r="S251" i="105" s="1"/>
  <c r="P184" i="105" a="1"/>
  <c r="P184" i="105" s="1"/>
  <c r="H184" i="105" a="1"/>
  <c r="H184" i="105" s="1"/>
  <c r="I252" i="105" a="1"/>
  <c r="I252" i="105" s="1"/>
  <c r="H136" i="105" a="1"/>
  <c r="H136" i="105" s="1"/>
  <c r="I253" i="105" a="1"/>
  <c r="I253" i="105" s="1"/>
  <c r="G182" i="105" a="1"/>
  <c r="G182" i="105" s="1"/>
  <c r="I184" i="105" a="1"/>
  <c r="I184" i="105" s="1"/>
  <c r="R253" i="105" a="1"/>
  <c r="R253" i="105" s="1"/>
  <c r="Q263" i="69"/>
  <c r="O266" i="69" s="1" a="1"/>
  <c r="O266" i="69" s="1"/>
  <c r="I7" i="13" s="1"/>
  <c r="F7" i="13"/>
  <c r="G263" i="69"/>
  <c r="E266" i="69" s="1" a="1"/>
  <c r="E266" i="69" s="1"/>
  <c r="H7" i="13" s="1"/>
  <c r="E7" i="13"/>
  <c r="E297" i="76"/>
  <c r="O297" i="76"/>
  <c r="O209" i="105" l="1"/>
  <c r="O161" i="105"/>
  <c r="E278" i="105"/>
  <c r="E18" i="13" s="1"/>
  <c r="E161" i="105"/>
  <c r="E17" i="13" s="1"/>
  <c r="E209" i="105"/>
  <c r="E19" i="13" s="1"/>
  <c r="O278" i="105"/>
  <c r="Q299" i="76"/>
  <c r="O302" i="76" s="1" a="1"/>
  <c r="O302" i="76" s="1"/>
  <c r="I8" i="13" s="1"/>
  <c r="F8" i="13"/>
  <c r="G299" i="76"/>
  <c r="E302" i="76" s="1" a="1"/>
  <c r="E302" i="76" s="1"/>
  <c r="H8" i="13" s="1"/>
  <c r="E8" i="13"/>
  <c r="I118" i="97"/>
  <c r="E125" i="97" s="1" a="1"/>
  <c r="E125" i="97" s="1"/>
  <c r="S118" i="97"/>
  <c r="O125" i="97" s="1" a="1"/>
  <c r="O125" i="97" s="1"/>
  <c r="Q127" i="97" l="1"/>
  <c r="O130" i="97" s="1" a="1"/>
  <c r="O130" i="97" s="1"/>
  <c r="I9" i="13" s="1"/>
  <c r="I11" i="13" s="1"/>
  <c r="F9" i="13"/>
  <c r="G127" i="97"/>
  <c r="E130" i="97" s="1" a="1"/>
  <c r="E130" i="97" s="1"/>
  <c r="H9" i="13" s="1"/>
  <c r="H11" i="13" s="1"/>
  <c r="E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<sst xmlns="http://schemas.openxmlformats.org/spreadsheetml/2006/main" count="1122" uniqueCount="369">
  <si>
    <t>Home</t>
  </si>
  <si>
    <t>N2O MMS</t>
  </si>
  <si>
    <t>Sources &amp; acknowledgements</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</si>
  <si>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</si>
  <si>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</si>
  <si>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</si>
  <si>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</si>
  <si>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</si>
  <si>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</si>
  <si>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</si>
  <si>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</si>
  <si>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</si>
  <si>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</si>
  <si>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</si>
  <si>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</si>
  <si>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</si>
  <si>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</si>
  <si>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</si>
  <si>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Percent</t>
  </si>
  <si>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</si>
  <si>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</si>
  <si>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</si>
  <si>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</si>
  <si>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</si>
  <si>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</si>
  <si>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</si>
  <si>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</si>
  <si>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</si>
  <si>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</si>
  <si>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</si>
  <si>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</si>
  <si>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</si>
  <si>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</si>
  <si>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</si>
  <si>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</si>
  <si>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</si>
  <si>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</si>
  <si>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</si>
  <si>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</si>
  <si>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</si>
  <si>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</si>
  <si>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</si>
  <si>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</si>
  <si>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</si>
  <si>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</si>
  <si>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</si>
  <si>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</si>
  <si>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</si>
  <si>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</si>
  <si>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</si>
  <si>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</si>
  <si>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</si>
  <si>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</si>
  <si>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</si>
  <si>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</si>
  <si>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</si>
  <si>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</si>
  <si>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</si>
  <si>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</si>
  <si>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</si>
  <si>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</si>
  <si>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</si>
  <si>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</si>
  <si>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</si>
  <si>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</si>
  <si>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</si>
  <si>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</si>
  <si>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</si>
  <si>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</si>
  <si>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</si>
  <si>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</si>
  <si>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</si>
  <si>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</si>
  <si>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</si>
  <si>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</si>
  <si>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</si>
  <si>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</si>
  <si>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</si>
  <si>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</si>
  <si>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</si>
  <si>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</si>
  <si>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</si>
  <si>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</si>
  <si>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</si>
  <si>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</si>
  <si>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</si>
  <si>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</si>
  <si>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</si>
  <si>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</si>
  <si>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</si>
  <si>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</si>
  <si>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</si>
  <si>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</si>
  <si>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</si>
  <si>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</si>
  <si>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</si>
  <si>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</si>
  <si>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</si>
  <si>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</si>
  <si>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Head</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</si>
  <si>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</si>
  <si>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</si>
  <si>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</si>
  <si>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</si>
  <si>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Scope 1 source</t>
  </si>
  <si>
    <t>Production system j</t>
  </si>
  <si>
    <t>EFN2O</t>
  </si>
  <si>
    <t>Production system only</t>
  </si>
  <si>
    <t>Irrigation method</t>
  </si>
  <si>
    <t>Production system</t>
  </si>
  <si>
    <t>Irrigation methods</t>
  </si>
  <si>
    <t>Not irrigated</t>
  </si>
  <si>
    <t>Drip irrigation</t>
  </si>
  <si>
    <t>Sprinkler irrigation</t>
  </si>
  <si>
    <t>Surface irrigation</t>
  </si>
  <si>
    <t>Other irrigation</t>
  </si>
  <si>
    <t>Total</t>
  </si>
  <si>
    <t>GHG Unit</t>
  </si>
  <si>
    <t>CO2-e unit</t>
  </si>
  <si>
    <t>Month</t>
  </si>
  <si>
    <t>kg/head/day</t>
  </si>
  <si>
    <t>fraction</t>
  </si>
  <si>
    <t>M1_Table_MCF_i_m</t>
  </si>
  <si>
    <t>M1_Table_E_CH4</t>
  </si>
  <si>
    <t>t CH4</t>
  </si>
  <si>
    <t>Irrigation type i</t>
  </si>
  <si>
    <t>t CO2e</t>
  </si>
  <si>
    <t>EFPRP</t>
  </si>
  <si>
    <t>GHG emissions method 1</t>
  </si>
  <si>
    <t>GHG emissions method 2</t>
  </si>
  <si>
    <t>CO2-e emissions method 1</t>
  </si>
  <si>
    <t>CO2-e emissions method 2</t>
  </si>
  <si>
    <t>Season</t>
  </si>
  <si>
    <t>Western Australia</t>
  </si>
  <si>
    <t>M2_Table_E_CH4</t>
  </si>
  <si>
    <t>t N2O</t>
  </si>
  <si>
    <t>Crop</t>
  </si>
  <si>
    <t>Acknowledgements</t>
  </si>
  <si>
    <t>4.5 Manure management: Swine: Results</t>
  </si>
  <si>
    <t>Input -Swine</t>
  </si>
  <si>
    <t>Constants - Swine</t>
  </si>
  <si>
    <t>Manure production</t>
  </si>
  <si>
    <t>Boars</t>
  </si>
  <si>
    <t>Sows</t>
  </si>
  <si>
    <t>Gilts</t>
  </si>
  <si>
    <t>Volatile solids produced per head per day</t>
  </si>
  <si>
    <t>Nitrogen produced in swine waste per head per day</t>
  </si>
  <si>
    <t>kg N/head/day</t>
  </si>
  <si>
    <t>Yes</t>
  </si>
  <si>
    <t>Class</t>
  </si>
  <si>
    <t>VSj</t>
  </si>
  <si>
    <t>CHange title to match source</t>
  </si>
  <si>
    <t>CHange source</t>
  </si>
  <si>
    <t>NIR definition</t>
  </si>
  <si>
    <t>Swine Manure management systems</t>
  </si>
  <si>
    <t>Swine Manure management systems excl. solid storage and direct application</t>
  </si>
  <si>
    <t>Swine Manure management systems excl. direct application</t>
  </si>
  <si>
    <t>Fraction volatile solids lost during storage in primary system</t>
  </si>
  <si>
    <t>Swine housing</t>
  </si>
  <si>
    <t>VSL</t>
  </si>
  <si>
    <t>4.5.1.1-2 Manure Methane</t>
  </si>
  <si>
    <t>Table_MMS_j_m-1-7-9-8_T-1</t>
  </si>
  <si>
    <t>Fraction VS sent to MMS other than solid storage in stage 1</t>
  </si>
  <si>
    <t>Stage 1 management</t>
  </si>
  <si>
    <t>Table_MMS_j_m-4_T-1</t>
  </si>
  <si>
    <t>Fraction primary system solid storage</t>
  </si>
  <si>
    <t>Table_VSL_m_T-1</t>
  </si>
  <si>
    <r>
      <t>VSL</t>
    </r>
    <r>
      <rPr>
        <b/>
        <vertAlign val="subscript"/>
        <sz val="11"/>
        <color rgb="FF183C1B"/>
        <rFont val="Times New Roman"/>
        <family val="1"/>
      </rPr>
      <t>m,T=1</t>
    </r>
  </si>
  <si>
    <t>create source data in sourcedata file</t>
  </si>
  <si>
    <t>Table_MMS_j_m_T-2</t>
  </si>
  <si>
    <t>Fraction of manure in each secondary system</t>
  </si>
  <si>
    <t>Stage 2 management</t>
  </si>
  <si>
    <t>N/A</t>
  </si>
  <si>
    <t>Table_D_j</t>
  </si>
  <si>
    <t>Duration of stay of each class of swine</t>
  </si>
  <si>
    <t>Table_N_j</t>
  </si>
  <si>
    <t>Number of head for each swine class</t>
  </si>
  <si>
    <t>ECH4</t>
  </si>
  <si>
    <t>Manure management systems</t>
  </si>
  <si>
    <t>Stage 1 MMS</t>
  </si>
  <si>
    <t>Total sent to all MMS (Must equal 100%)</t>
  </si>
  <si>
    <t>Stage 2 MMS</t>
  </si>
  <si>
    <t>Solid separation from stage 1 MMS</t>
  </si>
  <si>
    <t>Were solids separated? (select)</t>
  </si>
  <si>
    <t>Percent separated (Method 1)</t>
  </si>
  <si>
    <t>Percent separated (Method 2)</t>
  </si>
  <si>
    <t>This tool demostrates inputs for one production system.</t>
  </si>
  <si>
    <t>Because the type of production system is not relevant in emissions calculations, you can select any kind.</t>
  </si>
  <si>
    <t>Destination after stage 2 MMS (Percent)</t>
  </si>
  <si>
    <t>Sold</t>
  </si>
  <si>
    <t>Fert for own farm (eg crop)</t>
  </si>
  <si>
    <t>Direct application to soil</t>
  </si>
  <si>
    <t>▼</t>
  </si>
  <si>
    <t>►</t>
  </si>
  <si>
    <t>Fraction separated solids sent from MMS other than solid storage to solid storage in stage 1 (Method 1)</t>
  </si>
  <si>
    <t>Fraction VS in MMS other than solid storage in stage 1 (Method 1)</t>
  </si>
  <si>
    <t>M1_Table_FVS_j_m-4_T-1</t>
  </si>
  <si>
    <t>Fraction VS in stage 1 solid storage (Method 1)</t>
  </si>
  <si>
    <t>Methane conversion factor for state (Method 1)</t>
  </si>
  <si>
    <t>M1_Table_M_i_j_m_T-2</t>
  </si>
  <si>
    <t>Production of methane for each MMS in stage 2 (Method 1)</t>
  </si>
  <si>
    <t>M1 Table_VST_j_m_T-2</t>
  </si>
  <si>
    <t>Volatile solids transferred from stage 1 to stage 2 (Method 1)</t>
  </si>
  <si>
    <t>Method 1 default values (Do not edit)</t>
  </si>
  <si>
    <t>Method 2 custom values (Edit if known)</t>
  </si>
  <si>
    <t>Methane emissions from manure management (Method 1)</t>
  </si>
  <si>
    <t>Others</t>
  </si>
  <si>
    <t>M2_Table_SS_m-1-7-9</t>
  </si>
  <si>
    <t>Fraction separated solids sent from MMS other than solid storage to solid storage in stage 1 (Method 2)</t>
  </si>
  <si>
    <t>Fraction VS in MMS other than solid storage in stage 1 (Method 2)</t>
  </si>
  <si>
    <t>M2_Table_FVS_j_m-4_T-1</t>
  </si>
  <si>
    <t>Fraction VS in stage 1 solid storage (Method 2)</t>
  </si>
  <si>
    <t>M1_Table_VS_j</t>
  </si>
  <si>
    <t>Daily volatile solid production (Method 1)</t>
  </si>
  <si>
    <t>M2_Table_VS_j</t>
  </si>
  <si>
    <t>Daily volatile solid production (Method 2)</t>
  </si>
  <si>
    <t>M2 Table_VST_j_m_T-2</t>
  </si>
  <si>
    <t>Volatile solids transferred from stage 1 to stage 2 (Method 2)</t>
  </si>
  <si>
    <t>M2_Table_M_i_j_m_T-2</t>
  </si>
  <si>
    <t>Production of methane for each MMS in stage 2 (Method 2)</t>
  </si>
  <si>
    <t>M2_Table_M_i_j_m_T-1</t>
  </si>
  <si>
    <t>Production of methane for each MMS in stage 1 (Method 2)</t>
  </si>
  <si>
    <t>M1_Table_M_i_j_m_T-1</t>
  </si>
  <si>
    <t>Production of methane for each MMS in stage 1 (Method 1)</t>
  </si>
  <si>
    <t>M1_Table_M_m_j</t>
  </si>
  <si>
    <t>Production of methane for all MMS in stages 1 and 2 (Method 1)</t>
  </si>
  <si>
    <t>M2_Table_M_m_j</t>
  </si>
  <si>
    <t>Production of methane for all MMS in stages 1 and 2 (Method 2)</t>
  </si>
  <si>
    <t>Methane emissions from manure management (Method 2)</t>
  </si>
  <si>
    <t>4.5.1.3-4 Manure Direct N2O</t>
  </si>
  <si>
    <t>NWj</t>
  </si>
  <si>
    <t>NWj Daily</t>
  </si>
  <si>
    <t>Ij</t>
  </si>
  <si>
    <t>MMSm</t>
  </si>
  <si>
    <t>FracGASMmT</t>
  </si>
  <si>
    <t>NIR reference</t>
  </si>
  <si>
    <t>M1_Table_NW_j</t>
  </si>
  <si>
    <t>Duration of stay for each swine class</t>
  </si>
  <si>
    <t>Fraction N sent to MMS other than solid storage in stage 1</t>
  </si>
  <si>
    <t>M1_Table_SN_m-1-7-9</t>
  </si>
  <si>
    <t>Fraction of nitrogen separated to solid storage (Method 1)</t>
  </si>
  <si>
    <t>M1_Table_FN_j_m_T-1</t>
  </si>
  <si>
    <t>M1_Table_FVS_j_m_T-1</t>
  </si>
  <si>
    <t>M2_Table_FVS_j_m_T-1</t>
  </si>
  <si>
    <t>Table_MMS_j_m_T-1</t>
  </si>
  <si>
    <t>M1_Table_SS_m</t>
  </si>
  <si>
    <t>Fraction N in each primary MMS (Method 1)</t>
  </si>
  <si>
    <t>M1_Table_MN_j_m_T-1</t>
  </si>
  <si>
    <t>Nitrogen in treatment stage 1 MMS (Method 1)</t>
  </si>
  <si>
    <t>Table_FracGASM_m_t-1</t>
  </si>
  <si>
    <t>Fraction of N volatilised from stage 1 MMS</t>
  </si>
  <si>
    <t>FracGASMm</t>
  </si>
  <si>
    <t>Table_EF_m_t-1</t>
  </si>
  <si>
    <t>Nitrous oxide emissions factor for stage 1 MMS</t>
  </si>
  <si>
    <t>EF</t>
  </si>
  <si>
    <t>EFmT</t>
  </si>
  <si>
    <t>M1_Table_NT_j_m_T-2</t>
  </si>
  <si>
    <t>Nitrogen transferred to treatment stage 2 (Method 1)</t>
  </si>
  <si>
    <t>M1_Table_MN_j_m_T-2</t>
  </si>
  <si>
    <t>Nitrogen in stage 2 MMS (Method 1)</t>
  </si>
  <si>
    <t>M1_Table_E_N2O_dir</t>
  </si>
  <si>
    <t>Total direct nitrous oxide emissions from MMS (Method 1)</t>
  </si>
  <si>
    <r>
      <t>MMS</t>
    </r>
    <r>
      <rPr>
        <b/>
        <vertAlign val="subscript"/>
        <sz val="16"/>
        <color theme="1" tint="0.24994659260841701"/>
        <rFont val="Times New Roman"/>
        <family val="1"/>
      </rPr>
      <t>ATMOS</t>
    </r>
  </si>
  <si>
    <t>Where manure was deposited on farm soils, what is the closest match?</t>
  </si>
  <si>
    <t>Swine crop or pasture production systems</t>
  </si>
  <si>
    <r>
      <t>MMS</t>
    </r>
    <r>
      <rPr>
        <b/>
        <vertAlign val="subscript"/>
        <sz val="12"/>
        <color theme="1" tint="0.24994659260841701"/>
        <rFont val="Times New Roman"/>
        <family val="1"/>
      </rPr>
      <t>ATMOS</t>
    </r>
  </si>
  <si>
    <t>M2_Table_SN_m-1-7-9</t>
  </si>
  <si>
    <t>Fraction of nitrogen separated to solid storage (Method 2)</t>
  </si>
  <si>
    <t>M2_Table_MN_j_m_T-1</t>
  </si>
  <si>
    <t>Nitrogen in treatment stage 1 MMS (Method 2)</t>
  </si>
  <si>
    <t>M2_Table_NT_j_m_T-2</t>
  </si>
  <si>
    <t>Nitrogen transferred to treatment stage 2 (Method 2)</t>
  </si>
  <si>
    <t>M2_Table_FN_j_m_T-1</t>
  </si>
  <si>
    <t>Fraction N in each primary MMS (Method 2)</t>
  </si>
  <si>
    <t>M2_Table_E_N2O_dir</t>
  </si>
  <si>
    <t>Total direct nitrous oxide emissions from MMS (Method 2)</t>
  </si>
  <si>
    <t>4.2.1.7-8 Leaching and runoff</t>
  </si>
  <si>
    <r>
      <t xml:space="preserve">This infers that drylot is </t>
    </r>
    <r>
      <rPr>
        <b/>
        <sz val="12"/>
        <color theme="1" tint="0.24994659260841701"/>
        <rFont val="Times New Roman"/>
        <family val="1"/>
      </rPr>
      <t>not</t>
    </r>
    <r>
      <rPr>
        <sz val="12"/>
        <color theme="1" tint="0.24994659260841701"/>
        <rFont val="Times New Roman"/>
        <family val="1"/>
      </rPr>
      <t xml:space="preserve"> a stage 2 MMS option</t>
    </r>
  </si>
  <si>
    <t>M1_Table_MN_j_m-5_T-1</t>
  </si>
  <si>
    <t>Nitrogen in stage 1 drylot (Method 1)</t>
  </si>
  <si>
    <t>M2_Table_MN_j_m-5_T-1</t>
  </si>
  <si>
    <t>Nitrogen in stage 1 drylot (Method 2)</t>
  </si>
  <si>
    <t>Doc has typo - refers to 'solid storage'</t>
  </si>
  <si>
    <t>M1_Table_MN_leach_j_m-5</t>
  </si>
  <si>
    <t>Mass of nitrogen lost to leaching (Method 1)</t>
  </si>
  <si>
    <t>M1_Table_E_N2O_leach</t>
  </si>
  <si>
    <t>Annual emissions from leaching and runoff (Method 1)</t>
  </si>
  <si>
    <r>
      <t>E</t>
    </r>
    <r>
      <rPr>
        <b/>
        <vertAlign val="subscript"/>
        <sz val="16"/>
        <color theme="1" tint="0.24994659260841701"/>
        <rFont val="Times New Roman"/>
        <family val="1"/>
      </rPr>
      <t>N2O,leach</t>
    </r>
  </si>
  <si>
    <t>M2_Table_E_N2O_leach</t>
  </si>
  <si>
    <t>Annual emissions from leaching and runoff (Method 2)</t>
  </si>
  <si>
    <t>4.5.1.7-8 Leaching and runoff</t>
  </si>
  <si>
    <t>4.5.1.5-6 Atmospheric deposition N2O</t>
  </si>
  <si>
    <t>4.5.1.9 Manure applied to soils</t>
  </si>
  <si>
    <t xml:space="preserve"> but 4.5.1.7, Equation (2) says MNleachjm=5 only comes from stage 1 MMS</t>
  </si>
  <si>
    <t>MNleachjm=5 infers stage 1 and 2 drylot MMS</t>
  </si>
  <si>
    <t>Class name</t>
  </si>
  <si>
    <t>Nitrogen produced per class (Method 1)</t>
  </si>
  <si>
    <t>M2_Table_NW_j</t>
  </si>
  <si>
    <t>Nitrogen produced per class (Method 2)</t>
  </si>
  <si>
    <t>M1_Table_AE_j</t>
  </si>
  <si>
    <t>Annual nitrogen excretion (Method 1)</t>
  </si>
  <si>
    <t>M2_Table_AE_j</t>
  </si>
  <si>
    <t>Annual nitrogen excretion (Method 2)</t>
  </si>
  <si>
    <t>N lost through leaching and runoff from stage 1 drylot MMS</t>
  </si>
  <si>
    <t>M1_Table_PF</t>
  </si>
  <si>
    <t>Fraction of manure applied to soil (Method 1)</t>
  </si>
  <si>
    <t>PF</t>
  </si>
  <si>
    <t>Table_FracGASM_m_t</t>
  </si>
  <si>
    <t>Fraction of N volatilised from MMS</t>
  </si>
  <si>
    <t>Table_EF_m_T</t>
  </si>
  <si>
    <t>Nitrous oxide emissions factor for MMS</t>
  </si>
  <si>
    <t>M1_Table_MNSoil_scope1</t>
  </si>
  <si>
    <t>Mass of nitrogen applied to soils for scope 1 emissions</t>
  </si>
  <si>
    <r>
      <t>MNSoil</t>
    </r>
    <r>
      <rPr>
        <b/>
        <vertAlign val="subscript"/>
        <sz val="16"/>
        <color theme="1" tint="0.24994659260841701"/>
        <rFont val="Times New Roman"/>
        <family val="1"/>
      </rPr>
      <t>scope1</t>
    </r>
  </si>
  <si>
    <t>M2_Table_MN_j_m_T-2</t>
  </si>
  <si>
    <t>Nitrogen in stage 2 MMS (Method 2)</t>
  </si>
  <si>
    <t>M1_Table_MNSoil_scope3</t>
  </si>
  <si>
    <t>Mass of nitrogen applied to soils for scope 3 emissions</t>
  </si>
  <si>
    <r>
      <t>MNSoil</t>
    </r>
    <r>
      <rPr>
        <b/>
        <vertAlign val="subscript"/>
        <sz val="16"/>
        <color theme="1" tint="0.24994659260841701"/>
        <rFont val="Times New Roman"/>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</si>
  <si>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</si>
  <si>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</si>
  <si>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</si>
  <si>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</si>
  <si>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r>
      <t>PF</t>
    </r>
    <r>
      <rPr>
        <b/>
        <vertAlign val="subscript"/>
        <sz val="11"/>
        <color rgb="FF183C1B"/>
        <rFont val="Times New Roman"/>
        <family val="1"/>
      </rPr>
      <t>fert</t>
    </r>
  </si>
  <si>
    <t>M1_Table_MNSoil_scope1_fert</t>
  </si>
  <si>
    <r>
      <t>MNSoil</t>
    </r>
    <r>
      <rPr>
        <b/>
        <vertAlign val="subscript"/>
        <sz val="16"/>
        <color theme="1" tint="0.24994659260841701"/>
        <rFont val="Times New Roman"/>
        <family val="1"/>
      </rPr>
      <t>scope1,fert</t>
    </r>
  </si>
  <si>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</si>
  <si>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</si>
  <si>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</si>
  <si>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t>WARNING: Manure nitrogen that was applied to soils must be accounted for</t>
  </si>
  <si>
    <t>See the table below for how to account for manure applied to soils for scope 1 and 3.</t>
  </si>
  <si>
    <t>Manure nitrogen use</t>
  </si>
  <si>
    <t>Amount of N in manure</t>
  </si>
  <si>
    <t>N unit</t>
  </si>
  <si>
    <t>Emissions allocated to</t>
  </si>
  <si>
    <t>VEERG Calculation method</t>
  </si>
  <si>
    <r>
      <t>Manure nitrogen deposited on farm soils (</t>
    </r>
    <r>
      <rPr>
        <i/>
        <sz val="12"/>
        <color theme="1" tint="0.24994659260841701"/>
        <rFont val="Times New Roman"/>
        <family val="1"/>
      </rPr>
      <t>including</t>
    </r>
    <r>
      <rPr>
        <sz val="12"/>
        <color theme="1" tint="0.24994659260841701"/>
        <rFont val="Times New Roman"/>
        <family val="1"/>
      </rPr>
      <t xml:space="preserve"> use as fertiliser for other enterprises on own farm eg crops)</t>
    </r>
  </si>
  <si>
    <t>5.2.2.1 (1), 5.4.1.3 (1, 2), 5.5.1.1 (1, 3)</t>
  </si>
  <si>
    <t>Manure nitrogen deposited on farm soils as fertiliser for other farm enterpsies (eg crops)</t>
  </si>
  <si>
    <t>Manure nitrogen sold</t>
  </si>
  <si>
    <t>Scope 3 (downstream)</t>
  </si>
  <si>
    <t>15.13.1.1 (1), 5.2.2.1 (1), 5.4.1.3 (1, 2), 5.5.1.1 (1, 3)</t>
  </si>
  <si>
    <t>Scope 1 - This piggery</t>
  </si>
  <si>
    <t>4.5.1.1-2 Manure methane</t>
  </si>
  <si>
    <t>4.5.1.3-4 Direct N2O</t>
  </si>
  <si>
    <t>4.5.1.5-6 Atmospheric deposition</t>
  </si>
  <si>
    <t>Pasture</t>
  </si>
  <si>
    <t>Outdoor/free range</t>
  </si>
  <si>
    <t>and instead is handled in 'Manure applied to soils'.</t>
  </si>
  <si>
    <r>
      <rPr>
        <b/>
        <sz val="12"/>
        <color rgb="FF0070C0"/>
        <rFont val="Times New Roman"/>
        <family val="1"/>
      </rPr>
      <t>Note:</t>
    </r>
    <r>
      <rPr>
        <sz val="12"/>
        <color rgb="FF0070C0"/>
        <rFont val="Times New Roman"/>
        <family val="1"/>
      </rPr>
      <t xml:space="preserve"> Manure that is directly applied to soil after stage 1 is not included in Atmospheric Deposition calculations</t>
    </r>
  </si>
  <si>
    <r>
      <rPr>
        <b/>
        <sz val="12"/>
        <color rgb="FF0070C0"/>
        <rFont val="Times New Roman"/>
        <family val="1"/>
      </rPr>
      <t>Note:</t>
    </r>
    <r>
      <rPr>
        <sz val="12"/>
        <color rgb="FF0070C0"/>
        <rFont val="Times New Roman"/>
        <family val="1"/>
      </rPr>
      <t xml:space="preserve"> Manure that is directly applied to soil after stage 1 is</t>
    </r>
    <r>
      <rPr>
        <i/>
        <sz val="12"/>
        <color rgb="FF0070C0"/>
        <rFont val="Times New Roman"/>
        <family val="1"/>
      </rPr>
      <t xml:space="preserve"> not</t>
    </r>
    <r>
      <rPr>
        <sz val="12"/>
        <color rgb="FF0070C0"/>
        <rFont val="Times New Roman"/>
        <family val="1"/>
      </rPr>
      <t xml:space="preserve"> included in Direct N2O calculations</t>
    </r>
  </si>
  <si>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</si>
  <si>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</si>
  <si>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</si>
  <si>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</si>
  <si>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</si>
  <si>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</si>
  <si>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</si>
  <si>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</si>
  <si>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</si>
  <si>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</si>
  <si>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</si>
  <si>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</si>
  <si>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</si>
  <si>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</si>
  <si>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</si>
  <si>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Methane conversion factor for temperature zone (Method 2)</t>
  </si>
  <si>
    <t>NOTE: Drylot MCF is state-based rather than temperature-based.</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</si>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</sst>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s>
  <fonts count="7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b/>
      <sz val="11"/>
      <color theme="5" tint="-0.499984740745262"/>
      <name val="Times New Roman"/>
      <family val="1"/>
      <scheme val="minor"/>
    </font>
    <font>
      <b/>
      <sz val="12"/>
      <color theme="1" tint="0.499984740745262"/>
      <name val="Times New Roman"/>
      <family val="1"/>
    </font>
    <font>
      <sz val="10"/>
      <color theme="1" tint="0.499984740745262"/>
      <name val="Times New Roman"/>
      <family val="1"/>
    </font>
    <font>
      <i/>
      <sz val="12"/>
      <color theme="1" tint="0.24994659260841701"/>
      <name val="Times New Roman"/>
      <family val="1"/>
    </font>
    <font>
      <b/>
      <sz val="22"/>
      <color theme="5" tint="-0.499984740745262"/>
      <name val="Times New Roman"/>
      <family val="1"/>
    </font>
    <font>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2"/>
      <color rgb="FF0070C0"/>
      <name val="Times New Roman"/>
      <family val="1"/>
    </font>
    <font>
      <u/>
      <sz val="10"/>
      <color rgb="FF008000"/>
      <name val="Times New Roman"/>
      <family val="2"/>
      <scheme val="minor"/>
    </font>
    <font>
      <i/>
      <sz val="10"/>
      <color theme="1" tint="0.14999847407452621"/>
      <name val="Times New Roman"/>
      <family val="1"/>
      <scheme val="minor"/>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FFFF00"/>
        <bgColor indexed="64"/>
      </patternFill>
    </fill>
    <fill>
      <patternFill patternType="solid">
        <fgColor rgb="FFDCECD0"/>
        <bgColor indexed="64"/>
      </patternFill>
    </fill>
    <fill>
      <patternFill patternType="solid">
        <fgColor theme="9" tint="0.59999389629810485"/>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right/>
      <top style="thin">
        <color theme="0" tint="-0.34998626667073579"/>
      </top>
      <bottom/>
      <diagonal/>
    </border>
  </borders>
  <cellStyleXfs count="71">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7" fillId="4" borderId="0">
      <alignment horizontal="left" vertical="center"/>
    </xf>
    <xf numFmtId="0" fontId="43" fillId="4" borderId="0">
      <alignment vertical="center"/>
    </xf>
    <xf numFmtId="0" fontId="3" fillId="4" borderId="0">
      <alignment horizontal="left" vertical="center"/>
    </xf>
    <xf numFmtId="0" fontId="3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69" fillId="0" borderId="0" applyNumberFormat="0" applyFill="0" applyBorder="0" applyAlignment="0" applyProtection="0"/>
    <xf numFmtId="0" fontId="2" fillId="0" borderId="0">
      <alignment horizontal="left" vertical="center" indent="1"/>
    </xf>
    <xf numFmtId="0" fontId="18" fillId="9" borderId="5">
      <alignment horizontal="left" vertical="center" indent="1"/>
    </xf>
    <xf numFmtId="0" fontId="21" fillId="10" borderId="0">
      <alignment horizontal="left" vertical="center" indent="1"/>
    </xf>
    <xf numFmtId="0" fontId="21" fillId="5" borderId="0">
      <alignment horizontal="left" vertical="center" indent="1"/>
    </xf>
    <xf numFmtId="0" fontId="21" fillId="8" borderId="0">
      <alignment horizontal="left" vertical="center" indent="1"/>
    </xf>
    <xf numFmtId="0" fontId="23" fillId="0" borderId="0">
      <alignment horizontal="left" vertical="center" indent="2"/>
    </xf>
    <xf numFmtId="0" fontId="45" fillId="13" borderId="8">
      <alignment horizontal="left" vertical="center"/>
    </xf>
    <xf numFmtId="43" fontId="10" fillId="0" borderId="0" applyFont="0" applyFill="0" applyBorder="0" applyAlignment="0" applyProtection="0"/>
    <xf numFmtId="3" fontId="34" fillId="4" borderId="2">
      <alignment horizontal="center" vertical="center"/>
    </xf>
    <xf numFmtId="168" fontId="2" fillId="0" borderId="2">
      <alignment horizontal="center" vertical="center"/>
    </xf>
    <xf numFmtId="0" fontId="35" fillId="0" borderId="0"/>
    <xf numFmtId="0" fontId="10" fillId="0" borderId="0"/>
    <xf numFmtId="0" fontId="35" fillId="0" borderId="0"/>
    <xf numFmtId="166" fontId="34" fillId="4" borderId="2">
      <alignment horizontal="center" vertical="center"/>
    </xf>
    <xf numFmtId="4" fontId="34" fillId="4" borderId="2">
      <alignment horizontal="center" vertical="center"/>
    </xf>
    <xf numFmtId="0" fontId="54" fillId="4" borderId="0">
      <alignment horizontal="left" vertical="center"/>
    </xf>
    <xf numFmtId="0" fontId="38" fillId="4" borderId="0" applyNumberFormat="0">
      <alignment horizontal="center" vertical="center"/>
    </xf>
    <xf numFmtId="165" fontId="34" fillId="4" borderId="2">
      <alignment horizontal="center" vertical="center"/>
    </xf>
    <xf numFmtId="0" fontId="33" fillId="4" borderId="0">
      <alignment horizontal="left" vertical="center"/>
    </xf>
    <xf numFmtId="169" fontId="34" fillId="4" borderId="2">
      <alignment horizontal="center" vertical="center"/>
    </xf>
    <xf numFmtId="0" fontId="34" fillId="4" borderId="2">
      <alignment horizontal="center" vertical="center"/>
    </xf>
    <xf numFmtId="0" fontId="6" fillId="4" borderId="0">
      <alignment horizontal="left" vertical="center"/>
    </xf>
    <xf numFmtId="0" fontId="42" fillId="4" borderId="0">
      <alignment horizontal="left" vertical="center"/>
    </xf>
    <xf numFmtId="0" fontId="10" fillId="0" borderId="0"/>
    <xf numFmtId="0" fontId="2" fillId="0" borderId="2">
      <alignment horizontal="center" vertical="center"/>
    </xf>
    <xf numFmtId="0" fontId="48" fillId="4" borderId="0">
      <alignment horizontal="left" vertical="center"/>
    </xf>
    <xf numFmtId="0" fontId="49" fillId="4" borderId="0">
      <alignment horizontal="left" vertical="center"/>
    </xf>
    <xf numFmtId="0" fontId="55" fillId="4" borderId="0">
      <alignment horizontal="left" vertical="center"/>
    </xf>
    <xf numFmtId="0" fontId="47" fillId="11" borderId="0">
      <alignment horizontal="center" vertical="center"/>
    </xf>
    <xf numFmtId="0" fontId="21" fillId="11" borderId="0">
      <alignment horizontal="left" vertical="center" indent="1"/>
    </xf>
    <xf numFmtId="0" fontId="65" fillId="15" borderId="2">
      <alignment horizontal="center" vertical="center"/>
    </xf>
    <xf numFmtId="0" fontId="66" fillId="16" borderId="2">
      <alignment horizontal="center" vertical="center"/>
    </xf>
    <xf numFmtId="0" fontId="69" fillId="0" borderId="0" applyNumberFormat="0" applyFill="0" applyBorder="0" applyAlignment="0" applyProtection="0"/>
    <xf numFmtId="0" fontId="67" fillId="4" borderId="2">
      <alignment horizontal="left" vertical="center"/>
    </xf>
    <xf numFmtId="0" fontId="34" fillId="4" borderId="2">
      <alignment horizontal="left" vertical="center"/>
    </xf>
    <xf numFmtId="0" fontId="70" fillId="0" borderId="0"/>
  </cellStyleXfs>
  <cellXfs count="153">
    <xf numFmtId="0" fontId="0" fillId="0" borderId="0" xfId="0"/>
    <xf numFmtId="0" fontId="3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3" fillId="4" borderId="0" xfId="6">
      <alignment vertical="center"/>
    </xf>
    <xf numFmtId="0" fontId="37"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8" fillId="9" borderId="5" xfId="36">
      <alignment horizontal="left" vertical="center" indent="1"/>
    </xf>
    <xf numFmtId="0" fontId="19" fillId="9" borderId="5" xfId="36" applyFont="1">
      <alignment horizontal="left" vertical="center" indent="1"/>
    </xf>
    <xf numFmtId="0" fontId="20" fillId="9" borderId="5" xfId="36" applyFont="1">
      <alignment horizontal="left" vertical="center" indent="1"/>
    </xf>
    <xf numFmtId="0" fontId="45" fillId="13" borderId="8" xfId="41">
      <alignment horizontal="left" vertical="center"/>
    </xf>
    <xf numFmtId="0" fontId="0" fillId="4" borderId="0" xfId="0" applyFill="1"/>
    <xf numFmtId="2" fontId="31"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0" fillId="4" borderId="0" xfId="0" applyFont="1" applyFill="1"/>
    <xf numFmtId="2" fontId="31" fillId="4" borderId="0" xfId="0" applyNumberFormat="1" applyFont="1" applyFill="1"/>
    <xf numFmtId="0" fontId="6" fillId="4" borderId="0" xfId="12" applyAlignment="1">
      <alignment horizontal="left" indent="1"/>
    </xf>
    <xf numFmtId="0" fontId="31" fillId="4" borderId="1" xfId="0" applyFont="1" applyFill="1" applyBorder="1"/>
    <xf numFmtId="0" fontId="39"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8" fillId="4" borderId="0" xfId="7" applyFont="1" applyAlignment="1">
      <alignment horizontal="center" vertical="center"/>
    </xf>
    <xf numFmtId="166" fontId="28"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3" fillId="12" borderId="2" xfId="16">
      <alignment horizontal="center" vertical="center"/>
    </xf>
    <xf numFmtId="0" fontId="37" fillId="0" borderId="0" xfId="5" applyFill="1">
      <alignment horizontal="left" vertical="center"/>
    </xf>
    <xf numFmtId="0" fontId="43" fillId="0" borderId="0" xfId="6" applyFill="1">
      <alignment vertical="center"/>
    </xf>
    <xf numFmtId="0" fontId="39" fillId="0" borderId="0" xfId="8" applyFill="1">
      <alignment horizontal="left" vertical="center"/>
    </xf>
    <xf numFmtId="0" fontId="9" fillId="0" borderId="0" xfId="12" applyFont="1" applyFill="1" applyAlignment="1">
      <alignment horizontal="left" vertical="center"/>
    </xf>
    <xf numFmtId="0" fontId="36" fillId="0" borderId="0" xfId="0" applyFont="1"/>
    <xf numFmtId="0" fontId="39" fillId="4" borderId="1" xfId="8" applyBorder="1">
      <alignment horizontal="left" vertical="center"/>
    </xf>
    <xf numFmtId="9" fontId="2" fillId="0" borderId="2" xfId="17">
      <alignment horizontal="center" vertical="center"/>
    </xf>
    <xf numFmtId="4" fontId="25" fillId="0" borderId="0" xfId="18" applyFont="1" applyBorder="1">
      <alignment horizontal="center" vertical="center"/>
    </xf>
    <xf numFmtId="0" fontId="54" fillId="4" borderId="0" xfId="50">
      <alignment horizontal="left" vertical="center"/>
    </xf>
    <xf numFmtId="0" fontId="24" fillId="0" borderId="0" xfId="0" applyFont="1" applyAlignment="1" applyProtection="1">
      <alignment horizontal="center" vertical="center"/>
      <protection locked="0"/>
    </xf>
    <xf numFmtId="0" fontId="25" fillId="0" borderId="0" xfId="0" applyFont="1"/>
    <xf numFmtId="0" fontId="5" fillId="2" borderId="0" xfId="9">
      <alignment horizontal="center" vertical="center"/>
    </xf>
    <xf numFmtId="0" fontId="34" fillId="4" borderId="2" xfId="55">
      <alignment horizontal="center" vertical="center"/>
    </xf>
    <xf numFmtId="0" fontId="41" fillId="4" borderId="0" xfId="8" applyFont="1">
      <alignment horizontal="left" vertical="center"/>
    </xf>
    <xf numFmtId="0" fontId="6" fillId="4" borderId="0" xfId="56">
      <alignment horizontal="left" vertical="center"/>
    </xf>
    <xf numFmtId="0" fontId="42" fillId="4" borderId="0" xfId="57">
      <alignment horizontal="left" vertical="center"/>
    </xf>
    <xf numFmtId="0" fontId="10" fillId="0" borderId="0" xfId="58"/>
    <xf numFmtId="0" fontId="34" fillId="4" borderId="2" xfId="55" applyAlignment="1">
      <alignment horizontal="left" vertical="center"/>
    </xf>
    <xf numFmtId="0" fontId="34" fillId="4" borderId="7" xfId="55" applyBorder="1" applyAlignment="1">
      <alignment horizontal="left" vertical="center"/>
    </xf>
    <xf numFmtId="0" fontId="34" fillId="4" borderId="6" xfId="55" applyBorder="1" applyAlignment="1">
      <alignment horizontal="left" vertical="center"/>
    </xf>
    <xf numFmtId="0" fontId="0" fillId="4" borderId="0" xfId="7" applyFont="1">
      <alignment horizontal="left" vertical="center"/>
    </xf>
    <xf numFmtId="4" fontId="25" fillId="4" borderId="0" xfId="18" applyFont="1" applyFill="1" applyBorder="1">
      <alignment horizontal="center" vertical="center"/>
    </xf>
    <xf numFmtId="9" fontId="25"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2" fillId="0" borderId="2" xfId="59">
      <alignment horizontal="center" vertical="center"/>
    </xf>
    <xf numFmtId="0" fontId="44" fillId="0" borderId="0" xfId="35" applyFont="1">
      <alignment horizontal="left" vertical="center" indent="1"/>
    </xf>
    <xf numFmtId="0" fontId="11" fillId="0" borderId="0" xfId="33"/>
    <xf numFmtId="0" fontId="3" fillId="4" borderId="3" xfId="7" applyBorder="1">
      <alignment horizontal="left" vertical="center"/>
    </xf>
    <xf numFmtId="166" fontId="34" fillId="4" borderId="2" xfId="43" applyNumberFormat="1">
      <alignment horizontal="center" vertical="center"/>
    </xf>
    <xf numFmtId="164" fontId="8" fillId="4" borderId="0" xfId="27" applyBorder="1">
      <alignment horizontal="center" vertical="center"/>
    </xf>
    <xf numFmtId="0" fontId="25" fillId="4" borderId="0" xfId="8" applyFont="1" applyAlignment="1">
      <alignment horizontal="center" vertical="center"/>
    </xf>
    <xf numFmtId="166" fontId="25" fillId="4" borderId="0" xfId="8" applyNumberFormat="1" applyFont="1" applyAlignment="1">
      <alignment horizontal="center" vertical="center"/>
    </xf>
    <xf numFmtId="0" fontId="25" fillId="4" borderId="0" xfId="12" applyFont="1" applyAlignment="1">
      <alignment horizontal="center" vertical="center"/>
    </xf>
    <xf numFmtId="0" fontId="26" fillId="4" borderId="0" xfId="0" applyFont="1" applyFill="1" applyAlignment="1">
      <alignment horizontal="center" vertical="center"/>
    </xf>
    <xf numFmtId="0" fontId="26" fillId="4" borderId="0" xfId="0" applyFont="1" applyFill="1"/>
    <xf numFmtId="0" fontId="25" fillId="4" borderId="0" xfId="0" applyFont="1" applyFill="1"/>
    <xf numFmtId="0" fontId="27" fillId="4" borderId="0" xfId="7" applyFont="1" applyAlignment="1">
      <alignment horizontal="center" vertical="center"/>
    </xf>
    <xf numFmtId="0" fontId="28" fillId="4" borderId="0" xfId="0" applyFont="1" applyFill="1" applyAlignment="1">
      <alignment horizontal="center" vertical="center"/>
    </xf>
    <xf numFmtId="0" fontId="29" fillId="4" borderId="0" xfId="0" applyFont="1" applyFill="1" applyAlignment="1">
      <alignment horizontal="center" vertical="center"/>
    </xf>
    <xf numFmtId="0" fontId="29" fillId="4" borderId="0" xfId="0" applyFont="1" applyFill="1" applyAlignment="1">
      <alignment horizontal="left" vertical="center"/>
    </xf>
    <xf numFmtId="14" fontId="3" fillId="4" borderId="0" xfId="7" applyNumberFormat="1">
      <alignment horizontal="left" vertical="center"/>
    </xf>
    <xf numFmtId="0" fontId="69"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2" fillId="4" borderId="0" xfId="0" applyFont="1" applyFill="1"/>
    <xf numFmtId="0" fontId="45" fillId="13" borderId="10" xfId="41" applyBorder="1">
      <alignment horizontal="left" vertical="center"/>
    </xf>
    <xf numFmtId="0" fontId="45" fillId="13" borderId="12" xfId="41" applyBorder="1">
      <alignment horizontal="left" vertical="center"/>
    </xf>
    <xf numFmtId="0" fontId="45" fillId="13" borderId="14" xfId="41" applyBorder="1">
      <alignment horizontal="left" vertical="center"/>
    </xf>
    <xf numFmtId="0" fontId="45" fillId="13" borderId="13" xfId="41" applyBorder="1">
      <alignment horizontal="left" vertical="center"/>
    </xf>
    <xf numFmtId="0" fontId="45" fillId="13" borderId="15" xfId="41" applyBorder="1">
      <alignment horizontal="left" vertical="center"/>
    </xf>
    <xf numFmtId="0" fontId="45" fillId="13" borderId="17" xfId="41" applyBorder="1">
      <alignment horizontal="left" vertical="center"/>
    </xf>
    <xf numFmtId="0" fontId="45" fillId="13" borderId="11" xfId="41" applyBorder="1">
      <alignment horizontal="left" vertical="center"/>
    </xf>
    <xf numFmtId="0" fontId="45" fillId="13" borderId="16" xfId="41" applyBorder="1">
      <alignment horizontal="left" vertical="center"/>
    </xf>
    <xf numFmtId="0" fontId="45" fillId="13" borderId="18" xfId="41" applyBorder="1">
      <alignment horizontal="left" vertical="center"/>
    </xf>
    <xf numFmtId="0" fontId="46" fillId="13" borderId="9" xfId="41" applyFont="1" applyBorder="1">
      <alignment horizontal="left" vertical="center"/>
    </xf>
    <xf numFmtId="9" fontId="34" fillId="4" borderId="2" xfId="14" applyFont="1" applyFill="1" applyBorder="1" applyAlignment="1">
      <alignment horizontal="center" vertical="center"/>
    </xf>
    <xf numFmtId="0" fontId="49" fillId="4" borderId="0" xfId="61">
      <alignment horizontal="left" vertical="center"/>
    </xf>
    <xf numFmtId="0" fontId="48" fillId="4" borderId="0" xfId="60">
      <alignment horizontal="left" vertical="center"/>
    </xf>
    <xf numFmtId="0" fontId="34" fillId="4" borderId="19" xfId="55" applyBorder="1" applyAlignment="1">
      <alignment horizontal="left" vertical="center"/>
    </xf>
    <xf numFmtId="0" fontId="50" fillId="4" borderId="1" xfId="8" applyFont="1" applyBorder="1">
      <alignment horizontal="left" vertical="center"/>
    </xf>
    <xf numFmtId="0" fontId="51" fillId="4" borderId="1" xfId="8" applyFont="1" applyBorder="1">
      <alignment horizontal="left" vertical="center"/>
    </xf>
    <xf numFmtId="0" fontId="52" fillId="4" borderId="1" xfId="56" applyFont="1" applyBorder="1">
      <alignment horizontal="left" vertical="center"/>
    </xf>
    <xf numFmtId="0" fontId="34" fillId="4" borderId="19" xfId="55" applyBorder="1">
      <alignment horizontal="center" vertical="center"/>
    </xf>
    <xf numFmtId="0" fontId="6" fillId="4" borderId="1" xfId="56" applyBorder="1">
      <alignment horizontal="left" vertical="center"/>
    </xf>
    <xf numFmtId="0" fontId="55" fillId="4" borderId="0" xfId="62">
      <alignment horizontal="left" vertical="center"/>
    </xf>
    <xf numFmtId="0" fontId="39" fillId="14" borderId="0" xfId="8" applyFill="1">
      <alignment horizontal="left" vertical="center"/>
    </xf>
    <xf numFmtId="0" fontId="34" fillId="4" borderId="2" xfId="55" applyAlignment="1">
      <alignment vertical="center"/>
    </xf>
    <xf numFmtId="0" fontId="34" fillId="4" borderId="6" xfId="55" applyBorder="1" applyAlignment="1">
      <alignment vertical="center"/>
    </xf>
    <xf numFmtId="0" fontId="34" fillId="4" borderId="7" xfId="55" applyBorder="1" applyAlignment="1">
      <alignment vertical="center"/>
    </xf>
    <xf numFmtId="9" fontId="8" fillId="4" borderId="0" xfId="11">
      <alignment horizontal="center" vertical="center"/>
    </xf>
    <xf numFmtId="164" fontId="8" fillId="4" borderId="0" xfId="10">
      <alignment horizontal="center" vertical="center"/>
    </xf>
    <xf numFmtId="0" fontId="41" fillId="4" borderId="1" xfId="8" applyFont="1" applyBorder="1">
      <alignment horizontal="left" vertical="center"/>
    </xf>
    <xf numFmtId="2" fontId="31" fillId="4" borderId="1" xfId="0" applyNumberFormat="1" applyFont="1" applyFill="1" applyBorder="1" applyAlignment="1">
      <alignment horizontal="center"/>
    </xf>
    <xf numFmtId="0" fontId="47" fillId="11" borderId="0" xfId="63">
      <alignment horizontal="center" vertical="center"/>
    </xf>
    <xf numFmtId="0" fontId="58" fillId="0" borderId="0" xfId="2" applyFont="1"/>
    <xf numFmtId="0" fontId="45" fillId="13" borderId="20" xfId="41" applyBorder="1">
      <alignment horizontal="left" vertical="center"/>
    </xf>
    <xf numFmtId="0" fontId="59" fillId="6" borderId="0" xfId="30" applyFont="1" applyProtection="1">
      <alignment horizontal="center" vertical="center"/>
    </xf>
    <xf numFmtId="0" fontId="13" fillId="6" borderId="0" xfId="30">
      <alignment horizontal="center" vertical="center"/>
      <protection locked="0"/>
    </xf>
    <xf numFmtId="0" fontId="0" fillId="0" borderId="0" xfId="1" applyFont="1" applyFill="1">
      <alignment horizontal="left" vertical="center" indent="1"/>
      <protection locked="0"/>
    </xf>
    <xf numFmtId="0" fontId="60" fillId="4" borderId="0" xfId="8" applyFont="1">
      <alignment horizontal="left" vertical="center"/>
    </xf>
    <xf numFmtId="0" fontId="61" fillId="4" borderId="0" xfId="8" applyFont="1">
      <alignment horizontal="left" vertical="center"/>
    </xf>
    <xf numFmtId="3" fontId="34" fillId="4" borderId="2" xfId="55" applyNumberFormat="1">
      <alignment horizontal="center" vertical="center"/>
    </xf>
    <xf numFmtId="0" fontId="39" fillId="4" borderId="0" xfId="8" applyAlignment="1">
      <alignment horizontal="left" vertical="center" indent="3"/>
    </xf>
    <xf numFmtId="0" fontId="41" fillId="4" borderId="0" xfId="8" applyFont="1" applyAlignment="1">
      <alignment horizontal="left" vertical="center" indent="3"/>
    </xf>
    <xf numFmtId="0" fontId="39" fillId="4" borderId="0" xfId="8" applyAlignment="1">
      <alignment horizontal="left" vertical="center" indent="6"/>
    </xf>
    <xf numFmtId="0" fontId="13" fillId="6" borderId="0" xfId="29" applyAlignment="1">
      <alignment horizontal="left" vertical="center" indent="3"/>
    </xf>
    <xf numFmtId="0" fontId="59" fillId="6" borderId="0" xfId="30" applyFont="1" applyAlignment="1" applyProtection="1">
      <alignment horizontal="left" vertical="center"/>
    </xf>
    <xf numFmtId="0" fontId="13" fillId="6" borderId="0" xfId="29" applyAlignment="1">
      <alignment horizontal="left" vertical="center" indent="6"/>
    </xf>
    <xf numFmtId="0" fontId="41" fillId="4" borderId="0" xfId="8" applyFont="1" applyAlignment="1">
      <alignment horizontal="left" vertical="center" indent="9"/>
    </xf>
    <xf numFmtId="0" fontId="39" fillId="4" borderId="0" xfId="8" applyAlignment="1">
      <alignment horizontal="left" vertical="center" indent="9"/>
    </xf>
    <xf numFmtId="0" fontId="39" fillId="4" borderId="0" xfId="8" applyAlignment="1">
      <alignment horizontal="center" vertical="center"/>
    </xf>
    <xf numFmtId="0" fontId="63" fillId="4" borderId="0" xfId="62" applyFont="1" applyAlignment="1">
      <alignment horizontal="left" vertical="center" indent="6"/>
    </xf>
    <xf numFmtId="0" fontId="63" fillId="4" borderId="0" xfId="62" applyFont="1" applyAlignment="1">
      <alignment horizontal="left" vertical="center" indent="2"/>
    </xf>
    <xf numFmtId="0" fontId="63" fillId="4" borderId="0" xfId="62" applyFont="1">
      <alignment horizontal="left" vertical="center"/>
    </xf>
    <xf numFmtId="0" fontId="45" fillId="13" borderId="9" xfId="41" applyBorder="1">
      <alignment horizontal="left" vertical="center"/>
    </xf>
    <xf numFmtId="0" fontId="64" fillId="4" borderId="0" xfId="62" applyFont="1">
      <alignment horizontal="left" vertical="center"/>
    </xf>
    <xf numFmtId="170" fontId="8" fillId="4" borderId="0" xfId="10" applyNumberFormat="1">
      <alignment horizontal="center" vertical="center"/>
    </xf>
    <xf numFmtId="0" fontId="65" fillId="15" borderId="2" xfId="65">
      <alignment horizontal="center" vertical="center"/>
    </xf>
    <xf numFmtId="0" fontId="66" fillId="16" borderId="2" xfId="66">
      <alignment horizontal="center" vertical="center"/>
    </xf>
    <xf numFmtId="0" fontId="67" fillId="4" borderId="2" xfId="55" applyFont="1" applyAlignment="1">
      <alignment horizontal="left" vertical="center"/>
    </xf>
    <xf numFmtId="0" fontId="66" fillId="16" borderId="6" xfId="66" applyBorder="1">
      <alignment horizontal="center" vertical="center"/>
    </xf>
    <xf numFmtId="0" fontId="67" fillId="4" borderId="2" xfId="68">
      <alignment horizontal="left" vertical="center"/>
    </xf>
    <xf numFmtId="0" fontId="34" fillId="4" borderId="2" xfId="69">
      <alignment horizontal="left" vertical="center"/>
    </xf>
    <xf numFmtId="0" fontId="34" fillId="4" borderId="6" xfId="69" applyBorder="1">
      <alignment horizontal="left" vertical="center"/>
    </xf>
    <xf numFmtId="0" fontId="34" fillId="4" borderId="7" xfId="69" applyBorder="1">
      <alignment horizontal="left" vertical="center"/>
    </xf>
    <xf numFmtId="0" fontId="67" fillId="4" borderId="6" xfId="68" applyBorder="1">
      <alignment horizontal="left" vertical="center"/>
    </xf>
    <xf numFmtId="0" fontId="67" fillId="4" borderId="7" xfId="68" applyBorder="1">
      <alignment horizontal="left" vertical="center"/>
    </xf>
    <xf numFmtId="0" fontId="70" fillId="0" borderId="0" xfId="34" applyFont="1"/>
    <xf numFmtId="0" fontId="70" fillId="0" borderId="0" xfId="70"/>
    <xf numFmtId="0" fontId="0" fillId="0" borderId="21" xfId="0" applyBorder="1"/>
    <xf numFmtId="0" fontId="0" fillId="4" borderId="21" xfId="0" applyFill="1" applyBorder="1"/>
  </cellXfs>
  <cellStyles count="71">
    <cellStyle name="Alert" xfId="62" xr:uid="{34EFE908-8095-4010-8F93-8CFE88055637}"/>
    <cellStyle name="Arguments" xfId="69" xr:uid="{C1CFD741-D6D0-4D12-BFFB-03B1E409900B}"/>
    <cellStyle name="Arguments hyperlink" xfId="68" xr:uid="{55927514-A451-4E3B-899C-07F8AEEDAB8E}"/>
    <cellStyle name="Back to top link" xfId="70" xr:uid="{2A23975D-C542-4CE3-8B06-23C04B0C7B9E}"/>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Followed Hyperlink" xfId="67" builtinId="9" customBuiltin="1"/>
    <cellStyle name="Hyperlink" xfId="34" builtinId="8" customBuiltin="1"/>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6" xr:uid="{4F3E1D36-2125-457B-B28B-DAF403FCF3B5}"/>
    <cellStyle name="Variable type other" xfId="65" xr:uid="{537B7826-A596-42BB-BEEC-7984101BDA99}"/>
  </cellStyles>
  <dxfs count="10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00"/>
      <tableStyleElement type="headerRow" dxfId="99"/>
      <tableStyleElement type="totalRow" dxfId="98"/>
      <tableStyleElement type="firstColumn" dxfId="97"/>
      <tableStyleElement type="firstRowStripe" dxfId="96"/>
      <tableStyleElement type="secondRowStripe" dxfId="95"/>
    </tableStyle>
    <tableStyle name="Equation table" pivot="0" count="6" xr9:uid="{B247698E-E41D-4CCD-AA0A-C14817E9DE65}">
      <tableStyleElement type="wholeTable" dxfId="94"/>
      <tableStyleElement type="headerRow" dxfId="93"/>
      <tableStyleElement type="totalRow" dxfId="92"/>
      <tableStyleElement type="firstColumn" dxfId="91"/>
      <tableStyleElement type="firstRowStripe" dxfId="90"/>
      <tableStyleElement type="secondRowStripe" dxfId="89"/>
    </tableStyle>
    <tableStyle name="Table Style 1" pivot="0" count="0" xr9:uid="{97B370DB-5463-4A31-9160-5A96BD6A559D}"/>
  </tableStyles>
  <colors>
    <mruColors>
      <color rgb="FF008000"/>
      <color rgb="FF4F4789"/>
      <color rgb="FFE9F2FB"/>
      <color rgb="FF0C769E"/>
      <color rgb="FFCC6600"/>
      <color rgb="FFFFCCCC"/>
      <color rgb="FFC44340"/>
      <color rgb="FFC4433F"/>
      <color rgb="FF183C1B"/>
      <color rgb="FFB2D49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26" Type="http://schemas.openxmlformats.org/officeDocument/2006/relationships/customXml" Target="../customXml/item2.xml"/><Relationship Id="rId3" Type="http://schemas.openxmlformats.org/officeDocument/2006/relationships/worksheet" Target="worksheets/sheet3.xml"/><Relationship Id="rId21" Type="http://schemas.microsoft.com/office/2017/06/relationships/rdRichValue" Target="richData/rdrichvalu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Types" Target="richData/rdRichValueTypes.xml"/><Relationship Id="rId28"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Structure" Target="richData/rdrichvaluestructure.xml"/><Relationship Id="rId27"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4.5.1.3-4 Direct N20'!D5"/><Relationship Id="rId13" Type="http://schemas.openxmlformats.org/officeDocument/2006/relationships/hyperlink" Target="#'4.5.1.3-4 Direct N20'!D173"/><Relationship Id="rId18" Type="http://schemas.openxmlformats.org/officeDocument/2006/relationships/hyperlink" Target="#'4.5.1.7-8 Leaching and runoff'!D32"/><Relationship Id="rId3" Type="http://schemas.openxmlformats.org/officeDocument/2006/relationships/hyperlink" Target="#'4.5.1.1-2 Methane'!D72"/><Relationship Id="rId7" Type="http://schemas.openxmlformats.org/officeDocument/2006/relationships/hyperlink" Target="#'4.5.1.1-2 Methane'!D233"/><Relationship Id="rId12" Type="http://schemas.openxmlformats.org/officeDocument/2006/relationships/hyperlink" Target="#'4.5.1.3-4 Direct N20'!D127"/><Relationship Id="rId17" Type="http://schemas.openxmlformats.org/officeDocument/2006/relationships/hyperlink" Target="#'4.5.1.7-8 Leaching and runoff'!D5"/><Relationship Id="rId2" Type="http://schemas.openxmlformats.org/officeDocument/2006/relationships/hyperlink" Target="#'4.5.1.1-2 Methane'!D45"/><Relationship Id="rId16" Type="http://schemas.openxmlformats.org/officeDocument/2006/relationships/hyperlink" Target="#'4.5.1.9 Manure applied to soils'!D165"/><Relationship Id="rId20" Type="http://schemas.openxmlformats.org/officeDocument/2006/relationships/hyperlink" Target="#'4.5.1.5-6 Atmos Dep'!D110"/><Relationship Id="rId1" Type="http://schemas.openxmlformats.org/officeDocument/2006/relationships/hyperlink" Target="#'4.5.1.1-2 Methane'!D5"/><Relationship Id="rId6" Type="http://schemas.openxmlformats.org/officeDocument/2006/relationships/hyperlink" Target="#'4.5.1.1-2 Methane'!D215"/><Relationship Id="rId11" Type="http://schemas.openxmlformats.org/officeDocument/2006/relationships/hyperlink" Target="#'4.5.1.3-4 Direct N20'!D104"/><Relationship Id="rId5" Type="http://schemas.openxmlformats.org/officeDocument/2006/relationships/hyperlink" Target="#'4.5.1.1-2 Methane'!D188"/><Relationship Id="rId15" Type="http://schemas.openxmlformats.org/officeDocument/2006/relationships/hyperlink" Target="#'4.5.1.9 Manure applied to soils'!D5"/><Relationship Id="rId10" Type="http://schemas.openxmlformats.org/officeDocument/2006/relationships/hyperlink" Target="#'4.5.1.3-4 Direct N20'!D79"/><Relationship Id="rId19" Type="http://schemas.openxmlformats.org/officeDocument/2006/relationships/hyperlink" Target="#'4.5.1.5-6 Atmos Dep'!D5"/><Relationship Id="rId4" Type="http://schemas.openxmlformats.org/officeDocument/2006/relationships/hyperlink" Target="#'4.5.1.1-2 Methane'!D112"/><Relationship Id="rId9" Type="http://schemas.openxmlformats.org/officeDocument/2006/relationships/hyperlink" Target="#'4.5.1.3-4 Direct N20'!D39"/><Relationship Id="rId14" Type="http://schemas.openxmlformats.org/officeDocument/2006/relationships/hyperlink" Target="#'4.5.1.3-4 Direct N20'!D246"/></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6</xdr:col>
      <xdr:colOff>533151</xdr:colOff>
      <xdr:row>15</xdr:row>
      <xdr:rowOff>161925</xdr:rowOff>
    </xdr:from>
    <xdr:to>
      <xdr:col>9</xdr:col>
      <xdr:colOff>379392</xdr:colOff>
      <xdr:row>19</xdr:row>
      <xdr:rowOff>66675</xdr:rowOff>
    </xdr:to>
    <xdr:sp macro="" textlink="">
      <xdr:nvSpPr>
        <xdr:cNvPr id="3" name="Rectangle 2">
          <a:extLst>
            <a:ext uri="{FF2B5EF4-FFF2-40B4-BE49-F238E27FC236}">
              <a16:creationId xmlns:a16="http://schemas.microsoft.com/office/drawing/2014/main" id="{9D90D7ED-2BDB-4AE7-A6A7-5B86E8F4B004}"/>
            </a:ext>
          </a:extLst>
        </xdr:cNvPr>
        <xdr:cNvSpPr/>
      </xdr:nvSpPr>
      <xdr:spPr>
        <a:xfrm>
          <a:off x="4169969" y="3019425"/>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Drylot</a:t>
          </a:r>
        </a:p>
      </xdr:txBody>
    </xdr:sp>
    <xdr:clientData/>
  </xdr:twoCellAnchor>
  <xdr:twoCellAnchor>
    <xdr:from>
      <xdr:col>14</xdr:col>
      <xdr:colOff>195852</xdr:colOff>
      <xdr:row>22</xdr:row>
      <xdr:rowOff>76200</xdr:rowOff>
    </xdr:from>
    <xdr:to>
      <xdr:col>17</xdr:col>
      <xdr:colOff>41073</xdr:colOff>
      <xdr:row>25</xdr:row>
      <xdr:rowOff>171450</xdr:rowOff>
    </xdr:to>
    <xdr:sp macro="" textlink="">
      <xdr:nvSpPr>
        <xdr:cNvPr id="4" name="Rectangle 3">
          <a:extLst>
            <a:ext uri="{FF2B5EF4-FFF2-40B4-BE49-F238E27FC236}">
              <a16:creationId xmlns:a16="http://schemas.microsoft.com/office/drawing/2014/main" id="{E9A97019-1B6A-41EF-9BF0-3FEAF5567595}"/>
            </a:ext>
          </a:extLst>
        </xdr:cNvPr>
        <xdr:cNvSpPr/>
      </xdr:nvSpPr>
      <xdr:spPr>
        <a:xfrm>
          <a:off x="8681761" y="4267200"/>
          <a:ext cx="1663630"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19</xdr:col>
      <xdr:colOff>459831</xdr:colOff>
      <xdr:row>22</xdr:row>
      <xdr:rowOff>95250</xdr:rowOff>
    </xdr:from>
    <xdr:to>
      <xdr:col>22</xdr:col>
      <xdr:colOff>306069</xdr:colOff>
      <xdr:row>26</xdr:row>
      <xdr:rowOff>0</xdr:rowOff>
    </xdr:to>
    <xdr:sp macro="" textlink="">
      <xdr:nvSpPr>
        <xdr:cNvPr id="5" name="Rectangle 4">
          <a:extLst>
            <a:ext uri="{FF2B5EF4-FFF2-40B4-BE49-F238E27FC236}">
              <a16:creationId xmlns:a16="http://schemas.microsoft.com/office/drawing/2014/main" id="{AD1A547A-5445-460C-A565-E3249F11AC1F}"/>
            </a:ext>
          </a:extLst>
        </xdr:cNvPr>
        <xdr:cNvSpPr/>
      </xdr:nvSpPr>
      <xdr:spPr>
        <a:xfrm>
          <a:off x="11976422" y="4286250"/>
          <a:ext cx="1664647" cy="666750"/>
        </a:xfrm>
        <a:prstGeom prst="rect">
          <a:avLst/>
        </a:prstGeom>
        <a:solidFill>
          <a:schemeClr val="bg1"/>
        </a:solidFill>
        <a:ln>
          <a:solidFill>
            <a:srgbClr val="008000"/>
          </a:solidFill>
        </a:ln>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i="1">
              <a:solidFill>
                <a:srgbClr val="008000"/>
              </a:solidFill>
            </a:rPr>
            <a:t>Solids separated</a:t>
          </a:r>
        </a:p>
      </xdr:txBody>
    </xdr:sp>
    <xdr:clientData/>
  </xdr:twoCellAnchor>
  <xdr:twoCellAnchor>
    <xdr:from>
      <xdr:col>16</xdr:col>
      <xdr:colOff>490047</xdr:colOff>
      <xdr:row>15</xdr:row>
      <xdr:rowOff>180975</xdr:rowOff>
    </xdr:from>
    <xdr:to>
      <xdr:col>19</xdr:col>
      <xdr:colOff>340769</xdr:colOff>
      <xdr:row>19</xdr:row>
      <xdr:rowOff>85725</xdr:rowOff>
    </xdr:to>
    <xdr:sp macro="" textlink="">
      <xdr:nvSpPr>
        <xdr:cNvPr id="7" name="Rectangle 6">
          <a:extLst>
            <a:ext uri="{FF2B5EF4-FFF2-40B4-BE49-F238E27FC236}">
              <a16:creationId xmlns:a16="http://schemas.microsoft.com/office/drawing/2014/main" id="{D214A28D-C479-4D28-BA0F-3CEF965889FD}"/>
            </a:ext>
          </a:extLst>
        </xdr:cNvPr>
        <xdr:cNvSpPr/>
      </xdr:nvSpPr>
      <xdr:spPr>
        <a:xfrm>
          <a:off x="10188229" y="303847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Solid storage</a:t>
          </a:r>
        </a:p>
      </xdr:txBody>
    </xdr:sp>
    <xdr:clientData/>
  </xdr:twoCellAnchor>
  <xdr:twoCellAnchor>
    <xdr:from>
      <xdr:col>16</xdr:col>
      <xdr:colOff>490047</xdr:colOff>
      <xdr:row>30</xdr:row>
      <xdr:rowOff>47625</xdr:rowOff>
    </xdr:from>
    <xdr:to>
      <xdr:col>19</xdr:col>
      <xdr:colOff>340769</xdr:colOff>
      <xdr:row>33</xdr:row>
      <xdr:rowOff>142875</xdr:rowOff>
    </xdr:to>
    <xdr:sp macro="" textlink="">
      <xdr:nvSpPr>
        <xdr:cNvPr id="9" name="Rectangle 8">
          <a:extLst>
            <a:ext uri="{FF2B5EF4-FFF2-40B4-BE49-F238E27FC236}">
              <a16:creationId xmlns:a16="http://schemas.microsoft.com/office/drawing/2014/main" id="{76DC797A-47DC-4B66-B29F-4B98F5EF29F2}"/>
            </a:ext>
          </a:extLst>
        </xdr:cNvPr>
        <xdr:cNvSpPr/>
      </xdr:nvSpPr>
      <xdr:spPr>
        <a:xfrm>
          <a:off x="10188229" y="5762625"/>
          <a:ext cx="16691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solid storage</a:t>
          </a:r>
        </a:p>
      </xdr:txBody>
    </xdr:sp>
    <xdr:clientData/>
  </xdr:twoCellAnchor>
  <xdr:twoCellAnchor>
    <xdr:from>
      <xdr:col>34</xdr:col>
      <xdr:colOff>169163</xdr:colOff>
      <xdr:row>17</xdr:row>
      <xdr:rowOff>105335</xdr:rowOff>
    </xdr:from>
    <xdr:to>
      <xdr:col>37</xdr:col>
      <xdr:colOff>424978</xdr:colOff>
      <xdr:row>19</xdr:row>
      <xdr:rowOff>162485</xdr:rowOff>
    </xdr:to>
    <xdr:sp macro="" textlink="'4.5.1.1-2 Methane'!D5">
      <xdr:nvSpPr>
        <xdr:cNvPr id="11" name="TextBox 10">
          <a:hlinkClick xmlns:r="http://schemas.openxmlformats.org/officeDocument/2006/relationships" r:id="rId1"/>
          <a:extLst>
            <a:ext uri="{FF2B5EF4-FFF2-40B4-BE49-F238E27FC236}">
              <a16:creationId xmlns:a16="http://schemas.microsoft.com/office/drawing/2014/main" id="{4D3FDF02-08C8-4E57-BF26-A32020DBC947}"/>
            </a:ext>
          </a:extLst>
        </xdr:cNvPr>
        <xdr:cNvSpPr txBox="1"/>
      </xdr:nvSpPr>
      <xdr:spPr>
        <a:xfrm>
          <a:off x="20777799" y="3343835"/>
          <a:ext cx="2074224"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634CD5F-1564-469D-8423-F72FE4D80743}" type="TxLink">
            <a:rPr lang="en-US" sz="900" b="0" i="0" u="none" strike="noStrike">
              <a:solidFill>
                <a:srgbClr val="0C769E"/>
              </a:solidFill>
              <a:latin typeface="Times New Roman"/>
              <a:cs typeface="Times New Roman"/>
            </a:rPr>
            <a:pPr algn="ctr"/>
            <a:t>Fraction of volatile solids in each primary system other than solid storage</a:t>
          </a:fld>
          <a:endParaRPr lang="en-AU" sz="900">
            <a:solidFill>
              <a:srgbClr val="0C769E"/>
            </a:solidFill>
          </a:endParaRPr>
        </a:p>
      </xdr:txBody>
    </xdr:sp>
    <xdr:clientData/>
  </xdr:twoCellAnchor>
  <xdr:twoCellAnchor>
    <xdr:from>
      <xdr:col>30</xdr:col>
      <xdr:colOff>482128</xdr:colOff>
      <xdr:row>17</xdr:row>
      <xdr:rowOff>114860</xdr:rowOff>
    </xdr:from>
    <xdr:to>
      <xdr:col>34</xdr:col>
      <xdr:colOff>125000</xdr:colOff>
      <xdr:row>19</xdr:row>
      <xdr:rowOff>172010</xdr:rowOff>
    </xdr:to>
    <xdr:sp macro="" textlink="'4.5.1.1-2 Methane'!D45">
      <xdr:nvSpPr>
        <xdr:cNvPr id="12" name="TextBox 11">
          <a:hlinkClick xmlns:r="http://schemas.openxmlformats.org/officeDocument/2006/relationships" r:id="rId2"/>
          <a:extLst>
            <a:ext uri="{FF2B5EF4-FFF2-40B4-BE49-F238E27FC236}">
              <a16:creationId xmlns:a16="http://schemas.microsoft.com/office/drawing/2014/main" id="{778C95C7-9E3A-4214-A48D-0B1AAEE4BAC1}"/>
            </a:ext>
          </a:extLst>
        </xdr:cNvPr>
        <xdr:cNvSpPr txBox="1"/>
      </xdr:nvSpPr>
      <xdr:spPr>
        <a:xfrm>
          <a:off x="18666219" y="3353360"/>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098B37F-FECF-4259-BC82-6993AB3D1880}" type="TxLink">
            <a:rPr lang="en-US" sz="900" b="0" i="0" u="none" strike="noStrike">
              <a:solidFill>
                <a:srgbClr val="0C769E"/>
              </a:solidFill>
              <a:latin typeface="Times New Roman"/>
              <a:cs typeface="Times New Roman"/>
            </a:rPr>
            <a:pPr algn="ctr"/>
            <a:t>Fraction of volatile solids in solid storage</a:t>
          </a:fld>
          <a:endParaRPr lang="en-AU" sz="900">
            <a:solidFill>
              <a:srgbClr val="0C769E"/>
            </a:solidFill>
          </a:endParaRPr>
        </a:p>
      </xdr:txBody>
    </xdr:sp>
    <xdr:clientData/>
  </xdr:twoCellAnchor>
  <xdr:twoCellAnchor>
    <xdr:from>
      <xdr:col>34</xdr:col>
      <xdr:colOff>458314</xdr:colOff>
      <xdr:row>37</xdr:row>
      <xdr:rowOff>156482</xdr:rowOff>
    </xdr:from>
    <xdr:to>
      <xdr:col>38</xdr:col>
      <xdr:colOff>95745</xdr:colOff>
      <xdr:row>40</xdr:row>
      <xdr:rowOff>23132</xdr:rowOff>
    </xdr:to>
    <xdr:sp macro="" textlink="'4.5.1.1-2 Methane'!D72">
      <xdr:nvSpPr>
        <xdr:cNvPr id="13" name="TextBox 12">
          <a:hlinkClick xmlns:r="http://schemas.openxmlformats.org/officeDocument/2006/relationships" r:id="rId3"/>
          <a:extLst>
            <a:ext uri="{FF2B5EF4-FFF2-40B4-BE49-F238E27FC236}">
              <a16:creationId xmlns:a16="http://schemas.microsoft.com/office/drawing/2014/main" id="{0E258D31-0E18-4E99-9B93-6A796CE49647}"/>
            </a:ext>
          </a:extLst>
        </xdr:cNvPr>
        <xdr:cNvSpPr txBox="1"/>
      </xdr:nvSpPr>
      <xdr:spPr>
        <a:xfrm>
          <a:off x="21184714" y="7204982"/>
          <a:ext cx="2075831"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B3284DC-4B5D-452B-B038-DE4784039477}" type="TxLink">
            <a:rPr lang="en-US" sz="900" b="0" i="0" u="none" strike="noStrike">
              <a:solidFill>
                <a:srgbClr val="0C769E"/>
              </a:solidFill>
              <a:latin typeface="Times New Roman"/>
              <a:cs typeface="Times New Roman"/>
            </a:rPr>
            <a:pPr algn="ctr"/>
            <a:t>Volatile solids transferred to treatment stage 2 MMS</a:t>
          </a:fld>
          <a:endParaRPr lang="en-AU" sz="900">
            <a:solidFill>
              <a:srgbClr val="0C769E"/>
            </a:solidFill>
          </a:endParaRPr>
        </a:p>
      </xdr:txBody>
    </xdr:sp>
    <xdr:clientData/>
  </xdr:twoCellAnchor>
  <xdr:twoCellAnchor>
    <xdr:from>
      <xdr:col>34</xdr:col>
      <xdr:colOff>447428</xdr:colOff>
      <xdr:row>43</xdr:row>
      <xdr:rowOff>137432</xdr:rowOff>
    </xdr:from>
    <xdr:to>
      <xdr:col>38</xdr:col>
      <xdr:colOff>87581</xdr:colOff>
      <xdr:row>46</xdr:row>
      <xdr:rowOff>4082</xdr:rowOff>
    </xdr:to>
    <xdr:sp macro="" textlink="'4.5.1.1-2 Methane'!D112">
      <xdr:nvSpPr>
        <xdr:cNvPr id="14" name="TextBox 13">
          <a:hlinkClick xmlns:r="http://schemas.openxmlformats.org/officeDocument/2006/relationships" r:id="rId4"/>
          <a:extLst>
            <a:ext uri="{FF2B5EF4-FFF2-40B4-BE49-F238E27FC236}">
              <a16:creationId xmlns:a16="http://schemas.microsoft.com/office/drawing/2014/main" id="{E70EB3CE-701A-4735-BD82-63C07FB75E40}"/>
            </a:ext>
          </a:extLst>
        </xdr:cNvPr>
        <xdr:cNvSpPr txBox="1"/>
      </xdr:nvSpPr>
      <xdr:spPr>
        <a:xfrm>
          <a:off x="21173828" y="8328932"/>
          <a:ext cx="2078553"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BB38A4E-CC3B-4E5B-B911-A08093806AB9}" type="TxLink">
            <a:rPr lang="en-US" sz="900" b="0" i="0" u="none" strike="noStrike">
              <a:solidFill>
                <a:srgbClr val="0C769E"/>
              </a:solidFill>
              <a:latin typeface="Times New Roman"/>
              <a:cs typeface="Times New Roman"/>
            </a:rPr>
            <a:pPr algn="ctr"/>
            <a:t>Production of methane in each treatment stage 2 MMS</a:t>
          </a:fld>
          <a:endParaRPr lang="en-AU" sz="900">
            <a:solidFill>
              <a:srgbClr val="0C769E"/>
            </a:solidFill>
          </a:endParaRPr>
        </a:p>
      </xdr:txBody>
    </xdr:sp>
    <xdr:clientData/>
  </xdr:twoCellAnchor>
  <xdr:twoCellAnchor>
    <xdr:from>
      <xdr:col>32</xdr:col>
      <xdr:colOff>436544</xdr:colOff>
      <xdr:row>32</xdr:row>
      <xdr:rowOff>118382</xdr:rowOff>
    </xdr:from>
    <xdr:to>
      <xdr:col>36</xdr:col>
      <xdr:colOff>79416</xdr:colOff>
      <xdr:row>34</xdr:row>
      <xdr:rowOff>175532</xdr:rowOff>
    </xdr:to>
    <xdr:sp macro="" textlink="'4.5.1.1-2 Methane'!D188">
      <xdr:nvSpPr>
        <xdr:cNvPr id="15" name="TextBox 14">
          <a:hlinkClick xmlns:r="http://schemas.openxmlformats.org/officeDocument/2006/relationships" r:id="rId5"/>
          <a:extLst>
            <a:ext uri="{FF2B5EF4-FFF2-40B4-BE49-F238E27FC236}">
              <a16:creationId xmlns:a16="http://schemas.microsoft.com/office/drawing/2014/main" id="{855DBBB7-F811-4981-BC84-B10829931EFA}"/>
            </a:ext>
          </a:extLst>
        </xdr:cNvPr>
        <xdr:cNvSpPr txBox="1"/>
      </xdr:nvSpPr>
      <xdr:spPr>
        <a:xfrm>
          <a:off x="19832908" y="6214382"/>
          <a:ext cx="2067417"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B3E19D-0F3B-4F5C-8499-6FA1BB821B2F}" type="TxLink">
            <a:rPr lang="en-US" sz="900" b="0" i="0" u="none" strike="noStrike">
              <a:solidFill>
                <a:srgbClr val="0C769E"/>
              </a:solidFill>
              <a:latin typeface="Times New Roman"/>
              <a:cs typeface="Times New Roman"/>
            </a:rPr>
            <a:pPr algn="ctr"/>
            <a:t>Production of methane in treatment stage 1 MMS</a:t>
          </a:fld>
          <a:endParaRPr lang="en-AU" sz="900">
            <a:solidFill>
              <a:srgbClr val="0C769E"/>
            </a:solidFill>
          </a:endParaRPr>
        </a:p>
      </xdr:txBody>
    </xdr:sp>
    <xdr:clientData/>
  </xdr:twoCellAnchor>
  <xdr:twoCellAnchor>
    <xdr:from>
      <xdr:col>32</xdr:col>
      <xdr:colOff>435182</xdr:colOff>
      <xdr:row>50</xdr:row>
      <xdr:rowOff>32657</xdr:rowOff>
    </xdr:from>
    <xdr:to>
      <xdr:col>36</xdr:col>
      <xdr:colOff>80777</xdr:colOff>
      <xdr:row>52</xdr:row>
      <xdr:rowOff>89807</xdr:rowOff>
    </xdr:to>
    <xdr:sp macro="" textlink="'4.5.1.1-2 Methane'!D215">
      <xdr:nvSpPr>
        <xdr:cNvPr id="16" name="TextBox 15">
          <a:hlinkClick xmlns:r="http://schemas.openxmlformats.org/officeDocument/2006/relationships" r:id="rId6"/>
          <a:extLst>
            <a:ext uri="{FF2B5EF4-FFF2-40B4-BE49-F238E27FC236}">
              <a16:creationId xmlns:a16="http://schemas.microsoft.com/office/drawing/2014/main" id="{7E4D739E-F18A-45D6-AA2A-A371E42E3D64}"/>
            </a:ext>
          </a:extLst>
        </xdr:cNvPr>
        <xdr:cNvSpPr txBox="1"/>
      </xdr:nvSpPr>
      <xdr:spPr>
        <a:xfrm>
          <a:off x="19831546" y="9557657"/>
          <a:ext cx="2070140"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596A2D8-F1B2-4E31-BD6E-62193AA865AD}" type="TxLink">
            <a:rPr lang="en-US" sz="900" b="0" i="0" u="none" strike="noStrike">
              <a:solidFill>
                <a:srgbClr val="0C769E"/>
              </a:solidFill>
              <a:latin typeface="Times New Roman"/>
              <a:cs typeface="Times New Roman"/>
            </a:rPr>
            <a:pPr algn="ctr"/>
            <a:t>Methane production from the manure of each class of swine</a:t>
          </a:fld>
          <a:endParaRPr lang="en-AU" sz="900">
            <a:solidFill>
              <a:srgbClr val="0C769E"/>
            </a:solidFill>
          </a:endParaRPr>
        </a:p>
      </xdr:txBody>
    </xdr:sp>
    <xdr:clientData/>
  </xdr:twoCellAnchor>
  <xdr:twoCellAnchor>
    <xdr:from>
      <xdr:col>32</xdr:col>
      <xdr:colOff>435182</xdr:colOff>
      <xdr:row>53</xdr:row>
      <xdr:rowOff>179614</xdr:rowOff>
    </xdr:from>
    <xdr:to>
      <xdr:col>36</xdr:col>
      <xdr:colOff>80777</xdr:colOff>
      <xdr:row>56</xdr:row>
      <xdr:rowOff>46264</xdr:rowOff>
    </xdr:to>
    <xdr:sp macro="" textlink="'4.5.1.1-2 Methane'!D233">
      <xdr:nvSpPr>
        <xdr:cNvPr id="17" name="TextBox 16">
          <a:hlinkClick xmlns:r="http://schemas.openxmlformats.org/officeDocument/2006/relationships" r:id="rId7"/>
          <a:extLst>
            <a:ext uri="{FF2B5EF4-FFF2-40B4-BE49-F238E27FC236}">
              <a16:creationId xmlns:a16="http://schemas.microsoft.com/office/drawing/2014/main" id="{0C4CABAF-34DC-4CC5-8DAE-12CADFE98204}"/>
            </a:ext>
          </a:extLst>
        </xdr:cNvPr>
        <xdr:cNvSpPr txBox="1"/>
      </xdr:nvSpPr>
      <xdr:spPr>
        <a:xfrm>
          <a:off x="19942382" y="10276114"/>
          <a:ext cx="2083995" cy="4381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DDF589A-F32D-4306-BF11-21BAFB2E3E50}" type="TxLink">
            <a:rPr lang="en-US" sz="900" b="1" i="0" u="none" strike="noStrike">
              <a:solidFill>
                <a:srgbClr val="0C769E"/>
              </a:solidFill>
              <a:latin typeface="Times New Roman"/>
              <a:cs typeface="Times New Roman"/>
            </a:rPr>
            <a:pPr algn="ctr"/>
            <a:t>Total annual methane emissions from manure management</a:t>
          </a:fld>
          <a:endParaRPr lang="en-AU" sz="900" b="1">
            <a:solidFill>
              <a:srgbClr val="0C769E"/>
            </a:solidFill>
          </a:endParaRPr>
        </a:p>
      </xdr:txBody>
    </xdr:sp>
    <xdr:clientData/>
  </xdr:twoCellAnchor>
  <xdr:twoCellAnchor>
    <xdr:from>
      <xdr:col>16</xdr:col>
      <xdr:colOff>273455</xdr:colOff>
      <xdr:row>2</xdr:row>
      <xdr:rowOff>162486</xdr:rowOff>
    </xdr:from>
    <xdr:to>
      <xdr:col>19</xdr:col>
      <xdr:colOff>349241</xdr:colOff>
      <xdr:row>7</xdr:row>
      <xdr:rowOff>73097</xdr:rowOff>
    </xdr:to>
    <xdr:grpSp>
      <xdr:nvGrpSpPr>
        <xdr:cNvPr id="210" name="Group 209">
          <a:extLst>
            <a:ext uri="{FF2B5EF4-FFF2-40B4-BE49-F238E27FC236}">
              <a16:creationId xmlns:a16="http://schemas.microsoft.com/office/drawing/2014/main" id="{D7F3A8B8-4F23-AFF2-4271-1EEFA21B931F}"/>
            </a:ext>
          </a:extLst>
        </xdr:cNvPr>
        <xdr:cNvGrpSpPr/>
      </xdr:nvGrpSpPr>
      <xdr:grpSpPr>
        <a:xfrm>
          <a:off x="9955337" y="543486"/>
          <a:ext cx="1891139" cy="863111"/>
          <a:chOff x="13483359" y="543486"/>
          <a:chExt cx="1904586" cy="863111"/>
        </a:xfrm>
      </xdr:grpSpPr>
      <xdr:sp macro="" textlink="">
        <xdr:nvSpPr>
          <xdr:cNvPr id="2" name="Rectangle 1">
            <a:extLst>
              <a:ext uri="{FF2B5EF4-FFF2-40B4-BE49-F238E27FC236}">
                <a16:creationId xmlns:a16="http://schemas.microsoft.com/office/drawing/2014/main" id="{E5B2314C-C435-498B-A5E2-77D8F591B36D}"/>
              </a:ext>
            </a:extLst>
          </xdr:cNvPr>
          <xdr:cNvSpPr/>
        </xdr:nvSpPr>
        <xdr:spPr>
          <a:xfrm>
            <a:off x="13483359" y="543486"/>
            <a:ext cx="1670556"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39" name="Rectangle 38">
            <a:extLst>
              <a:ext uri="{FF2B5EF4-FFF2-40B4-BE49-F238E27FC236}">
                <a16:creationId xmlns:a16="http://schemas.microsoft.com/office/drawing/2014/main" id="{D4CD0816-E313-4EB9-848A-1F8FE126DB32}"/>
              </a:ext>
            </a:extLst>
          </xdr:cNvPr>
          <xdr:cNvSpPr/>
        </xdr:nvSpPr>
        <xdr:spPr>
          <a:xfrm>
            <a:off x="13592831" y="638736"/>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sp macro="" textlink="">
        <xdr:nvSpPr>
          <xdr:cNvPr id="40" name="Rectangle 39">
            <a:extLst>
              <a:ext uri="{FF2B5EF4-FFF2-40B4-BE49-F238E27FC236}">
                <a16:creationId xmlns:a16="http://schemas.microsoft.com/office/drawing/2014/main" id="{C3F9A3FA-8936-418B-B4D4-E924FBC84DEC}"/>
              </a:ext>
            </a:extLst>
          </xdr:cNvPr>
          <xdr:cNvSpPr/>
        </xdr:nvSpPr>
        <xdr:spPr>
          <a:xfrm>
            <a:off x="13715923" y="739847"/>
            <a:ext cx="1672022"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Housing</a:t>
            </a:r>
          </a:p>
        </xdr:txBody>
      </xdr:sp>
    </xdr:grpSp>
    <xdr:clientData/>
  </xdr:twoCellAnchor>
  <xdr:twoCellAnchor>
    <xdr:from>
      <xdr:col>26</xdr:col>
      <xdr:colOff>221368</xdr:colOff>
      <xdr:row>15</xdr:row>
      <xdr:rowOff>171450</xdr:rowOff>
    </xdr:from>
    <xdr:to>
      <xdr:col>29</xdr:col>
      <xdr:colOff>248581</xdr:colOff>
      <xdr:row>20</xdr:row>
      <xdr:rowOff>66675</xdr:rowOff>
    </xdr:to>
    <xdr:grpSp>
      <xdr:nvGrpSpPr>
        <xdr:cNvPr id="205" name="Group 204">
          <a:extLst>
            <a:ext uri="{FF2B5EF4-FFF2-40B4-BE49-F238E27FC236}">
              <a16:creationId xmlns:a16="http://schemas.microsoft.com/office/drawing/2014/main" id="{C932CEF1-B9C9-D9C7-6E6B-A5F19C1B3CAE}"/>
            </a:ext>
          </a:extLst>
        </xdr:cNvPr>
        <xdr:cNvGrpSpPr/>
      </xdr:nvGrpSpPr>
      <xdr:grpSpPr>
        <a:xfrm>
          <a:off x="15954427" y="3028950"/>
          <a:ext cx="1842566" cy="847725"/>
          <a:chOff x="16967752" y="3028950"/>
          <a:chExt cx="1865953" cy="847725"/>
        </a:xfrm>
      </xdr:grpSpPr>
      <xdr:sp macro="" textlink="">
        <xdr:nvSpPr>
          <xdr:cNvPr id="8" name="Rectangle 7">
            <a:extLst>
              <a:ext uri="{FF2B5EF4-FFF2-40B4-BE49-F238E27FC236}">
                <a16:creationId xmlns:a16="http://schemas.microsoft.com/office/drawing/2014/main" id="{31EAF2DA-C2A1-42D6-A061-CDFCAD363C65}"/>
              </a:ext>
            </a:extLst>
          </xdr:cNvPr>
          <xdr:cNvSpPr/>
        </xdr:nvSpPr>
        <xdr:spPr>
          <a:xfrm>
            <a:off x="17148727" y="32099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3" name="Rectangle 42">
            <a:extLst>
              <a:ext uri="{FF2B5EF4-FFF2-40B4-BE49-F238E27FC236}">
                <a16:creationId xmlns:a16="http://schemas.microsoft.com/office/drawing/2014/main" id="{F6416AC0-4158-439E-86E8-561D50C4DE7A}"/>
              </a:ext>
            </a:extLst>
          </xdr:cNvPr>
          <xdr:cNvSpPr/>
        </xdr:nvSpPr>
        <xdr:spPr>
          <a:xfrm>
            <a:off x="17063002" y="311467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44" name="Rectangle 43">
            <a:extLst>
              <a:ext uri="{FF2B5EF4-FFF2-40B4-BE49-F238E27FC236}">
                <a16:creationId xmlns:a16="http://schemas.microsoft.com/office/drawing/2014/main" id="{A4B834D6-9D7B-4F04-8D77-C0AEC1BC58E3}"/>
              </a:ext>
            </a:extLst>
          </xdr:cNvPr>
          <xdr:cNvSpPr/>
        </xdr:nvSpPr>
        <xdr:spPr>
          <a:xfrm>
            <a:off x="16967752" y="30289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grpSp>
    <xdr:clientData/>
  </xdr:twoCellAnchor>
  <xdr:twoCellAnchor>
    <xdr:from>
      <xdr:col>6</xdr:col>
      <xdr:colOff>538594</xdr:colOff>
      <xdr:row>30</xdr:row>
      <xdr:rowOff>57150</xdr:rowOff>
    </xdr:from>
    <xdr:to>
      <xdr:col>9</xdr:col>
      <xdr:colOff>384835</xdr:colOff>
      <xdr:row>33</xdr:row>
      <xdr:rowOff>152400</xdr:rowOff>
    </xdr:to>
    <xdr:sp macro="" textlink="">
      <xdr:nvSpPr>
        <xdr:cNvPr id="57" name="Rectangle 56">
          <a:extLst>
            <a:ext uri="{FF2B5EF4-FFF2-40B4-BE49-F238E27FC236}">
              <a16:creationId xmlns:a16="http://schemas.microsoft.com/office/drawing/2014/main" id="{36337693-4392-450C-888C-E40DAE087991}"/>
            </a:ext>
          </a:extLst>
        </xdr:cNvPr>
        <xdr:cNvSpPr/>
      </xdr:nvSpPr>
      <xdr:spPr>
        <a:xfrm>
          <a:off x="4175412" y="5772150"/>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Post-separation drylot</a:t>
          </a:r>
        </a:p>
      </xdr:txBody>
    </xdr:sp>
    <xdr:clientData/>
  </xdr:twoCellAnchor>
  <xdr:twoCellAnchor>
    <xdr:from>
      <xdr:col>26</xdr:col>
      <xdr:colOff>211701</xdr:colOff>
      <xdr:row>30</xdr:row>
      <xdr:rowOff>38100</xdr:rowOff>
    </xdr:from>
    <xdr:to>
      <xdr:col>29</xdr:col>
      <xdr:colOff>238913</xdr:colOff>
      <xdr:row>34</xdr:row>
      <xdr:rowOff>123825</xdr:rowOff>
    </xdr:to>
    <xdr:grpSp>
      <xdr:nvGrpSpPr>
        <xdr:cNvPr id="159" name="Group 158">
          <a:extLst>
            <a:ext uri="{FF2B5EF4-FFF2-40B4-BE49-F238E27FC236}">
              <a16:creationId xmlns:a16="http://schemas.microsoft.com/office/drawing/2014/main" id="{E5DB7BE0-1781-E4C9-FD87-CB6C3A7E7F94}"/>
            </a:ext>
          </a:extLst>
        </xdr:cNvPr>
        <xdr:cNvGrpSpPr/>
      </xdr:nvGrpSpPr>
      <xdr:grpSpPr>
        <a:xfrm>
          <a:off x="15944760" y="5753100"/>
          <a:ext cx="1842565" cy="847725"/>
          <a:chOff x="17053477" y="5753100"/>
          <a:chExt cx="1865953" cy="847725"/>
        </a:xfrm>
      </xdr:grpSpPr>
      <xdr:sp macro="" textlink="">
        <xdr:nvSpPr>
          <xdr:cNvPr id="58" name="Rectangle 57">
            <a:extLst>
              <a:ext uri="{FF2B5EF4-FFF2-40B4-BE49-F238E27FC236}">
                <a16:creationId xmlns:a16="http://schemas.microsoft.com/office/drawing/2014/main" id="{037B1CC1-902C-40E8-A8C5-06863B476905}"/>
              </a:ext>
            </a:extLst>
          </xdr:cNvPr>
          <xdr:cNvSpPr/>
        </xdr:nvSpPr>
        <xdr:spPr>
          <a:xfrm>
            <a:off x="17237765" y="59340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59" name="Rectangle 58">
            <a:extLst>
              <a:ext uri="{FF2B5EF4-FFF2-40B4-BE49-F238E27FC236}">
                <a16:creationId xmlns:a16="http://schemas.microsoft.com/office/drawing/2014/main" id="{D800CB26-4CB1-4FC2-8F77-C06407EFA6D5}"/>
              </a:ext>
            </a:extLst>
          </xdr:cNvPr>
          <xdr:cNvSpPr/>
        </xdr:nvSpPr>
        <xdr:spPr>
          <a:xfrm>
            <a:off x="17148727" y="5838825"/>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0" name="Rectangle 59">
            <a:extLst>
              <a:ext uri="{FF2B5EF4-FFF2-40B4-BE49-F238E27FC236}">
                <a16:creationId xmlns:a16="http://schemas.microsoft.com/office/drawing/2014/main" id="{9F93D83E-862A-4FC0-9FB1-820C82248210}"/>
              </a:ext>
            </a:extLst>
          </xdr:cNvPr>
          <xdr:cNvSpPr/>
        </xdr:nvSpPr>
        <xdr:spPr>
          <a:xfrm>
            <a:off x="17053477" y="575310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Post-separation MMS other than drylot, solid storage and direct application</a:t>
            </a:r>
          </a:p>
        </xdr:txBody>
      </xdr:sp>
    </xdr:grpSp>
    <xdr:clientData/>
  </xdr:twoCellAnchor>
  <xdr:twoCellAnchor>
    <xdr:from>
      <xdr:col>5</xdr:col>
      <xdr:colOff>322241</xdr:colOff>
      <xdr:row>42</xdr:row>
      <xdr:rowOff>87085</xdr:rowOff>
    </xdr:from>
    <xdr:to>
      <xdr:col>8</xdr:col>
      <xdr:colOff>168481</xdr:colOff>
      <xdr:row>45</xdr:row>
      <xdr:rowOff>182335</xdr:rowOff>
    </xdr:to>
    <xdr:sp macro="" textlink="">
      <xdr:nvSpPr>
        <xdr:cNvPr id="66" name="Rectangle 65">
          <a:extLst>
            <a:ext uri="{FF2B5EF4-FFF2-40B4-BE49-F238E27FC236}">
              <a16:creationId xmlns:a16="http://schemas.microsoft.com/office/drawing/2014/main" id="{63804E4D-FBA5-4C0F-B139-B4B57958331B}"/>
            </a:ext>
          </a:extLst>
        </xdr:cNvPr>
        <xdr:cNvSpPr/>
      </xdr:nvSpPr>
      <xdr:spPr>
        <a:xfrm>
          <a:off x="3352923" y="808808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8</xdr:col>
      <xdr:colOff>515463</xdr:colOff>
      <xdr:row>42</xdr:row>
      <xdr:rowOff>96610</xdr:rowOff>
    </xdr:from>
    <xdr:to>
      <xdr:col>11</xdr:col>
      <xdr:colOff>542677</xdr:colOff>
      <xdr:row>46</xdr:row>
      <xdr:rowOff>182335</xdr:rowOff>
    </xdr:to>
    <xdr:grpSp>
      <xdr:nvGrpSpPr>
        <xdr:cNvPr id="82" name="Group 81">
          <a:extLst>
            <a:ext uri="{FF2B5EF4-FFF2-40B4-BE49-F238E27FC236}">
              <a16:creationId xmlns:a16="http://schemas.microsoft.com/office/drawing/2014/main" id="{0CABBD72-BDDD-48EA-D8EE-BBFF17B392CF}"/>
            </a:ext>
          </a:extLst>
        </xdr:cNvPr>
        <xdr:cNvGrpSpPr/>
      </xdr:nvGrpSpPr>
      <xdr:grpSpPr>
        <a:xfrm>
          <a:off x="5356404" y="8097610"/>
          <a:ext cx="1842567" cy="847725"/>
          <a:chOff x="10429047" y="6886575"/>
          <a:chExt cx="1865953" cy="847725"/>
        </a:xfrm>
      </xdr:grpSpPr>
      <xdr:sp macro="" textlink="">
        <xdr:nvSpPr>
          <xdr:cNvPr id="67" name="Rectangle 66">
            <a:extLst>
              <a:ext uri="{FF2B5EF4-FFF2-40B4-BE49-F238E27FC236}">
                <a16:creationId xmlns:a16="http://schemas.microsoft.com/office/drawing/2014/main" id="{19458877-B5DA-4515-AA9A-5BE49E2DAB55}"/>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8" name="Rectangle 67">
            <a:extLst>
              <a:ext uri="{FF2B5EF4-FFF2-40B4-BE49-F238E27FC236}">
                <a16:creationId xmlns:a16="http://schemas.microsoft.com/office/drawing/2014/main" id="{3145BB3D-BCE8-4F50-A24A-459D8E697C50}"/>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69" name="Rectangle 68">
            <a:extLst>
              <a:ext uri="{FF2B5EF4-FFF2-40B4-BE49-F238E27FC236}">
                <a16:creationId xmlns:a16="http://schemas.microsoft.com/office/drawing/2014/main" id="{7E869BB8-971A-4CF3-B1D0-A39727193385}"/>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4</xdr:col>
      <xdr:colOff>77094</xdr:colOff>
      <xdr:row>64</xdr:row>
      <xdr:rowOff>106135</xdr:rowOff>
    </xdr:from>
    <xdr:to>
      <xdr:col>6</xdr:col>
      <xdr:colOff>529470</xdr:colOff>
      <xdr:row>68</xdr:row>
      <xdr:rowOff>10885</xdr:rowOff>
    </xdr:to>
    <xdr:sp macro="" textlink="">
      <xdr:nvSpPr>
        <xdr:cNvPr id="70" name="Rectangle 69">
          <a:extLst>
            <a:ext uri="{FF2B5EF4-FFF2-40B4-BE49-F238E27FC236}">
              <a16:creationId xmlns:a16="http://schemas.microsoft.com/office/drawing/2014/main" id="{CF653FE6-1D1B-4ECD-B5C6-8A9159BF714B}"/>
            </a:ext>
          </a:extLst>
        </xdr:cNvPr>
        <xdr:cNvSpPr/>
      </xdr:nvSpPr>
      <xdr:spPr>
        <a:xfrm>
          <a:off x="2501639" y="12298135"/>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6</xdr:col>
      <xdr:colOff>564848</xdr:colOff>
      <xdr:row>64</xdr:row>
      <xdr:rowOff>106135</xdr:rowOff>
    </xdr:from>
    <xdr:to>
      <xdr:col>9</xdr:col>
      <xdr:colOff>418292</xdr:colOff>
      <xdr:row>68</xdr:row>
      <xdr:rowOff>10885</xdr:rowOff>
    </xdr:to>
    <xdr:sp macro="" textlink="">
      <xdr:nvSpPr>
        <xdr:cNvPr id="71" name="Rectangle 70">
          <a:extLst>
            <a:ext uri="{FF2B5EF4-FFF2-40B4-BE49-F238E27FC236}">
              <a16:creationId xmlns:a16="http://schemas.microsoft.com/office/drawing/2014/main" id="{31E1DBE6-6D3A-4F4D-9DD4-1700696F407A}"/>
            </a:ext>
          </a:extLst>
        </xdr:cNvPr>
        <xdr:cNvSpPr/>
      </xdr:nvSpPr>
      <xdr:spPr>
        <a:xfrm>
          <a:off x="420166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10</xdr:col>
      <xdr:colOff>18582</xdr:colOff>
      <xdr:row>64</xdr:row>
      <xdr:rowOff>106135</xdr:rowOff>
    </xdr:from>
    <xdr:to>
      <xdr:col>12</xdr:col>
      <xdr:colOff>478163</xdr:colOff>
      <xdr:row>68</xdr:row>
      <xdr:rowOff>10885</xdr:rowOff>
    </xdr:to>
    <xdr:sp macro="" textlink="">
      <xdr:nvSpPr>
        <xdr:cNvPr id="72" name="Rectangle 71">
          <a:extLst>
            <a:ext uri="{FF2B5EF4-FFF2-40B4-BE49-F238E27FC236}">
              <a16:creationId xmlns:a16="http://schemas.microsoft.com/office/drawing/2014/main" id="{8B6119E0-5DD6-4C66-8735-C440CB3D5AFC}"/>
            </a:ext>
          </a:extLst>
        </xdr:cNvPr>
        <xdr:cNvSpPr/>
      </xdr:nvSpPr>
      <xdr:spPr>
        <a:xfrm>
          <a:off x="6079946" y="12298135"/>
          <a:ext cx="1671853"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14</xdr:col>
      <xdr:colOff>605105</xdr:colOff>
      <xdr:row>42</xdr:row>
      <xdr:rowOff>89807</xdr:rowOff>
    </xdr:from>
    <xdr:to>
      <xdr:col>17</xdr:col>
      <xdr:colOff>451344</xdr:colOff>
      <xdr:row>45</xdr:row>
      <xdr:rowOff>185057</xdr:rowOff>
    </xdr:to>
    <xdr:sp macro="" textlink="">
      <xdr:nvSpPr>
        <xdr:cNvPr id="100" name="Rectangle 99">
          <a:extLst>
            <a:ext uri="{FF2B5EF4-FFF2-40B4-BE49-F238E27FC236}">
              <a16:creationId xmlns:a16="http://schemas.microsoft.com/office/drawing/2014/main" id="{FFF7FD84-ECE9-4ADF-9B93-29F3EBE7E5A6}"/>
            </a:ext>
          </a:extLst>
        </xdr:cNvPr>
        <xdr:cNvSpPr/>
      </xdr:nvSpPr>
      <xdr:spPr>
        <a:xfrm>
          <a:off x="9091014"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18</xdr:col>
      <xdr:colOff>193209</xdr:colOff>
      <xdr:row>42</xdr:row>
      <xdr:rowOff>99332</xdr:rowOff>
    </xdr:from>
    <xdr:to>
      <xdr:col>21</xdr:col>
      <xdr:colOff>220424</xdr:colOff>
      <xdr:row>46</xdr:row>
      <xdr:rowOff>185057</xdr:rowOff>
    </xdr:to>
    <xdr:grpSp>
      <xdr:nvGrpSpPr>
        <xdr:cNvPr id="101" name="Group 100">
          <a:extLst>
            <a:ext uri="{FF2B5EF4-FFF2-40B4-BE49-F238E27FC236}">
              <a16:creationId xmlns:a16="http://schemas.microsoft.com/office/drawing/2014/main" id="{C583650B-B881-4834-9E40-BA7D76C26868}"/>
            </a:ext>
          </a:extLst>
        </xdr:cNvPr>
        <xdr:cNvGrpSpPr/>
      </xdr:nvGrpSpPr>
      <xdr:grpSpPr>
        <a:xfrm>
          <a:off x="11085327" y="8100332"/>
          <a:ext cx="1842568" cy="847725"/>
          <a:chOff x="10429047" y="6886575"/>
          <a:chExt cx="1865953" cy="847725"/>
        </a:xfrm>
      </xdr:grpSpPr>
      <xdr:sp macro="" textlink="">
        <xdr:nvSpPr>
          <xdr:cNvPr id="102" name="Rectangle 101">
            <a:extLst>
              <a:ext uri="{FF2B5EF4-FFF2-40B4-BE49-F238E27FC236}">
                <a16:creationId xmlns:a16="http://schemas.microsoft.com/office/drawing/2014/main" id="{9137B0D6-D26F-5161-AC48-AB285B53DDC1}"/>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3" name="Rectangle 102">
            <a:extLst>
              <a:ext uri="{FF2B5EF4-FFF2-40B4-BE49-F238E27FC236}">
                <a16:creationId xmlns:a16="http://schemas.microsoft.com/office/drawing/2014/main" id="{21B7C412-2083-A72A-7099-55637C0683E6}"/>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04" name="Rectangle 103">
            <a:extLst>
              <a:ext uri="{FF2B5EF4-FFF2-40B4-BE49-F238E27FC236}">
                <a16:creationId xmlns:a16="http://schemas.microsoft.com/office/drawing/2014/main" id="{8CE3C159-7D8E-153A-2366-76A529D5F5B9}"/>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13</xdr:col>
      <xdr:colOff>517859</xdr:colOff>
      <xdr:row>64</xdr:row>
      <xdr:rowOff>108857</xdr:rowOff>
    </xdr:from>
    <xdr:to>
      <xdr:col>16</xdr:col>
      <xdr:colOff>364098</xdr:colOff>
      <xdr:row>68</xdr:row>
      <xdr:rowOff>13607</xdr:rowOff>
    </xdr:to>
    <xdr:sp macro="" textlink="">
      <xdr:nvSpPr>
        <xdr:cNvPr id="105" name="Rectangle 104">
          <a:extLst>
            <a:ext uri="{FF2B5EF4-FFF2-40B4-BE49-F238E27FC236}">
              <a16:creationId xmlns:a16="http://schemas.microsoft.com/office/drawing/2014/main" id="{35BEAF70-5431-447E-9585-3F4B44165081}"/>
            </a:ext>
          </a:extLst>
        </xdr:cNvPr>
        <xdr:cNvSpPr/>
      </xdr:nvSpPr>
      <xdr:spPr>
        <a:xfrm>
          <a:off x="8397632"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16</xdr:col>
      <xdr:colOff>413083</xdr:colOff>
      <xdr:row>64</xdr:row>
      <xdr:rowOff>108857</xdr:rowOff>
    </xdr:from>
    <xdr:to>
      <xdr:col>19</xdr:col>
      <xdr:colOff>259323</xdr:colOff>
      <xdr:row>68</xdr:row>
      <xdr:rowOff>13607</xdr:rowOff>
    </xdr:to>
    <xdr:sp macro="" textlink="">
      <xdr:nvSpPr>
        <xdr:cNvPr id="106" name="Rectangle 105">
          <a:extLst>
            <a:ext uri="{FF2B5EF4-FFF2-40B4-BE49-F238E27FC236}">
              <a16:creationId xmlns:a16="http://schemas.microsoft.com/office/drawing/2014/main" id="{5BACED58-080C-4B5B-A151-4A9D9D17A559}"/>
            </a:ext>
          </a:extLst>
        </xdr:cNvPr>
        <xdr:cNvSpPr/>
      </xdr:nvSpPr>
      <xdr:spPr>
        <a:xfrm>
          <a:off x="10111265"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19</xdr:col>
      <xdr:colOff>336883</xdr:colOff>
      <xdr:row>64</xdr:row>
      <xdr:rowOff>108857</xdr:rowOff>
    </xdr:from>
    <xdr:to>
      <xdr:col>22</xdr:col>
      <xdr:colOff>183124</xdr:colOff>
      <xdr:row>68</xdr:row>
      <xdr:rowOff>13607</xdr:rowOff>
    </xdr:to>
    <xdr:sp macro="" textlink="">
      <xdr:nvSpPr>
        <xdr:cNvPr id="107" name="Rectangle 106">
          <a:extLst>
            <a:ext uri="{FF2B5EF4-FFF2-40B4-BE49-F238E27FC236}">
              <a16:creationId xmlns:a16="http://schemas.microsoft.com/office/drawing/2014/main" id="{0145B2BA-B9AF-4871-9681-01FF187F95D4}"/>
            </a:ext>
          </a:extLst>
        </xdr:cNvPr>
        <xdr:cNvSpPr/>
      </xdr:nvSpPr>
      <xdr:spPr>
        <a:xfrm>
          <a:off x="11853474" y="12300857"/>
          <a:ext cx="1664650"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5</xdr:col>
      <xdr:colOff>303792</xdr:colOff>
      <xdr:row>46</xdr:row>
      <xdr:rowOff>1359</xdr:rowOff>
    </xdr:from>
    <xdr:to>
      <xdr:col>10</xdr:col>
      <xdr:colOff>134506</xdr:colOff>
      <xdr:row>64</xdr:row>
      <xdr:rowOff>106134</xdr:rowOff>
    </xdr:to>
    <xdr:cxnSp macro="">
      <xdr:nvCxnSpPr>
        <xdr:cNvPr id="136" name="Connector: Curved 135">
          <a:extLst>
            <a:ext uri="{FF2B5EF4-FFF2-40B4-BE49-F238E27FC236}">
              <a16:creationId xmlns:a16="http://schemas.microsoft.com/office/drawing/2014/main" id="{DF10D54D-93AC-B2F6-9969-5DD863C44575}"/>
            </a:ext>
          </a:extLst>
        </xdr:cNvPr>
        <xdr:cNvCxnSpPr>
          <a:stCxn id="69" idx="2"/>
          <a:endCxn id="70" idx="0"/>
        </xdr:cNvCxnSpPr>
      </xdr:nvCxnSpPr>
      <xdr:spPr>
        <a:xfrm rot="5400000">
          <a:off x="2998284" y="9100549"/>
          <a:ext cx="3533775" cy="286139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189011</xdr:colOff>
      <xdr:row>46</xdr:row>
      <xdr:rowOff>1359</xdr:rowOff>
    </xdr:from>
    <xdr:to>
      <xdr:col>10</xdr:col>
      <xdr:colOff>134506</xdr:colOff>
      <xdr:row>64</xdr:row>
      <xdr:rowOff>106134</xdr:rowOff>
    </xdr:to>
    <xdr:cxnSp macro="">
      <xdr:nvCxnSpPr>
        <xdr:cNvPr id="138" name="Connector: Curved 137">
          <a:extLst>
            <a:ext uri="{FF2B5EF4-FFF2-40B4-BE49-F238E27FC236}">
              <a16:creationId xmlns:a16="http://schemas.microsoft.com/office/drawing/2014/main" id="{A22E335A-AA27-6AD6-1D46-A0EEF2EC9603}"/>
            </a:ext>
          </a:extLst>
        </xdr:cNvPr>
        <xdr:cNvCxnSpPr>
          <a:stCxn id="69" idx="2"/>
          <a:endCxn id="71" idx="0"/>
        </xdr:cNvCxnSpPr>
      </xdr:nvCxnSpPr>
      <xdr:spPr>
        <a:xfrm rot="5400000">
          <a:off x="3850098" y="9952363"/>
          <a:ext cx="3533775" cy="115776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10</xdr:col>
      <xdr:colOff>134506</xdr:colOff>
      <xdr:row>46</xdr:row>
      <xdr:rowOff>1359</xdr:rowOff>
    </xdr:from>
    <xdr:to>
      <xdr:col>11</xdr:col>
      <xdr:colOff>248882</xdr:colOff>
      <xdr:row>64</xdr:row>
      <xdr:rowOff>106134</xdr:rowOff>
    </xdr:to>
    <xdr:cxnSp macro="">
      <xdr:nvCxnSpPr>
        <xdr:cNvPr id="140" name="Connector: Curved 139">
          <a:extLst>
            <a:ext uri="{FF2B5EF4-FFF2-40B4-BE49-F238E27FC236}">
              <a16:creationId xmlns:a16="http://schemas.microsoft.com/office/drawing/2014/main" id="{E02680C8-40F9-16F3-27E3-0FCFE30F080A}"/>
            </a:ext>
          </a:extLst>
        </xdr:cNvPr>
        <xdr:cNvCxnSpPr>
          <a:stCxn id="69" idx="2"/>
          <a:endCxn id="72" idx="0"/>
        </xdr:cNvCxnSpPr>
      </xdr:nvCxnSpPr>
      <xdr:spPr>
        <a:xfrm rot="16200000" flipH="1">
          <a:off x="4789238" y="10170991"/>
          <a:ext cx="3533775" cy="72051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303791</xdr:colOff>
      <xdr:row>45</xdr:row>
      <xdr:rowOff>182336</xdr:rowOff>
    </xdr:from>
    <xdr:to>
      <xdr:col>6</xdr:col>
      <xdr:colOff>547921</xdr:colOff>
      <xdr:row>64</xdr:row>
      <xdr:rowOff>106136</xdr:rowOff>
    </xdr:to>
    <xdr:cxnSp macro="">
      <xdr:nvCxnSpPr>
        <xdr:cNvPr id="142" name="Connector: Curved 141">
          <a:extLst>
            <a:ext uri="{FF2B5EF4-FFF2-40B4-BE49-F238E27FC236}">
              <a16:creationId xmlns:a16="http://schemas.microsoft.com/office/drawing/2014/main" id="{85CDB803-8436-6016-41D7-72B6DDDA84CB}"/>
            </a:ext>
          </a:extLst>
        </xdr:cNvPr>
        <xdr:cNvCxnSpPr>
          <a:stCxn id="66" idx="2"/>
          <a:endCxn id="70" idx="0"/>
        </xdr:cNvCxnSpPr>
      </xdr:nvCxnSpPr>
      <xdr:spPr>
        <a:xfrm rot="5400000">
          <a:off x="1987956" y="10101353"/>
          <a:ext cx="3543300" cy="85026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551819</xdr:colOff>
      <xdr:row>33</xdr:row>
      <xdr:rowOff>152399</xdr:rowOff>
    </xdr:from>
    <xdr:to>
      <xdr:col>8</xdr:col>
      <xdr:colOff>155259</xdr:colOff>
      <xdr:row>42</xdr:row>
      <xdr:rowOff>87084</xdr:rowOff>
    </xdr:to>
    <xdr:cxnSp macro="">
      <xdr:nvCxnSpPr>
        <xdr:cNvPr id="144" name="Connector: Curved 143">
          <a:extLst>
            <a:ext uri="{FF2B5EF4-FFF2-40B4-BE49-F238E27FC236}">
              <a16:creationId xmlns:a16="http://schemas.microsoft.com/office/drawing/2014/main" id="{B01147C2-D518-0F13-B065-BD220289A6B8}"/>
            </a:ext>
          </a:extLst>
        </xdr:cNvPr>
        <xdr:cNvCxnSpPr>
          <a:stCxn id="57" idx="2"/>
          <a:endCxn id="66" idx="0"/>
        </xdr:cNvCxnSpPr>
      </xdr:nvCxnSpPr>
      <xdr:spPr>
        <a:xfrm rot="5400000">
          <a:off x="3771901" y="6855635"/>
          <a:ext cx="1649185" cy="81571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155258</xdr:colOff>
      <xdr:row>33</xdr:row>
      <xdr:rowOff>152400</xdr:rowOff>
    </xdr:from>
    <xdr:to>
      <xdr:col>10</xdr:col>
      <xdr:colOff>137247</xdr:colOff>
      <xdr:row>42</xdr:row>
      <xdr:rowOff>96610</xdr:rowOff>
    </xdr:to>
    <xdr:cxnSp macro="">
      <xdr:nvCxnSpPr>
        <xdr:cNvPr id="146" name="Connector: Curved 145">
          <a:extLst>
            <a:ext uri="{FF2B5EF4-FFF2-40B4-BE49-F238E27FC236}">
              <a16:creationId xmlns:a16="http://schemas.microsoft.com/office/drawing/2014/main" id="{BDBBAD41-C511-4A2E-6FD3-A1267FE06F99}"/>
            </a:ext>
          </a:extLst>
        </xdr:cNvPr>
        <xdr:cNvCxnSpPr>
          <a:stCxn id="57" idx="2"/>
          <a:endCxn id="69" idx="0"/>
        </xdr:cNvCxnSpPr>
      </xdr:nvCxnSpPr>
      <xdr:spPr>
        <a:xfrm rot="16200000" flipH="1">
          <a:off x="4772125" y="6671124"/>
          <a:ext cx="1658710" cy="119426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16</xdr:col>
      <xdr:colOff>225666</xdr:colOff>
      <xdr:row>33</xdr:row>
      <xdr:rowOff>142876</xdr:rowOff>
    </xdr:from>
    <xdr:to>
      <xdr:col>18</xdr:col>
      <xdr:colOff>111830</xdr:colOff>
      <xdr:row>42</xdr:row>
      <xdr:rowOff>89808</xdr:rowOff>
    </xdr:to>
    <xdr:cxnSp macro="">
      <xdr:nvCxnSpPr>
        <xdr:cNvPr id="148" name="Connector: Curved 147">
          <a:extLst>
            <a:ext uri="{FF2B5EF4-FFF2-40B4-BE49-F238E27FC236}">
              <a16:creationId xmlns:a16="http://schemas.microsoft.com/office/drawing/2014/main" id="{70B585E8-1B3E-1C5E-CF9F-17B461FC5295}"/>
            </a:ext>
          </a:extLst>
        </xdr:cNvPr>
        <xdr:cNvCxnSpPr>
          <a:stCxn id="9" idx="2"/>
          <a:endCxn id="100" idx="0"/>
        </xdr:cNvCxnSpPr>
      </xdr:nvCxnSpPr>
      <xdr:spPr>
        <a:xfrm rot="5400000">
          <a:off x="9642351" y="6710873"/>
          <a:ext cx="1661432" cy="109843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33</xdr:row>
      <xdr:rowOff>142874</xdr:rowOff>
    </xdr:from>
    <xdr:to>
      <xdr:col>19</xdr:col>
      <xdr:colOff>418387</xdr:colOff>
      <xdr:row>42</xdr:row>
      <xdr:rowOff>99331</xdr:rowOff>
    </xdr:to>
    <xdr:cxnSp macro="">
      <xdr:nvCxnSpPr>
        <xdr:cNvPr id="150" name="Connector: Curved 149">
          <a:extLst>
            <a:ext uri="{FF2B5EF4-FFF2-40B4-BE49-F238E27FC236}">
              <a16:creationId xmlns:a16="http://schemas.microsoft.com/office/drawing/2014/main" id="{FFB16431-CAEF-A99D-B71C-36E7540367B2}"/>
            </a:ext>
          </a:extLst>
        </xdr:cNvPr>
        <xdr:cNvCxnSpPr>
          <a:stCxn id="9" idx="2"/>
          <a:endCxn id="104" idx="0"/>
        </xdr:cNvCxnSpPr>
      </xdr:nvCxnSpPr>
      <xdr:spPr>
        <a:xfrm rot="16200000" flipH="1">
          <a:off x="10643153" y="6808507"/>
          <a:ext cx="1670957" cy="91269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137401</xdr:colOff>
      <xdr:row>45</xdr:row>
      <xdr:rowOff>185057</xdr:rowOff>
    </xdr:from>
    <xdr:to>
      <xdr:col>16</xdr:col>
      <xdr:colOff>225666</xdr:colOff>
      <xdr:row>64</xdr:row>
      <xdr:rowOff>108857</xdr:rowOff>
    </xdr:to>
    <xdr:cxnSp macro="">
      <xdr:nvCxnSpPr>
        <xdr:cNvPr id="152" name="Connector: Curved 151">
          <a:extLst>
            <a:ext uri="{FF2B5EF4-FFF2-40B4-BE49-F238E27FC236}">
              <a16:creationId xmlns:a16="http://schemas.microsoft.com/office/drawing/2014/main" id="{FC73A1D7-A0BE-59F8-2288-3BCD19BEA8E2}"/>
            </a:ext>
          </a:extLst>
        </xdr:cNvPr>
        <xdr:cNvCxnSpPr>
          <a:stCxn id="100" idx="2"/>
          <a:endCxn id="105" idx="0"/>
        </xdr:cNvCxnSpPr>
      </xdr:nvCxnSpPr>
      <xdr:spPr>
        <a:xfrm rot="5400000">
          <a:off x="7804997" y="10182006"/>
          <a:ext cx="3543300" cy="694402"/>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137402</xdr:colOff>
      <xdr:row>46</xdr:row>
      <xdr:rowOff>4082</xdr:rowOff>
    </xdr:from>
    <xdr:to>
      <xdr:col>19</xdr:col>
      <xdr:colOff>418387</xdr:colOff>
      <xdr:row>64</xdr:row>
      <xdr:rowOff>108857</xdr:rowOff>
    </xdr:to>
    <xdr:cxnSp macro="">
      <xdr:nvCxnSpPr>
        <xdr:cNvPr id="154" name="Connector: Curved 153">
          <a:extLst>
            <a:ext uri="{FF2B5EF4-FFF2-40B4-BE49-F238E27FC236}">
              <a16:creationId xmlns:a16="http://schemas.microsoft.com/office/drawing/2014/main" id="{B0CB104D-FA41-BE93-58A0-E901C5774354}"/>
            </a:ext>
          </a:extLst>
        </xdr:cNvPr>
        <xdr:cNvCxnSpPr>
          <a:stCxn id="104" idx="2"/>
          <a:endCxn id="105" idx="0"/>
        </xdr:cNvCxnSpPr>
      </xdr:nvCxnSpPr>
      <xdr:spPr>
        <a:xfrm rot="5400000">
          <a:off x="8815325" y="9181204"/>
          <a:ext cx="3533775" cy="270553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32626</xdr:colOff>
      <xdr:row>46</xdr:row>
      <xdr:rowOff>4082</xdr:rowOff>
    </xdr:from>
    <xdr:to>
      <xdr:col>19</xdr:col>
      <xdr:colOff>418387</xdr:colOff>
      <xdr:row>64</xdr:row>
      <xdr:rowOff>108857</xdr:rowOff>
    </xdr:to>
    <xdr:cxnSp macro="">
      <xdr:nvCxnSpPr>
        <xdr:cNvPr id="156" name="Connector: Curved 155">
          <a:extLst>
            <a:ext uri="{FF2B5EF4-FFF2-40B4-BE49-F238E27FC236}">
              <a16:creationId xmlns:a16="http://schemas.microsoft.com/office/drawing/2014/main" id="{08BD7B56-FA9D-317E-6C79-5849F06A2CBB}"/>
            </a:ext>
          </a:extLst>
        </xdr:cNvPr>
        <xdr:cNvCxnSpPr>
          <a:stCxn id="104" idx="2"/>
          <a:endCxn id="106" idx="0"/>
        </xdr:cNvCxnSpPr>
      </xdr:nvCxnSpPr>
      <xdr:spPr>
        <a:xfrm rot="5400000">
          <a:off x="9672142" y="10038021"/>
          <a:ext cx="3533775" cy="99189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19</xdr:col>
      <xdr:colOff>418387</xdr:colOff>
      <xdr:row>46</xdr:row>
      <xdr:rowOff>4081</xdr:rowOff>
    </xdr:from>
    <xdr:to>
      <xdr:col>20</xdr:col>
      <xdr:colOff>562565</xdr:colOff>
      <xdr:row>64</xdr:row>
      <xdr:rowOff>108856</xdr:rowOff>
    </xdr:to>
    <xdr:cxnSp macro="">
      <xdr:nvCxnSpPr>
        <xdr:cNvPr id="158" name="Connector: Curved 157">
          <a:extLst>
            <a:ext uri="{FF2B5EF4-FFF2-40B4-BE49-F238E27FC236}">
              <a16:creationId xmlns:a16="http://schemas.microsoft.com/office/drawing/2014/main" id="{C9B99A15-F40E-1443-4CA5-A51146E9F750}"/>
            </a:ext>
          </a:extLst>
        </xdr:cNvPr>
        <xdr:cNvCxnSpPr>
          <a:stCxn id="104" idx="2"/>
          <a:endCxn id="107" idx="0"/>
        </xdr:cNvCxnSpPr>
      </xdr:nvCxnSpPr>
      <xdr:spPr>
        <a:xfrm rot="16200000" flipH="1">
          <a:off x="10543247" y="10158812"/>
          <a:ext cx="3533775" cy="75031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24</xdr:col>
      <xdr:colOff>418644</xdr:colOff>
      <xdr:row>42</xdr:row>
      <xdr:rowOff>89807</xdr:rowOff>
    </xdr:from>
    <xdr:to>
      <xdr:col>27</xdr:col>
      <xdr:colOff>264883</xdr:colOff>
      <xdr:row>45</xdr:row>
      <xdr:rowOff>185057</xdr:rowOff>
    </xdr:to>
    <xdr:sp macro="" textlink="">
      <xdr:nvSpPr>
        <xdr:cNvPr id="160" name="Rectangle 159">
          <a:extLst>
            <a:ext uri="{FF2B5EF4-FFF2-40B4-BE49-F238E27FC236}">
              <a16:creationId xmlns:a16="http://schemas.microsoft.com/office/drawing/2014/main" id="{6D7FFEB1-2A2C-4531-A003-C3AF5311D0FB}"/>
            </a:ext>
          </a:extLst>
        </xdr:cNvPr>
        <xdr:cNvSpPr/>
      </xdr:nvSpPr>
      <xdr:spPr>
        <a:xfrm>
          <a:off x="14965917" y="809080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28</xdr:col>
      <xdr:colOff>5729</xdr:colOff>
      <xdr:row>42</xdr:row>
      <xdr:rowOff>99332</xdr:rowOff>
    </xdr:from>
    <xdr:to>
      <xdr:col>31</xdr:col>
      <xdr:colOff>32943</xdr:colOff>
      <xdr:row>46</xdr:row>
      <xdr:rowOff>185057</xdr:rowOff>
    </xdr:to>
    <xdr:grpSp>
      <xdr:nvGrpSpPr>
        <xdr:cNvPr id="161" name="Group 160">
          <a:extLst>
            <a:ext uri="{FF2B5EF4-FFF2-40B4-BE49-F238E27FC236}">
              <a16:creationId xmlns:a16="http://schemas.microsoft.com/office/drawing/2014/main" id="{C3310F98-1B80-4337-AF03-9F2E9A78E0E4}"/>
            </a:ext>
          </a:extLst>
        </xdr:cNvPr>
        <xdr:cNvGrpSpPr/>
      </xdr:nvGrpSpPr>
      <xdr:grpSpPr>
        <a:xfrm>
          <a:off x="16949023" y="8100332"/>
          <a:ext cx="1842567" cy="847725"/>
          <a:chOff x="10429047" y="6886575"/>
          <a:chExt cx="1865953" cy="847725"/>
        </a:xfrm>
      </xdr:grpSpPr>
      <xdr:sp macro="" textlink="">
        <xdr:nvSpPr>
          <xdr:cNvPr id="162" name="Rectangle 161">
            <a:extLst>
              <a:ext uri="{FF2B5EF4-FFF2-40B4-BE49-F238E27FC236}">
                <a16:creationId xmlns:a16="http://schemas.microsoft.com/office/drawing/2014/main" id="{F6B07250-D667-369E-CF47-58BAB48008C6}"/>
              </a:ext>
            </a:extLst>
          </xdr:cNvPr>
          <xdr:cNvSpPr/>
        </xdr:nvSpPr>
        <xdr:spPr>
          <a:xfrm>
            <a:off x="10610022" y="7067550"/>
            <a:ext cx="168497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3" name="Rectangle 162">
            <a:extLst>
              <a:ext uri="{FF2B5EF4-FFF2-40B4-BE49-F238E27FC236}">
                <a16:creationId xmlns:a16="http://schemas.microsoft.com/office/drawing/2014/main" id="{D29BFAAC-4B4A-351F-804F-BA9A5365542D}"/>
              </a:ext>
            </a:extLst>
          </xdr:cNvPr>
          <xdr:cNvSpPr/>
        </xdr:nvSpPr>
        <xdr:spPr>
          <a:xfrm>
            <a:off x="10524297" y="6972300"/>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200"/>
              <a:t>MMS other than drylot, solid storage and direct application</a:t>
            </a:r>
          </a:p>
        </xdr:txBody>
      </xdr:sp>
      <xdr:sp macro="" textlink="">
        <xdr:nvSpPr>
          <xdr:cNvPr id="164" name="Rectangle 163">
            <a:extLst>
              <a:ext uri="{FF2B5EF4-FFF2-40B4-BE49-F238E27FC236}">
                <a16:creationId xmlns:a16="http://schemas.microsoft.com/office/drawing/2014/main" id="{C456E7FE-3DE5-43D9-C602-8B068ECD0D7B}"/>
              </a:ext>
            </a:extLst>
          </xdr:cNvPr>
          <xdr:cNvSpPr/>
        </xdr:nvSpPr>
        <xdr:spPr>
          <a:xfrm>
            <a:off x="10429047" y="6886575"/>
            <a:ext cx="1681665"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050"/>
              <a:t>Stage 2 MMS other than drylot, solid storage and direct application</a:t>
            </a:r>
          </a:p>
        </xdr:txBody>
      </xdr:sp>
    </xdr:grpSp>
    <xdr:clientData/>
  </xdr:twoCellAnchor>
  <xdr:twoCellAnchor>
    <xdr:from>
      <xdr:col>26</xdr:col>
      <xdr:colOff>38187</xdr:colOff>
      <xdr:row>33</xdr:row>
      <xdr:rowOff>133350</xdr:rowOff>
    </xdr:from>
    <xdr:to>
      <xdr:col>27</xdr:col>
      <xdr:colOff>438513</xdr:colOff>
      <xdr:row>42</xdr:row>
      <xdr:rowOff>89807</xdr:rowOff>
    </xdr:to>
    <xdr:cxnSp macro="">
      <xdr:nvCxnSpPr>
        <xdr:cNvPr id="166" name="Connector: Curved 165">
          <a:extLst>
            <a:ext uri="{FF2B5EF4-FFF2-40B4-BE49-F238E27FC236}">
              <a16:creationId xmlns:a16="http://schemas.microsoft.com/office/drawing/2014/main" id="{24B2C90B-04CD-A5F7-03C6-C1D792689163}"/>
            </a:ext>
          </a:extLst>
        </xdr:cNvPr>
        <xdr:cNvCxnSpPr>
          <a:stCxn id="60" idx="2"/>
          <a:endCxn id="160" idx="0"/>
        </xdr:cNvCxnSpPr>
      </xdr:nvCxnSpPr>
      <xdr:spPr>
        <a:xfrm rot="5400000">
          <a:off x="15465485" y="6752097"/>
          <a:ext cx="1670957" cy="100646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33</xdr:row>
      <xdr:rowOff>133350</xdr:rowOff>
    </xdr:from>
    <xdr:to>
      <xdr:col>29</xdr:col>
      <xdr:colOff>231925</xdr:colOff>
      <xdr:row>42</xdr:row>
      <xdr:rowOff>99332</xdr:rowOff>
    </xdr:to>
    <xdr:cxnSp macro="">
      <xdr:nvCxnSpPr>
        <xdr:cNvPr id="168" name="Connector: Curved 167">
          <a:extLst>
            <a:ext uri="{FF2B5EF4-FFF2-40B4-BE49-F238E27FC236}">
              <a16:creationId xmlns:a16="http://schemas.microsoft.com/office/drawing/2014/main" id="{5C17948D-8AA2-6143-80C4-C7DACC5B257B}"/>
            </a:ext>
          </a:extLst>
        </xdr:cNvPr>
        <xdr:cNvCxnSpPr>
          <a:stCxn id="60" idx="2"/>
          <a:endCxn id="164" idx="0"/>
        </xdr:cNvCxnSpPr>
      </xdr:nvCxnSpPr>
      <xdr:spPr>
        <a:xfrm rot="16200000" flipH="1">
          <a:off x="16466796" y="6757248"/>
          <a:ext cx="1680482" cy="100568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23</xdr:col>
      <xdr:colOff>407405</xdr:colOff>
      <xdr:row>64</xdr:row>
      <xdr:rowOff>108857</xdr:rowOff>
    </xdr:from>
    <xdr:to>
      <xdr:col>26</xdr:col>
      <xdr:colOff>253644</xdr:colOff>
      <xdr:row>68</xdr:row>
      <xdr:rowOff>13607</xdr:rowOff>
    </xdr:to>
    <xdr:sp macro="" textlink="">
      <xdr:nvSpPr>
        <xdr:cNvPr id="171" name="Rectangle 170">
          <a:extLst>
            <a:ext uri="{FF2B5EF4-FFF2-40B4-BE49-F238E27FC236}">
              <a16:creationId xmlns:a16="http://schemas.microsoft.com/office/drawing/2014/main" id="{FFD8D024-7C6D-43D1-9FCC-205470DF3E77}"/>
            </a:ext>
          </a:extLst>
        </xdr:cNvPr>
        <xdr:cNvSpPr/>
      </xdr:nvSpPr>
      <xdr:spPr>
        <a:xfrm>
          <a:off x="14348541" y="12300857"/>
          <a:ext cx="1664648"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Direct application</a:t>
          </a:r>
        </a:p>
      </xdr:txBody>
    </xdr:sp>
    <xdr:clientData/>
  </xdr:twoCellAnchor>
  <xdr:twoCellAnchor>
    <xdr:from>
      <xdr:col>26</xdr:col>
      <xdr:colOff>302629</xdr:colOff>
      <xdr:row>64</xdr:row>
      <xdr:rowOff>108857</xdr:rowOff>
    </xdr:from>
    <xdr:to>
      <xdr:col>29</xdr:col>
      <xdr:colOff>148868</xdr:colOff>
      <xdr:row>68</xdr:row>
      <xdr:rowOff>13607</xdr:rowOff>
    </xdr:to>
    <xdr:sp macro="" textlink="">
      <xdr:nvSpPr>
        <xdr:cNvPr id="172" name="Rectangle 171">
          <a:extLst>
            <a:ext uri="{FF2B5EF4-FFF2-40B4-BE49-F238E27FC236}">
              <a16:creationId xmlns:a16="http://schemas.microsoft.com/office/drawing/2014/main" id="{97805077-F399-47B7-883E-DB4F1DABA297}"/>
            </a:ext>
          </a:extLst>
        </xdr:cNvPr>
        <xdr:cNvSpPr/>
      </xdr:nvSpPr>
      <xdr:spPr>
        <a:xfrm>
          <a:off x="16062174" y="12300857"/>
          <a:ext cx="1664649"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Used as fertiliser on own farm</a:t>
          </a:r>
        </a:p>
      </xdr:txBody>
    </xdr:sp>
    <xdr:clientData/>
  </xdr:twoCellAnchor>
  <xdr:twoCellAnchor>
    <xdr:from>
      <xdr:col>29</xdr:col>
      <xdr:colOff>226428</xdr:colOff>
      <xdr:row>64</xdr:row>
      <xdr:rowOff>108857</xdr:rowOff>
    </xdr:from>
    <xdr:to>
      <xdr:col>32</xdr:col>
      <xdr:colOff>71650</xdr:colOff>
      <xdr:row>68</xdr:row>
      <xdr:rowOff>13607</xdr:rowOff>
    </xdr:to>
    <xdr:sp macro="" textlink="">
      <xdr:nvSpPr>
        <xdr:cNvPr id="173" name="Rectangle 172">
          <a:extLst>
            <a:ext uri="{FF2B5EF4-FFF2-40B4-BE49-F238E27FC236}">
              <a16:creationId xmlns:a16="http://schemas.microsoft.com/office/drawing/2014/main" id="{BE49D3FE-F521-48D2-A39F-2EF67F6E845C}"/>
            </a:ext>
          </a:extLst>
        </xdr:cNvPr>
        <xdr:cNvSpPr/>
      </xdr:nvSpPr>
      <xdr:spPr>
        <a:xfrm>
          <a:off x="17804383" y="12300857"/>
          <a:ext cx="1663631" cy="666750"/>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Sold</a:t>
          </a:r>
        </a:p>
      </xdr:txBody>
    </xdr:sp>
    <xdr:clientData/>
  </xdr:twoCellAnchor>
  <xdr:twoCellAnchor>
    <xdr:from>
      <xdr:col>25</xdr:col>
      <xdr:colOff>26946</xdr:colOff>
      <xdr:row>45</xdr:row>
      <xdr:rowOff>185057</xdr:rowOff>
    </xdr:from>
    <xdr:to>
      <xdr:col>26</xdr:col>
      <xdr:colOff>38186</xdr:colOff>
      <xdr:row>64</xdr:row>
      <xdr:rowOff>108857</xdr:rowOff>
    </xdr:to>
    <xdr:cxnSp macro="">
      <xdr:nvCxnSpPr>
        <xdr:cNvPr id="175" name="Connector: Curved 174">
          <a:extLst>
            <a:ext uri="{FF2B5EF4-FFF2-40B4-BE49-F238E27FC236}">
              <a16:creationId xmlns:a16="http://schemas.microsoft.com/office/drawing/2014/main" id="{846BD5C4-1855-CFCE-7DC0-3934C4ACB587}"/>
            </a:ext>
          </a:extLst>
        </xdr:cNvPr>
        <xdr:cNvCxnSpPr>
          <a:stCxn id="160" idx="2"/>
          <a:endCxn id="171" idx="0"/>
        </xdr:cNvCxnSpPr>
      </xdr:nvCxnSpPr>
      <xdr:spPr>
        <a:xfrm rot="5400000">
          <a:off x="13717393" y="10220519"/>
          <a:ext cx="3543300" cy="617376"/>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26947</xdr:colOff>
      <xdr:row>46</xdr:row>
      <xdr:rowOff>4082</xdr:rowOff>
    </xdr:from>
    <xdr:to>
      <xdr:col>29</xdr:col>
      <xdr:colOff>231926</xdr:colOff>
      <xdr:row>64</xdr:row>
      <xdr:rowOff>108857</xdr:rowOff>
    </xdr:to>
    <xdr:cxnSp macro="">
      <xdr:nvCxnSpPr>
        <xdr:cNvPr id="177" name="Connector: Curved 176">
          <a:extLst>
            <a:ext uri="{FF2B5EF4-FFF2-40B4-BE49-F238E27FC236}">
              <a16:creationId xmlns:a16="http://schemas.microsoft.com/office/drawing/2014/main" id="{8D8AAA03-FD79-B77D-C528-0AC63263A3F6}"/>
            </a:ext>
          </a:extLst>
        </xdr:cNvPr>
        <xdr:cNvCxnSpPr>
          <a:stCxn id="164" idx="2"/>
          <a:endCxn id="171" idx="0"/>
        </xdr:cNvCxnSpPr>
      </xdr:nvCxnSpPr>
      <xdr:spPr>
        <a:xfrm rot="5400000">
          <a:off x="14728231" y="9219207"/>
          <a:ext cx="3533775" cy="262952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528308</xdr:colOff>
      <xdr:row>46</xdr:row>
      <xdr:rowOff>4082</xdr:rowOff>
    </xdr:from>
    <xdr:to>
      <xdr:col>29</xdr:col>
      <xdr:colOff>231926</xdr:colOff>
      <xdr:row>64</xdr:row>
      <xdr:rowOff>108857</xdr:rowOff>
    </xdr:to>
    <xdr:cxnSp macro="">
      <xdr:nvCxnSpPr>
        <xdr:cNvPr id="179" name="Connector: Curved 178">
          <a:extLst>
            <a:ext uri="{FF2B5EF4-FFF2-40B4-BE49-F238E27FC236}">
              <a16:creationId xmlns:a16="http://schemas.microsoft.com/office/drawing/2014/main" id="{E326E2BE-9D0F-6FB3-43A9-0C8DDA7952EA}"/>
            </a:ext>
          </a:extLst>
        </xdr:cNvPr>
        <xdr:cNvCxnSpPr>
          <a:stCxn id="164" idx="2"/>
          <a:endCxn id="172" idx="0"/>
        </xdr:cNvCxnSpPr>
      </xdr:nvCxnSpPr>
      <xdr:spPr>
        <a:xfrm rot="5400000">
          <a:off x="15585048" y="10076024"/>
          <a:ext cx="3533775" cy="91589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29</xdr:col>
      <xdr:colOff>231926</xdr:colOff>
      <xdr:row>46</xdr:row>
      <xdr:rowOff>4081</xdr:rowOff>
    </xdr:from>
    <xdr:to>
      <xdr:col>30</xdr:col>
      <xdr:colOff>452108</xdr:colOff>
      <xdr:row>64</xdr:row>
      <xdr:rowOff>108856</xdr:rowOff>
    </xdr:to>
    <xdr:cxnSp macro="">
      <xdr:nvCxnSpPr>
        <xdr:cNvPr id="181" name="Connector: Curved 180">
          <a:extLst>
            <a:ext uri="{FF2B5EF4-FFF2-40B4-BE49-F238E27FC236}">
              <a16:creationId xmlns:a16="http://schemas.microsoft.com/office/drawing/2014/main" id="{8409A171-DECC-A5AC-A92C-EB0B66B1E896}"/>
            </a:ext>
          </a:extLst>
        </xdr:cNvPr>
        <xdr:cNvCxnSpPr>
          <a:stCxn id="164" idx="2"/>
          <a:endCxn id="173" idx="0"/>
        </xdr:cNvCxnSpPr>
      </xdr:nvCxnSpPr>
      <xdr:spPr>
        <a:xfrm rot="16200000" flipH="1">
          <a:off x="16456152" y="10120810"/>
          <a:ext cx="3533775" cy="82631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19</xdr:row>
      <xdr:rowOff>66674</xdr:rowOff>
    </xdr:from>
    <xdr:to>
      <xdr:col>8</xdr:col>
      <xdr:colOff>159155</xdr:colOff>
      <xdr:row>30</xdr:row>
      <xdr:rowOff>57149</xdr:rowOff>
    </xdr:to>
    <xdr:cxnSp macro="">
      <xdr:nvCxnSpPr>
        <xdr:cNvPr id="196" name="Connector: Curved 195">
          <a:extLst>
            <a:ext uri="{FF2B5EF4-FFF2-40B4-BE49-F238E27FC236}">
              <a16:creationId xmlns:a16="http://schemas.microsoft.com/office/drawing/2014/main" id="{28C5758B-795B-69BB-7F88-C7BD4D099A36}"/>
            </a:ext>
          </a:extLst>
        </xdr:cNvPr>
        <xdr:cNvCxnSpPr>
          <a:stCxn id="3" idx="2"/>
          <a:endCxn id="57" idx="0"/>
        </xdr:cNvCxnSpPr>
      </xdr:nvCxnSpPr>
      <xdr:spPr>
        <a:xfrm rot="16200000" flipH="1">
          <a:off x="3962537" y="4726440"/>
          <a:ext cx="2085975" cy="544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153713</xdr:colOff>
      <xdr:row>19</xdr:row>
      <xdr:rowOff>66674</xdr:rowOff>
    </xdr:from>
    <xdr:to>
      <xdr:col>15</xdr:col>
      <xdr:colOff>421533</xdr:colOff>
      <xdr:row>22</xdr:row>
      <xdr:rowOff>76199</xdr:rowOff>
    </xdr:to>
    <xdr:cxnSp macro="">
      <xdr:nvCxnSpPr>
        <xdr:cNvPr id="198" name="Connector: Curved 197">
          <a:extLst>
            <a:ext uri="{FF2B5EF4-FFF2-40B4-BE49-F238E27FC236}">
              <a16:creationId xmlns:a16="http://schemas.microsoft.com/office/drawing/2014/main" id="{6C7F3DED-56B1-CCDC-BA33-4F9264D790B0}"/>
            </a:ext>
          </a:extLst>
        </xdr:cNvPr>
        <xdr:cNvCxnSpPr>
          <a:stCxn id="3" idx="2"/>
          <a:endCxn id="4" idx="0"/>
        </xdr:cNvCxnSpPr>
      </xdr:nvCxnSpPr>
      <xdr:spPr>
        <a:xfrm rot="16200000" flipH="1">
          <a:off x="6967678" y="1721300"/>
          <a:ext cx="581025" cy="4510774"/>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421533</xdr:colOff>
      <xdr:row>25</xdr:row>
      <xdr:rowOff>171449</xdr:rowOff>
    </xdr:from>
    <xdr:to>
      <xdr:col>18</xdr:col>
      <xdr:colOff>111831</xdr:colOff>
      <xdr:row>30</xdr:row>
      <xdr:rowOff>47624</xdr:rowOff>
    </xdr:to>
    <xdr:cxnSp macro="">
      <xdr:nvCxnSpPr>
        <xdr:cNvPr id="200" name="Connector: Curved 199">
          <a:extLst>
            <a:ext uri="{FF2B5EF4-FFF2-40B4-BE49-F238E27FC236}">
              <a16:creationId xmlns:a16="http://schemas.microsoft.com/office/drawing/2014/main" id="{38017C66-46DB-5CFE-29AA-D7AA42591724}"/>
            </a:ext>
          </a:extLst>
        </xdr:cNvPr>
        <xdr:cNvCxnSpPr>
          <a:stCxn id="4" idx="2"/>
          <a:endCxn id="9" idx="0"/>
        </xdr:cNvCxnSpPr>
      </xdr:nvCxnSpPr>
      <xdr:spPr>
        <a:xfrm rot="16200000" flipH="1">
          <a:off x="9853594" y="4593933"/>
          <a:ext cx="828675" cy="1508708"/>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105480</xdr:colOff>
      <xdr:row>19</xdr:row>
      <xdr:rowOff>92075</xdr:rowOff>
    </xdr:from>
    <xdr:to>
      <xdr:col>18</xdr:col>
      <xdr:colOff>118180</xdr:colOff>
      <xdr:row>30</xdr:row>
      <xdr:rowOff>53975</xdr:rowOff>
    </xdr:to>
    <xdr:cxnSp macro="">
      <xdr:nvCxnSpPr>
        <xdr:cNvPr id="202" name="Connector: Curved 201">
          <a:extLst>
            <a:ext uri="{FF2B5EF4-FFF2-40B4-BE49-F238E27FC236}">
              <a16:creationId xmlns:a16="http://schemas.microsoft.com/office/drawing/2014/main" id="{782D4CD8-017D-21DF-50C4-D30B7100FAFD}"/>
            </a:ext>
          </a:extLst>
        </xdr:cNvPr>
        <xdr:cNvCxnSpPr>
          <a:stCxn id="7" idx="2"/>
          <a:endCxn id="9" idx="0"/>
        </xdr:cNvCxnSpPr>
      </xdr:nvCxnSpPr>
      <xdr:spPr>
        <a:xfrm rot="5400000">
          <a:off x="9993585" y="4733925"/>
          <a:ext cx="2057400" cy="12700"/>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111831</xdr:colOff>
      <xdr:row>26</xdr:row>
      <xdr:rowOff>0</xdr:rowOff>
    </xdr:from>
    <xdr:to>
      <xdr:col>21</xdr:col>
      <xdr:colOff>79375</xdr:colOff>
      <xdr:row>30</xdr:row>
      <xdr:rowOff>47625</xdr:rowOff>
    </xdr:to>
    <xdr:cxnSp macro="">
      <xdr:nvCxnSpPr>
        <xdr:cNvPr id="204" name="Connector: Curved 203">
          <a:extLst>
            <a:ext uri="{FF2B5EF4-FFF2-40B4-BE49-F238E27FC236}">
              <a16:creationId xmlns:a16="http://schemas.microsoft.com/office/drawing/2014/main" id="{9B4D4287-AD42-9AC6-B9E5-6362D68BA757}"/>
            </a:ext>
          </a:extLst>
        </xdr:cNvPr>
        <xdr:cNvCxnSpPr>
          <a:stCxn id="5" idx="2"/>
          <a:endCxn id="9" idx="0"/>
        </xdr:cNvCxnSpPr>
      </xdr:nvCxnSpPr>
      <xdr:spPr>
        <a:xfrm rot="5400000">
          <a:off x="11510450" y="4464836"/>
          <a:ext cx="809625" cy="178595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79374</xdr:colOff>
      <xdr:row>19</xdr:row>
      <xdr:rowOff>76201</xdr:rowOff>
    </xdr:from>
    <xdr:to>
      <xdr:col>27</xdr:col>
      <xdr:colOff>448179</xdr:colOff>
      <xdr:row>22</xdr:row>
      <xdr:rowOff>95251</xdr:rowOff>
    </xdr:to>
    <xdr:cxnSp macro="">
      <xdr:nvCxnSpPr>
        <xdr:cNvPr id="207" name="Connector: Curved 206">
          <a:extLst>
            <a:ext uri="{FF2B5EF4-FFF2-40B4-BE49-F238E27FC236}">
              <a16:creationId xmlns:a16="http://schemas.microsoft.com/office/drawing/2014/main" id="{8AB9732C-F90F-460D-FC53-5E3CBA0E05FF}"/>
            </a:ext>
          </a:extLst>
        </xdr:cNvPr>
        <xdr:cNvCxnSpPr>
          <a:stCxn id="44" idx="2"/>
          <a:endCxn id="5" idx="0"/>
        </xdr:cNvCxnSpPr>
      </xdr:nvCxnSpPr>
      <xdr:spPr>
        <a:xfrm rot="5400000">
          <a:off x="14515775" y="1988164"/>
          <a:ext cx="590550" cy="400562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27</xdr:col>
      <xdr:colOff>438512</xdr:colOff>
      <xdr:row>19</xdr:row>
      <xdr:rowOff>76201</xdr:rowOff>
    </xdr:from>
    <xdr:to>
      <xdr:col>27</xdr:col>
      <xdr:colOff>448179</xdr:colOff>
      <xdr:row>30</xdr:row>
      <xdr:rowOff>38101</xdr:rowOff>
    </xdr:to>
    <xdr:cxnSp macro="">
      <xdr:nvCxnSpPr>
        <xdr:cNvPr id="209" name="Connector: Curved 208">
          <a:extLst>
            <a:ext uri="{FF2B5EF4-FFF2-40B4-BE49-F238E27FC236}">
              <a16:creationId xmlns:a16="http://schemas.microsoft.com/office/drawing/2014/main" id="{49A07377-AF8C-D1FE-C40F-015F2A2BA102}"/>
            </a:ext>
          </a:extLst>
        </xdr:cNvPr>
        <xdr:cNvCxnSpPr>
          <a:stCxn id="44" idx="2"/>
          <a:endCxn id="60" idx="0"/>
        </xdr:cNvCxnSpPr>
      </xdr:nvCxnSpPr>
      <xdr:spPr>
        <a:xfrm rot="5400000">
          <a:off x="15780328" y="4719567"/>
          <a:ext cx="2057400" cy="9667"/>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153712</xdr:colOff>
      <xdr:row>7</xdr:row>
      <xdr:rowOff>73098</xdr:rowOff>
    </xdr:from>
    <xdr:to>
      <xdr:col>18</xdr:col>
      <xdr:colOff>123231</xdr:colOff>
      <xdr:row>15</xdr:row>
      <xdr:rowOff>161926</xdr:rowOff>
    </xdr:to>
    <xdr:cxnSp macro="">
      <xdr:nvCxnSpPr>
        <xdr:cNvPr id="212" name="Connector: Curved 211">
          <a:extLst>
            <a:ext uri="{FF2B5EF4-FFF2-40B4-BE49-F238E27FC236}">
              <a16:creationId xmlns:a16="http://schemas.microsoft.com/office/drawing/2014/main" id="{65D98483-C688-2940-4FFD-B3C36A2EE02D}"/>
            </a:ext>
          </a:extLst>
        </xdr:cNvPr>
        <xdr:cNvCxnSpPr>
          <a:stCxn id="40" idx="2"/>
          <a:endCxn id="3" idx="0"/>
        </xdr:cNvCxnSpPr>
      </xdr:nvCxnSpPr>
      <xdr:spPr>
        <a:xfrm rot="5400000">
          <a:off x="7211831" y="-802430"/>
          <a:ext cx="1612828" cy="6030883"/>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111830</xdr:colOff>
      <xdr:row>7</xdr:row>
      <xdr:rowOff>73098</xdr:rowOff>
    </xdr:from>
    <xdr:to>
      <xdr:col>18</xdr:col>
      <xdr:colOff>123231</xdr:colOff>
      <xdr:row>15</xdr:row>
      <xdr:rowOff>180976</xdr:rowOff>
    </xdr:to>
    <xdr:cxnSp macro="">
      <xdr:nvCxnSpPr>
        <xdr:cNvPr id="214" name="Connector: Curved 213">
          <a:extLst>
            <a:ext uri="{FF2B5EF4-FFF2-40B4-BE49-F238E27FC236}">
              <a16:creationId xmlns:a16="http://schemas.microsoft.com/office/drawing/2014/main" id="{D58AF59E-2BD2-73D4-6B7F-0DCEEF278C25}"/>
            </a:ext>
          </a:extLst>
        </xdr:cNvPr>
        <xdr:cNvCxnSpPr>
          <a:stCxn id="40" idx="2"/>
          <a:endCxn id="7" idx="0"/>
        </xdr:cNvCxnSpPr>
      </xdr:nvCxnSpPr>
      <xdr:spPr>
        <a:xfrm rot="5400000">
          <a:off x="10212047" y="2216836"/>
          <a:ext cx="1631878" cy="11401"/>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18</xdr:col>
      <xdr:colOff>123231</xdr:colOff>
      <xdr:row>7</xdr:row>
      <xdr:rowOff>73096</xdr:rowOff>
    </xdr:from>
    <xdr:to>
      <xdr:col>27</xdr:col>
      <xdr:colOff>448179</xdr:colOff>
      <xdr:row>15</xdr:row>
      <xdr:rowOff>171449</xdr:rowOff>
    </xdr:to>
    <xdr:cxnSp macro="">
      <xdr:nvCxnSpPr>
        <xdr:cNvPr id="216" name="Connector: Curved 215">
          <a:extLst>
            <a:ext uri="{FF2B5EF4-FFF2-40B4-BE49-F238E27FC236}">
              <a16:creationId xmlns:a16="http://schemas.microsoft.com/office/drawing/2014/main" id="{E1BE3292-D792-B413-066F-EE5E02FCF6FD}"/>
            </a:ext>
          </a:extLst>
        </xdr:cNvPr>
        <xdr:cNvCxnSpPr>
          <a:stCxn id="40" idx="2"/>
          <a:endCxn id="44" idx="0"/>
        </xdr:cNvCxnSpPr>
      </xdr:nvCxnSpPr>
      <xdr:spPr>
        <a:xfrm rot="16200000" flipH="1">
          <a:off x="13112597" y="-672315"/>
          <a:ext cx="1622353" cy="578017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33</xdr:col>
      <xdr:colOff>60104</xdr:colOff>
      <xdr:row>4</xdr:row>
      <xdr:rowOff>1</xdr:rowOff>
    </xdr:from>
    <xdr:ext cx="1364348" cy="800091"/>
    <xdr:sp macro="" textlink="">
      <xdr:nvSpPr>
        <xdr:cNvPr id="217" name="TextBox 216">
          <a:extLst>
            <a:ext uri="{FF2B5EF4-FFF2-40B4-BE49-F238E27FC236}">
              <a16:creationId xmlns:a16="http://schemas.microsoft.com/office/drawing/2014/main" id="{B75048E5-2C3E-1D19-3C95-1843BF999F7A}"/>
            </a:ext>
          </a:extLst>
        </xdr:cNvPr>
        <xdr:cNvSpPr txBox="1"/>
      </xdr:nvSpPr>
      <xdr:spPr>
        <a:xfrm>
          <a:off x="20266711" y="762001"/>
          <a:ext cx="1364348"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en-AU" sz="2400" b="0">
              <a:solidFill>
                <a:srgbClr val="0C769E"/>
              </a:solidFill>
            </a:rPr>
            <a:t>4.5.1.1-2</a:t>
          </a:r>
          <a:r>
            <a:rPr lang="en-AU" sz="2400" b="0" baseline="0">
              <a:solidFill>
                <a:srgbClr val="0C769E"/>
              </a:solidFill>
            </a:rPr>
            <a:t> </a:t>
          </a:r>
          <a:br>
            <a:rPr lang="en-AU" sz="2400" b="0" baseline="0">
              <a:solidFill>
                <a:srgbClr val="0C769E"/>
              </a:solidFill>
            </a:rPr>
          </a:br>
          <a:r>
            <a:rPr lang="en-AU" sz="2400" b="0">
              <a:solidFill>
                <a:srgbClr val="0C769E"/>
              </a:solidFill>
            </a:rPr>
            <a:t>Methane</a:t>
          </a:r>
        </a:p>
      </xdr:txBody>
    </xdr:sp>
    <xdr:clientData/>
  </xdr:oneCellAnchor>
  <xdr:oneCellAnchor>
    <xdr:from>
      <xdr:col>47</xdr:col>
      <xdr:colOff>532163</xdr:colOff>
      <xdr:row>3</xdr:row>
      <xdr:rowOff>152401</xdr:rowOff>
    </xdr:from>
    <xdr:ext cx="2220190" cy="1153970"/>
    <xdr:sp macro="" textlink="">
      <xdr:nvSpPr>
        <xdr:cNvPr id="218" name="TextBox 217">
          <a:extLst>
            <a:ext uri="{FF2B5EF4-FFF2-40B4-BE49-F238E27FC236}">
              <a16:creationId xmlns:a16="http://schemas.microsoft.com/office/drawing/2014/main" id="{E49135D6-1028-404B-8FE4-9D2F9D5D0A14}"/>
            </a:ext>
          </a:extLst>
        </xdr:cNvPr>
        <xdr:cNvSpPr txBox="1"/>
      </xdr:nvSpPr>
      <xdr:spPr>
        <a:xfrm>
          <a:off x="29311270" y="723901"/>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002060"/>
              </a:solidFill>
            </a:rPr>
            <a:t>4.5.1.5-6 Atmospheric deposition</a:t>
          </a:r>
        </a:p>
      </xdr:txBody>
    </xdr:sp>
    <xdr:clientData/>
  </xdr:oneCellAnchor>
  <xdr:twoCellAnchor>
    <xdr:from>
      <xdr:col>32</xdr:col>
      <xdr:colOff>297070</xdr:colOff>
      <xdr:row>19</xdr:row>
      <xdr:rowOff>172010</xdr:rowOff>
    </xdr:from>
    <xdr:to>
      <xdr:col>34</xdr:col>
      <xdr:colOff>251487</xdr:colOff>
      <xdr:row>32</xdr:row>
      <xdr:rowOff>118382</xdr:rowOff>
    </xdr:to>
    <xdr:cxnSp macro="">
      <xdr:nvCxnSpPr>
        <xdr:cNvPr id="220" name="Connector: Curved 219">
          <a:extLst>
            <a:ext uri="{FF2B5EF4-FFF2-40B4-BE49-F238E27FC236}">
              <a16:creationId xmlns:a16="http://schemas.microsoft.com/office/drawing/2014/main" id="{E9B4A04A-A5EA-DFAF-CD0D-883CBA1A36EB}"/>
            </a:ext>
          </a:extLst>
        </xdr:cNvPr>
        <xdr:cNvCxnSpPr>
          <a:stCxn id="12" idx="2"/>
          <a:endCxn id="15" idx="0"/>
        </xdr:cNvCxnSpPr>
      </xdr:nvCxnSpPr>
      <xdr:spPr>
        <a:xfrm rot="16200000" flipH="1">
          <a:off x="19065343" y="4419601"/>
          <a:ext cx="2422872" cy="1166689"/>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251488</xdr:colOff>
      <xdr:row>19</xdr:row>
      <xdr:rowOff>162485</xdr:rowOff>
    </xdr:from>
    <xdr:to>
      <xdr:col>36</xdr:col>
      <xdr:colOff>497</xdr:colOff>
      <xdr:row>32</xdr:row>
      <xdr:rowOff>118382</xdr:rowOff>
    </xdr:to>
    <xdr:cxnSp macro="">
      <xdr:nvCxnSpPr>
        <xdr:cNvPr id="222" name="Connector: Curved 221">
          <a:extLst>
            <a:ext uri="{FF2B5EF4-FFF2-40B4-BE49-F238E27FC236}">
              <a16:creationId xmlns:a16="http://schemas.microsoft.com/office/drawing/2014/main" id="{63EE57D1-0C20-C251-C38E-D597E58B663A}"/>
            </a:ext>
          </a:extLst>
        </xdr:cNvPr>
        <xdr:cNvCxnSpPr>
          <a:stCxn id="11" idx="2"/>
          <a:endCxn id="15" idx="0"/>
        </xdr:cNvCxnSpPr>
      </xdr:nvCxnSpPr>
      <xdr:spPr>
        <a:xfrm rot="5400000">
          <a:off x="20124566" y="4517543"/>
          <a:ext cx="2432397" cy="961282"/>
        </a:xfrm>
        <a:prstGeom prst="curvedConnector3">
          <a:avLst>
            <a:gd name="adj1" fmla="val 50000"/>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257980</xdr:colOff>
      <xdr:row>34</xdr:row>
      <xdr:rowOff>175532</xdr:rowOff>
    </xdr:from>
    <xdr:to>
      <xdr:col>36</xdr:col>
      <xdr:colOff>277030</xdr:colOff>
      <xdr:row>37</xdr:row>
      <xdr:rowOff>156482</xdr:rowOff>
    </xdr:to>
    <xdr:cxnSp macro="">
      <xdr:nvCxnSpPr>
        <xdr:cNvPr id="224" name="Connector: Curved 223">
          <a:extLst>
            <a:ext uri="{FF2B5EF4-FFF2-40B4-BE49-F238E27FC236}">
              <a16:creationId xmlns:a16="http://schemas.microsoft.com/office/drawing/2014/main" id="{61018780-DE14-95E4-2D1A-573951BDB69E}"/>
            </a:ext>
          </a:extLst>
        </xdr:cNvPr>
        <xdr:cNvCxnSpPr>
          <a:stCxn id="15" idx="2"/>
          <a:endCxn id="13" idx="0"/>
        </xdr:cNvCxnSpPr>
      </xdr:nvCxnSpPr>
      <xdr:spPr>
        <a:xfrm rot="16200000" flipH="1">
          <a:off x="21327280" y="6309632"/>
          <a:ext cx="552450" cy="123825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36</xdr:col>
      <xdr:colOff>267505</xdr:colOff>
      <xdr:row>40</xdr:row>
      <xdr:rowOff>23133</xdr:rowOff>
    </xdr:from>
    <xdr:to>
      <xdr:col>36</xdr:col>
      <xdr:colOff>277030</xdr:colOff>
      <xdr:row>43</xdr:row>
      <xdr:rowOff>137433</xdr:rowOff>
    </xdr:to>
    <xdr:cxnSp macro="">
      <xdr:nvCxnSpPr>
        <xdr:cNvPr id="226" name="Connector: Curved 225">
          <a:extLst>
            <a:ext uri="{FF2B5EF4-FFF2-40B4-BE49-F238E27FC236}">
              <a16:creationId xmlns:a16="http://schemas.microsoft.com/office/drawing/2014/main" id="{3074E4DB-E93A-8B67-C5A5-E5F0AD2A6907}"/>
            </a:ext>
          </a:extLst>
        </xdr:cNvPr>
        <xdr:cNvCxnSpPr>
          <a:stCxn id="13" idx="2"/>
          <a:endCxn id="14" idx="0"/>
        </xdr:cNvCxnSpPr>
      </xdr:nvCxnSpPr>
      <xdr:spPr>
        <a:xfrm rot="5400000">
          <a:off x="21874968" y="7981270"/>
          <a:ext cx="685800" cy="95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257981</xdr:colOff>
      <xdr:row>46</xdr:row>
      <xdr:rowOff>4082</xdr:rowOff>
    </xdr:from>
    <xdr:to>
      <xdr:col>36</xdr:col>
      <xdr:colOff>267506</xdr:colOff>
      <xdr:row>50</xdr:row>
      <xdr:rowOff>32657</xdr:rowOff>
    </xdr:to>
    <xdr:cxnSp macro="">
      <xdr:nvCxnSpPr>
        <xdr:cNvPr id="228" name="Connector: Curved 227">
          <a:extLst>
            <a:ext uri="{FF2B5EF4-FFF2-40B4-BE49-F238E27FC236}">
              <a16:creationId xmlns:a16="http://schemas.microsoft.com/office/drawing/2014/main" id="{CCB7EB9B-6BD4-3DF8-CBFD-D7B4669D2D07}"/>
            </a:ext>
          </a:extLst>
        </xdr:cNvPr>
        <xdr:cNvCxnSpPr>
          <a:stCxn id="14" idx="2"/>
          <a:endCxn id="16" idx="0"/>
        </xdr:cNvCxnSpPr>
      </xdr:nvCxnSpPr>
      <xdr:spPr>
        <a:xfrm rot="5400000">
          <a:off x="21203456" y="8548007"/>
          <a:ext cx="790575" cy="1228725"/>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34</xdr:col>
      <xdr:colOff>245137</xdr:colOff>
      <xdr:row>52</xdr:row>
      <xdr:rowOff>96156</xdr:rowOff>
    </xdr:from>
    <xdr:to>
      <xdr:col>34</xdr:col>
      <xdr:colOff>257837</xdr:colOff>
      <xdr:row>53</xdr:row>
      <xdr:rowOff>185963</xdr:rowOff>
    </xdr:to>
    <xdr:cxnSp macro="">
      <xdr:nvCxnSpPr>
        <xdr:cNvPr id="230" name="Connector: Curved 229">
          <a:extLst>
            <a:ext uri="{FF2B5EF4-FFF2-40B4-BE49-F238E27FC236}">
              <a16:creationId xmlns:a16="http://schemas.microsoft.com/office/drawing/2014/main" id="{5E95508F-4E86-8B1E-A3E2-2E0CED43F1B8}"/>
            </a:ext>
          </a:extLst>
        </xdr:cNvPr>
        <xdr:cNvCxnSpPr>
          <a:stCxn id="16" idx="2"/>
          <a:endCxn id="17" idx="0"/>
        </xdr:cNvCxnSpPr>
      </xdr:nvCxnSpPr>
      <xdr:spPr>
        <a:xfrm rot="5400000">
          <a:off x="20719969" y="10135960"/>
          <a:ext cx="280307"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40</xdr:col>
      <xdr:colOff>575459</xdr:colOff>
      <xdr:row>3</xdr:row>
      <xdr:rowOff>179615</xdr:rowOff>
    </xdr:from>
    <xdr:ext cx="1628907" cy="800091"/>
    <xdr:sp macro="" textlink="">
      <xdr:nvSpPr>
        <xdr:cNvPr id="231" name="TextBox 230">
          <a:extLst>
            <a:ext uri="{FF2B5EF4-FFF2-40B4-BE49-F238E27FC236}">
              <a16:creationId xmlns:a16="http://schemas.microsoft.com/office/drawing/2014/main" id="{CC3DE186-03A2-44F2-977A-7EE359B3D08C}"/>
            </a:ext>
          </a:extLst>
        </xdr:cNvPr>
        <xdr:cNvSpPr txBox="1"/>
      </xdr:nvSpPr>
      <xdr:spPr>
        <a:xfrm>
          <a:off x="25068316" y="751115"/>
          <a:ext cx="1628907"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en-AU" sz="2400" b="0">
              <a:solidFill>
                <a:srgbClr val="4F4789"/>
              </a:solidFill>
            </a:rPr>
            <a:t>4.5.1.3-4 </a:t>
          </a:r>
          <a:br>
            <a:rPr lang="en-AU" sz="2400" b="0">
              <a:solidFill>
                <a:srgbClr val="4F4789"/>
              </a:solidFill>
            </a:rPr>
          </a:br>
          <a:r>
            <a:rPr lang="en-AU" sz="2400" b="0">
              <a:solidFill>
                <a:srgbClr val="4F4789"/>
              </a:solidFill>
            </a:rPr>
            <a:t>N2O Direct</a:t>
          </a:r>
        </a:p>
      </xdr:txBody>
    </xdr:sp>
    <xdr:clientData/>
  </xdr:oneCellAnchor>
  <xdr:twoCellAnchor>
    <xdr:from>
      <xdr:col>40</xdr:col>
      <xdr:colOff>301831</xdr:colOff>
      <xdr:row>9</xdr:row>
      <xdr:rowOff>72118</xdr:rowOff>
    </xdr:from>
    <xdr:to>
      <xdr:col>43</xdr:col>
      <xdr:colOff>548119</xdr:colOff>
      <xdr:row>11</xdr:row>
      <xdr:rowOff>129268</xdr:rowOff>
    </xdr:to>
    <xdr:sp macro="" textlink="'4.5.1.3-4 Direct N2O'!D5">
      <xdr:nvSpPr>
        <xdr:cNvPr id="232" name="TextBox 231">
          <a:hlinkClick xmlns:r="http://schemas.openxmlformats.org/officeDocument/2006/relationships" r:id="rId8"/>
          <a:extLst>
            <a:ext uri="{FF2B5EF4-FFF2-40B4-BE49-F238E27FC236}">
              <a16:creationId xmlns:a16="http://schemas.microsoft.com/office/drawing/2014/main" id="{6776787B-384F-48AE-9CFE-16D9F978BF16}"/>
            </a:ext>
          </a:extLst>
        </xdr:cNvPr>
        <xdr:cNvSpPr txBox="1"/>
      </xdr:nvSpPr>
      <xdr:spPr>
        <a:xfrm>
          <a:off x="24547286" y="178661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25FB8C3-43AF-4ED8-9EC1-2C49A7129994}" type="TxLink">
            <a:rPr lang="en-US" sz="900" b="0" i="0" u="none" strike="noStrike">
              <a:solidFill>
                <a:srgbClr val="4F4789"/>
              </a:solidFill>
              <a:latin typeface="Times New Roman"/>
              <a:cs typeface="Times New Roman"/>
            </a:rPr>
            <a:pPr algn="ctr"/>
            <a:t>Annual nitrogen excretion from each swine group</a:t>
          </a:fld>
          <a:endParaRPr lang="en-AU" sz="900">
            <a:solidFill>
              <a:srgbClr val="4F4789"/>
            </a:solidFill>
          </a:endParaRPr>
        </a:p>
      </xdr:txBody>
    </xdr:sp>
    <xdr:clientData/>
  </xdr:twoCellAnchor>
  <xdr:twoCellAnchor>
    <xdr:from>
      <xdr:col>38</xdr:col>
      <xdr:colOff>358981</xdr:colOff>
      <xdr:row>17</xdr:row>
      <xdr:rowOff>53628</xdr:rowOff>
    </xdr:from>
    <xdr:to>
      <xdr:col>41</xdr:col>
      <xdr:colOff>605269</xdr:colOff>
      <xdr:row>19</xdr:row>
      <xdr:rowOff>110778</xdr:rowOff>
    </xdr:to>
    <xdr:sp macro="" textlink="'4.5.1.3-4 Direct N2O'!D39">
      <xdr:nvSpPr>
        <xdr:cNvPr id="233" name="TextBox 232">
          <a:hlinkClick xmlns:r="http://schemas.openxmlformats.org/officeDocument/2006/relationships" r:id="rId9"/>
          <a:extLst>
            <a:ext uri="{FF2B5EF4-FFF2-40B4-BE49-F238E27FC236}">
              <a16:creationId xmlns:a16="http://schemas.microsoft.com/office/drawing/2014/main" id="{B9D3E5FC-FBB9-4F21-BA28-0D6313CF0FEC}"/>
            </a:ext>
          </a:extLst>
        </xdr:cNvPr>
        <xdr:cNvSpPr txBox="1"/>
      </xdr:nvSpPr>
      <xdr:spPr>
        <a:xfrm>
          <a:off x="23392163" y="3292128"/>
          <a:ext cx="2064697"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B7270BB-9349-4604-9004-9A9014548B36}" type="TxLink">
            <a:rPr lang="en-US" sz="900" b="0" i="0" u="none" strike="noStrike">
              <a:solidFill>
                <a:srgbClr val="4F4789"/>
              </a:solidFill>
              <a:latin typeface="Times New Roman"/>
              <a:cs typeface="Times New Roman"/>
            </a:rPr>
            <a:pPr algn="ctr"/>
            <a:t>Fraction of nitrogen in each primary MMS (excluding solid storage)</a:t>
          </a:fld>
          <a:endParaRPr lang="en-AU" sz="900">
            <a:solidFill>
              <a:srgbClr val="4F4789"/>
            </a:solidFill>
          </a:endParaRPr>
        </a:p>
      </xdr:txBody>
    </xdr:sp>
    <xdr:clientData/>
  </xdr:twoCellAnchor>
  <xdr:twoCellAnchor>
    <xdr:from>
      <xdr:col>42</xdr:col>
      <xdr:colOff>176646</xdr:colOff>
      <xdr:row>17</xdr:row>
      <xdr:rowOff>53628</xdr:rowOff>
    </xdr:from>
    <xdr:to>
      <xdr:col>45</xdr:col>
      <xdr:colOff>425656</xdr:colOff>
      <xdr:row>19</xdr:row>
      <xdr:rowOff>110778</xdr:rowOff>
    </xdr:to>
    <xdr:sp macro="" textlink="'4.5.1.3-4 Direct N2O'!D79">
      <xdr:nvSpPr>
        <xdr:cNvPr id="234" name="TextBox 233">
          <a:hlinkClick xmlns:r="http://schemas.openxmlformats.org/officeDocument/2006/relationships" r:id="rId10"/>
          <a:extLst>
            <a:ext uri="{FF2B5EF4-FFF2-40B4-BE49-F238E27FC236}">
              <a16:creationId xmlns:a16="http://schemas.microsoft.com/office/drawing/2014/main" id="{BA468583-3239-42C4-ABAF-8A0E0785B126}"/>
            </a:ext>
          </a:extLst>
        </xdr:cNvPr>
        <xdr:cNvSpPr txBox="1"/>
      </xdr:nvSpPr>
      <xdr:spPr>
        <a:xfrm>
          <a:off x="25634373" y="3292128"/>
          <a:ext cx="2067419"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D24C035-8173-4CE1-9343-D00CDFBB1661}" type="TxLink">
            <a:rPr lang="en-US" sz="900" b="0" i="0" u="none" strike="noStrike">
              <a:solidFill>
                <a:srgbClr val="4F4789"/>
              </a:solidFill>
              <a:latin typeface="Times New Roman"/>
              <a:cs typeface="Times New Roman"/>
            </a:rPr>
            <a:pPr algn="ctr"/>
            <a:t>Fraction of nitrogen in solid storage</a:t>
          </a:fld>
          <a:endParaRPr lang="en-AU" sz="900">
            <a:solidFill>
              <a:srgbClr val="4F4789"/>
            </a:solidFill>
          </a:endParaRPr>
        </a:p>
      </xdr:txBody>
    </xdr:sp>
    <xdr:clientData/>
  </xdr:twoCellAnchor>
  <xdr:twoCellAnchor>
    <xdr:from>
      <xdr:col>40</xdr:col>
      <xdr:colOff>179567</xdr:colOff>
      <xdr:row>11</xdr:row>
      <xdr:rowOff>129269</xdr:rowOff>
    </xdr:from>
    <xdr:to>
      <xdr:col>42</xdr:col>
      <xdr:colOff>121398</xdr:colOff>
      <xdr:row>17</xdr:row>
      <xdr:rowOff>53629</xdr:rowOff>
    </xdr:to>
    <xdr:cxnSp macro="">
      <xdr:nvCxnSpPr>
        <xdr:cNvPr id="248" name="Connector: Curved 247">
          <a:extLst>
            <a:ext uri="{FF2B5EF4-FFF2-40B4-BE49-F238E27FC236}">
              <a16:creationId xmlns:a16="http://schemas.microsoft.com/office/drawing/2014/main" id="{440DB073-6D28-1CB4-1865-56715A26F1CF}"/>
            </a:ext>
          </a:extLst>
        </xdr:cNvPr>
        <xdr:cNvCxnSpPr>
          <a:stCxn id="232" idx="2"/>
          <a:endCxn id="233" idx="0"/>
        </xdr:cNvCxnSpPr>
      </xdr:nvCxnSpPr>
      <xdr:spPr>
        <a:xfrm rot="5400000">
          <a:off x="24468394" y="2181397"/>
          <a:ext cx="1067360" cy="11541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121397</xdr:colOff>
      <xdr:row>11</xdr:row>
      <xdr:rowOff>129268</xdr:rowOff>
    </xdr:from>
    <xdr:to>
      <xdr:col>43</xdr:col>
      <xdr:colOff>603709</xdr:colOff>
      <xdr:row>17</xdr:row>
      <xdr:rowOff>53628</xdr:rowOff>
    </xdr:to>
    <xdr:cxnSp macro="">
      <xdr:nvCxnSpPr>
        <xdr:cNvPr id="250" name="Connector: Curved 249">
          <a:extLst>
            <a:ext uri="{FF2B5EF4-FFF2-40B4-BE49-F238E27FC236}">
              <a16:creationId xmlns:a16="http://schemas.microsoft.com/office/drawing/2014/main" id="{0EA263FF-D79B-F1C6-E4F7-573857B054CD}"/>
            </a:ext>
          </a:extLst>
        </xdr:cNvPr>
        <xdr:cNvCxnSpPr>
          <a:stCxn id="232" idx="2"/>
          <a:endCxn id="234" idx="0"/>
        </xdr:cNvCxnSpPr>
      </xdr:nvCxnSpPr>
      <xdr:spPr>
        <a:xfrm rot="16200000" flipH="1">
          <a:off x="25589669" y="2214223"/>
          <a:ext cx="1067360" cy="10884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133644</xdr:colOff>
      <xdr:row>19</xdr:row>
      <xdr:rowOff>110779</xdr:rowOff>
    </xdr:from>
    <xdr:to>
      <xdr:col>43</xdr:col>
      <xdr:colOff>603710</xdr:colOff>
      <xdr:row>32</xdr:row>
      <xdr:rowOff>72119</xdr:rowOff>
    </xdr:to>
    <xdr:cxnSp macro="">
      <xdr:nvCxnSpPr>
        <xdr:cNvPr id="252" name="Connector: Curved 251">
          <a:extLst>
            <a:ext uri="{FF2B5EF4-FFF2-40B4-BE49-F238E27FC236}">
              <a16:creationId xmlns:a16="http://schemas.microsoft.com/office/drawing/2014/main" id="{11A19362-0D39-A5CD-9111-CDA37D940CBA}"/>
            </a:ext>
          </a:extLst>
        </xdr:cNvPr>
        <xdr:cNvCxnSpPr>
          <a:stCxn id="234" idx="2"/>
          <a:endCxn id="235" idx="0"/>
        </xdr:cNvCxnSpPr>
      </xdr:nvCxnSpPr>
      <xdr:spPr>
        <a:xfrm rot="5400000">
          <a:off x="24910553" y="4411097"/>
          <a:ext cx="2437840" cy="1076203"/>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40</xdr:col>
      <xdr:colOff>179566</xdr:colOff>
      <xdr:row>19</xdr:row>
      <xdr:rowOff>110778</xdr:rowOff>
    </xdr:from>
    <xdr:to>
      <xdr:col>42</xdr:col>
      <xdr:colOff>133643</xdr:colOff>
      <xdr:row>32</xdr:row>
      <xdr:rowOff>72118</xdr:rowOff>
    </xdr:to>
    <xdr:cxnSp macro="">
      <xdr:nvCxnSpPr>
        <xdr:cNvPr id="254" name="Connector: Curved 253">
          <a:extLst>
            <a:ext uri="{FF2B5EF4-FFF2-40B4-BE49-F238E27FC236}">
              <a16:creationId xmlns:a16="http://schemas.microsoft.com/office/drawing/2014/main" id="{8FF88138-8B69-A068-35F3-D9FB298079B0}"/>
            </a:ext>
          </a:extLst>
        </xdr:cNvPr>
        <xdr:cNvCxnSpPr>
          <a:stCxn id="233" idx="2"/>
          <a:endCxn id="235" idx="0"/>
        </xdr:cNvCxnSpPr>
      </xdr:nvCxnSpPr>
      <xdr:spPr>
        <a:xfrm rot="16200000" flipH="1">
          <a:off x="23789276" y="4366023"/>
          <a:ext cx="2437840" cy="1166349"/>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34</xdr:row>
      <xdr:rowOff>129267</xdr:rowOff>
    </xdr:from>
    <xdr:to>
      <xdr:col>42</xdr:col>
      <xdr:colOff>135887</xdr:colOff>
      <xdr:row>53</xdr:row>
      <xdr:rowOff>180974</xdr:rowOff>
    </xdr:to>
    <xdr:cxnSp macro="">
      <xdr:nvCxnSpPr>
        <xdr:cNvPr id="259" name="Connector: Curved 258">
          <a:extLst>
            <a:ext uri="{FF2B5EF4-FFF2-40B4-BE49-F238E27FC236}">
              <a16:creationId xmlns:a16="http://schemas.microsoft.com/office/drawing/2014/main" id="{26BDC37B-0216-13E3-0BA6-56EEFCB45F28}"/>
            </a:ext>
          </a:extLst>
        </xdr:cNvPr>
        <xdr:cNvCxnSpPr>
          <a:stCxn id="235" idx="2"/>
          <a:endCxn id="257" idx="0"/>
        </xdr:cNvCxnSpPr>
      </xdr:nvCxnSpPr>
      <xdr:spPr>
        <a:xfrm rot="5400000">
          <a:off x="23741681" y="8425542"/>
          <a:ext cx="3671207" cy="3265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135885</xdr:colOff>
      <xdr:row>34</xdr:row>
      <xdr:rowOff>129268</xdr:rowOff>
    </xdr:from>
    <xdr:to>
      <xdr:col>44</xdr:col>
      <xdr:colOff>264410</xdr:colOff>
      <xdr:row>38</xdr:row>
      <xdr:rowOff>95250</xdr:rowOff>
    </xdr:to>
    <xdr:cxnSp macro="">
      <xdr:nvCxnSpPr>
        <xdr:cNvPr id="261" name="Connector: Curved 260">
          <a:extLst>
            <a:ext uri="{FF2B5EF4-FFF2-40B4-BE49-F238E27FC236}">
              <a16:creationId xmlns:a16="http://schemas.microsoft.com/office/drawing/2014/main" id="{11A97F5D-DF2D-1342-A519-7AFDC23AD2B9}"/>
            </a:ext>
          </a:extLst>
        </xdr:cNvPr>
        <xdr:cNvCxnSpPr>
          <a:stCxn id="235" idx="2"/>
          <a:endCxn id="255" idx="0"/>
        </xdr:cNvCxnSpPr>
      </xdr:nvCxnSpPr>
      <xdr:spPr>
        <a:xfrm rot="16200000" flipH="1">
          <a:off x="25900020" y="6299860"/>
          <a:ext cx="727982" cy="1340798"/>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264410</xdr:colOff>
      <xdr:row>40</xdr:row>
      <xdr:rowOff>152400</xdr:rowOff>
    </xdr:from>
    <xdr:to>
      <xdr:col>44</xdr:col>
      <xdr:colOff>273935</xdr:colOff>
      <xdr:row>43</xdr:row>
      <xdr:rowOff>114300</xdr:rowOff>
    </xdr:to>
    <xdr:cxnSp macro="">
      <xdr:nvCxnSpPr>
        <xdr:cNvPr id="263" name="Connector: Curved 262">
          <a:extLst>
            <a:ext uri="{FF2B5EF4-FFF2-40B4-BE49-F238E27FC236}">
              <a16:creationId xmlns:a16="http://schemas.microsoft.com/office/drawing/2014/main" id="{44CDCA80-1F8D-E4C9-EAFF-7729F12C44A9}"/>
            </a:ext>
          </a:extLst>
        </xdr:cNvPr>
        <xdr:cNvCxnSpPr>
          <a:stCxn id="255" idx="2"/>
          <a:endCxn id="256" idx="0"/>
        </xdr:cNvCxnSpPr>
      </xdr:nvCxnSpPr>
      <xdr:spPr>
        <a:xfrm rot="16200000" flipH="1">
          <a:off x="26672473" y="8034337"/>
          <a:ext cx="533400" cy="9525"/>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42</xdr:col>
      <xdr:colOff>103229</xdr:colOff>
      <xdr:row>45</xdr:row>
      <xdr:rowOff>171449</xdr:rowOff>
    </xdr:from>
    <xdr:to>
      <xdr:col>44</xdr:col>
      <xdr:colOff>273937</xdr:colOff>
      <xdr:row>53</xdr:row>
      <xdr:rowOff>180974</xdr:rowOff>
    </xdr:to>
    <xdr:cxnSp macro="">
      <xdr:nvCxnSpPr>
        <xdr:cNvPr id="265" name="Connector: Curved 264">
          <a:extLst>
            <a:ext uri="{FF2B5EF4-FFF2-40B4-BE49-F238E27FC236}">
              <a16:creationId xmlns:a16="http://schemas.microsoft.com/office/drawing/2014/main" id="{81CB6478-C2BB-37EC-EEFC-3771415D4559}"/>
            </a:ext>
          </a:extLst>
        </xdr:cNvPr>
        <xdr:cNvCxnSpPr>
          <a:stCxn id="256" idx="2"/>
          <a:endCxn id="257" idx="0"/>
        </xdr:cNvCxnSpPr>
      </xdr:nvCxnSpPr>
      <xdr:spPr>
        <a:xfrm rot="5400000">
          <a:off x="25485684" y="8819221"/>
          <a:ext cx="1533525" cy="1382981"/>
        </a:xfrm>
        <a:prstGeom prst="curvedConnector3">
          <a:avLst/>
        </a:prstGeom>
        <a:ln>
          <a:tailEnd type="triangle"/>
        </a:ln>
      </xdr:spPr>
      <xdr:style>
        <a:lnRef idx="2">
          <a:schemeClr val="accent5"/>
        </a:lnRef>
        <a:fillRef idx="0">
          <a:schemeClr val="accent5"/>
        </a:fillRef>
        <a:effectRef idx="1">
          <a:schemeClr val="accent5"/>
        </a:effectRef>
        <a:fontRef idx="minor">
          <a:schemeClr val="tx1"/>
        </a:fontRef>
      </xdr:style>
    </xdr:cxnSp>
    <xdr:clientData/>
  </xdr:twoCellAnchor>
  <xdr:twoCellAnchor>
    <xdr:from>
      <xdr:col>44</xdr:col>
      <xdr:colOff>276178</xdr:colOff>
      <xdr:row>45</xdr:row>
      <xdr:rowOff>171449</xdr:rowOff>
    </xdr:from>
    <xdr:to>
      <xdr:col>49</xdr:col>
      <xdr:colOff>406342</xdr:colOff>
      <xdr:row>54</xdr:row>
      <xdr:rowOff>8148</xdr:rowOff>
    </xdr:to>
    <xdr:cxnSp macro="">
      <xdr:nvCxnSpPr>
        <xdr:cNvPr id="288" name="Connector: Curved 287">
          <a:extLst>
            <a:ext uri="{FF2B5EF4-FFF2-40B4-BE49-F238E27FC236}">
              <a16:creationId xmlns:a16="http://schemas.microsoft.com/office/drawing/2014/main" id="{5E544446-BC3C-0BC7-8BDB-63C6BD330262}"/>
            </a:ext>
          </a:extLst>
        </xdr:cNvPr>
        <xdr:cNvCxnSpPr>
          <a:stCxn id="256" idx="2"/>
          <a:endCxn id="279" idx="0"/>
        </xdr:cNvCxnSpPr>
      </xdr:nvCxnSpPr>
      <xdr:spPr>
        <a:xfrm rot="16200000" flipH="1">
          <a:off x="27751001" y="7939126"/>
          <a:ext cx="1551199" cy="3160846"/>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133645</xdr:colOff>
      <xdr:row>34</xdr:row>
      <xdr:rowOff>129267</xdr:rowOff>
    </xdr:from>
    <xdr:to>
      <xdr:col>49</xdr:col>
      <xdr:colOff>406342</xdr:colOff>
      <xdr:row>54</xdr:row>
      <xdr:rowOff>8148</xdr:rowOff>
    </xdr:to>
    <xdr:cxnSp macro="">
      <xdr:nvCxnSpPr>
        <xdr:cNvPr id="290" name="Connector: Curved 289">
          <a:extLst>
            <a:ext uri="{FF2B5EF4-FFF2-40B4-BE49-F238E27FC236}">
              <a16:creationId xmlns:a16="http://schemas.microsoft.com/office/drawing/2014/main" id="{F546E446-B796-300B-A228-36C3EEBE0A6A}"/>
            </a:ext>
          </a:extLst>
        </xdr:cNvPr>
        <xdr:cNvCxnSpPr>
          <a:stCxn id="235" idx="2"/>
          <a:endCxn id="279" idx="0"/>
        </xdr:cNvCxnSpPr>
      </xdr:nvCxnSpPr>
      <xdr:spPr>
        <a:xfrm rot="16200000" flipH="1">
          <a:off x="26004757" y="6192882"/>
          <a:ext cx="3688881" cy="4515652"/>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49</xdr:col>
      <xdr:colOff>406341</xdr:colOff>
      <xdr:row>56</xdr:row>
      <xdr:rowOff>65299</xdr:rowOff>
    </xdr:from>
    <xdr:to>
      <xdr:col>49</xdr:col>
      <xdr:colOff>409435</xdr:colOff>
      <xdr:row>59</xdr:row>
      <xdr:rowOff>52573</xdr:rowOff>
    </xdr:to>
    <xdr:cxnSp macro="">
      <xdr:nvCxnSpPr>
        <xdr:cNvPr id="292" name="Connector: Curved 291">
          <a:extLst>
            <a:ext uri="{FF2B5EF4-FFF2-40B4-BE49-F238E27FC236}">
              <a16:creationId xmlns:a16="http://schemas.microsoft.com/office/drawing/2014/main" id="{8BA70488-FEC3-3236-737F-2C7D56BF78ED}"/>
            </a:ext>
          </a:extLst>
        </xdr:cNvPr>
        <xdr:cNvCxnSpPr>
          <a:stCxn id="279" idx="2"/>
          <a:endCxn id="280" idx="0"/>
        </xdr:cNvCxnSpPr>
      </xdr:nvCxnSpPr>
      <xdr:spPr>
        <a:xfrm rot="16200000" flipH="1">
          <a:off x="29829183" y="11011139"/>
          <a:ext cx="558774" cy="3094"/>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52</xdr:col>
      <xdr:colOff>382732</xdr:colOff>
      <xdr:row>3</xdr:row>
      <xdr:rowOff>148938</xdr:rowOff>
    </xdr:from>
    <xdr:ext cx="2220190" cy="1153970"/>
    <xdr:sp macro="" textlink="">
      <xdr:nvSpPr>
        <xdr:cNvPr id="293" name="TextBox 292">
          <a:extLst>
            <a:ext uri="{FF2B5EF4-FFF2-40B4-BE49-F238E27FC236}">
              <a16:creationId xmlns:a16="http://schemas.microsoft.com/office/drawing/2014/main" id="{AC4F6D30-A14B-4EC8-91D6-8ADDF178B88C}"/>
            </a:ext>
          </a:extLst>
        </xdr:cNvPr>
        <xdr:cNvSpPr txBox="1"/>
      </xdr:nvSpPr>
      <xdr:spPr>
        <a:xfrm>
          <a:off x="32223446" y="720438"/>
          <a:ext cx="2220190" cy="11539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chemeClr val="accent6">
                  <a:lumMod val="50000"/>
                </a:schemeClr>
              </a:solidFill>
            </a:rPr>
            <a:t>4.5.1.7-8 Leaching</a:t>
          </a:r>
          <a:r>
            <a:rPr lang="en-AU" sz="2400" b="0" baseline="0">
              <a:solidFill>
                <a:schemeClr val="accent6">
                  <a:lumMod val="50000"/>
                </a:schemeClr>
              </a:solidFill>
            </a:rPr>
            <a:t> and runoff</a:t>
          </a:r>
          <a:endParaRPr lang="en-AU" sz="2400" b="0">
            <a:solidFill>
              <a:schemeClr val="accent6">
                <a:lumMod val="50000"/>
              </a:schemeClr>
            </a:solidFill>
          </a:endParaRPr>
        </a:p>
      </xdr:txBody>
    </xdr:sp>
    <xdr:clientData/>
  </xdr:oneCellAnchor>
  <xdr:twoCellAnchor>
    <xdr:from>
      <xdr:col>43</xdr:col>
      <xdr:colOff>561726</xdr:colOff>
      <xdr:row>33</xdr:row>
      <xdr:rowOff>100693</xdr:rowOff>
    </xdr:from>
    <xdr:to>
      <xdr:col>52</xdr:col>
      <xdr:colOff>116338</xdr:colOff>
      <xdr:row>33</xdr:row>
      <xdr:rowOff>103909</xdr:rowOff>
    </xdr:to>
    <xdr:cxnSp macro="">
      <xdr:nvCxnSpPr>
        <xdr:cNvPr id="295" name="Connector: Curved 294">
          <a:extLst>
            <a:ext uri="{FF2B5EF4-FFF2-40B4-BE49-F238E27FC236}">
              <a16:creationId xmlns:a16="http://schemas.microsoft.com/office/drawing/2014/main" id="{8B95E993-71D7-CD8B-1D99-B74FB777643C}"/>
            </a:ext>
          </a:extLst>
        </xdr:cNvPr>
        <xdr:cNvCxnSpPr>
          <a:stCxn id="235" idx="3"/>
          <a:endCxn id="277" idx="1"/>
        </xdr:cNvCxnSpPr>
      </xdr:nvCxnSpPr>
      <xdr:spPr>
        <a:xfrm>
          <a:off x="26625590" y="6387193"/>
          <a:ext cx="5009839" cy="3216"/>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534469</xdr:colOff>
      <xdr:row>34</xdr:row>
      <xdr:rowOff>138834</xdr:rowOff>
    </xdr:from>
    <xdr:to>
      <xdr:col>53</xdr:col>
      <xdr:colOff>547169</xdr:colOff>
      <xdr:row>59</xdr:row>
      <xdr:rowOff>60138</xdr:rowOff>
    </xdr:to>
    <xdr:cxnSp macro="">
      <xdr:nvCxnSpPr>
        <xdr:cNvPr id="298" name="Connector: Curved 297">
          <a:extLst>
            <a:ext uri="{FF2B5EF4-FFF2-40B4-BE49-F238E27FC236}">
              <a16:creationId xmlns:a16="http://schemas.microsoft.com/office/drawing/2014/main" id="{E9BD5199-A463-6DB9-DAF3-12AE0A5D1787}"/>
            </a:ext>
          </a:extLst>
        </xdr:cNvPr>
        <xdr:cNvCxnSpPr>
          <a:stCxn id="277" idx="2"/>
          <a:endCxn id="278" idx="0"/>
        </xdr:cNvCxnSpPr>
      </xdr:nvCxnSpPr>
      <xdr:spPr>
        <a:xfrm rot="5400000">
          <a:off x="30324144" y="8951386"/>
          <a:ext cx="4683804" cy="1270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58</xdr:col>
      <xdr:colOff>276348</xdr:colOff>
      <xdr:row>3</xdr:row>
      <xdr:rowOff>148938</xdr:rowOff>
    </xdr:from>
    <xdr:ext cx="2220190" cy="800091"/>
    <xdr:sp macro="" textlink="">
      <xdr:nvSpPr>
        <xdr:cNvPr id="299" name="TextBox 298">
          <a:extLst>
            <a:ext uri="{FF2B5EF4-FFF2-40B4-BE49-F238E27FC236}">
              <a16:creationId xmlns:a16="http://schemas.microsoft.com/office/drawing/2014/main" id="{5EC3BC2F-CCD9-403B-9EFF-3FAC899F6445}"/>
            </a:ext>
          </a:extLst>
        </xdr:cNvPr>
        <xdr:cNvSpPr txBox="1"/>
      </xdr:nvSpPr>
      <xdr:spPr>
        <a:xfrm>
          <a:off x="35790991" y="720438"/>
          <a:ext cx="2220190" cy="80009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ctr"/>
          <a:r>
            <a:rPr lang="en-AU" sz="2400" b="0">
              <a:solidFill>
                <a:srgbClr val="C00000"/>
              </a:solidFill>
            </a:rPr>
            <a:t>4.5.1.9 </a:t>
          </a:r>
          <a:r>
            <a:rPr lang="en-AU" sz="2400" b="0" baseline="0">
              <a:solidFill>
                <a:srgbClr val="C00000"/>
              </a:solidFill>
            </a:rPr>
            <a:t>Manure applied to soils</a:t>
          </a:r>
          <a:endParaRPr lang="en-AU" sz="2400" b="0">
            <a:solidFill>
              <a:srgbClr val="C00000"/>
            </a:solidFill>
          </a:endParaRPr>
        </a:p>
      </xdr:txBody>
    </xdr:sp>
    <xdr:clientData/>
  </xdr:oneCellAnchor>
  <xdr:twoCellAnchor>
    <xdr:from>
      <xdr:col>42</xdr:col>
      <xdr:colOff>137246</xdr:colOff>
      <xdr:row>34</xdr:row>
      <xdr:rowOff>129267</xdr:rowOff>
    </xdr:from>
    <xdr:to>
      <xdr:col>58</xdr:col>
      <xdr:colOff>524061</xdr:colOff>
      <xdr:row>63</xdr:row>
      <xdr:rowOff>161924</xdr:rowOff>
    </xdr:to>
    <xdr:cxnSp macro="">
      <xdr:nvCxnSpPr>
        <xdr:cNvPr id="301" name="Connector: Curved 300">
          <a:extLst>
            <a:ext uri="{FF2B5EF4-FFF2-40B4-BE49-F238E27FC236}">
              <a16:creationId xmlns:a16="http://schemas.microsoft.com/office/drawing/2014/main" id="{09ACC859-B1AA-C1BF-F328-EB411F9FB0F1}"/>
            </a:ext>
          </a:extLst>
        </xdr:cNvPr>
        <xdr:cNvCxnSpPr>
          <a:stCxn id="235" idx="2"/>
          <a:endCxn id="275" idx="0"/>
        </xdr:cNvCxnSpPr>
      </xdr:nvCxnSpPr>
      <xdr:spPr>
        <a:xfrm rot="16200000" flipH="1">
          <a:off x="27858893" y="4342347"/>
          <a:ext cx="5557157" cy="10084997"/>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137247</xdr:colOff>
      <xdr:row>34</xdr:row>
      <xdr:rowOff>129267</xdr:rowOff>
    </xdr:from>
    <xdr:to>
      <xdr:col>62</xdr:col>
      <xdr:colOff>260083</xdr:colOff>
      <xdr:row>63</xdr:row>
      <xdr:rowOff>157842</xdr:rowOff>
    </xdr:to>
    <xdr:cxnSp macro="">
      <xdr:nvCxnSpPr>
        <xdr:cNvPr id="303" name="Connector: Curved 302">
          <a:extLst>
            <a:ext uri="{FF2B5EF4-FFF2-40B4-BE49-F238E27FC236}">
              <a16:creationId xmlns:a16="http://schemas.microsoft.com/office/drawing/2014/main" id="{0AD122E7-7CB0-9572-AB16-A89C9E60E890}"/>
            </a:ext>
          </a:extLst>
        </xdr:cNvPr>
        <xdr:cNvCxnSpPr>
          <a:stCxn id="235" idx="2"/>
          <a:endCxn id="276" idx="0"/>
        </xdr:cNvCxnSpPr>
      </xdr:nvCxnSpPr>
      <xdr:spPr>
        <a:xfrm rot="16200000" flipH="1">
          <a:off x="28941218" y="3260023"/>
          <a:ext cx="5553075" cy="1224556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540820</xdr:colOff>
      <xdr:row>34</xdr:row>
      <xdr:rowOff>132483</xdr:rowOff>
    </xdr:from>
    <xdr:to>
      <xdr:col>58</xdr:col>
      <xdr:colOff>524062</xdr:colOff>
      <xdr:row>63</xdr:row>
      <xdr:rowOff>161924</xdr:rowOff>
    </xdr:to>
    <xdr:cxnSp macro="">
      <xdr:nvCxnSpPr>
        <xdr:cNvPr id="305" name="Connector: Curved 304">
          <a:extLst>
            <a:ext uri="{FF2B5EF4-FFF2-40B4-BE49-F238E27FC236}">
              <a16:creationId xmlns:a16="http://schemas.microsoft.com/office/drawing/2014/main" id="{55F2D1C0-32C1-5DC6-7DE4-510D6A8A0089}"/>
            </a:ext>
          </a:extLst>
        </xdr:cNvPr>
        <xdr:cNvCxnSpPr>
          <a:stCxn id="277" idx="2"/>
          <a:endCxn id="275" idx="0"/>
        </xdr:cNvCxnSpPr>
      </xdr:nvCxnSpPr>
      <xdr:spPr>
        <a:xfrm rot="16200000" flipH="1">
          <a:off x="31396038" y="7879492"/>
          <a:ext cx="5553941" cy="301392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53</xdr:col>
      <xdr:colOff>540819</xdr:colOff>
      <xdr:row>34</xdr:row>
      <xdr:rowOff>132483</xdr:rowOff>
    </xdr:from>
    <xdr:to>
      <xdr:col>62</xdr:col>
      <xdr:colOff>260082</xdr:colOff>
      <xdr:row>63</xdr:row>
      <xdr:rowOff>157842</xdr:rowOff>
    </xdr:to>
    <xdr:cxnSp macro="">
      <xdr:nvCxnSpPr>
        <xdr:cNvPr id="307" name="Connector: Curved 306">
          <a:extLst>
            <a:ext uri="{FF2B5EF4-FFF2-40B4-BE49-F238E27FC236}">
              <a16:creationId xmlns:a16="http://schemas.microsoft.com/office/drawing/2014/main" id="{47B946AA-5E92-5183-9C94-20602F2FDA25}"/>
            </a:ext>
          </a:extLst>
        </xdr:cNvPr>
        <xdr:cNvCxnSpPr>
          <a:stCxn id="277" idx="2"/>
          <a:endCxn id="276" idx="0"/>
        </xdr:cNvCxnSpPr>
      </xdr:nvCxnSpPr>
      <xdr:spPr>
        <a:xfrm rot="16200000" flipH="1">
          <a:off x="32478362" y="6797167"/>
          <a:ext cx="5549859" cy="5174491"/>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272576</xdr:colOff>
      <xdr:row>45</xdr:row>
      <xdr:rowOff>171449</xdr:rowOff>
    </xdr:from>
    <xdr:to>
      <xdr:col>58</xdr:col>
      <xdr:colOff>524062</xdr:colOff>
      <xdr:row>63</xdr:row>
      <xdr:rowOff>161924</xdr:rowOff>
    </xdr:to>
    <xdr:cxnSp macro="">
      <xdr:nvCxnSpPr>
        <xdr:cNvPr id="309" name="Connector: Curved 308">
          <a:extLst>
            <a:ext uri="{FF2B5EF4-FFF2-40B4-BE49-F238E27FC236}">
              <a16:creationId xmlns:a16="http://schemas.microsoft.com/office/drawing/2014/main" id="{B2C1E2D5-0A2E-B1AD-04E0-66F4E9549D77}"/>
            </a:ext>
          </a:extLst>
        </xdr:cNvPr>
        <xdr:cNvCxnSpPr>
          <a:stCxn id="256" idx="2"/>
          <a:endCxn id="275" idx="0"/>
        </xdr:cNvCxnSpPr>
      </xdr:nvCxnSpPr>
      <xdr:spPr>
        <a:xfrm rot="16200000" flipH="1">
          <a:off x="29601536" y="6084989"/>
          <a:ext cx="3419475" cy="8737395"/>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44</xdr:col>
      <xdr:colOff>272575</xdr:colOff>
      <xdr:row>45</xdr:row>
      <xdr:rowOff>171449</xdr:rowOff>
    </xdr:from>
    <xdr:to>
      <xdr:col>62</xdr:col>
      <xdr:colOff>260082</xdr:colOff>
      <xdr:row>63</xdr:row>
      <xdr:rowOff>157842</xdr:rowOff>
    </xdr:to>
    <xdr:cxnSp macro="">
      <xdr:nvCxnSpPr>
        <xdr:cNvPr id="311" name="Connector: Curved 310">
          <a:extLst>
            <a:ext uri="{FF2B5EF4-FFF2-40B4-BE49-F238E27FC236}">
              <a16:creationId xmlns:a16="http://schemas.microsoft.com/office/drawing/2014/main" id="{12B4B419-5155-4BB4-6C45-C8CE7BFC6469}"/>
            </a:ext>
          </a:extLst>
        </xdr:cNvPr>
        <xdr:cNvCxnSpPr>
          <a:stCxn id="256" idx="2"/>
          <a:endCxn id="276" idx="0"/>
        </xdr:cNvCxnSpPr>
      </xdr:nvCxnSpPr>
      <xdr:spPr>
        <a:xfrm rot="16200000" flipH="1">
          <a:off x="30683859" y="5002665"/>
          <a:ext cx="3415393" cy="10897962"/>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40</xdr:col>
      <xdr:colOff>312717</xdr:colOff>
      <xdr:row>32</xdr:row>
      <xdr:rowOff>72118</xdr:rowOff>
    </xdr:from>
    <xdr:to>
      <xdr:col>43</xdr:col>
      <xdr:colOff>561726</xdr:colOff>
      <xdr:row>34</xdr:row>
      <xdr:rowOff>129268</xdr:rowOff>
    </xdr:to>
    <xdr:sp macro="" textlink="'4.5.1.3-4 Direct N2O'!D104">
      <xdr:nvSpPr>
        <xdr:cNvPr id="235" name="TextBox 234">
          <a:hlinkClick xmlns:r="http://schemas.openxmlformats.org/officeDocument/2006/relationships" r:id="rId11"/>
          <a:extLst>
            <a:ext uri="{FF2B5EF4-FFF2-40B4-BE49-F238E27FC236}">
              <a16:creationId xmlns:a16="http://schemas.microsoft.com/office/drawing/2014/main" id="{23B76BC1-7684-4971-98DD-273E9404D924}"/>
            </a:ext>
          </a:extLst>
        </xdr:cNvPr>
        <xdr:cNvSpPr txBox="1"/>
      </xdr:nvSpPr>
      <xdr:spPr>
        <a:xfrm>
          <a:off x="24558172" y="6168118"/>
          <a:ext cx="206741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C1A0593-9A00-4647-809D-D63ABCBF3D6B}" type="TxLink">
            <a:rPr lang="en-US" sz="900" b="0" i="0" u="none" strike="noStrike">
              <a:solidFill>
                <a:srgbClr val="4F4789"/>
              </a:solidFill>
              <a:latin typeface="Times New Roman"/>
              <a:cs typeface="Times New Roman"/>
            </a:rPr>
            <a:pPr algn="ctr"/>
            <a:t>Nitrogen in treatment stage 1 MMS</a:t>
          </a:fld>
          <a:endParaRPr lang="en-AU" sz="900">
            <a:solidFill>
              <a:srgbClr val="4F4789"/>
            </a:solidFill>
          </a:endParaRPr>
        </a:p>
      </xdr:txBody>
    </xdr:sp>
    <xdr:clientData/>
  </xdr:twoCellAnchor>
  <xdr:twoCellAnchor>
    <xdr:from>
      <xdr:col>42</xdr:col>
      <xdr:colOff>446067</xdr:colOff>
      <xdr:row>38</xdr:row>
      <xdr:rowOff>95250</xdr:rowOff>
    </xdr:from>
    <xdr:to>
      <xdr:col>46</xdr:col>
      <xdr:colOff>86219</xdr:colOff>
      <xdr:row>40</xdr:row>
      <xdr:rowOff>152400</xdr:rowOff>
    </xdr:to>
    <xdr:sp macro="" textlink="'4.5.1.3-4 Direct N2O'!D127">
      <xdr:nvSpPr>
        <xdr:cNvPr id="255" name="TextBox 254">
          <a:hlinkClick xmlns:r="http://schemas.openxmlformats.org/officeDocument/2006/relationships" r:id="rId12"/>
          <a:extLst>
            <a:ext uri="{FF2B5EF4-FFF2-40B4-BE49-F238E27FC236}">
              <a16:creationId xmlns:a16="http://schemas.microsoft.com/office/drawing/2014/main" id="{8C140567-2D1E-4BB8-B4F1-730266545509}"/>
            </a:ext>
          </a:extLst>
        </xdr:cNvPr>
        <xdr:cNvSpPr txBox="1"/>
      </xdr:nvSpPr>
      <xdr:spPr>
        <a:xfrm>
          <a:off x="25903794" y="733425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0A09607B-5B29-403E-B6A5-BFF51374C096}" type="TxLink">
            <a:rPr lang="en-US" sz="900" b="0" i="0" u="none" strike="noStrike">
              <a:solidFill>
                <a:srgbClr val="4F4789"/>
              </a:solidFill>
              <a:latin typeface="Times New Roman"/>
              <a:cs typeface="Times New Roman"/>
            </a:rPr>
            <a:pPr algn="ctr"/>
            <a:t>Nitrogen transferred to treatment stage 2 MMS</a:t>
          </a:fld>
          <a:endParaRPr lang="en-AU" sz="900">
            <a:solidFill>
              <a:srgbClr val="4F4789"/>
            </a:solidFill>
          </a:endParaRPr>
        </a:p>
      </xdr:txBody>
    </xdr:sp>
    <xdr:clientData/>
  </xdr:twoCellAnchor>
  <xdr:twoCellAnchor>
    <xdr:from>
      <xdr:col>42</xdr:col>
      <xdr:colOff>455592</xdr:colOff>
      <xdr:row>43</xdr:row>
      <xdr:rowOff>114300</xdr:rowOff>
    </xdr:from>
    <xdr:to>
      <xdr:col>46</xdr:col>
      <xdr:colOff>95744</xdr:colOff>
      <xdr:row>45</xdr:row>
      <xdr:rowOff>171450</xdr:rowOff>
    </xdr:to>
    <xdr:sp macro="" textlink="'4.5.1.3-4 Direct N2O'!D173">
      <xdr:nvSpPr>
        <xdr:cNvPr id="256" name="TextBox 255">
          <a:hlinkClick xmlns:r="http://schemas.openxmlformats.org/officeDocument/2006/relationships" r:id="rId13"/>
          <a:extLst>
            <a:ext uri="{FF2B5EF4-FFF2-40B4-BE49-F238E27FC236}">
              <a16:creationId xmlns:a16="http://schemas.microsoft.com/office/drawing/2014/main" id="{D9485037-16B1-44EA-AF8A-00FD0A04D21C}"/>
            </a:ext>
          </a:extLst>
        </xdr:cNvPr>
        <xdr:cNvSpPr txBox="1"/>
      </xdr:nvSpPr>
      <xdr:spPr>
        <a:xfrm>
          <a:off x="25913319" y="8305800"/>
          <a:ext cx="2064698"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AC59ACA-9BA7-4C24-815D-5FECDD3E2086}" type="TxLink">
            <a:rPr lang="en-US" sz="900" b="0" i="0" u="none" strike="noStrike">
              <a:solidFill>
                <a:srgbClr val="4F4789"/>
              </a:solidFill>
              <a:latin typeface="Times New Roman"/>
              <a:cs typeface="Times New Roman"/>
            </a:rPr>
            <a:pPr algn="ctr"/>
            <a:t>Nitrogen in treatment stage 2 MMS</a:t>
          </a:fld>
          <a:endParaRPr lang="en-AU" sz="900">
            <a:solidFill>
              <a:srgbClr val="4F4789"/>
            </a:solidFill>
          </a:endParaRPr>
        </a:p>
      </xdr:txBody>
    </xdr:sp>
    <xdr:clientData/>
  </xdr:twoCellAnchor>
  <xdr:twoCellAnchor>
    <xdr:from>
      <xdr:col>40</xdr:col>
      <xdr:colOff>281420</xdr:colOff>
      <xdr:row>53</xdr:row>
      <xdr:rowOff>180975</xdr:rowOff>
    </xdr:from>
    <xdr:to>
      <xdr:col>43</xdr:col>
      <xdr:colOff>527707</xdr:colOff>
      <xdr:row>56</xdr:row>
      <xdr:rowOff>47625</xdr:rowOff>
    </xdr:to>
    <xdr:sp macro="" textlink="'4.5.1.3-4 Direct N2O'!D246">
      <xdr:nvSpPr>
        <xdr:cNvPr id="257" name="TextBox 256">
          <a:hlinkClick xmlns:r="http://schemas.openxmlformats.org/officeDocument/2006/relationships" r:id="rId14"/>
          <a:extLst>
            <a:ext uri="{FF2B5EF4-FFF2-40B4-BE49-F238E27FC236}">
              <a16:creationId xmlns:a16="http://schemas.microsoft.com/office/drawing/2014/main" id="{921E971A-01BC-419B-A6E6-6A153FA8E237}"/>
            </a:ext>
          </a:extLst>
        </xdr:cNvPr>
        <xdr:cNvSpPr txBox="1"/>
      </xdr:nvSpPr>
      <xdr:spPr>
        <a:xfrm>
          <a:off x="24526875" y="10277475"/>
          <a:ext cx="2064696" cy="438150"/>
        </a:xfrm>
        <a:prstGeom prst="rect">
          <a:avLst/>
        </a:prstGeom>
        <a:solidFill>
          <a:schemeClr val="lt1"/>
        </a:solidFill>
        <a:ln w="9525" cmpd="sng">
          <a:solidFill>
            <a:srgbClr val="4F4789"/>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CB0501C-18BA-4313-BC11-511EC47B3A2E}" type="TxLink">
            <a:rPr lang="en-US" sz="900" b="1" i="0" u="none" strike="noStrike">
              <a:solidFill>
                <a:srgbClr val="4F4789"/>
              </a:solidFill>
              <a:latin typeface="Times New Roman"/>
              <a:cs typeface="Times New Roman"/>
            </a:rPr>
            <a:pPr algn="ctr"/>
            <a:t>Total annual direct nitrous oxide emissions from manure management systems</a:t>
          </a:fld>
          <a:endParaRPr lang="en-AU" sz="900" b="1">
            <a:solidFill>
              <a:srgbClr val="4F4789"/>
            </a:solidFill>
          </a:endParaRPr>
        </a:p>
      </xdr:txBody>
    </xdr:sp>
    <xdr:clientData/>
  </xdr:twoCellAnchor>
  <xdr:twoCellAnchor>
    <xdr:from>
      <xdr:col>57</xdr:col>
      <xdr:colOff>99579</xdr:colOff>
      <xdr:row>63</xdr:row>
      <xdr:rowOff>161925</xdr:rowOff>
    </xdr:from>
    <xdr:to>
      <xdr:col>60</xdr:col>
      <xdr:colOff>342406</xdr:colOff>
      <xdr:row>66</xdr:row>
      <xdr:rowOff>28575</xdr:rowOff>
    </xdr:to>
    <xdr:sp macro="" textlink="'4.5.1.9 Manure applied to soils'!D5">
      <xdr:nvSpPr>
        <xdr:cNvPr id="275" name="TextBox 274">
          <a:hlinkClick xmlns:r="http://schemas.openxmlformats.org/officeDocument/2006/relationships" r:id="rId15"/>
          <a:extLst>
            <a:ext uri="{FF2B5EF4-FFF2-40B4-BE49-F238E27FC236}">
              <a16:creationId xmlns:a16="http://schemas.microsoft.com/office/drawing/2014/main" id="{798CA728-8E7E-4158-8AEC-FFC54E1EE966}"/>
            </a:ext>
          </a:extLst>
        </xdr:cNvPr>
        <xdr:cNvSpPr txBox="1"/>
      </xdr:nvSpPr>
      <xdr:spPr>
        <a:xfrm>
          <a:off x="34649352" y="12163425"/>
          <a:ext cx="2061236"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E4C52C-E43A-40D9-95DE-AB44171BD55E}" type="TxLink">
            <a:rPr lang="en-US" sz="900" b="1" i="0" u="none" strike="noStrike">
              <a:solidFill>
                <a:schemeClr val="accent4">
                  <a:lumMod val="75000"/>
                </a:schemeClr>
              </a:solidFill>
              <a:latin typeface="Times New Roman"/>
              <a:cs typeface="Times New Roman"/>
            </a:rPr>
            <a:pPr algn="ctr"/>
            <a:t>Mass of nitrogen applied to soils for scope 1 emissions</a:t>
          </a:fld>
          <a:endParaRPr lang="en-AU" sz="900" b="1">
            <a:solidFill>
              <a:schemeClr val="accent4">
                <a:lumMod val="75000"/>
              </a:schemeClr>
            </a:solidFill>
          </a:endParaRPr>
        </a:p>
      </xdr:txBody>
    </xdr:sp>
    <xdr:clientData/>
  </xdr:twoCellAnchor>
  <xdr:twoCellAnchor>
    <xdr:from>
      <xdr:col>60</xdr:col>
      <xdr:colOff>443098</xdr:colOff>
      <xdr:row>63</xdr:row>
      <xdr:rowOff>157843</xdr:rowOff>
    </xdr:from>
    <xdr:to>
      <xdr:col>64</xdr:col>
      <xdr:colOff>83252</xdr:colOff>
      <xdr:row>66</xdr:row>
      <xdr:rowOff>24493</xdr:rowOff>
    </xdr:to>
    <xdr:sp macro="" textlink="'4.5.1.9 Manure applied to soils'!D165">
      <xdr:nvSpPr>
        <xdr:cNvPr id="276" name="TextBox 275">
          <a:hlinkClick xmlns:r="http://schemas.openxmlformats.org/officeDocument/2006/relationships" r:id="rId16"/>
          <a:extLst>
            <a:ext uri="{FF2B5EF4-FFF2-40B4-BE49-F238E27FC236}">
              <a16:creationId xmlns:a16="http://schemas.microsoft.com/office/drawing/2014/main" id="{352040DD-EBF2-48F6-81F0-2A943B35EBD8}"/>
            </a:ext>
          </a:extLst>
        </xdr:cNvPr>
        <xdr:cNvSpPr txBox="1"/>
      </xdr:nvSpPr>
      <xdr:spPr>
        <a:xfrm>
          <a:off x="36811280" y="12159343"/>
          <a:ext cx="2064699" cy="438150"/>
        </a:xfrm>
        <a:prstGeom prst="rect">
          <a:avLst/>
        </a:prstGeom>
        <a:solidFill>
          <a:schemeClr val="lt1"/>
        </a:solidFill>
        <a:ln w="9525" cmpd="sng">
          <a:solidFill>
            <a:schemeClr val="accent4">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86F65A-42C5-47E3-957A-D2FA29D414DC}" type="TxLink">
            <a:rPr lang="en-US" sz="900" b="1" i="0" u="none" strike="noStrike">
              <a:solidFill>
                <a:schemeClr val="accent4">
                  <a:lumMod val="75000"/>
                </a:schemeClr>
              </a:solidFill>
              <a:latin typeface="Times New Roman"/>
              <a:cs typeface="Times New Roman"/>
            </a:rPr>
            <a:pPr algn="ctr"/>
            <a:t>Mass of nitrogen applied to soils for scope 3 emissions</a:t>
          </a:fld>
          <a:endParaRPr lang="en-AU" sz="900" b="1">
            <a:solidFill>
              <a:schemeClr val="accent4">
                <a:lumMod val="75000"/>
              </a:schemeClr>
            </a:solidFill>
          </a:endParaRPr>
        </a:p>
      </xdr:txBody>
    </xdr:sp>
    <xdr:clientData/>
  </xdr:twoCellAnchor>
  <xdr:twoCellAnchor>
    <xdr:from>
      <xdr:col>52</xdr:col>
      <xdr:colOff>116338</xdr:colOff>
      <xdr:row>32</xdr:row>
      <xdr:rowOff>75334</xdr:rowOff>
    </xdr:from>
    <xdr:to>
      <xdr:col>55</xdr:col>
      <xdr:colOff>359161</xdr:colOff>
      <xdr:row>34</xdr:row>
      <xdr:rowOff>132484</xdr:rowOff>
    </xdr:to>
    <xdr:sp macro="" textlink="'4.5.1.7-8 Leaching and runoff'!D5">
      <xdr:nvSpPr>
        <xdr:cNvPr id="277" name="TextBox 276">
          <a:hlinkClick xmlns:r="http://schemas.openxmlformats.org/officeDocument/2006/relationships" r:id="rId17"/>
          <a:extLst>
            <a:ext uri="{FF2B5EF4-FFF2-40B4-BE49-F238E27FC236}">
              <a16:creationId xmlns:a16="http://schemas.microsoft.com/office/drawing/2014/main" id="{9BFA1328-88E0-48A8-A12A-77FCD85D6BD4}"/>
            </a:ext>
          </a:extLst>
        </xdr:cNvPr>
        <xdr:cNvSpPr txBox="1"/>
      </xdr:nvSpPr>
      <xdr:spPr>
        <a:xfrm>
          <a:off x="31635429" y="6171334"/>
          <a:ext cx="206123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F3598A9-E566-482B-A184-A420107698AC}" type="TxLink">
            <a:rPr lang="en-US" sz="900" b="0" i="0" u="none" strike="noStrike">
              <a:solidFill>
                <a:schemeClr val="accent6">
                  <a:lumMod val="50000"/>
                </a:schemeClr>
              </a:solidFill>
              <a:latin typeface="Times New Roman"/>
              <a:cs typeface="Times New Roman"/>
            </a:rPr>
            <a:pPr algn="ctr"/>
            <a:t>Mass of nitrogen lost to leaching and runoff from drylot MMS</a:t>
          </a:fld>
          <a:endParaRPr lang="en-AU" sz="900">
            <a:solidFill>
              <a:schemeClr val="accent6">
                <a:lumMod val="50000"/>
              </a:schemeClr>
            </a:solidFill>
          </a:endParaRPr>
        </a:p>
      </xdr:txBody>
    </xdr:sp>
    <xdr:clientData/>
  </xdr:twoCellAnchor>
  <xdr:twoCellAnchor>
    <xdr:from>
      <xdr:col>52</xdr:col>
      <xdr:colOff>118208</xdr:colOff>
      <xdr:row>59</xdr:row>
      <xdr:rowOff>53788</xdr:rowOff>
    </xdr:from>
    <xdr:to>
      <xdr:col>55</xdr:col>
      <xdr:colOff>357291</xdr:colOff>
      <xdr:row>61</xdr:row>
      <xdr:rowOff>110938</xdr:rowOff>
    </xdr:to>
    <xdr:sp macro="" textlink="'4.5.1.7-8 Leaching and runoff'!D32">
      <xdr:nvSpPr>
        <xdr:cNvPr id="278" name="TextBox 277">
          <a:hlinkClick xmlns:r="http://schemas.openxmlformats.org/officeDocument/2006/relationships" r:id="rId18"/>
          <a:extLst>
            <a:ext uri="{FF2B5EF4-FFF2-40B4-BE49-F238E27FC236}">
              <a16:creationId xmlns:a16="http://schemas.microsoft.com/office/drawing/2014/main" id="{BA1D8FB1-0619-489A-A113-56E810B8CD15}"/>
            </a:ext>
          </a:extLst>
        </xdr:cNvPr>
        <xdr:cNvSpPr txBox="1"/>
      </xdr:nvSpPr>
      <xdr:spPr>
        <a:xfrm>
          <a:off x="31637299" y="11293288"/>
          <a:ext cx="2057492" cy="43815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4CA00E2-BF52-416C-9BDF-AB87B236AE9A}" type="TxLink">
            <a:rPr lang="en-US" sz="900" b="1" i="0" u="none" strike="noStrike">
              <a:solidFill>
                <a:schemeClr val="accent6">
                  <a:lumMod val="50000"/>
                </a:schemeClr>
              </a:solidFill>
              <a:latin typeface="Times New Roman"/>
              <a:cs typeface="Times New Roman"/>
            </a:rPr>
            <a:pPr algn="ctr"/>
            <a:t>Annual emissions from leaching and runoff from each MMS</a:t>
          </a:fld>
          <a:endParaRPr lang="en-AU" sz="900" b="1">
            <a:solidFill>
              <a:schemeClr val="accent6">
                <a:lumMod val="50000"/>
              </a:schemeClr>
            </a:solidFill>
          </a:endParaRPr>
        </a:p>
      </xdr:txBody>
    </xdr:sp>
    <xdr:clientData/>
  </xdr:twoCellAnchor>
  <xdr:twoCellAnchor>
    <xdr:from>
      <xdr:col>47</xdr:col>
      <xdr:colOff>586636</xdr:colOff>
      <xdr:row>54</xdr:row>
      <xdr:rowOff>8149</xdr:rowOff>
    </xdr:from>
    <xdr:to>
      <xdr:col>51</xdr:col>
      <xdr:colOff>226045</xdr:colOff>
      <xdr:row>56</xdr:row>
      <xdr:rowOff>65299</xdr:rowOff>
    </xdr:to>
    <xdr:sp macro="" textlink="'4.5.1.5-6 Atmos Dep'!D5">
      <xdr:nvSpPr>
        <xdr:cNvPr id="279" name="TextBox 278">
          <a:hlinkClick xmlns:r="http://schemas.openxmlformats.org/officeDocument/2006/relationships" r:id="rId19"/>
          <a:extLst>
            <a:ext uri="{FF2B5EF4-FFF2-40B4-BE49-F238E27FC236}">
              <a16:creationId xmlns:a16="http://schemas.microsoft.com/office/drawing/2014/main" id="{030AD5CC-B912-4D07-9CFA-BC11605A43EB}"/>
            </a:ext>
          </a:extLst>
        </xdr:cNvPr>
        <xdr:cNvSpPr txBox="1"/>
      </xdr:nvSpPr>
      <xdr:spPr>
        <a:xfrm>
          <a:off x="29075045" y="10295149"/>
          <a:ext cx="2063955"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E83AF03-08B6-4E9E-9F0F-32986A4D7D75}" type="TxLink">
            <a:rPr lang="en-US" sz="900" b="0" i="0" u="none" strike="noStrike">
              <a:solidFill>
                <a:srgbClr val="002060"/>
              </a:solidFill>
              <a:latin typeface="Times New Roman"/>
              <a:cs typeface="Times New Roman"/>
            </a:rPr>
            <a:pPr algn="ctr"/>
            <a:t>Total nitrogen volatilised from MMS</a:t>
          </a:fld>
          <a:endParaRPr lang="en-AU" sz="900">
            <a:solidFill>
              <a:srgbClr val="002060"/>
            </a:solidFill>
          </a:endParaRPr>
        </a:p>
      </xdr:txBody>
    </xdr:sp>
    <xdr:clientData/>
  </xdr:twoCellAnchor>
  <xdr:twoCellAnchor>
    <xdr:from>
      <xdr:col>47</xdr:col>
      <xdr:colOff>586636</xdr:colOff>
      <xdr:row>59</xdr:row>
      <xdr:rowOff>52573</xdr:rowOff>
    </xdr:from>
    <xdr:to>
      <xdr:col>51</xdr:col>
      <xdr:colOff>232232</xdr:colOff>
      <xdr:row>61</xdr:row>
      <xdr:rowOff>109723</xdr:rowOff>
    </xdr:to>
    <xdr:sp macro="" textlink="'4.5.1.5-6 Atmos Dep'!D110">
      <xdr:nvSpPr>
        <xdr:cNvPr id="280" name="TextBox 279">
          <a:hlinkClick xmlns:r="http://schemas.openxmlformats.org/officeDocument/2006/relationships" r:id="rId20"/>
          <a:extLst>
            <a:ext uri="{FF2B5EF4-FFF2-40B4-BE49-F238E27FC236}">
              <a16:creationId xmlns:a16="http://schemas.microsoft.com/office/drawing/2014/main" id="{D2184A06-67B0-47FA-8E33-9511E451F384}"/>
            </a:ext>
          </a:extLst>
        </xdr:cNvPr>
        <xdr:cNvSpPr txBox="1"/>
      </xdr:nvSpPr>
      <xdr:spPr>
        <a:xfrm>
          <a:off x="29075045" y="11292073"/>
          <a:ext cx="2070142" cy="438150"/>
        </a:xfrm>
        <a:prstGeom prst="rect">
          <a:avLst/>
        </a:prstGeom>
        <a:solidFill>
          <a:schemeClr val="lt1"/>
        </a:solidFill>
        <a:ln w="9525" cmpd="sng">
          <a:solidFill>
            <a:schemeClr val="tx2">
              <a:lumMod val="90000"/>
              <a:lumOff val="1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96C5386-5B2E-4C7F-9E57-6335A5DDFBBE}" type="TxLink">
            <a:rPr lang="en-US" sz="900" b="1" i="0" u="none" strike="noStrike">
              <a:solidFill>
                <a:srgbClr val="002060"/>
              </a:solidFill>
              <a:latin typeface="Times New Roman"/>
              <a:cs typeface="Times New Roman"/>
            </a:rPr>
            <a:pPr algn="ctr"/>
            <a:t>Annual atmospheric deposition emissions from MMS</a:t>
          </a:fld>
          <a:endParaRPr lang="en-AU" sz="900" b="1">
            <a:solidFill>
              <a:srgbClr val="002060"/>
            </a:solidFill>
          </a:endParaRPr>
        </a:p>
      </xdr:txBody>
    </xdr:sp>
    <xdr:clientData/>
  </xdr:twoCellAnchor>
  <xdr:oneCellAnchor>
    <xdr:from>
      <xdr:col>0</xdr:col>
      <xdr:colOff>248886</xdr:colOff>
      <xdr:row>14</xdr:row>
      <xdr:rowOff>135083</xdr:rowOff>
    </xdr:from>
    <xdr:ext cx="1518173" cy="357790"/>
    <xdr:sp macro="" textlink="">
      <xdr:nvSpPr>
        <xdr:cNvPr id="319" name="TextBox 318">
          <a:extLst>
            <a:ext uri="{FF2B5EF4-FFF2-40B4-BE49-F238E27FC236}">
              <a16:creationId xmlns:a16="http://schemas.microsoft.com/office/drawing/2014/main" id="{674F5377-984B-4673-BB82-96F93E217D60}"/>
            </a:ext>
          </a:extLst>
        </xdr:cNvPr>
        <xdr:cNvSpPr txBox="1"/>
      </xdr:nvSpPr>
      <xdr:spPr>
        <a:xfrm>
          <a:off x="248886" y="2802083"/>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0</xdr:col>
      <xdr:colOff>106877</xdr:colOff>
      <xdr:row>38</xdr:row>
      <xdr:rowOff>62347</xdr:rowOff>
    </xdr:from>
    <xdr:ext cx="1518173" cy="357790"/>
    <xdr:sp macro="" textlink="">
      <xdr:nvSpPr>
        <xdr:cNvPr id="320" name="TextBox 319">
          <a:extLst>
            <a:ext uri="{FF2B5EF4-FFF2-40B4-BE49-F238E27FC236}">
              <a16:creationId xmlns:a16="http://schemas.microsoft.com/office/drawing/2014/main" id="{1CB20959-D8EB-4C58-9CA9-C1B9B12D5702}"/>
            </a:ext>
          </a:extLst>
        </xdr:cNvPr>
        <xdr:cNvSpPr txBox="1"/>
      </xdr:nvSpPr>
      <xdr:spPr>
        <a:xfrm>
          <a:off x="106877" y="7301347"/>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0</xdr:col>
      <xdr:colOff>190004</xdr:colOff>
      <xdr:row>64</xdr:row>
      <xdr:rowOff>40327</xdr:rowOff>
    </xdr:from>
    <xdr:ext cx="1338700" cy="357790"/>
    <xdr:sp macro="" textlink="">
      <xdr:nvSpPr>
        <xdr:cNvPr id="321" name="TextBox 320">
          <a:extLst>
            <a:ext uri="{FF2B5EF4-FFF2-40B4-BE49-F238E27FC236}">
              <a16:creationId xmlns:a16="http://schemas.microsoft.com/office/drawing/2014/main" id="{2D743358-267B-4B10-A517-483EB311E502}"/>
            </a:ext>
          </a:extLst>
        </xdr:cNvPr>
        <xdr:cNvSpPr txBox="1"/>
      </xdr:nvSpPr>
      <xdr:spPr>
        <a:xfrm>
          <a:off x="190004" y="1223232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oneCellAnchor>
    <xdr:from>
      <xdr:col>65</xdr:col>
      <xdr:colOff>490933</xdr:colOff>
      <xdr:row>14</xdr:row>
      <xdr:rowOff>119395</xdr:rowOff>
    </xdr:from>
    <xdr:ext cx="1518173" cy="357790"/>
    <xdr:sp macro="" textlink="">
      <xdr:nvSpPr>
        <xdr:cNvPr id="326" name="TextBox 325">
          <a:extLst>
            <a:ext uri="{FF2B5EF4-FFF2-40B4-BE49-F238E27FC236}">
              <a16:creationId xmlns:a16="http://schemas.microsoft.com/office/drawing/2014/main" id="{D394F789-B82B-4159-9F28-698E960C7F10}"/>
            </a:ext>
          </a:extLst>
        </xdr:cNvPr>
        <xdr:cNvSpPr txBox="1"/>
      </xdr:nvSpPr>
      <xdr:spPr>
        <a:xfrm>
          <a:off x="40291826" y="2786395"/>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1 MMS</a:t>
          </a:r>
        </a:p>
      </xdr:txBody>
    </xdr:sp>
    <xdr:clientData/>
  </xdr:oneCellAnchor>
  <xdr:oneCellAnchor>
    <xdr:from>
      <xdr:col>65</xdr:col>
      <xdr:colOff>348924</xdr:colOff>
      <xdr:row>38</xdr:row>
      <xdr:rowOff>46659</xdr:rowOff>
    </xdr:from>
    <xdr:ext cx="1518173" cy="357790"/>
    <xdr:sp macro="" textlink="">
      <xdr:nvSpPr>
        <xdr:cNvPr id="327" name="TextBox 326">
          <a:extLst>
            <a:ext uri="{FF2B5EF4-FFF2-40B4-BE49-F238E27FC236}">
              <a16:creationId xmlns:a16="http://schemas.microsoft.com/office/drawing/2014/main" id="{24220A2E-37D7-42E1-A215-7CCB05286494}"/>
            </a:ext>
          </a:extLst>
        </xdr:cNvPr>
        <xdr:cNvSpPr txBox="1"/>
      </xdr:nvSpPr>
      <xdr:spPr>
        <a:xfrm>
          <a:off x="40149817" y="7285659"/>
          <a:ext cx="1518173"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Stage 2 MMS</a:t>
          </a:r>
        </a:p>
      </xdr:txBody>
    </xdr:sp>
    <xdr:clientData/>
  </xdr:oneCellAnchor>
  <xdr:oneCellAnchor>
    <xdr:from>
      <xdr:col>65</xdr:col>
      <xdr:colOff>432051</xdr:colOff>
      <xdr:row>63</xdr:row>
      <xdr:rowOff>133497</xdr:rowOff>
    </xdr:from>
    <xdr:ext cx="1338700" cy="357790"/>
    <xdr:sp macro="" textlink="">
      <xdr:nvSpPr>
        <xdr:cNvPr id="328" name="TextBox 327">
          <a:extLst>
            <a:ext uri="{FF2B5EF4-FFF2-40B4-BE49-F238E27FC236}">
              <a16:creationId xmlns:a16="http://schemas.microsoft.com/office/drawing/2014/main" id="{DEB05956-3F44-47A5-B1C9-71EBF749611F}"/>
            </a:ext>
          </a:extLst>
        </xdr:cNvPr>
        <xdr:cNvSpPr txBox="1"/>
      </xdr:nvSpPr>
      <xdr:spPr>
        <a:xfrm>
          <a:off x="40232944" y="12134997"/>
          <a:ext cx="1338700" cy="3577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800" b="0">
              <a:solidFill>
                <a:schemeClr val="tx1">
                  <a:lumMod val="50000"/>
                  <a:lumOff val="50000"/>
                </a:schemeClr>
              </a:solidFill>
            </a:rPr>
            <a:t>Destinations</a:t>
          </a:r>
        </a:p>
      </xdr:txBody>
    </xdr:sp>
    <xdr:clientData/>
  </xdr:oneCellAnchor>
  <xdr:twoCellAnchor>
    <xdr:from>
      <xdr:col>0</xdr:col>
      <xdr:colOff>285749</xdr:colOff>
      <xdr:row>1</xdr:row>
      <xdr:rowOff>40821</xdr:rowOff>
    </xdr:from>
    <xdr:to>
      <xdr:col>12</xdr:col>
      <xdr:colOff>421821</xdr:colOff>
      <xdr:row>3</xdr:row>
      <xdr:rowOff>81643</xdr:rowOff>
    </xdr:to>
    <xdr:sp macro="" textlink="">
      <xdr:nvSpPr>
        <xdr:cNvPr id="329" name="TextBox 328">
          <a:extLst>
            <a:ext uri="{FF2B5EF4-FFF2-40B4-BE49-F238E27FC236}">
              <a16:creationId xmlns:a16="http://schemas.microsoft.com/office/drawing/2014/main" id="{37B62A68-A125-9BAF-9517-335484155950}"/>
            </a:ext>
          </a:extLst>
        </xdr:cNvPr>
        <xdr:cNvSpPr txBox="1"/>
      </xdr:nvSpPr>
      <xdr:spPr>
        <a:xfrm>
          <a:off x="285749" y="231321"/>
          <a:ext cx="7483929" cy="421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2800"/>
            <a:t>4.5 Manure Management: Swine: Overview</a:t>
          </a:r>
        </a:p>
      </xdr:txBody>
    </xdr:sp>
    <xdr:clientData/>
  </xdr:twoCellAnchor>
  <xdr:twoCellAnchor>
    <xdr:from>
      <xdr:col>0</xdr:col>
      <xdr:colOff>261257</xdr:colOff>
      <xdr:row>4</xdr:row>
      <xdr:rowOff>16328</xdr:rowOff>
    </xdr:from>
    <xdr:to>
      <xdr:col>15</xdr:col>
      <xdr:colOff>326571</xdr:colOff>
      <xdr:row>9</xdr:row>
      <xdr:rowOff>68036</xdr:rowOff>
    </xdr:to>
    <xdr:sp macro="" textlink="">
      <xdr:nvSpPr>
        <xdr:cNvPr id="330" name="TextBox 329">
          <a:extLst>
            <a:ext uri="{FF2B5EF4-FFF2-40B4-BE49-F238E27FC236}">
              <a16:creationId xmlns:a16="http://schemas.microsoft.com/office/drawing/2014/main" id="{0C38B041-E4EF-4BEB-B9AF-17228FB0AB58}"/>
            </a:ext>
          </a:extLst>
        </xdr:cNvPr>
        <xdr:cNvSpPr txBox="1"/>
      </xdr:nvSpPr>
      <xdr:spPr>
        <a:xfrm>
          <a:off x="261257" y="778328"/>
          <a:ext cx="9250135" cy="10042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solidFill>
                <a:schemeClr val="tx1">
                  <a:lumMod val="65000"/>
                  <a:lumOff val="35000"/>
                </a:schemeClr>
              </a:solidFill>
            </a:rPr>
            <a:t>This sheet shows the flow of</a:t>
          </a:r>
          <a:r>
            <a:rPr lang="en-AU" sz="1800" baseline="0">
              <a:solidFill>
                <a:schemeClr val="tx1">
                  <a:lumMod val="65000"/>
                  <a:lumOff val="35000"/>
                </a:schemeClr>
              </a:solidFill>
            </a:rPr>
            <a:t> manure through various swine manure management systems, where the related equations occur in the process and how the equations interact with each other.</a:t>
          </a:r>
          <a:br>
            <a:rPr lang="en-AU" sz="1800" baseline="0">
              <a:solidFill>
                <a:schemeClr val="tx1">
                  <a:lumMod val="65000"/>
                  <a:lumOff val="35000"/>
                </a:schemeClr>
              </a:solidFill>
            </a:rPr>
          </a:br>
          <a:r>
            <a:rPr lang="en-AU" sz="1800" b="1" baseline="0">
              <a:solidFill>
                <a:schemeClr val="tx1">
                  <a:lumMod val="65000"/>
                  <a:lumOff val="35000"/>
                </a:schemeClr>
              </a:solidFill>
            </a:rPr>
            <a:t>Click on an equation to view it in detail.</a:t>
          </a:r>
          <a:endParaRPr lang="en-AU" sz="1800" b="1">
            <a:solidFill>
              <a:schemeClr val="tx1">
                <a:lumMod val="65000"/>
                <a:lumOff val="35000"/>
              </a:schemeClr>
            </a:solidFill>
          </a:endParaRPr>
        </a:p>
      </xdr:txBody>
    </xdr:sp>
    <xdr:clientData/>
  </xdr:twoCellAnchor>
  <xdr:twoCellAnchor>
    <xdr:from>
      <xdr:col>34</xdr:col>
      <xdr:colOff>251631</xdr:colOff>
      <xdr:row>34</xdr:row>
      <xdr:rowOff>181881</xdr:rowOff>
    </xdr:from>
    <xdr:to>
      <xdr:col>34</xdr:col>
      <xdr:colOff>264331</xdr:colOff>
      <xdr:row>50</xdr:row>
      <xdr:rowOff>39006</xdr:rowOff>
    </xdr:to>
    <xdr:cxnSp macro="">
      <xdr:nvCxnSpPr>
        <xdr:cNvPr id="337" name="Connector: Curved 336">
          <a:extLst>
            <a:ext uri="{FF2B5EF4-FFF2-40B4-BE49-F238E27FC236}">
              <a16:creationId xmlns:a16="http://schemas.microsoft.com/office/drawing/2014/main" id="{92451534-5C88-FBC9-BD46-6431E3DD0122}"/>
            </a:ext>
          </a:extLst>
        </xdr:cNvPr>
        <xdr:cNvCxnSpPr>
          <a:stCxn id="15" idx="2"/>
          <a:endCxn id="16" idx="0"/>
        </xdr:cNvCxnSpPr>
      </xdr:nvCxnSpPr>
      <xdr:spPr>
        <a:xfrm rot="5400000">
          <a:off x="19531818" y="8105094"/>
          <a:ext cx="290512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14</xdr:col>
      <xdr:colOff>0</xdr:colOff>
      <xdr:row>3</xdr:row>
      <xdr:rowOff>0</xdr:rowOff>
    </xdr:from>
    <xdr:to>
      <xdr:col>23</xdr:col>
      <xdr:colOff>505104</xdr:colOff>
      <xdr:row>38</xdr:row>
      <xdr:rowOff>192852</xdr:rowOff>
    </xdr:to>
    <xdr:pic>
      <xdr:nvPicPr>
        <xdr:cNvPr id="3" name="Picture 2">
          <a:extLst>
            <a:ext uri="{FF2B5EF4-FFF2-40B4-BE49-F238E27FC236}">
              <a16:creationId xmlns:a16="http://schemas.microsoft.com/office/drawing/2014/main" id="{C4988C8F-F8C7-81AF-C032-DF6853653A93}"/>
            </a:ext>
          </a:extLst>
        </xdr:cNvPr>
        <xdr:cNvPicPr>
          <a:picLocks noChangeAspect="1"/>
        </xdr:cNvPicPr>
      </xdr:nvPicPr>
      <xdr:blipFill>
        <a:blip xmlns:r="http://schemas.openxmlformats.org/officeDocument/2006/relationships" r:embed="rId1"/>
        <a:stretch>
          <a:fillRect/>
        </a:stretch>
      </xdr:blipFill>
      <xdr:spPr>
        <a:xfrm>
          <a:off x="23678029" y="874059"/>
          <a:ext cx="14041810" cy="8821381"/>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oneCellAnchor>
    <xdr:from>
      <xdr:col>3</xdr:col>
      <xdr:colOff>9525</xdr:colOff>
      <xdr:row>74</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BA3B6995-DA2B-4A6B-B72E-9F495168D74D}"/>
                </a:ext>
              </a:extLst>
            </xdr:cNvPr>
            <xdr:cNvSpPr txBox="1"/>
          </xdr:nvSpPr>
          <xdr:spPr>
            <a:xfrm>
              <a:off x="2686050" y="1917382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𝑉𝑆𝑇_(𝑖𝑗𝑚,𝑇=2)=𝑉𝑆_𝑗×𝐹𝑉𝑆_(𝑗𝑚,𝑇=1)×(1−𝑉𝑆𝐿_(𝑚,𝑇=1) )</a:t>
              </a:r>
              <a:endParaRPr lang="en-AU" sz="1100"/>
            </a:p>
          </xdr:txBody>
        </xdr:sp>
      </mc:Fallback>
    </mc:AlternateContent>
    <xdr:clientData/>
  </xdr:oneCellAnchor>
  <xdr:oneCellAnchor>
    <xdr:from>
      <xdr:col>2</xdr:col>
      <xdr:colOff>290512</xdr:colOff>
      <xdr:row>115</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E41C9D90-28C6-427F-B03E-AB27D8998AD6}"/>
                </a:ext>
              </a:extLst>
            </xdr:cNvPr>
            <xdr:cNvSpPr txBox="1"/>
          </xdr:nvSpPr>
          <xdr:spPr>
            <a:xfrm>
              <a:off x="2652712" y="2922746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𝑀_(𝑖𝑗𝑚,𝑇=2)=𝑉𝑆𝑇_(𝑗𝑚,𝑇=2)×𝐵𝑂×𝑀𝑀𝑆_(𝑗𝑚,𝑇=2)×𝑀𝐶𝐹_𝑖𝑚×𝜌</a:t>
              </a:r>
              <a:endParaRPr lang="en-AU" sz="1100"/>
            </a:p>
          </xdr:txBody>
        </xdr:sp>
      </mc:Fallback>
    </mc:AlternateContent>
    <xdr:clientData/>
  </xdr:oneCellAnchor>
  <xdr:oneCellAnchor>
    <xdr:from>
      <xdr:col>3</xdr:col>
      <xdr:colOff>27174</xdr:colOff>
      <xdr:row>7</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0144D6FD-6FA9-430E-87ED-4FA92346A0C7}"/>
                </a:ext>
              </a:extLst>
            </xdr:cNvPr>
            <xdr:cNvSpPr txBox="1"/>
          </xdr:nvSpPr>
          <xdr:spPr>
            <a:xfrm>
              <a:off x="2705380" y="2012576"/>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𝐹𝑉𝑆_(𝑗𝑚,𝑇=1)=𝑀𝑀𝑆_(𝑗𝑚,𝑇=1)×(1−𝑆𝑆_𝑚 )</a:t>
              </a:r>
              <a:endParaRPr lang="en-AU" sz="1100"/>
            </a:p>
          </xdr:txBody>
        </xdr:sp>
      </mc:Fallback>
    </mc:AlternateContent>
    <xdr:clientData/>
  </xdr:oneCellAnchor>
  <xdr:oneCellAnchor>
    <xdr:from>
      <xdr:col>7</xdr:col>
      <xdr:colOff>355139</xdr:colOff>
      <xdr:row>49</xdr:row>
      <xdr:rowOff>162460</xdr:rowOff>
    </xdr:from>
    <xdr:ext cx="4196405"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44340"/>
                        </a:solidFill>
                        <a:latin typeface="Cambria Math" panose="02040503050406030204" pitchFamily="18" charset="0"/>
                      </a:rPr>
                      <m:t>ORIGINAL</m:t>
                    </m:r>
                    <m:r>
                      <a:rPr lang="en-AU" sz="1100" b="0" i="1">
                        <a:solidFill>
                          <a:srgbClr val="C44340"/>
                        </a:solidFill>
                        <a:latin typeface="Cambria Math" panose="02040503050406030204" pitchFamily="18" charset="0"/>
                      </a:rPr>
                      <m:t>: </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solidFill>
                  <a:srgbClr val="C00000"/>
                </a:solidFill>
              </a:endParaRPr>
            </a:p>
          </xdr:txBody>
        </xdr:sp>
      </mc:Choice>
      <mc:Fallback xmlns="">
        <xdr:sp macro="" textlink="">
          <xdr:nvSpPr>
            <xdr:cNvPr id="5" name="TextBox 4">
              <a:extLst>
                <a:ext uri="{FF2B5EF4-FFF2-40B4-BE49-F238E27FC236}">
                  <a16:creationId xmlns:a16="http://schemas.microsoft.com/office/drawing/2014/main" id="{3A8A8583-DF6F-4955-AF42-FE3EDAA835E4}"/>
                </a:ext>
              </a:extLst>
            </xdr:cNvPr>
            <xdr:cNvSpPr txBox="1"/>
          </xdr:nvSpPr>
          <xdr:spPr>
            <a:xfrm>
              <a:off x="11213639" y="13215851"/>
              <a:ext cx="419640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44340"/>
                  </a:solidFill>
                  <a:latin typeface="Cambria Math" panose="02040503050406030204" pitchFamily="18" charset="0"/>
                </a:rPr>
                <a:t>ORIGINAL: </a:t>
              </a:r>
              <a:r>
                <a:rPr lang="en-AU" sz="1100" i="0">
                  <a:latin typeface="Cambria Math" panose="02040503050406030204" pitchFamily="18" charset="0"/>
                </a:rPr>
                <a:t>𝐹𝑉𝑆_(𝑗,𝑚=4,𝑇=1)=𝑀𝑀𝑆_(𝑗,𝑚=4,𝑇=1)+(𝑀𝑀𝑆_(𝑗,𝑚=1,7,9,𝑇=1)×𝑆𝑆_𝑚 )</a:t>
              </a:r>
              <a:endParaRPr lang="en-AU" sz="1100">
                <a:solidFill>
                  <a:srgbClr val="C00000"/>
                </a:solidFill>
              </a:endParaRPr>
            </a:p>
          </xdr:txBody>
        </xdr:sp>
      </mc:Fallback>
    </mc:AlternateContent>
    <xdr:clientData/>
  </xdr:oneCellAnchor>
  <xdr:oneCellAnchor>
    <xdr:from>
      <xdr:col>3</xdr:col>
      <xdr:colOff>33337</xdr:colOff>
      <xdr:row>191</xdr:row>
      <xdr:rowOff>0</xdr:rowOff>
    </xdr:from>
    <xdr:ext cx="2904193"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AF2FF1F-FC70-483C-980C-349CDA55527D}"/>
                </a:ext>
              </a:extLst>
            </xdr:cNvPr>
            <xdr:cNvSpPr txBox="1"/>
          </xdr:nvSpPr>
          <xdr:spPr>
            <a:xfrm>
              <a:off x="2709862" y="4545330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𝑀_(𝑖𝑗𝑚,𝑇=1)=𝑉𝑆_𝑗×𝐹𝑉𝑆_(𝑗𝑚,𝑇=1)×𝑀𝐶𝐹_𝑖𝑚×𝐵𝑂×𝜌</a:t>
              </a:r>
              <a:endParaRPr lang="en-AU" sz="1100"/>
            </a:p>
          </xdr:txBody>
        </xdr:sp>
      </mc:Fallback>
    </mc:AlternateContent>
    <xdr:clientData/>
  </xdr:oneCellAnchor>
  <xdr:oneCellAnchor>
    <xdr:from>
      <xdr:col>2</xdr:col>
      <xdr:colOff>285908</xdr:colOff>
      <xdr:row>218</xdr:row>
      <xdr:rowOff>18270</xdr:rowOff>
    </xdr:from>
    <xdr:ext cx="1253035"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e>
                        </m:nary>
                        <m:r>
                          <a:rPr lang="en-AU" sz="1100" b="0" i="1">
                            <a:latin typeface="Cambria Math" panose="02040503050406030204" pitchFamily="18" charset="0"/>
                          </a:rPr>
                          <m:t> </m:t>
                        </m:r>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EB8182C9-EABC-4A69-B2F2-5576F1638B12}"/>
                </a:ext>
              </a:extLst>
            </xdr:cNvPr>
            <xdr:cNvSpPr txBox="1"/>
          </xdr:nvSpPr>
          <xdr:spPr>
            <a:xfrm>
              <a:off x="2648108" y="5215812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𝑀_𝑚𝑗=∑_𝑚</a:t>
              </a:r>
              <a:r>
                <a:rPr lang="en-AU" sz="1100" b="0" i="0">
                  <a:latin typeface="Cambria Math" panose="02040503050406030204" pitchFamily="18" charset="0"/>
                </a:rPr>
                <a:t>▒〖∑_</a:t>
              </a:r>
              <a:r>
                <a:rPr lang="en-AU" sz="1100" i="0">
                  <a:latin typeface="Cambria Math" panose="02040503050406030204" pitchFamily="18" charset="0"/>
                </a:rPr>
                <a:t>𝑇▒𝑀_𝑗𝑚𝑇 </a:t>
              </a:r>
              <a:r>
                <a:rPr lang="en-AU" sz="1100" b="0" i="0">
                  <a:latin typeface="Cambria Math" panose="02040503050406030204" pitchFamily="18" charset="0"/>
                </a:rPr>
                <a:t>  〗</a:t>
              </a:r>
              <a:endParaRPr lang="en-AU" sz="1100"/>
            </a:p>
          </xdr:txBody>
        </xdr:sp>
      </mc:Fallback>
    </mc:AlternateContent>
    <xdr:clientData/>
  </xdr:oneCellAnchor>
  <xdr:oneCellAnchor>
    <xdr:from>
      <xdr:col>2</xdr:col>
      <xdr:colOff>271462</xdr:colOff>
      <xdr:row>235</xdr:row>
      <xdr:rowOff>142875</xdr:rowOff>
    </xdr:from>
    <xdr:ext cx="2142701"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6675177A-4B40-4E29-869B-18762124A3E6}"/>
                </a:ext>
              </a:extLst>
            </xdr:cNvPr>
            <xdr:cNvSpPr txBox="1"/>
          </xdr:nvSpPr>
          <xdr:spPr>
            <a:xfrm>
              <a:off x="2633662" y="56988075"/>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𝐸_𝐶𝐻4=∑_𝑗▒(𝐷_𝑗×𝑀_𝑚𝑗×𝑁_𝑗 ) ×10^(−3)</a:t>
              </a:r>
              <a:endParaRPr lang="en-AU" sz="1100"/>
            </a:p>
          </xdr:txBody>
        </xdr:sp>
      </mc:Fallback>
    </mc:AlternateContent>
    <xdr:clientData/>
  </xdr:oneCellAnchor>
  <xdr:oneCellAnchor>
    <xdr:from>
      <xdr:col>3</xdr:col>
      <xdr:colOff>13446</xdr:colOff>
      <xdr:row>49</xdr:row>
      <xdr:rowOff>164726</xdr:rowOff>
    </xdr:from>
    <xdr:ext cx="7504747" cy="194990"/>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9" name="TextBox 8">
              <a:extLst>
                <a:ext uri="{FF2B5EF4-FFF2-40B4-BE49-F238E27FC236}">
                  <a16:creationId xmlns:a16="http://schemas.microsoft.com/office/drawing/2014/main" id="{632B4099-801B-DE9D-C67B-1465C3FBD42D}"/>
                </a:ext>
              </a:extLst>
            </xdr:cNvPr>
            <xdr:cNvSpPr txBox="1"/>
          </xdr:nvSpPr>
          <xdr:spPr>
            <a:xfrm>
              <a:off x="2691652" y="13118726"/>
              <a:ext cx="75047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47063</xdr:colOff>
      <xdr:row>106</xdr:row>
      <xdr:rowOff>114300</xdr:rowOff>
    </xdr:from>
    <xdr:ext cx="172040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0A85F4E5-A2AB-2D9A-9336-D9BA205E678D}"/>
                </a:ext>
              </a:extLst>
            </xdr:cNvPr>
            <xdr:cNvSpPr txBox="1"/>
          </xdr:nvSpPr>
          <xdr:spPr>
            <a:xfrm>
              <a:off x="2725269" y="1974476"/>
              <a:ext cx="17204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𝑀𝑁_(𝑗𝑚,𝑇=1)=𝐴𝐸_𝑗×𝐹𝑁_(𝑗𝑚,𝑇=1)</a:t>
              </a:r>
              <a:endParaRPr lang="en-AU" sz="1100"/>
            </a:p>
          </xdr:txBody>
        </xdr:sp>
      </mc:Fallback>
    </mc:AlternateContent>
    <xdr:clientData/>
  </xdr:oneCellAnchor>
  <xdr:oneCellAnchor>
    <xdr:from>
      <xdr:col>3</xdr:col>
      <xdr:colOff>13447</xdr:colOff>
      <xdr:row>7</xdr:row>
      <xdr:rowOff>125506</xdr:rowOff>
    </xdr:from>
    <xdr:ext cx="130099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A23C77C9-9101-3C81-CE4D-05945C90F1D3}"/>
                </a:ext>
              </a:extLst>
            </xdr:cNvPr>
            <xdr:cNvSpPr txBox="1"/>
          </xdr:nvSpPr>
          <xdr:spPr>
            <a:xfrm>
              <a:off x="2691653" y="1985682"/>
              <a:ext cx="130099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𝐴𝐸_𝑗=𝑁_𝑗×𝑁𝑊_𝑗×𝐷_𝑗</a:t>
              </a:r>
              <a:endParaRPr lang="en-AU" sz="1100"/>
            </a:p>
          </xdr:txBody>
        </xdr:sp>
      </mc:Fallback>
    </mc:AlternateContent>
    <xdr:clientData/>
  </xdr:oneCellAnchor>
  <xdr:oneCellAnchor>
    <xdr:from>
      <xdr:col>3</xdr:col>
      <xdr:colOff>35857</xdr:colOff>
      <xdr:row>41</xdr:row>
      <xdr:rowOff>136712</xdr:rowOff>
    </xdr:from>
    <xdr:ext cx="2237023"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1B05C6EE-0C55-69CB-E0CF-E6E14D33F154}"/>
                </a:ext>
              </a:extLst>
            </xdr:cNvPr>
            <xdr:cNvSpPr txBox="1"/>
          </xdr:nvSpPr>
          <xdr:spPr>
            <a:xfrm>
              <a:off x="2714063" y="10378888"/>
              <a:ext cx="223702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𝐹𝑁_(𝑗𝑚,𝑇=1)=𝑀𝑀𝑆_(𝑗𝑚,𝑇=1)×(1−𝑆𝑁_𝑚 )</a:t>
              </a:r>
              <a:endParaRPr lang="en-AU" sz="1100"/>
            </a:p>
          </xdr:txBody>
        </xdr:sp>
      </mc:Fallback>
    </mc:AlternateContent>
    <xdr:clientData/>
  </xdr:oneCellAnchor>
  <xdr:oneCellAnchor>
    <xdr:from>
      <xdr:col>7</xdr:col>
      <xdr:colOff>136710</xdr:colOff>
      <xdr:row>82</xdr:row>
      <xdr:rowOff>136712</xdr:rowOff>
    </xdr:from>
    <xdr:ext cx="4124912"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14:m>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𝑚</m:t>
                          </m:r>
                        </m:sub>
                      </m:sSub>
                    </m:e>
                  </m:d>
                </m:oMath>
              </a14:m>
              <a:endParaRPr lang="en-AU" sz="1100"/>
            </a:p>
          </xdr:txBody>
        </xdr:sp>
      </mc:Choice>
      <mc:Fallback xmlns="">
        <xdr:sp macro="" textlink="">
          <xdr:nvSpPr>
            <xdr:cNvPr id="5" name="TextBox 4">
              <a:extLst>
                <a:ext uri="{FF2B5EF4-FFF2-40B4-BE49-F238E27FC236}">
                  <a16:creationId xmlns:a16="http://schemas.microsoft.com/office/drawing/2014/main" id="{A217256B-BF80-FDAF-4B8E-A6DA8097309B}"/>
                </a:ext>
              </a:extLst>
            </xdr:cNvPr>
            <xdr:cNvSpPr txBox="1"/>
          </xdr:nvSpPr>
          <xdr:spPr>
            <a:xfrm>
              <a:off x="11017622" y="20240065"/>
              <a:ext cx="412491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a:solidFill>
                    <a:srgbClr val="C44340"/>
                  </a:solidFill>
                </a:rPr>
                <a:t>ORIGINAL:</a:t>
              </a:r>
              <a:r>
                <a:rPr lang="en-AU" sz="1100"/>
                <a:t> </a:t>
              </a:r>
              <a:r>
                <a:rPr lang="en-AU" sz="1100" i="0">
                  <a:latin typeface="Cambria Math" panose="02040503050406030204" pitchFamily="18" charset="0"/>
                </a:rPr>
                <a:t>𝐹𝑁_(𝑗𝑚=4,𝑇=1)=𝑀𝑀𝑆_(𝑗𝑚=4,𝑇=1)+(𝑀𝑀𝑆_(𝑗𝑚=1,7,9,𝑇=1)×𝑆𝑁_𝑚 )</a:t>
              </a:r>
              <a:endParaRPr lang="en-AU" sz="1100"/>
            </a:p>
          </xdr:txBody>
        </xdr:sp>
      </mc:Fallback>
    </mc:AlternateContent>
    <xdr:clientData/>
  </xdr:oneCellAnchor>
  <xdr:oneCellAnchor>
    <xdr:from>
      <xdr:col>2</xdr:col>
      <xdr:colOff>304799</xdr:colOff>
      <xdr:row>82</xdr:row>
      <xdr:rowOff>136712</xdr:rowOff>
    </xdr:from>
    <xdr:ext cx="7391447"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=1,</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=7,</m:t>
                            </m:r>
                            <m:r>
                              <a:rPr lang="en-AU" sz="1100" i="1">
                                <a:latin typeface="Cambria Math" panose="02040503050406030204" pitchFamily="18" charset="0"/>
                              </a:rPr>
                              <m:t>𝑇</m:t>
                            </m:r>
                            <m:r>
                              <a:rPr lang="en-AU" sz="1100" i="1">
                                <a:latin typeface="Cambria Math" panose="02040503050406030204" pitchFamily="18" charset="0"/>
                              </a:rPr>
                              <m:t>=1</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=9,</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6" name="TextBox 5">
              <a:extLst>
                <a:ext uri="{FF2B5EF4-FFF2-40B4-BE49-F238E27FC236}">
                  <a16:creationId xmlns:a16="http://schemas.microsoft.com/office/drawing/2014/main" id="{76C860CD-A0A8-A5CF-0BB3-DB7AC846F0E7}"/>
                </a:ext>
              </a:extLst>
            </xdr:cNvPr>
            <xdr:cNvSpPr txBox="1"/>
          </xdr:nvSpPr>
          <xdr:spPr>
            <a:xfrm>
              <a:off x="2669240" y="20486594"/>
              <a:ext cx="7391447"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𝐹𝑁_(𝑗𝑚=4,𝑇=1)=𝑀𝑀𝑆_(𝑗𝑚=4,𝑇=1)+(𝑀𝑀𝑆_(𝑗,𝑚=1,𝑇=1)×𝑆𝑆_(𝑚=1,𝑇=1) )+(𝑀𝑀𝑆_(𝑗,𝑚=7,𝑇=1)×𝑆𝑆_(𝑚=7,𝑇=1) )+(𝑀𝑀𝑆_(𝑗,𝑚=9,𝑇=1)×𝑆𝑆_(𝑚=9,𝑇=1) )</a:t>
              </a:r>
              <a:endParaRPr lang="en-AU" sz="1100"/>
            </a:p>
          </xdr:txBody>
        </xdr:sp>
      </mc:Fallback>
    </mc:AlternateContent>
    <xdr:clientData/>
  </xdr:oneCellAnchor>
  <xdr:oneCellAnchor>
    <xdr:from>
      <xdr:col>2</xdr:col>
      <xdr:colOff>282388</xdr:colOff>
      <xdr:row>129</xdr:row>
      <xdr:rowOff>136711</xdr:rowOff>
    </xdr:from>
    <xdr:ext cx="3517245" cy="194990"/>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7" name="TextBox 6">
              <a:extLst>
                <a:ext uri="{FF2B5EF4-FFF2-40B4-BE49-F238E27FC236}">
                  <a16:creationId xmlns:a16="http://schemas.microsoft.com/office/drawing/2014/main" id="{3A7E3BF9-9CD8-98FA-5A3E-471EDE5AD2F3}"/>
                </a:ext>
              </a:extLst>
            </xdr:cNvPr>
            <xdr:cNvSpPr txBox="1"/>
          </xdr:nvSpPr>
          <xdr:spPr>
            <a:xfrm>
              <a:off x="2646829" y="32073476"/>
              <a:ext cx="351724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𝑁𝑇_(𝑗𝑚,𝑇=2)=𝑀𝑁_(𝑗𝑚,𝑇=1)×(1−𝐹𝑟𝑎𝑐𝐺𝐴𝑆𝑀_(𝑚,𝑇=1)−𝐸𝐹_(𝑚,𝑇=1) )</a:t>
              </a:r>
              <a:endParaRPr lang="en-AU" sz="1100"/>
            </a:p>
          </xdr:txBody>
        </xdr:sp>
      </mc:Fallback>
    </mc:AlternateContent>
    <xdr:clientData/>
  </xdr:oneCellAnchor>
  <xdr:oneCellAnchor>
    <xdr:from>
      <xdr:col>2</xdr:col>
      <xdr:colOff>282388</xdr:colOff>
      <xdr:row>175</xdr:row>
      <xdr:rowOff>125506</xdr:rowOff>
    </xdr:from>
    <xdr:ext cx="216982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oMath>
                </m:oMathPara>
              </a14:m>
              <a:endParaRPr lang="en-AU" sz="1100"/>
            </a:p>
          </xdr:txBody>
        </xdr:sp>
      </mc:Choice>
      <mc:Fallback xmlns="">
        <xdr:sp macro="" textlink="">
          <xdr:nvSpPr>
            <xdr:cNvPr id="8" name="TextBox 7">
              <a:extLst>
                <a:ext uri="{FF2B5EF4-FFF2-40B4-BE49-F238E27FC236}">
                  <a16:creationId xmlns:a16="http://schemas.microsoft.com/office/drawing/2014/main" id="{36B02DDB-690F-6EFC-CAEB-1A22900114BD}"/>
                </a:ext>
              </a:extLst>
            </xdr:cNvPr>
            <xdr:cNvSpPr txBox="1"/>
          </xdr:nvSpPr>
          <xdr:spPr>
            <a:xfrm>
              <a:off x="2646829" y="42909565"/>
              <a:ext cx="216982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𝑀𝑁_(𝑗𝑚,𝑇=2)=𝑁𝑇_(𝑗𝑚,𝑇=2)×𝑀𝑀𝑆_(𝑗𝑚,𝑇=2)</a:t>
              </a:r>
              <a:endParaRPr lang="en-AU" sz="1100"/>
            </a:p>
          </xdr:txBody>
        </xdr:sp>
      </mc:Fallback>
    </mc:AlternateContent>
    <xdr:clientData/>
  </xdr:oneCellAnchor>
  <xdr:oneCellAnchor>
    <xdr:from>
      <xdr:col>3</xdr:col>
      <xdr:colOff>2240</xdr:colOff>
      <xdr:row>248</xdr:row>
      <xdr:rowOff>69476</xdr:rowOff>
    </xdr:from>
    <xdr:ext cx="3236784" cy="429926"/>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94ABA84A-1346-D30E-4497-55E3C0F69101}"/>
                </a:ext>
              </a:extLst>
            </xdr:cNvPr>
            <xdr:cNvSpPr txBox="1"/>
          </xdr:nvSpPr>
          <xdr:spPr>
            <a:xfrm>
              <a:off x="2680446" y="60357123"/>
              <a:ext cx="3236784"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𝐸_(𝑁2𝑂,𝑑𝑖𝑟)=∑_𝑗▒∑_𝑚▒∑_𝑇▒(𝑀𝑁_𝑗𝑚𝑇×𝐸𝐹_𝑗𝑚×𝐶_𝑁2𝑂 )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309562</xdr:colOff>
      <xdr:row>7</xdr:row>
      <xdr:rowOff>57150</xdr:rowOff>
    </xdr:from>
    <xdr:ext cx="303288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sub>
                                    </m:sSub>
                                  </m:e>
                                </m:d>
                              </m:e>
                            </m:nary>
                          </m:e>
                        </m:nary>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B5738F73-5B01-5D6D-CCAA-34F364D0FCCE}"/>
                </a:ext>
              </a:extLst>
            </xdr:cNvPr>
            <xdr:cNvSpPr txBox="1"/>
          </xdr:nvSpPr>
          <xdr:spPr>
            <a:xfrm>
              <a:off x="2671762" y="1924050"/>
              <a:ext cx="303288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𝑀𝑀𝑆_𝐴𝑇𝑀𝑂𝑆=∑8_𝑗▒∑8_𝑚▒∑8_𝑇▒(𝑀𝑁_𝑗𝑚𝑇×𝐹𝑟𝑎𝑐𝐺𝐴𝑆𝑀_𝑚𝑇 ) </a:t>
              </a:r>
              <a:endParaRPr lang="en-AU" sz="1100"/>
            </a:p>
          </xdr:txBody>
        </xdr:sp>
      </mc:Fallback>
    </mc:AlternateContent>
    <xdr:clientData/>
  </xdr:oneCellAnchor>
  <xdr:oneCellAnchor>
    <xdr:from>
      <xdr:col>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51BBA152-5DCE-A88E-8CAE-A189849ED403}"/>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oneCellAnchor>
    <xdr:from>
      <xdr:col>13</xdr:col>
      <xdr:colOff>4762</xdr:colOff>
      <xdr:row>112</xdr:row>
      <xdr:rowOff>142875</xdr:rowOff>
    </xdr:from>
    <xdr:ext cx="2797753" cy="180114"/>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𝐴𝑇𝑀𝑂𝑆</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0217D665-2149-42DA-B114-442B1624E1C7}"/>
                </a:ext>
              </a:extLst>
            </xdr:cNvPr>
            <xdr:cNvSpPr txBox="1"/>
          </xdr:nvSpPr>
          <xdr:spPr>
            <a:xfrm>
              <a:off x="2681287" y="26527125"/>
              <a:ext cx="2797753"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𝐸_(𝑁2𝑂,𝑎𝑑)=𝑀𝑀𝑆_𝐴𝑇𝑀𝑂𝑆×𝐸𝐹_𝑁2𝑂×𝐶_𝑁2𝑂×10^(−3)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171450</xdr:rowOff>
    </xdr:from>
    <xdr:ext cx="3621055"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𝐹𝑟𝑎𝑐𝑊𝐸𝑇</m:t>
                    </m:r>
                    <m:r>
                      <a:rPr lang="en-AU" sz="1100" i="1">
                        <a:latin typeface="Cambria Math" panose="02040503050406030204" pitchFamily="18" charset="0"/>
                      </a:rPr>
                      <m:t>×</m:t>
                    </m:r>
                    <m:r>
                      <a:rPr lang="en-AU" sz="1100" i="1">
                        <a:latin typeface="Cambria Math" panose="02040503050406030204" pitchFamily="18" charset="0"/>
                      </a:rPr>
                      <m:t>𝐹𝑟𝑎𝑐𝐿𝐸𝐴𝐶</m:t>
                    </m:r>
                    <m:sSub>
                      <m:sSubPr>
                        <m:ctrlPr>
                          <a:rPr lang="en-AU" sz="1100" i="1">
                            <a:latin typeface="Cambria Math" panose="02040503050406030204" pitchFamily="18" charset="0"/>
                          </a:rPr>
                        </m:ctrlPr>
                      </m:sSubPr>
                      <m:e>
                        <m:r>
                          <a:rPr lang="en-AU" sz="1100" i="1">
                            <a:latin typeface="Cambria Math" panose="02040503050406030204" pitchFamily="18" charset="0"/>
                          </a:rPr>
                          <m:t>𝐻</m:t>
                        </m:r>
                      </m:e>
                      <m:sub>
                        <m:r>
                          <a:rPr lang="en-AU" sz="1100" i="1">
                            <a:latin typeface="Cambria Math" panose="02040503050406030204" pitchFamily="18" charset="0"/>
                          </a:rPr>
                          <m:t>𝑀𝑆</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83A2DC7A-E8E4-E8E7-4961-8E07C662A470}"/>
                </a:ext>
              </a:extLst>
            </xdr:cNvPr>
            <xdr:cNvSpPr txBox="1"/>
          </xdr:nvSpPr>
          <xdr:spPr>
            <a:xfrm>
              <a:off x="2681287" y="2038350"/>
              <a:ext cx="36210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𝑀𝑁𝐿𝑒𝑎𝑐ℎ_(𝑗𝑚=5)=𝑀𝑁_(𝑗𝑚=5,𝑇=1)×𝐹𝑟𝑎𝑐𝑊𝐸𝑇×𝐹𝑟𝑎𝑐𝐿𝐸𝐴𝐶𝐻_𝑀𝑆</a:t>
              </a:r>
              <a:endParaRPr lang="en-AU" sz="1100"/>
            </a:p>
          </xdr:txBody>
        </xdr:sp>
      </mc:Fallback>
    </mc:AlternateContent>
    <xdr:clientData/>
  </xdr:oneCellAnchor>
  <xdr:oneCellAnchor>
    <xdr:from>
      <xdr:col>2</xdr:col>
      <xdr:colOff>309562</xdr:colOff>
      <xdr:row>34</xdr:row>
      <xdr:rowOff>123825</xdr:rowOff>
    </xdr:from>
    <xdr:ext cx="3207865"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1DFF59A9-9828-6685-931C-FADA6B557BAB}"/>
                </a:ext>
              </a:extLst>
            </xdr:cNvPr>
            <xdr:cNvSpPr txBox="1"/>
          </xdr:nvSpPr>
          <xdr:spPr>
            <a:xfrm>
              <a:off x="2671762" y="8677275"/>
              <a:ext cx="3207865"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𝐸_(𝑁2𝑂,𝑙𝑒𝑎𝑐ℎ)=𝑀𝑁𝐿𝑒𝑎𝑐ℎ_(𝑗𝑚=5)×𝐸𝐹_𝑙𝑒𝑎𝑐ℎ×𝐶_𝑁2𝑂×10^(−3)</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14287</xdr:colOff>
      <xdr:row>7</xdr:row>
      <xdr:rowOff>47625</xdr:rowOff>
    </xdr:from>
    <xdr:ext cx="562121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1</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r>
                      <a:rPr lang="en-AU" sz="1100" i="1">
                        <a:latin typeface="Cambria Math" panose="02040503050406030204" pitchFamily="18" charset="0"/>
                      </a:rPr>
                      <m:t>𝑃𝐹</m:t>
                    </m:r>
                  </m:oMath>
                </m:oMathPara>
              </a14:m>
              <a:endParaRPr lang="en-AU" sz="1100"/>
            </a:p>
          </xdr:txBody>
        </xdr:sp>
      </mc:Choice>
      <mc:Fallback xmlns="">
        <xdr:sp macro="" textlink="">
          <xdr:nvSpPr>
            <xdr:cNvPr id="2" name="TextBox 1">
              <a:extLst>
                <a:ext uri="{FF2B5EF4-FFF2-40B4-BE49-F238E27FC236}">
                  <a16:creationId xmlns:a16="http://schemas.microsoft.com/office/drawing/2014/main" id="{C635B234-5189-FB55-0706-EBE0B687057C}"/>
                </a:ext>
              </a:extLst>
            </xdr:cNvPr>
            <xdr:cNvSpPr txBox="1"/>
          </xdr:nvSpPr>
          <xdr:spPr>
            <a:xfrm>
              <a:off x="2690812" y="1914525"/>
              <a:ext cx="562121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𝑀𝑁𝑆𝑜𝑖𝑙_𝑠𝑐𝑜𝑝𝑒1=∑8_𝑗▒∑8_𝑚▒(𝑀𝑁_(𝑗𝑚𝑇=2)×(1−𝐸𝐹_(𝑚𝑇=2)−𝐹𝑟𝑎𝑐𝐺𝐴𝑆𝑀_(𝑚𝑇=2) )−𝑀𝑁𝐿𝑒𝑎𝑐ℎ_(𝑗𝑚=5) ) ×𝑃𝐹</a:t>
              </a:r>
              <a:endParaRPr lang="en-AU" sz="1100"/>
            </a:p>
          </xdr:txBody>
        </xdr:sp>
      </mc:Fallback>
    </mc:AlternateContent>
    <xdr:clientData/>
  </xdr:oneCellAnchor>
  <xdr:oneCellAnchor>
    <xdr:from>
      <xdr:col>2</xdr:col>
      <xdr:colOff>300037</xdr:colOff>
      <xdr:row>167</xdr:row>
      <xdr:rowOff>19050</xdr:rowOff>
    </xdr:from>
    <xdr:ext cx="5984522"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𝑠𝑐𝑜𝑝𝑒</m:t>
                        </m:r>
                        <m:r>
                          <a:rPr lang="en-AU" sz="1100" i="1">
                            <a:latin typeface="Cambria Math" panose="02040503050406030204" pitchFamily="18" charset="0"/>
                          </a:rPr>
                          <m:t>3</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𝑚𝑇</m:t>
                                        </m:r>
                                        <m:r>
                                          <a:rPr lang="en-AU" sz="1100" i="1">
                                            <a:latin typeface="Cambria Math" panose="02040503050406030204" pitchFamily="18" charset="0"/>
                                          </a:rPr>
                                          <m:t>=2</m:t>
                                        </m:r>
                                      </m:sub>
                                    </m:sSub>
                                  </m:e>
                                </m:d>
                                <m:r>
                                  <a:rPr lang="en-AU" sz="1100" i="1">
                                    <a:latin typeface="Cambria Math" panose="02040503050406030204" pitchFamily="18" charset="0"/>
                                  </a:rPr>
                                  <m:t>−</m:t>
                                </m:r>
                                <m:r>
                                  <a:rPr lang="en-AU" sz="1100" i="1">
                                    <a:latin typeface="Cambria Math" panose="02040503050406030204" pitchFamily="18" charset="0"/>
                                  </a:rPr>
                                  <m:t>𝑀𝑁𝐿𝑒𝑎𝑐</m:t>
                                </m:r>
                                <m:sSub>
                                  <m:sSubPr>
                                    <m:ctrlPr>
                                      <a:rPr lang="en-AU" sz="1100" i="1">
                                        <a:latin typeface="Cambria Math" panose="02040503050406030204" pitchFamily="18" charset="0"/>
                                      </a:rPr>
                                    </m:ctrlPr>
                                  </m:sSubPr>
                                  <m:e>
                                    <m:r>
                                      <a:rPr lang="en-AU" sz="1100" i="1">
                                        <a:latin typeface="Cambria Math" panose="02040503050406030204" pitchFamily="18" charset="0"/>
                                      </a:rPr>
                                      <m:t>h</m:t>
                                    </m:r>
                                  </m:e>
                                  <m:sub>
                                    <m:r>
                                      <a:rPr lang="en-AU" sz="1100" i="1">
                                        <a:latin typeface="Cambria Math" panose="02040503050406030204" pitchFamily="18" charset="0"/>
                                      </a:rPr>
                                      <m:t>𝑗𝑚</m:t>
                                    </m:r>
                                    <m:r>
                                      <a:rPr lang="en-AU" sz="1100" i="1">
                                        <a:latin typeface="Cambria Math" panose="02040503050406030204" pitchFamily="18" charset="0"/>
                                      </a:rPr>
                                      <m:t>=5</m:t>
                                    </m:r>
                                  </m:sub>
                                </m:sSub>
                              </m:e>
                            </m:d>
                          </m:e>
                        </m:nary>
                      </m:e>
                    </m:nary>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𝑃𝐹</m:t>
                        </m:r>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2946C70-B61B-491F-E52A-82BBDF72FC76}"/>
                </a:ext>
              </a:extLst>
            </xdr:cNvPr>
            <xdr:cNvSpPr txBox="1"/>
          </xdr:nvSpPr>
          <xdr:spPr>
            <a:xfrm>
              <a:off x="2662237" y="35318700"/>
              <a:ext cx="59845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𝑀𝑁𝑆𝑜𝑖𝑙_𝑠𝑐𝑜𝑝𝑒3=∑_𝑗▒∑_𝑚▒(𝑀𝑁_(𝑗𝑚𝑇=2)×(1−𝐸𝐹_(𝑚𝑇=2)−𝐹𝑟𝑎𝑐𝐺𝐴𝑆𝑀_(𝑚𝑇=2) )−𝑀𝑁𝐿𝑒𝑎𝑐ℎ_(𝑗𝑚=5) ) ×(1−𝑃𝐹)</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DEEF5DA-4392-40D7-9550-EA401E64C221}" name="Table_SourceData_Swine_VolatileSolids" displayName="Table_SourceData_Swine_VolatileSolids" ref="D67:E71" totalsRowShown="0">
  <autoFilter ref="D67:E71" xr:uid="{9DEEF5DA-4392-40D7-9550-EA401E64C221}">
    <filterColumn colId="0" hiddenButton="1"/>
    <filterColumn colId="1" hiddenButton="1"/>
  </autoFilter>
  <tableColumns count="2">
    <tableColumn id="1" xr3:uid="{A1AC17BE-6F0C-4EA3-88D1-F15B8A0AA6A1}" name="Class">
      <calculatedColumnFormula array="1">Common_InputFunctions.Utility_DisplayArrayInTable(SourceData_Swine.SourceData_Swine_VolatileSolids_Data(), Table_SourceData_Swine_VolatileSolids[[#Headers],[Class]], 0)</calculatedColumnFormula>
    </tableColumn>
    <tableColumn id="2" xr3:uid="{539845C7-E401-474C-86C5-B676BBD1B040}" name="VSj" dataDxfId="88"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BFD9E79-6224-4B04-B002-84DC46086DAC}" name="Table_SourceData_Swine_MMSMCF" displayName="Table_SourceData_Swine_MMSMCF" ref="D28:M35" totalsRowShown="0">
  <autoFilter ref="D28:M35" xr:uid="{8BFD9E79-6224-4B04-B002-84DC46086D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48C8C81-0F25-4404-945E-CD16BE93BFBF}" name="MMS">
      <calculatedColumnFormula array="1">Common_InputFunctions.Utility_DisplayArrayInTable(SourceData_Swine.SourceData_Swine_MMS_MCFs_Data(),Table_SourceData_Swine_MMSMCF[[#Headers],[MMS]],0)</calculatedColumnFormula>
    </tableColumn>
    <tableColumn id="2" xr3:uid="{CC6F19AB-67BC-413A-9108-447CB795CC02}" name="NSW" dataDxfId="87" dataCellStyle="Content normal">
      <calculatedColumnFormula array="1">Common_InputFunctions.Utility_DisplayArrayInTable(SourceData_Swine.SourceData_Swine_MMS_MCFs_Data(),Table_SourceData_Swine_MMSMCF[[#Headers],[MMS]],0)</calculatedColumnFormula>
    </tableColumn>
    <tableColumn id="3" xr3:uid="{EFE4C41A-233A-4E7D-912F-E949B7110A0A}" name="ACT" dataDxfId="86" dataCellStyle="Content normal">
      <calculatedColumnFormula array="1">Common_InputFunctions.Utility_DisplayArrayInTable(SourceData_Swine.SourceData_Swine_MMS_MCFs_Data(),Table_SourceData_Swine_MMSMCF[[#Headers],[MMS]],0)</calculatedColumnFormula>
    </tableColumn>
    <tableColumn id="4" xr3:uid="{90D72B45-949A-49D4-8B76-EF78C1A193C9}" name="QLD" dataDxfId="85" dataCellStyle="Content normal">
      <calculatedColumnFormula array="1">Common_InputFunctions.Utility_DisplayArrayInTable(SourceData_Swine.SourceData_Swine_MMS_MCFs_Data(),Table_SourceData_Swine_MMSMCF[[#Headers],[MMS]],0)</calculatedColumnFormula>
    </tableColumn>
    <tableColumn id="5" xr3:uid="{D7D725B2-0CF9-4EB2-A5C1-09EDA961537A}" name="NT" dataDxfId="84" dataCellStyle="Content normal">
      <calculatedColumnFormula array="1">Common_InputFunctions.Utility_DisplayArrayInTable(SourceData_Swine.SourceData_Swine_MMS_MCFs_Data(),Table_SourceData_Swine_MMSMCF[[#Headers],[MMS]],0)</calculatedColumnFormula>
    </tableColumn>
    <tableColumn id="6" xr3:uid="{2934DF60-275E-438D-A730-DD780A8931E8}" name="SA" dataDxfId="83" dataCellStyle="Content normal">
      <calculatedColumnFormula array="1">Common_InputFunctions.Utility_DisplayArrayInTable(SourceData_Swine.SourceData_Swine_MMS_MCFs_Data(),Table_SourceData_Swine_MMSMCF[[#Headers],[MMS]],0)</calculatedColumnFormula>
    </tableColumn>
    <tableColumn id="7" xr3:uid="{29BE3DB6-3057-4DB9-9C8B-816C15103256}" name="TAS" dataDxfId="82" dataCellStyle="Content normal">
      <calculatedColumnFormula array="1">Common_InputFunctions.Utility_DisplayArrayInTable(SourceData_Swine.SourceData_Swine_MMS_MCFs_Data(),Table_SourceData_Swine_MMSMCF[[#Headers],[MMS]],0)</calculatedColumnFormula>
    </tableColumn>
    <tableColumn id="8" xr3:uid="{FF50759B-240C-4451-AB1C-3143673818F2}" name="VIC" dataDxfId="81" dataCellStyle="Content normal">
      <calculatedColumnFormula array="1">Common_InputFunctions.Utility_DisplayArrayInTable(SourceData_Swine.SourceData_Swine_MMS_MCFs_Data(),Table_SourceData_Swine_MMSMCF[[#Headers],[MMS]],0)</calculatedColumnFormula>
    </tableColumn>
    <tableColumn id="9" xr3:uid="{F164F2B6-4BA2-43CA-8A29-E52D5447FFC0}" name="WA" dataDxfId="80" dataCellStyle="Content normal">
      <calculatedColumnFormula array="1">Common_InputFunctions.Utility_DisplayArrayInTable(SourceData_Swine.SourceData_Swine_MMS_MCFs_Data(),Table_SourceData_Swine_MMSMCF[[#Headers],[MMS]],0)</calculatedColumnFormula>
    </tableColumn>
    <tableColumn id="10" xr3:uid="{F171BCD0-98D2-4E5E-AC27-147712A91756}" name="NIR definition" dataDxfId="79"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2F7033B-606B-4A24-9223-A30737FDC1FE}" name="Table_SourceData_SwineMMS" displayName="Table_SourceData_SwineMMS" ref="D40:E47" totalsRowShown="0">
  <autoFilter ref="D40:E47" xr:uid="{42F7033B-606B-4A24-9223-A30737FDC1FE}">
    <filterColumn colId="0" hiddenButton="1"/>
    <filterColumn colId="1" hiddenButton="1"/>
  </autoFilter>
  <tableColumns count="2">
    <tableColumn id="1" xr3:uid="{EE2AFE6D-8BE2-4C1D-92EA-668A71924A96}" name="MMS"/>
    <tableColumn id="2" xr3:uid="{58174C83-0911-44A2-9C27-90139AD99654}" name="Symbol and MMS"/>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79C074C-6E98-47B5-B4E5-F8A1F12104F2}" name="Table_SourceData_SwineVSL" displayName="Table_SourceData_SwineVSL" ref="D53:E60" totalsRowShown="0">
  <autoFilter ref="D53:E60" xr:uid="{079C074C-6E98-47B5-B4E5-F8A1F12104F2}">
    <filterColumn colId="0" hiddenButton="1"/>
    <filterColumn colId="1" hiddenButton="1"/>
  </autoFilter>
  <tableColumns count="2">
    <tableColumn id="1" xr3:uid="{76B78063-3D59-41B8-AAF7-BECA81797EB1}" name="MMS"/>
    <tableColumn id="2" xr3:uid="{80304E2C-AE1E-4612-8DE0-4A55D1D32766}" name="VSL"/>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171229DD-CBF4-4099-8199-8A23112B275F}" name="Table_SourceData_SwineMMSExcSolidStorage" displayName="Table_SourceData_SwineMMSExcSolidStorage" ref="G40:H45" totalsRowShown="0">
  <autoFilter ref="G40:H45" xr:uid="{171229DD-CBF4-4099-8199-8A23112B275F}">
    <filterColumn colId="0" hiddenButton="1"/>
    <filterColumn colId="1" hiddenButton="1"/>
  </autoFilter>
  <tableColumns count="2">
    <tableColumn id="1" xr3:uid="{C0D13436-3E27-4F37-9CCA-2D00D7C01FD4}" name="MMS"/>
    <tableColumn id="2" xr3:uid="{418916E8-5946-4F0D-8939-8D73423F7FC0}" name="Symbol and MMS"/>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63E0626-9932-4FCA-A861-C95F26E527BC}" name="Table_SourceData_SwineExclDirectApplicationMMS" displayName="Table_SourceData_SwineExclDirectApplicationMMS" ref="K40:L46" totalsRowShown="0">
  <autoFilter ref="K40:L46" xr:uid="{363E0626-9932-4FCA-A861-C95F26E527BC}">
    <filterColumn colId="0" hiddenButton="1"/>
    <filterColumn colId="1" hiddenButton="1"/>
  </autoFilter>
  <tableColumns count="2">
    <tableColumn id="1" xr3:uid="{1C3E7665-A94B-47E1-AED9-2A651F0F5EBC}" name="MMS"/>
    <tableColumn id="2" xr3:uid="{DB6F1473-C896-4813-B84D-C2E7CFF76FAF}" name="Symbol and MMS"/>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6BE3FFD-EB90-45EB-8756-16A72E0C6869}" name="Table_SourceData_Swine_ProductionSystems" displayName="Table_SourceData_Swine_ProductionSystems" ref="G53:G56" totalsRowShown="0">
  <autoFilter ref="G53:G56" xr:uid="{A6BE3FFD-EB90-45EB-8756-16A72E0C6869}">
    <filterColumn colId="0" hiddenButton="1"/>
  </autoFilter>
  <tableColumns count="1">
    <tableColumn id="1" xr3:uid="{6D0FC1C5-CBBC-40AA-BD0A-8ED9E6F795A5}" name="Production system">
      <calculatedColumnFormula array="1">Common_InputFunctions.Utility_DisplayArrayInTable(SourceData_Swine.SourceData_Swine_ProductionSystems_Data(), Table_SourceData_Swine_ProductionSystems[[#Headers],[Production system]],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1D86DCB-D80D-4593-96F3-A897FC93073F}" name="Table_SourceData_Swine_NitrogenInWaste" displayName="Table_SourceData_Swine_NitrogenInWaste" ref="D89:G93" totalsRowShown="0" dataDxfId="78" dataCellStyle="Content normal">
  <autoFilter ref="D89:G93" xr:uid="{61D86DCB-D80D-4593-96F3-A897FC93073F}">
    <filterColumn colId="0" hiddenButton="1"/>
    <filterColumn colId="1" hiddenButton="1"/>
    <filterColumn colId="2" hiddenButton="1"/>
    <filterColumn colId="3" hiddenButton="1"/>
  </autoFilter>
  <tableColumns count="4">
    <tableColumn id="1" xr3:uid="{1C4094D2-E798-4EA4-8FBC-50FBA0E527D4}" name="Class" dataDxfId="77" dataCellStyle="Content normal">
      <calculatedColumnFormula array="1">Common_InputFunctions.Utility_DisplayArrayInTable(SourceData_Swine.SourceData_Swine_NitrogenInWaste_Data(), Table_SourceData_Swine_NitrogenInWaste[[#Headers],[Class]], 0)</calculatedColumnFormula>
    </tableColumn>
    <tableColumn id="2" xr3:uid="{0BD1910A-3F15-4C45-9A95-D2ADDB197E82}" name="NWj" dataDxfId="76" dataCellStyle="Content normal">
      <calculatedColumnFormula array="1">Common_InputFunctions.Utility_DisplayArrayInTable(SourceData_Swine.SourceData_Swine_NitrogenInWaste_Data(), Table_SourceData_Swine_NitrogenInWaste[[#Headers],[Class]], 0)</calculatedColumnFormula>
    </tableColumn>
    <tableColumn id="3" xr3:uid="{06D949C0-1431-4E8B-9FED-E08C8D4D7E61}" name="NWj Daily" dataDxfId="75" dataCellStyle="Content normal">
      <calculatedColumnFormula array="1">Common_InputFunctions.Utility_DisplayArrayInTable(SourceData_Swine.SourceData_Swine_NitrogenInWaste_Data(), Table_SourceData_Swine_NitrogenInWaste[[#Headers],[Class]], 0)</calculatedColumnFormula>
    </tableColumn>
    <tableColumn id="4" xr3:uid="{5C9C6F5B-830D-4A53-BEF6-FDE389E9F8CC}" name="Class name" dataDxfId="74" dataCellStyle="Content normal">
      <calculatedColumnFormula array="1">Common_InputFunctions.Utility_DisplayArrayInTable(SourceData_Swine.SourceData_Swine_NitrogenInWaste_Data(), Table_SourceData_Swine_NitrogenInWaste[[#Headers],[Class]],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34928EB-73E5-43B2-830B-089F30DA4EF0}" name="Table_SourceData_Swine_FeedIntake" displayName="Table_SourceData_Swine_FeedIntake" ref="D78:E82" totalsRowShown="0" dataDxfId="73" dataCellStyle="Content normal">
  <autoFilter ref="D78:E82" xr:uid="{E34928EB-73E5-43B2-830B-089F30DA4EF0}">
    <filterColumn colId="0" hiddenButton="1"/>
    <filterColumn colId="1" hiddenButton="1"/>
  </autoFilter>
  <tableColumns count="2">
    <tableColumn id="1" xr3:uid="{CAC8EB28-568F-4E9F-8E36-EBDFF74A58D3}" name="Class" dataDxfId="72" dataCellStyle="Content normal">
      <calculatedColumnFormula array="1">Common_InputFunctions.Utility_DisplayArrayInTable(SourceData_Swine.SourceData_Swine_FeedIntake_Data(), Table_SourceData_Swine_FeedIntake[[#Headers],[Class]], 0)</calculatedColumnFormula>
    </tableColumn>
    <tableColumn id="2" xr3:uid="{2CE09F11-701B-40A5-9E2D-B745C440FD8B}" name="Ij" dataDxfId="71" dataCellStyle="Content normal">
      <calculatedColumnFormula array="1">Common_InputFunctions.Utility_DisplayArrayInTable(SourceData_Swine.SourceData_Swine_FeedIntake_Data(), Table_SourceData_Swine_FeedIntake[[#Headers],[Class]],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1184525-440F-427A-8F5F-F24C51E83194}" name="Table_SourceData_Swine_FracGASM" displayName="Table_SourceData_Swine_FracGASM" ref="D99:F105" totalsRowShown="0">
  <autoFilter ref="D99:F105" xr:uid="{11184525-440F-427A-8F5F-F24C51E83194}">
    <filterColumn colId="0" hiddenButton="1"/>
    <filterColumn colId="1" hiddenButton="1"/>
    <filterColumn colId="2" hiddenButton="1"/>
  </autoFilter>
  <tableColumns count="3">
    <tableColumn id="1" xr3:uid="{28F331F7-8BDD-4FF1-BD1F-E5995BC2EE5E}" name="MMSm">
      <calculatedColumnFormula array="1">Common_InputFunctions.Utility_DisplayArrayInTable(SourceData_Swine.SourceData_Swine_FractionNVolatilised_Data(), Table_SourceData_Swine_FracGASM[[#Headers],[MMSm]],0)</calculatedColumnFormula>
    </tableColumn>
    <tableColumn id="2" xr3:uid="{3ED5AE40-0DB0-4E45-8562-5381DA5DDC2A}" name="FracGASMmT">
      <calculatedColumnFormula array="1">Common_InputFunctions.Utility_DisplayArrayInTable(SourceData_Swine.SourceData_Swine_FractionNVolatilised_Data(), Table_SourceData_Swine_FracGASM[[#Headers],[MMSm]],0)</calculatedColumnFormula>
    </tableColumn>
    <tableColumn id="3" xr3:uid="{A6C79A8E-6FC5-410F-9934-8E7F14F11977}" name="NIR reference">
      <calculatedColumnFormula array="1">Common_InputFunctions.Utility_DisplayArrayInTable(SourceData_Swine.SourceData_Swine_FractionNVolatilised_Data(), Table_SourceData_Swine_FracGASM[[#Headers],[MMSm]],0)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1333872B-E46C-4DC7-8E2D-1F3D704794C8}" name="Table_SourceData_Swine_FracGASM28" displayName="Table_SourceData_Swine_FracGASM28" ref="D111:F117" totalsRowShown="0" dataDxfId="70" dataCellStyle="Content normal">
  <autoFilter ref="D111:F117" xr:uid="{1333872B-E46C-4DC7-8E2D-1F3D704794C8}">
    <filterColumn colId="0" hiddenButton="1"/>
    <filterColumn colId="1" hiddenButton="1"/>
    <filterColumn colId="2" hiddenButton="1"/>
  </autoFilter>
  <tableColumns count="3">
    <tableColumn id="1" xr3:uid="{6DD7EF85-D333-4B03-BD58-78D84BEEC9B4}" name="MMSm" dataDxfId="69" dataCellStyle="Content normal">
      <calculatedColumnFormula array="1">Common_InputFunctions.Utility_DisplayArrayInTable(SourceData_Swine.SourceData_Swine_NitrousOxideEFs_Data(), Table_SourceData_Swine_FracGASM28[[#Headers],[MMSm]],0)</calculatedColumnFormula>
    </tableColumn>
    <tableColumn id="2" xr3:uid="{F61F4819-1794-4A31-843F-5F15C9F3C95F}" name="EFmT" dataDxfId="68" dataCellStyle="Content normal">
      <calculatedColumnFormula array="1">Common_InputFunctions.Utility_DisplayArrayInTable(SourceData_Swine.SourceData_Swine_NitrousOxideEFs_Data(), Table_SourceData_Swine_FracGASM28[[#Headers],[MMSm]],0)</calculatedColumnFormula>
    </tableColumn>
    <tableColumn id="3" xr3:uid="{B97B38DF-3EA9-445C-BD0D-2CBB24B993D8}" name="NIR reference" dataDxfId="67" dataCellStyle="Content normal">
      <calculatedColumnFormula array="1">Common_InputFunctions.Utility_DisplayArrayInTable(SourceData_Swine.SourceData_Swine_NitrousOxideEFs_Data(), Table_SourceData_Swine_FracGASM28[[#Headers],[MMSm]],0)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DC3FD95-46BB-428C-8DAB-6CC542C27F2F}" name="Table_SourceData_Swine_CropProdSystems" displayName="Table_SourceData_Swine_CropProdSystems" ref="D8:D10" totalsRowShown="0">
  <autoFilter ref="D8:D10" xr:uid="{1DC3FD95-46BB-428C-8DAB-6CC542C27F2F}">
    <filterColumn colId="0" hiddenButton="1"/>
  </autoFilter>
  <tableColumns count="1">
    <tableColumn id="1" xr3:uid="{B933B64A-0B6A-4006-B26F-51E5E064CB09}"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AA6B756B-6FF9-48AC-BC54-06A8937EFD12}" name="Table_SourceData_Swine_IrrigationMethods" displayName="Table_SourceData_Swine_IrrigationMethods" ref="G8:G13" totalsRowShown="0">
  <autoFilter ref="G8:G13" xr:uid="{AA6B756B-6FF9-48AC-BC54-06A8937EFD12}">
    <filterColumn colId="0" hiddenButton="1"/>
  </autoFilter>
  <tableColumns count="1">
    <tableColumn id="1" xr3:uid="{85D1C6B9-1B3E-46A7-9944-B5E2866ADFB6}"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E6E3ED7D-B9CD-4192-B821-5B419D60F230}"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D7C2EA6C-D25D-4C33-AEA0-CA7B250E39E2}" name="State/Territory">
      <calculatedColumnFormula array="1">Common_InputFunctions.Utility_DisplayArrayInTable(Common_SourceData.Common_SourceData_AustralianStatesTerritories_Data(),Table_AustralianStates[[#Headers],[State/Territory]],0)</calculatedColumnFormula>
    </tableColumn>
    <tableColumn id="2" xr3:uid="{1C767934-3B57-475F-9043-61B46B4B44B2}" name="Common Name">
      <calculatedColumnFormula array="1">Common_InputFunctions.Utility_DisplayArrayInTable(Common_SourceData.Common_SourceData_AustralianStatesTerritories_Data(),Table_AustralianStates[[#Headers],[State/Territory]],0)</calculatedColumnFormula>
    </tableColumn>
    <tableColumn id="3" xr3:uid="{E2EA12E4-9CF6-4C68-A5D0-F05AC4B8A9F1}"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E2EC9E8-0E91-4093-A370-A0FB47853ED2}" name="Table_WASA4Areas" displayName="Table_WASA4Areas" ref="D20:D30" totalsRowShown="0">
  <autoFilter ref="D20:D30" xr:uid="{5FA81339-C6C8-4D36-BEEA-6C4AEDD9E676}">
    <filterColumn colId="0" hiddenButton="1"/>
  </autoFilter>
  <tableColumns count="1">
    <tableColumn id="1" xr3:uid="{B100C6B8-0EEF-4141-89C3-B97B70A5239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32197674-F4EC-40C4-BA61-58B06682F8E5}" name="Table_GWPData" displayName="Table_GWPData" ref="D36:E43" totalsRowShown="0">
  <autoFilter ref="D36:E43" xr:uid="{B8E87A66-3E41-4AD3-925D-01EE21B43D7A}">
    <filterColumn colId="0" hiddenButton="1"/>
    <filterColumn colId="1" hiddenButton="1"/>
  </autoFilter>
  <tableColumns count="2">
    <tableColumn id="1" xr3:uid="{DE6DB2AF-8B82-435D-A79B-8205BD960246}" name="Gas">
      <calculatedColumnFormula array="1">Common_InputFunctions.Utility_DisplayArrayInTable(Common_SourceData.Common_SourceData_GWP_Data(), Table_GWPData[[#Headers],[Gas]], 0)</calculatedColumnFormula>
    </tableColumn>
    <tableColumn id="2" xr3:uid="{C1872EA8-E6F7-4CDB-BE15-139748243EE5}"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A03DACCB-4A75-40B0-8551-2B1D21A46594}"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0D8DCA3-10F5-4031-86FD-216D8A755B9E}" name="Gas">
      <calculatedColumnFormula array="1">Common_InputFunctions.Utility_DisplayArrayInTable(Common_SourceData.Common_SourceData_ConvertGasElementalToMolecular_Data(),Table_GasToMolecularConversionFactor[[#Headers],[Gas]], 0)</calculatedColumnFormula>
    </tableColumn>
    <tableColumn id="5" xr3:uid="{A53FF128-FAFA-48C3-8A6E-8E78B89CFD95}" name="Conversion factor">
      <calculatedColumnFormula array="1">Common_InputFunctions.Utility_DisplayArrayInTable(Common_SourceData.Common_SourceData_ConvertGasElementalToMolecular_Data(),Table_GasToMolecularConversionFactor[[#Headers],[Gas]], 0)</calculatedColumnFormula>
    </tableColumn>
    <tableColumn id="2" xr3:uid="{F83400CF-8874-42E5-9041-D872244B9CF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CA87A7E6-25FB-4F61-B2BC-8876667D6A15}"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E372DE5-34A1-40F8-8BF5-A8018838457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95132B17-5458-42C3-9E74-261F277F666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5DB17EF-0F05-492B-8DF4-50777CFB302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C5C83B84-0235-4B48-9882-D789359978A3}" name="MAT" totalsRowDxfId="66" totalsRowCellStyle="Content bold">
      <calculatedColumnFormula array="1">Common_InputFunctions.Utility_DisplayArrayInTable(Common_SourceData.Common_SourceData_ClimateZones_Data(), Table_SourceData_ClimateZones[[#Headers],[Climate zone]], 0)</calculatedColumnFormula>
    </tableColumn>
    <tableColumn id="3" xr3:uid="{2427DEBF-B9EF-405D-977C-D0B2800FCBB1}" name="MAP" totalsRowDxfId="65" totalsRowCellStyle="Content bold">
      <calculatedColumnFormula array="1">Common_InputFunctions.Utility_DisplayArrayInTable(Common_SourceData.Common_SourceData_ClimateZones_Data(), Table_SourceData_ClimateZones[[#Headers],[Climate zone]], 0)</calculatedColumnFormula>
    </tableColumn>
    <tableColumn id="4" xr3:uid="{EBA92C07-A154-437D-BDD5-52695464C73C}" name="Frost days per year" totalsRowDxfId="64" totalsRowCellStyle="Content bold">
      <calculatedColumnFormula array="1">Common_InputFunctions.Utility_DisplayArrayInTable(Common_SourceData.Common_SourceData_ClimateZones_Data(), Table_SourceData_ClimateZones[[#Headers],[Climate zone]], 0)</calculatedColumnFormula>
    </tableColumn>
    <tableColumn id="5" xr3:uid="{99735E8A-3D39-449D-A7C0-CD9B7DAE3957}" name="Elevation" totalsRowDxfId="63" totalsRowCellStyle="Content bold">
      <calculatedColumnFormula array="1">Common_InputFunctions.Utility_DisplayArrayInTable(Common_SourceData.Common_SourceData_ClimateZones_Data(), Table_SourceData_ClimateZones[[#Headers],[Climate zone]], 0)</calculatedColumnFormula>
    </tableColumn>
    <tableColumn id="6" xr3:uid="{B79F49BE-04C8-4800-9DCB-948081BBD991}" name="MAP:PET" totalsRowDxfId="62" totalsRowCellStyle="Content bold">
      <calculatedColumnFormula array="1">Common_InputFunctions.Utility_DisplayArrayInTable(Common_SourceData.Common_SourceData_ClimateZones_Data(), Table_SourceData_ClimateZones[[#Headers],[Climate zone]], 0)</calculatedColumnFormula>
    </tableColumn>
    <tableColumn id="7" xr3:uid="{223EBFAE-1287-4A0A-AA3E-9342D3BF4364}" name="Min temp" totalsRowDxfId="61" totalsRowCellStyle="Content bold">
      <calculatedColumnFormula array="1">Common_InputFunctions.Utility_DisplayArrayInTable(Common_SourceData.Common_SourceData_ClimateZones_Data(), Table_SourceData_ClimateZones[[#Headers],[Climate zone]], 0)</calculatedColumnFormula>
    </tableColumn>
    <tableColumn id="8" xr3:uid="{351C7274-AFD2-4546-A140-A95A456892E8}" name="Max temp" totalsRowDxfId="60" totalsRowCellStyle="Content bold">
      <calculatedColumnFormula array="1">Common_InputFunctions.Utility_DisplayArrayInTable(Common_SourceData.Common_SourceData_ClimateZones_Data(), Table_SourceData_ClimateZones[[#Headers],[Climate zone]], 0)</calculatedColumnFormula>
    </tableColumn>
    <tableColumn id="9" xr3:uid="{C74C0D42-AEEA-4278-AD59-0334EC505CEC}" name="Min rainfall" totalsRowDxfId="59" totalsRowCellStyle="Content bold">
      <calculatedColumnFormula array="1">Common_InputFunctions.Utility_DisplayArrayInTable(Common_SourceData.Common_SourceData_ClimateZones_Data(), Table_SourceData_ClimateZones[[#Headers],[Climate zone]], 0)</calculatedColumnFormula>
    </tableColumn>
    <tableColumn id="10" xr3:uid="{8B3776A6-D901-494F-A436-67BB3CB20929}" name="Max rainfall" totalsRowDxfId="58" totalsRowCellStyle="Content bold">
      <calculatedColumnFormula array="1">Common_InputFunctions.Utility_DisplayArrayInTable(Common_SourceData.Common_SourceData_ClimateZones_Data(), Table_SourceData_ClimateZones[[#Headers],[Climate zone]], 0)</calculatedColumnFormula>
    </tableColumn>
    <tableColumn id="11" xr3:uid="{29781557-BEE7-4BC2-8FCF-88051FE8BA04}" name="Min frost days" totalsRowDxfId="57" totalsRowCellStyle="Content bold">
      <calculatedColumnFormula array="1">Common_InputFunctions.Utility_DisplayArrayInTable(Common_SourceData.Common_SourceData_ClimateZones_Data(), Table_SourceData_ClimateZones[[#Headers],[Climate zone]], 0)</calculatedColumnFormula>
    </tableColumn>
    <tableColumn id="15" xr3:uid="{226D5EA0-8392-496D-B07B-0115FF6685C1}" name="Max frost days" totalsRowDxfId="56" totalsRowCellStyle="Content bold">
      <calculatedColumnFormula array="1">Common_InputFunctions.Utility_DisplayArrayInTable(Common_SourceData.Common_SourceData_ClimateZones_Data(), Table_SourceData_ClimateZones[[#Headers],[Climate zone]], 0)</calculatedColumnFormula>
    </tableColumn>
    <tableColumn id="12" xr3:uid="{97FCC930-F093-4ED4-A18F-679D2FFE3417}" name="Min elevation"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16" xr3:uid="{2B589B12-9689-4C72-B4ED-6C287BBF0233}" name="Max elevation"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13" xr3:uid="{D7A13881-2DB8-4008-8FA2-574069DAD6F6}" name="Min MAP:PET"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17" xr3:uid="{2145277F-3B0D-4FA7-97B5-A7338EBFBA01}" name="Max MAP:PET" totalsRowDxfId="5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02E9396F-7D92-4EBB-887B-ADD206B4ADD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7C9BA32D-00D8-4C52-9DF7-220AA12DE65F}"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81E5122-308B-41E4-B622-AE4C693CCA35}" name="Wet or Dry Zone" totalsRowDxfId="5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1A688357-E7C3-4A2A-B4D3-A0F24B08E305}"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C8403960-4434-43CD-ABBE-E8DF4D86B9F5}" name="Temperature Zone">
      <calculatedColumnFormula array="1">Common_InputFunctions.Utility_DisplayArrayInTable(Common_SourceData.Common_SourceData_TemperatureZones_Data(),Table_SourceData_TemperatureZones[[#Headers],[Temperature Zone]],0)</calculatedColumnFormula>
    </tableColumn>
    <tableColumn id="2" xr3:uid="{66A4AD83-37E6-4BCB-BC66-B572872B5198}" name="MAT">
      <calculatedColumnFormula array="1">Common_InputFunctions.Utility_DisplayArrayInTable(Common_SourceData.Common_SourceData_TemperatureZones_Data(),Table_SourceData_TemperatureZones[[#Headers],[Temperature Zone]],0)</calculatedColumnFormula>
    </tableColumn>
    <tableColumn id="3" xr3:uid="{B9291C4C-E6A7-4495-A3EE-77DAB17978C7}" name="Min MAT">
      <calculatedColumnFormula array="1">Common_InputFunctions.Utility_DisplayArrayInTable(Common_SourceData.Common_SourceData_TemperatureZones_Data(),Table_SourceData_TemperatureZones[[#Headers],[Temperature Zone]],0)</calculatedColumnFormula>
    </tableColumn>
    <tableColumn id="4" xr3:uid="{3C13F341-9CBC-46A8-BC68-8C55D43C939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8CCA099A-1815-4C9E-8BE1-EAFCEA3125C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BF4D7F70-B372-4198-B448-F69D7AB5C57A}" name="Rainfall Zone">
      <calculatedColumnFormula array="1">Common_InputFunctions.Utility_DisplayArrayInTable(Common_SourceData.Common_SourceData_RainfallZones_Data(),Table_SourceData_RainfallZones[[#Headers],[Rainfall Zone]],0)</calculatedColumnFormula>
    </tableColumn>
    <tableColumn id="2" xr3:uid="{0636C224-96C6-4792-91A4-1FC86B7BC2BB}" name="Annual rainfall">
      <calculatedColumnFormula array="1">Common_InputFunctions.Utility_DisplayArrayInTable(Common_SourceData.Common_SourceData_RainfallZones_Data(),Table_SourceData_RainfallZones[[#Headers],[Rainfall Zone]],0)</calculatedColumnFormula>
    </tableColumn>
    <tableColumn id="3" xr3:uid="{58B0F4F3-EB24-4A00-9F9A-0E64F1E2D5D0}" name="Min rainfall">
      <calculatedColumnFormula array="1">Common_InputFunctions.Utility_DisplayArrayInTable(Common_SourceData.Common_SourceData_RainfallZones_Data(),Table_SourceData_RainfallZones[[#Headers],[Rainfall Zone]],0)</calculatedColumnFormula>
    </tableColumn>
    <tableColumn id="4" xr3:uid="{CB6299EC-5E20-4209-BE64-AC6EDA2A45B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E1D1277F-7083-467C-A78B-B5A5473D337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866685-43DA-480D-AE27-DAD823223B61}" name="Leaching Zone">
      <calculatedColumnFormula array="1">Common_InputFunctions.Utility_DisplayArrayInTable(Common_SourceData.Common_SourceData_LeachingZones_Data(), Table_SourceData_LeachingZones[[#Headers],[Leaching Zone]], 0)</calculatedColumnFormula>
    </tableColumn>
    <tableColumn id="2" xr3:uid="{92ECD4D2-81B9-467C-BA67-C008BE7F8F2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C757BE5D-8986-486B-9942-45BFD29D0636}"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71FE53BA-D360-4C24-8E5B-28CB3F969908}" name="Data source">
      <calculatedColumnFormula array="1">Common_InputFunctions.Utility_DisplayArrayInTable(Common_SourceData.Common_SourceData_DataScores_Scope3_Data(), Table_SourceData_DataScores_Scope3[[#Headers],[Data source]], 0)</calculatedColumnFormula>
    </tableColumn>
    <tableColumn id="2" xr3:uid="{58F6D1E3-6B78-4718-A383-427BF82805E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AD5BAE0A-AE6C-4E5D-9102-8C3D108836A9}" name="Table_SourceData_FracWET" displayName="Table_SourceData_FracWET" ref="D134:E136" totalsRowShown="0">
  <autoFilter ref="D134:E136" xr:uid="{308E99BE-FE1F-47A4-B2CA-97217277C4E9}">
    <filterColumn colId="0" hiddenButton="1"/>
    <filterColumn colId="1" hiddenButton="1"/>
  </autoFilter>
  <tableColumns count="2">
    <tableColumn id="1" xr3:uid="{BC669E04-ED77-44FE-9D5F-8C8107EB4A98}" name="Is in leaching zone">
      <calculatedColumnFormula array="1">Common_InputFunctions.Utility_DisplayArrayInTable(Common_SourceData.Common_SourceData_FracWET_Data(),Table_SourceData_FracWET[[#Headers],[Is in leaching zone]],0)</calculatedColumnFormula>
    </tableColumn>
    <tableColumn id="2" xr3:uid="{A3948F95-F1C4-45B3-81A4-39D322485349}" name="FracWET" dataDxfId="5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77B971EA-407C-45A5-9FFB-F7AA722C8E0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A2F3F9BB-DA9E-4193-9F8B-B6A61E653CCF}" name="Production system j">
      <calculatedColumnFormula array="1">Common_InputFunctions.Utility_DisplayArrayInTable(Common_SourceData.Common_SourceData_EFN2O_Data(), Table_SourceData_Common_EFN2O[[#Headers],[Production system j]], 0)</calculatedColumnFormula>
    </tableColumn>
    <tableColumn id="2" xr3:uid="{3D22419F-B45A-49E4-9B2C-61DFA559A5E6}" name="EFN2O">
      <calculatedColumnFormula array="1">Common_InputFunctions.Utility_DisplayArrayInTable(Common_SourceData.Common_SourceData_EFN2O_Data(), Table_SourceData_Common_EFN2O[[#Headers],[Production system j]], 0)</calculatedColumnFormula>
    </tableColumn>
    <tableColumn id="3" xr3:uid="{25D60932-977A-4B69-B269-FC2D0FBEF5FD}" name="Production system only">
      <calculatedColumnFormula array="1">Common_InputFunctions.Utility_DisplayArrayInTable(Common_SourceData.Common_SourceData_EFN2O_Data(), Table_SourceData_Common_EFN2O[[#Headers],[Production system j]], 0)</calculatedColumnFormula>
    </tableColumn>
    <tableColumn id="4" xr3:uid="{C0A42ED4-5BEF-4593-8E87-70CB6EE0301D}" name="Irrigation method">
      <calculatedColumnFormula array="1">Common_InputFunctions.Utility_DisplayArrayInTable(Common_SourceData.Common_SourceData_EFN2O_Data(), Table_SourceData_Common_EFN2O[[#Headers],[Production system j]], 0)</calculatedColumnFormula>
    </tableColumn>
    <tableColumn id="5" xr3:uid="{782D7ADE-E7B1-4141-A25C-555CE2F063C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FD55417-029C-4CE1-94B5-7F7CCA88A962}"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5AEF521B-87A4-4DF0-9061-A42BD804FA47}" name="Irrigation type i">
      <calculatedColumnFormula array="1">Common_InputFunctions.Utility_DisplayArrayInTable(Common_SourceData.Common_SourceData_FracWETIrrigation_Data(), Table_SourceData_FracWETIrrigation[[#Headers],[Irrigation type i]], 0)</calculatedColumnFormula>
    </tableColumn>
    <tableColumn id="2" xr3:uid="{413EF7D5-6C1D-48C4-ADE3-C2FBFE9CDBF0}" name="FracWET" dataDxfId="4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6D0385FD-EFA3-4C84-B44D-9F37B1305043}"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4B3DD1A-762C-4056-B47D-C7F4C3D2140D}"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7FA3D3B2-F03B-4A49-B036-1E6713C6C2BA}" name="EFPRP" dataDxfId="4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D7CF299F-EB3B-4475-B57E-88E228BFA01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891AEBD9-B5D9-477E-A4F8-180604EEEB5F}" name="Month">
      <calculatedColumnFormula array="1">Common_InputFunctions.Utility_DisplayArrayInTable(Common_SourceData.Common_SourceData_MonthsToSeasons_Data(), Table_SourceData_Common_MonthToSeason[[#Headers],[Month]], 0)</calculatedColumnFormula>
    </tableColumn>
    <tableColumn id="2" xr3:uid="{68A7ECE7-9AF7-4FB2-8EBA-0AF2F740F298}" name="Season" dataDxfId="4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55A68CD2-471B-4B4F-9D5E-65C39267BD6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6D78F8A-058B-42CA-B726-7AEBBCA6C28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1091063A-29C3-4F2A-BFEF-BD86006AD144}" name="MAT (ºC)" dataDxfId="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8D6B89D-F8F7-4100-9AC6-7433F92DE90E}" name="Anaerobic lagoon" dataDxfId="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AD0EE1F-0F8D-4B1E-BC41-D905561F457C}" name="Digester / covered lagoons" dataDxfId="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70A47EB3-89E9-49EA-A584-4FFFF617FFFE}" name="Liquid systems" dataDxfId="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379D57A-CF72-4017-8026-7368D62E7C6E}" name="Daily spread" dataDxfId="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A8CAA5F5-A9E2-490C-8E9E-F98FEC2B85B7}" name="Composting (passive windrow)" dataDxfId="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932A796-896E-4749-8473-D4D99CB5A8DA}" name="Solid storage" dataDxfId="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15FC1CD-D6D4-48C6-BB02-0784024F60E1}" name="Pit storage" dataDxfId="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EBE432B-3D78-4900-9DC3-1FD9ACCBB17C}" name="Deep litter" dataDxfId="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A81D0680-FD86-4172-B5F0-E4CCA7F0900F}" name="Poultry manure with bedding" dataDxfId="3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E403667-5932-4CF5-8344-621BAA196406}" name="Poultry manure without bedding" dataDxfId="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72C37E3-C784-49F8-9FFA-148700905D66}" name="Direct processing"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FECAD450-29C4-40CA-9D51-7672268D9D32}" name="Direct application"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3BCC1851-11A9-41A2-B4BC-E7AFBD1EAA84}" name="Pasture range and paddock"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69CC47FE-434C-431F-B727-358EA13CFB6F}" name="MAT raw"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62"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20.xml"/><Relationship Id="rId13" Type="http://schemas.openxmlformats.org/officeDocument/2006/relationships/table" Target="../tables/table25.xml"/><Relationship Id="rId3" Type="http://schemas.openxmlformats.org/officeDocument/2006/relationships/table" Target="../tables/table15.xml"/><Relationship Id="rId7" Type="http://schemas.openxmlformats.org/officeDocument/2006/relationships/table" Target="../tables/table19.xml"/><Relationship Id="rId12" Type="http://schemas.openxmlformats.org/officeDocument/2006/relationships/table" Target="../tables/table24.xml"/><Relationship Id="rId17" Type="http://schemas.openxmlformats.org/officeDocument/2006/relationships/table" Target="../tables/table29.xml"/><Relationship Id="rId2" Type="http://schemas.openxmlformats.org/officeDocument/2006/relationships/table" Target="../tables/table14.xml"/><Relationship Id="rId16" Type="http://schemas.openxmlformats.org/officeDocument/2006/relationships/table" Target="../tables/table28.xml"/><Relationship Id="rId1" Type="http://schemas.openxmlformats.org/officeDocument/2006/relationships/printerSettings" Target="../printerSettings/printerSettings5.bin"/><Relationship Id="rId6" Type="http://schemas.openxmlformats.org/officeDocument/2006/relationships/table" Target="../tables/table18.xml"/><Relationship Id="rId11" Type="http://schemas.openxmlformats.org/officeDocument/2006/relationships/table" Target="../tables/table23.xml"/><Relationship Id="rId5" Type="http://schemas.openxmlformats.org/officeDocument/2006/relationships/table" Target="../tables/table17.xml"/><Relationship Id="rId15" Type="http://schemas.openxmlformats.org/officeDocument/2006/relationships/table" Target="../tables/table27.xml"/><Relationship Id="rId10" Type="http://schemas.openxmlformats.org/officeDocument/2006/relationships/table" Target="../tables/table22.xml"/><Relationship Id="rId4" Type="http://schemas.openxmlformats.org/officeDocument/2006/relationships/table" Target="../tables/table16.xml"/><Relationship Id="rId9" Type="http://schemas.openxmlformats.org/officeDocument/2006/relationships/table" Target="../tables/table21.xml"/><Relationship Id="rId14" Type="http://schemas.openxmlformats.org/officeDocument/2006/relationships/table" Target="../tables/table26.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zoomScale="70" zoomScaleNormal="70"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CAE93-B6CA-43A4-8CA6-DF8669432BEE}">
  <dimension ref="BV1:BV64"/>
  <sheetViews>
    <sheetView showGridLines="0" zoomScale="85" zoomScaleNormal="85" workbookViewId="0">
      <selection activeCell="AL10" sqref="AL10"/>
    </sheetView>
  </sheetViews>
  <sheetFormatPr defaultRowHeight="15" x14ac:dyDescent="0.25"/>
  <sheetData>
    <row r="1" s="22" customFormat="1" x14ac:dyDescent="0.25"/>
    <row r="2" s="22" customFormat="1" x14ac:dyDescent="0.25"/>
    <row r="3" s="22" customFormat="1" x14ac:dyDescent="0.25"/>
    <row r="4" s="22" customFormat="1" x14ac:dyDescent="0.25"/>
    <row r="5" s="22" customFormat="1" x14ac:dyDescent="0.25"/>
    <row r="6" s="22" customFormat="1" x14ac:dyDescent="0.25"/>
    <row r="7" s="22" customFormat="1" x14ac:dyDescent="0.25"/>
    <row r="8" s="22" customFormat="1" x14ac:dyDescent="0.25"/>
    <row r="9" s="22" customFormat="1" x14ac:dyDescent="0.25"/>
    <row r="10" s="22" customFormat="1" x14ac:dyDescent="0.25"/>
    <row r="11" s="22" customFormat="1" x14ac:dyDescent="0.25"/>
    <row r="12" s="22" customFormat="1" x14ac:dyDescent="0.25"/>
    <row r="13" s="22" customFormat="1" x14ac:dyDescent="0.25"/>
    <row r="14" s="151" customFormat="1" x14ac:dyDescent="0.25"/>
    <row r="34" spans="74:74" x14ac:dyDescent="0.25">
      <c r="BV34" t="s">
        <v>368</v>
      </c>
    </row>
    <row r="37" spans="74:74" s="152" customFormat="1" x14ac:dyDescent="0.25"/>
    <row r="38" spans="74:74" s="22" customFormat="1" x14ac:dyDescent="0.25"/>
    <row r="39" spans="74:74" s="22" customFormat="1" x14ac:dyDescent="0.25"/>
    <row r="40" spans="74:74" s="22" customFormat="1" x14ac:dyDescent="0.25"/>
    <row r="41" spans="74:74" s="22" customFormat="1" x14ac:dyDescent="0.25"/>
    <row r="42" spans="74:74" s="22" customFormat="1" x14ac:dyDescent="0.25"/>
    <row r="43" spans="74:74" s="22" customFormat="1" x14ac:dyDescent="0.25"/>
    <row r="44" spans="74:74" s="22" customFormat="1" x14ac:dyDescent="0.25"/>
    <row r="45" spans="74:74" s="22" customFormat="1" x14ac:dyDescent="0.25"/>
    <row r="46" spans="74:74" s="22" customFormat="1" x14ac:dyDescent="0.25"/>
    <row r="47" spans="74:74" s="22" customFormat="1" x14ac:dyDescent="0.25"/>
    <row r="48" spans="74:74" s="22" customFormat="1" x14ac:dyDescent="0.25"/>
    <row r="49" s="22" customFormat="1" x14ac:dyDescent="0.25"/>
    <row r="50" s="22" customFormat="1" x14ac:dyDescent="0.25"/>
    <row r="51" s="22" customFormat="1" x14ac:dyDescent="0.25"/>
    <row r="52" s="22" customFormat="1" x14ac:dyDescent="0.25"/>
    <row r="53" s="22" customFormat="1" x14ac:dyDescent="0.25"/>
    <row r="54" s="22" customFormat="1" x14ac:dyDescent="0.25"/>
    <row r="55" s="22" customFormat="1" x14ac:dyDescent="0.25"/>
    <row r="56" s="22" customFormat="1" x14ac:dyDescent="0.25"/>
    <row r="57" s="22" customFormat="1" x14ac:dyDescent="0.25"/>
    <row r="58" s="22" customFormat="1" x14ac:dyDescent="0.25"/>
    <row r="59" s="22" customFormat="1" x14ac:dyDescent="0.25"/>
    <row r="60" s="22" customFormat="1" x14ac:dyDescent="0.25"/>
    <row r="61" s="22" customFormat="1" x14ac:dyDescent="0.25"/>
    <row r="62" s="22" customFormat="1" x14ac:dyDescent="0.25"/>
    <row r="63" s="22" customFormat="1" x14ac:dyDescent="0.25"/>
    <row r="64" s="151" customFormat="1" x14ac:dyDescent="0.25"/>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zoomScaleNormal="100" workbookViewId="0">
      <selection activeCell="A13" sqref="A13"/>
    </sheetView>
  </sheetViews>
  <sheetFormatPr defaultRowHeight="15" x14ac:dyDescent="0.25"/>
  <cols>
    <col min="1" max="1" width="30.7109375" customWidth="1"/>
    <col min="2" max="3" width="2.7109375" customWidth="1"/>
    <col min="4" max="4" width="97.42578125" customWidth="1"/>
    <col min="5" max="10" width="30.7109375" customWidth="1"/>
    <col min="11" max="11" width="7.42578125" customWidth="1"/>
    <col min="12" max="26" width="28.7109375" customWidth="1"/>
  </cols>
  <sheetData>
    <row r="1" spans="1:11" ht="30" customHeight="1" x14ac:dyDescent="0.35">
      <c r="A1" s="68" t="e" vm="1">
        <v>#VALUE!</v>
      </c>
      <c r="C1" s="116" t="s">
        <v>138</v>
      </c>
    </row>
    <row r="2" spans="1:11" ht="20.100000000000001" customHeight="1" x14ac:dyDescent="0.25">
      <c r="A2" s="9"/>
      <c r="C2" s="9"/>
    </row>
    <row r="3" spans="1:11" ht="20.100000000000001" customHeight="1" x14ac:dyDescent="0.25">
      <c r="A3" s="17" t="str">
        <f>HYPERLINK("#'Home'!A1", "Home")</f>
        <v>Home</v>
      </c>
      <c r="C3" s="22"/>
      <c r="D3" s="22"/>
      <c r="E3" s="22"/>
      <c r="F3" s="22"/>
      <c r="G3" s="22"/>
      <c r="H3" s="22"/>
      <c r="I3" s="22"/>
      <c r="J3" s="22"/>
      <c r="K3" s="22"/>
    </row>
    <row r="4" spans="1:11" ht="20.100000000000001" customHeight="1" x14ac:dyDescent="0.25">
      <c r="A4" s="17" t="str">
        <f>HYPERLINK("#'Overview'!A1", "Overview")</f>
        <v>Overview</v>
      </c>
      <c r="C4" s="22"/>
      <c r="D4" s="6" t="s">
        <v>5</v>
      </c>
      <c r="E4" s="24"/>
      <c r="F4" s="24"/>
      <c r="G4" s="24"/>
      <c r="H4" s="6"/>
      <c r="I4" s="6"/>
      <c r="J4" s="6"/>
      <c r="K4" s="25"/>
    </row>
    <row r="5" spans="1:11" ht="20.100000000000001" customHeight="1" x14ac:dyDescent="0.3">
      <c r="A5" s="17" t="str">
        <f>HYPERLINK("#'Results'!A1", "Results")</f>
        <v>Results</v>
      </c>
      <c r="C5" s="22"/>
      <c r="D5" s="26"/>
      <c r="E5" s="27"/>
      <c r="F5" s="27"/>
      <c r="G5" s="27"/>
      <c r="H5" s="24"/>
      <c r="I5" s="22"/>
      <c r="J5" s="22"/>
      <c r="K5" s="22"/>
    </row>
    <row r="6" spans="1:11" ht="20.100000000000001" customHeight="1" x14ac:dyDescent="0.25">
      <c r="A6" s="16"/>
      <c r="C6" s="22"/>
      <c r="D6" s="115" t="s">
        <v>104</v>
      </c>
      <c r="E6" s="115" t="s">
        <v>128</v>
      </c>
      <c r="F6" s="115" t="s">
        <v>129</v>
      </c>
      <c r="G6" s="115" t="s">
        <v>117</v>
      </c>
      <c r="H6" s="115" t="s">
        <v>130</v>
      </c>
      <c r="I6" s="115" t="s">
        <v>131</v>
      </c>
      <c r="J6" s="115" t="s">
        <v>118</v>
      </c>
      <c r="K6" s="22"/>
    </row>
    <row r="7" spans="1:11" ht="20.100000000000001" customHeight="1" x14ac:dyDescent="0.25">
      <c r="A7" s="20" t="s">
        <v>3</v>
      </c>
      <c r="C7" s="22"/>
      <c r="D7" s="1" t="s">
        <v>343</v>
      </c>
      <c r="E7" s="138">
        <f>'4.5.1.1-2 Methane'!E261</f>
        <v>2.3840372404992007</v>
      </c>
      <c r="F7" s="138">
        <f>'4.5.1.1-2 Methane'!O261</f>
        <v>2.4087425821440007</v>
      </c>
      <c r="G7" s="54" t="s">
        <v>124</v>
      </c>
      <c r="H7" s="112">
        <f>'4.5.1.1-2 Methane'!E266</f>
        <v>66.753042733977622</v>
      </c>
      <c r="I7" s="112">
        <f>'4.5.1.1-2 Methane'!O266</f>
        <v>67.44479230003202</v>
      </c>
      <c r="J7" s="54" t="s">
        <v>126</v>
      </c>
      <c r="K7" s="22"/>
    </row>
    <row r="8" spans="1:11" ht="20.100000000000001" customHeight="1" x14ac:dyDescent="0.25">
      <c r="A8" s="17" t="str">
        <f>HYPERLINK("#'Input - Site'!A1", "Site")</f>
        <v>Site</v>
      </c>
      <c r="C8" s="22"/>
      <c r="D8" s="1" t="s">
        <v>344</v>
      </c>
      <c r="E8" s="138">
        <f>'4.5.1.3-4 Direct N2O'!E297</f>
        <v>7.4343140661428567E-2</v>
      </c>
      <c r="F8" s="138">
        <f>'4.5.1.3-4 Direct N2O'!O297</f>
        <v>7.4343140661428567E-2</v>
      </c>
      <c r="G8" s="54" t="s">
        <v>135</v>
      </c>
      <c r="H8" s="112">
        <f>'4.5.1.3-4 Direct N2O'!E302</f>
        <v>19.700932275278571</v>
      </c>
      <c r="I8" s="112">
        <f>'4.5.1.3-4 Direct N2O'!O302</f>
        <v>19.700932275278571</v>
      </c>
      <c r="J8" s="54" t="s">
        <v>126</v>
      </c>
      <c r="K8" s="22"/>
    </row>
    <row r="9" spans="1:11" ht="20.100000000000001" customHeight="1" x14ac:dyDescent="0.25">
      <c r="A9" s="17" t="str">
        <f>HYPERLINK("#'Input - Swine'!A1", "Swine")</f>
        <v>Swine</v>
      </c>
      <c r="C9" s="22"/>
      <c r="D9" s="1" t="s">
        <v>345</v>
      </c>
      <c r="E9" s="138">
        <f>'4.5.1.5-6 Atmos Dep'!E125</f>
        <v>2.4944401836750004E-2</v>
      </c>
      <c r="F9" s="138">
        <f>'4.5.1.5-6 Atmos Dep'!O125</f>
        <v>2.4944401836750004E-2</v>
      </c>
      <c r="G9" s="54" t="s">
        <v>135</v>
      </c>
      <c r="H9" s="112">
        <f>'4.5.1.5-6 Atmos Dep'!E130</f>
        <v>6.6102664867387508</v>
      </c>
      <c r="I9" s="112">
        <f>'4.5.1.5-6 Atmos Dep'!O130</f>
        <v>6.6102664867387508</v>
      </c>
      <c r="J9" s="54" t="s">
        <v>126</v>
      </c>
      <c r="K9" s="22"/>
    </row>
    <row r="10" spans="1:11" ht="20.100000000000001" customHeight="1" x14ac:dyDescent="0.25">
      <c r="A10" s="17"/>
      <c r="C10" s="22"/>
      <c r="D10" s="1" t="s">
        <v>276</v>
      </c>
      <c r="E10" s="138">
        <f>'4.5.1.7-8 Leaching and runoff'!E49</f>
        <v>2.6075015999999998E-4</v>
      </c>
      <c r="F10" s="138">
        <f>'4.5.1.7-8 Leaching and runoff'!N49</f>
        <v>2.6075015999999998E-4</v>
      </c>
      <c r="G10" s="54" t="s">
        <v>135</v>
      </c>
      <c r="H10" s="112">
        <f>'4.5.1.7-8 Leaching and runoff'!E54</f>
        <v>6.9098792399999998E-2</v>
      </c>
      <c r="I10" s="112">
        <f>'4.5.1.7-8 Leaching and runoff'!N54</f>
        <v>6.9098792399999998E-2</v>
      </c>
      <c r="J10" s="54" t="s">
        <v>126</v>
      </c>
      <c r="K10" s="22"/>
    </row>
    <row r="11" spans="1:11" ht="20.100000000000001" customHeight="1" x14ac:dyDescent="0.3">
      <c r="A11" s="19" t="s">
        <v>76</v>
      </c>
      <c r="C11" s="22"/>
      <c r="D11" s="29" t="s">
        <v>116</v>
      </c>
      <c r="E11" s="23"/>
      <c r="F11" s="23"/>
      <c r="G11" s="29"/>
      <c r="H11" s="114">
        <f>SUM(H7:H10)</f>
        <v>93.133340288394947</v>
      </c>
      <c r="I11" s="114">
        <f>SUM(I7:I10)</f>
        <v>93.825089854449345</v>
      </c>
      <c r="J11" s="105" t="s">
        <v>126</v>
      </c>
      <c r="K11" s="22"/>
    </row>
    <row r="12" spans="1:11" ht="20.100000000000001" customHeight="1" x14ac:dyDescent="0.25">
      <c r="A12" s="17" t="str">
        <f>HYPERLINK("#'4.5.1.1-2 Methane'!A1", "4.5.1.1-2 Methane")</f>
        <v>4.5.1.1-2 Methane</v>
      </c>
      <c r="C12" s="22"/>
      <c r="D12" s="1"/>
      <c r="E12" s="1"/>
      <c r="F12" s="1"/>
      <c r="G12" s="24"/>
      <c r="H12" s="22"/>
      <c r="I12" s="1"/>
      <c r="J12" s="1"/>
      <c r="K12" s="22"/>
    </row>
    <row r="13" spans="1:11" ht="20.100000000000001" customHeight="1" x14ac:dyDescent="0.25">
      <c r="A13" s="17" t="str">
        <f>HYPERLINK("#'4.5.1.3-4 Direct N2O'!A1", "4.5.1.3-4 Direct N2O")</f>
        <v>4.5.1.3-4 Direct N2O</v>
      </c>
      <c r="C13" s="22"/>
      <c r="D13" s="48" t="s">
        <v>292</v>
      </c>
      <c r="E13" s="1"/>
      <c r="F13" s="1"/>
      <c r="G13" s="1"/>
      <c r="H13" s="24"/>
      <c r="I13" s="1"/>
      <c r="J13" s="22"/>
      <c r="K13" s="22"/>
    </row>
    <row r="14" spans="1:11" ht="20.100000000000001" customHeight="1" x14ac:dyDescent="0.25">
      <c r="A14" s="17" t="str">
        <f>HYPERLINK("#'4.5.1.5-6 Atmos Dep'!A1", "4.5.1.5-6 Soil atm. deposition")</f>
        <v>4.5.1.5-6 Soil atm. deposition</v>
      </c>
      <c r="C14" s="22"/>
      <c r="D14" s="106" t="s">
        <v>329</v>
      </c>
      <c r="E14" s="1"/>
      <c r="F14" s="1"/>
      <c r="G14" s="1"/>
      <c r="H14" s="1"/>
      <c r="I14" s="1"/>
      <c r="J14" s="22"/>
      <c r="K14" s="22"/>
    </row>
    <row r="15" spans="1:11" ht="20.100000000000001" customHeight="1" x14ac:dyDescent="0.25">
      <c r="A15" s="17" t="str">
        <f>HYPERLINK("#'4.5.1.7-8 Leaching and runoff'!A1", "4.5.1.7-8 Leaching &amp; runoff")</f>
        <v>4.5.1.7-8 Leaching &amp; runoff</v>
      </c>
      <c r="C15" s="22"/>
      <c r="D15" s="137" t="s">
        <v>330</v>
      </c>
      <c r="E15" s="1"/>
      <c r="F15" s="1"/>
      <c r="G15" s="1"/>
      <c r="H15" s="1"/>
      <c r="I15" s="1"/>
      <c r="J15" s="22"/>
      <c r="K15" s="22"/>
    </row>
    <row r="16" spans="1:11" ht="20.100000000000001" customHeight="1" x14ac:dyDescent="0.25">
      <c r="A16" s="17" t="str">
        <f>HYPERLINK("#'4.5.1.9 Manure applied to soils'!A1", "4.5.1.9 Manure applied to soils")</f>
        <v>4.5.1.9 Manure applied to soils</v>
      </c>
      <c r="C16" s="22"/>
      <c r="D16" s="115" t="s">
        <v>331</v>
      </c>
      <c r="E16" s="115" t="s">
        <v>332</v>
      </c>
      <c r="F16" s="115" t="s">
        <v>333</v>
      </c>
      <c r="G16" s="115" t="s">
        <v>334</v>
      </c>
      <c r="H16" s="115" t="s">
        <v>335</v>
      </c>
      <c r="I16" s="1"/>
      <c r="J16" s="22"/>
      <c r="K16" s="22"/>
    </row>
    <row r="17" spans="1:11" ht="20.100000000000001" customHeight="1" x14ac:dyDescent="0.25">
      <c r="C17" s="22"/>
      <c r="D17" s="1" t="s">
        <v>336</v>
      </c>
      <c r="E17" s="132">
        <f>'4.5.1.9 Manure applied to soils'!E161</f>
        <v>3256.7704915650011</v>
      </c>
      <c r="F17" s="54" t="str">
        <f>'4.5.1.9 Manure applied to soils'!F161</f>
        <v>kg N</v>
      </c>
      <c r="G17" s="1" t="s">
        <v>342</v>
      </c>
      <c r="H17" s="1" t="s">
        <v>337</v>
      </c>
      <c r="I17" s="1"/>
      <c r="J17" s="22"/>
      <c r="K17" s="22"/>
    </row>
    <row r="18" spans="1:11" ht="20.100000000000001" customHeight="1" x14ac:dyDescent="0.25">
      <c r="A18" s="18" t="s">
        <v>4</v>
      </c>
      <c r="C18" s="22"/>
      <c r="D18" s="1" t="s">
        <v>338</v>
      </c>
      <c r="E18" s="132">
        <f>'4.5.1.9 Manure applied to soils'!E278</f>
        <v>653.20846285499988</v>
      </c>
      <c r="F18" s="54" t="str">
        <f>'4.5.1.9 Manure applied to soils'!F278</f>
        <v>kg N</v>
      </c>
      <c r="G18" s="1" t="s">
        <v>342</v>
      </c>
      <c r="H18" s="1" t="s">
        <v>337</v>
      </c>
      <c r="I18" s="22"/>
      <c r="J18" s="22"/>
      <c r="K18" s="22"/>
    </row>
    <row r="19" spans="1:11" ht="20.100000000000001" customHeight="1" x14ac:dyDescent="0.25">
      <c r="A19" s="17" t="str">
        <f>HYPERLINK("#'Constants - Swine'!A1", "Constants - Swine")</f>
        <v>Constants - Swine</v>
      </c>
      <c r="C19" s="22"/>
      <c r="D19" s="1" t="s">
        <v>339</v>
      </c>
      <c r="E19" s="132">
        <f>'4.5.1.9 Manure applied to soils'!E209</f>
        <v>653.20846285499988</v>
      </c>
      <c r="F19" s="54" t="str">
        <f>'4.5.1.9 Manure applied to soils'!F209</f>
        <v>kg N</v>
      </c>
      <c r="G19" s="1" t="s">
        <v>340</v>
      </c>
      <c r="H19" s="1" t="s">
        <v>341</v>
      </c>
      <c r="I19" s="22"/>
      <c r="J19" s="22"/>
      <c r="K19" s="22"/>
    </row>
    <row r="20" spans="1:11" ht="20.100000000000001" customHeight="1" x14ac:dyDescent="0.3">
      <c r="A20" s="17" t="str">
        <f>HYPERLINK("#'Constants - Livestock'!A1", "Constants - Livestock")</f>
        <v>Constants - Livestock</v>
      </c>
      <c r="C20" s="22"/>
      <c r="D20" s="1"/>
      <c r="E20" s="1"/>
      <c r="F20" s="1"/>
      <c r="G20" s="1"/>
      <c r="H20" s="27"/>
      <c r="I20" s="22"/>
      <c r="J20" s="22"/>
      <c r="K20" s="22"/>
    </row>
    <row r="21" spans="1:11" ht="20.100000000000001" customHeight="1" x14ac:dyDescent="0.3">
      <c r="A21" s="17" t="str">
        <f>HYPERLINK("#'Constants - Common'!A1", "Constants - Common")</f>
        <v>Constants - Common</v>
      </c>
      <c r="C21" s="22"/>
      <c r="D21" s="1"/>
      <c r="E21" s="1"/>
      <c r="F21" s="1"/>
      <c r="G21" s="1"/>
      <c r="H21" s="27"/>
      <c r="I21" s="22"/>
      <c r="J21" s="22"/>
      <c r="K21" s="22"/>
    </row>
    <row r="22" spans="1:11" ht="20.100000000000001" customHeight="1" x14ac:dyDescent="0.3">
      <c r="A22" s="17" t="str">
        <f>HYPERLINK("#'Acknowledgements'!A1", "Acknowledgements")</f>
        <v>Acknowledgements</v>
      </c>
      <c r="C22" s="22"/>
      <c r="D22" s="1"/>
      <c r="E22" s="1"/>
      <c r="F22" s="1"/>
      <c r="G22" s="1"/>
      <c r="H22" s="27"/>
      <c r="I22" s="22"/>
      <c r="J22" s="22"/>
      <c r="K22" s="22"/>
    </row>
    <row r="23" spans="1:11" ht="20.100000000000001" customHeight="1" x14ac:dyDescent="0.3">
      <c r="C23" s="22"/>
      <c r="D23" s="1"/>
      <c r="E23" s="1"/>
      <c r="F23" s="1"/>
      <c r="G23" s="1"/>
      <c r="H23" s="27"/>
      <c r="I23" s="22"/>
      <c r="J23" s="22"/>
      <c r="K23" s="22"/>
    </row>
    <row r="24" spans="1:11" ht="20.100000000000001" customHeight="1" x14ac:dyDescent="0.3">
      <c r="A24" s="17"/>
      <c r="C24" s="22"/>
      <c r="D24" s="1"/>
      <c r="E24" s="1"/>
      <c r="F24" s="1"/>
      <c r="G24" s="1"/>
      <c r="H24" s="27"/>
      <c r="I24" s="22"/>
      <c r="J24" s="22"/>
      <c r="K24" s="22"/>
    </row>
    <row r="25" spans="1:11" ht="20.100000000000001" customHeight="1" x14ac:dyDescent="0.3">
      <c r="C25" s="22"/>
      <c r="D25" s="1"/>
      <c r="E25" s="1"/>
      <c r="F25" s="1"/>
      <c r="G25" s="1"/>
      <c r="H25" s="27"/>
      <c r="I25" s="22"/>
      <c r="J25" s="22"/>
      <c r="K25" s="22"/>
    </row>
    <row r="26" spans="1:11" ht="20.100000000000001" customHeight="1" x14ac:dyDescent="0.3">
      <c r="C26" s="22"/>
      <c r="D26" s="1"/>
      <c r="E26" s="1"/>
      <c r="F26" s="1"/>
      <c r="G26" s="1"/>
      <c r="H26" s="27"/>
      <c r="I26" s="22"/>
      <c r="J26" s="22"/>
      <c r="K26" s="22"/>
    </row>
    <row r="27" spans="1:11" ht="20.100000000000001" customHeight="1" x14ac:dyDescent="0.25">
      <c r="C27" s="22"/>
      <c r="D27" s="1"/>
      <c r="E27" s="1"/>
      <c r="F27" s="1"/>
      <c r="G27" s="1"/>
      <c r="H27" s="1"/>
      <c r="I27" s="1"/>
      <c r="J27" s="22"/>
      <c r="K27" s="22"/>
    </row>
    <row r="28" spans="1:11" ht="20.100000000000001" customHeight="1" x14ac:dyDescent="0.25">
      <c r="C28" s="22"/>
      <c r="D28" s="1"/>
      <c r="E28" s="1"/>
      <c r="F28" s="1"/>
      <c r="G28" s="1"/>
      <c r="H28" s="1"/>
      <c r="I28" s="1"/>
      <c r="J28" s="22"/>
      <c r="K28" s="22"/>
    </row>
    <row r="29" spans="1:11" ht="20.100000000000001" customHeight="1" x14ac:dyDescent="0.25">
      <c r="C29" s="22"/>
      <c r="D29" s="1"/>
      <c r="E29" s="1"/>
      <c r="F29" s="1"/>
      <c r="G29" s="1"/>
      <c r="H29" s="1"/>
      <c r="I29" s="1"/>
      <c r="J29" s="22"/>
      <c r="K29" s="22"/>
    </row>
    <row r="30" spans="1:11" ht="20.100000000000001" customHeight="1" x14ac:dyDescent="0.25">
      <c r="C30" s="22"/>
      <c r="D30" s="1"/>
      <c r="E30" s="1"/>
      <c r="F30" s="1"/>
      <c r="G30" s="1"/>
      <c r="H30" s="1"/>
      <c r="I30" s="1"/>
      <c r="J30" s="22"/>
      <c r="K30" s="22"/>
    </row>
    <row r="31" spans="1:11" ht="20.100000000000001" customHeight="1" x14ac:dyDescent="0.25">
      <c r="C31" s="22"/>
      <c r="D31" s="1"/>
      <c r="E31" s="1"/>
      <c r="F31" s="1"/>
      <c r="G31" s="1"/>
      <c r="H31" s="1"/>
      <c r="I31" s="1"/>
      <c r="J31" s="22"/>
      <c r="K31" s="22"/>
    </row>
    <row r="32" spans="1:11" ht="20.100000000000001" customHeight="1" x14ac:dyDescent="0.25">
      <c r="C32" s="22"/>
      <c r="D32" s="1"/>
      <c r="E32" s="1"/>
      <c r="F32" s="1"/>
      <c r="G32" s="1"/>
      <c r="H32" s="1"/>
      <c r="I32" s="1"/>
      <c r="J32" s="22"/>
      <c r="K32" s="22"/>
    </row>
    <row r="33" spans="3:11" ht="20.100000000000001" customHeight="1" x14ac:dyDescent="0.25">
      <c r="C33" s="22"/>
      <c r="D33" s="1"/>
      <c r="E33" s="1"/>
      <c r="F33" s="1"/>
      <c r="G33" s="1"/>
      <c r="H33" s="1"/>
      <c r="I33" s="1"/>
      <c r="J33" s="22"/>
      <c r="K33" s="22"/>
    </row>
    <row r="34" spans="3:11" ht="20.100000000000001" customHeight="1" x14ac:dyDescent="0.25">
      <c r="C34" s="22"/>
      <c r="D34" s="1"/>
      <c r="E34" s="1"/>
      <c r="F34" s="1"/>
      <c r="G34" s="1"/>
      <c r="H34" s="1"/>
      <c r="I34" s="22"/>
      <c r="J34" s="22"/>
      <c r="K34" s="22"/>
    </row>
    <row r="35" spans="3:11" ht="20.100000000000001" customHeight="1" x14ac:dyDescent="0.25">
      <c r="C35" s="22"/>
      <c r="D35" s="1"/>
      <c r="E35" s="1"/>
      <c r="F35" s="1"/>
      <c r="G35" s="1"/>
      <c r="H35" s="1"/>
      <c r="I35" s="22"/>
      <c r="J35" s="22"/>
      <c r="K35" s="22"/>
    </row>
    <row r="36" spans="3:11" ht="20.100000000000001" customHeight="1" x14ac:dyDescent="0.25">
      <c r="C36" s="22"/>
      <c r="D36" s="1"/>
      <c r="E36" s="1"/>
      <c r="F36" s="1"/>
      <c r="G36" s="1"/>
      <c r="H36" s="1"/>
      <c r="I36" s="22"/>
      <c r="J36" s="22"/>
      <c r="K36" s="22"/>
    </row>
    <row r="37" spans="3:11" ht="20.100000000000001" customHeight="1" x14ac:dyDescent="0.25">
      <c r="C37" s="22"/>
      <c r="D37" s="1"/>
      <c r="E37" s="1"/>
      <c r="F37" s="1"/>
      <c r="G37" s="1"/>
      <c r="H37" s="1"/>
      <c r="I37" s="22"/>
      <c r="J37" s="22"/>
      <c r="K37" s="22"/>
    </row>
    <row r="38" spans="3:11" ht="20.100000000000001" customHeight="1" x14ac:dyDescent="0.25">
      <c r="C38" s="22"/>
      <c r="D38" s="1"/>
      <c r="E38" s="1"/>
      <c r="F38" s="1"/>
      <c r="G38" s="1"/>
      <c r="H38" s="1"/>
      <c r="I38" s="111"/>
      <c r="J38" s="111"/>
      <c r="K38" s="22"/>
    </row>
    <row r="39" spans="3:11" ht="20.100000000000001" customHeight="1" x14ac:dyDescent="0.25">
      <c r="C39" s="22"/>
      <c r="D39" s="1"/>
      <c r="E39" s="1"/>
      <c r="F39" s="1"/>
      <c r="G39" s="1"/>
      <c r="H39" s="1"/>
      <c r="I39" s="111"/>
      <c r="J39" s="111"/>
      <c r="K39" s="22"/>
    </row>
    <row r="40" spans="3:11" ht="20.100000000000001" customHeight="1" x14ac:dyDescent="0.25">
      <c r="C40" s="22"/>
      <c r="D40" s="1"/>
      <c r="E40" s="1"/>
      <c r="F40" s="1"/>
      <c r="G40" s="1"/>
      <c r="H40" s="1"/>
      <c r="I40" s="111"/>
      <c r="J40" s="111"/>
      <c r="K40" s="22"/>
    </row>
    <row r="41" spans="3:11" ht="20.100000000000001" customHeight="1" x14ac:dyDescent="0.25">
      <c r="C41" s="22"/>
      <c r="D41" s="1"/>
      <c r="E41" s="1"/>
      <c r="F41" s="1"/>
      <c r="G41" s="1"/>
      <c r="H41" s="1"/>
      <c r="I41" s="111"/>
      <c r="J41" s="111"/>
      <c r="K41" s="22"/>
    </row>
    <row r="42" spans="3:11" ht="20.100000000000001" customHeight="1" x14ac:dyDescent="0.25">
      <c r="C42" s="22"/>
      <c r="D42" s="1"/>
      <c r="E42" s="1"/>
      <c r="F42" s="1"/>
      <c r="G42" s="1"/>
      <c r="H42" s="1"/>
      <c r="I42" s="111"/>
      <c r="J42" s="111"/>
      <c r="K42" s="22"/>
    </row>
    <row r="43" spans="3:11" ht="20.100000000000001" customHeight="1" x14ac:dyDescent="0.25">
      <c r="C43" s="22"/>
      <c r="D43" s="1"/>
      <c r="E43" s="1"/>
      <c r="F43" s="1"/>
      <c r="G43" s="1"/>
      <c r="H43" s="1"/>
      <c r="I43" s="111"/>
      <c r="J43" s="111"/>
      <c r="K43" s="22"/>
    </row>
    <row r="44" spans="3:11" ht="20.100000000000001" customHeight="1" x14ac:dyDescent="0.25">
      <c r="C44" s="22"/>
      <c r="D44" s="1"/>
      <c r="E44" s="1"/>
      <c r="F44" s="1"/>
      <c r="G44" s="1"/>
      <c r="H44" s="1"/>
      <c r="I44" s="111"/>
      <c r="J44" s="111"/>
      <c r="K44" s="22"/>
    </row>
    <row r="45" spans="3:11" ht="20.100000000000001" customHeight="1" x14ac:dyDescent="0.25">
      <c r="C45" s="22"/>
      <c r="D45" s="1"/>
      <c r="E45" s="1"/>
      <c r="F45" s="1"/>
      <c r="G45" s="1"/>
      <c r="H45" s="1"/>
      <c r="I45" s="111"/>
      <c r="J45" s="111"/>
      <c r="K45" s="22"/>
    </row>
    <row r="46" spans="3:11" ht="20.100000000000001" customHeight="1" x14ac:dyDescent="0.25">
      <c r="C46" s="22"/>
      <c r="D46" s="1"/>
      <c r="E46" s="1"/>
      <c r="F46" s="1"/>
      <c r="G46" s="1"/>
      <c r="H46" s="1"/>
      <c r="I46" s="111"/>
      <c r="J46" s="111"/>
      <c r="K46" s="22"/>
    </row>
    <row r="47" spans="3:11" ht="20.100000000000001" customHeight="1" x14ac:dyDescent="0.25">
      <c r="C47" s="22"/>
      <c r="D47" s="1"/>
      <c r="E47" s="1"/>
      <c r="F47" s="1"/>
      <c r="G47" s="1"/>
      <c r="H47" s="1"/>
      <c r="I47" s="111"/>
      <c r="J47" s="111"/>
      <c r="K47" s="22"/>
    </row>
    <row r="48" spans="3:11" ht="20.100000000000001" customHeight="1" x14ac:dyDescent="0.25">
      <c r="C48" s="22"/>
      <c r="D48" s="1"/>
      <c r="E48" s="1"/>
      <c r="F48" s="1"/>
      <c r="G48" s="1"/>
      <c r="H48" s="1"/>
      <c r="I48" s="111"/>
      <c r="J48" s="111"/>
      <c r="K48" s="22"/>
    </row>
    <row r="49" spans="3:11" ht="20.100000000000001" customHeight="1" x14ac:dyDescent="0.25">
      <c r="C49" s="22"/>
      <c r="D49" s="1"/>
      <c r="E49" s="1"/>
      <c r="F49" s="1"/>
      <c r="G49" s="1"/>
      <c r="H49" s="111"/>
      <c r="I49" s="111"/>
      <c r="J49" s="111"/>
      <c r="K49" s="22"/>
    </row>
    <row r="50" spans="3:11" ht="20.100000000000001" customHeight="1" x14ac:dyDescent="0.25">
      <c r="C50" s="22"/>
      <c r="D50" s="1"/>
      <c r="E50" s="1"/>
      <c r="F50" s="1"/>
      <c r="G50" s="1"/>
      <c r="H50" s="111"/>
      <c r="I50" s="111"/>
      <c r="J50" s="111"/>
      <c r="K50" s="22"/>
    </row>
    <row r="51" spans="3:11" ht="20.100000000000001" customHeight="1" x14ac:dyDescent="0.25">
      <c r="C51" s="22"/>
      <c r="D51" s="1"/>
      <c r="E51" s="1"/>
      <c r="F51" s="1"/>
      <c r="G51" s="1"/>
      <c r="H51" s="111"/>
      <c r="I51" s="111"/>
      <c r="J51" s="111"/>
      <c r="K51" s="22"/>
    </row>
    <row r="52" spans="3:11" ht="20.100000000000001" customHeight="1" x14ac:dyDescent="0.25">
      <c r="C52" s="22"/>
      <c r="D52" s="1"/>
      <c r="E52" s="1"/>
      <c r="F52" s="1"/>
      <c r="G52" s="1"/>
      <c r="H52" s="111"/>
      <c r="I52" s="111"/>
      <c r="J52" s="111"/>
      <c r="K52" s="22"/>
    </row>
    <row r="53" spans="3:11" ht="20.100000000000001" customHeight="1" x14ac:dyDescent="0.25">
      <c r="C53" s="22"/>
      <c r="D53" s="1"/>
      <c r="E53" s="1"/>
      <c r="F53" s="1"/>
      <c r="G53" s="1"/>
      <c r="H53" s="111"/>
      <c r="I53" s="111"/>
      <c r="J53" s="111"/>
      <c r="K53" s="22"/>
    </row>
    <row r="54" spans="3:11" ht="20.100000000000001" customHeight="1" x14ac:dyDescent="0.25">
      <c r="C54" s="22"/>
      <c r="D54" s="1"/>
      <c r="E54" s="1"/>
      <c r="F54" s="1"/>
      <c r="G54" s="1"/>
      <c r="H54" s="22"/>
      <c r="I54" s="22"/>
      <c r="J54" s="22"/>
      <c r="K54" s="22"/>
    </row>
    <row r="55" spans="3:11" ht="20.100000000000001" customHeight="1" x14ac:dyDescent="0.25">
      <c r="C55" s="22"/>
      <c r="D55" s="1"/>
      <c r="E55" s="1"/>
      <c r="F55" s="1"/>
      <c r="G55" s="1"/>
      <c r="H55" s="22"/>
      <c r="I55" s="22"/>
      <c r="J55" s="22"/>
      <c r="K55" s="22"/>
    </row>
    <row r="56" spans="3:11" ht="20.100000000000001" customHeight="1" x14ac:dyDescent="0.25">
      <c r="C56" s="22"/>
      <c r="D56" s="1"/>
      <c r="E56" s="1"/>
      <c r="F56" s="1"/>
      <c r="G56" s="1"/>
      <c r="H56" s="22"/>
      <c r="I56" s="22"/>
      <c r="J56" s="22"/>
      <c r="K56" s="22"/>
    </row>
    <row r="57" spans="3:11" ht="20.100000000000001" customHeight="1" x14ac:dyDescent="0.25">
      <c r="C57" s="22"/>
      <c r="D57" s="1"/>
      <c r="E57" s="1"/>
      <c r="F57" s="1"/>
      <c r="G57" s="1"/>
      <c r="H57" s="22"/>
      <c r="I57" s="22"/>
      <c r="J57" s="22"/>
      <c r="K57" s="22"/>
    </row>
    <row r="58" spans="3:11" ht="20.100000000000001" customHeight="1" x14ac:dyDescent="0.25">
      <c r="C58" s="22"/>
      <c r="D58" s="1"/>
      <c r="E58" s="30"/>
      <c r="F58" s="28"/>
      <c r="G58" s="22"/>
      <c r="H58" s="22"/>
      <c r="I58" s="22"/>
      <c r="J58" s="22"/>
      <c r="K58" s="22"/>
    </row>
    <row r="59" spans="3:11" ht="20.100000000000001" customHeight="1" x14ac:dyDescent="0.25">
      <c r="C59" s="22"/>
      <c r="D59" s="1"/>
      <c r="E59" s="1"/>
      <c r="F59" s="1"/>
      <c r="G59" s="1"/>
      <c r="H59" s="1"/>
      <c r="I59" s="1"/>
      <c r="J59" s="1"/>
      <c r="K59" s="22"/>
    </row>
    <row r="60" spans="3:11" ht="20.100000000000001" customHeight="1" x14ac:dyDescent="0.25">
      <c r="C60" s="22"/>
      <c r="D60" s="1"/>
      <c r="E60" s="1"/>
      <c r="F60" s="1"/>
      <c r="G60" s="1"/>
      <c r="H60" s="1"/>
      <c r="I60" s="1"/>
      <c r="J60" s="1"/>
      <c r="K60" s="22"/>
    </row>
    <row r="61" spans="3:11" ht="20.100000000000001" customHeight="1" x14ac:dyDescent="0.25">
      <c r="C61" s="22"/>
      <c r="D61" s="1"/>
      <c r="E61" s="1"/>
      <c r="F61" s="1"/>
      <c r="G61" s="1"/>
      <c r="H61" s="1"/>
      <c r="I61" s="1"/>
      <c r="J61" s="1"/>
      <c r="K61" s="22"/>
    </row>
    <row r="62" spans="3:11" ht="20.100000000000001" customHeight="1" x14ac:dyDescent="0.25">
      <c r="C62" s="22"/>
      <c r="D62" s="1"/>
      <c r="E62" s="1"/>
      <c r="F62" s="1"/>
      <c r="G62" s="1"/>
      <c r="H62" s="1"/>
      <c r="I62" s="1"/>
      <c r="J62" s="1"/>
      <c r="K62" s="22"/>
    </row>
    <row r="63" spans="3:11" ht="20.100000000000001" customHeight="1" x14ac:dyDescent="0.25">
      <c r="C63" s="22"/>
      <c r="D63" s="1"/>
      <c r="E63" s="1"/>
      <c r="F63" s="1"/>
      <c r="G63" s="1"/>
      <c r="H63" s="1"/>
      <c r="I63" s="1"/>
      <c r="J63" s="1"/>
      <c r="K63" s="22"/>
    </row>
    <row r="64" spans="3:11" ht="20.100000000000001" customHeight="1" x14ac:dyDescent="0.25">
      <c r="C64" s="22"/>
      <c r="D64" s="1"/>
      <c r="E64" s="1"/>
      <c r="F64" s="1"/>
      <c r="G64" s="1"/>
      <c r="H64" s="1"/>
      <c r="I64" s="1"/>
      <c r="J64" s="1"/>
      <c r="K64" s="22"/>
    </row>
    <row r="65" spans="3:11" ht="20.100000000000001" customHeight="1" x14ac:dyDescent="0.25">
      <c r="C65" s="22"/>
      <c r="D65" s="1"/>
      <c r="E65" s="1"/>
      <c r="F65" s="1"/>
      <c r="G65" s="1"/>
      <c r="H65" s="1"/>
      <c r="I65" s="1"/>
      <c r="J65" s="1"/>
      <c r="K65" s="22"/>
    </row>
    <row r="66" spans="3:11" ht="20.100000000000001" customHeight="1" x14ac:dyDescent="0.25">
      <c r="C66" s="22"/>
      <c r="D66" s="1"/>
      <c r="E66" s="1"/>
      <c r="F66" s="1"/>
      <c r="G66" s="1"/>
      <c r="H66" s="1"/>
      <c r="I66" s="1"/>
      <c r="J66" s="1"/>
      <c r="K66" s="22"/>
    </row>
    <row r="67" spans="3:11" ht="20.100000000000001" customHeight="1" x14ac:dyDescent="0.25">
      <c r="C67" s="22"/>
      <c r="D67" s="1"/>
      <c r="E67" s="1"/>
      <c r="F67" s="1"/>
      <c r="G67" s="1"/>
      <c r="H67" s="1"/>
      <c r="I67" s="1"/>
      <c r="J67" s="1"/>
      <c r="K67" s="22"/>
    </row>
    <row r="68" spans="3:11" ht="20.100000000000001" customHeight="1" x14ac:dyDescent="0.25">
      <c r="C68" s="22"/>
      <c r="D68" s="1"/>
      <c r="E68" s="1"/>
      <c r="F68" s="1"/>
      <c r="G68" s="1"/>
      <c r="H68" s="1"/>
      <c r="I68" s="1"/>
      <c r="J68" s="1"/>
      <c r="K68" s="22"/>
    </row>
    <row r="69" spans="3:11" ht="20.100000000000001" customHeight="1" x14ac:dyDescent="0.25">
      <c r="C69" s="22"/>
      <c r="D69" s="1"/>
      <c r="E69" s="1"/>
      <c r="F69" s="1"/>
      <c r="G69" s="1"/>
      <c r="H69" s="1"/>
      <c r="I69" s="1"/>
      <c r="J69" s="1"/>
      <c r="K69" s="22"/>
    </row>
    <row r="70" spans="3:11" ht="20.100000000000001" customHeight="1" x14ac:dyDescent="0.25">
      <c r="C70" s="22"/>
      <c r="D70" s="1"/>
      <c r="E70" s="1"/>
      <c r="F70" s="1"/>
      <c r="G70" s="1"/>
      <c r="H70" s="1"/>
      <c r="I70" s="1"/>
      <c r="J70" s="1"/>
      <c r="K70" s="22"/>
    </row>
    <row r="71" spans="3:11" ht="20.100000000000001" customHeight="1" x14ac:dyDescent="0.25">
      <c r="C71" s="22"/>
      <c r="D71" s="1"/>
      <c r="E71" s="1"/>
      <c r="F71" s="1"/>
      <c r="G71" s="1"/>
      <c r="H71" s="1"/>
      <c r="I71" s="1"/>
      <c r="J71" s="1"/>
      <c r="K71" s="22"/>
    </row>
    <row r="72" spans="3:11" ht="20.100000000000001" customHeight="1" x14ac:dyDescent="0.25">
      <c r="C72" s="22"/>
      <c r="D72" s="1"/>
      <c r="E72" s="1"/>
      <c r="F72" s="1"/>
      <c r="G72" s="1"/>
      <c r="H72" s="1"/>
      <c r="I72" s="1"/>
      <c r="J72" s="1"/>
      <c r="K72" s="22"/>
    </row>
    <row r="73" spans="3:11" ht="20.100000000000001" customHeight="1" x14ac:dyDescent="0.25">
      <c r="C73" s="22"/>
      <c r="D73" s="1"/>
      <c r="E73" s="1"/>
      <c r="F73" s="1"/>
      <c r="G73" s="1"/>
      <c r="H73" s="1"/>
      <c r="I73" s="1"/>
      <c r="J73" s="1"/>
      <c r="K73" s="22"/>
    </row>
    <row r="74" spans="3:11" ht="20.100000000000001" customHeight="1" x14ac:dyDescent="0.25">
      <c r="C74" s="22"/>
      <c r="D74" s="1"/>
      <c r="E74" s="1"/>
      <c r="F74" s="1"/>
      <c r="G74" s="1"/>
      <c r="H74" s="1"/>
      <c r="I74" s="1"/>
      <c r="J74" s="1"/>
      <c r="K74" s="22"/>
    </row>
    <row r="75" spans="3:11" ht="20.100000000000001" customHeight="1" x14ac:dyDescent="0.25">
      <c r="C75" s="22"/>
      <c r="D75" s="1"/>
      <c r="E75" s="1"/>
      <c r="F75" s="1"/>
      <c r="G75" s="1"/>
      <c r="H75" s="1"/>
      <c r="I75" s="1"/>
      <c r="J75" s="1"/>
      <c r="K75" s="22"/>
    </row>
    <row r="76" spans="3:11" ht="15.75" x14ac:dyDescent="0.25">
      <c r="C76" s="22"/>
      <c r="D76" s="1"/>
      <c r="E76" s="1"/>
      <c r="F76" s="1"/>
      <c r="G76" s="1"/>
      <c r="H76" s="1"/>
      <c r="I76" s="1"/>
      <c r="J76" s="1"/>
      <c r="K76" s="22"/>
    </row>
    <row r="77" spans="3:11" ht="15.75" x14ac:dyDescent="0.25">
      <c r="C77" s="22"/>
      <c r="D77" s="1"/>
      <c r="E77" s="1"/>
      <c r="F77" s="1"/>
      <c r="G77" s="1"/>
      <c r="H77" s="1"/>
      <c r="I77" s="1"/>
      <c r="J77" s="1"/>
      <c r="K77" s="22"/>
    </row>
    <row r="78" spans="3:11" ht="15.75" x14ac:dyDescent="0.25">
      <c r="C78" s="22"/>
      <c r="D78" s="1"/>
      <c r="E78" s="1"/>
      <c r="F78" s="1"/>
      <c r="G78" s="1"/>
      <c r="H78" s="1"/>
      <c r="I78" s="1"/>
      <c r="J78" s="1"/>
      <c r="K78" s="22"/>
    </row>
    <row r="79" spans="3:11" ht="15.75" x14ac:dyDescent="0.25">
      <c r="C79" s="22"/>
      <c r="D79" s="1"/>
      <c r="E79" s="1"/>
      <c r="F79" s="1"/>
      <c r="G79" s="1"/>
      <c r="H79" s="1"/>
      <c r="I79" s="1"/>
      <c r="J79" s="1"/>
      <c r="K79" s="22"/>
    </row>
    <row r="80" spans="3:11" ht="15.75" x14ac:dyDescent="0.25">
      <c r="C80" s="22"/>
      <c r="D80" s="1"/>
      <c r="E80" s="1"/>
      <c r="F80" s="1"/>
      <c r="G80" s="1"/>
      <c r="H80" s="1"/>
      <c r="I80" s="1"/>
      <c r="J80" s="1"/>
      <c r="K80" s="22"/>
    </row>
    <row r="81" spans="3:11" ht="15.75" x14ac:dyDescent="0.25">
      <c r="C81" s="22"/>
      <c r="D81" s="1"/>
      <c r="E81" s="1"/>
      <c r="F81" s="1"/>
      <c r="G81" s="1"/>
      <c r="H81" s="1"/>
      <c r="I81" s="1"/>
      <c r="J81" s="1"/>
      <c r="K81" s="22"/>
    </row>
    <row r="82" spans="3:11" ht="15.75" x14ac:dyDescent="0.25">
      <c r="C82" s="22"/>
      <c r="D82" s="1"/>
      <c r="E82" s="1"/>
      <c r="F82" s="1"/>
      <c r="G82" s="1"/>
      <c r="H82" s="1"/>
      <c r="I82" s="1"/>
      <c r="J82" s="1"/>
      <c r="K82" s="22"/>
    </row>
    <row r="83" spans="3:11" ht="15.75" x14ac:dyDescent="0.25">
      <c r="C83" s="22"/>
      <c r="D83" s="1"/>
      <c r="E83" s="1"/>
      <c r="F83" s="1"/>
      <c r="G83" s="1"/>
      <c r="H83" s="1"/>
      <c r="I83" s="1"/>
      <c r="J83" s="1"/>
      <c r="K83" s="22"/>
    </row>
    <row r="84" spans="3:11" ht="15.75" x14ac:dyDescent="0.25">
      <c r="C84" s="22"/>
      <c r="D84" s="1"/>
      <c r="E84" s="1"/>
      <c r="F84" s="1"/>
      <c r="G84" s="1"/>
      <c r="H84" s="1"/>
      <c r="I84" s="1"/>
      <c r="J84" s="1"/>
      <c r="K84" s="22"/>
    </row>
    <row r="85" spans="3:11" ht="15.75" x14ac:dyDescent="0.25">
      <c r="C85" s="22"/>
      <c r="D85" s="1"/>
      <c r="E85" s="1"/>
      <c r="F85" s="1"/>
      <c r="G85" s="1"/>
      <c r="H85" s="1"/>
      <c r="I85" s="1"/>
      <c r="J85" s="1"/>
      <c r="K85" s="22"/>
    </row>
    <row r="86" spans="3:11" x14ac:dyDescent="0.25">
      <c r="C86" s="22"/>
      <c r="D86" s="22"/>
      <c r="E86" s="22"/>
      <c r="F86" s="22"/>
      <c r="G86" s="22"/>
      <c r="H86" s="22"/>
      <c r="I86" s="22"/>
      <c r="J86" s="22"/>
      <c r="K86" s="22"/>
    </row>
    <row r="87" spans="3:11" x14ac:dyDescent="0.25">
      <c r="C87" s="22"/>
      <c r="D87" s="22"/>
      <c r="E87" s="22"/>
      <c r="F87" s="22"/>
      <c r="G87" s="22"/>
      <c r="H87" s="22"/>
      <c r="I87" s="22"/>
      <c r="J87" s="22"/>
      <c r="K87" s="22"/>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A3" sqref="A3:A24"/>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8" t="e" vm="1">
        <v>#VALUE!</v>
      </c>
      <c r="C1" s="12" t="s">
        <v>91</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15</v>
      </c>
      <c r="N5" s="40"/>
    </row>
    <row r="6" spans="1:24" ht="20.100000000000001" customHeight="1" x14ac:dyDescent="0.25">
      <c r="D6" s="14"/>
      <c r="N6" s="41"/>
    </row>
    <row r="7" spans="1:24" ht="20.100000000000001" customHeight="1" x14ac:dyDescent="0.25">
      <c r="A7" s="20" t="s">
        <v>3</v>
      </c>
      <c r="D7" s="1" t="s">
        <v>7</v>
      </c>
      <c r="E7" s="33" t="s">
        <v>6</v>
      </c>
      <c r="F7" s="2"/>
    </row>
    <row r="8" spans="1:24" ht="20.100000000000001" customHeight="1" x14ac:dyDescent="0.25">
      <c r="A8" s="17" t="str">
        <f>HYPERLINK("#'Input - Site'!A1", "Site")</f>
        <v>Site</v>
      </c>
      <c r="D8" s="10" t="s">
        <v>72</v>
      </c>
      <c r="E8" s="33" t="s">
        <v>73</v>
      </c>
    </row>
    <row r="9" spans="1:24" ht="20.100000000000001" customHeight="1" x14ac:dyDescent="0.25">
      <c r="A9" s="17" t="str">
        <f>HYPERLINK("#'Input - Swine'!A1", "Swine")</f>
        <v>Swine</v>
      </c>
      <c r="N9" s="42"/>
    </row>
    <row r="10" spans="1:24" ht="20.100000000000001" customHeight="1" x14ac:dyDescent="0.25">
      <c r="A10" s="17"/>
      <c r="D10" s="94" t="s">
        <v>90</v>
      </c>
      <c r="E10" s="92"/>
      <c r="F10" s="95"/>
      <c r="G10" s="89"/>
      <c r="N10" s="42"/>
    </row>
    <row r="11" spans="1:24" ht="20.100000000000001" customHeight="1" x14ac:dyDescent="0.25">
      <c r="A11" s="19" t="s">
        <v>76</v>
      </c>
      <c r="N11" s="43"/>
    </row>
    <row r="12" spans="1:24" ht="20.100000000000001" customHeight="1" x14ac:dyDescent="0.25">
      <c r="A12" s="17" t="str">
        <f>HYPERLINK("#'4.5.1.1-2 Methane'!A1", "4.5.1.1-2 Methane")</f>
        <v>4.5.1.1-2 Methane</v>
      </c>
      <c r="D12" s="10" t="s">
        <v>96</v>
      </c>
      <c r="E12" s="64">
        <v>45292</v>
      </c>
      <c r="F12" s="2" t="s">
        <v>70</v>
      </c>
    </row>
    <row r="13" spans="1:24" ht="20.100000000000001" customHeight="1" x14ac:dyDescent="0.25">
      <c r="A13" s="17" t="str">
        <f>HYPERLINK("#'4.5.1.3-4 Direct N2O'!A1", "4.5.1.3-4 Direct N2O")</f>
        <v>4.5.1.3-4 Direct N2O</v>
      </c>
      <c r="D13" s="10" t="s">
        <v>97</v>
      </c>
      <c r="E13" s="70">
        <f>DATE(YEAR(E12)+1,MONTH(E12),DAY(E12))-1</f>
        <v>45657</v>
      </c>
      <c r="F13" s="2" t="s">
        <v>17</v>
      </c>
      <c r="N13" s="38"/>
      <c r="O13" s="38"/>
    </row>
    <row r="14" spans="1:24" ht="20.100000000000001" customHeight="1" x14ac:dyDescent="0.25">
      <c r="A14" s="17" t="str">
        <f>HYPERLINK("#'4.5.1.5-6 Atmos Dep'!A1", "4.5.1.5-6 Soil atm. deposition")</f>
        <v>4.5.1.5-6 Soil atm. deposition</v>
      </c>
      <c r="N14" s="38"/>
      <c r="O14" s="38"/>
    </row>
    <row r="15" spans="1:24" ht="20.100000000000001" customHeight="1" x14ac:dyDescent="0.25">
      <c r="A15" s="17" t="str">
        <f>HYPERLINK("#'4.5.1.7-8 Leaching and runoff'!A1", "4.5.1.7-8 Leaching &amp; runoff")</f>
        <v>4.5.1.7-8 Leaching &amp; runoff</v>
      </c>
      <c r="N15" s="38"/>
      <c r="O15" s="38"/>
    </row>
    <row r="16" spans="1:24" ht="20.100000000000001" customHeight="1" x14ac:dyDescent="0.25">
      <c r="A16" s="17" t="str">
        <f>HYPERLINK("#'4.5.1.9 Manure applied to soils'!A1", "4.5.1.9 Manure applied to soils")</f>
        <v>4.5.1.9 Manure applied to soils</v>
      </c>
      <c r="D16" s="6" t="s">
        <v>14</v>
      </c>
      <c r="N16" s="38"/>
      <c r="O16" s="38"/>
    </row>
    <row r="17" spans="1:25" ht="20.100000000000001" customHeight="1" x14ac:dyDescent="0.25">
      <c r="A17"/>
    </row>
    <row r="18" spans="1:25" ht="20.100000000000001" customHeight="1" x14ac:dyDescent="0.25">
      <c r="A18" s="18" t="s">
        <v>4</v>
      </c>
      <c r="D18" s="96" t="s">
        <v>16</v>
      </c>
      <c r="E18" s="91"/>
      <c r="F18" s="91"/>
      <c r="G18" s="87"/>
    </row>
    <row r="19" spans="1:25" ht="20.100000000000001" customHeight="1" x14ac:dyDescent="0.25">
      <c r="A19" s="17" t="str">
        <f>HYPERLINK("#'Constants - Swine'!A1", "Constants - Swine")</f>
        <v>Constants - Swine</v>
      </c>
      <c r="D19" s="93" t="s">
        <v>71</v>
      </c>
      <c r="E19" s="90"/>
      <c r="F19" s="90"/>
      <c r="G19" s="88"/>
      <c r="N19" s="40"/>
    </row>
    <row r="20" spans="1:25" ht="20.100000000000001" customHeight="1" x14ac:dyDescent="0.25">
      <c r="A20" s="17" t="str">
        <f>HYPERLINK("#'Constants - Livestock'!A1", "Constants - Livestock")</f>
        <v>Constants - Livestock</v>
      </c>
      <c r="D20" s="1"/>
      <c r="E20" s="31"/>
      <c r="F20" s="2"/>
      <c r="N20" s="41"/>
    </row>
    <row r="21" spans="1:25" ht="20.100000000000001" customHeight="1" x14ac:dyDescent="0.25">
      <c r="A21" s="17" t="str">
        <f>HYPERLINK("#'Constants - Common'!A1", "Constants - Common")</f>
        <v>Constants - Common</v>
      </c>
      <c r="D21" s="1" t="s">
        <v>8</v>
      </c>
      <c r="E21" s="39" t="s">
        <v>133</v>
      </c>
      <c r="F21" s="2" t="s">
        <v>11</v>
      </c>
    </row>
    <row r="22" spans="1:25" ht="20.100000000000001" customHeight="1" x14ac:dyDescent="0.25">
      <c r="A22" s="17" t="str">
        <f>HYPERLINK("#'Acknowledgements'!A1", "Acknowledgements")</f>
        <v>Acknowledgements</v>
      </c>
      <c r="D22" s="1" t="s">
        <v>25</v>
      </c>
      <c r="E22" s="39" t="s">
        <v>34</v>
      </c>
      <c r="F22" s="2" t="s">
        <v>11</v>
      </c>
      <c r="G22" s="1"/>
    </row>
    <row r="23" spans="1:25" ht="20.100000000000001" customHeight="1" x14ac:dyDescent="0.25">
      <c r="A23"/>
      <c r="D23" s="1" t="s">
        <v>9</v>
      </c>
      <c r="E23" s="39" t="s">
        <v>95</v>
      </c>
      <c r="F23" s="2" t="s">
        <v>11</v>
      </c>
    </row>
    <row r="24" spans="1:25" ht="20.100000000000001" customHeight="1" x14ac:dyDescent="0.25">
      <c r="A24" s="17"/>
      <c r="D24" s="1" t="s">
        <v>39</v>
      </c>
      <c r="E24" s="33">
        <v>307.7</v>
      </c>
      <c r="F24" s="2" t="s">
        <v>53</v>
      </c>
    </row>
    <row r="25" spans="1:25" ht="20.100000000000001" customHeight="1" x14ac:dyDescent="0.25">
      <c r="A25"/>
      <c r="D25" s="1" t="s">
        <v>61</v>
      </c>
      <c r="E25" s="33">
        <v>18</v>
      </c>
      <c r="F25" s="2" t="s">
        <v>12</v>
      </c>
      <c r="N25" s="41"/>
    </row>
    <row r="26" spans="1:25" ht="20.100000000000001" customHeight="1" x14ac:dyDescent="0.25">
      <c r="A26"/>
      <c r="D26" s="1" t="s">
        <v>62</v>
      </c>
      <c r="E26" s="33">
        <v>601</v>
      </c>
      <c r="F26" s="2" t="s">
        <v>13</v>
      </c>
    </row>
    <row r="27" spans="1:25" ht="20.100000000000001" customHeight="1" x14ac:dyDescent="0.25">
      <c r="A27"/>
      <c r="D27" s="10" t="s">
        <v>63</v>
      </c>
      <c r="E27" s="33">
        <v>1326</v>
      </c>
      <c r="F27" s="2" t="s">
        <v>13</v>
      </c>
    </row>
    <row r="28" spans="1:25" ht="20.100000000000001" customHeight="1" x14ac:dyDescent="0.25">
      <c r="A28"/>
      <c r="D28" s="1" t="s">
        <v>64</v>
      </c>
      <c r="E28" s="33">
        <v>7</v>
      </c>
      <c r="F28" s="2" t="s">
        <v>54</v>
      </c>
    </row>
    <row r="29" spans="1:25" ht="20.100000000000001" customHeight="1" x14ac:dyDescent="0.25">
      <c r="A29"/>
      <c r="D29" s="10" t="s">
        <v>60</v>
      </c>
      <c r="E29" s="52">
        <f>E26/E27</f>
        <v>0.45324283559577677</v>
      </c>
      <c r="F29" s="2"/>
    </row>
    <row r="30" spans="1:25" ht="20.100000000000001" customHeight="1" x14ac:dyDescent="0.25">
      <c r="A30"/>
      <c r="D30" s="10" t="s">
        <v>35</v>
      </c>
      <c r="E30" s="52" t="str">
        <f>Common_InputFunctions.Utility_LookupItemFromMinMax(E26,Table_SourceData_RainfallZones[Min rainfall],Table_SourceData_RainfallZones[Max rainfall],Table_SourceData_RainfallZones[Rainfall Zone])</f>
        <v>High rainfall</v>
      </c>
      <c r="G30" s="32"/>
      <c r="L30" s="49"/>
      <c r="M30" s="49"/>
      <c r="N30" s="49"/>
      <c r="O30" s="49"/>
      <c r="P30" s="49"/>
      <c r="Q30" s="49"/>
      <c r="R30" s="49"/>
      <c r="S30" s="49"/>
      <c r="T30" s="49"/>
      <c r="U30" s="49"/>
      <c r="V30" s="49"/>
      <c r="W30" s="49"/>
      <c r="X30" s="49"/>
      <c r="Y30" s="49"/>
    </row>
    <row r="31" spans="1:25" ht="20.100000000000001" customHeight="1" x14ac:dyDescent="0.25">
      <c r="A31"/>
      <c r="D31" s="1" t="s">
        <v>10</v>
      </c>
      <c r="E31" s="52"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1"/>
      <c r="L31" s="47"/>
      <c r="M31" s="47"/>
      <c r="N31" s="47"/>
      <c r="O31" s="47"/>
      <c r="P31" s="47"/>
      <c r="Q31" s="47"/>
      <c r="R31" s="47"/>
      <c r="S31" s="47"/>
      <c r="T31" s="47"/>
      <c r="U31" s="47"/>
      <c r="V31" s="47"/>
      <c r="W31" s="47"/>
      <c r="X31" s="47"/>
      <c r="Y31" s="47"/>
    </row>
    <row r="32" spans="1:25" ht="20.100000000000001" customHeight="1" x14ac:dyDescent="0.25">
      <c r="A32"/>
      <c r="D32" s="1" t="s">
        <v>92</v>
      </c>
      <c r="E32" s="52" t="str">
        <f>Common_InputFunctions.Utility_LookupValueInTable($E$31,Table_SourceData_WetDryZones[Climate zone],Table_SourceData_WetDryZones[Wet or Dry Zone])</f>
        <v>Dry climate zone</v>
      </c>
      <c r="F32" s="1"/>
      <c r="G32" s="31"/>
      <c r="L32" s="47"/>
      <c r="M32" s="47"/>
      <c r="N32" s="47"/>
      <c r="O32" s="47"/>
      <c r="P32" s="47"/>
      <c r="Q32" s="47"/>
      <c r="R32" s="47"/>
      <c r="S32" s="47"/>
      <c r="T32" s="47"/>
      <c r="U32" s="47"/>
      <c r="V32" s="47"/>
      <c r="W32" s="47"/>
      <c r="X32" s="47"/>
      <c r="Y32" s="47"/>
    </row>
    <row r="33" spans="1:25" ht="20.100000000000001" customHeight="1" x14ac:dyDescent="0.25">
      <c r="A33"/>
      <c r="D33" s="1" t="s">
        <v>52</v>
      </c>
      <c r="E33" s="52" t="str">
        <f>Common_InputFunctions.Utility_LookupItemFromMinMax(E25,Table_SourceData_TemperatureZones[Min MAT],Table_SourceData_TemperatureZones[Max MAT],Table_SourceData_TemperatureZones[Temperature Zone])</f>
        <v>Temperate</v>
      </c>
      <c r="G33" s="71"/>
      <c r="L33" s="47"/>
      <c r="M33" s="47"/>
      <c r="N33" s="47"/>
      <c r="O33" s="47"/>
      <c r="P33" s="47"/>
      <c r="Q33" s="47"/>
      <c r="R33" s="47"/>
      <c r="S33" s="47"/>
      <c r="T33" s="47"/>
      <c r="U33" s="47"/>
      <c r="V33" s="47"/>
      <c r="W33" s="47"/>
      <c r="X33" s="47"/>
      <c r="Y33" s="47"/>
    </row>
    <row r="34" spans="1:25" ht="20.100000000000001" customHeight="1" x14ac:dyDescent="0.25">
      <c r="A34"/>
      <c r="J34" s="61"/>
      <c r="K34" s="74"/>
      <c r="L34" s="47"/>
      <c r="M34" s="47"/>
      <c r="N34" s="47"/>
      <c r="O34" s="47"/>
      <c r="P34" s="47"/>
      <c r="Q34" s="47"/>
      <c r="R34" s="47"/>
      <c r="S34" s="47"/>
      <c r="T34" s="47"/>
      <c r="U34" s="47"/>
      <c r="V34" s="47"/>
      <c r="W34" s="47"/>
      <c r="X34" s="47"/>
      <c r="Y34" s="47"/>
    </row>
    <row r="35" spans="1:25" ht="20.100000000000001" customHeight="1" x14ac:dyDescent="0.25">
      <c r="A35"/>
      <c r="J35" s="61"/>
      <c r="K35" s="74"/>
      <c r="L35" s="47"/>
      <c r="M35" s="47"/>
      <c r="N35" s="47"/>
      <c r="O35" s="47"/>
      <c r="P35" s="47"/>
      <c r="Q35" s="47"/>
      <c r="R35" s="47"/>
      <c r="S35" s="47"/>
      <c r="T35" s="47"/>
      <c r="U35" s="47"/>
      <c r="V35" s="47"/>
      <c r="W35" s="47"/>
      <c r="X35" s="47"/>
      <c r="Y35" s="47"/>
    </row>
    <row r="36" spans="1:25" ht="20.100000000000001" customHeight="1" x14ac:dyDescent="0.25">
      <c r="A36"/>
      <c r="D36" s="72"/>
      <c r="E36" s="72"/>
      <c r="F36" s="73"/>
      <c r="G36" s="61"/>
      <c r="H36" s="61"/>
      <c r="I36" s="62"/>
      <c r="J36" s="61"/>
      <c r="K36" s="74"/>
      <c r="L36" s="47"/>
      <c r="M36" s="47"/>
      <c r="N36" s="47"/>
      <c r="O36" s="47"/>
      <c r="P36" s="47"/>
      <c r="Q36" s="47"/>
      <c r="R36" s="47"/>
      <c r="S36" s="47"/>
      <c r="T36" s="47"/>
      <c r="U36" s="47"/>
      <c r="V36" s="47"/>
      <c r="W36" s="47"/>
      <c r="X36" s="47"/>
      <c r="Y36" s="47"/>
    </row>
    <row r="37" spans="1:25" ht="20.100000000000001" customHeight="1" x14ac:dyDescent="0.25">
      <c r="A37"/>
      <c r="D37" s="72"/>
      <c r="E37" s="72"/>
      <c r="F37" s="73"/>
      <c r="G37" s="61"/>
      <c r="H37" s="61"/>
      <c r="I37" s="62"/>
      <c r="J37" s="61"/>
      <c r="K37" s="74"/>
      <c r="L37" s="47"/>
      <c r="M37" s="47"/>
      <c r="N37" s="47"/>
      <c r="O37" s="47"/>
      <c r="P37" s="47"/>
      <c r="Q37" s="47"/>
      <c r="R37" s="47"/>
      <c r="S37" s="47"/>
      <c r="T37" s="47"/>
      <c r="U37" s="47"/>
      <c r="V37" s="47"/>
      <c r="W37" s="47"/>
      <c r="X37" s="47"/>
      <c r="Y37" s="47"/>
    </row>
    <row r="38" spans="1:25" ht="20.100000000000001" customHeight="1" x14ac:dyDescent="0.25">
      <c r="A38"/>
      <c r="D38" s="72"/>
      <c r="E38" s="72"/>
      <c r="F38" s="73"/>
      <c r="G38" s="61"/>
      <c r="H38" s="61"/>
      <c r="I38" s="62"/>
      <c r="J38" s="61"/>
      <c r="K38" s="74"/>
      <c r="L38" s="47"/>
      <c r="M38" s="47"/>
      <c r="N38" s="47"/>
      <c r="O38" s="47"/>
      <c r="P38" s="47"/>
      <c r="Q38" s="47"/>
      <c r="R38" s="47"/>
      <c r="S38" s="47"/>
      <c r="T38" s="47"/>
      <c r="U38" s="47"/>
      <c r="V38" s="47"/>
      <c r="W38" s="47"/>
      <c r="X38" s="47"/>
      <c r="Y38" s="47"/>
    </row>
    <row r="39" spans="1:25" ht="20.100000000000001" customHeight="1" x14ac:dyDescent="0.25">
      <c r="A39"/>
      <c r="D39" s="72"/>
      <c r="E39" s="72"/>
      <c r="F39" s="73"/>
      <c r="G39" s="61"/>
      <c r="H39" s="61"/>
      <c r="I39" s="62"/>
      <c r="J39" s="61"/>
      <c r="K39" s="74"/>
      <c r="L39" s="47"/>
      <c r="M39" s="47"/>
      <c r="N39" s="47"/>
      <c r="O39" s="47"/>
      <c r="P39" s="47"/>
      <c r="Q39" s="47"/>
      <c r="R39" s="47"/>
      <c r="S39" s="47"/>
      <c r="T39" s="47"/>
      <c r="U39" s="47"/>
      <c r="V39" s="47"/>
      <c r="W39" s="47"/>
      <c r="X39" s="47"/>
      <c r="Y39" s="47"/>
    </row>
    <row r="40" spans="1:25" ht="20.100000000000001" customHeight="1" x14ac:dyDescent="0.25">
      <c r="A40"/>
      <c r="D40" s="75"/>
      <c r="E40" s="75"/>
      <c r="F40" s="75"/>
      <c r="G40" s="76"/>
      <c r="H40" s="77"/>
      <c r="I40" s="77"/>
      <c r="J40" s="77"/>
      <c r="K40" s="77"/>
      <c r="L40" s="50"/>
      <c r="M40" s="50"/>
      <c r="N40" s="50"/>
      <c r="O40" s="50"/>
      <c r="P40" s="50"/>
      <c r="Q40" s="50"/>
      <c r="R40" s="50"/>
      <c r="S40" s="50"/>
      <c r="T40" s="50"/>
      <c r="U40" s="50"/>
      <c r="V40" s="50"/>
      <c r="W40" s="50"/>
      <c r="X40" s="50"/>
      <c r="Y40" s="50"/>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78"/>
      <c r="E47" s="78"/>
      <c r="F47" s="78"/>
      <c r="G47" s="78"/>
      <c r="H47" s="78"/>
    </row>
    <row r="48" spans="1:25" ht="20.100000000000001" customHeight="1" x14ac:dyDescent="0.25">
      <c r="D48" s="34"/>
      <c r="E48" s="34"/>
      <c r="F48" s="35"/>
      <c r="G48" s="35"/>
      <c r="H48" s="34"/>
    </row>
    <row r="49" spans="4:8" ht="20.100000000000001" customHeight="1" x14ac:dyDescent="0.25">
      <c r="D49" s="34"/>
      <c r="E49" s="34"/>
      <c r="F49" s="35"/>
      <c r="G49" s="35"/>
      <c r="H49" s="34"/>
    </row>
    <row r="50" spans="4:8" ht="20.100000000000001" customHeight="1" x14ac:dyDescent="0.25">
      <c r="D50" s="34"/>
      <c r="E50" s="34"/>
      <c r="F50" s="35"/>
      <c r="G50" s="35"/>
      <c r="H50" s="34"/>
    </row>
    <row r="51" spans="4:8" ht="20.100000000000001" customHeight="1" x14ac:dyDescent="0.25">
      <c r="D51" s="79"/>
      <c r="E51" s="80"/>
      <c r="F51" s="80"/>
      <c r="G51" s="80"/>
      <c r="H51" s="81"/>
    </row>
    <row r="52" spans="4:8" ht="20.100000000000001" customHeight="1" x14ac:dyDescent="0.25"/>
    <row r="53" spans="4:8" ht="20.100000000000001" customHeight="1" x14ac:dyDescent="0.25"/>
    <row r="54" spans="4:8" ht="20.100000000000001" customHeight="1" x14ac:dyDescent="0.25">
      <c r="D54" s="84"/>
      <c r="G54" s="82"/>
    </row>
    <row r="55" spans="4:8" ht="20.100000000000001" customHeight="1" x14ac:dyDescent="0.25">
      <c r="D55" s="84"/>
    </row>
    <row r="56" spans="4:8" ht="20.100000000000001" customHeight="1" x14ac:dyDescent="0.25">
      <c r="D56" s="84"/>
    </row>
    <row r="57" spans="4:8" ht="20.100000000000001" customHeight="1" x14ac:dyDescent="0.2">
      <c r="D57" s="84"/>
      <c r="F57" s="83"/>
    </row>
    <row r="58" spans="4:8" ht="20.100000000000001" customHeight="1" x14ac:dyDescent="0.25">
      <c r="D58" s="84"/>
      <c r="E58" s="84"/>
    </row>
    <row r="59" spans="4:8" ht="20.100000000000001" customHeight="1" x14ac:dyDescent="0.25">
      <c r="D59" s="84"/>
      <c r="E59" s="84"/>
    </row>
    <row r="60" spans="4:8" ht="20.100000000000001" customHeight="1" x14ac:dyDescent="0.25">
      <c r="D60" s="84"/>
      <c r="E60" s="85"/>
    </row>
    <row r="61" spans="4:8" ht="20.100000000000001" customHeight="1" x14ac:dyDescent="0.25">
      <c r="D61" s="84"/>
    </row>
    <row r="62" spans="4:8" ht="20.100000000000001" customHeight="1" x14ac:dyDescent="0.25">
      <c r="D62" s="84"/>
    </row>
    <row r="63" spans="4:8" ht="20.100000000000001" customHeight="1" x14ac:dyDescent="0.25">
      <c r="D63" s="84"/>
    </row>
    <row r="64" spans="4:8" ht="20.100000000000001" customHeight="1" x14ac:dyDescent="0.25">
      <c r="D64" s="84"/>
      <c r="E64" s="84"/>
    </row>
    <row r="65" spans="4:9" ht="20.100000000000001" customHeight="1" x14ac:dyDescent="0.25">
      <c r="D65" s="84"/>
      <c r="E65" s="84"/>
    </row>
    <row r="66" spans="4:9" ht="20.100000000000001" customHeight="1" x14ac:dyDescent="0.25">
      <c r="D66" s="84"/>
      <c r="E66" s="85"/>
    </row>
    <row r="67" spans="4:9" ht="20.100000000000001" customHeight="1" x14ac:dyDescent="0.25"/>
    <row r="68" spans="4:9" ht="20.100000000000001" customHeight="1" x14ac:dyDescent="0.25"/>
    <row r="69" spans="4:9" ht="20.100000000000001" customHeight="1" x14ac:dyDescent="0.25">
      <c r="D69" s="60"/>
      <c r="E69" s="60"/>
      <c r="F69" s="60"/>
      <c r="G69" s="60"/>
      <c r="H69" s="60"/>
      <c r="I69" s="60"/>
    </row>
    <row r="70" spans="4:9" ht="20.100000000000001" customHeight="1" x14ac:dyDescent="0.25">
      <c r="D70" s="60"/>
      <c r="E70" s="60"/>
      <c r="F70" s="60"/>
      <c r="G70" s="60"/>
      <c r="H70" s="60"/>
      <c r="I70" s="60"/>
    </row>
    <row r="71" spans="4:9" ht="20.100000000000001" customHeight="1" x14ac:dyDescent="0.25">
      <c r="D71" s="60"/>
      <c r="E71" s="60"/>
      <c r="F71" s="60"/>
      <c r="G71" s="60"/>
      <c r="H71" s="60"/>
      <c r="I71" s="60"/>
    </row>
    <row r="72" spans="4:9" ht="20.100000000000001" customHeight="1" x14ac:dyDescent="0.25">
      <c r="D72" s="60"/>
      <c r="E72" s="60"/>
      <c r="F72" s="60"/>
      <c r="G72" s="60"/>
      <c r="H72" s="60"/>
      <c r="I72" s="60"/>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2"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V356"/>
  <sheetViews>
    <sheetView showGridLines="0" zoomScale="85" zoomScaleNormal="85" workbookViewId="0">
      <selection activeCell="A3" sqref="A3:A24"/>
    </sheetView>
  </sheetViews>
  <sheetFormatPr defaultRowHeight="15.75" x14ac:dyDescent="0.25"/>
  <cols>
    <col min="1" max="1" width="30.7109375" customWidth="1"/>
    <col min="2" max="2" width="4.7109375" customWidth="1"/>
    <col min="3" max="3" width="4.7109375" style="1" customWidth="1"/>
    <col min="4" max="4" width="73.28515625" style="1" customWidth="1"/>
    <col min="5" max="8" width="30.7109375" style="1" customWidth="1"/>
    <col min="9" max="9" width="20.5703125" style="1" customWidth="1"/>
    <col min="10" max="11" width="30.7109375" style="1" customWidth="1"/>
    <col min="12" max="12" width="27.140625" style="1" customWidth="1"/>
    <col min="13" max="13" width="4.7109375" style="1" customWidth="1"/>
    <col min="14" max="15" width="4.7109375" style="56" customWidth="1"/>
    <col min="16" max="21" width="30.7109375" style="56" customWidth="1"/>
    <col min="22" max="22" width="4.7109375" style="56" customWidth="1"/>
  </cols>
  <sheetData>
    <row r="1" spans="1:22" s="68" customFormat="1" ht="30" customHeight="1" x14ac:dyDescent="0.35">
      <c r="A1" s="68" t="e" vm="1">
        <v>#VALUE!</v>
      </c>
      <c r="C1" s="68" t="s">
        <v>139</v>
      </c>
      <c r="N1" s="56"/>
      <c r="O1" s="56"/>
      <c r="P1" s="56"/>
      <c r="Q1" s="56"/>
      <c r="R1" s="56"/>
      <c r="S1" s="56"/>
      <c r="T1" s="56"/>
      <c r="U1" s="56"/>
      <c r="V1" s="56"/>
    </row>
    <row r="2" spans="1:22" s="9" customFormat="1" ht="20.100000000000001" customHeight="1" x14ac:dyDescent="0.25">
      <c r="N2" s="56"/>
      <c r="O2" s="56"/>
      <c r="P2" s="56"/>
      <c r="Q2" s="56"/>
      <c r="R2" s="56"/>
      <c r="S2" s="56"/>
      <c r="T2" s="56"/>
      <c r="U2" s="56"/>
      <c r="V2" s="56"/>
    </row>
    <row r="3" spans="1:22" ht="20.100000000000001" customHeight="1" x14ac:dyDescent="0.25">
      <c r="A3" s="17" t="str">
        <f>HYPERLINK("#'Home'!A1", "Home")</f>
        <v>Home</v>
      </c>
      <c r="C3" s="15"/>
      <c r="D3" s="15"/>
      <c r="E3" s="15"/>
      <c r="F3" s="15"/>
      <c r="G3" s="15"/>
      <c r="H3" s="15"/>
      <c r="I3" s="15"/>
      <c r="J3" s="15"/>
      <c r="K3" s="15"/>
      <c r="L3" s="15"/>
      <c r="M3" s="15"/>
    </row>
    <row r="4" spans="1:22" ht="20.100000000000001" customHeight="1" x14ac:dyDescent="0.25">
      <c r="A4" s="17" t="str">
        <f>HYPERLINK("#'Overview'!A1", "Overview")</f>
        <v>Overview</v>
      </c>
    </row>
    <row r="5" spans="1:22" ht="20.100000000000001" customHeight="1" x14ac:dyDescent="0.25">
      <c r="A5" s="17" t="str">
        <f>HYPERLINK("#'Results'!A1", "Results")</f>
        <v>Results</v>
      </c>
      <c r="D5" s="96" t="s">
        <v>186</v>
      </c>
      <c r="E5" s="91"/>
      <c r="F5" s="91"/>
      <c r="G5" s="91"/>
      <c r="H5" s="87"/>
      <c r="M5" s="3"/>
      <c r="Q5" s="7"/>
    </row>
    <row r="6" spans="1:22" ht="20.100000000000001" customHeight="1" x14ac:dyDescent="0.25">
      <c r="A6" s="16"/>
      <c r="D6" s="93" t="s">
        <v>187</v>
      </c>
      <c r="E6" s="90"/>
      <c r="F6" s="90"/>
      <c r="G6" s="88"/>
      <c r="H6" s="117"/>
      <c r="M6" s="3"/>
      <c r="Q6" s="7"/>
    </row>
    <row r="7" spans="1:22" ht="20.100000000000001" customHeight="1" x14ac:dyDescent="0.25">
      <c r="A7" s="20" t="s">
        <v>3</v>
      </c>
      <c r="M7" s="3"/>
      <c r="Q7" s="7"/>
    </row>
    <row r="8" spans="1:22" ht="20.100000000000001" customHeight="1" x14ac:dyDescent="0.25">
      <c r="A8" s="17" t="str">
        <f>HYPERLINK("#'Input - Site'!A1", "Site")</f>
        <v>Site</v>
      </c>
      <c r="M8" s="3"/>
      <c r="Q8" s="7"/>
    </row>
    <row r="9" spans="1:22" ht="20.100000000000001" customHeight="1" x14ac:dyDescent="0.25">
      <c r="A9" s="17" t="str">
        <f>HYPERLINK("#'Input - Swine'!A1", "Swine")</f>
        <v>Swine</v>
      </c>
      <c r="E9" s="118" t="s">
        <v>142</v>
      </c>
      <c r="F9" s="118" t="s">
        <v>143</v>
      </c>
      <c r="G9" s="118" t="s">
        <v>144</v>
      </c>
      <c r="H9" s="118" t="s">
        <v>206</v>
      </c>
      <c r="Q9" s="7"/>
    </row>
    <row r="10" spans="1:22" ht="20.100000000000001" customHeight="1" x14ac:dyDescent="0.25">
      <c r="A10" s="17"/>
      <c r="D10" s="48" t="str">
        <f>"Average duration of stay between " &amp; TEXT('Input - Site'!$E$12, "dd mmm yy") &amp; " and " &amp; TEXT('Input - Site'!$E$13, "dd mmm yy")</f>
        <v>Average duration of stay between 01 Jan 24 and 31 Dec 24</v>
      </c>
      <c r="E10" s="66">
        <v>365</v>
      </c>
      <c r="F10" s="66">
        <v>365</v>
      </c>
      <c r="G10" s="66">
        <v>365</v>
      </c>
      <c r="H10" s="66">
        <v>365</v>
      </c>
      <c r="I10" s="2" t="s">
        <v>54</v>
      </c>
      <c r="Q10" s="7"/>
    </row>
    <row r="11" spans="1:22" ht="20.100000000000001" customHeight="1" x14ac:dyDescent="0.25">
      <c r="A11" s="19" t="s">
        <v>76</v>
      </c>
      <c r="D11" s="48" t="str">
        <f>"Average number of head between " &amp; TEXT('Input - Site'!$E$12, "dd mmm yy") &amp; " and " &amp; TEXT('Input - Site'!$E$13, "dd mmm yy")</f>
        <v>Average number of head between 01 Jan 24 and 31 Dec 24</v>
      </c>
      <c r="E11" s="66">
        <v>100</v>
      </c>
      <c r="F11" s="66">
        <v>100</v>
      </c>
      <c r="G11" s="66">
        <v>100</v>
      </c>
      <c r="H11" s="66">
        <v>100</v>
      </c>
      <c r="I11" s="2" t="s">
        <v>99</v>
      </c>
      <c r="Q11" s="7"/>
    </row>
    <row r="12" spans="1:22" ht="20.100000000000001" customHeight="1" x14ac:dyDescent="0.25">
      <c r="A12" s="17" t="str">
        <f>HYPERLINK("#'4.5.1.1-2 Methane'!A1", "4.5.1.1-2 Methane")</f>
        <v>4.5.1.1-2 Methane</v>
      </c>
      <c r="Q12" s="7"/>
    </row>
    <row r="13" spans="1:22" ht="20.100000000000001" customHeight="1" x14ac:dyDescent="0.25">
      <c r="A13" s="17" t="str">
        <f>HYPERLINK("#'4.5.1.3-4 Direct N2O'!A1", "4.5.1.3-4 Direct N2O")</f>
        <v>4.5.1.3-4 Direct N2O</v>
      </c>
      <c r="D13" s="6" t="s">
        <v>141</v>
      </c>
      <c r="Q13" s="38"/>
    </row>
    <row r="14" spans="1:22" ht="20.100000000000001" customHeight="1" x14ac:dyDescent="0.25">
      <c r="A14" s="17" t="str">
        <f>HYPERLINK("#'4.5.1.5-6 Atmos Dep'!A1", "4.5.1.5-6 Soil atm. deposition")</f>
        <v>4.5.1.5-6 Soil atm. deposition</v>
      </c>
      <c r="Q14" s="38"/>
    </row>
    <row r="15" spans="1:22" ht="20.100000000000001" customHeight="1" x14ac:dyDescent="0.25">
      <c r="A15" s="17" t="str">
        <f>HYPERLINK("#'4.5.1.7-8 Leaching and runoff'!A1", "4.5.1.7-8 Leaching &amp; runoff")</f>
        <v>4.5.1.7-8 Leaching &amp; runoff</v>
      </c>
      <c r="D15" s="63" t="s">
        <v>203</v>
      </c>
      <c r="E15" s="118" t="s">
        <v>142</v>
      </c>
      <c r="F15" s="118" t="s">
        <v>143</v>
      </c>
      <c r="G15" s="118" t="s">
        <v>144</v>
      </c>
      <c r="H15" s="118" t="s">
        <v>206</v>
      </c>
      <c r="Q15" s="38"/>
    </row>
    <row r="16" spans="1:22" ht="20.100000000000001" customHeight="1" x14ac:dyDescent="0.25">
      <c r="A16" s="17" t="str">
        <f>HYPERLINK("#'4.5.1.9 Manure applied to soils'!A1", "4.5.1.9 Manure applied to soils")</f>
        <v>4.5.1.9 Manure applied to soils</v>
      </c>
      <c r="D16" s="1" t="s">
        <v>145</v>
      </c>
      <c r="E16" s="52" cm="1">
        <f t="array" ref="E16">Common_InputFunctions.Utility_LookupValueInTableNumber(E15, Table_SourceData_Swine_VolatileSolids[Class], Table_SourceData_Swine_VolatileSolids[VSj])</f>
        <v>0.4</v>
      </c>
      <c r="F16" s="52" cm="1">
        <f t="array" ref="F16">Common_InputFunctions.Utility_LookupValueInTableNumber(F15, Table_SourceData_Swine_VolatileSolids[Class], Table_SourceData_Swine_VolatileSolids[VSj])</f>
        <v>0.46</v>
      </c>
      <c r="G16" s="52" cm="1">
        <f t="array" ref="G16">Common_InputFunctions.Utility_LookupValueInTableNumber(G15, Table_SourceData_Swine_VolatileSolids[Class], Table_SourceData_Swine_VolatileSolids[VSj])</f>
        <v>0.55000000000000004</v>
      </c>
      <c r="H16" s="52" cm="1">
        <f t="array" ref="H16">Common_InputFunctions.Utility_LookupValueInTableNumber(H15, Table_SourceData_Swine_VolatileSolids[Class], Table_SourceData_Swine_VolatileSolids[VSj])</f>
        <v>0.39</v>
      </c>
      <c r="I16" s="2" t="s">
        <v>120</v>
      </c>
      <c r="Q16" s="38"/>
    </row>
    <row r="17" spans="1:17" ht="20.100000000000001" customHeight="1" x14ac:dyDescent="0.25">
      <c r="D17" s="1" t="s">
        <v>146</v>
      </c>
      <c r="E17" s="52" cm="1">
        <f t="array" ref="E17">Common_InputFunctions.Utility_LookupValueInTableNumber(E15, Table_SourceData_Swine_NitrogenInWaste[Class name], Table_SourceData_Swine_NitrogenInWaste[NWj Daily])</f>
        <v>4.5999999999999999E-2</v>
      </c>
      <c r="F17" s="52" cm="1">
        <f t="array" ref="F17">Common_InputFunctions.Utility_LookupValueInTableNumber(F15, Table_SourceData_Swine_NitrogenInWaste[Class name], Table_SourceData_Swine_NitrogenInWaste[NWj Daily])</f>
        <v>4.9000000000000002E-2</v>
      </c>
      <c r="G17" s="52" cm="1">
        <f t="array" ref="G17">Common_InputFunctions.Utility_LookupValueInTableNumber(G15, Table_SourceData_Swine_NitrogenInWaste[Class name], Table_SourceData_Swine_NitrogenInWaste[NWj Daily])</f>
        <v>4.5999999999999999E-2</v>
      </c>
      <c r="H17" s="52" cm="1">
        <f t="array" ref="H17">Common_InputFunctions.Utility_LookupValueInTableNumber(H15, Table_SourceData_Swine_NitrogenInWaste[Class name], Table_SourceData_Swine_NitrogenInWaste[NWj Daily])</f>
        <v>3.1199999999999999E-2</v>
      </c>
      <c r="I17" s="2" t="s">
        <v>147</v>
      </c>
      <c r="Q17" s="7"/>
    </row>
    <row r="18" spans="1:17" ht="20.100000000000001" customHeight="1" x14ac:dyDescent="0.25">
      <c r="A18" s="18" t="s">
        <v>4</v>
      </c>
      <c r="J18" s="2"/>
      <c r="Q18" s="7"/>
    </row>
    <row r="19" spans="1:17" ht="20.100000000000001" customHeight="1" x14ac:dyDescent="0.25">
      <c r="A19" s="17" t="str">
        <f>HYPERLINK("#'Constants - Swine'!A1", "Constants - Swine")</f>
        <v>Constants - Swine</v>
      </c>
      <c r="D19" s="63" t="s">
        <v>204</v>
      </c>
      <c r="E19" s="118" t="s">
        <v>142</v>
      </c>
      <c r="F19" s="118" t="s">
        <v>143</v>
      </c>
      <c r="G19" s="118" t="s">
        <v>144</v>
      </c>
      <c r="H19" s="118" t="s">
        <v>206</v>
      </c>
      <c r="Q19" s="7"/>
    </row>
    <row r="20" spans="1:17" ht="20.100000000000001" customHeight="1" x14ac:dyDescent="0.25">
      <c r="A20" s="17" t="str">
        <f>HYPERLINK("#'Constants - Livestock'!A1", "Constants - Livestock")</f>
        <v>Constants - Livestock</v>
      </c>
      <c r="D20" s="1" t="s">
        <v>145</v>
      </c>
      <c r="E20" s="66" cm="1">
        <f t="array" ref="E20">Common_InputFunctions.Utility_LookupValueInTableNumber(E19, Table_SourceData_Swine_VolatileSolids[Class], Table_SourceData_Swine_VolatileSolids[VSj])</f>
        <v>0.4</v>
      </c>
      <c r="F20" s="66" cm="1">
        <f t="array" ref="F20">Common_InputFunctions.Utility_LookupValueInTableNumber(F19, Table_SourceData_Swine_VolatileSolids[Class], Table_SourceData_Swine_VolatileSolids[VSj])</f>
        <v>0.46</v>
      </c>
      <c r="G20" s="66" cm="1">
        <f t="array" ref="G20">Common_InputFunctions.Utility_LookupValueInTableNumber(G19, Table_SourceData_Swine_VolatileSolids[Class], Table_SourceData_Swine_VolatileSolids[VSj])</f>
        <v>0.55000000000000004</v>
      </c>
      <c r="H20" s="66" cm="1">
        <f t="array" ref="H20">Common_InputFunctions.Utility_LookupValueInTableNumber(H19, Table_SourceData_Swine_VolatileSolids[Class], Table_SourceData_Swine_VolatileSolids[VSj])</f>
        <v>0.39</v>
      </c>
      <c r="I20" s="2" t="s">
        <v>120</v>
      </c>
      <c r="Q20" s="7"/>
    </row>
    <row r="21" spans="1:17" ht="20.100000000000001" customHeight="1" x14ac:dyDescent="0.25">
      <c r="A21" s="17" t="str">
        <f>HYPERLINK("#'Constants - Common'!A1", "Constants - Common")</f>
        <v>Constants - Common</v>
      </c>
      <c r="D21" s="1" t="s">
        <v>146</v>
      </c>
      <c r="E21" s="66" cm="1">
        <f t="array" ref="E21">Common_InputFunctions.Utility_LookupValueInTableNumber(E19, Table_SourceData_Swine_NitrogenInWaste[Class name], Table_SourceData_Swine_NitrogenInWaste[NWj Daily])</f>
        <v>4.5999999999999999E-2</v>
      </c>
      <c r="F21" s="66" cm="1">
        <f t="array" ref="F21">Common_InputFunctions.Utility_LookupValueInTableNumber(F19, Table_SourceData_Swine_NitrogenInWaste[Class name], Table_SourceData_Swine_NitrogenInWaste[NWj Daily])</f>
        <v>4.9000000000000002E-2</v>
      </c>
      <c r="G21" s="66" cm="1">
        <f t="array" ref="G21">Common_InputFunctions.Utility_LookupValueInTableNumber(G19, Table_SourceData_Swine_NitrogenInWaste[Class name], Table_SourceData_Swine_NitrogenInWaste[NWj Daily])</f>
        <v>4.5999999999999999E-2</v>
      </c>
      <c r="H21" s="66" cm="1">
        <f t="array" ref="H21">Common_InputFunctions.Utility_LookupValueInTableNumber(H19, Table_SourceData_Swine_NitrogenInWaste[Class name], Table_SourceData_Swine_NitrogenInWaste[NWj Daily])</f>
        <v>3.1199999999999999E-2</v>
      </c>
      <c r="I21" s="2" t="s">
        <v>147</v>
      </c>
      <c r="Q21" s="7"/>
    </row>
    <row r="22" spans="1:17" ht="20.100000000000001" customHeight="1" x14ac:dyDescent="0.25">
      <c r="A22" s="17" t="str">
        <f>HYPERLINK("#'Acknowledgements'!A1", "Acknowledgements")</f>
        <v>Acknowledgements</v>
      </c>
      <c r="Q22" s="7"/>
    </row>
    <row r="23" spans="1:17" ht="20.100000000000001" customHeight="1" x14ac:dyDescent="0.25">
      <c r="Q23" s="7"/>
    </row>
    <row r="24" spans="1:17" ht="20.100000000000001" customHeight="1" x14ac:dyDescent="0.25">
      <c r="A24" s="17"/>
      <c r="D24" s="6" t="s">
        <v>178</v>
      </c>
      <c r="Q24" s="7"/>
    </row>
    <row r="25" spans="1:17" ht="20.100000000000001" customHeight="1" x14ac:dyDescent="0.25">
      <c r="Q25" s="7"/>
    </row>
    <row r="26" spans="1:17" ht="20.100000000000001" customHeight="1" x14ac:dyDescent="0.25">
      <c r="A26" s="17"/>
      <c r="D26" s="1" t="s">
        <v>109</v>
      </c>
      <c r="E26" s="39" t="s">
        <v>347</v>
      </c>
      <c r="F26" s="2" t="s">
        <v>11</v>
      </c>
      <c r="Q26" s="7"/>
    </row>
    <row r="27" spans="1:17" ht="20.100000000000001" customHeight="1" x14ac:dyDescent="0.25">
      <c r="A27" s="17"/>
      <c r="E27" s="106" t="str">
        <f>IF(E26="Outdoor/free range", "In an outdoor/free range system the only likely stage 1 MMS is 'Drylot (feed pad)'", "")</f>
        <v>In an outdoor/free range system the only likely stage 1 MMS is 'Drylot (feed pad)'</v>
      </c>
      <c r="Q27" s="7"/>
    </row>
    <row r="28" spans="1:17" ht="20.100000000000001" customHeight="1" x14ac:dyDescent="0.25">
      <c r="A28" s="17"/>
      <c r="D28" s="63" t="s">
        <v>179</v>
      </c>
      <c r="E28" s="118" t="s">
        <v>142</v>
      </c>
      <c r="F28" s="118" t="s">
        <v>143</v>
      </c>
      <c r="G28" s="118" t="s">
        <v>144</v>
      </c>
      <c r="H28" s="118" t="s">
        <v>206</v>
      </c>
      <c r="Q28" s="7"/>
    </row>
    <row r="29" spans="1:17" ht="20.100000000000001" customHeight="1" x14ac:dyDescent="0.25">
      <c r="A29" s="17"/>
      <c r="D29" s="125" t="str">
        <f>'Constants - Swine'!$G$41</f>
        <v>Anaerobic lagoon</v>
      </c>
      <c r="E29" s="46">
        <v>0.15</v>
      </c>
      <c r="F29" s="46">
        <v>0.15</v>
      </c>
      <c r="G29" s="46">
        <v>0.15</v>
      </c>
      <c r="H29" s="46">
        <v>0.15</v>
      </c>
      <c r="I29" s="2" t="s">
        <v>18</v>
      </c>
      <c r="Q29" s="7"/>
    </row>
    <row r="30" spans="1:17" ht="20.100000000000001" customHeight="1" x14ac:dyDescent="0.25">
      <c r="A30" s="17"/>
      <c r="D30" s="125" t="str">
        <f>'Constants - Swine'!$G$42</f>
        <v>Drylot (feed pad)</v>
      </c>
      <c r="E30" s="46">
        <v>0.15</v>
      </c>
      <c r="F30" s="46">
        <v>0.15</v>
      </c>
      <c r="G30" s="46">
        <v>0.15</v>
      </c>
      <c r="H30" s="46">
        <v>0.15</v>
      </c>
      <c r="I30" s="2" t="s">
        <v>18</v>
      </c>
      <c r="Q30" s="7"/>
    </row>
    <row r="31" spans="1:17" ht="20.100000000000001" customHeight="1" x14ac:dyDescent="0.25">
      <c r="A31" s="67"/>
      <c r="D31" s="125" t="str">
        <f>'Constants - Swine'!$G$43</f>
        <v>Digester / covered lagoons</v>
      </c>
      <c r="E31" s="46">
        <v>0.15</v>
      </c>
      <c r="F31" s="46">
        <v>0.15</v>
      </c>
      <c r="G31" s="46">
        <v>0.15</v>
      </c>
      <c r="H31" s="46">
        <v>0.15</v>
      </c>
      <c r="I31" s="2" t="s">
        <v>18</v>
      </c>
      <c r="Q31" s="7"/>
    </row>
    <row r="32" spans="1:17" ht="20.100000000000001" customHeight="1" x14ac:dyDescent="0.25">
      <c r="A32" s="67"/>
      <c r="D32" s="125" t="str">
        <f>'Constants - Swine'!$G$44</f>
        <v>Deep litter</v>
      </c>
      <c r="E32" s="46">
        <v>0.15</v>
      </c>
      <c r="F32" s="46">
        <v>0.15</v>
      </c>
      <c r="G32" s="46">
        <v>0.15</v>
      </c>
      <c r="H32" s="46">
        <v>0.15</v>
      </c>
      <c r="I32" s="2" t="s">
        <v>18</v>
      </c>
      <c r="Q32" s="7"/>
    </row>
    <row r="33" spans="1:17" ht="20.100000000000001" customHeight="1" x14ac:dyDescent="0.25">
      <c r="A33" s="17"/>
      <c r="D33" s="125" t="str">
        <f>'Constants - Swine'!$G$45</f>
        <v>Pit storage</v>
      </c>
      <c r="E33" s="46">
        <v>0.15</v>
      </c>
      <c r="F33" s="46">
        <v>0.15</v>
      </c>
      <c r="G33" s="46">
        <v>0.15</v>
      </c>
      <c r="H33" s="46">
        <v>0.15</v>
      </c>
      <c r="I33" s="2" t="s">
        <v>18</v>
      </c>
      <c r="Q33" s="7"/>
    </row>
    <row r="34" spans="1:17" ht="20.100000000000001" customHeight="1" x14ac:dyDescent="0.25">
      <c r="D34" s="125" t="str">
        <f>'Constants - Swine'!$D$42</f>
        <v>Solid storage</v>
      </c>
      <c r="E34" s="46">
        <v>0.25</v>
      </c>
      <c r="F34" s="46">
        <v>0.25</v>
      </c>
      <c r="G34" s="46">
        <v>0.25</v>
      </c>
      <c r="H34" s="46">
        <v>0.25</v>
      </c>
      <c r="I34" s="2" t="s">
        <v>18</v>
      </c>
      <c r="Q34" s="7"/>
    </row>
    <row r="35" spans="1:17" ht="20.100000000000001" customHeight="1" x14ac:dyDescent="0.25">
      <c r="D35" s="124" t="s">
        <v>180</v>
      </c>
      <c r="E35" s="97">
        <f>SUM(E29,E30,E31,E32,E33,E34)</f>
        <v>1</v>
      </c>
      <c r="F35" s="97">
        <f>SUM(F29,F30,F31,F32,F33,F34)</f>
        <v>1</v>
      </c>
      <c r="G35" s="97">
        <f>SUM(G29,G30,G31,G32,G33,G34)</f>
        <v>1</v>
      </c>
      <c r="H35" s="97">
        <f>SUM(H29,H30,H31,H32,H33,H34)</f>
        <v>1</v>
      </c>
      <c r="Q35" s="7"/>
    </row>
    <row r="36" spans="1:17" ht="20.100000000000001" customHeight="1" x14ac:dyDescent="0.25">
      <c r="Q36" s="7"/>
    </row>
    <row r="37" spans="1:17" ht="20.100000000000001" customHeight="1" x14ac:dyDescent="0.25">
      <c r="D37" s="134" t="s">
        <v>192</v>
      </c>
      <c r="Q37" s="7"/>
    </row>
    <row r="38" spans="1:17" ht="20.100000000000001" customHeight="1" x14ac:dyDescent="0.25">
      <c r="D38" s="127" t="s">
        <v>182</v>
      </c>
      <c r="E38" s="118" t="s">
        <v>183</v>
      </c>
      <c r="F38" s="118" t="s">
        <v>184</v>
      </c>
      <c r="G38" s="118" t="s">
        <v>185</v>
      </c>
      <c r="Q38" s="7"/>
    </row>
    <row r="39" spans="1:17" ht="20.100000000000001" customHeight="1" x14ac:dyDescent="0.25">
      <c r="A39" s="17"/>
      <c r="D39" s="126" t="str">
        <f>"Solids separated from " &amp; $D$29</f>
        <v>Solids separated from Anaerobic lagoon</v>
      </c>
      <c r="E39" s="39" t="s">
        <v>148</v>
      </c>
      <c r="F39" s="97">
        <v>0.2</v>
      </c>
      <c r="G39" s="46">
        <v>0.2</v>
      </c>
      <c r="Q39" s="7"/>
    </row>
    <row r="40" spans="1:17" ht="20.100000000000001" customHeight="1" x14ac:dyDescent="0.25">
      <c r="D40" s="126" t="str">
        <f>"Solids separated from " &amp; $D$30</f>
        <v>Solids separated from Drylot (feed pad)</v>
      </c>
      <c r="E40" s="39" t="s">
        <v>148</v>
      </c>
      <c r="F40" s="97">
        <v>0.2</v>
      </c>
      <c r="G40" s="46">
        <v>0.2</v>
      </c>
      <c r="Q40" s="7"/>
    </row>
    <row r="41" spans="1:17" ht="20.100000000000001" customHeight="1" x14ac:dyDescent="0.25">
      <c r="A41" s="44"/>
      <c r="D41" s="126" t="str">
        <f>"Solids separated from " &amp; $D$31</f>
        <v>Solids separated from Digester / covered lagoons</v>
      </c>
      <c r="E41" s="39" t="s">
        <v>148</v>
      </c>
      <c r="F41" s="97">
        <v>0.2</v>
      </c>
      <c r="G41" s="46">
        <v>0.2</v>
      </c>
      <c r="Q41" s="7"/>
    </row>
    <row r="42" spans="1:17" ht="20.100000000000001" customHeight="1" x14ac:dyDescent="0.25">
      <c r="D42" s="126" t="str">
        <f>"Solids separated from " &amp; $D$32</f>
        <v>Solids separated from Deep litter</v>
      </c>
      <c r="E42" s="39" t="s">
        <v>148</v>
      </c>
      <c r="F42" s="97">
        <v>0.2</v>
      </c>
      <c r="G42" s="46">
        <v>0.2</v>
      </c>
      <c r="Q42" s="7"/>
    </row>
    <row r="43" spans="1:17" ht="20.100000000000001" customHeight="1" x14ac:dyDescent="0.25">
      <c r="D43" s="126" t="str">
        <f>"Solids separated from " &amp; $D$33</f>
        <v>Solids separated from Pit storage</v>
      </c>
      <c r="E43" s="39" t="s">
        <v>148</v>
      </c>
      <c r="F43" s="97">
        <v>0.2</v>
      </c>
      <c r="G43" s="46">
        <v>0.2</v>
      </c>
      <c r="Q43" s="7"/>
    </row>
    <row r="44" spans="1:17" ht="20.100000000000001" customHeight="1" x14ac:dyDescent="0.25">
      <c r="D44" s="124"/>
      <c r="F44" s="2"/>
      <c r="Q44" s="7"/>
    </row>
    <row r="45" spans="1:17" ht="20.100000000000001" customHeight="1" x14ac:dyDescent="0.25">
      <c r="D45" s="133" t="s">
        <v>192</v>
      </c>
      <c r="Q45" s="7"/>
    </row>
    <row r="46" spans="1:17" ht="20.100000000000001" customHeight="1" x14ac:dyDescent="0.25">
      <c r="A46" s="150" t="str">
        <f>HYPERLINK("#A1", "▲ Back to top")</f>
        <v>▲ Back to top</v>
      </c>
      <c r="D46" s="129" t="s">
        <v>181</v>
      </c>
      <c r="E46" s="128" t="s">
        <v>142</v>
      </c>
      <c r="F46" s="128" t="s">
        <v>143</v>
      </c>
      <c r="G46" s="128" t="s">
        <v>144</v>
      </c>
      <c r="H46" s="128" t="s">
        <v>206</v>
      </c>
      <c r="I46" s="135" t="s">
        <v>193</v>
      </c>
      <c r="J46" s="63" t="s">
        <v>188</v>
      </c>
      <c r="K46" s="63"/>
      <c r="L46" s="119"/>
      <c r="Q46" s="7"/>
    </row>
    <row r="47" spans="1:17" ht="20.100000000000001" customHeight="1" x14ac:dyDescent="0.25">
      <c r="D47" s="130" t="str">
        <f>"From stage 1: " &amp; $D$29</f>
        <v>From stage 1: Anaerobic lagoon</v>
      </c>
      <c r="E47" s="106" t="str">
        <f>IF(SUM(E29:K29)&gt;0,"Manure was sent to this MMS, please complete this section.","NO manure was sent to this MMS. Leave this section blank.")</f>
        <v>Manure was sent to this MMS, please complete this section.</v>
      </c>
      <c r="J47" s="132" t="s">
        <v>189</v>
      </c>
      <c r="K47" s="132" t="s">
        <v>190</v>
      </c>
      <c r="L47" s="132" t="s">
        <v>191</v>
      </c>
      <c r="Q47" s="7"/>
    </row>
    <row r="48" spans="1:17" ht="20.100000000000001" customHeight="1" x14ac:dyDescent="0.25">
      <c r="D48" s="131" t="str">
        <f>$D$31</f>
        <v>Digester / covered lagoons</v>
      </c>
      <c r="E48" s="46">
        <v>0.2</v>
      </c>
      <c r="F48" s="46">
        <v>0.25</v>
      </c>
      <c r="G48" s="46">
        <v>0.25</v>
      </c>
      <c r="H48" s="46">
        <v>0.25</v>
      </c>
      <c r="I48" s="2" t="s">
        <v>18</v>
      </c>
      <c r="J48" s="46">
        <v>0.25</v>
      </c>
      <c r="K48" s="46">
        <v>0.25</v>
      </c>
      <c r="L48" s="97">
        <f t="shared" ref="L48:L50" si="0">1-SUM(J48:K48)</f>
        <v>0.5</v>
      </c>
      <c r="Q48" s="7"/>
    </row>
    <row r="49" spans="4:17" ht="20.100000000000001" customHeight="1" x14ac:dyDescent="0.25">
      <c r="D49" s="131" t="str">
        <f>$D$32</f>
        <v>Deep litter</v>
      </c>
      <c r="E49" s="46">
        <v>0.2</v>
      </c>
      <c r="F49" s="46">
        <v>0.25</v>
      </c>
      <c r="G49" s="46">
        <v>0.25</v>
      </c>
      <c r="H49" s="46">
        <v>0.25</v>
      </c>
      <c r="I49" s="2" t="s">
        <v>18</v>
      </c>
      <c r="J49" s="46">
        <v>0.25</v>
      </c>
      <c r="K49" s="46">
        <v>0.25</v>
      </c>
      <c r="L49" s="97">
        <f t="shared" si="0"/>
        <v>0.5</v>
      </c>
      <c r="Q49" s="7"/>
    </row>
    <row r="50" spans="4:17" ht="20.100000000000001" customHeight="1" x14ac:dyDescent="0.25">
      <c r="D50" s="131" t="str">
        <f>$D$33</f>
        <v>Pit storage</v>
      </c>
      <c r="E50" s="46">
        <v>0.2</v>
      </c>
      <c r="F50" s="46">
        <v>0.25</v>
      </c>
      <c r="G50" s="46">
        <v>0.25</v>
      </c>
      <c r="H50" s="46">
        <v>0.25</v>
      </c>
      <c r="I50" s="2" t="s">
        <v>18</v>
      </c>
      <c r="J50" s="46">
        <v>0.25</v>
      </c>
      <c r="K50" s="46">
        <v>0.25</v>
      </c>
      <c r="L50" s="97">
        <f t="shared" si="0"/>
        <v>0.5</v>
      </c>
      <c r="Q50" s="7"/>
    </row>
    <row r="51" spans="4:17" ht="20.100000000000001" customHeight="1" x14ac:dyDescent="0.25">
      <c r="D51" s="131" t="str">
        <f>'Constants - Swine'!$D$47</f>
        <v>Direct application</v>
      </c>
      <c r="E51" s="97">
        <f>1-SUM(E48:E50)</f>
        <v>0.39999999999999991</v>
      </c>
      <c r="F51" s="97">
        <f>1-SUM(F48:F50)</f>
        <v>0.25</v>
      </c>
      <c r="G51" s="97">
        <f>1-SUM(G48:G50)</f>
        <v>0.25</v>
      </c>
      <c r="H51" s="97">
        <f>1-SUM(H48:H50)</f>
        <v>0.25</v>
      </c>
      <c r="I51" s="2" t="s">
        <v>18</v>
      </c>
      <c r="J51" s="97">
        <v>0</v>
      </c>
      <c r="K51" s="97">
        <v>0</v>
      </c>
      <c r="L51" s="97">
        <f>1-SUM(J51:K51)</f>
        <v>1</v>
      </c>
      <c r="Q51" s="7"/>
    </row>
    <row r="52" spans="4:17" ht="20.100000000000001" customHeight="1" x14ac:dyDescent="0.25">
      <c r="Q52" s="7"/>
    </row>
    <row r="53" spans="4:17" ht="20.100000000000001" customHeight="1" x14ac:dyDescent="0.25">
      <c r="D53" s="126"/>
      <c r="F53" s="2"/>
      <c r="Q53" s="7"/>
    </row>
    <row r="54" spans="4:17" ht="20.100000000000001" customHeight="1" x14ac:dyDescent="0.25">
      <c r="D54" s="130" t="str">
        <f>"From stage 1: " &amp; $D$30</f>
        <v>From stage 1: Drylot (feed pad)</v>
      </c>
      <c r="E54" s="106" t="str">
        <f>IF(SUM(E30:K30)&gt;0,"Manure was sent to this MMS, please complete this section.","NO manure was sent to this MMS. Leave this section blank.")</f>
        <v>Manure was sent to this MMS, please complete this section.</v>
      </c>
      <c r="J54" s="132" t="s">
        <v>189</v>
      </c>
      <c r="K54" s="132" t="s">
        <v>190</v>
      </c>
      <c r="L54" s="132" t="s">
        <v>191</v>
      </c>
      <c r="Q54" s="7"/>
    </row>
    <row r="55" spans="4:17" ht="20.100000000000001" customHeight="1" x14ac:dyDescent="0.25">
      <c r="D55" s="131" t="str">
        <f>$D$29</f>
        <v>Anaerobic lagoon</v>
      </c>
      <c r="E55" s="46">
        <v>0.2</v>
      </c>
      <c r="F55" s="46">
        <v>0.25</v>
      </c>
      <c r="G55" s="46">
        <v>0.25</v>
      </c>
      <c r="H55" s="46">
        <v>0.25</v>
      </c>
      <c r="I55" s="2" t="s">
        <v>18</v>
      </c>
      <c r="J55" s="46">
        <v>0.25</v>
      </c>
      <c r="K55" s="46">
        <v>0.25</v>
      </c>
      <c r="L55" s="97">
        <f>1-SUM(J55:K55)</f>
        <v>0.5</v>
      </c>
      <c r="Q55" s="7"/>
    </row>
    <row r="56" spans="4:17" ht="20.100000000000001" customHeight="1" x14ac:dyDescent="0.25">
      <c r="D56" s="131" t="str">
        <f>$D$31</f>
        <v>Digester / covered lagoons</v>
      </c>
      <c r="E56" s="46">
        <v>0.2</v>
      </c>
      <c r="F56" s="46">
        <v>0.25</v>
      </c>
      <c r="G56" s="46">
        <v>0.25</v>
      </c>
      <c r="H56" s="46">
        <v>0.25</v>
      </c>
      <c r="I56" s="2" t="s">
        <v>18</v>
      </c>
      <c r="J56" s="46">
        <v>0.25</v>
      </c>
      <c r="K56" s="46">
        <v>0.25</v>
      </c>
      <c r="L56" s="97">
        <f t="shared" ref="L56:L58" si="1">1-SUM(J56:K56)</f>
        <v>0.5</v>
      </c>
      <c r="Q56" s="7"/>
    </row>
    <row r="57" spans="4:17" ht="20.100000000000001" customHeight="1" x14ac:dyDescent="0.25">
      <c r="D57" s="131" t="str">
        <f>$D$32</f>
        <v>Deep litter</v>
      </c>
      <c r="E57" s="46">
        <v>0.2</v>
      </c>
      <c r="F57" s="46">
        <v>0.25</v>
      </c>
      <c r="G57" s="46">
        <v>0.25</v>
      </c>
      <c r="H57" s="46">
        <v>0.25</v>
      </c>
      <c r="I57" s="2" t="s">
        <v>18</v>
      </c>
      <c r="J57" s="46">
        <v>0.25</v>
      </c>
      <c r="K57" s="46">
        <v>0.25</v>
      </c>
      <c r="L57" s="97">
        <f t="shared" si="1"/>
        <v>0.5</v>
      </c>
      <c r="Q57" s="7"/>
    </row>
    <row r="58" spans="4:17" ht="20.100000000000001" customHeight="1" x14ac:dyDescent="0.25">
      <c r="D58" s="131" t="str">
        <f>$D$33</f>
        <v>Pit storage</v>
      </c>
      <c r="E58" s="46">
        <v>0.2</v>
      </c>
      <c r="F58" s="46">
        <v>0.25</v>
      </c>
      <c r="G58" s="46">
        <v>0.25</v>
      </c>
      <c r="H58" s="46">
        <v>0.25</v>
      </c>
      <c r="I58" s="2" t="s">
        <v>18</v>
      </c>
      <c r="J58" s="46">
        <v>0.25</v>
      </c>
      <c r="K58" s="46">
        <v>0.25</v>
      </c>
      <c r="L58" s="97">
        <f t="shared" si="1"/>
        <v>0.5</v>
      </c>
      <c r="Q58" s="7"/>
    </row>
    <row r="59" spans="4:17" ht="20.100000000000001" customHeight="1" x14ac:dyDescent="0.25">
      <c r="D59" s="131" t="str">
        <f>'Constants - Swine'!$D$47</f>
        <v>Direct application</v>
      </c>
      <c r="E59" s="97">
        <f>1-SUM(E55:E58)</f>
        <v>0.19999999999999996</v>
      </c>
      <c r="F59" s="97">
        <f t="shared" ref="F59:H59" si="2">1-SUM(F55:F58)</f>
        <v>0</v>
      </c>
      <c r="G59" s="97">
        <f t="shared" si="2"/>
        <v>0</v>
      </c>
      <c r="H59" s="97">
        <f t="shared" si="2"/>
        <v>0</v>
      </c>
      <c r="J59" s="97">
        <v>0</v>
      </c>
      <c r="K59" s="97">
        <v>0</v>
      </c>
      <c r="L59" s="97">
        <f>1-SUM(J59:K59)</f>
        <v>1</v>
      </c>
      <c r="Q59" s="7"/>
    </row>
    <row r="60" spans="4:17" ht="20.100000000000001" customHeight="1" x14ac:dyDescent="0.25">
      <c r="Q60" s="7"/>
    </row>
    <row r="61" spans="4:17" ht="20.100000000000001" customHeight="1" x14ac:dyDescent="0.25">
      <c r="Q61" s="7"/>
    </row>
    <row r="62" spans="4:17" ht="20.100000000000001" customHeight="1" x14ac:dyDescent="0.25">
      <c r="D62" s="130" t="str">
        <f>"From stage 1: " &amp; $D$31</f>
        <v>From stage 1: Digester / covered lagoons</v>
      </c>
      <c r="E62" s="106" t="str">
        <f>IF(SUM(E31:K31)&gt;0,"Manure was sent to this MMS, please complete this section.","NO manure was sent to this MMS. Leave this section blank.")</f>
        <v>Manure was sent to this MMS, please complete this section.</v>
      </c>
      <c r="J62" s="132" t="s">
        <v>189</v>
      </c>
      <c r="K62" s="132" t="s">
        <v>190</v>
      </c>
      <c r="L62" s="132" t="s">
        <v>191</v>
      </c>
      <c r="Q62" s="7"/>
    </row>
    <row r="63" spans="4:17" ht="20.100000000000001" customHeight="1" x14ac:dyDescent="0.25">
      <c r="D63" s="131" t="str">
        <f>$D$29</f>
        <v>Anaerobic lagoon</v>
      </c>
      <c r="E63" s="46">
        <v>0.2</v>
      </c>
      <c r="F63" s="46">
        <v>0.25</v>
      </c>
      <c r="G63" s="46">
        <v>0.25</v>
      </c>
      <c r="H63" s="46">
        <v>0.25</v>
      </c>
      <c r="I63" s="2" t="s">
        <v>18</v>
      </c>
      <c r="J63" s="46">
        <v>0.25</v>
      </c>
      <c r="K63" s="46">
        <v>0.25</v>
      </c>
      <c r="L63" s="97">
        <f>1-SUM(J63:K63)</f>
        <v>0.5</v>
      </c>
      <c r="Q63" s="7"/>
    </row>
    <row r="64" spans="4:17" ht="20.100000000000001" customHeight="1" x14ac:dyDescent="0.25">
      <c r="D64" s="131" t="str">
        <f>$D$32</f>
        <v>Deep litter</v>
      </c>
      <c r="E64" s="46">
        <v>0.2</v>
      </c>
      <c r="F64" s="46">
        <v>0.25</v>
      </c>
      <c r="G64" s="46">
        <v>0.25</v>
      </c>
      <c r="H64" s="46">
        <v>0.25</v>
      </c>
      <c r="I64" s="2" t="s">
        <v>18</v>
      </c>
      <c r="J64" s="46">
        <v>0.25</v>
      </c>
      <c r="K64" s="46">
        <v>0.25</v>
      </c>
      <c r="L64" s="97">
        <f>1-SUM(J64:K64)</f>
        <v>0.5</v>
      </c>
      <c r="Q64" s="7"/>
    </row>
    <row r="65" spans="4:17" ht="20.100000000000001" customHeight="1" x14ac:dyDescent="0.25">
      <c r="D65" s="131" t="str">
        <f>$D$33</f>
        <v>Pit storage</v>
      </c>
      <c r="E65" s="46">
        <v>0.2</v>
      </c>
      <c r="F65" s="46">
        <v>0.25</v>
      </c>
      <c r="G65" s="46">
        <v>0.25</v>
      </c>
      <c r="H65" s="46">
        <v>0.25</v>
      </c>
      <c r="I65" s="2" t="s">
        <v>18</v>
      </c>
      <c r="J65" s="46">
        <v>0.25</v>
      </c>
      <c r="K65" s="46">
        <v>0.25</v>
      </c>
      <c r="L65" s="97">
        <f>1-SUM(J65:K65)</f>
        <v>0.5</v>
      </c>
      <c r="Q65" s="7"/>
    </row>
    <row r="66" spans="4:17" ht="20.100000000000001" customHeight="1" x14ac:dyDescent="0.25">
      <c r="D66" s="131" t="str">
        <f>'Constants - Swine'!$D$47</f>
        <v>Direct application</v>
      </c>
      <c r="E66" s="97">
        <f>1-SUM(E63:E65)</f>
        <v>0.39999999999999991</v>
      </c>
      <c r="F66" s="97">
        <f>1-SUM(F63:F65)</f>
        <v>0.25</v>
      </c>
      <c r="G66" s="97">
        <f>1-SUM(G63:G65)</f>
        <v>0.25</v>
      </c>
      <c r="H66" s="97">
        <f>1-SUM(H63:H65)</f>
        <v>0.25</v>
      </c>
      <c r="I66" s="2" t="s">
        <v>18</v>
      </c>
      <c r="J66" s="97">
        <v>0</v>
      </c>
      <c r="K66" s="97">
        <v>0</v>
      </c>
      <c r="L66" s="97">
        <f>1-SUM(J66:K66)</f>
        <v>1</v>
      </c>
      <c r="Q66" s="7"/>
    </row>
    <row r="67" spans="4:17" ht="20.100000000000001" customHeight="1" x14ac:dyDescent="0.25">
      <c r="Q67" s="7"/>
    </row>
    <row r="68" spans="4:17" ht="20.100000000000001" customHeight="1" x14ac:dyDescent="0.25">
      <c r="D68" s="124"/>
      <c r="Q68" s="7"/>
    </row>
    <row r="69" spans="4:17" ht="20.100000000000001" customHeight="1" x14ac:dyDescent="0.25">
      <c r="D69" s="130" t="str">
        <f>"From stage 1: " &amp; $D$32</f>
        <v>From stage 1: Deep litter</v>
      </c>
      <c r="E69" s="106" t="str">
        <f>IF(SUM(E32:K32)&gt;0,"Manure was sent to this MMS, please complete this section.","NO manure was sent to this MMS. Leave this section blank.")</f>
        <v>Manure was sent to this MMS, please complete this section.</v>
      </c>
      <c r="J69" s="132" t="s">
        <v>189</v>
      </c>
      <c r="K69" s="132" t="s">
        <v>190</v>
      </c>
      <c r="L69" s="132" t="s">
        <v>191</v>
      </c>
      <c r="Q69" s="7"/>
    </row>
    <row r="70" spans="4:17" ht="20.100000000000001" customHeight="1" x14ac:dyDescent="0.25">
      <c r="D70" s="131" t="str">
        <f>$D$29</f>
        <v>Anaerobic lagoon</v>
      </c>
      <c r="E70" s="46">
        <v>0.2</v>
      </c>
      <c r="F70" s="46">
        <v>0.25</v>
      </c>
      <c r="G70" s="46">
        <v>0.25</v>
      </c>
      <c r="H70" s="46">
        <v>0.25</v>
      </c>
      <c r="I70" s="2" t="s">
        <v>18</v>
      </c>
      <c r="J70" s="46">
        <v>0.25</v>
      </c>
      <c r="K70" s="46">
        <v>0.25</v>
      </c>
      <c r="L70" s="97">
        <f>1-SUM(J70:K70)</f>
        <v>0.5</v>
      </c>
      <c r="Q70" s="7"/>
    </row>
    <row r="71" spans="4:17" ht="20.100000000000001" customHeight="1" x14ac:dyDescent="0.25">
      <c r="D71" s="131" t="str">
        <f>$D$31</f>
        <v>Digester / covered lagoons</v>
      </c>
      <c r="E71" s="46">
        <v>0.2</v>
      </c>
      <c r="F71" s="46">
        <v>0.25</v>
      </c>
      <c r="G71" s="46">
        <v>0.25</v>
      </c>
      <c r="H71" s="46">
        <v>0.25</v>
      </c>
      <c r="I71" s="2" t="s">
        <v>18</v>
      </c>
      <c r="J71" s="46">
        <v>0.25</v>
      </c>
      <c r="K71" s="46">
        <v>0.25</v>
      </c>
      <c r="L71" s="97">
        <f>1-SUM(J71:K71)</f>
        <v>0.5</v>
      </c>
      <c r="Q71" s="7"/>
    </row>
    <row r="72" spans="4:17" ht="20.100000000000001" customHeight="1" x14ac:dyDescent="0.25">
      <c r="D72" s="131" t="str">
        <f>$D$33</f>
        <v>Pit storage</v>
      </c>
      <c r="E72" s="46">
        <v>0.2</v>
      </c>
      <c r="F72" s="46">
        <v>0.25</v>
      </c>
      <c r="G72" s="46">
        <v>0.25</v>
      </c>
      <c r="H72" s="46">
        <v>0.25</v>
      </c>
      <c r="I72" s="2" t="s">
        <v>18</v>
      </c>
      <c r="J72" s="46">
        <v>0.25</v>
      </c>
      <c r="K72" s="46">
        <v>0.25</v>
      </c>
      <c r="L72" s="97">
        <f>1-SUM(J72:K72)</f>
        <v>0.5</v>
      </c>
      <c r="Q72" s="7"/>
    </row>
    <row r="73" spans="4:17" ht="20.100000000000001" customHeight="1" x14ac:dyDescent="0.25">
      <c r="D73" s="131" t="str">
        <f>'Constants - Swine'!$D$47</f>
        <v>Direct application</v>
      </c>
      <c r="E73" s="97">
        <f>1-SUM(E70:E72)</f>
        <v>0.39999999999999991</v>
      </c>
      <c r="F73" s="97">
        <f>1-SUM(F70:F72)</f>
        <v>0.25</v>
      </c>
      <c r="G73" s="97">
        <f>1-SUM(G70:G72)</f>
        <v>0.25</v>
      </c>
      <c r="H73" s="97">
        <f>1-SUM(H70:H72)</f>
        <v>0.25</v>
      </c>
      <c r="I73" s="2" t="s">
        <v>18</v>
      </c>
      <c r="J73" s="97">
        <v>0</v>
      </c>
      <c r="K73" s="97">
        <v>0</v>
      </c>
      <c r="L73" s="97">
        <f>1-SUM(J73:K73)</f>
        <v>1</v>
      </c>
      <c r="Q73" s="7"/>
    </row>
    <row r="74" spans="4:17" ht="20.100000000000001" customHeight="1" x14ac:dyDescent="0.25">
      <c r="Q74" s="7"/>
    </row>
    <row r="75" spans="4:17" ht="20.100000000000001" customHeight="1" x14ac:dyDescent="0.25">
      <c r="Q75" s="7"/>
    </row>
    <row r="76" spans="4:17" ht="20.100000000000001" customHeight="1" x14ac:dyDescent="0.25">
      <c r="D76" s="130" t="str">
        <f>"From stage 1: " &amp; $D$33</f>
        <v>From stage 1: Pit storage</v>
      </c>
      <c r="E76" s="106" t="str">
        <f>IF(SUM(E33:K33)&gt;0,"Manure was sent to this MMS, please complete this section.","NO manure was sent to this MMS. Leave this section blank.")</f>
        <v>Manure was sent to this MMS, please complete this section.</v>
      </c>
      <c r="J76" s="132" t="s">
        <v>189</v>
      </c>
      <c r="K76" s="132" t="s">
        <v>190</v>
      </c>
      <c r="L76" s="132" t="s">
        <v>191</v>
      </c>
      <c r="Q76" s="7"/>
    </row>
    <row r="77" spans="4:17" ht="20.100000000000001" customHeight="1" x14ac:dyDescent="0.25">
      <c r="D77" s="131" t="str">
        <f>$D$29</f>
        <v>Anaerobic lagoon</v>
      </c>
      <c r="E77" s="46">
        <v>0.2</v>
      </c>
      <c r="F77" s="46">
        <v>0.25</v>
      </c>
      <c r="G77" s="46">
        <v>0.25</v>
      </c>
      <c r="H77" s="46">
        <v>0.25</v>
      </c>
      <c r="I77" s="2" t="s">
        <v>18</v>
      </c>
      <c r="J77" s="46">
        <v>0.25</v>
      </c>
      <c r="K77" s="46">
        <v>0.25</v>
      </c>
      <c r="L77" s="97">
        <f>1-SUM(J77:K77)</f>
        <v>0.5</v>
      </c>
      <c r="Q77" s="7"/>
    </row>
    <row r="78" spans="4:17" ht="20.100000000000001" customHeight="1" x14ac:dyDescent="0.25">
      <c r="D78" s="131" t="str">
        <f>$D$31</f>
        <v>Digester / covered lagoons</v>
      </c>
      <c r="E78" s="46">
        <v>0.2</v>
      </c>
      <c r="F78" s="46">
        <v>0.25</v>
      </c>
      <c r="G78" s="46">
        <v>0.25</v>
      </c>
      <c r="H78" s="46">
        <v>0.25</v>
      </c>
      <c r="I78" s="2" t="s">
        <v>18</v>
      </c>
      <c r="J78" s="46">
        <v>0.25</v>
      </c>
      <c r="K78" s="46">
        <v>0.25</v>
      </c>
      <c r="L78" s="97">
        <f>1-SUM(J78:K78)</f>
        <v>0.5</v>
      </c>
      <c r="Q78" s="7"/>
    </row>
    <row r="79" spans="4:17" ht="20.100000000000001" customHeight="1" x14ac:dyDescent="0.25">
      <c r="D79" s="131" t="str">
        <f>$D$32</f>
        <v>Deep litter</v>
      </c>
      <c r="E79" s="46">
        <v>0.2</v>
      </c>
      <c r="F79" s="46">
        <v>0.25</v>
      </c>
      <c r="G79" s="46">
        <v>0.25</v>
      </c>
      <c r="H79" s="46">
        <v>0.25</v>
      </c>
      <c r="I79" s="2" t="s">
        <v>18</v>
      </c>
      <c r="J79" s="46">
        <v>0.25</v>
      </c>
      <c r="K79" s="46">
        <v>0.25</v>
      </c>
      <c r="L79" s="97">
        <f>1-SUM(J79:K79)</f>
        <v>0.5</v>
      </c>
      <c r="Q79" s="7"/>
    </row>
    <row r="80" spans="4:17" ht="20.100000000000001" customHeight="1" x14ac:dyDescent="0.25">
      <c r="D80" s="131" t="str">
        <f>'Constants - Swine'!$D$47</f>
        <v>Direct application</v>
      </c>
      <c r="E80" s="97">
        <f>1-SUM(E77:E79)</f>
        <v>0.39999999999999991</v>
      </c>
      <c r="F80" s="97">
        <f>1-SUM(F77:F79)</f>
        <v>0.25</v>
      </c>
      <c r="G80" s="97">
        <f>1-SUM(G77:G79)</f>
        <v>0.25</v>
      </c>
      <c r="H80" s="97">
        <f>1-SUM(H77:H79)</f>
        <v>0.25</v>
      </c>
      <c r="I80" s="2" t="s">
        <v>18</v>
      </c>
      <c r="J80" s="97">
        <v>0</v>
      </c>
      <c r="K80" s="97">
        <v>0</v>
      </c>
      <c r="L80" s="97">
        <f>1-SUM(J80:K80)</f>
        <v>1</v>
      </c>
      <c r="Q80" s="7"/>
    </row>
    <row r="81" spans="1:17" ht="20.100000000000001" customHeight="1" x14ac:dyDescent="0.25">
      <c r="Q81" s="7"/>
    </row>
    <row r="82" spans="1:17" ht="20.100000000000001" customHeight="1" x14ac:dyDescent="0.25">
      <c r="Q82" s="7"/>
    </row>
    <row r="83" spans="1:17" ht="20.100000000000001" customHeight="1" x14ac:dyDescent="0.25">
      <c r="D83" s="130" t="str">
        <f>"From stage 1: " &amp; $D$34</f>
        <v>From stage 1: Solid storage</v>
      </c>
      <c r="E83" s="106" t="str">
        <f>IF(OR(SUM(E34:H34)&gt;0,COUNTIF(E39:E43,"Yes")&gt;0),"Manure was sent to this MMS, please complete this section.","NO manure was sent to this MMS. Leave this section blank.")</f>
        <v>Manure was sent to this MMS, please complete this section.</v>
      </c>
      <c r="J83" s="132" t="s">
        <v>189</v>
      </c>
      <c r="K83" s="132" t="s">
        <v>190</v>
      </c>
      <c r="L83" s="132" t="s">
        <v>191</v>
      </c>
      <c r="Q83" s="7"/>
    </row>
    <row r="84" spans="1:17" ht="20.100000000000001" customHeight="1" x14ac:dyDescent="0.25">
      <c r="D84" s="131" t="str">
        <f>$D$29</f>
        <v>Anaerobic lagoon</v>
      </c>
      <c r="E84" s="46">
        <v>0.2</v>
      </c>
      <c r="F84" s="46">
        <v>0.2</v>
      </c>
      <c r="G84" s="46">
        <v>0.2</v>
      </c>
      <c r="H84" s="46">
        <v>0.2</v>
      </c>
      <c r="I84" s="2" t="s">
        <v>18</v>
      </c>
      <c r="J84" s="46">
        <v>0.25</v>
      </c>
      <c r="K84" s="46">
        <v>0.25</v>
      </c>
      <c r="L84" s="97">
        <f>1-SUM(J84:K84)</f>
        <v>0.5</v>
      </c>
      <c r="Q84" s="7"/>
    </row>
    <row r="85" spans="1:17" ht="20.100000000000001" customHeight="1" x14ac:dyDescent="0.25">
      <c r="D85" s="131" t="str">
        <f>$D$31</f>
        <v>Digester / covered lagoons</v>
      </c>
      <c r="E85" s="46">
        <v>0.2</v>
      </c>
      <c r="F85" s="46">
        <v>0.2</v>
      </c>
      <c r="G85" s="46">
        <v>0.2</v>
      </c>
      <c r="H85" s="46">
        <v>0.2</v>
      </c>
      <c r="I85" s="2" t="s">
        <v>18</v>
      </c>
      <c r="J85" s="46">
        <v>0.25</v>
      </c>
      <c r="K85" s="46">
        <v>0.25</v>
      </c>
      <c r="L85" s="97">
        <f>1-SUM(J85:K85)</f>
        <v>0.5</v>
      </c>
      <c r="Q85" s="7"/>
    </row>
    <row r="86" spans="1:17" ht="20.100000000000001" customHeight="1" x14ac:dyDescent="0.25">
      <c r="D86" s="131" t="str">
        <f>$D$32</f>
        <v>Deep litter</v>
      </c>
      <c r="E86" s="46">
        <v>0.2</v>
      </c>
      <c r="F86" s="46">
        <v>0.2</v>
      </c>
      <c r="G86" s="46">
        <v>0.2</v>
      </c>
      <c r="H86" s="46">
        <v>0.2</v>
      </c>
      <c r="I86" s="2" t="s">
        <v>18</v>
      </c>
      <c r="J86" s="46">
        <v>0.25</v>
      </c>
      <c r="K86" s="46">
        <v>0.25</v>
      </c>
      <c r="L86" s="97">
        <f>1-SUM(J86:K86)</f>
        <v>0.5</v>
      </c>
      <c r="Q86" s="7"/>
    </row>
    <row r="87" spans="1:17" ht="20.100000000000001" customHeight="1" x14ac:dyDescent="0.25">
      <c r="D87" s="131" t="str">
        <f>$D$33</f>
        <v>Pit storage</v>
      </c>
      <c r="E87" s="46">
        <v>0.1</v>
      </c>
      <c r="F87" s="46">
        <v>0.1</v>
      </c>
      <c r="G87" s="46">
        <v>0.1</v>
      </c>
      <c r="H87" s="46">
        <v>0.1</v>
      </c>
      <c r="I87" s="2" t="s">
        <v>18</v>
      </c>
      <c r="J87" s="46">
        <v>0.25</v>
      </c>
      <c r="K87" s="46">
        <v>0.25</v>
      </c>
      <c r="L87" s="97">
        <f>1-SUM(J87:K87)</f>
        <v>0.5</v>
      </c>
      <c r="Q87" s="7"/>
    </row>
    <row r="88" spans="1:17" ht="20.100000000000001" customHeight="1" x14ac:dyDescent="0.25">
      <c r="D88" s="131" t="str">
        <f>'Constants - Swine'!$D$47</f>
        <v>Direct application</v>
      </c>
      <c r="E88" s="97">
        <f>1-SUM(E84:E87)</f>
        <v>0.29999999999999993</v>
      </c>
      <c r="F88" s="97">
        <f>1-SUM(F84:F87)</f>
        <v>0.29999999999999993</v>
      </c>
      <c r="G88" s="97">
        <f>1-SUM(G84:G87)</f>
        <v>0.29999999999999993</v>
      </c>
      <c r="H88" s="97">
        <f>1-SUM(H84:H87)</f>
        <v>0.29999999999999993</v>
      </c>
      <c r="I88" s="2" t="s">
        <v>18</v>
      </c>
      <c r="J88" s="97">
        <v>0</v>
      </c>
      <c r="K88" s="97">
        <v>0</v>
      </c>
      <c r="L88" s="97">
        <f>1-SUM(J88:K88)</f>
        <v>1</v>
      </c>
      <c r="Q88" s="7"/>
    </row>
    <row r="89" spans="1:17" ht="20.100000000000001" customHeight="1" x14ac:dyDescent="0.25">
      <c r="Q89" s="7"/>
    </row>
    <row r="90" spans="1:17" ht="20.100000000000001" customHeight="1" x14ac:dyDescent="0.25">
      <c r="Q90" s="7"/>
    </row>
    <row r="91" spans="1:17" ht="20.100000000000001" customHeight="1" x14ac:dyDescent="0.25">
      <c r="D91" s="1" t="s">
        <v>263</v>
      </c>
      <c r="E91" s="39" t="s">
        <v>136</v>
      </c>
      <c r="F91" s="2" t="s">
        <v>11</v>
      </c>
      <c r="Q91" s="7"/>
    </row>
    <row r="92" spans="1:17" ht="20.100000000000001" customHeight="1" x14ac:dyDescent="0.25">
      <c r="A92" s="150" t="str">
        <f>HYPERLINK("#A1", "▲ Back to top")</f>
        <v>▲ Back to top</v>
      </c>
      <c r="D92" s="1" t="s">
        <v>108</v>
      </c>
      <c r="E92" s="39" t="s">
        <v>113</v>
      </c>
      <c r="F92" s="2" t="s">
        <v>11</v>
      </c>
      <c r="Q92" s="7"/>
    </row>
    <row r="93" spans="1:17" ht="20.100000000000001" customHeight="1" x14ac:dyDescent="0.25">
      <c r="Q93" s="7"/>
    </row>
    <row r="94" spans="1:17" ht="20.100000000000001" customHeight="1" x14ac:dyDescent="0.25">
      <c r="Q94" s="7"/>
    </row>
    <row r="95" spans="1:17" ht="20.100000000000001" customHeight="1" x14ac:dyDescent="0.25">
      <c r="Q95" s="7"/>
    </row>
    <row r="96" spans="1:17" ht="20.100000000000001" customHeight="1" x14ac:dyDescent="0.25">
      <c r="Q96" s="7"/>
    </row>
    <row r="97" spans="13:17" ht="20.100000000000001" customHeight="1" x14ac:dyDescent="0.25">
      <c r="Q97" s="7"/>
    </row>
    <row r="98" spans="13:17" ht="20.100000000000001" customHeight="1" x14ac:dyDescent="0.25">
      <c r="Q98" s="7"/>
    </row>
    <row r="99" spans="13:17" ht="20.100000000000001" customHeight="1" x14ac:dyDescent="0.25">
      <c r="Q99" s="7"/>
    </row>
    <row r="100" spans="13:17" ht="20.100000000000001" customHeight="1" x14ac:dyDescent="0.25">
      <c r="Q100" s="7"/>
    </row>
    <row r="101" spans="13:17" ht="20.100000000000001" customHeight="1" x14ac:dyDescent="0.25">
      <c r="Q101" s="7"/>
    </row>
    <row r="102" spans="13:17" ht="20.100000000000001" customHeight="1" x14ac:dyDescent="0.25">
      <c r="Q102" s="7"/>
    </row>
    <row r="103" spans="13:17" ht="20.100000000000001" customHeight="1" x14ac:dyDescent="0.25">
      <c r="Q103" s="7"/>
    </row>
    <row r="104" spans="13:17" ht="20.100000000000001" customHeight="1" x14ac:dyDescent="0.25">
      <c r="Q104" s="7"/>
    </row>
    <row r="105" spans="13:17" ht="20.100000000000001" customHeight="1" x14ac:dyDescent="0.25">
      <c r="Q105" s="7"/>
    </row>
    <row r="106" spans="13:17" ht="20.100000000000001" customHeight="1" x14ac:dyDescent="0.25">
      <c r="Q106" s="7"/>
    </row>
    <row r="107" spans="13:17" ht="20.100000000000001" customHeight="1" x14ac:dyDescent="0.25"/>
    <row r="108" spans="13:17" ht="20.100000000000001" customHeight="1" x14ac:dyDescent="0.25">
      <c r="M108" s="3"/>
    </row>
    <row r="109" spans="13:17" ht="20.100000000000001" customHeight="1" x14ac:dyDescent="0.25">
      <c r="M109" s="3"/>
    </row>
    <row r="110" spans="13:17" ht="20.100000000000001" customHeight="1" x14ac:dyDescent="0.25">
      <c r="M110" s="3"/>
    </row>
    <row r="111" spans="13:17" ht="20.100000000000001" customHeight="1" x14ac:dyDescent="0.25">
      <c r="M111" s="3"/>
    </row>
    <row r="112" spans="13:17" ht="20.100000000000001" customHeight="1" x14ac:dyDescent="0.25">
      <c r="M112" s="3"/>
    </row>
    <row r="113" spans="13:13" ht="20.100000000000001" customHeight="1" x14ac:dyDescent="0.25">
      <c r="M113" s="3"/>
    </row>
    <row r="114" spans="13:13" ht="20.100000000000001" customHeight="1" x14ac:dyDescent="0.25">
      <c r="M114" s="3"/>
    </row>
    <row r="115" spans="13:13" ht="20.100000000000001" customHeight="1" x14ac:dyDescent="0.25">
      <c r="M115" s="3"/>
    </row>
    <row r="116" spans="13:13" ht="20.100000000000001" customHeight="1" x14ac:dyDescent="0.25">
      <c r="M116" s="3"/>
    </row>
    <row r="117" spans="13:13" ht="20.100000000000001" customHeight="1" x14ac:dyDescent="0.25">
      <c r="M117" s="3"/>
    </row>
    <row r="118" spans="13:13" ht="20.100000000000001" customHeight="1" x14ac:dyDescent="0.25">
      <c r="M118" s="3"/>
    </row>
    <row r="119" spans="13:13" ht="20.100000000000001" customHeight="1" x14ac:dyDescent="0.25">
      <c r="M119" s="3"/>
    </row>
    <row r="120" spans="13:13" ht="20.100000000000001" customHeight="1" x14ac:dyDescent="0.25">
      <c r="M120" s="3"/>
    </row>
    <row r="121" spans="13:13" ht="20.100000000000001" customHeight="1" x14ac:dyDescent="0.25">
      <c r="M121" s="3"/>
    </row>
    <row r="122" spans="13:13" ht="20.100000000000001" customHeight="1" x14ac:dyDescent="0.25">
      <c r="M122" s="3"/>
    </row>
    <row r="123" spans="13:13" ht="20.100000000000001" customHeight="1" x14ac:dyDescent="0.25">
      <c r="M123" s="3"/>
    </row>
    <row r="124" spans="13:13" ht="20.100000000000001" customHeight="1" x14ac:dyDescent="0.25">
      <c r="M124" s="3"/>
    </row>
    <row r="125" spans="13:13" ht="20.100000000000001" customHeight="1" x14ac:dyDescent="0.25">
      <c r="M125" s="3"/>
    </row>
    <row r="126" spans="13:13" ht="20.100000000000001" customHeight="1" x14ac:dyDescent="0.25">
      <c r="M126" s="3"/>
    </row>
    <row r="127" spans="13:13" ht="20.100000000000001" customHeight="1" x14ac:dyDescent="0.25">
      <c r="M127" s="3"/>
    </row>
    <row r="128" spans="13:13" ht="20.100000000000001" customHeight="1" x14ac:dyDescent="0.25">
      <c r="M128" s="3"/>
    </row>
    <row r="129" spans="13:13" ht="20.100000000000001" customHeight="1" x14ac:dyDescent="0.25">
      <c r="M129" s="3"/>
    </row>
    <row r="130" spans="13:13" ht="20.100000000000001" customHeight="1" x14ac:dyDescent="0.25"/>
    <row r="131" spans="13:13" ht="20.100000000000001" customHeight="1" x14ac:dyDescent="0.25"/>
    <row r="132" spans="13:13" ht="20.100000000000001" customHeight="1" x14ac:dyDescent="0.25"/>
    <row r="133" spans="13:13" ht="20.100000000000001" customHeight="1" x14ac:dyDescent="0.25"/>
    <row r="134" spans="13:13" ht="20.100000000000001" customHeight="1" x14ac:dyDescent="0.25"/>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06" spans="12:12" x14ac:dyDescent="0.25">
      <c r="L206" s="2"/>
    </row>
    <row r="207" spans="12:12" x14ac:dyDescent="0.25">
      <c r="L207" s="2"/>
    </row>
    <row r="208" spans="12:12" x14ac:dyDescent="0.25">
      <c r="L208" s="2"/>
    </row>
    <row r="209" spans="12:12" x14ac:dyDescent="0.25">
      <c r="L209" s="2"/>
    </row>
    <row r="210" spans="12:12" x14ac:dyDescent="0.25">
      <c r="L210" s="2"/>
    </row>
    <row r="212" spans="12:12" x14ac:dyDescent="0.25">
      <c r="L212" s="2"/>
    </row>
    <row r="214" spans="12:12" x14ac:dyDescent="0.25">
      <c r="L214" s="2"/>
    </row>
    <row r="215" spans="12:12" x14ac:dyDescent="0.25">
      <c r="L215" s="2"/>
    </row>
    <row r="216" spans="12:12" x14ac:dyDescent="0.25">
      <c r="L216" s="2"/>
    </row>
    <row r="217" spans="12:12" x14ac:dyDescent="0.25">
      <c r="L217" s="2"/>
    </row>
    <row r="219" spans="12:12" x14ac:dyDescent="0.25">
      <c r="L219" s="2"/>
    </row>
    <row r="227" spans="12:12" x14ac:dyDescent="0.25">
      <c r="L227" s="2"/>
    </row>
    <row r="228" spans="12:12" x14ac:dyDescent="0.25">
      <c r="L228" s="2"/>
    </row>
    <row r="229" spans="12:12" x14ac:dyDescent="0.25">
      <c r="L229" s="2"/>
    </row>
    <row r="232" spans="12:12" x14ac:dyDescent="0.25">
      <c r="L232" s="2"/>
    </row>
    <row r="233" spans="12:12" x14ac:dyDescent="0.25">
      <c r="L233" s="2"/>
    </row>
    <row r="234" spans="12:12" x14ac:dyDescent="0.25">
      <c r="L234" s="2"/>
    </row>
    <row r="237" spans="12:12" x14ac:dyDescent="0.25">
      <c r="L237" s="2"/>
    </row>
    <row r="238" spans="12:12" x14ac:dyDescent="0.25">
      <c r="L238" s="2"/>
    </row>
    <row r="239" spans="12:12" x14ac:dyDescent="0.25">
      <c r="L239" s="2"/>
    </row>
    <row r="242" spans="11:12" x14ac:dyDescent="0.25">
      <c r="L242" s="2"/>
    </row>
    <row r="243" spans="11:12" x14ac:dyDescent="0.25">
      <c r="K243" s="2"/>
      <c r="L243" s="2"/>
    </row>
    <row r="244" spans="11:12" x14ac:dyDescent="0.25">
      <c r="L244" s="2"/>
    </row>
    <row r="248" spans="11:12" x14ac:dyDescent="0.25">
      <c r="K248" s="2"/>
    </row>
    <row r="251" spans="11:12" x14ac:dyDescent="0.25">
      <c r="L251" s="2"/>
    </row>
    <row r="252" spans="11:12" x14ac:dyDescent="0.25">
      <c r="L252" s="2"/>
    </row>
    <row r="253" spans="11:12" x14ac:dyDescent="0.25">
      <c r="K253" s="2"/>
      <c r="L253" s="2"/>
    </row>
    <row r="256" spans="11:12" x14ac:dyDescent="0.25">
      <c r="L256" s="2"/>
    </row>
    <row r="257" spans="11:12" x14ac:dyDescent="0.25">
      <c r="L257" s="2"/>
    </row>
    <row r="258" spans="11:12" x14ac:dyDescent="0.25">
      <c r="K258" s="2"/>
      <c r="L258" s="2"/>
    </row>
    <row r="259" spans="11:12" x14ac:dyDescent="0.25">
      <c r="K259" s="2"/>
    </row>
    <row r="260" spans="11:12" x14ac:dyDescent="0.25">
      <c r="K260" s="2"/>
    </row>
    <row r="261" spans="11:12" x14ac:dyDescent="0.25">
      <c r="K261" s="2"/>
      <c r="L261" s="2"/>
    </row>
    <row r="262" spans="11:12" x14ac:dyDescent="0.25">
      <c r="K262" s="2"/>
      <c r="L262" s="2"/>
    </row>
    <row r="263" spans="11:12" x14ac:dyDescent="0.25">
      <c r="L263" s="2"/>
    </row>
    <row r="264" spans="11:12" x14ac:dyDescent="0.25">
      <c r="K264" s="2"/>
    </row>
    <row r="266" spans="11:12" x14ac:dyDescent="0.25">
      <c r="K266" s="2"/>
      <c r="L266" s="2"/>
    </row>
    <row r="267" spans="11:12" x14ac:dyDescent="0.25">
      <c r="K267" s="2"/>
      <c r="L267" s="2"/>
    </row>
    <row r="268" spans="11:12" x14ac:dyDescent="0.25">
      <c r="K268" s="2"/>
      <c r="L268" s="2"/>
    </row>
    <row r="269" spans="11:12" x14ac:dyDescent="0.25">
      <c r="K269" s="2"/>
    </row>
    <row r="271" spans="11:12" x14ac:dyDescent="0.25">
      <c r="K271" s="2"/>
    </row>
    <row r="277" spans="11:11" x14ac:dyDescent="0.25">
      <c r="K277" s="2"/>
    </row>
    <row r="282" spans="11:11" x14ac:dyDescent="0.25">
      <c r="K282" s="2"/>
    </row>
    <row r="287" spans="11:11" x14ac:dyDescent="0.25">
      <c r="K287" s="2"/>
    </row>
    <row r="292" spans="11:11" x14ac:dyDescent="0.25">
      <c r="K292" s="2"/>
    </row>
    <row r="293" spans="11:11" x14ac:dyDescent="0.25">
      <c r="K293" s="2"/>
    </row>
    <row r="294" spans="11:11" x14ac:dyDescent="0.25">
      <c r="K294" s="2"/>
    </row>
    <row r="295" spans="11:11" x14ac:dyDescent="0.25">
      <c r="K295" s="2"/>
    </row>
    <row r="296" spans="11:11" x14ac:dyDescent="0.25">
      <c r="K296" s="2"/>
    </row>
    <row r="298" spans="11:11" x14ac:dyDescent="0.25">
      <c r="K298" s="2"/>
    </row>
    <row r="300" spans="11:11" x14ac:dyDescent="0.25">
      <c r="K300" s="2"/>
    </row>
    <row r="301" spans="11:11" x14ac:dyDescent="0.25">
      <c r="K301" s="2"/>
    </row>
    <row r="302" spans="11:11" x14ac:dyDescent="0.25">
      <c r="K302" s="2"/>
    </row>
    <row r="303" spans="11:11" x14ac:dyDescent="0.25">
      <c r="K303" s="2"/>
    </row>
    <row r="305" spans="11:11" x14ac:dyDescent="0.25">
      <c r="K305" s="2"/>
    </row>
    <row r="313" spans="11:11" x14ac:dyDescent="0.25">
      <c r="K313" s="2"/>
    </row>
    <row r="314" spans="11:11" x14ac:dyDescent="0.25">
      <c r="K314" s="2"/>
    </row>
    <row r="315" spans="11:11" x14ac:dyDescent="0.25">
      <c r="K315" s="2"/>
    </row>
    <row r="318" spans="11:11" x14ac:dyDescent="0.25">
      <c r="K318" s="2"/>
    </row>
    <row r="319" spans="11:11" x14ac:dyDescent="0.25">
      <c r="K319" s="2"/>
    </row>
    <row r="320" spans="11:11" x14ac:dyDescent="0.25">
      <c r="K320" s="2"/>
    </row>
    <row r="323" spans="11:11" x14ac:dyDescent="0.25">
      <c r="K323" s="2"/>
    </row>
    <row r="324" spans="11:11" x14ac:dyDescent="0.25">
      <c r="K324" s="2"/>
    </row>
    <row r="325" spans="11:11" x14ac:dyDescent="0.25">
      <c r="K325" s="2"/>
    </row>
    <row r="328" spans="11:11" x14ac:dyDescent="0.25">
      <c r="K328" s="2"/>
    </row>
    <row r="329" spans="11:11" x14ac:dyDescent="0.25">
      <c r="K329" s="2"/>
    </row>
    <row r="330" spans="11:11" x14ac:dyDescent="0.25">
      <c r="K330" s="2"/>
    </row>
    <row r="337" spans="11:11" x14ac:dyDescent="0.25">
      <c r="K337" s="2"/>
    </row>
    <row r="338" spans="11:11" x14ac:dyDescent="0.25">
      <c r="K338" s="2"/>
    </row>
    <row r="339" spans="11:11" x14ac:dyDescent="0.25">
      <c r="K339" s="2"/>
    </row>
    <row r="342" spans="11:11" x14ac:dyDescent="0.25">
      <c r="K342" s="2"/>
    </row>
    <row r="343" spans="11:11" x14ac:dyDescent="0.25">
      <c r="K343" s="2"/>
    </row>
    <row r="344" spans="11:11" x14ac:dyDescent="0.25">
      <c r="K344" s="2"/>
    </row>
    <row r="347" spans="11:11" x14ac:dyDescent="0.25">
      <c r="K347" s="2"/>
    </row>
    <row r="348" spans="11:11" x14ac:dyDescent="0.25">
      <c r="K348" s="2"/>
    </row>
    <row r="349" spans="11:11" x14ac:dyDescent="0.25">
      <c r="K349" s="2"/>
    </row>
    <row r="352" spans="11:11" x14ac:dyDescent="0.25">
      <c r="K352" s="2"/>
    </row>
    <row r="353" spans="4:11" x14ac:dyDescent="0.25">
      <c r="K353" s="2"/>
    </row>
    <row r="354" spans="4:11" x14ac:dyDescent="0.25">
      <c r="K354" s="2"/>
    </row>
    <row r="356" spans="4:11" x14ac:dyDescent="0.25">
      <c r="D356" s="106"/>
    </row>
  </sheetData>
  <conditionalFormatting sqref="E205:G205">
    <cfRule type="cellIs" dxfId="31" priority="79" operator="lessThan">
      <formula>0</formula>
    </cfRule>
  </conditionalFormatting>
  <conditionalFormatting sqref="F40:F41">
    <cfRule type="cellIs" dxfId="30" priority="69" operator="lessThan">
      <formula>0</formula>
    </cfRule>
  </conditionalFormatting>
  <conditionalFormatting sqref="F44">
    <cfRule type="cellIs" dxfId="29" priority="68" operator="lessThan">
      <formula>0</formula>
    </cfRule>
  </conditionalFormatting>
  <conditionalFormatting sqref="F53">
    <cfRule type="cellIs" dxfId="28" priority="62" operator="lessThan">
      <formula>0</formula>
    </cfRule>
  </conditionalFormatting>
  <conditionalFormatting sqref="F121:F122">
    <cfRule type="cellIs" dxfId="27" priority="21" operator="lessThan">
      <formula>0</formula>
    </cfRule>
  </conditionalFormatting>
  <conditionalFormatting sqref="F133:F134">
    <cfRule type="cellIs" dxfId="26" priority="20" operator="lessThan">
      <formula>0</formula>
    </cfRule>
  </conditionalFormatting>
  <conditionalFormatting sqref="F145:F146">
    <cfRule type="cellIs" dxfId="25" priority="19" operator="lessThan">
      <formula>0</formula>
    </cfRule>
  </conditionalFormatting>
  <conditionalFormatting sqref="F157:F158">
    <cfRule type="cellIs" dxfId="24" priority="18" operator="lessThan">
      <formula>0</formula>
    </cfRule>
  </conditionalFormatting>
  <conditionalFormatting sqref="F245:F246">
    <cfRule type="cellIs" dxfId="23" priority="93" operator="lessThan">
      <formula>0</formula>
    </cfRule>
  </conditionalFormatting>
  <conditionalFormatting sqref="F250:F251">
    <cfRule type="cellIs" dxfId="22" priority="92" operator="lessThan">
      <formula>0</formula>
    </cfRule>
  </conditionalFormatting>
  <conditionalFormatting sqref="F255:F256">
    <cfRule type="cellIs" dxfId="21" priority="91" operator="lessThan">
      <formula>0</formula>
    </cfRule>
  </conditionalFormatting>
  <conditionalFormatting sqref="F279:F280">
    <cfRule type="cellIs" dxfId="20" priority="85" operator="lessThan">
      <formula>0</formula>
    </cfRule>
  </conditionalFormatting>
  <conditionalFormatting sqref="F284:F285">
    <cfRule type="cellIs" dxfId="19" priority="84" operator="lessThan">
      <formula>0</formula>
    </cfRule>
  </conditionalFormatting>
  <conditionalFormatting sqref="F289:F290">
    <cfRule type="cellIs" dxfId="18" priority="83" operator="lessThan">
      <formula>0</formula>
    </cfRule>
  </conditionalFormatting>
  <conditionalFormatting sqref="I29:I34">
    <cfRule type="cellIs" dxfId="17" priority="55" operator="lessThan">
      <formula>0</formula>
    </cfRule>
  </conditionalFormatting>
  <conditionalFormatting sqref="I55:I59">
    <cfRule type="cellIs" dxfId="16" priority="6" operator="lessThan">
      <formula>0</formula>
    </cfRule>
  </conditionalFormatting>
  <conditionalFormatting sqref="I63:I66">
    <cfRule type="cellIs" dxfId="15" priority="5" operator="lessThan">
      <formula>0</formula>
    </cfRule>
  </conditionalFormatting>
  <conditionalFormatting sqref="I70:I73">
    <cfRule type="cellIs" dxfId="14" priority="4" operator="lessThan">
      <formula>0</formula>
    </cfRule>
  </conditionalFormatting>
  <conditionalFormatting sqref="I77:I80">
    <cfRule type="cellIs" dxfId="13" priority="3" operator="lessThan">
      <formula>0</formula>
    </cfRule>
  </conditionalFormatting>
  <conditionalFormatting sqref="I84:I88">
    <cfRule type="cellIs" dxfId="12" priority="1" operator="lessThan">
      <formula>0</formula>
    </cfRule>
  </conditionalFormatting>
  <conditionalFormatting sqref="J147">
    <cfRule type="cellIs" dxfId="11" priority="24" operator="lessThan">
      <formula>0</formula>
    </cfRule>
  </conditionalFormatting>
  <conditionalFormatting sqref="L113:L116">
    <cfRule type="cellIs" dxfId="10" priority="11" operator="lessThan">
      <formula>0</formula>
    </cfRule>
  </conditionalFormatting>
  <conditionalFormatting sqref="L119">
    <cfRule type="cellIs" dxfId="9" priority="17" operator="lessThan">
      <formula>0</formula>
    </cfRule>
  </conditionalFormatting>
  <conditionalFormatting sqref="L125:L128">
    <cfRule type="cellIs" dxfId="8" priority="10" operator="lessThan">
      <formula>0</formula>
    </cfRule>
  </conditionalFormatting>
  <conditionalFormatting sqref="L131">
    <cfRule type="cellIs" dxfId="7" priority="16" operator="lessThan">
      <formula>0</formula>
    </cfRule>
  </conditionalFormatting>
  <conditionalFormatting sqref="L137:L140">
    <cfRule type="cellIs" dxfId="6" priority="9" operator="lessThan">
      <formula>0</formula>
    </cfRule>
  </conditionalFormatting>
  <conditionalFormatting sqref="L143">
    <cfRule type="cellIs" dxfId="5" priority="15" operator="lessThan">
      <formula>0</formula>
    </cfRule>
  </conditionalFormatting>
  <conditionalFormatting sqref="L149:L152">
    <cfRule type="cellIs" dxfId="4" priority="8" operator="lessThan">
      <formula>0</formula>
    </cfRule>
  </conditionalFormatting>
  <conditionalFormatting sqref="L155">
    <cfRule type="cellIs" dxfId="3" priority="14" operator="lessThan">
      <formula>0</formula>
    </cfRule>
  </conditionalFormatting>
  <conditionalFormatting sqref="L159:L160">
    <cfRule type="cellIs" dxfId="2" priority="12" operator="lessThan">
      <formula>0</formula>
    </cfRule>
  </conditionalFormatting>
  <conditionalFormatting sqref="L206:L210 L212 L214:L217 L219 J223:J225 J228:J230 J243:K243 J248:K248 J253:K253 J258:K262 J264:K264 J266:K269 J271:K271 J277:K277 J282:K282 J287:K287 J292:K296 J298:K298 J300:K303 J305:K305">
    <cfRule type="cellIs" dxfId="1" priority="102" operator="lessThan">
      <formula>0</formula>
    </cfRule>
  </conditionalFormatting>
  <conditionalFormatting sqref="N43:O43 I48:I51 M101 I119:J119 K180:L180 K184:L185 K188:L189 K194:L195 K198:L198 I199:L199 I205:L205">
    <cfRule type="cellIs" dxfId="0" priority="74" operator="lessThan">
      <formula>0</formula>
    </cfRule>
  </conditionalFormatting>
  <dataValidations count="6">
    <dataValidation type="list" allowBlank="1" showInputMessage="1" showErrorMessage="1" sqref="D272" xr:uid="{4E913AB3-F90B-4C35-BCE1-5DBB8FC05107}">
      <formula1>INDIRECT("Table_SourceData_PoultryMMSStage1[MMS]")</formula1>
    </dataValidation>
    <dataValidation type="list" allowBlank="1" showInputMessage="1" showErrorMessage="1" sqref="E220" xr:uid="{9FB53635-991F-44AA-A123-E8ABEF9EE0A6}">
      <formula1>INDIRECT("Table_SourceData_Dairy_ProductionSystemTemplates[Area]")</formula1>
    </dataValidation>
    <dataValidation type="list" allowBlank="1" showInputMessage="1" showErrorMessage="1" sqref="E244 E249 E254 E288 E283 E278 E132 E156 E144 E120 E39:E43" xr:uid="{00A4EA4C-90D3-4150-979D-4D71C7F37A31}">
      <formula1>"Yes, No"</formula1>
    </dataValidation>
    <dataValidation type="list" allowBlank="1" showInputMessage="1" showErrorMessage="1" sqref="E26" xr:uid="{7CE3F3B3-74F0-4147-9434-E417CDC75C10}">
      <formula1>INDIRECT("Table_SourceData_Swine_ProductionSystems[Production system]")</formula1>
    </dataValidation>
    <dataValidation type="list" allowBlank="1" showInputMessage="1" showErrorMessage="1" sqref="E92" xr:uid="{DBA884B0-B52E-420E-8FD2-21B082EB75E2}">
      <formula1>INDIRECT("Table_SourceData_Swine_IrrigationMethods[Irrigation method]")</formula1>
    </dataValidation>
    <dataValidation type="list" allowBlank="1" showInputMessage="1" showErrorMessage="1" sqref="E91" xr:uid="{B95E29DC-96D0-4475-A29E-3F3A3B60CEA1}">
      <formula1>INDIRECT("Table_SourceData_Swine_CropProdSystems[Production system]")</formula1>
    </dataValidation>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342"/>
  <sheetViews>
    <sheetView showGridLines="0" topLeftCell="A126" zoomScale="85" zoomScaleNormal="85" workbookViewId="0">
      <selection activeCell="O160" sqref="O160"/>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8" t="e" vm="1">
        <v>#VALUE!</v>
      </c>
      <c r="C1" s="8" t="s">
        <v>160</v>
      </c>
    </row>
    <row r="2" spans="1:21" s="9" customFormat="1" ht="20.100000000000001" customHeight="1" x14ac:dyDescent="0.25"/>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MMS_Swine_Methane_Equations.VEERG_4_5_1_1__4_FractionVolatileSolidsPrimarySystem_Title()</f>
        <v>Fraction of volatile solids in each primary system other than solid storage</v>
      </c>
    </row>
    <row r="6" spans="1:21" ht="20.100000000000001" customHeight="1" x14ac:dyDescent="0.25">
      <c r="A6" s="16"/>
      <c r="D6" s="5" t="str" cm="1">
        <f t="array" ref="D6">MMS_Swine_Methane_Equations.VEERG_4_5_1_1__4_FractionVolatileSolidsPrimarySystem_Source()</f>
        <v>VEERG 2026: 4.5.1.1, Equation (4)</v>
      </c>
    </row>
    <row r="7" spans="1:21" ht="20.100000000000001" customHeight="1" x14ac:dyDescent="0.25">
      <c r="A7" s="20" t="s">
        <v>3</v>
      </c>
      <c r="D7" s="13" t="s">
        <v>26</v>
      </c>
      <c r="E7" s="13" t="str" cm="1">
        <f t="array" aca="1" ref="E7" ca="1">Common_InputFunctions.Utility_DisplayFunctionName($E$37)</f>
        <v>=MMS_Swine_Methane_Equations.VEERG_4_5_1_1__4_FractionVolatileSolidsPrimarySystem</v>
      </c>
    </row>
    <row r="8" spans="1:21" ht="20.100000000000001" customHeight="1" x14ac:dyDescent="0.25">
      <c r="A8" s="17" t="str">
        <f>HYPERLINK("#'Input - Site'!A1", "Site")</f>
        <v>Site</v>
      </c>
      <c r="D8" s="55"/>
    </row>
    <row r="9" spans="1:21" ht="20.100000000000001" customHeight="1" x14ac:dyDescent="0.25">
      <c r="A9" s="17" t="str">
        <f>HYPERLINK("#'Input - Swine'!A1", "Swine")</f>
        <v>Swine</v>
      </c>
    </row>
    <row r="10" spans="1:21" ht="20.100000000000001" customHeight="1" x14ac:dyDescent="0.25">
      <c r="A10" s="17"/>
      <c r="D10" s="53" t="s">
        <v>29</v>
      </c>
      <c r="E10" s="1" t="str" cm="1">
        <f t="array" ref="E10">MMS_Swine_Methane_Equations.VEERG_4_5_1_1__4_FractionVolatileSolidsPrimarySystem_Variable()</f>
        <v>FVSjmT1</v>
      </c>
    </row>
    <row r="11" spans="1:21" ht="20.100000000000001" customHeight="1" x14ac:dyDescent="0.25">
      <c r="A11" s="19" t="s">
        <v>76</v>
      </c>
      <c r="D11" s="53" t="s">
        <v>19</v>
      </c>
      <c r="E11" s="54" t="str" cm="1">
        <f t="array" ref="E11">MMS_Swine_Methane_Equations.VEERG_4_5_1_1__4_FractionVolatileSolidsPrimarySystem_Unit()</f>
        <v>fraction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4">Common_InputFunctions.Utility_DisplayArguments_1_2(MMS_Swine_Methane_Equations.VEERG_4_5_1_1__4_FractionVolatileSolidsPrimarySystem_Arguments())</f>
        <v>MMSjmT1</v>
      </c>
      <c r="E13" s="58" t="str">
        <v>fraction of manure to each primary MMS for each class prior to solid separation</v>
      </c>
      <c r="F13" s="100"/>
      <c r="G13" s="57" t="str" cm="1">
        <f t="array" ref="G13:H14">Common_InputFunctions.Utility_DisplayArguments_3_4(MMS_Swine_Methane_Equations.VEERG_4_5_1_1__4_FractionVolatileSolidsPrimarySystem_Arguments())</f>
        <v>fraction</v>
      </c>
      <c r="H13" s="142" t="str">
        <v>Input</v>
      </c>
      <c r="I13" s="143" t="str" cm="1">
        <f t="array" aca="1" ref="I13" ca="1">HYPERLINK(Common_InputFunctions.Utility_SourceHyperlink($D$16), $D$16)</f>
        <v>Table_MMS_j_m_T-1</v>
      </c>
    </row>
    <row r="14" spans="1:21" ht="20.100000000000001" customHeight="1" x14ac:dyDescent="0.25">
      <c r="A14" s="17" t="str">
        <f>HYPERLINK("#'4.5.1.5-6 Atmos Dep'!A1", "4.5.1.5-6 Soil atm. deposition")</f>
        <v>4.5.1.5-6 Soil atm. deposition</v>
      </c>
      <c r="D14" s="57" t="str">
        <v>SSm</v>
      </c>
      <c r="E14" s="58" t="str">
        <v>fraction of volatile solids separated to solid storage for each MMS</v>
      </c>
      <c r="F14" s="100"/>
      <c r="G14" s="57" t="str">
        <v>fraction</v>
      </c>
      <c r="H14" s="142" t="str">
        <v>Input</v>
      </c>
      <c r="I14" s="143" t="str" cm="1">
        <f t="array" aca="1" ref="I14" ca="1">HYPERLINK(Common_InputFunctions.Utility_SourceHyperlink($D$25), $D$25)</f>
        <v>M1_Table_SS_m</v>
      </c>
    </row>
    <row r="15" spans="1:21" ht="20.100000000000001" customHeight="1" x14ac:dyDescent="0.25">
      <c r="A15" s="17" t="str">
        <f>HYPERLINK("#'4.5.1.7-8 Leaching and runoff'!A1", "4.5.1.7-8 Leaching &amp; runoff")</f>
        <v>4.5.1.7-8 Leaching &amp; runoff</v>
      </c>
    </row>
    <row r="16" spans="1:21" ht="20.100000000000001" customHeight="1" x14ac:dyDescent="0.25">
      <c r="A16" s="17" t="str">
        <f>HYPERLINK("#'4.5.1.9 Manure applied to soils'!A1", "4.5.1.9 Manure applied to soils")</f>
        <v>4.5.1.9 Manure applied to soils</v>
      </c>
      <c r="D16" s="121" t="s">
        <v>244</v>
      </c>
    </row>
    <row r="17" spans="1:19" ht="20.100000000000001" customHeight="1" x14ac:dyDescent="0.25">
      <c r="D17" s="122" t="s">
        <v>162</v>
      </c>
    </row>
    <row r="18" spans="1:19" ht="20.100000000000001" customHeight="1" x14ac:dyDescent="0.25">
      <c r="A18" s="18" t="s">
        <v>4</v>
      </c>
      <c r="D18" s="119" t="s">
        <v>163</v>
      </c>
      <c r="E18" s="119" t="s">
        <v>142</v>
      </c>
      <c r="F18" s="119" t="s">
        <v>143</v>
      </c>
      <c r="G18" s="119" t="s">
        <v>144</v>
      </c>
      <c r="H18" s="119" t="s">
        <v>206</v>
      </c>
    </row>
    <row r="19" spans="1:19" ht="20.100000000000001" customHeight="1" x14ac:dyDescent="0.25">
      <c r="A19" s="17" t="str">
        <f>HYPERLINK("#'Constants - Swine'!A1", "Constants - Swine")</f>
        <v>Constants - Swine</v>
      </c>
      <c r="D19" s="57" t="str">
        <f>'Input - Swine'!$D$29</f>
        <v>Anaerobic lagoon</v>
      </c>
      <c r="E19" s="52">
        <f>'Input - Swine'!E29</f>
        <v>0.15</v>
      </c>
      <c r="F19" s="52">
        <f>'Input - Swine'!F29</f>
        <v>0.15</v>
      </c>
      <c r="G19" s="52">
        <f>'Input - Swine'!G29</f>
        <v>0.15</v>
      </c>
      <c r="H19" s="52">
        <f>'Input - Swine'!H29</f>
        <v>0.15</v>
      </c>
      <c r="I19" s="2" t="str">
        <f>G13</f>
        <v>fraction</v>
      </c>
    </row>
    <row r="20" spans="1:19" ht="20.100000000000001" customHeight="1" x14ac:dyDescent="0.25">
      <c r="A20" s="17" t="str">
        <f>HYPERLINK("#'Constants - Livestock'!A1", "Constants - Livestock")</f>
        <v>Constants - Livestock</v>
      </c>
      <c r="D20" s="57" t="str">
        <f>'Input - Swine'!$D$30</f>
        <v>Drylot (feed pad)</v>
      </c>
      <c r="E20" s="52">
        <f>'Input - Swine'!E30</f>
        <v>0.15</v>
      </c>
      <c r="F20" s="52">
        <f>'Input - Swine'!F30</f>
        <v>0.15</v>
      </c>
      <c r="G20" s="52">
        <f>'Input - Swine'!G30</f>
        <v>0.15</v>
      </c>
      <c r="H20" s="52">
        <f>'Input - Swine'!H30</f>
        <v>0.15</v>
      </c>
      <c r="I20" s="2"/>
    </row>
    <row r="21" spans="1:19" ht="20.100000000000001" customHeight="1" x14ac:dyDescent="0.25">
      <c r="A21" s="17" t="str">
        <f>HYPERLINK("#'Constants - Common'!A1", "Constants - Common")</f>
        <v>Constants - Common</v>
      </c>
      <c r="D21" s="57" t="str">
        <f>'Input - Swine'!$D$31</f>
        <v>Digester / covered lagoons</v>
      </c>
      <c r="E21" s="52">
        <f>'Input - Swine'!E31</f>
        <v>0.15</v>
      </c>
      <c r="F21" s="52">
        <f>'Input - Swine'!F31</f>
        <v>0.15</v>
      </c>
      <c r="G21" s="52">
        <f>'Input - Swine'!G31</f>
        <v>0.15</v>
      </c>
      <c r="H21" s="52">
        <f>'Input - Swine'!H31</f>
        <v>0.15</v>
      </c>
      <c r="I21" s="2"/>
    </row>
    <row r="22" spans="1:19" ht="20.100000000000001" customHeight="1" x14ac:dyDescent="0.25">
      <c r="A22" s="17" t="str">
        <f>HYPERLINK("#'Acknowledgements'!A1", "Acknowledgements")</f>
        <v>Acknowledgements</v>
      </c>
      <c r="D22" s="57" t="str">
        <f>'Input - Swine'!$D$32</f>
        <v>Deep litter</v>
      </c>
      <c r="E22" s="52">
        <f>'Input - Swine'!E32</f>
        <v>0.15</v>
      </c>
      <c r="F22" s="52">
        <f>'Input - Swine'!F32</f>
        <v>0.15</v>
      </c>
      <c r="G22" s="52">
        <f>'Input - Swine'!G32</f>
        <v>0.15</v>
      </c>
      <c r="H22" s="52">
        <f>'Input - Swine'!H32</f>
        <v>0.15</v>
      </c>
      <c r="I22" s="2"/>
    </row>
    <row r="23" spans="1:19" ht="20.100000000000001" customHeight="1" x14ac:dyDescent="0.25">
      <c r="D23" s="57" t="str">
        <f>'Input - Swine'!$D$33</f>
        <v>Pit storage</v>
      </c>
      <c r="E23" s="52">
        <f>'Input - Swine'!E33</f>
        <v>0.15</v>
      </c>
      <c r="F23" s="52">
        <f>'Input - Swine'!F33</f>
        <v>0.15</v>
      </c>
      <c r="G23" s="52">
        <f>'Input - Swine'!G33</f>
        <v>0.15</v>
      </c>
      <c r="H23" s="52">
        <f>'Input - Swine'!H33</f>
        <v>0.15</v>
      </c>
      <c r="I23" s="2"/>
    </row>
    <row r="24" spans="1:19" ht="20.100000000000001" customHeight="1" x14ac:dyDescent="0.25">
      <c r="A24" s="17"/>
    </row>
    <row r="25" spans="1:19" ht="20.100000000000001" customHeight="1" x14ac:dyDescent="0.25">
      <c r="D25" s="121" t="s">
        <v>245</v>
      </c>
      <c r="N25" s="121" t="s">
        <v>207</v>
      </c>
    </row>
    <row r="26" spans="1:19" ht="20.100000000000001" customHeight="1" x14ac:dyDescent="0.25">
      <c r="D26" s="122" t="s">
        <v>194</v>
      </c>
      <c r="N26" s="122" t="s">
        <v>208</v>
      </c>
    </row>
    <row r="27" spans="1:19" ht="20.100000000000001" customHeight="1" x14ac:dyDescent="0.25">
      <c r="D27" s="119" t="s">
        <v>163</v>
      </c>
      <c r="E27" s="119" t="s">
        <v>142</v>
      </c>
      <c r="F27" s="119" t="s">
        <v>143</v>
      </c>
      <c r="G27" s="119" t="s">
        <v>144</v>
      </c>
      <c r="H27" s="119" t="s">
        <v>206</v>
      </c>
      <c r="N27" s="119" t="s">
        <v>163</v>
      </c>
      <c r="O27" s="119" t="s">
        <v>142</v>
      </c>
      <c r="P27" s="119" t="s">
        <v>143</v>
      </c>
      <c r="Q27" s="119" t="s">
        <v>144</v>
      </c>
      <c r="R27" s="119" t="s">
        <v>206</v>
      </c>
    </row>
    <row r="28" spans="1:19" ht="20.100000000000001" customHeight="1" x14ac:dyDescent="0.25">
      <c r="D28" s="57" t="str">
        <f>'Input - Swine'!$D$29</f>
        <v>Anaerobic lagoon</v>
      </c>
      <c r="E28" s="52">
        <f>'Input - Swine'!$F$39</f>
        <v>0.2</v>
      </c>
      <c r="F28" s="52">
        <f>'Input - Swine'!$F$39</f>
        <v>0.2</v>
      </c>
      <c r="G28" s="52">
        <f>'Input - Swine'!$F$39</f>
        <v>0.2</v>
      </c>
      <c r="H28" s="52">
        <f>'Input - Swine'!$F$39</f>
        <v>0.2</v>
      </c>
      <c r="I28" s="2" t="str">
        <f>G14</f>
        <v>fraction</v>
      </c>
      <c r="N28" s="57" t="str">
        <f>'Input - Swine'!$D$29</f>
        <v>Anaerobic lagoon</v>
      </c>
      <c r="O28" s="52">
        <f>'Input - Swine'!$G$39</f>
        <v>0.2</v>
      </c>
      <c r="P28" s="52">
        <f>'Input - Swine'!$G$39</f>
        <v>0.2</v>
      </c>
      <c r="Q28" s="52">
        <f>'Input - Swine'!$G$39</f>
        <v>0.2</v>
      </c>
      <c r="R28" s="52">
        <f>'Input - Swine'!$G$39</f>
        <v>0.2</v>
      </c>
      <c r="S28" s="2" t="str">
        <f>G14</f>
        <v>fraction</v>
      </c>
    </row>
    <row r="29" spans="1:19" ht="20.100000000000001" customHeight="1" x14ac:dyDescent="0.25">
      <c r="D29" s="57" t="str">
        <f>'Input - Swine'!$D$30</f>
        <v>Drylot (feed pad)</v>
      </c>
      <c r="E29" s="52">
        <f>'Input - Swine'!$F$40</f>
        <v>0.2</v>
      </c>
      <c r="F29" s="52">
        <f>'Input - Swine'!$F$40</f>
        <v>0.2</v>
      </c>
      <c r="G29" s="52">
        <f>'Input - Swine'!$F$40</f>
        <v>0.2</v>
      </c>
      <c r="H29" s="52">
        <f>'Input - Swine'!$F$40</f>
        <v>0.2</v>
      </c>
      <c r="I29" s="2"/>
      <c r="N29" s="57" t="str">
        <f>'Input - Swine'!$D$30</f>
        <v>Drylot (feed pad)</v>
      </c>
      <c r="O29" s="52">
        <f>'Input - Swine'!$G$40</f>
        <v>0.2</v>
      </c>
      <c r="P29" s="52">
        <f>'Input - Swine'!$G$40</f>
        <v>0.2</v>
      </c>
      <c r="Q29" s="52">
        <f>'Input - Swine'!$G$40</f>
        <v>0.2</v>
      </c>
      <c r="R29" s="52">
        <f>'Input - Swine'!$G$40</f>
        <v>0.2</v>
      </c>
      <c r="S29" s="2"/>
    </row>
    <row r="30" spans="1:19" ht="20.100000000000001" customHeight="1" x14ac:dyDescent="0.25">
      <c r="D30" s="57" t="str">
        <f>'Input - Swine'!$D$31</f>
        <v>Digester / covered lagoons</v>
      </c>
      <c r="E30" s="52">
        <f>'Input - Swine'!$F$41</f>
        <v>0.2</v>
      </c>
      <c r="F30" s="52">
        <f>'Input - Swine'!$F$41</f>
        <v>0.2</v>
      </c>
      <c r="G30" s="52">
        <f>'Input - Swine'!$F$41</f>
        <v>0.2</v>
      </c>
      <c r="H30" s="52">
        <f>'Input - Swine'!$F$41</f>
        <v>0.2</v>
      </c>
      <c r="I30" s="2"/>
      <c r="N30" s="57" t="str">
        <f>'Input - Swine'!$D$31</f>
        <v>Digester / covered lagoons</v>
      </c>
      <c r="O30" s="52">
        <f>'Input - Swine'!$G$41</f>
        <v>0.2</v>
      </c>
      <c r="P30" s="52">
        <f>'Input - Swine'!$G$41</f>
        <v>0.2</v>
      </c>
      <c r="Q30" s="52">
        <f>'Input - Swine'!$G$41</f>
        <v>0.2</v>
      </c>
      <c r="R30" s="52">
        <f>'Input - Swine'!$G$41</f>
        <v>0.2</v>
      </c>
      <c r="S30" s="2"/>
    </row>
    <row r="31" spans="1:19" ht="20.100000000000001" customHeight="1" x14ac:dyDescent="0.25">
      <c r="D31" s="57" t="str">
        <f>'Input - Swine'!$D$32</f>
        <v>Deep litter</v>
      </c>
      <c r="E31" s="52">
        <f>'Input - Swine'!$F$42</f>
        <v>0.2</v>
      </c>
      <c r="F31" s="52">
        <f>'Input - Swine'!$F$42</f>
        <v>0.2</v>
      </c>
      <c r="G31" s="52">
        <f>'Input - Swine'!$F$42</f>
        <v>0.2</v>
      </c>
      <c r="H31" s="52">
        <f>'Input - Swine'!$F$42</f>
        <v>0.2</v>
      </c>
      <c r="I31" s="2"/>
      <c r="N31" s="57" t="str">
        <f>'Input - Swine'!$D$32</f>
        <v>Deep litter</v>
      </c>
      <c r="O31" s="52">
        <f>'Input - Swine'!$G$42</f>
        <v>0.2</v>
      </c>
      <c r="P31" s="52">
        <f>'Input - Swine'!$G$42</f>
        <v>0.2</v>
      </c>
      <c r="Q31" s="52">
        <f>'Input - Swine'!$G$42</f>
        <v>0.2</v>
      </c>
      <c r="R31" s="52">
        <f>'Input - Swine'!$G$42</f>
        <v>0.2</v>
      </c>
      <c r="S31" s="2"/>
    </row>
    <row r="32" spans="1:19" ht="20.100000000000001" customHeight="1" x14ac:dyDescent="0.25">
      <c r="D32" s="57" t="str">
        <f>'Input - Swine'!$D$33</f>
        <v>Pit storage</v>
      </c>
      <c r="E32" s="52">
        <f>'Input - Swine'!$F$43</f>
        <v>0.2</v>
      </c>
      <c r="F32" s="52">
        <f>'Input - Swine'!$F$43</f>
        <v>0.2</v>
      </c>
      <c r="G32" s="52">
        <f>'Input - Swine'!$F$43</f>
        <v>0.2</v>
      </c>
      <c r="H32" s="52">
        <f>'Input - Swine'!$F$43</f>
        <v>0.2</v>
      </c>
      <c r="I32" s="2"/>
      <c r="N32" s="57" t="str">
        <f>'Input - Swine'!$D$33</f>
        <v>Pit storage</v>
      </c>
      <c r="O32" s="52">
        <f>'Input - Swine'!$G$43</f>
        <v>0.2</v>
      </c>
      <c r="P32" s="52">
        <f>'Input - Swine'!$G$43</f>
        <v>0.2</v>
      </c>
      <c r="Q32" s="52">
        <f>'Input - Swine'!$G$43</f>
        <v>0.2</v>
      </c>
      <c r="R32" s="52">
        <f>'Input - Swine'!$G$43</f>
        <v>0.2</v>
      </c>
      <c r="S32" s="2"/>
    </row>
    <row r="33" spans="3:21" ht="20.100000000000001" customHeight="1" x14ac:dyDescent="0.25"/>
    <row r="34" spans="3:21" ht="20.100000000000001" customHeight="1" x14ac:dyDescent="0.25">
      <c r="D34" s="121" t="s">
        <v>242</v>
      </c>
      <c r="N34" s="121" t="s">
        <v>243</v>
      </c>
    </row>
    <row r="35" spans="3:21" ht="20.100000000000001" customHeight="1" x14ac:dyDescent="0.25">
      <c r="D35" s="122" t="s">
        <v>195</v>
      </c>
      <c r="N35" s="122" t="s">
        <v>209</v>
      </c>
    </row>
    <row r="36" spans="3:21" ht="20.100000000000001" customHeight="1" x14ac:dyDescent="0.25">
      <c r="D36" s="51" t="s">
        <v>163</v>
      </c>
      <c r="E36" s="51" t="s">
        <v>142</v>
      </c>
      <c r="F36" s="51" t="s">
        <v>143</v>
      </c>
      <c r="G36" s="51" t="s">
        <v>144</v>
      </c>
      <c r="H36" s="51" t="s">
        <v>206</v>
      </c>
      <c r="N36" s="51" t="s">
        <v>163</v>
      </c>
      <c r="O36" s="51" t="s">
        <v>142</v>
      </c>
      <c r="P36" s="51" t="s">
        <v>143</v>
      </c>
      <c r="Q36" s="51" t="s">
        <v>144</v>
      </c>
      <c r="R36" s="51" t="s">
        <v>206</v>
      </c>
    </row>
    <row r="37" spans="3:21" ht="20.100000000000001" customHeight="1" x14ac:dyDescent="0.25">
      <c r="D37" s="57" t="str">
        <f>'Input - Swine'!$D$29</f>
        <v>Anaerobic lagoon</v>
      </c>
      <c r="E37" s="52" cm="1">
        <f t="array" ref="E37">MMS_Swine_Methane_Equations.VEERG_4_5_1_1__4_FractionVolatileSolidsPrimarySystem(E19,E28)</f>
        <v>0.12</v>
      </c>
      <c r="F37" s="52" cm="1">
        <f t="array" ref="F37">MMS_Swine_Methane_Equations.VEERG_4_5_1_1__4_FractionVolatileSolidsPrimarySystem(F19,F28)</f>
        <v>0.12</v>
      </c>
      <c r="G37" s="52" cm="1">
        <f t="array" ref="G37">MMS_Swine_Methane_Equations.VEERG_4_5_1_1__4_FractionVolatileSolidsPrimarySystem(G19,G28)</f>
        <v>0.12</v>
      </c>
      <c r="H37" s="52" cm="1">
        <f t="array" ref="H37">MMS_Swine_Methane_Equations.VEERG_4_5_1_1__4_FractionVolatileSolidsPrimarySystem(H19,H28)</f>
        <v>0.12</v>
      </c>
      <c r="I37" s="2" t="str">
        <f>$E$11</f>
        <v>fraction</v>
      </c>
      <c r="N37" s="57" t="str">
        <f>'Input - Swine'!$D$29</f>
        <v>Anaerobic lagoon</v>
      </c>
      <c r="O37" s="52" cm="1">
        <f t="array" ref="O37">MMS_Swine_Methane_Equations.VEERG_4_5_1_1__4_FractionVolatileSolidsPrimarySystem(E19,O28)</f>
        <v>0.12</v>
      </c>
      <c r="P37" s="52" cm="1">
        <f t="array" ref="P37">MMS_Swine_Methane_Equations.VEERG_4_5_1_1__4_FractionVolatileSolidsPrimarySystem(F19,P28)</f>
        <v>0.12</v>
      </c>
      <c r="Q37" s="52" cm="1">
        <f t="array" ref="Q37">MMS_Swine_Methane_Equations.VEERG_4_5_1_1__4_FractionVolatileSolidsPrimarySystem(G19,Q28)</f>
        <v>0.12</v>
      </c>
      <c r="R37" s="52" cm="1">
        <f t="array" ref="R37">MMS_Swine_Methane_Equations.VEERG_4_5_1_1__4_FractionVolatileSolidsPrimarySystem(H19,R28)</f>
        <v>0.12</v>
      </c>
      <c r="S37" s="2" t="str">
        <f>$E$11</f>
        <v>fraction</v>
      </c>
    </row>
    <row r="38" spans="3:21" ht="20.100000000000001" customHeight="1" x14ac:dyDescent="0.25">
      <c r="D38" s="57" t="str">
        <f>'Input - Swine'!$D$30</f>
        <v>Drylot (feed pad)</v>
      </c>
      <c r="E38" s="52" cm="1">
        <f t="array" ref="E38">MMS_Swine_Methane_Equations.VEERG_4_5_1_1__4_FractionVolatileSolidsPrimarySystem(E20,E29)</f>
        <v>0.12</v>
      </c>
      <c r="F38" s="52" cm="1">
        <f t="array" ref="F38">MMS_Swine_Methane_Equations.VEERG_4_5_1_1__4_FractionVolatileSolidsPrimarySystem(F20,F29)</f>
        <v>0.12</v>
      </c>
      <c r="G38" s="52" cm="1">
        <f t="array" ref="G38">MMS_Swine_Methane_Equations.VEERG_4_5_1_1__4_FractionVolatileSolidsPrimarySystem(G20,G29)</f>
        <v>0.12</v>
      </c>
      <c r="H38" s="52" cm="1">
        <f t="array" ref="H38">MMS_Swine_Methane_Equations.VEERG_4_5_1_1__4_FractionVolatileSolidsPrimarySystem(H20,H29)</f>
        <v>0.12</v>
      </c>
      <c r="I38" s="2"/>
      <c r="N38" s="57" t="str">
        <f>'Input - Swine'!$D$30</f>
        <v>Drylot (feed pad)</v>
      </c>
      <c r="O38" s="52" cm="1">
        <f t="array" ref="O38">MMS_Swine_Methane_Equations.VEERG_4_5_1_1__4_FractionVolatileSolidsPrimarySystem(E20,O29)</f>
        <v>0.12</v>
      </c>
      <c r="P38" s="52" cm="1">
        <f t="array" ref="P38">MMS_Swine_Methane_Equations.VEERG_4_5_1_1__4_FractionVolatileSolidsPrimarySystem(F20,P29)</f>
        <v>0.12</v>
      </c>
      <c r="Q38" s="52" cm="1">
        <f t="array" ref="Q38">MMS_Swine_Methane_Equations.VEERG_4_5_1_1__4_FractionVolatileSolidsPrimarySystem(G20,Q29)</f>
        <v>0.12</v>
      </c>
      <c r="R38" s="52" cm="1">
        <f t="array" ref="R38">MMS_Swine_Methane_Equations.VEERG_4_5_1_1__4_FractionVolatileSolidsPrimarySystem(H20,R29)</f>
        <v>0.12</v>
      </c>
      <c r="S38" s="2"/>
    </row>
    <row r="39" spans="3:21" ht="20.100000000000001" customHeight="1" x14ac:dyDescent="0.25">
      <c r="D39" s="57" t="str">
        <f>'Input - Swine'!$D$31</f>
        <v>Digester / covered lagoons</v>
      </c>
      <c r="E39" s="52" cm="1">
        <f t="array" ref="E39">MMS_Swine_Methane_Equations.VEERG_4_5_1_1__4_FractionVolatileSolidsPrimarySystem(E21,E30)</f>
        <v>0.12</v>
      </c>
      <c r="F39" s="52" cm="1">
        <f t="array" ref="F39">MMS_Swine_Methane_Equations.VEERG_4_5_1_1__4_FractionVolatileSolidsPrimarySystem(F21,F30)</f>
        <v>0.12</v>
      </c>
      <c r="G39" s="52" cm="1">
        <f t="array" ref="G39">MMS_Swine_Methane_Equations.VEERG_4_5_1_1__4_FractionVolatileSolidsPrimarySystem(G21,G30)</f>
        <v>0.12</v>
      </c>
      <c r="H39" s="52" cm="1">
        <f t="array" ref="H39">MMS_Swine_Methane_Equations.VEERG_4_5_1_1__4_FractionVolatileSolidsPrimarySystem(H21,H30)</f>
        <v>0.12</v>
      </c>
      <c r="I39" s="2"/>
      <c r="N39" s="57" t="str">
        <f>'Input - Swine'!$D$31</f>
        <v>Digester / covered lagoons</v>
      </c>
      <c r="O39" s="52" cm="1">
        <f t="array" ref="O39">MMS_Swine_Methane_Equations.VEERG_4_5_1_1__4_FractionVolatileSolidsPrimarySystem(E21,O30)</f>
        <v>0.12</v>
      </c>
      <c r="P39" s="52" cm="1">
        <f t="array" ref="P39">MMS_Swine_Methane_Equations.VEERG_4_5_1_1__4_FractionVolatileSolidsPrimarySystem(F21,P30)</f>
        <v>0.12</v>
      </c>
      <c r="Q39" s="52" cm="1">
        <f t="array" ref="Q39">MMS_Swine_Methane_Equations.VEERG_4_5_1_1__4_FractionVolatileSolidsPrimarySystem(G21,Q30)</f>
        <v>0.12</v>
      </c>
      <c r="R39" s="52" cm="1">
        <f t="array" ref="R39">MMS_Swine_Methane_Equations.VEERG_4_5_1_1__4_FractionVolatileSolidsPrimarySystem(H21,R30)</f>
        <v>0.12</v>
      </c>
      <c r="S39" s="2"/>
    </row>
    <row r="40" spans="3:21" ht="20.100000000000001" customHeight="1" x14ac:dyDescent="0.25">
      <c r="D40" s="57" t="str">
        <f>'Input - Swine'!$D$32</f>
        <v>Deep litter</v>
      </c>
      <c r="E40" s="52" cm="1">
        <f t="array" ref="E40">MMS_Swine_Methane_Equations.VEERG_4_5_1_1__4_FractionVolatileSolidsPrimarySystem(E22,E31)</f>
        <v>0.12</v>
      </c>
      <c r="F40" s="52" cm="1">
        <f t="array" ref="F40">MMS_Swine_Methane_Equations.VEERG_4_5_1_1__4_FractionVolatileSolidsPrimarySystem(F22,F31)</f>
        <v>0.12</v>
      </c>
      <c r="G40" s="52" cm="1">
        <f t="array" ref="G40">MMS_Swine_Methane_Equations.VEERG_4_5_1_1__4_FractionVolatileSolidsPrimarySystem(G22,G31)</f>
        <v>0.12</v>
      </c>
      <c r="H40" s="52" cm="1">
        <f t="array" ref="H40">MMS_Swine_Methane_Equations.VEERG_4_5_1_1__4_FractionVolatileSolidsPrimarySystem(H22,H31)</f>
        <v>0.12</v>
      </c>
      <c r="I40" s="2"/>
      <c r="N40" s="57" t="str">
        <f>'Input - Swine'!$D$32</f>
        <v>Deep litter</v>
      </c>
      <c r="O40" s="52" cm="1">
        <f t="array" ref="O40">MMS_Swine_Methane_Equations.VEERG_4_5_1_1__4_FractionVolatileSolidsPrimarySystem(E22,O31)</f>
        <v>0.12</v>
      </c>
      <c r="P40" s="52" cm="1">
        <f t="array" ref="P40">MMS_Swine_Methane_Equations.VEERG_4_5_1_1__4_FractionVolatileSolidsPrimarySystem(F22,P31)</f>
        <v>0.12</v>
      </c>
      <c r="Q40" s="52" cm="1">
        <f t="array" ref="Q40">MMS_Swine_Methane_Equations.VEERG_4_5_1_1__4_FractionVolatileSolidsPrimarySystem(G22,Q31)</f>
        <v>0.12</v>
      </c>
      <c r="R40" s="52" cm="1">
        <f t="array" ref="R40">MMS_Swine_Methane_Equations.VEERG_4_5_1_1__4_FractionVolatileSolidsPrimarySystem(H22,R31)</f>
        <v>0.12</v>
      </c>
      <c r="S40" s="2"/>
    </row>
    <row r="41" spans="3:21" ht="20.100000000000001" customHeight="1" x14ac:dyDescent="0.25">
      <c r="D41" s="57" t="str">
        <f>'Input - Swine'!$D$33</f>
        <v>Pit storage</v>
      </c>
      <c r="E41" s="52" cm="1">
        <f t="array" ref="E41">MMS_Swine_Methane_Equations.VEERG_4_5_1_1__4_FractionVolatileSolidsPrimarySystem(E23,E32)</f>
        <v>0.12</v>
      </c>
      <c r="F41" s="52" cm="1">
        <f t="array" ref="F41">MMS_Swine_Methane_Equations.VEERG_4_5_1_1__4_FractionVolatileSolidsPrimarySystem(F23,F32)</f>
        <v>0.12</v>
      </c>
      <c r="G41" s="52" cm="1">
        <f t="array" ref="G41">MMS_Swine_Methane_Equations.VEERG_4_5_1_1__4_FractionVolatileSolidsPrimarySystem(G23,G32)</f>
        <v>0.12</v>
      </c>
      <c r="H41" s="52" cm="1">
        <f t="array" ref="H41">MMS_Swine_Methane_Equations.VEERG_4_5_1_1__4_FractionVolatileSolidsPrimarySystem(H23,H32)</f>
        <v>0.12</v>
      </c>
      <c r="I41" s="2"/>
      <c r="N41" s="57" t="str">
        <f>'Input - Swine'!$D$33</f>
        <v>Pit storage</v>
      </c>
      <c r="O41" s="52" cm="1">
        <f t="array" ref="O41">MMS_Swine_Methane_Equations.VEERG_4_5_1_1__4_FractionVolatileSolidsPrimarySystem(E23,O32)</f>
        <v>0.12</v>
      </c>
      <c r="P41" s="52" cm="1">
        <f t="array" ref="P41">MMS_Swine_Methane_Equations.VEERG_4_5_1_1__4_FractionVolatileSolidsPrimarySystem(F23,P32)</f>
        <v>0.12</v>
      </c>
      <c r="Q41" s="52" cm="1">
        <f t="array" ref="Q41">MMS_Swine_Methane_Equations.VEERG_4_5_1_1__4_FractionVolatileSolidsPrimarySystem(G23,Q32)</f>
        <v>0.12</v>
      </c>
      <c r="R41" s="52" cm="1">
        <f t="array" ref="R41">MMS_Swine_Methane_Equations.VEERG_4_5_1_1__4_FractionVolatileSolidsPrimarySystem(H23,R32)</f>
        <v>0.12</v>
      </c>
      <c r="S41" s="2"/>
    </row>
    <row r="42" spans="3:21" ht="20.100000000000001" customHeight="1" x14ac:dyDescent="0.25"/>
    <row r="43" spans="3:21" ht="20.100000000000001" customHeight="1" x14ac:dyDescent="0.25"/>
    <row r="44" spans="3:21" ht="20.100000000000001" customHeight="1" x14ac:dyDescent="0.25">
      <c r="C44" s="45"/>
      <c r="D44" s="45"/>
      <c r="E44" s="45"/>
      <c r="F44" s="45"/>
      <c r="G44" s="45"/>
      <c r="H44" s="45"/>
      <c r="I44" s="45"/>
      <c r="J44" s="45"/>
      <c r="K44" s="45"/>
      <c r="M44" s="45"/>
      <c r="N44" s="45"/>
      <c r="O44" s="45"/>
      <c r="P44" s="45"/>
      <c r="Q44" s="45"/>
      <c r="R44" s="45"/>
      <c r="S44" s="45"/>
      <c r="T44" s="45"/>
      <c r="U44" s="45"/>
    </row>
    <row r="45" spans="3:21" ht="20.100000000000001" customHeight="1" x14ac:dyDescent="0.25">
      <c r="D45" s="6" t="str" cm="1">
        <f t="array" ref="D45">MMS_Swine_Methane_Equations.VEERG_4_5_1_1__5_FractionVolatileSolidsSolidStorage_Title()</f>
        <v>Fraction of volatile solids in solid storage</v>
      </c>
    </row>
    <row r="46" spans="3:21" ht="20.100000000000001" customHeight="1" x14ac:dyDescent="0.25">
      <c r="D46" s="5" t="str" cm="1">
        <f t="array" ref="D46">MMS_Swine_Methane_Equations.VEERG_4_5_1_1__5_FractionVolatileSolidsSolidStorage_Source()</f>
        <v>VEERG 2026: 4.5.1.1, Equation (5)</v>
      </c>
    </row>
    <row r="47" spans="3:21" ht="20.100000000000001" customHeight="1" x14ac:dyDescent="0.25">
      <c r="D47" s="13" t="s">
        <v>26</v>
      </c>
      <c r="E47" s="13" t="str" cm="1">
        <f t="array" aca="1" ref="E47" ca="1">Common_InputFunctions.Utility_DisplayFunctionName($E$68)</f>
        <v>=MMS_Swine_Methane_Equations.VEERG_4_5_1_1__5_FractionVolatileSolidsSolidStorageVariation</v>
      </c>
    </row>
    <row r="48" spans="3:21" ht="20.100000000000001" customHeight="1" x14ac:dyDescent="0.25">
      <c r="D48" s="55" t="str" cm="1">
        <f t="array" ref="D48">MMS_Swine_Methane_Equations.VEERG_4_5_1_1__5_FractionVolatileSolidsSolidStorage_Variation()</f>
        <v>VARIATION ON SOURCE: Split equation for MMSm=1,7,9 into separate items to allow for calculation</v>
      </c>
    </row>
    <row r="49" spans="4:9" ht="20.100000000000001" customHeight="1" x14ac:dyDescent="0.25"/>
    <row r="50" spans="4:9" ht="20.100000000000001" customHeight="1" x14ac:dyDescent="0.25"/>
    <row r="51" spans="4:9" ht="20.100000000000001" customHeight="1" x14ac:dyDescent="0.25">
      <c r="D51" s="6"/>
      <c r="H51" s="55"/>
    </row>
    <row r="52" spans="4:9" ht="20.100000000000001" customHeight="1" x14ac:dyDescent="0.25"/>
    <row r="53" spans="4:9" ht="20.100000000000001" customHeight="1" x14ac:dyDescent="0.25">
      <c r="D53" s="53" t="s">
        <v>29</v>
      </c>
      <c r="E53" s="1" t="str" cm="1">
        <f t="array" ref="E53">MMS_Swine_Methane_Equations.VEERG_4_5_1_1__5_FractionVolatileSolidsSolidStorage_Variable()</f>
        <v>FVSjm4T1</v>
      </c>
    </row>
    <row r="54" spans="4:9" ht="20.100000000000001" customHeight="1" x14ac:dyDescent="0.25">
      <c r="D54" s="53" t="s">
        <v>19</v>
      </c>
      <c r="E54" s="54" t="str" cm="1">
        <f t="array" ref="E54">MMS_Swine_Methane_Equations.VEERG_4_5_1_1__5_FractionVolatileSolidsSolidStorage_Unit()</f>
        <v>fraction</v>
      </c>
    </row>
    <row r="55" spans="4:9" ht="20.100000000000001" customHeight="1" x14ac:dyDescent="0.25"/>
    <row r="56" spans="4:9" ht="20.100000000000001" customHeight="1" x14ac:dyDescent="0.25">
      <c r="D56" s="108" t="str" cm="1">
        <f t="array" ref="D56:E58">Common_InputFunctions.Utility_DisplayArguments_1_2(MMS_Swine_Methane_Equations.VEERG_4_5_1_1__5_FractionVolatileSolidsSolidStorage_Arguments())</f>
        <v>MMSjm4T1</v>
      </c>
      <c r="E56" s="110" t="str">
        <v>fraction of manure in solid storage primary system</v>
      </c>
      <c r="F56" s="109"/>
      <c r="G56" s="108" t="str" cm="1">
        <f t="array" ref="G56:H58">Common_InputFunctions.Utility_DisplayArguments_3_4(MMS_Swine_Methane_Equations.VEERG_4_5_1_1__5_FractionVolatileSolidsSolidStorage_Arguments())</f>
        <v>fraction</v>
      </c>
      <c r="H56" s="140" t="str">
        <v>Input</v>
      </c>
      <c r="I56" s="143" t="str" cm="1">
        <f t="array" aca="1" ref="I56" ca="1">HYPERLINK(Common_InputFunctions.Utility_SourceHyperlink($D$60), $D$60)</f>
        <v>Table_MMS_j_m-4_T-1</v>
      </c>
    </row>
    <row r="57" spans="4:9" ht="20.100000000000001" customHeight="1" x14ac:dyDescent="0.25">
      <c r="D57" s="108" t="str">
        <v>MMSjm179T1</v>
      </c>
      <c r="E57" s="110" t="str">
        <v>fraction of manure in MMS 1, 7, and 9 in treatment stage 1</v>
      </c>
      <c r="F57" s="109"/>
      <c r="G57" s="108" t="str">
        <v>fraction</v>
      </c>
      <c r="H57" s="140" t="str">
        <v>Input</v>
      </c>
      <c r="I57" s="143" t="str" cm="1">
        <f t="array" aca="1" ref="I57" ca="1">HYPERLINK(Common_InputFunctions.Utility_SourceHyperlink($D$16), $D$16)</f>
        <v>Table_MMS_j_m_T-1</v>
      </c>
    </row>
    <row r="58" spans="4:9" ht="20.100000000000001" customHeight="1" x14ac:dyDescent="0.25">
      <c r="D58" s="108" t="str">
        <v>SSm</v>
      </c>
      <c r="E58" s="110" t="str">
        <v>fraction of volatile solids separated to solid storage for each MMS</v>
      </c>
      <c r="F58" s="109"/>
      <c r="G58" s="108" t="str">
        <v>fraction</v>
      </c>
      <c r="H58" s="140" t="str">
        <v>Input</v>
      </c>
      <c r="I58" s="143" t="str" cm="1">
        <f t="array" aca="1" ref="I58" ca="1">HYPERLINK(Common_InputFunctions.Utility_SourceHyperlink($D$25), $D$25)</f>
        <v>M1_Table_SS_m</v>
      </c>
    </row>
    <row r="59" spans="4:9" ht="20.100000000000001" customHeight="1" x14ac:dyDescent="0.25"/>
    <row r="60" spans="4:9" ht="20.100000000000001" customHeight="1" x14ac:dyDescent="0.25">
      <c r="D60" s="121" t="s">
        <v>164</v>
      </c>
    </row>
    <row r="61" spans="4:9" ht="20.100000000000001" customHeight="1" x14ac:dyDescent="0.25">
      <c r="D61" s="122" t="s">
        <v>165</v>
      </c>
    </row>
    <row r="62" spans="4:9" ht="20.100000000000001" customHeight="1" x14ac:dyDescent="0.25">
      <c r="D62" s="119" t="s">
        <v>163</v>
      </c>
      <c r="E62" s="119" t="s">
        <v>142</v>
      </c>
      <c r="F62" s="119" t="s">
        <v>143</v>
      </c>
      <c r="G62" s="119" t="s">
        <v>144</v>
      </c>
      <c r="H62" s="119" t="s">
        <v>206</v>
      </c>
    </row>
    <row r="63" spans="4:9" ht="20.100000000000001" customHeight="1" x14ac:dyDescent="0.25">
      <c r="D63" s="57" t="str">
        <f>'Input - Swine'!$D$34</f>
        <v>Solid storage</v>
      </c>
      <c r="E63" s="52">
        <f>'Input - Swine'!E34</f>
        <v>0.25</v>
      </c>
      <c r="F63" s="52">
        <f>'Input - Swine'!F34</f>
        <v>0.25</v>
      </c>
      <c r="G63" s="52">
        <f>'Input - Swine'!G34</f>
        <v>0.25</v>
      </c>
      <c r="H63" s="52">
        <f>'Input - Swine'!H34</f>
        <v>0.25</v>
      </c>
      <c r="I63" s="2" t="str">
        <f>$G$56</f>
        <v>fraction</v>
      </c>
    </row>
    <row r="64" spans="4:9" ht="20.100000000000001" customHeight="1" x14ac:dyDescent="0.25"/>
    <row r="65" spans="1:21" ht="20.100000000000001" customHeight="1" x14ac:dyDescent="0.25">
      <c r="D65" s="121" t="s">
        <v>196</v>
      </c>
      <c r="N65" s="121" t="s">
        <v>210</v>
      </c>
    </row>
    <row r="66" spans="1:21" ht="20.100000000000001" customHeight="1" x14ac:dyDescent="0.25">
      <c r="D66" s="122" t="s">
        <v>197</v>
      </c>
      <c r="N66" s="122" t="s">
        <v>211</v>
      </c>
    </row>
    <row r="67" spans="1:21" ht="20.100000000000001" customHeight="1" x14ac:dyDescent="0.25">
      <c r="D67" s="51" t="s">
        <v>163</v>
      </c>
      <c r="E67" s="51" t="s">
        <v>142</v>
      </c>
      <c r="F67" s="51" t="s">
        <v>143</v>
      </c>
      <c r="G67" s="51" t="s">
        <v>144</v>
      </c>
      <c r="H67" s="51" t="s">
        <v>206</v>
      </c>
      <c r="N67" s="51" t="s">
        <v>163</v>
      </c>
      <c r="O67" s="51" t="s">
        <v>142</v>
      </c>
      <c r="P67" s="51" t="s">
        <v>143</v>
      </c>
      <c r="Q67" s="51" t="s">
        <v>144</v>
      </c>
      <c r="R67" s="51" t="s">
        <v>206</v>
      </c>
    </row>
    <row r="68" spans="1:21" ht="20.100000000000001" customHeight="1" x14ac:dyDescent="0.25">
      <c r="D68" s="57" t="str">
        <f>'Input - Swine'!$D$34</f>
        <v>Solid storage</v>
      </c>
      <c r="E68" s="52" cm="1">
        <f t="array" ref="E68">MMS_Swine_Methane_Equations.VEERG_4_5_1_1__5_FractionVolatileSolidsSolidStorageVariation(E63,E19,E20,E21,E22,E23,E28,E29,E30,E31,E32)</f>
        <v>0.40000000000000013</v>
      </c>
      <c r="F68" s="52" cm="1">
        <f t="array" ref="F68">MMS_Swine_Methane_Equations.VEERG_4_5_1_1__5_FractionVolatileSolidsSolidStorageVariation(F63,F19,F20,F21,F22,F23,F28,F29,F30,F31,F32)</f>
        <v>0.40000000000000013</v>
      </c>
      <c r="G68" s="52" cm="1">
        <f t="array" ref="G68">MMS_Swine_Methane_Equations.VEERG_4_5_1_1__5_FractionVolatileSolidsSolidStorageVariation(G63,G19,G20,G21,G22,G23,G28,G29,G30,G31,G32)</f>
        <v>0.40000000000000013</v>
      </c>
      <c r="H68" s="52" cm="1">
        <f t="array" ref="H68">MMS_Swine_Methane_Equations.VEERG_4_5_1_1__5_FractionVolatileSolidsSolidStorageVariation(H63,H19,H20,H21,H22,H23,H28,H29,H30,H31,H32)</f>
        <v>0.40000000000000013</v>
      </c>
      <c r="I68" s="2" t="str">
        <f>$E$54</f>
        <v>fraction</v>
      </c>
      <c r="N68" s="57" t="str">
        <f>'Input - Swine'!$D$34</f>
        <v>Solid storage</v>
      </c>
      <c r="O68" s="52" cm="1">
        <f t="array" ref="O68">MMS_Swine_Methane_Equations.VEERG_4_5_1_1__5_FractionVolatileSolidsSolidStorageVariation(E63,E19,E20,E21,E22,E23,O28,O29,O30,O31,O32)</f>
        <v>0.40000000000000013</v>
      </c>
      <c r="P68" s="52" cm="1">
        <f t="array" ref="P68">MMS_Swine_Methane_Equations.VEERG_4_5_1_1__5_FractionVolatileSolidsSolidStorageVariation(F63,F19,F20,F21,F22,F23,P28,P29,P30,P31,P32)</f>
        <v>0.40000000000000013</v>
      </c>
      <c r="Q68" s="52" cm="1">
        <f t="array" ref="Q68">MMS_Swine_Methane_Equations.VEERG_4_5_1_1__5_FractionVolatileSolidsSolidStorageVariation(G63,G19,G20,G21,G22,G23,Q28,Q29,Q30,Q31,Q32)</f>
        <v>0.40000000000000013</v>
      </c>
      <c r="R68" s="52" cm="1">
        <f t="array" ref="R68">MMS_Swine_Methane_Equations.VEERG_4_5_1_1__5_FractionVolatileSolidsSolidStorageVariation(H63,H19,H20,H21,H22,H23,R28,R29,R30,R31,R32)</f>
        <v>0.40000000000000013</v>
      </c>
      <c r="S68" s="2" t="str">
        <f>$E$54</f>
        <v>fraction</v>
      </c>
    </row>
    <row r="69" spans="1:21" ht="20.100000000000001" customHeight="1" x14ac:dyDescent="0.25"/>
    <row r="70" spans="1:21" ht="20.100000000000001" customHeight="1" x14ac:dyDescent="0.25">
      <c r="A70" s="150" t="str">
        <f>HYPERLINK("#A1", "▲ Back to top")</f>
        <v>▲ Back to top</v>
      </c>
    </row>
    <row r="71" spans="1:21" ht="20.100000000000001" customHeight="1" x14ac:dyDescent="0.25">
      <c r="C71" s="45"/>
      <c r="D71" s="45"/>
      <c r="E71" s="45"/>
      <c r="F71" s="45"/>
      <c r="G71" s="45"/>
      <c r="H71" s="45"/>
      <c r="I71" s="45"/>
      <c r="J71" s="45"/>
      <c r="K71" s="45"/>
      <c r="M71" s="45"/>
      <c r="N71" s="45"/>
      <c r="O71" s="45"/>
      <c r="P71" s="45"/>
      <c r="Q71" s="45"/>
      <c r="R71" s="45"/>
      <c r="S71" s="45"/>
      <c r="T71" s="45"/>
      <c r="U71" s="45"/>
    </row>
    <row r="72" spans="1:21" ht="20.100000000000001" customHeight="1" x14ac:dyDescent="0.25">
      <c r="D72" s="6" t="str" cm="1">
        <f t="array" ref="D72">MMS_Swine_Methane_Equations.VEERG_4_5_1_1__7_VolatileSolidsTransferredStage2_Title()</f>
        <v>Volatile solids transferred to treatment stage 2 MMS</v>
      </c>
    </row>
    <row r="73" spans="1:21" ht="20.100000000000001" customHeight="1" x14ac:dyDescent="0.25">
      <c r="D73" s="5" t="str" cm="1">
        <f t="array" ref="D73">MMS_Swine_Methane_Equations.VEERG_4_5_1_1__7_VolatileSolidsTransferredStage2_Source()</f>
        <v>VEERG 2026: 4.5.1.1, Equation (7)</v>
      </c>
    </row>
    <row r="74" spans="1:21" ht="20.100000000000001" customHeight="1" x14ac:dyDescent="0.25">
      <c r="D74" s="13" t="s">
        <v>26</v>
      </c>
      <c r="E74" s="13" t="str" cm="1">
        <f t="array" aca="1" ref="E74" ca="1">Common_InputFunctions.Utility_DisplayFunctionName(E103)</f>
        <v>=MMS_Swine_Methane_Equations.VEERG_4_5_1_1__7_VolatileSolidsTransferredStage2</v>
      </c>
    </row>
    <row r="75" spans="1:21" ht="20.100000000000001" customHeight="1" x14ac:dyDescent="0.25"/>
    <row r="76" spans="1:21" ht="20.100000000000001" customHeight="1" x14ac:dyDescent="0.25"/>
    <row r="77" spans="1:21" ht="20.100000000000001" customHeight="1" x14ac:dyDescent="0.25"/>
    <row r="78" spans="1:21" ht="20.100000000000001" customHeight="1" x14ac:dyDescent="0.25">
      <c r="D78" s="53" t="s">
        <v>29</v>
      </c>
      <c r="E78" s="1" t="str" cm="1">
        <f t="array" ref="E78">MMS_Swine_Methane_Equations.VEERG_4_5_1_1__7_VolatileSolidsTransferredStage2_Variable()</f>
        <v>VSTijmT2</v>
      </c>
    </row>
    <row r="79" spans="1:21" ht="20.100000000000001" customHeight="1" x14ac:dyDescent="0.25">
      <c r="D79" s="53" t="s">
        <v>19</v>
      </c>
      <c r="E79" s="54" t="str" cm="1">
        <f t="array" ref="E79">MMS_Swine_Methane_Equations.VEERG_4_5_1_1__7_VolatileSolidsTransferredStage2_Unit()</f>
        <v>kg VS</v>
      </c>
    </row>
    <row r="80" spans="1:21" ht="20.100000000000001" customHeight="1" x14ac:dyDescent="0.25"/>
    <row r="81" spans="4:18" ht="20.100000000000001" customHeight="1" x14ac:dyDescent="0.25">
      <c r="D81" s="57" t="str" cm="1">
        <f t="array" ref="D81:E83">Common_InputFunctions.Utility_DisplayArguments_1_2(MMS_Swine_Methane_Equations.VEERG_4_5_1_1__7_VolatileSolidsTransferredStage2_Arguments())</f>
        <v>VSj</v>
      </c>
      <c r="E81" s="58" t="str">
        <v>volatile solid production from swine in each class</v>
      </c>
      <c r="F81" s="59"/>
      <c r="G81" s="57" t="str" cm="1">
        <f t="array" ref="G81:H83">Common_InputFunctions.Utility_DisplayArguments_3_4(MMS_Swine_Methane_Equations.VEERG_4_5_1_1__7_VolatileSolidsTransferredStage2_Arguments())</f>
        <v>kg/head/day</v>
      </c>
      <c r="H81" s="140" t="str">
        <v>Input</v>
      </c>
      <c r="I81" s="143" t="str" cm="1">
        <f t="array" aca="1" ref="I81" ca="1">HYPERLINK(Common_InputFunctions.Utility_SourceHyperlink(D85), D85)</f>
        <v>M1_Table_VS_j</v>
      </c>
      <c r="J81" s="143"/>
    </row>
    <row r="82" spans="4:18" ht="20.100000000000001" customHeight="1" x14ac:dyDescent="0.25">
      <c r="D82" s="57" t="str">
        <v>FVSjmT1</v>
      </c>
      <c r="E82" s="58" t="str">
        <v>fraction of volatile solids in each primary system</v>
      </c>
      <c r="F82" s="59"/>
      <c r="G82" s="57" t="str">
        <v>fraction</v>
      </c>
      <c r="H82" s="139" t="str">
        <v>Calculated from 4.5.1.1 (4)(5)</v>
      </c>
      <c r="I82" s="143" t="str" cm="1">
        <f t="array" aca="1" ref="I82" ca="1">HYPERLINK(Common_InputFunctions.Utility_SourceHyperlink($D$34), $D$34)</f>
        <v>M1_Table_FVS_j_m_T-1</v>
      </c>
      <c r="J82" s="143" t="str" cm="1">
        <f t="array" aca="1" ref="J82" ca="1">HYPERLINK(Common_InputFunctions.Utility_SourceHyperlink($D$65), $D$65)</f>
        <v>M1_Table_FVS_j_m-4_T-1</v>
      </c>
    </row>
    <row r="83" spans="4:18" ht="20.100000000000001" customHeight="1" x14ac:dyDescent="0.25">
      <c r="D83" s="57" t="str">
        <v>VSLmT1</v>
      </c>
      <c r="E83" s="58" t="str">
        <v>fraction of volatile solids lost during storage in the primary system</v>
      </c>
      <c r="F83" s="59"/>
      <c r="G83" s="57" t="str">
        <v>fraction</v>
      </c>
      <c r="H83" s="139" t="str">
        <v>Lookup</v>
      </c>
      <c r="I83" s="143" t="str" cm="1">
        <f t="array" aca="1" ref="I83" ca="1">HYPERLINK(Common_InputFunctions.Utility_SourceHyperlink($D$90), $D$90)</f>
        <v>Table_VSL_m_T-1</v>
      </c>
      <c r="J83" s="143"/>
    </row>
    <row r="84" spans="4:18" ht="20.100000000000001" customHeight="1" x14ac:dyDescent="0.25"/>
    <row r="85" spans="4:18" ht="20.100000000000001" customHeight="1" x14ac:dyDescent="0.25">
      <c r="D85" s="121" t="s">
        <v>212</v>
      </c>
      <c r="N85" s="121" t="s">
        <v>214</v>
      </c>
    </row>
    <row r="86" spans="4:18" ht="20.100000000000001" customHeight="1" x14ac:dyDescent="0.25">
      <c r="D86" s="122" t="s">
        <v>213</v>
      </c>
      <c r="N86" s="122" t="s">
        <v>215</v>
      </c>
    </row>
    <row r="87" spans="4:18" ht="20.100000000000001" customHeight="1" x14ac:dyDescent="0.25">
      <c r="D87" s="119" t="s">
        <v>142</v>
      </c>
      <c r="E87" s="119" t="s">
        <v>143</v>
      </c>
      <c r="F87" s="119" t="s">
        <v>144</v>
      </c>
      <c r="G87" s="119" t="s">
        <v>206</v>
      </c>
      <c r="I87" s="2"/>
      <c r="J87" s="2"/>
      <c r="N87" s="119" t="s">
        <v>142</v>
      </c>
      <c r="O87" s="119" t="s">
        <v>143</v>
      </c>
      <c r="P87" s="119" t="s">
        <v>144</v>
      </c>
      <c r="Q87" s="119" t="s">
        <v>206</v>
      </c>
    </row>
    <row r="88" spans="4:18" ht="20.100000000000001" customHeight="1" x14ac:dyDescent="0.25">
      <c r="D88" s="52">
        <f>'Input - Swine'!E16</f>
        <v>0.4</v>
      </c>
      <c r="E88" s="52">
        <f>'Input - Swine'!F16</f>
        <v>0.46</v>
      </c>
      <c r="F88" s="52">
        <f>'Input - Swine'!G16</f>
        <v>0.55000000000000004</v>
      </c>
      <c r="G88" s="52">
        <f>'Input - Swine'!H16</f>
        <v>0.39</v>
      </c>
      <c r="H88" s="2" t="str">
        <f>$G$81</f>
        <v>kg/head/day</v>
      </c>
      <c r="N88" s="52">
        <f>'Input - Swine'!E20</f>
        <v>0.4</v>
      </c>
      <c r="O88" s="52">
        <f>'Input - Swine'!F20</f>
        <v>0.46</v>
      </c>
      <c r="P88" s="52">
        <f>'Input - Swine'!G20</f>
        <v>0.55000000000000004</v>
      </c>
      <c r="Q88" s="52">
        <f>'Input - Swine'!H20</f>
        <v>0.39</v>
      </c>
      <c r="R88" s="2" t="str">
        <f>$G$81</f>
        <v>kg/head/day</v>
      </c>
    </row>
    <row r="89" spans="4:18" ht="20.100000000000001" customHeight="1" x14ac:dyDescent="0.25"/>
    <row r="90" spans="4:18" ht="20.100000000000001" customHeight="1" x14ac:dyDescent="0.25">
      <c r="D90" s="121" t="s">
        <v>166</v>
      </c>
    </row>
    <row r="91" spans="4:18" ht="20.100000000000001" customHeight="1" x14ac:dyDescent="0.25">
      <c r="D91" s="122" t="s">
        <v>157</v>
      </c>
    </row>
    <row r="92" spans="4:18" ht="20.100000000000001" customHeight="1" x14ac:dyDescent="0.25">
      <c r="D92" s="51" t="s">
        <v>163</v>
      </c>
      <c r="E92" s="51" t="s">
        <v>167</v>
      </c>
    </row>
    <row r="93" spans="4:18" ht="20.100000000000001" customHeight="1" x14ac:dyDescent="0.25">
      <c r="D93" s="57" t="str">
        <f>'Input - Swine'!$D$29</f>
        <v>Anaerobic lagoon</v>
      </c>
      <c r="E93" s="52" cm="1">
        <f t="array" ref="E93">Common_InputFunctions.Utility_LookupValueInTableNumber(D93,Table_SourceData_SwineVSL[MMS],Table_SourceData_SwineVSL[VSL])</f>
        <v>0</v>
      </c>
      <c r="F93" s="2" t="str">
        <f>G83</f>
        <v>fraction</v>
      </c>
    </row>
    <row r="94" spans="4:18" ht="20.100000000000001" customHeight="1" x14ac:dyDescent="0.25">
      <c r="D94" s="57" t="str">
        <f>'Input - Swine'!$D$30</f>
        <v>Drylot (feed pad)</v>
      </c>
      <c r="E94" s="52" cm="1">
        <f t="array" ref="E94">Common_InputFunctions.Utility_LookupValueInTableNumber(D94,Table_SourceData_SwineVSL[MMS],Table_SourceData_SwineVSL[VSL])</f>
        <v>0</v>
      </c>
      <c r="F94" s="2"/>
    </row>
    <row r="95" spans="4:18" ht="20.100000000000001" customHeight="1" x14ac:dyDescent="0.25">
      <c r="D95" s="57" t="str">
        <f>'Input - Swine'!$D$31</f>
        <v>Digester / covered lagoons</v>
      </c>
      <c r="E95" s="52" cm="1">
        <f t="array" ref="E95">Common_InputFunctions.Utility_LookupValueInTableNumber(D95,Table_SourceData_SwineVSL[MMS],Table_SourceData_SwineVSL[VSL])</f>
        <v>0.75</v>
      </c>
      <c r="F95" s="2"/>
    </row>
    <row r="96" spans="4:18" ht="20.100000000000001" customHeight="1" x14ac:dyDescent="0.25">
      <c r="D96" s="57" t="str">
        <f>'Input - Swine'!$D$32</f>
        <v>Deep litter</v>
      </c>
      <c r="E96" s="52" cm="1">
        <f t="array" ref="E96">Common_InputFunctions.Utility_LookupValueInTableNumber(D96,Table_SourceData_SwineVSL[MMS],Table_SourceData_SwineVSL[VSL])</f>
        <v>0.05</v>
      </c>
      <c r="F96" s="2"/>
      <c r="G96" s="107" t="s">
        <v>168</v>
      </c>
    </row>
    <row r="97" spans="1:21" ht="20.100000000000001" customHeight="1" x14ac:dyDescent="0.25">
      <c r="D97" s="57" t="str">
        <f>'Input - Swine'!$D$33</f>
        <v>Pit storage</v>
      </c>
      <c r="E97" s="52" cm="1">
        <f t="array" ref="E97">Common_InputFunctions.Utility_LookupValueInTableNumber(D97,Table_SourceData_SwineVSL[MMS],Table_SourceData_SwineVSL[VSL])</f>
        <v>0</v>
      </c>
      <c r="F97" s="2"/>
    </row>
    <row r="98" spans="1:21" ht="20.100000000000001" customHeight="1" x14ac:dyDescent="0.25">
      <c r="D98" s="57" t="str">
        <f>'Input - Swine'!$D$34</f>
        <v>Solid storage</v>
      </c>
      <c r="E98" s="52" cm="1">
        <f t="array" ref="E98">Common_InputFunctions.Utility_LookupValueInTableNumber(D98,Table_SourceData_SwineVSL[MMS],Table_SourceData_SwineVSL[VSL])</f>
        <v>0</v>
      </c>
      <c r="F98" s="2"/>
    </row>
    <row r="99" spans="1:21" ht="20.100000000000001" customHeight="1" x14ac:dyDescent="0.25"/>
    <row r="100" spans="1:21" ht="20.100000000000001" customHeight="1" x14ac:dyDescent="0.25">
      <c r="D100" s="121" t="s">
        <v>201</v>
      </c>
      <c r="N100" s="121" t="s">
        <v>216</v>
      </c>
    </row>
    <row r="101" spans="1:21" ht="20.100000000000001" customHeight="1" x14ac:dyDescent="0.25">
      <c r="D101" s="122" t="s">
        <v>202</v>
      </c>
      <c r="N101" s="122" t="s">
        <v>217</v>
      </c>
    </row>
    <row r="102" spans="1:21" ht="20.100000000000001" customHeight="1" x14ac:dyDescent="0.25">
      <c r="D102" s="51" t="s">
        <v>163</v>
      </c>
      <c r="E102" s="51" t="s">
        <v>142</v>
      </c>
      <c r="F102" s="51" t="s">
        <v>143</v>
      </c>
      <c r="G102" s="51" t="s">
        <v>144</v>
      </c>
      <c r="H102" s="51" t="s">
        <v>206</v>
      </c>
      <c r="N102" s="51" t="s">
        <v>163</v>
      </c>
      <c r="O102" s="51" t="s">
        <v>142</v>
      </c>
      <c r="P102" s="51" t="s">
        <v>143</v>
      </c>
      <c r="Q102" s="51" t="s">
        <v>144</v>
      </c>
      <c r="R102" s="51" t="s">
        <v>206</v>
      </c>
    </row>
    <row r="103" spans="1:21" ht="20.100000000000001" customHeight="1" x14ac:dyDescent="0.25">
      <c r="D103" s="57" t="str">
        <f>'Input - Swine'!$D$29</f>
        <v>Anaerobic lagoon</v>
      </c>
      <c r="E103" s="52" cm="1">
        <f t="array" ref="E103">MMS_Swine_Methane_Equations.VEERG_4_5_1_1__7_VolatileSolidsTransferredStage2(D$88,E37,$E93)</f>
        <v>4.8000000000000001E-2</v>
      </c>
      <c r="F103" s="52" cm="1">
        <f t="array" ref="F103">MMS_Swine_Methane_Equations.VEERG_4_5_1_1__7_VolatileSolidsTransferredStage2(E$88,F37,$E93)</f>
        <v>5.5199999999999999E-2</v>
      </c>
      <c r="G103" s="52" cm="1">
        <f t="array" ref="G103">MMS_Swine_Methane_Equations.VEERG_4_5_1_1__7_VolatileSolidsTransferredStage2(F$88,G37,$E93)</f>
        <v>6.6000000000000003E-2</v>
      </c>
      <c r="H103" s="52" cm="1">
        <f t="array" ref="H103">MMS_Swine_Methane_Equations.VEERG_4_5_1_1__7_VolatileSolidsTransferredStage2(G$88,H37,$E93)</f>
        <v>4.6800000000000001E-2</v>
      </c>
      <c r="I103" s="2" t="str">
        <f>$E$79</f>
        <v>kg VS</v>
      </c>
      <c r="N103" s="57" t="str">
        <f>'Input - Swine'!$D$29</f>
        <v>Anaerobic lagoon</v>
      </c>
      <c r="O103" s="52" cm="1">
        <f t="array" ref="O103">MMS_Swine_Methane_Equations.VEERG_4_5_1_1__7_VolatileSolidsTransferredStage2(N$88,O37,$E93)</f>
        <v>4.8000000000000001E-2</v>
      </c>
      <c r="P103" s="52" cm="1">
        <f t="array" ref="P103">MMS_Swine_Methane_Equations.VEERG_4_5_1_1__7_VolatileSolidsTransferredStage2(O$88,P37,$E93)</f>
        <v>5.5199999999999999E-2</v>
      </c>
      <c r="Q103" s="52" cm="1">
        <f t="array" ref="Q103">MMS_Swine_Methane_Equations.VEERG_4_5_1_1__7_VolatileSolidsTransferredStage2(P$88,Q37,$E93)</f>
        <v>6.6000000000000003E-2</v>
      </c>
      <c r="R103" s="52" cm="1">
        <f t="array" ref="R103">MMS_Swine_Methane_Equations.VEERG_4_5_1_1__7_VolatileSolidsTransferredStage2(Q$88,R37,$E93)</f>
        <v>4.6800000000000001E-2</v>
      </c>
      <c r="S103" s="2" t="str">
        <f t="shared" ref="S103" si="0">$E$79</f>
        <v>kg VS</v>
      </c>
    </row>
    <row r="104" spans="1:21" ht="20.100000000000001" customHeight="1" x14ac:dyDescent="0.25">
      <c r="D104" s="57" t="str">
        <f>'Input - Swine'!$D$30</f>
        <v>Drylot (feed pad)</v>
      </c>
      <c r="E104" s="52" cm="1">
        <f t="array" ref="E104">MMS_Swine_Methane_Equations.VEERG_4_5_1_1__7_VolatileSolidsTransferredStage2(D$88,E38,$E94)</f>
        <v>4.8000000000000001E-2</v>
      </c>
      <c r="F104" s="52" cm="1">
        <f t="array" ref="F104">MMS_Swine_Methane_Equations.VEERG_4_5_1_1__7_VolatileSolidsTransferredStage2(E$88,F38,$E94)</f>
        <v>5.5199999999999999E-2</v>
      </c>
      <c r="G104" s="52" cm="1">
        <f t="array" ref="G104">MMS_Swine_Methane_Equations.VEERG_4_5_1_1__7_VolatileSolidsTransferredStage2(F$88,G38,$E94)</f>
        <v>6.6000000000000003E-2</v>
      </c>
      <c r="H104" s="52" cm="1">
        <f t="array" ref="H104">MMS_Swine_Methane_Equations.VEERG_4_5_1_1__7_VolatileSolidsTransferredStage2(G$88,H38,$E94)</f>
        <v>4.6800000000000001E-2</v>
      </c>
      <c r="I104" s="2"/>
      <c r="N104" s="57" t="str">
        <f>'Input - Swine'!$D$30</f>
        <v>Drylot (feed pad)</v>
      </c>
      <c r="O104" s="52" cm="1">
        <f t="array" ref="O104">MMS_Swine_Methane_Equations.VEERG_4_5_1_1__7_VolatileSolidsTransferredStage2(N$88,O38,$E94)</f>
        <v>4.8000000000000001E-2</v>
      </c>
      <c r="P104" s="52" cm="1">
        <f t="array" ref="P104">MMS_Swine_Methane_Equations.VEERG_4_5_1_1__7_VolatileSolidsTransferredStage2(O$88,P38,$E94)</f>
        <v>5.5199999999999999E-2</v>
      </c>
      <c r="Q104" s="52" cm="1">
        <f t="array" ref="Q104">MMS_Swine_Methane_Equations.VEERG_4_5_1_1__7_VolatileSolidsTransferredStage2(P$88,Q38,$E94)</f>
        <v>6.6000000000000003E-2</v>
      </c>
      <c r="R104" s="52" cm="1">
        <f t="array" ref="R104">MMS_Swine_Methane_Equations.VEERG_4_5_1_1__7_VolatileSolidsTransferredStage2(Q$88,R38,$E94)</f>
        <v>4.6800000000000001E-2</v>
      </c>
      <c r="S104" s="2"/>
    </row>
    <row r="105" spans="1:21" ht="20.100000000000001" customHeight="1" x14ac:dyDescent="0.25">
      <c r="D105" s="57" t="str">
        <f>'Input - Swine'!$D$31</f>
        <v>Digester / covered lagoons</v>
      </c>
      <c r="E105" s="52" cm="1">
        <f t="array" ref="E105">MMS_Swine_Methane_Equations.VEERG_4_5_1_1__7_VolatileSolidsTransferredStage2(D$88,E39,$E95)</f>
        <v>1.2E-2</v>
      </c>
      <c r="F105" s="52" cm="1">
        <f t="array" ref="F105">MMS_Swine_Methane_Equations.VEERG_4_5_1_1__7_VolatileSolidsTransferredStage2(E$88,F39,$E95)</f>
        <v>1.38E-2</v>
      </c>
      <c r="G105" s="52" cm="1">
        <f t="array" ref="G105">MMS_Swine_Methane_Equations.VEERG_4_5_1_1__7_VolatileSolidsTransferredStage2(F$88,G39,$E95)</f>
        <v>1.6500000000000001E-2</v>
      </c>
      <c r="H105" s="52" cm="1">
        <f t="array" ref="H105">MMS_Swine_Methane_Equations.VEERG_4_5_1_1__7_VolatileSolidsTransferredStage2(G$88,H39,$E95)</f>
        <v>1.17E-2</v>
      </c>
      <c r="I105" s="2"/>
      <c r="N105" s="57" t="str">
        <f>'Input - Swine'!$D$31</f>
        <v>Digester / covered lagoons</v>
      </c>
      <c r="O105" s="52" cm="1">
        <f t="array" ref="O105">MMS_Swine_Methane_Equations.VEERG_4_5_1_1__7_VolatileSolidsTransferredStage2(N$88,O39,$E95)</f>
        <v>1.2E-2</v>
      </c>
      <c r="P105" s="52" cm="1">
        <f t="array" ref="P105">MMS_Swine_Methane_Equations.VEERG_4_5_1_1__7_VolatileSolidsTransferredStage2(O$88,P39,$E95)</f>
        <v>1.38E-2</v>
      </c>
      <c r="Q105" s="52" cm="1">
        <f t="array" ref="Q105">MMS_Swine_Methane_Equations.VEERG_4_5_1_1__7_VolatileSolidsTransferredStage2(P$88,Q39,$E95)</f>
        <v>1.6500000000000001E-2</v>
      </c>
      <c r="R105" s="52" cm="1">
        <f t="array" ref="R105">MMS_Swine_Methane_Equations.VEERG_4_5_1_1__7_VolatileSolidsTransferredStage2(Q$88,R39,$E95)</f>
        <v>1.17E-2</v>
      </c>
      <c r="S105" s="2"/>
    </row>
    <row r="106" spans="1:21" ht="20.100000000000001" customHeight="1" x14ac:dyDescent="0.25">
      <c r="D106" s="57" t="str">
        <f>'Input - Swine'!$D$32</f>
        <v>Deep litter</v>
      </c>
      <c r="E106" s="52" cm="1">
        <f t="array" ref="E106">MMS_Swine_Methane_Equations.VEERG_4_5_1_1__7_VolatileSolidsTransferredStage2(D$88,E40,$E96)</f>
        <v>4.5600000000000002E-2</v>
      </c>
      <c r="F106" s="52" cm="1">
        <f t="array" ref="F106">MMS_Swine_Methane_Equations.VEERG_4_5_1_1__7_VolatileSolidsTransferredStage2(E$88,F40,$E96)</f>
        <v>5.2439999999999994E-2</v>
      </c>
      <c r="G106" s="52" cm="1">
        <f t="array" ref="G106">MMS_Swine_Methane_Equations.VEERG_4_5_1_1__7_VolatileSolidsTransferredStage2(F$88,G40,$E96)</f>
        <v>6.2700000000000006E-2</v>
      </c>
      <c r="H106" s="52" cm="1">
        <f t="array" ref="H106">MMS_Swine_Methane_Equations.VEERG_4_5_1_1__7_VolatileSolidsTransferredStage2(G$88,H40,$E96)</f>
        <v>4.446E-2</v>
      </c>
      <c r="I106" s="2"/>
      <c r="N106" s="57" t="str">
        <f>'Input - Swine'!$D$32</f>
        <v>Deep litter</v>
      </c>
      <c r="O106" s="52" cm="1">
        <f t="array" ref="O106">MMS_Swine_Methane_Equations.VEERG_4_5_1_1__7_VolatileSolidsTransferredStage2(N$88,O40,$E96)</f>
        <v>4.5600000000000002E-2</v>
      </c>
      <c r="P106" s="52" cm="1">
        <f t="array" ref="P106">MMS_Swine_Methane_Equations.VEERG_4_5_1_1__7_VolatileSolidsTransferredStage2(O$88,P40,$E96)</f>
        <v>5.2439999999999994E-2</v>
      </c>
      <c r="Q106" s="52" cm="1">
        <f t="array" ref="Q106">MMS_Swine_Methane_Equations.VEERG_4_5_1_1__7_VolatileSolidsTransferredStage2(P$88,Q40,$E96)</f>
        <v>6.2700000000000006E-2</v>
      </c>
      <c r="R106" s="52" cm="1">
        <f t="array" ref="R106">MMS_Swine_Methane_Equations.VEERG_4_5_1_1__7_VolatileSolidsTransferredStage2(Q$88,R40,$E96)</f>
        <v>4.446E-2</v>
      </c>
      <c r="S106" s="2"/>
    </row>
    <row r="107" spans="1:21" ht="20.100000000000001" customHeight="1" x14ac:dyDescent="0.25">
      <c r="D107" s="57" t="str">
        <f>'Input - Swine'!$D$33</f>
        <v>Pit storage</v>
      </c>
      <c r="E107" s="52" cm="1">
        <f t="array" ref="E107">MMS_Swine_Methane_Equations.VEERG_4_5_1_1__7_VolatileSolidsTransferredStage2(D$88,E41,$E97)</f>
        <v>4.8000000000000001E-2</v>
      </c>
      <c r="F107" s="52" cm="1">
        <f t="array" ref="F107">MMS_Swine_Methane_Equations.VEERG_4_5_1_1__7_VolatileSolidsTransferredStage2(E$88,F41,$E97)</f>
        <v>5.5199999999999999E-2</v>
      </c>
      <c r="G107" s="52" cm="1">
        <f t="array" ref="G107">MMS_Swine_Methane_Equations.VEERG_4_5_1_1__7_VolatileSolidsTransferredStage2(F$88,G41,$E97)</f>
        <v>6.6000000000000003E-2</v>
      </c>
      <c r="H107" s="52" cm="1">
        <f t="array" ref="H107">MMS_Swine_Methane_Equations.VEERG_4_5_1_1__7_VolatileSolidsTransferredStage2(G$88,H41,$E97)</f>
        <v>4.6800000000000001E-2</v>
      </c>
      <c r="I107" s="2"/>
      <c r="N107" s="57" t="str">
        <f>'Input - Swine'!$D$33</f>
        <v>Pit storage</v>
      </c>
      <c r="O107" s="52" cm="1">
        <f t="array" ref="O107">MMS_Swine_Methane_Equations.VEERG_4_5_1_1__7_VolatileSolidsTransferredStage2(N$88,O41,$E97)</f>
        <v>4.8000000000000001E-2</v>
      </c>
      <c r="P107" s="52" cm="1">
        <f t="array" ref="P107">MMS_Swine_Methane_Equations.VEERG_4_5_1_1__7_VolatileSolidsTransferredStage2(O$88,P41,$E97)</f>
        <v>5.5199999999999999E-2</v>
      </c>
      <c r="Q107" s="52" cm="1">
        <f t="array" ref="Q107">MMS_Swine_Methane_Equations.VEERG_4_5_1_1__7_VolatileSolidsTransferredStage2(P$88,Q41,$E97)</f>
        <v>6.6000000000000003E-2</v>
      </c>
      <c r="R107" s="52" cm="1">
        <f t="array" ref="R107">MMS_Swine_Methane_Equations.VEERG_4_5_1_1__7_VolatileSolidsTransferredStage2(Q$88,R41,$E97)</f>
        <v>4.6800000000000001E-2</v>
      </c>
      <c r="S107" s="2"/>
    </row>
    <row r="108" spans="1:21" ht="20.100000000000001" customHeight="1" x14ac:dyDescent="0.25">
      <c r="D108" s="57" t="str">
        <f>'Input - Swine'!$D$34</f>
        <v>Solid storage</v>
      </c>
      <c r="E108" s="52" cm="1">
        <f t="array" ref="E108">MMS_Swine_Methane_Equations.VEERG_4_5_1_1__7_VolatileSolidsTransferredStage2(D$88,E68,$E98)</f>
        <v>0.16000000000000006</v>
      </c>
      <c r="F108" s="52" cm="1">
        <f t="array" ref="F108">MMS_Swine_Methane_Equations.VEERG_4_5_1_1__7_VolatileSolidsTransferredStage2(E$88,F68,$E98)</f>
        <v>0.18400000000000008</v>
      </c>
      <c r="G108" s="52" cm="1">
        <f t="array" ref="G108">MMS_Swine_Methane_Equations.VEERG_4_5_1_1__7_VolatileSolidsTransferredStage2(F$88,G68,$E98)</f>
        <v>0.22000000000000008</v>
      </c>
      <c r="H108" s="52" cm="1">
        <f t="array" ref="H108">MMS_Swine_Methane_Equations.VEERG_4_5_1_1__7_VolatileSolidsTransferredStage2(G$88,H68,$E98)</f>
        <v>0.15600000000000006</v>
      </c>
      <c r="I108" s="2"/>
      <c r="N108" s="57" t="str">
        <f>'Input - Swine'!$D$34</f>
        <v>Solid storage</v>
      </c>
      <c r="O108" s="52" cm="1">
        <f t="array" ref="O108">MMS_Swine_Methane_Equations.VEERG_4_5_1_1__7_VolatileSolidsTransferredStage2(N$88,O68,$E98)</f>
        <v>0.16000000000000006</v>
      </c>
      <c r="P108" s="52" cm="1">
        <f t="array" ref="P108">MMS_Swine_Methane_Equations.VEERG_4_5_1_1__7_VolatileSolidsTransferredStage2(O$88,P68,$E98)</f>
        <v>0.18400000000000008</v>
      </c>
      <c r="Q108" s="52" cm="1">
        <f t="array" ref="Q108">MMS_Swine_Methane_Equations.VEERG_4_5_1_1__7_VolatileSolidsTransferredStage2(P$88,Q68,$E98)</f>
        <v>0.22000000000000008</v>
      </c>
      <c r="R108" s="52" cm="1">
        <f t="array" ref="R108">MMS_Swine_Methane_Equations.VEERG_4_5_1_1__7_VolatileSolidsTransferredStage2(Q$88,R68,$E98)</f>
        <v>0.15600000000000006</v>
      </c>
      <c r="S108" s="2"/>
    </row>
    <row r="109" spans="1:21" ht="20.100000000000001" customHeight="1" x14ac:dyDescent="0.25"/>
    <row r="110" spans="1:21" ht="20.100000000000001" customHeight="1" x14ac:dyDescent="0.25">
      <c r="A110" s="149" t="str">
        <f>HYPERLINK("#A1", "▲ Back to top")</f>
        <v>▲ Back to top</v>
      </c>
    </row>
    <row r="111" spans="1:21" ht="20.100000000000001" customHeight="1" x14ac:dyDescent="0.25">
      <c r="C111" s="45"/>
      <c r="D111" s="45"/>
      <c r="E111" s="45"/>
      <c r="F111" s="45"/>
      <c r="G111" s="45"/>
      <c r="H111" s="45"/>
      <c r="I111" s="45"/>
      <c r="J111" s="45"/>
      <c r="K111" s="45"/>
      <c r="M111" s="45"/>
      <c r="N111" s="45"/>
      <c r="O111" s="45"/>
      <c r="P111" s="45"/>
      <c r="Q111" s="45"/>
      <c r="R111" s="45"/>
      <c r="S111" s="45"/>
      <c r="T111" s="45"/>
      <c r="U111" s="45"/>
    </row>
    <row r="112" spans="1:21" ht="20.100000000000001" customHeight="1" x14ac:dyDescent="0.25">
      <c r="D112" s="6" t="str" cm="1">
        <f t="array" ref="D112">MMS_Swine_Methane_Equations.VEERG_4_5_1_1__6_Stage2MethaneProduction_Title()</f>
        <v>Production of methane in each treatment stage 2 MMS</v>
      </c>
    </row>
    <row r="113" spans="4:19" ht="20.100000000000001" customHeight="1" x14ac:dyDescent="0.25">
      <c r="D113" s="5" t="str" cm="1">
        <f t="array" ref="D113">MMS_Swine_Methane_Equations.VEERG_4_5_1_1__6_Stage2MethaneProduction_Source()</f>
        <v>VEERG 2026: 4.5.1.1, Equation (6)</v>
      </c>
    </row>
    <row r="114" spans="4:19" ht="20.100000000000001" customHeight="1" x14ac:dyDescent="0.25">
      <c r="D114" s="13" t="s">
        <v>26</v>
      </c>
      <c r="E114" s="13" t="str" cm="1">
        <f t="array" aca="1" ref="E114" ca="1">Common_InputFunctions.Utility_DisplayFunctionName(F165)</f>
        <v>=MMS_Swine_Methane_Equations.VEERG_4_5_1_1__6_Stage2MethaneProduction</v>
      </c>
    </row>
    <row r="115" spans="4:19" ht="20.100000000000001" customHeight="1" x14ac:dyDescent="0.25"/>
    <row r="116" spans="4:19" ht="20.100000000000001" customHeight="1" x14ac:dyDescent="0.25"/>
    <row r="117" spans="4:19" ht="20.100000000000001" customHeight="1" x14ac:dyDescent="0.25"/>
    <row r="118" spans="4:19" ht="20.100000000000001" customHeight="1" x14ac:dyDescent="0.25">
      <c r="D118" s="53" t="s">
        <v>29</v>
      </c>
      <c r="E118" s="1" t="str" cm="1">
        <f t="array" ref="E118">MMS_Swine_Methane_Equations.VEERG_4_5_1_1__6_Stage2MethaneProduction_Variable()</f>
        <v>MijmT2</v>
      </c>
    </row>
    <row r="119" spans="4:19" ht="20.100000000000001" customHeight="1" x14ac:dyDescent="0.25">
      <c r="D119" s="53" t="s">
        <v>19</v>
      </c>
      <c r="E119" s="54" t="str" cm="1">
        <f t="array" ref="E119">MMS_Swine_Methane_Equations.VEERG_4_5_1_1__6_Stage2MethaneProduction_Unit()</f>
        <v>kg CH4/head/day</v>
      </c>
    </row>
    <row r="120" spans="4:19" ht="20.100000000000001" customHeight="1" x14ac:dyDescent="0.25"/>
    <row r="121" spans="4:19" ht="20.100000000000001" customHeight="1" x14ac:dyDescent="0.25">
      <c r="D121" s="57" t="str" cm="1">
        <f t="array" ref="D121:E126">Common_InputFunctions.Utility_DisplayArguments_1_2(MMS_Swine_Methane_Equations.VEERG_4_5_1_1__6_Stage2MethaneProduction_Arguments())</f>
        <v>VSTjmT2</v>
      </c>
      <c r="E121" s="58" t="str">
        <v>volatile solids transferred to treatment stage 2 MMS</v>
      </c>
      <c r="F121" s="59"/>
      <c r="G121" s="57" t="str" cm="1">
        <f t="array" ref="G121:H126">Common_InputFunctions.Utility_DisplayArguments_3_4(MMS_Swine_Methane_Equations.VEERG_4_5_1_1__6_Stage2MethaneProduction_Arguments())</f>
        <v>kg/head/day</v>
      </c>
      <c r="H121" s="139" t="str">
        <v>Calculated from 4.5.1.1 (7)</v>
      </c>
      <c r="I121" s="143" t="str" cm="1">
        <f t="array" aca="1" ref="I121" ca="1">HYPERLINK(Common_InputFunctions.Utility_SourceHyperlink($D$100), $D$100)</f>
        <v>M1 Table_VST_j_m_T-2</v>
      </c>
      <c r="N121" s="57" t="str" cm="1">
        <f t="array" ref="N121:O126">Common_InputFunctions.Utility_DisplayArguments_1_2(MMS_Swine_Methane_Equations.VEERG_4_5_1_1__6_Stage2MethaneProduction_Arguments_Method2())</f>
        <v>VSTjmT2</v>
      </c>
      <c r="O121" s="58" t="str">
        <v>volatile solids transferred to treatment stage 2 MMS</v>
      </c>
      <c r="P121" s="59"/>
      <c r="Q121" s="57" t="str" cm="1">
        <f t="array" ref="Q121:R126">Common_InputFunctions.Utility_DisplayArguments_3_4(MMS_Swine_Methane_Equations.VEERG_4_5_1_1__6_Stage2MethaneProduction_Arguments_Method2())</f>
        <v>kg/head/day</v>
      </c>
      <c r="R121" s="139" t="str">
        <v>Calculated from 4.5.1.1 (7)</v>
      </c>
      <c r="S121" s="143"/>
    </row>
    <row r="122" spans="4:19" ht="20.100000000000001" customHeight="1" x14ac:dyDescent="0.25">
      <c r="D122" s="57" t="str">
        <v>BO</v>
      </c>
      <c r="E122" s="58" t="str">
        <v>emissions potential</v>
      </c>
      <c r="F122" s="59"/>
      <c r="G122" s="57" t="str">
        <v>m3 CH4/kg VS</v>
      </c>
      <c r="H122" s="139" t="str">
        <v>Constant</v>
      </c>
      <c r="I122" s="57">
        <f>'Constants - Swine'!$E$21</f>
        <v>0.19</v>
      </c>
      <c r="N122" s="57" t="str">
        <v>BO</v>
      </c>
      <c r="O122" s="58" t="str">
        <v>emissions potential</v>
      </c>
      <c r="P122" s="59"/>
      <c r="Q122" s="57" t="str">
        <v>m3 CH4/kg VS</v>
      </c>
      <c r="R122" s="139" t="str">
        <v>Constant</v>
      </c>
      <c r="S122" s="57">
        <f>'Constants - Swine'!$E$21</f>
        <v>0.19</v>
      </c>
    </row>
    <row r="123" spans="4:19" ht="20.100000000000001" customHeight="1" x14ac:dyDescent="0.25">
      <c r="D123" s="57" t="str">
        <v>MMSjmT2</v>
      </c>
      <c r="E123" s="58" t="str">
        <v>fraction of manure in each secondary system</v>
      </c>
      <c r="F123" s="59"/>
      <c r="G123" s="57" t="str">
        <v>fraction</v>
      </c>
      <c r="H123" s="140" t="str">
        <v>Input</v>
      </c>
      <c r="I123" s="143" t="str" cm="1">
        <f t="array" aca="1" ref="I123" ca="1">HYPERLINK(Common_InputFunctions.Utility_SourceHyperlink($D$128), $D$128)</f>
        <v>Table_MMS_j_m_T-2</v>
      </c>
      <c r="N123" s="57" t="str">
        <v>MMSjmT2</v>
      </c>
      <c r="O123" s="58" t="str">
        <v>fraction of manure in each secondary system</v>
      </c>
      <c r="P123" s="59"/>
      <c r="Q123" s="57" t="str">
        <v>fraction</v>
      </c>
      <c r="R123" s="140" t="str">
        <v>Input</v>
      </c>
      <c r="S123" s="143"/>
    </row>
    <row r="124" spans="4:19" ht="20.100000000000001" customHeight="1" x14ac:dyDescent="0.25">
      <c r="D124" s="57" t="str">
        <v>MCFim</v>
      </c>
      <c r="E124" s="58" t="str">
        <v>methane conversion factor for temperate zone and system</v>
      </c>
      <c r="F124" s="59"/>
      <c r="G124" s="57" t="str">
        <v>fraction</v>
      </c>
      <c r="H124" s="139" t="str">
        <v>Constant</v>
      </c>
      <c r="I124" s="143" t="str" cm="1">
        <f t="array" aca="1" ref="I124" ca="1">HYPERLINK(Common_InputFunctions.Utility_SourceHyperlink($D$152), $D$152)</f>
        <v>M1_Table_MCF_i_m</v>
      </c>
      <c r="N124" s="57" t="str">
        <v>MCFim</v>
      </c>
      <c r="O124" s="58" t="str">
        <v>methane conversion factor for temperate zone and system</v>
      </c>
      <c r="P124" s="59"/>
      <c r="Q124" s="57" t="str">
        <v>fraction</v>
      </c>
      <c r="R124" s="139" t="str">
        <v>Constant</v>
      </c>
      <c r="S124" s="143"/>
    </row>
    <row r="125" spans="4:19" ht="20.100000000000001" customHeight="1" x14ac:dyDescent="0.25">
      <c r="D125" s="57" t="str">
        <v>rho</v>
      </c>
      <c r="E125" s="58" t="str">
        <v>density of methane</v>
      </c>
      <c r="F125" s="59"/>
      <c r="G125" s="57" t="str">
        <v>kg/m3</v>
      </c>
      <c r="H125" s="139" t="str">
        <v>Constant</v>
      </c>
      <c r="I125" s="57">
        <f>'Constants - Common'!$D$175</f>
        <v>0.6784</v>
      </c>
      <c r="N125" s="57" t="str">
        <v>rho</v>
      </c>
      <c r="O125" s="58" t="str">
        <v>density of methane</v>
      </c>
      <c r="P125" s="59"/>
      <c r="Q125" s="57" t="str">
        <v>kg/m3</v>
      </c>
      <c r="R125" s="139" t="str">
        <v>Constant</v>
      </c>
      <c r="S125" s="57"/>
    </row>
    <row r="126" spans="4:19" ht="20.100000000000001" customHeight="1" x14ac:dyDescent="0.25">
      <c r="D126" s="57" t="str">
        <v>i</v>
      </c>
      <c r="E126" s="58" t="str">
        <v>state</v>
      </c>
      <c r="F126" s="59"/>
      <c r="G126" s="57" t="str">
        <v/>
      </c>
      <c r="H126" s="140" t="str">
        <v>Input</v>
      </c>
      <c r="I126" s="57" t="str">
        <f>'Input - Site'!$E$21</f>
        <v>Western Australia</v>
      </c>
      <c r="N126" s="57" t="str">
        <v>MAT</v>
      </c>
      <c r="O126" s="58" t="str">
        <v>Mean annual temperature</v>
      </c>
      <c r="P126" s="59"/>
      <c r="Q126" s="57" t="str">
        <v>°C</v>
      </c>
      <c r="R126" s="140" t="str">
        <v>Input</v>
      </c>
      <c r="S126" s="57">
        <f>'Input - Site'!$E$25</f>
        <v>18</v>
      </c>
    </row>
    <row r="127" spans="4:19" ht="20.100000000000001" customHeight="1" x14ac:dyDescent="0.25"/>
    <row r="128" spans="4:19" ht="20.100000000000001" customHeight="1" x14ac:dyDescent="0.25">
      <c r="D128" s="121" t="s">
        <v>169</v>
      </c>
    </row>
    <row r="129" spans="4:10" ht="20.100000000000001" customHeight="1" x14ac:dyDescent="0.25">
      <c r="D129" s="122" t="s">
        <v>170</v>
      </c>
    </row>
    <row r="130" spans="4:10" ht="20.100000000000001" customHeight="1" x14ac:dyDescent="0.25">
      <c r="D130" s="119" t="s">
        <v>163</v>
      </c>
      <c r="E130" s="119" t="s">
        <v>171</v>
      </c>
      <c r="F130" s="119" t="s">
        <v>142</v>
      </c>
      <c r="G130" s="119" t="s">
        <v>143</v>
      </c>
      <c r="H130" s="119" t="s">
        <v>144</v>
      </c>
      <c r="I130" s="119" t="s">
        <v>206</v>
      </c>
    </row>
    <row r="131" spans="4:10" ht="20.100000000000001" customHeight="1" x14ac:dyDescent="0.25">
      <c r="D131" s="57" t="str">
        <f>'Input - Swine'!$D$29</f>
        <v>Anaerobic lagoon</v>
      </c>
      <c r="E131" s="57" t="str">
        <f>'Input - Swine'!$D$48</f>
        <v>Digester / covered lagoons</v>
      </c>
      <c r="F131" s="52">
        <f>'Input - Swine'!E48</f>
        <v>0.2</v>
      </c>
      <c r="G131" s="52">
        <f>'Input - Swine'!F48</f>
        <v>0.25</v>
      </c>
      <c r="H131" s="52">
        <f>'Input - Swine'!G48</f>
        <v>0.25</v>
      </c>
      <c r="I131" s="52">
        <f>'Input - Swine'!H48</f>
        <v>0.25</v>
      </c>
      <c r="J131" s="2" t="str">
        <f>$G$123</f>
        <v>fraction</v>
      </c>
    </row>
    <row r="132" spans="4:10" ht="20.100000000000001" customHeight="1" x14ac:dyDescent="0.25">
      <c r="D132" s="57"/>
      <c r="E132" s="57" t="str">
        <f>'Input - Swine'!$D$49</f>
        <v>Deep litter</v>
      </c>
      <c r="F132" s="52">
        <f>'Input - Swine'!E49</f>
        <v>0.2</v>
      </c>
      <c r="G132" s="52">
        <f>'Input - Swine'!F49</f>
        <v>0.25</v>
      </c>
      <c r="H132" s="52">
        <f>'Input - Swine'!G49</f>
        <v>0.25</v>
      </c>
      <c r="I132" s="52">
        <f>'Input - Swine'!H49</f>
        <v>0.25</v>
      </c>
      <c r="J132" s="2"/>
    </row>
    <row r="133" spans="4:10" ht="20.100000000000001" customHeight="1" x14ac:dyDescent="0.25">
      <c r="D133" s="57"/>
      <c r="E133" s="57" t="str">
        <f>'Input - Swine'!$D$50</f>
        <v>Pit storage</v>
      </c>
      <c r="F133" s="52">
        <f>'Input - Swine'!E50</f>
        <v>0.2</v>
      </c>
      <c r="G133" s="52">
        <f>'Input - Swine'!F50</f>
        <v>0.25</v>
      </c>
      <c r="H133" s="52">
        <f>'Input - Swine'!G50</f>
        <v>0.25</v>
      </c>
      <c r="I133" s="52">
        <f>'Input - Swine'!H50</f>
        <v>0.25</v>
      </c>
      <c r="J133" s="2"/>
    </row>
    <row r="134" spans="4:10" ht="20.100000000000001" customHeight="1" x14ac:dyDescent="0.25">
      <c r="D134" s="57" t="str">
        <f>'Input - Swine'!$D$30</f>
        <v>Drylot (feed pad)</v>
      </c>
      <c r="E134" s="57" t="str">
        <f>'Input - Swine'!$D$55</f>
        <v>Anaerobic lagoon</v>
      </c>
      <c r="F134" s="52">
        <f>'Input - Swine'!E55</f>
        <v>0.2</v>
      </c>
      <c r="G134" s="52">
        <f>'Input - Swine'!F55</f>
        <v>0.25</v>
      </c>
      <c r="H134" s="52">
        <f>'Input - Swine'!G55</f>
        <v>0.25</v>
      </c>
      <c r="I134" s="52">
        <f>'Input - Swine'!H55</f>
        <v>0.25</v>
      </c>
      <c r="J134" s="2"/>
    </row>
    <row r="135" spans="4:10" ht="20.100000000000001" customHeight="1" x14ac:dyDescent="0.25">
      <c r="D135" s="57"/>
      <c r="E135" s="57" t="str">
        <f>'Input - Swine'!$D$56</f>
        <v>Digester / covered lagoons</v>
      </c>
      <c r="F135" s="52">
        <f>'Input - Swine'!E56</f>
        <v>0.2</v>
      </c>
      <c r="G135" s="52">
        <f>'Input - Swine'!F56</f>
        <v>0.25</v>
      </c>
      <c r="H135" s="52">
        <f>'Input - Swine'!G56</f>
        <v>0.25</v>
      </c>
      <c r="I135" s="52">
        <f>'Input - Swine'!H56</f>
        <v>0.25</v>
      </c>
      <c r="J135" s="2"/>
    </row>
    <row r="136" spans="4:10" ht="20.100000000000001" customHeight="1" x14ac:dyDescent="0.25">
      <c r="D136" s="57"/>
      <c r="E136" s="57" t="str">
        <f>'Input - Swine'!$D$57</f>
        <v>Deep litter</v>
      </c>
      <c r="F136" s="52">
        <f>'Input - Swine'!E57</f>
        <v>0.2</v>
      </c>
      <c r="G136" s="52">
        <f>'Input - Swine'!F57</f>
        <v>0.25</v>
      </c>
      <c r="H136" s="52">
        <f>'Input - Swine'!G57</f>
        <v>0.25</v>
      </c>
      <c r="I136" s="52">
        <f>'Input - Swine'!H57</f>
        <v>0.25</v>
      </c>
      <c r="J136" s="2"/>
    </row>
    <row r="137" spans="4:10" ht="20.100000000000001" customHeight="1" x14ac:dyDescent="0.25">
      <c r="D137" s="57"/>
      <c r="E137" s="57" t="str">
        <f>'Input - Swine'!$D$58</f>
        <v>Pit storage</v>
      </c>
      <c r="F137" s="52">
        <f>'Input - Swine'!E58</f>
        <v>0.2</v>
      </c>
      <c r="G137" s="52">
        <f>'Input - Swine'!F58</f>
        <v>0.25</v>
      </c>
      <c r="H137" s="52">
        <f>'Input - Swine'!G58</f>
        <v>0.25</v>
      </c>
      <c r="I137" s="52">
        <f>'Input - Swine'!H58</f>
        <v>0.25</v>
      </c>
      <c r="J137" s="2"/>
    </row>
    <row r="138" spans="4:10" ht="20.100000000000001" customHeight="1" x14ac:dyDescent="0.25">
      <c r="D138" s="57" t="str">
        <f>'Input - Swine'!$D$31</f>
        <v>Digester / covered lagoons</v>
      </c>
      <c r="E138" s="57" t="str">
        <f>'Input - Swine'!$D$63</f>
        <v>Anaerobic lagoon</v>
      </c>
      <c r="F138" s="52">
        <f>'Input - Swine'!E63</f>
        <v>0.2</v>
      </c>
      <c r="G138" s="52">
        <f>'Input - Swine'!F63</f>
        <v>0.25</v>
      </c>
      <c r="H138" s="52">
        <f>'Input - Swine'!G63</f>
        <v>0.25</v>
      </c>
      <c r="I138" s="52">
        <f>'Input - Swine'!H63</f>
        <v>0.25</v>
      </c>
      <c r="J138" s="2"/>
    </row>
    <row r="139" spans="4:10" ht="20.100000000000001" customHeight="1" x14ac:dyDescent="0.25">
      <c r="D139" s="57"/>
      <c r="E139" s="57" t="str">
        <f>'Input - Swine'!$D$64</f>
        <v>Deep litter</v>
      </c>
      <c r="F139" s="52">
        <f>'Input - Swine'!E64</f>
        <v>0.2</v>
      </c>
      <c r="G139" s="52">
        <f>'Input - Swine'!F64</f>
        <v>0.25</v>
      </c>
      <c r="H139" s="52">
        <f>'Input - Swine'!G64</f>
        <v>0.25</v>
      </c>
      <c r="I139" s="52">
        <f>'Input - Swine'!H64</f>
        <v>0.25</v>
      </c>
      <c r="J139" s="2"/>
    </row>
    <row r="140" spans="4:10" ht="20.100000000000001" customHeight="1" x14ac:dyDescent="0.25">
      <c r="D140" s="57"/>
      <c r="E140" s="57" t="str">
        <f>'Input - Swine'!$D$65</f>
        <v>Pit storage</v>
      </c>
      <c r="F140" s="52">
        <f>'Input - Swine'!E65</f>
        <v>0.2</v>
      </c>
      <c r="G140" s="52">
        <f>'Input - Swine'!F65</f>
        <v>0.25</v>
      </c>
      <c r="H140" s="52">
        <f>'Input - Swine'!G65</f>
        <v>0.25</v>
      </c>
      <c r="I140" s="52">
        <f>'Input - Swine'!H65</f>
        <v>0.25</v>
      </c>
      <c r="J140" s="2"/>
    </row>
    <row r="141" spans="4:10" ht="20.100000000000001" customHeight="1" x14ac:dyDescent="0.25">
      <c r="D141" s="57" t="str">
        <f>'Input - Swine'!$D$32</f>
        <v>Deep litter</v>
      </c>
      <c r="E141" s="57" t="str">
        <f>'Input - Swine'!$D$70</f>
        <v>Anaerobic lagoon</v>
      </c>
      <c r="F141" s="52">
        <f>'Input - Swine'!E70</f>
        <v>0.2</v>
      </c>
      <c r="G141" s="52">
        <f>'Input - Swine'!F70</f>
        <v>0.25</v>
      </c>
      <c r="H141" s="52">
        <f>'Input - Swine'!G70</f>
        <v>0.25</v>
      </c>
      <c r="I141" s="52">
        <f>'Input - Swine'!H70</f>
        <v>0.25</v>
      </c>
      <c r="J141" s="2"/>
    </row>
    <row r="142" spans="4:10" ht="20.100000000000001" customHeight="1" x14ac:dyDescent="0.25">
      <c r="D142" s="57"/>
      <c r="E142" s="57" t="str">
        <f>'Input - Swine'!$D$71</f>
        <v>Digester / covered lagoons</v>
      </c>
      <c r="F142" s="52">
        <f>'Input - Swine'!E71</f>
        <v>0.2</v>
      </c>
      <c r="G142" s="52">
        <f>'Input - Swine'!F71</f>
        <v>0.25</v>
      </c>
      <c r="H142" s="52">
        <f>'Input - Swine'!G71</f>
        <v>0.25</v>
      </c>
      <c r="I142" s="52">
        <f>'Input - Swine'!H71</f>
        <v>0.25</v>
      </c>
      <c r="J142" s="2"/>
    </row>
    <row r="143" spans="4:10" ht="20.100000000000001" customHeight="1" x14ac:dyDescent="0.25">
      <c r="D143" s="57"/>
      <c r="E143" s="57" t="str">
        <f>'Input - Swine'!$D$72</f>
        <v>Pit storage</v>
      </c>
      <c r="F143" s="52">
        <f>'Input - Swine'!E72</f>
        <v>0.2</v>
      </c>
      <c r="G143" s="52">
        <f>'Input - Swine'!F72</f>
        <v>0.25</v>
      </c>
      <c r="H143" s="52">
        <f>'Input - Swine'!G72</f>
        <v>0.25</v>
      </c>
      <c r="I143" s="52">
        <f>'Input - Swine'!H72</f>
        <v>0.25</v>
      </c>
      <c r="J143" s="2"/>
    </row>
    <row r="144" spans="4:10" ht="20.100000000000001" customHeight="1" x14ac:dyDescent="0.25">
      <c r="D144" s="57" t="str">
        <f>'Input - Swine'!$D$33</f>
        <v>Pit storage</v>
      </c>
      <c r="E144" s="57" t="str">
        <f>'Input - Swine'!$D$77</f>
        <v>Anaerobic lagoon</v>
      </c>
      <c r="F144" s="52">
        <f>'Input - Swine'!E77</f>
        <v>0.2</v>
      </c>
      <c r="G144" s="52">
        <f>'Input - Swine'!F77</f>
        <v>0.25</v>
      </c>
      <c r="H144" s="52">
        <f>'Input - Swine'!G77</f>
        <v>0.25</v>
      </c>
      <c r="I144" s="52">
        <f>'Input - Swine'!H77</f>
        <v>0.25</v>
      </c>
      <c r="J144" s="2"/>
    </row>
    <row r="145" spans="4:16" ht="20.100000000000001" customHeight="1" x14ac:dyDescent="0.25">
      <c r="D145" s="57"/>
      <c r="E145" s="57" t="str">
        <f>'Input - Swine'!$D$78</f>
        <v>Digester / covered lagoons</v>
      </c>
      <c r="F145" s="52">
        <f>'Input - Swine'!E78</f>
        <v>0.2</v>
      </c>
      <c r="G145" s="52">
        <f>'Input - Swine'!F78</f>
        <v>0.25</v>
      </c>
      <c r="H145" s="52">
        <f>'Input - Swine'!G78</f>
        <v>0.25</v>
      </c>
      <c r="I145" s="52">
        <f>'Input - Swine'!H78</f>
        <v>0.25</v>
      </c>
      <c r="J145" s="2"/>
    </row>
    <row r="146" spans="4:16" ht="20.100000000000001" customHeight="1" x14ac:dyDescent="0.25">
      <c r="D146" s="57"/>
      <c r="E146" s="57" t="str">
        <f>'Input - Swine'!$D$79</f>
        <v>Deep litter</v>
      </c>
      <c r="F146" s="52">
        <f>'Input - Swine'!E79</f>
        <v>0.2</v>
      </c>
      <c r="G146" s="52">
        <f>'Input - Swine'!F79</f>
        <v>0.25</v>
      </c>
      <c r="H146" s="52">
        <f>'Input - Swine'!G79</f>
        <v>0.25</v>
      </c>
      <c r="I146" s="52">
        <f>'Input - Swine'!H79</f>
        <v>0.25</v>
      </c>
      <c r="J146" s="2"/>
    </row>
    <row r="147" spans="4:16" ht="20.100000000000001" customHeight="1" x14ac:dyDescent="0.25">
      <c r="D147" s="57" t="str">
        <f>'Input - Swine'!$D$34</f>
        <v>Solid storage</v>
      </c>
      <c r="E147" s="57" t="str">
        <f>'Input - Swine'!$D$84</f>
        <v>Anaerobic lagoon</v>
      </c>
      <c r="F147" s="52">
        <f>'Input - Swine'!E84</f>
        <v>0.2</v>
      </c>
      <c r="G147" s="52">
        <f>'Input - Swine'!F84</f>
        <v>0.2</v>
      </c>
      <c r="H147" s="52">
        <f>'Input - Swine'!G84</f>
        <v>0.2</v>
      </c>
      <c r="I147" s="52">
        <f>'Input - Swine'!H84</f>
        <v>0.2</v>
      </c>
      <c r="J147" s="2"/>
    </row>
    <row r="148" spans="4:16" ht="20.100000000000001" customHeight="1" x14ac:dyDescent="0.25">
      <c r="D148" s="57"/>
      <c r="E148" s="57" t="str">
        <f>'Input - Swine'!$D$85</f>
        <v>Digester / covered lagoons</v>
      </c>
      <c r="F148" s="52">
        <f>'Input - Swine'!E85</f>
        <v>0.2</v>
      </c>
      <c r="G148" s="52">
        <f>'Input - Swine'!F85</f>
        <v>0.2</v>
      </c>
      <c r="H148" s="52">
        <f>'Input - Swine'!G85</f>
        <v>0.2</v>
      </c>
      <c r="I148" s="52">
        <f>'Input - Swine'!H85</f>
        <v>0.2</v>
      </c>
      <c r="J148" s="2"/>
    </row>
    <row r="149" spans="4:16" ht="20.100000000000001" customHeight="1" x14ac:dyDescent="0.25">
      <c r="D149" s="57"/>
      <c r="E149" s="57" t="str">
        <f>'Input - Swine'!$D$86</f>
        <v>Deep litter</v>
      </c>
      <c r="F149" s="52">
        <f>'Input - Swine'!E86</f>
        <v>0.2</v>
      </c>
      <c r="G149" s="52">
        <f>'Input - Swine'!F86</f>
        <v>0.2</v>
      </c>
      <c r="H149" s="52">
        <f>'Input - Swine'!G86</f>
        <v>0.2</v>
      </c>
      <c r="I149" s="52">
        <f>'Input - Swine'!H86</f>
        <v>0.2</v>
      </c>
      <c r="J149" s="2"/>
    </row>
    <row r="150" spans="4:16" ht="20.100000000000001" customHeight="1" x14ac:dyDescent="0.25">
      <c r="D150" s="57"/>
      <c r="E150" s="57" t="str">
        <f>'Input - Swine'!$D$87</f>
        <v>Pit storage</v>
      </c>
      <c r="F150" s="52">
        <f>'Input - Swine'!E87</f>
        <v>0.1</v>
      </c>
      <c r="G150" s="52">
        <f>'Input - Swine'!F87</f>
        <v>0.1</v>
      </c>
      <c r="H150" s="52">
        <f>'Input - Swine'!G87</f>
        <v>0.1</v>
      </c>
      <c r="I150" s="52">
        <f>'Input - Swine'!H87</f>
        <v>0.1</v>
      </c>
      <c r="J150" s="2"/>
      <c r="N150" s="21" t="s">
        <v>367</v>
      </c>
      <c r="O150" s="21"/>
      <c r="P150" s="21"/>
    </row>
    <row r="151" spans="4:16" ht="20.100000000000001" customHeight="1" x14ac:dyDescent="0.25"/>
    <row r="152" spans="4:16" ht="20.100000000000001" customHeight="1" x14ac:dyDescent="0.25">
      <c r="D152" s="121" t="s">
        <v>122</v>
      </c>
      <c r="N152" s="121" t="s">
        <v>122</v>
      </c>
    </row>
    <row r="153" spans="4:16" ht="20.100000000000001" customHeight="1" x14ac:dyDescent="0.25">
      <c r="D153" s="122" t="s">
        <v>198</v>
      </c>
      <c r="N153" s="122" t="s">
        <v>366</v>
      </c>
    </row>
    <row r="154" spans="4:16" ht="20.100000000000001" customHeight="1" x14ac:dyDescent="0.25">
      <c r="D154" s="51" t="s">
        <v>67</v>
      </c>
      <c r="E154" s="51" t="s">
        <v>98</v>
      </c>
      <c r="N154" s="51" t="s">
        <v>67</v>
      </c>
      <c r="O154" s="51" t="s">
        <v>98</v>
      </c>
    </row>
    <row r="155" spans="4:16" ht="20.100000000000001" customHeight="1" x14ac:dyDescent="0.25">
      <c r="D155" s="57" t="str">
        <f>'Input - Swine'!$D$29</f>
        <v>Anaerobic lagoon</v>
      </c>
      <c r="E155" s="52">
        <f>CommonLivestock_InputFunctions.Livestock_LookupMCFState(D155,Table_SourceData_Swine_MMSMCF[NIR definition],Common_InputFunctions.Utility_ConvertStateCommonNameToAbbreviation($I$126,Table_AustralianStates[Common Name],Table_AustralianStates[Abbreviation]),Table_SourceData_Swine_MMSMCF[#Headers],Table_SourceData_Swine_MMSMCF[#Data])</f>
        <v>0.76</v>
      </c>
      <c r="F155" s="2" t="str">
        <f>$G$124</f>
        <v>fraction</v>
      </c>
      <c r="N155" s="57" t="str">
        <f>'Input - Swine'!$D$29</f>
        <v>Anaerobic lagoon</v>
      </c>
      <c r="O155" s="52" cm="1">
        <f t="array" ref="O155">Common_InputFunctions.Common_GetMCFTemperatureZone($S$126, N155,Table_SourceData_Common_MCFTemperatureZone[MAT raw],Table_SourceData_Common_MCFTemperatureZone[#Headers],Table_SourceData_Common_MCFTemperatureZone[])</f>
        <v>0.77</v>
      </c>
      <c r="P155" s="2" t="str">
        <f>$G$124</f>
        <v>fraction</v>
      </c>
    </row>
    <row r="156" spans="4:16" ht="20.100000000000001" customHeight="1" x14ac:dyDescent="0.25">
      <c r="D156" s="57" t="str">
        <f>'Input - Swine'!$D$30</f>
        <v>Drylot (feed pad)</v>
      </c>
      <c r="E156" s="52">
        <f>CommonLivestock_InputFunctions.Livestock_LookupMCFState(D156,Table_SourceData_Swine_MMSMCF[NIR definition],Common_InputFunctions.Utility_ConvertStateCommonNameToAbbreviation($I$126,Table_AustralianStates[Common Name],Table_AustralianStates[Abbreviation]),Table_SourceData_Swine_MMSMCF[#Headers],Table_SourceData_Swine_MMSMCF[#Data])</f>
        <v>0.01</v>
      </c>
      <c r="N156" s="57" t="str">
        <f>'Input - Swine'!$D$30</f>
        <v>Drylot (feed pad)</v>
      </c>
      <c r="O156" s="52">
        <f>CommonLivestock_InputFunctions.Livestock_LookupMCFState(N156,Table_SourceData_Swine_MMSMCF[NIR definition],Common_InputFunctions.Utility_ConvertStateCommonNameToAbbreviation($I$126,Table_AustralianStates[Common Name],Table_AustralianStates[Abbreviation]),Table_SourceData_Swine_MMSMCF[#Headers],Table_SourceData_Swine_MMSMCF[#Data])</f>
        <v>0.01</v>
      </c>
    </row>
    <row r="157" spans="4:16" ht="20.100000000000001" customHeight="1" x14ac:dyDescent="0.25">
      <c r="D157" s="57" t="str">
        <f>'Input - Swine'!$D$31</f>
        <v>Digester / covered lagoons</v>
      </c>
      <c r="E157" s="52">
        <f>CommonLivestock_InputFunctions.Livestock_LookupMCFState(D157,Table_SourceData_Swine_MMSMCF[NIR definition],Common_InputFunctions.Utility_ConvertStateCommonNameToAbbreviation($I$126,Table_AustralianStates[Common Name],Table_AustralianStates[Abbreviation]),Table_SourceData_Swine_MMSMCF[#Headers],Table_SourceData_Swine_MMSMCF[#Data])</f>
        <v>0.1</v>
      </c>
      <c r="N157" s="57" t="str">
        <f>'Input - Swine'!$D$31</f>
        <v>Digester / covered lagoons</v>
      </c>
      <c r="O157" s="52" cm="1">
        <f t="array" ref="O157">Common_InputFunctions.Common_GetMCFTemperatureZone($S$126, N157,Table_SourceData_Common_MCFTemperatureZone[MAT raw],Table_SourceData_Common_MCFTemperatureZone[#Headers],Table_SourceData_Common_MCFTemperatureZone[])</f>
        <v>0.1</v>
      </c>
    </row>
    <row r="158" spans="4:16" ht="20.100000000000001" customHeight="1" x14ac:dyDescent="0.25">
      <c r="D158" s="57" t="str">
        <f>'Input - Swine'!$D$32</f>
        <v>Deep litter</v>
      </c>
      <c r="E158" s="52">
        <f>CommonLivestock_InputFunctions.Livestock_LookupMCFState(D158,Table_SourceData_Swine_MMSMCF[NIR definition],Common_InputFunctions.Utility_ConvertStateCommonNameToAbbreviation($I$126,Table_AustralianStates[Common Name],Table_AustralianStates[Abbreviation]),Table_SourceData_Swine_MMSMCF[#Headers],Table_SourceData_Swine_MMSMCF[#Data])</f>
        <v>0.04</v>
      </c>
      <c r="N158" s="57" t="str">
        <f>'Input - Swine'!$D$32</f>
        <v>Deep litter</v>
      </c>
      <c r="O158" s="52" cm="1">
        <f t="array" ref="O158">Common_InputFunctions.Common_GetMCFTemperatureZone($S$126, N158,Table_SourceData_Common_MCFTemperatureZone[MAT raw],Table_SourceData_Common_MCFTemperatureZone[#Headers],Table_SourceData_Common_MCFTemperatureZone[])</f>
        <v>0.04</v>
      </c>
    </row>
    <row r="159" spans="4:16" ht="20.100000000000001" customHeight="1" x14ac:dyDescent="0.25">
      <c r="D159" s="57" t="str">
        <f>'Input - Swine'!$D$33</f>
        <v>Pit storage</v>
      </c>
      <c r="E159" s="52">
        <f>CommonLivestock_InputFunctions.Livestock_LookupMCFState(D159,Table_SourceData_Swine_MMSMCF[NIR definition],Common_InputFunctions.Utility_ConvertStateCommonNameToAbbreviation($I$126,Table_AustralianStates[Common Name],Table_AustralianStates[Abbreviation]),Table_SourceData_Swine_MMSMCF[#Headers],Table_SourceData_Swine_MMSMCF[#Data])</f>
        <v>0.03</v>
      </c>
      <c r="N159" s="57" t="str">
        <f>'Input - Swine'!$D$33</f>
        <v>Pit storage</v>
      </c>
      <c r="O159" s="52" cm="1">
        <f t="array" ref="O159">Common_InputFunctions.Common_GetMCFTemperatureZone($S$126, N159,Table_SourceData_Common_MCFTemperatureZone[MAT raw],Table_SourceData_Common_MCFTemperatureZone[#Headers],Table_SourceData_Common_MCFTemperatureZone[])</f>
        <v>0.03</v>
      </c>
    </row>
    <row r="160" spans="4:16" ht="20.100000000000001" customHeight="1" x14ac:dyDescent="0.25">
      <c r="D160" s="57" t="str">
        <f>'Input - Swine'!$D$34</f>
        <v>Solid storage</v>
      </c>
      <c r="E160" s="52">
        <f>CommonLivestock_InputFunctions.Livestock_LookupMCFState(D160,Table_SourceData_Swine_MMSMCF[NIR definition],Common_InputFunctions.Utility_ConvertStateCommonNameToAbbreviation($I$126,Table_AustralianStates[Common Name],Table_AustralianStates[Abbreviation]),Table_SourceData_Swine_MMSMCF[#Headers],Table_SourceData_Swine_MMSMCF[#Data])</f>
        <v>0.02</v>
      </c>
      <c r="N160" s="57" t="str">
        <f>'Input - Swine'!$D$34</f>
        <v>Solid storage</v>
      </c>
      <c r="O160" s="52" cm="1">
        <f t="array" ref="O160">Common_InputFunctions.Common_GetMCFTemperatureZone($S$126, N160,Table_SourceData_Common_MCFTemperatureZone[MAT raw],Table_SourceData_Common_MCFTemperatureZone[#Headers],Table_SourceData_Common_MCFTemperatureZone[])</f>
        <v>0.02</v>
      </c>
    </row>
    <row r="161" spans="4:20" ht="20.100000000000001" customHeight="1" x14ac:dyDescent="0.25"/>
    <row r="162" spans="4:20" ht="20.100000000000001" customHeight="1" x14ac:dyDescent="0.25">
      <c r="D162" s="121" t="s">
        <v>199</v>
      </c>
      <c r="N162" s="121" t="s">
        <v>218</v>
      </c>
    </row>
    <row r="163" spans="4:20" ht="20.100000000000001" customHeight="1" x14ac:dyDescent="0.25">
      <c r="D163" s="122" t="s">
        <v>200</v>
      </c>
      <c r="N163" s="122" t="s">
        <v>219</v>
      </c>
    </row>
    <row r="164" spans="4:20" ht="20.100000000000001" customHeight="1" x14ac:dyDescent="0.25">
      <c r="D164" s="51" t="s">
        <v>163</v>
      </c>
      <c r="E164" s="51" t="s">
        <v>171</v>
      </c>
      <c r="F164" s="51" t="s">
        <v>142</v>
      </c>
      <c r="G164" s="51" t="s">
        <v>143</v>
      </c>
      <c r="H164" s="51" t="s">
        <v>144</v>
      </c>
      <c r="I164" s="51" t="s">
        <v>206</v>
      </c>
      <c r="N164" s="51" t="s">
        <v>163</v>
      </c>
      <c r="O164" s="51" t="s">
        <v>171</v>
      </c>
      <c r="P164" s="51" t="s">
        <v>142</v>
      </c>
      <c r="Q164" s="51" t="s">
        <v>143</v>
      </c>
      <c r="R164" s="51" t="s">
        <v>144</v>
      </c>
      <c r="S164" s="51" t="s">
        <v>206</v>
      </c>
    </row>
    <row r="165" spans="4:20" ht="20.100000000000001" customHeight="1" x14ac:dyDescent="0.25">
      <c r="D165" s="57" t="str">
        <f>'Input - Swine'!$D$29</f>
        <v>Anaerobic lagoon</v>
      </c>
      <c r="E165" s="57" t="str">
        <f>'Input - Swine'!$D$48</f>
        <v>Digester / covered lagoons</v>
      </c>
      <c r="F165" s="52" cm="1">
        <f t="array" ref="F165">MMS_Swine_Methane_Equations.VEERG_4_5_1_1__6_Stage2MethaneProduction(E$103,$I$122,F131,VLOOKUP($E165,$D$155:$E$160,2, FALSE),$I$125)</f>
        <v>1.2374016000000002E-4</v>
      </c>
      <c r="G165" s="52" cm="1">
        <f t="array" ref="G165">MMS_Swine_Methane_Equations.VEERG_4_5_1_1__6_Stage2MethaneProduction(F$103,$I$122,G131,VLOOKUP($E165,$D$155:$E$160,2, FALSE),$I$125)</f>
        <v>1.7787648000000002E-4</v>
      </c>
      <c r="H165" s="52" cm="1">
        <f t="array" ref="H165">MMS_Swine_Methane_Equations.VEERG_4_5_1_1__6_Stage2MethaneProduction(G$103,$I$122,H131,VLOOKUP($E165,$D$155:$E$160,2, FALSE),$I$125)</f>
        <v>2.1267840000000003E-4</v>
      </c>
      <c r="I165" s="52" cm="1">
        <f t="array" ref="I165">MMS_Swine_Methane_Equations.VEERG_4_5_1_1__6_Stage2MethaneProduction(H$103,$I$122,I131,VLOOKUP($E165,$D$155:$E$160,2, FALSE),$I$125)</f>
        <v>1.5080832000000002E-4</v>
      </c>
      <c r="J165" s="2" t="str">
        <f>$E$119</f>
        <v>kg CH4/head/day</v>
      </c>
      <c r="N165" s="57" t="str">
        <f>'Input - Swine'!$D$29</f>
        <v>Anaerobic lagoon</v>
      </c>
      <c r="O165" s="57" t="str">
        <f>'Input - Swine'!$D$48</f>
        <v>Digester / covered lagoons</v>
      </c>
      <c r="P165" s="52" cm="1">
        <f t="array" ref="P165">MMS_Swine_Methane_Equations.VEERG_4_5_1_1__6_Stage2MethaneProduction(O$103,$I$122,F131,VLOOKUP($O165,$N$155:$O$160,2, FALSE),$I$125)</f>
        <v>1.2374016000000002E-4</v>
      </c>
      <c r="Q165" s="52" cm="1">
        <f t="array" ref="Q165">MMS_Swine_Methane_Equations.VEERG_4_5_1_1__6_Stage2MethaneProduction(P$103,$I$122,G131,VLOOKUP($O165,$N$155:$O$160,2, FALSE),$I$125)</f>
        <v>1.7787648000000002E-4</v>
      </c>
      <c r="R165" s="52" cm="1">
        <f t="array" ref="R165">MMS_Swine_Methane_Equations.VEERG_4_5_1_1__6_Stage2MethaneProduction(Q$103,$I$122,H131,VLOOKUP($O165,$N$155:$O$160,2, FALSE),$I$125)</f>
        <v>2.1267840000000003E-4</v>
      </c>
      <c r="S165" s="52" cm="1">
        <f t="array" ref="S165">MMS_Swine_Methane_Equations.VEERG_4_5_1_1__6_Stage2MethaneProduction(R$103,$I$122,I131,VLOOKUP($O165,$N$155:$O$160,2, FALSE),$I$125)</f>
        <v>1.5080832000000002E-4</v>
      </c>
      <c r="T165" s="2" t="str">
        <f t="shared" ref="T165" si="1">$E$119</f>
        <v>kg CH4/head/day</v>
      </c>
    </row>
    <row r="166" spans="4:20" ht="20.100000000000001" customHeight="1" x14ac:dyDescent="0.25">
      <c r="D166" s="57"/>
      <c r="E166" s="57" t="str">
        <f>'Input - Swine'!$D$49</f>
        <v>Deep litter</v>
      </c>
      <c r="F166" s="52" cm="1">
        <f t="array" ref="F166">MMS_Swine_Methane_Equations.VEERG_4_5_1_1__6_Stage2MethaneProduction(E$103,$I$122,F132,VLOOKUP($E166,$D$155:$E$160,2, FALSE),$I$125)</f>
        <v>4.9496064000000004E-5</v>
      </c>
      <c r="G166" s="52" cm="1">
        <f t="array" ref="G166">MMS_Swine_Methane_Equations.VEERG_4_5_1_1__6_Stage2MethaneProduction(F$103,$I$122,G132,VLOOKUP($E166,$D$155:$E$160,2, FALSE),$I$125)</f>
        <v>7.1150592000000014E-5</v>
      </c>
      <c r="H166" s="52" cm="1">
        <f t="array" ref="H166">MMS_Swine_Methane_Equations.VEERG_4_5_1_1__6_Stage2MethaneProduction(G$103,$I$122,H132,VLOOKUP($E166,$D$155:$E$160,2, FALSE),$I$125)</f>
        <v>8.5071360000000011E-5</v>
      </c>
      <c r="I166" s="52" cm="1">
        <f t="array" ref="I166">MMS_Swine_Methane_Equations.VEERG_4_5_1_1__6_Stage2MethaneProduction(H$103,$I$122,I132,VLOOKUP($E166,$D$155:$E$160,2, FALSE),$I$125)</f>
        <v>6.0323328000000009E-5</v>
      </c>
      <c r="J166" s="2"/>
      <c r="N166" s="57"/>
      <c r="O166" s="57" t="str">
        <f>'Input - Swine'!$D$49</f>
        <v>Deep litter</v>
      </c>
      <c r="P166" s="52" cm="1">
        <f t="array" ref="P166">MMS_Swine_Methane_Equations.VEERG_4_5_1_1__6_Stage2MethaneProduction(O$103,$I$122,F132,VLOOKUP($O166,$N$155:$O$160,2, FALSE),$I$125)</f>
        <v>4.9496064000000004E-5</v>
      </c>
      <c r="Q166" s="52" cm="1">
        <f t="array" ref="Q166">MMS_Swine_Methane_Equations.VEERG_4_5_1_1__6_Stage2MethaneProduction(P$103,$I$122,G132,VLOOKUP($O166,$N$155:$O$160,2, FALSE),$I$125)</f>
        <v>7.1150592000000014E-5</v>
      </c>
      <c r="R166" s="52" cm="1">
        <f t="array" ref="R166">MMS_Swine_Methane_Equations.VEERG_4_5_1_1__6_Stage2MethaneProduction(Q$103,$I$122,H132,VLOOKUP($O166,$N$155:$O$160,2, FALSE),$I$125)</f>
        <v>8.5071360000000011E-5</v>
      </c>
      <c r="S166" s="52" cm="1">
        <f t="array" ref="S166">MMS_Swine_Methane_Equations.VEERG_4_5_1_1__6_Stage2MethaneProduction(R$103,$I$122,I132,VLOOKUP($O166,$N$155:$O$160,2, FALSE),$I$125)</f>
        <v>6.0323328000000009E-5</v>
      </c>
      <c r="T166" s="2"/>
    </row>
    <row r="167" spans="4:20" ht="20.100000000000001" customHeight="1" x14ac:dyDescent="0.25">
      <c r="D167" s="57"/>
      <c r="E167" s="57" t="str">
        <f>'Input - Swine'!$D$50</f>
        <v>Pit storage</v>
      </c>
      <c r="F167" s="52" cm="1">
        <f t="array" ref="F167">MMS_Swine_Methane_Equations.VEERG_4_5_1_1__6_Stage2MethaneProduction(E$103,$I$122,F133,VLOOKUP($E167,$D$155:$E$160,2, FALSE),$I$125)</f>
        <v>3.7122047999999999E-5</v>
      </c>
      <c r="G167" s="52" cm="1">
        <f t="array" ref="G167">MMS_Swine_Methane_Equations.VEERG_4_5_1_1__6_Stage2MethaneProduction(F$103,$I$122,G133,VLOOKUP($E167,$D$155:$E$160,2, FALSE),$I$125)</f>
        <v>5.3362944000000004E-5</v>
      </c>
      <c r="H167" s="52" cm="1">
        <f t="array" ref="H167">MMS_Swine_Methane_Equations.VEERG_4_5_1_1__6_Stage2MethaneProduction(G$103,$I$122,H133,VLOOKUP($E167,$D$155:$E$160,2, FALSE),$I$125)</f>
        <v>6.3803520000000008E-5</v>
      </c>
      <c r="I167" s="52" cm="1">
        <f t="array" ref="I167">MMS_Swine_Methane_Equations.VEERG_4_5_1_1__6_Stage2MethaneProduction(H$103,$I$122,I133,VLOOKUP($E167,$D$155:$E$160,2, FALSE),$I$125)</f>
        <v>4.5242496000000002E-5</v>
      </c>
      <c r="J167" s="2"/>
      <c r="N167" s="57"/>
      <c r="O167" s="57" t="str">
        <f>'Input - Swine'!$D$50</f>
        <v>Pit storage</v>
      </c>
      <c r="P167" s="52" cm="1">
        <f t="array" ref="P167">MMS_Swine_Methane_Equations.VEERG_4_5_1_1__6_Stage2MethaneProduction(O$103,$I$122,F133,VLOOKUP($O167,$N$155:$O$160,2, FALSE),$I$125)</f>
        <v>3.7122047999999999E-5</v>
      </c>
      <c r="Q167" s="52" cm="1">
        <f t="array" ref="Q167">MMS_Swine_Methane_Equations.VEERG_4_5_1_1__6_Stage2MethaneProduction(P$103,$I$122,G133,VLOOKUP($O167,$N$155:$O$160,2, FALSE),$I$125)</f>
        <v>5.3362944000000004E-5</v>
      </c>
      <c r="R167" s="52" cm="1">
        <f t="array" ref="R167">MMS_Swine_Methane_Equations.VEERG_4_5_1_1__6_Stage2MethaneProduction(Q$103,$I$122,H133,VLOOKUP($O167,$N$155:$O$160,2, FALSE),$I$125)</f>
        <v>6.3803520000000008E-5</v>
      </c>
      <c r="S167" s="52" cm="1">
        <f t="array" ref="S167">MMS_Swine_Methane_Equations.VEERG_4_5_1_1__6_Stage2MethaneProduction(R$103,$I$122,I133,VLOOKUP($O167,$N$155:$O$160,2, FALSE),$I$125)</f>
        <v>4.5242496000000002E-5</v>
      </c>
      <c r="T167" s="2"/>
    </row>
    <row r="168" spans="4:20" ht="20.100000000000001" customHeight="1" x14ac:dyDescent="0.25">
      <c r="D168" s="57" t="str">
        <f>'Input - Swine'!$D$30</f>
        <v>Drylot (feed pad)</v>
      </c>
      <c r="E168" s="57" t="str">
        <f>'Input - Swine'!$D$55</f>
        <v>Anaerobic lagoon</v>
      </c>
      <c r="F168" s="52" cm="1">
        <f t="array" ref="F168">MMS_Swine_Methane_Equations.VEERG_4_5_1_1__6_Stage2MethaneProduction(E$104,$I$122,F134,VLOOKUP($E168,$D$155:$E$160,2, FALSE),$I$125)</f>
        <v>9.4042521600000016E-4</v>
      </c>
      <c r="G168" s="52" cm="1">
        <f t="array" ref="G168">MMS_Swine_Methane_Equations.VEERG_4_5_1_1__6_Stage2MethaneProduction(F$104,$I$122,G134,VLOOKUP($E168,$D$155:$E$160,2, FALSE),$I$125)</f>
        <v>1.3518612480000003E-3</v>
      </c>
      <c r="H168" s="52" cm="1">
        <f t="array" ref="H168">MMS_Swine_Methane_Equations.VEERG_4_5_1_1__6_Stage2MethaneProduction(G$104,$I$122,H134,VLOOKUP($E168,$D$155:$E$160,2, FALSE),$I$125)</f>
        <v>1.6163558400000002E-3</v>
      </c>
      <c r="I168" s="52" cm="1">
        <f t="array" ref="I168">MMS_Swine_Methane_Equations.VEERG_4_5_1_1__6_Stage2MethaneProduction(H$104,$I$122,I134,VLOOKUP($E168,$D$155:$E$160,2, FALSE),$I$125)</f>
        <v>1.146143232E-3</v>
      </c>
      <c r="J168" s="2"/>
      <c r="N168" s="57" t="str">
        <f>'Input - Swine'!$D$30</f>
        <v>Drylot (feed pad)</v>
      </c>
      <c r="O168" s="57" t="str">
        <f>'Input - Swine'!$D$55</f>
        <v>Anaerobic lagoon</v>
      </c>
      <c r="P168" s="52" cm="1">
        <f t="array" ref="P168">MMS_Swine_Methane_Equations.VEERG_4_5_1_1__6_Stage2MethaneProduction(O$104,$I$122,F134,VLOOKUP($O168,$N$155:$O$160,2, FALSE),$I$125)</f>
        <v>9.5279923199999999E-4</v>
      </c>
      <c r="Q168" s="52" cm="1">
        <f t="array" ref="Q168">MMS_Swine_Methane_Equations.VEERG_4_5_1_1__6_Stage2MethaneProduction(P$104,$I$122,G134,VLOOKUP($O168,$N$155:$O$160,2, FALSE),$I$125)</f>
        <v>1.3696488960000003E-3</v>
      </c>
      <c r="R168" s="52" cm="1">
        <f t="array" ref="R168">MMS_Swine_Methane_Equations.VEERG_4_5_1_1__6_Stage2MethaneProduction(Q$104,$I$122,H134,VLOOKUP($O168,$N$155:$O$160,2, FALSE),$I$125)</f>
        <v>1.63762368E-3</v>
      </c>
      <c r="S168" s="52" cm="1">
        <f t="array" ref="S168">MMS_Swine_Methane_Equations.VEERG_4_5_1_1__6_Stage2MethaneProduction(R$104,$I$122,I134,VLOOKUP($O168,$N$155:$O$160,2, FALSE),$I$125)</f>
        <v>1.1612240640000002E-3</v>
      </c>
      <c r="T168" s="2"/>
    </row>
    <row r="169" spans="4:20" ht="20.100000000000001" customHeight="1" x14ac:dyDescent="0.25">
      <c r="D169" s="57"/>
      <c r="E169" s="57" t="str">
        <f>'Input - Swine'!$D$56</f>
        <v>Digester / covered lagoons</v>
      </c>
      <c r="F169" s="52" cm="1">
        <f t="array" ref="F169">MMS_Swine_Methane_Equations.VEERG_4_5_1_1__6_Stage2MethaneProduction(E$104,$I$122,F135,VLOOKUP($E169,$D$155:$E$160,2, FALSE),$I$125)</f>
        <v>1.2374016000000002E-4</v>
      </c>
      <c r="G169" s="52" cm="1">
        <f t="array" ref="G169">MMS_Swine_Methane_Equations.VEERG_4_5_1_1__6_Stage2MethaneProduction(F$104,$I$122,G135,VLOOKUP($E169,$D$155:$E$160,2, FALSE),$I$125)</f>
        <v>1.7787648000000002E-4</v>
      </c>
      <c r="H169" s="52" cm="1">
        <f t="array" ref="H169">MMS_Swine_Methane_Equations.VEERG_4_5_1_1__6_Stage2MethaneProduction(G$104,$I$122,H135,VLOOKUP($E169,$D$155:$E$160,2, FALSE),$I$125)</f>
        <v>2.1267840000000003E-4</v>
      </c>
      <c r="I169" s="52" cm="1">
        <f t="array" ref="I169">MMS_Swine_Methane_Equations.VEERG_4_5_1_1__6_Stage2MethaneProduction(H$104,$I$122,I135,VLOOKUP($E169,$D$155:$E$160,2, FALSE),$I$125)</f>
        <v>1.5080832000000002E-4</v>
      </c>
      <c r="J169" s="2"/>
      <c r="N169" s="57"/>
      <c r="O169" s="57" t="str">
        <f>'Input - Swine'!$D$56</f>
        <v>Digester / covered lagoons</v>
      </c>
      <c r="P169" s="52" cm="1">
        <f t="array" ref="P169">MMS_Swine_Methane_Equations.VEERG_4_5_1_1__6_Stage2MethaneProduction(O$104,$I$122,F135,VLOOKUP($O169,$N$155:$O$160,2, FALSE),$I$125)</f>
        <v>1.2374016000000002E-4</v>
      </c>
      <c r="Q169" s="52" cm="1">
        <f t="array" ref="Q169">MMS_Swine_Methane_Equations.VEERG_4_5_1_1__6_Stage2MethaneProduction(P$104,$I$122,G135,VLOOKUP($O169,$N$155:$O$160,2, FALSE),$I$125)</f>
        <v>1.7787648000000002E-4</v>
      </c>
      <c r="R169" s="52" cm="1">
        <f t="array" ref="R169">MMS_Swine_Methane_Equations.VEERG_4_5_1_1__6_Stage2MethaneProduction(Q$104,$I$122,H135,VLOOKUP($O169,$N$155:$O$160,2, FALSE),$I$125)</f>
        <v>2.1267840000000003E-4</v>
      </c>
      <c r="S169" s="52" cm="1">
        <f t="array" ref="S169">MMS_Swine_Methane_Equations.VEERG_4_5_1_1__6_Stage2MethaneProduction(R$104,$I$122,I135,VLOOKUP($O169,$N$155:$O$160,2, FALSE),$I$125)</f>
        <v>1.5080832000000002E-4</v>
      </c>
      <c r="T169" s="2"/>
    </row>
    <row r="170" spans="4:20" ht="20.100000000000001" customHeight="1" x14ac:dyDescent="0.25">
      <c r="D170" s="57"/>
      <c r="E170" s="57" t="str">
        <f>'Input - Swine'!$D$57</f>
        <v>Deep litter</v>
      </c>
      <c r="F170" s="52" cm="1">
        <f t="array" ref="F170">MMS_Swine_Methane_Equations.VEERG_4_5_1_1__6_Stage2MethaneProduction(E$104,$I$122,F136,VLOOKUP($E170,$D$155:$E$160,2, FALSE),$I$125)</f>
        <v>4.9496064000000004E-5</v>
      </c>
      <c r="G170" s="52" cm="1">
        <f t="array" ref="G170">MMS_Swine_Methane_Equations.VEERG_4_5_1_1__6_Stage2MethaneProduction(F$104,$I$122,G136,VLOOKUP($E170,$D$155:$E$160,2, FALSE),$I$125)</f>
        <v>7.1150592000000014E-5</v>
      </c>
      <c r="H170" s="52" cm="1">
        <f t="array" ref="H170">MMS_Swine_Methane_Equations.VEERG_4_5_1_1__6_Stage2MethaneProduction(G$104,$I$122,H136,VLOOKUP($E170,$D$155:$E$160,2, FALSE),$I$125)</f>
        <v>8.5071360000000011E-5</v>
      </c>
      <c r="I170" s="52" cm="1">
        <f t="array" ref="I170">MMS_Swine_Methane_Equations.VEERG_4_5_1_1__6_Stage2MethaneProduction(H$104,$I$122,I136,VLOOKUP($E170,$D$155:$E$160,2, FALSE),$I$125)</f>
        <v>6.0323328000000009E-5</v>
      </c>
      <c r="J170" s="2"/>
      <c r="N170" s="57"/>
      <c r="O170" s="57" t="str">
        <f>'Input - Swine'!$D$57</f>
        <v>Deep litter</v>
      </c>
      <c r="P170" s="52" cm="1">
        <f t="array" ref="P170">MMS_Swine_Methane_Equations.VEERG_4_5_1_1__6_Stage2MethaneProduction(O$104,$I$122,F136,VLOOKUP($O170,$N$155:$O$160,2, FALSE),$I$125)</f>
        <v>4.9496064000000004E-5</v>
      </c>
      <c r="Q170" s="52" cm="1">
        <f t="array" ref="Q170">MMS_Swine_Methane_Equations.VEERG_4_5_1_1__6_Stage2MethaneProduction(P$104,$I$122,G136,VLOOKUP($O170,$N$155:$O$160,2, FALSE),$I$125)</f>
        <v>7.1150592000000014E-5</v>
      </c>
      <c r="R170" s="52" cm="1">
        <f t="array" ref="R170">MMS_Swine_Methane_Equations.VEERG_4_5_1_1__6_Stage2MethaneProduction(Q$104,$I$122,H136,VLOOKUP($O170,$N$155:$O$160,2, FALSE),$I$125)</f>
        <v>8.5071360000000011E-5</v>
      </c>
      <c r="S170" s="52" cm="1">
        <f t="array" ref="S170">MMS_Swine_Methane_Equations.VEERG_4_5_1_1__6_Stage2MethaneProduction(R$104,$I$122,I136,VLOOKUP($O170,$N$155:$O$160,2, FALSE),$I$125)</f>
        <v>6.0323328000000009E-5</v>
      </c>
      <c r="T170" s="2"/>
    </row>
    <row r="171" spans="4:20" ht="20.100000000000001" customHeight="1" x14ac:dyDescent="0.25">
      <c r="D171" s="57"/>
      <c r="E171" s="57" t="str">
        <f>'Input - Swine'!$D$58</f>
        <v>Pit storage</v>
      </c>
      <c r="F171" s="52" cm="1">
        <f t="array" ref="F171">MMS_Swine_Methane_Equations.VEERG_4_5_1_1__6_Stage2MethaneProduction(E$104,$I$122,F137,VLOOKUP($E171,$D$155:$E$160,2, FALSE),$I$125)</f>
        <v>3.7122047999999999E-5</v>
      </c>
      <c r="G171" s="52" cm="1">
        <f t="array" ref="G171">MMS_Swine_Methane_Equations.VEERG_4_5_1_1__6_Stage2MethaneProduction(F$104,$I$122,G137,VLOOKUP($E171,$D$155:$E$160,2, FALSE),$I$125)</f>
        <v>5.3362944000000004E-5</v>
      </c>
      <c r="H171" s="52" cm="1">
        <f t="array" ref="H171">MMS_Swine_Methane_Equations.VEERG_4_5_1_1__6_Stage2MethaneProduction(G$104,$I$122,H137,VLOOKUP($E171,$D$155:$E$160,2, FALSE),$I$125)</f>
        <v>6.3803520000000008E-5</v>
      </c>
      <c r="I171" s="52" cm="1">
        <f t="array" ref="I171">MMS_Swine_Methane_Equations.VEERG_4_5_1_1__6_Stage2MethaneProduction(H$104,$I$122,I137,VLOOKUP($E171,$D$155:$E$160,2, FALSE),$I$125)</f>
        <v>4.5242496000000002E-5</v>
      </c>
      <c r="J171" s="2"/>
      <c r="N171" s="57"/>
      <c r="O171" s="57" t="str">
        <f>'Input - Swine'!$D$58</f>
        <v>Pit storage</v>
      </c>
      <c r="P171" s="52" cm="1">
        <f t="array" ref="P171">MMS_Swine_Methane_Equations.VEERG_4_5_1_1__6_Stage2MethaneProduction(O$104,$I$122,F137,VLOOKUP($O171,$N$155:$O$160,2, FALSE),$I$125)</f>
        <v>3.7122047999999999E-5</v>
      </c>
      <c r="Q171" s="52" cm="1">
        <f t="array" ref="Q171">MMS_Swine_Methane_Equations.VEERG_4_5_1_1__6_Stage2MethaneProduction(P$104,$I$122,G137,VLOOKUP($O171,$N$155:$O$160,2, FALSE),$I$125)</f>
        <v>5.3362944000000004E-5</v>
      </c>
      <c r="R171" s="52" cm="1">
        <f t="array" ref="R171">MMS_Swine_Methane_Equations.VEERG_4_5_1_1__6_Stage2MethaneProduction(Q$104,$I$122,H137,VLOOKUP($O171,$N$155:$O$160,2, FALSE),$I$125)</f>
        <v>6.3803520000000008E-5</v>
      </c>
      <c r="S171" s="52" cm="1">
        <f t="array" ref="S171">MMS_Swine_Methane_Equations.VEERG_4_5_1_1__6_Stage2MethaneProduction(R$104,$I$122,I137,VLOOKUP($O171,$N$155:$O$160,2, FALSE),$I$125)</f>
        <v>4.5242496000000002E-5</v>
      </c>
      <c r="T171" s="2"/>
    </row>
    <row r="172" spans="4:20" ht="20.100000000000001" customHeight="1" x14ac:dyDescent="0.25">
      <c r="D172" s="57" t="str">
        <f>'Input - Swine'!$D$31</f>
        <v>Digester / covered lagoons</v>
      </c>
      <c r="E172" s="57" t="str">
        <f>'Input - Swine'!$D$63</f>
        <v>Anaerobic lagoon</v>
      </c>
      <c r="F172" s="52" cm="1">
        <f t="array" ref="F172">MMS_Swine_Methane_Equations.VEERG_4_5_1_1__6_Stage2MethaneProduction(E$105,$I$122,F138,VLOOKUP($E172,$D$155:$E$160,2, FALSE),$I$125)</f>
        <v>2.3510630400000004E-4</v>
      </c>
      <c r="G172" s="52" cm="1">
        <f t="array" ref="G172">MMS_Swine_Methane_Equations.VEERG_4_5_1_1__6_Stage2MethaneProduction(F$105,$I$122,G138,VLOOKUP($E172,$D$155:$E$160,2, FALSE),$I$125)</f>
        <v>3.3796531200000008E-4</v>
      </c>
      <c r="H172" s="52" cm="1">
        <f t="array" ref="H172">MMS_Swine_Methane_Equations.VEERG_4_5_1_1__6_Stage2MethaneProduction(G$105,$I$122,H138,VLOOKUP($E172,$D$155:$E$160,2, FALSE),$I$125)</f>
        <v>4.0408896000000005E-4</v>
      </c>
      <c r="I172" s="52" cm="1">
        <f t="array" ref="I172">MMS_Swine_Methane_Equations.VEERG_4_5_1_1__6_Stage2MethaneProduction(H$105,$I$122,I138,VLOOKUP($E172,$D$155:$E$160,2, FALSE),$I$125)</f>
        <v>2.86535808E-4</v>
      </c>
      <c r="J172" s="2"/>
      <c r="N172" s="57" t="str">
        <f>'Input - Swine'!$D$31</f>
        <v>Digester / covered lagoons</v>
      </c>
      <c r="O172" s="57" t="str">
        <f>'Input - Swine'!$D$63</f>
        <v>Anaerobic lagoon</v>
      </c>
      <c r="P172" s="52" cm="1">
        <f t="array" ref="P172">MMS_Swine_Methane_Equations.VEERG_4_5_1_1__6_Stage2MethaneProduction(O$105,$I$122,F138,VLOOKUP($O172,$N$155:$O$160,2, FALSE),$I$125)</f>
        <v>2.38199808E-4</v>
      </c>
      <c r="Q172" s="52" cm="1">
        <f t="array" ref="Q172">MMS_Swine_Methane_Equations.VEERG_4_5_1_1__6_Stage2MethaneProduction(P$105,$I$122,G138,VLOOKUP($O172,$N$155:$O$160,2, FALSE),$I$125)</f>
        <v>3.4241222400000008E-4</v>
      </c>
      <c r="R172" s="52" cm="1">
        <f t="array" ref="R172">MMS_Swine_Methane_Equations.VEERG_4_5_1_1__6_Stage2MethaneProduction(Q$105,$I$122,H138,VLOOKUP($O172,$N$155:$O$160,2, FALSE),$I$125)</f>
        <v>4.0940592000000001E-4</v>
      </c>
      <c r="S172" s="52" cm="1">
        <f t="array" ref="S172">MMS_Swine_Methane_Equations.VEERG_4_5_1_1__6_Stage2MethaneProduction(R$105,$I$122,I138,VLOOKUP($O172,$N$155:$O$160,2, FALSE),$I$125)</f>
        <v>2.9030601600000004E-4</v>
      </c>
      <c r="T172" s="2"/>
    </row>
    <row r="173" spans="4:20" ht="20.100000000000001" customHeight="1" x14ac:dyDescent="0.25">
      <c r="D173" s="57"/>
      <c r="E173" s="57" t="str">
        <f>'Input - Swine'!$D$64</f>
        <v>Deep litter</v>
      </c>
      <c r="F173" s="52" cm="1">
        <f t="array" ref="F173">MMS_Swine_Methane_Equations.VEERG_4_5_1_1__6_Stage2MethaneProduction(E$105,$I$122,F139,VLOOKUP($E173,$D$155:$E$160,2, FALSE),$I$125)</f>
        <v>1.2374016000000001E-5</v>
      </c>
      <c r="G173" s="52" cm="1">
        <f t="array" ref="G173">MMS_Swine_Methane_Equations.VEERG_4_5_1_1__6_Stage2MethaneProduction(F$105,$I$122,G139,VLOOKUP($E173,$D$155:$E$160,2, FALSE),$I$125)</f>
        <v>1.7787648000000004E-5</v>
      </c>
      <c r="H173" s="52" cm="1">
        <f t="array" ref="H173">MMS_Swine_Methane_Equations.VEERG_4_5_1_1__6_Stage2MethaneProduction(G$105,$I$122,H139,VLOOKUP($E173,$D$155:$E$160,2, FALSE),$I$125)</f>
        <v>2.1267840000000003E-5</v>
      </c>
      <c r="I173" s="52" cm="1">
        <f t="array" ref="I173">MMS_Swine_Methane_Equations.VEERG_4_5_1_1__6_Stage2MethaneProduction(H$105,$I$122,I139,VLOOKUP($E173,$D$155:$E$160,2, FALSE),$I$125)</f>
        <v>1.5080832000000002E-5</v>
      </c>
      <c r="J173" s="2"/>
      <c r="N173" s="57"/>
      <c r="O173" s="57" t="str">
        <f>'Input - Swine'!$D$64</f>
        <v>Deep litter</v>
      </c>
      <c r="P173" s="52" cm="1">
        <f t="array" ref="P173">MMS_Swine_Methane_Equations.VEERG_4_5_1_1__6_Stage2MethaneProduction(O$105,$I$122,F139,VLOOKUP($O173,$N$155:$O$160,2, FALSE),$I$125)</f>
        <v>1.2374016000000001E-5</v>
      </c>
      <c r="Q173" s="52" cm="1">
        <f t="array" ref="Q173">MMS_Swine_Methane_Equations.VEERG_4_5_1_1__6_Stage2MethaneProduction(P$105,$I$122,G139,VLOOKUP($O173,$N$155:$O$160,2, FALSE),$I$125)</f>
        <v>1.7787648000000004E-5</v>
      </c>
      <c r="R173" s="52" cm="1">
        <f t="array" ref="R173">MMS_Swine_Methane_Equations.VEERG_4_5_1_1__6_Stage2MethaneProduction(Q$105,$I$122,H139,VLOOKUP($O173,$N$155:$O$160,2, FALSE),$I$125)</f>
        <v>2.1267840000000003E-5</v>
      </c>
      <c r="S173" s="52" cm="1">
        <f t="array" ref="S173">MMS_Swine_Methane_Equations.VEERG_4_5_1_1__6_Stage2MethaneProduction(R$105,$I$122,I139,VLOOKUP($O173,$N$155:$O$160,2, FALSE),$I$125)</f>
        <v>1.5080832000000002E-5</v>
      </c>
      <c r="T173" s="2"/>
    </row>
    <row r="174" spans="4:20" ht="20.100000000000001" customHeight="1" x14ac:dyDescent="0.25">
      <c r="D174" s="57"/>
      <c r="E174" s="57" t="str">
        <f>'Input - Swine'!$D$65</f>
        <v>Pit storage</v>
      </c>
      <c r="F174" s="52" cm="1">
        <f t="array" ref="F174">MMS_Swine_Methane_Equations.VEERG_4_5_1_1__6_Stage2MethaneProduction(E$105,$I$122,F140,VLOOKUP($E174,$D$155:$E$160,2, FALSE),$I$125)</f>
        <v>9.2805119999999998E-6</v>
      </c>
      <c r="G174" s="52" cm="1">
        <f t="array" ref="G174">MMS_Swine_Methane_Equations.VEERG_4_5_1_1__6_Stage2MethaneProduction(F$105,$I$122,G140,VLOOKUP($E174,$D$155:$E$160,2, FALSE),$I$125)</f>
        <v>1.3340736000000001E-5</v>
      </c>
      <c r="H174" s="52" cm="1">
        <f t="array" ref="H174">MMS_Swine_Methane_Equations.VEERG_4_5_1_1__6_Stage2MethaneProduction(G$105,$I$122,H140,VLOOKUP($E174,$D$155:$E$160,2, FALSE),$I$125)</f>
        <v>1.5950880000000002E-5</v>
      </c>
      <c r="I174" s="52" cm="1">
        <f t="array" ref="I174">MMS_Swine_Methane_Equations.VEERG_4_5_1_1__6_Stage2MethaneProduction(H$105,$I$122,I140,VLOOKUP($E174,$D$155:$E$160,2, FALSE),$I$125)</f>
        <v>1.1310624E-5</v>
      </c>
      <c r="J174" s="2"/>
      <c r="N174" s="57"/>
      <c r="O174" s="57" t="str">
        <f>'Input - Swine'!$D$65</f>
        <v>Pit storage</v>
      </c>
      <c r="P174" s="52" cm="1">
        <f t="array" ref="P174">MMS_Swine_Methane_Equations.VEERG_4_5_1_1__6_Stage2MethaneProduction(O$105,$I$122,F140,VLOOKUP($O174,$N$155:$O$160,2, FALSE),$I$125)</f>
        <v>9.2805119999999998E-6</v>
      </c>
      <c r="Q174" s="52" cm="1">
        <f t="array" ref="Q174">MMS_Swine_Methane_Equations.VEERG_4_5_1_1__6_Stage2MethaneProduction(P$105,$I$122,G140,VLOOKUP($O174,$N$155:$O$160,2, FALSE),$I$125)</f>
        <v>1.3340736000000001E-5</v>
      </c>
      <c r="R174" s="52" cm="1">
        <f t="array" ref="R174">MMS_Swine_Methane_Equations.VEERG_4_5_1_1__6_Stage2MethaneProduction(Q$105,$I$122,H140,VLOOKUP($O174,$N$155:$O$160,2, FALSE),$I$125)</f>
        <v>1.5950880000000002E-5</v>
      </c>
      <c r="S174" s="52" cm="1">
        <f t="array" ref="S174">MMS_Swine_Methane_Equations.VEERG_4_5_1_1__6_Stage2MethaneProduction(R$105,$I$122,I140,VLOOKUP($O174,$N$155:$O$160,2, FALSE),$I$125)</f>
        <v>1.1310624E-5</v>
      </c>
      <c r="T174" s="2"/>
    </row>
    <row r="175" spans="4:20" ht="20.100000000000001" customHeight="1" x14ac:dyDescent="0.25">
      <c r="D175" s="57" t="str">
        <f>'Input - Swine'!$D$32</f>
        <v>Deep litter</v>
      </c>
      <c r="E175" s="57" t="str">
        <f>'Input - Swine'!$D$70</f>
        <v>Anaerobic lagoon</v>
      </c>
      <c r="F175" s="52" cm="1">
        <f t="array" ref="F175">MMS_Swine_Methane_Equations.VEERG_4_5_1_1__6_Stage2MethaneProduction(E$106,$I$122,F141,VLOOKUP($E175,$D$155:$E$160,2, FALSE),$I$125)</f>
        <v>8.9340395520000001E-4</v>
      </c>
      <c r="G175" s="52" cm="1">
        <f t="array" ref="G175">MMS_Swine_Methane_Equations.VEERG_4_5_1_1__6_Stage2MethaneProduction(F$106,$I$122,G141,VLOOKUP($E175,$D$155:$E$160,2, FALSE),$I$125)</f>
        <v>1.2842681856000001E-3</v>
      </c>
      <c r="H175" s="52" cm="1">
        <f t="array" ref="H175">MMS_Swine_Methane_Equations.VEERG_4_5_1_1__6_Stage2MethaneProduction(G$106,$I$122,H141,VLOOKUP($E175,$D$155:$E$160,2, FALSE),$I$125)</f>
        <v>1.5355380480000004E-3</v>
      </c>
      <c r="I175" s="52" cm="1">
        <f t="array" ref="I175">MMS_Swine_Methane_Equations.VEERG_4_5_1_1__6_Stage2MethaneProduction(H$106,$I$122,I141,VLOOKUP($E175,$D$155:$E$160,2, FALSE),$I$125)</f>
        <v>1.0888360704000002E-3</v>
      </c>
      <c r="J175" s="2"/>
      <c r="N175" s="57" t="str">
        <f>'Input - Swine'!$D$32</f>
        <v>Deep litter</v>
      </c>
      <c r="O175" s="57" t="str">
        <f>'Input - Swine'!$D$70</f>
        <v>Anaerobic lagoon</v>
      </c>
      <c r="P175" s="52" cm="1">
        <f t="array" ref="P175">MMS_Swine_Methane_Equations.VEERG_4_5_1_1__6_Stage2MethaneProduction(O$106,$I$122,F141,VLOOKUP($O175,$N$155:$O$160,2, FALSE),$I$125)</f>
        <v>9.0515927040000002E-4</v>
      </c>
      <c r="Q175" s="52" cm="1">
        <f t="array" ref="Q175">MMS_Swine_Methane_Equations.VEERG_4_5_1_1__6_Stage2MethaneProduction(P$106,$I$122,G141,VLOOKUP($O175,$N$155:$O$160,2, FALSE),$I$125)</f>
        <v>1.3011664512E-3</v>
      </c>
      <c r="R175" s="52" cm="1">
        <f t="array" ref="R175">MMS_Swine_Methane_Equations.VEERG_4_5_1_1__6_Stage2MethaneProduction(Q$106,$I$122,H141,VLOOKUP($O175,$N$155:$O$160,2, FALSE),$I$125)</f>
        <v>1.5557424960000003E-3</v>
      </c>
      <c r="S175" s="52" cm="1">
        <f t="array" ref="S175">MMS_Swine_Methane_Equations.VEERG_4_5_1_1__6_Stage2MethaneProduction(R$106,$I$122,I141,VLOOKUP($O175,$N$155:$O$160,2, FALSE),$I$125)</f>
        <v>1.1031628608000001E-3</v>
      </c>
      <c r="T175" s="2"/>
    </row>
    <row r="176" spans="4:20" ht="20.100000000000001" customHeight="1" x14ac:dyDescent="0.25">
      <c r="D176" s="57"/>
      <c r="E176" s="57" t="str">
        <f>'Input - Swine'!$D$71</f>
        <v>Digester / covered lagoons</v>
      </c>
      <c r="F176" s="52" cm="1">
        <f t="array" ref="F176">MMS_Swine_Methane_Equations.VEERG_4_5_1_1__6_Stage2MethaneProduction(E$106,$I$122,F142,VLOOKUP($E176,$D$155:$E$160,2, FALSE),$I$125)</f>
        <v>1.1755315200000002E-4</v>
      </c>
      <c r="G176" s="52" cm="1">
        <f t="array" ref="G176">MMS_Swine_Methane_Equations.VEERG_4_5_1_1__6_Stage2MethaneProduction(F$106,$I$122,G142,VLOOKUP($E176,$D$155:$E$160,2, FALSE),$I$125)</f>
        <v>1.6898265599999998E-4</v>
      </c>
      <c r="H176" s="52" cm="1">
        <f t="array" ref="H176">MMS_Swine_Methane_Equations.VEERG_4_5_1_1__6_Stage2MethaneProduction(G$106,$I$122,H142,VLOOKUP($E176,$D$155:$E$160,2, FALSE),$I$125)</f>
        <v>2.0204448000000003E-4</v>
      </c>
      <c r="I176" s="52" cm="1">
        <f t="array" ref="I176">MMS_Swine_Methane_Equations.VEERG_4_5_1_1__6_Stage2MethaneProduction(H$106,$I$122,I142,VLOOKUP($E176,$D$155:$E$160,2, FALSE),$I$125)</f>
        <v>1.43267904E-4</v>
      </c>
      <c r="J176" s="2"/>
      <c r="N176" s="57"/>
      <c r="O176" s="57" t="str">
        <f>'Input - Swine'!$D$71</f>
        <v>Digester / covered lagoons</v>
      </c>
      <c r="P176" s="52" cm="1">
        <f t="array" ref="P176">MMS_Swine_Methane_Equations.VEERG_4_5_1_1__6_Stage2MethaneProduction(O$106,$I$122,F142,VLOOKUP($O176,$N$155:$O$160,2, FALSE),$I$125)</f>
        <v>1.1755315200000002E-4</v>
      </c>
      <c r="Q176" s="52" cm="1">
        <f t="array" ref="Q176">MMS_Swine_Methane_Equations.VEERG_4_5_1_1__6_Stage2MethaneProduction(P$106,$I$122,G142,VLOOKUP($O176,$N$155:$O$160,2, FALSE),$I$125)</f>
        <v>1.6898265599999998E-4</v>
      </c>
      <c r="R176" s="52" cm="1">
        <f t="array" ref="R176">MMS_Swine_Methane_Equations.VEERG_4_5_1_1__6_Stage2MethaneProduction(Q$106,$I$122,H142,VLOOKUP($O176,$N$155:$O$160,2, FALSE),$I$125)</f>
        <v>2.0204448000000003E-4</v>
      </c>
      <c r="S176" s="52" cm="1">
        <f t="array" ref="S176">MMS_Swine_Methane_Equations.VEERG_4_5_1_1__6_Stage2MethaneProduction(R$106,$I$122,I142,VLOOKUP($O176,$N$155:$O$160,2, FALSE),$I$125)</f>
        <v>1.43267904E-4</v>
      </c>
      <c r="T176" s="2"/>
    </row>
    <row r="177" spans="1:21" ht="20.100000000000001" customHeight="1" x14ac:dyDescent="0.25">
      <c r="D177" s="57"/>
      <c r="E177" s="57" t="str">
        <f>'Input - Swine'!$D$72</f>
        <v>Pit storage</v>
      </c>
      <c r="F177" s="52" cm="1">
        <f t="array" ref="F177">MMS_Swine_Methane_Equations.VEERG_4_5_1_1__6_Stage2MethaneProduction(E$106,$I$122,F143,VLOOKUP($E177,$D$155:$E$160,2, FALSE),$I$125)</f>
        <v>3.5265945600000003E-5</v>
      </c>
      <c r="G177" s="52" cm="1">
        <f t="array" ref="G177">MMS_Swine_Methane_Equations.VEERG_4_5_1_1__6_Stage2MethaneProduction(F$106,$I$122,G143,VLOOKUP($E177,$D$155:$E$160,2, FALSE),$I$125)</f>
        <v>5.0694796799999996E-5</v>
      </c>
      <c r="H177" s="52" cm="1">
        <f t="array" ref="H177">MMS_Swine_Methane_Equations.VEERG_4_5_1_1__6_Stage2MethaneProduction(G$106,$I$122,H143,VLOOKUP($E177,$D$155:$E$160,2, FALSE),$I$125)</f>
        <v>6.0613344000000005E-5</v>
      </c>
      <c r="I177" s="52" cm="1">
        <f t="array" ref="I177">MMS_Swine_Methane_Equations.VEERG_4_5_1_1__6_Stage2MethaneProduction(H$106,$I$122,I143,VLOOKUP($E177,$D$155:$E$160,2, FALSE),$I$125)</f>
        <v>4.2980371200000003E-5</v>
      </c>
      <c r="J177" s="2"/>
      <c r="N177" s="57"/>
      <c r="O177" s="57" t="str">
        <f>'Input - Swine'!$D$72</f>
        <v>Pit storage</v>
      </c>
      <c r="P177" s="52" cm="1">
        <f t="array" ref="P177">MMS_Swine_Methane_Equations.VEERG_4_5_1_1__6_Stage2MethaneProduction(O$106,$I$122,F143,VLOOKUP($O177,$N$155:$O$160,2, FALSE),$I$125)</f>
        <v>3.5265945600000003E-5</v>
      </c>
      <c r="Q177" s="52" cm="1">
        <f t="array" ref="Q177">MMS_Swine_Methane_Equations.VEERG_4_5_1_1__6_Stage2MethaneProduction(P$106,$I$122,G143,VLOOKUP($O177,$N$155:$O$160,2, FALSE),$I$125)</f>
        <v>5.0694796799999996E-5</v>
      </c>
      <c r="R177" s="52" cm="1">
        <f t="array" ref="R177">MMS_Swine_Methane_Equations.VEERG_4_5_1_1__6_Stage2MethaneProduction(Q$106,$I$122,H143,VLOOKUP($O177,$N$155:$O$160,2, FALSE),$I$125)</f>
        <v>6.0613344000000005E-5</v>
      </c>
      <c r="S177" s="52" cm="1">
        <f t="array" ref="S177">MMS_Swine_Methane_Equations.VEERG_4_5_1_1__6_Stage2MethaneProduction(R$106,$I$122,I143,VLOOKUP($O177,$N$155:$O$160,2, FALSE),$I$125)</f>
        <v>4.2980371200000003E-5</v>
      </c>
      <c r="T177" s="2"/>
    </row>
    <row r="178" spans="1:21" ht="20.100000000000001" customHeight="1" x14ac:dyDescent="0.25">
      <c r="D178" s="57" t="str">
        <f>'Input - Swine'!$D$33</f>
        <v>Pit storage</v>
      </c>
      <c r="E178" s="57" t="str">
        <f>'Input - Swine'!$D$77</f>
        <v>Anaerobic lagoon</v>
      </c>
      <c r="F178" s="52" cm="1">
        <f t="array" ref="F178">MMS_Swine_Methane_Equations.VEERG_4_5_1_1__6_Stage2MethaneProduction(E$107,$I$122,F144,VLOOKUP($E178,$D$155:$E$160,2, FALSE),$I$125)</f>
        <v>9.4042521600000016E-4</v>
      </c>
      <c r="G178" s="52" cm="1">
        <f t="array" ref="G178">MMS_Swine_Methane_Equations.VEERG_4_5_1_1__6_Stage2MethaneProduction(F$107,$I$122,G144,VLOOKUP($E178,$D$155:$E$160,2, FALSE),$I$125)</f>
        <v>1.3518612480000003E-3</v>
      </c>
      <c r="H178" s="52" cm="1">
        <f t="array" ref="H178">MMS_Swine_Methane_Equations.VEERG_4_5_1_1__6_Stage2MethaneProduction(G$107,$I$122,H144,VLOOKUP($E178,$D$155:$E$160,2, FALSE),$I$125)</f>
        <v>1.6163558400000002E-3</v>
      </c>
      <c r="I178" s="52" cm="1">
        <f t="array" ref="I178">MMS_Swine_Methane_Equations.VEERG_4_5_1_1__6_Stage2MethaneProduction(H$107,$I$122,I144,VLOOKUP($E178,$D$155:$E$160,2, FALSE),$I$125)</f>
        <v>1.146143232E-3</v>
      </c>
      <c r="J178" s="2"/>
      <c r="N178" s="57" t="str">
        <f>'Input - Swine'!$D$33</f>
        <v>Pit storage</v>
      </c>
      <c r="O178" s="57" t="str">
        <f>'Input - Swine'!$D$77</f>
        <v>Anaerobic lagoon</v>
      </c>
      <c r="P178" s="52" cm="1">
        <f t="array" ref="P178">MMS_Swine_Methane_Equations.VEERG_4_5_1_1__6_Stage2MethaneProduction(O$107,$I$122,F144,VLOOKUP($O178,$N$155:$O$160,2, FALSE),$I$125)</f>
        <v>9.5279923199999999E-4</v>
      </c>
      <c r="Q178" s="52" cm="1">
        <f t="array" ref="Q178">MMS_Swine_Methane_Equations.VEERG_4_5_1_1__6_Stage2MethaneProduction(P$107,$I$122,G144,VLOOKUP($O178,$N$155:$O$160,2, FALSE),$I$125)</f>
        <v>1.3696488960000003E-3</v>
      </c>
      <c r="R178" s="52" cm="1">
        <f t="array" ref="R178">MMS_Swine_Methane_Equations.VEERG_4_5_1_1__6_Stage2MethaneProduction(Q$107,$I$122,H144,VLOOKUP($O178,$N$155:$O$160,2, FALSE),$I$125)</f>
        <v>1.63762368E-3</v>
      </c>
      <c r="S178" s="52" cm="1">
        <f t="array" ref="S178">MMS_Swine_Methane_Equations.VEERG_4_5_1_1__6_Stage2MethaneProduction(R$107,$I$122,I144,VLOOKUP($O178,$N$155:$O$160,2, FALSE),$I$125)</f>
        <v>1.1612240640000002E-3</v>
      </c>
      <c r="T178" s="2"/>
    </row>
    <row r="179" spans="1:21" ht="20.100000000000001" customHeight="1" x14ac:dyDescent="0.25">
      <c r="D179" s="57"/>
      <c r="E179" s="57" t="str">
        <f>'Input - Swine'!$D$78</f>
        <v>Digester / covered lagoons</v>
      </c>
      <c r="F179" s="52" cm="1">
        <f t="array" ref="F179">MMS_Swine_Methane_Equations.VEERG_4_5_1_1__6_Stage2MethaneProduction(E$107,$I$122,F145,VLOOKUP($E179,$D$155:$E$160,2, FALSE),$I$125)</f>
        <v>1.2374016000000002E-4</v>
      </c>
      <c r="G179" s="52" cm="1">
        <f t="array" ref="G179">MMS_Swine_Methane_Equations.VEERG_4_5_1_1__6_Stage2MethaneProduction(F$107,$I$122,G145,VLOOKUP($E179,$D$155:$E$160,2, FALSE),$I$125)</f>
        <v>1.7787648000000002E-4</v>
      </c>
      <c r="H179" s="52" cm="1">
        <f t="array" ref="H179">MMS_Swine_Methane_Equations.VEERG_4_5_1_1__6_Stage2MethaneProduction(G$107,$I$122,H145,VLOOKUP($E179,$D$155:$E$160,2, FALSE),$I$125)</f>
        <v>2.1267840000000003E-4</v>
      </c>
      <c r="I179" s="52" cm="1">
        <f t="array" ref="I179">MMS_Swine_Methane_Equations.VEERG_4_5_1_1__6_Stage2MethaneProduction(H$107,$I$122,I145,VLOOKUP($E179,$D$155:$E$160,2, FALSE),$I$125)</f>
        <v>1.5080832000000002E-4</v>
      </c>
      <c r="J179" s="2"/>
      <c r="N179" s="57"/>
      <c r="O179" s="57" t="str">
        <f>'Input - Swine'!$D$78</f>
        <v>Digester / covered lagoons</v>
      </c>
      <c r="P179" s="52" cm="1">
        <f t="array" ref="P179">MMS_Swine_Methane_Equations.VEERG_4_5_1_1__6_Stage2MethaneProduction(O$107,$I$122,F145,VLOOKUP($O179,$N$155:$O$160,2, FALSE),$I$125)</f>
        <v>1.2374016000000002E-4</v>
      </c>
      <c r="Q179" s="52" cm="1">
        <f t="array" ref="Q179">MMS_Swine_Methane_Equations.VEERG_4_5_1_1__6_Stage2MethaneProduction(P$107,$I$122,G145,VLOOKUP($O179,$N$155:$O$160,2, FALSE),$I$125)</f>
        <v>1.7787648000000002E-4</v>
      </c>
      <c r="R179" s="52" cm="1">
        <f t="array" ref="R179">MMS_Swine_Methane_Equations.VEERG_4_5_1_1__6_Stage2MethaneProduction(Q$107,$I$122,H145,VLOOKUP($O179,$N$155:$O$160,2, FALSE),$I$125)</f>
        <v>2.1267840000000003E-4</v>
      </c>
      <c r="S179" s="52" cm="1">
        <f t="array" ref="S179">MMS_Swine_Methane_Equations.VEERG_4_5_1_1__6_Stage2MethaneProduction(R$107,$I$122,I145,VLOOKUP($O179,$N$155:$O$160,2, FALSE),$I$125)</f>
        <v>1.5080832000000002E-4</v>
      </c>
      <c r="T179" s="2"/>
    </row>
    <row r="180" spans="1:21" ht="20.100000000000001" customHeight="1" x14ac:dyDescent="0.25">
      <c r="D180" s="57"/>
      <c r="E180" s="57" t="str">
        <f>'Input - Swine'!$D$79</f>
        <v>Deep litter</v>
      </c>
      <c r="F180" s="52" cm="1">
        <f t="array" ref="F180">MMS_Swine_Methane_Equations.VEERG_4_5_1_1__6_Stage2MethaneProduction(E$107,$I$122,F146,VLOOKUP($E180,$D$155:$E$160,2, FALSE),$I$125)</f>
        <v>4.9496064000000004E-5</v>
      </c>
      <c r="G180" s="52" cm="1">
        <f t="array" ref="G180">MMS_Swine_Methane_Equations.VEERG_4_5_1_1__6_Stage2MethaneProduction(F$107,$I$122,G146,VLOOKUP($E180,$D$155:$E$160,2, FALSE),$I$125)</f>
        <v>7.1150592000000014E-5</v>
      </c>
      <c r="H180" s="52" cm="1">
        <f t="array" ref="H180">MMS_Swine_Methane_Equations.VEERG_4_5_1_1__6_Stage2MethaneProduction(G$107,$I$122,H146,VLOOKUP($E180,$D$155:$E$160,2, FALSE),$I$125)</f>
        <v>8.5071360000000011E-5</v>
      </c>
      <c r="I180" s="52" cm="1">
        <f t="array" ref="I180">MMS_Swine_Methane_Equations.VEERG_4_5_1_1__6_Stage2MethaneProduction(H$107,$I$122,I146,VLOOKUP($E180,$D$155:$E$160,2, FALSE),$I$125)</f>
        <v>6.0323328000000009E-5</v>
      </c>
      <c r="J180" s="2"/>
      <c r="N180" s="57"/>
      <c r="O180" s="57" t="str">
        <f>'Input - Swine'!$D$79</f>
        <v>Deep litter</v>
      </c>
      <c r="P180" s="52" cm="1">
        <f t="array" ref="P180">MMS_Swine_Methane_Equations.VEERG_4_5_1_1__6_Stage2MethaneProduction(O$107,$I$122,F146,VLOOKUP($O180,$N$155:$O$160,2, FALSE),$I$125)</f>
        <v>4.9496064000000004E-5</v>
      </c>
      <c r="Q180" s="52" cm="1">
        <f t="array" ref="Q180">MMS_Swine_Methane_Equations.VEERG_4_5_1_1__6_Stage2MethaneProduction(P$107,$I$122,G146,VLOOKUP($O180,$N$155:$O$160,2, FALSE),$I$125)</f>
        <v>7.1150592000000014E-5</v>
      </c>
      <c r="R180" s="52" cm="1">
        <f t="array" ref="R180">MMS_Swine_Methane_Equations.VEERG_4_5_1_1__6_Stage2MethaneProduction(Q$107,$I$122,H146,VLOOKUP($O180,$N$155:$O$160,2, FALSE),$I$125)</f>
        <v>8.5071360000000011E-5</v>
      </c>
      <c r="S180" s="52" cm="1">
        <f t="array" ref="S180">MMS_Swine_Methane_Equations.VEERG_4_5_1_1__6_Stage2MethaneProduction(R$107,$I$122,I146,VLOOKUP($O180,$N$155:$O$160,2, FALSE),$I$125)</f>
        <v>6.0323328000000009E-5</v>
      </c>
      <c r="T180" s="2"/>
    </row>
    <row r="181" spans="1:21" ht="20.100000000000001" customHeight="1" x14ac:dyDescent="0.25">
      <c r="D181" s="57" t="str">
        <f>'Input - Swine'!$D$34</f>
        <v>Solid storage</v>
      </c>
      <c r="E181" s="57" t="str">
        <f>'Input - Swine'!$D$84</f>
        <v>Anaerobic lagoon</v>
      </c>
      <c r="F181" s="52" cm="1">
        <f t="array" ref="F181">MMS_Swine_Methane_Equations.VEERG_4_5_1_1__6_Stage2MethaneProduction(E$108,$I$122,F147,VLOOKUP($E181,$D$155:$E$160,2, FALSE),$I$125)</f>
        <v>3.134750720000001E-3</v>
      </c>
      <c r="G181" s="52" cm="1">
        <f t="array" ref="G181">MMS_Swine_Methane_Equations.VEERG_4_5_1_1__6_Stage2MethaneProduction(F$108,$I$122,G147,VLOOKUP($E181,$D$155:$E$160,2, FALSE),$I$125)</f>
        <v>3.6049633280000022E-3</v>
      </c>
      <c r="H181" s="52" cm="1">
        <f t="array" ref="H181">MMS_Swine_Methane_Equations.VEERG_4_5_1_1__6_Stage2MethaneProduction(G$108,$I$122,H147,VLOOKUP($E181,$D$155:$E$160,2, FALSE),$I$125)</f>
        <v>4.310282240000002E-3</v>
      </c>
      <c r="I181" s="52" cm="1">
        <f t="array" ref="I181">MMS_Swine_Methane_Equations.VEERG_4_5_1_1__6_Stage2MethaneProduction(H$108,$I$122,I147,VLOOKUP($E181,$D$155:$E$160,2, FALSE),$I$125)</f>
        <v>3.0563819520000013E-3</v>
      </c>
      <c r="J181" s="2"/>
      <c r="N181" s="57" t="str">
        <f>'Input - Swine'!$D$34</f>
        <v>Solid storage</v>
      </c>
      <c r="O181" s="57" t="str">
        <f>'Input - Swine'!$D$84</f>
        <v>Anaerobic lagoon</v>
      </c>
      <c r="P181" s="52" cm="1">
        <f t="array" ref="P181">MMS_Swine_Methane_Equations.VEERG_4_5_1_1__6_Stage2MethaneProduction(O$108,$I$122,F147,VLOOKUP($O181,$N$155:$O$160,2, FALSE),$I$125)</f>
        <v>3.1759974400000011E-3</v>
      </c>
      <c r="Q181" s="52" cm="1">
        <f t="array" ref="Q181">MMS_Swine_Methane_Equations.VEERG_4_5_1_1__6_Stage2MethaneProduction(P$108,$I$122,G147,VLOOKUP($O181,$N$155:$O$160,2, FALSE),$I$125)</f>
        <v>3.6523970560000023E-3</v>
      </c>
      <c r="R181" s="52" cm="1">
        <f t="array" ref="R181">MMS_Swine_Methane_Equations.VEERG_4_5_1_1__6_Stage2MethaneProduction(Q$108,$I$122,H147,VLOOKUP($O181,$N$155:$O$160,2, FALSE),$I$125)</f>
        <v>4.366996480000003E-3</v>
      </c>
      <c r="S181" s="52" cm="1">
        <f t="array" ref="S181">MMS_Swine_Methane_Equations.VEERG_4_5_1_1__6_Stage2MethaneProduction(R$108,$I$122,I147,VLOOKUP($O181,$N$155:$O$160,2, FALSE),$I$125)</f>
        <v>3.0965975040000014E-3</v>
      </c>
      <c r="T181" s="2"/>
    </row>
    <row r="182" spans="1:21" ht="20.100000000000001" customHeight="1" x14ac:dyDescent="0.25">
      <c r="D182" s="57"/>
      <c r="E182" s="57" t="str">
        <f>'Input - Swine'!$D$85</f>
        <v>Digester / covered lagoons</v>
      </c>
      <c r="F182" s="52" cm="1">
        <f t="array" ref="F182">MMS_Swine_Methane_Equations.VEERG_4_5_1_1__6_Stage2MethaneProduction(E$108,$I$122,F148,VLOOKUP($E182,$D$155:$E$160,2, FALSE),$I$125)</f>
        <v>4.124672000000002E-4</v>
      </c>
      <c r="G182" s="52" cm="1">
        <f t="array" ref="G182">MMS_Swine_Methane_Equations.VEERG_4_5_1_1__6_Stage2MethaneProduction(F$108,$I$122,G148,VLOOKUP($E182,$D$155:$E$160,2, FALSE),$I$125)</f>
        <v>4.7433728000000037E-4</v>
      </c>
      <c r="H182" s="52" cm="1">
        <f t="array" ref="H182">MMS_Swine_Methane_Equations.VEERG_4_5_1_1__6_Stage2MethaneProduction(G$108,$I$122,H148,VLOOKUP($E182,$D$155:$E$160,2, FALSE),$I$125)</f>
        <v>5.6714240000000032E-4</v>
      </c>
      <c r="I182" s="52" cm="1">
        <f t="array" ref="I182">MMS_Swine_Methane_Equations.VEERG_4_5_1_1__6_Stage2MethaneProduction(H$108,$I$122,I148,VLOOKUP($E182,$D$155:$E$160,2, FALSE),$I$125)</f>
        <v>4.0215552000000021E-4</v>
      </c>
      <c r="J182" s="2"/>
      <c r="N182" s="57"/>
      <c r="O182" s="57" t="str">
        <f>'Input - Swine'!$D$85</f>
        <v>Digester / covered lagoons</v>
      </c>
      <c r="P182" s="52" cm="1">
        <f t="array" ref="P182">MMS_Swine_Methane_Equations.VEERG_4_5_1_1__6_Stage2MethaneProduction(O$108,$I$122,F148,VLOOKUP($O182,$N$155:$O$160,2, FALSE),$I$125)</f>
        <v>4.124672000000002E-4</v>
      </c>
      <c r="Q182" s="52" cm="1">
        <f t="array" ref="Q182">MMS_Swine_Methane_Equations.VEERG_4_5_1_1__6_Stage2MethaneProduction(P$108,$I$122,G148,VLOOKUP($O182,$N$155:$O$160,2, FALSE),$I$125)</f>
        <v>4.7433728000000037E-4</v>
      </c>
      <c r="R182" s="52" cm="1">
        <f t="array" ref="R182">MMS_Swine_Methane_Equations.VEERG_4_5_1_1__6_Stage2MethaneProduction(Q$108,$I$122,H148,VLOOKUP($O182,$N$155:$O$160,2, FALSE),$I$125)</f>
        <v>5.6714240000000032E-4</v>
      </c>
      <c r="S182" s="52" cm="1">
        <f t="array" ref="S182">MMS_Swine_Methane_Equations.VEERG_4_5_1_1__6_Stage2MethaneProduction(R$108,$I$122,I148,VLOOKUP($O182,$N$155:$O$160,2, FALSE),$I$125)</f>
        <v>4.0215552000000021E-4</v>
      </c>
      <c r="T182" s="2"/>
    </row>
    <row r="183" spans="1:21" ht="20.100000000000001" customHeight="1" x14ac:dyDescent="0.25">
      <c r="D183" s="57"/>
      <c r="E183" s="57" t="str">
        <f>'Input - Swine'!$D$86</f>
        <v>Deep litter</v>
      </c>
      <c r="F183" s="52" cm="1">
        <f t="array" ref="F183">MMS_Swine_Methane_Equations.VEERG_4_5_1_1__6_Stage2MethaneProduction(E$108,$I$122,F149,VLOOKUP($E183,$D$155:$E$160,2, FALSE),$I$125)</f>
        <v>1.6498688000000006E-4</v>
      </c>
      <c r="G183" s="52" cm="1">
        <f t="array" ref="G183">MMS_Swine_Methane_Equations.VEERG_4_5_1_1__6_Stage2MethaneProduction(F$108,$I$122,G149,VLOOKUP($E183,$D$155:$E$160,2, FALSE),$I$125)</f>
        <v>1.8973491200000015E-4</v>
      </c>
      <c r="H183" s="52" cm="1">
        <f t="array" ref="H183">MMS_Swine_Methane_Equations.VEERG_4_5_1_1__6_Stage2MethaneProduction(G$108,$I$122,H149,VLOOKUP($E183,$D$155:$E$160,2, FALSE),$I$125)</f>
        <v>2.2685696000000015E-4</v>
      </c>
      <c r="I183" s="52" cm="1">
        <f t="array" ref="I183">MMS_Swine_Methane_Equations.VEERG_4_5_1_1__6_Stage2MethaneProduction(H$108,$I$122,I149,VLOOKUP($E183,$D$155:$E$160,2, FALSE),$I$125)</f>
        <v>1.6086220800000007E-4</v>
      </c>
      <c r="J183" s="2"/>
      <c r="N183" s="57"/>
      <c r="O183" s="57" t="str">
        <f>'Input - Swine'!$D$86</f>
        <v>Deep litter</v>
      </c>
      <c r="P183" s="52" cm="1">
        <f t="array" ref="P183">MMS_Swine_Methane_Equations.VEERG_4_5_1_1__6_Stage2MethaneProduction(O$108,$I$122,F149,VLOOKUP($O183,$N$155:$O$160,2, FALSE),$I$125)</f>
        <v>1.6498688000000006E-4</v>
      </c>
      <c r="Q183" s="52" cm="1">
        <f t="array" ref="Q183">MMS_Swine_Methane_Equations.VEERG_4_5_1_1__6_Stage2MethaneProduction(P$108,$I$122,G149,VLOOKUP($O183,$N$155:$O$160,2, FALSE),$I$125)</f>
        <v>1.8973491200000015E-4</v>
      </c>
      <c r="R183" s="52" cm="1">
        <f t="array" ref="R183">MMS_Swine_Methane_Equations.VEERG_4_5_1_1__6_Stage2MethaneProduction(Q$108,$I$122,H149,VLOOKUP($O183,$N$155:$O$160,2, FALSE),$I$125)</f>
        <v>2.2685696000000015E-4</v>
      </c>
      <c r="S183" s="52" cm="1">
        <f t="array" ref="S183">MMS_Swine_Methane_Equations.VEERG_4_5_1_1__6_Stage2MethaneProduction(R$108,$I$122,I149,VLOOKUP($O183,$N$155:$O$160,2, FALSE),$I$125)</f>
        <v>1.6086220800000007E-4</v>
      </c>
      <c r="T183" s="2"/>
    </row>
    <row r="184" spans="1:21" ht="20.100000000000001" customHeight="1" x14ac:dyDescent="0.25">
      <c r="D184" s="57"/>
      <c r="E184" s="57" t="str">
        <f>'Input - Swine'!$D$87</f>
        <v>Pit storage</v>
      </c>
      <c r="F184" s="52" cm="1">
        <f t="array" ref="F184">MMS_Swine_Methane_Equations.VEERG_4_5_1_1__6_Stage2MethaneProduction(E$108,$I$122,F150,VLOOKUP($E184,$D$155:$E$160,2, FALSE),$I$125)</f>
        <v>6.1870080000000021E-5</v>
      </c>
      <c r="G184" s="52" cm="1">
        <f t="array" ref="G184">MMS_Swine_Methane_Equations.VEERG_4_5_1_1__6_Stage2MethaneProduction(F$108,$I$122,G150,VLOOKUP($E184,$D$155:$E$160,2, FALSE),$I$125)</f>
        <v>7.1150592000000042E-5</v>
      </c>
      <c r="H184" s="52" cm="1">
        <f t="array" ref="H184">MMS_Swine_Methane_Equations.VEERG_4_5_1_1__6_Stage2MethaneProduction(G$108,$I$122,H150,VLOOKUP($E184,$D$155:$E$160,2, FALSE),$I$125)</f>
        <v>8.5071360000000051E-5</v>
      </c>
      <c r="I184" s="52" cm="1">
        <f t="array" ref="I184">MMS_Swine_Methane_Equations.VEERG_4_5_1_1__6_Stage2MethaneProduction(H$108,$I$122,I150,VLOOKUP($E184,$D$155:$E$160,2, FALSE),$I$125)</f>
        <v>6.0323328000000023E-5</v>
      </c>
      <c r="J184" s="2"/>
      <c r="N184" s="57"/>
      <c r="O184" s="57" t="str">
        <f>'Input - Swine'!$D$87</f>
        <v>Pit storage</v>
      </c>
      <c r="P184" s="52" cm="1">
        <f t="array" ref="P184">MMS_Swine_Methane_Equations.VEERG_4_5_1_1__6_Stage2MethaneProduction(O$108,$I$122,F150,VLOOKUP($O184,$N$155:$O$160,2, FALSE),$I$125)</f>
        <v>6.1870080000000021E-5</v>
      </c>
      <c r="Q184" s="52" cm="1">
        <f t="array" ref="Q184">MMS_Swine_Methane_Equations.VEERG_4_5_1_1__6_Stage2MethaneProduction(P$108,$I$122,G150,VLOOKUP($O184,$N$155:$O$160,2, FALSE),$I$125)</f>
        <v>7.1150592000000042E-5</v>
      </c>
      <c r="R184" s="52" cm="1">
        <f t="array" ref="R184">MMS_Swine_Methane_Equations.VEERG_4_5_1_1__6_Stage2MethaneProduction(Q$108,$I$122,H150,VLOOKUP($O184,$N$155:$O$160,2, FALSE),$I$125)</f>
        <v>8.5071360000000051E-5</v>
      </c>
      <c r="S184" s="52" cm="1">
        <f t="array" ref="S184">MMS_Swine_Methane_Equations.VEERG_4_5_1_1__6_Stage2MethaneProduction(R$108,$I$122,I150,VLOOKUP($O184,$N$155:$O$160,2, FALSE),$I$125)</f>
        <v>6.0323328000000023E-5</v>
      </c>
      <c r="T184" s="2"/>
    </row>
    <row r="185" spans="1:21" ht="20.100000000000001" customHeight="1" x14ac:dyDescent="0.25"/>
    <row r="186" spans="1:21" ht="20.100000000000001" customHeight="1" x14ac:dyDescent="0.25">
      <c r="A186" s="150" t="str">
        <f>HYPERLINK("#A1", "▲ Back to top")</f>
        <v>▲ Back to top</v>
      </c>
    </row>
    <row r="187" spans="1:21" ht="20.100000000000001" customHeight="1" x14ac:dyDescent="0.25">
      <c r="C187" s="45"/>
      <c r="D187" s="45"/>
      <c r="E187" s="45"/>
      <c r="F187" s="45"/>
      <c r="G187" s="45"/>
      <c r="H187" s="45"/>
      <c r="I187" s="45"/>
      <c r="J187" s="45"/>
      <c r="K187" s="45"/>
      <c r="M187" s="45"/>
      <c r="N187" s="45"/>
      <c r="O187" s="45"/>
      <c r="P187" s="45"/>
      <c r="Q187" s="45"/>
      <c r="R187" s="45"/>
      <c r="S187" s="45"/>
      <c r="T187" s="45"/>
      <c r="U187" s="45"/>
    </row>
    <row r="188" spans="1:21" ht="20.100000000000001" customHeight="1" x14ac:dyDescent="0.25">
      <c r="D188" s="6" t="str" cm="1">
        <f t="array" ref="D188">MMS_Swine_Methane_Equations.VEERG_4_5_1_1__3_Stage1MethaneProduction_Title()</f>
        <v>Production of methane in treatment stage 1 MMS</v>
      </c>
    </row>
    <row r="189" spans="1:21" ht="20.100000000000001" customHeight="1" x14ac:dyDescent="0.25">
      <c r="D189" s="5" t="str" cm="1">
        <f t="array" ref="D189">MMS_Swine_Methane_Equations.VEERG_4_5_1_1__3_Stage1MethaneProduction_Source()</f>
        <v>VEERG 2026: 4.5.1.1, Equation (3)</v>
      </c>
    </row>
    <row r="190" spans="1:21" ht="20.100000000000001" customHeight="1" x14ac:dyDescent="0.25">
      <c r="D190" s="13" t="s">
        <v>26</v>
      </c>
      <c r="E190" s="13" t="str" cm="1">
        <f t="array" aca="1" ref="E190" ca="1">Common_InputFunctions.Utility_DisplayFunctionName(E206)</f>
        <v>=MMS_Swine_Methane_Equations.VEERG_4_5_1_1__3_Stage1MethaneProduction</v>
      </c>
    </row>
    <row r="191" spans="1:21" ht="20.100000000000001" customHeight="1" x14ac:dyDescent="0.25"/>
    <row r="192" spans="1:21" ht="20.100000000000001" customHeight="1" x14ac:dyDescent="0.25">
      <c r="D192" s="6"/>
    </row>
    <row r="193" spans="4:19" ht="20.100000000000001" customHeight="1" x14ac:dyDescent="0.25"/>
    <row r="194" spans="4:19" ht="20.100000000000001" customHeight="1" x14ac:dyDescent="0.25">
      <c r="D194" s="53" t="s">
        <v>29</v>
      </c>
      <c r="E194" s="1" t="str" cm="1">
        <f t="array" ref="E194">MMS_Swine_Methane_Equations.VEERG_4_5_1_1__3_Stage1MethaneProduction_Variable()</f>
        <v>MijmT1</v>
      </c>
    </row>
    <row r="195" spans="4:19" ht="20.100000000000001" customHeight="1" x14ac:dyDescent="0.25">
      <c r="D195" s="53" t="s">
        <v>19</v>
      </c>
      <c r="E195" s="54" t="str" cm="1">
        <f t="array" ref="E195">MMS_Swine_Methane_Equations.VEERG_4_5_1_1__3_Stage1MethaneProduction_Unit()</f>
        <v>kg CH4/head/day</v>
      </c>
    </row>
    <row r="196" spans="4:19" ht="20.100000000000001" customHeight="1" x14ac:dyDescent="0.25"/>
    <row r="197" spans="4:19" ht="20.100000000000001" customHeight="1" x14ac:dyDescent="0.25">
      <c r="D197" s="144" t="str" cm="1">
        <f t="array" ref="D197:E201">Common_InputFunctions.Utility_DisplayArguments_1_2(MMS_Swine_Methane_Equations.VEERG_4_5_1_1__3_Stage1MethaneProduction_Arguments())</f>
        <v>VSj</v>
      </c>
      <c r="E197" s="146" t="str">
        <v>volatile solid production from swine in each class</v>
      </c>
      <c r="F197" s="145"/>
      <c r="G197" s="144" t="str" cm="1">
        <f t="array" ref="G197:H201">Common_InputFunctions.Utility_DisplayArguments_3_4(MMS_Swine_Methane_Equations.VEERG_4_5_1_1__3_Stage1MethaneProduction_Arguments())</f>
        <v>kg/head/day</v>
      </c>
      <c r="H197" s="140" t="str">
        <v>Input</v>
      </c>
      <c r="I197" s="143" t="str" cm="1">
        <f t="array" aca="1" ref="I197" ca="1">HYPERLINK(Common_InputFunctions.Utility_SourceHyperlink($D$85), $D$85)</f>
        <v>M1_Table_VS_j</v>
      </c>
      <c r="J197" s="143"/>
    </row>
    <row r="198" spans="4:19" ht="20.100000000000001" customHeight="1" x14ac:dyDescent="0.25">
      <c r="D198" s="144" t="str">
        <v>FVSjmT1</v>
      </c>
      <c r="E198" s="146" t="str">
        <v>fraction of volatile solids in each primary system</v>
      </c>
      <c r="F198" s="145"/>
      <c r="G198" s="144" t="str">
        <v>fraction</v>
      </c>
      <c r="H198" s="139" t="str">
        <v>Calculated from 4.5.1.1 (4)(5)</v>
      </c>
      <c r="I198" s="143" t="str" cm="1">
        <f t="array" aca="1" ref="I198" ca="1">HYPERLINK(Common_InputFunctions.Utility_SourceHyperlink($D$34), $D$34)</f>
        <v>M1_Table_FVS_j_m_T-1</v>
      </c>
      <c r="J198" s="143" t="str" cm="1">
        <f t="array" aca="1" ref="J198" ca="1">HYPERLINK(Common_InputFunctions.Utility_SourceHyperlink($D$65), $D$65)</f>
        <v>M1_Table_FVS_j_m-4_T-1</v>
      </c>
    </row>
    <row r="199" spans="4:19" ht="20.100000000000001" customHeight="1" x14ac:dyDescent="0.25">
      <c r="D199" s="144" t="str">
        <v>MCFim</v>
      </c>
      <c r="E199" s="146" t="str">
        <v>methane conversion factor for temperate zone and system</v>
      </c>
      <c r="F199" s="145"/>
      <c r="G199" s="144" t="str">
        <v>fraction</v>
      </c>
      <c r="H199" s="139" t="str">
        <v>Constant</v>
      </c>
      <c r="I199" s="143" t="str" cm="1">
        <f t="array" aca="1" ref="I199" ca="1">HYPERLINK(Common_InputFunctions.Utility_SourceHyperlink($D$152), $D$152)</f>
        <v>M1_Table_MCF_i_m</v>
      </c>
      <c r="J199" s="143"/>
    </row>
    <row r="200" spans="4:19" ht="20.100000000000001" customHeight="1" x14ac:dyDescent="0.25">
      <c r="D200" s="144" t="str">
        <v>BO</v>
      </c>
      <c r="E200" s="146" t="str">
        <v>emissions potential</v>
      </c>
      <c r="F200" s="145"/>
      <c r="G200" s="144" t="str">
        <v>m3 CH4/kg VS</v>
      </c>
      <c r="H200" s="139" t="str">
        <v>Constant</v>
      </c>
      <c r="I200" s="144">
        <f>'Constants - Swine'!$E$21</f>
        <v>0.19</v>
      </c>
      <c r="J200" s="59"/>
    </row>
    <row r="201" spans="4:19" ht="20.100000000000001" customHeight="1" x14ac:dyDescent="0.25">
      <c r="D201" s="144" t="str">
        <v>rho</v>
      </c>
      <c r="E201" s="146" t="str">
        <v>density of methane</v>
      </c>
      <c r="F201" s="145"/>
      <c r="G201" s="144" t="str">
        <v>kg/m3</v>
      </c>
      <c r="H201" s="139" t="str">
        <v>Constant</v>
      </c>
      <c r="I201" s="144">
        <f>'Constants - Common'!$D$175</f>
        <v>0.6784</v>
      </c>
      <c r="J201" s="59"/>
    </row>
    <row r="202" spans="4:19" ht="20.100000000000001" customHeight="1" x14ac:dyDescent="0.25"/>
    <row r="203" spans="4:19" ht="20.100000000000001" customHeight="1" x14ac:dyDescent="0.25">
      <c r="D203" s="121" t="s">
        <v>222</v>
      </c>
      <c r="N203" s="121" t="s">
        <v>220</v>
      </c>
    </row>
    <row r="204" spans="4:19" ht="20.100000000000001" customHeight="1" x14ac:dyDescent="0.25">
      <c r="D204" s="122" t="s">
        <v>223</v>
      </c>
      <c r="N204" s="122" t="s">
        <v>221</v>
      </c>
    </row>
    <row r="205" spans="4:19" ht="20.100000000000001" customHeight="1" x14ac:dyDescent="0.25">
      <c r="D205" s="51" t="s">
        <v>163</v>
      </c>
      <c r="E205" s="51" t="s">
        <v>142</v>
      </c>
      <c r="F205" s="51" t="s">
        <v>143</v>
      </c>
      <c r="G205" s="51" t="s">
        <v>144</v>
      </c>
      <c r="H205" s="51" t="s">
        <v>206</v>
      </c>
      <c r="N205" s="51" t="s">
        <v>163</v>
      </c>
      <c r="O205" s="51" t="s">
        <v>142</v>
      </c>
      <c r="P205" s="51" t="s">
        <v>143</v>
      </c>
      <c r="Q205" s="51" t="s">
        <v>144</v>
      </c>
      <c r="R205" s="51" t="s">
        <v>206</v>
      </c>
    </row>
    <row r="206" spans="4:19" ht="20.100000000000001" customHeight="1" x14ac:dyDescent="0.25">
      <c r="D206" s="57" t="str">
        <f>'Input - Swine'!$D$29</f>
        <v>Anaerobic lagoon</v>
      </c>
      <c r="E206" s="52" cm="1">
        <f t="array" ref="E206">MMS_Swine_Methane_Equations.VEERG_4_5_1_1__3_Stage1MethaneProduction(D$88,E37,VLOOKUP($D206, $D$155:$E$160, 2, FALSE),$I$200,$I$201)</f>
        <v>4.7021260799999997E-3</v>
      </c>
      <c r="F206" s="52" cm="1">
        <f t="array" ref="F206">MMS_Swine_Methane_Equations.VEERG_4_5_1_1__3_Stage1MethaneProduction(E$88,F37,VLOOKUP($D206, $D$155:$E$160, 2, FALSE),$I$200,$I$201)</f>
        <v>5.4074449920000012E-3</v>
      </c>
      <c r="G206" s="52" cm="1">
        <f t="array" ref="G206">MMS_Swine_Methane_Equations.VEERG_4_5_1_1__3_Stage1MethaneProduction(F$88,G37,VLOOKUP($D206, $D$155:$E$160, 2, FALSE),$I$200,$I$201)</f>
        <v>6.4654233600000008E-3</v>
      </c>
      <c r="H206" s="52" cm="1">
        <f t="array" ref="H206">MMS_Swine_Methane_Equations.VEERG_4_5_1_1__3_Stage1MethaneProduction(G$88,H37,VLOOKUP($D206, $D$155:$E$160, 2, FALSE),$I$200,$I$201)</f>
        <v>4.5845729280000001E-3</v>
      </c>
      <c r="I206" s="2" t="str">
        <f>$E$195</f>
        <v>kg CH4/head/day</v>
      </c>
      <c r="N206" s="57" t="str">
        <f>'Input - Swine'!$D$29</f>
        <v>Anaerobic lagoon</v>
      </c>
      <c r="O206" s="52" cm="1">
        <f t="array" ref="O206">MMS_Swine_Methane_Equations.VEERG_4_5_1_1__3_Stage1MethaneProduction(N$88,O37,VLOOKUP($N206, $N$155:$O$160, 2, FALSE),$I$200,$I$201)</f>
        <v>4.7639961599999997E-3</v>
      </c>
      <c r="P206" s="52" cm="1">
        <f t="array" ref="P206">MMS_Swine_Methane_Equations.VEERG_4_5_1_1__3_Stage1MethaneProduction(O$88,P37,VLOOKUP($N206, $N$155:$O$160, 2, FALSE),$I$200,$I$201)</f>
        <v>5.4785955839999996E-3</v>
      </c>
      <c r="Q206" s="52" cm="1">
        <f t="array" ref="Q206">MMS_Swine_Methane_Equations.VEERG_4_5_1_1__3_Stage1MethaneProduction(P$88,Q37,VLOOKUP($N206, $N$155:$O$160, 2, FALSE),$I$200,$I$201)</f>
        <v>6.5504947200000002E-3</v>
      </c>
      <c r="R206" s="52" cm="1">
        <f t="array" ref="R206">MMS_Swine_Methane_Equations.VEERG_4_5_1_1__3_Stage1MethaneProduction(Q$88,R37,VLOOKUP($N206, $N$155:$O$160, 2, FALSE),$I$200,$I$201)</f>
        <v>4.6448962559999998E-3</v>
      </c>
      <c r="S206" s="2" t="str">
        <f t="shared" ref="S206" si="2">$E$195</f>
        <v>kg CH4/head/day</v>
      </c>
    </row>
    <row r="207" spans="4:19" ht="20.100000000000001" customHeight="1" x14ac:dyDescent="0.25">
      <c r="D207" s="57" t="str">
        <f>'Input - Swine'!$D$30</f>
        <v>Drylot (feed pad)</v>
      </c>
      <c r="E207" s="52" cm="1">
        <f t="array" ref="E207">MMS_Swine_Methane_Equations.VEERG_4_5_1_1__3_Stage1MethaneProduction(D$88,E38,VLOOKUP($D207, $D$155:$E$160, 2, FALSE),$I$200,$I$201)</f>
        <v>6.1870080000000008E-5</v>
      </c>
      <c r="F207" s="52" cm="1">
        <f t="array" ref="F207">MMS_Swine_Methane_Equations.VEERG_4_5_1_1__3_Stage1MethaneProduction(E$88,F38,VLOOKUP($D207, $D$155:$E$160, 2, FALSE),$I$200,$I$201)</f>
        <v>7.1150592000000001E-5</v>
      </c>
      <c r="G207" s="52" cm="1">
        <f t="array" ref="G207">MMS_Swine_Methane_Equations.VEERG_4_5_1_1__3_Stage1MethaneProduction(F$88,G38,VLOOKUP($D207, $D$155:$E$160, 2, FALSE),$I$200,$I$201)</f>
        <v>8.5071360000000011E-5</v>
      </c>
      <c r="H207" s="52" cm="1">
        <f t="array" ref="H207">MMS_Swine_Methane_Equations.VEERG_4_5_1_1__3_Stage1MethaneProduction(G$88,H38,VLOOKUP($D207, $D$155:$E$160, 2, FALSE),$I$200,$I$201)</f>
        <v>6.0323328000000009E-5</v>
      </c>
      <c r="I207" s="2"/>
      <c r="N207" s="57" t="str">
        <f>'Input - Swine'!$D$30</f>
        <v>Drylot (feed pad)</v>
      </c>
      <c r="O207" s="52" cm="1">
        <f t="array" ref="O207">MMS_Swine_Methane_Equations.VEERG_4_5_1_1__3_Stage1MethaneProduction(N$88,O38,VLOOKUP($N207, $N$155:$O$160, 2, FALSE),$I$200,$I$201)</f>
        <v>6.1870080000000008E-5</v>
      </c>
      <c r="P207" s="52" cm="1">
        <f t="array" ref="P207">MMS_Swine_Methane_Equations.VEERG_4_5_1_1__3_Stage1MethaneProduction(O$88,P38,VLOOKUP($N207, $N$155:$O$160, 2, FALSE),$I$200,$I$201)</f>
        <v>7.1150592000000001E-5</v>
      </c>
      <c r="Q207" s="52" cm="1">
        <f t="array" ref="Q207">MMS_Swine_Methane_Equations.VEERG_4_5_1_1__3_Stage1MethaneProduction(P$88,Q38,VLOOKUP($N207, $N$155:$O$160, 2, FALSE),$I$200,$I$201)</f>
        <v>8.5071360000000011E-5</v>
      </c>
      <c r="R207" s="52" cm="1">
        <f t="array" ref="R207">MMS_Swine_Methane_Equations.VEERG_4_5_1_1__3_Stage1MethaneProduction(Q$88,R38,VLOOKUP($N207, $N$155:$O$160, 2, FALSE),$I$200,$I$201)</f>
        <v>6.0323328000000009E-5</v>
      </c>
      <c r="S207" s="2"/>
    </row>
    <row r="208" spans="4:19" ht="20.100000000000001" customHeight="1" x14ac:dyDescent="0.25">
      <c r="D208" s="57" t="str">
        <f>'Input - Swine'!$D$31</f>
        <v>Digester / covered lagoons</v>
      </c>
      <c r="E208" s="52" cm="1">
        <f t="array" ref="E208">MMS_Swine_Methane_Equations.VEERG_4_5_1_1__3_Stage1MethaneProduction(D$88,E39,VLOOKUP($D208, $D$155:$E$160, 2, FALSE),$I$200,$I$201)</f>
        <v>6.1870080000000008E-4</v>
      </c>
      <c r="F208" s="52" cm="1">
        <f t="array" ref="F208">MMS_Swine_Methane_Equations.VEERG_4_5_1_1__3_Stage1MethaneProduction(E$88,F39,VLOOKUP($D208, $D$155:$E$160, 2, FALSE),$I$200,$I$201)</f>
        <v>7.1150592000000009E-4</v>
      </c>
      <c r="G208" s="52" cm="1">
        <f t="array" ref="G208">MMS_Swine_Methane_Equations.VEERG_4_5_1_1__3_Stage1MethaneProduction(F$88,G39,VLOOKUP($D208, $D$155:$E$160, 2, FALSE),$I$200,$I$201)</f>
        <v>8.5071360000000011E-4</v>
      </c>
      <c r="H208" s="52" cm="1">
        <f t="array" ref="H208">MMS_Swine_Methane_Equations.VEERG_4_5_1_1__3_Stage1MethaneProduction(G$88,H39,VLOOKUP($D208, $D$155:$E$160, 2, FALSE),$I$200,$I$201)</f>
        <v>6.0323328000000008E-4</v>
      </c>
      <c r="I208" s="2"/>
      <c r="N208" s="57" t="str">
        <f>'Input - Swine'!$D$31</f>
        <v>Digester / covered lagoons</v>
      </c>
      <c r="O208" s="52" cm="1">
        <f t="array" ref="O208">MMS_Swine_Methane_Equations.VEERG_4_5_1_1__3_Stage1MethaneProduction(N$88,O39,VLOOKUP($N208, $N$155:$O$160, 2, FALSE),$I$200,$I$201)</f>
        <v>6.1870080000000008E-4</v>
      </c>
      <c r="P208" s="52" cm="1">
        <f t="array" ref="P208">MMS_Swine_Methane_Equations.VEERG_4_5_1_1__3_Stage1MethaneProduction(O$88,P39,VLOOKUP($N208, $N$155:$O$160, 2, FALSE),$I$200,$I$201)</f>
        <v>7.1150592000000009E-4</v>
      </c>
      <c r="Q208" s="52" cm="1">
        <f t="array" ref="Q208">MMS_Swine_Methane_Equations.VEERG_4_5_1_1__3_Stage1MethaneProduction(P$88,Q39,VLOOKUP($N208, $N$155:$O$160, 2, FALSE),$I$200,$I$201)</f>
        <v>8.5071360000000011E-4</v>
      </c>
      <c r="R208" s="52" cm="1">
        <f t="array" ref="R208">MMS_Swine_Methane_Equations.VEERG_4_5_1_1__3_Stage1MethaneProduction(Q$88,R39,VLOOKUP($N208, $N$155:$O$160, 2, FALSE),$I$200,$I$201)</f>
        <v>6.0323328000000008E-4</v>
      </c>
      <c r="S208" s="2"/>
    </row>
    <row r="209" spans="1:21" ht="20.100000000000001" customHeight="1" x14ac:dyDescent="0.25">
      <c r="D209" s="57" t="str">
        <f>'Input - Swine'!$D$32</f>
        <v>Deep litter</v>
      </c>
      <c r="E209" s="52" cm="1">
        <f t="array" ref="E209">MMS_Swine_Methane_Equations.VEERG_4_5_1_1__3_Stage1MethaneProduction(D$88,E40,VLOOKUP($D209, $D$155:$E$160, 2, FALSE),$I$200,$I$201)</f>
        <v>2.4748032000000003E-4</v>
      </c>
      <c r="F209" s="52" cm="1">
        <f t="array" ref="F209">MMS_Swine_Methane_Equations.VEERG_4_5_1_1__3_Stage1MethaneProduction(E$88,F40,VLOOKUP($D209, $D$155:$E$160, 2, FALSE),$I$200,$I$201)</f>
        <v>2.84602368E-4</v>
      </c>
      <c r="G209" s="52" cm="1">
        <f t="array" ref="G209">MMS_Swine_Methane_Equations.VEERG_4_5_1_1__3_Stage1MethaneProduction(F$88,G40,VLOOKUP($D209, $D$155:$E$160, 2, FALSE),$I$200,$I$201)</f>
        <v>3.4028544000000004E-4</v>
      </c>
      <c r="H209" s="52" cm="1">
        <f t="array" ref="H209">MMS_Swine_Methane_Equations.VEERG_4_5_1_1__3_Stage1MethaneProduction(G$88,H40,VLOOKUP($D209, $D$155:$E$160, 2, FALSE),$I$200,$I$201)</f>
        <v>2.4129331200000004E-4</v>
      </c>
      <c r="I209" s="2"/>
      <c r="N209" s="57" t="str">
        <f>'Input - Swine'!$D$32</f>
        <v>Deep litter</v>
      </c>
      <c r="O209" s="52" cm="1">
        <f t="array" ref="O209">MMS_Swine_Methane_Equations.VEERG_4_5_1_1__3_Stage1MethaneProduction(N$88,O40,VLOOKUP($N209, $N$155:$O$160, 2, FALSE),$I$200,$I$201)</f>
        <v>2.4748032000000003E-4</v>
      </c>
      <c r="P209" s="52" cm="1">
        <f t="array" ref="P209">MMS_Swine_Methane_Equations.VEERG_4_5_1_1__3_Stage1MethaneProduction(O$88,P40,VLOOKUP($N209, $N$155:$O$160, 2, FALSE),$I$200,$I$201)</f>
        <v>2.84602368E-4</v>
      </c>
      <c r="Q209" s="52" cm="1">
        <f t="array" ref="Q209">MMS_Swine_Methane_Equations.VEERG_4_5_1_1__3_Stage1MethaneProduction(P$88,Q40,VLOOKUP($N209, $N$155:$O$160, 2, FALSE),$I$200,$I$201)</f>
        <v>3.4028544000000004E-4</v>
      </c>
      <c r="R209" s="52" cm="1">
        <f t="array" ref="R209">MMS_Swine_Methane_Equations.VEERG_4_5_1_1__3_Stage1MethaneProduction(Q$88,R40,VLOOKUP($N209, $N$155:$O$160, 2, FALSE),$I$200,$I$201)</f>
        <v>2.4129331200000004E-4</v>
      </c>
      <c r="S209" s="2"/>
    </row>
    <row r="210" spans="1:21" ht="20.100000000000001" customHeight="1" x14ac:dyDescent="0.25">
      <c r="D210" s="57" t="str">
        <f>'Input - Swine'!$D$33</f>
        <v>Pit storage</v>
      </c>
      <c r="E210" s="52" cm="1">
        <f t="array" ref="E210">MMS_Swine_Methane_Equations.VEERG_4_5_1_1__3_Stage1MethaneProduction(D$88,E41,VLOOKUP($D210, $D$155:$E$160, 2, FALSE),$I$200,$I$201)</f>
        <v>1.8561024E-4</v>
      </c>
      <c r="F210" s="52" cm="1">
        <f t="array" ref="F210">MMS_Swine_Methane_Equations.VEERG_4_5_1_1__3_Stage1MethaneProduction(E$88,F41,VLOOKUP($D210, $D$155:$E$160, 2, FALSE),$I$200,$I$201)</f>
        <v>2.1345177599999999E-4</v>
      </c>
      <c r="G210" s="52" cm="1">
        <f t="array" ref="G210">MMS_Swine_Methane_Equations.VEERG_4_5_1_1__3_Stage1MethaneProduction(F$88,G41,VLOOKUP($D210, $D$155:$E$160, 2, FALSE),$I$200,$I$201)</f>
        <v>2.5521407999999998E-4</v>
      </c>
      <c r="H210" s="52" cm="1">
        <f t="array" ref="H210">MMS_Swine_Methane_Equations.VEERG_4_5_1_1__3_Stage1MethaneProduction(G$88,H41,VLOOKUP($D210, $D$155:$E$160, 2, FALSE),$I$200,$I$201)</f>
        <v>1.8096998400000001E-4</v>
      </c>
      <c r="I210" s="2"/>
      <c r="N210" s="57" t="str">
        <f>'Input - Swine'!$D$33</f>
        <v>Pit storage</v>
      </c>
      <c r="O210" s="52" cm="1">
        <f t="array" ref="O210">MMS_Swine_Methane_Equations.VEERG_4_5_1_1__3_Stage1MethaneProduction(N$88,O41,VLOOKUP($N210, $N$155:$O$160, 2, FALSE),$I$200,$I$201)</f>
        <v>1.8561024E-4</v>
      </c>
      <c r="P210" s="52" cm="1">
        <f t="array" ref="P210">MMS_Swine_Methane_Equations.VEERG_4_5_1_1__3_Stage1MethaneProduction(O$88,P41,VLOOKUP($N210, $N$155:$O$160, 2, FALSE),$I$200,$I$201)</f>
        <v>2.1345177599999999E-4</v>
      </c>
      <c r="Q210" s="52" cm="1">
        <f t="array" ref="Q210">MMS_Swine_Methane_Equations.VEERG_4_5_1_1__3_Stage1MethaneProduction(P$88,Q41,VLOOKUP($N210, $N$155:$O$160, 2, FALSE),$I$200,$I$201)</f>
        <v>2.5521407999999998E-4</v>
      </c>
      <c r="R210" s="52" cm="1">
        <f t="array" ref="R210">MMS_Swine_Methane_Equations.VEERG_4_5_1_1__3_Stage1MethaneProduction(Q$88,R41,VLOOKUP($N210, $N$155:$O$160, 2, FALSE),$I$200,$I$201)</f>
        <v>1.8096998400000001E-4</v>
      </c>
      <c r="S210" s="2"/>
    </row>
    <row r="211" spans="1:21" ht="20.100000000000001" customHeight="1" x14ac:dyDescent="0.25">
      <c r="D211" s="57" t="str">
        <f>'Input - Swine'!$D$34</f>
        <v>Solid storage</v>
      </c>
      <c r="E211" s="52" cm="1">
        <f t="array" ref="E211">MMS_Swine_Methane_Equations.VEERG_4_5_1_1__3_Stage1MethaneProduction(D$88,E68,VLOOKUP($D211, $D$155:$E$160, 2, FALSE),$I$200,$I$201)</f>
        <v>4.124672000000002E-4</v>
      </c>
      <c r="F211" s="52" cm="1">
        <f t="array" ref="F211">MMS_Swine_Methane_Equations.VEERG_4_5_1_1__3_Stage1MethaneProduction(E$88,F68,VLOOKUP($D211, $D$155:$E$160, 2, FALSE),$I$200,$I$201)</f>
        <v>4.7433728000000026E-4</v>
      </c>
      <c r="G211" s="52" cm="1">
        <f t="array" ref="G211">MMS_Swine_Methane_Equations.VEERG_4_5_1_1__3_Stage1MethaneProduction(F$88,G68,VLOOKUP($D211, $D$155:$E$160, 2, FALSE),$I$200,$I$201)</f>
        <v>5.6714240000000022E-4</v>
      </c>
      <c r="H211" s="52" cm="1">
        <f t="array" ref="H211">MMS_Swine_Methane_Equations.VEERG_4_5_1_1__3_Stage1MethaneProduction(G$88,H68,VLOOKUP($D211, $D$155:$E$160, 2, FALSE),$I$200,$I$201)</f>
        <v>4.0215552000000016E-4</v>
      </c>
      <c r="I211" s="2"/>
      <c r="N211" s="57" t="str">
        <f>'Input - Swine'!$D$34</f>
        <v>Solid storage</v>
      </c>
      <c r="O211" s="52" cm="1">
        <f t="array" ref="O211">MMS_Swine_Methane_Equations.VEERG_4_5_1_1__3_Stage1MethaneProduction(N$88,O68,VLOOKUP($N211, $N$155:$O$160, 2, FALSE),$I$200,$I$201)</f>
        <v>4.124672000000002E-4</v>
      </c>
      <c r="P211" s="52" cm="1">
        <f t="array" ref="P211">MMS_Swine_Methane_Equations.VEERG_4_5_1_1__3_Stage1MethaneProduction(O$88,P68,VLOOKUP($N211, $N$155:$O$160, 2, FALSE),$I$200,$I$201)</f>
        <v>4.7433728000000026E-4</v>
      </c>
      <c r="Q211" s="52" cm="1">
        <f t="array" ref="Q211">MMS_Swine_Methane_Equations.VEERG_4_5_1_1__3_Stage1MethaneProduction(P$88,Q68,VLOOKUP($N211, $N$155:$O$160, 2, FALSE),$I$200,$I$201)</f>
        <v>5.6714240000000022E-4</v>
      </c>
      <c r="R211" s="52" cm="1">
        <f t="array" ref="R211">MMS_Swine_Methane_Equations.VEERG_4_5_1_1__3_Stage1MethaneProduction(Q$88,R68,VLOOKUP($N211, $N$155:$O$160, 2, FALSE),$I$200,$I$201)</f>
        <v>4.0215552000000016E-4</v>
      </c>
      <c r="S211" s="2"/>
    </row>
    <row r="212" spans="1:21" ht="20.100000000000001" customHeight="1" x14ac:dyDescent="0.25"/>
    <row r="213" spans="1:21" ht="20.100000000000001" customHeight="1" x14ac:dyDescent="0.25">
      <c r="A213" s="150" t="str">
        <f>HYPERLINK("#A1", "▲ Back to top")</f>
        <v>▲ Back to top</v>
      </c>
    </row>
    <row r="214" spans="1:21" ht="20.100000000000001" customHeight="1" x14ac:dyDescent="0.25">
      <c r="C214" s="45"/>
      <c r="D214" s="45"/>
      <c r="E214" s="45"/>
      <c r="F214" s="45"/>
      <c r="G214" s="45"/>
      <c r="H214" s="45"/>
      <c r="I214" s="45"/>
      <c r="J214" s="45"/>
      <c r="K214" s="45"/>
      <c r="M214" s="45"/>
      <c r="N214" s="45"/>
      <c r="O214" s="45"/>
      <c r="P214" s="45"/>
      <c r="Q214" s="45"/>
      <c r="R214" s="45"/>
      <c r="S214" s="45"/>
      <c r="T214" s="45"/>
      <c r="U214" s="45"/>
    </row>
    <row r="215" spans="1:21" ht="20.100000000000001" customHeight="1" x14ac:dyDescent="0.25">
      <c r="D215" s="6" t="str" cm="1">
        <f t="array" ref="D215">MMS_Swine_Methane_Equations.VEERG_4_5_1_1__2_MethaneProductionPerClass_Title()</f>
        <v>Methane production from the manure of each class of swine</v>
      </c>
    </row>
    <row r="216" spans="1:21" ht="20.100000000000001" customHeight="1" x14ac:dyDescent="0.25">
      <c r="D216" s="5" t="str" cm="1">
        <f t="array" ref="D216">MMS_Swine_Methane_Equations.VEERG_4_5_1_1__2_MethaneProductionPerClass_Source()</f>
        <v>VEERG 2026: 4.5.1.1, Equation (2)</v>
      </c>
    </row>
    <row r="217" spans="1:21" ht="20.100000000000001" customHeight="1" x14ac:dyDescent="0.25">
      <c r="D217" s="55" t="str" cm="1">
        <f t="array" ref="D217">MMS_Swine_Methane_Equations.VEERG_4_5_1_1__2_MethaneProductionPerClass_Variation()</f>
        <v>VARIATION ON SOURCE: Split variable Mjm into MjmT1 and MjmT2 for stage 1 and 2 MMS.</v>
      </c>
    </row>
    <row r="218" spans="1:21" ht="20.100000000000001" customHeight="1" x14ac:dyDescent="0.25">
      <c r="D218" s="13" t="s">
        <v>26</v>
      </c>
      <c r="E218" s="13" t="str" cm="1">
        <f t="array" aca="1" ref="E218" ca="1">Common_InputFunctions.Utility_DisplayFunctionName(D229)</f>
        <v>=MMS_Swine_Methane_Equations.VEERG_4_5_1_1__2_MethaneProductionPerClassVariation</v>
      </c>
    </row>
    <row r="219" spans="1:21" ht="20.100000000000001" customHeight="1" x14ac:dyDescent="0.25"/>
    <row r="220" spans="1:21" ht="20.100000000000001" customHeight="1" x14ac:dyDescent="0.25">
      <c r="E220" s="13"/>
    </row>
    <row r="221" spans="1:21" ht="20.100000000000001" customHeight="1" x14ac:dyDescent="0.25">
      <c r="D221" s="53" t="s">
        <v>29</v>
      </c>
      <c r="E221" s="1" t="str" cm="1">
        <f t="array" ref="E221">MMS_Swine_Methane_Equations.VEERG_4_5_1_1__2_MethaneProductionPerClass_Variable()</f>
        <v>Mmj</v>
      </c>
    </row>
    <row r="222" spans="1:21" ht="20.100000000000001" customHeight="1" x14ac:dyDescent="0.25">
      <c r="D222" s="53" t="s">
        <v>19</v>
      </c>
      <c r="E222" s="54" t="str" cm="1">
        <f t="array" ref="E222">MMS_Swine_Methane_Equations.VEERG_4_5_1_1__2_MethaneProductionPerClass_Unit()</f>
        <v>kg CH4/head/day</v>
      </c>
    </row>
    <row r="223" spans="1:21" ht="20.100000000000001" customHeight="1" x14ac:dyDescent="0.25"/>
    <row r="224" spans="1:21" ht="20.100000000000001" customHeight="1" x14ac:dyDescent="0.25">
      <c r="D224" s="57" t="str" cm="1">
        <f t="array" ref="D224:E224">_xlfn.CHOOSECOLS(MMS_Swine_Methane_Equations.VEERG_4_5_1_1__2_MethaneProductionPerClass_Arguments(), 1, 2)</f>
        <v>MjmT</v>
      </c>
      <c r="E224" s="58" t="str">
        <v>methane production from manure per class, MMS, and treatment stage</v>
      </c>
      <c r="F224" s="100"/>
      <c r="G224" s="57" t="str" cm="1">
        <f t="array" ref="G224:H224">_xlfn.CHOOSECOLS(MMS_Swine_Methane_Equations.VEERG_4_5_1_1__2_MethaneProductionPerClass_Arguments(), 3,4)</f>
        <v>kg CH4/head/day</v>
      </c>
      <c r="H224" s="139" t="str">
        <v>Calculated from 4.5.1.1 (3) and (6)</v>
      </c>
      <c r="I224" s="143" t="str" cm="1">
        <f t="array" aca="1" ref="I224" ca="1">HYPERLINK(Common_InputFunctions.Utility_SourceHyperlink(D203), D203)</f>
        <v>M1_Table_M_i_j_m_T-1</v>
      </c>
      <c r="J224" s="143" t="str" cm="1">
        <f t="array" aca="1" ref="J224" ca="1">HYPERLINK(Common_InputFunctions.Utility_SourceHyperlink(D162), D162)</f>
        <v>M1_Table_M_i_j_m_T-2</v>
      </c>
    </row>
    <row r="225" spans="1:21" ht="20.100000000000001" customHeight="1" x14ac:dyDescent="0.25"/>
    <row r="226" spans="1:21" ht="20.100000000000001" customHeight="1" x14ac:dyDescent="0.25">
      <c r="D226" s="121" t="s">
        <v>224</v>
      </c>
      <c r="N226" s="121" t="s">
        <v>226</v>
      </c>
    </row>
    <row r="227" spans="1:21" ht="20.100000000000001" customHeight="1" x14ac:dyDescent="0.25">
      <c r="D227" s="122" t="s">
        <v>225</v>
      </c>
      <c r="N227" s="122" t="s">
        <v>227</v>
      </c>
    </row>
    <row r="228" spans="1:21" ht="20.100000000000001" customHeight="1" x14ac:dyDescent="0.25">
      <c r="D228" s="51" t="s">
        <v>142</v>
      </c>
      <c r="E228" s="51" t="s">
        <v>143</v>
      </c>
      <c r="F228" s="51" t="s">
        <v>144</v>
      </c>
      <c r="G228" s="51" t="s">
        <v>206</v>
      </c>
      <c r="N228" s="51" t="s">
        <v>142</v>
      </c>
      <c r="O228" s="51" t="s">
        <v>143</v>
      </c>
      <c r="P228" s="51" t="s">
        <v>144</v>
      </c>
      <c r="Q228" s="51" t="s">
        <v>206</v>
      </c>
    </row>
    <row r="229" spans="1:21" ht="20.100000000000001" customHeight="1" x14ac:dyDescent="0.25">
      <c r="D229" s="52" cm="1">
        <f t="array" ref="D229">MMS_Swine_Methane_Equations.VEERG_4_5_1_1__2_MethaneProductionPerClassVariation(E206:E211,F165:F184)</f>
        <v>1.3780116684800005E-2</v>
      </c>
      <c r="E229" s="52" cm="1">
        <f t="array" ref="E229">MMS_Swine_Methane_Equations.VEERG_4_5_1_1__2_MethaneProductionPerClassVariation(F206:F211,G165:G184)</f>
        <v>1.6933247974400007E-2</v>
      </c>
      <c r="F229" s="52" cm="1">
        <f t="array" ref="F229">MMS_Swine_Methane_Equations.VEERG_4_5_1_1__2_MethaneProductionPerClassVariation(G206:G211,H165:H184)</f>
        <v>2.0246274752000006E-2</v>
      </c>
      <c r="G229" s="52" cm="1">
        <f t="array" ref="G229">MMS_Swine_Methane_Equations.VEERG_4_5_1_1__2_MethaneProductionPerClassVariation(H206:H211,I165:I184)</f>
        <v>1.4356449369600002E-2</v>
      </c>
      <c r="H229" s="2" t="str">
        <f>$E$222</f>
        <v>kg CH4/head/day</v>
      </c>
      <c r="N229" s="52" cm="1">
        <f t="array" ref="N229">MMS_Swine_Methane_Equations.VEERG_4_5_1_1__2_MethaneProductionPerClassVariation(O206:O211,P165:P184)</f>
        <v>1.3922830336000004E-2</v>
      </c>
      <c r="O229" s="52" cm="1">
        <f t="array" ref="O229">MMS_Swine_Methane_Equations.VEERG_4_5_1_1__2_MethaneProductionPerClassVariation(P206:P211,Q165:Q184)</f>
        <v>1.7108752768000005E-2</v>
      </c>
      <c r="P229" s="52" cm="1">
        <f t="array" ref="P229">MMS_Swine_Methane_Equations.VEERG_4_5_1_1__2_MethaneProductionPerClassVariation(Q206:Q211,R165:R184)</f>
        <v>2.0456117440000005E-2</v>
      </c>
      <c r="Q229" s="52" cm="1">
        <f t="array" ref="Q229">MMS_Swine_Methane_Equations.VEERG_4_5_1_1__2_MethaneProductionPerClassVariation(R206:R211,S165:S184)</f>
        <v>1.4505246912000001E-2</v>
      </c>
      <c r="R229" s="2" t="str">
        <f>$E$222</f>
        <v>kg CH4/head/day</v>
      </c>
    </row>
    <row r="230" spans="1:21" ht="20.100000000000001" customHeight="1" x14ac:dyDescent="0.25"/>
    <row r="231" spans="1:21" ht="20.100000000000001" customHeight="1" x14ac:dyDescent="0.25">
      <c r="A231" s="150" t="str">
        <f>HYPERLINK("#A1", "▲ Back to top")</f>
        <v>▲ Back to top</v>
      </c>
    </row>
    <row r="232" spans="1:21" ht="20.100000000000001" customHeight="1" x14ac:dyDescent="0.25">
      <c r="C232" s="45"/>
      <c r="D232" s="45"/>
      <c r="E232" s="45"/>
      <c r="F232" s="45"/>
      <c r="G232" s="45"/>
      <c r="H232" s="45"/>
      <c r="I232" s="45"/>
      <c r="J232" s="45"/>
      <c r="K232" s="45"/>
      <c r="M232" s="45"/>
      <c r="N232" s="45"/>
      <c r="O232" s="45"/>
      <c r="P232" s="45"/>
      <c r="Q232" s="45"/>
      <c r="R232" s="45"/>
      <c r="S232" s="45"/>
      <c r="T232" s="45"/>
      <c r="U232" s="45"/>
    </row>
    <row r="233" spans="1:21" ht="20.100000000000001" customHeight="1" x14ac:dyDescent="0.25">
      <c r="D233" s="6" t="str" cm="1">
        <f t="array" ref="D233">MMS_Swine_Methane_Equations.VEERG_4_5_1_1__1_TotalAnnualMethaneEmissions_Title()</f>
        <v>Total annual methane emissions from manure management</v>
      </c>
    </row>
    <row r="234" spans="1:21" ht="20.100000000000001" customHeight="1" x14ac:dyDescent="0.25">
      <c r="D234" s="5" t="str" cm="1">
        <f t="array" ref="D234">MMS_Swine_Methane_Equations.VEERG_4_5_1_1__1_TotalAnnualMethaneEmissions_Source()</f>
        <v>VEERG 2026: 4.5.1.1, Equation (1)</v>
      </c>
    </row>
    <row r="235" spans="1:21" ht="20.100000000000001" customHeight="1" x14ac:dyDescent="0.25">
      <c r="D235" s="13" t="s">
        <v>26</v>
      </c>
      <c r="E235" s="13" t="str" cm="1">
        <f t="array" aca="1" ref="E235" ca="1">Common_InputFunctions.Utility_DisplayFunctionName(D259)</f>
        <v>=MMS_Swine_Methane_Equations.VEERG_4_5_1_1__1_TotalAnnualMethaneEmissions</v>
      </c>
    </row>
    <row r="236" spans="1:21" ht="20.100000000000001" customHeight="1" x14ac:dyDescent="0.25"/>
    <row r="237" spans="1:21" ht="20.100000000000001" customHeight="1" x14ac:dyDescent="0.25">
      <c r="D237" s="6"/>
    </row>
    <row r="238" spans="1:21" ht="20.100000000000001" customHeight="1" x14ac:dyDescent="0.25"/>
    <row r="239" spans="1:21" ht="20.100000000000001" customHeight="1" x14ac:dyDescent="0.25">
      <c r="D239" s="53" t="s">
        <v>29</v>
      </c>
      <c r="E239" s="1" t="str" cm="1">
        <f t="array" ref="E239">MMS_Swine_Methane_Equations.VEERG_4_5_1_1__1_TotalAnnualMethaneEmissions_Variable()</f>
        <v>ECH4</v>
      </c>
    </row>
    <row r="240" spans="1:21" ht="20.100000000000001" customHeight="1" x14ac:dyDescent="0.25">
      <c r="D240" s="53" t="s">
        <v>19</v>
      </c>
      <c r="E240" s="54" t="str" cm="1">
        <f t="array" ref="E240">MMS_Swine_Methane_Equations.VEERG_4_5_1_1__1_TotalAnnualMethaneEmissions_Unit()</f>
        <v>t CH4</v>
      </c>
    </row>
    <row r="241" spans="4:14" ht="20.100000000000001" customHeight="1" x14ac:dyDescent="0.25"/>
    <row r="242" spans="4:14" ht="20.100000000000001" customHeight="1" x14ac:dyDescent="0.25">
      <c r="D242" s="57" t="str" cm="1">
        <f t="array" ref="D242:E244">_xlfn.CHOOSECOLS(MMS_Swine_Methane_Equations.VEERG_4_5_1_1__1_TotalAnnualMethaneEmissions_Arguments(), 1, 2)</f>
        <v>Dj</v>
      </c>
      <c r="E242" s="58" t="str">
        <v>length of stay of each class of swine</v>
      </c>
      <c r="F242" s="59"/>
      <c r="G242" s="57" t="str" cm="1">
        <f t="array" ref="G242:H244">_xlfn.CHOOSECOLS(MMS_Swine_Methane_Equations.VEERG_4_5_1_1__1_TotalAnnualMethaneEmissions_Arguments(), 3,4)</f>
        <v>days</v>
      </c>
      <c r="H242" s="140" t="str">
        <v>Input</v>
      </c>
      <c r="I242" s="143" t="str" cm="1">
        <f t="array" aca="1" ref="I242" ca="1">HYPERLINK(Common_InputFunctions.Utility_SourceHyperlink(D246), D246)</f>
        <v>Table_D_j</v>
      </c>
    </row>
    <row r="243" spans="4:14" ht="20.100000000000001" customHeight="1" x14ac:dyDescent="0.25">
      <c r="D243" s="57" t="str">
        <v>Mmj</v>
      </c>
      <c r="E243" s="58" t="str">
        <v>methane production from manure in each swine class</v>
      </c>
      <c r="F243" s="59"/>
      <c r="G243" s="57" t="str">
        <v>kg CH4/head/day</v>
      </c>
      <c r="H243" s="139" t="str">
        <v>Calculated from 4.5.1.1 (2)</v>
      </c>
      <c r="I243" s="143" t="str" cm="1">
        <f t="array" aca="1" ref="I243" ca="1">HYPERLINK(Common_InputFunctions.Utility_SourceHyperlink(D226), D226)</f>
        <v>M1_Table_M_m_j</v>
      </c>
    </row>
    <row r="244" spans="4:14" ht="20.100000000000001" customHeight="1" x14ac:dyDescent="0.25">
      <c r="D244" s="57" t="str">
        <v>Nj</v>
      </c>
      <c r="E244" s="58" t="str">
        <v>numbers of swine in each class</v>
      </c>
      <c r="F244" s="59"/>
      <c r="G244" s="57" t="str">
        <v>head</v>
      </c>
      <c r="H244" s="140" t="str">
        <v>Input</v>
      </c>
      <c r="I244" s="143" t="str" cm="1">
        <f t="array" aca="1" ref="I244" ca="1">HYPERLINK(Common_InputFunctions.Utility_SourceHyperlink(D226), D226)</f>
        <v>M1_Table_M_m_j</v>
      </c>
    </row>
    <row r="245" spans="4:14" ht="20.100000000000001" customHeight="1" x14ac:dyDescent="0.25"/>
    <row r="246" spans="4:14" ht="20.100000000000001" customHeight="1" x14ac:dyDescent="0.25">
      <c r="D246" s="121" t="s">
        <v>173</v>
      </c>
    </row>
    <row r="247" spans="4:14" ht="20.100000000000001" customHeight="1" x14ac:dyDescent="0.25">
      <c r="D247" s="122" t="s">
        <v>174</v>
      </c>
    </row>
    <row r="248" spans="4:14" ht="20.100000000000001" customHeight="1" x14ac:dyDescent="0.25">
      <c r="D248" s="119" t="s">
        <v>142</v>
      </c>
      <c r="E248" s="119" t="s">
        <v>143</v>
      </c>
      <c r="F248" s="119" t="s">
        <v>144</v>
      </c>
      <c r="G248" s="119" t="s">
        <v>206</v>
      </c>
    </row>
    <row r="249" spans="4:14" ht="20.100000000000001" customHeight="1" x14ac:dyDescent="0.25">
      <c r="D249" s="123">
        <f>'Input - Swine'!E10</f>
        <v>365</v>
      </c>
      <c r="E249" s="123">
        <f>'Input - Swine'!F10</f>
        <v>365</v>
      </c>
      <c r="F249" s="123">
        <f>'Input - Swine'!G10</f>
        <v>365</v>
      </c>
      <c r="G249" s="123">
        <f>'Input - Swine'!H10</f>
        <v>365</v>
      </c>
      <c r="H249" s="2" t="str">
        <f>G242</f>
        <v>days</v>
      </c>
    </row>
    <row r="250" spans="4:14" ht="20.100000000000001" customHeight="1" x14ac:dyDescent="0.25"/>
    <row r="251" spans="4:14" ht="20.100000000000001" customHeight="1" x14ac:dyDescent="0.25">
      <c r="D251" s="121" t="s">
        <v>175</v>
      </c>
    </row>
    <row r="252" spans="4:14" ht="20.100000000000001" customHeight="1" x14ac:dyDescent="0.25">
      <c r="D252" s="122" t="s">
        <v>176</v>
      </c>
    </row>
    <row r="253" spans="4:14" ht="20.100000000000001" customHeight="1" x14ac:dyDescent="0.25">
      <c r="D253" s="119" t="s">
        <v>142</v>
      </c>
      <c r="E253" s="119" t="s">
        <v>143</v>
      </c>
      <c r="F253" s="119" t="s">
        <v>144</v>
      </c>
      <c r="G253" s="119" t="s">
        <v>206</v>
      </c>
    </row>
    <row r="254" spans="4:14" ht="20.100000000000001" customHeight="1" x14ac:dyDescent="0.25">
      <c r="D254" s="123">
        <f>'Input - Swine'!$E$11</f>
        <v>100</v>
      </c>
      <c r="E254" s="123">
        <f>'Input - Swine'!$F$11</f>
        <v>100</v>
      </c>
      <c r="F254" s="123">
        <f>'Input - Swine'!$G$11</f>
        <v>100</v>
      </c>
      <c r="G254" s="123">
        <f>'Input - Swine'!$H$11</f>
        <v>100</v>
      </c>
      <c r="H254" s="2" t="str">
        <f>G244</f>
        <v>head</v>
      </c>
    </row>
    <row r="255" spans="4:14" ht="20.100000000000001" customHeight="1" x14ac:dyDescent="0.25"/>
    <row r="256" spans="4:14" ht="20.100000000000001" customHeight="1" x14ac:dyDescent="0.25">
      <c r="D256" s="121" t="s">
        <v>123</v>
      </c>
      <c r="N256" s="121" t="s">
        <v>134</v>
      </c>
    </row>
    <row r="257" spans="1:18" ht="20.100000000000001" customHeight="1" x14ac:dyDescent="0.25">
      <c r="D257" s="122" t="s">
        <v>205</v>
      </c>
      <c r="N257" s="122" t="s">
        <v>228</v>
      </c>
    </row>
    <row r="258" spans="1:18" ht="20.100000000000001" customHeight="1" x14ac:dyDescent="0.25">
      <c r="D258" s="51" t="s">
        <v>142</v>
      </c>
      <c r="E258" s="51" t="s">
        <v>143</v>
      </c>
      <c r="F258" s="51" t="s">
        <v>144</v>
      </c>
      <c r="G258" s="51" t="s">
        <v>206</v>
      </c>
      <c r="N258" s="51" t="s">
        <v>142</v>
      </c>
      <c r="O258" s="51" t="s">
        <v>143</v>
      </c>
      <c r="P258" s="51" t="s">
        <v>144</v>
      </c>
      <c r="Q258" s="51" t="s">
        <v>206</v>
      </c>
    </row>
    <row r="259" spans="1:18" ht="20.100000000000001" customHeight="1" x14ac:dyDescent="0.25">
      <c r="D259" s="52" cm="1">
        <f t="array" ref="D259">MMS_Swine_Methane_Equations.VEERG_4_5_1_1__1_TotalAnnualMethaneEmissions(D249,D$229,D254)</f>
        <v>0.50297425899520021</v>
      </c>
      <c r="E259" s="52" cm="1">
        <f t="array" ref="E259">MMS_Swine_Methane_Equations.VEERG_4_5_1_1__1_TotalAnnualMethaneEmissions(E249,E$229,E254)</f>
        <v>0.61806355106560018</v>
      </c>
      <c r="F259" s="52" cm="1">
        <f t="array" ref="F259">MMS_Swine_Methane_Equations.VEERG_4_5_1_1__1_TotalAnnualMethaneEmissions(F249,F$229,F254)</f>
        <v>0.73898902844800007</v>
      </c>
      <c r="G259" s="52" cm="1">
        <f t="array" ref="G259">MMS_Swine_Methane_Equations.VEERG_4_5_1_1__1_TotalAnnualMethaneEmissions(G249,G$229,G254)</f>
        <v>0.52401040199040005</v>
      </c>
      <c r="H259" s="2" t="str">
        <f>$E$240</f>
        <v>t CH4</v>
      </c>
      <c r="N259" s="52" cm="1">
        <f t="array" ref="N259">MMS_Swine_Methane_Equations.VEERG_4_5_1_1__1_TotalAnnualMethaneEmissions(D249,N$229,D254)</f>
        <v>0.50818330726400018</v>
      </c>
      <c r="O259" s="52" cm="1">
        <f t="array" ref="O259">MMS_Swine_Methane_Equations.VEERG_4_5_1_1__1_TotalAnnualMethaneEmissions(E249,O$229,E254)</f>
        <v>0.62446947603200009</v>
      </c>
      <c r="P259" s="52" cm="1">
        <f t="array" ref="P259">MMS_Swine_Methane_Equations.VEERG_4_5_1_1__1_TotalAnnualMethaneEmissions(F249,P$229,F254)</f>
        <v>0.74664828656000026</v>
      </c>
      <c r="Q259" s="52" cm="1">
        <f t="array" ref="Q259">MMS_Swine_Methane_Equations.VEERG_4_5_1_1__1_TotalAnnualMethaneEmissions(G249,Q$229,G254)</f>
        <v>0.52944151228800007</v>
      </c>
      <c r="R259" s="2" t="str">
        <f>$E$240</f>
        <v>t CH4</v>
      </c>
    </row>
    <row r="260" spans="1:18" ht="20.100000000000001" customHeight="1" x14ac:dyDescent="0.25"/>
    <row r="261" spans="1:18" ht="20.100000000000001" customHeight="1" x14ac:dyDescent="0.25">
      <c r="D261" s="101" t="s">
        <v>177</v>
      </c>
      <c r="E261" s="102">
        <f>SUM(D259:G259)</f>
        <v>2.3840372404992007</v>
      </c>
      <c r="F261" s="103" t="str">
        <f>$E$240</f>
        <v>t CH4</v>
      </c>
      <c r="N261" s="101" t="s">
        <v>177</v>
      </c>
      <c r="O261" s="102">
        <f>SUM(N259:Q259)</f>
        <v>2.4087425821440007</v>
      </c>
      <c r="P261" s="103" t="str">
        <f>$E$240</f>
        <v>t CH4</v>
      </c>
    </row>
    <row r="262" spans="1:18" ht="20.100000000000001" customHeight="1" x14ac:dyDescent="0.25"/>
    <row r="263" spans="1:18" ht="20.100000000000001" customHeight="1" x14ac:dyDescent="0.25">
      <c r="D263" s="57" t="str" cm="1">
        <f t="array" ref="D263:E264">Common_Equations.Common_ConvertCH4ToCO2e_Arguments()</f>
        <v>ECH4</v>
      </c>
      <c r="E263" s="58" t="str">
        <v>Methane emissions (t CH4)</v>
      </c>
      <c r="F263" s="104"/>
      <c r="G263" s="52">
        <f>E261</f>
        <v>2.3840372404992007</v>
      </c>
      <c r="N263" s="57" t="str" cm="1">
        <f t="array" ref="N263:O264">Common_Equations.Common_ConvertCH4ToCO2e_Arguments()</f>
        <v>ECH4</v>
      </c>
      <c r="O263" s="58" t="str">
        <v>Methane emissions (t CH4)</v>
      </c>
      <c r="P263" s="104"/>
      <c r="Q263" s="52">
        <f>O261</f>
        <v>2.4087425821440007</v>
      </c>
    </row>
    <row r="264" spans="1:18" ht="20.100000000000001" customHeight="1" x14ac:dyDescent="0.25">
      <c r="D264" s="57" t="str">
        <v>GWPCH4</v>
      </c>
      <c r="E264" s="58" t="str">
        <v>Global warming potential for methane (t CO2-e / t CH4)</v>
      </c>
      <c r="F264" s="104"/>
      <c r="G264" s="52">
        <f>Common_InputFunctions.Utility_LookupValueInTableNumber("CH4",Table_GWPData[Gas],Table_GWPData[CO2-e factor])</f>
        <v>28</v>
      </c>
      <c r="N264" s="57" t="str">
        <v>GWPCH4</v>
      </c>
      <c r="O264" s="58" t="str">
        <v>Global warming potential for methane (t CO2-e / t CH4)</v>
      </c>
      <c r="P264" s="104"/>
      <c r="Q264" s="52">
        <f>Common_InputFunctions.Utility_LookupValueInTableNumber("CH4",Table_GWPData[Gas],Table_GWPData[CO2-e factor])</f>
        <v>28</v>
      </c>
    </row>
    <row r="265" spans="1:18" ht="20.100000000000001" customHeight="1" x14ac:dyDescent="0.25"/>
    <row r="266" spans="1:18" ht="20.100000000000001" customHeight="1" x14ac:dyDescent="0.25">
      <c r="A266" s="150" t="str">
        <f>HYPERLINK("#A1", "▲ Back to top")</f>
        <v>▲ Back to top</v>
      </c>
      <c r="D266" s="45" t="s">
        <v>100</v>
      </c>
      <c r="E266" s="45" cm="1">
        <f t="array" ref="E266">Common_Equations.Common_ConvertCH4ToCO2e(G263,G264)</f>
        <v>66.753042733977622</v>
      </c>
      <c r="F266" s="105" t="str" cm="1">
        <f t="array" ref="F266">Common_Equations.Common_ConvertN2OToCO2e_Unit()</f>
        <v>t CO2e</v>
      </c>
      <c r="N266" s="45" t="s">
        <v>100</v>
      </c>
      <c r="O266" s="45" cm="1">
        <f t="array" ref="O266">Common_Equations.Common_ConvertCH4ToCO2e(Q263,Q264)</f>
        <v>67.44479230003202</v>
      </c>
      <c r="P266" s="105" t="str" cm="1">
        <f t="array" ref="P266">Common_Equations.Common_ConvertN2OToCO2e_Unit()</f>
        <v>t CO2e</v>
      </c>
    </row>
    <row r="267" spans="1:18" ht="20.100000000000001" customHeight="1" x14ac:dyDescent="0.25"/>
    <row r="268" spans="1:18" ht="20.100000000000001" customHeight="1" x14ac:dyDescent="0.25"/>
    <row r="269" spans="1:18" ht="20.100000000000001" customHeight="1" x14ac:dyDescent="0.25"/>
    <row r="270" spans="1:18" ht="20.100000000000001" customHeight="1" x14ac:dyDescent="0.25"/>
    <row r="271" spans="1:18" ht="20.100000000000001" customHeight="1" x14ac:dyDescent="0.25"/>
    <row r="341" spans="8:8" x14ac:dyDescent="0.25">
      <c r="H341" s="22"/>
    </row>
    <row r="342" spans="8:8" x14ac:dyDescent="0.25">
      <c r="H342" s="22"/>
    </row>
  </sheetData>
  <dataValidations count="1">
    <dataValidation operator="equal" allowBlank="1" showInputMessage="1" showErrorMessage="1" sqref="O161:T161 E119:J119 I200 E252 P133:T134 E214 H121:J124 F138:I140 F120:J120 F121:F124 Q155:T156 R121:S124 P121:P124"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652C6-038D-41EC-BA1B-216C9E3A60D3}">
  <dimension ref="A1:U304"/>
  <sheetViews>
    <sheetView showGridLines="0" topLeftCell="G275" zoomScale="85" zoomScaleNormal="85" workbookViewId="0">
      <selection activeCell="G300" sqref="G300"/>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8" t="e" vm="1">
        <v>#VALUE!</v>
      </c>
      <c r="C1" s="8" t="s">
        <v>229</v>
      </c>
      <c r="L1"/>
    </row>
    <row r="2" spans="1:21" s="9" customFormat="1" ht="20.100000000000001" customHeight="1" x14ac:dyDescent="0.25">
      <c r="L2"/>
    </row>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MMS_Swine_N2ODirect_Equations.VEERG_4_5_1_3__5_AnnualNitrogenExcretion_Title()</f>
        <v>Annual nitrogen excretion from each swine group</v>
      </c>
    </row>
    <row r="6" spans="1:21" ht="20.100000000000001" customHeight="1" x14ac:dyDescent="0.25">
      <c r="A6" s="16"/>
      <c r="D6" s="5" t="str" cm="1">
        <f t="array" ref="D6">MMS_Swine_N2ODirect_Equations.VEERG_4_5_1_3__5_AnnualNitrogenExcretion_Source()</f>
        <v>VEERG 2026: 4.5.1.3, Equation (5)</v>
      </c>
    </row>
    <row r="7" spans="1:21" ht="20.100000000000001" customHeight="1" x14ac:dyDescent="0.25">
      <c r="A7" s="20" t="s">
        <v>3</v>
      </c>
      <c r="D7" s="13" t="s">
        <v>26</v>
      </c>
      <c r="E7" s="13" t="str" cm="1">
        <f t="array" aca="1" ref="E7" ca="1">Common_InputFunctions.Utility_DisplayFunctionName($E$35)</f>
        <v>=MMS_Swine_N2ODirect_Equations.VEERG_4_5_1_3__5_AnnualNitrogenExcretion</v>
      </c>
    </row>
    <row r="8" spans="1:21" ht="20.100000000000001" customHeight="1" x14ac:dyDescent="0.25">
      <c r="A8" s="17" t="str">
        <f>HYPERLINK("#'Input - Site'!A1", "Site")</f>
        <v>Site</v>
      </c>
    </row>
    <row r="9" spans="1:21" ht="20.100000000000001" customHeight="1" x14ac:dyDescent="0.25">
      <c r="A9" s="17" t="str">
        <f>HYPERLINK("#'Input - Swine'!A1", "Swine")</f>
        <v>Swine</v>
      </c>
    </row>
    <row r="10" spans="1:21" ht="20.100000000000001" customHeight="1" x14ac:dyDescent="0.25">
      <c r="A10" s="17"/>
      <c r="D10" s="53" t="s">
        <v>29</v>
      </c>
      <c r="E10" s="1" t="str" cm="1">
        <f t="array" ref="E10">MMS_Swine_N2ODirect_Equations.VEERG_4_5_1_3__5_AnnualNitrogenExcretion_Variable()</f>
        <v>AE_j</v>
      </c>
    </row>
    <row r="11" spans="1:21" ht="20.100000000000001" customHeight="1" x14ac:dyDescent="0.25">
      <c r="A11" s="19" t="s">
        <v>76</v>
      </c>
      <c r="D11" s="53" t="s">
        <v>19</v>
      </c>
      <c r="E11" s="54" t="str" cm="1">
        <f t="array" ref="E11">MMS_Swine_N2ODirect_Equations.VEERG_4_5_1_3__5_AnnualNitrogenExcretion_Unit()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144" t="str" cm="1">
        <f t="array" ref="D13:E15">Common_InputFunctions.Utility_DisplayArguments_1_2(MMS_Swine_N2ODirect_Equations.VEERG_4_5_1_3__5_AnnualNitrogenExcretion_Arguments())</f>
        <v>N_j</v>
      </c>
      <c r="E13" s="146" t="str">
        <v>number of swine in each group</v>
      </c>
      <c r="F13" s="145"/>
      <c r="G13" s="144" t="str" cm="1">
        <f t="array" ref="G13:H15">Common_InputFunctions.Utility_DisplayArguments_3_4(MMS_Swine_N2ODirect_Equations.VEERG_4_5_1_3__5_AnnualNitrogenExcretion_Arguments())</f>
        <v>head</v>
      </c>
      <c r="H13" s="140" t="str">
        <v>Input</v>
      </c>
      <c r="I13" s="143" t="str" cm="1">
        <f t="array" aca="1" ref="I13" ca="1">HYPERLINK(Common_InputFunctions.Utility_SourceHyperlink(D17), D17)</f>
        <v>Table_N_j</v>
      </c>
    </row>
    <row r="14" spans="1:21" ht="20.100000000000001" customHeight="1" x14ac:dyDescent="0.25">
      <c r="A14" s="17" t="str">
        <f>HYPERLINK("#'4.5.1.5-6 Atmos Dep'!A1", "4.5.1.5-6 Soil atm. deposition")</f>
        <v>4.5.1.5-6 Soil atm. deposition</v>
      </c>
      <c r="D14" s="144" t="str">
        <v>NW_j</v>
      </c>
      <c r="E14" s="144" t="str">
        <v>nitrogen produced in swine manure and waste feed in each class</v>
      </c>
      <c r="F14" s="144"/>
      <c r="G14" s="144" t="str">
        <v>kg N/head/day</v>
      </c>
      <c r="H14" s="140" t="str">
        <v>Input</v>
      </c>
      <c r="I14" s="143" t="str" cm="1">
        <f t="array" aca="1" ref="I14" ca="1">HYPERLINK(Common_InputFunctions.Utility_SourceHyperlink(D22), D22)</f>
        <v>M1_Table_NW_j</v>
      </c>
    </row>
    <row r="15" spans="1:21" ht="20.100000000000001" customHeight="1" x14ac:dyDescent="0.25">
      <c r="A15" s="17" t="str">
        <f>HYPERLINK("#'4.5.1.7-8 Leaching and runoff'!A1", "4.5.1.7-8 Leaching &amp; runoff")</f>
        <v>4.5.1.7-8 Leaching &amp; runoff</v>
      </c>
      <c r="D15" s="144" t="str">
        <v>D_j</v>
      </c>
      <c r="E15" s="146" t="str">
        <v>duration of stay of swine group</v>
      </c>
      <c r="F15" s="145"/>
      <c r="G15" s="144" t="str">
        <v>days</v>
      </c>
      <c r="H15" s="140" t="str">
        <v>Input</v>
      </c>
      <c r="I15" s="143" t="str" cm="1">
        <f t="array" aca="1" ref="I15" ca="1">HYPERLINK(Common_InputFunctions.Utility_SourceHyperlink(D27), D27)</f>
        <v>Table_D_j</v>
      </c>
    </row>
    <row r="16" spans="1:21" ht="20.100000000000001" customHeight="1" x14ac:dyDescent="0.25">
      <c r="A16" s="17" t="str">
        <f>HYPERLINK("#'4.5.1.9 Manure applied to soils'!A1", "4.5.1.9 Manure applied to soils")</f>
        <v>4.5.1.9 Manure applied to soils</v>
      </c>
    </row>
    <row r="17" spans="1:18" ht="20.100000000000001" customHeight="1" x14ac:dyDescent="0.25">
      <c r="D17" s="121" t="s">
        <v>175</v>
      </c>
    </row>
    <row r="18" spans="1:18" ht="20.100000000000001" customHeight="1" x14ac:dyDescent="0.25">
      <c r="A18" s="18" t="s">
        <v>4</v>
      </c>
      <c r="D18" s="122" t="s">
        <v>176</v>
      </c>
    </row>
    <row r="19" spans="1:18" ht="20.100000000000001" customHeight="1" x14ac:dyDescent="0.25">
      <c r="A19" s="17" t="str">
        <f>HYPERLINK("#'Constants - Swine'!A1", "Constants - Swine")</f>
        <v>Constants - Swine</v>
      </c>
      <c r="D19" s="119" t="s">
        <v>142</v>
      </c>
      <c r="E19" s="119" t="s">
        <v>143</v>
      </c>
      <c r="F19" s="119" t="s">
        <v>144</v>
      </c>
      <c r="G19" s="119" t="s">
        <v>206</v>
      </c>
    </row>
    <row r="20" spans="1:18" ht="20.100000000000001" customHeight="1" x14ac:dyDescent="0.25">
      <c r="A20" s="17" t="str">
        <f>HYPERLINK("#'Constants - Livestock'!A1", "Constants - Livestock")</f>
        <v>Constants - Livestock</v>
      </c>
      <c r="D20" s="123">
        <f>'Input - Swine'!$E$11</f>
        <v>100</v>
      </c>
      <c r="E20" s="123">
        <f>'Input - Swine'!$F$11</f>
        <v>100</v>
      </c>
      <c r="F20" s="123">
        <f>'Input - Swine'!$G$11</f>
        <v>100</v>
      </c>
      <c r="G20" s="123">
        <f>'Input - Swine'!$H$11</f>
        <v>100</v>
      </c>
      <c r="H20" s="2" t="str">
        <f>G13</f>
        <v>head</v>
      </c>
    </row>
    <row r="21" spans="1:18" ht="20.100000000000001" customHeight="1" x14ac:dyDescent="0.25">
      <c r="A21" s="17" t="str">
        <f>HYPERLINK("#'Constants - Common'!A1", "Constants - Common")</f>
        <v>Constants - Common</v>
      </c>
    </row>
    <row r="22" spans="1:18" ht="20.100000000000001" customHeight="1" x14ac:dyDescent="0.25">
      <c r="A22" s="17" t="str">
        <f>HYPERLINK("#'Acknowledgements'!A1", "Acknowledgements")</f>
        <v>Acknowledgements</v>
      </c>
      <c r="D22" s="121" t="s">
        <v>236</v>
      </c>
      <c r="N22" s="121" t="s">
        <v>297</v>
      </c>
    </row>
    <row r="23" spans="1:18" ht="20.100000000000001" customHeight="1" x14ac:dyDescent="0.25">
      <c r="D23" s="122" t="s">
        <v>296</v>
      </c>
      <c r="N23" s="122" t="s">
        <v>298</v>
      </c>
    </row>
    <row r="24" spans="1:18" ht="20.100000000000001" customHeight="1" x14ac:dyDescent="0.25">
      <c r="A24" s="17"/>
      <c r="D24" s="119" t="s">
        <v>142</v>
      </c>
      <c r="E24" s="119" t="s">
        <v>143</v>
      </c>
      <c r="F24" s="119" t="s">
        <v>144</v>
      </c>
      <c r="G24" s="119" t="s">
        <v>206</v>
      </c>
      <c r="N24" s="119" t="s">
        <v>142</v>
      </c>
      <c r="O24" s="119" t="s">
        <v>143</v>
      </c>
      <c r="P24" s="119" t="s">
        <v>144</v>
      </c>
      <c r="Q24" s="119" t="s">
        <v>206</v>
      </c>
    </row>
    <row r="25" spans="1:18" ht="20.100000000000001" customHeight="1" x14ac:dyDescent="0.25">
      <c r="D25" s="52">
        <f>'Input - Swine'!E17</f>
        <v>4.5999999999999999E-2</v>
      </c>
      <c r="E25" s="52">
        <f>'Input - Swine'!F17</f>
        <v>4.9000000000000002E-2</v>
      </c>
      <c r="F25" s="52">
        <f>'Input - Swine'!G17</f>
        <v>4.5999999999999999E-2</v>
      </c>
      <c r="G25" s="52">
        <f>'Input - Swine'!H17</f>
        <v>3.1199999999999999E-2</v>
      </c>
      <c r="H25" s="2" t="str">
        <f>G14</f>
        <v>kg N/head/day</v>
      </c>
      <c r="N25" s="52">
        <f>'Input - Swine'!E21</f>
        <v>4.5999999999999999E-2</v>
      </c>
      <c r="O25" s="52">
        <f>'Input - Swine'!F21</f>
        <v>4.9000000000000002E-2</v>
      </c>
      <c r="P25" s="52">
        <f>'Input - Swine'!G21</f>
        <v>4.5999999999999999E-2</v>
      </c>
      <c r="Q25" s="52">
        <f>'Input - Swine'!H21</f>
        <v>3.1199999999999999E-2</v>
      </c>
      <c r="R25" s="2" t="str">
        <f>G14</f>
        <v>kg N/head/day</v>
      </c>
    </row>
    <row r="26" spans="1:18" ht="20.100000000000001" customHeight="1" x14ac:dyDescent="0.25"/>
    <row r="27" spans="1:18" ht="20.100000000000001" customHeight="1" x14ac:dyDescent="0.25">
      <c r="D27" s="121" t="s">
        <v>173</v>
      </c>
    </row>
    <row r="28" spans="1:18" ht="20.100000000000001" customHeight="1" x14ac:dyDescent="0.25">
      <c r="D28" s="122" t="s">
        <v>237</v>
      </c>
    </row>
    <row r="29" spans="1:18" ht="20.100000000000001" customHeight="1" x14ac:dyDescent="0.25">
      <c r="D29" s="119" t="s">
        <v>142</v>
      </c>
      <c r="E29" s="119" t="s">
        <v>143</v>
      </c>
      <c r="F29" s="119" t="s">
        <v>144</v>
      </c>
      <c r="G29" s="119" t="s">
        <v>206</v>
      </c>
    </row>
    <row r="30" spans="1:18" ht="20.100000000000001" customHeight="1" x14ac:dyDescent="0.25">
      <c r="D30" s="123">
        <f>'Input - Swine'!E10</f>
        <v>365</v>
      </c>
      <c r="E30" s="123">
        <f>'Input - Swine'!F10</f>
        <v>365</v>
      </c>
      <c r="F30" s="123">
        <f>'Input - Swine'!G10</f>
        <v>365</v>
      </c>
      <c r="G30" s="123">
        <f>'Input - Swine'!H10</f>
        <v>365</v>
      </c>
      <c r="H30" s="2" t="str">
        <f>G15</f>
        <v>days</v>
      </c>
    </row>
    <row r="31" spans="1:18" ht="20.100000000000001" customHeight="1" x14ac:dyDescent="0.25"/>
    <row r="32" spans="1:18" ht="20.100000000000001" customHeight="1" x14ac:dyDescent="0.25">
      <c r="D32" s="121" t="s">
        <v>299</v>
      </c>
      <c r="N32" s="121" t="s">
        <v>301</v>
      </c>
    </row>
    <row r="33" spans="3:18" ht="20.100000000000001" customHeight="1" x14ac:dyDescent="0.25">
      <c r="D33" s="122" t="s">
        <v>300</v>
      </c>
      <c r="N33" s="122" t="s">
        <v>302</v>
      </c>
    </row>
    <row r="34" spans="3:18" ht="20.100000000000001" customHeight="1" x14ac:dyDescent="0.25">
      <c r="D34" s="51" t="s">
        <v>142</v>
      </c>
      <c r="E34" s="51" t="s">
        <v>143</v>
      </c>
      <c r="F34" s="51" t="s">
        <v>144</v>
      </c>
      <c r="G34" s="51" t="s">
        <v>206</v>
      </c>
      <c r="N34" s="51" t="s">
        <v>142</v>
      </c>
      <c r="O34" s="51" t="s">
        <v>143</v>
      </c>
      <c r="P34" s="51" t="s">
        <v>144</v>
      </c>
      <c r="Q34" s="51" t="s">
        <v>206</v>
      </c>
    </row>
    <row r="35" spans="3:18" ht="20.100000000000001" customHeight="1" x14ac:dyDescent="0.25">
      <c r="D35" s="123" cm="1">
        <f t="array" ref="D35">MMS_Swine_N2ODirect_Equations.VEERG_4_5_1_3__5_AnnualNitrogenExcretion(D20,D25,D30)</f>
        <v>1678.9999999999998</v>
      </c>
      <c r="E35" s="123" cm="1">
        <f t="array" ref="E35">MMS_Swine_N2ODirect_Equations.VEERG_4_5_1_3__5_AnnualNitrogenExcretion(E20,E25,E30)</f>
        <v>1788.5000000000002</v>
      </c>
      <c r="F35" s="123" cm="1">
        <f t="array" ref="F35">MMS_Swine_N2ODirect_Equations.VEERG_4_5_1_3__5_AnnualNitrogenExcretion(F20,F25,F30)</f>
        <v>1678.9999999999998</v>
      </c>
      <c r="G35" s="123" cm="1">
        <f t="array" ref="G35">MMS_Swine_N2ODirect_Equations.VEERG_4_5_1_3__5_AnnualNitrogenExcretion(G20,G25,G30)</f>
        <v>1138.8</v>
      </c>
      <c r="H35" s="2" t="str">
        <f>$E$11</f>
        <v>kg N</v>
      </c>
      <c r="N35" s="123" cm="1">
        <f t="array" ref="N35">MMS_Swine_N2ODirect_Equations.VEERG_4_5_1_3__5_AnnualNitrogenExcretion(D20,N25,D30)</f>
        <v>1678.9999999999998</v>
      </c>
      <c r="O35" s="123" cm="1">
        <f t="array" ref="O35">MMS_Swine_N2ODirect_Equations.VEERG_4_5_1_3__5_AnnualNitrogenExcretion(E20,O25,E30)</f>
        <v>1788.5000000000002</v>
      </c>
      <c r="P35" s="123" cm="1">
        <f t="array" ref="P35">MMS_Swine_N2ODirect_Equations.VEERG_4_5_1_3__5_AnnualNitrogenExcretion(F20,P25,F30)</f>
        <v>1678.9999999999998</v>
      </c>
      <c r="Q35" s="123" cm="1">
        <f t="array" ref="Q35">MMS_Swine_N2ODirect_Equations.VEERG_4_5_1_3__5_AnnualNitrogenExcretion(G20,Q25,G30)</f>
        <v>1138.8</v>
      </c>
      <c r="R35" s="2" t="str">
        <f>$E$11</f>
        <v>kg N</v>
      </c>
    </row>
    <row r="36" spans="3:18" ht="20.100000000000001" customHeight="1" x14ac:dyDescent="0.25"/>
    <row r="37" spans="3:18" ht="20.100000000000001" customHeight="1" x14ac:dyDescent="0.25"/>
    <row r="38" spans="3:18" ht="20.100000000000001" customHeight="1" x14ac:dyDescent="0.25">
      <c r="C38" s="45"/>
      <c r="D38" s="45"/>
      <c r="E38" s="45"/>
      <c r="F38" s="45"/>
      <c r="G38" s="45"/>
      <c r="H38" s="45"/>
      <c r="I38" s="45"/>
      <c r="J38" s="45"/>
    </row>
    <row r="39" spans="3:18" ht="20.100000000000001" customHeight="1" x14ac:dyDescent="0.25">
      <c r="D39" s="6" t="str" cm="1">
        <f t="array" ref="D39">MMS_Swine_N2ODirect_Equations.VEERG_4_5_1_3__3_FractionOfNitrogenInPrimaryMMS_Title()</f>
        <v>Fraction of nitrogen in each primary MMS (excluding solid storage)</v>
      </c>
    </row>
    <row r="40" spans="3:18" ht="20.100000000000001" customHeight="1" x14ac:dyDescent="0.25">
      <c r="D40" s="5" t="str" cm="1">
        <f t="array" ref="D40">MMS_Swine_N2ODirect_Equations.VEERG_4_5_1_3__3_FractionOfNitrogenInPrimaryMMS_Source()</f>
        <v>VEERG 2026: 4.5.1.3, Equation (3)</v>
      </c>
    </row>
    <row r="41" spans="3:18" ht="20.100000000000001" customHeight="1" x14ac:dyDescent="0.25">
      <c r="D41" s="13" t="s">
        <v>26</v>
      </c>
      <c r="E41" s="13" t="str" cm="1">
        <f t="array" aca="1" ref="E41" ca="1">Common_InputFunctions.Utility_DisplayFunctionName($E$71)</f>
        <v>=MMS_Swine_N2ODirect_Equations.VEERG_4_5_1_3__3_FractionOfNitrogenInPrimaryMMS</v>
      </c>
    </row>
    <row r="42" spans="3:18" ht="20.100000000000001" customHeight="1" x14ac:dyDescent="0.25"/>
    <row r="43" spans="3:18" ht="20.100000000000001" customHeight="1" x14ac:dyDescent="0.25"/>
    <row r="44" spans="3:18" ht="20.100000000000001" customHeight="1" x14ac:dyDescent="0.25">
      <c r="D44" s="53" t="s">
        <v>29</v>
      </c>
      <c r="E44" s="1" t="str" cm="1">
        <f t="array" ref="E44">MMS_Swine_N2ODirect_Equations.VEERG_4_5_1_3__3_FractionOfNitrogenInPrimaryMMS_Variable()</f>
        <v>FN_jmT1</v>
      </c>
    </row>
    <row r="45" spans="3:18" ht="20.100000000000001" customHeight="1" x14ac:dyDescent="0.25">
      <c r="D45" s="53" t="s">
        <v>19</v>
      </c>
      <c r="E45" s="1" t="str" cm="1">
        <f t="array" ref="E45">MMS_Swine_N2ODirect_Equations.VEERG_4_5_1_3__3_FractionOfNitrogenInPrimaryMMS_Unit()</f>
        <v>fraction</v>
      </c>
    </row>
    <row r="46" spans="3:18" ht="20.100000000000001" customHeight="1" x14ac:dyDescent="0.25"/>
    <row r="47" spans="3:18" ht="20.100000000000001" customHeight="1" x14ac:dyDescent="0.25">
      <c r="D47" s="57" t="str" cm="1">
        <f t="array" ref="D47:E48">Common_InputFunctions.Utility_DisplayArguments_1_2(MMS_Swine_N2ODirect_Equations.VEERG_4_5_1_3__3_FractionOfNitrogenInPrimaryMMS_Arguments())</f>
        <v>MMS_jmT1</v>
      </c>
      <c r="E47" s="58" t="str">
        <v>fraction of manure in primary MMS</v>
      </c>
      <c r="F47" s="59"/>
      <c r="G47" s="144" t="str" cm="1">
        <f t="array" ref="G47:H48">Common_InputFunctions.Utility_DisplayArguments_3_4(MMS_Swine_N2ODirect_Equations.VEERG_4_5_1_3__3_FractionOfNitrogenInPrimaryMMS_Arguments())</f>
        <v>fraction</v>
      </c>
      <c r="H47" s="140" t="str">
        <v>Input</v>
      </c>
      <c r="I47" s="143" t="str" cm="1">
        <f t="array" aca="1" ref="I47" ca="1">HYPERLINK(Common_InputFunctions.Utility_SourceHyperlink(D50), D50)</f>
        <v>Table_MMS_j_m-1-7-9-8_T-1</v>
      </c>
    </row>
    <row r="48" spans="3:18" ht="20.100000000000001" customHeight="1" x14ac:dyDescent="0.25">
      <c r="D48" s="57" t="str">
        <v>SN_m</v>
      </c>
      <c r="E48" s="58" t="str">
        <v>fraction of nitrogen separated to solid storage for each MMS</v>
      </c>
      <c r="F48" s="59"/>
      <c r="G48" s="144" t="str">
        <v>fraction</v>
      </c>
      <c r="H48" s="140" t="str">
        <v>Input</v>
      </c>
      <c r="I48" s="143" t="str" cm="1">
        <f t="array" aca="1" ref="I48" ca="1">HYPERLINK(Common_InputFunctions.Utility_SourceHyperlink(D59), D59)</f>
        <v>M1_Table_SN_m-1-7-9</v>
      </c>
    </row>
    <row r="49" spans="4:19" ht="20.100000000000001" customHeight="1" x14ac:dyDescent="0.25"/>
    <row r="50" spans="4:19" ht="20.100000000000001" customHeight="1" x14ac:dyDescent="0.25">
      <c r="D50" s="121" t="s">
        <v>161</v>
      </c>
    </row>
    <row r="51" spans="4:19" ht="20.100000000000001" customHeight="1" x14ac:dyDescent="0.25">
      <c r="D51" s="122" t="s">
        <v>238</v>
      </c>
    </row>
    <row r="52" spans="4:19" ht="20.100000000000001" customHeight="1" x14ac:dyDescent="0.25">
      <c r="D52" s="119" t="s">
        <v>163</v>
      </c>
      <c r="E52" s="119" t="s">
        <v>142</v>
      </c>
      <c r="F52" s="119" t="s">
        <v>143</v>
      </c>
      <c r="G52" s="119" t="s">
        <v>144</v>
      </c>
      <c r="H52" s="119" t="s">
        <v>206</v>
      </c>
    </row>
    <row r="53" spans="4:19" ht="20.100000000000001" customHeight="1" x14ac:dyDescent="0.25">
      <c r="D53" s="57" t="str">
        <f>'Input - Swine'!$D$29</f>
        <v>Anaerobic lagoon</v>
      </c>
      <c r="E53" s="52">
        <f>'Input - Swine'!E29</f>
        <v>0.15</v>
      </c>
      <c r="F53" s="52">
        <f>'Input - Swine'!F29</f>
        <v>0.15</v>
      </c>
      <c r="G53" s="52">
        <f>'Input - Swine'!G29</f>
        <v>0.15</v>
      </c>
      <c r="H53" s="52">
        <f>'Input - Swine'!H29</f>
        <v>0.15</v>
      </c>
      <c r="I53" s="2" t="str">
        <f>G47</f>
        <v>fraction</v>
      </c>
    </row>
    <row r="54" spans="4:19" ht="20.100000000000001" customHeight="1" x14ac:dyDescent="0.25">
      <c r="D54" s="57" t="str">
        <f>'Input - Swine'!$D$30</f>
        <v>Drylot (feed pad)</v>
      </c>
      <c r="E54" s="52">
        <f>'Input - Swine'!E30</f>
        <v>0.15</v>
      </c>
      <c r="F54" s="52">
        <f>'Input - Swine'!F30</f>
        <v>0.15</v>
      </c>
      <c r="G54" s="52">
        <f>'Input - Swine'!G30</f>
        <v>0.15</v>
      </c>
      <c r="H54" s="52">
        <f>'Input - Swine'!H30</f>
        <v>0.15</v>
      </c>
      <c r="I54" s="2"/>
    </row>
    <row r="55" spans="4:19" ht="20.100000000000001" customHeight="1" x14ac:dyDescent="0.25">
      <c r="D55" s="57" t="str">
        <f>'Input - Swine'!$D$31</f>
        <v>Digester / covered lagoons</v>
      </c>
      <c r="E55" s="52">
        <f>'Input - Swine'!E31</f>
        <v>0.15</v>
      </c>
      <c r="F55" s="52">
        <f>'Input - Swine'!F31</f>
        <v>0.15</v>
      </c>
      <c r="G55" s="52">
        <f>'Input - Swine'!G31</f>
        <v>0.15</v>
      </c>
      <c r="H55" s="52">
        <f>'Input - Swine'!H31</f>
        <v>0.15</v>
      </c>
      <c r="I55" s="2"/>
    </row>
    <row r="56" spans="4:19" ht="20.100000000000001" customHeight="1" x14ac:dyDescent="0.25">
      <c r="D56" s="57" t="str">
        <f>'Input - Swine'!$D$32</f>
        <v>Deep litter</v>
      </c>
      <c r="E56" s="52">
        <f>'Input - Swine'!E32</f>
        <v>0.15</v>
      </c>
      <c r="F56" s="52">
        <f>'Input - Swine'!F32</f>
        <v>0.15</v>
      </c>
      <c r="G56" s="52">
        <f>'Input - Swine'!G32</f>
        <v>0.15</v>
      </c>
      <c r="H56" s="52">
        <f>'Input - Swine'!H32</f>
        <v>0.15</v>
      </c>
      <c r="I56" s="2"/>
    </row>
    <row r="57" spans="4:19" ht="20.100000000000001" customHeight="1" x14ac:dyDescent="0.25">
      <c r="D57" s="57" t="str">
        <f>'Input - Swine'!$D$33</f>
        <v>Pit storage</v>
      </c>
      <c r="E57" s="52">
        <f>'Input - Swine'!E33</f>
        <v>0.15</v>
      </c>
      <c r="F57" s="52">
        <f>'Input - Swine'!F33</f>
        <v>0.15</v>
      </c>
      <c r="G57" s="52">
        <f>'Input - Swine'!G33</f>
        <v>0.15</v>
      </c>
      <c r="H57" s="52">
        <f>'Input - Swine'!H33</f>
        <v>0.15</v>
      </c>
      <c r="I57" s="2"/>
    </row>
    <row r="58" spans="4:19" ht="20.100000000000001" customHeight="1" x14ac:dyDescent="0.25"/>
    <row r="59" spans="4:19" ht="20.100000000000001" customHeight="1" x14ac:dyDescent="0.25">
      <c r="D59" s="121" t="s">
        <v>239</v>
      </c>
      <c r="N59" s="121" t="s">
        <v>266</v>
      </c>
    </row>
    <row r="60" spans="4:19" ht="20.100000000000001" customHeight="1" x14ac:dyDescent="0.25">
      <c r="D60" s="122" t="s">
        <v>240</v>
      </c>
      <c r="N60" s="122" t="s">
        <v>267</v>
      </c>
    </row>
    <row r="61" spans="4:19" ht="20.100000000000001" customHeight="1" x14ac:dyDescent="0.25">
      <c r="D61" s="119" t="s">
        <v>163</v>
      </c>
      <c r="E61" s="119" t="s">
        <v>142</v>
      </c>
      <c r="F61" s="119" t="s">
        <v>143</v>
      </c>
      <c r="G61" s="119" t="s">
        <v>144</v>
      </c>
      <c r="H61" s="119" t="s">
        <v>206</v>
      </c>
      <c r="N61" s="119" t="s">
        <v>163</v>
      </c>
      <c r="O61" s="119" t="s">
        <v>142</v>
      </c>
      <c r="P61" s="119" t="s">
        <v>143</v>
      </c>
      <c r="Q61" s="119" t="s">
        <v>144</v>
      </c>
      <c r="R61" s="119" t="s">
        <v>206</v>
      </c>
    </row>
    <row r="62" spans="4:19" ht="20.100000000000001" customHeight="1" x14ac:dyDescent="0.25">
      <c r="D62" s="57" t="str">
        <f>'Input - Swine'!$D$29</f>
        <v>Anaerobic lagoon</v>
      </c>
      <c r="E62" s="52">
        <f>'Input - Swine'!$F$39</f>
        <v>0.2</v>
      </c>
      <c r="F62" s="52">
        <f>'Input - Swine'!$F$39</f>
        <v>0.2</v>
      </c>
      <c r="G62" s="52">
        <f>'Input - Swine'!$F$39</f>
        <v>0.2</v>
      </c>
      <c r="H62" s="52">
        <f>'Input - Swine'!$F$39</f>
        <v>0.2</v>
      </c>
      <c r="I62" s="2" t="str">
        <f>G48</f>
        <v>fraction</v>
      </c>
      <c r="N62" s="57" t="str">
        <f>'Input - Swine'!$D$29</f>
        <v>Anaerobic lagoon</v>
      </c>
      <c r="O62" s="52">
        <f>'Input - Swine'!$G$39</f>
        <v>0.2</v>
      </c>
      <c r="P62" s="52">
        <f>'Input - Swine'!$G$39</f>
        <v>0.2</v>
      </c>
      <c r="Q62" s="52">
        <f>'Input - Swine'!$G$39</f>
        <v>0.2</v>
      </c>
      <c r="R62" s="52">
        <f>'Input - Swine'!$G$39</f>
        <v>0.2</v>
      </c>
      <c r="S62" s="2" t="str">
        <f>G48</f>
        <v>fraction</v>
      </c>
    </row>
    <row r="63" spans="4:19" ht="20.100000000000001" customHeight="1" x14ac:dyDescent="0.25">
      <c r="D63" s="57" t="str">
        <f>'Input - Swine'!$D$30</f>
        <v>Drylot (feed pad)</v>
      </c>
      <c r="E63" s="52">
        <f>'Input - Swine'!$F$40</f>
        <v>0.2</v>
      </c>
      <c r="F63" s="52">
        <f>'Input - Swine'!$F$40</f>
        <v>0.2</v>
      </c>
      <c r="G63" s="52">
        <f>'Input - Swine'!$F$40</f>
        <v>0.2</v>
      </c>
      <c r="H63" s="52">
        <f>'Input - Swine'!$F$40</f>
        <v>0.2</v>
      </c>
      <c r="I63" s="2"/>
      <c r="N63" s="57" t="str">
        <f>'Input - Swine'!$D$30</f>
        <v>Drylot (feed pad)</v>
      </c>
      <c r="O63" s="52">
        <f>'Input - Swine'!$G$40</f>
        <v>0.2</v>
      </c>
      <c r="P63" s="52">
        <f>'Input - Swine'!$G$40</f>
        <v>0.2</v>
      </c>
      <c r="Q63" s="52">
        <f>'Input - Swine'!$G$40</f>
        <v>0.2</v>
      </c>
      <c r="R63" s="52">
        <f>'Input - Swine'!$G$40</f>
        <v>0.2</v>
      </c>
      <c r="S63" s="2"/>
    </row>
    <row r="64" spans="4:19" ht="20.100000000000001" customHeight="1" x14ac:dyDescent="0.25">
      <c r="D64" s="57" t="str">
        <f>'Input - Swine'!$D$31</f>
        <v>Digester / covered lagoons</v>
      </c>
      <c r="E64" s="52">
        <f>'Input - Swine'!$F$41</f>
        <v>0.2</v>
      </c>
      <c r="F64" s="52">
        <f>'Input - Swine'!$F$41</f>
        <v>0.2</v>
      </c>
      <c r="G64" s="52">
        <f>'Input - Swine'!$F$41</f>
        <v>0.2</v>
      </c>
      <c r="H64" s="52">
        <f>'Input - Swine'!$F$41</f>
        <v>0.2</v>
      </c>
      <c r="I64" s="2"/>
      <c r="N64" s="57" t="str">
        <f>'Input - Swine'!$D$31</f>
        <v>Digester / covered lagoons</v>
      </c>
      <c r="O64" s="52">
        <f>'Input - Swine'!$G$41</f>
        <v>0.2</v>
      </c>
      <c r="P64" s="52">
        <f>'Input - Swine'!$G$41</f>
        <v>0.2</v>
      </c>
      <c r="Q64" s="52">
        <f>'Input - Swine'!$G$41</f>
        <v>0.2</v>
      </c>
      <c r="R64" s="52">
        <f>'Input - Swine'!$G$41</f>
        <v>0.2</v>
      </c>
      <c r="S64" s="2"/>
    </row>
    <row r="65" spans="1:21" ht="20.100000000000001" customHeight="1" x14ac:dyDescent="0.25">
      <c r="D65" s="57" t="str">
        <f>'Input - Swine'!$D$32</f>
        <v>Deep litter</v>
      </c>
      <c r="E65" s="52">
        <f>'Input - Swine'!$F$42</f>
        <v>0.2</v>
      </c>
      <c r="F65" s="52">
        <f>'Input - Swine'!$F$42</f>
        <v>0.2</v>
      </c>
      <c r="G65" s="52">
        <f>'Input - Swine'!$F$42</f>
        <v>0.2</v>
      </c>
      <c r="H65" s="52">
        <f>'Input - Swine'!$F$42</f>
        <v>0.2</v>
      </c>
      <c r="I65" s="2"/>
      <c r="N65" s="57" t="str">
        <f>'Input - Swine'!$D$32</f>
        <v>Deep litter</v>
      </c>
      <c r="O65" s="52">
        <f>'Input - Swine'!$G$42</f>
        <v>0.2</v>
      </c>
      <c r="P65" s="52">
        <f>'Input - Swine'!$G$42</f>
        <v>0.2</v>
      </c>
      <c r="Q65" s="52">
        <f>'Input - Swine'!$G$42</f>
        <v>0.2</v>
      </c>
      <c r="R65" s="52">
        <f>'Input - Swine'!$G$42</f>
        <v>0.2</v>
      </c>
      <c r="S65" s="2"/>
    </row>
    <row r="66" spans="1:21" ht="20.100000000000001" customHeight="1" x14ac:dyDescent="0.25">
      <c r="D66" s="57" t="str">
        <f>'Input - Swine'!$D$33</f>
        <v>Pit storage</v>
      </c>
      <c r="E66" s="52">
        <f>'Input - Swine'!$F$43</f>
        <v>0.2</v>
      </c>
      <c r="F66" s="52">
        <f>'Input - Swine'!$F$43</f>
        <v>0.2</v>
      </c>
      <c r="G66" s="52">
        <f>'Input - Swine'!$F$43</f>
        <v>0.2</v>
      </c>
      <c r="H66" s="52">
        <f>'Input - Swine'!$F$43</f>
        <v>0.2</v>
      </c>
      <c r="I66" s="2"/>
      <c r="N66" s="57" t="str">
        <f>'Input - Swine'!$D$33</f>
        <v>Pit storage</v>
      </c>
      <c r="O66" s="52">
        <f>'Input - Swine'!$G$43</f>
        <v>0.2</v>
      </c>
      <c r="P66" s="52">
        <f>'Input - Swine'!$G$43</f>
        <v>0.2</v>
      </c>
      <c r="Q66" s="52">
        <f>'Input - Swine'!$G$43</f>
        <v>0.2</v>
      </c>
      <c r="R66" s="52">
        <f>'Input - Swine'!$G$43</f>
        <v>0.2</v>
      </c>
      <c r="S66" s="2"/>
    </row>
    <row r="67" spans="1:21" ht="20.100000000000001" customHeight="1" x14ac:dyDescent="0.25"/>
    <row r="68" spans="1:21" ht="20.100000000000001" customHeight="1" x14ac:dyDescent="0.25">
      <c r="D68" s="121" t="s">
        <v>241</v>
      </c>
      <c r="N68" s="121" t="s">
        <v>272</v>
      </c>
    </row>
    <row r="69" spans="1:21" ht="20.100000000000001" customHeight="1" x14ac:dyDescent="0.25">
      <c r="D69" s="122" t="s">
        <v>246</v>
      </c>
      <c r="N69" s="122" t="s">
        <v>273</v>
      </c>
    </row>
    <row r="70" spans="1:21" ht="20.100000000000001" customHeight="1" x14ac:dyDescent="0.25">
      <c r="D70" s="51" t="s">
        <v>163</v>
      </c>
      <c r="E70" s="51" t="s">
        <v>142</v>
      </c>
      <c r="F70" s="51" t="s">
        <v>143</v>
      </c>
      <c r="G70" s="51" t="s">
        <v>144</v>
      </c>
      <c r="H70" s="51" t="s">
        <v>206</v>
      </c>
      <c r="N70" s="51" t="s">
        <v>163</v>
      </c>
      <c r="O70" s="51" t="s">
        <v>142</v>
      </c>
      <c r="P70" s="51" t="s">
        <v>143</v>
      </c>
      <c r="Q70" s="51" t="s">
        <v>144</v>
      </c>
      <c r="R70" s="51" t="s">
        <v>206</v>
      </c>
    </row>
    <row r="71" spans="1:21" ht="20.100000000000001" customHeight="1" x14ac:dyDescent="0.25">
      <c r="D71" s="57" t="str">
        <f>'Input - Swine'!$D$29</f>
        <v>Anaerobic lagoon</v>
      </c>
      <c r="E71" s="52" cm="1">
        <f t="array" ref="E71">MMS_Swine_N2ODirect_Equations.VEERG_4_5_1_3__3_FractionOfNitrogenInPrimaryMMS(E53,E62)</f>
        <v>0.12</v>
      </c>
      <c r="F71" s="52" cm="1">
        <f t="array" ref="F71">MMS_Swine_N2ODirect_Equations.VEERG_4_5_1_3__3_FractionOfNitrogenInPrimaryMMS(F53,F62)</f>
        <v>0.12</v>
      </c>
      <c r="G71" s="52" cm="1">
        <f t="array" ref="G71">MMS_Swine_N2ODirect_Equations.VEERG_4_5_1_3__3_FractionOfNitrogenInPrimaryMMS(G53,G62)</f>
        <v>0.12</v>
      </c>
      <c r="H71" s="52" cm="1">
        <f t="array" ref="H71">MMS_Swine_N2ODirect_Equations.VEERG_4_5_1_3__3_FractionOfNitrogenInPrimaryMMS(H53,H62)</f>
        <v>0.12</v>
      </c>
      <c r="I71" s="2" t="str">
        <f>$E$45</f>
        <v>fraction</v>
      </c>
      <c r="N71" s="57" t="str">
        <f>'Input - Swine'!$D$29</f>
        <v>Anaerobic lagoon</v>
      </c>
      <c r="O71" s="52" cm="1">
        <f t="array" ref="O71">MMS_Swine_N2ODirect_Equations.VEERG_4_5_1_3__3_FractionOfNitrogenInPrimaryMMS(E53,O62)</f>
        <v>0.12</v>
      </c>
      <c r="P71" s="52" cm="1">
        <f t="array" ref="P71">MMS_Swine_N2ODirect_Equations.VEERG_4_5_1_3__3_FractionOfNitrogenInPrimaryMMS(F53,P62)</f>
        <v>0.12</v>
      </c>
      <c r="Q71" s="52" cm="1">
        <f t="array" ref="Q71">MMS_Swine_N2ODirect_Equations.VEERG_4_5_1_3__3_FractionOfNitrogenInPrimaryMMS(G53,Q62)</f>
        <v>0.12</v>
      </c>
      <c r="R71" s="52" cm="1">
        <f t="array" ref="R71">MMS_Swine_N2ODirect_Equations.VEERG_4_5_1_3__3_FractionOfNitrogenInPrimaryMMS(H53,R62)</f>
        <v>0.12</v>
      </c>
      <c r="S71" s="2" t="str">
        <f>$E$45</f>
        <v>fraction</v>
      </c>
    </row>
    <row r="72" spans="1:21" ht="20.100000000000001" customHeight="1" x14ac:dyDescent="0.25">
      <c r="D72" s="57" t="str">
        <f>'Input - Swine'!$D$30</f>
        <v>Drylot (feed pad)</v>
      </c>
      <c r="E72" s="52" cm="1">
        <f t="array" ref="E72">MMS_Swine_N2ODirect_Equations.VEERG_4_5_1_3__3_FractionOfNitrogenInPrimaryMMS(E54,E63)</f>
        <v>0.12</v>
      </c>
      <c r="F72" s="52" cm="1">
        <f t="array" ref="F72">MMS_Swine_N2ODirect_Equations.VEERG_4_5_1_3__3_FractionOfNitrogenInPrimaryMMS(F54,F63)</f>
        <v>0.12</v>
      </c>
      <c r="G72" s="52" cm="1">
        <f t="array" ref="G72">MMS_Swine_N2ODirect_Equations.VEERG_4_5_1_3__3_FractionOfNitrogenInPrimaryMMS(G54,G63)</f>
        <v>0.12</v>
      </c>
      <c r="H72" s="52" cm="1">
        <f t="array" ref="H72">MMS_Swine_N2ODirect_Equations.VEERG_4_5_1_3__3_FractionOfNitrogenInPrimaryMMS(H54,H63)</f>
        <v>0.12</v>
      </c>
      <c r="I72" s="2"/>
      <c r="N72" s="57" t="str">
        <f>'Input - Swine'!$D$30</f>
        <v>Drylot (feed pad)</v>
      </c>
      <c r="O72" s="52" cm="1">
        <f t="array" ref="O72">MMS_Swine_N2ODirect_Equations.VEERG_4_5_1_3__3_FractionOfNitrogenInPrimaryMMS(E54,O63)</f>
        <v>0.12</v>
      </c>
      <c r="P72" s="52" cm="1">
        <f t="array" ref="P72">MMS_Swine_N2ODirect_Equations.VEERG_4_5_1_3__3_FractionOfNitrogenInPrimaryMMS(F54,P63)</f>
        <v>0.12</v>
      </c>
      <c r="Q72" s="52" cm="1">
        <f t="array" ref="Q72">MMS_Swine_N2ODirect_Equations.VEERG_4_5_1_3__3_FractionOfNitrogenInPrimaryMMS(G54,Q63)</f>
        <v>0.12</v>
      </c>
      <c r="R72" s="52" cm="1">
        <f t="array" ref="R72">MMS_Swine_N2ODirect_Equations.VEERG_4_5_1_3__3_FractionOfNitrogenInPrimaryMMS(H54,R63)</f>
        <v>0.12</v>
      </c>
      <c r="S72" s="2"/>
    </row>
    <row r="73" spans="1:21" ht="20.100000000000001" customHeight="1" x14ac:dyDescent="0.25">
      <c r="D73" s="57" t="str">
        <f>'Input - Swine'!$D$31</f>
        <v>Digester / covered lagoons</v>
      </c>
      <c r="E73" s="52" cm="1">
        <f t="array" ref="E73">MMS_Swine_N2ODirect_Equations.VEERG_4_5_1_3__3_FractionOfNitrogenInPrimaryMMS(E55,E64)</f>
        <v>0.12</v>
      </c>
      <c r="F73" s="52" cm="1">
        <f t="array" ref="F73">MMS_Swine_N2ODirect_Equations.VEERG_4_5_1_3__3_FractionOfNitrogenInPrimaryMMS(F55,F64)</f>
        <v>0.12</v>
      </c>
      <c r="G73" s="52" cm="1">
        <f t="array" ref="G73">MMS_Swine_N2ODirect_Equations.VEERG_4_5_1_3__3_FractionOfNitrogenInPrimaryMMS(G55,G64)</f>
        <v>0.12</v>
      </c>
      <c r="H73" s="52" cm="1">
        <f t="array" ref="H73">MMS_Swine_N2ODirect_Equations.VEERG_4_5_1_3__3_FractionOfNitrogenInPrimaryMMS(H55,H64)</f>
        <v>0.12</v>
      </c>
      <c r="I73" s="2"/>
      <c r="N73" s="57" t="str">
        <f>'Input - Swine'!$D$31</f>
        <v>Digester / covered lagoons</v>
      </c>
      <c r="O73" s="52" cm="1">
        <f t="array" ref="O73">MMS_Swine_N2ODirect_Equations.VEERG_4_5_1_3__3_FractionOfNitrogenInPrimaryMMS(E55,O64)</f>
        <v>0.12</v>
      </c>
      <c r="P73" s="52" cm="1">
        <f t="array" ref="P73">MMS_Swine_N2ODirect_Equations.VEERG_4_5_1_3__3_FractionOfNitrogenInPrimaryMMS(F55,P64)</f>
        <v>0.12</v>
      </c>
      <c r="Q73" s="52" cm="1">
        <f t="array" ref="Q73">MMS_Swine_N2ODirect_Equations.VEERG_4_5_1_3__3_FractionOfNitrogenInPrimaryMMS(G55,Q64)</f>
        <v>0.12</v>
      </c>
      <c r="R73" s="52" cm="1">
        <f t="array" ref="R73">MMS_Swine_N2ODirect_Equations.VEERG_4_5_1_3__3_FractionOfNitrogenInPrimaryMMS(H55,R64)</f>
        <v>0.12</v>
      </c>
      <c r="S73" s="2"/>
    </row>
    <row r="74" spans="1:21" ht="20.100000000000001" customHeight="1" x14ac:dyDescent="0.25">
      <c r="D74" s="57" t="str">
        <f>'Input - Swine'!$D$32</f>
        <v>Deep litter</v>
      </c>
      <c r="E74" s="52" cm="1">
        <f t="array" ref="E74">MMS_Swine_N2ODirect_Equations.VEERG_4_5_1_3__3_FractionOfNitrogenInPrimaryMMS(E56,E65)</f>
        <v>0.12</v>
      </c>
      <c r="F74" s="52" cm="1">
        <f t="array" ref="F74">MMS_Swine_N2ODirect_Equations.VEERG_4_5_1_3__3_FractionOfNitrogenInPrimaryMMS(F56,F65)</f>
        <v>0.12</v>
      </c>
      <c r="G74" s="52" cm="1">
        <f t="array" ref="G74">MMS_Swine_N2ODirect_Equations.VEERG_4_5_1_3__3_FractionOfNitrogenInPrimaryMMS(G56,G65)</f>
        <v>0.12</v>
      </c>
      <c r="H74" s="52" cm="1">
        <f t="array" ref="H74">MMS_Swine_N2ODirect_Equations.VEERG_4_5_1_3__3_FractionOfNitrogenInPrimaryMMS(H56,H65)</f>
        <v>0.12</v>
      </c>
      <c r="I74" s="2"/>
      <c r="N74" s="57" t="str">
        <f>'Input - Swine'!$D$32</f>
        <v>Deep litter</v>
      </c>
      <c r="O74" s="52" cm="1">
        <f t="array" ref="O74">MMS_Swine_N2ODirect_Equations.VEERG_4_5_1_3__3_FractionOfNitrogenInPrimaryMMS(E56,O65)</f>
        <v>0.12</v>
      </c>
      <c r="P74" s="52" cm="1">
        <f t="array" ref="P74">MMS_Swine_N2ODirect_Equations.VEERG_4_5_1_3__3_FractionOfNitrogenInPrimaryMMS(F56,P65)</f>
        <v>0.12</v>
      </c>
      <c r="Q74" s="52" cm="1">
        <f t="array" ref="Q74">MMS_Swine_N2ODirect_Equations.VEERG_4_5_1_3__3_FractionOfNitrogenInPrimaryMMS(G56,Q65)</f>
        <v>0.12</v>
      </c>
      <c r="R74" s="52" cm="1">
        <f t="array" ref="R74">MMS_Swine_N2ODirect_Equations.VEERG_4_5_1_3__3_FractionOfNitrogenInPrimaryMMS(H56,R65)</f>
        <v>0.12</v>
      </c>
      <c r="S74" s="2"/>
    </row>
    <row r="75" spans="1:21" ht="20.100000000000001" customHeight="1" x14ac:dyDescent="0.25">
      <c r="D75" s="57" t="str">
        <f>'Input - Swine'!$D$33</f>
        <v>Pit storage</v>
      </c>
      <c r="E75" s="52" cm="1">
        <f t="array" ref="E75">MMS_Swine_N2ODirect_Equations.VEERG_4_5_1_3__3_FractionOfNitrogenInPrimaryMMS(E57,E66)</f>
        <v>0.12</v>
      </c>
      <c r="F75" s="52" cm="1">
        <f t="array" ref="F75">MMS_Swine_N2ODirect_Equations.VEERG_4_5_1_3__3_FractionOfNitrogenInPrimaryMMS(F57,F66)</f>
        <v>0.12</v>
      </c>
      <c r="G75" s="52" cm="1">
        <f t="array" ref="G75">MMS_Swine_N2ODirect_Equations.VEERG_4_5_1_3__3_FractionOfNitrogenInPrimaryMMS(G57,G66)</f>
        <v>0.12</v>
      </c>
      <c r="H75" s="52" cm="1">
        <f t="array" ref="H75">MMS_Swine_N2ODirect_Equations.VEERG_4_5_1_3__3_FractionOfNitrogenInPrimaryMMS(H57,H66)</f>
        <v>0.12</v>
      </c>
      <c r="I75" s="2"/>
      <c r="N75" s="57" t="str">
        <f>'Input - Swine'!$D$33</f>
        <v>Pit storage</v>
      </c>
      <c r="O75" s="52" cm="1">
        <f t="array" ref="O75">MMS_Swine_N2ODirect_Equations.VEERG_4_5_1_3__3_FractionOfNitrogenInPrimaryMMS(E57,O66)</f>
        <v>0.12</v>
      </c>
      <c r="P75" s="52" cm="1">
        <f t="array" ref="P75">MMS_Swine_N2ODirect_Equations.VEERG_4_5_1_3__3_FractionOfNitrogenInPrimaryMMS(F57,P66)</f>
        <v>0.12</v>
      </c>
      <c r="Q75" s="52" cm="1">
        <f t="array" ref="Q75">MMS_Swine_N2ODirect_Equations.VEERG_4_5_1_3__3_FractionOfNitrogenInPrimaryMMS(G57,Q66)</f>
        <v>0.12</v>
      </c>
      <c r="R75" s="52" cm="1">
        <f t="array" ref="R75">MMS_Swine_N2ODirect_Equations.VEERG_4_5_1_3__3_FractionOfNitrogenInPrimaryMMS(H57,R66)</f>
        <v>0.12</v>
      </c>
      <c r="S75" s="2"/>
    </row>
    <row r="76" spans="1:21" ht="20.100000000000001" customHeight="1" x14ac:dyDescent="0.25"/>
    <row r="77" spans="1:21" ht="20.100000000000001" customHeight="1" x14ac:dyDescent="0.25">
      <c r="A77" s="150" t="str">
        <f>HYPERLINK("#A1", "▲ Back to top")</f>
        <v>▲ Back to top</v>
      </c>
    </row>
    <row r="78" spans="1:21" ht="20.100000000000001" customHeight="1" x14ac:dyDescent="0.25">
      <c r="C78" s="45"/>
      <c r="D78" s="45"/>
      <c r="E78" s="45"/>
      <c r="F78" s="45"/>
      <c r="G78" s="45"/>
      <c r="H78" s="45"/>
      <c r="I78" s="45"/>
      <c r="J78" s="45"/>
      <c r="K78" s="45"/>
      <c r="M78" s="45"/>
      <c r="N78" s="45"/>
      <c r="O78" s="45"/>
      <c r="P78" s="45"/>
      <c r="Q78" s="45"/>
      <c r="R78" s="45"/>
      <c r="S78" s="45"/>
      <c r="T78" s="45"/>
      <c r="U78" s="45"/>
    </row>
    <row r="79" spans="1:21" ht="20.100000000000001" customHeight="1" x14ac:dyDescent="0.25">
      <c r="D79" s="6" t="str" cm="1">
        <f t="array" ref="D79">MMS_Swine_N2ODirect_Equations.VEERG_4_5_1_3__4_FractionOfNitrogenInSolidStorage_Title()</f>
        <v>Fraction of nitrogen in solid storage</v>
      </c>
    </row>
    <row r="80" spans="1:21" ht="20.100000000000001" customHeight="1" x14ac:dyDescent="0.25">
      <c r="D80" s="5" t="str" cm="1">
        <f t="array" ref="D80">MMS_Swine_N2ODirect_Equations.VEERG_4_5_1_3__4_FractionOfNitrogenInSolidStorage_Source()</f>
        <v>VEERG 2026: 4.5.1.3, Equation (4)</v>
      </c>
    </row>
    <row r="81" spans="4:9" ht="20.100000000000001" customHeight="1" x14ac:dyDescent="0.25">
      <c r="D81" s="55" t="str" cm="1">
        <f t="array" ref="D81">MMS_Swine_N2ODirect_Equations.VEERG_4_5_1_3__4_FractionOfNitrogenInSolidStorage_Variation()</f>
        <v>VARIATION ON SOURCE: Split equation for MMSm=1,7,9 into separate items to allow for calculation</v>
      </c>
    </row>
    <row r="82" spans="4:9" ht="20.100000000000001" customHeight="1" x14ac:dyDescent="0.25">
      <c r="D82" s="13" t="s">
        <v>26</v>
      </c>
      <c r="E82" s="13" t="str" cm="1">
        <f t="array" aca="1" ref="E82" ca="1">Common_InputFunctions.Utility_DisplayFunctionName($E$100)</f>
        <v>=MMS_Swine_N2ODirect_Equations.VEERG_4_5_1_3__4_FractionOfNitrogenInSolidStorageVariation</v>
      </c>
    </row>
    <row r="83" spans="4:9" ht="20.100000000000001" customHeight="1" x14ac:dyDescent="0.25">
      <c r="D83" s="55"/>
    </row>
    <row r="84" spans="4:9" ht="20.100000000000001" customHeight="1" x14ac:dyDescent="0.25"/>
    <row r="85" spans="4:9" ht="20.100000000000001" customHeight="1" x14ac:dyDescent="0.25">
      <c r="D85" s="53" t="s">
        <v>29</v>
      </c>
      <c r="E85" s="1" t="str" cm="1">
        <f t="array" ref="E85">MMS_Swine_N2ODirect_Equations.VEERG_4_5_1_3__4_FractionOfNitrogenInSolidStorage_Variable()</f>
        <v>FN_jm4T1</v>
      </c>
    </row>
    <row r="86" spans="4:9" ht="20.100000000000001" customHeight="1" x14ac:dyDescent="0.25">
      <c r="D86" s="53" t="s">
        <v>19</v>
      </c>
      <c r="E86" s="54" t="str" cm="1">
        <f t="array" ref="E86">MMS_Swine_N2ODirect_Equations.VEERG_4_5_1_3__4_FractionOfNitrogenInSolidStorage_Unit()</f>
        <v>fraction</v>
      </c>
    </row>
    <row r="87" spans="4:9" ht="20.100000000000001" customHeight="1" x14ac:dyDescent="0.25"/>
    <row r="88" spans="4:9" ht="20.100000000000001" customHeight="1" x14ac:dyDescent="0.25">
      <c r="D88" s="144" t="str" cm="1">
        <f t="array" ref="D88:E90">Common_InputFunctions.Utility_DisplayArguments_1_2(MMS_Swine_N2ODirect_Equations.VEERG_4_5_1_3__4_FractionOfNitrogenInSolidStorage_Arguments())</f>
        <v>MMS_jm4T1</v>
      </c>
      <c r="E88" s="144" t="str">
        <v>fraction of manure in solid storage MMS</v>
      </c>
      <c r="F88" s="144"/>
      <c r="G88" s="144" t="str" cm="1">
        <f t="array" ref="G88:H90">Common_InputFunctions.Utility_DisplayArguments_3_4(MMS_Swine_N2ODirect_Equations.VEERG_4_5_1_3__4_FractionOfNitrogenInSolidStorage_Arguments())</f>
        <v>fraction</v>
      </c>
      <c r="H88" s="140" t="str">
        <v>Input</v>
      </c>
      <c r="I88" s="143" t="str" cm="1">
        <f t="array" aca="1" ref="I88" ca="1">HYPERLINK(Common_InputFunctions.Utility_SourceHyperlink($D$92), $D$92)</f>
        <v>Table_MMS_j_m-4_T-1</v>
      </c>
    </row>
    <row r="89" spans="4:9" ht="20.100000000000001" customHeight="1" x14ac:dyDescent="0.25">
      <c r="D89" s="144" t="str">
        <v>MMS_jm179T1</v>
      </c>
      <c r="E89" s="144" t="str">
        <v>fraction of manure in primary liquid systems (m=1,7,9)</v>
      </c>
      <c r="F89" s="144"/>
      <c r="G89" s="144" t="str">
        <v>fraction</v>
      </c>
      <c r="H89" s="140" t="str">
        <v>Input</v>
      </c>
      <c r="I89" s="143" t="str" cm="1">
        <f t="array" aca="1" ref="I89" ca="1">HYPERLINK(Common_InputFunctions.Utility_SourceHyperlink($D$50), $D$50)</f>
        <v>Table_MMS_j_m-1-7-9-8_T-1</v>
      </c>
    </row>
    <row r="90" spans="4:9" ht="20.100000000000001" customHeight="1" x14ac:dyDescent="0.25">
      <c r="D90" s="144" t="str">
        <v>SN_m</v>
      </c>
      <c r="E90" s="144" t="str">
        <v>fraction of nitrogen separated to solid storage for each MMS</v>
      </c>
      <c r="F90" s="144"/>
      <c r="G90" s="144" t="str">
        <v>fraction</v>
      </c>
      <c r="H90" s="140" t="str">
        <v>Input</v>
      </c>
      <c r="I90" s="143" t="str" cm="1">
        <f t="array" aca="1" ref="I90" ca="1">HYPERLINK(Common_InputFunctions.Utility_SourceHyperlink($D$59), $D$59)</f>
        <v>M1_Table_SN_m-1-7-9</v>
      </c>
    </row>
    <row r="91" spans="4:9" ht="20.100000000000001" customHeight="1" x14ac:dyDescent="0.25"/>
    <row r="92" spans="4:9" ht="20.100000000000001" customHeight="1" x14ac:dyDescent="0.25">
      <c r="D92" s="121" t="s">
        <v>164</v>
      </c>
    </row>
    <row r="93" spans="4:9" ht="20.100000000000001" customHeight="1" x14ac:dyDescent="0.25">
      <c r="D93" s="122" t="s">
        <v>165</v>
      </c>
    </row>
    <row r="94" spans="4:9" ht="20.100000000000001" customHeight="1" x14ac:dyDescent="0.25">
      <c r="D94" s="119" t="s">
        <v>163</v>
      </c>
      <c r="E94" s="119" t="s">
        <v>142</v>
      </c>
      <c r="F94" s="119" t="s">
        <v>143</v>
      </c>
      <c r="G94" s="119" t="s">
        <v>144</v>
      </c>
      <c r="H94" s="119" t="s">
        <v>206</v>
      </c>
    </row>
    <row r="95" spans="4:9" ht="20.100000000000001" customHeight="1" x14ac:dyDescent="0.25">
      <c r="D95" s="57" t="str">
        <f>'Input - Swine'!$D$34</f>
        <v>Solid storage</v>
      </c>
      <c r="E95" s="52">
        <f>'Input - Swine'!E34</f>
        <v>0.25</v>
      </c>
      <c r="F95" s="52">
        <f>'Input - Swine'!F34</f>
        <v>0.25</v>
      </c>
      <c r="G95" s="52">
        <f>'Input - Swine'!G34</f>
        <v>0.25</v>
      </c>
      <c r="H95" s="52">
        <f>'Input - Swine'!H34</f>
        <v>0.25</v>
      </c>
      <c r="I95" s="2" t="s">
        <v>121</v>
      </c>
    </row>
    <row r="96" spans="4:9" ht="20.100000000000001" customHeight="1" x14ac:dyDescent="0.25"/>
    <row r="97" spans="1:21" ht="20.100000000000001" customHeight="1" x14ac:dyDescent="0.25">
      <c r="D97" s="121" t="s">
        <v>196</v>
      </c>
      <c r="N97" s="121" t="s">
        <v>210</v>
      </c>
    </row>
    <row r="98" spans="1:21" ht="20.100000000000001" customHeight="1" x14ac:dyDescent="0.25">
      <c r="D98" s="122" t="s">
        <v>197</v>
      </c>
      <c r="N98" s="122" t="s">
        <v>211</v>
      </c>
    </row>
    <row r="99" spans="1:21" ht="20.100000000000001" customHeight="1" x14ac:dyDescent="0.25">
      <c r="D99" s="51" t="s">
        <v>163</v>
      </c>
      <c r="E99" s="51" t="s">
        <v>142</v>
      </c>
      <c r="F99" s="51" t="s">
        <v>143</v>
      </c>
      <c r="G99" s="51" t="s">
        <v>144</v>
      </c>
      <c r="H99" s="51" t="s">
        <v>206</v>
      </c>
      <c r="N99" s="51" t="s">
        <v>163</v>
      </c>
      <c r="O99" s="51" t="s">
        <v>142</v>
      </c>
      <c r="P99" s="51" t="s">
        <v>143</v>
      </c>
      <c r="Q99" s="51" t="s">
        <v>144</v>
      </c>
      <c r="R99" s="51" t="s">
        <v>206</v>
      </c>
    </row>
    <row r="100" spans="1:21" ht="20.100000000000001" customHeight="1" x14ac:dyDescent="0.25">
      <c r="D100" s="57" t="str">
        <f>'Input - Swine'!$D$34</f>
        <v>Solid storage</v>
      </c>
      <c r="E100" s="52" cm="1">
        <f t="array" ref="E100">MMS_Swine_N2ODirect_Equations.VEERG_4_5_1_3__4_FractionOfNitrogenInSolidStorageVariation(E95,E53,E54,E55,E56,E57,E62,E63,E64,E65,E66)</f>
        <v>0.40000000000000013</v>
      </c>
      <c r="F100" s="52" cm="1">
        <f t="array" ref="F100">MMS_Swine_N2ODirect_Equations.VEERG_4_5_1_3__4_FractionOfNitrogenInSolidStorageVariation(F95,F53,F54,F55,F56,F57,F62,F63,F64,F65,F66)</f>
        <v>0.40000000000000013</v>
      </c>
      <c r="G100" s="52" cm="1">
        <f t="array" ref="G100">MMS_Swine_N2ODirect_Equations.VEERG_4_5_1_3__4_FractionOfNitrogenInSolidStorageVariation(G95,G53,G54,G55,G56,G57,G62,G63,G64,G65,G66)</f>
        <v>0.40000000000000013</v>
      </c>
      <c r="H100" s="52" cm="1">
        <f t="array" ref="H100">MMS_Swine_N2ODirect_Equations.VEERG_4_5_1_3__4_FractionOfNitrogenInSolidStorageVariation(H95,H53,H54,H55,H56,H57,H62,H63,H64,H65,H66)</f>
        <v>0.40000000000000013</v>
      </c>
      <c r="I100" s="2" t="str">
        <f>$E$86</f>
        <v>fraction</v>
      </c>
      <c r="N100" s="57" t="str">
        <f>'Input - Swine'!$D$34</f>
        <v>Solid storage</v>
      </c>
      <c r="O100" s="52" cm="1">
        <f t="array" ref="O100">MMS_Swine_N2ODirect_Equations.VEERG_4_5_1_3__4_FractionOfNitrogenInSolidStorageVariation(E95,E53,E54,E55,E56,E57,O62,O63,O64,O65,O66)</f>
        <v>0.40000000000000013</v>
      </c>
      <c r="P100" s="52" cm="1">
        <f t="array" ref="P100">MMS_Swine_N2ODirect_Equations.VEERG_4_5_1_3__4_FractionOfNitrogenInSolidStorageVariation(F95,F53,F54,F55,F56,F57,P62,P63,P64,P65,P66)</f>
        <v>0.40000000000000013</v>
      </c>
      <c r="Q100" s="52" cm="1">
        <f t="array" ref="Q100">MMS_Swine_N2ODirect_Equations.VEERG_4_5_1_3__4_FractionOfNitrogenInSolidStorageVariation(G95,G53,G54,G55,G56,G57,Q62,Q63,Q64,Q65,Q66)</f>
        <v>0.40000000000000013</v>
      </c>
      <c r="R100" s="52" cm="1">
        <f t="array" ref="R100">MMS_Swine_N2ODirect_Equations.VEERG_4_5_1_3__4_FractionOfNitrogenInSolidStorageVariation(H95,H53,H54,H55,H56,H57,R62,R63,R64,R65,R66)</f>
        <v>0.40000000000000013</v>
      </c>
      <c r="S100" s="2" t="str">
        <f>$E$86</f>
        <v>fraction</v>
      </c>
    </row>
    <row r="101" spans="1:21" ht="20.100000000000001" customHeight="1" x14ac:dyDescent="0.25"/>
    <row r="102" spans="1:21" ht="20.100000000000001" customHeight="1" x14ac:dyDescent="0.25">
      <c r="A102" s="150" t="str">
        <f>HYPERLINK("#A1", "▲ Back to top")</f>
        <v>▲ Back to top</v>
      </c>
    </row>
    <row r="103" spans="1:21" ht="20.100000000000001" customHeight="1" x14ac:dyDescent="0.25">
      <c r="C103" s="45"/>
      <c r="D103" s="45"/>
      <c r="E103" s="45"/>
      <c r="F103" s="45"/>
      <c r="G103" s="45"/>
      <c r="H103" s="45"/>
      <c r="I103" s="45"/>
      <c r="J103" s="45"/>
      <c r="K103" s="45"/>
      <c r="M103" s="45"/>
      <c r="N103" s="45"/>
      <c r="O103" s="45"/>
      <c r="P103" s="45"/>
      <c r="Q103" s="45"/>
      <c r="R103" s="45"/>
      <c r="S103" s="45"/>
      <c r="T103" s="45"/>
      <c r="U103" s="45"/>
    </row>
    <row r="104" spans="1:21" ht="20.100000000000001" customHeight="1" x14ac:dyDescent="0.25">
      <c r="D104" s="6" t="str" cm="1">
        <f t="array" ref="D104">MMS_Swine_N2ODirect_Equations.VEERG_4_5_1_3__2_Stage1NitrogenInMMS_Title()</f>
        <v>Nitrogen in treatment stage 1 MMS</v>
      </c>
    </row>
    <row r="105" spans="1:21" ht="20.100000000000001" customHeight="1" x14ac:dyDescent="0.25">
      <c r="D105" s="5" t="str" cm="1">
        <f t="array" ref="D105">MMS_Swine_N2ODirect_Equations.VEERG_4_5_1_3__2_Stage1NitrogenInMMS_Source()</f>
        <v>VEERG 2026: 4.5.1.3, Equation (2)</v>
      </c>
    </row>
    <row r="106" spans="1:21" ht="20.100000000000001" customHeight="1" x14ac:dyDescent="0.25">
      <c r="D106" s="13" t="s">
        <v>26</v>
      </c>
      <c r="E106" s="13" t="str" cm="1">
        <f t="array" aca="1" ref="E106" ca="1">Common_InputFunctions.Utility_DisplayFunctionName(E118)</f>
        <v>=MMS_Swine_N2ODirect_Equations.VEERG_4_5_1_3__2_Stage1NitrogenInMMS</v>
      </c>
    </row>
    <row r="107" spans="1:21" ht="20.100000000000001" customHeight="1" x14ac:dyDescent="0.25"/>
    <row r="108" spans="1:21" ht="20.100000000000001" customHeight="1" x14ac:dyDescent="0.25"/>
    <row r="109" spans="1:21" ht="20.100000000000001" customHeight="1" x14ac:dyDescent="0.25">
      <c r="D109" s="53" t="s">
        <v>29</v>
      </c>
      <c r="E109" s="1" t="str" cm="1">
        <f t="array" ref="E109">MMS_Swine_N2ODirect_Equations.VEERG_4_5_1_3__2_Stage1NitrogenInMMS_Variable()</f>
        <v>MN_jmT1</v>
      </c>
    </row>
    <row r="110" spans="1:21" ht="20.100000000000001" customHeight="1" x14ac:dyDescent="0.25">
      <c r="D110" s="53" t="s">
        <v>19</v>
      </c>
      <c r="E110" s="54" t="str" cm="1">
        <f t="array" ref="E110">MMS_Swine_N2ODirect_Equations.VEERG_4_5_1_3__2_Stage1NitrogenInMMS_Unit()</f>
        <v>kg N</v>
      </c>
    </row>
    <row r="111" spans="1:21" ht="20.100000000000001" customHeight="1" x14ac:dyDescent="0.25"/>
    <row r="112" spans="1:21" ht="20.100000000000001" customHeight="1" x14ac:dyDescent="0.25">
      <c r="D112" s="57" t="str" cm="1">
        <f t="array" ref="D112:E113">Common_InputFunctions.Utility_DisplayArguments_1_2(MMS_Swine_N2ODirect_Equations.VEERG_4_5_1_3__2_Stage1NitrogenInMMS_Arguments())</f>
        <v>AE_j</v>
      </c>
      <c r="E112" s="58" t="str">
        <v>total nitrogen excreted by each swine class</v>
      </c>
      <c r="F112" s="59"/>
      <c r="G112" s="144" t="str" cm="1">
        <f t="array" ref="G112:H113">Common_InputFunctions.Utility_DisplayArguments_3_4(MMS_Swine_N2ODirect_Equations.VEERG_4_5_1_3__2_Stage1NitrogenInMMS_Arguments())</f>
        <v>kg N</v>
      </c>
      <c r="H112" s="139" t="str">
        <v>Calculated from 4.5.1.3 (5)</v>
      </c>
      <c r="I112" s="143" t="str" cm="1">
        <f t="array" aca="1" ref="I112" ca="1">HYPERLINK(Common_InputFunctions.Utility_SourceHyperlink(D32), D32)</f>
        <v>M1_Table_AE_j</v>
      </c>
      <c r="J112" s="143"/>
    </row>
    <row r="113" spans="1:21" ht="20.100000000000001" customHeight="1" x14ac:dyDescent="0.25">
      <c r="D113" s="57" t="str">
        <v>FN_jmT1</v>
      </c>
      <c r="E113" s="58" t="str">
        <v>fraction of nitrogen in each primary MMS system</v>
      </c>
      <c r="F113" s="59"/>
      <c r="G113" s="144" t="str">
        <v>fraction</v>
      </c>
      <c r="H113" s="139" t="str">
        <v>Calculated from 4.5.1.3 (3)(4)</v>
      </c>
      <c r="I113" s="143" t="str" cm="1">
        <f t="array" aca="1" ref="I113" ca="1">HYPERLINK(Common_InputFunctions.Utility_SourceHyperlink(D68), D68)</f>
        <v>M1_Table_FN_j_m_T-1</v>
      </c>
      <c r="J113" s="143" t="str" cm="1">
        <f t="array" aca="1" ref="J113" ca="1">HYPERLINK(Common_InputFunctions.Utility_SourceHyperlink(D97), D97)</f>
        <v>M1_Table_FVS_j_m-4_T-1</v>
      </c>
    </row>
    <row r="114" spans="1:21" ht="20.100000000000001" customHeight="1" x14ac:dyDescent="0.25"/>
    <row r="115" spans="1:21" ht="20.100000000000001" customHeight="1" x14ac:dyDescent="0.25">
      <c r="D115" s="121" t="s">
        <v>247</v>
      </c>
      <c r="N115" s="121" t="s">
        <v>268</v>
      </c>
    </row>
    <row r="116" spans="1:21" ht="20.100000000000001" customHeight="1" x14ac:dyDescent="0.25">
      <c r="D116" s="122" t="s">
        <v>248</v>
      </c>
      <c r="N116" s="122" t="s">
        <v>269</v>
      </c>
    </row>
    <row r="117" spans="1:21" ht="20.100000000000001" customHeight="1" x14ac:dyDescent="0.25">
      <c r="D117" s="51" t="s">
        <v>163</v>
      </c>
      <c r="E117" s="51" t="s">
        <v>142</v>
      </c>
      <c r="F117" s="51" t="s">
        <v>143</v>
      </c>
      <c r="G117" s="51" t="s">
        <v>144</v>
      </c>
      <c r="H117" s="51" t="s">
        <v>206</v>
      </c>
      <c r="N117" s="51" t="s">
        <v>163</v>
      </c>
      <c r="O117" s="51" t="s">
        <v>142</v>
      </c>
      <c r="P117" s="51" t="s">
        <v>143</v>
      </c>
      <c r="Q117" s="51" t="s">
        <v>144</v>
      </c>
      <c r="R117" s="51" t="s">
        <v>206</v>
      </c>
    </row>
    <row r="118" spans="1:21" ht="20.100000000000001" customHeight="1" x14ac:dyDescent="0.25">
      <c r="D118" s="57" t="str">
        <f>'Input - Swine'!$D$29</f>
        <v>Anaerobic lagoon</v>
      </c>
      <c r="E118" s="52" cm="1">
        <f t="array" ref="E118">MMS_Swine_N2ODirect_Equations.VEERG_4_5_1_3__2_Stage1NitrogenInMMS(D$35,E71)</f>
        <v>201.47999999999996</v>
      </c>
      <c r="F118" s="52" cm="1">
        <f t="array" ref="F118">MMS_Swine_N2ODirect_Equations.VEERG_4_5_1_3__2_Stage1NitrogenInMMS(E$35,F71)</f>
        <v>214.62000000000003</v>
      </c>
      <c r="G118" s="52" cm="1">
        <f t="array" ref="G118">MMS_Swine_N2ODirect_Equations.VEERG_4_5_1_3__2_Stage1NitrogenInMMS(F$35,G71)</f>
        <v>201.47999999999996</v>
      </c>
      <c r="H118" s="52" cm="1">
        <f t="array" ref="H118">MMS_Swine_N2ODirect_Equations.VEERG_4_5_1_3__2_Stage1NitrogenInMMS(G$35,H71)</f>
        <v>136.65599999999998</v>
      </c>
      <c r="I118" s="2" t="str">
        <f t="shared" ref="I118" si="0">$E$110</f>
        <v>kg N</v>
      </c>
      <c r="N118" s="57" t="str">
        <f>'Input - Swine'!$D$29</f>
        <v>Anaerobic lagoon</v>
      </c>
      <c r="O118" s="52" cm="1">
        <f t="array" ref="O118">MMS_Swine_N2ODirect_Equations.VEERG_4_5_1_3__2_Stage1NitrogenInMMS(N$35,O71)</f>
        <v>201.47999999999996</v>
      </c>
      <c r="P118" s="52" cm="1">
        <f t="array" ref="P118">MMS_Swine_N2ODirect_Equations.VEERG_4_5_1_3__2_Stage1NitrogenInMMS(O$35,P71)</f>
        <v>214.62000000000003</v>
      </c>
      <c r="Q118" s="52" cm="1">
        <f t="array" ref="Q118">MMS_Swine_N2ODirect_Equations.VEERG_4_5_1_3__2_Stage1NitrogenInMMS(P$35,Q71)</f>
        <v>201.47999999999996</v>
      </c>
      <c r="R118" s="52" cm="1">
        <f t="array" ref="R118">MMS_Swine_N2ODirect_Equations.VEERG_4_5_1_3__2_Stage1NitrogenInMMS(Q$35,R71)</f>
        <v>136.65599999999998</v>
      </c>
      <c r="S118" s="2" t="str">
        <f t="shared" ref="S118" si="1">$E$110</f>
        <v>kg N</v>
      </c>
    </row>
    <row r="119" spans="1:21" ht="20.100000000000001" customHeight="1" x14ac:dyDescent="0.25">
      <c r="D119" s="57" t="str">
        <f>'Input - Swine'!$D$30</f>
        <v>Drylot (feed pad)</v>
      </c>
      <c r="E119" s="52" cm="1">
        <f t="array" ref="E119">MMS_Swine_N2ODirect_Equations.VEERG_4_5_1_3__2_Stage1NitrogenInMMS(D$35,E72)</f>
        <v>201.47999999999996</v>
      </c>
      <c r="F119" s="52" cm="1">
        <f t="array" ref="F119">MMS_Swine_N2ODirect_Equations.VEERG_4_5_1_3__2_Stage1NitrogenInMMS(E$35,F72)</f>
        <v>214.62000000000003</v>
      </c>
      <c r="G119" s="52" cm="1">
        <f t="array" ref="G119">MMS_Swine_N2ODirect_Equations.VEERG_4_5_1_3__2_Stage1NitrogenInMMS(F$35,G72)</f>
        <v>201.47999999999996</v>
      </c>
      <c r="H119" s="52" cm="1">
        <f t="array" ref="H119">MMS_Swine_N2ODirect_Equations.VEERG_4_5_1_3__2_Stage1NitrogenInMMS(G$35,H72)</f>
        <v>136.65599999999998</v>
      </c>
      <c r="I119" s="2"/>
      <c r="N119" s="57" t="str">
        <f>'Input - Swine'!$D$30</f>
        <v>Drylot (feed pad)</v>
      </c>
      <c r="O119" s="52" cm="1">
        <f t="array" ref="O119">MMS_Swine_N2ODirect_Equations.VEERG_4_5_1_3__2_Stage1NitrogenInMMS(N$35,O72)</f>
        <v>201.47999999999996</v>
      </c>
      <c r="P119" s="52" cm="1">
        <f t="array" ref="P119">MMS_Swine_N2ODirect_Equations.VEERG_4_5_1_3__2_Stage1NitrogenInMMS(O$35,P72)</f>
        <v>214.62000000000003</v>
      </c>
      <c r="Q119" s="52" cm="1">
        <f t="array" ref="Q119">MMS_Swine_N2ODirect_Equations.VEERG_4_5_1_3__2_Stage1NitrogenInMMS(P$35,Q72)</f>
        <v>201.47999999999996</v>
      </c>
      <c r="R119" s="52" cm="1">
        <f t="array" ref="R119">MMS_Swine_N2ODirect_Equations.VEERG_4_5_1_3__2_Stage1NitrogenInMMS(Q$35,R72)</f>
        <v>136.65599999999998</v>
      </c>
      <c r="S119" s="2"/>
    </row>
    <row r="120" spans="1:21" ht="20.100000000000001" customHeight="1" x14ac:dyDescent="0.25">
      <c r="D120" s="57" t="str">
        <f>'Input - Swine'!$D$31</f>
        <v>Digester / covered lagoons</v>
      </c>
      <c r="E120" s="52" cm="1">
        <f t="array" ref="E120">MMS_Swine_N2ODirect_Equations.VEERG_4_5_1_3__2_Stage1NitrogenInMMS(D$35,E73)</f>
        <v>201.47999999999996</v>
      </c>
      <c r="F120" s="52" cm="1">
        <f t="array" ref="F120">MMS_Swine_N2ODirect_Equations.VEERG_4_5_1_3__2_Stage1NitrogenInMMS(E$35,F73)</f>
        <v>214.62000000000003</v>
      </c>
      <c r="G120" s="52" cm="1">
        <f t="array" ref="G120">MMS_Swine_N2ODirect_Equations.VEERG_4_5_1_3__2_Stage1NitrogenInMMS(F$35,G73)</f>
        <v>201.47999999999996</v>
      </c>
      <c r="H120" s="52" cm="1">
        <f t="array" ref="H120">MMS_Swine_N2ODirect_Equations.VEERG_4_5_1_3__2_Stage1NitrogenInMMS(G$35,H73)</f>
        <v>136.65599999999998</v>
      </c>
      <c r="I120" s="2"/>
      <c r="N120" s="57" t="str">
        <f>'Input - Swine'!$D$31</f>
        <v>Digester / covered lagoons</v>
      </c>
      <c r="O120" s="52" cm="1">
        <f t="array" ref="O120">MMS_Swine_N2ODirect_Equations.VEERG_4_5_1_3__2_Stage1NitrogenInMMS(N$35,O73)</f>
        <v>201.47999999999996</v>
      </c>
      <c r="P120" s="52" cm="1">
        <f t="array" ref="P120">MMS_Swine_N2ODirect_Equations.VEERG_4_5_1_3__2_Stage1NitrogenInMMS(O$35,P73)</f>
        <v>214.62000000000003</v>
      </c>
      <c r="Q120" s="52" cm="1">
        <f t="array" ref="Q120">MMS_Swine_N2ODirect_Equations.VEERG_4_5_1_3__2_Stage1NitrogenInMMS(P$35,Q73)</f>
        <v>201.47999999999996</v>
      </c>
      <c r="R120" s="52" cm="1">
        <f t="array" ref="R120">MMS_Swine_N2ODirect_Equations.VEERG_4_5_1_3__2_Stage1NitrogenInMMS(Q$35,R73)</f>
        <v>136.65599999999998</v>
      </c>
      <c r="S120" s="2"/>
    </row>
    <row r="121" spans="1:21" ht="20.100000000000001" customHeight="1" x14ac:dyDescent="0.25">
      <c r="D121" s="57" t="str">
        <f>'Input - Swine'!$D$32</f>
        <v>Deep litter</v>
      </c>
      <c r="E121" s="52" cm="1">
        <f t="array" ref="E121">MMS_Swine_N2ODirect_Equations.VEERG_4_5_1_3__2_Stage1NitrogenInMMS(D$35,E74)</f>
        <v>201.47999999999996</v>
      </c>
      <c r="F121" s="52" cm="1">
        <f t="array" ref="F121">MMS_Swine_N2ODirect_Equations.VEERG_4_5_1_3__2_Stage1NitrogenInMMS(E$35,F74)</f>
        <v>214.62000000000003</v>
      </c>
      <c r="G121" s="52" cm="1">
        <f t="array" ref="G121">MMS_Swine_N2ODirect_Equations.VEERG_4_5_1_3__2_Stage1NitrogenInMMS(F$35,G74)</f>
        <v>201.47999999999996</v>
      </c>
      <c r="H121" s="52" cm="1">
        <f t="array" ref="H121">MMS_Swine_N2ODirect_Equations.VEERG_4_5_1_3__2_Stage1NitrogenInMMS(G$35,H74)</f>
        <v>136.65599999999998</v>
      </c>
      <c r="I121" s="2"/>
      <c r="N121" s="57" t="str">
        <f>'Input - Swine'!$D$32</f>
        <v>Deep litter</v>
      </c>
      <c r="O121" s="52" cm="1">
        <f t="array" ref="O121">MMS_Swine_N2ODirect_Equations.VEERG_4_5_1_3__2_Stage1NitrogenInMMS(N$35,O74)</f>
        <v>201.47999999999996</v>
      </c>
      <c r="P121" s="52" cm="1">
        <f t="array" ref="P121">MMS_Swine_N2ODirect_Equations.VEERG_4_5_1_3__2_Stage1NitrogenInMMS(O$35,P74)</f>
        <v>214.62000000000003</v>
      </c>
      <c r="Q121" s="52" cm="1">
        <f t="array" ref="Q121">MMS_Swine_N2ODirect_Equations.VEERG_4_5_1_3__2_Stage1NitrogenInMMS(P$35,Q74)</f>
        <v>201.47999999999996</v>
      </c>
      <c r="R121" s="52" cm="1">
        <f t="array" ref="R121">MMS_Swine_N2ODirect_Equations.VEERG_4_5_1_3__2_Stage1NitrogenInMMS(Q$35,R74)</f>
        <v>136.65599999999998</v>
      </c>
      <c r="S121" s="2"/>
    </row>
    <row r="122" spans="1:21" ht="20.100000000000001" customHeight="1" x14ac:dyDescent="0.25">
      <c r="D122" s="57" t="str">
        <f>'Input - Swine'!$D$33</f>
        <v>Pit storage</v>
      </c>
      <c r="E122" s="52" cm="1">
        <f t="array" ref="E122">MMS_Swine_N2ODirect_Equations.VEERG_4_5_1_3__2_Stage1NitrogenInMMS(D$35,E75)</f>
        <v>201.47999999999996</v>
      </c>
      <c r="F122" s="52" cm="1">
        <f t="array" ref="F122">MMS_Swine_N2ODirect_Equations.VEERG_4_5_1_3__2_Stage1NitrogenInMMS(E$35,F75)</f>
        <v>214.62000000000003</v>
      </c>
      <c r="G122" s="52" cm="1">
        <f t="array" ref="G122">MMS_Swine_N2ODirect_Equations.VEERG_4_5_1_3__2_Stage1NitrogenInMMS(F$35,G75)</f>
        <v>201.47999999999996</v>
      </c>
      <c r="H122" s="52" cm="1">
        <f t="array" ref="H122">MMS_Swine_N2ODirect_Equations.VEERG_4_5_1_3__2_Stage1NitrogenInMMS(G$35,H75)</f>
        <v>136.65599999999998</v>
      </c>
      <c r="I122" s="2"/>
      <c r="N122" s="57" t="str">
        <f>'Input - Swine'!$D$33</f>
        <v>Pit storage</v>
      </c>
      <c r="O122" s="52" cm="1">
        <f t="array" ref="O122">MMS_Swine_N2ODirect_Equations.VEERG_4_5_1_3__2_Stage1NitrogenInMMS(N$35,O75)</f>
        <v>201.47999999999996</v>
      </c>
      <c r="P122" s="52" cm="1">
        <f t="array" ref="P122">MMS_Swine_N2ODirect_Equations.VEERG_4_5_1_3__2_Stage1NitrogenInMMS(O$35,P75)</f>
        <v>214.62000000000003</v>
      </c>
      <c r="Q122" s="52" cm="1">
        <f t="array" ref="Q122">MMS_Swine_N2ODirect_Equations.VEERG_4_5_1_3__2_Stage1NitrogenInMMS(P$35,Q75)</f>
        <v>201.47999999999996</v>
      </c>
      <c r="R122" s="52" cm="1">
        <f t="array" ref="R122">MMS_Swine_N2ODirect_Equations.VEERG_4_5_1_3__2_Stage1NitrogenInMMS(Q$35,R75)</f>
        <v>136.65599999999998</v>
      </c>
      <c r="S122" s="2"/>
    </row>
    <row r="123" spans="1:21" ht="20.100000000000001" customHeight="1" x14ac:dyDescent="0.25">
      <c r="D123" s="57" t="str">
        <f>'Input - Swine'!$D$34</f>
        <v>Solid storage</v>
      </c>
      <c r="E123" s="52" cm="1">
        <f t="array" ref="E123">MMS_Swine_N2ODirect_Equations.VEERG_4_5_1_3__2_Stage1NitrogenInMMS(D$35,E100)</f>
        <v>671.60000000000014</v>
      </c>
      <c r="F123" s="52" cm="1">
        <f t="array" ref="F123">MMS_Swine_N2ODirect_Equations.VEERG_4_5_1_3__2_Stage1NitrogenInMMS(E$35,F100)</f>
        <v>715.40000000000032</v>
      </c>
      <c r="G123" s="52" cm="1">
        <f t="array" ref="G123">MMS_Swine_N2ODirect_Equations.VEERG_4_5_1_3__2_Stage1NitrogenInMMS(F$35,G100)</f>
        <v>671.60000000000014</v>
      </c>
      <c r="H123" s="52" cm="1">
        <f t="array" ref="H123">MMS_Swine_N2ODirect_Equations.VEERG_4_5_1_3__2_Stage1NitrogenInMMS(G$35,H100)</f>
        <v>455.52000000000015</v>
      </c>
      <c r="I123" s="2"/>
      <c r="N123" s="57" t="str">
        <f>'Input - Swine'!$D$34</f>
        <v>Solid storage</v>
      </c>
      <c r="O123" s="52" cm="1">
        <f t="array" ref="O123">MMS_Swine_N2ODirect_Equations.VEERG_4_5_1_3__2_Stage1NitrogenInMMS(N$35,O100)</f>
        <v>671.60000000000014</v>
      </c>
      <c r="P123" s="52" cm="1">
        <f t="array" ref="P123">MMS_Swine_N2ODirect_Equations.VEERG_4_5_1_3__2_Stage1NitrogenInMMS(O$35,P100)</f>
        <v>715.40000000000032</v>
      </c>
      <c r="Q123" s="52" cm="1">
        <f t="array" ref="Q123">MMS_Swine_N2ODirect_Equations.VEERG_4_5_1_3__2_Stage1NitrogenInMMS(P$35,Q100)</f>
        <v>671.60000000000014</v>
      </c>
      <c r="R123" s="52" cm="1">
        <f t="array" ref="R123">MMS_Swine_N2ODirect_Equations.VEERG_4_5_1_3__2_Stage1NitrogenInMMS(Q$35,R100)</f>
        <v>455.52000000000015</v>
      </c>
      <c r="S123" s="2"/>
    </row>
    <row r="124" spans="1:21" ht="20.100000000000001" customHeight="1" x14ac:dyDescent="0.25"/>
    <row r="125" spans="1:21" ht="20.100000000000001" customHeight="1" x14ac:dyDescent="0.25">
      <c r="A125" s="150" t="str">
        <f>HYPERLINK("#A1", "▲ Back to top")</f>
        <v>▲ Back to top</v>
      </c>
    </row>
    <row r="126" spans="1:21" ht="20.100000000000001" customHeight="1" x14ac:dyDescent="0.25">
      <c r="C126" s="45"/>
      <c r="D126" s="45"/>
      <c r="E126" s="45"/>
      <c r="F126" s="45"/>
      <c r="G126" s="45"/>
      <c r="H126" s="45"/>
      <c r="I126" s="45"/>
      <c r="J126" s="45"/>
      <c r="K126" s="45"/>
      <c r="M126" s="45"/>
      <c r="N126" s="45"/>
      <c r="O126" s="45"/>
      <c r="P126" s="45"/>
      <c r="Q126" s="45"/>
      <c r="R126" s="45"/>
      <c r="S126" s="45"/>
      <c r="T126" s="45"/>
      <c r="U126" s="45"/>
    </row>
    <row r="127" spans="1:21" ht="20.100000000000001" customHeight="1" x14ac:dyDescent="0.25">
      <c r="D127" s="6" t="str" cm="1">
        <f t="array" ref="D127">MMS_Swine_N2ODirect_Equations.VEERG_4_5_1_3__7_NitrogenTransferredToStage2MMS_Title()</f>
        <v>Nitrogen transferred to treatment stage 2 MMS</v>
      </c>
    </row>
    <row r="128" spans="1:21" ht="20.100000000000001" customHeight="1" x14ac:dyDescent="0.25">
      <c r="D128" s="5" t="str" cm="1">
        <f t="array" ref="D128">MMS_Swine_N2ODirect_Equations.VEERG_4_5_1_3__7_NitrogenTransferredToStage2MMS_Source()</f>
        <v>VEERG 2026: 4.5.1.3, Equation (7)</v>
      </c>
    </row>
    <row r="129" spans="4:9" ht="20.100000000000001" customHeight="1" x14ac:dyDescent="0.25">
      <c r="D129" s="13" t="s">
        <v>26</v>
      </c>
      <c r="E129" s="13" t="str" cm="1">
        <f t="array" aca="1" ref="E129" ca="1">Common_InputFunctions.Utility_DisplayFunctionName(E164)</f>
        <v>=MMS_Swine_N2ODirect_Equations.VEERG_4_5_1_3__7_NitrogenTransferredToStage2MMS</v>
      </c>
    </row>
    <row r="130" spans="4:9" ht="20.100000000000001" customHeight="1" x14ac:dyDescent="0.25"/>
    <row r="131" spans="4:9" ht="20.100000000000001" customHeight="1" x14ac:dyDescent="0.25"/>
    <row r="132" spans="4:9" ht="20.100000000000001" customHeight="1" x14ac:dyDescent="0.25">
      <c r="D132" s="53" t="s">
        <v>29</v>
      </c>
      <c r="E132" s="1" t="str" cm="1">
        <f t="array" ref="E132">MMS_Swine_N2ODirect_Equations.VEERG_4_5_1_3__7_NitrogenTransferredToStage2MMS_Variable()</f>
        <v>NT_jmT2</v>
      </c>
    </row>
    <row r="133" spans="4:9" ht="20.100000000000001" customHeight="1" x14ac:dyDescent="0.25">
      <c r="D133" s="53" t="s">
        <v>19</v>
      </c>
      <c r="E133" s="54" t="str" cm="1">
        <f t="array" ref="E133">MMS_Swine_N2ODirect_Equations.VEERG_4_5_1_3__7_NitrogenTransferredToStage2MMS_Unit()</f>
        <v>kg N</v>
      </c>
    </row>
    <row r="134" spans="4:9" ht="20.100000000000001" customHeight="1" x14ac:dyDescent="0.25"/>
    <row r="135" spans="4:9" ht="20.100000000000001" customHeight="1" x14ac:dyDescent="0.25">
      <c r="D135" s="57" t="str" cm="1">
        <f t="array" ref="D135:E137">Common_InputFunctions.Utility_DisplayArguments_1_2(MMS_Swine_N2ODirect_Equations.VEERG_4_5_1_3__7_NitrogenTransferredToStage2MMS_Arguments())</f>
        <v>MN_jmT1</v>
      </c>
      <c r="E135" s="57" t="str">
        <v>nitrogen per swine class in treatment stage 1 MMS</v>
      </c>
      <c r="F135" s="57"/>
      <c r="G135" s="144" t="str" cm="1">
        <f t="array" ref="G135:H137">Common_InputFunctions.Utility_DisplayArguments_3_4(MMS_Swine_N2ODirect_Equations.VEERG_4_5_1_3__7_NitrogenTransferredToStage2MMS_Arguments())</f>
        <v>kg N</v>
      </c>
      <c r="H135" s="139" t="str">
        <v>Calculated from 4.5.1.3 (2)(6)</v>
      </c>
      <c r="I135" s="143" t="str" cm="1">
        <f t="array" aca="1" ref="I135" ca="1">HYPERLINK(Common_InputFunctions.Utility_SourceHyperlink(D115), D115)</f>
        <v>M1_Table_MN_j_m_T-1</v>
      </c>
    </row>
    <row r="136" spans="4:9" ht="20.100000000000001" customHeight="1" x14ac:dyDescent="0.25">
      <c r="D136" s="57" t="str">
        <v>FracGASMmT1</v>
      </c>
      <c r="E136" s="57" t="str">
        <v>fraction of N volatilised from MMS treatment at stage 1</v>
      </c>
      <c r="F136" s="57"/>
      <c r="G136" s="144" t="str">
        <v>fraction</v>
      </c>
      <c r="H136" s="139" t="str">
        <v>Lookup</v>
      </c>
      <c r="I136" s="143" t="str" cm="1">
        <f t="array" aca="1" ref="I136" ca="1">HYPERLINK(Common_InputFunctions.Utility_SourceHyperlink(D139), D139)</f>
        <v>Table_FracGASM_m_t-1</v>
      </c>
    </row>
    <row r="137" spans="4:9" ht="20.100000000000001" customHeight="1" x14ac:dyDescent="0.25">
      <c r="D137" s="57" t="str">
        <v>EF_mT1</v>
      </c>
      <c r="E137" s="57" t="str">
        <v>nitrous oxide emission factor for MMS treatment at stage 1</v>
      </c>
      <c r="F137" s="57"/>
      <c r="G137" s="144" t="str">
        <v>kg N2O-N/kg N</v>
      </c>
      <c r="H137" s="139" t="str">
        <v>Lookup</v>
      </c>
      <c r="I137" s="143" t="str" cm="1">
        <f t="array" aca="1" ref="I137" ca="1">HYPERLINK(Common_InputFunctions.Utility_SourceHyperlink(D150), D150)</f>
        <v>Table_EF_m_t-1</v>
      </c>
    </row>
    <row r="138" spans="4:9" ht="20.100000000000001" customHeight="1" x14ac:dyDescent="0.25"/>
    <row r="139" spans="4:9" ht="20.100000000000001" customHeight="1" x14ac:dyDescent="0.25">
      <c r="D139" s="121" t="s">
        <v>249</v>
      </c>
    </row>
    <row r="140" spans="4:9" ht="20.100000000000001" customHeight="1" x14ac:dyDescent="0.25">
      <c r="D140" s="122" t="s">
        <v>250</v>
      </c>
    </row>
    <row r="141" spans="4:9" ht="20.100000000000001" customHeight="1" x14ac:dyDescent="0.25">
      <c r="D141" s="51" t="s">
        <v>67</v>
      </c>
      <c r="E141" s="51" t="s">
        <v>251</v>
      </c>
    </row>
    <row r="142" spans="4:9" ht="20.100000000000001" customHeight="1" x14ac:dyDescent="0.25">
      <c r="D142" s="57" t="str">
        <f>'Input - Swine'!$D$29</f>
        <v>Anaerobic lagoon</v>
      </c>
      <c r="E142" s="52" cm="1">
        <f t="array" ref="E142">Common_InputFunctions.Utility_LookupValueInTableNumber(D142, Table_SourceData_Swine_FracGASM[NIR reference],Table_SourceData_Swine_FracGASM[FracGASMmT])</f>
        <v>0.55000000000000004</v>
      </c>
      <c r="F142" s="2" t="str">
        <f>G136</f>
        <v>fraction</v>
      </c>
    </row>
    <row r="143" spans="4:9" ht="20.100000000000001" customHeight="1" x14ac:dyDescent="0.25">
      <c r="D143" s="57" t="str">
        <f>'Input - Swine'!$D$30</f>
        <v>Drylot (feed pad)</v>
      </c>
      <c r="E143" s="52" cm="1">
        <f t="array" ref="E143">Common_InputFunctions.Utility_LookupValueInTableNumber(D143, Table_SourceData_Swine_FracGASM[NIR reference],Table_SourceData_Swine_FracGASM[FracGASMmT])</f>
        <v>0.3</v>
      </c>
    </row>
    <row r="144" spans="4:9" ht="20.100000000000001" customHeight="1" x14ac:dyDescent="0.25">
      <c r="D144" s="57" t="str">
        <f>'Input - Swine'!$D$31</f>
        <v>Digester / covered lagoons</v>
      </c>
      <c r="E144" s="52" cm="1">
        <f t="array" ref="E144">Common_InputFunctions.Utility_LookupValueInTableNumber(D144, Table_SourceData_Swine_FracGASM[NIR reference],Table_SourceData_Swine_FracGASM[FracGASMmT])</f>
        <v>0</v>
      </c>
    </row>
    <row r="145" spans="4:6" ht="20.100000000000001" customHeight="1" x14ac:dyDescent="0.25">
      <c r="D145" s="57" t="str">
        <f>'Input - Swine'!$D$32</f>
        <v>Deep litter</v>
      </c>
      <c r="E145" s="52" cm="1">
        <f t="array" ref="E145">Common_InputFunctions.Utility_LookupValueInTableNumber(D145, Table_SourceData_Swine_FracGASM[NIR reference],Table_SourceData_Swine_FracGASM[FracGASMmT])</f>
        <v>0.125</v>
      </c>
    </row>
    <row r="146" spans="4:6" ht="20.100000000000001" customHeight="1" x14ac:dyDescent="0.25">
      <c r="D146" s="57" t="str">
        <f>'Input - Swine'!$D$33</f>
        <v>Pit storage</v>
      </c>
      <c r="E146" s="52" cm="1">
        <f t="array" ref="E146">Common_InputFunctions.Utility_LookupValueInTableNumber(D146, Table_SourceData_Swine_FracGASM[NIR reference],Table_SourceData_Swine_FracGASM[FracGASMmT])</f>
        <v>0.25</v>
      </c>
    </row>
    <row r="147" spans="4:6" ht="20.100000000000001" customHeight="1" x14ac:dyDescent="0.25">
      <c r="D147" s="57" t="str">
        <f>'Input - Swine'!$D$34</f>
        <v>Solid storage</v>
      </c>
      <c r="E147" s="52" cm="1">
        <f t="array" ref="E147">Common_InputFunctions.Utility_LookupValueInTableNumber(D147, Table_SourceData_Swine_FracGASM[NIR reference],Table_SourceData_Swine_FracGASM[FracGASMmT])</f>
        <v>0.2</v>
      </c>
    </row>
    <row r="148" spans="4:6" ht="20.100000000000001" customHeight="1" x14ac:dyDescent="0.25">
      <c r="D148" s="57" t="str">
        <f>'Constants - Swine'!$D$47</f>
        <v>Direct application</v>
      </c>
      <c r="E148" s="52" cm="1">
        <f t="array" ref="E148">Common_InputFunctions.Utility_LookupValueInTableNumber(D148, Table_SourceData_Swine_FracGASM[NIR reference],Table_SourceData_Swine_FracGASM[FracGASMmT])</f>
        <v>0</v>
      </c>
    </row>
    <row r="149" spans="4:6" ht="20.100000000000001" customHeight="1" x14ac:dyDescent="0.25"/>
    <row r="150" spans="4:6" ht="20.100000000000001" customHeight="1" x14ac:dyDescent="0.25">
      <c r="D150" s="121" t="s">
        <v>252</v>
      </c>
    </row>
    <row r="151" spans="4:6" ht="20.100000000000001" customHeight="1" x14ac:dyDescent="0.25">
      <c r="D151" s="122" t="s">
        <v>253</v>
      </c>
    </row>
    <row r="152" spans="4:6" ht="20.100000000000001" customHeight="1" x14ac:dyDescent="0.25">
      <c r="D152" s="51" t="s">
        <v>67</v>
      </c>
      <c r="E152" s="51" t="s">
        <v>254</v>
      </c>
    </row>
    <row r="153" spans="4:6" ht="20.100000000000001" customHeight="1" x14ac:dyDescent="0.25">
      <c r="D153" s="57" t="str">
        <f>'Input - Swine'!$D$29</f>
        <v>Anaerobic lagoon</v>
      </c>
      <c r="E153" s="52" cm="1">
        <f t="array" ref="E153">Common_InputFunctions.Utility_LookupValueInTableNumber(D153, Table_SourceData_Swine_FracGASM28[NIR reference],Table_SourceData_Swine_FracGASM28[EFmT])</f>
        <v>0</v>
      </c>
      <c r="F153" s="2" t="str">
        <f>G137</f>
        <v>kg N2O-N/kg N</v>
      </c>
    </row>
    <row r="154" spans="4:6" ht="20.100000000000001" customHeight="1" x14ac:dyDescent="0.25">
      <c r="D154" s="57" t="str">
        <f>'Input - Swine'!$D$30</f>
        <v>Drylot (feed pad)</v>
      </c>
      <c r="E154" s="52" cm="1">
        <f t="array" ref="E154">Common_InputFunctions.Utility_LookupValueInTableNumber(D154, Table_SourceData_Swine_FracGASM28[NIR reference],Table_SourceData_Swine_FracGASM28[EFmT])</f>
        <v>0.02</v>
      </c>
    </row>
    <row r="155" spans="4:6" ht="20.100000000000001" customHeight="1" x14ac:dyDescent="0.25">
      <c r="D155" s="57" t="str">
        <f>'Input - Swine'!$D$31</f>
        <v>Digester / covered lagoons</v>
      </c>
      <c r="E155" s="52" cm="1">
        <f t="array" ref="E155">Common_InputFunctions.Utility_LookupValueInTableNumber(D155, Table_SourceData_Swine_FracGASM28[NIR reference],Table_SourceData_Swine_FracGASM28[EFmT])</f>
        <v>0</v>
      </c>
    </row>
    <row r="156" spans="4:6" ht="20.100000000000001" customHeight="1" x14ac:dyDescent="0.25">
      <c r="D156" s="57" t="str">
        <f>'Input - Swine'!$D$32</f>
        <v>Deep litter</v>
      </c>
      <c r="E156" s="52" cm="1">
        <f t="array" ref="E156">Common_InputFunctions.Utility_LookupValueInTableNumber(D156, Table_SourceData_Swine_FracGASM28[NIR reference],Table_SourceData_Swine_FracGASM28[EFmT])</f>
        <v>0.01</v>
      </c>
    </row>
    <row r="157" spans="4:6" ht="20.100000000000001" customHeight="1" x14ac:dyDescent="0.25">
      <c r="D157" s="57" t="str">
        <f>'Input - Swine'!$D$33</f>
        <v>Pit storage</v>
      </c>
      <c r="E157" s="52" cm="1">
        <f t="array" ref="E157">Common_InputFunctions.Utility_LookupValueInTableNumber(D157, Table_SourceData_Swine_FracGASM28[NIR reference],Table_SourceData_Swine_FracGASM28[EFmT])</f>
        <v>2E-3</v>
      </c>
    </row>
    <row r="158" spans="4:6" ht="20.100000000000001" customHeight="1" x14ac:dyDescent="0.25">
      <c r="D158" s="57" t="str">
        <f>'Input - Swine'!$D$34</f>
        <v>Solid storage</v>
      </c>
      <c r="E158" s="52" cm="1">
        <f t="array" ref="E158">Common_InputFunctions.Utility_LookupValueInTableNumber(D158, Table_SourceData_Swine_FracGASM28[NIR reference],Table_SourceData_Swine_FracGASM28[EFmT])</f>
        <v>5.0000000000000001E-3</v>
      </c>
    </row>
    <row r="159" spans="4:6" ht="20.100000000000001" customHeight="1" x14ac:dyDescent="0.25">
      <c r="D159" s="57" t="str">
        <f>'Constants - Swine'!$D$47</f>
        <v>Direct application</v>
      </c>
      <c r="E159" s="52" cm="1">
        <f t="array" ref="E159">Common_InputFunctions.Utility_LookupValueInTableNumber(D159, Table_SourceData_Swine_FracGASM28[NIR reference],Table_SourceData_Swine_FracGASM28[EFmT])</f>
        <v>0</v>
      </c>
    </row>
    <row r="160" spans="4:6" ht="20.100000000000001" customHeight="1" x14ac:dyDescent="0.25"/>
    <row r="161" spans="1:21" ht="20.100000000000001" customHeight="1" x14ac:dyDescent="0.25">
      <c r="D161" s="121" t="s">
        <v>256</v>
      </c>
      <c r="N161" s="121" t="s">
        <v>270</v>
      </c>
    </row>
    <row r="162" spans="1:21" ht="20.100000000000001" customHeight="1" x14ac:dyDescent="0.25">
      <c r="D162" s="122" t="s">
        <v>257</v>
      </c>
      <c r="N162" s="122" t="s">
        <v>271</v>
      </c>
    </row>
    <row r="163" spans="1:21" ht="20.100000000000001" customHeight="1" x14ac:dyDescent="0.25">
      <c r="D163" s="51" t="s">
        <v>163</v>
      </c>
      <c r="E163" s="51" t="s">
        <v>142</v>
      </c>
      <c r="F163" s="51" t="s">
        <v>143</v>
      </c>
      <c r="G163" s="51" t="s">
        <v>144</v>
      </c>
      <c r="H163" s="51" t="s">
        <v>206</v>
      </c>
      <c r="N163" s="51" t="s">
        <v>163</v>
      </c>
      <c r="O163" s="51" t="s">
        <v>142</v>
      </c>
      <c r="P163" s="51" t="s">
        <v>143</v>
      </c>
      <c r="Q163" s="51" t="s">
        <v>144</v>
      </c>
      <c r="R163" s="51" t="s">
        <v>206</v>
      </c>
    </row>
    <row r="164" spans="1:21" ht="20.100000000000001" customHeight="1" x14ac:dyDescent="0.25">
      <c r="D164" s="57" t="str">
        <f>'Input - Swine'!$D$29</f>
        <v>Anaerobic lagoon</v>
      </c>
      <c r="E164" s="52" cm="1">
        <f t="array" ref="E164">MMS_Swine_N2ODirect_Equations.VEERG_4_5_1_3__7_NitrogenTransferredToStage2MMS(E118,$E142,$E153)</f>
        <v>90.665999999999968</v>
      </c>
      <c r="F164" s="52" cm="1">
        <f t="array" ref="F164">MMS_Swine_N2ODirect_Equations.VEERG_4_5_1_3__7_NitrogenTransferredToStage2MMS(F118,$E142,$E153)</f>
        <v>96.579000000000008</v>
      </c>
      <c r="G164" s="52" cm="1">
        <f t="array" ref="G164">MMS_Swine_N2ODirect_Equations.VEERG_4_5_1_3__7_NitrogenTransferredToStage2MMS(G118,$E142,$E153)</f>
        <v>90.665999999999968</v>
      </c>
      <c r="H164" s="52" cm="1">
        <f t="array" ref="H164">MMS_Swine_N2ODirect_Equations.VEERG_4_5_1_3__7_NitrogenTransferredToStage2MMS(H118,$E142,$E153)</f>
        <v>61.495199999999983</v>
      </c>
      <c r="I164" s="2" t="str">
        <f>$E$133</f>
        <v>kg N</v>
      </c>
      <c r="N164" s="57" t="str">
        <f>'Input - Swine'!$D$29</f>
        <v>Anaerobic lagoon</v>
      </c>
      <c r="O164" s="52" cm="1">
        <f t="array" ref="O164">MMS_Swine_N2ODirect_Equations.VEERG_4_5_1_3__7_NitrogenTransferredToStage2MMS(O118,$E142,$E153)</f>
        <v>90.665999999999968</v>
      </c>
      <c r="P164" s="52" cm="1">
        <f t="array" ref="P164">MMS_Swine_N2ODirect_Equations.VEERG_4_5_1_3__7_NitrogenTransferredToStage2MMS(P118,$E142,$E153)</f>
        <v>96.579000000000008</v>
      </c>
      <c r="Q164" s="52" cm="1">
        <f t="array" ref="Q164">MMS_Swine_N2ODirect_Equations.VEERG_4_5_1_3__7_NitrogenTransferredToStage2MMS(Q118,$E142,$E153)</f>
        <v>90.665999999999968</v>
      </c>
      <c r="R164" s="52" cm="1">
        <f t="array" ref="R164">MMS_Swine_N2ODirect_Equations.VEERG_4_5_1_3__7_NitrogenTransferredToStage2MMS(R118,$E142,$E153)</f>
        <v>61.495199999999983</v>
      </c>
      <c r="S164" s="2" t="str">
        <f>$E$133</f>
        <v>kg N</v>
      </c>
    </row>
    <row r="165" spans="1:21" ht="20.100000000000001" customHeight="1" x14ac:dyDescent="0.25">
      <c r="D165" s="57" t="str">
        <f>'Input - Swine'!$D$30</f>
        <v>Drylot (feed pad)</v>
      </c>
      <c r="E165" s="52" cm="1">
        <f t="array" ref="E165">MMS_Swine_N2ODirect_Equations.VEERG_4_5_1_3__7_NitrogenTransferredToStage2MMS(E119,$E143,$E154)</f>
        <v>137.00639999999996</v>
      </c>
      <c r="F165" s="52" cm="1">
        <f t="array" ref="F165">MMS_Swine_N2ODirect_Equations.VEERG_4_5_1_3__7_NitrogenTransferredToStage2MMS(F119,$E143,$E154)</f>
        <v>145.94160000000002</v>
      </c>
      <c r="G165" s="52" cm="1">
        <f t="array" ref="G165">MMS_Swine_N2ODirect_Equations.VEERG_4_5_1_3__7_NitrogenTransferredToStage2MMS(G119,$E143,$E154)</f>
        <v>137.00639999999996</v>
      </c>
      <c r="H165" s="52" cm="1">
        <f t="array" ref="H165">MMS_Swine_N2ODirect_Equations.VEERG_4_5_1_3__7_NitrogenTransferredToStage2MMS(H119,$E143,$E154)</f>
        <v>92.92607999999997</v>
      </c>
      <c r="I165" s="2"/>
      <c r="N165" s="57" t="str">
        <f>'Input - Swine'!$D$30</f>
        <v>Drylot (feed pad)</v>
      </c>
      <c r="O165" s="52" cm="1">
        <f t="array" ref="O165">MMS_Swine_N2ODirect_Equations.VEERG_4_5_1_3__7_NitrogenTransferredToStage2MMS(O119,$E143,$E154)</f>
        <v>137.00639999999996</v>
      </c>
      <c r="P165" s="52" cm="1">
        <f t="array" ref="P165">MMS_Swine_N2ODirect_Equations.VEERG_4_5_1_3__7_NitrogenTransferredToStage2MMS(P119,$E143,$E154)</f>
        <v>145.94160000000002</v>
      </c>
      <c r="Q165" s="52" cm="1">
        <f t="array" ref="Q165">MMS_Swine_N2ODirect_Equations.VEERG_4_5_1_3__7_NitrogenTransferredToStage2MMS(Q119,$E143,$E154)</f>
        <v>137.00639999999996</v>
      </c>
      <c r="R165" s="52" cm="1">
        <f t="array" ref="R165">MMS_Swine_N2ODirect_Equations.VEERG_4_5_1_3__7_NitrogenTransferredToStage2MMS(R119,$E143,$E154)</f>
        <v>92.92607999999997</v>
      </c>
      <c r="S165" s="2"/>
    </row>
    <row r="166" spans="1:21" ht="20.100000000000001" customHeight="1" x14ac:dyDescent="0.25">
      <c r="D166" s="57" t="str">
        <f>'Input - Swine'!$D$31</f>
        <v>Digester / covered lagoons</v>
      </c>
      <c r="E166" s="52" cm="1">
        <f t="array" ref="E166">MMS_Swine_N2ODirect_Equations.VEERG_4_5_1_3__7_NitrogenTransferredToStage2MMS(E120,$E144,$E155)</f>
        <v>201.47999999999996</v>
      </c>
      <c r="F166" s="52" cm="1">
        <f t="array" ref="F166">MMS_Swine_N2ODirect_Equations.VEERG_4_5_1_3__7_NitrogenTransferredToStage2MMS(F120,$E144,$E155)</f>
        <v>214.62000000000003</v>
      </c>
      <c r="G166" s="52" cm="1">
        <f t="array" ref="G166">MMS_Swine_N2ODirect_Equations.VEERG_4_5_1_3__7_NitrogenTransferredToStage2MMS(G120,$E144,$E155)</f>
        <v>201.47999999999996</v>
      </c>
      <c r="H166" s="52" cm="1">
        <f t="array" ref="H166">MMS_Swine_N2ODirect_Equations.VEERG_4_5_1_3__7_NitrogenTransferredToStage2MMS(H120,$E144,$E155)</f>
        <v>136.65599999999998</v>
      </c>
      <c r="I166" s="2"/>
      <c r="N166" s="57" t="str">
        <f>'Input - Swine'!$D$31</f>
        <v>Digester / covered lagoons</v>
      </c>
      <c r="O166" s="52" cm="1">
        <f t="array" ref="O166">MMS_Swine_N2ODirect_Equations.VEERG_4_5_1_3__7_NitrogenTransferredToStage2MMS(O120,$E144,$E155)</f>
        <v>201.47999999999996</v>
      </c>
      <c r="P166" s="52" cm="1">
        <f t="array" ref="P166">MMS_Swine_N2ODirect_Equations.VEERG_4_5_1_3__7_NitrogenTransferredToStage2MMS(P120,$E144,$E155)</f>
        <v>214.62000000000003</v>
      </c>
      <c r="Q166" s="52" cm="1">
        <f t="array" ref="Q166">MMS_Swine_N2ODirect_Equations.VEERG_4_5_1_3__7_NitrogenTransferredToStage2MMS(Q120,$E144,$E155)</f>
        <v>201.47999999999996</v>
      </c>
      <c r="R166" s="52" cm="1">
        <f t="array" ref="R166">MMS_Swine_N2ODirect_Equations.VEERG_4_5_1_3__7_NitrogenTransferredToStage2MMS(R120,$E144,$E155)</f>
        <v>136.65599999999998</v>
      </c>
      <c r="S166" s="2"/>
    </row>
    <row r="167" spans="1:21" ht="20.100000000000001" customHeight="1" x14ac:dyDescent="0.25">
      <c r="D167" s="57" t="str">
        <f>'Input - Swine'!$D$32</f>
        <v>Deep litter</v>
      </c>
      <c r="E167" s="52" cm="1">
        <f t="array" ref="E167">MMS_Swine_N2ODirect_Equations.VEERG_4_5_1_3__7_NitrogenTransferredToStage2MMS(E121,$E145,$E156)</f>
        <v>174.28019999999995</v>
      </c>
      <c r="F167" s="52" cm="1">
        <f t="array" ref="F167">MMS_Swine_N2ODirect_Equations.VEERG_4_5_1_3__7_NitrogenTransferredToStage2MMS(F121,$E145,$E156)</f>
        <v>185.64630000000002</v>
      </c>
      <c r="G167" s="52" cm="1">
        <f t="array" ref="G167">MMS_Swine_N2ODirect_Equations.VEERG_4_5_1_3__7_NitrogenTransferredToStage2MMS(G121,$E145,$E156)</f>
        <v>174.28019999999995</v>
      </c>
      <c r="H167" s="52" cm="1">
        <f t="array" ref="H167">MMS_Swine_N2ODirect_Equations.VEERG_4_5_1_3__7_NitrogenTransferredToStage2MMS(H121,$E145,$E156)</f>
        <v>118.20743999999998</v>
      </c>
      <c r="I167" s="2"/>
      <c r="N167" s="57" t="str">
        <f>'Input - Swine'!$D$32</f>
        <v>Deep litter</v>
      </c>
      <c r="O167" s="52" cm="1">
        <f t="array" ref="O167">MMS_Swine_N2ODirect_Equations.VEERG_4_5_1_3__7_NitrogenTransferredToStage2MMS(O121,$E145,$E156)</f>
        <v>174.28019999999995</v>
      </c>
      <c r="P167" s="52" cm="1">
        <f t="array" ref="P167">MMS_Swine_N2ODirect_Equations.VEERG_4_5_1_3__7_NitrogenTransferredToStage2MMS(P121,$E145,$E156)</f>
        <v>185.64630000000002</v>
      </c>
      <c r="Q167" s="52" cm="1">
        <f t="array" ref="Q167">MMS_Swine_N2ODirect_Equations.VEERG_4_5_1_3__7_NitrogenTransferredToStage2MMS(Q121,$E145,$E156)</f>
        <v>174.28019999999995</v>
      </c>
      <c r="R167" s="52" cm="1">
        <f t="array" ref="R167">MMS_Swine_N2ODirect_Equations.VEERG_4_5_1_3__7_NitrogenTransferredToStage2MMS(R121,$E145,$E156)</f>
        <v>118.20743999999998</v>
      </c>
      <c r="S167" s="2"/>
    </row>
    <row r="168" spans="1:21" ht="20.100000000000001" customHeight="1" x14ac:dyDescent="0.25">
      <c r="D168" s="57" t="str">
        <f>'Input - Swine'!$D$33</f>
        <v>Pit storage</v>
      </c>
      <c r="E168" s="52" cm="1">
        <f t="array" ref="E168">MMS_Swine_N2ODirect_Equations.VEERG_4_5_1_3__7_NitrogenTransferredToStage2MMS(E122,$E146,$E157)</f>
        <v>150.70703999999998</v>
      </c>
      <c r="F168" s="52" cm="1">
        <f t="array" ref="F168">MMS_Swine_N2ODirect_Equations.VEERG_4_5_1_3__7_NitrogenTransferredToStage2MMS(F122,$E146,$E157)</f>
        <v>160.53576000000001</v>
      </c>
      <c r="G168" s="52" cm="1">
        <f t="array" ref="G168">MMS_Swine_N2ODirect_Equations.VEERG_4_5_1_3__7_NitrogenTransferredToStage2MMS(G122,$E146,$E157)</f>
        <v>150.70703999999998</v>
      </c>
      <c r="H168" s="52" cm="1">
        <f t="array" ref="H168">MMS_Swine_N2ODirect_Equations.VEERG_4_5_1_3__7_NitrogenTransferredToStage2MMS(H122,$E146,$E157)</f>
        <v>102.21868799999999</v>
      </c>
      <c r="I168" s="2"/>
      <c r="N168" s="57" t="str">
        <f>'Input - Swine'!$D$33</f>
        <v>Pit storage</v>
      </c>
      <c r="O168" s="52" cm="1">
        <f t="array" ref="O168">MMS_Swine_N2ODirect_Equations.VEERG_4_5_1_3__7_NitrogenTransferredToStage2MMS(O122,$E146,$E157)</f>
        <v>150.70703999999998</v>
      </c>
      <c r="P168" s="52" cm="1">
        <f t="array" ref="P168">MMS_Swine_N2ODirect_Equations.VEERG_4_5_1_3__7_NitrogenTransferredToStage2MMS(P122,$E146,$E157)</f>
        <v>160.53576000000001</v>
      </c>
      <c r="Q168" s="52" cm="1">
        <f t="array" ref="Q168">MMS_Swine_N2ODirect_Equations.VEERG_4_5_1_3__7_NitrogenTransferredToStage2MMS(Q122,$E146,$E157)</f>
        <v>150.70703999999998</v>
      </c>
      <c r="R168" s="52" cm="1">
        <f t="array" ref="R168">MMS_Swine_N2ODirect_Equations.VEERG_4_5_1_3__7_NitrogenTransferredToStage2MMS(R122,$E146,$E157)</f>
        <v>102.21868799999999</v>
      </c>
      <c r="S168" s="2"/>
    </row>
    <row r="169" spans="1:21" ht="20.100000000000001" customHeight="1" x14ac:dyDescent="0.25">
      <c r="D169" s="57" t="str">
        <f>'Input - Swine'!$D$34</f>
        <v>Solid storage</v>
      </c>
      <c r="E169" s="52" cm="1">
        <f t="array" ref="E169">MMS_Swine_N2ODirect_Equations.VEERG_4_5_1_3__7_NitrogenTransferredToStage2MMS(E123,$E147,$E158)</f>
        <v>533.92200000000014</v>
      </c>
      <c r="F169" s="52" cm="1">
        <f t="array" ref="F169">MMS_Swine_N2ODirect_Equations.VEERG_4_5_1_3__7_NitrogenTransferredToStage2MMS(F123,$E147,$E158)</f>
        <v>568.74300000000028</v>
      </c>
      <c r="G169" s="52" cm="1">
        <f t="array" ref="G169">MMS_Swine_N2ODirect_Equations.VEERG_4_5_1_3__7_NitrogenTransferredToStage2MMS(G123,$E147,$E158)</f>
        <v>533.92200000000014</v>
      </c>
      <c r="H169" s="52" cm="1">
        <f t="array" ref="H169">MMS_Swine_N2ODirect_Equations.VEERG_4_5_1_3__7_NitrogenTransferredToStage2MMS(H123,$E147,$E158)</f>
        <v>362.13840000000016</v>
      </c>
      <c r="I169" s="2"/>
      <c r="N169" s="57" t="str">
        <f>'Input - Swine'!$D$34</f>
        <v>Solid storage</v>
      </c>
      <c r="O169" s="52" cm="1">
        <f t="array" ref="O169">MMS_Swine_N2ODirect_Equations.VEERG_4_5_1_3__7_NitrogenTransferredToStage2MMS(O123,$E147,$E158)</f>
        <v>533.92200000000014</v>
      </c>
      <c r="P169" s="52" cm="1">
        <f t="array" ref="P169">MMS_Swine_N2ODirect_Equations.VEERG_4_5_1_3__7_NitrogenTransferredToStage2MMS(P123,$E147,$E158)</f>
        <v>568.74300000000028</v>
      </c>
      <c r="Q169" s="52" cm="1">
        <f t="array" ref="Q169">MMS_Swine_N2ODirect_Equations.VEERG_4_5_1_3__7_NitrogenTransferredToStage2MMS(Q123,$E147,$E158)</f>
        <v>533.92200000000014</v>
      </c>
      <c r="R169" s="52" cm="1">
        <f t="array" ref="R169">MMS_Swine_N2ODirect_Equations.VEERG_4_5_1_3__7_NitrogenTransferredToStage2MMS(R123,$E147,$E158)</f>
        <v>362.13840000000016</v>
      </c>
      <c r="S169" s="2"/>
    </row>
    <row r="170" spans="1:21" ht="20.100000000000001" customHeight="1" x14ac:dyDescent="0.25"/>
    <row r="171" spans="1:21" ht="20.100000000000001" customHeight="1" x14ac:dyDescent="0.25">
      <c r="A171" s="150" t="str">
        <f>HYPERLINK("#A1", "▲ Back to top")</f>
        <v>▲ Back to top</v>
      </c>
    </row>
    <row r="172" spans="1:21" ht="20.100000000000001" customHeight="1" x14ac:dyDescent="0.25">
      <c r="C172" s="45"/>
      <c r="D172" s="45"/>
      <c r="E172" s="45"/>
      <c r="F172" s="45"/>
      <c r="G172" s="45"/>
      <c r="H172" s="45"/>
      <c r="I172" s="45"/>
      <c r="J172" s="45"/>
      <c r="K172" s="45"/>
      <c r="M172" s="45"/>
      <c r="N172" s="45"/>
      <c r="O172" s="45"/>
      <c r="P172" s="45"/>
      <c r="Q172" s="45"/>
      <c r="R172" s="45"/>
      <c r="S172" s="45"/>
      <c r="T172" s="45"/>
      <c r="U172" s="45"/>
    </row>
    <row r="173" spans="1:21" ht="20.100000000000001" customHeight="1" x14ac:dyDescent="0.25">
      <c r="D173" s="6" t="str" cm="1">
        <f t="array" ref="D173">MMS_Swine_N2ODirect_Equations.VEERG_4_5_1_3__6_Stage2NitrogenInMMS_Title()</f>
        <v>Nitrogen in treatment stage 2 MMS</v>
      </c>
    </row>
    <row r="174" spans="1:21" ht="20.100000000000001" customHeight="1" x14ac:dyDescent="0.25">
      <c r="D174" s="5" t="str" cm="1">
        <f t="array" ref="D174">MMS_Swine_N2ODirect_Equations.VEERG_4_5_1_3__6_Stage2NitrogenInMMS_Source()</f>
        <v>VEERG 2026: 4.5.1.3, Equation (6)</v>
      </c>
    </row>
    <row r="175" spans="1:21" ht="20.100000000000001" customHeight="1" x14ac:dyDescent="0.25">
      <c r="D175" s="13" t="s">
        <v>26</v>
      </c>
      <c r="E175" s="13" t="str" cm="1">
        <f t="array" aca="1" ref="E175" ca="1">Common_InputFunctions.Utility_DisplayFunctionName(F217)</f>
        <v>=MMS_Swine_N2ODirect_Equations.VEERG_4_5_1_3__6_Stage2NitrogenInMMS</v>
      </c>
    </row>
    <row r="176" spans="1:21" ht="20.100000000000001" customHeight="1" x14ac:dyDescent="0.25"/>
    <row r="177" spans="4:10" ht="20.100000000000001" customHeight="1" x14ac:dyDescent="0.25"/>
    <row r="178" spans="4:10" ht="20.100000000000001" customHeight="1" x14ac:dyDescent="0.25">
      <c r="D178" s="53" t="s">
        <v>29</v>
      </c>
      <c r="E178" s="1" t="str" cm="1">
        <f t="array" ref="E178">MMS_Swine_N2ODirect_Equations.VEERG_4_5_1_3__6_Stage2NitrogenInMMS_Variable()</f>
        <v>MN_jmT2</v>
      </c>
    </row>
    <row r="179" spans="4:10" ht="20.100000000000001" customHeight="1" x14ac:dyDescent="0.25">
      <c r="D179" s="53" t="s">
        <v>19</v>
      </c>
      <c r="E179" s="54" t="str" cm="1">
        <f t="array" ref="E179">MMS_Swine_N2ODirect_Equations.VEERG_4_5_1_3__6_Stage2NitrogenInMMS_Unit()</f>
        <v>kg N</v>
      </c>
    </row>
    <row r="180" spans="4:10" ht="20.100000000000001" customHeight="1" x14ac:dyDescent="0.25"/>
    <row r="181" spans="4:10" ht="20.100000000000001" customHeight="1" x14ac:dyDescent="0.25">
      <c r="D181" s="108" t="str" cm="1">
        <f t="array" ref="D181:E182">Common_InputFunctions.Utility_DisplayArguments_1_2(MMS_Swine_N2ODirect_Equations.VEERG_4_5_1_3__6_Stage2NitrogenInMMS_Arguments())</f>
        <v>NT_jmT2</v>
      </c>
      <c r="E181" s="110" t="str">
        <v>nitrogen transferred to secondary treatment MMS</v>
      </c>
      <c r="F181" s="109"/>
      <c r="G181" s="144" t="str" cm="1">
        <f t="array" ref="G181:H182">Common_InputFunctions.Utility_DisplayArguments_3_4(MMS_Swine_N2ODirect_Equations.VEERG_4_5_1_3__6_Stage2NitrogenInMMS_Arguments())</f>
        <v>kg N</v>
      </c>
      <c r="H181" s="139" t="str">
        <v>Calculated from 4.5.1.3 (7)</v>
      </c>
      <c r="I181" s="143" t="str" cm="1">
        <f t="array" aca="1" ref="I181" ca="1">HYPERLINK(Common_InputFunctions.Utility_SourceHyperlink(D161), D161)</f>
        <v>M1_Table_NT_j_m_T-2</v>
      </c>
    </row>
    <row r="182" spans="4:10" ht="20.100000000000001" customHeight="1" x14ac:dyDescent="0.25">
      <c r="D182" s="108" t="str">
        <v>MMS_jmT2</v>
      </c>
      <c r="E182" s="110" t="str">
        <v>fraction of manure in each secondary system</v>
      </c>
      <c r="F182" s="109"/>
      <c r="G182" s="144" t="str">
        <v>fraction</v>
      </c>
      <c r="H182" s="140" t="str">
        <v>Input</v>
      </c>
      <c r="I182" s="143" t="str" cm="1">
        <f t="array" aca="1" ref="I182" ca="1">HYPERLINK(Common_InputFunctions.Utility_SourceHyperlink(D184), D184)</f>
        <v>Table_MMS_j_m_T-2</v>
      </c>
    </row>
    <row r="183" spans="4:10" ht="20.100000000000001" customHeight="1" x14ac:dyDescent="0.25"/>
    <row r="184" spans="4:10" ht="20.100000000000001" customHeight="1" x14ac:dyDescent="0.25">
      <c r="D184" s="121" t="s">
        <v>169</v>
      </c>
    </row>
    <row r="185" spans="4:10" ht="20.100000000000001" customHeight="1" x14ac:dyDescent="0.25">
      <c r="D185" s="122" t="s">
        <v>170</v>
      </c>
    </row>
    <row r="186" spans="4:10" ht="20.100000000000001" customHeight="1" x14ac:dyDescent="0.25">
      <c r="D186" s="119" t="s">
        <v>163</v>
      </c>
      <c r="E186" s="119" t="s">
        <v>171</v>
      </c>
      <c r="F186" s="119" t="s">
        <v>142</v>
      </c>
      <c r="G186" s="119" t="s">
        <v>143</v>
      </c>
      <c r="H186" s="119" t="s">
        <v>144</v>
      </c>
      <c r="I186" s="119" t="s">
        <v>206</v>
      </c>
    </row>
    <row r="187" spans="4:10" ht="20.100000000000001" customHeight="1" x14ac:dyDescent="0.25">
      <c r="D187" s="57" t="str">
        <f>'Input - Swine'!$D$29</f>
        <v>Anaerobic lagoon</v>
      </c>
      <c r="E187" s="57" t="str">
        <f>'Input - Swine'!$D$48</f>
        <v>Digester / covered lagoons</v>
      </c>
      <c r="F187" s="52">
        <f>'Input - Swine'!E48</f>
        <v>0.2</v>
      </c>
      <c r="G187" s="52">
        <f>'Input - Swine'!F48</f>
        <v>0.25</v>
      </c>
      <c r="H187" s="52">
        <f>'Input - Swine'!G48</f>
        <v>0.25</v>
      </c>
      <c r="I187" s="52">
        <f>'Input - Swine'!H48</f>
        <v>0.25</v>
      </c>
      <c r="J187" s="2" t="str">
        <f>G182</f>
        <v>fraction</v>
      </c>
    </row>
    <row r="188" spans="4:10" ht="20.100000000000001" customHeight="1" x14ac:dyDescent="0.25">
      <c r="D188" s="57"/>
      <c r="E188" s="57" t="str">
        <f>'Input - Swine'!$D$49</f>
        <v>Deep litter</v>
      </c>
      <c r="F188" s="52">
        <f>'Input - Swine'!E49</f>
        <v>0.2</v>
      </c>
      <c r="G188" s="52">
        <f>'Input - Swine'!F49</f>
        <v>0.25</v>
      </c>
      <c r="H188" s="52">
        <f>'Input - Swine'!G49</f>
        <v>0.25</v>
      </c>
      <c r="I188" s="52">
        <f>'Input - Swine'!H49</f>
        <v>0.25</v>
      </c>
      <c r="J188" s="2"/>
    </row>
    <row r="189" spans="4:10" ht="20.100000000000001" customHeight="1" x14ac:dyDescent="0.25">
      <c r="D189" s="57"/>
      <c r="E189" s="57" t="str">
        <f>'Input - Swine'!$D$50</f>
        <v>Pit storage</v>
      </c>
      <c r="F189" s="52">
        <f>'Input - Swine'!E50</f>
        <v>0.2</v>
      </c>
      <c r="G189" s="52">
        <f>'Input - Swine'!F50</f>
        <v>0.25</v>
      </c>
      <c r="H189" s="52">
        <f>'Input - Swine'!G50</f>
        <v>0.25</v>
      </c>
      <c r="I189" s="52">
        <f>'Input - Swine'!H50</f>
        <v>0.25</v>
      </c>
      <c r="J189" s="2"/>
    </row>
    <row r="190" spans="4:10" ht="20.100000000000001" customHeight="1" x14ac:dyDescent="0.25">
      <c r="D190" s="57"/>
      <c r="E190" s="57" t="str">
        <f>'Input - Swine'!$D$51</f>
        <v>Direct application</v>
      </c>
      <c r="F190" s="52">
        <f>'Input - Swine'!E51</f>
        <v>0.39999999999999991</v>
      </c>
      <c r="G190" s="52">
        <f>'Input - Swine'!F51</f>
        <v>0.25</v>
      </c>
      <c r="H190" s="52">
        <f>'Input - Swine'!G51</f>
        <v>0.25</v>
      </c>
      <c r="I190" s="52">
        <f>'Input - Swine'!H51</f>
        <v>0.25</v>
      </c>
      <c r="J190" s="2"/>
    </row>
    <row r="191" spans="4:10" ht="20.100000000000001" customHeight="1" x14ac:dyDescent="0.25">
      <c r="D191" s="57" t="str">
        <f>'Input - Swine'!$D$30</f>
        <v>Drylot (feed pad)</v>
      </c>
      <c r="E191" s="57" t="str">
        <f>'Input - Swine'!$D$55</f>
        <v>Anaerobic lagoon</v>
      </c>
      <c r="F191" s="52">
        <f>'Input - Swine'!E55</f>
        <v>0.2</v>
      </c>
      <c r="G191" s="52">
        <f>'Input - Swine'!F55</f>
        <v>0.25</v>
      </c>
      <c r="H191" s="52">
        <f>'Input - Swine'!G55</f>
        <v>0.25</v>
      </c>
      <c r="I191" s="52">
        <f>'Input - Swine'!H55</f>
        <v>0.25</v>
      </c>
      <c r="J191" s="2"/>
    </row>
    <row r="192" spans="4:10" ht="20.100000000000001" customHeight="1" x14ac:dyDescent="0.25">
      <c r="D192" s="57"/>
      <c r="E192" s="57" t="str">
        <f>'Input - Swine'!$D$56</f>
        <v>Digester / covered lagoons</v>
      </c>
      <c r="F192" s="52">
        <f>'Input - Swine'!E56</f>
        <v>0.2</v>
      </c>
      <c r="G192" s="52">
        <f>'Input - Swine'!F56</f>
        <v>0.25</v>
      </c>
      <c r="H192" s="52">
        <f>'Input - Swine'!G56</f>
        <v>0.25</v>
      </c>
      <c r="I192" s="52">
        <f>'Input - Swine'!H56</f>
        <v>0.25</v>
      </c>
      <c r="J192" s="2"/>
    </row>
    <row r="193" spans="4:10" ht="20.100000000000001" customHeight="1" x14ac:dyDescent="0.25">
      <c r="D193" s="57"/>
      <c r="E193" s="57" t="str">
        <f>'Input - Swine'!$D$57</f>
        <v>Deep litter</v>
      </c>
      <c r="F193" s="52">
        <f>'Input - Swine'!E57</f>
        <v>0.2</v>
      </c>
      <c r="G193" s="52">
        <f>'Input - Swine'!F57</f>
        <v>0.25</v>
      </c>
      <c r="H193" s="52">
        <f>'Input - Swine'!G57</f>
        <v>0.25</v>
      </c>
      <c r="I193" s="52">
        <f>'Input - Swine'!H57</f>
        <v>0.25</v>
      </c>
      <c r="J193" s="2"/>
    </row>
    <row r="194" spans="4:10" ht="20.100000000000001" customHeight="1" x14ac:dyDescent="0.25">
      <c r="D194" s="57"/>
      <c r="E194" s="57" t="str">
        <f>'Input - Swine'!$D$58</f>
        <v>Pit storage</v>
      </c>
      <c r="F194" s="52">
        <f>'Input - Swine'!E58</f>
        <v>0.2</v>
      </c>
      <c r="G194" s="52">
        <f>'Input - Swine'!F58</f>
        <v>0.25</v>
      </c>
      <c r="H194" s="52">
        <f>'Input - Swine'!G58</f>
        <v>0.25</v>
      </c>
      <c r="I194" s="52">
        <f>'Input - Swine'!H58</f>
        <v>0.25</v>
      </c>
      <c r="J194" s="2"/>
    </row>
    <row r="195" spans="4:10" ht="20.100000000000001" customHeight="1" x14ac:dyDescent="0.25">
      <c r="D195" s="57"/>
      <c r="E195" s="57" t="str">
        <f>'Input - Swine'!$D$59</f>
        <v>Direct application</v>
      </c>
      <c r="F195" s="52">
        <f>'Input - Swine'!E59</f>
        <v>0.19999999999999996</v>
      </c>
      <c r="G195" s="52">
        <f>'Input - Swine'!F59</f>
        <v>0</v>
      </c>
      <c r="H195" s="52">
        <f>'Input - Swine'!G59</f>
        <v>0</v>
      </c>
      <c r="I195" s="52">
        <f>'Input - Swine'!H59</f>
        <v>0</v>
      </c>
      <c r="J195" s="2"/>
    </row>
    <row r="196" spans="4:10" ht="20.100000000000001" customHeight="1" x14ac:dyDescent="0.25">
      <c r="D196" s="57" t="str">
        <f>'Input - Swine'!$D$31</f>
        <v>Digester / covered lagoons</v>
      </c>
      <c r="E196" s="57" t="str">
        <f>'Input - Swine'!$D$63</f>
        <v>Anaerobic lagoon</v>
      </c>
      <c r="F196" s="52">
        <f>'Input - Swine'!E63</f>
        <v>0.2</v>
      </c>
      <c r="G196" s="52">
        <f>'Input - Swine'!F63</f>
        <v>0.25</v>
      </c>
      <c r="H196" s="52">
        <f>'Input - Swine'!G63</f>
        <v>0.25</v>
      </c>
      <c r="I196" s="52">
        <f>'Input - Swine'!H63</f>
        <v>0.25</v>
      </c>
      <c r="J196" s="2"/>
    </row>
    <row r="197" spans="4:10" ht="20.100000000000001" customHeight="1" x14ac:dyDescent="0.25">
      <c r="D197" s="57"/>
      <c r="E197" s="57" t="str">
        <f>'Input - Swine'!$D$64</f>
        <v>Deep litter</v>
      </c>
      <c r="F197" s="52">
        <f>'Input - Swine'!E64</f>
        <v>0.2</v>
      </c>
      <c r="G197" s="52">
        <f>'Input - Swine'!F64</f>
        <v>0.25</v>
      </c>
      <c r="H197" s="52">
        <f>'Input - Swine'!G64</f>
        <v>0.25</v>
      </c>
      <c r="I197" s="52">
        <f>'Input - Swine'!H64</f>
        <v>0.25</v>
      </c>
      <c r="J197" s="2"/>
    </row>
    <row r="198" spans="4:10" ht="20.100000000000001" customHeight="1" x14ac:dyDescent="0.25">
      <c r="D198" s="57"/>
      <c r="E198" s="57" t="str">
        <f>'Input - Swine'!$D$65</f>
        <v>Pit storage</v>
      </c>
      <c r="F198" s="52">
        <f>'Input - Swine'!E65</f>
        <v>0.2</v>
      </c>
      <c r="G198" s="52">
        <f>'Input - Swine'!F65</f>
        <v>0.25</v>
      </c>
      <c r="H198" s="52">
        <f>'Input - Swine'!G65</f>
        <v>0.25</v>
      </c>
      <c r="I198" s="52">
        <f>'Input - Swine'!H65</f>
        <v>0.25</v>
      </c>
      <c r="J198" s="2"/>
    </row>
    <row r="199" spans="4:10" ht="20.100000000000001" customHeight="1" x14ac:dyDescent="0.25">
      <c r="D199" s="57"/>
      <c r="E199" s="57" t="str">
        <f>'Input - Swine'!$D$66</f>
        <v>Direct application</v>
      </c>
      <c r="F199" s="52">
        <f>'Input - Swine'!E66</f>
        <v>0.39999999999999991</v>
      </c>
      <c r="G199" s="52">
        <f>'Input - Swine'!F66</f>
        <v>0.25</v>
      </c>
      <c r="H199" s="52">
        <f>'Input - Swine'!G66</f>
        <v>0.25</v>
      </c>
      <c r="I199" s="52">
        <f>'Input - Swine'!H66</f>
        <v>0.25</v>
      </c>
      <c r="J199" s="2"/>
    </row>
    <row r="200" spans="4:10" ht="20.100000000000001" customHeight="1" x14ac:dyDescent="0.25">
      <c r="D200" s="57" t="str">
        <f>'Input - Swine'!$D$32</f>
        <v>Deep litter</v>
      </c>
      <c r="E200" s="57" t="str">
        <f>'Input - Swine'!$D$70</f>
        <v>Anaerobic lagoon</v>
      </c>
      <c r="F200" s="52">
        <f>'Input - Swine'!E70</f>
        <v>0.2</v>
      </c>
      <c r="G200" s="52">
        <f>'Input - Swine'!F70</f>
        <v>0.25</v>
      </c>
      <c r="H200" s="52">
        <f>'Input - Swine'!G70</f>
        <v>0.25</v>
      </c>
      <c r="I200" s="52">
        <f>'Input - Swine'!H70</f>
        <v>0.25</v>
      </c>
      <c r="J200" s="2"/>
    </row>
    <row r="201" spans="4:10" ht="20.100000000000001" customHeight="1" x14ac:dyDescent="0.25">
      <c r="D201" s="57"/>
      <c r="E201" s="57" t="str">
        <f>'Input - Swine'!$D$71</f>
        <v>Digester / covered lagoons</v>
      </c>
      <c r="F201" s="52">
        <f>'Input - Swine'!E71</f>
        <v>0.2</v>
      </c>
      <c r="G201" s="52">
        <f>'Input - Swine'!F71</f>
        <v>0.25</v>
      </c>
      <c r="H201" s="52">
        <f>'Input - Swine'!G71</f>
        <v>0.25</v>
      </c>
      <c r="I201" s="52">
        <f>'Input - Swine'!H71</f>
        <v>0.25</v>
      </c>
      <c r="J201" s="2"/>
    </row>
    <row r="202" spans="4:10" ht="20.100000000000001" customHeight="1" x14ac:dyDescent="0.25">
      <c r="D202" s="57"/>
      <c r="E202" s="57" t="str">
        <f>'Input - Swine'!$D$72</f>
        <v>Pit storage</v>
      </c>
      <c r="F202" s="52">
        <f>'Input - Swine'!E72</f>
        <v>0.2</v>
      </c>
      <c r="G202" s="52">
        <f>'Input - Swine'!F72</f>
        <v>0.25</v>
      </c>
      <c r="H202" s="52">
        <f>'Input - Swine'!G72</f>
        <v>0.25</v>
      </c>
      <c r="I202" s="52">
        <f>'Input - Swine'!H72</f>
        <v>0.25</v>
      </c>
      <c r="J202" s="2"/>
    </row>
    <row r="203" spans="4:10" ht="20.100000000000001" customHeight="1" x14ac:dyDescent="0.25">
      <c r="D203" s="57"/>
      <c r="E203" s="57" t="str">
        <f>'Input - Swine'!$D$73</f>
        <v>Direct application</v>
      </c>
      <c r="F203" s="52">
        <f>'Input - Swine'!E73</f>
        <v>0.39999999999999991</v>
      </c>
      <c r="G203" s="52">
        <f>'Input - Swine'!F73</f>
        <v>0.25</v>
      </c>
      <c r="H203" s="52">
        <f>'Input - Swine'!G73</f>
        <v>0.25</v>
      </c>
      <c r="I203" s="52">
        <f>'Input - Swine'!H73</f>
        <v>0.25</v>
      </c>
      <c r="J203" s="2"/>
    </row>
    <row r="204" spans="4:10" ht="20.100000000000001" customHeight="1" x14ac:dyDescent="0.25">
      <c r="D204" s="57" t="str">
        <f>'Input - Swine'!$D$33</f>
        <v>Pit storage</v>
      </c>
      <c r="E204" s="57" t="str">
        <f>'Input - Swine'!$D$77</f>
        <v>Anaerobic lagoon</v>
      </c>
      <c r="F204" s="52">
        <f>'Input - Swine'!E77</f>
        <v>0.2</v>
      </c>
      <c r="G204" s="52">
        <f>'Input - Swine'!F77</f>
        <v>0.25</v>
      </c>
      <c r="H204" s="52">
        <f>'Input - Swine'!G77</f>
        <v>0.25</v>
      </c>
      <c r="I204" s="52">
        <f>'Input - Swine'!H77</f>
        <v>0.25</v>
      </c>
      <c r="J204" s="2"/>
    </row>
    <row r="205" spans="4:10" ht="20.100000000000001" customHeight="1" x14ac:dyDescent="0.25">
      <c r="D205" s="57"/>
      <c r="E205" s="57" t="str">
        <f>'Input - Swine'!$D$78</f>
        <v>Digester / covered lagoons</v>
      </c>
      <c r="F205" s="52">
        <f>'Input - Swine'!E78</f>
        <v>0.2</v>
      </c>
      <c r="G205" s="52">
        <f>'Input - Swine'!F78</f>
        <v>0.25</v>
      </c>
      <c r="H205" s="52">
        <f>'Input - Swine'!G78</f>
        <v>0.25</v>
      </c>
      <c r="I205" s="52">
        <f>'Input - Swine'!H78</f>
        <v>0.25</v>
      </c>
      <c r="J205" s="2"/>
    </row>
    <row r="206" spans="4:10" ht="20.100000000000001" customHeight="1" x14ac:dyDescent="0.25">
      <c r="D206" s="57"/>
      <c r="E206" s="57" t="str">
        <f>'Input - Swine'!$D$79</f>
        <v>Deep litter</v>
      </c>
      <c r="F206" s="52">
        <f>'Input - Swine'!E79</f>
        <v>0.2</v>
      </c>
      <c r="G206" s="52">
        <f>'Input - Swine'!F79</f>
        <v>0.25</v>
      </c>
      <c r="H206" s="52">
        <f>'Input - Swine'!G79</f>
        <v>0.25</v>
      </c>
      <c r="I206" s="52">
        <f>'Input - Swine'!H79</f>
        <v>0.25</v>
      </c>
      <c r="J206" s="2"/>
    </row>
    <row r="207" spans="4:10" ht="20.100000000000001" customHeight="1" x14ac:dyDescent="0.25">
      <c r="D207" s="57"/>
      <c r="E207" s="57" t="str">
        <f>'Input - Swine'!$D$80</f>
        <v>Direct application</v>
      </c>
      <c r="F207" s="52">
        <f>'Input - Swine'!E80</f>
        <v>0.39999999999999991</v>
      </c>
      <c r="G207" s="52">
        <f>'Input - Swine'!F80</f>
        <v>0.25</v>
      </c>
      <c r="H207" s="52">
        <f>'Input - Swine'!G80</f>
        <v>0.25</v>
      </c>
      <c r="I207" s="52">
        <f>'Input - Swine'!H80</f>
        <v>0.25</v>
      </c>
      <c r="J207" s="2"/>
    </row>
    <row r="208" spans="4:10" ht="20.100000000000001" customHeight="1" x14ac:dyDescent="0.25">
      <c r="D208" s="57" t="str">
        <f>'Input - Swine'!$D$34</f>
        <v>Solid storage</v>
      </c>
      <c r="E208" s="57" t="str">
        <f>'Input - Swine'!$D$84</f>
        <v>Anaerobic lagoon</v>
      </c>
      <c r="F208" s="52">
        <f>'Input - Swine'!E84</f>
        <v>0.2</v>
      </c>
      <c r="G208" s="52">
        <f>'Input - Swine'!F84</f>
        <v>0.2</v>
      </c>
      <c r="H208" s="52">
        <f>'Input - Swine'!G84</f>
        <v>0.2</v>
      </c>
      <c r="I208" s="52">
        <f>'Input - Swine'!H84</f>
        <v>0.2</v>
      </c>
      <c r="J208" s="2"/>
    </row>
    <row r="209" spans="4:20" ht="20.100000000000001" customHeight="1" x14ac:dyDescent="0.25">
      <c r="D209" s="57"/>
      <c r="E209" s="57" t="str">
        <f>'Input - Swine'!$D$85</f>
        <v>Digester / covered lagoons</v>
      </c>
      <c r="F209" s="52">
        <f>'Input - Swine'!E85</f>
        <v>0.2</v>
      </c>
      <c r="G209" s="52">
        <f>'Input - Swine'!F85</f>
        <v>0.2</v>
      </c>
      <c r="H209" s="52">
        <f>'Input - Swine'!G85</f>
        <v>0.2</v>
      </c>
      <c r="I209" s="52">
        <f>'Input - Swine'!H85</f>
        <v>0.2</v>
      </c>
      <c r="J209" s="2"/>
    </row>
    <row r="210" spans="4:20" ht="20.100000000000001" customHeight="1" x14ac:dyDescent="0.25">
      <c r="D210" s="57"/>
      <c r="E210" s="57" t="str">
        <f>'Input - Swine'!$D$86</f>
        <v>Deep litter</v>
      </c>
      <c r="F210" s="52">
        <f>'Input - Swine'!E86</f>
        <v>0.2</v>
      </c>
      <c r="G210" s="52">
        <f>'Input - Swine'!F86</f>
        <v>0.2</v>
      </c>
      <c r="H210" s="52">
        <f>'Input - Swine'!G86</f>
        <v>0.2</v>
      </c>
      <c r="I210" s="52">
        <f>'Input - Swine'!H86</f>
        <v>0.2</v>
      </c>
      <c r="J210" s="2"/>
    </row>
    <row r="211" spans="4:20" ht="20.100000000000001" customHeight="1" x14ac:dyDescent="0.25">
      <c r="D211" s="57"/>
      <c r="E211" s="57" t="str">
        <f>'Input - Swine'!$D$87</f>
        <v>Pit storage</v>
      </c>
      <c r="F211" s="52">
        <f>'Input - Swine'!E87</f>
        <v>0.1</v>
      </c>
      <c r="G211" s="52">
        <f>'Input - Swine'!F87</f>
        <v>0.1</v>
      </c>
      <c r="H211" s="52">
        <f>'Input - Swine'!G87</f>
        <v>0.1</v>
      </c>
      <c r="I211" s="52">
        <f>'Input - Swine'!H87</f>
        <v>0.1</v>
      </c>
      <c r="J211" s="2"/>
    </row>
    <row r="212" spans="4:20" ht="20.100000000000001" customHeight="1" x14ac:dyDescent="0.25">
      <c r="D212" s="57"/>
      <c r="E212" s="57" t="str">
        <f>'Input - Swine'!$D$88</f>
        <v>Direct application</v>
      </c>
      <c r="F212" s="52">
        <f>'Input - Swine'!E88</f>
        <v>0.29999999999999993</v>
      </c>
      <c r="G212" s="52">
        <f>'Input - Swine'!F88</f>
        <v>0.29999999999999993</v>
      </c>
      <c r="H212" s="52">
        <f>'Input - Swine'!G88</f>
        <v>0.29999999999999993</v>
      </c>
      <c r="I212" s="52">
        <f>'Input - Swine'!H88</f>
        <v>0.29999999999999993</v>
      </c>
      <c r="J212" s="2"/>
    </row>
    <row r="213" spans="4:20" ht="20.100000000000001" customHeight="1" x14ac:dyDescent="0.25"/>
    <row r="214" spans="4:20" ht="20.100000000000001" customHeight="1" x14ac:dyDescent="0.25">
      <c r="D214" s="121" t="s">
        <v>258</v>
      </c>
      <c r="N214" s="121" t="s">
        <v>258</v>
      </c>
    </row>
    <row r="215" spans="4:20" ht="20.100000000000001" customHeight="1" x14ac:dyDescent="0.25">
      <c r="D215" s="122" t="s">
        <v>259</v>
      </c>
      <c r="N215" s="122" t="s">
        <v>259</v>
      </c>
    </row>
    <row r="216" spans="4:20" ht="20.100000000000001" customHeight="1" x14ac:dyDescent="0.25">
      <c r="D216" s="51" t="s">
        <v>163</v>
      </c>
      <c r="E216" s="51" t="s">
        <v>171</v>
      </c>
      <c r="F216" s="51" t="s">
        <v>142</v>
      </c>
      <c r="G216" s="51" t="s">
        <v>143</v>
      </c>
      <c r="H216" s="51" t="s">
        <v>144</v>
      </c>
      <c r="I216" s="51" t="s">
        <v>206</v>
      </c>
      <c r="N216" s="51" t="s">
        <v>163</v>
      </c>
      <c r="O216" s="51" t="s">
        <v>171</v>
      </c>
      <c r="P216" s="51" t="s">
        <v>142</v>
      </c>
      <c r="Q216" s="51" t="s">
        <v>143</v>
      </c>
      <c r="R216" s="51" t="s">
        <v>144</v>
      </c>
      <c r="S216" s="51" t="s">
        <v>206</v>
      </c>
    </row>
    <row r="217" spans="4:20" ht="20.100000000000001" customHeight="1" x14ac:dyDescent="0.25">
      <c r="D217" s="57" t="str">
        <f>'Input - Swine'!$D$29</f>
        <v>Anaerobic lagoon</v>
      </c>
      <c r="E217" s="57" t="str">
        <f>'Input - Swine'!$D$48</f>
        <v>Digester / covered lagoons</v>
      </c>
      <c r="F217" s="52" cm="1">
        <f t="array" ref="F217">MMS_Swine_N2ODirect_Equations.VEERG_4_5_1_3__6_Stage2NitrogenInMMS(E$164,F187)</f>
        <v>18.133199999999995</v>
      </c>
      <c r="G217" s="52" cm="1">
        <f t="array" ref="G217">MMS_Swine_N2ODirect_Equations.VEERG_4_5_1_3__6_Stage2NitrogenInMMS(F$164,G187)</f>
        <v>24.144750000000002</v>
      </c>
      <c r="H217" s="52" cm="1">
        <f t="array" ref="H217">MMS_Swine_N2ODirect_Equations.VEERG_4_5_1_3__6_Stage2NitrogenInMMS(G$164,H187)</f>
        <v>22.666499999999992</v>
      </c>
      <c r="I217" s="52" cm="1">
        <f t="array" ref="I217">MMS_Swine_N2ODirect_Equations.VEERG_4_5_1_3__6_Stage2NitrogenInMMS(H$164,I187)</f>
        <v>15.373799999999996</v>
      </c>
      <c r="J217" s="2" t="str">
        <f>$E$179</f>
        <v>kg N</v>
      </c>
      <c r="N217" s="57" t="str">
        <f>'Input - Swine'!$D$29</f>
        <v>Anaerobic lagoon</v>
      </c>
      <c r="O217" s="57" t="str">
        <f>'Input - Swine'!$D$48</f>
        <v>Digester / covered lagoons</v>
      </c>
      <c r="P217" s="52" cm="1">
        <f t="array" ref="P217">MMS_Swine_N2ODirect_Equations.VEERG_4_5_1_3__6_Stage2NitrogenInMMS(O$164,F187)</f>
        <v>18.133199999999995</v>
      </c>
      <c r="Q217" s="52" cm="1">
        <f t="array" ref="Q217">MMS_Swine_N2ODirect_Equations.VEERG_4_5_1_3__6_Stage2NitrogenInMMS(P$164,G187)</f>
        <v>24.144750000000002</v>
      </c>
      <c r="R217" s="52" cm="1">
        <f t="array" ref="R217">MMS_Swine_N2ODirect_Equations.VEERG_4_5_1_3__6_Stage2NitrogenInMMS(Q$164,H187)</f>
        <v>22.666499999999992</v>
      </c>
      <c r="S217" s="52" cm="1">
        <f t="array" ref="S217">MMS_Swine_N2ODirect_Equations.VEERG_4_5_1_3__6_Stage2NitrogenInMMS(R$164,I187)</f>
        <v>15.373799999999996</v>
      </c>
      <c r="T217" s="2" t="str">
        <f>$E$179</f>
        <v>kg N</v>
      </c>
    </row>
    <row r="218" spans="4:20" ht="20.100000000000001" customHeight="1" x14ac:dyDescent="0.25">
      <c r="D218" s="57"/>
      <c r="E218" s="57" t="str">
        <f>'Input - Swine'!$D$49</f>
        <v>Deep litter</v>
      </c>
      <c r="F218" s="52" cm="1">
        <f t="array" ref="F218">MMS_Swine_N2ODirect_Equations.VEERG_4_5_1_3__6_Stage2NitrogenInMMS(E$164,F188)</f>
        <v>18.133199999999995</v>
      </c>
      <c r="G218" s="52" cm="1">
        <f t="array" ref="G218">MMS_Swine_N2ODirect_Equations.VEERG_4_5_1_3__6_Stage2NitrogenInMMS(F$164,G188)</f>
        <v>24.144750000000002</v>
      </c>
      <c r="H218" s="52" cm="1">
        <f t="array" ref="H218">MMS_Swine_N2ODirect_Equations.VEERG_4_5_1_3__6_Stage2NitrogenInMMS(G$164,H188)</f>
        <v>22.666499999999992</v>
      </c>
      <c r="I218" s="52" cm="1">
        <f t="array" ref="I218">MMS_Swine_N2ODirect_Equations.VEERG_4_5_1_3__6_Stage2NitrogenInMMS(H$164,I188)</f>
        <v>15.373799999999996</v>
      </c>
      <c r="J218" s="2"/>
      <c r="N218" s="57"/>
      <c r="O218" s="57" t="str">
        <f>'Input - Swine'!$D$49</f>
        <v>Deep litter</v>
      </c>
      <c r="P218" s="52" cm="1">
        <f t="array" ref="P218">MMS_Swine_N2ODirect_Equations.VEERG_4_5_1_3__6_Stage2NitrogenInMMS(O$164,F188)</f>
        <v>18.133199999999995</v>
      </c>
      <c r="Q218" s="52" cm="1">
        <f t="array" ref="Q218">MMS_Swine_N2ODirect_Equations.VEERG_4_5_1_3__6_Stage2NitrogenInMMS(P$164,G188)</f>
        <v>24.144750000000002</v>
      </c>
      <c r="R218" s="52" cm="1">
        <f t="array" ref="R218">MMS_Swine_N2ODirect_Equations.VEERG_4_5_1_3__6_Stage2NitrogenInMMS(Q$164,H188)</f>
        <v>22.666499999999992</v>
      </c>
      <c r="S218" s="52" cm="1">
        <f t="array" ref="S218">MMS_Swine_N2ODirect_Equations.VEERG_4_5_1_3__6_Stage2NitrogenInMMS(R$164,I188)</f>
        <v>15.373799999999996</v>
      </c>
      <c r="T218" s="2"/>
    </row>
    <row r="219" spans="4:20" ht="20.100000000000001" customHeight="1" x14ac:dyDescent="0.25">
      <c r="D219" s="57"/>
      <c r="E219" s="57" t="str">
        <f>'Input - Swine'!$D$50</f>
        <v>Pit storage</v>
      </c>
      <c r="F219" s="52" cm="1">
        <f t="array" ref="F219">MMS_Swine_N2ODirect_Equations.VEERG_4_5_1_3__6_Stage2NitrogenInMMS(E$164,F189)</f>
        <v>18.133199999999995</v>
      </c>
      <c r="G219" s="52" cm="1">
        <f t="array" ref="G219">MMS_Swine_N2ODirect_Equations.VEERG_4_5_1_3__6_Stage2NitrogenInMMS(F$164,G189)</f>
        <v>24.144750000000002</v>
      </c>
      <c r="H219" s="52" cm="1">
        <f t="array" ref="H219">MMS_Swine_N2ODirect_Equations.VEERG_4_5_1_3__6_Stage2NitrogenInMMS(G$164,H189)</f>
        <v>22.666499999999992</v>
      </c>
      <c r="I219" s="52" cm="1">
        <f t="array" ref="I219">MMS_Swine_N2ODirect_Equations.VEERG_4_5_1_3__6_Stage2NitrogenInMMS(H$164,I189)</f>
        <v>15.373799999999996</v>
      </c>
      <c r="J219" s="2"/>
      <c r="N219" s="57"/>
      <c r="O219" s="57" t="str">
        <f>'Input - Swine'!$D$50</f>
        <v>Pit storage</v>
      </c>
      <c r="P219" s="52" cm="1">
        <f t="array" ref="P219">MMS_Swine_N2ODirect_Equations.VEERG_4_5_1_3__6_Stage2NitrogenInMMS(O$164,F189)</f>
        <v>18.133199999999995</v>
      </c>
      <c r="Q219" s="52" cm="1">
        <f t="array" ref="Q219">MMS_Swine_N2ODirect_Equations.VEERG_4_5_1_3__6_Stage2NitrogenInMMS(P$164,G189)</f>
        <v>24.144750000000002</v>
      </c>
      <c r="R219" s="52" cm="1">
        <f t="array" ref="R219">MMS_Swine_N2ODirect_Equations.VEERG_4_5_1_3__6_Stage2NitrogenInMMS(Q$164,H189)</f>
        <v>22.666499999999992</v>
      </c>
      <c r="S219" s="52" cm="1">
        <f t="array" ref="S219">MMS_Swine_N2ODirect_Equations.VEERG_4_5_1_3__6_Stage2NitrogenInMMS(R$164,I189)</f>
        <v>15.373799999999996</v>
      </c>
      <c r="T219" s="2"/>
    </row>
    <row r="220" spans="4:20" ht="20.100000000000001" customHeight="1" x14ac:dyDescent="0.25">
      <c r="D220" s="57"/>
      <c r="E220" s="57" t="str">
        <f>'Input - Swine'!$D$51</f>
        <v>Direct application</v>
      </c>
      <c r="F220" s="52" cm="1">
        <f t="array" ref="F220">MMS_Swine_N2ODirect_Equations.VEERG_4_5_1_3__6_Stage2NitrogenInMMS(E$164,F190)</f>
        <v>36.266399999999976</v>
      </c>
      <c r="G220" s="52" cm="1">
        <f t="array" ref="G220">MMS_Swine_N2ODirect_Equations.VEERG_4_5_1_3__6_Stage2NitrogenInMMS(F$164,G190)</f>
        <v>24.144750000000002</v>
      </c>
      <c r="H220" s="52" cm="1">
        <f t="array" ref="H220">MMS_Swine_N2ODirect_Equations.VEERG_4_5_1_3__6_Stage2NitrogenInMMS(G$164,H190)</f>
        <v>22.666499999999992</v>
      </c>
      <c r="I220" s="52" cm="1">
        <f t="array" ref="I220">MMS_Swine_N2ODirect_Equations.VEERG_4_5_1_3__6_Stage2NitrogenInMMS(H$164,I190)</f>
        <v>15.373799999999996</v>
      </c>
      <c r="J220" s="2"/>
      <c r="N220" s="57"/>
      <c r="O220" s="57" t="str">
        <f>'Input - Swine'!$D$51</f>
        <v>Direct application</v>
      </c>
      <c r="P220" s="52" cm="1">
        <f t="array" ref="P220">MMS_Swine_N2ODirect_Equations.VEERG_4_5_1_3__6_Stage2NitrogenInMMS(O$164,F190)</f>
        <v>36.266399999999976</v>
      </c>
      <c r="Q220" s="52" cm="1">
        <f t="array" ref="Q220">MMS_Swine_N2ODirect_Equations.VEERG_4_5_1_3__6_Stage2NitrogenInMMS(P$164,G190)</f>
        <v>24.144750000000002</v>
      </c>
      <c r="R220" s="52" cm="1">
        <f t="array" ref="R220">MMS_Swine_N2ODirect_Equations.VEERG_4_5_1_3__6_Stage2NitrogenInMMS(Q$164,H190)</f>
        <v>22.666499999999992</v>
      </c>
      <c r="S220" s="52" cm="1">
        <f t="array" ref="S220">MMS_Swine_N2ODirect_Equations.VEERG_4_5_1_3__6_Stage2NitrogenInMMS(R$164,I190)</f>
        <v>15.373799999999996</v>
      </c>
      <c r="T220" s="2"/>
    </row>
    <row r="221" spans="4:20" ht="20.100000000000001" customHeight="1" x14ac:dyDescent="0.25">
      <c r="D221" s="57" t="str">
        <f>'Input - Swine'!$D$30</f>
        <v>Drylot (feed pad)</v>
      </c>
      <c r="E221" s="57" t="str">
        <f>'Input - Swine'!$D$55</f>
        <v>Anaerobic lagoon</v>
      </c>
      <c r="F221" s="52" cm="1">
        <f t="array" ref="F221">MMS_Swine_N2ODirect_Equations.VEERG_4_5_1_3__6_Stage2NitrogenInMMS(E$165,F191)</f>
        <v>27.401279999999993</v>
      </c>
      <c r="G221" s="52" cm="1">
        <f t="array" ref="G221">MMS_Swine_N2ODirect_Equations.VEERG_4_5_1_3__6_Stage2NitrogenInMMS(F$165,G191)</f>
        <v>36.485400000000006</v>
      </c>
      <c r="H221" s="52" cm="1">
        <f t="array" ref="H221">MMS_Swine_N2ODirect_Equations.VEERG_4_5_1_3__6_Stage2NitrogenInMMS(G$165,H191)</f>
        <v>34.251599999999989</v>
      </c>
      <c r="I221" s="52" cm="1">
        <f t="array" ref="I221">MMS_Swine_N2ODirect_Equations.VEERG_4_5_1_3__6_Stage2NitrogenInMMS(H$165,I191)</f>
        <v>23.231519999999993</v>
      </c>
      <c r="J221" s="2"/>
      <c r="N221" s="57" t="str">
        <f>'Input - Swine'!$D$30</f>
        <v>Drylot (feed pad)</v>
      </c>
      <c r="O221" s="57" t="str">
        <f>'Input - Swine'!$D$55</f>
        <v>Anaerobic lagoon</v>
      </c>
      <c r="P221" s="52" cm="1">
        <f t="array" ref="P221">MMS_Swine_N2ODirect_Equations.VEERG_4_5_1_3__6_Stage2NitrogenInMMS(O$165,F191)</f>
        <v>27.401279999999993</v>
      </c>
      <c r="Q221" s="52" cm="1">
        <f t="array" ref="Q221">MMS_Swine_N2ODirect_Equations.VEERG_4_5_1_3__6_Stage2NitrogenInMMS(P$165,G191)</f>
        <v>36.485400000000006</v>
      </c>
      <c r="R221" s="52" cm="1">
        <f t="array" ref="R221">MMS_Swine_N2ODirect_Equations.VEERG_4_5_1_3__6_Stage2NitrogenInMMS(Q$165,H191)</f>
        <v>34.251599999999989</v>
      </c>
      <c r="S221" s="52" cm="1">
        <f t="array" ref="S221">MMS_Swine_N2ODirect_Equations.VEERG_4_5_1_3__6_Stage2NitrogenInMMS(R$165,I191)</f>
        <v>23.231519999999993</v>
      </c>
      <c r="T221" s="2"/>
    </row>
    <row r="222" spans="4:20" ht="20.100000000000001" customHeight="1" x14ac:dyDescent="0.25">
      <c r="D222" s="57"/>
      <c r="E222" s="57" t="str">
        <f>'Input - Swine'!$D$56</f>
        <v>Digester / covered lagoons</v>
      </c>
      <c r="F222" s="52" cm="1">
        <f t="array" ref="F222">MMS_Swine_N2ODirect_Equations.VEERG_4_5_1_3__6_Stage2NitrogenInMMS(E$165,F192)</f>
        <v>27.401279999999993</v>
      </c>
      <c r="G222" s="52" cm="1">
        <f t="array" ref="G222">MMS_Swine_N2ODirect_Equations.VEERG_4_5_1_3__6_Stage2NitrogenInMMS(F$165,G192)</f>
        <v>36.485400000000006</v>
      </c>
      <c r="H222" s="52" cm="1">
        <f t="array" ref="H222">MMS_Swine_N2ODirect_Equations.VEERG_4_5_1_3__6_Stage2NitrogenInMMS(G$165,H192)</f>
        <v>34.251599999999989</v>
      </c>
      <c r="I222" s="52" cm="1">
        <f t="array" ref="I222">MMS_Swine_N2ODirect_Equations.VEERG_4_5_1_3__6_Stage2NitrogenInMMS(H$165,I192)</f>
        <v>23.231519999999993</v>
      </c>
      <c r="J222" s="2"/>
      <c r="N222" s="57"/>
      <c r="O222" s="57" t="str">
        <f>'Input - Swine'!$D$56</f>
        <v>Digester / covered lagoons</v>
      </c>
      <c r="P222" s="52" cm="1">
        <f t="array" ref="P222">MMS_Swine_N2ODirect_Equations.VEERG_4_5_1_3__6_Stage2NitrogenInMMS(O$165,F192)</f>
        <v>27.401279999999993</v>
      </c>
      <c r="Q222" s="52" cm="1">
        <f t="array" ref="Q222">MMS_Swine_N2ODirect_Equations.VEERG_4_5_1_3__6_Stage2NitrogenInMMS(P$165,G192)</f>
        <v>36.485400000000006</v>
      </c>
      <c r="R222" s="52" cm="1">
        <f t="array" ref="R222">MMS_Swine_N2ODirect_Equations.VEERG_4_5_1_3__6_Stage2NitrogenInMMS(Q$165,H192)</f>
        <v>34.251599999999989</v>
      </c>
      <c r="S222" s="52" cm="1">
        <f t="array" ref="S222">MMS_Swine_N2ODirect_Equations.VEERG_4_5_1_3__6_Stage2NitrogenInMMS(R$165,I192)</f>
        <v>23.231519999999993</v>
      </c>
      <c r="T222" s="2"/>
    </row>
    <row r="223" spans="4:20" ht="20.100000000000001" customHeight="1" x14ac:dyDescent="0.25">
      <c r="D223" s="57"/>
      <c r="E223" s="57" t="str">
        <f>'Input - Swine'!$D$57</f>
        <v>Deep litter</v>
      </c>
      <c r="F223" s="52" cm="1">
        <f t="array" ref="F223">MMS_Swine_N2ODirect_Equations.VEERG_4_5_1_3__6_Stage2NitrogenInMMS(E$165,F193)</f>
        <v>27.401279999999993</v>
      </c>
      <c r="G223" s="52" cm="1">
        <f t="array" ref="G223">MMS_Swine_N2ODirect_Equations.VEERG_4_5_1_3__6_Stage2NitrogenInMMS(F$165,G193)</f>
        <v>36.485400000000006</v>
      </c>
      <c r="H223" s="52" cm="1">
        <f t="array" ref="H223">MMS_Swine_N2ODirect_Equations.VEERG_4_5_1_3__6_Stage2NitrogenInMMS(G$165,H193)</f>
        <v>34.251599999999989</v>
      </c>
      <c r="I223" s="52" cm="1">
        <f t="array" ref="I223">MMS_Swine_N2ODirect_Equations.VEERG_4_5_1_3__6_Stage2NitrogenInMMS(H$165,I193)</f>
        <v>23.231519999999993</v>
      </c>
      <c r="J223" s="2"/>
      <c r="N223" s="57"/>
      <c r="O223" s="57" t="str">
        <f>'Input - Swine'!$D$57</f>
        <v>Deep litter</v>
      </c>
      <c r="P223" s="52" cm="1">
        <f t="array" ref="P223">MMS_Swine_N2ODirect_Equations.VEERG_4_5_1_3__6_Stage2NitrogenInMMS(O$165,F193)</f>
        <v>27.401279999999993</v>
      </c>
      <c r="Q223" s="52" cm="1">
        <f t="array" ref="Q223">MMS_Swine_N2ODirect_Equations.VEERG_4_5_1_3__6_Stage2NitrogenInMMS(P$165,G193)</f>
        <v>36.485400000000006</v>
      </c>
      <c r="R223" s="52" cm="1">
        <f t="array" ref="R223">MMS_Swine_N2ODirect_Equations.VEERG_4_5_1_3__6_Stage2NitrogenInMMS(Q$165,H193)</f>
        <v>34.251599999999989</v>
      </c>
      <c r="S223" s="52" cm="1">
        <f t="array" ref="S223">MMS_Swine_N2ODirect_Equations.VEERG_4_5_1_3__6_Stage2NitrogenInMMS(R$165,I193)</f>
        <v>23.231519999999993</v>
      </c>
      <c r="T223" s="2"/>
    </row>
    <row r="224" spans="4:20" ht="20.100000000000001" customHeight="1" x14ac:dyDescent="0.25">
      <c r="D224" s="57"/>
      <c r="E224" s="57" t="str">
        <f>'Input - Swine'!$D$58</f>
        <v>Pit storage</v>
      </c>
      <c r="F224" s="52" cm="1">
        <f t="array" ref="F224">MMS_Swine_N2ODirect_Equations.VEERG_4_5_1_3__6_Stage2NitrogenInMMS(E$165,F194)</f>
        <v>27.401279999999993</v>
      </c>
      <c r="G224" s="52" cm="1">
        <f t="array" ref="G224">MMS_Swine_N2ODirect_Equations.VEERG_4_5_1_3__6_Stage2NitrogenInMMS(F$165,G194)</f>
        <v>36.485400000000006</v>
      </c>
      <c r="H224" s="52" cm="1">
        <f t="array" ref="H224">MMS_Swine_N2ODirect_Equations.VEERG_4_5_1_3__6_Stage2NitrogenInMMS(G$165,H194)</f>
        <v>34.251599999999989</v>
      </c>
      <c r="I224" s="52" cm="1">
        <f t="array" ref="I224">MMS_Swine_N2ODirect_Equations.VEERG_4_5_1_3__6_Stage2NitrogenInMMS(H$165,I194)</f>
        <v>23.231519999999993</v>
      </c>
      <c r="J224" s="2"/>
      <c r="N224" s="57"/>
      <c r="O224" s="57" t="str">
        <f>'Input - Swine'!$D$58</f>
        <v>Pit storage</v>
      </c>
      <c r="P224" s="52" cm="1">
        <f t="array" ref="P224">MMS_Swine_N2ODirect_Equations.VEERG_4_5_1_3__6_Stage2NitrogenInMMS(O$165,F194)</f>
        <v>27.401279999999993</v>
      </c>
      <c r="Q224" s="52" cm="1">
        <f t="array" ref="Q224">MMS_Swine_N2ODirect_Equations.VEERG_4_5_1_3__6_Stage2NitrogenInMMS(P$165,G194)</f>
        <v>36.485400000000006</v>
      </c>
      <c r="R224" s="52" cm="1">
        <f t="array" ref="R224">MMS_Swine_N2ODirect_Equations.VEERG_4_5_1_3__6_Stage2NitrogenInMMS(Q$165,H194)</f>
        <v>34.251599999999989</v>
      </c>
      <c r="S224" s="52" cm="1">
        <f t="array" ref="S224">MMS_Swine_N2ODirect_Equations.VEERG_4_5_1_3__6_Stage2NitrogenInMMS(R$165,I194)</f>
        <v>23.231519999999993</v>
      </c>
      <c r="T224" s="2"/>
    </row>
    <row r="225" spans="4:20" ht="20.100000000000001" customHeight="1" x14ac:dyDescent="0.25">
      <c r="D225" s="57"/>
      <c r="E225" s="57" t="str">
        <f>'Input - Swine'!$D$59</f>
        <v>Direct application</v>
      </c>
      <c r="F225" s="52" cm="1">
        <f t="array" ref="F225">MMS_Swine_N2ODirect_Equations.VEERG_4_5_1_3__6_Stage2NitrogenInMMS(E$165,F195)</f>
        <v>27.401279999999986</v>
      </c>
      <c r="G225" s="52" cm="1">
        <f t="array" ref="G225">MMS_Swine_N2ODirect_Equations.VEERG_4_5_1_3__6_Stage2NitrogenInMMS(F$165,G195)</f>
        <v>0</v>
      </c>
      <c r="H225" s="52" cm="1">
        <f t="array" ref="H225">MMS_Swine_N2ODirect_Equations.VEERG_4_5_1_3__6_Stage2NitrogenInMMS(G$165,H195)</f>
        <v>0</v>
      </c>
      <c r="I225" s="52" cm="1">
        <f t="array" ref="I225">MMS_Swine_N2ODirect_Equations.VEERG_4_5_1_3__6_Stage2NitrogenInMMS(H$165,I195)</f>
        <v>0</v>
      </c>
      <c r="J225" s="2"/>
      <c r="N225" s="57"/>
      <c r="O225" s="57" t="str">
        <f>'Input - Swine'!$D$59</f>
        <v>Direct application</v>
      </c>
      <c r="P225" s="52" cm="1">
        <f t="array" ref="P225">MMS_Swine_N2ODirect_Equations.VEERG_4_5_1_3__6_Stage2NitrogenInMMS(O$165,F195)</f>
        <v>27.401279999999986</v>
      </c>
      <c r="Q225" s="52" cm="1">
        <f t="array" ref="Q225">MMS_Swine_N2ODirect_Equations.VEERG_4_5_1_3__6_Stage2NitrogenInMMS(P$165,G195)</f>
        <v>0</v>
      </c>
      <c r="R225" s="52" cm="1">
        <f t="array" ref="R225">MMS_Swine_N2ODirect_Equations.VEERG_4_5_1_3__6_Stage2NitrogenInMMS(Q$165,H195)</f>
        <v>0</v>
      </c>
      <c r="S225" s="52" cm="1">
        <f t="array" ref="S225">MMS_Swine_N2ODirect_Equations.VEERG_4_5_1_3__6_Stage2NitrogenInMMS(R$165,I195)</f>
        <v>0</v>
      </c>
      <c r="T225" s="2"/>
    </row>
    <row r="226" spans="4:20" ht="20.100000000000001" customHeight="1" x14ac:dyDescent="0.25">
      <c r="D226" s="57" t="str">
        <f>'Input - Swine'!$D$31</f>
        <v>Digester / covered lagoons</v>
      </c>
      <c r="E226" s="57" t="str">
        <f>'Input - Swine'!$D$63</f>
        <v>Anaerobic lagoon</v>
      </c>
      <c r="F226" s="52" cm="1">
        <f t="array" ref="F226">MMS_Swine_N2ODirect_Equations.VEERG_4_5_1_3__6_Stage2NitrogenInMMS(E$166,F196)</f>
        <v>40.295999999999992</v>
      </c>
      <c r="G226" s="52" cm="1">
        <f t="array" ref="G226">MMS_Swine_N2ODirect_Equations.VEERG_4_5_1_3__6_Stage2NitrogenInMMS(F$166,G196)</f>
        <v>53.655000000000008</v>
      </c>
      <c r="H226" s="52" cm="1">
        <f t="array" ref="H226">MMS_Swine_N2ODirect_Equations.VEERG_4_5_1_3__6_Stage2NitrogenInMMS(G$166,H196)</f>
        <v>50.36999999999999</v>
      </c>
      <c r="I226" s="52" cm="1">
        <f t="array" ref="I226">MMS_Swine_N2ODirect_Equations.VEERG_4_5_1_3__6_Stage2NitrogenInMMS(H$166,I196)</f>
        <v>34.163999999999994</v>
      </c>
      <c r="J226" s="2"/>
      <c r="N226" s="57" t="str">
        <f>'Input - Swine'!$D$31</f>
        <v>Digester / covered lagoons</v>
      </c>
      <c r="O226" s="57" t="str">
        <f>'Input - Swine'!$D$63</f>
        <v>Anaerobic lagoon</v>
      </c>
      <c r="P226" s="52" cm="1">
        <f t="array" ref="P226">MMS_Swine_N2ODirect_Equations.VEERG_4_5_1_3__6_Stage2NitrogenInMMS(O$166,F196)</f>
        <v>40.295999999999992</v>
      </c>
      <c r="Q226" s="52" cm="1">
        <f t="array" ref="Q226">MMS_Swine_N2ODirect_Equations.VEERG_4_5_1_3__6_Stage2NitrogenInMMS(P$166,G196)</f>
        <v>53.655000000000008</v>
      </c>
      <c r="R226" s="52" cm="1">
        <f t="array" ref="R226">MMS_Swine_N2ODirect_Equations.VEERG_4_5_1_3__6_Stage2NitrogenInMMS(Q$166,H196)</f>
        <v>50.36999999999999</v>
      </c>
      <c r="S226" s="52" cm="1">
        <f t="array" ref="S226">MMS_Swine_N2ODirect_Equations.VEERG_4_5_1_3__6_Stage2NitrogenInMMS(R$166,I196)</f>
        <v>34.163999999999994</v>
      </c>
      <c r="T226" s="2"/>
    </row>
    <row r="227" spans="4:20" ht="20.100000000000001" customHeight="1" x14ac:dyDescent="0.25">
      <c r="D227" s="57"/>
      <c r="E227" s="57" t="str">
        <f>'Input - Swine'!$D$64</f>
        <v>Deep litter</v>
      </c>
      <c r="F227" s="52" cm="1">
        <f t="array" ref="F227">MMS_Swine_N2ODirect_Equations.VEERG_4_5_1_3__6_Stage2NitrogenInMMS(E$166,F197)</f>
        <v>40.295999999999992</v>
      </c>
      <c r="G227" s="52" cm="1">
        <f t="array" ref="G227">MMS_Swine_N2ODirect_Equations.VEERG_4_5_1_3__6_Stage2NitrogenInMMS(F$166,G197)</f>
        <v>53.655000000000008</v>
      </c>
      <c r="H227" s="52" cm="1">
        <f t="array" ref="H227">MMS_Swine_N2ODirect_Equations.VEERG_4_5_1_3__6_Stage2NitrogenInMMS(G$166,H197)</f>
        <v>50.36999999999999</v>
      </c>
      <c r="I227" s="52" cm="1">
        <f t="array" ref="I227">MMS_Swine_N2ODirect_Equations.VEERG_4_5_1_3__6_Stage2NitrogenInMMS(H$166,I197)</f>
        <v>34.163999999999994</v>
      </c>
      <c r="J227" s="2"/>
      <c r="N227" s="57"/>
      <c r="O227" s="57" t="str">
        <f>'Input - Swine'!$D$64</f>
        <v>Deep litter</v>
      </c>
      <c r="P227" s="52" cm="1">
        <f t="array" ref="P227">MMS_Swine_N2ODirect_Equations.VEERG_4_5_1_3__6_Stage2NitrogenInMMS(O$166,F197)</f>
        <v>40.295999999999992</v>
      </c>
      <c r="Q227" s="52" cm="1">
        <f t="array" ref="Q227">MMS_Swine_N2ODirect_Equations.VEERG_4_5_1_3__6_Stage2NitrogenInMMS(P$166,G197)</f>
        <v>53.655000000000008</v>
      </c>
      <c r="R227" s="52" cm="1">
        <f t="array" ref="R227">MMS_Swine_N2ODirect_Equations.VEERG_4_5_1_3__6_Stage2NitrogenInMMS(Q$166,H197)</f>
        <v>50.36999999999999</v>
      </c>
      <c r="S227" s="52" cm="1">
        <f t="array" ref="S227">MMS_Swine_N2ODirect_Equations.VEERG_4_5_1_3__6_Stage2NitrogenInMMS(R$166,I197)</f>
        <v>34.163999999999994</v>
      </c>
      <c r="T227" s="2"/>
    </row>
    <row r="228" spans="4:20" ht="20.100000000000001" customHeight="1" x14ac:dyDescent="0.25">
      <c r="D228" s="57"/>
      <c r="E228" s="57" t="str">
        <f>'Input - Swine'!$D$65</f>
        <v>Pit storage</v>
      </c>
      <c r="F228" s="52" cm="1">
        <f t="array" ref="F228">MMS_Swine_N2ODirect_Equations.VEERG_4_5_1_3__6_Stage2NitrogenInMMS(E$166,F198)</f>
        <v>40.295999999999992</v>
      </c>
      <c r="G228" s="52" cm="1">
        <f t="array" ref="G228">MMS_Swine_N2ODirect_Equations.VEERG_4_5_1_3__6_Stage2NitrogenInMMS(F$166,G198)</f>
        <v>53.655000000000008</v>
      </c>
      <c r="H228" s="52" cm="1">
        <f t="array" ref="H228">MMS_Swine_N2ODirect_Equations.VEERG_4_5_1_3__6_Stage2NitrogenInMMS(G$166,H198)</f>
        <v>50.36999999999999</v>
      </c>
      <c r="I228" s="52" cm="1">
        <f t="array" ref="I228">MMS_Swine_N2ODirect_Equations.VEERG_4_5_1_3__6_Stage2NitrogenInMMS(H$166,I198)</f>
        <v>34.163999999999994</v>
      </c>
      <c r="J228" s="2"/>
      <c r="N228" s="57"/>
      <c r="O228" s="57" t="str">
        <f>'Input - Swine'!$D$65</f>
        <v>Pit storage</v>
      </c>
      <c r="P228" s="52" cm="1">
        <f t="array" ref="P228">MMS_Swine_N2ODirect_Equations.VEERG_4_5_1_3__6_Stage2NitrogenInMMS(O$166,F198)</f>
        <v>40.295999999999992</v>
      </c>
      <c r="Q228" s="52" cm="1">
        <f t="array" ref="Q228">MMS_Swine_N2ODirect_Equations.VEERG_4_5_1_3__6_Stage2NitrogenInMMS(P$166,G198)</f>
        <v>53.655000000000008</v>
      </c>
      <c r="R228" s="52" cm="1">
        <f t="array" ref="R228">MMS_Swine_N2ODirect_Equations.VEERG_4_5_1_3__6_Stage2NitrogenInMMS(Q$166,H198)</f>
        <v>50.36999999999999</v>
      </c>
      <c r="S228" s="52" cm="1">
        <f t="array" ref="S228">MMS_Swine_N2ODirect_Equations.VEERG_4_5_1_3__6_Stage2NitrogenInMMS(R$166,I198)</f>
        <v>34.163999999999994</v>
      </c>
      <c r="T228" s="2"/>
    </row>
    <row r="229" spans="4:20" ht="20.100000000000001" customHeight="1" x14ac:dyDescent="0.25">
      <c r="D229" s="57"/>
      <c r="E229" s="57" t="str">
        <f>'Input - Swine'!$D$66</f>
        <v>Direct application</v>
      </c>
      <c r="F229" s="52" cm="1">
        <f t="array" ref="F229">MMS_Swine_N2ODirect_Equations.VEERG_4_5_1_3__6_Stage2NitrogenInMMS(E$166,F199)</f>
        <v>80.59199999999997</v>
      </c>
      <c r="G229" s="52" cm="1">
        <f t="array" ref="G229">MMS_Swine_N2ODirect_Equations.VEERG_4_5_1_3__6_Stage2NitrogenInMMS(F$166,G199)</f>
        <v>53.655000000000008</v>
      </c>
      <c r="H229" s="52" cm="1">
        <f t="array" ref="H229">MMS_Swine_N2ODirect_Equations.VEERG_4_5_1_3__6_Stage2NitrogenInMMS(G$166,H199)</f>
        <v>50.36999999999999</v>
      </c>
      <c r="I229" s="52" cm="1">
        <f t="array" ref="I229">MMS_Swine_N2ODirect_Equations.VEERG_4_5_1_3__6_Stage2NitrogenInMMS(H$166,I199)</f>
        <v>34.163999999999994</v>
      </c>
      <c r="J229" s="2"/>
      <c r="N229" s="57"/>
      <c r="O229" s="57" t="str">
        <f>'Input - Swine'!$D$66</f>
        <v>Direct application</v>
      </c>
      <c r="P229" s="52" cm="1">
        <f t="array" ref="P229">MMS_Swine_N2ODirect_Equations.VEERG_4_5_1_3__6_Stage2NitrogenInMMS(O$166,F199)</f>
        <v>80.59199999999997</v>
      </c>
      <c r="Q229" s="52" cm="1">
        <f t="array" ref="Q229">MMS_Swine_N2ODirect_Equations.VEERG_4_5_1_3__6_Stage2NitrogenInMMS(P$166,G199)</f>
        <v>53.655000000000008</v>
      </c>
      <c r="R229" s="52" cm="1">
        <f t="array" ref="R229">MMS_Swine_N2ODirect_Equations.VEERG_4_5_1_3__6_Stage2NitrogenInMMS(Q$166,H199)</f>
        <v>50.36999999999999</v>
      </c>
      <c r="S229" s="52" cm="1">
        <f t="array" ref="S229">MMS_Swine_N2ODirect_Equations.VEERG_4_5_1_3__6_Stage2NitrogenInMMS(R$166,I199)</f>
        <v>34.163999999999994</v>
      </c>
      <c r="T229" s="2"/>
    </row>
    <row r="230" spans="4:20" ht="20.100000000000001" customHeight="1" x14ac:dyDescent="0.25">
      <c r="D230" s="57" t="str">
        <f>'Input - Swine'!$D$32</f>
        <v>Deep litter</v>
      </c>
      <c r="E230" s="57" t="str">
        <f>'Input - Swine'!$D$70</f>
        <v>Anaerobic lagoon</v>
      </c>
      <c r="F230" s="52" cm="1">
        <f t="array" ref="F230">MMS_Swine_N2ODirect_Equations.VEERG_4_5_1_3__6_Stage2NitrogenInMMS(E$167,F200)</f>
        <v>34.856039999999993</v>
      </c>
      <c r="G230" s="52" cm="1">
        <f t="array" ref="G230">MMS_Swine_N2ODirect_Equations.VEERG_4_5_1_3__6_Stage2NitrogenInMMS(F$167,G200)</f>
        <v>46.411575000000006</v>
      </c>
      <c r="H230" s="52" cm="1">
        <f t="array" ref="H230">MMS_Swine_N2ODirect_Equations.VEERG_4_5_1_3__6_Stage2NitrogenInMMS(G$167,H200)</f>
        <v>43.570049999999988</v>
      </c>
      <c r="I230" s="52" cm="1">
        <f t="array" ref="I230">MMS_Swine_N2ODirect_Equations.VEERG_4_5_1_3__6_Stage2NitrogenInMMS(H$167,I200)</f>
        <v>29.551859999999994</v>
      </c>
      <c r="J230" s="2"/>
      <c r="N230" s="57" t="str">
        <f>'Input - Swine'!$D$32</f>
        <v>Deep litter</v>
      </c>
      <c r="O230" s="57" t="str">
        <f>'Input - Swine'!$D$70</f>
        <v>Anaerobic lagoon</v>
      </c>
      <c r="P230" s="52" cm="1">
        <f t="array" ref="P230">MMS_Swine_N2ODirect_Equations.VEERG_4_5_1_3__6_Stage2NitrogenInMMS(O$167,F200)</f>
        <v>34.856039999999993</v>
      </c>
      <c r="Q230" s="52" cm="1">
        <f t="array" ref="Q230">MMS_Swine_N2ODirect_Equations.VEERG_4_5_1_3__6_Stage2NitrogenInMMS(P$167,G200)</f>
        <v>46.411575000000006</v>
      </c>
      <c r="R230" s="52" cm="1">
        <f t="array" ref="R230">MMS_Swine_N2ODirect_Equations.VEERG_4_5_1_3__6_Stage2NitrogenInMMS(Q$167,H200)</f>
        <v>43.570049999999988</v>
      </c>
      <c r="S230" s="52" cm="1">
        <f t="array" ref="S230">MMS_Swine_N2ODirect_Equations.VEERG_4_5_1_3__6_Stage2NitrogenInMMS(R$167,I200)</f>
        <v>29.551859999999994</v>
      </c>
      <c r="T230" s="2"/>
    </row>
    <row r="231" spans="4:20" ht="20.100000000000001" customHeight="1" x14ac:dyDescent="0.25">
      <c r="D231" s="57"/>
      <c r="E231" s="57" t="str">
        <f>'Input - Swine'!$D$71</f>
        <v>Digester / covered lagoons</v>
      </c>
      <c r="F231" s="52" cm="1">
        <f t="array" ref="F231">MMS_Swine_N2ODirect_Equations.VEERG_4_5_1_3__6_Stage2NitrogenInMMS(E$167,F201)</f>
        <v>34.856039999999993</v>
      </c>
      <c r="G231" s="52" cm="1">
        <f t="array" ref="G231">MMS_Swine_N2ODirect_Equations.VEERG_4_5_1_3__6_Stage2NitrogenInMMS(F$167,G201)</f>
        <v>46.411575000000006</v>
      </c>
      <c r="H231" s="52" cm="1">
        <f t="array" ref="H231">MMS_Swine_N2ODirect_Equations.VEERG_4_5_1_3__6_Stage2NitrogenInMMS(G$167,H201)</f>
        <v>43.570049999999988</v>
      </c>
      <c r="I231" s="52" cm="1">
        <f t="array" ref="I231">MMS_Swine_N2ODirect_Equations.VEERG_4_5_1_3__6_Stage2NitrogenInMMS(H$167,I201)</f>
        <v>29.551859999999994</v>
      </c>
      <c r="J231" s="2"/>
      <c r="N231" s="57"/>
      <c r="O231" s="57" t="str">
        <f>'Input - Swine'!$D$71</f>
        <v>Digester / covered lagoons</v>
      </c>
      <c r="P231" s="52" cm="1">
        <f t="array" ref="P231">MMS_Swine_N2ODirect_Equations.VEERG_4_5_1_3__6_Stage2NitrogenInMMS(O$167,F201)</f>
        <v>34.856039999999993</v>
      </c>
      <c r="Q231" s="52" cm="1">
        <f t="array" ref="Q231">MMS_Swine_N2ODirect_Equations.VEERG_4_5_1_3__6_Stage2NitrogenInMMS(P$167,G201)</f>
        <v>46.411575000000006</v>
      </c>
      <c r="R231" s="52" cm="1">
        <f t="array" ref="R231">MMS_Swine_N2ODirect_Equations.VEERG_4_5_1_3__6_Stage2NitrogenInMMS(Q$167,H201)</f>
        <v>43.570049999999988</v>
      </c>
      <c r="S231" s="52" cm="1">
        <f t="array" ref="S231">MMS_Swine_N2ODirect_Equations.VEERG_4_5_1_3__6_Stage2NitrogenInMMS(R$167,I201)</f>
        <v>29.551859999999994</v>
      </c>
      <c r="T231" s="2"/>
    </row>
    <row r="232" spans="4:20" ht="20.100000000000001" customHeight="1" x14ac:dyDescent="0.25">
      <c r="D232" s="57"/>
      <c r="E232" s="57" t="str">
        <f>'Input - Swine'!$D$72</f>
        <v>Pit storage</v>
      </c>
      <c r="F232" s="52" cm="1">
        <f t="array" ref="F232">MMS_Swine_N2ODirect_Equations.VEERG_4_5_1_3__6_Stage2NitrogenInMMS(E$167,F202)</f>
        <v>34.856039999999993</v>
      </c>
      <c r="G232" s="52" cm="1">
        <f t="array" ref="G232">MMS_Swine_N2ODirect_Equations.VEERG_4_5_1_3__6_Stage2NitrogenInMMS(F$167,G202)</f>
        <v>46.411575000000006</v>
      </c>
      <c r="H232" s="52" cm="1">
        <f t="array" ref="H232">MMS_Swine_N2ODirect_Equations.VEERG_4_5_1_3__6_Stage2NitrogenInMMS(G$167,H202)</f>
        <v>43.570049999999988</v>
      </c>
      <c r="I232" s="52" cm="1">
        <f t="array" ref="I232">MMS_Swine_N2ODirect_Equations.VEERG_4_5_1_3__6_Stage2NitrogenInMMS(H$167,I202)</f>
        <v>29.551859999999994</v>
      </c>
      <c r="J232" s="2"/>
      <c r="N232" s="57"/>
      <c r="O232" s="57" t="str">
        <f>'Input - Swine'!$D$72</f>
        <v>Pit storage</v>
      </c>
      <c r="P232" s="52" cm="1">
        <f t="array" ref="P232">MMS_Swine_N2ODirect_Equations.VEERG_4_5_1_3__6_Stage2NitrogenInMMS(O$167,F202)</f>
        <v>34.856039999999993</v>
      </c>
      <c r="Q232" s="52" cm="1">
        <f t="array" ref="Q232">MMS_Swine_N2ODirect_Equations.VEERG_4_5_1_3__6_Stage2NitrogenInMMS(P$167,G202)</f>
        <v>46.411575000000006</v>
      </c>
      <c r="R232" s="52" cm="1">
        <f t="array" ref="R232">MMS_Swine_N2ODirect_Equations.VEERG_4_5_1_3__6_Stage2NitrogenInMMS(Q$167,H202)</f>
        <v>43.570049999999988</v>
      </c>
      <c r="S232" s="52" cm="1">
        <f t="array" ref="S232">MMS_Swine_N2ODirect_Equations.VEERG_4_5_1_3__6_Stage2NitrogenInMMS(R$167,I202)</f>
        <v>29.551859999999994</v>
      </c>
      <c r="T232" s="2"/>
    </row>
    <row r="233" spans="4:20" ht="20.100000000000001" customHeight="1" x14ac:dyDescent="0.25">
      <c r="D233" s="57"/>
      <c r="E233" s="57" t="str">
        <f>'Input - Swine'!$D$73</f>
        <v>Direct application</v>
      </c>
      <c r="F233" s="52" cm="1">
        <f t="array" ref="F233">MMS_Swine_N2ODirect_Equations.VEERG_4_5_1_3__6_Stage2NitrogenInMMS(E$167,F203)</f>
        <v>69.712079999999972</v>
      </c>
      <c r="G233" s="52" cm="1">
        <f t="array" ref="G233">MMS_Swine_N2ODirect_Equations.VEERG_4_5_1_3__6_Stage2NitrogenInMMS(F$167,G203)</f>
        <v>46.411575000000006</v>
      </c>
      <c r="H233" s="52" cm="1">
        <f t="array" ref="H233">MMS_Swine_N2ODirect_Equations.VEERG_4_5_1_3__6_Stage2NitrogenInMMS(G$167,H203)</f>
        <v>43.570049999999988</v>
      </c>
      <c r="I233" s="52" cm="1">
        <f t="array" ref="I233">MMS_Swine_N2ODirect_Equations.VEERG_4_5_1_3__6_Stage2NitrogenInMMS(H$167,I203)</f>
        <v>29.551859999999994</v>
      </c>
      <c r="J233" s="2"/>
      <c r="N233" s="57"/>
      <c r="O233" s="57" t="str">
        <f>'Input - Swine'!$D$73</f>
        <v>Direct application</v>
      </c>
      <c r="P233" s="52" cm="1">
        <f t="array" ref="P233">MMS_Swine_N2ODirect_Equations.VEERG_4_5_1_3__6_Stage2NitrogenInMMS(O$167,F203)</f>
        <v>69.712079999999972</v>
      </c>
      <c r="Q233" s="52" cm="1">
        <f t="array" ref="Q233">MMS_Swine_N2ODirect_Equations.VEERG_4_5_1_3__6_Stage2NitrogenInMMS(P$167,G203)</f>
        <v>46.411575000000006</v>
      </c>
      <c r="R233" s="52" cm="1">
        <f t="array" ref="R233">MMS_Swine_N2ODirect_Equations.VEERG_4_5_1_3__6_Stage2NitrogenInMMS(Q$167,H203)</f>
        <v>43.570049999999988</v>
      </c>
      <c r="S233" s="52" cm="1">
        <f t="array" ref="S233">MMS_Swine_N2ODirect_Equations.VEERG_4_5_1_3__6_Stage2NitrogenInMMS(R$167,I203)</f>
        <v>29.551859999999994</v>
      </c>
      <c r="T233" s="2"/>
    </row>
    <row r="234" spans="4:20" ht="20.100000000000001" customHeight="1" x14ac:dyDescent="0.25">
      <c r="D234" s="57" t="str">
        <f>'Input - Swine'!$D$33</f>
        <v>Pit storage</v>
      </c>
      <c r="E234" s="57" t="str">
        <f>'Input - Swine'!$D$77</f>
        <v>Anaerobic lagoon</v>
      </c>
      <c r="F234" s="52" cm="1">
        <f t="array" ref="F234">MMS_Swine_N2ODirect_Equations.VEERG_4_5_1_3__6_Stage2NitrogenInMMS(E$168,F204)</f>
        <v>30.141407999999998</v>
      </c>
      <c r="G234" s="52" cm="1">
        <f t="array" ref="G234">MMS_Swine_N2ODirect_Equations.VEERG_4_5_1_3__6_Stage2NitrogenInMMS(F$168,G204)</f>
        <v>40.133940000000003</v>
      </c>
      <c r="H234" s="52" cm="1">
        <f t="array" ref="H234">MMS_Swine_N2ODirect_Equations.VEERG_4_5_1_3__6_Stage2NitrogenInMMS(G$168,H204)</f>
        <v>37.676759999999994</v>
      </c>
      <c r="I234" s="52" cm="1">
        <f t="array" ref="I234">MMS_Swine_N2ODirect_Equations.VEERG_4_5_1_3__6_Stage2NitrogenInMMS(H$168,I204)</f>
        <v>25.554671999999997</v>
      </c>
      <c r="J234" s="2"/>
      <c r="N234" s="57" t="str">
        <f>'Input - Swine'!$D$33</f>
        <v>Pit storage</v>
      </c>
      <c r="O234" s="57" t="str">
        <f>'Input - Swine'!$D$77</f>
        <v>Anaerobic lagoon</v>
      </c>
      <c r="P234" s="52" cm="1">
        <f t="array" ref="P234">MMS_Swine_N2ODirect_Equations.VEERG_4_5_1_3__6_Stage2NitrogenInMMS(O$168,F204)</f>
        <v>30.141407999999998</v>
      </c>
      <c r="Q234" s="52" cm="1">
        <f t="array" ref="Q234">MMS_Swine_N2ODirect_Equations.VEERG_4_5_1_3__6_Stage2NitrogenInMMS(P$168,G204)</f>
        <v>40.133940000000003</v>
      </c>
      <c r="R234" s="52" cm="1">
        <f t="array" ref="R234">MMS_Swine_N2ODirect_Equations.VEERG_4_5_1_3__6_Stage2NitrogenInMMS(Q$168,H204)</f>
        <v>37.676759999999994</v>
      </c>
      <c r="S234" s="52" cm="1">
        <f t="array" ref="S234">MMS_Swine_N2ODirect_Equations.VEERG_4_5_1_3__6_Stage2NitrogenInMMS(R$168,I204)</f>
        <v>25.554671999999997</v>
      </c>
      <c r="T234" s="2"/>
    </row>
    <row r="235" spans="4:20" ht="20.100000000000001" customHeight="1" x14ac:dyDescent="0.25">
      <c r="D235" s="57"/>
      <c r="E235" s="57" t="str">
        <f>'Input - Swine'!$D$78</f>
        <v>Digester / covered lagoons</v>
      </c>
      <c r="F235" s="52" cm="1">
        <f t="array" ref="F235">MMS_Swine_N2ODirect_Equations.VEERG_4_5_1_3__6_Stage2NitrogenInMMS(E$168,F205)</f>
        <v>30.141407999999998</v>
      </c>
      <c r="G235" s="52" cm="1">
        <f t="array" ref="G235">MMS_Swine_N2ODirect_Equations.VEERG_4_5_1_3__6_Stage2NitrogenInMMS(F$168,G205)</f>
        <v>40.133940000000003</v>
      </c>
      <c r="H235" s="52" cm="1">
        <f t="array" ref="H235">MMS_Swine_N2ODirect_Equations.VEERG_4_5_1_3__6_Stage2NitrogenInMMS(G$168,H205)</f>
        <v>37.676759999999994</v>
      </c>
      <c r="I235" s="52" cm="1">
        <f t="array" ref="I235">MMS_Swine_N2ODirect_Equations.VEERG_4_5_1_3__6_Stage2NitrogenInMMS(H$168,I205)</f>
        <v>25.554671999999997</v>
      </c>
      <c r="J235" s="2"/>
      <c r="N235" s="57"/>
      <c r="O235" s="57" t="str">
        <f>'Input - Swine'!$D$78</f>
        <v>Digester / covered lagoons</v>
      </c>
      <c r="P235" s="52" cm="1">
        <f t="array" ref="P235">MMS_Swine_N2ODirect_Equations.VEERG_4_5_1_3__6_Stage2NitrogenInMMS(O$168,F205)</f>
        <v>30.141407999999998</v>
      </c>
      <c r="Q235" s="52" cm="1">
        <f t="array" ref="Q235">MMS_Swine_N2ODirect_Equations.VEERG_4_5_1_3__6_Stage2NitrogenInMMS(P$168,G205)</f>
        <v>40.133940000000003</v>
      </c>
      <c r="R235" s="52" cm="1">
        <f t="array" ref="R235">MMS_Swine_N2ODirect_Equations.VEERG_4_5_1_3__6_Stage2NitrogenInMMS(Q$168,H205)</f>
        <v>37.676759999999994</v>
      </c>
      <c r="S235" s="52" cm="1">
        <f t="array" ref="S235">MMS_Swine_N2ODirect_Equations.VEERG_4_5_1_3__6_Stage2NitrogenInMMS(R$168,I205)</f>
        <v>25.554671999999997</v>
      </c>
      <c r="T235" s="2"/>
    </row>
    <row r="236" spans="4:20" ht="20.100000000000001" customHeight="1" x14ac:dyDescent="0.25">
      <c r="D236" s="57"/>
      <c r="E236" s="57" t="str">
        <f>'Input - Swine'!$D$79</f>
        <v>Deep litter</v>
      </c>
      <c r="F236" s="52" cm="1">
        <f t="array" ref="F236">MMS_Swine_N2ODirect_Equations.VEERG_4_5_1_3__6_Stage2NitrogenInMMS(E$168,F206)</f>
        <v>30.141407999999998</v>
      </c>
      <c r="G236" s="52" cm="1">
        <f t="array" ref="G236">MMS_Swine_N2ODirect_Equations.VEERG_4_5_1_3__6_Stage2NitrogenInMMS(F$168,G206)</f>
        <v>40.133940000000003</v>
      </c>
      <c r="H236" s="52" cm="1">
        <f t="array" ref="H236">MMS_Swine_N2ODirect_Equations.VEERG_4_5_1_3__6_Stage2NitrogenInMMS(G$168,H206)</f>
        <v>37.676759999999994</v>
      </c>
      <c r="I236" s="52" cm="1">
        <f t="array" ref="I236">MMS_Swine_N2ODirect_Equations.VEERG_4_5_1_3__6_Stage2NitrogenInMMS(H$168,I206)</f>
        <v>25.554671999999997</v>
      </c>
      <c r="J236" s="2"/>
      <c r="N236" s="57"/>
      <c r="O236" s="57" t="str">
        <f>'Input - Swine'!$D$79</f>
        <v>Deep litter</v>
      </c>
      <c r="P236" s="52" cm="1">
        <f t="array" ref="P236">MMS_Swine_N2ODirect_Equations.VEERG_4_5_1_3__6_Stage2NitrogenInMMS(O$168,F206)</f>
        <v>30.141407999999998</v>
      </c>
      <c r="Q236" s="52" cm="1">
        <f t="array" ref="Q236">MMS_Swine_N2ODirect_Equations.VEERG_4_5_1_3__6_Stage2NitrogenInMMS(P$168,G206)</f>
        <v>40.133940000000003</v>
      </c>
      <c r="R236" s="52" cm="1">
        <f t="array" ref="R236">MMS_Swine_N2ODirect_Equations.VEERG_4_5_1_3__6_Stage2NitrogenInMMS(Q$168,H206)</f>
        <v>37.676759999999994</v>
      </c>
      <c r="S236" s="52" cm="1">
        <f t="array" ref="S236">MMS_Swine_N2ODirect_Equations.VEERG_4_5_1_3__6_Stage2NitrogenInMMS(R$168,I206)</f>
        <v>25.554671999999997</v>
      </c>
      <c r="T236" s="2"/>
    </row>
    <row r="237" spans="4:20" ht="20.100000000000001" customHeight="1" x14ac:dyDescent="0.25">
      <c r="D237" s="57"/>
      <c r="E237" s="57" t="str">
        <f>'Input - Swine'!$D$80</f>
        <v>Direct application</v>
      </c>
      <c r="F237" s="52" cm="1">
        <f t="array" ref="F237">MMS_Swine_N2ODirect_Equations.VEERG_4_5_1_3__6_Stage2NitrogenInMMS(E$168,F207)</f>
        <v>60.282815999999976</v>
      </c>
      <c r="G237" s="52" cm="1">
        <f t="array" ref="G237">MMS_Swine_N2ODirect_Equations.VEERG_4_5_1_3__6_Stage2NitrogenInMMS(F$168,G207)</f>
        <v>40.133940000000003</v>
      </c>
      <c r="H237" s="52" cm="1">
        <f t="array" ref="H237">MMS_Swine_N2ODirect_Equations.VEERG_4_5_1_3__6_Stage2NitrogenInMMS(G$168,H207)</f>
        <v>37.676759999999994</v>
      </c>
      <c r="I237" s="52" cm="1">
        <f t="array" ref="I237">MMS_Swine_N2ODirect_Equations.VEERG_4_5_1_3__6_Stage2NitrogenInMMS(H$168,I207)</f>
        <v>25.554671999999997</v>
      </c>
      <c r="J237" s="2"/>
      <c r="N237" s="57"/>
      <c r="O237" s="57" t="str">
        <f>'Input - Swine'!$D$80</f>
        <v>Direct application</v>
      </c>
      <c r="P237" s="52" cm="1">
        <f t="array" ref="P237">MMS_Swine_N2ODirect_Equations.VEERG_4_5_1_3__6_Stage2NitrogenInMMS(O$168,F207)</f>
        <v>60.282815999999976</v>
      </c>
      <c r="Q237" s="52" cm="1">
        <f t="array" ref="Q237">MMS_Swine_N2ODirect_Equations.VEERG_4_5_1_3__6_Stage2NitrogenInMMS(P$168,G207)</f>
        <v>40.133940000000003</v>
      </c>
      <c r="R237" s="52" cm="1">
        <f t="array" ref="R237">MMS_Swine_N2ODirect_Equations.VEERG_4_5_1_3__6_Stage2NitrogenInMMS(Q$168,H207)</f>
        <v>37.676759999999994</v>
      </c>
      <c r="S237" s="52" cm="1">
        <f t="array" ref="S237">MMS_Swine_N2ODirect_Equations.VEERG_4_5_1_3__6_Stage2NitrogenInMMS(R$168,I207)</f>
        <v>25.554671999999997</v>
      </c>
      <c r="T237" s="2"/>
    </row>
    <row r="238" spans="4:20" ht="20.100000000000001" customHeight="1" x14ac:dyDescent="0.25">
      <c r="D238" s="57" t="str">
        <f>'Input - Swine'!$D$34</f>
        <v>Solid storage</v>
      </c>
      <c r="E238" s="57" t="str">
        <f>'Input - Swine'!$D$84</f>
        <v>Anaerobic lagoon</v>
      </c>
      <c r="F238" s="52" cm="1">
        <f t="array" ref="F238">MMS_Swine_N2ODirect_Equations.VEERG_4_5_1_3__6_Stage2NitrogenInMMS(E$169,F208)</f>
        <v>106.78440000000003</v>
      </c>
      <c r="G238" s="52" cm="1">
        <f t="array" ref="G238">MMS_Swine_N2ODirect_Equations.VEERG_4_5_1_3__6_Stage2NitrogenInMMS(F$169,G208)</f>
        <v>113.74860000000007</v>
      </c>
      <c r="H238" s="52" cm="1">
        <f t="array" ref="H238">MMS_Swine_N2ODirect_Equations.VEERG_4_5_1_3__6_Stage2NitrogenInMMS(G$169,H208)</f>
        <v>106.78440000000003</v>
      </c>
      <c r="I238" s="52" cm="1">
        <f t="array" ref="I238">MMS_Swine_N2ODirect_Equations.VEERG_4_5_1_3__6_Stage2NitrogenInMMS(H$169,I208)</f>
        <v>72.427680000000038</v>
      </c>
      <c r="J238" s="2"/>
      <c r="N238" s="57" t="str">
        <f>'Input - Swine'!$D$34</f>
        <v>Solid storage</v>
      </c>
      <c r="O238" s="57" t="str">
        <f>'Input - Swine'!$D$84</f>
        <v>Anaerobic lagoon</v>
      </c>
      <c r="P238" s="52" cm="1">
        <f t="array" ref="P238">MMS_Swine_N2ODirect_Equations.VEERG_4_5_1_3__6_Stage2NitrogenInMMS(O$169,F208)</f>
        <v>106.78440000000003</v>
      </c>
      <c r="Q238" s="52" cm="1">
        <f t="array" ref="Q238">MMS_Swine_N2ODirect_Equations.VEERG_4_5_1_3__6_Stage2NitrogenInMMS(P$169,G208)</f>
        <v>113.74860000000007</v>
      </c>
      <c r="R238" s="52" cm="1">
        <f t="array" ref="R238">MMS_Swine_N2ODirect_Equations.VEERG_4_5_1_3__6_Stage2NitrogenInMMS(Q$169,H208)</f>
        <v>106.78440000000003</v>
      </c>
      <c r="S238" s="52" cm="1">
        <f t="array" ref="S238">MMS_Swine_N2ODirect_Equations.VEERG_4_5_1_3__6_Stage2NitrogenInMMS(R$169,I208)</f>
        <v>72.427680000000038</v>
      </c>
      <c r="T238" s="2"/>
    </row>
    <row r="239" spans="4:20" ht="20.100000000000001" customHeight="1" x14ac:dyDescent="0.25">
      <c r="D239" s="57"/>
      <c r="E239" s="57" t="str">
        <f>'Input - Swine'!$D$85</f>
        <v>Digester / covered lagoons</v>
      </c>
      <c r="F239" s="52" cm="1">
        <f t="array" ref="F239">MMS_Swine_N2ODirect_Equations.VEERG_4_5_1_3__6_Stage2NitrogenInMMS(E$169,F209)</f>
        <v>106.78440000000003</v>
      </c>
      <c r="G239" s="52" cm="1">
        <f t="array" ref="G239">MMS_Swine_N2ODirect_Equations.VEERG_4_5_1_3__6_Stage2NitrogenInMMS(F$169,G209)</f>
        <v>113.74860000000007</v>
      </c>
      <c r="H239" s="52" cm="1">
        <f t="array" ref="H239">MMS_Swine_N2ODirect_Equations.VEERG_4_5_1_3__6_Stage2NitrogenInMMS(G$169,H209)</f>
        <v>106.78440000000003</v>
      </c>
      <c r="I239" s="52" cm="1">
        <f t="array" ref="I239">MMS_Swine_N2ODirect_Equations.VEERG_4_5_1_3__6_Stage2NitrogenInMMS(H$169,I209)</f>
        <v>72.427680000000038</v>
      </c>
      <c r="J239" s="2"/>
      <c r="N239" s="57"/>
      <c r="O239" s="57" t="str">
        <f>'Input - Swine'!$D$85</f>
        <v>Digester / covered lagoons</v>
      </c>
      <c r="P239" s="52" cm="1">
        <f t="array" ref="P239">MMS_Swine_N2ODirect_Equations.VEERG_4_5_1_3__6_Stage2NitrogenInMMS(O$169,F209)</f>
        <v>106.78440000000003</v>
      </c>
      <c r="Q239" s="52" cm="1">
        <f t="array" ref="Q239">MMS_Swine_N2ODirect_Equations.VEERG_4_5_1_3__6_Stage2NitrogenInMMS(P$169,G209)</f>
        <v>113.74860000000007</v>
      </c>
      <c r="R239" s="52" cm="1">
        <f t="array" ref="R239">MMS_Swine_N2ODirect_Equations.VEERG_4_5_1_3__6_Stage2NitrogenInMMS(Q$169,H209)</f>
        <v>106.78440000000003</v>
      </c>
      <c r="S239" s="52" cm="1">
        <f t="array" ref="S239">MMS_Swine_N2ODirect_Equations.VEERG_4_5_1_3__6_Stage2NitrogenInMMS(R$169,I209)</f>
        <v>72.427680000000038</v>
      </c>
      <c r="T239" s="2"/>
    </row>
    <row r="240" spans="4:20" ht="20.100000000000001" customHeight="1" x14ac:dyDescent="0.25">
      <c r="D240" s="57"/>
      <c r="E240" s="57" t="str">
        <f>'Input - Swine'!$D$86</f>
        <v>Deep litter</v>
      </c>
      <c r="F240" s="52" cm="1">
        <f t="array" ref="F240">MMS_Swine_N2ODirect_Equations.VEERG_4_5_1_3__6_Stage2NitrogenInMMS(E$169,F210)</f>
        <v>106.78440000000003</v>
      </c>
      <c r="G240" s="52" cm="1">
        <f t="array" ref="G240">MMS_Swine_N2ODirect_Equations.VEERG_4_5_1_3__6_Stage2NitrogenInMMS(F$169,G210)</f>
        <v>113.74860000000007</v>
      </c>
      <c r="H240" s="52" cm="1">
        <f t="array" ref="H240">MMS_Swine_N2ODirect_Equations.VEERG_4_5_1_3__6_Stage2NitrogenInMMS(G$169,H210)</f>
        <v>106.78440000000003</v>
      </c>
      <c r="I240" s="52" cm="1">
        <f t="array" ref="I240">MMS_Swine_N2ODirect_Equations.VEERG_4_5_1_3__6_Stage2NitrogenInMMS(H$169,I210)</f>
        <v>72.427680000000038</v>
      </c>
      <c r="J240" s="2"/>
      <c r="N240" s="57"/>
      <c r="O240" s="57" t="str">
        <f>'Input - Swine'!$D$86</f>
        <v>Deep litter</v>
      </c>
      <c r="P240" s="52" cm="1">
        <f t="array" ref="P240">MMS_Swine_N2ODirect_Equations.VEERG_4_5_1_3__6_Stage2NitrogenInMMS(O$169,F210)</f>
        <v>106.78440000000003</v>
      </c>
      <c r="Q240" s="52" cm="1">
        <f t="array" ref="Q240">MMS_Swine_N2ODirect_Equations.VEERG_4_5_1_3__6_Stage2NitrogenInMMS(P$169,G210)</f>
        <v>113.74860000000007</v>
      </c>
      <c r="R240" s="52" cm="1">
        <f t="array" ref="R240">MMS_Swine_N2ODirect_Equations.VEERG_4_5_1_3__6_Stage2NitrogenInMMS(Q$169,H210)</f>
        <v>106.78440000000003</v>
      </c>
      <c r="S240" s="52" cm="1">
        <f t="array" ref="S240">MMS_Swine_N2ODirect_Equations.VEERG_4_5_1_3__6_Stage2NitrogenInMMS(R$169,I210)</f>
        <v>72.427680000000038</v>
      </c>
      <c r="T240" s="2"/>
    </row>
    <row r="241" spans="1:21" ht="20.100000000000001" customHeight="1" x14ac:dyDescent="0.25">
      <c r="D241" s="57"/>
      <c r="E241" s="57" t="str">
        <f>'Input - Swine'!$D$87</f>
        <v>Pit storage</v>
      </c>
      <c r="F241" s="52" cm="1">
        <f t="array" ref="F241">MMS_Swine_N2ODirect_Equations.VEERG_4_5_1_3__6_Stage2NitrogenInMMS(E$169,F211)</f>
        <v>53.392200000000017</v>
      </c>
      <c r="G241" s="52" cm="1">
        <f t="array" ref="G241">MMS_Swine_N2ODirect_Equations.VEERG_4_5_1_3__6_Stage2NitrogenInMMS(F$169,G211)</f>
        <v>56.874300000000034</v>
      </c>
      <c r="H241" s="52" cm="1">
        <f t="array" ref="H241">MMS_Swine_N2ODirect_Equations.VEERG_4_5_1_3__6_Stage2NitrogenInMMS(G$169,H211)</f>
        <v>53.392200000000017</v>
      </c>
      <c r="I241" s="52" cm="1">
        <f t="array" ref="I241">MMS_Swine_N2ODirect_Equations.VEERG_4_5_1_3__6_Stage2NitrogenInMMS(H$169,I211)</f>
        <v>36.213840000000019</v>
      </c>
      <c r="J241" s="2"/>
      <c r="N241" s="57"/>
      <c r="O241" s="57" t="str">
        <f>'Input - Swine'!$D$87</f>
        <v>Pit storage</v>
      </c>
      <c r="P241" s="52" cm="1">
        <f t="array" ref="P241">MMS_Swine_N2ODirect_Equations.VEERG_4_5_1_3__6_Stage2NitrogenInMMS(O$169,F211)</f>
        <v>53.392200000000017</v>
      </c>
      <c r="Q241" s="52" cm="1">
        <f t="array" ref="Q241">MMS_Swine_N2ODirect_Equations.VEERG_4_5_1_3__6_Stage2NitrogenInMMS(P$169,G211)</f>
        <v>56.874300000000034</v>
      </c>
      <c r="R241" s="52" cm="1">
        <f t="array" ref="R241">MMS_Swine_N2ODirect_Equations.VEERG_4_5_1_3__6_Stage2NitrogenInMMS(Q$169,H211)</f>
        <v>53.392200000000017</v>
      </c>
      <c r="S241" s="52" cm="1">
        <f t="array" ref="S241">MMS_Swine_N2ODirect_Equations.VEERG_4_5_1_3__6_Stage2NitrogenInMMS(R$169,I211)</f>
        <v>36.213840000000019</v>
      </c>
      <c r="T241" s="2"/>
    </row>
    <row r="242" spans="1:21" ht="20.100000000000001" customHeight="1" x14ac:dyDescent="0.25">
      <c r="D242" s="57"/>
      <c r="E242" s="57" t="str">
        <f>'Input - Swine'!$D$88</f>
        <v>Direct application</v>
      </c>
      <c r="F242" s="52" cm="1">
        <f t="array" ref="F242">MMS_Swine_N2ODirect_Equations.VEERG_4_5_1_3__6_Stage2NitrogenInMMS(E$169,F212)</f>
        <v>160.17660000000001</v>
      </c>
      <c r="G242" s="52" cm="1">
        <f t="array" ref="G242">MMS_Swine_N2ODirect_Equations.VEERG_4_5_1_3__6_Stage2NitrogenInMMS(F$169,G212)</f>
        <v>170.62290000000004</v>
      </c>
      <c r="H242" s="52" cm="1">
        <f t="array" ref="H242">MMS_Swine_N2ODirect_Equations.VEERG_4_5_1_3__6_Stage2NitrogenInMMS(G$169,H212)</f>
        <v>160.17660000000001</v>
      </c>
      <c r="I242" s="52" cm="1">
        <f t="array" ref="I242">MMS_Swine_N2ODirect_Equations.VEERG_4_5_1_3__6_Stage2NitrogenInMMS(H$169,I212)</f>
        <v>108.64152000000003</v>
      </c>
      <c r="J242" s="2"/>
      <c r="N242" s="57"/>
      <c r="O242" s="57" t="str">
        <f>'Input - Swine'!$D$88</f>
        <v>Direct application</v>
      </c>
      <c r="P242" s="52" cm="1">
        <f t="array" ref="P242">MMS_Swine_N2ODirect_Equations.VEERG_4_5_1_3__6_Stage2NitrogenInMMS(O$169,F212)</f>
        <v>160.17660000000001</v>
      </c>
      <c r="Q242" s="52" cm="1">
        <f t="array" ref="Q242">MMS_Swine_N2ODirect_Equations.VEERG_4_5_1_3__6_Stage2NitrogenInMMS(P$169,G212)</f>
        <v>170.62290000000004</v>
      </c>
      <c r="R242" s="52" cm="1">
        <f t="array" ref="R242">MMS_Swine_N2ODirect_Equations.VEERG_4_5_1_3__6_Stage2NitrogenInMMS(Q$169,H212)</f>
        <v>160.17660000000001</v>
      </c>
      <c r="S242" s="52" cm="1">
        <f t="array" ref="S242">MMS_Swine_N2ODirect_Equations.VEERG_4_5_1_3__6_Stage2NitrogenInMMS(R$169,I212)</f>
        <v>108.64152000000003</v>
      </c>
      <c r="T242" s="2"/>
    </row>
    <row r="243" spans="1:21" ht="20.100000000000001" customHeight="1" x14ac:dyDescent="0.25"/>
    <row r="244" spans="1:21" ht="20.100000000000001" customHeight="1" x14ac:dyDescent="0.25">
      <c r="A244" s="150" t="str">
        <f>HYPERLINK("#A1", "▲ Back to top")</f>
        <v>▲ Back to top</v>
      </c>
    </row>
    <row r="245" spans="1:21" ht="20.100000000000001" customHeight="1" x14ac:dyDescent="0.25">
      <c r="C245" s="45"/>
      <c r="D245" s="45"/>
      <c r="E245" s="45"/>
      <c r="F245" s="45"/>
      <c r="G245" s="45"/>
      <c r="H245" s="45"/>
      <c r="I245" s="45"/>
      <c r="J245" s="45"/>
      <c r="K245" s="45"/>
      <c r="M245" s="45"/>
      <c r="N245" s="45"/>
      <c r="O245" s="45"/>
      <c r="P245" s="45"/>
      <c r="Q245" s="45"/>
      <c r="R245" s="45"/>
      <c r="S245" s="45"/>
      <c r="T245" s="45"/>
      <c r="U245" s="45"/>
    </row>
    <row r="246" spans="1:21" ht="20.100000000000001" customHeight="1" x14ac:dyDescent="0.25">
      <c r="D246" s="6" t="str" cm="1">
        <f t="array" ref="D246">MMS_Swine_N2ODirect_Equations.VEERG_4_5_1_3__1_TotalAnnualDirectNitrousOxideEmissionsFromMMS_Title()</f>
        <v>Total annual direct nitrous oxide emissions from manure management systems</v>
      </c>
    </row>
    <row r="247" spans="1:21" ht="20.100000000000001" customHeight="1" x14ac:dyDescent="0.25">
      <c r="D247" s="5" t="str" cm="1">
        <f t="array" ref="D247">MMS_Swine_N2ODirect_Equations.VEERG_4_5_1_3__1_TotalAnnualDirectNitrousOxideEmissionsFromMMS_Source()</f>
        <v>VEERG 2026: 4.5.1.3, Equation (1)</v>
      </c>
    </row>
    <row r="248" spans="1:21" ht="20.100000000000001" customHeight="1" x14ac:dyDescent="0.25">
      <c r="D248" s="13" t="s">
        <v>26</v>
      </c>
      <c r="E248" s="13" t="str" cm="1">
        <f t="array" aca="1" ref="E248" ca="1">Common_InputFunctions.Utility_DisplayFunctionName(F264)</f>
        <v>=MMS_Swine_N2ODirect_Equations.VEERG_4_5_1_3__1_TotalAnnualDirectNitrousOxideEmissionsFromMMS</v>
      </c>
    </row>
    <row r="249" spans="1:21" ht="20.100000000000001" customHeight="1" x14ac:dyDescent="0.25"/>
    <row r="250" spans="1:21" ht="20.100000000000001" customHeight="1" x14ac:dyDescent="0.25"/>
    <row r="251" spans="1:21" ht="20.100000000000001" customHeight="1" x14ac:dyDescent="0.25">
      <c r="D251" s="53" t="s">
        <v>29</v>
      </c>
      <c r="E251" s="1" t="str" cm="1">
        <f t="array" ref="E251">MMS_Swine_N2ODirect_Equations.VEERG_4_5_1_3__1_TotalAnnualDirectNitrousOxideEmissionsFromMMS_Variable()</f>
        <v>E_N2Odir</v>
      </c>
    </row>
    <row r="252" spans="1:21" ht="20.100000000000001" customHeight="1" x14ac:dyDescent="0.25">
      <c r="D252" s="53" t="s">
        <v>19</v>
      </c>
      <c r="E252" s="54" t="str" cm="1">
        <f t="array" ref="E252">MMS_Swine_N2ODirect_Equations.VEERG_4_5_1_3__1_TotalAnnualDirectNitrousOxideEmissionsFromMMS_Unit()</f>
        <v>t N2O</v>
      </c>
    </row>
    <row r="253" spans="1:21" ht="20.100000000000001" customHeight="1" x14ac:dyDescent="0.25"/>
    <row r="254" spans="1:21" ht="20.100000000000001" customHeight="1" x14ac:dyDescent="0.25">
      <c r="D254" s="108" t="str" cm="1">
        <f t="array" ref="D254:E256">Common_InputFunctions.Utility_DisplayArguments_1_2(MMS_Swine_N2ODirect_Equations.VEERG_4_5_1_3__1_TotalAnnualDirectNitrousOxideEmissionsFromMMS_Arguments())</f>
        <v>MN_jmT</v>
      </c>
      <c r="E254" s="110" t="str">
        <v>nitrogen per swine class, MMS and treatment stage</v>
      </c>
      <c r="F254" s="109"/>
      <c r="G254" s="144" t="str" cm="1">
        <f t="array" ref="G254:H256">Common_InputFunctions.Utility_DisplayArguments_3_4(MMS_Swine_N2ODirect_Equations.VEERG_4_5_1_3__1_TotalAnnualDirectNitrousOxideEmissionsFromMMS_Arguments())</f>
        <v>kg N</v>
      </c>
      <c r="H254" s="139" t="str">
        <v>Calculated from 4.5.1.3 (2)(6)</v>
      </c>
      <c r="I254" s="143" t="str" cm="1">
        <f t="array" aca="1" ref="I254" ca="1">HYPERLINK(Common_InputFunctions.Utility_SourceHyperlink(D115), D115)</f>
        <v>M1_Table_MN_j_m_T-1</v>
      </c>
      <c r="J254" s="143" t="str" cm="1">
        <f t="array" aca="1" ref="J254" ca="1">HYPERLINK(Common_InputFunctions.Utility_SourceHyperlink(D214), D214)</f>
        <v>M1_Table_MN_j_m_T-2</v>
      </c>
    </row>
    <row r="255" spans="1:21" ht="20.100000000000001" customHeight="1" x14ac:dyDescent="0.25">
      <c r="D255" s="108" t="str">
        <v>EF_jm</v>
      </c>
      <c r="E255" s="110" t="str">
        <v>nitrous oxide emission factor for MMS</v>
      </c>
      <c r="F255" s="109"/>
      <c r="G255" s="144" t="str">
        <v>kg N2O-N/kg N</v>
      </c>
      <c r="H255" s="139" t="str">
        <v>Constant</v>
      </c>
      <c r="I255" s="148" t="str" cm="1">
        <f t="array" aca="1" ref="I255" ca="1">HYPERLINK(Common_InputFunctions.Utility_SourceHyperlink(D150), D150)</f>
        <v>Table_EF_m_t-1</v>
      </c>
      <c r="J255" s="147"/>
    </row>
    <row r="256" spans="1:21" ht="20.100000000000001" customHeight="1" x14ac:dyDescent="0.25">
      <c r="D256" s="108" t="str">
        <v>C_N2O</v>
      </c>
      <c r="E256" s="110" t="str">
        <v>factor to convert elemental mass of nitrous oxide to molecular mass</v>
      </c>
      <c r="F256" s="109"/>
      <c r="G256" s="144" t="str">
        <v/>
      </c>
      <c r="H256" s="139" t="str">
        <v>Constant</v>
      </c>
      <c r="I256" s="58">
        <f>Common_InputFunctions.Utility_LookupValueInTableNumber("N2O",Table_GasToMolecularConversionFactor[Gas],Table_GasToMolecularConversionFactor[Conversion factor combined])</f>
        <v>1.5714285714285714</v>
      </c>
      <c r="J256" s="109"/>
    </row>
    <row r="257" spans="4:20" ht="20.100000000000001" customHeight="1" x14ac:dyDescent="0.25"/>
    <row r="258" spans="4:20" ht="20.100000000000001" customHeight="1" x14ac:dyDescent="0.25">
      <c r="D258" s="136" t="s">
        <v>350</v>
      </c>
      <c r="E258" s="91"/>
      <c r="F258" s="91"/>
      <c r="G258" s="87"/>
    </row>
    <row r="259" spans="4:20" ht="20.100000000000001" customHeight="1" x14ac:dyDescent="0.25">
      <c r="D259" s="93" t="s">
        <v>348</v>
      </c>
      <c r="E259" s="90"/>
      <c r="F259" s="90"/>
      <c r="G259" s="88"/>
    </row>
    <row r="260" spans="4:20" ht="20.100000000000001" customHeight="1" x14ac:dyDescent="0.25"/>
    <row r="261" spans="4:20" ht="20.100000000000001" customHeight="1" x14ac:dyDescent="0.25">
      <c r="D261" s="121" t="s">
        <v>260</v>
      </c>
      <c r="N261" s="121" t="s">
        <v>274</v>
      </c>
    </row>
    <row r="262" spans="4:20" ht="20.100000000000001" customHeight="1" x14ac:dyDescent="0.25">
      <c r="D262" s="122" t="s">
        <v>261</v>
      </c>
      <c r="N262" s="122" t="s">
        <v>275</v>
      </c>
    </row>
    <row r="263" spans="4:20" ht="20.100000000000001" customHeight="1" x14ac:dyDescent="0.25">
      <c r="D263" s="51" t="s">
        <v>163</v>
      </c>
      <c r="E263" s="51" t="s">
        <v>171</v>
      </c>
      <c r="F263" s="51" t="s">
        <v>142</v>
      </c>
      <c r="G263" s="51" t="s">
        <v>143</v>
      </c>
      <c r="H263" s="51" t="s">
        <v>144</v>
      </c>
      <c r="I263" s="51" t="s">
        <v>206</v>
      </c>
      <c r="N263" s="51" t="s">
        <v>163</v>
      </c>
      <c r="O263" s="51" t="s">
        <v>171</v>
      </c>
      <c r="P263" s="51" t="s">
        <v>142</v>
      </c>
      <c r="Q263" s="51" t="s">
        <v>143</v>
      </c>
      <c r="R263" s="51" t="s">
        <v>144</v>
      </c>
      <c r="S263" s="51" t="s">
        <v>206</v>
      </c>
    </row>
    <row r="264" spans="4:20" ht="20.100000000000001" customHeight="1" x14ac:dyDescent="0.25">
      <c r="D264" s="57" t="str">
        <f>'Input - Swine'!$D$29</f>
        <v>Anaerobic lagoon</v>
      </c>
      <c r="E264" s="57" t="s">
        <v>172</v>
      </c>
      <c r="F264" s="52" cm="1">
        <f t="array" ref="F264">MMS_Swine_N2ODirect_Equations.VEERG_4_5_1_3__1_TotalAnnualDirectNitrousOxideEmissionsFromMMS(E118, _xlfn.XLOOKUP($D264, $D$153:$D$159, $E$153:$E$159), $I$256)</f>
        <v>0</v>
      </c>
      <c r="G264" s="52" cm="1">
        <f t="array" ref="G264">MMS_Swine_N2ODirect_Equations.VEERG_4_5_1_3__1_TotalAnnualDirectNitrousOxideEmissionsFromMMS(F118, _xlfn.XLOOKUP($D264, $D$153:$D$159, $E$153:$E$159), $I$256)</f>
        <v>0</v>
      </c>
      <c r="H264" s="52" cm="1">
        <f t="array" ref="H264">MMS_Swine_N2ODirect_Equations.VEERG_4_5_1_3__1_TotalAnnualDirectNitrousOxideEmissionsFromMMS(G118, _xlfn.XLOOKUP($D264, $D$153:$D$159, $E$153:$E$159), $I$256)</f>
        <v>0</v>
      </c>
      <c r="I264" s="52" cm="1">
        <f t="array" ref="I264">MMS_Swine_N2ODirect_Equations.VEERG_4_5_1_3__1_TotalAnnualDirectNitrousOxideEmissionsFromMMS(H118, _xlfn.XLOOKUP($D264, $D$153:$D$159, $E$153:$E$159), $I$256)</f>
        <v>0</v>
      </c>
      <c r="J264" s="2" t="str">
        <f>$E$252</f>
        <v>t N2O</v>
      </c>
      <c r="N264" s="57" t="str">
        <f>'Input - Swine'!$D$29</f>
        <v>Anaerobic lagoon</v>
      </c>
      <c r="O264" s="57" t="s">
        <v>172</v>
      </c>
      <c r="P264" s="52" cm="1">
        <f t="array" ref="P264">MMS_Swine_N2ODirect_Equations.VEERG_4_5_1_3__1_TotalAnnualDirectNitrousOxideEmissionsFromMMS(O118, _xlfn.XLOOKUP($D264, $D$153:$D$159, $E$153:$E$159), $I$256)</f>
        <v>0</v>
      </c>
      <c r="Q264" s="52" cm="1">
        <f t="array" ref="Q264">MMS_Swine_N2ODirect_Equations.VEERG_4_5_1_3__1_TotalAnnualDirectNitrousOxideEmissionsFromMMS(P118, _xlfn.XLOOKUP($D264, $D$153:$D$159, $E$153:$E$159), $I$256)</f>
        <v>0</v>
      </c>
      <c r="R264" s="52" cm="1">
        <f t="array" ref="R264">MMS_Swine_N2ODirect_Equations.VEERG_4_5_1_3__1_TotalAnnualDirectNitrousOxideEmissionsFromMMS(Q118, _xlfn.XLOOKUP($D264, $D$153:$D$159, $E$153:$E$159), $I$256)</f>
        <v>0</v>
      </c>
      <c r="S264" s="52" cm="1">
        <f t="array" ref="S264">MMS_Swine_N2ODirect_Equations.VEERG_4_5_1_3__1_TotalAnnualDirectNitrousOxideEmissionsFromMMS(R118, _xlfn.XLOOKUP($D264, $D$153:$D$159, $E$153:$E$159), $I$256)</f>
        <v>0</v>
      </c>
      <c r="T264" s="2" t="str">
        <f t="shared" ref="T264" si="2">$E$252</f>
        <v>t N2O</v>
      </c>
    </row>
    <row r="265" spans="4:20" ht="20.100000000000001" customHeight="1" x14ac:dyDescent="0.25">
      <c r="D265" s="57" t="str">
        <f>'Input - Swine'!$D$30</f>
        <v>Drylot (feed pad)</v>
      </c>
      <c r="E265" s="57" t="s">
        <v>172</v>
      </c>
      <c r="F265" s="52" cm="1">
        <f t="array" ref="F265">MMS_Swine_N2ODirect_Equations.VEERG_4_5_1_3__1_TotalAnnualDirectNitrousOxideEmissionsFromMMS(E119, _xlfn.XLOOKUP($D265, $D$153:$D$159, $E$153:$E$159), $I$256)</f>
        <v>6.3322285714285699E-3</v>
      </c>
      <c r="G265" s="52" cm="1">
        <f t="array" ref="G265">MMS_Swine_N2ODirect_Equations.VEERG_4_5_1_3__1_TotalAnnualDirectNitrousOxideEmissionsFromMMS(F119, _xlfn.XLOOKUP($D265, $D$153:$D$159, $E$153:$E$159), $I$256)</f>
        <v>6.7452000000000007E-3</v>
      </c>
      <c r="H265" s="52" cm="1">
        <f t="array" ref="H265">MMS_Swine_N2ODirect_Equations.VEERG_4_5_1_3__1_TotalAnnualDirectNitrousOxideEmissionsFromMMS(G119, _xlfn.XLOOKUP($D265, $D$153:$D$159, $E$153:$E$159), $I$256)</f>
        <v>6.3322285714285699E-3</v>
      </c>
      <c r="I265" s="52" cm="1">
        <f t="array" ref="I265">MMS_Swine_N2ODirect_Equations.VEERG_4_5_1_3__1_TotalAnnualDirectNitrousOxideEmissionsFromMMS(H119, _xlfn.XLOOKUP($D265, $D$153:$D$159, $E$153:$E$159), $I$256)</f>
        <v>4.2949028571428564E-3</v>
      </c>
      <c r="J265" s="2"/>
      <c r="N265" s="57" t="str">
        <f>'Input - Swine'!$D$30</f>
        <v>Drylot (feed pad)</v>
      </c>
      <c r="O265" s="57" t="s">
        <v>172</v>
      </c>
      <c r="P265" s="52" cm="1">
        <f t="array" ref="P265">MMS_Swine_N2ODirect_Equations.VEERG_4_5_1_3__1_TotalAnnualDirectNitrousOxideEmissionsFromMMS(O119, _xlfn.XLOOKUP($D265, $D$153:$D$159, $E$153:$E$159), $I$256)</f>
        <v>6.3322285714285699E-3</v>
      </c>
      <c r="Q265" s="52" cm="1">
        <f t="array" ref="Q265">MMS_Swine_N2ODirect_Equations.VEERG_4_5_1_3__1_TotalAnnualDirectNitrousOxideEmissionsFromMMS(P119, _xlfn.XLOOKUP($D265, $D$153:$D$159, $E$153:$E$159), $I$256)</f>
        <v>6.7452000000000007E-3</v>
      </c>
      <c r="R265" s="52" cm="1">
        <f t="array" ref="R265">MMS_Swine_N2ODirect_Equations.VEERG_4_5_1_3__1_TotalAnnualDirectNitrousOxideEmissionsFromMMS(Q119, _xlfn.XLOOKUP($D265, $D$153:$D$159, $E$153:$E$159), $I$256)</f>
        <v>6.3322285714285699E-3</v>
      </c>
      <c r="S265" s="52" cm="1">
        <f t="array" ref="S265">MMS_Swine_N2ODirect_Equations.VEERG_4_5_1_3__1_TotalAnnualDirectNitrousOxideEmissionsFromMMS(R119, _xlfn.XLOOKUP($D265, $D$153:$D$159, $E$153:$E$159), $I$256)</f>
        <v>4.2949028571428564E-3</v>
      </c>
      <c r="T265" s="2"/>
    </row>
    <row r="266" spans="4:20" ht="20.100000000000001" customHeight="1" x14ac:dyDescent="0.25">
      <c r="D266" s="57" t="str">
        <f>'Input - Swine'!$D$31</f>
        <v>Digester / covered lagoons</v>
      </c>
      <c r="E266" s="57" t="s">
        <v>172</v>
      </c>
      <c r="F266" s="52" cm="1">
        <f t="array" ref="F266">MMS_Swine_N2ODirect_Equations.VEERG_4_5_1_3__1_TotalAnnualDirectNitrousOxideEmissionsFromMMS(E120, _xlfn.XLOOKUP($D266, $D$153:$D$159, $E$153:$E$159), $I$256)</f>
        <v>0</v>
      </c>
      <c r="G266" s="52" cm="1">
        <f t="array" ref="G266">MMS_Swine_N2ODirect_Equations.VEERG_4_5_1_3__1_TotalAnnualDirectNitrousOxideEmissionsFromMMS(F120, _xlfn.XLOOKUP($D266, $D$153:$D$159, $E$153:$E$159), $I$256)</f>
        <v>0</v>
      </c>
      <c r="H266" s="52" cm="1">
        <f t="array" ref="H266">MMS_Swine_N2ODirect_Equations.VEERG_4_5_1_3__1_TotalAnnualDirectNitrousOxideEmissionsFromMMS(G120, _xlfn.XLOOKUP($D266, $D$153:$D$159, $E$153:$E$159), $I$256)</f>
        <v>0</v>
      </c>
      <c r="I266" s="52" cm="1">
        <f t="array" ref="I266">MMS_Swine_N2ODirect_Equations.VEERG_4_5_1_3__1_TotalAnnualDirectNitrousOxideEmissionsFromMMS(H120, _xlfn.XLOOKUP($D266, $D$153:$D$159, $E$153:$E$159), $I$256)</f>
        <v>0</v>
      </c>
      <c r="J266" s="2"/>
      <c r="N266" s="57" t="str">
        <f>'Input - Swine'!$D$31</f>
        <v>Digester / covered lagoons</v>
      </c>
      <c r="O266" s="57" t="s">
        <v>172</v>
      </c>
      <c r="P266" s="52" cm="1">
        <f t="array" ref="P266">MMS_Swine_N2ODirect_Equations.VEERG_4_5_1_3__1_TotalAnnualDirectNitrousOxideEmissionsFromMMS(O120, _xlfn.XLOOKUP($D266, $D$153:$D$159, $E$153:$E$159), $I$256)</f>
        <v>0</v>
      </c>
      <c r="Q266" s="52" cm="1">
        <f t="array" ref="Q266">MMS_Swine_N2ODirect_Equations.VEERG_4_5_1_3__1_TotalAnnualDirectNitrousOxideEmissionsFromMMS(P120, _xlfn.XLOOKUP($D266, $D$153:$D$159, $E$153:$E$159), $I$256)</f>
        <v>0</v>
      </c>
      <c r="R266" s="52" cm="1">
        <f t="array" ref="R266">MMS_Swine_N2ODirect_Equations.VEERG_4_5_1_3__1_TotalAnnualDirectNitrousOxideEmissionsFromMMS(Q120, _xlfn.XLOOKUP($D266, $D$153:$D$159, $E$153:$E$159), $I$256)</f>
        <v>0</v>
      </c>
      <c r="S266" s="52" cm="1">
        <f t="array" ref="S266">MMS_Swine_N2ODirect_Equations.VEERG_4_5_1_3__1_TotalAnnualDirectNitrousOxideEmissionsFromMMS(R120, _xlfn.XLOOKUP($D266, $D$153:$D$159, $E$153:$E$159), $I$256)</f>
        <v>0</v>
      </c>
      <c r="T266" s="2"/>
    </row>
    <row r="267" spans="4:20" ht="20.100000000000001" customHeight="1" x14ac:dyDescent="0.25">
      <c r="D267" s="57" t="str">
        <f>'Input - Swine'!$D$32</f>
        <v>Deep litter</v>
      </c>
      <c r="E267" s="57" t="s">
        <v>172</v>
      </c>
      <c r="F267" s="52" cm="1">
        <f t="array" ref="F267">MMS_Swine_N2ODirect_Equations.VEERG_4_5_1_3__1_TotalAnnualDirectNitrousOxideEmissionsFromMMS(E121, _xlfn.XLOOKUP($D267, $D$153:$D$159, $E$153:$E$159), $I$256)</f>
        <v>3.166114285714285E-3</v>
      </c>
      <c r="G267" s="52" cm="1">
        <f t="array" ref="G267">MMS_Swine_N2ODirect_Equations.VEERG_4_5_1_3__1_TotalAnnualDirectNitrousOxideEmissionsFromMMS(F121, _xlfn.XLOOKUP($D267, $D$153:$D$159, $E$153:$E$159), $I$256)</f>
        <v>3.3726000000000003E-3</v>
      </c>
      <c r="H267" s="52" cm="1">
        <f t="array" ref="H267">MMS_Swine_N2ODirect_Equations.VEERG_4_5_1_3__1_TotalAnnualDirectNitrousOxideEmissionsFromMMS(G121, _xlfn.XLOOKUP($D267, $D$153:$D$159, $E$153:$E$159), $I$256)</f>
        <v>3.166114285714285E-3</v>
      </c>
      <c r="I267" s="52" cm="1">
        <f t="array" ref="I267">MMS_Swine_N2ODirect_Equations.VEERG_4_5_1_3__1_TotalAnnualDirectNitrousOxideEmissionsFromMMS(H121, _xlfn.XLOOKUP($D267, $D$153:$D$159, $E$153:$E$159), $I$256)</f>
        <v>2.1474514285714282E-3</v>
      </c>
      <c r="J267" s="2"/>
      <c r="N267" s="57" t="str">
        <f>'Input - Swine'!$D$32</f>
        <v>Deep litter</v>
      </c>
      <c r="O267" s="57" t="s">
        <v>172</v>
      </c>
      <c r="P267" s="52" cm="1">
        <f t="array" ref="P267">MMS_Swine_N2ODirect_Equations.VEERG_4_5_1_3__1_TotalAnnualDirectNitrousOxideEmissionsFromMMS(O121, _xlfn.XLOOKUP($D267, $D$153:$D$159, $E$153:$E$159), $I$256)</f>
        <v>3.166114285714285E-3</v>
      </c>
      <c r="Q267" s="52" cm="1">
        <f t="array" ref="Q267">MMS_Swine_N2ODirect_Equations.VEERG_4_5_1_3__1_TotalAnnualDirectNitrousOxideEmissionsFromMMS(P121, _xlfn.XLOOKUP($D267, $D$153:$D$159, $E$153:$E$159), $I$256)</f>
        <v>3.3726000000000003E-3</v>
      </c>
      <c r="R267" s="52" cm="1">
        <f t="array" ref="R267">MMS_Swine_N2ODirect_Equations.VEERG_4_5_1_3__1_TotalAnnualDirectNitrousOxideEmissionsFromMMS(Q121, _xlfn.XLOOKUP($D267, $D$153:$D$159, $E$153:$E$159), $I$256)</f>
        <v>3.166114285714285E-3</v>
      </c>
      <c r="S267" s="52" cm="1">
        <f t="array" ref="S267">MMS_Swine_N2ODirect_Equations.VEERG_4_5_1_3__1_TotalAnnualDirectNitrousOxideEmissionsFromMMS(R121, _xlfn.XLOOKUP($D267, $D$153:$D$159, $E$153:$E$159), $I$256)</f>
        <v>2.1474514285714282E-3</v>
      </c>
      <c r="T267" s="2"/>
    </row>
    <row r="268" spans="4:20" ht="20.100000000000001" customHeight="1" x14ac:dyDescent="0.25">
      <c r="D268" s="57" t="str">
        <f>'Input - Swine'!$D$33</f>
        <v>Pit storage</v>
      </c>
      <c r="E268" s="57" t="s">
        <v>172</v>
      </c>
      <c r="F268" s="52" cm="1">
        <f t="array" ref="F268">MMS_Swine_N2ODirect_Equations.VEERG_4_5_1_3__1_TotalAnnualDirectNitrousOxideEmissionsFromMMS(E122, _xlfn.XLOOKUP($D268, $D$153:$D$159, $E$153:$E$159), $I$256)</f>
        <v>6.3322285714285703E-4</v>
      </c>
      <c r="G268" s="52" cm="1">
        <f t="array" ref="G268">MMS_Swine_N2ODirect_Equations.VEERG_4_5_1_3__1_TotalAnnualDirectNitrousOxideEmissionsFromMMS(F122, _xlfn.XLOOKUP($D268, $D$153:$D$159, $E$153:$E$159), $I$256)</f>
        <v>6.7452000000000018E-4</v>
      </c>
      <c r="H268" s="52" cm="1">
        <f t="array" ref="H268">MMS_Swine_N2ODirect_Equations.VEERG_4_5_1_3__1_TotalAnnualDirectNitrousOxideEmissionsFromMMS(G122, _xlfn.XLOOKUP($D268, $D$153:$D$159, $E$153:$E$159), $I$256)</f>
        <v>6.3322285714285703E-4</v>
      </c>
      <c r="I268" s="52" cm="1">
        <f t="array" ref="I268">MMS_Swine_N2ODirect_Equations.VEERG_4_5_1_3__1_TotalAnnualDirectNitrousOxideEmissionsFromMMS(H122, _xlfn.XLOOKUP($D268, $D$153:$D$159, $E$153:$E$159), $I$256)</f>
        <v>4.294902857142856E-4</v>
      </c>
      <c r="J268" s="2"/>
      <c r="N268" s="57" t="str">
        <f>'Input - Swine'!$D$33</f>
        <v>Pit storage</v>
      </c>
      <c r="O268" s="57" t="s">
        <v>172</v>
      </c>
      <c r="P268" s="52" cm="1">
        <f t="array" ref="P268">MMS_Swine_N2ODirect_Equations.VEERG_4_5_1_3__1_TotalAnnualDirectNitrousOxideEmissionsFromMMS(O122, _xlfn.XLOOKUP($D268, $D$153:$D$159, $E$153:$E$159), $I$256)</f>
        <v>6.3322285714285703E-4</v>
      </c>
      <c r="Q268" s="52" cm="1">
        <f t="array" ref="Q268">MMS_Swine_N2ODirect_Equations.VEERG_4_5_1_3__1_TotalAnnualDirectNitrousOxideEmissionsFromMMS(P122, _xlfn.XLOOKUP($D268, $D$153:$D$159, $E$153:$E$159), $I$256)</f>
        <v>6.7452000000000018E-4</v>
      </c>
      <c r="R268" s="52" cm="1">
        <f t="array" ref="R268">MMS_Swine_N2ODirect_Equations.VEERG_4_5_1_3__1_TotalAnnualDirectNitrousOxideEmissionsFromMMS(Q122, _xlfn.XLOOKUP($D268, $D$153:$D$159, $E$153:$E$159), $I$256)</f>
        <v>6.3322285714285703E-4</v>
      </c>
      <c r="S268" s="52" cm="1">
        <f t="array" ref="S268">MMS_Swine_N2ODirect_Equations.VEERG_4_5_1_3__1_TotalAnnualDirectNitrousOxideEmissionsFromMMS(R122, _xlfn.XLOOKUP($D268, $D$153:$D$159, $E$153:$E$159), $I$256)</f>
        <v>4.294902857142856E-4</v>
      </c>
      <c r="T268" s="2"/>
    </row>
    <row r="269" spans="4:20" ht="20.100000000000001" customHeight="1" x14ac:dyDescent="0.25">
      <c r="D269" s="57" t="str">
        <f>'Input - Swine'!$D$34</f>
        <v>Solid storage</v>
      </c>
      <c r="E269" s="57" t="s">
        <v>172</v>
      </c>
      <c r="F269" s="52" cm="1">
        <f t="array" ref="F269">MMS_Swine_N2ODirect_Equations.VEERG_4_5_1_3__1_TotalAnnualDirectNitrousOxideEmissionsFromMMS(E123, _xlfn.XLOOKUP($D269, $D$153:$D$159, $E$153:$E$159), $I$256)</f>
        <v>5.2768571428571439E-3</v>
      </c>
      <c r="G269" s="52" cm="1">
        <f t="array" ref="G269">MMS_Swine_N2ODirect_Equations.VEERG_4_5_1_3__1_TotalAnnualDirectNitrousOxideEmissionsFromMMS(F123, _xlfn.XLOOKUP($D269, $D$153:$D$159, $E$153:$E$159), $I$256)</f>
        <v>5.6210000000000027E-3</v>
      </c>
      <c r="H269" s="52" cm="1">
        <f t="array" ref="H269">MMS_Swine_N2ODirect_Equations.VEERG_4_5_1_3__1_TotalAnnualDirectNitrousOxideEmissionsFromMMS(G123, _xlfn.XLOOKUP($D269, $D$153:$D$159, $E$153:$E$159), $I$256)</f>
        <v>5.2768571428571439E-3</v>
      </c>
      <c r="I269" s="52" cm="1">
        <f t="array" ref="I269">MMS_Swine_N2ODirect_Equations.VEERG_4_5_1_3__1_TotalAnnualDirectNitrousOxideEmissionsFromMMS(H123, _xlfn.XLOOKUP($D269, $D$153:$D$159, $E$153:$E$159), $I$256)</f>
        <v>3.5790857142857157E-3</v>
      </c>
      <c r="J269" s="2"/>
      <c r="N269" s="57" t="str">
        <f>'Input - Swine'!$D$34</f>
        <v>Solid storage</v>
      </c>
      <c r="O269" s="57" t="s">
        <v>172</v>
      </c>
      <c r="P269" s="52" cm="1">
        <f t="array" ref="P269">MMS_Swine_N2ODirect_Equations.VEERG_4_5_1_3__1_TotalAnnualDirectNitrousOxideEmissionsFromMMS(O123, _xlfn.XLOOKUP($D269, $D$153:$D$159, $E$153:$E$159), $I$256)</f>
        <v>5.2768571428571439E-3</v>
      </c>
      <c r="Q269" s="52" cm="1">
        <f t="array" ref="Q269">MMS_Swine_N2ODirect_Equations.VEERG_4_5_1_3__1_TotalAnnualDirectNitrousOxideEmissionsFromMMS(P123, _xlfn.XLOOKUP($D269, $D$153:$D$159, $E$153:$E$159), $I$256)</f>
        <v>5.6210000000000027E-3</v>
      </c>
      <c r="R269" s="52" cm="1">
        <f t="array" ref="R269">MMS_Swine_N2ODirect_Equations.VEERG_4_5_1_3__1_TotalAnnualDirectNitrousOxideEmissionsFromMMS(Q123, _xlfn.XLOOKUP($D269, $D$153:$D$159, $E$153:$E$159), $I$256)</f>
        <v>5.2768571428571439E-3</v>
      </c>
      <c r="S269" s="52" cm="1">
        <f t="array" ref="S269">MMS_Swine_N2ODirect_Equations.VEERG_4_5_1_3__1_TotalAnnualDirectNitrousOxideEmissionsFromMMS(R123, _xlfn.XLOOKUP($D269, $D$153:$D$159, $E$153:$E$159), $I$256)</f>
        <v>3.5790857142857157E-3</v>
      </c>
      <c r="T269" s="2"/>
    </row>
    <row r="270" spans="4:20" ht="20.100000000000001" customHeight="1" x14ac:dyDescent="0.25">
      <c r="D270" s="57" t="str">
        <f>'Input - Swine'!$D$29</f>
        <v>Anaerobic lagoon</v>
      </c>
      <c r="E270" s="57" t="str">
        <f>'Input - Swine'!$D$48</f>
        <v>Digester / covered lagoons</v>
      </c>
      <c r="F270" s="52" cm="1">
        <f t="array" ref="F270">MMS_Swine_N2ODirect_Equations.VEERG_4_5_1_3__1_TotalAnnualDirectNitrousOxideEmissionsFromMMS(F217, _xlfn.XLOOKUP($E270, $D$153:$D$159, $E$153:$E$159), $I$256)</f>
        <v>0</v>
      </c>
      <c r="G270" s="52" cm="1">
        <f t="array" ref="G270">MMS_Swine_N2ODirect_Equations.VEERG_4_5_1_3__1_TotalAnnualDirectNitrousOxideEmissionsFromMMS(G217, _xlfn.XLOOKUP($E270, $D$153:$D$159, $E$153:$E$159), $I$256)</f>
        <v>0</v>
      </c>
      <c r="H270" s="52" cm="1">
        <f t="array" ref="H270">MMS_Swine_N2ODirect_Equations.VEERG_4_5_1_3__1_TotalAnnualDirectNitrousOxideEmissionsFromMMS(H217, _xlfn.XLOOKUP($E270, $D$153:$D$159, $E$153:$E$159), $I$256)</f>
        <v>0</v>
      </c>
      <c r="I270" s="52" cm="1">
        <f t="array" ref="I270">MMS_Swine_N2ODirect_Equations.VEERG_4_5_1_3__1_TotalAnnualDirectNitrousOxideEmissionsFromMMS(I217, _xlfn.XLOOKUP($E270, $D$153:$D$159, $E$153:$E$159), $I$256)</f>
        <v>0</v>
      </c>
      <c r="J270" s="2"/>
      <c r="N270" s="57" t="str">
        <f>'Input - Swine'!$D$29</f>
        <v>Anaerobic lagoon</v>
      </c>
      <c r="O270" s="57" t="str">
        <f>'Input - Swine'!$D$48</f>
        <v>Digester / covered lagoons</v>
      </c>
      <c r="P270" s="52" cm="1">
        <f t="array" ref="P270">MMS_Swine_N2ODirect_Equations.VEERG_4_5_1_3__1_TotalAnnualDirectNitrousOxideEmissionsFromMMS(P217, _xlfn.XLOOKUP($E270, $D$153:$D$159, $E$153:$E$159), $I$256)</f>
        <v>0</v>
      </c>
      <c r="Q270" s="52" cm="1">
        <f t="array" ref="Q270">MMS_Swine_N2ODirect_Equations.VEERG_4_5_1_3__1_TotalAnnualDirectNitrousOxideEmissionsFromMMS(Q217, _xlfn.XLOOKUP($E270, $D$153:$D$159, $E$153:$E$159), $I$256)</f>
        <v>0</v>
      </c>
      <c r="R270" s="52" cm="1">
        <f t="array" ref="R270">MMS_Swine_N2ODirect_Equations.VEERG_4_5_1_3__1_TotalAnnualDirectNitrousOxideEmissionsFromMMS(R217, _xlfn.XLOOKUP($E270, $D$153:$D$159, $E$153:$E$159), $I$256)</f>
        <v>0</v>
      </c>
      <c r="S270" s="52" cm="1">
        <f t="array" ref="S270">MMS_Swine_N2ODirect_Equations.VEERG_4_5_1_3__1_TotalAnnualDirectNitrousOxideEmissionsFromMMS(S217, _xlfn.XLOOKUP($E270, $D$153:$D$159, $E$153:$E$159), $I$256)</f>
        <v>0</v>
      </c>
      <c r="T270" s="2"/>
    </row>
    <row r="271" spans="4:20" ht="20.100000000000001" customHeight="1" x14ac:dyDescent="0.25">
      <c r="D271" s="57"/>
      <c r="E271" s="57" t="str">
        <f>'Input - Swine'!$D$49</f>
        <v>Deep litter</v>
      </c>
      <c r="F271" s="52" cm="1">
        <f t="array" ref="F271">MMS_Swine_N2ODirect_Equations.VEERG_4_5_1_3__1_TotalAnnualDirectNitrousOxideEmissionsFromMMS(F218, _xlfn.XLOOKUP($E271, $D$153:$D$159, $E$153:$E$159), $I$256)</f>
        <v>2.8495028571428569E-4</v>
      </c>
      <c r="G271" s="52" cm="1">
        <f t="array" ref="G271">MMS_Swine_N2ODirect_Equations.VEERG_4_5_1_3__1_TotalAnnualDirectNitrousOxideEmissionsFromMMS(G218, _xlfn.XLOOKUP($E271, $D$153:$D$159, $E$153:$E$159), $I$256)</f>
        <v>3.7941750000000007E-4</v>
      </c>
      <c r="H271" s="52" cm="1">
        <f t="array" ref="H271">MMS_Swine_N2ODirect_Equations.VEERG_4_5_1_3__1_TotalAnnualDirectNitrousOxideEmissionsFromMMS(H218, _xlfn.XLOOKUP($E271, $D$153:$D$159, $E$153:$E$159), $I$256)</f>
        <v>3.5618785714285701E-4</v>
      </c>
      <c r="I271" s="52" cm="1">
        <f t="array" ref="I271">MMS_Swine_N2ODirect_Equations.VEERG_4_5_1_3__1_TotalAnnualDirectNitrousOxideEmissionsFromMMS(I218, _xlfn.XLOOKUP($E271, $D$153:$D$159, $E$153:$E$159), $I$256)</f>
        <v>2.4158828571428564E-4</v>
      </c>
      <c r="J271" s="2"/>
      <c r="N271" s="57"/>
      <c r="O271" s="57" t="str">
        <f>'Input - Swine'!$D$49</f>
        <v>Deep litter</v>
      </c>
      <c r="P271" s="52" cm="1">
        <f t="array" ref="P271">MMS_Swine_N2ODirect_Equations.VEERG_4_5_1_3__1_TotalAnnualDirectNitrousOxideEmissionsFromMMS(P218, _xlfn.XLOOKUP($E271, $D$153:$D$159, $E$153:$E$159), $I$256)</f>
        <v>2.8495028571428569E-4</v>
      </c>
      <c r="Q271" s="52" cm="1">
        <f t="array" ref="Q271">MMS_Swine_N2ODirect_Equations.VEERG_4_5_1_3__1_TotalAnnualDirectNitrousOxideEmissionsFromMMS(Q218, _xlfn.XLOOKUP($E271, $D$153:$D$159, $E$153:$E$159), $I$256)</f>
        <v>3.7941750000000007E-4</v>
      </c>
      <c r="R271" s="52" cm="1">
        <f t="array" ref="R271">MMS_Swine_N2ODirect_Equations.VEERG_4_5_1_3__1_TotalAnnualDirectNitrousOxideEmissionsFromMMS(R218, _xlfn.XLOOKUP($E271, $D$153:$D$159, $E$153:$E$159), $I$256)</f>
        <v>3.5618785714285701E-4</v>
      </c>
      <c r="S271" s="52" cm="1">
        <f t="array" ref="S271">MMS_Swine_N2ODirect_Equations.VEERG_4_5_1_3__1_TotalAnnualDirectNitrousOxideEmissionsFromMMS(S218, _xlfn.XLOOKUP($E271, $D$153:$D$159, $E$153:$E$159), $I$256)</f>
        <v>2.4158828571428564E-4</v>
      </c>
      <c r="T271" s="2"/>
    </row>
    <row r="272" spans="4:20" ht="20.100000000000001" customHeight="1" x14ac:dyDescent="0.25">
      <c r="D272" s="57"/>
      <c r="E272" s="57" t="str">
        <f>'Input - Swine'!$D$50</f>
        <v>Pit storage</v>
      </c>
      <c r="F272" s="52" cm="1">
        <f t="array" ref="F272">MMS_Swine_N2ODirect_Equations.VEERG_4_5_1_3__1_TotalAnnualDirectNitrousOxideEmissionsFromMMS(F219, _xlfn.XLOOKUP($E272, $D$153:$D$159, $E$153:$E$159), $I$256)</f>
        <v>5.6990057142857125E-5</v>
      </c>
      <c r="G272" s="52" cm="1">
        <f t="array" ref="G272">MMS_Swine_N2ODirect_Equations.VEERG_4_5_1_3__1_TotalAnnualDirectNitrousOxideEmissionsFromMMS(G219, _xlfn.XLOOKUP($E272, $D$153:$D$159, $E$153:$E$159), $I$256)</f>
        <v>7.5883500000000013E-5</v>
      </c>
      <c r="H272" s="52" cm="1">
        <f t="array" ref="H272">MMS_Swine_N2ODirect_Equations.VEERG_4_5_1_3__1_TotalAnnualDirectNitrousOxideEmissionsFromMMS(H219, _xlfn.XLOOKUP($E272, $D$153:$D$159, $E$153:$E$159), $I$256)</f>
        <v>7.1237571428571408E-5</v>
      </c>
      <c r="I272" s="52" cm="1">
        <f t="array" ref="I272">MMS_Swine_N2ODirect_Equations.VEERG_4_5_1_3__1_TotalAnnualDirectNitrousOxideEmissionsFromMMS(I219, _xlfn.XLOOKUP($E272, $D$153:$D$159, $E$153:$E$159), $I$256)</f>
        <v>4.831765714285713E-5</v>
      </c>
      <c r="J272" s="2"/>
      <c r="N272" s="57"/>
      <c r="O272" s="57" t="str">
        <f>'Input - Swine'!$D$50</f>
        <v>Pit storage</v>
      </c>
      <c r="P272" s="52" cm="1">
        <f t="array" ref="P272">MMS_Swine_N2ODirect_Equations.VEERG_4_5_1_3__1_TotalAnnualDirectNitrousOxideEmissionsFromMMS(P219, _xlfn.XLOOKUP($E272, $D$153:$D$159, $E$153:$E$159), $I$256)</f>
        <v>5.6990057142857125E-5</v>
      </c>
      <c r="Q272" s="52" cm="1">
        <f t="array" ref="Q272">MMS_Swine_N2ODirect_Equations.VEERG_4_5_1_3__1_TotalAnnualDirectNitrousOxideEmissionsFromMMS(Q219, _xlfn.XLOOKUP($E272, $D$153:$D$159, $E$153:$E$159), $I$256)</f>
        <v>7.5883500000000013E-5</v>
      </c>
      <c r="R272" s="52" cm="1">
        <f t="array" ref="R272">MMS_Swine_N2ODirect_Equations.VEERG_4_5_1_3__1_TotalAnnualDirectNitrousOxideEmissionsFromMMS(R219, _xlfn.XLOOKUP($E272, $D$153:$D$159, $E$153:$E$159), $I$256)</f>
        <v>7.1237571428571408E-5</v>
      </c>
      <c r="S272" s="52" cm="1">
        <f t="array" ref="S272">MMS_Swine_N2ODirect_Equations.VEERG_4_5_1_3__1_TotalAnnualDirectNitrousOxideEmissionsFromMMS(S219, _xlfn.XLOOKUP($E272, $D$153:$D$159, $E$153:$E$159), $I$256)</f>
        <v>4.831765714285713E-5</v>
      </c>
      <c r="T272" s="2"/>
    </row>
    <row r="273" spans="4:20" ht="20.100000000000001" customHeight="1" x14ac:dyDescent="0.25">
      <c r="D273" s="57"/>
      <c r="E273" s="57" t="str">
        <f>'Input - Swine'!$D$51</f>
        <v>Direct application</v>
      </c>
      <c r="F273" s="52" t="s">
        <v>172</v>
      </c>
      <c r="G273" s="52" t="s">
        <v>172</v>
      </c>
      <c r="H273" s="52" t="s">
        <v>172</v>
      </c>
      <c r="I273" s="52" t="s">
        <v>172</v>
      </c>
      <c r="J273" s="2"/>
      <c r="N273" s="57"/>
      <c r="O273" s="57" t="str">
        <f>'Input - Swine'!$D$51</f>
        <v>Direct application</v>
      </c>
      <c r="P273" s="52" t="s">
        <v>172</v>
      </c>
      <c r="Q273" s="52" t="s">
        <v>172</v>
      </c>
      <c r="R273" s="52" t="s">
        <v>172</v>
      </c>
      <c r="S273" s="52" t="s">
        <v>172</v>
      </c>
      <c r="T273" s="2"/>
    </row>
    <row r="274" spans="4:20" ht="20.100000000000001" customHeight="1" x14ac:dyDescent="0.25">
      <c r="D274" s="57" t="str">
        <f>'Input - Swine'!$D$30</f>
        <v>Drylot (feed pad)</v>
      </c>
      <c r="E274" s="57" t="str">
        <f>'Input - Swine'!$D$55</f>
        <v>Anaerobic lagoon</v>
      </c>
      <c r="F274" s="52" cm="1">
        <f t="array" ref="F274">MMS_Swine_N2ODirect_Equations.VEERG_4_5_1_3__1_TotalAnnualDirectNitrousOxideEmissionsFromMMS(F221, _xlfn.XLOOKUP($E274, $D$153:$D$159, $E$153:$E$159), $I$256)</f>
        <v>0</v>
      </c>
      <c r="G274" s="52" cm="1">
        <f t="array" ref="G274">MMS_Swine_N2ODirect_Equations.VEERG_4_5_1_3__1_TotalAnnualDirectNitrousOxideEmissionsFromMMS(G221, _xlfn.XLOOKUP($E274, $D$153:$D$159, $E$153:$E$159), $I$256)</f>
        <v>0</v>
      </c>
      <c r="H274" s="52" cm="1">
        <f t="array" ref="H274">MMS_Swine_N2ODirect_Equations.VEERG_4_5_1_3__1_TotalAnnualDirectNitrousOxideEmissionsFromMMS(H221, _xlfn.XLOOKUP($E274, $D$153:$D$159, $E$153:$E$159), $I$256)</f>
        <v>0</v>
      </c>
      <c r="I274" s="52" cm="1">
        <f t="array" ref="I274">MMS_Swine_N2ODirect_Equations.VEERG_4_5_1_3__1_TotalAnnualDirectNitrousOxideEmissionsFromMMS(I221, _xlfn.XLOOKUP($E274, $D$153:$D$159, $E$153:$E$159), $I$256)</f>
        <v>0</v>
      </c>
      <c r="J274" s="2"/>
      <c r="N274" s="57" t="str">
        <f>'Input - Swine'!$D$30</f>
        <v>Drylot (feed pad)</v>
      </c>
      <c r="O274" s="57" t="str">
        <f>'Input - Swine'!$D$55</f>
        <v>Anaerobic lagoon</v>
      </c>
      <c r="P274" s="52" cm="1">
        <f t="array" ref="P274">MMS_Swine_N2ODirect_Equations.VEERG_4_5_1_3__1_TotalAnnualDirectNitrousOxideEmissionsFromMMS(P221, _xlfn.XLOOKUP($E274, $D$153:$D$159, $E$153:$E$159), $I$256)</f>
        <v>0</v>
      </c>
      <c r="Q274" s="52" cm="1">
        <f t="array" ref="Q274">MMS_Swine_N2ODirect_Equations.VEERG_4_5_1_3__1_TotalAnnualDirectNitrousOxideEmissionsFromMMS(Q221, _xlfn.XLOOKUP($E274, $D$153:$D$159, $E$153:$E$159), $I$256)</f>
        <v>0</v>
      </c>
      <c r="R274" s="52" cm="1">
        <f t="array" ref="R274">MMS_Swine_N2ODirect_Equations.VEERG_4_5_1_3__1_TotalAnnualDirectNitrousOxideEmissionsFromMMS(R221, _xlfn.XLOOKUP($E274, $D$153:$D$159, $E$153:$E$159), $I$256)</f>
        <v>0</v>
      </c>
      <c r="S274" s="52" cm="1">
        <f t="array" ref="S274">MMS_Swine_N2ODirect_Equations.VEERG_4_5_1_3__1_TotalAnnualDirectNitrousOxideEmissionsFromMMS(S221, _xlfn.XLOOKUP($E274, $D$153:$D$159, $E$153:$E$159), $I$256)</f>
        <v>0</v>
      </c>
      <c r="T274" s="2"/>
    </row>
    <row r="275" spans="4:20" ht="20.100000000000001" customHeight="1" x14ac:dyDescent="0.25">
      <c r="D275" s="57"/>
      <c r="E275" s="57" t="str">
        <f>'Input - Swine'!$D$56</f>
        <v>Digester / covered lagoons</v>
      </c>
      <c r="F275" s="52" cm="1">
        <f t="array" ref="F275">MMS_Swine_N2ODirect_Equations.VEERG_4_5_1_3__1_TotalAnnualDirectNitrousOxideEmissionsFromMMS(F222, _xlfn.XLOOKUP($E275, $D$153:$D$159, $E$153:$E$159), $I$256)</f>
        <v>0</v>
      </c>
      <c r="G275" s="52" cm="1">
        <f t="array" ref="G275">MMS_Swine_N2ODirect_Equations.VEERG_4_5_1_3__1_TotalAnnualDirectNitrousOxideEmissionsFromMMS(G222, _xlfn.XLOOKUP($E275, $D$153:$D$159, $E$153:$E$159), $I$256)</f>
        <v>0</v>
      </c>
      <c r="H275" s="52" cm="1">
        <f t="array" ref="H275">MMS_Swine_N2ODirect_Equations.VEERG_4_5_1_3__1_TotalAnnualDirectNitrousOxideEmissionsFromMMS(H222, _xlfn.XLOOKUP($E275, $D$153:$D$159, $E$153:$E$159), $I$256)</f>
        <v>0</v>
      </c>
      <c r="I275" s="52" cm="1">
        <f t="array" ref="I275">MMS_Swine_N2ODirect_Equations.VEERG_4_5_1_3__1_TotalAnnualDirectNitrousOxideEmissionsFromMMS(I222, _xlfn.XLOOKUP($E275, $D$153:$D$159, $E$153:$E$159), $I$256)</f>
        <v>0</v>
      </c>
      <c r="J275" s="2"/>
      <c r="N275" s="57"/>
      <c r="O275" s="57" t="str">
        <f>'Input - Swine'!$D$56</f>
        <v>Digester / covered lagoons</v>
      </c>
      <c r="P275" s="52" cm="1">
        <f t="array" ref="P275">MMS_Swine_N2ODirect_Equations.VEERG_4_5_1_3__1_TotalAnnualDirectNitrousOxideEmissionsFromMMS(P222, _xlfn.XLOOKUP($E275, $D$153:$D$159, $E$153:$E$159), $I$256)</f>
        <v>0</v>
      </c>
      <c r="Q275" s="52" cm="1">
        <f t="array" ref="Q275">MMS_Swine_N2ODirect_Equations.VEERG_4_5_1_3__1_TotalAnnualDirectNitrousOxideEmissionsFromMMS(Q222, _xlfn.XLOOKUP($E275, $D$153:$D$159, $E$153:$E$159), $I$256)</f>
        <v>0</v>
      </c>
      <c r="R275" s="52" cm="1">
        <f t="array" ref="R275">MMS_Swine_N2ODirect_Equations.VEERG_4_5_1_3__1_TotalAnnualDirectNitrousOxideEmissionsFromMMS(R222, _xlfn.XLOOKUP($E275, $D$153:$D$159, $E$153:$E$159), $I$256)</f>
        <v>0</v>
      </c>
      <c r="S275" s="52" cm="1">
        <f t="array" ref="S275">MMS_Swine_N2ODirect_Equations.VEERG_4_5_1_3__1_TotalAnnualDirectNitrousOxideEmissionsFromMMS(S222, _xlfn.XLOOKUP($E275, $D$153:$D$159, $E$153:$E$159), $I$256)</f>
        <v>0</v>
      </c>
      <c r="T275" s="2"/>
    </row>
    <row r="276" spans="4:20" ht="20.100000000000001" customHeight="1" x14ac:dyDescent="0.25">
      <c r="D276" s="57"/>
      <c r="E276" s="57" t="str">
        <f>'Input - Swine'!$D$57</f>
        <v>Deep litter</v>
      </c>
      <c r="F276" s="52" cm="1">
        <f t="array" ref="F276">MMS_Swine_N2ODirect_Equations.VEERG_4_5_1_3__1_TotalAnnualDirectNitrousOxideEmissionsFromMMS(F223, _xlfn.XLOOKUP($E276, $D$153:$D$159, $E$153:$E$159), $I$256)</f>
        <v>4.3059154285714273E-4</v>
      </c>
      <c r="G276" s="52" cm="1">
        <f t="array" ref="G276">MMS_Swine_N2ODirect_Equations.VEERG_4_5_1_3__1_TotalAnnualDirectNitrousOxideEmissionsFromMMS(G223, _xlfn.XLOOKUP($E276, $D$153:$D$159, $E$153:$E$159), $I$256)</f>
        <v>5.7334200000000012E-4</v>
      </c>
      <c r="H276" s="52" cm="1">
        <f t="array" ref="H276">MMS_Swine_N2ODirect_Equations.VEERG_4_5_1_3__1_TotalAnnualDirectNitrousOxideEmissionsFromMMS(H223, _xlfn.XLOOKUP($E276, $D$153:$D$159, $E$153:$E$159), $I$256)</f>
        <v>5.3823942857142838E-4</v>
      </c>
      <c r="I276" s="52" cm="1">
        <f t="array" ref="I276">MMS_Swine_N2ODirect_Equations.VEERG_4_5_1_3__1_TotalAnnualDirectNitrousOxideEmissionsFromMMS(I223, _xlfn.XLOOKUP($E276, $D$153:$D$159, $E$153:$E$159), $I$256)</f>
        <v>3.6506674285714276E-4</v>
      </c>
      <c r="J276" s="2"/>
      <c r="N276" s="57"/>
      <c r="O276" s="57" t="str">
        <f>'Input - Swine'!$D$57</f>
        <v>Deep litter</v>
      </c>
      <c r="P276" s="52" cm="1">
        <f t="array" ref="P276">MMS_Swine_N2ODirect_Equations.VEERG_4_5_1_3__1_TotalAnnualDirectNitrousOxideEmissionsFromMMS(P223, _xlfn.XLOOKUP($E276, $D$153:$D$159, $E$153:$E$159), $I$256)</f>
        <v>4.3059154285714273E-4</v>
      </c>
      <c r="Q276" s="52" cm="1">
        <f t="array" ref="Q276">MMS_Swine_N2ODirect_Equations.VEERG_4_5_1_3__1_TotalAnnualDirectNitrousOxideEmissionsFromMMS(Q223, _xlfn.XLOOKUP($E276, $D$153:$D$159, $E$153:$E$159), $I$256)</f>
        <v>5.7334200000000012E-4</v>
      </c>
      <c r="R276" s="52" cm="1">
        <f t="array" ref="R276">MMS_Swine_N2ODirect_Equations.VEERG_4_5_1_3__1_TotalAnnualDirectNitrousOxideEmissionsFromMMS(R223, _xlfn.XLOOKUP($E276, $D$153:$D$159, $E$153:$E$159), $I$256)</f>
        <v>5.3823942857142838E-4</v>
      </c>
      <c r="S276" s="52" cm="1">
        <f t="array" ref="S276">MMS_Swine_N2ODirect_Equations.VEERG_4_5_1_3__1_TotalAnnualDirectNitrousOxideEmissionsFromMMS(S223, _xlfn.XLOOKUP($E276, $D$153:$D$159, $E$153:$E$159), $I$256)</f>
        <v>3.6506674285714276E-4</v>
      </c>
      <c r="T276" s="2"/>
    </row>
    <row r="277" spans="4:20" ht="20.100000000000001" customHeight="1" x14ac:dyDescent="0.25">
      <c r="D277" s="57"/>
      <c r="E277" s="57" t="str">
        <f>'Input - Swine'!$D$58</f>
        <v>Pit storage</v>
      </c>
      <c r="F277" s="52" cm="1">
        <f t="array" ref="F277">MMS_Swine_N2ODirect_Equations.VEERG_4_5_1_3__1_TotalAnnualDirectNitrousOxideEmissionsFromMMS(F224, _xlfn.XLOOKUP($E277, $D$153:$D$159, $E$153:$E$159), $I$256)</f>
        <v>8.6118308571428545E-5</v>
      </c>
      <c r="G277" s="52" cm="1">
        <f t="array" ref="G277">MMS_Swine_N2ODirect_Equations.VEERG_4_5_1_3__1_TotalAnnualDirectNitrousOxideEmissionsFromMMS(G224, _xlfn.XLOOKUP($E277, $D$153:$D$159, $E$153:$E$159), $I$256)</f>
        <v>1.1466840000000002E-4</v>
      </c>
      <c r="H277" s="52" cm="1">
        <f t="array" ref="H277">MMS_Swine_N2ODirect_Equations.VEERG_4_5_1_3__1_TotalAnnualDirectNitrousOxideEmissionsFromMMS(H224, _xlfn.XLOOKUP($E277, $D$153:$D$159, $E$153:$E$159), $I$256)</f>
        <v>1.0764788571428568E-4</v>
      </c>
      <c r="I277" s="52" cm="1">
        <f t="array" ref="I277">MMS_Swine_N2ODirect_Equations.VEERG_4_5_1_3__1_TotalAnnualDirectNitrousOxideEmissionsFromMMS(I224, _xlfn.XLOOKUP($E277, $D$153:$D$159, $E$153:$E$159), $I$256)</f>
        <v>7.3013348571428544E-5</v>
      </c>
      <c r="J277" s="2"/>
      <c r="N277" s="57"/>
      <c r="O277" s="57" t="str">
        <f>'Input - Swine'!$D$58</f>
        <v>Pit storage</v>
      </c>
      <c r="P277" s="52" cm="1">
        <f t="array" ref="P277">MMS_Swine_N2ODirect_Equations.VEERG_4_5_1_3__1_TotalAnnualDirectNitrousOxideEmissionsFromMMS(P224, _xlfn.XLOOKUP($E277, $D$153:$D$159, $E$153:$E$159), $I$256)</f>
        <v>8.6118308571428545E-5</v>
      </c>
      <c r="Q277" s="52" cm="1">
        <f t="array" ref="Q277">MMS_Swine_N2ODirect_Equations.VEERG_4_5_1_3__1_TotalAnnualDirectNitrousOxideEmissionsFromMMS(Q224, _xlfn.XLOOKUP($E277, $D$153:$D$159, $E$153:$E$159), $I$256)</f>
        <v>1.1466840000000002E-4</v>
      </c>
      <c r="R277" s="52" cm="1">
        <f t="array" ref="R277">MMS_Swine_N2ODirect_Equations.VEERG_4_5_1_3__1_TotalAnnualDirectNitrousOxideEmissionsFromMMS(R224, _xlfn.XLOOKUP($E277, $D$153:$D$159, $E$153:$E$159), $I$256)</f>
        <v>1.0764788571428568E-4</v>
      </c>
      <c r="S277" s="52" cm="1">
        <f t="array" ref="S277">MMS_Swine_N2ODirect_Equations.VEERG_4_5_1_3__1_TotalAnnualDirectNitrousOxideEmissionsFromMMS(S224, _xlfn.XLOOKUP($E277, $D$153:$D$159, $E$153:$E$159), $I$256)</f>
        <v>7.3013348571428544E-5</v>
      </c>
      <c r="T277" s="2"/>
    </row>
    <row r="278" spans="4:20" ht="20.100000000000001" customHeight="1" x14ac:dyDescent="0.25">
      <c r="D278" s="57"/>
      <c r="E278" s="57" t="str">
        <f>'Input - Swine'!$D$59</f>
        <v>Direct application</v>
      </c>
      <c r="F278" s="52" t="s">
        <v>172</v>
      </c>
      <c r="G278" s="52" t="s">
        <v>172</v>
      </c>
      <c r="H278" s="52" t="s">
        <v>172</v>
      </c>
      <c r="I278" s="52" t="s">
        <v>172</v>
      </c>
      <c r="J278" s="2"/>
      <c r="N278" s="57"/>
      <c r="O278" s="57" t="str">
        <f>'Input - Swine'!$D$59</f>
        <v>Direct application</v>
      </c>
      <c r="P278" s="52" t="s">
        <v>172</v>
      </c>
      <c r="Q278" s="52" t="s">
        <v>172</v>
      </c>
      <c r="R278" s="52" t="s">
        <v>172</v>
      </c>
      <c r="S278" s="52" t="s">
        <v>172</v>
      </c>
      <c r="T278" s="2"/>
    </row>
    <row r="279" spans="4:20" ht="20.100000000000001" customHeight="1" x14ac:dyDescent="0.25">
      <c r="D279" s="57" t="str">
        <f>'Input - Swine'!$D$31</f>
        <v>Digester / covered lagoons</v>
      </c>
      <c r="E279" s="57" t="str">
        <f>'Input - Swine'!$D$63</f>
        <v>Anaerobic lagoon</v>
      </c>
      <c r="F279" s="52" cm="1">
        <f t="array" ref="F279">MMS_Swine_N2ODirect_Equations.VEERG_4_5_1_3__1_TotalAnnualDirectNitrousOxideEmissionsFromMMS(F226, _xlfn.XLOOKUP($E279, $D$153:$D$159, $E$153:$E$159), $I$256)</f>
        <v>0</v>
      </c>
      <c r="G279" s="52" cm="1">
        <f t="array" ref="G279">MMS_Swine_N2ODirect_Equations.VEERG_4_5_1_3__1_TotalAnnualDirectNitrousOxideEmissionsFromMMS(G226, _xlfn.XLOOKUP($E279, $D$153:$D$159, $E$153:$E$159), $I$256)</f>
        <v>0</v>
      </c>
      <c r="H279" s="52" cm="1">
        <f t="array" ref="H279">MMS_Swine_N2ODirect_Equations.VEERG_4_5_1_3__1_TotalAnnualDirectNitrousOxideEmissionsFromMMS(H226, _xlfn.XLOOKUP($E279, $D$153:$D$159, $E$153:$E$159), $I$256)</f>
        <v>0</v>
      </c>
      <c r="I279" s="52" cm="1">
        <f t="array" ref="I279">MMS_Swine_N2ODirect_Equations.VEERG_4_5_1_3__1_TotalAnnualDirectNitrousOxideEmissionsFromMMS(I226, _xlfn.XLOOKUP($E279, $D$153:$D$159, $E$153:$E$159), $I$256)</f>
        <v>0</v>
      </c>
      <c r="J279" s="2"/>
      <c r="N279" s="57" t="str">
        <f>'Input - Swine'!$D$31</f>
        <v>Digester / covered lagoons</v>
      </c>
      <c r="O279" s="57" t="str">
        <f>'Input - Swine'!$D$63</f>
        <v>Anaerobic lagoon</v>
      </c>
      <c r="P279" s="52" cm="1">
        <f t="array" ref="P279">MMS_Swine_N2ODirect_Equations.VEERG_4_5_1_3__1_TotalAnnualDirectNitrousOxideEmissionsFromMMS(P226, _xlfn.XLOOKUP($E279, $D$153:$D$159, $E$153:$E$159), $I$256)</f>
        <v>0</v>
      </c>
      <c r="Q279" s="52" cm="1">
        <f t="array" ref="Q279">MMS_Swine_N2ODirect_Equations.VEERG_4_5_1_3__1_TotalAnnualDirectNitrousOxideEmissionsFromMMS(Q226, _xlfn.XLOOKUP($E279, $D$153:$D$159, $E$153:$E$159), $I$256)</f>
        <v>0</v>
      </c>
      <c r="R279" s="52" cm="1">
        <f t="array" ref="R279">MMS_Swine_N2ODirect_Equations.VEERG_4_5_1_3__1_TotalAnnualDirectNitrousOxideEmissionsFromMMS(R226, _xlfn.XLOOKUP($E279, $D$153:$D$159, $E$153:$E$159), $I$256)</f>
        <v>0</v>
      </c>
      <c r="S279" s="52" cm="1">
        <f t="array" ref="S279">MMS_Swine_N2ODirect_Equations.VEERG_4_5_1_3__1_TotalAnnualDirectNitrousOxideEmissionsFromMMS(S226, _xlfn.XLOOKUP($E279, $D$153:$D$159, $E$153:$E$159), $I$256)</f>
        <v>0</v>
      </c>
      <c r="T279" s="2"/>
    </row>
    <row r="280" spans="4:20" ht="20.100000000000001" customHeight="1" x14ac:dyDescent="0.25">
      <c r="D280" s="57"/>
      <c r="E280" s="57" t="str">
        <f>'Input - Swine'!$D$64</f>
        <v>Deep litter</v>
      </c>
      <c r="F280" s="52" cm="1">
        <f t="array" ref="F280">MMS_Swine_N2ODirect_Equations.VEERG_4_5_1_3__1_TotalAnnualDirectNitrousOxideEmissionsFromMMS(F227, _xlfn.XLOOKUP($E280, $D$153:$D$159, $E$153:$E$159), $I$256)</f>
        <v>6.3322285714285703E-4</v>
      </c>
      <c r="G280" s="52" cm="1">
        <f t="array" ref="G280">MMS_Swine_N2ODirect_Equations.VEERG_4_5_1_3__1_TotalAnnualDirectNitrousOxideEmissionsFromMMS(G227, _xlfn.XLOOKUP($E280, $D$153:$D$159, $E$153:$E$159), $I$256)</f>
        <v>8.4315000000000008E-4</v>
      </c>
      <c r="H280" s="52" cm="1">
        <f t="array" ref="H280">MMS_Swine_N2ODirect_Equations.VEERG_4_5_1_3__1_TotalAnnualDirectNitrousOxideEmissionsFromMMS(H227, _xlfn.XLOOKUP($E280, $D$153:$D$159, $E$153:$E$159), $I$256)</f>
        <v>7.9152857142857124E-4</v>
      </c>
      <c r="I280" s="52" cm="1">
        <f t="array" ref="I280">MMS_Swine_N2ODirect_Equations.VEERG_4_5_1_3__1_TotalAnnualDirectNitrousOxideEmissionsFromMMS(I227, _xlfn.XLOOKUP($E280, $D$153:$D$159, $E$153:$E$159), $I$256)</f>
        <v>5.3686285714285705E-4</v>
      </c>
      <c r="J280" s="2"/>
      <c r="N280" s="57"/>
      <c r="O280" s="57" t="str">
        <f>'Input - Swine'!$D$64</f>
        <v>Deep litter</v>
      </c>
      <c r="P280" s="52" cm="1">
        <f t="array" ref="P280">MMS_Swine_N2ODirect_Equations.VEERG_4_5_1_3__1_TotalAnnualDirectNitrousOxideEmissionsFromMMS(P227, _xlfn.XLOOKUP($E280, $D$153:$D$159, $E$153:$E$159), $I$256)</f>
        <v>6.3322285714285703E-4</v>
      </c>
      <c r="Q280" s="52" cm="1">
        <f t="array" ref="Q280">MMS_Swine_N2ODirect_Equations.VEERG_4_5_1_3__1_TotalAnnualDirectNitrousOxideEmissionsFromMMS(Q227, _xlfn.XLOOKUP($E280, $D$153:$D$159, $E$153:$E$159), $I$256)</f>
        <v>8.4315000000000008E-4</v>
      </c>
      <c r="R280" s="52" cm="1">
        <f t="array" ref="R280">MMS_Swine_N2ODirect_Equations.VEERG_4_5_1_3__1_TotalAnnualDirectNitrousOxideEmissionsFromMMS(R227, _xlfn.XLOOKUP($E280, $D$153:$D$159, $E$153:$E$159), $I$256)</f>
        <v>7.9152857142857124E-4</v>
      </c>
      <c r="S280" s="52" cm="1">
        <f t="array" ref="S280">MMS_Swine_N2ODirect_Equations.VEERG_4_5_1_3__1_TotalAnnualDirectNitrousOxideEmissionsFromMMS(S227, _xlfn.XLOOKUP($E280, $D$153:$D$159, $E$153:$E$159), $I$256)</f>
        <v>5.3686285714285705E-4</v>
      </c>
      <c r="T280" s="2"/>
    </row>
    <row r="281" spans="4:20" ht="20.100000000000001" customHeight="1" x14ac:dyDescent="0.25">
      <c r="D281" s="57"/>
      <c r="E281" s="57" t="str">
        <f>'Input - Swine'!$D$65</f>
        <v>Pit storage</v>
      </c>
      <c r="F281" s="52" cm="1">
        <f t="array" ref="F281">MMS_Swine_N2ODirect_Equations.VEERG_4_5_1_3__1_TotalAnnualDirectNitrousOxideEmissionsFromMMS(F228, _xlfn.XLOOKUP($E281, $D$153:$D$159, $E$153:$E$159), $I$256)</f>
        <v>1.266445714285714E-4</v>
      </c>
      <c r="G281" s="52" cm="1">
        <f t="array" ref="G281">MMS_Swine_N2ODirect_Equations.VEERG_4_5_1_3__1_TotalAnnualDirectNitrousOxideEmissionsFromMMS(G228, _xlfn.XLOOKUP($E281, $D$153:$D$159, $E$153:$E$159), $I$256)</f>
        <v>1.6863000000000004E-4</v>
      </c>
      <c r="H281" s="52" cm="1">
        <f t="array" ref="H281">MMS_Swine_N2ODirect_Equations.VEERG_4_5_1_3__1_TotalAnnualDirectNitrousOxideEmissionsFromMMS(H228, _xlfn.XLOOKUP($E281, $D$153:$D$159, $E$153:$E$159), $I$256)</f>
        <v>1.5830571428571426E-4</v>
      </c>
      <c r="I281" s="52" cm="1">
        <f t="array" ref="I281">MMS_Swine_N2ODirect_Equations.VEERG_4_5_1_3__1_TotalAnnualDirectNitrousOxideEmissionsFromMMS(I228, _xlfn.XLOOKUP($E281, $D$153:$D$159, $E$153:$E$159), $I$256)</f>
        <v>1.073725714285714E-4</v>
      </c>
      <c r="J281" s="2"/>
      <c r="N281" s="57"/>
      <c r="O281" s="57" t="str">
        <f>'Input - Swine'!$D$65</f>
        <v>Pit storage</v>
      </c>
      <c r="P281" s="52" cm="1">
        <f t="array" ref="P281">MMS_Swine_N2ODirect_Equations.VEERG_4_5_1_3__1_TotalAnnualDirectNitrousOxideEmissionsFromMMS(P228, _xlfn.XLOOKUP($E281, $D$153:$D$159, $E$153:$E$159), $I$256)</f>
        <v>1.266445714285714E-4</v>
      </c>
      <c r="Q281" s="52" cm="1">
        <f t="array" ref="Q281">MMS_Swine_N2ODirect_Equations.VEERG_4_5_1_3__1_TotalAnnualDirectNitrousOxideEmissionsFromMMS(Q228, _xlfn.XLOOKUP($E281, $D$153:$D$159, $E$153:$E$159), $I$256)</f>
        <v>1.6863000000000004E-4</v>
      </c>
      <c r="R281" s="52" cm="1">
        <f t="array" ref="R281">MMS_Swine_N2ODirect_Equations.VEERG_4_5_1_3__1_TotalAnnualDirectNitrousOxideEmissionsFromMMS(R228, _xlfn.XLOOKUP($E281, $D$153:$D$159, $E$153:$E$159), $I$256)</f>
        <v>1.5830571428571426E-4</v>
      </c>
      <c r="S281" s="52" cm="1">
        <f t="array" ref="S281">MMS_Swine_N2ODirect_Equations.VEERG_4_5_1_3__1_TotalAnnualDirectNitrousOxideEmissionsFromMMS(S228, _xlfn.XLOOKUP($E281, $D$153:$D$159, $E$153:$E$159), $I$256)</f>
        <v>1.073725714285714E-4</v>
      </c>
      <c r="T281" s="2"/>
    </row>
    <row r="282" spans="4:20" ht="20.100000000000001" customHeight="1" x14ac:dyDescent="0.25">
      <c r="D282" s="57"/>
      <c r="E282" s="57" t="str">
        <f>'Input - Swine'!$D$66</f>
        <v>Direct application</v>
      </c>
      <c r="F282" s="52" t="s">
        <v>172</v>
      </c>
      <c r="G282" s="52" t="s">
        <v>172</v>
      </c>
      <c r="H282" s="52" t="s">
        <v>172</v>
      </c>
      <c r="I282" s="52" t="s">
        <v>172</v>
      </c>
      <c r="J282" s="2"/>
      <c r="N282" s="57"/>
      <c r="O282" s="57" t="str">
        <f>'Input - Swine'!$D$66</f>
        <v>Direct application</v>
      </c>
      <c r="P282" s="52" t="s">
        <v>172</v>
      </c>
      <c r="Q282" s="52" t="s">
        <v>172</v>
      </c>
      <c r="R282" s="52" t="s">
        <v>172</v>
      </c>
      <c r="S282" s="52" t="s">
        <v>172</v>
      </c>
      <c r="T282" s="2"/>
    </row>
    <row r="283" spans="4:20" ht="20.100000000000001" customHeight="1" x14ac:dyDescent="0.25">
      <c r="D283" s="57" t="str">
        <f>'Input - Swine'!$D$32</f>
        <v>Deep litter</v>
      </c>
      <c r="E283" s="57" t="str">
        <f>'Input - Swine'!$D$70</f>
        <v>Anaerobic lagoon</v>
      </c>
      <c r="F283" s="52" cm="1">
        <f t="array" ref="F283">MMS_Swine_N2ODirect_Equations.VEERG_4_5_1_3__1_TotalAnnualDirectNitrousOxideEmissionsFromMMS(F230, _xlfn.XLOOKUP($E283, $D$153:$D$159, $E$153:$E$159), $I$256)</f>
        <v>0</v>
      </c>
      <c r="G283" s="52" cm="1">
        <f t="array" ref="G283">MMS_Swine_N2ODirect_Equations.VEERG_4_5_1_3__1_TotalAnnualDirectNitrousOxideEmissionsFromMMS(G230, _xlfn.XLOOKUP($E283, $D$153:$D$159, $E$153:$E$159), $I$256)</f>
        <v>0</v>
      </c>
      <c r="H283" s="52" cm="1">
        <f t="array" ref="H283">MMS_Swine_N2ODirect_Equations.VEERG_4_5_1_3__1_TotalAnnualDirectNitrousOxideEmissionsFromMMS(H230, _xlfn.XLOOKUP($E283, $D$153:$D$159, $E$153:$E$159), $I$256)</f>
        <v>0</v>
      </c>
      <c r="I283" s="52" cm="1">
        <f t="array" ref="I283">MMS_Swine_N2ODirect_Equations.VEERG_4_5_1_3__1_TotalAnnualDirectNitrousOxideEmissionsFromMMS(I230, _xlfn.XLOOKUP($E283, $D$153:$D$159, $E$153:$E$159), $I$256)</f>
        <v>0</v>
      </c>
      <c r="J283" s="2"/>
      <c r="N283" s="57" t="str">
        <f>'Input - Swine'!$D$32</f>
        <v>Deep litter</v>
      </c>
      <c r="O283" s="57" t="str">
        <f>'Input - Swine'!$D$70</f>
        <v>Anaerobic lagoon</v>
      </c>
      <c r="P283" s="52" cm="1">
        <f t="array" ref="P283">MMS_Swine_N2ODirect_Equations.VEERG_4_5_1_3__1_TotalAnnualDirectNitrousOxideEmissionsFromMMS(P230, _xlfn.XLOOKUP($E283, $D$153:$D$159, $E$153:$E$159), $I$256)</f>
        <v>0</v>
      </c>
      <c r="Q283" s="52" cm="1">
        <f t="array" ref="Q283">MMS_Swine_N2ODirect_Equations.VEERG_4_5_1_3__1_TotalAnnualDirectNitrousOxideEmissionsFromMMS(Q230, _xlfn.XLOOKUP($E283, $D$153:$D$159, $E$153:$E$159), $I$256)</f>
        <v>0</v>
      </c>
      <c r="R283" s="52" cm="1">
        <f t="array" ref="R283">MMS_Swine_N2ODirect_Equations.VEERG_4_5_1_3__1_TotalAnnualDirectNitrousOxideEmissionsFromMMS(R230, _xlfn.XLOOKUP($E283, $D$153:$D$159, $E$153:$E$159), $I$256)</f>
        <v>0</v>
      </c>
      <c r="S283" s="52" cm="1">
        <f t="array" ref="S283">MMS_Swine_N2ODirect_Equations.VEERG_4_5_1_3__1_TotalAnnualDirectNitrousOxideEmissionsFromMMS(S230, _xlfn.XLOOKUP($E283, $D$153:$D$159, $E$153:$E$159), $I$256)</f>
        <v>0</v>
      </c>
      <c r="T283" s="2"/>
    </row>
    <row r="284" spans="4:20" ht="20.100000000000001" customHeight="1" x14ac:dyDescent="0.25">
      <c r="D284" s="57"/>
      <c r="E284" s="57" t="str">
        <f>'Input - Swine'!$D$71</f>
        <v>Digester / covered lagoons</v>
      </c>
      <c r="F284" s="52" cm="1">
        <f t="array" ref="F284">MMS_Swine_N2ODirect_Equations.VEERG_4_5_1_3__1_TotalAnnualDirectNitrousOxideEmissionsFromMMS(F231, _xlfn.XLOOKUP($E284, $D$153:$D$159, $E$153:$E$159), $I$256)</f>
        <v>0</v>
      </c>
      <c r="G284" s="52" cm="1">
        <f t="array" ref="G284">MMS_Swine_N2ODirect_Equations.VEERG_4_5_1_3__1_TotalAnnualDirectNitrousOxideEmissionsFromMMS(G231, _xlfn.XLOOKUP($E284, $D$153:$D$159, $E$153:$E$159), $I$256)</f>
        <v>0</v>
      </c>
      <c r="H284" s="52" cm="1">
        <f t="array" ref="H284">MMS_Swine_N2ODirect_Equations.VEERG_4_5_1_3__1_TotalAnnualDirectNitrousOxideEmissionsFromMMS(H231, _xlfn.XLOOKUP($E284, $D$153:$D$159, $E$153:$E$159), $I$256)</f>
        <v>0</v>
      </c>
      <c r="I284" s="52" cm="1">
        <f t="array" ref="I284">MMS_Swine_N2ODirect_Equations.VEERG_4_5_1_3__1_TotalAnnualDirectNitrousOxideEmissionsFromMMS(I231, _xlfn.XLOOKUP($E284, $D$153:$D$159, $E$153:$E$159), $I$256)</f>
        <v>0</v>
      </c>
      <c r="J284" s="2"/>
      <c r="N284" s="57"/>
      <c r="O284" s="57" t="str">
        <f>'Input - Swine'!$D$71</f>
        <v>Digester / covered lagoons</v>
      </c>
      <c r="P284" s="52" cm="1">
        <f t="array" ref="P284">MMS_Swine_N2ODirect_Equations.VEERG_4_5_1_3__1_TotalAnnualDirectNitrousOxideEmissionsFromMMS(P231, _xlfn.XLOOKUP($E284, $D$153:$D$159, $E$153:$E$159), $I$256)</f>
        <v>0</v>
      </c>
      <c r="Q284" s="52" cm="1">
        <f t="array" ref="Q284">MMS_Swine_N2ODirect_Equations.VEERG_4_5_1_3__1_TotalAnnualDirectNitrousOxideEmissionsFromMMS(Q231, _xlfn.XLOOKUP($E284, $D$153:$D$159, $E$153:$E$159), $I$256)</f>
        <v>0</v>
      </c>
      <c r="R284" s="52" cm="1">
        <f t="array" ref="R284">MMS_Swine_N2ODirect_Equations.VEERG_4_5_1_3__1_TotalAnnualDirectNitrousOxideEmissionsFromMMS(R231, _xlfn.XLOOKUP($E284, $D$153:$D$159, $E$153:$E$159), $I$256)</f>
        <v>0</v>
      </c>
      <c r="S284" s="52" cm="1">
        <f t="array" ref="S284">MMS_Swine_N2ODirect_Equations.VEERG_4_5_1_3__1_TotalAnnualDirectNitrousOxideEmissionsFromMMS(S231, _xlfn.XLOOKUP($E284, $D$153:$D$159, $E$153:$E$159), $I$256)</f>
        <v>0</v>
      </c>
      <c r="T284" s="2"/>
    </row>
    <row r="285" spans="4:20" ht="20.100000000000001" customHeight="1" x14ac:dyDescent="0.25">
      <c r="D285" s="57"/>
      <c r="E285" s="57" t="str">
        <f>'Input - Swine'!$D$72</f>
        <v>Pit storage</v>
      </c>
      <c r="F285" s="52" cm="1">
        <f t="array" ref="F285">MMS_Swine_N2ODirect_Equations.VEERG_4_5_1_3__1_TotalAnnualDirectNitrousOxideEmissionsFromMMS(F232, _xlfn.XLOOKUP($E285, $D$153:$D$159, $E$153:$E$159), $I$256)</f>
        <v>1.0954755428571425E-4</v>
      </c>
      <c r="G285" s="52" cm="1">
        <f t="array" ref="G285">MMS_Swine_N2ODirect_Equations.VEERG_4_5_1_3__1_TotalAnnualDirectNitrousOxideEmissionsFromMMS(G232, _xlfn.XLOOKUP($E285, $D$153:$D$159, $E$153:$E$159), $I$256)</f>
        <v>1.4586495000000002E-4</v>
      </c>
      <c r="H285" s="52" cm="1">
        <f t="array" ref="H285">MMS_Swine_N2ODirect_Equations.VEERG_4_5_1_3__1_TotalAnnualDirectNitrousOxideEmissionsFromMMS(H232, _xlfn.XLOOKUP($E285, $D$153:$D$159, $E$153:$E$159), $I$256)</f>
        <v>1.3693444285714282E-4</v>
      </c>
      <c r="I285" s="52" cm="1">
        <f t="array" ref="I285">MMS_Swine_N2ODirect_Equations.VEERG_4_5_1_3__1_TotalAnnualDirectNitrousOxideEmissionsFromMMS(I232, _xlfn.XLOOKUP($E285, $D$153:$D$159, $E$153:$E$159), $I$256)</f>
        <v>9.2877274285714271E-5</v>
      </c>
      <c r="J285" s="2"/>
      <c r="N285" s="57"/>
      <c r="O285" s="57" t="str">
        <f>'Input - Swine'!$D$72</f>
        <v>Pit storage</v>
      </c>
      <c r="P285" s="52" cm="1">
        <f t="array" ref="P285">MMS_Swine_N2ODirect_Equations.VEERG_4_5_1_3__1_TotalAnnualDirectNitrousOxideEmissionsFromMMS(P232, _xlfn.XLOOKUP($E285, $D$153:$D$159, $E$153:$E$159), $I$256)</f>
        <v>1.0954755428571425E-4</v>
      </c>
      <c r="Q285" s="52" cm="1">
        <f t="array" ref="Q285">MMS_Swine_N2ODirect_Equations.VEERG_4_5_1_3__1_TotalAnnualDirectNitrousOxideEmissionsFromMMS(Q232, _xlfn.XLOOKUP($E285, $D$153:$D$159, $E$153:$E$159), $I$256)</f>
        <v>1.4586495000000002E-4</v>
      </c>
      <c r="R285" s="52" cm="1">
        <f t="array" ref="R285">MMS_Swine_N2ODirect_Equations.VEERG_4_5_1_3__1_TotalAnnualDirectNitrousOxideEmissionsFromMMS(R232, _xlfn.XLOOKUP($E285, $D$153:$D$159, $E$153:$E$159), $I$256)</f>
        <v>1.3693444285714282E-4</v>
      </c>
      <c r="S285" s="52" cm="1">
        <f t="array" ref="S285">MMS_Swine_N2ODirect_Equations.VEERG_4_5_1_3__1_TotalAnnualDirectNitrousOxideEmissionsFromMMS(S232, _xlfn.XLOOKUP($E285, $D$153:$D$159, $E$153:$E$159), $I$256)</f>
        <v>9.2877274285714271E-5</v>
      </c>
      <c r="T285" s="2"/>
    </row>
    <row r="286" spans="4:20" ht="20.100000000000001" customHeight="1" x14ac:dyDescent="0.25">
      <c r="D286" s="57"/>
      <c r="E286" s="57" t="str">
        <f>'Input - Swine'!$D$73</f>
        <v>Direct application</v>
      </c>
      <c r="F286" s="52" t="s">
        <v>172</v>
      </c>
      <c r="G286" s="52" t="s">
        <v>172</v>
      </c>
      <c r="H286" s="52" t="s">
        <v>172</v>
      </c>
      <c r="I286" s="52" t="s">
        <v>172</v>
      </c>
      <c r="J286" s="2"/>
      <c r="N286" s="57"/>
      <c r="O286" s="57" t="str">
        <f>'Input - Swine'!$D$73</f>
        <v>Direct application</v>
      </c>
      <c r="P286" s="52" t="s">
        <v>172</v>
      </c>
      <c r="Q286" s="52" t="s">
        <v>172</v>
      </c>
      <c r="R286" s="52" t="s">
        <v>172</v>
      </c>
      <c r="S286" s="52" t="s">
        <v>172</v>
      </c>
      <c r="T286" s="2"/>
    </row>
    <row r="287" spans="4:20" ht="20.100000000000001" customHeight="1" x14ac:dyDescent="0.25">
      <c r="D287" s="57" t="str">
        <f>'Input - Swine'!$D$33</f>
        <v>Pit storage</v>
      </c>
      <c r="E287" s="57" t="str">
        <f>'Input - Swine'!$D$77</f>
        <v>Anaerobic lagoon</v>
      </c>
      <c r="F287" s="52" cm="1">
        <f t="array" ref="F287">MMS_Swine_N2ODirect_Equations.VEERG_4_5_1_3__1_TotalAnnualDirectNitrousOxideEmissionsFromMMS(F234, _xlfn.XLOOKUP($E287, $D$153:$D$159, $E$153:$E$159), $I$256)</f>
        <v>0</v>
      </c>
      <c r="G287" s="52" cm="1">
        <f t="array" ref="G287">MMS_Swine_N2ODirect_Equations.VEERG_4_5_1_3__1_TotalAnnualDirectNitrousOxideEmissionsFromMMS(G234, _xlfn.XLOOKUP($E287, $D$153:$D$159, $E$153:$E$159), $I$256)</f>
        <v>0</v>
      </c>
      <c r="H287" s="52" cm="1">
        <f t="array" ref="H287">MMS_Swine_N2ODirect_Equations.VEERG_4_5_1_3__1_TotalAnnualDirectNitrousOxideEmissionsFromMMS(H234, _xlfn.XLOOKUP($E287, $D$153:$D$159, $E$153:$E$159), $I$256)</f>
        <v>0</v>
      </c>
      <c r="I287" s="52" cm="1">
        <f t="array" ref="I287">MMS_Swine_N2ODirect_Equations.VEERG_4_5_1_3__1_TotalAnnualDirectNitrousOxideEmissionsFromMMS(I234, _xlfn.XLOOKUP($E287, $D$153:$D$159, $E$153:$E$159), $I$256)</f>
        <v>0</v>
      </c>
      <c r="J287" s="2"/>
      <c r="N287" s="57" t="str">
        <f>'Input - Swine'!$D$33</f>
        <v>Pit storage</v>
      </c>
      <c r="O287" s="57" t="str">
        <f>'Input - Swine'!$D$77</f>
        <v>Anaerobic lagoon</v>
      </c>
      <c r="P287" s="52" cm="1">
        <f t="array" ref="P287">MMS_Swine_N2ODirect_Equations.VEERG_4_5_1_3__1_TotalAnnualDirectNitrousOxideEmissionsFromMMS(P234, _xlfn.XLOOKUP($E287, $D$153:$D$159, $E$153:$E$159), $I$256)</f>
        <v>0</v>
      </c>
      <c r="Q287" s="52" cm="1">
        <f t="array" ref="Q287">MMS_Swine_N2ODirect_Equations.VEERG_4_5_1_3__1_TotalAnnualDirectNitrousOxideEmissionsFromMMS(Q234, _xlfn.XLOOKUP($E287, $D$153:$D$159, $E$153:$E$159), $I$256)</f>
        <v>0</v>
      </c>
      <c r="R287" s="52" cm="1">
        <f t="array" ref="R287">MMS_Swine_N2ODirect_Equations.VEERG_4_5_1_3__1_TotalAnnualDirectNitrousOxideEmissionsFromMMS(R234, _xlfn.XLOOKUP($E287, $D$153:$D$159, $E$153:$E$159), $I$256)</f>
        <v>0</v>
      </c>
      <c r="S287" s="52" cm="1">
        <f t="array" ref="S287">MMS_Swine_N2ODirect_Equations.VEERG_4_5_1_3__1_TotalAnnualDirectNitrousOxideEmissionsFromMMS(S234, _xlfn.XLOOKUP($E287, $D$153:$D$159, $E$153:$E$159), $I$256)</f>
        <v>0</v>
      </c>
      <c r="T287" s="2"/>
    </row>
    <row r="288" spans="4:20" ht="20.100000000000001" customHeight="1" x14ac:dyDescent="0.25">
      <c r="D288" s="57"/>
      <c r="E288" s="57" t="str">
        <f>'Input - Swine'!$D$78</f>
        <v>Digester / covered lagoons</v>
      </c>
      <c r="F288" s="52" cm="1">
        <f t="array" ref="F288">MMS_Swine_N2ODirect_Equations.VEERG_4_5_1_3__1_TotalAnnualDirectNitrousOxideEmissionsFromMMS(F235, _xlfn.XLOOKUP($E288, $D$153:$D$159, $E$153:$E$159), $I$256)</f>
        <v>0</v>
      </c>
      <c r="G288" s="52" cm="1">
        <f t="array" ref="G288">MMS_Swine_N2ODirect_Equations.VEERG_4_5_1_3__1_TotalAnnualDirectNitrousOxideEmissionsFromMMS(G235, _xlfn.XLOOKUP($E288, $D$153:$D$159, $E$153:$E$159), $I$256)</f>
        <v>0</v>
      </c>
      <c r="H288" s="52" cm="1">
        <f t="array" ref="H288">MMS_Swine_N2ODirect_Equations.VEERG_4_5_1_3__1_TotalAnnualDirectNitrousOxideEmissionsFromMMS(H235, _xlfn.XLOOKUP($E288, $D$153:$D$159, $E$153:$E$159), $I$256)</f>
        <v>0</v>
      </c>
      <c r="I288" s="52" cm="1">
        <f t="array" ref="I288">MMS_Swine_N2ODirect_Equations.VEERG_4_5_1_3__1_TotalAnnualDirectNitrousOxideEmissionsFromMMS(I235, _xlfn.XLOOKUP($E288, $D$153:$D$159, $E$153:$E$159), $I$256)</f>
        <v>0</v>
      </c>
      <c r="J288" s="2"/>
      <c r="N288" s="57"/>
      <c r="O288" s="57" t="str">
        <f>'Input - Swine'!$D$78</f>
        <v>Digester / covered lagoons</v>
      </c>
      <c r="P288" s="52" cm="1">
        <f t="array" ref="P288">MMS_Swine_N2ODirect_Equations.VEERG_4_5_1_3__1_TotalAnnualDirectNitrousOxideEmissionsFromMMS(P235, _xlfn.XLOOKUP($E288, $D$153:$D$159, $E$153:$E$159), $I$256)</f>
        <v>0</v>
      </c>
      <c r="Q288" s="52" cm="1">
        <f t="array" ref="Q288">MMS_Swine_N2ODirect_Equations.VEERG_4_5_1_3__1_TotalAnnualDirectNitrousOxideEmissionsFromMMS(Q235, _xlfn.XLOOKUP($E288, $D$153:$D$159, $E$153:$E$159), $I$256)</f>
        <v>0</v>
      </c>
      <c r="R288" s="52" cm="1">
        <f t="array" ref="R288">MMS_Swine_N2ODirect_Equations.VEERG_4_5_1_3__1_TotalAnnualDirectNitrousOxideEmissionsFromMMS(R235, _xlfn.XLOOKUP($E288, $D$153:$D$159, $E$153:$E$159), $I$256)</f>
        <v>0</v>
      </c>
      <c r="S288" s="52" cm="1">
        <f t="array" ref="S288">MMS_Swine_N2ODirect_Equations.VEERG_4_5_1_3__1_TotalAnnualDirectNitrousOxideEmissionsFromMMS(S235, _xlfn.XLOOKUP($E288, $D$153:$D$159, $E$153:$E$159), $I$256)</f>
        <v>0</v>
      </c>
      <c r="T288" s="2"/>
    </row>
    <row r="289" spans="1:20" ht="20.100000000000001" customHeight="1" x14ac:dyDescent="0.25">
      <c r="D289" s="57"/>
      <c r="E289" s="57" t="str">
        <f>'Input - Swine'!$D$79</f>
        <v>Deep litter</v>
      </c>
      <c r="F289" s="52" cm="1">
        <f t="array" ref="F289">MMS_Swine_N2ODirect_Equations.VEERG_4_5_1_3__1_TotalAnnualDirectNitrousOxideEmissionsFromMMS(F236, _xlfn.XLOOKUP($E289, $D$153:$D$159, $E$153:$E$159), $I$256)</f>
        <v>4.7365069714285705E-4</v>
      </c>
      <c r="G289" s="52" cm="1">
        <f t="array" ref="G289">MMS_Swine_N2ODirect_Equations.VEERG_4_5_1_3__1_TotalAnnualDirectNitrousOxideEmissionsFromMMS(G236, _xlfn.XLOOKUP($E289, $D$153:$D$159, $E$153:$E$159), $I$256)</f>
        <v>6.306762E-4</v>
      </c>
      <c r="H289" s="52" cm="1">
        <f t="array" ref="H289">MMS_Swine_N2ODirect_Equations.VEERG_4_5_1_3__1_TotalAnnualDirectNitrousOxideEmissionsFromMMS(H236, _xlfn.XLOOKUP($E289, $D$153:$D$159, $E$153:$E$159), $I$256)</f>
        <v>5.9206337142857137E-4</v>
      </c>
      <c r="I289" s="52" cm="1">
        <f t="array" ref="I289">MMS_Swine_N2ODirect_Equations.VEERG_4_5_1_3__1_TotalAnnualDirectNitrousOxideEmissionsFromMMS(I236, _xlfn.XLOOKUP($E289, $D$153:$D$159, $E$153:$E$159), $I$256)</f>
        <v>4.0157341714285705E-4</v>
      </c>
      <c r="J289" s="2"/>
      <c r="N289" s="57"/>
      <c r="O289" s="57" t="str">
        <f>'Input - Swine'!$D$79</f>
        <v>Deep litter</v>
      </c>
      <c r="P289" s="52" cm="1">
        <f t="array" ref="P289">MMS_Swine_N2ODirect_Equations.VEERG_4_5_1_3__1_TotalAnnualDirectNitrousOxideEmissionsFromMMS(P236, _xlfn.XLOOKUP($E289, $D$153:$D$159, $E$153:$E$159), $I$256)</f>
        <v>4.7365069714285705E-4</v>
      </c>
      <c r="Q289" s="52" cm="1">
        <f t="array" ref="Q289">MMS_Swine_N2ODirect_Equations.VEERG_4_5_1_3__1_TotalAnnualDirectNitrousOxideEmissionsFromMMS(Q236, _xlfn.XLOOKUP($E289, $D$153:$D$159, $E$153:$E$159), $I$256)</f>
        <v>6.306762E-4</v>
      </c>
      <c r="R289" s="52" cm="1">
        <f t="array" ref="R289">MMS_Swine_N2ODirect_Equations.VEERG_4_5_1_3__1_TotalAnnualDirectNitrousOxideEmissionsFromMMS(R236, _xlfn.XLOOKUP($E289, $D$153:$D$159, $E$153:$E$159), $I$256)</f>
        <v>5.9206337142857137E-4</v>
      </c>
      <c r="S289" s="52" cm="1">
        <f t="array" ref="S289">MMS_Swine_N2ODirect_Equations.VEERG_4_5_1_3__1_TotalAnnualDirectNitrousOxideEmissionsFromMMS(S236, _xlfn.XLOOKUP($E289, $D$153:$D$159, $E$153:$E$159), $I$256)</f>
        <v>4.0157341714285705E-4</v>
      </c>
      <c r="T289" s="2"/>
    </row>
    <row r="290" spans="1:20" ht="20.100000000000001" customHeight="1" x14ac:dyDescent="0.25">
      <c r="D290" s="57"/>
      <c r="E290" s="57" t="str">
        <f>'Input - Swine'!$D$80</f>
        <v>Direct application</v>
      </c>
      <c r="F290" s="52" t="s">
        <v>172</v>
      </c>
      <c r="G290" s="52" t="s">
        <v>172</v>
      </c>
      <c r="H290" s="52" t="s">
        <v>172</v>
      </c>
      <c r="I290" s="52" t="s">
        <v>172</v>
      </c>
      <c r="J290" s="2"/>
      <c r="N290" s="57"/>
      <c r="O290" s="57" t="str">
        <f>'Input - Swine'!$D$80</f>
        <v>Direct application</v>
      </c>
      <c r="P290" s="52" t="s">
        <v>172</v>
      </c>
      <c r="Q290" s="52" t="s">
        <v>172</v>
      </c>
      <c r="R290" s="52" t="s">
        <v>172</v>
      </c>
      <c r="S290" s="52" t="s">
        <v>172</v>
      </c>
      <c r="T290" s="2"/>
    </row>
    <row r="291" spans="1:20" ht="20.100000000000001" customHeight="1" x14ac:dyDescent="0.25">
      <c r="D291" s="57" t="str">
        <f>'Input - Swine'!$D$34</f>
        <v>Solid storage</v>
      </c>
      <c r="E291" s="57" t="str">
        <f>'Input - Swine'!$D$84</f>
        <v>Anaerobic lagoon</v>
      </c>
      <c r="F291" s="52" cm="1">
        <f t="array" ref="F291">MMS_Swine_N2ODirect_Equations.VEERG_4_5_1_3__1_TotalAnnualDirectNitrousOxideEmissionsFromMMS(F238, _xlfn.XLOOKUP($E291, $D$153:$D$159, $E$153:$E$159), $I$256)</f>
        <v>0</v>
      </c>
      <c r="G291" s="52" cm="1">
        <f t="array" ref="G291">MMS_Swine_N2ODirect_Equations.VEERG_4_5_1_3__1_TotalAnnualDirectNitrousOxideEmissionsFromMMS(G238, _xlfn.XLOOKUP($E291, $D$153:$D$159, $E$153:$E$159), $I$256)</f>
        <v>0</v>
      </c>
      <c r="H291" s="52" cm="1">
        <f t="array" ref="H291">MMS_Swine_N2ODirect_Equations.VEERG_4_5_1_3__1_TotalAnnualDirectNitrousOxideEmissionsFromMMS(H238, _xlfn.XLOOKUP($E291, $D$153:$D$159, $E$153:$E$159), $I$256)</f>
        <v>0</v>
      </c>
      <c r="I291" s="52" cm="1">
        <f t="array" ref="I291">MMS_Swine_N2ODirect_Equations.VEERG_4_5_1_3__1_TotalAnnualDirectNitrousOxideEmissionsFromMMS(I238, _xlfn.XLOOKUP($E291, $D$153:$D$159, $E$153:$E$159), $I$256)</f>
        <v>0</v>
      </c>
      <c r="J291" s="2"/>
      <c r="N291" s="57" t="str">
        <f>'Input - Swine'!$D$34</f>
        <v>Solid storage</v>
      </c>
      <c r="O291" s="57" t="str">
        <f>'Input - Swine'!$D$84</f>
        <v>Anaerobic lagoon</v>
      </c>
      <c r="P291" s="52" cm="1">
        <f t="array" ref="P291">MMS_Swine_N2ODirect_Equations.VEERG_4_5_1_3__1_TotalAnnualDirectNitrousOxideEmissionsFromMMS(P238, _xlfn.XLOOKUP($E291, $D$153:$D$159, $E$153:$E$159), $I$256)</f>
        <v>0</v>
      </c>
      <c r="Q291" s="52" cm="1">
        <f t="array" ref="Q291">MMS_Swine_N2ODirect_Equations.VEERG_4_5_1_3__1_TotalAnnualDirectNitrousOxideEmissionsFromMMS(Q238, _xlfn.XLOOKUP($E291, $D$153:$D$159, $E$153:$E$159), $I$256)</f>
        <v>0</v>
      </c>
      <c r="R291" s="52" cm="1">
        <f t="array" ref="R291">MMS_Swine_N2ODirect_Equations.VEERG_4_5_1_3__1_TotalAnnualDirectNitrousOxideEmissionsFromMMS(R238, _xlfn.XLOOKUP($E291, $D$153:$D$159, $E$153:$E$159), $I$256)</f>
        <v>0</v>
      </c>
      <c r="S291" s="52" cm="1">
        <f t="array" ref="S291">MMS_Swine_N2ODirect_Equations.VEERG_4_5_1_3__1_TotalAnnualDirectNitrousOxideEmissionsFromMMS(S238, _xlfn.XLOOKUP($E291, $D$153:$D$159, $E$153:$E$159), $I$256)</f>
        <v>0</v>
      </c>
      <c r="T291" s="2"/>
    </row>
    <row r="292" spans="1:20" ht="20.100000000000001" customHeight="1" x14ac:dyDescent="0.25">
      <c r="D292" s="57"/>
      <c r="E292" s="57" t="str">
        <f>'Input - Swine'!$D$85</f>
        <v>Digester / covered lagoons</v>
      </c>
      <c r="F292" s="52" cm="1">
        <f t="array" ref="F292">MMS_Swine_N2ODirect_Equations.VEERG_4_5_1_3__1_TotalAnnualDirectNitrousOxideEmissionsFromMMS(F239, _xlfn.XLOOKUP($E292, $D$153:$D$159, $E$153:$E$159), $I$256)</f>
        <v>0</v>
      </c>
      <c r="G292" s="52" cm="1">
        <f t="array" ref="G292">MMS_Swine_N2ODirect_Equations.VEERG_4_5_1_3__1_TotalAnnualDirectNitrousOxideEmissionsFromMMS(G239, _xlfn.XLOOKUP($E292, $D$153:$D$159, $E$153:$E$159), $I$256)</f>
        <v>0</v>
      </c>
      <c r="H292" s="52" cm="1">
        <f t="array" ref="H292">MMS_Swine_N2ODirect_Equations.VEERG_4_5_1_3__1_TotalAnnualDirectNitrousOxideEmissionsFromMMS(H239, _xlfn.XLOOKUP($E292, $D$153:$D$159, $E$153:$E$159), $I$256)</f>
        <v>0</v>
      </c>
      <c r="I292" s="52" cm="1">
        <f t="array" ref="I292">MMS_Swine_N2ODirect_Equations.VEERG_4_5_1_3__1_TotalAnnualDirectNitrousOxideEmissionsFromMMS(I239, _xlfn.XLOOKUP($E292, $D$153:$D$159, $E$153:$E$159), $I$256)</f>
        <v>0</v>
      </c>
      <c r="J292" s="2"/>
      <c r="N292" s="57"/>
      <c r="O292" s="57" t="str">
        <f>'Input - Swine'!$D$85</f>
        <v>Digester / covered lagoons</v>
      </c>
      <c r="P292" s="52" cm="1">
        <f t="array" ref="P292">MMS_Swine_N2ODirect_Equations.VEERG_4_5_1_3__1_TotalAnnualDirectNitrousOxideEmissionsFromMMS(P239, _xlfn.XLOOKUP($E292, $D$153:$D$159, $E$153:$E$159), $I$256)</f>
        <v>0</v>
      </c>
      <c r="Q292" s="52" cm="1">
        <f t="array" ref="Q292">MMS_Swine_N2ODirect_Equations.VEERG_4_5_1_3__1_TotalAnnualDirectNitrousOxideEmissionsFromMMS(Q239, _xlfn.XLOOKUP($E292, $D$153:$D$159, $E$153:$E$159), $I$256)</f>
        <v>0</v>
      </c>
      <c r="R292" s="52" cm="1">
        <f t="array" ref="R292">MMS_Swine_N2ODirect_Equations.VEERG_4_5_1_3__1_TotalAnnualDirectNitrousOxideEmissionsFromMMS(R239, _xlfn.XLOOKUP($E292, $D$153:$D$159, $E$153:$E$159), $I$256)</f>
        <v>0</v>
      </c>
      <c r="S292" s="52" cm="1">
        <f t="array" ref="S292">MMS_Swine_N2ODirect_Equations.VEERG_4_5_1_3__1_TotalAnnualDirectNitrousOxideEmissionsFromMMS(S239, _xlfn.XLOOKUP($E292, $D$153:$D$159, $E$153:$E$159), $I$256)</f>
        <v>0</v>
      </c>
      <c r="T292" s="2"/>
    </row>
    <row r="293" spans="1:20" ht="20.100000000000001" customHeight="1" x14ac:dyDescent="0.25">
      <c r="D293" s="57"/>
      <c r="E293" s="57" t="str">
        <f>'Input - Swine'!$D$86</f>
        <v>Deep litter</v>
      </c>
      <c r="F293" s="52" cm="1">
        <f t="array" ref="F293">MMS_Swine_N2ODirect_Equations.VEERG_4_5_1_3__1_TotalAnnualDirectNitrousOxideEmissionsFromMMS(F240, _xlfn.XLOOKUP($E293, $D$153:$D$159, $E$153:$E$159), $I$256)</f>
        <v>1.6780405714285722E-3</v>
      </c>
      <c r="G293" s="52" cm="1">
        <f t="array" ref="G293">MMS_Swine_N2ODirect_Equations.VEERG_4_5_1_3__1_TotalAnnualDirectNitrousOxideEmissionsFromMMS(G240, _xlfn.XLOOKUP($E293, $D$153:$D$159, $E$153:$E$159), $I$256)</f>
        <v>1.787478000000001E-3</v>
      </c>
      <c r="H293" s="52" cm="1">
        <f t="array" ref="H293">MMS_Swine_N2ODirect_Equations.VEERG_4_5_1_3__1_TotalAnnualDirectNitrousOxideEmissionsFromMMS(H240, _xlfn.XLOOKUP($E293, $D$153:$D$159, $E$153:$E$159), $I$256)</f>
        <v>1.6780405714285722E-3</v>
      </c>
      <c r="I293" s="52" cm="1">
        <f t="array" ref="I293">MMS_Swine_N2ODirect_Equations.VEERG_4_5_1_3__1_TotalAnnualDirectNitrousOxideEmissionsFromMMS(I240, _xlfn.XLOOKUP($E293, $D$153:$D$159, $E$153:$E$159), $I$256)</f>
        <v>1.1381492571428578E-3</v>
      </c>
      <c r="J293" s="2"/>
      <c r="N293" s="57"/>
      <c r="O293" s="57" t="str">
        <f>'Input - Swine'!$D$86</f>
        <v>Deep litter</v>
      </c>
      <c r="P293" s="52" cm="1">
        <f t="array" ref="P293">MMS_Swine_N2ODirect_Equations.VEERG_4_5_1_3__1_TotalAnnualDirectNitrousOxideEmissionsFromMMS(P240, _xlfn.XLOOKUP($E293, $D$153:$D$159, $E$153:$E$159), $I$256)</f>
        <v>1.6780405714285722E-3</v>
      </c>
      <c r="Q293" s="52" cm="1">
        <f t="array" ref="Q293">MMS_Swine_N2ODirect_Equations.VEERG_4_5_1_3__1_TotalAnnualDirectNitrousOxideEmissionsFromMMS(Q240, _xlfn.XLOOKUP($E293, $D$153:$D$159, $E$153:$E$159), $I$256)</f>
        <v>1.787478000000001E-3</v>
      </c>
      <c r="R293" s="52" cm="1">
        <f t="array" ref="R293">MMS_Swine_N2ODirect_Equations.VEERG_4_5_1_3__1_TotalAnnualDirectNitrousOxideEmissionsFromMMS(R240, _xlfn.XLOOKUP($E293, $D$153:$D$159, $E$153:$E$159), $I$256)</f>
        <v>1.6780405714285722E-3</v>
      </c>
      <c r="S293" s="52" cm="1">
        <f t="array" ref="S293">MMS_Swine_N2ODirect_Equations.VEERG_4_5_1_3__1_TotalAnnualDirectNitrousOxideEmissionsFromMMS(S240, _xlfn.XLOOKUP($E293, $D$153:$D$159, $E$153:$E$159), $I$256)</f>
        <v>1.1381492571428578E-3</v>
      </c>
      <c r="T293" s="2"/>
    </row>
    <row r="294" spans="1:20" ht="20.100000000000001" customHeight="1" x14ac:dyDescent="0.25">
      <c r="D294" s="57"/>
      <c r="E294" s="57" t="str">
        <f>'Input - Swine'!$D$87</f>
        <v>Pit storage</v>
      </c>
      <c r="F294" s="52" cm="1">
        <f t="array" ref="F294">MMS_Swine_N2ODirect_Equations.VEERG_4_5_1_3__1_TotalAnnualDirectNitrousOxideEmissionsFromMMS(F241, _xlfn.XLOOKUP($E294, $D$153:$D$159, $E$153:$E$159), $I$256)</f>
        <v>1.6780405714285717E-4</v>
      </c>
      <c r="G294" s="52" cm="1">
        <f t="array" ref="G294">MMS_Swine_N2ODirect_Equations.VEERG_4_5_1_3__1_TotalAnnualDirectNitrousOxideEmissionsFromMMS(G241, _xlfn.XLOOKUP($E294, $D$153:$D$159, $E$153:$E$159), $I$256)</f>
        <v>1.7874780000000013E-4</v>
      </c>
      <c r="H294" s="52" cm="1">
        <f t="array" ref="H294">MMS_Swine_N2ODirect_Equations.VEERG_4_5_1_3__1_TotalAnnualDirectNitrousOxideEmissionsFromMMS(H241, _xlfn.XLOOKUP($E294, $D$153:$D$159, $E$153:$E$159), $I$256)</f>
        <v>1.6780405714285717E-4</v>
      </c>
      <c r="I294" s="52" cm="1">
        <f t="array" ref="I294">MMS_Swine_N2ODirect_Equations.VEERG_4_5_1_3__1_TotalAnnualDirectNitrousOxideEmissionsFromMMS(I241, _xlfn.XLOOKUP($E294, $D$153:$D$159, $E$153:$E$159), $I$256)</f>
        <v>1.1381492571428576E-4</v>
      </c>
      <c r="J294" s="2"/>
      <c r="N294" s="57"/>
      <c r="O294" s="57" t="str">
        <f>'Input - Swine'!$D$87</f>
        <v>Pit storage</v>
      </c>
      <c r="P294" s="52" cm="1">
        <f t="array" ref="P294">MMS_Swine_N2ODirect_Equations.VEERG_4_5_1_3__1_TotalAnnualDirectNitrousOxideEmissionsFromMMS(P241, _xlfn.XLOOKUP($E294, $D$153:$D$159, $E$153:$E$159), $I$256)</f>
        <v>1.6780405714285717E-4</v>
      </c>
      <c r="Q294" s="52" cm="1">
        <f t="array" ref="Q294">MMS_Swine_N2ODirect_Equations.VEERG_4_5_1_3__1_TotalAnnualDirectNitrousOxideEmissionsFromMMS(Q241, _xlfn.XLOOKUP($E294, $D$153:$D$159, $E$153:$E$159), $I$256)</f>
        <v>1.7874780000000013E-4</v>
      </c>
      <c r="R294" s="52" cm="1">
        <f t="array" ref="R294">MMS_Swine_N2ODirect_Equations.VEERG_4_5_1_3__1_TotalAnnualDirectNitrousOxideEmissionsFromMMS(R241, _xlfn.XLOOKUP($E294, $D$153:$D$159, $E$153:$E$159), $I$256)</f>
        <v>1.6780405714285717E-4</v>
      </c>
      <c r="S294" s="52" cm="1">
        <f t="array" ref="S294">MMS_Swine_N2ODirect_Equations.VEERG_4_5_1_3__1_TotalAnnualDirectNitrousOxideEmissionsFromMMS(S241, _xlfn.XLOOKUP($E294, $D$153:$D$159, $E$153:$E$159), $I$256)</f>
        <v>1.1381492571428576E-4</v>
      </c>
      <c r="T294" s="2"/>
    </row>
    <row r="295" spans="1:20" ht="20.100000000000001" customHeight="1" x14ac:dyDescent="0.25">
      <c r="D295" s="57"/>
      <c r="E295" s="57" t="str">
        <f>'Input - Swine'!$D$88</f>
        <v>Direct application</v>
      </c>
      <c r="F295" s="52" t="s">
        <v>172</v>
      </c>
      <c r="G295" s="52" t="s">
        <v>172</v>
      </c>
      <c r="H295" s="52" t="s">
        <v>172</v>
      </c>
      <c r="I295" s="52" t="s">
        <v>172</v>
      </c>
      <c r="J295" s="2"/>
      <c r="N295" s="57"/>
      <c r="O295" s="57" t="str">
        <f>'Input - Swine'!$D$88</f>
        <v>Direct application</v>
      </c>
      <c r="P295" s="52" t="s">
        <v>172</v>
      </c>
      <c r="Q295" s="52" t="s">
        <v>172</v>
      </c>
      <c r="R295" s="52" t="s">
        <v>172</v>
      </c>
      <c r="S295" s="52" t="s">
        <v>172</v>
      </c>
      <c r="T295" s="2"/>
    </row>
    <row r="296" spans="1:20" ht="20.100000000000001" customHeight="1" x14ac:dyDescent="0.25"/>
    <row r="297" spans="1:20" ht="20.100000000000001" customHeight="1" x14ac:dyDescent="0.25">
      <c r="D297" s="101" t="s">
        <v>103</v>
      </c>
      <c r="E297" s="102">
        <f>SUM(F264:I294)</f>
        <v>7.4343140661428567E-2</v>
      </c>
      <c r="F297" s="103" t="str">
        <f>$E$252</f>
        <v>t N2O</v>
      </c>
      <c r="N297" s="101" t="s">
        <v>103</v>
      </c>
      <c r="O297" s="102">
        <f>SUM(P264:S294)</f>
        <v>7.4343140661428567E-2</v>
      </c>
      <c r="P297" s="103" t="str">
        <f>$E$252</f>
        <v>t N2O</v>
      </c>
    </row>
    <row r="298" spans="1:20" ht="20.100000000000001" customHeight="1" x14ac:dyDescent="0.25"/>
    <row r="299" spans="1:20" ht="20.100000000000001" customHeight="1" x14ac:dyDescent="0.25">
      <c r="D299" s="57" t="str" cm="1">
        <f t="array" ref="D299:E300">Common_Equations.Common_ConvertN2OToCO2e_Arguments()</f>
        <v>EN2O</v>
      </c>
      <c r="E299" s="58" t="str">
        <v>Nitrous oxide emissions (t N2O)</v>
      </c>
      <c r="F299" s="104"/>
      <c r="G299" s="52">
        <f>E297</f>
        <v>7.4343140661428567E-2</v>
      </c>
      <c r="N299" s="57" t="str" cm="1">
        <f t="array" ref="N299:O300">Common_Equations.Common_ConvertN2OToCO2e_Arguments()</f>
        <v>EN2O</v>
      </c>
      <c r="O299" s="58" t="str">
        <v>Nitrous oxide emissions (t N2O)</v>
      </c>
      <c r="P299" s="104"/>
      <c r="Q299" s="52">
        <f>O297</f>
        <v>7.4343140661428567E-2</v>
      </c>
    </row>
    <row r="300" spans="1:20" ht="20.100000000000001" customHeight="1" x14ac:dyDescent="0.25">
      <c r="D300" s="57" t="str">
        <v>GWPN2O</v>
      </c>
      <c r="E300" s="58" t="str">
        <v>Global warming potential for nitrous oxide (t CO2-e / t N2O)</v>
      </c>
      <c r="F300" s="104"/>
      <c r="G300" s="52">
        <f>Common_InputFunctions.Utility_LookupValueInTableNumber("N2O",Table_GWPData[Gas],Table_GWPData[CO2-e factor])</f>
        <v>265</v>
      </c>
      <c r="N300" s="57" t="str">
        <v>GWPN2O</v>
      </c>
      <c r="O300" s="58" t="str">
        <v>Global warming potential for nitrous oxide (t CO2-e / t N2O)</v>
      </c>
      <c r="P300" s="104"/>
      <c r="Q300" s="52">
        <f>Common_InputFunctions.Utility_LookupValueInTableNumber("N2O",Table_GWPData[Gas],Table_GWPData[CO2-e factor])</f>
        <v>265</v>
      </c>
    </row>
    <row r="301" spans="1:20" ht="20.100000000000001" customHeight="1" x14ac:dyDescent="0.25"/>
    <row r="302" spans="1:20" ht="20.100000000000001" customHeight="1" x14ac:dyDescent="0.25">
      <c r="A302" s="150" t="str">
        <f>HYPERLINK("#A1", "▲ Back to top")</f>
        <v>▲ Back to top</v>
      </c>
      <c r="D302" s="45" t="s">
        <v>100</v>
      </c>
      <c r="E302" s="45" cm="1">
        <f t="array" ref="E302">Common_Equations.Common_ConvertN2OToCO2e(G299,G300)</f>
        <v>19.700932275278571</v>
      </c>
      <c r="F302" s="105" t="str" cm="1">
        <f t="array" ref="F302">Common_Equations.Common_ConvertN2OToCO2e_Unit()</f>
        <v>t CO2e</v>
      </c>
      <c r="N302" s="45" t="s">
        <v>100</v>
      </c>
      <c r="O302" s="45" cm="1">
        <f t="array" ref="O302">Common_Equations.Common_ConvertN2OToCO2e(Q299,Q300)</f>
        <v>19.700932275278571</v>
      </c>
      <c r="P302" s="105" t="str" cm="1">
        <f t="array" ref="P302">Common_Equations.Common_ConvertN2OToCO2e_Unit()</f>
        <v>t CO2e</v>
      </c>
    </row>
    <row r="303" spans="1:20" ht="20.100000000000001" customHeight="1" x14ac:dyDescent="0.25"/>
    <row r="304" spans="1:20" ht="20.100000000000001" customHeight="1" x14ac:dyDescent="0.25"/>
  </sheetData>
  <dataValidations disablePrompts="1" count="1">
    <dataValidation operator="equal" allowBlank="1" showInputMessage="1" showErrorMessage="1" sqref="E18 E28 E33 J101 J106 E23 U126 O114:T114 U103 O23 O33 F196:I199" xr:uid="{CE18DC45-74F3-46B3-972B-5F44E5579A05}"/>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5B34D-36DA-422C-84BA-A4E3FCAF2C16}">
  <dimension ref="A1:U165"/>
  <sheetViews>
    <sheetView showGridLines="0" topLeftCell="F106" zoomScale="85" zoomScaleNormal="85" workbookViewId="0">
      <selection activeCell="I120" sqref="I120"/>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291</v>
      </c>
      <c r="L1"/>
    </row>
    <row r="2" spans="1:21" s="9" customFormat="1" ht="20.100000000000001" customHeight="1" x14ac:dyDescent="0.25">
      <c r="L2"/>
    </row>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MMS_Swine_AtmosphericDeposition_Equations.VEERG_4_5_1_5__2_TotalNitrogenVolatilisedFromMMS_Title()</f>
        <v>Total nitrogen volatilised from MMS</v>
      </c>
    </row>
    <row r="6" spans="1:21" ht="20.100000000000001" customHeight="1" x14ac:dyDescent="0.25">
      <c r="A6" s="16"/>
      <c r="D6" s="5" t="str" cm="1">
        <f t="array" ref="D6">MMS_Swine_AtmosphericDeposition_Equations.VEERG_4_5_1_5__2_TotalNitrogenVolatilisedFromMMS_Source()</f>
        <v>VEERG 2026: 4.5.1.1, Equation (2)</v>
      </c>
    </row>
    <row r="7" spans="1:21" ht="20.100000000000001" customHeight="1" x14ac:dyDescent="0.25">
      <c r="A7" s="20" t="s">
        <v>3</v>
      </c>
      <c r="D7" s="13" t="s">
        <v>26</v>
      </c>
      <c r="E7" s="13" t="str" cm="1">
        <f t="array" aca="1" ref="E7" ca="1">Common_InputFunctions.Utility_DisplayFunctionName(F73)</f>
        <v>=MMS_Swine_AtmosphericDeposition_Equations.VEERG_4_5_1_5__2_TotalNitrogenVolatilisedFromMMS</v>
      </c>
    </row>
    <row r="8" spans="1:21" ht="20.100000000000001" customHeight="1" x14ac:dyDescent="0.25">
      <c r="A8" s="17" t="str">
        <f>HYPERLINK("#'Input - Site'!A1", "Site")</f>
        <v>Site</v>
      </c>
    </row>
    <row r="9" spans="1:21" ht="20.100000000000001" customHeight="1" x14ac:dyDescent="0.25">
      <c r="A9" s="17" t="str">
        <f>HYPERLINK("#'Input - Swine'!A1", "Swine")</f>
        <v>Swine</v>
      </c>
    </row>
    <row r="10" spans="1:21" ht="20.100000000000001" customHeight="1" x14ac:dyDescent="0.25">
      <c r="A10" s="17"/>
      <c r="D10" s="53" t="s">
        <v>29</v>
      </c>
      <c r="E10" s="1" t="str" cm="1">
        <f t="array" ref="E10">MMS_Swine_AtmosphericDeposition_Equations.VEERG_4_5_1_5__2_TotalNitrogenVolatilisedFromMMS_Variable()</f>
        <v>MMS_ATMOS</v>
      </c>
    </row>
    <row r="11" spans="1:21" ht="20.100000000000001" customHeight="1" x14ac:dyDescent="0.25">
      <c r="A11" s="19" t="s">
        <v>76</v>
      </c>
      <c r="D11" s="53" t="s">
        <v>19</v>
      </c>
      <c r="E11" s="54" t="str" cm="1">
        <f t="array" ref="E11">MMS_Swine_AtmosphericDeposition_Equations.VEERG_4_5_1_5__2_TotalNitrogenVolatilisedFromMMS_Unit()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4">Common_InputFunctions.Utility_DisplayArguments_1_2(MMS_Swine_AtmosphericDeposition_Equations.VEERG_4_5_1_5__2_TotalNitrogenVolatilisedFromMMS_Arguments())</f>
        <v>MN_jmT</v>
      </c>
      <c r="E13" s="58" t="str">
        <v>nitrogen per swine class, MMS and treatment stage</v>
      </c>
      <c r="F13" s="59"/>
      <c r="G13" s="144" t="str" cm="1">
        <f t="array" ref="G13:H14">Common_InputFunctions.Utility_DisplayArguments_3_4(MMS_Swine_AtmosphericDeposition_Equations.VEERG_4_5_1_5__2_TotalNitrogenVolatilisedFromMMS_Arguments())</f>
        <v>kg N</v>
      </c>
      <c r="H13" s="139" t="str">
        <v>Calculated from 4.5.1.3 (2)(6)</v>
      </c>
      <c r="I13" s="143" t="str" cm="1">
        <f t="array" aca="1" ref="I13" ca="1">HYPERLINK(Common_InputFunctions.Utility_SourceHyperlink(D19), D19)</f>
        <v>M1_Table_MN_j_m_T-1</v>
      </c>
      <c r="J13" s="143" t="str" cm="1">
        <f t="array" aca="1" ref="J13" ca="1">HYPERLINK(Common_InputFunctions.Utility_SourceHyperlink(D29), D29)</f>
        <v>M1_Table_MN_j_m_T-2</v>
      </c>
    </row>
    <row r="14" spans="1:21" ht="20.100000000000001" customHeight="1" x14ac:dyDescent="0.25">
      <c r="A14" s="17" t="str">
        <f>HYPERLINK("#'4.5.1.5-6 Atmos Dep'!A1", "4.5.1.5-6 Soil atm. deposition")</f>
        <v>4.5.1.5-6 Soil atm. deposition</v>
      </c>
      <c r="D14" s="57" t="str">
        <v>FracGASMmT</v>
      </c>
      <c r="E14" s="58" t="str">
        <v>fraction of N volatilised in each MMS</v>
      </c>
      <c r="F14" s="59"/>
      <c r="G14" s="144" t="str">
        <v>(kg NH3-N + NOx-N)/kg N</v>
      </c>
      <c r="H14" s="139" t="str">
        <v>Constant</v>
      </c>
      <c r="I14" s="148" t="str" cm="1">
        <f t="array" aca="1" ref="I14" ca="1">HYPERLINK(Common_InputFunctions.Utility_SourceHyperlink(D59), D59)</f>
        <v>Table_FracGASM_m_t</v>
      </c>
      <c r="J14" s="147"/>
    </row>
    <row r="15" spans="1:21" ht="20.100000000000001" customHeight="1" x14ac:dyDescent="0.25">
      <c r="A15" s="17" t="str">
        <f>HYPERLINK("#'4.5.1.7-8 Leaching and runoff'!A1", "4.5.1.7-8 Leaching &amp; runoff")</f>
        <v>4.5.1.7-8 Leaching &amp; runoff</v>
      </c>
    </row>
    <row r="16" spans="1:21" ht="20.100000000000001" customHeight="1" x14ac:dyDescent="0.25">
      <c r="A16" s="17" t="str">
        <f>HYPERLINK("#'4.5.1.9 Manure applied to soils'!A1", "4.5.1.9 Manure applied to soils")</f>
        <v>4.5.1.9 Manure applied to soils</v>
      </c>
      <c r="D16" s="136" t="s">
        <v>349</v>
      </c>
      <c r="E16" s="91"/>
      <c r="F16" s="91"/>
      <c r="G16" s="87"/>
    </row>
    <row r="17" spans="1:20" ht="20.100000000000001" customHeight="1" x14ac:dyDescent="0.25">
      <c r="D17" s="93" t="s">
        <v>348</v>
      </c>
      <c r="E17" s="90"/>
      <c r="F17" s="90"/>
      <c r="G17" s="88"/>
    </row>
    <row r="18" spans="1:20" ht="20.100000000000001" customHeight="1" x14ac:dyDescent="0.25">
      <c r="A18" s="18" t="s">
        <v>4</v>
      </c>
    </row>
    <row r="19" spans="1:20" ht="20.100000000000001" customHeight="1" x14ac:dyDescent="0.25">
      <c r="A19" s="17" t="str">
        <f>HYPERLINK("#'Constants - Swine'!A1", "Constants - Swine")</f>
        <v>Constants - Swine</v>
      </c>
      <c r="D19" s="121" t="s">
        <v>247</v>
      </c>
      <c r="N19" s="121" t="s">
        <v>247</v>
      </c>
    </row>
    <row r="20" spans="1:20" ht="20.100000000000001" customHeight="1" x14ac:dyDescent="0.25">
      <c r="A20" s="17" t="str">
        <f>HYPERLINK("#'Constants - Livestock'!A1", "Constants - Livestock")</f>
        <v>Constants - Livestock</v>
      </c>
      <c r="D20" s="122" t="s">
        <v>248</v>
      </c>
      <c r="N20" s="122" t="s">
        <v>248</v>
      </c>
    </row>
    <row r="21" spans="1:20" ht="20.100000000000001" customHeight="1" x14ac:dyDescent="0.25">
      <c r="A21" s="17" t="str">
        <f>HYPERLINK("#'Constants - Common'!A1", "Constants - Common")</f>
        <v>Constants - Common</v>
      </c>
      <c r="D21" s="51" t="s">
        <v>163</v>
      </c>
      <c r="E21" s="51" t="s">
        <v>142</v>
      </c>
      <c r="F21" s="51" t="s">
        <v>143</v>
      </c>
      <c r="G21" s="51" t="s">
        <v>144</v>
      </c>
      <c r="H21" s="51" t="s">
        <v>206</v>
      </c>
      <c r="N21" s="51" t="s">
        <v>163</v>
      </c>
      <c r="O21" s="51" t="s">
        <v>142</v>
      </c>
      <c r="P21" s="51" t="s">
        <v>143</v>
      </c>
      <c r="Q21" s="51" t="s">
        <v>144</v>
      </c>
      <c r="R21" s="51" t="s">
        <v>206</v>
      </c>
    </row>
    <row r="22" spans="1:20" ht="20.100000000000001" customHeight="1" x14ac:dyDescent="0.25">
      <c r="A22" s="17" t="str">
        <f>HYPERLINK("#'Acknowledgements'!A1", "Acknowledgements")</f>
        <v>Acknowledgements</v>
      </c>
      <c r="D22" s="57" t="str">
        <f>'Input - Swine'!$D$29</f>
        <v>Anaerobic lagoon</v>
      </c>
      <c r="E22" s="52">
        <f>'4.5.1.3-4 Direct N2O'!E118</f>
        <v>201.47999999999996</v>
      </c>
      <c r="F22" s="52">
        <f>'4.5.1.3-4 Direct N2O'!F118</f>
        <v>214.62000000000003</v>
      </c>
      <c r="G22" s="52">
        <f>'4.5.1.3-4 Direct N2O'!G118</f>
        <v>201.47999999999996</v>
      </c>
      <c r="H22" s="52">
        <f>'4.5.1.3-4 Direct N2O'!H118</f>
        <v>136.65599999999998</v>
      </c>
      <c r="I22" s="2" t="str">
        <f>$G$13</f>
        <v>kg N</v>
      </c>
      <c r="N22" s="57" t="str">
        <f>'Input - Swine'!$D$29</f>
        <v>Anaerobic lagoon</v>
      </c>
      <c r="O22" s="52">
        <f>'4.5.1.3-4 Direct N2O'!O118</f>
        <v>201.47999999999996</v>
      </c>
      <c r="P22" s="52">
        <f>'4.5.1.3-4 Direct N2O'!P118</f>
        <v>214.62000000000003</v>
      </c>
      <c r="Q22" s="52">
        <f>'4.5.1.3-4 Direct N2O'!Q118</f>
        <v>201.47999999999996</v>
      </c>
      <c r="R22" s="52">
        <f>'4.5.1.3-4 Direct N2O'!R118</f>
        <v>136.65599999999998</v>
      </c>
      <c r="S22" s="2" t="str">
        <f>$G$13</f>
        <v>kg N</v>
      </c>
    </row>
    <row r="23" spans="1:20" ht="20.100000000000001" customHeight="1" x14ac:dyDescent="0.25">
      <c r="D23" s="57" t="str">
        <f>'Input - Swine'!$D$30</f>
        <v>Drylot (feed pad)</v>
      </c>
      <c r="E23" s="52">
        <f>'4.5.1.3-4 Direct N2O'!E119</f>
        <v>201.47999999999996</v>
      </c>
      <c r="F23" s="52">
        <f>'4.5.1.3-4 Direct N2O'!F119</f>
        <v>214.62000000000003</v>
      </c>
      <c r="G23" s="52">
        <f>'4.5.1.3-4 Direct N2O'!G119</f>
        <v>201.47999999999996</v>
      </c>
      <c r="H23" s="52">
        <f>'4.5.1.3-4 Direct N2O'!H119</f>
        <v>136.65599999999998</v>
      </c>
      <c r="I23" s="2"/>
      <c r="N23" s="57" t="str">
        <f>'Input - Swine'!$D$30</f>
        <v>Drylot (feed pad)</v>
      </c>
      <c r="O23" s="52">
        <f>'4.5.1.3-4 Direct N2O'!O119</f>
        <v>201.47999999999996</v>
      </c>
      <c r="P23" s="52">
        <f>'4.5.1.3-4 Direct N2O'!P119</f>
        <v>214.62000000000003</v>
      </c>
      <c r="Q23" s="52">
        <f>'4.5.1.3-4 Direct N2O'!Q119</f>
        <v>201.47999999999996</v>
      </c>
      <c r="R23" s="52">
        <f>'4.5.1.3-4 Direct N2O'!R119</f>
        <v>136.65599999999998</v>
      </c>
      <c r="S23" s="2"/>
    </row>
    <row r="24" spans="1:20" ht="20.100000000000001" customHeight="1" x14ac:dyDescent="0.25">
      <c r="A24" s="17"/>
      <c r="D24" s="57" t="str">
        <f>'Input - Swine'!$D$31</f>
        <v>Digester / covered lagoons</v>
      </c>
      <c r="E24" s="52">
        <f>'4.5.1.3-4 Direct N2O'!E120</f>
        <v>201.47999999999996</v>
      </c>
      <c r="F24" s="52">
        <f>'4.5.1.3-4 Direct N2O'!F120</f>
        <v>214.62000000000003</v>
      </c>
      <c r="G24" s="52">
        <f>'4.5.1.3-4 Direct N2O'!G120</f>
        <v>201.47999999999996</v>
      </c>
      <c r="H24" s="52">
        <f>'4.5.1.3-4 Direct N2O'!H120</f>
        <v>136.65599999999998</v>
      </c>
      <c r="I24" s="2"/>
      <c r="N24" s="57" t="str">
        <f>'Input - Swine'!$D$31</f>
        <v>Digester / covered lagoons</v>
      </c>
      <c r="O24" s="52">
        <f>'4.5.1.3-4 Direct N2O'!O120</f>
        <v>201.47999999999996</v>
      </c>
      <c r="P24" s="52">
        <f>'4.5.1.3-4 Direct N2O'!P120</f>
        <v>214.62000000000003</v>
      </c>
      <c r="Q24" s="52">
        <f>'4.5.1.3-4 Direct N2O'!Q120</f>
        <v>201.47999999999996</v>
      </c>
      <c r="R24" s="52">
        <f>'4.5.1.3-4 Direct N2O'!R120</f>
        <v>136.65599999999998</v>
      </c>
      <c r="S24" s="2"/>
    </row>
    <row r="25" spans="1:20" ht="20.100000000000001" customHeight="1" x14ac:dyDescent="0.25">
      <c r="D25" s="57" t="str">
        <f>'Input - Swine'!$D$32</f>
        <v>Deep litter</v>
      </c>
      <c r="E25" s="52">
        <f>'4.5.1.3-4 Direct N2O'!E121</f>
        <v>201.47999999999996</v>
      </c>
      <c r="F25" s="52">
        <f>'4.5.1.3-4 Direct N2O'!F121</f>
        <v>214.62000000000003</v>
      </c>
      <c r="G25" s="52">
        <f>'4.5.1.3-4 Direct N2O'!G121</f>
        <v>201.47999999999996</v>
      </c>
      <c r="H25" s="52">
        <f>'4.5.1.3-4 Direct N2O'!H121</f>
        <v>136.65599999999998</v>
      </c>
      <c r="I25" s="2"/>
      <c r="N25" s="57" t="str">
        <f>'Input - Swine'!$D$32</f>
        <v>Deep litter</v>
      </c>
      <c r="O25" s="52">
        <f>'4.5.1.3-4 Direct N2O'!O121</f>
        <v>201.47999999999996</v>
      </c>
      <c r="P25" s="52">
        <f>'4.5.1.3-4 Direct N2O'!P121</f>
        <v>214.62000000000003</v>
      </c>
      <c r="Q25" s="52">
        <f>'4.5.1.3-4 Direct N2O'!Q121</f>
        <v>201.47999999999996</v>
      </c>
      <c r="R25" s="52">
        <f>'4.5.1.3-4 Direct N2O'!R121</f>
        <v>136.65599999999998</v>
      </c>
      <c r="S25" s="2"/>
    </row>
    <row r="26" spans="1:20" ht="20.100000000000001" customHeight="1" x14ac:dyDescent="0.25">
      <c r="D26" s="57" t="str">
        <f>'Input - Swine'!$D$33</f>
        <v>Pit storage</v>
      </c>
      <c r="E26" s="52">
        <f>'4.5.1.3-4 Direct N2O'!E122</f>
        <v>201.47999999999996</v>
      </c>
      <c r="F26" s="52">
        <f>'4.5.1.3-4 Direct N2O'!F122</f>
        <v>214.62000000000003</v>
      </c>
      <c r="G26" s="52">
        <f>'4.5.1.3-4 Direct N2O'!G122</f>
        <v>201.47999999999996</v>
      </c>
      <c r="H26" s="52">
        <f>'4.5.1.3-4 Direct N2O'!H122</f>
        <v>136.65599999999998</v>
      </c>
      <c r="I26" s="2"/>
      <c r="N26" s="57" t="str">
        <f>'Input - Swine'!$D$33</f>
        <v>Pit storage</v>
      </c>
      <c r="O26" s="52">
        <f>'4.5.1.3-4 Direct N2O'!O122</f>
        <v>201.47999999999996</v>
      </c>
      <c r="P26" s="52">
        <f>'4.5.1.3-4 Direct N2O'!P122</f>
        <v>214.62000000000003</v>
      </c>
      <c r="Q26" s="52">
        <f>'4.5.1.3-4 Direct N2O'!Q122</f>
        <v>201.47999999999996</v>
      </c>
      <c r="R26" s="52">
        <f>'4.5.1.3-4 Direct N2O'!R122</f>
        <v>136.65599999999998</v>
      </c>
      <c r="S26" s="2"/>
    </row>
    <row r="27" spans="1:20" ht="20.100000000000001" customHeight="1" x14ac:dyDescent="0.25">
      <c r="D27" s="57" t="str">
        <f>'Input - Swine'!$D$34</f>
        <v>Solid storage</v>
      </c>
      <c r="E27" s="52">
        <f>'4.5.1.3-4 Direct N2O'!E123</f>
        <v>671.60000000000014</v>
      </c>
      <c r="F27" s="52">
        <f>'4.5.1.3-4 Direct N2O'!F123</f>
        <v>715.40000000000032</v>
      </c>
      <c r="G27" s="52">
        <f>'4.5.1.3-4 Direct N2O'!G123</f>
        <v>671.60000000000014</v>
      </c>
      <c r="H27" s="52">
        <f>'4.5.1.3-4 Direct N2O'!H123</f>
        <v>455.52000000000015</v>
      </c>
      <c r="I27" s="2"/>
      <c r="N27" s="57" t="str">
        <f>'Input - Swine'!$D$34</f>
        <v>Solid storage</v>
      </c>
      <c r="O27" s="52">
        <f>'4.5.1.3-4 Direct N2O'!O123</f>
        <v>671.60000000000014</v>
      </c>
      <c r="P27" s="52">
        <f>'4.5.1.3-4 Direct N2O'!P123</f>
        <v>715.40000000000032</v>
      </c>
      <c r="Q27" s="52">
        <f>'4.5.1.3-4 Direct N2O'!Q123</f>
        <v>671.60000000000014</v>
      </c>
      <c r="R27" s="52">
        <f>'4.5.1.3-4 Direct N2O'!R123</f>
        <v>455.52000000000015</v>
      </c>
      <c r="S27" s="2"/>
    </row>
    <row r="28" spans="1:20" ht="20.100000000000001" customHeight="1" x14ac:dyDescent="0.25"/>
    <row r="29" spans="1:20" ht="20.100000000000001" customHeight="1" x14ac:dyDescent="0.25">
      <c r="D29" s="121" t="s">
        <v>258</v>
      </c>
      <c r="N29" s="121" t="s">
        <v>258</v>
      </c>
    </row>
    <row r="30" spans="1:20" ht="20.100000000000001" customHeight="1" x14ac:dyDescent="0.25">
      <c r="D30" s="122" t="s">
        <v>259</v>
      </c>
      <c r="N30" s="122" t="s">
        <v>259</v>
      </c>
    </row>
    <row r="31" spans="1:20" ht="20.100000000000001" customHeight="1" x14ac:dyDescent="0.25">
      <c r="D31" s="51" t="s">
        <v>163</v>
      </c>
      <c r="E31" s="51" t="s">
        <v>171</v>
      </c>
      <c r="F31" s="51" t="s">
        <v>142</v>
      </c>
      <c r="G31" s="51" t="s">
        <v>143</v>
      </c>
      <c r="H31" s="51" t="s">
        <v>144</v>
      </c>
      <c r="I31" s="51" t="s">
        <v>206</v>
      </c>
      <c r="N31" s="51" t="s">
        <v>163</v>
      </c>
      <c r="O31" s="51" t="s">
        <v>171</v>
      </c>
      <c r="P31" s="51" t="s">
        <v>142</v>
      </c>
      <c r="Q31" s="51" t="s">
        <v>143</v>
      </c>
      <c r="R31" s="51" t="s">
        <v>144</v>
      </c>
      <c r="S31" s="51" t="s">
        <v>206</v>
      </c>
    </row>
    <row r="32" spans="1:20" ht="20.100000000000001" customHeight="1" x14ac:dyDescent="0.25">
      <c r="D32" s="57" t="str">
        <f>'Input - Swine'!$D$29</f>
        <v>Anaerobic lagoon</v>
      </c>
      <c r="E32" s="57" t="str">
        <f>'Input - Swine'!$D$48</f>
        <v>Digester / covered lagoons</v>
      </c>
      <c r="F32" s="52">
        <f>'4.5.1.3-4 Direct N2O'!F217</f>
        <v>18.133199999999995</v>
      </c>
      <c r="G32" s="52">
        <f>'4.5.1.3-4 Direct N2O'!G217</f>
        <v>24.144750000000002</v>
      </c>
      <c r="H32" s="52">
        <f>'4.5.1.3-4 Direct N2O'!H217</f>
        <v>22.666499999999992</v>
      </c>
      <c r="I32" s="52">
        <f>'4.5.1.3-4 Direct N2O'!I217</f>
        <v>15.373799999999996</v>
      </c>
      <c r="J32" s="2" t="str">
        <f>$G$13</f>
        <v>kg N</v>
      </c>
      <c r="N32" s="57" t="str">
        <f>'Input - Swine'!$D$29</f>
        <v>Anaerobic lagoon</v>
      </c>
      <c r="O32" s="57" t="str">
        <f>'Input - Swine'!$D$48</f>
        <v>Digester / covered lagoons</v>
      </c>
      <c r="P32" s="52">
        <f>'4.5.1.3-4 Direct N2O'!P217</f>
        <v>18.133199999999995</v>
      </c>
      <c r="Q32" s="52">
        <f>'4.5.1.3-4 Direct N2O'!Q217</f>
        <v>24.144750000000002</v>
      </c>
      <c r="R32" s="52">
        <f>'4.5.1.3-4 Direct N2O'!R217</f>
        <v>22.666499999999992</v>
      </c>
      <c r="S32" s="52">
        <f>'4.5.1.3-4 Direct N2O'!S217</f>
        <v>15.373799999999996</v>
      </c>
      <c r="T32" s="2" t="str">
        <f>$G$13</f>
        <v>kg N</v>
      </c>
    </row>
    <row r="33" spans="4:20" ht="20.100000000000001" customHeight="1" x14ac:dyDescent="0.25">
      <c r="D33" s="57"/>
      <c r="E33" s="57" t="str">
        <f>'Input - Swine'!$D$49</f>
        <v>Deep litter</v>
      </c>
      <c r="F33" s="52">
        <f>'4.5.1.3-4 Direct N2O'!F218</f>
        <v>18.133199999999995</v>
      </c>
      <c r="G33" s="52">
        <f>'4.5.1.3-4 Direct N2O'!G218</f>
        <v>24.144750000000002</v>
      </c>
      <c r="H33" s="52">
        <f>'4.5.1.3-4 Direct N2O'!H218</f>
        <v>22.666499999999992</v>
      </c>
      <c r="I33" s="52">
        <f>'4.5.1.3-4 Direct N2O'!I218</f>
        <v>15.373799999999996</v>
      </c>
      <c r="J33" s="2"/>
      <c r="N33" s="57"/>
      <c r="O33" s="57" t="str">
        <f>'Input - Swine'!$D$49</f>
        <v>Deep litter</v>
      </c>
      <c r="P33" s="52">
        <f>'4.5.1.3-4 Direct N2O'!P218</f>
        <v>18.133199999999995</v>
      </c>
      <c r="Q33" s="52">
        <f>'4.5.1.3-4 Direct N2O'!Q218</f>
        <v>24.144750000000002</v>
      </c>
      <c r="R33" s="52">
        <f>'4.5.1.3-4 Direct N2O'!R218</f>
        <v>22.666499999999992</v>
      </c>
      <c r="S33" s="52">
        <f>'4.5.1.3-4 Direct N2O'!S218</f>
        <v>15.373799999999996</v>
      </c>
      <c r="T33" s="2"/>
    </row>
    <row r="34" spans="4:20" ht="20.100000000000001" customHeight="1" x14ac:dyDescent="0.25">
      <c r="D34" s="57"/>
      <c r="E34" s="57" t="str">
        <f>'Input - Swine'!$D$50</f>
        <v>Pit storage</v>
      </c>
      <c r="F34" s="52">
        <f>'4.5.1.3-4 Direct N2O'!F219</f>
        <v>18.133199999999995</v>
      </c>
      <c r="G34" s="52">
        <f>'4.5.1.3-4 Direct N2O'!G219</f>
        <v>24.144750000000002</v>
      </c>
      <c r="H34" s="52">
        <f>'4.5.1.3-4 Direct N2O'!H219</f>
        <v>22.666499999999992</v>
      </c>
      <c r="I34" s="52">
        <f>'4.5.1.3-4 Direct N2O'!I219</f>
        <v>15.373799999999996</v>
      </c>
      <c r="J34" s="2"/>
      <c r="N34" s="57"/>
      <c r="O34" s="57" t="str">
        <f>'Input - Swine'!$D$50</f>
        <v>Pit storage</v>
      </c>
      <c r="P34" s="52">
        <f>'4.5.1.3-4 Direct N2O'!P219</f>
        <v>18.133199999999995</v>
      </c>
      <c r="Q34" s="52">
        <f>'4.5.1.3-4 Direct N2O'!Q219</f>
        <v>24.144750000000002</v>
      </c>
      <c r="R34" s="52">
        <f>'4.5.1.3-4 Direct N2O'!R219</f>
        <v>22.666499999999992</v>
      </c>
      <c r="S34" s="52">
        <f>'4.5.1.3-4 Direct N2O'!S219</f>
        <v>15.373799999999996</v>
      </c>
      <c r="T34" s="2"/>
    </row>
    <row r="35" spans="4:20" ht="20.100000000000001" customHeight="1" x14ac:dyDescent="0.25">
      <c r="D35" s="57"/>
      <c r="E35" s="57" t="str">
        <f>'Input - Swine'!$D$51</f>
        <v>Direct application</v>
      </c>
      <c r="F35" s="52">
        <f>'4.5.1.3-4 Direct N2O'!F220</f>
        <v>36.266399999999976</v>
      </c>
      <c r="G35" s="52">
        <f>'4.5.1.3-4 Direct N2O'!G220</f>
        <v>24.144750000000002</v>
      </c>
      <c r="H35" s="52">
        <f>'4.5.1.3-4 Direct N2O'!H220</f>
        <v>22.666499999999992</v>
      </c>
      <c r="I35" s="52">
        <f>'4.5.1.3-4 Direct N2O'!I220</f>
        <v>15.373799999999996</v>
      </c>
      <c r="J35" s="2"/>
      <c r="N35" s="57"/>
      <c r="O35" s="57" t="str">
        <f>'Input - Swine'!$D$51</f>
        <v>Direct application</v>
      </c>
      <c r="P35" s="52">
        <f>'4.5.1.3-4 Direct N2O'!P220</f>
        <v>36.266399999999976</v>
      </c>
      <c r="Q35" s="52">
        <f>'4.5.1.3-4 Direct N2O'!Q220</f>
        <v>24.144750000000002</v>
      </c>
      <c r="R35" s="52">
        <f>'4.5.1.3-4 Direct N2O'!R220</f>
        <v>22.666499999999992</v>
      </c>
      <c r="S35" s="52">
        <f>'4.5.1.3-4 Direct N2O'!S220</f>
        <v>15.373799999999996</v>
      </c>
      <c r="T35" s="2"/>
    </row>
    <row r="36" spans="4:20" ht="20.100000000000001" customHeight="1" x14ac:dyDescent="0.25">
      <c r="D36" s="57" t="str">
        <f>'Input - Swine'!$D$30</f>
        <v>Drylot (feed pad)</v>
      </c>
      <c r="E36" s="57" t="str">
        <f>'Input - Swine'!$D$55</f>
        <v>Anaerobic lagoon</v>
      </c>
      <c r="F36" s="52">
        <f>'4.5.1.3-4 Direct N2O'!F221</f>
        <v>27.401279999999993</v>
      </c>
      <c r="G36" s="52">
        <f>'4.5.1.3-4 Direct N2O'!G221</f>
        <v>36.485400000000006</v>
      </c>
      <c r="H36" s="52">
        <f>'4.5.1.3-4 Direct N2O'!H221</f>
        <v>34.251599999999989</v>
      </c>
      <c r="I36" s="52">
        <f>'4.5.1.3-4 Direct N2O'!I221</f>
        <v>23.231519999999993</v>
      </c>
      <c r="J36" s="2"/>
      <c r="N36" s="57" t="str">
        <f>'Input - Swine'!$D$30</f>
        <v>Drylot (feed pad)</v>
      </c>
      <c r="O36" s="57" t="str">
        <f>'Input - Swine'!$D$55</f>
        <v>Anaerobic lagoon</v>
      </c>
      <c r="P36" s="52">
        <f>'4.5.1.3-4 Direct N2O'!P221</f>
        <v>27.401279999999993</v>
      </c>
      <c r="Q36" s="52">
        <f>'4.5.1.3-4 Direct N2O'!Q221</f>
        <v>36.485400000000006</v>
      </c>
      <c r="R36" s="52">
        <f>'4.5.1.3-4 Direct N2O'!R221</f>
        <v>34.251599999999989</v>
      </c>
      <c r="S36" s="52">
        <f>'4.5.1.3-4 Direct N2O'!S221</f>
        <v>23.231519999999993</v>
      </c>
      <c r="T36" s="2"/>
    </row>
    <row r="37" spans="4:20" ht="20.100000000000001" customHeight="1" x14ac:dyDescent="0.25">
      <c r="D37" s="57"/>
      <c r="E37" s="57" t="str">
        <f>'Input - Swine'!$D$56</f>
        <v>Digester / covered lagoons</v>
      </c>
      <c r="F37" s="52">
        <f>'4.5.1.3-4 Direct N2O'!F222</f>
        <v>27.401279999999993</v>
      </c>
      <c r="G37" s="52">
        <f>'4.5.1.3-4 Direct N2O'!G222</f>
        <v>36.485400000000006</v>
      </c>
      <c r="H37" s="52">
        <f>'4.5.1.3-4 Direct N2O'!H222</f>
        <v>34.251599999999989</v>
      </c>
      <c r="I37" s="52">
        <f>'4.5.1.3-4 Direct N2O'!I222</f>
        <v>23.231519999999993</v>
      </c>
      <c r="J37" s="2"/>
      <c r="N37" s="57"/>
      <c r="O37" s="57" t="str">
        <f>'Input - Swine'!$D$56</f>
        <v>Digester / covered lagoons</v>
      </c>
      <c r="P37" s="52">
        <f>'4.5.1.3-4 Direct N2O'!P222</f>
        <v>27.401279999999993</v>
      </c>
      <c r="Q37" s="52">
        <f>'4.5.1.3-4 Direct N2O'!Q222</f>
        <v>36.485400000000006</v>
      </c>
      <c r="R37" s="52">
        <f>'4.5.1.3-4 Direct N2O'!R222</f>
        <v>34.251599999999989</v>
      </c>
      <c r="S37" s="52">
        <f>'4.5.1.3-4 Direct N2O'!S222</f>
        <v>23.231519999999993</v>
      </c>
      <c r="T37" s="2"/>
    </row>
    <row r="38" spans="4:20" ht="20.100000000000001" customHeight="1" x14ac:dyDescent="0.25">
      <c r="D38" s="57"/>
      <c r="E38" s="57" t="str">
        <f>'Input - Swine'!$D$57</f>
        <v>Deep litter</v>
      </c>
      <c r="F38" s="52">
        <f>'4.5.1.3-4 Direct N2O'!F223</f>
        <v>27.401279999999993</v>
      </c>
      <c r="G38" s="52">
        <f>'4.5.1.3-4 Direct N2O'!G223</f>
        <v>36.485400000000006</v>
      </c>
      <c r="H38" s="52">
        <f>'4.5.1.3-4 Direct N2O'!H223</f>
        <v>34.251599999999989</v>
      </c>
      <c r="I38" s="52">
        <f>'4.5.1.3-4 Direct N2O'!I223</f>
        <v>23.231519999999993</v>
      </c>
      <c r="J38" s="2"/>
      <c r="N38" s="57"/>
      <c r="O38" s="57" t="str">
        <f>'Input - Swine'!$D$57</f>
        <v>Deep litter</v>
      </c>
      <c r="P38" s="52">
        <f>'4.5.1.3-4 Direct N2O'!P223</f>
        <v>27.401279999999993</v>
      </c>
      <c r="Q38" s="52">
        <f>'4.5.1.3-4 Direct N2O'!Q223</f>
        <v>36.485400000000006</v>
      </c>
      <c r="R38" s="52">
        <f>'4.5.1.3-4 Direct N2O'!R223</f>
        <v>34.251599999999989</v>
      </c>
      <c r="S38" s="52">
        <f>'4.5.1.3-4 Direct N2O'!S223</f>
        <v>23.231519999999993</v>
      </c>
      <c r="T38" s="2"/>
    </row>
    <row r="39" spans="4:20" ht="20.100000000000001" customHeight="1" x14ac:dyDescent="0.25">
      <c r="D39" s="57"/>
      <c r="E39" s="57" t="str">
        <f>'Input - Swine'!$D$58</f>
        <v>Pit storage</v>
      </c>
      <c r="F39" s="52">
        <f>'4.5.1.3-4 Direct N2O'!F224</f>
        <v>27.401279999999993</v>
      </c>
      <c r="G39" s="52">
        <f>'4.5.1.3-4 Direct N2O'!G224</f>
        <v>36.485400000000006</v>
      </c>
      <c r="H39" s="52">
        <f>'4.5.1.3-4 Direct N2O'!H224</f>
        <v>34.251599999999989</v>
      </c>
      <c r="I39" s="52">
        <f>'4.5.1.3-4 Direct N2O'!I224</f>
        <v>23.231519999999993</v>
      </c>
      <c r="J39" s="2"/>
      <c r="N39" s="57"/>
      <c r="O39" s="57" t="str">
        <f>'Input - Swine'!$D$58</f>
        <v>Pit storage</v>
      </c>
      <c r="P39" s="52">
        <f>'4.5.1.3-4 Direct N2O'!P224</f>
        <v>27.401279999999993</v>
      </c>
      <c r="Q39" s="52">
        <f>'4.5.1.3-4 Direct N2O'!Q224</f>
        <v>36.485400000000006</v>
      </c>
      <c r="R39" s="52">
        <f>'4.5.1.3-4 Direct N2O'!R224</f>
        <v>34.251599999999989</v>
      </c>
      <c r="S39" s="52">
        <f>'4.5.1.3-4 Direct N2O'!S224</f>
        <v>23.231519999999993</v>
      </c>
      <c r="T39" s="2"/>
    </row>
    <row r="40" spans="4:20" ht="20.100000000000001" customHeight="1" x14ac:dyDescent="0.25">
      <c r="D40" s="57"/>
      <c r="E40" s="57" t="str">
        <f>'Input - Swine'!$D$59</f>
        <v>Direct application</v>
      </c>
      <c r="F40" s="52">
        <f>'4.5.1.3-4 Direct N2O'!F225</f>
        <v>27.401279999999986</v>
      </c>
      <c r="G40" s="52">
        <f>'4.5.1.3-4 Direct N2O'!G225</f>
        <v>0</v>
      </c>
      <c r="H40" s="52">
        <f>'4.5.1.3-4 Direct N2O'!H225</f>
        <v>0</v>
      </c>
      <c r="I40" s="52">
        <f>'4.5.1.3-4 Direct N2O'!I225</f>
        <v>0</v>
      </c>
      <c r="J40" s="2"/>
      <c r="N40" s="57"/>
      <c r="O40" s="57" t="str">
        <f>'Input - Swine'!$D$59</f>
        <v>Direct application</v>
      </c>
      <c r="P40" s="52">
        <f>'4.5.1.3-4 Direct N2O'!P225</f>
        <v>27.401279999999986</v>
      </c>
      <c r="Q40" s="52">
        <f>'4.5.1.3-4 Direct N2O'!Q225</f>
        <v>0</v>
      </c>
      <c r="R40" s="52">
        <f>'4.5.1.3-4 Direct N2O'!R225</f>
        <v>0</v>
      </c>
      <c r="S40" s="52">
        <f>'4.5.1.3-4 Direct N2O'!S225</f>
        <v>0</v>
      </c>
      <c r="T40" s="2"/>
    </row>
    <row r="41" spans="4:20" ht="20.100000000000001" customHeight="1" x14ac:dyDescent="0.25">
      <c r="D41" s="57" t="str">
        <f>'Input - Swine'!$D$31</f>
        <v>Digester / covered lagoons</v>
      </c>
      <c r="E41" s="57" t="str">
        <f>'Input - Swine'!$D$63</f>
        <v>Anaerobic lagoon</v>
      </c>
      <c r="F41" s="52">
        <f>'4.5.1.3-4 Direct N2O'!F226</f>
        <v>40.295999999999992</v>
      </c>
      <c r="G41" s="52">
        <f>'4.5.1.3-4 Direct N2O'!G226</f>
        <v>53.655000000000008</v>
      </c>
      <c r="H41" s="52">
        <f>'4.5.1.3-4 Direct N2O'!H226</f>
        <v>50.36999999999999</v>
      </c>
      <c r="I41" s="52">
        <f>'4.5.1.3-4 Direct N2O'!I226</f>
        <v>34.163999999999994</v>
      </c>
      <c r="J41" s="2"/>
      <c r="N41" s="57" t="str">
        <f>'Input - Swine'!$D$31</f>
        <v>Digester / covered lagoons</v>
      </c>
      <c r="O41" s="57" t="str">
        <f>'Input - Swine'!$D$63</f>
        <v>Anaerobic lagoon</v>
      </c>
      <c r="P41" s="52">
        <f>'4.5.1.3-4 Direct N2O'!P226</f>
        <v>40.295999999999992</v>
      </c>
      <c r="Q41" s="52">
        <f>'4.5.1.3-4 Direct N2O'!Q226</f>
        <v>53.655000000000008</v>
      </c>
      <c r="R41" s="52">
        <f>'4.5.1.3-4 Direct N2O'!R226</f>
        <v>50.36999999999999</v>
      </c>
      <c r="S41" s="52">
        <f>'4.5.1.3-4 Direct N2O'!S226</f>
        <v>34.163999999999994</v>
      </c>
      <c r="T41" s="2"/>
    </row>
    <row r="42" spans="4:20" ht="20.100000000000001" customHeight="1" x14ac:dyDescent="0.25">
      <c r="D42" s="57"/>
      <c r="E42" s="57" t="str">
        <f>'Input - Swine'!$D$64</f>
        <v>Deep litter</v>
      </c>
      <c r="F42" s="52">
        <f>'4.5.1.3-4 Direct N2O'!F227</f>
        <v>40.295999999999992</v>
      </c>
      <c r="G42" s="52">
        <f>'4.5.1.3-4 Direct N2O'!G227</f>
        <v>53.655000000000008</v>
      </c>
      <c r="H42" s="52">
        <f>'4.5.1.3-4 Direct N2O'!H227</f>
        <v>50.36999999999999</v>
      </c>
      <c r="I42" s="52">
        <f>'4.5.1.3-4 Direct N2O'!I227</f>
        <v>34.163999999999994</v>
      </c>
      <c r="J42" s="2"/>
      <c r="N42" s="57"/>
      <c r="O42" s="57" t="str">
        <f>'Input - Swine'!$D$64</f>
        <v>Deep litter</v>
      </c>
      <c r="P42" s="52">
        <f>'4.5.1.3-4 Direct N2O'!P227</f>
        <v>40.295999999999992</v>
      </c>
      <c r="Q42" s="52">
        <f>'4.5.1.3-4 Direct N2O'!Q227</f>
        <v>53.655000000000008</v>
      </c>
      <c r="R42" s="52">
        <f>'4.5.1.3-4 Direct N2O'!R227</f>
        <v>50.36999999999999</v>
      </c>
      <c r="S42" s="52">
        <f>'4.5.1.3-4 Direct N2O'!S227</f>
        <v>34.163999999999994</v>
      </c>
      <c r="T42" s="2"/>
    </row>
    <row r="43" spans="4:20" ht="20.100000000000001" customHeight="1" x14ac:dyDescent="0.25">
      <c r="D43" s="57"/>
      <c r="E43" s="57" t="str">
        <f>'Input - Swine'!$D$65</f>
        <v>Pit storage</v>
      </c>
      <c r="F43" s="52">
        <f>'4.5.1.3-4 Direct N2O'!F228</f>
        <v>40.295999999999992</v>
      </c>
      <c r="G43" s="52">
        <f>'4.5.1.3-4 Direct N2O'!G228</f>
        <v>53.655000000000008</v>
      </c>
      <c r="H43" s="52">
        <f>'4.5.1.3-4 Direct N2O'!H228</f>
        <v>50.36999999999999</v>
      </c>
      <c r="I43" s="52">
        <f>'4.5.1.3-4 Direct N2O'!I228</f>
        <v>34.163999999999994</v>
      </c>
      <c r="J43" s="2"/>
      <c r="N43" s="57"/>
      <c r="O43" s="57" t="str">
        <f>'Input - Swine'!$D$65</f>
        <v>Pit storage</v>
      </c>
      <c r="P43" s="52">
        <f>'4.5.1.3-4 Direct N2O'!P228</f>
        <v>40.295999999999992</v>
      </c>
      <c r="Q43" s="52">
        <f>'4.5.1.3-4 Direct N2O'!Q228</f>
        <v>53.655000000000008</v>
      </c>
      <c r="R43" s="52">
        <f>'4.5.1.3-4 Direct N2O'!R228</f>
        <v>50.36999999999999</v>
      </c>
      <c r="S43" s="52">
        <f>'4.5.1.3-4 Direct N2O'!S228</f>
        <v>34.163999999999994</v>
      </c>
      <c r="T43" s="2"/>
    </row>
    <row r="44" spans="4:20" ht="20.100000000000001" customHeight="1" x14ac:dyDescent="0.25">
      <c r="D44" s="57"/>
      <c r="E44" s="57" t="str">
        <f>'Input - Swine'!$D$66</f>
        <v>Direct application</v>
      </c>
      <c r="F44" s="52">
        <f>'4.5.1.3-4 Direct N2O'!F229</f>
        <v>80.59199999999997</v>
      </c>
      <c r="G44" s="52">
        <f>'4.5.1.3-4 Direct N2O'!G229</f>
        <v>53.655000000000008</v>
      </c>
      <c r="H44" s="52">
        <f>'4.5.1.3-4 Direct N2O'!H229</f>
        <v>50.36999999999999</v>
      </c>
      <c r="I44" s="52">
        <f>'4.5.1.3-4 Direct N2O'!I229</f>
        <v>34.163999999999994</v>
      </c>
      <c r="J44" s="2"/>
      <c r="N44" s="57"/>
      <c r="O44" s="57" t="str">
        <f>'Input - Swine'!$D$66</f>
        <v>Direct application</v>
      </c>
      <c r="P44" s="52">
        <f>'4.5.1.3-4 Direct N2O'!P229</f>
        <v>80.59199999999997</v>
      </c>
      <c r="Q44" s="52">
        <f>'4.5.1.3-4 Direct N2O'!Q229</f>
        <v>53.655000000000008</v>
      </c>
      <c r="R44" s="52">
        <f>'4.5.1.3-4 Direct N2O'!R229</f>
        <v>50.36999999999999</v>
      </c>
      <c r="S44" s="52">
        <f>'4.5.1.3-4 Direct N2O'!S229</f>
        <v>34.163999999999994</v>
      </c>
      <c r="T44" s="2"/>
    </row>
    <row r="45" spans="4:20" ht="20.100000000000001" customHeight="1" x14ac:dyDescent="0.25">
      <c r="D45" s="57" t="str">
        <f>'Input - Swine'!$D$32</f>
        <v>Deep litter</v>
      </c>
      <c r="E45" s="57" t="str">
        <f>'Input - Swine'!$D$70</f>
        <v>Anaerobic lagoon</v>
      </c>
      <c r="F45" s="52">
        <f>'4.5.1.3-4 Direct N2O'!F230</f>
        <v>34.856039999999993</v>
      </c>
      <c r="G45" s="52">
        <f>'4.5.1.3-4 Direct N2O'!G230</f>
        <v>46.411575000000006</v>
      </c>
      <c r="H45" s="52">
        <f>'4.5.1.3-4 Direct N2O'!H230</f>
        <v>43.570049999999988</v>
      </c>
      <c r="I45" s="52">
        <f>'4.5.1.3-4 Direct N2O'!I230</f>
        <v>29.551859999999994</v>
      </c>
      <c r="J45" s="2"/>
      <c r="N45" s="57" t="str">
        <f>'Input - Swine'!$D$32</f>
        <v>Deep litter</v>
      </c>
      <c r="O45" s="57" t="str">
        <f>'Input - Swine'!$D$70</f>
        <v>Anaerobic lagoon</v>
      </c>
      <c r="P45" s="52">
        <f>'4.5.1.3-4 Direct N2O'!P230</f>
        <v>34.856039999999993</v>
      </c>
      <c r="Q45" s="52">
        <f>'4.5.1.3-4 Direct N2O'!Q230</f>
        <v>46.411575000000006</v>
      </c>
      <c r="R45" s="52">
        <f>'4.5.1.3-4 Direct N2O'!R230</f>
        <v>43.570049999999988</v>
      </c>
      <c r="S45" s="52">
        <f>'4.5.1.3-4 Direct N2O'!S230</f>
        <v>29.551859999999994</v>
      </c>
      <c r="T45" s="2"/>
    </row>
    <row r="46" spans="4:20" ht="20.100000000000001" customHeight="1" x14ac:dyDescent="0.25">
      <c r="D46" s="57"/>
      <c r="E46" s="57" t="str">
        <f>'Input - Swine'!$D$71</f>
        <v>Digester / covered lagoons</v>
      </c>
      <c r="F46" s="52">
        <f>'4.5.1.3-4 Direct N2O'!F231</f>
        <v>34.856039999999993</v>
      </c>
      <c r="G46" s="52">
        <f>'4.5.1.3-4 Direct N2O'!G231</f>
        <v>46.411575000000006</v>
      </c>
      <c r="H46" s="52">
        <f>'4.5.1.3-4 Direct N2O'!H231</f>
        <v>43.570049999999988</v>
      </c>
      <c r="I46" s="52">
        <f>'4.5.1.3-4 Direct N2O'!I231</f>
        <v>29.551859999999994</v>
      </c>
      <c r="J46" s="2"/>
      <c r="N46" s="57"/>
      <c r="O46" s="57" t="str">
        <f>'Input - Swine'!$D$71</f>
        <v>Digester / covered lagoons</v>
      </c>
      <c r="P46" s="52">
        <f>'4.5.1.3-4 Direct N2O'!P231</f>
        <v>34.856039999999993</v>
      </c>
      <c r="Q46" s="52">
        <f>'4.5.1.3-4 Direct N2O'!Q231</f>
        <v>46.411575000000006</v>
      </c>
      <c r="R46" s="52">
        <f>'4.5.1.3-4 Direct N2O'!R231</f>
        <v>43.570049999999988</v>
      </c>
      <c r="S46" s="52">
        <f>'4.5.1.3-4 Direct N2O'!S231</f>
        <v>29.551859999999994</v>
      </c>
      <c r="T46" s="2"/>
    </row>
    <row r="47" spans="4:20" ht="20.100000000000001" customHeight="1" x14ac:dyDescent="0.25">
      <c r="D47" s="57"/>
      <c r="E47" s="57" t="str">
        <f>'Input - Swine'!$D$72</f>
        <v>Pit storage</v>
      </c>
      <c r="F47" s="52">
        <f>'4.5.1.3-4 Direct N2O'!F232</f>
        <v>34.856039999999993</v>
      </c>
      <c r="G47" s="52">
        <f>'4.5.1.3-4 Direct N2O'!G232</f>
        <v>46.411575000000006</v>
      </c>
      <c r="H47" s="52">
        <f>'4.5.1.3-4 Direct N2O'!H232</f>
        <v>43.570049999999988</v>
      </c>
      <c r="I47" s="52">
        <f>'4.5.1.3-4 Direct N2O'!I232</f>
        <v>29.551859999999994</v>
      </c>
      <c r="J47" s="2"/>
      <c r="N47" s="57"/>
      <c r="O47" s="57" t="str">
        <f>'Input - Swine'!$D$72</f>
        <v>Pit storage</v>
      </c>
      <c r="P47" s="52">
        <f>'4.5.1.3-4 Direct N2O'!P232</f>
        <v>34.856039999999993</v>
      </c>
      <c r="Q47" s="52">
        <f>'4.5.1.3-4 Direct N2O'!Q232</f>
        <v>46.411575000000006</v>
      </c>
      <c r="R47" s="52">
        <f>'4.5.1.3-4 Direct N2O'!R232</f>
        <v>43.570049999999988</v>
      </c>
      <c r="S47" s="52">
        <f>'4.5.1.3-4 Direct N2O'!S232</f>
        <v>29.551859999999994</v>
      </c>
      <c r="T47" s="2"/>
    </row>
    <row r="48" spans="4:20" ht="20.100000000000001" customHeight="1" x14ac:dyDescent="0.25">
      <c r="D48" s="57"/>
      <c r="E48" s="57" t="str">
        <f>'Input - Swine'!$D$73</f>
        <v>Direct application</v>
      </c>
      <c r="F48" s="52">
        <f>'4.5.1.3-4 Direct N2O'!F233</f>
        <v>69.712079999999972</v>
      </c>
      <c r="G48" s="52">
        <f>'4.5.1.3-4 Direct N2O'!G233</f>
        <v>46.411575000000006</v>
      </c>
      <c r="H48" s="52">
        <f>'4.5.1.3-4 Direct N2O'!H233</f>
        <v>43.570049999999988</v>
      </c>
      <c r="I48" s="52">
        <f>'4.5.1.3-4 Direct N2O'!I233</f>
        <v>29.551859999999994</v>
      </c>
      <c r="J48" s="2"/>
      <c r="N48" s="57"/>
      <c r="O48" s="57" t="str">
        <f>'Input - Swine'!$D$73</f>
        <v>Direct application</v>
      </c>
      <c r="P48" s="52">
        <f>'4.5.1.3-4 Direct N2O'!P233</f>
        <v>69.712079999999972</v>
      </c>
      <c r="Q48" s="52">
        <f>'4.5.1.3-4 Direct N2O'!Q233</f>
        <v>46.411575000000006</v>
      </c>
      <c r="R48" s="52">
        <f>'4.5.1.3-4 Direct N2O'!R233</f>
        <v>43.570049999999988</v>
      </c>
      <c r="S48" s="52">
        <f>'4.5.1.3-4 Direct N2O'!S233</f>
        <v>29.551859999999994</v>
      </c>
      <c r="T48" s="2"/>
    </row>
    <row r="49" spans="1:20" ht="20.100000000000001" customHeight="1" x14ac:dyDescent="0.25">
      <c r="D49" s="57" t="str">
        <f>'Input - Swine'!$D$33</f>
        <v>Pit storage</v>
      </c>
      <c r="E49" s="57" t="str">
        <f>'Input - Swine'!$D$77</f>
        <v>Anaerobic lagoon</v>
      </c>
      <c r="F49" s="52">
        <f>'4.5.1.3-4 Direct N2O'!F234</f>
        <v>30.141407999999998</v>
      </c>
      <c r="G49" s="52">
        <f>'4.5.1.3-4 Direct N2O'!G234</f>
        <v>40.133940000000003</v>
      </c>
      <c r="H49" s="52">
        <f>'4.5.1.3-4 Direct N2O'!H234</f>
        <v>37.676759999999994</v>
      </c>
      <c r="I49" s="52">
        <f>'4.5.1.3-4 Direct N2O'!I234</f>
        <v>25.554671999999997</v>
      </c>
      <c r="J49" s="2"/>
      <c r="N49" s="57" t="str">
        <f>'Input - Swine'!$D$33</f>
        <v>Pit storage</v>
      </c>
      <c r="O49" s="57" t="str">
        <f>'Input - Swine'!$D$77</f>
        <v>Anaerobic lagoon</v>
      </c>
      <c r="P49" s="52">
        <f>'4.5.1.3-4 Direct N2O'!P234</f>
        <v>30.141407999999998</v>
      </c>
      <c r="Q49" s="52">
        <f>'4.5.1.3-4 Direct N2O'!Q234</f>
        <v>40.133940000000003</v>
      </c>
      <c r="R49" s="52">
        <f>'4.5.1.3-4 Direct N2O'!R234</f>
        <v>37.676759999999994</v>
      </c>
      <c r="S49" s="52">
        <f>'4.5.1.3-4 Direct N2O'!S234</f>
        <v>25.554671999999997</v>
      </c>
      <c r="T49" s="2"/>
    </row>
    <row r="50" spans="1:20" ht="20.100000000000001" customHeight="1" x14ac:dyDescent="0.25">
      <c r="D50" s="57"/>
      <c r="E50" s="57" t="str">
        <f>'Input - Swine'!$D$78</f>
        <v>Digester / covered lagoons</v>
      </c>
      <c r="F50" s="52">
        <f>'4.5.1.3-4 Direct N2O'!F235</f>
        <v>30.141407999999998</v>
      </c>
      <c r="G50" s="52">
        <f>'4.5.1.3-4 Direct N2O'!G235</f>
        <v>40.133940000000003</v>
      </c>
      <c r="H50" s="52">
        <f>'4.5.1.3-4 Direct N2O'!H235</f>
        <v>37.676759999999994</v>
      </c>
      <c r="I50" s="52">
        <f>'4.5.1.3-4 Direct N2O'!I235</f>
        <v>25.554671999999997</v>
      </c>
      <c r="J50" s="2"/>
      <c r="N50" s="57"/>
      <c r="O50" s="57" t="str">
        <f>'Input - Swine'!$D$78</f>
        <v>Digester / covered lagoons</v>
      </c>
      <c r="P50" s="52">
        <f>'4.5.1.3-4 Direct N2O'!P235</f>
        <v>30.141407999999998</v>
      </c>
      <c r="Q50" s="52">
        <f>'4.5.1.3-4 Direct N2O'!Q235</f>
        <v>40.133940000000003</v>
      </c>
      <c r="R50" s="52">
        <f>'4.5.1.3-4 Direct N2O'!R235</f>
        <v>37.676759999999994</v>
      </c>
      <c r="S50" s="52">
        <f>'4.5.1.3-4 Direct N2O'!S235</f>
        <v>25.554671999999997</v>
      </c>
      <c r="T50" s="2"/>
    </row>
    <row r="51" spans="1:20" ht="20.100000000000001" customHeight="1" x14ac:dyDescent="0.25">
      <c r="D51" s="57"/>
      <c r="E51" s="57" t="str">
        <f>'Input - Swine'!$D$79</f>
        <v>Deep litter</v>
      </c>
      <c r="F51" s="52">
        <f>'4.5.1.3-4 Direct N2O'!F236</f>
        <v>30.141407999999998</v>
      </c>
      <c r="G51" s="52">
        <f>'4.5.1.3-4 Direct N2O'!G236</f>
        <v>40.133940000000003</v>
      </c>
      <c r="H51" s="52">
        <f>'4.5.1.3-4 Direct N2O'!H236</f>
        <v>37.676759999999994</v>
      </c>
      <c r="I51" s="52">
        <f>'4.5.1.3-4 Direct N2O'!I236</f>
        <v>25.554671999999997</v>
      </c>
      <c r="J51" s="2"/>
      <c r="N51" s="57"/>
      <c r="O51" s="57" t="str">
        <f>'Input - Swine'!$D$79</f>
        <v>Deep litter</v>
      </c>
      <c r="P51" s="52">
        <f>'4.5.1.3-4 Direct N2O'!P236</f>
        <v>30.141407999999998</v>
      </c>
      <c r="Q51" s="52">
        <f>'4.5.1.3-4 Direct N2O'!Q236</f>
        <v>40.133940000000003</v>
      </c>
      <c r="R51" s="52">
        <f>'4.5.1.3-4 Direct N2O'!R236</f>
        <v>37.676759999999994</v>
      </c>
      <c r="S51" s="52">
        <f>'4.5.1.3-4 Direct N2O'!S236</f>
        <v>25.554671999999997</v>
      </c>
      <c r="T51" s="2"/>
    </row>
    <row r="52" spans="1:20" ht="20.100000000000001" customHeight="1" x14ac:dyDescent="0.25">
      <c r="D52" s="57"/>
      <c r="E52" s="57" t="str">
        <f>'Input - Swine'!$D$80</f>
        <v>Direct application</v>
      </c>
      <c r="F52" s="52">
        <f>'4.5.1.3-4 Direct N2O'!F237</f>
        <v>60.282815999999976</v>
      </c>
      <c r="G52" s="52">
        <f>'4.5.1.3-4 Direct N2O'!G237</f>
        <v>40.133940000000003</v>
      </c>
      <c r="H52" s="52">
        <f>'4.5.1.3-4 Direct N2O'!H237</f>
        <v>37.676759999999994</v>
      </c>
      <c r="I52" s="52">
        <f>'4.5.1.3-4 Direct N2O'!I237</f>
        <v>25.554671999999997</v>
      </c>
      <c r="J52" s="2"/>
      <c r="N52" s="57"/>
      <c r="O52" s="57" t="str">
        <f>'Input - Swine'!$D$80</f>
        <v>Direct application</v>
      </c>
      <c r="P52" s="52">
        <f>'4.5.1.3-4 Direct N2O'!P237</f>
        <v>60.282815999999976</v>
      </c>
      <c r="Q52" s="52">
        <f>'4.5.1.3-4 Direct N2O'!Q237</f>
        <v>40.133940000000003</v>
      </c>
      <c r="R52" s="52">
        <f>'4.5.1.3-4 Direct N2O'!R237</f>
        <v>37.676759999999994</v>
      </c>
      <c r="S52" s="52">
        <f>'4.5.1.3-4 Direct N2O'!S237</f>
        <v>25.554671999999997</v>
      </c>
      <c r="T52" s="2"/>
    </row>
    <row r="53" spans="1:20" ht="20.100000000000001" customHeight="1" x14ac:dyDescent="0.25">
      <c r="D53" s="57" t="str">
        <f>'Input - Swine'!$D$34</f>
        <v>Solid storage</v>
      </c>
      <c r="E53" s="57" t="str">
        <f>'Input - Swine'!$D$84</f>
        <v>Anaerobic lagoon</v>
      </c>
      <c r="F53" s="52">
        <f>'4.5.1.3-4 Direct N2O'!F238</f>
        <v>106.78440000000003</v>
      </c>
      <c r="G53" s="52">
        <f>'4.5.1.3-4 Direct N2O'!G238</f>
        <v>113.74860000000007</v>
      </c>
      <c r="H53" s="52">
        <f>'4.5.1.3-4 Direct N2O'!H238</f>
        <v>106.78440000000003</v>
      </c>
      <c r="I53" s="52">
        <f>'4.5.1.3-4 Direct N2O'!I238</f>
        <v>72.427680000000038</v>
      </c>
      <c r="J53" s="2"/>
      <c r="N53" s="57" t="str">
        <f>'Input - Swine'!$D$34</f>
        <v>Solid storage</v>
      </c>
      <c r="O53" s="57" t="str">
        <f>'Input - Swine'!$D$84</f>
        <v>Anaerobic lagoon</v>
      </c>
      <c r="P53" s="52">
        <f>'4.5.1.3-4 Direct N2O'!P238</f>
        <v>106.78440000000003</v>
      </c>
      <c r="Q53" s="52">
        <f>'4.5.1.3-4 Direct N2O'!Q238</f>
        <v>113.74860000000007</v>
      </c>
      <c r="R53" s="52">
        <f>'4.5.1.3-4 Direct N2O'!R238</f>
        <v>106.78440000000003</v>
      </c>
      <c r="S53" s="52">
        <f>'4.5.1.3-4 Direct N2O'!S238</f>
        <v>72.427680000000038</v>
      </c>
      <c r="T53" s="2"/>
    </row>
    <row r="54" spans="1:20" ht="20.100000000000001" customHeight="1" x14ac:dyDescent="0.25">
      <c r="D54" s="57"/>
      <c r="E54" s="57" t="str">
        <f>'Input - Swine'!$D$85</f>
        <v>Digester / covered lagoons</v>
      </c>
      <c r="F54" s="52">
        <f>'4.5.1.3-4 Direct N2O'!F239</f>
        <v>106.78440000000003</v>
      </c>
      <c r="G54" s="52">
        <f>'4.5.1.3-4 Direct N2O'!G239</f>
        <v>113.74860000000007</v>
      </c>
      <c r="H54" s="52">
        <f>'4.5.1.3-4 Direct N2O'!H239</f>
        <v>106.78440000000003</v>
      </c>
      <c r="I54" s="52">
        <f>'4.5.1.3-4 Direct N2O'!I239</f>
        <v>72.427680000000038</v>
      </c>
      <c r="J54" s="2"/>
      <c r="N54" s="57"/>
      <c r="O54" s="57" t="str">
        <f>'Input - Swine'!$D$85</f>
        <v>Digester / covered lagoons</v>
      </c>
      <c r="P54" s="52">
        <f>'4.5.1.3-4 Direct N2O'!P239</f>
        <v>106.78440000000003</v>
      </c>
      <c r="Q54" s="52">
        <f>'4.5.1.3-4 Direct N2O'!Q239</f>
        <v>113.74860000000007</v>
      </c>
      <c r="R54" s="52">
        <f>'4.5.1.3-4 Direct N2O'!R239</f>
        <v>106.78440000000003</v>
      </c>
      <c r="S54" s="52">
        <f>'4.5.1.3-4 Direct N2O'!S239</f>
        <v>72.427680000000038</v>
      </c>
      <c r="T54" s="2"/>
    </row>
    <row r="55" spans="1:20" ht="20.100000000000001" customHeight="1" x14ac:dyDescent="0.25">
      <c r="D55" s="57"/>
      <c r="E55" s="57" t="str">
        <f>'Input - Swine'!$D$86</f>
        <v>Deep litter</v>
      </c>
      <c r="F55" s="52">
        <f>'4.5.1.3-4 Direct N2O'!F240</f>
        <v>106.78440000000003</v>
      </c>
      <c r="G55" s="52">
        <f>'4.5.1.3-4 Direct N2O'!G240</f>
        <v>113.74860000000007</v>
      </c>
      <c r="H55" s="52">
        <f>'4.5.1.3-4 Direct N2O'!H240</f>
        <v>106.78440000000003</v>
      </c>
      <c r="I55" s="52">
        <f>'4.5.1.3-4 Direct N2O'!I240</f>
        <v>72.427680000000038</v>
      </c>
      <c r="J55" s="2"/>
      <c r="N55" s="57"/>
      <c r="O55" s="57" t="str">
        <f>'Input - Swine'!$D$86</f>
        <v>Deep litter</v>
      </c>
      <c r="P55" s="52">
        <f>'4.5.1.3-4 Direct N2O'!P240</f>
        <v>106.78440000000003</v>
      </c>
      <c r="Q55" s="52">
        <f>'4.5.1.3-4 Direct N2O'!Q240</f>
        <v>113.74860000000007</v>
      </c>
      <c r="R55" s="52">
        <f>'4.5.1.3-4 Direct N2O'!R240</f>
        <v>106.78440000000003</v>
      </c>
      <c r="S55" s="52">
        <f>'4.5.1.3-4 Direct N2O'!S240</f>
        <v>72.427680000000038</v>
      </c>
      <c r="T55" s="2"/>
    </row>
    <row r="56" spans="1:20" ht="20.100000000000001" customHeight="1" x14ac:dyDescent="0.25">
      <c r="D56" s="57"/>
      <c r="E56" s="57" t="str">
        <f>'Input - Swine'!$D$87</f>
        <v>Pit storage</v>
      </c>
      <c r="F56" s="52">
        <f>'4.5.1.3-4 Direct N2O'!F241</f>
        <v>53.392200000000017</v>
      </c>
      <c r="G56" s="52">
        <f>'4.5.1.3-4 Direct N2O'!G241</f>
        <v>56.874300000000034</v>
      </c>
      <c r="H56" s="52">
        <f>'4.5.1.3-4 Direct N2O'!H241</f>
        <v>53.392200000000017</v>
      </c>
      <c r="I56" s="52">
        <f>'4.5.1.3-4 Direct N2O'!I241</f>
        <v>36.213840000000019</v>
      </c>
      <c r="J56" s="2"/>
      <c r="N56" s="57"/>
      <c r="O56" s="57" t="str">
        <f>'Input - Swine'!$D$87</f>
        <v>Pit storage</v>
      </c>
      <c r="P56" s="52">
        <f>'4.5.1.3-4 Direct N2O'!P241</f>
        <v>53.392200000000017</v>
      </c>
      <c r="Q56" s="52">
        <f>'4.5.1.3-4 Direct N2O'!Q241</f>
        <v>56.874300000000034</v>
      </c>
      <c r="R56" s="52">
        <f>'4.5.1.3-4 Direct N2O'!R241</f>
        <v>53.392200000000017</v>
      </c>
      <c r="S56" s="52">
        <f>'4.5.1.3-4 Direct N2O'!S241</f>
        <v>36.213840000000019</v>
      </c>
      <c r="T56" s="2"/>
    </row>
    <row r="57" spans="1:20" ht="20.100000000000001" customHeight="1" x14ac:dyDescent="0.25">
      <c r="D57" s="57"/>
      <c r="E57" s="57" t="str">
        <f>'Input - Swine'!$D$88</f>
        <v>Direct application</v>
      </c>
      <c r="F57" s="52">
        <f>'4.5.1.3-4 Direct N2O'!F242</f>
        <v>160.17660000000001</v>
      </c>
      <c r="G57" s="52">
        <f>'4.5.1.3-4 Direct N2O'!G242</f>
        <v>170.62290000000004</v>
      </c>
      <c r="H57" s="52">
        <f>'4.5.1.3-4 Direct N2O'!H242</f>
        <v>160.17660000000001</v>
      </c>
      <c r="I57" s="52">
        <f>'4.5.1.3-4 Direct N2O'!I242</f>
        <v>108.64152000000003</v>
      </c>
      <c r="J57" s="2"/>
      <c r="N57" s="57"/>
      <c r="O57" s="57" t="str">
        <f>'Input - Swine'!$D$88</f>
        <v>Direct application</v>
      </c>
      <c r="P57" s="52">
        <f>'4.5.1.3-4 Direct N2O'!P242</f>
        <v>160.17660000000001</v>
      </c>
      <c r="Q57" s="52">
        <f>'4.5.1.3-4 Direct N2O'!Q242</f>
        <v>170.62290000000004</v>
      </c>
      <c r="R57" s="52">
        <f>'4.5.1.3-4 Direct N2O'!R242</f>
        <v>160.17660000000001</v>
      </c>
      <c r="S57" s="52">
        <f>'4.5.1.3-4 Direct N2O'!S242</f>
        <v>108.64152000000003</v>
      </c>
      <c r="T57" s="2"/>
    </row>
    <row r="58" spans="1:20" ht="20.100000000000001" customHeight="1" x14ac:dyDescent="0.25"/>
    <row r="59" spans="1:20" ht="20.100000000000001" customHeight="1" x14ac:dyDescent="0.25">
      <c r="D59" s="121" t="s">
        <v>307</v>
      </c>
    </row>
    <row r="60" spans="1:20" ht="20.100000000000001" customHeight="1" x14ac:dyDescent="0.25">
      <c r="D60" s="122" t="s">
        <v>308</v>
      </c>
    </row>
    <row r="61" spans="1:20" ht="20.100000000000001" customHeight="1" x14ac:dyDescent="0.25">
      <c r="A61" s="150" t="str">
        <f>HYPERLINK("#A1", "▲ Back to top")</f>
        <v>▲ Back to top</v>
      </c>
      <c r="D61" s="51" t="s">
        <v>163</v>
      </c>
      <c r="E61" s="51" t="s">
        <v>251</v>
      </c>
    </row>
    <row r="62" spans="1:20" ht="20.100000000000001" customHeight="1" x14ac:dyDescent="0.25">
      <c r="D62" s="57" t="str">
        <f>'Input - Swine'!$D$29</f>
        <v>Anaerobic lagoon</v>
      </c>
      <c r="E62" s="52" cm="1">
        <f t="array" ref="E62">Common_InputFunctions.Utility_LookupValueInTableNumber(D62, Table_SourceData_Swine_FracGASM[NIR reference],Table_SourceData_Swine_FracGASM[FracGASMmT])</f>
        <v>0.55000000000000004</v>
      </c>
      <c r="F62" s="2" t="str">
        <f>G14</f>
        <v>(kg NH3-N + NOx-N)/kg N</v>
      </c>
    </row>
    <row r="63" spans="1:20" ht="20.100000000000001" customHeight="1" x14ac:dyDescent="0.25">
      <c r="D63" s="57" t="str">
        <f>'Input - Swine'!$D$30</f>
        <v>Drylot (feed pad)</v>
      </c>
      <c r="E63" s="52" cm="1">
        <f t="array" ref="E63">Common_InputFunctions.Utility_LookupValueInTableNumber(D63, Table_SourceData_Swine_FracGASM[NIR reference],Table_SourceData_Swine_FracGASM[FracGASMmT])</f>
        <v>0.3</v>
      </c>
    </row>
    <row r="64" spans="1:20" ht="20.100000000000001" customHeight="1" x14ac:dyDescent="0.25">
      <c r="D64" s="57" t="str">
        <f>'Input - Swine'!$D$31</f>
        <v>Digester / covered lagoons</v>
      </c>
      <c r="E64" s="52" cm="1">
        <f t="array" ref="E64">Common_InputFunctions.Utility_LookupValueInTableNumber(D64, Table_SourceData_Swine_FracGASM[NIR reference],Table_SourceData_Swine_FracGASM[FracGASMmT])</f>
        <v>0</v>
      </c>
    </row>
    <row r="65" spans="4:20" ht="20.100000000000001" customHeight="1" x14ac:dyDescent="0.25">
      <c r="D65" s="57" t="str">
        <f>'Input - Swine'!$D$32</f>
        <v>Deep litter</v>
      </c>
      <c r="E65" s="52" cm="1">
        <f t="array" ref="E65">Common_InputFunctions.Utility_LookupValueInTableNumber(D65, Table_SourceData_Swine_FracGASM[NIR reference],Table_SourceData_Swine_FracGASM[FracGASMmT])</f>
        <v>0.125</v>
      </c>
    </row>
    <row r="66" spans="4:20" ht="20.100000000000001" customHeight="1" x14ac:dyDescent="0.25">
      <c r="D66" s="57" t="str">
        <f>'Input - Swine'!$D$33</f>
        <v>Pit storage</v>
      </c>
      <c r="E66" s="52" cm="1">
        <f t="array" ref="E66">Common_InputFunctions.Utility_LookupValueInTableNumber(D66, Table_SourceData_Swine_FracGASM[NIR reference],Table_SourceData_Swine_FracGASM[FracGASMmT])</f>
        <v>0.25</v>
      </c>
    </row>
    <row r="67" spans="4:20" ht="20.100000000000001" customHeight="1" x14ac:dyDescent="0.25">
      <c r="D67" s="57" t="str">
        <f>'Input - Swine'!$D$34</f>
        <v>Solid storage</v>
      </c>
      <c r="E67" s="52" cm="1">
        <f t="array" ref="E67">Common_InputFunctions.Utility_LookupValueInTableNumber(D67, Table_SourceData_Swine_FracGASM[NIR reference],Table_SourceData_Swine_FracGASM[FracGASMmT])</f>
        <v>0.2</v>
      </c>
    </row>
    <row r="68" spans="4:20" ht="20.100000000000001" customHeight="1" x14ac:dyDescent="0.25">
      <c r="D68" s="57" t="str">
        <f>'Constants - Swine'!D47</f>
        <v>Direct application</v>
      </c>
      <c r="E68" s="52" cm="1">
        <f t="array" ref="E68">Common_InputFunctions.Utility_LookupValueInTableNumber(D68, Table_SourceData_Swine_FracGASM[NIR reference],Table_SourceData_Swine_FracGASM[FracGASMmT])</f>
        <v>0</v>
      </c>
    </row>
    <row r="69" spans="4:20" ht="20.100000000000001" customHeight="1" x14ac:dyDescent="0.25"/>
    <row r="70" spans="4:20" ht="20.100000000000001" customHeight="1" x14ac:dyDescent="0.25">
      <c r="D70" s="121" t="s">
        <v>260</v>
      </c>
      <c r="N70" s="121" t="s">
        <v>260</v>
      </c>
    </row>
    <row r="71" spans="4:20" ht="20.100000000000001" customHeight="1" x14ac:dyDescent="0.25">
      <c r="D71" s="122" t="s">
        <v>261</v>
      </c>
      <c r="N71" s="122" t="s">
        <v>261</v>
      </c>
    </row>
    <row r="72" spans="4:20" ht="20.100000000000001" customHeight="1" x14ac:dyDescent="0.25">
      <c r="D72" s="51" t="s">
        <v>163</v>
      </c>
      <c r="E72" s="51" t="s">
        <v>171</v>
      </c>
      <c r="F72" s="51" t="s">
        <v>142</v>
      </c>
      <c r="G72" s="51" t="s">
        <v>143</v>
      </c>
      <c r="H72" s="51" t="s">
        <v>144</v>
      </c>
      <c r="I72" s="51" t="s">
        <v>206</v>
      </c>
      <c r="N72" s="51" t="s">
        <v>163</v>
      </c>
      <c r="O72" s="51" t="s">
        <v>171</v>
      </c>
      <c r="P72" s="51" t="s">
        <v>142</v>
      </c>
      <c r="Q72" s="51" t="s">
        <v>143</v>
      </c>
      <c r="R72" s="51" t="s">
        <v>144</v>
      </c>
      <c r="S72" s="51" t="s">
        <v>206</v>
      </c>
    </row>
    <row r="73" spans="4:20" ht="20.100000000000001" customHeight="1" x14ac:dyDescent="0.25">
      <c r="D73" s="57" t="str">
        <f>'Input - Swine'!$D$29</f>
        <v>Anaerobic lagoon</v>
      </c>
      <c r="E73" s="57" t="s">
        <v>172</v>
      </c>
      <c r="F73" s="52" cm="1">
        <f t="array" ref="F73">MMS_Swine_AtmosphericDeposition_Equations.VEERG_4_5_1_5__2_TotalNitrogenVolatilisedFromMMS(E22,_xlfn.XLOOKUP($D73,$D$62:$D$68,$E$62:$E$68))</f>
        <v>110.81399999999999</v>
      </c>
      <c r="G73" s="52" cm="1">
        <f t="array" ref="G73">MMS_Swine_AtmosphericDeposition_Equations.VEERG_4_5_1_5__2_TotalNitrogenVolatilisedFromMMS(F22,_xlfn.XLOOKUP($D73,$D$62:$D$68,$E$62:$E$68))</f>
        <v>118.04100000000003</v>
      </c>
      <c r="H73" s="52" cm="1">
        <f t="array" ref="H73">MMS_Swine_AtmosphericDeposition_Equations.VEERG_4_5_1_5__2_TotalNitrogenVolatilisedFromMMS(G22,_xlfn.XLOOKUP($D73,$D$62:$D$68,$E$62:$E$68))</f>
        <v>110.81399999999999</v>
      </c>
      <c r="I73" s="52" cm="1">
        <f t="array" ref="I73">MMS_Swine_AtmosphericDeposition_Equations.VEERG_4_5_1_5__2_TotalNitrogenVolatilisedFromMMS(H22,_xlfn.XLOOKUP($D73,$D$62:$D$68,$E$62:$E$68))</f>
        <v>75.160799999999995</v>
      </c>
      <c r="J73" s="2" t="str">
        <f>$E$11</f>
        <v>kg N</v>
      </c>
      <c r="N73" s="57" t="str">
        <f>'Input - Swine'!$D$29</f>
        <v>Anaerobic lagoon</v>
      </c>
      <c r="O73" s="57" t="s">
        <v>172</v>
      </c>
      <c r="P73" s="52" cm="1">
        <f t="array" ref="P73">MMS_Swine_AtmosphericDeposition_Equations.VEERG_4_5_1_5__2_TotalNitrogenVolatilisedFromMMS(O22,_xlfn.XLOOKUP($N73,$D$62:$D$68,$E$62:$E$68))</f>
        <v>110.81399999999999</v>
      </c>
      <c r="Q73" s="52" cm="1">
        <f t="array" ref="Q73">MMS_Swine_AtmosphericDeposition_Equations.VEERG_4_5_1_5__2_TotalNitrogenVolatilisedFromMMS(P22,_xlfn.XLOOKUP($N73,$D$62:$D$68,$E$62:$E$68))</f>
        <v>118.04100000000003</v>
      </c>
      <c r="R73" s="52" cm="1">
        <f t="array" ref="R73">MMS_Swine_AtmosphericDeposition_Equations.VEERG_4_5_1_5__2_TotalNitrogenVolatilisedFromMMS(Q22,_xlfn.XLOOKUP($N73,$D$62:$D$68,$E$62:$E$68))</f>
        <v>110.81399999999999</v>
      </c>
      <c r="S73" s="52" cm="1">
        <f t="array" ref="S73">MMS_Swine_AtmosphericDeposition_Equations.VEERG_4_5_1_5__2_TotalNitrogenVolatilisedFromMMS(R22,_xlfn.XLOOKUP($N73,$D$62:$D$68,$E$62:$E$68))</f>
        <v>75.160799999999995</v>
      </c>
      <c r="T73" s="2" t="str">
        <f>$E$11</f>
        <v>kg N</v>
      </c>
    </row>
    <row r="74" spans="4:20" ht="20.100000000000001" customHeight="1" x14ac:dyDescent="0.25">
      <c r="D74" s="57" t="str">
        <f>'Input - Swine'!$D$30</f>
        <v>Drylot (feed pad)</v>
      </c>
      <c r="E74" s="57" t="s">
        <v>172</v>
      </c>
      <c r="F74" s="52" cm="1">
        <f t="array" ref="F74">MMS_Swine_AtmosphericDeposition_Equations.VEERG_4_5_1_5__2_TotalNitrogenVolatilisedFromMMS(E23,_xlfn.XLOOKUP($D74,$D$62:$D$68,$E$62:$E$68))</f>
        <v>60.443999999999988</v>
      </c>
      <c r="G74" s="52" cm="1">
        <f t="array" ref="G74">MMS_Swine_AtmosphericDeposition_Equations.VEERG_4_5_1_5__2_TotalNitrogenVolatilisedFromMMS(F23,_xlfn.XLOOKUP($D74,$D$62:$D$68,$E$62:$E$68))</f>
        <v>64.38600000000001</v>
      </c>
      <c r="H74" s="52" cm="1">
        <f t="array" ref="H74">MMS_Swine_AtmosphericDeposition_Equations.VEERG_4_5_1_5__2_TotalNitrogenVolatilisedFromMMS(G23,_xlfn.XLOOKUP($D74,$D$62:$D$68,$E$62:$E$68))</f>
        <v>60.443999999999988</v>
      </c>
      <c r="I74" s="52" cm="1">
        <f t="array" ref="I74">MMS_Swine_AtmosphericDeposition_Equations.VEERG_4_5_1_5__2_TotalNitrogenVolatilisedFromMMS(H23,_xlfn.XLOOKUP($D74,$D$62:$D$68,$E$62:$E$68))</f>
        <v>40.996799999999993</v>
      </c>
      <c r="J74" s="2"/>
      <c r="N74" s="57" t="str">
        <f>'Input - Swine'!$D$30</f>
        <v>Drylot (feed pad)</v>
      </c>
      <c r="O74" s="57" t="s">
        <v>172</v>
      </c>
      <c r="P74" s="52" cm="1">
        <f t="array" ref="P74">MMS_Swine_AtmosphericDeposition_Equations.VEERG_4_5_1_5__2_TotalNitrogenVolatilisedFromMMS(O23,_xlfn.XLOOKUP($N74,$D$62:$D$68,$E$62:$E$68))</f>
        <v>60.443999999999988</v>
      </c>
      <c r="Q74" s="52" cm="1">
        <f t="array" ref="Q74">MMS_Swine_AtmosphericDeposition_Equations.VEERG_4_5_1_5__2_TotalNitrogenVolatilisedFromMMS(P23,_xlfn.XLOOKUP($N74,$D$62:$D$68,$E$62:$E$68))</f>
        <v>64.38600000000001</v>
      </c>
      <c r="R74" s="52" cm="1">
        <f t="array" ref="R74">MMS_Swine_AtmosphericDeposition_Equations.VEERG_4_5_1_5__2_TotalNitrogenVolatilisedFromMMS(Q23,_xlfn.XLOOKUP($N74,$D$62:$D$68,$E$62:$E$68))</f>
        <v>60.443999999999988</v>
      </c>
      <c r="S74" s="52" cm="1">
        <f t="array" ref="S74">MMS_Swine_AtmosphericDeposition_Equations.VEERG_4_5_1_5__2_TotalNitrogenVolatilisedFromMMS(R23,_xlfn.XLOOKUP($N74,$D$62:$D$68,$E$62:$E$68))</f>
        <v>40.996799999999993</v>
      </c>
      <c r="T74" s="2"/>
    </row>
    <row r="75" spans="4:20" ht="20.100000000000001" customHeight="1" x14ac:dyDescent="0.25">
      <c r="D75" s="57" t="str">
        <f>'Input - Swine'!$D$31</f>
        <v>Digester / covered lagoons</v>
      </c>
      <c r="E75" s="57" t="s">
        <v>172</v>
      </c>
      <c r="F75" s="52" cm="1">
        <f t="array" ref="F75">MMS_Swine_AtmosphericDeposition_Equations.VEERG_4_5_1_5__2_TotalNitrogenVolatilisedFromMMS(E24,_xlfn.XLOOKUP($D75,$D$62:$D$68,$E$62:$E$68))</f>
        <v>0</v>
      </c>
      <c r="G75" s="52" cm="1">
        <f t="array" ref="G75">MMS_Swine_AtmosphericDeposition_Equations.VEERG_4_5_1_5__2_TotalNitrogenVolatilisedFromMMS(F24,_xlfn.XLOOKUP($D75,$D$62:$D$68,$E$62:$E$68))</f>
        <v>0</v>
      </c>
      <c r="H75" s="52" cm="1">
        <f t="array" ref="H75">MMS_Swine_AtmosphericDeposition_Equations.VEERG_4_5_1_5__2_TotalNitrogenVolatilisedFromMMS(G24,_xlfn.XLOOKUP($D75,$D$62:$D$68,$E$62:$E$68))</f>
        <v>0</v>
      </c>
      <c r="I75" s="52" cm="1">
        <f t="array" ref="I75">MMS_Swine_AtmosphericDeposition_Equations.VEERG_4_5_1_5__2_TotalNitrogenVolatilisedFromMMS(H24,_xlfn.XLOOKUP($D75,$D$62:$D$68,$E$62:$E$68))</f>
        <v>0</v>
      </c>
      <c r="J75" s="2"/>
      <c r="N75" s="57" t="str">
        <f>'Input - Swine'!$D$31</f>
        <v>Digester / covered lagoons</v>
      </c>
      <c r="O75" s="57" t="s">
        <v>172</v>
      </c>
      <c r="P75" s="52" cm="1">
        <f t="array" ref="P75">MMS_Swine_AtmosphericDeposition_Equations.VEERG_4_5_1_5__2_TotalNitrogenVolatilisedFromMMS(O24,_xlfn.XLOOKUP($N75,$D$62:$D$68,$E$62:$E$68))</f>
        <v>0</v>
      </c>
      <c r="Q75" s="52" cm="1">
        <f t="array" ref="Q75">MMS_Swine_AtmosphericDeposition_Equations.VEERG_4_5_1_5__2_TotalNitrogenVolatilisedFromMMS(P24,_xlfn.XLOOKUP($N75,$D$62:$D$68,$E$62:$E$68))</f>
        <v>0</v>
      </c>
      <c r="R75" s="52" cm="1">
        <f t="array" ref="R75">MMS_Swine_AtmosphericDeposition_Equations.VEERG_4_5_1_5__2_TotalNitrogenVolatilisedFromMMS(Q24,_xlfn.XLOOKUP($N75,$D$62:$D$68,$E$62:$E$68))</f>
        <v>0</v>
      </c>
      <c r="S75" s="52" cm="1">
        <f t="array" ref="S75">MMS_Swine_AtmosphericDeposition_Equations.VEERG_4_5_1_5__2_TotalNitrogenVolatilisedFromMMS(R24,_xlfn.XLOOKUP($N75,$D$62:$D$68,$E$62:$E$68))</f>
        <v>0</v>
      </c>
      <c r="T75" s="2"/>
    </row>
    <row r="76" spans="4:20" ht="20.100000000000001" customHeight="1" x14ac:dyDescent="0.25">
      <c r="D76" s="57" t="str">
        <f>'Input - Swine'!$D$32</f>
        <v>Deep litter</v>
      </c>
      <c r="E76" s="57" t="s">
        <v>172</v>
      </c>
      <c r="F76" s="52" cm="1">
        <f t="array" ref="F76">MMS_Swine_AtmosphericDeposition_Equations.VEERG_4_5_1_5__2_TotalNitrogenVolatilisedFromMMS(E25,_xlfn.XLOOKUP($D76,$D$62:$D$68,$E$62:$E$68))</f>
        <v>25.184999999999995</v>
      </c>
      <c r="G76" s="52" cm="1">
        <f t="array" ref="G76">MMS_Swine_AtmosphericDeposition_Equations.VEERG_4_5_1_5__2_TotalNitrogenVolatilisedFromMMS(F25,_xlfn.XLOOKUP($D76,$D$62:$D$68,$E$62:$E$68))</f>
        <v>26.827500000000004</v>
      </c>
      <c r="H76" s="52" cm="1">
        <f t="array" ref="H76">MMS_Swine_AtmosphericDeposition_Equations.VEERG_4_5_1_5__2_TotalNitrogenVolatilisedFromMMS(G25,_xlfn.XLOOKUP($D76,$D$62:$D$68,$E$62:$E$68))</f>
        <v>25.184999999999995</v>
      </c>
      <c r="I76" s="52" cm="1">
        <f t="array" ref="I76">MMS_Swine_AtmosphericDeposition_Equations.VEERG_4_5_1_5__2_TotalNitrogenVolatilisedFromMMS(H25,_xlfn.XLOOKUP($D76,$D$62:$D$68,$E$62:$E$68))</f>
        <v>17.081999999999997</v>
      </c>
      <c r="J76" s="2"/>
      <c r="N76" s="57" t="str">
        <f>'Input - Swine'!$D$32</f>
        <v>Deep litter</v>
      </c>
      <c r="O76" s="57" t="s">
        <v>172</v>
      </c>
      <c r="P76" s="52" cm="1">
        <f t="array" ref="P76">MMS_Swine_AtmosphericDeposition_Equations.VEERG_4_5_1_5__2_TotalNitrogenVolatilisedFromMMS(O25,_xlfn.XLOOKUP($N76,$D$62:$D$68,$E$62:$E$68))</f>
        <v>25.184999999999995</v>
      </c>
      <c r="Q76" s="52" cm="1">
        <f t="array" ref="Q76">MMS_Swine_AtmosphericDeposition_Equations.VEERG_4_5_1_5__2_TotalNitrogenVolatilisedFromMMS(P25,_xlfn.XLOOKUP($N76,$D$62:$D$68,$E$62:$E$68))</f>
        <v>26.827500000000004</v>
      </c>
      <c r="R76" s="52" cm="1">
        <f t="array" ref="R76">MMS_Swine_AtmosphericDeposition_Equations.VEERG_4_5_1_5__2_TotalNitrogenVolatilisedFromMMS(Q25,_xlfn.XLOOKUP($N76,$D$62:$D$68,$E$62:$E$68))</f>
        <v>25.184999999999995</v>
      </c>
      <c r="S76" s="52" cm="1">
        <f t="array" ref="S76">MMS_Swine_AtmosphericDeposition_Equations.VEERG_4_5_1_5__2_TotalNitrogenVolatilisedFromMMS(R25,_xlfn.XLOOKUP($N76,$D$62:$D$68,$E$62:$E$68))</f>
        <v>17.081999999999997</v>
      </c>
      <c r="T76" s="2"/>
    </row>
    <row r="77" spans="4:20" ht="20.100000000000001" customHeight="1" x14ac:dyDescent="0.25">
      <c r="D77" s="57" t="str">
        <f>'Input - Swine'!$D$33</f>
        <v>Pit storage</v>
      </c>
      <c r="E77" s="57" t="s">
        <v>172</v>
      </c>
      <c r="F77" s="52" cm="1">
        <f t="array" ref="F77">MMS_Swine_AtmosphericDeposition_Equations.VEERG_4_5_1_5__2_TotalNitrogenVolatilisedFromMMS(E26,_xlfn.XLOOKUP($D77,$D$62:$D$68,$E$62:$E$68))</f>
        <v>50.36999999999999</v>
      </c>
      <c r="G77" s="52" cm="1">
        <f t="array" ref="G77">MMS_Swine_AtmosphericDeposition_Equations.VEERG_4_5_1_5__2_TotalNitrogenVolatilisedFromMMS(F26,_xlfn.XLOOKUP($D77,$D$62:$D$68,$E$62:$E$68))</f>
        <v>53.655000000000008</v>
      </c>
      <c r="H77" s="52" cm="1">
        <f t="array" ref="H77">MMS_Swine_AtmosphericDeposition_Equations.VEERG_4_5_1_5__2_TotalNitrogenVolatilisedFromMMS(G26,_xlfn.XLOOKUP($D77,$D$62:$D$68,$E$62:$E$68))</f>
        <v>50.36999999999999</v>
      </c>
      <c r="I77" s="52" cm="1">
        <f t="array" ref="I77">MMS_Swine_AtmosphericDeposition_Equations.VEERG_4_5_1_5__2_TotalNitrogenVolatilisedFromMMS(H26,_xlfn.XLOOKUP($D77,$D$62:$D$68,$E$62:$E$68))</f>
        <v>34.163999999999994</v>
      </c>
      <c r="J77" s="2"/>
      <c r="N77" s="57" t="str">
        <f>'Input - Swine'!$D$33</f>
        <v>Pit storage</v>
      </c>
      <c r="O77" s="57" t="s">
        <v>172</v>
      </c>
      <c r="P77" s="52" cm="1">
        <f t="array" ref="P77">MMS_Swine_AtmosphericDeposition_Equations.VEERG_4_5_1_5__2_TotalNitrogenVolatilisedFromMMS(O26,_xlfn.XLOOKUP($N77,$D$62:$D$68,$E$62:$E$68))</f>
        <v>50.36999999999999</v>
      </c>
      <c r="Q77" s="52" cm="1">
        <f t="array" ref="Q77">MMS_Swine_AtmosphericDeposition_Equations.VEERG_4_5_1_5__2_TotalNitrogenVolatilisedFromMMS(P26,_xlfn.XLOOKUP($N77,$D$62:$D$68,$E$62:$E$68))</f>
        <v>53.655000000000008</v>
      </c>
      <c r="R77" s="52" cm="1">
        <f t="array" ref="R77">MMS_Swine_AtmosphericDeposition_Equations.VEERG_4_5_1_5__2_TotalNitrogenVolatilisedFromMMS(Q26,_xlfn.XLOOKUP($N77,$D$62:$D$68,$E$62:$E$68))</f>
        <v>50.36999999999999</v>
      </c>
      <c r="S77" s="52" cm="1">
        <f t="array" ref="S77">MMS_Swine_AtmosphericDeposition_Equations.VEERG_4_5_1_5__2_TotalNitrogenVolatilisedFromMMS(R26,_xlfn.XLOOKUP($N77,$D$62:$D$68,$E$62:$E$68))</f>
        <v>34.163999999999994</v>
      </c>
      <c r="T77" s="2"/>
    </row>
    <row r="78" spans="4:20" ht="20.100000000000001" customHeight="1" x14ac:dyDescent="0.25">
      <c r="D78" s="57" t="str">
        <f>'Input - Swine'!$D$34</f>
        <v>Solid storage</v>
      </c>
      <c r="E78" s="57" t="s">
        <v>172</v>
      </c>
      <c r="F78" s="52" cm="1">
        <f t="array" ref="F78">MMS_Swine_AtmosphericDeposition_Equations.VEERG_4_5_1_5__2_TotalNitrogenVolatilisedFromMMS(E27,_xlfn.XLOOKUP($D78,$D$62:$D$68,$E$62:$E$68))</f>
        <v>134.32000000000002</v>
      </c>
      <c r="G78" s="52" cm="1">
        <f t="array" ref="G78">MMS_Swine_AtmosphericDeposition_Equations.VEERG_4_5_1_5__2_TotalNitrogenVolatilisedFromMMS(F27,_xlfn.XLOOKUP($D78,$D$62:$D$68,$E$62:$E$68))</f>
        <v>143.08000000000007</v>
      </c>
      <c r="H78" s="52" cm="1">
        <f t="array" ref="H78">MMS_Swine_AtmosphericDeposition_Equations.VEERG_4_5_1_5__2_TotalNitrogenVolatilisedFromMMS(G27,_xlfn.XLOOKUP($D78,$D$62:$D$68,$E$62:$E$68))</f>
        <v>134.32000000000002</v>
      </c>
      <c r="I78" s="52" cm="1">
        <f t="array" ref="I78">MMS_Swine_AtmosphericDeposition_Equations.VEERG_4_5_1_5__2_TotalNitrogenVolatilisedFromMMS(H27,_xlfn.XLOOKUP($D78,$D$62:$D$68,$E$62:$E$68))</f>
        <v>91.104000000000042</v>
      </c>
      <c r="J78" s="2"/>
      <c r="N78" s="57" t="str">
        <f>'Input - Swine'!$D$34</f>
        <v>Solid storage</v>
      </c>
      <c r="O78" s="57" t="s">
        <v>172</v>
      </c>
      <c r="P78" s="52" cm="1">
        <f t="array" ref="P78">MMS_Swine_AtmosphericDeposition_Equations.VEERG_4_5_1_5__2_TotalNitrogenVolatilisedFromMMS(O27,_xlfn.XLOOKUP($N78,$D$62:$D$68,$E$62:$E$68))</f>
        <v>134.32000000000002</v>
      </c>
      <c r="Q78" s="52" cm="1">
        <f t="array" ref="Q78">MMS_Swine_AtmosphericDeposition_Equations.VEERG_4_5_1_5__2_TotalNitrogenVolatilisedFromMMS(P27,_xlfn.XLOOKUP($N78,$D$62:$D$68,$E$62:$E$68))</f>
        <v>143.08000000000007</v>
      </c>
      <c r="R78" s="52" cm="1">
        <f t="array" ref="R78">MMS_Swine_AtmosphericDeposition_Equations.VEERG_4_5_1_5__2_TotalNitrogenVolatilisedFromMMS(Q27,_xlfn.XLOOKUP($N78,$D$62:$D$68,$E$62:$E$68))</f>
        <v>134.32000000000002</v>
      </c>
      <c r="S78" s="52" cm="1">
        <f t="array" ref="S78">MMS_Swine_AtmosphericDeposition_Equations.VEERG_4_5_1_5__2_TotalNitrogenVolatilisedFromMMS(R27,_xlfn.XLOOKUP($N78,$D$62:$D$68,$E$62:$E$68))</f>
        <v>91.104000000000042</v>
      </c>
      <c r="T78" s="2"/>
    </row>
    <row r="79" spans="4:20" ht="20.100000000000001" customHeight="1" x14ac:dyDescent="0.25">
      <c r="D79" s="57" t="str">
        <f>'Input - Swine'!$D$29</f>
        <v>Anaerobic lagoon</v>
      </c>
      <c r="E79" s="57" t="str">
        <f>'Input - Swine'!$D$48</f>
        <v>Digester / covered lagoons</v>
      </c>
      <c r="F79" s="52" cm="1">
        <f t="array" ref="F79">MMS_Swine_AtmosphericDeposition_Equations.VEERG_4_5_1_5__2_TotalNitrogenVolatilisedFromMMS(F32,_xlfn.XLOOKUP($E79,$D$62:$D$68,$E$62:$E$68))</f>
        <v>0</v>
      </c>
      <c r="G79" s="52" cm="1">
        <f t="array" ref="G79">MMS_Swine_AtmosphericDeposition_Equations.VEERG_4_5_1_5__2_TotalNitrogenVolatilisedFromMMS(G32,_xlfn.XLOOKUP($E79,$D$62:$D$68,$E$62:$E$68))</f>
        <v>0</v>
      </c>
      <c r="H79" s="52" cm="1">
        <f t="array" ref="H79">MMS_Swine_AtmosphericDeposition_Equations.VEERG_4_5_1_5__2_TotalNitrogenVolatilisedFromMMS(H32,_xlfn.XLOOKUP($E79,$D$62:$D$68,$E$62:$E$68))</f>
        <v>0</v>
      </c>
      <c r="I79" s="52" cm="1">
        <f t="array" ref="I79">MMS_Swine_AtmosphericDeposition_Equations.VEERG_4_5_1_5__2_TotalNitrogenVolatilisedFromMMS(I32,_xlfn.XLOOKUP($E79,$D$62:$D$68,$E$62:$E$68))</f>
        <v>0</v>
      </c>
      <c r="J79" s="2"/>
      <c r="N79" s="57" t="str">
        <f>'Input - Swine'!$D$29</f>
        <v>Anaerobic lagoon</v>
      </c>
      <c r="O79" s="57" t="str">
        <f>'Input - Swine'!$D$48</f>
        <v>Digester / covered lagoons</v>
      </c>
      <c r="P79" s="52" cm="1">
        <f t="array" ref="P79">MMS_Swine_AtmosphericDeposition_Equations.VEERG_4_5_1_5__2_TotalNitrogenVolatilisedFromMMS(P32,_xlfn.XLOOKUP($O79,$D$62:$D$68,$E$62:$E$68))</f>
        <v>0</v>
      </c>
      <c r="Q79" s="52" cm="1">
        <f t="array" ref="Q79">MMS_Swine_AtmosphericDeposition_Equations.VEERG_4_5_1_5__2_TotalNitrogenVolatilisedFromMMS(Q32,_xlfn.XLOOKUP($O79,$D$62:$D$68,$E$62:$E$68))</f>
        <v>0</v>
      </c>
      <c r="R79" s="52" cm="1">
        <f t="array" ref="R79">MMS_Swine_AtmosphericDeposition_Equations.VEERG_4_5_1_5__2_TotalNitrogenVolatilisedFromMMS(R32,_xlfn.XLOOKUP($O79,$D$62:$D$68,$E$62:$E$68))</f>
        <v>0</v>
      </c>
      <c r="S79" s="52" cm="1">
        <f t="array" ref="S79">MMS_Swine_AtmosphericDeposition_Equations.VEERG_4_5_1_5__2_TotalNitrogenVolatilisedFromMMS(S32,_xlfn.XLOOKUP($O79,$D$62:$D$68,$E$62:$E$68))</f>
        <v>0</v>
      </c>
      <c r="T79" s="2"/>
    </row>
    <row r="80" spans="4:20" ht="20.100000000000001" customHeight="1" x14ac:dyDescent="0.25">
      <c r="D80" s="57"/>
      <c r="E80" s="57" t="str">
        <f>'Input - Swine'!$D$49</f>
        <v>Deep litter</v>
      </c>
      <c r="F80" s="52" cm="1">
        <f t="array" ref="F80">MMS_Swine_AtmosphericDeposition_Equations.VEERG_4_5_1_5__2_TotalNitrogenVolatilisedFromMMS(F33,_xlfn.XLOOKUP($E80,$D$62:$D$68,$E$62:$E$68))</f>
        <v>2.2666499999999994</v>
      </c>
      <c r="G80" s="52" cm="1">
        <f t="array" ref="G80">MMS_Swine_AtmosphericDeposition_Equations.VEERG_4_5_1_5__2_TotalNitrogenVolatilisedFromMMS(G33,_xlfn.XLOOKUP($E80,$D$62:$D$68,$E$62:$E$68))</f>
        <v>3.0180937500000002</v>
      </c>
      <c r="H80" s="52" cm="1">
        <f t="array" ref="H80">MMS_Swine_AtmosphericDeposition_Equations.VEERG_4_5_1_5__2_TotalNitrogenVolatilisedFromMMS(H33,_xlfn.XLOOKUP($E80,$D$62:$D$68,$E$62:$E$68))</f>
        <v>2.833312499999999</v>
      </c>
      <c r="I80" s="52" cm="1">
        <f t="array" ref="I80">MMS_Swine_AtmosphericDeposition_Equations.VEERG_4_5_1_5__2_TotalNitrogenVolatilisedFromMMS(I33,_xlfn.XLOOKUP($E80,$D$62:$D$68,$E$62:$E$68))</f>
        <v>1.9217249999999995</v>
      </c>
      <c r="J80" s="2"/>
      <c r="N80" s="57"/>
      <c r="O80" s="57" t="str">
        <f>'Input - Swine'!$D$49</f>
        <v>Deep litter</v>
      </c>
      <c r="P80" s="52" cm="1">
        <f t="array" ref="P80">MMS_Swine_AtmosphericDeposition_Equations.VEERG_4_5_1_5__2_TotalNitrogenVolatilisedFromMMS(P33,_xlfn.XLOOKUP($O80,$D$62:$D$68,$E$62:$E$68))</f>
        <v>2.2666499999999994</v>
      </c>
      <c r="Q80" s="52" cm="1">
        <f t="array" ref="Q80">MMS_Swine_AtmosphericDeposition_Equations.VEERG_4_5_1_5__2_TotalNitrogenVolatilisedFromMMS(Q33,_xlfn.XLOOKUP($O80,$D$62:$D$68,$E$62:$E$68))</f>
        <v>3.0180937500000002</v>
      </c>
      <c r="R80" s="52" cm="1">
        <f t="array" ref="R80">MMS_Swine_AtmosphericDeposition_Equations.VEERG_4_5_1_5__2_TotalNitrogenVolatilisedFromMMS(R33,_xlfn.XLOOKUP($O80,$D$62:$D$68,$E$62:$E$68))</f>
        <v>2.833312499999999</v>
      </c>
      <c r="S80" s="52" cm="1">
        <f t="array" ref="S80">MMS_Swine_AtmosphericDeposition_Equations.VEERG_4_5_1_5__2_TotalNitrogenVolatilisedFromMMS(S33,_xlfn.XLOOKUP($O80,$D$62:$D$68,$E$62:$E$68))</f>
        <v>1.9217249999999995</v>
      </c>
      <c r="T80" s="2"/>
    </row>
    <row r="81" spans="4:20" ht="20.100000000000001" customHeight="1" x14ac:dyDescent="0.25">
      <c r="D81" s="57"/>
      <c r="E81" s="57" t="str">
        <f>'Input - Swine'!$D$50</f>
        <v>Pit storage</v>
      </c>
      <c r="F81" s="52" cm="1">
        <f t="array" ref="F81">MMS_Swine_AtmosphericDeposition_Equations.VEERG_4_5_1_5__2_TotalNitrogenVolatilisedFromMMS(F34,_xlfn.XLOOKUP($E81,$D$62:$D$68,$E$62:$E$68))</f>
        <v>4.5332999999999988</v>
      </c>
      <c r="G81" s="52" cm="1">
        <f t="array" ref="G81">MMS_Swine_AtmosphericDeposition_Equations.VEERG_4_5_1_5__2_TotalNitrogenVolatilisedFromMMS(G34,_xlfn.XLOOKUP($E81,$D$62:$D$68,$E$62:$E$68))</f>
        <v>6.0361875000000005</v>
      </c>
      <c r="H81" s="52" cm="1">
        <f t="array" ref="H81">MMS_Swine_AtmosphericDeposition_Equations.VEERG_4_5_1_5__2_TotalNitrogenVolatilisedFromMMS(H34,_xlfn.XLOOKUP($E81,$D$62:$D$68,$E$62:$E$68))</f>
        <v>5.666624999999998</v>
      </c>
      <c r="I81" s="52" cm="1">
        <f t="array" ref="I81">MMS_Swine_AtmosphericDeposition_Equations.VEERG_4_5_1_5__2_TotalNitrogenVolatilisedFromMMS(I34,_xlfn.XLOOKUP($E81,$D$62:$D$68,$E$62:$E$68))</f>
        <v>3.8434499999999989</v>
      </c>
      <c r="J81" s="2"/>
      <c r="N81" s="57"/>
      <c r="O81" s="57" t="str">
        <f>'Input - Swine'!$D$50</f>
        <v>Pit storage</v>
      </c>
      <c r="P81" s="52" cm="1">
        <f t="array" ref="P81">MMS_Swine_AtmosphericDeposition_Equations.VEERG_4_5_1_5__2_TotalNitrogenVolatilisedFromMMS(P34,_xlfn.XLOOKUP($O81,$D$62:$D$68,$E$62:$E$68))</f>
        <v>4.5332999999999988</v>
      </c>
      <c r="Q81" s="52" cm="1">
        <f t="array" ref="Q81">MMS_Swine_AtmosphericDeposition_Equations.VEERG_4_5_1_5__2_TotalNitrogenVolatilisedFromMMS(Q34,_xlfn.XLOOKUP($O81,$D$62:$D$68,$E$62:$E$68))</f>
        <v>6.0361875000000005</v>
      </c>
      <c r="R81" s="52" cm="1">
        <f t="array" ref="R81">MMS_Swine_AtmosphericDeposition_Equations.VEERG_4_5_1_5__2_TotalNitrogenVolatilisedFromMMS(R34,_xlfn.XLOOKUP($O81,$D$62:$D$68,$E$62:$E$68))</f>
        <v>5.666624999999998</v>
      </c>
      <c r="S81" s="52" cm="1">
        <f t="array" ref="S81">MMS_Swine_AtmosphericDeposition_Equations.VEERG_4_5_1_5__2_TotalNitrogenVolatilisedFromMMS(S34,_xlfn.XLOOKUP($O81,$D$62:$D$68,$E$62:$E$68))</f>
        <v>3.8434499999999989</v>
      </c>
      <c r="T81" s="2"/>
    </row>
    <row r="82" spans="4:20" ht="20.100000000000001" customHeight="1" x14ac:dyDescent="0.25">
      <c r="D82" s="57"/>
      <c r="E82" s="57" t="str">
        <f>'Input - Swine'!$D$51</f>
        <v>Direct application</v>
      </c>
      <c r="F82" s="52" t="s">
        <v>172</v>
      </c>
      <c r="G82" s="52" t="s">
        <v>172</v>
      </c>
      <c r="H82" s="52" t="s">
        <v>172</v>
      </c>
      <c r="I82" s="52" t="s">
        <v>172</v>
      </c>
      <c r="N82" s="57"/>
      <c r="O82" s="57" t="str">
        <f>'Input - Swine'!$D$51</f>
        <v>Direct application</v>
      </c>
      <c r="P82" s="52" t="s">
        <v>172</v>
      </c>
      <c r="Q82" s="52" t="s">
        <v>172</v>
      </c>
      <c r="R82" s="52" t="s">
        <v>172</v>
      </c>
      <c r="S82" s="52" t="s">
        <v>172</v>
      </c>
      <c r="T82" s="2"/>
    </row>
    <row r="83" spans="4:20" ht="20.100000000000001" customHeight="1" x14ac:dyDescent="0.25">
      <c r="D83" s="57" t="str">
        <f>'Input - Swine'!$D$30</f>
        <v>Drylot (feed pad)</v>
      </c>
      <c r="E83" s="57" t="str">
        <f>'Input - Swine'!$D$55</f>
        <v>Anaerobic lagoon</v>
      </c>
      <c r="F83" s="52" cm="1">
        <f t="array" ref="F83">MMS_Swine_AtmosphericDeposition_Equations.VEERG_4_5_1_5__2_TotalNitrogenVolatilisedFromMMS(F36,_xlfn.XLOOKUP($E83,$D$62:$D$68,$E$62:$E$68))</f>
        <v>15.070703999999997</v>
      </c>
      <c r="G83" s="52" cm="1">
        <f t="array" ref="G83">MMS_Swine_AtmosphericDeposition_Equations.VEERG_4_5_1_5__2_TotalNitrogenVolatilisedFromMMS(G36,_xlfn.XLOOKUP($E83,$D$62:$D$68,$E$62:$E$68))</f>
        <v>20.066970000000005</v>
      </c>
      <c r="H83" s="52" cm="1">
        <f t="array" ref="H83">MMS_Swine_AtmosphericDeposition_Equations.VEERG_4_5_1_5__2_TotalNitrogenVolatilisedFromMMS(H36,_xlfn.XLOOKUP($E83,$D$62:$D$68,$E$62:$E$68))</f>
        <v>18.838379999999997</v>
      </c>
      <c r="I83" s="52" cm="1">
        <f t="array" ref="I83">MMS_Swine_AtmosphericDeposition_Equations.VEERG_4_5_1_5__2_TotalNitrogenVolatilisedFromMMS(I36,_xlfn.XLOOKUP($E83,$D$62:$D$68,$E$62:$E$68))</f>
        <v>12.777335999999996</v>
      </c>
      <c r="J83" s="2"/>
      <c r="N83" s="57" t="str">
        <f>'Input - Swine'!$D$30</f>
        <v>Drylot (feed pad)</v>
      </c>
      <c r="O83" s="57" t="str">
        <f>'Input - Swine'!$D$55</f>
        <v>Anaerobic lagoon</v>
      </c>
      <c r="P83" s="52" cm="1">
        <f t="array" ref="P83">MMS_Swine_AtmosphericDeposition_Equations.VEERG_4_5_1_5__2_TotalNitrogenVolatilisedFromMMS(P36,_xlfn.XLOOKUP($O83,$D$62:$D$68,$E$62:$E$68))</f>
        <v>15.070703999999997</v>
      </c>
      <c r="Q83" s="52" cm="1">
        <f t="array" ref="Q83">MMS_Swine_AtmosphericDeposition_Equations.VEERG_4_5_1_5__2_TotalNitrogenVolatilisedFromMMS(Q36,_xlfn.XLOOKUP($O83,$D$62:$D$68,$E$62:$E$68))</f>
        <v>20.066970000000005</v>
      </c>
      <c r="R83" s="52" cm="1">
        <f t="array" ref="R83">MMS_Swine_AtmosphericDeposition_Equations.VEERG_4_5_1_5__2_TotalNitrogenVolatilisedFromMMS(R36,_xlfn.XLOOKUP($O83,$D$62:$D$68,$E$62:$E$68))</f>
        <v>18.838379999999997</v>
      </c>
      <c r="S83" s="52" cm="1">
        <f t="array" ref="S83">MMS_Swine_AtmosphericDeposition_Equations.VEERG_4_5_1_5__2_TotalNitrogenVolatilisedFromMMS(S36,_xlfn.XLOOKUP($O83,$D$62:$D$68,$E$62:$E$68))</f>
        <v>12.777335999999996</v>
      </c>
      <c r="T83" s="2"/>
    </row>
    <row r="84" spans="4:20" ht="20.100000000000001" customHeight="1" x14ac:dyDescent="0.25">
      <c r="D84" s="57"/>
      <c r="E84" s="57" t="str">
        <f>'Input - Swine'!$D$56</f>
        <v>Digester / covered lagoons</v>
      </c>
      <c r="F84" s="52" cm="1">
        <f t="array" ref="F84">MMS_Swine_AtmosphericDeposition_Equations.VEERG_4_5_1_5__2_TotalNitrogenVolatilisedFromMMS(F37,_xlfn.XLOOKUP($E84,$D$62:$D$68,$E$62:$E$68))</f>
        <v>0</v>
      </c>
      <c r="G84" s="52" cm="1">
        <f t="array" ref="G84">MMS_Swine_AtmosphericDeposition_Equations.VEERG_4_5_1_5__2_TotalNitrogenVolatilisedFromMMS(G37,_xlfn.XLOOKUP($E84,$D$62:$D$68,$E$62:$E$68))</f>
        <v>0</v>
      </c>
      <c r="H84" s="52" cm="1">
        <f t="array" ref="H84">MMS_Swine_AtmosphericDeposition_Equations.VEERG_4_5_1_5__2_TotalNitrogenVolatilisedFromMMS(H37,_xlfn.XLOOKUP($E84,$D$62:$D$68,$E$62:$E$68))</f>
        <v>0</v>
      </c>
      <c r="I84" s="52" cm="1">
        <f t="array" ref="I84">MMS_Swine_AtmosphericDeposition_Equations.VEERG_4_5_1_5__2_TotalNitrogenVolatilisedFromMMS(I37,_xlfn.XLOOKUP($E84,$D$62:$D$68,$E$62:$E$68))</f>
        <v>0</v>
      </c>
      <c r="J84" s="2"/>
      <c r="N84" s="57"/>
      <c r="O84" s="57" t="str">
        <f>'Input - Swine'!$D$56</f>
        <v>Digester / covered lagoons</v>
      </c>
      <c r="P84" s="52" cm="1">
        <f t="array" ref="P84">MMS_Swine_AtmosphericDeposition_Equations.VEERG_4_5_1_5__2_TotalNitrogenVolatilisedFromMMS(P37,_xlfn.XLOOKUP($O84,$D$62:$D$68,$E$62:$E$68))</f>
        <v>0</v>
      </c>
      <c r="Q84" s="52" cm="1">
        <f t="array" ref="Q84">MMS_Swine_AtmosphericDeposition_Equations.VEERG_4_5_1_5__2_TotalNitrogenVolatilisedFromMMS(Q37,_xlfn.XLOOKUP($O84,$D$62:$D$68,$E$62:$E$68))</f>
        <v>0</v>
      </c>
      <c r="R84" s="52" cm="1">
        <f t="array" ref="R84">MMS_Swine_AtmosphericDeposition_Equations.VEERG_4_5_1_5__2_TotalNitrogenVolatilisedFromMMS(R37,_xlfn.XLOOKUP($O84,$D$62:$D$68,$E$62:$E$68))</f>
        <v>0</v>
      </c>
      <c r="S84" s="52" cm="1">
        <f t="array" ref="S84">MMS_Swine_AtmosphericDeposition_Equations.VEERG_4_5_1_5__2_TotalNitrogenVolatilisedFromMMS(S37,_xlfn.XLOOKUP($O84,$D$62:$D$68,$E$62:$E$68))</f>
        <v>0</v>
      </c>
      <c r="T84" s="2"/>
    </row>
    <row r="85" spans="4:20" ht="20.100000000000001" customHeight="1" x14ac:dyDescent="0.25">
      <c r="D85" s="57"/>
      <c r="E85" s="57" t="str">
        <f>'Input - Swine'!$D$57</f>
        <v>Deep litter</v>
      </c>
      <c r="F85" s="52" cm="1">
        <f t="array" ref="F85">MMS_Swine_AtmosphericDeposition_Equations.VEERG_4_5_1_5__2_TotalNitrogenVolatilisedFromMMS(F38,_xlfn.XLOOKUP($E85,$D$62:$D$68,$E$62:$E$68))</f>
        <v>3.4251599999999991</v>
      </c>
      <c r="G85" s="52" cm="1">
        <f t="array" ref="G85">MMS_Swine_AtmosphericDeposition_Equations.VEERG_4_5_1_5__2_TotalNitrogenVolatilisedFromMMS(G38,_xlfn.XLOOKUP($E85,$D$62:$D$68,$E$62:$E$68))</f>
        <v>4.5606750000000007</v>
      </c>
      <c r="H85" s="52" cm="1">
        <f t="array" ref="H85">MMS_Swine_AtmosphericDeposition_Equations.VEERG_4_5_1_5__2_TotalNitrogenVolatilisedFromMMS(H38,_xlfn.XLOOKUP($E85,$D$62:$D$68,$E$62:$E$68))</f>
        <v>4.2814499999999986</v>
      </c>
      <c r="I85" s="52" cm="1">
        <f t="array" ref="I85">MMS_Swine_AtmosphericDeposition_Equations.VEERG_4_5_1_5__2_TotalNitrogenVolatilisedFromMMS(I38,_xlfn.XLOOKUP($E85,$D$62:$D$68,$E$62:$E$68))</f>
        <v>2.9039399999999991</v>
      </c>
      <c r="J85" s="2"/>
      <c r="N85" s="57"/>
      <c r="O85" s="57" t="str">
        <f>'Input - Swine'!$D$57</f>
        <v>Deep litter</v>
      </c>
      <c r="P85" s="52" cm="1">
        <f t="array" ref="P85">MMS_Swine_AtmosphericDeposition_Equations.VEERG_4_5_1_5__2_TotalNitrogenVolatilisedFromMMS(P38,_xlfn.XLOOKUP($O85,$D$62:$D$68,$E$62:$E$68))</f>
        <v>3.4251599999999991</v>
      </c>
      <c r="Q85" s="52" cm="1">
        <f t="array" ref="Q85">MMS_Swine_AtmosphericDeposition_Equations.VEERG_4_5_1_5__2_TotalNitrogenVolatilisedFromMMS(Q38,_xlfn.XLOOKUP($O85,$D$62:$D$68,$E$62:$E$68))</f>
        <v>4.5606750000000007</v>
      </c>
      <c r="R85" s="52" cm="1">
        <f t="array" ref="R85">MMS_Swine_AtmosphericDeposition_Equations.VEERG_4_5_1_5__2_TotalNitrogenVolatilisedFromMMS(R38,_xlfn.XLOOKUP($O85,$D$62:$D$68,$E$62:$E$68))</f>
        <v>4.2814499999999986</v>
      </c>
      <c r="S85" s="52" cm="1">
        <f t="array" ref="S85">MMS_Swine_AtmosphericDeposition_Equations.VEERG_4_5_1_5__2_TotalNitrogenVolatilisedFromMMS(S38,_xlfn.XLOOKUP($O85,$D$62:$D$68,$E$62:$E$68))</f>
        <v>2.9039399999999991</v>
      </c>
      <c r="T85" s="2"/>
    </row>
    <row r="86" spans="4:20" ht="20.100000000000001" customHeight="1" x14ac:dyDescent="0.25">
      <c r="D86" s="57"/>
      <c r="E86" s="57" t="str">
        <f>'Input - Swine'!$D$58</f>
        <v>Pit storage</v>
      </c>
      <c r="F86" s="52" cm="1">
        <f t="array" ref="F86">MMS_Swine_AtmosphericDeposition_Equations.VEERG_4_5_1_5__2_TotalNitrogenVolatilisedFromMMS(F39,_xlfn.XLOOKUP($E86,$D$62:$D$68,$E$62:$E$68))</f>
        <v>6.8503199999999982</v>
      </c>
      <c r="G86" s="52" cm="1">
        <f t="array" ref="G86">MMS_Swine_AtmosphericDeposition_Equations.VEERG_4_5_1_5__2_TotalNitrogenVolatilisedFromMMS(G39,_xlfn.XLOOKUP($E86,$D$62:$D$68,$E$62:$E$68))</f>
        <v>9.1213500000000014</v>
      </c>
      <c r="H86" s="52" cm="1">
        <f t="array" ref="H86">MMS_Swine_AtmosphericDeposition_Equations.VEERG_4_5_1_5__2_TotalNitrogenVolatilisedFromMMS(H39,_xlfn.XLOOKUP($E86,$D$62:$D$68,$E$62:$E$68))</f>
        <v>8.5628999999999973</v>
      </c>
      <c r="I86" s="52" cm="1">
        <f t="array" ref="I86">MMS_Swine_AtmosphericDeposition_Equations.VEERG_4_5_1_5__2_TotalNitrogenVolatilisedFromMMS(I39,_xlfn.XLOOKUP($E86,$D$62:$D$68,$E$62:$E$68))</f>
        <v>5.8078799999999982</v>
      </c>
      <c r="J86" s="2"/>
      <c r="N86" s="57"/>
      <c r="O86" s="57" t="str">
        <f>'Input - Swine'!$D$58</f>
        <v>Pit storage</v>
      </c>
      <c r="P86" s="52" cm="1">
        <f t="array" ref="P86">MMS_Swine_AtmosphericDeposition_Equations.VEERG_4_5_1_5__2_TotalNitrogenVolatilisedFromMMS(P39,_xlfn.XLOOKUP($O86,$D$62:$D$68,$E$62:$E$68))</f>
        <v>6.8503199999999982</v>
      </c>
      <c r="Q86" s="52" cm="1">
        <f t="array" ref="Q86">MMS_Swine_AtmosphericDeposition_Equations.VEERG_4_5_1_5__2_TotalNitrogenVolatilisedFromMMS(Q39,_xlfn.XLOOKUP($O86,$D$62:$D$68,$E$62:$E$68))</f>
        <v>9.1213500000000014</v>
      </c>
      <c r="R86" s="52" cm="1">
        <f t="array" ref="R86">MMS_Swine_AtmosphericDeposition_Equations.VEERG_4_5_1_5__2_TotalNitrogenVolatilisedFromMMS(R39,_xlfn.XLOOKUP($O86,$D$62:$D$68,$E$62:$E$68))</f>
        <v>8.5628999999999973</v>
      </c>
      <c r="S86" s="52" cm="1">
        <f t="array" ref="S86">MMS_Swine_AtmosphericDeposition_Equations.VEERG_4_5_1_5__2_TotalNitrogenVolatilisedFromMMS(S39,_xlfn.XLOOKUP($O86,$D$62:$D$68,$E$62:$E$68))</f>
        <v>5.8078799999999982</v>
      </c>
      <c r="T86" s="2"/>
    </row>
    <row r="87" spans="4:20" ht="20.100000000000001" customHeight="1" x14ac:dyDescent="0.25">
      <c r="D87" s="57"/>
      <c r="E87" s="57" t="str">
        <f>'Input - Swine'!$D$59</f>
        <v>Direct application</v>
      </c>
      <c r="F87" s="52" t="s">
        <v>172</v>
      </c>
      <c r="G87" s="52" t="s">
        <v>172</v>
      </c>
      <c r="H87" s="52" t="s">
        <v>172</v>
      </c>
      <c r="I87" s="52" t="s">
        <v>172</v>
      </c>
      <c r="N87" s="57"/>
      <c r="O87" s="57" t="str">
        <f>'Input - Swine'!$D$59</f>
        <v>Direct application</v>
      </c>
      <c r="P87" s="52" t="s">
        <v>172</v>
      </c>
      <c r="Q87" s="52" t="s">
        <v>172</v>
      </c>
      <c r="R87" s="52" t="s">
        <v>172</v>
      </c>
      <c r="S87" s="52" t="s">
        <v>172</v>
      </c>
      <c r="T87" s="2"/>
    </row>
    <row r="88" spans="4:20" ht="20.100000000000001" customHeight="1" x14ac:dyDescent="0.25">
      <c r="D88" s="57" t="str">
        <f>'Input - Swine'!$D$31</f>
        <v>Digester / covered lagoons</v>
      </c>
      <c r="E88" s="57" t="str">
        <f>'Input - Swine'!$D$63</f>
        <v>Anaerobic lagoon</v>
      </c>
      <c r="F88" s="52" cm="1">
        <f t="array" ref="F88">MMS_Swine_AtmosphericDeposition_Equations.VEERG_4_5_1_5__2_TotalNitrogenVolatilisedFromMMS(F41,_xlfn.XLOOKUP($E88,$D$62:$D$68,$E$62:$E$68))</f>
        <v>22.162799999999997</v>
      </c>
      <c r="G88" s="52" cm="1">
        <f t="array" ref="G88">MMS_Swine_AtmosphericDeposition_Equations.VEERG_4_5_1_5__2_TotalNitrogenVolatilisedFromMMS(G41,_xlfn.XLOOKUP($E88,$D$62:$D$68,$E$62:$E$68))</f>
        <v>29.510250000000006</v>
      </c>
      <c r="H88" s="52" cm="1">
        <f t="array" ref="H88">MMS_Swine_AtmosphericDeposition_Equations.VEERG_4_5_1_5__2_TotalNitrogenVolatilisedFromMMS(H41,_xlfn.XLOOKUP($E88,$D$62:$D$68,$E$62:$E$68))</f>
        <v>27.703499999999998</v>
      </c>
      <c r="I88" s="52" cm="1">
        <f t="array" ref="I88">MMS_Swine_AtmosphericDeposition_Equations.VEERG_4_5_1_5__2_TotalNitrogenVolatilisedFromMMS(I41,_xlfn.XLOOKUP($E88,$D$62:$D$68,$E$62:$E$68))</f>
        <v>18.790199999999999</v>
      </c>
      <c r="J88" s="2"/>
      <c r="N88" s="57" t="str">
        <f>'Input - Swine'!$D$31</f>
        <v>Digester / covered lagoons</v>
      </c>
      <c r="O88" s="57" t="str">
        <f>'Input - Swine'!$D$63</f>
        <v>Anaerobic lagoon</v>
      </c>
      <c r="P88" s="52" cm="1">
        <f t="array" ref="P88">MMS_Swine_AtmosphericDeposition_Equations.VEERG_4_5_1_5__2_TotalNitrogenVolatilisedFromMMS(P41,_xlfn.XLOOKUP($O88,$D$62:$D$68,$E$62:$E$68))</f>
        <v>22.162799999999997</v>
      </c>
      <c r="Q88" s="52" cm="1">
        <f t="array" ref="Q88">MMS_Swine_AtmosphericDeposition_Equations.VEERG_4_5_1_5__2_TotalNitrogenVolatilisedFromMMS(Q41,_xlfn.XLOOKUP($O88,$D$62:$D$68,$E$62:$E$68))</f>
        <v>29.510250000000006</v>
      </c>
      <c r="R88" s="52" cm="1">
        <f t="array" ref="R88">MMS_Swine_AtmosphericDeposition_Equations.VEERG_4_5_1_5__2_TotalNitrogenVolatilisedFromMMS(R41,_xlfn.XLOOKUP($O88,$D$62:$D$68,$E$62:$E$68))</f>
        <v>27.703499999999998</v>
      </c>
      <c r="S88" s="52" cm="1">
        <f t="array" ref="S88">MMS_Swine_AtmosphericDeposition_Equations.VEERG_4_5_1_5__2_TotalNitrogenVolatilisedFromMMS(S41,_xlfn.XLOOKUP($O88,$D$62:$D$68,$E$62:$E$68))</f>
        <v>18.790199999999999</v>
      </c>
      <c r="T88" s="2"/>
    </row>
    <row r="89" spans="4:20" ht="20.100000000000001" customHeight="1" x14ac:dyDescent="0.25">
      <c r="D89" s="57"/>
      <c r="E89" s="57" t="str">
        <f>'Input - Swine'!$D$64</f>
        <v>Deep litter</v>
      </c>
      <c r="F89" s="52" cm="1">
        <f t="array" ref="F89">MMS_Swine_AtmosphericDeposition_Equations.VEERG_4_5_1_5__2_TotalNitrogenVolatilisedFromMMS(F42,_xlfn.XLOOKUP($E89,$D$62:$D$68,$E$62:$E$68))</f>
        <v>5.036999999999999</v>
      </c>
      <c r="G89" s="52" cm="1">
        <f t="array" ref="G89">MMS_Swine_AtmosphericDeposition_Equations.VEERG_4_5_1_5__2_TotalNitrogenVolatilisedFromMMS(G42,_xlfn.XLOOKUP($E89,$D$62:$D$68,$E$62:$E$68))</f>
        <v>6.706875000000001</v>
      </c>
      <c r="H89" s="52" cm="1">
        <f t="array" ref="H89">MMS_Swine_AtmosphericDeposition_Equations.VEERG_4_5_1_5__2_TotalNitrogenVolatilisedFromMMS(H42,_xlfn.XLOOKUP($E89,$D$62:$D$68,$E$62:$E$68))</f>
        <v>6.2962499999999988</v>
      </c>
      <c r="I89" s="52" cm="1">
        <f t="array" ref="I89">MMS_Swine_AtmosphericDeposition_Equations.VEERG_4_5_1_5__2_TotalNitrogenVolatilisedFromMMS(I42,_xlfn.XLOOKUP($E89,$D$62:$D$68,$E$62:$E$68))</f>
        <v>4.2704999999999993</v>
      </c>
      <c r="J89" s="2"/>
      <c r="N89" s="57"/>
      <c r="O89" s="57" t="str">
        <f>'Input - Swine'!$D$64</f>
        <v>Deep litter</v>
      </c>
      <c r="P89" s="52" cm="1">
        <f t="array" ref="P89">MMS_Swine_AtmosphericDeposition_Equations.VEERG_4_5_1_5__2_TotalNitrogenVolatilisedFromMMS(P42,_xlfn.XLOOKUP($O89,$D$62:$D$68,$E$62:$E$68))</f>
        <v>5.036999999999999</v>
      </c>
      <c r="Q89" s="52" cm="1">
        <f t="array" ref="Q89">MMS_Swine_AtmosphericDeposition_Equations.VEERG_4_5_1_5__2_TotalNitrogenVolatilisedFromMMS(Q42,_xlfn.XLOOKUP($O89,$D$62:$D$68,$E$62:$E$68))</f>
        <v>6.706875000000001</v>
      </c>
      <c r="R89" s="52" cm="1">
        <f t="array" ref="R89">MMS_Swine_AtmosphericDeposition_Equations.VEERG_4_5_1_5__2_TotalNitrogenVolatilisedFromMMS(R42,_xlfn.XLOOKUP($O89,$D$62:$D$68,$E$62:$E$68))</f>
        <v>6.2962499999999988</v>
      </c>
      <c r="S89" s="52" cm="1">
        <f t="array" ref="S89">MMS_Swine_AtmosphericDeposition_Equations.VEERG_4_5_1_5__2_TotalNitrogenVolatilisedFromMMS(S42,_xlfn.XLOOKUP($O89,$D$62:$D$68,$E$62:$E$68))</f>
        <v>4.2704999999999993</v>
      </c>
      <c r="T89" s="2"/>
    </row>
    <row r="90" spans="4:20" ht="20.100000000000001" customHeight="1" x14ac:dyDescent="0.25">
      <c r="D90" s="57"/>
      <c r="E90" s="57" t="str">
        <f>'Input - Swine'!$D$65</f>
        <v>Pit storage</v>
      </c>
      <c r="F90" s="52" cm="1">
        <f t="array" ref="F90">MMS_Swine_AtmosphericDeposition_Equations.VEERG_4_5_1_5__2_TotalNitrogenVolatilisedFromMMS(F43,_xlfn.XLOOKUP($E90,$D$62:$D$68,$E$62:$E$68))</f>
        <v>10.073999999999998</v>
      </c>
      <c r="G90" s="52" cm="1">
        <f t="array" ref="G90">MMS_Swine_AtmosphericDeposition_Equations.VEERG_4_5_1_5__2_TotalNitrogenVolatilisedFromMMS(G43,_xlfn.XLOOKUP($E90,$D$62:$D$68,$E$62:$E$68))</f>
        <v>13.413750000000002</v>
      </c>
      <c r="H90" s="52" cm="1">
        <f t="array" ref="H90">MMS_Swine_AtmosphericDeposition_Equations.VEERG_4_5_1_5__2_TotalNitrogenVolatilisedFromMMS(H43,_xlfn.XLOOKUP($E90,$D$62:$D$68,$E$62:$E$68))</f>
        <v>12.592499999999998</v>
      </c>
      <c r="I90" s="52" cm="1">
        <f t="array" ref="I90">MMS_Swine_AtmosphericDeposition_Equations.VEERG_4_5_1_5__2_TotalNitrogenVolatilisedFromMMS(I43,_xlfn.XLOOKUP($E90,$D$62:$D$68,$E$62:$E$68))</f>
        <v>8.5409999999999986</v>
      </c>
      <c r="J90" s="2"/>
      <c r="N90" s="57"/>
      <c r="O90" s="57" t="str">
        <f>'Input - Swine'!$D$65</f>
        <v>Pit storage</v>
      </c>
      <c r="P90" s="52" cm="1">
        <f t="array" ref="P90">MMS_Swine_AtmosphericDeposition_Equations.VEERG_4_5_1_5__2_TotalNitrogenVolatilisedFromMMS(P43,_xlfn.XLOOKUP($O90,$D$62:$D$68,$E$62:$E$68))</f>
        <v>10.073999999999998</v>
      </c>
      <c r="Q90" s="52" cm="1">
        <f t="array" ref="Q90">MMS_Swine_AtmosphericDeposition_Equations.VEERG_4_5_1_5__2_TotalNitrogenVolatilisedFromMMS(Q43,_xlfn.XLOOKUP($O90,$D$62:$D$68,$E$62:$E$68))</f>
        <v>13.413750000000002</v>
      </c>
      <c r="R90" s="52" cm="1">
        <f t="array" ref="R90">MMS_Swine_AtmosphericDeposition_Equations.VEERG_4_5_1_5__2_TotalNitrogenVolatilisedFromMMS(R43,_xlfn.XLOOKUP($O90,$D$62:$D$68,$E$62:$E$68))</f>
        <v>12.592499999999998</v>
      </c>
      <c r="S90" s="52" cm="1">
        <f t="array" ref="S90">MMS_Swine_AtmosphericDeposition_Equations.VEERG_4_5_1_5__2_TotalNitrogenVolatilisedFromMMS(S43,_xlfn.XLOOKUP($O90,$D$62:$D$68,$E$62:$E$68))</f>
        <v>8.5409999999999986</v>
      </c>
      <c r="T90" s="2"/>
    </row>
    <row r="91" spans="4:20" ht="20.100000000000001" customHeight="1" x14ac:dyDescent="0.25">
      <c r="D91" s="57"/>
      <c r="E91" s="57" t="str">
        <f>'Input - Swine'!$D$66</f>
        <v>Direct application</v>
      </c>
      <c r="F91" s="52" t="s">
        <v>172</v>
      </c>
      <c r="G91" s="52" t="s">
        <v>172</v>
      </c>
      <c r="H91" s="52" t="s">
        <v>172</v>
      </c>
      <c r="I91" s="52" t="s">
        <v>172</v>
      </c>
      <c r="N91" s="57"/>
      <c r="O91" s="57" t="str">
        <f>'Input - Swine'!$D$66</f>
        <v>Direct application</v>
      </c>
      <c r="P91" s="52" t="s">
        <v>172</v>
      </c>
      <c r="Q91" s="52" t="s">
        <v>172</v>
      </c>
      <c r="R91" s="52" t="s">
        <v>172</v>
      </c>
      <c r="S91" s="52" t="s">
        <v>172</v>
      </c>
      <c r="T91" s="2"/>
    </row>
    <row r="92" spans="4:20" ht="20.100000000000001" customHeight="1" x14ac:dyDescent="0.25">
      <c r="D92" s="57" t="str">
        <f>'Input - Swine'!$D$32</f>
        <v>Deep litter</v>
      </c>
      <c r="E92" s="57" t="str">
        <f>'Input - Swine'!$D$70</f>
        <v>Anaerobic lagoon</v>
      </c>
      <c r="F92" s="52" cm="1">
        <f t="array" ref="F92">MMS_Swine_AtmosphericDeposition_Equations.VEERG_4_5_1_5__2_TotalNitrogenVolatilisedFromMMS(F45,_xlfn.XLOOKUP($E92,$D$62:$D$68,$E$62:$E$68))</f>
        <v>19.170821999999998</v>
      </c>
      <c r="G92" s="52" cm="1">
        <f t="array" ref="G92">MMS_Swine_AtmosphericDeposition_Equations.VEERG_4_5_1_5__2_TotalNitrogenVolatilisedFromMMS(G45,_xlfn.XLOOKUP($E92,$D$62:$D$68,$E$62:$E$68))</f>
        <v>25.526366250000006</v>
      </c>
      <c r="H92" s="52" cm="1">
        <f t="array" ref="H92">MMS_Swine_AtmosphericDeposition_Equations.VEERG_4_5_1_5__2_TotalNitrogenVolatilisedFromMMS(H45,_xlfn.XLOOKUP($E92,$D$62:$D$68,$E$62:$E$68))</f>
        <v>23.963527499999994</v>
      </c>
      <c r="I92" s="52" cm="1">
        <f t="array" ref="I92">MMS_Swine_AtmosphericDeposition_Equations.VEERG_4_5_1_5__2_TotalNitrogenVolatilisedFromMMS(I45,_xlfn.XLOOKUP($E92,$D$62:$D$68,$E$62:$E$68))</f>
        <v>16.253522999999998</v>
      </c>
      <c r="J92" s="2"/>
      <c r="N92" s="57" t="str">
        <f>'Input - Swine'!$D$32</f>
        <v>Deep litter</v>
      </c>
      <c r="O92" s="57" t="str">
        <f>'Input - Swine'!$D$70</f>
        <v>Anaerobic lagoon</v>
      </c>
      <c r="P92" s="52" cm="1">
        <f t="array" ref="P92">MMS_Swine_AtmosphericDeposition_Equations.VEERG_4_5_1_5__2_TotalNitrogenVolatilisedFromMMS(P45,_xlfn.XLOOKUP($O92,$D$62:$D$68,$E$62:$E$68))</f>
        <v>19.170821999999998</v>
      </c>
      <c r="Q92" s="52" cm="1">
        <f t="array" ref="Q92">MMS_Swine_AtmosphericDeposition_Equations.VEERG_4_5_1_5__2_TotalNitrogenVolatilisedFromMMS(Q45,_xlfn.XLOOKUP($O92,$D$62:$D$68,$E$62:$E$68))</f>
        <v>25.526366250000006</v>
      </c>
      <c r="R92" s="52" cm="1">
        <f t="array" ref="R92">MMS_Swine_AtmosphericDeposition_Equations.VEERG_4_5_1_5__2_TotalNitrogenVolatilisedFromMMS(R45,_xlfn.XLOOKUP($O92,$D$62:$D$68,$E$62:$E$68))</f>
        <v>23.963527499999994</v>
      </c>
      <c r="S92" s="52" cm="1">
        <f t="array" ref="S92">MMS_Swine_AtmosphericDeposition_Equations.VEERG_4_5_1_5__2_TotalNitrogenVolatilisedFromMMS(S45,_xlfn.XLOOKUP($O92,$D$62:$D$68,$E$62:$E$68))</f>
        <v>16.253522999999998</v>
      </c>
      <c r="T92" s="2"/>
    </row>
    <row r="93" spans="4:20" ht="20.100000000000001" customHeight="1" x14ac:dyDescent="0.25">
      <c r="D93" s="57"/>
      <c r="E93" s="57" t="str">
        <f>'Input - Swine'!$D$71</f>
        <v>Digester / covered lagoons</v>
      </c>
      <c r="F93" s="52" cm="1">
        <f t="array" ref="F93">MMS_Swine_AtmosphericDeposition_Equations.VEERG_4_5_1_5__2_TotalNitrogenVolatilisedFromMMS(F46,_xlfn.XLOOKUP($E93,$D$62:$D$68,$E$62:$E$68))</f>
        <v>0</v>
      </c>
      <c r="G93" s="52" cm="1">
        <f t="array" ref="G93">MMS_Swine_AtmosphericDeposition_Equations.VEERG_4_5_1_5__2_TotalNitrogenVolatilisedFromMMS(G46,_xlfn.XLOOKUP($E93,$D$62:$D$68,$E$62:$E$68))</f>
        <v>0</v>
      </c>
      <c r="H93" s="52" cm="1">
        <f t="array" ref="H93">MMS_Swine_AtmosphericDeposition_Equations.VEERG_4_5_1_5__2_TotalNitrogenVolatilisedFromMMS(H46,_xlfn.XLOOKUP($E93,$D$62:$D$68,$E$62:$E$68))</f>
        <v>0</v>
      </c>
      <c r="I93" s="52" cm="1">
        <f t="array" ref="I93">MMS_Swine_AtmosphericDeposition_Equations.VEERG_4_5_1_5__2_TotalNitrogenVolatilisedFromMMS(I46,_xlfn.XLOOKUP($E93,$D$62:$D$68,$E$62:$E$68))</f>
        <v>0</v>
      </c>
      <c r="J93" s="2"/>
      <c r="N93" s="57"/>
      <c r="O93" s="57" t="str">
        <f>'Input - Swine'!$D$71</f>
        <v>Digester / covered lagoons</v>
      </c>
      <c r="P93" s="52" cm="1">
        <f t="array" ref="P93">MMS_Swine_AtmosphericDeposition_Equations.VEERG_4_5_1_5__2_TotalNitrogenVolatilisedFromMMS(P46,_xlfn.XLOOKUP($O93,$D$62:$D$68,$E$62:$E$68))</f>
        <v>0</v>
      </c>
      <c r="Q93" s="52" cm="1">
        <f t="array" ref="Q93">MMS_Swine_AtmosphericDeposition_Equations.VEERG_4_5_1_5__2_TotalNitrogenVolatilisedFromMMS(Q46,_xlfn.XLOOKUP($O93,$D$62:$D$68,$E$62:$E$68))</f>
        <v>0</v>
      </c>
      <c r="R93" s="52" cm="1">
        <f t="array" ref="R93">MMS_Swine_AtmosphericDeposition_Equations.VEERG_4_5_1_5__2_TotalNitrogenVolatilisedFromMMS(R46,_xlfn.XLOOKUP($O93,$D$62:$D$68,$E$62:$E$68))</f>
        <v>0</v>
      </c>
      <c r="S93" s="52" cm="1">
        <f t="array" ref="S93">MMS_Swine_AtmosphericDeposition_Equations.VEERG_4_5_1_5__2_TotalNitrogenVolatilisedFromMMS(S46,_xlfn.XLOOKUP($O93,$D$62:$D$68,$E$62:$E$68))</f>
        <v>0</v>
      </c>
      <c r="T93" s="2"/>
    </row>
    <row r="94" spans="4:20" ht="20.100000000000001" customHeight="1" x14ac:dyDescent="0.25">
      <c r="D94" s="57"/>
      <c r="E94" s="57" t="str">
        <f>'Input - Swine'!$D$72</f>
        <v>Pit storage</v>
      </c>
      <c r="F94" s="52" cm="1">
        <f t="array" ref="F94">MMS_Swine_AtmosphericDeposition_Equations.VEERG_4_5_1_5__2_TotalNitrogenVolatilisedFromMMS(F47,_xlfn.XLOOKUP($E94,$D$62:$D$68,$E$62:$E$68))</f>
        <v>8.7140099999999983</v>
      </c>
      <c r="G94" s="52" cm="1">
        <f t="array" ref="G94">MMS_Swine_AtmosphericDeposition_Equations.VEERG_4_5_1_5__2_TotalNitrogenVolatilisedFromMMS(G47,_xlfn.XLOOKUP($E94,$D$62:$D$68,$E$62:$E$68))</f>
        <v>11.602893750000002</v>
      </c>
      <c r="H94" s="52" cm="1">
        <f t="array" ref="H94">MMS_Swine_AtmosphericDeposition_Equations.VEERG_4_5_1_5__2_TotalNitrogenVolatilisedFromMMS(H47,_xlfn.XLOOKUP($E94,$D$62:$D$68,$E$62:$E$68))</f>
        <v>10.892512499999997</v>
      </c>
      <c r="I94" s="52" cm="1">
        <f t="array" ref="I94">MMS_Swine_AtmosphericDeposition_Equations.VEERG_4_5_1_5__2_TotalNitrogenVolatilisedFromMMS(I47,_xlfn.XLOOKUP($E94,$D$62:$D$68,$E$62:$E$68))</f>
        <v>7.3879649999999986</v>
      </c>
      <c r="J94" s="2"/>
      <c r="N94" s="57"/>
      <c r="O94" s="57" t="str">
        <f>'Input - Swine'!$D$72</f>
        <v>Pit storage</v>
      </c>
      <c r="P94" s="52" cm="1">
        <f t="array" ref="P94">MMS_Swine_AtmosphericDeposition_Equations.VEERG_4_5_1_5__2_TotalNitrogenVolatilisedFromMMS(P47,_xlfn.XLOOKUP($O94,$D$62:$D$68,$E$62:$E$68))</f>
        <v>8.7140099999999983</v>
      </c>
      <c r="Q94" s="52" cm="1">
        <f t="array" ref="Q94">MMS_Swine_AtmosphericDeposition_Equations.VEERG_4_5_1_5__2_TotalNitrogenVolatilisedFromMMS(Q47,_xlfn.XLOOKUP($O94,$D$62:$D$68,$E$62:$E$68))</f>
        <v>11.602893750000002</v>
      </c>
      <c r="R94" s="52" cm="1">
        <f t="array" ref="R94">MMS_Swine_AtmosphericDeposition_Equations.VEERG_4_5_1_5__2_TotalNitrogenVolatilisedFromMMS(R47,_xlfn.XLOOKUP($O94,$D$62:$D$68,$E$62:$E$68))</f>
        <v>10.892512499999997</v>
      </c>
      <c r="S94" s="52" cm="1">
        <f t="array" ref="S94">MMS_Swine_AtmosphericDeposition_Equations.VEERG_4_5_1_5__2_TotalNitrogenVolatilisedFromMMS(S47,_xlfn.XLOOKUP($O94,$D$62:$D$68,$E$62:$E$68))</f>
        <v>7.3879649999999986</v>
      </c>
      <c r="T94" s="2"/>
    </row>
    <row r="95" spans="4:20" ht="20.100000000000001" customHeight="1" x14ac:dyDescent="0.25">
      <c r="D95" s="57"/>
      <c r="E95" s="57" t="str">
        <f>'Input - Swine'!$D$73</f>
        <v>Direct application</v>
      </c>
      <c r="F95" s="52" t="s">
        <v>172</v>
      </c>
      <c r="G95" s="52" t="s">
        <v>172</v>
      </c>
      <c r="H95" s="52" t="s">
        <v>172</v>
      </c>
      <c r="I95" s="52" t="s">
        <v>172</v>
      </c>
      <c r="N95" s="57"/>
      <c r="O95" s="57" t="str">
        <f>'Input - Swine'!$D$73</f>
        <v>Direct application</v>
      </c>
      <c r="P95" s="52" t="s">
        <v>172</v>
      </c>
      <c r="Q95" s="52" t="s">
        <v>172</v>
      </c>
      <c r="R95" s="52" t="s">
        <v>172</v>
      </c>
      <c r="S95" s="52" t="s">
        <v>172</v>
      </c>
      <c r="T95" s="2"/>
    </row>
    <row r="96" spans="4:20" ht="20.100000000000001" customHeight="1" x14ac:dyDescent="0.25">
      <c r="D96" s="57" t="str">
        <f>'Input - Swine'!$D$33</f>
        <v>Pit storage</v>
      </c>
      <c r="E96" s="57" t="str">
        <f>'Input - Swine'!$D$77</f>
        <v>Anaerobic lagoon</v>
      </c>
      <c r="F96" s="52" cm="1">
        <f t="array" ref="F96">MMS_Swine_AtmosphericDeposition_Equations.VEERG_4_5_1_5__2_TotalNitrogenVolatilisedFromMMS(F49,_xlfn.XLOOKUP($E96,$D$62:$D$68,$E$62:$E$68))</f>
        <v>16.577774399999999</v>
      </c>
      <c r="G96" s="52" cm="1">
        <f t="array" ref="G96">MMS_Swine_AtmosphericDeposition_Equations.VEERG_4_5_1_5__2_TotalNitrogenVolatilisedFromMMS(G49,_xlfn.XLOOKUP($E96,$D$62:$D$68,$E$62:$E$68))</f>
        <v>22.073667000000004</v>
      </c>
      <c r="H96" s="52" cm="1">
        <f t="array" ref="H96">MMS_Swine_AtmosphericDeposition_Equations.VEERG_4_5_1_5__2_TotalNitrogenVolatilisedFromMMS(H49,_xlfn.XLOOKUP($E96,$D$62:$D$68,$E$62:$E$68))</f>
        <v>20.722217999999998</v>
      </c>
      <c r="I96" s="52" cm="1">
        <f t="array" ref="I96">MMS_Swine_AtmosphericDeposition_Equations.VEERG_4_5_1_5__2_TotalNitrogenVolatilisedFromMMS(I49,_xlfn.XLOOKUP($E96,$D$62:$D$68,$E$62:$E$68))</f>
        <v>14.055069599999999</v>
      </c>
      <c r="J96" s="2"/>
      <c r="N96" s="57" t="str">
        <f>'Input - Swine'!$D$33</f>
        <v>Pit storage</v>
      </c>
      <c r="O96" s="57" t="str">
        <f>'Input - Swine'!$D$77</f>
        <v>Anaerobic lagoon</v>
      </c>
      <c r="P96" s="52" cm="1">
        <f t="array" ref="P96">MMS_Swine_AtmosphericDeposition_Equations.VEERG_4_5_1_5__2_TotalNitrogenVolatilisedFromMMS(P49,_xlfn.XLOOKUP($O96,$D$62:$D$68,$E$62:$E$68))</f>
        <v>16.577774399999999</v>
      </c>
      <c r="Q96" s="52" cm="1">
        <f t="array" ref="Q96">MMS_Swine_AtmosphericDeposition_Equations.VEERG_4_5_1_5__2_TotalNitrogenVolatilisedFromMMS(Q49,_xlfn.XLOOKUP($O96,$D$62:$D$68,$E$62:$E$68))</f>
        <v>22.073667000000004</v>
      </c>
      <c r="R96" s="52" cm="1">
        <f t="array" ref="R96">MMS_Swine_AtmosphericDeposition_Equations.VEERG_4_5_1_5__2_TotalNitrogenVolatilisedFromMMS(R49,_xlfn.XLOOKUP($O96,$D$62:$D$68,$E$62:$E$68))</f>
        <v>20.722217999999998</v>
      </c>
      <c r="S96" s="52" cm="1">
        <f t="array" ref="S96">MMS_Swine_AtmosphericDeposition_Equations.VEERG_4_5_1_5__2_TotalNitrogenVolatilisedFromMMS(S49,_xlfn.XLOOKUP($O96,$D$62:$D$68,$E$62:$E$68))</f>
        <v>14.055069599999999</v>
      </c>
      <c r="T96" s="2"/>
    </row>
    <row r="97" spans="1:21" ht="20.100000000000001" customHeight="1" x14ac:dyDescent="0.25">
      <c r="D97" s="57"/>
      <c r="E97" s="57" t="str">
        <f>'Input - Swine'!$D$78</f>
        <v>Digester / covered lagoons</v>
      </c>
      <c r="F97" s="52" cm="1">
        <f t="array" ref="F97">MMS_Swine_AtmosphericDeposition_Equations.VEERG_4_5_1_5__2_TotalNitrogenVolatilisedFromMMS(F50,_xlfn.XLOOKUP($E97,$D$62:$D$68,$E$62:$E$68))</f>
        <v>0</v>
      </c>
      <c r="G97" s="52" cm="1">
        <f t="array" ref="G97">MMS_Swine_AtmosphericDeposition_Equations.VEERG_4_5_1_5__2_TotalNitrogenVolatilisedFromMMS(G50,_xlfn.XLOOKUP($E97,$D$62:$D$68,$E$62:$E$68))</f>
        <v>0</v>
      </c>
      <c r="H97" s="52" cm="1">
        <f t="array" ref="H97">MMS_Swine_AtmosphericDeposition_Equations.VEERG_4_5_1_5__2_TotalNitrogenVolatilisedFromMMS(H50,_xlfn.XLOOKUP($E97,$D$62:$D$68,$E$62:$E$68))</f>
        <v>0</v>
      </c>
      <c r="I97" s="52" cm="1">
        <f t="array" ref="I97">MMS_Swine_AtmosphericDeposition_Equations.VEERG_4_5_1_5__2_TotalNitrogenVolatilisedFromMMS(I50,_xlfn.XLOOKUP($E97,$D$62:$D$68,$E$62:$E$68))</f>
        <v>0</v>
      </c>
      <c r="J97" s="2"/>
      <c r="N97" s="57"/>
      <c r="O97" s="57" t="str">
        <f>'Input - Swine'!$D$78</f>
        <v>Digester / covered lagoons</v>
      </c>
      <c r="P97" s="52" cm="1">
        <f t="array" ref="P97">MMS_Swine_AtmosphericDeposition_Equations.VEERG_4_5_1_5__2_TotalNitrogenVolatilisedFromMMS(P50,_xlfn.XLOOKUP($O97,$D$62:$D$68,$E$62:$E$68))</f>
        <v>0</v>
      </c>
      <c r="Q97" s="52" cm="1">
        <f t="array" ref="Q97">MMS_Swine_AtmosphericDeposition_Equations.VEERG_4_5_1_5__2_TotalNitrogenVolatilisedFromMMS(Q50,_xlfn.XLOOKUP($O97,$D$62:$D$68,$E$62:$E$68))</f>
        <v>0</v>
      </c>
      <c r="R97" s="52" cm="1">
        <f t="array" ref="R97">MMS_Swine_AtmosphericDeposition_Equations.VEERG_4_5_1_5__2_TotalNitrogenVolatilisedFromMMS(R50,_xlfn.XLOOKUP($O97,$D$62:$D$68,$E$62:$E$68))</f>
        <v>0</v>
      </c>
      <c r="S97" s="52" cm="1">
        <f t="array" ref="S97">MMS_Swine_AtmosphericDeposition_Equations.VEERG_4_5_1_5__2_TotalNitrogenVolatilisedFromMMS(S50,_xlfn.XLOOKUP($O97,$D$62:$D$68,$E$62:$E$68))</f>
        <v>0</v>
      </c>
      <c r="T97" s="2"/>
    </row>
    <row r="98" spans="1:21" ht="20.100000000000001" customHeight="1" x14ac:dyDescent="0.25">
      <c r="D98" s="57"/>
      <c r="E98" s="57" t="str">
        <f>'Input - Swine'!$D$79</f>
        <v>Deep litter</v>
      </c>
      <c r="F98" s="52" cm="1">
        <f t="array" ref="F98">MMS_Swine_AtmosphericDeposition_Equations.VEERG_4_5_1_5__2_TotalNitrogenVolatilisedFromMMS(F51,_xlfn.XLOOKUP($E98,$D$62:$D$68,$E$62:$E$68))</f>
        <v>3.7676759999999998</v>
      </c>
      <c r="G98" s="52" cm="1">
        <f t="array" ref="G98">MMS_Swine_AtmosphericDeposition_Equations.VEERG_4_5_1_5__2_TotalNitrogenVolatilisedFromMMS(G51,_xlfn.XLOOKUP($E98,$D$62:$D$68,$E$62:$E$68))</f>
        <v>5.0167425000000003</v>
      </c>
      <c r="H98" s="52" cm="1">
        <f t="array" ref="H98">MMS_Swine_AtmosphericDeposition_Equations.VEERG_4_5_1_5__2_TotalNitrogenVolatilisedFromMMS(H51,_xlfn.XLOOKUP($E98,$D$62:$D$68,$E$62:$E$68))</f>
        <v>4.7095949999999993</v>
      </c>
      <c r="I98" s="52" cm="1">
        <f t="array" ref="I98">MMS_Swine_AtmosphericDeposition_Equations.VEERG_4_5_1_5__2_TotalNitrogenVolatilisedFromMMS(I51,_xlfn.XLOOKUP($E98,$D$62:$D$68,$E$62:$E$68))</f>
        <v>3.1943339999999996</v>
      </c>
      <c r="J98" s="2"/>
      <c r="N98" s="57"/>
      <c r="O98" s="57" t="str">
        <f>'Input - Swine'!$D$79</f>
        <v>Deep litter</v>
      </c>
      <c r="P98" s="52" cm="1">
        <f t="array" ref="P98">MMS_Swine_AtmosphericDeposition_Equations.VEERG_4_5_1_5__2_TotalNitrogenVolatilisedFromMMS(P51,_xlfn.XLOOKUP($O98,$D$62:$D$68,$E$62:$E$68))</f>
        <v>3.7676759999999998</v>
      </c>
      <c r="Q98" s="52" cm="1">
        <f t="array" ref="Q98">MMS_Swine_AtmosphericDeposition_Equations.VEERG_4_5_1_5__2_TotalNitrogenVolatilisedFromMMS(Q51,_xlfn.XLOOKUP($O98,$D$62:$D$68,$E$62:$E$68))</f>
        <v>5.0167425000000003</v>
      </c>
      <c r="R98" s="52" cm="1">
        <f t="array" ref="R98">MMS_Swine_AtmosphericDeposition_Equations.VEERG_4_5_1_5__2_TotalNitrogenVolatilisedFromMMS(R51,_xlfn.XLOOKUP($O98,$D$62:$D$68,$E$62:$E$68))</f>
        <v>4.7095949999999993</v>
      </c>
      <c r="S98" s="52" cm="1">
        <f t="array" ref="S98">MMS_Swine_AtmosphericDeposition_Equations.VEERG_4_5_1_5__2_TotalNitrogenVolatilisedFromMMS(S51,_xlfn.XLOOKUP($O98,$D$62:$D$68,$E$62:$E$68))</f>
        <v>3.1943339999999996</v>
      </c>
      <c r="T98" s="2"/>
    </row>
    <row r="99" spans="1:21" ht="20.100000000000001" customHeight="1" x14ac:dyDescent="0.25">
      <c r="D99" s="57"/>
      <c r="E99" s="57" t="str">
        <f>'Input - Swine'!$D$80</f>
        <v>Direct application</v>
      </c>
      <c r="F99" s="52" t="s">
        <v>172</v>
      </c>
      <c r="G99" s="52" t="s">
        <v>172</v>
      </c>
      <c r="H99" s="52" t="s">
        <v>172</v>
      </c>
      <c r="I99" s="52" t="s">
        <v>172</v>
      </c>
      <c r="N99" s="57"/>
      <c r="O99" s="57" t="str">
        <f>'Input - Swine'!$D$80</f>
        <v>Direct application</v>
      </c>
      <c r="P99" s="52" t="s">
        <v>172</v>
      </c>
      <c r="Q99" s="52" t="s">
        <v>172</v>
      </c>
      <c r="R99" s="52" t="s">
        <v>172</v>
      </c>
      <c r="S99" s="52" t="s">
        <v>172</v>
      </c>
      <c r="T99" s="2"/>
    </row>
    <row r="100" spans="1:21" ht="20.100000000000001" customHeight="1" x14ac:dyDescent="0.25">
      <c r="D100" s="57" t="str">
        <f>'Input - Swine'!$D$34</f>
        <v>Solid storage</v>
      </c>
      <c r="E100" s="57" t="str">
        <f>'Input - Swine'!$D$84</f>
        <v>Anaerobic lagoon</v>
      </c>
      <c r="F100" s="52" cm="1">
        <f t="array" ref="F100">MMS_Swine_AtmosphericDeposition_Equations.VEERG_4_5_1_5__2_TotalNitrogenVolatilisedFromMMS(F53,_xlfn.XLOOKUP($E100,$D$62:$D$68,$E$62:$E$68))</f>
        <v>58.731420000000021</v>
      </c>
      <c r="G100" s="52" cm="1">
        <f t="array" ref="G100">MMS_Swine_AtmosphericDeposition_Equations.VEERG_4_5_1_5__2_TotalNitrogenVolatilisedFromMMS(G53,_xlfn.XLOOKUP($E100,$D$62:$D$68,$E$62:$E$68))</f>
        <v>62.56173000000004</v>
      </c>
      <c r="H100" s="52" cm="1">
        <f t="array" ref="H100">MMS_Swine_AtmosphericDeposition_Equations.VEERG_4_5_1_5__2_TotalNitrogenVolatilisedFromMMS(H53,_xlfn.XLOOKUP($E100,$D$62:$D$68,$E$62:$E$68))</f>
        <v>58.731420000000021</v>
      </c>
      <c r="I100" s="52" cm="1">
        <f t="array" ref="I100">MMS_Swine_AtmosphericDeposition_Equations.VEERG_4_5_1_5__2_TotalNitrogenVolatilisedFromMMS(I53,_xlfn.XLOOKUP($E100,$D$62:$D$68,$E$62:$E$68))</f>
        <v>39.835224000000025</v>
      </c>
      <c r="J100" s="2"/>
      <c r="N100" s="57" t="str">
        <f>'Input - Swine'!$D$34</f>
        <v>Solid storage</v>
      </c>
      <c r="O100" s="57" t="str">
        <f>'Input - Swine'!$D$84</f>
        <v>Anaerobic lagoon</v>
      </c>
      <c r="P100" s="52" cm="1">
        <f t="array" ref="P100">MMS_Swine_AtmosphericDeposition_Equations.VEERG_4_5_1_5__2_TotalNitrogenVolatilisedFromMMS(P53,_xlfn.XLOOKUP($O100,$D$62:$D$68,$E$62:$E$68))</f>
        <v>58.731420000000021</v>
      </c>
      <c r="Q100" s="52" cm="1">
        <f t="array" ref="Q100">MMS_Swine_AtmosphericDeposition_Equations.VEERG_4_5_1_5__2_TotalNitrogenVolatilisedFromMMS(Q53,_xlfn.XLOOKUP($O100,$D$62:$D$68,$E$62:$E$68))</f>
        <v>62.56173000000004</v>
      </c>
      <c r="R100" s="52" cm="1">
        <f t="array" ref="R100">MMS_Swine_AtmosphericDeposition_Equations.VEERG_4_5_1_5__2_TotalNitrogenVolatilisedFromMMS(R53,_xlfn.XLOOKUP($O100,$D$62:$D$68,$E$62:$E$68))</f>
        <v>58.731420000000021</v>
      </c>
      <c r="S100" s="52" cm="1">
        <f t="array" ref="S100">MMS_Swine_AtmosphericDeposition_Equations.VEERG_4_5_1_5__2_TotalNitrogenVolatilisedFromMMS(S53,_xlfn.XLOOKUP($O100,$D$62:$D$68,$E$62:$E$68))</f>
        <v>39.835224000000025</v>
      </c>
      <c r="T100" s="2"/>
    </row>
    <row r="101" spans="1:21" ht="20.100000000000001" customHeight="1" x14ac:dyDescent="0.25">
      <c r="D101" s="57"/>
      <c r="E101" s="57" t="str">
        <f>'Input - Swine'!$D$85</f>
        <v>Digester / covered lagoons</v>
      </c>
      <c r="F101" s="52" cm="1">
        <f t="array" ref="F101">MMS_Swine_AtmosphericDeposition_Equations.VEERG_4_5_1_5__2_TotalNitrogenVolatilisedFromMMS(F54,_xlfn.XLOOKUP($E101,$D$62:$D$68,$E$62:$E$68))</f>
        <v>0</v>
      </c>
      <c r="G101" s="52" cm="1">
        <f t="array" ref="G101">MMS_Swine_AtmosphericDeposition_Equations.VEERG_4_5_1_5__2_TotalNitrogenVolatilisedFromMMS(G54,_xlfn.XLOOKUP($E101,$D$62:$D$68,$E$62:$E$68))</f>
        <v>0</v>
      </c>
      <c r="H101" s="52" cm="1">
        <f t="array" ref="H101">MMS_Swine_AtmosphericDeposition_Equations.VEERG_4_5_1_5__2_TotalNitrogenVolatilisedFromMMS(H54,_xlfn.XLOOKUP($E101,$D$62:$D$68,$E$62:$E$68))</f>
        <v>0</v>
      </c>
      <c r="I101" s="52" cm="1">
        <f t="array" ref="I101">MMS_Swine_AtmosphericDeposition_Equations.VEERG_4_5_1_5__2_TotalNitrogenVolatilisedFromMMS(I54,_xlfn.XLOOKUP($E101,$D$62:$D$68,$E$62:$E$68))</f>
        <v>0</v>
      </c>
      <c r="J101" s="2"/>
      <c r="N101" s="57"/>
      <c r="O101" s="57" t="str">
        <f>'Input - Swine'!$D$85</f>
        <v>Digester / covered lagoons</v>
      </c>
      <c r="P101" s="52" cm="1">
        <f t="array" ref="P101">MMS_Swine_AtmosphericDeposition_Equations.VEERG_4_5_1_5__2_TotalNitrogenVolatilisedFromMMS(P54,_xlfn.XLOOKUP($O101,$D$62:$D$68,$E$62:$E$68))</f>
        <v>0</v>
      </c>
      <c r="Q101" s="52" cm="1">
        <f t="array" ref="Q101">MMS_Swine_AtmosphericDeposition_Equations.VEERG_4_5_1_5__2_TotalNitrogenVolatilisedFromMMS(Q54,_xlfn.XLOOKUP($O101,$D$62:$D$68,$E$62:$E$68))</f>
        <v>0</v>
      </c>
      <c r="R101" s="52" cm="1">
        <f t="array" ref="R101">MMS_Swine_AtmosphericDeposition_Equations.VEERG_4_5_1_5__2_TotalNitrogenVolatilisedFromMMS(R54,_xlfn.XLOOKUP($O101,$D$62:$D$68,$E$62:$E$68))</f>
        <v>0</v>
      </c>
      <c r="S101" s="52" cm="1">
        <f t="array" ref="S101">MMS_Swine_AtmosphericDeposition_Equations.VEERG_4_5_1_5__2_TotalNitrogenVolatilisedFromMMS(S54,_xlfn.XLOOKUP($O101,$D$62:$D$68,$E$62:$E$68))</f>
        <v>0</v>
      </c>
      <c r="T101" s="2"/>
    </row>
    <row r="102" spans="1:21" ht="20.100000000000001" customHeight="1" x14ac:dyDescent="0.25">
      <c r="D102" s="57"/>
      <c r="E102" s="57" t="str">
        <f>'Input - Swine'!$D$86</f>
        <v>Deep litter</v>
      </c>
      <c r="F102" s="52" cm="1">
        <f t="array" ref="F102">MMS_Swine_AtmosphericDeposition_Equations.VEERG_4_5_1_5__2_TotalNitrogenVolatilisedFromMMS(F55,_xlfn.XLOOKUP($E102,$D$62:$D$68,$E$62:$E$68))</f>
        <v>13.348050000000004</v>
      </c>
      <c r="G102" s="52" cm="1">
        <f t="array" ref="G102">MMS_Swine_AtmosphericDeposition_Equations.VEERG_4_5_1_5__2_TotalNitrogenVolatilisedFromMMS(G55,_xlfn.XLOOKUP($E102,$D$62:$D$68,$E$62:$E$68))</f>
        <v>14.218575000000008</v>
      </c>
      <c r="H102" s="52" cm="1">
        <f t="array" ref="H102">MMS_Swine_AtmosphericDeposition_Equations.VEERG_4_5_1_5__2_TotalNitrogenVolatilisedFromMMS(H55,_xlfn.XLOOKUP($E102,$D$62:$D$68,$E$62:$E$68))</f>
        <v>13.348050000000004</v>
      </c>
      <c r="I102" s="52" cm="1">
        <f t="array" ref="I102">MMS_Swine_AtmosphericDeposition_Equations.VEERG_4_5_1_5__2_TotalNitrogenVolatilisedFromMMS(I55,_xlfn.XLOOKUP($E102,$D$62:$D$68,$E$62:$E$68))</f>
        <v>9.0534600000000047</v>
      </c>
      <c r="J102" s="2"/>
      <c r="N102" s="57"/>
      <c r="O102" s="57" t="str">
        <f>'Input - Swine'!$D$86</f>
        <v>Deep litter</v>
      </c>
      <c r="P102" s="52" cm="1">
        <f t="array" ref="P102">MMS_Swine_AtmosphericDeposition_Equations.VEERG_4_5_1_5__2_TotalNitrogenVolatilisedFromMMS(P55,_xlfn.XLOOKUP($O102,$D$62:$D$68,$E$62:$E$68))</f>
        <v>13.348050000000004</v>
      </c>
      <c r="Q102" s="52" cm="1">
        <f t="array" ref="Q102">MMS_Swine_AtmosphericDeposition_Equations.VEERG_4_5_1_5__2_TotalNitrogenVolatilisedFromMMS(Q55,_xlfn.XLOOKUP($O102,$D$62:$D$68,$E$62:$E$68))</f>
        <v>14.218575000000008</v>
      </c>
      <c r="R102" s="52" cm="1">
        <f t="array" ref="R102">MMS_Swine_AtmosphericDeposition_Equations.VEERG_4_5_1_5__2_TotalNitrogenVolatilisedFromMMS(R55,_xlfn.XLOOKUP($O102,$D$62:$D$68,$E$62:$E$68))</f>
        <v>13.348050000000004</v>
      </c>
      <c r="S102" s="52" cm="1">
        <f t="array" ref="S102">MMS_Swine_AtmosphericDeposition_Equations.VEERG_4_5_1_5__2_TotalNitrogenVolatilisedFromMMS(S55,_xlfn.XLOOKUP($O102,$D$62:$D$68,$E$62:$E$68))</f>
        <v>9.0534600000000047</v>
      </c>
      <c r="T102" s="2"/>
    </row>
    <row r="103" spans="1:21" ht="20.100000000000001" customHeight="1" x14ac:dyDescent="0.25">
      <c r="D103" s="57"/>
      <c r="E103" s="57" t="str">
        <f>'Input - Swine'!$D$87</f>
        <v>Pit storage</v>
      </c>
      <c r="F103" s="52" cm="1">
        <f t="array" ref="F103">MMS_Swine_AtmosphericDeposition_Equations.VEERG_4_5_1_5__2_TotalNitrogenVolatilisedFromMMS(F56,_xlfn.XLOOKUP($E103,$D$62:$D$68,$E$62:$E$68))</f>
        <v>13.348050000000004</v>
      </c>
      <c r="G103" s="52" cm="1">
        <f t="array" ref="G103">MMS_Swine_AtmosphericDeposition_Equations.VEERG_4_5_1_5__2_TotalNitrogenVolatilisedFromMMS(G56,_xlfn.XLOOKUP($E103,$D$62:$D$68,$E$62:$E$68))</f>
        <v>14.218575000000008</v>
      </c>
      <c r="H103" s="52" cm="1">
        <f t="array" ref="H103">MMS_Swine_AtmosphericDeposition_Equations.VEERG_4_5_1_5__2_TotalNitrogenVolatilisedFromMMS(H56,_xlfn.XLOOKUP($E103,$D$62:$D$68,$E$62:$E$68))</f>
        <v>13.348050000000004</v>
      </c>
      <c r="I103" s="52" cm="1">
        <f t="array" ref="I103">MMS_Swine_AtmosphericDeposition_Equations.VEERG_4_5_1_5__2_TotalNitrogenVolatilisedFromMMS(I56,_xlfn.XLOOKUP($E103,$D$62:$D$68,$E$62:$E$68))</f>
        <v>9.0534600000000047</v>
      </c>
      <c r="J103" s="2"/>
      <c r="N103" s="57"/>
      <c r="O103" s="57" t="str">
        <f>'Input - Swine'!$D$87</f>
        <v>Pit storage</v>
      </c>
      <c r="P103" s="52" cm="1">
        <f t="array" ref="P103">MMS_Swine_AtmosphericDeposition_Equations.VEERG_4_5_1_5__2_TotalNitrogenVolatilisedFromMMS(P56,_xlfn.XLOOKUP($O103,$D$62:$D$68,$E$62:$E$68))</f>
        <v>13.348050000000004</v>
      </c>
      <c r="Q103" s="52" cm="1">
        <f t="array" ref="Q103">MMS_Swine_AtmosphericDeposition_Equations.VEERG_4_5_1_5__2_TotalNitrogenVolatilisedFromMMS(Q56,_xlfn.XLOOKUP($O103,$D$62:$D$68,$E$62:$E$68))</f>
        <v>14.218575000000008</v>
      </c>
      <c r="R103" s="52" cm="1">
        <f t="array" ref="R103">MMS_Swine_AtmosphericDeposition_Equations.VEERG_4_5_1_5__2_TotalNitrogenVolatilisedFromMMS(R56,_xlfn.XLOOKUP($O103,$D$62:$D$68,$E$62:$E$68))</f>
        <v>13.348050000000004</v>
      </c>
      <c r="S103" s="52" cm="1">
        <f t="array" ref="S103">MMS_Swine_AtmosphericDeposition_Equations.VEERG_4_5_1_5__2_TotalNitrogenVolatilisedFromMMS(S56,_xlfn.XLOOKUP($O103,$D$62:$D$68,$E$62:$E$68))</f>
        <v>9.0534600000000047</v>
      </c>
      <c r="T103" s="2"/>
    </row>
    <row r="104" spans="1:21" ht="20.100000000000001" customHeight="1" x14ac:dyDescent="0.25">
      <c r="D104" s="57"/>
      <c r="E104" s="57" t="str">
        <f>'Input - Swine'!$D$88</f>
        <v>Direct application</v>
      </c>
      <c r="F104" s="52" t="s">
        <v>172</v>
      </c>
      <c r="G104" s="52" t="s">
        <v>172</v>
      </c>
      <c r="H104" s="52" t="s">
        <v>172</v>
      </c>
      <c r="I104" s="52" t="s">
        <v>172</v>
      </c>
      <c r="N104" s="57"/>
      <c r="O104" s="57" t="str">
        <f>'Input - Swine'!$D$88</f>
        <v>Direct application</v>
      </c>
      <c r="P104" s="52" t="s">
        <v>172</v>
      </c>
      <c r="Q104" s="52" t="s">
        <v>172</v>
      </c>
      <c r="R104" s="52" t="s">
        <v>172</v>
      </c>
      <c r="S104" s="52" t="s">
        <v>172</v>
      </c>
      <c r="T104" s="2"/>
    </row>
    <row r="105" spans="1:21" ht="20.100000000000001" customHeight="1" x14ac:dyDescent="0.25"/>
    <row r="106" spans="1:21" ht="20.100000000000001" customHeight="1" x14ac:dyDescent="0.25">
      <c r="D106" s="113" t="s">
        <v>265</v>
      </c>
      <c r="E106" s="45">
        <f>SUM(F73:I104)</f>
        <v>2267.6728942500004</v>
      </c>
      <c r="F106" s="105" t="str">
        <f>$E$11</f>
        <v>kg N</v>
      </c>
      <c r="N106" s="113" t="s">
        <v>265</v>
      </c>
      <c r="O106" s="45">
        <f>SUM(P73:S104)</f>
        <v>2267.6728942500004</v>
      </c>
      <c r="P106" s="105" t="str">
        <f>$E$11</f>
        <v>kg N</v>
      </c>
    </row>
    <row r="107" spans="1:21" ht="20.100000000000001" customHeight="1" x14ac:dyDescent="0.25"/>
    <row r="108" spans="1:21" ht="20.100000000000001" customHeight="1" x14ac:dyDescent="0.25">
      <c r="A108" s="150" t="str">
        <f>HYPERLINK("#A1", "▲ Back to top")</f>
        <v>▲ Back to top</v>
      </c>
    </row>
    <row r="109" spans="1:21" ht="20.100000000000001" customHeight="1" x14ac:dyDescent="0.25">
      <c r="C109" s="45"/>
      <c r="D109" s="45"/>
      <c r="E109" s="45"/>
      <c r="F109" s="45"/>
      <c r="G109" s="45"/>
      <c r="H109" s="45"/>
      <c r="I109" s="45"/>
      <c r="J109" s="45"/>
      <c r="K109" s="45"/>
      <c r="N109" s="45"/>
      <c r="O109" s="45"/>
      <c r="P109" s="45"/>
      <c r="Q109" s="45"/>
      <c r="R109" s="45"/>
      <c r="S109" s="45"/>
      <c r="T109" s="45"/>
      <c r="U109" s="45"/>
    </row>
    <row r="110" spans="1:21" ht="20.100000000000001" customHeight="1" x14ac:dyDescent="0.25">
      <c r="D110" s="6" t="str" cm="1">
        <f t="array" ref="D110">MMS_Swine_AtmosphericDeposition_Equations.VEERG_4_5_1_5__1_AnnualAtmosphericDepositionEmissionsFromMMS_Title()</f>
        <v>Annual atmospheric deposition emissions from MMS</v>
      </c>
      <c r="N110" s="6" t="str" cm="1">
        <f t="array" ref="N110">MMS_Swine_AtmosphericDeposition_Equations.VEERG_4_5_1_5__1_AnnualAtmosphericDepositionEmissionsFromMMS_Title()</f>
        <v>Annual atmospheric deposition emissions from MMS</v>
      </c>
    </row>
    <row r="111" spans="1:21" ht="20.100000000000001" customHeight="1" x14ac:dyDescent="0.25">
      <c r="D111" s="5" t="str" cm="1">
        <f t="array" ref="D111">MMS_Swine_AtmosphericDeposition_Equations.VEERG_4_5_1_5__1_AnnualAtmosphericDepositionEmissionsFromMMS_Source()</f>
        <v>VEERG 2026: 4.5.1.1, Equation (1)</v>
      </c>
      <c r="N111" s="5" t="str" cm="1">
        <f t="array" ref="N111">MMS_Swine_AtmosphericDeposition_Equations.VEERG_4_5_1_5__1_AnnualAtmosphericDepositionEmissionsFromMMS_Source()</f>
        <v>VEERG 2026: 4.5.1.1, Equation (1)</v>
      </c>
    </row>
    <row r="112" spans="1:21" ht="20.100000000000001" customHeight="1" x14ac:dyDescent="0.25">
      <c r="D112" s="13" t="s">
        <v>26</v>
      </c>
      <c r="E112" s="13" t="str" cm="1">
        <f t="array" aca="1" ref="E112" ca="1">Common_InputFunctions.Utility_DisplayFunctionName(E125)</f>
        <v>=MMS_Swine_AtmosphericDeposition_Equations.VEERG_4_5_1_5__1_AnnualAtmosphericDepositionEmissionsFromMMS</v>
      </c>
      <c r="N112" s="13" t="s">
        <v>26</v>
      </c>
      <c r="O112" s="13" t="str" cm="1">
        <f t="array" aca="1" ref="O112" ca="1">Common_InputFunctions.Utility_DisplayFunctionName(O125)</f>
        <v>=MMS_Swine_AtmosphericDeposition_Equations.VEERG_4_5_1_5__1_AnnualAtmosphericDepositionEmissionsFromMMS</v>
      </c>
    </row>
    <row r="113" spans="4:19" ht="20.100000000000001" customHeight="1" x14ac:dyDescent="0.25"/>
    <row r="114" spans="4:19" ht="20.100000000000001" customHeight="1" x14ac:dyDescent="0.25"/>
    <row r="115" spans="4:19" ht="20.100000000000001" customHeight="1" x14ac:dyDescent="0.25">
      <c r="D115" s="53" t="s">
        <v>29</v>
      </c>
      <c r="E115" s="1" t="str" cm="1">
        <f t="array" ref="E115">MMS_Swine_AtmosphericDeposition_Equations.VEERG_4_5_1_5__1_AnnualAtmosphericDepositionEmissionsFromMMS_Variable()</f>
        <v>E_N2OMMSad</v>
      </c>
      <c r="N115" s="53" t="s">
        <v>29</v>
      </c>
      <c r="O115" s="1" t="str" cm="1">
        <f t="array" ref="O115">MMS_Swine_AtmosphericDeposition_Equations.VEERG_4_5_1_5__1_AnnualAtmosphericDepositionEmissionsFromMMS_Variable()</f>
        <v>E_N2OMMSad</v>
      </c>
    </row>
    <row r="116" spans="4:19" ht="20.100000000000001" customHeight="1" x14ac:dyDescent="0.25">
      <c r="D116" s="53" t="s">
        <v>19</v>
      </c>
      <c r="E116" s="54" t="str" cm="1">
        <f t="array" ref="E116">MMS_Swine_AtmosphericDeposition_Equations.VEERG_4_5_1_5__1_AnnualAtmosphericDepositionEmissionsFromMMS_Unit()</f>
        <v>t N2O</v>
      </c>
      <c r="N116" s="53" t="s">
        <v>19</v>
      </c>
      <c r="O116" s="54" t="str" cm="1">
        <f t="array" ref="O116">MMS_Swine_AtmosphericDeposition_Equations.VEERG_4_5_1_5__1_AnnualAtmosphericDepositionEmissionsFromMMS_Unit()</f>
        <v>t N2O</v>
      </c>
    </row>
    <row r="117" spans="4:19" ht="20.100000000000001" customHeight="1" x14ac:dyDescent="0.25"/>
    <row r="118" spans="4:19" ht="20.100000000000001" customHeight="1" x14ac:dyDescent="0.25">
      <c r="D118" s="57" t="str" cm="1">
        <f t="array" ref="D118:E123">Common_InputFunctions.Utility_DisplayArguments_1_2(MMS_Swine_AtmosphericDeposition_Equations.VEERG_4_5_1_5__1_AnnualAtmosphericDepositionEmissionsFromMMS_Arguments())</f>
        <v>MMS_ATMOS</v>
      </c>
      <c r="E118" s="58" t="str">
        <v>mass of N volatilised from MMS</v>
      </c>
      <c r="F118" s="59"/>
      <c r="G118" s="144" t="str" cm="1">
        <f t="array" ref="G118:H123">Common_InputFunctions.Utility_DisplayArguments_3_4(MMS_Swine_AtmosphericDeposition_Equations.VEERG_4_5_1_5__1_AnnualAtmosphericDepositionEmissionsFromMMS_Arguments())</f>
        <v>kg N</v>
      </c>
      <c r="H118" s="139" t="str">
        <v>Calculated from 4.5.1.5 (2)</v>
      </c>
      <c r="I118" s="144">
        <f>$E$106</f>
        <v>2267.6728942500004</v>
      </c>
      <c r="N118" s="57" t="str" cm="1">
        <f t="array" ref="N118:O123">Common_InputFunctions.Utility_DisplayArguments_1_2(MMS_Swine_AtmosphericDeposition_Equations.VEERG_4_5_1_5__1_AnnualAtmosphericDepositionEmissionsFromMMS_Arguments())</f>
        <v>MMS_ATMOS</v>
      </c>
      <c r="O118" s="58" t="str">
        <v>mass of N volatilised from MMS</v>
      </c>
      <c r="P118" s="59"/>
      <c r="Q118" s="144" t="str" cm="1">
        <f t="array" ref="Q118:R123">Common_InputFunctions.Utility_DisplayArguments_3_4(MMS_Swine_AtmosphericDeposition_Equations.VEERG_4_5_1_5__1_AnnualAtmosphericDepositionEmissionsFromMMS_Arguments())</f>
        <v>kg N</v>
      </c>
      <c r="R118" s="139" t="str">
        <v>Calculated from 4.5.1.5 (2)</v>
      </c>
      <c r="S118" s="57">
        <f>$E$106</f>
        <v>2267.6728942500004</v>
      </c>
    </row>
    <row r="119" spans="4:19" ht="20.100000000000001" customHeight="1" x14ac:dyDescent="0.25">
      <c r="D119" s="57" t="str">
        <v>EF_N2O</v>
      </c>
      <c r="E119" s="58" t="str">
        <v>nitrous oxide emission factor for atmospheric deposition</v>
      </c>
      <c r="F119" s="59"/>
      <c r="G119" s="144" t="str">
        <v>kg N2O-N/kg N</v>
      </c>
      <c r="H119" s="139" t="str">
        <v>Constant</v>
      </c>
      <c r="I119" s="144">
        <f>Common_InputFunctions.Utility_LookupN2OEFFromProdIrrigationRainfall(I121,I122,I123,Table_SourceData_Common_EFN2O[Production system only],Table_SourceData_Common_EFN2O[Irrigation method],Table_SourceData_Common_EFN2O[Rainfall zone],Table_SourceData_Common_EFN2O[EFN2O])</f>
        <v>7.0000000000000001E-3</v>
      </c>
      <c r="N119" s="57" t="str">
        <v>EF_N2O</v>
      </c>
      <c r="O119" s="58" t="str">
        <v>nitrous oxide emission factor for atmospheric deposition</v>
      </c>
      <c r="P119" s="59"/>
      <c r="Q119" s="144" t="str">
        <v>kg N2O-N/kg N</v>
      </c>
      <c r="R119" s="139" t="str">
        <v>Constant</v>
      </c>
      <c r="S119" s="57"/>
    </row>
    <row r="120" spans="4:19" ht="20.100000000000001" customHeight="1" x14ac:dyDescent="0.25">
      <c r="D120" s="57" t="str">
        <v>C_N2O</v>
      </c>
      <c r="E120" s="58" t="str">
        <v>factor to convert elemental mass of N2O to molecular mass</v>
      </c>
      <c r="F120" s="59"/>
      <c r="G120" s="144" t="str">
        <v/>
      </c>
      <c r="H120" s="139" t="str">
        <v>Constant</v>
      </c>
      <c r="I120" s="144">
        <f>Common_InputFunctions.Utility_LookupValueInTableNumber("N2O",Table_GasToMolecularConversionFactor[Gas],Table_GasToMolecularConversionFactor[Conversion factor combined])</f>
        <v>1.5714285714285714</v>
      </c>
      <c r="N120" s="57" t="str">
        <v>C_N2O</v>
      </c>
      <c r="O120" s="58" t="str">
        <v>factor to convert elemental mass of N2O to molecular mass</v>
      </c>
      <c r="P120" s="59"/>
      <c r="Q120" s="144" t="str">
        <v/>
      </c>
      <c r="R120" s="139" t="str">
        <v>Constant</v>
      </c>
      <c r="S120" s="57"/>
    </row>
    <row r="121" spans="4:19" ht="20.100000000000001" customHeight="1" x14ac:dyDescent="0.25">
      <c r="D121" s="57" t="str">
        <v>j</v>
      </c>
      <c r="E121" s="58" t="str">
        <v>production system</v>
      </c>
      <c r="F121" s="59"/>
      <c r="G121" s="144" t="str">
        <v/>
      </c>
      <c r="H121" s="140" t="str">
        <v>Input</v>
      </c>
      <c r="I121" s="144" t="str">
        <f>'Input - Swine'!$E$91</f>
        <v>Crop</v>
      </c>
      <c r="N121" s="57" t="str">
        <v>j</v>
      </c>
      <c r="O121" s="58" t="str">
        <v>production system</v>
      </c>
      <c r="P121" s="59"/>
      <c r="Q121" s="144" t="str">
        <v/>
      </c>
      <c r="R121" s="140" t="str">
        <v>Input</v>
      </c>
      <c r="S121" s="57"/>
    </row>
    <row r="122" spans="4:19" ht="20.100000000000001" customHeight="1" x14ac:dyDescent="0.25">
      <c r="D122" s="57" t="str">
        <v>ir</v>
      </c>
      <c r="E122" s="58" t="str">
        <v>irrigation method</v>
      </c>
      <c r="F122" s="59"/>
      <c r="G122" s="144" t="str">
        <v/>
      </c>
      <c r="H122" s="140" t="str">
        <v>Input</v>
      </c>
      <c r="I122" s="144" t="str">
        <f>'Input - Swine'!$E$92</f>
        <v>Sprinkler irrigation</v>
      </c>
      <c r="N122" s="57" t="str">
        <v>ir</v>
      </c>
      <c r="O122" s="58" t="str">
        <v>irrigation method</v>
      </c>
      <c r="P122" s="59"/>
      <c r="Q122" s="144" t="str">
        <v/>
      </c>
      <c r="R122" s="140" t="str">
        <v>Input</v>
      </c>
      <c r="S122" s="57"/>
    </row>
    <row r="123" spans="4:19" ht="20.100000000000001" customHeight="1" x14ac:dyDescent="0.25">
      <c r="D123" s="57" t="str">
        <v>r</v>
      </c>
      <c r="E123" s="58" t="str">
        <v>rainfall region</v>
      </c>
      <c r="F123" s="59"/>
      <c r="G123" s="144" t="str">
        <v/>
      </c>
      <c r="H123" s="140" t="str">
        <v>Input</v>
      </c>
      <c r="I123" s="144" t="str">
        <f>'Input - Site'!$E$30</f>
        <v>High rainfall</v>
      </c>
      <c r="N123" s="57" t="str">
        <v>r</v>
      </c>
      <c r="O123" s="58" t="str">
        <v>rainfall region</v>
      </c>
      <c r="P123" s="59"/>
      <c r="Q123" s="144" t="str">
        <v/>
      </c>
      <c r="R123" s="140" t="str">
        <v>Input</v>
      </c>
      <c r="S123" s="57"/>
    </row>
    <row r="124" spans="4:19" ht="20.100000000000001" customHeight="1" x14ac:dyDescent="0.25"/>
    <row r="125" spans="4:19" ht="20.100000000000001" customHeight="1" x14ac:dyDescent="0.25">
      <c r="D125" s="101" t="s">
        <v>262</v>
      </c>
      <c r="E125" s="102" cm="1">
        <f t="array" ref="E125">MMS_Swine_AtmosphericDeposition_Equations.VEERG_4_5_1_5__1_AnnualAtmosphericDepositionEmissionsFromMMS(I118,I119,I120)</f>
        <v>2.4944401836750004E-2</v>
      </c>
      <c r="F125" s="103" t="str">
        <f>E116</f>
        <v>t N2O</v>
      </c>
      <c r="N125" s="101" t="s">
        <v>262</v>
      </c>
      <c r="O125" s="102" cm="1">
        <f t="array" ref="O125">MMS_Swine_AtmosphericDeposition_Equations.VEERG_4_5_1_5__1_AnnualAtmosphericDepositionEmissionsFromMMS(S118,I119,I120)</f>
        <v>2.4944401836750004E-2</v>
      </c>
      <c r="P125" s="103" t="str">
        <f>O116</f>
        <v>t N2O</v>
      </c>
    </row>
    <row r="126" spans="4:19" ht="20.100000000000001" customHeight="1" x14ac:dyDescent="0.25"/>
    <row r="127" spans="4:19" ht="20.100000000000001" customHeight="1" x14ac:dyDescent="0.25">
      <c r="D127" s="57" t="str" cm="1">
        <f t="array" ref="D127:E128">Common_Equations.Common_ConvertN2OToCO2e_Arguments()</f>
        <v>EN2O</v>
      </c>
      <c r="E127" s="58" t="str">
        <v>Nitrous oxide emissions (t N2O)</v>
      </c>
      <c r="F127" s="104"/>
      <c r="G127" s="52">
        <f>E125</f>
        <v>2.4944401836750004E-2</v>
      </c>
      <c r="N127" s="57" t="str" cm="1">
        <f t="array" ref="N127:O128">Common_Equations.Common_ConvertN2OToCO2e_Arguments()</f>
        <v>EN2O</v>
      </c>
      <c r="O127" s="58" t="str">
        <v>Nitrous oxide emissions (t N2O)</v>
      </c>
      <c r="P127" s="104"/>
      <c r="Q127" s="52">
        <f>O125</f>
        <v>2.4944401836750004E-2</v>
      </c>
    </row>
    <row r="128" spans="4:19" ht="20.100000000000001" customHeight="1" x14ac:dyDescent="0.25">
      <c r="D128" s="57" t="str">
        <v>GWPN2O</v>
      </c>
      <c r="E128" s="58" t="str">
        <v>Global warming potential for nitrous oxide (t CO2-e / t N2O)</v>
      </c>
      <c r="F128" s="104"/>
      <c r="G128" s="52">
        <f>Common_InputFunctions.Utility_LookupValueInTableNumber("N2O",Table_GWPData[Gas],Table_GWPData[CO2-e factor])</f>
        <v>265</v>
      </c>
      <c r="N128" s="57" t="str">
        <v>GWPN2O</v>
      </c>
      <c r="O128" s="58" t="str">
        <v>Global warming potential for nitrous oxide (t CO2-e / t N2O)</v>
      </c>
      <c r="P128" s="104"/>
      <c r="Q128" s="52">
        <f>Common_InputFunctions.Utility_LookupValueInTableNumber("N2O",Table_GWPData[Gas],Table_GWPData[CO2-e factor])</f>
        <v>265</v>
      </c>
    </row>
    <row r="129" spans="1:16" ht="20.100000000000001" customHeight="1" x14ac:dyDescent="0.25"/>
    <row r="130" spans="1:16" ht="20.100000000000001" customHeight="1" x14ac:dyDescent="0.25">
      <c r="A130" s="150" t="str">
        <f>HYPERLINK("#A1", "▲ Back to top")</f>
        <v>▲ Back to top</v>
      </c>
      <c r="D130" s="45" t="s">
        <v>100</v>
      </c>
      <c r="E130" s="45" cm="1">
        <f t="array" ref="E130">Common_Equations.Common_ConvertN2OToCO2e(G127,G128)</f>
        <v>6.6102664867387508</v>
      </c>
      <c r="F130" s="105" t="str" cm="1">
        <f t="array" ref="F130">Common_Equations.Common_ConvertN2OToCO2e_Unit()</f>
        <v>t CO2e</v>
      </c>
      <c r="N130" s="45" t="s">
        <v>100</v>
      </c>
      <c r="O130" s="45" cm="1">
        <f t="array" ref="O130">Common_Equations.Common_ConvertN2OToCO2e(Q127,Q128)</f>
        <v>6.6102664867387508</v>
      </c>
      <c r="P130" s="105" t="str" cm="1">
        <f t="array" ref="P130">Common_Equations.Common_ConvertN2OToCO2e_Unit()</f>
        <v>t CO2e</v>
      </c>
    </row>
    <row r="131" spans="1:16" ht="20.100000000000001" customHeight="1" x14ac:dyDescent="0.25"/>
    <row r="132" spans="1:16" ht="20.100000000000001" customHeight="1" x14ac:dyDescent="0.25"/>
    <row r="133" spans="1:16" ht="20.100000000000001" customHeight="1" x14ac:dyDescent="0.25"/>
    <row r="134" spans="1:16" ht="20.100000000000001" customHeight="1" x14ac:dyDescent="0.25"/>
    <row r="135" spans="1:16" ht="20.100000000000001" customHeight="1" x14ac:dyDescent="0.25"/>
    <row r="136" spans="1:16" ht="20.100000000000001" customHeight="1" x14ac:dyDescent="0.25"/>
    <row r="137" spans="1:16" ht="20.100000000000001" customHeight="1" x14ac:dyDescent="0.25"/>
    <row r="138" spans="1:16" ht="20.100000000000001" customHeight="1" x14ac:dyDescent="0.25"/>
    <row r="139" spans="1:16" ht="20.100000000000001" customHeight="1" x14ac:dyDescent="0.25"/>
    <row r="140" spans="1:16" ht="20.100000000000001" customHeight="1" x14ac:dyDescent="0.25"/>
    <row r="141" spans="1:16" ht="20.100000000000001" customHeight="1" x14ac:dyDescent="0.25"/>
    <row r="142" spans="1:16" ht="20.100000000000001" customHeight="1" x14ac:dyDescent="0.25"/>
    <row r="143" spans="1:16" ht="20.100000000000001" customHeight="1" x14ac:dyDescent="0.25"/>
    <row r="144" spans="1:16"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368BED-F848-481C-B828-A6A4B3B45E3C}">
  <dimension ref="A1:S165"/>
  <sheetViews>
    <sheetView showGridLines="0" topLeftCell="A4" workbookViewId="0">
      <selection activeCell="D16" sqref="D16:E18"/>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8" t="e" vm="1">
        <v>#VALUE!</v>
      </c>
      <c r="C1" s="8" t="s">
        <v>290</v>
      </c>
      <c r="K1"/>
    </row>
    <row r="2" spans="1:19" s="9" customFormat="1" ht="20.100000000000001" customHeight="1" x14ac:dyDescent="0.25">
      <c r="K2"/>
    </row>
    <row r="3" spans="1:19" ht="20.100000000000001" customHeight="1" x14ac:dyDescent="0.25">
      <c r="A3" s="17" t="str">
        <f>HYPERLINK("#'Home'!A1", "Home")</f>
        <v>Home</v>
      </c>
      <c r="C3" s="4"/>
      <c r="D3" s="4" t="s">
        <v>101</v>
      </c>
      <c r="E3" s="4"/>
      <c r="F3" s="4"/>
      <c r="G3" s="4"/>
      <c r="H3" s="4"/>
      <c r="I3" s="4"/>
      <c r="J3" s="4"/>
      <c r="L3" s="4"/>
      <c r="M3" s="4" t="s">
        <v>102</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MMS_Swine_LeachingAndRunoff_Equations.VEERG_4_5_1_7__2_MassOfNitrogenLostToLeachingAndRunoffFromDrylotMMS_Title()</f>
        <v>Mass of nitrogen lost to leaching and runoff from drylot MMS</v>
      </c>
    </row>
    <row r="6" spans="1:19" ht="20.100000000000001" customHeight="1" x14ac:dyDescent="0.25">
      <c r="A6" s="16"/>
      <c r="D6" s="5" t="str" cm="1">
        <f t="array" ref="D6">MMS_Swine_LeachingAndRunoff_Equations.VEERG_4_5_1_7__2_MassOfNitrogenLostToLeachingAndRunoffFromDrylotMMS_Source()</f>
        <v>VEERG 2026: 4.5.1.7, Equation (2)</v>
      </c>
    </row>
    <row r="7" spans="1:19" ht="20.100000000000001" customHeight="1" x14ac:dyDescent="0.25">
      <c r="A7" s="20" t="s">
        <v>3</v>
      </c>
      <c r="D7" s="13" t="s">
        <v>26</v>
      </c>
      <c r="E7" s="13" t="str" cm="1">
        <f t="array" aca="1" ref="E7" ca="1">Common_InputFunctions.Utility_DisplayFunctionName($E$28)</f>
        <v>=MMS_Swine_LeachingAndRunoff_Equations.VEERG_4_5_1_7__2_MassOfNitrogenLostToLeachingAndRunoffFromDrylotMMS</v>
      </c>
    </row>
    <row r="8" spans="1:19" ht="20.100000000000001" customHeight="1" x14ac:dyDescent="0.25">
      <c r="A8" s="17" t="str">
        <f>HYPERLINK("#'Input - Site'!A1", "Site")</f>
        <v>Site</v>
      </c>
    </row>
    <row r="9" spans="1:19" ht="20.100000000000001" customHeight="1" x14ac:dyDescent="0.25">
      <c r="A9" s="17" t="str">
        <f>HYPERLINK("#'Input - Swine'!A1", "Swine")</f>
        <v>Swine</v>
      </c>
    </row>
    <row r="10" spans="1:19" ht="20.100000000000001" customHeight="1" x14ac:dyDescent="0.25">
      <c r="A10" s="17"/>
      <c r="D10" s="53" t="s">
        <v>29</v>
      </c>
      <c r="E10" s="1" t="str" cm="1">
        <f t="array" ref="E10">MMS_Swine_LeachingAndRunoff_Equations.VEERG_4_5_1_7__2_MassOfNitrogenLostToLeachingAndRunoffFromDrylotMMS_Variable()</f>
        <v>MNLeach_jm5</v>
      </c>
      <c r="F10" s="107" t="s">
        <v>277</v>
      </c>
    </row>
    <row r="11" spans="1:19" ht="20.100000000000001" customHeight="1" x14ac:dyDescent="0.25">
      <c r="A11" s="19" t="s">
        <v>76</v>
      </c>
      <c r="D11" s="53" t="s">
        <v>19</v>
      </c>
      <c r="E11" s="54" t="str" cm="1">
        <f t="array" ref="E11">MMS_Swine_LeachingAndRunoff_Equations.VEERG_4_5_1_7__2_MassOfNitrogenLostToLeachingAndRunoffFromDrylotMMS_Unit()</f>
        <v>kg N</v>
      </c>
      <c r="F11" s="107" t="s">
        <v>282</v>
      </c>
    </row>
    <row r="12" spans="1:19" ht="20.100000000000001" customHeight="1" x14ac:dyDescent="0.25">
      <c r="A12" s="17" t="str">
        <f>HYPERLINK("#'4.5.1.1-2 Methane'!A1", "4.5.1.1-2 Methane")</f>
        <v>4.5.1.1-2 Methane</v>
      </c>
    </row>
    <row r="13" spans="1:19" ht="20.100000000000001" customHeight="1" x14ac:dyDescent="0.25">
      <c r="A13" s="17" t="str">
        <f>HYPERLINK("#'4.5.1.3-4 Direct N2O'!A1", "4.5.1.3-4 Direct N2O")</f>
        <v>4.5.1.3-4 Direct N2O</v>
      </c>
      <c r="D13" s="144" t="str" cm="1">
        <f t="array" ref="D13:E18">Common_InputFunctions.Utility_DisplayArguments_1_2(MMS_Swine_LeachingAndRunoff_Equations.VEERG_4_5_1_7__2_MassOfNitrogenLostToLeachingAndRunoffFromDrylotMMS_Arguments())</f>
        <v>MN_jm5T1</v>
      </c>
      <c r="E13" s="146" t="str">
        <v>nitrogen in treatment stage 1 drylot MMS</v>
      </c>
      <c r="F13" s="145"/>
      <c r="G13" s="144" t="str" cm="1">
        <f t="array" ref="G13:H18">Common_InputFunctions.Utility_DisplayArguments_3_4(MMS_Swine_LeachingAndRunoff_Equations.VEERG_4_5_1_7__2_MassOfNitrogenLostToLeachingAndRunoffFromDrylotMMS_Arguments())</f>
        <v>kg N</v>
      </c>
      <c r="H13" s="139" t="str">
        <v>Calculated from 4.5.1.3 (2)</v>
      </c>
      <c r="I13" s="143" t="str" cm="1">
        <f t="array" aca="1" ref="I13" ca="1">HYPERLINK(Common_InputFunctions.Utility_SourceHyperlink(D20), D20)</f>
        <v>M1_Table_MN_j_m-5_T-1</v>
      </c>
    </row>
    <row r="14" spans="1:19" ht="20.100000000000001" customHeight="1" x14ac:dyDescent="0.25">
      <c r="A14" s="17" t="str">
        <f>HYPERLINK("#'4.5.1.5-6 Atmos Dep'!A1", "4.5.1.5-6 Soil atm. deposition")</f>
        <v>4.5.1.5-6 Soil atm. deposition</v>
      </c>
      <c r="D14" s="144" t="str">
        <v>FracWET</v>
      </c>
      <c r="E14" s="146" t="str">
        <v>fraction of N available for leaching and runoff</v>
      </c>
      <c r="F14" s="145"/>
      <c r="G14" s="144" t="str">
        <v>fraction</v>
      </c>
      <c r="H14" s="139" t="str">
        <v>Constant</v>
      </c>
      <c r="I14" s="144">
        <f>Common_InputFunctions.CommonCropping_GetFracWET(I16,I18,#REF!,#REF!,Table_SourceData_FracWETIrrigation[Irrigation type i],Table_SourceData_FracWETIrrigation[FracWET])</f>
        <v>1</v>
      </c>
    </row>
    <row r="15" spans="1:19" ht="20.100000000000001" customHeight="1" x14ac:dyDescent="0.25">
      <c r="A15" s="17" t="str">
        <f>HYPERLINK("#'4.5.1.7-8 Leaching and runoff'!A1", "4.5.1.7-8 Leaching &amp; runoff")</f>
        <v>4.5.1.7-8 Leaching &amp; runoff</v>
      </c>
      <c r="D15" s="144" t="str">
        <v>FracLEACH_MS</v>
      </c>
      <c r="E15" s="146" t="str">
        <v>fraction of N lost through leaching and runoff</v>
      </c>
      <c r="F15" s="145"/>
      <c r="G15" s="144" t="str">
        <v>fraction</v>
      </c>
      <c r="H15" s="139" t="str">
        <v>Constant</v>
      </c>
      <c r="I15" s="144">
        <f>'Constants - Swine'!$E$17</f>
        <v>0.02</v>
      </c>
    </row>
    <row r="16" spans="1:19" ht="20.100000000000001" customHeight="1" x14ac:dyDescent="0.25">
      <c r="A16" s="17" t="str">
        <f>HYPERLINK("#'4.5.1.9 Manure applied to soils'!A1", "4.5.1.9 Manure applied to soils")</f>
        <v>4.5.1.9 Manure applied to soils</v>
      </c>
      <c r="D16" s="144" t="str">
        <v>z</v>
      </c>
      <c r="E16" s="146" t="str">
        <v>location in leaching zone</v>
      </c>
      <c r="F16" s="145"/>
      <c r="G16" s="144" t="str">
        <v/>
      </c>
      <c r="H16" s="140" t="str">
        <v>Input</v>
      </c>
      <c r="I16" s="144" t="str">
        <f>'Input - Site'!$E$23</f>
        <v>NO - Not in leaching zone</v>
      </c>
    </row>
    <row r="17" spans="1:19" ht="20.100000000000001" customHeight="1" x14ac:dyDescent="0.25">
      <c r="D17" s="144" t="str">
        <v>j</v>
      </c>
      <c r="E17" s="146" t="str">
        <v>production system</v>
      </c>
      <c r="F17" s="145"/>
      <c r="G17" s="144" t="str">
        <v/>
      </c>
      <c r="H17" s="140" t="str">
        <v>Input</v>
      </c>
      <c r="I17" s="144" t="str">
        <f>'Input - Swine'!$E$91</f>
        <v>Crop</v>
      </c>
    </row>
    <row r="18" spans="1:19" ht="20.100000000000001" customHeight="1" x14ac:dyDescent="0.25">
      <c r="A18" s="18" t="s">
        <v>4</v>
      </c>
      <c r="D18" s="144" t="str">
        <v>ir</v>
      </c>
      <c r="E18" s="146" t="str">
        <v>irrigation method</v>
      </c>
      <c r="F18" s="145"/>
      <c r="G18" s="144" t="str">
        <v/>
      </c>
      <c r="H18" s="140" t="str">
        <v>Input</v>
      </c>
      <c r="I18" s="144" t="str">
        <f>'Input - Swine'!$E$92</f>
        <v>Sprinkler irrigation</v>
      </c>
    </row>
    <row r="19" spans="1:19" ht="20.100000000000001" customHeight="1" x14ac:dyDescent="0.25">
      <c r="A19" s="17" t="str">
        <f>HYPERLINK("#'Constants - Swine'!A1", "Constants - Swine")</f>
        <v>Constants - Swine</v>
      </c>
    </row>
    <row r="20" spans="1:19" ht="20.100000000000001" customHeight="1" x14ac:dyDescent="0.25">
      <c r="A20" s="17" t="str">
        <f>HYPERLINK("#'Constants - Livestock'!A1", "Constants - Livestock")</f>
        <v>Constants - Livestock</v>
      </c>
      <c r="D20" s="99" t="s">
        <v>278</v>
      </c>
      <c r="M20" s="99" t="s">
        <v>280</v>
      </c>
    </row>
    <row r="21" spans="1:19" ht="20.100000000000001" customHeight="1" x14ac:dyDescent="0.25">
      <c r="A21" s="17" t="str">
        <f>HYPERLINK("#'Constants - Common'!A1", "Constants - Common")</f>
        <v>Constants - Common</v>
      </c>
      <c r="D21" s="98" t="s">
        <v>279</v>
      </c>
      <c r="M21" s="98" t="s">
        <v>281</v>
      </c>
    </row>
    <row r="22" spans="1:19" ht="20.100000000000001" customHeight="1" x14ac:dyDescent="0.25">
      <c r="A22" s="17" t="str">
        <f>HYPERLINK("#'Acknowledgements'!A1", "Acknowledgements")</f>
        <v>Acknowledgements</v>
      </c>
      <c r="D22" s="51" t="s">
        <v>163</v>
      </c>
      <c r="E22" s="51" t="s">
        <v>142</v>
      </c>
      <c r="F22" s="51" t="s">
        <v>143</v>
      </c>
      <c r="G22" s="51" t="s">
        <v>144</v>
      </c>
      <c r="H22" s="51" t="s">
        <v>206</v>
      </c>
      <c r="M22" s="51" t="s">
        <v>163</v>
      </c>
      <c r="N22" s="51" t="s">
        <v>142</v>
      </c>
      <c r="O22" s="51" t="s">
        <v>143</v>
      </c>
      <c r="P22" s="51" t="s">
        <v>144</v>
      </c>
      <c r="Q22" s="51" t="s">
        <v>206</v>
      </c>
    </row>
    <row r="23" spans="1:19" ht="20.100000000000001" customHeight="1" x14ac:dyDescent="0.25">
      <c r="D23" s="52" t="str">
        <f>'Input - Swine'!$D$30</f>
        <v>Drylot (feed pad)</v>
      </c>
      <c r="E23" s="52">
        <f>'4.5.1.3-4 Direct N2O'!E119</f>
        <v>201.47999999999996</v>
      </c>
      <c r="F23" s="52">
        <f>'4.5.1.3-4 Direct N2O'!F119</f>
        <v>214.62000000000003</v>
      </c>
      <c r="G23" s="52">
        <f>'4.5.1.3-4 Direct N2O'!G119</f>
        <v>201.47999999999996</v>
      </c>
      <c r="H23" s="52">
        <f>'4.5.1.3-4 Direct N2O'!H119</f>
        <v>136.65599999999998</v>
      </c>
      <c r="I23" s="2" t="str">
        <f>$G$13</f>
        <v>kg N</v>
      </c>
      <c r="M23" s="52" t="str">
        <f>'Input - Swine'!$D$30</f>
        <v>Drylot (feed pad)</v>
      </c>
      <c r="N23" s="52">
        <f>'4.5.1.3-4 Direct N2O'!O119</f>
        <v>201.47999999999996</v>
      </c>
      <c r="O23" s="52">
        <f>'4.5.1.3-4 Direct N2O'!P119</f>
        <v>214.62000000000003</v>
      </c>
      <c r="P23" s="52">
        <f>'4.5.1.3-4 Direct N2O'!Q119</f>
        <v>201.47999999999996</v>
      </c>
      <c r="Q23" s="52">
        <f>'4.5.1.3-4 Direct N2O'!R119</f>
        <v>136.65599999999998</v>
      </c>
      <c r="R23" s="2" t="str">
        <f>$G$13</f>
        <v>kg N</v>
      </c>
    </row>
    <row r="24" spans="1:19" ht="20.100000000000001" customHeight="1" x14ac:dyDescent="0.25">
      <c r="A24" s="17"/>
    </row>
    <row r="25" spans="1:19" ht="20.100000000000001" customHeight="1" x14ac:dyDescent="0.25">
      <c r="D25" s="99" t="s">
        <v>283</v>
      </c>
      <c r="M25" s="99" t="s">
        <v>283</v>
      </c>
    </row>
    <row r="26" spans="1:19" ht="20.100000000000001" customHeight="1" x14ac:dyDescent="0.25">
      <c r="D26" s="98" t="s">
        <v>284</v>
      </c>
      <c r="M26" s="98" t="s">
        <v>284</v>
      </c>
    </row>
    <row r="27" spans="1:19" ht="20.100000000000001" customHeight="1" x14ac:dyDescent="0.25">
      <c r="D27" s="51" t="s">
        <v>163</v>
      </c>
      <c r="E27" s="51" t="s">
        <v>142</v>
      </c>
      <c r="F27" s="51" t="s">
        <v>143</v>
      </c>
      <c r="G27" s="51" t="s">
        <v>144</v>
      </c>
      <c r="H27" s="51" t="s">
        <v>206</v>
      </c>
      <c r="M27" s="51" t="s">
        <v>163</v>
      </c>
      <c r="N27" s="51" t="s">
        <v>142</v>
      </c>
      <c r="O27" s="51" t="s">
        <v>143</v>
      </c>
      <c r="P27" s="51" t="s">
        <v>144</v>
      </c>
      <c r="Q27" s="51" t="s">
        <v>206</v>
      </c>
    </row>
    <row r="28" spans="1:19" ht="20.100000000000001" customHeight="1" x14ac:dyDescent="0.25">
      <c r="D28" s="52" t="str">
        <f>'Input - Swine'!$D$30</f>
        <v>Drylot (feed pad)</v>
      </c>
      <c r="E28" s="52" cm="1">
        <f t="array" ref="E28">MMS_Swine_LeachingAndRunoff_Equations.VEERG_4_5_1_7__2_MassOfNitrogenLostToLeachingAndRunoffFromDrylotMMS(E23,$I$14,$I$15)</f>
        <v>4.0295999999999994</v>
      </c>
      <c r="F28" s="52" cm="1">
        <f t="array" ref="F28">MMS_Swine_LeachingAndRunoff_Equations.VEERG_4_5_1_7__2_MassOfNitrogenLostToLeachingAndRunoffFromDrylotMMS(F23,$I$14,$I$15)</f>
        <v>4.2924000000000007</v>
      </c>
      <c r="G28" s="52" cm="1">
        <f t="array" ref="G28">MMS_Swine_LeachingAndRunoff_Equations.VEERG_4_5_1_7__2_MassOfNitrogenLostToLeachingAndRunoffFromDrylotMMS(G23,$I$14,$I$15)</f>
        <v>4.0295999999999994</v>
      </c>
      <c r="H28" s="52" cm="1">
        <f t="array" ref="H28">MMS_Swine_LeachingAndRunoff_Equations.VEERG_4_5_1_7__2_MassOfNitrogenLostToLeachingAndRunoffFromDrylotMMS(H23,$I$14,$I$15)</f>
        <v>2.7331199999999995</v>
      </c>
      <c r="I28" s="2" t="str">
        <f>$E$11</f>
        <v>kg N</v>
      </c>
      <c r="M28" s="52" t="str">
        <f>'Input - Swine'!$D$30</f>
        <v>Drylot (feed pad)</v>
      </c>
      <c r="N28" s="52" cm="1">
        <f t="array" ref="N28">MMS_Swine_LeachingAndRunoff_Equations.VEERG_4_5_1_7__2_MassOfNitrogenLostToLeachingAndRunoffFromDrylotMMS(N23,$I$14,$I$15)</f>
        <v>4.0295999999999994</v>
      </c>
      <c r="O28" s="52" cm="1">
        <f t="array" ref="O28">MMS_Swine_LeachingAndRunoff_Equations.VEERG_4_5_1_7__2_MassOfNitrogenLostToLeachingAndRunoffFromDrylotMMS(O23,$I$14,$I$15)</f>
        <v>4.2924000000000007</v>
      </c>
      <c r="P28" s="52" cm="1">
        <f t="array" ref="P28">MMS_Swine_LeachingAndRunoff_Equations.VEERG_4_5_1_7__2_MassOfNitrogenLostToLeachingAndRunoffFromDrylotMMS(P23,$I$14,$I$15)</f>
        <v>4.0295999999999994</v>
      </c>
      <c r="Q28" s="52" cm="1">
        <f t="array" ref="Q28">MMS_Swine_LeachingAndRunoff_Equations.VEERG_4_5_1_7__2_MassOfNitrogenLostToLeachingAndRunoffFromDrylotMMS(Q23,$I$14,$I$15)</f>
        <v>2.7331199999999995</v>
      </c>
      <c r="R28" s="2" t="str">
        <f>$E$11</f>
        <v>kg N</v>
      </c>
    </row>
    <row r="29" spans="1:19" ht="20.100000000000001" customHeight="1" x14ac:dyDescent="0.25"/>
    <row r="30" spans="1:19" ht="20.100000000000001" customHeight="1" x14ac:dyDescent="0.25"/>
    <row r="31" spans="1:19" ht="20.100000000000001" customHeight="1" x14ac:dyDescent="0.25">
      <c r="C31" s="45"/>
      <c r="D31" s="45"/>
      <c r="E31" s="45"/>
      <c r="F31" s="45"/>
      <c r="G31" s="45"/>
      <c r="H31" s="45"/>
      <c r="I31" s="45"/>
      <c r="J31" s="45"/>
      <c r="L31" s="45"/>
      <c r="M31" s="45"/>
      <c r="N31" s="45"/>
      <c r="O31" s="45"/>
      <c r="P31" s="45"/>
      <c r="Q31" s="45"/>
      <c r="R31" s="45"/>
      <c r="S31" s="45"/>
    </row>
    <row r="32" spans="1:19" ht="20.100000000000001" customHeight="1" x14ac:dyDescent="0.25">
      <c r="D32" s="6" t="str" cm="1">
        <f t="array" ref="D32">MMS_Swine_LeachingAndRunoff_Equations.VEERG_4_5_1_7__1_AnnualEmissionsFromLeachingAndRunoffFromMMS_Title()</f>
        <v>Annual emissions from leaching and runoff from each MMS</v>
      </c>
    </row>
    <row r="33" spans="4:18" ht="20.100000000000001" customHeight="1" x14ac:dyDescent="0.25">
      <c r="D33" s="5" t="str" cm="1">
        <f t="array" ref="D33">MMS_Swine_LeachingAndRunoff_Equations.VEERG_4_5_1_7__1_AnnualEmissionsFromLeachingAndRunoffFromMMS_Source()</f>
        <v>VEERG 2026: 4.5.1.7, Equation (1)</v>
      </c>
    </row>
    <row r="34" spans="4:18" ht="20.100000000000001" customHeight="1" x14ac:dyDescent="0.25">
      <c r="D34" s="13" t="s">
        <v>26</v>
      </c>
      <c r="E34" s="13" t="str" cm="1">
        <f t="array" aca="1" ref="E34" ca="1">Common_InputFunctions.Utility_DisplayFunctionName($E$47)</f>
        <v>=MMS_Swine_LeachingAndRunoff_Equations.VEERG_4_5_1_7__1_AnnualEmissionsFromLeachingAndRunoffFromMMS</v>
      </c>
    </row>
    <row r="35" spans="4:18" ht="20.100000000000001" customHeight="1" x14ac:dyDescent="0.25"/>
    <row r="36" spans="4:18" ht="20.100000000000001" customHeight="1" x14ac:dyDescent="0.25"/>
    <row r="37" spans="4:18" ht="20.100000000000001" customHeight="1" x14ac:dyDescent="0.25">
      <c r="D37" s="53" t="s">
        <v>29</v>
      </c>
      <c r="E37" s="1" t="str" cm="1">
        <f t="array" ref="E37">MMS_Swine_LeachingAndRunoff_Equations.VEERG_4_5_1_7__1_AnnualEmissionsFromLeachingAndRunoffFromMMS_Variable()</f>
        <v>E_N2Oleach</v>
      </c>
    </row>
    <row r="38" spans="4:18" ht="20.100000000000001" customHeight="1" x14ac:dyDescent="0.25">
      <c r="D38" s="53" t="s">
        <v>19</v>
      </c>
      <c r="E38" s="54" t="str" cm="1">
        <f t="array" ref="E38">MMS_Swine_LeachingAndRunoff_Equations.VEERG_4_5_1_7__1_AnnualEmissionsFromLeachingAndRunoffFromMMS_Unit()</f>
        <v>t N2O</v>
      </c>
    </row>
    <row r="39" spans="4:18" ht="20.100000000000001" customHeight="1" x14ac:dyDescent="0.25"/>
    <row r="40" spans="4:18" ht="20.100000000000001" customHeight="1" x14ac:dyDescent="0.25">
      <c r="D40" s="144" t="str" cm="1">
        <f t="array" ref="D40:E42">Common_InputFunctions.Utility_DisplayArguments_1_2(MMS_Swine_LeachingAndRunoff_Equations.VEERG_4_5_1_7__1_AnnualEmissionsFromLeachingAndRunoffFromMMS_Arguments())</f>
        <v>MNLeach_jm5</v>
      </c>
      <c r="E40" s="146" t="str">
        <v>mass of N lost through leaching and runoff from drylot MMS</v>
      </c>
      <c r="F40" s="145"/>
      <c r="G40" s="144" t="str" cm="1">
        <f t="array" ref="G40:H42">Common_InputFunctions.Utility_DisplayArguments_3_4(MMS_Swine_LeachingAndRunoff_Equations.VEERG_4_5_1_7__1_AnnualEmissionsFromLeachingAndRunoffFromMMS_Arguments())</f>
        <v>kg N</v>
      </c>
      <c r="H40" s="139" t="str">
        <v>Calculated from 4.5.1.7 (2)</v>
      </c>
      <c r="I40" s="143" t="str" cm="1">
        <f t="array" aca="1" ref="I40" ca="1">HYPERLINK(Common_InputFunctions.Utility_SourceHyperlink(D25), D25)</f>
        <v>M1_Table_MN_leach_j_m-5</v>
      </c>
    </row>
    <row r="41" spans="4:18" ht="20.100000000000001" customHeight="1" x14ac:dyDescent="0.25">
      <c r="D41" s="144" t="str">
        <v>EF_leach</v>
      </c>
      <c r="E41" s="146" t="str">
        <v>emission factor for leaching and runoff</v>
      </c>
      <c r="F41" s="145"/>
      <c r="G41" s="144" t="str">
        <v>kg N2O-N/kg N</v>
      </c>
      <c r="H41" s="139" t="str">
        <v>Constant</v>
      </c>
      <c r="I41" s="144">
        <f>'Constants - Common'!$E$170</f>
        <v>1.0999999999999999E-2</v>
      </c>
    </row>
    <row r="42" spans="4:18" ht="20.100000000000001" customHeight="1" x14ac:dyDescent="0.25">
      <c r="D42" s="144" t="str">
        <v>C_N2O</v>
      </c>
      <c r="E42" s="146" t="str">
        <v>factor to convert elemental mass of N2O to molecular mass</v>
      </c>
      <c r="F42" s="145"/>
      <c r="G42" s="144" t="str">
        <v/>
      </c>
      <c r="H42" s="139" t="str">
        <v>Constant</v>
      </c>
      <c r="I42" s="144">
        <f>Common_InputFunctions.Utility_LookupValueInTableNumber("N2O",Table_GasToMolecularConversionFactor[Gas],Table_GasToMolecularConversionFactor[Conversion factor combined])</f>
        <v>1.5714285714285714</v>
      </c>
    </row>
    <row r="43" spans="4:18" ht="20.100000000000001" customHeight="1" x14ac:dyDescent="0.25"/>
    <row r="44" spans="4:18" ht="20.100000000000001" customHeight="1" x14ac:dyDescent="0.25">
      <c r="D44" s="99" t="s">
        <v>285</v>
      </c>
      <c r="M44" s="99" t="s">
        <v>288</v>
      </c>
    </row>
    <row r="45" spans="4:18" ht="20.100000000000001" customHeight="1" x14ac:dyDescent="0.25">
      <c r="D45" s="98" t="s">
        <v>286</v>
      </c>
      <c r="M45" s="98" t="s">
        <v>289</v>
      </c>
    </row>
    <row r="46" spans="4:18" ht="20.100000000000001" customHeight="1" x14ac:dyDescent="0.25">
      <c r="D46" s="51" t="s">
        <v>163</v>
      </c>
      <c r="E46" s="51" t="s">
        <v>142</v>
      </c>
      <c r="F46" s="51" t="s">
        <v>143</v>
      </c>
      <c r="G46" s="51" t="s">
        <v>144</v>
      </c>
      <c r="H46" s="51" t="s">
        <v>206</v>
      </c>
      <c r="M46" s="51" t="s">
        <v>163</v>
      </c>
      <c r="N46" s="51" t="s">
        <v>142</v>
      </c>
      <c r="O46" s="51" t="s">
        <v>143</v>
      </c>
      <c r="P46" s="51" t="s">
        <v>144</v>
      </c>
      <c r="Q46" s="51" t="s">
        <v>206</v>
      </c>
    </row>
    <row r="47" spans="4:18" ht="20.100000000000001" customHeight="1" x14ac:dyDescent="0.25">
      <c r="D47" s="52" t="str">
        <f>'Input - Swine'!$D$30</f>
        <v>Drylot (feed pad)</v>
      </c>
      <c r="E47" s="52" cm="1">
        <f t="array" ref="E47">MMS_Swine_LeachingAndRunoff_Equations.VEERG_4_5_1_7__1_AnnualEmissionsFromLeachingAndRunoffFromMMS(E28,$I$41,$I$42)</f>
        <v>6.9654514285714269E-5</v>
      </c>
      <c r="F47" s="52" cm="1">
        <f t="array" ref="F47">MMS_Swine_LeachingAndRunoff_Equations.VEERG_4_5_1_7__1_AnnualEmissionsFromLeachingAndRunoffFromMMS(F28,$I$41,$I$42)</f>
        <v>7.4197200000000009E-5</v>
      </c>
      <c r="G47" s="52" cm="1">
        <f t="array" ref="G47">MMS_Swine_LeachingAndRunoff_Equations.VEERG_4_5_1_7__1_AnnualEmissionsFromLeachingAndRunoffFromMMS(G28,$I$41,$I$42)</f>
        <v>6.9654514285714269E-5</v>
      </c>
      <c r="H47" s="52" cm="1">
        <f t="array" ref="H47">MMS_Swine_LeachingAndRunoff_Equations.VEERG_4_5_1_7__1_AnnualEmissionsFromLeachingAndRunoffFromMMS(H28,$I$41,$I$42)</f>
        <v>4.7243931428571419E-5</v>
      </c>
      <c r="I47" s="2" t="str">
        <f>$E$38</f>
        <v>t N2O</v>
      </c>
      <c r="M47" s="52" t="str">
        <f>'Input - Swine'!$D$30</f>
        <v>Drylot (feed pad)</v>
      </c>
      <c r="N47" s="52" cm="1">
        <f t="array" ref="N47">MMS_Swine_LeachingAndRunoff_Equations.VEERG_4_5_1_7__1_AnnualEmissionsFromLeachingAndRunoffFromMMS(N28,$I$41,$I$42)</f>
        <v>6.9654514285714269E-5</v>
      </c>
      <c r="O47" s="52" cm="1">
        <f t="array" ref="O47">MMS_Swine_LeachingAndRunoff_Equations.VEERG_4_5_1_7__1_AnnualEmissionsFromLeachingAndRunoffFromMMS(O28,$I$41,$I$42)</f>
        <v>7.4197200000000009E-5</v>
      </c>
      <c r="P47" s="52" cm="1">
        <f t="array" ref="P47">MMS_Swine_LeachingAndRunoff_Equations.VEERG_4_5_1_7__1_AnnualEmissionsFromLeachingAndRunoffFromMMS(P28,$I$41,$I$42)</f>
        <v>6.9654514285714269E-5</v>
      </c>
      <c r="Q47" s="52" cm="1">
        <f t="array" ref="Q47">MMS_Swine_LeachingAndRunoff_Equations.VEERG_4_5_1_7__1_AnnualEmissionsFromLeachingAndRunoffFromMMS(Q28,$I$41,$I$42)</f>
        <v>4.7243931428571419E-5</v>
      </c>
      <c r="R47" s="2" t="str">
        <f>$E$38</f>
        <v>t N2O</v>
      </c>
    </row>
    <row r="48" spans="4:18" ht="20.100000000000001" customHeight="1" x14ac:dyDescent="0.25"/>
    <row r="49" spans="1:16" ht="20.100000000000001" customHeight="1" x14ac:dyDescent="0.25">
      <c r="D49" s="101" t="s">
        <v>287</v>
      </c>
      <c r="E49" s="102">
        <f>SUM(E47:H47)</f>
        <v>2.6075015999999998E-4</v>
      </c>
      <c r="F49" s="103" t="str">
        <f>$E$38</f>
        <v>t N2O</v>
      </c>
      <c r="M49" s="101" t="s">
        <v>287</v>
      </c>
      <c r="N49" s="102">
        <f>SUM(N47:Q47)</f>
        <v>2.6075015999999998E-4</v>
      </c>
      <c r="O49" s="103" t="str">
        <f>$E$38</f>
        <v>t N2O</v>
      </c>
    </row>
    <row r="50" spans="1:16" ht="20.100000000000001" customHeight="1" x14ac:dyDescent="0.25"/>
    <row r="51" spans="1:16" ht="20.100000000000001" customHeight="1" x14ac:dyDescent="0.25">
      <c r="D51" s="57" t="str" cm="1">
        <f t="array" ref="D51:E52">Common_Equations.Common_ConvertN2OToCO2e_Arguments()</f>
        <v>EN2O</v>
      </c>
      <c r="E51" s="58" t="str">
        <v>Nitrous oxide emissions (t N2O)</v>
      </c>
      <c r="F51" s="104"/>
      <c r="G51" s="52">
        <f>E49</f>
        <v>2.6075015999999998E-4</v>
      </c>
      <c r="M51" s="57" t="str" cm="1">
        <f t="array" ref="M51:N52">Common_Equations.Common_ConvertN2OToCO2e_Arguments()</f>
        <v>EN2O</v>
      </c>
      <c r="N51" s="58" t="str">
        <v>Nitrous oxide emissions (t N2O)</v>
      </c>
      <c r="O51" s="104"/>
      <c r="P51" s="52">
        <f>N49</f>
        <v>2.6075015999999998E-4</v>
      </c>
    </row>
    <row r="52" spans="1:16" ht="20.100000000000001" customHeight="1" x14ac:dyDescent="0.25">
      <c r="D52" s="57" t="str">
        <v>GWPN2O</v>
      </c>
      <c r="E52" s="58" t="str">
        <v>Global warming potential for nitrous oxide (t CO2-e / t N2O)</v>
      </c>
      <c r="F52" s="104"/>
      <c r="G52" s="52">
        <f>Common_InputFunctions.Utility_LookupValueInTableNumber("N2O",Table_GWPData[Gas],Table_GWPData[CO2-e factor])</f>
        <v>265</v>
      </c>
      <c r="M52" s="57" t="str">
        <v>GWPN2O</v>
      </c>
      <c r="N52" s="58" t="str">
        <v>Global warming potential for nitrous oxide (t CO2-e / t N2O)</v>
      </c>
      <c r="O52" s="104"/>
      <c r="P52" s="52">
        <f>Common_InputFunctions.Utility_LookupValueInTableNumber("N2O",Table_GWPData[Gas],Table_GWPData[CO2-e factor])</f>
        <v>265</v>
      </c>
    </row>
    <row r="53" spans="1:16" ht="20.100000000000001" customHeight="1" x14ac:dyDescent="0.25"/>
    <row r="54" spans="1:16" ht="20.100000000000001" customHeight="1" x14ac:dyDescent="0.25">
      <c r="A54" s="150" t="str">
        <f>HYPERLINK("#A1", "▲ Back to top")</f>
        <v>▲ Back to top</v>
      </c>
      <c r="D54" s="45" t="s">
        <v>100</v>
      </c>
      <c r="E54" s="45" cm="1">
        <f t="array" ref="E54">Common_Equations.Common_ConvertN2OToCO2e(G51,G52)</f>
        <v>6.9098792399999998E-2</v>
      </c>
      <c r="F54" s="105" t="str" cm="1">
        <f t="array" ref="F54">Common_Equations.Common_ConvertN2OToCO2e_Unit()</f>
        <v>t CO2e</v>
      </c>
      <c r="M54" s="45" t="s">
        <v>100</v>
      </c>
      <c r="N54" s="45" cm="1">
        <f t="array" ref="N54">Common_Equations.Common_ConvertN2OToCO2e(P51,P52)</f>
        <v>6.9098792399999998E-2</v>
      </c>
      <c r="O54" s="105" t="str" cm="1">
        <f t="array" ref="O54">Common_Equations.Common_ConvertN2OToCO2e_Unit()</f>
        <v>t CO2e</v>
      </c>
    </row>
    <row r="55" spans="1:16" ht="20.100000000000001" customHeight="1" x14ac:dyDescent="0.25"/>
    <row r="56" spans="1:16" ht="20.100000000000001" customHeight="1" x14ac:dyDescent="0.25"/>
    <row r="57" spans="1:16" ht="20.100000000000001" customHeight="1" x14ac:dyDescent="0.25"/>
    <row r="58" spans="1:16" ht="20.100000000000001" customHeight="1" x14ac:dyDescent="0.25"/>
    <row r="59" spans="1:16" ht="20.100000000000001" customHeight="1" x14ac:dyDescent="0.25"/>
    <row r="60" spans="1:16" ht="20.100000000000001" customHeight="1" x14ac:dyDescent="0.25"/>
    <row r="61" spans="1:16" ht="20.100000000000001" customHeight="1" x14ac:dyDescent="0.25"/>
    <row r="62" spans="1:16" ht="20.100000000000001" customHeight="1" x14ac:dyDescent="0.25"/>
    <row r="63" spans="1:16" ht="20.100000000000001" customHeight="1" x14ac:dyDescent="0.25"/>
    <row r="64" spans="1:1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66575-F465-4E80-A051-488250B82152}">
  <dimension ref="A1:U286"/>
  <sheetViews>
    <sheetView showGridLines="0" topLeftCell="A78" workbookViewId="0">
      <selection activeCell="A13" sqref="A1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8" t="e" vm="1">
        <v>#VALUE!</v>
      </c>
      <c r="C1" s="8" t="s">
        <v>292</v>
      </c>
    </row>
    <row r="2" spans="1:21" s="9" customFormat="1" ht="20.100000000000001" customHeight="1" x14ac:dyDescent="0.25"/>
    <row r="3" spans="1:21" ht="20.100000000000001" customHeight="1" x14ac:dyDescent="0.25">
      <c r="A3" s="17" t="str">
        <f>HYPERLINK("#'Home'!A1", "Home")</f>
        <v>Home</v>
      </c>
      <c r="C3" s="4"/>
      <c r="D3" s="4" t="s">
        <v>101</v>
      </c>
      <c r="E3" s="4"/>
      <c r="F3" s="4"/>
      <c r="G3" s="4"/>
      <c r="H3" s="4"/>
      <c r="I3" s="4"/>
      <c r="J3" s="4"/>
      <c r="K3" s="4"/>
      <c r="M3" s="4"/>
      <c r="N3" s="4" t="s">
        <v>102</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MMS_Swine_ManureAppliedToSoils_Equations.VEERG_4_5_1_9__1_MassOfNitrogenAppliedToSoilsScope1_Title()</f>
        <v>Mass of nitrogen applied to soils for scope 1 emissions</v>
      </c>
    </row>
    <row r="6" spans="1:21" ht="20.100000000000001" customHeight="1" x14ac:dyDescent="0.25">
      <c r="A6" s="16"/>
      <c r="D6" s="5" t="str" cm="1">
        <f t="array" ref="D6">MMS_Swine_ManureAppliedToSoils_Equations.VEERG_4_5_1_9__1_MassOfNitrogenAppliedToSoilsScope1_Source()</f>
        <v>VEERG 2026: 4.5.1.9, Equation (1)</v>
      </c>
    </row>
    <row r="7" spans="1:21" ht="20.100000000000001" customHeight="1" x14ac:dyDescent="0.25">
      <c r="A7" s="20" t="s">
        <v>3</v>
      </c>
      <c r="D7" s="13" t="s">
        <v>26</v>
      </c>
      <c r="E7" s="13" t="str" cm="1">
        <f t="array" aca="1" ref="E7" ca="1">Common_InputFunctions.Utility_DisplayFunctionName(F134)</f>
        <v>=MMS_Swine_ManureAppliedToSoils_Equations.VEERG_4_5_1_9__1_MassOfNitrogenAppliedToSoilsScope1</v>
      </c>
    </row>
    <row r="8" spans="1:21" ht="20.100000000000001" customHeight="1" x14ac:dyDescent="0.25">
      <c r="A8" s="17" t="str">
        <f>HYPERLINK("#'Input - Site'!A1", "Site")</f>
        <v>Site</v>
      </c>
    </row>
    <row r="9" spans="1:21" ht="20.100000000000001" customHeight="1" x14ac:dyDescent="0.25">
      <c r="A9" s="17" t="str">
        <f>HYPERLINK("#'Input - Swine'!A1", "Swine")</f>
        <v>Swine</v>
      </c>
      <c r="G9" s="107" t="s">
        <v>294</v>
      </c>
    </row>
    <row r="10" spans="1:21" ht="20.100000000000001" customHeight="1" x14ac:dyDescent="0.25">
      <c r="A10" s="17"/>
      <c r="D10" s="53" t="s">
        <v>29</v>
      </c>
      <c r="E10" s="1" t="str" cm="1">
        <f t="array" ref="E10">MMS_Swine_ManureAppliedToSoils_Equations.VEERG_4_5_1_9__1_MassOfNitrogenAppliedToSoilsScope1_Variable()</f>
        <v>MNSoil_scope1</v>
      </c>
      <c r="G10" s="5" t="s">
        <v>293</v>
      </c>
    </row>
    <row r="11" spans="1:21" ht="20.100000000000001" customHeight="1" x14ac:dyDescent="0.25">
      <c r="A11" s="19" t="s">
        <v>76</v>
      </c>
      <c r="D11" s="53" t="s">
        <v>19</v>
      </c>
      <c r="E11" s="54" t="str" cm="1">
        <f t="array" ref="E11">MMS_Swine_ManureAppliedToSoils_Equations.VEERG_4_5_1_9__1_MassOfNitrogenAppliedToSoilsScope1_Unit()</f>
        <v>kg N</v>
      </c>
    </row>
    <row r="12" spans="1:21" ht="20.100000000000001" customHeight="1" x14ac:dyDescent="0.25">
      <c r="A12" s="17" t="str">
        <f>HYPERLINK("#'4.5.1.1-2 Methane'!A1", "4.5.1.1-2 Methane")</f>
        <v>4.5.1.1-2 Methane</v>
      </c>
    </row>
    <row r="13" spans="1:21" ht="20.100000000000001" customHeight="1" x14ac:dyDescent="0.25">
      <c r="A13" s="17" t="str">
        <f>HYPERLINK("#'4.5.1.3-4 Direct N2O'!A1", "4.5.1.3-4 Direct N2O")</f>
        <v>4.5.1.3-4 Direct N2O</v>
      </c>
      <c r="D13" s="57" t="str" cm="1">
        <f t="array" ref="D13:E17">Common_InputFunctions.Utility_DisplayArguments_1_2(MMS_Swine_ManureAppliedToSoils_Equations.VEERG_4_5_1_9__1_MassOfNitrogenAppliedToSoilsScope1_Arguments())</f>
        <v>MN_jmT2</v>
      </c>
      <c r="E13" s="58" t="str">
        <v>mass of N in MMS at treatment stage 2</v>
      </c>
      <c r="F13" s="100"/>
      <c r="G13" s="59" t="str" cm="1">
        <f t="array" ref="G13:H17">Common_InputFunctions.Utility_DisplayArguments_3_4(MMS_Swine_ManureAppliedToSoils_Equations.VEERG_4_5_1_9__1_MassOfNitrogenAppliedToSoilsScope1_Arguments())</f>
        <v>kg N</v>
      </c>
      <c r="H13" s="139" t="str">
        <v>Calculated from 4.5.1.3 (6)</v>
      </c>
      <c r="I13" s="141" t="str" cm="1">
        <f t="array" aca="1" ref="I13" ca="1">HYPERLINK(Common_InputFunctions.Utility_SourceHyperlink(D19), D19)</f>
        <v>M1_Table_MN_j_m_T-2</v>
      </c>
    </row>
    <row r="14" spans="1:21" ht="20.100000000000001" customHeight="1" x14ac:dyDescent="0.25">
      <c r="A14" s="17" t="str">
        <f>HYPERLINK("#'4.5.1.5-6 Atmos Dep'!A1", "4.5.1.5-6 Soil atm. deposition")</f>
        <v>4.5.1.5-6 Soil atm. deposition</v>
      </c>
      <c r="D14" s="57" t="str">
        <v>EF_mT2</v>
      </c>
      <c r="E14" s="58" t="str">
        <v>nitrous oxide emission factor for each MMS at treatment stage 2</v>
      </c>
      <c r="F14" s="100"/>
      <c r="G14" s="59" t="str">
        <v>kg N2O-N/kg N</v>
      </c>
      <c r="H14" s="139" t="str">
        <v>Constant</v>
      </c>
      <c r="I14" s="141" t="str" cm="1">
        <f t="array" aca="1" ref="I14" ca="1">HYPERLINK(Common_InputFunctions.Utility_SourceHyperlink(D120), D120)</f>
        <v>Table_EF_m_T</v>
      </c>
    </row>
    <row r="15" spans="1:21" ht="20.100000000000001" customHeight="1" x14ac:dyDescent="0.25">
      <c r="A15" s="17" t="str">
        <f>HYPERLINK("#'4.5.1.7-8 Leaching and runoff'!A1", "4.5.1.7-8 Leaching &amp; runoff")</f>
        <v>4.5.1.7-8 Leaching &amp; runoff</v>
      </c>
      <c r="D15" s="57" t="str">
        <v>FracGASM_mT2</v>
      </c>
      <c r="E15" s="58" t="str">
        <v>fraction of animal waste N volatilised in each MMS at treatment stage 2</v>
      </c>
      <c r="F15" s="100"/>
      <c r="G15" s="59" t="str">
        <v>(kg NH3-N + NOx-N)/kg N</v>
      </c>
      <c r="H15" s="139" t="str">
        <v>Constant</v>
      </c>
      <c r="I15" s="141" t="str" cm="1">
        <f t="array" aca="1" ref="I15" ca="1">HYPERLINK(Common_InputFunctions.Utility_SourceHyperlink(D109), D109)</f>
        <v>Table_FracGASM_m_t</v>
      </c>
    </row>
    <row r="16" spans="1:21" ht="20.100000000000001" customHeight="1" x14ac:dyDescent="0.25">
      <c r="A16" s="17" t="str">
        <f>HYPERLINK("#'4.5.1.9 Manure applied to soils'!A1", "4.5.1.9 Manure applied to soils")</f>
        <v>4.5.1.9 Manure applied to soils</v>
      </c>
      <c r="D16" s="57" t="str">
        <v>MNLeach_jm5</v>
      </c>
      <c r="E16" s="58" t="str">
        <v>mass of N lost to leaching and runoff from drylot MMS</v>
      </c>
      <c r="F16" s="100"/>
      <c r="G16" s="59" t="str">
        <v>kg N</v>
      </c>
      <c r="H16" s="139" t="str">
        <v>Calculated from 4.5.1.7 (2)</v>
      </c>
      <c r="I16" s="141" t="str" cm="1">
        <f t="array" aca="1" ref="I16" ca="1">HYPERLINK(Common_InputFunctions.Utility_SourceHyperlink(D49), D49)</f>
        <v>M1_Table_MN_leach_j_m-5</v>
      </c>
    </row>
    <row r="17" spans="1:20" ht="20.100000000000001" customHeight="1" x14ac:dyDescent="0.25">
      <c r="D17" s="57" t="str">
        <v>PF</v>
      </c>
      <c r="E17" s="58" t="str">
        <v>fraction of manure applied to soil within the piggery boundary</v>
      </c>
      <c r="F17" s="100"/>
      <c r="G17" s="59" t="str">
        <v>fraction</v>
      </c>
      <c r="H17" s="140" t="str">
        <v>Input</v>
      </c>
      <c r="I17" s="141" t="str" cm="1">
        <f t="array" aca="1" ref="I17" ca="1">HYPERLINK(Common_InputFunctions.Utility_SourceHyperlink(D79), D79)</f>
        <v>M1_Table_PF</v>
      </c>
    </row>
    <row r="18" spans="1:20" ht="20.100000000000001" customHeight="1" x14ac:dyDescent="0.25">
      <c r="A18" s="18" t="s">
        <v>4</v>
      </c>
    </row>
    <row r="19" spans="1:20" ht="20.100000000000001" customHeight="1" x14ac:dyDescent="0.25">
      <c r="A19" s="17" t="str">
        <f>HYPERLINK("#'Constants - Swine'!A1", "Constants - Swine")</f>
        <v>Constants - Swine</v>
      </c>
      <c r="D19" s="121" t="s">
        <v>258</v>
      </c>
      <c r="N19" s="121" t="s">
        <v>314</v>
      </c>
    </row>
    <row r="20" spans="1:20" ht="20.100000000000001" customHeight="1" x14ac:dyDescent="0.25">
      <c r="A20" s="17" t="str">
        <f>HYPERLINK("#'Constants - Livestock'!A1", "Constants - Livestock")</f>
        <v>Constants - Livestock</v>
      </c>
      <c r="D20" s="122" t="s">
        <v>259</v>
      </c>
      <c r="N20" s="122" t="s">
        <v>315</v>
      </c>
    </row>
    <row r="21" spans="1:20" ht="20.100000000000001" customHeight="1" x14ac:dyDescent="0.25">
      <c r="A21" s="17" t="str">
        <f>HYPERLINK("#'Constants - Common'!A1", "Constants - Common")</f>
        <v>Constants - Common</v>
      </c>
      <c r="D21" s="51" t="s">
        <v>163</v>
      </c>
      <c r="E21" s="51" t="s">
        <v>171</v>
      </c>
      <c r="F21" s="51" t="s">
        <v>142</v>
      </c>
      <c r="G21" s="51" t="s">
        <v>143</v>
      </c>
      <c r="H21" s="51" t="s">
        <v>144</v>
      </c>
      <c r="I21" s="51" t="s">
        <v>206</v>
      </c>
      <c r="N21" s="51" t="s">
        <v>163</v>
      </c>
      <c r="O21" s="51" t="s">
        <v>171</v>
      </c>
      <c r="P21" s="51" t="s">
        <v>142</v>
      </c>
      <c r="Q21" s="51" t="s">
        <v>143</v>
      </c>
      <c r="R21" s="51" t="s">
        <v>144</v>
      </c>
      <c r="S21" s="51" t="s">
        <v>206</v>
      </c>
    </row>
    <row r="22" spans="1:20" ht="20.100000000000001" customHeight="1" x14ac:dyDescent="0.25">
      <c r="A22" s="17" t="str">
        <f>HYPERLINK("#'Acknowledgements'!A1", "Acknowledgements")</f>
        <v>Acknowledgements</v>
      </c>
      <c r="D22" s="57" t="str">
        <f>'Input - Swine'!$D$29</f>
        <v>Anaerobic lagoon</v>
      </c>
      <c r="E22" s="57" t="str">
        <f>'Input - Swine'!$D$48</f>
        <v>Digester / covered lagoons</v>
      </c>
      <c r="F22" s="52">
        <f>'4.5.1.3-4 Direct N2O'!F217</f>
        <v>18.133199999999995</v>
      </c>
      <c r="G22" s="52">
        <f>'4.5.1.3-4 Direct N2O'!G217</f>
        <v>24.144750000000002</v>
      </c>
      <c r="H22" s="52">
        <f>'4.5.1.3-4 Direct N2O'!H217</f>
        <v>22.666499999999992</v>
      </c>
      <c r="I22" s="52">
        <f>'4.5.1.3-4 Direct N2O'!I217</f>
        <v>15.373799999999996</v>
      </c>
      <c r="J22" s="2" t="str">
        <f>$G$13</f>
        <v>kg N</v>
      </c>
      <c r="N22" s="57" t="str">
        <f>'Input - Swine'!$D$29</f>
        <v>Anaerobic lagoon</v>
      </c>
      <c r="O22" s="57" t="str">
        <f>'Input - Swine'!$D$48</f>
        <v>Digester / covered lagoons</v>
      </c>
      <c r="P22" s="52">
        <f>'4.5.1.3-4 Direct N2O'!P217</f>
        <v>18.133199999999995</v>
      </c>
      <c r="Q22" s="52">
        <f>'4.5.1.3-4 Direct N2O'!Q217</f>
        <v>24.144750000000002</v>
      </c>
      <c r="R22" s="52">
        <f>'4.5.1.3-4 Direct N2O'!R217</f>
        <v>22.666499999999992</v>
      </c>
      <c r="S22" s="52">
        <f>'4.5.1.3-4 Direct N2O'!S217</f>
        <v>15.373799999999996</v>
      </c>
      <c r="T22" s="2" t="str">
        <f>$G$13</f>
        <v>kg N</v>
      </c>
    </row>
    <row r="23" spans="1:20" ht="20.100000000000001" customHeight="1" x14ac:dyDescent="0.25">
      <c r="D23" s="57"/>
      <c r="E23" s="57" t="str">
        <f>'Input - Swine'!$D$49</f>
        <v>Deep litter</v>
      </c>
      <c r="F23" s="52">
        <f>'4.5.1.3-4 Direct N2O'!F218</f>
        <v>18.133199999999995</v>
      </c>
      <c r="G23" s="52">
        <f>'4.5.1.3-4 Direct N2O'!G218</f>
        <v>24.144750000000002</v>
      </c>
      <c r="H23" s="52">
        <f>'4.5.1.3-4 Direct N2O'!H218</f>
        <v>22.666499999999992</v>
      </c>
      <c r="I23" s="52">
        <f>'4.5.1.3-4 Direct N2O'!I218</f>
        <v>15.373799999999996</v>
      </c>
      <c r="J23" s="2"/>
      <c r="N23" s="57"/>
      <c r="O23" s="57" t="str">
        <f>'Input - Swine'!$D$49</f>
        <v>Deep litter</v>
      </c>
      <c r="P23" s="52">
        <f>'4.5.1.3-4 Direct N2O'!P218</f>
        <v>18.133199999999995</v>
      </c>
      <c r="Q23" s="52">
        <f>'4.5.1.3-4 Direct N2O'!Q218</f>
        <v>24.144750000000002</v>
      </c>
      <c r="R23" s="52">
        <f>'4.5.1.3-4 Direct N2O'!R218</f>
        <v>22.666499999999992</v>
      </c>
      <c r="S23" s="52">
        <f>'4.5.1.3-4 Direct N2O'!S218</f>
        <v>15.373799999999996</v>
      </c>
      <c r="T23" s="2"/>
    </row>
    <row r="24" spans="1:20" ht="20.100000000000001" customHeight="1" x14ac:dyDescent="0.25">
      <c r="A24" s="17"/>
      <c r="D24" s="57"/>
      <c r="E24" s="57" t="str">
        <f>'Input - Swine'!$D$50</f>
        <v>Pit storage</v>
      </c>
      <c r="F24" s="52">
        <f>'4.5.1.3-4 Direct N2O'!F219</f>
        <v>18.133199999999995</v>
      </c>
      <c r="G24" s="52">
        <f>'4.5.1.3-4 Direct N2O'!G219</f>
        <v>24.144750000000002</v>
      </c>
      <c r="H24" s="52">
        <f>'4.5.1.3-4 Direct N2O'!H219</f>
        <v>22.666499999999992</v>
      </c>
      <c r="I24" s="52">
        <f>'4.5.1.3-4 Direct N2O'!I219</f>
        <v>15.373799999999996</v>
      </c>
      <c r="J24" s="2"/>
      <c r="N24" s="57"/>
      <c r="O24" s="57" t="str">
        <f>'Input - Swine'!$D$50</f>
        <v>Pit storage</v>
      </c>
      <c r="P24" s="52">
        <f>'4.5.1.3-4 Direct N2O'!P219</f>
        <v>18.133199999999995</v>
      </c>
      <c r="Q24" s="52">
        <f>'4.5.1.3-4 Direct N2O'!Q219</f>
        <v>24.144750000000002</v>
      </c>
      <c r="R24" s="52">
        <f>'4.5.1.3-4 Direct N2O'!R219</f>
        <v>22.666499999999992</v>
      </c>
      <c r="S24" s="52">
        <f>'4.5.1.3-4 Direct N2O'!S219</f>
        <v>15.373799999999996</v>
      </c>
      <c r="T24" s="2"/>
    </row>
    <row r="25" spans="1:20" ht="20.100000000000001" customHeight="1" x14ac:dyDescent="0.25">
      <c r="D25" s="57"/>
      <c r="E25" s="57" t="str">
        <f>'Input - Swine'!$D$51</f>
        <v>Direct application</v>
      </c>
      <c r="F25" s="52">
        <f>'4.5.1.3-4 Direct N2O'!F220</f>
        <v>36.266399999999976</v>
      </c>
      <c r="G25" s="52">
        <f>'4.5.1.3-4 Direct N2O'!G220</f>
        <v>24.144750000000002</v>
      </c>
      <c r="H25" s="52">
        <f>'4.5.1.3-4 Direct N2O'!H220</f>
        <v>22.666499999999992</v>
      </c>
      <c r="I25" s="52">
        <f>'4.5.1.3-4 Direct N2O'!I220</f>
        <v>15.373799999999996</v>
      </c>
      <c r="J25" s="2"/>
      <c r="N25" s="57"/>
      <c r="O25" s="57" t="str">
        <f>'Input - Swine'!$D$51</f>
        <v>Direct application</v>
      </c>
      <c r="P25" s="52">
        <f>'4.5.1.3-4 Direct N2O'!P220</f>
        <v>36.266399999999976</v>
      </c>
      <c r="Q25" s="52">
        <f>'4.5.1.3-4 Direct N2O'!Q220</f>
        <v>24.144750000000002</v>
      </c>
      <c r="R25" s="52">
        <f>'4.5.1.3-4 Direct N2O'!R220</f>
        <v>22.666499999999992</v>
      </c>
      <c r="S25" s="52">
        <f>'4.5.1.3-4 Direct N2O'!S220</f>
        <v>15.373799999999996</v>
      </c>
      <c r="T25" s="2"/>
    </row>
    <row r="26" spans="1:20" ht="20.100000000000001" customHeight="1" x14ac:dyDescent="0.25">
      <c r="D26" s="57" t="str">
        <f>'Input - Swine'!$D$30</f>
        <v>Drylot (feed pad)</v>
      </c>
      <c r="E26" s="57" t="str">
        <f>'Input - Swine'!$D$55</f>
        <v>Anaerobic lagoon</v>
      </c>
      <c r="F26" s="52">
        <f>'4.5.1.3-4 Direct N2O'!F221</f>
        <v>27.401279999999993</v>
      </c>
      <c r="G26" s="52">
        <f>'4.5.1.3-4 Direct N2O'!G221</f>
        <v>36.485400000000006</v>
      </c>
      <c r="H26" s="52">
        <f>'4.5.1.3-4 Direct N2O'!H221</f>
        <v>34.251599999999989</v>
      </c>
      <c r="I26" s="52">
        <f>'4.5.1.3-4 Direct N2O'!I221</f>
        <v>23.231519999999993</v>
      </c>
      <c r="J26" s="2"/>
      <c r="N26" s="57" t="str">
        <f>'Input - Swine'!$D$30</f>
        <v>Drylot (feed pad)</v>
      </c>
      <c r="O26" s="57" t="str">
        <f>'Input - Swine'!$D$55</f>
        <v>Anaerobic lagoon</v>
      </c>
      <c r="P26" s="52">
        <f>'4.5.1.3-4 Direct N2O'!P221</f>
        <v>27.401279999999993</v>
      </c>
      <c r="Q26" s="52">
        <f>'4.5.1.3-4 Direct N2O'!Q221</f>
        <v>36.485400000000006</v>
      </c>
      <c r="R26" s="52">
        <f>'4.5.1.3-4 Direct N2O'!R221</f>
        <v>34.251599999999989</v>
      </c>
      <c r="S26" s="52">
        <f>'4.5.1.3-4 Direct N2O'!S221</f>
        <v>23.231519999999993</v>
      </c>
      <c r="T26" s="2"/>
    </row>
    <row r="27" spans="1:20" ht="20.100000000000001" customHeight="1" x14ac:dyDescent="0.25">
      <c r="D27" s="57"/>
      <c r="E27" s="57" t="str">
        <f>'Input - Swine'!$D$56</f>
        <v>Digester / covered lagoons</v>
      </c>
      <c r="F27" s="52">
        <f>'4.5.1.3-4 Direct N2O'!F222</f>
        <v>27.401279999999993</v>
      </c>
      <c r="G27" s="52">
        <f>'4.5.1.3-4 Direct N2O'!G222</f>
        <v>36.485400000000006</v>
      </c>
      <c r="H27" s="52">
        <f>'4.5.1.3-4 Direct N2O'!H222</f>
        <v>34.251599999999989</v>
      </c>
      <c r="I27" s="52">
        <f>'4.5.1.3-4 Direct N2O'!I222</f>
        <v>23.231519999999993</v>
      </c>
      <c r="J27" s="2"/>
      <c r="N27" s="57"/>
      <c r="O27" s="57" t="str">
        <f>'Input - Swine'!$D$56</f>
        <v>Digester / covered lagoons</v>
      </c>
      <c r="P27" s="52">
        <f>'4.5.1.3-4 Direct N2O'!P222</f>
        <v>27.401279999999993</v>
      </c>
      <c r="Q27" s="52">
        <f>'4.5.1.3-4 Direct N2O'!Q222</f>
        <v>36.485400000000006</v>
      </c>
      <c r="R27" s="52">
        <f>'4.5.1.3-4 Direct N2O'!R222</f>
        <v>34.251599999999989</v>
      </c>
      <c r="S27" s="52">
        <f>'4.5.1.3-4 Direct N2O'!S222</f>
        <v>23.231519999999993</v>
      </c>
      <c r="T27" s="2"/>
    </row>
    <row r="28" spans="1:20" ht="20.100000000000001" customHeight="1" x14ac:dyDescent="0.25">
      <c r="D28" s="57"/>
      <c r="E28" s="57" t="str">
        <f>'Input - Swine'!$D$57</f>
        <v>Deep litter</v>
      </c>
      <c r="F28" s="52">
        <f>'4.5.1.3-4 Direct N2O'!F223</f>
        <v>27.401279999999993</v>
      </c>
      <c r="G28" s="52">
        <f>'4.5.1.3-4 Direct N2O'!G223</f>
        <v>36.485400000000006</v>
      </c>
      <c r="H28" s="52">
        <f>'4.5.1.3-4 Direct N2O'!H223</f>
        <v>34.251599999999989</v>
      </c>
      <c r="I28" s="52">
        <f>'4.5.1.3-4 Direct N2O'!I223</f>
        <v>23.231519999999993</v>
      </c>
      <c r="J28" s="2"/>
      <c r="N28" s="57"/>
      <c r="O28" s="57" t="str">
        <f>'Input - Swine'!$D$57</f>
        <v>Deep litter</v>
      </c>
      <c r="P28" s="52">
        <f>'4.5.1.3-4 Direct N2O'!P223</f>
        <v>27.401279999999993</v>
      </c>
      <c r="Q28" s="52">
        <f>'4.5.1.3-4 Direct N2O'!Q223</f>
        <v>36.485400000000006</v>
      </c>
      <c r="R28" s="52">
        <f>'4.5.1.3-4 Direct N2O'!R223</f>
        <v>34.251599999999989</v>
      </c>
      <c r="S28" s="52">
        <f>'4.5.1.3-4 Direct N2O'!S223</f>
        <v>23.231519999999993</v>
      </c>
      <c r="T28" s="2"/>
    </row>
    <row r="29" spans="1:20" ht="20.100000000000001" customHeight="1" x14ac:dyDescent="0.25">
      <c r="D29" s="57"/>
      <c r="E29" s="57" t="str">
        <f>'Input - Swine'!$D$58</f>
        <v>Pit storage</v>
      </c>
      <c r="F29" s="52">
        <f>'4.5.1.3-4 Direct N2O'!F224</f>
        <v>27.401279999999993</v>
      </c>
      <c r="G29" s="52">
        <f>'4.5.1.3-4 Direct N2O'!G224</f>
        <v>36.485400000000006</v>
      </c>
      <c r="H29" s="52">
        <f>'4.5.1.3-4 Direct N2O'!H224</f>
        <v>34.251599999999989</v>
      </c>
      <c r="I29" s="52">
        <f>'4.5.1.3-4 Direct N2O'!I224</f>
        <v>23.231519999999993</v>
      </c>
      <c r="J29" s="2"/>
      <c r="N29" s="57"/>
      <c r="O29" s="57" t="str">
        <f>'Input - Swine'!$D$58</f>
        <v>Pit storage</v>
      </c>
      <c r="P29" s="52">
        <f>'4.5.1.3-4 Direct N2O'!P224</f>
        <v>27.401279999999993</v>
      </c>
      <c r="Q29" s="52">
        <f>'4.5.1.3-4 Direct N2O'!Q224</f>
        <v>36.485400000000006</v>
      </c>
      <c r="R29" s="52">
        <f>'4.5.1.3-4 Direct N2O'!R224</f>
        <v>34.251599999999989</v>
      </c>
      <c r="S29" s="52">
        <f>'4.5.1.3-4 Direct N2O'!S224</f>
        <v>23.231519999999993</v>
      </c>
      <c r="T29" s="2"/>
    </row>
    <row r="30" spans="1:20" ht="20.100000000000001" customHeight="1" x14ac:dyDescent="0.25">
      <c r="D30" s="57"/>
      <c r="E30" s="57" t="str">
        <f>'Input - Swine'!$D$59</f>
        <v>Direct application</v>
      </c>
      <c r="F30" s="52">
        <f>'4.5.1.3-4 Direct N2O'!F225</f>
        <v>27.401279999999986</v>
      </c>
      <c r="G30" s="52">
        <f>'4.5.1.3-4 Direct N2O'!G225</f>
        <v>0</v>
      </c>
      <c r="H30" s="52">
        <f>'4.5.1.3-4 Direct N2O'!H225</f>
        <v>0</v>
      </c>
      <c r="I30" s="52">
        <f>'4.5.1.3-4 Direct N2O'!I225</f>
        <v>0</v>
      </c>
      <c r="J30" s="2"/>
      <c r="N30" s="57"/>
      <c r="O30" s="57" t="str">
        <f>'Input - Swine'!$D$59</f>
        <v>Direct application</v>
      </c>
      <c r="P30" s="52">
        <f>'4.5.1.3-4 Direct N2O'!P225</f>
        <v>27.401279999999986</v>
      </c>
      <c r="Q30" s="52">
        <f>'4.5.1.3-4 Direct N2O'!Q225</f>
        <v>0</v>
      </c>
      <c r="R30" s="52">
        <f>'4.5.1.3-4 Direct N2O'!R225</f>
        <v>0</v>
      </c>
      <c r="S30" s="52">
        <f>'4.5.1.3-4 Direct N2O'!S225</f>
        <v>0</v>
      </c>
      <c r="T30" s="2"/>
    </row>
    <row r="31" spans="1:20" ht="20.100000000000001" customHeight="1" x14ac:dyDescent="0.25">
      <c r="D31" s="57" t="str">
        <f>'Input - Swine'!$D$31</f>
        <v>Digester / covered lagoons</v>
      </c>
      <c r="E31" s="57" t="str">
        <f>'Input - Swine'!$D$63</f>
        <v>Anaerobic lagoon</v>
      </c>
      <c r="F31" s="52">
        <f>'4.5.1.3-4 Direct N2O'!F226</f>
        <v>40.295999999999992</v>
      </c>
      <c r="G31" s="52">
        <f>'4.5.1.3-4 Direct N2O'!G226</f>
        <v>53.655000000000008</v>
      </c>
      <c r="H31" s="52">
        <f>'4.5.1.3-4 Direct N2O'!H226</f>
        <v>50.36999999999999</v>
      </c>
      <c r="I31" s="52">
        <f>'4.5.1.3-4 Direct N2O'!I226</f>
        <v>34.163999999999994</v>
      </c>
      <c r="J31" s="2"/>
      <c r="N31" s="57" t="str">
        <f>'Input - Swine'!$D$31</f>
        <v>Digester / covered lagoons</v>
      </c>
      <c r="O31" s="57" t="str">
        <f>'Input - Swine'!$D$63</f>
        <v>Anaerobic lagoon</v>
      </c>
      <c r="P31" s="52">
        <f>'4.5.1.3-4 Direct N2O'!P226</f>
        <v>40.295999999999992</v>
      </c>
      <c r="Q31" s="52">
        <f>'4.5.1.3-4 Direct N2O'!Q226</f>
        <v>53.655000000000008</v>
      </c>
      <c r="R31" s="52">
        <f>'4.5.1.3-4 Direct N2O'!R226</f>
        <v>50.36999999999999</v>
      </c>
      <c r="S31" s="52">
        <f>'4.5.1.3-4 Direct N2O'!S226</f>
        <v>34.163999999999994</v>
      </c>
      <c r="T31" s="2"/>
    </row>
    <row r="32" spans="1:20" ht="20.100000000000001" customHeight="1" x14ac:dyDescent="0.25">
      <c r="D32" s="57"/>
      <c r="E32" s="57" t="str">
        <f>'Input - Swine'!$D$64</f>
        <v>Deep litter</v>
      </c>
      <c r="F32" s="52">
        <f>'4.5.1.3-4 Direct N2O'!F227</f>
        <v>40.295999999999992</v>
      </c>
      <c r="G32" s="52">
        <f>'4.5.1.3-4 Direct N2O'!G227</f>
        <v>53.655000000000008</v>
      </c>
      <c r="H32" s="52">
        <f>'4.5.1.3-4 Direct N2O'!H227</f>
        <v>50.36999999999999</v>
      </c>
      <c r="I32" s="52">
        <f>'4.5.1.3-4 Direct N2O'!I227</f>
        <v>34.163999999999994</v>
      </c>
      <c r="J32" s="2"/>
      <c r="N32" s="57"/>
      <c r="O32" s="57" t="str">
        <f>'Input - Swine'!$D$64</f>
        <v>Deep litter</v>
      </c>
      <c r="P32" s="52">
        <f>'4.5.1.3-4 Direct N2O'!P227</f>
        <v>40.295999999999992</v>
      </c>
      <c r="Q32" s="52">
        <f>'4.5.1.3-4 Direct N2O'!Q227</f>
        <v>53.655000000000008</v>
      </c>
      <c r="R32" s="52">
        <f>'4.5.1.3-4 Direct N2O'!R227</f>
        <v>50.36999999999999</v>
      </c>
      <c r="S32" s="52">
        <f>'4.5.1.3-4 Direct N2O'!S227</f>
        <v>34.163999999999994</v>
      </c>
      <c r="T32" s="2"/>
    </row>
    <row r="33" spans="4:20" ht="20.100000000000001" customHeight="1" x14ac:dyDescent="0.25">
      <c r="D33" s="57"/>
      <c r="E33" s="57" t="str">
        <f>'Input - Swine'!$D$65</f>
        <v>Pit storage</v>
      </c>
      <c r="F33" s="52">
        <f>'4.5.1.3-4 Direct N2O'!F228</f>
        <v>40.295999999999992</v>
      </c>
      <c r="G33" s="52">
        <f>'4.5.1.3-4 Direct N2O'!G228</f>
        <v>53.655000000000008</v>
      </c>
      <c r="H33" s="52">
        <f>'4.5.1.3-4 Direct N2O'!H228</f>
        <v>50.36999999999999</v>
      </c>
      <c r="I33" s="52">
        <f>'4.5.1.3-4 Direct N2O'!I228</f>
        <v>34.163999999999994</v>
      </c>
      <c r="J33" s="2"/>
      <c r="N33" s="57"/>
      <c r="O33" s="57" t="str">
        <f>'Input - Swine'!$D$65</f>
        <v>Pit storage</v>
      </c>
      <c r="P33" s="52">
        <f>'4.5.1.3-4 Direct N2O'!P228</f>
        <v>40.295999999999992</v>
      </c>
      <c r="Q33" s="52">
        <f>'4.5.1.3-4 Direct N2O'!Q228</f>
        <v>53.655000000000008</v>
      </c>
      <c r="R33" s="52">
        <f>'4.5.1.3-4 Direct N2O'!R228</f>
        <v>50.36999999999999</v>
      </c>
      <c r="S33" s="52">
        <f>'4.5.1.3-4 Direct N2O'!S228</f>
        <v>34.163999999999994</v>
      </c>
      <c r="T33" s="2"/>
    </row>
    <row r="34" spans="4:20" ht="20.100000000000001" customHeight="1" x14ac:dyDescent="0.25">
      <c r="D34" s="57"/>
      <c r="E34" s="57" t="str">
        <f>'Input - Swine'!$D$66</f>
        <v>Direct application</v>
      </c>
      <c r="F34" s="52">
        <f>'4.5.1.3-4 Direct N2O'!F229</f>
        <v>80.59199999999997</v>
      </c>
      <c r="G34" s="52">
        <f>'4.5.1.3-4 Direct N2O'!G229</f>
        <v>53.655000000000008</v>
      </c>
      <c r="H34" s="52">
        <f>'4.5.1.3-4 Direct N2O'!H229</f>
        <v>50.36999999999999</v>
      </c>
      <c r="I34" s="52">
        <f>'4.5.1.3-4 Direct N2O'!I229</f>
        <v>34.163999999999994</v>
      </c>
      <c r="J34" s="2"/>
      <c r="N34" s="57"/>
      <c r="O34" s="57" t="str">
        <f>'Input - Swine'!$D$66</f>
        <v>Direct application</v>
      </c>
      <c r="P34" s="52">
        <f>'4.5.1.3-4 Direct N2O'!P229</f>
        <v>80.59199999999997</v>
      </c>
      <c r="Q34" s="52">
        <f>'4.5.1.3-4 Direct N2O'!Q229</f>
        <v>53.655000000000008</v>
      </c>
      <c r="R34" s="52">
        <f>'4.5.1.3-4 Direct N2O'!R229</f>
        <v>50.36999999999999</v>
      </c>
      <c r="S34" s="52">
        <f>'4.5.1.3-4 Direct N2O'!S229</f>
        <v>34.163999999999994</v>
      </c>
      <c r="T34" s="2"/>
    </row>
    <row r="35" spans="4:20" ht="20.100000000000001" customHeight="1" x14ac:dyDescent="0.25">
      <c r="D35" s="57" t="str">
        <f>'Input - Swine'!$D$32</f>
        <v>Deep litter</v>
      </c>
      <c r="E35" s="57" t="str">
        <f>'Input - Swine'!$D$70</f>
        <v>Anaerobic lagoon</v>
      </c>
      <c r="F35" s="52">
        <f>'4.5.1.3-4 Direct N2O'!F230</f>
        <v>34.856039999999993</v>
      </c>
      <c r="G35" s="52">
        <f>'4.5.1.3-4 Direct N2O'!G230</f>
        <v>46.411575000000006</v>
      </c>
      <c r="H35" s="52">
        <f>'4.5.1.3-4 Direct N2O'!H230</f>
        <v>43.570049999999988</v>
      </c>
      <c r="I35" s="52">
        <f>'4.5.1.3-4 Direct N2O'!I230</f>
        <v>29.551859999999994</v>
      </c>
      <c r="J35" s="2"/>
      <c r="N35" s="57" t="str">
        <f>'Input - Swine'!$D$32</f>
        <v>Deep litter</v>
      </c>
      <c r="O35" s="57" t="str">
        <f>'Input - Swine'!$D$70</f>
        <v>Anaerobic lagoon</v>
      </c>
      <c r="P35" s="52">
        <f>'4.5.1.3-4 Direct N2O'!P230</f>
        <v>34.856039999999993</v>
      </c>
      <c r="Q35" s="52">
        <f>'4.5.1.3-4 Direct N2O'!Q230</f>
        <v>46.411575000000006</v>
      </c>
      <c r="R35" s="52">
        <f>'4.5.1.3-4 Direct N2O'!R230</f>
        <v>43.570049999999988</v>
      </c>
      <c r="S35" s="52">
        <f>'4.5.1.3-4 Direct N2O'!S230</f>
        <v>29.551859999999994</v>
      </c>
      <c r="T35" s="2"/>
    </row>
    <row r="36" spans="4:20" ht="20.100000000000001" customHeight="1" x14ac:dyDescent="0.25">
      <c r="D36" s="57"/>
      <c r="E36" s="57" t="str">
        <f>'Input - Swine'!$D$71</f>
        <v>Digester / covered lagoons</v>
      </c>
      <c r="F36" s="52">
        <f>'4.5.1.3-4 Direct N2O'!F231</f>
        <v>34.856039999999993</v>
      </c>
      <c r="G36" s="52">
        <f>'4.5.1.3-4 Direct N2O'!G231</f>
        <v>46.411575000000006</v>
      </c>
      <c r="H36" s="52">
        <f>'4.5.1.3-4 Direct N2O'!H231</f>
        <v>43.570049999999988</v>
      </c>
      <c r="I36" s="52">
        <f>'4.5.1.3-4 Direct N2O'!I231</f>
        <v>29.551859999999994</v>
      </c>
      <c r="J36" s="2"/>
      <c r="N36" s="57"/>
      <c r="O36" s="57" t="str">
        <f>'Input - Swine'!$D$71</f>
        <v>Digester / covered lagoons</v>
      </c>
      <c r="P36" s="52">
        <f>'4.5.1.3-4 Direct N2O'!P231</f>
        <v>34.856039999999993</v>
      </c>
      <c r="Q36" s="52">
        <f>'4.5.1.3-4 Direct N2O'!Q231</f>
        <v>46.411575000000006</v>
      </c>
      <c r="R36" s="52">
        <f>'4.5.1.3-4 Direct N2O'!R231</f>
        <v>43.570049999999988</v>
      </c>
      <c r="S36" s="52">
        <f>'4.5.1.3-4 Direct N2O'!S231</f>
        <v>29.551859999999994</v>
      </c>
      <c r="T36" s="2"/>
    </row>
    <row r="37" spans="4:20" ht="20.100000000000001" customHeight="1" x14ac:dyDescent="0.25">
      <c r="D37" s="57"/>
      <c r="E37" s="57" t="str">
        <f>'Input - Swine'!$D$72</f>
        <v>Pit storage</v>
      </c>
      <c r="F37" s="52">
        <f>'4.5.1.3-4 Direct N2O'!F232</f>
        <v>34.856039999999993</v>
      </c>
      <c r="G37" s="52">
        <f>'4.5.1.3-4 Direct N2O'!G232</f>
        <v>46.411575000000006</v>
      </c>
      <c r="H37" s="52">
        <f>'4.5.1.3-4 Direct N2O'!H232</f>
        <v>43.570049999999988</v>
      </c>
      <c r="I37" s="52">
        <f>'4.5.1.3-4 Direct N2O'!I232</f>
        <v>29.551859999999994</v>
      </c>
      <c r="J37" s="2"/>
      <c r="N37" s="57"/>
      <c r="O37" s="57" t="str">
        <f>'Input - Swine'!$D$72</f>
        <v>Pit storage</v>
      </c>
      <c r="P37" s="52">
        <f>'4.5.1.3-4 Direct N2O'!P232</f>
        <v>34.856039999999993</v>
      </c>
      <c r="Q37" s="52">
        <f>'4.5.1.3-4 Direct N2O'!Q232</f>
        <v>46.411575000000006</v>
      </c>
      <c r="R37" s="52">
        <f>'4.5.1.3-4 Direct N2O'!R232</f>
        <v>43.570049999999988</v>
      </c>
      <c r="S37" s="52">
        <f>'4.5.1.3-4 Direct N2O'!S232</f>
        <v>29.551859999999994</v>
      </c>
      <c r="T37" s="2"/>
    </row>
    <row r="38" spans="4:20" ht="20.100000000000001" customHeight="1" x14ac:dyDescent="0.25">
      <c r="D38" s="57"/>
      <c r="E38" s="57" t="str">
        <f>'Input - Swine'!$D$73</f>
        <v>Direct application</v>
      </c>
      <c r="F38" s="52">
        <f>'4.5.1.3-4 Direct N2O'!F233</f>
        <v>69.712079999999972</v>
      </c>
      <c r="G38" s="52">
        <f>'4.5.1.3-4 Direct N2O'!G233</f>
        <v>46.411575000000006</v>
      </c>
      <c r="H38" s="52">
        <f>'4.5.1.3-4 Direct N2O'!H233</f>
        <v>43.570049999999988</v>
      </c>
      <c r="I38" s="52">
        <f>'4.5.1.3-4 Direct N2O'!I233</f>
        <v>29.551859999999994</v>
      </c>
      <c r="J38" s="2"/>
      <c r="N38" s="57"/>
      <c r="O38" s="57" t="str">
        <f>'Input - Swine'!$D$73</f>
        <v>Direct application</v>
      </c>
      <c r="P38" s="52">
        <f>'4.5.1.3-4 Direct N2O'!P233</f>
        <v>69.712079999999972</v>
      </c>
      <c r="Q38" s="52">
        <f>'4.5.1.3-4 Direct N2O'!Q233</f>
        <v>46.411575000000006</v>
      </c>
      <c r="R38" s="52">
        <f>'4.5.1.3-4 Direct N2O'!R233</f>
        <v>43.570049999999988</v>
      </c>
      <c r="S38" s="52">
        <f>'4.5.1.3-4 Direct N2O'!S233</f>
        <v>29.551859999999994</v>
      </c>
      <c r="T38" s="2"/>
    </row>
    <row r="39" spans="4:20" ht="20.100000000000001" customHeight="1" x14ac:dyDescent="0.25">
      <c r="D39" s="57" t="str">
        <f>'Input - Swine'!$D$33</f>
        <v>Pit storage</v>
      </c>
      <c r="E39" s="57" t="str">
        <f>'Input - Swine'!$D$77</f>
        <v>Anaerobic lagoon</v>
      </c>
      <c r="F39" s="52">
        <f>'4.5.1.3-4 Direct N2O'!F234</f>
        <v>30.141407999999998</v>
      </c>
      <c r="G39" s="52">
        <f>'4.5.1.3-4 Direct N2O'!G234</f>
        <v>40.133940000000003</v>
      </c>
      <c r="H39" s="52">
        <f>'4.5.1.3-4 Direct N2O'!H234</f>
        <v>37.676759999999994</v>
      </c>
      <c r="I39" s="52">
        <f>'4.5.1.3-4 Direct N2O'!I234</f>
        <v>25.554671999999997</v>
      </c>
      <c r="J39" s="2"/>
      <c r="N39" s="57" t="str">
        <f>'Input - Swine'!$D$33</f>
        <v>Pit storage</v>
      </c>
      <c r="O39" s="57" t="str">
        <f>'Input - Swine'!$D$77</f>
        <v>Anaerobic lagoon</v>
      </c>
      <c r="P39" s="52">
        <f>'4.5.1.3-4 Direct N2O'!P234</f>
        <v>30.141407999999998</v>
      </c>
      <c r="Q39" s="52">
        <f>'4.5.1.3-4 Direct N2O'!Q234</f>
        <v>40.133940000000003</v>
      </c>
      <c r="R39" s="52">
        <f>'4.5.1.3-4 Direct N2O'!R234</f>
        <v>37.676759999999994</v>
      </c>
      <c r="S39" s="52">
        <f>'4.5.1.3-4 Direct N2O'!S234</f>
        <v>25.554671999999997</v>
      </c>
      <c r="T39" s="2"/>
    </row>
    <row r="40" spans="4:20" ht="20.100000000000001" customHeight="1" x14ac:dyDescent="0.25">
      <c r="D40" s="57"/>
      <c r="E40" s="57" t="str">
        <f>'Input - Swine'!$D$78</f>
        <v>Digester / covered lagoons</v>
      </c>
      <c r="F40" s="52">
        <f>'4.5.1.3-4 Direct N2O'!F235</f>
        <v>30.141407999999998</v>
      </c>
      <c r="G40" s="52">
        <f>'4.5.1.3-4 Direct N2O'!G235</f>
        <v>40.133940000000003</v>
      </c>
      <c r="H40" s="52">
        <f>'4.5.1.3-4 Direct N2O'!H235</f>
        <v>37.676759999999994</v>
      </c>
      <c r="I40" s="52">
        <f>'4.5.1.3-4 Direct N2O'!I235</f>
        <v>25.554671999999997</v>
      </c>
      <c r="J40" s="2"/>
      <c r="N40" s="57"/>
      <c r="O40" s="57" t="str">
        <f>'Input - Swine'!$D$78</f>
        <v>Digester / covered lagoons</v>
      </c>
      <c r="P40" s="52">
        <f>'4.5.1.3-4 Direct N2O'!P235</f>
        <v>30.141407999999998</v>
      </c>
      <c r="Q40" s="52">
        <f>'4.5.1.3-4 Direct N2O'!Q235</f>
        <v>40.133940000000003</v>
      </c>
      <c r="R40" s="52">
        <f>'4.5.1.3-4 Direct N2O'!R235</f>
        <v>37.676759999999994</v>
      </c>
      <c r="S40" s="52">
        <f>'4.5.1.3-4 Direct N2O'!S235</f>
        <v>25.554671999999997</v>
      </c>
      <c r="T40" s="2"/>
    </row>
    <row r="41" spans="4:20" ht="20.100000000000001" customHeight="1" x14ac:dyDescent="0.25">
      <c r="D41" s="57"/>
      <c r="E41" s="57" t="str">
        <f>'Input - Swine'!$D$79</f>
        <v>Deep litter</v>
      </c>
      <c r="F41" s="52">
        <f>'4.5.1.3-4 Direct N2O'!F236</f>
        <v>30.141407999999998</v>
      </c>
      <c r="G41" s="52">
        <f>'4.5.1.3-4 Direct N2O'!G236</f>
        <v>40.133940000000003</v>
      </c>
      <c r="H41" s="52">
        <f>'4.5.1.3-4 Direct N2O'!H236</f>
        <v>37.676759999999994</v>
      </c>
      <c r="I41" s="52">
        <f>'4.5.1.3-4 Direct N2O'!I236</f>
        <v>25.554671999999997</v>
      </c>
      <c r="J41" s="2"/>
      <c r="N41" s="57"/>
      <c r="O41" s="57" t="str">
        <f>'Input - Swine'!$D$79</f>
        <v>Deep litter</v>
      </c>
      <c r="P41" s="52">
        <f>'4.5.1.3-4 Direct N2O'!P236</f>
        <v>30.141407999999998</v>
      </c>
      <c r="Q41" s="52">
        <f>'4.5.1.3-4 Direct N2O'!Q236</f>
        <v>40.133940000000003</v>
      </c>
      <c r="R41" s="52">
        <f>'4.5.1.3-4 Direct N2O'!R236</f>
        <v>37.676759999999994</v>
      </c>
      <c r="S41" s="52">
        <f>'4.5.1.3-4 Direct N2O'!S236</f>
        <v>25.554671999999997</v>
      </c>
      <c r="T41" s="2"/>
    </row>
    <row r="42" spans="4:20" ht="20.100000000000001" customHeight="1" x14ac:dyDescent="0.25">
      <c r="D42" s="57"/>
      <c r="E42" s="57" t="str">
        <f>'Input - Swine'!$D$80</f>
        <v>Direct application</v>
      </c>
      <c r="F42" s="52">
        <f>'4.5.1.3-4 Direct N2O'!F237</f>
        <v>60.282815999999976</v>
      </c>
      <c r="G42" s="52">
        <f>'4.5.1.3-4 Direct N2O'!G237</f>
        <v>40.133940000000003</v>
      </c>
      <c r="H42" s="52">
        <f>'4.5.1.3-4 Direct N2O'!H237</f>
        <v>37.676759999999994</v>
      </c>
      <c r="I42" s="52">
        <f>'4.5.1.3-4 Direct N2O'!I237</f>
        <v>25.554671999999997</v>
      </c>
      <c r="J42" s="2"/>
      <c r="N42" s="57"/>
      <c r="O42" s="57" t="str">
        <f>'Input - Swine'!$D$80</f>
        <v>Direct application</v>
      </c>
      <c r="P42" s="52">
        <f>'4.5.1.3-4 Direct N2O'!P237</f>
        <v>60.282815999999976</v>
      </c>
      <c r="Q42" s="52">
        <f>'4.5.1.3-4 Direct N2O'!Q237</f>
        <v>40.133940000000003</v>
      </c>
      <c r="R42" s="52">
        <f>'4.5.1.3-4 Direct N2O'!R237</f>
        <v>37.676759999999994</v>
      </c>
      <c r="S42" s="52">
        <f>'4.5.1.3-4 Direct N2O'!S237</f>
        <v>25.554671999999997</v>
      </c>
      <c r="T42" s="2"/>
    </row>
    <row r="43" spans="4:20" ht="20.100000000000001" customHeight="1" x14ac:dyDescent="0.25">
      <c r="D43" s="57" t="str">
        <f>'Input - Swine'!$D$34</f>
        <v>Solid storage</v>
      </c>
      <c r="E43" s="57" t="str">
        <f>'Input - Swine'!$D$84</f>
        <v>Anaerobic lagoon</v>
      </c>
      <c r="F43" s="52">
        <f>'4.5.1.3-4 Direct N2O'!F238</f>
        <v>106.78440000000003</v>
      </c>
      <c r="G43" s="52">
        <f>'4.5.1.3-4 Direct N2O'!G238</f>
        <v>113.74860000000007</v>
      </c>
      <c r="H43" s="52">
        <f>'4.5.1.3-4 Direct N2O'!H238</f>
        <v>106.78440000000003</v>
      </c>
      <c r="I43" s="52">
        <f>'4.5.1.3-4 Direct N2O'!I238</f>
        <v>72.427680000000038</v>
      </c>
      <c r="J43" s="2"/>
      <c r="N43" s="57" t="str">
        <f>'Input - Swine'!$D$34</f>
        <v>Solid storage</v>
      </c>
      <c r="O43" s="57" t="str">
        <f>'Input - Swine'!$D$84</f>
        <v>Anaerobic lagoon</v>
      </c>
      <c r="P43" s="52">
        <f>'4.5.1.3-4 Direct N2O'!P238</f>
        <v>106.78440000000003</v>
      </c>
      <c r="Q43" s="52">
        <f>'4.5.1.3-4 Direct N2O'!Q238</f>
        <v>113.74860000000007</v>
      </c>
      <c r="R43" s="52">
        <f>'4.5.1.3-4 Direct N2O'!R238</f>
        <v>106.78440000000003</v>
      </c>
      <c r="S43" s="52">
        <f>'4.5.1.3-4 Direct N2O'!S238</f>
        <v>72.427680000000038</v>
      </c>
      <c r="T43" s="2"/>
    </row>
    <row r="44" spans="4:20" ht="20.100000000000001" customHeight="1" x14ac:dyDescent="0.25">
      <c r="D44" s="57"/>
      <c r="E44" s="57" t="str">
        <f>'Input - Swine'!$D$85</f>
        <v>Digester / covered lagoons</v>
      </c>
      <c r="F44" s="52">
        <f>'4.5.1.3-4 Direct N2O'!F239</f>
        <v>106.78440000000003</v>
      </c>
      <c r="G44" s="52">
        <f>'4.5.1.3-4 Direct N2O'!G239</f>
        <v>113.74860000000007</v>
      </c>
      <c r="H44" s="52">
        <f>'4.5.1.3-4 Direct N2O'!H239</f>
        <v>106.78440000000003</v>
      </c>
      <c r="I44" s="52">
        <f>'4.5.1.3-4 Direct N2O'!I239</f>
        <v>72.427680000000038</v>
      </c>
      <c r="J44" s="2"/>
      <c r="N44" s="57"/>
      <c r="O44" s="57" t="str">
        <f>'Input - Swine'!$D$85</f>
        <v>Digester / covered lagoons</v>
      </c>
      <c r="P44" s="52">
        <f>'4.5.1.3-4 Direct N2O'!P239</f>
        <v>106.78440000000003</v>
      </c>
      <c r="Q44" s="52">
        <f>'4.5.1.3-4 Direct N2O'!Q239</f>
        <v>113.74860000000007</v>
      </c>
      <c r="R44" s="52">
        <f>'4.5.1.3-4 Direct N2O'!R239</f>
        <v>106.78440000000003</v>
      </c>
      <c r="S44" s="52">
        <f>'4.5.1.3-4 Direct N2O'!S239</f>
        <v>72.427680000000038</v>
      </c>
      <c r="T44" s="2"/>
    </row>
    <row r="45" spans="4:20" ht="20.100000000000001" customHeight="1" x14ac:dyDescent="0.25">
      <c r="D45" s="57"/>
      <c r="E45" s="57" t="str">
        <f>'Input - Swine'!$D$86</f>
        <v>Deep litter</v>
      </c>
      <c r="F45" s="52">
        <f>'4.5.1.3-4 Direct N2O'!F240</f>
        <v>106.78440000000003</v>
      </c>
      <c r="G45" s="52">
        <f>'4.5.1.3-4 Direct N2O'!G240</f>
        <v>113.74860000000007</v>
      </c>
      <c r="H45" s="52">
        <f>'4.5.1.3-4 Direct N2O'!H240</f>
        <v>106.78440000000003</v>
      </c>
      <c r="I45" s="52">
        <f>'4.5.1.3-4 Direct N2O'!I240</f>
        <v>72.427680000000038</v>
      </c>
      <c r="J45" s="2"/>
      <c r="N45" s="57"/>
      <c r="O45" s="57" t="str">
        <f>'Input - Swine'!$D$86</f>
        <v>Deep litter</v>
      </c>
      <c r="P45" s="52">
        <f>'4.5.1.3-4 Direct N2O'!P240</f>
        <v>106.78440000000003</v>
      </c>
      <c r="Q45" s="52">
        <f>'4.5.1.3-4 Direct N2O'!Q240</f>
        <v>113.74860000000007</v>
      </c>
      <c r="R45" s="52">
        <f>'4.5.1.3-4 Direct N2O'!R240</f>
        <v>106.78440000000003</v>
      </c>
      <c r="S45" s="52">
        <f>'4.5.1.3-4 Direct N2O'!S240</f>
        <v>72.427680000000038</v>
      </c>
      <c r="T45" s="2"/>
    </row>
    <row r="46" spans="4:20" ht="20.100000000000001" customHeight="1" x14ac:dyDescent="0.25">
      <c r="D46" s="57"/>
      <c r="E46" s="57" t="str">
        <f>'Input - Swine'!$D$87</f>
        <v>Pit storage</v>
      </c>
      <c r="F46" s="52">
        <f>'4.5.1.3-4 Direct N2O'!F241</f>
        <v>53.392200000000017</v>
      </c>
      <c r="G46" s="52">
        <f>'4.5.1.3-4 Direct N2O'!G241</f>
        <v>56.874300000000034</v>
      </c>
      <c r="H46" s="52">
        <f>'4.5.1.3-4 Direct N2O'!H241</f>
        <v>53.392200000000017</v>
      </c>
      <c r="I46" s="52">
        <f>'4.5.1.3-4 Direct N2O'!I241</f>
        <v>36.213840000000019</v>
      </c>
      <c r="J46" s="2"/>
      <c r="N46" s="57"/>
      <c r="O46" s="57" t="str">
        <f>'Input - Swine'!$D$87</f>
        <v>Pit storage</v>
      </c>
      <c r="P46" s="52">
        <f>'4.5.1.3-4 Direct N2O'!P241</f>
        <v>53.392200000000017</v>
      </c>
      <c r="Q46" s="52">
        <f>'4.5.1.3-4 Direct N2O'!Q241</f>
        <v>56.874300000000034</v>
      </c>
      <c r="R46" s="52">
        <f>'4.5.1.3-4 Direct N2O'!R241</f>
        <v>53.392200000000017</v>
      </c>
      <c r="S46" s="52">
        <f>'4.5.1.3-4 Direct N2O'!S241</f>
        <v>36.213840000000019</v>
      </c>
      <c r="T46" s="2"/>
    </row>
    <row r="47" spans="4:20" ht="20.100000000000001" customHeight="1" x14ac:dyDescent="0.25">
      <c r="D47" s="57"/>
      <c r="E47" s="57" t="str">
        <f>'Input - Swine'!$D$88</f>
        <v>Direct application</v>
      </c>
      <c r="F47" s="52">
        <f>'4.5.1.3-4 Direct N2O'!F242</f>
        <v>160.17660000000001</v>
      </c>
      <c r="G47" s="52">
        <f>'4.5.1.3-4 Direct N2O'!G242</f>
        <v>170.62290000000004</v>
      </c>
      <c r="H47" s="52">
        <f>'4.5.1.3-4 Direct N2O'!H242</f>
        <v>160.17660000000001</v>
      </c>
      <c r="I47" s="52">
        <f>'4.5.1.3-4 Direct N2O'!I242</f>
        <v>108.64152000000003</v>
      </c>
      <c r="J47" s="2"/>
      <c r="N47" s="57"/>
      <c r="O47" s="57" t="str">
        <f>'Input - Swine'!$D$88</f>
        <v>Direct application</v>
      </c>
      <c r="P47" s="52">
        <f>'4.5.1.3-4 Direct N2O'!P242</f>
        <v>160.17660000000001</v>
      </c>
      <c r="Q47" s="52">
        <f>'4.5.1.3-4 Direct N2O'!Q242</f>
        <v>170.62290000000004</v>
      </c>
      <c r="R47" s="52">
        <f>'4.5.1.3-4 Direct N2O'!R242</f>
        <v>160.17660000000001</v>
      </c>
      <c r="S47" s="52">
        <f>'4.5.1.3-4 Direct N2O'!S242</f>
        <v>108.64152000000003</v>
      </c>
      <c r="T47" s="2"/>
    </row>
    <row r="48" spans="4:20" ht="20.100000000000001" customHeight="1" x14ac:dyDescent="0.25"/>
    <row r="49" spans="1:20" ht="20.100000000000001" customHeight="1" x14ac:dyDescent="0.25">
      <c r="D49" s="121" t="s">
        <v>283</v>
      </c>
      <c r="N49" s="121" t="s">
        <v>283</v>
      </c>
    </row>
    <row r="50" spans="1:20" ht="20.100000000000001" customHeight="1" x14ac:dyDescent="0.25">
      <c r="D50" s="122" t="s">
        <v>303</v>
      </c>
      <c r="N50" s="122" t="s">
        <v>303</v>
      </c>
    </row>
    <row r="51" spans="1:20" ht="20.100000000000001" customHeight="1" x14ac:dyDescent="0.25">
      <c r="D51" s="51" t="s">
        <v>163</v>
      </c>
      <c r="E51" s="51" t="s">
        <v>171</v>
      </c>
      <c r="F51" s="51" t="s">
        <v>142</v>
      </c>
      <c r="G51" s="51" t="s">
        <v>143</v>
      </c>
      <c r="H51" s="51" t="s">
        <v>144</v>
      </c>
      <c r="I51" s="51" t="s">
        <v>206</v>
      </c>
      <c r="N51" s="51" t="s">
        <v>163</v>
      </c>
      <c r="O51" s="51" t="s">
        <v>171</v>
      </c>
      <c r="P51" s="51" t="s">
        <v>142</v>
      </c>
      <c r="Q51" s="51" t="s">
        <v>143</v>
      </c>
      <c r="R51" s="51" t="s">
        <v>144</v>
      </c>
      <c r="S51" s="51" t="s">
        <v>206</v>
      </c>
    </row>
    <row r="52" spans="1:20" ht="20.100000000000001" customHeight="1" x14ac:dyDescent="0.25">
      <c r="D52" s="57" t="str">
        <f>'Input - Swine'!$D$29</f>
        <v>Anaerobic lagoon</v>
      </c>
      <c r="E52" s="57" t="str">
        <f>'Input - Swine'!$D$48</f>
        <v>Digester / covered lagoons</v>
      </c>
      <c r="F52" s="52">
        <v>0</v>
      </c>
      <c r="G52" s="52">
        <v>0</v>
      </c>
      <c r="H52" s="52">
        <v>0</v>
      </c>
      <c r="I52" s="52">
        <v>0</v>
      </c>
      <c r="J52" s="2" t="str">
        <f>$G$16</f>
        <v>kg N</v>
      </c>
      <c r="N52" s="57" t="str">
        <f>'Input - Swine'!$D$29</f>
        <v>Anaerobic lagoon</v>
      </c>
      <c r="O52" s="57" t="str">
        <f>'Input - Swine'!$D$48</f>
        <v>Digester / covered lagoons</v>
      </c>
      <c r="P52" s="52">
        <v>0</v>
      </c>
      <c r="Q52" s="52">
        <v>0</v>
      </c>
      <c r="R52" s="52">
        <v>0</v>
      </c>
      <c r="S52" s="52">
        <v>0</v>
      </c>
      <c r="T52" s="2" t="str">
        <f>$G$16</f>
        <v>kg N</v>
      </c>
    </row>
    <row r="53" spans="1:20" ht="20.100000000000001" customHeight="1" x14ac:dyDescent="0.25">
      <c r="D53" s="57"/>
      <c r="E53" s="57" t="str">
        <f>'Input - Swine'!$D$49</f>
        <v>Deep litter</v>
      </c>
      <c r="F53" s="52">
        <v>0</v>
      </c>
      <c r="G53" s="52">
        <v>0</v>
      </c>
      <c r="H53" s="52">
        <v>0</v>
      </c>
      <c r="I53" s="52">
        <v>0</v>
      </c>
      <c r="J53" s="2"/>
      <c r="N53" s="57"/>
      <c r="O53" s="57" t="str">
        <f>'Input - Swine'!$D$49</f>
        <v>Deep litter</v>
      </c>
      <c r="P53" s="52">
        <v>0</v>
      </c>
      <c r="Q53" s="52">
        <v>0</v>
      </c>
      <c r="R53" s="52">
        <v>0</v>
      </c>
      <c r="S53" s="52">
        <v>0</v>
      </c>
      <c r="T53" s="2"/>
    </row>
    <row r="54" spans="1:20" ht="20.100000000000001" customHeight="1" x14ac:dyDescent="0.25">
      <c r="D54" s="57"/>
      <c r="E54" s="57" t="str">
        <f>'Input - Swine'!$D$50</f>
        <v>Pit storage</v>
      </c>
      <c r="F54" s="52">
        <v>0</v>
      </c>
      <c r="G54" s="52">
        <v>0</v>
      </c>
      <c r="H54" s="52">
        <v>0</v>
      </c>
      <c r="I54" s="52">
        <v>0</v>
      </c>
      <c r="J54" s="2"/>
      <c r="N54" s="57"/>
      <c r="O54" s="57" t="str">
        <f>'Input - Swine'!$D$50</f>
        <v>Pit storage</v>
      </c>
      <c r="P54" s="52">
        <v>0</v>
      </c>
      <c r="Q54" s="52">
        <v>0</v>
      </c>
      <c r="R54" s="52">
        <v>0</v>
      </c>
      <c r="S54" s="52">
        <v>0</v>
      </c>
      <c r="T54" s="2"/>
    </row>
    <row r="55" spans="1:20" ht="20.100000000000001" customHeight="1" x14ac:dyDescent="0.25">
      <c r="D55" s="57"/>
      <c r="E55" s="57" t="str">
        <f>'Input - Swine'!$D$51</f>
        <v>Direct application</v>
      </c>
      <c r="F55" s="52">
        <v>0</v>
      </c>
      <c r="G55" s="52">
        <v>0</v>
      </c>
      <c r="H55" s="52">
        <v>0</v>
      </c>
      <c r="I55" s="52">
        <v>0</v>
      </c>
      <c r="J55" s="2"/>
      <c r="N55" s="57"/>
      <c r="O55" s="57" t="str">
        <f>'Input - Swine'!$D$51</f>
        <v>Direct application</v>
      </c>
      <c r="P55" s="52">
        <v>0</v>
      </c>
      <c r="Q55" s="52">
        <v>0</v>
      </c>
      <c r="R55" s="52">
        <v>0</v>
      </c>
      <c r="S55" s="52">
        <v>0</v>
      </c>
      <c r="T55" s="2"/>
    </row>
    <row r="56" spans="1:20" ht="20.100000000000001" customHeight="1" x14ac:dyDescent="0.25">
      <c r="D56" s="57" t="str">
        <f>'Input - Swine'!$D$30</f>
        <v>Drylot (feed pad)</v>
      </c>
      <c r="E56" s="57" t="str">
        <f>'Input - Swine'!$D$55</f>
        <v>Anaerobic lagoon</v>
      </c>
      <c r="F56" s="52">
        <f>'4.5.1.7-8 Leaching and runoff'!E$28</f>
        <v>4.0295999999999994</v>
      </c>
      <c r="G56" s="52">
        <f>'4.5.1.7-8 Leaching and runoff'!F$28</f>
        <v>4.2924000000000007</v>
      </c>
      <c r="H56" s="52">
        <f>'4.5.1.7-8 Leaching and runoff'!G$28</f>
        <v>4.0295999999999994</v>
      </c>
      <c r="I56" s="52">
        <f>'4.5.1.7-8 Leaching and runoff'!H$28</f>
        <v>2.7331199999999995</v>
      </c>
      <c r="J56" s="2"/>
      <c r="N56" s="57" t="str">
        <f>'Input - Swine'!$D$30</f>
        <v>Drylot (feed pad)</v>
      </c>
      <c r="O56" s="57" t="str">
        <f>'Input - Swine'!$D$55</f>
        <v>Anaerobic lagoon</v>
      </c>
      <c r="P56" s="52">
        <f>'4.5.1.7-8 Leaching and runoff'!N$28</f>
        <v>4.0295999999999994</v>
      </c>
      <c r="Q56" s="52">
        <f>'4.5.1.7-8 Leaching and runoff'!O$28</f>
        <v>4.2924000000000007</v>
      </c>
      <c r="R56" s="52">
        <f>'4.5.1.7-8 Leaching and runoff'!P$28</f>
        <v>4.0295999999999994</v>
      </c>
      <c r="S56" s="52">
        <f>'4.5.1.7-8 Leaching and runoff'!Q$28</f>
        <v>2.7331199999999995</v>
      </c>
      <c r="T56" s="2"/>
    </row>
    <row r="57" spans="1:20" ht="20.100000000000001" customHeight="1" x14ac:dyDescent="0.25">
      <c r="D57" s="57"/>
      <c r="E57" s="57" t="str">
        <f>'Input - Swine'!$D$56</f>
        <v>Digester / covered lagoons</v>
      </c>
      <c r="F57" s="52">
        <f>'4.5.1.7-8 Leaching and runoff'!E$28</f>
        <v>4.0295999999999994</v>
      </c>
      <c r="G57" s="52">
        <f>'4.5.1.7-8 Leaching and runoff'!F$28</f>
        <v>4.2924000000000007</v>
      </c>
      <c r="H57" s="52">
        <f>'4.5.1.7-8 Leaching and runoff'!G$28</f>
        <v>4.0295999999999994</v>
      </c>
      <c r="I57" s="52">
        <f>'4.5.1.7-8 Leaching and runoff'!H$28</f>
        <v>2.7331199999999995</v>
      </c>
      <c r="J57" s="2"/>
      <c r="N57" s="57"/>
      <c r="O57" s="57" t="str">
        <f>'Input - Swine'!$D$56</f>
        <v>Digester / covered lagoons</v>
      </c>
      <c r="P57" s="52">
        <f>'4.5.1.7-8 Leaching and runoff'!N$28</f>
        <v>4.0295999999999994</v>
      </c>
      <c r="Q57" s="52">
        <f>'4.5.1.7-8 Leaching and runoff'!O$28</f>
        <v>4.2924000000000007</v>
      </c>
      <c r="R57" s="52">
        <f>'4.5.1.7-8 Leaching and runoff'!P$28</f>
        <v>4.0295999999999994</v>
      </c>
      <c r="S57" s="52">
        <f>'4.5.1.7-8 Leaching and runoff'!Q$28</f>
        <v>2.7331199999999995</v>
      </c>
      <c r="T57" s="2"/>
    </row>
    <row r="58" spans="1:20" ht="20.100000000000001" customHeight="1" x14ac:dyDescent="0.25">
      <c r="D58" s="57"/>
      <c r="E58" s="57" t="str">
        <f>'Input - Swine'!$D$57</f>
        <v>Deep litter</v>
      </c>
      <c r="F58" s="52">
        <f>'4.5.1.7-8 Leaching and runoff'!E$28</f>
        <v>4.0295999999999994</v>
      </c>
      <c r="G58" s="52">
        <f>'4.5.1.7-8 Leaching and runoff'!F$28</f>
        <v>4.2924000000000007</v>
      </c>
      <c r="H58" s="52">
        <f>'4.5.1.7-8 Leaching and runoff'!G$28</f>
        <v>4.0295999999999994</v>
      </c>
      <c r="I58" s="52">
        <f>'4.5.1.7-8 Leaching and runoff'!H$28</f>
        <v>2.7331199999999995</v>
      </c>
      <c r="J58" s="2"/>
      <c r="N58" s="57"/>
      <c r="O58" s="57" t="str">
        <f>'Input - Swine'!$D$57</f>
        <v>Deep litter</v>
      </c>
      <c r="P58" s="52">
        <f>'4.5.1.7-8 Leaching and runoff'!N$28</f>
        <v>4.0295999999999994</v>
      </c>
      <c r="Q58" s="52">
        <f>'4.5.1.7-8 Leaching and runoff'!O$28</f>
        <v>4.2924000000000007</v>
      </c>
      <c r="R58" s="52">
        <f>'4.5.1.7-8 Leaching and runoff'!P$28</f>
        <v>4.0295999999999994</v>
      </c>
      <c r="S58" s="52">
        <f>'4.5.1.7-8 Leaching and runoff'!Q$28</f>
        <v>2.7331199999999995</v>
      </c>
      <c r="T58" s="2"/>
    </row>
    <row r="59" spans="1:20" ht="20.100000000000001" customHeight="1" x14ac:dyDescent="0.25">
      <c r="D59" s="57"/>
      <c r="E59" s="57" t="str">
        <f>'Input - Swine'!$D$58</f>
        <v>Pit storage</v>
      </c>
      <c r="F59" s="52">
        <f>'4.5.1.7-8 Leaching and runoff'!E$28</f>
        <v>4.0295999999999994</v>
      </c>
      <c r="G59" s="52">
        <f>'4.5.1.7-8 Leaching and runoff'!F$28</f>
        <v>4.2924000000000007</v>
      </c>
      <c r="H59" s="52">
        <f>'4.5.1.7-8 Leaching and runoff'!G$28</f>
        <v>4.0295999999999994</v>
      </c>
      <c r="I59" s="52">
        <f>'4.5.1.7-8 Leaching and runoff'!H$28</f>
        <v>2.7331199999999995</v>
      </c>
      <c r="J59" s="2"/>
      <c r="N59" s="57"/>
      <c r="O59" s="57" t="str">
        <f>'Input - Swine'!$D$58</f>
        <v>Pit storage</v>
      </c>
      <c r="P59" s="52">
        <f>'4.5.1.7-8 Leaching and runoff'!N$28</f>
        <v>4.0295999999999994</v>
      </c>
      <c r="Q59" s="52">
        <f>'4.5.1.7-8 Leaching and runoff'!O$28</f>
        <v>4.2924000000000007</v>
      </c>
      <c r="R59" s="52">
        <f>'4.5.1.7-8 Leaching and runoff'!P$28</f>
        <v>4.0295999999999994</v>
      </c>
      <c r="S59" s="52">
        <f>'4.5.1.7-8 Leaching and runoff'!Q$28</f>
        <v>2.7331199999999995</v>
      </c>
      <c r="T59" s="2"/>
    </row>
    <row r="60" spans="1:20" ht="20.100000000000001" customHeight="1" x14ac:dyDescent="0.25">
      <c r="D60" s="57"/>
      <c r="E60" s="57" t="str">
        <f>'Input - Swine'!$D$59</f>
        <v>Direct application</v>
      </c>
      <c r="F60" s="52">
        <v>0</v>
      </c>
      <c r="G60" s="52">
        <v>0</v>
      </c>
      <c r="H60" s="52">
        <v>0</v>
      </c>
      <c r="I60" s="52">
        <v>0</v>
      </c>
      <c r="J60" s="2"/>
      <c r="N60" s="57"/>
      <c r="O60" s="57" t="str">
        <f>'Input - Swine'!$D$59</f>
        <v>Direct application</v>
      </c>
      <c r="P60" s="52">
        <v>0</v>
      </c>
      <c r="Q60" s="52">
        <v>0</v>
      </c>
      <c r="R60" s="52">
        <v>0</v>
      </c>
      <c r="S60" s="52">
        <v>0</v>
      </c>
      <c r="T60" s="2"/>
    </row>
    <row r="61" spans="1:20" ht="20.100000000000001" customHeight="1" x14ac:dyDescent="0.25">
      <c r="D61" s="57" t="str">
        <f>'Input - Swine'!$D$31</f>
        <v>Digester / covered lagoons</v>
      </c>
      <c r="E61" s="57" t="str">
        <f>'Input - Swine'!$D$63</f>
        <v>Anaerobic lagoon</v>
      </c>
      <c r="F61" s="52">
        <v>0</v>
      </c>
      <c r="G61" s="52">
        <v>0</v>
      </c>
      <c r="H61" s="52">
        <v>0</v>
      </c>
      <c r="I61" s="52">
        <v>0</v>
      </c>
      <c r="J61" s="2"/>
      <c r="N61" s="57" t="str">
        <f>'Input - Swine'!$D$31</f>
        <v>Digester / covered lagoons</v>
      </c>
      <c r="O61" s="57" t="str">
        <f>'Input - Swine'!$D$63</f>
        <v>Anaerobic lagoon</v>
      </c>
      <c r="P61" s="52">
        <v>0</v>
      </c>
      <c r="Q61" s="52">
        <v>0</v>
      </c>
      <c r="R61" s="52">
        <v>0</v>
      </c>
      <c r="S61" s="52">
        <v>0</v>
      </c>
      <c r="T61" s="2"/>
    </row>
    <row r="62" spans="1:20" ht="20.100000000000001" customHeight="1" x14ac:dyDescent="0.25">
      <c r="D62" s="57"/>
      <c r="E62" s="57" t="str">
        <f>'Input - Swine'!$D$64</f>
        <v>Deep litter</v>
      </c>
      <c r="F62" s="52">
        <v>0</v>
      </c>
      <c r="G62" s="52">
        <v>0</v>
      </c>
      <c r="H62" s="52">
        <v>0</v>
      </c>
      <c r="I62" s="52">
        <v>0</v>
      </c>
      <c r="J62" s="2"/>
      <c r="N62" s="57"/>
      <c r="O62" s="57" t="str">
        <f>'Input - Swine'!$D$64</f>
        <v>Deep litter</v>
      </c>
      <c r="P62" s="52">
        <v>0</v>
      </c>
      <c r="Q62" s="52">
        <v>0</v>
      </c>
      <c r="R62" s="52">
        <v>0</v>
      </c>
      <c r="S62" s="52">
        <v>0</v>
      </c>
      <c r="T62" s="2"/>
    </row>
    <row r="63" spans="1:20" ht="20.100000000000001" customHeight="1" x14ac:dyDescent="0.25">
      <c r="A63" s="150" t="str">
        <f>HYPERLINK("#A1", "▲ Back to top")</f>
        <v>▲ Back to top</v>
      </c>
      <c r="D63" s="57"/>
      <c r="E63" s="57" t="str">
        <f>'Input - Swine'!$D$65</f>
        <v>Pit storage</v>
      </c>
      <c r="F63" s="52">
        <v>0</v>
      </c>
      <c r="G63" s="52">
        <v>0</v>
      </c>
      <c r="H63" s="52">
        <v>0</v>
      </c>
      <c r="I63" s="52">
        <v>0</v>
      </c>
      <c r="J63" s="2"/>
      <c r="N63" s="57"/>
      <c r="O63" s="57" t="str">
        <f>'Input - Swine'!$D$65</f>
        <v>Pit storage</v>
      </c>
      <c r="P63" s="52">
        <v>0</v>
      </c>
      <c r="Q63" s="52">
        <v>0</v>
      </c>
      <c r="R63" s="52">
        <v>0</v>
      </c>
      <c r="S63" s="52">
        <v>0</v>
      </c>
      <c r="T63" s="2"/>
    </row>
    <row r="64" spans="1:20" ht="20.100000000000001" customHeight="1" x14ac:dyDescent="0.25">
      <c r="D64" s="57"/>
      <c r="E64" s="57" t="str">
        <f>'Input - Swine'!$D$66</f>
        <v>Direct application</v>
      </c>
      <c r="F64" s="52">
        <v>0</v>
      </c>
      <c r="G64" s="52">
        <v>0</v>
      </c>
      <c r="H64" s="52">
        <v>0</v>
      </c>
      <c r="I64" s="52">
        <v>0</v>
      </c>
      <c r="J64" s="2"/>
      <c r="N64" s="57"/>
      <c r="O64" s="57" t="str">
        <f>'Input - Swine'!$D$66</f>
        <v>Direct application</v>
      </c>
      <c r="P64" s="52">
        <v>0</v>
      </c>
      <c r="Q64" s="52">
        <v>0</v>
      </c>
      <c r="R64" s="52">
        <v>0</v>
      </c>
      <c r="S64" s="52">
        <v>0</v>
      </c>
      <c r="T64" s="2"/>
    </row>
    <row r="65" spans="4:20" ht="20.100000000000001" customHeight="1" x14ac:dyDescent="0.25">
      <c r="D65" s="57" t="str">
        <f>'Input - Swine'!$D$32</f>
        <v>Deep litter</v>
      </c>
      <c r="E65" s="57" t="str">
        <f>'Input - Swine'!$D$70</f>
        <v>Anaerobic lagoon</v>
      </c>
      <c r="F65" s="52">
        <v>0</v>
      </c>
      <c r="G65" s="52">
        <v>0</v>
      </c>
      <c r="H65" s="52">
        <v>0</v>
      </c>
      <c r="I65" s="52">
        <v>0</v>
      </c>
      <c r="J65" s="2"/>
      <c r="N65" s="57" t="str">
        <f>'Input - Swine'!$D$32</f>
        <v>Deep litter</v>
      </c>
      <c r="O65" s="57" t="str">
        <f>'Input - Swine'!$D$70</f>
        <v>Anaerobic lagoon</v>
      </c>
      <c r="P65" s="52">
        <v>0</v>
      </c>
      <c r="Q65" s="52">
        <v>0</v>
      </c>
      <c r="R65" s="52">
        <v>0</v>
      </c>
      <c r="S65" s="52">
        <v>0</v>
      </c>
      <c r="T65" s="2"/>
    </row>
    <row r="66" spans="4:20" ht="20.100000000000001" customHeight="1" x14ac:dyDescent="0.25">
      <c r="D66" s="57"/>
      <c r="E66" s="57" t="str">
        <f>'Input - Swine'!$D$71</f>
        <v>Digester / covered lagoons</v>
      </c>
      <c r="F66" s="52">
        <v>0</v>
      </c>
      <c r="G66" s="52">
        <v>0</v>
      </c>
      <c r="H66" s="52">
        <v>0</v>
      </c>
      <c r="I66" s="52">
        <v>0</v>
      </c>
      <c r="J66" s="2"/>
      <c r="N66" s="57"/>
      <c r="O66" s="57" t="str">
        <f>'Input - Swine'!$D$71</f>
        <v>Digester / covered lagoons</v>
      </c>
      <c r="P66" s="52">
        <v>0</v>
      </c>
      <c r="Q66" s="52">
        <v>0</v>
      </c>
      <c r="R66" s="52">
        <v>0</v>
      </c>
      <c r="S66" s="52">
        <v>0</v>
      </c>
      <c r="T66" s="2"/>
    </row>
    <row r="67" spans="4:20" ht="20.100000000000001" customHeight="1" x14ac:dyDescent="0.25">
      <c r="D67" s="57"/>
      <c r="E67" s="57" t="str">
        <f>'Input - Swine'!$D$72</f>
        <v>Pit storage</v>
      </c>
      <c r="F67" s="52">
        <v>0</v>
      </c>
      <c r="G67" s="52">
        <v>0</v>
      </c>
      <c r="H67" s="52">
        <v>0</v>
      </c>
      <c r="I67" s="52">
        <v>0</v>
      </c>
      <c r="J67" s="2"/>
      <c r="N67" s="57"/>
      <c r="O67" s="57" t="str">
        <f>'Input - Swine'!$D$72</f>
        <v>Pit storage</v>
      </c>
      <c r="P67" s="52">
        <v>0</v>
      </c>
      <c r="Q67" s="52">
        <v>0</v>
      </c>
      <c r="R67" s="52">
        <v>0</v>
      </c>
      <c r="S67" s="52">
        <v>0</v>
      </c>
      <c r="T67" s="2"/>
    </row>
    <row r="68" spans="4:20" ht="20.100000000000001" customHeight="1" x14ac:dyDescent="0.25">
      <c r="D68" s="57"/>
      <c r="E68" s="57" t="str">
        <f>'Input - Swine'!$D$73</f>
        <v>Direct application</v>
      </c>
      <c r="F68" s="52">
        <v>0</v>
      </c>
      <c r="G68" s="52">
        <v>0</v>
      </c>
      <c r="H68" s="52">
        <v>0</v>
      </c>
      <c r="I68" s="52">
        <v>0</v>
      </c>
      <c r="J68" s="2"/>
      <c r="N68" s="57"/>
      <c r="O68" s="57" t="str">
        <f>'Input - Swine'!$D$73</f>
        <v>Direct application</v>
      </c>
      <c r="P68" s="52">
        <v>0</v>
      </c>
      <c r="Q68" s="52">
        <v>0</v>
      </c>
      <c r="R68" s="52">
        <v>0</v>
      </c>
      <c r="S68" s="52">
        <v>0</v>
      </c>
      <c r="T68" s="2"/>
    </row>
    <row r="69" spans="4:20" ht="20.100000000000001" customHeight="1" x14ac:dyDescent="0.25">
      <c r="D69" s="57" t="str">
        <f>'Input - Swine'!$D$33</f>
        <v>Pit storage</v>
      </c>
      <c r="E69" s="57" t="str">
        <f>'Input - Swine'!$D$77</f>
        <v>Anaerobic lagoon</v>
      </c>
      <c r="F69" s="52">
        <v>0</v>
      </c>
      <c r="G69" s="52">
        <v>0</v>
      </c>
      <c r="H69" s="52">
        <v>0</v>
      </c>
      <c r="I69" s="52">
        <v>0</v>
      </c>
      <c r="J69" s="2"/>
      <c r="N69" s="57" t="str">
        <f>'Input - Swine'!$D$33</f>
        <v>Pit storage</v>
      </c>
      <c r="O69" s="57" t="str">
        <f>'Input - Swine'!$D$77</f>
        <v>Anaerobic lagoon</v>
      </c>
      <c r="P69" s="52">
        <v>0</v>
      </c>
      <c r="Q69" s="52">
        <v>0</v>
      </c>
      <c r="R69" s="52">
        <v>0</v>
      </c>
      <c r="S69" s="52">
        <v>0</v>
      </c>
      <c r="T69" s="2"/>
    </row>
    <row r="70" spans="4:20" ht="20.100000000000001" customHeight="1" x14ac:dyDescent="0.25">
      <c r="D70" s="57"/>
      <c r="E70" s="57" t="str">
        <f>'Input - Swine'!$D$78</f>
        <v>Digester / covered lagoons</v>
      </c>
      <c r="F70" s="52">
        <v>0</v>
      </c>
      <c r="G70" s="52">
        <v>0</v>
      </c>
      <c r="H70" s="52">
        <v>0</v>
      </c>
      <c r="I70" s="52">
        <v>0</v>
      </c>
      <c r="J70" s="2"/>
      <c r="N70" s="57"/>
      <c r="O70" s="57" t="str">
        <f>'Input - Swine'!$D$78</f>
        <v>Digester / covered lagoons</v>
      </c>
      <c r="P70" s="52">
        <v>0</v>
      </c>
      <c r="Q70" s="52">
        <v>0</v>
      </c>
      <c r="R70" s="52">
        <v>0</v>
      </c>
      <c r="S70" s="52">
        <v>0</v>
      </c>
      <c r="T70" s="2"/>
    </row>
    <row r="71" spans="4:20" ht="20.100000000000001" customHeight="1" x14ac:dyDescent="0.25">
      <c r="D71" s="57"/>
      <c r="E71" s="57" t="str">
        <f>'Input - Swine'!$D$79</f>
        <v>Deep litter</v>
      </c>
      <c r="F71" s="52">
        <v>0</v>
      </c>
      <c r="G71" s="52">
        <v>0</v>
      </c>
      <c r="H71" s="52">
        <v>0</v>
      </c>
      <c r="I71" s="52">
        <v>0</v>
      </c>
      <c r="J71" s="2"/>
      <c r="N71" s="57"/>
      <c r="O71" s="57" t="str">
        <f>'Input - Swine'!$D$79</f>
        <v>Deep litter</v>
      </c>
      <c r="P71" s="52">
        <v>0</v>
      </c>
      <c r="Q71" s="52">
        <v>0</v>
      </c>
      <c r="R71" s="52">
        <v>0</v>
      </c>
      <c r="S71" s="52">
        <v>0</v>
      </c>
      <c r="T71" s="2"/>
    </row>
    <row r="72" spans="4:20" ht="20.100000000000001" customHeight="1" x14ac:dyDescent="0.25">
      <c r="D72" s="57"/>
      <c r="E72" s="57" t="str">
        <f>'Input - Swine'!$D$80</f>
        <v>Direct application</v>
      </c>
      <c r="F72" s="52">
        <v>0</v>
      </c>
      <c r="G72" s="52">
        <v>0</v>
      </c>
      <c r="H72" s="52">
        <v>0</v>
      </c>
      <c r="I72" s="52">
        <v>0</v>
      </c>
      <c r="J72" s="2"/>
      <c r="N72" s="57"/>
      <c r="O72" s="57" t="str">
        <f>'Input - Swine'!$D$80</f>
        <v>Direct application</v>
      </c>
      <c r="P72" s="52">
        <v>0</v>
      </c>
      <c r="Q72" s="52">
        <v>0</v>
      </c>
      <c r="R72" s="52">
        <v>0</v>
      </c>
      <c r="S72" s="52">
        <v>0</v>
      </c>
      <c r="T72" s="2"/>
    </row>
    <row r="73" spans="4:20" ht="20.100000000000001" customHeight="1" x14ac:dyDescent="0.25">
      <c r="D73" s="57" t="str">
        <f>'Input - Swine'!$D$34</f>
        <v>Solid storage</v>
      </c>
      <c r="E73" s="57" t="str">
        <f>'Input - Swine'!$D$84</f>
        <v>Anaerobic lagoon</v>
      </c>
      <c r="F73" s="52">
        <v>0</v>
      </c>
      <c r="G73" s="52">
        <v>0</v>
      </c>
      <c r="H73" s="52">
        <v>0</v>
      </c>
      <c r="I73" s="52">
        <v>0</v>
      </c>
      <c r="J73" s="2"/>
      <c r="N73" s="57" t="str">
        <f>'Input - Swine'!$D$34</f>
        <v>Solid storage</v>
      </c>
      <c r="O73" s="57" t="str">
        <f>'Input - Swine'!$D$84</f>
        <v>Anaerobic lagoon</v>
      </c>
      <c r="P73" s="52">
        <v>0</v>
      </c>
      <c r="Q73" s="52">
        <v>0</v>
      </c>
      <c r="R73" s="52">
        <v>0</v>
      </c>
      <c r="S73" s="52">
        <v>0</v>
      </c>
      <c r="T73" s="2"/>
    </row>
    <row r="74" spans="4:20" ht="20.100000000000001" customHeight="1" x14ac:dyDescent="0.25">
      <c r="D74" s="57"/>
      <c r="E74" s="57" t="str">
        <f>'Input - Swine'!$D$85</f>
        <v>Digester / covered lagoons</v>
      </c>
      <c r="F74" s="52">
        <v>0</v>
      </c>
      <c r="G74" s="52">
        <v>0</v>
      </c>
      <c r="H74" s="52">
        <v>0</v>
      </c>
      <c r="I74" s="52">
        <v>0</v>
      </c>
      <c r="J74" s="2"/>
      <c r="N74" s="57"/>
      <c r="O74" s="57" t="str">
        <f>'Input - Swine'!$D$85</f>
        <v>Digester / covered lagoons</v>
      </c>
      <c r="P74" s="52">
        <v>0</v>
      </c>
      <c r="Q74" s="52">
        <v>0</v>
      </c>
      <c r="R74" s="52">
        <v>0</v>
      </c>
      <c r="S74" s="52">
        <v>0</v>
      </c>
      <c r="T74" s="2"/>
    </row>
    <row r="75" spans="4:20" ht="20.100000000000001" customHeight="1" x14ac:dyDescent="0.25">
      <c r="D75" s="57"/>
      <c r="E75" s="57" t="str">
        <f>'Input - Swine'!$D$86</f>
        <v>Deep litter</v>
      </c>
      <c r="F75" s="52">
        <v>0</v>
      </c>
      <c r="G75" s="52">
        <v>0</v>
      </c>
      <c r="H75" s="52">
        <v>0</v>
      </c>
      <c r="I75" s="52">
        <v>0</v>
      </c>
      <c r="J75" s="2"/>
      <c r="N75" s="57"/>
      <c r="O75" s="57" t="str">
        <f>'Input - Swine'!$D$86</f>
        <v>Deep litter</v>
      </c>
      <c r="P75" s="52">
        <v>0</v>
      </c>
      <c r="Q75" s="52">
        <v>0</v>
      </c>
      <c r="R75" s="52">
        <v>0</v>
      </c>
      <c r="S75" s="52">
        <v>0</v>
      </c>
      <c r="T75" s="2"/>
    </row>
    <row r="76" spans="4:20" ht="20.100000000000001" customHeight="1" x14ac:dyDescent="0.25">
      <c r="D76" s="57"/>
      <c r="E76" s="57" t="str">
        <f>'Input - Swine'!$D$87</f>
        <v>Pit storage</v>
      </c>
      <c r="F76" s="52">
        <v>0</v>
      </c>
      <c r="G76" s="52">
        <v>0</v>
      </c>
      <c r="H76" s="52">
        <v>0</v>
      </c>
      <c r="I76" s="52">
        <v>0</v>
      </c>
      <c r="J76" s="2"/>
      <c r="N76" s="57"/>
      <c r="O76" s="57" t="str">
        <f>'Input - Swine'!$D$87</f>
        <v>Pit storage</v>
      </c>
      <c r="P76" s="52">
        <v>0</v>
      </c>
      <c r="Q76" s="52">
        <v>0</v>
      </c>
      <c r="R76" s="52">
        <v>0</v>
      </c>
      <c r="S76" s="52">
        <v>0</v>
      </c>
      <c r="T76" s="2"/>
    </row>
    <row r="77" spans="4:20" ht="20.100000000000001" customHeight="1" x14ac:dyDescent="0.25">
      <c r="D77" s="57"/>
      <c r="E77" s="57" t="str">
        <f>'Input - Swine'!$D$88</f>
        <v>Direct application</v>
      </c>
      <c r="F77" s="52">
        <v>0</v>
      </c>
      <c r="G77" s="52">
        <v>0</v>
      </c>
      <c r="H77" s="52">
        <v>0</v>
      </c>
      <c r="I77" s="52">
        <v>0</v>
      </c>
      <c r="J77" s="2"/>
      <c r="N77" s="57"/>
      <c r="O77" s="57" t="str">
        <f>'Input - Swine'!$D$88</f>
        <v>Direct application</v>
      </c>
      <c r="P77" s="52">
        <v>0</v>
      </c>
      <c r="Q77" s="52">
        <v>0</v>
      </c>
      <c r="R77" s="52">
        <v>0</v>
      </c>
      <c r="S77" s="52">
        <v>0</v>
      </c>
      <c r="T77" s="2"/>
    </row>
    <row r="78" spans="4:20" ht="20.100000000000001" customHeight="1" x14ac:dyDescent="0.25"/>
    <row r="79" spans="4:20" ht="20.100000000000001" customHeight="1" x14ac:dyDescent="0.25">
      <c r="D79" s="121" t="s">
        <v>304</v>
      </c>
    </row>
    <row r="80" spans="4:20" ht="20.100000000000001" customHeight="1" x14ac:dyDescent="0.25">
      <c r="D80" s="122" t="s">
        <v>305</v>
      </c>
    </row>
    <row r="81" spans="4:7" ht="20.100000000000001" customHeight="1" x14ac:dyDescent="0.25">
      <c r="D81" s="119" t="s">
        <v>163</v>
      </c>
      <c r="E81" s="119" t="s">
        <v>171</v>
      </c>
      <c r="F81" s="119" t="s">
        <v>306</v>
      </c>
    </row>
    <row r="82" spans="4:7" ht="20.100000000000001" customHeight="1" x14ac:dyDescent="0.25">
      <c r="D82" s="57" t="str">
        <f>'Input - Swine'!$D$29</f>
        <v>Anaerobic lagoon</v>
      </c>
      <c r="E82" s="57" t="str">
        <f>'Input - Swine'!$D$48</f>
        <v>Digester / covered lagoons</v>
      </c>
      <c r="F82" s="52">
        <f>'Input - Swine'!K48+'Input - Swine'!L48</f>
        <v>0.75</v>
      </c>
      <c r="G82" s="2" t="str">
        <f>G17</f>
        <v>fraction</v>
      </c>
    </row>
    <row r="83" spans="4:7" ht="20.100000000000001" customHeight="1" x14ac:dyDescent="0.25">
      <c r="D83" s="57"/>
      <c r="E83" s="57" t="str">
        <f>'Input - Swine'!$D$49</f>
        <v>Deep litter</v>
      </c>
      <c r="F83" s="52">
        <f>'Input - Swine'!K49+'Input - Swine'!L49</f>
        <v>0.75</v>
      </c>
      <c r="G83" s="2"/>
    </row>
    <row r="84" spans="4:7" ht="20.100000000000001" customHeight="1" x14ac:dyDescent="0.25">
      <c r="D84" s="57"/>
      <c r="E84" s="57" t="str">
        <f>'Input - Swine'!$D$50</f>
        <v>Pit storage</v>
      </c>
      <c r="F84" s="52">
        <f>'Input - Swine'!K50+'Input - Swine'!L50</f>
        <v>0.75</v>
      </c>
      <c r="G84" s="2"/>
    </row>
    <row r="85" spans="4:7" ht="20.100000000000001" customHeight="1" x14ac:dyDescent="0.25">
      <c r="D85" s="57"/>
      <c r="E85" s="57" t="str">
        <f>'Input - Swine'!$D$51</f>
        <v>Direct application</v>
      </c>
      <c r="F85" s="52">
        <f>'Input - Swine'!K51+'Input - Swine'!L51</f>
        <v>1</v>
      </c>
    </row>
    <row r="86" spans="4:7" ht="20.100000000000001" customHeight="1" x14ac:dyDescent="0.25">
      <c r="D86" s="57" t="str">
        <f>'Input - Swine'!$D$30</f>
        <v>Drylot (feed pad)</v>
      </c>
      <c r="E86" s="57" t="str">
        <f>'Input - Swine'!$D$55</f>
        <v>Anaerobic lagoon</v>
      </c>
      <c r="F86" s="52">
        <f>'Input - Swine'!K55+'Input - Swine'!L55</f>
        <v>0.75</v>
      </c>
      <c r="G86" s="2"/>
    </row>
    <row r="87" spans="4:7" ht="20.100000000000001" customHeight="1" x14ac:dyDescent="0.25">
      <c r="D87" s="57"/>
      <c r="E87" s="57" t="str">
        <f>'Input - Swine'!$D$56</f>
        <v>Digester / covered lagoons</v>
      </c>
      <c r="F87" s="52">
        <f>'Input - Swine'!K56+'Input - Swine'!L56</f>
        <v>0.75</v>
      </c>
      <c r="G87" s="2"/>
    </row>
    <row r="88" spans="4:7" ht="20.100000000000001" customHeight="1" x14ac:dyDescent="0.25">
      <c r="D88" s="57"/>
      <c r="E88" s="57" t="str">
        <f>'Input - Swine'!$D$57</f>
        <v>Deep litter</v>
      </c>
      <c r="F88" s="52">
        <f>'Input - Swine'!K57+'Input - Swine'!L57</f>
        <v>0.75</v>
      </c>
      <c r="G88" s="2"/>
    </row>
    <row r="89" spans="4:7" ht="20.100000000000001" customHeight="1" x14ac:dyDescent="0.25">
      <c r="D89" s="57"/>
      <c r="E89" s="57" t="str">
        <f>'Input - Swine'!$D$58</f>
        <v>Pit storage</v>
      </c>
      <c r="F89" s="52">
        <f>'Input - Swine'!K58+'Input - Swine'!L58</f>
        <v>0.75</v>
      </c>
      <c r="G89" s="2"/>
    </row>
    <row r="90" spans="4:7" ht="20.100000000000001" customHeight="1" x14ac:dyDescent="0.25">
      <c r="D90" s="57"/>
      <c r="E90" s="57" t="str">
        <f>'Input - Swine'!$D$59</f>
        <v>Direct application</v>
      </c>
      <c r="F90" s="52">
        <f>'Input - Swine'!K59+'Input - Swine'!L59</f>
        <v>1</v>
      </c>
    </row>
    <row r="91" spans="4:7" ht="20.100000000000001" customHeight="1" x14ac:dyDescent="0.25">
      <c r="D91" s="57" t="str">
        <f>'Input - Swine'!$D$31</f>
        <v>Digester / covered lagoons</v>
      </c>
      <c r="E91" s="57" t="str">
        <f>'Input - Swine'!$D$63</f>
        <v>Anaerobic lagoon</v>
      </c>
      <c r="F91" s="52">
        <f>'Input - Swine'!K63+'Input - Swine'!L63</f>
        <v>0.75</v>
      </c>
      <c r="G91" s="2"/>
    </row>
    <row r="92" spans="4:7" ht="20.100000000000001" customHeight="1" x14ac:dyDescent="0.25">
      <c r="D92" s="57"/>
      <c r="E92" s="57" t="str">
        <f>'Input - Swine'!$D$64</f>
        <v>Deep litter</v>
      </c>
      <c r="F92" s="52">
        <f>'Input - Swine'!K64+'Input - Swine'!L64</f>
        <v>0.75</v>
      </c>
      <c r="G92" s="2"/>
    </row>
    <row r="93" spans="4:7" ht="20.100000000000001" customHeight="1" x14ac:dyDescent="0.25">
      <c r="D93" s="57"/>
      <c r="E93" s="57" t="str">
        <f>'Input - Swine'!$D$65</f>
        <v>Pit storage</v>
      </c>
      <c r="F93" s="52">
        <f>'Input - Swine'!K65+'Input - Swine'!L65</f>
        <v>0.75</v>
      </c>
      <c r="G93" s="2"/>
    </row>
    <row r="94" spans="4:7" ht="20.100000000000001" customHeight="1" x14ac:dyDescent="0.25">
      <c r="D94" s="57"/>
      <c r="E94" s="57" t="str">
        <f>'Input - Swine'!$D$66</f>
        <v>Direct application</v>
      </c>
      <c r="F94" s="52">
        <f>'Input - Swine'!K66+'Input - Swine'!L66</f>
        <v>1</v>
      </c>
    </row>
    <row r="95" spans="4:7" ht="20.100000000000001" customHeight="1" x14ac:dyDescent="0.25">
      <c r="D95" s="57" t="str">
        <f>'Input - Swine'!$D$32</f>
        <v>Deep litter</v>
      </c>
      <c r="E95" s="57" t="str">
        <f>'Input - Swine'!$D$70</f>
        <v>Anaerobic lagoon</v>
      </c>
      <c r="F95" s="52">
        <f>'Input - Swine'!K70+'Input - Swine'!L70</f>
        <v>0.75</v>
      </c>
      <c r="G95" s="2"/>
    </row>
    <row r="96" spans="4:7" ht="20.100000000000001" customHeight="1" x14ac:dyDescent="0.25">
      <c r="D96" s="57"/>
      <c r="E96" s="57" t="str">
        <f>'Input - Swine'!$D$71</f>
        <v>Digester / covered lagoons</v>
      </c>
      <c r="F96" s="52">
        <f>'Input - Swine'!K71+'Input - Swine'!L71</f>
        <v>0.75</v>
      </c>
      <c r="G96" s="2"/>
    </row>
    <row r="97" spans="4:7" ht="20.100000000000001" customHeight="1" x14ac:dyDescent="0.25">
      <c r="D97" s="57"/>
      <c r="E97" s="57" t="str">
        <f>'Input - Swine'!$D$72</f>
        <v>Pit storage</v>
      </c>
      <c r="F97" s="52">
        <f>'Input - Swine'!K72+'Input - Swine'!L72</f>
        <v>0.75</v>
      </c>
      <c r="G97" s="2"/>
    </row>
    <row r="98" spans="4:7" ht="20.100000000000001" customHeight="1" x14ac:dyDescent="0.25">
      <c r="D98" s="57"/>
      <c r="E98" s="57" t="str">
        <f>'Input - Swine'!$D$73</f>
        <v>Direct application</v>
      </c>
      <c r="F98" s="52">
        <f>'Input - Swine'!K73+'Input - Swine'!L73</f>
        <v>1</v>
      </c>
    </row>
    <row r="99" spans="4:7" ht="20.100000000000001" customHeight="1" x14ac:dyDescent="0.25">
      <c r="D99" s="57" t="str">
        <f>'Input - Swine'!$D$33</f>
        <v>Pit storage</v>
      </c>
      <c r="E99" s="57" t="str">
        <f>'Input - Swine'!$D$77</f>
        <v>Anaerobic lagoon</v>
      </c>
      <c r="F99" s="52">
        <f>'Input - Swine'!K77+'Input - Swine'!L77</f>
        <v>0.75</v>
      </c>
      <c r="G99" s="2"/>
    </row>
    <row r="100" spans="4:7" ht="20.100000000000001" customHeight="1" x14ac:dyDescent="0.25">
      <c r="D100" s="57"/>
      <c r="E100" s="57" t="str">
        <f>'Input - Swine'!$D$78</f>
        <v>Digester / covered lagoons</v>
      </c>
      <c r="F100" s="52">
        <f>'Input - Swine'!K78+'Input - Swine'!L78</f>
        <v>0.75</v>
      </c>
      <c r="G100" s="2"/>
    </row>
    <row r="101" spans="4:7" ht="20.100000000000001" customHeight="1" x14ac:dyDescent="0.25">
      <c r="D101" s="57"/>
      <c r="E101" s="57" t="str">
        <f>'Input - Swine'!$D$79</f>
        <v>Deep litter</v>
      </c>
      <c r="F101" s="52">
        <f>'Input - Swine'!K79+'Input - Swine'!L79</f>
        <v>0.75</v>
      </c>
      <c r="G101" s="2"/>
    </row>
    <row r="102" spans="4:7" ht="20.100000000000001" customHeight="1" x14ac:dyDescent="0.25">
      <c r="D102" s="57"/>
      <c r="E102" s="57" t="str">
        <f>'Input - Swine'!$D$80</f>
        <v>Direct application</v>
      </c>
      <c r="F102" s="52">
        <f>'Input - Swine'!K80+'Input - Swine'!L80</f>
        <v>1</v>
      </c>
    </row>
    <row r="103" spans="4:7" ht="20.100000000000001" customHeight="1" x14ac:dyDescent="0.25">
      <c r="D103" s="57" t="str">
        <f>'Input - Swine'!$D$34</f>
        <v>Solid storage</v>
      </c>
      <c r="E103" s="57" t="str">
        <f>'Input - Swine'!$D$84</f>
        <v>Anaerobic lagoon</v>
      </c>
      <c r="F103" s="52">
        <f>'Input - Swine'!K84+'Input - Swine'!L84</f>
        <v>0.75</v>
      </c>
      <c r="G103" s="2"/>
    </row>
    <row r="104" spans="4:7" ht="20.100000000000001" customHeight="1" x14ac:dyDescent="0.25">
      <c r="D104" s="57"/>
      <c r="E104" s="57" t="str">
        <f>'Input - Swine'!$D$85</f>
        <v>Digester / covered lagoons</v>
      </c>
      <c r="F104" s="52">
        <f>'Input - Swine'!K85+'Input - Swine'!L85</f>
        <v>0.75</v>
      </c>
      <c r="G104" s="2"/>
    </row>
    <row r="105" spans="4:7" ht="20.100000000000001" customHeight="1" x14ac:dyDescent="0.25">
      <c r="D105" s="57"/>
      <c r="E105" s="57" t="str">
        <f>'Input - Swine'!$D$86</f>
        <v>Deep litter</v>
      </c>
      <c r="F105" s="52">
        <f>'Input - Swine'!K86+'Input - Swine'!L86</f>
        <v>0.75</v>
      </c>
      <c r="G105" s="2"/>
    </row>
    <row r="106" spans="4:7" ht="20.100000000000001" customHeight="1" x14ac:dyDescent="0.25">
      <c r="D106" s="57"/>
      <c r="E106" s="57" t="str">
        <f>'Input - Swine'!$D$87</f>
        <v>Pit storage</v>
      </c>
      <c r="F106" s="52">
        <f>'Input - Swine'!K87+'Input - Swine'!L87</f>
        <v>0.75</v>
      </c>
      <c r="G106" s="2"/>
    </row>
    <row r="107" spans="4:7" ht="20.100000000000001" customHeight="1" x14ac:dyDescent="0.25">
      <c r="D107" s="57"/>
      <c r="E107" s="57" t="str">
        <f>'Input - Swine'!$D$88</f>
        <v>Direct application</v>
      </c>
      <c r="F107" s="52">
        <f>'Input - Swine'!K88+'Input - Swine'!L88</f>
        <v>1</v>
      </c>
    </row>
    <row r="108" spans="4:7" ht="20.100000000000001" customHeight="1" x14ac:dyDescent="0.25"/>
    <row r="109" spans="4:7" ht="20.100000000000001" customHeight="1" x14ac:dyDescent="0.25">
      <c r="D109" s="121" t="s">
        <v>307</v>
      </c>
    </row>
    <row r="110" spans="4:7" ht="20.100000000000001" customHeight="1" x14ac:dyDescent="0.25">
      <c r="D110" s="122" t="s">
        <v>308</v>
      </c>
    </row>
    <row r="111" spans="4:7" ht="20.100000000000001" customHeight="1" x14ac:dyDescent="0.25">
      <c r="D111" s="51" t="s">
        <v>163</v>
      </c>
      <c r="E111" s="51" t="s">
        <v>251</v>
      </c>
    </row>
    <row r="112" spans="4:7" ht="20.100000000000001" customHeight="1" x14ac:dyDescent="0.25">
      <c r="D112" s="57" t="str">
        <f>'Input - Swine'!$D$29</f>
        <v>Anaerobic lagoon</v>
      </c>
      <c r="E112" s="52" cm="1">
        <f t="array" ref="E112">Common_InputFunctions.Utility_LookupValueInTableNumber(D112, Table_SourceData_Swine_FracGASM[NIR reference],Table_SourceData_Swine_FracGASM[FracGASMmT])</f>
        <v>0.55000000000000004</v>
      </c>
      <c r="F112" s="2" t="str">
        <f>G15</f>
        <v>(kg NH3-N + NOx-N)/kg N</v>
      </c>
    </row>
    <row r="113" spans="1:6" ht="20.100000000000001" customHeight="1" x14ac:dyDescent="0.25">
      <c r="D113" s="57" t="str">
        <f>'Input - Swine'!$D$30</f>
        <v>Drylot (feed pad)</v>
      </c>
      <c r="E113" s="52" cm="1">
        <f t="array" ref="E113">Common_InputFunctions.Utility_LookupValueInTableNumber(D113, Table_SourceData_Swine_FracGASM[NIR reference],Table_SourceData_Swine_FracGASM[FracGASMmT])</f>
        <v>0.3</v>
      </c>
    </row>
    <row r="114" spans="1:6" ht="20.100000000000001" customHeight="1" x14ac:dyDescent="0.25">
      <c r="D114" s="57" t="str">
        <f>'Input - Swine'!$D$31</f>
        <v>Digester / covered lagoons</v>
      </c>
      <c r="E114" s="52" cm="1">
        <f t="array" ref="E114">Common_InputFunctions.Utility_LookupValueInTableNumber(D114, Table_SourceData_Swine_FracGASM[NIR reference],Table_SourceData_Swine_FracGASM[FracGASMmT])</f>
        <v>0</v>
      </c>
    </row>
    <row r="115" spans="1:6" ht="20.100000000000001" customHeight="1" x14ac:dyDescent="0.25">
      <c r="D115" s="57" t="str">
        <f>'Input - Swine'!$D$32</f>
        <v>Deep litter</v>
      </c>
      <c r="E115" s="52" cm="1">
        <f t="array" ref="E115">Common_InputFunctions.Utility_LookupValueInTableNumber(D115, Table_SourceData_Swine_FracGASM[NIR reference],Table_SourceData_Swine_FracGASM[FracGASMmT])</f>
        <v>0.125</v>
      </c>
    </row>
    <row r="116" spans="1:6" ht="20.100000000000001" customHeight="1" x14ac:dyDescent="0.25">
      <c r="D116" s="57" t="str">
        <f>'Input - Swine'!$D$33</f>
        <v>Pit storage</v>
      </c>
      <c r="E116" s="52" cm="1">
        <f t="array" ref="E116">Common_InputFunctions.Utility_LookupValueInTableNumber(D116, Table_SourceData_Swine_FracGASM[NIR reference],Table_SourceData_Swine_FracGASM[FracGASMmT])</f>
        <v>0.25</v>
      </c>
    </row>
    <row r="117" spans="1:6" ht="20.100000000000001" customHeight="1" x14ac:dyDescent="0.25">
      <c r="D117" s="57" t="str">
        <f>'Input - Swine'!$D$34</f>
        <v>Solid storage</v>
      </c>
      <c r="E117" s="52" cm="1">
        <f t="array" ref="E117">Common_InputFunctions.Utility_LookupValueInTableNumber(D117, Table_SourceData_Swine_FracGASM[NIR reference],Table_SourceData_Swine_FracGASM[FracGASMmT])</f>
        <v>0.2</v>
      </c>
    </row>
    <row r="118" spans="1:6" ht="20.100000000000001" customHeight="1" x14ac:dyDescent="0.25">
      <c r="D118" s="57" t="str">
        <f>'Constants - Swine'!$D$47</f>
        <v>Direct application</v>
      </c>
      <c r="E118" s="52" cm="1">
        <f t="array" ref="E118">Common_InputFunctions.Utility_LookupValueInTableNumber(D118, Table_SourceData_Swine_FracGASM[NIR reference],Table_SourceData_Swine_FracGASM[FracGASMmT])</f>
        <v>0</v>
      </c>
    </row>
    <row r="119" spans="1:6" ht="20.100000000000001" customHeight="1" x14ac:dyDescent="0.25"/>
    <row r="120" spans="1:6" ht="20.100000000000001" customHeight="1" x14ac:dyDescent="0.25">
      <c r="D120" s="121" t="s">
        <v>309</v>
      </c>
    </row>
    <row r="121" spans="1:6" ht="20.100000000000001" customHeight="1" x14ac:dyDescent="0.25">
      <c r="D121" s="122" t="s">
        <v>310</v>
      </c>
    </row>
    <row r="122" spans="1:6" ht="20.100000000000001" customHeight="1" x14ac:dyDescent="0.25">
      <c r="A122" s="150" t="str">
        <f>HYPERLINK("#A1", "▲ Back to top")</f>
        <v>▲ Back to top</v>
      </c>
      <c r="D122" s="51" t="s">
        <v>67</v>
      </c>
      <c r="E122" s="51" t="s">
        <v>254</v>
      </c>
    </row>
    <row r="123" spans="1:6" ht="20.100000000000001" customHeight="1" x14ac:dyDescent="0.25">
      <c r="D123" s="57" t="str">
        <f>'Input - Swine'!$D$29</f>
        <v>Anaerobic lagoon</v>
      </c>
      <c r="E123" s="52" cm="1">
        <f t="array" ref="E123">Common_InputFunctions.Utility_LookupValueInTableNumber(D123, Table_SourceData_Swine_FracGASM28[NIR reference],Table_SourceData_Swine_FracGASM28[EFmT])</f>
        <v>0</v>
      </c>
      <c r="F123" s="2" t="str">
        <f>G14</f>
        <v>kg N2O-N/kg N</v>
      </c>
    </row>
    <row r="124" spans="1:6" ht="20.100000000000001" customHeight="1" x14ac:dyDescent="0.25">
      <c r="D124" s="57" t="str">
        <f>'Input - Swine'!$D$30</f>
        <v>Drylot (feed pad)</v>
      </c>
      <c r="E124" s="52" cm="1">
        <f t="array" ref="E124">Common_InputFunctions.Utility_LookupValueInTableNumber(D124, Table_SourceData_Swine_FracGASM28[NIR reference],Table_SourceData_Swine_FracGASM28[EFmT])</f>
        <v>0.02</v>
      </c>
    </row>
    <row r="125" spans="1:6" ht="20.100000000000001" customHeight="1" x14ac:dyDescent="0.25">
      <c r="D125" s="57" t="str">
        <f>'Input - Swine'!$D$31</f>
        <v>Digester / covered lagoons</v>
      </c>
      <c r="E125" s="52" cm="1">
        <f t="array" ref="E125">Common_InputFunctions.Utility_LookupValueInTableNumber(D125, Table_SourceData_Swine_FracGASM28[NIR reference],Table_SourceData_Swine_FracGASM28[EFmT])</f>
        <v>0</v>
      </c>
    </row>
    <row r="126" spans="1:6" ht="20.100000000000001" customHeight="1" x14ac:dyDescent="0.25">
      <c r="D126" s="57" t="str">
        <f>'Input - Swine'!$D$32</f>
        <v>Deep litter</v>
      </c>
      <c r="E126" s="52" cm="1">
        <f t="array" ref="E126">Common_InputFunctions.Utility_LookupValueInTableNumber(D126, Table_SourceData_Swine_FracGASM28[NIR reference],Table_SourceData_Swine_FracGASM28[EFmT])</f>
        <v>0.01</v>
      </c>
    </row>
    <row r="127" spans="1:6" ht="20.100000000000001" customHeight="1" x14ac:dyDescent="0.25">
      <c r="D127" s="57" t="str">
        <f>'Input - Swine'!$D$33</f>
        <v>Pit storage</v>
      </c>
      <c r="E127" s="52" cm="1">
        <f t="array" ref="E127">Common_InputFunctions.Utility_LookupValueInTableNumber(D127, Table_SourceData_Swine_FracGASM28[NIR reference],Table_SourceData_Swine_FracGASM28[EFmT])</f>
        <v>2E-3</v>
      </c>
    </row>
    <row r="128" spans="1:6" ht="20.100000000000001" customHeight="1" x14ac:dyDescent="0.25">
      <c r="D128" s="57" t="str">
        <f>'Input - Swine'!$D$34</f>
        <v>Solid storage</v>
      </c>
      <c r="E128" s="52" cm="1">
        <f t="array" ref="E128">Common_InputFunctions.Utility_LookupValueInTableNumber(D128, Table_SourceData_Swine_FracGASM28[NIR reference],Table_SourceData_Swine_FracGASM28[EFmT])</f>
        <v>5.0000000000000001E-3</v>
      </c>
    </row>
    <row r="129" spans="4:20" ht="20.100000000000001" customHeight="1" x14ac:dyDescent="0.25">
      <c r="D129" s="57" t="str">
        <f>'Constants - Swine'!$D$47</f>
        <v>Direct application</v>
      </c>
      <c r="E129" s="52" cm="1">
        <f t="array" ref="E129">Common_InputFunctions.Utility_LookupValueInTableNumber(D129, Table_SourceData_Swine_FracGASM28[NIR reference],Table_SourceData_Swine_FracGASM28[EFmT])</f>
        <v>0</v>
      </c>
    </row>
    <row r="130" spans="4:20" ht="20.100000000000001" customHeight="1" x14ac:dyDescent="0.25"/>
    <row r="131" spans="4:20" ht="20.100000000000001" customHeight="1" x14ac:dyDescent="0.25">
      <c r="D131" s="121" t="s">
        <v>311</v>
      </c>
      <c r="N131" s="121" t="s">
        <v>311</v>
      </c>
    </row>
    <row r="132" spans="4:20" ht="20.100000000000001" customHeight="1" x14ac:dyDescent="0.25">
      <c r="D132" s="122" t="s">
        <v>312</v>
      </c>
      <c r="N132" s="122" t="s">
        <v>312</v>
      </c>
    </row>
    <row r="133" spans="4:20" ht="20.100000000000001" customHeight="1" x14ac:dyDescent="0.25">
      <c r="D133" s="51" t="s">
        <v>163</v>
      </c>
      <c r="E133" s="51" t="s">
        <v>171</v>
      </c>
      <c r="F133" s="51" t="s">
        <v>142</v>
      </c>
      <c r="G133" s="51" t="s">
        <v>143</v>
      </c>
      <c r="H133" s="51" t="s">
        <v>144</v>
      </c>
      <c r="I133" s="51" t="s">
        <v>206</v>
      </c>
      <c r="N133" s="51" t="s">
        <v>163</v>
      </c>
      <c r="O133" s="51" t="s">
        <v>171</v>
      </c>
      <c r="P133" s="51" t="s">
        <v>142</v>
      </c>
      <c r="Q133" s="51" t="s">
        <v>143</v>
      </c>
      <c r="R133" s="51" t="s">
        <v>144</v>
      </c>
      <c r="S133" s="51" t="s">
        <v>206</v>
      </c>
    </row>
    <row r="134" spans="4:20" ht="20.100000000000001" customHeight="1" x14ac:dyDescent="0.25">
      <c r="D134" s="57" t="str">
        <f>'Input - Swine'!$D$29</f>
        <v>Anaerobic lagoon</v>
      </c>
      <c r="E134" s="57" t="str">
        <f>'Input - Swine'!$D$48</f>
        <v>Digester / covered lagoons</v>
      </c>
      <c r="F134" s="52" cm="1">
        <f t="array" ref="F134">MMS_Swine_ManureAppliedToSoils_Equations.VEERG_4_5_1_9__1_MassOfNitrogenAppliedToSoilsScope1(F22,_xlfn.XLOOKUP($E134,$D$123:$D$129,$E$123:$E$129), _xlfn.XLOOKUP($E134,$D$112:$D$118,$E$112:$E$118),F52,$F82)</f>
        <v>13.599899999999996</v>
      </c>
      <c r="G134" s="52" cm="1">
        <f t="array" ref="G134">MMS_Swine_ManureAppliedToSoils_Equations.VEERG_4_5_1_9__1_MassOfNitrogenAppliedToSoilsScope1(G22,_xlfn.XLOOKUP($E134,$D$123:$D$129,$E$123:$E$129), _xlfn.XLOOKUP($E134,$D$112:$D$118,$E$112:$E$118),G52,$F82)</f>
        <v>18.108562500000001</v>
      </c>
      <c r="H134" s="52" cm="1">
        <f t="array" ref="H134">MMS_Swine_ManureAppliedToSoils_Equations.VEERG_4_5_1_9__1_MassOfNitrogenAppliedToSoilsScope1(H22,_xlfn.XLOOKUP($E134,$D$123:$D$129,$E$123:$E$129), _xlfn.XLOOKUP($E134,$D$112:$D$118,$E$112:$E$118),H52,$F82)</f>
        <v>16.999874999999996</v>
      </c>
      <c r="I134" s="52" cm="1">
        <f t="array" ref="I134">MMS_Swine_ManureAppliedToSoils_Equations.VEERG_4_5_1_9__1_MassOfNitrogenAppliedToSoilsScope1(I22,_xlfn.XLOOKUP($E134,$D$123:$D$129,$E$123:$E$129), _xlfn.XLOOKUP($E134,$D$112:$D$118,$E$112:$E$118),I52,$F82)</f>
        <v>11.530349999999997</v>
      </c>
      <c r="J134" s="2" t="str">
        <f>$E$11</f>
        <v>kg N</v>
      </c>
      <c r="N134" s="57" t="str">
        <f>'Input - Swine'!$D$29</f>
        <v>Anaerobic lagoon</v>
      </c>
      <c r="O134" s="57" t="str">
        <f>'Input - Swine'!$D$48</f>
        <v>Digester / covered lagoons</v>
      </c>
      <c r="P134" s="52" cm="1">
        <f t="array" ref="P134">MMS_Swine_ManureAppliedToSoils_Equations.VEERG_4_5_1_9__1_MassOfNitrogenAppliedToSoilsScope1(P22,_xlfn.XLOOKUP($O134,$D$123:$D$129,$E$123:$E$129), _xlfn.XLOOKUP($O134,$D$112:$D$118,$E$112:$E$118),P52,$F82)</f>
        <v>13.599899999999996</v>
      </c>
      <c r="Q134" s="52" cm="1">
        <f t="array" ref="Q134">MMS_Swine_ManureAppliedToSoils_Equations.VEERG_4_5_1_9__1_MassOfNitrogenAppliedToSoilsScope1(Q22,_xlfn.XLOOKUP($O134,$D$123:$D$129,$E$123:$E$129), _xlfn.XLOOKUP($O134,$D$112:$D$118,$E$112:$E$118),Q52,$F82)</f>
        <v>18.108562500000001</v>
      </c>
      <c r="R134" s="52" cm="1">
        <f t="array" ref="R134">MMS_Swine_ManureAppliedToSoils_Equations.VEERG_4_5_1_9__1_MassOfNitrogenAppliedToSoilsScope1(R22,_xlfn.XLOOKUP($O134,$D$123:$D$129,$E$123:$E$129), _xlfn.XLOOKUP($O134,$D$112:$D$118,$E$112:$E$118),R52,$F82)</f>
        <v>16.999874999999996</v>
      </c>
      <c r="S134" s="52" cm="1">
        <f t="array" ref="S134">MMS_Swine_ManureAppliedToSoils_Equations.VEERG_4_5_1_9__1_MassOfNitrogenAppliedToSoilsScope1(S22,_xlfn.XLOOKUP($O134,$D$123:$D$129,$E$123:$E$129), _xlfn.XLOOKUP($O134,$D$112:$D$118,$E$112:$E$118),S52,$F82)</f>
        <v>11.530349999999997</v>
      </c>
      <c r="T134" s="2" t="str">
        <f t="shared" ref="T134" si="0">$E$11</f>
        <v>kg N</v>
      </c>
    </row>
    <row r="135" spans="4:20" ht="20.100000000000001" customHeight="1" x14ac:dyDescent="0.25">
      <c r="D135" s="57"/>
      <c r="E135" s="57" t="str">
        <f>'Input - Swine'!$D$49</f>
        <v>Deep litter</v>
      </c>
      <c r="F135" s="52" cm="1">
        <f t="array" ref="F135">MMS_Swine_ManureAppliedToSoils_Equations.VEERG_4_5_1_9__1_MassOfNitrogenAppliedToSoilsScope1(F23,_xlfn.XLOOKUP($E135,$D$123:$D$129,$E$123:$E$129), _xlfn.XLOOKUP($E135,$D$112:$D$118,$E$112:$E$118),F53,$F83)</f>
        <v>11.763913499999997</v>
      </c>
      <c r="G135" s="52" cm="1">
        <f t="array" ref="G135">MMS_Swine_ManureAppliedToSoils_Equations.VEERG_4_5_1_9__1_MassOfNitrogenAppliedToSoilsScope1(G23,_xlfn.XLOOKUP($E135,$D$123:$D$129,$E$123:$E$129), _xlfn.XLOOKUP($E135,$D$112:$D$118,$E$112:$E$118),G53,$F83)</f>
        <v>15.663906562499999</v>
      </c>
      <c r="H135" s="52" cm="1">
        <f t="array" ref="H135">MMS_Swine_ManureAppliedToSoils_Equations.VEERG_4_5_1_9__1_MassOfNitrogenAppliedToSoilsScope1(H23,_xlfn.XLOOKUP($E135,$D$123:$D$129,$E$123:$E$129), _xlfn.XLOOKUP($E135,$D$112:$D$118,$E$112:$E$118),H53,$F83)</f>
        <v>14.704891874999994</v>
      </c>
      <c r="I135" s="52" cm="1">
        <f t="array" ref="I135">MMS_Swine_ManureAppliedToSoils_Equations.VEERG_4_5_1_9__1_MassOfNitrogenAppliedToSoilsScope1(I23,_xlfn.XLOOKUP($E135,$D$123:$D$129,$E$123:$E$129), _xlfn.XLOOKUP($E135,$D$112:$D$118,$E$112:$E$118),I53,$F83)</f>
        <v>9.9737527499999974</v>
      </c>
      <c r="J135" s="2"/>
      <c r="N135" s="57"/>
      <c r="O135" s="57" t="str">
        <f>'Input - Swine'!$D$49</f>
        <v>Deep litter</v>
      </c>
      <c r="P135" s="52" cm="1">
        <f t="array" ref="P135">MMS_Swine_ManureAppliedToSoils_Equations.VEERG_4_5_1_9__1_MassOfNitrogenAppliedToSoilsScope1(P23,_xlfn.XLOOKUP($O135,$D$123:$D$129,$E$123:$E$129), _xlfn.XLOOKUP($O135,$D$112:$D$118,$E$112:$E$118),P53,$F83)</f>
        <v>11.763913499999997</v>
      </c>
      <c r="Q135" s="52" cm="1">
        <f t="array" ref="Q135">MMS_Swine_ManureAppliedToSoils_Equations.VEERG_4_5_1_9__1_MassOfNitrogenAppliedToSoilsScope1(Q23,_xlfn.XLOOKUP($O135,$D$123:$D$129,$E$123:$E$129), _xlfn.XLOOKUP($O135,$D$112:$D$118,$E$112:$E$118),Q53,$F83)</f>
        <v>15.663906562499999</v>
      </c>
      <c r="R135" s="52" cm="1">
        <f t="array" ref="R135">MMS_Swine_ManureAppliedToSoils_Equations.VEERG_4_5_1_9__1_MassOfNitrogenAppliedToSoilsScope1(R23,_xlfn.XLOOKUP($O135,$D$123:$D$129,$E$123:$E$129), _xlfn.XLOOKUP($O135,$D$112:$D$118,$E$112:$E$118),R53,$F83)</f>
        <v>14.704891874999994</v>
      </c>
      <c r="S135" s="52" cm="1">
        <f t="array" ref="S135">MMS_Swine_ManureAppliedToSoils_Equations.VEERG_4_5_1_9__1_MassOfNitrogenAppliedToSoilsScope1(S23,_xlfn.XLOOKUP($O135,$D$123:$D$129,$E$123:$E$129), _xlfn.XLOOKUP($O135,$D$112:$D$118,$E$112:$E$118),S53,$F83)</f>
        <v>9.9737527499999974</v>
      </c>
      <c r="T135" s="2"/>
    </row>
    <row r="136" spans="4:20" ht="20.100000000000001" customHeight="1" x14ac:dyDescent="0.25">
      <c r="D136" s="57"/>
      <c r="E136" s="57" t="str">
        <f>'Input - Swine'!$D$50</f>
        <v>Pit storage</v>
      </c>
      <c r="F136" s="52" cm="1">
        <f t="array" ref="F136">MMS_Swine_ManureAppliedToSoils_Equations.VEERG_4_5_1_9__1_MassOfNitrogenAppliedToSoilsScope1(F24,_xlfn.XLOOKUP($E136,$D$123:$D$129,$E$123:$E$129), _xlfn.XLOOKUP($E136,$D$112:$D$118,$E$112:$E$118),F54,$F84)</f>
        <v>10.172725199999997</v>
      </c>
      <c r="G136" s="52" cm="1">
        <f t="array" ref="G136">MMS_Swine_ManureAppliedToSoils_Equations.VEERG_4_5_1_9__1_MassOfNitrogenAppliedToSoilsScope1(G24,_xlfn.XLOOKUP($E136,$D$123:$D$129,$E$123:$E$129), _xlfn.XLOOKUP($E136,$D$112:$D$118,$E$112:$E$118),G54,$F84)</f>
        <v>13.545204750000002</v>
      </c>
      <c r="H136" s="52" cm="1">
        <f t="array" ref="H136">MMS_Swine_ManureAppliedToSoils_Equations.VEERG_4_5_1_9__1_MassOfNitrogenAppliedToSoilsScope1(H24,_xlfn.XLOOKUP($E136,$D$123:$D$129,$E$123:$E$129), _xlfn.XLOOKUP($E136,$D$112:$D$118,$E$112:$E$118),H54,$F84)</f>
        <v>12.715906499999996</v>
      </c>
      <c r="I136" s="52" cm="1">
        <f t="array" ref="I136">MMS_Swine_ManureAppliedToSoils_Equations.VEERG_4_5_1_9__1_MassOfNitrogenAppliedToSoilsScope1(I24,_xlfn.XLOOKUP($E136,$D$123:$D$129,$E$123:$E$129), _xlfn.XLOOKUP($E136,$D$112:$D$118,$E$112:$E$118),I54,$F84)</f>
        <v>8.6247017999999969</v>
      </c>
      <c r="J136" s="2"/>
      <c r="N136" s="57"/>
      <c r="O136" s="57" t="str">
        <f>'Input - Swine'!$D$50</f>
        <v>Pit storage</v>
      </c>
      <c r="P136" s="52" cm="1">
        <f t="array" ref="P136">MMS_Swine_ManureAppliedToSoils_Equations.VEERG_4_5_1_9__1_MassOfNitrogenAppliedToSoilsScope1(P24,_xlfn.XLOOKUP($O136,$D$123:$D$129,$E$123:$E$129), _xlfn.XLOOKUP($O136,$D$112:$D$118,$E$112:$E$118),P54,$F84)</f>
        <v>10.172725199999997</v>
      </c>
      <c r="Q136" s="52" cm="1">
        <f t="array" ref="Q136">MMS_Swine_ManureAppliedToSoils_Equations.VEERG_4_5_1_9__1_MassOfNitrogenAppliedToSoilsScope1(Q24,_xlfn.XLOOKUP($O136,$D$123:$D$129,$E$123:$E$129), _xlfn.XLOOKUP($O136,$D$112:$D$118,$E$112:$E$118),Q54,$F84)</f>
        <v>13.545204750000002</v>
      </c>
      <c r="R136" s="52" cm="1">
        <f t="array" ref="R136">MMS_Swine_ManureAppliedToSoils_Equations.VEERG_4_5_1_9__1_MassOfNitrogenAppliedToSoilsScope1(R24,_xlfn.XLOOKUP($O136,$D$123:$D$129,$E$123:$E$129), _xlfn.XLOOKUP($O136,$D$112:$D$118,$E$112:$E$118),R54,$F84)</f>
        <v>12.715906499999996</v>
      </c>
      <c r="S136" s="52" cm="1">
        <f t="array" ref="S136">MMS_Swine_ManureAppliedToSoils_Equations.VEERG_4_5_1_9__1_MassOfNitrogenAppliedToSoilsScope1(S24,_xlfn.XLOOKUP($O136,$D$123:$D$129,$E$123:$E$129), _xlfn.XLOOKUP($O136,$D$112:$D$118,$E$112:$E$118),S54,$F84)</f>
        <v>8.6247017999999969</v>
      </c>
      <c r="T136" s="2"/>
    </row>
    <row r="137" spans="4:20" ht="20.100000000000001" customHeight="1" x14ac:dyDescent="0.25">
      <c r="D137" s="57"/>
      <c r="E137" s="57" t="str">
        <f>'Input - Swine'!$D$51</f>
        <v>Direct application</v>
      </c>
      <c r="F137" s="52" cm="1">
        <f t="array" ref="F137">MMS_Swine_ManureAppliedToSoils_Equations.VEERG_4_5_1_9__1_MassOfNitrogenAppliedToSoilsScope1(F25,_xlfn.XLOOKUP($E137,$D$123:$D$129,$E$123:$E$129), _xlfn.XLOOKUP($E137,$D$112:$D$118,$E$112:$E$118),F55,$F85)</f>
        <v>36.266399999999976</v>
      </c>
      <c r="G137" s="52" cm="1">
        <f t="array" ref="G137">MMS_Swine_ManureAppliedToSoils_Equations.VEERG_4_5_1_9__1_MassOfNitrogenAppliedToSoilsScope1(G25,_xlfn.XLOOKUP($E137,$D$123:$D$129,$E$123:$E$129), _xlfn.XLOOKUP($E137,$D$112:$D$118,$E$112:$E$118),G55,$F85)</f>
        <v>24.144750000000002</v>
      </c>
      <c r="H137" s="52" cm="1">
        <f t="array" ref="H137">MMS_Swine_ManureAppliedToSoils_Equations.VEERG_4_5_1_9__1_MassOfNitrogenAppliedToSoilsScope1(H25,_xlfn.XLOOKUP($E137,$D$123:$D$129,$E$123:$E$129), _xlfn.XLOOKUP($E137,$D$112:$D$118,$E$112:$E$118),H55,$F85)</f>
        <v>22.666499999999992</v>
      </c>
      <c r="I137" s="52" cm="1">
        <f t="array" ref="I137">MMS_Swine_ManureAppliedToSoils_Equations.VEERG_4_5_1_9__1_MassOfNitrogenAppliedToSoilsScope1(I25,_xlfn.XLOOKUP($E137,$D$123:$D$129,$E$123:$E$129), _xlfn.XLOOKUP($E137,$D$112:$D$118,$E$112:$E$118),I55,$F85)</f>
        <v>15.373799999999996</v>
      </c>
      <c r="J137" s="2"/>
      <c r="N137" s="57"/>
      <c r="O137" s="57" t="str">
        <f>'Input - Swine'!$D$51</f>
        <v>Direct application</v>
      </c>
      <c r="P137" s="52" cm="1">
        <f t="array" ref="P137">MMS_Swine_ManureAppliedToSoils_Equations.VEERG_4_5_1_9__1_MassOfNitrogenAppliedToSoilsScope1(P25,_xlfn.XLOOKUP($O137,$D$123:$D$129,$E$123:$E$129), _xlfn.XLOOKUP($O137,$D$112:$D$118,$E$112:$E$118),P55,$F85)</f>
        <v>36.266399999999976</v>
      </c>
      <c r="Q137" s="52" cm="1">
        <f t="array" ref="Q137">MMS_Swine_ManureAppliedToSoils_Equations.VEERG_4_5_1_9__1_MassOfNitrogenAppliedToSoilsScope1(Q25,_xlfn.XLOOKUP($O137,$D$123:$D$129,$E$123:$E$129), _xlfn.XLOOKUP($O137,$D$112:$D$118,$E$112:$E$118),Q55,$F85)</f>
        <v>24.144750000000002</v>
      </c>
      <c r="R137" s="52" cm="1">
        <f t="array" ref="R137">MMS_Swine_ManureAppliedToSoils_Equations.VEERG_4_5_1_9__1_MassOfNitrogenAppliedToSoilsScope1(R25,_xlfn.XLOOKUP($O137,$D$123:$D$129,$E$123:$E$129), _xlfn.XLOOKUP($O137,$D$112:$D$118,$E$112:$E$118),R55,$F85)</f>
        <v>22.666499999999992</v>
      </c>
      <c r="S137" s="52" cm="1">
        <f t="array" ref="S137">MMS_Swine_ManureAppliedToSoils_Equations.VEERG_4_5_1_9__1_MassOfNitrogenAppliedToSoilsScope1(S25,_xlfn.XLOOKUP($O137,$D$123:$D$129,$E$123:$E$129), _xlfn.XLOOKUP($O137,$D$112:$D$118,$E$112:$E$118),S55,$F85)</f>
        <v>15.373799999999996</v>
      </c>
      <c r="T137" s="2"/>
    </row>
    <row r="138" spans="4:20" ht="20.100000000000001" customHeight="1" x14ac:dyDescent="0.25">
      <c r="D138" s="57" t="str">
        <f>'Input - Swine'!$D$30</f>
        <v>Drylot (feed pad)</v>
      </c>
      <c r="E138" s="57" t="str">
        <f>'Input - Swine'!$D$55</f>
        <v>Anaerobic lagoon</v>
      </c>
      <c r="F138" s="52" cm="1">
        <f t="array" ref="F138">MMS_Swine_ManureAppliedToSoils_Equations.VEERG_4_5_1_9__1_MassOfNitrogenAppliedToSoilsScope1(F26,_xlfn.XLOOKUP($E138,$D$123:$D$129,$E$123:$E$129), _xlfn.XLOOKUP($E138,$D$112:$D$118,$E$112:$E$118),F56,$F86)</f>
        <v>6.2257319999999963</v>
      </c>
      <c r="G138" s="52" cm="1">
        <f t="array" ref="G138">MMS_Swine_ManureAppliedToSoils_Equations.VEERG_4_5_1_9__1_MassOfNitrogenAppliedToSoilsScope1(G26,_xlfn.XLOOKUP($E138,$D$123:$D$129,$E$123:$E$129), _xlfn.XLOOKUP($E138,$D$112:$D$118,$E$112:$E$118),G56,$F86)</f>
        <v>9.0945225000000001</v>
      </c>
      <c r="H138" s="52" cm="1">
        <f t="array" ref="H138">MMS_Swine_ManureAppliedToSoils_Equations.VEERG_4_5_1_9__1_MassOfNitrogenAppliedToSoilsScope1(H26,_xlfn.XLOOKUP($E138,$D$123:$D$129,$E$123:$E$129), _xlfn.XLOOKUP($E138,$D$112:$D$118,$E$112:$E$118),H56,$F86)</f>
        <v>8.5377149999999951</v>
      </c>
      <c r="I138" s="52" cm="1">
        <f t="array" ref="I138">MMS_Swine_ManureAppliedToSoils_Equations.VEERG_4_5_1_9__1_MassOfNitrogenAppliedToSoilsScope1(I26,_xlfn.XLOOKUP($E138,$D$123:$D$129,$E$123:$E$129), _xlfn.XLOOKUP($E138,$D$112:$D$118,$E$112:$E$118),I56,$F86)</f>
        <v>5.790797999999997</v>
      </c>
      <c r="J138" s="2"/>
      <c r="N138" s="57" t="str">
        <f>'Input - Swine'!$D$30</f>
        <v>Drylot (feed pad)</v>
      </c>
      <c r="O138" s="57" t="str">
        <f>'Input - Swine'!$D$55</f>
        <v>Anaerobic lagoon</v>
      </c>
      <c r="P138" s="52" cm="1">
        <f t="array" ref="P138">MMS_Swine_ManureAppliedToSoils_Equations.VEERG_4_5_1_9__1_MassOfNitrogenAppliedToSoilsScope1(P26,_xlfn.XLOOKUP($O138,$D$123:$D$129,$E$123:$E$129), _xlfn.XLOOKUP($O138,$D$112:$D$118,$E$112:$E$118),P56,$F86)</f>
        <v>6.2257319999999963</v>
      </c>
      <c r="Q138" s="52" cm="1">
        <f t="array" ref="Q138">MMS_Swine_ManureAppliedToSoils_Equations.VEERG_4_5_1_9__1_MassOfNitrogenAppliedToSoilsScope1(Q26,_xlfn.XLOOKUP($O138,$D$123:$D$129,$E$123:$E$129), _xlfn.XLOOKUP($O138,$D$112:$D$118,$E$112:$E$118),Q56,$F86)</f>
        <v>9.0945225000000001</v>
      </c>
      <c r="R138" s="52" cm="1">
        <f t="array" ref="R138">MMS_Swine_ManureAppliedToSoils_Equations.VEERG_4_5_1_9__1_MassOfNitrogenAppliedToSoilsScope1(R26,_xlfn.XLOOKUP($O138,$D$123:$D$129,$E$123:$E$129), _xlfn.XLOOKUP($O138,$D$112:$D$118,$E$112:$E$118),R56,$F86)</f>
        <v>8.5377149999999951</v>
      </c>
      <c r="S138" s="52" cm="1">
        <f t="array" ref="S138">MMS_Swine_ManureAppliedToSoils_Equations.VEERG_4_5_1_9__1_MassOfNitrogenAppliedToSoilsScope1(S26,_xlfn.XLOOKUP($O138,$D$123:$D$129,$E$123:$E$129), _xlfn.XLOOKUP($O138,$D$112:$D$118,$E$112:$E$118),S56,$F86)</f>
        <v>5.790797999999997</v>
      </c>
      <c r="T138" s="2"/>
    </row>
    <row r="139" spans="4:20" ht="20.100000000000001" customHeight="1" x14ac:dyDescent="0.25">
      <c r="D139" s="57"/>
      <c r="E139" s="57" t="str">
        <f>'Input - Swine'!$D$56</f>
        <v>Digester / covered lagoons</v>
      </c>
      <c r="F139" s="52" cm="1">
        <f t="array" ref="F139">MMS_Swine_ManureAppliedToSoils_Equations.VEERG_4_5_1_9__1_MassOfNitrogenAppliedToSoilsScope1(F27,_xlfn.XLOOKUP($E139,$D$123:$D$129,$E$123:$E$129), _xlfn.XLOOKUP($E139,$D$112:$D$118,$E$112:$E$118),F57,$F87)</f>
        <v>17.528759999999995</v>
      </c>
      <c r="G139" s="52" cm="1">
        <f t="array" ref="G139">MMS_Swine_ManureAppliedToSoils_Equations.VEERG_4_5_1_9__1_MassOfNitrogenAppliedToSoilsScope1(G27,_xlfn.XLOOKUP($E139,$D$123:$D$129,$E$123:$E$129), _xlfn.XLOOKUP($E139,$D$112:$D$118,$E$112:$E$118),G57,$F87)</f>
        <v>24.144750000000002</v>
      </c>
      <c r="H139" s="52" cm="1">
        <f t="array" ref="H139">MMS_Swine_ManureAppliedToSoils_Equations.VEERG_4_5_1_9__1_MassOfNitrogenAppliedToSoilsScope1(H27,_xlfn.XLOOKUP($E139,$D$123:$D$129,$E$123:$E$129), _xlfn.XLOOKUP($E139,$D$112:$D$118,$E$112:$E$118),H57,$F87)</f>
        <v>22.666499999999992</v>
      </c>
      <c r="I139" s="52" cm="1">
        <f t="array" ref="I139">MMS_Swine_ManureAppliedToSoils_Equations.VEERG_4_5_1_9__1_MassOfNitrogenAppliedToSoilsScope1(I27,_xlfn.XLOOKUP($E139,$D$123:$D$129,$E$123:$E$129), _xlfn.XLOOKUP($E139,$D$112:$D$118,$E$112:$E$118),I57,$F87)</f>
        <v>15.373799999999996</v>
      </c>
      <c r="J139" s="2"/>
      <c r="N139" s="57"/>
      <c r="O139" s="57" t="str">
        <f>'Input - Swine'!$D$56</f>
        <v>Digester / covered lagoons</v>
      </c>
      <c r="P139" s="52" cm="1">
        <f t="array" ref="P139">MMS_Swine_ManureAppliedToSoils_Equations.VEERG_4_5_1_9__1_MassOfNitrogenAppliedToSoilsScope1(P27,_xlfn.XLOOKUP($O139,$D$123:$D$129,$E$123:$E$129), _xlfn.XLOOKUP($O139,$D$112:$D$118,$E$112:$E$118),P57,$F87)</f>
        <v>17.528759999999995</v>
      </c>
      <c r="Q139" s="52" cm="1">
        <f t="array" ref="Q139">MMS_Swine_ManureAppliedToSoils_Equations.VEERG_4_5_1_9__1_MassOfNitrogenAppliedToSoilsScope1(Q27,_xlfn.XLOOKUP($O139,$D$123:$D$129,$E$123:$E$129), _xlfn.XLOOKUP($O139,$D$112:$D$118,$E$112:$E$118),Q57,$F87)</f>
        <v>24.144750000000002</v>
      </c>
      <c r="R139" s="52" cm="1">
        <f t="array" ref="R139">MMS_Swine_ManureAppliedToSoils_Equations.VEERG_4_5_1_9__1_MassOfNitrogenAppliedToSoilsScope1(R27,_xlfn.XLOOKUP($O139,$D$123:$D$129,$E$123:$E$129), _xlfn.XLOOKUP($O139,$D$112:$D$118,$E$112:$E$118),R57,$F87)</f>
        <v>22.666499999999992</v>
      </c>
      <c r="S139" s="52" cm="1">
        <f t="array" ref="S139">MMS_Swine_ManureAppliedToSoils_Equations.VEERG_4_5_1_9__1_MassOfNitrogenAppliedToSoilsScope1(S27,_xlfn.XLOOKUP($O139,$D$123:$D$129,$E$123:$E$129), _xlfn.XLOOKUP($O139,$D$112:$D$118,$E$112:$E$118),S57,$F87)</f>
        <v>15.373799999999996</v>
      </c>
      <c r="T139" s="2"/>
    </row>
    <row r="140" spans="4:20" ht="20.100000000000001" customHeight="1" x14ac:dyDescent="0.25">
      <c r="D140" s="57"/>
      <c r="E140" s="57" t="str">
        <f>'Input - Swine'!$D$57</f>
        <v>Deep litter</v>
      </c>
      <c r="F140" s="52" cm="1">
        <f t="array" ref="F140">MMS_Swine_ManureAppliedToSoils_Equations.VEERG_4_5_1_9__1_MassOfNitrogenAppliedToSoilsScope1(F28,_xlfn.XLOOKUP($E140,$D$123:$D$129,$E$123:$E$129), _xlfn.XLOOKUP($E140,$D$112:$D$118,$E$112:$E$118),F58,$F88)</f>
        <v>14.754380399999995</v>
      </c>
      <c r="G140" s="52" cm="1">
        <f t="array" ref="G140">MMS_Swine_ManureAppliedToSoils_Equations.VEERG_4_5_1_9__1_MassOfNitrogenAppliedToSoilsScope1(G28,_xlfn.XLOOKUP($E140,$D$123:$D$129,$E$123:$E$129), _xlfn.XLOOKUP($E140,$D$112:$D$118,$E$112:$E$118),G58,$F88)</f>
        <v>20.450603250000004</v>
      </c>
      <c r="H140" s="52" cm="1">
        <f t="array" ref="H140">MMS_Swine_ManureAppliedToSoils_Equations.VEERG_4_5_1_9__1_MassOfNitrogenAppliedToSoilsScope1(H28,_xlfn.XLOOKUP($E140,$D$123:$D$129,$E$123:$E$129), _xlfn.XLOOKUP($E140,$D$112:$D$118,$E$112:$E$118),H58,$F88)</f>
        <v>19.198525499999995</v>
      </c>
      <c r="I140" s="52" cm="1">
        <f t="array" ref="I140">MMS_Swine_ManureAppliedToSoils_Equations.VEERG_4_5_1_9__1_MassOfNitrogenAppliedToSoilsScope1(I28,_xlfn.XLOOKUP($E140,$D$123:$D$129,$E$123:$E$129), _xlfn.XLOOKUP($E140,$D$112:$D$118,$E$112:$E$118),I58,$F88)</f>
        <v>13.021608599999993</v>
      </c>
      <c r="J140" s="2"/>
      <c r="N140" s="57"/>
      <c r="O140" s="57" t="str">
        <f>'Input - Swine'!$D$57</f>
        <v>Deep litter</v>
      </c>
      <c r="P140" s="52" cm="1">
        <f t="array" ref="P140">MMS_Swine_ManureAppliedToSoils_Equations.VEERG_4_5_1_9__1_MassOfNitrogenAppliedToSoilsScope1(P28,_xlfn.XLOOKUP($O140,$D$123:$D$129,$E$123:$E$129), _xlfn.XLOOKUP($O140,$D$112:$D$118,$E$112:$E$118),P58,$F88)</f>
        <v>14.754380399999995</v>
      </c>
      <c r="Q140" s="52" cm="1">
        <f t="array" ref="Q140">MMS_Swine_ManureAppliedToSoils_Equations.VEERG_4_5_1_9__1_MassOfNitrogenAppliedToSoilsScope1(Q28,_xlfn.XLOOKUP($O140,$D$123:$D$129,$E$123:$E$129), _xlfn.XLOOKUP($O140,$D$112:$D$118,$E$112:$E$118),Q58,$F88)</f>
        <v>20.450603250000004</v>
      </c>
      <c r="R140" s="52" cm="1">
        <f t="array" ref="R140">MMS_Swine_ManureAppliedToSoils_Equations.VEERG_4_5_1_9__1_MassOfNitrogenAppliedToSoilsScope1(R28,_xlfn.XLOOKUP($O140,$D$123:$D$129,$E$123:$E$129), _xlfn.XLOOKUP($O140,$D$112:$D$118,$E$112:$E$118),R58,$F88)</f>
        <v>19.198525499999995</v>
      </c>
      <c r="S140" s="52" cm="1">
        <f t="array" ref="S140">MMS_Swine_ManureAppliedToSoils_Equations.VEERG_4_5_1_9__1_MassOfNitrogenAppliedToSoilsScope1(S28,_xlfn.XLOOKUP($O140,$D$123:$D$129,$E$123:$E$129), _xlfn.XLOOKUP($O140,$D$112:$D$118,$E$112:$E$118),S58,$F88)</f>
        <v>13.021608599999993</v>
      </c>
      <c r="T140" s="2"/>
    </row>
    <row r="141" spans="4:20" ht="20.100000000000001" customHeight="1" x14ac:dyDescent="0.25">
      <c r="D141" s="57"/>
      <c r="E141" s="57" t="str">
        <f>'Input - Swine'!$D$58</f>
        <v>Pit storage</v>
      </c>
      <c r="F141" s="52" cm="1">
        <f t="array" ref="F141">MMS_Swine_ManureAppliedToSoils_Equations.VEERG_4_5_1_9__1_MassOfNitrogenAppliedToSoilsScope1(F29,_xlfn.XLOOKUP($E141,$D$123:$D$129,$E$123:$E$129), _xlfn.XLOOKUP($E141,$D$112:$D$118,$E$112:$E$118),F59,$F89)</f>
        <v>12.349918079999997</v>
      </c>
      <c r="G141" s="52" cm="1">
        <f t="array" ref="G141">MMS_Swine_ManureAppliedToSoils_Equations.VEERG_4_5_1_9__1_MassOfNitrogenAppliedToSoilsScope1(G29,_xlfn.XLOOKUP($E141,$D$123:$D$129,$E$123:$E$129), _xlfn.XLOOKUP($E141,$D$112:$D$118,$E$112:$E$118),G59,$F89)</f>
        <v>17.249009400000006</v>
      </c>
      <c r="H141" s="52" cm="1">
        <f t="array" ref="H141">MMS_Swine_ManureAppliedToSoils_Equations.VEERG_4_5_1_9__1_MassOfNitrogenAppliedToSoilsScope1(H29,_xlfn.XLOOKUP($E141,$D$123:$D$129,$E$123:$E$129), _xlfn.XLOOKUP($E141,$D$112:$D$118,$E$112:$E$118),H59,$F89)</f>
        <v>16.192947599999997</v>
      </c>
      <c r="I141" s="52" cm="1">
        <f t="array" ref="I141">MMS_Swine_ManureAppliedToSoils_Equations.VEERG_4_5_1_9__1_MassOfNitrogenAppliedToSoilsScope1(I29,_xlfn.XLOOKUP($E141,$D$123:$D$129,$E$123:$E$129), _xlfn.XLOOKUP($E141,$D$112:$D$118,$E$112:$E$118),I59,$F89)</f>
        <v>10.983042719999995</v>
      </c>
      <c r="J141" s="2"/>
      <c r="N141" s="57"/>
      <c r="O141" s="57" t="str">
        <f>'Input - Swine'!$D$58</f>
        <v>Pit storage</v>
      </c>
      <c r="P141" s="52" cm="1">
        <f t="array" ref="P141">MMS_Swine_ManureAppliedToSoils_Equations.VEERG_4_5_1_9__1_MassOfNitrogenAppliedToSoilsScope1(P29,_xlfn.XLOOKUP($O141,$D$123:$D$129,$E$123:$E$129), _xlfn.XLOOKUP($O141,$D$112:$D$118,$E$112:$E$118),P59,$F89)</f>
        <v>12.349918079999997</v>
      </c>
      <c r="Q141" s="52" cm="1">
        <f t="array" ref="Q141">MMS_Swine_ManureAppliedToSoils_Equations.VEERG_4_5_1_9__1_MassOfNitrogenAppliedToSoilsScope1(Q29,_xlfn.XLOOKUP($O141,$D$123:$D$129,$E$123:$E$129), _xlfn.XLOOKUP($O141,$D$112:$D$118,$E$112:$E$118),Q59,$F89)</f>
        <v>17.249009400000006</v>
      </c>
      <c r="R141" s="52" cm="1">
        <f t="array" ref="R141">MMS_Swine_ManureAppliedToSoils_Equations.VEERG_4_5_1_9__1_MassOfNitrogenAppliedToSoilsScope1(R29,_xlfn.XLOOKUP($O141,$D$123:$D$129,$E$123:$E$129), _xlfn.XLOOKUP($O141,$D$112:$D$118,$E$112:$E$118),R59,$F89)</f>
        <v>16.192947599999997</v>
      </c>
      <c r="S141" s="52" cm="1">
        <f t="array" ref="S141">MMS_Swine_ManureAppliedToSoils_Equations.VEERG_4_5_1_9__1_MassOfNitrogenAppliedToSoilsScope1(S29,_xlfn.XLOOKUP($O141,$D$123:$D$129,$E$123:$E$129), _xlfn.XLOOKUP($O141,$D$112:$D$118,$E$112:$E$118),S59,$F89)</f>
        <v>10.983042719999995</v>
      </c>
      <c r="T141" s="2"/>
    </row>
    <row r="142" spans="4:20" ht="20.100000000000001" customHeight="1" x14ac:dyDescent="0.25">
      <c r="D142" s="57"/>
      <c r="E142" s="57" t="str">
        <f>'Input - Swine'!$D$59</f>
        <v>Direct application</v>
      </c>
      <c r="F142" s="52" cm="1">
        <f t="array" ref="F142">MMS_Swine_ManureAppliedToSoils_Equations.VEERG_4_5_1_9__1_MassOfNitrogenAppliedToSoilsScope1(F30,_xlfn.XLOOKUP($E142,$D$123:$D$129,$E$123:$E$129), _xlfn.XLOOKUP($E142,$D$112:$D$118,$E$112:$E$118),F60,$F90)</f>
        <v>27.401279999999986</v>
      </c>
      <c r="G142" s="52" cm="1">
        <f t="array" ref="G142">MMS_Swine_ManureAppliedToSoils_Equations.VEERG_4_5_1_9__1_MassOfNitrogenAppliedToSoilsScope1(G30,_xlfn.XLOOKUP($E142,$D$123:$D$129,$E$123:$E$129), _xlfn.XLOOKUP($E142,$D$112:$D$118,$E$112:$E$118),G60,$F90)</f>
        <v>0</v>
      </c>
      <c r="H142" s="52" cm="1">
        <f t="array" ref="H142">MMS_Swine_ManureAppliedToSoils_Equations.VEERG_4_5_1_9__1_MassOfNitrogenAppliedToSoilsScope1(H30,_xlfn.XLOOKUP($E142,$D$123:$D$129,$E$123:$E$129), _xlfn.XLOOKUP($E142,$D$112:$D$118,$E$112:$E$118),H60,$F90)</f>
        <v>0</v>
      </c>
      <c r="I142" s="52" cm="1">
        <f t="array" ref="I142">MMS_Swine_ManureAppliedToSoils_Equations.VEERG_4_5_1_9__1_MassOfNitrogenAppliedToSoilsScope1(I30,_xlfn.XLOOKUP($E142,$D$123:$D$129,$E$123:$E$129), _xlfn.XLOOKUP($E142,$D$112:$D$118,$E$112:$E$118),I60,$F90)</f>
        <v>0</v>
      </c>
      <c r="J142" s="2"/>
      <c r="N142" s="57"/>
      <c r="O142" s="57" t="str">
        <f>'Input - Swine'!$D$59</f>
        <v>Direct application</v>
      </c>
      <c r="P142" s="52" cm="1">
        <f t="array" ref="P142">MMS_Swine_ManureAppliedToSoils_Equations.VEERG_4_5_1_9__1_MassOfNitrogenAppliedToSoilsScope1(P30,_xlfn.XLOOKUP($O142,$D$123:$D$129,$E$123:$E$129), _xlfn.XLOOKUP($O142,$D$112:$D$118,$E$112:$E$118),P60,$F90)</f>
        <v>27.401279999999986</v>
      </c>
      <c r="Q142" s="52" cm="1">
        <f t="array" ref="Q142">MMS_Swine_ManureAppliedToSoils_Equations.VEERG_4_5_1_9__1_MassOfNitrogenAppliedToSoilsScope1(Q30,_xlfn.XLOOKUP($O142,$D$123:$D$129,$E$123:$E$129), _xlfn.XLOOKUP($O142,$D$112:$D$118,$E$112:$E$118),Q60,$F90)</f>
        <v>0</v>
      </c>
      <c r="R142" s="52" cm="1">
        <f t="array" ref="R142">MMS_Swine_ManureAppliedToSoils_Equations.VEERG_4_5_1_9__1_MassOfNitrogenAppliedToSoilsScope1(R30,_xlfn.XLOOKUP($O142,$D$123:$D$129,$E$123:$E$129), _xlfn.XLOOKUP($O142,$D$112:$D$118,$E$112:$E$118),R60,$F90)</f>
        <v>0</v>
      </c>
      <c r="S142" s="52" cm="1">
        <f t="array" ref="S142">MMS_Swine_ManureAppliedToSoils_Equations.VEERG_4_5_1_9__1_MassOfNitrogenAppliedToSoilsScope1(S30,_xlfn.XLOOKUP($O142,$D$123:$D$129,$E$123:$E$129), _xlfn.XLOOKUP($O142,$D$112:$D$118,$E$112:$E$118),S60,$F90)</f>
        <v>0</v>
      </c>
      <c r="T142" s="2"/>
    </row>
    <row r="143" spans="4:20" ht="20.100000000000001" customHeight="1" x14ac:dyDescent="0.25">
      <c r="D143" s="57" t="str">
        <f>'Input - Swine'!$D$31</f>
        <v>Digester / covered lagoons</v>
      </c>
      <c r="E143" s="57" t="str">
        <f>'Input - Swine'!$D$63</f>
        <v>Anaerobic lagoon</v>
      </c>
      <c r="F143" s="52" cm="1">
        <f t="array" ref="F143">MMS_Swine_ManureAppliedToSoils_Equations.VEERG_4_5_1_9__1_MassOfNitrogenAppliedToSoilsScope1(F31,_xlfn.XLOOKUP($E143,$D$123:$D$129,$E$123:$E$129), _xlfn.XLOOKUP($E143,$D$112:$D$118,$E$112:$E$118),F61,$F91)</f>
        <v>13.599899999999996</v>
      </c>
      <c r="G143" s="52" cm="1">
        <f t="array" ref="G143">MMS_Swine_ManureAppliedToSoils_Equations.VEERG_4_5_1_9__1_MassOfNitrogenAppliedToSoilsScope1(G31,_xlfn.XLOOKUP($E143,$D$123:$D$129,$E$123:$E$129), _xlfn.XLOOKUP($E143,$D$112:$D$118,$E$112:$E$118),G61,$F91)</f>
        <v>18.108562500000001</v>
      </c>
      <c r="H143" s="52" cm="1">
        <f t="array" ref="H143">MMS_Swine_ManureAppliedToSoils_Equations.VEERG_4_5_1_9__1_MassOfNitrogenAppliedToSoilsScope1(H31,_xlfn.XLOOKUP($E143,$D$123:$D$129,$E$123:$E$129), _xlfn.XLOOKUP($E143,$D$112:$D$118,$E$112:$E$118),H61,$F91)</f>
        <v>16.999874999999996</v>
      </c>
      <c r="I143" s="52" cm="1">
        <f t="array" ref="I143">MMS_Swine_ManureAppliedToSoils_Equations.VEERG_4_5_1_9__1_MassOfNitrogenAppliedToSoilsScope1(I31,_xlfn.XLOOKUP($E143,$D$123:$D$129,$E$123:$E$129), _xlfn.XLOOKUP($E143,$D$112:$D$118,$E$112:$E$118),I61,$F91)</f>
        <v>11.530349999999997</v>
      </c>
      <c r="J143" s="2"/>
      <c r="N143" s="57" t="str">
        <f>'Input - Swine'!$D$31</f>
        <v>Digester / covered lagoons</v>
      </c>
      <c r="O143" s="57" t="str">
        <f>'Input - Swine'!$D$63</f>
        <v>Anaerobic lagoon</v>
      </c>
      <c r="P143" s="52" cm="1">
        <f t="array" ref="P143">MMS_Swine_ManureAppliedToSoils_Equations.VEERG_4_5_1_9__1_MassOfNitrogenAppliedToSoilsScope1(P31,_xlfn.XLOOKUP($O143,$D$123:$D$129,$E$123:$E$129), _xlfn.XLOOKUP($O143,$D$112:$D$118,$E$112:$E$118),P61,$F91)</f>
        <v>13.599899999999996</v>
      </c>
      <c r="Q143" s="52" cm="1">
        <f t="array" ref="Q143">MMS_Swine_ManureAppliedToSoils_Equations.VEERG_4_5_1_9__1_MassOfNitrogenAppliedToSoilsScope1(Q31,_xlfn.XLOOKUP($O143,$D$123:$D$129,$E$123:$E$129), _xlfn.XLOOKUP($O143,$D$112:$D$118,$E$112:$E$118),Q61,$F91)</f>
        <v>18.108562500000001</v>
      </c>
      <c r="R143" s="52" cm="1">
        <f t="array" ref="R143">MMS_Swine_ManureAppliedToSoils_Equations.VEERG_4_5_1_9__1_MassOfNitrogenAppliedToSoilsScope1(R31,_xlfn.XLOOKUP($O143,$D$123:$D$129,$E$123:$E$129), _xlfn.XLOOKUP($O143,$D$112:$D$118,$E$112:$E$118),R61,$F91)</f>
        <v>16.999874999999996</v>
      </c>
      <c r="S143" s="52" cm="1">
        <f t="array" ref="S143">MMS_Swine_ManureAppliedToSoils_Equations.VEERG_4_5_1_9__1_MassOfNitrogenAppliedToSoilsScope1(S31,_xlfn.XLOOKUP($O143,$D$123:$D$129,$E$123:$E$129), _xlfn.XLOOKUP($O143,$D$112:$D$118,$E$112:$E$118),S61,$F91)</f>
        <v>11.530349999999997</v>
      </c>
      <c r="T143" s="2"/>
    </row>
    <row r="144" spans="4:20" ht="20.100000000000001" customHeight="1" x14ac:dyDescent="0.25">
      <c r="D144" s="57"/>
      <c r="E144" s="57" t="str">
        <f>'Input - Swine'!$D$64</f>
        <v>Deep litter</v>
      </c>
      <c r="F144" s="52" cm="1">
        <f t="array" ref="F144">MMS_Swine_ManureAppliedToSoils_Equations.VEERG_4_5_1_9__1_MassOfNitrogenAppliedToSoilsScope1(F32,_xlfn.XLOOKUP($E144,$D$123:$D$129,$E$123:$E$129), _xlfn.XLOOKUP($E144,$D$112:$D$118,$E$112:$E$118),F62,$F92)</f>
        <v>26.142029999999995</v>
      </c>
      <c r="G144" s="52" cm="1">
        <f t="array" ref="G144">MMS_Swine_ManureAppliedToSoils_Equations.VEERG_4_5_1_9__1_MassOfNitrogenAppliedToSoilsScope1(G32,_xlfn.XLOOKUP($E144,$D$123:$D$129,$E$123:$E$129), _xlfn.XLOOKUP($E144,$D$112:$D$118,$E$112:$E$118),G62,$F92)</f>
        <v>34.808681250000006</v>
      </c>
      <c r="H144" s="52" cm="1">
        <f t="array" ref="H144">MMS_Swine_ManureAppliedToSoils_Equations.VEERG_4_5_1_9__1_MassOfNitrogenAppliedToSoilsScope1(H32,_xlfn.XLOOKUP($E144,$D$123:$D$129,$E$123:$E$129), _xlfn.XLOOKUP($E144,$D$112:$D$118,$E$112:$E$118),H62,$F92)</f>
        <v>32.677537499999993</v>
      </c>
      <c r="I144" s="52" cm="1">
        <f t="array" ref="I144">MMS_Swine_ManureAppliedToSoils_Equations.VEERG_4_5_1_9__1_MassOfNitrogenAppliedToSoilsScope1(I32,_xlfn.XLOOKUP($E144,$D$123:$D$129,$E$123:$E$129), _xlfn.XLOOKUP($E144,$D$112:$D$118,$E$112:$E$118),I62,$F92)</f>
        <v>22.163894999999997</v>
      </c>
      <c r="J144" s="2"/>
      <c r="N144" s="57"/>
      <c r="O144" s="57" t="str">
        <f>'Input - Swine'!$D$64</f>
        <v>Deep litter</v>
      </c>
      <c r="P144" s="52" cm="1">
        <f t="array" ref="P144">MMS_Swine_ManureAppliedToSoils_Equations.VEERG_4_5_1_9__1_MassOfNitrogenAppliedToSoilsScope1(P32,_xlfn.XLOOKUP($O144,$D$123:$D$129,$E$123:$E$129), _xlfn.XLOOKUP($O144,$D$112:$D$118,$E$112:$E$118),P62,$F92)</f>
        <v>26.142029999999995</v>
      </c>
      <c r="Q144" s="52" cm="1">
        <f t="array" ref="Q144">MMS_Swine_ManureAppliedToSoils_Equations.VEERG_4_5_1_9__1_MassOfNitrogenAppliedToSoilsScope1(Q32,_xlfn.XLOOKUP($O144,$D$123:$D$129,$E$123:$E$129), _xlfn.XLOOKUP($O144,$D$112:$D$118,$E$112:$E$118),Q62,$F92)</f>
        <v>34.808681250000006</v>
      </c>
      <c r="R144" s="52" cm="1">
        <f t="array" ref="R144">MMS_Swine_ManureAppliedToSoils_Equations.VEERG_4_5_1_9__1_MassOfNitrogenAppliedToSoilsScope1(R32,_xlfn.XLOOKUP($O144,$D$123:$D$129,$E$123:$E$129), _xlfn.XLOOKUP($O144,$D$112:$D$118,$E$112:$E$118),R62,$F92)</f>
        <v>32.677537499999993</v>
      </c>
      <c r="S144" s="52" cm="1">
        <f t="array" ref="S144">MMS_Swine_ManureAppliedToSoils_Equations.VEERG_4_5_1_9__1_MassOfNitrogenAppliedToSoilsScope1(S32,_xlfn.XLOOKUP($O144,$D$123:$D$129,$E$123:$E$129), _xlfn.XLOOKUP($O144,$D$112:$D$118,$E$112:$E$118),S62,$F92)</f>
        <v>22.163894999999997</v>
      </c>
      <c r="T144" s="2"/>
    </row>
    <row r="145" spans="4:20" ht="20.100000000000001" customHeight="1" x14ac:dyDescent="0.25">
      <c r="D145" s="57"/>
      <c r="E145" s="57" t="str">
        <f>'Input - Swine'!$D$65</f>
        <v>Pit storage</v>
      </c>
      <c r="F145" s="52" cm="1">
        <f t="array" ref="F145">MMS_Swine_ManureAppliedToSoils_Equations.VEERG_4_5_1_9__1_MassOfNitrogenAppliedToSoilsScope1(F33,_xlfn.XLOOKUP($E145,$D$123:$D$129,$E$123:$E$129), _xlfn.XLOOKUP($E145,$D$112:$D$118,$E$112:$E$118),F63,$F93)</f>
        <v>22.606055999999995</v>
      </c>
      <c r="G145" s="52" cm="1">
        <f t="array" ref="G145">MMS_Swine_ManureAppliedToSoils_Equations.VEERG_4_5_1_9__1_MassOfNitrogenAppliedToSoilsScope1(G33,_xlfn.XLOOKUP($E145,$D$123:$D$129,$E$123:$E$129), _xlfn.XLOOKUP($E145,$D$112:$D$118,$E$112:$E$118),G63,$F93)</f>
        <v>30.100455000000004</v>
      </c>
      <c r="H145" s="52" cm="1">
        <f t="array" ref="H145">MMS_Swine_ManureAppliedToSoils_Equations.VEERG_4_5_1_9__1_MassOfNitrogenAppliedToSoilsScope1(H33,_xlfn.XLOOKUP($E145,$D$123:$D$129,$E$123:$E$129), _xlfn.XLOOKUP($E145,$D$112:$D$118,$E$112:$E$118),H63,$F93)</f>
        <v>28.257569999999994</v>
      </c>
      <c r="I145" s="52" cm="1">
        <f t="array" ref="I145">MMS_Swine_ManureAppliedToSoils_Equations.VEERG_4_5_1_9__1_MassOfNitrogenAppliedToSoilsScope1(I33,_xlfn.XLOOKUP($E145,$D$123:$D$129,$E$123:$E$129), _xlfn.XLOOKUP($E145,$D$112:$D$118,$E$112:$E$118),I63,$F93)</f>
        <v>19.166003999999997</v>
      </c>
      <c r="J145" s="2"/>
      <c r="N145" s="57"/>
      <c r="O145" s="57" t="str">
        <f>'Input - Swine'!$D$65</f>
        <v>Pit storage</v>
      </c>
      <c r="P145" s="52" cm="1">
        <f t="array" ref="P145">MMS_Swine_ManureAppliedToSoils_Equations.VEERG_4_5_1_9__1_MassOfNitrogenAppliedToSoilsScope1(P33,_xlfn.XLOOKUP($O145,$D$123:$D$129,$E$123:$E$129), _xlfn.XLOOKUP($O145,$D$112:$D$118,$E$112:$E$118),P63,$F93)</f>
        <v>22.606055999999995</v>
      </c>
      <c r="Q145" s="52" cm="1">
        <f t="array" ref="Q145">MMS_Swine_ManureAppliedToSoils_Equations.VEERG_4_5_1_9__1_MassOfNitrogenAppliedToSoilsScope1(Q33,_xlfn.XLOOKUP($O145,$D$123:$D$129,$E$123:$E$129), _xlfn.XLOOKUP($O145,$D$112:$D$118,$E$112:$E$118),Q63,$F93)</f>
        <v>30.100455000000004</v>
      </c>
      <c r="R145" s="52" cm="1">
        <f t="array" ref="R145">MMS_Swine_ManureAppliedToSoils_Equations.VEERG_4_5_1_9__1_MassOfNitrogenAppliedToSoilsScope1(R33,_xlfn.XLOOKUP($O145,$D$123:$D$129,$E$123:$E$129), _xlfn.XLOOKUP($O145,$D$112:$D$118,$E$112:$E$118),R63,$F93)</f>
        <v>28.257569999999994</v>
      </c>
      <c r="S145" s="52" cm="1">
        <f t="array" ref="S145">MMS_Swine_ManureAppliedToSoils_Equations.VEERG_4_5_1_9__1_MassOfNitrogenAppliedToSoilsScope1(S33,_xlfn.XLOOKUP($O145,$D$123:$D$129,$E$123:$E$129), _xlfn.XLOOKUP($O145,$D$112:$D$118,$E$112:$E$118),S63,$F93)</f>
        <v>19.166003999999997</v>
      </c>
      <c r="T145" s="2"/>
    </row>
    <row r="146" spans="4:20" ht="20.100000000000001" customHeight="1" x14ac:dyDescent="0.25">
      <c r="D146" s="57"/>
      <c r="E146" s="57" t="str">
        <f>'Input - Swine'!$D$66</f>
        <v>Direct application</v>
      </c>
      <c r="F146" s="52" cm="1">
        <f t="array" ref="F146">MMS_Swine_ManureAppliedToSoils_Equations.VEERG_4_5_1_9__1_MassOfNitrogenAppliedToSoilsScope1(F34,_xlfn.XLOOKUP($E146,$D$123:$D$129,$E$123:$E$129), _xlfn.XLOOKUP($E146,$D$112:$D$118,$E$112:$E$118),F64,$F94)</f>
        <v>80.59199999999997</v>
      </c>
      <c r="G146" s="52" cm="1">
        <f t="array" ref="G146">MMS_Swine_ManureAppliedToSoils_Equations.VEERG_4_5_1_9__1_MassOfNitrogenAppliedToSoilsScope1(G34,_xlfn.XLOOKUP($E146,$D$123:$D$129,$E$123:$E$129), _xlfn.XLOOKUP($E146,$D$112:$D$118,$E$112:$E$118),G64,$F94)</f>
        <v>53.655000000000008</v>
      </c>
      <c r="H146" s="52" cm="1">
        <f t="array" ref="H146">MMS_Swine_ManureAppliedToSoils_Equations.VEERG_4_5_1_9__1_MassOfNitrogenAppliedToSoilsScope1(H34,_xlfn.XLOOKUP($E146,$D$123:$D$129,$E$123:$E$129), _xlfn.XLOOKUP($E146,$D$112:$D$118,$E$112:$E$118),H64,$F94)</f>
        <v>50.36999999999999</v>
      </c>
      <c r="I146" s="52" cm="1">
        <f t="array" ref="I146">MMS_Swine_ManureAppliedToSoils_Equations.VEERG_4_5_1_9__1_MassOfNitrogenAppliedToSoilsScope1(I34,_xlfn.XLOOKUP($E146,$D$123:$D$129,$E$123:$E$129), _xlfn.XLOOKUP($E146,$D$112:$D$118,$E$112:$E$118),I64,$F94)</f>
        <v>34.163999999999994</v>
      </c>
      <c r="J146" s="2"/>
      <c r="N146" s="57"/>
      <c r="O146" s="57" t="str">
        <f>'Input - Swine'!$D$66</f>
        <v>Direct application</v>
      </c>
      <c r="P146" s="52" cm="1">
        <f t="array" ref="P146">MMS_Swine_ManureAppliedToSoils_Equations.VEERG_4_5_1_9__1_MassOfNitrogenAppliedToSoilsScope1(P34,_xlfn.XLOOKUP($O146,$D$123:$D$129,$E$123:$E$129), _xlfn.XLOOKUP($O146,$D$112:$D$118,$E$112:$E$118),P64,$F94)</f>
        <v>80.59199999999997</v>
      </c>
      <c r="Q146" s="52" cm="1">
        <f t="array" ref="Q146">MMS_Swine_ManureAppliedToSoils_Equations.VEERG_4_5_1_9__1_MassOfNitrogenAppliedToSoilsScope1(Q34,_xlfn.XLOOKUP($O146,$D$123:$D$129,$E$123:$E$129), _xlfn.XLOOKUP($O146,$D$112:$D$118,$E$112:$E$118),Q64,$F94)</f>
        <v>53.655000000000008</v>
      </c>
      <c r="R146" s="52" cm="1">
        <f t="array" ref="R146">MMS_Swine_ManureAppliedToSoils_Equations.VEERG_4_5_1_9__1_MassOfNitrogenAppliedToSoilsScope1(R34,_xlfn.XLOOKUP($O146,$D$123:$D$129,$E$123:$E$129), _xlfn.XLOOKUP($O146,$D$112:$D$118,$E$112:$E$118),R64,$F94)</f>
        <v>50.36999999999999</v>
      </c>
      <c r="S146" s="52" cm="1">
        <f t="array" ref="S146">MMS_Swine_ManureAppliedToSoils_Equations.VEERG_4_5_1_9__1_MassOfNitrogenAppliedToSoilsScope1(S34,_xlfn.XLOOKUP($O146,$D$123:$D$129,$E$123:$E$129), _xlfn.XLOOKUP($O146,$D$112:$D$118,$E$112:$E$118),S64,$F94)</f>
        <v>34.163999999999994</v>
      </c>
      <c r="T146" s="2"/>
    </row>
    <row r="147" spans="4:20" ht="20.100000000000001" customHeight="1" x14ac:dyDescent="0.25">
      <c r="D147" s="57" t="str">
        <f>'Input - Swine'!$D$32</f>
        <v>Deep litter</v>
      </c>
      <c r="E147" s="57" t="str">
        <f>'Input - Swine'!$D$70</f>
        <v>Anaerobic lagoon</v>
      </c>
      <c r="F147" s="52" cm="1">
        <f t="array" ref="F147">MMS_Swine_ManureAppliedToSoils_Equations.VEERG_4_5_1_9__1_MassOfNitrogenAppliedToSoilsScope1(F35,_xlfn.XLOOKUP($E147,$D$123:$D$129,$E$123:$E$129), _xlfn.XLOOKUP($E147,$D$112:$D$118,$E$112:$E$118),F65,$F95)</f>
        <v>11.763913499999997</v>
      </c>
      <c r="G147" s="52" cm="1">
        <f t="array" ref="G147">MMS_Swine_ManureAppliedToSoils_Equations.VEERG_4_5_1_9__1_MassOfNitrogenAppliedToSoilsScope1(G35,_xlfn.XLOOKUP($E147,$D$123:$D$129,$E$123:$E$129), _xlfn.XLOOKUP($E147,$D$112:$D$118,$E$112:$E$118),G65,$F95)</f>
        <v>15.663906562499999</v>
      </c>
      <c r="H147" s="52" cm="1">
        <f t="array" ref="H147">MMS_Swine_ManureAppliedToSoils_Equations.VEERG_4_5_1_9__1_MassOfNitrogenAppliedToSoilsScope1(H35,_xlfn.XLOOKUP($E147,$D$123:$D$129,$E$123:$E$129), _xlfn.XLOOKUP($E147,$D$112:$D$118,$E$112:$E$118),H65,$F95)</f>
        <v>14.704891874999994</v>
      </c>
      <c r="I147" s="52" cm="1">
        <f t="array" ref="I147">MMS_Swine_ManureAppliedToSoils_Equations.VEERG_4_5_1_9__1_MassOfNitrogenAppliedToSoilsScope1(I35,_xlfn.XLOOKUP($E147,$D$123:$D$129,$E$123:$E$129), _xlfn.XLOOKUP($E147,$D$112:$D$118,$E$112:$E$118),I65,$F95)</f>
        <v>9.9737527499999974</v>
      </c>
      <c r="J147" s="2"/>
      <c r="N147" s="57" t="str">
        <f>'Input - Swine'!$D$32</f>
        <v>Deep litter</v>
      </c>
      <c r="O147" s="57" t="str">
        <f>'Input - Swine'!$D$70</f>
        <v>Anaerobic lagoon</v>
      </c>
      <c r="P147" s="52" cm="1">
        <f t="array" ref="P147">MMS_Swine_ManureAppliedToSoils_Equations.VEERG_4_5_1_9__1_MassOfNitrogenAppliedToSoilsScope1(P35,_xlfn.XLOOKUP($O147,$D$123:$D$129,$E$123:$E$129), _xlfn.XLOOKUP($O147,$D$112:$D$118,$E$112:$E$118),P65,$F95)</f>
        <v>11.763913499999997</v>
      </c>
      <c r="Q147" s="52" cm="1">
        <f t="array" ref="Q147">MMS_Swine_ManureAppliedToSoils_Equations.VEERG_4_5_1_9__1_MassOfNitrogenAppliedToSoilsScope1(Q35,_xlfn.XLOOKUP($O147,$D$123:$D$129,$E$123:$E$129), _xlfn.XLOOKUP($O147,$D$112:$D$118,$E$112:$E$118),Q65,$F95)</f>
        <v>15.663906562499999</v>
      </c>
      <c r="R147" s="52" cm="1">
        <f t="array" ref="R147">MMS_Swine_ManureAppliedToSoils_Equations.VEERG_4_5_1_9__1_MassOfNitrogenAppliedToSoilsScope1(R35,_xlfn.XLOOKUP($O147,$D$123:$D$129,$E$123:$E$129), _xlfn.XLOOKUP($O147,$D$112:$D$118,$E$112:$E$118),R65,$F95)</f>
        <v>14.704891874999994</v>
      </c>
      <c r="S147" s="52" cm="1">
        <f t="array" ref="S147">MMS_Swine_ManureAppliedToSoils_Equations.VEERG_4_5_1_9__1_MassOfNitrogenAppliedToSoilsScope1(S35,_xlfn.XLOOKUP($O147,$D$123:$D$129,$E$123:$E$129), _xlfn.XLOOKUP($O147,$D$112:$D$118,$E$112:$E$118),S65,$F95)</f>
        <v>9.9737527499999974</v>
      </c>
      <c r="T147" s="2"/>
    </row>
    <row r="148" spans="4:20" ht="20.100000000000001" customHeight="1" x14ac:dyDescent="0.25">
      <c r="D148" s="57"/>
      <c r="E148" s="57" t="str">
        <f>'Input - Swine'!$D$71</f>
        <v>Digester / covered lagoons</v>
      </c>
      <c r="F148" s="52" cm="1">
        <f t="array" ref="F148">MMS_Swine_ManureAppliedToSoils_Equations.VEERG_4_5_1_9__1_MassOfNitrogenAppliedToSoilsScope1(F36,_xlfn.XLOOKUP($E148,$D$123:$D$129,$E$123:$E$129), _xlfn.XLOOKUP($E148,$D$112:$D$118,$E$112:$E$118),F66,$F96)</f>
        <v>26.142029999999995</v>
      </c>
      <c r="G148" s="52" cm="1">
        <f t="array" ref="G148">MMS_Swine_ManureAppliedToSoils_Equations.VEERG_4_5_1_9__1_MassOfNitrogenAppliedToSoilsScope1(G36,_xlfn.XLOOKUP($E148,$D$123:$D$129,$E$123:$E$129), _xlfn.XLOOKUP($E148,$D$112:$D$118,$E$112:$E$118),G66,$F96)</f>
        <v>34.808681250000006</v>
      </c>
      <c r="H148" s="52" cm="1">
        <f t="array" ref="H148">MMS_Swine_ManureAppliedToSoils_Equations.VEERG_4_5_1_9__1_MassOfNitrogenAppliedToSoilsScope1(H36,_xlfn.XLOOKUP($E148,$D$123:$D$129,$E$123:$E$129), _xlfn.XLOOKUP($E148,$D$112:$D$118,$E$112:$E$118),H66,$F96)</f>
        <v>32.677537499999993</v>
      </c>
      <c r="I148" s="52" cm="1">
        <f t="array" ref="I148">MMS_Swine_ManureAppliedToSoils_Equations.VEERG_4_5_1_9__1_MassOfNitrogenAppliedToSoilsScope1(I36,_xlfn.XLOOKUP($E148,$D$123:$D$129,$E$123:$E$129), _xlfn.XLOOKUP($E148,$D$112:$D$118,$E$112:$E$118),I66,$F96)</f>
        <v>22.163894999999997</v>
      </c>
      <c r="J148" s="2"/>
      <c r="N148" s="57"/>
      <c r="O148" s="57" t="str">
        <f>'Input - Swine'!$D$71</f>
        <v>Digester / covered lagoons</v>
      </c>
      <c r="P148" s="52" cm="1">
        <f t="array" ref="P148">MMS_Swine_ManureAppliedToSoils_Equations.VEERG_4_5_1_9__1_MassOfNitrogenAppliedToSoilsScope1(P36,_xlfn.XLOOKUP($O148,$D$123:$D$129,$E$123:$E$129), _xlfn.XLOOKUP($O148,$D$112:$D$118,$E$112:$E$118),P66,$F96)</f>
        <v>26.142029999999995</v>
      </c>
      <c r="Q148" s="52" cm="1">
        <f t="array" ref="Q148">MMS_Swine_ManureAppliedToSoils_Equations.VEERG_4_5_1_9__1_MassOfNitrogenAppliedToSoilsScope1(Q36,_xlfn.XLOOKUP($O148,$D$123:$D$129,$E$123:$E$129), _xlfn.XLOOKUP($O148,$D$112:$D$118,$E$112:$E$118),Q66,$F96)</f>
        <v>34.808681250000006</v>
      </c>
      <c r="R148" s="52" cm="1">
        <f t="array" ref="R148">MMS_Swine_ManureAppliedToSoils_Equations.VEERG_4_5_1_9__1_MassOfNitrogenAppliedToSoilsScope1(R36,_xlfn.XLOOKUP($O148,$D$123:$D$129,$E$123:$E$129), _xlfn.XLOOKUP($O148,$D$112:$D$118,$E$112:$E$118),R66,$F96)</f>
        <v>32.677537499999993</v>
      </c>
      <c r="S148" s="52" cm="1">
        <f t="array" ref="S148">MMS_Swine_ManureAppliedToSoils_Equations.VEERG_4_5_1_9__1_MassOfNitrogenAppliedToSoilsScope1(S36,_xlfn.XLOOKUP($O148,$D$123:$D$129,$E$123:$E$129), _xlfn.XLOOKUP($O148,$D$112:$D$118,$E$112:$E$118),S66,$F96)</f>
        <v>22.163894999999997</v>
      </c>
      <c r="T148" s="2"/>
    </row>
    <row r="149" spans="4:20" ht="20.100000000000001" customHeight="1" x14ac:dyDescent="0.25">
      <c r="D149" s="57"/>
      <c r="E149" s="57" t="str">
        <f>'Input - Swine'!$D$72</f>
        <v>Pit storage</v>
      </c>
      <c r="F149" s="52" cm="1">
        <f t="array" ref="F149">MMS_Swine_ManureAppliedToSoils_Equations.VEERG_4_5_1_9__1_MassOfNitrogenAppliedToSoilsScope1(F37,_xlfn.XLOOKUP($E149,$D$123:$D$129,$E$123:$E$129), _xlfn.XLOOKUP($E149,$D$112:$D$118,$E$112:$E$118),F67,$F97)</f>
        <v>19.554238439999999</v>
      </c>
      <c r="G149" s="52" cm="1">
        <f t="array" ref="G149">MMS_Swine_ManureAppliedToSoils_Equations.VEERG_4_5_1_9__1_MassOfNitrogenAppliedToSoilsScope1(G37,_xlfn.XLOOKUP($E149,$D$123:$D$129,$E$123:$E$129), _xlfn.XLOOKUP($E149,$D$112:$D$118,$E$112:$E$118),G67,$F97)</f>
        <v>26.036893575000004</v>
      </c>
      <c r="H149" s="52" cm="1">
        <f t="array" ref="H149">MMS_Swine_ManureAppliedToSoils_Equations.VEERG_4_5_1_9__1_MassOfNitrogenAppliedToSoilsScope1(H37,_xlfn.XLOOKUP($E149,$D$123:$D$129,$E$123:$E$129), _xlfn.XLOOKUP($E149,$D$112:$D$118,$E$112:$E$118),H67,$F97)</f>
        <v>24.442798049999993</v>
      </c>
      <c r="I149" s="52" cm="1">
        <f t="array" ref="I149">MMS_Swine_ManureAppliedToSoils_Equations.VEERG_4_5_1_9__1_MassOfNitrogenAppliedToSoilsScope1(I37,_xlfn.XLOOKUP($E149,$D$123:$D$129,$E$123:$E$129), _xlfn.XLOOKUP($E149,$D$112:$D$118,$E$112:$E$118),I67,$F97)</f>
        <v>16.578593459999997</v>
      </c>
      <c r="J149" s="2"/>
      <c r="N149" s="57"/>
      <c r="O149" s="57" t="str">
        <f>'Input - Swine'!$D$72</f>
        <v>Pit storage</v>
      </c>
      <c r="P149" s="52" cm="1">
        <f t="array" ref="P149">MMS_Swine_ManureAppliedToSoils_Equations.VEERG_4_5_1_9__1_MassOfNitrogenAppliedToSoilsScope1(P37,_xlfn.XLOOKUP($O149,$D$123:$D$129,$E$123:$E$129), _xlfn.XLOOKUP($O149,$D$112:$D$118,$E$112:$E$118),P67,$F97)</f>
        <v>19.554238439999999</v>
      </c>
      <c r="Q149" s="52" cm="1">
        <f t="array" ref="Q149">MMS_Swine_ManureAppliedToSoils_Equations.VEERG_4_5_1_9__1_MassOfNitrogenAppliedToSoilsScope1(Q37,_xlfn.XLOOKUP($O149,$D$123:$D$129,$E$123:$E$129), _xlfn.XLOOKUP($O149,$D$112:$D$118,$E$112:$E$118),Q67,$F97)</f>
        <v>26.036893575000004</v>
      </c>
      <c r="R149" s="52" cm="1">
        <f t="array" ref="R149">MMS_Swine_ManureAppliedToSoils_Equations.VEERG_4_5_1_9__1_MassOfNitrogenAppliedToSoilsScope1(R37,_xlfn.XLOOKUP($O149,$D$123:$D$129,$E$123:$E$129), _xlfn.XLOOKUP($O149,$D$112:$D$118,$E$112:$E$118),R67,$F97)</f>
        <v>24.442798049999993</v>
      </c>
      <c r="S149" s="52" cm="1">
        <f t="array" ref="S149">MMS_Swine_ManureAppliedToSoils_Equations.VEERG_4_5_1_9__1_MassOfNitrogenAppliedToSoilsScope1(S37,_xlfn.XLOOKUP($O149,$D$123:$D$129,$E$123:$E$129), _xlfn.XLOOKUP($O149,$D$112:$D$118,$E$112:$E$118),S67,$F97)</f>
        <v>16.578593459999997</v>
      </c>
      <c r="T149" s="2"/>
    </row>
    <row r="150" spans="4:20" ht="20.100000000000001" customHeight="1" x14ac:dyDescent="0.25">
      <c r="D150" s="57"/>
      <c r="E150" s="57" t="str">
        <f>'Input - Swine'!$D$73</f>
        <v>Direct application</v>
      </c>
      <c r="F150" s="52" cm="1">
        <f t="array" ref="F150">MMS_Swine_ManureAppliedToSoils_Equations.VEERG_4_5_1_9__1_MassOfNitrogenAppliedToSoilsScope1(F38,_xlfn.XLOOKUP($E150,$D$123:$D$129,$E$123:$E$129), _xlfn.XLOOKUP($E150,$D$112:$D$118,$E$112:$E$118),F68,$F98)</f>
        <v>69.712079999999972</v>
      </c>
      <c r="G150" s="52" cm="1">
        <f t="array" ref="G150">MMS_Swine_ManureAppliedToSoils_Equations.VEERG_4_5_1_9__1_MassOfNitrogenAppliedToSoilsScope1(G38,_xlfn.XLOOKUP($E150,$D$123:$D$129,$E$123:$E$129), _xlfn.XLOOKUP($E150,$D$112:$D$118,$E$112:$E$118),G68,$F98)</f>
        <v>46.411575000000006</v>
      </c>
      <c r="H150" s="52" cm="1">
        <f t="array" ref="H150">MMS_Swine_ManureAppliedToSoils_Equations.VEERG_4_5_1_9__1_MassOfNitrogenAppliedToSoilsScope1(H38,_xlfn.XLOOKUP($E150,$D$123:$D$129,$E$123:$E$129), _xlfn.XLOOKUP($E150,$D$112:$D$118,$E$112:$E$118),H68,$F98)</f>
        <v>43.570049999999988</v>
      </c>
      <c r="I150" s="52" cm="1">
        <f t="array" ref="I150">MMS_Swine_ManureAppliedToSoils_Equations.VEERG_4_5_1_9__1_MassOfNitrogenAppliedToSoilsScope1(I38,_xlfn.XLOOKUP($E150,$D$123:$D$129,$E$123:$E$129), _xlfn.XLOOKUP($E150,$D$112:$D$118,$E$112:$E$118),I68,$F98)</f>
        <v>29.551859999999994</v>
      </c>
      <c r="J150" s="2"/>
      <c r="N150" s="57"/>
      <c r="O150" s="57" t="str">
        <f>'Input - Swine'!$D$73</f>
        <v>Direct application</v>
      </c>
      <c r="P150" s="52" cm="1">
        <f t="array" ref="P150">MMS_Swine_ManureAppliedToSoils_Equations.VEERG_4_5_1_9__1_MassOfNitrogenAppliedToSoilsScope1(P38,_xlfn.XLOOKUP($O150,$D$123:$D$129,$E$123:$E$129), _xlfn.XLOOKUP($O150,$D$112:$D$118,$E$112:$E$118),P68,$F98)</f>
        <v>69.712079999999972</v>
      </c>
      <c r="Q150" s="52" cm="1">
        <f t="array" ref="Q150">MMS_Swine_ManureAppliedToSoils_Equations.VEERG_4_5_1_9__1_MassOfNitrogenAppliedToSoilsScope1(Q38,_xlfn.XLOOKUP($O150,$D$123:$D$129,$E$123:$E$129), _xlfn.XLOOKUP($O150,$D$112:$D$118,$E$112:$E$118),Q68,$F98)</f>
        <v>46.411575000000006</v>
      </c>
      <c r="R150" s="52" cm="1">
        <f t="array" ref="R150">MMS_Swine_ManureAppliedToSoils_Equations.VEERG_4_5_1_9__1_MassOfNitrogenAppliedToSoilsScope1(R38,_xlfn.XLOOKUP($O150,$D$123:$D$129,$E$123:$E$129), _xlfn.XLOOKUP($O150,$D$112:$D$118,$E$112:$E$118),R68,$F98)</f>
        <v>43.570049999999988</v>
      </c>
      <c r="S150" s="52" cm="1">
        <f t="array" ref="S150">MMS_Swine_ManureAppliedToSoils_Equations.VEERG_4_5_1_9__1_MassOfNitrogenAppliedToSoilsScope1(S38,_xlfn.XLOOKUP($O150,$D$123:$D$129,$E$123:$E$129), _xlfn.XLOOKUP($O150,$D$112:$D$118,$E$112:$E$118),S68,$F98)</f>
        <v>29.551859999999994</v>
      </c>
      <c r="T150" s="2"/>
    </row>
    <row r="151" spans="4:20" ht="20.100000000000001" customHeight="1" x14ac:dyDescent="0.25">
      <c r="D151" s="57" t="str">
        <f>'Input - Swine'!$D$33</f>
        <v>Pit storage</v>
      </c>
      <c r="E151" s="57" t="str">
        <f>'Input - Swine'!$D$77</f>
        <v>Anaerobic lagoon</v>
      </c>
      <c r="F151" s="52" cm="1">
        <f t="array" ref="F151">MMS_Swine_ManureAppliedToSoils_Equations.VEERG_4_5_1_9__1_MassOfNitrogenAppliedToSoilsScope1(F39,_xlfn.XLOOKUP($E151,$D$123:$D$129,$E$123:$E$129), _xlfn.XLOOKUP($E151,$D$112:$D$118,$E$112:$E$118),F69,$F99)</f>
        <v>10.172725199999999</v>
      </c>
      <c r="G151" s="52" cm="1">
        <f t="array" ref="G151">MMS_Swine_ManureAppliedToSoils_Equations.VEERG_4_5_1_9__1_MassOfNitrogenAppliedToSoilsScope1(G39,_xlfn.XLOOKUP($E151,$D$123:$D$129,$E$123:$E$129), _xlfn.XLOOKUP($E151,$D$112:$D$118,$E$112:$E$118),G69,$F99)</f>
        <v>13.54520475</v>
      </c>
      <c r="H151" s="52" cm="1">
        <f t="array" ref="H151">MMS_Swine_ManureAppliedToSoils_Equations.VEERG_4_5_1_9__1_MassOfNitrogenAppliedToSoilsScope1(H39,_xlfn.XLOOKUP($E151,$D$123:$D$129,$E$123:$E$129), _xlfn.XLOOKUP($E151,$D$112:$D$118,$E$112:$E$118),H69,$F99)</f>
        <v>12.715906499999997</v>
      </c>
      <c r="I151" s="52" cm="1">
        <f t="array" ref="I151">MMS_Swine_ManureAppliedToSoils_Equations.VEERG_4_5_1_9__1_MassOfNitrogenAppliedToSoilsScope1(I39,_xlfn.XLOOKUP($E151,$D$123:$D$129,$E$123:$E$129), _xlfn.XLOOKUP($E151,$D$112:$D$118,$E$112:$E$118),I69,$F99)</f>
        <v>8.6247017999999969</v>
      </c>
      <c r="J151" s="2"/>
      <c r="N151" s="57" t="str">
        <f>'Input - Swine'!$D$33</f>
        <v>Pit storage</v>
      </c>
      <c r="O151" s="57" t="str">
        <f>'Input - Swine'!$D$77</f>
        <v>Anaerobic lagoon</v>
      </c>
      <c r="P151" s="52" cm="1">
        <f t="array" ref="P151">MMS_Swine_ManureAppliedToSoils_Equations.VEERG_4_5_1_9__1_MassOfNitrogenAppliedToSoilsScope1(P39,_xlfn.XLOOKUP($O151,$D$123:$D$129,$E$123:$E$129), _xlfn.XLOOKUP($O151,$D$112:$D$118,$E$112:$E$118),P69,$F99)</f>
        <v>10.172725199999999</v>
      </c>
      <c r="Q151" s="52" cm="1">
        <f t="array" ref="Q151">MMS_Swine_ManureAppliedToSoils_Equations.VEERG_4_5_1_9__1_MassOfNitrogenAppliedToSoilsScope1(Q39,_xlfn.XLOOKUP($O151,$D$123:$D$129,$E$123:$E$129), _xlfn.XLOOKUP($O151,$D$112:$D$118,$E$112:$E$118),Q69,$F99)</f>
        <v>13.54520475</v>
      </c>
      <c r="R151" s="52" cm="1">
        <f t="array" ref="R151">MMS_Swine_ManureAppliedToSoils_Equations.VEERG_4_5_1_9__1_MassOfNitrogenAppliedToSoilsScope1(R39,_xlfn.XLOOKUP($O151,$D$123:$D$129,$E$123:$E$129), _xlfn.XLOOKUP($O151,$D$112:$D$118,$E$112:$E$118),R69,$F99)</f>
        <v>12.715906499999997</v>
      </c>
      <c r="S151" s="52" cm="1">
        <f t="array" ref="S151">MMS_Swine_ManureAppliedToSoils_Equations.VEERG_4_5_1_9__1_MassOfNitrogenAppliedToSoilsScope1(S39,_xlfn.XLOOKUP($O151,$D$123:$D$129,$E$123:$E$129), _xlfn.XLOOKUP($O151,$D$112:$D$118,$E$112:$E$118),S69,$F99)</f>
        <v>8.6247017999999969</v>
      </c>
      <c r="T151" s="2"/>
    </row>
    <row r="152" spans="4:20" ht="20.100000000000001" customHeight="1" x14ac:dyDescent="0.25">
      <c r="D152" s="57"/>
      <c r="E152" s="57" t="str">
        <f>'Input - Swine'!$D$78</f>
        <v>Digester / covered lagoons</v>
      </c>
      <c r="F152" s="52" cm="1">
        <f t="array" ref="F152">MMS_Swine_ManureAppliedToSoils_Equations.VEERG_4_5_1_9__1_MassOfNitrogenAppliedToSoilsScope1(F40,_xlfn.XLOOKUP($E152,$D$123:$D$129,$E$123:$E$129), _xlfn.XLOOKUP($E152,$D$112:$D$118,$E$112:$E$118),F70,$F100)</f>
        <v>22.606055999999999</v>
      </c>
      <c r="G152" s="52" cm="1">
        <f t="array" ref="G152">MMS_Swine_ManureAppliedToSoils_Equations.VEERG_4_5_1_9__1_MassOfNitrogenAppliedToSoilsScope1(G40,_xlfn.XLOOKUP($E152,$D$123:$D$129,$E$123:$E$129), _xlfn.XLOOKUP($E152,$D$112:$D$118,$E$112:$E$118),G70,$F100)</f>
        <v>30.100455000000004</v>
      </c>
      <c r="H152" s="52" cm="1">
        <f t="array" ref="H152">MMS_Swine_ManureAppliedToSoils_Equations.VEERG_4_5_1_9__1_MassOfNitrogenAppliedToSoilsScope1(H40,_xlfn.XLOOKUP($E152,$D$123:$D$129,$E$123:$E$129), _xlfn.XLOOKUP($E152,$D$112:$D$118,$E$112:$E$118),H70,$F100)</f>
        <v>28.257569999999994</v>
      </c>
      <c r="I152" s="52" cm="1">
        <f t="array" ref="I152">MMS_Swine_ManureAppliedToSoils_Equations.VEERG_4_5_1_9__1_MassOfNitrogenAppliedToSoilsScope1(I40,_xlfn.XLOOKUP($E152,$D$123:$D$129,$E$123:$E$129), _xlfn.XLOOKUP($E152,$D$112:$D$118,$E$112:$E$118),I70,$F100)</f>
        <v>19.166003999999997</v>
      </c>
      <c r="J152" s="2"/>
      <c r="N152" s="57"/>
      <c r="O152" s="57" t="str">
        <f>'Input - Swine'!$D$78</f>
        <v>Digester / covered lagoons</v>
      </c>
      <c r="P152" s="52" cm="1">
        <f t="array" ref="P152">MMS_Swine_ManureAppliedToSoils_Equations.VEERG_4_5_1_9__1_MassOfNitrogenAppliedToSoilsScope1(P40,_xlfn.XLOOKUP($O152,$D$123:$D$129,$E$123:$E$129), _xlfn.XLOOKUP($O152,$D$112:$D$118,$E$112:$E$118),P70,$F100)</f>
        <v>22.606055999999999</v>
      </c>
      <c r="Q152" s="52" cm="1">
        <f t="array" ref="Q152">MMS_Swine_ManureAppliedToSoils_Equations.VEERG_4_5_1_9__1_MassOfNitrogenAppliedToSoilsScope1(Q40,_xlfn.XLOOKUP($O152,$D$123:$D$129,$E$123:$E$129), _xlfn.XLOOKUP($O152,$D$112:$D$118,$E$112:$E$118),Q70,$F100)</f>
        <v>30.100455000000004</v>
      </c>
      <c r="R152" s="52" cm="1">
        <f t="array" ref="R152">MMS_Swine_ManureAppliedToSoils_Equations.VEERG_4_5_1_9__1_MassOfNitrogenAppliedToSoilsScope1(R40,_xlfn.XLOOKUP($O152,$D$123:$D$129,$E$123:$E$129), _xlfn.XLOOKUP($O152,$D$112:$D$118,$E$112:$E$118),R70,$F100)</f>
        <v>28.257569999999994</v>
      </c>
      <c r="S152" s="52" cm="1">
        <f t="array" ref="S152">MMS_Swine_ManureAppliedToSoils_Equations.VEERG_4_5_1_9__1_MassOfNitrogenAppliedToSoilsScope1(S40,_xlfn.XLOOKUP($O152,$D$123:$D$129,$E$123:$E$129), _xlfn.XLOOKUP($O152,$D$112:$D$118,$E$112:$E$118),S70,$F100)</f>
        <v>19.166003999999997</v>
      </c>
      <c r="T152" s="2"/>
    </row>
    <row r="153" spans="4:20" ht="20.100000000000001" customHeight="1" x14ac:dyDescent="0.25">
      <c r="D153" s="57"/>
      <c r="E153" s="57" t="str">
        <f>'Input - Swine'!$D$79</f>
        <v>Deep litter</v>
      </c>
      <c r="F153" s="52" cm="1">
        <f t="array" ref="F153">MMS_Swine_ManureAppliedToSoils_Equations.VEERG_4_5_1_9__1_MassOfNitrogenAppliedToSoilsScope1(F41,_xlfn.XLOOKUP($E153,$D$123:$D$129,$E$123:$E$129), _xlfn.XLOOKUP($E153,$D$112:$D$118,$E$112:$E$118),F71,$F101)</f>
        <v>19.554238439999999</v>
      </c>
      <c r="G153" s="52" cm="1">
        <f t="array" ref="G153">MMS_Swine_ManureAppliedToSoils_Equations.VEERG_4_5_1_9__1_MassOfNitrogenAppliedToSoilsScope1(G41,_xlfn.XLOOKUP($E153,$D$123:$D$129,$E$123:$E$129), _xlfn.XLOOKUP($E153,$D$112:$D$118,$E$112:$E$118),G71,$F101)</f>
        <v>26.036893575000001</v>
      </c>
      <c r="H153" s="52" cm="1">
        <f t="array" ref="H153">MMS_Swine_ManureAppliedToSoils_Equations.VEERG_4_5_1_9__1_MassOfNitrogenAppliedToSoilsScope1(H41,_xlfn.XLOOKUP($E153,$D$123:$D$129,$E$123:$E$129), _xlfn.XLOOKUP($E153,$D$112:$D$118,$E$112:$E$118),H71,$F101)</f>
        <v>24.442798049999993</v>
      </c>
      <c r="I153" s="52" cm="1">
        <f t="array" ref="I153">MMS_Swine_ManureAppliedToSoils_Equations.VEERG_4_5_1_9__1_MassOfNitrogenAppliedToSoilsScope1(I41,_xlfn.XLOOKUP($E153,$D$123:$D$129,$E$123:$E$129), _xlfn.XLOOKUP($E153,$D$112:$D$118,$E$112:$E$118),I71,$F101)</f>
        <v>16.578593459999997</v>
      </c>
      <c r="J153" s="2"/>
      <c r="N153" s="57"/>
      <c r="O153" s="57" t="str">
        <f>'Input - Swine'!$D$79</f>
        <v>Deep litter</v>
      </c>
      <c r="P153" s="52" cm="1">
        <f t="array" ref="P153">MMS_Swine_ManureAppliedToSoils_Equations.VEERG_4_5_1_9__1_MassOfNitrogenAppliedToSoilsScope1(P41,_xlfn.XLOOKUP($O153,$D$123:$D$129,$E$123:$E$129), _xlfn.XLOOKUP($O153,$D$112:$D$118,$E$112:$E$118),P71,$F101)</f>
        <v>19.554238439999999</v>
      </c>
      <c r="Q153" s="52" cm="1">
        <f t="array" ref="Q153">MMS_Swine_ManureAppliedToSoils_Equations.VEERG_4_5_1_9__1_MassOfNitrogenAppliedToSoilsScope1(Q41,_xlfn.XLOOKUP($O153,$D$123:$D$129,$E$123:$E$129), _xlfn.XLOOKUP($O153,$D$112:$D$118,$E$112:$E$118),Q71,$F101)</f>
        <v>26.036893575000001</v>
      </c>
      <c r="R153" s="52" cm="1">
        <f t="array" ref="R153">MMS_Swine_ManureAppliedToSoils_Equations.VEERG_4_5_1_9__1_MassOfNitrogenAppliedToSoilsScope1(R41,_xlfn.XLOOKUP($O153,$D$123:$D$129,$E$123:$E$129), _xlfn.XLOOKUP($O153,$D$112:$D$118,$E$112:$E$118),R71,$F101)</f>
        <v>24.442798049999993</v>
      </c>
      <c r="S153" s="52" cm="1">
        <f t="array" ref="S153">MMS_Swine_ManureAppliedToSoils_Equations.VEERG_4_5_1_9__1_MassOfNitrogenAppliedToSoilsScope1(S41,_xlfn.XLOOKUP($O153,$D$123:$D$129,$E$123:$E$129), _xlfn.XLOOKUP($O153,$D$112:$D$118,$E$112:$E$118),S71,$F101)</f>
        <v>16.578593459999997</v>
      </c>
      <c r="T153" s="2"/>
    </row>
    <row r="154" spans="4:20" ht="20.100000000000001" customHeight="1" x14ac:dyDescent="0.25">
      <c r="D154" s="57"/>
      <c r="E154" s="57" t="str">
        <f>'Input - Swine'!$D$80</f>
        <v>Direct application</v>
      </c>
      <c r="F154" s="52" cm="1">
        <f t="array" ref="F154">MMS_Swine_ManureAppliedToSoils_Equations.VEERG_4_5_1_9__1_MassOfNitrogenAppliedToSoilsScope1(F42,_xlfn.XLOOKUP($E154,$D$123:$D$129,$E$123:$E$129), _xlfn.XLOOKUP($E154,$D$112:$D$118,$E$112:$E$118),F72,$F102)</f>
        <v>60.282815999999976</v>
      </c>
      <c r="G154" s="52" cm="1">
        <f t="array" ref="G154">MMS_Swine_ManureAppliedToSoils_Equations.VEERG_4_5_1_9__1_MassOfNitrogenAppliedToSoilsScope1(G42,_xlfn.XLOOKUP($E154,$D$123:$D$129,$E$123:$E$129), _xlfn.XLOOKUP($E154,$D$112:$D$118,$E$112:$E$118),G72,$F102)</f>
        <v>40.133940000000003</v>
      </c>
      <c r="H154" s="52" cm="1">
        <f t="array" ref="H154">MMS_Swine_ManureAppliedToSoils_Equations.VEERG_4_5_1_9__1_MassOfNitrogenAppliedToSoilsScope1(H42,_xlfn.XLOOKUP($E154,$D$123:$D$129,$E$123:$E$129), _xlfn.XLOOKUP($E154,$D$112:$D$118,$E$112:$E$118),H72,$F102)</f>
        <v>37.676759999999994</v>
      </c>
      <c r="I154" s="52" cm="1">
        <f t="array" ref="I154">MMS_Swine_ManureAppliedToSoils_Equations.VEERG_4_5_1_9__1_MassOfNitrogenAppliedToSoilsScope1(I42,_xlfn.XLOOKUP($E154,$D$123:$D$129,$E$123:$E$129), _xlfn.XLOOKUP($E154,$D$112:$D$118,$E$112:$E$118),I72,$F102)</f>
        <v>25.554671999999997</v>
      </c>
      <c r="J154" s="2"/>
      <c r="N154" s="57"/>
      <c r="O154" s="57" t="str">
        <f>'Input - Swine'!$D$80</f>
        <v>Direct application</v>
      </c>
      <c r="P154" s="52" cm="1">
        <f t="array" ref="P154">MMS_Swine_ManureAppliedToSoils_Equations.VEERG_4_5_1_9__1_MassOfNitrogenAppliedToSoilsScope1(P42,_xlfn.XLOOKUP($O154,$D$123:$D$129,$E$123:$E$129), _xlfn.XLOOKUP($O154,$D$112:$D$118,$E$112:$E$118),P72,$F102)</f>
        <v>60.282815999999976</v>
      </c>
      <c r="Q154" s="52" cm="1">
        <f t="array" ref="Q154">MMS_Swine_ManureAppliedToSoils_Equations.VEERG_4_5_1_9__1_MassOfNitrogenAppliedToSoilsScope1(Q42,_xlfn.XLOOKUP($O154,$D$123:$D$129,$E$123:$E$129), _xlfn.XLOOKUP($O154,$D$112:$D$118,$E$112:$E$118),Q72,$F102)</f>
        <v>40.133940000000003</v>
      </c>
      <c r="R154" s="52" cm="1">
        <f t="array" ref="R154">MMS_Swine_ManureAppliedToSoils_Equations.VEERG_4_5_1_9__1_MassOfNitrogenAppliedToSoilsScope1(R42,_xlfn.XLOOKUP($O154,$D$123:$D$129,$E$123:$E$129), _xlfn.XLOOKUP($O154,$D$112:$D$118,$E$112:$E$118),R72,$F102)</f>
        <v>37.676759999999994</v>
      </c>
      <c r="S154" s="52" cm="1">
        <f t="array" ref="S154">MMS_Swine_ManureAppliedToSoils_Equations.VEERG_4_5_1_9__1_MassOfNitrogenAppliedToSoilsScope1(S42,_xlfn.XLOOKUP($O154,$D$123:$D$129,$E$123:$E$129), _xlfn.XLOOKUP($O154,$D$112:$D$118,$E$112:$E$118),S72,$F102)</f>
        <v>25.554671999999997</v>
      </c>
      <c r="T154" s="2"/>
    </row>
    <row r="155" spans="4:20" ht="20.100000000000001" customHeight="1" x14ac:dyDescent="0.25">
      <c r="D155" s="57" t="str">
        <f>'Input - Swine'!$D$34</f>
        <v>Solid storage</v>
      </c>
      <c r="E155" s="57" t="str">
        <f>'Input - Swine'!$D$84</f>
        <v>Anaerobic lagoon</v>
      </c>
      <c r="F155" s="52" cm="1">
        <f t="array" ref="F155">MMS_Swine_ManureAppliedToSoils_Equations.VEERG_4_5_1_9__1_MassOfNitrogenAppliedToSoilsScope1(F43,_xlfn.XLOOKUP($E155,$D$123:$D$129,$E$123:$E$129), _xlfn.XLOOKUP($E155,$D$112:$D$118,$E$112:$E$118),F73,$F103)</f>
        <v>36.039735000000007</v>
      </c>
      <c r="G155" s="52" cm="1">
        <f t="array" ref="G155">MMS_Swine_ManureAppliedToSoils_Equations.VEERG_4_5_1_9__1_MassOfNitrogenAppliedToSoilsScope1(G43,_xlfn.XLOOKUP($E155,$D$123:$D$129,$E$123:$E$129), _xlfn.XLOOKUP($E155,$D$112:$D$118,$E$112:$E$118),G73,$F103)</f>
        <v>38.390152500000021</v>
      </c>
      <c r="H155" s="52" cm="1">
        <f t="array" ref="H155">MMS_Swine_ManureAppliedToSoils_Equations.VEERG_4_5_1_9__1_MassOfNitrogenAppliedToSoilsScope1(H43,_xlfn.XLOOKUP($E155,$D$123:$D$129,$E$123:$E$129), _xlfn.XLOOKUP($E155,$D$112:$D$118,$E$112:$E$118),H73,$F103)</f>
        <v>36.039735000000007</v>
      </c>
      <c r="I155" s="52" cm="1">
        <f t="array" ref="I155">MMS_Swine_ManureAppliedToSoils_Equations.VEERG_4_5_1_9__1_MassOfNitrogenAppliedToSoilsScope1(I43,_xlfn.XLOOKUP($E155,$D$123:$D$129,$E$123:$E$129), _xlfn.XLOOKUP($E155,$D$112:$D$118,$E$112:$E$118),I73,$F103)</f>
        <v>24.44434200000001</v>
      </c>
      <c r="J155" s="2"/>
      <c r="N155" s="57" t="str">
        <f>'Input - Swine'!$D$34</f>
        <v>Solid storage</v>
      </c>
      <c r="O155" s="57" t="str">
        <f>'Input - Swine'!$D$84</f>
        <v>Anaerobic lagoon</v>
      </c>
      <c r="P155" s="52" cm="1">
        <f t="array" ref="P155">MMS_Swine_ManureAppliedToSoils_Equations.VEERG_4_5_1_9__1_MassOfNitrogenAppliedToSoilsScope1(P43,_xlfn.XLOOKUP($O155,$D$123:$D$129,$E$123:$E$129), _xlfn.XLOOKUP($O155,$D$112:$D$118,$E$112:$E$118),P73,$F103)</f>
        <v>36.039735000000007</v>
      </c>
      <c r="Q155" s="52" cm="1">
        <f t="array" ref="Q155">MMS_Swine_ManureAppliedToSoils_Equations.VEERG_4_5_1_9__1_MassOfNitrogenAppliedToSoilsScope1(Q43,_xlfn.XLOOKUP($O155,$D$123:$D$129,$E$123:$E$129), _xlfn.XLOOKUP($O155,$D$112:$D$118,$E$112:$E$118),Q73,$F103)</f>
        <v>38.390152500000021</v>
      </c>
      <c r="R155" s="52" cm="1">
        <f t="array" ref="R155">MMS_Swine_ManureAppliedToSoils_Equations.VEERG_4_5_1_9__1_MassOfNitrogenAppliedToSoilsScope1(R43,_xlfn.XLOOKUP($O155,$D$123:$D$129,$E$123:$E$129), _xlfn.XLOOKUP($O155,$D$112:$D$118,$E$112:$E$118),R73,$F103)</f>
        <v>36.039735000000007</v>
      </c>
      <c r="S155" s="52" cm="1">
        <f t="array" ref="S155">MMS_Swine_ManureAppliedToSoils_Equations.VEERG_4_5_1_9__1_MassOfNitrogenAppliedToSoilsScope1(S43,_xlfn.XLOOKUP($O155,$D$123:$D$129,$E$123:$E$129), _xlfn.XLOOKUP($O155,$D$112:$D$118,$E$112:$E$118),S73,$F103)</f>
        <v>24.44434200000001</v>
      </c>
      <c r="T155" s="2"/>
    </row>
    <row r="156" spans="4:20" ht="20.100000000000001" customHeight="1" x14ac:dyDescent="0.25">
      <c r="D156" s="57"/>
      <c r="E156" s="57" t="str">
        <f>'Input - Swine'!$D$85</f>
        <v>Digester / covered lagoons</v>
      </c>
      <c r="F156" s="52" cm="1">
        <f t="array" ref="F156">MMS_Swine_ManureAppliedToSoils_Equations.VEERG_4_5_1_9__1_MassOfNitrogenAppliedToSoilsScope1(F44,_xlfn.XLOOKUP($E156,$D$123:$D$129,$E$123:$E$129), _xlfn.XLOOKUP($E156,$D$112:$D$118,$E$112:$E$118),F74,$F104)</f>
        <v>80.088300000000032</v>
      </c>
      <c r="G156" s="52" cm="1">
        <f t="array" ref="G156">MMS_Swine_ManureAppliedToSoils_Equations.VEERG_4_5_1_9__1_MassOfNitrogenAppliedToSoilsScope1(G44,_xlfn.XLOOKUP($E156,$D$123:$D$129,$E$123:$E$129), _xlfn.XLOOKUP($E156,$D$112:$D$118,$E$112:$E$118),G74,$F104)</f>
        <v>85.31145000000005</v>
      </c>
      <c r="H156" s="52" cm="1">
        <f t="array" ref="H156">MMS_Swine_ManureAppliedToSoils_Equations.VEERG_4_5_1_9__1_MassOfNitrogenAppliedToSoilsScope1(H44,_xlfn.XLOOKUP($E156,$D$123:$D$129,$E$123:$E$129), _xlfn.XLOOKUP($E156,$D$112:$D$118,$E$112:$E$118),H74,$F104)</f>
        <v>80.088300000000032</v>
      </c>
      <c r="I156" s="52" cm="1">
        <f t="array" ref="I156">MMS_Swine_ManureAppliedToSoils_Equations.VEERG_4_5_1_9__1_MassOfNitrogenAppliedToSoilsScope1(I44,_xlfn.XLOOKUP($E156,$D$123:$D$129,$E$123:$E$129), _xlfn.XLOOKUP($E156,$D$112:$D$118,$E$112:$E$118),I74,$F104)</f>
        <v>54.320760000000028</v>
      </c>
      <c r="J156" s="2"/>
      <c r="N156" s="57"/>
      <c r="O156" s="57" t="str">
        <f>'Input - Swine'!$D$85</f>
        <v>Digester / covered lagoons</v>
      </c>
      <c r="P156" s="52" cm="1">
        <f t="array" ref="P156">MMS_Swine_ManureAppliedToSoils_Equations.VEERG_4_5_1_9__1_MassOfNitrogenAppliedToSoilsScope1(P44,_xlfn.XLOOKUP($O156,$D$123:$D$129,$E$123:$E$129), _xlfn.XLOOKUP($O156,$D$112:$D$118,$E$112:$E$118),P74,$F104)</f>
        <v>80.088300000000032</v>
      </c>
      <c r="Q156" s="52" cm="1">
        <f t="array" ref="Q156">MMS_Swine_ManureAppliedToSoils_Equations.VEERG_4_5_1_9__1_MassOfNitrogenAppliedToSoilsScope1(Q44,_xlfn.XLOOKUP($O156,$D$123:$D$129,$E$123:$E$129), _xlfn.XLOOKUP($O156,$D$112:$D$118,$E$112:$E$118),Q74,$F104)</f>
        <v>85.31145000000005</v>
      </c>
      <c r="R156" s="52" cm="1">
        <f t="array" ref="R156">MMS_Swine_ManureAppliedToSoils_Equations.VEERG_4_5_1_9__1_MassOfNitrogenAppliedToSoilsScope1(R44,_xlfn.XLOOKUP($O156,$D$123:$D$129,$E$123:$E$129), _xlfn.XLOOKUP($O156,$D$112:$D$118,$E$112:$E$118),R74,$F104)</f>
        <v>80.088300000000032</v>
      </c>
      <c r="S156" s="52" cm="1">
        <f t="array" ref="S156">MMS_Swine_ManureAppliedToSoils_Equations.VEERG_4_5_1_9__1_MassOfNitrogenAppliedToSoilsScope1(S44,_xlfn.XLOOKUP($O156,$D$123:$D$129,$E$123:$E$129), _xlfn.XLOOKUP($O156,$D$112:$D$118,$E$112:$E$118),S74,$F104)</f>
        <v>54.320760000000028</v>
      </c>
      <c r="T156" s="2"/>
    </row>
    <row r="157" spans="4:20" ht="20.100000000000001" customHeight="1" x14ac:dyDescent="0.25">
      <c r="D157" s="57"/>
      <c r="E157" s="57" t="str">
        <f>'Input - Swine'!$D$86</f>
        <v>Deep litter</v>
      </c>
      <c r="F157" s="52" cm="1">
        <f t="array" ref="F157">MMS_Swine_ManureAppliedToSoils_Equations.VEERG_4_5_1_9__1_MassOfNitrogenAppliedToSoilsScope1(F45,_xlfn.XLOOKUP($E157,$D$123:$D$129,$E$123:$E$129), _xlfn.XLOOKUP($E157,$D$112:$D$118,$E$112:$E$118),F75,$F105)</f>
        <v>69.276379500000019</v>
      </c>
      <c r="G157" s="52" cm="1">
        <f t="array" ref="G157">MMS_Swine_ManureAppliedToSoils_Equations.VEERG_4_5_1_9__1_MassOfNitrogenAppliedToSoilsScope1(G45,_xlfn.XLOOKUP($E157,$D$123:$D$129,$E$123:$E$129), _xlfn.XLOOKUP($E157,$D$112:$D$118,$E$112:$E$118),G75,$F105)</f>
        <v>73.794404250000042</v>
      </c>
      <c r="H157" s="52" cm="1">
        <f t="array" ref="H157">MMS_Swine_ManureAppliedToSoils_Equations.VEERG_4_5_1_9__1_MassOfNitrogenAppliedToSoilsScope1(H45,_xlfn.XLOOKUP($E157,$D$123:$D$129,$E$123:$E$129), _xlfn.XLOOKUP($E157,$D$112:$D$118,$E$112:$E$118),H75,$F105)</f>
        <v>69.276379500000019</v>
      </c>
      <c r="I157" s="52" cm="1">
        <f t="array" ref="I157">MMS_Swine_ManureAppliedToSoils_Equations.VEERG_4_5_1_9__1_MassOfNitrogenAppliedToSoilsScope1(I45,_xlfn.XLOOKUP($E157,$D$123:$D$129,$E$123:$E$129), _xlfn.XLOOKUP($E157,$D$112:$D$118,$E$112:$E$118),I75,$F105)</f>
        <v>46.987457400000025</v>
      </c>
      <c r="J157" s="2"/>
      <c r="N157" s="57"/>
      <c r="O157" s="57" t="str">
        <f>'Input - Swine'!$D$86</f>
        <v>Deep litter</v>
      </c>
      <c r="P157" s="52" cm="1">
        <f t="array" ref="P157">MMS_Swine_ManureAppliedToSoils_Equations.VEERG_4_5_1_9__1_MassOfNitrogenAppliedToSoilsScope1(P45,_xlfn.XLOOKUP($O157,$D$123:$D$129,$E$123:$E$129), _xlfn.XLOOKUP($O157,$D$112:$D$118,$E$112:$E$118),P75,$F105)</f>
        <v>69.276379500000019</v>
      </c>
      <c r="Q157" s="52" cm="1">
        <f t="array" ref="Q157">MMS_Swine_ManureAppliedToSoils_Equations.VEERG_4_5_1_9__1_MassOfNitrogenAppliedToSoilsScope1(Q45,_xlfn.XLOOKUP($O157,$D$123:$D$129,$E$123:$E$129), _xlfn.XLOOKUP($O157,$D$112:$D$118,$E$112:$E$118),Q75,$F105)</f>
        <v>73.794404250000042</v>
      </c>
      <c r="R157" s="52" cm="1">
        <f t="array" ref="R157">MMS_Swine_ManureAppliedToSoils_Equations.VEERG_4_5_1_9__1_MassOfNitrogenAppliedToSoilsScope1(R45,_xlfn.XLOOKUP($O157,$D$123:$D$129,$E$123:$E$129), _xlfn.XLOOKUP($O157,$D$112:$D$118,$E$112:$E$118),R75,$F105)</f>
        <v>69.276379500000019</v>
      </c>
      <c r="S157" s="52" cm="1">
        <f t="array" ref="S157">MMS_Swine_ManureAppliedToSoils_Equations.VEERG_4_5_1_9__1_MassOfNitrogenAppliedToSoilsScope1(S45,_xlfn.XLOOKUP($O157,$D$123:$D$129,$E$123:$E$129), _xlfn.XLOOKUP($O157,$D$112:$D$118,$E$112:$E$118),S75,$F105)</f>
        <v>46.987457400000025</v>
      </c>
      <c r="T157" s="2"/>
    </row>
    <row r="158" spans="4:20" ht="20.100000000000001" customHeight="1" x14ac:dyDescent="0.25">
      <c r="D158" s="57"/>
      <c r="E158" s="57" t="str">
        <f>'Input - Swine'!$D$87</f>
        <v>Pit storage</v>
      </c>
      <c r="F158" s="52" cm="1">
        <f t="array" ref="F158">MMS_Swine_ManureAppliedToSoils_Equations.VEERG_4_5_1_9__1_MassOfNitrogenAppliedToSoilsScope1(F46,_xlfn.XLOOKUP($E158,$D$123:$D$129,$E$123:$E$129), _xlfn.XLOOKUP($E158,$D$112:$D$118,$E$112:$E$118),F76,$F106)</f>
        <v>29.953024200000009</v>
      </c>
      <c r="G158" s="52" cm="1">
        <f t="array" ref="G158">MMS_Swine_ManureAppliedToSoils_Equations.VEERG_4_5_1_9__1_MassOfNitrogenAppliedToSoilsScope1(G46,_xlfn.XLOOKUP($E158,$D$123:$D$129,$E$123:$E$129), _xlfn.XLOOKUP($E158,$D$112:$D$118,$E$112:$E$118),G76,$F106)</f>
        <v>31.906482300000018</v>
      </c>
      <c r="H158" s="52" cm="1">
        <f t="array" ref="H158">MMS_Swine_ManureAppliedToSoils_Equations.VEERG_4_5_1_9__1_MassOfNitrogenAppliedToSoilsScope1(H46,_xlfn.XLOOKUP($E158,$D$123:$D$129,$E$123:$E$129), _xlfn.XLOOKUP($E158,$D$112:$D$118,$E$112:$E$118),H76,$F106)</f>
        <v>29.953024200000009</v>
      </c>
      <c r="I158" s="52" cm="1">
        <f t="array" ref="I158">MMS_Swine_ManureAppliedToSoils_Equations.VEERG_4_5_1_9__1_MassOfNitrogenAppliedToSoilsScope1(I46,_xlfn.XLOOKUP($E158,$D$123:$D$129,$E$123:$E$129), _xlfn.XLOOKUP($E158,$D$112:$D$118,$E$112:$E$118),I76,$F106)</f>
        <v>20.31596424000001</v>
      </c>
      <c r="J158" s="2"/>
      <c r="N158" s="57"/>
      <c r="O158" s="57" t="str">
        <f>'Input - Swine'!$D$87</f>
        <v>Pit storage</v>
      </c>
      <c r="P158" s="52" cm="1">
        <f t="array" ref="P158">MMS_Swine_ManureAppliedToSoils_Equations.VEERG_4_5_1_9__1_MassOfNitrogenAppliedToSoilsScope1(P46,_xlfn.XLOOKUP($O158,$D$123:$D$129,$E$123:$E$129), _xlfn.XLOOKUP($O158,$D$112:$D$118,$E$112:$E$118),P76,$F106)</f>
        <v>29.953024200000009</v>
      </c>
      <c r="Q158" s="52" cm="1">
        <f t="array" ref="Q158">MMS_Swine_ManureAppliedToSoils_Equations.VEERG_4_5_1_9__1_MassOfNitrogenAppliedToSoilsScope1(Q46,_xlfn.XLOOKUP($O158,$D$123:$D$129,$E$123:$E$129), _xlfn.XLOOKUP($O158,$D$112:$D$118,$E$112:$E$118),Q76,$F106)</f>
        <v>31.906482300000018</v>
      </c>
      <c r="R158" s="52" cm="1">
        <f t="array" ref="R158">MMS_Swine_ManureAppliedToSoils_Equations.VEERG_4_5_1_9__1_MassOfNitrogenAppliedToSoilsScope1(R46,_xlfn.XLOOKUP($O158,$D$123:$D$129,$E$123:$E$129), _xlfn.XLOOKUP($O158,$D$112:$D$118,$E$112:$E$118),R76,$F106)</f>
        <v>29.953024200000009</v>
      </c>
      <c r="S158" s="52" cm="1">
        <f t="array" ref="S158">MMS_Swine_ManureAppliedToSoils_Equations.VEERG_4_5_1_9__1_MassOfNitrogenAppliedToSoilsScope1(S46,_xlfn.XLOOKUP($O158,$D$123:$D$129,$E$123:$E$129), _xlfn.XLOOKUP($O158,$D$112:$D$118,$E$112:$E$118),S76,$F106)</f>
        <v>20.31596424000001</v>
      </c>
      <c r="T158" s="2"/>
    </row>
    <row r="159" spans="4:20" ht="20.100000000000001" customHeight="1" x14ac:dyDescent="0.25">
      <c r="D159" s="57"/>
      <c r="E159" s="57" t="str">
        <f>'Input - Swine'!$D$88</f>
        <v>Direct application</v>
      </c>
      <c r="F159" s="52" cm="1">
        <f t="array" ref="F159">MMS_Swine_ManureAppliedToSoils_Equations.VEERG_4_5_1_9__1_MassOfNitrogenAppliedToSoilsScope1(F47,_xlfn.XLOOKUP($E159,$D$123:$D$129,$E$123:$E$129), _xlfn.XLOOKUP($E159,$D$112:$D$118,$E$112:$E$118),F77,$F107)</f>
        <v>160.17660000000001</v>
      </c>
      <c r="G159" s="52" cm="1">
        <f t="array" ref="G159">MMS_Swine_ManureAppliedToSoils_Equations.VEERG_4_5_1_9__1_MassOfNitrogenAppliedToSoilsScope1(G47,_xlfn.XLOOKUP($E159,$D$123:$D$129,$E$123:$E$129), _xlfn.XLOOKUP($E159,$D$112:$D$118,$E$112:$E$118),G77,$F107)</f>
        <v>170.62290000000004</v>
      </c>
      <c r="H159" s="52" cm="1">
        <f t="array" ref="H159">MMS_Swine_ManureAppliedToSoils_Equations.VEERG_4_5_1_9__1_MassOfNitrogenAppliedToSoilsScope1(H47,_xlfn.XLOOKUP($E159,$D$123:$D$129,$E$123:$E$129), _xlfn.XLOOKUP($E159,$D$112:$D$118,$E$112:$E$118),H77,$F107)</f>
        <v>160.17660000000001</v>
      </c>
      <c r="I159" s="52" cm="1">
        <f t="array" ref="I159">MMS_Swine_ManureAppliedToSoils_Equations.VEERG_4_5_1_9__1_MassOfNitrogenAppliedToSoilsScope1(I47,_xlfn.XLOOKUP($E159,$D$123:$D$129,$E$123:$E$129), _xlfn.XLOOKUP($E159,$D$112:$D$118,$E$112:$E$118),I77,$F107)</f>
        <v>108.64152000000003</v>
      </c>
      <c r="J159" s="2"/>
      <c r="N159" s="57"/>
      <c r="O159" s="57" t="str">
        <f>'Input - Swine'!$D$88</f>
        <v>Direct application</v>
      </c>
      <c r="P159" s="52" cm="1">
        <f t="array" ref="P159">MMS_Swine_ManureAppliedToSoils_Equations.VEERG_4_5_1_9__1_MassOfNitrogenAppliedToSoilsScope1(P47,_xlfn.XLOOKUP($O159,$D$123:$D$129,$E$123:$E$129), _xlfn.XLOOKUP($O159,$D$112:$D$118,$E$112:$E$118),P77,$F107)</f>
        <v>160.17660000000001</v>
      </c>
      <c r="Q159" s="52" cm="1">
        <f t="array" ref="Q159">MMS_Swine_ManureAppliedToSoils_Equations.VEERG_4_5_1_9__1_MassOfNitrogenAppliedToSoilsScope1(Q47,_xlfn.XLOOKUP($O159,$D$123:$D$129,$E$123:$E$129), _xlfn.XLOOKUP($O159,$D$112:$D$118,$E$112:$E$118),Q77,$F107)</f>
        <v>170.62290000000004</v>
      </c>
      <c r="R159" s="52" cm="1">
        <f t="array" ref="R159">MMS_Swine_ManureAppliedToSoils_Equations.VEERG_4_5_1_9__1_MassOfNitrogenAppliedToSoilsScope1(R47,_xlfn.XLOOKUP($O159,$D$123:$D$129,$E$123:$E$129), _xlfn.XLOOKUP($O159,$D$112:$D$118,$E$112:$E$118),R77,$F107)</f>
        <v>160.17660000000001</v>
      </c>
      <c r="S159" s="52" cm="1">
        <f t="array" ref="S159">MMS_Swine_ManureAppliedToSoils_Equations.VEERG_4_5_1_9__1_MassOfNitrogenAppliedToSoilsScope1(S47,_xlfn.XLOOKUP($O159,$D$123:$D$129,$E$123:$E$129), _xlfn.XLOOKUP($O159,$D$112:$D$118,$E$112:$E$118),S77,$F107)</f>
        <v>108.64152000000003</v>
      </c>
      <c r="T159" s="2"/>
    </row>
    <row r="160" spans="4:20" ht="20.100000000000001" customHeight="1" x14ac:dyDescent="0.25"/>
    <row r="161" spans="1:21" ht="20.100000000000001" customHeight="1" x14ac:dyDescent="0.25">
      <c r="D161" s="101" t="s">
        <v>313</v>
      </c>
      <c r="E161" s="102">
        <f>SUM(F134:I159)</f>
        <v>3256.7704915650011</v>
      </c>
      <c r="F161" s="103" t="str">
        <f>$E$11</f>
        <v>kg N</v>
      </c>
      <c r="N161" s="101" t="s">
        <v>313</v>
      </c>
      <c r="O161" s="102">
        <f>SUM(P134:S159)</f>
        <v>3256.7704915650011</v>
      </c>
      <c r="P161" s="103" t="str">
        <f>$E$11</f>
        <v>kg N</v>
      </c>
    </row>
    <row r="162" spans="1:21" ht="20.100000000000001" customHeight="1" x14ac:dyDescent="0.25"/>
    <row r="163" spans="1:21" ht="20.100000000000001" customHeight="1" x14ac:dyDescent="0.25">
      <c r="A163" s="150" t="str">
        <f>HYPERLINK("#A1", "▲ Back to top")</f>
        <v>▲ Back to top</v>
      </c>
    </row>
    <row r="164" spans="1:21" ht="20.100000000000001" customHeight="1" x14ac:dyDescent="0.25">
      <c r="C164" s="45"/>
      <c r="D164" s="45"/>
      <c r="E164" s="45"/>
      <c r="F164" s="45"/>
      <c r="G164" s="45"/>
      <c r="H164" s="45"/>
      <c r="I164" s="45"/>
      <c r="J164" s="45"/>
      <c r="K164" s="45"/>
      <c r="M164" s="45"/>
      <c r="N164" s="45"/>
      <c r="O164" s="45"/>
      <c r="P164" s="45"/>
      <c r="Q164" s="45"/>
      <c r="R164" s="45"/>
      <c r="S164" s="45"/>
      <c r="T164" s="45"/>
      <c r="U164" s="45"/>
    </row>
    <row r="165" spans="1:21" ht="20.100000000000001" customHeight="1" x14ac:dyDescent="0.25">
      <c r="D165" s="6" t="str" cm="1">
        <f t="array" ref="D165">MMS_Swine_ManureAppliedToSoils_Equations.VEERG_4_5_1_9__2_MassOfNitrogenAppliedToSoilsScope3_Title()</f>
        <v>Mass of nitrogen applied to soils for scope 3 emissions</v>
      </c>
    </row>
    <row r="166" spans="1:21" ht="20.100000000000001" customHeight="1" x14ac:dyDescent="0.25">
      <c r="D166" s="5" t="str" cm="1">
        <f t="array" ref="D166">MMS_Swine_ManureAppliedToSoils_Equations.VEERG_4_5_1_9__2_MassOfNitrogenAppliedToSoilsScope3_Source()</f>
        <v>VEERG 2026: 4.5.1.9, Equation (2)</v>
      </c>
    </row>
    <row r="167" spans="1:21" ht="20.100000000000001" customHeight="1" x14ac:dyDescent="0.25">
      <c r="D167" s="13" t="s">
        <v>26</v>
      </c>
      <c r="E167" s="13" t="str" cm="1">
        <f t="array" aca="1" ref="E167" ca="1">Common_InputFunctions.Utility_DisplayFunctionName(F182)</f>
        <v>=MMS_Swine_ManureAppliedToSoils_Equations.VEERG_4_5_1_9__2_MassOfNitrogenAppliedToSoilsScope3</v>
      </c>
    </row>
    <row r="168" spans="1:21" ht="20.100000000000001" customHeight="1" x14ac:dyDescent="0.25"/>
    <row r="169" spans="1:21" ht="20.100000000000001" customHeight="1" x14ac:dyDescent="0.25"/>
    <row r="170" spans="1:21" ht="20.100000000000001" customHeight="1" x14ac:dyDescent="0.25">
      <c r="D170" s="53" t="s">
        <v>29</v>
      </c>
      <c r="E170" s="1" t="str" cm="1">
        <f t="array" ref="E170">MMS_Swine_ManureAppliedToSoils_Equations.VEERG_4_5_1_9__2_MassOfNitrogenAppliedToSoilsScope3_Variable()</f>
        <v>MNSoil_scope3</v>
      </c>
    </row>
    <row r="171" spans="1:21" ht="20.100000000000001" customHeight="1" x14ac:dyDescent="0.25">
      <c r="D171" s="53" t="s">
        <v>19</v>
      </c>
      <c r="E171" s="54" t="str" cm="1">
        <f t="array" ref="E171">MMS_Swine_ManureAppliedToSoils_Equations.VEERG_4_5_1_9__2_MassOfNitrogenAppliedToSoilsScope3_Unit()</f>
        <v>kg N</v>
      </c>
    </row>
    <row r="172" spans="1:21" ht="20.100000000000001" customHeight="1" x14ac:dyDescent="0.25"/>
    <row r="173" spans="1:21" ht="20.100000000000001" customHeight="1" x14ac:dyDescent="0.25">
      <c r="D173" s="144" t="str" cm="1">
        <f t="array" ref="D173:E177">Common_InputFunctions.Utility_DisplayArguments_1_2(MMS_Swine_ManureAppliedToSoils_Equations.VEERG_4_5_1_9__2_MassOfNitrogenAppliedToSoilsScope3_Arguments())</f>
        <v>MN_jmT2</v>
      </c>
      <c r="E173" s="146" t="str">
        <v>mass of N in MMS at treatment stage 2</v>
      </c>
      <c r="F173" s="145"/>
      <c r="G173" s="144" t="str" cm="1">
        <f t="array" ref="G173:H177">Common_InputFunctions.Utility_DisplayArguments_3_4(MMS_Swine_ManureAppliedToSoils_Equations.VEERG_4_5_1_9__2_MassOfNitrogenAppliedToSoilsScope3_Arguments())</f>
        <v>kg N</v>
      </c>
      <c r="H173" s="139" t="str">
        <v>Calculated from 4.5.1.3 (6)</v>
      </c>
      <c r="I173" s="143" t="str" cm="1">
        <f t="array" aca="1" ref="I173" ca="1">HYPERLINK(Common_InputFunctions.Utility_SourceHyperlink(D19), D19)</f>
        <v>M1_Table_MN_j_m_T-2</v>
      </c>
    </row>
    <row r="174" spans="1:21" ht="20.100000000000001" customHeight="1" x14ac:dyDescent="0.25">
      <c r="D174" s="144" t="str">
        <v>EF_mT2</v>
      </c>
      <c r="E174" s="146" t="str">
        <v>nitrous oxide emission factor for each MMS at treatment stage 2</v>
      </c>
      <c r="F174" s="145"/>
      <c r="G174" s="144" t="str">
        <v>kg N2O-N/kg N</v>
      </c>
      <c r="H174" s="139" t="str">
        <v>Constant</v>
      </c>
      <c r="I174" s="143" t="str" cm="1">
        <f t="array" aca="1" ref="I174" ca="1">HYPERLINK(Common_InputFunctions.Utility_SourceHyperlink(D120), D120)</f>
        <v>Table_EF_m_T</v>
      </c>
    </row>
    <row r="175" spans="1:21" ht="20.100000000000001" customHeight="1" x14ac:dyDescent="0.25">
      <c r="D175" s="144" t="str">
        <v>FracGASM_mT2</v>
      </c>
      <c r="E175" s="146" t="str">
        <v>fraction of animal waste N volatilised in each MMS at treatment stage 2</v>
      </c>
      <c r="F175" s="145"/>
      <c r="G175" s="144" t="str">
        <v>(kg NH3-N + NOx-N)/kg N</v>
      </c>
      <c r="H175" s="139" t="str">
        <v>Constant</v>
      </c>
      <c r="I175" s="143" t="str" cm="1">
        <f t="array" aca="1" ref="I175" ca="1">HYPERLINK(Common_InputFunctions.Utility_SourceHyperlink(D109), D109)</f>
        <v>Table_FracGASM_m_t</v>
      </c>
    </row>
    <row r="176" spans="1:21" ht="20.100000000000001" customHeight="1" x14ac:dyDescent="0.25">
      <c r="D176" s="144" t="str">
        <v>MNLeach_jm5</v>
      </c>
      <c r="E176" s="146" t="str">
        <v>mass of N lost to leaching and runoff from drylot MMS</v>
      </c>
      <c r="F176" s="145"/>
      <c r="G176" s="144" t="str">
        <v>kg N</v>
      </c>
      <c r="H176" s="139" t="str">
        <v>Calculated from 4.5.1.7 (2)</v>
      </c>
      <c r="I176" s="143" t="str" cm="1">
        <f t="array" aca="1" ref="I176" ca="1">HYPERLINK(Common_InputFunctions.Utility_SourceHyperlink(D49), D49)</f>
        <v>M1_Table_MN_leach_j_m-5</v>
      </c>
    </row>
    <row r="177" spans="4:20" ht="20.100000000000001" customHeight="1" x14ac:dyDescent="0.25">
      <c r="D177" s="144" t="str">
        <v>PF</v>
      </c>
      <c r="E177" s="146" t="str">
        <v>fraction of manure applied to soil within the piggery boundary</v>
      </c>
      <c r="F177" s="145"/>
      <c r="G177" s="144" t="str">
        <v>fraction</v>
      </c>
      <c r="H177" s="140" t="str">
        <v>Input</v>
      </c>
      <c r="I177" s="143" t="str" cm="1">
        <f t="array" aca="1" ref="I177" ca="1">HYPERLINK(Common_InputFunctions.Utility_SourceHyperlink(D79), D79)</f>
        <v>M1_Table_PF</v>
      </c>
    </row>
    <row r="178" spans="4:20" ht="20.100000000000001" customHeight="1" x14ac:dyDescent="0.25"/>
    <row r="179" spans="4:20" ht="20.100000000000001" customHeight="1" x14ac:dyDescent="0.25">
      <c r="D179" s="121" t="s">
        <v>316</v>
      </c>
      <c r="N179" s="121" t="s">
        <v>316</v>
      </c>
    </row>
    <row r="180" spans="4:20" ht="20.100000000000001" customHeight="1" x14ac:dyDescent="0.25">
      <c r="D180" s="122" t="s">
        <v>317</v>
      </c>
      <c r="N180" s="122" t="s">
        <v>317</v>
      </c>
    </row>
    <row r="181" spans="4:20" ht="20.100000000000001" customHeight="1" x14ac:dyDescent="0.25">
      <c r="D181" s="51" t="s">
        <v>163</v>
      </c>
      <c r="E181" s="51" t="s">
        <v>171</v>
      </c>
      <c r="F181" s="51" t="s">
        <v>142</v>
      </c>
      <c r="G181" s="51" t="s">
        <v>143</v>
      </c>
      <c r="H181" s="51" t="s">
        <v>144</v>
      </c>
      <c r="I181" s="51" t="s">
        <v>206</v>
      </c>
      <c r="N181" s="51" t="s">
        <v>163</v>
      </c>
      <c r="O181" s="51" t="s">
        <v>171</v>
      </c>
      <c r="P181" s="51" t="s">
        <v>142</v>
      </c>
      <c r="Q181" s="51" t="s">
        <v>143</v>
      </c>
      <c r="R181" s="51" t="s">
        <v>144</v>
      </c>
      <c r="S181" s="51" t="s">
        <v>206</v>
      </c>
    </row>
    <row r="182" spans="4:20" ht="20.100000000000001" customHeight="1" x14ac:dyDescent="0.25">
      <c r="D182" s="57" t="str">
        <f>'Input - Swine'!$D$29</f>
        <v>Anaerobic lagoon</v>
      </c>
      <c r="E182" s="57" t="str">
        <f>'Input - Swine'!$D$48</f>
        <v>Digester / covered lagoons</v>
      </c>
      <c r="F182" s="52" cm="1">
        <f t="array" ref="F182">MMS_Swine_ManureAppliedToSoils_Equations.VEERG_4_5_1_9__2_MassOfNitrogenAppliedToSoilsScope3(F22,_xlfn.XLOOKUP($E182,$D$123:$D$129,$E$123:$E$129), _xlfn.XLOOKUP($E182,$D$112:$D$118,$E$112:$E$118),F52,$F82)</f>
        <v>4.5332999999999988</v>
      </c>
      <c r="G182" s="52" cm="1">
        <f t="array" ref="G182">MMS_Swine_ManureAppliedToSoils_Equations.VEERG_4_5_1_9__2_MassOfNitrogenAppliedToSoilsScope3(G22,_xlfn.XLOOKUP($E182,$D$123:$D$129,$E$123:$E$129), _xlfn.XLOOKUP($E182,$D$112:$D$118,$E$112:$E$118),G52,$F82)</f>
        <v>6.0361875000000005</v>
      </c>
      <c r="H182" s="52" cm="1">
        <f t="array" ref="H182">MMS_Swine_ManureAppliedToSoils_Equations.VEERG_4_5_1_9__2_MassOfNitrogenAppliedToSoilsScope3(H22,_xlfn.XLOOKUP($E182,$D$123:$D$129,$E$123:$E$129), _xlfn.XLOOKUP($E182,$D$112:$D$118,$E$112:$E$118),H52,$F82)</f>
        <v>5.666624999999998</v>
      </c>
      <c r="I182" s="52" cm="1">
        <f t="array" ref="I182">MMS_Swine_ManureAppliedToSoils_Equations.VEERG_4_5_1_9__2_MassOfNitrogenAppliedToSoilsScope3(I22,_xlfn.XLOOKUP($E182,$D$123:$D$129,$E$123:$E$129), _xlfn.XLOOKUP($E182,$D$112:$D$118,$E$112:$E$118),I52,$F82)</f>
        <v>3.8434499999999989</v>
      </c>
      <c r="J182" s="2" t="str">
        <f>$E$171</f>
        <v>kg N</v>
      </c>
      <c r="N182" s="57" t="str">
        <f>'Input - Swine'!$D$29</f>
        <v>Anaerobic lagoon</v>
      </c>
      <c r="O182" s="57" t="str">
        <f>'Input - Swine'!$D$48</f>
        <v>Digester / covered lagoons</v>
      </c>
      <c r="P182" s="52" cm="1">
        <f t="array" ref="P182">MMS_Swine_ManureAppliedToSoils_Equations.VEERG_4_5_1_9__2_MassOfNitrogenAppliedToSoilsScope3(P22,_xlfn.XLOOKUP($O182,$D$123:$D$129,$E$123:$E$129), _xlfn.XLOOKUP($O182,$D$112:$D$118,$E$112:$E$118),P52,$F82)</f>
        <v>4.5332999999999988</v>
      </c>
      <c r="Q182" s="52" cm="1">
        <f t="array" ref="Q182">MMS_Swine_ManureAppliedToSoils_Equations.VEERG_4_5_1_9__2_MassOfNitrogenAppliedToSoilsScope3(Q22,_xlfn.XLOOKUP($O182,$D$123:$D$129,$E$123:$E$129), _xlfn.XLOOKUP($O182,$D$112:$D$118,$E$112:$E$118),Q52,$F82)</f>
        <v>6.0361875000000005</v>
      </c>
      <c r="R182" s="52" cm="1">
        <f t="array" ref="R182">MMS_Swine_ManureAppliedToSoils_Equations.VEERG_4_5_1_9__2_MassOfNitrogenAppliedToSoilsScope3(R22,_xlfn.XLOOKUP($O182,$D$123:$D$129,$E$123:$E$129), _xlfn.XLOOKUP($O182,$D$112:$D$118,$E$112:$E$118),R52,$F82)</f>
        <v>5.666624999999998</v>
      </c>
      <c r="S182" s="52" cm="1">
        <f t="array" ref="S182">MMS_Swine_ManureAppliedToSoils_Equations.VEERG_4_5_1_9__2_MassOfNitrogenAppliedToSoilsScope3(S22,_xlfn.XLOOKUP($O182,$D$123:$D$129,$E$123:$E$129), _xlfn.XLOOKUP($O182,$D$112:$D$118,$E$112:$E$118),S52,$F82)</f>
        <v>3.8434499999999989</v>
      </c>
      <c r="T182" s="2" t="str">
        <f>$E$171</f>
        <v>kg N</v>
      </c>
    </row>
    <row r="183" spans="4:20" ht="20.100000000000001" customHeight="1" x14ac:dyDescent="0.25">
      <c r="D183" s="57"/>
      <c r="E183" s="57" t="str">
        <f>'Input - Swine'!$D$49</f>
        <v>Deep litter</v>
      </c>
      <c r="F183" s="52" cm="1">
        <f t="array" ref="F183">MMS_Swine_ManureAppliedToSoils_Equations.VEERG_4_5_1_9__2_MassOfNitrogenAppliedToSoilsScope3(F23,_xlfn.XLOOKUP($E183,$D$123:$D$129,$E$123:$E$129), _xlfn.XLOOKUP($E183,$D$112:$D$118,$E$112:$E$118),F53,$F83)</f>
        <v>3.9213044999999989</v>
      </c>
      <c r="G183" s="52" cm="1">
        <f t="array" ref="G183">MMS_Swine_ManureAppliedToSoils_Equations.VEERG_4_5_1_9__2_MassOfNitrogenAppliedToSoilsScope3(G23,_xlfn.XLOOKUP($E183,$D$123:$D$129,$E$123:$E$129), _xlfn.XLOOKUP($E183,$D$112:$D$118,$E$112:$E$118),G53,$F83)</f>
        <v>5.2213021875000001</v>
      </c>
      <c r="H183" s="52" cm="1">
        <f t="array" ref="H183">MMS_Swine_ManureAppliedToSoils_Equations.VEERG_4_5_1_9__2_MassOfNitrogenAppliedToSoilsScope3(H23,_xlfn.XLOOKUP($E183,$D$123:$D$129,$E$123:$E$129), _xlfn.XLOOKUP($E183,$D$112:$D$118,$E$112:$E$118),H53,$F83)</f>
        <v>4.9016306249999984</v>
      </c>
      <c r="I183" s="52" cm="1">
        <f t="array" ref="I183">MMS_Swine_ManureAppliedToSoils_Equations.VEERG_4_5_1_9__2_MassOfNitrogenAppliedToSoilsScope3(I23,_xlfn.XLOOKUP($E183,$D$123:$D$129,$E$123:$E$129), _xlfn.XLOOKUP($E183,$D$112:$D$118,$E$112:$E$118),I53,$F83)</f>
        <v>3.3245842499999991</v>
      </c>
      <c r="J183" s="2"/>
      <c r="N183" s="57"/>
      <c r="O183" s="57" t="str">
        <f>'Input - Swine'!$D$49</f>
        <v>Deep litter</v>
      </c>
      <c r="P183" s="52" cm="1">
        <f t="array" ref="P183">MMS_Swine_ManureAppliedToSoils_Equations.VEERG_4_5_1_9__2_MassOfNitrogenAppliedToSoilsScope3(P23,_xlfn.XLOOKUP($O183,$D$123:$D$129,$E$123:$E$129), _xlfn.XLOOKUP($O183,$D$112:$D$118,$E$112:$E$118),P53,$F83)</f>
        <v>3.9213044999999989</v>
      </c>
      <c r="Q183" s="52" cm="1">
        <f t="array" ref="Q183">MMS_Swine_ManureAppliedToSoils_Equations.VEERG_4_5_1_9__2_MassOfNitrogenAppliedToSoilsScope3(Q23,_xlfn.XLOOKUP($O183,$D$123:$D$129,$E$123:$E$129), _xlfn.XLOOKUP($O183,$D$112:$D$118,$E$112:$E$118),Q53,$F83)</f>
        <v>5.2213021875000001</v>
      </c>
      <c r="R183" s="52" cm="1">
        <f t="array" ref="R183">MMS_Swine_ManureAppliedToSoils_Equations.VEERG_4_5_1_9__2_MassOfNitrogenAppliedToSoilsScope3(R23,_xlfn.XLOOKUP($O183,$D$123:$D$129,$E$123:$E$129), _xlfn.XLOOKUP($O183,$D$112:$D$118,$E$112:$E$118),R53,$F83)</f>
        <v>4.9016306249999984</v>
      </c>
      <c r="S183" s="52" cm="1">
        <f t="array" ref="S183">MMS_Swine_ManureAppliedToSoils_Equations.VEERG_4_5_1_9__2_MassOfNitrogenAppliedToSoilsScope3(S23,_xlfn.XLOOKUP($O183,$D$123:$D$129,$E$123:$E$129), _xlfn.XLOOKUP($O183,$D$112:$D$118,$E$112:$E$118),S53,$F83)</f>
        <v>3.3245842499999991</v>
      </c>
      <c r="T183" s="2"/>
    </row>
    <row r="184" spans="4:20" ht="20.100000000000001" customHeight="1" x14ac:dyDescent="0.25">
      <c r="D184" s="57"/>
      <c r="E184" s="57" t="str">
        <f>'Input - Swine'!$D$50</f>
        <v>Pit storage</v>
      </c>
      <c r="F184" s="52" cm="1">
        <f t="array" ref="F184">MMS_Swine_ManureAppliedToSoils_Equations.VEERG_4_5_1_9__2_MassOfNitrogenAppliedToSoilsScope3(F24,_xlfn.XLOOKUP($E184,$D$123:$D$129,$E$123:$E$129), _xlfn.XLOOKUP($E184,$D$112:$D$118,$E$112:$E$118),F54,$F84)</f>
        <v>3.3909083999999989</v>
      </c>
      <c r="G184" s="52" cm="1">
        <f t="array" ref="G184">MMS_Swine_ManureAppliedToSoils_Equations.VEERG_4_5_1_9__2_MassOfNitrogenAppliedToSoilsScope3(G24,_xlfn.XLOOKUP($E184,$D$123:$D$129,$E$123:$E$129), _xlfn.XLOOKUP($E184,$D$112:$D$118,$E$112:$E$118),G54,$F84)</f>
        <v>4.5150682500000006</v>
      </c>
      <c r="H184" s="52" cm="1">
        <f t="array" ref="H184">MMS_Swine_ManureAppliedToSoils_Equations.VEERG_4_5_1_9__2_MassOfNitrogenAppliedToSoilsScope3(H24,_xlfn.XLOOKUP($E184,$D$123:$D$129,$E$123:$E$129), _xlfn.XLOOKUP($E184,$D$112:$D$118,$E$112:$E$118),H54,$F84)</f>
        <v>4.2386354999999982</v>
      </c>
      <c r="I184" s="52" cm="1">
        <f t="array" ref="I184">MMS_Swine_ManureAppliedToSoils_Equations.VEERG_4_5_1_9__2_MassOfNitrogenAppliedToSoilsScope3(I24,_xlfn.XLOOKUP($E184,$D$123:$D$129,$E$123:$E$129), _xlfn.XLOOKUP($E184,$D$112:$D$118,$E$112:$E$118),I54,$F84)</f>
        <v>2.8749005999999993</v>
      </c>
      <c r="J184" s="2"/>
      <c r="N184" s="57"/>
      <c r="O184" s="57" t="str">
        <f>'Input - Swine'!$D$50</f>
        <v>Pit storage</v>
      </c>
      <c r="P184" s="52" cm="1">
        <f t="array" ref="P184">MMS_Swine_ManureAppliedToSoils_Equations.VEERG_4_5_1_9__2_MassOfNitrogenAppliedToSoilsScope3(P24,_xlfn.XLOOKUP($O184,$D$123:$D$129,$E$123:$E$129), _xlfn.XLOOKUP($O184,$D$112:$D$118,$E$112:$E$118),P54,$F84)</f>
        <v>3.3909083999999989</v>
      </c>
      <c r="Q184" s="52" cm="1">
        <f t="array" ref="Q184">MMS_Swine_ManureAppliedToSoils_Equations.VEERG_4_5_1_9__2_MassOfNitrogenAppliedToSoilsScope3(Q24,_xlfn.XLOOKUP($O184,$D$123:$D$129,$E$123:$E$129), _xlfn.XLOOKUP($O184,$D$112:$D$118,$E$112:$E$118),Q54,$F84)</f>
        <v>4.5150682500000006</v>
      </c>
      <c r="R184" s="52" cm="1">
        <f t="array" ref="R184">MMS_Swine_ManureAppliedToSoils_Equations.VEERG_4_5_1_9__2_MassOfNitrogenAppliedToSoilsScope3(R24,_xlfn.XLOOKUP($O184,$D$123:$D$129,$E$123:$E$129), _xlfn.XLOOKUP($O184,$D$112:$D$118,$E$112:$E$118),R54,$F84)</f>
        <v>4.2386354999999982</v>
      </c>
      <c r="S184" s="52" cm="1">
        <f t="array" ref="S184">MMS_Swine_ManureAppliedToSoils_Equations.VEERG_4_5_1_9__2_MassOfNitrogenAppliedToSoilsScope3(S24,_xlfn.XLOOKUP($O184,$D$123:$D$129,$E$123:$E$129), _xlfn.XLOOKUP($O184,$D$112:$D$118,$E$112:$E$118),S54,$F84)</f>
        <v>2.8749005999999993</v>
      </c>
      <c r="T184" s="2"/>
    </row>
    <row r="185" spans="4:20" ht="20.100000000000001" customHeight="1" x14ac:dyDescent="0.25">
      <c r="D185" s="57"/>
      <c r="E185" s="57" t="str">
        <f>'Input - Swine'!$D$51</f>
        <v>Direct application</v>
      </c>
      <c r="F185" s="52" cm="1">
        <f t="array" ref="F185">MMS_Swine_ManureAppliedToSoils_Equations.VEERG_4_5_1_9__2_MassOfNitrogenAppliedToSoilsScope3(F25,_xlfn.XLOOKUP($E185,$D$123:$D$129,$E$123:$E$129), _xlfn.XLOOKUP($E185,$D$112:$D$118,$E$112:$E$118),F55,$F85)</f>
        <v>0</v>
      </c>
      <c r="G185" s="52" cm="1">
        <f t="array" ref="G185">MMS_Swine_ManureAppliedToSoils_Equations.VEERG_4_5_1_9__2_MassOfNitrogenAppliedToSoilsScope3(G25,_xlfn.XLOOKUP($E185,$D$123:$D$129,$E$123:$E$129), _xlfn.XLOOKUP($E185,$D$112:$D$118,$E$112:$E$118),G55,$F85)</f>
        <v>0</v>
      </c>
      <c r="H185" s="52" cm="1">
        <f t="array" ref="H185">MMS_Swine_ManureAppliedToSoils_Equations.VEERG_4_5_1_9__2_MassOfNitrogenAppliedToSoilsScope3(H25,_xlfn.XLOOKUP($E185,$D$123:$D$129,$E$123:$E$129), _xlfn.XLOOKUP($E185,$D$112:$D$118,$E$112:$E$118),H55,$F85)</f>
        <v>0</v>
      </c>
      <c r="I185" s="52" cm="1">
        <f t="array" ref="I185">MMS_Swine_ManureAppliedToSoils_Equations.VEERG_4_5_1_9__2_MassOfNitrogenAppliedToSoilsScope3(I25,_xlfn.XLOOKUP($E185,$D$123:$D$129,$E$123:$E$129), _xlfn.XLOOKUP($E185,$D$112:$D$118,$E$112:$E$118),I55,$F85)</f>
        <v>0</v>
      </c>
      <c r="J185" s="2"/>
      <c r="N185" s="57"/>
      <c r="O185" s="57" t="str">
        <f>'Input - Swine'!$D$51</f>
        <v>Direct application</v>
      </c>
      <c r="P185" s="52" cm="1">
        <f t="array" ref="P185">MMS_Swine_ManureAppliedToSoils_Equations.VEERG_4_5_1_9__2_MassOfNitrogenAppliedToSoilsScope3(P25,_xlfn.XLOOKUP($O185,$D$123:$D$129,$E$123:$E$129), _xlfn.XLOOKUP($O185,$D$112:$D$118,$E$112:$E$118),P55,$F85)</f>
        <v>0</v>
      </c>
      <c r="Q185" s="52" cm="1">
        <f t="array" ref="Q185">MMS_Swine_ManureAppliedToSoils_Equations.VEERG_4_5_1_9__2_MassOfNitrogenAppliedToSoilsScope3(Q25,_xlfn.XLOOKUP($O185,$D$123:$D$129,$E$123:$E$129), _xlfn.XLOOKUP($O185,$D$112:$D$118,$E$112:$E$118),Q55,$F85)</f>
        <v>0</v>
      </c>
      <c r="R185" s="52" cm="1">
        <f t="array" ref="R185">MMS_Swine_ManureAppliedToSoils_Equations.VEERG_4_5_1_9__2_MassOfNitrogenAppliedToSoilsScope3(R25,_xlfn.XLOOKUP($O185,$D$123:$D$129,$E$123:$E$129), _xlfn.XLOOKUP($O185,$D$112:$D$118,$E$112:$E$118),R55,$F85)</f>
        <v>0</v>
      </c>
      <c r="S185" s="52" cm="1">
        <f t="array" ref="S185">MMS_Swine_ManureAppliedToSoils_Equations.VEERG_4_5_1_9__2_MassOfNitrogenAppliedToSoilsScope3(S25,_xlfn.XLOOKUP($O185,$D$123:$D$129,$E$123:$E$129), _xlfn.XLOOKUP($O185,$D$112:$D$118,$E$112:$E$118),S55,$F85)</f>
        <v>0</v>
      </c>
      <c r="T185" s="2"/>
    </row>
    <row r="186" spans="4:20" ht="20.100000000000001" customHeight="1" x14ac:dyDescent="0.25">
      <c r="D186" s="57" t="str">
        <f>'Input - Swine'!$D$30</f>
        <v>Drylot (feed pad)</v>
      </c>
      <c r="E186" s="57" t="str">
        <f>'Input - Swine'!$D$55</f>
        <v>Anaerobic lagoon</v>
      </c>
      <c r="F186" s="52" cm="1">
        <f t="array" ref="F186">MMS_Swine_ManureAppliedToSoils_Equations.VEERG_4_5_1_9__2_MassOfNitrogenAppliedToSoilsScope3(F26,_xlfn.XLOOKUP($E186,$D$123:$D$129,$E$123:$E$129), _xlfn.XLOOKUP($E186,$D$112:$D$118,$E$112:$E$118),F56,$F86)</f>
        <v>2.0752439999999988</v>
      </c>
      <c r="G186" s="52" cm="1">
        <f t="array" ref="G186">MMS_Swine_ManureAppliedToSoils_Equations.VEERG_4_5_1_9__2_MassOfNitrogenAppliedToSoilsScope3(G26,_xlfn.XLOOKUP($E186,$D$123:$D$129,$E$123:$E$129), _xlfn.XLOOKUP($E186,$D$112:$D$118,$E$112:$E$118),G56,$F86)</f>
        <v>3.0315075</v>
      </c>
      <c r="H186" s="52" cm="1">
        <f t="array" ref="H186">MMS_Swine_ManureAppliedToSoils_Equations.VEERG_4_5_1_9__2_MassOfNitrogenAppliedToSoilsScope3(H26,_xlfn.XLOOKUP($E186,$D$123:$D$129,$E$123:$E$129), _xlfn.XLOOKUP($E186,$D$112:$D$118,$E$112:$E$118),H56,$F86)</f>
        <v>2.8459049999999984</v>
      </c>
      <c r="I186" s="52" cm="1">
        <f t="array" ref="I186">MMS_Swine_ManureAppliedToSoils_Equations.VEERG_4_5_1_9__2_MassOfNitrogenAppliedToSoilsScope3(I26,_xlfn.XLOOKUP($E186,$D$123:$D$129,$E$123:$E$129), _xlfn.XLOOKUP($E186,$D$112:$D$118,$E$112:$E$118),I56,$F86)</f>
        <v>1.9302659999999991</v>
      </c>
      <c r="J186" s="2"/>
      <c r="N186" s="57" t="str">
        <f>'Input - Swine'!$D$30</f>
        <v>Drylot (feed pad)</v>
      </c>
      <c r="O186" s="57" t="str">
        <f>'Input - Swine'!$D$55</f>
        <v>Anaerobic lagoon</v>
      </c>
      <c r="P186" s="52" cm="1">
        <f t="array" ref="P186">MMS_Swine_ManureAppliedToSoils_Equations.VEERG_4_5_1_9__2_MassOfNitrogenAppliedToSoilsScope3(P26,_xlfn.XLOOKUP($O186,$D$123:$D$129,$E$123:$E$129), _xlfn.XLOOKUP($O186,$D$112:$D$118,$E$112:$E$118),P56,$F86)</f>
        <v>2.0752439999999988</v>
      </c>
      <c r="Q186" s="52" cm="1">
        <f t="array" ref="Q186">MMS_Swine_ManureAppliedToSoils_Equations.VEERG_4_5_1_9__2_MassOfNitrogenAppliedToSoilsScope3(Q26,_xlfn.XLOOKUP($O186,$D$123:$D$129,$E$123:$E$129), _xlfn.XLOOKUP($O186,$D$112:$D$118,$E$112:$E$118),Q56,$F86)</f>
        <v>3.0315075</v>
      </c>
      <c r="R186" s="52" cm="1">
        <f t="array" ref="R186">MMS_Swine_ManureAppliedToSoils_Equations.VEERG_4_5_1_9__2_MassOfNitrogenAppliedToSoilsScope3(R26,_xlfn.XLOOKUP($O186,$D$123:$D$129,$E$123:$E$129), _xlfn.XLOOKUP($O186,$D$112:$D$118,$E$112:$E$118),R56,$F86)</f>
        <v>2.8459049999999984</v>
      </c>
      <c r="S186" s="52" cm="1">
        <f t="array" ref="S186">MMS_Swine_ManureAppliedToSoils_Equations.VEERG_4_5_1_9__2_MassOfNitrogenAppliedToSoilsScope3(S26,_xlfn.XLOOKUP($O186,$D$123:$D$129,$E$123:$E$129), _xlfn.XLOOKUP($O186,$D$112:$D$118,$E$112:$E$118),S56,$F86)</f>
        <v>1.9302659999999991</v>
      </c>
      <c r="T186" s="2"/>
    </row>
    <row r="187" spans="4:20" ht="20.100000000000001" customHeight="1" x14ac:dyDescent="0.25">
      <c r="D187" s="57"/>
      <c r="E187" s="57" t="str">
        <f>'Input - Swine'!$D$56</f>
        <v>Digester / covered lagoons</v>
      </c>
      <c r="F187" s="52" cm="1">
        <f t="array" ref="F187">MMS_Swine_ManureAppliedToSoils_Equations.VEERG_4_5_1_9__2_MassOfNitrogenAppliedToSoilsScope3(F27,_xlfn.XLOOKUP($E187,$D$123:$D$129,$E$123:$E$129), _xlfn.XLOOKUP($E187,$D$112:$D$118,$E$112:$E$118),F57,$F87)</f>
        <v>5.8429199999999986</v>
      </c>
      <c r="G187" s="52" cm="1">
        <f t="array" ref="G187">MMS_Swine_ManureAppliedToSoils_Equations.VEERG_4_5_1_9__2_MassOfNitrogenAppliedToSoilsScope3(G27,_xlfn.XLOOKUP($E187,$D$123:$D$129,$E$123:$E$129), _xlfn.XLOOKUP($E187,$D$112:$D$118,$E$112:$E$118),G57,$F87)</f>
        <v>8.0482500000000012</v>
      </c>
      <c r="H187" s="52" cm="1">
        <f t="array" ref="H187">MMS_Swine_ManureAppliedToSoils_Equations.VEERG_4_5_1_9__2_MassOfNitrogenAppliedToSoilsScope3(H27,_xlfn.XLOOKUP($E187,$D$123:$D$129,$E$123:$E$129), _xlfn.XLOOKUP($E187,$D$112:$D$118,$E$112:$E$118),H57,$F87)</f>
        <v>7.5554999999999977</v>
      </c>
      <c r="I187" s="52" cm="1">
        <f t="array" ref="I187">MMS_Swine_ManureAppliedToSoils_Equations.VEERG_4_5_1_9__2_MassOfNitrogenAppliedToSoilsScope3(I27,_xlfn.XLOOKUP($E187,$D$123:$D$129,$E$123:$E$129), _xlfn.XLOOKUP($E187,$D$112:$D$118,$E$112:$E$118),I57,$F87)</f>
        <v>5.1245999999999983</v>
      </c>
      <c r="J187" s="2"/>
      <c r="N187" s="57"/>
      <c r="O187" s="57" t="str">
        <f>'Input - Swine'!$D$56</f>
        <v>Digester / covered lagoons</v>
      </c>
      <c r="P187" s="52" cm="1">
        <f t="array" ref="P187">MMS_Swine_ManureAppliedToSoils_Equations.VEERG_4_5_1_9__2_MassOfNitrogenAppliedToSoilsScope3(P27,_xlfn.XLOOKUP($O187,$D$123:$D$129,$E$123:$E$129), _xlfn.XLOOKUP($O187,$D$112:$D$118,$E$112:$E$118),P57,$F87)</f>
        <v>5.8429199999999986</v>
      </c>
      <c r="Q187" s="52" cm="1">
        <f t="array" ref="Q187">MMS_Swine_ManureAppliedToSoils_Equations.VEERG_4_5_1_9__2_MassOfNitrogenAppliedToSoilsScope3(Q27,_xlfn.XLOOKUP($O187,$D$123:$D$129,$E$123:$E$129), _xlfn.XLOOKUP($O187,$D$112:$D$118,$E$112:$E$118),Q57,$F87)</f>
        <v>8.0482500000000012</v>
      </c>
      <c r="R187" s="52" cm="1">
        <f t="array" ref="R187">MMS_Swine_ManureAppliedToSoils_Equations.VEERG_4_5_1_9__2_MassOfNitrogenAppliedToSoilsScope3(R27,_xlfn.XLOOKUP($O187,$D$123:$D$129,$E$123:$E$129), _xlfn.XLOOKUP($O187,$D$112:$D$118,$E$112:$E$118),R57,$F87)</f>
        <v>7.5554999999999977</v>
      </c>
      <c r="S187" s="52" cm="1">
        <f t="array" ref="S187">MMS_Swine_ManureAppliedToSoils_Equations.VEERG_4_5_1_9__2_MassOfNitrogenAppliedToSoilsScope3(S27,_xlfn.XLOOKUP($O187,$D$123:$D$129,$E$123:$E$129), _xlfn.XLOOKUP($O187,$D$112:$D$118,$E$112:$E$118),S57,$F87)</f>
        <v>5.1245999999999983</v>
      </c>
      <c r="T187" s="2"/>
    </row>
    <row r="188" spans="4:20" ht="20.100000000000001" customHeight="1" x14ac:dyDescent="0.25">
      <c r="D188" s="57"/>
      <c r="E188" s="57" t="str">
        <f>'Input - Swine'!$D$57</f>
        <v>Deep litter</v>
      </c>
      <c r="F188" s="52" cm="1">
        <f t="array" ref="F188">MMS_Swine_ManureAppliedToSoils_Equations.VEERG_4_5_1_9__2_MassOfNitrogenAppliedToSoilsScope3(F28,_xlfn.XLOOKUP($E188,$D$123:$D$129,$E$123:$E$129), _xlfn.XLOOKUP($E188,$D$112:$D$118,$E$112:$E$118),F58,$F88)</f>
        <v>4.9181267999999987</v>
      </c>
      <c r="G188" s="52" cm="1">
        <f t="array" ref="G188">MMS_Swine_ManureAppliedToSoils_Equations.VEERG_4_5_1_9__2_MassOfNitrogenAppliedToSoilsScope3(G28,_xlfn.XLOOKUP($E188,$D$123:$D$129,$E$123:$E$129), _xlfn.XLOOKUP($E188,$D$112:$D$118,$E$112:$E$118),G58,$F88)</f>
        <v>6.816867750000001</v>
      </c>
      <c r="H188" s="52" cm="1">
        <f t="array" ref="H188">MMS_Swine_ManureAppliedToSoils_Equations.VEERG_4_5_1_9__2_MassOfNitrogenAppliedToSoilsScope3(H28,_xlfn.XLOOKUP($E188,$D$123:$D$129,$E$123:$E$129), _xlfn.XLOOKUP($E188,$D$112:$D$118,$E$112:$E$118),H58,$F88)</f>
        <v>6.3995084999999978</v>
      </c>
      <c r="I188" s="52" cm="1">
        <f t="array" ref="I188">MMS_Swine_ManureAppliedToSoils_Equations.VEERG_4_5_1_9__2_MassOfNitrogenAppliedToSoilsScope3(I28,_xlfn.XLOOKUP($E188,$D$123:$D$129,$E$123:$E$129), _xlfn.XLOOKUP($E188,$D$112:$D$118,$E$112:$E$118),I58,$F88)</f>
        <v>4.3405361999999981</v>
      </c>
      <c r="J188" s="2"/>
      <c r="N188" s="57"/>
      <c r="O188" s="57" t="str">
        <f>'Input - Swine'!$D$57</f>
        <v>Deep litter</v>
      </c>
      <c r="P188" s="52" cm="1">
        <f t="array" ref="P188">MMS_Swine_ManureAppliedToSoils_Equations.VEERG_4_5_1_9__2_MassOfNitrogenAppliedToSoilsScope3(P28,_xlfn.XLOOKUP($O188,$D$123:$D$129,$E$123:$E$129), _xlfn.XLOOKUP($O188,$D$112:$D$118,$E$112:$E$118),P58,$F88)</f>
        <v>4.9181267999999987</v>
      </c>
      <c r="Q188" s="52" cm="1">
        <f t="array" ref="Q188">MMS_Swine_ManureAppliedToSoils_Equations.VEERG_4_5_1_9__2_MassOfNitrogenAppliedToSoilsScope3(Q28,_xlfn.XLOOKUP($O188,$D$123:$D$129,$E$123:$E$129), _xlfn.XLOOKUP($O188,$D$112:$D$118,$E$112:$E$118),Q58,$F88)</f>
        <v>6.816867750000001</v>
      </c>
      <c r="R188" s="52" cm="1">
        <f t="array" ref="R188">MMS_Swine_ManureAppliedToSoils_Equations.VEERG_4_5_1_9__2_MassOfNitrogenAppliedToSoilsScope3(R28,_xlfn.XLOOKUP($O188,$D$123:$D$129,$E$123:$E$129), _xlfn.XLOOKUP($O188,$D$112:$D$118,$E$112:$E$118),R58,$F88)</f>
        <v>6.3995084999999978</v>
      </c>
      <c r="S188" s="52" cm="1">
        <f t="array" ref="S188">MMS_Swine_ManureAppliedToSoils_Equations.VEERG_4_5_1_9__2_MassOfNitrogenAppliedToSoilsScope3(S28,_xlfn.XLOOKUP($O188,$D$123:$D$129,$E$123:$E$129), _xlfn.XLOOKUP($O188,$D$112:$D$118,$E$112:$E$118),S58,$F88)</f>
        <v>4.3405361999999981</v>
      </c>
      <c r="T188" s="2"/>
    </row>
    <row r="189" spans="4:20" ht="20.100000000000001" customHeight="1" x14ac:dyDescent="0.25">
      <c r="D189" s="57"/>
      <c r="E189" s="57" t="str">
        <f>'Input - Swine'!$D$58</f>
        <v>Pit storage</v>
      </c>
      <c r="F189" s="52" cm="1">
        <f t="array" ref="F189">MMS_Swine_ManureAppliedToSoils_Equations.VEERG_4_5_1_9__2_MassOfNitrogenAppliedToSoilsScope3(F29,_xlfn.XLOOKUP($E189,$D$123:$D$129,$E$123:$E$129), _xlfn.XLOOKUP($E189,$D$112:$D$118,$E$112:$E$118),F59,$F89)</f>
        <v>4.1166393599999989</v>
      </c>
      <c r="G189" s="52" cm="1">
        <f t="array" ref="G189">MMS_Swine_ManureAppliedToSoils_Equations.VEERG_4_5_1_9__2_MassOfNitrogenAppliedToSoilsScope3(G29,_xlfn.XLOOKUP($E189,$D$123:$D$129,$E$123:$E$129), _xlfn.XLOOKUP($E189,$D$112:$D$118,$E$112:$E$118),G59,$F89)</f>
        <v>5.7496698000000013</v>
      </c>
      <c r="H189" s="52" cm="1">
        <f t="array" ref="H189">MMS_Swine_ManureAppliedToSoils_Equations.VEERG_4_5_1_9__2_MassOfNitrogenAppliedToSoilsScope3(H29,_xlfn.XLOOKUP($E189,$D$123:$D$129,$E$123:$E$129), _xlfn.XLOOKUP($E189,$D$112:$D$118,$E$112:$E$118),H59,$F89)</f>
        <v>5.3976491999999983</v>
      </c>
      <c r="I189" s="52" cm="1">
        <f t="array" ref="I189">MMS_Swine_ManureAppliedToSoils_Equations.VEERG_4_5_1_9__2_MassOfNitrogenAppliedToSoilsScope3(I29,_xlfn.XLOOKUP($E189,$D$123:$D$129,$E$123:$E$129), _xlfn.XLOOKUP($E189,$D$112:$D$118,$E$112:$E$118),I59,$F89)</f>
        <v>3.6610142399999983</v>
      </c>
      <c r="J189" s="2"/>
      <c r="N189" s="57"/>
      <c r="O189" s="57" t="str">
        <f>'Input - Swine'!$D$58</f>
        <v>Pit storage</v>
      </c>
      <c r="P189" s="52" cm="1">
        <f t="array" ref="P189">MMS_Swine_ManureAppliedToSoils_Equations.VEERG_4_5_1_9__2_MassOfNitrogenAppliedToSoilsScope3(P29,_xlfn.XLOOKUP($O189,$D$123:$D$129,$E$123:$E$129), _xlfn.XLOOKUP($O189,$D$112:$D$118,$E$112:$E$118),P59,$F89)</f>
        <v>4.1166393599999989</v>
      </c>
      <c r="Q189" s="52" cm="1">
        <f t="array" ref="Q189">MMS_Swine_ManureAppliedToSoils_Equations.VEERG_4_5_1_9__2_MassOfNitrogenAppliedToSoilsScope3(Q29,_xlfn.XLOOKUP($O189,$D$123:$D$129,$E$123:$E$129), _xlfn.XLOOKUP($O189,$D$112:$D$118,$E$112:$E$118),Q59,$F89)</f>
        <v>5.7496698000000013</v>
      </c>
      <c r="R189" s="52" cm="1">
        <f t="array" ref="R189">MMS_Swine_ManureAppliedToSoils_Equations.VEERG_4_5_1_9__2_MassOfNitrogenAppliedToSoilsScope3(R29,_xlfn.XLOOKUP($O189,$D$123:$D$129,$E$123:$E$129), _xlfn.XLOOKUP($O189,$D$112:$D$118,$E$112:$E$118),R59,$F89)</f>
        <v>5.3976491999999983</v>
      </c>
      <c r="S189" s="52" cm="1">
        <f t="array" ref="S189">MMS_Swine_ManureAppliedToSoils_Equations.VEERG_4_5_1_9__2_MassOfNitrogenAppliedToSoilsScope3(S29,_xlfn.XLOOKUP($O189,$D$123:$D$129,$E$123:$E$129), _xlfn.XLOOKUP($O189,$D$112:$D$118,$E$112:$E$118),S59,$F89)</f>
        <v>3.6610142399999983</v>
      </c>
      <c r="T189" s="2"/>
    </row>
    <row r="190" spans="4:20" ht="20.100000000000001" customHeight="1" x14ac:dyDescent="0.25">
      <c r="D190" s="57"/>
      <c r="E190" s="57" t="str">
        <f>'Input - Swine'!$D$59</f>
        <v>Direct application</v>
      </c>
      <c r="F190" s="52" cm="1">
        <f t="array" ref="F190">MMS_Swine_ManureAppliedToSoils_Equations.VEERG_4_5_1_9__2_MassOfNitrogenAppliedToSoilsScope3(F30,_xlfn.XLOOKUP($E190,$D$123:$D$129,$E$123:$E$129), _xlfn.XLOOKUP($E190,$D$112:$D$118,$E$112:$E$118),F60,$F90)</f>
        <v>0</v>
      </c>
      <c r="G190" s="52" cm="1">
        <f t="array" ref="G190">MMS_Swine_ManureAppliedToSoils_Equations.VEERG_4_5_1_9__2_MassOfNitrogenAppliedToSoilsScope3(G30,_xlfn.XLOOKUP($E190,$D$123:$D$129,$E$123:$E$129), _xlfn.XLOOKUP($E190,$D$112:$D$118,$E$112:$E$118),G60,$F90)</f>
        <v>0</v>
      </c>
      <c r="H190" s="52" cm="1">
        <f t="array" ref="H190">MMS_Swine_ManureAppliedToSoils_Equations.VEERG_4_5_1_9__2_MassOfNitrogenAppliedToSoilsScope3(H30,_xlfn.XLOOKUP($E190,$D$123:$D$129,$E$123:$E$129), _xlfn.XLOOKUP($E190,$D$112:$D$118,$E$112:$E$118),H60,$F90)</f>
        <v>0</v>
      </c>
      <c r="I190" s="52" cm="1">
        <f t="array" ref="I190">MMS_Swine_ManureAppliedToSoils_Equations.VEERG_4_5_1_9__2_MassOfNitrogenAppliedToSoilsScope3(I30,_xlfn.XLOOKUP($E190,$D$123:$D$129,$E$123:$E$129), _xlfn.XLOOKUP($E190,$D$112:$D$118,$E$112:$E$118),I60,$F90)</f>
        <v>0</v>
      </c>
      <c r="J190" s="2"/>
      <c r="N190" s="57"/>
      <c r="O190" s="57" t="str">
        <f>'Input - Swine'!$D$59</f>
        <v>Direct application</v>
      </c>
      <c r="P190" s="52" cm="1">
        <f t="array" ref="P190">MMS_Swine_ManureAppliedToSoils_Equations.VEERG_4_5_1_9__2_MassOfNitrogenAppliedToSoilsScope3(P30,_xlfn.XLOOKUP($O190,$D$123:$D$129,$E$123:$E$129), _xlfn.XLOOKUP($O190,$D$112:$D$118,$E$112:$E$118),P60,$F90)</f>
        <v>0</v>
      </c>
      <c r="Q190" s="52" cm="1">
        <f t="array" ref="Q190">MMS_Swine_ManureAppliedToSoils_Equations.VEERG_4_5_1_9__2_MassOfNitrogenAppliedToSoilsScope3(Q30,_xlfn.XLOOKUP($O190,$D$123:$D$129,$E$123:$E$129), _xlfn.XLOOKUP($O190,$D$112:$D$118,$E$112:$E$118),Q60,$F90)</f>
        <v>0</v>
      </c>
      <c r="R190" s="52" cm="1">
        <f t="array" ref="R190">MMS_Swine_ManureAppliedToSoils_Equations.VEERG_4_5_1_9__2_MassOfNitrogenAppliedToSoilsScope3(R30,_xlfn.XLOOKUP($O190,$D$123:$D$129,$E$123:$E$129), _xlfn.XLOOKUP($O190,$D$112:$D$118,$E$112:$E$118),R60,$F90)</f>
        <v>0</v>
      </c>
      <c r="S190" s="52" cm="1">
        <f t="array" ref="S190">MMS_Swine_ManureAppliedToSoils_Equations.VEERG_4_5_1_9__2_MassOfNitrogenAppliedToSoilsScope3(S30,_xlfn.XLOOKUP($O190,$D$123:$D$129,$E$123:$E$129), _xlfn.XLOOKUP($O190,$D$112:$D$118,$E$112:$E$118),S60,$F90)</f>
        <v>0</v>
      </c>
      <c r="T190" s="2"/>
    </row>
    <row r="191" spans="4:20" ht="20.100000000000001" customHeight="1" x14ac:dyDescent="0.25">
      <c r="D191" s="57" t="str">
        <f>'Input - Swine'!$D$31</f>
        <v>Digester / covered lagoons</v>
      </c>
      <c r="E191" s="57" t="str">
        <f>'Input - Swine'!$D$63</f>
        <v>Anaerobic lagoon</v>
      </c>
      <c r="F191" s="52" cm="1">
        <f t="array" ref="F191">MMS_Swine_ManureAppliedToSoils_Equations.VEERG_4_5_1_9__2_MassOfNitrogenAppliedToSoilsScope3(F31,_xlfn.XLOOKUP($E191,$D$123:$D$129,$E$123:$E$129), _xlfn.XLOOKUP($E191,$D$112:$D$118,$E$112:$E$118),F61,$F91)</f>
        <v>4.5332999999999988</v>
      </c>
      <c r="G191" s="52" cm="1">
        <f t="array" ref="G191">MMS_Swine_ManureAppliedToSoils_Equations.VEERG_4_5_1_9__2_MassOfNitrogenAppliedToSoilsScope3(G31,_xlfn.XLOOKUP($E191,$D$123:$D$129,$E$123:$E$129), _xlfn.XLOOKUP($E191,$D$112:$D$118,$E$112:$E$118),G61,$F91)</f>
        <v>6.0361875000000005</v>
      </c>
      <c r="H191" s="52" cm="1">
        <f t="array" ref="H191">MMS_Swine_ManureAppliedToSoils_Equations.VEERG_4_5_1_9__2_MassOfNitrogenAppliedToSoilsScope3(H31,_xlfn.XLOOKUP($E191,$D$123:$D$129,$E$123:$E$129), _xlfn.XLOOKUP($E191,$D$112:$D$118,$E$112:$E$118),H61,$F91)</f>
        <v>5.666624999999998</v>
      </c>
      <c r="I191" s="52" cm="1">
        <f t="array" ref="I191">MMS_Swine_ManureAppliedToSoils_Equations.VEERG_4_5_1_9__2_MassOfNitrogenAppliedToSoilsScope3(I31,_xlfn.XLOOKUP($E191,$D$123:$D$129,$E$123:$E$129), _xlfn.XLOOKUP($E191,$D$112:$D$118,$E$112:$E$118),I61,$F91)</f>
        <v>3.8434499999999989</v>
      </c>
      <c r="J191" s="2"/>
      <c r="N191" s="57" t="str">
        <f>'Input - Swine'!$D$31</f>
        <v>Digester / covered lagoons</v>
      </c>
      <c r="O191" s="57" t="str">
        <f>'Input - Swine'!$D$63</f>
        <v>Anaerobic lagoon</v>
      </c>
      <c r="P191" s="52" cm="1">
        <f t="array" ref="P191">MMS_Swine_ManureAppliedToSoils_Equations.VEERG_4_5_1_9__2_MassOfNitrogenAppliedToSoilsScope3(P31,_xlfn.XLOOKUP($O191,$D$123:$D$129,$E$123:$E$129), _xlfn.XLOOKUP($O191,$D$112:$D$118,$E$112:$E$118),P61,$F91)</f>
        <v>4.5332999999999988</v>
      </c>
      <c r="Q191" s="52" cm="1">
        <f t="array" ref="Q191">MMS_Swine_ManureAppliedToSoils_Equations.VEERG_4_5_1_9__2_MassOfNitrogenAppliedToSoilsScope3(Q31,_xlfn.XLOOKUP($O191,$D$123:$D$129,$E$123:$E$129), _xlfn.XLOOKUP($O191,$D$112:$D$118,$E$112:$E$118),Q61,$F91)</f>
        <v>6.0361875000000005</v>
      </c>
      <c r="R191" s="52" cm="1">
        <f t="array" ref="R191">MMS_Swine_ManureAppliedToSoils_Equations.VEERG_4_5_1_9__2_MassOfNitrogenAppliedToSoilsScope3(R31,_xlfn.XLOOKUP($O191,$D$123:$D$129,$E$123:$E$129), _xlfn.XLOOKUP($O191,$D$112:$D$118,$E$112:$E$118),R61,$F91)</f>
        <v>5.666624999999998</v>
      </c>
      <c r="S191" s="52" cm="1">
        <f t="array" ref="S191">MMS_Swine_ManureAppliedToSoils_Equations.VEERG_4_5_1_9__2_MassOfNitrogenAppliedToSoilsScope3(S31,_xlfn.XLOOKUP($O191,$D$123:$D$129,$E$123:$E$129), _xlfn.XLOOKUP($O191,$D$112:$D$118,$E$112:$E$118),S61,$F91)</f>
        <v>3.8434499999999989</v>
      </c>
      <c r="T191" s="2"/>
    </row>
    <row r="192" spans="4:20" ht="20.100000000000001" customHeight="1" x14ac:dyDescent="0.25">
      <c r="D192" s="57"/>
      <c r="E192" s="57" t="str">
        <f>'Input - Swine'!$D$64</f>
        <v>Deep litter</v>
      </c>
      <c r="F192" s="52" cm="1">
        <f t="array" ref="F192">MMS_Swine_ManureAppliedToSoils_Equations.VEERG_4_5_1_9__2_MassOfNitrogenAppliedToSoilsScope3(F32,_xlfn.XLOOKUP($E192,$D$123:$D$129,$E$123:$E$129), _xlfn.XLOOKUP($E192,$D$112:$D$118,$E$112:$E$118),F62,$F92)</f>
        <v>8.7140099999999983</v>
      </c>
      <c r="G192" s="52" cm="1">
        <f t="array" ref="G192">MMS_Swine_ManureAppliedToSoils_Equations.VEERG_4_5_1_9__2_MassOfNitrogenAppliedToSoilsScope3(G32,_xlfn.XLOOKUP($E192,$D$123:$D$129,$E$123:$E$129), _xlfn.XLOOKUP($E192,$D$112:$D$118,$E$112:$E$118),G62,$F92)</f>
        <v>11.602893750000002</v>
      </c>
      <c r="H192" s="52" cm="1">
        <f t="array" ref="H192">MMS_Swine_ManureAppliedToSoils_Equations.VEERG_4_5_1_9__2_MassOfNitrogenAppliedToSoilsScope3(H32,_xlfn.XLOOKUP($E192,$D$123:$D$129,$E$123:$E$129), _xlfn.XLOOKUP($E192,$D$112:$D$118,$E$112:$E$118),H62,$F92)</f>
        <v>10.892512499999997</v>
      </c>
      <c r="I192" s="52" cm="1">
        <f t="array" ref="I192">MMS_Swine_ManureAppliedToSoils_Equations.VEERG_4_5_1_9__2_MassOfNitrogenAppliedToSoilsScope3(I32,_xlfn.XLOOKUP($E192,$D$123:$D$129,$E$123:$E$129), _xlfn.XLOOKUP($E192,$D$112:$D$118,$E$112:$E$118),I62,$F92)</f>
        <v>7.3879649999999986</v>
      </c>
      <c r="J192" s="2"/>
      <c r="N192" s="57"/>
      <c r="O192" s="57" t="str">
        <f>'Input - Swine'!$D$64</f>
        <v>Deep litter</v>
      </c>
      <c r="P192" s="52" cm="1">
        <f t="array" ref="P192">MMS_Swine_ManureAppliedToSoils_Equations.VEERG_4_5_1_9__2_MassOfNitrogenAppliedToSoilsScope3(P32,_xlfn.XLOOKUP($O192,$D$123:$D$129,$E$123:$E$129), _xlfn.XLOOKUP($O192,$D$112:$D$118,$E$112:$E$118),P62,$F92)</f>
        <v>8.7140099999999983</v>
      </c>
      <c r="Q192" s="52" cm="1">
        <f t="array" ref="Q192">MMS_Swine_ManureAppliedToSoils_Equations.VEERG_4_5_1_9__2_MassOfNitrogenAppliedToSoilsScope3(Q32,_xlfn.XLOOKUP($O192,$D$123:$D$129,$E$123:$E$129), _xlfn.XLOOKUP($O192,$D$112:$D$118,$E$112:$E$118),Q62,$F92)</f>
        <v>11.602893750000002</v>
      </c>
      <c r="R192" s="52" cm="1">
        <f t="array" ref="R192">MMS_Swine_ManureAppliedToSoils_Equations.VEERG_4_5_1_9__2_MassOfNitrogenAppliedToSoilsScope3(R32,_xlfn.XLOOKUP($O192,$D$123:$D$129,$E$123:$E$129), _xlfn.XLOOKUP($O192,$D$112:$D$118,$E$112:$E$118),R62,$F92)</f>
        <v>10.892512499999997</v>
      </c>
      <c r="S192" s="52" cm="1">
        <f t="array" ref="S192">MMS_Swine_ManureAppliedToSoils_Equations.VEERG_4_5_1_9__2_MassOfNitrogenAppliedToSoilsScope3(S32,_xlfn.XLOOKUP($O192,$D$123:$D$129,$E$123:$E$129), _xlfn.XLOOKUP($O192,$D$112:$D$118,$E$112:$E$118),S62,$F92)</f>
        <v>7.3879649999999986</v>
      </c>
      <c r="T192" s="2"/>
    </row>
    <row r="193" spans="4:20" ht="20.100000000000001" customHeight="1" x14ac:dyDescent="0.25">
      <c r="D193" s="57"/>
      <c r="E193" s="57" t="str">
        <f>'Input - Swine'!$D$65</f>
        <v>Pit storage</v>
      </c>
      <c r="F193" s="52" cm="1">
        <f t="array" ref="F193">MMS_Swine_ManureAppliedToSoils_Equations.VEERG_4_5_1_9__2_MassOfNitrogenAppliedToSoilsScope3(F33,_xlfn.XLOOKUP($E193,$D$123:$D$129,$E$123:$E$129), _xlfn.XLOOKUP($E193,$D$112:$D$118,$E$112:$E$118),F63,$F93)</f>
        <v>7.5353519999999987</v>
      </c>
      <c r="G193" s="52" cm="1">
        <f t="array" ref="G193">MMS_Swine_ManureAppliedToSoils_Equations.VEERG_4_5_1_9__2_MassOfNitrogenAppliedToSoilsScope3(G33,_xlfn.XLOOKUP($E193,$D$123:$D$129,$E$123:$E$129), _xlfn.XLOOKUP($E193,$D$112:$D$118,$E$112:$E$118),G63,$F93)</f>
        <v>10.033485000000001</v>
      </c>
      <c r="H193" s="52" cm="1">
        <f t="array" ref="H193">MMS_Swine_ManureAppliedToSoils_Equations.VEERG_4_5_1_9__2_MassOfNitrogenAppliedToSoilsScope3(H33,_xlfn.XLOOKUP($E193,$D$123:$D$129,$E$123:$E$129), _xlfn.XLOOKUP($E193,$D$112:$D$118,$E$112:$E$118),H63,$F93)</f>
        <v>9.4191899999999986</v>
      </c>
      <c r="I193" s="52" cm="1">
        <f t="array" ref="I193">MMS_Swine_ManureAppliedToSoils_Equations.VEERG_4_5_1_9__2_MassOfNitrogenAppliedToSoilsScope3(I33,_xlfn.XLOOKUP($E193,$D$123:$D$129,$E$123:$E$129), _xlfn.XLOOKUP($E193,$D$112:$D$118,$E$112:$E$118),I63,$F93)</f>
        <v>6.3886679999999991</v>
      </c>
      <c r="J193" s="2"/>
      <c r="N193" s="57"/>
      <c r="O193" s="57" t="str">
        <f>'Input - Swine'!$D$65</f>
        <v>Pit storage</v>
      </c>
      <c r="P193" s="52" cm="1">
        <f t="array" ref="P193">MMS_Swine_ManureAppliedToSoils_Equations.VEERG_4_5_1_9__2_MassOfNitrogenAppliedToSoilsScope3(P33,_xlfn.XLOOKUP($O193,$D$123:$D$129,$E$123:$E$129), _xlfn.XLOOKUP($O193,$D$112:$D$118,$E$112:$E$118),P63,$F93)</f>
        <v>7.5353519999999987</v>
      </c>
      <c r="Q193" s="52" cm="1">
        <f t="array" ref="Q193">MMS_Swine_ManureAppliedToSoils_Equations.VEERG_4_5_1_9__2_MassOfNitrogenAppliedToSoilsScope3(Q33,_xlfn.XLOOKUP($O193,$D$123:$D$129,$E$123:$E$129), _xlfn.XLOOKUP($O193,$D$112:$D$118,$E$112:$E$118),Q63,$F93)</f>
        <v>10.033485000000001</v>
      </c>
      <c r="R193" s="52" cm="1">
        <f t="array" ref="R193">MMS_Swine_ManureAppliedToSoils_Equations.VEERG_4_5_1_9__2_MassOfNitrogenAppliedToSoilsScope3(R33,_xlfn.XLOOKUP($O193,$D$123:$D$129,$E$123:$E$129), _xlfn.XLOOKUP($O193,$D$112:$D$118,$E$112:$E$118),R63,$F93)</f>
        <v>9.4191899999999986</v>
      </c>
      <c r="S193" s="52" cm="1">
        <f t="array" ref="S193">MMS_Swine_ManureAppliedToSoils_Equations.VEERG_4_5_1_9__2_MassOfNitrogenAppliedToSoilsScope3(S33,_xlfn.XLOOKUP($O193,$D$123:$D$129,$E$123:$E$129), _xlfn.XLOOKUP($O193,$D$112:$D$118,$E$112:$E$118),S63,$F93)</f>
        <v>6.3886679999999991</v>
      </c>
      <c r="T193" s="2"/>
    </row>
    <row r="194" spans="4:20" ht="20.100000000000001" customHeight="1" x14ac:dyDescent="0.25">
      <c r="D194" s="57"/>
      <c r="E194" s="57" t="str">
        <f>'Input - Swine'!$D$66</f>
        <v>Direct application</v>
      </c>
      <c r="F194" s="52" cm="1">
        <f t="array" ref="F194">MMS_Swine_ManureAppliedToSoils_Equations.VEERG_4_5_1_9__2_MassOfNitrogenAppliedToSoilsScope3(F34,_xlfn.XLOOKUP($E194,$D$123:$D$129,$E$123:$E$129), _xlfn.XLOOKUP($E194,$D$112:$D$118,$E$112:$E$118),F64,$F94)</f>
        <v>0</v>
      </c>
      <c r="G194" s="52" cm="1">
        <f t="array" ref="G194">MMS_Swine_ManureAppliedToSoils_Equations.VEERG_4_5_1_9__2_MassOfNitrogenAppliedToSoilsScope3(G34,_xlfn.XLOOKUP($E194,$D$123:$D$129,$E$123:$E$129), _xlfn.XLOOKUP($E194,$D$112:$D$118,$E$112:$E$118),G64,$F94)</f>
        <v>0</v>
      </c>
      <c r="H194" s="52" cm="1">
        <f t="array" ref="H194">MMS_Swine_ManureAppliedToSoils_Equations.VEERG_4_5_1_9__2_MassOfNitrogenAppliedToSoilsScope3(H34,_xlfn.XLOOKUP($E194,$D$123:$D$129,$E$123:$E$129), _xlfn.XLOOKUP($E194,$D$112:$D$118,$E$112:$E$118),H64,$F94)</f>
        <v>0</v>
      </c>
      <c r="I194" s="52" cm="1">
        <f t="array" ref="I194">MMS_Swine_ManureAppliedToSoils_Equations.VEERG_4_5_1_9__2_MassOfNitrogenAppliedToSoilsScope3(I34,_xlfn.XLOOKUP($E194,$D$123:$D$129,$E$123:$E$129), _xlfn.XLOOKUP($E194,$D$112:$D$118,$E$112:$E$118),I64,$F94)</f>
        <v>0</v>
      </c>
      <c r="J194" s="2"/>
      <c r="N194" s="57"/>
      <c r="O194" s="57" t="str">
        <f>'Input - Swine'!$D$66</f>
        <v>Direct application</v>
      </c>
      <c r="P194" s="52" cm="1">
        <f t="array" ref="P194">MMS_Swine_ManureAppliedToSoils_Equations.VEERG_4_5_1_9__2_MassOfNitrogenAppliedToSoilsScope3(P34,_xlfn.XLOOKUP($O194,$D$123:$D$129,$E$123:$E$129), _xlfn.XLOOKUP($O194,$D$112:$D$118,$E$112:$E$118),P64,$F94)</f>
        <v>0</v>
      </c>
      <c r="Q194" s="52" cm="1">
        <f t="array" ref="Q194">MMS_Swine_ManureAppliedToSoils_Equations.VEERG_4_5_1_9__2_MassOfNitrogenAppliedToSoilsScope3(Q34,_xlfn.XLOOKUP($O194,$D$123:$D$129,$E$123:$E$129), _xlfn.XLOOKUP($O194,$D$112:$D$118,$E$112:$E$118),Q64,$F94)</f>
        <v>0</v>
      </c>
      <c r="R194" s="52" cm="1">
        <f t="array" ref="R194">MMS_Swine_ManureAppliedToSoils_Equations.VEERG_4_5_1_9__2_MassOfNitrogenAppliedToSoilsScope3(R34,_xlfn.XLOOKUP($O194,$D$123:$D$129,$E$123:$E$129), _xlfn.XLOOKUP($O194,$D$112:$D$118,$E$112:$E$118),R64,$F94)</f>
        <v>0</v>
      </c>
      <c r="S194" s="52" cm="1">
        <f t="array" ref="S194">MMS_Swine_ManureAppliedToSoils_Equations.VEERG_4_5_1_9__2_MassOfNitrogenAppliedToSoilsScope3(S34,_xlfn.XLOOKUP($O194,$D$123:$D$129,$E$123:$E$129), _xlfn.XLOOKUP($O194,$D$112:$D$118,$E$112:$E$118),S64,$F94)</f>
        <v>0</v>
      </c>
      <c r="T194" s="2"/>
    </row>
    <row r="195" spans="4:20" ht="20.100000000000001" customHeight="1" x14ac:dyDescent="0.25">
      <c r="D195" s="57" t="str">
        <f>'Input - Swine'!$D$32</f>
        <v>Deep litter</v>
      </c>
      <c r="E195" s="57" t="str">
        <f>'Input - Swine'!$D$70</f>
        <v>Anaerobic lagoon</v>
      </c>
      <c r="F195" s="52" cm="1">
        <f t="array" ref="F195">MMS_Swine_ManureAppliedToSoils_Equations.VEERG_4_5_1_9__2_MassOfNitrogenAppliedToSoilsScope3(F35,_xlfn.XLOOKUP($E195,$D$123:$D$129,$E$123:$E$129), _xlfn.XLOOKUP($E195,$D$112:$D$118,$E$112:$E$118),F65,$F95)</f>
        <v>3.9213044999999989</v>
      </c>
      <c r="G195" s="52" cm="1">
        <f t="array" ref="G195">MMS_Swine_ManureAppliedToSoils_Equations.VEERG_4_5_1_9__2_MassOfNitrogenAppliedToSoilsScope3(G35,_xlfn.XLOOKUP($E195,$D$123:$D$129,$E$123:$E$129), _xlfn.XLOOKUP($E195,$D$112:$D$118,$E$112:$E$118),G65,$F95)</f>
        <v>5.2213021875000001</v>
      </c>
      <c r="H195" s="52" cm="1">
        <f t="array" ref="H195">MMS_Swine_ManureAppliedToSoils_Equations.VEERG_4_5_1_9__2_MassOfNitrogenAppliedToSoilsScope3(H35,_xlfn.XLOOKUP($E195,$D$123:$D$129,$E$123:$E$129), _xlfn.XLOOKUP($E195,$D$112:$D$118,$E$112:$E$118),H65,$F95)</f>
        <v>4.9016306249999984</v>
      </c>
      <c r="I195" s="52" cm="1">
        <f t="array" ref="I195">MMS_Swine_ManureAppliedToSoils_Equations.VEERG_4_5_1_9__2_MassOfNitrogenAppliedToSoilsScope3(I35,_xlfn.XLOOKUP($E195,$D$123:$D$129,$E$123:$E$129), _xlfn.XLOOKUP($E195,$D$112:$D$118,$E$112:$E$118),I65,$F95)</f>
        <v>3.3245842499999991</v>
      </c>
      <c r="J195" s="2"/>
      <c r="N195" s="57" t="str">
        <f>'Input - Swine'!$D$32</f>
        <v>Deep litter</v>
      </c>
      <c r="O195" s="57" t="str">
        <f>'Input - Swine'!$D$70</f>
        <v>Anaerobic lagoon</v>
      </c>
      <c r="P195" s="52" cm="1">
        <f t="array" ref="P195">MMS_Swine_ManureAppliedToSoils_Equations.VEERG_4_5_1_9__2_MassOfNitrogenAppliedToSoilsScope3(P35,_xlfn.XLOOKUP($O195,$D$123:$D$129,$E$123:$E$129), _xlfn.XLOOKUP($O195,$D$112:$D$118,$E$112:$E$118),P65,$F95)</f>
        <v>3.9213044999999989</v>
      </c>
      <c r="Q195" s="52" cm="1">
        <f t="array" ref="Q195">MMS_Swine_ManureAppliedToSoils_Equations.VEERG_4_5_1_9__2_MassOfNitrogenAppliedToSoilsScope3(Q35,_xlfn.XLOOKUP($O195,$D$123:$D$129,$E$123:$E$129), _xlfn.XLOOKUP($O195,$D$112:$D$118,$E$112:$E$118),Q65,$F95)</f>
        <v>5.2213021875000001</v>
      </c>
      <c r="R195" s="52" cm="1">
        <f t="array" ref="R195">MMS_Swine_ManureAppliedToSoils_Equations.VEERG_4_5_1_9__2_MassOfNitrogenAppliedToSoilsScope3(R35,_xlfn.XLOOKUP($O195,$D$123:$D$129,$E$123:$E$129), _xlfn.XLOOKUP($O195,$D$112:$D$118,$E$112:$E$118),R65,$F95)</f>
        <v>4.9016306249999984</v>
      </c>
      <c r="S195" s="52" cm="1">
        <f t="array" ref="S195">MMS_Swine_ManureAppliedToSoils_Equations.VEERG_4_5_1_9__2_MassOfNitrogenAppliedToSoilsScope3(S35,_xlfn.XLOOKUP($O195,$D$123:$D$129,$E$123:$E$129), _xlfn.XLOOKUP($O195,$D$112:$D$118,$E$112:$E$118),S65,$F95)</f>
        <v>3.3245842499999991</v>
      </c>
      <c r="T195" s="2"/>
    </row>
    <row r="196" spans="4:20" ht="20.100000000000001" customHeight="1" x14ac:dyDescent="0.25">
      <c r="D196" s="57"/>
      <c r="E196" s="57" t="str">
        <f>'Input - Swine'!$D$71</f>
        <v>Digester / covered lagoons</v>
      </c>
      <c r="F196" s="52" cm="1">
        <f t="array" ref="F196">MMS_Swine_ManureAppliedToSoils_Equations.VEERG_4_5_1_9__2_MassOfNitrogenAppliedToSoilsScope3(F36,_xlfn.XLOOKUP($E196,$D$123:$D$129,$E$123:$E$129), _xlfn.XLOOKUP($E196,$D$112:$D$118,$E$112:$E$118),F66,$F96)</f>
        <v>8.7140099999999983</v>
      </c>
      <c r="G196" s="52" cm="1">
        <f t="array" ref="G196">MMS_Swine_ManureAppliedToSoils_Equations.VEERG_4_5_1_9__2_MassOfNitrogenAppliedToSoilsScope3(G36,_xlfn.XLOOKUP($E196,$D$123:$D$129,$E$123:$E$129), _xlfn.XLOOKUP($E196,$D$112:$D$118,$E$112:$E$118),G66,$F96)</f>
        <v>11.602893750000002</v>
      </c>
      <c r="H196" s="52" cm="1">
        <f t="array" ref="H196">MMS_Swine_ManureAppliedToSoils_Equations.VEERG_4_5_1_9__2_MassOfNitrogenAppliedToSoilsScope3(H36,_xlfn.XLOOKUP($E196,$D$123:$D$129,$E$123:$E$129), _xlfn.XLOOKUP($E196,$D$112:$D$118,$E$112:$E$118),H66,$F96)</f>
        <v>10.892512499999997</v>
      </c>
      <c r="I196" s="52" cm="1">
        <f t="array" ref="I196">MMS_Swine_ManureAppliedToSoils_Equations.VEERG_4_5_1_9__2_MassOfNitrogenAppliedToSoilsScope3(I36,_xlfn.XLOOKUP($E196,$D$123:$D$129,$E$123:$E$129), _xlfn.XLOOKUP($E196,$D$112:$D$118,$E$112:$E$118),I66,$F96)</f>
        <v>7.3879649999999986</v>
      </c>
      <c r="J196" s="2"/>
      <c r="N196" s="57"/>
      <c r="O196" s="57" t="str">
        <f>'Input - Swine'!$D$71</f>
        <v>Digester / covered lagoons</v>
      </c>
      <c r="P196" s="52" cm="1">
        <f t="array" ref="P196">MMS_Swine_ManureAppliedToSoils_Equations.VEERG_4_5_1_9__2_MassOfNitrogenAppliedToSoilsScope3(P36,_xlfn.XLOOKUP($O196,$D$123:$D$129,$E$123:$E$129), _xlfn.XLOOKUP($O196,$D$112:$D$118,$E$112:$E$118),P66,$F96)</f>
        <v>8.7140099999999983</v>
      </c>
      <c r="Q196" s="52" cm="1">
        <f t="array" ref="Q196">MMS_Swine_ManureAppliedToSoils_Equations.VEERG_4_5_1_9__2_MassOfNitrogenAppliedToSoilsScope3(Q36,_xlfn.XLOOKUP($O196,$D$123:$D$129,$E$123:$E$129), _xlfn.XLOOKUP($O196,$D$112:$D$118,$E$112:$E$118),Q66,$F96)</f>
        <v>11.602893750000002</v>
      </c>
      <c r="R196" s="52" cm="1">
        <f t="array" ref="R196">MMS_Swine_ManureAppliedToSoils_Equations.VEERG_4_5_1_9__2_MassOfNitrogenAppliedToSoilsScope3(R36,_xlfn.XLOOKUP($O196,$D$123:$D$129,$E$123:$E$129), _xlfn.XLOOKUP($O196,$D$112:$D$118,$E$112:$E$118),R66,$F96)</f>
        <v>10.892512499999997</v>
      </c>
      <c r="S196" s="52" cm="1">
        <f t="array" ref="S196">MMS_Swine_ManureAppliedToSoils_Equations.VEERG_4_5_1_9__2_MassOfNitrogenAppliedToSoilsScope3(S36,_xlfn.XLOOKUP($O196,$D$123:$D$129,$E$123:$E$129), _xlfn.XLOOKUP($O196,$D$112:$D$118,$E$112:$E$118),S66,$F96)</f>
        <v>7.3879649999999986</v>
      </c>
      <c r="T196" s="2"/>
    </row>
    <row r="197" spans="4:20" ht="20.100000000000001" customHeight="1" x14ac:dyDescent="0.25">
      <c r="D197" s="57"/>
      <c r="E197" s="57" t="str">
        <f>'Input - Swine'!$D$72</f>
        <v>Pit storage</v>
      </c>
      <c r="F197" s="52" cm="1">
        <f t="array" ref="F197">MMS_Swine_ManureAppliedToSoils_Equations.VEERG_4_5_1_9__2_MassOfNitrogenAppliedToSoilsScope3(F37,_xlfn.XLOOKUP($E197,$D$123:$D$129,$E$123:$E$129), _xlfn.XLOOKUP($E197,$D$112:$D$118,$E$112:$E$118),F67,$F97)</f>
        <v>6.518079479999999</v>
      </c>
      <c r="G197" s="52" cm="1">
        <f t="array" ref="G197">MMS_Swine_ManureAppliedToSoils_Equations.VEERG_4_5_1_9__2_MassOfNitrogenAppliedToSoilsScope3(G37,_xlfn.XLOOKUP($E197,$D$123:$D$129,$E$123:$E$129), _xlfn.XLOOKUP($E197,$D$112:$D$118,$E$112:$E$118),G67,$F97)</f>
        <v>8.6789645250000014</v>
      </c>
      <c r="H197" s="52" cm="1">
        <f t="array" ref="H197">MMS_Swine_ManureAppliedToSoils_Equations.VEERG_4_5_1_9__2_MassOfNitrogenAppliedToSoilsScope3(H37,_xlfn.XLOOKUP($E197,$D$123:$D$129,$E$123:$E$129), _xlfn.XLOOKUP($E197,$D$112:$D$118,$E$112:$E$118),H67,$F97)</f>
        <v>8.1475993499999984</v>
      </c>
      <c r="I197" s="52" cm="1">
        <f t="array" ref="I197">MMS_Swine_ManureAppliedToSoils_Equations.VEERG_4_5_1_9__2_MassOfNitrogenAppliedToSoilsScope3(I37,_xlfn.XLOOKUP($E197,$D$123:$D$129,$E$123:$E$129), _xlfn.XLOOKUP($E197,$D$112:$D$118,$E$112:$E$118),I67,$F97)</f>
        <v>5.5261978199999993</v>
      </c>
      <c r="J197" s="2"/>
      <c r="N197" s="57"/>
      <c r="O197" s="57" t="str">
        <f>'Input - Swine'!$D$72</f>
        <v>Pit storage</v>
      </c>
      <c r="P197" s="52" cm="1">
        <f t="array" ref="P197">MMS_Swine_ManureAppliedToSoils_Equations.VEERG_4_5_1_9__2_MassOfNitrogenAppliedToSoilsScope3(P37,_xlfn.XLOOKUP($O197,$D$123:$D$129,$E$123:$E$129), _xlfn.XLOOKUP($O197,$D$112:$D$118,$E$112:$E$118),P67,$F97)</f>
        <v>6.518079479999999</v>
      </c>
      <c r="Q197" s="52" cm="1">
        <f t="array" ref="Q197">MMS_Swine_ManureAppliedToSoils_Equations.VEERG_4_5_1_9__2_MassOfNitrogenAppliedToSoilsScope3(Q37,_xlfn.XLOOKUP($O197,$D$123:$D$129,$E$123:$E$129), _xlfn.XLOOKUP($O197,$D$112:$D$118,$E$112:$E$118),Q67,$F97)</f>
        <v>8.6789645250000014</v>
      </c>
      <c r="R197" s="52" cm="1">
        <f t="array" ref="R197">MMS_Swine_ManureAppliedToSoils_Equations.VEERG_4_5_1_9__2_MassOfNitrogenAppliedToSoilsScope3(R37,_xlfn.XLOOKUP($O197,$D$123:$D$129,$E$123:$E$129), _xlfn.XLOOKUP($O197,$D$112:$D$118,$E$112:$E$118),R67,$F97)</f>
        <v>8.1475993499999984</v>
      </c>
      <c r="S197" s="52" cm="1">
        <f t="array" ref="S197">MMS_Swine_ManureAppliedToSoils_Equations.VEERG_4_5_1_9__2_MassOfNitrogenAppliedToSoilsScope3(S37,_xlfn.XLOOKUP($O197,$D$123:$D$129,$E$123:$E$129), _xlfn.XLOOKUP($O197,$D$112:$D$118,$E$112:$E$118),S67,$F97)</f>
        <v>5.5261978199999993</v>
      </c>
      <c r="T197" s="2"/>
    </row>
    <row r="198" spans="4:20" ht="20.100000000000001" customHeight="1" x14ac:dyDescent="0.25">
      <c r="D198" s="57"/>
      <c r="E198" s="57" t="str">
        <f>'Input - Swine'!$D$73</f>
        <v>Direct application</v>
      </c>
      <c r="F198" s="52" cm="1">
        <f t="array" ref="F198">MMS_Swine_ManureAppliedToSoils_Equations.VEERG_4_5_1_9__2_MassOfNitrogenAppliedToSoilsScope3(F38,_xlfn.XLOOKUP($E198,$D$123:$D$129,$E$123:$E$129), _xlfn.XLOOKUP($E198,$D$112:$D$118,$E$112:$E$118),F68,$F98)</f>
        <v>0</v>
      </c>
      <c r="G198" s="52" cm="1">
        <f t="array" ref="G198">MMS_Swine_ManureAppliedToSoils_Equations.VEERG_4_5_1_9__2_MassOfNitrogenAppliedToSoilsScope3(G38,_xlfn.XLOOKUP($E198,$D$123:$D$129,$E$123:$E$129), _xlfn.XLOOKUP($E198,$D$112:$D$118,$E$112:$E$118),G68,$F98)</f>
        <v>0</v>
      </c>
      <c r="H198" s="52" cm="1">
        <f t="array" ref="H198">MMS_Swine_ManureAppliedToSoils_Equations.VEERG_4_5_1_9__2_MassOfNitrogenAppliedToSoilsScope3(H38,_xlfn.XLOOKUP($E198,$D$123:$D$129,$E$123:$E$129), _xlfn.XLOOKUP($E198,$D$112:$D$118,$E$112:$E$118),H68,$F98)</f>
        <v>0</v>
      </c>
      <c r="I198" s="52" cm="1">
        <f t="array" ref="I198">MMS_Swine_ManureAppliedToSoils_Equations.VEERG_4_5_1_9__2_MassOfNitrogenAppliedToSoilsScope3(I38,_xlfn.XLOOKUP($E198,$D$123:$D$129,$E$123:$E$129), _xlfn.XLOOKUP($E198,$D$112:$D$118,$E$112:$E$118),I68,$F98)</f>
        <v>0</v>
      </c>
      <c r="J198" s="2"/>
      <c r="N198" s="57"/>
      <c r="O198" s="57" t="str">
        <f>'Input - Swine'!$D$73</f>
        <v>Direct application</v>
      </c>
      <c r="P198" s="52" cm="1">
        <f t="array" ref="P198">MMS_Swine_ManureAppliedToSoils_Equations.VEERG_4_5_1_9__2_MassOfNitrogenAppliedToSoilsScope3(P38,_xlfn.XLOOKUP($O198,$D$123:$D$129,$E$123:$E$129), _xlfn.XLOOKUP($O198,$D$112:$D$118,$E$112:$E$118),P68,$F98)</f>
        <v>0</v>
      </c>
      <c r="Q198" s="52" cm="1">
        <f t="array" ref="Q198">MMS_Swine_ManureAppliedToSoils_Equations.VEERG_4_5_1_9__2_MassOfNitrogenAppliedToSoilsScope3(Q38,_xlfn.XLOOKUP($O198,$D$123:$D$129,$E$123:$E$129), _xlfn.XLOOKUP($O198,$D$112:$D$118,$E$112:$E$118),Q68,$F98)</f>
        <v>0</v>
      </c>
      <c r="R198" s="52" cm="1">
        <f t="array" ref="R198">MMS_Swine_ManureAppliedToSoils_Equations.VEERG_4_5_1_9__2_MassOfNitrogenAppliedToSoilsScope3(R38,_xlfn.XLOOKUP($O198,$D$123:$D$129,$E$123:$E$129), _xlfn.XLOOKUP($O198,$D$112:$D$118,$E$112:$E$118),R68,$F98)</f>
        <v>0</v>
      </c>
      <c r="S198" s="52" cm="1">
        <f t="array" ref="S198">MMS_Swine_ManureAppliedToSoils_Equations.VEERG_4_5_1_9__2_MassOfNitrogenAppliedToSoilsScope3(S38,_xlfn.XLOOKUP($O198,$D$123:$D$129,$E$123:$E$129), _xlfn.XLOOKUP($O198,$D$112:$D$118,$E$112:$E$118),S68,$F98)</f>
        <v>0</v>
      </c>
      <c r="T198" s="2"/>
    </row>
    <row r="199" spans="4:20" ht="20.100000000000001" customHeight="1" x14ac:dyDescent="0.25">
      <c r="D199" s="57" t="str">
        <f>'Input - Swine'!$D$33</f>
        <v>Pit storage</v>
      </c>
      <c r="E199" s="57" t="str">
        <f>'Input - Swine'!$D$77</f>
        <v>Anaerobic lagoon</v>
      </c>
      <c r="F199" s="52" cm="1">
        <f t="array" ref="F199">MMS_Swine_ManureAppliedToSoils_Equations.VEERG_4_5_1_9__2_MassOfNitrogenAppliedToSoilsScope3(F39,_xlfn.XLOOKUP($E199,$D$123:$D$129,$E$123:$E$129), _xlfn.XLOOKUP($E199,$D$112:$D$118,$E$112:$E$118),F69,$F99)</f>
        <v>3.3909083999999994</v>
      </c>
      <c r="G199" s="52" cm="1">
        <f t="array" ref="G199">MMS_Swine_ManureAppliedToSoils_Equations.VEERG_4_5_1_9__2_MassOfNitrogenAppliedToSoilsScope3(G39,_xlfn.XLOOKUP($E199,$D$123:$D$129,$E$123:$E$129), _xlfn.XLOOKUP($E199,$D$112:$D$118,$E$112:$E$118),G69,$F99)</f>
        <v>4.5150682499999997</v>
      </c>
      <c r="H199" s="52" cm="1">
        <f t="array" ref="H199">MMS_Swine_ManureAppliedToSoils_Equations.VEERG_4_5_1_9__2_MassOfNitrogenAppliedToSoilsScope3(H39,_xlfn.XLOOKUP($E199,$D$123:$D$129,$E$123:$E$129), _xlfn.XLOOKUP($E199,$D$112:$D$118,$E$112:$E$118),H69,$F99)</f>
        <v>4.2386354999999991</v>
      </c>
      <c r="I199" s="52" cm="1">
        <f t="array" ref="I199">MMS_Swine_ManureAppliedToSoils_Equations.VEERG_4_5_1_9__2_MassOfNitrogenAppliedToSoilsScope3(I39,_xlfn.XLOOKUP($E199,$D$123:$D$129,$E$123:$E$129), _xlfn.XLOOKUP($E199,$D$112:$D$118,$E$112:$E$118),I69,$F99)</f>
        <v>2.8749005999999993</v>
      </c>
      <c r="J199" s="2"/>
      <c r="N199" s="57" t="str">
        <f>'Input - Swine'!$D$33</f>
        <v>Pit storage</v>
      </c>
      <c r="O199" s="57" t="str">
        <f>'Input - Swine'!$D$77</f>
        <v>Anaerobic lagoon</v>
      </c>
      <c r="P199" s="52" cm="1">
        <f t="array" ref="P199">MMS_Swine_ManureAppliedToSoils_Equations.VEERG_4_5_1_9__2_MassOfNitrogenAppliedToSoilsScope3(P39,_xlfn.XLOOKUP($O199,$D$123:$D$129,$E$123:$E$129), _xlfn.XLOOKUP($O199,$D$112:$D$118,$E$112:$E$118),P69,$F99)</f>
        <v>3.3909083999999994</v>
      </c>
      <c r="Q199" s="52" cm="1">
        <f t="array" ref="Q199">MMS_Swine_ManureAppliedToSoils_Equations.VEERG_4_5_1_9__2_MassOfNitrogenAppliedToSoilsScope3(Q39,_xlfn.XLOOKUP($O199,$D$123:$D$129,$E$123:$E$129), _xlfn.XLOOKUP($O199,$D$112:$D$118,$E$112:$E$118),Q69,$F99)</f>
        <v>4.5150682499999997</v>
      </c>
      <c r="R199" s="52" cm="1">
        <f t="array" ref="R199">MMS_Swine_ManureAppliedToSoils_Equations.VEERG_4_5_1_9__2_MassOfNitrogenAppliedToSoilsScope3(R39,_xlfn.XLOOKUP($O199,$D$123:$D$129,$E$123:$E$129), _xlfn.XLOOKUP($O199,$D$112:$D$118,$E$112:$E$118),R69,$F99)</f>
        <v>4.2386354999999991</v>
      </c>
      <c r="S199" s="52" cm="1">
        <f t="array" ref="S199">MMS_Swine_ManureAppliedToSoils_Equations.VEERG_4_5_1_9__2_MassOfNitrogenAppliedToSoilsScope3(S39,_xlfn.XLOOKUP($O199,$D$123:$D$129,$E$123:$E$129), _xlfn.XLOOKUP($O199,$D$112:$D$118,$E$112:$E$118),S69,$F99)</f>
        <v>2.8749005999999993</v>
      </c>
      <c r="T199" s="2"/>
    </row>
    <row r="200" spans="4:20" ht="20.100000000000001" customHeight="1" x14ac:dyDescent="0.25">
      <c r="D200" s="57"/>
      <c r="E200" s="57" t="str">
        <f>'Input - Swine'!$D$78</f>
        <v>Digester / covered lagoons</v>
      </c>
      <c r="F200" s="52" cm="1">
        <f t="array" ref="F200">MMS_Swine_ManureAppliedToSoils_Equations.VEERG_4_5_1_9__2_MassOfNitrogenAppliedToSoilsScope3(F40,_xlfn.XLOOKUP($E200,$D$123:$D$129,$E$123:$E$129), _xlfn.XLOOKUP($E200,$D$112:$D$118,$E$112:$E$118),F70,$F100)</f>
        <v>7.5353519999999996</v>
      </c>
      <c r="G200" s="52" cm="1">
        <f t="array" ref="G200">MMS_Swine_ManureAppliedToSoils_Equations.VEERG_4_5_1_9__2_MassOfNitrogenAppliedToSoilsScope3(G40,_xlfn.XLOOKUP($E200,$D$123:$D$129,$E$123:$E$129), _xlfn.XLOOKUP($E200,$D$112:$D$118,$E$112:$E$118),G70,$F100)</f>
        <v>10.033485000000001</v>
      </c>
      <c r="H200" s="52" cm="1">
        <f t="array" ref="H200">MMS_Swine_ManureAppliedToSoils_Equations.VEERG_4_5_1_9__2_MassOfNitrogenAppliedToSoilsScope3(H40,_xlfn.XLOOKUP($E200,$D$123:$D$129,$E$123:$E$129), _xlfn.XLOOKUP($E200,$D$112:$D$118,$E$112:$E$118),H70,$F100)</f>
        <v>9.4191899999999986</v>
      </c>
      <c r="I200" s="52" cm="1">
        <f t="array" ref="I200">MMS_Swine_ManureAppliedToSoils_Equations.VEERG_4_5_1_9__2_MassOfNitrogenAppliedToSoilsScope3(I40,_xlfn.XLOOKUP($E200,$D$123:$D$129,$E$123:$E$129), _xlfn.XLOOKUP($E200,$D$112:$D$118,$E$112:$E$118),I70,$F100)</f>
        <v>6.3886679999999991</v>
      </c>
      <c r="J200" s="2"/>
      <c r="N200" s="57"/>
      <c r="O200" s="57" t="str">
        <f>'Input - Swine'!$D$78</f>
        <v>Digester / covered lagoons</v>
      </c>
      <c r="P200" s="52" cm="1">
        <f t="array" ref="P200">MMS_Swine_ManureAppliedToSoils_Equations.VEERG_4_5_1_9__2_MassOfNitrogenAppliedToSoilsScope3(P40,_xlfn.XLOOKUP($O200,$D$123:$D$129,$E$123:$E$129), _xlfn.XLOOKUP($O200,$D$112:$D$118,$E$112:$E$118),P70,$F100)</f>
        <v>7.5353519999999996</v>
      </c>
      <c r="Q200" s="52" cm="1">
        <f t="array" ref="Q200">MMS_Swine_ManureAppliedToSoils_Equations.VEERG_4_5_1_9__2_MassOfNitrogenAppliedToSoilsScope3(Q40,_xlfn.XLOOKUP($O200,$D$123:$D$129,$E$123:$E$129), _xlfn.XLOOKUP($O200,$D$112:$D$118,$E$112:$E$118),Q70,$F100)</f>
        <v>10.033485000000001</v>
      </c>
      <c r="R200" s="52" cm="1">
        <f t="array" ref="R200">MMS_Swine_ManureAppliedToSoils_Equations.VEERG_4_5_1_9__2_MassOfNitrogenAppliedToSoilsScope3(R40,_xlfn.XLOOKUP($O200,$D$123:$D$129,$E$123:$E$129), _xlfn.XLOOKUP($O200,$D$112:$D$118,$E$112:$E$118),R70,$F100)</f>
        <v>9.4191899999999986</v>
      </c>
      <c r="S200" s="52" cm="1">
        <f t="array" ref="S200">MMS_Swine_ManureAppliedToSoils_Equations.VEERG_4_5_1_9__2_MassOfNitrogenAppliedToSoilsScope3(S40,_xlfn.XLOOKUP($O200,$D$123:$D$129,$E$123:$E$129), _xlfn.XLOOKUP($O200,$D$112:$D$118,$E$112:$E$118),S70,$F100)</f>
        <v>6.3886679999999991</v>
      </c>
      <c r="T200" s="2"/>
    </row>
    <row r="201" spans="4:20" ht="20.100000000000001" customHeight="1" x14ac:dyDescent="0.25">
      <c r="D201" s="57"/>
      <c r="E201" s="57" t="str">
        <f>'Input - Swine'!$D$79</f>
        <v>Deep litter</v>
      </c>
      <c r="F201" s="52" cm="1">
        <f t="array" ref="F201">MMS_Swine_ManureAppliedToSoils_Equations.VEERG_4_5_1_9__2_MassOfNitrogenAppliedToSoilsScope3(F41,_xlfn.XLOOKUP($E201,$D$123:$D$129,$E$123:$E$129), _xlfn.XLOOKUP($E201,$D$112:$D$118,$E$112:$E$118),F71,$F101)</f>
        <v>6.5180794799999999</v>
      </c>
      <c r="G201" s="52" cm="1">
        <f t="array" ref="G201">MMS_Swine_ManureAppliedToSoils_Equations.VEERG_4_5_1_9__2_MassOfNitrogenAppliedToSoilsScope3(G41,_xlfn.XLOOKUP($E201,$D$123:$D$129,$E$123:$E$129), _xlfn.XLOOKUP($E201,$D$112:$D$118,$E$112:$E$118),G71,$F101)</f>
        <v>8.6789645249999996</v>
      </c>
      <c r="H201" s="52" cm="1">
        <f t="array" ref="H201">MMS_Swine_ManureAppliedToSoils_Equations.VEERG_4_5_1_9__2_MassOfNitrogenAppliedToSoilsScope3(H41,_xlfn.XLOOKUP($E201,$D$123:$D$129,$E$123:$E$129), _xlfn.XLOOKUP($E201,$D$112:$D$118,$E$112:$E$118),H71,$F101)</f>
        <v>8.1475993499999984</v>
      </c>
      <c r="I201" s="52" cm="1">
        <f t="array" ref="I201">MMS_Swine_ManureAppliedToSoils_Equations.VEERG_4_5_1_9__2_MassOfNitrogenAppliedToSoilsScope3(I41,_xlfn.XLOOKUP($E201,$D$123:$D$129,$E$123:$E$129), _xlfn.XLOOKUP($E201,$D$112:$D$118,$E$112:$E$118),I71,$F101)</f>
        <v>5.5261978199999993</v>
      </c>
      <c r="J201" s="2"/>
      <c r="N201" s="57"/>
      <c r="O201" s="57" t="str">
        <f>'Input - Swine'!$D$79</f>
        <v>Deep litter</v>
      </c>
      <c r="P201" s="52" cm="1">
        <f t="array" ref="P201">MMS_Swine_ManureAppliedToSoils_Equations.VEERG_4_5_1_9__2_MassOfNitrogenAppliedToSoilsScope3(P41,_xlfn.XLOOKUP($O201,$D$123:$D$129,$E$123:$E$129), _xlfn.XLOOKUP($O201,$D$112:$D$118,$E$112:$E$118),P71,$F101)</f>
        <v>6.5180794799999999</v>
      </c>
      <c r="Q201" s="52" cm="1">
        <f t="array" ref="Q201">MMS_Swine_ManureAppliedToSoils_Equations.VEERG_4_5_1_9__2_MassOfNitrogenAppliedToSoilsScope3(Q41,_xlfn.XLOOKUP($O201,$D$123:$D$129,$E$123:$E$129), _xlfn.XLOOKUP($O201,$D$112:$D$118,$E$112:$E$118),Q71,$F101)</f>
        <v>8.6789645249999996</v>
      </c>
      <c r="R201" s="52" cm="1">
        <f t="array" ref="R201">MMS_Swine_ManureAppliedToSoils_Equations.VEERG_4_5_1_9__2_MassOfNitrogenAppliedToSoilsScope3(R41,_xlfn.XLOOKUP($O201,$D$123:$D$129,$E$123:$E$129), _xlfn.XLOOKUP($O201,$D$112:$D$118,$E$112:$E$118),R71,$F101)</f>
        <v>8.1475993499999984</v>
      </c>
      <c r="S201" s="52" cm="1">
        <f t="array" ref="S201">MMS_Swine_ManureAppliedToSoils_Equations.VEERG_4_5_1_9__2_MassOfNitrogenAppliedToSoilsScope3(S41,_xlfn.XLOOKUP($O201,$D$123:$D$129,$E$123:$E$129), _xlfn.XLOOKUP($O201,$D$112:$D$118,$E$112:$E$118),S71,$F101)</f>
        <v>5.5261978199999993</v>
      </c>
      <c r="T201" s="2"/>
    </row>
    <row r="202" spans="4:20" ht="20.100000000000001" customHeight="1" x14ac:dyDescent="0.25">
      <c r="D202" s="57"/>
      <c r="E202" s="57" t="str">
        <f>'Input - Swine'!$D$80</f>
        <v>Direct application</v>
      </c>
      <c r="F202" s="52" cm="1">
        <f t="array" ref="F202">MMS_Swine_ManureAppliedToSoils_Equations.VEERG_4_5_1_9__2_MassOfNitrogenAppliedToSoilsScope3(F42,_xlfn.XLOOKUP($E202,$D$123:$D$129,$E$123:$E$129), _xlfn.XLOOKUP($E202,$D$112:$D$118,$E$112:$E$118),F72,$F102)</f>
        <v>0</v>
      </c>
      <c r="G202" s="52" cm="1">
        <f t="array" ref="G202">MMS_Swine_ManureAppliedToSoils_Equations.VEERG_4_5_1_9__2_MassOfNitrogenAppliedToSoilsScope3(G42,_xlfn.XLOOKUP($E202,$D$123:$D$129,$E$123:$E$129), _xlfn.XLOOKUP($E202,$D$112:$D$118,$E$112:$E$118),G72,$F102)</f>
        <v>0</v>
      </c>
      <c r="H202" s="52" cm="1">
        <f t="array" ref="H202">MMS_Swine_ManureAppliedToSoils_Equations.VEERG_4_5_1_9__2_MassOfNitrogenAppliedToSoilsScope3(H42,_xlfn.XLOOKUP($E202,$D$123:$D$129,$E$123:$E$129), _xlfn.XLOOKUP($E202,$D$112:$D$118,$E$112:$E$118),H72,$F102)</f>
        <v>0</v>
      </c>
      <c r="I202" s="52" cm="1">
        <f t="array" ref="I202">MMS_Swine_ManureAppliedToSoils_Equations.VEERG_4_5_1_9__2_MassOfNitrogenAppliedToSoilsScope3(I42,_xlfn.XLOOKUP($E202,$D$123:$D$129,$E$123:$E$129), _xlfn.XLOOKUP($E202,$D$112:$D$118,$E$112:$E$118),I72,$F102)</f>
        <v>0</v>
      </c>
      <c r="J202" s="2"/>
      <c r="N202" s="57"/>
      <c r="O202" s="57" t="str">
        <f>'Input - Swine'!$D$80</f>
        <v>Direct application</v>
      </c>
      <c r="P202" s="52" cm="1">
        <f t="array" ref="P202">MMS_Swine_ManureAppliedToSoils_Equations.VEERG_4_5_1_9__2_MassOfNitrogenAppliedToSoilsScope3(P42,_xlfn.XLOOKUP($O202,$D$123:$D$129,$E$123:$E$129), _xlfn.XLOOKUP($O202,$D$112:$D$118,$E$112:$E$118),P72,$F102)</f>
        <v>0</v>
      </c>
      <c r="Q202" s="52" cm="1">
        <f t="array" ref="Q202">MMS_Swine_ManureAppliedToSoils_Equations.VEERG_4_5_1_9__2_MassOfNitrogenAppliedToSoilsScope3(Q42,_xlfn.XLOOKUP($O202,$D$123:$D$129,$E$123:$E$129), _xlfn.XLOOKUP($O202,$D$112:$D$118,$E$112:$E$118),Q72,$F102)</f>
        <v>0</v>
      </c>
      <c r="R202" s="52" cm="1">
        <f t="array" ref="R202">MMS_Swine_ManureAppliedToSoils_Equations.VEERG_4_5_1_9__2_MassOfNitrogenAppliedToSoilsScope3(R42,_xlfn.XLOOKUP($O202,$D$123:$D$129,$E$123:$E$129), _xlfn.XLOOKUP($O202,$D$112:$D$118,$E$112:$E$118),R72,$F102)</f>
        <v>0</v>
      </c>
      <c r="S202" s="52" cm="1">
        <f t="array" ref="S202">MMS_Swine_ManureAppliedToSoils_Equations.VEERG_4_5_1_9__2_MassOfNitrogenAppliedToSoilsScope3(S42,_xlfn.XLOOKUP($O202,$D$123:$D$129,$E$123:$E$129), _xlfn.XLOOKUP($O202,$D$112:$D$118,$E$112:$E$118),S72,$F102)</f>
        <v>0</v>
      </c>
      <c r="T202" s="2"/>
    </row>
    <row r="203" spans="4:20" ht="20.100000000000001" customHeight="1" x14ac:dyDescent="0.25">
      <c r="D203" s="57" t="str">
        <f>'Input - Swine'!$D$34</f>
        <v>Solid storage</v>
      </c>
      <c r="E203" s="57" t="str">
        <f>'Input - Swine'!$D$84</f>
        <v>Anaerobic lagoon</v>
      </c>
      <c r="F203" s="52" cm="1">
        <f t="array" ref="F203">MMS_Swine_ManureAppliedToSoils_Equations.VEERG_4_5_1_9__2_MassOfNitrogenAppliedToSoilsScope3(F43,_xlfn.XLOOKUP($E203,$D$123:$D$129,$E$123:$E$129), _xlfn.XLOOKUP($E203,$D$112:$D$118,$E$112:$E$118),F73,$F103)</f>
        <v>12.013245000000003</v>
      </c>
      <c r="G203" s="52" cm="1">
        <f t="array" ref="G203">MMS_Swine_ManureAppliedToSoils_Equations.VEERG_4_5_1_9__2_MassOfNitrogenAppliedToSoilsScope3(G43,_xlfn.XLOOKUP($E203,$D$123:$D$129,$E$123:$E$129), _xlfn.XLOOKUP($E203,$D$112:$D$118,$E$112:$E$118),G73,$F103)</f>
        <v>12.796717500000007</v>
      </c>
      <c r="H203" s="52" cm="1">
        <f t="array" ref="H203">MMS_Swine_ManureAppliedToSoils_Equations.VEERG_4_5_1_9__2_MassOfNitrogenAppliedToSoilsScope3(H43,_xlfn.XLOOKUP($E203,$D$123:$D$129,$E$123:$E$129), _xlfn.XLOOKUP($E203,$D$112:$D$118,$E$112:$E$118),H73,$F103)</f>
        <v>12.013245000000003</v>
      </c>
      <c r="I203" s="52" cm="1">
        <f t="array" ref="I203">MMS_Swine_ManureAppliedToSoils_Equations.VEERG_4_5_1_9__2_MassOfNitrogenAppliedToSoilsScope3(I43,_xlfn.XLOOKUP($E203,$D$123:$D$129,$E$123:$E$129), _xlfn.XLOOKUP($E203,$D$112:$D$118,$E$112:$E$118),I73,$F103)</f>
        <v>8.1481140000000032</v>
      </c>
      <c r="J203" s="2"/>
      <c r="N203" s="57" t="str">
        <f>'Input - Swine'!$D$34</f>
        <v>Solid storage</v>
      </c>
      <c r="O203" s="57" t="str">
        <f>'Input - Swine'!$D$84</f>
        <v>Anaerobic lagoon</v>
      </c>
      <c r="P203" s="52" cm="1">
        <f t="array" ref="P203">MMS_Swine_ManureAppliedToSoils_Equations.VEERG_4_5_1_9__2_MassOfNitrogenAppliedToSoilsScope3(P43,_xlfn.XLOOKUP($O203,$D$123:$D$129,$E$123:$E$129), _xlfn.XLOOKUP($O203,$D$112:$D$118,$E$112:$E$118),P73,$F103)</f>
        <v>12.013245000000003</v>
      </c>
      <c r="Q203" s="52" cm="1">
        <f t="array" ref="Q203">MMS_Swine_ManureAppliedToSoils_Equations.VEERG_4_5_1_9__2_MassOfNitrogenAppliedToSoilsScope3(Q43,_xlfn.XLOOKUP($O203,$D$123:$D$129,$E$123:$E$129), _xlfn.XLOOKUP($O203,$D$112:$D$118,$E$112:$E$118),Q73,$F103)</f>
        <v>12.796717500000007</v>
      </c>
      <c r="R203" s="52" cm="1">
        <f t="array" ref="R203">MMS_Swine_ManureAppliedToSoils_Equations.VEERG_4_5_1_9__2_MassOfNitrogenAppliedToSoilsScope3(R43,_xlfn.XLOOKUP($O203,$D$123:$D$129,$E$123:$E$129), _xlfn.XLOOKUP($O203,$D$112:$D$118,$E$112:$E$118),R73,$F103)</f>
        <v>12.013245000000003</v>
      </c>
      <c r="S203" s="52" cm="1">
        <f t="array" ref="S203">MMS_Swine_ManureAppliedToSoils_Equations.VEERG_4_5_1_9__2_MassOfNitrogenAppliedToSoilsScope3(S43,_xlfn.XLOOKUP($O203,$D$123:$D$129,$E$123:$E$129), _xlfn.XLOOKUP($O203,$D$112:$D$118,$E$112:$E$118),S73,$F103)</f>
        <v>8.1481140000000032</v>
      </c>
      <c r="T203" s="2"/>
    </row>
    <row r="204" spans="4:20" ht="20.100000000000001" customHeight="1" x14ac:dyDescent="0.25">
      <c r="D204" s="57"/>
      <c r="E204" s="57" t="str">
        <f>'Input - Swine'!$D$85</f>
        <v>Digester / covered lagoons</v>
      </c>
      <c r="F204" s="52" cm="1">
        <f t="array" ref="F204">MMS_Swine_ManureAppliedToSoils_Equations.VEERG_4_5_1_9__2_MassOfNitrogenAppliedToSoilsScope3(F44,_xlfn.XLOOKUP($E204,$D$123:$D$129,$E$123:$E$129), _xlfn.XLOOKUP($E204,$D$112:$D$118,$E$112:$E$118),F74,$F104)</f>
        <v>26.696100000000008</v>
      </c>
      <c r="G204" s="52" cm="1">
        <f t="array" ref="G204">MMS_Swine_ManureAppliedToSoils_Equations.VEERG_4_5_1_9__2_MassOfNitrogenAppliedToSoilsScope3(G44,_xlfn.XLOOKUP($E204,$D$123:$D$129,$E$123:$E$129), _xlfn.XLOOKUP($E204,$D$112:$D$118,$E$112:$E$118),G74,$F104)</f>
        <v>28.437150000000017</v>
      </c>
      <c r="H204" s="52" cm="1">
        <f t="array" ref="H204">MMS_Swine_ManureAppliedToSoils_Equations.VEERG_4_5_1_9__2_MassOfNitrogenAppliedToSoilsScope3(H44,_xlfn.XLOOKUP($E204,$D$123:$D$129,$E$123:$E$129), _xlfn.XLOOKUP($E204,$D$112:$D$118,$E$112:$E$118),H74,$F104)</f>
        <v>26.696100000000008</v>
      </c>
      <c r="I204" s="52" cm="1">
        <f t="array" ref="I204">MMS_Swine_ManureAppliedToSoils_Equations.VEERG_4_5_1_9__2_MassOfNitrogenAppliedToSoilsScope3(I44,_xlfn.XLOOKUP($E204,$D$123:$D$129,$E$123:$E$129), _xlfn.XLOOKUP($E204,$D$112:$D$118,$E$112:$E$118),I74,$F104)</f>
        <v>18.106920000000009</v>
      </c>
      <c r="J204" s="2"/>
      <c r="N204" s="57"/>
      <c r="O204" s="57" t="str">
        <f>'Input - Swine'!$D$85</f>
        <v>Digester / covered lagoons</v>
      </c>
      <c r="P204" s="52" cm="1">
        <f t="array" ref="P204">MMS_Swine_ManureAppliedToSoils_Equations.VEERG_4_5_1_9__2_MassOfNitrogenAppliedToSoilsScope3(P44,_xlfn.XLOOKUP($O204,$D$123:$D$129,$E$123:$E$129), _xlfn.XLOOKUP($O204,$D$112:$D$118,$E$112:$E$118),P74,$F104)</f>
        <v>26.696100000000008</v>
      </c>
      <c r="Q204" s="52" cm="1">
        <f t="array" ref="Q204">MMS_Swine_ManureAppliedToSoils_Equations.VEERG_4_5_1_9__2_MassOfNitrogenAppliedToSoilsScope3(Q44,_xlfn.XLOOKUP($O204,$D$123:$D$129,$E$123:$E$129), _xlfn.XLOOKUP($O204,$D$112:$D$118,$E$112:$E$118),Q74,$F104)</f>
        <v>28.437150000000017</v>
      </c>
      <c r="R204" s="52" cm="1">
        <f t="array" ref="R204">MMS_Swine_ManureAppliedToSoils_Equations.VEERG_4_5_1_9__2_MassOfNitrogenAppliedToSoilsScope3(R44,_xlfn.XLOOKUP($O204,$D$123:$D$129,$E$123:$E$129), _xlfn.XLOOKUP($O204,$D$112:$D$118,$E$112:$E$118),R74,$F104)</f>
        <v>26.696100000000008</v>
      </c>
      <c r="S204" s="52" cm="1">
        <f t="array" ref="S204">MMS_Swine_ManureAppliedToSoils_Equations.VEERG_4_5_1_9__2_MassOfNitrogenAppliedToSoilsScope3(S44,_xlfn.XLOOKUP($O204,$D$123:$D$129,$E$123:$E$129), _xlfn.XLOOKUP($O204,$D$112:$D$118,$E$112:$E$118),S74,$F104)</f>
        <v>18.106920000000009</v>
      </c>
      <c r="T204" s="2"/>
    </row>
    <row r="205" spans="4:20" ht="20.100000000000001" customHeight="1" x14ac:dyDescent="0.25">
      <c r="D205" s="57"/>
      <c r="E205" s="57" t="str">
        <f>'Input - Swine'!$D$86</f>
        <v>Deep litter</v>
      </c>
      <c r="F205" s="52" cm="1">
        <f t="array" ref="F205">MMS_Swine_ManureAppliedToSoils_Equations.VEERG_4_5_1_9__2_MassOfNitrogenAppliedToSoilsScope3(F45,_xlfn.XLOOKUP($E205,$D$123:$D$129,$E$123:$E$129), _xlfn.XLOOKUP($E205,$D$112:$D$118,$E$112:$E$118),F75,$F105)</f>
        <v>23.092126500000006</v>
      </c>
      <c r="G205" s="52" cm="1">
        <f t="array" ref="G205">MMS_Swine_ManureAppliedToSoils_Equations.VEERG_4_5_1_9__2_MassOfNitrogenAppliedToSoilsScope3(G45,_xlfn.XLOOKUP($E205,$D$123:$D$129,$E$123:$E$129), _xlfn.XLOOKUP($E205,$D$112:$D$118,$E$112:$E$118),G75,$F105)</f>
        <v>24.598134750000014</v>
      </c>
      <c r="H205" s="52" cm="1">
        <f t="array" ref="H205">MMS_Swine_ManureAppliedToSoils_Equations.VEERG_4_5_1_9__2_MassOfNitrogenAppliedToSoilsScope3(H45,_xlfn.XLOOKUP($E205,$D$123:$D$129,$E$123:$E$129), _xlfn.XLOOKUP($E205,$D$112:$D$118,$E$112:$E$118),H75,$F105)</f>
        <v>23.092126500000006</v>
      </c>
      <c r="I205" s="52" cm="1">
        <f t="array" ref="I205">MMS_Swine_ManureAppliedToSoils_Equations.VEERG_4_5_1_9__2_MassOfNitrogenAppliedToSoilsScope3(I45,_xlfn.XLOOKUP($E205,$D$123:$D$129,$E$123:$E$129), _xlfn.XLOOKUP($E205,$D$112:$D$118,$E$112:$E$118),I75,$F105)</f>
        <v>15.662485800000008</v>
      </c>
      <c r="J205" s="2"/>
      <c r="N205" s="57"/>
      <c r="O205" s="57" t="str">
        <f>'Input - Swine'!$D$86</f>
        <v>Deep litter</v>
      </c>
      <c r="P205" s="52" cm="1">
        <f t="array" ref="P205">MMS_Swine_ManureAppliedToSoils_Equations.VEERG_4_5_1_9__2_MassOfNitrogenAppliedToSoilsScope3(P45,_xlfn.XLOOKUP($O205,$D$123:$D$129,$E$123:$E$129), _xlfn.XLOOKUP($O205,$D$112:$D$118,$E$112:$E$118),P75,$F105)</f>
        <v>23.092126500000006</v>
      </c>
      <c r="Q205" s="52" cm="1">
        <f t="array" ref="Q205">MMS_Swine_ManureAppliedToSoils_Equations.VEERG_4_5_1_9__2_MassOfNitrogenAppliedToSoilsScope3(Q45,_xlfn.XLOOKUP($O205,$D$123:$D$129,$E$123:$E$129), _xlfn.XLOOKUP($O205,$D$112:$D$118,$E$112:$E$118),Q75,$F105)</f>
        <v>24.598134750000014</v>
      </c>
      <c r="R205" s="52" cm="1">
        <f t="array" ref="R205">MMS_Swine_ManureAppliedToSoils_Equations.VEERG_4_5_1_9__2_MassOfNitrogenAppliedToSoilsScope3(R45,_xlfn.XLOOKUP($O205,$D$123:$D$129,$E$123:$E$129), _xlfn.XLOOKUP($O205,$D$112:$D$118,$E$112:$E$118),R75,$F105)</f>
        <v>23.092126500000006</v>
      </c>
      <c r="S205" s="52" cm="1">
        <f t="array" ref="S205">MMS_Swine_ManureAppliedToSoils_Equations.VEERG_4_5_1_9__2_MassOfNitrogenAppliedToSoilsScope3(S45,_xlfn.XLOOKUP($O205,$D$123:$D$129,$E$123:$E$129), _xlfn.XLOOKUP($O205,$D$112:$D$118,$E$112:$E$118),S75,$F105)</f>
        <v>15.662485800000008</v>
      </c>
      <c r="T205" s="2"/>
    </row>
    <row r="206" spans="4:20" ht="20.100000000000001" customHeight="1" x14ac:dyDescent="0.25">
      <c r="D206" s="57"/>
      <c r="E206" s="57" t="str">
        <f>'Input - Swine'!$D$87</f>
        <v>Pit storage</v>
      </c>
      <c r="F206" s="52" cm="1">
        <f t="array" ref="F206">MMS_Swine_ManureAppliedToSoils_Equations.VEERG_4_5_1_9__2_MassOfNitrogenAppliedToSoilsScope3(F46,_xlfn.XLOOKUP($E206,$D$123:$D$129,$E$123:$E$129), _xlfn.XLOOKUP($E206,$D$112:$D$118,$E$112:$E$118),F76,$F106)</f>
        <v>9.9843414000000035</v>
      </c>
      <c r="G206" s="52" cm="1">
        <f t="array" ref="G206">MMS_Swine_ManureAppliedToSoils_Equations.VEERG_4_5_1_9__2_MassOfNitrogenAppliedToSoilsScope3(G46,_xlfn.XLOOKUP($E206,$D$123:$D$129,$E$123:$E$129), _xlfn.XLOOKUP($E206,$D$112:$D$118,$E$112:$E$118),G76,$F106)</f>
        <v>10.635494100000006</v>
      </c>
      <c r="H206" s="52" cm="1">
        <f t="array" ref="H206">MMS_Swine_ManureAppliedToSoils_Equations.VEERG_4_5_1_9__2_MassOfNitrogenAppliedToSoilsScope3(H46,_xlfn.XLOOKUP($E206,$D$123:$D$129,$E$123:$E$129), _xlfn.XLOOKUP($E206,$D$112:$D$118,$E$112:$E$118),H76,$F106)</f>
        <v>9.9843414000000035</v>
      </c>
      <c r="I206" s="52" cm="1">
        <f t="array" ref="I206">MMS_Swine_ManureAppliedToSoils_Equations.VEERG_4_5_1_9__2_MassOfNitrogenAppliedToSoilsScope3(I46,_xlfn.XLOOKUP($E206,$D$123:$D$129,$E$123:$E$129), _xlfn.XLOOKUP($E206,$D$112:$D$118,$E$112:$E$118),I76,$F106)</f>
        <v>6.7719880800000034</v>
      </c>
      <c r="J206" s="2"/>
      <c r="N206" s="57"/>
      <c r="O206" s="57" t="str">
        <f>'Input - Swine'!$D$87</f>
        <v>Pit storage</v>
      </c>
      <c r="P206" s="52" cm="1">
        <f t="array" ref="P206">MMS_Swine_ManureAppliedToSoils_Equations.VEERG_4_5_1_9__2_MassOfNitrogenAppliedToSoilsScope3(P46,_xlfn.XLOOKUP($O206,$D$123:$D$129,$E$123:$E$129), _xlfn.XLOOKUP($O206,$D$112:$D$118,$E$112:$E$118),P76,$F106)</f>
        <v>9.9843414000000035</v>
      </c>
      <c r="Q206" s="52" cm="1">
        <f t="array" ref="Q206">MMS_Swine_ManureAppliedToSoils_Equations.VEERG_4_5_1_9__2_MassOfNitrogenAppliedToSoilsScope3(Q46,_xlfn.XLOOKUP($O206,$D$123:$D$129,$E$123:$E$129), _xlfn.XLOOKUP($O206,$D$112:$D$118,$E$112:$E$118),Q76,$F106)</f>
        <v>10.635494100000006</v>
      </c>
      <c r="R206" s="52" cm="1">
        <f t="array" ref="R206">MMS_Swine_ManureAppliedToSoils_Equations.VEERG_4_5_1_9__2_MassOfNitrogenAppliedToSoilsScope3(R46,_xlfn.XLOOKUP($O206,$D$123:$D$129,$E$123:$E$129), _xlfn.XLOOKUP($O206,$D$112:$D$118,$E$112:$E$118),R76,$F106)</f>
        <v>9.9843414000000035</v>
      </c>
      <c r="S206" s="52" cm="1">
        <f t="array" ref="S206">MMS_Swine_ManureAppliedToSoils_Equations.VEERG_4_5_1_9__2_MassOfNitrogenAppliedToSoilsScope3(S46,_xlfn.XLOOKUP($O206,$D$123:$D$129,$E$123:$E$129), _xlfn.XLOOKUP($O206,$D$112:$D$118,$E$112:$E$118),S76,$F106)</f>
        <v>6.7719880800000034</v>
      </c>
      <c r="T206" s="2"/>
    </row>
    <row r="207" spans="4:20" ht="20.100000000000001" customHeight="1" x14ac:dyDescent="0.25">
      <c r="D207" s="57"/>
      <c r="E207" s="57" t="str">
        <f>'Input - Swine'!$D$88</f>
        <v>Direct application</v>
      </c>
      <c r="F207" s="52" cm="1">
        <f t="array" ref="F207">MMS_Swine_ManureAppliedToSoils_Equations.VEERG_4_5_1_9__2_MassOfNitrogenAppliedToSoilsScope3(F47,_xlfn.XLOOKUP($E207,$D$123:$D$129,$E$123:$E$129), _xlfn.XLOOKUP($E207,$D$112:$D$118,$E$112:$E$118),F77,$F107)</f>
        <v>0</v>
      </c>
      <c r="G207" s="52" cm="1">
        <f t="array" ref="G207">MMS_Swine_ManureAppliedToSoils_Equations.VEERG_4_5_1_9__2_MassOfNitrogenAppliedToSoilsScope3(G47,_xlfn.XLOOKUP($E207,$D$123:$D$129,$E$123:$E$129), _xlfn.XLOOKUP($E207,$D$112:$D$118,$E$112:$E$118),G77,$F107)</f>
        <v>0</v>
      </c>
      <c r="H207" s="52" cm="1">
        <f t="array" ref="H207">MMS_Swine_ManureAppliedToSoils_Equations.VEERG_4_5_1_9__2_MassOfNitrogenAppliedToSoilsScope3(H47,_xlfn.XLOOKUP($E207,$D$123:$D$129,$E$123:$E$129), _xlfn.XLOOKUP($E207,$D$112:$D$118,$E$112:$E$118),H77,$F107)</f>
        <v>0</v>
      </c>
      <c r="I207" s="52" cm="1">
        <f t="array" ref="I207">MMS_Swine_ManureAppliedToSoils_Equations.VEERG_4_5_1_9__2_MassOfNitrogenAppliedToSoilsScope3(I47,_xlfn.XLOOKUP($E207,$D$123:$D$129,$E$123:$E$129), _xlfn.XLOOKUP($E207,$D$112:$D$118,$E$112:$E$118),I77,$F107)</f>
        <v>0</v>
      </c>
      <c r="J207" s="2"/>
      <c r="N207" s="57"/>
      <c r="O207" s="57" t="str">
        <f>'Input - Swine'!$D$88</f>
        <v>Direct application</v>
      </c>
      <c r="P207" s="52" cm="1">
        <f t="array" ref="P207">MMS_Swine_ManureAppliedToSoils_Equations.VEERG_4_5_1_9__2_MassOfNitrogenAppliedToSoilsScope3(P47,_xlfn.XLOOKUP($O207,$D$123:$D$129,$E$123:$E$129), _xlfn.XLOOKUP($O207,$D$112:$D$118,$E$112:$E$118),P77,$F107)</f>
        <v>0</v>
      </c>
      <c r="Q207" s="52" cm="1">
        <f t="array" ref="Q207">MMS_Swine_ManureAppliedToSoils_Equations.VEERG_4_5_1_9__2_MassOfNitrogenAppliedToSoilsScope3(Q47,_xlfn.XLOOKUP($O207,$D$123:$D$129,$E$123:$E$129), _xlfn.XLOOKUP($O207,$D$112:$D$118,$E$112:$E$118),Q77,$F107)</f>
        <v>0</v>
      </c>
      <c r="R207" s="52" cm="1">
        <f t="array" ref="R207">MMS_Swine_ManureAppliedToSoils_Equations.VEERG_4_5_1_9__2_MassOfNitrogenAppliedToSoilsScope3(R47,_xlfn.XLOOKUP($O207,$D$123:$D$129,$E$123:$E$129), _xlfn.XLOOKUP($O207,$D$112:$D$118,$E$112:$E$118),R77,$F107)</f>
        <v>0</v>
      </c>
      <c r="S207" s="52" cm="1">
        <f t="array" ref="S207">MMS_Swine_ManureAppliedToSoils_Equations.VEERG_4_5_1_9__2_MassOfNitrogenAppliedToSoilsScope3(S47,_xlfn.XLOOKUP($O207,$D$123:$D$129,$E$123:$E$129), _xlfn.XLOOKUP($O207,$D$112:$D$118,$E$112:$E$118),S77,$F107)</f>
        <v>0</v>
      </c>
      <c r="T207" s="2"/>
    </row>
    <row r="208" spans="4:20" ht="20.100000000000001" customHeight="1" x14ac:dyDescent="0.25"/>
    <row r="209" spans="1:21" ht="20.100000000000001" customHeight="1" x14ac:dyDescent="0.25">
      <c r="D209" s="101" t="s">
        <v>318</v>
      </c>
      <c r="E209" s="102">
        <f>SUM(F182:I207)</f>
        <v>653.20846285499988</v>
      </c>
      <c r="F209" s="103" t="str">
        <f>$E$11</f>
        <v>kg N</v>
      </c>
      <c r="N209" s="101" t="s">
        <v>318</v>
      </c>
      <c r="O209" s="102">
        <f>SUM(P182:S207)</f>
        <v>653.20846285499988</v>
      </c>
      <c r="P209" s="103" t="str">
        <f>$E$11</f>
        <v>kg N</v>
      </c>
    </row>
    <row r="210" spans="1:21" ht="20.100000000000001" customHeight="1" x14ac:dyDescent="0.25"/>
    <row r="211" spans="1:21" ht="20.100000000000001" customHeight="1" x14ac:dyDescent="0.25">
      <c r="A211" s="150" t="str">
        <f>HYPERLINK("#A1", "▲ Back to top")</f>
        <v>▲ Back to top</v>
      </c>
    </row>
    <row r="212" spans="1:21" ht="20.100000000000001" customHeight="1" x14ac:dyDescent="0.25">
      <c r="C212" s="45"/>
      <c r="D212" s="45"/>
      <c r="E212" s="45"/>
      <c r="F212" s="45"/>
      <c r="G212" s="45"/>
      <c r="H212" s="45"/>
      <c r="I212" s="45"/>
      <c r="J212" s="45"/>
      <c r="K212" s="45"/>
      <c r="M212" s="45"/>
      <c r="N212" s="45"/>
      <c r="O212" s="45"/>
      <c r="P212" s="45"/>
      <c r="Q212" s="45"/>
      <c r="R212" s="45"/>
      <c r="S212" s="45"/>
      <c r="T212" s="45"/>
      <c r="U212" s="45"/>
    </row>
    <row r="213" spans="1:21" ht="20.100000000000001" customHeight="1" x14ac:dyDescent="0.25">
      <c r="D213" s="136" t="str">
        <f>"Below are applications of " &amp; D110 &amp; " that are applied to the following contexts:"</f>
        <v>Below are applications of Fraction of N volatilised from MMS that are applied to the following contexts:</v>
      </c>
      <c r="E213" s="91"/>
      <c r="F213" s="91"/>
      <c r="G213" s="91"/>
      <c r="H213" s="87"/>
    </row>
    <row r="214" spans="1:21" ht="20.100000000000001" customHeight="1" x14ac:dyDescent="0.25">
      <c r="D214" s="93" t="s">
        <v>319</v>
      </c>
      <c r="E214" s="90"/>
      <c r="F214" s="90"/>
      <c r="G214" s="90"/>
      <c r="H214" s="88"/>
    </row>
    <row r="215" spans="1:21" ht="20.100000000000001" customHeight="1" x14ac:dyDescent="0.25"/>
    <row r="216" spans="1:21" ht="20.100000000000001" customHeight="1" x14ac:dyDescent="0.25">
      <c r="D216" s="6" t="s">
        <v>320</v>
      </c>
    </row>
    <row r="217" spans="1:21" ht="20.100000000000001" customHeight="1" x14ac:dyDescent="0.25"/>
    <row r="218" spans="1:21" ht="20.100000000000001" customHeight="1" x14ac:dyDescent="0.25">
      <c r="D218" s="121" t="s">
        <v>321</v>
      </c>
    </row>
    <row r="219" spans="1:21" ht="20.100000000000001" customHeight="1" x14ac:dyDescent="0.25">
      <c r="D219" s="122" t="s">
        <v>322</v>
      </c>
    </row>
    <row r="220" spans="1:21" ht="20.100000000000001" customHeight="1" x14ac:dyDescent="0.25">
      <c r="D220" s="51" t="s">
        <v>163</v>
      </c>
      <c r="E220" s="51" t="s">
        <v>171</v>
      </c>
      <c r="F220" s="51" t="s">
        <v>323</v>
      </c>
    </row>
    <row r="221" spans="1:21" ht="20.100000000000001" customHeight="1" x14ac:dyDescent="0.25">
      <c r="D221" s="57" t="str">
        <f>'Input - Swine'!$D$29</f>
        <v>Anaerobic lagoon</v>
      </c>
      <c r="E221" s="57" t="str">
        <f>'Input - Swine'!$D$48</f>
        <v>Digester / covered lagoons</v>
      </c>
      <c r="F221" s="52">
        <f>'Input - Swine'!K48</f>
        <v>0.25</v>
      </c>
      <c r="G221" s="2" t="s">
        <v>121</v>
      </c>
    </row>
    <row r="222" spans="1:21" ht="20.100000000000001" customHeight="1" x14ac:dyDescent="0.25">
      <c r="D222" s="57"/>
      <c r="E222" s="57" t="str">
        <f>'Input - Swine'!$D$49</f>
        <v>Deep litter</v>
      </c>
      <c r="F222" s="52">
        <f>'Input - Swine'!K49</f>
        <v>0.25</v>
      </c>
      <c r="G222" s="2"/>
    </row>
    <row r="223" spans="1:21" ht="20.100000000000001" customHeight="1" x14ac:dyDescent="0.25">
      <c r="D223" s="57"/>
      <c r="E223" s="57" t="str">
        <f>'Input - Swine'!$D$50</f>
        <v>Pit storage</v>
      </c>
      <c r="F223" s="52">
        <f>'Input - Swine'!K50</f>
        <v>0.25</v>
      </c>
      <c r="G223" s="2"/>
    </row>
    <row r="224" spans="1:21" ht="20.100000000000001" customHeight="1" x14ac:dyDescent="0.25">
      <c r="D224" s="57"/>
      <c r="E224" s="57" t="str">
        <f>'Input - Swine'!$D$51</f>
        <v>Direct application</v>
      </c>
      <c r="F224" s="52">
        <f>'Input - Swine'!K51</f>
        <v>0</v>
      </c>
      <c r="G224" s="2"/>
    </row>
    <row r="225" spans="4:7" ht="20.100000000000001" customHeight="1" x14ac:dyDescent="0.25">
      <c r="D225" s="57" t="str">
        <f>'Input - Swine'!$D$30</f>
        <v>Drylot (feed pad)</v>
      </c>
      <c r="E225" s="57" t="str">
        <f>'Input - Swine'!$D$55</f>
        <v>Anaerobic lagoon</v>
      </c>
      <c r="F225" s="52">
        <f>'Input - Swine'!K55</f>
        <v>0.25</v>
      </c>
      <c r="G225" s="2"/>
    </row>
    <row r="226" spans="4:7" ht="20.100000000000001" customHeight="1" x14ac:dyDescent="0.25">
      <c r="D226" s="57"/>
      <c r="E226" s="57" t="str">
        <f>'Input - Swine'!$D$56</f>
        <v>Digester / covered lagoons</v>
      </c>
      <c r="F226" s="52">
        <f>'Input - Swine'!K56</f>
        <v>0.25</v>
      </c>
      <c r="G226" s="2"/>
    </row>
    <row r="227" spans="4:7" ht="20.100000000000001" customHeight="1" x14ac:dyDescent="0.25">
      <c r="D227" s="57"/>
      <c r="E227" s="57" t="str">
        <f>'Input - Swine'!$D$57</f>
        <v>Deep litter</v>
      </c>
      <c r="F227" s="52">
        <f>'Input - Swine'!K57</f>
        <v>0.25</v>
      </c>
      <c r="G227" s="2"/>
    </row>
    <row r="228" spans="4:7" ht="20.100000000000001" customHeight="1" x14ac:dyDescent="0.25">
      <c r="D228" s="57"/>
      <c r="E228" s="57" t="str">
        <f>'Input - Swine'!$D$58</f>
        <v>Pit storage</v>
      </c>
      <c r="F228" s="52">
        <f>'Input - Swine'!K58</f>
        <v>0.25</v>
      </c>
      <c r="G228" s="2"/>
    </row>
    <row r="229" spans="4:7" ht="20.100000000000001" customHeight="1" x14ac:dyDescent="0.25">
      <c r="D229" s="57"/>
      <c r="E229" s="57" t="str">
        <f>'Input - Swine'!$D$59</f>
        <v>Direct application</v>
      </c>
      <c r="F229" s="52">
        <f>'Input - Swine'!K59</f>
        <v>0</v>
      </c>
      <c r="G229" s="2"/>
    </row>
    <row r="230" spans="4:7" ht="20.100000000000001" customHeight="1" x14ac:dyDescent="0.25">
      <c r="D230" s="57" t="str">
        <f>'Input - Swine'!$D$31</f>
        <v>Digester / covered lagoons</v>
      </c>
      <c r="E230" s="57" t="str">
        <f>'Input - Swine'!$D$63</f>
        <v>Anaerobic lagoon</v>
      </c>
      <c r="F230" s="52">
        <f>'Input - Swine'!K63</f>
        <v>0.25</v>
      </c>
      <c r="G230" s="2"/>
    </row>
    <row r="231" spans="4:7" ht="20.100000000000001" customHeight="1" x14ac:dyDescent="0.25">
      <c r="D231" s="57"/>
      <c r="E231" s="57" t="str">
        <f>'Input - Swine'!$D$64</f>
        <v>Deep litter</v>
      </c>
      <c r="F231" s="52">
        <f>'Input - Swine'!K64</f>
        <v>0.25</v>
      </c>
      <c r="G231" s="2"/>
    </row>
    <row r="232" spans="4:7" ht="20.100000000000001" customHeight="1" x14ac:dyDescent="0.25">
      <c r="D232" s="57"/>
      <c r="E232" s="57" t="str">
        <f>'Input - Swine'!$D$65</f>
        <v>Pit storage</v>
      </c>
      <c r="F232" s="52">
        <f>'Input - Swine'!K65</f>
        <v>0.25</v>
      </c>
      <c r="G232" s="2"/>
    </row>
    <row r="233" spans="4:7" ht="20.100000000000001" customHeight="1" x14ac:dyDescent="0.25">
      <c r="D233" s="57"/>
      <c r="E233" s="57" t="str">
        <f>'Input - Swine'!$D$66</f>
        <v>Direct application</v>
      </c>
      <c r="F233" s="52">
        <f>'Input - Swine'!K66</f>
        <v>0</v>
      </c>
      <c r="G233" s="2"/>
    </row>
    <row r="234" spans="4:7" ht="20.100000000000001" customHeight="1" x14ac:dyDescent="0.25">
      <c r="D234" s="57" t="str">
        <f>'Input - Swine'!$D$32</f>
        <v>Deep litter</v>
      </c>
      <c r="E234" s="57" t="str">
        <f>'Input - Swine'!$D$70</f>
        <v>Anaerobic lagoon</v>
      </c>
      <c r="F234" s="52">
        <f>'Input - Swine'!K70</f>
        <v>0.25</v>
      </c>
      <c r="G234" s="2"/>
    </row>
    <row r="235" spans="4:7" ht="20.100000000000001" customHeight="1" x14ac:dyDescent="0.25">
      <c r="D235" s="57"/>
      <c r="E235" s="57" t="str">
        <f>'Input - Swine'!$D$71</f>
        <v>Digester / covered lagoons</v>
      </c>
      <c r="F235" s="52">
        <f>'Input - Swine'!K71</f>
        <v>0.25</v>
      </c>
      <c r="G235" s="2"/>
    </row>
    <row r="236" spans="4:7" ht="20.100000000000001" customHeight="1" x14ac:dyDescent="0.25">
      <c r="D236" s="57"/>
      <c r="E236" s="57" t="str">
        <f>'Input - Swine'!$D$72</f>
        <v>Pit storage</v>
      </c>
      <c r="F236" s="52">
        <f>'Input - Swine'!K72</f>
        <v>0.25</v>
      </c>
      <c r="G236" s="2"/>
    </row>
    <row r="237" spans="4:7" ht="20.100000000000001" customHeight="1" x14ac:dyDescent="0.25">
      <c r="D237" s="57"/>
      <c r="E237" s="57" t="str">
        <f>'Input - Swine'!$D$73</f>
        <v>Direct application</v>
      </c>
      <c r="F237" s="52">
        <f>'Input - Swine'!K73</f>
        <v>0</v>
      </c>
      <c r="G237" s="2"/>
    </row>
    <row r="238" spans="4:7" ht="20.100000000000001" customHeight="1" x14ac:dyDescent="0.25">
      <c r="D238" s="57" t="str">
        <f>'Input - Swine'!$D$33</f>
        <v>Pit storage</v>
      </c>
      <c r="E238" s="57" t="str">
        <f>'Input - Swine'!$D$77</f>
        <v>Anaerobic lagoon</v>
      </c>
      <c r="F238" s="52">
        <f>'Input - Swine'!K77</f>
        <v>0.25</v>
      </c>
      <c r="G238" s="2"/>
    </row>
    <row r="239" spans="4:7" ht="20.100000000000001" customHeight="1" x14ac:dyDescent="0.25">
      <c r="D239" s="57"/>
      <c r="E239" s="57" t="str">
        <f>'Input - Swine'!$D$78</f>
        <v>Digester / covered lagoons</v>
      </c>
      <c r="F239" s="52">
        <f>'Input - Swine'!K78</f>
        <v>0.25</v>
      </c>
      <c r="G239" s="2"/>
    </row>
    <row r="240" spans="4:7" ht="20.100000000000001" customHeight="1" x14ac:dyDescent="0.25">
      <c r="D240" s="57"/>
      <c r="E240" s="57" t="str">
        <f>'Input - Swine'!$D$79</f>
        <v>Deep litter</v>
      </c>
      <c r="F240" s="52">
        <f>'Input - Swine'!K79</f>
        <v>0.25</v>
      </c>
      <c r="G240" s="2"/>
    </row>
    <row r="241" spans="1:20" ht="20.100000000000001" customHeight="1" x14ac:dyDescent="0.25">
      <c r="D241" s="57"/>
      <c r="E241" s="57" t="str">
        <f>'Input - Swine'!$D$80</f>
        <v>Direct application</v>
      </c>
      <c r="F241" s="52">
        <f>'Input - Swine'!K80</f>
        <v>0</v>
      </c>
      <c r="G241" s="2"/>
    </row>
    <row r="242" spans="1:20" ht="20.100000000000001" customHeight="1" x14ac:dyDescent="0.25">
      <c r="D242" s="57" t="str">
        <f>'Input - Swine'!$D$34</f>
        <v>Solid storage</v>
      </c>
      <c r="E242" s="57" t="str">
        <f>'Input - Swine'!$D$84</f>
        <v>Anaerobic lagoon</v>
      </c>
      <c r="F242" s="52">
        <f>'Input - Swine'!K84</f>
        <v>0.25</v>
      </c>
      <c r="G242" s="2"/>
    </row>
    <row r="243" spans="1:20" ht="20.100000000000001" customHeight="1" x14ac:dyDescent="0.25">
      <c r="D243" s="57"/>
      <c r="E243" s="57" t="str">
        <f>'Input - Swine'!$D$85</f>
        <v>Digester / covered lagoons</v>
      </c>
      <c r="F243" s="52">
        <f>'Input - Swine'!K85</f>
        <v>0.25</v>
      </c>
      <c r="G243" s="2"/>
    </row>
    <row r="244" spans="1:20" ht="20.100000000000001" customHeight="1" x14ac:dyDescent="0.25">
      <c r="D244" s="57"/>
      <c r="E244" s="57" t="str">
        <f>'Input - Swine'!$D$86</f>
        <v>Deep litter</v>
      </c>
      <c r="F244" s="52">
        <f>'Input - Swine'!K86</f>
        <v>0.25</v>
      </c>
      <c r="G244" s="2"/>
    </row>
    <row r="245" spans="1:20" ht="20.100000000000001" customHeight="1" x14ac:dyDescent="0.25">
      <c r="D245" s="57"/>
      <c r="E245" s="57" t="str">
        <f>'Input - Swine'!$D$87</f>
        <v>Pit storage</v>
      </c>
      <c r="F245" s="52">
        <f>'Input - Swine'!K87</f>
        <v>0.25</v>
      </c>
      <c r="G245" s="2"/>
    </row>
    <row r="246" spans="1:20" ht="20.100000000000001" customHeight="1" x14ac:dyDescent="0.25">
      <c r="D246" s="57"/>
      <c r="E246" s="57" t="str">
        <f>'Input - Swine'!$D$88</f>
        <v>Direct application</v>
      </c>
      <c r="F246" s="52">
        <f>'Input - Swine'!K88</f>
        <v>0</v>
      </c>
      <c r="G246" s="2"/>
    </row>
    <row r="247" spans="1:20" ht="20.100000000000001" customHeight="1" x14ac:dyDescent="0.25">
      <c r="A247" s="150" t="str">
        <f>HYPERLINK("#A1", "▲ Back to top")</f>
        <v>▲ Back to top</v>
      </c>
    </row>
    <row r="248" spans="1:20" ht="20.100000000000001" customHeight="1" x14ac:dyDescent="0.25">
      <c r="D248" s="121" t="s">
        <v>324</v>
      </c>
      <c r="N248" s="121" t="s">
        <v>326</v>
      </c>
    </row>
    <row r="249" spans="1:20" ht="20.100000000000001" customHeight="1" x14ac:dyDescent="0.25">
      <c r="D249" s="122" t="s">
        <v>327</v>
      </c>
      <c r="N249" s="122" t="s">
        <v>328</v>
      </c>
    </row>
    <row r="250" spans="1:20" ht="20.100000000000001" customHeight="1" x14ac:dyDescent="0.25">
      <c r="D250" s="51" t="s">
        <v>163</v>
      </c>
      <c r="E250" s="51" t="s">
        <v>171</v>
      </c>
      <c r="F250" s="51" t="s">
        <v>142</v>
      </c>
      <c r="G250" s="51" t="s">
        <v>143</v>
      </c>
      <c r="H250" s="51" t="s">
        <v>144</v>
      </c>
      <c r="I250" s="51" t="s">
        <v>206</v>
      </c>
      <c r="N250" s="51" t="s">
        <v>163</v>
      </c>
      <c r="O250" s="51" t="s">
        <v>171</v>
      </c>
      <c r="P250" s="51" t="s">
        <v>142</v>
      </c>
      <c r="Q250" s="51" t="s">
        <v>143</v>
      </c>
      <c r="R250" s="51" t="s">
        <v>144</v>
      </c>
      <c r="S250" s="51" t="s">
        <v>206</v>
      </c>
    </row>
    <row r="251" spans="1:20" ht="20.100000000000001" customHeight="1" x14ac:dyDescent="0.25">
      <c r="D251" s="57" t="str">
        <f>'Input - Swine'!$D$29</f>
        <v>Anaerobic lagoon</v>
      </c>
      <c r="E251" s="57" t="str">
        <f>'Input - Swine'!$D$48</f>
        <v>Digester / covered lagoons</v>
      </c>
      <c r="F251" s="52" cm="1">
        <f t="array" ref="F251">MMS_Swine_ManureAppliedToSoils_Equations.VEERG_4_5_1_9__1_MassOfNitrogenAppliedToSoilsScope1(F22,_xlfn.XLOOKUP($E251,$D$123:$D$129,$E$123:$E$129), _xlfn.XLOOKUP($E251,$D$112:$D$118,$E$112:$E$118),F52,$F221)</f>
        <v>4.5332999999999988</v>
      </c>
      <c r="G251" s="52" cm="1">
        <f t="array" ref="G251">MMS_Swine_ManureAppliedToSoils_Equations.VEERG_4_5_1_9__1_MassOfNitrogenAppliedToSoilsScope1(G22,_xlfn.XLOOKUP($E251,$D$123:$D$129,$E$123:$E$129), _xlfn.XLOOKUP($E251,$D$112:$D$118,$E$112:$E$118),G52,$F221)</f>
        <v>6.0361875000000005</v>
      </c>
      <c r="H251" s="52" cm="1">
        <f t="array" ref="H251">MMS_Swine_ManureAppliedToSoils_Equations.VEERG_4_5_1_9__1_MassOfNitrogenAppliedToSoilsScope1(H22,_xlfn.XLOOKUP($E251,$D$123:$D$129,$E$123:$E$129), _xlfn.XLOOKUP($E251,$D$112:$D$118,$E$112:$E$118),H52,$F221)</f>
        <v>5.666624999999998</v>
      </c>
      <c r="I251" s="52" cm="1">
        <f t="array" ref="I251">MMS_Swine_ManureAppliedToSoils_Equations.VEERG_4_5_1_9__1_MassOfNitrogenAppliedToSoilsScope1(I22,_xlfn.XLOOKUP($E251,$D$123:$D$129,$E$123:$E$129), _xlfn.XLOOKUP($E251,$D$112:$D$118,$E$112:$E$118),I52,$F221)</f>
        <v>3.8434499999999989</v>
      </c>
      <c r="J251" s="2" t="str">
        <f t="shared" ref="J251" si="1">$E$11</f>
        <v>kg N</v>
      </c>
      <c r="N251" s="57" t="str">
        <f>'Input - Swine'!$D$29</f>
        <v>Anaerobic lagoon</v>
      </c>
      <c r="O251" s="57" t="str">
        <f>'Input - Swine'!$D$48</f>
        <v>Digester / covered lagoons</v>
      </c>
      <c r="P251" s="52" cm="1">
        <f t="array" ref="P251">MMS_Swine_ManureAppliedToSoils_Equations.VEERG_4_5_1_9__1_MassOfNitrogenAppliedToSoilsScope1(P22,_xlfn.XLOOKUP($E251,$D$123:$D$129,$E$123:$E$129), _xlfn.XLOOKUP($E251,$D$112:$D$118,$E$112:$E$118),P52,$F221)</f>
        <v>4.5332999999999988</v>
      </c>
      <c r="Q251" s="52" cm="1">
        <f t="array" ref="Q251">MMS_Swine_ManureAppliedToSoils_Equations.VEERG_4_5_1_9__1_MassOfNitrogenAppliedToSoilsScope1(Q22,_xlfn.XLOOKUP($E251,$D$123:$D$129,$E$123:$E$129), _xlfn.XLOOKUP($E251,$D$112:$D$118,$E$112:$E$118),Q52,$F221)</f>
        <v>6.0361875000000005</v>
      </c>
      <c r="R251" s="52" cm="1">
        <f t="array" ref="R251">MMS_Swine_ManureAppliedToSoils_Equations.VEERG_4_5_1_9__1_MassOfNitrogenAppliedToSoilsScope1(R22,_xlfn.XLOOKUP($E251,$D$123:$D$129,$E$123:$E$129), _xlfn.XLOOKUP($E251,$D$112:$D$118,$E$112:$E$118),R52,$F221)</f>
        <v>5.666624999999998</v>
      </c>
      <c r="S251" s="52" cm="1">
        <f t="array" ref="S251">MMS_Swine_ManureAppliedToSoils_Equations.VEERG_4_5_1_9__1_MassOfNitrogenAppliedToSoilsScope1(S22,_xlfn.XLOOKUP($E251,$D$123:$D$129,$E$123:$E$129), _xlfn.XLOOKUP($E251,$D$112:$D$118,$E$112:$E$118),S52,$F221)</f>
        <v>3.8434499999999989</v>
      </c>
      <c r="T251" s="2" t="str">
        <f>$E$11</f>
        <v>kg N</v>
      </c>
    </row>
    <row r="252" spans="1:20" ht="20.100000000000001" customHeight="1" x14ac:dyDescent="0.25">
      <c r="D252" s="57"/>
      <c r="E252" s="57" t="str">
        <f>'Input - Swine'!$D$49</f>
        <v>Deep litter</v>
      </c>
      <c r="F252" s="52" cm="1">
        <f t="array" ref="F252">MMS_Swine_ManureAppliedToSoils_Equations.VEERG_4_5_1_9__1_MassOfNitrogenAppliedToSoilsScope1(F23,_xlfn.XLOOKUP($E252,$D$123:$D$129,$E$123:$E$129), _xlfn.XLOOKUP($E252,$D$112:$D$118,$E$112:$E$118),F53,$F222)</f>
        <v>3.9213044999999989</v>
      </c>
      <c r="G252" s="52" cm="1">
        <f t="array" ref="G252">MMS_Swine_ManureAppliedToSoils_Equations.VEERG_4_5_1_9__1_MassOfNitrogenAppliedToSoilsScope1(G23,_xlfn.XLOOKUP($E252,$D$123:$D$129,$E$123:$E$129), _xlfn.XLOOKUP($E252,$D$112:$D$118,$E$112:$E$118),G53,$F222)</f>
        <v>5.2213021875000001</v>
      </c>
      <c r="H252" s="52" cm="1">
        <f t="array" ref="H252">MMS_Swine_ManureAppliedToSoils_Equations.VEERG_4_5_1_9__1_MassOfNitrogenAppliedToSoilsScope1(H23,_xlfn.XLOOKUP($E252,$D$123:$D$129,$E$123:$E$129), _xlfn.XLOOKUP($E252,$D$112:$D$118,$E$112:$E$118),H53,$F222)</f>
        <v>4.9016306249999984</v>
      </c>
      <c r="I252" s="52" cm="1">
        <f t="array" ref="I252">MMS_Swine_ManureAppliedToSoils_Equations.VEERG_4_5_1_9__1_MassOfNitrogenAppliedToSoilsScope1(I23,_xlfn.XLOOKUP($E252,$D$123:$D$129,$E$123:$E$129), _xlfn.XLOOKUP($E252,$D$112:$D$118,$E$112:$E$118),I53,$F222)</f>
        <v>3.3245842499999991</v>
      </c>
      <c r="J252" s="2"/>
      <c r="N252" s="57"/>
      <c r="O252" s="57" t="str">
        <f>'Input - Swine'!$D$49</f>
        <v>Deep litter</v>
      </c>
      <c r="P252" s="52" cm="1">
        <f t="array" ref="P252">MMS_Swine_ManureAppliedToSoils_Equations.VEERG_4_5_1_9__1_MassOfNitrogenAppliedToSoilsScope1(P23,_xlfn.XLOOKUP($E252,$D$123:$D$129,$E$123:$E$129), _xlfn.XLOOKUP($E252,$D$112:$D$118,$E$112:$E$118),P53,$F222)</f>
        <v>3.9213044999999989</v>
      </c>
      <c r="Q252" s="52" cm="1">
        <f t="array" ref="Q252">MMS_Swine_ManureAppliedToSoils_Equations.VEERG_4_5_1_9__1_MassOfNitrogenAppliedToSoilsScope1(Q23,_xlfn.XLOOKUP($E252,$D$123:$D$129,$E$123:$E$129), _xlfn.XLOOKUP($E252,$D$112:$D$118,$E$112:$E$118),Q53,$F222)</f>
        <v>5.2213021875000001</v>
      </c>
      <c r="R252" s="52" cm="1">
        <f t="array" ref="R252">MMS_Swine_ManureAppliedToSoils_Equations.VEERG_4_5_1_9__1_MassOfNitrogenAppliedToSoilsScope1(R23,_xlfn.XLOOKUP($E252,$D$123:$D$129,$E$123:$E$129), _xlfn.XLOOKUP($E252,$D$112:$D$118,$E$112:$E$118),R53,$F222)</f>
        <v>4.9016306249999984</v>
      </c>
      <c r="S252" s="52" cm="1">
        <f t="array" ref="S252">MMS_Swine_ManureAppliedToSoils_Equations.VEERG_4_5_1_9__1_MassOfNitrogenAppliedToSoilsScope1(S23,_xlfn.XLOOKUP($E252,$D$123:$D$129,$E$123:$E$129), _xlfn.XLOOKUP($E252,$D$112:$D$118,$E$112:$E$118),S53,$F222)</f>
        <v>3.3245842499999991</v>
      </c>
      <c r="T252" s="2"/>
    </row>
    <row r="253" spans="1:20" ht="20.100000000000001" customHeight="1" x14ac:dyDescent="0.25">
      <c r="D253" s="57"/>
      <c r="E253" s="57" t="str">
        <f>'Input - Swine'!$D$50</f>
        <v>Pit storage</v>
      </c>
      <c r="F253" s="52" cm="1">
        <f t="array" ref="F253">MMS_Swine_ManureAppliedToSoils_Equations.VEERG_4_5_1_9__1_MassOfNitrogenAppliedToSoilsScope1(F24,_xlfn.XLOOKUP($E253,$D$123:$D$129,$E$123:$E$129), _xlfn.XLOOKUP($E253,$D$112:$D$118,$E$112:$E$118),F54,$F223)</f>
        <v>3.3909083999999989</v>
      </c>
      <c r="G253" s="52" cm="1">
        <f t="array" ref="G253">MMS_Swine_ManureAppliedToSoils_Equations.VEERG_4_5_1_9__1_MassOfNitrogenAppliedToSoilsScope1(G24,_xlfn.XLOOKUP($E253,$D$123:$D$129,$E$123:$E$129), _xlfn.XLOOKUP($E253,$D$112:$D$118,$E$112:$E$118),G54,$F223)</f>
        <v>4.5150682500000006</v>
      </c>
      <c r="H253" s="52" cm="1">
        <f t="array" ref="H253">MMS_Swine_ManureAppliedToSoils_Equations.VEERG_4_5_1_9__1_MassOfNitrogenAppliedToSoilsScope1(H24,_xlfn.XLOOKUP($E253,$D$123:$D$129,$E$123:$E$129), _xlfn.XLOOKUP($E253,$D$112:$D$118,$E$112:$E$118),H54,$F223)</f>
        <v>4.2386354999999982</v>
      </c>
      <c r="I253" s="52" cm="1">
        <f t="array" ref="I253">MMS_Swine_ManureAppliedToSoils_Equations.VEERG_4_5_1_9__1_MassOfNitrogenAppliedToSoilsScope1(I24,_xlfn.XLOOKUP($E253,$D$123:$D$129,$E$123:$E$129), _xlfn.XLOOKUP($E253,$D$112:$D$118,$E$112:$E$118),I54,$F223)</f>
        <v>2.8749005999999993</v>
      </c>
      <c r="J253" s="2"/>
      <c r="N253" s="57"/>
      <c r="O253" s="57" t="str">
        <f>'Input - Swine'!$D$50</f>
        <v>Pit storage</v>
      </c>
      <c r="P253" s="52" cm="1">
        <f t="array" ref="P253">MMS_Swine_ManureAppliedToSoils_Equations.VEERG_4_5_1_9__1_MassOfNitrogenAppliedToSoilsScope1(P24,_xlfn.XLOOKUP($E253,$D$123:$D$129,$E$123:$E$129), _xlfn.XLOOKUP($E253,$D$112:$D$118,$E$112:$E$118),P54,$F223)</f>
        <v>3.3909083999999989</v>
      </c>
      <c r="Q253" s="52" cm="1">
        <f t="array" ref="Q253">MMS_Swine_ManureAppliedToSoils_Equations.VEERG_4_5_1_9__1_MassOfNitrogenAppliedToSoilsScope1(Q24,_xlfn.XLOOKUP($E253,$D$123:$D$129,$E$123:$E$129), _xlfn.XLOOKUP($E253,$D$112:$D$118,$E$112:$E$118),Q54,$F223)</f>
        <v>4.5150682500000006</v>
      </c>
      <c r="R253" s="52" cm="1">
        <f t="array" ref="R253">MMS_Swine_ManureAppliedToSoils_Equations.VEERG_4_5_1_9__1_MassOfNitrogenAppliedToSoilsScope1(R24,_xlfn.XLOOKUP($E253,$D$123:$D$129,$E$123:$E$129), _xlfn.XLOOKUP($E253,$D$112:$D$118,$E$112:$E$118),R54,$F223)</f>
        <v>4.2386354999999982</v>
      </c>
      <c r="S253" s="52" cm="1">
        <f t="array" ref="S253">MMS_Swine_ManureAppliedToSoils_Equations.VEERG_4_5_1_9__1_MassOfNitrogenAppliedToSoilsScope1(S24,_xlfn.XLOOKUP($E253,$D$123:$D$129,$E$123:$E$129), _xlfn.XLOOKUP($E253,$D$112:$D$118,$E$112:$E$118),S54,$F223)</f>
        <v>2.8749005999999993</v>
      </c>
      <c r="T253" s="2"/>
    </row>
    <row r="254" spans="1:20" ht="20.100000000000001" customHeight="1" x14ac:dyDescent="0.25">
      <c r="D254" s="57"/>
      <c r="E254" s="57" t="str">
        <f>'Input - Swine'!$D$51</f>
        <v>Direct application</v>
      </c>
      <c r="F254" s="52" cm="1">
        <f t="array" ref="F254">MMS_Swine_ManureAppliedToSoils_Equations.VEERG_4_5_1_9__1_MassOfNitrogenAppliedToSoilsScope1(F25,_xlfn.XLOOKUP($E254,$D$123:$D$129,$E$123:$E$129), _xlfn.XLOOKUP($E254,$D$112:$D$118,$E$112:$E$118),F55,$F224)</f>
        <v>0</v>
      </c>
      <c r="G254" s="52" cm="1">
        <f t="array" ref="G254">MMS_Swine_ManureAppliedToSoils_Equations.VEERG_4_5_1_9__1_MassOfNitrogenAppliedToSoilsScope1(G25,_xlfn.XLOOKUP($E254,$D$123:$D$129,$E$123:$E$129), _xlfn.XLOOKUP($E254,$D$112:$D$118,$E$112:$E$118),G55,$F224)</f>
        <v>0</v>
      </c>
      <c r="H254" s="52" cm="1">
        <f t="array" ref="H254">MMS_Swine_ManureAppliedToSoils_Equations.VEERG_4_5_1_9__1_MassOfNitrogenAppliedToSoilsScope1(H25,_xlfn.XLOOKUP($E254,$D$123:$D$129,$E$123:$E$129), _xlfn.XLOOKUP($E254,$D$112:$D$118,$E$112:$E$118),H55,$F224)</f>
        <v>0</v>
      </c>
      <c r="I254" s="52" cm="1">
        <f t="array" ref="I254">MMS_Swine_ManureAppliedToSoils_Equations.VEERG_4_5_1_9__1_MassOfNitrogenAppliedToSoilsScope1(I25,_xlfn.XLOOKUP($E254,$D$123:$D$129,$E$123:$E$129), _xlfn.XLOOKUP($E254,$D$112:$D$118,$E$112:$E$118),I55,$F224)</f>
        <v>0</v>
      </c>
      <c r="J254" s="2"/>
      <c r="N254" s="57"/>
      <c r="O254" s="57" t="str">
        <f>'Input - Swine'!$D$51</f>
        <v>Direct application</v>
      </c>
      <c r="P254" s="52" cm="1">
        <f t="array" ref="P254">MMS_Swine_ManureAppliedToSoils_Equations.VEERG_4_5_1_9__1_MassOfNitrogenAppliedToSoilsScope1(P25,_xlfn.XLOOKUP($E254,$D$123:$D$129,$E$123:$E$129), _xlfn.XLOOKUP($E254,$D$112:$D$118,$E$112:$E$118),P55,$F224)</f>
        <v>0</v>
      </c>
      <c r="Q254" s="52" cm="1">
        <f t="array" ref="Q254">MMS_Swine_ManureAppliedToSoils_Equations.VEERG_4_5_1_9__1_MassOfNitrogenAppliedToSoilsScope1(Q25,_xlfn.XLOOKUP($E254,$D$123:$D$129,$E$123:$E$129), _xlfn.XLOOKUP($E254,$D$112:$D$118,$E$112:$E$118),Q55,$F224)</f>
        <v>0</v>
      </c>
      <c r="R254" s="52" cm="1">
        <f t="array" ref="R254">MMS_Swine_ManureAppliedToSoils_Equations.VEERG_4_5_1_9__1_MassOfNitrogenAppliedToSoilsScope1(R25,_xlfn.XLOOKUP($E254,$D$123:$D$129,$E$123:$E$129), _xlfn.XLOOKUP($E254,$D$112:$D$118,$E$112:$E$118),R55,$F224)</f>
        <v>0</v>
      </c>
      <c r="S254" s="52" cm="1">
        <f t="array" ref="S254">MMS_Swine_ManureAppliedToSoils_Equations.VEERG_4_5_1_9__1_MassOfNitrogenAppliedToSoilsScope1(S25,_xlfn.XLOOKUP($E254,$D$123:$D$129,$E$123:$E$129), _xlfn.XLOOKUP($E254,$D$112:$D$118,$E$112:$E$118),S55,$F224)</f>
        <v>0</v>
      </c>
      <c r="T254" s="2"/>
    </row>
    <row r="255" spans="1:20" ht="20.100000000000001" customHeight="1" x14ac:dyDescent="0.25">
      <c r="D255" s="57" t="str">
        <f>'Input - Swine'!$D$30</f>
        <v>Drylot (feed pad)</v>
      </c>
      <c r="E255" s="57" t="str">
        <f>'Input - Swine'!$D$55</f>
        <v>Anaerobic lagoon</v>
      </c>
      <c r="F255" s="52" cm="1">
        <f t="array" ref="F255">MMS_Swine_ManureAppliedToSoils_Equations.VEERG_4_5_1_9__1_MassOfNitrogenAppliedToSoilsScope1(F26,_xlfn.XLOOKUP($E255,$D$123:$D$129,$E$123:$E$129), _xlfn.XLOOKUP($E255,$D$112:$D$118,$E$112:$E$118),F56,$F225)</f>
        <v>2.0752439999999988</v>
      </c>
      <c r="G255" s="52" cm="1">
        <f t="array" ref="G255">MMS_Swine_ManureAppliedToSoils_Equations.VEERG_4_5_1_9__1_MassOfNitrogenAppliedToSoilsScope1(G26,_xlfn.XLOOKUP($E255,$D$123:$D$129,$E$123:$E$129), _xlfn.XLOOKUP($E255,$D$112:$D$118,$E$112:$E$118),G56,$F225)</f>
        <v>3.0315075</v>
      </c>
      <c r="H255" s="52" cm="1">
        <f t="array" ref="H255">MMS_Swine_ManureAppliedToSoils_Equations.VEERG_4_5_1_9__1_MassOfNitrogenAppliedToSoilsScope1(H26,_xlfn.XLOOKUP($E255,$D$123:$D$129,$E$123:$E$129), _xlfn.XLOOKUP($E255,$D$112:$D$118,$E$112:$E$118),H56,$F225)</f>
        <v>2.8459049999999984</v>
      </c>
      <c r="I255" s="52" cm="1">
        <f t="array" ref="I255">MMS_Swine_ManureAppliedToSoils_Equations.VEERG_4_5_1_9__1_MassOfNitrogenAppliedToSoilsScope1(I26,_xlfn.XLOOKUP($E255,$D$123:$D$129,$E$123:$E$129), _xlfn.XLOOKUP($E255,$D$112:$D$118,$E$112:$E$118),I56,$F225)</f>
        <v>1.9302659999999991</v>
      </c>
      <c r="J255" s="2"/>
      <c r="N255" s="57" t="str">
        <f>'Input - Swine'!$D$30</f>
        <v>Drylot (feed pad)</v>
      </c>
      <c r="O255" s="57" t="str">
        <f>'Input - Swine'!$D$55</f>
        <v>Anaerobic lagoon</v>
      </c>
      <c r="P255" s="52" cm="1">
        <f t="array" ref="P255">MMS_Swine_ManureAppliedToSoils_Equations.VEERG_4_5_1_9__1_MassOfNitrogenAppliedToSoilsScope1(P26,_xlfn.XLOOKUP($E255,$D$123:$D$129,$E$123:$E$129), _xlfn.XLOOKUP($E255,$D$112:$D$118,$E$112:$E$118),P56,$F225)</f>
        <v>2.0752439999999988</v>
      </c>
      <c r="Q255" s="52" cm="1">
        <f t="array" ref="Q255">MMS_Swine_ManureAppliedToSoils_Equations.VEERG_4_5_1_9__1_MassOfNitrogenAppliedToSoilsScope1(Q26,_xlfn.XLOOKUP($E255,$D$123:$D$129,$E$123:$E$129), _xlfn.XLOOKUP($E255,$D$112:$D$118,$E$112:$E$118),Q56,$F225)</f>
        <v>3.0315075</v>
      </c>
      <c r="R255" s="52" cm="1">
        <f t="array" ref="R255">MMS_Swine_ManureAppliedToSoils_Equations.VEERG_4_5_1_9__1_MassOfNitrogenAppliedToSoilsScope1(R26,_xlfn.XLOOKUP($E255,$D$123:$D$129,$E$123:$E$129), _xlfn.XLOOKUP($E255,$D$112:$D$118,$E$112:$E$118),R56,$F225)</f>
        <v>2.8459049999999984</v>
      </c>
      <c r="S255" s="52" cm="1">
        <f t="array" ref="S255">MMS_Swine_ManureAppliedToSoils_Equations.VEERG_4_5_1_9__1_MassOfNitrogenAppliedToSoilsScope1(S26,_xlfn.XLOOKUP($E255,$D$123:$D$129,$E$123:$E$129), _xlfn.XLOOKUP($E255,$D$112:$D$118,$E$112:$E$118),S56,$F225)</f>
        <v>1.9302659999999991</v>
      </c>
      <c r="T255" s="2"/>
    </row>
    <row r="256" spans="1:20" ht="20.100000000000001" customHeight="1" x14ac:dyDescent="0.25">
      <c r="D256" s="57"/>
      <c r="E256" s="57" t="str">
        <f>'Input - Swine'!$D$56</f>
        <v>Digester / covered lagoons</v>
      </c>
      <c r="F256" s="52" cm="1">
        <f t="array" ref="F256">MMS_Swine_ManureAppliedToSoils_Equations.VEERG_4_5_1_9__1_MassOfNitrogenAppliedToSoilsScope1(F27,_xlfn.XLOOKUP($E256,$D$123:$D$129,$E$123:$E$129), _xlfn.XLOOKUP($E256,$D$112:$D$118,$E$112:$E$118),F57,$F226)</f>
        <v>5.8429199999999986</v>
      </c>
      <c r="G256" s="52" cm="1">
        <f t="array" ref="G256">MMS_Swine_ManureAppliedToSoils_Equations.VEERG_4_5_1_9__1_MassOfNitrogenAppliedToSoilsScope1(G27,_xlfn.XLOOKUP($E256,$D$123:$D$129,$E$123:$E$129), _xlfn.XLOOKUP($E256,$D$112:$D$118,$E$112:$E$118),G57,$F226)</f>
        <v>8.0482500000000012</v>
      </c>
      <c r="H256" s="52" cm="1">
        <f t="array" ref="H256">MMS_Swine_ManureAppliedToSoils_Equations.VEERG_4_5_1_9__1_MassOfNitrogenAppliedToSoilsScope1(H27,_xlfn.XLOOKUP($E256,$D$123:$D$129,$E$123:$E$129), _xlfn.XLOOKUP($E256,$D$112:$D$118,$E$112:$E$118),H57,$F226)</f>
        <v>7.5554999999999977</v>
      </c>
      <c r="I256" s="52" cm="1">
        <f t="array" ref="I256">MMS_Swine_ManureAppliedToSoils_Equations.VEERG_4_5_1_9__1_MassOfNitrogenAppliedToSoilsScope1(I27,_xlfn.XLOOKUP($E256,$D$123:$D$129,$E$123:$E$129), _xlfn.XLOOKUP($E256,$D$112:$D$118,$E$112:$E$118),I57,$F226)</f>
        <v>5.1245999999999983</v>
      </c>
      <c r="J256" s="2"/>
      <c r="N256" s="57"/>
      <c r="O256" s="57" t="str">
        <f>'Input - Swine'!$D$56</f>
        <v>Digester / covered lagoons</v>
      </c>
      <c r="P256" s="52" cm="1">
        <f t="array" ref="P256">MMS_Swine_ManureAppliedToSoils_Equations.VEERG_4_5_1_9__1_MassOfNitrogenAppliedToSoilsScope1(P27,_xlfn.XLOOKUP($E256,$D$123:$D$129,$E$123:$E$129), _xlfn.XLOOKUP($E256,$D$112:$D$118,$E$112:$E$118),P57,$F226)</f>
        <v>5.8429199999999986</v>
      </c>
      <c r="Q256" s="52" cm="1">
        <f t="array" ref="Q256">MMS_Swine_ManureAppliedToSoils_Equations.VEERG_4_5_1_9__1_MassOfNitrogenAppliedToSoilsScope1(Q27,_xlfn.XLOOKUP($E256,$D$123:$D$129,$E$123:$E$129), _xlfn.XLOOKUP($E256,$D$112:$D$118,$E$112:$E$118),Q57,$F226)</f>
        <v>8.0482500000000012</v>
      </c>
      <c r="R256" s="52" cm="1">
        <f t="array" ref="R256">MMS_Swine_ManureAppliedToSoils_Equations.VEERG_4_5_1_9__1_MassOfNitrogenAppliedToSoilsScope1(R27,_xlfn.XLOOKUP($E256,$D$123:$D$129,$E$123:$E$129), _xlfn.XLOOKUP($E256,$D$112:$D$118,$E$112:$E$118),R57,$F226)</f>
        <v>7.5554999999999977</v>
      </c>
      <c r="S256" s="52" cm="1">
        <f t="array" ref="S256">MMS_Swine_ManureAppliedToSoils_Equations.VEERG_4_5_1_9__1_MassOfNitrogenAppliedToSoilsScope1(S27,_xlfn.XLOOKUP($E256,$D$123:$D$129,$E$123:$E$129), _xlfn.XLOOKUP($E256,$D$112:$D$118,$E$112:$E$118),S57,$F226)</f>
        <v>5.1245999999999983</v>
      </c>
      <c r="T256" s="2"/>
    </row>
    <row r="257" spans="4:20" ht="20.100000000000001" customHeight="1" x14ac:dyDescent="0.25">
      <c r="D257" s="57"/>
      <c r="E257" s="57" t="str">
        <f>'Input - Swine'!$D$57</f>
        <v>Deep litter</v>
      </c>
      <c r="F257" s="52" cm="1">
        <f t="array" ref="F257">MMS_Swine_ManureAppliedToSoils_Equations.VEERG_4_5_1_9__1_MassOfNitrogenAppliedToSoilsScope1(F28,_xlfn.XLOOKUP($E257,$D$123:$D$129,$E$123:$E$129), _xlfn.XLOOKUP($E257,$D$112:$D$118,$E$112:$E$118),F58,$F227)</f>
        <v>4.9181267999999987</v>
      </c>
      <c r="G257" s="52" cm="1">
        <f t="array" ref="G257">MMS_Swine_ManureAppliedToSoils_Equations.VEERG_4_5_1_9__1_MassOfNitrogenAppliedToSoilsScope1(G28,_xlfn.XLOOKUP($E257,$D$123:$D$129,$E$123:$E$129), _xlfn.XLOOKUP($E257,$D$112:$D$118,$E$112:$E$118),G58,$F227)</f>
        <v>6.816867750000001</v>
      </c>
      <c r="H257" s="52" cm="1">
        <f t="array" ref="H257">MMS_Swine_ManureAppliedToSoils_Equations.VEERG_4_5_1_9__1_MassOfNitrogenAppliedToSoilsScope1(H28,_xlfn.XLOOKUP($E257,$D$123:$D$129,$E$123:$E$129), _xlfn.XLOOKUP($E257,$D$112:$D$118,$E$112:$E$118),H58,$F227)</f>
        <v>6.3995084999999978</v>
      </c>
      <c r="I257" s="52" cm="1">
        <f t="array" ref="I257">MMS_Swine_ManureAppliedToSoils_Equations.VEERG_4_5_1_9__1_MassOfNitrogenAppliedToSoilsScope1(I28,_xlfn.XLOOKUP($E257,$D$123:$D$129,$E$123:$E$129), _xlfn.XLOOKUP($E257,$D$112:$D$118,$E$112:$E$118),I58,$F227)</f>
        <v>4.3405361999999981</v>
      </c>
      <c r="J257" s="2"/>
      <c r="N257" s="57"/>
      <c r="O257" s="57" t="str">
        <f>'Input - Swine'!$D$57</f>
        <v>Deep litter</v>
      </c>
      <c r="P257" s="52" cm="1">
        <f t="array" ref="P257">MMS_Swine_ManureAppliedToSoils_Equations.VEERG_4_5_1_9__1_MassOfNitrogenAppliedToSoilsScope1(P28,_xlfn.XLOOKUP($E257,$D$123:$D$129,$E$123:$E$129), _xlfn.XLOOKUP($E257,$D$112:$D$118,$E$112:$E$118),P58,$F227)</f>
        <v>4.9181267999999987</v>
      </c>
      <c r="Q257" s="52" cm="1">
        <f t="array" ref="Q257">MMS_Swine_ManureAppliedToSoils_Equations.VEERG_4_5_1_9__1_MassOfNitrogenAppliedToSoilsScope1(Q28,_xlfn.XLOOKUP($E257,$D$123:$D$129,$E$123:$E$129), _xlfn.XLOOKUP($E257,$D$112:$D$118,$E$112:$E$118),Q58,$F227)</f>
        <v>6.816867750000001</v>
      </c>
      <c r="R257" s="52" cm="1">
        <f t="array" ref="R257">MMS_Swine_ManureAppliedToSoils_Equations.VEERG_4_5_1_9__1_MassOfNitrogenAppliedToSoilsScope1(R28,_xlfn.XLOOKUP($E257,$D$123:$D$129,$E$123:$E$129), _xlfn.XLOOKUP($E257,$D$112:$D$118,$E$112:$E$118),R58,$F227)</f>
        <v>6.3995084999999978</v>
      </c>
      <c r="S257" s="52" cm="1">
        <f t="array" ref="S257">MMS_Swine_ManureAppliedToSoils_Equations.VEERG_4_5_1_9__1_MassOfNitrogenAppliedToSoilsScope1(S28,_xlfn.XLOOKUP($E257,$D$123:$D$129,$E$123:$E$129), _xlfn.XLOOKUP($E257,$D$112:$D$118,$E$112:$E$118),S58,$F227)</f>
        <v>4.3405361999999981</v>
      </c>
      <c r="T257" s="2"/>
    </row>
    <row r="258" spans="4:20" ht="20.100000000000001" customHeight="1" x14ac:dyDescent="0.25">
      <c r="D258" s="57"/>
      <c r="E258" s="57" t="str">
        <f>'Input - Swine'!$D$58</f>
        <v>Pit storage</v>
      </c>
      <c r="F258" s="52" cm="1">
        <f t="array" ref="F258">MMS_Swine_ManureAppliedToSoils_Equations.VEERG_4_5_1_9__1_MassOfNitrogenAppliedToSoilsScope1(F29,_xlfn.XLOOKUP($E258,$D$123:$D$129,$E$123:$E$129), _xlfn.XLOOKUP($E258,$D$112:$D$118,$E$112:$E$118),F59,$F228)</f>
        <v>4.1166393599999989</v>
      </c>
      <c r="G258" s="52" cm="1">
        <f t="array" ref="G258">MMS_Swine_ManureAppliedToSoils_Equations.VEERG_4_5_1_9__1_MassOfNitrogenAppliedToSoilsScope1(G29,_xlfn.XLOOKUP($E258,$D$123:$D$129,$E$123:$E$129), _xlfn.XLOOKUP($E258,$D$112:$D$118,$E$112:$E$118),G59,$F228)</f>
        <v>5.7496698000000013</v>
      </c>
      <c r="H258" s="52" cm="1">
        <f t="array" ref="H258">MMS_Swine_ManureAppliedToSoils_Equations.VEERG_4_5_1_9__1_MassOfNitrogenAppliedToSoilsScope1(H29,_xlfn.XLOOKUP($E258,$D$123:$D$129,$E$123:$E$129), _xlfn.XLOOKUP($E258,$D$112:$D$118,$E$112:$E$118),H59,$F228)</f>
        <v>5.3976491999999983</v>
      </c>
      <c r="I258" s="52" cm="1">
        <f t="array" ref="I258">MMS_Swine_ManureAppliedToSoils_Equations.VEERG_4_5_1_9__1_MassOfNitrogenAppliedToSoilsScope1(I29,_xlfn.XLOOKUP($E258,$D$123:$D$129,$E$123:$E$129), _xlfn.XLOOKUP($E258,$D$112:$D$118,$E$112:$E$118),I59,$F228)</f>
        <v>3.6610142399999983</v>
      </c>
      <c r="J258" s="2"/>
      <c r="N258" s="57"/>
      <c r="O258" s="57" t="str">
        <f>'Input - Swine'!$D$58</f>
        <v>Pit storage</v>
      </c>
      <c r="P258" s="52" cm="1">
        <f t="array" ref="P258">MMS_Swine_ManureAppliedToSoils_Equations.VEERG_4_5_1_9__1_MassOfNitrogenAppliedToSoilsScope1(P29,_xlfn.XLOOKUP($E258,$D$123:$D$129,$E$123:$E$129), _xlfn.XLOOKUP($E258,$D$112:$D$118,$E$112:$E$118),P59,$F228)</f>
        <v>4.1166393599999989</v>
      </c>
      <c r="Q258" s="52" cm="1">
        <f t="array" ref="Q258">MMS_Swine_ManureAppliedToSoils_Equations.VEERG_4_5_1_9__1_MassOfNitrogenAppliedToSoilsScope1(Q29,_xlfn.XLOOKUP($E258,$D$123:$D$129,$E$123:$E$129), _xlfn.XLOOKUP($E258,$D$112:$D$118,$E$112:$E$118),Q59,$F228)</f>
        <v>5.7496698000000013</v>
      </c>
      <c r="R258" s="52" cm="1">
        <f t="array" ref="R258">MMS_Swine_ManureAppliedToSoils_Equations.VEERG_4_5_1_9__1_MassOfNitrogenAppliedToSoilsScope1(R29,_xlfn.XLOOKUP($E258,$D$123:$D$129,$E$123:$E$129), _xlfn.XLOOKUP($E258,$D$112:$D$118,$E$112:$E$118),R59,$F228)</f>
        <v>5.3976491999999983</v>
      </c>
      <c r="S258" s="52" cm="1">
        <f t="array" ref="S258">MMS_Swine_ManureAppliedToSoils_Equations.VEERG_4_5_1_9__1_MassOfNitrogenAppliedToSoilsScope1(S29,_xlfn.XLOOKUP($E258,$D$123:$D$129,$E$123:$E$129), _xlfn.XLOOKUP($E258,$D$112:$D$118,$E$112:$E$118),S59,$F228)</f>
        <v>3.6610142399999983</v>
      </c>
      <c r="T258" s="2"/>
    </row>
    <row r="259" spans="4:20" ht="20.100000000000001" customHeight="1" x14ac:dyDescent="0.25">
      <c r="D259" s="57"/>
      <c r="E259" s="57" t="str">
        <f>'Input - Swine'!$D$59</f>
        <v>Direct application</v>
      </c>
      <c r="F259" s="52" cm="1">
        <f t="array" ref="F259">MMS_Swine_ManureAppliedToSoils_Equations.VEERG_4_5_1_9__1_MassOfNitrogenAppliedToSoilsScope1(F30,_xlfn.XLOOKUP($E259,$D$123:$D$129,$E$123:$E$129), _xlfn.XLOOKUP($E259,$D$112:$D$118,$E$112:$E$118),F60,$F229)</f>
        <v>0</v>
      </c>
      <c r="G259" s="52" cm="1">
        <f t="array" ref="G259">MMS_Swine_ManureAppliedToSoils_Equations.VEERG_4_5_1_9__1_MassOfNitrogenAppliedToSoilsScope1(G30,_xlfn.XLOOKUP($E259,$D$123:$D$129,$E$123:$E$129), _xlfn.XLOOKUP($E259,$D$112:$D$118,$E$112:$E$118),G60,$F229)</f>
        <v>0</v>
      </c>
      <c r="H259" s="52" cm="1">
        <f t="array" ref="H259">MMS_Swine_ManureAppliedToSoils_Equations.VEERG_4_5_1_9__1_MassOfNitrogenAppliedToSoilsScope1(H30,_xlfn.XLOOKUP($E259,$D$123:$D$129,$E$123:$E$129), _xlfn.XLOOKUP($E259,$D$112:$D$118,$E$112:$E$118),H60,$F229)</f>
        <v>0</v>
      </c>
      <c r="I259" s="52" cm="1">
        <f t="array" ref="I259">MMS_Swine_ManureAppliedToSoils_Equations.VEERG_4_5_1_9__1_MassOfNitrogenAppliedToSoilsScope1(I30,_xlfn.XLOOKUP($E259,$D$123:$D$129,$E$123:$E$129), _xlfn.XLOOKUP($E259,$D$112:$D$118,$E$112:$E$118),I60,$F229)</f>
        <v>0</v>
      </c>
      <c r="J259" s="2"/>
      <c r="N259" s="57"/>
      <c r="O259" s="57" t="str">
        <f>'Input - Swine'!$D$59</f>
        <v>Direct application</v>
      </c>
      <c r="P259" s="52" cm="1">
        <f t="array" ref="P259">MMS_Swine_ManureAppliedToSoils_Equations.VEERG_4_5_1_9__1_MassOfNitrogenAppliedToSoilsScope1(P30,_xlfn.XLOOKUP($E259,$D$123:$D$129,$E$123:$E$129), _xlfn.XLOOKUP($E259,$D$112:$D$118,$E$112:$E$118),P60,$F229)</f>
        <v>0</v>
      </c>
      <c r="Q259" s="52" cm="1">
        <f t="array" ref="Q259">MMS_Swine_ManureAppliedToSoils_Equations.VEERG_4_5_1_9__1_MassOfNitrogenAppliedToSoilsScope1(Q30,_xlfn.XLOOKUP($E259,$D$123:$D$129,$E$123:$E$129), _xlfn.XLOOKUP($E259,$D$112:$D$118,$E$112:$E$118),Q60,$F229)</f>
        <v>0</v>
      </c>
      <c r="R259" s="52" cm="1">
        <f t="array" ref="R259">MMS_Swine_ManureAppliedToSoils_Equations.VEERG_4_5_1_9__1_MassOfNitrogenAppliedToSoilsScope1(R30,_xlfn.XLOOKUP($E259,$D$123:$D$129,$E$123:$E$129), _xlfn.XLOOKUP($E259,$D$112:$D$118,$E$112:$E$118),R60,$F229)</f>
        <v>0</v>
      </c>
      <c r="S259" s="52" cm="1">
        <f t="array" ref="S259">MMS_Swine_ManureAppliedToSoils_Equations.VEERG_4_5_1_9__1_MassOfNitrogenAppliedToSoilsScope1(S30,_xlfn.XLOOKUP($E259,$D$123:$D$129,$E$123:$E$129), _xlfn.XLOOKUP($E259,$D$112:$D$118,$E$112:$E$118),S60,$F229)</f>
        <v>0</v>
      </c>
      <c r="T259" s="2"/>
    </row>
    <row r="260" spans="4:20" ht="20.100000000000001" customHeight="1" x14ac:dyDescent="0.25">
      <c r="D260" s="57" t="str">
        <f>'Input - Swine'!$D$31</f>
        <v>Digester / covered lagoons</v>
      </c>
      <c r="E260" s="57" t="str">
        <f>'Input - Swine'!$D$63</f>
        <v>Anaerobic lagoon</v>
      </c>
      <c r="F260" s="52" cm="1">
        <f t="array" ref="F260">MMS_Swine_ManureAppliedToSoils_Equations.VEERG_4_5_1_9__1_MassOfNitrogenAppliedToSoilsScope1(F31,_xlfn.XLOOKUP($E260,$D$123:$D$129,$E$123:$E$129), _xlfn.XLOOKUP($E260,$D$112:$D$118,$E$112:$E$118),F61,$F230)</f>
        <v>4.5332999999999988</v>
      </c>
      <c r="G260" s="52" cm="1">
        <f t="array" ref="G260">MMS_Swine_ManureAppliedToSoils_Equations.VEERG_4_5_1_9__1_MassOfNitrogenAppliedToSoilsScope1(G31,_xlfn.XLOOKUP($E260,$D$123:$D$129,$E$123:$E$129), _xlfn.XLOOKUP($E260,$D$112:$D$118,$E$112:$E$118),G61,$F230)</f>
        <v>6.0361875000000005</v>
      </c>
      <c r="H260" s="52" cm="1">
        <f t="array" ref="H260">MMS_Swine_ManureAppliedToSoils_Equations.VEERG_4_5_1_9__1_MassOfNitrogenAppliedToSoilsScope1(H31,_xlfn.XLOOKUP($E260,$D$123:$D$129,$E$123:$E$129), _xlfn.XLOOKUP($E260,$D$112:$D$118,$E$112:$E$118),H61,$F230)</f>
        <v>5.666624999999998</v>
      </c>
      <c r="I260" s="52" cm="1">
        <f t="array" ref="I260">MMS_Swine_ManureAppliedToSoils_Equations.VEERG_4_5_1_9__1_MassOfNitrogenAppliedToSoilsScope1(I31,_xlfn.XLOOKUP($E260,$D$123:$D$129,$E$123:$E$129), _xlfn.XLOOKUP($E260,$D$112:$D$118,$E$112:$E$118),I61,$F230)</f>
        <v>3.8434499999999989</v>
      </c>
      <c r="J260" s="2"/>
      <c r="N260" s="57" t="str">
        <f>'Input - Swine'!$D$31</f>
        <v>Digester / covered lagoons</v>
      </c>
      <c r="O260" s="57" t="str">
        <f>'Input - Swine'!$D$63</f>
        <v>Anaerobic lagoon</v>
      </c>
      <c r="P260" s="52" cm="1">
        <f t="array" ref="P260">MMS_Swine_ManureAppliedToSoils_Equations.VEERG_4_5_1_9__1_MassOfNitrogenAppliedToSoilsScope1(P31,_xlfn.XLOOKUP($E260,$D$123:$D$129,$E$123:$E$129), _xlfn.XLOOKUP($E260,$D$112:$D$118,$E$112:$E$118),P61,$F230)</f>
        <v>4.5332999999999988</v>
      </c>
      <c r="Q260" s="52" cm="1">
        <f t="array" ref="Q260">MMS_Swine_ManureAppliedToSoils_Equations.VEERG_4_5_1_9__1_MassOfNitrogenAppliedToSoilsScope1(Q31,_xlfn.XLOOKUP($E260,$D$123:$D$129,$E$123:$E$129), _xlfn.XLOOKUP($E260,$D$112:$D$118,$E$112:$E$118),Q61,$F230)</f>
        <v>6.0361875000000005</v>
      </c>
      <c r="R260" s="52" cm="1">
        <f t="array" ref="R260">MMS_Swine_ManureAppliedToSoils_Equations.VEERG_4_5_1_9__1_MassOfNitrogenAppliedToSoilsScope1(R31,_xlfn.XLOOKUP($E260,$D$123:$D$129,$E$123:$E$129), _xlfn.XLOOKUP($E260,$D$112:$D$118,$E$112:$E$118),R61,$F230)</f>
        <v>5.666624999999998</v>
      </c>
      <c r="S260" s="52" cm="1">
        <f t="array" ref="S260">MMS_Swine_ManureAppliedToSoils_Equations.VEERG_4_5_1_9__1_MassOfNitrogenAppliedToSoilsScope1(S31,_xlfn.XLOOKUP($E260,$D$123:$D$129,$E$123:$E$129), _xlfn.XLOOKUP($E260,$D$112:$D$118,$E$112:$E$118),S61,$F230)</f>
        <v>3.8434499999999989</v>
      </c>
      <c r="T260" s="2"/>
    </row>
    <row r="261" spans="4:20" ht="20.100000000000001" customHeight="1" x14ac:dyDescent="0.25">
      <c r="D261" s="57"/>
      <c r="E261" s="57" t="str">
        <f>'Input - Swine'!$D$64</f>
        <v>Deep litter</v>
      </c>
      <c r="F261" s="52" cm="1">
        <f t="array" ref="F261">MMS_Swine_ManureAppliedToSoils_Equations.VEERG_4_5_1_9__1_MassOfNitrogenAppliedToSoilsScope1(F32,_xlfn.XLOOKUP($E261,$D$123:$D$129,$E$123:$E$129), _xlfn.XLOOKUP($E261,$D$112:$D$118,$E$112:$E$118),F62,$F231)</f>
        <v>8.7140099999999983</v>
      </c>
      <c r="G261" s="52" cm="1">
        <f t="array" ref="G261">MMS_Swine_ManureAppliedToSoils_Equations.VEERG_4_5_1_9__1_MassOfNitrogenAppliedToSoilsScope1(G32,_xlfn.XLOOKUP($E261,$D$123:$D$129,$E$123:$E$129), _xlfn.XLOOKUP($E261,$D$112:$D$118,$E$112:$E$118),G62,$F231)</f>
        <v>11.602893750000002</v>
      </c>
      <c r="H261" s="52" cm="1">
        <f t="array" ref="H261">MMS_Swine_ManureAppliedToSoils_Equations.VEERG_4_5_1_9__1_MassOfNitrogenAppliedToSoilsScope1(H32,_xlfn.XLOOKUP($E261,$D$123:$D$129,$E$123:$E$129), _xlfn.XLOOKUP($E261,$D$112:$D$118,$E$112:$E$118),H62,$F231)</f>
        <v>10.892512499999997</v>
      </c>
      <c r="I261" s="52" cm="1">
        <f t="array" ref="I261">MMS_Swine_ManureAppliedToSoils_Equations.VEERG_4_5_1_9__1_MassOfNitrogenAppliedToSoilsScope1(I32,_xlfn.XLOOKUP($E261,$D$123:$D$129,$E$123:$E$129), _xlfn.XLOOKUP($E261,$D$112:$D$118,$E$112:$E$118),I62,$F231)</f>
        <v>7.3879649999999986</v>
      </c>
      <c r="J261" s="2"/>
      <c r="N261" s="57"/>
      <c r="O261" s="57" t="str">
        <f>'Input - Swine'!$D$64</f>
        <v>Deep litter</v>
      </c>
      <c r="P261" s="52" cm="1">
        <f t="array" ref="P261">MMS_Swine_ManureAppliedToSoils_Equations.VEERG_4_5_1_9__1_MassOfNitrogenAppliedToSoilsScope1(P32,_xlfn.XLOOKUP($E261,$D$123:$D$129,$E$123:$E$129), _xlfn.XLOOKUP($E261,$D$112:$D$118,$E$112:$E$118),P62,$F231)</f>
        <v>8.7140099999999983</v>
      </c>
      <c r="Q261" s="52" cm="1">
        <f t="array" ref="Q261">MMS_Swine_ManureAppliedToSoils_Equations.VEERG_4_5_1_9__1_MassOfNitrogenAppliedToSoilsScope1(Q32,_xlfn.XLOOKUP($E261,$D$123:$D$129,$E$123:$E$129), _xlfn.XLOOKUP($E261,$D$112:$D$118,$E$112:$E$118),Q62,$F231)</f>
        <v>11.602893750000002</v>
      </c>
      <c r="R261" s="52" cm="1">
        <f t="array" ref="R261">MMS_Swine_ManureAppliedToSoils_Equations.VEERG_4_5_1_9__1_MassOfNitrogenAppliedToSoilsScope1(R32,_xlfn.XLOOKUP($E261,$D$123:$D$129,$E$123:$E$129), _xlfn.XLOOKUP($E261,$D$112:$D$118,$E$112:$E$118),R62,$F231)</f>
        <v>10.892512499999997</v>
      </c>
      <c r="S261" s="52" cm="1">
        <f t="array" ref="S261">MMS_Swine_ManureAppliedToSoils_Equations.VEERG_4_5_1_9__1_MassOfNitrogenAppliedToSoilsScope1(S32,_xlfn.XLOOKUP($E261,$D$123:$D$129,$E$123:$E$129), _xlfn.XLOOKUP($E261,$D$112:$D$118,$E$112:$E$118),S62,$F231)</f>
        <v>7.3879649999999986</v>
      </c>
      <c r="T261" s="2"/>
    </row>
    <row r="262" spans="4:20" ht="20.100000000000001" customHeight="1" x14ac:dyDescent="0.25">
      <c r="D262" s="57"/>
      <c r="E262" s="57" t="str">
        <f>'Input - Swine'!$D$65</f>
        <v>Pit storage</v>
      </c>
      <c r="F262" s="52" cm="1">
        <f t="array" ref="F262">MMS_Swine_ManureAppliedToSoils_Equations.VEERG_4_5_1_9__1_MassOfNitrogenAppliedToSoilsScope1(F33,_xlfn.XLOOKUP($E262,$D$123:$D$129,$E$123:$E$129), _xlfn.XLOOKUP($E262,$D$112:$D$118,$E$112:$E$118),F63,$F232)</f>
        <v>7.5353519999999987</v>
      </c>
      <c r="G262" s="52" cm="1">
        <f t="array" ref="G262">MMS_Swine_ManureAppliedToSoils_Equations.VEERG_4_5_1_9__1_MassOfNitrogenAppliedToSoilsScope1(G33,_xlfn.XLOOKUP($E262,$D$123:$D$129,$E$123:$E$129), _xlfn.XLOOKUP($E262,$D$112:$D$118,$E$112:$E$118),G63,$F232)</f>
        <v>10.033485000000001</v>
      </c>
      <c r="H262" s="52" cm="1">
        <f t="array" ref="H262">MMS_Swine_ManureAppliedToSoils_Equations.VEERG_4_5_1_9__1_MassOfNitrogenAppliedToSoilsScope1(H33,_xlfn.XLOOKUP($E262,$D$123:$D$129,$E$123:$E$129), _xlfn.XLOOKUP($E262,$D$112:$D$118,$E$112:$E$118),H63,$F232)</f>
        <v>9.4191899999999986</v>
      </c>
      <c r="I262" s="52" cm="1">
        <f t="array" ref="I262">MMS_Swine_ManureAppliedToSoils_Equations.VEERG_4_5_1_9__1_MassOfNitrogenAppliedToSoilsScope1(I33,_xlfn.XLOOKUP($E262,$D$123:$D$129,$E$123:$E$129), _xlfn.XLOOKUP($E262,$D$112:$D$118,$E$112:$E$118),I63,$F232)</f>
        <v>6.3886679999999991</v>
      </c>
      <c r="J262" s="2"/>
      <c r="N262" s="57"/>
      <c r="O262" s="57" t="str">
        <f>'Input - Swine'!$D$65</f>
        <v>Pit storage</v>
      </c>
      <c r="P262" s="52" cm="1">
        <f t="array" ref="P262">MMS_Swine_ManureAppliedToSoils_Equations.VEERG_4_5_1_9__1_MassOfNitrogenAppliedToSoilsScope1(P33,_xlfn.XLOOKUP($E262,$D$123:$D$129,$E$123:$E$129), _xlfn.XLOOKUP($E262,$D$112:$D$118,$E$112:$E$118),P63,$F232)</f>
        <v>7.5353519999999987</v>
      </c>
      <c r="Q262" s="52" cm="1">
        <f t="array" ref="Q262">MMS_Swine_ManureAppliedToSoils_Equations.VEERG_4_5_1_9__1_MassOfNitrogenAppliedToSoilsScope1(Q33,_xlfn.XLOOKUP($E262,$D$123:$D$129,$E$123:$E$129), _xlfn.XLOOKUP($E262,$D$112:$D$118,$E$112:$E$118),Q63,$F232)</f>
        <v>10.033485000000001</v>
      </c>
      <c r="R262" s="52" cm="1">
        <f t="array" ref="R262">MMS_Swine_ManureAppliedToSoils_Equations.VEERG_4_5_1_9__1_MassOfNitrogenAppliedToSoilsScope1(R33,_xlfn.XLOOKUP($E262,$D$123:$D$129,$E$123:$E$129), _xlfn.XLOOKUP($E262,$D$112:$D$118,$E$112:$E$118),R63,$F232)</f>
        <v>9.4191899999999986</v>
      </c>
      <c r="S262" s="52" cm="1">
        <f t="array" ref="S262">MMS_Swine_ManureAppliedToSoils_Equations.VEERG_4_5_1_9__1_MassOfNitrogenAppliedToSoilsScope1(S33,_xlfn.XLOOKUP($E262,$D$123:$D$129,$E$123:$E$129), _xlfn.XLOOKUP($E262,$D$112:$D$118,$E$112:$E$118),S63,$F232)</f>
        <v>6.3886679999999991</v>
      </c>
      <c r="T262" s="2"/>
    </row>
    <row r="263" spans="4:20" ht="20.100000000000001" customHeight="1" x14ac:dyDescent="0.25">
      <c r="D263" s="57"/>
      <c r="E263" s="57" t="str">
        <f>'Input - Swine'!$D$66</f>
        <v>Direct application</v>
      </c>
      <c r="F263" s="52" cm="1">
        <f t="array" ref="F263">MMS_Swine_ManureAppliedToSoils_Equations.VEERG_4_5_1_9__1_MassOfNitrogenAppliedToSoilsScope1(F34,_xlfn.XLOOKUP($E263,$D$123:$D$129,$E$123:$E$129), _xlfn.XLOOKUP($E263,$D$112:$D$118,$E$112:$E$118),F64,$F233)</f>
        <v>0</v>
      </c>
      <c r="G263" s="52" cm="1">
        <f t="array" ref="G263">MMS_Swine_ManureAppliedToSoils_Equations.VEERG_4_5_1_9__1_MassOfNitrogenAppliedToSoilsScope1(G34,_xlfn.XLOOKUP($E263,$D$123:$D$129,$E$123:$E$129), _xlfn.XLOOKUP($E263,$D$112:$D$118,$E$112:$E$118),G64,$F233)</f>
        <v>0</v>
      </c>
      <c r="H263" s="52" cm="1">
        <f t="array" ref="H263">MMS_Swine_ManureAppliedToSoils_Equations.VEERG_4_5_1_9__1_MassOfNitrogenAppliedToSoilsScope1(H34,_xlfn.XLOOKUP($E263,$D$123:$D$129,$E$123:$E$129), _xlfn.XLOOKUP($E263,$D$112:$D$118,$E$112:$E$118),H64,$F233)</f>
        <v>0</v>
      </c>
      <c r="I263" s="52" cm="1">
        <f t="array" ref="I263">MMS_Swine_ManureAppliedToSoils_Equations.VEERG_4_5_1_9__1_MassOfNitrogenAppliedToSoilsScope1(I34,_xlfn.XLOOKUP($E263,$D$123:$D$129,$E$123:$E$129), _xlfn.XLOOKUP($E263,$D$112:$D$118,$E$112:$E$118),I64,$F233)</f>
        <v>0</v>
      </c>
      <c r="J263" s="2"/>
      <c r="N263" s="57"/>
      <c r="O263" s="57" t="str">
        <f>'Input - Swine'!$D$66</f>
        <v>Direct application</v>
      </c>
      <c r="P263" s="52" cm="1">
        <f t="array" ref="P263">MMS_Swine_ManureAppliedToSoils_Equations.VEERG_4_5_1_9__1_MassOfNitrogenAppliedToSoilsScope1(P34,_xlfn.XLOOKUP($E263,$D$123:$D$129,$E$123:$E$129), _xlfn.XLOOKUP($E263,$D$112:$D$118,$E$112:$E$118),P64,$F233)</f>
        <v>0</v>
      </c>
      <c r="Q263" s="52" cm="1">
        <f t="array" ref="Q263">MMS_Swine_ManureAppliedToSoils_Equations.VEERG_4_5_1_9__1_MassOfNitrogenAppliedToSoilsScope1(Q34,_xlfn.XLOOKUP($E263,$D$123:$D$129,$E$123:$E$129), _xlfn.XLOOKUP($E263,$D$112:$D$118,$E$112:$E$118),Q64,$F233)</f>
        <v>0</v>
      </c>
      <c r="R263" s="52" cm="1">
        <f t="array" ref="R263">MMS_Swine_ManureAppliedToSoils_Equations.VEERG_4_5_1_9__1_MassOfNitrogenAppliedToSoilsScope1(R34,_xlfn.XLOOKUP($E263,$D$123:$D$129,$E$123:$E$129), _xlfn.XLOOKUP($E263,$D$112:$D$118,$E$112:$E$118),R64,$F233)</f>
        <v>0</v>
      </c>
      <c r="S263" s="52" cm="1">
        <f t="array" ref="S263">MMS_Swine_ManureAppliedToSoils_Equations.VEERG_4_5_1_9__1_MassOfNitrogenAppliedToSoilsScope1(S34,_xlfn.XLOOKUP($E263,$D$123:$D$129,$E$123:$E$129), _xlfn.XLOOKUP($E263,$D$112:$D$118,$E$112:$E$118),S64,$F233)</f>
        <v>0</v>
      </c>
      <c r="T263" s="2"/>
    </row>
    <row r="264" spans="4:20" ht="20.100000000000001" customHeight="1" x14ac:dyDescent="0.25">
      <c r="D264" s="57" t="str">
        <f>'Input - Swine'!$D$32</f>
        <v>Deep litter</v>
      </c>
      <c r="E264" s="57" t="str">
        <f>'Input - Swine'!$D$70</f>
        <v>Anaerobic lagoon</v>
      </c>
      <c r="F264" s="52" cm="1">
        <f t="array" ref="F264">MMS_Swine_ManureAppliedToSoils_Equations.VEERG_4_5_1_9__1_MassOfNitrogenAppliedToSoilsScope1(F35,_xlfn.XLOOKUP($E264,$D$123:$D$129,$E$123:$E$129), _xlfn.XLOOKUP($E264,$D$112:$D$118,$E$112:$E$118),F65,$F234)</f>
        <v>3.9213044999999989</v>
      </c>
      <c r="G264" s="52" cm="1">
        <f t="array" ref="G264">MMS_Swine_ManureAppliedToSoils_Equations.VEERG_4_5_1_9__1_MassOfNitrogenAppliedToSoilsScope1(G35,_xlfn.XLOOKUP($E264,$D$123:$D$129,$E$123:$E$129), _xlfn.XLOOKUP($E264,$D$112:$D$118,$E$112:$E$118),G65,$F234)</f>
        <v>5.2213021875000001</v>
      </c>
      <c r="H264" s="52" cm="1">
        <f t="array" ref="H264">MMS_Swine_ManureAppliedToSoils_Equations.VEERG_4_5_1_9__1_MassOfNitrogenAppliedToSoilsScope1(H35,_xlfn.XLOOKUP($E264,$D$123:$D$129,$E$123:$E$129), _xlfn.XLOOKUP($E264,$D$112:$D$118,$E$112:$E$118),H65,$F234)</f>
        <v>4.9016306249999984</v>
      </c>
      <c r="I264" s="52" cm="1">
        <f t="array" ref="I264">MMS_Swine_ManureAppliedToSoils_Equations.VEERG_4_5_1_9__1_MassOfNitrogenAppliedToSoilsScope1(I35,_xlfn.XLOOKUP($E264,$D$123:$D$129,$E$123:$E$129), _xlfn.XLOOKUP($E264,$D$112:$D$118,$E$112:$E$118),I65,$F234)</f>
        <v>3.3245842499999991</v>
      </c>
      <c r="J264" s="2"/>
      <c r="N264" s="57" t="str">
        <f>'Input - Swine'!$D$32</f>
        <v>Deep litter</v>
      </c>
      <c r="O264" s="57" t="str">
        <f>'Input - Swine'!$D$70</f>
        <v>Anaerobic lagoon</v>
      </c>
      <c r="P264" s="52" cm="1">
        <f t="array" ref="P264">MMS_Swine_ManureAppliedToSoils_Equations.VEERG_4_5_1_9__1_MassOfNitrogenAppliedToSoilsScope1(P35,_xlfn.XLOOKUP($E264,$D$123:$D$129,$E$123:$E$129), _xlfn.XLOOKUP($E264,$D$112:$D$118,$E$112:$E$118),P65,$F234)</f>
        <v>3.9213044999999989</v>
      </c>
      <c r="Q264" s="52" cm="1">
        <f t="array" ref="Q264">MMS_Swine_ManureAppliedToSoils_Equations.VEERG_4_5_1_9__1_MassOfNitrogenAppliedToSoilsScope1(Q35,_xlfn.XLOOKUP($E264,$D$123:$D$129,$E$123:$E$129), _xlfn.XLOOKUP($E264,$D$112:$D$118,$E$112:$E$118),Q65,$F234)</f>
        <v>5.2213021875000001</v>
      </c>
      <c r="R264" s="52" cm="1">
        <f t="array" ref="R264">MMS_Swine_ManureAppliedToSoils_Equations.VEERG_4_5_1_9__1_MassOfNitrogenAppliedToSoilsScope1(R35,_xlfn.XLOOKUP($E264,$D$123:$D$129,$E$123:$E$129), _xlfn.XLOOKUP($E264,$D$112:$D$118,$E$112:$E$118),R65,$F234)</f>
        <v>4.9016306249999984</v>
      </c>
      <c r="S264" s="52" cm="1">
        <f t="array" ref="S264">MMS_Swine_ManureAppliedToSoils_Equations.VEERG_4_5_1_9__1_MassOfNitrogenAppliedToSoilsScope1(S35,_xlfn.XLOOKUP($E264,$D$123:$D$129,$E$123:$E$129), _xlfn.XLOOKUP($E264,$D$112:$D$118,$E$112:$E$118),S65,$F234)</f>
        <v>3.3245842499999991</v>
      </c>
      <c r="T264" s="2"/>
    </row>
    <row r="265" spans="4:20" ht="20.100000000000001" customHeight="1" x14ac:dyDescent="0.25">
      <c r="D265" s="57"/>
      <c r="E265" s="57" t="str">
        <f>'Input - Swine'!$D$71</f>
        <v>Digester / covered lagoons</v>
      </c>
      <c r="F265" s="52" cm="1">
        <f t="array" ref="F265">MMS_Swine_ManureAppliedToSoils_Equations.VEERG_4_5_1_9__1_MassOfNitrogenAppliedToSoilsScope1(F36,_xlfn.XLOOKUP($E265,$D$123:$D$129,$E$123:$E$129), _xlfn.XLOOKUP($E265,$D$112:$D$118,$E$112:$E$118),F66,$F235)</f>
        <v>8.7140099999999983</v>
      </c>
      <c r="G265" s="52" cm="1">
        <f t="array" ref="G265">MMS_Swine_ManureAppliedToSoils_Equations.VEERG_4_5_1_9__1_MassOfNitrogenAppliedToSoilsScope1(G36,_xlfn.XLOOKUP($E265,$D$123:$D$129,$E$123:$E$129), _xlfn.XLOOKUP($E265,$D$112:$D$118,$E$112:$E$118),G66,$F235)</f>
        <v>11.602893750000002</v>
      </c>
      <c r="H265" s="52" cm="1">
        <f t="array" ref="H265">MMS_Swine_ManureAppliedToSoils_Equations.VEERG_4_5_1_9__1_MassOfNitrogenAppliedToSoilsScope1(H36,_xlfn.XLOOKUP($E265,$D$123:$D$129,$E$123:$E$129), _xlfn.XLOOKUP($E265,$D$112:$D$118,$E$112:$E$118),H66,$F235)</f>
        <v>10.892512499999997</v>
      </c>
      <c r="I265" s="52" cm="1">
        <f t="array" ref="I265">MMS_Swine_ManureAppliedToSoils_Equations.VEERG_4_5_1_9__1_MassOfNitrogenAppliedToSoilsScope1(I36,_xlfn.XLOOKUP($E265,$D$123:$D$129,$E$123:$E$129), _xlfn.XLOOKUP($E265,$D$112:$D$118,$E$112:$E$118),I66,$F235)</f>
        <v>7.3879649999999986</v>
      </c>
      <c r="J265" s="2"/>
      <c r="N265" s="57"/>
      <c r="O265" s="57" t="str">
        <f>'Input - Swine'!$D$71</f>
        <v>Digester / covered lagoons</v>
      </c>
      <c r="P265" s="52" cm="1">
        <f t="array" ref="P265">MMS_Swine_ManureAppliedToSoils_Equations.VEERG_4_5_1_9__1_MassOfNitrogenAppliedToSoilsScope1(P36,_xlfn.XLOOKUP($E265,$D$123:$D$129,$E$123:$E$129), _xlfn.XLOOKUP($E265,$D$112:$D$118,$E$112:$E$118),P66,$F235)</f>
        <v>8.7140099999999983</v>
      </c>
      <c r="Q265" s="52" cm="1">
        <f t="array" ref="Q265">MMS_Swine_ManureAppliedToSoils_Equations.VEERG_4_5_1_9__1_MassOfNitrogenAppliedToSoilsScope1(Q36,_xlfn.XLOOKUP($E265,$D$123:$D$129,$E$123:$E$129), _xlfn.XLOOKUP($E265,$D$112:$D$118,$E$112:$E$118),Q66,$F235)</f>
        <v>11.602893750000002</v>
      </c>
      <c r="R265" s="52" cm="1">
        <f t="array" ref="R265">MMS_Swine_ManureAppliedToSoils_Equations.VEERG_4_5_1_9__1_MassOfNitrogenAppliedToSoilsScope1(R36,_xlfn.XLOOKUP($E265,$D$123:$D$129,$E$123:$E$129), _xlfn.XLOOKUP($E265,$D$112:$D$118,$E$112:$E$118),R66,$F235)</f>
        <v>10.892512499999997</v>
      </c>
      <c r="S265" s="52" cm="1">
        <f t="array" ref="S265">MMS_Swine_ManureAppliedToSoils_Equations.VEERG_4_5_1_9__1_MassOfNitrogenAppliedToSoilsScope1(S36,_xlfn.XLOOKUP($E265,$D$123:$D$129,$E$123:$E$129), _xlfn.XLOOKUP($E265,$D$112:$D$118,$E$112:$E$118),S66,$F235)</f>
        <v>7.3879649999999986</v>
      </c>
      <c r="T265" s="2"/>
    </row>
    <row r="266" spans="4:20" ht="20.100000000000001" customHeight="1" x14ac:dyDescent="0.25">
      <c r="D266" s="57"/>
      <c r="E266" s="57" t="str">
        <f>'Input - Swine'!$D$72</f>
        <v>Pit storage</v>
      </c>
      <c r="F266" s="52" cm="1">
        <f t="array" ref="F266">MMS_Swine_ManureAppliedToSoils_Equations.VEERG_4_5_1_9__1_MassOfNitrogenAppliedToSoilsScope1(F37,_xlfn.XLOOKUP($E266,$D$123:$D$129,$E$123:$E$129), _xlfn.XLOOKUP($E266,$D$112:$D$118,$E$112:$E$118),F67,$F236)</f>
        <v>6.518079479999999</v>
      </c>
      <c r="G266" s="52" cm="1">
        <f t="array" ref="G266">MMS_Swine_ManureAppliedToSoils_Equations.VEERG_4_5_1_9__1_MassOfNitrogenAppliedToSoilsScope1(G37,_xlfn.XLOOKUP($E266,$D$123:$D$129,$E$123:$E$129), _xlfn.XLOOKUP($E266,$D$112:$D$118,$E$112:$E$118),G67,$F236)</f>
        <v>8.6789645250000014</v>
      </c>
      <c r="H266" s="52" cm="1">
        <f t="array" ref="H266">MMS_Swine_ManureAppliedToSoils_Equations.VEERG_4_5_1_9__1_MassOfNitrogenAppliedToSoilsScope1(H37,_xlfn.XLOOKUP($E266,$D$123:$D$129,$E$123:$E$129), _xlfn.XLOOKUP($E266,$D$112:$D$118,$E$112:$E$118),H67,$F236)</f>
        <v>8.1475993499999984</v>
      </c>
      <c r="I266" s="52" cm="1">
        <f t="array" ref="I266">MMS_Swine_ManureAppliedToSoils_Equations.VEERG_4_5_1_9__1_MassOfNitrogenAppliedToSoilsScope1(I37,_xlfn.XLOOKUP($E266,$D$123:$D$129,$E$123:$E$129), _xlfn.XLOOKUP($E266,$D$112:$D$118,$E$112:$E$118),I67,$F236)</f>
        <v>5.5261978199999993</v>
      </c>
      <c r="J266" s="2"/>
      <c r="N266" s="57"/>
      <c r="O266" s="57" t="str">
        <f>'Input - Swine'!$D$72</f>
        <v>Pit storage</v>
      </c>
      <c r="P266" s="52" cm="1">
        <f t="array" ref="P266">MMS_Swine_ManureAppliedToSoils_Equations.VEERG_4_5_1_9__1_MassOfNitrogenAppliedToSoilsScope1(P37,_xlfn.XLOOKUP($E266,$D$123:$D$129,$E$123:$E$129), _xlfn.XLOOKUP($E266,$D$112:$D$118,$E$112:$E$118),P67,$F236)</f>
        <v>6.518079479999999</v>
      </c>
      <c r="Q266" s="52" cm="1">
        <f t="array" ref="Q266">MMS_Swine_ManureAppliedToSoils_Equations.VEERG_4_5_1_9__1_MassOfNitrogenAppliedToSoilsScope1(Q37,_xlfn.XLOOKUP($E266,$D$123:$D$129,$E$123:$E$129), _xlfn.XLOOKUP($E266,$D$112:$D$118,$E$112:$E$118),Q67,$F236)</f>
        <v>8.6789645250000014</v>
      </c>
      <c r="R266" s="52" cm="1">
        <f t="array" ref="R266">MMS_Swine_ManureAppliedToSoils_Equations.VEERG_4_5_1_9__1_MassOfNitrogenAppliedToSoilsScope1(R37,_xlfn.XLOOKUP($E266,$D$123:$D$129,$E$123:$E$129), _xlfn.XLOOKUP($E266,$D$112:$D$118,$E$112:$E$118),R67,$F236)</f>
        <v>8.1475993499999984</v>
      </c>
      <c r="S266" s="52" cm="1">
        <f t="array" ref="S266">MMS_Swine_ManureAppliedToSoils_Equations.VEERG_4_5_1_9__1_MassOfNitrogenAppliedToSoilsScope1(S37,_xlfn.XLOOKUP($E266,$D$123:$D$129,$E$123:$E$129), _xlfn.XLOOKUP($E266,$D$112:$D$118,$E$112:$E$118),S67,$F236)</f>
        <v>5.5261978199999993</v>
      </c>
      <c r="T266" s="2"/>
    </row>
    <row r="267" spans="4:20" ht="20.100000000000001" customHeight="1" x14ac:dyDescent="0.25">
      <c r="D267" s="57"/>
      <c r="E267" s="57" t="str">
        <f>'Input - Swine'!$D$73</f>
        <v>Direct application</v>
      </c>
      <c r="F267" s="52" cm="1">
        <f t="array" ref="F267">MMS_Swine_ManureAppliedToSoils_Equations.VEERG_4_5_1_9__1_MassOfNitrogenAppliedToSoilsScope1(F38,_xlfn.XLOOKUP($E267,$D$123:$D$129,$E$123:$E$129), _xlfn.XLOOKUP($E267,$D$112:$D$118,$E$112:$E$118),F68,$F237)</f>
        <v>0</v>
      </c>
      <c r="G267" s="52" cm="1">
        <f t="array" ref="G267">MMS_Swine_ManureAppliedToSoils_Equations.VEERG_4_5_1_9__1_MassOfNitrogenAppliedToSoilsScope1(G38,_xlfn.XLOOKUP($E267,$D$123:$D$129,$E$123:$E$129), _xlfn.XLOOKUP($E267,$D$112:$D$118,$E$112:$E$118),G68,$F237)</f>
        <v>0</v>
      </c>
      <c r="H267" s="52" cm="1">
        <f t="array" ref="H267">MMS_Swine_ManureAppliedToSoils_Equations.VEERG_4_5_1_9__1_MassOfNitrogenAppliedToSoilsScope1(H38,_xlfn.XLOOKUP($E267,$D$123:$D$129,$E$123:$E$129), _xlfn.XLOOKUP($E267,$D$112:$D$118,$E$112:$E$118),H68,$F237)</f>
        <v>0</v>
      </c>
      <c r="I267" s="52" cm="1">
        <f t="array" ref="I267">MMS_Swine_ManureAppliedToSoils_Equations.VEERG_4_5_1_9__1_MassOfNitrogenAppliedToSoilsScope1(I38,_xlfn.XLOOKUP($E267,$D$123:$D$129,$E$123:$E$129), _xlfn.XLOOKUP($E267,$D$112:$D$118,$E$112:$E$118),I68,$F237)</f>
        <v>0</v>
      </c>
      <c r="J267" s="2"/>
      <c r="N267" s="57"/>
      <c r="O267" s="57" t="str">
        <f>'Input - Swine'!$D$73</f>
        <v>Direct application</v>
      </c>
      <c r="P267" s="52" cm="1">
        <f t="array" ref="P267">MMS_Swine_ManureAppliedToSoils_Equations.VEERG_4_5_1_9__1_MassOfNitrogenAppliedToSoilsScope1(P38,_xlfn.XLOOKUP($E267,$D$123:$D$129,$E$123:$E$129), _xlfn.XLOOKUP($E267,$D$112:$D$118,$E$112:$E$118),P68,$F237)</f>
        <v>0</v>
      </c>
      <c r="Q267" s="52" cm="1">
        <f t="array" ref="Q267">MMS_Swine_ManureAppliedToSoils_Equations.VEERG_4_5_1_9__1_MassOfNitrogenAppliedToSoilsScope1(Q38,_xlfn.XLOOKUP($E267,$D$123:$D$129,$E$123:$E$129), _xlfn.XLOOKUP($E267,$D$112:$D$118,$E$112:$E$118),Q68,$F237)</f>
        <v>0</v>
      </c>
      <c r="R267" s="52" cm="1">
        <f t="array" ref="R267">MMS_Swine_ManureAppliedToSoils_Equations.VEERG_4_5_1_9__1_MassOfNitrogenAppliedToSoilsScope1(R38,_xlfn.XLOOKUP($E267,$D$123:$D$129,$E$123:$E$129), _xlfn.XLOOKUP($E267,$D$112:$D$118,$E$112:$E$118),R68,$F237)</f>
        <v>0</v>
      </c>
      <c r="S267" s="52" cm="1">
        <f t="array" ref="S267">MMS_Swine_ManureAppliedToSoils_Equations.VEERG_4_5_1_9__1_MassOfNitrogenAppliedToSoilsScope1(S38,_xlfn.XLOOKUP($E267,$D$123:$D$129,$E$123:$E$129), _xlfn.XLOOKUP($E267,$D$112:$D$118,$E$112:$E$118),S68,$F237)</f>
        <v>0</v>
      </c>
      <c r="T267" s="2"/>
    </row>
    <row r="268" spans="4:20" ht="20.100000000000001" customHeight="1" x14ac:dyDescent="0.25">
      <c r="D268" s="57" t="str">
        <f>'Input - Swine'!$D$33</f>
        <v>Pit storage</v>
      </c>
      <c r="E268" s="57" t="str">
        <f>'Input - Swine'!$D$77</f>
        <v>Anaerobic lagoon</v>
      </c>
      <c r="F268" s="52" cm="1">
        <f t="array" ref="F268">MMS_Swine_ManureAppliedToSoils_Equations.VEERG_4_5_1_9__1_MassOfNitrogenAppliedToSoilsScope1(F39,_xlfn.XLOOKUP($E268,$D$123:$D$129,$E$123:$E$129), _xlfn.XLOOKUP($E268,$D$112:$D$118,$E$112:$E$118),F69,$F238)</f>
        <v>3.3909083999999994</v>
      </c>
      <c r="G268" s="52" cm="1">
        <f t="array" ref="G268">MMS_Swine_ManureAppliedToSoils_Equations.VEERG_4_5_1_9__1_MassOfNitrogenAppliedToSoilsScope1(G39,_xlfn.XLOOKUP($E268,$D$123:$D$129,$E$123:$E$129), _xlfn.XLOOKUP($E268,$D$112:$D$118,$E$112:$E$118),G69,$F238)</f>
        <v>4.5150682499999997</v>
      </c>
      <c r="H268" s="52" cm="1">
        <f t="array" ref="H268">MMS_Swine_ManureAppliedToSoils_Equations.VEERG_4_5_1_9__1_MassOfNitrogenAppliedToSoilsScope1(H39,_xlfn.XLOOKUP($E268,$D$123:$D$129,$E$123:$E$129), _xlfn.XLOOKUP($E268,$D$112:$D$118,$E$112:$E$118),H69,$F238)</f>
        <v>4.2386354999999991</v>
      </c>
      <c r="I268" s="52" cm="1">
        <f t="array" ref="I268">MMS_Swine_ManureAppliedToSoils_Equations.VEERG_4_5_1_9__1_MassOfNitrogenAppliedToSoilsScope1(I39,_xlfn.XLOOKUP($E268,$D$123:$D$129,$E$123:$E$129), _xlfn.XLOOKUP($E268,$D$112:$D$118,$E$112:$E$118),I69,$F238)</f>
        <v>2.8749005999999993</v>
      </c>
      <c r="J268" s="2"/>
      <c r="N268" s="57" t="str">
        <f>'Input - Swine'!$D$33</f>
        <v>Pit storage</v>
      </c>
      <c r="O268" s="57" t="str">
        <f>'Input - Swine'!$D$77</f>
        <v>Anaerobic lagoon</v>
      </c>
      <c r="P268" s="52" cm="1">
        <f t="array" ref="P268">MMS_Swine_ManureAppliedToSoils_Equations.VEERG_4_5_1_9__1_MassOfNitrogenAppliedToSoilsScope1(P39,_xlfn.XLOOKUP($E268,$D$123:$D$129,$E$123:$E$129), _xlfn.XLOOKUP($E268,$D$112:$D$118,$E$112:$E$118),P69,$F238)</f>
        <v>3.3909083999999994</v>
      </c>
      <c r="Q268" s="52" cm="1">
        <f t="array" ref="Q268">MMS_Swine_ManureAppliedToSoils_Equations.VEERG_4_5_1_9__1_MassOfNitrogenAppliedToSoilsScope1(Q39,_xlfn.XLOOKUP($E268,$D$123:$D$129,$E$123:$E$129), _xlfn.XLOOKUP($E268,$D$112:$D$118,$E$112:$E$118),Q69,$F238)</f>
        <v>4.5150682499999997</v>
      </c>
      <c r="R268" s="52" cm="1">
        <f t="array" ref="R268">MMS_Swine_ManureAppliedToSoils_Equations.VEERG_4_5_1_9__1_MassOfNitrogenAppliedToSoilsScope1(R39,_xlfn.XLOOKUP($E268,$D$123:$D$129,$E$123:$E$129), _xlfn.XLOOKUP($E268,$D$112:$D$118,$E$112:$E$118),R69,$F238)</f>
        <v>4.2386354999999991</v>
      </c>
      <c r="S268" s="52" cm="1">
        <f t="array" ref="S268">MMS_Swine_ManureAppliedToSoils_Equations.VEERG_4_5_1_9__1_MassOfNitrogenAppliedToSoilsScope1(S39,_xlfn.XLOOKUP($E268,$D$123:$D$129,$E$123:$E$129), _xlfn.XLOOKUP($E268,$D$112:$D$118,$E$112:$E$118),S69,$F238)</f>
        <v>2.8749005999999993</v>
      </c>
      <c r="T268" s="2"/>
    </row>
    <row r="269" spans="4:20" ht="20.100000000000001" customHeight="1" x14ac:dyDescent="0.25">
      <c r="D269" s="57"/>
      <c r="E269" s="57" t="str">
        <f>'Input - Swine'!$D$78</f>
        <v>Digester / covered lagoons</v>
      </c>
      <c r="F269" s="52" cm="1">
        <f t="array" ref="F269">MMS_Swine_ManureAppliedToSoils_Equations.VEERG_4_5_1_9__1_MassOfNitrogenAppliedToSoilsScope1(F40,_xlfn.XLOOKUP($E269,$D$123:$D$129,$E$123:$E$129), _xlfn.XLOOKUP($E269,$D$112:$D$118,$E$112:$E$118),F70,$F239)</f>
        <v>7.5353519999999996</v>
      </c>
      <c r="G269" s="52" cm="1">
        <f t="array" ref="G269">MMS_Swine_ManureAppliedToSoils_Equations.VEERG_4_5_1_9__1_MassOfNitrogenAppliedToSoilsScope1(G40,_xlfn.XLOOKUP($E269,$D$123:$D$129,$E$123:$E$129), _xlfn.XLOOKUP($E269,$D$112:$D$118,$E$112:$E$118),G70,$F239)</f>
        <v>10.033485000000001</v>
      </c>
      <c r="H269" s="52" cm="1">
        <f t="array" ref="H269">MMS_Swine_ManureAppliedToSoils_Equations.VEERG_4_5_1_9__1_MassOfNitrogenAppliedToSoilsScope1(H40,_xlfn.XLOOKUP($E269,$D$123:$D$129,$E$123:$E$129), _xlfn.XLOOKUP($E269,$D$112:$D$118,$E$112:$E$118),H70,$F239)</f>
        <v>9.4191899999999986</v>
      </c>
      <c r="I269" s="52" cm="1">
        <f t="array" ref="I269">MMS_Swine_ManureAppliedToSoils_Equations.VEERG_4_5_1_9__1_MassOfNitrogenAppliedToSoilsScope1(I40,_xlfn.XLOOKUP($E269,$D$123:$D$129,$E$123:$E$129), _xlfn.XLOOKUP($E269,$D$112:$D$118,$E$112:$E$118),I70,$F239)</f>
        <v>6.3886679999999991</v>
      </c>
      <c r="J269" s="2"/>
      <c r="N269" s="57"/>
      <c r="O269" s="57" t="str">
        <f>'Input - Swine'!$D$78</f>
        <v>Digester / covered lagoons</v>
      </c>
      <c r="P269" s="52" cm="1">
        <f t="array" ref="P269">MMS_Swine_ManureAppliedToSoils_Equations.VEERG_4_5_1_9__1_MassOfNitrogenAppliedToSoilsScope1(P40,_xlfn.XLOOKUP($E269,$D$123:$D$129,$E$123:$E$129), _xlfn.XLOOKUP($E269,$D$112:$D$118,$E$112:$E$118),P70,$F239)</f>
        <v>7.5353519999999996</v>
      </c>
      <c r="Q269" s="52" cm="1">
        <f t="array" ref="Q269">MMS_Swine_ManureAppliedToSoils_Equations.VEERG_4_5_1_9__1_MassOfNitrogenAppliedToSoilsScope1(Q40,_xlfn.XLOOKUP($E269,$D$123:$D$129,$E$123:$E$129), _xlfn.XLOOKUP($E269,$D$112:$D$118,$E$112:$E$118),Q70,$F239)</f>
        <v>10.033485000000001</v>
      </c>
      <c r="R269" s="52" cm="1">
        <f t="array" ref="R269">MMS_Swine_ManureAppliedToSoils_Equations.VEERG_4_5_1_9__1_MassOfNitrogenAppliedToSoilsScope1(R40,_xlfn.XLOOKUP($E269,$D$123:$D$129,$E$123:$E$129), _xlfn.XLOOKUP($E269,$D$112:$D$118,$E$112:$E$118),R70,$F239)</f>
        <v>9.4191899999999986</v>
      </c>
      <c r="S269" s="52" cm="1">
        <f t="array" ref="S269">MMS_Swine_ManureAppliedToSoils_Equations.VEERG_4_5_1_9__1_MassOfNitrogenAppliedToSoilsScope1(S40,_xlfn.XLOOKUP($E269,$D$123:$D$129,$E$123:$E$129), _xlfn.XLOOKUP($E269,$D$112:$D$118,$E$112:$E$118),S70,$F239)</f>
        <v>6.3886679999999991</v>
      </c>
      <c r="T269" s="2"/>
    </row>
    <row r="270" spans="4:20" ht="20.100000000000001" customHeight="1" x14ac:dyDescent="0.25">
      <c r="D270" s="57"/>
      <c r="E270" s="57" t="str">
        <f>'Input - Swine'!$D$79</f>
        <v>Deep litter</v>
      </c>
      <c r="F270" s="52" cm="1">
        <f t="array" ref="F270">MMS_Swine_ManureAppliedToSoils_Equations.VEERG_4_5_1_9__1_MassOfNitrogenAppliedToSoilsScope1(F41,_xlfn.XLOOKUP($E270,$D$123:$D$129,$E$123:$E$129), _xlfn.XLOOKUP($E270,$D$112:$D$118,$E$112:$E$118),F71,$F240)</f>
        <v>6.5180794799999999</v>
      </c>
      <c r="G270" s="52" cm="1">
        <f t="array" ref="G270">MMS_Swine_ManureAppliedToSoils_Equations.VEERG_4_5_1_9__1_MassOfNitrogenAppliedToSoilsScope1(G41,_xlfn.XLOOKUP($E270,$D$123:$D$129,$E$123:$E$129), _xlfn.XLOOKUP($E270,$D$112:$D$118,$E$112:$E$118),G71,$F240)</f>
        <v>8.6789645249999996</v>
      </c>
      <c r="H270" s="52" cm="1">
        <f t="array" ref="H270">MMS_Swine_ManureAppliedToSoils_Equations.VEERG_4_5_1_9__1_MassOfNitrogenAppliedToSoilsScope1(H41,_xlfn.XLOOKUP($E270,$D$123:$D$129,$E$123:$E$129), _xlfn.XLOOKUP($E270,$D$112:$D$118,$E$112:$E$118),H71,$F240)</f>
        <v>8.1475993499999984</v>
      </c>
      <c r="I270" s="52" cm="1">
        <f t="array" ref="I270">MMS_Swine_ManureAppliedToSoils_Equations.VEERG_4_5_1_9__1_MassOfNitrogenAppliedToSoilsScope1(I41,_xlfn.XLOOKUP($E270,$D$123:$D$129,$E$123:$E$129), _xlfn.XLOOKUP($E270,$D$112:$D$118,$E$112:$E$118),I71,$F240)</f>
        <v>5.5261978199999993</v>
      </c>
      <c r="J270" s="2"/>
      <c r="N270" s="57"/>
      <c r="O270" s="57" t="str">
        <f>'Input - Swine'!$D$79</f>
        <v>Deep litter</v>
      </c>
      <c r="P270" s="52" cm="1">
        <f t="array" ref="P270">MMS_Swine_ManureAppliedToSoils_Equations.VEERG_4_5_1_9__1_MassOfNitrogenAppliedToSoilsScope1(P41,_xlfn.XLOOKUP($E270,$D$123:$D$129,$E$123:$E$129), _xlfn.XLOOKUP($E270,$D$112:$D$118,$E$112:$E$118),P71,$F240)</f>
        <v>6.5180794799999999</v>
      </c>
      <c r="Q270" s="52" cm="1">
        <f t="array" ref="Q270">MMS_Swine_ManureAppliedToSoils_Equations.VEERG_4_5_1_9__1_MassOfNitrogenAppliedToSoilsScope1(Q41,_xlfn.XLOOKUP($E270,$D$123:$D$129,$E$123:$E$129), _xlfn.XLOOKUP($E270,$D$112:$D$118,$E$112:$E$118),Q71,$F240)</f>
        <v>8.6789645249999996</v>
      </c>
      <c r="R270" s="52" cm="1">
        <f t="array" ref="R270">MMS_Swine_ManureAppliedToSoils_Equations.VEERG_4_5_1_9__1_MassOfNitrogenAppliedToSoilsScope1(R41,_xlfn.XLOOKUP($E270,$D$123:$D$129,$E$123:$E$129), _xlfn.XLOOKUP($E270,$D$112:$D$118,$E$112:$E$118),R71,$F240)</f>
        <v>8.1475993499999984</v>
      </c>
      <c r="S270" s="52" cm="1">
        <f t="array" ref="S270">MMS_Swine_ManureAppliedToSoils_Equations.VEERG_4_5_1_9__1_MassOfNitrogenAppliedToSoilsScope1(S41,_xlfn.XLOOKUP($E270,$D$123:$D$129,$E$123:$E$129), _xlfn.XLOOKUP($E270,$D$112:$D$118,$E$112:$E$118),S71,$F240)</f>
        <v>5.5261978199999993</v>
      </c>
      <c r="T270" s="2"/>
    </row>
    <row r="271" spans="4:20" ht="20.100000000000001" customHeight="1" x14ac:dyDescent="0.25">
      <c r="D271" s="57"/>
      <c r="E271" s="57" t="str">
        <f>'Input - Swine'!$D$80</f>
        <v>Direct application</v>
      </c>
      <c r="F271" s="52" cm="1">
        <f t="array" ref="F271">MMS_Swine_ManureAppliedToSoils_Equations.VEERG_4_5_1_9__1_MassOfNitrogenAppliedToSoilsScope1(F42,_xlfn.XLOOKUP($E271,$D$123:$D$129,$E$123:$E$129), _xlfn.XLOOKUP($E271,$D$112:$D$118,$E$112:$E$118),F72,$F241)</f>
        <v>0</v>
      </c>
      <c r="G271" s="52" cm="1">
        <f t="array" ref="G271">MMS_Swine_ManureAppliedToSoils_Equations.VEERG_4_5_1_9__1_MassOfNitrogenAppliedToSoilsScope1(G42,_xlfn.XLOOKUP($E271,$D$123:$D$129,$E$123:$E$129), _xlfn.XLOOKUP($E271,$D$112:$D$118,$E$112:$E$118),G72,$F241)</f>
        <v>0</v>
      </c>
      <c r="H271" s="52" cm="1">
        <f t="array" ref="H271">MMS_Swine_ManureAppliedToSoils_Equations.VEERG_4_5_1_9__1_MassOfNitrogenAppliedToSoilsScope1(H42,_xlfn.XLOOKUP($E271,$D$123:$D$129,$E$123:$E$129), _xlfn.XLOOKUP($E271,$D$112:$D$118,$E$112:$E$118),H72,$F241)</f>
        <v>0</v>
      </c>
      <c r="I271" s="52" cm="1">
        <f t="array" ref="I271">MMS_Swine_ManureAppliedToSoils_Equations.VEERG_4_5_1_9__1_MassOfNitrogenAppliedToSoilsScope1(I42,_xlfn.XLOOKUP($E271,$D$123:$D$129,$E$123:$E$129), _xlfn.XLOOKUP($E271,$D$112:$D$118,$E$112:$E$118),I72,$F241)</f>
        <v>0</v>
      </c>
      <c r="J271" s="2"/>
      <c r="N271" s="57"/>
      <c r="O271" s="57" t="str">
        <f>'Input - Swine'!$D$80</f>
        <v>Direct application</v>
      </c>
      <c r="P271" s="52" cm="1">
        <f t="array" ref="P271">MMS_Swine_ManureAppliedToSoils_Equations.VEERG_4_5_1_9__1_MassOfNitrogenAppliedToSoilsScope1(P42,_xlfn.XLOOKUP($E271,$D$123:$D$129,$E$123:$E$129), _xlfn.XLOOKUP($E271,$D$112:$D$118,$E$112:$E$118),P72,$F241)</f>
        <v>0</v>
      </c>
      <c r="Q271" s="52" cm="1">
        <f t="array" ref="Q271">MMS_Swine_ManureAppliedToSoils_Equations.VEERG_4_5_1_9__1_MassOfNitrogenAppliedToSoilsScope1(Q42,_xlfn.XLOOKUP($E271,$D$123:$D$129,$E$123:$E$129), _xlfn.XLOOKUP($E271,$D$112:$D$118,$E$112:$E$118),Q72,$F241)</f>
        <v>0</v>
      </c>
      <c r="R271" s="52" cm="1">
        <f t="array" ref="R271">MMS_Swine_ManureAppliedToSoils_Equations.VEERG_4_5_1_9__1_MassOfNitrogenAppliedToSoilsScope1(R42,_xlfn.XLOOKUP($E271,$D$123:$D$129,$E$123:$E$129), _xlfn.XLOOKUP($E271,$D$112:$D$118,$E$112:$E$118),R72,$F241)</f>
        <v>0</v>
      </c>
      <c r="S271" s="52" cm="1">
        <f t="array" ref="S271">MMS_Swine_ManureAppliedToSoils_Equations.VEERG_4_5_1_9__1_MassOfNitrogenAppliedToSoilsScope1(S42,_xlfn.XLOOKUP($E271,$D$123:$D$129,$E$123:$E$129), _xlfn.XLOOKUP($E271,$D$112:$D$118,$E$112:$E$118),S72,$F241)</f>
        <v>0</v>
      </c>
      <c r="T271" s="2"/>
    </row>
    <row r="272" spans="4:20" ht="20.100000000000001" customHeight="1" x14ac:dyDescent="0.25">
      <c r="D272" s="57" t="str">
        <f>'Input - Swine'!$D$34</f>
        <v>Solid storage</v>
      </c>
      <c r="E272" s="57" t="str">
        <f>'Input - Swine'!$D$84</f>
        <v>Anaerobic lagoon</v>
      </c>
      <c r="F272" s="52" cm="1">
        <f t="array" ref="F272">MMS_Swine_ManureAppliedToSoils_Equations.VEERG_4_5_1_9__1_MassOfNitrogenAppliedToSoilsScope1(F43,_xlfn.XLOOKUP($E272,$D$123:$D$129,$E$123:$E$129), _xlfn.XLOOKUP($E272,$D$112:$D$118,$E$112:$E$118),F73,$F242)</f>
        <v>12.013245000000003</v>
      </c>
      <c r="G272" s="52" cm="1">
        <f t="array" ref="G272">MMS_Swine_ManureAppliedToSoils_Equations.VEERG_4_5_1_9__1_MassOfNitrogenAppliedToSoilsScope1(G43,_xlfn.XLOOKUP($E272,$D$123:$D$129,$E$123:$E$129), _xlfn.XLOOKUP($E272,$D$112:$D$118,$E$112:$E$118),G73,$F242)</f>
        <v>12.796717500000007</v>
      </c>
      <c r="H272" s="52" cm="1">
        <f t="array" ref="H272">MMS_Swine_ManureAppliedToSoils_Equations.VEERG_4_5_1_9__1_MassOfNitrogenAppliedToSoilsScope1(H43,_xlfn.XLOOKUP($E272,$D$123:$D$129,$E$123:$E$129), _xlfn.XLOOKUP($E272,$D$112:$D$118,$E$112:$E$118),H73,$F242)</f>
        <v>12.013245000000003</v>
      </c>
      <c r="I272" s="52" cm="1">
        <f t="array" ref="I272">MMS_Swine_ManureAppliedToSoils_Equations.VEERG_4_5_1_9__1_MassOfNitrogenAppliedToSoilsScope1(I43,_xlfn.XLOOKUP($E272,$D$123:$D$129,$E$123:$E$129), _xlfn.XLOOKUP($E272,$D$112:$D$118,$E$112:$E$118),I73,$F242)</f>
        <v>8.1481140000000032</v>
      </c>
      <c r="J272" s="2"/>
      <c r="N272" s="57" t="str">
        <f>'Input - Swine'!$D$34</f>
        <v>Solid storage</v>
      </c>
      <c r="O272" s="57" t="str">
        <f>'Input - Swine'!$D$84</f>
        <v>Anaerobic lagoon</v>
      </c>
      <c r="P272" s="52" cm="1">
        <f t="array" ref="P272">MMS_Swine_ManureAppliedToSoils_Equations.VEERG_4_5_1_9__1_MassOfNitrogenAppliedToSoilsScope1(P43,_xlfn.XLOOKUP($E272,$D$123:$D$129,$E$123:$E$129), _xlfn.XLOOKUP($E272,$D$112:$D$118,$E$112:$E$118),P73,$F242)</f>
        <v>12.013245000000003</v>
      </c>
      <c r="Q272" s="52" cm="1">
        <f t="array" ref="Q272">MMS_Swine_ManureAppliedToSoils_Equations.VEERG_4_5_1_9__1_MassOfNitrogenAppliedToSoilsScope1(Q43,_xlfn.XLOOKUP($E272,$D$123:$D$129,$E$123:$E$129), _xlfn.XLOOKUP($E272,$D$112:$D$118,$E$112:$E$118),Q73,$F242)</f>
        <v>12.796717500000007</v>
      </c>
      <c r="R272" s="52" cm="1">
        <f t="array" ref="R272">MMS_Swine_ManureAppliedToSoils_Equations.VEERG_4_5_1_9__1_MassOfNitrogenAppliedToSoilsScope1(R43,_xlfn.XLOOKUP($E272,$D$123:$D$129,$E$123:$E$129), _xlfn.XLOOKUP($E272,$D$112:$D$118,$E$112:$E$118),R73,$F242)</f>
        <v>12.013245000000003</v>
      </c>
      <c r="S272" s="52" cm="1">
        <f t="array" ref="S272">MMS_Swine_ManureAppliedToSoils_Equations.VEERG_4_5_1_9__1_MassOfNitrogenAppliedToSoilsScope1(S43,_xlfn.XLOOKUP($E272,$D$123:$D$129,$E$123:$E$129), _xlfn.XLOOKUP($E272,$D$112:$D$118,$E$112:$E$118),S73,$F242)</f>
        <v>8.1481140000000032</v>
      </c>
      <c r="T272" s="2"/>
    </row>
    <row r="273" spans="1:20" ht="20.100000000000001" customHeight="1" x14ac:dyDescent="0.25">
      <c r="D273" s="57"/>
      <c r="E273" s="57" t="str">
        <f>'Input - Swine'!$D$85</f>
        <v>Digester / covered lagoons</v>
      </c>
      <c r="F273" s="52" cm="1">
        <f t="array" ref="F273">MMS_Swine_ManureAppliedToSoils_Equations.VEERG_4_5_1_9__1_MassOfNitrogenAppliedToSoilsScope1(F44,_xlfn.XLOOKUP($E273,$D$123:$D$129,$E$123:$E$129), _xlfn.XLOOKUP($E273,$D$112:$D$118,$E$112:$E$118),F74,$F243)</f>
        <v>26.696100000000008</v>
      </c>
      <c r="G273" s="52" cm="1">
        <f t="array" ref="G273">MMS_Swine_ManureAppliedToSoils_Equations.VEERG_4_5_1_9__1_MassOfNitrogenAppliedToSoilsScope1(G44,_xlfn.XLOOKUP($E273,$D$123:$D$129,$E$123:$E$129), _xlfn.XLOOKUP($E273,$D$112:$D$118,$E$112:$E$118),G74,$F243)</f>
        <v>28.437150000000017</v>
      </c>
      <c r="H273" s="52" cm="1">
        <f t="array" ref="H273">MMS_Swine_ManureAppliedToSoils_Equations.VEERG_4_5_1_9__1_MassOfNitrogenAppliedToSoilsScope1(H44,_xlfn.XLOOKUP($E273,$D$123:$D$129,$E$123:$E$129), _xlfn.XLOOKUP($E273,$D$112:$D$118,$E$112:$E$118),H74,$F243)</f>
        <v>26.696100000000008</v>
      </c>
      <c r="I273" s="52" cm="1">
        <f t="array" ref="I273">MMS_Swine_ManureAppliedToSoils_Equations.VEERG_4_5_1_9__1_MassOfNitrogenAppliedToSoilsScope1(I44,_xlfn.XLOOKUP($E273,$D$123:$D$129,$E$123:$E$129), _xlfn.XLOOKUP($E273,$D$112:$D$118,$E$112:$E$118),I74,$F243)</f>
        <v>18.106920000000009</v>
      </c>
      <c r="J273" s="2"/>
      <c r="N273" s="57"/>
      <c r="O273" s="57" t="str">
        <f>'Input - Swine'!$D$85</f>
        <v>Digester / covered lagoons</v>
      </c>
      <c r="P273" s="52" cm="1">
        <f t="array" ref="P273">MMS_Swine_ManureAppliedToSoils_Equations.VEERG_4_5_1_9__1_MassOfNitrogenAppliedToSoilsScope1(P44,_xlfn.XLOOKUP($E273,$D$123:$D$129,$E$123:$E$129), _xlfn.XLOOKUP($E273,$D$112:$D$118,$E$112:$E$118),P74,$F243)</f>
        <v>26.696100000000008</v>
      </c>
      <c r="Q273" s="52" cm="1">
        <f t="array" ref="Q273">MMS_Swine_ManureAppliedToSoils_Equations.VEERG_4_5_1_9__1_MassOfNitrogenAppliedToSoilsScope1(Q44,_xlfn.XLOOKUP($E273,$D$123:$D$129,$E$123:$E$129), _xlfn.XLOOKUP($E273,$D$112:$D$118,$E$112:$E$118),Q74,$F243)</f>
        <v>28.437150000000017</v>
      </c>
      <c r="R273" s="52" cm="1">
        <f t="array" ref="R273">MMS_Swine_ManureAppliedToSoils_Equations.VEERG_4_5_1_9__1_MassOfNitrogenAppliedToSoilsScope1(R44,_xlfn.XLOOKUP($E273,$D$123:$D$129,$E$123:$E$129), _xlfn.XLOOKUP($E273,$D$112:$D$118,$E$112:$E$118),R74,$F243)</f>
        <v>26.696100000000008</v>
      </c>
      <c r="S273" s="52" cm="1">
        <f t="array" ref="S273">MMS_Swine_ManureAppliedToSoils_Equations.VEERG_4_5_1_9__1_MassOfNitrogenAppliedToSoilsScope1(S44,_xlfn.XLOOKUP($E273,$D$123:$D$129,$E$123:$E$129), _xlfn.XLOOKUP($E273,$D$112:$D$118,$E$112:$E$118),S74,$F243)</f>
        <v>18.106920000000009</v>
      </c>
      <c r="T273" s="2"/>
    </row>
    <row r="274" spans="1:20" ht="20.100000000000001" customHeight="1" x14ac:dyDescent="0.25">
      <c r="D274" s="57"/>
      <c r="E274" s="57" t="str">
        <f>'Input - Swine'!$D$86</f>
        <v>Deep litter</v>
      </c>
      <c r="F274" s="52" cm="1">
        <f t="array" ref="F274">MMS_Swine_ManureAppliedToSoils_Equations.VEERG_4_5_1_9__1_MassOfNitrogenAppliedToSoilsScope1(F45,_xlfn.XLOOKUP($E274,$D$123:$D$129,$E$123:$E$129), _xlfn.XLOOKUP($E274,$D$112:$D$118,$E$112:$E$118),F75,$F244)</f>
        <v>23.092126500000006</v>
      </c>
      <c r="G274" s="52" cm="1">
        <f t="array" ref="G274">MMS_Swine_ManureAppliedToSoils_Equations.VEERG_4_5_1_9__1_MassOfNitrogenAppliedToSoilsScope1(G45,_xlfn.XLOOKUP($E274,$D$123:$D$129,$E$123:$E$129), _xlfn.XLOOKUP($E274,$D$112:$D$118,$E$112:$E$118),G75,$F244)</f>
        <v>24.598134750000014</v>
      </c>
      <c r="H274" s="52" cm="1">
        <f t="array" ref="H274">MMS_Swine_ManureAppliedToSoils_Equations.VEERG_4_5_1_9__1_MassOfNitrogenAppliedToSoilsScope1(H45,_xlfn.XLOOKUP($E274,$D$123:$D$129,$E$123:$E$129), _xlfn.XLOOKUP($E274,$D$112:$D$118,$E$112:$E$118),H75,$F244)</f>
        <v>23.092126500000006</v>
      </c>
      <c r="I274" s="52" cm="1">
        <f t="array" ref="I274">MMS_Swine_ManureAppliedToSoils_Equations.VEERG_4_5_1_9__1_MassOfNitrogenAppliedToSoilsScope1(I45,_xlfn.XLOOKUP($E274,$D$123:$D$129,$E$123:$E$129), _xlfn.XLOOKUP($E274,$D$112:$D$118,$E$112:$E$118),I75,$F244)</f>
        <v>15.662485800000008</v>
      </c>
      <c r="J274" s="2"/>
      <c r="N274" s="57"/>
      <c r="O274" s="57" t="str">
        <f>'Input - Swine'!$D$86</f>
        <v>Deep litter</v>
      </c>
      <c r="P274" s="52" cm="1">
        <f t="array" ref="P274">MMS_Swine_ManureAppliedToSoils_Equations.VEERG_4_5_1_9__1_MassOfNitrogenAppliedToSoilsScope1(P45,_xlfn.XLOOKUP($E274,$D$123:$D$129,$E$123:$E$129), _xlfn.XLOOKUP($E274,$D$112:$D$118,$E$112:$E$118),P75,$F244)</f>
        <v>23.092126500000006</v>
      </c>
      <c r="Q274" s="52" cm="1">
        <f t="array" ref="Q274">MMS_Swine_ManureAppliedToSoils_Equations.VEERG_4_5_1_9__1_MassOfNitrogenAppliedToSoilsScope1(Q45,_xlfn.XLOOKUP($E274,$D$123:$D$129,$E$123:$E$129), _xlfn.XLOOKUP($E274,$D$112:$D$118,$E$112:$E$118),Q75,$F244)</f>
        <v>24.598134750000014</v>
      </c>
      <c r="R274" s="52" cm="1">
        <f t="array" ref="R274">MMS_Swine_ManureAppliedToSoils_Equations.VEERG_4_5_1_9__1_MassOfNitrogenAppliedToSoilsScope1(R45,_xlfn.XLOOKUP($E274,$D$123:$D$129,$E$123:$E$129), _xlfn.XLOOKUP($E274,$D$112:$D$118,$E$112:$E$118),R75,$F244)</f>
        <v>23.092126500000006</v>
      </c>
      <c r="S274" s="52" cm="1">
        <f t="array" ref="S274">MMS_Swine_ManureAppliedToSoils_Equations.VEERG_4_5_1_9__1_MassOfNitrogenAppliedToSoilsScope1(S45,_xlfn.XLOOKUP($E274,$D$123:$D$129,$E$123:$E$129), _xlfn.XLOOKUP($E274,$D$112:$D$118,$E$112:$E$118),S75,$F244)</f>
        <v>15.662485800000008</v>
      </c>
      <c r="T274" s="2"/>
    </row>
    <row r="275" spans="1:20" ht="20.100000000000001" customHeight="1" x14ac:dyDescent="0.25">
      <c r="D275" s="57"/>
      <c r="E275" s="57" t="str">
        <f>'Input - Swine'!$D$87</f>
        <v>Pit storage</v>
      </c>
      <c r="F275" s="52" cm="1">
        <f t="array" ref="F275">MMS_Swine_ManureAppliedToSoils_Equations.VEERG_4_5_1_9__1_MassOfNitrogenAppliedToSoilsScope1(F46,_xlfn.XLOOKUP($E275,$D$123:$D$129,$E$123:$E$129), _xlfn.XLOOKUP($E275,$D$112:$D$118,$E$112:$E$118),F76,$F245)</f>
        <v>9.9843414000000035</v>
      </c>
      <c r="G275" s="52" cm="1">
        <f t="array" ref="G275">MMS_Swine_ManureAppliedToSoils_Equations.VEERG_4_5_1_9__1_MassOfNitrogenAppliedToSoilsScope1(G46,_xlfn.XLOOKUP($E275,$D$123:$D$129,$E$123:$E$129), _xlfn.XLOOKUP($E275,$D$112:$D$118,$E$112:$E$118),G76,$F245)</f>
        <v>10.635494100000006</v>
      </c>
      <c r="H275" s="52" cm="1">
        <f t="array" ref="H275">MMS_Swine_ManureAppliedToSoils_Equations.VEERG_4_5_1_9__1_MassOfNitrogenAppliedToSoilsScope1(H46,_xlfn.XLOOKUP($E275,$D$123:$D$129,$E$123:$E$129), _xlfn.XLOOKUP($E275,$D$112:$D$118,$E$112:$E$118),H76,$F245)</f>
        <v>9.9843414000000035</v>
      </c>
      <c r="I275" s="52" cm="1">
        <f t="array" ref="I275">MMS_Swine_ManureAppliedToSoils_Equations.VEERG_4_5_1_9__1_MassOfNitrogenAppliedToSoilsScope1(I46,_xlfn.XLOOKUP($E275,$D$123:$D$129,$E$123:$E$129), _xlfn.XLOOKUP($E275,$D$112:$D$118,$E$112:$E$118),I76,$F245)</f>
        <v>6.7719880800000034</v>
      </c>
      <c r="J275" s="2"/>
      <c r="N275" s="57"/>
      <c r="O275" s="57" t="str">
        <f>'Input - Swine'!$D$87</f>
        <v>Pit storage</v>
      </c>
      <c r="P275" s="52" cm="1">
        <f t="array" ref="P275">MMS_Swine_ManureAppliedToSoils_Equations.VEERG_4_5_1_9__1_MassOfNitrogenAppliedToSoilsScope1(P46,_xlfn.XLOOKUP($E275,$D$123:$D$129,$E$123:$E$129), _xlfn.XLOOKUP($E275,$D$112:$D$118,$E$112:$E$118),P76,$F245)</f>
        <v>9.9843414000000035</v>
      </c>
      <c r="Q275" s="52" cm="1">
        <f t="array" ref="Q275">MMS_Swine_ManureAppliedToSoils_Equations.VEERG_4_5_1_9__1_MassOfNitrogenAppliedToSoilsScope1(Q46,_xlfn.XLOOKUP($E275,$D$123:$D$129,$E$123:$E$129), _xlfn.XLOOKUP($E275,$D$112:$D$118,$E$112:$E$118),Q76,$F245)</f>
        <v>10.635494100000006</v>
      </c>
      <c r="R275" s="52" cm="1">
        <f t="array" ref="R275">MMS_Swine_ManureAppliedToSoils_Equations.VEERG_4_5_1_9__1_MassOfNitrogenAppliedToSoilsScope1(R46,_xlfn.XLOOKUP($E275,$D$123:$D$129,$E$123:$E$129), _xlfn.XLOOKUP($E275,$D$112:$D$118,$E$112:$E$118),R76,$F245)</f>
        <v>9.9843414000000035</v>
      </c>
      <c r="S275" s="52" cm="1">
        <f t="array" ref="S275">MMS_Swine_ManureAppliedToSoils_Equations.VEERG_4_5_1_9__1_MassOfNitrogenAppliedToSoilsScope1(S46,_xlfn.XLOOKUP($E275,$D$123:$D$129,$E$123:$E$129), _xlfn.XLOOKUP($E275,$D$112:$D$118,$E$112:$E$118),S76,$F245)</f>
        <v>6.7719880800000034</v>
      </c>
      <c r="T275" s="2"/>
    </row>
    <row r="276" spans="1:20" ht="20.100000000000001" customHeight="1" x14ac:dyDescent="0.25">
      <c r="D276" s="57"/>
      <c r="E276" s="57" t="str">
        <f>'Input - Swine'!$D$88</f>
        <v>Direct application</v>
      </c>
      <c r="F276" s="52" cm="1">
        <f t="array" ref="F276">MMS_Swine_ManureAppliedToSoils_Equations.VEERG_4_5_1_9__1_MassOfNitrogenAppliedToSoilsScope1(F47,_xlfn.XLOOKUP($E276,$D$123:$D$129,$E$123:$E$129), _xlfn.XLOOKUP($E276,$D$112:$D$118,$E$112:$E$118),F77,$F246)</f>
        <v>0</v>
      </c>
      <c r="G276" s="52" cm="1">
        <f t="array" ref="G276">MMS_Swine_ManureAppliedToSoils_Equations.VEERG_4_5_1_9__1_MassOfNitrogenAppliedToSoilsScope1(G47,_xlfn.XLOOKUP($E276,$D$123:$D$129,$E$123:$E$129), _xlfn.XLOOKUP($E276,$D$112:$D$118,$E$112:$E$118),G77,$F246)</f>
        <v>0</v>
      </c>
      <c r="H276" s="52" cm="1">
        <f t="array" ref="H276">MMS_Swine_ManureAppliedToSoils_Equations.VEERG_4_5_1_9__1_MassOfNitrogenAppliedToSoilsScope1(H47,_xlfn.XLOOKUP($E276,$D$123:$D$129,$E$123:$E$129), _xlfn.XLOOKUP($E276,$D$112:$D$118,$E$112:$E$118),H77,$F246)</f>
        <v>0</v>
      </c>
      <c r="I276" s="52" cm="1">
        <f t="array" ref="I276">MMS_Swine_ManureAppliedToSoils_Equations.VEERG_4_5_1_9__1_MassOfNitrogenAppliedToSoilsScope1(I47,_xlfn.XLOOKUP($E276,$D$123:$D$129,$E$123:$E$129), _xlfn.XLOOKUP($E276,$D$112:$D$118,$E$112:$E$118),I77,$F246)</f>
        <v>0</v>
      </c>
      <c r="J276" s="2"/>
      <c r="N276" s="57"/>
      <c r="O276" s="57" t="str">
        <f>'Input - Swine'!$D$88</f>
        <v>Direct application</v>
      </c>
      <c r="P276" s="52" cm="1">
        <f t="array" ref="P276">MMS_Swine_ManureAppliedToSoils_Equations.VEERG_4_5_1_9__1_MassOfNitrogenAppliedToSoilsScope1(P47,_xlfn.XLOOKUP($E276,$D$123:$D$129,$E$123:$E$129), _xlfn.XLOOKUP($E276,$D$112:$D$118,$E$112:$E$118),P77,$F246)</f>
        <v>0</v>
      </c>
      <c r="Q276" s="52" cm="1">
        <f t="array" ref="Q276">MMS_Swine_ManureAppliedToSoils_Equations.VEERG_4_5_1_9__1_MassOfNitrogenAppliedToSoilsScope1(Q47,_xlfn.XLOOKUP($E276,$D$123:$D$129,$E$123:$E$129), _xlfn.XLOOKUP($E276,$D$112:$D$118,$E$112:$E$118),Q77,$F246)</f>
        <v>0</v>
      </c>
      <c r="R276" s="52" cm="1">
        <f t="array" ref="R276">MMS_Swine_ManureAppliedToSoils_Equations.VEERG_4_5_1_9__1_MassOfNitrogenAppliedToSoilsScope1(R47,_xlfn.XLOOKUP($E276,$D$123:$D$129,$E$123:$E$129), _xlfn.XLOOKUP($E276,$D$112:$D$118,$E$112:$E$118),R77,$F246)</f>
        <v>0</v>
      </c>
      <c r="S276" s="52" cm="1">
        <f t="array" ref="S276">MMS_Swine_ManureAppliedToSoils_Equations.VEERG_4_5_1_9__1_MassOfNitrogenAppliedToSoilsScope1(S47,_xlfn.XLOOKUP($E276,$D$123:$D$129,$E$123:$E$129), _xlfn.XLOOKUP($E276,$D$112:$D$118,$E$112:$E$118),S77,$F246)</f>
        <v>0</v>
      </c>
      <c r="T276" s="2"/>
    </row>
    <row r="277" spans="1:20" ht="20.100000000000001" customHeight="1" x14ac:dyDescent="0.25"/>
    <row r="278" spans="1:20" ht="20.100000000000001" customHeight="1" x14ac:dyDescent="0.25">
      <c r="A278" s="150" t="str">
        <f>HYPERLINK("#A1", "▲ Back to top")</f>
        <v>▲ Back to top</v>
      </c>
      <c r="D278" s="101" t="s">
        <v>325</v>
      </c>
      <c r="E278" s="102">
        <f>SUM(F251:I276)</f>
        <v>653.20846285499988</v>
      </c>
      <c r="F278" s="103" t="str">
        <f>$E$11</f>
        <v>kg N</v>
      </c>
      <c r="N278" s="101" t="s">
        <v>325</v>
      </c>
      <c r="O278" s="102">
        <f>SUM(P251:S276)</f>
        <v>653.20846285499988</v>
      </c>
      <c r="P278" s="103" t="str">
        <f>$E$11</f>
        <v>kg N</v>
      </c>
    </row>
    <row r="279" spans="1:20" ht="20.100000000000001" customHeight="1" x14ac:dyDescent="0.25"/>
    <row r="280" spans="1:20" ht="20.100000000000001" customHeight="1" x14ac:dyDescent="0.25"/>
    <row r="281" spans="1:20" ht="20.100000000000001" customHeight="1" x14ac:dyDescent="0.25"/>
    <row r="282" spans="1:20" ht="20.100000000000001" customHeight="1" x14ac:dyDescent="0.25"/>
    <row r="283" spans="1:20" ht="20.100000000000001" customHeight="1" x14ac:dyDescent="0.25"/>
    <row r="284" spans="1:20" ht="20.100000000000001" customHeight="1" x14ac:dyDescent="0.25"/>
    <row r="285" spans="1:20" ht="20.100000000000001" customHeight="1" x14ac:dyDescent="0.25"/>
    <row r="286" spans="1:20" ht="20.100000000000001" customHeight="1" x14ac:dyDescent="0.25"/>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W452"/>
  <sheetViews>
    <sheetView showGridLines="0" tabSelected="1" topLeftCell="A91" zoomScale="85" zoomScaleNormal="85" workbookViewId="0">
      <selection activeCell="F112" sqref="F112"/>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140</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2"/>
    </row>
    <row r="5" spans="1:21" ht="20.100000000000001" customHeight="1" x14ac:dyDescent="0.25">
      <c r="A5" s="17" t="str">
        <f>HYPERLINK("#'Results'!A1", "Results")</f>
        <v>Results</v>
      </c>
      <c r="M5" s="1"/>
    </row>
    <row r="6" spans="1:21" ht="20.100000000000001" customHeight="1" x14ac:dyDescent="0.25">
      <c r="A6" s="16"/>
      <c r="D6" s="6" t="s">
        <v>264</v>
      </c>
      <c r="G6" s="6" t="s">
        <v>110</v>
      </c>
      <c r="M6" s="1"/>
    </row>
    <row r="7" spans="1:21" ht="20.100000000000001" customHeight="1" x14ac:dyDescent="0.25">
      <c r="A7" s="20" t="s">
        <v>3</v>
      </c>
      <c r="M7" s="1"/>
    </row>
    <row r="8" spans="1:21" ht="20.100000000000001" customHeight="1" x14ac:dyDescent="0.25">
      <c r="A8" s="17" t="str">
        <f>HYPERLINK("#'Input - Site'!A1", "Site")</f>
        <v>Site</v>
      </c>
      <c r="D8" s="37" t="s">
        <v>109</v>
      </c>
      <c r="G8" s="37" t="s">
        <v>108</v>
      </c>
      <c r="M8" s="1"/>
    </row>
    <row r="9" spans="1:21" ht="20.100000000000001" customHeight="1" x14ac:dyDescent="0.25">
      <c r="A9" s="17" t="str">
        <f>HYPERLINK("#'Input - Swine'!A1", "Swine")</f>
        <v>Swine</v>
      </c>
      <c r="D9" s="37" t="s">
        <v>346</v>
      </c>
      <c r="G9" s="37" t="s">
        <v>111</v>
      </c>
      <c r="M9" s="1"/>
    </row>
    <row r="10" spans="1:21" ht="20.100000000000001" customHeight="1" x14ac:dyDescent="0.25">
      <c r="A10" s="17"/>
      <c r="D10" s="1" t="s">
        <v>136</v>
      </c>
      <c r="G10" s="37" t="s">
        <v>112</v>
      </c>
      <c r="M10" s="1"/>
    </row>
    <row r="11" spans="1:21" ht="20.100000000000001" customHeight="1" x14ac:dyDescent="0.25">
      <c r="A11" s="19" t="s">
        <v>76</v>
      </c>
      <c r="G11" s="1" t="s">
        <v>113</v>
      </c>
      <c r="M11" s="1"/>
    </row>
    <row r="12" spans="1:21" ht="20.100000000000001" customHeight="1" x14ac:dyDescent="0.25">
      <c r="A12" s="17" t="str">
        <f>HYPERLINK("#'4.5.1.1-2 Methane'!A1", "4.5.1.1-2 Methane")</f>
        <v>4.5.1.1-2 Methane</v>
      </c>
      <c r="G12" s="1" t="s">
        <v>114</v>
      </c>
      <c r="M12" s="1"/>
    </row>
    <row r="13" spans="1:21" ht="20.100000000000001" customHeight="1" x14ac:dyDescent="0.25">
      <c r="A13" s="17" t="str">
        <f>HYPERLINK("#'4.5.1.3-4 Direct N2O'!A1", "4.5.1.3-4 Direct N2O")</f>
        <v>4.5.1.3-4 Direct N2O</v>
      </c>
      <c r="G13" s="1" t="s">
        <v>115</v>
      </c>
      <c r="M13" s="1"/>
    </row>
    <row r="14" spans="1:21" ht="20.100000000000001" customHeight="1" x14ac:dyDescent="0.25">
      <c r="A14" s="17" t="str">
        <f>HYPERLINK("#'4.5.1.5-6 Atmos Dep'!A1", "4.5.1.5-6 Soil atm. deposition")</f>
        <v>4.5.1.5-6 Soil atm. deposition</v>
      </c>
      <c r="D14" s="6" t="str" cm="1">
        <f t="array" ref="D14">SourceData_Swine.SourceData_Swine_FracLEACH_DrylotMMS_Title()</f>
        <v>Fraction of nitrogen lost through leaching and runoff for drylot MMS</v>
      </c>
      <c r="M14" s="1"/>
    </row>
    <row r="15" spans="1:21" ht="20.100000000000001" customHeight="1" x14ac:dyDescent="0.25">
      <c r="A15" s="17" t="str">
        <f>HYPERLINK("#'4.5.1.7-8 Leaching and runoff'!A1", "4.5.1.7-8 Leaching &amp; runoff")</f>
        <v>4.5.1.7-8 Leaching &amp; runoff</v>
      </c>
      <c r="D15" s="5" t="str" cm="1">
        <f t="array" ref="D15">SourceData_Swine.SourceData_Swine_FracLEACH_DrylotMMS_Source()</f>
        <v>VEERG 2026: 4.5.2.3 CONSTANT</v>
      </c>
      <c r="M15" s="1"/>
    </row>
    <row r="16" spans="1:21" ht="20.100000000000001" customHeight="1" x14ac:dyDescent="0.25">
      <c r="A16" s="17" t="str">
        <f>HYPERLINK("#'4.5.1.9 Manure applied to soils'!A1", "4.5.1.9 Manure applied to soils")</f>
        <v>4.5.1.9 Manure applied to soils</v>
      </c>
      <c r="D16" s="55" t="str" cm="1">
        <f t="array" ref="D16">SourceData_Swine.SourceData_Swine_FracLEACH_DrylotMMS_Variation()</f>
        <v>VARIATION ON SOURCE: Text refers to 'solid storage' MMS, but equation refers to 'drylot' MMS.</v>
      </c>
      <c r="M16" s="1"/>
    </row>
    <row r="17" spans="1:13" ht="20.100000000000001" customHeight="1" x14ac:dyDescent="0.25">
      <c r="D17" s="53" t="str" cm="1">
        <f t="array" ref="D17">SourceData_Swine.SourceData_Swine_FracLEACH_DrylotMMS_Variable()</f>
        <v>FracLEACH_MS</v>
      </c>
      <c r="E17" s="1" cm="1">
        <f t="array" ref="E17">SourceData_Swine.SourceData_Swine_FracLEACH_DrylotMMS_Data()</f>
        <v>0.02</v>
      </c>
      <c r="F17" s="54" t="str" cm="1">
        <f t="array" ref="F17">SourceData_Swine.SourceData_Swine_FracLEACH_DrylotMMS_Unit()</f>
        <v>fraction</v>
      </c>
      <c r="M17" s="1"/>
    </row>
    <row r="18" spans="1:13" ht="20.100000000000001" customHeight="1" x14ac:dyDescent="0.25">
      <c r="A18" s="18" t="s">
        <v>4</v>
      </c>
      <c r="M18" s="1"/>
    </row>
    <row r="19" spans="1:13" ht="20.100000000000001" customHeight="1" x14ac:dyDescent="0.25">
      <c r="A19" s="17" t="str">
        <f>HYPERLINK("#'Constants - Swine'!A1", "Constants - Swine")</f>
        <v>Constants - Swine</v>
      </c>
      <c r="D19" s="6" t="str" cm="1">
        <f t="array" ref="D19">SourceData_Swine.SourceData_Swine_MethaneVolatileSolidsEmissionsPotential_Title()</f>
        <v>Emissions potential of methane per kilogram of volatile solids</v>
      </c>
      <c r="M19" s="1"/>
    </row>
    <row r="20" spans="1:13" ht="20.100000000000001" customHeight="1" x14ac:dyDescent="0.25">
      <c r="A20" s="17" t="str">
        <f>HYPERLINK("#'Constants - Livestock'!A1", "Constants - Livestock")</f>
        <v>Constants - Livestock</v>
      </c>
      <c r="D20" s="5" t="str" cm="1">
        <f t="array" ref="D20">SourceData_Swine.SourceData_Swine_MethaneVolatileSolidsEmissionsPotential_Source()</f>
        <v>IPCC (2019), Chapter 10 [4]</v>
      </c>
      <c r="M20" s="1"/>
    </row>
    <row r="21" spans="1:13" ht="20.100000000000001" customHeight="1" x14ac:dyDescent="0.25">
      <c r="A21" s="17" t="str">
        <f>HYPERLINK("#'Constants - Common'!A1", "Constants - Common")</f>
        <v>Constants - Common</v>
      </c>
      <c r="D21" s="53" t="str" cm="1">
        <f t="array" ref="D21">SourceData_Swine.SourceData_Swine_MethaneVolatileSolidsEmissionsPotential_Variable()</f>
        <v>B0</v>
      </c>
      <c r="E21" s="1" cm="1">
        <f t="array" ref="E21">SourceData_Swine.SourceData_Swine_MethaneVolatileSolidsEmissionsPotential_Data()</f>
        <v>0.19</v>
      </c>
      <c r="F21" s="54" t="str" cm="1">
        <f t="array" ref="F21">SourceData_Swine.SourceData_Swine_MethaneVolatileSolidsEmissionsPotential_Unit()</f>
        <v>m3 CH4 / kg VS</v>
      </c>
      <c r="M21" s="1"/>
    </row>
    <row r="22" spans="1:13" ht="20.100000000000001" customHeight="1" x14ac:dyDescent="0.25">
      <c r="A22" s="17" t="str">
        <f>HYPERLINK("#'Acknowledgements'!A1", "Acknowledgements")</f>
        <v>Acknowledgements</v>
      </c>
      <c r="M22" s="1"/>
    </row>
    <row r="23" spans="1:13" ht="20.100000000000001" customHeight="1" x14ac:dyDescent="0.25">
      <c r="M23" s="1"/>
    </row>
    <row r="24" spans="1:13" ht="20.100000000000001" customHeight="1" x14ac:dyDescent="0.25">
      <c r="A24" s="17"/>
      <c r="D24" s="6" t="str" cm="1">
        <f t="array" ref="D24">SourceData_Swine.SourceData_Swine_MMS_MCFs_Title()</f>
        <v>Methane conversion factor for temperature zone and manure management system.</v>
      </c>
      <c r="H24" s="107" t="s">
        <v>151</v>
      </c>
      <c r="M24" s="1"/>
    </row>
    <row r="25" spans="1:13" ht="20.100000000000001" customHeight="1" x14ac:dyDescent="0.25">
      <c r="D25" s="5" t="str" cm="1">
        <f t="array" ref="D25">SourceData_Swine.SourceData_Swine_MMS_MCFs_Source()</f>
        <v>VEERG 2026: Table A.1.6.4: Swine - MCFs (MCFim)</v>
      </c>
      <c r="H25" s="107" t="s">
        <v>152</v>
      </c>
      <c r="M25" s="1"/>
    </row>
    <row r="26" spans="1:13" ht="20.100000000000001" customHeight="1" x14ac:dyDescent="0.25">
      <c r="D26" s="55" t="str" cm="1">
        <f t="array" ref="D26">SourceData_Swine.SourceData_Swine_MMS_MCFs_Variation()</f>
        <v>VARIATION ON SOURCE DATA: Added columns for ACT, split QLD and NT. Added extra column with MMS names that match NIR definitions</v>
      </c>
      <c r="M26" s="1"/>
    </row>
    <row r="27" spans="1:13" ht="20.100000000000001" customHeight="1" x14ac:dyDescent="0.25">
      <c r="M27" s="1"/>
    </row>
    <row r="28" spans="1:13" ht="20.100000000000001" customHeight="1" x14ac:dyDescent="0.25">
      <c r="D28" s="37" t="s">
        <v>67</v>
      </c>
      <c r="E28" s="37" t="s">
        <v>83</v>
      </c>
      <c r="F28" s="37" t="s">
        <v>82</v>
      </c>
      <c r="G28" s="37" t="s">
        <v>85</v>
      </c>
      <c r="H28" s="37" t="s">
        <v>84</v>
      </c>
      <c r="I28" s="37" t="s">
        <v>86</v>
      </c>
      <c r="J28" s="37" t="s">
        <v>87</v>
      </c>
      <c r="K28" s="37" t="s">
        <v>88</v>
      </c>
      <c r="L28" s="37" t="s">
        <v>89</v>
      </c>
      <c r="M28" s="37" t="s">
        <v>153</v>
      </c>
    </row>
    <row r="29" spans="1:13" ht="20.100000000000001" customHeight="1" x14ac:dyDescent="0.25">
      <c r="D29" s="37" t="str" cm="1">
        <f t="array" ref="D29">Common_InputFunctions.Utility_DisplayArrayInTable(SourceData_Swine.SourceData_Swine_MMS_MCFs_Data(),Table_SourceData_Swine_MMSMCF[[#Headers],[MMS]],0)</f>
        <v>Outdoor (Dry lot)</v>
      </c>
      <c r="E29" s="37" cm="1">
        <f t="array" ref="E29">Common_InputFunctions.Utility_DisplayArrayInTable(SourceData_Swine.SourceData_Swine_MMS_MCFs_Data(),Table_SourceData_Swine_MMSMCF[[#Headers],[MMS]],0)</f>
        <v>0.01</v>
      </c>
      <c r="F29" s="37" cm="1">
        <f t="array" ref="F29">Common_InputFunctions.Utility_DisplayArrayInTable(SourceData_Swine.SourceData_Swine_MMS_MCFs_Data(),Table_SourceData_Swine_MMSMCF[[#Headers],[MMS]],0)</f>
        <v>0.01</v>
      </c>
      <c r="G29" s="37" cm="1">
        <f t="array" ref="G29">Common_InputFunctions.Utility_DisplayArrayInTable(SourceData_Swine.SourceData_Swine_MMS_MCFs_Data(),Table_SourceData_Swine_MMSMCF[[#Headers],[MMS]],0)</f>
        <v>0.03</v>
      </c>
      <c r="H29" s="37" cm="1">
        <f t="array" ref="H29">Common_InputFunctions.Utility_DisplayArrayInTable(SourceData_Swine.SourceData_Swine_MMS_MCFs_Data(),Table_SourceData_Swine_MMSMCF[[#Headers],[MMS]],0)</f>
        <v>0.03</v>
      </c>
      <c r="I29" s="37" cm="1">
        <f t="array" ref="I29">Common_InputFunctions.Utility_DisplayArrayInTable(SourceData_Swine.SourceData_Swine_MMS_MCFs_Data(),Table_SourceData_Swine_MMSMCF[[#Headers],[MMS]],0)</f>
        <v>0.01</v>
      </c>
      <c r="J29" s="37" cm="1">
        <f t="array" ref="J29">Common_InputFunctions.Utility_DisplayArrayInTable(SourceData_Swine.SourceData_Swine_MMS_MCFs_Data(),Table_SourceData_Swine_MMSMCF[[#Headers],[MMS]],0)</f>
        <v>0.01</v>
      </c>
      <c r="K29" s="37" cm="1">
        <f t="array" ref="K29">Common_InputFunctions.Utility_DisplayArrayInTable(SourceData_Swine.SourceData_Swine_MMS_MCFs_Data(),Table_SourceData_Swine_MMSMCF[[#Headers],[MMS]],0)</f>
        <v>0.01</v>
      </c>
      <c r="L29" s="37" cm="1">
        <f t="array" ref="L29">Common_InputFunctions.Utility_DisplayArrayInTable(SourceData_Swine.SourceData_Swine_MMS_MCFs_Data(),Table_SourceData_Swine_MMSMCF[[#Headers],[MMS]],0)</f>
        <v>0.01</v>
      </c>
      <c r="M29" s="37" t="str" cm="1">
        <f t="array" ref="M29">Common_InputFunctions.Utility_DisplayArrayInTable(SourceData_Swine.SourceData_Swine_MMS_MCFs_Data(),Table_SourceData_Swine_MMSMCF[[#Headers],[MMS]],0)</f>
        <v>Drylot (feed pad)</v>
      </c>
    </row>
    <row r="30" spans="1:13" ht="20.100000000000001" customHeight="1" x14ac:dyDescent="0.25">
      <c r="D30" s="1" t="str" cm="1">
        <f t="array" ref="D30">Common_InputFunctions.Utility_DisplayArrayInTable(SourceData_Swine.SourceData_Swine_MMS_MCFs_Data(),Table_SourceData_Swine_MMSMCF[[#Headers],[MMS]],0)</f>
        <v>Deep litter</v>
      </c>
      <c r="E30" s="37" cm="1">
        <f t="array" ref="E30">Common_InputFunctions.Utility_DisplayArrayInTable(SourceData_Swine.SourceData_Swine_MMS_MCFs_Data(),Table_SourceData_Swine_MMSMCF[[#Headers],[MMS]],0)</f>
        <v>0.04</v>
      </c>
      <c r="F30" s="37" cm="1">
        <f t="array" ref="F30">Common_InputFunctions.Utility_DisplayArrayInTable(SourceData_Swine.SourceData_Swine_MMS_MCFs_Data(),Table_SourceData_Swine_MMSMCF[[#Headers],[MMS]],0)</f>
        <v>0.04</v>
      </c>
      <c r="G30" s="37" cm="1">
        <f t="array" ref="G30">Common_InputFunctions.Utility_DisplayArrayInTable(SourceData_Swine.SourceData_Swine_MMS_MCFs_Data(),Table_SourceData_Swine_MMSMCF[[#Headers],[MMS]],0)</f>
        <v>0.04</v>
      </c>
      <c r="H30" s="37" cm="1">
        <f t="array" ref="H30">Common_InputFunctions.Utility_DisplayArrayInTable(SourceData_Swine.SourceData_Swine_MMS_MCFs_Data(),Table_SourceData_Swine_MMSMCF[[#Headers],[MMS]],0)</f>
        <v>0.04</v>
      </c>
      <c r="I30" s="37" cm="1">
        <f t="array" ref="I30">Common_InputFunctions.Utility_DisplayArrayInTable(SourceData_Swine.SourceData_Swine_MMS_MCFs_Data(),Table_SourceData_Swine_MMSMCF[[#Headers],[MMS]],0)</f>
        <v>0.04</v>
      </c>
      <c r="J30" s="37" cm="1">
        <f t="array" ref="J30">Common_InputFunctions.Utility_DisplayArrayInTable(SourceData_Swine.SourceData_Swine_MMS_MCFs_Data(),Table_SourceData_Swine_MMSMCF[[#Headers],[MMS]],0)</f>
        <v>0.04</v>
      </c>
      <c r="K30" s="37" cm="1">
        <f t="array" ref="K30">Common_InputFunctions.Utility_DisplayArrayInTable(SourceData_Swine.SourceData_Swine_MMS_MCFs_Data(),Table_SourceData_Swine_MMSMCF[[#Headers],[MMS]],0)</f>
        <v>0.04</v>
      </c>
      <c r="L30" s="37" cm="1">
        <f t="array" ref="L30">Common_InputFunctions.Utility_DisplayArrayInTable(SourceData_Swine.SourceData_Swine_MMS_MCFs_Data(),Table_SourceData_Swine_MMSMCF[[#Headers],[MMS]],0)</f>
        <v>0.04</v>
      </c>
      <c r="M30" s="37" t="str" cm="1">
        <f t="array" ref="M30">Common_InputFunctions.Utility_DisplayArrayInTable(SourceData_Swine.SourceData_Swine_MMS_MCFs_Data(),Table_SourceData_Swine_MMSMCF[[#Headers],[MMS]],0)</f>
        <v>Deep litter</v>
      </c>
    </row>
    <row r="31" spans="1:13" ht="20.100000000000001" customHeight="1" x14ac:dyDescent="0.25">
      <c r="D31" s="1" t="str" cm="1">
        <f t="array" ref="D31">Common_InputFunctions.Utility_DisplayArrayInTable(SourceData_Swine.SourceData_Swine_MMS_MCFs_Data(),Table_SourceData_Swine_MMSMCF[[#Headers],[MMS]],0)</f>
        <v>Stockpile (Solid storage)</v>
      </c>
      <c r="E31" s="37" cm="1">
        <f t="array" ref="E31">Common_InputFunctions.Utility_DisplayArrayInTable(SourceData_Swine.SourceData_Swine_MMS_MCFs_Data(),Table_SourceData_Swine_MMSMCF[[#Headers],[MMS]],0)</f>
        <v>0.02</v>
      </c>
      <c r="F31" s="37" cm="1">
        <f t="array" ref="F31">Common_InputFunctions.Utility_DisplayArrayInTable(SourceData_Swine.SourceData_Swine_MMS_MCFs_Data(),Table_SourceData_Swine_MMSMCF[[#Headers],[MMS]],0)</f>
        <v>0.02</v>
      </c>
      <c r="G31" s="37" cm="1">
        <f t="array" ref="G31">Common_InputFunctions.Utility_DisplayArrayInTable(SourceData_Swine.SourceData_Swine_MMS_MCFs_Data(),Table_SourceData_Swine_MMSMCF[[#Headers],[MMS]],0)</f>
        <v>0.02</v>
      </c>
      <c r="H31" s="37" cm="1">
        <f t="array" ref="H31">Common_InputFunctions.Utility_DisplayArrayInTable(SourceData_Swine.SourceData_Swine_MMS_MCFs_Data(),Table_SourceData_Swine_MMSMCF[[#Headers],[MMS]],0)</f>
        <v>0.02</v>
      </c>
      <c r="I31" s="37" cm="1">
        <f t="array" ref="I31">Common_InputFunctions.Utility_DisplayArrayInTable(SourceData_Swine.SourceData_Swine_MMS_MCFs_Data(),Table_SourceData_Swine_MMSMCF[[#Headers],[MMS]],0)</f>
        <v>0.02</v>
      </c>
      <c r="J31" s="37" cm="1">
        <f t="array" ref="J31">Common_InputFunctions.Utility_DisplayArrayInTable(SourceData_Swine.SourceData_Swine_MMS_MCFs_Data(),Table_SourceData_Swine_MMSMCF[[#Headers],[MMS]],0)</f>
        <v>0.02</v>
      </c>
      <c r="K31" s="37" cm="1">
        <f t="array" ref="K31">Common_InputFunctions.Utility_DisplayArrayInTable(SourceData_Swine.SourceData_Swine_MMS_MCFs_Data(),Table_SourceData_Swine_MMSMCF[[#Headers],[MMS]],0)</f>
        <v>0.02</v>
      </c>
      <c r="L31" s="37" cm="1">
        <f t="array" ref="L31">Common_InputFunctions.Utility_DisplayArrayInTable(SourceData_Swine.SourceData_Swine_MMS_MCFs_Data(),Table_SourceData_Swine_MMSMCF[[#Headers],[MMS]],0)</f>
        <v>0.02</v>
      </c>
      <c r="M31" s="37" t="str" cm="1">
        <f t="array" ref="M31">Common_InputFunctions.Utility_DisplayArrayInTable(SourceData_Swine.SourceData_Swine_MMS_MCFs_Data(),Table_SourceData_Swine_MMSMCF[[#Headers],[MMS]],0)</f>
        <v>Solid storage</v>
      </c>
    </row>
    <row r="32" spans="1:13" ht="20.100000000000001" customHeight="1" x14ac:dyDescent="0.25">
      <c r="D32" s="1" t="str" cm="1">
        <f t="array" ref="D32">Common_InputFunctions.Utility_DisplayArrayInTable(SourceData_Swine.SourceData_Swine_MMS_MCFs_Data(),Table_SourceData_Swine_MMSMCF[[#Headers],[MMS]],0)</f>
        <v>Effluent pond (Uncovered anaerobic lagoon)</v>
      </c>
      <c r="E32" s="37" cm="1">
        <f t="array" ref="E32">Common_InputFunctions.Utility_DisplayArrayInTable(SourceData_Swine.SourceData_Swine_MMS_MCFs_Data(),Table_SourceData_Swine_MMSMCF[[#Headers],[MMS]],0)</f>
        <v>0.75</v>
      </c>
      <c r="F32" s="37" cm="1">
        <f t="array" ref="F32">Common_InputFunctions.Utility_DisplayArrayInTable(SourceData_Swine.SourceData_Swine_MMS_MCFs_Data(),Table_SourceData_Swine_MMSMCF[[#Headers],[MMS]],0)</f>
        <v>0.75</v>
      </c>
      <c r="G32" s="37" cm="1">
        <f t="array" ref="G32">Common_InputFunctions.Utility_DisplayArrayInTable(SourceData_Swine.SourceData_Swine_MMS_MCFs_Data(),Table_SourceData_Swine_MMSMCF[[#Headers],[MMS]],0)</f>
        <v>0.78</v>
      </c>
      <c r="H32" s="37" cm="1">
        <f t="array" ref="H32">Common_InputFunctions.Utility_DisplayArrayInTable(SourceData_Swine.SourceData_Swine_MMS_MCFs_Data(),Table_SourceData_Swine_MMSMCF[[#Headers],[MMS]],0)</f>
        <v>0.78</v>
      </c>
      <c r="I32" s="37" cm="1">
        <f t="array" ref="I32">Common_InputFunctions.Utility_DisplayArrayInTable(SourceData_Swine.SourceData_Swine_MMS_MCFs_Data(),Table_SourceData_Swine_MMSMCF[[#Headers],[MMS]],0)</f>
        <v>0.75</v>
      </c>
      <c r="J32" s="37" cm="1">
        <f t="array" ref="J32">Common_InputFunctions.Utility_DisplayArrayInTable(SourceData_Swine.SourceData_Swine_MMS_MCFs_Data(),Table_SourceData_Swine_MMSMCF[[#Headers],[MMS]],0)</f>
        <v>0.7</v>
      </c>
      <c r="K32" s="37" cm="1">
        <f t="array" ref="K32">Common_InputFunctions.Utility_DisplayArrayInTable(SourceData_Swine.SourceData_Swine_MMS_MCFs_Data(),Table_SourceData_Swine_MMSMCF[[#Headers],[MMS]],0)</f>
        <v>0.74</v>
      </c>
      <c r="L32" s="37" cm="1">
        <f t="array" ref="L32">Common_InputFunctions.Utility_DisplayArrayInTable(SourceData_Swine.SourceData_Swine_MMS_MCFs_Data(),Table_SourceData_Swine_MMSMCF[[#Headers],[MMS]],0)</f>
        <v>0.76</v>
      </c>
      <c r="M32" s="37" t="str" cm="1">
        <f t="array" ref="M32">Common_InputFunctions.Utility_DisplayArrayInTable(SourceData_Swine.SourceData_Swine_MMS_MCFs_Data(),Table_SourceData_Swine_MMSMCF[[#Headers],[MMS]],0)</f>
        <v>Anaerobic lagoon</v>
      </c>
    </row>
    <row r="33" spans="4:13" ht="20.100000000000001" customHeight="1" x14ac:dyDescent="0.25">
      <c r="D33" s="1" t="str" cm="1">
        <f t="array" ref="D33">Common_InputFunctions.Utility_DisplayArrayInTable(SourceData_Swine.SourceData_Swine_MMS_MCFs_Data(),Table_SourceData_Swine_MMSMCF[[#Headers],[MMS]],0)</f>
        <v>Anaerobic digester / Covered lagoon</v>
      </c>
      <c r="E33" s="37" cm="1">
        <f t="array" ref="E33">Common_InputFunctions.Utility_DisplayArrayInTable(SourceData_Swine.SourceData_Swine_MMS_MCFs_Data(),Table_SourceData_Swine_MMSMCF[[#Headers],[MMS]],0)</f>
        <v>0.1</v>
      </c>
      <c r="F33" s="37" cm="1">
        <f t="array" ref="F33">Common_InputFunctions.Utility_DisplayArrayInTable(SourceData_Swine.SourceData_Swine_MMS_MCFs_Data(),Table_SourceData_Swine_MMSMCF[[#Headers],[MMS]],0)</f>
        <v>0.1</v>
      </c>
      <c r="G33" s="37" cm="1">
        <f t="array" ref="G33">Common_InputFunctions.Utility_DisplayArrayInTable(SourceData_Swine.SourceData_Swine_MMS_MCFs_Data(),Table_SourceData_Swine_MMSMCF[[#Headers],[MMS]],0)</f>
        <v>0.1</v>
      </c>
      <c r="H33" s="37" cm="1">
        <f t="array" ref="H33">Common_InputFunctions.Utility_DisplayArrayInTable(SourceData_Swine.SourceData_Swine_MMS_MCFs_Data(),Table_SourceData_Swine_MMSMCF[[#Headers],[MMS]],0)</f>
        <v>0.1</v>
      </c>
      <c r="I33" s="37" cm="1">
        <f t="array" ref="I33">Common_InputFunctions.Utility_DisplayArrayInTable(SourceData_Swine.SourceData_Swine_MMS_MCFs_Data(),Table_SourceData_Swine_MMSMCF[[#Headers],[MMS]],0)</f>
        <v>0.1</v>
      </c>
      <c r="J33" s="37" cm="1">
        <f t="array" ref="J33">Common_InputFunctions.Utility_DisplayArrayInTable(SourceData_Swine.SourceData_Swine_MMS_MCFs_Data(),Table_SourceData_Swine_MMSMCF[[#Headers],[MMS]],0)</f>
        <v>0.1</v>
      </c>
      <c r="K33" s="37" cm="1">
        <f t="array" ref="K33">Common_InputFunctions.Utility_DisplayArrayInTable(SourceData_Swine.SourceData_Swine_MMS_MCFs_Data(),Table_SourceData_Swine_MMSMCF[[#Headers],[MMS]],0)</f>
        <v>0.1</v>
      </c>
      <c r="L33" s="37" cm="1">
        <f t="array" ref="L33">Common_InputFunctions.Utility_DisplayArrayInTable(SourceData_Swine.SourceData_Swine_MMS_MCFs_Data(),Table_SourceData_Swine_MMSMCF[[#Headers],[MMS]],0)</f>
        <v>0.1</v>
      </c>
      <c r="M33" s="37" t="str" cm="1">
        <f t="array" ref="M33">Common_InputFunctions.Utility_DisplayArrayInTable(SourceData_Swine.SourceData_Swine_MMS_MCFs_Data(),Table_SourceData_Swine_MMSMCF[[#Headers],[MMS]],0)</f>
        <v>Digester / covered lagoons</v>
      </c>
    </row>
    <row r="34" spans="4:13" ht="20.100000000000001" customHeight="1" x14ac:dyDescent="0.25">
      <c r="D34" s="1" t="str" cm="1">
        <f t="array" ref="D34">Common_InputFunctions.Utility_DisplayArrayInTable(SourceData_Swine.SourceData_Swine_MMS_MCFs_Data(),Table_SourceData_Swine_MMSMCF[[#Headers],[MMS]],0)</f>
        <v>Short HRT tank storage &lt; 1 month (pit storage)</v>
      </c>
      <c r="E34" s="37" cm="1">
        <f t="array" ref="E34">Common_InputFunctions.Utility_DisplayArrayInTable(SourceData_Swine.SourceData_Swine_MMS_MCFs_Data(),Table_SourceData_Swine_MMSMCF[[#Headers],[MMS]],0)</f>
        <v>0.03</v>
      </c>
      <c r="F34" s="37" cm="1">
        <f t="array" ref="F34">Common_InputFunctions.Utility_DisplayArrayInTable(SourceData_Swine.SourceData_Swine_MMS_MCFs_Data(),Table_SourceData_Swine_MMSMCF[[#Headers],[MMS]],0)</f>
        <v>0.03</v>
      </c>
      <c r="G34" s="37" cm="1">
        <f t="array" ref="G34">Common_InputFunctions.Utility_DisplayArrayInTable(SourceData_Swine.SourceData_Swine_MMS_MCFs_Data(),Table_SourceData_Swine_MMSMCF[[#Headers],[MMS]],0)</f>
        <v>0.03</v>
      </c>
      <c r="H34" s="37" cm="1">
        <f t="array" ref="H34">Common_InputFunctions.Utility_DisplayArrayInTable(SourceData_Swine.SourceData_Swine_MMS_MCFs_Data(),Table_SourceData_Swine_MMSMCF[[#Headers],[MMS]],0)</f>
        <v>0.03</v>
      </c>
      <c r="I34" s="37" cm="1">
        <f t="array" ref="I34">Common_InputFunctions.Utility_DisplayArrayInTable(SourceData_Swine.SourceData_Swine_MMS_MCFs_Data(),Table_SourceData_Swine_MMSMCF[[#Headers],[MMS]],0)</f>
        <v>0.03</v>
      </c>
      <c r="J34" s="37" cm="1">
        <f t="array" ref="J34">Common_InputFunctions.Utility_DisplayArrayInTable(SourceData_Swine.SourceData_Swine_MMS_MCFs_Data(),Table_SourceData_Swine_MMSMCF[[#Headers],[MMS]],0)</f>
        <v>0.03</v>
      </c>
      <c r="K34" s="37" cm="1">
        <f t="array" ref="K34">Common_InputFunctions.Utility_DisplayArrayInTable(SourceData_Swine.SourceData_Swine_MMS_MCFs_Data(),Table_SourceData_Swine_MMSMCF[[#Headers],[MMS]],0)</f>
        <v>0.03</v>
      </c>
      <c r="L34" s="37" cm="1">
        <f t="array" ref="L34">Common_InputFunctions.Utility_DisplayArrayInTable(SourceData_Swine.SourceData_Swine_MMS_MCFs_Data(),Table_SourceData_Swine_MMSMCF[[#Headers],[MMS]],0)</f>
        <v>0.03</v>
      </c>
      <c r="M34" s="37" t="str" cm="1">
        <f t="array" ref="M34">Common_InputFunctions.Utility_DisplayArrayInTable(SourceData_Swine.SourceData_Swine_MMS_MCFs_Data(),Table_SourceData_Swine_MMSMCF[[#Headers],[MMS]],0)</f>
        <v>Pit storage</v>
      </c>
    </row>
    <row r="35" spans="4:13" ht="20.100000000000001" customHeight="1" x14ac:dyDescent="0.25">
      <c r="D35" s="1" t="str" cm="1">
        <f t="array" ref="D35">Common_InputFunctions.Utility_DisplayArrayInTable(SourceData_Swine.SourceData_Swine_MMS_MCFs_Data(),Table_SourceData_Swine_MMSMCF[[#Headers],[MMS]],0)</f>
        <v>Direct Application to soil</v>
      </c>
      <c r="E35" s="37" cm="1">
        <f t="array" ref="E35">Common_InputFunctions.Utility_DisplayArrayInTable(SourceData_Swine.SourceData_Swine_MMS_MCFs_Data(),Table_SourceData_Swine_MMSMCF[[#Headers],[MMS]],0)</f>
        <v>0</v>
      </c>
      <c r="F35" s="37" cm="1">
        <f t="array" ref="F35">Common_InputFunctions.Utility_DisplayArrayInTable(SourceData_Swine.SourceData_Swine_MMS_MCFs_Data(),Table_SourceData_Swine_MMSMCF[[#Headers],[MMS]],0)</f>
        <v>0</v>
      </c>
      <c r="G35" s="37" cm="1">
        <f t="array" ref="G35">Common_InputFunctions.Utility_DisplayArrayInTable(SourceData_Swine.SourceData_Swine_MMS_MCFs_Data(),Table_SourceData_Swine_MMSMCF[[#Headers],[MMS]],0)</f>
        <v>0</v>
      </c>
      <c r="H35" s="37" cm="1">
        <f t="array" ref="H35">Common_InputFunctions.Utility_DisplayArrayInTable(SourceData_Swine.SourceData_Swine_MMS_MCFs_Data(),Table_SourceData_Swine_MMSMCF[[#Headers],[MMS]],0)</f>
        <v>0</v>
      </c>
      <c r="I35" s="37" cm="1">
        <f t="array" ref="I35">Common_InputFunctions.Utility_DisplayArrayInTable(SourceData_Swine.SourceData_Swine_MMS_MCFs_Data(),Table_SourceData_Swine_MMSMCF[[#Headers],[MMS]],0)</f>
        <v>0</v>
      </c>
      <c r="J35" s="37" cm="1">
        <f t="array" ref="J35">Common_InputFunctions.Utility_DisplayArrayInTable(SourceData_Swine.SourceData_Swine_MMS_MCFs_Data(),Table_SourceData_Swine_MMSMCF[[#Headers],[MMS]],0)</f>
        <v>0</v>
      </c>
      <c r="K35" s="37" cm="1">
        <f t="array" ref="K35">Common_InputFunctions.Utility_DisplayArrayInTable(SourceData_Swine.SourceData_Swine_MMS_MCFs_Data(),Table_SourceData_Swine_MMSMCF[[#Headers],[MMS]],0)</f>
        <v>0</v>
      </c>
      <c r="L35" s="37" cm="1">
        <f t="array" ref="L35">Common_InputFunctions.Utility_DisplayArrayInTable(SourceData_Swine.SourceData_Swine_MMS_MCFs_Data(),Table_SourceData_Swine_MMSMCF[[#Headers],[MMS]],0)</f>
        <v>0</v>
      </c>
      <c r="M35" s="37" t="str" cm="1">
        <f t="array" ref="M35">Common_InputFunctions.Utility_DisplayArrayInTable(SourceData_Swine.SourceData_Swine_MMS_MCFs_Data(),Table_SourceData_Swine_MMSMCF[[#Headers],[MMS]],0)</f>
        <v>Direct application</v>
      </c>
    </row>
    <row r="36" spans="4:13" ht="20.100000000000001" customHeight="1" x14ac:dyDescent="0.25">
      <c r="M36" s="1"/>
    </row>
    <row r="37" spans="4:13" ht="20.100000000000001" customHeight="1" x14ac:dyDescent="0.25">
      <c r="M37" s="1"/>
    </row>
    <row r="38" spans="4:13" ht="20.100000000000001" customHeight="1" x14ac:dyDescent="0.25">
      <c r="D38" s="6" t="s">
        <v>154</v>
      </c>
      <c r="G38" s="6" t="s">
        <v>155</v>
      </c>
      <c r="K38" s="6" t="s">
        <v>156</v>
      </c>
      <c r="M38" s="1"/>
    </row>
    <row r="39" spans="4:13" ht="20.100000000000001" customHeight="1" x14ac:dyDescent="0.25">
      <c r="M39" s="1"/>
    </row>
    <row r="40" spans="4:13" ht="20.100000000000001" customHeight="1" x14ac:dyDescent="0.25">
      <c r="D40" s="120" t="s">
        <v>67</v>
      </c>
      <c r="E40" s="37" t="s">
        <v>81</v>
      </c>
      <c r="G40" s="120" t="s">
        <v>67</v>
      </c>
      <c r="H40" s="37" t="s">
        <v>81</v>
      </c>
      <c r="K40" s="120" t="s">
        <v>67</v>
      </c>
      <c r="L40" s="37" t="s">
        <v>81</v>
      </c>
      <c r="M40" s="1"/>
    </row>
    <row r="41" spans="4:13" ht="20.100000000000001" customHeight="1" x14ac:dyDescent="0.25">
      <c r="D41" s="37" t="str">
        <f>'Constants - Livestock'!$E$10</f>
        <v>Anaerobic lagoon</v>
      </c>
      <c r="E41" s="37" t="str">
        <f>'Constants - Livestock'!$F$10</f>
        <v>Anaerobic lagoon (m=1)</v>
      </c>
      <c r="G41" s="37" t="str">
        <f>'Constants - Livestock'!$E$10</f>
        <v>Anaerobic lagoon</v>
      </c>
      <c r="H41" s="37" t="str">
        <f>'Constants - Livestock'!$F$10</f>
        <v>Anaerobic lagoon (m=1)</v>
      </c>
      <c r="K41" s="37" t="str">
        <f>'Constants - Livestock'!$E$10</f>
        <v>Anaerobic lagoon</v>
      </c>
      <c r="L41" s="37" t="str">
        <f>'Constants - Livestock'!$F$10</f>
        <v>Anaerobic lagoon (m=1)</v>
      </c>
      <c r="M41" s="1"/>
    </row>
    <row r="42" spans="4:13" ht="20.100000000000001" customHeight="1" x14ac:dyDescent="0.25">
      <c r="D42" s="37" t="str">
        <f>'Constants - Livestock'!$E$15</f>
        <v>Solid storage</v>
      </c>
      <c r="E42" s="37" t="str">
        <f>'Constants - Livestock'!$F$15</f>
        <v>Solid storage (m=4)</v>
      </c>
      <c r="G42" s="37" t="str">
        <f>'Constants - Livestock'!$E$16</f>
        <v>Drylot (feed pad)</v>
      </c>
      <c r="H42" s="37" t="str">
        <f>'Constants - Livestock'!$F$16</f>
        <v>Drylot (feed pad) (m=5)</v>
      </c>
      <c r="K42" s="37" t="str">
        <f>'Constants - Livestock'!$E$15</f>
        <v>Solid storage</v>
      </c>
      <c r="L42" s="37" t="str">
        <f>'Constants - Livestock'!$F$15</f>
        <v>Solid storage (m=4)</v>
      </c>
      <c r="M42" s="1"/>
    </row>
    <row r="43" spans="4:13" ht="20.100000000000001" customHeight="1" x14ac:dyDescent="0.25">
      <c r="D43" s="37" t="str">
        <f>'Constants - Livestock'!$E$16</f>
        <v>Drylot (feed pad)</v>
      </c>
      <c r="E43" s="37" t="str">
        <f>'Constants - Livestock'!$F$16</f>
        <v>Drylot (feed pad) (m=5)</v>
      </c>
      <c r="G43" s="37" t="str">
        <f>'Constants - Livestock'!$E$18</f>
        <v>Digester / covered lagoons</v>
      </c>
      <c r="H43" s="37" t="str">
        <f>'Constants - Livestock'!$F$18</f>
        <v>Digester / covered lagoons (m=7)</v>
      </c>
      <c r="K43" s="37" t="str">
        <f>'Constants - Livestock'!$E$16</f>
        <v>Drylot (feed pad)</v>
      </c>
      <c r="L43" s="37" t="str">
        <f>'Constants - Livestock'!$F$16</f>
        <v>Drylot (feed pad) (m=5)</v>
      </c>
      <c r="M43" s="1"/>
    </row>
    <row r="44" spans="4:13" ht="20.100000000000001" customHeight="1" x14ac:dyDescent="0.25">
      <c r="D44" s="37" t="str">
        <f>'Constants - Livestock'!$E$18</f>
        <v>Digester / covered lagoons</v>
      </c>
      <c r="E44" s="37" t="str">
        <f>'Constants - Livestock'!$F$18</f>
        <v>Digester / covered lagoons (m=7)</v>
      </c>
      <c r="G44" s="37" t="str">
        <f>'Constants - Livestock'!$E$19</f>
        <v>Deep litter</v>
      </c>
      <c r="H44" s="37" t="str">
        <f>'Constants - Livestock'!$F$19</f>
        <v>Deep litter (m=8)</v>
      </c>
      <c r="K44" s="37" t="str">
        <f>'Constants - Livestock'!$E$18</f>
        <v>Digester / covered lagoons</v>
      </c>
      <c r="L44" s="37" t="str">
        <f>'Constants - Livestock'!$F$18</f>
        <v>Digester / covered lagoons (m=7)</v>
      </c>
      <c r="M44" s="1"/>
    </row>
    <row r="45" spans="4:13" ht="20.100000000000001" customHeight="1" x14ac:dyDescent="0.25">
      <c r="D45" s="37" t="str">
        <f>'Constants - Livestock'!$E$19</f>
        <v>Deep litter</v>
      </c>
      <c r="E45" s="37" t="str">
        <f>'Constants - Livestock'!$F$19</f>
        <v>Deep litter (m=8)</v>
      </c>
      <c r="G45" s="37" t="str">
        <f>'Constants - Livestock'!$E$20</f>
        <v>Pit storage</v>
      </c>
      <c r="H45" s="37" t="str">
        <f>'Constants - Livestock'!$F$20</f>
        <v>Pit storage (m=9)</v>
      </c>
      <c r="K45" s="37" t="str">
        <f>'Constants - Livestock'!$E$19</f>
        <v>Deep litter</v>
      </c>
      <c r="L45" s="37" t="str">
        <f>'Constants - Livestock'!$F$19</f>
        <v>Deep litter (m=8)</v>
      </c>
      <c r="M45" s="1"/>
    </row>
    <row r="46" spans="4:13" ht="20.100000000000001" customHeight="1" x14ac:dyDescent="0.25">
      <c r="D46" s="37" t="str">
        <f>'Constants - Livestock'!$E$20</f>
        <v>Pit storage</v>
      </c>
      <c r="E46" s="37" t="str">
        <f>'Constants - Livestock'!$F$20</f>
        <v>Pit storage (m=9)</v>
      </c>
      <c r="K46" s="37" t="str">
        <f>'Constants - Livestock'!$E$20</f>
        <v>Pit storage</v>
      </c>
      <c r="L46" s="37" t="str">
        <f>'Constants - Livestock'!$F$20</f>
        <v>Pit storage (m=9)</v>
      </c>
      <c r="M46" s="1"/>
    </row>
    <row r="47" spans="4:13" ht="20.100000000000001" customHeight="1" x14ac:dyDescent="0.25">
      <c r="D47" s="37" t="str">
        <f>'Constants - Livestock'!$E$26</f>
        <v>Direct application</v>
      </c>
      <c r="E47" s="37" t="str">
        <f>'Constants - Livestock'!$F$26</f>
        <v>Direct application (m=13)</v>
      </c>
      <c r="M47" s="1"/>
    </row>
    <row r="48" spans="4:13" ht="20.100000000000001" customHeight="1" x14ac:dyDescent="0.25">
      <c r="M48" s="1"/>
    </row>
    <row r="49" spans="1:13" ht="20.100000000000001" customHeight="1" x14ac:dyDescent="0.25">
      <c r="M49" s="1"/>
    </row>
    <row r="50" spans="1:13" ht="20.100000000000001" customHeight="1" x14ac:dyDescent="0.25">
      <c r="M50" s="1"/>
    </row>
    <row r="51" spans="1:13" ht="20.100000000000001" customHeight="1" x14ac:dyDescent="0.25">
      <c r="D51" s="6" t="s">
        <v>157</v>
      </c>
      <c r="G51" s="6" t="s">
        <v>158</v>
      </c>
      <c r="M51" s="1"/>
    </row>
    <row r="52" spans="1:13" ht="20.100000000000001" customHeight="1" x14ac:dyDescent="0.25">
      <c r="M52" s="1"/>
    </row>
    <row r="53" spans="1:13" ht="20.100000000000001" customHeight="1" x14ac:dyDescent="0.25">
      <c r="D53" s="120" t="s">
        <v>67</v>
      </c>
      <c r="E53" s="37" t="s">
        <v>159</v>
      </c>
      <c r="G53" s="37" t="s">
        <v>109</v>
      </c>
      <c r="M53" s="1"/>
    </row>
    <row r="54" spans="1:13" ht="20.100000000000001" customHeight="1" x14ac:dyDescent="0.25">
      <c r="D54" s="37" t="str">
        <f>'Constants - Livestock'!$E$10</f>
        <v>Anaerobic lagoon</v>
      </c>
      <c r="E54" s="37">
        <v>0</v>
      </c>
      <c r="G54" s="37" t="str" cm="1">
        <f t="array" ref="G54">Common_InputFunctions.Utility_DisplayArrayInTable(SourceData_Swine.SourceData_Swine_ProductionSystems_Data(), Table_SourceData_Swine_ProductionSystems[[#Headers],[Production system]], 0)</f>
        <v>Conventional housing</v>
      </c>
      <c r="M54" s="1"/>
    </row>
    <row r="55" spans="1:13" ht="20.100000000000001" customHeight="1" x14ac:dyDescent="0.25">
      <c r="D55" s="37" t="str">
        <f>'Constants - Livestock'!$E$15</f>
        <v>Solid storage</v>
      </c>
      <c r="E55" s="37">
        <v>0</v>
      </c>
      <c r="G55" s="37" t="str" cm="1">
        <f t="array" ref="G55">Common_InputFunctions.Utility_DisplayArrayInTable(SourceData_Swine.SourceData_Swine_ProductionSystems_Data(), Table_SourceData_Swine_ProductionSystems[[#Headers],[Production system]], 0)</f>
        <v>Deep litter housing</v>
      </c>
      <c r="M55" s="1"/>
    </row>
    <row r="56" spans="1:13" ht="20.100000000000001" customHeight="1" x14ac:dyDescent="0.25">
      <c r="D56" s="37" t="str">
        <f>'Constants - Livestock'!$E$16</f>
        <v>Drylot (feed pad)</v>
      </c>
      <c r="E56" s="37">
        <v>0</v>
      </c>
      <c r="G56" s="37" t="str" cm="1">
        <f t="array" ref="G56">Common_InputFunctions.Utility_DisplayArrayInTable(SourceData_Swine.SourceData_Swine_ProductionSystems_Data(), Table_SourceData_Swine_ProductionSystems[[#Headers],[Production system]], 0)</f>
        <v>Outdoor/free range</v>
      </c>
      <c r="M56" s="1"/>
    </row>
    <row r="57" spans="1:13" ht="20.100000000000001" customHeight="1" x14ac:dyDescent="0.25">
      <c r="D57" s="37" t="str">
        <f>'Constants - Livestock'!$E$18</f>
        <v>Digester / covered lagoons</v>
      </c>
      <c r="E57" s="37">
        <v>0.75</v>
      </c>
      <c r="M57" s="1"/>
    </row>
    <row r="58" spans="1:13" ht="20.100000000000001" customHeight="1" x14ac:dyDescent="0.25">
      <c r="D58" s="37" t="str">
        <f>'Constants - Livestock'!$E$19</f>
        <v>Deep litter</v>
      </c>
      <c r="E58" s="37">
        <v>0.05</v>
      </c>
      <c r="M58" s="1"/>
    </row>
    <row r="59" spans="1:13" ht="20.100000000000001" customHeight="1" x14ac:dyDescent="0.25">
      <c r="D59" s="37" t="str">
        <f>'Constants - Livestock'!$E$20</f>
        <v>Pit storage</v>
      </c>
      <c r="E59" s="37">
        <v>0</v>
      </c>
      <c r="M59" s="1"/>
    </row>
    <row r="60" spans="1:13" ht="20.100000000000001" customHeight="1" x14ac:dyDescent="0.25">
      <c r="D60" s="37" t="str">
        <f>'Constants - Livestock'!$E$26</f>
        <v>Direct application</v>
      </c>
      <c r="E60" s="37">
        <v>0</v>
      </c>
      <c r="M60" s="1"/>
    </row>
    <row r="61" spans="1:13" ht="20.100000000000001" customHeight="1" x14ac:dyDescent="0.25">
      <c r="M61" s="1"/>
    </row>
    <row r="62" spans="1:13" ht="20.100000000000001" customHeight="1" x14ac:dyDescent="0.25">
      <c r="M62" s="1"/>
    </row>
    <row r="63" spans="1:13" ht="20.100000000000001" customHeight="1" x14ac:dyDescent="0.25">
      <c r="A63" s="150" t="str">
        <f>HYPERLINK("#A1", "▲ Back to top")</f>
        <v>▲ Back to top</v>
      </c>
      <c r="D63" s="6" t="str" cm="1">
        <f t="array" ref="D63">SourceData_Swine.SourceData_Swine_VolatileSolids_Title()</f>
        <v>Swine - Volatile solids (VSj) - 2020 to 2024</v>
      </c>
      <c r="M63" s="1"/>
    </row>
    <row r="64" spans="1:13" ht="20.100000000000001" customHeight="1" x14ac:dyDescent="0.25">
      <c r="D64" s="5" t="str" cm="1">
        <f t="array" ref="D64">SourceData_Swine.SourceData_Swine_VolatileSolids_Source()</f>
        <v>VEERG 2026: Table A.1.6.1: Swine - Intake and manure characteristics derived from PigBal</v>
      </c>
      <c r="M64" s="1"/>
    </row>
    <row r="65" spans="4:22" ht="20.100000000000001" customHeight="1" x14ac:dyDescent="0.25">
      <c r="D65" s="55" t="str" cm="1">
        <f t="array" ref="D65">SourceData_Swine.SourceData_Swine_VolatileSolids_Variation()</f>
        <v>VARIATION ON SOURCE DATA: Only uses data for 2020-2024. Use 'Slaughter pigs' data for 'Other j=4' class.</v>
      </c>
      <c r="M65" s="1"/>
    </row>
    <row r="66" spans="4:22" ht="20.100000000000001" customHeight="1" x14ac:dyDescent="0.25">
      <c r="M66" s="1"/>
    </row>
    <row r="67" spans="4:22" ht="20.100000000000001" customHeight="1" x14ac:dyDescent="0.25">
      <c r="D67" s="37" t="s">
        <v>149</v>
      </c>
      <c r="E67" s="37" t="s">
        <v>150</v>
      </c>
      <c r="M67" s="1"/>
    </row>
    <row r="68" spans="4:22" ht="20.100000000000001" customHeight="1" x14ac:dyDescent="0.25">
      <c r="D68" s="37" t="str" cm="1">
        <f t="array" ref="D68">Common_InputFunctions.Utility_DisplayArrayInTable(SourceData_Swine.SourceData_Swine_VolatileSolids_Data(), Table_SourceData_Swine_VolatileSolids[[#Headers],[Class]], 0)</f>
        <v>Boars</v>
      </c>
      <c r="E68" s="37" cm="1">
        <f t="array" ref="E68">Common_InputFunctions.Utility_DisplayArrayInTable(SourceData_Swine.SourceData_Swine_VolatileSolids_Data(), Table_SourceData_Swine_VolatileSolids[[#Headers],[Class]], 0)</f>
        <v>0.4</v>
      </c>
      <c r="M68" s="1"/>
    </row>
    <row r="69" spans="4:22" ht="20.100000000000001" customHeight="1" x14ac:dyDescent="0.25">
      <c r="D69" s="1" t="str" cm="1">
        <f t="array" ref="D69">Common_InputFunctions.Utility_DisplayArrayInTable(SourceData_Swine.SourceData_Swine_VolatileSolids_Data(), Table_SourceData_Swine_VolatileSolids[[#Headers],[Class]], 0)</f>
        <v>Sows</v>
      </c>
      <c r="E69" s="37" cm="1">
        <f t="array" ref="E69">Common_InputFunctions.Utility_DisplayArrayInTable(SourceData_Swine.SourceData_Swine_VolatileSolids_Data(), Table_SourceData_Swine_VolatileSolids[[#Headers],[Class]], 0)</f>
        <v>0.46</v>
      </c>
      <c r="M69" s="1"/>
    </row>
    <row r="70" spans="4:22" ht="20.100000000000001" customHeight="1" x14ac:dyDescent="0.25">
      <c r="D70" s="1" t="str" cm="1">
        <f t="array" ref="D70">Common_InputFunctions.Utility_DisplayArrayInTable(SourceData_Swine.SourceData_Swine_VolatileSolids_Data(), Table_SourceData_Swine_VolatileSolids[[#Headers],[Class]], 0)</f>
        <v>Gilts</v>
      </c>
      <c r="E70" s="37" cm="1">
        <f t="array" ref="E70">Common_InputFunctions.Utility_DisplayArrayInTable(SourceData_Swine.SourceData_Swine_VolatileSolids_Data(), Table_SourceData_Swine_VolatileSolids[[#Headers],[Class]], 0)</f>
        <v>0.55000000000000004</v>
      </c>
      <c r="M70" s="1"/>
    </row>
    <row r="71" spans="4:22" ht="20.100000000000001" customHeight="1" x14ac:dyDescent="0.25">
      <c r="D71" s="1" t="str" cm="1">
        <f t="array" ref="D71">Common_InputFunctions.Utility_DisplayArrayInTable(SourceData_Swine.SourceData_Swine_VolatileSolids_Data(), Table_SourceData_Swine_VolatileSolids[[#Headers],[Class]], 0)</f>
        <v>Others</v>
      </c>
      <c r="E71" s="37" cm="1">
        <f t="array" ref="E71">Common_InputFunctions.Utility_DisplayArrayInTable(SourceData_Swine.SourceData_Swine_VolatileSolids_Data(), Table_SourceData_Swine_VolatileSolids[[#Headers],[Class]], 0)</f>
        <v>0.39</v>
      </c>
      <c r="M71" s="1"/>
      <c r="V71" s="1"/>
    </row>
    <row r="72" spans="4:22" ht="20.100000000000001" customHeight="1" x14ac:dyDescent="0.25">
      <c r="M72" s="1"/>
      <c r="V72" s="1"/>
    </row>
    <row r="73" spans="4:22" ht="20.100000000000001" customHeight="1" x14ac:dyDescent="0.25">
      <c r="M73" s="1"/>
      <c r="V73" s="1"/>
    </row>
    <row r="74" spans="4:22" ht="20.100000000000001" customHeight="1" x14ac:dyDescent="0.25">
      <c r="D74" s="6" t="str" cm="1">
        <f t="array" ref="D74">SourceData_Swine.SourceData_Swine_FeedIntake_Title()</f>
        <v>Swine - Feed intake - ingested as fed  (Ij) - 2020 to 2024</v>
      </c>
      <c r="M74" s="1"/>
      <c r="V74" s="1"/>
    </row>
    <row r="75" spans="4:22" ht="20.100000000000001" customHeight="1" x14ac:dyDescent="0.25">
      <c r="D75" s="5" t="str" cm="1">
        <f t="array" ref="D75">SourceData_Swine.SourceData_Swine_FeedIntake_Source()</f>
        <v>VEERG 2026: Table A.1.6.1: Swine - Intake and manure characteristics derived from PigBal</v>
      </c>
      <c r="M75" s="1"/>
      <c r="V75" s="1"/>
    </row>
    <row r="76" spans="4:22" ht="20.100000000000001" customHeight="1" x14ac:dyDescent="0.25">
      <c r="D76" s="55" t="str" cm="1">
        <f t="array" ref="D76">SourceData_Swine.SourceData_Swine_FeedIntake_Variation()</f>
        <v>VARIATION ON SOURCE DATA: Only uses data for 2020-2024. Use 'Slaughter pigs' data for 'Other j=4' class.</v>
      </c>
      <c r="M76" s="1"/>
      <c r="V76" s="1"/>
    </row>
    <row r="77" spans="4:22" ht="20.100000000000001" customHeight="1" x14ac:dyDescent="0.25">
      <c r="M77" s="1"/>
      <c r="V77" s="1"/>
    </row>
    <row r="78" spans="4:22" ht="20.100000000000001" customHeight="1" x14ac:dyDescent="0.25">
      <c r="D78" s="37" t="s">
        <v>149</v>
      </c>
      <c r="E78" s="37" t="s">
        <v>232</v>
      </c>
      <c r="M78" s="1"/>
      <c r="V78" s="1"/>
    </row>
    <row r="79" spans="4:22" ht="20.100000000000001" customHeight="1" x14ac:dyDescent="0.25">
      <c r="D79" s="37" t="str" cm="1">
        <f t="array" ref="D79">Common_InputFunctions.Utility_DisplayArrayInTable(SourceData_Swine.SourceData_Swine_FeedIntake_Data(), Table_SourceData_Swine_FeedIntake[[#Headers],[Class]], 0)</f>
        <v>Boars</v>
      </c>
      <c r="E79" s="37" cm="1">
        <f t="array" ref="E79">Common_InputFunctions.Utility_DisplayArrayInTable(SourceData_Swine.SourceData_Swine_FeedIntake_Data(), Table_SourceData_Swine_FeedIntake[[#Headers],[Class]], 0)</f>
        <v>2.62</v>
      </c>
      <c r="M79" s="1"/>
      <c r="V79" s="1"/>
    </row>
    <row r="80" spans="4:22" ht="20.100000000000001" customHeight="1" x14ac:dyDescent="0.25">
      <c r="D80" s="37" t="str" cm="1">
        <f t="array" ref="D80">Common_InputFunctions.Utility_DisplayArrayInTable(SourceData_Swine.SourceData_Swine_FeedIntake_Data(), Table_SourceData_Swine_FeedIntake[[#Headers],[Class]], 0)</f>
        <v>Sows</v>
      </c>
      <c r="E80" s="37" cm="1">
        <f t="array" ref="E80">Common_InputFunctions.Utility_DisplayArrayInTable(SourceData_Swine.SourceData_Swine_FeedIntake_Data(), Table_SourceData_Swine_FeedIntake[[#Headers],[Class]], 0)</f>
        <v>2.2999999999999998</v>
      </c>
      <c r="M80" s="1"/>
      <c r="V80" s="1"/>
    </row>
    <row r="81" spans="4:23" ht="20.100000000000001" customHeight="1" x14ac:dyDescent="0.25">
      <c r="D81" s="37" t="str" cm="1">
        <f t="array" ref="D81">Common_InputFunctions.Utility_DisplayArrayInTable(SourceData_Swine.SourceData_Swine_FeedIntake_Data(), Table_SourceData_Swine_FeedIntake[[#Headers],[Class]], 0)</f>
        <v>Gilts</v>
      </c>
      <c r="E81" s="37" cm="1">
        <f t="array" ref="E81">Common_InputFunctions.Utility_DisplayArrayInTable(SourceData_Swine.SourceData_Swine_FeedIntake_Data(), Table_SourceData_Swine_FeedIntake[[#Headers],[Class]], 0)</f>
        <v>2.5</v>
      </c>
      <c r="M81" s="1"/>
      <c r="V81" s="1"/>
    </row>
    <row r="82" spans="4:23" ht="20.100000000000001" customHeight="1" x14ac:dyDescent="0.25">
      <c r="D82" s="37" t="str" cm="1">
        <f t="array" ref="D82">Common_InputFunctions.Utility_DisplayArrayInTable(SourceData_Swine.SourceData_Swine_FeedIntake_Data(), Table_SourceData_Swine_FeedIntake[[#Headers],[Class]], 0)</f>
        <v>Others</v>
      </c>
      <c r="E82" s="37" cm="1">
        <f t="array" ref="E82">Common_InputFunctions.Utility_DisplayArrayInTable(SourceData_Swine.SourceData_Swine_FeedIntake_Data(), Table_SourceData_Swine_FeedIntake[[#Headers],[Class]], 0)</f>
        <v>1.71</v>
      </c>
      <c r="M82" s="1"/>
      <c r="V82" s="1"/>
    </row>
    <row r="83" spans="4:23" ht="20.100000000000001" customHeight="1" x14ac:dyDescent="0.25">
      <c r="M83" s="1"/>
    </row>
    <row r="84" spans="4:23" ht="20.100000000000001" customHeight="1" x14ac:dyDescent="0.25">
      <c r="M84" s="1"/>
    </row>
    <row r="85" spans="4:23" ht="20.100000000000001" customHeight="1" x14ac:dyDescent="0.25">
      <c r="D85" s="6" t="str" cm="1">
        <f t="array" ref="D85">SourceData_Swine.SourceData_Swine_NitrogenInWaste_Title()</f>
        <v>Swine - Nitrogen in waste (NWj) - 2020 to 2024</v>
      </c>
      <c r="M85" s="1"/>
      <c r="V85" s="1"/>
    </row>
    <row r="86" spans="4:23" ht="20.100000000000001" customHeight="1" x14ac:dyDescent="0.25">
      <c r="D86" s="5" t="str" cm="1">
        <f t="array" ref="D86">SourceData_Swine.SourceData_Swine_NitrogenInWaste_Source()</f>
        <v>VEERG 2026: Table A.1.6.1: Swine - Intake and manure characteristics derived from PigBal</v>
      </c>
      <c r="M86" s="1"/>
      <c r="V86" s="1"/>
    </row>
    <row r="87" spans="4:23" ht="20.100000000000001" customHeight="1" x14ac:dyDescent="0.25">
      <c r="D87" s="55" t="str" cm="1">
        <f t="array" ref="D87">SourceData_Swine.SourceData_Swine_NitrogenInWaste_Variation()</f>
        <v>VARIATION ON SOURCE DATA: Only uses data for 2020-2024. Use 'Slaughter pigs' data for 'Other j=4' class. Added 'NWj daily' column to provide daily value for Others class. Added 'Class name' column to aid lookup.</v>
      </c>
      <c r="M87" s="1"/>
      <c r="V87" s="1"/>
    </row>
    <row r="88" spans="4:23" ht="20.100000000000001" customHeight="1" x14ac:dyDescent="0.25">
      <c r="M88" s="1"/>
      <c r="V88" s="1"/>
    </row>
    <row r="89" spans="4:23" ht="20.100000000000001" customHeight="1" x14ac:dyDescent="0.25">
      <c r="D89" s="37" t="s">
        <v>149</v>
      </c>
      <c r="E89" s="37" t="s">
        <v>230</v>
      </c>
      <c r="F89" s="37" t="s">
        <v>231</v>
      </c>
      <c r="G89" s="37" t="s">
        <v>295</v>
      </c>
      <c r="M89" s="1"/>
      <c r="V89" s="1"/>
      <c r="W89" s="1"/>
    </row>
    <row r="90" spans="4:23" ht="20.100000000000001" customHeight="1" x14ac:dyDescent="0.25">
      <c r="D90" s="37" t="str" cm="1">
        <f t="array" ref="D90">Common_InputFunctions.Utility_DisplayArrayInTable(SourceData_Swine.SourceData_Swine_NitrogenInWaste_Data(), Table_SourceData_Swine_NitrogenInWaste[[#Headers],[Class]], 0)</f>
        <v>Boars</v>
      </c>
      <c r="E90" s="37" cm="1">
        <f t="array" ref="E90">Common_InputFunctions.Utility_DisplayArrayInTable(SourceData_Swine.SourceData_Swine_NitrogenInWaste_Data(), Table_SourceData_Swine_NitrogenInWaste[[#Headers],[Class]], 0)</f>
        <v>4.5999999999999999E-2</v>
      </c>
      <c r="F90" s="37" cm="1">
        <f t="array" ref="F90">Common_InputFunctions.Utility_DisplayArrayInTable(SourceData_Swine.SourceData_Swine_NitrogenInWaste_Data(), Table_SourceData_Swine_NitrogenInWaste[[#Headers],[Class]], 0)</f>
        <v>4.5999999999999999E-2</v>
      </c>
      <c r="G90" s="37" t="str" cm="1">
        <f t="array" ref="G90">Common_InputFunctions.Utility_DisplayArrayInTable(SourceData_Swine.SourceData_Swine_NitrogenInWaste_Data(), Table_SourceData_Swine_NitrogenInWaste[[#Headers],[Class]], 0)</f>
        <v>Boars</v>
      </c>
      <c r="M90" s="1"/>
      <c r="V90" s="1"/>
      <c r="W90" s="1"/>
    </row>
    <row r="91" spans="4:23" ht="20.100000000000001" customHeight="1" x14ac:dyDescent="0.25">
      <c r="D91" s="37" t="str" cm="1">
        <f t="array" ref="D91">Common_InputFunctions.Utility_DisplayArrayInTable(SourceData_Swine.SourceData_Swine_NitrogenInWaste_Data(), Table_SourceData_Swine_NitrogenInWaste[[#Headers],[Class]], 0)</f>
        <v>Sows</v>
      </c>
      <c r="E91" s="37" cm="1">
        <f t="array" ref="E91">Common_InputFunctions.Utility_DisplayArrayInTable(SourceData_Swine.SourceData_Swine_NitrogenInWaste_Data(), Table_SourceData_Swine_NitrogenInWaste[[#Headers],[Class]], 0)</f>
        <v>4.9000000000000002E-2</v>
      </c>
      <c r="F91" s="37" cm="1">
        <f t="array" ref="F91">Common_InputFunctions.Utility_DisplayArrayInTable(SourceData_Swine.SourceData_Swine_NitrogenInWaste_Data(), Table_SourceData_Swine_NitrogenInWaste[[#Headers],[Class]], 0)</f>
        <v>4.9000000000000002E-2</v>
      </c>
      <c r="G91" s="37" t="str" cm="1">
        <f t="array" ref="G91">Common_InputFunctions.Utility_DisplayArrayInTable(SourceData_Swine.SourceData_Swine_NitrogenInWaste_Data(), Table_SourceData_Swine_NitrogenInWaste[[#Headers],[Class]], 0)</f>
        <v>Sows</v>
      </c>
      <c r="M91" s="1"/>
      <c r="V91" s="1"/>
    </row>
    <row r="92" spans="4:23" ht="20.100000000000001" customHeight="1" x14ac:dyDescent="0.25">
      <c r="D92" s="37" t="str" cm="1">
        <f t="array" ref="D92">Common_InputFunctions.Utility_DisplayArrayInTable(SourceData_Swine.SourceData_Swine_NitrogenInWaste_Data(), Table_SourceData_Swine_NitrogenInWaste[[#Headers],[Class]], 0)</f>
        <v>Gilts</v>
      </c>
      <c r="E92" s="37" cm="1">
        <f t="array" ref="E92">Common_InputFunctions.Utility_DisplayArrayInTable(SourceData_Swine.SourceData_Swine_NitrogenInWaste_Data(), Table_SourceData_Swine_NitrogenInWaste[[#Headers],[Class]], 0)</f>
        <v>4.5999999999999999E-2</v>
      </c>
      <c r="F92" s="37" cm="1">
        <f t="array" ref="F92">Common_InputFunctions.Utility_DisplayArrayInTable(SourceData_Swine.SourceData_Swine_NitrogenInWaste_Data(), Table_SourceData_Swine_NitrogenInWaste[[#Headers],[Class]], 0)</f>
        <v>4.5999999999999999E-2</v>
      </c>
      <c r="G92" s="37" t="str" cm="1">
        <f t="array" ref="G92">Common_InputFunctions.Utility_DisplayArrayInTable(SourceData_Swine.SourceData_Swine_NitrogenInWaste_Data(), Table_SourceData_Swine_NitrogenInWaste[[#Headers],[Class]], 0)</f>
        <v>Gilts</v>
      </c>
      <c r="M92" s="1"/>
      <c r="V92" s="1"/>
    </row>
    <row r="93" spans="4:23" ht="20.100000000000001" customHeight="1" x14ac:dyDescent="0.25">
      <c r="D93" s="37" t="str" cm="1">
        <f t="array" ref="D93">Common_InputFunctions.Utility_DisplayArrayInTable(SourceData_Swine.SourceData_Swine_NitrogenInWaste_Data(), Table_SourceData_Swine_NitrogenInWaste[[#Headers],[Class]], 0)</f>
        <v>Others (kg/head/year)</v>
      </c>
      <c r="E93" s="37" cm="1">
        <f t="array" ref="E93">Common_InputFunctions.Utility_DisplayArrayInTable(SourceData_Swine.SourceData_Swine_NitrogenInWaste_Data(), Table_SourceData_Swine_NitrogenInWaste[[#Headers],[Class]], 0)</f>
        <v>11.4</v>
      </c>
      <c r="F93" s="37" cm="1">
        <f t="array" ref="F93">Common_InputFunctions.Utility_DisplayArrayInTable(SourceData_Swine.SourceData_Swine_NitrogenInWaste_Data(), Table_SourceData_Swine_NitrogenInWaste[[#Headers],[Class]], 0)</f>
        <v>3.1199999999999999E-2</v>
      </c>
      <c r="G93" s="37" t="str" cm="1">
        <f t="array" ref="G93">Common_InputFunctions.Utility_DisplayArrayInTable(SourceData_Swine.SourceData_Swine_NitrogenInWaste_Data(), Table_SourceData_Swine_NitrogenInWaste[[#Headers],[Class]], 0)</f>
        <v>Others</v>
      </c>
      <c r="M93" s="1"/>
      <c r="V93" s="1"/>
    </row>
    <row r="94" spans="4:23" ht="20.100000000000001" customHeight="1" x14ac:dyDescent="0.25">
      <c r="M94" s="1"/>
    </row>
    <row r="95" spans="4:23" ht="20.100000000000001" customHeight="1" x14ac:dyDescent="0.25">
      <c r="M95" s="1"/>
    </row>
    <row r="96" spans="4:23" ht="20.100000000000001" customHeight="1" x14ac:dyDescent="0.25">
      <c r="D96" s="6" t="str" cm="1">
        <f t="array" ref="D96">SourceData_Swine.SourceData_Swine_FractionNVolatilised_Title()</f>
        <v>Swine - Fraction of nitrogen volatilised (FracGASMmT)</v>
      </c>
      <c r="M96" s="1"/>
    </row>
    <row r="97" spans="4:13" ht="20.100000000000001" customHeight="1" x14ac:dyDescent="0.25">
      <c r="D97" s="5" t="str" cm="1">
        <f t="array" ref="D97">SourceData_Swine.SourceData_Swine_FractionNVolatilised_Source()</f>
        <v>VEERG 2026: Table A.1.6.2: Swine - Fraction of N volatilised by MMS ((kg NH3-N + NOx-N)/kgN) (FracGASMmT)</v>
      </c>
      <c r="M97" s="1"/>
    </row>
    <row r="98" spans="4:13" ht="20.100000000000001" customHeight="1" x14ac:dyDescent="0.25">
      <c r="D98" s="55" t="str" cm="1">
        <f t="array" ref="D98">SourceData_Swine.SourceData_Swine_FractionNVolatilised_Variation()</f>
        <v>VARIATION ON SOURCE DATA: Added 'NIR reference column to aid lookup.</v>
      </c>
      <c r="M98" s="1"/>
    </row>
    <row r="99" spans="4:13" ht="20.100000000000001" customHeight="1" x14ac:dyDescent="0.25">
      <c r="D99" s="37" t="s">
        <v>233</v>
      </c>
      <c r="E99" s="37" t="s">
        <v>234</v>
      </c>
      <c r="F99" s="37" t="s">
        <v>235</v>
      </c>
      <c r="M99" s="1"/>
    </row>
    <row r="100" spans="4:13" ht="20.100000000000001" customHeight="1" x14ac:dyDescent="0.25">
      <c r="D100" s="37" t="str" cm="1">
        <f t="array" ref="D100">Common_InputFunctions.Utility_DisplayArrayInTable(SourceData_Swine.SourceData_Swine_FractionNVolatilised_Data(), Table_SourceData_Swine_FracGASM[[#Headers],[MMSm]],0)</f>
        <v>Outdoor (Dry lot)</v>
      </c>
      <c r="E100" s="37" cm="1">
        <f t="array" ref="E100">Common_InputFunctions.Utility_DisplayArrayInTable(SourceData_Swine.SourceData_Swine_FractionNVolatilised_Data(), Table_SourceData_Swine_FracGASM[[#Headers],[MMSm]],0)</f>
        <v>0.3</v>
      </c>
      <c r="F100" s="37" t="str" cm="1">
        <f t="array" ref="F100">Common_InputFunctions.Utility_DisplayArrayInTable(SourceData_Swine.SourceData_Swine_FractionNVolatilised_Data(), Table_SourceData_Swine_FracGASM[[#Headers],[MMSm]],0)</f>
        <v>Drylot (feed pad)</v>
      </c>
      <c r="M100" s="1"/>
    </row>
    <row r="101" spans="4:13" ht="20.100000000000001" customHeight="1" x14ac:dyDescent="0.25">
      <c r="D101" s="37" t="str" cm="1">
        <f t="array" ref="D101">Common_InputFunctions.Utility_DisplayArrayInTable(SourceData_Swine.SourceData_Swine_FractionNVolatilised_Data(), Table_SourceData_Swine_FracGASM[[#Headers],[MMSm]],0)</f>
        <v>Deep litter</v>
      </c>
      <c r="E101" s="37" cm="1">
        <f t="array" ref="E101">Common_InputFunctions.Utility_DisplayArrayInTable(SourceData_Swine.SourceData_Swine_FractionNVolatilised_Data(), Table_SourceData_Swine_FracGASM[[#Headers],[MMSm]],0)</f>
        <v>0.125</v>
      </c>
      <c r="F101" s="37" t="str" cm="1">
        <f t="array" ref="F101">Common_InputFunctions.Utility_DisplayArrayInTable(SourceData_Swine.SourceData_Swine_FractionNVolatilised_Data(), Table_SourceData_Swine_FracGASM[[#Headers],[MMSm]],0)</f>
        <v>Deep litter</v>
      </c>
      <c r="M101" s="1"/>
    </row>
    <row r="102" spans="4:13" ht="20.100000000000001" customHeight="1" x14ac:dyDescent="0.25">
      <c r="D102" s="37" t="str" cm="1">
        <f t="array" ref="D102">Common_InputFunctions.Utility_DisplayArrayInTable(SourceData_Swine.SourceData_Swine_FractionNVolatilised_Data(), Table_SourceData_Swine_FracGASM[[#Headers],[MMSm]],0)</f>
        <v>Stockpile (Solid storage)</v>
      </c>
      <c r="E102" s="37" cm="1">
        <f t="array" ref="E102">Common_InputFunctions.Utility_DisplayArrayInTable(SourceData_Swine.SourceData_Swine_FractionNVolatilised_Data(), Table_SourceData_Swine_FracGASM[[#Headers],[MMSm]],0)</f>
        <v>0.2</v>
      </c>
      <c r="F102" s="37" t="str" cm="1">
        <f t="array" ref="F102">Common_InputFunctions.Utility_DisplayArrayInTable(SourceData_Swine.SourceData_Swine_FractionNVolatilised_Data(), Table_SourceData_Swine_FracGASM[[#Headers],[MMSm]],0)</f>
        <v>Solid storage</v>
      </c>
      <c r="M102" s="1"/>
    </row>
    <row r="103" spans="4:13" ht="20.100000000000001" customHeight="1" x14ac:dyDescent="0.25">
      <c r="D103" s="37" t="str" cm="1">
        <f t="array" ref="D103">Common_InputFunctions.Utility_DisplayArrayInTable(SourceData_Swine.SourceData_Swine_FractionNVolatilised_Data(), Table_SourceData_Swine_FracGASM[[#Headers],[MMSm]],0)</f>
        <v>Effluent pond (Uncovered anaerobic lagoon)</v>
      </c>
      <c r="E103" s="37" cm="1">
        <f t="array" ref="E103">Common_InputFunctions.Utility_DisplayArrayInTable(SourceData_Swine.SourceData_Swine_FractionNVolatilised_Data(), Table_SourceData_Swine_FracGASM[[#Headers],[MMSm]],0)</f>
        <v>0.55000000000000004</v>
      </c>
      <c r="F103" s="37" t="str" cm="1">
        <f t="array" ref="F103">Common_InputFunctions.Utility_DisplayArrayInTable(SourceData_Swine.SourceData_Swine_FractionNVolatilised_Data(), Table_SourceData_Swine_FracGASM[[#Headers],[MMSm]],0)</f>
        <v>Anaerobic lagoon</v>
      </c>
      <c r="M103" s="1"/>
    </row>
    <row r="104" spans="4:13" ht="20.100000000000001" customHeight="1" x14ac:dyDescent="0.25">
      <c r="D104" s="37" t="str" cm="1">
        <f t="array" ref="D104">Common_InputFunctions.Utility_DisplayArrayInTable(SourceData_Swine.SourceData_Swine_FractionNVolatilised_Data(), Table_SourceData_Swine_FracGASM[[#Headers],[MMSm]],0)</f>
        <v>Anaerobic digester / Covered lagoon</v>
      </c>
      <c r="E104" s="37" cm="1">
        <f t="array" ref="E104">Common_InputFunctions.Utility_DisplayArrayInTable(SourceData_Swine.SourceData_Swine_FractionNVolatilised_Data(), Table_SourceData_Swine_FracGASM[[#Headers],[MMSm]],0)</f>
        <v>0</v>
      </c>
      <c r="F104" s="37" t="str" cm="1">
        <f t="array" ref="F104">Common_InputFunctions.Utility_DisplayArrayInTable(SourceData_Swine.SourceData_Swine_FractionNVolatilised_Data(), Table_SourceData_Swine_FracGASM[[#Headers],[MMSm]],0)</f>
        <v>Digester / covered lagoons</v>
      </c>
      <c r="M104" s="1"/>
    </row>
    <row r="105" spans="4:13" ht="20.100000000000001" customHeight="1" x14ac:dyDescent="0.25">
      <c r="D105" s="37" t="str" cm="1">
        <f t="array" ref="D105">Common_InputFunctions.Utility_DisplayArrayInTable(SourceData_Swine.SourceData_Swine_FractionNVolatilised_Data(), Table_SourceData_Swine_FracGASM[[#Headers],[MMSm]],0)</f>
        <v>Short HRT tank storage &lt; 1 month (pit storage)</v>
      </c>
      <c r="E105" s="37" cm="1">
        <f t="array" ref="E105">Common_InputFunctions.Utility_DisplayArrayInTable(SourceData_Swine.SourceData_Swine_FractionNVolatilised_Data(), Table_SourceData_Swine_FracGASM[[#Headers],[MMSm]],0)</f>
        <v>0.25</v>
      </c>
      <c r="F105" s="37" t="str" cm="1">
        <f t="array" ref="F105">Common_InputFunctions.Utility_DisplayArrayInTable(SourceData_Swine.SourceData_Swine_FractionNVolatilised_Data(), Table_SourceData_Swine_FracGASM[[#Headers],[MMSm]],0)</f>
        <v>Pit storage</v>
      </c>
      <c r="M105" s="1"/>
    </row>
    <row r="106" spans="4:13" ht="20.100000000000001" customHeight="1" x14ac:dyDescent="0.25">
      <c r="M106" s="1"/>
    </row>
    <row r="107" spans="4:13" ht="20.100000000000001" customHeight="1" x14ac:dyDescent="0.25">
      <c r="M107" s="1"/>
    </row>
    <row r="108" spans="4:13" ht="20.100000000000001" customHeight="1" x14ac:dyDescent="0.25">
      <c r="D108" s="6" t="str" cm="1">
        <f t="array" ref="D108">SourceData_Swine.SourceData_Swine_NitrousOxideEFs_Title()</f>
        <v>Swine - Nitrous oxide EFs by MMS (EFmT)</v>
      </c>
      <c r="M108" s="1"/>
    </row>
    <row r="109" spans="4:13" ht="20.100000000000001" customHeight="1" x14ac:dyDescent="0.25">
      <c r="D109" s="5" t="str" cm="1">
        <f t="array" ref="D109">SourceData_Swine.SourceData_Swine_NitrousOxideEFs_Source()</f>
        <v>VEERG 2026: Table A.1.6.3: Swine - Nitrous oxide EFs by MMS (kgN2O-N/kgN) (EFmT)</v>
      </c>
      <c r="M109" s="1"/>
    </row>
    <row r="110" spans="4:13" ht="20.100000000000001" customHeight="1" x14ac:dyDescent="0.25">
      <c r="D110" s="55" t="str" cm="1">
        <f t="array" ref="D110">SourceData_Swine.SourceData_Swine_NitrousOxideEFs_Variation()</f>
        <v>VARIATION ON SOURCE DATA: Added 'NIR reference column to aid lookup.</v>
      </c>
      <c r="M110" s="1"/>
    </row>
    <row r="111" spans="4:13" ht="20.100000000000001" customHeight="1" x14ac:dyDescent="0.25">
      <c r="D111" s="37" t="s">
        <v>233</v>
      </c>
      <c r="E111" s="37" t="s">
        <v>255</v>
      </c>
      <c r="F111" s="37" t="s">
        <v>235</v>
      </c>
      <c r="M111" s="1"/>
    </row>
    <row r="112" spans="4:13" ht="20.100000000000001" customHeight="1" x14ac:dyDescent="0.25">
      <c r="D112" s="37" t="str" cm="1">
        <f t="array" ref="D112">Common_InputFunctions.Utility_DisplayArrayInTable(SourceData_Swine.SourceData_Swine_NitrousOxideEFs_Data(), Table_SourceData_Swine_FracGASM28[[#Headers],[MMSm]],0)</f>
        <v>Outdoor (Dry lot)</v>
      </c>
      <c r="E112" s="37" cm="1">
        <f t="array" ref="E112">Common_InputFunctions.Utility_DisplayArrayInTable(SourceData_Swine.SourceData_Swine_NitrousOxideEFs_Data(), Table_SourceData_Swine_FracGASM28[[#Headers],[MMSm]],0)</f>
        <v>0.02</v>
      </c>
      <c r="F112" s="37" t="str" cm="1">
        <f t="array" ref="F112">Common_InputFunctions.Utility_DisplayArrayInTable(SourceData_Swine.SourceData_Swine_NitrousOxideEFs_Data(), Table_SourceData_Swine_FracGASM28[[#Headers],[MMSm]],0)</f>
        <v>Drylot (feed pad)</v>
      </c>
      <c r="M112" s="1"/>
    </row>
    <row r="113" spans="1:22" ht="20.100000000000001" customHeight="1" x14ac:dyDescent="0.25">
      <c r="D113" s="37" t="str" cm="1">
        <f t="array" ref="D113">Common_InputFunctions.Utility_DisplayArrayInTable(SourceData_Swine.SourceData_Swine_NitrousOxideEFs_Data(), Table_SourceData_Swine_FracGASM28[[#Headers],[MMSm]],0)</f>
        <v>Deep litter</v>
      </c>
      <c r="E113" s="37" cm="1">
        <f t="array" ref="E113">Common_InputFunctions.Utility_DisplayArrayInTable(SourceData_Swine.SourceData_Swine_NitrousOxideEFs_Data(), Table_SourceData_Swine_FracGASM28[[#Headers],[MMSm]],0)</f>
        <v>0.01</v>
      </c>
      <c r="F113" s="37" t="str" cm="1">
        <f t="array" ref="F113">Common_InputFunctions.Utility_DisplayArrayInTable(SourceData_Swine.SourceData_Swine_NitrousOxideEFs_Data(), Table_SourceData_Swine_FracGASM28[[#Headers],[MMSm]],0)</f>
        <v>Deep litter</v>
      </c>
      <c r="M113" s="1"/>
    </row>
    <row r="114" spans="1:22" ht="20.100000000000001" customHeight="1" x14ac:dyDescent="0.25">
      <c r="D114" s="37" t="str" cm="1">
        <f t="array" ref="D114">Common_InputFunctions.Utility_DisplayArrayInTable(SourceData_Swine.SourceData_Swine_NitrousOxideEFs_Data(), Table_SourceData_Swine_FracGASM28[[#Headers],[MMSm]],0)</f>
        <v>Stockpile (Solid storage)</v>
      </c>
      <c r="E114" s="37" cm="1">
        <f t="array" ref="E114">Common_InputFunctions.Utility_DisplayArrayInTable(SourceData_Swine.SourceData_Swine_NitrousOxideEFs_Data(), Table_SourceData_Swine_FracGASM28[[#Headers],[MMSm]],0)</f>
        <v>5.0000000000000001E-3</v>
      </c>
      <c r="F114" s="37" t="str" cm="1">
        <f t="array" ref="F114">Common_InputFunctions.Utility_DisplayArrayInTable(SourceData_Swine.SourceData_Swine_NitrousOxideEFs_Data(), Table_SourceData_Swine_FracGASM28[[#Headers],[MMSm]],0)</f>
        <v>Solid storage</v>
      </c>
      <c r="M114" s="1"/>
    </row>
    <row r="115" spans="1:22" ht="20.100000000000001" customHeight="1" x14ac:dyDescent="0.25">
      <c r="D115" s="37" t="str" cm="1">
        <f t="array" ref="D115">Common_InputFunctions.Utility_DisplayArrayInTable(SourceData_Swine.SourceData_Swine_NitrousOxideEFs_Data(), Table_SourceData_Swine_FracGASM28[[#Headers],[MMSm]],0)</f>
        <v>Effluent pond (Uncovered anaerobic lagoon)</v>
      </c>
      <c r="E115" s="37" cm="1">
        <f t="array" ref="E115">Common_InputFunctions.Utility_DisplayArrayInTable(SourceData_Swine.SourceData_Swine_NitrousOxideEFs_Data(), Table_SourceData_Swine_FracGASM28[[#Headers],[MMSm]],0)</f>
        <v>0</v>
      </c>
      <c r="F115" s="37" t="str" cm="1">
        <f t="array" ref="F115">Common_InputFunctions.Utility_DisplayArrayInTable(SourceData_Swine.SourceData_Swine_NitrousOxideEFs_Data(), Table_SourceData_Swine_FracGASM28[[#Headers],[MMSm]],0)</f>
        <v>Anaerobic lagoon</v>
      </c>
      <c r="M115" s="1"/>
      <c r="V115" s="1"/>
    </row>
    <row r="116" spans="1:22" ht="20.100000000000001" customHeight="1" x14ac:dyDescent="0.25">
      <c r="D116" s="37" t="str" cm="1">
        <f t="array" ref="D116">Common_InputFunctions.Utility_DisplayArrayInTable(SourceData_Swine.SourceData_Swine_NitrousOxideEFs_Data(), Table_SourceData_Swine_FracGASM28[[#Headers],[MMSm]],0)</f>
        <v>Anaerobic digestor / Covered lagoon</v>
      </c>
      <c r="E116" s="37" cm="1">
        <f t="array" ref="E116">Common_InputFunctions.Utility_DisplayArrayInTable(SourceData_Swine.SourceData_Swine_NitrousOxideEFs_Data(), Table_SourceData_Swine_FracGASM28[[#Headers],[MMSm]],0)</f>
        <v>0</v>
      </c>
      <c r="F116" s="37" t="str" cm="1">
        <f t="array" ref="F116">Common_InputFunctions.Utility_DisplayArrayInTable(SourceData_Swine.SourceData_Swine_NitrousOxideEFs_Data(), Table_SourceData_Swine_FracGASM28[[#Headers],[MMSm]],0)</f>
        <v>Digester / covered lagoons</v>
      </c>
      <c r="M116" s="1"/>
      <c r="V116" s="1"/>
    </row>
    <row r="117" spans="1:22" ht="20.100000000000001" customHeight="1" x14ac:dyDescent="0.25">
      <c r="A117" s="150" t="str">
        <f>HYPERLINK("#A1", "▲ Back to top")</f>
        <v>▲ Back to top</v>
      </c>
      <c r="D117" s="37" t="str" cm="1">
        <f t="array" ref="D117">Common_InputFunctions.Utility_DisplayArrayInTable(SourceData_Swine.SourceData_Swine_NitrousOxideEFs_Data(), Table_SourceData_Swine_FracGASM28[[#Headers],[MMSm]],0)</f>
        <v>Short HRT tank storage &lt; 1 month (pit storage)</v>
      </c>
      <c r="E117" s="37" cm="1">
        <f t="array" ref="E117">Common_InputFunctions.Utility_DisplayArrayInTable(SourceData_Swine.SourceData_Swine_NitrousOxideEFs_Data(), Table_SourceData_Swine_FracGASM28[[#Headers],[MMSm]],0)</f>
        <v>2E-3</v>
      </c>
      <c r="F117" s="37" t="str" cm="1">
        <f t="array" ref="F117">Common_InputFunctions.Utility_DisplayArrayInTable(SourceData_Swine.SourceData_Swine_NitrousOxideEFs_Data(), Table_SourceData_Swine_FracGASM28[[#Headers],[MMSm]],0)</f>
        <v>Pit storage</v>
      </c>
      <c r="M117" s="1"/>
      <c r="V117" s="1"/>
    </row>
    <row r="118" spans="1:22" ht="20.100000000000001" customHeight="1" x14ac:dyDescent="0.25">
      <c r="M118" s="1"/>
    </row>
    <row r="119" spans="1:22" ht="20.100000000000001" customHeight="1" x14ac:dyDescent="0.25">
      <c r="M119" s="1"/>
    </row>
    <row r="120" spans="1:22" ht="20.100000000000001" customHeight="1" x14ac:dyDescent="0.25">
      <c r="M120" s="1"/>
    </row>
    <row r="121" spans="1:22" ht="20.100000000000001" customHeight="1" x14ac:dyDescent="0.25">
      <c r="M121" s="1"/>
    </row>
    <row r="122" spans="1:22" ht="20.100000000000001" customHeight="1" x14ac:dyDescent="0.25">
      <c r="M122" s="1"/>
    </row>
    <row r="123" spans="1:22" ht="20.100000000000001" customHeight="1" x14ac:dyDescent="0.25">
      <c r="M123" s="1"/>
    </row>
    <row r="124" spans="1:22" ht="20.100000000000001" customHeight="1" x14ac:dyDescent="0.25">
      <c r="M124" s="1"/>
    </row>
    <row r="125" spans="1:22" ht="20.100000000000001" customHeight="1" x14ac:dyDescent="0.25">
      <c r="M125" s="1"/>
      <c r="V125" s="1"/>
    </row>
    <row r="126" spans="1:22" ht="20.100000000000001" customHeight="1" x14ac:dyDescent="0.25">
      <c r="M126" s="1"/>
      <c r="V126" s="1"/>
    </row>
    <row r="127" spans="1:22" ht="20.100000000000001" customHeight="1" x14ac:dyDescent="0.25">
      <c r="M127" s="1"/>
      <c r="V127" s="1"/>
    </row>
    <row r="128" spans="1:22" ht="20.100000000000001" customHeight="1" x14ac:dyDescent="0.25">
      <c r="M128" s="1"/>
      <c r="V128" s="1"/>
    </row>
    <row r="129" spans="13:22" ht="20.100000000000001" customHeight="1" x14ac:dyDescent="0.25">
      <c r="M129" s="1"/>
      <c r="V129" s="1"/>
    </row>
    <row r="130" spans="13:22" ht="20.100000000000001" customHeight="1" x14ac:dyDescent="0.25">
      <c r="M130" s="1"/>
      <c r="V130" s="1"/>
    </row>
    <row r="131" spans="13:22" ht="20.100000000000001" customHeight="1" x14ac:dyDescent="0.25">
      <c r="M131" s="1"/>
    </row>
    <row r="132" spans="13:22" ht="20.100000000000001" customHeight="1" x14ac:dyDescent="0.25">
      <c r="M132" s="1"/>
    </row>
    <row r="133" spans="13:22" ht="20.100000000000001" customHeight="1" x14ac:dyDescent="0.25">
      <c r="M133" s="1"/>
    </row>
    <row r="134" spans="13:22" ht="20.100000000000001" customHeight="1" x14ac:dyDescent="0.25">
      <c r="M134" s="1"/>
    </row>
    <row r="135" spans="13:22" ht="20.100000000000001" customHeight="1" x14ac:dyDescent="0.25">
      <c r="M135" s="1"/>
    </row>
    <row r="136" spans="13:22" ht="20.100000000000001" customHeight="1" x14ac:dyDescent="0.25">
      <c r="M136" s="1"/>
    </row>
    <row r="137" spans="13:22" ht="20.100000000000001" customHeight="1" x14ac:dyDescent="0.25">
      <c r="M137" s="1"/>
    </row>
    <row r="138" spans="13:22" ht="20.100000000000001" customHeight="1" x14ac:dyDescent="0.25">
      <c r="M138" s="1"/>
    </row>
    <row r="139" spans="13:22" ht="20.100000000000001" customHeight="1" x14ac:dyDescent="0.25">
      <c r="M139" s="1"/>
    </row>
    <row r="140" spans="13:22" ht="20.100000000000001" customHeight="1" x14ac:dyDescent="0.25">
      <c r="M140" s="1"/>
    </row>
    <row r="141" spans="13:22" ht="20.100000000000001" customHeight="1" x14ac:dyDescent="0.25">
      <c r="M141" s="1"/>
    </row>
    <row r="142" spans="13:22" ht="20.100000000000001" customHeight="1" x14ac:dyDescent="0.25">
      <c r="M142" s="1"/>
    </row>
    <row r="143" spans="13:22" ht="20.100000000000001" customHeight="1" x14ac:dyDescent="0.25">
      <c r="M143" s="1"/>
    </row>
    <row r="144" spans="13:22" ht="20.100000000000001" customHeight="1" x14ac:dyDescent="0.25">
      <c r="M144" s="1"/>
    </row>
    <row r="145" spans="13:13" ht="20.100000000000001" customHeight="1" x14ac:dyDescent="0.25">
      <c r="M145" s="1"/>
    </row>
    <row r="146" spans="13:13" ht="20.100000000000001" customHeight="1" x14ac:dyDescent="0.25">
      <c r="M146" s="1"/>
    </row>
    <row r="147" spans="13:13" ht="20.100000000000001" customHeight="1" x14ac:dyDescent="0.25">
      <c r="M147" s="1"/>
    </row>
    <row r="148" spans="13:13" ht="20.100000000000001" customHeight="1" x14ac:dyDescent="0.25">
      <c r="M148" s="1"/>
    </row>
    <row r="149" spans="13:13" ht="20.100000000000001" customHeight="1" x14ac:dyDescent="0.25">
      <c r="M149" s="1"/>
    </row>
    <row r="150" spans="13:13" ht="20.100000000000001" customHeight="1" x14ac:dyDescent="0.25">
      <c r="M150" s="1"/>
    </row>
    <row r="151" spans="13:13" ht="20.100000000000001" customHeight="1" x14ac:dyDescent="0.25">
      <c r="M151" s="1"/>
    </row>
    <row r="152" spans="13:13" ht="20.100000000000001" customHeight="1" x14ac:dyDescent="0.25">
      <c r="M152" s="1"/>
    </row>
    <row r="153" spans="13:13" ht="20.100000000000001" customHeight="1" x14ac:dyDescent="0.25">
      <c r="M153" s="1"/>
    </row>
    <row r="154" spans="13:13" ht="20.100000000000001" customHeight="1" x14ac:dyDescent="0.25">
      <c r="M154" s="1"/>
    </row>
    <row r="155" spans="13:13" ht="20.100000000000001" customHeight="1" x14ac:dyDescent="0.25">
      <c r="M155" s="1"/>
    </row>
    <row r="156" spans="13:13" ht="20.100000000000001" customHeight="1" x14ac:dyDescent="0.25">
      <c r="M156" s="1"/>
    </row>
    <row r="157" spans="13:13" ht="20.100000000000001" customHeight="1" x14ac:dyDescent="0.25">
      <c r="M157" s="1"/>
    </row>
    <row r="158" spans="13:13" ht="20.100000000000001" customHeight="1" x14ac:dyDescent="0.25">
      <c r="M158" s="1"/>
    </row>
    <row r="159" spans="13:13" ht="20.100000000000001" customHeight="1" x14ac:dyDescent="0.25">
      <c r="M159" s="1"/>
    </row>
    <row r="160" spans="13:13" ht="20.100000000000001" customHeight="1" x14ac:dyDescent="0.25">
      <c r="M160" s="1"/>
    </row>
    <row r="161" spans="13:13" ht="20.100000000000001" customHeight="1" x14ac:dyDescent="0.25">
      <c r="M161" s="1"/>
    </row>
    <row r="162" spans="13:13" ht="20.100000000000001" customHeight="1" x14ac:dyDescent="0.25">
      <c r="M162" s="1"/>
    </row>
    <row r="163" spans="13:13" ht="20.100000000000001" customHeight="1" x14ac:dyDescent="0.25">
      <c r="M163" s="1"/>
    </row>
    <row r="164" spans="13:13" ht="20.100000000000001" customHeight="1" x14ac:dyDescent="0.25">
      <c r="M164" s="1"/>
    </row>
    <row r="165" spans="13:13" ht="20.100000000000001" customHeight="1" x14ac:dyDescent="0.25">
      <c r="M165" s="1"/>
    </row>
    <row r="166" spans="13:13" x14ac:dyDescent="0.25">
      <c r="M166" s="1"/>
    </row>
    <row r="167" spans="13:13" x14ac:dyDescent="0.25">
      <c r="M167" s="1"/>
    </row>
    <row r="168" spans="13:13" x14ac:dyDescent="0.25">
      <c r="M168" s="1"/>
    </row>
    <row r="169" spans="13:13" x14ac:dyDescent="0.25">
      <c r="M169" s="1"/>
    </row>
    <row r="170" spans="13:13" x14ac:dyDescent="0.25">
      <c r="M170" s="1"/>
    </row>
    <row r="171" spans="13:13" x14ac:dyDescent="0.25">
      <c r="M171" s="1"/>
    </row>
    <row r="172" spans="13:13" x14ac:dyDescent="0.25">
      <c r="M172" s="1"/>
    </row>
    <row r="173" spans="13:13" x14ac:dyDescent="0.25">
      <c r="M173" s="1"/>
    </row>
    <row r="174" spans="13:13" x14ac:dyDescent="0.25">
      <c r="M174" s="1"/>
    </row>
    <row r="175" spans="13:13" x14ac:dyDescent="0.25">
      <c r="M175" s="1"/>
    </row>
    <row r="176" spans="13:13" x14ac:dyDescent="0.25">
      <c r="M176" s="1"/>
    </row>
    <row r="177" spans="13:13" x14ac:dyDescent="0.25">
      <c r="M177" s="1"/>
    </row>
    <row r="178" spans="13:13" x14ac:dyDescent="0.25">
      <c r="M178" s="1"/>
    </row>
    <row r="179" spans="13:13" x14ac:dyDescent="0.25">
      <c r="M179" s="1"/>
    </row>
    <row r="180" spans="13:13" x14ac:dyDescent="0.25">
      <c r="M180" s="1"/>
    </row>
    <row r="181" spans="13:13" x14ac:dyDescent="0.25">
      <c r="M181" s="1"/>
    </row>
    <row r="182" spans="13:13" x14ac:dyDescent="0.25">
      <c r="M182" s="1"/>
    </row>
    <row r="183" spans="13:13" x14ac:dyDescent="0.25">
      <c r="M183" s="1"/>
    </row>
    <row r="184" spans="13:13" x14ac:dyDescent="0.25">
      <c r="M184" s="1"/>
    </row>
    <row r="185" spans="13:13" x14ac:dyDescent="0.25">
      <c r="M185" s="1"/>
    </row>
    <row r="186" spans="13:13" x14ac:dyDescent="0.25">
      <c r="M186" s="1"/>
    </row>
    <row r="187" spans="13:13" x14ac:dyDescent="0.25">
      <c r="M187" s="1"/>
    </row>
    <row r="188" spans="13:13" x14ac:dyDescent="0.25">
      <c r="M188" s="1"/>
    </row>
    <row r="189" spans="13:13" x14ac:dyDescent="0.25">
      <c r="M189" s="1"/>
    </row>
    <row r="190" spans="13:13" x14ac:dyDescent="0.25">
      <c r="M190" s="1"/>
    </row>
    <row r="191" spans="13:13" x14ac:dyDescent="0.25">
      <c r="M191" s="1"/>
    </row>
    <row r="192" spans="13:13" x14ac:dyDescent="0.25">
      <c r="M192" s="1"/>
    </row>
    <row r="193" spans="13:13" x14ac:dyDescent="0.25">
      <c r="M193" s="1"/>
    </row>
    <row r="194" spans="13:13" x14ac:dyDescent="0.25">
      <c r="M194" s="1"/>
    </row>
    <row r="195" spans="13:13" x14ac:dyDescent="0.25">
      <c r="M195" s="1"/>
    </row>
    <row r="196" spans="13:13" x14ac:dyDescent="0.25">
      <c r="M196" s="1"/>
    </row>
    <row r="197" spans="13:13" x14ac:dyDescent="0.25">
      <c r="M197" s="1"/>
    </row>
    <row r="198" spans="13:13" x14ac:dyDescent="0.25">
      <c r="M198" s="1"/>
    </row>
    <row r="199" spans="13:13" x14ac:dyDescent="0.25">
      <c r="M199" s="1"/>
    </row>
    <row r="200" spans="13:13" x14ac:dyDescent="0.25">
      <c r="M200" s="1"/>
    </row>
    <row r="201" spans="13:13" x14ac:dyDescent="0.25">
      <c r="M201" s="1"/>
    </row>
    <row r="202" spans="13:13" x14ac:dyDescent="0.25">
      <c r="M202" s="1"/>
    </row>
    <row r="203" spans="13:13" x14ac:dyDescent="0.25">
      <c r="M203" s="1"/>
    </row>
    <row r="204" spans="13:13" x14ac:dyDescent="0.25">
      <c r="M204" s="1"/>
    </row>
    <row r="205" spans="13:13" x14ac:dyDescent="0.25">
      <c r="M205" s="1"/>
    </row>
    <row r="206" spans="13:13" x14ac:dyDescent="0.25">
      <c r="M206" s="1"/>
    </row>
    <row r="207" spans="13:13" x14ac:dyDescent="0.25">
      <c r="M207" s="1"/>
    </row>
    <row r="208" spans="13:13" x14ac:dyDescent="0.25">
      <c r="M208" s="1"/>
    </row>
    <row r="209" spans="13:13" x14ac:dyDescent="0.25">
      <c r="M209" s="1"/>
    </row>
    <row r="210" spans="13:13" x14ac:dyDescent="0.25">
      <c r="M210" s="1"/>
    </row>
    <row r="211" spans="13:13" x14ac:dyDescent="0.25">
      <c r="M211" s="1"/>
    </row>
    <row r="212" spans="13:13" x14ac:dyDescent="0.25">
      <c r="M212" s="1"/>
    </row>
    <row r="213" spans="13:13" x14ac:dyDescent="0.25">
      <c r="M213" s="1"/>
    </row>
    <row r="214" spans="13:13" x14ac:dyDescent="0.25">
      <c r="M214" s="1"/>
    </row>
    <row r="215" spans="13:13" x14ac:dyDescent="0.25">
      <c r="M215" s="1"/>
    </row>
    <row r="216" spans="13:13" x14ac:dyDescent="0.25">
      <c r="M216" s="1"/>
    </row>
    <row r="217" spans="13:13" x14ac:dyDescent="0.25">
      <c r="M217" s="1"/>
    </row>
    <row r="218" spans="13:13" x14ac:dyDescent="0.25">
      <c r="M218" s="1"/>
    </row>
    <row r="219" spans="13:13" x14ac:dyDescent="0.25">
      <c r="M219" s="1"/>
    </row>
    <row r="220" spans="13:13" x14ac:dyDescent="0.25">
      <c r="M220" s="1"/>
    </row>
    <row r="221" spans="13:13" x14ac:dyDescent="0.25">
      <c r="M221" s="1"/>
    </row>
    <row r="222" spans="13:13" x14ac:dyDescent="0.25">
      <c r="M222" s="1"/>
    </row>
    <row r="223" spans="13:13" x14ac:dyDescent="0.25">
      <c r="M223" s="1"/>
    </row>
    <row r="224" spans="13:13" x14ac:dyDescent="0.25">
      <c r="M224" s="1"/>
    </row>
    <row r="225" spans="13:13" x14ac:dyDescent="0.25">
      <c r="M225" s="1"/>
    </row>
    <row r="226" spans="13:13" x14ac:dyDescent="0.25">
      <c r="M226" s="1"/>
    </row>
    <row r="227" spans="13:13" x14ac:dyDescent="0.25">
      <c r="M227" s="1"/>
    </row>
    <row r="228" spans="13:13" x14ac:dyDescent="0.25">
      <c r="M228" s="1"/>
    </row>
    <row r="229" spans="13:13" x14ac:dyDescent="0.25">
      <c r="M229" s="1"/>
    </row>
    <row r="230" spans="13:13" x14ac:dyDescent="0.25">
      <c r="M230" s="1"/>
    </row>
    <row r="231" spans="13:13" x14ac:dyDescent="0.25">
      <c r="M231" s="1"/>
    </row>
    <row r="232" spans="13:13" x14ac:dyDescent="0.25">
      <c r="M232" s="1"/>
    </row>
    <row r="233" spans="13:13" x14ac:dyDescent="0.25">
      <c r="M233" s="1"/>
    </row>
    <row r="234" spans="13:13" x14ac:dyDescent="0.25">
      <c r="M234" s="1"/>
    </row>
    <row r="235" spans="13:13" x14ac:dyDescent="0.25">
      <c r="M235" s="1"/>
    </row>
    <row r="236" spans="13:13" x14ac:dyDescent="0.25">
      <c r="M236" s="1"/>
    </row>
    <row r="237" spans="13:13" x14ac:dyDescent="0.25">
      <c r="M237" s="1"/>
    </row>
    <row r="238" spans="13:13" x14ac:dyDescent="0.25">
      <c r="M238" s="1"/>
    </row>
    <row r="239" spans="13:13" x14ac:dyDescent="0.25">
      <c r="M239" s="1"/>
    </row>
    <row r="240" spans="13:13" x14ac:dyDescent="0.25">
      <c r="M240" s="1"/>
    </row>
    <row r="241" spans="13:13" x14ac:dyDescent="0.25">
      <c r="M241" s="1"/>
    </row>
    <row r="242" spans="13:13" x14ac:dyDescent="0.25">
      <c r="M242" s="1"/>
    </row>
    <row r="243" spans="13:13" x14ac:dyDescent="0.25">
      <c r="M243" s="1"/>
    </row>
    <row r="244" spans="13:13" x14ac:dyDescent="0.25">
      <c r="M244" s="1"/>
    </row>
    <row r="245" spans="13:13" x14ac:dyDescent="0.25">
      <c r="M245" s="1"/>
    </row>
    <row r="246" spans="13:13" x14ac:dyDescent="0.25">
      <c r="M246" s="1"/>
    </row>
    <row r="247" spans="13:13" x14ac:dyDescent="0.25">
      <c r="M247" s="1"/>
    </row>
    <row r="248" spans="13:13" x14ac:dyDescent="0.25">
      <c r="M248" s="1"/>
    </row>
    <row r="249" spans="13:13" x14ac:dyDescent="0.25">
      <c r="M249" s="1"/>
    </row>
    <row r="250" spans="13:13" x14ac:dyDescent="0.25">
      <c r="M250" s="1"/>
    </row>
    <row r="251" spans="13:13" x14ac:dyDescent="0.25">
      <c r="M251" s="1"/>
    </row>
    <row r="252" spans="13:13" x14ac:dyDescent="0.25">
      <c r="M252" s="1"/>
    </row>
    <row r="253" spans="13:13" x14ac:dyDescent="0.25">
      <c r="M253" s="1"/>
    </row>
    <row r="254" spans="13:13" x14ac:dyDescent="0.25">
      <c r="M254" s="1"/>
    </row>
    <row r="255" spans="13:13" x14ac:dyDescent="0.25">
      <c r="M255" s="1"/>
    </row>
    <row r="256" spans="13:13" x14ac:dyDescent="0.25">
      <c r="M256" s="1"/>
    </row>
    <row r="257" spans="13:13" x14ac:dyDescent="0.25">
      <c r="M257" s="1"/>
    </row>
    <row r="258" spans="13:13" x14ac:dyDescent="0.25">
      <c r="M258" s="1"/>
    </row>
    <row r="259" spans="13:13" x14ac:dyDescent="0.25">
      <c r="M259" s="1"/>
    </row>
    <row r="260" spans="13:13" x14ac:dyDescent="0.25">
      <c r="M260" s="1"/>
    </row>
    <row r="261" spans="13:13" x14ac:dyDescent="0.25">
      <c r="M261" s="1"/>
    </row>
    <row r="262" spans="13:13" x14ac:dyDescent="0.25">
      <c r="M262" s="1"/>
    </row>
    <row r="263" spans="13:13" x14ac:dyDescent="0.25">
      <c r="M263" s="1"/>
    </row>
    <row r="264" spans="13:13" x14ac:dyDescent="0.25">
      <c r="M264" s="1"/>
    </row>
    <row r="265" spans="13:13" x14ac:dyDescent="0.25">
      <c r="M265" s="1"/>
    </row>
    <row r="266" spans="13:13" x14ac:dyDescent="0.25">
      <c r="M266" s="1"/>
    </row>
    <row r="267" spans="13:13" x14ac:dyDescent="0.25">
      <c r="M267" s="1"/>
    </row>
    <row r="268" spans="13:13" x14ac:dyDescent="0.25">
      <c r="M268" s="1"/>
    </row>
    <row r="269" spans="13:13" x14ac:dyDescent="0.25">
      <c r="M269" s="1"/>
    </row>
    <row r="270" spans="13:13" x14ac:dyDescent="0.25">
      <c r="M270" s="1"/>
    </row>
    <row r="271" spans="13:13" x14ac:dyDescent="0.25">
      <c r="M271" s="1"/>
    </row>
    <row r="272" spans="13:13" x14ac:dyDescent="0.25">
      <c r="M272" s="1"/>
    </row>
    <row r="273" spans="13:13" x14ac:dyDescent="0.25">
      <c r="M273" s="1"/>
    </row>
    <row r="274" spans="13:13" x14ac:dyDescent="0.25">
      <c r="M274" s="1"/>
    </row>
    <row r="275" spans="13:13" x14ac:dyDescent="0.25">
      <c r="M275" s="1"/>
    </row>
    <row r="276" spans="13:13" x14ac:dyDescent="0.25">
      <c r="M276" s="1"/>
    </row>
    <row r="277" spans="13:13" x14ac:dyDescent="0.25">
      <c r="M277" s="1"/>
    </row>
    <row r="278" spans="13:13" x14ac:dyDescent="0.25">
      <c r="M278" s="1"/>
    </row>
    <row r="279" spans="13:13" x14ac:dyDescent="0.25">
      <c r="M279" s="1"/>
    </row>
    <row r="280" spans="13:13" x14ac:dyDescent="0.25">
      <c r="M280" s="1"/>
    </row>
    <row r="281" spans="13:13" x14ac:dyDescent="0.25">
      <c r="M281" s="1"/>
    </row>
    <row r="282" spans="13:13" x14ac:dyDescent="0.25">
      <c r="M282" s="1"/>
    </row>
    <row r="283" spans="13:13" x14ac:dyDescent="0.25">
      <c r="M283" s="1"/>
    </row>
    <row r="284" spans="13:13" x14ac:dyDescent="0.25">
      <c r="M284" s="1"/>
    </row>
    <row r="285" spans="13:13" x14ac:dyDescent="0.25">
      <c r="M285" s="1"/>
    </row>
    <row r="286" spans="13:13" x14ac:dyDescent="0.25">
      <c r="M286" s="1"/>
    </row>
    <row r="287" spans="13:13" x14ac:dyDescent="0.25">
      <c r="M287" s="1"/>
    </row>
    <row r="288" spans="13:13" x14ac:dyDescent="0.25">
      <c r="M288" s="1"/>
    </row>
    <row r="289" spans="13:13" x14ac:dyDescent="0.25">
      <c r="M289" s="1"/>
    </row>
    <row r="290" spans="13:13" x14ac:dyDescent="0.25">
      <c r="M290" s="1"/>
    </row>
    <row r="291" spans="13:13" x14ac:dyDescent="0.25">
      <c r="M291" s="1"/>
    </row>
    <row r="292" spans="13:13" x14ac:dyDescent="0.25">
      <c r="M292" s="1"/>
    </row>
    <row r="293" spans="13:13" x14ac:dyDescent="0.25">
      <c r="M293" s="1"/>
    </row>
    <row r="294" spans="13:13" x14ac:dyDescent="0.25">
      <c r="M294" s="1"/>
    </row>
    <row r="295" spans="13:13" x14ac:dyDescent="0.25">
      <c r="M295" s="1"/>
    </row>
    <row r="296" spans="13:13" x14ac:dyDescent="0.25">
      <c r="M296" s="1"/>
    </row>
    <row r="297" spans="13:13" x14ac:dyDescent="0.25">
      <c r="M297" s="1"/>
    </row>
    <row r="298" spans="13:13" x14ac:dyDescent="0.25">
      <c r="M298" s="1"/>
    </row>
    <row r="299" spans="13:13" x14ac:dyDescent="0.25">
      <c r="M299" s="1"/>
    </row>
    <row r="300" spans="13:13" x14ac:dyDescent="0.25">
      <c r="M300" s="1"/>
    </row>
    <row r="301" spans="13:13" x14ac:dyDescent="0.25">
      <c r="M301" s="1"/>
    </row>
    <row r="302" spans="13:13" x14ac:dyDescent="0.25">
      <c r="M302" s="1"/>
    </row>
    <row r="303" spans="13:13" x14ac:dyDescent="0.25">
      <c r="M303" s="1"/>
    </row>
    <row r="304" spans="13:13" x14ac:dyDescent="0.25">
      <c r="M304" s="1"/>
    </row>
    <row r="305" spans="13:13" x14ac:dyDescent="0.25">
      <c r="M305" s="1"/>
    </row>
    <row r="306" spans="13:13" x14ac:dyDescent="0.25">
      <c r="M306" s="1"/>
    </row>
    <row r="307" spans="13:13" x14ac:dyDescent="0.25">
      <c r="M307" s="1"/>
    </row>
    <row r="308" spans="13:13" x14ac:dyDescent="0.25">
      <c r="M308" s="1"/>
    </row>
    <row r="309" spans="13:13" x14ac:dyDescent="0.25">
      <c r="M309" s="1"/>
    </row>
    <row r="310" spans="13:13" x14ac:dyDescent="0.25">
      <c r="M310" s="1"/>
    </row>
    <row r="311" spans="13:13" x14ac:dyDescent="0.25">
      <c r="M311" s="1"/>
    </row>
    <row r="312" spans="13:13" x14ac:dyDescent="0.25">
      <c r="M312" s="1"/>
    </row>
    <row r="313" spans="13:13" x14ac:dyDescent="0.25">
      <c r="M313" s="1"/>
    </row>
    <row r="314" spans="13:13" x14ac:dyDescent="0.25">
      <c r="M314" s="1"/>
    </row>
    <row r="315" spans="13:13" x14ac:dyDescent="0.25">
      <c r="M315" s="1"/>
    </row>
    <row r="316" spans="13:13" x14ac:dyDescent="0.25">
      <c r="M316" s="1"/>
    </row>
    <row r="317" spans="13:13" x14ac:dyDescent="0.25">
      <c r="M317" s="1"/>
    </row>
    <row r="318" spans="13:13" x14ac:dyDescent="0.25">
      <c r="M318" s="1"/>
    </row>
    <row r="319" spans="13:13" x14ac:dyDescent="0.25">
      <c r="M319" s="1"/>
    </row>
    <row r="320" spans="13:13" x14ac:dyDescent="0.25">
      <c r="M320" s="1"/>
    </row>
    <row r="321" spans="13:13" x14ac:dyDescent="0.25">
      <c r="M321" s="1"/>
    </row>
    <row r="322" spans="13:13" x14ac:dyDescent="0.25">
      <c r="M322" s="1"/>
    </row>
    <row r="323" spans="13:13" x14ac:dyDescent="0.25">
      <c r="M323" s="1"/>
    </row>
    <row r="324" spans="13:13" x14ac:dyDescent="0.25">
      <c r="M324" s="1"/>
    </row>
    <row r="325" spans="13:13" x14ac:dyDescent="0.25">
      <c r="M325" s="1"/>
    </row>
    <row r="326" spans="13:13" x14ac:dyDescent="0.25">
      <c r="M326" s="1"/>
    </row>
    <row r="327" spans="13:13" x14ac:dyDescent="0.25">
      <c r="M327" s="1"/>
    </row>
    <row r="328" spans="13:13" x14ac:dyDescent="0.25">
      <c r="M328" s="1"/>
    </row>
    <row r="329" spans="13:13" x14ac:dyDescent="0.25">
      <c r="M329" s="1"/>
    </row>
    <row r="330" spans="13:13" x14ac:dyDescent="0.25">
      <c r="M330" s="1"/>
    </row>
    <row r="331" spans="13:13" x14ac:dyDescent="0.25">
      <c r="M331" s="1"/>
    </row>
    <row r="332" spans="13:13" x14ac:dyDescent="0.25">
      <c r="M332" s="1"/>
    </row>
    <row r="333" spans="13:13" x14ac:dyDescent="0.25">
      <c r="M333" s="1"/>
    </row>
    <row r="334" spans="13:13" x14ac:dyDescent="0.25">
      <c r="M334" s="1"/>
    </row>
    <row r="335" spans="13:13" x14ac:dyDescent="0.25">
      <c r="M335" s="1"/>
    </row>
    <row r="336" spans="13:13" x14ac:dyDescent="0.25">
      <c r="M336" s="1"/>
    </row>
    <row r="337" spans="13:13" x14ac:dyDescent="0.25">
      <c r="M337" s="1"/>
    </row>
    <row r="338" spans="13:13" x14ac:dyDescent="0.25">
      <c r="M338" s="1"/>
    </row>
    <row r="339" spans="13:13" x14ac:dyDescent="0.25">
      <c r="M339" s="1"/>
    </row>
    <row r="340" spans="13:13" x14ac:dyDescent="0.25">
      <c r="M340" s="1"/>
    </row>
    <row r="341" spans="13:13" x14ac:dyDescent="0.25">
      <c r="M341" s="1"/>
    </row>
    <row r="342" spans="13:13" x14ac:dyDescent="0.25">
      <c r="M342" s="1"/>
    </row>
    <row r="343" spans="13:13" x14ac:dyDescent="0.25">
      <c r="M343" s="1"/>
    </row>
    <row r="344" spans="13:13" x14ac:dyDescent="0.25">
      <c r="M344" s="1"/>
    </row>
    <row r="345" spans="13:13" x14ac:dyDescent="0.25">
      <c r="M345" s="1"/>
    </row>
    <row r="346" spans="13:13" x14ac:dyDescent="0.25">
      <c r="M346" s="1"/>
    </row>
    <row r="347" spans="13:13" x14ac:dyDescent="0.25">
      <c r="M347" s="1"/>
    </row>
    <row r="348" spans="13:13" x14ac:dyDescent="0.25">
      <c r="M348" s="1"/>
    </row>
    <row r="349" spans="13:13" x14ac:dyDescent="0.25">
      <c r="M349" s="1"/>
    </row>
    <row r="350" spans="13:13" x14ac:dyDescent="0.25">
      <c r="M350" s="1"/>
    </row>
    <row r="351" spans="13:13" x14ac:dyDescent="0.25">
      <c r="M351" s="1"/>
    </row>
    <row r="352" spans="13:13" x14ac:dyDescent="0.25">
      <c r="M352" s="1"/>
    </row>
    <row r="353" spans="13:13" x14ac:dyDescent="0.25">
      <c r="M353" s="1"/>
    </row>
    <row r="354" spans="13:13" x14ac:dyDescent="0.25">
      <c r="M354" s="1"/>
    </row>
    <row r="355" spans="13:13" x14ac:dyDescent="0.25">
      <c r="M355" s="1"/>
    </row>
    <row r="356" spans="13:13" x14ac:dyDescent="0.25">
      <c r="M356" s="1"/>
    </row>
    <row r="357" spans="13:13" x14ac:dyDescent="0.25">
      <c r="M357" s="1"/>
    </row>
    <row r="358" spans="13:13" x14ac:dyDescent="0.25">
      <c r="M358" s="1"/>
    </row>
    <row r="359" spans="13:13" x14ac:dyDescent="0.25">
      <c r="M359" s="1"/>
    </row>
    <row r="360" spans="13:13" x14ac:dyDescent="0.25">
      <c r="M360" s="1"/>
    </row>
    <row r="361" spans="13:13" x14ac:dyDescent="0.25">
      <c r="M361" s="1"/>
    </row>
    <row r="362" spans="13:13" x14ac:dyDescent="0.25">
      <c r="M362" s="1"/>
    </row>
    <row r="363" spans="13:13" x14ac:dyDescent="0.25">
      <c r="M363" s="1"/>
    </row>
    <row r="364" spans="13:13" x14ac:dyDescent="0.25">
      <c r="M364" s="1"/>
    </row>
    <row r="365" spans="13:13" x14ac:dyDescent="0.25">
      <c r="M365" s="1"/>
    </row>
    <row r="366" spans="13:13" x14ac:dyDescent="0.25">
      <c r="M366" s="1"/>
    </row>
    <row r="367" spans="13:13" x14ac:dyDescent="0.25">
      <c r="M367" s="1"/>
    </row>
    <row r="368" spans="13:13" x14ac:dyDescent="0.25">
      <c r="M368" s="1"/>
    </row>
    <row r="369" spans="13:13" x14ac:dyDescent="0.25">
      <c r="M369" s="1"/>
    </row>
    <row r="370" spans="13:13" x14ac:dyDescent="0.25">
      <c r="M370" s="1"/>
    </row>
    <row r="371" spans="13:13" x14ac:dyDescent="0.25">
      <c r="M371" s="1"/>
    </row>
    <row r="372" spans="13:13" x14ac:dyDescent="0.25">
      <c r="M372" s="1"/>
    </row>
    <row r="373" spans="13:13" x14ac:dyDescent="0.25">
      <c r="M373" s="1"/>
    </row>
    <row r="374" spans="13:13" x14ac:dyDescent="0.25">
      <c r="M374" s="1"/>
    </row>
    <row r="375" spans="13:13" x14ac:dyDescent="0.25">
      <c r="M375" s="1"/>
    </row>
    <row r="376" spans="13:13" x14ac:dyDescent="0.25">
      <c r="M376" s="1"/>
    </row>
    <row r="377" spans="13:13" x14ac:dyDescent="0.25">
      <c r="M377" s="1"/>
    </row>
    <row r="378" spans="13:13" x14ac:dyDescent="0.25">
      <c r="M378" s="1"/>
    </row>
    <row r="379" spans="13:13" x14ac:dyDescent="0.25">
      <c r="M379" s="1"/>
    </row>
    <row r="380" spans="13:13" x14ac:dyDescent="0.25">
      <c r="M380" s="1"/>
    </row>
    <row r="381" spans="13:13" x14ac:dyDescent="0.25">
      <c r="M381" s="1"/>
    </row>
    <row r="382" spans="13:13" x14ac:dyDescent="0.25">
      <c r="M382" s="1"/>
    </row>
    <row r="383" spans="13:13" x14ac:dyDescent="0.25">
      <c r="M383" s="1"/>
    </row>
    <row r="384" spans="13:13" x14ac:dyDescent="0.25">
      <c r="M384" s="1"/>
    </row>
    <row r="385" spans="13:13" x14ac:dyDescent="0.25">
      <c r="M385" s="1"/>
    </row>
    <row r="386" spans="13:13" x14ac:dyDescent="0.25">
      <c r="M386" s="1"/>
    </row>
    <row r="387" spans="13:13" x14ac:dyDescent="0.25">
      <c r="M387" s="1"/>
    </row>
    <row r="388" spans="13:13" x14ac:dyDescent="0.25">
      <c r="M388" s="1"/>
    </row>
    <row r="389" spans="13:13" x14ac:dyDescent="0.25">
      <c r="M389" s="1"/>
    </row>
    <row r="390" spans="13:13" x14ac:dyDescent="0.25">
      <c r="M390" s="1"/>
    </row>
    <row r="391" spans="13:13" x14ac:dyDescent="0.25">
      <c r="M391" s="1"/>
    </row>
    <row r="392" spans="13:13" x14ac:dyDescent="0.25">
      <c r="M392" s="1"/>
    </row>
    <row r="393" spans="13:13" x14ac:dyDescent="0.25">
      <c r="M393" s="1"/>
    </row>
    <row r="394" spans="13:13" x14ac:dyDescent="0.25">
      <c r="M394" s="1"/>
    </row>
    <row r="395" spans="13:13" x14ac:dyDescent="0.25">
      <c r="M395" s="1"/>
    </row>
    <row r="396" spans="13:13" x14ac:dyDescent="0.25">
      <c r="M396" s="1"/>
    </row>
    <row r="397" spans="13:13" x14ac:dyDescent="0.25">
      <c r="M397" s="1"/>
    </row>
    <row r="398" spans="13:13" x14ac:dyDescent="0.25">
      <c r="M398" s="1"/>
    </row>
    <row r="399" spans="13:13" x14ac:dyDescent="0.25">
      <c r="M399" s="1"/>
    </row>
    <row r="400" spans="13:13" x14ac:dyDescent="0.25">
      <c r="M400" s="1"/>
    </row>
    <row r="401" spans="13:13" x14ac:dyDescent="0.25">
      <c r="M401" s="1"/>
    </row>
    <row r="402" spans="13:13" x14ac:dyDescent="0.25">
      <c r="M402" s="1"/>
    </row>
    <row r="403" spans="13:13" x14ac:dyDescent="0.25">
      <c r="M403" s="1"/>
    </row>
    <row r="404" spans="13:13" x14ac:dyDescent="0.25">
      <c r="M404" s="1"/>
    </row>
    <row r="405" spans="13:13" x14ac:dyDescent="0.25">
      <c r="M405" s="1"/>
    </row>
    <row r="406" spans="13:13" x14ac:dyDescent="0.25">
      <c r="M406" s="1"/>
    </row>
    <row r="407" spans="13:13" x14ac:dyDescent="0.25">
      <c r="M407" s="1"/>
    </row>
    <row r="408" spans="13:13" x14ac:dyDescent="0.25">
      <c r="M408" s="1"/>
    </row>
    <row r="409" spans="13:13" x14ac:dyDescent="0.25">
      <c r="M409" s="1"/>
    </row>
    <row r="410" spans="13:13" x14ac:dyDescent="0.25">
      <c r="M410" s="1"/>
    </row>
    <row r="411" spans="13:13" x14ac:dyDescent="0.25">
      <c r="M411" s="1"/>
    </row>
    <row r="412" spans="13:13" x14ac:dyDescent="0.25">
      <c r="M412" s="1"/>
    </row>
    <row r="413" spans="13:13" x14ac:dyDescent="0.25">
      <c r="M413" s="1"/>
    </row>
    <row r="414" spans="13:13" x14ac:dyDescent="0.25">
      <c r="M414" s="1"/>
    </row>
    <row r="415" spans="13:13" x14ac:dyDescent="0.25">
      <c r="M415" s="1"/>
    </row>
    <row r="416" spans="13:13" x14ac:dyDescent="0.25">
      <c r="M416" s="1"/>
    </row>
    <row r="417" spans="13:13" x14ac:dyDescent="0.25">
      <c r="M417" s="1"/>
    </row>
    <row r="418" spans="13:13" x14ac:dyDescent="0.25">
      <c r="M418" s="1"/>
    </row>
    <row r="419" spans="13:13" x14ac:dyDescent="0.25">
      <c r="M419" s="1"/>
    </row>
    <row r="420" spans="13:13" x14ac:dyDescent="0.25">
      <c r="M420" s="1"/>
    </row>
    <row r="421" spans="13:13" x14ac:dyDescent="0.25">
      <c r="M421" s="1"/>
    </row>
    <row r="422" spans="13:13" x14ac:dyDescent="0.25">
      <c r="M422" s="1"/>
    </row>
    <row r="423" spans="13:13" x14ac:dyDescent="0.25">
      <c r="M423" s="1"/>
    </row>
    <row r="424" spans="13:13" x14ac:dyDescent="0.25">
      <c r="M424" s="1"/>
    </row>
    <row r="425" spans="13:13" x14ac:dyDescent="0.25">
      <c r="M425" s="1"/>
    </row>
    <row r="426" spans="13:13" x14ac:dyDescent="0.25">
      <c r="M426" s="1"/>
    </row>
    <row r="427" spans="13:13" x14ac:dyDescent="0.25">
      <c r="M427" s="1"/>
    </row>
    <row r="428" spans="13:13" x14ac:dyDescent="0.25">
      <c r="M428" s="1"/>
    </row>
    <row r="429" spans="13:13" x14ac:dyDescent="0.25">
      <c r="M429" s="1"/>
    </row>
    <row r="430" spans="13:13" x14ac:dyDescent="0.25">
      <c r="M430" s="1"/>
    </row>
    <row r="431" spans="13:13" x14ac:dyDescent="0.25">
      <c r="M431" s="1"/>
    </row>
    <row r="432" spans="13:13" x14ac:dyDescent="0.25">
      <c r="M432" s="1"/>
    </row>
    <row r="433" spans="13:13" x14ac:dyDescent="0.25">
      <c r="M433" s="1"/>
    </row>
    <row r="434" spans="13:13" x14ac:dyDescent="0.25">
      <c r="M434" s="1"/>
    </row>
    <row r="435" spans="13:13" x14ac:dyDescent="0.25">
      <c r="M435" s="1"/>
    </row>
    <row r="436" spans="13:13" x14ac:dyDescent="0.25">
      <c r="M436" s="1"/>
    </row>
    <row r="437" spans="13:13" x14ac:dyDescent="0.25">
      <c r="M437" s="1"/>
    </row>
    <row r="438" spans="13:13" x14ac:dyDescent="0.25">
      <c r="M438" s="1"/>
    </row>
    <row r="439" spans="13:13" x14ac:dyDescent="0.25">
      <c r="M439" s="1"/>
    </row>
    <row r="440" spans="13:13" x14ac:dyDescent="0.25">
      <c r="M440" s="1"/>
    </row>
    <row r="441" spans="13:13" x14ac:dyDescent="0.25">
      <c r="M441" s="1"/>
    </row>
    <row r="442" spans="13:13" x14ac:dyDescent="0.25">
      <c r="M442" s="1"/>
    </row>
    <row r="443" spans="13:13" x14ac:dyDescent="0.25">
      <c r="M443" s="1"/>
    </row>
    <row r="444" spans="13:13" x14ac:dyDescent="0.25">
      <c r="M444" s="1"/>
    </row>
    <row r="445" spans="13:13" x14ac:dyDescent="0.25">
      <c r="M445" s="1"/>
    </row>
    <row r="446" spans="13:13" x14ac:dyDescent="0.25">
      <c r="M446" s="1"/>
    </row>
    <row r="447" spans="13:13" x14ac:dyDescent="0.25">
      <c r="M447" s="1"/>
    </row>
    <row r="448" spans="13:13" x14ac:dyDescent="0.25">
      <c r="M448" s="1"/>
    </row>
    <row r="449" spans="13:13" x14ac:dyDescent="0.25">
      <c r="M449" s="1"/>
    </row>
    <row r="450" spans="13:13" x14ac:dyDescent="0.25">
      <c r="M450" s="1"/>
    </row>
    <row r="451" spans="13:13" x14ac:dyDescent="0.25">
      <c r="M451" s="1"/>
    </row>
    <row r="452" spans="13:13" x14ac:dyDescent="0.25">
      <c r="M452" s="1"/>
    </row>
  </sheetData>
  <pageMargins left="0.7" right="0.7" top="0.75" bottom="0.75" header="0.3" footer="0.3"/>
  <tableParts count="13">
    <tablePart r:id="rId1"/>
    <tablePart r:id="rId2"/>
    <tablePart r:id="rId3"/>
    <tablePart r:id="rId4"/>
    <tablePart r:id="rId5"/>
    <tablePart r:id="rId6"/>
    <tablePart r:id="rId7"/>
    <tablePart r:id="rId8"/>
    <tablePart r:id="rId9"/>
    <tablePart r:id="rId10"/>
    <tablePart r:id="rId11"/>
    <tablePart r:id="rId12"/>
    <tablePart r:id="rId1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1428C-4DC5-4BD6-BBEB-2A47208D1A43}">
  <dimension ref="A1:BY250"/>
  <sheetViews>
    <sheetView showGridLines="0" topLeftCell="A208" zoomScale="85" zoomScaleNormal="85" workbookViewId="0">
      <selection activeCell="E257" sqref="E257"/>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77</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7" t="s">
        <v>21</v>
      </c>
      <c r="E6" s="37" t="s">
        <v>22</v>
      </c>
      <c r="F6" s="37" t="s">
        <v>23</v>
      </c>
    </row>
    <row r="7" spans="1:65" ht="20.100000000000001" customHeight="1" x14ac:dyDescent="0.25">
      <c r="A7"/>
      <c r="D7" s="37" t="str" cm="1">
        <f t="array" ref="D7">Common_InputFunctions.Utility_DisplayArrayInTable(Common_SourceData.Common_SourceData_AustralianStatesTerritories_Data(),Table_AustralianStates[[#Headers],[State/Territory]],0)</f>
        <v>New South Wales</v>
      </c>
      <c r="E7" s="37" t="str" cm="1">
        <f t="array" ref="E7">Common_InputFunctions.Utility_DisplayArrayInTable(Common_SourceData.Common_SourceData_AustralianStatesTerritories_Data(),Table_AustralianStates[[#Headers],[State/Territory]],0)</f>
        <v>New South Wales</v>
      </c>
      <c r="F7" s="37" t="str" cm="1">
        <f t="array" ref="F7">Common_InputFunctions.Utility_DisplayArrayInTable(Common_SourceData.Common_SourceData_AustralianStatesTerritories_Data(),Table_AustralianStates[[#Headers],[State/Territory]],0)</f>
        <v>NSW</v>
      </c>
    </row>
    <row r="8" spans="1:65" ht="20.100000000000001" customHeight="1" x14ac:dyDescent="0.25">
      <c r="A8"/>
      <c r="D8" s="37" t="str" cm="1">
        <f t="array" ref="D8">Common_InputFunctions.Utility_DisplayArrayInTable(Common_SourceData.Common_SourceData_AustralianStatesTerritories_Data(),Table_AustralianStates[[#Headers],[State/Territory]],0)</f>
        <v>Australian Capital Territory</v>
      </c>
      <c r="E8" s="37" t="str" cm="1">
        <f t="array" ref="E8">Common_InputFunctions.Utility_DisplayArrayInTable(Common_SourceData.Common_SourceData_AustralianStatesTerritories_Data(),Table_AustralianStates[[#Headers],[State/Territory]],0)</f>
        <v>ACT</v>
      </c>
      <c r="F8" s="37" t="str" cm="1">
        <f t="array" ref="F8">Common_InputFunctions.Utility_DisplayArrayInTable(Common_SourceData.Common_SourceData_AustralianStatesTerritories_Data(),Table_AustralianStates[[#Headers],[State/Territory]],0)</f>
        <v>ACT</v>
      </c>
    </row>
    <row r="9" spans="1:65" ht="20.100000000000001" customHeight="1" x14ac:dyDescent="0.25">
      <c r="A9"/>
      <c r="D9" s="37" t="str" cm="1">
        <f t="array" ref="D9">Common_InputFunctions.Utility_DisplayArrayInTable(Common_SourceData.Common_SourceData_AustralianStatesTerritories_Data(),Table_AustralianStates[[#Headers],[State/Territory]],0)</f>
        <v>Victoria</v>
      </c>
      <c r="E9" s="37" t="str" cm="1">
        <f t="array" ref="E9">Common_InputFunctions.Utility_DisplayArrayInTable(Common_SourceData.Common_SourceData_AustralianStatesTerritories_Data(),Table_AustralianStates[[#Headers],[State/Territory]],0)</f>
        <v>Victoria</v>
      </c>
      <c r="F9" s="3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7" t="str" cm="1">
        <f t="array" ref="D10">Common_InputFunctions.Utility_DisplayArrayInTable(Common_SourceData.Common_SourceData_AustralianStatesTerritories_Data(),Table_AustralianStates[[#Headers],[State/Territory]],0)</f>
        <v>Queensland</v>
      </c>
      <c r="E10" s="37" t="str" cm="1">
        <f t="array" ref="E10">Common_InputFunctions.Utility_DisplayArrayInTable(Common_SourceData.Common_SourceData_AustralianStatesTerritories_Data(),Table_AustralianStates[[#Headers],[State/Territory]],0)</f>
        <v>Queensland</v>
      </c>
      <c r="F10" s="3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7" t="str" cm="1">
        <f t="array" ref="D11">Common_InputFunctions.Utility_DisplayArrayInTable(Common_SourceData.Common_SourceData_AustralianStatesTerritories_Data(),Table_AustralianStates[[#Headers],[State/Territory]],0)</f>
        <v>South Australia</v>
      </c>
      <c r="E11" s="37" t="str" cm="1">
        <f t="array" ref="E11">Common_InputFunctions.Utility_DisplayArrayInTable(Common_SourceData.Common_SourceData_AustralianStatesTerritories_Data(),Table_AustralianStates[[#Headers],[State/Territory]],0)</f>
        <v>South Australia</v>
      </c>
      <c r="F11" s="3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7" t="str" cm="1">
        <f t="array" ref="D12">Common_InputFunctions.Utility_DisplayArrayInTable(Common_SourceData.Common_SourceData_AustralianStatesTerritories_Data(),Table_AustralianStates[[#Headers],[State/Territory]],0)</f>
        <v>Western Australia</v>
      </c>
      <c r="E12" s="37" t="str" cm="1">
        <f t="array" ref="E12">Common_InputFunctions.Utility_DisplayArrayInTable(Common_SourceData.Common_SourceData_AustralianStatesTerritories_Data(),Table_AustralianStates[[#Headers],[State/Territory]],0)</f>
        <v>Western Australia</v>
      </c>
      <c r="F12" s="3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7" t="str" cm="1">
        <f t="array" ref="D13">Common_InputFunctions.Utility_DisplayArrayInTable(Common_SourceData.Common_SourceData_AustralianStatesTerritories_Data(),Table_AustralianStates[[#Headers],[State/Territory]],0)</f>
        <v>Tasmania</v>
      </c>
      <c r="E13" s="37" t="str" cm="1">
        <f t="array" ref="E13">Common_InputFunctions.Utility_DisplayArrayInTable(Common_SourceData.Common_SourceData_AustralianStatesTerritories_Data(),Table_AustralianStates[[#Headers],[State/Territory]],0)</f>
        <v>Tasmania</v>
      </c>
      <c r="F13" s="3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7" t="str" cm="1">
        <f t="array" ref="D14">Common_InputFunctions.Utility_DisplayArrayInTable(Common_SourceData.Common_SourceData_AustralianStatesTerritories_Data(),Table_AustralianStates[[#Headers],[State/Territory]],0)</f>
        <v>Northern Territory</v>
      </c>
      <c r="E14" s="37" t="str" cm="1">
        <f t="array" ref="E14">Common_InputFunctions.Utility_DisplayArrayInTable(Common_SourceData.Common_SourceData_AustralianStatesTerritories_Data(),Table_AustralianStates[[#Headers],[State/Territory]],0)</f>
        <v>Northern Territory</v>
      </c>
      <c r="F14" s="3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7" t="s">
        <v>24</v>
      </c>
    </row>
    <row r="21" spans="1:4" ht="20.100000000000001" customHeight="1" x14ac:dyDescent="0.25">
      <c r="A21"/>
      <c r="D21" s="37" t="str" cm="1">
        <f t="array" ref="D21">Common_InputFunctions.Utility_DisplayArrayInTable(Common_SourceData.Common_SourceData_WASA4Areas_Data(), Table_WASA4Areas[[#Headers],[SA 4 Name]], 0)</f>
        <v>Bunbury</v>
      </c>
    </row>
    <row r="22" spans="1:4" ht="20.100000000000001" customHeight="1" x14ac:dyDescent="0.25">
      <c r="A22"/>
      <c r="D22" s="37" t="str" cm="1">
        <f t="array" ref="D22">Common_InputFunctions.Utility_DisplayArrayInTable(Common_SourceData.Common_SourceData_WASA4Areas_Data(), Table_WASA4Areas[[#Headers],[SA 4 Name]], 0)</f>
        <v>Mandurah</v>
      </c>
    </row>
    <row r="23" spans="1:4" ht="20.100000000000001" customHeight="1" x14ac:dyDescent="0.25">
      <c r="A23"/>
      <c r="D23" s="37" t="str" cm="1">
        <f t="array" ref="D23">Common_InputFunctions.Utility_DisplayArrayInTable(Common_SourceData.Common_SourceData_WASA4Areas_Data(), Table_WASA4Areas[[#Headers],[SA 4 Name]], 0)</f>
        <v>Perth - Inner</v>
      </c>
    </row>
    <row r="24" spans="1:4" ht="20.100000000000001" customHeight="1" x14ac:dyDescent="0.25">
      <c r="A24"/>
      <c r="D24" s="37" t="str" cm="1">
        <f t="array" ref="D24">Common_InputFunctions.Utility_DisplayArrayInTable(Common_SourceData.Common_SourceData_WASA4Areas_Data(), Table_WASA4Areas[[#Headers],[SA 4 Name]], 0)</f>
        <v>Perth - North East</v>
      </c>
    </row>
    <row r="25" spans="1:4" ht="20.100000000000001" customHeight="1" x14ac:dyDescent="0.25">
      <c r="A25"/>
      <c r="D25" s="37" t="str" cm="1">
        <f t="array" ref="D25">Common_InputFunctions.Utility_DisplayArrayInTable(Common_SourceData.Common_SourceData_WASA4Areas_Data(), Table_WASA4Areas[[#Headers],[SA 4 Name]], 0)</f>
        <v>Perth - North West</v>
      </c>
    </row>
    <row r="26" spans="1:4" ht="20.100000000000001" customHeight="1" x14ac:dyDescent="0.25">
      <c r="A26"/>
      <c r="D26" s="37" t="str" cm="1">
        <f t="array" ref="D26">Common_InputFunctions.Utility_DisplayArrayInTable(Common_SourceData.Common_SourceData_WASA4Areas_Data(), Table_WASA4Areas[[#Headers],[SA 4 Name]], 0)</f>
        <v>Perth - South East</v>
      </c>
    </row>
    <row r="27" spans="1:4" ht="20.100000000000001" customHeight="1" x14ac:dyDescent="0.25">
      <c r="A27"/>
      <c r="D27" s="37" t="str" cm="1">
        <f t="array" ref="D27">Common_InputFunctions.Utility_DisplayArrayInTable(Common_SourceData.Common_SourceData_WASA4Areas_Data(), Table_WASA4Areas[[#Headers],[SA 4 Name]], 0)</f>
        <v>Perth - South West</v>
      </c>
    </row>
    <row r="28" spans="1:4" ht="20.100000000000001" customHeight="1" x14ac:dyDescent="0.25">
      <c r="A28"/>
      <c r="D28" s="3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7" t="s">
        <v>27</v>
      </c>
      <c r="E36" s="37" t="s">
        <v>28</v>
      </c>
    </row>
    <row r="37" spans="1:8" ht="20.100000000000001" customHeight="1" x14ac:dyDescent="0.25">
      <c r="A37"/>
      <c r="D37" s="37" t="str" cm="1">
        <f t="array" ref="D37">Common_InputFunctions.Utility_DisplayArrayInTable(Common_SourceData.Common_SourceData_GWP_Data(), Table_GWPData[[#Headers],[Gas]], 0)</f>
        <v>CO2</v>
      </c>
      <c r="E37" s="37" cm="1">
        <f t="array" ref="E37">Common_InputFunctions.Utility_DisplayArrayInTable(Common_SourceData.Common_SourceData_GWP_Data(), Table_GWPData[[#Headers],[Gas]], 0)</f>
        <v>1</v>
      </c>
    </row>
    <row r="38" spans="1:8" ht="20.100000000000001" customHeight="1" x14ac:dyDescent="0.25">
      <c r="A38"/>
      <c r="D38" s="37" t="str" cm="1">
        <f t="array" ref="D38">Common_InputFunctions.Utility_DisplayArrayInTable(Common_SourceData.Common_SourceData_GWP_Data(), Table_GWPData[[#Headers],[Gas]], 0)</f>
        <v>CH4</v>
      </c>
      <c r="E38" s="37" cm="1">
        <f t="array" ref="E38">Common_InputFunctions.Utility_DisplayArrayInTable(Common_SourceData.Common_SourceData_GWP_Data(), Table_GWPData[[#Headers],[Gas]], 0)</f>
        <v>28</v>
      </c>
    </row>
    <row r="39" spans="1:8" ht="20.100000000000001" customHeight="1" x14ac:dyDescent="0.25">
      <c r="A39"/>
      <c r="D39" s="37" t="str" cm="1">
        <f t="array" ref="D39">Common_InputFunctions.Utility_DisplayArrayInTable(Common_SourceData.Common_SourceData_GWP_Data(), Table_GWPData[[#Headers],[Gas]], 0)</f>
        <v>N2O</v>
      </c>
      <c r="E39" s="37" cm="1">
        <f t="array" ref="E39">Common_InputFunctions.Utility_DisplayArrayInTable(Common_SourceData.Common_SourceData_GWP_Data(), Table_GWPData[[#Headers],[Gas]], 0)</f>
        <v>265</v>
      </c>
    </row>
    <row r="40" spans="1:8" ht="20.100000000000001" customHeight="1" x14ac:dyDescent="0.25">
      <c r="A40"/>
      <c r="D40" s="37" t="str" cm="1">
        <f t="array" ref="D40">Common_InputFunctions.Utility_DisplayArrayInTable(Common_SourceData.Common_SourceData_GWP_Data(), Table_GWPData[[#Headers],[Gas]], 0)</f>
        <v>CF4</v>
      </c>
      <c r="E40" s="37" cm="1">
        <f t="array" ref="E40">Common_InputFunctions.Utility_DisplayArrayInTable(Common_SourceData.Common_SourceData_GWP_Data(), Table_GWPData[[#Headers],[Gas]], 0)</f>
        <v>6630</v>
      </c>
    </row>
    <row r="41" spans="1:8" ht="20.100000000000001" customHeight="1" x14ac:dyDescent="0.25">
      <c r="A41"/>
      <c r="D41" s="37" t="str" cm="1">
        <f t="array" ref="D41">Common_InputFunctions.Utility_DisplayArrayInTable(Common_SourceData.Common_SourceData_GWP_Data(), Table_GWPData[[#Headers],[Gas]], 0)</f>
        <v>C2F6</v>
      </c>
      <c r="E41" s="37" cm="1">
        <f t="array" ref="E41">Common_InputFunctions.Utility_DisplayArrayInTable(Common_SourceData.Common_SourceData_GWP_Data(), Table_GWPData[[#Headers],[Gas]], 0)</f>
        <v>12200</v>
      </c>
    </row>
    <row r="42" spans="1:8" ht="20.100000000000001" customHeight="1" x14ac:dyDescent="0.25">
      <c r="D42" s="37" t="str" cm="1">
        <f t="array" ref="D42">Common_InputFunctions.Utility_DisplayArrayInTable(Common_SourceData.Common_SourceData_GWP_Data(), Table_GWPData[[#Headers],[Gas]], 0)</f>
        <v>SF6</v>
      </c>
      <c r="E42" s="37" cm="1">
        <f t="array" ref="E42">Common_InputFunctions.Utility_DisplayArrayInTable(Common_SourceData.Common_SourceData_GWP_Data(), Table_GWPData[[#Headers],[Gas]], 0)</f>
        <v>22800</v>
      </c>
    </row>
    <row r="43" spans="1:8" ht="20.100000000000001" customHeight="1" x14ac:dyDescent="0.25">
      <c r="D43" s="37" t="str" cm="1">
        <f t="array" ref="D43">Common_InputFunctions.Utility_DisplayArrayInTable(Common_SourceData.Common_SourceData_GWP_Data(), Table_GWPData[[#Headers],[Gas]], 0)</f>
        <v>NF3</v>
      </c>
      <c r="E43" s="3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7" t="s">
        <v>27</v>
      </c>
      <c r="E47" s="37" t="s">
        <v>30</v>
      </c>
      <c r="F47" s="37" t="s">
        <v>31</v>
      </c>
      <c r="G47" s="37" t="s">
        <v>32</v>
      </c>
      <c r="H47" s="37" t="s">
        <v>33</v>
      </c>
    </row>
    <row r="48" spans="1:8" ht="20.100000000000001" customHeight="1" x14ac:dyDescent="0.25">
      <c r="D48" s="37" t="str" cm="1">
        <f t="array" ref="D48">Common_InputFunctions.Utility_DisplayArrayInTable(Common_SourceData.Common_SourceData_ConvertGasElementalToMolecular_Data(),Table_GasToMolecularConversionFactor[[#Headers],[Gas]], 0)</f>
        <v>CO2</v>
      </c>
      <c r="E48" s="37" t="str" cm="1">
        <f t="array" ref="E48">Common_InputFunctions.Utility_DisplayArrayInTable(Common_SourceData.Common_SourceData_ConvertGasElementalToMolecular_Data(),Table_GasToMolecularConversionFactor[[#Headers],[Gas]], 0)</f>
        <v>44/12</v>
      </c>
      <c r="F48" s="37" cm="1">
        <f t="array" ref="F48">Common_InputFunctions.Utility_DisplayArrayInTable(Common_SourceData.Common_SourceData_ConvertGasElementalToMolecular_Data(),Table_GasToMolecularConversionFactor[[#Headers],[Gas]], 0)</f>
        <v>44</v>
      </c>
      <c r="G48" s="37" cm="1">
        <f t="array" ref="G48">Common_InputFunctions.Utility_DisplayArrayInTable(Common_SourceData.Common_SourceData_ConvertGasElementalToMolecular_Data(),Table_GasToMolecularConversionFactor[[#Headers],[Gas]], 0)</f>
        <v>12</v>
      </c>
      <c r="H48" s="37">
        <f>Table_GasToMolecularConversionFactor[[#This Row],[Conversion factor 1]]/Table_GasToMolecularConversionFactor[[#This Row],[Conversion factor 2]]</f>
        <v>3.6666666666666665</v>
      </c>
    </row>
    <row r="49" spans="4:8" ht="20.100000000000001" customHeight="1" x14ac:dyDescent="0.25">
      <c r="D49" s="37" t="str" cm="1">
        <f t="array" ref="D49">Common_InputFunctions.Utility_DisplayArrayInTable(Common_SourceData.Common_SourceData_ConvertGasElementalToMolecular_Data(),Table_GasToMolecularConversionFactor[[#Headers],[Gas]], 0)</f>
        <v>CH4</v>
      </c>
      <c r="E49" s="37" t="str" cm="1">
        <f t="array" ref="E49">Common_InputFunctions.Utility_DisplayArrayInTable(Common_SourceData.Common_SourceData_ConvertGasElementalToMolecular_Data(),Table_GasToMolecularConversionFactor[[#Headers],[Gas]], 0)</f>
        <v>16/12</v>
      </c>
      <c r="F49" s="37" cm="1">
        <f t="array" ref="F49">Common_InputFunctions.Utility_DisplayArrayInTable(Common_SourceData.Common_SourceData_ConvertGasElementalToMolecular_Data(),Table_GasToMolecularConversionFactor[[#Headers],[Gas]], 0)</f>
        <v>16</v>
      </c>
      <c r="G49" s="37" cm="1">
        <f t="array" ref="G49">Common_InputFunctions.Utility_DisplayArrayInTable(Common_SourceData.Common_SourceData_ConvertGasElementalToMolecular_Data(),Table_GasToMolecularConversionFactor[[#Headers],[Gas]], 0)</f>
        <v>12</v>
      </c>
      <c r="H49" s="37">
        <f>Table_GasToMolecularConversionFactor[[#This Row],[Conversion factor 1]]/Table_GasToMolecularConversionFactor[[#This Row],[Conversion factor 2]]</f>
        <v>1.3333333333333333</v>
      </c>
    </row>
    <row r="50" spans="4:8" ht="20.100000000000001" customHeight="1" x14ac:dyDescent="0.25">
      <c r="D50" s="37" t="str" cm="1">
        <f t="array" ref="D50">Common_InputFunctions.Utility_DisplayArrayInTable(Common_SourceData.Common_SourceData_ConvertGasElementalToMolecular_Data(),Table_GasToMolecularConversionFactor[[#Headers],[Gas]], 0)</f>
        <v>N2O</v>
      </c>
      <c r="E50" s="37" t="str" cm="1">
        <f t="array" ref="E50">Common_InputFunctions.Utility_DisplayArrayInTable(Common_SourceData.Common_SourceData_ConvertGasElementalToMolecular_Data(),Table_GasToMolecularConversionFactor[[#Headers],[Gas]], 0)</f>
        <v>44/28</v>
      </c>
      <c r="F50" s="37" cm="1">
        <f t="array" ref="F50">Common_InputFunctions.Utility_DisplayArrayInTable(Common_SourceData.Common_SourceData_ConvertGasElementalToMolecular_Data(),Table_GasToMolecularConversionFactor[[#Headers],[Gas]], 0)</f>
        <v>44</v>
      </c>
      <c r="G50" s="37" cm="1">
        <f t="array" ref="G50">Common_InputFunctions.Utility_DisplayArrayInTable(Common_SourceData.Common_SourceData_ConvertGasElementalToMolecular_Data(),Table_GasToMolecularConversionFactor[[#Headers],[Gas]], 0)</f>
        <v>28</v>
      </c>
      <c r="H50" s="37">
        <f>Table_GasToMolecularConversionFactor[[#This Row],[Conversion factor 1]]/Table_GasToMolecularConversionFactor[[#This Row],[Conversion factor 2]]</f>
        <v>1.5714285714285714</v>
      </c>
    </row>
    <row r="51" spans="4:8" ht="20.100000000000001" customHeight="1" x14ac:dyDescent="0.25">
      <c r="D51" s="37" t="str" cm="1">
        <f t="array" ref="D51">Common_InputFunctions.Utility_DisplayArrayInTable(Common_SourceData.Common_SourceData_ConvertGasElementalToMolecular_Data(),Table_GasToMolecularConversionFactor[[#Headers],[Gas]], 0)</f>
        <v>Nox</v>
      </c>
      <c r="E51" s="37" t="str" cm="1">
        <f t="array" ref="E51">Common_InputFunctions.Utility_DisplayArrayInTable(Common_SourceData.Common_SourceData_ConvertGasElementalToMolecular_Data(),Table_GasToMolecularConversionFactor[[#Headers],[Gas]], 0)</f>
        <v>46/14</v>
      </c>
      <c r="F51" s="37" cm="1">
        <f t="array" ref="F51">Common_InputFunctions.Utility_DisplayArrayInTable(Common_SourceData.Common_SourceData_ConvertGasElementalToMolecular_Data(),Table_GasToMolecularConversionFactor[[#Headers],[Gas]], 0)</f>
        <v>46</v>
      </c>
      <c r="G51" s="37" cm="1">
        <f t="array" ref="G51">Common_InputFunctions.Utility_DisplayArrayInTable(Common_SourceData.Common_SourceData_ConvertGasElementalToMolecular_Data(),Table_GasToMolecularConversionFactor[[#Headers],[Gas]], 0)</f>
        <v>14</v>
      </c>
      <c r="H51" s="37">
        <f>Table_GasToMolecularConversionFactor[[#This Row],[Conversion factor 1]]/Table_GasToMolecularConversionFactor[[#This Row],[Conversion factor 2]]</f>
        <v>3.2857142857142856</v>
      </c>
    </row>
    <row r="52" spans="4:8" ht="20.100000000000001" customHeight="1" x14ac:dyDescent="0.25">
      <c r="D52" s="37" t="str" cm="1">
        <f t="array" ref="D52">Common_InputFunctions.Utility_DisplayArrayInTable(Common_SourceData.Common_SourceData_ConvertGasElementalToMolecular_Data(),Table_GasToMolecularConversionFactor[[#Headers],[Gas]], 0)</f>
        <v>CO</v>
      </c>
      <c r="E52" s="37" t="str" cm="1">
        <f t="array" ref="E52">Common_InputFunctions.Utility_DisplayArrayInTable(Common_SourceData.Common_SourceData_ConvertGasElementalToMolecular_Data(),Table_GasToMolecularConversionFactor[[#Headers],[Gas]], 0)</f>
        <v>28/12</v>
      </c>
      <c r="F52" s="37" cm="1">
        <f t="array" ref="F52">Common_InputFunctions.Utility_DisplayArrayInTable(Common_SourceData.Common_SourceData_ConvertGasElementalToMolecular_Data(),Table_GasToMolecularConversionFactor[[#Headers],[Gas]], 0)</f>
        <v>28</v>
      </c>
      <c r="G52" s="37" cm="1">
        <f t="array" ref="G52">Common_InputFunctions.Utility_DisplayArrayInTable(Common_SourceData.Common_SourceData_ConvertGasElementalToMolecular_Data(),Table_GasToMolecularConversionFactor[[#Headers],[Gas]], 0)</f>
        <v>12</v>
      </c>
      <c r="H52" s="37">
        <f>Table_GasToMolecularConversionFactor[[#This Row],[Conversion factor 1]]/Table_GasToMolecularConversionFactor[[#This Row],[Conversion factor 2]]</f>
        <v>2.3333333333333335</v>
      </c>
    </row>
    <row r="53" spans="4:8" ht="20.100000000000001" customHeight="1" x14ac:dyDescent="0.25">
      <c r="D53" s="37" t="str" cm="1">
        <f t="array" ref="D53">Common_InputFunctions.Utility_DisplayArrayInTable(Common_SourceData.Common_SourceData_ConvertGasElementalToMolecular_Data(),Table_GasToMolecularConversionFactor[[#Headers],[Gas]], 0)</f>
        <v>CO2 Lime</v>
      </c>
      <c r="E53" s="37" t="str" cm="1">
        <f t="array" ref="E53">Common_InputFunctions.Utility_DisplayArrayInTable(Common_SourceData.Common_SourceData_ConvertGasElementalToMolecular_Data(),Table_GasToMolecularConversionFactor[[#Headers],[Gas]], 0)</f>
        <v>44/12</v>
      </c>
      <c r="F53" s="37" cm="1">
        <f t="array" ref="F53">Common_InputFunctions.Utility_DisplayArrayInTable(Common_SourceData.Common_SourceData_ConvertGasElementalToMolecular_Data(),Table_GasToMolecularConversionFactor[[#Headers],[Gas]], 0)</f>
        <v>44</v>
      </c>
      <c r="G53" s="37" cm="1">
        <f t="array" ref="G53">Common_InputFunctions.Utility_DisplayArrayInTable(Common_SourceData.Common_SourceData_ConvertGasElementalToMolecular_Data(),Table_GasToMolecularConversionFactor[[#Headers],[Gas]], 0)</f>
        <v>12</v>
      </c>
      <c r="H53" s="37">
        <f>Table_GasToMolecularConversionFactor[[#This Row],[Conversion factor 1]]/Table_GasToMolecularConversionFactor[[#This Row],[Conversion factor 2]]</f>
        <v>3.6666666666666665</v>
      </c>
    </row>
    <row r="54" spans="4:8" ht="20.100000000000001" customHeight="1" x14ac:dyDescent="0.25">
      <c r="D54" s="37" t="str" cm="1">
        <f t="array" ref="D54">Common_InputFunctions.Utility_DisplayArrayInTable(Common_SourceData.Common_SourceData_ConvertGasElementalToMolecular_Data(),Table_GasToMolecularConversionFactor[[#Headers],[Gas]], 0)</f>
        <v>NMVOC</v>
      </c>
      <c r="E54" s="37" t="str" cm="1">
        <f t="array" ref="E54">Common_InputFunctions.Utility_DisplayArrayInTable(Common_SourceData.Common_SourceData_ConvertGasElementalToMolecular_Data(),Table_GasToMolecularConversionFactor[[#Headers],[Gas]], 0)</f>
        <v>14/12</v>
      </c>
      <c r="F54" s="37" cm="1">
        <f t="array" ref="F54">Common_InputFunctions.Utility_DisplayArrayInTable(Common_SourceData.Common_SourceData_ConvertGasElementalToMolecular_Data(),Table_GasToMolecularConversionFactor[[#Headers],[Gas]], 0)</f>
        <v>14</v>
      </c>
      <c r="G54" s="37" cm="1">
        <f t="array" ref="G54">Common_InputFunctions.Utility_DisplayArrayInTable(Common_SourceData.Common_SourceData_ConvertGasElementalToMolecular_Data(),Table_GasToMolecularConversionFactor[[#Headers],[Gas]], 0)</f>
        <v>12</v>
      </c>
      <c r="H54" s="3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5" t="str" cm="1">
        <f t="array" ref="D59:D61">"⚠️" &amp; Common_SourceData.Common_SourceData_WetAndDryZones_Variation()</f>
        <v>⚠️VARIATION OF SOURCE DATA:</v>
      </c>
    </row>
    <row r="60" spans="4:8" ht="20.100000000000001" customHeight="1" x14ac:dyDescent="0.25">
      <c r="D60" s="55" t="str">
        <v>⚠️Added warm / cool temperate moist / dry - low frost and high temp classes to accommodate climate scenarios excluded by VEERG criteria.</v>
      </c>
    </row>
    <row r="61" spans="4:8" ht="20.100000000000001" customHeight="1" x14ac:dyDescent="0.25">
      <c r="D61" s="55" t="str">
        <v>⚠️Fixed typo - Changed 'Fry' to 'Dry'.</v>
      </c>
    </row>
    <row r="62" spans="4:8" ht="20.100000000000001" customHeight="1" x14ac:dyDescent="0.25"/>
    <row r="63" spans="4:8" ht="20.100000000000001" customHeight="1" x14ac:dyDescent="0.25">
      <c r="D63" s="37" t="s">
        <v>10</v>
      </c>
      <c r="E63" s="37" t="s">
        <v>48</v>
      </c>
    </row>
    <row r="64" spans="4:8" ht="20.100000000000001" customHeight="1" x14ac:dyDescent="0.25">
      <c r="D64" s="37" t="str" cm="1">
        <f t="array" ref="D64">Common_InputFunctions.Utility_DisplayArrayInTable(Common_SourceData.Common_SourceData_WetAndDryZones_Data(), Table_SourceData_WetDryZones[[#Headers],[Climate zone]], 0)</f>
        <v>Tropical montane</v>
      </c>
      <c r="E64" s="3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7" t="str" cm="1">
        <f t="array" ref="D65">Common_InputFunctions.Utility_DisplayArrayInTable(Common_SourceData.Common_SourceData_WetAndDryZones_Data(), Table_SourceData_WetDryZones[[#Headers],[Climate zone]], 0)</f>
        <v>Tropical wet</v>
      </c>
      <c r="E65" s="3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7" t="str" cm="1">
        <f t="array" ref="D66">Common_InputFunctions.Utility_DisplayArrayInTable(Common_SourceData.Common_SourceData_WetAndDryZones_Data(), Table_SourceData_WetDryZones[[#Headers],[Climate zone]], 0)</f>
        <v>Tropical moist</v>
      </c>
      <c r="E66" s="3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7" t="str" cm="1">
        <f t="array" ref="D67">Common_InputFunctions.Utility_DisplayArrayInTable(Common_SourceData.Common_SourceData_WetAndDryZones_Data(), Table_SourceData_WetDryZones[[#Headers],[Climate zone]], 0)</f>
        <v>Tropical dry</v>
      </c>
      <c r="E67" s="3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7" t="str" cm="1">
        <f t="array" ref="D68">Common_InputFunctions.Utility_DisplayArrayInTable(Common_SourceData.Common_SourceData_WetAndDryZones_Data(), Table_SourceData_WetDryZones[[#Headers],[Climate zone]], 0)</f>
        <v>Warm temperate moist</v>
      </c>
      <c r="E68" s="3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7" t="str" cm="1">
        <f t="array" ref="D69">Common_InputFunctions.Utility_DisplayArrayInTable(Common_SourceData.Common_SourceData_WetAndDryZones_Data(), Table_SourceData_WetDryZones[[#Headers],[Climate zone]], 0)</f>
        <v>Warm temperate dry</v>
      </c>
      <c r="E69" s="3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7" t="str" cm="1">
        <f t="array" ref="D70">Common_InputFunctions.Utility_DisplayArrayInTable(Common_SourceData.Common_SourceData_WetAndDryZones_Data(), Table_SourceData_WetDryZones[[#Headers],[Climate zone]], 0)</f>
        <v>Cool temperate moist</v>
      </c>
      <c r="E70" s="3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7" t="str" cm="1">
        <f t="array" ref="D71">Common_InputFunctions.Utility_DisplayArrayInTable(Common_SourceData.Common_SourceData_WetAndDryZones_Data(), Table_SourceData_WetDryZones[[#Headers],[Climate zone]], 0)</f>
        <v>Cool temperate dry</v>
      </c>
      <c r="E71" s="3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7" t="str" cm="1">
        <f t="array" ref="D72">Common_InputFunctions.Utility_DisplayArrayInTable(Common_SourceData.Common_SourceData_WetAndDryZones_Data(), Table_SourceData_WetDryZones[[#Headers],[Climate zone]], 0)</f>
        <v>Warm temperate moist - low frost</v>
      </c>
      <c r="E72" s="3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7" t="str" cm="1">
        <f t="array" ref="D73">Common_InputFunctions.Utility_DisplayArrayInTable(Common_SourceData.Common_SourceData_WetAndDryZones_Data(), Table_SourceData_WetDryZones[[#Headers],[Climate zone]], 0)</f>
        <v>Warm temperate dry - low frost</v>
      </c>
      <c r="E73" s="3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7" t="str" cm="1">
        <f t="array" ref="D74">Common_InputFunctions.Utility_DisplayArrayInTable(Common_SourceData.Common_SourceData_WetAndDryZones_Data(), Table_SourceData_WetDryZones[[#Headers],[Climate zone]], 0)</f>
        <v>Warm temperate moist - high temp</v>
      </c>
      <c r="E74" s="3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7" t="str" cm="1">
        <f t="array" ref="D75">Common_InputFunctions.Utility_DisplayArrayInTable(Common_SourceData.Common_SourceData_WetAndDryZones_Data(), Table_SourceData_WetDryZones[[#Headers],[Climate zone]], 0)</f>
        <v>Warm temperate dry - high temp</v>
      </c>
      <c r="E75" s="3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7" t="str" cm="1">
        <f t="array" ref="D76">Common_InputFunctions.Utility_DisplayArrayInTable(Common_SourceData.Common_SourceData_WetAndDryZones_Data(), Table_SourceData_WetDryZones[[#Headers],[Climate zone]], 0)</f>
        <v>Cool temperate moist - low frost</v>
      </c>
      <c r="E76" s="3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7" t="str" cm="1">
        <f t="array" ref="D77">Common_InputFunctions.Utility_DisplayArrayInTable(Common_SourceData.Common_SourceData_WetAndDryZones_Data(), Table_SourceData_WetDryZones[[#Headers],[Climate zone]], 0)</f>
        <v>Cool temperate dry - low frost</v>
      </c>
      <c r="E77" s="3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5" t="str" cm="1">
        <f t="array" ref="D83:D87">"⚠️" &amp; Common_SourceData.Common_SourceData_ClimateZones_Variation()</f>
        <v>⚠️VARIATION OF SOURCE DATA:</v>
      </c>
    </row>
    <row r="84" spans="4:20" ht="20.100000000000001" customHeight="1" x14ac:dyDescent="0.25">
      <c r="D84" s="55" t="str">
        <v>⚠️Added warm / cool temperate moist / dry - low frost and high temp classes to accommodate climate scenarios excluded by VEERG criteria.</v>
      </c>
    </row>
    <row r="85" spans="4:20" ht="20.100000000000001" customHeight="1" x14ac:dyDescent="0.25">
      <c r="D85" s="55" t="str">
        <v>⚠️Fixed typo in MAT value for warm temperate dry - changed 10 to 11.</v>
      </c>
    </row>
    <row r="86" spans="4:20" ht="20.100000000000001" customHeight="1" x14ac:dyDescent="0.25">
      <c r="D86" s="55" t="str">
        <v>⚠️Added min and max columns for MAT, MAP, frost days per year, elevation, MAP:PET to calculate zones from real climate data.</v>
      </c>
    </row>
    <row r="87" spans="4:20" ht="20.100000000000001" customHeight="1" x14ac:dyDescent="0.25">
      <c r="D87" s="55" t="str">
        <v>⚠️GAF accepts rainfall as a proxy for precipitation.</v>
      </c>
    </row>
    <row r="88" spans="4:20" ht="20.100000000000001" customHeight="1" x14ac:dyDescent="0.25"/>
    <row r="89" spans="4:20" ht="20.100000000000001" customHeight="1" x14ac:dyDescent="0.25">
      <c r="D89" s="37" t="s">
        <v>10</v>
      </c>
      <c r="E89" s="37" t="s">
        <v>36</v>
      </c>
      <c r="F89" s="37" t="s">
        <v>37</v>
      </c>
      <c r="G89" s="37" t="s">
        <v>38</v>
      </c>
      <c r="H89" s="37" t="s">
        <v>39</v>
      </c>
      <c r="I89" s="37" t="s">
        <v>40</v>
      </c>
      <c r="J89" s="37" t="s">
        <v>41</v>
      </c>
      <c r="K89" s="37" t="s">
        <v>42</v>
      </c>
      <c r="L89" s="37" t="s">
        <v>43</v>
      </c>
      <c r="M89" s="37" t="s">
        <v>44</v>
      </c>
      <c r="N89" s="37" t="s">
        <v>45</v>
      </c>
      <c r="O89" s="37" t="s">
        <v>49</v>
      </c>
      <c r="P89" s="37" t="s">
        <v>46</v>
      </c>
      <c r="Q89" s="37" t="s">
        <v>50</v>
      </c>
      <c r="R89" s="37" t="s">
        <v>47</v>
      </c>
      <c r="S89" s="37" t="s">
        <v>51</v>
      </c>
      <c r="T89" s="37"/>
    </row>
    <row r="90" spans="4:20" ht="20.100000000000001" customHeight="1" x14ac:dyDescent="0.25">
      <c r="D90" s="37" t="str" cm="1">
        <f t="array" ref="D90">Common_InputFunctions.Utility_DisplayArrayInTable(Common_SourceData.Common_SourceData_ClimateZones_Data(), Table_SourceData_ClimateZones[[#Headers],[Climate zone]], 0)</f>
        <v>Tropical montane</v>
      </c>
      <c r="E90" s="37" t="str" cm="1">
        <f t="array" ref="E90">Common_InputFunctions.Utility_DisplayArrayInTable(Common_SourceData.Common_SourceData_ClimateZones_Data(), Table_SourceData_ClimateZones[[#Headers],[Climate zone]], 0)</f>
        <v>&gt; 18 C</v>
      </c>
      <c r="F90" s="37" t="str" cm="1">
        <f t="array" ref="F90">Common_InputFunctions.Utility_DisplayArrayInTable(Common_SourceData.Common_SourceData_ClimateZones_Data(), Table_SourceData_ClimateZones[[#Headers],[Climate zone]], 0)</f>
        <v>Any</v>
      </c>
      <c r="G90" s="37" t="str" cm="1">
        <f t="array" ref="G90">Common_InputFunctions.Utility_DisplayArrayInTable(Common_SourceData.Common_SourceData_ClimateZones_Data(), Table_SourceData_ClimateZones[[#Headers],[Climate zone]], 0)</f>
        <v>≤ 7</v>
      </c>
      <c r="H90" s="37" t="str" cm="1">
        <f t="array" ref="H90">Common_InputFunctions.Utility_DisplayArrayInTable(Common_SourceData.Common_SourceData_ClimateZones_Data(), Table_SourceData_ClimateZones[[#Headers],[Climate zone]], 0)</f>
        <v>&gt; 1000 m</v>
      </c>
      <c r="I90" s="37" t="str" cm="1">
        <f t="array" ref="I90">Common_InputFunctions.Utility_DisplayArrayInTable(Common_SourceData.Common_SourceData_ClimateZones_Data(), Table_SourceData_ClimateZones[[#Headers],[Climate zone]], 0)</f>
        <v>Any</v>
      </c>
      <c r="J90" s="37" cm="1">
        <f t="array" ref="J90">Common_InputFunctions.Utility_DisplayArrayInTable(Common_SourceData.Common_SourceData_ClimateZones_Data(), Table_SourceData_ClimateZones[[#Headers],[Climate zone]], 0)</f>
        <v>18.001000000000001</v>
      </c>
      <c r="K90" s="37" cm="1">
        <f t="array" ref="K90">Common_InputFunctions.Utility_DisplayArrayInTable(Common_SourceData.Common_SourceData_ClimateZones_Data(), Table_SourceData_ClimateZones[[#Headers],[Climate zone]], 0)</f>
        <v>999999</v>
      </c>
      <c r="L90" s="37" cm="1">
        <f t="array" ref="L90">Common_InputFunctions.Utility_DisplayArrayInTable(Common_SourceData.Common_SourceData_ClimateZones_Data(), Table_SourceData_ClimateZones[[#Headers],[Climate zone]], 0)</f>
        <v>-999999</v>
      </c>
      <c r="M90" s="37" cm="1">
        <f t="array" ref="M90">Common_InputFunctions.Utility_DisplayArrayInTable(Common_SourceData.Common_SourceData_ClimateZones_Data(), Table_SourceData_ClimateZones[[#Headers],[Climate zone]], 0)</f>
        <v>999999</v>
      </c>
      <c r="N90" s="37" cm="1">
        <f t="array" ref="N90">Common_InputFunctions.Utility_DisplayArrayInTable(Common_SourceData.Common_SourceData_ClimateZones_Data(), Table_SourceData_ClimateZones[[#Headers],[Climate zone]], 0)</f>
        <v>-999999</v>
      </c>
      <c r="O90" s="37" cm="1">
        <f t="array" ref="O90">Common_InputFunctions.Utility_DisplayArrayInTable(Common_SourceData.Common_SourceData_ClimateZones_Data(), Table_SourceData_ClimateZones[[#Headers],[Climate zone]], 0)</f>
        <v>7</v>
      </c>
      <c r="P90" s="37" cm="1">
        <f t="array" ref="P90">Common_InputFunctions.Utility_DisplayArrayInTable(Common_SourceData.Common_SourceData_ClimateZones_Data(), Table_SourceData_ClimateZones[[#Headers],[Climate zone]], 0)</f>
        <v>1000</v>
      </c>
      <c r="Q90" s="37" cm="1">
        <f t="array" ref="Q90">Common_InputFunctions.Utility_DisplayArrayInTable(Common_SourceData.Common_SourceData_ClimateZones_Data(), Table_SourceData_ClimateZones[[#Headers],[Climate zone]], 0)</f>
        <v>999999</v>
      </c>
      <c r="R90" s="37" cm="1">
        <f t="array" ref="R90">Common_InputFunctions.Utility_DisplayArrayInTable(Common_SourceData.Common_SourceData_ClimateZones_Data(), Table_SourceData_ClimateZones[[#Headers],[Climate zone]], 0)</f>
        <v>-999999</v>
      </c>
      <c r="S90" s="37" cm="1">
        <f t="array" ref="S90">Common_InputFunctions.Utility_DisplayArrayInTable(Common_SourceData.Common_SourceData_ClimateZones_Data(), Table_SourceData_ClimateZones[[#Headers],[Climate zone]], 0)</f>
        <v>999999</v>
      </c>
      <c r="T90" s="37"/>
    </row>
    <row r="91" spans="4:20" ht="20.100000000000001" customHeight="1" x14ac:dyDescent="0.25">
      <c r="D91" s="37" t="str" cm="1">
        <f t="array" ref="D91">Common_InputFunctions.Utility_DisplayArrayInTable(Common_SourceData.Common_SourceData_ClimateZones_Data(), Table_SourceData_ClimateZones[[#Headers],[Climate zone]], 0)</f>
        <v>Tropical wet</v>
      </c>
      <c r="E91" s="37" t="str" cm="1">
        <f t="array" ref="E91">Common_InputFunctions.Utility_DisplayArrayInTable(Common_SourceData.Common_SourceData_ClimateZones_Data(), Table_SourceData_ClimateZones[[#Headers],[Climate zone]], 0)</f>
        <v>&gt; 18 C</v>
      </c>
      <c r="F91" s="37" t="str" cm="1">
        <f t="array" ref="F91">Common_InputFunctions.Utility_DisplayArrayInTable(Common_SourceData.Common_SourceData_ClimateZones_Data(), Table_SourceData_ClimateZones[[#Headers],[Climate zone]], 0)</f>
        <v>&gt; 2000 mm</v>
      </c>
      <c r="G91" s="37" t="str" cm="1">
        <f t="array" ref="G91">Common_InputFunctions.Utility_DisplayArrayInTable(Common_SourceData.Common_SourceData_ClimateZones_Data(), Table_SourceData_ClimateZones[[#Headers],[Climate zone]], 0)</f>
        <v>≤ 7</v>
      </c>
      <c r="H91" s="37" t="str" cm="1">
        <f t="array" ref="H91">Common_InputFunctions.Utility_DisplayArrayInTable(Common_SourceData.Common_SourceData_ClimateZones_Data(), Table_SourceData_ClimateZones[[#Headers],[Climate zone]], 0)</f>
        <v>≤ 1000 m</v>
      </c>
      <c r="I91" s="37" t="str" cm="1">
        <f t="array" ref="I91">Common_InputFunctions.Utility_DisplayArrayInTable(Common_SourceData.Common_SourceData_ClimateZones_Data(), Table_SourceData_ClimateZones[[#Headers],[Climate zone]], 0)</f>
        <v>Any</v>
      </c>
      <c r="J91" s="37" cm="1">
        <f t="array" ref="J91">Common_InputFunctions.Utility_DisplayArrayInTable(Common_SourceData.Common_SourceData_ClimateZones_Data(), Table_SourceData_ClimateZones[[#Headers],[Climate zone]], 0)</f>
        <v>18.001000000000001</v>
      </c>
      <c r="K91" s="37" cm="1">
        <f t="array" ref="K91">Common_InputFunctions.Utility_DisplayArrayInTable(Common_SourceData.Common_SourceData_ClimateZones_Data(), Table_SourceData_ClimateZones[[#Headers],[Climate zone]], 0)</f>
        <v>999999</v>
      </c>
      <c r="L91" s="37" cm="1">
        <f t="array" ref="L91">Common_InputFunctions.Utility_DisplayArrayInTable(Common_SourceData.Common_SourceData_ClimateZones_Data(), Table_SourceData_ClimateZones[[#Headers],[Climate zone]], 0)</f>
        <v>2000.001</v>
      </c>
      <c r="M91" s="37" cm="1">
        <f t="array" ref="M91">Common_InputFunctions.Utility_DisplayArrayInTable(Common_SourceData.Common_SourceData_ClimateZones_Data(), Table_SourceData_ClimateZones[[#Headers],[Climate zone]], 0)</f>
        <v>999999</v>
      </c>
      <c r="N91" s="37" cm="1">
        <f t="array" ref="N91">Common_InputFunctions.Utility_DisplayArrayInTable(Common_SourceData.Common_SourceData_ClimateZones_Data(), Table_SourceData_ClimateZones[[#Headers],[Climate zone]], 0)</f>
        <v>-999999</v>
      </c>
      <c r="O91" s="37" cm="1">
        <f t="array" ref="O91">Common_InputFunctions.Utility_DisplayArrayInTable(Common_SourceData.Common_SourceData_ClimateZones_Data(), Table_SourceData_ClimateZones[[#Headers],[Climate zone]], 0)</f>
        <v>7</v>
      </c>
      <c r="P91" s="37" cm="1">
        <f t="array" ref="P91">Common_InputFunctions.Utility_DisplayArrayInTable(Common_SourceData.Common_SourceData_ClimateZones_Data(), Table_SourceData_ClimateZones[[#Headers],[Climate zone]], 0)</f>
        <v>-999999</v>
      </c>
      <c r="Q91" s="37" cm="1">
        <f t="array" ref="Q91">Common_InputFunctions.Utility_DisplayArrayInTable(Common_SourceData.Common_SourceData_ClimateZones_Data(), Table_SourceData_ClimateZones[[#Headers],[Climate zone]], 0)</f>
        <v>999.99900000000002</v>
      </c>
      <c r="R91" s="37" cm="1">
        <f t="array" ref="R91">Common_InputFunctions.Utility_DisplayArrayInTable(Common_SourceData.Common_SourceData_ClimateZones_Data(), Table_SourceData_ClimateZones[[#Headers],[Climate zone]], 0)</f>
        <v>-999999</v>
      </c>
      <c r="S91" s="37" cm="1">
        <f t="array" ref="S91">Common_InputFunctions.Utility_DisplayArrayInTable(Common_SourceData.Common_SourceData_ClimateZones_Data(), Table_SourceData_ClimateZones[[#Headers],[Climate zone]], 0)</f>
        <v>999999</v>
      </c>
      <c r="T91" s="37"/>
    </row>
    <row r="92" spans="4:20" ht="20.100000000000001" customHeight="1" x14ac:dyDescent="0.25">
      <c r="D92" s="37" t="str" cm="1">
        <f t="array" ref="D92">Common_InputFunctions.Utility_DisplayArrayInTable(Common_SourceData.Common_SourceData_ClimateZones_Data(), Table_SourceData_ClimateZones[[#Headers],[Climate zone]], 0)</f>
        <v>Tropical moist</v>
      </c>
      <c r="E92" s="37" t="str" cm="1">
        <f t="array" ref="E92">Common_InputFunctions.Utility_DisplayArrayInTable(Common_SourceData.Common_SourceData_ClimateZones_Data(), Table_SourceData_ClimateZones[[#Headers],[Climate zone]], 0)</f>
        <v>&gt; 18 C</v>
      </c>
      <c r="F92" s="37" t="str" cm="1">
        <f t="array" ref="F92">Common_InputFunctions.Utility_DisplayArrayInTable(Common_SourceData.Common_SourceData_ClimateZones_Data(), Table_SourceData_ClimateZones[[#Headers],[Climate zone]], 0)</f>
        <v>&gt; 1000 mm - ≤ 2000 mm</v>
      </c>
      <c r="G92" s="37" t="str" cm="1">
        <f t="array" ref="G92">Common_InputFunctions.Utility_DisplayArrayInTable(Common_SourceData.Common_SourceData_ClimateZones_Data(), Table_SourceData_ClimateZones[[#Headers],[Climate zone]], 0)</f>
        <v>≤ 7</v>
      </c>
      <c r="H92" s="37" t="str" cm="1">
        <f t="array" ref="H92">Common_InputFunctions.Utility_DisplayArrayInTable(Common_SourceData.Common_SourceData_ClimateZones_Data(), Table_SourceData_ClimateZones[[#Headers],[Climate zone]], 0)</f>
        <v>≤ 1000 m</v>
      </c>
      <c r="I92" s="37" t="str" cm="1">
        <f t="array" ref="I92">Common_InputFunctions.Utility_DisplayArrayInTable(Common_SourceData.Common_SourceData_ClimateZones_Data(), Table_SourceData_ClimateZones[[#Headers],[Climate zone]], 0)</f>
        <v>Any</v>
      </c>
      <c r="J92" s="37" cm="1">
        <f t="array" ref="J92">Common_InputFunctions.Utility_DisplayArrayInTable(Common_SourceData.Common_SourceData_ClimateZones_Data(), Table_SourceData_ClimateZones[[#Headers],[Climate zone]], 0)</f>
        <v>18.001000000000001</v>
      </c>
      <c r="K92" s="37" cm="1">
        <f t="array" ref="K92">Common_InputFunctions.Utility_DisplayArrayInTable(Common_SourceData.Common_SourceData_ClimateZones_Data(), Table_SourceData_ClimateZones[[#Headers],[Climate zone]], 0)</f>
        <v>999999</v>
      </c>
      <c r="L92" s="37" cm="1">
        <f t="array" ref="L92">Common_InputFunctions.Utility_DisplayArrayInTable(Common_SourceData.Common_SourceData_ClimateZones_Data(), Table_SourceData_ClimateZones[[#Headers],[Climate zone]], 0)</f>
        <v>1000.001</v>
      </c>
      <c r="M92" s="37" cm="1">
        <f t="array" ref="M92">Common_InputFunctions.Utility_DisplayArrayInTable(Common_SourceData.Common_SourceData_ClimateZones_Data(), Table_SourceData_ClimateZones[[#Headers],[Climate zone]], 0)</f>
        <v>2000</v>
      </c>
      <c r="N92" s="37" cm="1">
        <f t="array" ref="N92">Common_InputFunctions.Utility_DisplayArrayInTable(Common_SourceData.Common_SourceData_ClimateZones_Data(), Table_SourceData_ClimateZones[[#Headers],[Climate zone]], 0)</f>
        <v>-999999</v>
      </c>
      <c r="O92" s="37" cm="1">
        <f t="array" ref="O92">Common_InputFunctions.Utility_DisplayArrayInTable(Common_SourceData.Common_SourceData_ClimateZones_Data(), Table_SourceData_ClimateZones[[#Headers],[Climate zone]], 0)</f>
        <v>7</v>
      </c>
      <c r="P92" s="37" cm="1">
        <f t="array" ref="P92">Common_InputFunctions.Utility_DisplayArrayInTable(Common_SourceData.Common_SourceData_ClimateZones_Data(), Table_SourceData_ClimateZones[[#Headers],[Climate zone]], 0)</f>
        <v>-999999</v>
      </c>
      <c r="Q92" s="37" cm="1">
        <f t="array" ref="Q92">Common_InputFunctions.Utility_DisplayArrayInTable(Common_SourceData.Common_SourceData_ClimateZones_Data(), Table_SourceData_ClimateZones[[#Headers],[Climate zone]], 0)</f>
        <v>999.99900000000002</v>
      </c>
      <c r="R92" s="37" cm="1">
        <f t="array" ref="R92">Common_InputFunctions.Utility_DisplayArrayInTable(Common_SourceData.Common_SourceData_ClimateZones_Data(), Table_SourceData_ClimateZones[[#Headers],[Climate zone]], 0)</f>
        <v>-999999</v>
      </c>
      <c r="S92" s="37" cm="1">
        <f t="array" ref="S92">Common_InputFunctions.Utility_DisplayArrayInTable(Common_SourceData.Common_SourceData_ClimateZones_Data(), Table_SourceData_ClimateZones[[#Headers],[Climate zone]], 0)</f>
        <v>999999</v>
      </c>
      <c r="T92" s="37"/>
    </row>
    <row r="93" spans="4:20" ht="20.100000000000001" customHeight="1" x14ac:dyDescent="0.25">
      <c r="D93" s="37" t="str" cm="1">
        <f t="array" ref="D93">Common_InputFunctions.Utility_DisplayArrayInTable(Common_SourceData.Common_SourceData_ClimateZones_Data(), Table_SourceData_ClimateZones[[#Headers],[Climate zone]], 0)</f>
        <v>Tropical dry</v>
      </c>
      <c r="E93" s="37" t="str" cm="1">
        <f t="array" ref="E93">Common_InputFunctions.Utility_DisplayArrayInTable(Common_SourceData.Common_SourceData_ClimateZones_Data(), Table_SourceData_ClimateZones[[#Headers],[Climate zone]], 0)</f>
        <v>&gt; 18 C</v>
      </c>
      <c r="F93" s="37" t="str" cm="1">
        <f t="array" ref="F93">Common_InputFunctions.Utility_DisplayArrayInTable(Common_SourceData.Common_SourceData_ClimateZones_Data(), Table_SourceData_ClimateZones[[#Headers],[Climate zone]], 0)</f>
        <v>≤ 1000 mm</v>
      </c>
      <c r="G93" s="37" t="str" cm="1">
        <f t="array" ref="G93">Common_InputFunctions.Utility_DisplayArrayInTable(Common_SourceData.Common_SourceData_ClimateZones_Data(), Table_SourceData_ClimateZones[[#Headers],[Climate zone]], 0)</f>
        <v>≤ 7</v>
      </c>
      <c r="H93" s="37" t="str" cm="1">
        <f t="array" ref="H93">Common_InputFunctions.Utility_DisplayArrayInTable(Common_SourceData.Common_SourceData_ClimateZones_Data(), Table_SourceData_ClimateZones[[#Headers],[Climate zone]], 0)</f>
        <v>≤ 1000 m</v>
      </c>
      <c r="I93" s="37" t="str" cm="1">
        <f t="array" ref="I93">Common_InputFunctions.Utility_DisplayArrayInTable(Common_SourceData.Common_SourceData_ClimateZones_Data(), Table_SourceData_ClimateZones[[#Headers],[Climate zone]], 0)</f>
        <v>Any</v>
      </c>
      <c r="J93" s="37" cm="1">
        <f t="array" ref="J93">Common_InputFunctions.Utility_DisplayArrayInTable(Common_SourceData.Common_SourceData_ClimateZones_Data(), Table_SourceData_ClimateZones[[#Headers],[Climate zone]], 0)</f>
        <v>18.001000000000001</v>
      </c>
      <c r="K93" s="37" cm="1">
        <f t="array" ref="K93">Common_InputFunctions.Utility_DisplayArrayInTable(Common_SourceData.Common_SourceData_ClimateZones_Data(), Table_SourceData_ClimateZones[[#Headers],[Climate zone]], 0)</f>
        <v>999999</v>
      </c>
      <c r="L93" s="37" cm="1">
        <f t="array" ref="L93">Common_InputFunctions.Utility_DisplayArrayInTable(Common_SourceData.Common_SourceData_ClimateZones_Data(), Table_SourceData_ClimateZones[[#Headers],[Climate zone]], 0)</f>
        <v>-999999</v>
      </c>
      <c r="M93" s="37" cm="1">
        <f t="array" ref="M93">Common_InputFunctions.Utility_DisplayArrayInTable(Common_SourceData.Common_SourceData_ClimateZones_Data(), Table_SourceData_ClimateZones[[#Headers],[Climate zone]], 0)</f>
        <v>1000</v>
      </c>
      <c r="N93" s="37" cm="1">
        <f t="array" ref="N93">Common_InputFunctions.Utility_DisplayArrayInTable(Common_SourceData.Common_SourceData_ClimateZones_Data(), Table_SourceData_ClimateZones[[#Headers],[Climate zone]], 0)</f>
        <v>-999999</v>
      </c>
      <c r="O93" s="37" cm="1">
        <f t="array" ref="O93">Common_InputFunctions.Utility_DisplayArrayInTable(Common_SourceData.Common_SourceData_ClimateZones_Data(), Table_SourceData_ClimateZones[[#Headers],[Climate zone]], 0)</f>
        <v>7</v>
      </c>
      <c r="P93" s="37" cm="1">
        <f t="array" ref="P93">Common_InputFunctions.Utility_DisplayArrayInTable(Common_SourceData.Common_SourceData_ClimateZones_Data(), Table_SourceData_ClimateZones[[#Headers],[Climate zone]], 0)</f>
        <v>-999999</v>
      </c>
      <c r="Q93" s="37" cm="1">
        <f t="array" ref="Q93">Common_InputFunctions.Utility_DisplayArrayInTable(Common_SourceData.Common_SourceData_ClimateZones_Data(), Table_SourceData_ClimateZones[[#Headers],[Climate zone]], 0)</f>
        <v>999.99900000000002</v>
      </c>
      <c r="R93" s="37" cm="1">
        <f t="array" ref="R93">Common_InputFunctions.Utility_DisplayArrayInTable(Common_SourceData.Common_SourceData_ClimateZones_Data(), Table_SourceData_ClimateZones[[#Headers],[Climate zone]], 0)</f>
        <v>-999999</v>
      </c>
      <c r="S93" s="37" cm="1">
        <f t="array" ref="S93">Common_InputFunctions.Utility_DisplayArrayInTable(Common_SourceData.Common_SourceData_ClimateZones_Data(), Table_SourceData_ClimateZones[[#Headers],[Climate zone]], 0)</f>
        <v>999999</v>
      </c>
      <c r="T93" s="37"/>
    </row>
    <row r="94" spans="4:20" ht="20.100000000000001" customHeight="1" x14ac:dyDescent="0.25">
      <c r="D94" s="37" t="str" cm="1">
        <f t="array" ref="D94">Common_InputFunctions.Utility_DisplayArrayInTable(Common_SourceData.Common_SourceData_ClimateZones_Data(), Table_SourceData_ClimateZones[[#Headers],[Climate zone]], 0)</f>
        <v>Warm temperate moist</v>
      </c>
      <c r="E94" s="37" t="str" cm="1">
        <f t="array" ref="E94">Common_InputFunctions.Utility_DisplayArrayInTable(Common_SourceData.Common_SourceData_ClimateZones_Data(), Table_SourceData_ClimateZones[[#Headers],[Climate zone]], 0)</f>
        <v>&gt; 10 C</v>
      </c>
      <c r="F94" s="37" t="str" cm="1">
        <f t="array" ref="F94">Common_InputFunctions.Utility_DisplayArrayInTable(Common_SourceData.Common_SourceData_ClimateZones_Data(), Table_SourceData_ClimateZones[[#Headers],[Climate zone]], 0)</f>
        <v>Any</v>
      </c>
      <c r="G94" s="37" t="str" cm="1">
        <f t="array" ref="G94">Common_InputFunctions.Utility_DisplayArrayInTable(Common_SourceData.Common_SourceData_ClimateZones_Data(), Table_SourceData_ClimateZones[[#Headers],[Climate zone]], 0)</f>
        <v>Any</v>
      </c>
      <c r="H94" s="37" t="str" cm="1">
        <f t="array" ref="H94">Common_InputFunctions.Utility_DisplayArrayInTable(Common_SourceData.Common_SourceData_ClimateZones_Data(), Table_SourceData_ClimateZones[[#Headers],[Climate zone]], 0)</f>
        <v>Any</v>
      </c>
      <c r="I94" s="37" t="str" cm="1">
        <f t="array" ref="I94">Common_InputFunctions.Utility_DisplayArrayInTable(Common_SourceData.Common_SourceData_ClimateZones_Data(), Table_SourceData_ClimateZones[[#Headers],[Climate zone]], 0)</f>
        <v>&gt; 1</v>
      </c>
      <c r="J94" s="37" cm="1">
        <f t="array" ref="J94">Common_InputFunctions.Utility_DisplayArrayInTable(Common_SourceData.Common_SourceData_ClimateZones_Data(), Table_SourceData_ClimateZones[[#Headers],[Climate zone]], 0)</f>
        <v>10.000999999999999</v>
      </c>
      <c r="K94" s="37" cm="1">
        <f t="array" ref="K94">Common_InputFunctions.Utility_DisplayArrayInTable(Common_SourceData.Common_SourceData_ClimateZones_Data(), Table_SourceData_ClimateZones[[#Headers],[Climate zone]], 0)</f>
        <v>999999</v>
      </c>
      <c r="L94" s="37" cm="1">
        <f t="array" ref="L94">Common_InputFunctions.Utility_DisplayArrayInTable(Common_SourceData.Common_SourceData_ClimateZones_Data(), Table_SourceData_ClimateZones[[#Headers],[Climate zone]], 0)</f>
        <v>-999999</v>
      </c>
      <c r="M94" s="37" cm="1">
        <f t="array" ref="M94">Common_InputFunctions.Utility_DisplayArrayInTable(Common_SourceData.Common_SourceData_ClimateZones_Data(), Table_SourceData_ClimateZones[[#Headers],[Climate zone]], 0)</f>
        <v>999999</v>
      </c>
      <c r="N94" s="37" cm="1">
        <f t="array" ref="N94">Common_InputFunctions.Utility_DisplayArrayInTable(Common_SourceData.Common_SourceData_ClimateZones_Data(), Table_SourceData_ClimateZones[[#Headers],[Climate zone]], 0)</f>
        <v>-999999</v>
      </c>
      <c r="O94" s="37" cm="1">
        <f t="array" ref="O94">Common_InputFunctions.Utility_DisplayArrayInTable(Common_SourceData.Common_SourceData_ClimateZones_Data(), Table_SourceData_ClimateZones[[#Headers],[Climate zone]], 0)</f>
        <v>999999</v>
      </c>
      <c r="P94" s="37" cm="1">
        <f t="array" ref="P94">Common_InputFunctions.Utility_DisplayArrayInTable(Common_SourceData.Common_SourceData_ClimateZones_Data(), Table_SourceData_ClimateZones[[#Headers],[Climate zone]], 0)</f>
        <v>-999999</v>
      </c>
      <c r="Q94" s="37" cm="1">
        <f t="array" ref="Q94">Common_InputFunctions.Utility_DisplayArrayInTable(Common_SourceData.Common_SourceData_ClimateZones_Data(), Table_SourceData_ClimateZones[[#Headers],[Climate zone]], 0)</f>
        <v>999999</v>
      </c>
      <c r="R94" s="37" cm="1">
        <f t="array" ref="R94">Common_InputFunctions.Utility_DisplayArrayInTable(Common_SourceData.Common_SourceData_ClimateZones_Data(), Table_SourceData_ClimateZones[[#Headers],[Climate zone]], 0)</f>
        <v>1.0009999999999999</v>
      </c>
      <c r="S94" s="37" cm="1">
        <f t="array" ref="S94">Common_InputFunctions.Utility_DisplayArrayInTable(Common_SourceData.Common_SourceData_ClimateZones_Data(), Table_SourceData_ClimateZones[[#Headers],[Climate zone]], 0)</f>
        <v>999999</v>
      </c>
      <c r="T94" s="37"/>
    </row>
    <row r="95" spans="4:20" ht="20.100000000000001" customHeight="1" x14ac:dyDescent="0.25">
      <c r="D95" s="37" t="str" cm="1">
        <f t="array" ref="D95">Common_InputFunctions.Utility_DisplayArrayInTable(Common_SourceData.Common_SourceData_ClimateZones_Data(), Table_SourceData_ClimateZones[[#Headers],[Climate zone]], 0)</f>
        <v>Warm temperate dry</v>
      </c>
      <c r="E95" s="37" t="str" cm="1">
        <f t="array" ref="E95">Common_InputFunctions.Utility_DisplayArrayInTable(Common_SourceData.Common_SourceData_ClimateZones_Data(), Table_SourceData_ClimateZones[[#Headers],[Climate zone]], 0)</f>
        <v>&gt; 10 C</v>
      </c>
      <c r="F95" s="37" t="str" cm="1">
        <f t="array" ref="F95">Common_InputFunctions.Utility_DisplayArrayInTable(Common_SourceData.Common_SourceData_ClimateZones_Data(), Table_SourceData_ClimateZones[[#Headers],[Climate zone]], 0)</f>
        <v>Any</v>
      </c>
      <c r="G95" s="37" t="str" cm="1">
        <f t="array" ref="G95">Common_InputFunctions.Utility_DisplayArrayInTable(Common_SourceData.Common_SourceData_ClimateZones_Data(), Table_SourceData_ClimateZones[[#Headers],[Climate zone]], 0)</f>
        <v>Any</v>
      </c>
      <c r="H95" s="37" t="str" cm="1">
        <f t="array" ref="H95">Common_InputFunctions.Utility_DisplayArrayInTable(Common_SourceData.Common_SourceData_ClimateZones_Data(), Table_SourceData_ClimateZones[[#Headers],[Climate zone]], 0)</f>
        <v>Any</v>
      </c>
      <c r="I95" s="37" t="str" cm="1">
        <f t="array" ref="I95">Common_InputFunctions.Utility_DisplayArrayInTable(Common_SourceData.Common_SourceData_ClimateZones_Data(), Table_SourceData_ClimateZones[[#Headers],[Climate zone]], 0)</f>
        <v>≤ 1</v>
      </c>
      <c r="J95" s="37" cm="1">
        <f t="array" ref="J95">Common_InputFunctions.Utility_DisplayArrayInTable(Common_SourceData.Common_SourceData_ClimateZones_Data(), Table_SourceData_ClimateZones[[#Headers],[Climate zone]], 0)</f>
        <v>10.000999999999999</v>
      </c>
      <c r="K95" s="37" cm="1">
        <f t="array" ref="K95">Common_InputFunctions.Utility_DisplayArrayInTable(Common_SourceData.Common_SourceData_ClimateZones_Data(), Table_SourceData_ClimateZones[[#Headers],[Climate zone]], 0)</f>
        <v>999999</v>
      </c>
      <c r="L95" s="37" cm="1">
        <f t="array" ref="L95">Common_InputFunctions.Utility_DisplayArrayInTable(Common_SourceData.Common_SourceData_ClimateZones_Data(), Table_SourceData_ClimateZones[[#Headers],[Climate zone]], 0)</f>
        <v>-999999</v>
      </c>
      <c r="M95" s="37" cm="1">
        <f t="array" ref="M95">Common_InputFunctions.Utility_DisplayArrayInTable(Common_SourceData.Common_SourceData_ClimateZones_Data(), Table_SourceData_ClimateZones[[#Headers],[Climate zone]], 0)</f>
        <v>999999</v>
      </c>
      <c r="N95" s="37" cm="1">
        <f t="array" ref="N95">Common_InputFunctions.Utility_DisplayArrayInTable(Common_SourceData.Common_SourceData_ClimateZones_Data(), Table_SourceData_ClimateZones[[#Headers],[Climate zone]], 0)</f>
        <v>-999999</v>
      </c>
      <c r="O95" s="37" cm="1">
        <f t="array" ref="O95">Common_InputFunctions.Utility_DisplayArrayInTable(Common_SourceData.Common_SourceData_ClimateZones_Data(), Table_SourceData_ClimateZones[[#Headers],[Climate zone]], 0)</f>
        <v>999999</v>
      </c>
      <c r="P95" s="37" cm="1">
        <f t="array" ref="P95">Common_InputFunctions.Utility_DisplayArrayInTable(Common_SourceData.Common_SourceData_ClimateZones_Data(), Table_SourceData_ClimateZones[[#Headers],[Climate zone]], 0)</f>
        <v>-999999</v>
      </c>
      <c r="Q95" s="37" cm="1">
        <f t="array" ref="Q95">Common_InputFunctions.Utility_DisplayArrayInTable(Common_SourceData.Common_SourceData_ClimateZones_Data(), Table_SourceData_ClimateZones[[#Headers],[Climate zone]], 0)</f>
        <v>999999</v>
      </c>
      <c r="R95" s="37" cm="1">
        <f t="array" ref="R95">Common_InputFunctions.Utility_DisplayArrayInTable(Common_SourceData.Common_SourceData_ClimateZones_Data(), Table_SourceData_ClimateZones[[#Headers],[Climate zone]], 0)</f>
        <v>-999999</v>
      </c>
      <c r="S95" s="37" cm="1">
        <f t="array" ref="S95">Common_InputFunctions.Utility_DisplayArrayInTable(Common_SourceData.Common_SourceData_ClimateZones_Data(), Table_SourceData_ClimateZones[[#Headers],[Climate zone]], 0)</f>
        <v>1</v>
      </c>
      <c r="T95" s="37"/>
    </row>
    <row r="96" spans="4:20" ht="20.100000000000001" customHeight="1" x14ac:dyDescent="0.25">
      <c r="D96" s="37" t="str" cm="1">
        <f t="array" ref="D96">Common_InputFunctions.Utility_DisplayArrayInTable(Common_SourceData.Common_SourceData_ClimateZones_Data(), Table_SourceData_ClimateZones[[#Headers],[Climate zone]], 0)</f>
        <v>Cool temperate moist</v>
      </c>
      <c r="E96" s="37" t="str" cm="1">
        <f t="array" ref="E96">Common_InputFunctions.Utility_DisplayArrayInTable(Common_SourceData.Common_SourceData_ClimateZones_Data(), Table_SourceData_ClimateZones[[#Headers],[Climate zone]], 0)</f>
        <v>&gt; 0 C - ≤ 10 C</v>
      </c>
      <c r="F96" s="37" t="str" cm="1">
        <f t="array" ref="F96">Common_InputFunctions.Utility_DisplayArrayInTable(Common_SourceData.Common_SourceData_ClimateZones_Data(), Table_SourceData_ClimateZones[[#Headers],[Climate zone]], 0)</f>
        <v>Any</v>
      </c>
      <c r="G96" s="37" t="str" cm="1">
        <f t="array" ref="G96">Common_InputFunctions.Utility_DisplayArrayInTable(Common_SourceData.Common_SourceData_ClimateZones_Data(), Table_SourceData_ClimateZones[[#Headers],[Climate zone]], 0)</f>
        <v>Any</v>
      </c>
      <c r="H96" s="37" t="str" cm="1">
        <f t="array" ref="H96">Common_InputFunctions.Utility_DisplayArrayInTable(Common_SourceData.Common_SourceData_ClimateZones_Data(), Table_SourceData_ClimateZones[[#Headers],[Climate zone]], 0)</f>
        <v>Any</v>
      </c>
      <c r="I96" s="37" t="str" cm="1">
        <f t="array" ref="I96">Common_InputFunctions.Utility_DisplayArrayInTable(Common_SourceData.Common_SourceData_ClimateZones_Data(), Table_SourceData_ClimateZones[[#Headers],[Climate zone]], 0)</f>
        <v>&gt; 1</v>
      </c>
      <c r="J96" s="37" cm="1">
        <f t="array" ref="J96">Common_InputFunctions.Utility_DisplayArrayInTable(Common_SourceData.Common_SourceData_ClimateZones_Data(), Table_SourceData_ClimateZones[[#Headers],[Climate zone]], 0)</f>
        <v>-999999</v>
      </c>
      <c r="K96" s="37" cm="1">
        <f t="array" ref="K96">Common_InputFunctions.Utility_DisplayArrayInTable(Common_SourceData.Common_SourceData_ClimateZones_Data(), Table_SourceData_ClimateZones[[#Headers],[Climate zone]], 0)</f>
        <v>10</v>
      </c>
      <c r="L96" s="37" cm="1">
        <f t="array" ref="L96">Common_InputFunctions.Utility_DisplayArrayInTable(Common_SourceData.Common_SourceData_ClimateZones_Data(), Table_SourceData_ClimateZones[[#Headers],[Climate zone]], 0)</f>
        <v>-999999</v>
      </c>
      <c r="M96" s="37" cm="1">
        <f t="array" ref="M96">Common_InputFunctions.Utility_DisplayArrayInTable(Common_SourceData.Common_SourceData_ClimateZones_Data(), Table_SourceData_ClimateZones[[#Headers],[Climate zone]], 0)</f>
        <v>999999</v>
      </c>
      <c r="N96" s="37" cm="1">
        <f t="array" ref="N96">Common_InputFunctions.Utility_DisplayArrayInTable(Common_SourceData.Common_SourceData_ClimateZones_Data(), Table_SourceData_ClimateZones[[#Headers],[Climate zone]], 0)</f>
        <v>-999999</v>
      </c>
      <c r="O96" s="37" cm="1">
        <f t="array" ref="O96">Common_InputFunctions.Utility_DisplayArrayInTable(Common_SourceData.Common_SourceData_ClimateZones_Data(), Table_SourceData_ClimateZones[[#Headers],[Climate zone]], 0)</f>
        <v>999999</v>
      </c>
      <c r="P96" s="37" cm="1">
        <f t="array" ref="P96">Common_InputFunctions.Utility_DisplayArrayInTable(Common_SourceData.Common_SourceData_ClimateZones_Data(), Table_SourceData_ClimateZones[[#Headers],[Climate zone]], 0)</f>
        <v>-999999</v>
      </c>
      <c r="Q96" s="37" cm="1">
        <f t="array" ref="Q96">Common_InputFunctions.Utility_DisplayArrayInTable(Common_SourceData.Common_SourceData_ClimateZones_Data(), Table_SourceData_ClimateZones[[#Headers],[Climate zone]], 0)</f>
        <v>999999</v>
      </c>
      <c r="R96" s="37" cm="1">
        <f t="array" ref="R96">Common_InputFunctions.Utility_DisplayArrayInTable(Common_SourceData.Common_SourceData_ClimateZones_Data(), Table_SourceData_ClimateZones[[#Headers],[Climate zone]], 0)</f>
        <v>1.0009999999999999</v>
      </c>
      <c r="S96" s="37" cm="1">
        <f t="array" ref="S96">Common_InputFunctions.Utility_DisplayArrayInTable(Common_SourceData.Common_SourceData_ClimateZones_Data(), Table_SourceData_ClimateZones[[#Headers],[Climate zone]], 0)</f>
        <v>999999</v>
      </c>
      <c r="T96" s="37"/>
    </row>
    <row r="97" spans="4:20" ht="20.100000000000001" customHeight="1" x14ac:dyDescent="0.25">
      <c r="D97" s="37" t="str" cm="1">
        <f t="array" ref="D97">Common_InputFunctions.Utility_DisplayArrayInTable(Common_SourceData.Common_SourceData_ClimateZones_Data(), Table_SourceData_ClimateZones[[#Headers],[Climate zone]], 0)</f>
        <v>Cool temperate dry</v>
      </c>
      <c r="E97" s="37" t="str" cm="1">
        <f t="array" ref="E97">Common_InputFunctions.Utility_DisplayArrayInTable(Common_SourceData.Common_SourceData_ClimateZones_Data(), Table_SourceData_ClimateZones[[#Headers],[Climate zone]], 0)</f>
        <v>&gt; 0 C - ≤ 10 C</v>
      </c>
      <c r="F97" s="37" t="str" cm="1">
        <f t="array" ref="F97">Common_InputFunctions.Utility_DisplayArrayInTable(Common_SourceData.Common_SourceData_ClimateZones_Data(), Table_SourceData_ClimateZones[[#Headers],[Climate zone]], 0)</f>
        <v>Any</v>
      </c>
      <c r="G97" s="37" t="str" cm="1">
        <f t="array" ref="G97">Common_InputFunctions.Utility_DisplayArrayInTable(Common_SourceData.Common_SourceData_ClimateZones_Data(), Table_SourceData_ClimateZones[[#Headers],[Climate zone]], 0)</f>
        <v>Any</v>
      </c>
      <c r="H97" s="37" t="str" cm="1">
        <f t="array" ref="H97">Common_InputFunctions.Utility_DisplayArrayInTable(Common_SourceData.Common_SourceData_ClimateZones_Data(), Table_SourceData_ClimateZones[[#Headers],[Climate zone]], 0)</f>
        <v>Any</v>
      </c>
      <c r="I97" s="37" t="str" cm="1">
        <f t="array" ref="I97">Common_InputFunctions.Utility_DisplayArrayInTable(Common_SourceData.Common_SourceData_ClimateZones_Data(), Table_SourceData_ClimateZones[[#Headers],[Climate zone]], 0)</f>
        <v>≤ 1</v>
      </c>
      <c r="J97" s="37" cm="1">
        <f t="array" ref="J97">Common_InputFunctions.Utility_DisplayArrayInTable(Common_SourceData.Common_SourceData_ClimateZones_Data(), Table_SourceData_ClimateZones[[#Headers],[Climate zone]], 0)</f>
        <v>-999999</v>
      </c>
      <c r="K97" s="37" cm="1">
        <f t="array" ref="K97">Common_InputFunctions.Utility_DisplayArrayInTable(Common_SourceData.Common_SourceData_ClimateZones_Data(), Table_SourceData_ClimateZones[[#Headers],[Climate zone]], 0)</f>
        <v>10</v>
      </c>
      <c r="L97" s="37" cm="1">
        <f t="array" ref="L97">Common_InputFunctions.Utility_DisplayArrayInTable(Common_SourceData.Common_SourceData_ClimateZones_Data(), Table_SourceData_ClimateZones[[#Headers],[Climate zone]], 0)</f>
        <v>-999999</v>
      </c>
      <c r="M97" s="37" cm="1">
        <f t="array" ref="M97">Common_InputFunctions.Utility_DisplayArrayInTable(Common_SourceData.Common_SourceData_ClimateZones_Data(), Table_SourceData_ClimateZones[[#Headers],[Climate zone]], 0)</f>
        <v>999999</v>
      </c>
      <c r="N97" s="37" cm="1">
        <f t="array" ref="N97">Common_InputFunctions.Utility_DisplayArrayInTable(Common_SourceData.Common_SourceData_ClimateZones_Data(), Table_SourceData_ClimateZones[[#Headers],[Climate zone]], 0)</f>
        <v>-999999</v>
      </c>
      <c r="O97" s="37" cm="1">
        <f t="array" ref="O97">Common_InputFunctions.Utility_DisplayArrayInTable(Common_SourceData.Common_SourceData_ClimateZones_Data(), Table_SourceData_ClimateZones[[#Headers],[Climate zone]], 0)</f>
        <v>999999</v>
      </c>
      <c r="P97" s="37" cm="1">
        <f t="array" ref="P97">Common_InputFunctions.Utility_DisplayArrayInTable(Common_SourceData.Common_SourceData_ClimateZones_Data(), Table_SourceData_ClimateZones[[#Headers],[Climate zone]], 0)</f>
        <v>-999999</v>
      </c>
      <c r="Q97" s="37" cm="1">
        <f t="array" ref="Q97">Common_InputFunctions.Utility_DisplayArrayInTable(Common_SourceData.Common_SourceData_ClimateZones_Data(), Table_SourceData_ClimateZones[[#Headers],[Climate zone]], 0)</f>
        <v>999999</v>
      </c>
      <c r="R97" s="37" cm="1">
        <f t="array" ref="R97">Common_InputFunctions.Utility_DisplayArrayInTable(Common_SourceData.Common_SourceData_ClimateZones_Data(), Table_SourceData_ClimateZones[[#Headers],[Climate zone]], 0)</f>
        <v>-999999</v>
      </c>
      <c r="S97" s="37" cm="1">
        <f t="array" ref="S97">Common_InputFunctions.Utility_DisplayArrayInTable(Common_SourceData.Common_SourceData_ClimateZones_Data(), Table_SourceData_ClimateZones[[#Headers],[Climate zone]], 0)</f>
        <v>1</v>
      </c>
      <c r="T97" s="37"/>
    </row>
    <row r="98" spans="4:20" ht="20.100000000000001" customHeight="1" x14ac:dyDescent="0.25">
      <c r="D98" s="54" t="str" cm="1">
        <f t="array" ref="D98:D101">Common_SourceData.Common_SourceData_ClimateZones_Appendices()</f>
        <v>Note:</v>
      </c>
    </row>
    <row r="99" spans="4:20" ht="20.100000000000001" customHeight="1" x14ac:dyDescent="0.25">
      <c r="D99" s="54" t="str">
        <v>MAT = mean annual temperature</v>
      </c>
    </row>
    <row r="100" spans="4:20" ht="20.100000000000001" customHeight="1" x14ac:dyDescent="0.25">
      <c r="D100" s="54" t="str">
        <v>MAP = mean annual precipitation</v>
      </c>
    </row>
    <row r="101" spans="4:20" ht="20.100000000000001" customHeight="1" x14ac:dyDescent="0.25">
      <c r="D101" s="54" t="str">
        <v>PET = potential evapotranspiration</v>
      </c>
    </row>
    <row r="102" spans="4:20" ht="20.100000000000001" customHeight="1" x14ac:dyDescent="0.25">
      <c r="D102" s="54"/>
    </row>
    <row r="103" spans="4:20" ht="20.100000000000001" customHeight="1" x14ac:dyDescent="0.25"/>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5"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7" t="s">
        <v>55</v>
      </c>
      <c r="E109" s="37" t="s">
        <v>36</v>
      </c>
      <c r="F109" s="37" t="s">
        <v>56</v>
      </c>
      <c r="G109" s="37" t="s">
        <v>57</v>
      </c>
    </row>
    <row r="110" spans="4:20" ht="20.100000000000001" customHeight="1" x14ac:dyDescent="0.25">
      <c r="D110" s="37" t="str" cm="1">
        <f t="array" ref="D110">Common_InputFunctions.Utility_DisplayArrayInTable(Common_SourceData.Common_SourceData_TemperatureZones_Data(),Table_SourceData_TemperatureZones[[#Headers],[Temperature Zone]],0)</f>
        <v>Warm</v>
      </c>
      <c r="E110" s="37" t="str" cm="1">
        <f t="array" ref="E110">Common_InputFunctions.Utility_DisplayArrayInTable(Common_SourceData.Common_SourceData_TemperatureZones_Data(),Table_SourceData_TemperatureZones[[#Headers],[Temperature Zone]],0)</f>
        <v>≥ 26 C</v>
      </c>
      <c r="F110" s="37" cm="1">
        <f t="array" ref="F110">Common_InputFunctions.Utility_DisplayArrayInTable(Common_SourceData.Common_SourceData_TemperatureZones_Data(),Table_SourceData_TemperatureZones[[#Headers],[Temperature Zone]],0)</f>
        <v>26</v>
      </c>
      <c r="G110" s="37" cm="1">
        <f t="array" ref="G110">Common_InputFunctions.Utility_DisplayArrayInTable(Common_SourceData.Common_SourceData_TemperatureZones_Data(),Table_SourceData_TemperatureZones[[#Headers],[Temperature Zone]],0)</f>
        <v>999999</v>
      </c>
    </row>
    <row r="111" spans="4:20" ht="20.100000000000001" customHeight="1" x14ac:dyDescent="0.25">
      <c r="D111" s="37" t="str" cm="1">
        <f t="array" ref="D111">Common_InputFunctions.Utility_DisplayArrayInTable(Common_SourceData.Common_SourceData_TemperatureZones_Data(),Table_SourceData_TemperatureZones[[#Headers],[Temperature Zone]],0)</f>
        <v>Temperate</v>
      </c>
      <c r="E111" s="37" t="str" cm="1">
        <f t="array" ref="E111">Common_InputFunctions.Utility_DisplayArrayInTable(Common_SourceData.Common_SourceData_TemperatureZones_Data(),Table_SourceData_TemperatureZones[[#Headers],[Temperature Zone]],0)</f>
        <v>15 - 25 C</v>
      </c>
      <c r="F111" s="37" cm="1">
        <f t="array" ref="F111">Common_InputFunctions.Utility_DisplayArrayInTable(Common_SourceData.Common_SourceData_TemperatureZones_Data(),Table_SourceData_TemperatureZones[[#Headers],[Temperature Zone]],0)</f>
        <v>15</v>
      </c>
      <c r="G111" s="3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7" t="str" cm="1">
        <f t="array" ref="D112">Common_InputFunctions.Utility_DisplayArrayInTable(Common_SourceData.Common_SourceData_TemperatureZones_Data(),Table_SourceData_TemperatureZones[[#Headers],[Temperature Zone]],0)</f>
        <v>Cool</v>
      </c>
      <c r="E112" s="37" t="str" cm="1">
        <f t="array" ref="E112">Common_InputFunctions.Utility_DisplayArrayInTable(Common_SourceData.Common_SourceData_TemperatureZones_Data(),Table_SourceData_TemperatureZones[[#Headers],[Temperature Zone]],0)</f>
        <v>≤ 14 C</v>
      </c>
      <c r="F112" s="37" cm="1">
        <f t="array" ref="F112">Common_InputFunctions.Utility_DisplayArrayInTable(Common_SourceData.Common_SourceData_TemperatureZones_Data(),Table_SourceData_TemperatureZones[[#Headers],[Temperature Zone]],0)</f>
        <v>-999999</v>
      </c>
      <c r="G112" s="3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5"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7" t="s">
        <v>58</v>
      </c>
      <c r="E119" s="37" t="s">
        <v>59</v>
      </c>
      <c r="F119" s="37" t="s">
        <v>43</v>
      </c>
      <c r="G119" s="37" t="s">
        <v>44</v>
      </c>
      <c r="BN119" s="7"/>
    </row>
    <row r="120" spans="4:66" ht="20.100000000000001" customHeight="1" x14ac:dyDescent="0.25">
      <c r="D120" s="37" t="str" cm="1">
        <f t="array" ref="D120">Common_InputFunctions.Utility_DisplayArrayInTable(Common_SourceData.Common_SourceData_RainfallZones_Data(),Table_SourceData_RainfallZones[[#Headers],[Rainfall Zone]],0)</f>
        <v>High rainfall</v>
      </c>
      <c r="E120" s="37" t="str" cm="1">
        <f t="array" ref="E120">Common_InputFunctions.Utility_DisplayArrayInTable(Common_SourceData.Common_SourceData_RainfallZones_Data(),Table_SourceData_RainfallZones[[#Headers],[Rainfall Zone]],0)</f>
        <v>Annual rainfall &gt; 600mm</v>
      </c>
      <c r="F120" s="37" cm="1">
        <f t="array" ref="F120">Common_InputFunctions.Utility_DisplayArrayInTable(Common_SourceData.Common_SourceData_RainfallZones_Data(),Table_SourceData_RainfallZones[[#Headers],[Rainfall Zone]],0)</f>
        <v>600.00099999999998</v>
      </c>
      <c r="G120" s="3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7" t="str" cm="1">
        <f t="array" ref="D121">Common_InputFunctions.Utility_DisplayArrayInTable(Common_SourceData.Common_SourceData_RainfallZones_Data(),Table_SourceData_RainfallZones[[#Headers],[Rainfall Zone]],0)</f>
        <v>Low rainfall</v>
      </c>
      <c r="E121" s="37" t="str" cm="1">
        <f t="array" ref="E121">Common_InputFunctions.Utility_DisplayArrayInTable(Common_SourceData.Common_SourceData_RainfallZones_Data(),Table_SourceData_RainfallZones[[#Headers],[Rainfall Zone]],0)</f>
        <v>Annual rainfall ≤ 600mm</v>
      </c>
      <c r="F121" s="37" cm="1">
        <f t="array" ref="F121">Common_InputFunctions.Utility_DisplayArrayInTable(Common_SourceData.Common_SourceData_RainfallZones_Data(),Table_SourceData_RainfallZones[[#Headers],[Rainfall Zone]],0)</f>
        <v>-999999</v>
      </c>
      <c r="G121" s="3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7" t="s">
        <v>65</v>
      </c>
      <c r="E127" s="37" t="s">
        <v>66</v>
      </c>
    </row>
    <row r="128" spans="4:66" ht="20.100000000000001" customHeight="1" x14ac:dyDescent="0.25">
      <c r="D128" s="37" t="str" cm="1">
        <f t="array" ref="D128">Common_InputFunctions.Utility_DisplayArrayInTable(Common_SourceData.Common_SourceData_LeachingZones_Data(), Table_SourceData_LeachingZones[[#Headers],[Leaching Zone]], 0)</f>
        <v>Leaching occurs</v>
      </c>
      <c r="E128" s="3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7" t="str" cm="1">
        <f t="array" ref="D129">Common_InputFunctions.Utility_DisplayArrayInTable(Common_SourceData.Common_SourceData_LeachingZones_Data(), Table_SourceData_LeachingZones[[#Headers],[Leaching Zone]], 0)</f>
        <v>Leaching does not occur</v>
      </c>
      <c r="E129" s="3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2"/>
    </row>
    <row r="133" spans="4:77" ht="20.100000000000001" customHeight="1" x14ac:dyDescent="0.25">
      <c r="D133" s="5" t="str" cm="1">
        <f t="array" ref="D133">Common_SourceData.Common_SourceData_FracWET_Source()</f>
        <v>VEERG 2026:5.5.2.3 Constant Parameters</v>
      </c>
      <c r="E133" s="22"/>
    </row>
    <row r="134" spans="4:77" ht="20.100000000000001" customHeight="1" x14ac:dyDescent="0.25">
      <c r="D134" t="s">
        <v>93</v>
      </c>
      <c r="E134" t="s">
        <v>94</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5"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7" t="s">
        <v>125</v>
      </c>
      <c r="E142" s="37" t="s">
        <v>94</v>
      </c>
      <c r="BN142" s="7"/>
    </row>
    <row r="143" spans="4:77" ht="20.100000000000001" customHeight="1" x14ac:dyDescent="0.25">
      <c r="D143" s="37" t="str" cm="1">
        <f t="array" ref="D143">Common_InputFunctions.Utility_DisplayArrayInTable(Common_SourceData.Common_SourceData_FracWETIrrigation_Data(), Table_SourceData_FracWETIrrigation[[#Headers],[Irrigation type i]], 0)</f>
        <v>Not irrigated</v>
      </c>
      <c r="E143" s="3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7" t="s">
        <v>68</v>
      </c>
      <c r="E153" s="37" t="s">
        <v>69</v>
      </c>
      <c r="BC153" s="3"/>
      <c r="BD153" s="3"/>
      <c r="BE153" s="3"/>
      <c r="BF153" s="3"/>
      <c r="BG153" s="3"/>
      <c r="BH153" s="3"/>
      <c r="BI153" s="3"/>
      <c r="BJ153" s="3"/>
      <c r="BK153" s="3"/>
      <c r="BL153" s="3"/>
      <c r="BM153" s="3"/>
    </row>
    <row r="154" spans="4:66" ht="20.100000000000001" customHeight="1" x14ac:dyDescent="0.25">
      <c r="D154" s="37" t="str" cm="1">
        <f t="array" ref="D154">Common_InputFunctions.Utility_DisplayArrayInTable(Common_SourceData.Common_SourceData_DataScores_Scope3_Data(), Table_SourceData_DataScores_Scope3[[#Headers],[Data source]], 0)</f>
        <v>International scope 3 database</v>
      </c>
      <c r="E154" s="3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7" t="str" cm="1">
        <f t="array" ref="D155">Common_InputFunctions.Utility_DisplayArrayInTable(Common_SourceData.Common_SourceData_DataScores_Scope3_Data(), Table_SourceData_DataScores_Scope3[[#Headers],[Data source]], 0)</f>
        <v>Australian scope 3 database</v>
      </c>
      <c r="E155" s="3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7" t="str" cm="1">
        <f t="array" ref="D156">Common_InputFunctions.Utility_DisplayArrayInTable(Common_SourceData.Common_SourceData_DataScores_Scope3_Data(), Table_SourceData_DataScores_Scope3[[#Headers],[Data source]], 0)</f>
        <v>State or regional scope 3 database</v>
      </c>
      <c r="E156" s="37" cm="1">
        <f t="array" ref="E156">Common_InputFunctions.Utility_DisplayArrayInTable(Common_SourceData.Common_SourceData_DataScores_Scope3_Data(), Table_SourceData_DataScores_Scope3[[#Headers],[Data source]], 0)</f>
        <v>3</v>
      </c>
    </row>
    <row r="157" spans="4:66" ht="20.100000000000001" customHeight="1" x14ac:dyDescent="0.25">
      <c r="D157" s="37" t="str" cm="1">
        <f t="array" ref="D157">Common_InputFunctions.Utility_DisplayArrayInTable(Common_SourceData.Common_SourceData_DataScores_Scope3_Data(), Table_SourceData_DataScores_Scope3[[#Headers],[Data source]], 0)</f>
        <v>Emissions intensity calculated from approved method</v>
      </c>
      <c r="E157" s="37" cm="1">
        <f t="array" ref="E157">Common_InputFunctions.Utility_DisplayArrayInTable(Common_SourceData.Common_SourceData_DataScores_Scope3_Data(), Table_SourceData_DataScores_Scope3[[#Headers],[Data source]], 0)</f>
        <v>4</v>
      </c>
    </row>
    <row r="158" spans="4:66" ht="20.100000000000001" customHeight="1" x14ac:dyDescent="0.25">
      <c r="D158" s="37" t="str" cm="1">
        <f t="array" ref="D158">Common_InputFunctions.Utility_DisplayArrayInTable(Common_SourceData.Common_SourceData_DataScores_Scope3_Data(), Table_SourceData_DataScores_Scope3[[#Headers],[Data source]], 0)</f>
        <v>Verified credential matching ISO14067</v>
      </c>
      <c r="E158" s="3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2"/>
    </row>
    <row r="162" spans="4:68" ht="20.100000000000001" customHeight="1" x14ac:dyDescent="0.25">
      <c r="D162" s="5" t="str" cm="1">
        <f t="array" ref="D162">Common_SourceData.Common_SourceData_FracLEACH_Source()</f>
        <v>VEERG 2026:5.5.2.3 Constant Parameters</v>
      </c>
      <c r="E162" s="22"/>
    </row>
    <row r="163" spans="4:68" ht="20.100000000000001" customHeight="1" x14ac:dyDescent="0.25">
      <c r="D163" s="5" t="str" cm="1">
        <f t="array" ref="D163">Common_SourceData.Common_SourceData_FracLEACH_NIRReference()</f>
        <v>National Inventory Report Volume 1: Leaching and runoff (3.D.b.2)</v>
      </c>
      <c r="E163" s="22"/>
    </row>
    <row r="164" spans="4:68" ht="20.100000000000001" customHeight="1" x14ac:dyDescent="0.25">
      <c r="D164" s="22" t="str" cm="1">
        <f t="array" ref="D164:E164">Common_SourceData.Common_SourceData_FracLEACH_Data()</f>
        <v>FracLEACH</v>
      </c>
      <c r="E164" s="22">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4"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4" t="str" cm="1">
        <f t="array" ref="D180">Common_SourceData.Common_SourceData_EFN2O_Unit()</f>
        <v>(kg N2O-N / kg N</v>
      </c>
    </row>
    <row r="181" spans="4:68" ht="20.100000000000001" customHeight="1" x14ac:dyDescent="0.25">
      <c r="D181" s="55" t="str" cm="1">
        <f t="array" ref="D181:D185">Common_SourceData.Common_SourceData_EFN2O_Variation()</f>
        <v>VARIATION OF SOURCE DATA:</v>
      </c>
    </row>
    <row r="182" spans="4:68" ht="20.100000000000001" customHeight="1" x14ac:dyDescent="0.25">
      <c r="D182" s="55" t="str">
        <v>Removed duplicate 'Aquaculture' row.</v>
      </c>
    </row>
    <row r="183" spans="4:68" ht="20.100000000000001" customHeight="1" x14ac:dyDescent="0.25">
      <c r="D183" s="55" t="str">
        <v>Removed asterisks to aid lookup.</v>
      </c>
    </row>
    <row r="184" spans="4:68" ht="20.100000000000001" customHeight="1" x14ac:dyDescent="0.25">
      <c r="D184" s="55" t="str">
        <v>Added 'production system only', 'rainfall zone' and 'irrigation method' columns to aid lookup.</v>
      </c>
    </row>
    <row r="185" spans="4:68" ht="20.100000000000001" customHeight="1" x14ac:dyDescent="0.25">
      <c r="D185" s="55" t="str">
        <v>Duplicated 'non-irrigated pasture' row with same EF for low and high rainfall zones to aid lookup.</v>
      </c>
    </row>
    <row r="186" spans="4:68" ht="20.100000000000001" customHeight="1" x14ac:dyDescent="0.25">
      <c r="D186" s="37" t="s">
        <v>105</v>
      </c>
      <c r="E186" s="37" t="s">
        <v>106</v>
      </c>
      <c r="F186" s="37" t="s">
        <v>107</v>
      </c>
      <c r="G186" s="37" t="s">
        <v>108</v>
      </c>
      <c r="H186" s="37" t="s">
        <v>35</v>
      </c>
    </row>
    <row r="187" spans="4:68" ht="20.100000000000001" customHeight="1" x14ac:dyDescent="0.25">
      <c r="D187" s="37" t="str" cm="1">
        <f t="array" ref="D187">Common_InputFunctions.Utility_DisplayArrayInTable(Common_SourceData.Common_SourceData_EFN2O_Data(), Table_SourceData_Common_EFN2O[[#Headers],[Production system j]], 0)</f>
        <v>Irrigated pasture</v>
      </c>
      <c r="E187" s="37" cm="1">
        <f t="array" ref="E187">Common_InputFunctions.Utility_DisplayArrayInTable(Common_SourceData.Common_SourceData_EFN2O_Data(), Table_SourceData_Common_EFN2O[[#Headers],[Production system j]], 0)</f>
        <v>5.8999999999999999E-3</v>
      </c>
      <c r="F187" s="37" t="str" cm="1">
        <f t="array" ref="F187">Common_InputFunctions.Utility_DisplayArrayInTable(Common_SourceData.Common_SourceData_EFN2O_Data(), Table_SourceData_Common_EFN2O[[#Headers],[Production system j]], 0)</f>
        <v>Pasture</v>
      </c>
      <c r="G187" s="37" t="str" cm="1">
        <f t="array" ref="G187">Common_InputFunctions.Utility_DisplayArrayInTable(Common_SourceData.Common_SourceData_EFN2O_Data(), Table_SourceData_Common_EFN2O[[#Headers],[Production system j]], 0)</f>
        <v>Any</v>
      </c>
      <c r="H187" s="37" t="str" cm="1">
        <f t="array" ref="H187">Common_InputFunctions.Utility_DisplayArrayInTable(Common_SourceData.Common_SourceData_EFN2O_Data(), Table_SourceData_Common_EFN2O[[#Headers],[Production system j]], 0)</f>
        <v>Any</v>
      </c>
    </row>
    <row r="188" spans="4:68" ht="20.100000000000001" customHeight="1" x14ac:dyDescent="0.25">
      <c r="D188" s="37" t="str" cm="1">
        <f t="array" ref="D188">Common_InputFunctions.Utility_DisplayArrayInTable(Common_SourceData.Common_SourceData_EFN2O_Data(), Table_SourceData_Common_EFN2O[[#Headers],[Production system j]], 0)</f>
        <v>Irrigated crop</v>
      </c>
      <c r="E188" s="37" cm="1">
        <f t="array" ref="E188">Common_InputFunctions.Utility_DisplayArrayInTable(Common_SourceData.Common_SourceData_EFN2O_Data(), Table_SourceData_Common_EFN2O[[#Headers],[Production system j]], 0)</f>
        <v>7.0000000000000001E-3</v>
      </c>
      <c r="F188" s="37" t="str" cm="1">
        <f t="array" ref="F188">Common_InputFunctions.Utility_DisplayArrayInTable(Common_SourceData.Common_SourceData_EFN2O_Data(), Table_SourceData_Common_EFN2O[[#Headers],[Production system j]], 0)</f>
        <v>Crop</v>
      </c>
      <c r="G188" s="37" t="str" cm="1">
        <f t="array" ref="G188">Common_InputFunctions.Utility_DisplayArrayInTable(Common_SourceData.Common_SourceData_EFN2O_Data(), Table_SourceData_Common_EFN2O[[#Headers],[Production system j]], 0)</f>
        <v>Any</v>
      </c>
      <c r="H188" s="37" t="str" cm="1">
        <f t="array" ref="H188">Common_InputFunctions.Utility_DisplayArrayInTable(Common_SourceData.Common_SourceData_EFN2O_Data(), Table_SourceData_Common_EFN2O[[#Headers],[Production system j]], 0)</f>
        <v>Any</v>
      </c>
    </row>
    <row r="189" spans="4:68" ht="20.100000000000001" customHeight="1" x14ac:dyDescent="0.25">
      <c r="D189" s="37" t="str" cm="1">
        <f t="array" ref="D189">Common_InputFunctions.Utility_DisplayArrayInTable(Common_SourceData.Common_SourceData_EFN2O_Data(), Table_SourceData_Common_EFN2O[[#Headers],[Production system j]], 0)</f>
        <v>Non-irrigated pasture</v>
      </c>
      <c r="E189" s="37" cm="1">
        <f t="array" ref="E189">Common_InputFunctions.Utility_DisplayArrayInTable(Common_SourceData.Common_SourceData_EFN2O_Data(), Table_SourceData_Common_EFN2O[[#Headers],[Production system j]], 0)</f>
        <v>1.8E-3</v>
      </c>
      <c r="F189" s="37" t="str" cm="1">
        <f t="array" ref="F189">Common_InputFunctions.Utility_DisplayArrayInTable(Common_SourceData.Common_SourceData_EFN2O_Data(), Table_SourceData_Common_EFN2O[[#Headers],[Production system j]], 0)</f>
        <v>Pasture</v>
      </c>
      <c r="G189" s="37" t="str" cm="1">
        <f t="array" ref="G189">Common_InputFunctions.Utility_DisplayArrayInTable(Common_SourceData.Common_SourceData_EFN2O_Data(), Table_SourceData_Common_EFN2O[[#Headers],[Production system j]], 0)</f>
        <v>Not irrigated</v>
      </c>
      <c r="H189" s="3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7" t="str" cm="1">
        <f t="array" ref="D190">Common_InputFunctions.Utility_DisplayArrayInTable(Common_SourceData.Common_SourceData_EFN2O_Data(), Table_SourceData_Common_EFN2O[[#Headers],[Production system j]], 0)</f>
        <v>Non-irrigated pasture</v>
      </c>
      <c r="E190" s="37" cm="1">
        <f t="array" ref="E190">Common_InputFunctions.Utility_DisplayArrayInTable(Common_SourceData.Common_SourceData_EFN2O_Data(), Table_SourceData_Common_EFN2O[[#Headers],[Production system j]], 0)</f>
        <v>1.8E-3</v>
      </c>
      <c r="F190" s="37" t="str" cm="1">
        <f t="array" ref="F190">Common_InputFunctions.Utility_DisplayArrayInTable(Common_SourceData.Common_SourceData_EFN2O_Data(), Table_SourceData_Common_EFN2O[[#Headers],[Production system j]], 0)</f>
        <v>Pasture</v>
      </c>
      <c r="G190" s="37" t="str" cm="1">
        <f t="array" ref="G190">Common_InputFunctions.Utility_DisplayArrayInTable(Common_SourceData.Common_SourceData_EFN2O_Data(), Table_SourceData_Common_EFN2O[[#Headers],[Production system j]], 0)</f>
        <v>Not irrigated</v>
      </c>
      <c r="H190" s="3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7" t="str" cm="1">
        <f t="array" ref="D191">Common_InputFunctions.Utility_DisplayArrayInTable(Common_SourceData.Common_SourceData_EFN2O_Data(), Table_SourceData_Common_EFN2O[[#Headers],[Production system j]], 0)</f>
        <v>Non-irrigated crop (low rainfall)</v>
      </c>
      <c r="E191" s="37" cm="1">
        <f t="array" ref="E191">Common_InputFunctions.Utility_DisplayArrayInTable(Common_SourceData.Common_SourceData_EFN2O_Data(), Table_SourceData_Common_EFN2O[[#Headers],[Production system j]], 0)</f>
        <v>2.8999999999999998E-3</v>
      </c>
      <c r="F191" s="37" t="str" cm="1">
        <f t="array" ref="F191">Common_InputFunctions.Utility_DisplayArrayInTable(Common_SourceData.Common_SourceData_EFN2O_Data(), Table_SourceData_Common_EFN2O[[#Headers],[Production system j]], 0)</f>
        <v>Crop</v>
      </c>
      <c r="G191" s="37" t="str" cm="1">
        <f t="array" ref="G191">Common_InputFunctions.Utility_DisplayArrayInTable(Common_SourceData.Common_SourceData_EFN2O_Data(), Table_SourceData_Common_EFN2O[[#Headers],[Production system j]], 0)</f>
        <v>Not irrigated</v>
      </c>
      <c r="H191" s="3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7" t="str" cm="1">
        <f t="array" ref="D192">Common_InputFunctions.Utility_DisplayArrayInTable(Common_SourceData.Common_SourceData_EFN2O_Data(), Table_SourceData_Common_EFN2O[[#Headers],[Production system j]], 0)</f>
        <v>Non-irrigated crop (high rainfall)</v>
      </c>
      <c r="E192" s="37" cm="1">
        <f t="array" ref="E192">Common_InputFunctions.Utility_DisplayArrayInTable(Common_SourceData.Common_SourceData_EFN2O_Data(), Table_SourceData_Common_EFN2O[[#Headers],[Production system j]], 0)</f>
        <v>8.0000000000000002E-3</v>
      </c>
      <c r="F192" s="37" t="str" cm="1">
        <f t="array" ref="F192">Common_InputFunctions.Utility_DisplayArrayInTable(Common_SourceData.Common_SourceData_EFN2O_Data(), Table_SourceData_Common_EFN2O[[#Headers],[Production system j]], 0)</f>
        <v>Crop</v>
      </c>
      <c r="G192" s="37" t="str" cm="1">
        <f t="array" ref="G192">Common_InputFunctions.Utility_DisplayArrayInTable(Common_SourceData.Common_SourceData_EFN2O_Data(), Table_SourceData_Common_EFN2O[[#Headers],[Production system j]], 0)</f>
        <v>Not irrigated</v>
      </c>
      <c r="H192" s="3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7" t="str" cm="1">
        <f t="array" ref="D193">Common_InputFunctions.Utility_DisplayArrayInTable(Common_SourceData.Common_SourceData_EFN2O_Data(), Table_SourceData_Common_EFN2O[[#Headers],[Production system j]], 0)</f>
        <v>Sugar</v>
      </c>
      <c r="E193" s="37" cm="1">
        <f t="array" ref="E193">Common_InputFunctions.Utility_DisplayArrayInTable(Common_SourceData.Common_SourceData_EFN2O_Data(), Table_SourceData_Common_EFN2O[[#Headers],[Production system j]], 0)</f>
        <v>1.9900000000000001E-2</v>
      </c>
      <c r="F193" s="37" t="str" cm="1">
        <f t="array" ref="F193">Common_InputFunctions.Utility_DisplayArrayInTable(Common_SourceData.Common_SourceData_EFN2O_Data(), Table_SourceData_Common_EFN2O[[#Headers],[Production system j]], 0)</f>
        <v>Sugar</v>
      </c>
      <c r="G193" s="37" t="str" cm="1">
        <f t="array" ref="G193">Common_InputFunctions.Utility_DisplayArrayInTable(Common_SourceData.Common_SourceData_EFN2O_Data(), Table_SourceData_Common_EFN2O[[#Headers],[Production system j]], 0)</f>
        <v>Any</v>
      </c>
      <c r="H193" s="37" t="str" cm="1">
        <f t="array" ref="H193">Common_InputFunctions.Utility_DisplayArrayInTable(Common_SourceData.Common_SourceData_EFN2O_Data(), Table_SourceData_Common_EFN2O[[#Headers],[Production system j]], 0)</f>
        <v>Any</v>
      </c>
    </row>
    <row r="194" spans="4:8" ht="20.100000000000001" customHeight="1" x14ac:dyDescent="0.25">
      <c r="D194" s="37" t="str" cm="1">
        <f t="array" ref="D194">Common_InputFunctions.Utility_DisplayArrayInTable(Common_SourceData.Common_SourceData_EFN2O_Data(), Table_SourceData_Common_EFN2O[[#Headers],[Production system j]], 0)</f>
        <v>Cotton</v>
      </c>
      <c r="E194" s="37" cm="1">
        <f t="array" ref="E194">Common_InputFunctions.Utility_DisplayArrayInTable(Common_SourceData.Common_SourceData_EFN2O_Data(), Table_SourceData_Common_EFN2O[[#Headers],[Production system j]], 0)</f>
        <v>5.3E-3</v>
      </c>
      <c r="F194" s="37" t="str" cm="1">
        <f t="array" ref="F194">Common_InputFunctions.Utility_DisplayArrayInTable(Common_SourceData.Common_SourceData_EFN2O_Data(), Table_SourceData_Common_EFN2O[[#Headers],[Production system j]], 0)</f>
        <v>Cotton</v>
      </c>
      <c r="G194" s="37" t="str" cm="1">
        <f t="array" ref="G194">Common_InputFunctions.Utility_DisplayArrayInTable(Common_SourceData.Common_SourceData_EFN2O_Data(), Table_SourceData_Common_EFN2O[[#Headers],[Production system j]], 0)</f>
        <v>Any</v>
      </c>
      <c r="H194" s="37" t="str" cm="1">
        <f t="array" ref="H194">Common_InputFunctions.Utility_DisplayArrayInTable(Common_SourceData.Common_SourceData_EFN2O_Data(), Table_SourceData_Common_EFN2O[[#Headers],[Production system j]], 0)</f>
        <v>Any</v>
      </c>
    </row>
    <row r="195" spans="4:8" ht="20.100000000000001" customHeight="1" x14ac:dyDescent="0.25">
      <c r="D195" s="37" t="str" cm="1">
        <f t="array" ref="D195">Common_InputFunctions.Utility_DisplayArrayInTable(Common_SourceData.Common_SourceData_EFN2O_Data(), Table_SourceData_Common_EFN2O[[#Headers],[Production system j]], 0)</f>
        <v>Horticultural crops</v>
      </c>
      <c r="E195" s="37" cm="1">
        <f t="array" ref="E195">Common_InputFunctions.Utility_DisplayArrayInTable(Common_SourceData.Common_SourceData_EFN2O_Data(), Table_SourceData_Common_EFN2O[[#Headers],[Production system j]], 0)</f>
        <v>6.4000000000000003E-3</v>
      </c>
      <c r="F195" s="37" t="str" cm="1">
        <f t="array" ref="F195">Common_InputFunctions.Utility_DisplayArrayInTable(Common_SourceData.Common_SourceData_EFN2O_Data(), Table_SourceData_Common_EFN2O[[#Headers],[Production system j]], 0)</f>
        <v>Horticultural crops</v>
      </c>
      <c r="G195" s="37" t="str" cm="1">
        <f t="array" ref="G195">Common_InputFunctions.Utility_DisplayArrayInTable(Common_SourceData.Common_SourceData_EFN2O_Data(), Table_SourceData_Common_EFN2O[[#Headers],[Production system j]], 0)</f>
        <v>Any</v>
      </c>
      <c r="H195" s="37" t="str" cm="1">
        <f t="array" ref="H195">Common_InputFunctions.Utility_DisplayArrayInTable(Common_SourceData.Common_SourceData_EFN2O_Data(), Table_SourceData_Common_EFN2O[[#Headers],[Production system j]], 0)</f>
        <v>Any</v>
      </c>
    </row>
    <row r="196" spans="4:8" ht="20.100000000000001" customHeight="1" x14ac:dyDescent="0.25">
      <c r="D196" s="37" t="str" cm="1">
        <f t="array" ref="D196">Common_InputFunctions.Utility_DisplayArrayInTable(Common_SourceData.Common_SourceData_EFN2O_Data(), Table_SourceData_Common_EFN2O[[#Headers],[Production system j]], 0)</f>
        <v>Rice (continuous flooding)</v>
      </c>
      <c r="E196" s="37" cm="1">
        <f t="array" ref="E196">Common_InputFunctions.Utility_DisplayArrayInTable(Common_SourceData.Common_SourceData_EFN2O_Data(), Table_SourceData_Common_EFN2O[[#Headers],[Production system j]], 0)</f>
        <v>3.0000000000000001E-3</v>
      </c>
      <c r="F196" s="37" t="str" cm="1">
        <f t="array" ref="F196">Common_InputFunctions.Utility_DisplayArrayInTable(Common_SourceData.Common_SourceData_EFN2O_Data(), Table_SourceData_Common_EFN2O[[#Headers],[Production system j]], 0)</f>
        <v>Rice</v>
      </c>
      <c r="G196" s="37" t="str" cm="1">
        <f t="array" ref="G196">Common_InputFunctions.Utility_DisplayArrayInTable(Common_SourceData.Common_SourceData_EFN2O_Data(), Table_SourceData_Common_EFN2O[[#Headers],[Production system j]], 0)</f>
        <v>Continuous flooding</v>
      </c>
      <c r="H196" s="37" t="str" cm="1">
        <f t="array" ref="H196">Common_InputFunctions.Utility_DisplayArrayInTable(Common_SourceData.Common_SourceData_EFN2O_Data(), Table_SourceData_Common_EFN2O[[#Headers],[Production system j]], 0)</f>
        <v>Any</v>
      </c>
    </row>
    <row r="197" spans="4:8" x14ac:dyDescent="0.25">
      <c r="D197" s="37" t="str" cm="1">
        <f t="array" ref="D197">Common_InputFunctions.Utility_DisplayArrayInTable(Common_SourceData.Common_SourceData_EFN2O_Data(), Table_SourceData_Common_EFN2O[[#Headers],[Production system j]], 0)</f>
        <v>Rice (single and multiple drainage, or alternate wetting and drying)</v>
      </c>
      <c r="E197" s="37" cm="1">
        <f t="array" ref="E197">Common_InputFunctions.Utility_DisplayArrayInTable(Common_SourceData.Common_SourceData_EFN2O_Data(), Table_SourceData_Common_EFN2O[[#Headers],[Production system j]], 0)</f>
        <v>5.0000000000000001E-3</v>
      </c>
      <c r="F197" s="37" t="str" cm="1">
        <f t="array" ref="F197">Common_InputFunctions.Utility_DisplayArrayInTable(Common_SourceData.Common_SourceData_EFN2O_Data(), Table_SourceData_Common_EFN2O[[#Headers],[Production system j]], 0)</f>
        <v>Rice</v>
      </c>
      <c r="G197" s="37" t="str" cm="1">
        <f t="array" ref="G197">Common_InputFunctions.Utility_DisplayArrayInTable(Common_SourceData.Common_SourceData_EFN2O_Data(), Table_SourceData_Common_EFN2O[[#Headers],[Production system j]], 0)</f>
        <v>Single and multiple drainage, or alternate wetting and drying</v>
      </c>
      <c r="H197" s="37" t="str" cm="1">
        <f t="array" ref="H197">Common_InputFunctions.Utility_DisplayArrayInTable(Common_SourceData.Common_SourceData_EFN2O_Data(), Table_SourceData_Common_EFN2O[[#Headers],[Production system j]], 0)</f>
        <v>Any</v>
      </c>
    </row>
    <row r="198" spans="4:8" x14ac:dyDescent="0.25">
      <c r="D198" s="37" t="str" cm="1">
        <f t="array" ref="D198">Common_InputFunctions.Utility_DisplayArrayInTable(Common_SourceData.Common_SourceData_EFN2O_Data(), Table_SourceData_Common_EFN2O[[#Headers],[Production system j]], 0)</f>
        <v>Aquaculture</v>
      </c>
      <c r="E198" s="37" cm="1">
        <f t="array" ref="E198">Common_InputFunctions.Utility_DisplayArrayInTable(Common_SourceData.Common_SourceData_EFN2O_Data(), Table_SourceData_Common_EFN2O[[#Headers],[Production system j]], 0)</f>
        <v>2.5999999999999999E-3</v>
      </c>
      <c r="F198" s="37" t="str" cm="1">
        <f t="array" ref="F198">Common_InputFunctions.Utility_DisplayArrayInTable(Common_SourceData.Common_SourceData_EFN2O_Data(), Table_SourceData_Common_EFN2O[[#Headers],[Production system j]], 0)</f>
        <v>Aquaculture</v>
      </c>
      <c r="G198" s="37" t="str" cm="1">
        <f t="array" ref="G198">Common_InputFunctions.Utility_DisplayArrayInTable(Common_SourceData.Common_SourceData_EFN2O_Data(), Table_SourceData_Common_EFN2O[[#Headers],[Production system j]], 0)</f>
        <v>Any</v>
      </c>
      <c r="H198" s="37" t="str" cm="1">
        <f t="array" ref="H198">Common_InputFunctions.Utility_DisplayArrayInTable(Common_SourceData.Common_SourceData_EFN2O_Data(), Table_SourceData_Common_EFN2O[[#Headers],[Production system j]], 0)</f>
        <v>Any</v>
      </c>
    </row>
    <row r="199" spans="4:8" x14ac:dyDescent="0.25">
      <c r="D199" s="37" t="str" cm="1">
        <f t="array" ref="D199">Common_InputFunctions.Utility_DisplayArrayInTable(Common_SourceData.Common_SourceData_EFN2O_Data(), Table_SourceData_Common_EFN2O[[#Headers],[Production system j]], 0)</f>
        <v>Forestry</v>
      </c>
      <c r="E199" s="37" cm="1">
        <f t="array" ref="E199">Common_InputFunctions.Utility_DisplayArrayInTable(Common_SourceData.Common_SourceData_EFN2O_Data(), Table_SourceData_Common_EFN2O[[#Headers],[Production system j]], 0)</f>
        <v>1.8E-3</v>
      </c>
      <c r="F199" s="37" t="str" cm="1">
        <f t="array" ref="F199">Common_InputFunctions.Utility_DisplayArrayInTable(Common_SourceData.Common_SourceData_EFN2O_Data(), Table_SourceData_Common_EFN2O[[#Headers],[Production system j]], 0)</f>
        <v>Forestry</v>
      </c>
      <c r="G199" s="37" t="str" cm="1">
        <f t="array" ref="G199">Common_InputFunctions.Utility_DisplayArrayInTable(Common_SourceData.Common_SourceData_EFN2O_Data(), Table_SourceData_Common_EFN2O[[#Headers],[Production system j]], 0)</f>
        <v>Any</v>
      </c>
      <c r="H199" s="3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5" t="str" cm="1">
        <f t="array" ref="D204">Common_SourceData.Common_SourceData_EFPastureRangeAndPaddock_Variation()</f>
        <v>VARIATION FROM SOURCE DATA: Changed 'Dry climate zones' to singular 'Dry climate zone' to aid lookup.</v>
      </c>
    </row>
    <row r="205" spans="4:8" x14ac:dyDescent="0.25">
      <c r="D205" s="54" t="str" cm="1">
        <f t="array" ref="D205">Common_SourceData.Common_SourceData_EFPastureRangeAndPaddock_Unit()</f>
        <v>kg N2O - N / kg N</v>
      </c>
    </row>
    <row r="206" spans="4:8" x14ac:dyDescent="0.25">
      <c r="D206" s="37" t="s">
        <v>10</v>
      </c>
      <c r="E206" s="37" t="s">
        <v>127</v>
      </c>
    </row>
    <row r="207" spans="4:8" x14ac:dyDescent="0.25">
      <c r="D207" s="37" t="str" cm="1">
        <f t="array" ref="D207">Common_InputFunctions.Utility_DisplayArrayInTable(Common_SourceData.Common_SourceData_EFPastureRangeAndPaddock_Data(), Table_SourceData_EFPastureRangeAndPaddock[[#Headers],[Climate zone]], 0)</f>
        <v>Wet climate zone</v>
      </c>
      <c r="E207" s="3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7" t="s">
        <v>119</v>
      </c>
      <c r="E212" s="37" t="s">
        <v>132</v>
      </c>
    </row>
    <row r="213" spans="4:5" x14ac:dyDescent="0.25">
      <c r="D213" s="37" t="str" cm="1">
        <f t="array" ref="D213">Common_InputFunctions.Utility_DisplayArrayInTable(Common_SourceData.Common_SourceData_MonthsToSeasons_Data(), Table_SourceData_Common_MonthToSeason[[#Headers],[Month]], 0)</f>
        <v>January</v>
      </c>
      <c r="E213" s="3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5"/>
    </row>
    <row r="231" spans="4:19" x14ac:dyDescent="0.25">
      <c r="D231" s="37" t="s">
        <v>52</v>
      </c>
      <c r="E231" s="37" t="s">
        <v>351</v>
      </c>
      <c r="F231" s="36" t="s">
        <v>352</v>
      </c>
      <c r="G231" s="37" t="s">
        <v>353</v>
      </c>
      <c r="H231" s="37" t="s">
        <v>354</v>
      </c>
      <c r="I231" s="37" t="s">
        <v>355</v>
      </c>
      <c r="J231" s="37" t="s">
        <v>356</v>
      </c>
      <c r="K231" s="37" t="s">
        <v>357</v>
      </c>
      <c r="L231" s="37" t="s">
        <v>358</v>
      </c>
      <c r="M231" s="37" t="s">
        <v>359</v>
      </c>
      <c r="N231" s="37" t="s">
        <v>360</v>
      </c>
      <c r="O231" s="37" t="s">
        <v>361</v>
      </c>
      <c r="P231" s="37" t="s">
        <v>362</v>
      </c>
      <c r="Q231" s="37" t="s">
        <v>363</v>
      </c>
      <c r="R231" s="37" t="s">
        <v>364</v>
      </c>
      <c r="S231" s="37" t="s">
        <v>365</v>
      </c>
    </row>
    <row r="232" spans="4:19" x14ac:dyDescent="0.25">
      <c r="D232" s="37" t="str" cm="1">
        <f t="array" ref="D232">Common_InputFunctions.Utility_DisplayArrayInTable(Common_SourceData.Common_SourceData_MCFTemperatureZone_Data(),Table_SourceData_Common_MCFTemperatureZone[[#Headers],[Temperature zone]],0)</f>
        <v>Cool</v>
      </c>
      <c r="E232" s="37" t="str" cm="1">
        <f t="array" ref="E232">Common_InputFunctions.Utility_DisplayArrayInTable(Common_SourceData.Common_SourceData_MCFTemperatureZone_Data(),Table_SourceData_Common_MCFTemperatureZone[[#Headers],[Temperature zone]],0)</f>
        <v>≤10</v>
      </c>
      <c r="F232" s="37" cm="1">
        <f t="array" ref="F232">Common_InputFunctions.Utility_DisplayArrayInTable(Common_SourceData.Common_SourceData_MCFTemperatureZone_Data(),Table_SourceData_Common_MCFTemperatureZone[[#Headers],[Temperature zone]],0)</f>
        <v>0.66</v>
      </c>
      <c r="G232" s="37" cm="1">
        <f t="array" ref="G232">Common_InputFunctions.Utility_DisplayArrayInTable(Common_SourceData.Common_SourceData_MCFTemperatureZone_Data(),Table_SourceData_Common_MCFTemperatureZone[[#Headers],[Temperature zone]],0)</f>
        <v>0.1</v>
      </c>
      <c r="H232" s="37" cm="1">
        <f t="array" ref="H232">Common_InputFunctions.Utility_DisplayArrayInTable(Common_SourceData.Common_SourceData_MCFTemperatureZone_Data(),Table_SourceData_Common_MCFTemperatureZone[[#Headers],[Temperature zone]],0)</f>
        <v>0.1</v>
      </c>
      <c r="I232" s="37" cm="1">
        <f t="array" ref="I232">Common_InputFunctions.Utility_DisplayArrayInTable(Common_SourceData.Common_SourceData_MCFTemperatureZone_Data(),Table_SourceData_Common_MCFTemperatureZone[[#Headers],[Temperature zone]],0)</f>
        <v>1E-3</v>
      </c>
      <c r="J232" s="37" cm="1">
        <f t="array" ref="J232">Common_InputFunctions.Utility_DisplayArrayInTable(Common_SourceData.Common_SourceData_MCFTemperatureZone_Data(),Table_SourceData_Common_MCFTemperatureZone[[#Headers],[Temperature zone]],0)</f>
        <v>5.0000000000000001E-3</v>
      </c>
      <c r="K232" s="37" cm="1">
        <f t="array" ref="K232">Common_InputFunctions.Utility_DisplayArrayInTable(Common_SourceData.Common_SourceData_MCFTemperatureZone_Data(),Table_SourceData_Common_MCFTemperatureZone[[#Headers],[Temperature zone]],0)</f>
        <v>0.02</v>
      </c>
      <c r="L232" s="37" cm="1">
        <f t="array" ref="L232">Common_InputFunctions.Utility_DisplayArrayInTable(Common_SourceData.Common_SourceData_MCFTemperatureZone_Data(),Table_SourceData_Common_MCFTemperatureZone[[#Headers],[Temperature zone]],0)</f>
        <v>0.03</v>
      </c>
      <c r="M232" s="37" cm="1">
        <f t="array" ref="M232">Common_InputFunctions.Utility_DisplayArrayInTable(Common_SourceData.Common_SourceData_MCFTemperatureZone_Data(),Table_SourceData_Common_MCFTemperatureZone[[#Headers],[Temperature zone]],0)</f>
        <v>0.04</v>
      </c>
      <c r="N232" s="37" cm="1">
        <f t="array" ref="N232">Common_InputFunctions.Utility_DisplayArrayInTable(Common_SourceData.Common_SourceData_MCFTemperatureZone_Data(),Table_SourceData_Common_MCFTemperatureZone[[#Headers],[Temperature zone]],0)</f>
        <v>1.4999999999999999E-2</v>
      </c>
      <c r="O232" s="37" cm="1">
        <f t="array" ref="O232">Common_InputFunctions.Utility_DisplayArrayInTable(Common_SourceData.Common_SourceData_MCFTemperatureZone_Data(),Table_SourceData_Common_MCFTemperatureZone[[#Headers],[Temperature zone]],0)</f>
        <v>1.4999999999999999E-2</v>
      </c>
      <c r="P232" s="37" cm="1">
        <f t="array" ref="P232">Common_InputFunctions.Utility_DisplayArrayInTable(Common_SourceData.Common_SourceData_MCFTemperatureZone_Data(),Table_SourceData_Common_MCFTemperatureZone[[#Headers],[Temperature zone]],0)</f>
        <v>0</v>
      </c>
      <c r="Q232" s="37" cm="1">
        <f t="array" ref="Q232">Common_InputFunctions.Utility_DisplayArrayInTable(Common_SourceData.Common_SourceData_MCFTemperatureZone_Data(),Table_SourceData_Common_MCFTemperatureZone[[#Headers],[Temperature zone]],0)</f>
        <v>0</v>
      </c>
      <c r="R232" s="37" cm="1">
        <f t="array" ref="R232">Common_InputFunctions.Utility_DisplayArrayInTable(Common_SourceData.Common_SourceData_MCFTemperatureZone_Data(),Table_SourceData_Common_MCFTemperatureZone[[#Headers],[Temperature zone]],0)</f>
        <v>4.7000000000000002E-3</v>
      </c>
      <c r="S232" s="3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7" cm="1">
        <f t="array" ref="E233">Common_InputFunctions.Utility_DisplayArrayInTable(Common_SourceData.Common_SourceData_MCFTemperatureZone_Data(),Table_SourceData_Common_MCFTemperatureZone[[#Headers],[Temperature zone]],0)</f>
        <v>11</v>
      </c>
      <c r="F233" s="37" cm="1">
        <f t="array" ref="F233">Common_InputFunctions.Utility_DisplayArrayInTable(Common_SourceData.Common_SourceData_MCFTemperatureZone_Data(),Table_SourceData_Common_MCFTemperatureZone[[#Headers],[Temperature zone]],0)</f>
        <v>0.68</v>
      </c>
      <c r="G233" s="37" cm="1">
        <f t="array" ref="G233">Common_InputFunctions.Utility_DisplayArrayInTable(Common_SourceData.Common_SourceData_MCFTemperatureZone_Data(),Table_SourceData_Common_MCFTemperatureZone[[#Headers],[Temperature zone]],0)</f>
        <v>0.1</v>
      </c>
      <c r="H233" s="37" cm="1">
        <f t="array" ref="H233">Common_InputFunctions.Utility_DisplayArrayInTable(Common_SourceData.Common_SourceData_MCFTemperatureZone_Data(),Table_SourceData_Common_MCFTemperatureZone[[#Headers],[Temperature zone]],0)</f>
        <v>0.11</v>
      </c>
      <c r="I233" s="37" cm="1">
        <f t="array" ref="I233">Common_InputFunctions.Utility_DisplayArrayInTable(Common_SourceData.Common_SourceData_MCFTemperatureZone_Data(),Table_SourceData_Common_MCFTemperatureZone[[#Headers],[Temperature zone]],0)</f>
        <v>1E-3</v>
      </c>
      <c r="J233" s="37" cm="1">
        <f t="array" ref="J233">Common_InputFunctions.Utility_DisplayArrayInTable(Common_SourceData.Common_SourceData_MCFTemperatureZone_Data(),Table_SourceData_Common_MCFTemperatureZone[[#Headers],[Temperature zone]],0)</f>
        <v>5.0000000000000001E-3</v>
      </c>
      <c r="K233" s="37" cm="1">
        <f t="array" ref="K233">Common_InputFunctions.Utility_DisplayArrayInTable(Common_SourceData.Common_SourceData_MCFTemperatureZone_Data(),Table_SourceData_Common_MCFTemperatureZone[[#Headers],[Temperature zone]],0)</f>
        <v>0.02</v>
      </c>
      <c r="L233" s="37" cm="1">
        <f t="array" ref="L233">Common_InputFunctions.Utility_DisplayArrayInTable(Common_SourceData.Common_SourceData_MCFTemperatureZone_Data(),Table_SourceData_Common_MCFTemperatureZone[[#Headers],[Temperature zone]],0)</f>
        <v>0.03</v>
      </c>
      <c r="M233" s="37" cm="1">
        <f t="array" ref="M233">Common_InputFunctions.Utility_DisplayArrayInTable(Common_SourceData.Common_SourceData_MCFTemperatureZone_Data(),Table_SourceData_Common_MCFTemperatureZone[[#Headers],[Temperature zone]],0)</f>
        <v>0.04</v>
      </c>
      <c r="N233" s="37" cm="1">
        <f t="array" ref="N233">Common_InputFunctions.Utility_DisplayArrayInTable(Common_SourceData.Common_SourceData_MCFTemperatureZone_Data(),Table_SourceData_Common_MCFTemperatureZone[[#Headers],[Temperature zone]],0)</f>
        <v>1.4999999999999999E-2</v>
      </c>
      <c r="O233" s="37" cm="1">
        <f t="array" ref="O233">Common_InputFunctions.Utility_DisplayArrayInTable(Common_SourceData.Common_SourceData_MCFTemperatureZone_Data(),Table_SourceData_Common_MCFTemperatureZone[[#Headers],[Temperature zone]],0)</f>
        <v>1.4999999999999999E-2</v>
      </c>
      <c r="P233" s="37" cm="1">
        <f t="array" ref="P233">Common_InputFunctions.Utility_DisplayArrayInTable(Common_SourceData.Common_SourceData_MCFTemperatureZone_Data(),Table_SourceData_Common_MCFTemperatureZone[[#Headers],[Temperature zone]],0)</f>
        <v>0</v>
      </c>
      <c r="Q233" s="37" cm="1">
        <f t="array" ref="Q233">Common_InputFunctions.Utility_DisplayArrayInTable(Common_SourceData.Common_SourceData_MCFTemperatureZone_Data(),Table_SourceData_Common_MCFTemperatureZone[[#Headers],[Temperature zone]],0)</f>
        <v>0</v>
      </c>
      <c r="R233" s="37" cm="1">
        <f t="array" ref="R233">Common_InputFunctions.Utility_DisplayArrayInTable(Common_SourceData.Common_SourceData_MCFTemperatureZone_Data(),Table_SourceData_Common_MCFTemperatureZone[[#Headers],[Temperature zone]],0)</f>
        <v>4.7000000000000002E-3</v>
      </c>
      <c r="S233" s="3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7" cm="1">
        <f t="array" ref="E234">Common_InputFunctions.Utility_DisplayArrayInTable(Common_SourceData.Common_SourceData_MCFTemperatureZone_Data(),Table_SourceData_Common_MCFTemperatureZone[[#Headers],[Temperature zone]],0)</f>
        <v>12</v>
      </c>
      <c r="F234" s="37" cm="1">
        <f t="array" ref="F234">Common_InputFunctions.Utility_DisplayArrayInTable(Common_SourceData.Common_SourceData_MCFTemperatureZone_Data(),Table_SourceData_Common_MCFTemperatureZone[[#Headers],[Temperature zone]],0)</f>
        <v>0.7</v>
      </c>
      <c r="G234" s="37" cm="1">
        <f t="array" ref="G234">Common_InputFunctions.Utility_DisplayArrayInTable(Common_SourceData.Common_SourceData_MCFTemperatureZone_Data(),Table_SourceData_Common_MCFTemperatureZone[[#Headers],[Temperature zone]],0)</f>
        <v>0.1</v>
      </c>
      <c r="H234" s="37" cm="1">
        <f t="array" ref="H234">Common_InputFunctions.Utility_DisplayArrayInTable(Common_SourceData.Common_SourceData_MCFTemperatureZone_Data(),Table_SourceData_Common_MCFTemperatureZone[[#Headers],[Temperature zone]],0)</f>
        <v>0.13</v>
      </c>
      <c r="I234" s="37" cm="1">
        <f t="array" ref="I234">Common_InputFunctions.Utility_DisplayArrayInTable(Common_SourceData.Common_SourceData_MCFTemperatureZone_Data(),Table_SourceData_Common_MCFTemperatureZone[[#Headers],[Temperature zone]],0)</f>
        <v>1E-3</v>
      </c>
      <c r="J234" s="37" cm="1">
        <f t="array" ref="J234">Common_InputFunctions.Utility_DisplayArrayInTable(Common_SourceData.Common_SourceData_MCFTemperatureZone_Data(),Table_SourceData_Common_MCFTemperatureZone[[#Headers],[Temperature zone]],0)</f>
        <v>5.0000000000000001E-3</v>
      </c>
      <c r="K234" s="37" cm="1">
        <f t="array" ref="K234">Common_InputFunctions.Utility_DisplayArrayInTable(Common_SourceData.Common_SourceData_MCFTemperatureZone_Data(),Table_SourceData_Common_MCFTemperatureZone[[#Headers],[Temperature zone]],0)</f>
        <v>0.02</v>
      </c>
      <c r="L234" s="37" cm="1">
        <f t="array" ref="L234">Common_InputFunctions.Utility_DisplayArrayInTable(Common_SourceData.Common_SourceData_MCFTemperatureZone_Data(),Table_SourceData_Common_MCFTemperatureZone[[#Headers],[Temperature zone]],0)</f>
        <v>0.03</v>
      </c>
      <c r="M234" s="37" cm="1">
        <f t="array" ref="M234">Common_InputFunctions.Utility_DisplayArrayInTable(Common_SourceData.Common_SourceData_MCFTemperatureZone_Data(),Table_SourceData_Common_MCFTemperatureZone[[#Headers],[Temperature zone]],0)</f>
        <v>0.04</v>
      </c>
      <c r="N234" s="37" cm="1">
        <f t="array" ref="N234">Common_InputFunctions.Utility_DisplayArrayInTable(Common_SourceData.Common_SourceData_MCFTemperatureZone_Data(),Table_SourceData_Common_MCFTemperatureZone[[#Headers],[Temperature zone]],0)</f>
        <v>1.4999999999999999E-2</v>
      </c>
      <c r="O234" s="37" cm="1">
        <f t="array" ref="O234">Common_InputFunctions.Utility_DisplayArrayInTable(Common_SourceData.Common_SourceData_MCFTemperatureZone_Data(),Table_SourceData_Common_MCFTemperatureZone[[#Headers],[Temperature zone]],0)</f>
        <v>1.4999999999999999E-2</v>
      </c>
      <c r="P234" s="37" cm="1">
        <f t="array" ref="P234">Common_InputFunctions.Utility_DisplayArrayInTable(Common_SourceData.Common_SourceData_MCFTemperatureZone_Data(),Table_SourceData_Common_MCFTemperatureZone[[#Headers],[Temperature zone]],0)</f>
        <v>0</v>
      </c>
      <c r="Q234" s="37" cm="1">
        <f t="array" ref="Q234">Common_InputFunctions.Utility_DisplayArrayInTable(Common_SourceData.Common_SourceData_MCFTemperatureZone_Data(),Table_SourceData_Common_MCFTemperatureZone[[#Headers],[Temperature zone]],0)</f>
        <v>0</v>
      </c>
      <c r="R234" s="37" cm="1">
        <f t="array" ref="R234">Common_InputFunctions.Utility_DisplayArrayInTable(Common_SourceData.Common_SourceData_MCFTemperatureZone_Data(),Table_SourceData_Common_MCFTemperatureZone[[#Headers],[Temperature zone]],0)</f>
        <v>4.7000000000000002E-3</v>
      </c>
      <c r="S234" s="3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7" cm="1">
        <f t="array" ref="E235">Common_InputFunctions.Utility_DisplayArrayInTable(Common_SourceData.Common_SourceData_MCFTemperatureZone_Data(),Table_SourceData_Common_MCFTemperatureZone[[#Headers],[Temperature zone]],0)</f>
        <v>13</v>
      </c>
      <c r="F235" s="37" cm="1">
        <f t="array" ref="F235">Common_InputFunctions.Utility_DisplayArrayInTable(Common_SourceData.Common_SourceData_MCFTemperatureZone_Data(),Table_SourceData_Common_MCFTemperatureZone[[#Headers],[Temperature zone]],0)</f>
        <v>0.71</v>
      </c>
      <c r="G235" s="37" cm="1">
        <f t="array" ref="G235">Common_InputFunctions.Utility_DisplayArrayInTable(Common_SourceData.Common_SourceData_MCFTemperatureZone_Data(),Table_SourceData_Common_MCFTemperatureZone[[#Headers],[Temperature zone]],0)</f>
        <v>0.1</v>
      </c>
      <c r="H235" s="37" cm="1">
        <f t="array" ref="H235">Common_InputFunctions.Utility_DisplayArrayInTable(Common_SourceData.Common_SourceData_MCFTemperatureZone_Data(),Table_SourceData_Common_MCFTemperatureZone[[#Headers],[Temperature zone]],0)</f>
        <v>0.14000000000000001</v>
      </c>
      <c r="I235" s="37" cm="1">
        <f t="array" ref="I235">Common_InputFunctions.Utility_DisplayArrayInTable(Common_SourceData.Common_SourceData_MCFTemperatureZone_Data(),Table_SourceData_Common_MCFTemperatureZone[[#Headers],[Temperature zone]],0)</f>
        <v>1E-3</v>
      </c>
      <c r="J235" s="37" cm="1">
        <f t="array" ref="J235">Common_InputFunctions.Utility_DisplayArrayInTable(Common_SourceData.Common_SourceData_MCFTemperatureZone_Data(),Table_SourceData_Common_MCFTemperatureZone[[#Headers],[Temperature zone]],0)</f>
        <v>5.0000000000000001E-3</v>
      </c>
      <c r="K235" s="37" cm="1">
        <f t="array" ref="K235">Common_InputFunctions.Utility_DisplayArrayInTable(Common_SourceData.Common_SourceData_MCFTemperatureZone_Data(),Table_SourceData_Common_MCFTemperatureZone[[#Headers],[Temperature zone]],0)</f>
        <v>0.02</v>
      </c>
      <c r="L235" s="37" cm="1">
        <f t="array" ref="L235">Common_InputFunctions.Utility_DisplayArrayInTable(Common_SourceData.Common_SourceData_MCFTemperatureZone_Data(),Table_SourceData_Common_MCFTemperatureZone[[#Headers],[Temperature zone]],0)</f>
        <v>0.03</v>
      </c>
      <c r="M235" s="37" cm="1">
        <f t="array" ref="M235">Common_InputFunctions.Utility_DisplayArrayInTable(Common_SourceData.Common_SourceData_MCFTemperatureZone_Data(),Table_SourceData_Common_MCFTemperatureZone[[#Headers],[Temperature zone]],0)</f>
        <v>0.04</v>
      </c>
      <c r="N235" s="37" cm="1">
        <f t="array" ref="N235">Common_InputFunctions.Utility_DisplayArrayInTable(Common_SourceData.Common_SourceData_MCFTemperatureZone_Data(),Table_SourceData_Common_MCFTemperatureZone[[#Headers],[Temperature zone]],0)</f>
        <v>1.4999999999999999E-2</v>
      </c>
      <c r="O235" s="37" cm="1">
        <f t="array" ref="O235">Common_InputFunctions.Utility_DisplayArrayInTable(Common_SourceData.Common_SourceData_MCFTemperatureZone_Data(),Table_SourceData_Common_MCFTemperatureZone[[#Headers],[Temperature zone]],0)</f>
        <v>1.4999999999999999E-2</v>
      </c>
      <c r="P235" s="37" cm="1">
        <f t="array" ref="P235">Common_InputFunctions.Utility_DisplayArrayInTable(Common_SourceData.Common_SourceData_MCFTemperatureZone_Data(),Table_SourceData_Common_MCFTemperatureZone[[#Headers],[Temperature zone]],0)</f>
        <v>0</v>
      </c>
      <c r="Q235" s="37" cm="1">
        <f t="array" ref="Q235">Common_InputFunctions.Utility_DisplayArrayInTable(Common_SourceData.Common_SourceData_MCFTemperatureZone_Data(),Table_SourceData_Common_MCFTemperatureZone[[#Headers],[Temperature zone]],0)</f>
        <v>0</v>
      </c>
      <c r="R235" s="37" cm="1">
        <f t="array" ref="R235">Common_InputFunctions.Utility_DisplayArrayInTable(Common_SourceData.Common_SourceData_MCFTemperatureZone_Data(),Table_SourceData_Common_MCFTemperatureZone[[#Headers],[Temperature zone]],0)</f>
        <v>4.7000000000000002E-3</v>
      </c>
      <c r="S235" s="3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7" cm="1">
        <f t="array" ref="E236">Common_InputFunctions.Utility_DisplayArrayInTable(Common_SourceData.Common_SourceData_MCFTemperatureZone_Data(),Table_SourceData_Common_MCFTemperatureZone[[#Headers],[Temperature zone]],0)</f>
        <v>14</v>
      </c>
      <c r="F236" s="37" cm="1">
        <f t="array" ref="F236">Common_InputFunctions.Utility_DisplayArrayInTable(Common_SourceData.Common_SourceData_MCFTemperatureZone_Data(),Table_SourceData_Common_MCFTemperatureZone[[#Headers],[Temperature zone]],0)</f>
        <v>0.73</v>
      </c>
      <c r="G236" s="37" cm="1">
        <f t="array" ref="G236">Common_InputFunctions.Utility_DisplayArrayInTable(Common_SourceData.Common_SourceData_MCFTemperatureZone_Data(),Table_SourceData_Common_MCFTemperatureZone[[#Headers],[Temperature zone]],0)</f>
        <v>0.1</v>
      </c>
      <c r="H236" s="37" cm="1">
        <f t="array" ref="H236">Common_InputFunctions.Utility_DisplayArrayInTable(Common_SourceData.Common_SourceData_MCFTemperatureZone_Data(),Table_SourceData_Common_MCFTemperatureZone[[#Headers],[Temperature zone]],0)</f>
        <v>0.15</v>
      </c>
      <c r="I236" s="37" cm="1">
        <f t="array" ref="I236">Common_InputFunctions.Utility_DisplayArrayInTable(Common_SourceData.Common_SourceData_MCFTemperatureZone_Data(),Table_SourceData_Common_MCFTemperatureZone[[#Headers],[Temperature zone]],0)</f>
        <v>1E-3</v>
      </c>
      <c r="J236" s="37" cm="1">
        <f t="array" ref="J236">Common_InputFunctions.Utility_DisplayArrayInTable(Common_SourceData.Common_SourceData_MCFTemperatureZone_Data(),Table_SourceData_Common_MCFTemperatureZone[[#Headers],[Temperature zone]],0)</f>
        <v>5.0000000000000001E-3</v>
      </c>
      <c r="K236" s="37" cm="1">
        <f t="array" ref="K236">Common_InputFunctions.Utility_DisplayArrayInTable(Common_SourceData.Common_SourceData_MCFTemperatureZone_Data(),Table_SourceData_Common_MCFTemperatureZone[[#Headers],[Temperature zone]],0)</f>
        <v>0.02</v>
      </c>
      <c r="L236" s="37" cm="1">
        <f t="array" ref="L236">Common_InputFunctions.Utility_DisplayArrayInTable(Common_SourceData.Common_SourceData_MCFTemperatureZone_Data(),Table_SourceData_Common_MCFTemperatureZone[[#Headers],[Temperature zone]],0)</f>
        <v>0.03</v>
      </c>
      <c r="M236" s="37" cm="1">
        <f t="array" ref="M236">Common_InputFunctions.Utility_DisplayArrayInTable(Common_SourceData.Common_SourceData_MCFTemperatureZone_Data(),Table_SourceData_Common_MCFTemperatureZone[[#Headers],[Temperature zone]],0)</f>
        <v>0.04</v>
      </c>
      <c r="N236" s="37" cm="1">
        <f t="array" ref="N236">Common_InputFunctions.Utility_DisplayArrayInTable(Common_SourceData.Common_SourceData_MCFTemperatureZone_Data(),Table_SourceData_Common_MCFTemperatureZone[[#Headers],[Temperature zone]],0)</f>
        <v>1.4999999999999999E-2</v>
      </c>
      <c r="O236" s="37" cm="1">
        <f t="array" ref="O236">Common_InputFunctions.Utility_DisplayArrayInTable(Common_SourceData.Common_SourceData_MCFTemperatureZone_Data(),Table_SourceData_Common_MCFTemperatureZone[[#Headers],[Temperature zone]],0)</f>
        <v>1.4999999999999999E-2</v>
      </c>
      <c r="P236" s="37" cm="1">
        <f t="array" ref="P236">Common_InputFunctions.Utility_DisplayArrayInTable(Common_SourceData.Common_SourceData_MCFTemperatureZone_Data(),Table_SourceData_Common_MCFTemperatureZone[[#Headers],[Temperature zone]],0)</f>
        <v>0</v>
      </c>
      <c r="Q236" s="37" cm="1">
        <f t="array" ref="Q236">Common_InputFunctions.Utility_DisplayArrayInTable(Common_SourceData.Common_SourceData_MCFTemperatureZone_Data(),Table_SourceData_Common_MCFTemperatureZone[[#Headers],[Temperature zone]],0)</f>
        <v>0</v>
      </c>
      <c r="R236" s="37" cm="1">
        <f t="array" ref="R236">Common_InputFunctions.Utility_DisplayArrayInTable(Common_SourceData.Common_SourceData_MCFTemperatureZone_Data(),Table_SourceData_Common_MCFTemperatureZone[[#Headers],[Temperature zone]],0)</f>
        <v>4.7000000000000002E-3</v>
      </c>
      <c r="S236" s="3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7" cm="1">
        <f t="array" ref="E237">Common_InputFunctions.Utility_DisplayArrayInTable(Common_SourceData.Common_SourceData_MCFTemperatureZone_Data(),Table_SourceData_Common_MCFTemperatureZone[[#Headers],[Temperature zone]],0)</f>
        <v>15</v>
      </c>
      <c r="F237" s="37" cm="1">
        <f t="array" ref="F237">Common_InputFunctions.Utility_DisplayArrayInTable(Common_SourceData.Common_SourceData_MCFTemperatureZone_Data(),Table_SourceData_Common_MCFTemperatureZone[[#Headers],[Temperature zone]],0)</f>
        <v>0.74</v>
      </c>
      <c r="G237" s="37" cm="1">
        <f t="array" ref="G237">Common_InputFunctions.Utility_DisplayArrayInTable(Common_SourceData.Common_SourceData_MCFTemperatureZone_Data(),Table_SourceData_Common_MCFTemperatureZone[[#Headers],[Temperature zone]],0)</f>
        <v>0.1</v>
      </c>
      <c r="H237" s="37" cm="1">
        <f t="array" ref="H237">Common_InputFunctions.Utility_DisplayArrayInTable(Common_SourceData.Common_SourceData_MCFTemperatureZone_Data(),Table_SourceData_Common_MCFTemperatureZone[[#Headers],[Temperature zone]],0)</f>
        <v>0.17</v>
      </c>
      <c r="I237" s="37" cm="1">
        <f t="array" ref="I237">Common_InputFunctions.Utility_DisplayArrayInTable(Common_SourceData.Common_SourceData_MCFTemperatureZone_Data(),Table_SourceData_Common_MCFTemperatureZone[[#Headers],[Temperature zone]],0)</f>
        <v>5.0000000000000001E-3</v>
      </c>
      <c r="J237" s="37" cm="1">
        <f t="array" ref="J237">Common_InputFunctions.Utility_DisplayArrayInTable(Common_SourceData.Common_SourceData_MCFTemperatureZone_Data(),Table_SourceData_Common_MCFTemperatureZone[[#Headers],[Temperature zone]],0)</f>
        <v>0.01</v>
      </c>
      <c r="K237" s="37" cm="1">
        <f t="array" ref="K237">Common_InputFunctions.Utility_DisplayArrayInTable(Common_SourceData.Common_SourceData_MCFTemperatureZone_Data(),Table_SourceData_Common_MCFTemperatureZone[[#Headers],[Temperature zone]],0)</f>
        <v>0.02</v>
      </c>
      <c r="L237" s="37" cm="1">
        <f t="array" ref="L237">Common_InputFunctions.Utility_DisplayArrayInTable(Common_SourceData.Common_SourceData_MCFTemperatureZone_Data(),Table_SourceData_Common_MCFTemperatureZone[[#Headers],[Temperature zone]],0)</f>
        <v>0.03</v>
      </c>
      <c r="M237" s="37" cm="1">
        <f t="array" ref="M237">Common_InputFunctions.Utility_DisplayArrayInTable(Common_SourceData.Common_SourceData_MCFTemperatureZone_Data(),Table_SourceData_Common_MCFTemperatureZone[[#Headers],[Temperature zone]],0)</f>
        <v>0.04</v>
      </c>
      <c r="N237" s="37" cm="1">
        <f t="array" ref="N237">Common_InputFunctions.Utility_DisplayArrayInTable(Common_SourceData.Common_SourceData_MCFTemperatureZone_Data(),Table_SourceData_Common_MCFTemperatureZone[[#Headers],[Temperature zone]],0)</f>
        <v>1.4999999999999999E-2</v>
      </c>
      <c r="O237" s="37" cm="1">
        <f t="array" ref="O237">Common_InputFunctions.Utility_DisplayArrayInTable(Common_SourceData.Common_SourceData_MCFTemperatureZone_Data(),Table_SourceData_Common_MCFTemperatureZone[[#Headers],[Temperature zone]],0)</f>
        <v>1.4999999999999999E-2</v>
      </c>
      <c r="P237" s="37" cm="1">
        <f t="array" ref="P237">Common_InputFunctions.Utility_DisplayArrayInTable(Common_SourceData.Common_SourceData_MCFTemperatureZone_Data(),Table_SourceData_Common_MCFTemperatureZone[[#Headers],[Temperature zone]],0)</f>
        <v>0</v>
      </c>
      <c r="Q237" s="37" cm="1">
        <f t="array" ref="Q237">Common_InputFunctions.Utility_DisplayArrayInTable(Common_SourceData.Common_SourceData_MCFTemperatureZone_Data(),Table_SourceData_Common_MCFTemperatureZone[[#Headers],[Temperature zone]],0)</f>
        <v>0</v>
      </c>
      <c r="R237" s="37" cm="1">
        <f t="array" ref="R237">Common_InputFunctions.Utility_DisplayArrayInTable(Common_SourceData.Common_SourceData_MCFTemperatureZone_Data(),Table_SourceData_Common_MCFTemperatureZone[[#Headers],[Temperature zone]],0)</f>
        <v>4.7000000000000002E-3</v>
      </c>
      <c r="S237" s="3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7" cm="1">
        <f t="array" ref="E238">Common_InputFunctions.Utility_DisplayArrayInTable(Common_SourceData.Common_SourceData_MCFTemperatureZone_Data(),Table_SourceData_Common_MCFTemperatureZone[[#Headers],[Temperature zone]],0)</f>
        <v>16</v>
      </c>
      <c r="F238" s="37" cm="1">
        <f t="array" ref="F238">Common_InputFunctions.Utility_DisplayArrayInTable(Common_SourceData.Common_SourceData_MCFTemperatureZone_Data(),Table_SourceData_Common_MCFTemperatureZone[[#Headers],[Temperature zone]],0)</f>
        <v>0.75</v>
      </c>
      <c r="G238" s="37" cm="1">
        <f t="array" ref="G238">Common_InputFunctions.Utility_DisplayArrayInTable(Common_SourceData.Common_SourceData_MCFTemperatureZone_Data(),Table_SourceData_Common_MCFTemperatureZone[[#Headers],[Temperature zone]],0)</f>
        <v>0.1</v>
      </c>
      <c r="H238" s="37" cm="1">
        <f t="array" ref="H238">Common_InputFunctions.Utility_DisplayArrayInTable(Common_SourceData.Common_SourceData_MCFTemperatureZone_Data(),Table_SourceData_Common_MCFTemperatureZone[[#Headers],[Temperature zone]],0)</f>
        <v>0.18</v>
      </c>
      <c r="I238" s="37" cm="1">
        <f t="array" ref="I238">Common_InputFunctions.Utility_DisplayArrayInTable(Common_SourceData.Common_SourceData_MCFTemperatureZone_Data(),Table_SourceData_Common_MCFTemperatureZone[[#Headers],[Temperature zone]],0)</f>
        <v>5.0000000000000001E-3</v>
      </c>
      <c r="J238" s="37" cm="1">
        <f t="array" ref="J238">Common_InputFunctions.Utility_DisplayArrayInTable(Common_SourceData.Common_SourceData_MCFTemperatureZone_Data(),Table_SourceData_Common_MCFTemperatureZone[[#Headers],[Temperature zone]],0)</f>
        <v>0.01</v>
      </c>
      <c r="K238" s="37" cm="1">
        <f t="array" ref="K238">Common_InputFunctions.Utility_DisplayArrayInTable(Common_SourceData.Common_SourceData_MCFTemperatureZone_Data(),Table_SourceData_Common_MCFTemperatureZone[[#Headers],[Temperature zone]],0)</f>
        <v>0.02</v>
      </c>
      <c r="L238" s="37" cm="1">
        <f t="array" ref="L238">Common_InputFunctions.Utility_DisplayArrayInTable(Common_SourceData.Common_SourceData_MCFTemperatureZone_Data(),Table_SourceData_Common_MCFTemperatureZone[[#Headers],[Temperature zone]],0)</f>
        <v>0.03</v>
      </c>
      <c r="M238" s="37" cm="1">
        <f t="array" ref="M238">Common_InputFunctions.Utility_DisplayArrayInTable(Common_SourceData.Common_SourceData_MCFTemperatureZone_Data(),Table_SourceData_Common_MCFTemperatureZone[[#Headers],[Temperature zone]],0)</f>
        <v>0.04</v>
      </c>
      <c r="N238" s="37" cm="1">
        <f t="array" ref="N238">Common_InputFunctions.Utility_DisplayArrayInTable(Common_SourceData.Common_SourceData_MCFTemperatureZone_Data(),Table_SourceData_Common_MCFTemperatureZone[[#Headers],[Temperature zone]],0)</f>
        <v>1.4999999999999999E-2</v>
      </c>
      <c r="O238" s="37" cm="1">
        <f t="array" ref="O238">Common_InputFunctions.Utility_DisplayArrayInTable(Common_SourceData.Common_SourceData_MCFTemperatureZone_Data(),Table_SourceData_Common_MCFTemperatureZone[[#Headers],[Temperature zone]],0)</f>
        <v>1.4999999999999999E-2</v>
      </c>
      <c r="P238" s="37" cm="1">
        <f t="array" ref="P238">Common_InputFunctions.Utility_DisplayArrayInTable(Common_SourceData.Common_SourceData_MCFTemperatureZone_Data(),Table_SourceData_Common_MCFTemperatureZone[[#Headers],[Temperature zone]],0)</f>
        <v>0</v>
      </c>
      <c r="Q238" s="37" cm="1">
        <f t="array" ref="Q238">Common_InputFunctions.Utility_DisplayArrayInTable(Common_SourceData.Common_SourceData_MCFTemperatureZone_Data(),Table_SourceData_Common_MCFTemperatureZone[[#Headers],[Temperature zone]],0)</f>
        <v>0</v>
      </c>
      <c r="R238" s="37" cm="1">
        <f t="array" ref="R238">Common_InputFunctions.Utility_DisplayArrayInTable(Common_SourceData.Common_SourceData_MCFTemperatureZone_Data(),Table_SourceData_Common_MCFTemperatureZone[[#Headers],[Temperature zone]],0)</f>
        <v>4.7000000000000002E-3</v>
      </c>
      <c r="S238" s="3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7" cm="1">
        <f t="array" ref="E239">Common_InputFunctions.Utility_DisplayArrayInTable(Common_SourceData.Common_SourceData_MCFTemperatureZone_Data(),Table_SourceData_Common_MCFTemperatureZone[[#Headers],[Temperature zone]],0)</f>
        <v>17</v>
      </c>
      <c r="F239" s="37" cm="1">
        <f t="array" ref="F239">Common_InputFunctions.Utility_DisplayArrayInTable(Common_SourceData.Common_SourceData_MCFTemperatureZone_Data(),Table_SourceData_Common_MCFTemperatureZone[[#Headers],[Temperature zone]],0)</f>
        <v>0.76</v>
      </c>
      <c r="G239" s="37" cm="1">
        <f t="array" ref="G239">Common_InputFunctions.Utility_DisplayArrayInTable(Common_SourceData.Common_SourceData_MCFTemperatureZone_Data(),Table_SourceData_Common_MCFTemperatureZone[[#Headers],[Temperature zone]],0)</f>
        <v>0.1</v>
      </c>
      <c r="H239" s="37" cm="1">
        <f t="array" ref="H239">Common_InputFunctions.Utility_DisplayArrayInTable(Common_SourceData.Common_SourceData_MCFTemperatureZone_Data(),Table_SourceData_Common_MCFTemperatureZone[[#Headers],[Temperature zone]],0)</f>
        <v>0.2</v>
      </c>
      <c r="I239" s="37" cm="1">
        <f t="array" ref="I239">Common_InputFunctions.Utility_DisplayArrayInTable(Common_SourceData.Common_SourceData_MCFTemperatureZone_Data(),Table_SourceData_Common_MCFTemperatureZone[[#Headers],[Temperature zone]],0)</f>
        <v>5.0000000000000001E-3</v>
      </c>
      <c r="J239" s="37" cm="1">
        <f t="array" ref="J239">Common_InputFunctions.Utility_DisplayArrayInTable(Common_SourceData.Common_SourceData_MCFTemperatureZone_Data(),Table_SourceData_Common_MCFTemperatureZone[[#Headers],[Temperature zone]],0)</f>
        <v>0.01</v>
      </c>
      <c r="K239" s="37" cm="1">
        <f t="array" ref="K239">Common_InputFunctions.Utility_DisplayArrayInTable(Common_SourceData.Common_SourceData_MCFTemperatureZone_Data(),Table_SourceData_Common_MCFTemperatureZone[[#Headers],[Temperature zone]],0)</f>
        <v>0.02</v>
      </c>
      <c r="L239" s="37" cm="1">
        <f t="array" ref="L239">Common_InputFunctions.Utility_DisplayArrayInTable(Common_SourceData.Common_SourceData_MCFTemperatureZone_Data(),Table_SourceData_Common_MCFTemperatureZone[[#Headers],[Temperature zone]],0)</f>
        <v>0.03</v>
      </c>
      <c r="M239" s="37" cm="1">
        <f t="array" ref="M239">Common_InputFunctions.Utility_DisplayArrayInTable(Common_SourceData.Common_SourceData_MCFTemperatureZone_Data(),Table_SourceData_Common_MCFTemperatureZone[[#Headers],[Temperature zone]],0)</f>
        <v>0.04</v>
      </c>
      <c r="N239" s="37" cm="1">
        <f t="array" ref="N239">Common_InputFunctions.Utility_DisplayArrayInTable(Common_SourceData.Common_SourceData_MCFTemperatureZone_Data(),Table_SourceData_Common_MCFTemperatureZone[[#Headers],[Temperature zone]],0)</f>
        <v>1.4999999999999999E-2</v>
      </c>
      <c r="O239" s="37" cm="1">
        <f t="array" ref="O239">Common_InputFunctions.Utility_DisplayArrayInTable(Common_SourceData.Common_SourceData_MCFTemperatureZone_Data(),Table_SourceData_Common_MCFTemperatureZone[[#Headers],[Temperature zone]],0)</f>
        <v>1.4999999999999999E-2</v>
      </c>
      <c r="P239" s="37" cm="1">
        <f t="array" ref="P239">Common_InputFunctions.Utility_DisplayArrayInTable(Common_SourceData.Common_SourceData_MCFTemperatureZone_Data(),Table_SourceData_Common_MCFTemperatureZone[[#Headers],[Temperature zone]],0)</f>
        <v>0</v>
      </c>
      <c r="Q239" s="37" cm="1">
        <f t="array" ref="Q239">Common_InputFunctions.Utility_DisplayArrayInTable(Common_SourceData.Common_SourceData_MCFTemperatureZone_Data(),Table_SourceData_Common_MCFTemperatureZone[[#Headers],[Temperature zone]],0)</f>
        <v>0</v>
      </c>
      <c r="R239" s="37" cm="1">
        <f t="array" ref="R239">Common_InputFunctions.Utility_DisplayArrayInTable(Common_SourceData.Common_SourceData_MCFTemperatureZone_Data(),Table_SourceData_Common_MCFTemperatureZone[[#Headers],[Temperature zone]],0)</f>
        <v>4.7000000000000002E-3</v>
      </c>
      <c r="S239" s="3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7" cm="1">
        <f t="array" ref="E240">Common_InputFunctions.Utility_DisplayArrayInTable(Common_SourceData.Common_SourceData_MCFTemperatureZone_Data(),Table_SourceData_Common_MCFTemperatureZone[[#Headers],[Temperature zone]],0)</f>
        <v>18</v>
      </c>
      <c r="F240" s="37" cm="1">
        <f t="array" ref="F240">Common_InputFunctions.Utility_DisplayArrayInTable(Common_SourceData.Common_SourceData_MCFTemperatureZone_Data(),Table_SourceData_Common_MCFTemperatureZone[[#Headers],[Temperature zone]],0)</f>
        <v>0.77</v>
      </c>
      <c r="G240" s="37" cm="1">
        <f t="array" ref="G240">Common_InputFunctions.Utility_DisplayArrayInTable(Common_SourceData.Common_SourceData_MCFTemperatureZone_Data(),Table_SourceData_Common_MCFTemperatureZone[[#Headers],[Temperature zone]],0)</f>
        <v>0.1</v>
      </c>
      <c r="H240" s="37" cm="1">
        <f t="array" ref="H240">Common_InputFunctions.Utility_DisplayArrayInTable(Common_SourceData.Common_SourceData_MCFTemperatureZone_Data(),Table_SourceData_Common_MCFTemperatureZone[[#Headers],[Temperature zone]],0)</f>
        <v>0.22</v>
      </c>
      <c r="I240" s="37" cm="1">
        <f t="array" ref="I240">Common_InputFunctions.Utility_DisplayArrayInTable(Common_SourceData.Common_SourceData_MCFTemperatureZone_Data(),Table_SourceData_Common_MCFTemperatureZone[[#Headers],[Temperature zone]],0)</f>
        <v>5.0000000000000001E-3</v>
      </c>
      <c r="J240" s="37" cm="1">
        <f t="array" ref="J240">Common_InputFunctions.Utility_DisplayArrayInTable(Common_SourceData.Common_SourceData_MCFTemperatureZone_Data(),Table_SourceData_Common_MCFTemperatureZone[[#Headers],[Temperature zone]],0)</f>
        <v>0.01</v>
      </c>
      <c r="K240" s="37" cm="1">
        <f t="array" ref="K240">Common_InputFunctions.Utility_DisplayArrayInTable(Common_SourceData.Common_SourceData_MCFTemperatureZone_Data(),Table_SourceData_Common_MCFTemperatureZone[[#Headers],[Temperature zone]],0)</f>
        <v>0.02</v>
      </c>
      <c r="L240" s="37" cm="1">
        <f t="array" ref="L240">Common_InputFunctions.Utility_DisplayArrayInTable(Common_SourceData.Common_SourceData_MCFTemperatureZone_Data(),Table_SourceData_Common_MCFTemperatureZone[[#Headers],[Temperature zone]],0)</f>
        <v>0.03</v>
      </c>
      <c r="M240" s="37" cm="1">
        <f t="array" ref="M240">Common_InputFunctions.Utility_DisplayArrayInTable(Common_SourceData.Common_SourceData_MCFTemperatureZone_Data(),Table_SourceData_Common_MCFTemperatureZone[[#Headers],[Temperature zone]],0)</f>
        <v>0.04</v>
      </c>
      <c r="N240" s="37" cm="1">
        <f t="array" ref="N240">Common_InputFunctions.Utility_DisplayArrayInTable(Common_SourceData.Common_SourceData_MCFTemperatureZone_Data(),Table_SourceData_Common_MCFTemperatureZone[[#Headers],[Temperature zone]],0)</f>
        <v>1.4999999999999999E-2</v>
      </c>
      <c r="O240" s="37" cm="1">
        <f t="array" ref="O240">Common_InputFunctions.Utility_DisplayArrayInTable(Common_SourceData.Common_SourceData_MCFTemperatureZone_Data(),Table_SourceData_Common_MCFTemperatureZone[[#Headers],[Temperature zone]],0)</f>
        <v>1.4999999999999999E-2</v>
      </c>
      <c r="P240" s="37" cm="1">
        <f t="array" ref="P240">Common_InputFunctions.Utility_DisplayArrayInTable(Common_SourceData.Common_SourceData_MCFTemperatureZone_Data(),Table_SourceData_Common_MCFTemperatureZone[[#Headers],[Temperature zone]],0)</f>
        <v>0</v>
      </c>
      <c r="Q240" s="37" cm="1">
        <f t="array" ref="Q240">Common_InputFunctions.Utility_DisplayArrayInTable(Common_SourceData.Common_SourceData_MCFTemperatureZone_Data(),Table_SourceData_Common_MCFTemperatureZone[[#Headers],[Temperature zone]],0)</f>
        <v>0</v>
      </c>
      <c r="R240" s="37" cm="1">
        <f t="array" ref="R240">Common_InputFunctions.Utility_DisplayArrayInTable(Common_SourceData.Common_SourceData_MCFTemperatureZone_Data(),Table_SourceData_Common_MCFTemperatureZone[[#Headers],[Temperature zone]],0)</f>
        <v>4.7000000000000002E-3</v>
      </c>
      <c r="S240" s="3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7" cm="1">
        <f t="array" ref="E241">Common_InputFunctions.Utility_DisplayArrayInTable(Common_SourceData.Common_SourceData_MCFTemperatureZone_Data(),Table_SourceData_Common_MCFTemperatureZone[[#Headers],[Temperature zone]],0)</f>
        <v>19</v>
      </c>
      <c r="F241" s="37" cm="1">
        <f t="array" ref="F241">Common_InputFunctions.Utility_DisplayArrayInTable(Common_SourceData.Common_SourceData_MCFTemperatureZone_Data(),Table_SourceData_Common_MCFTemperatureZone[[#Headers],[Temperature zone]],0)</f>
        <v>0.77</v>
      </c>
      <c r="G241" s="37" cm="1">
        <f t="array" ref="G241">Common_InputFunctions.Utility_DisplayArrayInTable(Common_SourceData.Common_SourceData_MCFTemperatureZone_Data(),Table_SourceData_Common_MCFTemperatureZone[[#Headers],[Temperature zone]],0)</f>
        <v>0.1</v>
      </c>
      <c r="H241" s="37" cm="1">
        <f t="array" ref="H241">Common_InputFunctions.Utility_DisplayArrayInTable(Common_SourceData.Common_SourceData_MCFTemperatureZone_Data(),Table_SourceData_Common_MCFTemperatureZone[[#Headers],[Temperature zone]],0)</f>
        <v>0.24</v>
      </c>
      <c r="I241" s="37" cm="1">
        <f t="array" ref="I241">Common_InputFunctions.Utility_DisplayArrayInTable(Common_SourceData.Common_SourceData_MCFTemperatureZone_Data(),Table_SourceData_Common_MCFTemperatureZone[[#Headers],[Temperature zone]],0)</f>
        <v>5.0000000000000001E-3</v>
      </c>
      <c r="J241" s="37" cm="1">
        <f t="array" ref="J241">Common_InputFunctions.Utility_DisplayArrayInTable(Common_SourceData.Common_SourceData_MCFTemperatureZone_Data(),Table_SourceData_Common_MCFTemperatureZone[[#Headers],[Temperature zone]],0)</f>
        <v>0.01</v>
      </c>
      <c r="K241" s="37" cm="1">
        <f t="array" ref="K241">Common_InputFunctions.Utility_DisplayArrayInTable(Common_SourceData.Common_SourceData_MCFTemperatureZone_Data(),Table_SourceData_Common_MCFTemperatureZone[[#Headers],[Temperature zone]],0)</f>
        <v>0.02</v>
      </c>
      <c r="L241" s="37" cm="1">
        <f t="array" ref="L241">Common_InputFunctions.Utility_DisplayArrayInTable(Common_SourceData.Common_SourceData_MCFTemperatureZone_Data(),Table_SourceData_Common_MCFTemperatureZone[[#Headers],[Temperature zone]],0)</f>
        <v>0.03</v>
      </c>
      <c r="M241" s="37" cm="1">
        <f t="array" ref="M241">Common_InputFunctions.Utility_DisplayArrayInTable(Common_SourceData.Common_SourceData_MCFTemperatureZone_Data(),Table_SourceData_Common_MCFTemperatureZone[[#Headers],[Temperature zone]],0)</f>
        <v>0.04</v>
      </c>
      <c r="N241" s="37" cm="1">
        <f t="array" ref="N241">Common_InputFunctions.Utility_DisplayArrayInTable(Common_SourceData.Common_SourceData_MCFTemperatureZone_Data(),Table_SourceData_Common_MCFTemperatureZone[[#Headers],[Temperature zone]],0)</f>
        <v>1.4999999999999999E-2</v>
      </c>
      <c r="O241" s="37" cm="1">
        <f t="array" ref="O241">Common_InputFunctions.Utility_DisplayArrayInTable(Common_SourceData.Common_SourceData_MCFTemperatureZone_Data(),Table_SourceData_Common_MCFTemperatureZone[[#Headers],[Temperature zone]],0)</f>
        <v>1.4999999999999999E-2</v>
      </c>
      <c r="P241" s="37" cm="1">
        <f t="array" ref="P241">Common_InputFunctions.Utility_DisplayArrayInTable(Common_SourceData.Common_SourceData_MCFTemperatureZone_Data(),Table_SourceData_Common_MCFTemperatureZone[[#Headers],[Temperature zone]],0)</f>
        <v>0</v>
      </c>
      <c r="Q241" s="37" cm="1">
        <f t="array" ref="Q241">Common_InputFunctions.Utility_DisplayArrayInTable(Common_SourceData.Common_SourceData_MCFTemperatureZone_Data(),Table_SourceData_Common_MCFTemperatureZone[[#Headers],[Temperature zone]],0)</f>
        <v>0</v>
      </c>
      <c r="R241" s="37" cm="1">
        <f t="array" ref="R241">Common_InputFunctions.Utility_DisplayArrayInTable(Common_SourceData.Common_SourceData_MCFTemperatureZone_Data(),Table_SourceData_Common_MCFTemperatureZone[[#Headers],[Temperature zone]],0)</f>
        <v>4.7000000000000002E-3</v>
      </c>
      <c r="S241" s="3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7" cm="1">
        <f t="array" ref="E242">Common_InputFunctions.Utility_DisplayArrayInTable(Common_SourceData.Common_SourceData_MCFTemperatureZone_Data(),Table_SourceData_Common_MCFTemperatureZone[[#Headers],[Temperature zone]],0)</f>
        <v>20</v>
      </c>
      <c r="F242" s="37" cm="1">
        <f t="array" ref="F242">Common_InputFunctions.Utility_DisplayArrayInTable(Common_SourceData.Common_SourceData_MCFTemperatureZone_Data(),Table_SourceData_Common_MCFTemperatureZone[[#Headers],[Temperature zone]],0)</f>
        <v>0.78</v>
      </c>
      <c r="G242" s="37" cm="1">
        <f t="array" ref="G242">Common_InputFunctions.Utility_DisplayArrayInTable(Common_SourceData.Common_SourceData_MCFTemperatureZone_Data(),Table_SourceData_Common_MCFTemperatureZone[[#Headers],[Temperature zone]],0)</f>
        <v>0.1</v>
      </c>
      <c r="H242" s="37" cm="1">
        <f t="array" ref="H242">Common_InputFunctions.Utility_DisplayArrayInTable(Common_SourceData.Common_SourceData_MCFTemperatureZone_Data(),Table_SourceData_Common_MCFTemperatureZone[[#Headers],[Temperature zone]],0)</f>
        <v>0.26</v>
      </c>
      <c r="I242" s="37" cm="1">
        <f t="array" ref="I242">Common_InputFunctions.Utility_DisplayArrayInTable(Common_SourceData.Common_SourceData_MCFTemperatureZone_Data(),Table_SourceData_Common_MCFTemperatureZone[[#Headers],[Temperature zone]],0)</f>
        <v>5.0000000000000001E-3</v>
      </c>
      <c r="J242" s="37" cm="1">
        <f t="array" ref="J242">Common_InputFunctions.Utility_DisplayArrayInTable(Common_SourceData.Common_SourceData_MCFTemperatureZone_Data(),Table_SourceData_Common_MCFTemperatureZone[[#Headers],[Temperature zone]],0)</f>
        <v>0.01</v>
      </c>
      <c r="K242" s="37" cm="1">
        <f t="array" ref="K242">Common_InputFunctions.Utility_DisplayArrayInTable(Common_SourceData.Common_SourceData_MCFTemperatureZone_Data(),Table_SourceData_Common_MCFTemperatureZone[[#Headers],[Temperature zone]],0)</f>
        <v>0.02</v>
      </c>
      <c r="L242" s="37" cm="1">
        <f t="array" ref="L242">Common_InputFunctions.Utility_DisplayArrayInTable(Common_SourceData.Common_SourceData_MCFTemperatureZone_Data(),Table_SourceData_Common_MCFTemperatureZone[[#Headers],[Temperature zone]],0)</f>
        <v>0.03</v>
      </c>
      <c r="M242" s="37" cm="1">
        <f t="array" ref="M242">Common_InputFunctions.Utility_DisplayArrayInTable(Common_SourceData.Common_SourceData_MCFTemperatureZone_Data(),Table_SourceData_Common_MCFTemperatureZone[[#Headers],[Temperature zone]],0)</f>
        <v>0.04</v>
      </c>
      <c r="N242" s="37" cm="1">
        <f t="array" ref="N242">Common_InputFunctions.Utility_DisplayArrayInTable(Common_SourceData.Common_SourceData_MCFTemperatureZone_Data(),Table_SourceData_Common_MCFTemperatureZone[[#Headers],[Temperature zone]],0)</f>
        <v>1.4999999999999999E-2</v>
      </c>
      <c r="O242" s="37" cm="1">
        <f t="array" ref="O242">Common_InputFunctions.Utility_DisplayArrayInTable(Common_SourceData.Common_SourceData_MCFTemperatureZone_Data(),Table_SourceData_Common_MCFTemperatureZone[[#Headers],[Temperature zone]],0)</f>
        <v>1.4999999999999999E-2</v>
      </c>
      <c r="P242" s="37" cm="1">
        <f t="array" ref="P242">Common_InputFunctions.Utility_DisplayArrayInTable(Common_SourceData.Common_SourceData_MCFTemperatureZone_Data(),Table_SourceData_Common_MCFTemperatureZone[[#Headers],[Temperature zone]],0)</f>
        <v>0</v>
      </c>
      <c r="Q242" s="37" cm="1">
        <f t="array" ref="Q242">Common_InputFunctions.Utility_DisplayArrayInTable(Common_SourceData.Common_SourceData_MCFTemperatureZone_Data(),Table_SourceData_Common_MCFTemperatureZone[[#Headers],[Temperature zone]],0)</f>
        <v>0</v>
      </c>
      <c r="R242" s="37" cm="1">
        <f t="array" ref="R242">Common_InputFunctions.Utility_DisplayArrayInTable(Common_SourceData.Common_SourceData_MCFTemperatureZone_Data(),Table_SourceData_Common_MCFTemperatureZone[[#Headers],[Temperature zone]],0)</f>
        <v>4.7000000000000002E-3</v>
      </c>
      <c r="S242" s="3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7" cm="1">
        <f t="array" ref="E243">Common_InputFunctions.Utility_DisplayArrayInTable(Common_SourceData.Common_SourceData_MCFTemperatureZone_Data(),Table_SourceData_Common_MCFTemperatureZone[[#Headers],[Temperature zone]],0)</f>
        <v>21</v>
      </c>
      <c r="F243" s="37" cm="1">
        <f t="array" ref="F243">Common_InputFunctions.Utility_DisplayArrayInTable(Common_SourceData.Common_SourceData_MCFTemperatureZone_Data(),Table_SourceData_Common_MCFTemperatureZone[[#Headers],[Temperature zone]],0)</f>
        <v>0.78</v>
      </c>
      <c r="G243" s="37" cm="1">
        <f t="array" ref="G243">Common_InputFunctions.Utility_DisplayArrayInTable(Common_SourceData.Common_SourceData_MCFTemperatureZone_Data(),Table_SourceData_Common_MCFTemperatureZone[[#Headers],[Temperature zone]],0)</f>
        <v>0.1</v>
      </c>
      <c r="H243" s="37" cm="1">
        <f t="array" ref="H243">Common_InputFunctions.Utility_DisplayArrayInTable(Common_SourceData.Common_SourceData_MCFTemperatureZone_Data(),Table_SourceData_Common_MCFTemperatureZone[[#Headers],[Temperature zone]],0)</f>
        <v>0.28999999999999998</v>
      </c>
      <c r="I243" s="37" cm="1">
        <f t="array" ref="I243">Common_InputFunctions.Utility_DisplayArrayInTable(Common_SourceData.Common_SourceData_MCFTemperatureZone_Data(),Table_SourceData_Common_MCFTemperatureZone[[#Headers],[Temperature zone]],0)</f>
        <v>5.0000000000000001E-3</v>
      </c>
      <c r="J243" s="37" cm="1">
        <f t="array" ref="J243">Common_InputFunctions.Utility_DisplayArrayInTable(Common_SourceData.Common_SourceData_MCFTemperatureZone_Data(),Table_SourceData_Common_MCFTemperatureZone[[#Headers],[Temperature zone]],0)</f>
        <v>0.01</v>
      </c>
      <c r="K243" s="37" cm="1">
        <f t="array" ref="K243">Common_InputFunctions.Utility_DisplayArrayInTable(Common_SourceData.Common_SourceData_MCFTemperatureZone_Data(),Table_SourceData_Common_MCFTemperatureZone[[#Headers],[Temperature zone]],0)</f>
        <v>0.02</v>
      </c>
      <c r="L243" s="37" cm="1">
        <f t="array" ref="L243">Common_InputFunctions.Utility_DisplayArrayInTable(Common_SourceData.Common_SourceData_MCFTemperatureZone_Data(),Table_SourceData_Common_MCFTemperatureZone[[#Headers],[Temperature zone]],0)</f>
        <v>0.03</v>
      </c>
      <c r="M243" s="37" cm="1">
        <f t="array" ref="M243">Common_InputFunctions.Utility_DisplayArrayInTable(Common_SourceData.Common_SourceData_MCFTemperatureZone_Data(),Table_SourceData_Common_MCFTemperatureZone[[#Headers],[Temperature zone]],0)</f>
        <v>0.04</v>
      </c>
      <c r="N243" s="37" cm="1">
        <f t="array" ref="N243">Common_InputFunctions.Utility_DisplayArrayInTable(Common_SourceData.Common_SourceData_MCFTemperatureZone_Data(),Table_SourceData_Common_MCFTemperatureZone[[#Headers],[Temperature zone]],0)</f>
        <v>1.4999999999999999E-2</v>
      </c>
      <c r="O243" s="37" cm="1">
        <f t="array" ref="O243">Common_InputFunctions.Utility_DisplayArrayInTable(Common_SourceData.Common_SourceData_MCFTemperatureZone_Data(),Table_SourceData_Common_MCFTemperatureZone[[#Headers],[Temperature zone]],0)</f>
        <v>1.4999999999999999E-2</v>
      </c>
      <c r="P243" s="37" cm="1">
        <f t="array" ref="P243">Common_InputFunctions.Utility_DisplayArrayInTable(Common_SourceData.Common_SourceData_MCFTemperatureZone_Data(),Table_SourceData_Common_MCFTemperatureZone[[#Headers],[Temperature zone]],0)</f>
        <v>0</v>
      </c>
      <c r="Q243" s="37" cm="1">
        <f t="array" ref="Q243">Common_InputFunctions.Utility_DisplayArrayInTable(Common_SourceData.Common_SourceData_MCFTemperatureZone_Data(),Table_SourceData_Common_MCFTemperatureZone[[#Headers],[Temperature zone]],0)</f>
        <v>0</v>
      </c>
      <c r="R243" s="37" cm="1">
        <f t="array" ref="R243">Common_InputFunctions.Utility_DisplayArrayInTable(Common_SourceData.Common_SourceData_MCFTemperatureZone_Data(),Table_SourceData_Common_MCFTemperatureZone[[#Headers],[Temperature zone]],0)</f>
        <v>4.7000000000000002E-3</v>
      </c>
      <c r="S243" s="3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7" cm="1">
        <f t="array" ref="E244">Common_InputFunctions.Utility_DisplayArrayInTable(Common_SourceData.Common_SourceData_MCFTemperatureZone_Data(),Table_SourceData_Common_MCFTemperatureZone[[#Headers],[Temperature zone]],0)</f>
        <v>22</v>
      </c>
      <c r="F244" s="37" cm="1">
        <f t="array" ref="F244">Common_InputFunctions.Utility_DisplayArrayInTable(Common_SourceData.Common_SourceData_MCFTemperatureZone_Data(),Table_SourceData_Common_MCFTemperatureZone[[#Headers],[Temperature zone]],0)</f>
        <v>0.78</v>
      </c>
      <c r="G244" s="37" cm="1">
        <f t="array" ref="G244">Common_InputFunctions.Utility_DisplayArrayInTable(Common_SourceData.Common_SourceData_MCFTemperatureZone_Data(),Table_SourceData_Common_MCFTemperatureZone[[#Headers],[Temperature zone]],0)</f>
        <v>0.1</v>
      </c>
      <c r="H244" s="37" cm="1">
        <f t="array" ref="H244">Common_InputFunctions.Utility_DisplayArrayInTable(Common_SourceData.Common_SourceData_MCFTemperatureZone_Data(),Table_SourceData_Common_MCFTemperatureZone[[#Headers],[Temperature zone]],0)</f>
        <v>0.31</v>
      </c>
      <c r="I244" s="37" cm="1">
        <f t="array" ref="I244">Common_InputFunctions.Utility_DisplayArrayInTable(Common_SourceData.Common_SourceData_MCFTemperatureZone_Data(),Table_SourceData_Common_MCFTemperatureZone[[#Headers],[Temperature zone]],0)</f>
        <v>5.0000000000000001E-3</v>
      </c>
      <c r="J244" s="37" cm="1">
        <f t="array" ref="J244">Common_InputFunctions.Utility_DisplayArrayInTable(Common_SourceData.Common_SourceData_MCFTemperatureZone_Data(),Table_SourceData_Common_MCFTemperatureZone[[#Headers],[Temperature zone]],0)</f>
        <v>0.01</v>
      </c>
      <c r="K244" s="37" cm="1">
        <f t="array" ref="K244">Common_InputFunctions.Utility_DisplayArrayInTable(Common_SourceData.Common_SourceData_MCFTemperatureZone_Data(),Table_SourceData_Common_MCFTemperatureZone[[#Headers],[Temperature zone]],0)</f>
        <v>0.02</v>
      </c>
      <c r="L244" s="37" cm="1">
        <f t="array" ref="L244">Common_InputFunctions.Utility_DisplayArrayInTable(Common_SourceData.Common_SourceData_MCFTemperatureZone_Data(),Table_SourceData_Common_MCFTemperatureZone[[#Headers],[Temperature zone]],0)</f>
        <v>0.03</v>
      </c>
      <c r="M244" s="37" cm="1">
        <f t="array" ref="M244">Common_InputFunctions.Utility_DisplayArrayInTable(Common_SourceData.Common_SourceData_MCFTemperatureZone_Data(),Table_SourceData_Common_MCFTemperatureZone[[#Headers],[Temperature zone]],0)</f>
        <v>0.04</v>
      </c>
      <c r="N244" s="37" cm="1">
        <f t="array" ref="N244">Common_InputFunctions.Utility_DisplayArrayInTable(Common_SourceData.Common_SourceData_MCFTemperatureZone_Data(),Table_SourceData_Common_MCFTemperatureZone[[#Headers],[Temperature zone]],0)</f>
        <v>1.4999999999999999E-2</v>
      </c>
      <c r="O244" s="37" cm="1">
        <f t="array" ref="O244">Common_InputFunctions.Utility_DisplayArrayInTable(Common_SourceData.Common_SourceData_MCFTemperatureZone_Data(),Table_SourceData_Common_MCFTemperatureZone[[#Headers],[Temperature zone]],0)</f>
        <v>1.4999999999999999E-2</v>
      </c>
      <c r="P244" s="37" cm="1">
        <f t="array" ref="P244">Common_InputFunctions.Utility_DisplayArrayInTable(Common_SourceData.Common_SourceData_MCFTemperatureZone_Data(),Table_SourceData_Common_MCFTemperatureZone[[#Headers],[Temperature zone]],0)</f>
        <v>0</v>
      </c>
      <c r="Q244" s="37" cm="1">
        <f t="array" ref="Q244">Common_InputFunctions.Utility_DisplayArrayInTable(Common_SourceData.Common_SourceData_MCFTemperatureZone_Data(),Table_SourceData_Common_MCFTemperatureZone[[#Headers],[Temperature zone]],0)</f>
        <v>0</v>
      </c>
      <c r="R244" s="37" cm="1">
        <f t="array" ref="R244">Common_InputFunctions.Utility_DisplayArrayInTable(Common_SourceData.Common_SourceData_MCFTemperatureZone_Data(),Table_SourceData_Common_MCFTemperatureZone[[#Headers],[Temperature zone]],0)</f>
        <v>4.7000000000000002E-3</v>
      </c>
      <c r="S244" s="3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7" cm="1">
        <f t="array" ref="E245">Common_InputFunctions.Utility_DisplayArrayInTable(Common_SourceData.Common_SourceData_MCFTemperatureZone_Data(),Table_SourceData_Common_MCFTemperatureZone[[#Headers],[Temperature zone]],0)</f>
        <v>23</v>
      </c>
      <c r="F245" s="37" cm="1">
        <f t="array" ref="F245">Common_InputFunctions.Utility_DisplayArrayInTable(Common_SourceData.Common_SourceData_MCFTemperatureZone_Data(),Table_SourceData_Common_MCFTemperatureZone[[#Headers],[Temperature zone]],0)</f>
        <v>0.79</v>
      </c>
      <c r="G245" s="37" cm="1">
        <f t="array" ref="G245">Common_InputFunctions.Utility_DisplayArrayInTable(Common_SourceData.Common_SourceData_MCFTemperatureZone_Data(),Table_SourceData_Common_MCFTemperatureZone[[#Headers],[Temperature zone]],0)</f>
        <v>0.1</v>
      </c>
      <c r="H245" s="37" cm="1">
        <f t="array" ref="H245">Common_InputFunctions.Utility_DisplayArrayInTable(Common_SourceData.Common_SourceData_MCFTemperatureZone_Data(),Table_SourceData_Common_MCFTemperatureZone[[#Headers],[Temperature zone]],0)</f>
        <v>0.34</v>
      </c>
      <c r="I245" s="37" cm="1">
        <f t="array" ref="I245">Common_InputFunctions.Utility_DisplayArrayInTable(Common_SourceData.Common_SourceData_MCFTemperatureZone_Data(),Table_SourceData_Common_MCFTemperatureZone[[#Headers],[Temperature zone]],0)</f>
        <v>5.0000000000000001E-3</v>
      </c>
      <c r="J245" s="37" cm="1">
        <f t="array" ref="J245">Common_InputFunctions.Utility_DisplayArrayInTable(Common_SourceData.Common_SourceData_MCFTemperatureZone_Data(),Table_SourceData_Common_MCFTemperatureZone[[#Headers],[Temperature zone]],0)</f>
        <v>0.01</v>
      </c>
      <c r="K245" s="37" cm="1">
        <f t="array" ref="K245">Common_InputFunctions.Utility_DisplayArrayInTable(Common_SourceData.Common_SourceData_MCFTemperatureZone_Data(),Table_SourceData_Common_MCFTemperatureZone[[#Headers],[Temperature zone]],0)</f>
        <v>0.02</v>
      </c>
      <c r="L245" s="37" cm="1">
        <f t="array" ref="L245">Common_InputFunctions.Utility_DisplayArrayInTable(Common_SourceData.Common_SourceData_MCFTemperatureZone_Data(),Table_SourceData_Common_MCFTemperatureZone[[#Headers],[Temperature zone]],0)</f>
        <v>0.03</v>
      </c>
      <c r="M245" s="37" cm="1">
        <f t="array" ref="M245">Common_InputFunctions.Utility_DisplayArrayInTable(Common_SourceData.Common_SourceData_MCFTemperatureZone_Data(),Table_SourceData_Common_MCFTemperatureZone[[#Headers],[Temperature zone]],0)</f>
        <v>0.04</v>
      </c>
      <c r="N245" s="37" cm="1">
        <f t="array" ref="N245">Common_InputFunctions.Utility_DisplayArrayInTable(Common_SourceData.Common_SourceData_MCFTemperatureZone_Data(),Table_SourceData_Common_MCFTemperatureZone[[#Headers],[Temperature zone]],0)</f>
        <v>1.4999999999999999E-2</v>
      </c>
      <c r="O245" s="37" cm="1">
        <f t="array" ref="O245">Common_InputFunctions.Utility_DisplayArrayInTable(Common_SourceData.Common_SourceData_MCFTemperatureZone_Data(),Table_SourceData_Common_MCFTemperatureZone[[#Headers],[Temperature zone]],0)</f>
        <v>1.4999999999999999E-2</v>
      </c>
      <c r="P245" s="37" cm="1">
        <f t="array" ref="P245">Common_InputFunctions.Utility_DisplayArrayInTable(Common_SourceData.Common_SourceData_MCFTemperatureZone_Data(),Table_SourceData_Common_MCFTemperatureZone[[#Headers],[Temperature zone]],0)</f>
        <v>0</v>
      </c>
      <c r="Q245" s="37" cm="1">
        <f t="array" ref="Q245">Common_InputFunctions.Utility_DisplayArrayInTable(Common_SourceData.Common_SourceData_MCFTemperatureZone_Data(),Table_SourceData_Common_MCFTemperatureZone[[#Headers],[Temperature zone]],0)</f>
        <v>0</v>
      </c>
      <c r="R245" s="37" cm="1">
        <f t="array" ref="R245">Common_InputFunctions.Utility_DisplayArrayInTable(Common_SourceData.Common_SourceData_MCFTemperatureZone_Data(),Table_SourceData_Common_MCFTemperatureZone[[#Headers],[Temperature zone]],0)</f>
        <v>4.7000000000000002E-3</v>
      </c>
      <c r="S245" s="3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7" cm="1">
        <f t="array" ref="E246">Common_InputFunctions.Utility_DisplayArrayInTable(Common_SourceData.Common_SourceData_MCFTemperatureZone_Data(),Table_SourceData_Common_MCFTemperatureZone[[#Headers],[Temperature zone]],0)</f>
        <v>24</v>
      </c>
      <c r="F246" s="37" cm="1">
        <f t="array" ref="F246">Common_InputFunctions.Utility_DisplayArrayInTable(Common_SourceData.Common_SourceData_MCFTemperatureZone_Data(),Table_SourceData_Common_MCFTemperatureZone[[#Headers],[Temperature zone]],0)</f>
        <v>0.79</v>
      </c>
      <c r="G246" s="37" cm="1">
        <f t="array" ref="G246">Common_InputFunctions.Utility_DisplayArrayInTable(Common_SourceData.Common_SourceData_MCFTemperatureZone_Data(),Table_SourceData_Common_MCFTemperatureZone[[#Headers],[Temperature zone]],0)</f>
        <v>0.1</v>
      </c>
      <c r="H246" s="37" cm="1">
        <f t="array" ref="H246">Common_InputFunctions.Utility_DisplayArrayInTable(Common_SourceData.Common_SourceData_MCFTemperatureZone_Data(),Table_SourceData_Common_MCFTemperatureZone[[#Headers],[Temperature zone]],0)</f>
        <v>0.37</v>
      </c>
      <c r="I246" s="37" cm="1">
        <f t="array" ref="I246">Common_InputFunctions.Utility_DisplayArrayInTable(Common_SourceData.Common_SourceData_MCFTemperatureZone_Data(),Table_SourceData_Common_MCFTemperatureZone[[#Headers],[Temperature zone]],0)</f>
        <v>5.0000000000000001E-3</v>
      </c>
      <c r="J246" s="37" cm="1">
        <f t="array" ref="J246">Common_InputFunctions.Utility_DisplayArrayInTable(Common_SourceData.Common_SourceData_MCFTemperatureZone_Data(),Table_SourceData_Common_MCFTemperatureZone[[#Headers],[Temperature zone]],0)</f>
        <v>0.01</v>
      </c>
      <c r="K246" s="37" cm="1">
        <f t="array" ref="K246">Common_InputFunctions.Utility_DisplayArrayInTable(Common_SourceData.Common_SourceData_MCFTemperatureZone_Data(),Table_SourceData_Common_MCFTemperatureZone[[#Headers],[Temperature zone]],0)</f>
        <v>0.02</v>
      </c>
      <c r="L246" s="37" cm="1">
        <f t="array" ref="L246">Common_InputFunctions.Utility_DisplayArrayInTable(Common_SourceData.Common_SourceData_MCFTemperatureZone_Data(),Table_SourceData_Common_MCFTemperatureZone[[#Headers],[Temperature zone]],0)</f>
        <v>0.03</v>
      </c>
      <c r="M246" s="37" cm="1">
        <f t="array" ref="M246">Common_InputFunctions.Utility_DisplayArrayInTable(Common_SourceData.Common_SourceData_MCFTemperatureZone_Data(),Table_SourceData_Common_MCFTemperatureZone[[#Headers],[Temperature zone]],0)</f>
        <v>0.04</v>
      </c>
      <c r="N246" s="37" cm="1">
        <f t="array" ref="N246">Common_InputFunctions.Utility_DisplayArrayInTable(Common_SourceData.Common_SourceData_MCFTemperatureZone_Data(),Table_SourceData_Common_MCFTemperatureZone[[#Headers],[Temperature zone]],0)</f>
        <v>1.4999999999999999E-2</v>
      </c>
      <c r="O246" s="37" cm="1">
        <f t="array" ref="O246">Common_InputFunctions.Utility_DisplayArrayInTable(Common_SourceData.Common_SourceData_MCFTemperatureZone_Data(),Table_SourceData_Common_MCFTemperatureZone[[#Headers],[Temperature zone]],0)</f>
        <v>1.4999999999999999E-2</v>
      </c>
      <c r="P246" s="37" cm="1">
        <f t="array" ref="P246">Common_InputFunctions.Utility_DisplayArrayInTable(Common_SourceData.Common_SourceData_MCFTemperatureZone_Data(),Table_SourceData_Common_MCFTemperatureZone[[#Headers],[Temperature zone]],0)</f>
        <v>0</v>
      </c>
      <c r="Q246" s="37" cm="1">
        <f t="array" ref="Q246">Common_InputFunctions.Utility_DisplayArrayInTable(Common_SourceData.Common_SourceData_MCFTemperatureZone_Data(),Table_SourceData_Common_MCFTemperatureZone[[#Headers],[Temperature zone]],0)</f>
        <v>0</v>
      </c>
      <c r="R246" s="37" cm="1">
        <f t="array" ref="R246">Common_InputFunctions.Utility_DisplayArrayInTable(Common_SourceData.Common_SourceData_MCFTemperatureZone_Data(),Table_SourceData_Common_MCFTemperatureZone[[#Headers],[Temperature zone]],0)</f>
        <v>4.7000000000000002E-3</v>
      </c>
      <c r="S246" s="3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7" cm="1">
        <f t="array" ref="E247">Common_InputFunctions.Utility_DisplayArrayInTable(Common_SourceData.Common_SourceData_MCFTemperatureZone_Data(),Table_SourceData_Common_MCFTemperatureZone[[#Headers],[Temperature zone]],0)</f>
        <v>25</v>
      </c>
      <c r="F247" s="37" cm="1">
        <f t="array" ref="F247">Common_InputFunctions.Utility_DisplayArrayInTable(Common_SourceData.Common_SourceData_MCFTemperatureZone_Data(),Table_SourceData_Common_MCFTemperatureZone[[#Headers],[Temperature zone]],0)</f>
        <v>0.79</v>
      </c>
      <c r="G247" s="37" cm="1">
        <f t="array" ref="G247">Common_InputFunctions.Utility_DisplayArrayInTable(Common_SourceData.Common_SourceData_MCFTemperatureZone_Data(),Table_SourceData_Common_MCFTemperatureZone[[#Headers],[Temperature zone]],0)</f>
        <v>0.1</v>
      </c>
      <c r="H247" s="37" cm="1">
        <f t="array" ref="H247">Common_InputFunctions.Utility_DisplayArrayInTable(Common_SourceData.Common_SourceData_MCFTemperatureZone_Data(),Table_SourceData_Common_MCFTemperatureZone[[#Headers],[Temperature zone]],0)</f>
        <v>0.41</v>
      </c>
      <c r="I247" s="37" cm="1">
        <f t="array" ref="I247">Common_InputFunctions.Utility_DisplayArrayInTable(Common_SourceData.Common_SourceData_MCFTemperatureZone_Data(),Table_SourceData_Common_MCFTemperatureZone[[#Headers],[Temperature zone]],0)</f>
        <v>5.0000000000000001E-3</v>
      </c>
      <c r="J247" s="37" cm="1">
        <f t="array" ref="J247">Common_InputFunctions.Utility_DisplayArrayInTable(Common_SourceData.Common_SourceData_MCFTemperatureZone_Data(),Table_SourceData_Common_MCFTemperatureZone[[#Headers],[Temperature zone]],0)</f>
        <v>0.01</v>
      </c>
      <c r="K247" s="37" cm="1">
        <f t="array" ref="K247">Common_InputFunctions.Utility_DisplayArrayInTable(Common_SourceData.Common_SourceData_MCFTemperatureZone_Data(),Table_SourceData_Common_MCFTemperatureZone[[#Headers],[Temperature zone]],0)</f>
        <v>0.02</v>
      </c>
      <c r="L247" s="37" cm="1">
        <f t="array" ref="L247">Common_InputFunctions.Utility_DisplayArrayInTable(Common_SourceData.Common_SourceData_MCFTemperatureZone_Data(),Table_SourceData_Common_MCFTemperatureZone[[#Headers],[Temperature zone]],0)</f>
        <v>0.03</v>
      </c>
      <c r="M247" s="37" cm="1">
        <f t="array" ref="M247">Common_InputFunctions.Utility_DisplayArrayInTable(Common_SourceData.Common_SourceData_MCFTemperatureZone_Data(),Table_SourceData_Common_MCFTemperatureZone[[#Headers],[Temperature zone]],0)</f>
        <v>0.04</v>
      </c>
      <c r="N247" s="37" cm="1">
        <f t="array" ref="N247">Common_InputFunctions.Utility_DisplayArrayInTable(Common_SourceData.Common_SourceData_MCFTemperatureZone_Data(),Table_SourceData_Common_MCFTemperatureZone[[#Headers],[Temperature zone]],0)</f>
        <v>1.4999999999999999E-2</v>
      </c>
      <c r="O247" s="37" cm="1">
        <f t="array" ref="O247">Common_InputFunctions.Utility_DisplayArrayInTable(Common_SourceData.Common_SourceData_MCFTemperatureZone_Data(),Table_SourceData_Common_MCFTemperatureZone[[#Headers],[Temperature zone]],0)</f>
        <v>1.4999999999999999E-2</v>
      </c>
      <c r="P247" s="37" cm="1">
        <f t="array" ref="P247">Common_InputFunctions.Utility_DisplayArrayInTable(Common_SourceData.Common_SourceData_MCFTemperatureZone_Data(),Table_SourceData_Common_MCFTemperatureZone[[#Headers],[Temperature zone]],0)</f>
        <v>0</v>
      </c>
      <c r="Q247" s="37" cm="1">
        <f t="array" ref="Q247">Common_InputFunctions.Utility_DisplayArrayInTable(Common_SourceData.Common_SourceData_MCFTemperatureZone_Data(),Table_SourceData_Common_MCFTemperatureZone[[#Headers],[Temperature zone]],0)</f>
        <v>0</v>
      </c>
      <c r="R247" s="37" cm="1">
        <f t="array" ref="R247">Common_InputFunctions.Utility_DisplayArrayInTable(Common_SourceData.Common_SourceData_MCFTemperatureZone_Data(),Table_SourceData_Common_MCFTemperatureZone[[#Headers],[Temperature zone]],0)</f>
        <v>4.7000000000000002E-3</v>
      </c>
      <c r="S247" s="3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7" cm="1">
        <f t="array" ref="E248">Common_InputFunctions.Utility_DisplayArrayInTable(Common_SourceData.Common_SourceData_MCFTemperatureZone_Data(),Table_SourceData_Common_MCFTemperatureZone[[#Headers],[Temperature zone]],0)</f>
        <v>26</v>
      </c>
      <c r="F248" s="37" cm="1">
        <f t="array" ref="F248">Common_InputFunctions.Utility_DisplayArrayInTable(Common_SourceData.Common_SourceData_MCFTemperatureZone_Data(),Table_SourceData_Common_MCFTemperatureZone[[#Headers],[Temperature zone]],0)</f>
        <v>0.79</v>
      </c>
      <c r="G248" s="37" cm="1">
        <f t="array" ref="G248">Common_InputFunctions.Utility_DisplayArrayInTable(Common_SourceData.Common_SourceData_MCFTemperatureZone_Data(),Table_SourceData_Common_MCFTemperatureZone[[#Headers],[Temperature zone]],0)</f>
        <v>0.1</v>
      </c>
      <c r="H248" s="37" cm="1">
        <f t="array" ref="H248">Common_InputFunctions.Utility_DisplayArrayInTable(Common_SourceData.Common_SourceData_MCFTemperatureZone_Data(),Table_SourceData_Common_MCFTemperatureZone[[#Headers],[Temperature zone]],0)</f>
        <v>0.44</v>
      </c>
      <c r="I248" s="37" cm="1">
        <f t="array" ref="I248">Common_InputFunctions.Utility_DisplayArrayInTable(Common_SourceData.Common_SourceData_MCFTemperatureZone_Data(),Table_SourceData_Common_MCFTemperatureZone[[#Headers],[Temperature zone]],0)</f>
        <v>0.01</v>
      </c>
      <c r="J248" s="37" cm="1">
        <f t="array" ref="J248">Common_InputFunctions.Utility_DisplayArrayInTable(Common_SourceData.Common_SourceData_MCFTemperatureZone_Data(),Table_SourceData_Common_MCFTemperatureZone[[#Headers],[Temperature zone]],0)</f>
        <v>1.4999999999999999E-2</v>
      </c>
      <c r="K248" s="37" cm="1">
        <f t="array" ref="K248">Common_InputFunctions.Utility_DisplayArrayInTable(Common_SourceData.Common_SourceData_MCFTemperatureZone_Data(),Table_SourceData_Common_MCFTemperatureZone[[#Headers],[Temperature zone]],0)</f>
        <v>0.02</v>
      </c>
      <c r="L248" s="37" cm="1">
        <f t="array" ref="L248">Common_InputFunctions.Utility_DisplayArrayInTable(Common_SourceData.Common_SourceData_MCFTemperatureZone_Data(),Table_SourceData_Common_MCFTemperatureZone[[#Headers],[Temperature zone]],0)</f>
        <v>0.03</v>
      </c>
      <c r="M248" s="37" cm="1">
        <f t="array" ref="M248">Common_InputFunctions.Utility_DisplayArrayInTable(Common_SourceData.Common_SourceData_MCFTemperatureZone_Data(),Table_SourceData_Common_MCFTemperatureZone[[#Headers],[Temperature zone]],0)</f>
        <v>0.04</v>
      </c>
      <c r="N248" s="37" cm="1">
        <f t="array" ref="N248">Common_InputFunctions.Utility_DisplayArrayInTable(Common_SourceData.Common_SourceData_MCFTemperatureZone_Data(),Table_SourceData_Common_MCFTemperatureZone[[#Headers],[Temperature zone]],0)</f>
        <v>1.4999999999999999E-2</v>
      </c>
      <c r="O248" s="37" cm="1">
        <f t="array" ref="O248">Common_InputFunctions.Utility_DisplayArrayInTable(Common_SourceData.Common_SourceData_MCFTemperatureZone_Data(),Table_SourceData_Common_MCFTemperatureZone[[#Headers],[Temperature zone]],0)</f>
        <v>1.4999999999999999E-2</v>
      </c>
      <c r="P248" s="37" cm="1">
        <f t="array" ref="P248">Common_InputFunctions.Utility_DisplayArrayInTable(Common_SourceData.Common_SourceData_MCFTemperatureZone_Data(),Table_SourceData_Common_MCFTemperatureZone[[#Headers],[Temperature zone]],0)</f>
        <v>0</v>
      </c>
      <c r="Q248" s="37" cm="1">
        <f t="array" ref="Q248">Common_InputFunctions.Utility_DisplayArrayInTable(Common_SourceData.Common_SourceData_MCFTemperatureZone_Data(),Table_SourceData_Common_MCFTemperatureZone[[#Headers],[Temperature zone]],0)</f>
        <v>0</v>
      </c>
      <c r="R248" s="37" cm="1">
        <f t="array" ref="R248">Common_InputFunctions.Utility_DisplayArrayInTable(Common_SourceData.Common_SourceData_MCFTemperatureZone_Data(),Table_SourceData_Common_MCFTemperatureZone[[#Headers],[Temperature zone]],0)</f>
        <v>4.7000000000000002E-3</v>
      </c>
      <c r="S248" s="3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7" cm="1">
        <f t="array" ref="E249">Common_InputFunctions.Utility_DisplayArrayInTable(Common_SourceData.Common_SourceData_MCFTemperatureZone_Data(),Table_SourceData_Common_MCFTemperatureZone[[#Headers],[Temperature zone]],0)</f>
        <v>27</v>
      </c>
      <c r="F249" s="37" cm="1">
        <f t="array" ref="F249">Common_InputFunctions.Utility_DisplayArrayInTable(Common_SourceData.Common_SourceData_MCFTemperatureZone_Data(),Table_SourceData_Common_MCFTemperatureZone[[#Headers],[Temperature zone]],0)</f>
        <v>0.8</v>
      </c>
      <c r="G249" s="37" cm="1">
        <f t="array" ref="G249">Common_InputFunctions.Utility_DisplayArrayInTable(Common_SourceData.Common_SourceData_MCFTemperatureZone_Data(),Table_SourceData_Common_MCFTemperatureZone[[#Headers],[Temperature zone]],0)</f>
        <v>0.1</v>
      </c>
      <c r="H249" s="37" cm="1">
        <f t="array" ref="H249">Common_InputFunctions.Utility_DisplayArrayInTable(Common_SourceData.Common_SourceData_MCFTemperatureZone_Data(),Table_SourceData_Common_MCFTemperatureZone[[#Headers],[Temperature zone]],0)</f>
        <v>0.48</v>
      </c>
      <c r="I249" s="37" cm="1">
        <f t="array" ref="I249">Common_InputFunctions.Utility_DisplayArrayInTable(Common_SourceData.Common_SourceData_MCFTemperatureZone_Data(),Table_SourceData_Common_MCFTemperatureZone[[#Headers],[Temperature zone]],0)</f>
        <v>0.01</v>
      </c>
      <c r="J249" s="37" cm="1">
        <f t="array" ref="J249">Common_InputFunctions.Utility_DisplayArrayInTable(Common_SourceData.Common_SourceData_MCFTemperatureZone_Data(),Table_SourceData_Common_MCFTemperatureZone[[#Headers],[Temperature zone]],0)</f>
        <v>1.4999999999999999E-2</v>
      </c>
      <c r="K249" s="37" cm="1">
        <f t="array" ref="K249">Common_InputFunctions.Utility_DisplayArrayInTable(Common_SourceData.Common_SourceData_MCFTemperatureZone_Data(),Table_SourceData_Common_MCFTemperatureZone[[#Headers],[Temperature zone]],0)</f>
        <v>0.02</v>
      </c>
      <c r="L249" s="37" cm="1">
        <f t="array" ref="L249">Common_InputFunctions.Utility_DisplayArrayInTable(Common_SourceData.Common_SourceData_MCFTemperatureZone_Data(),Table_SourceData_Common_MCFTemperatureZone[[#Headers],[Temperature zone]],0)</f>
        <v>0.03</v>
      </c>
      <c r="M249" s="37" cm="1">
        <f t="array" ref="M249">Common_InputFunctions.Utility_DisplayArrayInTable(Common_SourceData.Common_SourceData_MCFTemperatureZone_Data(),Table_SourceData_Common_MCFTemperatureZone[[#Headers],[Temperature zone]],0)</f>
        <v>0.04</v>
      </c>
      <c r="N249" s="37" cm="1">
        <f t="array" ref="N249">Common_InputFunctions.Utility_DisplayArrayInTable(Common_SourceData.Common_SourceData_MCFTemperatureZone_Data(),Table_SourceData_Common_MCFTemperatureZone[[#Headers],[Temperature zone]],0)</f>
        <v>1.4999999999999999E-2</v>
      </c>
      <c r="O249" s="37" cm="1">
        <f t="array" ref="O249">Common_InputFunctions.Utility_DisplayArrayInTable(Common_SourceData.Common_SourceData_MCFTemperatureZone_Data(),Table_SourceData_Common_MCFTemperatureZone[[#Headers],[Temperature zone]],0)</f>
        <v>1.4999999999999999E-2</v>
      </c>
      <c r="P249" s="37" cm="1">
        <f t="array" ref="P249">Common_InputFunctions.Utility_DisplayArrayInTable(Common_SourceData.Common_SourceData_MCFTemperatureZone_Data(),Table_SourceData_Common_MCFTemperatureZone[[#Headers],[Temperature zone]],0)</f>
        <v>0</v>
      </c>
      <c r="Q249" s="37" cm="1">
        <f t="array" ref="Q249">Common_InputFunctions.Utility_DisplayArrayInTable(Common_SourceData.Common_SourceData_MCFTemperatureZone_Data(),Table_SourceData_Common_MCFTemperatureZone[[#Headers],[Temperature zone]],0)</f>
        <v>0</v>
      </c>
      <c r="R249" s="37" cm="1">
        <f t="array" ref="R249">Common_InputFunctions.Utility_DisplayArrayInTable(Common_SourceData.Common_SourceData_MCFTemperatureZone_Data(),Table_SourceData_Common_MCFTemperatureZone[[#Headers],[Temperature zone]],0)</f>
        <v>4.7000000000000002E-3</v>
      </c>
      <c r="S249" s="3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7" t="str" cm="1">
        <f t="array" ref="E250">Common_InputFunctions.Utility_DisplayArrayInTable(Common_SourceData.Common_SourceData_MCFTemperatureZone_Data(),Table_SourceData_Common_MCFTemperatureZone[[#Headers],[Temperature zone]],0)</f>
        <v>≥28</v>
      </c>
      <c r="F250" s="37" cm="1">
        <f t="array" ref="F250">Common_InputFunctions.Utility_DisplayArrayInTable(Common_SourceData.Common_SourceData_MCFTemperatureZone_Data(),Table_SourceData_Common_MCFTemperatureZone[[#Headers],[Temperature zone]],0)</f>
        <v>0.8</v>
      </c>
      <c r="G250" s="37" cm="1">
        <f t="array" ref="G250">Common_InputFunctions.Utility_DisplayArrayInTable(Common_SourceData.Common_SourceData_MCFTemperatureZone_Data(),Table_SourceData_Common_MCFTemperatureZone[[#Headers],[Temperature zone]],0)</f>
        <v>0.1</v>
      </c>
      <c r="H250" s="37" cm="1">
        <f t="array" ref="H250">Common_InputFunctions.Utility_DisplayArrayInTable(Common_SourceData.Common_SourceData_MCFTemperatureZone_Data(),Table_SourceData_Common_MCFTemperatureZone[[#Headers],[Temperature zone]],0)</f>
        <v>0.5</v>
      </c>
      <c r="I250" s="37" cm="1">
        <f t="array" ref="I250">Common_InputFunctions.Utility_DisplayArrayInTable(Common_SourceData.Common_SourceData_MCFTemperatureZone_Data(),Table_SourceData_Common_MCFTemperatureZone[[#Headers],[Temperature zone]],0)</f>
        <v>0.01</v>
      </c>
      <c r="J250" s="37" cm="1">
        <f t="array" ref="J250">Common_InputFunctions.Utility_DisplayArrayInTable(Common_SourceData.Common_SourceData_MCFTemperatureZone_Data(),Table_SourceData_Common_MCFTemperatureZone[[#Headers],[Temperature zone]],0)</f>
        <v>1.4999999999999999E-2</v>
      </c>
      <c r="K250" s="37" cm="1">
        <f t="array" ref="K250">Common_InputFunctions.Utility_DisplayArrayInTable(Common_SourceData.Common_SourceData_MCFTemperatureZone_Data(),Table_SourceData_Common_MCFTemperatureZone[[#Headers],[Temperature zone]],0)</f>
        <v>0.02</v>
      </c>
      <c r="L250" s="37" cm="1">
        <f t="array" ref="L250">Common_InputFunctions.Utility_DisplayArrayInTable(Common_SourceData.Common_SourceData_MCFTemperatureZone_Data(),Table_SourceData_Common_MCFTemperatureZone[[#Headers],[Temperature zone]],0)</f>
        <v>0.03</v>
      </c>
      <c r="M250" s="37" cm="1">
        <f t="array" ref="M250">Common_InputFunctions.Utility_DisplayArrayInTable(Common_SourceData.Common_SourceData_MCFTemperatureZone_Data(),Table_SourceData_Common_MCFTemperatureZone[[#Headers],[Temperature zone]],0)</f>
        <v>0.04</v>
      </c>
      <c r="N250" s="37" cm="1">
        <f t="array" ref="N250">Common_InputFunctions.Utility_DisplayArrayInTable(Common_SourceData.Common_SourceData_MCFTemperatureZone_Data(),Table_SourceData_Common_MCFTemperatureZone[[#Headers],[Temperature zone]],0)</f>
        <v>1.4999999999999999E-2</v>
      </c>
      <c r="O250" s="37" cm="1">
        <f t="array" ref="O250">Common_InputFunctions.Utility_DisplayArrayInTable(Common_SourceData.Common_SourceData_MCFTemperatureZone_Data(),Table_SourceData_Common_MCFTemperatureZone[[#Headers],[Temperature zone]],0)</f>
        <v>1.4999999999999999E-2</v>
      </c>
      <c r="P250" s="37" cm="1">
        <f t="array" ref="P250">Common_InputFunctions.Utility_DisplayArrayInTable(Common_SourceData.Common_SourceData_MCFTemperatureZone_Data(),Table_SourceData_Common_MCFTemperatureZone[[#Headers],[Temperature zone]],0)</f>
        <v>0</v>
      </c>
      <c r="Q250" s="37" cm="1">
        <f t="array" ref="Q250">Common_InputFunctions.Utility_DisplayArrayInTable(Common_SourceData.Common_SourceData_MCFTemperatureZone_Data(),Table_SourceData_Common_MCFTemperatureZone[[#Headers],[Temperature zone]],0)</f>
        <v>0</v>
      </c>
      <c r="R250" s="37" cm="1">
        <f t="array" ref="R250">Common_InputFunctions.Utility_DisplayArrayInTable(Common_SourceData.Common_SourceData_MCFTemperatureZone_Data(),Table_SourceData_Common_MCFTemperatureZone[[#Headers],[Temperature zone]],0)</f>
        <v>4.7000000000000002E-3</v>
      </c>
      <c r="S250" s="37" cm="1">
        <f t="array" ref="S250">Common_InputFunctions.Utility_DisplayArrayInTable(Common_SourceData.Common_SourceData_MCFTemperatureZone_Data(),Table_SourceData_Common_MCFTemperatureZone[[#Headers],[Temperature zone]],0)</f>
        <v>28</v>
      </c>
    </row>
  </sheetData>
  <pageMargins left="0.7" right="0.7" top="0.75" bottom="0.75" header="0.3" footer="0.3"/>
  <pageSetup paperSize="9" orientation="portrait" r:id="rId1"/>
  <tableParts count="16">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3" sqref="A13"/>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79</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3</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Swine'!A1", "Swine")</f>
        <v>Swine</v>
      </c>
      <c r="D9" s="36" t="s">
        <v>80</v>
      </c>
      <c r="E9" s="37" t="s">
        <v>20</v>
      </c>
      <c r="F9" s="37" t="s">
        <v>81</v>
      </c>
      <c r="G9" s="3"/>
    </row>
    <row r="10" spans="1:13" ht="20.100000000000001" customHeight="1" x14ac:dyDescent="0.25">
      <c r="A10" s="17"/>
      <c r="D10" s="36" t="str" cm="1">
        <f t="array" ref="D10">Common_InputFunctions.Utility_DisplayArrayInTable(CommonLivestock_SourceData.SourceData_Livestock_Common_SymbolsMMS_Data(), Table_Data_MMSSymbols[[#Headers],[Symbol]], 0)</f>
        <v>1</v>
      </c>
      <c r="E10" s="36" t="str" cm="1">
        <f t="array" ref="E10">Common_InputFunctions.Utility_DisplayArrayInTable(CommonLivestock_SourceData.SourceData_Livestock_Common_SymbolsMMS_Data(), Table_Data_MMSSymbols[[#Headers],[Symbol]], 0)</f>
        <v>Anaerobic lagoon</v>
      </c>
      <c r="F10" s="36"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76</v>
      </c>
      <c r="D11" s="36" t="str" cm="1">
        <f t="array" ref="D11">Common_InputFunctions.Utility_DisplayArrayInTable(CommonLivestock_SourceData.SourceData_Livestock_Common_SymbolsMMS_Data(), Table_Data_MMSSymbols[[#Headers],[Symbol]], 0)</f>
        <v>2</v>
      </c>
      <c r="E11" s="36" t="str" cm="1">
        <f t="array" ref="E11">Common_InputFunctions.Utility_DisplayArrayInTable(CommonLivestock_SourceData.SourceData_Livestock_Common_SymbolsMMS_Data(), Table_Data_MMSSymbols[[#Headers],[Symbol]], 0)</f>
        <v>Liquid systems</v>
      </c>
      <c r="F11" s="36"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HYPERLINK("#'4.5.1.1-2 Methane'!A1", "4.5.1.1-2 Methane")</f>
        <v>4.5.1.1-2 Methane</v>
      </c>
      <c r="D12" s="37" t="str" cm="1">
        <f t="array" ref="D12">Common_InputFunctions.Utility_DisplayArrayInTable(CommonLivestock_SourceData.SourceData_Livestock_Common_SymbolsMMS_Data(), Table_Data_MMSSymbols[[#Headers],[Symbol]], 0)</f>
        <v>3</v>
      </c>
      <c r="E12" s="37" t="str" cm="1">
        <f t="array" ref="E12">Common_InputFunctions.Utility_DisplayArrayInTable(CommonLivestock_SourceData.SourceData_Livestock_Common_SymbolsMMS_Data(), Table_Data_MMSSymbols[[#Headers],[Symbol]], 0)</f>
        <v>Daily spread</v>
      </c>
      <c r="F12" s="37"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HYPERLINK("#'4.5.1.3-4 Direct N2O'!A1", "4.5.1.3-4 Direct N2O")</f>
        <v>4.5.1.3-4 Direct N2O</v>
      </c>
      <c r="D13" s="37" t="str" cm="1">
        <f t="array" ref="D13">Common_InputFunctions.Utility_DisplayArrayInTable(CommonLivestock_SourceData.SourceData_Livestock_Common_SymbolsMMS_Data(), Table_Data_MMSSymbols[[#Headers],[Symbol]], 0)</f>
        <v>3a</v>
      </c>
      <c r="E13" s="37" t="str" cm="1">
        <f t="array" ref="E13">Common_InputFunctions.Utility_DisplayArrayInTable(CommonLivestock_SourceData.SourceData_Livestock_Common_SymbolsMMS_Data(), Table_Data_MMSSymbols[[#Headers],[Symbol]], 0)</f>
        <v>Sump and dispersal system</v>
      </c>
      <c r="F13" s="37"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HYPERLINK("#'4.5.1.5-6 Atmos Dep'!A1", "4.5.1.5-6 Soil atm. deposition")</f>
        <v>4.5.1.5-6 Soil atm. deposition</v>
      </c>
      <c r="D14" s="37" t="str" cm="1">
        <f t="array" ref="D14">Common_InputFunctions.Utility_DisplayArrayInTable(CommonLivestock_SourceData.SourceData_Livestock_Common_SymbolsMMS_Data(), Table_Data_MMSSymbols[[#Headers],[Symbol]], 0)</f>
        <v>3b</v>
      </c>
      <c r="E14" s="37" t="str" cm="1">
        <f t="array" ref="E14">Common_InputFunctions.Utility_DisplayArrayInTable(CommonLivestock_SourceData.SourceData_Livestock_Common_SymbolsMMS_Data(), Table_Data_MMSSymbols[[#Headers],[Symbol]], 0)</f>
        <v>Drains to paddock</v>
      </c>
      <c r="F14" s="37"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HYPERLINK("#'4.5.1.7-8 Leaching and runoff'!A1", "4.5.1.7-8 Leaching &amp; runoff")</f>
        <v>4.5.1.7-8 Leaching &amp; runoff</v>
      </c>
      <c r="D15" s="37" t="str" cm="1">
        <f t="array" ref="D15">Common_InputFunctions.Utility_DisplayArrayInTable(CommonLivestock_SourceData.SourceData_Livestock_Common_SymbolsMMS_Data(), Table_Data_MMSSymbols[[#Headers],[Symbol]], 0)</f>
        <v>4</v>
      </c>
      <c r="E15" s="37" t="str" cm="1">
        <f t="array" ref="E15">Common_InputFunctions.Utility_DisplayArrayInTable(CommonLivestock_SourceData.SourceData_Livestock_Common_SymbolsMMS_Data(), Table_Data_MMSSymbols[[#Headers],[Symbol]], 0)</f>
        <v>Solid storage</v>
      </c>
      <c r="F15" s="37"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17" t="str">
        <f>HYPERLINK("#'4.5.1.9 Manure applied to soils'!A1", "4.5.1.9 Manure applied to soils")</f>
        <v>4.5.1.9 Manure applied to soils</v>
      </c>
      <c r="D16" s="37" t="str" cm="1">
        <f t="array" ref="D16">Common_InputFunctions.Utility_DisplayArrayInTable(CommonLivestock_SourceData.SourceData_Livestock_Common_SymbolsMMS_Data(), Table_Data_MMSSymbols[[#Headers],[Symbol]], 0)</f>
        <v>5</v>
      </c>
      <c r="E16" s="37" t="str" cm="1">
        <f t="array" ref="E16">Common_InputFunctions.Utility_DisplayArrayInTable(CommonLivestock_SourceData.SourceData_Livestock_Common_SymbolsMMS_Data(), Table_Data_MMSSymbols[[#Headers],[Symbol]], 0)</f>
        <v>Drylot (feed pad)</v>
      </c>
      <c r="F16" s="37"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D17" s="37" t="str" cm="1">
        <f t="array" ref="D17">Common_InputFunctions.Utility_DisplayArrayInTable(CommonLivestock_SourceData.SourceData_Livestock_Common_SymbolsMMS_Data(), Table_Data_MMSSymbols[[#Headers],[Symbol]], 0)</f>
        <v>6</v>
      </c>
      <c r="E17" s="37" t="str" cm="1">
        <f t="array" ref="E17">Common_InputFunctions.Utility_DisplayArrayInTable(CommonLivestock_SourceData.SourceData_Livestock_Common_SymbolsMMS_Data(), Table_Data_MMSSymbols[[#Headers],[Symbol]], 0)</f>
        <v>Composting (passive windrow)</v>
      </c>
      <c r="F17" s="37"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8" t="s">
        <v>4</v>
      </c>
      <c r="D18" s="37" t="str" cm="1">
        <f t="array" ref="D18">Common_InputFunctions.Utility_DisplayArrayInTable(CommonLivestock_SourceData.SourceData_Livestock_Common_SymbolsMMS_Data(), Table_Data_MMSSymbols[[#Headers],[Symbol]], 0)</f>
        <v>7</v>
      </c>
      <c r="E18" s="37" t="str" cm="1">
        <f t="array" ref="E18">Common_InputFunctions.Utility_DisplayArrayInTable(CommonLivestock_SourceData.SourceData_Livestock_Common_SymbolsMMS_Data(), Table_Data_MMSSymbols[[#Headers],[Symbol]], 0)</f>
        <v>Digester / covered lagoons</v>
      </c>
      <c r="F18" s="37"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Swine'!A1", "Constants - Swine")</f>
        <v>Constants - Swine</v>
      </c>
      <c r="D19" s="37" t="str" cm="1">
        <f t="array" ref="D19">Common_InputFunctions.Utility_DisplayArrayInTable(CommonLivestock_SourceData.SourceData_Livestock_Common_SymbolsMMS_Data(), Table_Data_MMSSymbols[[#Headers],[Symbol]], 0)</f>
        <v>8</v>
      </c>
      <c r="E19" s="37" t="str" cm="1">
        <f t="array" ref="E19">Common_InputFunctions.Utility_DisplayArrayInTable(CommonLivestock_SourceData.SourceData_Livestock_Common_SymbolsMMS_Data(), Table_Data_MMSSymbols[[#Headers],[Symbol]], 0)</f>
        <v>Deep litter</v>
      </c>
      <c r="F19" s="37"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Livestock'!A1", "Constants - Livestock")</f>
        <v>Constants - Livestock</v>
      </c>
      <c r="D20" s="37" t="str" cm="1">
        <f t="array" ref="D20">Common_InputFunctions.Utility_DisplayArrayInTable(CommonLivestock_SourceData.SourceData_Livestock_Common_SymbolsMMS_Data(), Table_Data_MMSSymbols[[#Headers],[Symbol]], 0)</f>
        <v>9</v>
      </c>
      <c r="E20" s="37" t="str" cm="1">
        <f t="array" ref="E20">Common_InputFunctions.Utility_DisplayArrayInTable(CommonLivestock_SourceData.SourceData_Livestock_Common_SymbolsMMS_Data(), Table_Data_MMSSymbols[[#Headers],[Symbol]], 0)</f>
        <v>Pit storage</v>
      </c>
      <c r="F20" s="37"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HYPERLINK("#'Constants - Common'!A1", "Constants - Common")</f>
        <v>Constants - Common</v>
      </c>
      <c r="D21" s="37" t="str" cm="1">
        <f t="array" ref="D21">Common_InputFunctions.Utility_DisplayArrayInTable(CommonLivestock_SourceData.SourceData_Livestock_Common_SymbolsMMS_Data(), Table_Data_MMSSymbols[[#Headers],[Symbol]], 0)</f>
        <v>10</v>
      </c>
      <c r="E21" s="37" t="str" cm="1">
        <f t="array" ref="E21">Common_InputFunctions.Utility_DisplayArrayInTable(CommonLivestock_SourceData.SourceData_Livestock_Common_SymbolsMMS_Data(), Table_Data_MMSSymbols[[#Headers],[Symbol]], 0)</f>
        <v>Poultry manure with bedding</v>
      </c>
      <c r="F21" s="37"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HYPERLINK("#'Acknowledgements'!A1", "Acknowledgements")</f>
        <v>Acknowledgements</v>
      </c>
      <c r="D22" s="37" t="str" cm="1">
        <f t="array" ref="D22">Common_InputFunctions.Utility_DisplayArrayInTable(CommonLivestock_SourceData.SourceData_Livestock_Common_SymbolsMMS_Data(), Table_Data_MMSSymbols[[#Headers],[Symbol]], 0)</f>
        <v>11</v>
      </c>
      <c r="E22" s="37" t="str" cm="1">
        <f t="array" ref="E22">Common_InputFunctions.Utility_DisplayArrayInTable(CommonLivestock_SourceData.SourceData_Livestock_Common_SymbolsMMS_Data(), Table_Data_MMSSymbols[[#Headers],[Symbol]], 0)</f>
        <v>Poultry manure without bedding</v>
      </c>
      <c r="F22" s="37"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7" t="str" cm="1">
        <f t="array" ref="D23">Common_InputFunctions.Utility_DisplayArrayInTable(CommonLivestock_SourceData.SourceData_Livestock_Common_SymbolsMMS_Data(), Table_Data_MMSSymbols[[#Headers],[Symbol]], 0)</f>
        <v>11a</v>
      </c>
      <c r="E23" s="37" t="str" cm="1">
        <f t="array" ref="E23">Common_InputFunctions.Utility_DisplayArrayInTable(CommonLivestock_SourceData.SourceData_Livestock_Common_SymbolsMMS_Data(), Table_Data_MMSSymbols[[#Headers],[Symbol]], 0)</f>
        <v>Belt manure removal</v>
      </c>
      <c r="F23" s="37"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7" t="str" cm="1">
        <f t="array" ref="D24">Common_InputFunctions.Utility_DisplayArrayInTable(CommonLivestock_SourceData.SourceData_Livestock_Common_SymbolsMMS_Data(), Table_Data_MMSSymbols[[#Headers],[Symbol]], 0)</f>
        <v>11b</v>
      </c>
      <c r="E24" s="37" t="str" cm="1">
        <f t="array" ref="E24">Common_InputFunctions.Utility_DisplayArrayInTable(CommonLivestock_SourceData.SourceData_Livestock_Common_SymbolsMMS_Data(), Table_Data_MMSSymbols[[#Headers],[Symbol]], 0)</f>
        <v>Manure stored in house</v>
      </c>
      <c r="F24" s="37"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7" t="str" cm="1">
        <f t="array" ref="D25">Common_InputFunctions.Utility_DisplayArrayInTable(CommonLivestock_SourceData.SourceData_Livestock_Common_SymbolsMMS_Data(), Table_Data_MMSSymbols[[#Headers],[Symbol]], 0)</f>
        <v>12</v>
      </c>
      <c r="E25" s="37" t="str" cm="1">
        <f t="array" ref="E25">Common_InputFunctions.Utility_DisplayArrayInTable(CommonLivestock_SourceData.SourceData_Livestock_Common_SymbolsMMS_Data(), Table_Data_MMSSymbols[[#Headers],[Symbol]], 0)</f>
        <v>Direct processing</v>
      </c>
      <c r="F25" s="37"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7" t="str" cm="1">
        <f t="array" ref="D26">Common_InputFunctions.Utility_DisplayArrayInTable(CommonLivestock_SourceData.SourceData_Livestock_Common_SymbolsMMS_Data(), Table_Data_MMSSymbols[[#Headers],[Symbol]], 0)</f>
        <v>13</v>
      </c>
      <c r="E26" s="37" t="str" cm="1">
        <f t="array" ref="E26">Common_InputFunctions.Utility_DisplayArrayInTable(CommonLivestock_SourceData.SourceData_Livestock_Common_SymbolsMMS_Data(), Table_Data_MMSSymbols[[#Headers],[Symbol]], 0)</f>
        <v>Direct application</v>
      </c>
      <c r="F26" s="37"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7" t="str" cm="1">
        <f t="array" ref="D27">Common_InputFunctions.Utility_DisplayArrayInTable(CommonLivestock_SourceData.SourceData_Livestock_Common_SymbolsMMS_Data(), Table_Data_MMSSymbols[[#Headers],[Symbol]], 0)</f>
        <v>14</v>
      </c>
      <c r="E27" s="37" t="str" cm="1">
        <f t="array" ref="E27">Common_InputFunctions.Utility_DisplayArrayInTable(CommonLivestock_SourceData.SourceData_Livestock_Common_SymbolsMMS_Data(), Table_Data_MMSSymbols[[#Headers],[Symbol]], 0)</f>
        <v>Pasture range and paddock</v>
      </c>
      <c r="F27" s="37"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137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workbookViewId="0">
      <selection activeCell="F35" sqref="F35"/>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17" t="s">
        <v>0</v>
      </c>
      <c r="C3" s="4"/>
      <c r="D3" s="4"/>
      <c r="E3" s="4"/>
      <c r="F3" s="4"/>
      <c r="G3" s="4"/>
      <c r="H3" s="4"/>
      <c r="I3" s="4"/>
      <c r="J3" s="4"/>
      <c r="K3" s="4"/>
      <c r="L3" s="4"/>
      <c r="N3" s="4"/>
      <c r="O3" s="4"/>
      <c r="P3" s="4"/>
      <c r="Q3" s="4"/>
      <c r="R3" s="4"/>
      <c r="S3" s="4"/>
      <c r="T3" s="4"/>
      <c r="U3" s="4"/>
    </row>
    <row r="4" spans="1:21" ht="20.100000000000001" customHeight="1" x14ac:dyDescent="0.25">
      <c r="A4" s="17" t="str">
        <f>HYPERLINK("#'Results'!A1", "Results")</f>
        <v>Results</v>
      </c>
    </row>
    <row r="5" spans="1:21" ht="20.100000000000001" customHeight="1" x14ac:dyDescent="0.25">
      <c r="A5" s="16"/>
    </row>
    <row r="6" spans="1:21" ht="20.100000000000001" customHeight="1" x14ac:dyDescent="0.25">
      <c r="A6" s="20" t="s">
        <v>3</v>
      </c>
    </row>
    <row r="7" spans="1:21" ht="20.100000000000001" customHeight="1" x14ac:dyDescent="0.25">
      <c r="A7" s="17" t="str">
        <f>HYPERLINK("#'Input - Site'!A1", "Site")</f>
        <v>Site</v>
      </c>
    </row>
    <row r="8" spans="1:21" ht="20.100000000000001" customHeight="1" x14ac:dyDescent="0.25">
      <c r="A8" s="17" t="str">
        <f>HYPERLINK("#'Input - Production'!A1", "Production and outputs")</f>
        <v>Production and outputs</v>
      </c>
    </row>
    <row r="9" spans="1:21" ht="20.100000000000001" customHeight="1" x14ac:dyDescent="0.25">
      <c r="A9" s="17" t="str">
        <f>HYPERLINK("#'Input - Herd - Dairy'!A1", "Herd - Dairy")</f>
        <v>Herd - Dairy</v>
      </c>
    </row>
    <row r="10" spans="1:21" ht="20.100000000000001" customHeight="1" x14ac:dyDescent="0.25">
      <c r="A10" s="17" t="str">
        <f>HYPERLINK("#'Input - Feed - Dairy'!A1", "Purchased feed - Livestock")</f>
        <v>Purchased feed - Livestock</v>
      </c>
    </row>
    <row r="11" spans="1:21" ht="20.100000000000001" customHeight="1" x14ac:dyDescent="0.25">
      <c r="A11" s="17" t="str">
        <f>HYPERLINK("#'Input - Herd - Feedlot'!A1", "Herd - Feedlot")</f>
        <v>Herd - Feedlot</v>
      </c>
    </row>
    <row r="12" spans="1:21" ht="20.100000000000001" customHeight="1" x14ac:dyDescent="0.25">
      <c r="A12" s="17" t="str">
        <f>HYPERLINK("#'Input - Pasture'!A1", "Pasture")</f>
        <v>Pasture</v>
      </c>
    </row>
    <row r="13" spans="1:21" ht="20.100000000000001" customHeight="1" x14ac:dyDescent="0.25">
      <c r="A13" s="17" t="str">
        <f>HYPERLINK("#'Input - Grains'!A1", "Crop - Grains")</f>
        <v>Crop - Grains</v>
      </c>
    </row>
    <row r="14" spans="1:21" ht="20.100000000000001" customHeight="1" x14ac:dyDescent="0.25">
      <c r="A14" s="17" t="str">
        <f>HYPERLINK("#'Input - Fert Lime Chem'!A1", "Fertiliser, Lime &amp; Chemicals")</f>
        <v>Fertiliser, Lime &amp; Chemicals</v>
      </c>
    </row>
    <row r="15" spans="1:21" ht="20.100000000000001" customHeight="1" x14ac:dyDescent="0.25">
      <c r="A15" s="17" t="str">
        <f>HYPERLINK("#'Input - Fuel &amp; Energy'!A1", "Electricity and fuel")</f>
        <v>Electricity and fuel</v>
      </c>
    </row>
    <row r="16" spans="1:21" ht="20.100000000000001" customHeight="1" x14ac:dyDescent="0.25">
      <c r="A16" s="67" t="s">
        <v>78</v>
      </c>
    </row>
    <row r="17" spans="1:1" ht="20.100000000000001" customHeight="1" x14ac:dyDescent="0.25">
      <c r="A17" s="67" t="s">
        <v>74</v>
      </c>
    </row>
    <row r="18" spans="1:1" ht="20.100000000000001" customHeight="1" x14ac:dyDescent="0.25">
      <c r="A18" s="17" t="str">
        <f>HYPERLINK("#'Input - Other Farm Inputs'!A1", "Other farm inputs")</f>
        <v>Other farm inputs</v>
      </c>
    </row>
    <row r="19" spans="1:1" ht="20.100000000000001" customHeight="1" x14ac:dyDescent="0.25">
      <c r="A19" s="17" t="str">
        <f>HYPERLINK("#'Input - Data quality'!A1", "Data quality")</f>
        <v>Data quality</v>
      </c>
    </row>
    <row r="20" spans="1:1" ht="20.100000000000001" customHeight="1" x14ac:dyDescent="0.25"/>
    <row r="21" spans="1:1" ht="20.100000000000001" customHeight="1" x14ac:dyDescent="0.25">
      <c r="A21" s="19" t="s">
        <v>76</v>
      </c>
    </row>
    <row r="22" spans="1:1" ht="20.100000000000001" customHeight="1" x14ac:dyDescent="0.25">
      <c r="A22" s="67" t="s">
        <v>1</v>
      </c>
    </row>
    <row r="23" spans="1:1" ht="20.100000000000001" customHeight="1" x14ac:dyDescent="0.25">
      <c r="A23" s="67" t="s">
        <v>75</v>
      </c>
    </row>
    <row r="24" spans="1:1" ht="20.100000000000001" customHeight="1" x14ac:dyDescent="0.25">
      <c r="A24" s="17" t="str">
        <f>HYPERLINK("#'Calcs - Fert Lime'!A1", "Fertiliser &amp; soil amendments")</f>
        <v>Fertiliser &amp; soil amendments</v>
      </c>
    </row>
    <row r="25" spans="1:1" ht="20.100000000000001" customHeight="1" x14ac:dyDescent="0.25">
      <c r="A25" s="17" t="str">
        <f>HYPERLINK("#'Calcs - Residue mgmt - Crop'!A1", "Residue management - Crop")</f>
        <v>Residue management - Crop</v>
      </c>
    </row>
    <row r="26" spans="1:1" ht="20.100000000000001" customHeight="1" x14ac:dyDescent="0.25">
      <c r="A26" s="17" t="str">
        <f>HYPERLINK("#'Calcs - Residue mgmt - Pasture'!A1", "Residue management - Pasture")</f>
        <v>Residue management - Pasture</v>
      </c>
    </row>
    <row r="27" spans="1:1" ht="20.100000000000001" customHeight="1" x14ac:dyDescent="0.25">
      <c r="A27" s="17" t="str">
        <f>HYPERLINK("#'Calcs - Field burning'!A1", "Field burning - Crop")</f>
        <v>Field burning - Crop</v>
      </c>
    </row>
    <row r="28" spans="1:1" ht="20.100000000000001" customHeight="1" x14ac:dyDescent="0.25">
      <c r="A28" s="17" t="str">
        <f>HYPERLINK("#'Calcs - Fuel'!A1", "Fuel")</f>
        <v>Fuel</v>
      </c>
    </row>
    <row r="29" spans="1:1" ht="20.100000000000001" customHeight="1" x14ac:dyDescent="0.25">
      <c r="A29" s="17" t="str">
        <f>HYPERLINK("#'Calcs - Electricity'!A1", "Electricity")</f>
        <v>Electricity</v>
      </c>
    </row>
    <row r="30" spans="1:1" ht="20.100000000000001" customHeight="1" x14ac:dyDescent="0.25">
      <c r="A30" s="17" t="str">
        <f>HYPERLINK("#'Calcs - Refrigerants'!A1", "Refrigerants")</f>
        <v>Refrigerants</v>
      </c>
    </row>
    <row r="31" spans="1:1" ht="20.100000000000001" customHeight="1" x14ac:dyDescent="0.25">
      <c r="A31" s="67" t="s">
        <v>78</v>
      </c>
    </row>
    <row r="32" spans="1:1" ht="20.100000000000001" customHeight="1" x14ac:dyDescent="0.25">
      <c r="A32" s="67" t="s">
        <v>74</v>
      </c>
    </row>
    <row r="33" spans="1:1" ht="20.100000000000001" customHeight="1" x14ac:dyDescent="0.25">
      <c r="A33" s="17" t="str">
        <f>HYPERLINK("#'Calcs - Scope 3'!A1", "Purchased goods scope 3")</f>
        <v>Purchased goods scope 3</v>
      </c>
    </row>
    <row r="34" spans="1:1" ht="20.100000000000001" customHeight="1" x14ac:dyDescent="0.25"/>
    <row r="35" spans="1:1" ht="20.100000000000001" customHeight="1" x14ac:dyDescent="0.25">
      <c r="A35" s="18" t="s">
        <v>4</v>
      </c>
    </row>
    <row r="36" spans="1:1" ht="20.100000000000001" customHeight="1" x14ac:dyDescent="0.25">
      <c r="A36" s="17" t="str">
        <f>HYPERLINK("#'Constants - Common'!A1", "Constants - Common")</f>
        <v>Constants - Common</v>
      </c>
    </row>
    <row r="37" spans="1:1" ht="20.100000000000001" customHeight="1" x14ac:dyDescent="0.25">
      <c r="A37" s="17" t="str">
        <f>HYPERLINK("#'Constants - Cropping'!A1", "Constants - Cropping")</f>
        <v>Constants - Cropping</v>
      </c>
    </row>
    <row r="38" spans="1:1" ht="20.100000000000001" customHeight="1" x14ac:dyDescent="0.25">
      <c r="A38" s="17" t="str">
        <f>HYPERLINK("#'Constants - Livestock'!A1", "Constants - Livestock")</f>
        <v>Constants - Livestock</v>
      </c>
    </row>
    <row r="39" spans="1:1" ht="20.100000000000001" customHeight="1" x14ac:dyDescent="0.25">
      <c r="A39" s="17" t="str">
        <f>HYPERLINK("#'Constants - Dairy'!A1", "Constants - Dairy")</f>
        <v>Constants - Dairy</v>
      </c>
    </row>
    <row r="40" spans="1:1" ht="20.100000000000001" customHeight="1" x14ac:dyDescent="0.25">
      <c r="A40" s="67" t="s">
        <v>2</v>
      </c>
    </row>
    <row r="41" spans="1:1" ht="20.100000000000001" customHeight="1" x14ac:dyDescent="0.25">
      <c r="A41" s="44"/>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D4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AsAHsAIgBwAGEAdABoACIAOgAiAC8AcAByAG8AagBlAGMAdABzAC8AUwBvAHUAcgBjAGUARABhAHQAYQBfAFMAdwBpAG4AZ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TAHcAaQBuAGUAXABuAEUAeABjAGUAbAAgAG0AbwBkAHUAbABlACAAbgBhAG0AZQA6ACAAUwBvAHUAcgBjAGUARABhAHQAYQBfAFMAdwBpAG4AZ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MAbwB1AHIAYwBlAEQAYQB0AGEAXwBTAHcAaQBuAGUAXwBWAG8AbABhAHQAaQBsAGUAUwBvAGwAaQBkAHMAXABuAFYAUwBqAFwAbgBrAGcALwBoAGUAYQBkAC8AZABhAHkAXABuAC0ALQAtAC0ALQAtAC0ALQAtAC0ALQAtAC0ALQAtAC0ALQAtAC0ALQAtAC0ALQAtAC0ALQAtAC0ALQAtAC0ALQAtAC0ALQAtAC0ALQBcAG4AKgAvAFwAbgBcAG4AUwBvAHUAcgBjAGUARABhAHQAYQBfAFMAdwBpAG4AZQBfAFYAbwBsAGEAdABpAGwAZQBTAG8AbABpAGQAcwBfAFQAaQB0AGwAZQBcAG4AIAAgAD0ATABBAE0AQgBEAEEAKABcACIAUwB3AGkAbgBlACAALQAgAFYAbwBsAGEAdABpAGwAZQAgAHMAbwBsAGkAZABzACAAKABWAFMAagApACAALQAgADIAMAAyADAAIAB0AG8AIAAyADAAMgA0AFwAIgApADsAXABuAFwAbgBTAG8AdQByAGMAZQBEAGEAdABhAF8AUwB3AGkAbgBlAF8AVgBvAGwAYQB0AGkAbABlAFMAbwBsAGkAZABzAF8AVQBuAGkAdABcAG4AIAAgAD0ATABBAE0AQgBEAEEAKABcACIAawBnAC8AaABlAGEAZAAvAGQAYQB5AFwAIgApADsAXABuAFwAbgBTAG8AdQByAGMAZQBEAGEAdABhAF8AUwB3AGkAbgBlAF8AVgBvAGwAYQB0AGkAbABlAFMAbwBsAGkAZABz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WAG8AbABhAHQAaQBsAGUAUwBvAGwAaQBkAHMAXwBWAGEAcgBpAGEAdABpAG8AbgBcAG4AIAAgAD0ATABBAE0AQgBEAEEAKABcACIAVgBBAFIASQBBAFQASQBPAE4AIABPAE4AIABTAE8AVQBSAEMARQAgAEQAQQBUAEEAOgAgAE8AbgBsAHkAIAB1AHMAZQBzACAAZABhAHQAYQAgAGYAbwByACAAMgAwADIAMAAtADIAMAAyADQALgAgAFUAcwBlACAAJwBTAGwAYQB1AGcAaAB0AGUAcgAgAHAAaQBnAHMAJwAgAGQAYQB0AGEAIABmAG8AcgAgACcATwB0AGgAZQByACAAagA9ADQAJwAgAGMAbABhAHMAcwAuAFwAIgApADsAXABuAFwAbgBTAG8AdQByAGMAZQBEAGEAdABhAF8AUwB3AGkAbgBlAF8AVgBvAGwAYQB0AGkAbABlAFMAbwBsAGkAZABzAF8ARABhAHQAYQBcAG4AIAAgAD0ATABBAE0AQgBEAEEAKABcAG4AIAAgACAAIABNAEEASwBFAEEAUgBSAEEAWQAoADUALAAgADIALAAgAFwAbgAgACAAIAAgACAAIABMAEEATQBCAEQAQQAoAHIALABjACwAIABcAG4AIAAgACAAIAAgACAAIAAgAEkATgBEAEUAWAAoAHsAXABuACAAIAAgACAAIAAgACAAIAAgACAAXAAiAEMAbABhAHMAcwBcACIALAAgAFwAIgBWAFMAagBcACIAOwBcAG4AIAAgACAAIAAgACAAIAAgACAAIABcACIAQgBvAGEAcgBzAFwAIgAsACAAMAAuADQAMAA7AFwAbgAgACAAIAAgACAAIAAgACAAIAAgAFwAIgBTAG8AdwBzAFwAIgAsACAAMAAuADQANgA7AFwAbgAgACAAIAAgACAAIAAgACAAIAAgAFwAIgBHAGkAbAB0AHMAXAAiACwAIAAwAC4ANQA1ADsAXABuACAAIAAgACAAIAAgACAAIAAgACAAXAAiAE8AdABoAGUAcgBzAFwAIgAsACAAMAAuADMAOQ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GAGUAZQBkAEkAbgB0AGEAawBlAFwAbgBJAGoAXABuAGsAZwAvAGgAZQBhAGQALwBkAGEAeQBcAG4ALQAtAC0ALQAtAC0ALQAtAC0ALQAtAC0ALQAtAC0ALQAtAC0ALQAtAC0ALQAtAC0ALQAtAC0ALQAtAC0ALQAtAC0ALQAtAC0ALQAtAFwAbgAqAC8AXABuAFwAbgBTAG8AdQByAGMAZQBEAGEAdABhAF8AUwB3AGkAbgBlAF8ARgBlAGUAZABJAG4AdABhAGsAZQBfAFQAaQB0AGwAZQBcAG4AIAAgAD0ATABBAE0AQgBEAEEAKABcACIAUwB3AGkAbgBlACAALQAgAEYAZQBlAGQAIABpAG4AdABhAGsAZQAgAC0AIABpAG4AZwBlAHMAdABlAGQAIABhAHMAIABmAGUAZAAgACAAKABJAGoAKQAgAC0AIAAyADAAMgAwACAAdABvACAAMgAwADIANABcACIAKQA7AFwAbgBcAG4AUwBvAHUAcgBjAGUARABhAHQAYQBfAFMAdwBpAG4AZQBfAEYAZQBlAGQASQBuAHQAYQBrAGUAXwBVAG4AaQB0AFwAbgAgACAAPQBMAEEATQBCAEQAQQAoAFwAIgBrAGcALwBoAGUAYQBkAC8AZABhAHkAXAAiACkAOwBcAG4AXABuAFMAbwB1AHIAYwBlAEQAYQB0AGEAXwBTAHcAaQBuAGUAXwBGAGUAZQBkAEkAbgB0AGEAaw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GAGUAZQBkAEkAbgB0AGEAawBlAF8AVgBhAHIAaQBhAHQAaQBvAG4AXABuACAAIAA9AEwAQQBNAEIARABBACgAXAAiAFYAQQBSAEkAQQBUAEkATwBOACAATwBOACAAUwBPAFUAUgBDAEUAIABEAEEAVABBADoAIABPAG4AbAB5ACAAdQBzAGUAcwAgAGQAYQB0AGEAIABmAG8AcgAgADIAMAAyADAALQAyADAAMgA0AC4AIABVAHMAZQAgACcAUwBsAGEAdQBnAGgAdABlAHIAIABwAGkAZwBzACcAIABkAGEAdABhACAAZgBvAHIAIAAnAE8AdABoAGUAcgAgAGoAPQA0ACcAIABjAGwAYQBzAHMALgBcACIAKQA7AFwAbgBcAG4AUwBvAHUAcgBjAGUARABhAHQAYQBfAFMAdwBpAG4AZQBfAEYAZQBlAGQASQBuAHQAYQBrAGUAXwBEAGEAdABhAFwAbgAgACAAPQBMAEEATQBCAEQAQQAoAFwAbgAgACAAIAAgAE0AQQBLAEUAQQBSAFIAQQBZACgANQAsACAAMgAsACAAXABuACAAIAAgACAAIAAgAEwAQQBNAEIARABBACgAcgAsAGMALAAgAFwAbgAgACAAIAAgACAAIAAgACAASQBOAEQARQBYACgAewBcAG4AIAAgACAAIAAgACAAIAAgACAAIABcACIAQwBsAGEAcwBzAFwAIgAsACAAXAAiAEkAagBcACIAOwBcAG4AIAAgACAAIAAgACAAIAAgACAAIABcACIAQgBvAGEAcgBzAFwAIgAsACAAMgAuADYAMgA7AFwAbgAgACAAIAAgACAAIAAgACAAIAAgAFwAIgBTAG8AdwBzAFwAIgAsADIALgAzADAAOwBcAG4AIAAgACAAIAAgACAAIAAgACAAIABcACIARwBpAGwAdABzAFwAIgAsACAAMgAuADUAMAA7AFwAbgAgACAAIAAgACAAIAAgACAAIAAgAFwAIgBPAHQAaABlAHIAcwBcACIALAAgADEALgA3ADEAXABuACAAIAAgACAAIAAgACAAIAB9ACwAIAByACwAIABjACkAXABuACAAIAAgACAAIAAgACkAXABuACAAIAAgACAAKQBcAG4AIAAgACkAOwBcAG4AXABuAC8AKgAgAFwAbgAtAC0ALQAtAC0ALQAtAC0ALQAtAC0ALQAtAC0ALQAtAC0ALQAtAC0ALQAtAC0ALQAtAC0ALQAtAC0ALQAtAC0ALQAtAC0ALQAtAC0AXABuAFMAbwB1AHIAYwBlAEQAYQB0AGEAXwBTAHcAaQBuAGUAXwBOAGkAdAByAG8AZwBlAG4ASQBuAFcAYQBzAHQAZQBcAG4ATgBXAGoAXABuAGsAZwAvAGgAZQBhAGQALwBkAGEAeQBcAG4ALQAtAC0ALQAtAC0ALQAtAC0ALQAtAC0ALQAtAC0ALQAtAC0ALQAtAC0ALQAtAC0ALQAtAC0ALQAtAC0ALQAtAC0ALQAtAC0ALQAtAFwAbgAqAC8AXABuAFwAbgBTAG8AdQByAGMAZQBEAGEAdABhAF8AUwB3AGkAbgBlAF8ATgBpAHQAcgBvAGcAZQBuAEkAbgBXAGEAcwB0AGUAXwBUAGkAdABsAGUAXABuACAAIAA9AEwAQQBNAEIARABBACgAXAAiAFMAdwBpAG4AZQAgAC0AIABOAGkAdAByAG8AZwBlAG4AIABpAG4AIAB3AGEAcwB0AGUAIAAoAE4AVwBqACkAIAAtACAAMgAwADIAMAAgAHQAbwAgADIAMAAyADQAXAAiACkAOwBcAG4AXABuAFMAbwB1AHIAYwBlAEQAYQB0AGEAXwBTAHcAaQBuAGUAXwBOAGkAdAByAG8AZwBlAG4ASQBuAFcAYQBzAHQAZQBfAFUAbgBpAHQAXABuACAAIAA9AEwAQQBNAEIARABBACgAXAAiAGsAZwAvAGgAZQBhAGQALwBkAGEAeQBcACIAKQA7AFwAbgBcAG4AUwBvAHUAcgBjAGUARABhAHQAYQBfAFMAdwBpAG4AZQBfAE4AaQB0AHIAbwBnAGUAbgBJAG4AVwBhAHMAdABlAF8AUwBvAHUAcgBjAGUAXABuACAAIAA9AEwAQQBNAEIARABBACgAXAAiAFYARQBFAFIARwAgADIAMAAyADYAOgAgAFQAYQBiAGwAZQAgAEEALgAxAC4ANgAuADEAOgAgAFMAdwBpAG4AZQAgAC0AIABJAG4AdABhAGsAZQAgAGEAbgBkACAAbQBhAG4AdQByAGUAIABjAGgAYQByAGEAYwB0AGUAcgBpAHMAdABpAGMAcwAgAGQAZQByAGkAdgBlAGQAIABmAHIAbwBtACAAUABpAGcAQgBhAGwAXAAiACkAOwBcAG4AXABuAFMAbwB1AHIAYwBlAEQAYQB0AGEAXwBTAHcAaQBuAGUAXwBOAGkAdAByAG8AZwBlAG4ASQBuAFcAYQBzAHQAZQBfAFYAYQByAGkAYQB0AGkAbwBuAFwAbgAgACAAPQBMAEEATQBCAEQAQQAoAFwAIgBWAEEAUgBJAEEAVABJAE8ATgAgAE8ATgAgAFMATwBVAFIAQwBFACAARABBAFQAQQA6ACAATwBuAGwAeQAgAHUAcwBlAHMAIABkAGEAdABhACAAZgBvAHIAIAAyADAAMgAwAC0AMgAwADIANAAuACAAVQBzAGUAIAAnAFMAbABhAHUAZwBoAHQAZQByACAAcABpAGcAcwAnACAAZABhAHQAYQAgAGYAbwByACAAJwBPAHQAaABlAHIAIABqAD0ANAAnACAAYwBsAGEAcwBzAC4AIABBAGQAZABlAGQAIAAnAE4AVwBqACAAZABhAGkAbAB5ACcAIABjAG8AbAB1AG0AbgAgAHQAbwAgAHAAcgBvAHYAaQBkAGUAIABkAGEAaQBsAHkAIAB2AGEAbAB1AGUAIABmAG8AcgAgAE8AdABoAGUAcgBzACAAYwBsAGEAcwBzAC4AIABBAGQAZABlAGQAIAAnAEMAbABhAHMAcwAgAG4AYQBtAGUAJwAgAGMAbwBsAHUAbQBuACAAdABvACAAYQBpAGQAIABsAG8AbwBrAHUAcAAuAFwAIgApADsAXABuAFwAbgBTAG8AdQByAGMAZQBEAGEAdABhAF8AUwB3AGkAbgBlAF8ATgBpAHQAcgBvAGcAZQBuAEkAbgBXAGEAcwB0AGUAXwBEAGEAdABhAFwAbgAgACAAPQBMAEEATQBCAEQAQQAoAFwAbgAgACAAIAAgAE0AQQBLAEUAQQBSAFIAQQBZACgANQAsACAANAAsACAAXABuACAAIAAgACAAIAAgAEwAQQBNAEIARABBACgAcgAsAGMALAAgAFwAbgAgACAAIAAgACAAIAAgACAASQBOAEQARQBYACgAewBcAG4AIAAgACAAIAAgACAAIAAgACAAIABcACIAQwBsAGEAcwBzAFwAIgAsACAAXAAiAE4AVwBqAFwAIgAsACAAXAAiAE4AVwBqACAAZABhAGkAbAB5AFwAIgAsACAAXAAiAEMAbABhAHMAcwAgAG4AYQBtAGUAXAAiADsAXABuACAAIAAgACAAIAAgACAAIAAgACAAXAAiAEIAbwBhAHIAcwBcACIALAAgADAALgAwADQANgAsACAAMAAuADAANAA2ACwAIABcACIAQgBvAGEAcgBzAFwAIgA7AFwAbgAgACAAIAAgACAAIAAgACAAIAAgAFwAIgBTAG8AdwBzAFwAIgAsADAALgAwADQAOQAsACAAMAAuADAANAA5ACwAIABcACIAUwBvAHcAcwBcACIAOwBcAG4AIAAgACAAIAAgACAAIAAgACAAIABcACIARwBpAGwAdABzAFwAIgAsACAAMAAuADAANAA2ACwAIAAwAC4AMAA0ADYALAAgAFwAIgBHAGkAbAB0AHMAXAAiADsAXABuACAAIAAgACAAIAAgACAAIAAgACAAXAAiAE8AdABoAGUAcgBzACAAKABrAGcALwBoAGUAYQBkAC8AeQBlAGEAcgApAFwAIgAsACAAMQAxAC4ANAAsACAAMAAuADAAMwAxADIALAAgAFwAIgBPAHQAaABlAHI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0AGkAbwBuAE4AVgBvAGwAYQB0AGkAbABpAHMAZQBkAFwAbgBGAHIAYQBjAEcAQQBTAE0AbQBUAFwAbgAoAGsAZwAgAE4ASAAzAC0ATgAgACsAIABOAE8AeAAtAE4AKQAvAGsAZwBOAFwAbgAtAC0ALQAtAC0ALQAtAC0ALQAtAC0ALQAtAC0ALQAtAC0ALQAtAC0ALQAtAC0ALQAtAC0ALQAtAC0ALQAtAC0ALQAtAC0ALQAtAC0AXABuACoALwBcAG4AXABuAFMAbwB1AHIAYwBlAEQAYQB0AGEAXwBTAHcAaQBuAGUAXwBGAHIAYQBjAHQAaQBvAG4ATgBWAG8AbABhAHQAaQBsAGkAcwBlAGQAXwBUAGkAdABsAGUAXABuACAAIAA9AEwAQQBNAEIARABBACgAXAAiAFMAdwBpAG4AZQAgAC0AIABGAHIAYQBjAHQAaQBvAG4AIABvAGYAIABuAGkAdAByAG8AZwBlAG4AIAB2AG8AbABhAHQAaQBsAGkAcwBlAGQAIAAoAEYAcgBhAGMARwBBAFMATQBtAFQAKQBcACIAKQA7AFwAbgBcAG4AUwBvAHUAcgBjAGUARABhAHQAYQBfAFMAdwBpAG4AZQBfAEYAcgBhAGMAdABpAG8AbgBOAFYAbwBsAGEAdABpAGwAaQBzAGUAZABfAFUAbgBpAHQAXABuACAAIAA9AEwAQQBNAEIARABBACgAXAAiACgAawBnACAATgBIADMALQBOACAAKwAgAE4ATwB4AC0ATgApAC8AawBnAE4AXAAiACkAOwBcAG4AXABuAFMAbwB1AHIAYwBlAEQAYQB0AGEAXwBTAHcAaQBuAGUAXwBGAHIAYQBjAHQAaQBvAG4ATgBWAG8AbABhAHQAaQBsAGkAcwBlAGQAXwBTAG8AdQByAGMAZQBcAG4AIAAgAD0ATABBAE0AQgBEAEEAKABcACIAVgBFAEUAUgBHACAAMgAwADIANgA6ACAAVABhAGIAbABlACAAQQAuADEALgA2AC4AMgA6ACAAUwB3AGkAbgBlACAALQAgAEYAcgBhAGMAdABpAG8AbgAgAG8AZgAgAE4AIAB2AG8AbABhAHQAaQBsAGkAcwBlAGQAIABiAHkAIABNAE0AUwAgACgAKABrAGcAIABOAEgAMwAtAE4AIAArACAATgBPAHgALQBOACkALwBrAGcATgApACAAKABGAHIAYQBjAEcAQQBTAE0AbQBUACkAXAAiACkAOwBcAG4AXABuAFMAbwB1AHIAYwBlAEQAYQB0AGEAXwBTAHcAaQBuAGUAXwBGAHIAYQBjAHQAaQBvAG4ATgBWAG8AbABhAHQAaQBsAGkAcwBlAGQ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RgByAGEAYwB0AGkAbwBuAE4AVgBvAGwAYQB0AGkAbABpAHMAZQBkAF8ARABhAHQAYQBcAG4AIAAgAD0ATABBAE0AQgBEAEEAKABcAG4AIAAgACAAIABNAEEASwBFAEEAUgBSAEEAWQAoADcALAAgADMALAAgAFwAbgAgACAAIAAgACAAIABMAEEATQBCAEQAQQAoAHIALABjACwAIABcAG4AIAAgACAAIAAgACAAIAAgAEkATgBEAEUAWAAoAHsAXABuACAAIAAgACAAIAAgACAAIAAgACAAXAAiAE0ATQBTAG0AXAAiACwAIABcACIARgByAGEAYwBHAEEAUwBNAG0AVABcACIALAAgAFwAIgBOAEkAUgAgAHIAZQBmAGUAcgBlAG4AYwBlAFwAIgA7AFwAbgAgACAAIAAgACAAIAAgACAAIAAgAFwAIgBPAHUAdABkAG8AbwByACAAKABEAHIAeQAgAGwAbwB0ACkAXAAiACwAIAAwAC4AMwAsACAAXAAiAEQAcgB5AGwAbwB0ACAAKABmAGUAZQBkACAAcABhAGQAKQBcACIAOwBcAG4AIAAgACAAIAAgACAAIAAgACAAIABcACIARABlAGUAcAAgAGwAaQB0AHQAZQByAFwAIgAsACAAMAAuADEAMgA1ACwAIABcACIARABlAGUAcAAgAGwAaQB0AHQAZQByAFwAIgA7AFwAbgAgACAAIAAgACAAIAAgACAAIAAgAFwAIgBTAHQAbwBjAGsAcABpAGwAZQAgACgAUwBvAGwAaQBkACAAcwB0AG8AcgBhAGcAZQApAFwAIgAsACAAMAAuADIALAAgAFwAIgBTAG8AbABpAGQAIABzAHQAbwByAGEAZwBlAFwAIgA7AFwAbgAgACAAIAAgACAAIAAgACAAIAAgAFwAIgBFAGYAZgBsAHUAZQBuAHQAIABwAG8AbgBkACAAKABVAG4AYwBvAHYAZQByAGUAZAAgAGEAbgBhAGUAcgBvAGIAaQBjACAAbABhAGcAbwBvAG4AKQBcACIALAAgADAALgA1ADUALAAgAFwAIgBBAG4AYQBlAHIAbwBiAGkAYwAgAGwAYQBnAG8AbwBuAFwAIgA7AFwAbgAgACAAIAAgACAAIAAgACAAIAAgAFwAIgBBAG4AYQBlAHIAbwBiAGkAYwAgAGQAaQBnAGUAcwB0AGU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IANQAsACAAXAAiAFAAaQB0ACAAcwB0AG8Acg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TgBpAHQAcgBvAHUAcwBPAHgAaQBkAGUARQBGAHMAXABuAEYAcgBhAGMARwBBAFMATQBtAFQAXABuAGsAZwBOADIATwAgAC0AIABOACAALwAgAGsAZwBOAFwAbgAtAC0ALQAtAC0ALQAtAC0ALQAtAC0ALQAtAC0ALQAtAC0ALQAtAC0ALQAtAC0ALQAtAC0ALQAtAC0ALQAtAC0ALQAtAC0ALQAtAC0AXABuACoALwBcAG4AXABuAFMAbwB1AHIAYwBlAEQAYQB0AGEAXwBTAHcAaQBuAGUAXwBOAGkAdAByAG8AdQBzAE8AeABpAGQAZQBFAEYAcwBfAFQAaQB0AGwAZQBcAG4AIAAgAD0ATABBAE0AQgBEAEEAKABcACIAUwB3AGkAbgBlACAALQAgAE4AaQB0AHIAbwB1AHMAIABvAHgAaQBkAGUAIABFAEYAcwAgAGIAeQAgAE0ATQBTACAAKABFAEYAbQBUACkAXAAiACkAOwBcAG4AXABuAFMAbwB1AHIAYwBlAEQAYQB0AGEAXwBTAHcAaQBuAGUAXwBOAGkAdAByAG8AdQBzAE8AeABpAGQAZQBFAEYAcwBfAFUAbgBpAHQAXABuACAAIAA9AEwAQQBNAEIARABBACgAXAAiAGsAZwBOADIATwAgAC0AIABOACAALwAgAGsAZwBOAFwAIgApADsAXABuAFwAbgBTAG8AdQByAGMAZQBEAGEAdABhAF8AUwB3AGkAbgBlAF8ATgBpAHQAcgBvAHUAcwBPAHgAaQBkAGUARQBGAHMAXwBTAG8AdQByAGMAZQBcAG4AIAAgAD0ATABBAE0AQgBEAEEAKABcACIAVgBFAEUAUgBHACAAMgAwADIANgA6ACAAVABhAGIAbABlACAAQQAuADEALgA2AC4AMwA6ACAAUwB3AGkAbgBlACAALQAgAE4AaQB0AHIAbwB1AHMAIABvAHgAaQBkAGUAIABFAEYAcwAgAGIAeQAgAE0ATQBTACAAKABrAGcATgAyAE8ALQBOAC8AawBnAE4AKQAgACgARQBGAG0AVAApAFwAIgApADsAXABuAFwAbgBTAG8AdQByAGMAZQBEAGEAdABhAF8AUwB3AGkAbgBlAF8ATgBpAHQAcgBvAHUAcwBPAHgAaQBkAGUARQBGAHMAXwBWAGEAcgBpAGEAdABpAG8AbgBcAG4AIAAgAD0ATABBAE0AQgBEAEEAKABcACIAVgBBAFIASQBBAFQASQBPAE4AIABPAE4AIABTAE8AVQBSAEMARQAgAEQAQQBUAEEAOgAgAEEAZABkAGUAZAAgACcATgBJAFIAIAByAGUAZgBlAHIAZQBuAGMAZQAgAGMAbwBsAHUAbQBuACAAdABvACAAYQBpAGQAIABsAG8AbwBrAHUAcAAuAFwAIgApADsAXABuAFwAbgBTAG8AdQByAGMAZQBEAGEAdABhAF8AUwB3AGkAbgBlAF8ATgBpAHQAcgBvAHUAcwBPAHgAaQBkAGUARQBGAHMAXwBEAGEAdABhAFwAbgAgACAAPQBMAEEATQBCAEQAQQAoAFwAbgAgACAAIAAgAE0AQQBLAEUAQQBSAFIAQQBZACgANwAsACAAMwAsACAAXABuACAAIAAgACAAIAAgAEwAQQBNAEIARABBACgAcgAsAGMALAAgAFwAbgAgACAAIAAgACAAIAAgACAASQBOAEQARQBYACgAewBcAG4AIAAgACAAIAAgACAAIAAgACAAIABcACIATQBNAFMAbQBcACIALAAgAFwAIgBFAEYAbQBUAFwAIgAsACAAXAAiAE4ASQBSACAAcgBlAGYAZQByAGUAbgBjAGUAXAAiADsAXABuACAAIAAgACAAIAAgACAAIAAgACAAXAAiAE8AdQB0AGQAbwBvAHIAIAAoAEQAcgB5ACAAbABvAHQAKQBcACIALAAgADAALgAwADIALAAgAFwAIgBEAHIAeQBsAG8AdAAgACgAZgBlAGUAZAAgAHAAYQBkACkAXAAiADsAXABuACAAIAAgACAAIAAgACAAIAAgACAAXAAiAEQAZQBlAHAAIABsAGkAdAB0AGUAcgBcACIALAAgADAALgAwADEALAAgAFwAIgBEAGUAZQBwACAAbABpAHQAdABlAHIAXAAiADsAXABuACAAIAAgACAAIAAgACAAIAAgACAAXAAiAFMAdABvAGMAawBwAGkAbABlACAAKABTAG8AbABpAGQAIABzAHQAbwByAGEAZwBlACkAXAAiACwAIAAwAC4AMAAwADUALAAgAFwAIgBTAG8AbABpAGQAIABzAHQAbwByAGEAZwBlAFwAIgA7AFwAbgAgACAAIAAgACAAIAAgACAAIAAgAFwAIgBFAGYAZgBsAHUAZQBuAHQAIABwAG8AbgBkACAAKABVAG4AYwBvAHYAZQByAGUAZAAgAGEAbgBhAGUAcgBvAGIAaQBjACAAbABhAGcAbwBvAG4AKQBcACIALAAgADAALAAgAFwAIgBBAG4AYQBlAHIAbwBiAGkAYwAgAGwAYQBnAG8AbwBuAFwAIgA7AFwAbgAgACAAIAAgACAAIAAgACAAIAAgAFwAIgBBAG4AYQBlAHIAbwBiAGkAYwAgAGQAaQBnAGUAcwB0AG8AcgAgAC8AIABDAG8AdgBlAHIAZQBkACAAbABhAGcAbwBvAG4AXAAiACwAIAAwACwAIABcACIARABpAGcAZQBzAHQAZQByACAALwAgAGMAbwB2AGUAcgBlAGQAIABsAGEAZwBvAG8AbgBzAFwAIgA7AFwAbgAgACAAIAAgACAAIAAgACAAIAAgAFwAIgBTAGgAbwByAHQAIABIAFIAVAAgAHQAYQBuAGsAIABzAHQAbwByAGEAZwBlACAAPAAgADEAIABtAG8AbgB0AGgAIAAoAHAAaQB0ACAAcwB0AG8AcgBhAGcAZQApAFwAIgAsACAAMAAuADAAMAAyACwAIABcACIAUABpAHQAIABzAHQAbwByAGEAZwBlAFwAIgBcAG4AIAAgACAAIAAgACAAIAAgAH0ALAAgAHIALAAgAGMAKQBcAG4AIAAgACAAIAAgACAAKQBcAG4AIAAgACAAIAApAFwAbgAgACAAKQA7AFwAbgBcAG4AXABuAC8AKgAgAFwAbgAtAC0ALQAtAC0ALQAtAC0ALQAtAC0ALQAtAC0ALQAtAC0ALQAtAC0ALQAtAC0ALQAtAC0ALQAtAC0ALQAtAC0ALQAtAC0ALQAtAC0AXABuAFMAbwB1AHIAYwBlAEQAYQB0AGEAXwBTAHcAaQBuAGUAXwBNAGUAdABoAGEAbgBlAFYAbwBsAGEAdABpAGwAZQBTAG8AbABpAGQAcwBFAG0AaQBzAHMAaQBvAG4AcwBQAG8AdABlAG4AdABpAGEAbABcAG4AQgAwAFwAbgBtADMAIABDAEgANAAvAGsAZwAgAFYAUwBcAG4ALQAtAC0ALQAtAC0ALQAtAC0ALQAtAC0ALQAtAC0ALQAtAC0ALQAtAC0ALQAtAC0ALQAtAC0ALQAtAC0ALQAtAC0ALQAtAC0ALQAtAFwAbgAqAC8AXABuAFwAbgBTAG8AdQByAGMAZQBEAGEAdABhAF8AUwB3AGkAbgBlAF8ATQBlAHQAaABhAG4AZQBWAG8AbABhAHQAaQBsAGUAUwBvAGwAaQBkAHMARQBtAGkAcwBzAGkAbwBuAHMAUABvAHQAZQBuAHQAaQBhAGwAXwBUAGkAdABsAGUAXABuACAAIAA9AEwAQQBNAEIARABBACgAXAAiAEUAbQBpAHMAcwBpAG8AbgBzACAAcABvAHQAZQBuAHQAaQBhAGwAIABvAGYAIABtAGUAdABoAGEAbgBlACAAcABlAHIAIABrAGkAbABvAGcAcgBhAG0AIABvAGYAIAB2AG8AbABhAHQAaQBsAGUAIABzAG8AbABpAGQAcwBcACIAKQA7AFwAbgBcAG4AUwBvAHUAcgBjAGUARABhAHQAYQBfAFMAdwBpAG4AZQBfAE0AZQB0AGgAYQBuAGUAVgBvAGwAYQB0AGkAbABlAFMAbwBsAGkAZABzAEUAbQBpAHMAcwBpAG8AbgBzAFAAbwB0AGUAbgB0AGkAYQBsAF8AVgBhAHIAaQBhAGIAbABlAFwAbgAgACAAPQBMAEEATQBCAEQAQQAoAFwAIgBCADAAXAAiACkAOwBcAG4AXABuAFMAbwB1AHIAYwBlAEQAYQB0AGEAXwBTAHcAaQBuAGUAXwBNAGUAdABoAGEAbgBlAFYAbwBsAGEAdABpAGwAZQBTAG8AbABpAGQAcwBFAG0AaQBzAHMAaQBvAG4AcwBQAG8AdABlAG4AdABpAGEAbABfAFUAbgBpAHQAXABuACAAIAA9AEwAQQBNAEIARABBACgAXAAiAG0AMwAgAEMASAA0ACAALwAgAGsAZwAgAFYAUwBcACIAKQA7AFwAbgBcAG4AUwBvAHUAcgBjAGUARABhAHQAYQBfAFMAdwBpAG4AZQBfAE0AZQB0AGgAYQBuAGUAVgBvAGwAYQB0AGkAbABlAFMAbwBsAGkAZABzAEUAbQBpAHMAcwBpAG8AbgBzAFAAbwB0AGUAbgB0AGkAYQBsAF8AUwBvAHUAcgBjAGUAXABuACAAIAA9AEwAQQBNAEIARABBACgAXAAiAEkAUABDAEMAIAAoADIAMAAxADkAKQAsACAAQwBoAGEAcAB0AGUAcgAgADEAMAAgAFsANABdAFwAIgApADsAXABuAFwAbgBTAG8AdQByAGMAZQBEAGEAdABhAF8AUwB3AGkAbgBlAF8ATQBlAHQAaABhAG4AZQBWAG8AbABhAHQAaQBsAGUAUwBvAGwAaQBkAHMARQBtAGkAcwBzAGkAbwBuAHMAUABvAHQAZQBuAHQAaQBhAGwAXwBWAGEAcgBpAGEAdABpAG8AbgBcAG4AIAAgAD0ATABBAE0AQgBEAEEAKABcACIAXAAiACkAOwBcAG4AXABuAFMAbwB1AHIAYwBlAEQAYQB0AGEAXwBTAHcAaQBuAGUAXwBNAGUAdABoAGEAbgBlAFYAbwBsAGEAdABpAGwAZQBTAG8AbABpAGQAcwBFAG0AaQBzAHMAaQBvAG4AcwBQAG8AdABlAG4AdABpAGEAbABfAEQAYQB0AGEAXABuACAAIAA9AEwAQQBNAEIARABBACgAMAAuADEAOQApADsAXABuAFwAbgBcAG4ALwAqACAAXABuAC0ALQAtAC0ALQAtAC0ALQAtAC0ALQAtAC0ALQAtAC0ALQAtAC0ALQAtAC0ALQAtAC0ALQAtAC0ALQAtAC0ALQAtAC0ALQAtAC0ALQBcAG4AUwBvAHUAcgBjAGUARABhAHQAYQBfAFMAdwBpAG4AZQBfAE0ATQBTAF8ATQBDAEYAcwBcAG4AVABhAGIAbABlACAAQQAuADEALgA2AC4ANAA6ACAAUwB3AGkAbgBlACAALQAgAE0AQwBGAHMAIAAoAE0AQwBGAGkAbQApAFwAbgAtAC0ALQAtAC0ALQAtAC0ALQAtAC0ALQAtAC0ALQAtAC0ALQAtAC0ALQAtAC0ALQAtAC0ALQAtAC0ALQAtAC0ALQAtAC0ALQAtAC0AXABuACoALwBcAG4AXABuAFMAbwB1AHIAYwBlAEQAYQB0AGEAXwBTAHcAaQBuAGUAXwBNAE0AUwBfAE0AQwBGAHMAXwBUAGkAdABsAGUAXABuACAAIAA9AEwAQQBNAEIARABBACgAXAAiAE0AZQB0AGgAYQBuAGUAIABjAG8AbgB2AGUAcgBzAGkAbwBuACAAZgBhAGMAdABvAHIAIABmAG8AcgAgAHQAZQBtAHAAZQByAGEAdAB1AHIAZQAgAHoAbwBuAGUAIABhAG4AZAAgAG0AYQBuAHUAcgBlACAAbQBhAG4AYQBnAGUAbQBlAG4AdAAgAHMAeQBzAHQAZQBtAC4AXAAiACkAOwBcAG4AXABuAFMAbwB1AHIAYwBlAEQAYQB0AGEAXwBTAHcAaQBuAGUAXwBNAE0AUwBfAE0AQwBGAHMAXwBVAG4AaQB0AFwAbgAgACAAPQBMAEEATQBCAEQAQQAoAFwAIgBcACIAKQA7AFwAbgBcAG4AUwBvAHUAcgBjAGUARABhAHQAYQBfAFMAdwBpAG4AZQBfAE0ATQBTAF8ATQBDAEYAcwBfAFMAbwB1AHIAYwBlAFwAbgAgACAAPQBMAEEATQBCAEQAQQAoAFwAIgBWAEUARQBSAEcAIAAyADAAMgA2ADoAIABUAGEAYgBsAGUAIABBAC4AMQAuADYALgA0ADoAIABTAHcAaQBuAGUAIAAtACAATQBDAEYAcwAgACgATQBDAEYAaQBtACkAXAAiACkAOwBcAG4AXABuAFMAbwB1AHIAYwBlAEQAYQB0AGEAXwBTAHcAaQBuAGUAXwBNAE0AUwBfAE0AQwBGAHMAXwBWAGEAcgBpAGEAdABpAG8AbgBcAG4AIAAgAD0ATABBAE0AQgBEAEEAKABcACIAVgBBAFIASQBBAFQASQBPAE4AIABPAE4AIABTAE8AVQBSAEMARQAgAEQAQQBUAEEAOgAgAEEAZABkAGUAZAAgAGMAbwBsAHUAbQBuAHMAIABmAG8AcgAgAEEAQwBUACwAIABzAHAAbABpAHQAIABRAEwARAAgAGEAbgBkACAATgBUAC4AIABBAGQAZABlAGQAIABlAHgAdAByAGEAIABjAG8AbAB1AG0AbgAgAHcAaQB0AGgAIABNAE0AUwAgAG4AYQBtAGUAcwAgAHQAaABhAHQAIABtAGEAdABjAGgAIABOAEkAUgAgAGQAZQBmAGkAbgBpAHQAaQBvAG4AcwBcACIAKQA7AFwAbgBcAG4AUwBvAHUAcgBjAGUARABhAHQAYQBfAFMAdwBpAG4AZQBfAE0ATQBTAF8ATQBDAEYAcwBfAEQAYQB0AGEAXABuACAAIAA9AEwAQQBNAEIARABBACgAXABuACAAIAAgACAATQBBAEsARQBBAFIAUgBBAFkAKAA4ACwAIAAxADAALAAgAFwAbgAgACAAIAAgACAAIABMAEEATQBCAEQAQQAoAHIALABjACwAIABcAG4AIAAgACAAIAAgACAAIAAgAEkATgBEAEUAWAAoAHsAXABuACAAIAAgACAAIAAgACAAIAAgACAAXAAiAE0ATQBTAFwAIgAsACAAXAAiAE4AUwBXAFwAIgAsACAAXAAiAEEAQwBUAFwAIgAsACAAXAAiAFEATABEAFwAIgAsACAAXAAiAE4AVABcACIALAAgAFwAIgBTAEEAXAAiACwAIABcACIAVABBAFMAXAAiACwAIABcACIAVgBJAEMAXAAiACwAIABcACIAVwBBAFwAIgAsACAAXAAiAE4ASQBSACAAZABlAGYAaQBuAGkAdABpAG8AbgBcACIAOwBcAG4AIAAgACAAIAAgACAAIAAgACAAIABcACIATwB1AHQAZABvAG8AcgAgACgARAByAHkAIABsAG8AdAApAFwAIgAsACAAMAAuADAAMQAsACAAMAAuADAAMQAsACAAMAAuADAAMwAsACAAMAAuADAAMwAsACAAMAAuADAAMQAsACAAMAAuADAAMQAsACAAMAAuADAAMQAsACAAMAAuADAAMQAsACAAXAAiAEQAcgB5AGwAbwB0ACAAKABmAGUAZQBkACAAcABhAGQAKQBcACIAOwAgAFwAbgAgACAAIAAgACAAIAAgACAAIAAgAFwAIgBEAGUAZQBwACAAbABpAHQAdABlAHIAXAAiACwAIAAwAC4AMAA0ACwAIAAwAC4AMAA0ACwAIAAwAC4AMAA0ACwAIAAwAC4AMAA0ACwAIAAwAC4AMAA0ACwAIAAwAC4AMAA0ACwAIAAwAC4AMAA0ACwAIAAwAC4AMAA0ACwAIABcACIARABlAGUAcAAgAGwAaQB0AHQAZQByAFwAIgA7AFwAbgAgACAAIAAgACAAIAAgACAAIAAgAFwAIgBTAHQAbwBjAGsAcABpAGwAZQAgACgAUwBvAGwAaQBkACAAcwB0AG8AcgBhAGcAZQApAFwAIgAsACAAMAAuADAAMgAsACAAMAAuADAAMgAsACAAMAAuADAAMgAsACAAMAAuADAAMgAsACAAMAAuADAAMgAsACAAMAAuADAAMgAsACAAMAAuADAAMgAsACAAMAAuADAAMgAsACAAXAAiAFMAbwBsAGkAZAAgAHMAdABvAHIAYQBnAGUAXAAiADsAXABuACAAIAAgACAAIAAgACAAIAAgACAAXAAiAEUAZgBmAGwAdQBlAG4AdAAgAHAAbwBuAGQAIAAoAFUAbgBjAG8AdgBlAHIAZQBkACAAYQBuAGEAZQByAG8AYgBpAGMAIABsAGEAZwBvAG8AbgApAFwAIgAsACAAMAAuADcANQAsACAAMAAuADcANQAsACAAMAAuADcAOAAsACAAMAAuADcAOAAsACAAMAAuADcANQAsACAAMAAuADcAMAAsACAAMAAuADcANAAsACAAMAAuADcANgAsACAAXAAiAEEAbgBhAGUAcgBvAGIAaQBjACAAbABhAGcAbwBvAG4AXAAiADsAXABuACAAIAAgACAAIAAgACAAIAAgACAAXAAiAEEAbgBhAGUAcgBvAGIAaQBjACAAZABpAGcAZQBzAHQAZQByACAALwAgAEMAbwB2AGUAcgBlAGQAIABsAGEAZwBvAG8AbgBcACIALAAgADAALgAxACwAIAAwAC4AMQAsACAAMAAuADEALAAgADAALgAxACwAIAAwAC4AMQAsACAAMAAuADEALAAgADAALgAxACwAIAAwAC4AMQAsACAAXAAiAEQAaQBnAGUAcwB0AGUAcgAgAC8AIABjAG8AdgBlAHIAZQBkACAAbABhAGcAbwBvAG4AcwBcACIAOwAgAFwAbgAgACAAIAAgACAAIAAgACAAIAAgAFwAIgBTAGgAbwByAHQAIABIAFIAVAAgAHQAYQBuAGsAIABzAHQAbwByAGEAZwBlACAAPA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EAdgBlAHIAYQBnAGUATABpAHYAZQB3AGUAaQBnAGgAdABcAG4AVwBjAG8AXABuAGsAZwBcAG4ALQAtAC0ALQAtAC0ALQAtAC0ALQAtAC0ALQAtAC0ALQAtAC0ALQAtAC0ALQAtAC0ALQAtAC0ALQAtAC0ALQAtAC0ALQAtAC0ALQAtAFwAbgAqAC8AXABuAFwAbgBTAG8AdQByAGMAZQBEAGEAdABhAF8AUwB3AGkAbgBlAF8AQQB2AGUAcgBhAGcAZQBMAGkAdgBlAHcAZQBpAGcAaAB0AF8AVABpAHQAbABlAFwAbgAgACAAPQBMAEEATQBCAEQAQQAoAFwAIgBTAHcAaQBuAGUAIAAtACAAQQB2AGUAcgBhAGcAZQAgAGwAaQB2AGUAdwBlAGkAZwBoAHQAIAAoAGkAbgB2AGUAbgB0AG8AcgB5ACAAZABlAGYAYQB1AGwAdABzACkAIAAoAGsAZwApACAAKABXAGMAbwApAFwAIgApADsAXABuAFwAbgBTAG8AdQByAGMAZQBEAGEAdABhAF8AUwB3AGkAbgBlAF8AQQB2AGUAcgBhAGcAZQBMAGkAdgBlAHcAZQBpAGcAaAB0AF8AVQBuAGkAdABcAG4AIAAgAD0ATABBAE0AQgBEAEEAKABcACIAawBnAFwAIgApADsAXABuAFwAbgBTAG8AdQByAGMAZQBEAGEAdABhAF8AUwB3AGkAbgBlAF8AQQB2AGUAcgBhAGcAZQBMAGkAdgBlAHcAZQBpAGcAaAB0AF8AUwBvAHUAcgBjAGUAXABuACAAIAA9AEwAQQBNAEIARABBACgAXAAiAFYARQBFAFIARwAgADIAMAAyADYAOgAgAFQAYQBiAGwAZQAgAEEALgAxAC4ANgAuADUAOgAgAFMAdwBpAG4AZQAgAC0AIABBAHYAZQByAGEAZwBlACAAbABpAHYAZQB3AGUAaQBnAGgAdAAgACgAaQBuAHYAZQBuAHQAbwByAHkAIABkAGUAZgBhAHUAbAB0AHMAKQAgACgAawBnACkAIAAoAFcAYwBvACkAXAAiACkAOwBcAG4AXABuAFMAbwB1AHIAYwBlAEQAYQB0AGEAXwBTAHcAaQBuAGUAXwBBAHYAZQByAGEAZwBlAEwAaQB2AGUAdwBlAGkAZwBoAHQAXwBWAGEAcgBpAGEAdABpAG8AbgBcAG4AIAAgAD0ATABBAE0AQgBEAEEAKABcACIALgBcACIAKQA7AFwAbgBcAG4AUwBvAHUAcgBjAGUARABhAHQAYQBfAFMAdwBpAG4AZQBfAEEAdgBlAHIAYQBnAGUATABpAHYAZQB3AGUAaQBnAGgAdABfAEQAYQB0AGEAXABuACAAIAA9AEwAQQBNAEIARABBACgAXABuACAAIAAgACAATQBBAEsARQBBAFIAUgBBAFkAKAA2ACwAIAAyACwAIABcAG4AIAAgACAAIAAgACAATABBAE0AQgBEAEEAKAByACwAYwAsACAAXABuACAAIAAgACAAIAAgACAAIABJAE4ARABFAFgAKAB7AFwAbgAgACAAIAAgACAAIAAgACAAIAAgAFwAIgBMAGkAdgBlAHMAdABvAGMAawAgAFQAeQBwAGUAIABqAFwAIgAsACAAXAAiAEEAdgBlAHIAYQBnAGUAIABMAGkAdgBlAHcAZQBpAGcAaAB0ACAAKABrAGcAKQBcACIAOwBcAG4AIAAgACAAIAAgACAAIAAgACAAIABcACIAUwBvAHcAcwBcACIALAAgADEAOAA4ADsAXABuACAAIAAgACAAIAAgACAAIAAgACAAXAAiAEIAbwBhAHIAcwBcACIALAAgADIAMAA2ADsAXABuACAAIAAgACAAIAAgACAAIAAgACAAXAAiAEcAaQBsAHQAcwBcACIALAAgADEAMgA1ADsAXABuACAAIAAgACAAIAAgACAAIAAgACAAXAAiAFMAbABhAHUAZwBoAHQAZQByACAAcABpAGcAcwBcACIALAAgADMAOQA7AFwAbgAgACAAIAAgACAAIAAgACAAIAAgAFwAIgBTAGwAYQB1AGcAaAB0AGUAcgAgAHAAaQBnAHMAIABhAHQAIAB0AHUAcgBuAG8AZgBmAFwAIgAsACAAOQA3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wB3AGkAbgBlAF8ARgByAGEAYwBMAEUAQQBDAEgAXwBEAHIAeQBsAG8AdABNAE0AUwBcAG4ARgByAGEAYwBMAEUAQQBDAEgAXwBNAFMAXABuAGYAcgBhAGMAdABpAG8AbgBcAG4ALQAtAC0ALQAtAC0ALQAtAC0ALQAtAC0ALQAtAC0ALQAtAC0ALQAtAC0ALQAtAC0ALQAtAC0ALQAtAC0ALQAtAC0ALQAtAC0ALQAtAFwAbgAqAC8AXABuAFwAbgBTAG8AdQByAGMAZQBEAGEAdABhAF8AUwB3AGkAbgBlAF8ARgByAGEAYwBMAEUAQQBDAEgAXwBEAHIAeQBsAG8AdABNAE0AUwBfAFQAaQB0AGwAZQBcAG4AIAAgAD0ATABBAE0AQgBEAEEAKABcACIARgByAGEAYwB0AGkAbwBuACAAbwBmACAAbgBpAHQAcgBvAGcAZQBuACAAbABvAHMAdAAgAHQAaAByAG8AdQBnAGgAIABsAGUAYQBjAGgAaQBuAGcAIABhAG4AZAAgAHIAdQBuAG8AZgBmACAAZgBvAHIAIABkAHIAeQBsAG8AdAAgAE0ATQBTAFwAIgApADsAXABuAFwAbgBTAG8AdQByAGMAZQBEAGEAdABhAF8AUwB3AGkAbgBlAF8ARgByAGEAYwBMAEUAQQBDAEgAXwBEAHIAeQBsAG8AdABNAE0AUwBfAFYAYQByAGkAYQBiAGwAZQBcAG4AIAAgAD0ATABBAE0AQgBEAEEAKABcACIARgByAGEAYwBMAEUAQQBDAEgAXwBNAFMAXAAiACkAOwBcAG4AXABuAFMAbwB1AHIAYwBlAEQAYQB0AGEAXwBTAHcAaQBuAGUAXwBGAHIAYQBjAEwARQBBAEMASABfAEQAcgB5AGwAbwB0AE0ATQBTAF8AVQBuAGkAdABcAG4AIAAgAD0ATABBAE0AQgBEAEEAKABcACIAZgByAGEAYwB0AGkAbwBuAFwAIgApADsAXABuAFwAbgBTAG8AdQByAGMAZQBEAGEAdABhAF8AUwB3AGkAbgBlAF8ARgByAGEAYwBMAEUAQQBDAEgAXwBEAHIAeQBsAG8AdABNAE0AUwBfAFMAbwB1AHIAYwBlAFwAbgAgACAAPQBMAEEATQBCAEQAQQAoAFwAIgBWAEUARQBSAEcAIAAyADAAMgA2ADoAIAA0AC4ANQAuADIALgAzACAAQwBPAE4AUwBUAEEATgBUAFwAIgApADsAXABuAFwAbgBTAG8AdQByAGMAZQBEAGEAdABhAF8AUwB3AGkAbgBlAF8ARgByAGEAYwBMAEUAQQBDAEgAXwBEAHIAeQBsAG8AdABNAE0AUwBfAFYAYQByAGkAYQB0AGkAbwBuAFwAbgAgACAAPQBMAEEATQBCAEQAQQAoAFwAIgBWAEEAUgBJAEEAVABJAE8ATgAgAE8ATgAgAFMATwBVAFIAQwBFADoAIABUAGUAeAB0ACAAcgBlAGYAZQByAHMAIAB0AG8AIAAnAHMAbwBsAGkAZAAgAHMAdABvAHIAYQBnAGUAJwAgAE0ATQBTACwAIABiAHUAdAAgAGUAcQB1AGEAdABpAG8AbgAgAHIAZQBmAGUAcgBzACAAdABvACAAJwBkAHIAeQBsAG8AdAAnACAATQBNAFMALgBcACIAKQA7AFwAbgBcAG4AUwBvAHUAcgBjAGUARABhAHQAYQBfAFMAdwBpAG4AZQBfAEYAcgBhAGMATABFAEEAQwBIAF8ARAByAHkAbABvAHQATQBNAFMAXwBEAGEAdABhAFwAbgAgACAAPQBMAEEATQBCAEQAQQAoADAALgAwADIAKQA7AFwAbgBcAG4AIgB9ACwAewAiAHAAYQB0AGgAIgA6ACIALwBwAHIAbwBqAGUAYwB0AHMALwBFAG4AdABlAHIAaQBjAE0AZQB0AGgAYQBuAGUAXwBTAHcAaQBuAGUAXwBFAHEAdQBhAHQAaQBvAG4AcwAiACwAIgB0AGUAeAB0ACIAOgAiACIAfQAsAHsAIgBwAGEAdABoACIAOgAiAC8AcAByAG8AagBlAGMAdABzAC8ATQBNAFMAXwBTAHcAaQBuAGUAXwBNAGUAdABoAGEAbgBl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EAIABNAGUAdABoAG8AZAAgADEAIAAUICAATQBhAG4AdQByAGUAIABNAGUAdABoAGEAbgBl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AoAEQAXwB7AGoAfQBcAFwAdABpAG0AZQBzACAATQBfAHsAbQBqAH0AXABcAHQAaQBtAGUAcwAgAE4AXwB7AGoAfQApAFwAXAB0AGkAbQBlAHMAMQAwAF4AewAtADMAfQBcAG4ARABqACAAPQAgAGwAZQBuAGcAdABoACAAbwBmACAAcwB0AGEAeQAgAG8AZgAgAGUAYQBjAGgAIABjAGwAYQBzAHMAIABvAGYAIABzAHcAaQBuAGUAIAA6ACAAZABhAHkAcwBcAG4ATQBtAGoAIAA9ACAAbQBlAHQAaABhAG4AZQAgAHAAcgBvAGQAdQBjAHQAaQBvAG4AIABmAHIAbwBtACAAbQBhAG4AdQByAGUAIABpAG4AIABlAGEAYwBoACAAcwB3AGkAbgBlACAAYwBsAGEAcwBzACAAOgAgAGsAZwAgAEMASAA0AC8AaABlAGEAZAAvAGQAYQB5AFwAbgBOAGoAIAA9ACAAbgB1AG0AYgBlAHIAcwAgAG8AZgAgAHMAdwBpAG4AZQAgAGkAbgAgAGUAYQBjAGgAIABjAGwAYQBzAHMAIAA6ACAAaABlAGEAZABcAG4ALQAtAC0ALQAtAC0ALQAtAC0ALQAtAC0ALQAtAC0ALQAtAC0ALQAtAC0ALQAtAC0ALQAtAC0ALQAtAC0ALQAtAC0ALQAtAC0ALQAtAFwAbgAqAC8AXABuAFwAbgBWAEUARQBSAEcAXwA0AF8ANQBfADEAXwAxAF8AXwAxAF8AVABvAHQAYQBsAEEAbgBuAHUAYQBsAE0AZQB0AGgAYQBuAGUARQBtAGkAcwBzAGkAbwBuAHMAXABuACAAIAA9AEwAQQBNAEIARABBACgAXABuACAAIAAgACAARABqACwAIABNAG0AagAsACAATgBqACwAXABuACAAIAAgACAARABqACAAKgAgAE0AbQBqACAAKgAgAE4AagAgACoAIAAxADAAIABeACAALQAzAFwAbgAgACAAKQA7AFwAbgBcAG4AVgBFAEUAUgBHAF8ANABfADU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1AF8AMQBfADEAXwBfADEAXwBUAG8AdABhAGwAQQBuAG4AdQBhAGwATQBlAHQAaABhAG4AZQBFAG0AaQBzAHMAaQBvAG4AcwBfAFYAYQByAGkAYQBiAGwAZQBcAG4AIAAgAD0ATABBAE0AQgBEAEEAKABcACIARQBDAEgANABcACIAKQA7AFwAbgBcAG4AVgBFAEUAUgBHAF8ANABfADUAXwAxAF8AMQBfAF8AMQBfAFQAbwB0AGEAbABBAG4AbgB1AGEAbABNAGUAdABoAGEAbgBlAEUAbQBpAHMAcwBpAG8AbgBzAF8AVQBuAGkAdABcAG4AIAAgAD0ATABBAE0AQgBEAEEAKABcACIAdAAgAEMASAA0AFwAIgApADsAXABuAFwAbgBWAEUARQBSAEcAXwA0AF8ANQBfADEAXwAxAF8AXwAxAF8AVABvAHQAYQBsAEEAbgBuAHUAYQBsAE0AZQB0AGgAYQBuAGUARQBtAGkAcwBzAGkAbwBuAHMAXwBTAG8AdQByAGMAZQBcAG4AIAAgAD0ATABBAE0AQgBEAEEAKABcACIAVgBFAEUAUgBHACAAMgAwADIANgA6ACAANAAuADUALgAxAC4AMQAsACAARQBxAHUAYQB0AGkAbwBuACAAKAAxACkAXAAiACkAOwBcAG4AXABuAFYARQBFAFIARwBfADQAXwA1AF8AMQBfADEAXwBfADEAXwBUAG8AdABhAGwAQQBuAG4AdQBhAGwATQBlAHQAaABhAG4AZQBFAG0AaQBzAHMAaQBvAG4AcwBfAE4ASQBSAFIAZQBmAGUAcgBlAG4AYwBlAFwAbgAgACAAPQBMAEEATQBCAEQAQQAoAFwAIgBcACIAKQA7AFwAbgBcAG4AVgBFAEUAUgBHAF8ANABfADUAXwAxAF8AMQBfAF8AMQBfAFQAbwB0AGEAbABBAG4AbgB1AGEAbABNAGUAdABoAGEAbgBlAEUAbQBpAHMAcwBpAG8AbgBzAF8ATABhAHQAZQB4AEUAcQB1AGEAdABpAG8AbgBcAG4AIAAgAD0ATABBAE0AQgBEAEEAKABcACIAewBFAH0AXwB7AEMASAA0AH0APQBcAFwAcwB1AG0AXwB7AGoAfQAoAEQAXwB7AGoAfQBcAFwAdABpAG0AZQBzACAATQBfAHsAbQBqAH0AXABcAHQAaQBtAGUAcwAgAE4AXwB7AGoAfQApAFwAXAB0AGkAbQBlAHMAMQAwAF4AewAtADMAfQBcACIAKQA7AFwAbgBcAG4AVgBFAEUAUgBHAF8ANABfADU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agBcACIALABcACIAbABlAG4AZwB0AGgAIABvAGYAIABzAHQAYQB5ACAAbwBmACAAZQBhAGMAaAAgAGMAbABhAHMAcwAgAG8AZgAgAHMAdwBpAG4AZQBcACIALAAgAFwAIgBkAGEAeQBzAFwAIgAsACAAXAAiAEkAbgBwAHUAdABcACIAOwBcAG4AIAAgACAAIAAgACAAIAAgACAAIABcACIATQBtAGoAXAAiACwAXAAiAG0AZQB0AGgAYQBuAGUAIABwAHIAbwBkAHUAYwB0AGkAbwBuACAAZgByAG8AbQAgAG0AYQBuAHUAcgBlACAAaQBuACAAZQBhAGMAaAAgAHMAdwBpAG4AZQAgAGMAbABhAHMAcwBcACIALAAgAFwAIgBrAGcAIABDAEgANAAvAGgAZQBhAGQALwBkAGEAeQBcACIALAAgAFwAIgBDAGEAbABjAHUAbABhAHQAZQBkACAAZgByAG8AbQAgADQALgA1AC4AMQAuADEAIAAoADIAKQBcACIAOwBcAG4AIAAgACAAIAAgACAAIAAgACAAIABcACIATgBqAFwAIgAsAFwAIgBuAHUAbQBiAGUAcgBzACAAbwBmACAAcwB3AGkAbgBlACAAaQBuACAAZQBhAGMAaAAg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Q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XAAiACwAIABcACIAawBnACAAQwBIADQALwBoAGUAYQBkAC8AZABhAHkAXAAiACwAIABcACIAQwBhAGwAYwB1AGwAYQB0AGUAZAAgAGYAcgBvAG0AIAA0AC4ANQAuADEALgAxACAAKAAzACkAIABhAG4AZAAgACgANgApAFwAIgBcAG4AIAAgACAAIAAgACAAIAAgAH0ALAAgAHIALAAgAGMAKQBcAG4AIAAgACAAIAAgACAAKQBcAG4AIAAgACAAIAApAFwAbgAgACAAKQA7AFwAbgBcAG4AVgBFAEUAUgBHAF8ANABfADUAXwAxAF8AMQBfAF8AMgBfAE0AZQB0AGgAYQBuAGUAUAByAG8AZAB1AGMAdABpAG8AbgBQAGUAcgBDAGwAYQBzAHMAXwBWAGEAcgBpAGEAdABpAG8AbgBcAG4AIAAgAD0ATABBAE0AQgBEAEEAKABcACIAVgBBAFIASQBBAFQASQBPAE4AIABPAE4AIABTAE8AVQBSAEMARQA6ACAAUwBwAGwAaQB0ACAAdgBhAHIAaQBhAGIAbABlACAATQBqAG0AIABpAG4AdABvACAATQBqAG0AVAAxACAAYQBuAGQAIABNAGoAbQBUADIAIABmAG8AcgAgAHMAdABhAGcAZQAgADEAIABhAG4AZAAgADIAIABNAE0AUwAuAFwAIgApADsAXABuAFwAbgAvACoAXABuAC0ALQAtAC0ALQAtAC0ALQAtAC0ALQAtAC0ALQAtAC0ALQAtAC0ALQAtAC0ALQAtAC0ALQAtAC0ALQAtAC0ALQAtAC0ALQAtAC0ALQBcAG4AVgBFAEUAUgBHAF8ANABfADUAXwAxAF8AMQBfAF8AMwBfAFMAdABhAGcAZQAxAE0AZQB0AGgAYQBuAGUAUAByAG8AZAB1AGMAdABpAG8AbgBcAG4AUAByAG8AZAB1AGMAdABpAG8AbgAgAG8AZgAgAG0AZQB0AGgAYQBuAGUAIABpAG4AIAB0AHIAZQBhAHQAbQBlAG4AdAAgAHMAdABhAGcAZQAgADEAIABNAE0AUwBcAG4ATQBpAGoAbQBUADEAXABuAGsAZwAgAEMASAA0AC8AaABlAGEAZAAvAGQAYQB5AFwAbgBNAF8AewBpAGoAbQAsAFQAPQAxAH0APQBWAFMAXwB7AGoAfQBcAFwAdABpAG0AZQBzACAARgBWAFMAXwB7AGoAbQAsAFQAPQAxAH0AXABcAHQAaQBtAGUAcwAgAE0AQwBGAF8AewBpAG0AfQBcAFwAdABpAG0AZQBzACAAQgBPAFwAXAB0AGkAbQBlAHMAIABcAFwAcgBoAG8AXABuAFYAUwBqACAAPQAgAHYAbwBsAGEAdABpAGwAZQAgAHMAbwBsAGkAZAAgAHAAcgBvAGQAdQBjAHQAaQBvAG4AIABmAHIAbwBtACAAcwB3AGkAbgBlACAAaQBuACAAZQBhAGMAaAAgAGMAbABhAHMAcwAgADoAIABrAGcALwBoAGUAYQBkAC8AZABhAHkAXABuAEYAVgBTAGoAbQBUADEAIAA9ACAAZgByAGEAYwB0AGkAbwBuACAAbwBmACAAdgBvAGwAYQB0AGkAbABlACAAcwBvAGwAaQBkAHMAIABpAG4AIABlAGEAYwBoACAAcAByAGkAbQBhAHIAeQAgAHMAeQBzAHQAZQBtACAAOgAgAGYAcgBhAGMAdABpAG8AbgBcAG4ATQBDAEYAaQBtACAAPQAgAG0AZQB0AGgAYQBuAGUAIABjAG8AbgB2AGUAcgBzAGkAbwBuACAAZgBhAGMAdABvAHIAIABmAG8AcgAgAHQAZQBtAHAAZQByAGEAdABlACAAegBvAG4AZQAgAGEAbgBkACAAcwB5AHMAdABlAG0AIAA6ACAAZgByAGEAYwB0AGkAbwBuAFwAbgBCAE8AIAA9ACAAZQBtAGkAcwBzAGkAbwBuAHMAIABwAG8AdABlAG4AdABpAGEAbAAgADoAIABtADMAIABDAEgANAAvAGsAZwAgAFYAUwBcAG4AcgBoAG8AIAA9ACAAZABlAG4AcwBpAHQAeQAgAG8AZgAgAG0AZQB0AGgAYQBuAGUAIAA6ACAAawBnAC8AbQAzAFwAbgAtAC0ALQAtAC0ALQAtAC0ALQAtAC0ALQAtAC0ALQAtAC0ALQAtAC0ALQAtAC0ALQAtAC0ALQAtAC0ALQAtAC0ALQAtAC0ALQAtAC0AXABuACoALwBcAG4AXABuAFYARQBFAFIARwBfADQAXwA1AF8AMQBfADEAXwBfADMAXwBTAHQAYQBnAGUAMQBNAGUAdABoAGEAbgBlAFAAcgBvAGQAdQBjAHQAaQBvAG4AXABuACAAIAA9AEwAQQBNAEIARABBACgAXABuACAAIAAgACAAVgBTAGoALAAgAEYAVgBTAGoAbQBUADEALAAgAE0AQwBGAGkAbQAsACAAQgBPACwAIAByAGgAbwAsAFwAbgAgACAAIAAgAFYAUwBqACAAKgAgAEYAVgBTAGoAbQBUADEAIAAqACAATQBDAEYAaQBtACAAKgAgAEIATwAgACoAIAByAGgAbwBcAG4AIAAgACkAOwBcAG4AXABuAFYARQBFAFIARwBfADQAXwA1AF8AMQBfADEAXwBfADMAXwBTAHQAYQBnAGUAMQBNAGUAdABoAGEAbgBlAFAAcgBvAGQAdQBjAHQAaQBvAG4AXwBUAGkAdABsAGUAXABuACAAIAA9AEwAQQBNAEIARABBACgAXAAiAFAAcgBvAGQAdQBjAHQAaQBvAG4AIABvAGYAIABtAGUAdABoAGEAbgBlACAAaQBuACAAdAByAGUAYQB0AG0AZQBuAHQAIABzAHQAYQBnAGUAIAAxACAATQBNAFMAXAAiACkAOwBcAG4AXABuAFYARQBFAFIARwBfADQAXwA1AF8AMQBfADEAXwBfADMAXwBTAHQAYQBnAGUAMQBNAGUAdABoAGEAbgBlAFAAcgBvAGQAdQBjAHQAaQBvAG4AXwBWAGEAcgBpAGEAYgBsAGUAXABuACAAIAA9AEwAQQBNAEIARABBACgAXAAiAE0AaQBqAG0AVAAxAFwAIgApADsAXABuAFwAbgBWAEUARQBSAEcAXwA0AF8ANQBfADEAXwAxAF8AXwAzAF8AUwB0AGEAZwBlADEATQBlAHQAaABhAG4AZQBQAHIAbwBkAHUAYwB0AGkAbwBuAF8AVQBuAGkAdABcAG4AIAAgAD0ATABBAE0AQgBEAEEAKABcACIAawBnACAAQwBIADQALwBoAGUAYQBkAC8AZABhAHkAXAAiACkAOwBcAG4AXABuAFYARQBFAFIARwBfADQAXwA1AF8AMQBfADEAXwBfADMAXwBTAHQAYQBnAGUAMQBNAGUAdABoAGEAbgBlAFAAcgBvAGQAdQBjAHQAaQBvAG4AXwBTAG8AdQByAGMAZQBcAG4AIAAgAD0ATABBAE0AQgBEAEEAKABcACIAVgBFAEUAUgBHACAAMgAwADIANgA6ACAANAAuADUALgAxAC4AMQAsACAARQBxAHUAYQB0AGkAbwBuACAAKAAzACkAXAAiACkAOwBcAG4AXABuAFYARQBFAFIARwBfADQAXwA1AF8AMQBfADEAXwBfADMAXwBTAHQAYQBnAGUAMQBNAGUAdABoAGEAbgBlAFAAcgBvAGQAdQBjAHQAaQBvAG4AXwBOAEkAUgBSAGUAZgBlAHIAZQBuAGMAZQBcAG4AIAAgAD0ATABBAE0AQgBEAEEAKABcACIAXAAiACkAOwBcAG4AXABuAFYARQBFAFIARwBfADQAXwA1AF8AMQBfADEAXwBfADMAXwBTAHQAYQBnAGUAMQBNAGUAdABoAGEAbgBlAFAAcgBvAGQAdQBjAHQAaQBvAG4AXwBMAGEAdABlAHgARQBxAHUAYQB0AGkAbwBuAFwAbgAgACAAPQBMAEEATQBCAEQAQQAoAFwAIgBNAF8AewBpAGoAbQAsAFQAPQAxAH0APQBWAFMAXwB7AGoAfQBcAFwAdABpAG0AZQBzACAARgBWAFMAXwB7AGoAbQAsAFQAPQAxAH0AXABcAHQAaQBtAGUAcwAgAE0AQwBGAF8AewBpAG0AfQBcAFwAdABpAG0AZQBzACAAQgBPAFwAXAB0AGkAbQBlAHMAIABcAFwAcgBoAG8AXAAiACkAOwBcAG4AXABuAFYARQBFAFIARwBfADQAXwA1AF8AMQBfADEAXwBfADMAXwBTAHQAYQBnAGUAMQBNAGUAdABoAGEAbgBlAFAAcgBvAGQAdQBjAHQAaQBvAG4AXwBBAHIAZwB1AG0AZQBuAHQAcwBcAG4AIAAgAD0ATABBAE0AQgBEAEEAKABcAG4AIAAgACAAIABNAEEASwBFAEEAUgBSAEEAWQAoADUALAAgADQALABcAG4AIAAgACAAIAAgACAATABBAE0AQgBEAEEAKAByACwAYwAsAFwAbgAgACAAIAAgACAAIAAgACAASQBOAEQARQBYACgAewBcAG4AIAAgACAAIAAgACAAIAAgACAAIABcACIAVgBTAGoAXAAiACwAXAAiAHYAbwBsAGEAdABpAGwAZQAgAHMAbwBsAGkAZAAgAHAAcgBvAGQAdQBjAHQAaQBvAG4AIABmAHIAbwBtACAAcwB3AGkAbgBlACAAaQBuACAAZQBhAGMAaAAgAGMAbABhAHMAcwBcACIALAAgAFwAIgBrAGcALwBoAGUAYQBkAC8AZABhAHkAXAAiACwAIABcACIASQBuAHAAdQB0AFwAIgA7AFwAbgAgACAAIAAgACAAIAAgACAAIAAgAFwAIgBGAFYAUwBqAG0AVAAxAFwAIgAsAFwAIgBmAHIAYQBjAHQAaQBvAG4AIABvAGYAIAB2AG8AbABhAHQAaQBsAGUAIABzAG8AbABpAGQAcwAgAGkAbgAgAGUAYQBjAGgAIABwAHIAaQBtAGEAcgB5ACAAcwB5AHMAdABlAG0AXAAiACwAIABcACIAZgByAGEAYwB0AGkAbwBuAFwAIgAsACAAXAAiAEMAYQBsAGMAdQBsAGEAdABlAGQAIABmAHIAbwBtACAANAAuADUALgAxAC4AMQAgACgANAApACgANQApAFwAIgA7AFwAbgAgACAAIAAgACAAIAAgACAAIAAgAFwAIgBNAEMARgBpAG0AXAAiACwAXAAiAG0AZQB0AGgAYQBuAGUAIABjAG8AbgB2AGUAcgBzAGkAbwBuACAAZgBhAGMAdABvAHIAIABmAG8AcgAgAHQAZQBtAHAAZQByAGEAdABlACAAegBvAG4AZQAgAGEAbgBkACAAcwB5AHMAdABlAG0AXAAiACwAIABcACIAZgByAGEAYwB0AGkAbwBuAFwAIgAsACAAXAAiAEMAbwBuAHMAdABhAG4AdABcACIAOwBcAG4AIAAgACAAIAAgACAAIAAgACAAIABcACIAQgBPAFwAIgAsAFwAIgBlAG0AaQBzAHMAaQBvAG4AcwAgAHAAbwB0AGUAbgB0AGkAYQBsAFwAIgAsACAAXAAiAG0AMwAgAEMASAA0AC8AawBnACAAVgBTAFwAIgAsACAAXAAiAEMAbwBuAHMAdABhAG4AdABcACIAOwBcAG4AIAAgACAAIAAgACAAIAAgACAAIABcACIAcgBoAG8AXAAiACwAXAAiAGQAZQBuAHMAaQB0AHkAIABvAGYAIABtAGUAdABoAGEAbgBlAFwAIgAsACAAXAAiAGsAZwAvAG0AM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MQBfAF8ANABfAEYAcgBhAGMAdABpAG8AbgBWAG8AbABhAHQAaQBsAGUAUwBvAGwAaQBkAHMAUAByAGkAbQBhAHIAeQBTAHkAcwB0AGUAbQBcAG4ARgByAGEAYwB0AGkAbwBuACAAbwBmACAAdgBvAGwAYQB0AGkAbABlACAAcwBvAGwAaQBkAHMAIABpAG4AIABlAGEAYwBoACAAcAByAGkAbQBhAHIAeQAgAHMAeQBzAHQAZQBtACAAbwB0AGgAZQByACAAdABoAGEAbgAgAHMAbwBsAGkAZAAgAHMAdABvAHIAYQBnAGUAXABuAEYAVgBTAGoAbQBUADEAXABuAGYAcgBhAGMAdABpAG8AbgBcAG4ARgBWAFMAXwB7AGoAbQAsAFQAPQAxAH0APQBNAE0AUwBfAHsAagBtACwAVAA9ADEAfQBcAFwAdABpAG0AZQBzACgAMQAtAFMAUwBfAHsAbQB9ACkAXABuAE0ATQBTAGoAbQBUADEAIAA9ACAAZgByAGEAYwB0AGkAbwBuACAAbwBmACAAbQBhAG4AdQByAGUAIAB0AG8AIABlAGEAYwBoACAAcAByAGkAbQBhAHIAeQAgAE0ATQBTACAAZgBvAHIAIABlAGEAYwBoACAAYwBsAGEAcwBzACAAcAByAGkAbwByACAAdABvACAAcwBvAGwAaQBkACAAcwBlAHAAYQByAGEAdABpAG8Abg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QAXwBGAHIAYQBjAHQAaQBvAG4AVgBvAGwAYQB0AGkAbABlAFMAbwBsAGkAZABzAFAAcgBpAG0AYQByAHkAUwB5AHMAdABlAG0AXABuACAAIAA9AEwAQQBNAEIARABBACgAXABuACAAIAAgACAATQBNAFMAagBtAFQAMQAsACAAUwBTAG0ALABcAG4AIAAgACAAIABNAE0AUwBqAG0AVAAxACAAKgAgACgAMQAgAC0AIABTAFMAbQ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NA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FwAIgAsACAAXAAiAGYAcgBhAGMAdABpAG8AbgBcACIALAAgAFwAIgBJAG4AcAB1AHQAXAAiADsAXABuACAAIAAgACAAIAAgACAAIAAgACAAXAAiAFMAUwBtAFwAIgAsAFwAIgBmAHIAYQBjAHQAaQBvAG4AIABvAGYAIAB2AG8AbABhAHQAaQBsAGUAIABzAG8AbABpAGQAcw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xAF8AXwA0AF8ARgByAGEAYwB0AGkAbwBuAFYAbwBsAGEAdABpAGwAZQBTAG8AbABpAGQAcwBQAHIAaQBtAGEAcgB5AFMAeQBzAHQAZQBtAF8AVgBhAHIAaQBhAHQAaQBvAG4AXABuACAAIAA9AEwAQQBNAEIARABBACgAXAAiAFwAIgApADsAXABuAFwAbgAvACoAXABuAC0ALQAtAC0ALQAtAC0ALQAtAC0ALQAtAC0ALQAtAC0ALQAtAC0ALQAtAC0ALQAtAC0ALQAtAC0ALQAtAC0ALQAtAC0ALQAtAC0ALQBcAG4AVgBFAEUAUgBHAF8ANABfADUAXwAxAF8AMQBfAF8ANQBfAEYAcgBhAGMAdABpAG8AbgBWAG8AbABhAHQAaQBsAGUAUwBvAGwAaQBkAHMAUwBvAGwAaQBkAFMAdABvAHIAYQBnAGUAXABuAEYAcgBhAGMAdABpAG8AbgAgAG8AZgAgAHYAbwBsAGEAdABpAGwAZQAgAHMAbwBsAGkAZABzACAAaQBuACAAcwBvAGwAaQBkACAAcwB0AG8AcgBhAGcAZQBcAG4ARgBWAFMAagBtADQAVAAxAFwAbgBmAHIAYQBjAHQAaQBvAG4AXABuAEYAVgBTAF8AewBqACwAbQA9ADQALABUAD0AMQB9AD0ATQBNAFMAXwB7AGoALABtAD0ANAAsAFQAPQAxAH0AKwAoAE0ATQBTAF8AewBqACwAbQA9ADEALAA3ACwAOQAsAFQAPQAxAH0AXABcAHQAaQBtAGUAcwAgAFMAUwBfAHsAbQB9ACkAXABuAE0ATQBTAGoAbQA0AFQAMQAgAD0AIABmAHIAYQBjAHQAaQBvAG4AIABvAGYAIABtAGEAbgB1AHIAZQAgAGkAbgAgAHMAbwBsAGkAZAAgAHMAdABvAHIAYQBnAGUAIABwAHIAaQBtAGEAcgB5ACAAcwB5AHMAdABlAG0AIAA6ACAAZgByAGEAYwB0AGkAbwBuAFwAbgBNAE0AUwBqAG0AMQA3ADkAVAAxACAAPQAgAGYAcgBhAGMAdABpAG8AbgAgAG8AZgAgAG0AYQBuAHUAcgBlACAAaQBuACAATQBNAFMAIAAxACwAIAA3ACwAIABhAG4AZAAgADkAIABpAG4AIAB0AHIAZQBhAHQAbQBlAG4AdAAgAHMAdABhAGcAZQAgADE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1AF8ARgByAGEAYwB0AGkAbwBuAFYAbwBsAGEAdABpAGwAZQBTAG8AbABpAGQAcwBTAG8AbABpAGQAUwB0AG8AcgBhAGcAZQBcAG4AIAAgAD0ATABBAE0AQgBEAEEAKABcAG4AIAAgACAAIABNAE0AUwBqAG0ANABUADEALAAgAE0ATQBTAGoAbQAxADcAOQBUADEALAAgAFMAUwBtACwAXABuACAAIAAgACAATQBNAFMAagBtADQAVAAxACAAKwAgACgATQBNAFMAagBtADEANwA5AFQAMQAgACoAIABTAFMAbQApAFwAbgAgACAAKQA7AFwAbgBcAG4AVgBFAEUAUgBHAF8ANABfADUAXwAxAF8AMQBfAF8ANQBfAEYAcgBhAGMAdABpAG8AbgBWAG8AbABhAHQAaQBsAGUAUwBvAGwAaQBkAHMAUwBvAGwAaQBkAFMAdABvAHIAYQBnAGUAVgBhAHIAaQBhAHQAaQBvAG4AXABuACAAIAA9AEwAQQBNAEIARABBACgAXABuACAAIAAgACAATQBNAFMAagBtADQAVAAxACwAXABuACAAIAAgACAATQBNAFMAagBtAFQAMQBfADEALAAgAE0ATQBTAGoAbQBUADEAXwAyACwAIABNAE0AUwBqAG0AVAAxAF8AMwAsACAATQBNAFMAagBtAFQAMQBfADQALAAgAE0ATQBTAGoAbQBUADEAXwA1ACwAXABuACAAIAAgACAAUwBTAGoAbQBUADEAXwAxACwAIABTAFMAagBtAFQAMQBfADIALAAgAFMAUwBqAG0AVAAxAF8AMwAsACAAUwBTAGoAbQBUADEAXwA0ACwAIABTAFMAagBtAFQAMQBfADU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pADsAXABuAFwAbgBWAEUARQBSAEcAXwA0AF8ANQBfADEAXwAxAF8AXwA1AF8ARgByAGEAYwB0AGkAbwBuAFYAbwBsAGEAdABpAGwAZQBTAG8AbABpAGQAcwBTAG8AbABpAGQAUwB0AG8AcgBhAGcAZQBfAFQAaQB0AGwAZQBcAG4AIAAgAD0ATABBAE0AQgBEAEEAKABcACIARgByAGEAYwB0AGkAbwBuACAAbwBmACAAdgBvAGwAYQB0AGkAbABlACAAcwBvAGwAaQBkAHMAIABpAG4AIABzAG8AbABpAGQAIABzAHQAbwByAGEAZwBlAFwAIgApADsAXABuAFwAbgBWAEUARQBSAEcAXwA0AF8ANQBfADEAXwAxAF8AXwA1AF8ARgByAGEAYwB0AGkAbwBuAFYAbwBsAGEAdABpAGwAZQBTAG8AbABpAGQAcwBTAG8AbABpAGQAUwB0AG8AcgBhAGcAZQBfAFYAYQByAGkAYQBiAGwAZQBcAG4AIAAgAD0ATABBAE0AQgBEAEEAKABcACIARgBWAFMAagBtADQAVAAxAFwAIgApADsAXABuAFwAbgBWAEUARQBSAEcAXwA0AF8ANQBfADEAXwAxAF8AXwA1AF8ARgByAGEAYwB0AGkAbwBuAFYAbwBsAGEAdABpAGwAZQBTAG8AbABpAGQAcwBTAG8AbABpAGQAUwB0AG8AcgBhAGcAZQBfAFUAbgBpAHQAXABuACAAIAA9AEwAQQBNAEIARABBACgAXAAiAGYAcgBhAGMAdABpAG8AbgBcACIAKQA7AFwAbgBcAG4AVgBFAEUAUgBHAF8ANABfADUAXwAxAF8AMQBfAF8ANQBfAEYAcgBhAGMAdABpAG8AbgBWAG8AbABhAHQAaQBsAGUAUwBvAGwAaQBkAHMAUwBvAGwAaQBkAFMAdABvAHIAYQBnAGUAXwBTAG8AdQByAGMAZQBcAG4AIAAgAD0ATABBAE0AQgBEAEEAKABcACIAVgBFAEUAUgBHACAAMgAwADIANgA6ACAANAAuADUALgAxAC4AMQAsACAARQBxAHUAYQB0AGkAbwBuACAAKAA1ACkAXAAiACkAOwBcAG4AXABuAFYARQBFAFIARwBfADQAXwA1AF8AMQBfADEAXwBfADUAXwBGAHIAYQBjAHQAaQBvAG4AVgBvAGwAYQB0AGkAbABlAFMAbwBsAGkAZABzAFMAbwBsAGkAZABTAHQAbwByAGEAZwBlAF8ATgBJAFIAUgBlAGYAZQByAGUAbgBjAGUAXABuACAAIAA9AEwAQQBNAEIARABBACgAXAAiAFwAIgApADsAXABuAFwAbgBWAEUARQBSAEcAXwA0AF8ANQBfADEAXwAxAF8AXwA1AF8ARgByAGEAYwB0AGkAbwBuAFYAbwBsAGEAdABpAGwAZQBTAG8AbABpAGQAcwBTAG8AbABpAGQAUwB0AG8AcgBhAGcAZQBfAEwAYQB0AGUAeABFAHEAdQBhAHQAaQBvAG4AXABuACAAIAA9AEwAQQBNAEIARABBACgAXAAiAEYAVgBTAF8AewBqACwAbQA9ADQALABUAD0AMQB9AD0ATQBNAFMAXwB7AGoALABtAD0ANAAsAFQAPQAxAH0AKwAoAE0ATQBTAF8AewBqACwAbQA9ADEALAA3ACwAOQAsAFQAPQAxAH0AXABcAHQAaQBtAGUAcwAgAFMAUwBfAHsAbQB9ACkAXAAiACkAOwBcAG4AXABuAFYARQBFAFIARwBfADQAXwA1AF8AMQBfADEAXwBfADUAXwBGAHIAYQBjAHQAaQBvAG4AVgBvAGwAYQB0AGkAbABlAFMAbwBsAGkAZABzAFMAbwBsAGkAZABTAHQAbwByAGEAZwBlAF8ATABhAHQAZQB4AEUAcQB1AGEAdABpAG8AbgBWAGEAcgBpAGEAdABpAG8AbgBcAG4AIAAgAD0ATABBAE0AQgBEAEEAKABcACIARgBWAFMAXwB7AGoALABtAD0ANAAsAFQAPQAxAH0APQBNAE0AUwBfAHsAagAsAG0APQA0ACwAVAA9ADEAfQArACgATQBNAFMAXwB7AGoALABtAD0AMQAsAFQAPQAxAH0AXABcAHQAaQBtAGUAcwAgAFMAUwBfAHsAbQA9ADEALABUAD0AMQB9ACkAKwAoAE0ATQBTAF8AewBqACwAbQA9ADcALABUAD0AMQB9AFwAXAB0AGkAbQBlAHMAIABTAFMAXwB7AG0APQA3ACwAVAA9ADEAfQApACsAKABNAE0AUwBfAHsAagAsAG0APQA5ACwAVAA9ADEAfQBcAFwAdABpAG0AZQBzACAAUwBTAF8AewBtAD0AOQAsAFQAPQAxAH0AKQBcACIAKQA7AFwAbgBcAG4AVgBFAEUAUgBHAF8ANABfADUAXwAxAF8AMQBfAF8ANQBfAEYAcgBhAGMAdABpAG8AbgBWAG8AbABhAHQAaQBsAGUAUwBvAGwAaQBkAHMAUwBvAGwAaQBkAFMAdABvAHIAYQBnAGUAXwBBAHIAZwB1AG0AZQBuAHQAcwBcAG4AIAAgAD0ATABBAE0AQgBEAEEAKABcAG4AIAAgACAAIABNAEEASwBFAEEAUgBSAEEAWQAoADMALAAgADQALABcAG4AIAAgACAAIAAgACAATABBAE0AQgBEAEEAKAByACwAYwAsAFwAbgAgACAAIAAgACAAIAAgACAASQBOAEQARQBYACgAewBcAG4AIAAgACAAIAAgACAAIAAgACAAIABcACIATQBNAFMAagBtADQAVAAxAFwAIgAsAFwAIgBmAHIAYQBjAHQAaQBvAG4AIABvAGYAIABtAGEAbgB1AHIAZQAgAGkAbgAgAHMAbwBsAGkAZAAgAHMAdABvAHIAYQBnAGUAIABwAHIAaQBtAGEAcgB5ACAAcwB5AHMAdABlAG0AXAAiACwAIABcACIAZgByAGEAYwB0AGkAbwBuAFwAIgAsACAAXAAiAEkAbgBwAHUAdABcACIAOwBcAG4AIAAgACAAIAAgACAAIAAgACAAIABcACIATQBNAFMAagBtADEANwA5AFQAMQBcACIALABcACIAZgByAGEAYwB0AGkAbwBuACAAbwBmACAAbQBhAG4AdQByAGUAIABpAG4AIABNAE0AUwAgADEALAAgADcALAAgAGEAbgBkACAAOQAgAGkAbgAgAHQAcgBlAGEAdABtAGUAbgB0ACAAcwB0AGEAZwBlACAAMQBcACIALAAgAFwAIgBmAHIAYQBjAHQAaQBvAG4AXAAiACwAIABcACIASQBuAHAAdQB0AFwAIgA7AFwAbgAgACAAIAAgACAAIAAgACAAIAAgAFwAIgBTAFMAbQBcACIALABcACIAZgByAGEAYwB0AGkAbwBuACAAbwBmACAAdgBvAGwAYQB0AGkAbABlACAAcwBvAGwAaQBkAHMAIABzAGUAcABhAHIAYQB0AGUAZAAgAHQAbwAgAHMAbwBsAGkAZAAgAHMAdABvAHIAYQBnAGUAIABmAG8AcgAgAGUAYQBjAGgAIABNAE0AUwBcACIALAAgAFwAIgBmAHIAYQBjAHQAaQBvAG4AXAAiACwAIABcACIASQBuAHAAdQB0AFwAIgBcAG4AIAAgACAAIAAgACAAIAAgAH0ALAAgAHIALAAgAGMAKQBcAG4AIAAgACAAIAAgACAAKQBcAG4AIAAgACAAIAApAFwAbgAgACAAKQA7AFwAbgBcAG4AVgBFAEUAUgBHAF8ANABfADUAXwAxAF8AMQBfAF8ANQBfAEYAcgBhAGMAdABpAG8AbgBWAG8AbABhAHQAaQBsAGUAUwBvAGwAaQBkAHMAUwBvAGwAaQBkAFMAdABvAHIAYQBnAGUAXwBWAGEAcgBpAGEAdABpAG8AbgBcAG4AIAAgAD0ATABBAE0AQgBEAEEAKABcACIAVgBBAFIASQBBAFQASQBPAE4AIABPAE4AIABTAE8AVQBSAEMARQA6ACAAUwBwAGwAaQB0ACAAZQBxAHUAYQB0AGkAbwBuACAAZgBvAHIAIABNAE0AUwBtAD0AMQAsADcALAA5ACAAaQBuAHQAbwAgAHMAZQBwAGEAcgBhAHQAZQAgAGkAdABlAG0AcwAgAHQAbwAgAGEAbABsAG8AdwAgAGYAbwByACAAYwBhAGwAYwB1AGwAYQB0AGkAbwBuAFwAIgApADsAXABuACAAIABcAG4AXABuAC8AKgBcAG4ALQAtAC0ALQAtAC0ALQAtAC0ALQAtAC0ALQAtAC0ALQAtAC0ALQAtAC0ALQAtAC0ALQAtAC0ALQAtAC0ALQAtAC0ALQAtAC0ALQAtAFwAbgBWAEUARQBSAEcAXwA0AF8ANQBfADEAXwAxAF8AXwA2AF8AUwB0AGEAZwBlADIATQBlAHQAaABhAG4AZQBQAHIAbwBkAHUAYwB0AGkAbwBuAFwAbgBQAHIAbwBkAHUAYwB0AGkAbwBuACAAbwBmACAAbQBlAHQAaABhAG4AZQAgAGkAbgAgAGUAYQBjAGgAIAB0AHIAZQBhAHQAbQBlAG4AdAAgAHMAdABhAGcAZQAgADIAIABNAE0AUwBcAG4ATQBpAGoAbQBUADIAXABuAGsAZwAgAEMASAA0AC8AaABlAGEAZAAvAGQAYQB5AFwAbgBNAF8AewBpAGoAbQAsAFQAPQAyAH0APQBWAFMAVABfAHsAagBtACwAVAA9ADIAfQBcAFwAdABpAG0AZQBzACAAQgBPAFwAXAB0AGkAbQBlAHMAIABNAE0AUwBfAHsAagBtACwAVAA9ADIAfQBcAFwAdABpAG0AZQBzACAATQBDAEYAXwB7AGkAbQB9AFwAXAB0AGkAbQBlAHMAIABcAFwAcgBoAG8AXABuAFYAUwBUAGoAbQBUADIAIAA9ACAAdgBvAGwAYQB0AGkAbABlACAAcwBvAGwAaQBkAHMAIAB0AHIAYQBuAHMAZgBlAHIAcgBlAGQAIAB0AG8AIAB0AHIAZQBhAHQAbQBlAG4AdAAgAHMAdABhAGcAZQAgADIAIABNAE0AUwAgADoAIABrAGcALwBoAGUAYQBkAC8AZABhAHkAXABuAEIATwAgAD0AIABlAG0AaQBzAHMAaQBvAG4AcwAgAHAAbwB0AGUAbgB0AGkAYQBsACAAOgAgAG0AMwAgAEMASAA0AC8AawBnACAAVgBTAFwAbgBNAE0AUwBqAG0AVAAyACAAPQAgAGYAcgBhAGMAdABpAG8AbgAgAG8AZgAgAG0AYQBuAHUAcgBlACAAaQBuACAAZQBhAGMAaAAgAHMAZQBjAG8AbgBkAGEAcgB5ACAAcwB5AHMAdABlAG0AIAA6ACAAZgByAGEAYwB0AGkAbwBuAFwAbgBNAEMARgBpAG0AIAA9ACAAbQBlAHQAaABhAG4AZQAgAGMAbwBuAHYAZQByAHMAaQBvAG4AIABmAGEAYwB0AG8AcgAgAGYAbwByACAAdABlAG0AcABlAHIAYQB0AGUAIAB6AG8AbgBlACAAYQBuAGQAIABzAHkAcwB0AGUAbQAgADoAIABmAHIAYQBjAHQAaQBvAG4AXABuAHIAaABvACAAPQAgAGQAZQBuAHMAaQB0AHkAIABvAGYAIABtAGUAdABoAGEAbgBlACAAOgAgAGsAZwAvAG0AMwBcAG4AaQAgAD0AIABzAHQAYQB0AGUAXABuAC0ALQAtAC0ALQAtAC0ALQAtAC0ALQAtAC0ALQAtAC0ALQAtAC0ALQAtAC0ALQAtAC0ALQAtAC0ALQAtAC0ALQAtAC0ALQAtAC0ALQBcAG4AKgAvAFwAbgBcAG4AVgBFAEUAUgBHAF8ANABfADUAXwAxAF8AMQBfAF8ANgBfAFMAdABhAGcAZQAyAE0AZQB0AGgAYQBuAGUAUAByAG8AZAB1AGMAdABpAG8AbgBcAG4AIAAgAD0ATABBAE0AQgBEAEEAKABcAG4AIAAgACAAIABWAFMAVABqAG0AVAAyACwAIABCAE8ALAAgAE0ATQBTAGoAbQBUADIALAAgAE0AQwBGAGkAbQAsACAAcgBoAG8ALABcAG4AIAAgACAAIABMAEUAVAAoAFwAbgAgACAAIAAgACAAIABWAFMAVABqAG0AVAAyACwAIABJAEYAKABJAFMATgBVAE0AQgBFAFIAKABWAFMAVABqAG0AVAAyACkALAAgAFYAUwBUAGoAbQBUADIALAAgADAAKQAsAFwAbgAgACAAIAAgACAAIABNAE0AUwBqAG0AVAAyACwAIABJAEYAKABJAFMATgBVAE0AQgBFAFIAKABNAE0AUwBqAG0AVAAyACkALAAgAE0ATQBTAGoAbQBUADIALAAgADAAKQAsAFwAbgAgACAAIAAgACAAIABWAFMAVABqAG0AVAAyACAAKgAgAEIATwAgACoAIABNAE0AUwBqAG0AVAAyACAAKgAgAE0AQwBGAGkAbQAgACoAIAByAGgAbwBcAG4AIAAgACAAIAApAFwAbgAgACAAKQA7AFwAbgBcAG4AVgBFAEUAUgBHAF8ANABfADUAXwAxAF8AMQBfAF8ANgBfAFMAdABhAGcAZQAyAE0AZQB0AGgAYQBuAGUAUAByAG8AZAB1AGMAdABpAG8AbgBfAFQAaQB0AGwAZQBcAG4AIAAgAD0ATABBAE0AQgBEAEEAKABcACIAUAByAG8AZAB1AGMAdABpAG8AbgAgAG8AZgAgAG0AZQB0AGgAYQBuAGUAIABpAG4AIABlAGEAYwBoACAAdAByAGUAYQB0AG0AZQBuAHQAIABzAHQAYQBnAGUAIAAyACAATQBNAFMAXAAiACkAOwBcAG4AXABuAFYARQBFAFIARwBfADQAXwA1AF8AMQBfADEAXwBfADYAXwBTAHQAYQBnAGUAMgBNAGUAdABoAGEAbgBlAFAAcgBvAGQAdQBjAHQAaQBvAG4AXwBWAGEAcgBpAGEAYgBsAGUAXABuACAAIAA9AEwAQQBNAEIARABBACgAXAAiAE0AaQBqAG0AVAAyAFwAIgApADsAXABuAFwAbgBWAEUARQBSAEcAXwA0AF8ANQBfADEAXwAxAF8AXwA2AF8AUwB0AGEAZwBlADIATQBlAHQAaABhAG4AZQBQAHIAbwBkAHUAYwB0AGkAbwBuAF8AVQBuAGkAdABcAG4AIAAgAD0ATABBAE0AQgBEAEEAKABcACIAawBnACAAQwBIADQALwBoAGUAYQBkAC8AZABhAHkAXAAiACkAOwBcAG4AXABuAFYARQBFAFIARwBfADQAXwA1AF8AMQBfADEAXwBfADYAXwBTAHQAYQBnAGUAMgBNAGUAdABoAGEAbgBlAFAAcgBvAGQAdQBjAHQAaQBvAG4AXwBTAG8AdQByAGMAZQBcAG4AIAAgAD0ATABBAE0AQgBEAEEAKABcACIAVgBFAEUAUgBHACAAMgAwADIANgA6ACAANAAuADUALgAxAC4AMQAsACAARQBxAHUAYQB0AGkAbwBuACAAKAA2ACkAXAAiACkAOwBcAG4AXABuAFYARQBFAFIARwBfADQAXwA1AF8AMQBfADEAXwBfADYAXwBTAHQAYQBnAGUAMgBNAGUAdABoAGEAbgBlAFAAcgBvAGQAdQBjAHQAaQBvAG4AXwBOAEkAUgBSAGUAZgBlAHIAZQBuAGMAZQBcAG4AIAAgAD0ATABBAE0AQgBEAEEAKABcACIAXAAiACkAOwBcAG4AXABuAFYARQBFAFIARwBfADQAXwA1AF8AMQBfADEAXwBfADYAXwBTAHQAYQBnAGUAMgBNAGUAdABoAGEAbgBlAFAAcgBvAGQAdQBjAHQAaQBvAG4AXwBMAGEAdABlAHgARQBxAHUAYQB0AGkAbwBuAFwAbgAgACAAPQBMAEEATQBCAEQAQQAoAFwAIgBNAF8AewBpAGoAbQAsAFQAPQAyAH0APQBWAFMAVABfAHsAagBtACwAVAA9ADIAfQBcAFwAdABpAG0AZQBzACAAQgBPAFwAXAB0AGkAbQBlAHMAIABNAE0AUwBfAHsAagBtACwAVAA9ADIAfQBcAFwAdABpAG0AZQBzACAATQBDAEYAXwB7AGkAbQB9AFwAXAB0AGkAbQBlAHMAIABcAFwAcgBoAG8AXAAiACkAOwBcAG4AXABuAFYARQBFAFIARwBfADQAXwA1AF8AMQBfADEAXwBfADYAXwBTAHQAYQBnAGUAMg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FwAIgBzAHQAYQB0AGUAXAAiACwAIABcACIAXAAiACwAIABcACIASQBuAHAAdQB0AFwAIgBcAG4AIAAgACAAIAAgACAAIAAgAH0ALAAgAHIALAAgAGMAKQBcAG4AIAAgACAAIAAgACAAKQBcAG4AIAAgACAAIAApAFwAbgAgACAAKQA7AFwAbgBcAG4AVgBFAEUAUgBHAF8ANABfADUAXwAxAF8AMQBfAF8ANgBfAFMAdABhAGcAZQAyAE0AZQB0AGgAYQBuAGUAUAByAG8AZAB1AGMAdABpAG8AbgBfAEEAcgBnAHUAbQBlAG4AdABzAF8ATQBlAHQAaABvAGQAMgBcAG4AIAAgAD0ATABBAE0AQgBEAEEAKABcAG4AIAAgACAAIABNAEEASwBFAEEAUgBSAEEAWQAoADYALAAgADQALABcAG4AIAAgACAAIAAgACAATABBAE0AQgBEAEEAKAByACwAYwAsAFwAbgAgACAAIAAgACAAIAAgACAASQBOAEQARQBYACgAewBcAG4AIAAgACAAIAAgACAAIAAgACAAIABcACIAVgBTAFQAagBtAFQAMgBcACIALABcACIAdgBvAGwAYQB0AGkAbABlACAAcwBvAGwAaQBkAHMAIAB0AHIAYQBuAHMAZgBlAHIAcgBlAGQAIAB0AG8AIAB0AHIAZQBhAHQAbQBlAG4AdAAgAHMAdABhAGcAZQAgADIAIABNAE0AUwBcACIALAAgAFwAIgBrAGcALwBoAGUAYQBkAC8AZABhAHkAXAAiACwAIABcACIAQwBhAGwAYwB1AGwAYQB0AGUAZAAgAGYAcgBvAG0AIAA0AC4ANQAuADEALgAxACAAKAA3ACkAXAAiADsAXABuACAAIAAgACAAIAAgACAAIAAgACAAXAAiAEIATwBcACIALABcACIAZQBtAGkAcwBzAGkAbwBuAHMAIABwAG8AdABlAG4AdABpAGEAbABcACIALAAgAFwAIgBtADMAIABDAEgANAAvAGsAZwAgAFYAUwBcACIALAAgAFwAIgBDAG8AbgBzAHQAYQBuAHQAXAAiADsAXABuACAAIAAgACAAIAAgACAAIAAgACAAXAAiAE0ATQBTAGoAbQBUADIAXAAiACwAXAAiAGYAcgBhAGMAdABpAG8AbgAgAG8AZgAgAG0AYQBuAHUAcgBlACAAaQBuACAAZQBhAGMAaAAgAHMAZQBjAG8AbgBkAGEAcgB5ACAAcwB5AHMAdABlAG0AXAAiACwAIABcACIAZgByAGEAYwB0AGkAbwBuAFwAIgAsACAAXAAiAEkAbgBwAHUAdABcACIAOwBcAG4AIAAgACAAIAAgACAAIAAgACAAIABcACIATQBDAEYAaQBtAFwAIgAsAFwAIgBtAGUAdABoAGEAbgBlACAAYwBvAG4AdgBlAHIAcwBpAG8AbgAgAGYAYQBjAHQAbwByACAAZgBvAHIAIAB0AGUAbQBwAGUAcgBhAHQAZQAgAHoAbwBuAGUAIABhAG4AZAAgAHMAeQBzAHQAZ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NAEEAVABcACIALABcACIATQBlAGEAbgAgAGEAbgBuAHUAYQBsACAAdABlAG0AcABlAHIAYQB0AHUAcgBlAFwAIgAsACAAXAAiALAAQwBcACIALAAgAFwAIgBJAG4AcAB1AHQAXAAiAFwAbgAgACAAIAAgACAAIAAgACAAfQAsACAAcgAsACAAYwApAFwAbgAgACAAIAAgACAAIAApAFwAbgAgACAAIAAgACkAXABuACAAIAApADsAXABuAFwAbgBcAG4ALwAqAFwAbgAtAC0ALQAtAC0ALQAtAC0ALQAtAC0ALQAtAC0ALQAtAC0ALQAtAC0ALQAtAC0ALQAtAC0ALQAtAC0ALQAtAC0ALQAtAC0ALQAtAC0AXABuAFYARQBFAFIARwBfADQAXwA1AF8AMQBfADEAXwBfADcAXwBWAG8AbABhAHQAaQBsAGUAUwBvAGwAaQBkAHMAVAByAGEAbgBzAGYAZQByAHIAZQBkAFMAdABhAGcAZQAyAFwAbgBWAG8AbABhAHQAaQBsAGUAIABzAG8AbABpAGQAcwAgAHQAcgBhAG4AcwBmAGUAcgByAGUAZAAgAHQAbwAgAHQAcgBlAGEAdABtAGUAbgB0ACAAcwB0AGEAZwBlACAAMgAgAE0ATQBTAFwAbgBWAFMAVABpAGoAbQBUADIAXABuAGsAZwAgAFYAUwBcAG4AVgBTAFQAXwB7AGkAagBtACwAVAA9ADIAfQA9AFYAUwBfAHsAagB9AFwAXAB0AGkAbQBlAHMAIABGAFYAUwBfAHsAagBtACwAVAA9ADEAfQBcAFwAdABpAG0AZQBzACgAMQAtAFYAUwBMAF8AewBtACwAVAA9ADEAfQAp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QBfADEAXwAxAF8AXwA3AF8AVgBvAGwAYQB0AGkAbABlAFMAbwBsAGkAZABzAFQAcgBhAG4AcwBmAGUAcgByAGUAZABTAHQAYQBnAGUAMgBcAG4AIAAgAD0ATABBAE0AQgBEAEEAKABcAG4AIAAgACAAIABWAFMAagAsACAARgBWAFMAagBtAFQAMQAsACAAVgBTAEwAbQBUADEALABcAG4AIAAgACAAIABWAFMAagAgACoAIABGAFYAUwBqAG0AVAAxACAAKgAgACgAMQAgAC0AIABWAFMATABtAFQAMQApAFwAbgAgACAAKQA7AFwAbgBcAG4AVgBFAEUAUgBHAF8ANABfADUAXwAxAF8AMQBfAF8ANwBfAFYAbwBsAGEAdABpAGwAZQBTAG8AbABpAGQAcwBUAHIAYQBuAHMAZgBlAHIAcgBlAGQAUwB0AGEAZwBlADIAXwBUAGkAdABsAGUAXABuACAAIAA9AEwAQQBNAEIARABBACgAXAAiAFYAbwBsAGEAdABpAGwAZQAgAHMAbwBsAGkAZABzACAAdAByAGEAbgBzAGYAZQByAHIAZQBkACAAdABvACAAdAByAGUAYQB0AG0AZQBuAHQAIABzAHQAYQBnAGUAIAAyACAATQBNAFMAXAAiACkAOwBcAG4AXABuAFYARQBFAFIARwBfADQAXwA1AF8AMQBfADEAXwBfADcAXwBWAG8AbABhAHQAaQBsAGUAUwBvAGwAaQBkAHMAVAByAGEAbgBzAGYAZQByAHIAZQBkAFMAdABhAGcAZQAyAF8AVgBhAHIAaQBhAGIAbABlAFwAbgAgACAAPQBMAEEATQBCAEQAQQAoAFwAIgBWAFMAVABpAGoAbQBUADIAXAAiACkAOwBcAG4AXABuAFYARQBFAFIARwBfADQAXwA1AF8AMQBfADEAXwBfADcAXwBWAG8AbABhAHQAaQBsAGUAUwBvAGwAaQBkAHMAVAByAGEAbgBzAGYAZQByAHIAZQBkAFMAdABhAGcAZQAyAF8AVQBuAGkAdABcAG4AIAAgAD0ATABBAE0AQgBEAEEAKABcACIAawBnACAAVgBTAFwAIgApADsAXABuAFwAbgBWAEUARQBSAEcAXwA0AF8ANQBfADEAXwAxAF8AXwA3AF8AVgBvAGwAYQB0AGkAbABlAFMAbwBsAGkAZABzAFQAcgBhAG4AcwBmAGUAcgByAGUAZABTAHQAYQBnAGUAMgBfAFMAbwB1AHIAYwBlAFwAbgAgACAAPQBMAEEATQBCAEQAQQAoAFwAIgBWAEUARQBSAEcAIAAyADAAMgA2ADoAIAA0AC4ANQAuADEALgAxACwAIABFAHEAdQBhAHQAaQBvAG4AIAAoADcAKQBcACIAKQA7AFwAbgBcAG4AVgBFAEUAUgBHAF8ANABfADUAXwAxAF8AMQBfAF8ANwBfAFYAbwBsAGEAdABpAGwAZQBTAG8AbABpAGQAcwBUAHIAYQBuAHMAZgBlAHIAcgBlAGQAUwB0AGEAZwBlADIAXwBOAEkAUgBSAGUAZgBlAHIAZQBuAGMAZQBcAG4AIAAgAD0ATABBAE0AQgBEAEEAKABcACIAXAAiACkAOwBcAG4AXABuAFYARQBFAFIARwBfADQAXwA1AF8AMQBfADEAXwBfADcAXwBWAG8AbABhAHQAaQBsAGUAUwBvAGwAaQBkAHMAVAByAGEAbgBzAGYAZQByAHIAZQBkAFMAdABhAGcAZQAyAF8ATABhAHQAZQB4AEUAcQB1AGEAdABpAG8AbgBcAG4AIAAgAD0ATABBAE0AQgBEAEEAKABcACIAVgBTAFQAXwB7AGkAagBtACwAVAA9ADIAfQA9AFYAUwBfAHsAagB9AFwAXAB0AGkAbQBlAHMAIABGAFYAUwBfAHsAagBtACwAVAA9ADEAfQBcAFwAdABpAG0AZQBzACgAMQAtAFYAUwBMAF8AewBtACwAVAA9ADEAfQApAFwAIgApADsAXABuAFwAbgBWAEUARQBSAEcAXwA0AF8ANQBfADEAXwAxAF8AXwA3AF8AVgBvAGwAYQB0AGkAbABlAFMAbwBsAGkAZABzAFQAcgBhAG4AcwBmAGUAcgByAGUAZABTAHQAYQBnAGUAMgBfAEEAcgBnAHUAbQBlAG4AdABzAFwAbgAgACAAPQBMAEEATQBCAEQAQQAoAFwAbgAgACAAIAAgAE0AQQBLAEUAQQBSAFIAQQBZACgAMwAsACAANA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FwAIgAsACAAXAAiAGsAZwAvAGgAZQBhAGQALwBkAGEAeQBcACIALAAgAFwAIgBJAG4AcAB1AHQAXAAiADsAXABuACAAIAAgACAAIAAgACAAIAAgACAAXAAiAEYAVgBTAGoAbQBUADEAXAAiACwAXAAiAGYAcgBhAGMAdABpAG8AbgAgAG8AZgAgAHYAbwBsAGEAdABpAGwAZQAgAHMAbwBsAGkAZABzACAAaQBuACAAZQBhAGMAaAAgAHAAcgBpAG0AYQByAHkAIABzAHkAcwB0AGUAbQBcACIALAAgAFwAIgBmAHIAYQBjAHQAaQBvAG4AXAAiACwAIABcACIAQwBhAGwAYwB1AGwAYQB0AGUAZAAgAGYAcgBvAG0AIAA0AC4ANQAuADEALgAxACAAKAA0ACkAKAA1ACkAXAAiADsAXABuACAAIAAgACAAIAAgACAAIAAgACAAXAAiAFYAUwBMAG0AVAAxAFwAIgAsAFwAIgBmAHIAYQBjAHQAaQBvAG4AIABvAGYAIAB2AG8AbABhAHQAaQBsAGUAIABzAG8AbABpAGQAcwAgAGwAbwBzAHQAIABkAHUAcgBpAG4AZwAgAHMAdABvAHIAYQBnAGUAIABpAG4AIAB0AGgAZQAgAHAAcgBpAG0AYQByAHkAIABzAHkAcwB0AGUAbQBcACIALAAgAFwAIgBmAHIAYQBjAHQAaQBvAG4AXAAiACwAIABcACIATABvAG8AawB1AHAAXAAiAFwAbgAgACAAIAAgACAAIAAgACAAfQAsACAAcgAsACAAYwApAFwAbgAgACAAIAAgACAAIAApAFwAbgAgACAAIAAgACkAXABuACAAIAApADsAIgB9ACwAewAiAHAAYQB0AGgAIgA6ACIALwBwAHIAbwBqAGUAYwB0AHMALwBNAE0AUwBfAFMAdwBpAG4AZQ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1ADoAIABTAHcAaQBuAGUAXABuAD0APQA9AD0APQA9AD0APQA9AD0APQA9AD0APQA9AD0APQA9AD0APQA9AD0APQA9AD0APQA9AD0APQA9AD0APQA9AD0APQA9AD0APQA9AD0APQA9AD0APQA9AD0APQA9AD0APQA9AD0APQA9AD0APQA9AD0APQA9AD0APQA9AD0APQA9AD0APQA9AD0APQA9AD0APQA9AD0AXABuADQALgA1AC4AMQAuADMAIABNAGUAdABoAG8AZAAgADEAIAAtACAATQBhAG4AdQByAGUAIABEAGkAcgBlAGMAdA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0AfQBcAFwAcwB1AG0AXwB7AFQAfQAoAE0ATgBfAHsAagBtAFQAfQBcAFwAdABpAG0AZQBzACAARQBGAF8AewBqAG0AfQBcAFwAdABpAG0AZQBzACAAQwBfAHsATgAyAE8AfQApAFwAXAB0AGkAbQBlAHMAMQAwAF4AewAtADMAfQBcAG4ATQBOAF8AagBtAFQAIAA9ACAAbgBpAHQAcgBvAGcAZQBuACAAcABlAHIAIABzAHcAaQBuAGUAIABjAGwAYQBzAHMALAAgAE0ATQBTACAAYQBuAGQAIAB0AHIAZQBhAHQAbQBlAG4AdAAgAHMAdABhAGcAZQAgACgAawBnACAATgApAFwAbgBFAEYAXwBqAG0AIAA9ACAAbgBpAHQAcgBvAHUAcwAgAG8AeABpAGQAZQAgAGUAbQBpAHMAcwBpAG8AbgAgAGYAYQBjAHQAbwByACAAZgBvAHIAIABNAE0AUw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QBfADEAXwAzAF8AXwAxAF8AVABvAHQAYQBsAEEAbgBuAHUAYQBsAEQAaQByAGUAYwB0AE4AaQB0AHIAbwB1AHMATwB4AGkAZABlAEUAbQBpAHMAcwBpAG8AbgBzAEYAcgBvAG0ATQBNAFMAXABuACAAIAA9AEwAQQBNAEIARABBACgAXABuACAAIAAgACAATQBOAF8AagBtAFQALAAgAEUARgBfAGoAbQAsACAAQwBfAE4AMgBPACwAXABuACAAIAAgACAATQBOAF8AagBtAFQAIAAqACAARQBGAF8AagBtACAAKgAgAEMAXwBOADIATwAgACoAIAAxADAAIABeACAALQAzAFwAbgAgACAAKQA7AFwAbgBcAG4AVgBFAEUAUgBHAF8ANABfADU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1AF8AMQBfADMAXwBfADEAXwBUAG8AdABhAGwAQQBuAG4AdQBhAGwARABpAHIAZQBjAHQATgBpAHQAcgBvAHUAcwBPAHgAaQBkAGUARQBtAGkAcwBzAGkAbwBuAHMARgByAG8AbQBNAE0AUwBfAFYAYQByAGkAYQBiAGwAZQBcAG4AIAAgAD0ATABBAE0AQgBEAEEAKABcACIARQBfAE4AMgBPAGQAaQByAFwAIgApADsAXABuAFwAbgBWAEUARQBSAEcAXwA0AF8ANQBfADEAXwAzAF8AXwAxAF8AVABvAHQAYQBsAEEAbgBuAHUAYQBsAEQAaQByAGUAYwB0AE4AaQB0AHIAbwB1AHMATwB4AGkAZABlAEUAbQBpAHMAcwBpAG8AbgBzAEYAcgBvAG0ATQBNAFMAXwBVAG4AaQB0AFwAbgAgACAAPQBMAEEATQBCAEQAQQAoAFwAIgB0ACAATgAyAE8AXAAiACkAOwBcAG4AXABuAFYARQBFAFIARwBfADQAXwA1AF8AMQBfADMAXwBfADEAXwBUAG8AdABhAGwAQQBuAG4AdQBhAGwARABpAHIAZQBjAHQATgBpAHQAcgBvAHUAcwBPAHgAaQBkAGUARQBtAGkAcwBzAGkAbwBuAHMARgByAG8AbQBNAE0AUwBfAFMAbwB1AHIAYwBlAFwAbgAgACAAPQBMAEEATQBCAEQAQQAoAFwAIgBWAEUARQBSAEcAIAAyADAAMgA2ADoAIAA0AC4ANQAuADEALgAzACwAIABFAHEAdQBhAHQAaQBvAG4AIAAoADEAKQBcACIAKQA7AFwAbgBcAG4AVgBFAEUAUgBHAF8ANABfADUAXwAxAF8AMwBfAF8AMQBfAFQAbwB0AGEAbABBAG4AbgB1AGEAbABEAGkAcgBlAGMAdABOAGkAdAByAG8AdQBzAE8AeABpAGQAZQBFAG0AaQBzAHMAaQBvAG4AcwBGAHIAbwBtAE0ATQBTAF8ATgBJAFIAUgBlAGYAZQByAGUAbgBjAGUAXABuACAAIAA9AEwAQQBNAEIARABBACgAXAAiAFwAIgApADsAXABuAFwAbgBWAEUARQBSAEcAXwA0AF8ANQ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0AfQBcAFwAcwB1AG0AXwB7AFQAfQAoAE0ATgBfAHsAagBtAFQAfQBcAFwAdABpAG0AZQBzACAARQBGAF8AewBqAG0AfQBcAFwAdABpAG0AZQBzACAAQwBfAHsATgAyAE8AfQApAFwAXAB0AGkAbQBlAHMAMQAwAF4AewAtADMAfQBcACIAKQA7AFwAbgBcAG4AVgBFAEUAUgBHAF8ANABfADUAXwAxAF8AMwBfAF8AMQBfAFQAbwB0AGEAbABBAG4AbgB1AGEAbABEAGkAcgBlAGMAdABOAGkAdAByAG8AdQBzAE8AeABpAGQAZQBFAG0AaQBzAHMAaQBvAG4AcwBGAHIAbwBtAE0ATQBTAF8AQQByAGcAdQBtAGUAbgB0AHMAXABuACAAIAA9AEwAQQBNAEIARABBACgAXABuACAAIAAgACAATQBBAEsARQBBAFIAUgBBAFkAKAAzACwAIAA0ACwAXABuACAAIAAgACAAIAAgAEwAQQBNAEIARABBACgAcgAsAGMALABcAG4AIAAgACAAIAAgACAAIAAgAEkATgBEAEUAWAAoAHsAXABuACAAIAAgACAAIAAgACAAIAAgACAAXAAiAE0ATgBfAGoAbQBUAFwAIgAsACAAXAAiAG4AaQB0AHIAbwBnAGUAbgAgAHAAZQByACAAcwB3AGkAbgBlACAAYwBsAGEAcwBzACwAIABNAE0AUwAgAGEAbgBkACAAdAByAGUAYQB0AG0AZQBuAHQAIABzAHQAYQBnAGUAXAAiACwAIABcACIAawBnACAATgBcACIALAAgAFwAIgBDAGEAbABjAHUAbABhAHQAZQBkACAAZgByAG8AbQAgADQALgA1AC4AMQAuADMAIAAoADIAKQAoADYAKQBcACIAOwBcAG4AIAAgACAAIAAgACAAIAAgACAAIABcACIARQBGAF8AagBtAFwAIgAsACAAXAAiAG4AaQB0AHIAbwB1AHMAIABvAHgAaQBkAGUAIABlAG0AaQBzAHMAaQBvAG4AIABmAGEAYwB0AG8AcgAgAGYAbwByACAATQBNAFM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yAF8AUwB0AGEAZwBlADEATgBpAHQAcgBvAGcAZQBuAEkAbgBNAE0AUwBcAG4ATgBpAHQAcgBvAGcAZQBuACAAaQBuACAAdAByAGUAYQB0AG0AZQBuAHQAIABzAHQAYQBnAGUAIAAxACAATQBNAFMAXABuAE0ATgBfAGoAbQBUADEAXABuAGsAZwAgAE4AXABuAE0ATgBfAHsAagBtACwAVAA9ADEAfQA9AEEARQBfAHsAagB9AFwAXAB0AGkAbQBlAHMAIABGAE4AXwB7AGoAbQAsAFQAPQAxAH0AXABuAEEARQBfAGoAIAA9ACAAdABvAHQAYQBsACAAbgBpAHQAcgBvAGcAZQBuACAAZQB4AGMAcgBlAHQAZQBkACAAYgB5ACAAZQBhAGMAaAAgAHMAdwBpAG4AZQAgAGMAbABhAHMAcwAgACgAawBnACAATgApAFwAbgBGAE4AXwBqAG0AVAAxACAAPQAgAGYAcgBhAGMAdABpAG8AbgAgAG8AZgAgAG4AaQB0AHIAbwBnAGUAbgAgAGkAbgAgAGUAYQBjAGgAIABwAHIAaQBtAGEAcgB5ACAATQBNAFMAIABzAHkAcwB0AGUAbQBcAG4ALQAtAC0ALQAtAC0ALQAtAC0ALQAtAC0ALQAtAC0ALQAtAC0ALQAtAC0ALQAtAC0ALQAtAC0ALQAtAC0ALQAtAC0ALQAtAC0ALQAtAFwAbgAqAC8AXABuAFwAbgBWAEUARQBSAEcAXwA0AF8ANQBfADEAXwAzAF8AXwAyAF8AUwB0AGEAZwBlADEATgBpAHQAcgBvAGcAZQBuAEkAbgBNAE0AUwBcAG4AIAAgAD0ATABBAE0AQgBEAEEAKABcAG4AIAAgACAAIABBAEUAXwBqACwAIABGAE4AXwBqAG0AVAAxACwAXABuACAAIAAgACAAQQBFAF8AagAgACoAIABGAE4AXwBqAG0AVAAxAFwAbgAgACAAKQA7AFwAbgBcAG4AVgBFAEUAUgBHAF8ANABfADUAXwAxAF8AMwBfAF8AMgBfAFMAdABhAGcAZQAxAE4AaQB0AHIAbwBnAGUAbgBJAG4ATQBNAFMAXwBUAGkAdABsAGUAXABuACAAIAA9AEwAQQBNAEIARABBACgAXAAiAE4AaQB0AHIAbwBnAGUAbgAgAGkAbgAgAHQAcgBlAGEAdABtAGUAbgB0ACAAcwB0AGEAZwBlACAAMQAgAE0ATQBTAFwAIgApADsAXABuAFwAbgBWAEUARQBSAEcAXwA0AF8ANQBfADEAXwAzAF8AXwAyAF8AUwB0AGEAZwBlADEATgBpAHQAcgBvAGcAZQBuAEkAbgBNAE0AUwBfAFYAYQByAGkAYQBiAGwAZQBcAG4AIAAgAD0ATABBAE0AQgBEAEEAKABcACIATQBOAF8AagBtAFQAMQBcACIAKQA7AFwAbgBcAG4AVgBFAEUAUgBHAF8ANABfADUAXwAxAF8AMwBfAF8AMgBfAFMAdABhAGcAZQAxAE4AaQB0AHIAbwBnAGUAbgBJAG4ATQBNAFMAXwBVAG4AaQB0AFwAbgAgACAAPQBMAEEATQBCAEQAQQAoAFwAIgBrAGcAIABOAFwAIgApADsAXABuAFwAbgBWAEUARQBSAEcAXwA0AF8ANQBfADEAXwAzAF8AXwAyAF8AUwB0AGEAZwBlADEATgBpAHQAcgBvAGcAZQBuAEkAbgBNAE0AUwBfAFMAbwB1AHIAYwBlAFwAbgAgACAAPQBMAEEATQBCAEQAQQAoAFwAIgBWAEUARQBSAEcAIAAyADAAMgA2ADoAIAA0AC4ANQAuADEALgAzACwAIABFAHEAdQBhAHQAaQBvAG4AIAAoADIAKQBcACIAKQA7AFwAbgBcAG4AVgBFAEUAUgBHAF8ANABfADUAXwAxAF8AMwBfAF8AMgBfAFMAdABhAGcAZQAxAE4AaQB0AHIAbwBnAGUAbgBJAG4ATQBNAFMAXwBOAEkAUgBSAGUAZgBlAHIAZQBuAGMAZQBcAG4AIAAgAD0ATABBAE0AQgBEAEEAKABcACIAXAAiACkAOwBcAG4AXABuAFYARQBFAFIARwBfADQAXwA1AF8AMQBfADMAXwBfADIAXwBTAHQAYQBnAGUAMQBOAGkAdAByAG8AZwBlAG4ASQBuAE0ATQBTAF8ATABhAHQAZQB4AEUAcQB1AGEAdABpAG8AbgBcAG4AIAAgAD0ATABBAE0AQgBEAEEAKABcACIATQBOAF8AewBqAG0ALABUAD0AMQB9AD0AQQBFAF8AewBqAH0AXABcAHQAaQBtAGUAcwAgAEYATgBfAHsAagBtACwAVAA9ADEAfQBcACIAKQA7AFwAbgBcAG4AVgBFAEUAUgBHAF8ANABfADUAXwAxAF8AMwBfAF8AMgBfAFMAdABhAGcAZQAxAE4AaQB0AHIAbwBnAGUAbgBJAG4ATQBNAFMAXwBBAHIAZwB1AG0AZQBuAHQAcwBcAG4AIAAgAD0ATABBAE0AQgBEAEEAKABcAG4AIAAgACAAIABNAEEASwBFAEEAUgBSAEEAWQAoADIALAAgADQALABcAG4AIAAgACAAIAAgACAATABBAE0AQgBEAEEAKAByACwAYwAsAFwAbgAgACAAIAAgACAAIAAgACAASQBOAEQARQBYACgAewBcAG4AIAAgACAAIAAgACAAIAAgACAAIABcACIAQQBFAF8AagBcACIALAAgAFwAIgB0AG8AdABhAGwAIABuAGkAdAByAG8AZwBlAG4AIABlAHgAYwByAGUAdABlAGQAIABiAHkAIABlAGEAYwBoACAAcwB3AGkAbgBlACAAYwBsAGEAcwBzAFwAIgAsACAAXAAiAGsAZwAgAE4AXAAiACwAIABcACIAQwBhAGwAYwB1AGwAYQB0AGUAZAAgAGYAcgBvAG0AIAA0AC4ANQAuADEALgAzACAAKAA1ACkAXAAiADsAXABuACAAIAAgACAAIAAgACAAIAAgACAAXAAiAEYATgBfAGoAbQBUADEAXAAiACwAIABcACIAZgByAGEAYwB0AGkAbwBuACAAbwBmACAAbgBpAHQAcgBvAGcAZQBuACAAaQBuACAAZQBhAGMAaAAgAHAAcgBpAG0AYQByAHkAIABNAE0AUwAgAHMAeQBzAHQAZQBtAFwAIgAsACAAXAAiAGYAcgBhAGMAdABpAG8AbgBcACIALAAgAFwAIgBDAGEAbABjAHUAbABhAHQAZQBkACAAZgByAG8AbQAgADQALgA1AC4AMQAuADMAIAAoADMAKQAoADQAKQ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zAF8ARgByAGEAYwB0AGkAbwBuAE8AZgBOAGkAdAByAG8AZwBlAG4ASQBuAFAAcgBpAG0AYQByAHkATQBNAFMAXABuAEYAcgBhAGMAdABpAG8AbgAgAG8AZgAgAG4AaQB0AHIAbwBnAGUAbgAgAGkAbgAgAGUAYQBjAGgAIABwAHIAaQBtAGEAcgB5ACAATQBNAFMAIAAoAGUAeABjAGwAdQBkAGkAbgBnACAAcwBvAGwAaQBkACAAcwB0AG8AcgBhAGcAZQApAFwAbgBGAE4AXwBqAG0AVAAxAFwAbgBmAHIAYQBjAHQAaQBvAG4AXABuAEYATgBfAHsAagBtACwAVAA9ADEAfQA9AE0ATQBTAF8AewBqAG0ALABUAD0AMQB9AFwAXAB0AGkAbQBlAHMAKAAxAC0AUwBOAF8AewBtAH0AKQBcAG4ATQBNAFMAXwBqAG0AVAAxACAAPQAgAGYAcgBhAGMAdABpAG8AbgAgAG8AZgAgAG0AYQBuAHUAcgBlACAAaQBuACAAcAByAGkAbQBhAHIAeQAgAE0ATQBTAFwAbgBTAE4AXwBtACAAPQAgAGYAcgBhAGMAdABpAG8AbgAgAG8AZgAgAG4AaQB0AHIAbwBnAGUAbgAgAHMAZQBwAGEAcgBhAHQAZQBkACAAdABvACAAcwBvAGwAaQBkACAAcwB0AG8AcgBhAGcAZQAgAGYAbwByACAAZQBhAGMAaAAgAE0ATQBTAFwAbgAtAC0ALQAtAC0ALQAtAC0ALQAtAC0ALQAtAC0ALQAtAC0ALQAtAC0ALQAtAC0ALQAtAC0ALQAtAC0ALQAtAC0ALQAtAC0ALQAtAC0AXABuACoALwBcAG4AXABuAFYARQBFAFIARwBfADQAXwA1AF8AMQBfADMAXwBfADMAXwBGAHIAYQBjAHQAaQBvAG4ATwBmAE4AaQB0AHIAbwBnAGUAbgBJAG4AUAByAGkAbQBhAHIAeQBNAE0AUwBcAG4AIAAgAD0ATABBAE0AQgBEAEEAKABcAG4AIAAgACAAIABNAE0AUwBfAGoAbQBUADEALAAgAFMATgBfAG0ALABcAG4AIAAgACAAIABNAE0AUwBfAGoAbQBUADEAIAAqACAAKAAxACAALQAgAFMATgBfAG0AKQBcAG4AIAAgACkAOwBcAG4AXABuAFYARQBFAFIARwBfADQAXwA1AF8AMQBfADMAXwBfADMAXwBGAHIAYQBjAHQAaQBvAG4ATwBmAE4AaQB0AHIAbwBnAGUAbgBJAG4AUAByAGkAbQBhAHIAeQBNAE0AUwBfAFQAaQB0AGwAZQBcAG4AIAAgAD0ATABBAE0AQgBEAEEAKABcACIARgByAGEAYwB0AGkAbwBuACAAbwBmACAAbgBpAHQAcgBvAGcAZQBuACAAaQBuACAAZQBhAGMAaAAgAHAAcgBpAG0AYQByAHkAIABNAE0AUwAgACgAZQB4AGMAbAB1AGQAaQBuAGcAIABzAG8AbABpAGQAIABzAHQAbwByAGEAZwBlACkAXAAiACkAOwBcAG4AXABuAFYARQBFAFIARwBfADQAXwA1AF8AMQBfADMAXwBfADMAXwBGAHIAYQBjAHQAaQBvAG4ATwBmAE4AaQB0AHIAbwBnAGUAbgBJAG4AUAByAGkAbQBhAHIAeQBNAE0AUwBfAFYAYQByAGkAYQBiAGwAZQBcAG4AIAAgAD0ATABBAE0AQgBEAEEAKABcACIARgBOAF8AagBtAFQAMQBcACIAKQA7AFwAbgBcAG4AVgBFAEUAUgBHAF8ANABfADUAXwAxAF8AMwBfAF8AMwBfAEYAcgBhAGMAdABpAG8AbgBPAGYATgBpAHQAcgBvAGcAZQBuAEkAbgBQAHIAaQBtAGEAcgB5AE0ATQBTAF8AVQBuAGkAdABcAG4AIAAgAD0ATABBAE0AQgBEAEEAKABcACIAZgByAGEAYwB0AGkAbwBuAFwAIgApADsAXABuAFwAbgBWAEUARQBSAEcAXwA0AF8ANQBfADEAXwAzAF8AXwAzAF8ARgByAGEAYwB0AGkAbwBuAE8AZgBOAGkAdAByAG8AZwBlAG4ASQBuAFAAcgBpAG0AYQByAHkATQBNAFMAXwBTAG8AdQByAGMAZQBcAG4AIAAgAD0ATABBAE0AQgBEAEEAKABcACIAVgBFAEUAUgBHACAAMgAwADIANgA6ACAANAAuADUALgAxAC4AMwAsACAARQBxAHUAYQB0AGkAbwBuACAAKAAzACkAXAAiACkAOwBcAG4AXABuAFYARQBFAFIARwBfADQAXwA1AF8AMQBfADMAXwBfADMAXwBGAHIAYQBjAHQAaQBvAG4ATwBmAE4AaQB0AHIAbwBnAGUAbgBJAG4AUAByAGkAbQBhAHIAeQBNAE0AUwBfAE4ASQBSAFIAZQBmAGUAcgBlAG4AYwBlAFwAbgAgACAAPQBMAEEATQBCAEQAQQAoAFwAIgBcACIAKQA7AFwAbgBcAG4AVgBFAEUAUgBHAF8ANABfADUAXwAxAF8AMwBfAF8AMwBfAEYAcgBhAGMAdABpAG8AbgBPAGYATgBpAHQAcgBvAGcAZQBuAEkAbgBQAHIAaQBtAGEAcgB5AE0ATQBTAF8ATABhAHQAZQB4AEUAcQB1AGEAdABpAG8AbgBcAG4AIAAgAD0ATABBAE0AQgBEAEEAKABcACIARgBOAF8AewBqAG0ALABUAD0AMQB9AD0ATQBNAFMAXwB7AGoAbQAsAFQAPQAxAH0AXABcAHQAaQBtAGUAcwAoADEALQBTAE4AXwB7AG0AfQApAFwAIgApADsAXABuAFwAbgBWAEUARQBSAEcAXwA0AF8ANQBfADEAXwAzAF8AXwAzAF8ARgByAGEAYwB0AGkAbwBuAE8AZgBOAGkAdAByAG8AZwBlAG4ASQBuAFAAcgBpAG0AYQByAHkATQBNAFMAXwBBAHIAZwB1AG0AZQBuAHQAcwBcAG4AIAAgAD0ATABBAE0AQgBEAEEAKABcAG4AIAAgACAAIABNAEEASwBFAEEAUgBSAEEAWQAoADIALAAgADQALABcAG4AIAAgACAAIAAgACAATABBAE0AQgBEAEEAKAByACwAYwAsAFwAbgAgACAAIAAgACAAIAAgACAASQBOAEQARQBYACgAewBcAG4AIAAgACAAIAAgACAAIAAgACAAIABcACIATQBNAFMAXwBqAG0AVAAxAFwAIgAsACAAXAAiAGYAcgBhAGMAdABpAG8AbgAgAG8AZgAgAG0AYQBuAHUAcgBlACAAaQBuACAAcAByAGkAbQBhAHIAeQAgAE0ATQBTAFwAIgAsACAAXAAiAGYAcgBhAGMAdABpAG8AbgBcACIALAAgAFwAIgBJAG4AcAB1AHQAXAAiADsAXABuACAAIAAgACAAIAAgACAAIAAgACAAXAAiAFMATgBfAG0AXAAiACwAIABcACIAZgByAGEAYwB0AGkAbwBuACAAbwBmACAAbgBpAHQAcgBvAGcAZQBuACAAcwBlAHAAYQByAGEAdABlAGQAIAB0AG8AIABzAG8AbABpAGQAIABzAHQAbwByAGEAZwBlACAAZgBvAHIAIABlAGEAYwBoACAATQBNAFM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zAF8AXwA0AF8ARgByAGEAYwB0AGkAbwBuAE8AZgBOAGkAdAByAG8AZwBlAG4ASQBuAFMAbwBsAGkAZABTAHQAbwByAGEAZwBlAFwAbgBGAHIAYQBjAHQAaQBvAG4AIABvAGYAIABuAGkAdAByAG8AZwBlAG4AIABpAG4AIABzAG8AbABpAGQAIABzAHQAbwByAGEAZwBlAFwAbgBGAE4AXwBqAG0ANABUADEAXABuAGYAcgBhAGMAdABpAG8AbgBcAG4ARgBOAF8AewBqAG0APQA0ACwAVAA9ADEAfQA9AE0ATQBTAF8AewBqAG0APQA0ACwAVAA9ADEAfQArACgATQBNAFMAXwB7AGoAbQA9ADEALAA3ACwAOQAsAFQAPQAxAH0AXABcAHQAaQBtAGUAcwAgAFMATgBfAHsAbQB9ACkAXABuAE0ATQBTAF8AagBtADQAVAAxACAAPQAgAGYAcgBhAGMAdABpAG8AbgAgAG8AZgAgAG0AYQBuAHUAcgBlACAAaQBuACAAcwBvAGwAaQBkACAAcwB0AG8AcgBhAGcAZQAgAE0ATQBTAFwAbgBNAE0AUwBfAGoAbQAxADcAOQBUADEAIAA9ACAAZgByAGEAYwB0AGkAbwBuACAAbwBmACAAbQBhAG4AdQByAGUAIABpAG4AIABwAHIAaQBtAGEAcgB5ACAAbABpAHEAdQBpAGQAIABzAHkAcwB0AGUAbQBzACAAKABtAD0AMQAsADcALAA5ACkAXABuAFMATgBfAG0AIAA9ACAAZgByAGEAYwB0AGkAbwBuACAAbwBmACAAbgBpAHQAcgBvAGcAZQBuACAAcwBlAHAAYQByAGEAdABlAGQAIAB0AG8AIABzAG8AbABpAGQAIABzAHQAbwByAGEAZwBlACAAZgBvAHIAIABlAGEAYwBoACAATQBNAFMAXABuAC0ALQAtAC0ALQAtAC0ALQAtAC0ALQAtAC0ALQAtAC0ALQAtAC0ALQAtAC0ALQAtAC0ALQAtAC0ALQAtAC0ALQAtAC0ALQAtAC0ALQBcAG4AKgAvAFwAbgBcAG4AVgBFAEUAUgBHAF8ANABfADUAXwAxAF8AMwBfAF8ANABfAEYAcgBhAGMAdABpAG8AbgBPAGYATgBpAHQAcgBvAGcAZQBuAEkAbgBTAG8AbABpAGQAUwB0AG8AcgBhAGcAZQBcAG4AIAAgAD0ATABBAE0AQgBEAEEAKABcAG4AIAAgACAAIABNAE0AUwBfAGoAbQA0AFQAMQAsACAATQBNAFMAXwBqAG0AMQA3ADkAVAAxACwAIABTAE4AXwBtACwAXABuACAAIAAgACAATQBNAFMAXwBqAG0ANABUADEAIAArACAAKABNAE0AUwBfAGoAbQAxADcAOQBUADEAIAAqACAAUwBOAF8AbQApAFwAbgAgACAAKQA7AFwAbgBcAG4AVgBFAEUAUgBHAF8ANABfADUAXwAxAF8AMwBfAF8ANABfAEYAcgBhAGMAdABpAG8AbgBPAGYATgBpAHQAcgBvAGcAZQBuAEkAbgBTAG8AbABpAGQAUwB0AG8AcgBhAGcAZQBWAGEAcgBpAGEAdABpAG8AbgBcAG4AIAAgAD0ATABBAE0AQgBEAEEAKABcAG4AIAAgACAAIABNAE0AUwBf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QBNAFMAXwBqAG0ANABUADEAIAArACAAKABNAE0AUwBqAG0AVAAxAF8AMQAgACoAIABTAFMAagBtAFQAMQBfADEAKQAgACsAIAAoAE0ATQBTAGoAbQBUADEAXwAyACAAKgAgAFMAUwBqAG0AVAAxAF8AMgApACAAKwAgACgATQBNAFMAagBtAFQAMQBfADMAIAAqACAAUwBTAGoAbQBUADEAXwAzACkAIAArACAAKABNAE0AUwBqAG0AVAAxAF8ANAAgACoAIABTAFMAagBtAFQAMQBfADQAKQAgACsAIAAoAE0ATQBTAGoAbQBUADEAXwA1ACAAKgAgAFMAUwBqAG0AVAAxAF8ANQApAFwAbgAgACAAKQA7AFwAbgBcAG4AVgBFAEUAUgBHAF8ANABfADUAXwAxAF8AMwBfAF8ANABfAEYAcgBhAGMAdABpAG8AbgBPAGYATgBpAHQAcgBvAGcAZQBuAEkAbgBTAG8AbABpAGQAUwB0AG8AcgBhAGcAZQBfAFQAaQB0AGwAZQBcAG4AIAAgAD0ATABBAE0AQgBEAEEAKABcACIARgByAGEAYwB0AGkAbwBuACAAbwBmACAAbgBpAHQAcgBvAGcAZQBuACAAaQBuACAAcwBvAGwAaQBkACAAcwB0AG8AcgBhAGcAZQBcACIAKQA7AFwAbgBcAG4AVgBFAEUAUgBHAF8ANABfADUAXwAxAF8AMwBfAF8ANABfAEYAcgBhAGMAdABpAG8AbgBPAGYATgBpAHQAcgBvAGcAZQBuAEkAbgBTAG8AbABpAGQAUwB0AG8AcgBhAGcAZQBfAFYAYQByAGkAYQBiAGwAZQBcAG4AIAAgAD0ATABBAE0AQgBEAEEAKABcACIARgBOAF8AagBtADQAVAAxAFwAIgApADsAXABuAFwAbgBWAEUARQBSAEcAXwA0AF8ANQBfADEAXwAzAF8AXwA0AF8ARgByAGEAYwB0AGkAbwBuAE8AZgBOAGkAdAByAG8AZwBlAG4ASQBuAFMAbwBsAGkAZABTAHQAbwByAGEAZwBlAF8AVQBuAGkAdABcAG4AIAAgAD0ATABBAE0AQgBEAEEAKABcACIAZgByAGEAYwB0AGkAbwBuAFwAIgApADsAXABuAFwAbgBWAEUARQBSAEcAXwA0AF8ANQBfADEAXwAzAF8AXwA0AF8ARgByAGEAYwB0AGkAbwBuAE8AZgBOAGkAdAByAG8AZwBlAG4ASQBuAFMAbwBsAGkAZABTAHQAbwByAGEAZwBlAF8AUwBvAHUAcgBjAGUAXABuACAAIAA9AEwAQQBNAEIARABBACgAXAAiAFYARQBFAFIARwAgADIAMAAyADYAOgAgADQALgA1AC4AMQAuADMALAAgAEUAcQB1AGEAdABpAG8AbgAgACgANAApAFwAIgApADsAXABuAFwAbgBWAEUARQBSAEcAXwA0AF8ANQBfADEAXwAzAF8AXwA0AF8ARgByAGEAYwB0AGkAbwBuAE8AZgBOAGkAdAByAG8AZwBlAG4ASQBuAFMAbwBsAGkAZABTAHQAbwByAGEAZwBlAF8ATgBJAFIAUgBlAGYAZQByAGUAbgBjAGUAXABuACAAIAA9AEwAQQBNAEIARABBACgAXAAiAFwAIgApADsAXABuAFwAbgBWAEUARQBSAEcAXwA0AF8ANQBfADEAXwAzAF8AXwA0AF8ARgByAGEAYwB0AGkAbwBuAE8AZgBOAGkAdAByAG8AZwBlAG4ASQBuAFMAbwBsAGkAZABTAHQAbwByAGEAZwBlAF8ATABhAHQAZQB4AEUAcQB1AGEAdABpAG8AbgBcAG4AIAAgAD0ATABBAE0AQgBEAEEAKABcACIARgBOAF8AewBqAG0APQA0ACwAVAA9ADEAfQA9AE0ATQBTAF8AewBqAG0APQA0ACwAVAA9ADEAfQArACgATQBNAFMAXwB7AGoAbQA9ADEALAA3ACwAOQAsAFQAPQAxAH0AXABcAHQAaQBtAGUAcwAgAFMATgBfAHsAbQB9ACkAXAAiACkAOwBcAG4AXABuAFYARQBFAFIARwBfADQAXwA1AF8AMQBfADMAXwBfADQAXwBGAHIAYQBjAHQAaQBvAG4ATwBmAE4AaQB0AHIAbwBnAGUAbgBJAG4AUwBvAGwAaQBkAFMAdABvAHIAYQBnAGUAXwBMAGEAdABlAHgARQBxAHUAYQB0AGkAbwBuAFYAYQByAGkAYQB0AGkAbwBuAFwAbgAgACAAPQBMAEEATQBCAEQAQQAoAFwAIgBGAE4AXwB7AGoAbQA9ADQALABUAD0AMQB9AD0ATQBNAFMAXwB7AGo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zAF8AXwA0AF8ARgByAGEAYwB0AGkAbwBuAE8AZgBOAGkAdAByAG8AZwBlAG4ASQBuAFMAbwBsAGkAZABTAHQAbwByAGEAZwBlAF8AQQByAGcAdQBtAGUAbgB0AHMAXABuACAAIAA9AEwAQQBNAEIARABBACgAXABuACAAIAAgACAATQBBAEsARQBBAFIAUgBBAFkAKAAzACwAIAA0ACwAXABuACAAIAAgACAAIAAgAEwAQQBNAEIARABBACgAcgAsAGMALABcAG4AIAAgACAAIAAgACAAIAAgAEkATgBEAEUAWAAoAHsAXABuACAAIAAgACAAIAAgACAAIAAgACAAXAAiAE0ATQBTAF8AagBtADQAVAAxAFwAIgAsACAAXAAiAGYAcgBhAGMAdABpAG8AbgAgAG8AZgAgAG0AYQBuAHUAcgBlACAAaQBuACAAcwBvAGwAaQBkACAAcwB0AG8AcgBhAGcAZQAgAE0ATQBTAFwAIgAsACAAXAAiAGYAcgBhAGMAdABpAG8AbgBcACIALAAgAFwAIgBJAG4AcAB1AHQAXAAiADsAXABuACAAIAAgACAAIAAgACAAIAAgACAAXAAiAE0ATQBTAF8AagBtADEANwA5AFQAMQBcACIALAAgAFwAIgBmAHIAYQBjAHQAaQBvAG4AIABvAGYAIABtAGEAbgB1AHIAZQAgAGkAbgAgAHAAcgBpAG0AYQByAHkAIABsAGkAcQB1AGkAZAAgAHMAeQBzAHQAZQBtAHMAIAAoAG0APQAxACwANwAsADkAKQBcACIALAAgAFwAIgBmAHIAYQBjAHQAaQBvAG4AXAAiACwAIABcACIASQBuAHAAdQB0AFwAIgA7AFwAbgAgACAAIAAgACAAIAAgACAAIAAgAFwAIgBTAE4AXwBtAFwAIgAsACAAXAAiAGYAcgBhAGMAdABpAG8AbgAgAG8AZgAgAG4AaQB0AHIAbwBnAGUAbgAgAHMAZQBwAGEAcgBhAHQAZQBkACAAdABvACAAcwBvAGwAaQBkACAAcwB0AG8AcgBhAGcAZQAgAGYAbwByACAAZQBhAGMAaAAgAE0ATQBTAFwAIgAsACAAXAAiAGYAcgBhAGMAdABpAG8AbgBcACIALAAgAFwAIgBJAG4AcAB1AHQAXAAiAFwAbgAgACAAIAAgACAAIAAgACAAfQAsACAAcgAsACAAYwApAFwAbgAgACAAIAAgACAAIAApAFwAbgAgACAAIAAgACkAXABuACAAIAApADsAXABuAFwAbgBWAEUARQBSAEcAXwA0AF8ANQBfADEAXwAzAF8AXwA0AF8ARgByAGEAYwB0AGkAbwBuAE8AZgBOAGkAdAByAG8AZwBlAG4ASQBuAFMAbwBsAGkAZABTAHQAbwByAGEAZwBlAF8AVgBhAHIAaQBhAHQAaQBvAG4AXABuACAAIAA9AEwAQQBNAEIARABBACgAXAAiAFYAQQBSAEkAQQBUAEkATwBOACAATwBOACAAUwBPAFUAUgBDAEUAOgAgAFMAcABsAGkAdAAgAGUAcQB1AGEAdABpAG8AbgAgAGYAbwByACAATQBNAFMAbQA9ADEALAA3ACwAOQAgAGkAbgB0AG8AIABzAGUAcABhAHIAYQB0AGUAIABpAHQAZQBtAHMAIAB0AG8AIABhAGwAbABvAHcAIABmAG8AcgAgAGMAYQBsAGMAdQBsAGEAdABpAG8AbgBcACIAKQA7AFwAbgBcAG4ALwAqAFwAbgAtAC0ALQAtAC0ALQAtAC0ALQAtAC0ALQAtAC0ALQAtAC0ALQAtAC0ALQAtAC0ALQAtAC0ALQAtAC0ALQAtAC0ALQAtAC0ALQAtAC0AXABuAFYARQBFAFIARwBfADQAXwA1AF8AMQBfADMAXwBfADUAXwBBAG4AbgB1AGEAbABOAGkAdAByAG8AZwBlAG4ARQB4AGMAcgBlAHQAaQBvAG4AXABuAEEAbgBuAHUAYQBsACAAbgBpAHQAcgBvAGcAZQBuACAAZQB4AGMAcgBlAHQAaQBvAG4AIABmAHIAbwBtACAAZQBhAGMAaAAgAHMAdwBpAG4AZQAgAGcAcgBvAHUAcABcAG4AQQBFAF8AagBcAG4AawBnACAATgBcAG4AQQBFAF8AewBqAH0APQBOAF8AewBqAH0AXABcAHQAaQBtAGUAcwAgAE4AVwBfAHsAagB9AFwAXAB0AGkAbQBlAHMAIABEAF8AewBqAH0AXABuAE4AXwBqACAAPQAgAG4AdQBtAGIAZQByACAAbwBmACAAcwB3AGkAbgBlACAAaQBuACAAZQBhAGMAaAAgAGcAcgBvAHUAcAAgACgAaABlAGEAZAApAFwAbgBOAFcAXwBqACAAPQAgAG4AaQB0AHIAbwBnAGUAbgAgAHAAcgBvAGQAdQBjAGUAZAAgAGkAbgAgAHMAdwBpAG4AZQAgAG0AYQBuAHUAcgBlACAAYQBuAGQAIAB3AGEAcwB0AGUAIABmAGUAZQBkACAAaQBuACAAZQBhAGMAaAAgAGMAbABhAHMAcwAgACgAawBnACAATgAvAGgAZQBhAGQALwBkAGEAeQApAFwAbgBEAF8AagAgAD0AIABkAHUAcgBhAHQAaQBvAG4AIABvAGYAIABzAHQAYQB5ACAAbwBmACAAcwB3AGkAbgBlACAAZwByAG8AdQBwACAAKABkAGEAeQBzACkAXABuAC0ALQAtAC0ALQAtAC0ALQAtAC0ALQAtAC0ALQAtAC0ALQAtAC0ALQAtAC0ALQAtAC0ALQAtAC0ALQAtAC0ALQAtAC0ALQAtAC0ALQBcAG4AKgAvAFwAbgBcAG4AVgBFAEUAUgBHAF8ANABfADUAXwAxAF8AMwBfAF8ANQBfAEEAbgBuAHUAYQBsAE4AaQB0AHIAbwBnAGUAbgBFAHgAYwByAGUAdABpAG8AbgBcAG4AIAAgAD0ATABBAE0AQgBEAEEAKABcAG4AIAAgACAAIABOAF8AagAsACAATgBXAF8AagAsACAARABfAGoALABcAG4AIAAgACAAIABOAF8AagAgACoAIABOAFcAXwBqACAAKgAgAEQAXwBqAFwAbgAgACAAKQA7AFwAbgBcAG4AVgBFAEUAUgBHAF8ANABfADUAXwAxAF8AMwBfAF8ANQBfAEEAbgBuAHUAYQBsAE4AaQB0AHIAbwBnAGUAbgBFAHgAYwByAGUAdABpAG8AbgBfAFQAaQB0AGwAZQBcAG4AIAAgAD0ATABBAE0AQgBEAEEAKABcACIAQQBuAG4AdQBhAGwAIABuAGkAdAByAG8AZwBlAG4AIABlAHgAYwByAGUAdABpAG8AbgAgAGYAcgBvAG0AIABlAGEAYwBoACAAcwB3AGkAbgBlACAAZwByAG8AdQBwAFwAIgApADsAXABuAFwAbgBWAEUARQBSAEcAXwA0AF8ANQBfADEAXwAzAF8AXwA1AF8AQQBuAG4AdQBhAGwATgBpAHQAcgBvAGcAZQBuAEUAeABjAHIAZQB0AGkAbwBuAF8AVgBhAHIAaQBhAGIAbABlAFwAbgAgACAAPQBMAEEATQBCAEQAQQAoAFwAIgBBAEUAXwBqAFwAIgApADsAXABuAFwAbgBWAEUARQBSAEcAXwA0AF8ANQBfADEAXwAzAF8AXwA1AF8AQQBuAG4AdQBhAGwATgBpAHQAcgBvAGcAZQBuAEUAeABjAHIAZQB0AGkAbwBuAF8AVQBuAGkAdABcAG4AIAAgAD0ATABBAE0AQgBEAEEAKABcACIAawBnACAATgBcACIAKQA7AFwAbgBcAG4AVgBFAEUAUgBHAF8ANABfADUAXwAxAF8AMwBfAF8ANQBfAEEAbgBuAHUAYQBsAE4AaQB0AHIAbwBnAGUAbgBFAHgAYwByAGUAdABpAG8AbgBfAFMAbwB1AHIAYwBlAFwAbgAgACAAPQBMAEEATQBCAEQAQQAoAFwAIgBWAEUARQBSAEcAIAAyADAAMgA2ADoAIAA0AC4ANQAuADEALgAzACwAIABFAHEAdQBhAHQAaQBvAG4AIAAoADUAKQBcACIAKQA7AFwAbgBcAG4AVgBFAEUAUgBHAF8ANABfADUAXwAxAF8AMwBfAF8ANQBfAEEAbgBuAHUAYQBsAE4AaQB0AHIAbwBnAGUAbgBFAHgAYwByAGUAdABpAG8AbgBfAE4ASQBSAFIAZQBmAGUAcgBlAG4AYwBlAFwAbgAgACAAPQBMAEEATQBCAEQAQQAoAFwAIgBcACIAKQA7AFwAbgBcAG4AVgBFAEUAUgBHAF8ANABfADUAXwAxAF8AMwBfAF8ANQBfAEEAbgBuAHUAYQBsAE4AaQB0AHIAbwBnAGUAbgBFAHgAYwByAGUAdABpAG8AbgBfAEwAYQB0AGUAeABFAHEAdQBhAHQAaQBvAG4AXABuACAAIAA9AEwAQQBNAEIARABBACgAXAAiAEEARQBfAHsAagB9AD0ATgBfAHsAagB9AFwAXAB0AGkAbQBlAHMAIABOAFcAXwB7AGoAfQBcAFwAdABpAG0AZQBzACAARABfAHsAagB9AFwAIgApADsAXABuAFwAbgBWAEUARQBSAEcAXwA0AF8ANQBfADEAXwAzAF8AXwA1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FwAIgAsACAAXAAiAG4AdQBtAGIAZQByACAAbwBmACAAcwB3AGkAbgBlACAAaQBuACAAZQBhAGMAaAAgAGcAcgBvAHUAcABcACIALAAgAFwAIgBoAGUAYQBkAFwAIgAsACAAXAAiAEkAbgBwAHUAdABcACIAOwBcAG4AIAAgACAAIAAgACAAIAAgACAAIABcACIATgBXAF8AagBcACIALAAgAFwAIgBuAGkAdAByAG8AZwBlAG4AIABwAHIAbwBkAHUAYwBlAGQAIABpAG4AIABzAHcAaQBuAGUAIABtAGEAbgB1AHIAZQAgAGEAbgBkACAAdwBhAHMAdABlACAAZgBlAGUAZAAgAGkAbgAgAGUAYQBjAGgAIABjAGwAYQBzAHMAXAAiACwAIABcACIAawBnACAATgAvAGgAZQBhAGQALwBkAGEAeQBcACIALAAgAFwAIgBJAG4AcAB1AHQAXAAiADsAXABuACAAIAAgACAAIAAgACAAIAAgACAAXAAiAEQAXwBqAFwAIgAsACAAXAAiAGQAdQByAGEAdABpAG8AbgAgAG8AZgAgAHMAdABhAHkAIABvAGYAIABzAHcAaQBuAGUAIABnAHIAbwB1AHAAXAAiACwAIABcACIAZABhAHkAcw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gBfAFMAdABhAGcAZQAyAE4AaQB0AHIAbwBnAGUAbgBJAG4ATQBNAFMAXABuAE4AaQB0AHIAbwBnAGUAbgAgAGkAbgAgAHQAcgBlAGEAdABtAGUAbgB0ACAAcwB0AGEAZwBlACAAMgAgAE0ATQBTAFwAbgBNAE4AXwBqAG0AVAAyAFwAbgBrAGcAIABOAFwAbgBNAE4AXwB7AGoAbQAsAFQAPQAyAH0APQBOAFQAXwB7AGoAbQAsAFQAPQAyAH0AXABcAHQAaQBtAGUAcwAgAE0ATQBTAF8AewBqAG0ALABUAD0AMgB9AFwAbgBOAFQAXwBqAG0AVAAyACAAPQAgAG4AaQB0AHIAbwBnAGUAbgAgAHQAcgBhAG4AcwBmAGUAcgByAGUAZAAgAHQAbwAgAHMAZQBjAG8AbgBkAGEAcgB5ACAAdAByAGUAYQB0AG0AZQBuAHQAIABNAE0AUwAgACgAawBnACAATgApAFwAbgBNAE0AUwBfAGoAbQBUADIAIAA9ACAAZgByAGEAYwB0AGkAbwBuACAAbwBmACAAbQBhAG4AdQByAGUAIABpAG4AIABlAGEAYwBoACAAcwBlAGMAbwBuAGQAYQByAHkAIABzAHkAcwB0AGUAbQBcAG4ALQAtAC0ALQAtAC0ALQAtAC0ALQAtAC0ALQAtAC0ALQAtAC0ALQAtAC0ALQAtAC0ALQAtAC0ALQAtAC0ALQAtAC0ALQAtAC0ALQAtAFwAbgAqAC8AXABuAFwAbgBWAEUARQBSAEcAXwA0AF8ANQBfADEAXwAzAF8AXwA2AF8AUwB0AGEAZwBlADIATgBpAHQAcgBvAGcAZQBuAEkAbgBNAE0AUwBcAG4AIAAgAD0ATABBAE0AQgBEAEEAKABcAG4AIAAgACAAIABOAFQAXwBqAG0AVAAyACwAIABNAE0AUwBfAGoAbQBUADIALABcAG4AIAAgACAAIABOAFQAXwBqAG0AVAAyACAAKgAgAE0ATQBTAF8AagBtAFQAMgBcAG4AIAAgACkAOwBcAG4AXABuAFYARQBFAFIARwBfADQAXwA1AF8AMQBfADMAXwBfADYAXwBTAHQAYQBnAGUAMgBOAGkAdAByAG8AZwBlAG4ASQBuAE0ATQBTAF8AVABpAHQAbABlAFwAbgAgACAAPQBMAEEATQBCAEQAQQAoAFwAIgBOAGkAdAByAG8AZwBlAG4AIABpAG4AIAB0AHIAZQBhAHQAbQBlAG4AdAAgAHMAdABhAGcAZQAgADIAIABNAE0AUwBcACIAKQA7AFwAbgBcAG4AVgBFAEUAUgBHAF8ANABfADUAXwAxAF8AMwBfAF8ANgBfAFMAdABhAGcAZQAyAE4AaQB0AHIAbwBnAGUAbgBJAG4ATQBNAFMAXwBWAGEAcgBpAGEAYgBsAGUAXABuACAAIAA9AEwAQQBNAEIARABBACgAXAAiAE0ATgBfAGoAbQBUADIAXAAiACkAOwBcAG4AXABuAFYARQBFAFIARwBfADQAXwA1AF8AMQBfADMAXwBfADYAXwBTAHQAYQBnAGUAMgBOAGkAdAByAG8AZwBlAG4ASQBuAE0ATQBTAF8AVQBuAGkAdABcAG4AIAAgAD0ATABBAE0AQgBEAEEAKABcACIAawBnACAATgBcACIAKQA7AFwAbgBcAG4AVgBFAEUAUgBHAF8ANABfADUAXwAxAF8AMwBfAF8ANgBfAFMAdABhAGcAZQAyAE4AaQB0AHIAbwBnAGUAbgBJAG4ATQBNAFMAXwBTAG8AdQByAGMAZQBcAG4AIAAgAD0ATABBAE0AQgBEAEEAKABcACIAVgBFAEUAUgBHACAAMgAwADIANgA6ACAANAAuADUALgAxAC4AMwAsACAARQBxAHUAYQB0AGkAbwBuACAAKAA2ACkAXAAiACkAOwBcAG4AXABuAFYARQBFAFIARwBfADQAXwA1AF8AMQBfADMAXwBfADYAXwBTAHQAYQBnAGUAMgBOAGkAdAByAG8AZwBlAG4ASQBuAE0ATQBTAF8ATgBJAFIAUgBlAGYAZQByAGUAbgBjAGUAXABuACAAIAA9AEwAQQBNAEIARABBACgAXAAiAFwAIgApADsAXABuAFwAbgBWAEUARQBSAEcAXwA0AF8ANQBfADEAXwAzAF8AXwA2AF8AUwB0AGEAZwBlADIATgBpAHQAcgBvAGcAZQBuAEkAbgBNAE0AUwBfAEwAYQB0AGUAeABFAHEAdQBhAHQAaQBvAG4AXABuACAAIAA9AEwAQQBNAEIARABBACgAXAAiAE0ATgBfAHsAagBtACwAVAA9ADIAfQA9AE4AVABfAHsAagBtACwAVAA9ADIAfQBcAFwAdABpAG0AZQBzACAATQBNAFMAXwB7AGoAbQAsAFQAPQAyAH0AXAAiACkAOwBcAG4AXABuAFYARQBFAFIARwBfADQAXwA1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bQBUADIAXAAiACwAIABcACIAbgBpAHQAcgBvAGcAZQBuACAAdAByAGEAbgBzAGYAZQByAHIAZQBkACAAdABvACAAcwBlAGMAbwBuAGQAYQByAHkAIAB0AHIAZQBhAHQAbQBlAG4AdAAgAE0ATQBTAFwAIgAsACAAXAAiAGsAZwAgAE4AXAAiACwAIABcACIAQwBhAGwAYwB1AGwAYQB0AGUAZAAgAGYAcgBvAG0AIAA0AC4ANQAuADEALgAzACAAKAA3ACkAXAAiADsAXABuACAAIAAgACAAIAAgACAAIAAgACAAXAAiAE0ATQBTAF8AagBtAFQAMgBcACIALAAgAFwAIgBmAHIAYQBjAHQAaQBvAG4AIABvAGYAIABtAGEAbgB1AHIAZQAgAGkAbgAgAGUAYQBjAGgAIABzAGUAYwBvAG4AZABhAHIAeQAgAHMAeQBzAHQAZQBt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UAXwAxAF8AMwBfAF8ANwBfAE4AaQB0AHIAbwBnAGUAbgBUAHIAYQBuAHMAZgBlAHIAcgBlAGQAVABvAFMAdABhAGcAZQAyAE0ATQBTAFwAbgBOAGkAdAByAG8AZwBlAG4AIAB0AHIAYQBuAHMAZgBlAHIAcgBlAGQAIAB0AG8AIAB0AHIAZQBhAHQAbQBlAG4AdAAgAHMAdABhAGcAZQAgADIAIABNAE0AUwBcAG4ATgBUAF8AagBtAFQAMgBcAG4AawBnACAATgBcAG4ATgBUAF8AewBqAG0ALABUAD0AMgB9AD0ATQBOAF8AewBqAG0ALABUAD0AMQB9AFwAXAB0AGkAbQBlAHMAKAAxAC0ARgByAGEAYwBHAEEAUwBNAF8AewBtACwAVAA9ADEAfQAtAEUARgBfAHsAbQAsAFQAPQAxAH0AKQBcAG4ATQBOAF8AagBtAFQAMQAgAD0AIABuAGkAdAByAG8AZwBlAG4AIABwAGUAcgAgAHMAdwBpAG4AZQAgAGMAbABhAHMAcwAgAGkAbgAgAHQAcgBlAGEAdABtAGUAbgB0ACAAcwB0AGEAZwBlACAAMQAgAE0ATQBTACAAKABrAGcAIABOACkAXABuAEYAcgBhAGMARwBBAFMATQBtAFQAMQAgAD0AIABmAHIAYQBjAHQAaQBvAG4AIABvAGYAIABOACAAdgBvAGwAYQB0AGkAbABpAHMAZQBkACAAZgByAG8AbQAgAE0ATQBTACAAdAByAGUAYQB0AG0AZQBuAHQAIABhAHQAIABzAHQAYQBnAGUAIAAxAFwAbgBFAEYAXwBtAFQAMQAgAD0AIABuAGkAdAByAG8AdQBzACAAbwB4AGkAZABlACAAZQBtAGkAcwBzAGkAbwBuACAAZgBhAGMAdABvAHIAIABmAG8AcgAgAE0ATQBTACAAdAByAGUAYQB0AG0AZQBuAHQAIABhAHQAIABzAHQAYQBnAGUAIAAxAFwAbgAtAC0ALQAtAC0ALQAtAC0ALQAtAC0ALQAtAC0ALQAtAC0ALQAtAC0ALQAtAC0ALQAtAC0ALQAtAC0ALQAtAC0ALQAtAC0ALQAtAC0AXABuACoALwBcAG4AXABuAFYARQBFAFIARwBfADQAXwA1AF8AMQBfADMAXwBfADcAXwBOAGkAdAByAG8AZwBlAG4AVAByAGEAbgBzAGYAZQByAHIAZQBkAFQAbwBTAHQAYQBnAGUAMgBNAE0AUwBcAG4AIAAgAD0ATABBAE0AQgBEAEEAKABcAG4AIAAgACAAIABNAE4AXwBqAG0AVAAxACwAIABGAHIAYQBjAEcAQQBTAE0AbQBUADEALAAgAEUARgBfAG0AVAAxACwAXABuACAAIAAgACAATQBOAF8AagBtAFQAMQAgACoAIAAoADEAIAAtACAARgByAGEAYwBHAEEAUwBNAG0AVAAxACAALQAgAEUARgBfAG0AVAAxACkAXABuACAAIAApADsAXABuAFwAbgBWAEUARQBSAEcAXwA0AF8ANQ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QBfADEAXwAzAF8AXwA3AF8ATgBpAHQAcgBvAGcAZQBuAFQAcgBhAG4AcwBmAGUAcgByAGUAZABUAG8AUwB0AGEAZwBlADIATQBNAFMAXwBWAGEAcgBpAGEAYgBsAGUAXABuACAAIAA9AEwAQQBNAEIARABBACgAXAAiAE4AVABfAGoAbQBUADIAXAAiACkAOwBcAG4AXABuAFYARQBFAFIARwBfADQAXwA1AF8AMQBfADMAXwBfADcAXwBOAGkAdAByAG8AZwBlAG4AVAByAGEAbgBzAGYAZQByAHIAZQBkAFQAbwBTAHQAYQBnAGUAMgBNAE0AUwBfAFUAbgBpAHQAXABuACAAIAA9AEwAQQBNAEIARABBACgAXAAiAGsAZwAgAE4AXAAiACkAOwBcAG4AXABuAFYARQBFAFIARwBfADQAXwA1AF8AMQBfADMAXwBfADcAXwBOAGkAdAByAG8AZwBlAG4AVAByAGEAbgBzAGYAZQByAHIAZQBkAFQAbwBTAHQAYQBnAGUAMgBNAE0AUwBfAFMAbwB1AHIAYwBlAFwAbgAgACAAPQBMAEEATQBCAEQAQQAoAFwAIgBWAEUARQBSAEcAIAAyADAAMgA2ADoAIAA0AC4ANQAuADEALgAzACwAIABFAHEAdQBhAHQAaQBvAG4AIAAoADcAKQBcACIAKQA7AFwAbgBcAG4AVgBFAEUAUgBHAF8ANABfADUAXwAxAF8AMwBfAF8ANwBfAE4AaQB0AHIAbwBnAGUAbgBUAHIAYQBuAHMAZgBlAHIAcgBlAGQAVABvAFMAdABhAGcAZQAyAE0ATQBTAF8ATgBJAFIAUgBlAGYAZQByAGUAbgBjAGUAXABuACAAIAA9AEwAQQBNAEIARABBACgAXAAiAFwAIgApADsAXABuAFwAbgBWAEUARQBSAEcAXwA0AF8ANQBfADEAXwAzAF8AXwA3AF8ATgBpAHQAcgBvAGcAZQBuAFQAcgBhAG4AcwBmAGUAcgByAGUAZABUAG8AUwB0AGEAZwBlADIATQBNAFMAXwBMAGEAdABlAHgARQBxAHUAYQB0AGkAbwBuAFwAbgAgACAAPQBMAEEATQBCAEQAQQAoAFwAIgBOAFQAXwB7AGoAbQAsAFQAPQAyAH0APQBNAE4AXwB7AGoAbQAsAFQAPQAxAH0AXABcAHQAaQBtAGUAcwAoADEALQBGAHIAYQBjAEcAQQBTAE0AXwB7AG0ALABUAD0AMQB9AC0ARQBGAF8AewBtACwAVAA9ADEAfQApAFwAIgApADsAXABuAFwAbgBWAEUARQBSAEcAXwA0AF8ANQ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tAFQAMQBcACIALAAgAFwAIgBuAGkAdAByAG8AZwBlAG4AIABwAGUAcgAgAHMAdwBpAG4AZQAgAGMAbABhAHMAcwAgAGkAbgAgAHQAcgBlAGEAdABtAGUAbgB0ACAAcwB0AGEAZwBlACAAMQAgAE0ATQBTAFwAIgAsACAAXAAiAGsAZwAgAE4AXAAiACwAIABcACIAQwBhAGwAYwB1AGwAYQB0AGUAZAAgAGYAcgBvAG0AIAA0AC4ANQAuADEALgAzACAAKAAyACkAKAA2ACkAXAAiADsAXABuACAAIAAgACAAIAAgACAAIAAgACAAXAAiAEYAcgBhAGMARwBBAFMATQBtAFQAMQBcACIALAAgAFwAIgBmAHIAYQBjAHQAaQBvAG4AIABvAGYAIABOACAAdgBvAGwAYQB0AGkAbABpAHMAZQBkACAAZgByAG8AbQAgAE0ATQBTACAAdAByAGUAYQB0AG0AZQBuAHQAIABhAHQAIABzAHQAYQBnAGUAIAAxAFwAIgAsACAAXAAiAGYAcgBhAGMAdABpAG8AbgBcACIALAAgAFwAIgBMAG8AbwBrAHUAcABcACIAOwBcAG4AIAAgACAAIAAgACAAIAAgACAAIABcACIARQBGAF8AbQBUADEAXAAiACwAIABcACIAbgBpAHQAcgBvAHUAcwAgAG8AeABpAGQAZQAgAGUAbQBpAHMAcwBpAG8AbgAgAGYAYQBjAHQAbwByACAAZgBvAHIAIABNAE0AUwAgAHQAcgBlAGEAdABtAGUAbgB0ACAAYQB0ACAAcwB0AGEAZwBlACAAMQBcACIALAAgAFwAIgBrAGcAIABOADIATwAtAE4ALwBrAGcAIABOAFwAIgAsACAAXAAiAEwAbwBvAGsAdQBwAFwAIgBcAG4AIAAgACAAIAAgACAAIAAgAH0ALAAgAHIALAAgAGMAKQBcAG4AIAAgACAAIAAgACAAKQBcAG4AIAAgACAAIAApAFwAbgAgACAAKQA7AFwAbgAiAH0ALAB7ACIAcABhAHQAaAAiADoAIgAvAHAAcgBvAGoAZQBjAHQAcwAvAE0ATQBTAF8AUwB3AGkAbgBl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NQAgAE0AZQB0AGgAbwBkACAAMQAgAC0AIABNAGEAbgB1AHIAZQAgAEEAdABtAG8AcwBwAGgAZQByAGkAYwAgAEQAZQBwAG8AcwBpAHQAaQBvAG4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1AF8AXwAxAF8AQQBuAG4AdQBhAGwAQQB0AG0AbwBzAHAAaABlAHIAaQBjAEQAZQBwAG8AcwBpAHQAaQBvAG4ARQBtAGkAcwBzAGkAbwBuAHMARgByAG8AbQBNAE0AUwBcAG4AQQBuAG4AdQBhAGwAIABhAHQAbQBvAHMAcABoAGUAcgBpAGMAIABkAGUAcABvAHMAaQB0AGkAbwBuACAAZQBtAGkAcwBzAGkAbwBuAHMAIABmAHIAbwBtACAATQBNAFMAXABuAEUAXwBOADIATwBNAE0AUwBhAGQAXABuAHQAIABOADIATwBcAG4ARQBfAHsATgAyAE8ALABhAGQAfQA9AE0ATQBTAF8AewBBAFQATQBPAFMAfQBcAFwAdABpAG0AZQBzACAARQBGAF8AewBOADIATwB9AFwAXAB0AGkAbQBlAHMAIABDAF8AewBOADIATwB9AFwAXAB0AGkAbQBlAHMAIAAxADAAXgB7AC0AMwB9AFwAbgBNAE0AUwBfAEEAVABNAE8AUwAgAD0AIABtAGEAcwBzACAAbwBmACAATgAgAHYAbwBsAGEAdABpAGwAaQBzAGUAZAAgAGYAcgBvAG0AIABNAE0AUwAgACgAawBnACAATgApAFwAbgBFAEYAXwBOADIATwAgAD0AIABuAGkAdAByAG8AdQBzACAAbwB4AGkAZABlACAAZQBtAGkAcwBzAGkAbwBuACAAZgBhAGMAdABvAHIAIABmAG8AcgAgAGEAdABtAG8AcwBwAGgAZQByAGkAYwAgAGQAZQBwAG8AcwBpAHQAaQBvAG4AIAAoAGsAZwAgAE4AMgBPAC0ATgAvAGsAZwAgAE4AKQBcAG4AQwBfAE4AMgBPACAAPQ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FYARQBFAFIARwBfADQAXwA1AF8AMQBfADUAXwBfADEAXwBBAG4AbgB1AGEAbABBAHQAbQBvAHMAcABoAGUAcgBpAGMARABlAHAAbwBzAGkAdABpAG8AbgBFAG0AaQBzAHMAaQBvAG4AcwBGAHIAbwBtAE0ATQBTAFwAbgAgACAAPQBMAEEATQBCAEQAQQAoAFwAbgAgACAAIAAgAE0ATQBTAF8AQQBUAE0ATwBTACwAIABFAEYAXwBOADIATwAsACAAQwBfAE4AMgBPACwAXABuACAAIAAgACAATQBNAFMAXwBBAFQATQBPAFMAIAAqACAARQBGAF8ATgAyAE8AIAAqACAAQwBfAE4AMgBPACAAKgAgADEAMAAgAF4AIAAtADMAXABuACAAIAApADsAXABuAFwAbgBWAEUARQBSAEcAXwA0AF8ANQBfADEAXwA1AF8AXwAxAF8AQQBuAG4AdQBhAGwAQQB0AG0AbwBzAHAAaABlAHIAaQBjAEQAZQBwAG8AcwBpAHQAaQBvAG4ARQBtAGkAcwBzAGkAbwBuAHMARgByAG8AbQBNAE0AUwBfAFQAaQB0AGwAZQBcAG4AIAAgAD0ATABBAE0AQgBEAEEAKABcACIAQQBuAG4AdQBhAGwAIABhAHQAbQBvAHMAcABoAGUAcgBpAGMAIABkAGUAcABvAHMAaQB0AGkAbwBuACAAZQBtAGkAcwBzAGkAbwBuAHMAIABmAHIAbwBtACAATQBNAFMAXAAiACkAOwBcAG4AXABuAFYARQBFAFIARwBfADQAXwA1AF8AMQBfADUAXwBfADEAXwBBAG4AbgB1AGEAbABBAHQAbQBvAHMAcABoAGUAcgBpAGMARABlAHAAbwBzAGkAdABpAG8AbgBFAG0AaQBzAHMAaQBvAG4AcwBGAHIAbwBtAE0ATQBTAF8AVgBhAHIAaQBhAGIAbABlAFwAbgAgACAAPQBMAEEATQBCAEQAQQAoAFwAIgBFAF8ATgAyAE8ATQBNAFMAYQBkAFwAIgApADsAXABuAFwAbgBWAEUARQBSAEcAXwA0AF8ANQBfADEAXwA1AF8AXwAxAF8AQQBuAG4AdQBhAGwAQQB0AG0AbwBzAHAAaABlAHIAaQBjAEQAZQBwAG8AcwBpAHQAaQBvAG4ARQBtAGkAcwBzAGkAbwBuAHMARgByAG8AbQBNAE0AUwBfAFUAbgBpAHQAXABuACAAIAA9AEwAQQBNAEIARABBACgAXAAiAHQAIABOADIATwBcACIAKQA7AFwAbgBcAG4AVgBFAEUAUgBHAF8ANABfADUAXwAxAF8ANQBfAF8AMQBfAEEAbgBuAHUAYQBsAEEAdABtAG8AcwBwAGgAZQByAGkAYwBEAGUAcABvAHMAaQB0AGkAbwBuAEUAbQBpAHMAcwBpAG8AbgBzAEYAcgBvAG0ATQBNAFMAXwBTAG8AdQByAGMAZQBcAG4AIAAgAD0ATABBAE0AQgBEAEEAKABcACIAVgBFAEUAUgBHACAAMgAwADIANgA6ACAANAAuADUALgAxAC4AMQAsACAARQBxAHUAYQB0AGkAbwBuACAAKAAxACkAXAAiACkAOwBcAG4AXABuAFYARQBFAFIARwBfADQAXwA1AF8AMQBfADUAXwBfADEAXwBBAG4AbgB1AGEAbABBAHQAbQBvAHMAcABoAGUAcgBpAGMARABlAHAAbwBzAGkAdABpAG8AbgBFAG0AaQBzAHMAaQBvAG4AcwBGAHIAbwBtAE0ATQBTAF8ATgBJAFIAUgBlAGYAZQByAGUAbgBjAGUAXABuACAAIAA9AEwAQQBNAEIARABBACgAXAAiAFwAIgApADsAXABuAFwAbgBWAEUARQBSAEcAXwA0AF8ANQBfADEAXwA1AF8AXwAxAF8AQQBuAG4AdQBhAGwAQQB0AG0AbwBzAHAAaABlAHIAaQBjAEQAZQBwAG8AcwBpAHQAaQBvAG4ARQBtAGkAcwBzAGkAbwBuAHMARgByAG8AbQBNAE0AUwBfAEwAYQB0AGUAeABFAHEAdQBhAHQAaQBvAG4AXABuACAAIAA9AEwAQQBNAEIARABBACgAXAAiAEUAXwB7AE4AMgBPACwAYQBkAH0APQBNAE0AUwBfAHsAQQBUAE0ATwBTAH0AXABcAHQAaQBtAGUAcwAgAEUARgBfAHsATgAyAE8AfQBcAFwAdABpAG0AZQBzACAAQwBfAHsATgAyAE8AfQBcAFwAdABpAG0AZQBzACAAMQAwAF4AewAtADMAfQBcACIAKQA7AFwAbgBcAG4AVgBFAEUAUgBHAF8ANABfADUAXwAxAF8ANQBfAF8AMQBf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IABcACIAbQBhAHMAcwAgAG8AZgAgAE4AIAB2AG8AbABhAHQAaQBsAGkAcwBlAGQAIABmAHIAbwBtACAATQBNAFMAXAAiACwAIABcACIAawBnACAATgBcACIALAAgAFwAIgBDAGEAbABjAHUAbABhAHQAZQBkACAAZgByAG8AbQAgADQALgA1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1AF8AXwAyAF8AVABvAHQAYQBsAE4AaQB0AHIAbwBnAGUAbgBWAG8AbABhAHQAaQBsAGkAcwBlAGQARgByAG8AbQBNAE0AUwBcAG4AVABvAHQAYQBsACAAbgBpAHQAcgBvAGcAZQBuACAAdgBvAGwAYQB0AGkAbABpAHMAZQBkACAAZgByAG8AbQAgAE0ATQBTAFwAbgBNAE0AUwBfAEEAVABNAE8AUwBcAG4AawBnACAATgBcAG4ATQBNAFMAXwB7AEEAVABNAE8AUwB9AD0AXABcAHMAdQBtAF8AewBqAH0AXABcAHMAdQBtAF8AewBtAH0AXABcAHMAdQBtAF8AewBUAH0AKABNAE4AXwB7AGoAbQBUAH0AXABcAHQAaQBtAGUAcwAgAEYAcgBhAGMARwBBAFMATQBfAHsAbQBUAH0AKQBcAG4ATQBOAF8AagBtAFQAIAA9ACAAbgBpAHQAcgBvAGcAZQBuACAAcABlAHIAIABzAHcAaQBuAGUAIABjAGwAYQBzAHMALAAgAE0ATQBTACAAYQBuAGQAIAB0AHIAZQBhAHQAbQBlAG4AdAAgAHMAdABhAGcAZQAgACgAawBnACAATgApAFwAbgBGAHIAYQBjAEcAQQBTAE0AbQBUACAAPQAgAGYAcgBhAGMAdABpAG8AbgAgAG8AZgAgAE4AIAB2AG8AbABhAHQAaQBsAGkAcwBlAGQAIABpAG4AIABlAGEAYwBoACAATQBNAFMAIAAoACgAawBnACAATgBIADMALQBOACAAKwAgAE4ATwB4AC0ATgApAC8AawBnACAATgApAFwAbgAtAC0ALQAtAC0ALQAtAC0ALQAtAC0ALQAtAC0ALQAtAC0ALQAtAC0ALQAtAC0ALQAtAC0ALQAtAC0ALQAtAC0ALQAtAC0ALQAtAC0AXABuACoALwBcAG4AXABuAFYARQBFAFIARwBfADQAXwA1AF8AMQBfADUAXwBfADIAXwBUAG8AdABhAGwATgBpAHQAcgBvAGcAZQBuAFYAbwBsAGEAdABpAGwAaQBzAGUAZABGAHIAbwBtAE0ATQBTAFwAbgAgACAAPQBMAEEATQBCAEQAQQAoAFwAbgAgACAAIAAgAE0ATgBfAGoAbQBUACwAIABGAHIAYQBjAEcAQQBTAE0AbQBUACwAXABuACAAIAAgACAATQBOAF8AagBtAFQAIAAqACAARgByAGEAYwBHAEEAUwBNAG0AVABcAG4AIAAgACkAOwBcAG4AXABuAFYARQBFAFIARwBfADQAXwA1AF8AMQBfADUAXwBfADIAXwBUAG8AdABhAGwATgBpAHQAcgBvAGcAZQBuAFYAbwBsAGEAdABpAGwAaQBzAGUAZABGAHIAbwBtAE0ATQBTAF8AVABpAHQAbABlAFwAbgAgACAAPQBMAEEATQBCAEQAQQAoAFwAIgBUAG8AdABhAGwAIABuAGkAdAByAG8AZwBlAG4AIAB2AG8AbABhAHQAaQBsAGkAcwBlAGQAIABmAHIAbwBtACAATQBNAFMAXAAiACkAOwBcAG4AXABuAFYARQBFAFIARwBfADQAXwA1AF8AMQBfADUAXwBfADIAXwBUAG8AdABhAGwATgBpAHQAcgBvAGcAZQBuAFYAbwBsAGEAdABpAGwAaQBzAGUAZABGAHIAbwBtAE0ATQBTAF8AVgBhAHIAaQBhAGIAbABlAFwAbgAgACAAPQBMAEEATQBCAEQAQQAoAFwAIgBNAE0AUwBfAEEAVABNAE8AUwBcACIAKQA7AFwAbgBcAG4AVgBFAEUAUgBHAF8ANABfADUAXwAxAF8ANQBfAF8AMgBfAFQAbwB0AGEAbABOAGkAdAByAG8AZwBlAG4AVgBvAGwAYQB0AGkAbABpAHMAZQBkAEYAcgBvAG0ATQBNAFMAXwBVAG4AaQB0AFwAbgAgACAAPQBMAEEATQBCAEQAQQAoAFwAIgBrAGcAIABOAFwAIgApADsAXABuAFwAbgBWAEUARQBSAEcAXwA0AF8ANQBfADEAXwA1AF8AXwAyAF8AVABvAHQAYQBsAE4AaQB0AHIAbwBnAGUAbgBWAG8AbABhAHQAaQBsAGkAcwBlAGQARgByAG8AbQBNAE0AUwBfAFMAbwB1AHIAYwBlAFwAbgAgACAAPQBMAEEATQBCAEQAQQAoAFwAIgBWAEUARQBSAEcAIAAyADAAMgA2ADoAIAA0AC4ANQAuADEALgAxACwAIABFAHEAdQBhAHQAaQBvAG4AIAAoADIAKQBcACIAKQA7AFwAbgBcAG4AVgBFAEUAUgBHAF8ANABfADUAXwAxAF8ANQBfAF8AMgBfAFQAbwB0AGEAbABOAGkAdAByAG8AZwBlAG4AVgBvAGwAYQB0AGkAbABpAHMAZQBkAEYAcgBvAG0ATQBNAFMAXwBOAEkAUgBSAGUAZgBlAHIAZQBuAGMAZQBcAG4AIAAgAD0ATABBAE0AQgBEAEEAKABcACIAXAAiACkAOwBcAG4AXABuAFYARQBFAFIARwBfADQAXwA1AF8AMQBfADUAXwBfADIAXwBUAG8AdABhAGwATgBpAHQAcgBvAGcAZQBuAFYAbwBsAGEAdABpAGwAaQBzAGUAZABGAHIAbwBtAE0ATQBTAF8ATABhAHQAZQB4AEUAcQB1AGEAdABpAG8AbgBcAG4AIAAgAD0ATABBAE0AQgBEAEEAKABcACIATQBNAFMAXwB7AEEAVABNAE8AUwB9AD0AXABcAHMAdQBtAF8AewBqAH0AXABcAHMAdQBtAF8AewBtAH0AXABcAHMAdQBtAF8AewBUAH0AKABNAE4AXwB7AGoAbQBUAH0AXABcAHQAaQBtAGUAcwAgAEYAcgBhAGMARwBBAFMATQBfAHsAbQBUAH0AKQBcACIAKQA7AFwAbgBcAG4AVgBFAEUAUgBHAF8ANABfADUAXwAxAF8ANQBfAF8AMgBfAFQAbwB0AGEAbABOAGkAdAByAG8AZwBlAG4AVgBvAGwAYQB0AGkAbABpAHMAZQBkAEYAcgBvAG0ATQBNAFMAXwBBAHIAZwB1AG0AZQBuAHQAcwBcAG4AIAAgAD0ATABBAE0AQgBEAEEAKABcAG4AIAAgACAAIABNAEEASwBFAEEAUgBSAEEAWQAoADIALAAgADQALABcAG4AIAAgACAAIAAgACAATABBAE0AQgBEAEEAKAByACwAYwAsAFwAbgAgACAAIAAgACAAIAAgACAASQBOAEQARQBYACgAewBcAG4AIAAgACAAIAAgACAAIAAgACAAIABcACIATQBOAF8AagBtAFQAXAAiACwAIABcACIAbgBpAHQAcgBvAGcAZQBuACAAcABlAHIAIABzAHcAaQBuAGUAIABjAGwAYQBzAHMALAAgAE0ATQBTACAAYQBuAGQAIAB0AHIAZQBhAHQAbQBlAG4AdAAgAHMAdABhAGcAZQBcACIALAAgAFwAIgBrAGcAIABOAFwAIgAsACAAXAAiAEMAYQBsAGMAdQBsAGEAdABlAGQAIABmAHIAbwBtACAANAAuADUALgAxAC4AMwAgACgAMgApACgANgApAFwAIgA7AFwAbgAgACAAIAAgACAAIAAgACAAIAAgAFwAIgBGAHIAYQBjAEcAQQBTAE0AbQBUAFwAIgAsACA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MAdwBpAG4AZQBfAEwAZQBhAGMAaABpAG4AZwBBAG4AZABSAHUAbgBvAGYAZg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3ACAATQBlAHQAaABvAGQAIAAxACAALQAgAE0AYQBuAHUAcgBlACAATABlAGEAYwBoAGkAbgBnACAAQQBuAGQAIABSAHUAbgBvAGYAZgAgAE4AMgBPACAAUwB3AGkAbgBl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bQA9ADUAfQBcAFwAdABpAG0AZQBzACAARQBGAF8AewBsAGUAYQBjAGgAfQBcAFwAdABpAG0AZQBzACAAQwBfAHsATgAyAE8AfQBcAFwAdABpAG0AZQBzACAAMQAwAF4AewAtADMAfQBcAG4ATQBOAEwAZQBhAGMAaABfAGoAbQA1ACAAPQAgAG0AYQBzAHMAIABvAGYAIABOACAAbABvAHMAdAAgAHQAaAByAG8AdQBnAGgAIABsAGUAYQBjAGgAaQBuAGcAIABhAG4AZAAgAHIAdQBuAG8AZgBmACAAZgByAG8AbQAgAGQAcgB5AGwAbwB0ACAATQBNAFM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VgBBAFIASQBBAFQASQBPAE4AIABPAEYAIABTAE8AVQBSAEMARQA6ACAARAB1AGUAIAB0AG8AIABzAHQAcgBpAGMAdAAgAGUAbgB2AGkAcgBvAG4AbQBlAG4AdABhAGwAIABjAG8AbgB0AHIAbwBsAHMALAAgAGUAbQBpAHMAcwBpAG8AbgBzACAAYQByAGUAIABlAHMAdABpAG0AYQB0AGUAZAAgAG8AbgBsAHkAIABmAG8AcgAgAGQAcgB5AGwAbwB0ACAATQBNAFMAIAAoAG0APQA1ACkALgBcAG4ALQAtAC0ALQAtAC0ALQAtAC0ALQAtAC0ALQAtAC0ALQAtAC0ALQAtAC0ALQAtAC0ALQAtAC0ALQAtAC0ALQAtAC0ALQAtAC0ALQAtAFwAbgAqAC8AXABuAFwAbgBWAEUARQBSAEcAXwA0AF8ANQBfADEAXwA3AF8AXwAxAF8AQQBuAG4AdQBhAGwARQBtAGkAcwBzAGkAbwBuAHMARgByAG8AbQBMAGUAYQBjAGgAaQBuAGcAQQBuAGQAUgB1AG4AbwBmAGYARgByAG8AbQBNAE0AUwBcAG4AIAAgAD0ATABBAE0AQgBEAEEAKABcAG4AIAAgACAAIABNAE4ATABlAGEAYwBoAF8AagBtADUALAAgAEUARgBfAGwAZQBhAGMAaAAsACAAQwBfAE4AMgBPACwAXABuACAAIAAgACAATQBOAEwAZQBhAGMAaABfAGoAbQA1ACAAKgAgAEUARgBfAGwAZQBhAGMAaAAgACoAIABDAF8ATgAyAE8AIAAqACAAMQAwACAAXgAgAC0AMwBcAG4AIAAgACkAOwBcAG4AXABuAFYARQBFAFIARwBfADQAXwA1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QBfADEAXwA3AF8AXwAxAF8AQQBuAG4AdQBhAGwARQBtAGkAcwBzAGkAbwBuAHMARgByAG8AbQBMAGUAYQBjAGgAaQBuAGcAQQBuAGQAUgB1AG4AbwBmAGYARgByAG8AbQBNAE0AUwBfAFYAYQByAGkAYQBiAGwAZQBcAG4AIAAgAD0ATABBAE0AQgBEAEEAKABcACIARQBfAE4AMgBPAGwAZQBhAGMAaABcACIAKQA7AFwAbgBcAG4AVgBFAEUAUgBHAF8ANABfADUAXwAxAF8ANwBfAF8AMQBfAEEAbgBuAHUAYQBsAEUAbQBpAHMAcwBpAG8AbgBzAEYAcgBvAG0ATABlAGEAYwBoAGkAbgBnAEEAbgBkAFIAdQBuAG8AZgBmAEYAcgBvAG0ATQBNAFMAXwBVAG4AaQB0AFwAbgAgACAAPQBMAEEATQBCAEQAQQAoAFwAIgB0ACAATgAyAE8AXAAiACkAOwBcAG4AXABuAFYARQBFAFIARwBfADQAXwA1AF8AMQBfADcAXwBfADEAXwBBAG4AbgB1AGEAbABFAG0AaQBzAHMAaQBvAG4AcwBGAHIAbwBtAEwAZQBhAGMAaABpAG4AZwBBAG4AZABSAHUAbgBvAGYAZgBGAHIAbwBtAE0ATQBTAF8AUwBvAHUAcgBjAGUAXABuACAAIAA9AEwAQQBNAEIARABBACgAXAAiAFYARQBFAFIARwAgADIAMAAyADYAOgAgADQALgA1AC4AMQAuADcALAAgAEUAcQB1AGEAdABpAG8AbgAgACgAMQApAFwAIgApADsAXABuAFwAbgBWAEUARQBSAEcAXwA0AF8ANQBfADEAXwA3AF8AXwAxAF8AQQBuAG4AdQBhAGwARQBtAGkAcwBzAGkAbwBuAHMARgByAG8AbQBMAGUAYQBjAGgAaQBuAGcAQQBuAGQAUgB1AG4AbwBmAGYARgByAG8AbQBNAE0AUwBfAE4ASQBSAFIAZQBmAGUAcgBlAG4AYwBlAFwAbgAgACAAPQBMAEEATQBCAEQAQQAoAFwAIgBcACIAKQA7AFwAbgBcAG4AVgBFAEUAUgBHAF8ANABfADUAXwAxAF8ANwBfAF8AMQBfAEEAbgBuAHUAYQBsAEUAbQBpAHMAcwBpAG8AbgBzAEYAcgBvAG0ATABlAGEAYwBoAGkAbgBnAEEAbgBkAFIAdQBuAG8AZgBmAEYAcgBvAG0ATQBNAFMAXwBMAGEAdABlAHgARQBxAHUAYQB0AGkAbwBuAFwAbgAgACAAPQBMAEEATQBCAEQAQQAoAFwAIgBFAF8AewBOADIATwAsAGwAZQBhAGMAaAB9AD0ATQBOAEwAZQBhAGMAaABfAHsAagBtAD0ANQB9AFwAXAB0AGkAbQBlAHMAIABFAEYAXwB7AGwAZQBhAGMAaAB9AFwAXAB0AGkAbQBlAHMAIABDAF8AewBOADIATwB9AFwAXAB0AGkAbQBlAHMAIAAxADAAXgB7AC0AMwB9AFwAIgApADsAXABuAFwAbgBWAEUARQBSAEcAXwA0AF8ANQ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tADUAXAAiACwAIABcACIAbQBhAHMAcwAgAG8AZgAgAE4AIABsAG8AcwB0ACAAdABoAHIAbwB1AGcAaAAgAGwAZQBhAGMAaABpAG4AZwAgAGEAbgBkACAAcgB1AG4AbwBmAGYAIABmAHIAbwBtACAAZAByAHkAbABvAHQAIABNAE0AUwBcACIALAAgAFwAIgBrAGcAIABOAFwAIgAsACAAXAAiAEMAYQBsAGMAdQBsAGEAdABlAGQAIABmAHIAbwBtACAANAAuADU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UAXwAxAF8ANwBfAF8AMgBfAE0AYQBzAHMATwBmAE4AaQB0AHIAbwBnAGUAbgBMAG8AcwB0AFQAbwBMAGUAYQBjAGgAaQBuAGcAQQBuAGQAUgB1AG4AbwBmAGYARgByAG8AbQBEAHIAeQBsAG8AdABNAE0AUwBcAG4ATQBhAHMAcwAgAG8AZgAgAG4AaQB0AHIAbwBnAGUAbgAgAGwAbwBzAHQAIAB0AG8AIABsAGUAYQBjAGgAaQBuAGcAIABhAG4AZAAgAHIAdQBuAG8AZgBmACAAZgByAG8AbQAgAGQAcgB5AGwAbwB0ACAATQBNAFMAXABuAE0ATgBMAGUAYQBjAGgAXwBqAG0ANQBcAG4AawBnACAATgBcAG4ATQBOAEwAZQBhAGMAaABfAHsAagBtAD0ANQB9AD0ATQBOAF8AewBqAG0APQA1ACwAVAA9ADEAfQBcAFwAdABpAG0AZQBzACAARgByAGEAYwBXAEUAVABcAFwAdABpAG0AZQBzACAARgByAGEAYwBMAEUAQQBDAEgAXwB7AE0AUwB9AFwAbgBNAE4AXwBqAG0ANQBUADEAIAA9ACAAbgBpAHQAcgBvAGcAZQBuACAAaQBuACAAdAByAGUAYQB0AG0AZQBuAHQAIABzAHQAYQBnAGUAIAAxACAAZAByAHkAbABvAHQAIABNAE0AUwAgACgAawBnACAATgApAFwAbgBGAHIAYQBjAFcARQBUACAAPQAgAGYAcgBhAGMAdABpAG8AbgAgAG8AZgAgAE4AIABhAHYAYQBpAGwAYQBiAGwAZQAgAGYAbwByACAAbABlAGEAYwBoAGkAbgBnACAAYQBuAGQAIAByAHUAbgBvAGYAZgBcAG4ARgByAGEAYwBMAEUAQQBDAEgAXwBNAFMAIAA9ACAAZgByAGEAYwB0AGkAbwBuACAAbwBmACAATgAgAGwAbwBzAHQAIAB0AGgAcgBvAHUAZwBoACAAbABlAGEAYwBoAGkAbgBnACAAYQBuAGQAIAByAHUAbgBvAGYAZgBcAG4ALQAtAC0ALQAtAC0ALQAtAC0ALQAtAC0ALQAtAC0ALQAtAC0ALQAtAC0ALQAtAC0ALQAtAC0ALQAtAC0ALQAtAC0ALQAtAC0ALQAtAFwAbgAqAC8AXABuAFwAbgBWAEUARQBSAEcAXwA0AF8ANQBfADEAXwA3AF8AXwAyAF8ATQBhAHMAcwBPAGYATgBpAHQAcgBvAGcAZQBuAEwAbwBzAHQAVABvAEwAZQBhAGMAaABpAG4AZwBBAG4AZABSAHUAbgBvAGYAZgBGAHIAbwBtAEQAcgB5AGwAbwB0AE0ATQBTAFwAbgAgACAAPQBMAEEATQBCAEQAQQAoAFwAbgAgACAAIAAgAE0ATgBfAGoAbQA1AFQAMQAsACAARgByAGEAYwBXAEUAVAAsACAARgByAGEAYwBMAEUAQQBDAEgAXwBNAFMALABcAG4AIAAgACAAIABNAE4AXwBqAG0ANQBUADEAIAAqACAARgByAGEAYwBXAEUAVAAgACoAIABGAHIAYQBjAEwARQBBAEMASABfAE0AUwBcAG4AIAAgACkAOwBcAG4AXABuAFYARQBFAFIARwBfADQAXwA1AF8AMQBfADcAXwBfADIAXwBNAGEAcwBzAE8AZgBOAGkAdAByAG8AZwBlAG4ATABvAHMAdABUAG8ATABlAGEAYwBoAGkAbgBnAEEAbgBkAFIAdQBuAG8AZgBmAEYAcgBvAG0ARAByAHkAbABvAHQATQBNAFMAXwBUAGkAdABsAGUAXABuACAAIAA9AEwAQQBNAEIARABBACgAXAAiAE0AYQBzAHMAIABvAGYAIABuAGkAdAByAG8AZwBlAG4AIABsAG8AcwB0ACAAdABvACAAbABlAGEAYwBoAGkAbgBnACAAYQBuAGQAIAByAHUAbgBvAGYAZgAgAGYAcgBvAG0AIABkAHIAeQBsAG8AdAAgAE0ATQBTAFwAIgApADsAXABuAFwAbgBWAEUARQBSAEcAXwA0AF8ANQBfADEAXwA3AF8AXwAyAF8ATQBhAHMAcwBPAGYATgBpAHQAcgBvAGcAZQBuAEwAbwBzAHQAVABvAEwAZQBhAGMAaABpAG4AZwBBAG4AZABSAHUAbgBvAGYAZgBGAHIAbwBtAEQAcgB5AGwAbwB0AE0ATQBTAF8AVgBhAHIAaQBhAGIAbABlAFwAbgAgACAAPQBMAEEATQBCAEQAQQAoAFwAIgBNAE4ATABlAGEAYwBoAF8AagBtADUAXAAiACkAOwBcAG4AXABuAFYARQBFAFIARwBfADQAXwA1AF8AMQBfADcAXwBfADIAXwBNAGEAcwBzAE8AZgBOAGkAdAByAG8AZwBlAG4ATABvAHMAdABUAG8ATABlAGEAYwBoAGkAbgBnAEEAbgBkAFIAdQBuAG8AZgBmAEYAcgBvAG0ARAByAHkAbABvAHQATQBNAFMAXwBVAG4AaQB0AFwAbgAgACAAPQBMAEEATQBCAEQAQQAoAFwAIgBrAGcAIABOAFwAIgApADsAXABuAFwAbgBWAEUARQBSAEcAXwA0AF8ANQBfADEAXwA3AF8AXwAyAF8ATQBhAHMAcwBPAGYATgBpAHQAcgBvAGcAZQBuAEwAbwBzAHQAVABvAEwAZQBhAGMAaABpAG4AZwBBAG4AZABSAHUAbgBvAGYAZgBGAHIAbwBtAEQAcgB5AGwAbwB0AE0ATQBTAF8AUwBvAHUAcgBjAGUAXABuACAAIAA9AEwAQQBNAEIARABBACgAXAAiAFYARQBFAFIARwAgADIAMAAyADYAOgAgADQALgA1AC4AMQAuADcALAAgAEUAcQB1AGEAdABpAG8AbgAgACgAMgApAFwAIgApADsAXABuAFwAbgBWAEUARQBSAEcAXwA0AF8ANQBfADEAXwA3AF8AXwAyAF8ATQBhAHMAcwBPAGYATgBpAHQAcgBvAGcAZQBuAEwAbwBzAHQAVABvAEwAZQBhAGMAaABpAG4AZwBBAG4AZABSAHUAbgBvAGYAZgBGAHIAbwBtAEQAcgB5AGwAbwB0AE0ATQBTAF8ATgBJAFIAUgBlAGYAZQByAGUAbgBjAGUAXABuACAAIAA9AEwAQQBNAEIARABBACgAXAAiAFwAIgApADsAXABuAFwAbgBWAEUARQBSAEcAXwA0AF8ANQBfADEAXwA3AF8AXwAyAF8ATQBhAHMAcwBPAGYATgBpAHQAcgBvAGcAZQBuAEwAbwBzAHQAVABvAEwAZQBhAGMAaABpAG4AZwBBAG4AZABSAHUAbgBvAGYAZgBGAHIAbwBtAEQAcgB5AGwAbwB0AE0ATQBTAF8ATABhAHQAZQB4AEUAcQB1AGEAdABpAG8AbgBcAG4AIAAgAD0ATABBAE0AQgBEAEEAKABcACIATQBOAEwAZQBhAGMAaABfAHsAagBtAD0ANQB9AD0ATQBOAF8AewBqAG0APQA1ACwAVAA9ADEAfQBcAFwAdABpAG0AZQBzACAARgByAGEAYwBXAEUAVABcAFwAdABpAG0AZQBzACAARgByAGEAYwBMAEUAQQBDAEgAXwB7AE0AUwB9AFwAIgApADsAXABuAFwAbgBWAEUARQBSAEcAXwA0AF8ANQBfADEAXwA3AF8AXwAyAF8ATQBhAHMAcwBPAGYATgBpAHQAcgBvAGcAZQBuAEwAbwBzAHQAVABvAEwAZQBhAGMAaABpAG4AZwBBAG4AZABSAHUAbgBvAGYAZgBGAHIAbwBtAEQAcgB5AGwAbwB0AE0ATQBTAF8AQQByAGcAdQBtAGUAbgB0AHMAXABuACAAIAA9AEwAQQBNAEIARABBACgAXABuACAAIAAgACAATQBBAEsARQBBAFIAUgBBAFkAKAA2ACwAIAA0ACwAXABuACAAIAAgACAAIAAgAEwAQQBNAEIARABBACgAcgAsAGMALABcAG4AIAAgACAAIAAgACAAIAAgAEkATgBEAEUAWAAoAHsAXABuACAAIAAgACAAIAAgACAAIAAgACAAXAAiAE0ATgBfAGoAbQA1AFQAMQBcACIALAAgAFwAIgBuAGkAdAByAG8AZwBlAG4AIABpAG4AIAB0AHIAZQBhAHQAbQBlAG4AdAAgAHMAdABhAGcAZQAgADEAIABkAHIAeQBsAG8AdAAgAE0ATQBTAFwAIgAsACAAXAAiAGsAZwAgAE4AXAAiACwAIABcACIAQwBhAGwAYwB1AGwAYQB0AGUAZAAgAGYAcgBvAG0AIAA0AC4ANQAuADEALgAzACAAKAAyACkAXAAiADsAXABuACAAIAAgACAAIAAgACAAIAAgACAAXAAiAEYAcgBhAGMAVwBFAF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8ATQBTAFwAIgAsACA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FwAbgBcAG4AIgB9ACwAewAiAHAAYQB0AGgAIgA6ACIALwBwAHIAbwBqAGUAYwB0AHMALwBNAE0AUwBfAFMAdwBpAG4AZQBfAE0AYQBuAHUAcgBlAEEAcABwAGwAaQBlAGQAVABvAFMAbwBpAGwAcwBfAEUAcQB1AGEAdABpAG8AbgBzACIALAAiAHQAZQB4AHQAIgA6ACIALwAqAFwAbgA9AD0APQA9AD0APQA9AD0APQA9AD0APQA9AD0APQA9AD0APQA9AD0APQA9AD0APQA9AD0APQA9AD0APQA9AD0APQA9AD0APQA9AD0APQA9AD0APQA9AD0APQA9AD0APQA9AD0APQA9AD0APQA9AD0APQA9AD0APQA9AD0APQA9AD0APQA9AD0APQA9AD0APQA9AD0APQA9AFwAbgA0AC4ANQA6ACAAUwB3AGkAbgBlAFwAbgA9AD0APQA9AD0APQA9AD0APQA9AD0APQA9AD0APQA9AD0APQA9AD0APQA9AD0APQA9AD0APQA9AD0APQA9AD0APQA9AD0APQA9AD0APQA9AD0APQA9AD0APQA9AD0APQA9AD0APQA9AD0APQA9AD0APQA9AD0APQA9AD0APQA9AD0APQA9AD0APQA9AD0APQA9AD0APQA9AFwAbgA0AC4ANQAuADEALgA5ACAATQBhAG4AdQByAGUAIABBAHAAcABsAGkAZQBkACAAdABvACAAUwBvAGkAbABz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UAXwAxAF8AOQBfAF8AMQBfAE0AYQBzAHMATwBmAE4AaQB0AHIAbwBnAGUAbgBBAHAAcABsAGkAZQBkAFQAbwBTAG8AaQBsAHMAUwBjAG8AcABlADEAXABuAE0AYQBzAHMAIABvAGYAIABuAGkAdAByAG8AZwBlAG4AIABhAHAAcABsAGkAZQBkACAAdABvACAAcwBvAGkAbABzACAAZgBvAHIAIABzAGMAbwBwAGUAIAAxACAAZQBtAGkAcwBzAGkAbwBuAHMAXABuAE0ATgBTAG8AaQBsAF8AcwBjAG8AcABlADEAXABuAGsAZwAgAE4AXABu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G4ATQBOAF8AagBtAFQAMgAgAD0AIABtAGEAcwBzACAAbwBmACAATgAgAGkAbgAgAE0ATQBTACAAYQB0ACAAdAByAGUAYQB0AG0AZQBuAHQAIABzAHQAYQBnAGUAIAAyACAAOgAgAGsAZwAgAE4AXABuAEUARgBfAG0AVAAyACAAPQAgAG4AaQB0AHIAbwB1AHMAIABvAHgAaQBkAGUAIABlAG0AaQBzAHMAaQBvAG4AIABmAGEAYwB0AG8AcgAgAGYAbwByACAAZQBhAGMAaAAgAE0ATQBTACAAYQB0ACAAdAByAGUAYQB0AG0AZQBuAHQAIABzAHQAYQBnAGUAIAAyACAAOgAgAGsAZwAgAE4AMgBPAC0ATgAvAGsAZwAgAE4AXABuAEYAcgBhAGMARwBBAFMATQBfAG0AVAAyACAAPQAgAGYAcgBhAGMAdABpAG8AbgAgAG8AZgAgAGEAbgBpAG0AYQBsACAAdwBhAHMAdABlACAATgAgAHYAbwBsAGEAdABpAGwAaQBzAGUAZAAgAGkAbgAgAGUAYQBjAGgAIABNAE0AUwAgAGEAdAAgAHQAcgBlAGEAdABtAGUAbgB0ACAAcwB0AGEAZwBlACAAMgAgADoAIAAoAGsAZwAgAE4ASAAzAC0ATgAgACsAIABOAE8AeAAtAE4AKQAvAGsAZwAgAE4AXABuAE0ATgBMAGUAYQBjAGgAXwBqAG0ANQAgAD0AIABtAGEAcwBzACAAbwBmACAATgAgAGwAbwBzAHQAIAB0AG8AIABsAGUAYQBjAGgAaQBuAGcAIABhAG4AZAAgAHIAdQBuAG8AZgBmACAAZgByAG8AbQAgAGQAcgB5AGwAbwB0ACAATQBNAFMAIAA6ACAAawBnACAATgBcAG4AUABGACAAPQAgAGYAcgBhAGMAdABpAG8AbgAgAG8AZgAgAG0AYQBuAHUAcgBlACAAYQBwAHAAbABpAGUAZAAgAHQAbwAgAHMAbwBpAGwAIAB3AGkAdABoAGkAbgAgAHQAaABlACAAcABpAGcAZwBlAHIAeQAgAGIAbwB1AG4AZABhAHIAeQAgADoAIABmAHIAYQBjAHQAaQBvAG4AXABuAC0ALQAtAC0ALQAtAC0ALQAtAC0ALQAtAC0ALQAtAC0ALQAtAC0ALQAtAC0ALQAtAC0ALQAtAC0ALQAtAC0ALQAtAC0ALQAtAC0ALQBcAG4AKgAvAFwAbgBcAG4AVgBFAEUAUgBHAF8ANABfADUAXwAxAF8AOQBfAF8AMQBfAE0AYQBzAHMATwBmAE4AaQB0AHIAbwBnAGUAbgBBAHAAcABsAGkAZQBkAFQAbwBTAG8AaQBsAHMAUwBjAG8AcABlADEAXABuACAAIAA9AEwAQQBNAEIARABBACgAXABuACAAIAAgACAATQBOAF8AagBtAFQAMgAsACAARQBGAF8AbQBUADIALAAgAEYAcgBhAGMARwBBAFMATQBfAG0AVAAyACwAIABNAE4ATABlAGEAYwBoAF8AagBtADUALAAgAFAARgAsAFwAbgAgACAAIAAgACgATQBOAF8AagBtAFQAMgAgACoAIAAoADEAIAAtACAARQBGAF8AbQBUADIAIAAtACAARgByAGEAYwBHAEEAUwBNAF8AbQBUADIAKQAgAC0AIABNAE4ATABlAGEAYwBoAF8AagBtADUAKQAgACoAIABQAEYAXABuACAAIAApADsAXABuAFwAbgBWAEUARQBSAEcAXwA0AF8ANQ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UAXwAxAF8AOQBfAF8AMQBfAE0AYQBzAHMATwBmAE4AaQB0AHIAbwBnAGUAbgBBAHAAcABsAGkAZQBkAFQAbwBTAG8AaQBsAHMAUwBjAG8AcABlADEAXwBWAGEAcgBpAGEAYgBsAGUAXABuACAAIAA9AEwAQQBNAEIARABBACgAXAAiAE0ATgBTAG8AaQBsAF8AcwBjAG8AcABlADEAXAAiACkAOwBcAG4AXABuAFYARQBFAFIARwBfADQAXwA1AF8AMQBfADkAXwBfADEAXwBNAGEAcwBzAE8AZgBOAGkAdAByAG8AZwBlAG4AQQBwAHAAbABpAGUAZABUAG8AUwBvAGkAbABzAFMAYwBvAHAAZQAxAF8AVQBuAGkAdABcAG4AIAAgAD0ATABBAE0AQgBEAEEAKABcACIAawBnACAATgBcACIAKQA7AFwAbgBcAG4AVgBFAEUAUgBHAF8ANABfADUAXwAxAF8AOQBfAF8AMQBfAE0AYQBzAHMATwBmAE4AaQB0AHIAbwBnAGUAbgBBAHAAcABsAGkAZQBkAFQAbwBTAG8AaQBsAHMAUwBjAG8AcABlADEAXwBTAG8AdQByAGMAZQBcAG4AIAAgAD0ATABBAE0AQgBEAEEAKABcACIAVgBFAEUAUgBHACAAMgAwADIANgA6ACAANAAuADUALgAxAC4AOQAsACAARQBxAHUAYQB0AGkAbwBuACAAKAAxACkAXAAiACkAOwBcAG4AXABuAFYARQBFAFIARwBfADQAXwA1AF8AMQBfADkAXwBfADEAXwBNAGEAcwBzAE8AZgBOAGkAdAByAG8AZwBlAG4AQQBwAHAAbABpAGUAZABUAG8AUwBvAGkAbABzAFMAYwBvAHAAZQAxAF8ATgBJAFIAUgBlAGYAZQByAGUAbgBjAGUAXABuACAAIAA9AEwAQQBNAEIARABBACgAXAAiAFwAIgApADsAXABuAFwAbgBWAEUARQBSAEcAXwA0AF8ANQ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BUAD0AMgB9AFwAXAB0AGkAbQBlAHMAKAAxAC0ARQBGAF8AewBtAFQAPQAyAH0ALQBGAHIAYQBjAEcAQQBTAE0AXwB7AG0AVAA9ADIAfQApAC0ATQBOAEwAZQBhAGMAaABfAHsAagBtAD0ANQB9ACkAXABcAHQAaQBtAGUAcwAgAFAARgBcACIAKQA7AFwAbgBcAG4AVgBFAEUAUgBHAF8ANABfADU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NAE0AUwAgAGEAdAAgAHQAcgBlAGEAdABtAGUAbgB0ACAAcwB0AGEAZwBlACAAMgBcACIALAAgAFwAIgBrAGcAIABOAFwAIgAsACAAXAAiAEMAYQBsAGMAdQBsAGEAdABlAGQAIABmAHIAbwBtACAANAAuADUALgAxAC4AMwAgACgANgApAFwAIgA7AFwAbgAgACAAIAAgACAAIAAgACAAIAAgAFwAIgBFAEYAXwBtAFQAMgBcACIALABcACIAbgBpAHQAcgBvAHUAcwAgAG8AeABpAGQAZQAgAGUAbQBpAHMAcwBpAG8AbgAgAGYAYQBjAHQAbwByACAAZgBvAHIAIABlAGEAYwBoACAATQBNAFMAIABhAHQAIAB0AHIAZQBhAHQAbQBlAG4AdAAgAHMAdABhAGcAZQAgADI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IABhAHQAIAB0AHIAZQBhAHQAbQBlAG4AdAAgAHMAdABhAGcAZQAgADIAXAAiACwAIABcACIAKABrAGcAIABOAEgAMwAtAE4AIAArACAATgBPAHgALQBOACkALwBrAGcAIABOAFwAIgAsACAAXAAiAEMAbwBuAHMAdABhAG4AdABcACIAOwBcAG4AIAAgACAAIAAgACAAIAAgACAAIABcACIATQBOAEwAZQBhAGMAaABfAGoAbQA1AFwAIgAsAFwAIgBtAGEAcwBzACAAbwBmACAATgAgAGwAbwBzAHQAIAB0AG8AIABsAGUAYQBjAGgAaQBuAGcAIABhAG4AZAAgAHIAdQBuAG8AZgBmACAAZgByAG8AbQAgAGQAcgB5AGwAbwB0ACAATQBNAFMAXAAiACwAIABcACIAawBnACAATgBcACIALAAgAFwAIgBDAGEAbABjAHUAbABhAHQAZQBkACAAZgByAG8AbQAgADQALgA1AC4AMQAuADcAIAAoADIAKQBcACIAOwBcAG4AIAAgACAAIAAgACAAIAAgACAAIABcACIAUABGAFwAIgAsAFwAIgBmAHIAYQBjAHQAaQBvAG4AIABvAGYAIABtAGEAbgB1AHIAZQAgAGEAcABwAGwAaQBlAGQAIAB0AG8AIABzAG8AaQBsACAAdwBpAHQAaABpAG4AIAB0AGgAZQAgAHAAaQBnAGcAZQByAHkAIABiAG8AdQBuAGQAYQByAHk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QBfADEAXwA5AF8AXwAyAF8ATQBhAHMAcwBPAGYATgBpAHQAcgBvAGcAZQBuAEEAcABwAGwAaQBlAGQAVABvAFMAbwBpAGwAcwBTAGMAbwBwAGUAMwBcAG4ATQBhAHMAcwAgAG8AZgAgAG4AaQB0AHIAbwBnAGUAbgAgAGEAcABwAGwAaQBlAGQAIAB0AG8AIABzAG8AaQBsAHMAIABmAG8AcgAgAHMAYwBvAHAAZQAgADMAIABlAG0AaQBzAHMAaQBvAG4AcwBcAG4ATQBOAFMAbwBpAGwAXwBzAGMAbwBwAGUAMwBcAG4AawBnACAATgBcAG4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bgBNAE4AXwBqAG0AVAAyACAAPQAgAG0AYQBzAHMAIABvAGYAIABOACAAaQBuACAATQBNAFMAIABhAHQAIAB0AHIAZQBhAHQAbQBlAG4AdAAgAHMAdABhAGcAZQAgADIAIAA6ACAAawBnACAATgBcAG4ARQBGAF8AbQBUADIAIAA9ACAAbgBpAHQAcgBvAHUAcwAgAG8AeABpAGQAZQAgAGUAbQBpAHMAcwBpAG8AbgAgAGYAYQBjAHQAbwByACAAZgBvAHIAIABlAGEAYwBoACAATQBNAFMAIABhAHQAIAB0AHIAZQBhAHQAbQBlAG4AdAAgAHMAdABhAGcAZQAgADIAIAA6ACAAawBnACAATgAyAE8ALQBOAC8AawBnACAATgBcAG4ARgByAGEAYwBHAEEAUwBNAF8AbQBUADIAIAA9ACAAZgByAGEAYwB0AGkAbwBuACAAbwBmACAAYQBuAGkAbQBhAGwAIAB3AGEAcwB0AGUAIABOACAAdgBvAGwAYQB0AGkAbABpAHMAZQBkACAAaQBuACAAZQBhAGMAaAAgAE0ATQBTACAAYQB0ACAAdAByAGUAYQB0AG0AZQBuAHQAIABzAHQAYQBnAGUAIAAyACAAOgAgACgAawBnACAATgBIADMALQBOACAAKwAgAE4ATwB4AC0ATgApAC8AawBnACAATgBcAG4ATQBOAEwAZQBhAGMAaABfAGoAbQA1ACAAPQAgAG0AYQBzAHMAIABvAGYAIABOACAAbABvAHMAdAAgAHQAbwAgAGwAZQBhAGMAaABpAG4AZwAgAGEAbgBkACAAcgB1AG4AbwBmAGYAIABmAHIAbwBtACAAZAByAHkAbABvAHQAIABNAE0AUwAgADoAIABrAGcAIABOAFwAbgBQAEYAIAA9ACAAZgByAGEAYwB0AGkAbwBuACAAbwBmACAAbQBhAG4AdQByAGUAIABhAHAAcABsAGkAZQBkACAAdABvACAAcwBvAGkAbAAgAHcAaQB0AGgAaQBuACAAdABoAGUAIABwAGkAZwBnAGUAcgB5ACAAYgBvAHUAbgBkAGEAcgB5ACAAOgAgAGYAcgBhAGMAdABpAG8AbgBcAG4ALQAtAC0ALQAtAC0ALQAtAC0ALQAtAC0ALQAtAC0ALQAtAC0ALQAtAC0ALQAtAC0ALQAtAC0ALQAtAC0ALQAtAC0ALQAtAC0ALQAtAFwAbgAqAC8AXABuAFwAbgBWAEUARQBSAEcAXwA0AF8ANQBfADEAXwA5AF8AXwAyAF8ATQBhAHMAcwBPAGYATgBpAHQAcgBvAGcAZQBuAEEAcABwAGwAaQBlAGQAVABvAFMAbwBpAGwAcwBTAGMAbwBwAGUAMwBcAG4AIAAgAD0ATABBAE0AQgBEAEEAKABcAG4AIAAgACAAIABNAE4AXwBqAG0AVAAyACwAIABFAEYAXwBtAFQAMgAsACAARgByAGEAYwBHAEEAUwBNAF8AbQBUADIALAAgAE0ATgBMAGUAYQBjAGgAXwBqAG0ANQAsACAAUABGACwAXABuACAAIAAgACAAKABNAE4AXwBqAG0AVAAyACAAKgAgACgAMQAgAC0AIABFAEYAXwBtAFQAMgAgAC0AIABGAHIAYQBjAEcAQQBTAE0AXwBtAFQAMgApACAALQAgAE0ATgBMAGUAYQBjAGgAXwBqAG0ANQApACAAKgAgACgAMQAgAC0AIABQAEYAKQBcAG4AIAAgACkAOwBcAG4AXABuAFYARQBFAFIARwBfADQAXwA1AF8AMQBfADkAXwBfADIAXwBNAGEAcwBzAE8AZgBOAGkAdAByAG8AZwBlAG4AQQBwAHAAbABpAGUAZABUAG8AUwBvAGkAbABzAFMAYwBvAHAAZQAzAF8AVABpAHQAbABlAFwAbgAgACAAPQBMAEEATQBCAEQAQQAoAFwAIgBNAGEAcwBzACAAbwBmACAAbgBpAHQAcgBvAGcAZQBuACAAYQBwAHAAbABpAGUAZAAgAHQAbwAgAHMAbwBpAGwAcwAgAGYAbwByACAAcwBjAG8AcABlACAAMwAgAGUAbQBpAHMAcwBpAG8AbgBzAFwAIgApADsAXABuAFwAbgBWAEUARQBSAEcAXwA0AF8ANQBfADEAXwA5AF8AXwAyAF8ATQBhAHMAcwBPAGYATgBpAHQAcgBvAGcAZQBuAEEAcABwAGwAaQBlAGQAVABvAFMAbwBpAGwAcwBTAGMAbwBwAGUAMwBfAFYAYQByAGkAYQBiAGwAZQBcAG4AIAAgAD0ATABBAE0AQgBEAEEAKABcACIATQBOAFMAbwBpAGwAXwBzAGMAbwBwAGUAMwBcACIAKQA7AFwAbgBcAG4AVgBFAEUAUgBHAF8ANABfADUAXwAxAF8AOQBfAF8AMgBfAE0AYQBzAHMATwBmAE4AaQB0AHIAbwBnAGUAbgBBAHAAcABsAGkAZQBkAFQAbwBTAG8AaQBsAHMAUwBjAG8AcABlADMAXwBVAG4AaQB0AFwAbgAgACAAPQBMAEEATQBCAEQAQQAoAFwAIgBrAGcAIABOAFwAIgApADsAXABuAFwAbgBWAEUARQBSAEcAXwA0AF8ANQBfADEAXwA5AF8AXwAyAF8ATQBhAHMAcwBPAGYATgBpAHQAcgBvAGcAZQBuAEEAcABwAGwAaQBlAGQAVABvAFMAbwBpAGwAcwBTAGMAbwBwAGUAMwBfAFMAbwB1AHIAYwBlAFwAbgAgACAAPQBMAEEATQBCAEQAQQAoAFwAIgBWAEUARQBSAEcAIAAyADAAMgA2ADoAIAA0AC4ANQAuADEALgA5ACwAIABFAHEAdQBhAHQAaQBvAG4AIAAoADIAKQBcACIAKQA7AFwAbgBcAG4AVgBFAEUAUgBHAF8ANABfADUAXwAxAF8AOQBfAF8AMgBfAE0AYQBzAHMATwBmAE4AaQB0AHIAbwBnAGUAbgBBAHAAcABsAGkAZQBkAFQAbwBTAG8AaQBsAHMAUwBjAG8AcABlADMAXwBOAEkAUgBSAGUAZgBlAHIAZQBuAGMAZQBcAG4AIAAgAD0ATABBAE0AQgBEAEEAKABcACIAXAAiACkAOwBcAG4AXABuAFYARQBFAFIARwBfADQAXwA1AF8AMQBfADkAXwBfADIAXwBNAGEAcwBzAE8AZgBOAGkAdAByAG8AZwBlAG4AQQBwAHAAbABpAGUAZABUAG8AUwBvAGkAbABzAFMAYwBvAHAAZQAzAF8ATABhAHQAZQB4AEUAcQB1AGEAdABpAG8AbgBcAG4AIAAgAD0ATABBAE0AQgBEAEEAKABcACIATQBOAFMAbwBpAGwAXwB7AHMAYwBvAHAAZQAzAH0APQBcAFwAcwB1AG0AXwB7AGoAfQBcAFwAcwB1AG0AXwB7AG0AfQAoAE0ATgBfAHsAagBtAFQAPQAyAH0AXABcAHQAaQBtAGUAcwAoADEALQBFAEYAXwB7AG0AVAA9ADIAfQAtAEYAcgBhAGMARwBBAFMATQBfAHsAbQBUAD0AMgB9ACkALQBNAE4ATABlAGEAYwBoAF8AewBqAG0APQA1AH0AKQBcAFwAdABpAG0AZQBzACgAMQAtAFAARgApAFwAIgApADsAXABuAFwAbgBWAEUARQBSAEcAXwA0AF8ANQBfADEAXwA5AF8AXwAyAF8ATQBhAHMAcwBPAGYATgBpAHQAcgBvAGcAZQBuAEEAcABwAGwAaQBlAGQAVABvAFMAbwBpAGwAcwBTAGMAbwBwAGUAMwBfAEEAcgBnAHUAbQBlAG4AdABzAFwAbgAgACAAPQBMAEEATQBCAEQAQQAoAFwAbgAgACAAIAAgAE0AQQBLAEUAQQBSAFIAQQBZACgANQAsACAANAAsAFwAbgAgACAAIAAgACAAIABMAEEATQBCAEQAQQAoAHIALABjACwAXABuACAAIAAgACAAIAAgACAAIABJAE4ARABFAFgAKAB7AFwAbgAgACAAIAAgACAAIAAgACAAIAAgAFwAIgBNAE4AXwBqAG0AVAAyAFwAIgAsAFwAIgBtAGEAcwBzACAAbwBmACAATgAgAGkAbgAgAE0ATQBTACAAYQB0ACAAdAByAGUAYQB0AG0AZQBuAHQAIABzAHQAYQBnAGUAIAAyAFwAIgAsACAAXAAiAGsAZwAgAE4AXAAiACwAIABcACIAQwBhAGwAYwB1AGwAYQB0AGUAZAAgAGYAcgBvAG0AIAA0AC4ANQAuADEALgAzACAAKAA2ACkAXAAiADsAXABuACAAIAAgACAAIAAgACAAIAAgACAAXAAiAEUARgBfAG0AVAAyAFwAIgAsAFwAIgBuAGkAdAByAG8AdQBzACAAbwB4AGkAZABlACAAZQBtAGkAcwBzAGkAbwBuACAAZgBhAGMAdABvAHIAIABmAG8AcgAgAGUAYQBjAGgAIABNAE0AUwAgAGEAdAAgAHQAcgBlAGEAdABtAGUAbgB0ACAAcwB0AGEAZwBlACAAMg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AgAGEAdAAgAHQAcgBlAGEAdABtAGUAbgB0ACAAcwB0AGEAZwBlACAAMgBcACIALAAgAFwAIgAoAGsAZwAgAE4ASAAzAC0ATgAgACsAIABOAE8AeAAtAE4AKQAvAGsAZwAgAE4AXAAiACwAIABcACIAQwBvAG4AcwB0AGEAbgB0AFwAIgA7AFwAbgAgACAAIAAgACAAIAAgACAAIAAgAFwAIgBNAE4ATABlAGEAYwBoAF8AagBtADUAXAAiACwAXAAiAG0AYQBzAHMAIABvAGYAIABOACAAbABvAHMAdAAgAHQAbwAgAGwAZQBhAGMAaABpAG4AZwAgAGEAbgBkACAAcgB1AG4AbwBmAGYAIABmAHIAbwBtACAAZAByAHkAbABvAHQAIABNAE0AUwBcACIALAAgAFwAIgBrAGcAIABOAFwAIgAsACAAXAAiAEMAYQBsAGMAdQBsAGEAdABlAGQAIABmAHIAbwBtACAANAAuADUALgAxAC4ANwAgACgAMgApAFwAIgA7AFwAbgAgACAAIAAgACAAIAAgACAAIAAgAFwAIgBQAEYAXAAiACwAXAAiAGYAcgBhAGMAdABpAG8AbgAgAG8AZgAgAG0AYQBuAHUAcgBlACAAYQBwAHAAbABpAGUAZAAgAHQAbwAgAHMAbwBpAGwAIAB3AGkAdABoAGkAbgAgAHQAaABlACAAcABpAGcAZwBlAHIAeQAgAGIAbwB1AG4AZABhAHIAeQBcACIALAAgAFwAIgBmAHIAYQBjAHQAaQBvAG4AXAAiACwAIABcACIASQBuAHAAdQB0AFwAIgBcAG4AIAAgACAAIAAgACAAIAAgAH0ALAAgAHIALAAgAGMAKQBcAG4AIAAgACAAIAAgACAAKQBcAG4AIAAgACAAIAApAFwAbgAgACA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TABpAHYAZQBzAHQAbwBjAGsAXwBTAG8AdQByAGMAZQBEAGEAdABhAC4AUwBvAHUAcgBjAGUARABhAHQAYQBfAEwAaQB2AGUAcwB0AG8AYwBrAF8AQwBvAG0AbQBvAG4AXwBGAHIAYQBjAFcARQBUAE0ATQBTAF8AVABpAHQAbABlACIALAAiAEMAbwBtAG0AbwBuAEwAaQB2AGUAcwB0AG8AYwBrAF8AUwBvAHUAcgBjAGUARABhAHQAYQAuAFMAbwB1AHIAYwBlAEQAYQB0AGEAXwBMAGkAdgBlAHMAdABvAGMAawBfAEMAbwBtAG0AbwBuAF8ARgByAGEAYwBXAEUAVABNAE0AUwBfAFUAbgBpAHQAIgAsACIAQwBvAG0AbQBvAG4ATABpAHYAZQBzAHQAbwBjAGsAXwBTAG8AdQByAGMAZQBEAGEAdABhAC4AUwBvAHUAcgBjAGUARABhAHQAYQBfAEwAaQB2AGUAcwB0AG8AYwBrAF8AQwBvAG0AbQBvAG4AXwBGAHIAYQBjAFcARQBUAE0ATQBTAF8AUwBvAHUAcgBjAGUAIgAsACIAQwBvAG0AbQBvAG4ATABpAHYAZQBzAHQAbwBjAGsAXwBTAG8AdQByAGMAZQBEAGEAdABhAC4AUwBvAHUAcgBjAGUARABhAHQAYQBfAEwAaQB2AGUAcwB0AG8AYwBrAF8AQwBvAG0AbQBvAG4AXwBGAHIAYQBjAFcARQBUAE0ATQBTAF8ARABhAHQAYQAiACwAIgBDAG8AbQBtAG8AbgBMAGkAdgBlAHMAdABvAGMAawBfAFMAbwB1AHIAYwBlAEQAYQB0AGEALgBTAG8AdQByAGMAZQBEAGEAdABhAF8ATABpAHYAZQBzAHQAbwBjAGsAXwBDAG8AbQBtAG8AbgBfAEYAcgBhAGMATABFAEEAQwBIAF8ATQBTAF8AVABpAHQAbABlACIALAAiAEMAbwBtAG0AbwBuAEwAaQB2AGUAcwB0AG8AYwBrAF8AUwBvAHUAcgBjAGUARABhAHQAYQAuAFMAbwB1AHIAYwBlAEQAYQB0AGEAXwBMAGkAdgBlAHMAdABvAGMAawBfAEMAbwBtAG0AbwBuAF8ARgByAGEAYwBMAEUAQQBDAEgAXwBNAFMAXwBVAG4AaQB0ACIALAAiAEMAbwBtAG0AbwBuAEwAaQB2AGUAcwB0AG8AYwBrAF8AUwBvAHUAcgBjAGUARABhAHQAYQAuAFMAbwB1AHIAYwBlAEQAYQB0AGEAXwBMAGkAdgBlAHMAdABvAGMAawBfAEMAbwBtAG0AbwBuAF8ARgByAGEAYwBMAEUAQQBDAEgAXwBNAFMAXwBTAG8AdQByAGMAZQAiACwAIgBDAG8AbQBtAG8AbgBMAGkAdgBlAHMAdABvAGMAawBfAFMAbwB1AHIAYwBlAEQAYQB0AGEALgBTAG8AdQByAGMAZQBEAGEAdABhAF8ATABpAHYAZQBzAHQAbwBjAGsAXwBDAG8AbQBtAG8AbgBfAEYAcgBhAGMATABFAEEAQwBIAF8ATQBTAF8ARABhAHQAYQAiACwAIgBDAG8AbQBtAG8AbgBMAGkAdgBlAHMAdABvAGMAawBfAFMAbwB1AHIAYwBlAEQAYQB0AGEALgBTAG8AdQByAGMAZQBEAGEAdABhAF8ATABpAHYAZQBzAHQAbwBjAGsAXwBDAG8AbQBtAG8AbgBfAFMAeQBtAGIAbwBsAHMATQBNAFMAXwBUAGkAdABsAGUAIgAsACIAQwBvAG0AbQBvAG4ATABpAHYAZQBzAHQAbwBjAGsAXwBTAG8AdQByAGMAZQBEAGEAdABhAC4AUwBvAHUAcgBjAGUARABhAHQAYQBfAEwAaQB2AGUAcwB0AG8AYwBrAF8AQwBvAG0AbQBvAG4AXwBTAHkAbQBiAG8AbABzAE0ATQBTAF8AVgBhAGkAcgBhAGIAbABlACIALAAiAEMAbwBtAG0AbwBuAEwAaQB2AGUAcwB0AG8AYwBrAF8AUwBvAHUAcgBjAGUARABhAHQAYQAuAFMAbwB1AHIAYwBlAEQAYQB0AGEAXwBMAGkAdgBlAHMAdABvAGMAawBfAEMAbwBtAG0AbwBuAF8AUwB5AG0AYgBvAGwAcwBNAE0AUwBfAFUAbgBpAHQAIgAsACIAQwBvAG0AbQBvAG4ATABpAHYAZQBzAHQAbwBjAGsAXwBTAG8AdQByAGMAZQBEAGEAdABhAC4AUwBvAHUAcgBjAGUARABhAHQAYQBfAEwAaQB2AGUAcwB0AG8AYwBrAF8AQwBvAG0AbQBvAG4AXwBTAHkAbQBiAG8AbABzAE0ATQBTAF8AUwBvAHUAcgBjAGUAIgAsACIAQwBvAG0AbQBvAG4ATABpAHYAZQBzAHQAbwBjAGsAXwBTAG8AdQByAGMAZQBEAGEAdABhAC4AUwBvAHUAcgBjAGUARABhAHQAYQBfAEwAaQB2AGUAcwB0AG8AYwBrAF8AQwBvAG0AbQBvAG4AXwBTAHkAbQBiAG8AbABzAE0ATQBTAF8ARABhAHQAYQ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EAGkAcwBwAGwAYQB5AEEAcgBnAHUAbQBlAG4AdABzAF8AMQBfADIAIgAsACIAQwBvAG0AbQBvAG4AXwBJAG4AcAB1AHQARgB1AG4AYwB0AGkAbwBuAHMALgBVAHQAaQBsAGkAdAB5AF8ARABpAHMAcABsAGEAeQBBAHIAZwB1AG0AZQBuAHQAcwBfADMAXwA0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TAHcAaQBuAGUALgBTAG8AdQByAGMAZQBEAGEAdABhAF8AUwB3AGkAbgBlAF8AVgBvAGwAYQB0AGkAbABlAFMAbwBsAGkAZABzAF8AVABpAHQAbABlACIALAAiAFMAbwB1AHIAYwBlAEQAYQB0AGEAXwBTAHcAaQBuAGUALgBTAG8AdQByAGMAZQBEAGEAdABhAF8AUwB3AGkAbgBlAF8AVgBvAGwAYQB0AGkAbABlAFMAbwBsAGkAZABzAF8AVQBuAGkAdAAiACwAIgBTAG8AdQByAGMAZQBEAGEAdABhAF8AUwB3AGkAbgBlAC4AUwBvAHUAcgBjAGUARABhAHQAYQBfAFMAdwBpAG4AZQBfAFYAbwBsAGEAdABpAGwAZQBTAG8AbABpAGQAcwBfAFMAbwB1AHIAYwBlACIALAAiAFMAbwB1AHIAYwBlAEQAYQB0AGEAXwBTAHcAaQBuAGUALgBTAG8AdQByAGMAZQBEAGEAdABhAF8AUwB3AGkAbgBlAF8AVgBvAGwAYQB0AGkAbABlAFMAbwBsAGkAZABzAF8AVgBhAHIAaQBhAHQAaQBvAG4AIgAsACIAUwBvAHUAcgBjAGUARABhAHQAYQBfAFMAdwBpAG4AZQAuAFMAbwB1AHIAYwBlAEQAYQB0AGEAXwBTAHcAaQBuAGUAXwBWAG8AbABhAHQAaQBsAGUAUwBvAGwAaQBkAHMAXwBEAGEAdABhACIALAAiAFMAbwB1AHIAYwBlAEQAYQB0AGEAXwBTAHcAaQBuAGUALgBTAG8AdQByAGMAZQBEAGEAdABhAF8AUwB3AGkAbgBlAF8ARgBlAGUAZABJAG4AdABhAGsAZQBfAFQAaQB0AGwAZQAiACwAIgBTAG8AdQByAGMAZQBEAGEAdABhAF8AUwB3AGkAbgBlAC4AUwBvAHUAcgBjAGUARABhAHQAYQBfAFMAdwBpAG4AZQBfAEYAZQBlAGQASQBuAHQAYQBrAGUAXwBVAG4AaQB0ACIALAAiAFMAbwB1AHIAYwBlAEQAYQB0AGEAXwBTAHcAaQBuAGUALgBTAG8AdQByAGMAZQBEAGEAdABhAF8AUwB3AGkAbgBlAF8ARgBlAGUAZABJAG4AdABhAGsAZQBfAFMAbwB1AHIAYwBlACIALAAiAFMAbwB1AHIAYwBlAEQAYQB0AGEAXwBTAHcAaQBuAGUALgBTAG8AdQByAGMAZQBEAGEAdABhAF8AUwB3AGkAbgBlAF8ARgBlAGUAZABJAG4AdABhAGsAZQBfAFYAYQByAGkAYQB0AGkAbwBuACIALAAiAFMAbwB1AHIAYwBlAEQAYQB0AGEAXwBTAHcAaQBuAGUALgBTAG8AdQByAGMAZQBEAGEAdABhAF8AUwB3AGkAbgBlAF8ARgBlAGUAZABJAG4AdABhAGsAZQBfAEQAYQB0AGEAIgAsACIAUwBvAHUAcgBjAGUARABhAHQAYQBfAFMAdwBpAG4AZQAuAFMAbwB1AHIAYwBlAEQAYQB0AGEAXwBTAHcAaQBuAGUAXwBOAGkAdAByAG8AZwBlAG4ASQBuAFcAYQBzAHQAZQBfAFQAaQB0AGwAZQAiACwAIgBTAG8AdQByAGMAZQBEAGEAdABhAF8AUwB3AGkAbgBlAC4AUwBvAHUAcgBjAGUARABhAHQAYQBfAFMAdwBpAG4AZQBfAE4AaQB0AHIAbwBnAGUAbgBJAG4AVwBhAHMAdABlAF8AVQBuAGkAdAAiACwAIgBTAG8AdQByAGMAZQBEAGEAdABhAF8AUwB3AGkAbgBlAC4AUwBvAHUAcgBjAGUARABhAHQAYQBfAFMAdwBpAG4AZQBfAE4AaQB0AHIAbwBnAGUAbgBJAG4AVwBhAHMAdABlAF8AUwBvAHUAcgBjAGUAIgAsACIAUwBvAHUAcgBjAGUARABhAHQAYQBfAFMAdwBpAG4AZQAuAFMAbwB1AHIAYwBlAEQAYQB0AGEAXwBTAHcAaQBuAGUAXwBOAGkAdAByAG8AZwBlAG4ASQBuAFcAYQBzAHQAZQBfAFYAYQByAGkAYQB0AGkAbwBuACIALAAiAFMAbwB1AHIAYwBlAEQAYQB0AGEAXwBTAHcAaQBuAGUALgBTAG8AdQByAGMAZQBEAGEAdABhAF8AUwB3AGkAbgBlAF8ATgBpAHQAcgBvAGcAZQBuAEkAbgBXAGEAcwB0AGUAXwBEAGEAdABhACIALAAiAFMAbwB1AHIAYwBlAEQAYQB0AGEAXwBTAHcAaQBuAGUALgBTAG8AdQByAGMAZQBEAGEAdABhAF8AUwB3AGkAbgBlAF8ARgByAGEAYwB0AGkAbwBuAE4AVgBvAGwAYQB0AGkAbABpAHMAZQBkAF8AVABpAHQAbABlACIALAAiAFMAbwB1AHIAYwBlAEQAYQB0AGEAXwBTAHcAaQBuAGUALgBTAG8AdQByAGMAZQBEAGEAdABhAF8AUwB3AGkAbgBlAF8ARgByAGEAYwB0AGkAbwBuAE4AVgBvAGwAYQB0AGkAbABpAHMAZQBkAF8AVQBuAGkAdAAiACwAIgBTAG8AdQByAGMAZQBEAGEAdABhAF8AUwB3AGkAbgBlAC4AUwBvAHUAcgBjAGUARABhAHQAYQBfAFMAdwBpAG4AZQBfAEYAcgBhAGMAdABpAG8AbgBOAFYAbwBsAGEAdABpAGwAaQBzAGUAZABfAFMAbwB1AHIAYwBlACIALAAiAFMAbwB1AHIAYwBlAEQAYQB0AGEAXwBTAHcAaQBuAGUALgBTAG8AdQByAGMAZQBEAGEAdABhAF8AUwB3AGkAbgBlAF8ARgByAGEAYwB0AGkAbwBuAE4AVgBvAGwAYQB0AGkAbABpAHMAZQBkAF8AVgBhAHIAaQBhAHQAaQBvAG4AIgAsACIAUwBvAHUAcgBjAGUARABhAHQAYQBfAFMAdwBpAG4AZQAuAFMAbwB1AHIAYwBlAEQAYQB0AGEAXwBTAHcAaQBuAGUAXwBGAHIAYQBjAHQAaQBvAG4ATgBWAG8AbABhAHQAaQBsAGkAcwBlAGQAXwBEAGEAdABhACIALAAiAFMAbwB1AHIAYwBlAEQAYQB0AGEAXwBTAHcAaQBuAGUALgBTAG8AdQByAGMAZQBEAGEAdABhAF8AUwB3AGkAbgBlAF8ATgBpAHQAcgBvAHUAcwBPAHgAaQBkAGUARQBGAHMAXwBUAGkAdABsAGUAIgAsACIAUwBvAHUAcgBjAGUARABhAHQAYQBfAFMAdwBpAG4AZQAuAFMAbwB1AHIAYwBlAEQAYQB0AGEAXwBTAHcAaQBuAGUAXwBOAGkAdAByAG8AdQBzAE8AeABpAGQAZQBFAEYAcwBfAFUAbgBpAHQAIgAsACIAUwBvAHUAcgBjAGUARABhAHQAYQBfAFMAdwBpAG4AZQAuAFMAbwB1AHIAYwBlAEQAYQB0AGEAXwBTAHcAaQBuAGUAXwBOAGkAdAByAG8AdQBzAE8AeABpAGQAZQBFAEYAcwBfAFMAbwB1AHIAYwBlACIALAAiAFMAbwB1AHIAYwBlAEQAYQB0AGEAXwBTAHcAaQBuAGUALgBTAG8AdQByAGMAZQBEAGEAdABhAF8AUwB3AGkAbgBlAF8ATgBpAHQAcgBvAHUAcwBPAHgAaQBkAGUARQBGAHMAXwBWAGEAcgBpAGEAdABpAG8AbgAiACwAIgBTAG8AdQByAGMAZQBEAGEAdABhAF8AUwB3AGkAbgBlAC4AUwBvAHUAcgBjAGUARABhAHQAYQBfAFMAdwBpAG4AZQBfAE4AaQB0AHIAbwB1AHMATwB4AGkAZABlAEUARg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EEAdgBlAHIAYQBnAGUATABpAHYAZQB3AGUAaQBnAGgAdABfAFQAaQB0AGwAZQAiACwAIgBTAG8AdQByAGMAZQBEAGEAdABhAF8AUwB3AGkAbgBlAC4AUwBvAHUAcgBjAGUARABhAHQAYQBfAFMAdwBpAG4AZQBfAEEAdgBlAHIAYQBnAGUATABpAHYAZQB3AGUAaQBnAGgAdABfAFUAbgBpAHQAIgAsACIAUwBvAHUAcgBjAGUARABhAHQAYQBfAFMAdwBpAG4AZQAuAFMAbwB1AHIAYwBlAEQAYQB0AGEAXwBTAHcAaQBuAGUAXwBBAHYAZQByAGEAZwBlAEwAaQB2AGUAdwBlAGkAZwBoAHQAXwBTAG8AdQByAGMAZQAiACwAIgBTAG8AdQByAGMAZQBEAGEAdABhAF8AUwB3AGkAbgBlAC4AUwBvAHUAcgBjAGUARABhAHQAYQBfAFMAdwBpAG4AZQBfAEEAdgBlAHIAYQBnAGUATABpAHYAZQB3AGUAaQBnAGgAdABfAFYAYQByAGkAYQB0AGkAbwBuACIALAAiAFMAbwB1AHIAYwBlAEQAYQB0AGEAXwBTAHcAaQBuAGUALgBTAG8AdQByAGMAZQBEAGEAdABhAF8AUwB3AGkAbgBlAF8AQQB2AGUAcgBhAGcAZQBMAGkAdgBlAHcAZQBpAGcAaAB0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TAG8AdQByAGMAZQBEAGEAdABhAF8AUwB3AGkAbgBlAC4AUwBvAHUAcgBjAGUARABhAHQAYQBfAFMAdwBpAG4AZQBfAEYAcgBhAGMATABFAEEAQwBIAF8ARAByAHkAbABvAHQATQBNAFMAXwBUAGkAdABsAGUAIgAsACIAUwBvAHUAcgBjAGUARABhAHQAYQBfAFMAdwBpAG4AZQAuAFMAbwB1AHIAYwBlAEQAYQB0AGEAXwBTAHcAaQBuAGUAXwBGAHIAYQBjAEwARQBBAEMASABfAEQAcgB5AGwAbwB0AE0ATQBTAF8AVgBhAHIAaQBhAGIAbABlACIALAAiAFMAbwB1AHIAYwBlAEQAYQB0AGEAXwBTAHcAaQBuAGUALgBTAG8AdQByAGMAZQBEAGEAdABhAF8AUwB3AGkAbgBlAF8ARgByAGEAYwBMAEUAQQBDAEgAXwBEAHIAeQBsAG8AdABNAE0AUwBfAFUAbgBpAHQAIgAsACIAUwBvAHUAcgBjAGUARABhAHQAYQBfAFMAdwBpAG4AZQAuAFMAbwB1AHIAYwBlAEQAYQB0AGEAXwBTAHcAaQBuAGUAXwBGAHIAYQBjAEwARQBBAEMASABfAEQAcgB5AGwAbwB0AE0ATQBTAF8AUwBvAHUAcgBjAGUAIgAsACIAUwBvAHUAcgBjAGUARABhAHQAYQBfAFMAdwBpAG4AZQAuAFMAbwB1AHIAYwBlAEQAYQB0AGEAXwBTAHcAaQBuAGUAXwBGAHIAYQBjAEwARQBBAEMASABfAEQAcgB5AGwAbwB0AE0ATQBTAF8AVgBhAHIAaQBhAHQAaQBvAG4AIgAsACIAUwBvAHUAcgBjAGUARABhAHQAYQBfAFMAdwBpAG4AZQAuAFMAbwB1AHIAYwBlAEQAYQB0AGEAXwBTAHcAaQBuAGUAXwBGAHIAYQBjAEwARQBBAEMASABfAEQAcgB5AGwAbwB0AE0ATQBTAF8ARABhAHQAYQAiACwAIgBNAE0AUwBfAFMAdwBpAG4AZQBfAE0AZQB0AGgAYQBuAGUAXwBFAHEAdQBhAHQAaQBvAG4AcwAuAFYARQBFAFIARwBfADQAXwA1AF8AMQBfADEAXwBfADEAXwBUAG8AdABhAGwAQQBuAG4AdQBhAGwATQBlAHQAaABhAG4AZQBFAG0AaQBzAHMAaQBvAG4AcwAiACwAIgBNAE0AUwBfAFMAdwBpAG4AZQBfAE0AZQB0AGgAYQBuAGUAXwBFAHEAdQBhAHQAaQBvAG4AcwAuAFYARQBFAFIARwBfADQAXwA1AF8AMQBfADEAXwBfADEAXwBUAG8AdABhAGwAQQBuAG4AdQBhAGwATQBlAHQAaABhAG4AZQBFAG0AaQBzAHMAaQBvAG4AcwBfAFQAaQB0AGwAZQAiACwAIgBNAE0AUwBfAFMAdwBpAG4AZQBfAE0AZQB0AGgAYQBuAGUAXwBFAHEAdQBhAHQAaQBvAG4AcwAuAFYARQBFAFIARwBfADQAXwA1AF8AMQBfADEAXwBfADEAXwBUAG8AdABhAGwAQQBuAG4AdQBhAGwATQBlAHQAaABhAG4AZQBFAG0AaQBzAHMAaQBvAG4AcwBfAFYAYQByAGkAYQBiAGwAZQAiACwAIgBNAE0AUwBfAFMAdwBpAG4AZQBfAE0AZQB0AGgAYQBuAGUAXwBFAHEAdQBhAHQAaQBvAG4AcwAuAFYARQBFAFIARwBfADQAXwA1AF8AMQBfADEAXwBfADEAXwBUAG8AdABhAGwAQQBuAG4AdQBhAGwATQBlAHQAaABhAG4AZQBFAG0AaQBzAHMAaQBvAG4AcwBfAFUAbgBpAHQAIgAsACIATQBNAFMAXwBTAHcAaQBuAGUAXwBNAGUAdABoAGEAbgBlAF8ARQBxAHUAYQB0AGkAbwBuAHMALgBWAEUARQBSAEcAXwA0AF8ANQBfADEAXwAxAF8AXwAxAF8AVABvAHQAYQBsAEEAbgBuAHUAYQBsAE0AZQB0AGgAYQBuAGUARQBtAGkAcwBzAGkAbwBuAHMAXwBTAG8AdQByAGMAZQAiACwAIgBNAE0AUwBfAFMAdwBpAG4AZQBfAE0AZQB0AGgAYQBuAGUAXwBFAHEAdQBhAHQAaQBvAG4AcwAuAFYARQBFAFIARwBfADQAXwA1AF8AMQBfADEAXwBfADEAXwBUAG8AdABhAGwAQQBuAG4AdQBhAGwATQBlAHQAaABhAG4AZQBFAG0AaQBzAHMAaQBvAG4AcwBfAE4ASQBSAFIAZQBmAGUAcgBlAG4AYwBlACIALAAiAE0ATQBTAF8AUwB3AGkAbgBlAF8ATQBlAHQAaABhAG4AZQBfAEUAcQB1AGEAdABpAG8AbgBzAC4AVgBFAEUAUgBHAF8ANABfADUAXwAxAF8AMQBfAF8AMQBfAFQAbwB0AGEAbABBAG4AbgB1AGEAbABNAGUAdABoAGEAbgBlAEUAbQBpAHMAcwBpAG8AbgBzAF8ATABhAHQAZQB4AEUAcQB1AGEAdABpAG8AbgAiACwAIgBNAE0AUwBfAFMAdwBpAG4AZQBfAE0AZQB0AGgAYQBuAGUAXwBFAHEAdQBhAHQAaQBvAG4AcwAuAFYARQBFAFIARwBfADQAXwA1AF8AMQBfADEAXwBfADEAXwBUAG8AdABhAGwAQQBuAG4AdQBhAGwATQBlAHQAaABhAG4AZQBFAG0AaQBzAHMAaQBvAG4AcwBfAEEAcgBnAHUAbQBlAG4AdABzACIALAAiAE0ATQBTAF8AUwB3AGkAbgBlAF8ATQBlAHQAaABhAG4AZQBfAEUAcQB1AGEAdABpAG8AbgBzAC4AVgBFAEUAUgBHAF8ANABfADUAXwAxAF8AMQBfAF8AMgBfAE0AZQB0AGgAYQBuAGUAUAByAG8AZAB1AGMAdABpAG8AbgBQAGUAcgBDAGwAYQBzAHMAIgAsACIATQBNAFMAXwBTAHcAaQBuAGUAXwBNAGUAdABoAGEAbgBlAF8ARQBxAHUAYQB0AGkAbwBuAHMALgBWAEUARQBSAEcAXwA0AF8ANQBfADEAXwAxAF8AXwAyAF8ATQBlAHQAaABhAG4AZQBQAHIAbwBkAHUAYwB0AGkAbwBuAFAAZQByAEMAbABhAHMAcwBWAGEAcgBpAGEAdABpAG8AbgAiACwAIgBNAE0AUwBfAFMAdwBpAG4AZQBfAE0AZQB0AGgAYQBuAGUAXwBFAHEAdQBhAHQAaQBvAG4AcwAuAFYARQBFAFIARwBfADQAXwA1AF8AMQBfADEAXwBfADIAXwBNAGUAdABoAGEAbgBlAFAAcgBvAGQAdQBjAHQAaQBvAG4AUABlAHIAQwBsAGEAcwBzAF8AVABpAHQAbABlACIALAAiAE0ATQBTAF8AUwB3AGkAbgBlAF8ATQBlAHQAaABhAG4AZQBfAEUAcQB1AGEAdABpAG8AbgBzAC4AVgBFAEUAUgBHAF8ANABfADUAXwAxAF8AMQBfAF8AMgBfAE0AZQB0AGgAYQBuAGUAUAByAG8AZAB1AGMAdABpAG8AbgBQAGUAcgBDAGwAYQBzAHMAXwBWAGEAcgBpAGEAYgBsAGUAIgAsACIATQBNAFMAXwBTAHcAaQBuAGUAXwBNAGUAdABoAGEAbgBlAF8ARQBxAHUAYQB0AGkAbwBuAHMALgBWAEUARQBSAEcAXwA0AF8ANQBfADEAXwAxAF8AXwAyAF8ATQBlAHQAaABhAG4AZQBQAHIAbwBkAHUAYwB0AGkAbwBuAFAAZQByAEMAbABhAHMAcwBfAFUAbgBpAHQAIgAsACIATQBNAFMAXwBTAHcAaQBuAGUAXwBNAGUAdABoAGEAbgBlAF8ARQBxAHUAYQB0AGkAbwBuAHMALgBWAEUARQBSAEcAXwA0AF8ANQBfADEAXwAxAF8AXwAyAF8ATQBlAHQAaABhAG4AZQBQAHIAbwBkAHUAYwB0AGkAbwBuAFAAZQByAEMAbABhAHMAcwBfAFMAbwB1AHIAYwBlACIALAAiAE0ATQBTAF8AUwB3AGkAbgBlAF8ATQBlAHQAaABhAG4AZQBfAEUAcQB1AGEAdABpAG8AbgBzAC4AVgBFAEUAUgBHAF8ANABfADUAXwAxAF8AMQBfAF8AMgBfAE0AZQB0AGgAYQBuAGUAUAByAG8AZAB1AGMAdABpAG8AbgBQAGUAcgBDAGwAYQBzAHMAXwBOAEkAUgBSAGUAZgBlAHIAZQBuAGMAZQAiACwAIgBNAE0AUwBfAFMAdwBpAG4AZQBfAE0AZQB0AGgAYQBuAGUAXwBFAHEAdQBhAHQAaQBvAG4AcwAuAFYARQBFAFIARwBfADQAXwA1AF8AMQBfADEAXwBfADIAXwBNAGUAdABoAGEAbgBlAFAAcgBvAGQAdQBjAHQAaQBvAG4AUABlAHIAQwBsAGEAcwBzAF8ATABhAHQAZQB4AEUAcQB1AGEAdABpAG8AbgAiACwAIgBNAE0AUwBfAFMAdwBpAG4AZQBfAE0AZQB0AGgAYQBuAGUAXwBFAHEAdQBhAHQAaQBvAG4AcwAuAFYARQBFAFIARwBfADQAXwA1AF8AMQBfADEAXwBfADIAXwBNAGUAdABoAGEAbgBlAFAAcgBvAGQAdQBjAHQAaQBvAG4AUABlAHIAQwBsAGEAcwBzAF8AQQByAGcAdQBtAGUAbgB0AHMAIgAsACIATQBNAFMAXwBTAHcAaQBuAGUAXwBNAGUAdABoAGEAbgBlAF8ARQBxAHUAYQB0AGkAbwBuAHMALgBWAEUARQBSAEcAXwA0AF8ANQBfADEAXwAxAF8AXwAyAF8ATQBlAHQAaABhAG4AZQBQAHIAbwBkAHUAYwB0AGkAbwBuAFAAZQByAEMAbABhAHMAcwBfAFYAYQByAGkAYQB0AGkAbwBuACIALAAiAE0ATQBTAF8AUwB3AGkAbgBlAF8ATQBlAHQAaABhAG4AZQBfAEUAcQB1AGEAdABpAG8AbgBzAC4AVgBFAEUAUgBHAF8ANABfADUAXwAxAF8AMQBfAF8AMwBfAFMAdABhAGcAZQAxAE0AZQB0AGgAYQBuAGUAUAByAG8AZAB1AGMAdABpAG8AbgAiACwAIgBNAE0AUwBfAFMAdwBpAG4AZQBfAE0AZQB0AGgAYQBuAGUAXwBFAHEAdQBhAHQAaQBvAG4AcwAuAFYARQBFAFIARwBfADQAXwA1AF8AMQBfADEAXwBfADMAXwBTAHQAYQBnAGUAMQBNAGUAdABoAGEAbgBlAFAAcgBvAGQAdQBjAHQAaQBvAG4AXwBUAGkAdABsAGUAIgAsACIATQBNAFMAXwBTAHcAaQBuAGUAXwBNAGUAdABoAGEAbgBlAF8ARQBxAHUAYQB0AGkAbwBuAHMALgBWAEUARQBSAEcAXwA0AF8ANQBfADEAXwAxAF8AXwAzAF8AUwB0AGEAZwBlADEATQBlAHQAaABhAG4AZQBQAHIAbwBkAHUAYwB0AGkAbwBuAF8AVgBhAHIAaQBhAGIAbABlACIALAAiAE0ATQBTAF8AUwB3AGkAbgBlAF8ATQBlAHQAaABhAG4AZQBfAEUAcQB1AGEAdABpAG8AbgBzAC4AVgBFAEUAUgBHAF8ANABfADUAXwAxAF8AMQBfAF8AMwBfAFMAdABhAGcAZQAxAE0AZQB0AGgAYQBuAGUAUAByAG8AZAB1AGMAdABpAG8AbgBfAFUAbgBpAHQAIgAsACIATQBNAFMAXwBTAHcAaQBuAGUAXwBNAGUAdABoAGEAbgBlAF8ARQBxAHUAYQB0AGkAbwBuAHMALgBWAEUARQBSAEcAXwA0AF8ANQBfADEAXwAxAF8AXwAzAF8AUwB0AGEAZwBlADEATQBlAHQAaABhAG4AZQBQAHIAbwBkAHUAYwB0AGkAbwBuAF8AUwBvAHUAcgBjAGUAIgAsACIATQBNAFMAXwBTAHcAaQBuAGUAXwBNAGUAdABoAGEAbgBlAF8ARQBxAHUAYQB0AGkAbwBuAHMALgBWAEUARQBSAEcAXwA0AF8ANQBfADEAXwAxAF8AXwAzAF8AUwB0AGEAZwBlADEATQBlAHQAaABhAG4AZQBQAHIAbwBkAHUAYwB0AGkAbwBuAF8ATgBJAFIAUgBlAGYAZQByAGUAbgBjAGUAIgAsACIATQBNAFMAXwBTAHcAaQBuAGUAXwBNAGUAdABoAGEAbgBlAF8ARQBxAHUAYQB0AGkAbwBuAHMALgBWAEUARQBSAEcAXwA0AF8ANQBfADEAXwAxAF8AXwAzAF8AUwB0AGEAZwBlADEATQBlAHQAaABhAG4AZQBQAHIAbwBkAHUAYwB0AGkAbwBuAF8ATABhAHQAZQB4AEUAcQB1AGEAdABpAG8AbgAiACwAIgBNAE0AUwBfAFMAdwBpAG4AZQBfAE0AZQB0AGgAYQBuAGUAXwBFAHEAdQBhAHQAaQBvAG4AcwAuAFYARQBFAFIARwBfADQAXwA1AF8AMQBfADEAXwBfADMAXwBTAHQAYQBnAGUAMQBNAGUAdABoAGEAbgBlAFAAcgBvAGQAdQBjAHQAaQBvAG4AXwBBAHIAZwB1AG0AZQBuAHQAcwAiACwAIgBNAE0AUwBfAFMAdwBpAG4AZQBfAE0AZQB0AGgAYQBuAGUAXwBFAHEAdQBhAHQAaQBvAG4AcwAuAFYARQBFAFIARwBfADQAXwA1AF8AMQBfADEAXwBfADQAXwBGAHIAYQBjAHQAaQBvAG4AVgBvAGwAYQB0AGkAbABlAFMAbwBsAGkAZABzAFAAcgBpAG0AYQByAHkAUwB5AHMAdABlAG0AIgAsACIATQBNAFMAXwBTAHcAaQBuAGUAXwBNAGUAdABoAGEAbgBlAF8ARQBxAHUAYQB0AGkAbwBuAHMALgBWAEUARQBSAEcAXwA0AF8ANQBfADEAXwAxAF8AXwA0AF8ARgByAGEAYwB0AGkAbwBuAFYAbwBsAGEAdABpAGwAZQBTAG8AbABpAGQAcwBQAHIAaQBtAGEAcgB5AFMAeQBzAHQAZQBtAF8AVABpAHQAbABlACIALAAiAE0ATQBTAF8AUwB3AGkAbgBlAF8ATQBlAHQAaABhAG4AZQBfAEUAcQB1AGEAdABpAG8AbgBzAC4AVgBFAEUAUgBHAF8ANABfADUAXwAxAF8AMQBfAF8ANABfAEYAcgBhAGMAdABpAG8AbgBWAG8AbABhAHQAaQBsAGUAUwBvAGwAaQBkAHMAUAByAGkAbQBhAHIAeQBTAHkAcwB0AGUAbQBfAFYAYQByAGkAYQBiAGwAZQAiACwAIgBNAE0AUwBfAFMAdwBpAG4AZQBfAE0AZQB0AGgAYQBuAGUAXwBFAHEAdQBhAHQAaQBvAG4AcwAuAFYARQBFAFIARwBfADQAXwA1AF8AMQBfADEAXwBfADQAXwBGAHIAYQBjAHQAaQBvAG4AVgBvAGwAYQB0AGkAbABlAFMAbwBsAGkAZABzAFAAcgBpAG0AYQByAHkAUwB5AHMAdABlAG0AXwBVAG4AaQB0ACIALAAiAE0ATQBTAF8AUwB3AGkAbgBlAF8ATQBlAHQAaABhAG4AZQBfAEUAcQB1AGEAdABpAG8AbgBzAC4AVgBFAEUAUgBHAF8ANABfADUAXwAxAF8AMQBfAF8ANABfAEYAcgBhAGMAdABpAG8AbgBWAG8AbABhAHQAaQBsAGUAUwBvAGwAaQBkAHMAUAByAGkAbQBhAHIAeQBTAHkAcwB0AGUAbQBfAFMAbwB1AHIAYwBlACIALAAiAE0ATQBTAF8AUwB3AGkAbgBlAF8ATQBlAHQAaABhAG4AZQBfAEUAcQB1AGEAdABpAG8AbgBzAC4AVgBFAEUAUgBHAF8ANABfADUAXwAxAF8AMQBfAF8ANABfAEYAcgBhAGMAdABpAG8AbgBWAG8AbABhAHQAaQBsAGUAUwBvAGwAaQBkAHMAUAByAGkAbQBhAHIAeQBTAHkAcwB0AGUAbQBfAE4ASQBSAFIAZQBmAGUAcgBlAG4AYwBlACIALAAiAE0ATQBTAF8AUwB3AGkAbgBlAF8ATQBlAHQAaABhAG4AZQBfAEUAcQB1AGEAdABpAG8AbgBzAC4AVgBFAEUAUgBHAF8ANABfADUAXwAxAF8AMQBfAF8ANABfAEYAcgBhAGMAdABpAG8AbgBWAG8AbABhAHQAaQBsAGUAUwBvAGwAaQBkAHMAUAByAGkAbQBhAHIAeQBTAHkAcwB0AGUAbQBfAEwAYQB0AGUAeABFAHEAdQBhAHQAaQBvAG4AIgAsACIATQBNAFMAXwBTAHcAaQBuAGUAXwBNAGUAdABoAGEAbgBlAF8ARQBxAHUAYQB0AGkAbwBuAHMALgBWAEUARQBSAEcAXwA0AF8ANQBfADEAXwAxAF8AXwA0AF8ARgByAGEAYwB0AGkAbwBuAFYAbwBsAGEAdABpAGwAZQBTAG8AbABpAGQAcwBQAHIAaQBtAGEAcgB5AFMAeQBzAHQAZQBtAF8AQQByAGcAdQBtAGUAbgB0AHMAIgAsACIATQBNAFMAXwBTAHcAaQBuAGUAXwBNAGUAdABoAGEAbgBlAF8ARQBxAHUAYQB0AGkAbwBuAHMALgBWAEUARQBSAEcAXwA0AF8ANQBfADEAXwAxAF8AXwA0AF8ARgByAGEAYwB0AGkAbwBuAFYAbwBsAGEAdABpAGwAZQBTAG8AbABpAGQAcwBQAHIAaQBtAGEAcgB5AFMAeQBzAHQAZQBtAF8AVgBhAHIAaQBhAHQAaQBvAG4AIgAsACIATQBNAFMAXwBTAHcAaQBuAGUAXwBNAGUAdABoAGEAbgBlAF8ARQBxAHUAYQB0AGkAbwBuAHMALgBWAEUARQBSAEcAXwA0AF8ANQBfADEAXwAxAF8AXwA1AF8ARgByAGEAYwB0AGkAbwBuAFYAbwBsAGEAdABpAGwAZQBTAG8AbABpAGQAcwBTAG8AbABpAGQAUwB0AG8AcgBhAGcAZQAiACwAIgBNAE0AUwBfAFMAdwBpAG4AZQBfAE0AZQB0AGgAYQBuAGUAXwBFAHEAdQBhAHQAaQBvAG4AcwAuAFYARQBFAFIARwBfADQAXwA1AF8AMQBfADEAXwBfADUAXwBGAHIAYQBjAHQAaQBvAG4AVgBvAGwAYQB0AGkAbABlAFMAbwBsAGkAZABzAFMAbwBsAGkAZABTAHQAbwByAGEAZwBlAFYAYQByAGkAYQB0AGkAbwBuACIALAAiAE0ATQBTAF8AUwB3AGkAbgBlAF8ATQBlAHQAaABhAG4AZQBfAEUAcQB1AGEAdABpAG8AbgBzAC4AVgBFAEUAUgBHAF8ANABfADUAXwAxAF8AMQBfAF8ANQBfAEYAcgBhAGMAdABpAG8AbgBWAG8AbABhAHQAaQBsAGUAUwBvAGwAaQBkAHMAUwBvAGwAaQBkAFMAdABvAHIAYQBnAGUAXwBUAGkAdABsAGUAIgAsACIATQBNAFMAXwBTAHcAaQBuAGUAXwBNAGUAdABoAGEAbgBlAF8ARQBxAHUAYQB0AGkAbwBuAHMALgBWAEUARQBSAEcAXwA0AF8ANQBfADEAXwAxAF8AXwA1AF8ARgByAGEAYwB0AGkAbwBuAFYAbwBsAGEAdABpAGwAZQBTAG8AbABpAGQAcwBTAG8AbABpAGQAUwB0AG8AcgBhAGcAZQBfAFYAYQByAGkAYQBiAGwAZQAiACwAIgBNAE0AUwBfAFMAdwBpAG4AZQBfAE0AZQB0AGgAYQBuAGUAXwBFAHEAdQBhAHQAaQBvAG4AcwAuAFYARQBFAFIARwBfADQAXwA1AF8AMQBfADEAXwBfADUAXwBGAHIAYQBjAHQAaQBvAG4AVgBvAGwAYQB0AGkAbABlAFMAbwBsAGkAZABzAFMAbwBsAGkAZABTAHQAbwByAGEAZwBlAF8AVQBuAGkAdAAiACwAIgBNAE0AUwBfAFMAdwBpAG4AZQBfAE0AZQB0AGgAYQBuAGUAXwBFAHEAdQBhAHQAaQBvAG4AcwAuAFYARQBFAFIARwBfADQAXwA1AF8AMQBfADEAXwBfADUAXwBGAHIAYQBjAHQAaQBvAG4AVgBvAGwAYQB0AGkAbABlAFMAbwBsAGkAZABzAFMAbwBsAGkAZABTAHQAbwByAGEAZwBlAF8AUwBvAHUAcgBjAGUAIgAsACIATQBNAFMAXwBTAHcAaQBuAGUAXwBNAGUAdABoAGEAbgBlAF8ARQBxAHUAYQB0AGkAbwBuAHMALgBWAEUARQBSAEcAXwA0AF8ANQBfADEAXwAxAF8AXwA1AF8ARgByAGEAYwB0AGkAbwBuAFYAbwBsAGEAdABpAGwAZQBTAG8AbABpAGQAcwBTAG8AbABpAGQAUwB0AG8AcgBhAGcAZQBfAE4ASQBSAFIAZQBmAGUAcgBlAG4AYwBlACIALAAiAE0ATQBTAF8AUwB3AGkAbgBlAF8ATQBlAHQAaABhAG4AZQBfAEUAcQB1AGEAdABpAG8AbgBzAC4AVgBFAEUAUgBHAF8ANABfADUAXwAxAF8AMQBfAF8ANQBfAEYAcgBhAGMAdABpAG8AbgBWAG8AbABhAHQAaQBsAGUAUwBvAGwAaQBkAHMAUwBvAGwAaQBkAFMAdABvAHIAYQBnAGUAXwBMAGEAdABlAHgARQBxAHUAYQB0AGkAbwBuACIALAAiAE0ATQBTAF8AUwB3AGkAbgBlAF8ATQBlAHQAaABhAG4AZQBfAEUAcQB1AGEAdABpAG8AbgBzAC4AVgBFAEUAUgBHAF8ANABfADUAXwAxAF8AMQBfAF8ANQBfAEYAcgBhAGMAdABpAG8AbgBWAG8AbABhAHQAaQBsAGUAUwBvAGwAaQBkAHMAUwBvAGwAaQBkAFMAdABvAHIAYQBnAGUAXwBMAGEAdABlAHgARQBxAHUAYQB0AGkAbwBuAFYAYQByAGkAYQB0AGkAbwBuACIALAAiAE0ATQBTAF8AUwB3AGkAbgBlAF8ATQBlAHQAaABhAG4AZQBfAEUAcQB1AGEAdABpAG8AbgBzAC4AVgBFAEUAUgBHAF8ANABfADUAXwAxAF8AMQBfAF8ANQBfAEYAcgBhAGMAdABpAG8AbgBWAG8AbABhAHQAaQBsAGUAUwBvAGwAaQBkAHMAUwBvAGwAaQBkAFMAdABvAHIAYQBnAGUAXwBBAHIAZwB1AG0AZQBuAHQAcwAiACwAIgBNAE0AUwBfAFMAdwBpAG4AZQBfAE0AZQB0AGgAYQBuAGUAXwBFAHEAdQBhAHQAaQBvAG4AcwAuAFYARQBFAFIARwBfADQAXwA1AF8AMQBfADEAXwBfADUAXwBGAHIAYQBjAHQAaQBvAG4AVgBvAGwAYQB0AGkAbABlAFMAbwBsAGkAZABzAFMAbwBsAGkAZABTAHQAbwByAGEAZwBlAF8AVgBhAHIAaQBhAHQAaQBvAG4AIgAsACIATQBNAFMAXwBTAHcAaQBuAGUAXwBNAGUAdABoAGEAbgBlAF8ARQBxAHUAYQB0AGkAbwBuAHMALgBWAEUARQBSAEcAXwA0AF8ANQBfADEAXwAxAF8AXwA2AF8AUwB0AGEAZwBlADIATQBlAHQAaABhAG4AZQBQAHIAbwBkAHUAYwB0AGkAbwBuACIALAAiAE0ATQBTAF8AUwB3AGkAbgBlAF8ATQBlAHQAaABhAG4AZQBfAEUAcQB1AGEAdABpAG8AbgBzAC4AVgBFAEUAUgBHAF8ANABfADUAXwAxAF8AMQBfAF8ANgBfAFMAdABhAGcAZQAyAE0AZQB0AGgAYQBuAGUAUAByAG8AZAB1AGMAdABpAG8AbgBfAFQAaQB0AGwAZQAiACwAIgBNAE0AUwBfAFMAdwBpAG4AZQBfAE0AZQB0AGgAYQBuAGUAXwBFAHEAdQBhAHQAaQBvAG4AcwAuAFYARQBFAFIARwBfADQAXwA1AF8AMQBfADEAXwBfADYAXwBTAHQAYQBnAGUAMgBNAGUAdABoAGEAbgBlAFAAcgBvAGQAdQBjAHQAaQBvAG4AXwBWAGEAcgBpAGEAYgBsAGUAIgAsACIATQBNAFMAXwBTAHcAaQBuAGUAXwBNAGUAdABoAGEAbgBlAF8ARQBxAHUAYQB0AGkAbwBuAHMALgBWAEUARQBSAEcAXwA0AF8ANQBfADEAXwAxAF8AXwA2AF8AUwB0AGEAZwBlADIATQBlAHQAaABhAG4AZQBQAHIAbwBkAHUAYwB0AGkAbwBuAF8AVQBuAGkAdAAiACwAIgBNAE0AUwBfAFMAdwBpAG4AZQBfAE0AZQB0AGgAYQBuAGUAXwBFAHEAdQBhAHQAaQBvAG4AcwAuAFYARQBFAFIARwBfADQAXwA1AF8AMQBfADEAXwBfADYAXwBTAHQAYQBnAGUAMgBNAGUAdABoAGEAbgBlAFAAcgBvAGQAdQBjAHQAaQBvAG4AXwBTAG8AdQByAGMAZQAiACwAIgBNAE0AUwBfAFMAdwBpAG4AZQBfAE0AZQB0AGgAYQBuAGUAXwBFAHEAdQBhAHQAaQBvAG4AcwAuAFYARQBFAFIARwBfADQAXwA1AF8AMQBfADEAXwBfADYAXwBTAHQAYQBnAGUAMgBNAGUAdABoAGEAbgBlAFAAcgBvAGQAdQBjAHQAaQBvAG4AXwBOAEkAUgBSAGUAZgBlAHIAZQBuAGMAZQAiACwAIgBNAE0AUwBfAFMAdwBpAG4AZQBfAE0AZQB0AGgAYQBuAGUAXwBFAHEAdQBhAHQAaQBvAG4AcwAuAFYARQBFAFIARwBfADQAXwA1AF8AMQBfADEAXwBfADYAXwBTAHQAYQBnAGUAMgBNAGUAdABoAGEAbgBlAFAAcgBvAGQAdQBjAHQAaQBvAG4AXwBMAGEAdABlAHgARQBxAHUAYQB0AGkAbwBuACIALAAiAE0ATQBTAF8AUwB3AGkAbgBlAF8ATQBlAHQAaABhAG4AZQBfAEUAcQB1AGEAdABpAG8AbgBzAC4AVgBFAEUAUgBHAF8ANABfADUAXwAxAF8AMQBfAF8ANgBfAFMAdABhAGcAZQAyAE0AZQB0AGgAYQBuAGUAUAByAG8AZAB1AGMAdABpAG8AbgBfAEEAcgBnAHUAbQBlAG4AdABzACIALAAiAE0ATQBTAF8AUwB3AGkAbgBlAF8ATQBlAHQAaABhAG4AZQBfAEUAcQB1AGEAdABpAG8AbgBzAC4AVgBFAEUAUgBHAF8ANABfADUAXwAxAF8AMQBfAF8ANgBfAFMAdABhAGcAZQAyAE0AZQB0AGgAYQBuAGUAUAByAG8AZAB1AGMAdABpAG8AbgBfAEEAcgBnAHUAbQBlAG4AdABzAF8ATQBlAHQAaABvAGQAMgAiACwAIgBNAE0AUwBfAFMAdwBpAG4AZQBfAE0AZQB0AGgAYQBuAGUAXwBFAHEAdQBhAHQAaQBvAG4AcwAuAFYARQBFAFIARwBfADQAXwA1AF8AMQBfADEAXwBfADcAXwBWAG8AbABhAHQAaQBsAGUAUwBvAGwAaQBkAHMAVAByAGEAbgBzAGYAZQByAHIAZQBkAFMAdABhAGcAZQAyACIALAAiAE0ATQBTAF8AUwB3AGkAbgBlAF8ATQBlAHQAaABhAG4AZQBfAEUAcQB1AGEAdABpAG8AbgBzAC4AVgBFAEUAUgBHAF8ANABfADUAXwAxAF8AMQBfAF8ANwBfAFYAbwBsAGEAdABpAGwAZQBTAG8AbABpAGQAcwBUAHIAYQBuAHMAZgBlAHIAcgBlAGQAUwB0AGEAZwBlADIAXwBUAGkAdABsAGUAIgAsACIATQBNAFMAXwBTAHcAaQBuAGUAXwBNAGUAdABoAGEAbgBlAF8ARQBxAHUAYQB0AGkAbwBuAHMALgBWAEUARQBSAEcAXwA0AF8ANQBfADEAXwAxAF8AXwA3AF8AVgBvAGwAYQB0AGkAbABlAFMAbwBsAGkAZABzAFQAcgBhAG4AcwBmAGUAcgByAGUAZABTAHQAYQBnAGUAMgBfAFYAYQByAGkAYQBiAGwAZQAiACwAIgBNAE0AUwBfAFMAdwBpAG4AZQBfAE0AZQB0AGgAYQBuAGUAXwBFAHEAdQBhAHQAaQBvAG4AcwAuAFYARQBFAFIARwBfADQAXwA1AF8AMQBfADEAXwBfADcAXwBWAG8AbABhAHQAaQBsAGUAUwBvAGwAaQBkAHMAVAByAGEAbgBzAGYAZQByAHIAZQBkAFMAdABhAGcAZQAyAF8AVQBuAGkAdAAiACwAIgBNAE0AUwBfAFMAdwBpAG4AZQBfAE0AZQB0AGgAYQBuAGUAXwBFAHEAdQBhAHQAaQBvAG4AcwAuAFYARQBFAFIARwBfADQAXwA1AF8AMQBfADEAXwBfADcAXwBWAG8AbABhAHQAaQBsAGUAUwBvAGwAaQBkAHMAVAByAGEAbgBzAGYAZQByAHIAZQBkAFMAdABhAGcAZQAyAF8AUwBvAHUAcgBjAGUAIgAsACIATQBNAFMAXwBTAHcAaQBuAGUAXwBNAGUAdABoAGEAbgBlAF8ARQBxAHUAYQB0AGkAbwBuAHMALgBWAEUARQBSAEcAXwA0AF8ANQBfADEAXwAxAF8AXwA3AF8AVgBvAGwAYQB0AGkAbABlAFMAbwBsAGkAZABzAFQAcgBhAG4AcwBmAGUAcgByAGUAZABTAHQAYQBnAGUAMgBfAE4ASQBSAFIAZQBmAGUAcgBlAG4AYwBlACIALAAiAE0ATQBTAF8AUwB3AGkAbgBlAF8ATQBlAHQAaABhAG4AZQBfAEUAcQB1AGEAdABpAG8AbgBzAC4AVgBFAEUAUgBHAF8ANABfADUAXwAxAF8AMQBfAF8ANwBfAFYAbwBsAGEAdABpAGwAZQBTAG8AbABpAGQAcwBUAHIAYQBuAHMAZgBlAHIAcgBlAGQAUwB0AGEAZwBlADIAXwBMAGEAdABlAHgARQBxAHUAYQB0AGkAbwBuACIALAAiAE0ATQBTAF8AUwB3AGkAbgBlAF8ATQBlAHQAaABhAG4AZQBfAEUAcQB1AGEAdABpAG8AbgBzAC4AVgBFAEUAUgBHAF8ANABfADUAXwAxAF8AMQBfAF8ANwBfAFYAbwBsAGEAdABpAGwAZQBTAG8AbABpAGQAcwBUAHIAYQBuAHMAZgBlAHIAcgBlAGQAUwB0AGEAZwBlADIAXwBBAHIAZwB1AG0AZQBuAHQAcwAiACwAIgBNAE0AUwBfAFMAdwBpAG4AZQBfAE4AMgBPAEQAaQByAGUAYwB0AF8ARQBxAHUAYQB0AGkAbwBuAHMALgBWAEUARQBSAEcAXwA0AF8ANQBfADEAXwAzAF8AXwAxAF8AVABvAHQAYQBsAEEAbgBuAHUAYQBsAEQAaQByAGUAYwB0AE4AaQB0AHIAbwB1AHMATwB4AGkAZABlAEUAbQBpAHMAcwBpAG8AbgBzAEYAcgBvAG0ATQBNAFMAIgAsACIATQBNAFMAXwBTAHcAaQBuAGUAXwBOADIATwBEAGkAcgBlAGMAdABfAEUAcQB1AGEAdABpAG8AbgBzAC4AVgBFAEUAUgBHAF8ANABfADUAXwAxAF8AMwBfAF8AMQBfAFQAbwB0AGEAbABBAG4AbgB1AGEAbABEAGkAcgBlAGMAdABOAGkAdAByAG8AdQBzAE8AeABpAGQAZQBFAG0AaQBzAHMAaQBvAG4AcwBGAHIAbwBtAE0ATQBTAF8AVABpAHQAbABlACIALAAiAE0ATQBTAF8AUwB3AGkAbgBlAF8ATgAyAE8ARABpAHIAZQBjAHQAXwBFAHEAdQBhAHQAaQBvAG4AcwAuAFYARQBFAFIARwBfADQAXwA1AF8AMQBfADMAXwBfADEAXwBUAG8AdABhAGwAQQBuAG4AdQBhAGwARABpAHIAZQBjAHQATgBpAHQAcgBvAHUAcwBPAHgAaQBkAGUARQBtAGkAcwBzAGkAbwBuAHMARgByAG8AbQBNAE0AUwBfAFYAYQByAGkAYQBiAGwAZQAiACwAIgBNAE0AUwBfAFMAdwBpAG4AZQBfAE4AMgBPAEQAaQByAGUAYwB0AF8ARQBxAHUAYQB0AGkAbwBuAHMALgBWAEUARQBSAEcAXwA0AF8ANQBfADEAXwAzAF8AXwAxAF8AVABvAHQAYQBsAEEAbgBuAHUAYQBsAEQAaQByAGUAYwB0AE4AaQB0AHIAbwB1AHMATwB4AGkAZABlAEUAbQBpAHMAcwBpAG8AbgBzAEYAcgBvAG0ATQBNAFMAXwBVAG4AaQB0ACIALAAiAE0ATQBTAF8AUwB3AGkAbgBlAF8ATgAyAE8ARABpAHIAZQBjAHQAXwBFAHEAdQBhAHQAaQBvAG4AcwAuAFYARQBFAFIARwBfADQAXwA1AF8AMQBfADMAXwBfADEAXwBUAG8AdABhAGwAQQBuAG4AdQBhAGwARABpAHIAZQBjAHQATgBpAHQAcgBvAHUAcwBPAHgAaQBkAGUARQBtAGkAcwBzAGkAbwBuAHMARgByAG8AbQBNAE0AUwBfAFMAbwB1AHIAYwBlACIALAAiAE0ATQBTAF8AUwB3AGkAbgBlAF8ATgAyAE8ARABpAHIAZQBjAHQAXwBFAHEAdQBhAHQAaQBvAG4AcwAuAFYARQBFAFIARwBfADQAXwA1AF8AMQBfADMAXwBfADEAXwBUAG8AdABhAGwAQQBuAG4AdQBhAGwARABpAHIAZQBjAHQATgBpAHQAcgBvAHUAcwBPAHgAaQBkAGUARQBtAGkAcwBzAGkAbwBuAHMARgByAG8AbQBNAE0AUwBfAE4ASQBSAFIAZQBmAGUAcgBlAG4AYwBlACIALAAiAE0ATQBTAF8AUwB3AGkAbgBlAF8ATgAyAE8ARABpAHIAZQBjAHQAXwBFAHEAdQBhAHQAaQBvAG4AcwAuAFYARQBFAFIARwBfADQAXwA1AF8AMQBfADMAXwBfADEAXwBUAG8AdABhAGwAQQBuAG4AdQBhAGwARABpAHIAZQBjAHQATgBpAHQAcgBvAHUAcwBPAHgAaQBkAGUARQBtAGkAcwBzAGkAbwBuAHMARgByAG8AbQBNAE0AUwBfAEwAYQB0AGUAeABFAHEAdQBhAHQAaQBvAG4AIgAsACIATQBNAFMAXwBTAHcAaQBuAGUAXwBOADIATwBEAGkAcgBlAGMAdABfAEUAcQB1AGEAdABpAG8AbgBzAC4AVgBFAEUAUgBHAF8ANABfADUAXwAxAF8AMwBfAF8AMQBfAFQAbwB0AGEAbABBAG4AbgB1AGEAbABEAGkAcgBlAGMAdABOAGkAdAByAG8AdQBzAE8AeABpAGQAZQBFAG0AaQBzAHMAaQBvAG4AcwBGAHIAbwBtAE0ATQBTAF8AQQByAGcAdQBtAGUAbgB0AHMAIgAsACIATQBNAFMAXwBTAHcAaQBuAGUAXwBOADIATwBEAGkAcgBlAGMAdABfAEUAcQB1AGEAdABpAG8AbgBzAC4AVgBFAEUAUgBHAF8ANABfADUAXwAxAF8AMwBfAF8AMgBfAFMAdABhAGcAZQAxAE4AaQB0AHIAbwBnAGUAbgBJAG4ATQBNAFMAIgAsACIATQBNAFMAXwBTAHcAaQBuAGUAXwBOADIATwBEAGkAcgBlAGMAdABfAEUAcQB1AGEAdABpAG8AbgBzAC4AVgBFAEUAUgBHAF8ANABfADUAXwAxAF8AMwBfAF8AMgBfAFMAdABhAGcAZQAxAE4AaQB0AHIAbwBnAGUAbgBJAG4ATQBNAFMAXwBUAGkAdABsAGUAIgAsACIATQBNAFMAXwBTAHcAaQBuAGUAXwBOADIATwBEAGkAcgBlAGMAdABfAEUAcQB1AGEAdABpAG8AbgBzAC4AVgBFAEUAUgBHAF8ANABfADUAXwAxAF8AMwBfAF8AMgBfAFMAdABhAGcAZQAxAE4AaQB0AHIAbwBnAGUAbgBJAG4ATQBNAFMAXwBWAGEAcgBpAGEAYgBsAGUAIgAsACIATQBNAFMAXwBTAHcAaQBuAGUAXwBOADIATwBEAGkAcgBlAGMAdABfAEUAcQB1AGEAdABpAG8AbgBzAC4AVgBFAEUAUgBHAF8ANABfADUAXwAxAF8AMwBfAF8AMgBfAFMAdABhAGcAZQAxAE4AaQB0AHIAbwBnAGUAbgBJAG4ATQBNAFMAXwBVAG4AaQB0ACIALAAiAE0ATQBTAF8AUwB3AGkAbgBlAF8ATgAyAE8ARABpAHIAZQBjAHQAXwBFAHEAdQBhAHQAaQBvAG4AcwAuAFYARQBFAFIARwBfADQAXwA1AF8AMQBfADMAXwBfADIAXwBTAHQAYQBnAGUAMQBOAGkAdAByAG8AZwBlAG4ASQBuAE0ATQBTAF8AUwBvAHUAcgBjAGUAIgAsACIATQBNAFMAXwBTAHcAaQBuAGUAXwBOADIATwBEAGkAcgBlAGMAdABfAEUAcQB1AGEAdABpAG8AbgBzAC4AVgBFAEUAUgBHAF8ANABfADUAXwAxAF8AMwBfAF8AMgBfAFMAdABhAGcAZQAxAE4AaQB0AHIAbwBnAGUAbgBJAG4ATQBNAFMAXwBOAEkAUgBSAGUAZgBlAHIAZQBuAGMAZQAiACwAIgBNAE0AUwBfAFMAdwBpAG4AZQBfAE4AMgBPAEQAaQByAGUAYwB0AF8ARQBxAHUAYQB0AGkAbwBuAHMALgBWAEUARQBSAEcAXwA0AF8ANQBfADEAXwAzAF8AXwAyAF8AUwB0AGEAZwBlADEATgBpAHQAcgBvAGcAZQBuAEkAbgBNAE0AUwBfAEwAYQB0AGUAeABFAHEAdQBhAHQAaQBvAG4AIgAsACIATQBNAFMAXwBTAHcAaQBuAGUAXwBOADIATwBEAGkAcgBlAGMAdABfAEUAcQB1AGEAdABpAG8AbgBzAC4AVgBFAEUAUgBHAF8ANABfADUAXwAxAF8AMwBfAF8AMgBfAFMAdABhAGcAZQAxAE4AaQB0AHIAbwBnAGUAbgBJAG4ATQBNAFMAXwBBAHIAZwB1AG0AZQBuAHQAcwAiACwAIgBNAE0AUwBfAFMAdwBpAG4AZQBfAE4AMgBPAEQAaQByAGUAYwB0AF8ARQBxAHUAYQB0AGkAbwBuAHMALgBWAEUARQBSAEcAXwA0AF8ANQBfADEAXwAzAF8AXwAzAF8ARgByAGEAYwB0AGkAbwBuAE8AZgBOAGkAdAByAG8AZwBlAG4ASQBuAFAAcgBpAG0AYQByAHkATQBNAFMAIgAsACIATQBNAFMAXwBTAHcAaQBuAGUAXwBOADIATwBEAGkAcgBlAGMAdABfAEUAcQB1AGEAdABpAG8AbgBzAC4AVgBFAEUAUgBHAF8ANABfADUAXwAxAF8AMwBfAF8AMwBfAEYAcgBhAGMAdABpAG8AbgBPAGYATgBpAHQAcgBvAGcAZQBuAEkAbgBQAHIAaQBtAGEAcgB5AE0ATQBTAF8AVABpAHQAbABlACIALAAiAE0ATQBTAF8AUwB3AGkAbgBlAF8ATgAyAE8ARABpAHIAZQBjAHQAXwBFAHEAdQBhAHQAaQBvAG4AcwAuAFYARQBFAFIARwBfADQAXwA1AF8AMQBfADMAXwBfADMAXwBGAHIAYQBjAHQAaQBvAG4ATwBmAE4AaQB0AHIAbwBnAGUAbgBJAG4AUAByAGkAbQBhAHIAeQBNAE0AUwBfAFYAYQByAGkAYQBiAGwAZQAiACwAIgBNAE0AUwBfAFMAdwBpAG4AZQBfAE4AMgBPAEQAaQByAGUAYwB0AF8ARQBxAHUAYQB0AGkAbwBuAHMALgBWAEUARQBSAEcAXwA0AF8ANQBfADEAXwAzAF8AXwAzAF8ARgByAGEAYwB0AGkAbwBuAE8AZgBOAGkAdAByAG8AZwBlAG4ASQBuAFAAcgBpAG0AYQByAHkATQBNAFMAXwBVAG4AaQB0ACIALAAiAE0ATQBTAF8AUwB3AGkAbgBlAF8ATgAyAE8ARABpAHIAZQBjAHQAXwBFAHEAdQBhAHQAaQBvAG4AcwAuAFYARQBFAFIARwBfADQAXwA1AF8AMQBfADMAXwBfADMAXwBGAHIAYQBjAHQAaQBvAG4ATwBmAE4AaQB0AHIAbwBnAGUAbgBJAG4AUAByAGkAbQBhAHIAeQBNAE0AUwBfAFMAbwB1AHIAYwBlACIALAAiAE0ATQBTAF8AUwB3AGkAbgBlAF8ATgAyAE8ARABpAHIAZQBjAHQAXwBFAHEAdQBhAHQAaQBvAG4AcwAuAFYARQBFAFIARwBfADQAXwA1AF8AMQBfADMAXwBfADMAXwBGAHIAYQBjAHQAaQBvAG4ATwBmAE4AaQB0AHIAbwBnAGUAbgBJAG4AUAByAGkAbQBhAHIAeQBNAE0AUwBfAE4ASQBSAFIAZQBmAGUAcgBlAG4AYwBlACIALAAiAE0ATQBTAF8AUwB3AGkAbgBlAF8ATgAyAE8ARABpAHIAZQBjAHQAXwBFAHEAdQBhAHQAaQBvAG4AcwAuAFYARQBFAFIARwBfADQAXwA1AF8AMQBfADMAXwBfADMAXwBGAHIAYQBjAHQAaQBvAG4ATwBmAE4AaQB0AHIAbwBnAGUAbgBJAG4AUAByAGkAbQBhAHIAeQBNAE0AUwBfAEwAYQB0AGUAeABFAHEAdQBhAHQAaQBvAG4AIgAsACIATQBNAFMAXwBTAHcAaQBuAGUAXwBOADIATwBEAGkAcgBlAGMAdABfAEUAcQB1AGEAdABpAG8AbgBzAC4AVgBFAEUAUgBHAF8ANABfADUAXwAxAF8AMwBfAF8AMwBfAEYAcgBhAGMAdABpAG8AbgBPAGYATgBpAHQAcgBvAGcAZQBuAEkAbgBQAHIAaQBtAGEAcgB5AE0ATQBTAF8AQQByAGcAdQBtAGUAbgB0AHMAIgAsACIATQBNAFMAXwBTAHcAaQBuAGUAXwBOADIATwBEAGkAcgBlAGMAdABfAEUAcQB1AGEAdABpAG8AbgBzAC4AVgBFAEUAUgBHAF8ANABfADUAXwAxAF8AMwBfAF8ANABfAEYAcgBhAGMAdABpAG8AbgBPAGYATgBpAHQAcgBvAGcAZQBuAEkAbgBTAG8AbABpAGQAUwB0AG8AcgBhAGcAZQAiACwAIgBNAE0AUwBfAFMAdwBpAG4AZQBfAE4AMgBPAEQAaQByAGUAYwB0AF8ARQBxAHUAYQB0AGkAbwBuAHMALgBWAEUARQBSAEcAXwA0AF8ANQBfADEAXwAzAF8AXwA0AF8ARgByAGEAYwB0AGkAbwBuAE8AZgBOAGkAdAByAG8AZwBlAG4ASQBuAFMAbwBsAGkAZABTAHQAbwByAGEAZwBlAFYAYQByAGkAYQB0AGkAbwBuACIALAAiAE0ATQBTAF8AUwB3AGkAbgBlAF8ATgAyAE8ARABpAHIAZQBjAHQAXwBFAHEAdQBhAHQAaQBvAG4AcwAuAFYARQBFAFIARwBfADQAXwA1AF8AMQBfADMAXwBfADQAXwBGAHIAYQBjAHQAaQBvAG4ATwBmAE4AaQB0AHIAbwBnAGUAbgBJAG4AUwBvAGwAaQBkAFMAdABvAHIAYQBnAGUAXwBUAGkAdABsAGUAIgAsACIATQBNAFMAXwBTAHcAaQBuAGUAXwBOADIATwBEAGkAcgBlAGMAdABfAEUAcQB1AGEAdABpAG8AbgBzAC4AVgBFAEUAUgBHAF8ANABfADUAXwAxAF8AMwBfAF8ANABfAEYAcgBhAGMAdABpAG8AbgBPAGYATgBpAHQAcgBvAGcAZQBuAEkAbgBTAG8AbABpAGQAUwB0AG8AcgBhAGcAZQBfAFYAYQByAGkAYQBiAGwAZQAiACwAIgBNAE0AUwBfAFMAdwBpAG4AZQBfAE4AMgBPAEQAaQByAGUAYwB0AF8ARQBxAHUAYQB0AGkAbwBuAHMALgBWAEUARQBSAEcAXwA0AF8ANQBfADEAXwAzAF8AXwA0AF8ARgByAGEAYwB0AGkAbwBuAE8AZgBOAGkAdAByAG8AZwBlAG4ASQBuAFMAbwBsAGkAZABTAHQAbwByAGEAZwBlAF8AVQBuAGkAdAAiACwAIgBNAE0AUwBfAFMAdwBpAG4AZQBfAE4AMgBPAEQAaQByAGUAYwB0AF8ARQBxAHUAYQB0AGkAbwBuAHMALgBWAEUARQBSAEcAXwA0AF8ANQBfADEAXwAzAF8AXwA0AF8ARgByAGEAYwB0AGkAbwBuAE8AZgBOAGkAdAByAG8AZwBlAG4ASQBuAFMAbwBsAGkAZABTAHQAbwByAGEAZwBlAF8AUwBvAHUAcgBjAGUAIgAsACIATQBNAFMAXwBTAHcAaQBuAGUAXwBOADIATwBEAGkAcgBlAGMAdABfAEUAcQB1AGEAdABpAG8AbgBzAC4AVgBFAEUAUgBHAF8ANABfADUAXwAxAF8AMwBfAF8ANABfAEYAcgBhAGMAdABpAG8AbgBPAGYATgBpAHQAcgBvAGcAZQBuAEkAbgBTAG8AbABpAGQAUwB0AG8AcgBhAGcAZQBfAE4ASQBSAFIAZQBmAGUAcgBlAG4AYwBlACIALAAiAE0ATQBTAF8AUwB3AGkAbgBlAF8ATgAyAE8ARABpAHIAZQBjAHQAXwBFAHEAdQBhAHQAaQBvAG4AcwAuAFYARQBFAFIARwBfADQAXwA1AF8AMQBfADMAXwBfADQAXwBGAHIAYQBjAHQAaQBvAG4ATwBmAE4AaQB0AHIAbwBnAGUAbgBJAG4AUwBvAGwAaQBkAFMAdABvAHIAYQBnAGUAXwBMAGEAdABlAHgARQBxAHUAYQB0AGkAbwBuACIALAAiAE0ATQBTAF8AUwB3AGkAbgBlAF8ATgAyAE8ARABpAHIAZQBjAHQAXwBFAHEAdQBhAHQAaQBvAG4AcwAuAFYARQBFAFIARwBfADQAXwA1AF8AMQBfADMAXwBfADQAXwBGAHIAYQBjAHQAaQBvAG4ATwBmAE4AaQB0AHIAbwBnAGUAbgBJAG4AUwBvAGwAaQBkAFMAdABvAHIAYQBnAGUAXwBMAGEAdABlAHgARQBxAHUAYQB0AGkAbwBuAFYAYQByAGkAYQB0AGkAbwBuACIALAAiAE0ATQBTAF8AUwB3AGkAbgBlAF8ATgAyAE8ARABpAHIAZQBjAHQAXwBFAHEAdQBhAHQAaQBvAG4AcwAuAFYARQBFAFIARwBfADQAXwA1AF8AMQBfADMAXwBfADQAXwBGAHIAYQBjAHQAaQBvAG4ATwBmAE4AaQB0AHIAbwBnAGUAbgBJAG4AUwBvAGwAaQBkAFMAdABvAHIAYQBnAGUAXwBBAHIAZwB1AG0AZQBuAHQAcwAiACwAIgBNAE0AUwBfAFMAdwBpAG4AZQBfAE4AMgBPAEQAaQByAGUAYwB0AF8ARQBxAHUAYQB0AGkAbwBuAHMALgBWAEUARQBSAEcAXwA0AF8ANQBfADEAXwAzAF8AXwA0AF8ARgByAGEAYwB0AGkAbwBuAE8AZgBOAGkAdAByAG8AZwBlAG4ASQBuAFMAbwBsAGkAZABTAHQAbwByAGEAZwBlAF8AVgBhAHIAaQBhAHQAaQBvAG4AIgAsACIATQBNAFMAXwBTAHcAaQBuAGUAXwBOADIATwBEAGkAcgBlAGMAdABfAEUAcQB1AGEAdABpAG8AbgBzAC4AVgBFAEUAUgBHAF8ANABfADUAXwAxAF8AMwBfAF8ANQBfAEEAbgBuAHUAYQBsAE4AaQB0AHIAbwBnAGUAbgBFAHgAYwByAGUAdABpAG8AbgAiACwAIgBNAE0AUwBfAFMAdwBpAG4AZQBfAE4AMgBPAEQAaQByAGUAYwB0AF8ARQBxAHUAYQB0AGkAbwBuAHMALgBWAEUARQBSAEcAXwA0AF8ANQBfADEAXwAzAF8AXwA1AF8AQQBuAG4AdQBhAGwATgBpAHQAcgBvAGcAZQBuAEUAeABjAHIAZQB0AGkAbwBuAF8AVABpAHQAbABlACIALAAiAE0ATQBTAF8AUwB3AGkAbgBlAF8ATgAyAE8ARABpAHIAZQBjAHQAXwBFAHEAdQBhAHQAaQBvAG4AcwAuAFYARQBFAFIARwBfADQAXwA1AF8AMQBfADMAXwBfADUAXwBBAG4AbgB1AGEAbABOAGkAdAByAG8AZwBlAG4ARQB4AGMAcgBlAHQAaQBvAG4AXwBWAGEAcgBpAGEAYgBsAGUAIgAsACIATQBNAFMAXwBTAHcAaQBuAGUAXwBOADIATwBEAGkAcgBlAGMAdABfAEUAcQB1AGEAdABpAG8AbgBzAC4AVgBFAEUAUgBHAF8ANABfADUAXwAxAF8AMwBfAF8ANQBfAEEAbgBuAHUAYQBsAE4AaQB0AHIAbwBnAGUAbgBFAHgAYwByAGUAdABpAG8AbgBfAFUAbgBpAHQAIgAsACIATQBNAFMAXwBTAHcAaQBuAGUAXwBOADIATwBEAGkAcgBlAGMAdABfAEUAcQB1AGEAdABpAG8AbgBzAC4AVgBFAEUAUgBHAF8ANABfADUAXwAxAF8AMwBfAF8ANQBfAEEAbgBuAHUAYQBsAE4AaQB0AHIAbwBnAGUAbgBFAHgAYwByAGUAdABpAG8AbgBfAFMAbwB1AHIAYwBlACIALAAiAE0ATQBTAF8AUwB3AGkAbgBlAF8ATgAyAE8ARABpAHIAZQBjAHQAXwBFAHEAdQBhAHQAaQBvAG4AcwAuAFYARQBFAFIARwBfADQAXwA1AF8AMQBfADMAXwBfADUAXwBBAG4AbgB1AGEAbABOAGkAdAByAG8AZwBlAG4ARQB4AGMAcgBlAHQAaQBvAG4AXwBOAEkAUgBSAGUAZgBlAHIAZQBuAGMAZQAiACwAIgBNAE0AUwBfAFMAdwBpAG4AZQBfAE4AMgBPAEQAaQByAGUAYwB0AF8ARQBxAHUAYQB0AGkAbwBuAHMALgBWAEUARQBSAEcAXwA0AF8ANQBfADEAXwAzAF8AXwA1AF8AQQBuAG4AdQBhAGwATgBpAHQAcgBvAGcAZQBuAEUAeABjAHIAZQB0AGkAbwBuAF8ATABhAHQAZQB4AEUAcQB1AGEAdABpAG8AbgAiACwAIgBNAE0AUwBfAFMAdwBpAG4AZQBfAE4AMgBPAEQAaQByAGUAYwB0AF8ARQBxAHUAYQB0AGkAbwBuAHMALgBWAEUARQBSAEcAXwA0AF8ANQBfADEAXwAzAF8AXwA1AF8AQQBuAG4AdQBhAGwATgBpAHQAcgBvAGcAZQBuAEUAeABjAHIAZQB0AGkAbwBuAF8AQQByAGcAdQBtAGUAbgB0AHMAIgAsACIATQBNAFMAXwBTAHcAaQBuAGUAXwBOADIATwBEAGkAcgBlAGMAdABfAEUAcQB1AGEAdABpAG8AbgBzAC4AVgBFAEUAUgBHAF8ANABfADUAXwAxAF8AMwBfAF8ANgBfAFMAdABhAGcAZQAyAE4AaQB0AHIAbwBnAGUAbgBJAG4ATQBNAFMAIgAsACIATQBNAFMAXwBTAHcAaQBuAGUAXwBOADIATwBEAGkAcgBlAGMAdABfAEUAcQB1AGEAdABpAG8AbgBzAC4AVgBFAEUAUgBHAF8ANABfADUAXwAxAF8AMwBfAF8ANgBfAFMAdABhAGcAZQAyAE4AaQB0AHIAbwBnAGUAbgBJAG4ATQBNAFMAXwBUAGkAdABsAGUAIgAsACIATQBNAFMAXwBTAHcAaQBuAGUAXwBOADIATwBEAGkAcgBlAGMAdABfAEUAcQB1AGEAdABpAG8AbgBzAC4AVgBFAEUAUgBHAF8ANABfADUAXwAxAF8AMwBfAF8ANgBfAFMAdABhAGcAZQAyAE4AaQB0AHIAbwBnAGUAbgBJAG4ATQBNAFMAXwBWAGEAcgBpAGEAYgBsAGUAIgAsACIATQBNAFMAXwBTAHcAaQBuAGUAXwBOADIATwBEAGkAcgBlAGMAdABfAEUAcQB1AGEAdABpAG8AbgBzAC4AVgBFAEUAUgBHAF8ANABfADUAXwAxAF8AMwBfAF8ANgBfAFMAdABhAGcAZQAyAE4AaQB0AHIAbwBnAGUAbgBJAG4ATQBNAFMAXwBVAG4AaQB0ACIALAAiAE0ATQBTAF8AUwB3AGkAbgBlAF8ATgAyAE8ARABpAHIAZQBjAHQAXwBFAHEAdQBhAHQAaQBvAG4AcwAuAFYARQBFAFIARwBfADQAXwA1AF8AMQBfADMAXwBfADYAXwBTAHQAYQBnAGUAMgBOAGkAdAByAG8AZwBlAG4ASQBuAE0ATQBTAF8AUwBvAHUAcgBjAGUAIgAsACIATQBNAFMAXwBTAHcAaQBuAGUAXwBOADIATwBEAGkAcgBlAGMAdABfAEUAcQB1AGEAdABpAG8AbgBzAC4AVgBFAEUAUgBHAF8ANABfADUAXwAxAF8AMwBfAF8ANgBfAFMAdABhAGcAZQAyAE4AaQB0AHIAbwBnAGUAbgBJAG4ATQBNAFMAXwBOAEkAUgBSAGUAZgBlAHIAZQBuAGMAZQAiACwAIgBNAE0AUwBfAFMAdwBpAG4AZQBfAE4AMgBPAEQAaQByAGUAYwB0AF8ARQBxAHUAYQB0AGkAbwBuAHMALgBWAEUARQBSAEcAXwA0AF8ANQBfADEAXwAzAF8AXwA2AF8AUwB0AGEAZwBlADIATgBpAHQAcgBvAGcAZQBuAEkAbgBNAE0AUwBfAEwAYQB0AGUAeABFAHEAdQBhAHQAaQBvAG4AIgAsACIATQBNAFMAXwBTAHcAaQBuAGUAXwBOADIATwBEAGkAcgBlAGMAdABfAEUAcQB1AGEAdABpAG8AbgBzAC4AVgBFAEUAUgBHAF8ANABfADUAXwAxAF8AMwBfAF8ANgBfAFMAdABhAGcAZQAyAE4AaQB0AHIAbwBnAGUAbgBJAG4ATQBNAFMAXwBBAHIAZwB1AG0AZQBuAHQAcwAiACwAIgBNAE0AUwBfAFMAdwBpAG4AZQBfAE4AMgBPAEQAaQByAGUAYwB0AF8ARQBxAHUAYQB0AGkAbwBuAHMALgBWAEUARQBSAEcAXwA0AF8ANQBfADEAXwAzAF8AXwA3AF8ATgBpAHQAcgBvAGcAZQBuAFQAcgBhAG4AcwBmAGUAcgByAGUAZABUAG8AUwB0AGEAZwBlADIATQBNAFMAIgAsACIATQBNAFMAXwBTAHcAaQBuAGUAXwBOADIATwBEAGkAcgBlAGMAdABfAEUAcQB1AGEAdABpAG8AbgBzAC4AVgBFAEUAUgBHAF8ANABfADUAXwAxAF8AMwBfAF8ANwBfAE4AaQB0AHIAbwBnAGUAbgBUAHIAYQBuAHMAZgBlAHIAcgBlAGQAVABvAFMAdABhAGcAZQAyAE0ATQBTAF8AVABpAHQAbABlACIALAAiAE0ATQBTAF8AUwB3AGkAbgBlAF8ATgAyAE8ARABpAHIAZQBjAHQAXwBFAHEAdQBhAHQAaQBvAG4AcwAuAFYARQBFAFIARwBfADQAXwA1AF8AMQBfADMAXwBfADcAXwBOAGkAdAByAG8AZwBlAG4AVAByAGEAbgBzAGYAZQByAHIAZQBkAFQAbwBTAHQAYQBnAGUAMgBNAE0AUwBfAFYAYQByAGkAYQBiAGwAZQAiACwAIgBNAE0AUwBfAFMAdwBpAG4AZQBfAE4AMgBPAEQAaQByAGUAYwB0AF8ARQBxAHUAYQB0AGkAbwBuAHMALgBWAEUARQBSAEcAXwA0AF8ANQBfADEAXwAzAF8AXwA3AF8ATgBpAHQAcgBvAGcAZQBuAFQAcgBhAG4AcwBmAGUAcgByAGUAZABUAG8AUwB0AGEAZwBlADIATQBNAFMAXwBVAG4AaQB0ACIALAAiAE0ATQBTAF8AUwB3AGkAbgBlAF8ATgAyAE8ARABpAHIAZQBjAHQAXwBFAHEAdQBhAHQAaQBvAG4AcwAuAFYARQBFAFIARwBfADQAXwA1AF8AMQBfADMAXwBfADcAXwBOAGkAdAByAG8AZwBlAG4AVAByAGEAbgBzAGYAZQByAHIAZQBkAFQAbwBTAHQAYQBnAGUAMgBNAE0AUwBfAFMAbwB1AHIAYwBlACIALAAiAE0ATQBTAF8AUwB3AGkAbgBlAF8ATgAyAE8ARABpAHIAZQBjAHQAXwBFAHEAdQBhAHQAaQBvAG4AcwAuAFYARQBFAFIARwBfADQAXwA1AF8AMQBfADMAXwBfADcAXwBOAGkAdAByAG8AZwBlAG4AVAByAGEAbgBzAGYAZQByAHIAZQBkAFQAbwBTAHQAYQBnAGUAMgBNAE0AUwBfAE4ASQBSAFIAZQBmAGUAcgBlAG4AYwBlACIALAAiAE0ATQBTAF8AUwB3AGkAbgBlAF8ATgAyAE8ARABpAHIAZQBjAHQAXwBFAHEAdQBhAHQAaQBvAG4AcwAuAFYARQBFAFIARwBfADQAXwA1AF8AMQBfADMAXwBfADcAXwBOAGkAdAByAG8AZwBlAG4AVAByAGEAbgBzAGYAZQByAHIAZQBkAFQAbwBTAHQAYQBnAGUAMgBNAE0AUwBfAEwAYQB0AGUAeABFAHEAdQBhAHQAaQBvAG4AIgAsACIATQBNAFMAXwBTAHcAaQBuAGUAXwBOADIATwBEAGkAcgBlAGMAdABfAEUAcQB1AGEAdABpAG8AbgBzAC4AVgBFAEUAUgBHAF8ANABfADUAXwAxAF8AMwBfAF8ANwBfAE4AaQB0AHIAbwBnAGUAbgBUAHIAYQBuAHMAZgBlAHIAcgBlAGQAVABvAFMAdABhAGcAZQAyAE0ATQBTAF8AQQByAGcAdQBtAGUAbgB0AHM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UAGkAdABs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WAGEAcgBpAGEAYgBs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VAG4AaQB0ACIALAAiAE0ATQBTAF8AUwB3AGkAbgBlAF8AQQB0AG0AbwBzAHAAaABlAHIAaQBjAEQAZQBwAG8AcwBpAHQAaQBvAG4AXwBFAHEAdQBhAHQAaQBvAG4AcwAuAFYARQBFAFIARwBfADQAXwA1AF8AMQBfADUAXwBfADEAXwBBAG4AbgB1AGEAbABBAHQAbQBvAHMAcABoAGUAcgBpAGMARABlAHAAbwBzAGkAdABpAG8AbgBFAG0AaQBzAHMAaQBvAG4AcwBGAHIAbwBtAE0ATQBTAF8AUwBvAHUAcgBjAGU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OAEkAUgBSAGUAZgBlAHIAZQBuAGMAZQAiACwAIgBNAE0AUwBfAFMAdwBpAG4AZQBfAEEAdABtAG8AcwBwAGgAZQByAGkAYwBEAGUAcABvAHMAaQB0AGkAbwBuAF8ARQBxAHUAYQB0AGkAbwBuAHMALgBWAEUARQBSAEcAXwA0AF8ANQBfADEAXwA1AF8AXwAxAF8AQQBuAG4AdQBhAGwAQQB0AG0AbwBzAHAAaABlAHIAaQBjAEQAZQBwAG8AcwBpAHQAaQBvAG4ARQBtAGkAcwBzAGkAbwBuAHMARgByAG8AbQBNAE0AUwBfAEwAYQB0AGUAeABFAHEAdQBhAHQAaQBvAG4AIgAsACIATQBNAFMAXwBTAHcAaQBuAGUAXwBBAHQAbQBvAHMAcABoAGUAcgBpAGMARABlAHAAbwBzAGkAdABpAG8AbgBfAEUAcQB1AGEAdABpAG8AbgBzAC4AVgBFAEUAUgBHAF8ANABfADUAXwAxAF8ANQBfAF8AMQBfAEEAbgBuAHUAYQBsAEEAdABtAG8AcwBwAGgAZQByAGkAYwBEAGUAcABvAHMAaQB0AGkAbwBuAEUAbQBpAHMAcwBpAG8AbgBzAEYAcgBvAG0ATQBNAFMAXwBBAHIAZwB1AG0AZQBuAHQAcwAiACwAIgBNAE0AUwBfAFMAdwBpAG4AZQBfAEEAdABtAG8AcwBwAGgAZQByAGkAYwBEAGUAcABvAHMAaQB0AGkAbwBuAF8ARQBxAHUAYQB0AGkAbwBuAHMALgBWAEUARQBSAEcAXwA0AF8ANQBfADEAXwA1AF8AXwAyAF8AVABvAHQAYQBsAE4AaQB0AHIAbwBnAGUAbgBWAG8AbABhAHQAaQBsAGkAcwBlAGQARgByAG8AbQBNAE0AUwAiACwAIgBNAE0AUwBfAFMAdwBpAG4AZQBfAEEAdABtAG8AcwBwAGgAZQByAGkAYwBEAGUAcABvAHMAaQB0AGkAbwBuAF8ARQBxAHUAYQB0AGkAbwBuAHMALgBWAEUARQBSAEcAXwA0AF8ANQBfADEAXwA1AF8AXwAyAF8AVABvAHQAYQBsAE4AaQB0AHIAbwBnAGUAbgBWAG8AbABhAHQAaQBsAGkAcwBlAGQARgByAG8AbQBNAE0AUwBfAFQAaQB0AGwAZQAiACwAIgBNAE0AUwBfAFMAdwBpAG4AZQBfAEEAdABtAG8AcwBwAGgAZQByAGkAYwBEAGUAcABvAHMAaQB0AGkAbwBuAF8ARQBxAHUAYQB0AGkAbwBuAHMALgBWAEUARQBSAEcAXwA0AF8ANQBfADEAXwA1AF8AXwAyAF8AVABvAHQAYQBsAE4AaQB0AHIAbwBnAGUAbgBWAG8AbABhAHQAaQBsAGkAcwBlAGQARgByAG8AbQBNAE0AUwBfAFYAYQByAGkAYQBiAGwAZQAiACwAIgBNAE0AUwBfAFMAdwBpAG4AZQBfAEEAdABtAG8AcwBwAGgAZQByAGkAYwBEAGUAcABvAHMAaQB0AGkAbwBuAF8ARQBxAHUAYQB0AGkAbwBuAHMALgBWAEUARQBSAEcAXwA0AF8ANQBfADEAXwA1AF8AXwAyAF8AVABvAHQAYQBsAE4AaQB0AHIAbwBnAGUAbgBWAG8AbABhAHQAaQBsAGkAcwBlAGQARgByAG8AbQBNAE0AUwBfAFUAbgBpAHQAIgAsACIATQBNAFMAXwBTAHcAaQBuAGUAXwBBAHQAbQBvAHMAcABoAGUAcgBpAGMARABlAHAAbwBzAGkAdABpAG8AbgBfAEUAcQB1AGEAdABpAG8AbgBzAC4AVgBFAEUAUgBHAF8ANABfADUAXwAxAF8ANQBfAF8AMgBfAFQAbwB0AGEAbABOAGkAdAByAG8AZwBlAG4AVgBvAGwAYQB0AGkAbABpAHMAZQBkAEYAcgBvAG0ATQBNAFMAXwBTAG8AdQByAGMAZQAiACwAIgBNAE0AUwBfAFMAdwBpAG4AZQBfAEEAdABtAG8AcwBwAGgAZQByAGkAYwBEAGUAcABvAHMAaQB0AGkAbwBuAF8ARQBxAHUAYQB0AGkAbwBuAHMALgBWAEUARQBSAEcAXwA0AF8ANQBfADEAXwA1AF8AXwAyAF8AVABvAHQAYQBsAE4AaQB0AHIAbwBnAGUAbgBWAG8AbABhAHQAaQBsAGkAcwBlAGQARgByAG8AbQBNAE0AUwBfAE4ASQBSAFIAZQBmAGUAcgBlAG4AYwBlACIALAAiAE0ATQBTAF8AUwB3AGkAbgBlAF8AQQB0AG0AbwBzAHAAaABlAHIAaQBjAEQAZQBwAG8AcwBpAHQAaQBvAG4AXwBFAHEAdQBhAHQAaQBvAG4AcwAuAFYARQBFAFIARwBfADQAXwA1AF8AMQBfADUAXwBfADIAXwBUAG8AdABhAGwATgBpAHQAcgBvAGcAZQBuAFYAbwBsAGEAdABpAGwAaQBzAGUAZABGAHIAbwBtAE0ATQBTAF8ATABhAHQAZQB4AEUAcQB1AGEAdABpAG8AbgAiACwAIgBNAE0AUwBfAFMAdwBpAG4AZQBfAEEAdABtAG8AcwBwAGgAZQByAGkAYwBEAGUAcABvAHMAaQB0AGkAbwBuAF8ARQBxAHUAYQB0AGkAbwBuAHMALgBWAEUARQBSAEcAXwA0AF8ANQBfADEAXwA1AF8AXwAyAF8AVABvAHQAYQBsAE4AaQB0AHIAbwBnAGUAbgBWAG8AbABhAHQAaQBsAGkAcwBlAGQARgByAG8AbQBNAE0AUwBfAEEAcgBnAHUAbQBlAG4AdABzACIALAAiAE0ATQBTAF8AUwB3AGkAbgBlAF8ATABlAGEAYwBoAGkAbgBnAEEAbgBkAFIAdQBuAG8AZgBmAF8ARQBxAHUAYQB0AGkAbwBuAHMALgBWAEUARQBSAEcAXwA0AF8ANQBfADEAXwA3AF8AXwAxAF8AQQBuAG4AdQBhAGwARQBtAGkAcwBzAGkAbwBuAHMARgByAG8AbQBMAGUAYQBjAGgAaQBuAGcAQQBuAGQAUgB1AG4AbwBmAGYARgByAG8AbQBNAE0AUwAiACwAIgBNAE0AUwBfAFMAdwBpAG4AZQBfAEwAZQBhAGMAaABpAG4AZwBBAG4AZABSAHUAbgBvAGYAZgBfAEUAcQB1AGEAdABpAG8AbgBzAC4AVgBFAEUAUgBHAF8ANABfADUAXwAxAF8ANwBfAF8AMQBfAEEAbgBuAHUAYQBsAEUAbQBpAHMAcwBpAG8AbgBzAEYAcgBvAG0ATABlAGEAYwBoAGkAbgBnAEEAbgBkAFIAdQBuAG8AZgBmAEYAcgBvAG0ATQBNAFMAXwBUAGkAdABsAGUAIgAsACIATQBNAFMAXwBTAHcAaQBuAGUAXwBMAGUAYQBjAGgAaQBuAGcAQQBuAGQAUgB1AG4AbwBmAGYAXwBFAHEAdQBhAHQAaQBvAG4AcwAuAFYARQBFAFIARwBfADQAXwA1AF8AMQBfADcAXwBfADEAXwBBAG4AbgB1AGEAbABFAG0AaQBzAHMAaQBvAG4AcwBGAHIAbwBtAEwAZQBhAGMAaABpAG4AZwBBAG4AZABSAHUAbgBvAGYAZgBGAHIAbwBtAE0ATQBTAF8AVgBhAHIAaQBhAGIAbABlACIALAAiAE0ATQBTAF8AUwB3AGkAbgBlAF8ATABlAGEAYwBoAGkAbgBnAEEAbgBkAFIAdQBuAG8AZgBmAF8ARQBxAHUAYQB0AGkAbwBuAHMALgBWAEUARQBSAEcAXwA0AF8ANQBfADEAXwA3AF8AXwAxAF8AQQBuAG4AdQBhAGwARQBtAGkAcwBzAGkAbwBuAHMARgByAG8AbQBMAGUAYQBjAGgAaQBuAGcAQQBuAGQAUgB1AG4AbwBmAGYARgByAG8AbQBNAE0AUwBfAFUAbgBpAHQAIgAsACIATQBNAFMAXwBTAHcAaQBuAGUAXwBMAGUAYQBjAGgAaQBuAGcAQQBuAGQAUgB1AG4AbwBmAGYAXwBFAHEAdQBhAHQAaQBvAG4AcwAuAFYARQBFAFIARwBfADQAXwA1AF8AMQBfADcAXwBfADEAXwBBAG4AbgB1AGEAbABFAG0AaQBzAHMAaQBvAG4AcwBGAHIAbwBtAEwAZQBhAGMAaABpAG4AZwBBAG4AZABSAHUAbgBvAGYAZgBGAHIAbwBtAE0ATQBTAF8AUwBvAHUAcgBjAGUAIgAsACIATQBNAFMAXwBTAHcAaQBuAGUAXwBMAGUAYQBjAGgAaQBuAGcAQQBuAGQAUgB1AG4AbwBmAGYAXwBFAHEAdQBhAHQAaQBvAG4AcwAuAFYARQBFAFIARwBfADQAXwA1AF8AMQBfADcAXwBfADEAXwBBAG4AbgB1AGEAbABFAG0AaQBzAHMAaQBvAG4AcwBGAHIAbwBtAEwAZQBhAGMAaABpAG4AZwBBAG4AZABSAHUAbgBvAGYAZgBGAHIAbwBtAE0ATQBTAF8ATgBJAFIAUgBlAGYAZQByAGUAbgBjAGUAIgAsACIATQBNAFMAXwBTAHcAaQBuAGUAXwBMAGUAYQBjAGgAaQBuAGcAQQBuAGQAUgB1AG4AbwBmAGYAXwBFAHEAdQBhAHQAaQBvAG4AcwAuAFYARQBFAFIARwBfADQAXwA1AF8AMQBfADcAXwBfADEAXwBBAG4AbgB1AGEAbABFAG0AaQBzAHMAaQBvAG4AcwBGAHIAbwBtAEwAZQBhAGMAaABpAG4AZwBBAG4AZABSAHUAbgBvAGYAZgBGAHIAbwBtAE0ATQBTAF8ATABhAHQAZQB4AEUAcQB1AGEAdABpAG8AbgAiACwAIgBNAE0AUwBfAFMAdwBpAG4AZQBfAEwAZQBhAGMAaABpAG4AZwBBAG4AZABSAHUAbgBvAGYAZgBfAEUAcQB1AGEAdABpAG8AbgBzAC4AVgBFAEUAUgBHAF8ANABfADUAXwAxAF8ANwBfAF8AMQBfAEEAbgBuAHUAYQBsAEUAbQBpAHMAcwBpAG8AbgBzAEYAcgBvAG0ATABlAGEAYwBoAGkAbgBnAEEAbgBkAFIAdQBuAG8AZgBmAEYAcgBvAG0ATQBNAFMAXwBBAHIAZwB1AG0AZQBuAHQAcw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QAaQB0AGw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YAYQByAGkAYQBiAGw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FUAbgBpAHQAIgAsACIATQBNAFMAXwBTAHcAaQBuAGUAXwBMAGUAYQBjAGgAaQBuAGcAQQBuAGQAUgB1AG4AbwBmAGYAXwBFAHEAdQBhAHQAaQBvAG4AcwAuAFYARQBFAFIARwBfADQAXwA1AF8AMQBfADcAXwBfADIAXwBNAGEAcwBzAE8AZgBOAGkAdAByAG8AZwBlAG4ATABvAHMAdABUAG8ATABlAGEAYwBoAGkAbgBnAEEAbgBkAFIAdQBuAG8AZgBmAEYAcgBvAG0ARAByAHkAbABvAHQATQBNAFMAXwBTAG8AdQByAGMAZQ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4ASQBSAFIAZQBmAGUAcgBlAG4AYwBlACIALAAiAE0ATQBTAF8AUwB3AGkAbgBlAF8ATABlAGEAYwBoAGkAbgBnAEEAbgBkAFIAdQBuAG8AZgBmAF8ARQBxAHUAYQB0AGkAbwBuAHMALgBWAEUARQBSAEcAXwA0AF8ANQBfADEAXwA3AF8AXwAyAF8ATQBhAHMAcwBPAGYATgBpAHQAcgBvAGcAZQBuAEwAbwBzAHQAVABvAEwAZQBhAGMAaABpAG4AZwBBAG4AZABSAHUAbgBvAGYAZgBGAHIAbwBtAEQAcgB5AGwAbwB0AE0ATQBTAF8ATABhAHQAZQB4AEUAcQB1AGEAdABpAG8AbgAiACwAIgBNAE0AUwBfAFMAdwBpAG4AZQBfAEwAZQBhAGMAaABpAG4AZwBBAG4AZABSAHUAbgBvAGYAZgBfAEUAcQB1AGEAdABpAG8AbgBzAC4AVgBFAEUAUgBHAF8ANABfADUAXwAxAF8ANwBfAF8AMgBfAE0AYQBzAHMATwBmAE4AaQB0AHIAbwBnAGUAbgBMAG8AcwB0AFQAbwBMAGUAYQBjAGgAaQBuAGcAQQBuAGQAUgB1AG4AbwBmAGYARgByAG8AbQBEAHIAeQBsAG8AdABNAE0AUwBfAEEAcgBnAHUAbQBlAG4AdABzACIALAAiAE0ATQBTAF8AUwB3AGkAbgBlAF8ATQBhAG4AdQByAGUAQQBwAHAAbABpAGUAZABUAG8AUwBvAGkAbABzAF8ARQBxAHUAYQB0AGkAbwBuAHMALgBWAEUARQBSAEcAXwA0AF8ANQBfADEAXwA5AF8AXwAxAF8ATQBhAHMAcwBPAGYATgBpAHQAcgBvAGcAZQBuAEEAcABwAGwAaQBlAGQAVABvAFMAbwBpAGwAcwBTAGMAbwBwAGUAMQAiACwAIgBNAE0AUwBfAFMAdwBpAG4AZQBfAE0AYQBuAHUAcgBlAEEAcABwAGwAaQBlAGQAVABvAFMAbwBpAGwAcwBfAEUAcQB1AGEAdABpAG8AbgBzAC4AVgBFAEUAUgBHAF8ANABfADUAXwAxAF8AOQBfAF8AMQBfAE0AYQBzAHMATwBmAE4AaQB0AHIAbwBnAGUAbgBBAHAAcABsAGkAZQBkAFQAbwBTAG8AaQBsAHMAUwBjAG8AcABlADEAXwBUAGkAdABsAGUAIgAsACIATQBNAFMAXwBTAHcAaQBuAGUAXwBNAGEAbgB1AHIAZQBBAHAAcABsAGkAZQBkAFQAbwBTAG8AaQBsAHMAXwBFAHEAdQBhAHQAaQBvAG4AcwAuAFYARQBFAFIARwBfADQAXwA1AF8AMQBfADkAXwBfADEAXwBNAGEAcwBzAE8AZgBOAGkAdAByAG8AZwBlAG4AQQBwAHAAbABpAGUAZABUAG8AUwBvAGkAbABzAFMAYwBvAHAAZQAxAF8AVgBhAHIAaQBhAGIAbABlACIALAAiAE0ATQBTAF8AUwB3AGkAbgBlAF8ATQBhAG4AdQByAGUAQQBwAHAAbABpAGUAZABUAG8AUwBvAGkAbABzAF8ARQBxAHUAYQB0AGkAbwBuAHMALgBWAEUARQBSAEcAXwA0AF8ANQBfADEAXwA5AF8AXwAxAF8ATQBhAHMAcwBPAGYATgBpAHQAcgBvAGcAZQBuAEEAcABwAGwAaQBlAGQAVABvAFMAbwBpAGwAcwBTAGMAbwBwAGUAMQBfAFUAbgBpAHQAIgAsACIATQBNAFMAXwBTAHcAaQBuAGUAXwBNAGEAbgB1AHIAZQBBAHAAcABsAGkAZQBkAFQAbwBTAG8AaQBsAHMAXwBFAHEAdQBhAHQAaQBvAG4AcwAuAFYARQBFAFIARwBfADQAXwA1AF8AMQBfADkAXwBfADEAXwBNAGEAcwBzAE8AZgBOAGkAdAByAG8AZwBlAG4AQQBwAHAAbABpAGUAZABUAG8AUwBvAGkAbABzAFMAYwBvAHAAZQAxAF8AUwBvAHUAcgBjAGUAIgAsACIATQBNAFMAXwBTAHcAaQBuAGUAXwBNAGEAbgB1AHIAZQBBAHAAcABsAGkAZQBkAFQAbwBTAG8AaQBsAHMAXwBFAHEAdQBhAHQAaQBvAG4AcwAuAFYARQBFAFIARwBfADQAXwA1AF8AMQBfADkAXwBfADEAXwBNAGEAcwBzAE8AZgBOAGkAdAByAG8AZwBlAG4AQQBwAHAAbABpAGUAZABUAG8AUwBvAGkAbABzAFMAYwBvAHAAZQAxAF8ATgBJAFIAUgBlAGYAZQByAGUAbgBjAGUAIgAsACIATQBNAFMAXwBTAHcAaQBuAGUAXwBNAGEAbgB1AHIAZQBBAHAAcABsAGkAZQBkAFQAbwBTAG8AaQBsAHMAXwBFAHEAdQBhAHQAaQBvAG4AcwAuAFYARQBFAFIARwBfADQAXwA1AF8AMQBfADkAXwBfADEAXwBNAGEAcwBzAE8AZgBOAGkAdAByAG8AZwBlAG4AQQBwAHAAbABpAGUAZABUAG8AUwBvAGkAbABzAFMAYwBvAHAAZQAxAF8ATABhAHQAZQB4AEUAcQB1AGEAdABpAG8AbgAiACwAIgBNAE0AUwBfAFMAdwBpAG4AZQBfAE0AYQBuAHUAcgBlAEEAcABwAGwAaQBlAGQAVABvAFMAbwBpAGwAcwBfAEUAcQB1AGEAdABpAG8AbgBzAC4AVgBFAEUAUgBHAF8ANABfADUAXwAxAF8AOQBfAF8AMQBfAE0AYQBzAHMATwBmAE4AaQB0AHIAbwBnAGUAbgBBAHAAcABsAGkAZQBkAFQAbwBTAG8AaQBsAHMAUwBjAG8AcABlADEAXwBBAHIAZwB1AG0AZQBuAHQAcwAiACwAIgBNAE0AUwBfAFMAdwBpAG4AZQBfAE0AYQBuAHUAcgBlAEEAcABwAGwAaQBlAGQAVABvAFMAbwBpAGwAcwBfAEUAcQB1AGEAdABpAG8AbgBzAC4AVgBFAEUAUgBHAF8ANABfADUAXwAxAF8AOQBfAF8AMgBfAE0AYQBzAHMATwBmAE4AaQB0AHIAbwBnAGUAbgBBAHAAcABsAGkAZQBkAFQAbwBTAG8AaQBsAHMAUwBjAG8AcABlADMAIgAsACIATQBNAFMAXwBTAHcAaQBuAGUAXwBNAGEAbgB1AHIAZQBBAHAAcABsAGkAZQBkAFQAbwBTAG8AaQBsAHMAXwBFAHEAdQBhAHQAaQBvAG4AcwAuAFYARQBFAFIARwBfADQAXwA1AF8AMQBfADkAXwBfADIAXwBNAGEAcwBzAE8AZgBOAGkAdAByAG8AZwBlAG4AQQBwAHAAbABpAGUAZABUAG8AUwBvAGkAbABzAFMAYwBvAHAAZQAzAF8AVABpAHQAbABlACIALAAiAE0ATQBTAF8AUwB3AGkAbgBlAF8ATQBhAG4AdQByAGUAQQBwAHAAbABpAGUAZABUAG8AUwBvAGkAbABzAF8ARQBxAHUAYQB0AGkAbwBuAHMALgBWAEUARQBSAEcAXwA0AF8ANQBfADEAXwA5AF8AXwAyAF8ATQBhAHMAcwBPAGYATgBpAHQAcgBvAGcAZQBuAEEAcABwAGwAaQBlAGQAVABvAFMAbwBpAGwAcwBTAGMAbwBwAGUAMwBfAFYAYQByAGkAYQBiAGwAZQAiACwAIgBNAE0AUwBfAFMAdwBpAG4AZQBfAE0AYQBuAHUAcgBlAEEAcABwAGwAaQBlAGQAVABvAFMAbwBpAGwAcwBfAEUAcQB1AGEAdABpAG8AbgBzAC4AVgBFAEUAUgBHAF8ANABfADUAXwAxAF8AOQBfAF8AMgBfAE0AYQBzAHMATwBmAE4AaQB0AHIAbwBnAGUAbgBBAHAAcABsAGkAZQBkAFQAbwBTAG8AaQBsAHMAUwBjAG8AcABlADMAXwBVAG4AaQB0ACIALAAiAE0ATQBTAF8AUwB3AGkAbgBlAF8ATQBhAG4AdQByAGUAQQBwAHAAbABpAGUAZABUAG8AUwBvAGkAbABzAF8ARQBxAHUAYQB0AGkAbwBuAHMALgBWAEUARQBSAEcAXwA0AF8ANQBfADEAXwA5AF8AXwAyAF8ATQBhAHMAcwBPAGYATgBpAHQAcgBvAGcAZQBuAEEAcABwAGwAaQBlAGQAVABvAFMAbwBpAGwAcwBTAGMAbwBwAGUAMwBfAFMAbwB1AHIAYwBlACIALAAiAE0ATQBTAF8AUwB3AGkAbgBlAF8ATQBhAG4AdQByAGUAQQBwAHAAbABpAGUAZABUAG8AUwBvAGkAbABzAF8ARQBxAHUAYQB0AGkAbwBuAHMALgBWAEUARQBSAEcAXwA0AF8ANQBfADEAXwA5AF8AXwAyAF8ATQBhAHMAcwBPAGYATgBpAHQAcgBvAGcAZQBuAEEAcABwAGwAaQBlAGQAVABvAFMAbwBpAGwAcwBTAGMAbwBwAGUAMwBfAE4ASQBSAFIAZQBmAGUAcgBlAG4AYwBlACIALAAiAE0ATQBTAF8AUwB3AGkAbgBlAF8ATQBhAG4AdQByAGUAQQBwAHAAbABpAGUAZABUAG8AUwBvAGkAbABzAF8ARQBxAHUAYQB0AGkAbwBuAHMALgBWAEUARQBSAEcAXwA0AF8ANQBfADEAXwA5AF8AXwAyAF8ATQBhAHMAcwBPAGYATgBpAHQAcgBvAGcAZQBuAEEAcABwAGwAaQBlAGQAVABvAFMAbwBpAGwAcwBTAGMAbwBwAGUAMwBfAEwAYQB0AGUAeABFAHEAdQBhAHQAaQBvAG4AIgAsACIATQBNAFMAXwBTAHcAaQBuAGUAXwBNAGEAbgB1AHIAZQBBAHAAcABsAGkAZQBkAFQAbwBTAG8AaQBsAHMAXwBFAHEAdQBhAHQAaQBvAG4AcwAuAFYARQBFAFIARwBfADQAXwA1AF8AMQBfADkAXwBfADIAXwBNAGEAcwBzAE8AZgBOAGkAdAByAG8AZwBlAG4AQQBwAHAAbABpAGUAZABUAG8AUwBvAGkAbABzAFMAYwBvAHAAZQAz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Home</vt:lpstr>
      <vt:lpstr>Overview</vt:lpstr>
      <vt:lpstr>Results</vt:lpstr>
      <vt:lpstr>Input - Site</vt:lpstr>
      <vt:lpstr>Input - Swine</vt:lpstr>
      <vt:lpstr>4.5.1.1-2 Methane</vt:lpstr>
      <vt:lpstr>4.5.1.3-4 Direct N2O</vt:lpstr>
      <vt:lpstr>4.5.1.5-6 Atmos Dep</vt:lpstr>
      <vt:lpstr>4.5.1.7-8 Leaching and runoff</vt:lpstr>
      <vt:lpstr>4.5.1.9 Manure applied to soils</vt:lpstr>
      <vt:lpstr>Constants - Swine</vt:lpstr>
      <vt:lpstr>Constants - Common</vt:lpstr>
      <vt:lpstr>Constants - Livestock</vt:lpstr>
      <vt:lpstr>Acknowledgements</vt:lpstr>
      <vt:lpstr>Tab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2026-05-04T23:53:21Z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