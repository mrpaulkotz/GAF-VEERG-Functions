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4BC3BEA-54C2-4A1C-B350-56320BDBAC28}" xr6:coauthVersionLast="47" xr6:coauthVersionMax="47" xr10:uidLastSave="{00000000-0000-0000-0000-000000000000}"/>
  <bookViews>
    <workbookView xWindow="3120" yWindow="3120" windowWidth="28800" windowHeight="15345" firstSheet="7" activeTab="7"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5"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1_1_1_1__1_MethaneEmissionsFromWastewaterTreatment_Result_Method1">'11.1.1-2 Wastewater CH4'!$E$30</definedName>
    <definedName name="VEERG_11_1_3_1__1_NitrousOxideEmissionsFromFlaredBiogas_Result_Method1">'11.1.3-4 Wastewater N2O'!$E$17</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 name="X_Cell_Wastewater_FractionCODRemovedAndTransferred">'Input - Wastewater'!$F$16</definedName>
    <definedName name="X_Cell_Wastewater_FractionCODRemovedAsSludge">'Input - Wastewater'!$F$15</definedName>
    <definedName name="X_Cell_Wastewater_InletCOD">'Input - Wastewater'!$F$14</definedName>
    <definedName name="X_Cell_Wastewater_OutletCOD">'Input - Wastewater'!$F$17</definedName>
    <definedName name="X_Cell_Wastewater_QuantityInM3">'Input - Wastewater'!$F$8</definedName>
    <definedName name="X_Cell_Wastewater_SludgeMethaneCapturedForCombustion">'Input - Wastewater'!$F$24</definedName>
    <definedName name="X_Cell_Wastewater_SludgeMethaneFlared">'Input - Wastewater'!$F$25</definedName>
    <definedName name="X_Cell_Wastewater_SludgeMethaneTransferred">'Input - Wastewater'!$F$26</definedName>
    <definedName name="X_Cell_Wastewater_TreatmentFacilityType">'Input - Wastewater'!$F$7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5" l="1" a="1"/>
  <c r="E259" i="125" s="1"/>
  <c r="D259" i="125" a="1"/>
  <c r="D259" i="125" s="1"/>
  <c r="E258" i="125" a="1"/>
  <c r="E258" i="125" s="1"/>
  <c r="D258" i="125" a="1"/>
  <c r="D258" i="125" s="1"/>
  <c r="D256" i="125" a="1"/>
  <c r="D256" i="125" s="1"/>
  <c r="D255" i="125" a="1"/>
  <c r="D255" i="125" s="1"/>
  <c r="D254" i="125" a="1"/>
  <c r="D254" i="125" s="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c r="D229" i="125" a="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a="1"/>
  <c r="D168" i="125" s="1"/>
  <c r="D167" i="125" a="1"/>
  <c r="D167" i="125" s="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c r="D81" i="125" a="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c r="D46" i="125" a="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I13" i="120"/>
  <c r="J28" i="69"/>
  <c r="J25" i="69"/>
  <c r="J24" i="69"/>
  <c r="J23" i="69"/>
  <c r="J20" i="69"/>
  <c r="J17" i="69"/>
  <c r="J16" i="69"/>
  <c r="J15" i="69"/>
  <c r="J14" i="69"/>
  <c r="A16" i="70"/>
  <c r="A15" i="70"/>
  <c r="A12" i="70"/>
  <c r="A11" i="70"/>
  <c r="A8" i="70"/>
  <c r="A5" i="70"/>
  <c r="A4" i="70"/>
  <c r="A3" i="70"/>
  <c r="A16" i="110"/>
  <c r="A15" i="110"/>
  <c r="A12" i="110"/>
  <c r="A11" i="110"/>
  <c r="A8" i="110"/>
  <c r="A5" i="110"/>
  <c r="A4" i="110"/>
  <c r="A3" i="110"/>
  <c r="A16" i="120"/>
  <c r="A15" i="120"/>
  <c r="A12" i="120"/>
  <c r="A11" i="120"/>
  <c r="A8" i="120"/>
  <c r="A5" i="120"/>
  <c r="A4" i="120"/>
  <c r="A3" i="120"/>
  <c r="A16" i="69"/>
  <c r="A15" i="69"/>
  <c r="A12" i="69"/>
  <c r="A11" i="69"/>
  <c r="A8" i="69"/>
  <c r="A5" i="69"/>
  <c r="A4" i="69"/>
  <c r="A3" i="69"/>
  <c r="A16" i="118"/>
  <c r="A15" i="118"/>
  <c r="A12" i="118"/>
  <c r="A11" i="118"/>
  <c r="A8" i="118"/>
  <c r="A5" i="118"/>
  <c r="A4" i="118"/>
  <c r="A3" i="118"/>
  <c r="A12" i="13"/>
  <c r="A11" i="13"/>
  <c r="D19" i="120" a="1"/>
  <c r="D19" i="120" s="1"/>
  <c r="I14" i="120"/>
  <c r="F22" i="120" a="1"/>
  <c r="F22" i="120" s="1"/>
  <c r="G13" i="120" a="1"/>
  <c r="G13" i="120" s="1"/>
  <c r="D13" i="120" a="1"/>
  <c r="D13" i="120" s="1"/>
  <c r="E11" i="120" a="1"/>
  <c r="E11" i="120" s="1"/>
  <c r="F17" i="120" s="1"/>
  <c r="E10" i="120" a="1"/>
  <c r="E10" i="120" s="1"/>
  <c r="D6" i="120" a="1"/>
  <c r="D6" i="120" s="1"/>
  <c r="D5" i="120" a="1"/>
  <c r="D5" i="120" s="1"/>
  <c r="A136" i="120"/>
  <c r="A109" i="120"/>
  <c r="A66" i="120"/>
  <c r="F51" i="110" a="1"/>
  <c r="F51" i="110" s="1"/>
  <c r="E51" i="110" a="1"/>
  <c r="E51" i="110" s="1"/>
  <c r="I15" i="12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J26" i="69" s="1"/>
  <c r="D41" i="110" a="1"/>
  <c r="D41" i="110" s="1"/>
  <c r="D40" i="110" a="1"/>
  <c r="D40" i="110" s="1"/>
  <c r="D39" i="110" a="1"/>
  <c r="D39" i="110" s="1"/>
  <c r="F36" i="110" a="1"/>
  <c r="F36" i="110" s="1"/>
  <c r="E36" i="110" a="1"/>
  <c r="E36" i="110" s="1"/>
  <c r="J22" i="69" s="1"/>
  <c r="D36" i="110" a="1"/>
  <c r="D36" i="110" s="1"/>
  <c r="D35" i="110" a="1"/>
  <c r="D35" i="110" s="1"/>
  <c r="D34" i="110" a="1"/>
  <c r="D34" i="110" s="1"/>
  <c r="E31" i="110" a="1"/>
  <c r="E31" i="110" s="1"/>
  <c r="J19" i="69"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A16" i="13"/>
  <c r="A15" i="13"/>
  <c r="A8" i="13"/>
  <c r="A5" i="13"/>
  <c r="A4" i="13"/>
  <c r="A3" i="13"/>
  <c r="F35" i="69" a="1"/>
  <c r="F35" i="69" s="1"/>
  <c r="D32" i="69" a="1"/>
  <c r="D32" i="69" s="1"/>
  <c r="E7" i="120" a="1"/>
  <c r="H50" i="125" l="1"/>
  <c r="H53" i="125"/>
  <c r="H48" i="125"/>
  <c r="H51" i="125"/>
  <c r="H54" i="125"/>
  <c r="H52" i="125"/>
  <c r="H49" i="125"/>
  <c r="E17" i="120" a="1"/>
  <c r="E17" i="120" s="1"/>
  <c r="E10" i="13" s="1"/>
  <c r="E7" i="120"/>
  <c r="J27" i="69"/>
  <c r="G19" i="120" l="1"/>
  <c r="E22" i="120" s="1" a="1"/>
  <c r="E22" i="120" s="1"/>
  <c r="H10" i="13" s="1"/>
  <c r="I10" i="13" s="1"/>
  <c r="F10" i="13"/>
  <c r="D7" i="69" a="1"/>
  <c r="D7" i="69" s="1"/>
  <c r="J21" i="69" a="1"/>
  <c r="J21" i="69" s="1"/>
  <c r="J18" i="69" a="1"/>
  <c r="J18" i="69" s="1"/>
  <c r="H14" i="69" a="1"/>
  <c r="H14" i="69" s="1"/>
  <c r="D14" i="69" a="1"/>
  <c r="D14" i="69" s="1"/>
  <c r="E12" i="69" a="1"/>
  <c r="E12" i="69" s="1"/>
  <c r="F30" i="69" s="1"/>
  <c r="E11" i="69" a="1"/>
  <c r="E11" i="69" s="1"/>
  <c r="D6" i="69" a="1"/>
  <c r="D6" i="69" s="1"/>
  <c r="D5" i="69" a="1"/>
  <c r="D5" i="69" s="1"/>
  <c r="E8" i="69" a="1"/>
  <c r="E30" i="69" l="1" a="1"/>
  <c r="E30" i="69" s="1"/>
  <c r="E9" i="13" s="1"/>
  <c r="E8" i="69"/>
  <c r="G32" i="69" l="1"/>
  <c r="E35" i="69" s="1" a="1"/>
  <c r="E35" i="69" s="1"/>
  <c r="H9" i="13" s="1"/>
  <c r="D57" i="70"/>
  <c r="H11" i="13" l="1"/>
  <c r="I9" i="13"/>
  <c r="I11" i="13" s="1"/>
  <c r="A77" i="110"/>
  <c r="A49" i="110"/>
  <c r="A109" i="69"/>
  <c r="A136" i="69"/>
  <c r="A66" i="69"/>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<sst xmlns="http://schemas.openxmlformats.org/spreadsheetml/2006/main" count="171" uniqueCount="132">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</sst>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9">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51" fillId="4" borderId="1" xfId="53" applyFont="1" applyBorder="1">
      <alignment horizontal="left" vertical="center"/>
    </xf>
    <xf numFmtId="0" fontId="2" fillId="0" borderId="2" xfId="56">
      <alignment horizontal="center" vertical="center"/>
    </xf>
    <xf numFmtId="0" fontId="36" fillId="13" borderId="17" xfId="39" applyBorder="1">
      <alignment horizontal="left" vertical="center"/>
    </xf>
    <xf numFmtId="0" fontId="41" fillId="4" borderId="0" xfId="47">
      <alignment horizontal="left" vertical="center"/>
    </xf>
    <xf numFmtId="0" fontId="6" fillId="4" borderId="0" xfId="12">
      <alignment horizontal="left" vertical="center" indent="1"/>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58" dataCellStyle="Content normal">
  <autoFilter ref="D9:E14" xr:uid="{86752300-1056-4C92-8247-C96E2D7BEDD4}">
    <filterColumn colId="0" hiddenButton="1"/>
    <filterColumn colId="1" hiddenButton="1"/>
  </autoFilter>
  <tableColumns count="2">
    <tableColumn id="1" xr3:uid="{60322701-4B4B-459F-8E0D-E1FDA0005D7E}" name="Facility type t" dataDxfId="57"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56"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55" dataCellStyle="Content normal">
  <autoFilter ref="D21:E26" xr:uid="{CAC655BD-F756-4971-8D46-22867B90DE87}">
    <filterColumn colId="0" hiddenButton="1"/>
    <filterColumn colId="1" hiddenButton="1"/>
  </autoFilter>
  <tableColumns count="2">
    <tableColumn id="1" xr3:uid="{D1DF76B8-1010-4952-AD56-4DF4622F5028}" name="Facility type t" dataDxfId="54"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53"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2901E4-74D4-491C-9839-A10E0853890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3A7A6A1-7645-4FB3-95BA-39FF4C7FE645}" name="State/Territory">
      <calculatedColumnFormula array="1">Common_InputFunctions.Utility_DisplayArrayInTable(Common_SourceData.Common_SourceData_AustralianStatesTerritories_Data(),Table_AustralianStates[[#Headers],[State/Territory]],0)</calculatedColumnFormula>
    </tableColumn>
    <tableColumn id="2" xr3:uid="{417988F4-ED4B-45FF-A91E-9D85E753F6E4}" name="Common Name">
      <calculatedColumnFormula array="1">Common_InputFunctions.Utility_DisplayArrayInTable(Common_SourceData.Common_SourceData_AustralianStatesTerritories_Data(),Table_AustralianStates[[#Headers],[State/Territory]],0)</calculatedColumnFormula>
    </tableColumn>
    <tableColumn id="3" xr3:uid="{B962FF60-EEFE-4021-AD77-4E3462E1AF1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813C8E6-E9CE-4977-8FB4-47FB574DC02B}" name="Table_WASA4Areas" displayName="Table_WASA4Areas" ref="D20:D30" totalsRowShown="0">
  <autoFilter ref="D20:D30" xr:uid="{5FA81339-C6C8-4D36-BEEA-6C4AEDD9E676}">
    <filterColumn colId="0" hiddenButton="1"/>
  </autoFilter>
  <tableColumns count="1">
    <tableColumn id="1" xr3:uid="{ABC00590-0BDD-4727-A087-CF9BFD527FC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E88C359-14EF-4A97-A2E4-175687F0066C}" name="Table_GWPData" displayName="Table_GWPData" ref="D36:E43" totalsRowShown="0">
  <autoFilter ref="D36:E43" xr:uid="{B8E87A66-3E41-4AD3-925D-01EE21B43D7A}">
    <filterColumn colId="0" hiddenButton="1"/>
    <filterColumn colId="1" hiddenButton="1"/>
  </autoFilter>
  <tableColumns count="2">
    <tableColumn id="1" xr3:uid="{E9620700-E2AA-43F7-823B-1D93E54A99A9}" name="Gas">
      <calculatedColumnFormula array="1">Common_InputFunctions.Utility_DisplayArrayInTable(Common_SourceData.Common_SourceData_GWP_Data(), Table_GWPData[[#Headers],[Gas]], 0)</calculatedColumnFormula>
    </tableColumn>
    <tableColumn id="2" xr3:uid="{9A583022-0F51-47E6-9CF0-DCE0148B906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394016-4C3B-4484-A0FF-3CFB83C5E43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7EC98A6-A45F-4EEE-9F93-E4FB3D0A7D7D}" name="Gas">
      <calculatedColumnFormula array="1">Common_InputFunctions.Utility_DisplayArrayInTable(Common_SourceData.Common_SourceData_ConvertGasElementalToMolecular_Data(),Table_GasToMolecularConversionFactor[[#Headers],[Gas]], 0)</calculatedColumnFormula>
    </tableColumn>
    <tableColumn id="5" xr3:uid="{73EF9163-4C06-47F3-8994-067EFD7F0FE5}" name="Conversion factor">
      <calculatedColumnFormula array="1">Common_InputFunctions.Utility_DisplayArrayInTable(Common_SourceData.Common_SourceData_ConvertGasElementalToMolecular_Data(),Table_GasToMolecularConversionFactor[[#Headers],[Gas]], 0)</calculatedColumnFormula>
    </tableColumn>
    <tableColumn id="2" xr3:uid="{DE75DEEB-09D7-4CFF-885C-AF9F1D49BD3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13C32CE-1368-48BB-87AB-0D2F801910D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F28DF7C-D3F6-4240-9ED5-975D7923131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678E15E-9743-4D6B-B08F-54FA1F7BD4E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8A2775-12F7-4B6E-B50C-2B734CED676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A57A8D6-0E1B-4395-8BBD-8EB2909C637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640685BD-3D0B-4B49-994F-2049CD84419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B41BB388-73CC-4E31-9702-0644757B771D}"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F65571A7-99C4-419A-ACC9-DB99F627079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1A2EB41B-4703-47CB-A6BA-B23ECFDE75DC}"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4FCC700-6BCB-42F6-A269-73CB179D12DE}"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0B04A76E-8B93-43EF-9F74-AAE65AEC4441}"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13D3D99C-422D-4DB4-BAFE-4D5F232E4C8B}"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23F7ECD7-4755-4ED3-8B32-64F398DDA30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358C427E-C96B-4053-A990-1B2058EBFC64}"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3130F307-B98C-4067-B80F-2542F94A1BE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D192874-9822-4C4F-9A9E-B334BAC2FFB8}"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A79D36E5-993C-4167-BDE8-6407717CAB24}"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A4876D80-2BA9-4B93-A438-B39231AC151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C13F21D8-24C0-4A6E-8DE5-7781BD4EA367}"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D9088D-21E6-4B13-B698-A88D317D61B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2339138-CF75-47CE-98E2-00C999CD6CD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3AA9C04-0F8D-43AC-AB39-360AF88BE8CC}"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0282294-800C-4FCE-87FB-E5433DFD7DD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B6FF107-1CC5-47A6-BFC2-A373ED5BA9DC}" name="Temperature Zone">
      <calculatedColumnFormula array="1">Common_InputFunctions.Utility_DisplayArrayInTable(Common_SourceData.Common_SourceData_TemperatureZones_Data(),Table_SourceData_TemperatureZones[[#Headers],[Temperature Zone]],0)</calculatedColumnFormula>
    </tableColumn>
    <tableColumn id="2" xr3:uid="{81FB7AAB-B954-4F7F-880E-D1D6DDF943A7}" name="MAT">
      <calculatedColumnFormula array="1">Common_InputFunctions.Utility_DisplayArrayInTable(Common_SourceData.Common_SourceData_TemperatureZones_Data(),Table_SourceData_TemperatureZones[[#Headers],[Temperature Zone]],0)</calculatedColumnFormula>
    </tableColumn>
    <tableColumn id="3" xr3:uid="{F72C74A5-51F2-4215-9ABA-7C66657A62EE}" name="Min MAT">
      <calculatedColumnFormula array="1">Common_InputFunctions.Utility_DisplayArrayInTable(Common_SourceData.Common_SourceData_TemperatureZones_Data(),Table_SourceData_TemperatureZones[[#Headers],[Temperature Zone]],0)</calculatedColumnFormula>
    </tableColumn>
    <tableColumn id="4" xr3:uid="{6AA30C8F-73A6-4FD1-B809-BD18E5A99F7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0FD3DEC-6132-42B3-A699-403587965D5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A6726C5-D9D8-4D31-81EC-1DC25061E31A}" name="Rainfall Zone">
      <calculatedColumnFormula array="1">Common_InputFunctions.Utility_DisplayArrayInTable(Common_SourceData.Common_SourceData_RainfallZones_Data(),Table_SourceData_RainfallZones[[#Headers],[Rainfall Zone]],0)</calculatedColumnFormula>
    </tableColumn>
    <tableColumn id="2" xr3:uid="{3048A7D2-7F93-4BD0-9D8D-67272EA18191}" name="Annual rainfall">
      <calculatedColumnFormula array="1">Common_InputFunctions.Utility_DisplayArrayInTable(Common_SourceData.Common_SourceData_RainfallZones_Data(),Table_SourceData_RainfallZones[[#Headers],[Rainfall Zone]],0)</calculatedColumnFormula>
    </tableColumn>
    <tableColumn id="3" xr3:uid="{92686BF3-D26B-4679-A40A-852EA84EF852}" name="Min rainfall">
      <calculatedColumnFormula array="1">Common_InputFunctions.Utility_DisplayArrayInTable(Common_SourceData.Common_SourceData_RainfallZones_Data(),Table_SourceData_RainfallZones[[#Headers],[Rainfall Zone]],0)</calculatedColumnFormula>
    </tableColumn>
    <tableColumn id="4" xr3:uid="{80BA2E2F-6FE0-47D7-9D6D-BFE5E2A9803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4509B1C-FA74-4B9E-8E16-B7B10FA0ECC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3EB0E21-1496-43EC-A6FE-FD07ED44F742}" name="Leaching Zone">
      <calculatedColumnFormula array="1">Common_InputFunctions.Utility_DisplayArrayInTable(Common_SourceData.Common_SourceData_LeachingZones_Data(), Table_SourceData_LeachingZones[[#Headers],[Leaching Zone]], 0)</calculatedColumnFormula>
    </tableColumn>
    <tableColumn id="2" xr3:uid="{8AAA12F3-3158-4160-9D90-F1610DF9086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9B1D7CC-650C-4C00-B0D6-0FD99E350EB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52A7569-0DA7-402F-9AB1-034B445EB227}" name="Data source">
      <calculatedColumnFormula array="1">Common_InputFunctions.Utility_DisplayArrayInTable(Common_SourceData.Common_SourceData_DataScores_Scope3_Data(), Table_SourceData_DataScores_Scope3[[#Headers],[Data source]], 0)</calculatedColumnFormula>
    </tableColumn>
    <tableColumn id="2" xr3:uid="{5FD42A51-4C3A-4D1E-A42B-5DA4BF5DCFE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760DD5-0237-49A8-A230-B47BB1156DE6}" name="Table_SourceData_FracWET" displayName="Table_SourceData_FracWET" ref="D134:E136" totalsRowShown="0">
  <autoFilter ref="D134:E136" xr:uid="{308E99BE-FE1F-47A4-B2CA-97217277C4E9}">
    <filterColumn colId="0" hiddenButton="1"/>
    <filterColumn colId="1" hiddenButton="1"/>
  </autoFilter>
  <tableColumns count="2">
    <tableColumn id="1" xr3:uid="{8881F848-5C9D-4A93-8F3E-9FE78E12D9D8}" name="Is in leaching zone">
      <calculatedColumnFormula array="1">Common_InputFunctions.Utility_DisplayArrayInTable(Common_SourceData.Common_SourceData_FracWET_Data(),Table_SourceData_FracWET[[#Headers],[Is in leaching zone]],0)</calculatedColumnFormula>
    </tableColumn>
    <tableColumn id="2" xr3:uid="{52CFFC82-08BD-4302-B2DD-3522C2AD5970}"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E72203-13BC-4CF7-8169-9096D04EF21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8821A07-CBB8-4D58-99FC-46F9AD9B5D06}" name="Production system j">
      <calculatedColumnFormula array="1">Common_InputFunctions.Utility_DisplayArrayInTable(Common_SourceData.Common_SourceData_EFN2O_Data(), Table_SourceData_Common_EFN2O[[#Headers],[Production system j]], 0)</calculatedColumnFormula>
    </tableColumn>
    <tableColumn id="2" xr3:uid="{808B110B-F4D1-4235-BBE7-A5087AB78BB7}" name="EFN2O">
      <calculatedColumnFormula array="1">Common_InputFunctions.Utility_DisplayArrayInTable(Common_SourceData.Common_SourceData_EFN2O_Data(), Table_SourceData_Common_EFN2O[[#Headers],[Production system j]], 0)</calculatedColumnFormula>
    </tableColumn>
    <tableColumn id="3" xr3:uid="{40B5F840-D9A5-424C-83F4-4BDB382EFDB0}" name="Production system only">
      <calculatedColumnFormula array="1">Common_InputFunctions.Utility_DisplayArrayInTable(Common_SourceData.Common_SourceData_EFN2O_Data(), Table_SourceData_Common_EFN2O[[#Headers],[Production system j]], 0)</calculatedColumnFormula>
    </tableColumn>
    <tableColumn id="4" xr3:uid="{4958BC5B-064E-4A15-857F-352B01797ABD}" name="Irrigation method">
      <calculatedColumnFormula array="1">Common_InputFunctions.Utility_DisplayArrayInTable(Common_SourceData.Common_SourceData_EFN2O_Data(), Table_SourceData_Common_EFN2O[[#Headers],[Production system j]], 0)</calculatedColumnFormula>
    </tableColumn>
    <tableColumn id="5" xr3:uid="{A5274952-A1AF-48A5-B96E-D6095F4217A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603577B-1419-4AE9-B52C-CD309767E13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0911576-3EF0-4E1B-A889-87C3CAF4193A}" name="Irrigation type i">
      <calculatedColumnFormula array="1">Common_InputFunctions.Utility_DisplayArrayInTable(Common_SourceData.Common_SourceData_FracWETIrrigation_Data(), Table_SourceData_FracWETIrrigation[[#Headers],[Irrigation type i]], 0)</calculatedColumnFormula>
    </tableColumn>
    <tableColumn id="2" xr3:uid="{A8928862-0C55-4701-8E46-0460079190A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C5AB438-CBE2-4FFD-BDA9-A83CADD87D8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234EE0E-8F92-4312-BE63-502F946046A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E21E7A6-BB56-4CBA-A22A-56D6354C8C0E}"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3C26136-7D0C-4262-9DD3-BEB3843BEDE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CBF8390-5415-4AD3-9812-F085B12FA77F}" name="Month">
      <calculatedColumnFormula array="1">Common_InputFunctions.Utility_DisplayArrayInTable(Common_SourceData.Common_SourceData_MonthsToSeasons_Data(), Table_SourceData_Common_MonthToSeason[[#Headers],[Month]], 0)</calculatedColumnFormula>
    </tableColumn>
    <tableColumn id="2" xr3:uid="{12C3240D-243B-47E8-86C5-1020AD6AFF31}"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1F10B7B-DBB5-42D3-8E22-E1B4096BF02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9579F68-9384-4395-9B40-A666F880BDD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5C3A31B-2242-46CB-B0BD-99DE0082E553}"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4374E36-14BC-476E-901E-FAF15F4C4C67}"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EFD5B4A-1034-4FCF-8049-14B5F75E9A5F}"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F2DF928-E0E4-4BDB-8FF2-39BADE8602B4}"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08F48C-E01F-4C66-B671-371CEDB14FA8}"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A17D570-9828-4407-9280-37420A993AAB}"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F2C9E0D-DA9D-429C-82B7-E2683EF71F6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8E56A3F-15A4-4F37-BAE2-6B57DDFE2992}"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3C2F1A6-E172-41C6-8C78-5E47C0C5C747}"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F45BD40-E4D6-4DCC-87FC-414A1FBEFEA6}"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7DA757C-6CDA-4C52-B8B6-420D5941EF6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268FDA8-7DF2-4A8C-AACF-EF2AB5BC2B49}"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004BF9B-155B-4440-A60F-7DFCC41D53AD}"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ABF53AC-2C64-414A-977B-8E8C687200D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65C0C41-E29C-484F-9F19-554BFA51EA9B}"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82546F2-95EA-4798-BEF5-E9A9FD9348A7}"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A931D7D-C70B-44B6-A950-2C74FE01DBD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414394C-46C8-4708-A016-96AB55B2CB2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3" t="s">
        <v>86</v>
      </c>
      <c r="D1" s="54"/>
      <c r="E1" s="54"/>
      <c r="F1" s="54"/>
      <c r="G1" s="54"/>
      <c r="H1" s="54"/>
      <c r="I1" s="54"/>
      <c r="J1" s="54"/>
      <c r="K1" s="54"/>
      <c r="L1" s="54"/>
      <c r="M1" s="54"/>
      <c r="N1" s="54"/>
      <c r="O1" s="54"/>
      <c r="P1" s="54"/>
    </row>
    <row r="2" spans="1:17" ht="20.100000000000001" customHeight="1" x14ac:dyDescent="0.25">
      <c r="A2" s="8"/>
      <c r="C2" s="54"/>
      <c r="D2" s="54"/>
      <c r="E2" s="54"/>
      <c r="F2" s="54"/>
      <c r="G2" s="54"/>
      <c r="H2" s="54"/>
      <c r="I2" s="54"/>
      <c r="J2" s="54"/>
      <c r="K2" s="54"/>
      <c r="L2" s="54"/>
      <c r="M2" s="54"/>
      <c r="N2" s="54"/>
      <c r="O2" s="54"/>
      <c r="P2" s="54"/>
      <c r="Q2" s="55"/>
    </row>
    <row r="3" spans="1:17" ht="20.100000000000001" customHeight="1" x14ac:dyDescent="0.25">
      <c r="A3" s="13" t="str">
        <f>HYPERLINK("#'Home'!A1", "Home")</f>
        <v>Home</v>
      </c>
      <c r="C3" s="56"/>
      <c r="D3" s="56"/>
      <c r="E3" s="56"/>
      <c r="F3" s="56"/>
      <c r="G3" s="56"/>
      <c r="H3" s="56"/>
      <c r="I3" s="56"/>
      <c r="J3" s="56"/>
      <c r="K3" s="56"/>
      <c r="L3" s="56"/>
      <c r="M3" s="56"/>
      <c r="N3" s="56"/>
      <c r="O3" s="56"/>
      <c r="P3" s="56"/>
    </row>
    <row r="4" spans="1:17" ht="20.100000000000001" customHeight="1" x14ac:dyDescent="0.25">
      <c r="A4" s="42" t="str">
        <f>HYPERLINK("#'Overview'!A1", "Overview")</f>
        <v>Overview</v>
      </c>
    </row>
    <row r="5" spans="1:17" ht="20.100000000000001" customHeight="1" x14ac:dyDescent="0.25">
      <c r="A5" s="13" t="str">
        <f>HYPERLINK("#'Results'!A1", "Results")</f>
        <v>Results</v>
      </c>
      <c r="D5" s="40" t="s">
        <v>83</v>
      </c>
      <c r="E5" s="37"/>
      <c r="F5" s="37"/>
      <c r="G5" s="37"/>
      <c r="H5" s="37"/>
      <c r="I5" s="37"/>
      <c r="J5" s="37"/>
      <c r="K5" s="37"/>
      <c r="L5" s="37"/>
      <c r="M5" s="37"/>
      <c r="N5" s="37"/>
      <c r="O5" s="34"/>
    </row>
    <row r="6" spans="1:17" ht="20.100000000000001" customHeight="1" x14ac:dyDescent="0.25">
      <c r="A6" s="12"/>
      <c r="D6" s="57"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Wastewater'!A1", "Wastewater")</f>
        <v>Wastewater</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HYPERLINK("#'11.1.1-2 Wastewater CH4'!A1", "10.1.1-2 Wastewater CH4")</f>
        <v>10.1.1-2 Wastewater CH4</v>
      </c>
    </row>
    <row r="12" spans="1:17" ht="20.100000000000001" customHeight="1" x14ac:dyDescent="0.25">
      <c r="A12" s="13" t="str">
        <f>HYPERLINK("#'11.1.3-4 Wastewater N2O'!A1", "10.1.3-4 Wastewater N2O")</f>
        <v>10.1.3-4 Wastewater N2O</v>
      </c>
    </row>
    <row r="13" spans="1:17" ht="20.100000000000001" customHeight="1" x14ac:dyDescent="0.25">
      <c r="A13" s="13"/>
    </row>
    <row r="14" spans="1:17" ht="20.100000000000001" customHeight="1" x14ac:dyDescent="0.25">
      <c r="A14" s="14" t="s">
        <v>2</v>
      </c>
      <c r="O14" s="1" t="s">
        <v>85</v>
      </c>
    </row>
    <row r="15" spans="1:17" ht="20.100000000000001" customHeight="1" x14ac:dyDescent="0.25">
      <c r="A15" s="13" t="str">
        <f>HYPERLINK("#'Constants - Wastewater'!A1", "Constants - Wastewater")</f>
        <v>Constants - Wastewater</v>
      </c>
    </row>
    <row r="16" spans="1:17" ht="20.100000000000001" customHeight="1" x14ac:dyDescent="0.25">
      <c r="A16" s="13"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15" sqref="F15"/>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3" t="e" vm="1">
        <v>#VALUE!</v>
      </c>
      <c r="C1" s="53" t="s">
        <v>87</v>
      </c>
    </row>
    <row r="2" spans="1:11" ht="20.100000000000001" customHeight="1" x14ac:dyDescent="0.25">
      <c r="A2" s="8"/>
      <c r="C2" s="8"/>
    </row>
    <row r="3" spans="1:11" ht="20.100000000000001" customHeight="1" x14ac:dyDescent="0.25">
      <c r="A3" s="13" t="str">
        <f>HYPERLINK("#'Home'!A1", "Home")</f>
        <v>Home</v>
      </c>
      <c r="C3" s="18"/>
      <c r="D3" s="18"/>
      <c r="E3" s="18"/>
      <c r="F3" s="18"/>
      <c r="G3" s="18"/>
      <c r="H3" s="18"/>
      <c r="I3" s="18"/>
      <c r="J3" s="18"/>
      <c r="K3" s="18"/>
    </row>
    <row r="4" spans="1:11" ht="20.100000000000001" customHeight="1" x14ac:dyDescent="0.25">
      <c r="A4" s="13" t="str">
        <f>HYPERLINK("#'Overview'!A1", "Overview")</f>
        <v>Overview</v>
      </c>
      <c r="C4" s="18"/>
      <c r="D4" s="5" t="s">
        <v>3</v>
      </c>
      <c r="E4" s="19"/>
      <c r="F4" s="19"/>
      <c r="G4" s="19"/>
      <c r="H4" s="19"/>
      <c r="I4" s="19"/>
      <c r="J4" s="19"/>
      <c r="K4" s="20"/>
    </row>
    <row r="5" spans="1:11" ht="20.100000000000001" customHeight="1" x14ac:dyDescent="0.3">
      <c r="A5" s="42" t="str">
        <f>HYPERLINK("#'Results'!A1", "Results")</f>
        <v>Results</v>
      </c>
      <c r="C5" s="18"/>
      <c r="D5" s="21"/>
      <c r="E5" s="22"/>
      <c r="F5" s="22"/>
      <c r="G5" s="22"/>
      <c r="H5" s="22"/>
      <c r="I5" s="22"/>
      <c r="J5" s="22"/>
      <c r="K5" s="18"/>
    </row>
    <row r="6" spans="1:11" ht="20.100000000000001" customHeight="1" x14ac:dyDescent="0.25">
      <c r="A6" s="12"/>
      <c r="C6" s="18"/>
      <c r="D6" s="17" t="s">
        <v>80</v>
      </c>
      <c r="E6" s="18"/>
      <c r="F6" s="18"/>
      <c r="G6" s="18"/>
      <c r="H6" s="18"/>
      <c r="I6" s="18"/>
      <c r="J6" s="18"/>
      <c r="K6" s="18"/>
    </row>
    <row r="7" spans="1:11" ht="20.100000000000001" customHeight="1" x14ac:dyDescent="0.25">
      <c r="A7" s="16" t="s">
        <v>1</v>
      </c>
      <c r="C7" s="18"/>
      <c r="D7" s="18"/>
      <c r="E7" s="18"/>
      <c r="F7" s="18"/>
      <c r="G7" s="18"/>
      <c r="H7" s="18"/>
      <c r="I7" s="18"/>
      <c r="J7" s="18"/>
      <c r="K7" s="18"/>
    </row>
    <row r="8" spans="1:11" ht="20.100000000000001" customHeight="1" x14ac:dyDescent="0.25">
      <c r="A8" s="13" t="str">
        <f>HYPERLINK("#'Input - Wastewater'!A1", "Wastewater")</f>
        <v>Wastewater</v>
      </c>
      <c r="C8" s="18"/>
      <c r="D8" s="39" t="s">
        <v>50</v>
      </c>
      <c r="E8" s="39" t="s">
        <v>60</v>
      </c>
      <c r="F8" s="39" t="s">
        <v>61</v>
      </c>
      <c r="G8" s="39" t="s">
        <v>55</v>
      </c>
      <c r="H8" s="39" t="s">
        <v>128</v>
      </c>
      <c r="I8" s="39" t="s">
        <v>129</v>
      </c>
      <c r="J8" s="39" t="s">
        <v>130</v>
      </c>
      <c r="K8" s="18"/>
    </row>
    <row r="9" spans="1:11" ht="20.100000000000001" customHeight="1" x14ac:dyDescent="0.25">
      <c r="A9" s="13"/>
      <c r="C9" s="18"/>
      <c r="D9" s="1" t="s">
        <v>124</v>
      </c>
      <c r="E9" s="52">
        <f>VEERG_11_1_1_1__1_MethaneEmissionsFromWastewaterTreatment_Result_Method1</f>
        <v>4.7159433000000001E-2</v>
      </c>
      <c r="F9" s="52">
        <f>E9</f>
        <v>4.7159433000000001E-2</v>
      </c>
      <c r="G9" s="30" t="s">
        <v>126</v>
      </c>
      <c r="H9" s="52">
        <f>'11.1.1-2 Wastewater CH4'!E35</f>
        <v>1.3204641239999999</v>
      </c>
      <c r="I9" s="52">
        <f>H9</f>
        <v>1.3204641239999999</v>
      </c>
      <c r="J9" s="30" t="s">
        <v>58</v>
      </c>
      <c r="K9" s="18"/>
    </row>
    <row r="10" spans="1:11" ht="20.100000000000001" customHeight="1" x14ac:dyDescent="0.25">
      <c r="A10" s="15" t="s">
        <v>45</v>
      </c>
      <c r="C10" s="18"/>
      <c r="D10" s="1" t="s">
        <v>125</v>
      </c>
      <c r="E10" s="75">
        <f>VEERG_11_1_3_1__1_NitrousOxideEmissionsFromFlaredBiogas_Result_Method1</f>
        <v>4.26764E-7</v>
      </c>
      <c r="F10" s="75">
        <f>E10</f>
        <v>4.26764E-7</v>
      </c>
      <c r="G10" s="30" t="s">
        <v>127</v>
      </c>
      <c r="H10" s="52">
        <f>'11.1.3-4 Wastewater N2O'!E22</f>
        <v>1.1309246E-4</v>
      </c>
      <c r="I10" s="52">
        <f>H10</f>
        <v>1.1309246E-4</v>
      </c>
      <c r="J10" s="30" t="s">
        <v>58</v>
      </c>
      <c r="K10" s="18"/>
    </row>
    <row r="11" spans="1:11" ht="20.100000000000001" customHeight="1" x14ac:dyDescent="0.3">
      <c r="A11" s="13" t="str">
        <f>HYPERLINK("#'11.1.1-2 Wastewater CH4'!A1", "10.1.1-2 Wastewater CH4")</f>
        <v>10.1.1-2 Wastewater CH4</v>
      </c>
      <c r="C11" s="18"/>
      <c r="D11" s="76" t="s">
        <v>131</v>
      </c>
      <c r="E11" s="77"/>
      <c r="F11" s="77"/>
      <c r="G11" s="76"/>
      <c r="H11" s="78">
        <f>SUM(H9:H10)</f>
        <v>1.3205772164599998</v>
      </c>
      <c r="I11" s="78">
        <f>SUM(I9:I10)</f>
        <v>1.3205772164599998</v>
      </c>
      <c r="J11" s="74" t="s">
        <v>58</v>
      </c>
      <c r="K11" s="18"/>
    </row>
    <row r="12" spans="1:11" ht="20.100000000000001" customHeight="1" x14ac:dyDescent="0.25">
      <c r="A12" s="13" t="str">
        <f>HYPERLINK("#'11.1.3-4 Wastewater N2O'!A1", "10.1.3-4 Wastewater N2O")</f>
        <v>10.1.3-4 Wastewater N2O</v>
      </c>
      <c r="C12" s="18"/>
      <c r="D12" s="1"/>
      <c r="E12" s="1"/>
      <c r="F12" s="1"/>
      <c r="G12" s="1"/>
      <c r="H12" s="1"/>
      <c r="I12" s="1"/>
      <c r="J12" s="1"/>
      <c r="K12" s="18"/>
    </row>
    <row r="13" spans="1:11" ht="20.100000000000001" customHeight="1" x14ac:dyDescent="0.25">
      <c r="A13" s="13"/>
      <c r="C13" s="18"/>
      <c r="D13" s="1"/>
      <c r="E13" s="1"/>
      <c r="F13" s="1"/>
      <c r="G13" s="1"/>
      <c r="H13" s="1"/>
      <c r="I13" s="1"/>
      <c r="J13" s="1"/>
      <c r="K13" s="18"/>
    </row>
    <row r="14" spans="1:11" ht="20.100000000000001" customHeight="1" x14ac:dyDescent="0.25">
      <c r="A14" s="14" t="s">
        <v>2</v>
      </c>
      <c r="C14" s="18"/>
      <c r="D14" s="1"/>
      <c r="E14" s="1"/>
      <c r="F14" s="1"/>
      <c r="G14" s="1"/>
      <c r="H14" s="1"/>
      <c r="I14" s="1"/>
      <c r="J14" s="1"/>
      <c r="K14" s="18"/>
    </row>
    <row r="15" spans="1:11" ht="20.100000000000001" customHeight="1" x14ac:dyDescent="0.25">
      <c r="A15" s="13" t="str">
        <f>HYPERLINK("#'Constants - Wastewater'!A1", "Constants - Wastewater")</f>
        <v>Constants - Wastewater</v>
      </c>
      <c r="C15" s="18"/>
      <c r="D15" s="1"/>
      <c r="E15" s="1"/>
      <c r="F15" s="1"/>
      <c r="G15" s="1"/>
      <c r="H15" s="1"/>
      <c r="I15" s="1"/>
      <c r="J15" s="1"/>
      <c r="K15" s="18"/>
    </row>
    <row r="16" spans="1:11" ht="20.100000000000001" customHeight="1" x14ac:dyDescent="0.25">
      <c r="A16" s="13" t="str">
        <f>HYPERLINK("#'Constants - Common'!A1", "Constants - Common")</f>
        <v>Constants - Common</v>
      </c>
      <c r="C16" s="18"/>
      <c r="D16" s="1"/>
      <c r="E16" s="1"/>
      <c r="F16" s="1"/>
      <c r="G16" s="1"/>
      <c r="H16" s="1"/>
      <c r="I16" s="1"/>
      <c r="J16" s="1"/>
      <c r="K16" s="18"/>
    </row>
    <row r="17" spans="1:11" ht="20.100000000000001" customHeight="1" x14ac:dyDescent="0.25">
      <c r="C17" s="18"/>
      <c r="D17" s="1"/>
      <c r="E17" s="1"/>
      <c r="F17" s="1"/>
      <c r="G17" s="1"/>
      <c r="H17" s="1"/>
      <c r="I17" s="1"/>
      <c r="J17" s="1"/>
      <c r="K17" s="18"/>
    </row>
    <row r="18" spans="1:11" ht="20.100000000000001" customHeight="1" x14ac:dyDescent="0.25">
      <c r="C18" s="18"/>
      <c r="D18" s="1"/>
      <c r="E18" s="1"/>
      <c r="F18" s="1"/>
      <c r="G18" s="1"/>
      <c r="H18" s="1"/>
      <c r="I18" s="1"/>
      <c r="J18" s="1"/>
      <c r="K18" s="18"/>
    </row>
    <row r="19" spans="1:11" ht="20.100000000000001" customHeight="1" x14ac:dyDescent="0.25">
      <c r="C19" s="18"/>
      <c r="D19" s="1"/>
      <c r="E19" s="1"/>
      <c r="F19" s="1"/>
      <c r="G19" s="1"/>
      <c r="H19" s="1"/>
      <c r="I19" s="1"/>
      <c r="J19" s="1"/>
      <c r="K19" s="18"/>
    </row>
    <row r="20" spans="1:11" ht="20.100000000000001" customHeight="1" x14ac:dyDescent="0.25">
      <c r="C20" s="18"/>
      <c r="D20" s="1"/>
      <c r="E20" s="1"/>
      <c r="F20" s="1"/>
      <c r="G20" s="1"/>
      <c r="H20" s="1"/>
      <c r="I20" s="1"/>
      <c r="J20" s="1"/>
      <c r="K20" s="18"/>
    </row>
    <row r="21" spans="1:11" ht="20.100000000000001" customHeight="1" x14ac:dyDescent="0.25">
      <c r="A21" s="13"/>
      <c r="C21" s="18"/>
      <c r="D21" s="1"/>
      <c r="E21" s="1"/>
      <c r="F21" s="1"/>
      <c r="G21" s="1"/>
      <c r="H21" s="1"/>
      <c r="I21" s="1"/>
      <c r="J21" s="1"/>
      <c r="K21" s="18"/>
    </row>
    <row r="22" spans="1:11" ht="20.100000000000001" customHeight="1" x14ac:dyDescent="0.25">
      <c r="C22" s="18"/>
      <c r="D22" s="1"/>
      <c r="E22" s="1"/>
      <c r="F22" s="1"/>
      <c r="G22" s="1"/>
      <c r="H22" s="1"/>
      <c r="I22" s="1"/>
      <c r="J22" s="1"/>
      <c r="K22" s="18"/>
    </row>
    <row r="23" spans="1:11" ht="20.100000000000001" customHeight="1" x14ac:dyDescent="0.25">
      <c r="A23" s="13"/>
      <c r="C23" s="18"/>
      <c r="D23" s="1"/>
      <c r="E23" s="1"/>
      <c r="F23" s="1"/>
      <c r="G23" s="1"/>
      <c r="H23" s="1"/>
      <c r="I23" s="1"/>
      <c r="J23" s="1"/>
      <c r="K23" s="18"/>
    </row>
    <row r="24" spans="1:11" ht="20.100000000000001" customHeight="1" x14ac:dyDescent="0.25">
      <c r="C24" s="18"/>
      <c r="D24" s="1"/>
      <c r="E24" s="1"/>
      <c r="F24" s="1"/>
      <c r="G24" s="1"/>
      <c r="H24" s="1"/>
      <c r="I24" s="1"/>
      <c r="J24" s="1"/>
      <c r="K24" s="18"/>
    </row>
    <row r="25" spans="1:11" ht="20.100000000000001" customHeight="1" x14ac:dyDescent="0.25">
      <c r="C25" s="18"/>
      <c r="D25" s="1"/>
      <c r="E25" s="1"/>
      <c r="F25" s="1"/>
      <c r="G25" s="1"/>
      <c r="H25" s="1"/>
      <c r="I25" s="1"/>
      <c r="J25" s="1"/>
      <c r="K25" s="18"/>
    </row>
    <row r="26" spans="1:11" ht="20.100000000000001" customHeight="1" x14ac:dyDescent="0.25">
      <c r="C26" s="18"/>
      <c r="D26" s="1"/>
      <c r="E26" s="1"/>
      <c r="F26" s="1"/>
      <c r="G26" s="1"/>
      <c r="H26" s="1"/>
      <c r="I26" s="1"/>
      <c r="J26" s="1"/>
      <c r="K26" s="18"/>
    </row>
    <row r="27" spans="1:11" ht="20.100000000000001" customHeight="1" x14ac:dyDescent="0.25">
      <c r="C27" s="18"/>
      <c r="D27" s="1"/>
      <c r="E27" s="1"/>
      <c r="F27" s="1"/>
      <c r="G27" s="1"/>
      <c r="H27" s="1"/>
      <c r="I27" s="1"/>
      <c r="J27" s="1"/>
      <c r="K27" s="18"/>
    </row>
    <row r="28" spans="1:11" ht="20.100000000000001" customHeight="1" x14ac:dyDescent="0.25">
      <c r="C28" s="18"/>
      <c r="D28" s="1"/>
      <c r="E28" s="1"/>
      <c r="F28" s="1"/>
      <c r="G28" s="1"/>
      <c r="H28" s="1"/>
      <c r="I28" s="1"/>
      <c r="J28" s="1"/>
      <c r="K28" s="18"/>
    </row>
    <row r="29" spans="1:11" ht="20.100000000000001" customHeight="1" x14ac:dyDescent="0.25">
      <c r="C29" s="18"/>
      <c r="D29" s="1"/>
      <c r="E29" s="1"/>
      <c r="F29" s="1"/>
      <c r="G29" s="1"/>
      <c r="H29" s="1"/>
      <c r="I29" s="1"/>
      <c r="J29" s="1"/>
      <c r="K29" s="18"/>
    </row>
    <row r="30" spans="1:11" ht="20.100000000000001" customHeight="1" x14ac:dyDescent="0.25">
      <c r="C30" s="18"/>
      <c r="D30" s="1"/>
      <c r="E30" s="1"/>
      <c r="F30" s="1"/>
      <c r="G30" s="1"/>
      <c r="H30" s="1"/>
      <c r="I30" s="1"/>
      <c r="J30" s="1"/>
      <c r="K30" s="18"/>
    </row>
    <row r="31" spans="1:11" ht="20.100000000000001" customHeight="1" x14ac:dyDescent="0.25">
      <c r="C31" s="18"/>
      <c r="D31" s="1"/>
      <c r="E31" s="1"/>
      <c r="F31" s="1"/>
      <c r="G31" s="1"/>
      <c r="H31" s="1"/>
      <c r="I31" s="1"/>
      <c r="J31" s="1"/>
      <c r="K31" s="18"/>
    </row>
    <row r="32" spans="1:11" ht="20.100000000000001" customHeight="1" x14ac:dyDescent="0.25">
      <c r="C32" s="18"/>
      <c r="D32" s="1"/>
      <c r="E32" s="1"/>
      <c r="F32" s="1"/>
      <c r="G32" s="1"/>
      <c r="H32" s="1"/>
      <c r="I32" s="1"/>
      <c r="J32" s="1"/>
      <c r="K32" s="18"/>
    </row>
    <row r="33" spans="3:11" ht="20.100000000000001" customHeight="1" x14ac:dyDescent="0.25">
      <c r="C33" s="18"/>
      <c r="D33" s="1"/>
      <c r="E33" s="1"/>
      <c r="F33" s="1"/>
      <c r="G33" s="1"/>
      <c r="H33" s="1"/>
      <c r="I33" s="1"/>
      <c r="J33" s="1"/>
      <c r="K33" s="18"/>
    </row>
    <row r="34" spans="3:11" ht="20.100000000000001" customHeight="1" x14ac:dyDescent="0.25">
      <c r="C34" s="18"/>
      <c r="D34" s="1"/>
      <c r="E34" s="1"/>
      <c r="F34" s="1"/>
      <c r="G34" s="1"/>
      <c r="H34" s="1"/>
      <c r="I34" s="1"/>
      <c r="J34" s="1"/>
      <c r="K34" s="18"/>
    </row>
    <row r="35" spans="3:11" ht="20.100000000000001" customHeight="1" x14ac:dyDescent="0.25">
      <c r="C35" s="18"/>
      <c r="D35" s="1"/>
      <c r="E35" s="1"/>
      <c r="F35" s="1"/>
      <c r="G35" s="1"/>
      <c r="H35" s="1"/>
      <c r="I35" s="1"/>
      <c r="J35" s="1"/>
      <c r="K35" s="18"/>
    </row>
    <row r="36" spans="3:11" ht="20.100000000000001" customHeight="1" x14ac:dyDescent="0.25">
      <c r="C36" s="18"/>
      <c r="D36" s="1"/>
      <c r="E36" s="1"/>
      <c r="F36" s="1"/>
      <c r="G36" s="1"/>
      <c r="H36" s="1"/>
      <c r="I36" s="1"/>
      <c r="J36" s="1"/>
      <c r="K36" s="18"/>
    </row>
    <row r="37" spans="3:11" ht="20.100000000000001" customHeight="1" x14ac:dyDescent="0.25">
      <c r="C37" s="18"/>
      <c r="D37" s="1"/>
      <c r="E37" s="1"/>
      <c r="F37" s="1"/>
      <c r="G37" s="1"/>
      <c r="H37" s="1"/>
      <c r="I37" s="1"/>
      <c r="J37" s="1"/>
      <c r="K37" s="18"/>
    </row>
    <row r="38" spans="3:11" ht="20.100000000000001" customHeight="1" x14ac:dyDescent="0.25">
      <c r="C38" s="18"/>
      <c r="D38" s="1"/>
      <c r="E38" s="1"/>
      <c r="F38" s="1"/>
      <c r="G38" s="1"/>
      <c r="H38" s="1"/>
      <c r="I38" s="1"/>
      <c r="J38" s="1"/>
      <c r="K38" s="18"/>
    </row>
    <row r="39" spans="3:11" ht="20.100000000000001" customHeight="1" x14ac:dyDescent="0.25">
      <c r="C39" s="18"/>
      <c r="D39" s="1"/>
      <c r="E39" s="1"/>
      <c r="F39" s="1"/>
      <c r="G39" s="1"/>
      <c r="H39" s="1"/>
      <c r="I39" s="1"/>
      <c r="J39" s="1"/>
      <c r="K39" s="18"/>
    </row>
    <row r="40" spans="3:11" ht="20.100000000000001" customHeight="1" x14ac:dyDescent="0.25">
      <c r="C40" s="18"/>
      <c r="D40" s="1"/>
      <c r="E40" s="1"/>
      <c r="F40" s="1"/>
      <c r="G40" s="1"/>
      <c r="H40" s="1"/>
      <c r="I40" s="1"/>
      <c r="J40" s="1"/>
      <c r="K40" s="18"/>
    </row>
    <row r="41" spans="3:11" ht="20.100000000000001" customHeight="1" x14ac:dyDescent="0.25">
      <c r="C41" s="18"/>
      <c r="D41" s="1"/>
      <c r="E41" s="1"/>
      <c r="F41" s="1"/>
      <c r="G41" s="1"/>
      <c r="H41" s="1"/>
      <c r="I41" s="1"/>
      <c r="J41" s="1"/>
      <c r="K41" s="18"/>
    </row>
    <row r="42" spans="3:11" ht="20.100000000000001" customHeight="1" x14ac:dyDescent="0.25">
      <c r="C42" s="18"/>
      <c r="D42" s="1"/>
      <c r="E42" s="1"/>
      <c r="F42" s="1"/>
      <c r="G42" s="1"/>
      <c r="H42" s="1"/>
      <c r="I42" s="1"/>
      <c r="J42" s="1"/>
      <c r="K42" s="18"/>
    </row>
    <row r="43" spans="3:11" ht="20.100000000000001" customHeight="1" x14ac:dyDescent="0.25">
      <c r="C43" s="18"/>
      <c r="D43" s="1"/>
      <c r="E43" s="1"/>
      <c r="F43" s="1"/>
      <c r="G43" s="1"/>
      <c r="H43" s="1"/>
      <c r="I43" s="1"/>
      <c r="J43" s="1"/>
      <c r="K43" s="18"/>
    </row>
    <row r="44" spans="3:11" ht="20.100000000000001" customHeight="1" x14ac:dyDescent="0.25">
      <c r="C44" s="18"/>
      <c r="D44" s="1"/>
      <c r="E44" s="1"/>
      <c r="F44" s="1"/>
      <c r="G44" s="1"/>
      <c r="H44" s="1"/>
      <c r="I44" s="1"/>
      <c r="J44" s="1"/>
      <c r="K44" s="18"/>
    </row>
    <row r="45" spans="3:11" ht="20.100000000000001" customHeight="1" x14ac:dyDescent="0.25">
      <c r="C45" s="18"/>
      <c r="D45" s="1"/>
      <c r="E45" s="1"/>
      <c r="F45" s="1"/>
      <c r="G45" s="1"/>
      <c r="H45" s="1"/>
      <c r="I45" s="1"/>
      <c r="J45" s="1"/>
      <c r="K45" s="18"/>
    </row>
    <row r="46" spans="3:11" ht="20.100000000000001" customHeight="1" x14ac:dyDescent="0.25">
      <c r="C46" s="18"/>
      <c r="D46" s="1"/>
      <c r="E46" s="1"/>
      <c r="F46" s="1"/>
      <c r="G46" s="1"/>
      <c r="H46" s="1"/>
      <c r="I46" s="1"/>
      <c r="J46" s="1"/>
      <c r="K46" s="18"/>
    </row>
    <row r="47" spans="3:11" ht="20.100000000000001" customHeight="1" x14ac:dyDescent="0.25">
      <c r="C47" s="18"/>
      <c r="D47" s="1"/>
      <c r="E47" s="1"/>
      <c r="F47" s="1"/>
      <c r="G47" s="1"/>
      <c r="H47" s="1"/>
      <c r="I47" s="1"/>
      <c r="J47" s="1"/>
      <c r="K47" s="18"/>
    </row>
    <row r="48" spans="3:11" ht="20.100000000000001" customHeight="1" x14ac:dyDescent="0.25">
      <c r="C48" s="18"/>
      <c r="D48" s="1"/>
      <c r="E48" s="1"/>
      <c r="F48" s="1"/>
      <c r="G48" s="1"/>
      <c r="H48" s="1"/>
      <c r="I48" s="1"/>
      <c r="J48" s="1"/>
      <c r="K48" s="18"/>
    </row>
    <row r="49" spans="3:11" ht="20.100000000000001" customHeight="1" x14ac:dyDescent="0.25">
      <c r="C49" s="18"/>
      <c r="D49" s="1"/>
      <c r="E49" s="1"/>
      <c r="F49" s="1"/>
      <c r="G49" s="1"/>
      <c r="H49" s="1"/>
      <c r="I49" s="1"/>
      <c r="J49" s="1"/>
      <c r="K49" s="18"/>
    </row>
    <row r="50" spans="3:11" ht="20.100000000000001" customHeight="1" x14ac:dyDescent="0.25">
      <c r="C50" s="18"/>
      <c r="D50" s="1"/>
      <c r="E50" s="1"/>
      <c r="F50" s="1"/>
      <c r="G50" s="1"/>
      <c r="H50" s="1"/>
      <c r="I50" s="1"/>
      <c r="J50" s="1"/>
      <c r="K50" s="18"/>
    </row>
    <row r="51" spans="3:11" ht="20.100000000000001" customHeight="1" x14ac:dyDescent="0.25">
      <c r="C51" s="18"/>
      <c r="D51" s="1"/>
      <c r="E51" s="1"/>
      <c r="F51" s="1"/>
      <c r="G51" s="1"/>
      <c r="H51" s="1"/>
      <c r="I51" s="1"/>
      <c r="J51" s="1"/>
      <c r="K51" s="18"/>
    </row>
    <row r="52" spans="3:11" ht="20.100000000000001" customHeight="1" x14ac:dyDescent="0.25">
      <c r="C52" s="18"/>
      <c r="D52" s="1"/>
      <c r="E52" s="1"/>
      <c r="F52" s="1"/>
      <c r="G52" s="1"/>
      <c r="H52" s="1"/>
      <c r="I52" s="1"/>
      <c r="J52" s="1"/>
      <c r="K52" s="18"/>
    </row>
    <row r="53" spans="3:11" ht="20.100000000000001" customHeight="1" x14ac:dyDescent="0.25">
      <c r="C53" s="18"/>
      <c r="D53" s="1"/>
      <c r="E53" s="1"/>
      <c r="F53" s="1"/>
      <c r="G53" s="1"/>
      <c r="H53" s="1"/>
      <c r="I53" s="1"/>
      <c r="J53" s="1"/>
      <c r="K53" s="18"/>
    </row>
    <row r="54" spans="3:11" ht="20.100000000000001" customHeight="1" x14ac:dyDescent="0.25">
      <c r="C54" s="18"/>
      <c r="D54" s="1"/>
      <c r="E54" s="1"/>
      <c r="F54" s="1"/>
      <c r="G54" s="1"/>
      <c r="H54" s="1"/>
      <c r="I54" s="1"/>
      <c r="J54" s="1"/>
      <c r="K54" s="18"/>
    </row>
    <row r="55" spans="3:11" ht="20.100000000000001" customHeight="1" x14ac:dyDescent="0.25">
      <c r="C55" s="18"/>
      <c r="D55" s="1"/>
      <c r="E55" s="1"/>
      <c r="F55" s="1"/>
      <c r="G55" s="1"/>
      <c r="H55" s="1"/>
      <c r="I55" s="1"/>
      <c r="J55" s="1"/>
      <c r="K55" s="18"/>
    </row>
    <row r="56" spans="3:11" ht="20.100000000000001" customHeight="1" x14ac:dyDescent="0.25">
      <c r="C56" s="18"/>
      <c r="D56" s="1"/>
      <c r="E56" s="1"/>
      <c r="F56" s="1"/>
      <c r="G56" s="1"/>
      <c r="H56" s="1"/>
      <c r="I56" s="1"/>
      <c r="J56" s="1"/>
      <c r="K56" s="18"/>
    </row>
    <row r="57" spans="3:11" ht="20.100000000000001" customHeight="1" x14ac:dyDescent="0.25">
      <c r="C57" s="18"/>
      <c r="D57" s="1"/>
      <c r="E57" s="1"/>
      <c r="F57" s="1"/>
      <c r="G57" s="1"/>
      <c r="H57" s="1"/>
      <c r="I57" s="1"/>
      <c r="J57" s="1"/>
      <c r="K57" s="18"/>
    </row>
    <row r="58" spans="3:11" ht="20.100000000000001" customHeight="1" x14ac:dyDescent="0.25">
      <c r="C58" s="18"/>
      <c r="D58" s="1"/>
      <c r="E58" s="24"/>
      <c r="F58" s="23"/>
      <c r="G58" s="18"/>
      <c r="H58" s="18"/>
      <c r="I58" s="18"/>
      <c r="J58" s="18"/>
      <c r="K58" s="18"/>
    </row>
    <row r="59" spans="3:11" ht="20.100000000000001" customHeight="1" x14ac:dyDescent="0.25">
      <c r="C59" s="18"/>
      <c r="D59" s="1"/>
      <c r="E59" s="1"/>
      <c r="F59" s="1"/>
      <c r="G59" s="1"/>
      <c r="H59" s="1"/>
      <c r="I59" s="1"/>
      <c r="J59" s="1"/>
      <c r="K59" s="18"/>
    </row>
    <row r="60" spans="3:11" ht="20.100000000000001" customHeight="1" x14ac:dyDescent="0.25">
      <c r="C60" s="18"/>
      <c r="D60" s="1"/>
      <c r="E60" s="1"/>
      <c r="F60" s="1"/>
      <c r="G60" s="1"/>
      <c r="H60" s="1"/>
      <c r="I60" s="1"/>
      <c r="J60" s="1"/>
      <c r="K60" s="18"/>
    </row>
    <row r="61" spans="3:11" ht="20.100000000000001" customHeight="1" x14ac:dyDescent="0.25">
      <c r="C61" s="18"/>
      <c r="D61" s="1"/>
      <c r="E61" s="1"/>
      <c r="F61" s="1"/>
      <c r="G61" s="1"/>
      <c r="H61" s="1"/>
      <c r="I61" s="1"/>
      <c r="J61" s="1"/>
      <c r="K61" s="18"/>
    </row>
    <row r="62" spans="3:11" ht="20.100000000000001" customHeight="1" x14ac:dyDescent="0.25">
      <c r="C62" s="18"/>
      <c r="D62" s="1"/>
      <c r="E62" s="1"/>
      <c r="F62" s="1"/>
      <c r="G62" s="1"/>
      <c r="H62" s="1"/>
      <c r="I62" s="1"/>
      <c r="J62" s="1"/>
      <c r="K62" s="18"/>
    </row>
    <row r="63" spans="3:11" ht="20.100000000000001" customHeight="1" x14ac:dyDescent="0.25">
      <c r="C63" s="18"/>
      <c r="D63" s="1"/>
      <c r="E63" s="1"/>
      <c r="F63" s="1"/>
      <c r="G63" s="1"/>
      <c r="H63" s="1"/>
      <c r="I63" s="1"/>
      <c r="J63" s="1"/>
      <c r="K63" s="18"/>
    </row>
    <row r="64" spans="3:11" ht="20.100000000000001" customHeight="1" x14ac:dyDescent="0.25">
      <c r="C64" s="18"/>
      <c r="D64" s="1"/>
      <c r="E64" s="1"/>
      <c r="F64" s="1"/>
      <c r="G64" s="1"/>
      <c r="H64" s="1"/>
      <c r="I64" s="1"/>
      <c r="J64" s="1"/>
      <c r="K64" s="18"/>
    </row>
    <row r="65" spans="3:11" ht="20.100000000000001" customHeight="1" x14ac:dyDescent="0.25">
      <c r="C65" s="18"/>
      <c r="D65" s="1"/>
      <c r="E65" s="1"/>
      <c r="F65" s="1"/>
      <c r="G65" s="1"/>
      <c r="H65" s="1"/>
      <c r="I65" s="1"/>
      <c r="J65" s="1"/>
      <c r="K65" s="18"/>
    </row>
    <row r="66" spans="3:11" ht="20.100000000000001" customHeight="1" x14ac:dyDescent="0.25">
      <c r="C66" s="18"/>
      <c r="D66" s="1"/>
      <c r="E66" s="1"/>
      <c r="F66" s="1"/>
      <c r="G66" s="1"/>
      <c r="H66" s="1"/>
      <c r="I66" s="1"/>
      <c r="J66" s="1"/>
      <c r="K66" s="18"/>
    </row>
    <row r="67" spans="3:11" ht="20.100000000000001" customHeight="1" x14ac:dyDescent="0.25">
      <c r="C67" s="18"/>
      <c r="D67" s="1"/>
      <c r="E67" s="1"/>
      <c r="F67" s="1"/>
      <c r="G67" s="1"/>
      <c r="H67" s="1"/>
      <c r="I67" s="1"/>
      <c r="J67" s="1"/>
      <c r="K67" s="18"/>
    </row>
    <row r="68" spans="3:11" ht="20.100000000000001" customHeight="1" x14ac:dyDescent="0.25">
      <c r="C68" s="18"/>
      <c r="D68" s="1"/>
      <c r="E68" s="1"/>
      <c r="F68" s="1"/>
      <c r="G68" s="1"/>
      <c r="H68" s="1"/>
      <c r="I68" s="1"/>
      <c r="J68" s="1"/>
      <c r="K68" s="18"/>
    </row>
    <row r="69" spans="3:11" ht="20.100000000000001" customHeight="1" x14ac:dyDescent="0.25">
      <c r="C69" s="18"/>
      <c r="D69" s="1"/>
      <c r="E69" s="1"/>
      <c r="F69" s="1"/>
      <c r="G69" s="1"/>
      <c r="H69" s="1"/>
      <c r="I69" s="1"/>
      <c r="J69" s="1"/>
      <c r="K69" s="18"/>
    </row>
    <row r="70" spans="3:11" ht="20.100000000000001" customHeight="1" x14ac:dyDescent="0.25">
      <c r="C70" s="18"/>
      <c r="D70" s="1"/>
      <c r="E70" s="1"/>
      <c r="F70" s="1"/>
      <c r="G70" s="1"/>
      <c r="H70" s="1"/>
      <c r="I70" s="1"/>
      <c r="J70" s="1"/>
      <c r="K70" s="18"/>
    </row>
    <row r="71" spans="3:11" ht="20.100000000000001" customHeight="1" x14ac:dyDescent="0.25">
      <c r="C71" s="18"/>
      <c r="D71" s="1"/>
      <c r="E71" s="1"/>
      <c r="F71" s="1"/>
      <c r="G71" s="1"/>
      <c r="H71" s="1"/>
      <c r="I71" s="1"/>
      <c r="J71" s="1"/>
      <c r="K71" s="18"/>
    </row>
    <row r="72" spans="3:11" ht="20.100000000000001" customHeight="1" x14ac:dyDescent="0.25">
      <c r="C72" s="18"/>
      <c r="D72" s="1"/>
      <c r="E72" s="1"/>
      <c r="F72" s="1"/>
      <c r="G72" s="1"/>
      <c r="H72" s="1"/>
      <c r="I72" s="1"/>
      <c r="J72" s="1"/>
      <c r="K72" s="18"/>
    </row>
    <row r="73" spans="3:11" ht="20.100000000000001" customHeight="1" x14ac:dyDescent="0.25">
      <c r="C73" s="18"/>
      <c r="D73" s="1"/>
      <c r="E73" s="1"/>
      <c r="F73" s="1"/>
      <c r="G73" s="1"/>
      <c r="H73" s="1"/>
      <c r="I73" s="1"/>
      <c r="J73" s="1"/>
      <c r="K73" s="18"/>
    </row>
    <row r="74" spans="3:11" ht="20.100000000000001" customHeight="1" x14ac:dyDescent="0.25">
      <c r="C74" s="18"/>
      <c r="D74" s="1"/>
      <c r="E74" s="1"/>
      <c r="F74" s="1"/>
      <c r="G74" s="1"/>
      <c r="H74" s="1"/>
      <c r="I74" s="1"/>
      <c r="J74" s="1"/>
      <c r="K74" s="18"/>
    </row>
    <row r="75" spans="3:11" ht="20.100000000000001" customHeight="1" x14ac:dyDescent="0.25">
      <c r="C75" s="18"/>
      <c r="D75" s="1"/>
      <c r="E75" s="1"/>
      <c r="F75" s="1"/>
      <c r="G75" s="1"/>
      <c r="H75" s="1"/>
      <c r="I75" s="1"/>
      <c r="J75" s="1"/>
      <c r="K75" s="18"/>
    </row>
    <row r="76" spans="3:11" ht="15.75" x14ac:dyDescent="0.25">
      <c r="C76" s="18"/>
      <c r="D76" s="1"/>
      <c r="E76" s="1"/>
      <c r="F76" s="1"/>
      <c r="G76" s="1"/>
      <c r="H76" s="1"/>
      <c r="I76" s="1"/>
      <c r="J76" s="1"/>
      <c r="K76" s="18"/>
    </row>
    <row r="77" spans="3:11" ht="15.75" x14ac:dyDescent="0.25">
      <c r="C77" s="18"/>
      <c r="D77" s="1"/>
      <c r="E77" s="1"/>
      <c r="F77" s="1"/>
      <c r="G77" s="1"/>
      <c r="H77" s="1"/>
      <c r="I77" s="1"/>
      <c r="J77" s="1"/>
      <c r="K77" s="18"/>
    </row>
    <row r="78" spans="3:11" ht="15.75" x14ac:dyDescent="0.25">
      <c r="C78" s="18"/>
      <c r="D78" s="1"/>
      <c r="E78" s="1"/>
      <c r="F78" s="1"/>
      <c r="G78" s="1"/>
      <c r="H78" s="1"/>
      <c r="I78" s="1"/>
      <c r="J78" s="1"/>
      <c r="K78" s="18"/>
    </row>
    <row r="79" spans="3:11" ht="15.75" x14ac:dyDescent="0.25">
      <c r="C79" s="18"/>
      <c r="D79" s="1"/>
      <c r="E79" s="1"/>
      <c r="F79" s="1"/>
      <c r="G79" s="1"/>
      <c r="H79" s="1"/>
      <c r="I79" s="1"/>
      <c r="J79" s="1"/>
      <c r="K79" s="18"/>
    </row>
    <row r="80" spans="3:11" ht="15.75" x14ac:dyDescent="0.25">
      <c r="C80" s="18"/>
      <c r="D80" s="1"/>
      <c r="E80" s="1"/>
      <c r="F80" s="1"/>
      <c r="G80" s="1"/>
      <c r="H80" s="1"/>
      <c r="I80" s="1"/>
      <c r="J80" s="1"/>
      <c r="K80" s="18"/>
    </row>
    <row r="81" spans="3:11" ht="15.75" x14ac:dyDescent="0.25">
      <c r="C81" s="18"/>
      <c r="D81" s="1"/>
      <c r="E81" s="1"/>
      <c r="F81" s="1"/>
      <c r="G81" s="1"/>
      <c r="H81" s="1"/>
      <c r="I81" s="1"/>
      <c r="J81" s="1"/>
      <c r="K81" s="18"/>
    </row>
    <row r="82" spans="3:11" ht="15.75" x14ac:dyDescent="0.25">
      <c r="C82" s="18"/>
      <c r="D82" s="1"/>
      <c r="E82" s="1"/>
      <c r="F82" s="1"/>
      <c r="G82" s="1"/>
      <c r="H82" s="1"/>
      <c r="I82" s="1"/>
      <c r="J82" s="1"/>
      <c r="K82" s="18"/>
    </row>
    <row r="83" spans="3:11" ht="15.75" x14ac:dyDescent="0.25">
      <c r="C83" s="18"/>
      <c r="D83" s="1"/>
      <c r="E83" s="1"/>
      <c r="F83" s="1"/>
      <c r="G83" s="1"/>
      <c r="H83" s="1"/>
      <c r="I83" s="1"/>
      <c r="J83" s="1"/>
      <c r="K83" s="18"/>
    </row>
    <row r="84" spans="3:11" ht="15.75" x14ac:dyDescent="0.25">
      <c r="C84" s="18"/>
      <c r="D84" s="1"/>
      <c r="E84" s="1"/>
      <c r="F84" s="1"/>
      <c r="G84" s="1"/>
      <c r="H84" s="1"/>
      <c r="I84" s="1"/>
      <c r="J84" s="1"/>
      <c r="K84" s="18"/>
    </row>
    <row r="85" spans="3:11" ht="15.75" x14ac:dyDescent="0.25">
      <c r="C85" s="18"/>
      <c r="D85" s="1"/>
      <c r="E85" s="1"/>
      <c r="F85" s="1"/>
      <c r="G85" s="1"/>
      <c r="H85" s="1"/>
      <c r="I85" s="1"/>
      <c r="J85" s="1"/>
      <c r="K85" s="18"/>
    </row>
    <row r="86" spans="3:11" x14ac:dyDescent="0.25">
      <c r="C86" s="18"/>
      <c r="D86" s="18"/>
      <c r="E86" s="18"/>
      <c r="F86" s="18"/>
      <c r="G86" s="18"/>
      <c r="H86" s="18"/>
      <c r="I86" s="18"/>
      <c r="J86" s="18"/>
      <c r="K86" s="18"/>
    </row>
    <row r="87" spans="3:11" x14ac:dyDescent="0.25">
      <c r="C87" s="18"/>
      <c r="D87" s="18"/>
      <c r="E87" s="18"/>
      <c r="F87" s="18"/>
      <c r="G87" s="18"/>
      <c r="H87" s="18"/>
      <c r="I87" s="18"/>
      <c r="J87" s="18"/>
      <c r="K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F7" sqref="F7"/>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123</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91</v>
      </c>
    </row>
    <row r="6" spans="1:10" ht="20.100000000000001" customHeight="1" x14ac:dyDescent="0.25">
      <c r="A6" s="12"/>
    </row>
    <row r="7" spans="1:10" ht="20.100000000000001" customHeight="1" x14ac:dyDescent="0.25">
      <c r="A7" s="16" t="s">
        <v>1</v>
      </c>
      <c r="D7" s="1" t="s">
        <v>117</v>
      </c>
      <c r="F7" s="27" t="s">
        <v>119</v>
      </c>
      <c r="G7" s="70" t="s">
        <v>118</v>
      </c>
    </row>
    <row r="8" spans="1:10" ht="20.100000000000001" customHeight="1" x14ac:dyDescent="0.25">
      <c r="A8" s="41" t="str">
        <f>HYPERLINK("#'Input - Wastewater'!A1", "Wastewater")</f>
        <v>Wastewater</v>
      </c>
      <c r="D8" s="1" t="s">
        <v>93</v>
      </c>
      <c r="F8" s="67">
        <v>1000</v>
      </c>
      <c r="G8" s="70" t="s">
        <v>92</v>
      </c>
    </row>
    <row r="9" spans="1:10" ht="20.100000000000001" customHeight="1" x14ac:dyDescent="0.25">
      <c r="A9" s="13"/>
    </row>
    <row r="10" spans="1:10" ht="20.100000000000001" customHeight="1" x14ac:dyDescent="0.25">
      <c r="A10" s="15" t="s">
        <v>45</v>
      </c>
      <c r="D10" s="69" t="s">
        <v>115</v>
      </c>
    </row>
    <row r="11" spans="1:10" ht="20.100000000000001" customHeight="1" x14ac:dyDescent="0.25">
      <c r="A11" s="13" t="str">
        <f>HYPERLINK("#'11.1.1-2 Wastewater CH4'!A1", "10.1.1-2 Wastewater CH4")</f>
        <v>10.1.1-2 Wastewater CH4</v>
      </c>
    </row>
    <row r="12" spans="1:10" ht="20.100000000000001" customHeight="1" x14ac:dyDescent="0.25">
      <c r="A12" s="13" t="str">
        <f>HYPERLINK("#'11.1.3-4 Wastewater N2O'!A1", "10.1.3-4 Wastewater N2O")</f>
        <v>10.1.3-4 Wastewater N2O</v>
      </c>
      <c r="D12" s="59" t="s">
        <v>116</v>
      </c>
      <c r="E12" s="68"/>
      <c r="F12" s="60"/>
    </row>
    <row r="13" spans="1:10" ht="20.100000000000001" customHeight="1" x14ac:dyDescent="0.25">
      <c r="A13" s="13"/>
    </row>
    <row r="14" spans="1:10" ht="20.100000000000001" customHeight="1" x14ac:dyDescent="0.25">
      <c r="A14" s="14" t="s">
        <v>2</v>
      </c>
      <c r="D14" s="1" t="s">
        <v>94</v>
      </c>
      <c r="F14" s="67">
        <v>0.9</v>
      </c>
      <c r="G14" s="70" t="s">
        <v>95</v>
      </c>
    </row>
    <row r="15" spans="1:10" ht="20.100000000000001" customHeight="1" x14ac:dyDescent="0.25">
      <c r="A15" s="13" t="str">
        <f>HYPERLINK("#'Constants - Wastewater'!A1", "Constants - Wastewater")</f>
        <v>Constants - Wastewater</v>
      </c>
      <c r="D15" s="1" t="s">
        <v>102</v>
      </c>
      <c r="F15" s="67">
        <v>0.5</v>
      </c>
      <c r="G15" s="70" t="s">
        <v>101</v>
      </c>
    </row>
    <row r="16" spans="1:10" ht="20.100000000000001" customHeight="1" x14ac:dyDescent="0.25">
      <c r="A16" s="13" t="str">
        <f>HYPERLINK("#'Constants - Common'!A1", "Constants - Common")</f>
        <v>Constants - Common</v>
      </c>
      <c r="D16" s="1" t="s">
        <v>114</v>
      </c>
      <c r="F16" s="67">
        <v>0.2</v>
      </c>
      <c r="G16" s="70" t="s">
        <v>101</v>
      </c>
    </row>
    <row r="17" spans="1:11" ht="20.100000000000001" customHeight="1" x14ac:dyDescent="0.25">
      <c r="D17" s="1" t="s">
        <v>96</v>
      </c>
      <c r="F17" s="67">
        <v>0.1</v>
      </c>
      <c r="G17" s="70" t="s">
        <v>95</v>
      </c>
    </row>
    <row r="18" spans="1:11" ht="20.100000000000001" customHeight="1" x14ac:dyDescent="0.25"/>
    <row r="19" spans="1:11" ht="20.100000000000001" customHeight="1" x14ac:dyDescent="0.25"/>
    <row r="20" spans="1:11" ht="20.100000000000001" customHeight="1" x14ac:dyDescent="0.25">
      <c r="D20" s="69" t="s">
        <v>113</v>
      </c>
    </row>
    <row r="21" spans="1:11" ht="20.100000000000001" customHeight="1" x14ac:dyDescent="0.25">
      <c r="A21" s="13"/>
    </row>
    <row r="22" spans="1:11" ht="20.100000000000001" customHeight="1" x14ac:dyDescent="0.25">
      <c r="D22" s="59" t="s">
        <v>112</v>
      </c>
      <c r="E22" s="68"/>
      <c r="F22" s="60"/>
    </row>
    <row r="23" spans="1:11" ht="20.100000000000001" customHeight="1" x14ac:dyDescent="0.25">
      <c r="A23" s="13"/>
    </row>
    <row r="24" spans="1:11" ht="20.100000000000001" customHeight="1" x14ac:dyDescent="0.25">
      <c r="D24" s="1" t="s">
        <v>97</v>
      </c>
      <c r="F24" s="67">
        <v>100</v>
      </c>
      <c r="G24" s="70" t="s">
        <v>100</v>
      </c>
    </row>
    <row r="25" spans="1:11" ht="20.100000000000001" customHeight="1" x14ac:dyDescent="0.25">
      <c r="D25" s="1" t="s">
        <v>98</v>
      </c>
      <c r="F25" s="67">
        <v>100</v>
      </c>
      <c r="G25" s="70" t="s">
        <v>100</v>
      </c>
    </row>
    <row r="26" spans="1:11" ht="20.100000000000001" customHeight="1" x14ac:dyDescent="0.25">
      <c r="D26" s="1" t="s">
        <v>99</v>
      </c>
      <c r="F26" s="67">
        <v>100</v>
      </c>
      <c r="G26" s="70" t="s">
        <v>100</v>
      </c>
    </row>
    <row r="27" spans="1:11" ht="20.100000000000001" customHeight="1" x14ac:dyDescent="0.25"/>
    <row r="28" spans="1:11" ht="20.100000000000001" customHeight="1" x14ac:dyDescent="0.25"/>
    <row r="29" spans="1:11" ht="20.100000000000001" customHeight="1" x14ac:dyDescent="0.25">
      <c r="A29" s="13"/>
      <c r="K29" s="46"/>
    </row>
    <row r="30" spans="1:11" ht="20.100000000000001" customHeight="1" x14ac:dyDescent="0.25">
      <c r="A30" s="13"/>
      <c r="K30" s="46"/>
    </row>
    <row r="31" spans="1:11" ht="20.100000000000001" customHeight="1" x14ac:dyDescent="0.25">
      <c r="A31" s="32"/>
      <c r="K31" s="46"/>
    </row>
    <row r="32" spans="1:11" ht="20.100000000000001" customHeight="1" x14ac:dyDescent="0.25">
      <c r="A32" s="32"/>
      <c r="K32" s="46"/>
    </row>
    <row r="33" spans="1:12" ht="20.100000000000001" customHeight="1" x14ac:dyDescent="0.25">
      <c r="A33" s="13"/>
      <c r="K33" s="46"/>
    </row>
    <row r="34" spans="1:12" ht="20.100000000000001" customHeight="1" x14ac:dyDescent="0.25">
      <c r="K34" s="46"/>
    </row>
    <row r="35" spans="1:12" ht="20.100000000000001" customHeight="1" x14ac:dyDescent="0.25"/>
    <row r="36" spans="1:12" ht="20.100000000000001" customHeight="1" x14ac:dyDescent="0.25">
      <c r="L36" s="46"/>
    </row>
    <row r="37" spans="1:12" ht="20.100000000000001" customHeight="1" x14ac:dyDescent="0.25">
      <c r="L37" s="46"/>
    </row>
    <row r="38" spans="1:12" ht="20.100000000000001" customHeight="1" x14ac:dyDescent="0.25">
      <c r="C38" s="45"/>
    </row>
    <row r="39" spans="1:12" ht="20.100000000000001" customHeight="1" x14ac:dyDescent="0.25">
      <c r="A39" s="13"/>
      <c r="C39" s="45"/>
      <c r="J39" s="45"/>
    </row>
    <row r="40" spans="1:12" s="46" customFormat="1" ht="20.100000000000001" customHeight="1" x14ac:dyDescent="0.25">
      <c r="C40" s="1"/>
      <c r="D40" s="1"/>
      <c r="E40" s="1"/>
      <c r="F40" s="1"/>
      <c r="G40" s="1"/>
      <c r="H40" s="1"/>
      <c r="I40" s="1"/>
      <c r="J40" s="1"/>
    </row>
    <row r="41" spans="1:12" s="46" customFormat="1" ht="20.100000000000001" customHeight="1" x14ac:dyDescent="0.25">
      <c r="A41" s="47"/>
      <c r="C41" s="1"/>
      <c r="D41" s="1"/>
      <c r="E41" s="1"/>
      <c r="F41" s="1"/>
      <c r="G41" s="1"/>
      <c r="H41" s="1"/>
      <c r="I41" s="1"/>
      <c r="J41" s="1"/>
      <c r="L41" s="46" t="s">
        <v>85</v>
      </c>
    </row>
    <row r="42" spans="1:12" ht="20.100000000000001" customHeight="1" x14ac:dyDescent="0.25"/>
    <row r="43" spans="1:12" ht="20.100000000000001" customHeight="1" x14ac:dyDescent="0.25"/>
    <row r="44" spans="1:12" ht="20.100000000000001" customHeight="1" x14ac:dyDescent="0.25">
      <c r="A44" s="51"/>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104</v>
      </c>
    </row>
    <row r="55" spans="4:5" ht="20.100000000000001" customHeight="1" x14ac:dyDescent="0.25">
      <c r="E55" s="1" t="s">
        <v>110</v>
      </c>
    </row>
    <row r="56" spans="4:5" ht="20.100000000000001" customHeight="1" x14ac:dyDescent="0.25">
      <c r="D56" s="1" t="s">
        <v>103</v>
      </c>
    </row>
    <row r="57" spans="4:5" ht="20.100000000000001" customHeight="1" x14ac:dyDescent="0.25">
      <c r="D57" s="1">
        <f>F8*(F14*(1-F15)-F17)</f>
        <v>350</v>
      </c>
    </row>
    <row r="58" spans="4:5" ht="20.100000000000001" customHeight="1" x14ac:dyDescent="0.25"/>
    <row r="59" spans="4:5" ht="20.100000000000001" customHeight="1" x14ac:dyDescent="0.25">
      <c r="E59" s="1" t="s">
        <v>110</v>
      </c>
    </row>
    <row r="60" spans="4:5" ht="20.100000000000001" customHeight="1" x14ac:dyDescent="0.25">
      <c r="D60" s="1" t="s">
        <v>105</v>
      </c>
    </row>
    <row r="61" spans="4:5" ht="20.100000000000001" customHeight="1" x14ac:dyDescent="0.25"/>
    <row r="62" spans="4:5" ht="20.100000000000001" customHeight="1" x14ac:dyDescent="0.25">
      <c r="D62" s="1" t="s">
        <v>108</v>
      </c>
    </row>
    <row r="63" spans="4:5" ht="20.100000000000001" customHeight="1" x14ac:dyDescent="0.25"/>
    <row r="64" spans="4:5" ht="20.100000000000001" customHeight="1" x14ac:dyDescent="0.25"/>
    <row r="65" spans="4:5" ht="20.100000000000001" customHeight="1" x14ac:dyDescent="0.25">
      <c r="D65" s="1" t="s">
        <v>107</v>
      </c>
      <c r="E65" s="1" t="s">
        <v>109</v>
      </c>
    </row>
    <row r="66" spans="4:5" ht="20.100000000000001" customHeight="1" x14ac:dyDescent="0.25"/>
    <row r="67" spans="4:5" ht="20.100000000000001" customHeight="1" x14ac:dyDescent="0.25"/>
    <row r="68" spans="4:5" ht="20.100000000000001" customHeight="1" x14ac:dyDescent="0.25">
      <c r="D68" s="1" t="s">
        <v>106</v>
      </c>
    </row>
    <row r="69" spans="4:5" ht="20.100000000000001" customHeight="1" x14ac:dyDescent="0.25"/>
    <row r="70" spans="4:5" ht="20.100000000000001" customHeight="1" x14ac:dyDescent="0.25">
      <c r="D70" s="1" t="s">
        <v>111</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8"/>
    </row>
  </sheetData>
  <conditionalFormatting sqref="D39:H43">
    <cfRule type="cellIs" dxfId="52" priority="1" operator="lessThan">
      <formula>0</formula>
    </cfRule>
  </conditionalFormatting>
  <conditionalFormatting sqref="F148:F149">
    <cfRule type="cellIs" dxfId="51" priority="21" operator="lessThan">
      <formula>0</formula>
    </cfRule>
  </conditionalFormatting>
  <conditionalFormatting sqref="F160:F161">
    <cfRule type="cellIs" dxfId="50" priority="20" operator="lessThan">
      <formula>0</formula>
    </cfRule>
  </conditionalFormatting>
  <conditionalFormatting sqref="F172:F173">
    <cfRule type="cellIs" dxfId="49" priority="19" operator="lessThan">
      <formula>0</formula>
    </cfRule>
  </conditionalFormatting>
  <conditionalFormatting sqref="F260:F261">
    <cfRule type="cellIs" dxfId="48" priority="94" operator="lessThan">
      <formula>0</formula>
    </cfRule>
  </conditionalFormatting>
  <conditionalFormatting sqref="F265:F266">
    <cfRule type="cellIs" dxfId="47" priority="93" operator="lessThan">
      <formula>0</formula>
    </cfRule>
  </conditionalFormatting>
  <conditionalFormatting sqref="F270:F271">
    <cfRule type="cellIs" dxfId="46" priority="92" operator="lessThan">
      <formula>0</formula>
    </cfRule>
  </conditionalFormatting>
  <conditionalFormatting sqref="F294:F295">
    <cfRule type="cellIs" dxfId="45" priority="86" operator="lessThan">
      <formula>0</formula>
    </cfRule>
  </conditionalFormatting>
  <conditionalFormatting sqref="F299:F300">
    <cfRule type="cellIs" dxfId="44" priority="85" operator="lessThan">
      <formula>0</formula>
    </cfRule>
  </conditionalFormatting>
  <conditionalFormatting sqref="F304:F305">
    <cfRule type="cellIs" dxfId="43" priority="84" operator="lessThan">
      <formula>0</formula>
    </cfRule>
  </conditionalFormatting>
  <conditionalFormatting sqref="I65:I69">
    <cfRule type="cellIs" dxfId="42" priority="6" operator="lessThan">
      <formula>0</formula>
    </cfRule>
  </conditionalFormatting>
  <conditionalFormatting sqref="I73 I132">
    <cfRule type="cellIs" dxfId="41" priority="75" operator="lessThan">
      <formula>0</formula>
    </cfRule>
  </conditionalFormatting>
  <conditionalFormatting sqref="I84:I86">
    <cfRule type="cellIs" dxfId="40" priority="5" operator="lessThan">
      <formula>0</formula>
    </cfRule>
  </conditionalFormatting>
  <conditionalFormatting sqref="I90:I93">
    <cfRule type="cellIs" dxfId="39" priority="4" operator="lessThan">
      <formula>0</formula>
    </cfRule>
  </conditionalFormatting>
  <conditionalFormatting sqref="I97:I101">
    <cfRule type="cellIs" dxfId="38" priority="2" operator="lessThan">
      <formula>0</formula>
    </cfRule>
  </conditionalFormatting>
  <conditionalFormatting sqref="J8 I51:I52 H53:H55 I54 I56:I58 I60:I61 I212 I218 E220:G220">
    <cfRule type="cellIs" dxfId="37" priority="80" operator="lessThan">
      <formula>0</formula>
    </cfRule>
  </conditionalFormatting>
  <conditionalFormatting sqref="J37 I45 F136:F137">
    <cfRule type="cellIs" dxfId="36" priority="22" operator="lessThan">
      <formula>0</formula>
    </cfRule>
  </conditionalFormatting>
  <dataValidations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124</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A6" s="12"/>
      <c r="D6" s="4" t="str" cm="1">
        <f t="array" ref="D6">Wastewater_Methane_Equations.VEERG_11_1_1_1__1_MethaneEmissionsFromWastewaterTreatment_Source()</f>
        <v>VEERG 2026: 11.1.1.1, Equation (1)</v>
      </c>
    </row>
    <row r="7" spans="1:12" ht="20.100000000000001" customHeight="1" x14ac:dyDescent="0.25">
      <c r="A7" s="16" t="s">
        <v>1</v>
      </c>
      <c r="D7" s="31"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3" t="str">
        <f>HYPERLINK("#'Input - Wastewater'!A1", "Wastewater")</f>
        <v>Wastewater</v>
      </c>
      <c r="D8" s="10" t="s">
        <v>10</v>
      </c>
      <c r="E8" s="10" t="str" cm="1">
        <f t="array" aca="1" ref="E8" ca="1">Common_InputFunctions.Utility_DisplayFunctionName(E30)</f>
        <v>=Wastewater_Methane_Equations.VEERG_11_1_1_1__1_MethaneEmissionsFromWastewaterTreatment</v>
      </c>
    </row>
    <row r="9" spans="1:12" ht="20.100000000000001" customHeight="1" x14ac:dyDescent="0.25">
      <c r="A9" s="13"/>
    </row>
    <row r="10" spans="1:12" ht="20.100000000000001" customHeight="1" x14ac:dyDescent="0.25">
      <c r="A10" s="15" t="s">
        <v>45</v>
      </c>
    </row>
    <row r="11" spans="1:12" ht="20.100000000000001" customHeight="1" x14ac:dyDescent="0.25">
      <c r="A11" s="65" t="str">
        <f>HYPERLINK("#'11.1.1-2 Wastewater CH4'!A1", "10.1.1-2 Wastewater CH4")</f>
        <v>10.1.1-2 Wastewater CH4</v>
      </c>
      <c r="D11" s="29" t="s">
        <v>13</v>
      </c>
      <c r="E11" s="1" t="str" cm="1">
        <f t="array" ref="E11">Wastewater_Methane_Equations.VEERG_11_1_1_1__1_MethaneEmissionsFromWastewaterTreatment_Variable()</f>
        <v>E_CH4</v>
      </c>
    </row>
    <row r="12" spans="1:12" ht="20.100000000000001" customHeight="1" x14ac:dyDescent="0.25">
      <c r="A12" s="13" t="str">
        <f>HYPERLINK("#'11.1.3-4 Wastewater N2O'!A1", "10.1.3-4 Wastewater N2O")</f>
        <v>10.1.3-4 Wastewater N2O</v>
      </c>
      <c r="D12" s="29" t="s">
        <v>5</v>
      </c>
      <c r="E12" s="30" t="str" cm="1">
        <f t="array" ref="E12">Wastewater_Methane_Equations.VEERG_11_1_1_1__1_MethaneEmissionsFromWastewaterTreatment_Unit()</f>
        <v>t CH4</v>
      </c>
    </row>
    <row r="13" spans="1:12" ht="20.100000000000001" customHeight="1" x14ac:dyDescent="0.25">
      <c r="A13" s="13"/>
    </row>
    <row r="14" spans="1:12" ht="20.100000000000001" customHeight="1" x14ac:dyDescent="0.25">
      <c r="A14" s="14" t="s">
        <v>2</v>
      </c>
      <c r="D14" s="48" t="str" cm="1">
        <f t="array" ref="D14:E28">_xlfn.CHOOSECOLS(Wastewater_Methane_Equations.VEERG_11_1_1_1__1_MethaneEmissionsFromWastewaterTreatment_Arguments(),1,2)</f>
        <v>W_t</v>
      </c>
      <c r="E14" s="50" t="str">
        <v>quantity of wastewater treated at facility type t</v>
      </c>
      <c r="F14" s="64"/>
      <c r="G14" s="49"/>
      <c r="H14" s="48" t="str" cm="1">
        <f t="array" ref="H14:I28">_xlfn.CHOOSECOLS(Wastewater_Methane_Equations.VEERG_11_1_1_1__1_MethaneEmissionsFromWastewaterTreatment_Arguments(),3,4)</f>
        <v>m3</v>
      </c>
      <c r="I14" s="44" t="str">
        <v>Input</v>
      </c>
      <c r="J14" s="48">
        <f>X_Cell_Wastewater_QuantityInM3</f>
        <v>1000</v>
      </c>
    </row>
    <row r="15" spans="1:12" ht="20.100000000000001" customHeight="1" x14ac:dyDescent="0.25">
      <c r="A15" s="13" t="str">
        <f>HYPERLINK("#'Constants - Wastewater'!A1", "Constants - Wastewater")</f>
        <v>Constants - Wastewater</v>
      </c>
      <c r="D15" s="48" t="str">
        <v>COD_in</v>
      </c>
      <c r="E15" s="50" t="str">
        <v>average inlet Chemical Oxygen Demand concentration of wastewater</v>
      </c>
      <c r="F15" s="64"/>
      <c r="G15" s="49"/>
      <c r="H15" s="48" t="str">
        <v>kg COD/m3</v>
      </c>
      <c r="I15" s="44" t="str">
        <v>Input</v>
      </c>
      <c r="J15" s="48">
        <f>X_Cell_Wastewater_InletCOD</f>
        <v>0.9</v>
      </c>
    </row>
    <row r="16" spans="1:12" ht="20.100000000000001" customHeight="1" x14ac:dyDescent="0.25">
      <c r="A16" s="13" t="str">
        <f>HYPERLINK("#'Constants - Common'!A1", "Constants - Common")</f>
        <v>Constants - Common</v>
      </c>
      <c r="D16" s="48" t="str">
        <v>F_sludge</v>
      </c>
      <c r="E16" s="50" t="str">
        <v>fraction of COD removed from wastewater as sludge</v>
      </c>
      <c r="F16" s="64"/>
      <c r="G16" s="49"/>
      <c r="H16" s="48" t="str">
        <v>fraction</v>
      </c>
      <c r="I16" s="44" t="str">
        <v>Input</v>
      </c>
      <c r="J16" s="48">
        <f>X_Cell_Wastewater_FractionCODRemovedAsSludge</f>
        <v>0.5</v>
      </c>
    </row>
    <row r="17" spans="1:10" ht="20.100000000000001" customHeight="1" x14ac:dyDescent="0.25">
      <c r="D17" s="48" t="str">
        <v>COD_out</v>
      </c>
      <c r="E17" s="50" t="str">
        <v>average outlet COD concentration of wastewater</v>
      </c>
      <c r="F17" s="64"/>
      <c r="G17" s="49"/>
      <c r="H17" s="48" t="str">
        <v>kg COD/m3</v>
      </c>
      <c r="I17" s="44" t="str">
        <v>Input</v>
      </c>
      <c r="J17" s="48">
        <f>X_Cell_Wastewater_OutletCOD</f>
        <v>0.1</v>
      </c>
    </row>
    <row r="18" spans="1:10" ht="20.100000000000001" customHeight="1" x14ac:dyDescent="0.25">
      <c r="D18" s="48" t="str">
        <v>CF_ww_t</v>
      </c>
      <c r="E18" s="50" t="str">
        <v>methane correction factor for facility type t used to treat wastewater</v>
      </c>
      <c r="F18" s="64"/>
      <c r="G18" s="49"/>
      <c r="H18" s="48" t="str">
        <v>fraction</v>
      </c>
      <c r="I18" s="43" t="str">
        <v>Constant</v>
      </c>
      <c r="J18" s="48" cm="1">
        <f t="array" ref="J18">Common_InputFunctions.Utility_LookupValueInTableNumber(J28,Table_SourceData_MCF_Wastewater[Facility type t],Table_SourceData_MCF_Wastewater[CFww,t])</f>
        <v>0.3</v>
      </c>
    </row>
    <row r="19" spans="1:10" ht="20.100000000000001" customHeight="1" x14ac:dyDescent="0.25">
      <c r="D19" s="48" t="str">
        <v>EF_ww</v>
      </c>
      <c r="E19" s="50" t="str">
        <v>methane emission factor for wastewater</v>
      </c>
      <c r="F19" s="64"/>
      <c r="G19" s="49"/>
      <c r="H19" s="48" t="str">
        <v>kg CH4/kg COD</v>
      </c>
      <c r="I19" s="43" t="str">
        <v>Constant</v>
      </c>
      <c r="J19" s="48">
        <f>'Constants - Wastewater'!$E$31</f>
        <v>0.25</v>
      </c>
    </row>
    <row r="20" spans="1:10" ht="20.100000000000001" customHeight="1" x14ac:dyDescent="0.25">
      <c r="D20" s="48" t="str">
        <v>F_removed</v>
      </c>
      <c r="E20" s="50" t="str">
        <v>fraction of COD removed from the wastewater treatment facility and transferred elsewhere</v>
      </c>
      <c r="F20" s="64"/>
      <c r="G20" s="49"/>
      <c r="H20" s="48" t="str">
        <v>fraction</v>
      </c>
      <c r="I20" s="44" t="str">
        <v>Input</v>
      </c>
      <c r="J20" s="48">
        <f>X_Cell_Wastewater_FractionCODRemovedAndTransferred</f>
        <v>0.2</v>
      </c>
    </row>
    <row r="21" spans="1:10" ht="20.100000000000001" customHeight="1" x14ac:dyDescent="0.25">
      <c r="A21" s="13"/>
      <c r="D21" s="48" t="str">
        <v>CF_sludge_t</v>
      </c>
      <c r="E21" s="50" t="str">
        <v>methane correction factor for facility type t used to treat sludge</v>
      </c>
      <c r="F21" s="64"/>
      <c r="G21" s="49"/>
      <c r="H21" s="48" t="str">
        <v>fraction</v>
      </c>
      <c r="I21" s="43" t="str">
        <v>Constant</v>
      </c>
      <c r="J21" s="48" cm="1">
        <f t="array" ref="J21">Common_InputFunctions.Utility_LookupValueInTableNumber(J28,Table_SourceData_MCF_Sludge[Facility type t],Table_SourceData_MCF_Sludge[CFsludge,t])</f>
        <v>0.3</v>
      </c>
    </row>
    <row r="22" spans="1:10" ht="20.100000000000001" customHeight="1" x14ac:dyDescent="0.25">
      <c r="D22" s="48" t="str">
        <v>EF_sludge</v>
      </c>
      <c r="E22" s="50" t="str">
        <v>methane emission factor for sludge</v>
      </c>
      <c r="F22" s="64"/>
      <c r="G22" s="49"/>
      <c r="H22" s="48" t="str">
        <v>kg CH4/kg COD</v>
      </c>
      <c r="I22" s="43" t="str">
        <v>Constant</v>
      </c>
      <c r="J22" s="48">
        <f>'Constants - Wastewater'!$E$36</f>
        <v>0.25</v>
      </c>
    </row>
    <row r="23" spans="1:10" ht="20.100000000000001" customHeight="1" x14ac:dyDescent="0.25">
      <c r="A23" s="13"/>
      <c r="D23" s="48" t="str">
        <v>Q_cap</v>
      </c>
      <c r="E23" s="50" t="str">
        <v>quantity of methane in sludge biogas captured for combustion</v>
      </c>
      <c r="F23" s="64"/>
      <c r="G23" s="49"/>
      <c r="H23" s="48" t="str">
        <v>m3 CH4</v>
      </c>
      <c r="I23" s="44" t="str">
        <v>Input</v>
      </c>
      <c r="J23" s="48">
        <f>X_Cell_Wastewater_SludgeMethaneCapturedForCombustion</f>
        <v>100</v>
      </c>
    </row>
    <row r="24" spans="1:10" ht="20.100000000000001" customHeight="1" x14ac:dyDescent="0.25">
      <c r="D24" s="48" t="str">
        <v>Q_flared</v>
      </c>
      <c r="E24" s="50" t="str">
        <v>quantity of methane in sludge biogas flared by the treatment facility</v>
      </c>
      <c r="F24" s="64"/>
      <c r="G24" s="49"/>
      <c r="H24" s="48" t="str">
        <v>m3 CH4</v>
      </c>
      <c r="I24" s="44" t="str">
        <v>Input</v>
      </c>
      <c r="J24" s="48">
        <f>X_Cell_Wastewater_SludgeMethaneFlared</f>
        <v>100</v>
      </c>
    </row>
    <row r="25" spans="1:10" ht="20.100000000000001" customHeight="1" x14ac:dyDescent="0.25">
      <c r="D25" s="48" t="str">
        <v>Q_out</v>
      </c>
      <c r="E25" s="50" t="str">
        <v>quantity of methane in sludge biogas transferred out of the treatment facility</v>
      </c>
      <c r="F25" s="64"/>
      <c r="G25" s="49"/>
      <c r="H25" s="48" t="str">
        <v>m3 CH4</v>
      </c>
      <c r="I25" s="44" t="str">
        <v>Input</v>
      </c>
      <c r="J25" s="48">
        <f>X_Cell_Wastewater_SludgeMethaneTransferred</f>
        <v>100</v>
      </c>
    </row>
    <row r="26" spans="1:10" ht="20.100000000000001" customHeight="1" x14ac:dyDescent="0.25">
      <c r="D26" s="48" t="str">
        <v>EC_flared</v>
      </c>
      <c r="E26" s="50" t="str">
        <v>energy content factor of methane in sludge biogas flared</v>
      </c>
      <c r="F26" s="64"/>
      <c r="G26" s="49"/>
      <c r="H26" s="48" t="str">
        <v>GJ/m3</v>
      </c>
      <c r="I26" s="43" t="str">
        <v>Constant</v>
      </c>
      <c r="J26" s="48">
        <f>'Constants - Wastewater'!$E$41</f>
        <v>3.7699999999999997E-2</v>
      </c>
    </row>
    <row r="27" spans="1:10" ht="20.100000000000001" customHeight="1" x14ac:dyDescent="0.25">
      <c r="D27" s="48" t="str">
        <v>EF_flaredCH4</v>
      </c>
      <c r="E27" s="50" t="str">
        <v>methane emission factor for sludge biogas flared</v>
      </c>
      <c r="F27" s="64"/>
      <c r="G27" s="49"/>
      <c r="H27" s="48" t="str">
        <v>kg CH4/GJ</v>
      </c>
      <c r="I27" s="43" t="str">
        <v>Constant</v>
      </c>
      <c r="J27" s="48">
        <f>'Constants - Wastewater'!$E$46</f>
        <v>0.22889999999999999</v>
      </c>
    </row>
    <row r="28" spans="1:10" ht="20.100000000000001" customHeight="1" x14ac:dyDescent="0.25">
      <c r="D28" s="48" t="str">
        <v>t</v>
      </c>
      <c r="E28" s="50" t="str">
        <v>treatment facility type</v>
      </c>
      <c r="F28" s="64"/>
      <c r="G28" s="49"/>
      <c r="H28" s="48" t="str">
        <v/>
      </c>
      <c r="I28" s="44" t="str">
        <v>Input</v>
      </c>
      <c r="J28" s="48" t="str">
        <f>X_Cell_Wastewater_TreatmentFacilityType</f>
        <v>Unmanaged aerobic treatment</v>
      </c>
    </row>
    <row r="29" spans="1:10" ht="20.100000000000001" customHeight="1" x14ac:dyDescent="0.25"/>
    <row r="30" spans="1:10" ht="20.100000000000001" customHeight="1" x14ac:dyDescent="0.25">
      <c r="D30" s="61" t="s">
        <v>120</v>
      </c>
      <c r="E30" s="63" cm="1">
        <f t="array" ref="E30">Wastewater_Methane_Equations.VEERG_11_1_1_1__1_MethaneEmissionsFromWastewaterTreatment(J14,J15,J16,J17,J18,J19,J20,J21,J22,J23,J24,J25,J26,J27)</f>
        <v>4.7159433000000001E-2</v>
      </c>
      <c r="F30" s="66" t="str">
        <f>$E$12</f>
        <v>t CH4</v>
      </c>
    </row>
    <row r="31" spans="1:10" ht="20.100000000000001" customHeight="1" x14ac:dyDescent="0.25"/>
    <row r="32" spans="1:10" ht="20.100000000000001" customHeight="1" x14ac:dyDescent="0.25">
      <c r="D32" s="71" t="str" cm="1">
        <f t="array" ref="D32:E33">Common_Equations.Common_ConvertCH4ToCO2e_Arguments()</f>
        <v>ECH4</v>
      </c>
      <c r="E32" s="72" t="str">
        <v>Methane emissions (t CH4)</v>
      </c>
      <c r="F32" s="73"/>
      <c r="G32" s="28">
        <f>E30</f>
        <v>4.7159433000000001E-2</v>
      </c>
    </row>
    <row r="33" spans="4:7" ht="20.100000000000001" customHeight="1" x14ac:dyDescent="0.25">
      <c r="D33" s="71" t="str">
        <v>GWPCH4</v>
      </c>
      <c r="E33" s="72" t="str">
        <v>Global warming potential for methane (t CO2-e / t CH4)</v>
      </c>
      <c r="F33" s="73"/>
      <c r="G33" s="28">
        <v>28</v>
      </c>
    </row>
    <row r="34" spans="4:7" ht="20.100000000000001" customHeight="1" x14ac:dyDescent="0.25"/>
    <row r="35" spans="4:7" ht="20.100000000000001" customHeight="1" x14ac:dyDescent="0.25">
      <c r="D35" s="62" t="s">
        <v>121</v>
      </c>
      <c r="E35" s="62" cm="1">
        <f t="array" ref="E35">Common_Equations.Common_ConvertN2OToCO2e(G32,G33)</f>
        <v>1.3204641239999999</v>
      </c>
      <c r="F35" s="74"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dimension ref="A1:J342"/>
  <sheetViews>
    <sheetView showGridLines="0"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3" t="e" vm="1">
        <v>#VALUE!</v>
      </c>
      <c r="C1" s="7" t="s">
        <v>125</v>
      </c>
    </row>
    <row r="2" spans="1:10" s="8" customFormat="1" ht="20.100000000000001" customHeight="1" x14ac:dyDescent="0.25"/>
    <row r="3" spans="1:10" ht="20.100000000000001" customHeight="1" x14ac:dyDescent="0.25">
      <c r="A3" s="13" t="str">
        <f>HYPERLINK("#'Home'!A1", "Home")</f>
        <v>Home</v>
      </c>
      <c r="C3" s="3"/>
      <c r="D3" s="3" t="s">
        <v>49</v>
      </c>
      <c r="E3" s="3"/>
      <c r="F3" s="3"/>
      <c r="G3" s="3"/>
      <c r="H3" s="3"/>
      <c r="I3" s="3"/>
      <c r="J3" s="3"/>
    </row>
    <row r="4" spans="1:10" ht="20.100000000000001" customHeight="1" x14ac:dyDescent="0.25">
      <c r="A4" s="13" t="str">
        <f>HYPERLINK("#'Overview'!A1", "Overview")</f>
        <v>Overview</v>
      </c>
    </row>
    <row r="5" spans="1:10" ht="20.100000000000001" customHeight="1" x14ac:dyDescent="0.25">
      <c r="A5" s="13"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A6" s="12"/>
      <c r="D6" s="4" t="str" cm="1">
        <f t="array" ref="D6">Wastewater_N2O_Equations.VEERG_11_1_3_1__1_NitrousOxideEmissionsFromFlaredBiogas_Source()</f>
        <v>VEERG 2026: 11.1.3.1, Equation (1)</v>
      </c>
    </row>
    <row r="7" spans="1:10" ht="20.100000000000001" customHeight="1" x14ac:dyDescent="0.25">
      <c r="A7" s="16" t="s">
        <v>1</v>
      </c>
      <c r="D7" s="10" t="s">
        <v>10</v>
      </c>
      <c r="E7" s="10" t="str" cm="1">
        <f t="array" aca="1" ref="E7" ca="1">Common_InputFunctions.Utility_DisplayFunctionName(E17)</f>
        <v>=Wastewater_N2O_Equations.VEERG_11_1_3_1__1_NitrousOxideEmissionsFromFlaredBiogas</v>
      </c>
    </row>
    <row r="8" spans="1:10" ht="20.100000000000001" customHeight="1" x14ac:dyDescent="0.25">
      <c r="A8" s="13" t="str">
        <f>HYPERLINK("#'Input - Wastewater'!A1", "Wastewater")</f>
        <v>Wastewater</v>
      </c>
    </row>
    <row r="9" spans="1:10" ht="20.100000000000001" customHeight="1" x14ac:dyDescent="0.25">
      <c r="A9" s="13"/>
    </row>
    <row r="10" spans="1:10" ht="20.100000000000001" customHeight="1" x14ac:dyDescent="0.25">
      <c r="A10" s="15" t="s">
        <v>45</v>
      </c>
      <c r="D10" s="29" t="s">
        <v>13</v>
      </c>
      <c r="E10" s="1" t="str" cm="1">
        <f t="array" ref="E10">Wastewater_N2O_Equations.VEERG_11_1_3_1__1_NitrousOxideEmissionsFromFlaredBiogas_Variable()</f>
        <v>E_N2O</v>
      </c>
    </row>
    <row r="11" spans="1:10" ht="20.100000000000001" customHeight="1" x14ac:dyDescent="0.25">
      <c r="A11" s="13" t="str">
        <f>HYPERLINK("#'11.1.1-2 Wastewater CH4'!A1", "10.1.1-2 Wastewater CH4")</f>
        <v>10.1.1-2 Wastewater CH4</v>
      </c>
      <c r="D11" s="29" t="s">
        <v>5</v>
      </c>
      <c r="E11" s="30" t="str" cm="1">
        <f t="array" ref="E11">Wastewater_N2O_Equations.VEERG_11_1_3_1__1_NitrousOxideEmissionsFromFlaredBiogas_Unit()</f>
        <v>t N2O</v>
      </c>
    </row>
    <row r="12" spans="1:10" ht="20.100000000000001" customHeight="1" x14ac:dyDescent="0.25">
      <c r="A12" s="65" t="str">
        <f>HYPERLINK("#'11.1.3-4 Wastewater N2O'!A1", "10.1.3-4 Wastewater N2O")</f>
        <v>10.1.3-4 Wastewater N2O</v>
      </c>
    </row>
    <row r="13" spans="1:10" ht="20.100000000000001" customHeight="1" x14ac:dyDescent="0.25">
      <c r="A13" s="13"/>
      <c r="D13" s="48" t="str" cm="1">
        <f t="array" ref="D13:E15">_xlfn.CHOOSECOLS(Wastewater_N2O_Equations.VEERG_11_1_3_1__1_NitrousOxideEmissionsFromFlaredBiogas_Arguments(),1,2)</f>
        <v>Q_flared</v>
      </c>
      <c r="E13" s="50" t="str">
        <v>volume of biogas flared</v>
      </c>
      <c r="F13" s="49"/>
      <c r="G13" s="48" t="str" cm="1">
        <f t="array" ref="G13:H15">_xlfn.CHOOSECOLS(Wastewater_N2O_Equations.VEERG_11_1_3_1__1_NitrousOxideEmissionsFromFlaredBiogas_Arguments(),3,4)</f>
        <v>m3</v>
      </c>
      <c r="H13" s="44" t="str">
        <v>Input</v>
      </c>
      <c r="I13" s="48">
        <f>X_Cell_Wastewater_SludgeMethaneFlared</f>
        <v>100</v>
      </c>
    </row>
    <row r="14" spans="1:10" ht="20.100000000000001" customHeight="1" x14ac:dyDescent="0.25">
      <c r="A14" s="14" t="s">
        <v>2</v>
      </c>
      <c r="D14" s="48" t="str">
        <v>EC_flared</v>
      </c>
      <c r="E14" s="50" t="str">
        <v>energy content factor of sludge biogas flared</v>
      </c>
      <c r="F14" s="49"/>
      <c r="G14" s="48" t="str">
        <v>GJ/m3</v>
      </c>
      <c r="H14" s="43" t="str">
        <v>Constant</v>
      </c>
      <c r="I14" s="48">
        <f>'Constants - Wastewater'!E41</f>
        <v>3.7699999999999997E-2</v>
      </c>
    </row>
    <row r="15" spans="1:10" ht="20.100000000000001" customHeight="1" x14ac:dyDescent="0.25">
      <c r="A15" s="13" t="str">
        <f>HYPERLINK("#'Constants - Wastewater'!A1", "Constants - Wastewater")</f>
        <v>Constants - Wastewater</v>
      </c>
      <c r="D15" s="48" t="str">
        <v>EF_flaredN2O</v>
      </c>
      <c r="E15" s="50" t="str">
        <v>nitrous oxide emission factor for flared biogas</v>
      </c>
      <c r="F15" s="49"/>
      <c r="G15" s="48" t="str">
        <v>kg N2O/GJ</v>
      </c>
      <c r="H15" s="43" t="str">
        <v>Constant</v>
      </c>
      <c r="I15" s="48">
        <f>'Constants - Wastewater'!E51</f>
        <v>1.132E-4</v>
      </c>
    </row>
    <row r="16" spans="1:10" ht="20.100000000000001" customHeight="1" x14ac:dyDescent="0.25">
      <c r="A16" s="13" t="str">
        <f>HYPERLINK("#'Constants - Common'!A1", "Constants - Common")</f>
        <v>Constants - Common</v>
      </c>
    </row>
    <row r="17" spans="1:7" ht="20.100000000000001" customHeight="1" x14ac:dyDescent="0.25">
      <c r="D17" s="61" t="s">
        <v>120</v>
      </c>
      <c r="E17" s="63" cm="1">
        <f t="array" ref="E17">Wastewater_N2O_Equations.VEERG_11_1_3_1__1_NitrousOxideEmissionsFromFlaredBiogas(I13,I14,I15)</f>
        <v>4.26764E-7</v>
      </c>
      <c r="F17" s="66" t="str">
        <f>$E$11</f>
        <v>t N2O</v>
      </c>
    </row>
    <row r="18" spans="1:7" ht="20.100000000000001" customHeight="1" x14ac:dyDescent="0.25"/>
    <row r="19" spans="1:7" ht="20.100000000000001" customHeight="1" x14ac:dyDescent="0.25">
      <c r="D19" s="71" t="str" cm="1">
        <f t="array" ref="D19:E20">Common_Equations.Common_ConvertN2OToCO2e_Arguments()</f>
        <v>EN2O</v>
      </c>
      <c r="E19" s="72" t="str">
        <v>Nitrous oxide emissions (t N2O)</v>
      </c>
      <c r="F19" s="73"/>
      <c r="G19" s="28">
        <f>E17</f>
        <v>4.26764E-7</v>
      </c>
    </row>
    <row r="20" spans="1:7" ht="20.100000000000001" customHeight="1" x14ac:dyDescent="0.25">
      <c r="D20" s="71" t="str">
        <v>GWPN2O</v>
      </c>
      <c r="E20" s="72" t="str">
        <v>Global warming potential for nitrous oxide (t CO2-e / t N2O)</v>
      </c>
      <c r="F20" s="73"/>
      <c r="G20" s="28">
        <v>265</v>
      </c>
    </row>
    <row r="21" spans="1:7" ht="20.100000000000001" customHeight="1" x14ac:dyDescent="0.25">
      <c r="A21" s="13"/>
    </row>
    <row r="22" spans="1:7" ht="20.100000000000001" customHeight="1" x14ac:dyDescent="0.25">
      <c r="D22" s="62" t="s">
        <v>121</v>
      </c>
      <c r="E22" s="62" cm="1">
        <f t="array" ref="E22">Common_Equations.Common_ConvertN2OToCO2e(G19,G20)</f>
        <v>1.1309246E-4</v>
      </c>
      <c r="F22" s="74" t="str" cm="1">
        <f t="array" ref="F22">Common_Equations.Common_ConvertN2OToCO2e_Unit()</f>
        <v>t CO2e</v>
      </c>
    </row>
    <row r="23" spans="1:7" ht="20.100000000000001" customHeight="1" x14ac:dyDescent="0.25">
      <c r="A23" s="13"/>
    </row>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2" zoomScaleNormal="100" workbookViewId="0">
      <selection activeCell="F26" sqref="F2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122</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A6" s="12"/>
      <c r="D6" s="4" t="str" cm="1">
        <f t="array" ref="D6">Wastewater_SourceData.Waste_MethaneCorrectionFactorWastewater_Source()</f>
        <v>VEERG 2026: Table A.4.1.3</v>
      </c>
    </row>
    <row r="7" spans="1:35" ht="20.100000000000001" customHeight="1" x14ac:dyDescent="0.25">
      <c r="A7" s="16" t="s">
        <v>1</v>
      </c>
      <c r="D7" s="1" t="str" cm="1">
        <f t="array" ref="D7">Wastewater_SourceData.Waste_MethaneCorrectionFactorWastewater_Variable()</f>
        <v>CFww,t</v>
      </c>
    </row>
    <row r="8" spans="1:35" ht="20.100000000000001" customHeight="1" x14ac:dyDescent="0.25">
      <c r="A8" s="13" t="str">
        <f>HYPERLINK("#'Input - Wastewater'!A1", "Wastewater")</f>
        <v>Wastewater</v>
      </c>
      <c r="D8" s="30" t="str" cm="1">
        <f t="array" ref="D8">Wastewater_SourceData.Waste_MethaneCorrectionFactorWastewater_Unit()</f>
        <v>fraction</v>
      </c>
    </row>
    <row r="9" spans="1:35" ht="20.100000000000001" customHeight="1" x14ac:dyDescent="0.25">
      <c r="A9" s="13"/>
      <c r="D9" s="26" t="s">
        <v>88</v>
      </c>
      <c r="E9" s="26" t="s">
        <v>89</v>
      </c>
    </row>
    <row r="10" spans="1:35" ht="20.100000000000001" customHeight="1" x14ac:dyDescent="0.25">
      <c r="A10" s="15" t="s">
        <v>45</v>
      </c>
      <c r="D10" s="26" t="str" cm="1">
        <f t="array" ref="D10">Common_InputFunctions.Utility_DisplayArrayInTable(Wastewater_SourceData.Waste_MethaneCorrectionFactorWastewater_Data(), Table_SourceData_MCF_Wastewater[[#Headers],[Facility type t]], 0)</f>
        <v>Managed aerobic treatment</v>
      </c>
      <c r="E10" s="26" cm="1">
        <f t="array" ref="E10">Common_InputFunctions.Utility_DisplayArrayInTable(Wastewater_SourceData.Waste_MethaneCorrectionFactorWastewater_Data(), Table_SourceData_MCF_Wastewater[[#Headers],[Facility type t]], 0)</f>
        <v>0</v>
      </c>
    </row>
    <row r="11" spans="1:35" ht="20.100000000000001" customHeight="1" x14ac:dyDescent="0.25">
      <c r="A11" s="13" t="str">
        <f>HYPERLINK("#'11.1.1-2 Wastewater CH4'!A1", "10.1.1-2 Wastewater CH4")</f>
        <v>10.1.1-2 Wastewater CH4</v>
      </c>
      <c r="D11" s="26" t="str" cm="1">
        <f t="array" ref="D11">Common_InputFunctions.Utility_DisplayArrayInTable(Wastewater_SourceData.Waste_MethaneCorrectionFactorWastewater_Data(), Table_SourceData_MCF_Wastewater[[#Headers],[Facility type t]], 0)</f>
        <v>Unmanaged aerobic treatment</v>
      </c>
      <c r="E11" s="26"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tr">
        <f>HYPERLINK("#'11.1.3-4 Wastewater N2O'!A1", "10.1.3-4 Wastewater N2O")</f>
        <v>10.1.3-4 Wastewater N2O</v>
      </c>
      <c r="D12" s="26" t="str" cm="1">
        <f t="array" ref="D12">Common_InputFunctions.Utility_DisplayArrayInTable(Wastewater_SourceData.Waste_MethaneCorrectionFactorWastewater_Data(), Table_SourceData_MCF_Wastewater[[#Headers],[Facility type t]], 0)</f>
        <v>Anaerobic digestor/reactor</v>
      </c>
      <c r="E12" s="26"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3"/>
      <c r="D13" s="26" t="str" cm="1">
        <f t="array" ref="D13">Common_InputFunctions.Utility_DisplayArrayInTable(Wastewater_SourceData.Waste_MethaneCorrectionFactorWastewater_Data(), Table_SourceData_MCF_Wastewater[[#Headers],[Facility type t]], 0)</f>
        <v>Shallow anaerobic lagoon (≤ 2 m)</v>
      </c>
      <c r="E13" s="26"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4" t="s">
        <v>2</v>
      </c>
      <c r="D14" s="26" t="str" cm="1">
        <f t="array" ref="D14">Common_InputFunctions.Utility_DisplayArrayInTable(Wastewater_SourceData.Waste_MethaneCorrectionFactorWastewater_Data(), Table_SourceData_MCF_Wastewater[[#Headers],[Facility type t]], 0)</f>
        <v>Deep anaerobic lagoon (&gt; 2m)</v>
      </c>
      <c r="E14" s="26" cm="1">
        <f t="array" ref="E14">Common_InputFunctions.Utility_DisplayArrayInTable(Wastewater_SourceData.Waste_MethaneCorrectionFactorWastewater_Data(), Table_SourceData_MCF_Wastewater[[#Headers],[Facility type t]], 0)</f>
        <v>0.8</v>
      </c>
    </row>
    <row r="15" spans="1:35" ht="20.100000000000001" customHeight="1" x14ac:dyDescent="0.25">
      <c r="A15" s="58" t="str">
        <f>HYPERLINK("#'Constants - Wastewater'!A1", "Constants - Wastewater")</f>
        <v>Constants - Wastewater</v>
      </c>
    </row>
    <row r="16" spans="1:35" ht="20.100000000000001" customHeight="1" x14ac:dyDescent="0.25">
      <c r="A16" s="13" t="str">
        <f>HYPERLINK("#'Constants - Common'!A1", "Constants - Common")</f>
        <v>Constants - Common</v>
      </c>
    </row>
    <row r="17" spans="1:6" ht="20.100000000000001" customHeight="1" x14ac:dyDescent="0.25">
      <c r="D17" s="5" t="str" cm="1">
        <f t="array" ref="D17">Wastewater_SourceData.Waste_MethaneCorrectionFactorSludge_Title()</f>
        <v>Methane correction factor for treatment facility type t used to treat sludge</v>
      </c>
    </row>
    <row r="18" spans="1:6" ht="20.100000000000001" customHeight="1" x14ac:dyDescent="0.25">
      <c r="D18" s="4" t="str" cm="1">
        <f t="array" ref="D18">Wastewater_SourceData.Waste_MethaneCorrectionFactorSludge_Source()</f>
        <v>VEERG 2026: Table A.4.1.4</v>
      </c>
    </row>
    <row r="19" spans="1:6" ht="20.100000000000001" customHeight="1" x14ac:dyDescent="0.25">
      <c r="D19" s="1" t="str" cm="1">
        <f t="array" ref="D19">Wastewater_SourceData.Waste_MethaneCorrectionFactorSludge_Variable()</f>
        <v>CFsludge,t</v>
      </c>
    </row>
    <row r="20" spans="1:6" ht="20.100000000000001" customHeight="1" x14ac:dyDescent="0.25">
      <c r="D20" s="30" t="str" cm="1">
        <f t="array" ref="D20">Wastewater_SourceData.Waste_MethaneCorrectionFactorSludge_Unit()</f>
        <v>fraction</v>
      </c>
    </row>
    <row r="21" spans="1:6" ht="20.100000000000001" customHeight="1" x14ac:dyDescent="0.25">
      <c r="A21" s="13"/>
      <c r="D21" s="26" t="s">
        <v>88</v>
      </c>
      <c r="E21" s="26" t="s">
        <v>90</v>
      </c>
    </row>
    <row r="22" spans="1:6" ht="20.100000000000001" customHeight="1" x14ac:dyDescent="0.25">
      <c r="D22" s="26" t="str" cm="1">
        <f t="array" ref="D22">Common_InputFunctions.Utility_DisplayArrayInTable(Wastewater_SourceData.Waste_MethaneCorrectionFactorSludge_Data(), Table_SourceData_MCF_Sludge[[#Headers],[Facility type t]], 0)</f>
        <v>Managed aerobic treatment</v>
      </c>
      <c r="E22" s="26" cm="1">
        <f t="array" ref="E22">Common_InputFunctions.Utility_DisplayArrayInTable(Wastewater_SourceData.Waste_MethaneCorrectionFactorSludge_Data(), Table_SourceData_MCF_Sludge[[#Headers],[Facility type t]], 0)</f>
        <v>0</v>
      </c>
    </row>
    <row r="23" spans="1:6" ht="20.100000000000001" customHeight="1" x14ac:dyDescent="0.25">
      <c r="A23" s="13"/>
      <c r="D23" s="26" t="str" cm="1">
        <f t="array" ref="D23">Common_InputFunctions.Utility_DisplayArrayInTable(Wastewater_SourceData.Waste_MethaneCorrectionFactorSludge_Data(), Table_SourceData_MCF_Sludge[[#Headers],[Facility type t]], 0)</f>
        <v>Unmanaged aerobic treatment</v>
      </c>
      <c r="E23" s="26" cm="1">
        <f t="array" ref="E23">Common_InputFunctions.Utility_DisplayArrayInTable(Wastewater_SourceData.Waste_MethaneCorrectionFactorSludge_Data(), Table_SourceData_MCF_Sludge[[#Headers],[Facility type t]], 0)</f>
        <v>0.3</v>
      </c>
    </row>
    <row r="24" spans="1:6" ht="20.100000000000001" customHeight="1" x14ac:dyDescent="0.25">
      <c r="D24" s="26" t="str" cm="1">
        <f t="array" ref="D24">Common_InputFunctions.Utility_DisplayArrayInTable(Wastewater_SourceData.Waste_MethaneCorrectionFactorSludge_Data(), Table_SourceData_MCF_Sludge[[#Headers],[Facility type t]], 0)</f>
        <v>Anaerobic digestor/reactor</v>
      </c>
      <c r="E24" s="26" cm="1">
        <f t="array" ref="E24">Common_InputFunctions.Utility_DisplayArrayInTable(Wastewater_SourceData.Waste_MethaneCorrectionFactorSludge_Data(), Table_SourceData_MCF_Sludge[[#Headers],[Facility type t]], 0)</f>
        <v>0.8</v>
      </c>
    </row>
    <row r="25" spans="1:6" ht="20.100000000000001" customHeight="1" x14ac:dyDescent="0.25">
      <c r="D25" s="26" t="str" cm="1">
        <f t="array" ref="D25">Common_InputFunctions.Utility_DisplayArrayInTable(Wastewater_SourceData.Waste_MethaneCorrectionFactorSludge_Data(), Table_SourceData_MCF_Sludge[[#Headers],[Facility type t]], 0)</f>
        <v>Shallow anaerobic lagoon (≤ 2 m)</v>
      </c>
      <c r="E25" s="26" cm="1">
        <f t="array" ref="E25">Common_InputFunctions.Utility_DisplayArrayInTable(Wastewater_SourceData.Waste_MethaneCorrectionFactorSludge_Data(), Table_SourceData_MCF_Sludge[[#Headers],[Facility type t]], 0)</f>
        <v>0.2</v>
      </c>
    </row>
    <row r="26" spans="1:6" ht="20.100000000000001" customHeight="1" x14ac:dyDescent="0.25">
      <c r="D26" s="26" t="str" cm="1">
        <f t="array" ref="D26">Common_InputFunctions.Utility_DisplayArrayInTable(Wastewater_SourceData.Waste_MethaneCorrectionFactorSludge_Data(), Table_SourceData_MCF_Sludge[[#Headers],[Facility type t]], 0)</f>
        <v>Deep anaerobic lagoon (&gt; 2m)</v>
      </c>
      <c r="E26" s="26"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9" t="str" cm="1">
        <f t="array" ref="D31">Wastewater_SourceData.Waste_MethaneEmissionFactorWastewater_Variable()</f>
        <v>EFww</v>
      </c>
      <c r="E31" s="1" cm="1">
        <f t="array" ref="E31">Wastewater_SourceData.Waste_MethaneEmissionFactorWastewater_Data()</f>
        <v>0.25</v>
      </c>
      <c r="F31" s="30"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9" t="str" cm="1">
        <f t="array" ref="D36">Wastewater_SourceData.Waste_MethaneEmissionFactorSludge_Variable()</f>
        <v>EFsludge</v>
      </c>
      <c r="E36" s="1" cm="1">
        <f t="array" ref="E36">Wastewater_SourceData.Waste_MethaneEmissionFactorSludge_Data()</f>
        <v>0.25</v>
      </c>
      <c r="F36" s="30"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9" t="str" cm="1">
        <f t="array" ref="D41">Wastewater_SourceData.Waste_EnergyContentFactorSludgeBiogasFlared_Variable()</f>
        <v>ECflared</v>
      </c>
      <c r="E41" s="1" cm="1">
        <f t="array" ref="E41">Wastewater_SourceData.Waste_EnergyContentFactorSludgeBiogasFlared_Data()</f>
        <v>3.7699999999999997E-2</v>
      </c>
      <c r="F41" s="30"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9" t="str" cm="1">
        <f t="array" ref="D46">Wastewater_SourceData.Waste_MethaneEmissionFactorSludgeBiogasFlared_Variable()</f>
        <v>EFflared,CH4</v>
      </c>
      <c r="E46" s="1" cm="1">
        <f t="array" ref="E46">Wastewater_SourceData.Waste_MethaneEmissionFactorSludgeBiogasFlared_Data()</f>
        <v>0.22889999999999999</v>
      </c>
      <c r="F46" s="30" t="str" cm="1">
        <f t="array" ref="F46">Wastewater_SourceData.Waste_MethaneEmissionFactorSludgeBiogasFlared_Unit()</f>
        <v>kg CH4 / GJ</v>
      </c>
    </row>
    <row r="47" spans="4:6" ht="20.100000000000001" customHeight="1" x14ac:dyDescent="0.25"/>
    <row r="48" spans="4:6" ht="20.100000000000001" customHeight="1" x14ac:dyDescent="0.25"/>
    <row r="49" spans="1:6" ht="20.100000000000001" customHeight="1" x14ac:dyDescent="0.25">
      <c r="A49" s="51" t="str">
        <f>HYPERLINK("#A1", "▲ Back to top")</f>
        <v>▲ Back to top</v>
      </c>
      <c r="D49" s="5" t="str" cm="1">
        <f t="array" ref="D49">Wastewater_SourceData.Waste_NitrousOxideEmissionFactorSludgeBiogasFlared_Title()</f>
        <v>Nitrous oxide emission factor for sludge biogas flared</v>
      </c>
    </row>
    <row r="50" spans="1:6" ht="20.100000000000001" customHeight="1" x14ac:dyDescent="0.25">
      <c r="D50" s="4" t="str" cm="1">
        <f t="array" ref="D50">Wastewater_SourceData.Waste_NitrousOxideEmissionFactorSludgeBiogasFlared_Source()</f>
        <v>VEERG 2026: 11.2.3 Constants</v>
      </c>
    </row>
    <row r="51" spans="1:6" ht="20.100000000000001" customHeight="1" x14ac:dyDescent="0.25">
      <c r="D51" s="29" t="str" cm="1">
        <f t="array" ref="D51">Wastewater_SourceData.Waste_NitrousOxideEmissionFactorSludgeBiogasFlared_Variable()</f>
        <v>EFflared,N2O</v>
      </c>
      <c r="E51" s="1" cm="1">
        <f t="array" ref="E51">Wastewater_SourceData.Waste_NitrousOxideEmissionFactorSludgeBiogasFlared_Data()</f>
        <v>1.132E-4</v>
      </c>
      <c r="F51" s="30" t="str" cm="1">
        <f t="array" ref="F51">Wastewater_SourceData.Waste_NitrousOxideEmissionFactorSludgeBiogasFlared_Unit()</f>
        <v>kg N2O / GJ</v>
      </c>
    </row>
    <row r="52" spans="1:6" ht="20.100000000000001" customHeight="1" x14ac:dyDescent="0.25"/>
    <row r="53" spans="1:6" ht="20.100000000000001" customHeight="1" x14ac:dyDescent="0.25"/>
    <row r="54" spans="1:6" ht="20.100000000000001" customHeight="1" x14ac:dyDescent="0.25"/>
    <row r="55" spans="1:6" ht="20.100000000000001" customHeight="1" x14ac:dyDescent="0.25"/>
    <row r="56" spans="1:6" ht="20.100000000000001" customHeight="1" x14ac:dyDescent="0.25"/>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1"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0F8D9-C280-49C7-B33D-9DB18A15652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HcAYQB0AGUAc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EALgAxACAATQBlAHQAaABvAGQAIAAxACAALQAgAE0AZQB0AGgAYQBu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EAXwAxAF8AXwAxAF8ATQBlAHQAaABhAG4AZQBFAG0AaQBzAHMAaQBvAG4AcwBGAHIAbwBtAFcAYQBzAHQAZQB3AGEAdABlAHIAVAByAGUAYQB0AG0AZQBuAHQAXABuAE0AZQB0AGgAYQBuAGUAIABlAG0AaQBzAHMAaQBvAG4AcwAgAGYAcgBvAG0AIAB3AGEAcwB0AGUAdwBhAHQAZQByACAAdAByAGUAYQB0AG0AZQBuAHQAXABuAEUAXwBDAEgANABcAG4AdAAgAEMASAA0AFwAbgBFAF8AewBDAEgANAB9AD0AXABcAGYAcgBhAGMAewAxAH0AewAxADAAMAAwAH0AXABcAHQAaQBtAGUAcwBcAFwAbABlAGYAdABbAFwAXABsAGUAZgB0ACgAVwBfAHQAXABcAHQAaQBtAGUAcwBcAFwAbABlAGYAdAAoAEMATwBEAF8AewBpAG4AfQBcAFwAdABpAG0AZQBzACgAMQAtAEYAXwB7AHMAbAB1AGQAZwBlAH0AKQAtAEMATwBEAF8AewBvAHUAdAB9AFwAXAByAGkAZwBoAHQAKQBcAFwAdABpAG0AZQBzACAAQwBGAF8AewB3AHcALAB0AH0AXABcAHQAaQBtAGUAcwAgAEUARgBfAHsAdwB3AH0AXABcAHIAaQBnAGgAdAApACsAXABcAGwAZQBmAHQAKABXAF8AdABcAFwAdABpAG0AZQBzAFwAXABsAGUAZgB0ACgAQwBPAEQAXwB7AGkAbgB9AFwAXAB0AGkAbQBlAHMAKABGAF8AewBzAGwAdQBkAGcAZQB9AC0ARgBfAHsAcgBlAG0AbwB2AGUAZAB9ACkAXABcAHIAaQBnAGgAdAApAFwAXAB0AGkAbQBlAHMAIABDAEYAXwB7AHMAbAB1AGQAZwBlACwAdAB9AFwAXAB0AGkAbQBlAHMAIABFAEYAXwB7AHMAbAB1AGQAZwBlAH0AXABcAHIAaQBnAGgAdAApAC0AXABcAGwAZQBmAHQAKAA2AC4ANwA4ADQAXABcAHQAaQBtAGUAcwAgADEAMABeAHsALQA0AH0AXABcAHQAaQBtAGUAcwAoAFEAXwB7AGMAYQBwAH0AKwBRAF8AewBmAGwAYQByAGUAZAB9ACsAUQBfAHsAbwB1AHQAfQApAFwAXAByAGkAZwBoAHQAKQArAFwAXABsAGUAZgB0ACgAUQBfAHsAZgBsAGEAcgBlAGQAfQBcAFwAdABpAG0AZQBzACAARQBDAF8AewBmAGwAYQByAGUAZAB9AFwAXAB0AGkAbQBlAHMAIABFAEYAXwB7AGYAbABhAHIAZQBkACwAQwBIADQAfQBcAFwAcgBpAGcAaAB0ACkAXABcAHIAaQBnAGgAdABdAFwAbgBXAF8AdAAgAD0AIABxAHUAYQBuAHQAaQB0AHkAIABvAGYAIAB3AGEAcwB0AGUAdwBhAHQAZQByACAAdAByAGUAYQB0AGUAZAAgAGEAdAAgAGYAYQBjAGkAbABpAHQAeQAgAHQAeQBwAGUAIAB0ACAAKABtADMAKQBcAG4AQwBPAEQAXwBpAG4AIAA9ACAAYQB2AGUAcgBhAGcAZQAgAGkAbgBsAGUAdAAgAEMAaABlAG0AaQBjAGEAbAAgAE8AeAB5AGcAZQBuACAARABlAG0AYQBuAGQAIABjAG8AbgBjAGUAbgB0AHIAYQB0AGkAbwBuACAAbwBmACAAdwBhAHMAdABlAHcAYQB0AGUAcgAgACgAawBnACAAQwBPAEQALwBtADMAKQBcAG4ARgBfAHMAbAB1AGQAZwBlACAAPQAgAGYAcgBhAGMAdABpAG8AbgAgAG8AZgAgAEMATwBEACAAcgBlAG0AbwB2AGUAZAAgAGYAcgBvAG0AIAB3AGEAcwB0AGUAdwBhAHQAZQByACAAYQBzACAAcwBsAHUAZABnAGUAXABuAEMATwBEAF8AbwB1AHQAIAA9ACAAYQB2AGUAcgBhAGcAZQAgAG8AdQB0AGwAZQB0ACAAQwBPAEQAIABjAG8AbgBjAGUAbgB0AHIAYQB0AGkAbwBuACAAbwBmACAAdwBhAHMAdABlAHcAYQB0AGUAcgAgACgAawBnACAAQwBPAEQALwBtADMAKQBcAG4AQwBGAF8AdwB3AF8AdAAgAD0AIABtAGUAdABoAGEAbgBlACAAYwBvAHIAcgBlAGMAdABpAG8AbgAgAGYAYQBjAHQAbwByACAAZgBvAHIAIABmAGEAYwBpAGwAaQB0AHkAIAB0AHkAcABlACAAdAAgAHUAcwBlAGQAIAB0AG8AIAB0AHIAZQBhAHQAIAB3AGEAcwB0AGUAdwBhAHQAZQByAFwAbgBFAEYAXwB3AHcAIAA9ACAAbQBlAHQAaABhAG4AZQAgAGUAbQBpAHMAcwBpAG8AbgAgAGYAYQBjAHQAbwByACAAZgBvAHIAIAB3AGEAcwB0AGUAdwBhAHQAZQByACAAKABrAGcAIABDAE8AMgBlAC8AawBnACAAQwBPAEQAKQBcAG4ARgBfAHIAZQBtAG8AdgBlAGQAIAA9ACAAZgByAGEAYwB0AGkAbwBuACAAbwBmACAAQwBPAEQAIAByAGUAbQBvAHYAZQBkACAAZgByAG8AbQAgAHQAaABlACAAdwBhAHMAdABlAHcAYQB0AGUAcgAgAHQAcgBlAGEAdABtAGUAbgB0ACAAZgBhAGMAaQBsAGkAdAB5ACAAYQBuAGQAIAB0AHIAYQBuAHMAZgBlAHIAcgBlAGQAIABlAGwAcwBlAHcAaABlAHIAZQBcAG4AQwBGAF8AcwBsAHUAZABnAGUAXwB0ACAAPQAgAG0AZQB0AGgAYQBuAGUAIABjAG8AcgByAGUAYwB0AGkAbwBuACAAZgBhAGMAdABvAHIAIABmAG8AcgAgAGYAYQBjAGkAbABpAHQAeQAgAHQAeQBwAGUAIAB0ACAAdQBzAGUAZAAgAHQAbwAgAHQAcgBlAGEAdAAgAHMAbAB1AGQAZwBlAFwAbgBFAEYAXwBzAGwAdQBkAGcAZQAgAD0AIABtAGUAdABoAGEAbgBlACAAZQBtAGkAcwBzAGkAbwBuACAAZgBhAGMAdABvAHIAIABmAG8AcgAgAHMAbAB1AGQAZwBlACAAKABrAGcAIABDAE8AMgBlAC8AawBnACAAQwBPAEQAKQBcAG4AUQBfAGMAYQBwACAAPQAgAHEAdQBhAG4AdABpAHQAeQAgAG8AZgAgAG0AZQB0AGgAYQBuAGUAIABpAG4AIABzAGwAdQBkAGcAZQAgAGIAaQBvAGcAYQBzACAAYwBhAHAAdAB1AHIAZQBkACAAZgBvAHIAIABjAG8AbQBiAHUAcwB0AGkAbwBuACAAKABtADMAIABDAEgANAApAFwAbgBRAF8AZgBsAGEAcgBlAGQAIAA9ACAAcQB1AGEAbgB0AGkAdAB5ACAAbwBmACAAbQBlAHQAaABhAG4AZQAgAGkAbgAgAHMAbAB1AGQAZwBlACAAYgBpAG8AZwBhAHMAIABmAGwAYQByAGUAZAAgACgAbQAzACAAQwBIADQAKQBcAG4AUQBfAG8AdQB0ACAAPQAgAHEAdQBhAG4AdABpAHQAeQAgAG8AZgAgAG0AZQB0AGgAYQBuAGUAIABpAG4AIABzAGwAdQBkAGcAZQAgAGIAaQBvAGcAYQBzACAAdAByAGEAbgBzAGYAZQByAHIAZQBkACAAbwB1AHQAIABvAGYAIAB0AGgAZQAgAHQAcgBlAGEAdABtAGUAbgB0ACAAZgBhAGMAaQBsAGkAdAB5ACAAKABtADMAIABDAEgANAApAFwAbgBFAEMAXwBmAGwAYQByAGUAZAAgAD0AIABlAG4AZQByAGcAeQAgAGMAbwBuAHQAZQBuAHQAIABmAGEAYwB0AG8AcgAgAG8AZgAgAG0AZQB0AGgAYQBuAGUAIABpAG4AIABzAGwAdQBkAGcAZQAgAGIAaQBvAGcAYQBzACAAZgBsAGEAcgBlAGQAIAAoAEcASgAvAG0AMwApAFwAbgBFAEYAXwBmAGwAYQByAGUAZABfAEMASAA0ACAAPQAgAG0AZQB0AGgAYQBuAGUAIABlAG0AaQBzAHMAaQBvAG4AIABmAGEAYwB0AG8AcgAgAGYAbwByACAAcwBsAHUAZABnAGUAIABiAGkAbwBnAGEAcwAgAGYAbABhAHIAZQBkACAAKABrAGcAIABDAE8AMgBlAC8ARwBKACkAXABuAC0ALQAtAC0ALQAtAC0ALQAtAC0ALQAtAC0ALQAtAC0ALQAtAC0ALQAtAC0ALQAtAC0ALQAtAC0ALQAtAC0ALQAtAC0ALQAtAC0ALQBcAG4AKgAvAFwAbgBcAG4AVgBFAEUAUgBHAF8AMQAxAF8AMQBfADEAXwAxAF8AXwAxAF8ATQBlAHQAaABhAG4AZQBFAG0AaQBzAHMAaQBvAG4AcwBGAHIAbwBtAFcAYQBzAHQAZQB3AGEAdABlAHIAVAByAGUAYQB0AG0AZQBuAHQAXABuACAAIAA9AEwAQQBNAEIARABBACgAXABuACAAIAAgACAAVwBfAHQALAAgAEMATwBEAF8AaQBuACwAIABGAF8AcwBsAHUAZABnAGUALAAgAEMATwBEAF8AbwB1AHQALAAgAEMARgBfAHcAdwBfAHQALAAgAEUARgBfAHcAdwAsACAARgBfAHIAZQBtAG8AdgBlAGQALAAgAEMARgBfAHMAbAB1AGQAZwBlAF8AdAAsACAARQBGAF8AcwBsAHUAZABnAGUALAAgAFEAXwBjAGEAcAAsACAAUQBfAGYAbABhAHIAZQBkACwAIABRAF8AbwB1AHQALAAgAEUAQwBfAGYAbABhAHIAZQBkACwAIABFAEYAXwBmAGwAYQByAGUAZABDAEgANAAsAFwAbgAgACAAIAAgACgAMQAvADEAMAAwADAAKQAgACoAIAAoACgAVwBfAHQAIAAqACAAKABDAE8ARABfAGkAbgAgACoAIAAoADEAIAAtACAARgBfAHMAbAB1AGQAZwBlACkAIAAtACAAQwBPAEQAXwBvAHUAdAApACAAKgAgAEMARgBfAHcAdwBfAHQAIAAqACAARQBGAF8AdwB3ACkAIAArACAAKABXAF8AdAAgACoAIAAoAEMATwBEAF8AaQBuACAAKgAgACgARgBfAHMAbAB1AGQAZwBlACAALQAgAEYAXwByAGUAbQBvAHYAZQBkACkAKQAgACoAIABDAEYAXwBzAGwAdQBkAGcAZQBfAHQAIAAqACAARQBGAF8AcwBsAHUAZABnAGUAKQAgAC0AIAAoADYALgA3ADgANAAgACoAIAAxADAAXgAtADQAIAAqACAAKABRAF8AYwBhAHAAIAArACAAUQBfAGYAbABhAHIAZQBkACAAKwAgAFEAXwBvAHUAdAApACkAIAArACAAKABRAF8AZgBsAGEAcgBlAGQAIAAqACAAKABFAEMAXwBmAGwAYQByAGUAZAAgACoAIABFAEYAXwBmAGwAYQByAGUAZABDAEgANAApACkAKQBcAG4AIAAgACkAOwBcAG4AXABuAFYARQBFAFIARwBfADEAMQBfADEAXwAxAF8AMQBfAF8AMQBfAE0AZQB0AGgAYQBuAGUARQBtAGkAcwBzAGkAbwBuAHMARgByAG8AbQBXAGEAcwB0AGUAdwBhAHQAZQByAFQAcgBlAGEAdABtAGUAbgB0AF8AVABpAHQAbABlAFwAbgAgACAAPQBMAEEATQBCAEQAQQAoAFwAIgBNAGUAdABoAGEAbgBlACAAZQBtAGkAcwBzAGkAbwBuAHMAIABmAHIAbwBtACAAdwBhAHMAdABlAHcAYQB0AGUAcgAgAHQAcgBlAGEAdABtAGUAbgB0AFwAIgApADsAXABuAFwAbgBWAEUARQBSAEcAXwAxADEAXwAxAF8AMQBfADEAXwBfADEAXwBNAGUAdABoAGEAbgBlAEUAbQBpAHMAcwBpAG8AbgBzAEYAcgBvAG0AVwBhAHMAdABlAHcAYQB0AGUAcgBUAHIAZQBhAHQAbQBlAG4AdABfAFYAYQByAGkAYQBiAGwAZQBcAG4AIAAgAD0ATABBAE0AQgBEAEEAKABcACIARQBfAEMASAA0AFwAIgApADsAXABuAFwAbgBWAEUARQBSAEcAXwAxADEAXwAxAF8AMQBfADEAXwBfADEAXwBNAGUAdABoAGEAbgBlAEUAbQBpAHMAcwBpAG8AbgBzAEYAcgBvAG0AVwBhAHMAdABlAHcAYQB0AGUAcgBUAHIAZQBhAHQAbQBlAG4AdABfAFUAbgBpAHQAXABuACAAIAA9AEwAQQBNAEIARABBACgAXAAiAHQAIABDAEgANABcACIAKQA7AFwAbgBcAG4AVgBFAEUAUgBHAF8AMQAxAF8AMQBfADEAXwAxAF8AXwAxAF8ATQBlAHQAaABhAG4AZQBFAG0AaQBzAHMAaQBvAG4AcwBGAHIAbwBtAFcAYQBzAHQAZQB3AGEAdABlAHIAVAByAGUAYQB0AG0AZQBuAHQAXwBTAG8AdQByAGMAZQBcAG4AIAAgAD0ATABBAE0AQgBEAEEAKABcACIAVgBFAEUAUgBHACAAMgAwADIANgA6ACAAMQAxAC4AMQAuADEALgAxACwAIABFAHEAdQBhAHQAaQBvAG4AIAAoADEAKQBcACIAKQA7AFwAbgBcAG4AVgBFAEUAUgBHAF8AMQAxAF8AMQBfADEAXwAxAF8AXwAxAF8ATQBlAHQAaABhAG4AZQBFAG0AaQBzAHMAaQBvAG4AcwBGAHIAbwBtAFcAYQBzAHQAZQB3AGEAdABlAHIAVAByAGUAYQB0AG0AZQBuAHQAXwBOAEkAUgBSAGUAZgBlAHIAZQBuAGMAZQBcAG4AIAAgAD0ATABBAE0AQgBEAEEAKABcACIATgBhAHQAaQBvAG4AYQBsACAARwByAGUAZQBuAGgAbwB1AHMAZQAgAGEAbgBkACAARQBuAGUAcgBnAHkAIABSAGUAcABvAHIAdABpAG4AZwAgAE0AZQBhAHMAdQByAGUAbQBlAG4AdAAgAEQAZQB0AGUAcgBtAGkAbgBhAHQAaQBvAG4AIAAyADAAMAA4AFwAIgApADsAXABuAFwAbgBWAEUARQBSAEcAXwAxADEAXwAxAF8AMQBfADEAXwBfADEAXwBNAGUAdABoAGEAbgBlAEUAbQBpAHMAcwBpAG8AbgBzAEYAcgBvAG0AVwBhAHMAdABlAHcAYQB0AGUAcgBUAHIAZQBhAHQAbQBlAG4AdABfAEwAYQB0AGUAeABFAHEAdQBhAHQAaQBvAG4AXABuACAAIAA9AEwAQQBNAEIARABBACgAXAAiAEUAXwB7AEMASAA0AH0APQBcAFwAZgByAGEAYwB7ADEAfQB7ADEAMAAwADAAfQBcAFwAdABpAG0AZQBzAFwAXABsAGUAZgB0AHsAXABcAGwAZQBmAHQAewBXAF8AdABcAFwAdABpAG0AZQBzAFwAXABsAGUAZgB0AFsAQwBPAEQAXwB7AGkAbgB9AFwAXAB0AGkAbQBlAHMAKAAxAC0ARgBfAHsAcwBsAHUAZABnAGUAfQApAC0AQwBPAEQAXwB7AG8AdQB0AH0AXABcAHIAaQBnAGgAdABdAFwAXAB0AGkAbQBlAHMAIABDAEYAXwB7AHcAdwAsAHQAfQBcAFwAdABpAG0AZQBzACAARQBGAF8AewB3AHcAfQBcAFwAcgBpAGcAaAB0AH0AKwBcAFwAbABlAGYAdAB7AFcAXwB0AFwAXAB0AGkAbQBlAHMAXABcAGwAZQBmAHQAWwBDAE8ARABfAHsAaQBuAH0AXABcAHQAaQBtAGUAcwAoAEYAXwB7AHMAbAB1AGQAZwBlAH0ALQBGAF8AewByAGUAbQBvAHYAZQBkAH0AKQBcAFwAcgBpAGcAaAB0AF0AXABcAHQAaQBtAGUAcwAgAEMARgBfAHsAcwBsAHUAZABnAGUALAB0AH0AXABcAHQAaQBtAGUAcwAgAEUARgBfAHsAcwBsAHUAZABnAGUAfQBcAFwAcgBpAGcAaAB0AH0ALQBcAFwAbABlAGYAdAB7ADYALgA3ADgANABcAFwAdABpAG0AZQBzACAAMQAwAF4AewAtADQAfQBcAFwAdABpAG0AZQBzACAAXABcAGwAZQBmAHQAWwAgAFEAXwB7AGMAYQBwAH0AKwBRAF8AewBmAGwAYQByAGUAZAB9ACsAUQBfAHsAbwB1AHQAfQBcAFwAcgBpAGcAaAB0AF0AXABcAHIAaQBnAGgAdAB9ACsAXABcAGwAZQBmAHQAewBRAF8AewBmAGwAYQByAGUAZAB9AFwAXAB0AGkAbQBlAHMAIABcAFwAbABlAGYAdABbACAARQBDAF8AewBmAGwAYQByAGUAZAB9AFwAXAB0AGkAbQBlAHMAIABFAEYAXwB7AGYAbABhAHIAZQBkACwAQwBIADQAfQBcAFwAcgBpAGcAaAB0AF0AXABcAHIAaQBnAGgAdAB9AFwAXAByAGkAZwBoAHQAfQBcACIAKQA7AFwAbgBcAG4AVgBFAEUAUgBHAF8AMQAxAF8AMQBfADEAXwAxAF8AXwAxAF8ATQBlAHQAaABhAG4AZQBFAG0AaQBzAHMAaQBvAG4AcwBGAHIAbwBtAFcAYQBzAHQAZQB3AGEAdABlAHIAVAByAGUAYQB0AG0AZQBuAHQAXwBBAHIAZwB1AG0AZQBuAHQAcwBcAG4AIAAgAD0ATABBAE0AQgBEAEEAKABcAG4AIAAgACAAIABNAEEASwBFAEEAUgBSAEEAWQAoADEANQAsACAANAAsAFwAbgAgACAAIAAgACAAIABMAEEATQBCAEQAQQAoAHIALABjACwAXABuACAAIAAgACAAIAAgACAAIABJAE4ARABFAFgAKAB7AFwAbgAgACAAIAAgACAAIAAgACAAIAAgAFwAIgBXAF8AdABcACIALAAgAFwAIgBxAHUAYQBuAHQAaQB0AHkAIABvAGYAIAB3AGEAcwB0AGUAdwBhAHQAZQByACAAdAByAGUAYQB0AGUAZAAgAGEAdAAgAGYAYQBjAGkAbABpAHQAeQAgAHQAeQBwAGUAIAB0AFwAIgAsACAAXAAiAG0AMwBcACIALAAgAFwAIgBJAG4AcAB1AHQAXAAiADsAXABuACAAIAAgACAAIAAgACAAIAAgACAAXAAiAEMATwBEAF8AaQBuAFwAIgAsACAAXAAiAGEAdgBlAHIAYQBnAGUAIABpAG4AbABlAHQAIABDAGgAZQBtAGkAYwBhAGwAIABPAHgAeQBnAGUAbgAgAEQAZQBtAGEAbgBkACAAYwBvAG4AYwBlAG4AdAByAGEAdABpAG8AbgAgAG8AZgAgAHcAYQBzAHQAZQB3AGEAdABlAHIAXAAiACwAIABcACIAawBnACAAQwBPAEQALwBtADMAXAAiACwAIABcACIASQBuAHAAdQB0AFwAIgA7AFwAbgAgACAAIAAgACAAIAAgACAAIAAgAFwAIgBGAF8AcwBsAHUAZABnAGUAXAAiACwAIABcACIAZgByAGEAYwB0AGkAbwBuACAAbwBmACAAQwBPAEQAIAByAGUAbQBvAHYAZQBkACAAZgByAG8AbQAgAHcAYQBzAHQAZQB3AGEAdABlAHIAIABhAHMAIABzAGwAdQBkAGcAZQBcACIALAAgAFwAIgBmAHIAYQBjAHQAaQBvAG4AXAAiACwAIABcACIASQBuAHAAdQB0AFwAIgA7AFwAbgAgACAAIAAgACAAIAAgACAAIAAgAFwAIgBDAE8ARABfAG8AdQB0AFwAIgAsACAAXAAiAGEAdgBlAHIAYQBnAGUAIABvAHUAdABsAGUAdAAgAEMATwBEACAAYwBvAG4AYwBlAG4AdAByAGEAdABpAG8AbgAgAG8AZgAgAHcAYQBzAHQAZQB3AGEAdABlAHIAXAAiACwAIABcACIAawBnACAAQwBPAEQALwBtADMAXAAiACwAIABcACIASQBuAHAAdQB0AFwAIgA7AFwAbgAgACAAIAAgACAAIAAgACAAIAAgAFwAIgBDAEYAXwB3AHcAXwB0AFwAIgAsACAAXAAiAG0AZQB0AGgAYQBuAGUAIABjAG8AcgByAGUAYwB0AGkAbwBuACAAZgBhAGMAdABvAHIAIABmAG8AcgAgAGYAYQBjAGkAbABpAHQAeQAgAHQAeQBwAGUAIAB0ACAAdQBzAGUAZAAgAHQAbwAgAHQAcgBlAGEAdAAgAHcAYQBzAHQAZQB3AGEAdABlAHIAXAAiACwAIABcACIAZgByAGEAYwB0AGkAbwBuAFwAIgAsACAAXAAiAEMAbwBuAHMAdABhAG4AdABcACIAOwBcAG4AIAAgACAAIAAgACAAIAAgACAAIABcACIARQBGAF8AdwB3AFwAIgAsACAAXAAiAG0AZQB0AGgAYQBuAGUAIABlAG0AaQBzAHMAaQBvAG4AIABmAGEAYwB0AG8AcgAgAGYAbwByACAAdwBhAHMAdABlAHcAYQB0AGUAcgBcACIALAAgAFwAIgBrAGcAIABDAEgANAAvAGsAZwAgAEMATwBEAFwAIgAsACAAXAAiAEMAbwBuAHMAdABhAG4AdABcACIAOwBcAG4AIAAgACAAIAAgACAAIAAgACAAIABcACIARgBfAHIAZQBtAG8AdgBlAGQAXAAiACwAIABcACIAZgByAGEAYwB0AGkAbwBuACAAbwBmACAAQwBPAEQAIAByAGUAbQBvAHYAZQBkACAAZgByAG8AbQAgAHQAaABlACAAdwBhAHMAdABlAHcAYQB0AGUAcgAgAHQAcgBlAGEAdABtAGUAbgB0ACAAZgBhAGMAaQBsAGkAdAB5ACAAYQBuAGQAIAB0AHIAYQBuAHMAZgBlAHIAcgBlAGQAIABlAGwAcwBlAHcAaABlAHIAZQBcACIALAAgAFwAIgBmAHIAYQBjAHQAaQBvAG4AXAAiACwAIABcACIASQBuAHAAdQB0AFwAIgA7AFwAbgAgACAAIAAgACAAIAAgACAAIAAgAFwAIgBDAEYAXwBzAGwAdQBkAGcAZQBfAHQAXAAiACwAIABcACIAbQBlAHQAaABhAG4AZQAgAGMAbwByAHIAZQBjAHQAaQBvAG4AIABmAGEAYwB0AG8AcgAgAGYAbwByACAAZgBhAGMAaQBsAGkAdAB5ACAAdAB5AHAAZQAgAHQAIAB1AHMAZQBkACAAdABvACAAdAByAGUAYQB0ACAAcwBsAHUAZABnAGUAXAAiACwAIABcACIAZgByAGEAYwB0AGkAbwBuAFwAIgAsACAAXAAiAEMAbwBuAHMAdABhAG4AdABcACIAOwBcAG4AIAAgACAAIAAgACAAIAAgACAAIABcACIARQBGAF8AcwBsAHUAZABnAGUAXAAiACwAIABcACIAbQBlAHQAaABhAG4AZQAgAGUAbQBpAHMAcwBpAG8AbgAgAGYAYQBjAHQAbwByACAAZgBvAHIAIABzAGwAdQBkAGcAZQBcACIALAAgAFwAIgBrAGcAIABDAEgANAAvAGsAZwAgAEMATwBEAFwAIgAsACAAXAAiAEMAbwBuAHMAdABhAG4AdABcACIAOwBcAG4AIAAgACAAIAAgACAAIAAgACAAIABcACIAUQBfAGMAYQBwAFwAIgAsACAAXAAiAHEAdQBhAG4AdABpAHQAeQAgAG8AZgAgAG0AZQB0AGgAYQBuAGUAIABpAG4AIABzAGwAdQBkAGcAZQAgAGIAaQBvAGcAYQBzACAAYwBhAHAAdAB1AHIAZQBkACAAZgBvAHIAIABjAG8AbQBiAHUAcwB0AGkAbwBuAFwAIgAsACAAXAAiAG0AMwAgAEMASAA0AFwAIgAsACAAXAAiAEkAbgBwAHUAdABcACIAOwBcAG4AIAAgACAAIAAgACAAIAAgACAAIABcACIAUQBfAGYAbABhAHIAZQBkAFwAIgAsACAAXAAiAHEAdQBhAG4AdABpAHQAeQAgAG8AZgAgAG0AZQB0AGgAYQBuAGUAIABpAG4AIABzAGwAdQBkAGcAZQAgAGIAaQBvAGcAYQBzACAAZgBsAGEAcgBlAGQAIABiAHkAIAB0AGgAZQAgAHQAcgBlAGEAdABtAGUAbgB0ACAAZgBhAGMAaQBsAGkAdAB5AFwAIgAsACAAXAAiAG0AMwAgAEMASAA0AFwAIgAsACAAXAAiAEkAbgBwAHUAdABcACIAOwBcAG4AIAAgACAAIAAgACAAIAAgACAAIABcACIAUQBfAG8AdQB0AFwAIgAsACAAXAAiAHEAdQBhAG4AdABpAHQAeQAgAG8AZgAgAG0AZQB0AGgAYQBuAGUAIABpAG4AIABzAGwAdQBkAGcAZQAgAGIAaQBvAGcAYQBzACAAdAByAGEAbgBzAGYAZQByAHIAZQBkACAAbwB1AHQAIABvAGYAIAB0AGgAZQAgAHQAcgBlAGEAdABtAGUAbgB0ACAAZgBhAGMAaQBsAGkAdAB5AFwAIgAsACAAXAAiAG0AMwAgAEMASAA0AFwAIgAsACAAXAAiAEkAbgBwAHUAdABcACIAOwBcAG4AIAAgACAAIAAgACAAIAAgACAAIABcACIARQBDAF8AZgBsAGEAcgBlAGQAXAAiACwAIABcACIAZQBuAGUAcgBnAHkAIABjAG8AbgB0AGUAbgB0ACAAZgBhAGMAdABvAHIAIABvAGYAIABtAGUAdABoAGEAbgBlACAAaQBuACAAcwBsAHUAZABnAGUAIABiAGkAbwBnAGEAcwAgAGYAbABhAHIAZQBkAFwAIgAsACAAXAAiAEcASgAvAG0AMwBcACIALAAgAFwAIgBDAG8AbgBzAHQAYQBuAHQAXAAiADsAXABuACAAIAAgACAAIAAgACAAIAAgACAAXAAiAEUARgBfAGYAbABhAHIAZQBkAEMASAA0AFwAIgAsACAAXAAiAG0AZQB0AGgAYQBuAGUAIABlAG0AaQBzAHMAaQBvAG4AIABmAGEAYwB0AG8AcgAgAGYAbwByACAAcwBsAHUAZABnAGUAIABiAGkAbwBnAGEAcwAgAGYAbABhAHIAZQBkAFwAIgAsACAAXAAiAGsAZwAgAEMASAA0AC8ARwBKAFwAIgAsACAAXAAiAEMAbwBuAHMAdABhAG4AdABcACIAOwBcAG4AIAAgACAAIAAgACAAIAAgACAAIABcACIAdABcACIALAAgAFwAIgB0AHIAZQBhAHQAbQBlAG4AdAAgAGYAYQBjAGkAbABpAHQAeQAgAHQAeQBwAGUAXAAiACwAIABcACIAXAAiACwAIABcACIASQBuAHAAdQB0AFwAIgBcAG4AIAAgACAAIAAgACAAIAAgAH0ALAAgAHIALAAgAGMAKQBcAG4AIAAgACAAIAAgACAAKQBcAG4AIAAgACAAIAApAFwAbgAgACAAKQA7AFwAbgBcAG4AXABuAFYARQBFAFIARwBfADEAMQBfADEAXwAxAF8AMQBfAF8AMQBfAE0AZQB0AGgAYQBuAGUARQBtAGkAcwBzAGkAbwBuAHMARgByAG8AbQBXAGEAcwB0AGUAdwBhAHQAZQByAFQAcgBlAGEAdABtAGUAbgB0AF8AVgBhAHIAaQBhAHQAaQBvAG4AXABuACAAIAA9AEwAQQBNAEIARABBACgAXAAiAFYAQQBSAEkAQQBUAEkATwBOACAATwBOACAAUwBPAFUAUgBDAEUAOgAgAEMAaABhAG4AZwBlAGQAIAB1AG4AaQB0AHMAIABvAGYAIABFAEYAXwB3AHcALAAgAEUARgBfAFMAbAB1AGQAZwBlACAAYQBuAGQAIABFAEYAXwBmAGwAYQByAGUAZAAgAGYAcgBvAG0AIABDAE8AMgBlACAAdABvACAAQwBIADQAIAB0AG8AIABtAGEAdABjAGgAIABkAGEAdABhACAAaQBuACAAVABhAGIAbABlACAAXAAiACkAOwAiAH0ALAB7ACIAcABhAHQAaAAiADoAIgAvAHAAcgBvAGoAZQBjAHQAcwAvAFcAYQBzAHQAZQB3AGEAdA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UAGEAYgBsAGUAIABBAC4ANAAuADEALgAzADoAIABNAGUAdABoAGEAbgBlACAAYwBvAHIAcgBlAGMAdABpAG8AbgAgAGYAYQBjAHQAbwByACAAZgBvAHIAIAB0AHIAZQBhAHQAbQBlAG4AdAAgAGYAYQBjAGkAbABpAHQAeQAgAHQAeQBwAGUAIAB0ACAAdQBzAGUAZAAgAHQAbwAgAHQAcgBlAGEAdAAgAHcAYQBzAHQAZQB3AGEAdABlAHIAIAAoAGYAcgBhAGMAdABpAG8AbgApACAAKABDAEYAdwB3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VwBhAHMAdABlAHcAYQB0AGUAcgBfAFQAaQB0AGwAZQBcAG4APQBMAEEATQBCAEQAQQAoACgAXAAiAE0AZQB0AGgAYQBuAGUAIABjAG8AcgByAGUAYwB0AGkAbwBuACAAZgBhAGMAdABvAHIAIABmAG8AcgAgAHQAcgBlAGEAdABtAGUAbgB0ACAAZgBhAGMAaQBsAGkAdAB5ACAAdAB5AHAAZQAgAHQAIAB1AHMAZQBkACAAdABvACAAdAByAGUAYQB0ACAAdwBhAHMAdABlAHcAYQB0AGUAcgBcACIAKQApADsAXABuAFwAbgBXAGEAcwB0AGUAXwBNAGUAdABoAGEAbgBlAEMAbwByAHIAZQBjAHQAaQBvAG4ARgBhAGMAdABvAHIAVwBhAHMAdABlAHcAYQB0AGUAcgBfAFYAYQByAGkAYQBiAGwAZQBcAG4APQBMAEEATQBCAEQAQQAoACgAXAAiAEMARgB3AHcALAB0AFwAIgApACkAOwBcAG4AXABuAFcAYQBzAHQAZQBfAE0AZQB0AGgAYQBuAGUAQwBvAHIAcgBlAGMAdABpAG8AbgBGAGEAYwB0AG8AcgBXAGEAcwB0AGUAdwBhAHQAZQByAF8AVQBuAGkAdABcAG4APQBMAEEATQBCAEQAQQAoACgAXAAiAGYAcgBhAGMAdABpAG8AbgBcACIAKQApADsAXABuAFwAbgBXAGEAcwB0AGUAXwBNAGUAdABoAGEAbgBlAEMAbwByAHIAZQBjAHQAaQBvAG4ARgBhAGMAdABvAHIAVwBhAHMAdABlAHcAYQB0AGUAcgBfAFMAbwB1AHIAYwBlAFwAbgA9AEwAQQBNAEIARABBACgAKABcACIAVgBFAEUAUgBHACAAMgAwADIANgA6ACAAVABhAGIAbABlACAAQQAuADQALgAxAC4AMwBcACIAKQApADsAXABuAFwAbgBXAGEAcwB0AGUAXwBNAGUAdABoAGEAbgBlAEMAbwByAHIAZQBjAHQAaQBvAG4ARgBhAGMAdABvAHIAVwBhAHMAdABlAHcAYQB0AGUAcgBfAEQAYQB0AGEAXABuAD0ATABBAE0AQgBEAEEAKABcAG4AIAAgAE0AQQBLAEUAQQBSAFIAQQBZACgANgAsACAAMgAsAFwAbgAgACAAIAAgAEwAQQBNAEIARABBACgAcgAsAGMALABcAG4AIAAgACAAIAAgACAASQBOAEQARQBYACgAewBcAG4AIAAgACAAIAAgACAAIAAgAFwAIgBGAGEAYwBpAGwAaQB0AHkAIAB0AHkAcABlACAAdABcACIALAAgAFwAIgBDAEYAdwB3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cAYQBzAHQAZQB3AGEAdABlAHI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QAOgAgAE0AZQB0AGgAYQBuAGUAIABjAG8AcgByAGUAYwB0AGkAbwBuACAAZgBhAGMAdABvAHIAIABmAG8AcgAgAHQAcgBlAGEAdABtAGUAbgB0ACAAZgBhAGMAaQBsAGkAdAB5ACAAdAB5AHAAZQAgAHQAIAB1AHMAZQBkACAAdABvACAAdAByAGUAYQB0ACAAcwBsAHUAZABnAGUAIAAoAGYAcgBhAGMAdABpAG8AbgApACAAKABDAEYAcwBsAHUAZABnAGUALAB0ACkAXABuAD0APQA9AD0APQA9AD0APQA9AD0APQA9AD0APQA9AD0APQA9AD0APQA9AD0APQA9AD0APQA9AD0APQA9AD0APQA9AD0APQA9AD0APQA9AD0APQA9AD0APQA9AD0APQA9AD0APQA9AD0APQA9AD0APQA9AD0APQA9AD0APQA9AD0APQA9AD0APQA9AD0APQA9AD0APQA9AD0AXABuACoALwBcAG4AXABuAFcAYQBzAHQAZQBfAE0AZQB0AGgAYQBuAGUAQwBvAHIAcgBlAGMAdABpAG8AbgBGAGEAYwB0AG8AcgBTAGwAdQBkAGcAZQBfAFQAaQB0AGwAZQBcAG4APQBMAEEATQBCAEQAQQAoACgAXAAiAE0AZQB0AGgAYQBuAGUAIABjAG8AcgByAGUAYwB0AGkAbwBuACAAZgBhAGMAdABvAHIAIABmAG8AcgAgAHQAcgBlAGEAdABtAGUAbgB0ACAAZgBhAGMAaQBsAGkAdAB5ACAAdAB5AHAAZQAgAHQAIAB1AHMAZQBkACAAdABvACAAdAByAGUAYQB0ACAAcwBsAHUAZABnAGUAXAAiACkAKQA7AFwAbgBcAG4AVwBhAHMAdABlAF8ATQBlAHQAaABhAG4AZQBDAG8AcgByAGUAYwB0AGkAbwBuAEYAYQBjAHQAbwByAFMAbAB1AGQAZwBlAF8AVgBhAHIAaQBhAGIAbABlAFwAbgA9AEwAQQBNAEIARABBACgAKABcACIAQwBGAHMAbAB1AGQAZwBlACwAdABcACIAKQApADsAXABuAFwAbgBXAGEAcwB0AGUAXwBNAGUAdABoAGEAbgBlAEMAbwByAHIAZQBjAHQAaQBvAG4ARgBhAGMAdABvAHIAUwBsAHUAZABnAGUAXwBVAG4AaQB0AFwAbgA9AEwAQQBNAEIARABBACgAKABcACIAZgByAGEAYwB0AGkAbwBuAFwAIgApACkAOwBcAG4AXABuAFcAYQBzAHQAZQBfAE0AZQB0AGgAYQBuAGUAQwBvAHIAcgBlAGMAdABpAG8AbgBGAGEAYwB0AG8AcgBTAGwAdQBkAGcAZQBfAFMAbwB1AHIAYwBlAFwAbgA9AEwAQQBNAEIARABBACgAKABcACIAVgBFAEUAUgBHACAAMgAwADIANgA6ACAAVABhAGIAbABlACAAQQAuADQALgAxAC4ANABcACIAKQApADsAXABuAFwAbgBXAGEAcwB0AGUAXwBNAGUAdABoAGEAbgBlAEMAbwByAHIAZQBjAHQAaQBvAG4ARgBhAGMAdABvAHIAUwBsAHUAZABnAGUAXwBEAGEAdABhAFwAbgA9AEwAQQBNAEIARABBACgAXABuACAAIABNAEEASwBFAEEAUgBSAEEAWQAoADYALAAgADIALABcAG4AIAAgACAAIABMAEEATQBCAEQAQQAoAHIALABjACwAXABuACAAIAAgACAAIAAgAEkATgBEAEUAWAAoAHsAXABuACAAIAAgACAAIAAgACAAIABcACIARgBhAGMAaQBsAGkAdAB5ACAAdAB5AHAAZQAgAHQAXAAiACwAIABcACIAQwBGAHMAbAB1AGQAZwBl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MAbAB1AGQAZwBlAF8AVgBhAHIAaQBhAHQAaQBvAG4AXABuAD0ATABBAE0AQgBEAEEAKAAoAFwAIgBcACIAK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cAYQBzAHQAZQB3AGEAdABlAHIAXwBUAGkAdABsAGUAXABuAD0ATABBAE0AQgBEAEEAKAAoAFwAIgBNAGUAdABoAGEAbgBlACAAZQBtAGkAcwBzAGkAbwBuACAAZgBhAGMAdABvAHIAIABmAG8AcgAgAHcAYQBzAHQAZQB3AGEAdABlAHIAXAAiACkAKQA7AFwAbgBcAG4AVwBhAHMAdABlAF8ATQBlAHQAaABhAG4AZQBFAG0AaQBzAHMAaQBvAG4ARgBhAGMAdABvAHIAVwBhAHMAdABlAHcAYQB0AGUAcgBfAFYAYQByAGkAYQBiAGwAZQBcAG4APQBMAEEATQBCAEQAQQAoACgAXAAiAEUARgB3AHcAXAAiACkAKQA7AFwAbgBcAG4AVwBhAHMAdABlAF8ATQBlAHQAaABhAG4AZQBFAG0AaQBzAHMAaQBvAG4ARgBhAGMAdABvAHIAVwBhAHMAdABlAHcAYQB0AGUAcgBfAFUAbgBpAHQAXABuAD0ATABBAE0AQgBEAEEAKAAoAFwAIgBrAGcAIABDAEgANAAgAC8AIABrAGcAIABDAE8ARABcACIAKQApADsAXABuAFwAbgBXAGEAcwB0AGUAXwBNAGUAdABoAGEAbgBlAEUAbQBpAHMAcwBpAG8AbgBGAGEAYwB0AG8AcgBXAGEAcwB0AGUAdwBhAHQAZQByAF8AUwBvAHUAcgBjAGUAXABuAD0ATABBAE0AQgBEAEEAKAAoAFwAIgBWAEUARQBSAEcAIAAyADAAMgA2ADoAIAAxADEALgAyAC4AMwAgAEMAbwBuAHMAdABhAG4AdABzAFwAIgApACkAOwBcAG4AXABuAFcAYQBzAHQAZQBfAE0AZQB0AGgAYQBuAGUARQBtAGkAcwBzAGkAbwBuAEYAYQBjAHQAbwByAFcAYQBzAHQAZQB3AGEAdABlAHIAXwBEAGEAdABhAFwAbgA9AEwAQQBNAEIARABBACgAIAAwAC4AMgA1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XwBUAGkAdABsAGUAXABuAD0ATABBAE0AQgBEAEEAKAAoAFwAIgBNAGUAdABoAGEAbgBlACAAZQBtAGkAcwBzAGkAbwBuACAAZgBhAGMAdABvAHIAIABmAG8AcgAgAHMAbAB1AGQAZwBlAFwAIgApACkAOwBcAG4AXABuAFcAYQBzAHQAZQBfAE0AZQB0AGgAYQBuAGUARQBtAGkAcwBzAGkAbwBuAEYAYQBjAHQAbwByAFMAbAB1AGQAZwBlAF8AVgBhAHIAaQBhAGIAbABlAFwAbgA9AEwAQQBNAEIARABBACgAKABcACIARQBGAHMAbAB1AGQAZwBlAFwAIgApACkAOwBcAG4AXABuAFcAYQBzAHQAZQBfAE0AZQB0AGgAYQBuAGUARQBtAGkAcwBzAGkAbwBuAEYAYQBjAHQAbwByAFMAbAB1AGQAZwBlAF8AVQBuAGkAdABcAG4APQBMAEEATQBCAEQAQQAoACgAXAAiAGsAZwAgAEMASAA0ACAALwAgAGsAZwAgAEMATwBEAFwAIgApACkAOwBcAG4AXABuAFcAYQBzAHQAZQBfAE0AZQB0AGgAYQBuAGUARQBtAGkAcwBzAGkAbwBuAEYAYQBjAHQAbwByAFMAbAB1AGQAZwBlAF8AUwBvAHUAcgBjAGUAXABuAD0ATABBAE0AQgBEAEEAKAAoAFwAIgBWAEUARQBSAEcAIAAyADAAMgA2ADoAIAAxADEALgAyAC4AMwAgAEMAbwBuAHMAdABhAG4AdABzAFwAIgApACkAOwBcAG4AXABuAFcAYQBzAHQAZQBfAE0AZQB0AGgAYQBuAGUARQBtAGkAcwBzAGkAbwBuAEYAYQBjAHQAbwByAFMAbAB1AGQAZwBlAF8ARABhAHQAYQBcAG4APQBMAEEATQBCAEQAQQAoADAALgAyADUAKQA7AFwAbgBcAG4ALwAqAFwAbgA9AD0APQA9AD0APQA9AD0APQA9AD0APQA9AD0APQA9AD0APQA9AD0APQA9AD0APQA9AD0APQA9AD0APQA9AD0APQA9AD0APQA9AD0APQA9AD0APQA9AD0APQA9AD0APQA9AD0APQA9AD0APQA9AD0APQA9AD0APQA9AD0APQA9AD0APQA9AD0APQA9AD0APQA9AD0APQA9AFwAbgAqAC8AXABuAFwAbgBXAGEAcwB0AGUAXwBFAG4AZQByAGcAeQBDAG8AbgB0AGUAbgB0AEYAYQBjAHQAbwByAFMAbAB1AGQAZwBlAEIAaQBvAGcAYQBzAEYAbABhAHIAZQBkAF8AVABpAHQAbABlAFwAbgA9AEwAQQBNAEIARABBACgAKABcACIARQBuAGUAcgBnAHkAIABjAG8AbgB0AGUAbgB0ACAAZgBhAGMAdABvAHIAIABvAGYAIABzAGwAdQBkAGcAZQAgAGIAaQBvAGcAYQBzACAAZgBsAGEAcgBlAGQAXAAiACkAKQA7AFwAbgBcAG4AVwBhAHMAdABlAF8ARQBuAGUAcgBnAHkAQwBvAG4AdABlAG4AdABGAGEAYwB0AG8AcgBTAGwAdQBkAGcAZQBCAGkAbwBnAGEAcwBGAGwAYQByAGUAZABfAFYAYQByAGkAYQBiAGwAZQBcAG4APQBMAEEATQBCAEQAQQAoACgAXAAiAEUAQwBmAGwAYQByAGUAZABcACIAKQApADsAXABuAFwAbgBXAGEAcwB0AGUAXwBFAG4AZQByAGcAeQBDAG8AbgB0AGUAbgB0AEYAYQBjAHQAbwByAFMAbAB1AGQAZwBlAEIAaQBvAGcAYQBzAEYAbABhAHIAZQBkAF8AVQBuAGkAdABcAG4APQBMAEEATQBCAEQAQQAoACgAXAAiAEcASgAgAC8AIABtADMAXAAiACkAKQA7AFwAbgBcAG4AVwBhAHMAdABlAF8ARQBuAGUAcgBnAHkAQwBvAG4AdABlAG4AdABGAGEAYwB0AG8AcgBTAGwAdQBkAGcAZQBCAGkAbwBnAGEAcwBGAGwAYQByAGUAZABfAFMAbwB1AHIAYwBlAFwAbgA9AEwAQQBNAEIARABBACgAKABcACIAVgBFAEUAUgBHACAAMgAwADIANgA6ACAAMQAxAC4AMgAuADMAIABDAG8AbgBzAHQAYQBuAHQAcwBcACIAKQApADsAXABuAFwAbgBXAGEAcwB0AGUAXwBFAG4AZQByAGcAeQBDAG8AbgB0AGUAbgB0AEYAYQBjAHQAbwByAFMAbAB1AGQAZwBlAEIAaQBvAGcAYQBzAEYAbABhAHIAZQBkAF8ARABhAHQAYQBcAG4APQBMAEEATQBCAEQAQQAoADAALgAwADMANwA3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QgBpAG8AZwBhAHMARgBsAGEAcgBlAGQAXwBUAGkAdABsAGUAXABuAD0ATABBAE0AQgBEAEEAKAAoAFwAIgBNAGUAdABoAGEAbgBlACAAZQBtAGkAcwBzAGkAbwBuACAAZgBhAGMAdABvAHIAIABmAG8AcgAgAHMAbAB1AGQAZwBlACAAYgBpAG8AZwBhAHMAIABmAGwAYQByAGUAZABcACIAKQApADsAXABuAFwAbgBXAGEAcwB0AGUAXwBNAGUAdABoAGEAbgBlAEUAbQBpAHMAcwBpAG8AbgBGAGEAYwB0AG8AcgBTAGwAdQBkAGcAZQBCAGkAbwBnAGEAcwBGAGwAYQByAGUAZABfAFYAYQByAGkAYQBiAGwAZQBcAG4APQBMAEEATQBCAEQAQQAoACgAXAAiAEUARgBmAGwAYQByAGUAZAAsAEMASAA0AFwAIgApACkAOwBcAG4AXABuAFcAYQBzAHQAZQBfAE0AZQB0AGgAYQBuAGUARQBtAGkAcwBzAGkAbwBuAEYAYQBjAHQAbwByAFMAbAB1AGQAZwBlAEIAaQBvAGcAYQBzAEYAbABhAHIAZQBkAF8AVQBuAGkAdABcAG4APQBMAEEATQBCAEQAQQAoACgAXAAiAGsAZwAgAEMASAA0ACAALwAgAEcASgBcACIAKQApADsAXABuAFwAbgBXAGEAcwB0AGUAXwBNAGUAdABoAGEAbgBlAEUAbQBpAHMAcwBpAG8AbgBGAGEAYwB0AG8AcgBTAGwAdQBkAGcAZQBCAGkAbwBnAGEAcwBGAGwAYQByAGUAZABfAFMAbwB1AHIAYwBlAFwAbgA9AEwAQQBNAEIARABBACgAKABcACIAVgBFAEUAUgBHACAAMgAwADIANgA6ACAAMQAxAC4AMgAuADMAIABDAG8AbgBzAHQAYQBuAHQAcwBcACIAKQApADsAXABuAFwAbgBXAGEAcwB0AGUAXwBNAGUAdABoAGEAbgBlAEUAbQBpAHMAcwBpAG8AbgBGAGEAYwB0AG8AcgBTAGwAdQBkAGcAZQBCAGkAbwBnAGEAcwBGAGwAYQByAGUAZABfAEQAYQB0AGEAXABuAD0ATABBAE0AQgBEAEEAKAAwAC4AMgAyADgAOQApADsAXABuAFwAbgAvACoAXABuAD0APQA9AD0APQA9AD0APQA9AD0APQA9AD0APQA9AD0APQA9AD0APQA9AD0APQA9AD0APQA9AD0APQA9AD0APQA9AD0APQA9AD0APQA9AD0APQA9AD0APQA9AD0APQA9AD0APQA9AD0APQA9AD0APQA9AD0APQA9AD0APQA9AD0APQA9AD0APQA9AD0APQA9AD0APQA9AD0AXABuACoALwBcAG4AXABuAFcAYQBzAHQAZQBfAE4AaQB0AHIAbwB1AHMATwB4AGkAZABlAEUAbQBpAHMAcwBpAG8AbgBGAGEAYwB0AG8AcgBTAGwAdQBkAGcAZQBCAGkAbwBnAGEAcwBGAGwAYQByAGUAZABfAFQAaQB0AGwAZQBcAG4APQBMAEEATQBCAEQAQQAoACgAXAAiAE4AaQB0AHIAbwB1AHMAIABvAHgAaQBkAGUAIABlAG0AaQBzAHMAaQBvAG4AIABmAGEAYwB0AG8AcgAgAGYAbwByACAAcwBsAHUAZABnAGUAIABiAGkAbwBnAGEAcwAgAGYAbABhAHIAZQBkAFwAIgApACkAOwBcAG4AXABuAFcAYQBzAHQAZQBfAE4AaQB0AHIAbwB1AHMATwB4AGkAZABlAEUAbQBpAHMAcwBpAG8AbgBGAGEAYwB0AG8AcgBTAGwAdQBkAGcAZQBCAGkAbwBnAGEAcwBGAGwAYQByAGUAZABfAFYAYQByAGkAYQBiAGwAZQBcAG4APQBMAEEATQBCAEQAQQAoACgAXAAiAEUARgBmAGwAYQByAGUAZAAsAE4AMgBPAFwAIgApACkAOwBcAG4AXABuAFcAYQBzAHQAZQBfAE4AaQB0AHIAbwB1AHMATwB4AGkAZABlAEUAbQBpAHMAcwBpAG8AbgBGAGEAYwB0AG8AcgBTAGwAdQBkAGcAZQBCAGkAbwBnAGEAcwBGAGwAYQByAGUAZABfAFUAbgBpAHQAXABuAD0ATABBAE0AQgBEAEEAKAAoAFwAIgBrAGcAIABOADIATwAgAC8AIABHAEoAXAAiACkAKQA7AFwAbgBcAG4AVwBhAHMAdABlAF8ATgBpAHQAcgBvAHUAcwBPAHgAaQBkAGUARQBtAGkAcwBzAGkAbwBuAEYAYQBjAHQAbwByAFMAbAB1AGQAZwBlAEIAaQBvAGcAYQBzAEYAbABhAHIAZQBkAF8AUwBvAHUAcgBjAGUAXABuAD0ATABBAE0AQgBEAEEAKAAoAFwAIgBWAEUARQBSAEcAIAAyADAAMgA2ADoAIAAxADEALgAyAC4AMwAgAEMAbwBuAHMAdABhAG4AdABzAFwAIgApACkAOwBcAG4AXABuAFcAYQBzAHQAZQBfAE4AaQB0AHIAbwB1AHMATwB4AGkAZABlAEUAbQBpAHMAcwBpAG8AbgBGAGEAYwB0AG8AcgBTAGwAdQBkAGcAZQBCAGkAbwBnAGEAcwBGAGwAYQByAGUAZABfAEQAYQB0AGEAXABuAD0ATABBAE0AQgBEAEEAKAAxAC4AMQAzADIAZQAtADQAKQA7AFwAbgAiAH0ALAB7ACIAcABhAHQAaAAiADoAIgAvAHAAcgBvAGoAZQBjAHQAcwAvAFcAYQBzAHQAZQB3AGEAdABlAHIAXwBOADIATwBfAEUAcQB1AGEAdABpAG8AbgBzACIALAAiAHQAZQB4AHQAIgA6ACIALwAqAFwAbgA9AD0APQA9AD0APQA9AD0APQA9AD0APQA9AD0APQA9AD0APQA9AD0APQA9AD0APQA9AD0APQA9AD0APQA9AD0APQA9AD0APQA9AD0APQA9AD0APQA9AD0APQA9AD0APQA9AD0APQA9AD0APQA9AD0APQA9AD0APQA9AD0APQA9AD0APQA9AD0APQA9AD0APQA9AD0APQA9AFwAbgAxADEALgAxADoAIABXAGEAcwB0AGUAdwBhAHQAZQByAFwAbgA9AD0APQA9AD0APQA9AD0APQA9AD0APQA9AD0APQA9AD0APQA9AD0APQA9AD0APQA9AD0APQA9AD0APQA9AD0APQA9AD0APQA9AD0APQA9AD0APQA9AD0APQA9AD0APQA9AD0APQA9AD0APQA9AD0APQA9AD0APQA9AD0APQA9AD0APQA9AD0APQA9AD0APQA9AD0APQA9AFwAbgAxADEALgAxAC4AMwAuADEAIABNAGUAdABoAG8AZAAgADEAIAAtACAATgBpAHQAcgBvAHUAcwAgAG8AeABpAGQAZQAgAGUAbQBpAHMAcwBpAG8AbgBzACAAZgByAG8AbQAgAG8AbgBzAGkAdABlACAAVwBhAHMAdABlAHcAYQB0AGUAcgAgAE0AYQBuAGEAZwBl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EAXwAxAF8AMwBfADEAXwBfADEAXwBOAGkAdAByAG8AdQBzAE8AeABpAGQAZQBFAG0AaQBzAHMAaQBvAG4AcwBGAHIAbwBtAEYAbABhAHIAZQBkAEIAaQBvAGcAYQBzAFwAbgBOAGkAdAByAG8AdQBzACAAbwB4AGkAZABlACAAZQBtAGkAcwBzAGkAbwBuAHMAIABmAHIAbwBtACAAZgBsAGEAcgBlAGQAIABiAGkAbwBnAGEAcwBcAG4ARQBfAE4AMgBPAFwAbgB0ACAATgAyAE8AXABuAEUAXwB7AE4AMgBPAH0APQBcAFwAZgByAGEAYwB7AFEAXwB7AGYAbABhAHIAZQBkAH0AfQB7ADEAMAAwADAAfQBcAFwAdABpAG0AZQBzACAARQBGAF8AewBmAGwAYQByAGUAZAAsAE4AMgBPAH0AXABuAFEAXwBmAGwAYQByAGUAZAAgAD0AIAB2AG8AbAB1AG0AZQAgAG8AZgAgAGIAaQBvAGcAYQBzACAAZgBsAGEAcgBlAGQAIAAoAG0AMwAgAG8AcgAgAEcASgApAFwAbgBFAEYAXwBmAGwAYQByAGUAZABfAE4AMgBPACAAPQAgAG4AaQB0AHIAbwB1AHMAIABvAHgAaQBkAGUAIABlAG0AaQBzAHMAaQBvAG4AIABmAGEAYwB0AG8AcgAgAGYAbwByACAAZgBsAGEAcgBlAGQAIABiAGkAbwBnAGEAcwAgACgAawBnACAATgAyAE8ALwBHAEoAKQBcAG4ALQAtAC0ALQAtAC0ALQAtAC0ALQAtAC0ALQAtAC0ALQAtAC0ALQAtAC0ALQAtAC0ALQAtAC0ALQAtAC0ALQAtAC0ALQAtAC0ALQAtAFwAbgAqAC8AXABuAFwAbgBWAEUARQBSAEcAXwAxADEAXwAxAF8AMwBfADEAXwBfADEAXwBOAGkAdAByAG8AdQBzAE8AeABpAGQAZQBFAG0AaQBzAHMAaQBvAG4AcwBGAHIAbwBtAEYAbABhAHIAZQBkAEIAaQBvAGcAYQBzAFwAbgAgACAAPQBMAEEATQBCAEQAQQAoAFwAbgAgACAAIAAgAFEAXwBmAGwAYQByAGUAZAAsACAARQBDAF8AZgBsAGEAcgBlAGQALAAgAEUARgBfAGYAbABhAHIAZQBkAE4AMgBPACwAXABuACAAIAAgACAAKABRAF8AZgBsAGEAcgBlAGQAIAAvACAAMQAwADAAMAApACAAKgAgACgARQBDAF8AZgBsAGEAcgBlAGQAIAAqACAARQBGAF8AZgBsAGEAcgBlAGQATgAyAE8AKQBcAG4AIAAgACkAOwBcAG4AXABuAFYARQBFAFIARwBfADEAMQBfADEAXwAzAF8AMQBfAF8AMQBfAE4AaQB0AHIAbwB1AHMATwB4AGkAZABlAEUAbQBpAHMAcwBpAG8AbgBzAEYAcgBvAG0ARgBsAGEAcgBlAGQAQgBpAG8AZwBhAHMAXwBUAGkAdABsAGUAXABuACAAIAA9AEwAQQBNAEIARABBACgAXAAiAE4AaQB0AHIAbwB1AHMAIABvAHgAaQBkAGUAIABlAG0AaQBzAHMAaQBvAG4AcwAgAGYAcgBvAG0AIABmAGwAYQByAGUAZAAgAGIAaQBvAGcAYQBzAFwAIgApADsAXABuAFwAbgBWAEUARQBSAEcAXwAxADEAXwAxAF8AMwBfADEAXwBfADEAXwBOAGkAdAByAG8AdQBzAE8AeABpAGQAZQBFAG0AaQBzAHMAaQBvAG4AcwBGAHIAbwBtAEYAbABhAHIAZQBkAEIAaQBvAGcAYQBzAF8AVgBhAHIAaQBhAGIAbABlAFwAbgAgACAAPQBMAEEATQBCAEQAQQAoAFwAIgBFAF8ATgAyAE8AXAAiACkAOwBcAG4AXABuAFYARQBFAFIARwBfADEAMQBfADEAXwAzAF8AMQBfAF8AMQBfAE4AaQB0AHIAbwB1AHMATwB4AGkAZABlAEUAbQBpAHMAcwBpAG8AbgBzAEYAcgBvAG0ARgBsAGEAcgBlAGQAQgBpAG8AZwBhAHMAXwBVAG4AaQB0AFwAbgAgACAAPQBMAEEATQBCAEQAQQAoAFwAIgB0ACAATgAyAE8AXAAiACkAOwBcAG4AXABuAFYARQBFAFIARwBfADEAMQBfADEAXwAzAF8AMQBfAF8AMQBfAE4AaQB0AHIAbwB1AHMATwB4AGkAZABlAEUAbQBpAHMAcwBpAG8AbgBzAEYAcgBvAG0ARgBsAGEAcgBlAGQAQgBpAG8AZwBhAHMAXwBTAG8AdQByAGMAZQBcAG4AIAAgAD0ATABBAE0AQgBEAEEAKABcACIAVgBFAEUAUgBHACAAMgAwADIANgA6ACAAMQAxAC4AMQAuADMALgAxACwAIABFAHEAdQBhAHQAaQBvAG4AIAAoADEAKQBcACIAKQA7AFwAbgBcAG4AVgBFAEUAUgBHAF8AMQAxAF8AMQBfADMAXwAxAF8AXwAxAF8ATgBpAHQAcgBvAHUAcwBPAHgAaQBkAGUARQBtAGkAcwBzAGkAbwBuAHMARgByAG8AbQBGAGwAYQByAGUAZABCAGkAbwBnAGEAcwBfAE4ASQBSAFIAZQBmAGUAcgBlAG4AYwBlAFwAbgAgACAAPQBMAEEATQBCAEQAQQAoAFwAIgBcACIAKQA7AFwAbgBcAG4AVgBFAEUAUgBHAF8AMQAxAF8AMQBfADMAXwAxAF8AXwAxAF8ATgBpAHQAcgBvAHUAcwBPAHgAaQBkAGUARQBtAGkAcwBzAGkAbwBuAHMARgByAG8AbQBGAGwAYQByAGUAZABCAGkAbwBnAGEAcwBfAEwAYQB0AGUAeABFAHEAdQBhAHQAaQBvAG4AXABuACAAIAA9AEwAQQBNAEIARABBACgAXAAiAEUAXwB7AE4AMgBPAH0APQBcAFwAZgByAGEAYwB7AFEAXwB7AGYAbABhAHIAZQBkAH0AfQB7ADEAMAAwADAAfQBcAFwAdABpAG0AZQBzACAAXABcAGwAZQBmAHQAWwBFAEMAXwB7AGYAbABhAHIAZQBkAH0AIABcAFwAdABpAG0AZQBzACAARQBGAF8AewBmAGwAYQByAGUAZAAsAE4AMgBPAH0AXABcAHIAaQBnAGgAdABdAFwAIgApADsAXABuAFwAbgBWAEUARQBSAEcAXwAxADEAXwAxAF8AMwBfADEAXwBfADEAXwBOAGkAdAByAG8AdQBzAE8AeABpAGQAZQBFAG0AaQBzAHMAaQBvAG4AcwBGAHIAbwBtAEYAbABhAHIAZQBkAEIAaQBvAGcAYQBzAF8AQQByAGcAdQBtAGUAbgB0AHMAXABuACAAIAA9AEwAQQBNAEIARABBACgAXABuACAAIAAgACAATQBBAEsARQBBAFIAUgBBAFkAKAAzACwAIAA0ACwAXABuACAAIAAgACAAIAAgAEwAQQBNAEIARABBACgAcgAsAGMALABcAG4AIAAgACAAIAAgACAAIAAgAEkATgBEAEUAWAAoAHsAXABuACAAIAAgACAAIAAgACAAIAAgACAAXAAiAFEAXwBmAGwAYQByAGUAZABcACIALAAgAFwAIgB2AG8AbAB1AG0AZQAgAG8AZgAgAGIAaQBvAGcAYQBzACAAZgBsAGEAcgBlAGQAXAAiACwAIABcACIAbQAzAFwAIgAsACAAXAAiAEkAbgBwAHUAdABcACIAOwBcAG4AIAAgACAAIAAgACAAIAAgACAAIABcACIARQBDAF8AZgBsAGEAcgBlAGQAXAAiACwAIABcACIAZQBuAGUAcgBnAHkAIABjAG8AbgB0AGUAbgB0ACAAZgBhAGMAdABvAHIAIABvAGYAIABzAGwAdQBkAGcAZQAgAGIAaQBvAGcAYQBzACAAZgBsAGEAcgBlAGQAXAAiACwAIABcACIARwBKAC8AbQAzAFwAIgAsACAAXAAiAEMAbwBuAHMAdABhAG4AdABcACIAOwBcAG4AIAAgACAAIAAgACAAIAAgACAAIABcACIARQBGAF8AZgBsAGEAcgBlAGQATgAyAE8AXAAiACwAIABcACIAbgBpAHQAcgBvAHUAcwAgAG8AeABpAGQAZQAgAGUAbQBpAHMAcwBpAG8AbgAgAGYAYQBjAHQAbwByACAAZgBvAHIAIABmAGwAYQByAGUAZAAgAGIAaQBvAGcAYQBzAFwAIgAsACAAXAAiAGsAZwAgAE4AMgBPAC8ARwBKAFwAIgAsACAAXAAiAEMAbwBuAHMAdABhAG4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cAYQBzAHQAZQB3AGEAdABlAHIAXwBNAGUAdABoAGEAbgBlAF8ARQBxAHUAYQB0AGkAbwBuAHMALgBWAEUARQBSAEcAXwAxADEAXwAxAF8AMQBfADEAXwBfADEAXwBNAGUAdABoAGEAbgBlAEUAbQBpAHMAcwBpAG8AbgBzAEYAcgBvAG0AVwBhAHMAdABlAHcAYQB0AGUAcgBUAHIAZQBhAHQAbQBlAG4AdAAiACwAIgBXAGEAcwB0AGUAdwBhAHQAZQByAF8ATQBlAHQAaABhAG4AZQBfAEUAcQB1AGEAdABpAG8AbgBzAC4AVgBFAEUAUgBHAF8AMQAxAF8AMQBfADEAXwAxAF8AXwAxAF8ATQBlAHQAaABhAG4AZQBFAG0AaQBzAHMAaQBvAG4AcwBGAHIAbwBtAFcAYQBzAHQAZQB3AGEAdABlAHIAVAByAGUAYQB0AG0AZQBuAHQAXwBUAGkAdABsAGUAIgAsACIAVwBhAHMAdABlAHcAYQB0AGUAcgBfAE0AZQB0AGgAYQBuAGUAXwBFAHEAdQBhAHQAaQBvAG4AcwAuAFYARQBFAFIARwBfADEAMQBfADEAXwAxAF8AMQBfAF8AMQBfAE0AZQB0AGgAYQBuAGUARQBtAGkAcwBzAGkAbwBuAHMARgByAG8AbQBXAGEAcwB0AGUAdwBhAHQAZQByAFQAcgBlAGEAdABtAGUAbgB0AF8AVgBhAHIAaQBhAGIAbABlACIALAAiAFcAYQBzAHQAZQB3AGEAdABlAHIAXwBNAGUAdABoAGEAbgBlAF8ARQBxAHUAYQB0AGkAbwBuAHMALgBWAEUARQBSAEcAXwAxADEAXwAxAF8AMQBfADEAXwBfADEAXwBNAGUAdABoAGEAbgBlAEUAbQBpAHMAcwBpAG8AbgBzAEYAcgBvAG0AVwBhAHMAdABlAHcAYQB0AGUAcgBUAHIAZQBhAHQAbQBlAG4AdABfAFUAbgBpAHQAIgAsACIAVwBhAHMAdABlAHcAYQB0AGUAcgBfAE0AZQB0AGgAYQBuAGUAXwBFAHEAdQBhAHQAaQBvAG4AcwAuAFYARQBFAFIARwBfADEAMQBfADEAXwAxAF8AMQBfAF8AMQBfAE0AZQB0AGgAYQBuAGUARQBtAGkAcwBzAGkAbwBuAHMARgByAG8AbQBXAGEAcwB0AGUAdwBhAHQAZQByAFQAcgBlAGEAdABtAGUAbgB0AF8AUwBvAHUAcgBjAGUAIgAsACIAVwBhAHMAdABlAHcAYQB0AGUAcgBfAE0AZQB0AGgAYQBuAGUAXwBFAHEAdQBhAHQAaQBvAG4AcwAuAFYARQBFAFIARwBfADEAMQBfADEAXwAxAF8AMQBfAF8AMQBfAE0AZQB0AGgAYQBuAGUARQBtAGkAcwBzAGkAbwBuAHMARgByAG8AbQBXAGEAcwB0AGUAdwBhAHQAZQByAFQAcgBlAGEAdABtAGUAbgB0AF8ATgBJAFIAUgBlAGYAZQByAGUAbgBjAGUAIgAsACIAVwBhAHMAdABlAHcAYQB0AGUAcgBfAE0AZQB0AGgAYQBuAGUAXwBFAHEAdQBhAHQAaQBvAG4AcwAuAFYARQBFAFIARwBfADEAMQBfADEAXwAxAF8AMQBfAF8AMQBfAE0AZQB0AGgAYQBuAGUARQBtAGkAcwBzAGkAbwBuAHMARgByAG8AbQBXAGEAcwB0AGUAdwBhAHQAZQByAFQAcgBlAGEAdABtAGUAbgB0AF8ATABhAHQAZQB4AEUAcQB1AGEAdABpAG8AbgAiACwAIgBXAGEAcwB0AGUAdwBhAHQAZQByAF8ATQBlAHQAaABhAG4AZQBfAEUAcQB1AGEAdABpAG8AbgBzAC4AVgBFAEUAUgBHAF8AMQAxAF8AMQBfADEAXwAxAF8AXwAxAF8ATQBlAHQAaABhAG4AZQBFAG0AaQBzAHMAaQBvAG4AcwBGAHIAbwBtAFcAYQBzAHQAZQB3AGEAdABlAHIAVAByAGUAYQB0AG0AZQBuAHQAXwBBAHIAZwB1AG0AZQBuAHQAcwAiACwAIgBXAGEAcwB0AGUAdwBhAHQAZQByAF8ATQBlAHQAaABhAG4AZQBfAEUAcQB1AGEAdABpAG8AbgBzAC4AVgBFAEUAUgBHAF8AMQAxAF8AMQBfADEAXwAxAF8AXwAxAF8ATQBlAHQAaABhAG4AZQBFAG0AaQBzAHMAaQBvAG4AcwBGAHIAbwBtAFcAYQBzAHQAZQB3AGEAdABlAHIAVAByAGUAYQB0AG0AZQBuAHQAXwBWAGEAcgBpAGEAdABpAG8AbgAiACwAIgBXAGEAcwB0AGUAdwBhAHQAZQByAF8AUwBvAHUAcgBjAGUARABhAHQAYQAuAFcAYQBzAHQAZQBfAE0AZQB0AGgAYQBuAGUAQwBvAHIAcgBlAGMAdABpAG8AbgBGAGEAYwB0AG8AcgBXAGEAcwB0AGUAdwBhAHQAZQByAF8AVABpAHQAbABlACIALAAiAFcAYQBzAHQAZQB3AGEAdABlAHIAXwBTAG8AdQByAGMAZQBEAGEAdABhAC4AVwBhAHMAdABlAF8ATQBlAHQAaABhAG4AZQBDAG8AcgByAGUAYwB0AGkAbwBuAEYAYQBjAHQAbwByAFcAYQBzAHQAZQB3AGEAdABlAHIAXwBWAGEAcgBpAGEAYgBsAGUAIgAsACIAVwBhAHMAdABlAHcAYQB0AGUAcgBfAFMAbwB1AHIAYwBlAEQAYQB0AGEALgBXAGEAcwB0AGUAXwBNAGUAdABoAGEAbgBlAEMAbwByAHIAZQBjAHQAaQBvAG4ARgBhAGMAdABvAHIAVwBhAHMAdABlAHcAYQB0AGUAcgBfAFUAbgBpAHQAIgAsACIAVwBhAHMAdABlAHcAYQB0AGUAcgBfAFMAbwB1AHIAYwBlAEQAYQB0AGEALgBXAGEAcwB0AGUAXwBNAGUAdABoAGEAbgBlAEMAbwByAHIAZQBjAHQAaQBvAG4ARgBhAGMAdABvAHIAVwBhAHMAdABlAHcAYQB0AGUAcgBfAFMAbwB1AHIAYwBlACIALAAiAFcAYQBzAHQAZQB3AGEAdABlAHIAXwBTAG8AdQByAGMAZQBEAGEAdABhAC4AVwBhAHMAdABlAF8ATQBlAHQAaABhAG4AZQBDAG8AcgByAGUAYwB0AGkAbwBuAEYAYQBjAHQAbwByAFcAYQBzAHQAZQB3AGEAdABlAHIAXwBEAGEAdABhACIALAAiAFcAYQBzAHQAZQB3AGEAdABlAHIAXwBTAG8AdQByAGMAZQBEAGEAdABhAC4AVwBhAHMAdABlAF8ATQBlAHQAaABhAG4AZQBDAG8AcgByAGUAYwB0AGkAbwBuAEYAYQBjAHQAbwByAFcAYQBzAHQAZQB3AGEAdABlAHIAXwBWAGEAcgBpAGEAdABpAG8AbgAiACwAIgBXAGEAcwB0AGUAdwBhAHQAZQByAF8AUwBvAHUAcgBjAGUARABhAHQAYQAuAFcAYQBzAHQAZQBfAE0AZQB0AGgAYQBuAGUAQwBvAHIAcgBlAGMAdABpAG8AbgBGAGEAYwB0AG8AcgBTAGwAdQBkAGcAZQBfAFQAaQB0AGwAZQAiACwAIgBXAGEAcwB0AGUAdwBhAHQAZQByAF8AUwBvAHUAcgBjAGUARABhAHQAYQAuAFcAYQBzAHQAZQBfAE0AZQB0AGgAYQBuAGUAQwBvAHIAcgBlAGMAdABpAG8AbgBGAGEAYwB0AG8AcgBTAGwAdQBkAGcAZQBfAFYAYQByAGkAYQBiAGwAZQAiACwAIgBXAGEAcwB0AGUAdwBhAHQAZQByAF8AUwBvAHUAcgBjAGUARABhAHQAYQAuAFcAYQBzAHQAZQBfAE0AZQB0AGgAYQBuAGUAQwBvAHIAcgBlAGMAdABpAG8AbgBGAGEAYwB0AG8AcgBTAGwAdQBkAGcAZQBfAFUAbgBpAHQAIgAsACIAVwBhAHMAdABlAHcAYQB0AGUAcgBfAFMAbwB1AHIAYwBlAEQAYQB0AGEALgBXAGEAcwB0AGUAXwBNAGUAdABoAGEAbgBlAEMAbwByAHIAZQBjAHQAaQBvAG4ARgBhAGMAdABvAHIAUwBsAHUAZABnAGUAXwBTAG8AdQByAGMAZQAiACwAIgBXAGEAcwB0AGUAdwBhAHQAZQByAF8AUwBvAHUAcgBjAGUARABhAHQAYQAuAFcAYQBzAHQAZQBfAE0AZQB0AGgAYQBuAGUAQwBvAHIAcgBlAGMAdABpAG8AbgBGAGEAYwB0AG8AcgBTAGwAdQBkAGcAZQBfAEQAYQB0AGEAIgAsACIAVwBhAHMAdABlAHcAYQB0AGUAcgBfAFMAbwB1AHIAYwBlAEQAYQB0AGEALgBXAGEAcwB0AGUAXwBNAGUAdABoAGEAbgBlAEMAbwByAHIAZQBjAHQAaQBvAG4ARgBhAGMAdABvAHIAUwBsAHUAZABnAGUAXwBWAGEAcgBpAGEAdABpAG8AbgAiACwAIgBXAGEAcwB0AGUAdwBhAHQAZQByAF8AUwBvAHUAcgBjAGUARABhAHQAYQAuAFcAYQBzAHQAZQBfAE0AZQB0AGgAYQBuAGUARQBtAGkAcwBzAGkAbwBuAEYAYQBjAHQAbwByAFcAYQBzAHQAZQB3AGEAdABlAHIAXwBUAGkAdABsAGUAIgAsACIAVwBhAHMAdABlAHcAYQB0AGUAcgBfAFMAbwB1AHIAYwBlAEQAYQB0AGEALgBXAGEAcwB0AGUAXwBNAGUAdABoAGEAbgBlAEUAbQBpAHMAcwBpAG8AbgBGAGEAYwB0AG8AcgBXAGEAcwB0AGUAdwBhAHQAZQByAF8AVgBhAHIAaQBhAGIAbABlACIALAAiAFcAYQBzAHQAZQB3AGEAdABlAHIAXwBTAG8AdQByAGMAZQBEAGEAdABhAC4AVwBhAHMAdABlAF8ATQBlAHQAaABhAG4AZQBFAG0AaQBzAHMAaQBvAG4ARgBhAGMAdABvAHIAVwBhAHMAdABlAHcAYQB0AGUAcgBfAFUAbgBpAHQAIgAsACIAVwBhAHMAdABlAHcAYQB0AGUAcgBfAFMAbwB1AHIAYwBlAEQAYQB0AGEALgBXAGEAcwB0AGUAXwBNAGUAdABoAGEAbgBlAEUAbQBpAHMAcwBpAG8AbgBGAGEAYwB0AG8AcgBXAGEAcwB0AGUAdwBhAHQAZQByAF8AUwBvAHUAcgBjAGUAIgAsACIAVwBhAHMAdABlAHcAYQB0AGUAcgBfAFMAbwB1AHIAYwBlAEQAYQB0AGEALgBXAGEAcwB0AGUAXwBNAGUAdABoAGEAbgBlAEUAbQBpAHMAcwBpAG8AbgBGAGEAYwB0AG8AcgBXAGEAcwB0AGUAdwBhAHQAZQByAF8ARABhAHQAYQAiACwAIgBXAGEAcwB0AGUAdwBhAHQAZQByAF8AUwBvAHUAcgBjAGUARABhAHQAYQAuAFcAYQBzAHQAZQBfAE0AZQB0AGgAYQBuAGUARQBtAGkAcwBzAGkAbwBuAEYAYQBjAHQAbwByAFMAbAB1AGQAZwBlAF8AVABpAHQAbABlACIALAAiAFcAYQBzAHQAZQB3AGEAdABlAHIAXwBTAG8AdQByAGMAZQBEAGEAdABhAC4AVwBhAHMAdABlAF8ATQBlAHQAaABhAG4AZQBFAG0AaQBzAHMAaQBvAG4ARgBhAGMAdABvAHIAUwBsAHUAZABnAGUAXwBWAGEAcgBpAGEAYgBsAGUAIgAsACIAVwBhAHMAdABlAHcAYQB0AGUAcgBfAFMAbwB1AHIAYwBlAEQAYQB0AGEALgBXAGEAcwB0AGUAXwBNAGUAdABoAGEAbgBlAEUAbQBpAHMAcwBpAG8AbgBGAGEAYwB0AG8AcgBTAGwAdQBkAGcAZQBfAFUAbgBpAHQAIgAsACIAVwBhAHMAdABlAHcAYQB0AGUAcgBfAFMAbwB1AHIAYwBlAEQAYQB0AGEALgBXAGEAcwB0AGUAXwBNAGUAdABoAGEAbgBlAEUAbQBpAHMAcwBpAG8AbgBGAGEAYwB0AG8AcgBTAGwAdQBkAGcAZQBfAFMAbwB1AHIAYwBlACIALAAiAFcAYQBzAHQAZQB3AGEAdABlAHIAXwBTAG8AdQByAGMAZQBEAGEAdABhAC4AVwBhAHMAdABlAF8ATQBlAHQAaABhAG4AZQBFAG0AaQBzAHMAaQBvAG4ARgBhAGMAdABvAHIAUwBsAHUAZABnAGUAXwBEAGEAdABhACIALAAiAFcAYQBzAHQAZQB3AGEAdABlAHIAXwBTAG8AdQByAGMAZQBEAGEAdABhAC4AVwBhAHMAdABlAF8ARQBuAGUAcgBnAHkAQwBvAG4AdABlAG4AdABGAGEAYwB0AG8AcgBTAGwAdQBkAGcAZQBCAGkAbwBnAGEAcwBGAGwAYQByAGUAZABfAFQAaQB0AGwAZQAiACwAIgBXAGEAcwB0AGUAdwBhAHQAZQByAF8AUwBvAHUAcgBjAGUARABhAHQAYQAuAFcAYQBzAHQAZQBfAEUAbgBlAHIAZwB5AEMAbwBuAHQAZQBuAHQARgBhAGMAdABvAHIAUwBsAHUAZABnAGUAQgBpAG8AZwBhAHMARgBsAGEAcgBlAGQAXwBWAGEAcgBpAGEAYgBsAGUAIgAsACIAVwBhAHMAdABlAHcAYQB0AGUAcgBfAFMAbwB1AHIAYwBlAEQAYQB0AGEALgBXAGEAcwB0AGUAXwBFAG4AZQByAGcAeQBDAG8AbgB0AGUAbgB0AEYAYQBjAHQAbwByAFMAbAB1AGQAZwBlAEIAaQBvAGcAYQBzAEYAbABhAHIAZQBkAF8AVQBuAGkAdAAiACwAIgBXAGEAcwB0AGUAdwBhAHQAZQByAF8AUwBvAHUAcgBjAGUARABhAHQAYQAuAFcAYQBzAHQAZQBfAEUAbgBlAHIAZwB5AEMAbwBuAHQAZQBuAHQARgBhAGMAdABvAHIAUwBsAHUAZABnAGUAQgBpAG8AZwBhAHMARgBsAGEAcgBlAGQAXwBTAG8AdQByAGMAZQAiACwAIgBXAGEAcwB0AGUAdwBhAHQAZQByAF8AUwBvAHUAcgBjAGUARABhAHQAYQAuAFcAYQBzAHQAZQBfAEUAbgBlAHIAZwB5AEMAbwBuAHQAZQBuAHQARgBhAGMAdABvAHIAUwBsAHUAZABnAGUAQgBpAG8AZwBhAHMARgBsAGEAcgBlAGQAXwBEAGEAdABhACIALAAiAFcAYQBzAHQAZQB3AGEAdABlAHIAXwBTAG8AdQByAGMAZQBEAGEAdABhAC4AVwBhAHMAdABlAF8ATQBlAHQAaABhAG4AZQBFAG0AaQBzAHMAaQBvAG4ARgBhAGMAdABvAHIAUwBsAHUAZABnAGUAQgBpAG8AZwBhAHMARgBsAGEAcgBlAGQAXwBUAGkAdABsAGUAIgAsACIAVwBhAHMAdABlAHcAYQB0AGUAcgBfAFMAbwB1AHIAYwBlAEQAYQB0AGEALgBXAGEAcwB0AGUAXwBNAGUAdABoAGEAbgBlAEUAbQBpAHMAcwBpAG8AbgBGAGEAYwB0AG8AcgBTAGwAdQBkAGcAZQBCAGkAbwBnAGEAcwBGAGwAYQByAGUAZABfAFYAYQByAGkAYQBiAGwAZQAiACwAIgBXAGEAcwB0AGUAdwBhAHQAZQByAF8AUwBvAHUAcgBjAGUARABhAHQAYQAuAFcAYQBzAHQAZQBfAE0AZQB0AGgAYQBuAGUARQBtAGkAcwBzAGkAbwBuAEYAYQBjAHQAbwByAFMAbAB1AGQAZwBlAEIAaQBvAGcAYQBzAEYAbABhAHIAZQBkAF8AVQBuAGkAdAAiACwAIgBXAGEAcwB0AGUAdwBhAHQAZQByAF8AUwBvAHUAcgBjAGUARABhAHQAYQAuAFcAYQBzAHQAZQBfAE0AZQB0AGgAYQBuAGUARQBtAGkAcwBzAGkAbwBuAEYAYQBjAHQAbwByAFMAbAB1AGQAZwBlAEIAaQBvAGcAYQBzAEYAbABhAHIAZQBkAF8AUwBvAHUAcgBjAGUAIgAsACIAVwBhAHMAdABlAHcAYQB0AGUAcgBfAFMAbwB1AHIAYwBlAEQAYQB0AGEALgBXAGEAcwB0AGUAXwBNAGUAdABoAGEAbgBlAEUAbQBpAHMAcwBpAG8AbgBGAGEAYwB0AG8AcgBTAGwAdQBkAGcAZQBCAGkAbwBnAGEAcwBGAGwAYQByAGUAZABfAEQAYQB0AGEAIgAsACIAVwBhAHMAdABlAHcAYQB0AGUAcgBfAFMAbwB1AHIAYwBlAEQAYQB0AGEALgBXAGEAcwB0AGUAXwBOAGkAdAByAG8AdQBzAE8AeABpAGQAZQBFAG0AaQBzAHMAaQBvAG4ARgBhAGMAdABvAHIAUwBsAHUAZABnAGUAQgBpAG8AZwBhAHMARgBsAGEAcgBlAGQAXwBUAGkAdABsAGUAIgAsACIAVwBhAHMAdABlAHcAYQB0AGUAcgBfAFMAbwB1AHIAYwBlAEQAYQB0AGEALgBXAGEAcwB0AGUAXwBOAGkAdAByAG8AdQBzAE8AeABpAGQAZQBFAG0AaQBzAHMAaQBvAG4ARgBhAGMAdABvAHIAUwBsAHUAZABnAGUAQgBpAG8AZwBhAHMARgBsAGEAcgBlAGQAXwBWAGEAcgBpAGEAYgBsAGUAIgAsACIAVwBhAHMAdABlAHcAYQB0AGUAcgBfAFMAbwB1AHIAYwBlAEQAYQB0AGEALgBXAGEAcwB0AGUAXwBOAGkAdAByAG8AdQBzAE8AeABpAGQAZQBFAG0AaQBzAHMAaQBvAG4ARgBhAGMAdABvAHIAUwBsAHUAZABnAGUAQgBpAG8AZwBhAHMARgBsAGEAcgBlAGQAXwBVAG4AaQB0ACIALAAiAFcAYQBzAHQAZQB3AGEAdABlAHIAXwBTAG8AdQByAGMAZQBEAGEAdABhAC4AVwBhAHMAdABlAF8ATgBpAHQAcgBvAHUAcwBPAHgAaQBkAGUARQBtAGkAcwBzAGkAbwBuAEYAYQBjAHQAbwByAFMAbAB1AGQAZwBlAEIAaQBvAGcAYQBzAEYAbABhAHIAZQBkAF8AUwBvAHUAcgBjAGUAIgAsACIAVwBhAHMAdABlAHcAYQB0AGUAcgBfAFMAbwB1AHIAYwBlAEQAYQB0AGEALgBXAGEAcwB0AGUAXwBOAGkAdAByAG8AdQBzAE8AeABpAGQAZQBFAG0AaQBzAHMAaQBvAG4ARgBhAGMAdABvAHIAUwBsAHUAZABnAGUAQgBpAG8AZwBhAHMARgBsAGEAcgBlAGQAXwBEAGEAdABhACIALAAiAFcAYQBzAHQAZQB3AGEAdABlAHIAXwBOADIATwBfAEUAcQB1AGEAdABpAG8AbgBzAC4AVgBFAEUAUgBHAF8AMQAxAF8AMQBfADMAXwAxAF8AXwAxAF8ATgBpAHQAcgBvAHUAcwBPAHgAaQBkAGUARQBtAGkAcwBzAGkAbwBuAHMARgByAG8AbQBGAGwAYQByAGUAZABCAGkAbwBnAGEAcwAiACwAIgBXAGEAcwB0AGUAdwBhAHQAZQByAF8ATgAyAE8AXwBFAHEAdQBhAHQAaQBvAG4AcwAuAFYARQBFAFIARwBfADEAMQBfADEAXwAzAF8AMQBfAF8AMQBfAE4AaQB0AHIAbwB1AHMATwB4AGkAZABlAEUAbQBpAHMAcwBpAG8AbgBzAEYAcgBvAG0ARgBsAGEAcgBlAGQAQgBpAG8AZwBhAHMAXwBUAGkAdABsAGUAIgAsACIAVwBhAHMAdABlAHcAYQB0AGUAcgBfAE4AMgBPAF8ARQBxAHUAYQB0AGkAbwBuAHMALgBWAEUARQBSAEcAXwAxADEAXwAxAF8AMwBfADEAXwBfADEAXwBOAGkAdAByAG8AdQBzAE8AeABpAGQAZQBFAG0AaQBzAHMAaQBvAG4AcwBGAHIAbwBtAEYAbABhAHIAZQBkAEIAaQBvAGcAYQBzAF8AVgBhAHIAaQBhAGIAbABlACIALAAiAFcAYQBzAHQAZQB3AGEAdABlAHIAXwBOADIATwBfAEUAcQB1AGEAdABpAG8AbgBzAC4AVgBFAEUAUgBHAF8AMQAxAF8AMQBfADMAXwAxAF8AXwAxAF8ATgBpAHQAcgBvAHUAcwBPAHgAaQBkAGUARQBtAGkAcwBzAGkAbwBuAHMARgByAG8AbQBGAGwAYQByAGUAZABCAGkAbwBnAGEAcwBfAFUAbgBpAHQAIgAsACIAVwBhAHMAdABlAHcAYQB0AGUAcgBfAE4AMgBPAF8ARQBxAHUAYQB0AGkAbwBuAHMALgBWAEUARQBSAEcAXwAxADEAXwAxAF8AMwBfADEAXwBfADEAXwBOAGkAdAByAG8AdQBzAE8AeABpAGQAZQBFAG0AaQBzAHMAaQBvAG4AcwBGAHIAbwBtAEYAbABhAHIAZQBkAEIAaQBvAGcAYQBzAF8AUwBvAHUAcgBjAGUAIgAsACIAVwBhAHMAdABlAHcAYQB0AGUAcgBfAE4AMgBPAF8ARQBxAHUAYQB0AGkAbwBuAHMALgBWAEUARQBSAEcAXwAxADEAXwAxAF8AMwBfADEAXwBfADEAXwBOAGkAdAByAG8AdQBzAE8AeABpAGQAZQBFAG0AaQBzAHMAaQBvAG4AcwBGAHIAbwBtAEYAbABhAHIAZQBkAEIAaQBvAGcAYQBzAF8ATgBJAFIAUgBlAGYAZQByAGUAbgBjAGUAIgAsACIAVwBhAHMAdABlAHcAYQB0AGUAcgBfAE4AMgBPAF8ARQBxAHUAYQB0AGkAbwBuAHMALgBWAEUARQBSAEcAXwAxADEAXwAxAF8AMwBfADEAXwBfADEAXwBOAGkAdAByAG8AdQBzAE8AeABpAGQAZQBFAG0AaQBzAHMAaQBvAG4AcwBGAHIAbwBtAEYAbABhAHIAZQBkAEIAaQBvAGcAYQBzAF8ATABhAHQAZQB4AEUAcQB1AGEAdABpAG8AbgAiACwAIgBXAGEAcwB0AGUAdwBhAHQAZQByAF8ATgAyAE8AXwBFAHEAdQBhAHQAaQBvAG4AcwAuAFYARQBFAFIARwBfADEAMQBfADEAXwAzAF8AMQBfAF8AMQBfAE4AaQB0AHIAbwB1AHMATwB4AGkAZABlAEUAbQBpAHMAcwBpAG8AbgBzAEYAcgBvAG0ARgBsAGEAcgBlAGQAQgBpAG8AZwBhAH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Home</vt:lpstr>
      <vt:lpstr>Overview</vt:lpstr>
      <vt:lpstr>Results</vt:lpstr>
      <vt:lpstr>Input - Wastewater</vt:lpstr>
      <vt:lpstr>11.1.1-2 Wastewater CH4</vt:lpstr>
      <vt:lpstr>11.1.3-4 Wastewater N2O</vt:lpstr>
      <vt:lpstr>Constants - Wastewater</vt:lpstr>
      <vt:lpstr>Constants - Common</vt:lpstr>
      <vt:lpstr>Common_SourceData_DensityOfMethane_Data</vt:lpstr>
      <vt:lpstr>VEERG_11_1_1_1__1_MethaneEmissionsFromWastewaterTreatment_Result_Method1</vt:lpstr>
      <vt:lpstr>VEERG_11_1_3_1__1_NitrousOxideEmissionsFromFlaredBiogas_Result_Method1</vt:lpstr>
      <vt:lpstr>X_Cell_Wastewater_FractionCODRemovedAndTransferred</vt:lpstr>
      <vt:lpstr>X_Cell_Wastewater_FractionCODRemovedAsSludge</vt:lpstr>
      <vt:lpstr>X_Cell_Wastewater_InletCOD</vt:lpstr>
      <vt:lpstr>X_Cell_Wastewater_OutletCOD</vt:lpstr>
      <vt:lpstr>X_Cell_Wastewater_QuantityInM3</vt:lpstr>
      <vt:lpstr>X_Cell_Wastewater_SludgeMethaneCapturedForCombustion</vt:lpstr>
      <vt:lpstr>X_Cell_Wastewater_SludgeMethaneFlared</vt:lpstr>
      <vt:lpstr>X_Cell_Wastewater_SludgeMethaneTransferred</vt:lpstr>
      <vt:lpstr>X_Cell_Wastewater_TreatmentFacilityType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