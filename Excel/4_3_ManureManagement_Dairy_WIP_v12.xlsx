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1471C7A-94B3-4309-82E9-93BDBBEFBFF7}" xr6:coauthVersionLast="47" xr6:coauthVersionMax="47" xr10:uidLastSave="{00000000-0000-0000-0000-000000000000}"/>
  <bookViews>
    <workbookView xWindow="1065" yWindow="45" windowWidth="37170" windowHeight="19920" activeTab="3"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55" i="82"/>
  <c r="E37" i="98"/>
  <c r="E32" i="97"/>
  <c r="E36" i="95" a="1"/>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37" i="96" a="1"/>
  <c r="E7" i="96" a="1"/>
  <c r="E7" i="97" a="1"/>
  <c r="E91" i="81" a="1"/>
  <c r="E7" i="81" a="1"/>
  <c r="E7" i="98" a="1"/>
  <c r="E7" i="95"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212" i="69" a="1"/>
  <c r="E8" i="69" a="1"/>
  <c r="E35" i="76" a="1"/>
  <c r="E7" i="82" a="1"/>
  <c r="E186" i="69" a="1"/>
  <c r="E139" i="69" a="1"/>
  <c r="E252" i="69" a="1"/>
  <c r="E120" i="69" a="1"/>
  <c r="E109" i="76" a="1"/>
  <c r="E219" i="76" a="1"/>
  <c r="E183" i="76" a="1"/>
  <c r="E132" i="76" a="1"/>
  <c r="E256" i="76" a="1"/>
  <c r="E153" i="76" a="1"/>
  <c r="E72" i="76" a="1"/>
  <c r="E56" i="69" a="1"/>
  <c r="E7" i="76" a="1"/>
  <c r="E85" i="69"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<sst xmlns="http://schemas.openxmlformats.org/spreadsheetml/2006/main" count="1696" uniqueCount="521">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</sst>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0D9D96"/>
      <color rgb="FFCC6600"/>
      <color rgb="FFC4434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44340"/>
                            </a:solidFill>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2"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0"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3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8"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6"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5"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4"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1"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7"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6"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5"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4"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3"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2"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1"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0"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19"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6"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9"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7"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43"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9" sqref="A29"/>
    </sheetView>
  </sheetViews>
  <sheetFormatPr defaultRowHeight="15" x14ac:dyDescent="0.25"/>
  <sheetData>
    <row r="1" spans="1:1" x14ac:dyDescent="0.25">
      <c r="A1" t="s">
        <v>471</v>
      </c>
    </row>
    <row r="3" spans="1:1" x14ac:dyDescent="0.25">
      <c r="A3" s="155" t="str">
        <f>HYPERLINK("#'Home'!A1", "Home")</f>
        <v>Home</v>
      </c>
    </row>
    <row r="6" spans="1:1" x14ac:dyDescent="0.25">
      <c r="A6" s="15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sheetPr>
    <tabColor rgb="FF0C769E"/>
  </sheetPr>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X178"/>
  <sheetViews>
    <sheetView showGridLines="0" topLeftCell="D58"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W305"/>
  <sheetViews>
    <sheetView showGridLines="0" topLeftCell="A48" zoomScaleNormal="100" workbookViewId="0">
      <selection activeCell="D50" sqref="D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2"/>
  <sheetViews>
    <sheetView showGridLines="0" topLeftCell="B1"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399.24605684746678</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399.24605684746678</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399.24605684746678</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399.24605684746678</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399.24605684746678</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399.24605684746678</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798.49211369493332</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798.49211369493332</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1615.131775428388</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1615.131775428388</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1292.1054203427104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1292.1054203427104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1292.1054203427104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1292.1054203427104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2261.1844855997429</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2261.1844855997429</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5.8975625860183567E-2</v>
      </c>
      <c r="F287" s="106" t="str">
        <f>$E$260</f>
        <v>t N2O</v>
      </c>
      <c r="N287" s="104" t="s">
        <v>117</v>
      </c>
      <c r="O287" s="105">
        <f>SUM(P278:T285)</f>
        <v>5.8975625860183567E-2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5101.668293837286</v>
      </c>
      <c r="F49" s="108" t="str">
        <f>$E$11</f>
        <v>kg N</v>
      </c>
      <c r="O49" s="114" t="s">
        <v>375</v>
      </c>
      <c r="P49" s="46">
        <f>SUM(Q40:U47)</f>
        <v>5101.668293837286</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sheetPr>
    <tabColor rgb="FF008000"/>
  </sheetPr>
  <dimension ref="A1:W165"/>
  <sheetViews>
    <sheetView showGridLines="0" topLeftCell="A4"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2.5949275378480772E-3</v>
      </c>
      <c r="F52" s="106" t="str">
        <f>$E$40</f>
        <v>t N2O</v>
      </c>
      <c r="O52" s="104" t="s">
        <v>320</v>
      </c>
      <c r="P52" s="105">
        <f>SUM(Q49:U50)</f>
        <v>2.5949275378480772E-3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11592.578908618651</v>
      </c>
      <c r="F85" s="106" t="str">
        <f>$E$11</f>
        <v>kg N</v>
      </c>
      <c r="O85" s="104" t="s">
        <v>127</v>
      </c>
      <c r="P85" s="105">
        <f ca="1">SUM(Q76:U83)</f>
        <v>11592.578908618651</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3864.1929695395502</v>
      </c>
      <c r="F115" s="106" t="str">
        <f>$E$11</f>
        <v>kg N</v>
      </c>
      <c r="O115" s="104" t="s">
        <v>343</v>
      </c>
      <c r="P115" s="105">
        <f ca="1">SUM(Q106:U113)</f>
        <v>3864.1929695395502</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3864.1929695395502</v>
      </c>
      <c r="F148" s="106" t="str">
        <f>$E$95</f>
        <v>kg N</v>
      </c>
      <c r="O148" s="104" t="s">
        <v>134</v>
      </c>
      <c r="P148" s="105">
        <f>SUM(Q139:U146)</f>
        <v>3864.1929695395502</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sheetPr>
    <tabColor rgb="FF008000"/>
  </sheetPr>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7.4716451267705888E-2</v>
      </c>
      <c r="F53" s="106" t="str">
        <f>$E$41</f>
        <v>t N2O</v>
      </c>
      <c r="O53" s="104" t="s">
        <v>117</v>
      </c>
      <c r="P53" s="105">
        <f>SUM(Q51:U51)</f>
        <v>7.4716451267705888E-2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W16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5705.6199149884496</v>
      </c>
      <c r="F30" s="108" t="str">
        <f>$E$11</f>
        <v>kg N</v>
      </c>
      <c r="O30" s="114" t="s">
        <v>373</v>
      </c>
      <c r="P30" s="46">
        <f>SUM(Q28:U28)</f>
        <v>5705.6199149884496</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4" t="s">
        <v>1</v>
      </c>
      <c r="D6" s="38" t="s">
        <v>20</v>
      </c>
      <c r="E6" s="38" t="s">
        <v>21</v>
      </c>
      <c r="F6" s="38" t="s">
        <v>22</v>
      </c>
    </row>
    <row r="7" spans="1:65" ht="20.100000000000001" customHeight="1" x14ac:dyDescent="0.25">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23</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463</v>
      </c>
      <c r="E257" s="38" t="s">
        <v>464</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472</v>
      </c>
    </row>
    <row r="264" spans="4:6" x14ac:dyDescent="0.25">
      <c r="D264" s="1" t="s">
        <v>473</v>
      </c>
    </row>
    <row r="265" spans="4:6" x14ac:dyDescent="0.25">
      <c r="D265" s="38" t="s">
        <v>474</v>
      </c>
      <c r="E265" s="38" t="s">
        <v>475</v>
      </c>
      <c r="F265" s="38" t="s">
        <v>476</v>
      </c>
    </row>
    <row r="266" spans="4:6" x14ac:dyDescent="0.25">
      <c r="D266" s="38" t="s">
        <v>477</v>
      </c>
      <c r="E266" s="38" t="s">
        <v>478</v>
      </c>
      <c r="F266" s="38">
        <v>5</v>
      </c>
    </row>
    <row r="267" spans="4:6" x14ac:dyDescent="0.25">
      <c r="D267" s="38" t="s">
        <v>479</v>
      </c>
      <c r="E267" s="38" t="s">
        <v>480</v>
      </c>
      <c r="F267" s="38">
        <v>4</v>
      </c>
    </row>
    <row r="268" spans="4:6" x14ac:dyDescent="0.25">
      <c r="D268" s="38" t="s">
        <v>481</v>
      </c>
      <c r="E268" s="38" t="s">
        <v>482</v>
      </c>
      <c r="F268" s="38">
        <v>3</v>
      </c>
    </row>
    <row r="269" spans="4:6" x14ac:dyDescent="0.25">
      <c r="D269" s="38" t="s">
        <v>483</v>
      </c>
      <c r="E269" s="38" t="s">
        <v>484</v>
      </c>
      <c r="F269" s="38">
        <v>2</v>
      </c>
    </row>
    <row r="270" spans="4:6" x14ac:dyDescent="0.25">
      <c r="D270" s="38" t="s">
        <v>485</v>
      </c>
      <c r="E270" s="38" t="s">
        <v>486</v>
      </c>
      <c r="F270" s="38">
        <v>1</v>
      </c>
    </row>
    <row r="273" spans="4:6" x14ac:dyDescent="0.25">
      <c r="D273" s="1" t="s">
        <v>487</v>
      </c>
    </row>
    <row r="274" spans="4:6" x14ac:dyDescent="0.25">
      <c r="D274" s="38" t="s">
        <v>474</v>
      </c>
      <c r="E274" s="38" t="s">
        <v>475</v>
      </c>
      <c r="F274" s="38" t="s">
        <v>476</v>
      </c>
    </row>
    <row r="275" spans="4:6" x14ac:dyDescent="0.25">
      <c r="D275" s="38" t="s">
        <v>488</v>
      </c>
      <c r="E275" s="38" t="s">
        <v>489</v>
      </c>
      <c r="F275" s="38">
        <v>5</v>
      </c>
    </row>
    <row r="276" spans="4:6" x14ac:dyDescent="0.25">
      <c r="D276" s="38" t="s">
        <v>490</v>
      </c>
      <c r="E276" s="38" t="s">
        <v>491</v>
      </c>
      <c r="F276" s="38">
        <v>4</v>
      </c>
    </row>
    <row r="277" spans="4:6" x14ac:dyDescent="0.25">
      <c r="D277" s="38" t="s">
        <v>492</v>
      </c>
      <c r="E277" s="38" t="s">
        <v>493</v>
      </c>
      <c r="F277" s="38">
        <v>3</v>
      </c>
    </row>
    <row r="278" spans="4:6" x14ac:dyDescent="0.25">
      <c r="D278" s="38" t="s">
        <v>494</v>
      </c>
      <c r="E278" s="38" t="s">
        <v>495</v>
      </c>
      <c r="F278" s="38">
        <v>2</v>
      </c>
    </row>
    <row r="279" spans="4:6" x14ac:dyDescent="0.25">
      <c r="D279" s="38" t="s">
        <v>496</v>
      </c>
      <c r="E279" s="38" t="s">
        <v>497</v>
      </c>
      <c r="F279" s="38">
        <v>1</v>
      </c>
    </row>
    <row r="282" spans="4:6" x14ac:dyDescent="0.25">
      <c r="D282" s="1" t="s">
        <v>498</v>
      </c>
    </row>
    <row r="283" spans="4:6" x14ac:dyDescent="0.25">
      <c r="D283" s="38" t="s">
        <v>474</v>
      </c>
      <c r="E283" s="38" t="s">
        <v>475</v>
      </c>
      <c r="F283" s="38" t="s">
        <v>476</v>
      </c>
    </row>
    <row r="284" spans="4:6" x14ac:dyDescent="0.25">
      <c r="D284" s="38" t="s">
        <v>499</v>
      </c>
      <c r="E284" s="38" t="s">
        <v>500</v>
      </c>
      <c r="F284" s="38">
        <v>5</v>
      </c>
    </row>
    <row r="285" spans="4:6" x14ac:dyDescent="0.25">
      <c r="D285" s="38" t="s">
        <v>501</v>
      </c>
      <c r="E285" s="38" t="s">
        <v>502</v>
      </c>
      <c r="F285" s="38">
        <v>4</v>
      </c>
    </row>
    <row r="286" spans="4:6" x14ac:dyDescent="0.25">
      <c r="D286" s="38" t="s">
        <v>503</v>
      </c>
      <c r="E286" s="38" t="s">
        <v>504</v>
      </c>
      <c r="F286" s="38">
        <v>3</v>
      </c>
    </row>
    <row r="287" spans="4:6" x14ac:dyDescent="0.25">
      <c r="D287" s="38" t="s">
        <v>505</v>
      </c>
      <c r="E287" s="38" t="s">
        <v>506</v>
      </c>
      <c r="F287" s="38">
        <v>2</v>
      </c>
    </row>
    <row r="288" spans="4:6" x14ac:dyDescent="0.25">
      <c r="D288" s="38" t="s">
        <v>507</v>
      </c>
      <c r="E288" s="38" t="s">
        <v>508</v>
      </c>
      <c r="F288" s="38">
        <v>1</v>
      </c>
    </row>
    <row r="291" spans="4:6" x14ac:dyDescent="0.25">
      <c r="D291" s="1" t="s">
        <v>509</v>
      </c>
    </row>
    <row r="292" spans="4:6" x14ac:dyDescent="0.25">
      <c r="D292" s="38" t="s">
        <v>474</v>
      </c>
      <c r="E292" s="38" t="s">
        <v>475</v>
      </c>
      <c r="F292" s="38" t="s">
        <v>476</v>
      </c>
    </row>
    <row r="293" spans="4:6" x14ac:dyDescent="0.25">
      <c r="D293" s="38" t="s">
        <v>510</v>
      </c>
      <c r="E293" s="38" t="s">
        <v>511</v>
      </c>
      <c r="F293" s="38">
        <v>5</v>
      </c>
    </row>
    <row r="294" spans="4:6" x14ac:dyDescent="0.25">
      <c r="D294" s="38" t="s">
        <v>512</v>
      </c>
      <c r="E294" s="38" t="s">
        <v>513</v>
      </c>
      <c r="F294" s="38">
        <v>4</v>
      </c>
    </row>
    <row r="295" spans="4:6" x14ac:dyDescent="0.25">
      <c r="D295" s="38" t="s">
        <v>514</v>
      </c>
      <c r="E295" s="38" t="s">
        <v>515</v>
      </c>
      <c r="F295" s="38">
        <v>3</v>
      </c>
    </row>
    <row r="296" spans="4:6" x14ac:dyDescent="0.25">
      <c r="D296" s="38" t="s">
        <v>516</v>
      </c>
      <c r="E296" s="38" t="s">
        <v>517</v>
      </c>
      <c r="F296" s="38">
        <v>2</v>
      </c>
    </row>
    <row r="297" spans="4:6" x14ac:dyDescent="0.25">
      <c r="D297" s="38" t="s">
        <v>518</v>
      </c>
      <c r="E297" s="38" t="s">
        <v>519</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9" sqref="A29"/>
    </sheetView>
  </sheetViews>
  <sheetFormatPr defaultRowHeight="15" x14ac:dyDescent="0.25"/>
  <sheetData>
    <row r="1" spans="1:1" x14ac:dyDescent="0.25">
      <c r="A1" t="s">
        <v>520</v>
      </c>
    </row>
    <row r="3" spans="1:1" ht="15.75" x14ac:dyDescent="0.25">
      <c r="A3" s="17" t="str">
        <f>HYPERLINK("#'Home'!A1", "Home")</f>
        <v>Home</v>
      </c>
    </row>
    <row r="6" spans="1:1" x14ac:dyDescent="0.25">
      <c r="A6" s="154" t="s">
        <v>1</v>
      </c>
    </row>
    <row r="7" spans="1:1" ht="15.75" x14ac:dyDescent="0.25">
      <c r="A7" s="17" t="str">
        <f>HYPERLINK("#'Constants - Common'!A1", "Constants - Common")</f>
        <v>Constants - Common</v>
      </c>
    </row>
    <row r="8" spans="1:1" ht="15.75" x14ac:dyDescent="0.25">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