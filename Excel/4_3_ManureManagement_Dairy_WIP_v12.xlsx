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9A6D0A3-F4E2-46EB-80F4-A09DF9FB7156}" xr6:coauthVersionLast="47" xr6:coauthVersionMax="47" xr10:uidLastSave="{00000000-0000-0000-0000-000000000000}"/>
  <bookViews>
    <workbookView xWindow="1845" yWindow="1110" windowWidth="36255" windowHeight="19140" firstSheet="4" activeTab="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0"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0" i="70" l="1"/>
  <c r="E116" i="70"/>
  <c r="E115" i="70"/>
  <c r="E111" i="70"/>
  <c r="E110" i="70"/>
  <c r="E106" i="70"/>
  <c r="G120" i="70" s="1"/>
  <c r="E105" i="70"/>
  <c r="I119" i="70" s="1"/>
  <c r="I96" i="70"/>
  <c r="H96" i="70"/>
  <c r="G96" i="70"/>
  <c r="F96" i="70"/>
  <c r="E96" i="70"/>
  <c r="E91" i="70"/>
  <c r="E86" i="70"/>
  <c r="E81" i="70"/>
  <c r="I95" i="70" s="1"/>
  <c r="I70" i="70"/>
  <c r="H70" i="70"/>
  <c r="G70" i="70"/>
  <c r="F70" i="70"/>
  <c r="E70" i="70"/>
  <c r="I69" i="70"/>
  <c r="H69" i="70"/>
  <c r="G69" i="70"/>
  <c r="F69" i="70"/>
  <c r="E69" i="70"/>
  <c r="I68" i="70"/>
  <c r="H68" i="70"/>
  <c r="G68" i="70"/>
  <c r="F68" i="70"/>
  <c r="E68" i="70"/>
  <c r="I65" i="70"/>
  <c r="H65" i="70"/>
  <c r="G65" i="70"/>
  <c r="F65" i="70"/>
  <c r="E65" i="70"/>
  <c r="I64" i="70"/>
  <c r="H64" i="70"/>
  <c r="G64" i="70"/>
  <c r="F64" i="70"/>
  <c r="E64" i="70"/>
  <c r="I63" i="70"/>
  <c r="H63" i="70"/>
  <c r="G63" i="70"/>
  <c r="F63" i="70"/>
  <c r="E63" i="70"/>
  <c r="F50" i="70"/>
  <c r="D29" i="70"/>
  <c r="D28" i="70"/>
  <c r="D25" i="70"/>
  <c r="D24" i="70"/>
  <c r="G18" i="70"/>
  <c r="F18" i="70"/>
  <c r="E18" i="70"/>
  <c r="G14" i="70"/>
  <c r="F14" i="70"/>
  <c r="E14" i="70"/>
  <c r="D10" i="70"/>
  <c r="E33" i="15"/>
  <c r="E32" i="15"/>
  <c r="E31" i="15"/>
  <c r="E30" i="15"/>
  <c r="E29" i="15"/>
  <c r="E13" i="15"/>
  <c r="I223" i="69"/>
  <c r="H39" i="95" a="1"/>
  <c r="H39" i="95" s="1"/>
  <c r="A29" i="74"/>
  <c r="A28" i="74"/>
  <c r="A27" i="74"/>
  <c r="A26" i="74"/>
  <c r="A25" i="74"/>
  <c r="A21" i="74"/>
  <c r="A20" i="74"/>
  <c r="A19" i="74"/>
  <c r="A18" i="74"/>
  <c r="A17" i="74"/>
  <c r="A16" i="74"/>
  <c r="A15" i="74"/>
  <c r="A14" i="74"/>
  <c r="A10" i="74"/>
  <c r="A9" i="74"/>
  <c r="A5" i="74"/>
  <c r="A4" i="74"/>
  <c r="A3" i="74"/>
  <c r="A29" i="72"/>
  <c r="A28" i="72"/>
  <c r="A27" i="72"/>
  <c r="A26" i="72"/>
  <c r="A25" i="72"/>
  <c r="A21" i="72"/>
  <c r="A20" i="72"/>
  <c r="A19" i="72"/>
  <c r="A18" i="72"/>
  <c r="A17" i="72"/>
  <c r="A16" i="72"/>
  <c r="A15" i="72"/>
  <c r="A14" i="72"/>
  <c r="A10" i="72"/>
  <c r="A9" i="72"/>
  <c r="A5" i="72"/>
  <c r="A4" i="72"/>
  <c r="A3" i="72"/>
  <c r="A29" i="43"/>
  <c r="A28" i="43"/>
  <c r="A27" i="43"/>
  <c r="A26" i="43"/>
  <c r="A25" i="43"/>
  <c r="A21" i="43"/>
  <c r="A20" i="43"/>
  <c r="A19" i="43"/>
  <c r="A18" i="43"/>
  <c r="A17" i="43"/>
  <c r="A16" i="43"/>
  <c r="A15" i="43"/>
  <c r="A14" i="43"/>
  <c r="A10" i="43"/>
  <c r="A9" i="43"/>
  <c r="A5" i="43"/>
  <c r="A4" i="43"/>
  <c r="A3" i="43"/>
  <c r="A29" i="110"/>
  <c r="A28" i="110"/>
  <c r="A27" i="110"/>
  <c r="A26" i="110"/>
  <c r="A25" i="110"/>
  <c r="A21" i="110"/>
  <c r="A20" i="110"/>
  <c r="A19" i="110"/>
  <c r="A18" i="110"/>
  <c r="A17" i="110"/>
  <c r="A16" i="110"/>
  <c r="A15" i="110"/>
  <c r="A14" i="110"/>
  <c r="A10" i="110"/>
  <c r="A9" i="110"/>
  <c r="A5" i="110"/>
  <c r="A4" i="110"/>
  <c r="A3" i="110"/>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A29" i="71"/>
  <c r="A28" i="71"/>
  <c r="A27" i="71"/>
  <c r="A26" i="71"/>
  <c r="A25" i="71"/>
  <c r="A21" i="71"/>
  <c r="A20" i="71"/>
  <c r="A19" i="71"/>
  <c r="A18" i="71"/>
  <c r="A17" i="71"/>
  <c r="A16" i="71"/>
  <c r="A15" i="71"/>
  <c r="A14" i="71"/>
  <c r="A10" i="71"/>
  <c r="A9" i="71"/>
  <c r="A5" i="71"/>
  <c r="A4" i="71"/>
  <c r="A3" i="71"/>
  <c r="G9" i="79"/>
  <c r="G8" i="79"/>
  <c r="P231" i="69"/>
  <c r="P230" i="69"/>
  <c r="J45" i="98"/>
  <c r="I40" i="97"/>
  <c r="J45" i="96"/>
  <c r="I44" i="95"/>
  <c r="I63" i="82"/>
  <c r="I264" i="76"/>
  <c r="R50" i="98"/>
  <c r="G50" i="98"/>
  <c r="R48" i="97"/>
  <c r="G48" i="97"/>
  <c r="R56" i="96"/>
  <c r="G56" i="96"/>
  <c r="R55" i="95"/>
  <c r="G55" i="95"/>
  <c r="R71" i="82"/>
  <c r="G71" i="82"/>
  <c r="Q290" i="76"/>
  <c r="G290" i="76"/>
  <c r="R303" i="69"/>
  <c r="G303"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c r="D45" i="110" a="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c r="D35" i="110" a="1"/>
  <c r="D34" i="110"/>
  <c r="D34" i="110" a="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c r="D5" i="110" a="1"/>
  <c r="O37" i="69" a="1"/>
  <c r="O37" i="69" s="1"/>
  <c r="R37" i="69" a="1"/>
  <c r="R37" i="69" s="1"/>
  <c r="E32" i="97"/>
  <c r="E55" i="82"/>
  <c r="E37" i="98"/>
  <c r="E36" i="95" a="1"/>
  <c r="E95" i="70" l="1"/>
  <c r="F95" i="70"/>
  <c r="G95" i="70"/>
  <c r="E119" i="70"/>
  <c r="H95" i="70"/>
  <c r="F119" i="70"/>
  <c r="I120" i="70"/>
  <c r="G119" i="70"/>
  <c r="H119" i="70"/>
  <c r="E120" i="70"/>
  <c r="F120" i="70"/>
  <c r="E36" i="95"/>
  <c r="H50" i="110"/>
  <c r="H54" i="110"/>
  <c r="H53" i="110"/>
  <c r="H48" i="110"/>
  <c r="H52" i="110"/>
  <c r="H51" i="110"/>
  <c r="H49" i="110"/>
  <c r="J226" i="76" l="1" a="1"/>
  <c r="J226" i="76" s="1"/>
  <c r="O28" i="98"/>
  <c r="D28" i="98"/>
  <c r="O23" i="98"/>
  <c r="D23" i="98"/>
  <c r="I18" i="98"/>
  <c r="I14" i="98" s="1"/>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4" i="95" s="1"/>
  <c r="J17" i="95"/>
  <c r="J16" i="95"/>
  <c r="I65" i="82"/>
  <c r="I62" i="82" s="1"/>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I39" i="97" l="1"/>
  <c r="J46" i="96"/>
  <c r="J44" i="96" s="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7" a="1"/>
  <c r="E91" i="81" a="1"/>
  <c r="E7" i="98" a="1"/>
  <c r="E7" i="81" a="1"/>
  <c r="E37" i="96" a="1"/>
  <c r="E7" i="95" a="1"/>
  <c r="E7" i="96"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35" i="76" a="1"/>
  <c r="E120" i="69" a="1"/>
  <c r="E56" i="69" a="1"/>
  <c r="E153" i="76" a="1"/>
  <c r="E252" i="69" a="1"/>
  <c r="E8" i="69" a="1"/>
  <c r="E219" i="76" a="1"/>
  <c r="E85" i="69" a="1"/>
  <c r="E7" i="82" a="1"/>
  <c r="E186" i="69" a="1"/>
  <c r="E139" i="69" a="1"/>
  <c r="E109" i="76" a="1"/>
  <c r="E72" i="76" a="1"/>
  <c r="E212" i="69" a="1"/>
  <c r="E183" i="76" a="1"/>
  <c r="E7" i="76" a="1"/>
  <c r="E132" i="76" a="1"/>
  <c r="E256"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S25" i="96"/>
  <c r="T25" i="96"/>
  <c r="U25" i="96"/>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P229" i="69" s="1"/>
  <c r="D229" i="69"/>
  <c r="E229" i="69" s="1" a="1"/>
  <c r="E229" i="69" s="1"/>
  <c r="D94" i="70"/>
  <c r="D118" i="70"/>
  <c r="O232" i="69"/>
  <c r="P232" i="69" s="1"/>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H238" i="69" a="1"/>
  <c r="H238" i="69" s="1"/>
  <c r="F242" i="69" a="1"/>
  <c r="F242" i="69" s="1"/>
  <c r="J245" i="69" a="1"/>
  <c r="J245" i="69" s="1"/>
  <c r="H241" i="69" a="1"/>
  <c r="H241" i="69" s="1"/>
  <c r="E9" i="13" l="1"/>
  <c r="G70" i="82"/>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73" i="82" a="1"/>
  <c r="E73" i="82" s="1"/>
  <c r="H9" i="13" s="1"/>
  <c r="E10" i="13" l="1"/>
  <c r="G54" i="95"/>
  <c r="P57" i="95" a="1"/>
  <c r="P57" i="95" s="1"/>
  <c r="I10" i="13" s="1"/>
  <c r="F10" i="13"/>
  <c r="E57" i="95" a="1"/>
  <c r="E57" i="95" s="1"/>
  <c r="H10" i="13" s="1"/>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<sst xmlns="http://schemas.openxmlformats.org/spreadsheetml/2006/main" count="1643" uniqueCount="471">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</sst>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1">
    <v>13</v>
    <v>24</v>
  </rv>
</rvData>
</file>

<file path=xl/richData/rdrichvaluestructure.xml><?xml version="1.0" encoding="utf-8"?>
<rvStructures xmlns="http://schemas.microsoft.com/office/spreadsheetml/2017/richdata" count="2">
  <s t="_localImage">
    <k n="_rvRel:LocalImageIdentifier" t="i"/>
    <k n="CalcOrigin" t="i"/>
  </s>
  <s t="_error">
    <k n="errorType" t="i"/>
    <k n="subType"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43328F-89F6-40A3-8B08-6D6B0190A6F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D2AC9FE-FDCB-44C6-A7A2-5A9EE40882FC}" name="State/Territory">
      <calculatedColumnFormula array="1">Common_InputFunctions.Utility_DisplayArrayInTable(Common_SourceData.Common_SourceData_AustralianStatesTerritories_Data(),Table_AustralianStates[[#Headers],[State/Territory]],0)</calculatedColumnFormula>
    </tableColumn>
    <tableColumn id="2" xr3:uid="{34ED062C-0D40-495E-91CF-239E7C8049C2}" name="Common Name">
      <calculatedColumnFormula array="1">Common_InputFunctions.Utility_DisplayArrayInTable(Common_SourceData.Common_SourceData_AustralianStatesTerritories_Data(),Table_AustralianStates[[#Headers],[State/Territory]],0)</calculatedColumnFormula>
    </tableColumn>
    <tableColumn id="3" xr3:uid="{86BA58F9-1EE2-41CF-B0AF-DD283A046E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C07B2F0-D45A-4B5F-9365-D0D39F74FC4A}" name="Table_WASA4Areas" displayName="Table_WASA4Areas" ref="D20:D30" totalsRowShown="0">
  <autoFilter ref="D20:D30" xr:uid="{5FA81339-C6C8-4D36-BEEA-6C4AEDD9E676}">
    <filterColumn colId="0" hiddenButton="1"/>
  </autoFilter>
  <tableColumns count="1">
    <tableColumn id="1" xr3:uid="{EF4CA605-4830-4990-A153-33DBCB4EB09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B8994B-B843-4CC1-9C18-3905A7DFAFB3}" name="Table_GWPData" displayName="Table_GWPData" ref="D36:E43" totalsRowShown="0">
  <autoFilter ref="D36:E43" xr:uid="{B8E87A66-3E41-4AD3-925D-01EE21B43D7A}">
    <filterColumn colId="0" hiddenButton="1"/>
    <filterColumn colId="1" hiddenButton="1"/>
  </autoFilter>
  <tableColumns count="2">
    <tableColumn id="1" xr3:uid="{92859857-E37B-4834-BCAD-F2AD4753C955}" name="Gas">
      <calculatedColumnFormula array="1">Common_InputFunctions.Utility_DisplayArrayInTable(Common_SourceData.Common_SourceData_GWP_Data(), Table_GWPData[[#Headers],[Gas]], 0)</calculatedColumnFormula>
    </tableColumn>
    <tableColumn id="2" xr3:uid="{252BDD8D-4E3C-419C-BCE9-F976EE9B169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3629775-F60E-413E-B1B0-D820DBF917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30BCDB0-7AAA-4239-B278-1090DD89AF92}" name="Gas">
      <calculatedColumnFormula array="1">Common_InputFunctions.Utility_DisplayArrayInTable(Common_SourceData.Common_SourceData_ConvertGasElementalToMolecular_Data(),Table_GasToMolecularConversionFactor[[#Headers],[Gas]], 0)</calculatedColumnFormula>
    </tableColumn>
    <tableColumn id="5" xr3:uid="{22E3A412-E46D-4E41-86CA-91CE7EAA0B18}" name="Conversion factor">
      <calculatedColumnFormula array="1">Common_InputFunctions.Utility_DisplayArrayInTable(Common_SourceData.Common_SourceData_ConvertGasElementalToMolecular_Data(),Table_GasToMolecularConversionFactor[[#Headers],[Gas]], 0)</calculatedColumnFormula>
    </tableColumn>
    <tableColumn id="2" xr3:uid="{27916ED3-937D-4C71-BEDF-41BCA085167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A37ED5-B78B-4A56-B4A1-82F4D9A1D0E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0194D2-0FD9-4B20-820D-66C414F85BC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5181BF1-0B4D-49F6-90CA-861D34B8AEB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08451-2A02-4AEC-A97E-3282AB44D0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1C220-C478-4FB6-9032-415C3644365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27A52EAE-5CAE-4519-BC51-F73F591E9327}"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97B6E421-2E3B-4879-9840-60249B49CAAD}"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E3E7BF59-B555-4BA4-9F41-570D8764BC26}"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B8E97CF3-CF29-4293-8BB8-57AF7A7B46C8}"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57FBBF1D-96A7-4539-B80C-8CAEF7E58EC9}"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91228659-2453-404B-A3EC-675B965654F2}"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A42C51A7-410D-40D2-B3FD-268B75DD6A69}"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6928653B-E238-4C03-8B2E-1DD530B292EA}"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E244F4BA-A3D5-4FF0-8510-6B5D07C9AE54}"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FF92AB3-A57B-4EDF-AB45-AD5F9C3C18C9}"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B09EF523-2FBE-453C-A084-D5094BBCC173}"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25CB5178-4D52-4140-A525-FCF50469D0F4}"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39CB1131-367B-4DE2-84D6-DCA507D2AA21}"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9A71E8E6-EF76-4C61-A864-97E7D0B485B5}"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59A177-155A-4954-9800-069E781F0F3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D8328E5-72AE-48E8-A08C-622E4C2610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80DED5-E685-4D8F-9A59-FC748C6D6B2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9FE58B5-04E9-4C75-B111-C4543E895D6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2A436E9-1864-4B9E-8E06-64C5B6818ABA}" name="Temperature Zone">
      <calculatedColumnFormula array="1">Common_InputFunctions.Utility_DisplayArrayInTable(Common_SourceData.Common_SourceData_TemperatureZones_Data(),Table_SourceData_TemperatureZones[[#Headers],[Temperature Zone]],0)</calculatedColumnFormula>
    </tableColumn>
    <tableColumn id="2" xr3:uid="{14652FBB-8CF2-4C32-B5DB-4B9319B94678}" name="MAT">
      <calculatedColumnFormula array="1">Common_InputFunctions.Utility_DisplayArrayInTable(Common_SourceData.Common_SourceData_TemperatureZones_Data(),Table_SourceData_TemperatureZones[[#Headers],[Temperature Zone]],0)</calculatedColumnFormula>
    </tableColumn>
    <tableColumn id="3" xr3:uid="{D9265CE7-4B91-49F0-B8A4-255A33C6FA85}" name="Min MAT">
      <calculatedColumnFormula array="1">Common_InputFunctions.Utility_DisplayArrayInTable(Common_SourceData.Common_SourceData_TemperatureZones_Data(),Table_SourceData_TemperatureZones[[#Headers],[Temperature Zone]],0)</calculatedColumnFormula>
    </tableColumn>
    <tableColumn id="4" xr3:uid="{52DC5FA6-562A-4619-808A-AB04A170508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3E00E7-D0CA-41B3-B83B-03932F4F225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94CBE0B-78C7-46B4-B1FA-B174EA7E2CEE}" name="Rainfall Zone">
      <calculatedColumnFormula array="1">Common_InputFunctions.Utility_DisplayArrayInTable(Common_SourceData.Common_SourceData_RainfallZones_Data(),Table_SourceData_RainfallZones[[#Headers],[Rainfall Zone]],0)</calculatedColumnFormula>
    </tableColumn>
    <tableColumn id="2" xr3:uid="{DB43A04D-848E-42CF-9FC6-41E1AA98C7CE}" name="Annual rainfall">
      <calculatedColumnFormula array="1">Common_InputFunctions.Utility_DisplayArrayInTable(Common_SourceData.Common_SourceData_RainfallZones_Data(),Table_SourceData_RainfallZones[[#Headers],[Rainfall Zone]],0)</calculatedColumnFormula>
    </tableColumn>
    <tableColumn id="3" xr3:uid="{FECF2476-1093-45C5-B8BC-10E40617CEB2}" name="Min rainfall">
      <calculatedColumnFormula array="1">Common_InputFunctions.Utility_DisplayArrayInTable(Common_SourceData.Common_SourceData_RainfallZones_Data(),Table_SourceData_RainfallZones[[#Headers],[Rainfall Zone]],0)</calculatedColumnFormula>
    </tableColumn>
    <tableColumn id="4" xr3:uid="{6C2BF44B-AB8F-43F0-A3CC-2724C731A38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593D77D-B8CF-422B-9970-1E42818051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F366C8B-46C9-4048-9CF5-A2DFCF15238D}" name="Leaching Zone">
      <calculatedColumnFormula array="1">Common_InputFunctions.Utility_DisplayArrayInTable(Common_SourceData.Common_SourceData_LeachingZones_Data(), Table_SourceData_LeachingZones[[#Headers],[Leaching Zone]], 0)</calculatedColumnFormula>
    </tableColumn>
    <tableColumn id="2" xr3:uid="{CDCAD202-A77D-44DC-BE5E-E6C3238B421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B7DA101-8FD7-4254-92AC-A339F871198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11A1115-68A3-4200-9618-07F2525D24D4}" name="Data source">
      <calculatedColumnFormula array="1">Common_InputFunctions.Utility_DisplayArrayInTable(Common_SourceData.Common_SourceData_DataScores_Scope3_Data(), Table_SourceData_DataScores_Scope3[[#Headers],[Data source]], 0)</calculatedColumnFormula>
    </tableColumn>
    <tableColumn id="2" xr3:uid="{0E947C80-3BBD-4D3E-BE0A-97B0DA8A60D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B8C267E-CA70-43F0-A9D7-58DE190630DE}" name="Table_SourceData_FracWET" displayName="Table_SourceData_FracWET" ref="D134:E136" totalsRowShown="0">
  <autoFilter ref="D134:E136" xr:uid="{308E99BE-FE1F-47A4-B2CA-97217277C4E9}">
    <filterColumn colId="0" hiddenButton="1"/>
    <filterColumn colId="1" hiddenButton="1"/>
  </autoFilter>
  <tableColumns count="2">
    <tableColumn id="1" xr3:uid="{212E479D-4D6F-4422-8D80-14FAEEE5040C}" name="Is in leaching zone">
      <calculatedColumnFormula array="1">Common_InputFunctions.Utility_DisplayArrayInTable(Common_SourceData.Common_SourceData_FracWET_Data(),Table_SourceData_FracWET[[#Headers],[Is in leaching zone]],0)</calculatedColumnFormula>
    </tableColumn>
    <tableColumn id="2" xr3:uid="{427AABAD-0AA4-4528-9E8C-86CA6A44408F}"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57269D-072D-4265-AEA5-850507292A1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40BB269-B826-4DB6-9DE7-C4105B644678}" name="Production system j">
      <calculatedColumnFormula array="1">Common_InputFunctions.Utility_DisplayArrayInTable(Common_SourceData.Common_SourceData_EFN2O_Data(), Table_SourceData_Common_EFN2O[[#Headers],[Production system j]], 0)</calculatedColumnFormula>
    </tableColumn>
    <tableColumn id="2" xr3:uid="{63C5BBDC-C908-4506-BCBB-4CEC6365B783}" name="EFN2O">
      <calculatedColumnFormula array="1">Common_InputFunctions.Utility_DisplayArrayInTable(Common_SourceData.Common_SourceData_EFN2O_Data(), Table_SourceData_Common_EFN2O[[#Headers],[Production system j]], 0)</calculatedColumnFormula>
    </tableColumn>
    <tableColumn id="3" xr3:uid="{4D3263E6-BF4C-4311-9F81-76A999D1D45F}" name="Production system only">
      <calculatedColumnFormula array="1">Common_InputFunctions.Utility_DisplayArrayInTable(Common_SourceData.Common_SourceData_EFN2O_Data(), Table_SourceData_Common_EFN2O[[#Headers],[Production system j]], 0)</calculatedColumnFormula>
    </tableColumn>
    <tableColumn id="4" xr3:uid="{E7F9C24B-8B74-4C71-ABA4-5BDD85AED4E6}" name="Irrigation method">
      <calculatedColumnFormula array="1">Common_InputFunctions.Utility_DisplayArrayInTable(Common_SourceData.Common_SourceData_EFN2O_Data(), Table_SourceData_Common_EFN2O[[#Headers],[Production system j]], 0)</calculatedColumnFormula>
    </tableColumn>
    <tableColumn id="5" xr3:uid="{75302D92-EE69-4509-9C30-B08F5087496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6EA4A29-F311-4792-9CAA-0AF16ACEF9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DED6A73-F199-49A7-B070-6D3F05AC4F3A}" name="Irrigation type i">
      <calculatedColumnFormula array="1">Common_InputFunctions.Utility_DisplayArrayInTable(Common_SourceData.Common_SourceData_FracWETIrrigation_Data(), Table_SourceData_FracWETIrrigation[[#Headers],[Irrigation type i]], 0)</calculatedColumnFormula>
    </tableColumn>
    <tableColumn id="2" xr3:uid="{083AB535-118A-4078-B2CA-8F1E0359D524}"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AEFA1AD-68D3-457E-891C-891980B7F6C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E6BE192-53FF-47C2-BF89-2DDB4B2A96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6C0D436-5324-493A-8310-BA81E76CED16}"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7AC7120-B2AB-45C6-8A23-E4AF8DA463D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A1048CF-429D-4231-BDD7-6338596E7895}" name="Month">
      <calculatedColumnFormula array="1">Common_InputFunctions.Utility_DisplayArrayInTable(Common_SourceData.Common_SourceData_MonthsToSeasons_Data(), Table_SourceData_Common_MonthToSeason[[#Headers],[Month]], 0)</calculatedColumnFormula>
    </tableColumn>
    <tableColumn id="2" xr3:uid="{27B49675-3329-41DB-9596-F02B5A767BCD}"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2DC1E38-D851-408E-987E-A027329476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93E9EAE-7E83-4F68-8FA0-5FCD9894AB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61C5F54-69A0-4463-8340-E134A1D93C24}"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E7BF5BE-F247-442E-ABD8-AB2C00F77922}"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FEE3766-2C01-43B6-A036-3FBC24F46A24}"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E099EED-B3BC-4AA3-8B36-B45D911AE875}"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D45B4B9-2125-4CAC-A6EE-4AD62E784551}"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F7125D1-D5B7-4ABD-BE38-D6037EB0C7E8}"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F3F7ED9-DE9F-4414-871B-282E82D31E55}"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7DB74DE-4B71-4A06-81B7-4C9B57474A69}"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FA4515F-3589-4EF9-B5D6-47D9939862B6}"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383582-EF1D-4381-826F-10702DCF7F72}"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F99F52-0078-4D65-A99E-B69BC7138280}"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E73CF0-9C6F-4BA9-8FF7-859E093A911C}"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EF6E118-8302-4505-9165-508B2529398C}"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6F612AF-4732-4752-90B8-D2E836C6D7CC}"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448C8F9-F66A-4F65-A9CF-0AB34980166F}"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D711B36-FAB5-4D81-A9CA-D5554B8443F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AAB1132-CFAF-47F3-9325-DEF1E40F4F8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DCBDD51-9A82-4BB1-99A6-285A00BE777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1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17"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6.3172161253287021E-2</v>
      </c>
      <c r="F8" s="113">
        <f>VEERG_4_3_1_3__1_TotalAnnualDirectNitrousOxideEmissionsFromMMS_Result_Method2</f>
        <v>6.3172161253287021E-2</v>
      </c>
      <c r="G8" s="55" t="str">
        <f>'4.3.1.3-4 Direct N20'!$F$287</f>
        <v>t N2O</v>
      </c>
      <c r="H8" s="113">
        <f>'4.3.1.3-4 Direct N20'!$E$292</f>
        <v>16.740622732121061</v>
      </c>
      <c r="I8" s="113">
        <f>'4.3.1.3-4 Direct N20'!$O$292</f>
        <v>16.740622732121061</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5.0665467159299066E-2</v>
      </c>
      <c r="F9" s="113">
        <f>VEERG_4_3_1_5__1_AnnualAtmosphericDepositionEmissionsFromMMS_Result_Method2</f>
        <v>5.0665467159299066E-2</v>
      </c>
      <c r="G9" s="55" t="str">
        <f>'4.3.1.5 Atmos deposition'!$F$68</f>
        <v>t N2O</v>
      </c>
      <c r="H9" s="113">
        <f>'4.3.1.5 Atmos deposition'!$E$73</f>
        <v>13.426348797214253</v>
      </c>
      <c r="I9" s="113">
        <f>'4.3.1.5 Atmos deposition'!$P$73</f>
        <v>13.426348797214253</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2.779575095144629E-3</v>
      </c>
      <c r="F10" s="113">
        <f>VEERG_4_3_1_6__1_AnnualEmissionsFromLeachingAndRunoffFromMMS_Result_Method2</f>
        <v>2.779575095144629E-3</v>
      </c>
      <c r="G10" s="55" t="str">
        <f>'4.3.1.6-7 Leaching and runoff'!$F$52</f>
        <v>t N2O</v>
      </c>
      <c r="H10" s="113">
        <f>'4.3.1.6-7 Leaching and runoff'!$E$57</f>
        <v>0.73658740021332669</v>
      </c>
      <c r="I10" s="113">
        <f>'4.3.1.6-7 Leaching and runoff'!$P$57</f>
        <v>0.73658740021332669</v>
      </c>
      <c r="J10" s="55" t="str">
        <f>'4.3.1.6-7 Leaching and runoff'!$F$57</f>
        <v>t CO2e</v>
      </c>
      <c r="K10" s="23"/>
    </row>
    <row r="11" spans="1:11" ht="20.100000000000001" customHeight="1" x14ac:dyDescent="0.25">
      <c r="C11" s="23"/>
      <c r="D11" s="1" t="s">
        <v>348</v>
      </c>
      <c r="E11" s="113">
        <f>VEERG_4_3_1_9__1_DirectNitrousOxideEmissionsOnPasture_Result_Method1</f>
        <v>8.0033058384947273E-2</v>
      </c>
      <c r="F11" s="113">
        <f>VEERG_4_3_1_9__1_DirectNitrousOxideEmissionsOnPasture_Result_Method2</f>
        <v>8.0033058384947273E-2</v>
      </c>
      <c r="G11" s="55" t="str">
        <f>'4.3.1.9 Soil direct N2O'!$F$53</f>
        <v>t N2O</v>
      </c>
      <c r="H11" s="113">
        <f>'4.3.1.9 Soil direct N2O'!$E$58</f>
        <v>21.208760472011026</v>
      </c>
      <c r="I11" s="113">
        <f>'4.3.1.9 Soil direct N2O'!$P$58</f>
        <v>21.208760472011026</v>
      </c>
      <c r="J11" s="55" t="str">
        <f>'4.3.1.9 Soil direct N2O'!$F$58</f>
        <v>t CO2e</v>
      </c>
      <c r="K11" s="23"/>
    </row>
    <row r="12" spans="1:11" ht="20.100000000000001" customHeight="1" x14ac:dyDescent="0.25">
      <c r="C12" s="23"/>
      <c r="D12" s="1" t="s">
        <v>364</v>
      </c>
      <c r="E12" s="113">
        <f>VEERG_4_3_1_10__1_AtmosphericDepositionEmissionsFromUrineAndDungOnPasture_Result_Method1</f>
        <v>4.958047966947482E-2</v>
      </c>
      <c r="F12" s="113">
        <f>VEERG_4_3_1_10__1_AtmosphericDepositionEmissionsFromUrineAndDungOnPasture_Result_Method2</f>
        <v>4.958047966947482E-2</v>
      </c>
      <c r="G12" s="55" t="str">
        <f>'4.3.1.10-11 Soil Atmos Dep'!$F$45</f>
        <v>t N2O</v>
      </c>
      <c r="H12" s="113">
        <f>'4.3.1.10-11 Soil Atmos Dep'!$E$50</f>
        <v>13.138827112410826</v>
      </c>
      <c r="I12" s="113">
        <f>'4.3.1.10-11 Soil Atmos Dep'!$P$50</f>
        <v>13.138827112410826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0.10564363706813039</v>
      </c>
      <c r="F13" s="113">
        <f>VEERG_4_3_1_12__1_LeachingAndRunoffEmissionsFromUrineAndDungOnPasture_Result_Method2</f>
        <v>0.10564363706813039</v>
      </c>
      <c r="G13" s="55" t="str">
        <f>'4.3.1.12-13 Soil leach runoff'!$F$47</f>
        <v>t N2O</v>
      </c>
      <c r="H13" s="113">
        <f>'4.3.1.12-13 Soil leach runoff'!$E$52</f>
        <v>27.995563823054553</v>
      </c>
      <c r="I13" s="113">
        <f>'4.3.1.12-13 Soil leach runoff'!$P$52</f>
        <v>27.995563823054553</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382.04838578730676</v>
      </c>
      <c r="I14" s="115">
        <f ca="1">SUM(I7:I13)</f>
        <v>391.18649633201073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12417.473379475077</v>
      </c>
      <c r="F20" s="117">
        <f ca="1">VEERG_4_3_1_8__1_MassOfNitrogenAppliedToSoilsScope1_Result_Method2</f>
        <v>12417.473379475077</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4139.1577931583588</v>
      </c>
      <c r="F21" s="117">
        <f>'4.3.1.8 Manure applied to soils'!$P$148</f>
        <v>4139.1577931583588</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4139.1577931583588</v>
      </c>
      <c r="F22" s="117">
        <f ca="1">VEERG_4_3_1_8__2_MassOfNitrogenAppliedToSoilsScope3_Result_Method2</f>
        <v>4139.1577931583588</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abSelected="1" topLeftCell="A25" zoomScaleNormal="10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13" zoomScaleNormal="100" workbookViewId="0">
      <selection activeCell="D228" sqref="D22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268"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1.671497576209267E-2</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1.671497576209267E-2</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0.58398431951631957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0.58398431951631957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21315.427662345664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21315.427662345664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468.93940857160464</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468.93940857160464</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468.93940857160464</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468.93940857160464</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468.93940857160464</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468.93940857160464</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937.87881714320918</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937.87881714320918</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1897.073061948764</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1897.073061948764</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1517.6584495590114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1517.6584495590114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1517.6584495590114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1517.6584495590114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2655.9022867282697</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2655.9022867282697</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7.3690478489823576E-3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7.3690478489823576E-3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2.0867803681436405E-2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2.0867803681436405E-2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6.3172161253287021E-2</v>
      </c>
      <c r="F287" s="106" t="str">
        <f>$E$260</f>
        <v>t N2O</v>
      </c>
      <c r="N287" s="104" t="s">
        <v>117</v>
      </c>
      <c r="O287" s="105">
        <f>SUM(P278:T285)</f>
        <v>6.3172161253287021E-2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6.3172161253287021E-2</v>
      </c>
      <c r="N289" s="58" t="str" cm="1">
        <f t="array" ref="N289:O290">Common_Equations.Common_ConvertN2OToCO2e_Arguments()</f>
        <v>EN2O</v>
      </c>
      <c r="O289" s="59" t="str">
        <v>Nitrous oxide emissions (t N2O)</v>
      </c>
      <c r="P289" s="107"/>
      <c r="Q289" s="53">
        <f>VEERG_4_3_1_3__1_TotalAnnualDirectNitrousOxideEmissionsFromMMS_Result_Method2</f>
        <v>6.3172161253287021E-2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16.740622732121061</v>
      </c>
      <c r="F292" s="108" t="str" cm="1">
        <f t="array" ref="F292">Common_Equations.Common_ConvertN2OToCO2e_Unit()</f>
        <v>t CO2e</v>
      </c>
      <c r="N292" s="46" t="s">
        <v>104</v>
      </c>
      <c r="O292" s="46" cm="1">
        <f t="array" ref="O292">Common_Equations.Common_ConvertN2OToCO2e(Q289,Q290)</f>
        <v>16.740622732121061</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468.93940857160464</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468.93940857160464</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468.93940857160464</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468.93940857160464</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468.93940857160464</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468.93940857160464</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937.87881714320918</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937.87881714320918</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1897.073061948764</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1897.073061948764</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1517.6584495590114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1517.6584495590114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1517.6584495590114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1517.6584495590114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2655.9022867282697</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2655.9022867282697</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164.12879300006162</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164.12879300006162</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32.825758600012328</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32.825758600012328</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93.787881714320932</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93.787881714320932</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281.36364514296275</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281.36364514296275</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663.97557168206731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663.97557168206731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106.23609146913081</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106.23609146913081</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303.53168991180229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303.53168991180229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796.77068601848089</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796.77068601848089</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5464.6882914498228</v>
      </c>
      <c r="F49" s="108" t="str">
        <f>$E$11</f>
        <v>kg N</v>
      </c>
      <c r="O49" s="114" t="s">
        <v>375</v>
      </c>
      <c r="P49" s="46">
        <f>SUM(Q40:U47)</f>
        <v>5464.6882914498228</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5464.6882914498228</v>
      </c>
      <c r="O61" s="58" t="str">
        <f>D61</f>
        <v>MN_ATMOS</v>
      </c>
      <c r="P61" s="59" t="str">
        <f>E61</f>
        <v>mass of N volatilised from MMS</v>
      </c>
      <c r="Q61" s="60"/>
      <c r="R61" s="58">
        <f>$P$49</f>
        <v>5464.6882914498228</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5.0665467159299066E-2</v>
      </c>
      <c r="F68" s="106" t="str">
        <f>$E$59</f>
        <v>t N2O</v>
      </c>
      <c r="O68" s="104" t="s">
        <v>320</v>
      </c>
      <c r="P68" s="105" cm="1">
        <f t="array" ref="P68">MMS_Dairy_AtmosphericDeposition_Equations.VEERG_4_3_1_5__1_AnnualAtmosphericDepositionEmissionsFromMMS($R$61,$I$62,$I$63)</f>
        <v>5.0665467159299066E-2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5.0665467159299066E-2</v>
      </c>
      <c r="O70" s="58" t="str" cm="1">
        <f t="array" ref="O70:P71">Common_Equations.Common_ConvertN2OToCO2e_Arguments()</f>
        <v>EN2O</v>
      </c>
      <c r="P70" s="59" t="str">
        <v>Nitrous oxide emissions (t N2O)</v>
      </c>
      <c r="Q70" s="107"/>
      <c r="R70" s="53">
        <f>VEERG_4_3_1_5__1_AnnualAtmosphericDepositionEmissionsFromMMS_Result_Method2</f>
        <v>5.0665467159299066E-2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13.426348797214253</v>
      </c>
      <c r="F73" s="108" t="str" cm="1">
        <f t="array" ref="F73">Common_Equations.Common_ConvertN2OToCO2e_Unit()</f>
        <v>t CO2e</v>
      </c>
      <c r="O73" s="46" t="s">
        <v>104</v>
      </c>
      <c r="P73" s="46" cm="1">
        <f t="array" ref="P73">Common_Equations.Common_ConvertN2OToCO2e(R70,R71)</f>
        <v>13.426348797214253</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zoomScaleNormal="100" workbookViewId="0">
      <selection activeCell="P52" sqref="P5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937.87881714320918</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937.87881714320918</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2655.9022867282697</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2655.9022867282697</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18.757576342864184</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18.757576342864184</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53.118045734565392</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53.118045734565392</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c r="H39" s="1" t="e" cm="1" vm="2">
        <f t="array" ref="H39">MMS_Dairy_LeachingAndRunoff_Equations.VEERG_4_3_1_6__1_AnnualEmissionsFromLeachingAndRunoffFromMMS</f>
        <v>#VALUE!</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3.2423810535522375E-4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3.2423810535522375E-4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9.1818336198320159E-4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9.1818336198320159E-4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2.779575095144629E-3</v>
      </c>
      <c r="F52" s="106" t="str">
        <f>$E$40</f>
        <v>t N2O</v>
      </c>
      <c r="O52" s="104" t="s">
        <v>320</v>
      </c>
      <c r="P52" s="105">
        <f>SUM(Q49:U50)</f>
        <v>2.779575095144629E-3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2.779575095144629E-3</v>
      </c>
      <c r="O54" s="58" t="str" cm="1">
        <f t="array" ref="O54:P55">Common_Equations.Common_ConvertN2OToCO2e_Arguments()</f>
        <v>EN2O</v>
      </c>
      <c r="P54" s="59" t="str">
        <v>Nitrous oxide emissions (t N2O)</v>
      </c>
      <c r="Q54" s="107"/>
      <c r="R54" s="53">
        <f>VEERG_4_3_1_6__1_AnnualEmissionsFromLeachingAndRunoffFromMMS_Result_Method2</f>
        <v>2.779575095144629E-3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0.73658740021332669</v>
      </c>
      <c r="F57" s="108" t="str" cm="1">
        <f t="array" ref="F57">Common_Equations.Common_ConvertN2OToCO2e_Unit()</f>
        <v>t CO2e</v>
      </c>
      <c r="O57" s="46" t="s">
        <v>104</v>
      </c>
      <c r="P57" s="46" cm="1">
        <f t="array" ref="P57">Common_Equations.Common_ConvertN2OToCO2e(R54,R55)</f>
        <v>0.73658740021332669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468.93940857160464</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468.93940857160464</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468.93940857160464</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468.93940857160464</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468.93940857160464</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468.93940857160464</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937.87881714320918</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937.87881714320918</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1897.073061948764</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1897.073061948764</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1517.6584495590114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1517.6584495590114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1517.6584495590114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1517.6584495590114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2655.9022867282697</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2655.9022867282697</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18.757576342864184</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18.757576342864184</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53.118045734565392</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53.118045734565392</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228.60796167865729</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228.60796167865729</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327.08523747869424</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327.08523747869424</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281.36364514296281</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281.36364514296281</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474.80115117874976</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474.80115117874976</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924.82311770002252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924.82311770002252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1058.5667685674102</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1058.5667685674102</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910.59506973540692</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910.59506973540692</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1344.5505326561865</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1344.5505326561865</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12417.473379475077</v>
      </c>
      <c r="F85" s="106" t="str">
        <f>$E$11</f>
        <v>kg N</v>
      </c>
      <c r="O85" s="104" t="s">
        <v>127</v>
      </c>
      <c r="P85" s="105">
        <f ca="1">SUM(Q76:U83)</f>
        <v>12417.473379475077</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76.202653892885763</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76.202653892885763</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109.02841249289807</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109.02841249289807</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93.787881714320932</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93.787881714320932</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158.26705039291659</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158.26705039291659</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308.27437256667417</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308.27437256667417</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352.8555895224701</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352.8555895224701</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303.53168991180229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303.53168991180229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448.18351088539555</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448.18351088539555</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4139.1577931583588</v>
      </c>
      <c r="F115" s="106" t="str">
        <f>$E$11</f>
        <v>kg N</v>
      </c>
      <c r="O115" s="104" t="s">
        <v>343</v>
      </c>
      <c r="P115" s="105">
        <f ca="1">SUM(Q106:U113)</f>
        <v>4139.1577931583588</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76.202653892885763</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76.202653892885763</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109.02841249289807</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109.02841249289807</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93.787881714320932</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93.787881714320932</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158.26705039291659</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158.26705039291659</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308.27437256667417</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308.27437256667417</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352.8555895224701</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352.8555895224701</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303.53168991180229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303.53168991180229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448.18351088539555</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448.18351088539555</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4139.1577931583588</v>
      </c>
      <c r="F148" s="106" t="str">
        <f>$E$95</f>
        <v>kg N</v>
      </c>
      <c r="O148" s="104" t="s">
        <v>134</v>
      </c>
      <c r="P148" s="105">
        <f>SUM(Q139:U146)</f>
        <v>4139.1577931583588</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21315.427662345664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21315.427662345664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11382.438371692586</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11382.438371692586</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3.5773377739605275E-2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3.5773377739605275E-2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8.0033058384947273E-2</v>
      </c>
      <c r="F53" s="106" t="str">
        <f>$E$41</f>
        <v>t N2O</v>
      </c>
      <c r="O53" s="104" t="s">
        <v>117</v>
      </c>
      <c r="P53" s="105">
        <f>SUM(Q51:U51)</f>
        <v>8.0033058384947273E-2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8.0033058384947273E-2</v>
      </c>
      <c r="O55" s="58" t="str" cm="1">
        <f t="array" ref="O55:P56">Common_Equations.Common_ConvertN2OToCO2e_Arguments()</f>
        <v>EN2O</v>
      </c>
      <c r="P55" s="59" t="str">
        <v>Nitrous oxide emissions (t N2O)</v>
      </c>
      <c r="Q55" s="107"/>
      <c r="R55" s="53">
        <f>VEERG_4_3_1_9__1_DirectNitrousOxideEmissionsOnPasture_Result_Method2</f>
        <v>8.0033058384947273E-2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21.208760472011026</v>
      </c>
      <c r="F58" s="108" t="str" cm="1">
        <f t="array" ref="F58">Common_Equations.Common_ConvertN2OToCO2e_Unit()</f>
        <v>t CO2e</v>
      </c>
      <c r="O58" s="46" t="s">
        <v>104</v>
      </c>
      <c r="P58" s="46" cm="1">
        <f t="array" ref="P58">Common_Equations.Common_ConvertN2OToCO2e(R55,R56)</f>
        <v>21.208760472011026</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11382.438371692586</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11382.438371692586</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2390.3120580554428</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2390.3120580554428</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5347.6634466305668</v>
      </c>
      <c r="F26" s="108" t="str">
        <f>$E$11</f>
        <v>kg N</v>
      </c>
      <c r="O26" s="114" t="s">
        <v>374</v>
      </c>
      <c r="P26" s="46">
        <f>SUM(Q24:U24)</f>
        <v>5347.6634466305668</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5347.6634466305668</v>
      </c>
      <c r="O38" s="58" t="str">
        <f>D38</f>
        <v>M_vol_m14</v>
      </c>
      <c r="P38" s="58" t="str">
        <f>E38</f>
        <v>mass of nitrogen volatilised from urine and faeces deposited on pasture</v>
      </c>
      <c r="Q38" s="59"/>
      <c r="R38" s="60"/>
      <c r="S38" s="58">
        <f>$P$26</f>
        <v>5347.6634466305668</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4.958047966947482E-2</v>
      </c>
      <c r="F45" s="106" t="str">
        <f>$E$36</f>
        <v>t N2O</v>
      </c>
      <c r="O45" s="104" t="s">
        <v>149</v>
      </c>
      <c r="P45" s="105" cm="1">
        <f t="array" ref="P45">MMS_Dairy_Soil_AtmosphericDeposition_Equations.VEERG_4_3_1_10__1_AtmosphericDepositionEmissionsFromUrineAndDungOnPasture($S$38,$I$39,$I$40)</f>
        <v>4.958047966947482E-2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4.958047966947482E-2</v>
      </c>
      <c r="O47" s="58" t="str" cm="1">
        <f t="array" ref="O47:P48">Common_Equations.Common_ConvertN2OToCO2e_Arguments()</f>
        <v>EN2O</v>
      </c>
      <c r="P47" s="59" t="str">
        <v>Nitrous oxide emissions (t N2O)</v>
      </c>
      <c r="Q47" s="107"/>
      <c r="R47" s="53">
        <f>VEERG_4_3_1_10__1_AtmosphericDepositionEmissionsFromUrineAndDungOnPasture_Result_Method2</f>
        <v>4.958047966947482E-2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13.138827112410826</v>
      </c>
      <c r="F50" s="108" t="str" cm="1">
        <f t="array" ref="F50">Common_Equations.Common_ConvertN2OToCO2e_Unit()</f>
        <v>t CO2e</v>
      </c>
      <c r="O50" s="46" t="s">
        <v>104</v>
      </c>
      <c r="P50" s="46" cm="1">
        <f t="array" ref="P50">Common_Equations.Common_ConvertN2OToCO2e(R47,R48)</f>
        <v>13.138827112410826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Common_InputFunctions.CommonCropping_GetFracWET(I16,I18,#REF!,#REF!,Table_SourceData_FracWETIrrigation[Irrigation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11382.438371692586</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11382.438371692586</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2731.7852092062203</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2731.7852092062203</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6111.6153675777914</v>
      </c>
      <c r="F30" s="108" t="str">
        <f>$E$11</f>
        <v>kg N</v>
      </c>
      <c r="O30" s="114" t="s">
        <v>373</v>
      </c>
      <c r="P30" s="46">
        <f>SUM(Q28:U28)</f>
        <v>6111.6153675777914</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6111.6153675777914</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6111.6153675777914</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0.10564363706813039</v>
      </c>
      <c r="F47" s="106" t="str">
        <f>$E$41</f>
        <v>t N2O</v>
      </c>
      <c r="O47" s="104" t="s">
        <v>372</v>
      </c>
      <c r="P47" s="105" cm="1">
        <f t="array" ref="P47">MMS_Dairy_Soil_LeachingAndRunoff.VEERG_4_3_1_12__1_LeachingAndRunoffEmissionsFromUrineAndDungOnPasture($U$43,$J$44,$J$45)</f>
        <v>0.10564363706813039</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0.10564363706813039</v>
      </c>
      <c r="O49" s="58" t="str" cm="1">
        <f t="array" ref="O49:P50">Common_Equations.Common_ConvertN2OToCO2e_Arguments()</f>
        <v>EN2O</v>
      </c>
      <c r="P49" s="59" t="str">
        <v>Nitrous oxide emissions (t N2O)</v>
      </c>
      <c r="Q49" s="107"/>
      <c r="R49" s="53">
        <f>VEERG_4_3_1_12__1_LeachingAndRunoffEmissionsFromUrineAndDungOnPasture_Result_Method2</f>
        <v>0.10564363706813039</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27.995563823054553</v>
      </c>
      <c r="F52" s="108" t="str" cm="1">
        <f t="array" ref="F52">Common_Equations.Common_ConvertN2OToCO2e_Unit()</f>
        <v>t CO2e</v>
      </c>
      <c r="O52" s="46" t="s">
        <v>104</v>
      </c>
      <c r="P52" s="46" cm="1">
        <f t="array" ref="P52">Common_Equations.Common_ConvertN2OToCO2e(R49,R50)</f>
        <v>27.995563823054553</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D9BD9-2D5E-442D-A6F0-C7282DA04AC5}">
  <dimension ref="A1:BY259"/>
  <sheetViews>
    <sheetView showGridLines="0" topLeftCell="A86" zoomScaleNormal="100" workbookViewId="0">
      <selection activeCell="A28" sqref="A2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7"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20</v>
      </c>
      <c r="E6" s="38" t="s">
        <v>21</v>
      </c>
      <c r="F6" s="38" t="s">
        <v>22</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73</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HYPERLINK("#'4.3.1.1-2 Methane'!A1", "4.3.1.1-2 Methane")</f>
        <v>4.3.1.1-2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HYPERLINK("#'4.3.1.3-4 Direct N20'!A1", "4.3.1.3-4 Direct N20")</f>
        <v>4.3.1.3-4 Direct N20</v>
      </c>
    </row>
    <row r="16" spans="1:65" ht="20.100000000000001" customHeight="1" x14ac:dyDescent="0.25">
      <c r="A16" s="17" t="str">
        <f>HYPERLINK("#'4.3.1.5 Atmos deposition'!A1", "4.3.1.5 Atmos deposition")</f>
        <v>4.3.1.5 Atmos deposition</v>
      </c>
    </row>
    <row r="17" spans="1:4" ht="20.100000000000001" customHeight="1" x14ac:dyDescent="0.25">
      <c r="A17" s="17" t="str">
        <f>HYPERLINK("#'4.3.1.6-7 Leaching and runoff'!A1", "4.3.1.6-7 Leaching and runoff")</f>
        <v>4.3.1.6-7 Leaching and runoff</v>
      </c>
    </row>
    <row r="18" spans="1:4" ht="20.100000000000001" customHeight="1" x14ac:dyDescent="0.25">
      <c r="A18" s="17" t="str">
        <f>HYPERLINK("#'4.3.1.8 Manure applied to soils'!A1", "4.3.1.8 Manure applied to soils")</f>
        <v>4.3.1.8 Manure applied to soils</v>
      </c>
      <c r="D18" s="6" t="str" cm="1">
        <f t="array" ref="D18">Common_SourceData.Common_SourceData_WASA4Areas_Title()</f>
        <v>ABS Statistcal Areas Level 4 - Western Australia</v>
      </c>
    </row>
    <row r="19" spans="1:4" ht="20.100000000000001" customHeight="1" x14ac:dyDescent="0.25">
      <c r="A19" s="17" t="str">
        <f>HYPERLINK("#'4.3.1.9 Soil direct N2O'!A1", "4.3.1.9 Soil direct N2O")</f>
        <v>4.3.1.9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HYPERLINK("#'4.3.1.10-11 Soil Atmos Dep'!A1", "4.3.1.10-11 Soil Atmos Dep")</f>
        <v>4.3.1.10-11 Soil Atmos Dep</v>
      </c>
      <c r="D20" s="38" t="s">
        <v>23</v>
      </c>
    </row>
    <row r="21" spans="1:4" ht="20.100000000000001" customHeight="1" x14ac:dyDescent="0.25">
      <c r="A21" s="17" t="str">
        <f>HYPERLINK("#'4.3.1.12-13 Soil leach runoff'!A1", "4.3.1.12-13 Soil leach runoff")</f>
        <v>4.3.1.12-13 Soil leach runoff</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s="154" t="s">
        <v>1</v>
      </c>
      <c r="D24" s="38"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Dairy'!A1", "Constants - Dairy")</f>
        <v>Constants - Dairy</v>
      </c>
      <c r="D25" s="38" t="str" cm="1">
        <f t="array" ref="D25">Common_InputFunctions.Utility_DisplayArrayInTable(Common_SourceData.Common_SourceData_WASA4Areas_Data(), Table_WASA4Areas[[#Headers],[SA 4 Name]], 0)</f>
        <v>Perth - North West</v>
      </c>
    </row>
    <row r="26" spans="1:4" ht="20.100000000000001" customHeight="1" x14ac:dyDescent="0.25">
      <c r="A26" s="68" t="str">
        <f>HYPERLINK("#'Constants - Common'!A1", "Constants - Common")</f>
        <v>Constants - Common</v>
      </c>
      <c r="D26" s="38"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8" t="str" cm="1">
        <f t="array" ref="D27">Common_InputFunctions.Utility_DisplayArrayInTable(Common_SourceData.Common_SourceData_WASA4Areas_Data(), Table_WASA4Areas[[#Headers],[SA 4 Name]], 0)</f>
        <v>Perth - South West</v>
      </c>
    </row>
    <row r="28" spans="1:4" ht="20.100000000000001" customHeight="1" x14ac:dyDescent="0.25">
      <c r="A28" s="17" t="str">
        <f>HYPERLINK("#'Acknowledgements'!A1", "Acknowledgements")</f>
        <v>Acknowledgements</v>
      </c>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s="17" t="str">
        <f>HYPERLINK("#'Tab template'!A1", "Tab template")</f>
        <v>Tab template</v>
      </c>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8" t="s">
        <v>463</v>
      </c>
      <c r="E257" s="38" t="s">
        <v>464</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9"/>
  <sheetViews>
    <sheetView zoomScaleNormal="100" workbookViewId="0">
      <selection activeCell="A29" sqref="A29"/>
    </sheetView>
  </sheetViews>
  <sheetFormatPr defaultRowHeight="15" x14ac:dyDescent="0.25"/>
  <sheetData>
    <row r="1" spans="1:1" ht="25.5" x14ac:dyDescent="0.35">
      <c r="A1" s="67"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73</v>
      </c>
    </row>
    <row r="14" spans="1:1" ht="15.75" x14ac:dyDescent="0.25">
      <c r="A14" s="17" t="str">
        <f>HYPERLINK("#'4.3.1.1-2 Methane'!A1", "4.3.1.1-2 Methane")</f>
        <v>4.3.1.1-2 Methane</v>
      </c>
    </row>
    <row r="15" spans="1:1" ht="15.75" x14ac:dyDescent="0.25">
      <c r="A15" s="17" t="str">
        <f>HYPERLINK("#'4.3.1.3-4 Direct N20'!A1", "4.3.1.3-4 Direct N20")</f>
        <v>4.3.1.3-4 Direct N20</v>
      </c>
    </row>
    <row r="16" spans="1:1" ht="15.75" x14ac:dyDescent="0.25">
      <c r="A16" s="17" t="str">
        <f>HYPERLINK("#'4.3.1.5 Atmos deposition'!A1", "4.3.1.5 Atmos deposition")</f>
        <v>4.3.1.5 Atmos deposition</v>
      </c>
    </row>
    <row r="17" spans="1:1" ht="15.75" x14ac:dyDescent="0.25">
      <c r="A17" s="17" t="str">
        <f>HYPERLINK("#'4.3.1.6-7 Leaching and runoff'!A1", "4.3.1.6-7 Leaching and runoff")</f>
        <v>4.3.1.6-7 Leaching and runoff</v>
      </c>
    </row>
    <row r="18" spans="1:1" ht="15.75" x14ac:dyDescent="0.25">
      <c r="A18" s="17" t="str">
        <f>HYPERLINK("#'4.3.1.8 Manure applied to soils'!A1", "4.3.1.8 Manure applied to soils")</f>
        <v>4.3.1.8 Manure applied to soils</v>
      </c>
    </row>
    <row r="19" spans="1:1" ht="15.75" x14ac:dyDescent="0.25">
      <c r="A19" s="17" t="str">
        <f>HYPERLINK("#'4.3.1.9 Soil direct N2O'!A1", "4.3.1.9 Soil direct N2O")</f>
        <v>4.3.1.9 Soil direct N2O</v>
      </c>
    </row>
    <row r="20" spans="1:1" ht="15.75" x14ac:dyDescent="0.25">
      <c r="A20" s="17" t="str">
        <f>HYPERLINK("#'4.3.1.10-11 Soil Atmos Dep'!A1", "4.3.1.10-11 Soil Atmos Dep")</f>
        <v>4.3.1.10-11 Soil Atmos Dep</v>
      </c>
    </row>
    <row r="21" spans="1:1" ht="15.75" x14ac:dyDescent="0.25">
      <c r="A21" s="17" t="str">
        <f>HYPERLINK("#'4.3.1.12-13 Soil leach runoff'!A1", "4.3.1.12-13 Soil leach runoff")</f>
        <v>4.3.1.12-13 Soil leach runoff</v>
      </c>
    </row>
    <row r="24" spans="1:1" x14ac:dyDescent="0.25">
      <c r="A24" s="154" t="s">
        <v>1</v>
      </c>
    </row>
    <row r="25" spans="1:1" ht="15.75" x14ac:dyDescent="0.25">
      <c r="A25" s="17" t="str">
        <f>HYPERLINK("#'Constants - Dairy'!A1", "Constants - Dairy")</f>
        <v>Constants - Dairy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row r="28" spans="1:1" ht="15.75" x14ac:dyDescent="0.25">
      <c r="A28" s="68" t="str">
        <f>HYPERLINK("#'Acknowledgements'!A1", "Acknowledgements")</f>
        <v>Acknowledgements</v>
      </c>
    </row>
    <row r="29" spans="1:1" ht="15.75" x14ac:dyDescent="0.25">
      <c r="A29" s="17" t="str">
        <f>HYPERLINK("#'Tab template'!A1", "Tab template")</f>
        <v>Tab template</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