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343C818-861F-4841-880A-E941D8867A95}" xr6:coauthVersionLast="47" xr6:coauthVersionMax="47" xr10:uidLastSave="{00000000-0000-0000-0000-000000000000}"/>
  <bookViews>
    <workbookView xWindow="1950" yWindow="1950" windowWidth="28800" windowHeight="15345" firstSheet="14" activeTab="1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9" r:id="rId15"/>
    <sheet name="Constants - Livestock" sheetId="43" r:id="rId16"/>
    <sheet name="Acknowledgements" sheetId="72" r:id="rId17"/>
    <sheet name="Tab template" sheetId="74" r:id="rId18"/>
  </sheets>
  <externalReferences>
    <externalReference r:id="rId1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P232" i="69"/>
  <c r="P231" i="69"/>
  <c r="P230" i="69"/>
  <c r="P229" i="69"/>
  <c r="J44" i="96"/>
  <c r="I14" i="98"/>
  <c r="J14" i="95"/>
  <c r="I39" i="97"/>
  <c r="I62" i="82"/>
  <c r="E30" i="15"/>
  <c r="E33" i="15"/>
  <c r="E32" i="15"/>
  <c r="E31" i="15"/>
  <c r="J45" i="98"/>
  <c r="I40" i="97"/>
  <c r="J45" i="96"/>
  <c r="I44" i="95"/>
  <c r="I63" i="82"/>
  <c r="I264" i="76"/>
  <c r="R50" i="98"/>
  <c r="G50" i="98"/>
  <c r="R48" i="97"/>
  <c r="G48" i="97"/>
  <c r="R56" i="96"/>
  <c r="G56" i="96"/>
  <c r="R55" i="95"/>
  <c r="G55" i="95"/>
  <c r="R71" i="82"/>
  <c r="G71" i="82"/>
  <c r="Q290" i="76"/>
  <c r="G290" i="76"/>
  <c r="R303" i="69"/>
  <c r="G303" i="69"/>
  <c r="I223"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c r="D204" i="109" a="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c r="D150" i="109" a="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H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O37" i="69" a="1"/>
  <c r="O37" i="69" s="1"/>
  <c r="R37" i="69" a="1"/>
  <c r="R37" i="69" s="1"/>
  <c r="H52" i="109" l="1"/>
  <c r="H54" i="109"/>
  <c r="H50" i="109"/>
  <c r="H48" i="109"/>
  <c r="H51" i="109"/>
  <c r="H53" i="109"/>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E29" i="15"/>
  <c r="E13" i="15"/>
  <c r="I222" i="69"/>
  <c r="D215" i="79" a="1"/>
  <c r="D215" i="79" s="1"/>
  <c r="J15" i="95" s="1"/>
  <c r="D214" i="79" a="1"/>
  <c r="D214" i="79" s="1"/>
  <c r="D213" i="79" a="1"/>
  <c r="D213" i="79" s="1"/>
  <c r="D212" i="79" a="1"/>
  <c r="D212" i="79" s="1"/>
  <c r="D211" i="79" a="1"/>
  <c r="D211" i="79" s="1"/>
  <c r="E84" i="70"/>
  <c r="F163" i="69" s="1"/>
  <c r="E94" i="70"/>
  <c r="F165" i="69" s="1"/>
  <c r="E89" i="70"/>
  <c r="F164" i="69" s="1"/>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6" i="70" l="1"/>
  <c r="T39" i="69" s="1"/>
  <c r="E56" i="70"/>
  <c r="I39" i="69" s="1"/>
  <c r="E57" i="70"/>
  <c r="I40" i="69" s="1"/>
  <c r="F57"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F53"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9" i="70"/>
  <c r="H99" i="70"/>
  <c r="G99" i="70"/>
  <c r="F99" i="70"/>
  <c r="I98" i="70"/>
  <c r="H98" i="70"/>
  <c r="G98" i="70"/>
  <c r="F98" i="70"/>
  <c r="E99" i="70"/>
  <c r="E98" i="70"/>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V23" i="95" l="1"/>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37" i="98" a="1"/>
  <c r="E7" i="81" a="1"/>
  <c r="E32" i="97" a="1"/>
  <c r="E55" i="82" a="1"/>
  <c r="E36" i="95" a="1"/>
  <c r="E37" i="96" a="1"/>
  <c r="E7" i="95" a="1"/>
  <c r="E91" i="81" a="1"/>
  <c r="E7" i="96" a="1"/>
  <c r="E7" i="98" a="1"/>
  <c r="E7" i="97"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E119" i="70"/>
  <c r="Q168" i="69" s="1"/>
  <c r="E118" i="70"/>
  <c r="F168" i="69" s="1"/>
  <c r="E114" i="70"/>
  <c r="Q167" i="69" s="1"/>
  <c r="E113" i="70"/>
  <c r="F167" i="69" s="1"/>
  <c r="E109" i="70"/>
  <c r="Q166" i="69" s="1"/>
  <c r="E108" i="70"/>
  <c r="F166" i="69" s="1"/>
  <c r="D78" i="70"/>
  <c r="D102" i="70"/>
  <c r="E256" i="76" a="1"/>
  <c r="E219" i="76" a="1"/>
  <c r="E139" i="69" a="1"/>
  <c r="E35" i="76" a="1"/>
  <c r="E120" i="69" a="1"/>
  <c r="E183" i="76" a="1"/>
  <c r="E186" i="69" a="1"/>
  <c r="E85" i="69" a="1"/>
  <c r="E252" i="69" a="1"/>
  <c r="E153" i="76" a="1"/>
  <c r="E132" i="76" a="1"/>
  <c r="E7" i="76" a="1"/>
  <c r="E212" i="69" a="1"/>
  <c r="E8" i="69" a="1"/>
  <c r="E7" i="82" a="1"/>
  <c r="E72" i="76" a="1"/>
  <c r="E109" i="76" a="1"/>
  <c r="E56" i="69"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E36" i="70"/>
  <c r="D19" i="69" s="1"/>
  <c r="D24" i="69" s="1" a="1"/>
  <c r="D24" i="69" s="1"/>
  <c r="D79" i="69" s="1" a="1"/>
  <c r="D79" i="69" s="1"/>
  <c r="D60" i="76" s="1"/>
  <c r="F40" i="70"/>
  <c r="P19" i="69" s="1"/>
  <c r="P24" i="69" s="1" a="1"/>
  <c r="P24" i="69" s="1"/>
  <c r="H36" i="70"/>
  <c r="G19" i="69" s="1"/>
  <c r="G36" i="70"/>
  <c r="F19" i="69" s="1"/>
  <c r="E40" i="70"/>
  <c r="O19" i="69" s="1"/>
  <c r="H40" i="70"/>
  <c r="R19" i="69" s="1"/>
  <c r="R24" i="69" s="1" a="1"/>
  <c r="R24" i="69" s="1"/>
  <c r="G40" i="70"/>
  <c r="Q19" i="69" s="1"/>
  <c r="Q24" i="69" s="1" a="1"/>
  <c r="Q24" i="69" s="1"/>
  <c r="V40" i="82"/>
  <c r="K40" i="82"/>
  <c r="O24" i="69" a="1"/>
  <c r="O24" i="69" s="1"/>
  <c r="O79" i="69" s="1" a="1"/>
  <c r="O79" i="69" s="1"/>
  <c r="F122" i="70"/>
  <c r="E122" i="70"/>
  <c r="I122" i="70"/>
  <c r="H122" i="70"/>
  <c r="G122" i="70"/>
  <c r="I123" i="70"/>
  <c r="H123" i="70"/>
  <c r="G123" i="70"/>
  <c r="F123" i="70"/>
  <c r="E123" i="70"/>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3" i="70" a="1"/>
  <c r="G73" i="70" s="1"/>
  <c r="H68" i="70" a="1"/>
  <c r="H68" i="70" s="1"/>
  <c r="E73" i="70" a="1"/>
  <c r="E73" i="70" s="1"/>
  <c r="I72" i="70" a="1"/>
  <c r="I72" i="70" s="1"/>
  <c r="I66" i="70" a="1"/>
  <c r="I66" i="70" s="1"/>
  <c r="G71" i="70" a="1"/>
  <c r="G71" i="70" s="1"/>
  <c r="S25" i="96" s="1"/>
  <c r="H73" i="70" a="1"/>
  <c r="H73" i="70" s="1"/>
  <c r="F73" i="70" a="1"/>
  <c r="F73" i="70" s="1"/>
  <c r="G68" i="70" a="1"/>
  <c r="G68" i="70" s="1"/>
  <c r="F68" i="70" a="1"/>
  <c r="F68" i="70" s="1"/>
  <c r="E68" i="70" a="1"/>
  <c r="E68" i="70" s="1"/>
  <c r="E66" i="70" a="1"/>
  <c r="E66" i="70" s="1"/>
  <c r="H72" i="70" a="1"/>
  <c r="H72" i="70" s="1"/>
  <c r="I67" i="70" a="1"/>
  <c r="I67" i="70" s="1"/>
  <c r="E72" i="70" a="1"/>
  <c r="E72" i="70" s="1"/>
  <c r="E67" i="70" a="1"/>
  <c r="E67" i="70" s="1"/>
  <c r="I68" i="70" a="1"/>
  <c r="I68" i="70" s="1"/>
  <c r="G72" i="70" a="1"/>
  <c r="G72" i="70" s="1"/>
  <c r="H67" i="70" a="1"/>
  <c r="H67" i="70" s="1"/>
  <c r="F67" i="70" a="1"/>
  <c r="F67" i="70" s="1"/>
  <c r="H71" i="70" a="1"/>
  <c r="H71" i="70" s="1"/>
  <c r="T25" i="96" s="1"/>
  <c r="F72" i="70" a="1"/>
  <c r="F72" i="70" s="1"/>
  <c r="G67" i="70" a="1"/>
  <c r="G67" i="70" s="1"/>
  <c r="I71" i="70" a="1"/>
  <c r="I71" i="70" s="1"/>
  <c r="U25" i="96" s="1"/>
  <c r="H66" i="70" a="1"/>
  <c r="H66" i="70" s="1"/>
  <c r="F71" i="70" a="1"/>
  <c r="F71" i="70" s="1"/>
  <c r="R25" i="96" s="1"/>
  <c r="G66" i="70" a="1"/>
  <c r="G66" i="70" s="1"/>
  <c r="I73" i="70" a="1"/>
  <c r="I73" i="70" s="1"/>
  <c r="E71" i="70" a="1"/>
  <c r="E71" i="70" s="1"/>
  <c r="F66" i="70" a="1"/>
  <c r="F66" i="70" s="1"/>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A25" i="13"/>
  <c r="A23" i="13"/>
  <c r="A24" i="13"/>
  <c r="A8" i="13"/>
  <c r="A5" i="13"/>
  <c r="A3" i="13"/>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D229" i="69"/>
  <c r="E229" i="69" s="1" a="1"/>
  <c r="E229" i="69" s="1"/>
  <c r="D97" i="70"/>
  <c r="D121" i="70"/>
  <c r="O232" i="69"/>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R55" i="96"/>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H238" i="69" a="1"/>
  <c r="H238" i="69" s="1"/>
  <c r="F242" i="69" a="1"/>
  <c r="F242" i="69" s="1"/>
  <c r="J245" i="69" a="1"/>
  <c r="J245" i="69" s="1"/>
  <c r="H241" i="69" a="1"/>
  <c r="H241" i="69" s="1"/>
  <c r="P52" i="95" l="1"/>
  <c r="R54" i="95" s="1"/>
  <c r="P57" i="95" s="1" a="1"/>
  <c r="P57" i="95" s="1"/>
  <c r="I10" i="13" s="1"/>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F10" i="13" l="1"/>
  <c r="G54" i="95"/>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<sst xmlns="http://schemas.openxmlformats.org/spreadsheetml/2006/main" count="1636" uniqueCount="475">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</sst>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D706A4E-3623-418A-A51A-05B3E2814A4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82C897-9DE9-4853-8F81-F90DA6E77429}" name="State/Territory">
      <calculatedColumnFormula array="1">Common_InputFunctions.Utility_DisplayArrayInTable(Common_SourceData.Common_SourceData_AustralianStatesTerritories_Data(),Table_AustralianStates[[#Headers],[State/Territory]],0)</calculatedColumnFormula>
    </tableColumn>
    <tableColumn id="2" xr3:uid="{B9B1493F-A88C-4228-BF03-7CBFD41E15DC}" name="Common Name">
      <calculatedColumnFormula array="1">Common_InputFunctions.Utility_DisplayArrayInTable(Common_SourceData.Common_SourceData_AustralianStatesTerritories_Data(),Table_AustralianStates[[#Headers],[State/Territory]],0)</calculatedColumnFormula>
    </tableColumn>
    <tableColumn id="3" xr3:uid="{94161932-09B8-4A53-8E00-2485875BF91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20C50D0-BAF6-497B-9296-4D2040336CE1}" name="Table_WASA4Areas" displayName="Table_WASA4Areas" ref="D20:D30" totalsRowShown="0">
  <autoFilter ref="D20:D30" xr:uid="{5FA81339-C6C8-4D36-BEEA-6C4AEDD9E676}">
    <filterColumn colId="0" hiddenButton="1"/>
  </autoFilter>
  <tableColumns count="1">
    <tableColumn id="1" xr3:uid="{0F5D622D-981D-421A-9DFF-682D0C7E10A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8B131A4-17B7-4A49-A6BD-C596796FC56E}" name="Table_GWPData" displayName="Table_GWPData" ref="D36:E43" totalsRowShown="0">
  <autoFilter ref="D36:E43" xr:uid="{B8E87A66-3E41-4AD3-925D-01EE21B43D7A}">
    <filterColumn colId="0" hiddenButton="1"/>
    <filterColumn colId="1" hiddenButton="1"/>
  </autoFilter>
  <tableColumns count="2">
    <tableColumn id="1" xr3:uid="{59027BFA-E83E-44E5-9FA2-B823E2C1082D}" name="Gas">
      <calculatedColumnFormula array="1">Common_InputFunctions.Utility_DisplayArrayInTable(Common_SourceData.Common_SourceData_GWP_Data(), Table_GWPData[[#Headers],[Gas]], 0)</calculatedColumnFormula>
    </tableColumn>
    <tableColumn id="2" xr3:uid="{FD1098E1-27D4-4EE2-AF36-7572B18059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7F7051E-4060-439D-A399-57DDAC0ED78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B55FA80-4AA4-45C3-9131-0234CC902278}" name="Gas">
      <calculatedColumnFormula array="1">Common_InputFunctions.Utility_DisplayArrayInTable(Common_SourceData.Common_SourceData_ConvertGasElementalToMolecular_Data(),Table_GasToMolecularConversionFactor[[#Headers],[Gas]], 0)</calculatedColumnFormula>
    </tableColumn>
    <tableColumn id="5" xr3:uid="{E1C1D19C-84D7-4CCC-A26A-4501AA8B4710}" name="Conversion factor">
      <calculatedColumnFormula array="1">Common_InputFunctions.Utility_DisplayArrayInTable(Common_SourceData.Common_SourceData_ConvertGasElementalToMolecular_Data(),Table_GasToMolecularConversionFactor[[#Headers],[Gas]], 0)</calculatedColumnFormula>
    </tableColumn>
    <tableColumn id="2" xr3:uid="{366ECC14-1AFD-49A9-8D27-7B9F5E0BF5F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AA8BE97-7D8B-41E3-B685-D0353EB963C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914A7E3-5569-485B-AE8A-EDFE060BE8A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1B250FD-2E03-4DC2-A706-F140C5E14A8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603566D-C1A7-43C0-99C4-268456BA377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41C9AF9-C0DE-4E6E-B28D-6241A26DA223}"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265BD91D-573C-45D2-845D-20AFC8C93F0D}"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6CB72098-F68C-48D2-AE65-AAB652BDD9E9}"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34001B2F-2249-4E9E-88CF-842AD459DE1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F0BE882D-B922-483D-B7D1-25CC0B0A9EC8}"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2022A9B-EF25-4895-9F44-520C4E30677C}"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F42041A9-9BAC-49EE-884C-01A8B041C4B1}"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393AB05-32F6-4142-8218-D88F52A239C7}"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4006A74-9130-4541-B5AE-A8925A973A50}"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4F3E42D7-F5A2-4B44-BECD-B52A45796538}"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D525CD15-7DE2-4103-A906-E7F2ED9412BA}"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F9FEF801-B540-43DF-8596-DB1AAF18331A}"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9837B02-6DC5-4317-A2F6-DE8A12F95B7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B6BFE63-5AB7-4B95-B6D2-BBBE311AEE53}"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5CE3215-169A-47FC-AD49-8ADE8D2DCCD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10D1AC0-A97D-4DCF-9E7C-DA29EBAA47C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21B596D-EDBA-48C5-842F-5C39765181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1961E41-ACEA-4F90-A5EB-D0B792931E0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132CE9A-BA41-4119-BCCB-8E2C086CED6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272AFAF-A6FC-4A1A-94BA-1B15DF93B56B}" name="Temperature Zone">
      <calculatedColumnFormula array="1">Common_InputFunctions.Utility_DisplayArrayInTable(Common_SourceData.Common_SourceData_TemperatureZones_Data(),Table_SourceData_TemperatureZones[[#Headers],[Temperature Zone]],0)</calculatedColumnFormula>
    </tableColumn>
    <tableColumn id="2" xr3:uid="{F7D9F3BE-70FA-47C8-8348-AB13920344F5}" name="MAT">
      <calculatedColumnFormula array="1">Common_InputFunctions.Utility_DisplayArrayInTable(Common_SourceData.Common_SourceData_TemperatureZones_Data(),Table_SourceData_TemperatureZones[[#Headers],[Temperature Zone]],0)</calculatedColumnFormula>
    </tableColumn>
    <tableColumn id="3" xr3:uid="{933BA532-7E7A-4DE2-B187-86860DEFDEBE}" name="Min MAT">
      <calculatedColumnFormula array="1">Common_InputFunctions.Utility_DisplayArrayInTable(Common_SourceData.Common_SourceData_TemperatureZones_Data(),Table_SourceData_TemperatureZones[[#Headers],[Temperature Zone]],0)</calculatedColumnFormula>
    </tableColumn>
    <tableColumn id="4" xr3:uid="{FC03FA3B-E34D-4BCD-BCED-12A126CC41B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0252F55-1DBF-4B63-BB02-17608A6D257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7B69116-EA11-4E51-A0C6-8501E2DABAAB}" name="Rainfall Zone">
      <calculatedColumnFormula array="1">Common_InputFunctions.Utility_DisplayArrayInTable(Common_SourceData.Common_SourceData_RainfallZones_Data(),Table_SourceData_RainfallZones[[#Headers],[Rainfall Zone]],0)</calculatedColumnFormula>
    </tableColumn>
    <tableColumn id="2" xr3:uid="{C20879CC-2C4D-4F9F-82E7-CF984AE379AB}" name="Annual rainfall">
      <calculatedColumnFormula array="1">Common_InputFunctions.Utility_DisplayArrayInTable(Common_SourceData.Common_SourceData_RainfallZones_Data(),Table_SourceData_RainfallZones[[#Headers],[Rainfall Zone]],0)</calculatedColumnFormula>
    </tableColumn>
    <tableColumn id="3" xr3:uid="{FB4846C9-3B2C-4A5B-BA16-6F3B2322FBD3}" name="Min rainfall">
      <calculatedColumnFormula array="1">Common_InputFunctions.Utility_DisplayArrayInTable(Common_SourceData.Common_SourceData_RainfallZones_Data(),Table_SourceData_RainfallZones[[#Headers],[Rainfall Zone]],0)</calculatedColumnFormula>
    </tableColumn>
    <tableColumn id="4" xr3:uid="{8358355F-6B5A-40B6-A647-96F7451A9F5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EC2BC5E-326A-4C26-8804-233C745407A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07AEDD1-5D06-47F0-955E-DD5B9534B717}" name="Leaching Zone">
      <calculatedColumnFormula array="1">Common_InputFunctions.Utility_DisplayArrayInTable(Common_SourceData.Common_SourceData_LeachingZones_Data(), Table_SourceData_LeachingZones[[#Headers],[Leaching Zone]], 0)</calculatedColumnFormula>
    </tableColumn>
    <tableColumn id="2" xr3:uid="{3E8A6994-4D8D-4C89-BEF8-7B9B8469B09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517D7B3-9A8A-4AA5-90E0-9A02C997836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99AABE9-4944-4F85-A44C-7404F170B343}" name="Data source">
      <calculatedColumnFormula array="1">Common_InputFunctions.Utility_DisplayArrayInTable(Common_SourceData.Common_SourceData_DataScores_Scope3_Data(), Table_SourceData_DataScores_Scope3[[#Headers],[Data source]], 0)</calculatedColumnFormula>
    </tableColumn>
    <tableColumn id="2" xr3:uid="{AC513F1E-5062-4D18-BC7C-69BB3EA1780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9AD3D2C-18F7-4F03-9970-070AE0886986}" name="Table_SourceData_FracWET" displayName="Table_SourceData_FracWET" ref="D134:E136" totalsRowShown="0">
  <autoFilter ref="D134:E136" xr:uid="{308E99BE-FE1F-47A4-B2CA-97217277C4E9}">
    <filterColumn colId="0" hiddenButton="1"/>
    <filterColumn colId="1" hiddenButton="1"/>
  </autoFilter>
  <tableColumns count="2">
    <tableColumn id="1" xr3:uid="{E9362021-E002-4654-BC00-95A845664BB8}" name="Is in leaching zone">
      <calculatedColumnFormula array="1">Common_InputFunctions.Utility_DisplayArrayInTable(Common_SourceData.Common_SourceData_FracWET_Data(),Table_SourceData_FracWET[[#Headers],[Is in leaching zone]],0)</calculatedColumnFormula>
    </tableColumn>
    <tableColumn id="2" xr3:uid="{0FC8AF3A-5879-493B-AC92-32D008AF5FD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080DBC8-8B0B-46E4-A7C2-BEF9A809D79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CF4CC22-F0B6-43B5-B980-575B841D6B7E}" name="Production system j">
      <calculatedColumnFormula array="1">Common_InputFunctions.Utility_DisplayArrayInTable(Common_SourceData.Common_SourceData_EFN2O_Data(), Table_SourceData_Common_EFN2O[[#Headers],[Production system j]], 0)</calculatedColumnFormula>
    </tableColumn>
    <tableColumn id="2" xr3:uid="{03448736-8586-457A-B1CC-C00CF655FBBB}" name="EFN2O">
      <calculatedColumnFormula array="1">Common_InputFunctions.Utility_DisplayArrayInTable(Common_SourceData.Common_SourceData_EFN2O_Data(), Table_SourceData_Common_EFN2O[[#Headers],[Production system j]], 0)</calculatedColumnFormula>
    </tableColumn>
    <tableColumn id="3" xr3:uid="{723D066B-ABB4-4307-9D27-4A3F4802A52E}" name="Production system only">
      <calculatedColumnFormula array="1">Common_InputFunctions.Utility_DisplayArrayInTable(Common_SourceData.Common_SourceData_EFN2O_Data(), Table_SourceData_Common_EFN2O[[#Headers],[Production system j]], 0)</calculatedColumnFormula>
    </tableColumn>
    <tableColumn id="4" xr3:uid="{48EB735B-0982-4003-A7E0-8AB592F6E947}" name="Irrigation method">
      <calculatedColumnFormula array="1">Common_InputFunctions.Utility_DisplayArrayInTable(Common_SourceData.Common_SourceData_EFN2O_Data(), Table_SourceData_Common_EFN2O[[#Headers],[Production system j]], 0)</calculatedColumnFormula>
    </tableColumn>
    <tableColumn id="5" xr3:uid="{BEE1C363-D6EE-456F-A47A-2AD8F1F36B8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3508C95-8C4B-4761-B468-F18CBBE70FA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3AC923D-3359-44A1-B0D8-2B490D7A7FB0}" name="Irrigation type i">
      <calculatedColumnFormula array="1">Common_InputFunctions.Utility_DisplayArrayInTable(Common_SourceData.Common_SourceData_FracWETIrrigation_Data(), Table_SourceData_FracWETIrrigation[[#Headers],[Irrigation type i]], 0)</calculatedColumnFormula>
    </tableColumn>
    <tableColumn id="2" xr3:uid="{62A22EC5-2D66-40E4-9D6A-3DBFBEA803C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B68657F-CF37-492B-95F3-63FADBCE3D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1CEC514-FB86-4FC4-BAF6-EC9A322789E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A96B146-C2D8-4A0A-B2E7-575479334BA0}"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1823C2A-B98A-4560-952D-3A92BDDFE5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D60F721-CFD4-4834-AB0F-48740109AAC6}" name="Month">
      <calculatedColumnFormula array="1">Common_InputFunctions.Utility_DisplayArrayInTable(Common_SourceData.Common_SourceData_MonthsToSeasons_Data(), Table_SourceData_Common_MonthToSeason[[#Headers],[Month]], 0)</calculatedColumnFormula>
    </tableColumn>
    <tableColumn id="2" xr3:uid="{2C9B02AA-A0CB-42E7-9C6C-34B2BAF7DA5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BC1B441-1B99-4D6A-90F4-E61401B2545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58D7F6D-DA7E-46C6-8B87-399F813EAF1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8B3E369-5ECD-47D5-AE86-EC949C82774A}"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FABCDC2-4B84-4CB7-A286-F63482B360F8}"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D760D43B-CF06-41A6-8B4F-CA7BB279871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E142B62-2845-43A0-BBAE-6708702AC638}"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A79B8E1-5772-490F-9C12-F25F82CAC77D}"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94961BA-BB95-4E62-B347-47BF1AED53B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7A10EC6-1C4E-4183-AF0C-D0B8978D0BB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AC74D54-61F4-4B52-A9DB-0BAC25980BAB}"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F4B3BE-85A3-456B-833D-13E55839B089}"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5925F73-D750-4851-9251-2EC42764090F}"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8DAC195-FFC5-4457-A200-8072BAF19A9D}"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42DA4DE-6128-4542-A539-3F80E40E9B1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2484BD4-AEE9-45BD-B806-9122BCEC803E}"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F4191AB-276A-4B99-AD4E-3D053606643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EFE4F1B-9207-4695-A89E-CFBFF8A33921}"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B611A31-0592-440B-BA31-B67114C9B51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01FEDFE-8C46-48C1-BEDE-4960CB91D88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F000103-0FD0-40C3-8B35-E35D417F2E6E}"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2" t="s">
        <v>437</v>
      </c>
      <c r="E5" s="152"/>
      <c r="F5" s="152"/>
      <c r="G5" s="152"/>
      <c r="H5" s="152"/>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3" t="s">
        <v>426</v>
      </c>
      <c r="E6" s="151"/>
      <c r="F6" s="151"/>
      <c r="G6" s="151"/>
      <c r="H6" s="151"/>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 ca="1">VEERG_4_3_1_1__1_TotalAnnualMethaneFromManureManagement_Result_Method1</f>
        <v>10.314345551795777</v>
      </c>
      <c r="F7" s="117">
        <f ca="1">VEERG_4_3_1_1__1_TotalAnnualMethaneFromManureManagement_Result_Method2</f>
        <v>10.64070664267806</v>
      </c>
      <c r="G7" s="57" t="str">
        <f>'4.3.1.1-2 Methane'!$F$300</f>
        <v>t CH4</v>
      </c>
      <c r="H7" s="117">
        <f ca="1">'4.3.1.1-2 Methane'!$E$305</f>
        <v>288.80167545028172</v>
      </c>
      <c r="I7" s="117">
        <f ca="1">'4.3.1.1-2 Methane'!$P$305</f>
        <v>297.9397859949857</v>
      </c>
      <c r="J7" s="57" t="str">
        <f>'4.3.1.1-2 Methane'!$F$305</f>
        <v>t CO2e</v>
      </c>
      <c r="K7" s="24"/>
    </row>
    <row r="8" spans="1:11" ht="20.100000000000001" customHeight="1" x14ac:dyDescent="0.25">
      <c r="A8" s="17" t="str">
        <f>HYPERLINK("#'Input - Site'!A1", "Site")</f>
        <v>Site</v>
      </c>
      <c r="C8" s="24"/>
      <c r="D8" s="1" t="s">
        <v>385</v>
      </c>
      <c r="E8" s="117">
        <f>VEERG_4_3_1_3__1_TotalAnnualDirectNitrousOxideEmissionsFromMMS_Result_Method1</f>
        <v>6.3172161253287021E-2</v>
      </c>
      <c r="F8" s="117">
        <f>VEERG_4_3_1_3__1_TotalAnnualDirectNitrousOxideEmissionsFromMMS_Result_Method2</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VEERG_4_3_1_5__1_AnnualAtmosphericDepositionEmissionsFromMMS_Result_Method1</f>
        <v>5.0665467159299066E-2</v>
      </c>
      <c r="F9" s="117">
        <f>VEERG_4_3_1_5__1_AnnualAtmosphericDepositionEmissionsFromMMS_Result_Method2</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VEERG_4_3_1_6__2_MassOfNitrogenLostToLeachingAndRunoffFromSolidStorage_Result_Method1</f>
        <v>2.779575095144629E-3</v>
      </c>
      <c r="F10" s="117">
        <f>VEERG_4_3_1_6__2_MassOfNitrogenLostToLeachingAndRunoffFromSolidStorage_Result_Method2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VEERG_4_3_1_9__1_DirectNitrousOxideEmissionsOnPasture_Result_Method1</f>
        <v>8.0033058384947273E-2</v>
      </c>
      <c r="F11" s="117">
        <f>VEERG_4_3_1_9__1_DirectNitrousOxideEmissionsOnPasture_Result_Method2</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VEERG_4_3_1_10__1_AtmosphericDepositionEmissionsFromUrineAndDungOnPasture_Result_Method1</f>
        <v>4.958047966947482E-2</v>
      </c>
      <c r="F12" s="117">
        <f>VEERG_4_3_1_10__1_AtmosphericDepositionEmissionsFromUrineAndDungOnPasture_Result_Method2</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VEERG_4_3_1_12__1_LeachingAndRunoffEmissionsFromUrineAndDungOnPasture_Result_Method1</f>
        <v>0.10564363706813039</v>
      </c>
      <c r="F13" s="117">
        <f>VEERG_4_3_1_12__1_LeachingAndRunoffEmissionsFromUrineAndDungOnPasture_Result_Method2</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 ca="1">SUM(H7:H13)</f>
        <v>382.04838578730676</v>
      </c>
      <c r="I14" s="119">
        <f ca="1">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 ca="1">VEERG_4_3_1_8__1_MassOfNitrogenAppliedToSoilsScope1_Result_Method1</f>
        <v>12417.473379475077</v>
      </c>
      <c r="F20" s="121">
        <f ca="1">VEERG_4_3_1_8__1_MassOfNitrogenAppliedToSoilsScope1_Result_Method2</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 ca="1">VEERG_4_3_1_8__2_MassOfNitrogenAppliedToSoilsScope3_Result_Method1</f>
        <v>4139.1577931583588</v>
      </c>
      <c r="F22" s="121">
        <f ca="1">VEERG_4_3_1_8__2_MassOfNitrogenAppliedToSoilsScope3_Result_Method2</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A46" workbookViewId="0">
      <selection activeCell="D55" sqref="D55:F57"/>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SourceData_Dairy_DryMatterDigestibility_Data</f>
        <v>0.75</v>
      </c>
      <c r="F36" s="55">
        <f>SourceData_Dairy_DryMatterDigestibility_Data</f>
        <v>0.75</v>
      </c>
      <c r="G36" s="55">
        <f>SourceData_Dairy_DryMatterDigestibility_Data</f>
        <v>0.75</v>
      </c>
      <c r="H36" s="55">
        <f>SourceData_Dairy_DryMatterDigestibility_Data</f>
        <v>0.75</v>
      </c>
      <c r="I36" s="55">
        <f>SourceData_Dairy_DryMatterDigestibility_Data</f>
        <v>0.75</v>
      </c>
      <c r="J36" s="2" t="s">
        <v>101</v>
      </c>
      <c r="K36" s="2"/>
      <c r="L36" s="2"/>
      <c r="M36" s="2"/>
      <c r="N36" s="2"/>
      <c r="S36" s="7"/>
    </row>
    <row r="37" spans="1:19" ht="20.100000000000001" customHeight="1" x14ac:dyDescent="0.25">
      <c r="D37" s="1" t="s">
        <v>112</v>
      </c>
      <c r="E37" s="55">
        <f>SourceData_Dairy_CrudeProtein_Data</f>
        <v>0.2</v>
      </c>
      <c r="F37" s="55">
        <f>SourceData_Dairy_CrudeProtein_Data</f>
        <v>0.2</v>
      </c>
      <c r="G37" s="55">
        <f>SourceData_Dairy_CrudeProtein_Data</f>
        <v>0.2</v>
      </c>
      <c r="H37" s="55">
        <f>SourceData_Dairy_CrudeProtein_Data</f>
        <v>0.2</v>
      </c>
      <c r="I37" s="55">
        <f>SourceData_Dairy_CrudeProtein_Data</f>
        <v>0.2</v>
      </c>
      <c r="J37" s="2" t="s">
        <v>101</v>
      </c>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f>SourceData_Dairy_DryMatterDigestibility_Data</f>
        <v>0.75</v>
      </c>
      <c r="F40" s="69">
        <f>SourceData_Dairy_DryMatterDigestibility_Data</f>
        <v>0.75</v>
      </c>
      <c r="G40" s="69">
        <f>SourceData_Dairy_DryMatterDigestibility_Data</f>
        <v>0.75</v>
      </c>
      <c r="H40" s="69">
        <f>SourceData_Dairy_DryMatterDigestibility_Data</f>
        <v>0.75</v>
      </c>
      <c r="I40" s="69">
        <f>SourceData_Dairy_DryMatterDigestibility_Data</f>
        <v>0.75</v>
      </c>
      <c r="J40" s="2" t="s">
        <v>101</v>
      </c>
      <c r="K40" s="2"/>
      <c r="S40" s="7"/>
    </row>
    <row r="41" spans="1:19" ht="20.100000000000001" customHeight="1" x14ac:dyDescent="0.25">
      <c r="A41" s="47"/>
      <c r="D41" s="1" t="s">
        <v>112</v>
      </c>
      <c r="E41" s="69">
        <f>SourceData_Dairy_CrudeProtein_Data</f>
        <v>0.2</v>
      </c>
      <c r="F41" s="69">
        <f>SourceData_Dairy_CrudeProtein_Data</f>
        <v>0.2</v>
      </c>
      <c r="G41" s="69">
        <f>SourceData_Dairy_CrudeProtein_Data</f>
        <v>0.2</v>
      </c>
      <c r="H41" s="69">
        <f>SourceData_Dairy_CrudeProtein_Data</f>
        <v>0.2</v>
      </c>
      <c r="I41" s="69">
        <f>SourceData_Dairy_CrudeProtein_Data</f>
        <v>0.2</v>
      </c>
      <c r="J41" s="2" t="s">
        <v>101</v>
      </c>
      <c r="L41" s="2"/>
      <c r="S41" s="7"/>
    </row>
    <row r="42" spans="1:19" ht="20.100000000000001" customHeight="1" x14ac:dyDescent="0.25">
      <c r="L42" s="2"/>
      <c r="M42" s="2"/>
      <c r="N42" s="2"/>
      <c r="S42" s="7"/>
    </row>
    <row r="43" spans="1:19" ht="20.100000000000001" customHeight="1" x14ac:dyDescent="0.25">
      <c r="L43" s="2"/>
      <c r="M43" s="2"/>
      <c r="N43" s="2"/>
      <c r="S43" s="7"/>
    </row>
    <row r="44" spans="1:19" ht="20.100000000000001" customHeight="1" x14ac:dyDescent="0.25">
      <c r="M44" s="2"/>
      <c r="N44" s="2"/>
      <c r="S44" s="7"/>
    </row>
    <row r="45" spans="1:19" ht="20.100000000000001" customHeight="1" x14ac:dyDescent="0.25">
      <c r="S45" s="7"/>
    </row>
    <row r="46" spans="1:19" ht="20.100000000000001" customHeight="1" x14ac:dyDescent="0.25">
      <c r="S46" s="7"/>
    </row>
    <row r="47" spans="1:19" ht="20.100000000000001" customHeight="1" x14ac:dyDescent="0.25">
      <c r="C47" s="48"/>
      <c r="D47" s="48"/>
      <c r="E47" s="48"/>
      <c r="F47" s="48"/>
      <c r="G47" s="48"/>
      <c r="H47" s="48"/>
      <c r="I47" s="48"/>
      <c r="J47" s="48"/>
      <c r="K47" s="48"/>
      <c r="L47" s="48"/>
      <c r="M47" s="48"/>
      <c r="N47" s="48"/>
      <c r="O47" s="48"/>
      <c r="S47" s="7"/>
    </row>
    <row r="48" spans="1:19" ht="20.100000000000001" customHeight="1" x14ac:dyDescent="0.25">
      <c r="D48" s="6" t="s">
        <v>197</v>
      </c>
      <c r="E48" s="3"/>
      <c r="F48" s="3"/>
      <c r="G48" s="3"/>
      <c r="H48" s="3"/>
      <c r="I48" s="3"/>
      <c r="J48" s="3"/>
      <c r="K48" s="3"/>
      <c r="L48" s="3"/>
      <c r="M48" s="3"/>
      <c r="N48" s="3"/>
      <c r="S48" s="7"/>
    </row>
    <row r="49" spans="3:19" ht="20.100000000000001" customHeight="1" x14ac:dyDescent="0.25">
      <c r="D49" s="23" t="s">
        <v>454</v>
      </c>
      <c r="G49" s="6"/>
      <c r="H49" s="6"/>
      <c r="I49" s="6"/>
      <c r="J49" s="126"/>
      <c r="K49" s="126"/>
      <c r="L49" s="126"/>
      <c r="M49" s="126"/>
      <c r="N49" s="126"/>
      <c r="S49" s="7"/>
    </row>
    <row r="50" spans="3:19" ht="20.100000000000001" customHeight="1" x14ac:dyDescent="0.25">
      <c r="D50" s="1" t="s">
        <v>439</v>
      </c>
      <c r="E50" s="42" t="s">
        <v>452</v>
      </c>
      <c r="F50" s="2" t="s">
        <v>11</v>
      </c>
      <c r="S50" s="7"/>
    </row>
    <row r="51" spans="3:19" ht="20.100000000000001" customHeight="1" x14ac:dyDescent="0.25">
      <c r="S51" s="7"/>
    </row>
    <row r="52" spans="3:19" ht="20.100000000000001" customHeight="1" x14ac:dyDescent="0.25">
      <c r="E52" s="41" t="s">
        <v>173</v>
      </c>
      <c r="S52" s="7"/>
    </row>
    <row r="53" spans="3:19" ht="20.100000000000001" customHeight="1" x14ac:dyDescent="0.25">
      <c r="D53" s="1" t="s">
        <v>198</v>
      </c>
      <c r="E53" s="69">
        <v>20</v>
      </c>
      <c r="F53" s="2" t="str">
        <f>IF(E50="Litres of milk", "litres/head/day", "kg milk solids/head/day")</f>
        <v>litres/head/day</v>
      </c>
      <c r="S53" s="7"/>
    </row>
    <row r="54" spans="3:19" ht="20.100000000000001" customHeight="1" x14ac:dyDescent="0.25">
      <c r="E54" s="6"/>
      <c r="F54" s="6"/>
      <c r="S54" s="7"/>
    </row>
    <row r="55" spans="3:19" ht="20.100000000000001" customHeight="1" x14ac:dyDescent="0.25">
      <c r="D55" s="56" t="s">
        <v>440</v>
      </c>
      <c r="E55" s="41" t="s">
        <v>441</v>
      </c>
      <c r="F55" s="41" t="s">
        <v>442</v>
      </c>
      <c r="S55" s="7"/>
    </row>
    <row r="56" spans="3:19" ht="20.100000000000001" customHeight="1" x14ac:dyDescent="0.25">
      <c r="D56" s="1" t="s">
        <v>443</v>
      </c>
      <c r="E56" s="140">
        <f>SourceData_Dairy_FatContentInMilk_Data/100</f>
        <v>0.04</v>
      </c>
      <c r="F56" s="154">
        <f>SourceData_Dairy_FatContentInMilk_Data/100</f>
        <v>0.04</v>
      </c>
      <c r="G56" s="2" t="s">
        <v>444</v>
      </c>
      <c r="S56" s="7"/>
    </row>
    <row r="57" spans="3:19" ht="20.100000000000001" customHeight="1" x14ac:dyDescent="0.25">
      <c r="D57" s="1" t="s">
        <v>445</v>
      </c>
      <c r="E57" s="140">
        <f>SourceData_Dairy_ProteinContentInMilk_Data/100</f>
        <v>3.3000000000000002E-2</v>
      </c>
      <c r="F57" s="154">
        <f>SourceData_Dairy_ProteinContentInMilk_Data/100</f>
        <v>3.3000000000000002E-2</v>
      </c>
      <c r="G57" s="2" t="s">
        <v>444</v>
      </c>
      <c r="S57" s="7"/>
    </row>
    <row r="58" spans="3:19" ht="20.100000000000001" customHeight="1" x14ac:dyDescent="0.25">
      <c r="S58" s="7"/>
    </row>
    <row r="59" spans="3:19" ht="20.100000000000001" customHeight="1" x14ac:dyDescent="0.25">
      <c r="S59" s="7"/>
    </row>
    <row r="60" spans="3:19" ht="20.100000000000001" customHeight="1" x14ac:dyDescent="0.25">
      <c r="C60" s="48"/>
      <c r="D60" s="48"/>
      <c r="E60" s="48"/>
      <c r="F60" s="48"/>
      <c r="G60" s="48"/>
      <c r="H60" s="48"/>
      <c r="I60" s="48"/>
      <c r="J60" s="48"/>
      <c r="K60" s="48"/>
      <c r="L60" s="48"/>
      <c r="M60" s="48"/>
      <c r="N60" s="48"/>
      <c r="O60" s="48"/>
      <c r="S60" s="7"/>
    </row>
    <row r="61" spans="3:19" ht="20.100000000000001" customHeight="1" x14ac:dyDescent="0.25">
      <c r="D61" s="6" t="s">
        <v>208</v>
      </c>
      <c r="S61" s="7"/>
    </row>
    <row r="62" spans="3:19" ht="20.100000000000001" customHeight="1" x14ac:dyDescent="0.25">
      <c r="D62" s="51" t="s">
        <v>201</v>
      </c>
      <c r="S62" s="7"/>
    </row>
    <row r="63" spans="3:19" ht="20.100000000000001" customHeight="1" x14ac:dyDescent="0.25">
      <c r="D63" s="1" t="s">
        <v>203</v>
      </c>
      <c r="E63" s="42" t="s">
        <v>210</v>
      </c>
      <c r="F63" s="2" t="s">
        <v>11</v>
      </c>
      <c r="O63" s="3"/>
      <c r="S63" s="7"/>
    </row>
    <row r="64" spans="3:19" ht="20.100000000000001" customHeight="1" x14ac:dyDescent="0.25">
      <c r="O64" s="3"/>
      <c r="S64" s="7"/>
    </row>
    <row r="65" spans="3:19" ht="20.100000000000001" customHeight="1" x14ac:dyDescent="0.25">
      <c r="D65" s="66" t="s">
        <v>206</v>
      </c>
      <c r="E65" s="41" t="s">
        <v>173</v>
      </c>
      <c r="F65" s="41" t="s">
        <v>190</v>
      </c>
      <c r="G65" s="41" t="s">
        <v>191</v>
      </c>
      <c r="H65" s="41" t="s">
        <v>192</v>
      </c>
      <c r="I65" s="41" t="s">
        <v>193</v>
      </c>
      <c r="O65" s="3"/>
    </row>
    <row r="66" spans="3:19" ht="20.100000000000001" customHeight="1" x14ac:dyDescent="0.25">
      <c r="D66" s="1" t="s">
        <v>147</v>
      </c>
      <c r="E66" s="140" cm="1">
        <f t="array" ref="E66">Common_InputFunctions.Utility_LookupValueInTableNumber($E$63, Table_SourceData_Dairy_ProductionSystemTemplates[Area],Table_SourceData_Dairy_ProductionSystemTemplates[Pasture])</f>
        <v>0.53400000000000003</v>
      </c>
      <c r="F66" s="140" cm="1">
        <f t="array" ref="F66">Common_InputFunctions.Utility_LookupValueInTableNumber($E$63, Table_SourceData_Dairy_ProductionSystemTemplates[Area],Table_SourceData_Dairy_ProductionSystemTemplates[Pasture])</f>
        <v>0.53400000000000003</v>
      </c>
      <c r="G66" s="140" cm="1">
        <f t="array" ref="G66">Common_InputFunctions.Utility_LookupValueInTableNumber($E$63, Table_SourceData_Dairy_ProductionSystemTemplates[Area],Table_SourceData_Dairy_ProductionSystemTemplates[Pasture])</f>
        <v>0.53400000000000003</v>
      </c>
      <c r="H66" s="140" cm="1">
        <f t="array" ref="H66">Common_InputFunctions.Utility_LookupValueInTableNumber($E$63, Table_SourceData_Dairy_ProductionSystemTemplates[Area],Table_SourceData_Dairy_ProductionSystemTemplates[Pasture])</f>
        <v>0.53400000000000003</v>
      </c>
      <c r="I66" s="140" cm="1">
        <f t="array" ref="I66">Common_InputFunctions.Utility_LookupValueInTableNumber($E$63, Table_SourceData_Dairy_ProductionSystemTemplates[Area],Table_SourceData_Dairy_ProductionSystemTemplates[Pasture])</f>
        <v>0.53400000000000003</v>
      </c>
      <c r="J66" s="2" t="s">
        <v>20</v>
      </c>
      <c r="K66" s="2"/>
      <c r="L66" s="2"/>
      <c r="M66" s="2"/>
      <c r="N66" s="2"/>
      <c r="O66" s="3"/>
    </row>
    <row r="67" spans="3:19" ht="20.100000000000001" customHeight="1" x14ac:dyDescent="0.25">
      <c r="D67" s="1" t="s">
        <v>187</v>
      </c>
      <c r="E67" s="140" cm="1">
        <f t="array" ref="E67">Common_InputFunctions.Utility_LookupValueInTableNumber($E$63, Table_SourceData_Dairy_ProductionSystemTemplates[Area],Table_SourceData_Dairy_ProductionSystemTemplates[Milking shed])</f>
        <v>0.11</v>
      </c>
      <c r="F67" s="140" cm="1">
        <f t="array" ref="F67">Common_InputFunctions.Utility_LookupValueInTableNumber($E$63, Table_SourceData_Dairy_ProductionSystemTemplates[Area],Table_SourceData_Dairy_ProductionSystemTemplates[Milking shed])</f>
        <v>0.11</v>
      </c>
      <c r="G67" s="140" cm="1">
        <f t="array" ref="G67">Common_InputFunctions.Utility_LookupValueInTableNumber($E$63, Table_SourceData_Dairy_ProductionSystemTemplates[Area],Table_SourceData_Dairy_ProductionSystemTemplates[Milking shed])</f>
        <v>0.11</v>
      </c>
      <c r="H67" s="140" cm="1">
        <f t="array" ref="H67">Common_InputFunctions.Utility_LookupValueInTableNumber($E$63, Table_SourceData_Dairy_ProductionSystemTemplates[Area],Table_SourceData_Dairy_ProductionSystemTemplates[Milking shed])</f>
        <v>0.11</v>
      </c>
      <c r="I67" s="140" cm="1">
        <f t="array" ref="I67">Common_InputFunctions.Utility_LookupValueInTableNumber($E$63, Table_SourceData_Dairy_ProductionSystemTemplates[Area],Table_SourceData_Dairy_ProductionSystemTemplates[Milking shed])</f>
        <v>0.11</v>
      </c>
      <c r="J67" s="2" t="s">
        <v>20</v>
      </c>
      <c r="K67" s="2"/>
      <c r="L67" s="2"/>
      <c r="M67" s="2"/>
      <c r="N67" s="2"/>
      <c r="O67" s="3"/>
    </row>
    <row r="68" spans="3:19" ht="20.100000000000001" customHeight="1" x14ac:dyDescent="0.25">
      <c r="D68" s="1" t="s">
        <v>202</v>
      </c>
      <c r="E68" s="140" cm="1">
        <f t="array" ref="E68">Common_InputFunctions.Utility_LookupValueInTableNumber($E$63, Table_SourceData_Dairy_ProductionSystemTemplates[Area],Table_SourceData_Dairy_ProductionSystemTemplates[Feedpad])</f>
        <v>0.35599999999999998</v>
      </c>
      <c r="F68" s="140" cm="1">
        <f t="array" ref="F68">Common_InputFunctions.Utility_LookupValueInTableNumber($E$63, Table_SourceData_Dairy_ProductionSystemTemplates[Area],Table_SourceData_Dairy_ProductionSystemTemplates[Feedpad])</f>
        <v>0.35599999999999998</v>
      </c>
      <c r="G68" s="140" cm="1">
        <f t="array" ref="G68">Common_InputFunctions.Utility_LookupValueInTableNumber($E$63, Table_SourceData_Dairy_ProductionSystemTemplates[Area],Table_SourceData_Dairy_ProductionSystemTemplates[Feedpad])</f>
        <v>0.35599999999999998</v>
      </c>
      <c r="H68" s="140" cm="1">
        <f t="array" ref="H68">Common_InputFunctions.Utility_LookupValueInTableNumber($E$63, Table_SourceData_Dairy_ProductionSystemTemplates[Area],Table_SourceData_Dairy_ProductionSystemTemplates[Feedpad])</f>
        <v>0.35599999999999998</v>
      </c>
      <c r="I68" s="140" cm="1">
        <f t="array" ref="I68">Common_InputFunctions.Utility_LookupValueInTableNumber($E$63, Table_SourceData_Dairy_ProductionSystemTemplates[Area],Table_SourceData_Dairy_ProductionSystemTemplates[Feedpad])</f>
        <v>0.35599999999999998</v>
      </c>
      <c r="J68" s="2" t="s">
        <v>20</v>
      </c>
      <c r="K68" s="2"/>
      <c r="L68" s="2"/>
      <c r="M68" s="2"/>
      <c r="N68" s="2"/>
      <c r="O68" s="3"/>
    </row>
    <row r="69" spans="3:19" ht="20.100000000000001" customHeight="1" x14ac:dyDescent="0.25">
      <c r="O69" s="3"/>
    </row>
    <row r="70" spans="3:19" ht="20.100000000000001" customHeight="1" x14ac:dyDescent="0.25">
      <c r="D70" s="66" t="s">
        <v>205</v>
      </c>
      <c r="E70" s="41" t="s">
        <v>173</v>
      </c>
      <c r="F70" s="41" t="s">
        <v>190</v>
      </c>
      <c r="G70" s="41" t="s">
        <v>191</v>
      </c>
      <c r="H70" s="41" t="s">
        <v>192</v>
      </c>
      <c r="I70" s="41" t="s">
        <v>193</v>
      </c>
      <c r="O70" s="3"/>
    </row>
    <row r="71" spans="3:19" ht="20.100000000000001" customHeight="1" x14ac:dyDescent="0.25">
      <c r="D71" s="1" t="s">
        <v>147</v>
      </c>
      <c r="E71" s="139" cm="1">
        <f t="array" ref="E71">Common_InputFunctions.Utility_LookupValueInTableNumber($E$63, Table_SourceData_Dairy_ProductionSystemTemplates[Area],Table_SourceData_Dairy_ProductionSystemTemplates[Pasture])</f>
        <v>0.53400000000000003</v>
      </c>
      <c r="F71" s="139" cm="1">
        <f t="array" ref="F71">Common_InputFunctions.Utility_LookupValueInTableNumber($E$63, Table_SourceData_Dairy_ProductionSystemTemplates[Area],Table_SourceData_Dairy_ProductionSystemTemplates[Pasture])</f>
        <v>0.53400000000000003</v>
      </c>
      <c r="G71" s="139" cm="1">
        <f t="array" ref="G71">Common_InputFunctions.Utility_LookupValueInTableNumber($E$63, Table_SourceData_Dairy_ProductionSystemTemplates[Area],Table_SourceData_Dairy_ProductionSystemTemplates[Pasture])</f>
        <v>0.53400000000000003</v>
      </c>
      <c r="H71" s="139" cm="1">
        <f t="array" ref="H71">Common_InputFunctions.Utility_LookupValueInTableNumber($E$63, Table_SourceData_Dairy_ProductionSystemTemplates[Area],Table_SourceData_Dairy_ProductionSystemTemplates[Pasture])</f>
        <v>0.53400000000000003</v>
      </c>
      <c r="I71" s="139" cm="1">
        <f t="array" ref="I71">Common_InputFunctions.Utility_LookupValueInTableNumber($E$63, Table_SourceData_Dairy_ProductionSystemTemplates[Area],Table_SourceData_Dairy_ProductionSystemTemplates[Pasture])</f>
        <v>0.53400000000000003</v>
      </c>
      <c r="J71" s="2" t="s">
        <v>20</v>
      </c>
      <c r="K71" s="2"/>
      <c r="L71" s="2"/>
      <c r="M71" s="2"/>
      <c r="N71" s="2"/>
      <c r="O71" s="3"/>
    </row>
    <row r="72" spans="3:19" ht="20.100000000000001" customHeight="1" x14ac:dyDescent="0.25">
      <c r="D72" s="1" t="s">
        <v>187</v>
      </c>
      <c r="E72" s="139" cm="1">
        <f t="array" ref="E72">Common_InputFunctions.Utility_LookupValueInTableNumber($E$63, Table_SourceData_Dairy_ProductionSystemTemplates[Area],Table_SourceData_Dairy_ProductionSystemTemplates[Milking shed])</f>
        <v>0.11</v>
      </c>
      <c r="F72" s="139" cm="1">
        <f t="array" ref="F72">Common_InputFunctions.Utility_LookupValueInTableNumber($E$63, Table_SourceData_Dairy_ProductionSystemTemplates[Area],Table_SourceData_Dairy_ProductionSystemTemplates[Milking shed])</f>
        <v>0.11</v>
      </c>
      <c r="G72" s="139" cm="1">
        <f t="array" ref="G72">Common_InputFunctions.Utility_LookupValueInTableNumber($E$63, Table_SourceData_Dairy_ProductionSystemTemplates[Area],Table_SourceData_Dairy_ProductionSystemTemplates[Milking shed])</f>
        <v>0.11</v>
      </c>
      <c r="H72" s="139" cm="1">
        <f t="array" ref="H72">Common_InputFunctions.Utility_LookupValueInTableNumber($E$63, Table_SourceData_Dairy_ProductionSystemTemplates[Area],Table_SourceData_Dairy_ProductionSystemTemplates[Milking shed])</f>
        <v>0.11</v>
      </c>
      <c r="I72" s="139" cm="1">
        <f t="array" ref="I72">Common_InputFunctions.Utility_LookupValueInTableNumber($E$63, Table_SourceData_Dairy_ProductionSystemTemplates[Area],Table_SourceData_Dairy_ProductionSystemTemplates[Milking shed])</f>
        <v>0.11</v>
      </c>
      <c r="J72" s="2" t="s">
        <v>20</v>
      </c>
      <c r="K72" s="2"/>
      <c r="L72" s="2"/>
      <c r="M72" s="2"/>
      <c r="N72" s="2"/>
      <c r="O72" s="3"/>
    </row>
    <row r="73" spans="3:19" ht="20.100000000000001" customHeight="1" x14ac:dyDescent="0.25">
      <c r="D73" s="1" t="s">
        <v>202</v>
      </c>
      <c r="E73" s="139" cm="1">
        <f t="array" ref="E73">Common_InputFunctions.Utility_LookupValueInTableNumber($E$63, Table_SourceData_Dairy_ProductionSystemTemplates[Area],Table_SourceData_Dairy_ProductionSystemTemplates[Feedpad])</f>
        <v>0.35599999999999998</v>
      </c>
      <c r="F73" s="139" cm="1">
        <f t="array" ref="F73">Common_InputFunctions.Utility_LookupValueInTableNumber($E$63, Table_SourceData_Dairy_ProductionSystemTemplates[Area],Table_SourceData_Dairy_ProductionSystemTemplates[Feedpad])</f>
        <v>0.35599999999999998</v>
      </c>
      <c r="G73" s="139" cm="1">
        <f t="array" ref="G73">Common_InputFunctions.Utility_LookupValueInTableNumber($E$63, Table_SourceData_Dairy_ProductionSystemTemplates[Area],Table_SourceData_Dairy_ProductionSystemTemplates[Feedpad])</f>
        <v>0.35599999999999998</v>
      </c>
      <c r="H73" s="139" cm="1">
        <f t="array" ref="H73">Common_InputFunctions.Utility_LookupValueInTableNumber($E$63, Table_SourceData_Dairy_ProductionSystemTemplates[Area],Table_SourceData_Dairy_ProductionSystemTemplates[Feedpad])</f>
        <v>0.35599999999999998</v>
      </c>
      <c r="I73" s="139" cm="1">
        <f t="array" ref="I73">Common_InputFunctions.Utility_LookupValueInTableNumber($E$63, Table_SourceData_Dairy_ProductionSystemTemplates[Area],Table_SourceData_Dairy_ProductionSystemTemplates[Feedpad])</f>
        <v>0.35599999999999998</v>
      </c>
      <c r="J73" s="2" t="s">
        <v>20</v>
      </c>
      <c r="K73" s="2"/>
      <c r="L73" s="2"/>
      <c r="M73" s="2"/>
      <c r="N73" s="2"/>
      <c r="O73" s="3"/>
    </row>
    <row r="74" spans="3:19" ht="20.100000000000001" customHeight="1" x14ac:dyDescent="0.25">
      <c r="E74" s="130"/>
      <c r="O74" s="3"/>
    </row>
    <row r="75" spans="3:19" ht="20.100000000000001" customHeight="1" x14ac:dyDescent="0.25"/>
    <row r="76" spans="3:19" ht="20.100000000000001" customHeight="1" x14ac:dyDescent="0.25">
      <c r="C76" s="48"/>
      <c r="D76" s="48"/>
      <c r="E76" s="48"/>
      <c r="F76" s="48"/>
      <c r="G76" s="48"/>
      <c r="H76" s="48"/>
      <c r="I76" s="48"/>
      <c r="J76" s="48"/>
      <c r="K76" s="48"/>
      <c r="L76" s="48"/>
      <c r="M76" s="48"/>
      <c r="N76" s="48"/>
      <c r="O76" s="48"/>
    </row>
    <row r="77" spans="3:19" ht="20.100000000000001" customHeight="1" x14ac:dyDescent="0.25">
      <c r="D77" s="6" t="s">
        <v>104</v>
      </c>
      <c r="F77" s="127"/>
    </row>
    <row r="78" spans="3:19" ht="20.100000000000001" customHeight="1" x14ac:dyDescent="0.25">
      <c r="D78" s="51" t="str">
        <f>"From " &amp; $D$67</f>
        <v>From Milking shed</v>
      </c>
      <c r="O78" s="3"/>
    </row>
    <row r="79" spans="3:19" ht="20.100000000000001" customHeight="1" x14ac:dyDescent="0.25">
      <c r="O79" s="3"/>
    </row>
    <row r="80" spans="3:19" ht="20.100000000000001" customHeight="1" x14ac:dyDescent="0.25">
      <c r="D80" s="157" t="s">
        <v>103</v>
      </c>
      <c r="E80" s="41" t="s">
        <v>173</v>
      </c>
      <c r="F80" s="41" t="s">
        <v>190</v>
      </c>
      <c r="G80" s="41" t="s">
        <v>191</v>
      </c>
      <c r="H80" s="41" t="s">
        <v>192</v>
      </c>
      <c r="I80" s="41" t="s">
        <v>193</v>
      </c>
      <c r="J80" s="146" t="s">
        <v>429</v>
      </c>
      <c r="K80" s="146"/>
      <c r="L80" s="66" t="s">
        <v>428</v>
      </c>
      <c r="M80" s="66"/>
      <c r="N80" s="41"/>
      <c r="O80" s="3"/>
      <c r="S80" s="7"/>
    </row>
    <row r="81" spans="4:19" ht="20.100000000000001" customHeight="1" x14ac:dyDescent="0.25">
      <c r="L81" s="121" t="s">
        <v>430</v>
      </c>
      <c r="M81" s="121" t="s">
        <v>431</v>
      </c>
      <c r="N81" s="121" t="s">
        <v>432</v>
      </c>
      <c r="O81" s="3"/>
      <c r="S81" s="7"/>
    </row>
    <row r="82" spans="4:19" ht="20.100000000000001" customHeight="1" x14ac:dyDescent="0.25">
      <c r="D82" s="56" t="str">
        <f>'Constants - Dairy'!$D$8</f>
        <v>Anaerobic lagoon</v>
      </c>
      <c r="E82" s="49">
        <v>0.25</v>
      </c>
      <c r="F82" s="49">
        <v>0.25</v>
      </c>
      <c r="G82" s="49">
        <v>0.25</v>
      </c>
      <c r="H82" s="49">
        <v>0.25</v>
      </c>
      <c r="I82" s="49">
        <v>0.25</v>
      </c>
      <c r="J82" s="2" t="s">
        <v>20</v>
      </c>
      <c r="K82" s="2"/>
      <c r="L82" s="49">
        <v>0.25</v>
      </c>
      <c r="M82" s="49">
        <v>0.25</v>
      </c>
      <c r="N82" s="101">
        <f>1-SUM(L82:M82)</f>
        <v>0.5</v>
      </c>
      <c r="O82" s="3"/>
      <c r="S82" s="7"/>
    </row>
    <row r="83" spans="4:19" ht="20.100000000000001" customHeight="1" x14ac:dyDescent="0.25">
      <c r="D83" s="156" t="str">
        <f>"Were solids separated from " &amp; D82 &amp; "?"</f>
        <v>Were solids separated from Anaerobic lagoon?</v>
      </c>
      <c r="E83" s="42" t="s">
        <v>207</v>
      </c>
      <c r="O83" s="3"/>
      <c r="S83" s="7"/>
    </row>
    <row r="84" spans="4:19" ht="20.100000000000001" customHeight="1" x14ac:dyDescent="0.25">
      <c r="D84" s="156" t="str">
        <f>"Percent solids separated from " &amp; D82 &amp; " (Method 1)"</f>
        <v>Percent solids separated from Anaerobic lagoon (Method 1)</v>
      </c>
      <c r="E84" s="101">
        <f>IF(E83="Yes", 20%, 0)</f>
        <v>0.2</v>
      </c>
      <c r="O84" s="3"/>
      <c r="S84" s="7"/>
    </row>
    <row r="85" spans="4:19" ht="20.100000000000001" customHeight="1" x14ac:dyDescent="0.25">
      <c r="D85" s="156" t="str">
        <f>"Percent solids separated from " &amp; D82 &amp; " (Method 2)"</f>
        <v>Percent solids separated from Anaerobic lagoon (Method 2)</v>
      </c>
      <c r="E85" s="49">
        <v>0.2</v>
      </c>
      <c r="O85" s="3"/>
      <c r="S85" s="7"/>
    </row>
    <row r="86" spans="4:19" ht="20.100000000000001" customHeight="1" x14ac:dyDescent="0.25">
      <c r="S86" s="7"/>
    </row>
    <row r="87" spans="4:19" ht="20.100000000000001" customHeight="1" x14ac:dyDescent="0.25">
      <c r="D87" s="56" t="str">
        <f>'Constants - Dairy'!$D$9</f>
        <v>Sump and dispersal system</v>
      </c>
      <c r="E87" s="49">
        <v>0.25</v>
      </c>
      <c r="F87" s="49">
        <v>0.25</v>
      </c>
      <c r="G87" s="49">
        <v>0.25</v>
      </c>
      <c r="H87" s="49">
        <v>0.25</v>
      </c>
      <c r="I87" s="49">
        <v>0.25</v>
      </c>
      <c r="J87" s="2" t="s">
        <v>20</v>
      </c>
      <c r="K87" s="2"/>
      <c r="L87" s="49">
        <v>0.25</v>
      </c>
      <c r="M87" s="49">
        <v>0.25</v>
      </c>
      <c r="N87" s="101">
        <f t="shared" ref="N87" si="1">1-SUM(L87:M87)</f>
        <v>0.5</v>
      </c>
      <c r="S87" s="7"/>
    </row>
    <row r="88" spans="4:19" ht="20.100000000000001" customHeight="1" x14ac:dyDescent="0.25">
      <c r="D88" s="156" t="str">
        <f>"Were solids separated from " &amp; D87 &amp; "?"</f>
        <v>Were solids separated from Sump and dispersal system?</v>
      </c>
      <c r="E88" s="42" t="s">
        <v>207</v>
      </c>
      <c r="S88" s="7"/>
    </row>
    <row r="89" spans="4:19" ht="20.100000000000001" customHeight="1" x14ac:dyDescent="0.25">
      <c r="D89" s="156" t="str">
        <f>"Percent solids separated from " &amp; D87 &amp; " (Method 1)"</f>
        <v>Percent solids separated from Sump and dispersal system (Method 1)</v>
      </c>
      <c r="E89" s="101">
        <f>IF(E88="Yes", 20%, 0)</f>
        <v>0.2</v>
      </c>
      <c r="S89" s="7"/>
    </row>
    <row r="90" spans="4:19" ht="20.100000000000001" customHeight="1" x14ac:dyDescent="0.25">
      <c r="D90" s="156" t="str">
        <f>"Percent solids separated from " &amp; D87 &amp; " (Method 2)"</f>
        <v>Percent solids separated from Sump and dispersal system (Method 2)</v>
      </c>
      <c r="E90" s="49">
        <v>0.2</v>
      </c>
      <c r="S90" s="7"/>
    </row>
    <row r="91" spans="4:19" ht="20.100000000000001" customHeight="1" x14ac:dyDescent="0.25">
      <c r="S91" s="7"/>
    </row>
    <row r="92" spans="4:19" ht="20.100000000000001" customHeight="1" x14ac:dyDescent="0.25">
      <c r="D92" s="56" t="str">
        <f>'Constants - Dairy'!$D$10</f>
        <v>Drains to paddock</v>
      </c>
      <c r="E92" s="49">
        <v>0.25</v>
      </c>
      <c r="F92" s="49">
        <v>0.25</v>
      </c>
      <c r="G92" s="49">
        <v>0.25</v>
      </c>
      <c r="H92" s="49">
        <v>0.25</v>
      </c>
      <c r="I92" s="49">
        <v>0.25</v>
      </c>
      <c r="J92" s="2" t="s">
        <v>20</v>
      </c>
      <c r="K92" s="2"/>
      <c r="L92" s="49">
        <v>0.25</v>
      </c>
      <c r="M92" s="49">
        <v>0.25</v>
      </c>
      <c r="N92" s="101">
        <f>1-SUM(L92:M92)</f>
        <v>0.5</v>
      </c>
      <c r="S92" s="7"/>
    </row>
    <row r="93" spans="4:19" ht="20.100000000000001" customHeight="1" x14ac:dyDescent="0.25">
      <c r="D93" s="156" t="str">
        <f>"Were solids separated from " &amp; D92 &amp; "?"</f>
        <v>Were solids separated from Drains to paddock?</v>
      </c>
      <c r="E93" s="42" t="s">
        <v>207</v>
      </c>
      <c r="S93" s="7"/>
    </row>
    <row r="94" spans="4:19" ht="20.100000000000001" customHeight="1" x14ac:dyDescent="0.25">
      <c r="D94" s="156" t="str">
        <f>"Percent solids separated from " &amp; D92 &amp; " (Method 1)"</f>
        <v>Percent solids separated from Drains to paddock (Method 1)</v>
      </c>
      <c r="E94" s="101">
        <f>IF(E93="Yes", 20%, 0)</f>
        <v>0.2</v>
      </c>
      <c r="S94" s="7"/>
    </row>
    <row r="95" spans="4:19" ht="20.100000000000001" customHeight="1" x14ac:dyDescent="0.25">
      <c r="D95" s="156" t="str">
        <f>"Percent solids separated from " &amp; D92 &amp; " (Method 2)"</f>
        <v>Percent solids separated from Drains to paddock (Method 2)</v>
      </c>
      <c r="E95" s="49">
        <v>0.2</v>
      </c>
      <c r="S95" s="7"/>
    </row>
    <row r="96" spans="4:19" ht="20.100000000000001" customHeight="1" x14ac:dyDescent="0.25">
      <c r="S96" s="7"/>
    </row>
    <row r="97" spans="4:19" ht="20.100000000000001" customHeight="1" x14ac:dyDescent="0.25">
      <c r="D97" s="56" t="str">
        <f>'Constants - Dairy'!$D$11 &amp; " (before solid separation)"</f>
        <v>Solid storage (before solid separation)</v>
      </c>
      <c r="E97" s="49">
        <v>0.25</v>
      </c>
      <c r="F97" s="49">
        <v>0.25</v>
      </c>
      <c r="G97" s="49">
        <v>0.25</v>
      </c>
      <c r="H97" s="49">
        <v>0.25</v>
      </c>
      <c r="I97" s="49">
        <v>0.25</v>
      </c>
      <c r="J97" s="2" t="s">
        <v>20</v>
      </c>
      <c r="K97" s="2"/>
      <c r="L97" s="49">
        <v>0.25</v>
      </c>
      <c r="M97" s="49">
        <v>0.25</v>
      </c>
      <c r="N97" s="101">
        <f t="shared" ref="N97" si="2">1-SUM(L97:M97)</f>
        <v>0.5</v>
      </c>
      <c r="S97" s="7"/>
    </row>
    <row r="98" spans="4:19" ht="20.100000000000001" customHeight="1" x14ac:dyDescent="0.25">
      <c r="D98" s="1" t="s">
        <v>435</v>
      </c>
      <c r="E98" s="101">
        <f>E97+(E82*$E84)+(E87*$E89)+(E92*$E94)</f>
        <v>0.39999999999999997</v>
      </c>
      <c r="F98" s="101">
        <f>F97+(F82*$E84)+(F87*$E89)+(F92*$E94)</f>
        <v>0.39999999999999997</v>
      </c>
      <c r="G98" s="101">
        <f>G97+(G82*$E84)+(G87*$E89)+(G92*$E94)</f>
        <v>0.39999999999999997</v>
      </c>
      <c r="H98" s="101">
        <f>H97+(H82*$E84)+(H87*$E89)+(H92*$E94)</f>
        <v>0.39999999999999997</v>
      </c>
      <c r="I98" s="101">
        <f>I97+(I82*$E84)+(I87*$E89)+(I92*$E94)</f>
        <v>0.39999999999999997</v>
      </c>
      <c r="J98" s="2" t="s">
        <v>20</v>
      </c>
      <c r="K98" s="2"/>
      <c r="L98" s="2"/>
      <c r="M98" s="2"/>
      <c r="N98" s="2"/>
      <c r="S98" s="7"/>
    </row>
    <row r="99" spans="4:19" ht="20.100000000000001" customHeight="1" x14ac:dyDescent="0.25">
      <c r="D99" s="1" t="s">
        <v>436</v>
      </c>
      <c r="E99" s="101">
        <f>E97+(E82*$E85)+(E87*$E90)+(E92*$E95)</f>
        <v>0.39999999999999997</v>
      </c>
      <c r="F99" s="101">
        <f>F97+(F82*$E85)+(F87*$E90)+(F92*$E95)</f>
        <v>0.39999999999999997</v>
      </c>
      <c r="G99" s="101">
        <f>G97+(G82*$E85)+(G87*$E90)+(G92*$E95)</f>
        <v>0.39999999999999997</v>
      </c>
      <c r="H99" s="101">
        <f>H97+(H82*$E85)+(H87*$E90)+(H92*$E95)</f>
        <v>0.39999999999999997</v>
      </c>
      <c r="I99" s="101">
        <f>I97+(I82*$E85)+(I87*$E90)+(I92*$E95)</f>
        <v>0.39999999999999997</v>
      </c>
      <c r="J99" s="2" t="s">
        <v>20</v>
      </c>
      <c r="K99" s="2"/>
      <c r="S99" s="7"/>
    </row>
    <row r="100" spans="4:19" ht="20.100000000000001" customHeight="1" x14ac:dyDescent="0.25">
      <c r="F100" s="2"/>
      <c r="S100" s="7"/>
    </row>
    <row r="101" spans="4:19" ht="20.100000000000001" customHeight="1" x14ac:dyDescent="0.25">
      <c r="F101" s="147"/>
      <c r="S101" s="7"/>
    </row>
    <row r="102" spans="4:19" ht="20.100000000000001" customHeight="1" x14ac:dyDescent="0.25">
      <c r="D102" s="51" t="str">
        <f>"From " &amp; $D$68</f>
        <v>From Feed pad</v>
      </c>
      <c r="S102" s="7"/>
    </row>
    <row r="103" spans="4:19" ht="20.100000000000001" customHeight="1" x14ac:dyDescent="0.25">
      <c r="S103" s="7"/>
    </row>
    <row r="104" spans="4:19" ht="20.100000000000001" customHeight="1" x14ac:dyDescent="0.25">
      <c r="D104" s="148" t="s">
        <v>103</v>
      </c>
      <c r="E104" s="41" t="s">
        <v>173</v>
      </c>
      <c r="F104" s="41" t="s">
        <v>190</v>
      </c>
      <c r="G104" s="41" t="s">
        <v>191</v>
      </c>
      <c r="H104" s="41" t="s">
        <v>192</v>
      </c>
      <c r="I104" s="41" t="s">
        <v>193</v>
      </c>
      <c r="J104" s="146" t="s">
        <v>429</v>
      </c>
      <c r="K104" s="146"/>
      <c r="L104" s="66" t="s">
        <v>428</v>
      </c>
      <c r="M104" s="66"/>
      <c r="N104" s="41"/>
      <c r="S104" s="7"/>
    </row>
    <row r="105" spans="4:19" ht="20.100000000000001" customHeight="1" x14ac:dyDescent="0.25">
      <c r="D105" s="150"/>
      <c r="L105" s="121" t="s">
        <v>430</v>
      </c>
      <c r="M105" s="121" t="s">
        <v>431</v>
      </c>
      <c r="N105" s="121" t="s">
        <v>432</v>
      </c>
      <c r="S105" s="7"/>
    </row>
    <row r="106" spans="4:19" ht="20.100000000000001" customHeight="1" x14ac:dyDescent="0.25">
      <c r="D106" s="149" t="str">
        <f>'Constants - Dairy'!$D$8</f>
        <v>Anaerobic lagoon</v>
      </c>
      <c r="E106" s="49">
        <v>0.25</v>
      </c>
      <c r="F106" s="49">
        <v>0.25</v>
      </c>
      <c r="G106" s="49">
        <v>0.25</v>
      </c>
      <c r="H106" s="49">
        <v>0.25</v>
      </c>
      <c r="I106" s="49">
        <v>0.25</v>
      </c>
      <c r="J106" s="2" t="s">
        <v>20</v>
      </c>
      <c r="K106" s="2"/>
      <c r="L106" s="49">
        <v>0.25</v>
      </c>
      <c r="M106" s="49">
        <v>0.25</v>
      </c>
      <c r="N106" s="101">
        <f>1-SUM(L106:M106)</f>
        <v>0.5</v>
      </c>
      <c r="S106" s="7"/>
    </row>
    <row r="107" spans="4:19" ht="20.100000000000001" customHeight="1" x14ac:dyDescent="0.25">
      <c r="D107" s="155" t="str">
        <f>"Were solids separated from " &amp; D106 &amp; "?"</f>
        <v>Were solids separated from Anaerobic lagoon?</v>
      </c>
      <c r="E107" s="42" t="s">
        <v>209</v>
      </c>
    </row>
    <row r="108" spans="4:19" ht="20.100000000000001" customHeight="1" x14ac:dyDescent="0.25">
      <c r="D108" s="155" t="str">
        <f>"Percent solids separated from " &amp; D106 &amp; " (Method 1)"</f>
        <v>Percent solids separated from Anaerobic lagoon (Method 1)</v>
      </c>
      <c r="E108" s="101">
        <f>IF(E107="Yes", 20%, 0)</f>
        <v>0</v>
      </c>
    </row>
    <row r="109" spans="4:19" ht="20.100000000000001" customHeight="1" x14ac:dyDescent="0.25">
      <c r="D109" s="155" t="str">
        <f>"Percent solids separated from " &amp; D106 &amp; " (Method 2)"</f>
        <v>Percent solids separated from Anaerobic lagoon (Method 2)</v>
      </c>
      <c r="E109" s="49">
        <f>IF(E107="Yes", 20%, 0)</f>
        <v>0</v>
      </c>
    </row>
    <row r="110" spans="4:19" ht="20.100000000000001" customHeight="1" x14ac:dyDescent="0.25"/>
    <row r="111" spans="4:19" ht="20.100000000000001" customHeight="1" x14ac:dyDescent="0.25">
      <c r="D111" s="149" t="str">
        <f>'Constants - Dairy'!$D$9</f>
        <v>Sump and dispersal system</v>
      </c>
      <c r="E111" s="49">
        <v>0.25</v>
      </c>
      <c r="F111" s="49">
        <v>0.25</v>
      </c>
      <c r="G111" s="49">
        <v>0.25</v>
      </c>
      <c r="H111" s="49">
        <v>0.25</v>
      </c>
      <c r="I111" s="49">
        <v>0.25</v>
      </c>
      <c r="J111" s="2" t="s">
        <v>20</v>
      </c>
      <c r="K111" s="2"/>
      <c r="L111" s="49">
        <v>0.25</v>
      </c>
      <c r="M111" s="49">
        <v>0.25</v>
      </c>
      <c r="N111" s="101">
        <f t="shared" ref="N111" si="3">1-SUM(L111:M111)</f>
        <v>0.5</v>
      </c>
    </row>
    <row r="112" spans="4:19" ht="20.100000000000001" customHeight="1" x14ac:dyDescent="0.25">
      <c r="D112" s="155" t="str">
        <f>"Were solids separated from " &amp; D111 &amp; "?"</f>
        <v>Were solids separated from Sump and dispersal system?</v>
      </c>
      <c r="E112" s="42" t="s">
        <v>207</v>
      </c>
    </row>
    <row r="113" spans="4:14" ht="20.100000000000001" customHeight="1" x14ac:dyDescent="0.25">
      <c r="D113" s="155" t="str">
        <f>"Percent solids separated from " &amp; D111 &amp; " (Method 1)"</f>
        <v>Percent solids separated from Sump and dispersal system (Method 1)</v>
      </c>
      <c r="E113" s="101">
        <f>IF(E112="Yes", 20%, 0)</f>
        <v>0.2</v>
      </c>
    </row>
    <row r="114" spans="4:14" ht="20.100000000000001" customHeight="1" x14ac:dyDescent="0.25">
      <c r="D114" s="155" t="str">
        <f>"Percent solids separated from " &amp; D111 &amp; " (Method 2)"</f>
        <v>Percent solids separated from Sump and dispersal system (Method 2)</v>
      </c>
      <c r="E114" s="49">
        <f>IF(E112="Yes", 20%, 0)</f>
        <v>0.2</v>
      </c>
    </row>
    <row r="115" spans="4:14" ht="20.100000000000001" customHeight="1" x14ac:dyDescent="0.25"/>
    <row r="116" spans="4:14" ht="20.100000000000001" customHeight="1" x14ac:dyDescent="0.25">
      <c r="D116" s="149" t="str">
        <f>'Constants - Dairy'!$D$10</f>
        <v>Drains to paddock</v>
      </c>
      <c r="E116" s="49">
        <v>0.25</v>
      </c>
      <c r="F116" s="49">
        <v>0.25</v>
      </c>
      <c r="G116" s="49">
        <v>0.25</v>
      </c>
      <c r="H116" s="49">
        <v>0.25</v>
      </c>
      <c r="I116" s="49">
        <v>0.25</v>
      </c>
      <c r="J116" s="2" t="s">
        <v>20</v>
      </c>
      <c r="K116" s="2"/>
      <c r="L116" s="49">
        <v>0.25</v>
      </c>
      <c r="M116" s="49">
        <v>0.25</v>
      </c>
      <c r="N116" s="101">
        <f>1-SUM(L116:M116)</f>
        <v>0.5</v>
      </c>
    </row>
    <row r="117" spans="4:14" ht="20.100000000000001" customHeight="1" x14ac:dyDescent="0.25">
      <c r="D117" s="155" t="str">
        <f>"Were solids separated from " &amp; D116 &amp; "?"</f>
        <v>Were solids separated from Drains to paddock?</v>
      </c>
      <c r="E117" s="42" t="s">
        <v>207</v>
      </c>
    </row>
    <row r="118" spans="4:14" ht="20.100000000000001" customHeight="1" x14ac:dyDescent="0.25">
      <c r="D118" s="155" t="str">
        <f>"Percent solids separated from " &amp; D116 &amp; " (Method 1)"</f>
        <v>Percent solids separated from Drains to paddock (Method 1)</v>
      </c>
      <c r="E118" s="101">
        <f>IF(E117="Yes", 20%, 0)</f>
        <v>0.2</v>
      </c>
    </row>
    <row r="119" spans="4:14" ht="20.100000000000001" customHeight="1" x14ac:dyDescent="0.25">
      <c r="D119" s="155" t="str">
        <f>"Percent solids separated from " &amp; D116 &amp; " (Method 2)"</f>
        <v>Percent solids separated from Drains to paddock (Method 2)</v>
      </c>
      <c r="E119" s="49">
        <f>IF(E117="Yes", 20%, 0)</f>
        <v>0.2</v>
      </c>
    </row>
    <row r="120" spans="4:14" ht="20.100000000000001" customHeight="1" x14ac:dyDescent="0.25"/>
    <row r="121" spans="4:14" ht="20.100000000000001" customHeight="1" x14ac:dyDescent="0.25">
      <c r="D121" s="149" t="str">
        <f>'Constants - Dairy'!$D$11 &amp; " (before solid separation)"</f>
        <v>Solid storage (before solid separation)</v>
      </c>
      <c r="E121" s="49">
        <v>0.25</v>
      </c>
      <c r="F121" s="49">
        <v>0.25</v>
      </c>
      <c r="G121" s="49">
        <v>0.25</v>
      </c>
      <c r="H121" s="49">
        <v>0.25</v>
      </c>
      <c r="I121" s="49">
        <v>0.25</v>
      </c>
      <c r="J121" s="2" t="s">
        <v>20</v>
      </c>
      <c r="K121" s="2"/>
      <c r="L121" s="49">
        <v>0.25</v>
      </c>
      <c r="M121" s="49">
        <v>0.25</v>
      </c>
      <c r="N121" s="101">
        <f>1-SUM(L121:M121)</f>
        <v>0.5</v>
      </c>
    </row>
    <row r="122" spans="4:14" ht="20.100000000000001" customHeight="1" x14ac:dyDescent="0.25">
      <c r="D122" s="150" t="s">
        <v>435</v>
      </c>
      <c r="E122" s="101">
        <f>E121+(E106*$E108)+(E111*$E113)+(E116*$E118)</f>
        <v>0.35</v>
      </c>
      <c r="F122" s="101">
        <f>F121+(F106*$E108)+(F111*$E113)+(F116*$E118)</f>
        <v>0.35</v>
      </c>
      <c r="G122" s="101">
        <f>G121+(G106*$E108)+(G111*$E113)+(G116*$E118)</f>
        <v>0.35</v>
      </c>
      <c r="H122" s="101">
        <f>H121+(H106*$E108)+(H111*$E113)+(H116*$E118)</f>
        <v>0.35</v>
      </c>
      <c r="I122" s="101">
        <f>I121+(I106*$E108)+(I111*$E113)+(I116*$E118)</f>
        <v>0.35</v>
      </c>
      <c r="J122" s="2" t="s">
        <v>20</v>
      </c>
      <c r="K122" s="2"/>
      <c r="L122" s="2"/>
      <c r="M122" s="2"/>
      <c r="N122" s="2"/>
    </row>
    <row r="123" spans="4:14" ht="20.100000000000001" customHeight="1" x14ac:dyDescent="0.25">
      <c r="D123" s="150" t="s">
        <v>436</v>
      </c>
      <c r="E123" s="101">
        <f>E121+(E106*$E109)+(E111*$E114)+(E116*$E119)</f>
        <v>0.35</v>
      </c>
      <c r="F123" s="101">
        <f>F121+(F106*$E109)+(F111*$E114)+(F116*$E119)</f>
        <v>0.35</v>
      </c>
      <c r="G123" s="101">
        <f>G121+(G106*$E109)+(G111*$E114)+(G116*$E119)</f>
        <v>0.35</v>
      </c>
      <c r="H123" s="101">
        <f>H121+(H106*$E109)+(H111*$E114)+(H116*$E119)</f>
        <v>0.35</v>
      </c>
      <c r="I123" s="101">
        <f>I121+(I106*$E109)+(I111*$E114)+(I116*$E119)</f>
        <v>0.35</v>
      </c>
      <c r="J123" s="2" t="s">
        <v>20</v>
      </c>
      <c r="K123" s="2"/>
    </row>
    <row r="124" spans="4:14" ht="20.100000000000001" customHeight="1" x14ac:dyDescent="0.25"/>
    <row r="125" spans="4:14" ht="20.100000000000001" customHeight="1" x14ac:dyDescent="0.25"/>
    <row r="126" spans="4:14" ht="20.100000000000001" customHeight="1" x14ac:dyDescent="0.25">
      <c r="D126" s="1" t="s">
        <v>142</v>
      </c>
      <c r="E126" s="42" t="s">
        <v>147</v>
      </c>
      <c r="F126" s="2" t="s">
        <v>11</v>
      </c>
    </row>
    <row r="127" spans="4:14" ht="20.100000000000001" customHeight="1" x14ac:dyDescent="0.25">
      <c r="E127" s="42" t="s">
        <v>152</v>
      </c>
      <c r="F127" s="2" t="s">
        <v>11</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3 M42:N44 P43:Q43 O45 J82:K82 J87:K87 F92 J92:K92 F97 J97:K99 L98:N98 F103 J106:K106 J111:K111 J116:K116 J121:K123 L122:N122 L127:N127">
    <cfRule type="cellIs" dxfId="41" priority="32" operator="lessThan">
      <formula>0</formula>
    </cfRule>
  </conditionalFormatting>
  <conditionalFormatting sqref="E14:N15">
    <cfRule type="cellIs" dxfId="40" priority="4" operator="lessThan">
      <formula>0</formula>
    </cfRule>
  </conditionalFormatting>
  <conditionalFormatting sqref="E18:N19">
    <cfRule type="cellIs" dxfId="39" priority="3" operator="lessThan">
      <formula>0</formula>
    </cfRule>
  </conditionalFormatting>
  <conditionalFormatting sqref="F100">
    <cfRule type="cellIs" dxfId="38" priority="22" operator="lessThan">
      <formula>0</formula>
    </cfRule>
  </conditionalFormatting>
  <conditionalFormatting sqref="J66:N68">
    <cfRule type="cellIs" dxfId="37" priority="26" operator="lessThan">
      <formula>0</formula>
    </cfRule>
  </conditionalFormatting>
  <conditionalFormatting sqref="J71:N73">
    <cfRule type="cellIs" dxfId="36" priority="25" operator="lessThan">
      <formula>0</formula>
    </cfRule>
  </conditionalFormatting>
  <dataValidations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17" zoomScale="85" zoomScaleNormal="85" workbookViewId="0">
      <selection activeCell="H39" sqref="H39:H4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INDEX(X_Table_Dairy_Diet_Method1,2,2)</f>
        <v>0.75</v>
      </c>
      <c r="E19" s="55">
        <f>INDEX(X_Table_Dairy_Diet_Method1,2,3)</f>
        <v>0.75</v>
      </c>
      <c r="F19" s="55">
        <f>INDEX(X_Table_Dairy_Diet_Method1,2,4)</f>
        <v>0.75</v>
      </c>
      <c r="G19" s="55">
        <f>INDEX(X_Table_Dairy_Diet_Method1,2,5)</f>
        <v>0.75</v>
      </c>
      <c r="H19" s="55">
        <f>INDEX(X_Table_Dairy_Diet_Method1,2,6)</f>
        <v>0.75</v>
      </c>
      <c r="I19" s="2" t="s">
        <v>226</v>
      </c>
      <c r="J19" s="2"/>
      <c r="K19" s="2"/>
      <c r="O19" s="55">
        <f>INDEX(X_Table_Dairy_Diet_Method2,2,2)</f>
        <v>0.75</v>
      </c>
      <c r="P19" s="55">
        <f>INDEX(X_Table_Dairy_Diet_Method2,2,3)</f>
        <v>0.75</v>
      </c>
      <c r="Q19" s="55">
        <f>INDEX(X_Table_Dairy_Diet_Method2,2,4)</f>
        <v>0.75</v>
      </c>
      <c r="R19" s="55">
        <f>INDEX(X_Table_Dairy_Diet_Method2,2,5)</f>
        <v>0.75</v>
      </c>
      <c r="S19" s="55">
        <f>INDEX(X_Table_Dairy_Diet_Method2,2,6)</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X_Cell_Dairy_MilkProductionUnit</f>
        <v>Litres of milk</v>
      </c>
      <c r="O37" s="137" t="str" cm="1">
        <f t="array" ref="O37:P40">_xlfn.CHOOSECOLS(EntericMethane_Dairy_Equations.VEERG_3_3_1_1__5_MilkProductionFromMilkSolids_Arguments_Method2(),1,2)</f>
        <v>MPU</v>
      </c>
      <c r="P37" s="136" t="str">
        <v>milk production unit</v>
      </c>
      <c r="Q37" s="138"/>
      <c r="R37" s="137" t="str" cm="1">
        <f t="array" ref="R37:S40">_xlfn.CHOOSECOLS(EntericMethane_Dairy_Equations.VEERG_3_3_1_1__5_MilkProductionFromMilkSolids_Arguments_Method2(),3,4)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5" t="str">
        <v>Input</v>
      </c>
      <c r="I39" s="137">
        <f>INDEX(X_Table_Dairy_MilkSolidAttributes,2,2)*100</f>
        <v>4</v>
      </c>
      <c r="O39" s="137" t="str">
        <v>FC_j</v>
      </c>
      <c r="P39" s="136" t="str">
        <v>fat content in fat and protein corrected milk</v>
      </c>
      <c r="Q39" s="138"/>
      <c r="R39" s="137" t="str">
        <v>per cent</v>
      </c>
      <c r="S39" s="135" t="str">
        <v>Input</v>
      </c>
      <c r="T39" s="137">
        <f>INDEX(X_Table_Dairy_MilkSolidAttributes,2,3)*100</f>
        <v>4</v>
      </c>
    </row>
    <row r="40" spans="4:20" ht="20.100000000000001" customHeight="1" x14ac:dyDescent="0.25">
      <c r="D40" s="137" t="str">
        <v>PC_j</v>
      </c>
      <c r="E40" s="137" t="str">
        <v>protein content in fat and protein corrected milk</v>
      </c>
      <c r="F40" s="137"/>
      <c r="G40" s="137" t="str">
        <v>per cent</v>
      </c>
      <c r="H40" s="135" t="str">
        <v>Input</v>
      </c>
      <c r="I40" s="137">
        <f>INDEX(X_Table_Dairy_MilkSolidAttributes,3,2)*100</f>
        <v>3.3000000000000003</v>
      </c>
      <c r="O40" s="137" t="str">
        <v>PC_j</v>
      </c>
      <c r="P40" s="137" t="str">
        <v>protein content in fat and protein corrected milk</v>
      </c>
      <c r="Q40" s="137"/>
      <c r="R40" s="137" t="str">
        <v>per cent</v>
      </c>
      <c r="S40" s="135" t="str">
        <v>Input</v>
      </c>
      <c r="T40" s="137">
        <f>INDEX(X_Table_Dairy_MilkSolidAttributes,3,3)*100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X_Cell_Dairy_MilkProductionAmount,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X_Cell_Dairy_MilkProductionUnit</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SourceData_Dairy_NetEnergy_Data</f>
        <v>3.0539999999999998</v>
      </c>
    </row>
    <row r="66" spans="4:22" ht="20.100000000000001" customHeight="1" x14ac:dyDescent="0.25">
      <c r="D66" s="137" t="str">
        <v>GEC</v>
      </c>
      <c r="E66" s="136" t="str">
        <v>gross energy content</v>
      </c>
      <c r="F66" s="138"/>
      <c r="G66" s="137" t="str">
        <v>MJ/kgDM</v>
      </c>
      <c r="H66" s="133" t="str">
        <v>Constant</v>
      </c>
      <c r="I66" s="137">
        <f>SourceData_Dairy_GrossEnergyContent_Data</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SourceData_Dairy_EfficiencyOfUseOfMetabolizableEnergy_Data</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X_Cell_Dairy_MilkProductionAmount)</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INDEX(X_Table_Dairy_Liveweight_Method1,2,2)</f>
        <v>550</v>
      </c>
      <c r="E99" s="55">
        <f>INDEX(X_Table_Dairy_Liveweight_Method1,2,3)</f>
        <v>380</v>
      </c>
      <c r="F99" s="55">
        <f>INDEX(X_Table_Dairy_Liveweight_Method1,2,4)</f>
        <v>155</v>
      </c>
      <c r="G99" s="55">
        <f>INDEX(X_Table_Dairy_Liveweight_Method1,2,5)</f>
        <v>600</v>
      </c>
      <c r="H99" s="55">
        <f>INDEX(X_Table_Dairy_Liveweight_Method1,2,6)</f>
        <v>225</v>
      </c>
      <c r="I99" s="2" t="s">
        <v>195</v>
      </c>
      <c r="J99" s="2"/>
      <c r="K99" s="2"/>
      <c r="O99" s="55">
        <f>INDEX(X_Table_Dairy_Liveweight_Method2,2,2)</f>
        <v>550</v>
      </c>
      <c r="P99" s="55">
        <f>INDEX(X_Table_Dairy_Liveweight_Method2,2,3)</f>
        <v>380</v>
      </c>
      <c r="Q99" s="55">
        <f>INDEX(X_Table_Dairy_Liveweight_Method2,2,4)</f>
        <v>155</v>
      </c>
      <c r="R99" s="55">
        <f>INDEX(X_Table_Dairy_Liveweight_Method2,2,5)</f>
        <v>600</v>
      </c>
      <c r="S99" s="55">
        <f>INDEX(X_Table_Dairy_Liveweight_Method2,2,6)</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INDEX(X_Table_Dairy_Liveweight_Method1,3,2)</f>
        <v>1.6E-2</v>
      </c>
      <c r="E104" s="55">
        <f>INDEX(X_Table_Dairy_Liveweight_Method1,3,3)</f>
        <v>0.6</v>
      </c>
      <c r="F104" s="55">
        <f>INDEX(X_Table_Dairy_Liveweight_Method1,3,4)</f>
        <v>0.56999999999999995</v>
      </c>
      <c r="G104" s="55">
        <f>INDEX(X_Table_Dairy_Liveweight_Method1,3,5)</f>
        <v>0.1</v>
      </c>
      <c r="H104" s="55">
        <f>INDEX(X_Table_Dairy_Liveweight_Method1,3,6)</f>
        <v>0.8</v>
      </c>
      <c r="I104" s="2" t="s">
        <v>196</v>
      </c>
      <c r="J104" s="2"/>
      <c r="K104" s="2"/>
      <c r="O104" s="55">
        <f>INDEX(X_Table_Dairy_Liveweight_Method2,3,2)</f>
        <v>1.6E-2</v>
      </c>
      <c r="P104" s="55">
        <f>INDEX(X_Table_Dairy_Liveweight_Method2,3,3)</f>
        <v>0.6</v>
      </c>
      <c r="Q104" s="55">
        <f>INDEX(X_Table_Dairy_Liveweight_Method2,3,4)</f>
        <v>0.56999999999999995</v>
      </c>
      <c r="R104" s="55">
        <f>INDEX(X_Table_Dairy_Liveweight_Method2,3,5)</f>
        <v>0.1</v>
      </c>
      <c r="S104" s="55">
        <f>INDEX(X_Table_Dairy_Liveweight_Method2,3,6)</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SourceData_Dairy_AshContent_Data</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INDEX(X_Table_Dairy_ProductionSystems_Method1,2,1)</f>
        <v>Pasture</v>
      </c>
      <c r="E151" s="55" t="str">
        <f>'Constants - Livestock'!$E$27</f>
        <v>Pasture range and paddock</v>
      </c>
      <c r="F151" s="55" cm="1">
        <f t="array" aca="1" ref="F151:J151" ca="1">OFFSET(X_Table_Dairy_ProductionSystems_Method1, 1,1,1,5)</f>
        <v>0.53400000000000003</v>
      </c>
      <c r="G151" s="55">
        <f ca="1"/>
        <v>0.53400000000000003</v>
      </c>
      <c r="H151" s="55">
        <f ca="1"/>
        <v>0.53400000000000003</v>
      </c>
      <c r="I151" s="55">
        <f ca="1"/>
        <v>0.53400000000000003</v>
      </c>
      <c r="J151" s="55">
        <f ca="1"/>
        <v>0.53400000000000003</v>
      </c>
      <c r="K151" s="2" t="str">
        <f>$G$145</f>
        <v>fraction</v>
      </c>
      <c r="O151" s="55" t="str">
        <f>INDEX(X_Table_Dairy_ProductionSystems_Method1,2,1)</f>
        <v>Pasture</v>
      </c>
      <c r="P151" s="55" t="str">
        <f>'Constants - Livestock'!$E$27</f>
        <v>Pasture range and paddock</v>
      </c>
      <c r="Q151" s="55" cm="1">
        <f t="array" aca="1" ref="Q151:U151" ca="1">OFFSET(X_Table_Dairy_ProductionSystems_Method2, 1,1,1,5)</f>
        <v>0.53400000000000003</v>
      </c>
      <c r="R151" s="55">
        <f ca="1"/>
        <v>0.53400000000000003</v>
      </c>
      <c r="S151" s="55">
        <f ca="1"/>
        <v>0.53400000000000003</v>
      </c>
      <c r="T151" s="55">
        <f ca="1"/>
        <v>0.53400000000000003</v>
      </c>
      <c r="U151" s="55">
        <f ca="1"/>
        <v>0.53400000000000003</v>
      </c>
    </row>
    <row r="152" spans="1:22" ht="20.100000000000001" customHeight="1" x14ac:dyDescent="0.25">
      <c r="D152" s="55" t="str">
        <f>INDEX(X_Table_Dairy_ProductionSystems_Method1,3,1)</f>
        <v>Milking shed</v>
      </c>
      <c r="E152" s="55" t="str">
        <f>INDEX(X_Table_Dairy_Stage1MMS_1_AnaerobicLagoon,2,1)</f>
        <v>Anaerobic lagoon</v>
      </c>
      <c r="F152" s="55" cm="1">
        <f t="array" aca="1" ref="F152:J152" ca="1">OFFSET(X_Table_Dairy_ProductionSystems_Method1, 2,1,1,5)*OFFSET(X_Table_Dairy_Stage1MMS_1_AnaerobicLagoon, 1,1,1,5)</f>
        <v>2.75E-2</v>
      </c>
      <c r="G152" s="55">
        <f ca="1"/>
        <v>2.75E-2</v>
      </c>
      <c r="H152" s="55">
        <f ca="1"/>
        <v>2.75E-2</v>
      </c>
      <c r="I152" s="55">
        <f ca="1"/>
        <v>2.75E-2</v>
      </c>
      <c r="J152" s="55">
        <f ca="1"/>
        <v>2.75E-2</v>
      </c>
      <c r="K152" s="2"/>
      <c r="O152" s="55" t="str">
        <f>INDEX(X_Table_Dairy_ProductionSystems_Method1,3,1)</f>
        <v>Milking shed</v>
      </c>
      <c r="P152" s="55" t="str">
        <f>INDEX(X_Table_Dairy_Stage1MMS_1_AnaerobicLagoon,2,1)</f>
        <v>Anaerobic lagoon</v>
      </c>
      <c r="Q152" s="55" cm="1">
        <f t="array" aca="1" ref="Q152:U152" ca="1">OFFSET(X_Table_Dairy_ProductionSystems_Method2, 2,1,1,5)*OFFSET(X_Table_Dairy_Stage1MMS_1_AnaerobicLagoon, 1,1,1,5)</f>
        <v>2.75E-2</v>
      </c>
      <c r="R152" s="55">
        <f ca="1"/>
        <v>2.75E-2</v>
      </c>
      <c r="S152" s="55">
        <f ca="1"/>
        <v>2.75E-2</v>
      </c>
      <c r="T152" s="55">
        <f ca="1"/>
        <v>2.75E-2</v>
      </c>
      <c r="U152" s="55">
        <f ca="1"/>
        <v>2.75E-2</v>
      </c>
      <c r="V152" s="2" t="str">
        <f>$G$145</f>
        <v>fraction</v>
      </c>
    </row>
    <row r="153" spans="1:22" ht="20.100000000000001" customHeight="1" x14ac:dyDescent="0.25">
      <c r="D153" s="55" t="str">
        <f>INDEX(X_Table_Dairy_ProductionSystems_Method1,3,1)</f>
        <v>Milking shed</v>
      </c>
      <c r="E153" s="55" t="str">
        <f>INDEX(X_Table_Dairy_Stage1MMS_1_SumpAndDispersal,2,1)</f>
        <v>Sump and dispersal system</v>
      </c>
      <c r="F153" s="55" cm="1">
        <f t="array" aca="1" ref="F153:J153" ca="1">OFFSET(X_Table_Dairy_ProductionSystems_Method1, 2,1,1,5)*OFFSET(X_Table_Dairy_Stage1MMS_1_SumpAndDispersal, 1,1,1,5)</f>
        <v>2.75E-2</v>
      </c>
      <c r="G153" s="55">
        <f ca="1"/>
        <v>2.75E-2</v>
      </c>
      <c r="H153" s="55">
        <f ca="1"/>
        <v>2.75E-2</v>
      </c>
      <c r="I153" s="55">
        <f ca="1"/>
        <v>2.75E-2</v>
      </c>
      <c r="J153" s="55">
        <f ca="1"/>
        <v>2.75E-2</v>
      </c>
      <c r="K153" s="2"/>
      <c r="O153" s="55" t="str">
        <f>INDEX(X_Table_Dairy_ProductionSystems_Method1,3,1)</f>
        <v>Milking shed</v>
      </c>
      <c r="P153" s="55" t="str">
        <f>INDEX(X_Table_Dairy_Stage1MMS_1_SumpAndDispersal,2,1)</f>
        <v>Sump and dispersal system</v>
      </c>
      <c r="Q153" s="55" cm="1">
        <f t="array" aca="1" ref="Q153:U153" ca="1">OFFSET(X_Table_Dairy_ProductionSystems_Method2, 2,1,1,5)*OFFSET(X_Table_Dairy_Stage1MMS_1_SumpAndDispersal, 1,1,1,5)</f>
        <v>2.75E-2</v>
      </c>
      <c r="R153" s="55">
        <f ca="1"/>
        <v>2.75E-2</v>
      </c>
      <c r="S153" s="55">
        <f ca="1"/>
        <v>2.75E-2</v>
      </c>
      <c r="T153" s="55">
        <f ca="1"/>
        <v>2.75E-2</v>
      </c>
      <c r="U153" s="55">
        <f ca="1"/>
        <v>2.75E-2</v>
      </c>
      <c r="V153" s="2"/>
    </row>
    <row r="154" spans="1:22" ht="20.100000000000001" customHeight="1" x14ac:dyDescent="0.25">
      <c r="D154" s="55" t="str">
        <f>INDEX(X_Table_Dairy_ProductionSystems_Method1,3,1)</f>
        <v>Milking shed</v>
      </c>
      <c r="E154" s="55" t="str">
        <f>INDEX(X_Table_Dairy_Stage1MMS_1_DrainsToPaddock,2,1)</f>
        <v>Drains to paddock</v>
      </c>
      <c r="F154" s="55" cm="1">
        <f t="array" aca="1" ref="F154:J154" ca="1">OFFSET(X_Table_Dairy_ProductionSystems_Method1, 2,1,1,5)*OFFSET(X_Table_Dairy_Stage1MMS_1_DrainsToPaddock, 1,1,1,5)</f>
        <v>2.75E-2</v>
      </c>
      <c r="G154" s="55">
        <f ca="1"/>
        <v>2.75E-2</v>
      </c>
      <c r="H154" s="55">
        <f ca="1"/>
        <v>2.75E-2</v>
      </c>
      <c r="I154" s="55">
        <f ca="1"/>
        <v>2.75E-2</v>
      </c>
      <c r="J154" s="55">
        <f ca="1"/>
        <v>2.75E-2</v>
      </c>
      <c r="K154" s="2"/>
      <c r="O154" s="55" t="str">
        <f>INDEX(X_Table_Dairy_ProductionSystems_Method1,3,1)</f>
        <v>Milking shed</v>
      </c>
      <c r="P154" s="55" t="str">
        <f>INDEX(X_Table_Dairy_Stage1MMS_1_DrainsToPaddock,2,1)</f>
        <v>Drains to paddock</v>
      </c>
      <c r="Q154" s="55" cm="1">
        <f t="array" aca="1" ref="Q154:U154" ca="1">OFFSET(X_Table_Dairy_ProductionSystems_Method2, 2,1,1,5)*OFFSET(X_Table_Dairy_Stage1MMS_1_DrainsToPaddock, 1,1,1,5)</f>
        <v>2.75E-2</v>
      </c>
      <c r="R154" s="55">
        <f ca="1"/>
        <v>2.75E-2</v>
      </c>
      <c r="S154" s="55">
        <f ca="1"/>
        <v>2.75E-2</v>
      </c>
      <c r="T154" s="55">
        <f ca="1"/>
        <v>2.75E-2</v>
      </c>
      <c r="U154" s="55">
        <f ca="1"/>
        <v>2.75E-2</v>
      </c>
      <c r="V154" s="2"/>
    </row>
    <row r="155" spans="1:22" ht="20.100000000000001" customHeight="1" x14ac:dyDescent="0.25">
      <c r="D155" s="55" t="str">
        <f>INDEX(X_Table_Dairy_ProductionSystems_Method1,4,1)</f>
        <v>Feed pad</v>
      </c>
      <c r="E155" s="55" t="str">
        <f>INDEX(X_Table_Dairy_Stage1MMS_2_AnaerobicLagoon,2,1)</f>
        <v>Anaerobic lagoon</v>
      </c>
      <c r="F155" s="55" cm="1">
        <f t="array" aca="1" ref="F155:J155" ca="1">OFFSET(X_Table_Dairy_ProductionSystems_Method1, 3,1,1,5)*OFFSET(X_Table_Dairy_Stage1MMS_1_AnaerobicLagoon, 1,1,1,5)</f>
        <v>8.8999999999999996E-2</v>
      </c>
      <c r="G155" s="55">
        <f ca="1"/>
        <v>8.8999999999999996E-2</v>
      </c>
      <c r="H155" s="55">
        <f ca="1"/>
        <v>8.8999999999999996E-2</v>
      </c>
      <c r="I155" s="55">
        <f ca="1"/>
        <v>8.8999999999999996E-2</v>
      </c>
      <c r="J155" s="55">
        <f ca="1"/>
        <v>8.8999999999999996E-2</v>
      </c>
      <c r="K155" s="2"/>
      <c r="O155" s="55" t="str">
        <f>INDEX(X_Table_Dairy_ProductionSystems_Method1,4,1)</f>
        <v>Feed pad</v>
      </c>
      <c r="P155" s="55" t="str">
        <f>INDEX(X_Table_Dairy_Stage1MMS_2_AnaerobicLagoon,2,1)</f>
        <v>Anaerobic lagoon</v>
      </c>
      <c r="Q155" s="55" cm="1">
        <f t="array" aca="1" ref="Q155:U155" ca="1">OFFSET(X_Table_Dairy_ProductionSystems_Method2, 3,1,1,5)*OFFSET(X_Table_Dairy_Stage1MMS_1_AnaerobicLagoon, 1,1,1,5)</f>
        <v>8.8999999999999996E-2</v>
      </c>
      <c r="R155" s="55">
        <f ca="1"/>
        <v>8.8999999999999996E-2</v>
      </c>
      <c r="S155" s="55">
        <f ca="1"/>
        <v>8.8999999999999996E-2</v>
      </c>
      <c r="T155" s="55">
        <f ca="1"/>
        <v>8.8999999999999996E-2</v>
      </c>
      <c r="U155" s="55">
        <f ca="1"/>
        <v>8.8999999999999996E-2</v>
      </c>
      <c r="V155" s="2"/>
    </row>
    <row r="156" spans="1:22" ht="20.100000000000001" customHeight="1" x14ac:dyDescent="0.25">
      <c r="D156" s="55" t="str">
        <f>INDEX(X_Table_Dairy_ProductionSystems_Method1,4,1)</f>
        <v>Feed pad</v>
      </c>
      <c r="E156" s="55" t="str">
        <f>INDEX(X_Table_Dairy_Stage1MMS_2_SumpAndDispersal,2,1)</f>
        <v>Sump and dispersal system</v>
      </c>
      <c r="F156" s="55" cm="1">
        <f t="array" aca="1" ref="F156:J156" ca="1">OFFSET(X_Table_Dairy_ProductionSystems_Method1, 3,1,1,5)*OFFSET(X_Table_Dairy_Stage1MMS_1_SumpAndDispersal, 1,1,1,5)</f>
        <v>8.8999999999999996E-2</v>
      </c>
      <c r="G156" s="55">
        <f ca="1"/>
        <v>8.8999999999999996E-2</v>
      </c>
      <c r="H156" s="55">
        <f ca="1"/>
        <v>8.8999999999999996E-2</v>
      </c>
      <c r="I156" s="55">
        <f ca="1"/>
        <v>8.8999999999999996E-2</v>
      </c>
      <c r="J156" s="55">
        <f ca="1"/>
        <v>8.8999999999999996E-2</v>
      </c>
      <c r="K156" s="2"/>
      <c r="O156" s="55" t="str">
        <f>INDEX(X_Table_Dairy_ProductionSystems_Method1,4,1)</f>
        <v>Feed pad</v>
      </c>
      <c r="P156" s="55" t="str">
        <f>INDEX(X_Table_Dairy_Stage1MMS_2_SumpAndDispersal,2,1)</f>
        <v>Sump and dispersal system</v>
      </c>
      <c r="Q156" s="55" cm="1">
        <f t="array" aca="1" ref="Q156:U156" ca="1">OFFSET(X_Table_Dairy_ProductionSystems_Method2, 3,1,1,5)*OFFSET(X_Table_Dairy_Stage1MMS_1_SumpAndDispersal, 1,1,1,5)</f>
        <v>8.8999999999999996E-2</v>
      </c>
      <c r="R156" s="55">
        <f ca="1"/>
        <v>8.8999999999999996E-2</v>
      </c>
      <c r="S156" s="55">
        <f ca="1"/>
        <v>8.8999999999999996E-2</v>
      </c>
      <c r="T156" s="55">
        <f ca="1"/>
        <v>8.8999999999999996E-2</v>
      </c>
      <c r="U156" s="55">
        <f ca="1"/>
        <v>8.8999999999999996E-2</v>
      </c>
      <c r="V156" s="2"/>
    </row>
    <row r="157" spans="1:22" ht="20.100000000000001" customHeight="1" x14ac:dyDescent="0.25">
      <c r="D157" s="55" t="str">
        <f>INDEX(X_Table_Dairy_ProductionSystems_Method1,4,1)</f>
        <v>Feed pad</v>
      </c>
      <c r="E157" s="55" t="str">
        <f>INDEX(X_Table_Dairy_Stage1MMS_2_DrainsToPaddock,2,1)</f>
        <v>Drains to paddock</v>
      </c>
      <c r="F157" s="55" cm="1">
        <f t="array" aca="1" ref="F157:J157" ca="1">OFFSET(X_Table_Dairy_ProductionSystems_Method1, 3,1,1,5)*OFFSET(X_Table_Dairy_Stage1MMS_1_DrainsToPaddock, 1,1,1,5)</f>
        <v>8.8999999999999996E-2</v>
      </c>
      <c r="G157" s="55">
        <f ca="1"/>
        <v>8.8999999999999996E-2</v>
      </c>
      <c r="H157" s="55">
        <f ca="1"/>
        <v>8.8999999999999996E-2</v>
      </c>
      <c r="I157" s="55">
        <f ca="1"/>
        <v>8.8999999999999996E-2</v>
      </c>
      <c r="J157" s="55">
        <f ca="1"/>
        <v>8.8999999999999996E-2</v>
      </c>
      <c r="K157" s="2"/>
      <c r="O157" s="55" t="str">
        <f>INDEX(X_Table_Dairy_ProductionSystems_Method1,4,1)</f>
        <v>Feed pad</v>
      </c>
      <c r="P157" s="55" t="str">
        <f>INDEX(X_Table_Dairy_Stage1MMS_2_DrainsToPaddock,2,1)</f>
        <v>Drains to paddock</v>
      </c>
      <c r="Q157" s="55" cm="1">
        <f t="array" aca="1" ref="Q157:U157" ca="1">OFFSET(X_Table_Dairy_ProductionSystems_Method2, 3,1,1,5)*OFFSET(X_Table_Dairy_Stage1MMS_1_DrainsToPaddock, 1,1,1,5)</f>
        <v>8.8999999999999996E-2</v>
      </c>
      <c r="R157" s="55">
        <f ca="1"/>
        <v>8.8999999999999996E-2</v>
      </c>
      <c r="S157" s="55">
        <f ca="1"/>
        <v>8.8999999999999996E-2</v>
      </c>
      <c r="T157" s="55">
        <f ca="1"/>
        <v>8.8999999999999996E-2</v>
      </c>
      <c r="U157" s="55">
        <f ca="1"/>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INDEX(X_Table_Dairy_ProductionSystems_Method1,2,1)</f>
        <v>Pasture</v>
      </c>
      <c r="E162" s="55" t="str">
        <f>'Constants - Livestock'!$E$27</f>
        <v>Pasture range and paddock</v>
      </c>
      <c r="F162" s="55">
        <v>0</v>
      </c>
      <c r="G162" s="2" t="str">
        <f>$G$146</f>
        <v>fraction</v>
      </c>
      <c r="O162" s="55" t="str">
        <f>INDEX(X_Table_Dairy_ProductionSystems_Method1,2,1)</f>
        <v>Pasture</v>
      </c>
      <c r="P162" s="55" t="str">
        <f>'Constants - Livestock'!$E$27</f>
        <v>Pasture range and paddock</v>
      </c>
      <c r="Q162" s="55">
        <v>0</v>
      </c>
      <c r="R162" s="2" t="str">
        <f>$G$146</f>
        <v>fraction</v>
      </c>
    </row>
    <row r="163" spans="4:22" ht="20.100000000000001" customHeight="1" x14ac:dyDescent="0.25">
      <c r="D163" s="55" t="str">
        <f>INDEX(X_Table_Dairy_ProductionSystems_Method1,3,1)</f>
        <v>Milking shed</v>
      </c>
      <c r="E163" s="55" t="str">
        <f>INDEX(X_Table_Dairy_Stage1MMS_1_AnaerobicLagoon,2,1)</f>
        <v>Anaerobic lagoon</v>
      </c>
      <c r="F163" s="55">
        <f>X_Cell_Dairy_Stage1MMS_1_AnaerobicLagoon_AmountSeparated_Method1</f>
        <v>0.2</v>
      </c>
      <c r="O163" s="55" t="str">
        <f>INDEX(X_Table_Dairy_ProductionSystems_Method1,3,1)</f>
        <v>Milking shed</v>
      </c>
      <c r="P163" s="55" t="str">
        <f>INDEX(X_Table_Dairy_Stage1MMS_1_AnaerobicLagoon,2,1)</f>
        <v>Anaerobic lagoon</v>
      </c>
      <c r="Q163" s="55">
        <f>X_Cell_Dairy_Stage1MMS_1_AnaerobicLagoon_AmountSeparated_Method2</f>
        <v>0.2</v>
      </c>
      <c r="R163" s="2"/>
    </row>
    <row r="164" spans="4:22" ht="20.100000000000001" customHeight="1" x14ac:dyDescent="0.25">
      <c r="D164" s="55" t="str">
        <f>INDEX(X_Table_Dairy_ProductionSystems_Method1,3,1)</f>
        <v>Milking shed</v>
      </c>
      <c r="E164" s="55" t="str">
        <f>INDEX(X_Table_Dairy_Stage1MMS_1_SumpAndDispersal,2,1)</f>
        <v>Sump and dispersal system</v>
      </c>
      <c r="F164" s="55">
        <f>X_Cell_Dairy_Stage1MMS_1_SumpAndDispersal_AmountSeparated_Method1</f>
        <v>0.2</v>
      </c>
      <c r="G164" s="2"/>
      <c r="O164" s="55" t="str">
        <f>INDEX(X_Table_Dairy_ProductionSystems_Method1,3,1)</f>
        <v>Milking shed</v>
      </c>
      <c r="P164" s="55" t="str">
        <f>INDEX(X_Table_Dairy_Stage1MMS_1_SumpAndDispersal,2,1)</f>
        <v>Sump and dispersal system</v>
      </c>
      <c r="Q164" s="55">
        <f>X_Cell_Dairy_Stage1MMS_1_SumpAndDispersal_AmountSeparated_Method2</f>
        <v>0.2</v>
      </c>
      <c r="R164" s="2"/>
    </row>
    <row r="165" spans="4:22" ht="20.100000000000001" customHeight="1" x14ac:dyDescent="0.25">
      <c r="D165" s="55" t="str">
        <f>INDEX(X_Table_Dairy_ProductionSystems_Method1,3,1)</f>
        <v>Milking shed</v>
      </c>
      <c r="E165" s="55" t="str">
        <f>INDEX(X_Table_Dairy_Stage1MMS_1_DrainsToPaddock,2,1)</f>
        <v>Drains to paddock</v>
      </c>
      <c r="F165" s="55">
        <f>X_Cell_Dairy_Stage1MMS_1_DrainsToPaddock_AmountSeparated_Method1</f>
        <v>0.2</v>
      </c>
      <c r="G165" s="2"/>
      <c r="O165" s="55" t="str">
        <f>INDEX(X_Table_Dairy_ProductionSystems_Method1,3,1)</f>
        <v>Milking shed</v>
      </c>
      <c r="P165" s="55" t="str">
        <f>INDEX(X_Table_Dairy_Stage1MMS_1_DrainsToPaddock,2,1)</f>
        <v>Drains to paddock</v>
      </c>
      <c r="Q165" s="55">
        <f>X_Cell_Dairy_Stage1MMS_1_DrainsToPaddock_AmountSeparated_Method2</f>
        <v>0.2</v>
      </c>
      <c r="R165" s="2"/>
    </row>
    <row r="166" spans="4:22" ht="20.100000000000001" customHeight="1" x14ac:dyDescent="0.25">
      <c r="D166" s="55" t="str">
        <f>INDEX(X_Table_Dairy_ProductionSystems_Method1,4,1)</f>
        <v>Feed pad</v>
      </c>
      <c r="E166" s="55" t="str">
        <f>INDEX(X_Table_Dairy_Stage1MMS_2_AnaerobicLagoon,2,1)</f>
        <v>Anaerobic lagoon</v>
      </c>
      <c r="F166" s="55">
        <f>X_Cell_Dairy_Stage1MMS_2_AnaerobicLagoon_AmountSeparated_Method1</f>
        <v>0</v>
      </c>
      <c r="G166" s="2"/>
      <c r="O166" s="55" t="str">
        <f>INDEX(X_Table_Dairy_ProductionSystems_Method1,4,1)</f>
        <v>Feed pad</v>
      </c>
      <c r="P166" s="55" t="str">
        <f>INDEX(X_Table_Dairy_Stage1MMS_2_AnaerobicLagoon,2,1)</f>
        <v>Anaerobic lagoon</v>
      </c>
      <c r="Q166" s="55">
        <f>X_Cell_Dairy_Stage1MMS_2_AnaerobicLagoon_AmountSeparated_Method2</f>
        <v>0</v>
      </c>
      <c r="R166" s="2"/>
    </row>
    <row r="167" spans="4:22" ht="20.100000000000001" customHeight="1" x14ac:dyDescent="0.25">
      <c r="D167" s="55" t="str">
        <f>INDEX(X_Table_Dairy_ProductionSystems_Method1,4,1)</f>
        <v>Feed pad</v>
      </c>
      <c r="E167" s="55" t="str">
        <f>INDEX(X_Table_Dairy_Stage1MMS_2_SumpAndDispersal,2,1)</f>
        <v>Sump and dispersal system</v>
      </c>
      <c r="F167" s="55">
        <f>X_Cell_Dairy_Stage1MMS_2_SumpAndDispersal_AmountSeparated_Method1</f>
        <v>0.2</v>
      </c>
      <c r="G167" s="2"/>
      <c r="O167" s="55" t="str">
        <f>INDEX(X_Table_Dairy_ProductionSystems_Method1,4,1)</f>
        <v>Feed pad</v>
      </c>
      <c r="P167" s="55" t="str">
        <f>INDEX(X_Table_Dairy_Stage1MMS_2_SumpAndDispersal,2,1)</f>
        <v>Sump and dispersal system</v>
      </c>
      <c r="Q167" s="55">
        <f>X_Cell_Dairy_Stage1MMS_2_SumpAndDispersal_AmountSeparated_Method2</f>
        <v>0.2</v>
      </c>
      <c r="R167" s="2"/>
    </row>
    <row r="168" spans="4:22" ht="20.100000000000001" customHeight="1" x14ac:dyDescent="0.25">
      <c r="D168" s="55" t="str">
        <f>INDEX(X_Table_Dairy_ProductionSystems_Method1,4,1)</f>
        <v>Feed pad</v>
      </c>
      <c r="E168" s="55" t="str">
        <f>INDEX(X_Table_Dairy_Stage1MMS_2_DrainsToPaddock,2,1)</f>
        <v>Drains to paddock</v>
      </c>
      <c r="F168" s="55">
        <f>X_Cell_Dairy_Stage1MMS_2_DrainsToPaddock_AmountSeparated_Method1</f>
        <v>0.2</v>
      </c>
      <c r="G168" s="2"/>
      <c r="O168" s="55" t="str">
        <f>INDEX(X_Table_Dairy_ProductionSystems_Method1,4,1)</f>
        <v>Feed pad</v>
      </c>
      <c r="P168" s="55" t="str">
        <f>INDEX(X_Table_Dairy_Stage1MMS_2_DrainsToPaddock,2,1)</f>
        <v>Drains to paddock</v>
      </c>
      <c r="Q168" s="55">
        <f>X_Cell_Dairy_Stage1MMS_2_DrainsToPaddock_AmountSeparated_Method2</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INDEX(X_Table_Dairy_ProductionSystems_Method1,2,1)</f>
        <v>Pasture</v>
      </c>
      <c r="E173" s="55" t="str">
        <f>'Constants - Livestock'!$E$27</f>
        <v>Pasture range and paddock</v>
      </c>
      <c r="F173" s="55" cm="1">
        <f t="array" aca="1" ref="F173" ca="1">MMS_Dairy_Methane_Equations.VEERG_4_3_1_1__4_FractionVolatileSolidsNotSolidStorage(F151,$F162)</f>
        <v>0.53400000000000003</v>
      </c>
      <c r="G173" s="55" cm="1">
        <f t="array" aca="1" ref="G173" ca="1">MMS_Dairy_Methane_Equations.VEERG_4_3_1_1__4_FractionVolatileSolidsNotSolidStorage(G151,$F162)</f>
        <v>0.53400000000000003</v>
      </c>
      <c r="H173" s="55" cm="1">
        <f t="array" aca="1" ref="H173" ca="1">MMS_Dairy_Methane_Equations.VEERG_4_3_1_1__4_FractionVolatileSolidsNotSolidStorage(H151,$F162)</f>
        <v>0.53400000000000003</v>
      </c>
      <c r="I173" s="55" cm="1">
        <f t="array" aca="1" ref="I173" ca="1">MMS_Dairy_Methane_Equations.VEERG_4_3_1_1__4_FractionVolatileSolidsNotSolidStorage(I151,$F162)</f>
        <v>0.53400000000000003</v>
      </c>
      <c r="J173" s="55" cm="1">
        <f t="array" aca="1" ref="J173" ca="1">MMS_Dairy_Methane_Equations.VEERG_4_3_1_1__4_FractionVolatileSolidsNotSolidStorage(J151,$F162)</f>
        <v>0.53400000000000003</v>
      </c>
      <c r="K173" s="2" t="str">
        <f>$E$143</f>
        <v>fraction</v>
      </c>
      <c r="O173" s="55" t="str">
        <f>INDEX(X_Table_Dairy_ProductionSystems_Method1,2,1)</f>
        <v>Pasture</v>
      </c>
      <c r="P173" s="55" t="str">
        <f>'Constants - Livestock'!$E$27</f>
        <v>Pasture range and paddock</v>
      </c>
      <c r="Q173" s="55" cm="1">
        <f t="array" aca="1" ref="Q173" ca="1">MMS_Dairy_Methane_Equations.VEERG_4_3_1_1__4_FractionVolatileSolidsNotSolidStorage(Q151,$Q162)</f>
        <v>0.53400000000000003</v>
      </c>
      <c r="R173" s="55" cm="1">
        <f t="array" aca="1" ref="R173" ca="1">MMS_Dairy_Methane_Equations.VEERG_4_3_1_1__4_FractionVolatileSolidsNotSolidStorage(R151,$Q162)</f>
        <v>0.53400000000000003</v>
      </c>
      <c r="S173" s="55" cm="1">
        <f t="array" aca="1" ref="S173" ca="1">MMS_Dairy_Methane_Equations.VEERG_4_3_1_1__4_FractionVolatileSolidsNotSolidStorage(S151,$Q162)</f>
        <v>0.53400000000000003</v>
      </c>
      <c r="T173" s="55" cm="1">
        <f t="array" aca="1" ref="T173" ca="1">MMS_Dairy_Methane_Equations.VEERG_4_3_1_1__4_FractionVolatileSolidsNotSolidStorage(T151,$Q162)</f>
        <v>0.53400000000000003</v>
      </c>
      <c r="U173" s="55" cm="1">
        <f t="array" aca="1" ref="U173" ca="1">MMS_Dairy_Methane_Equations.VEERG_4_3_1_1__4_FractionVolatileSolidsNotSolidStorage(U151,$Q162)</f>
        <v>0.53400000000000003</v>
      </c>
      <c r="V173" s="2" t="str">
        <f>$E$143</f>
        <v>fraction</v>
      </c>
    </row>
    <row r="174" spans="4:22" ht="20.100000000000001" customHeight="1" x14ac:dyDescent="0.25">
      <c r="D174" s="55" t="str">
        <f>INDEX(X_Table_Dairy_ProductionSystems_Method1,3,1)</f>
        <v>Milking shed</v>
      </c>
      <c r="E174" s="55" t="str">
        <f>INDEX(X_Table_Dairy_Stage1MMS_1_AnaerobicLagoon,2,1)</f>
        <v>Anaerobic lagoon</v>
      </c>
      <c r="F174" s="55" cm="1">
        <f t="array" aca="1" ref="F174" ca="1">MMS_Dairy_Methane_Equations.VEERG_4_3_1_1__4_FractionVolatileSolidsNotSolidStorage(F152,$F163)</f>
        <v>2.2000000000000002E-2</v>
      </c>
      <c r="G174" s="55" cm="1">
        <f t="array" aca="1" ref="G174" ca="1">MMS_Dairy_Methane_Equations.VEERG_4_3_1_1__4_FractionVolatileSolidsNotSolidStorage(G152,$F163)</f>
        <v>2.2000000000000002E-2</v>
      </c>
      <c r="H174" s="55" cm="1">
        <f t="array" aca="1" ref="H174" ca="1">MMS_Dairy_Methane_Equations.VEERG_4_3_1_1__4_FractionVolatileSolidsNotSolidStorage(H152,$F163)</f>
        <v>2.2000000000000002E-2</v>
      </c>
      <c r="I174" s="55" cm="1">
        <f t="array" aca="1" ref="I174" ca="1">MMS_Dairy_Methane_Equations.VEERG_4_3_1_1__4_FractionVolatileSolidsNotSolidStorage(I152,$F163)</f>
        <v>2.2000000000000002E-2</v>
      </c>
      <c r="J174" s="55" cm="1">
        <f t="array" aca="1" ref="J174" ca="1">MMS_Dairy_Methane_Equations.VEERG_4_3_1_1__4_FractionVolatileSolidsNotSolidStorage(J152,$F163)</f>
        <v>2.2000000000000002E-2</v>
      </c>
      <c r="O174" s="55" t="str">
        <f>INDEX(X_Table_Dairy_ProductionSystems_Method1,3,1)</f>
        <v>Milking shed</v>
      </c>
      <c r="P174" s="55" t="str">
        <f>INDEX(X_Table_Dairy_Stage1MMS_1_AnaerobicLagoon,2,1)</f>
        <v>Anaerobic lagoon</v>
      </c>
      <c r="Q174" s="55" cm="1">
        <f t="array" aca="1" ref="Q174" ca="1">MMS_Dairy_Methane_Equations.VEERG_4_3_1_1__4_FractionVolatileSolidsNotSolidStorage(Q152,$Q163)</f>
        <v>2.2000000000000002E-2</v>
      </c>
      <c r="R174" s="55" cm="1">
        <f t="array" aca="1" ref="R174" ca="1">MMS_Dairy_Methane_Equations.VEERG_4_3_1_1__4_FractionVolatileSolidsNotSolidStorage(R152,$Q163)</f>
        <v>2.2000000000000002E-2</v>
      </c>
      <c r="S174" s="55" cm="1">
        <f t="array" aca="1" ref="S174" ca="1">MMS_Dairy_Methane_Equations.VEERG_4_3_1_1__4_FractionVolatileSolidsNotSolidStorage(S152,$Q163)</f>
        <v>2.2000000000000002E-2</v>
      </c>
      <c r="T174" s="55" cm="1">
        <f t="array" aca="1" ref="T174" ca="1">MMS_Dairy_Methane_Equations.VEERG_4_3_1_1__4_FractionVolatileSolidsNotSolidStorage(T152,$Q163)</f>
        <v>2.2000000000000002E-2</v>
      </c>
      <c r="U174" s="55" cm="1">
        <f t="array" aca="1" ref="U174" ca="1">MMS_Dairy_Methane_Equations.VEERG_4_3_1_1__4_FractionVolatileSolidsNotSolidStorage(U152,$Q163)</f>
        <v>2.2000000000000002E-2</v>
      </c>
    </row>
    <row r="175" spans="4:22" ht="20.100000000000001" customHeight="1" x14ac:dyDescent="0.25">
      <c r="D175" s="55" t="str">
        <f>INDEX(X_Table_Dairy_ProductionSystems_Method1,3,1)</f>
        <v>Milking shed</v>
      </c>
      <c r="E175" s="55" t="str">
        <f>INDEX(X_Table_Dairy_Stage1MMS_1_SumpAndDispersal,2,1)</f>
        <v>Sump and dispersal system</v>
      </c>
      <c r="F175" s="55" cm="1">
        <f t="array" aca="1" ref="F175" ca="1">MMS_Dairy_Methane_Equations.VEERG_4_3_1_1__4_FractionVolatileSolidsNotSolidStorage(F153,$F164)</f>
        <v>2.2000000000000002E-2</v>
      </c>
      <c r="G175" s="55" cm="1">
        <f t="array" aca="1" ref="G175" ca="1">MMS_Dairy_Methane_Equations.VEERG_4_3_1_1__4_FractionVolatileSolidsNotSolidStorage(G153,$F164)</f>
        <v>2.2000000000000002E-2</v>
      </c>
      <c r="H175" s="55" cm="1">
        <f t="array" aca="1" ref="H175" ca="1">MMS_Dairy_Methane_Equations.VEERG_4_3_1_1__4_FractionVolatileSolidsNotSolidStorage(H153,$F164)</f>
        <v>2.2000000000000002E-2</v>
      </c>
      <c r="I175" s="55" cm="1">
        <f t="array" aca="1" ref="I175" ca="1">MMS_Dairy_Methane_Equations.VEERG_4_3_1_1__4_FractionVolatileSolidsNotSolidStorage(I153,$F164)</f>
        <v>2.2000000000000002E-2</v>
      </c>
      <c r="J175" s="55" cm="1">
        <f t="array" aca="1" ref="J175" ca="1">MMS_Dairy_Methane_Equations.VEERG_4_3_1_1__4_FractionVolatileSolidsNotSolidStorage(J153,$F164)</f>
        <v>2.2000000000000002E-2</v>
      </c>
      <c r="K175" s="2"/>
      <c r="O175" s="55" t="str">
        <f>INDEX(X_Table_Dairy_ProductionSystems_Method1,3,1)</f>
        <v>Milking shed</v>
      </c>
      <c r="P175" s="55" t="str">
        <f>INDEX(X_Table_Dairy_Stage1MMS_1_SumpAndDispersal,2,1)</f>
        <v>Sump and dispersal system</v>
      </c>
      <c r="Q175" s="55" cm="1">
        <f t="array" aca="1" ref="Q175" ca="1">MMS_Dairy_Methane_Equations.VEERG_4_3_1_1__4_FractionVolatileSolidsNotSolidStorage(Q153,$Q164)</f>
        <v>2.2000000000000002E-2</v>
      </c>
      <c r="R175" s="55" cm="1">
        <f t="array" aca="1" ref="R175" ca="1">MMS_Dairy_Methane_Equations.VEERG_4_3_1_1__4_FractionVolatileSolidsNotSolidStorage(R153,$Q164)</f>
        <v>2.2000000000000002E-2</v>
      </c>
      <c r="S175" s="55" cm="1">
        <f t="array" aca="1" ref="S175" ca="1">MMS_Dairy_Methane_Equations.VEERG_4_3_1_1__4_FractionVolatileSolidsNotSolidStorage(S153,$Q164)</f>
        <v>2.2000000000000002E-2</v>
      </c>
      <c r="T175" s="55" cm="1">
        <f t="array" aca="1" ref="T175" ca="1">MMS_Dairy_Methane_Equations.VEERG_4_3_1_1__4_FractionVolatileSolidsNotSolidStorage(T153,$Q164)</f>
        <v>2.2000000000000002E-2</v>
      </c>
      <c r="U175" s="55" cm="1">
        <f t="array" aca="1" ref="U175" ca="1">MMS_Dairy_Methane_Equations.VEERG_4_3_1_1__4_FractionVolatileSolidsNotSolidStorage(U153,$Q164)</f>
        <v>2.2000000000000002E-2</v>
      </c>
      <c r="V175" s="2"/>
    </row>
    <row r="176" spans="4:22" ht="20.100000000000001" customHeight="1" x14ac:dyDescent="0.25">
      <c r="D176" s="55" t="str">
        <f>INDEX(X_Table_Dairy_ProductionSystems_Method1,3,1)</f>
        <v>Milking shed</v>
      </c>
      <c r="E176" s="55" t="str">
        <f>INDEX(X_Table_Dairy_Stage1MMS_1_DrainsToPaddock,2,1)</f>
        <v>Drains to paddock</v>
      </c>
      <c r="F176" s="55" cm="1">
        <f t="array" aca="1" ref="F176" ca="1">MMS_Dairy_Methane_Equations.VEERG_4_3_1_1__4_FractionVolatileSolidsNotSolidStorage(F154,$F165)</f>
        <v>2.2000000000000002E-2</v>
      </c>
      <c r="G176" s="55" cm="1">
        <f t="array" aca="1" ref="G176" ca="1">MMS_Dairy_Methane_Equations.VEERG_4_3_1_1__4_FractionVolatileSolidsNotSolidStorage(G154,$F165)</f>
        <v>2.2000000000000002E-2</v>
      </c>
      <c r="H176" s="55" cm="1">
        <f t="array" aca="1" ref="H176" ca="1">MMS_Dairy_Methane_Equations.VEERG_4_3_1_1__4_FractionVolatileSolidsNotSolidStorage(H154,$F165)</f>
        <v>2.2000000000000002E-2</v>
      </c>
      <c r="I176" s="55" cm="1">
        <f t="array" aca="1" ref="I176" ca="1">MMS_Dairy_Methane_Equations.VEERG_4_3_1_1__4_FractionVolatileSolidsNotSolidStorage(I154,$F165)</f>
        <v>2.2000000000000002E-2</v>
      </c>
      <c r="J176" s="55" cm="1">
        <f t="array" aca="1" ref="J176" ca="1">MMS_Dairy_Methane_Equations.VEERG_4_3_1_1__4_FractionVolatileSolidsNotSolidStorage(J154,$F165)</f>
        <v>2.2000000000000002E-2</v>
      </c>
      <c r="K176" s="2"/>
      <c r="O176" s="55" t="str">
        <f>INDEX(X_Table_Dairy_ProductionSystems_Method1,3,1)</f>
        <v>Milking shed</v>
      </c>
      <c r="P176" s="55" t="str">
        <f>INDEX(X_Table_Dairy_Stage1MMS_1_DrainsToPaddock,2,1)</f>
        <v>Drains to paddock</v>
      </c>
      <c r="Q176" s="55" cm="1">
        <f t="array" aca="1" ref="Q176" ca="1">MMS_Dairy_Methane_Equations.VEERG_4_3_1_1__4_FractionVolatileSolidsNotSolidStorage(Q154,$Q165)</f>
        <v>2.2000000000000002E-2</v>
      </c>
      <c r="R176" s="55" cm="1">
        <f t="array" aca="1" ref="R176" ca="1">MMS_Dairy_Methane_Equations.VEERG_4_3_1_1__4_FractionVolatileSolidsNotSolidStorage(R154,$Q165)</f>
        <v>2.2000000000000002E-2</v>
      </c>
      <c r="S176" s="55" cm="1">
        <f t="array" aca="1" ref="S176" ca="1">MMS_Dairy_Methane_Equations.VEERG_4_3_1_1__4_FractionVolatileSolidsNotSolidStorage(S154,$Q165)</f>
        <v>2.2000000000000002E-2</v>
      </c>
      <c r="T176" s="55" cm="1">
        <f t="array" aca="1" ref="T176" ca="1">MMS_Dairy_Methane_Equations.VEERG_4_3_1_1__4_FractionVolatileSolidsNotSolidStorage(T154,$Q165)</f>
        <v>2.2000000000000002E-2</v>
      </c>
      <c r="U176" s="55" cm="1">
        <f t="array" aca="1" ref="U176" ca="1">MMS_Dairy_Methane_Equations.VEERG_4_3_1_1__4_FractionVolatileSolidsNotSolidStorage(U154,$Q165)</f>
        <v>2.2000000000000002E-2</v>
      </c>
      <c r="V176" s="2"/>
    </row>
    <row r="177" spans="1:23" ht="20.100000000000001" customHeight="1" x14ac:dyDescent="0.25">
      <c r="D177" s="55" t="str">
        <f>INDEX(X_Table_Dairy_ProductionSystems_Method1,4,1)</f>
        <v>Feed pad</v>
      </c>
      <c r="E177" s="55" t="str">
        <f>INDEX(X_Table_Dairy_Stage1MMS_2_AnaerobicLagoon,2,1)</f>
        <v>Anaerobic lagoon</v>
      </c>
      <c r="F177" s="55" cm="1">
        <f t="array" aca="1" ref="F177" ca="1">MMS_Dairy_Methane_Equations.VEERG_4_3_1_1__4_FractionVolatileSolidsNotSolidStorage(F155,$F166)</f>
        <v>8.8999999999999996E-2</v>
      </c>
      <c r="G177" s="55" cm="1">
        <f t="array" aca="1" ref="G177" ca="1">MMS_Dairy_Methane_Equations.VEERG_4_3_1_1__4_FractionVolatileSolidsNotSolidStorage(G155,$F166)</f>
        <v>8.8999999999999996E-2</v>
      </c>
      <c r="H177" s="55" cm="1">
        <f t="array" aca="1" ref="H177" ca="1">MMS_Dairy_Methane_Equations.VEERG_4_3_1_1__4_FractionVolatileSolidsNotSolidStorage(H155,$F166)</f>
        <v>8.8999999999999996E-2</v>
      </c>
      <c r="I177" s="55" cm="1">
        <f t="array" aca="1" ref="I177" ca="1">MMS_Dairy_Methane_Equations.VEERG_4_3_1_1__4_FractionVolatileSolidsNotSolidStorage(I155,$F166)</f>
        <v>8.8999999999999996E-2</v>
      </c>
      <c r="J177" s="55" cm="1">
        <f t="array" aca="1" ref="J177" ca="1">MMS_Dairy_Methane_Equations.VEERG_4_3_1_1__4_FractionVolatileSolidsNotSolidStorage(J155,$F166)</f>
        <v>8.8999999999999996E-2</v>
      </c>
      <c r="K177" s="2"/>
      <c r="O177" s="55" t="str">
        <f>INDEX(X_Table_Dairy_ProductionSystems_Method1,4,1)</f>
        <v>Feed pad</v>
      </c>
      <c r="P177" s="55" t="str">
        <f>INDEX(X_Table_Dairy_Stage1MMS_2_AnaerobicLagoon,2,1)</f>
        <v>Anaerobic lagoon</v>
      </c>
      <c r="Q177" s="55" cm="1">
        <f t="array" aca="1" ref="Q177" ca="1">MMS_Dairy_Methane_Equations.VEERG_4_3_1_1__4_FractionVolatileSolidsNotSolidStorage(Q155,$Q166)</f>
        <v>8.8999999999999996E-2</v>
      </c>
      <c r="R177" s="55" cm="1">
        <f t="array" aca="1" ref="R177" ca="1">MMS_Dairy_Methane_Equations.VEERG_4_3_1_1__4_FractionVolatileSolidsNotSolidStorage(R155,$Q166)</f>
        <v>8.8999999999999996E-2</v>
      </c>
      <c r="S177" s="55" cm="1">
        <f t="array" aca="1" ref="S177" ca="1">MMS_Dairy_Methane_Equations.VEERG_4_3_1_1__4_FractionVolatileSolidsNotSolidStorage(S155,$Q166)</f>
        <v>8.8999999999999996E-2</v>
      </c>
      <c r="T177" s="55" cm="1">
        <f t="array" aca="1" ref="T177" ca="1">MMS_Dairy_Methane_Equations.VEERG_4_3_1_1__4_FractionVolatileSolidsNotSolidStorage(T155,$Q166)</f>
        <v>8.8999999999999996E-2</v>
      </c>
      <c r="U177" s="55" cm="1">
        <f t="array" aca="1" ref="U177" ca="1">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INDEX(X_Table_Dairy_ProductionSystems_Method1,4,1)</f>
        <v>Feed pad</v>
      </c>
      <c r="E178" s="55" t="str">
        <f>INDEX(X_Table_Dairy_Stage1MMS_2_SumpAndDispersal,2,1)</f>
        <v>Sump and dispersal system</v>
      </c>
      <c r="F178" s="55" cm="1">
        <f t="array" aca="1" ref="F178" ca="1">MMS_Dairy_Methane_Equations.VEERG_4_3_1_1__4_FractionVolatileSolidsNotSolidStorage(F156,$F167)</f>
        <v>7.1199999999999999E-2</v>
      </c>
      <c r="G178" s="55" cm="1">
        <f t="array" aca="1" ref="G178" ca="1">MMS_Dairy_Methane_Equations.VEERG_4_3_1_1__4_FractionVolatileSolidsNotSolidStorage(G156,$F167)</f>
        <v>7.1199999999999999E-2</v>
      </c>
      <c r="H178" s="55" cm="1">
        <f t="array" aca="1" ref="H178" ca="1">MMS_Dairy_Methane_Equations.VEERG_4_3_1_1__4_FractionVolatileSolidsNotSolidStorage(H156,$F167)</f>
        <v>7.1199999999999999E-2</v>
      </c>
      <c r="I178" s="55" cm="1">
        <f t="array" aca="1" ref="I178" ca="1">MMS_Dairy_Methane_Equations.VEERG_4_3_1_1__4_FractionVolatileSolidsNotSolidStorage(I156,$F167)</f>
        <v>7.1199999999999999E-2</v>
      </c>
      <c r="J178" s="55" cm="1">
        <f t="array" aca="1" ref="J178" ca="1">MMS_Dairy_Methane_Equations.VEERG_4_3_1_1__4_FractionVolatileSolidsNotSolidStorage(J156,$F167)</f>
        <v>7.1199999999999999E-2</v>
      </c>
      <c r="K178" s="2"/>
      <c r="O178" s="55" t="str">
        <f>INDEX(X_Table_Dairy_ProductionSystems_Method1,4,1)</f>
        <v>Feed pad</v>
      </c>
      <c r="P178" s="55" t="str">
        <f>INDEX(X_Table_Dairy_Stage1MMS_2_SumpAndDispersal,2,1)</f>
        <v>Sump and dispersal system</v>
      </c>
      <c r="Q178" s="55" cm="1">
        <f t="array" aca="1" ref="Q178" ca="1">MMS_Dairy_Methane_Equations.VEERG_4_3_1_1__4_FractionVolatileSolidsNotSolidStorage(Q156,$Q167)</f>
        <v>7.1199999999999999E-2</v>
      </c>
      <c r="R178" s="55" cm="1">
        <f t="array" aca="1" ref="R178" ca="1">MMS_Dairy_Methane_Equations.VEERG_4_3_1_1__4_FractionVolatileSolidsNotSolidStorage(R156,$Q167)</f>
        <v>7.1199999999999999E-2</v>
      </c>
      <c r="S178" s="55" cm="1">
        <f t="array" aca="1" ref="S178" ca="1">MMS_Dairy_Methane_Equations.VEERG_4_3_1_1__4_FractionVolatileSolidsNotSolidStorage(S156,$Q167)</f>
        <v>7.1199999999999999E-2</v>
      </c>
      <c r="T178" s="55" cm="1">
        <f t="array" aca="1" ref="T178" ca="1">MMS_Dairy_Methane_Equations.VEERG_4_3_1_1__4_FractionVolatileSolidsNotSolidStorage(T156,$Q167)</f>
        <v>7.1199999999999999E-2</v>
      </c>
      <c r="U178" s="55" cm="1">
        <f t="array" aca="1" ref="U178" ca="1">MMS_Dairy_Methane_Equations.VEERG_4_3_1_1__4_FractionVolatileSolidsNotSolidStorage(U156,$Q167)</f>
        <v>7.1199999999999999E-2</v>
      </c>
      <c r="V178" s="2"/>
    </row>
    <row r="179" spans="1:23" ht="20.100000000000001" customHeight="1" x14ac:dyDescent="0.25">
      <c r="D179" s="55" t="str">
        <f>INDEX(X_Table_Dairy_ProductionSystems_Method1,4,1)</f>
        <v>Feed pad</v>
      </c>
      <c r="E179" s="55" t="str">
        <f>INDEX(X_Table_Dairy_Stage1MMS_2_DrainsToPaddock,2,1)</f>
        <v>Drains to paddock</v>
      </c>
      <c r="F179" s="55" cm="1">
        <f t="array" aca="1" ref="F179" ca="1">MMS_Dairy_Methane_Equations.VEERG_4_3_1_1__4_FractionVolatileSolidsNotSolidStorage(F157,$F168)</f>
        <v>7.1199999999999999E-2</v>
      </c>
      <c r="G179" s="55" cm="1">
        <f t="array" aca="1" ref="G179" ca="1">MMS_Dairy_Methane_Equations.VEERG_4_3_1_1__4_FractionVolatileSolidsNotSolidStorage(G157,$F168)</f>
        <v>7.1199999999999999E-2</v>
      </c>
      <c r="H179" s="55" cm="1">
        <f t="array" aca="1" ref="H179" ca="1">MMS_Dairy_Methane_Equations.VEERG_4_3_1_1__4_FractionVolatileSolidsNotSolidStorage(H157,$F168)</f>
        <v>7.1199999999999999E-2</v>
      </c>
      <c r="I179" s="55" cm="1">
        <f t="array" aca="1" ref="I179" ca="1">MMS_Dairy_Methane_Equations.VEERG_4_3_1_1__4_FractionVolatileSolidsNotSolidStorage(I157,$F168)</f>
        <v>7.1199999999999999E-2</v>
      </c>
      <c r="J179" s="55" cm="1">
        <f t="array" aca="1" ref="J179" ca="1">MMS_Dairy_Methane_Equations.VEERG_4_3_1_1__4_FractionVolatileSolidsNotSolidStorage(J157,$F168)</f>
        <v>7.1199999999999999E-2</v>
      </c>
      <c r="K179" s="2"/>
      <c r="O179" s="55" t="str">
        <f>INDEX(X_Table_Dairy_ProductionSystems_Method1,4,1)</f>
        <v>Feed pad</v>
      </c>
      <c r="P179" s="55" t="str">
        <f>INDEX(X_Table_Dairy_Stage1MMS_2_DrainsToPaddock,2,1)</f>
        <v>Drains to paddock</v>
      </c>
      <c r="Q179" s="55" cm="1">
        <f t="array" aca="1" ref="Q179" ca="1">MMS_Dairy_Methane_Equations.VEERG_4_3_1_1__4_FractionVolatileSolidsNotSolidStorage(Q157,$Q168)</f>
        <v>7.1199999999999999E-2</v>
      </c>
      <c r="R179" s="55" cm="1">
        <f t="array" aca="1" ref="R179" ca="1">MMS_Dairy_Methane_Equations.VEERG_4_3_1_1__4_FractionVolatileSolidsNotSolidStorage(R157,$Q168)</f>
        <v>7.1199999999999999E-2</v>
      </c>
      <c r="S179" s="55" cm="1">
        <f t="array" aca="1" ref="S179" ca="1">MMS_Dairy_Methane_Equations.VEERG_4_3_1_1__4_FractionVolatileSolidsNotSolidStorage(S157,$Q168)</f>
        <v>7.1199999999999999E-2</v>
      </c>
      <c r="T179" s="55" cm="1">
        <f t="array" aca="1" ref="T179" ca="1">MMS_Dairy_Methane_Equations.VEERG_4_3_1_1__4_FractionVolatileSolidsNotSolidStorage(T157,$Q168)</f>
        <v>7.1199999999999999E-2</v>
      </c>
      <c r="U179" s="55"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INDEX(X_Table_Dairy_ProductionSystems_Method1,3,1)</f>
        <v>Milking shed</v>
      </c>
      <c r="E199" s="55" t="str">
        <f>INDEX(X_Table_Dairy_Stage1MMS_1_SolidStorage,2,1)</f>
        <v>Solid storage (before solid separation)</v>
      </c>
      <c r="F199" s="55" cm="1">
        <f t="array" aca="1" ref="F199:J199" ca="1">OFFSET(X_Table_Dairy_ProductionSystems_Method1, 2,1,1,5)*OFFSET(X_Table_Dairy_Stage1MMS_1_SolidStorage, 1,1,1,5)</f>
        <v>2.75E-2</v>
      </c>
      <c r="G199" s="55">
        <f ca="1"/>
        <v>2.75E-2</v>
      </c>
      <c r="H199" s="55">
        <f ca="1"/>
        <v>2.75E-2</v>
      </c>
      <c r="I199" s="55">
        <f ca="1"/>
        <v>2.75E-2</v>
      </c>
      <c r="J199" s="55">
        <f ca="1"/>
        <v>2.75E-2</v>
      </c>
      <c r="K199" s="2" t="s">
        <v>101</v>
      </c>
      <c r="O199" s="55" t="str">
        <f>INDEX(X_Table_Dairy_ProductionSystems_Method1,3,1)</f>
        <v>Milking shed</v>
      </c>
      <c r="P199" s="55" t="str">
        <f>INDEX(X_Table_Dairy_Stage1MMS_1_SolidStorage,2,1)</f>
        <v>Solid storage (before solid separation)</v>
      </c>
      <c r="Q199" s="55" cm="1">
        <f t="array" aca="1" ref="Q199:U199" ca="1">OFFSET(X_Table_Dairy_ProductionSystems_Method2, 2,1,1,5)*OFFSET(X_Table_Dairy_Stage1MMS_1_SolidStorage, 1,1,1,5)</f>
        <v>2.75E-2</v>
      </c>
      <c r="R199" s="55">
        <f ca="1"/>
        <v>2.75E-2</v>
      </c>
      <c r="S199" s="55">
        <f ca="1"/>
        <v>2.75E-2</v>
      </c>
      <c r="T199" s="55">
        <f ca="1"/>
        <v>2.75E-2</v>
      </c>
      <c r="U199" s="55">
        <f ca="1"/>
        <v>2.75E-2</v>
      </c>
      <c r="V199" s="2" t="s">
        <v>101</v>
      </c>
    </row>
    <row r="200" spans="4:22" ht="20.100000000000001" customHeight="1" x14ac:dyDescent="0.25">
      <c r="D200" s="55" t="str">
        <f>INDEX(X_Table_Dairy_ProductionSystems_Method1,4,1)</f>
        <v>Feed pad</v>
      </c>
      <c r="E200" s="55" t="str">
        <f>INDEX(X_Table_Dairy_Stage1MMS_2_SolidStorage,2,1)</f>
        <v>Solid storage (before solid separation)</v>
      </c>
      <c r="F200" s="55" cm="1">
        <f t="array" aca="1" ref="F200:J200" ca="1">OFFSET(X_Table_Dairy_ProductionSystems_Method1, 3,1,1,5)*OFFSET(X_Table_Dairy_Stage1MMS_1_SolidStorage, 1,1,1,5)</f>
        <v>8.8999999999999996E-2</v>
      </c>
      <c r="G200" s="55">
        <f ca="1"/>
        <v>8.8999999999999996E-2</v>
      </c>
      <c r="H200" s="55">
        <f ca="1"/>
        <v>8.8999999999999996E-2</v>
      </c>
      <c r="I200" s="55">
        <f ca="1"/>
        <v>8.8999999999999996E-2</v>
      </c>
      <c r="J200" s="55">
        <f ca="1"/>
        <v>8.8999999999999996E-2</v>
      </c>
      <c r="K200" s="2" t="s">
        <v>101</v>
      </c>
      <c r="O200" s="55" t="str">
        <f>INDEX(X_Table_Dairy_ProductionSystems_Method1,4,1)</f>
        <v>Feed pad</v>
      </c>
      <c r="P200" s="55" t="str">
        <f>INDEX(X_Table_Dairy_Stage1MMS_2_SolidStorage,2,1)</f>
        <v>Solid storage (before solid separation)</v>
      </c>
      <c r="Q200" s="55" cm="1">
        <f t="array" aca="1" ref="Q200:U200" ca="1">OFFSET(X_Table_Dairy_ProductionSystems_Method2, 3,1,1,5)*OFFSET(X_Table_Dairy_Stage1MMS_1_SolidStorage, 1,1,1,5)</f>
        <v>8.8999999999999996E-2</v>
      </c>
      <c r="R200" s="55">
        <f ca="1"/>
        <v>8.8999999999999996E-2</v>
      </c>
      <c r="S200" s="55">
        <f ca="1"/>
        <v>8.8999999999999996E-2</v>
      </c>
      <c r="T200" s="55">
        <f ca="1"/>
        <v>8.8999999999999996E-2</v>
      </c>
      <c r="U200" s="55">
        <f ca="1"/>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INDEX(X_Table_Dairy_ProductionSystems_Method1,3,1)</f>
        <v>Milking shed</v>
      </c>
      <c r="E205" s="55" t="s">
        <v>407</v>
      </c>
      <c r="F205" s="55" cm="1">
        <f t="array" aca="1" ref="F205" ca="1">MMS_Dairy_Methane_Equations.VEERG_4_3_1_1__5_FractionVolatileSolidsSolidStorageVariation(F199,F152,$F163,F153,$F164,F154,$F165)</f>
        <v>4.3999999999999997E-2</v>
      </c>
      <c r="G205" s="55" cm="1">
        <f t="array" aca="1" ref="G205" ca="1">MMS_Dairy_Methane_Equations.VEERG_4_3_1_1__5_FractionVolatileSolidsSolidStorageVariation(G199,G152,$F163,G153,$F164,G154,$F165)</f>
        <v>4.3999999999999997E-2</v>
      </c>
      <c r="H205" s="55" cm="1">
        <f t="array" aca="1" ref="H205" ca="1">MMS_Dairy_Methane_Equations.VEERG_4_3_1_1__5_FractionVolatileSolidsSolidStorageVariation(H199,H152,$F163,H153,$F164,H154,$F165)</f>
        <v>4.3999999999999997E-2</v>
      </c>
      <c r="I205" s="55" cm="1">
        <f t="array" aca="1" ref="I205" ca="1">MMS_Dairy_Methane_Equations.VEERG_4_3_1_1__5_FractionVolatileSolidsSolidStorageVariation(I199,I152,$F163,I153,$F164,I154,$F165)</f>
        <v>4.3999999999999997E-2</v>
      </c>
      <c r="J205" s="55" cm="1">
        <f t="array" aca="1" ref="J205" ca="1">MMS_Dairy_Methane_Equations.VEERG_4_3_1_1__5_FractionVolatileSolidsSolidStorageVariation(J199,J152,$F163,J153,$F164,J154,$F165)</f>
        <v>4.3999999999999997E-2</v>
      </c>
      <c r="K205" s="2" t="str">
        <f>$E$190</f>
        <v>fraction</v>
      </c>
      <c r="O205" s="55" t="str">
        <f>INDEX(X_Table_Dairy_ProductionSystems_Method1,3,1)</f>
        <v>Milking shed</v>
      </c>
      <c r="P205" s="55" t="s">
        <v>407</v>
      </c>
      <c r="Q205" s="55" cm="1">
        <f t="array" aca="1" ref="Q205" ca="1">MMS_Dairy_Methane_Equations.VEERG_4_3_1_1__5_FractionVolatileSolidsSolidStorageVariation(Q199,Q152,$Q163,Q153,$Q164,Q154,$Q165)</f>
        <v>4.3999999999999997E-2</v>
      </c>
      <c r="R205" s="55" cm="1">
        <f t="array" aca="1" ref="R205" ca="1">MMS_Dairy_Methane_Equations.VEERG_4_3_1_1__5_FractionVolatileSolidsSolidStorageVariation(R199,R152,$Q163,R153,$Q164,R154,$Q165)</f>
        <v>4.3999999999999997E-2</v>
      </c>
      <c r="S205" s="55" cm="1">
        <f t="array" aca="1" ref="S205" ca="1">MMS_Dairy_Methane_Equations.VEERG_4_3_1_1__5_FractionVolatileSolidsSolidStorageVariation(S199,S152,$Q163,S153,$Q164,S154,$Q165)</f>
        <v>4.3999999999999997E-2</v>
      </c>
      <c r="T205" s="55" cm="1">
        <f t="array" aca="1" ref="T205" ca="1">MMS_Dairy_Methane_Equations.VEERG_4_3_1_1__5_FractionVolatileSolidsSolidStorageVariation(T199,T152,$Q163,T153,$Q164,T154,$Q165)</f>
        <v>4.3999999999999997E-2</v>
      </c>
      <c r="U205" s="55"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5" t="str">
        <f>INDEX(X_Table_Dairy_ProductionSystems_Method1,4,1)</f>
        <v>Feed pad</v>
      </c>
      <c r="E206" s="55" t="s">
        <v>407</v>
      </c>
      <c r="F206" s="55" cm="1">
        <f t="array" aca="1" ref="F206" ca="1">MMS_Dairy_Methane_Equations.VEERG_4_3_1_1__5_FractionVolatileSolidsSolidStorageVariation(F200,F155,$F166,F156,$F167,F157,$F168)</f>
        <v>0.12459999999999999</v>
      </c>
      <c r="G206" s="55" cm="1">
        <f t="array" aca="1" ref="G206" ca="1">MMS_Dairy_Methane_Equations.VEERG_4_3_1_1__5_FractionVolatileSolidsSolidStorageVariation(G200,G155,$F166,G156,$F167,G157,$F168)</f>
        <v>0.12459999999999999</v>
      </c>
      <c r="H206" s="55" cm="1">
        <f t="array" aca="1" ref="H206" ca="1">MMS_Dairy_Methane_Equations.VEERG_4_3_1_1__5_FractionVolatileSolidsSolidStorageVariation(H200,H155,$F166,H156,$F167,H157,$F168)</f>
        <v>0.12459999999999999</v>
      </c>
      <c r="I206" s="55" cm="1">
        <f t="array" aca="1" ref="I206" ca="1">MMS_Dairy_Methane_Equations.VEERG_4_3_1_1__5_FractionVolatileSolidsSolidStorageVariation(I200,I155,$F166,I156,$F167,I157,$F168)</f>
        <v>0.12459999999999999</v>
      </c>
      <c r="J206" s="55" cm="1">
        <f t="array" aca="1" ref="J206" ca="1">MMS_Dairy_Methane_Equations.VEERG_4_3_1_1__5_FractionVolatileSolidsSolidStorageVariation(J200,J155,$F166,J156,$F167,J157,$F168)</f>
        <v>0.12459999999999999</v>
      </c>
      <c r="K206" s="2" t="str">
        <f>$E$190</f>
        <v>fraction</v>
      </c>
      <c r="O206" s="55" t="str">
        <f>INDEX(X_Table_Dairy_ProductionSystems_Method1,4,1)</f>
        <v>Feed pad</v>
      </c>
      <c r="P206" s="55" t="s">
        <v>407</v>
      </c>
      <c r="Q206" s="55" cm="1">
        <f t="array" aca="1" ref="Q206" ca="1">MMS_Dairy_Methane_Equations.VEERG_4_3_1_1__5_FractionVolatileSolidsSolidStorageVariation(Q200,Q155,$Q166,Q156,$Q167,Q157,$Q168)</f>
        <v>0.12459999999999999</v>
      </c>
      <c r="R206" s="55" cm="1">
        <f t="array" aca="1" ref="R206" ca="1">MMS_Dairy_Methane_Equations.VEERG_4_3_1_1__5_FractionVolatileSolidsSolidStorageVariation(R200,R155,$Q166,R156,$Q167,R157,$Q168)</f>
        <v>0.12459999999999999</v>
      </c>
      <c r="S206" s="55" cm="1">
        <f t="array" aca="1" ref="S206" ca="1">MMS_Dairy_Methane_Equations.VEERG_4_3_1_1__5_FractionVolatileSolidsSolidStorageVariation(S200,S155,$Q166,S156,$Q167,S157,$Q168)</f>
        <v>0.12459999999999999</v>
      </c>
      <c r="T206" s="55" cm="1">
        <f t="array" aca="1" ref="T206" ca="1">MMS_Dairy_Methane_Equations.VEERG_4_3_1_1__5_FractionVolatileSolidsSolidStorageVariation(T200,T155,$Q166,T156,$Q167,T157,$Q168)</f>
        <v>0.12459999999999999</v>
      </c>
      <c r="U206" s="55"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SourceData_Dairy_MethaneEmissionsPotential_Data</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Common_SourceData_DensityOfMethane_Data</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X_Cell_Site_AverageTemperature</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INDEX(X_Table_Dairy_ProductionSystems_Method1,2,1)</f>
        <v>Pasture</v>
      </c>
      <c r="E237" s="55" t="str">
        <f>'Constants - Livestock'!$E$27</f>
        <v>Pasture range and paddock</v>
      </c>
      <c r="F237" s="55" cm="1">
        <f t="array" aca="1" ref="F237" ca="1">MMS_Dairy_Methane_Equations.VEERG_4_3_1_1__2_MethaneFromManureProduction(D$133,F173,_xlfn.XLOOKUP($E237,$D$228:$D$232,$E$228:$E$232),$I$221,$I$222)</f>
        <v>4.3689196218983364E-3</v>
      </c>
      <c r="G237" s="55" cm="1">
        <f t="array" aca="1" ref="G237" ca="1">MMS_Dairy_Methane_Equations.VEERG_4_3_1_1__2_MethaneFromManureProduction(E$133,G173,_xlfn.XLOOKUP($E237,$D$228:$D$232,$E$228:$E$232),$I$221,$I$222)</f>
        <v>1.7209245840165332E-3</v>
      </c>
      <c r="H237" s="55" cm="1">
        <f t="array" aca="1" ref="H237" ca="1">MMS_Dairy_Methane_Equations.VEERG_4_3_1_1__2_MethaneFromManureProduction(F$133,H173,_xlfn.XLOOKUP($E237,$D$228:$D$232,$E$228:$E$232),$I$221,$I$222)</f>
        <v>9.3323909012537774E-4</v>
      </c>
      <c r="I237" s="55" cm="1">
        <f t="array" aca="1" ref="I237" ca="1">MMS_Dairy_Methane_Equations.VEERG_4_3_1_1__2_MethaneFromManureProduction(G$133,I173,_xlfn.XLOOKUP($E237,$D$228:$D$232,$E$228:$E$232),$I$221,$I$222)</f>
        <v>2.0939609577804406E-3</v>
      </c>
      <c r="J237" s="55" cm="1">
        <f t="array" aca="1" ref="J237" ca="1">MMS_Dairy_Methane_Equations.VEERG_4_3_1_1__2_MethaneFromManureProduction(H$133,J173,_xlfn.XLOOKUP($E237,$D$228:$D$232,$E$228:$E$232),$I$221,$I$222)</f>
        <v>1.2559439850690533E-3</v>
      </c>
      <c r="K237" s="2" t="str">
        <f>$E$216</f>
        <v>kg CH4/head/day</v>
      </c>
      <c r="O237" s="55" t="str">
        <f>INDEX(X_Table_Dairy_ProductionSystems_Method1,2,1)</f>
        <v>Pasture</v>
      </c>
      <c r="P237" s="55" t="str">
        <f>'Constants - Livestock'!$E$27</f>
        <v>Pasture range and paddock</v>
      </c>
      <c r="Q237" s="55" cm="1">
        <f t="array" aca="1" ref="Q237" ca="1">MMS_Dairy_Methane_Equations.VEERG_4_3_1_1__2_MethaneFromManureProduction(O$133,Q173,_xlfn.XLOOKUP($P237,$O$228:$O$232,$P$228:$P$232),$I$221,$I$222)</f>
        <v>4.3689196218983364E-3</v>
      </c>
      <c r="R237" s="55" cm="1">
        <f t="array" aca="1" ref="R237" ca="1">MMS_Dairy_Methane_Equations.VEERG_4_3_1_1__2_MethaneFromManureProduction(P$133,R173,_xlfn.XLOOKUP($P237,$O$228:$O$232,$P$228:$P$232),$I$221,$I$222)</f>
        <v>1.7209245840165332E-3</v>
      </c>
      <c r="S237" s="55" cm="1">
        <f t="array" aca="1" ref="S237" ca="1">MMS_Dairy_Methane_Equations.VEERG_4_3_1_1__2_MethaneFromManureProduction(Q$133,S173,_xlfn.XLOOKUP($P237,$O$228:$O$232,$P$228:$P$232),$I$221,$I$222)</f>
        <v>9.3323909012537774E-4</v>
      </c>
      <c r="T237" s="55" cm="1">
        <f t="array" aca="1" ref="T237" ca="1">MMS_Dairy_Methane_Equations.VEERG_4_3_1_1__2_MethaneFromManureProduction(R$133,T173,_xlfn.XLOOKUP($P237,$O$228:$O$232,$P$228:$P$232),$I$221,$I$222)</f>
        <v>2.0939609577804406E-3</v>
      </c>
      <c r="U237" s="55"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INDEX(X_Table_Dairy_ProductionSystems_Method1,3,1)</f>
        <v>Milking shed</v>
      </c>
      <c r="E238" s="55" t="str">
        <f>INDEX(X_Table_Dairy_Stage1MMS_1_AnaerobicLagoon,2,1)</f>
        <v>Anaerobic lagoon</v>
      </c>
      <c r="F238" s="55" cm="1">
        <f t="array" aca="1" ref="F238" ca="1">MMS_Dairy_Methane_Equations.VEERG_4_3_1_1__2_MethaneFromManureProduction(D$133,F174,_xlfn.XLOOKUP($E238,$D$228:$D$232,$E$228:$E$232),$I$221,$I$222)</f>
        <v>1.367946368504498E-2</v>
      </c>
      <c r="G238" s="55" cm="1">
        <f t="array" aca="1" ref="G238" ca="1">MMS_Dairy_Methane_Equations.VEERG_4_3_1_1__2_MethaneFromManureProduction(E$133,G174,_xlfn.XLOOKUP($E238,$D$228:$D$232,$E$228:$E$232),$I$221,$I$222)</f>
        <v>5.3883631169955861E-3</v>
      </c>
      <c r="H238" s="55" cm="1">
        <f t="array" aca="1" ref="H238" ca="1">MMS_Dairy_Methane_Equations.VEERG_4_3_1_1__2_MethaneFromManureProduction(F$133,H174,_xlfn.XLOOKUP($E238,$D$228:$D$232,$E$228:$E$232),$I$221,$I$222)</f>
        <v>2.922051982564853E-3</v>
      </c>
      <c r="I238" s="55" cm="1">
        <f t="array" aca="1" ref="I238" ca="1">MMS_Dairy_Methane_Equations.VEERG_4_3_1_1__2_MethaneFromManureProduction(G$133,I174,_xlfn.XLOOKUP($E238,$D$228:$D$232,$E$228:$E$232),$I$221,$I$222)</f>
        <v>6.556372137469845E-3</v>
      </c>
      <c r="J238" s="55" cm="1">
        <f t="array" aca="1" ref="J238" ca="1">MMS_Dairy_Methane_Equations.VEERG_4_3_1_1__2_MethaneFromManureProduction(H$133,J174,_xlfn.XLOOKUP($E238,$D$228:$D$232,$E$228:$E$232),$I$221,$I$222)</f>
        <v>3.9324688071825046E-3</v>
      </c>
      <c r="O238" s="55" t="str">
        <f>INDEX(X_Table_Dairy_ProductionSystems_Method1,3,1)</f>
        <v>Milking shed</v>
      </c>
      <c r="P238" s="55" t="str">
        <f>INDEX(X_Table_Dairy_Stage1MMS_1_AnaerobicLagoon,2,1)</f>
        <v>Anaerobic lagoon</v>
      </c>
      <c r="Q238" s="55" cm="1">
        <f t="array" aca="1" ref="Q238" ca="1">MMS_Dairy_Methane_Equations.VEERG_4_3_1_1__2_MethaneFromManureProduction(O$133,Q174,_xlfn.XLOOKUP($P238,$O$228:$O$232,$P$228:$P$232),$I$221,$I$222)</f>
        <v>1.3859456628269253E-2</v>
      </c>
      <c r="R238" s="55" cm="1">
        <f t="array" aca="1" ref="R238" ca="1">MMS_Dairy_Methane_Equations.VEERG_4_3_1_1__2_MethaneFromManureProduction(P$133,R174,_xlfn.XLOOKUP($P238,$O$228:$O$232,$P$228:$P$232),$I$221,$I$222)</f>
        <v>5.4592626316928971E-3</v>
      </c>
      <c r="S238" s="55" cm="1">
        <f t="array" aca="1" ref="S238" ca="1">MMS_Dairy_Methane_Equations.VEERG_4_3_1_1__2_MethaneFromManureProduction(Q$133,S174,_xlfn.XLOOKUP($P238,$O$228:$O$232,$P$228:$P$232),$I$221,$I$222)</f>
        <v>2.9605000349670215E-3</v>
      </c>
      <c r="T238" s="55" cm="1">
        <f t="array" aca="1" ref="T238" ca="1">MMS_Dairy_Methane_Equations.VEERG_4_3_1_1__2_MethaneFromManureProduction(R$133,T174,_xlfn.XLOOKUP($P238,$O$228:$O$232,$P$228:$P$232),$I$221,$I$222)</f>
        <v>6.6426401919102386E-3</v>
      </c>
      <c r="U238" s="55" cm="1">
        <f t="array" aca="1" ref="U238" ca="1">MMS_Dairy_Methane_Equations.VEERG_4_3_1_1__2_MethaneFromManureProduction(S$133,U174,_xlfn.XLOOKUP($P238,$O$228:$O$232,$P$228:$P$232),$I$221,$I$222)</f>
        <v>3.9842118178033264E-3</v>
      </c>
    </row>
    <row r="239" spans="4:22" ht="20.100000000000001" customHeight="1" x14ac:dyDescent="0.25">
      <c r="D239" s="55" t="str">
        <f>INDEX(X_Table_Dairy_ProductionSystems_Method1,3,1)</f>
        <v>Milking shed</v>
      </c>
      <c r="E239" s="55" t="str">
        <f>INDEX(X_Table_Dairy_Stage1MMS_1_SumpAndDispersal,2,1)</f>
        <v>Sump and dispersal system</v>
      </c>
      <c r="F239" s="55" cm="1">
        <f t="array" aca="1" ref="F239" ca="1">MMS_Dairy_Methane_Equations.VEERG_4_3_1_1__2_MethaneFromManureProduction(D$133,F175,_xlfn.XLOOKUP($E239,$D$228:$D$232,$E$228:$E$232),$I$221,$I$222)</f>
        <v>8.9996471612138024E-5</v>
      </c>
      <c r="G239" s="55" cm="1">
        <f t="array" aca="1" ref="G239" ca="1">MMS_Dairy_Methane_Equations.VEERG_4_3_1_1__2_MethaneFromManureProduction(E$133,G175,_xlfn.XLOOKUP($E239,$D$228:$D$232,$E$228:$E$232),$I$221,$I$222)</f>
        <v>3.5449757348655176E-5</v>
      </c>
      <c r="H239" s="55" cm="1">
        <f t="array" aca="1" ref="H239" ca="1">MMS_Dairy_Methane_Equations.VEERG_4_3_1_1__2_MethaneFromManureProduction(F$133,H175,_xlfn.XLOOKUP($E239,$D$228:$D$232,$E$228:$E$232),$I$221,$I$222)</f>
        <v>1.9224026201084556E-5</v>
      </c>
      <c r="I239" s="55" cm="1">
        <f t="array" aca="1" ref="I239" ca="1">MMS_Dairy_Methane_Equations.VEERG_4_3_1_1__2_MethaneFromManureProduction(G$133,I175,_xlfn.XLOOKUP($E239,$D$228:$D$232,$E$228:$E$232),$I$221,$I$222)</f>
        <v>4.313402722019635E-5</v>
      </c>
      <c r="J239" s="55" cm="1">
        <f t="array" aca="1" ref="J239" ca="1">MMS_Dairy_Methane_Equations.VEERG_4_3_1_1__2_MethaneFromManureProduction(H$133,J175,_xlfn.XLOOKUP($E239,$D$228:$D$232,$E$228:$E$232),$I$221,$I$222)</f>
        <v>2.587150531041121E-5</v>
      </c>
      <c r="K239" s="2"/>
      <c r="O239" s="55" t="str">
        <f>INDEX(X_Table_Dairy_ProductionSystems_Method1,3,1)</f>
        <v>Milking shed</v>
      </c>
      <c r="P239" s="55" t="str">
        <f>INDEX(X_Table_Dairy_Stage1MMS_1_SumpAndDispersal,2,1)</f>
        <v>Sump and dispersal system</v>
      </c>
      <c r="Q239" s="55" cm="1">
        <f t="array" aca="1" ref="Q239" ca="1">MMS_Dairy_Methane_Equations.VEERG_4_3_1_1__2_MethaneFromManureProduction(O$133,Q175,_xlfn.XLOOKUP($P239,$O$228:$O$232,$P$228:$P$232),$I$221,$I$222)</f>
        <v>8.9996471612138024E-5</v>
      </c>
      <c r="R239" s="55" cm="1">
        <f t="array" aca="1" ref="R239" ca="1">MMS_Dairy_Methane_Equations.VEERG_4_3_1_1__2_MethaneFromManureProduction(P$133,R175,_xlfn.XLOOKUP($P239,$O$228:$O$232,$P$228:$P$232),$I$221,$I$222)</f>
        <v>3.5449757348655176E-5</v>
      </c>
      <c r="S239" s="55" cm="1">
        <f t="array" aca="1" ref="S239" ca="1">MMS_Dairy_Methane_Equations.VEERG_4_3_1_1__2_MethaneFromManureProduction(Q$133,S175,_xlfn.XLOOKUP($P239,$O$228:$O$232,$P$228:$P$232),$I$221,$I$222)</f>
        <v>1.9224026201084556E-5</v>
      </c>
      <c r="T239" s="55" cm="1">
        <f t="array" aca="1" ref="T239" ca="1">MMS_Dairy_Methane_Equations.VEERG_4_3_1_1__2_MethaneFromManureProduction(R$133,T175,_xlfn.XLOOKUP($P239,$O$228:$O$232,$P$228:$P$232),$I$221,$I$222)</f>
        <v>4.313402722019635E-5</v>
      </c>
      <c r="U239" s="55" cm="1">
        <f t="array" aca="1" ref="U239" ca="1">MMS_Dairy_Methane_Equations.VEERG_4_3_1_1__2_MethaneFromManureProduction(S$133,U175,_xlfn.XLOOKUP($P239,$O$228:$O$232,$P$228:$P$232),$I$221,$I$222)</f>
        <v>2.587150531041121E-5</v>
      </c>
      <c r="V239" s="2"/>
    </row>
    <row r="240" spans="4:22" ht="20.100000000000001" customHeight="1" x14ac:dyDescent="0.25">
      <c r="D240" s="55" t="str">
        <f>INDEX(X_Table_Dairy_ProductionSystems_Method1,3,1)</f>
        <v>Milking shed</v>
      </c>
      <c r="E240" s="55" t="str">
        <f>INDEX(X_Table_Dairy_Stage1MMS_1_DrainsToPaddock,2,1)</f>
        <v>Drains to paddock</v>
      </c>
      <c r="F240" s="55" cm="1">
        <f t="array" aca="1" ref="F240" ca="1">MMS_Dairy_Methane_Equations.VEERG_4_3_1_1__2_MethaneFromManureProduction(D$133,F176,_xlfn.XLOOKUP($E240,$D$228:$D$232,$E$228:$E$232),$I$221,$I$222)</f>
        <v>3.2398729780369687E-3</v>
      </c>
      <c r="G240" s="55" cm="1">
        <f t="array" aca="1" ref="G240" ca="1">MMS_Dairy_Methane_Equations.VEERG_4_3_1_1__2_MethaneFromManureProduction(E$133,G176,_xlfn.XLOOKUP($E240,$D$228:$D$232,$E$228:$E$232),$I$221,$I$222)</f>
        <v>1.2761912645515865E-3</v>
      </c>
      <c r="H240" s="55" cm="1">
        <f t="array" aca="1" ref="H240" ca="1">MMS_Dairy_Methane_Equations.VEERG_4_3_1_1__2_MethaneFromManureProduction(F$133,H176,_xlfn.XLOOKUP($E240,$D$228:$D$232,$E$228:$E$232),$I$221,$I$222)</f>
        <v>6.9206494323904399E-4</v>
      </c>
      <c r="I240" s="55" cm="1">
        <f t="array" aca="1" ref="I240" ca="1">MMS_Dairy_Methane_Equations.VEERG_4_3_1_1__2_MethaneFromManureProduction(G$133,I176,_xlfn.XLOOKUP($E240,$D$228:$D$232,$E$228:$E$232),$I$221,$I$222)</f>
        <v>1.5528249799270685E-3</v>
      </c>
      <c r="J240" s="55" cm="1">
        <f t="array" aca="1" ref="J240" ca="1">MMS_Dairy_Methane_Equations.VEERG_4_3_1_1__2_MethaneFromManureProduction(H$133,J176,_xlfn.XLOOKUP($E240,$D$228:$D$232,$E$228:$E$232),$I$221,$I$222)</f>
        <v>9.3137419117480342E-4</v>
      </c>
      <c r="K240" s="2"/>
      <c r="O240" s="55" t="str">
        <f>INDEX(X_Table_Dairy_ProductionSystems_Method1,3,1)</f>
        <v>Milking shed</v>
      </c>
      <c r="P240" s="55" t="str">
        <f>INDEX(X_Table_Dairy_Stage1MMS_1_DrainsToPaddock,2,1)</f>
        <v>Drains to paddock</v>
      </c>
      <c r="Q240" s="55" cm="1">
        <f t="array" aca="1" ref="Q240" ca="1">MMS_Dairy_Methane_Equations.VEERG_4_3_1_1__2_MethaneFromManureProduction(O$133,Q176,_xlfn.XLOOKUP($P240,$O$228:$O$232,$P$228:$P$232),$I$221,$I$222)</f>
        <v>3.9598447509340724E-3</v>
      </c>
      <c r="R240" s="55" cm="1">
        <f t="array" aca="1" ref="R240" ca="1">MMS_Dairy_Methane_Equations.VEERG_4_3_1_1__2_MethaneFromManureProduction(P$133,R176,_xlfn.XLOOKUP($P240,$O$228:$O$232,$P$228:$P$232),$I$221,$I$222)</f>
        <v>1.5597893233408276E-3</v>
      </c>
      <c r="S240" s="55" cm="1">
        <f t="array" aca="1" ref="S240" ca="1">MMS_Dairy_Methane_Equations.VEERG_4_3_1_1__2_MethaneFromManureProduction(Q$133,S176,_xlfn.XLOOKUP($P240,$O$228:$O$232,$P$228:$P$232),$I$221,$I$222)</f>
        <v>8.4585715284772047E-4</v>
      </c>
      <c r="T240" s="55" cm="1">
        <f t="array" aca="1" ref="T240" ca="1">MMS_Dairy_Methane_Equations.VEERG_4_3_1_1__2_MethaneFromManureProduction(R$133,T176,_xlfn.XLOOKUP($P240,$O$228:$O$232,$P$228:$P$232),$I$221,$I$222)</f>
        <v>1.8978971976886393E-3</v>
      </c>
      <c r="U240" s="55" cm="1">
        <f t="array" aca="1" ref="U240" ca="1">MMS_Dairy_Methane_Equations.VEERG_4_3_1_1__2_MethaneFromManureProduction(S$133,U176,_xlfn.XLOOKUP($P240,$O$228:$O$232,$P$228:$P$232),$I$221,$I$222)</f>
        <v>1.1383462336580932E-3</v>
      </c>
      <c r="V240" s="2"/>
    </row>
    <row r="241" spans="3:23" ht="20.100000000000001" customHeight="1" x14ac:dyDescent="0.25">
      <c r="D241" s="55" t="str">
        <f>INDEX(X_Table_Dairy_ProductionSystems_Method1,3,1)</f>
        <v>Milking shed</v>
      </c>
      <c r="E241" s="55" t="s">
        <v>407</v>
      </c>
      <c r="F241" s="55" cm="1">
        <f t="array" aca="1" ref="F241" ca="1">MMS_Dairy_Methane_Equations.VEERG_4_3_1_1__2_MethaneFromManureProduction(D$133,F205,_xlfn.XLOOKUP($E241,$D$228:$D$232,$E$228:$E$232),$I$221,$I$222)</f>
        <v>7.1997177289710409E-4</v>
      </c>
      <c r="G241" s="55" cm="1">
        <f t="array" aca="1" ref="G241" ca="1">MMS_Dairy_Methane_Equations.VEERG_4_3_1_1__2_MethaneFromManureProduction(E$133,G205,_xlfn.XLOOKUP($E241,$D$228:$D$232,$E$228:$E$232),$I$221,$I$222)</f>
        <v>2.8359805878924141E-4</v>
      </c>
      <c r="H241" s="55" cm="1">
        <f t="array" aca="1" ref="H241" ca="1">MMS_Dairy_Methane_Equations.VEERG_4_3_1_1__2_MethaneFromManureProduction(F$133,H205,_xlfn.XLOOKUP($E241,$D$228:$D$232,$E$228:$E$232),$I$221,$I$222)</f>
        <v>1.5379220960867642E-4</v>
      </c>
      <c r="I241" s="55" cm="1">
        <f t="array" aca="1" ref="I241" ca="1">MMS_Dairy_Methane_Equations.VEERG_4_3_1_1__2_MethaneFromManureProduction(G$133,I205,_xlfn.XLOOKUP($E241,$D$228:$D$232,$E$228:$E$232),$I$221,$I$222)</f>
        <v>3.4507221776157069E-4</v>
      </c>
      <c r="J241" s="55" cm="1">
        <f t="array" aca="1" ref="J241" ca="1">MMS_Dairy_Methane_Equations.VEERG_4_3_1_1__2_MethaneFromManureProduction(H$133,J205,_xlfn.XLOOKUP($E241,$D$228:$D$232,$E$228:$E$232),$I$221,$I$222)</f>
        <v>2.0697204248328968E-4</v>
      </c>
      <c r="K241" s="2"/>
      <c r="O241" s="55" t="str">
        <f>INDEX(X_Table_Dairy_ProductionSystems_Method1,3,1)</f>
        <v>Milking shed</v>
      </c>
      <c r="P241" s="55" t="s">
        <v>407</v>
      </c>
      <c r="Q241" s="55" cm="1">
        <f t="array" aca="1" ref="Q241" ca="1">MMS_Dairy_Methane_Equations.VEERG_4_3_1_1__2_MethaneFromManureProduction(O$133,Q205,_xlfn.XLOOKUP($P241,$O$228:$O$232,$P$228:$P$232),$I$221,$I$222)</f>
        <v>7.1997177289710409E-4</v>
      </c>
      <c r="R241" s="55" cm="1">
        <f t="array" aca="1" ref="R241" ca="1">MMS_Dairy_Methane_Equations.VEERG_4_3_1_1__2_MethaneFromManureProduction(P$133,R205,_xlfn.XLOOKUP($P241,$O$228:$O$232,$P$228:$P$232),$I$221,$I$222)</f>
        <v>2.8359805878924141E-4</v>
      </c>
      <c r="S241" s="55" cm="1">
        <f t="array" aca="1" ref="S241" ca="1">MMS_Dairy_Methane_Equations.VEERG_4_3_1_1__2_MethaneFromManureProduction(Q$133,S205,_xlfn.XLOOKUP($P241,$O$228:$O$232,$P$228:$P$232),$I$221,$I$222)</f>
        <v>1.5379220960867642E-4</v>
      </c>
      <c r="T241" s="55" cm="1">
        <f t="array" aca="1" ref="T241" ca="1">MMS_Dairy_Methane_Equations.VEERG_4_3_1_1__2_MethaneFromManureProduction(R$133,T205,_xlfn.XLOOKUP($P241,$O$228:$O$232,$P$228:$P$232),$I$221,$I$222)</f>
        <v>3.4507221776157069E-4</v>
      </c>
      <c r="U241" s="55" cm="1">
        <f t="array" aca="1" ref="U241" ca="1">MMS_Dairy_Methane_Equations.VEERG_4_3_1_1__2_MethaneFromManureProduction(S$133,U205,_xlfn.XLOOKUP($P241,$O$228:$O$232,$P$228:$P$232),$I$221,$I$222)</f>
        <v>2.0697204248328968E-4</v>
      </c>
      <c r="V241" s="2"/>
    </row>
    <row r="242" spans="3:23" ht="20.100000000000001" customHeight="1" x14ac:dyDescent="0.25">
      <c r="D242" s="55" t="str">
        <f>INDEX(X_Table_Dairy_ProductionSystems_Method1,4,1)</f>
        <v>Feed pad</v>
      </c>
      <c r="E242" s="55" t="str">
        <f>INDEX(X_Table_Dairy_Stage1MMS_2_AnaerobicLagoon,2,1)</f>
        <v>Anaerobic lagoon</v>
      </c>
      <c r="F242" s="55" cm="1">
        <f t="array" aca="1" ref="F242" ca="1">MMS_Dairy_Methane_Equations.VEERG_4_3_1_1__2_MethaneFromManureProduction(D$133,F177,_xlfn.XLOOKUP($E242,$D$228:$D$232,$E$228:$E$232),$I$221,$I$222)</f>
        <v>5.5339648544045585E-2</v>
      </c>
      <c r="G242" s="55" cm="1">
        <f t="array" aca="1" ref="G242" ca="1">MMS_Dairy_Methane_Equations.VEERG_4_3_1_1__2_MethaneFromManureProduction(E$133,G177,_xlfn.XLOOKUP($E242,$D$228:$D$232,$E$228:$E$232),$I$221,$I$222)</f>
        <v>2.1798378064209416E-2</v>
      </c>
      <c r="H242" s="55" cm="1">
        <f t="array" aca="1" ref="H242" ca="1">MMS_Dairy_Methane_Equations.VEERG_4_3_1_1__2_MethaneFromManureProduction(F$133,H177,_xlfn.XLOOKUP($E242,$D$228:$D$232,$E$228:$E$232),$I$221,$I$222)</f>
        <v>1.1821028474921448E-2</v>
      </c>
      <c r="I242" s="55" cm="1">
        <f t="array" aca="1" ref="I242" ca="1">MMS_Dairy_Methane_Equations.VEERG_4_3_1_1__2_MethaneFromManureProduction(G$133,I177,_xlfn.XLOOKUP($E242,$D$228:$D$232,$E$228:$E$232),$I$221,$I$222)</f>
        <v>2.6523505465218911E-2</v>
      </c>
      <c r="J242" s="55" cm="1">
        <f t="array" aca="1" ref="J242" ca="1">MMS_Dairy_Methane_Equations.VEERG_4_3_1_1__2_MethaneFromManureProduction(H$133,J177,_xlfn.XLOOKUP($E242,$D$228:$D$232,$E$228:$E$232),$I$221,$I$222)</f>
        <v>1.5908623810874673E-2</v>
      </c>
      <c r="K242" s="2"/>
      <c r="O242" s="55" t="str">
        <f>INDEX(X_Table_Dairy_ProductionSystems_Method1,4,1)</f>
        <v>Feed pad</v>
      </c>
      <c r="P242" s="55" t="str">
        <f>INDEX(X_Table_Dairy_Stage1MMS_2_AnaerobicLagoon,2,1)</f>
        <v>Anaerobic lagoon</v>
      </c>
      <c r="Q242" s="55" cm="1">
        <f t="array" aca="1" ref="Q242" ca="1">MMS_Dairy_Methane_Equations.VEERG_4_3_1_1__2_MethaneFromManureProduction(O$133,Q177,_xlfn.XLOOKUP($P242,$O$228:$O$232,$P$228:$P$232),$I$221,$I$222)</f>
        <v>5.6067801814361974E-2</v>
      </c>
      <c r="R242" s="55" cm="1">
        <f t="array" aca="1" ref="R242" ca="1">MMS_Dairy_Methane_Equations.VEERG_4_3_1_1__2_MethaneFromManureProduction(P$133,R177,_xlfn.XLOOKUP($P242,$O$228:$O$232,$P$228:$P$232),$I$221,$I$222)</f>
        <v>2.2085198828212176E-2</v>
      </c>
      <c r="S242" s="55" cm="1">
        <f t="array" aca="1" ref="S242" ca="1">MMS_Dairy_Methane_Equations.VEERG_4_3_1_1__2_MethaneFromManureProduction(Q$133,S177,_xlfn.XLOOKUP($P242,$O$228:$O$232,$P$228:$P$232),$I$221,$I$222)</f>
        <v>1.197656832327568E-2</v>
      </c>
      <c r="T242" s="55" cm="1">
        <f t="array" aca="1" ref="T242" ca="1">MMS_Dairy_Methane_Equations.VEERG_4_3_1_1__2_MethaneFromManureProduction(R$133,T177,_xlfn.XLOOKUP($P242,$O$228:$O$232,$P$228:$P$232),$I$221,$I$222)</f>
        <v>2.687249895818232E-2</v>
      </c>
      <c r="U242" s="55" cm="1">
        <f t="array" aca="1" ref="U242" ca="1">MMS_Dairy_Methane_Equations.VEERG_4_3_1_1__2_MethaneFromManureProduction(S$133,U177,_xlfn.XLOOKUP($P242,$O$228:$O$232,$P$228:$P$232),$I$221,$I$222)</f>
        <v>1.6117947808386185E-2</v>
      </c>
      <c r="V242" s="2"/>
    </row>
    <row r="243" spans="3:23" ht="20.100000000000001" customHeight="1" x14ac:dyDescent="0.25">
      <c r="D243" s="55" t="str">
        <f>INDEX(X_Table_Dairy_ProductionSystems_Method1,4,1)</f>
        <v>Feed pad</v>
      </c>
      <c r="E243" s="55" t="str">
        <f>INDEX(X_Table_Dairy_Stage1MMS_2_SumpAndDispersal,2,1)</f>
        <v>Sump and dispersal system</v>
      </c>
      <c r="F243" s="55" cm="1">
        <f t="array" aca="1" ref="F243" ca="1">MMS_Dairy_Methane_Equations.VEERG_4_3_1_1__2_MethaneFromManureProduction(D$133,F178,_xlfn.XLOOKUP($E243,$D$228:$D$232,$E$228:$E$232),$I$221,$I$222)</f>
        <v>2.9126130812655575E-4</v>
      </c>
      <c r="G243" s="55" cm="1">
        <f t="array" aca="1" ref="G243" ca="1">MMS_Dairy_Methane_Equations.VEERG_4_3_1_1__2_MethaneFromManureProduction(E$133,G178,_xlfn.XLOOKUP($E243,$D$228:$D$232,$E$228:$E$232),$I$221,$I$222)</f>
        <v>1.1472830560110218E-4</v>
      </c>
      <c r="H243" s="55" cm="1">
        <f t="array" aca="1" ref="H243" ca="1">MMS_Dairy_Methane_Equations.VEERG_4_3_1_1__2_MethaneFromManureProduction(F$133,H178,_xlfn.XLOOKUP($E243,$D$228:$D$232,$E$228:$E$232),$I$221,$I$222)</f>
        <v>6.2215939341691832E-5</v>
      </c>
      <c r="I243" s="55" cm="1">
        <f t="array" aca="1" ref="I243" ca="1">MMS_Dairy_Methane_Equations.VEERG_4_3_1_1__2_MethaneFromManureProduction(G$133,I178,_xlfn.XLOOKUP($E243,$D$228:$D$232,$E$228:$E$232),$I$221,$I$222)</f>
        <v>1.3959739718536268E-4</v>
      </c>
      <c r="J243" s="55" cm="1">
        <f t="array" aca="1" ref="J243" ca="1">MMS_Dairy_Methane_Equations.VEERG_4_3_1_1__2_MethaneFromManureProduction(H$133,J178,_xlfn.XLOOKUP($E243,$D$228:$D$232,$E$228:$E$232),$I$221,$I$222)</f>
        <v>8.3729599004603552E-5</v>
      </c>
      <c r="K243" s="2"/>
      <c r="O243" s="55" t="str">
        <f>INDEX(X_Table_Dairy_ProductionSystems_Method1,4,1)</f>
        <v>Feed pad</v>
      </c>
      <c r="P243" s="55" t="str">
        <f>INDEX(X_Table_Dairy_Stage1MMS_2_SumpAndDispersal,2,1)</f>
        <v>Sump and dispersal system</v>
      </c>
      <c r="Q243" s="55" cm="1">
        <f t="array" aca="1" ref="Q243" ca="1">MMS_Dairy_Methane_Equations.VEERG_4_3_1_1__2_MethaneFromManureProduction(O$133,Q178,_xlfn.XLOOKUP($P243,$O$228:$O$232,$P$228:$P$232),$I$221,$I$222)</f>
        <v>2.9126130812655575E-4</v>
      </c>
      <c r="R243" s="55" cm="1">
        <f t="array" aca="1" ref="R243" ca="1">MMS_Dairy_Methane_Equations.VEERG_4_3_1_1__2_MethaneFromManureProduction(P$133,R178,_xlfn.XLOOKUP($P243,$O$228:$O$232,$P$228:$P$232),$I$221,$I$222)</f>
        <v>1.1472830560110218E-4</v>
      </c>
      <c r="S243" s="55" cm="1">
        <f t="array" aca="1" ref="S243" ca="1">MMS_Dairy_Methane_Equations.VEERG_4_3_1_1__2_MethaneFromManureProduction(Q$133,S178,_xlfn.XLOOKUP($P243,$O$228:$O$232,$P$228:$P$232),$I$221,$I$222)</f>
        <v>6.2215939341691832E-5</v>
      </c>
      <c r="T243" s="55" cm="1">
        <f t="array" aca="1" ref="T243" ca="1">MMS_Dairy_Methane_Equations.VEERG_4_3_1_1__2_MethaneFromManureProduction(R$133,T178,_xlfn.XLOOKUP($P243,$O$228:$O$232,$P$228:$P$232),$I$221,$I$222)</f>
        <v>1.3959739718536268E-4</v>
      </c>
      <c r="U243" s="55" cm="1">
        <f t="array" aca="1" ref="U243" ca="1">MMS_Dairy_Methane_Equations.VEERG_4_3_1_1__2_MethaneFromManureProduction(S$133,U178,_xlfn.XLOOKUP($P243,$O$228:$O$232,$P$228:$P$232),$I$221,$I$222)</f>
        <v>8.3729599004603552E-5</v>
      </c>
      <c r="V243" s="2"/>
    </row>
    <row r="244" spans="3:23" ht="20.100000000000001" customHeight="1" x14ac:dyDescent="0.25">
      <c r="D244" s="55" t="str">
        <f>INDEX(X_Table_Dairy_ProductionSystems_Method1,4,1)</f>
        <v>Feed pad</v>
      </c>
      <c r="E244" s="55" t="str">
        <f>INDEX(X_Table_Dairy_Stage1MMS_2_DrainsToPaddock,2,1)</f>
        <v>Drains to paddock</v>
      </c>
      <c r="F244" s="55" cm="1">
        <f t="array" aca="1" ref="F244" ca="1">MMS_Dairy_Methane_Equations.VEERG_4_3_1_1__2_MethaneFromManureProduction(D$133,F179,_xlfn.XLOOKUP($E244,$D$228:$D$232,$E$228:$E$232),$I$221,$I$222)</f>
        <v>1.0485407092556005E-2</v>
      </c>
      <c r="G244" s="55" cm="1">
        <f t="array" aca="1" ref="G244" ca="1">MMS_Dairy_Methane_Equations.VEERG_4_3_1_1__2_MethaneFromManureProduction(E$133,G179,_xlfn.XLOOKUP($E244,$D$228:$D$232,$E$228:$E$232),$I$221,$I$222)</f>
        <v>4.1302190016396789E-3</v>
      </c>
      <c r="H244" s="55" cm="1">
        <f t="array" aca="1" ref="H244" ca="1">MMS_Dairy_Methane_Equations.VEERG_4_3_1_1__2_MethaneFromManureProduction(F$133,H179,_xlfn.XLOOKUP($E244,$D$228:$D$232,$E$228:$E$232),$I$221,$I$222)</f>
        <v>2.2397738163009058E-3</v>
      </c>
      <c r="I244" s="55" cm="1">
        <f t="array" aca="1" ref="I244" ca="1">MMS_Dairy_Methane_Equations.VEERG_4_3_1_1__2_MethaneFromManureProduction(G$133,I179,_xlfn.XLOOKUP($E244,$D$228:$D$232,$E$228:$E$232),$I$221,$I$222)</f>
        <v>5.0255062986730567E-3</v>
      </c>
      <c r="J244" s="55" cm="1">
        <f t="array" aca="1" ref="J244" ca="1">MMS_Dairy_Methane_Equations.VEERG_4_3_1_1__2_MethaneFromManureProduction(H$133,J179,_xlfn.XLOOKUP($E244,$D$228:$D$232,$E$228:$E$232),$I$221,$I$222)</f>
        <v>3.0142655641657275E-3</v>
      </c>
      <c r="K244" s="2"/>
      <c r="O244" s="55" t="str">
        <f>INDEX(X_Table_Dairy_ProductionSystems_Method1,4,1)</f>
        <v>Feed pad</v>
      </c>
      <c r="P244" s="55" t="str">
        <f>INDEX(X_Table_Dairy_Stage1MMS_2_DrainsToPaddock,2,1)</f>
        <v>Drains to paddock</v>
      </c>
      <c r="Q244" s="55" cm="1">
        <f t="array" aca="1" ref="Q244" ca="1">MMS_Dairy_Methane_Equations.VEERG_4_3_1_1__2_MethaneFromManureProduction(O$133,Q179,_xlfn.XLOOKUP($P244,$O$228:$O$232,$P$228:$P$232),$I$221,$I$222)</f>
        <v>1.2815497557568452E-2</v>
      </c>
      <c r="R244" s="55" cm="1">
        <f t="array" aca="1" ref="R244" ca="1">MMS_Dairy_Methane_Equations.VEERG_4_3_1_1__2_MethaneFromManureProduction(P$133,R179,_xlfn.XLOOKUP($P244,$O$228:$O$232,$P$228:$P$232),$I$221,$I$222)</f>
        <v>5.0480454464484964E-3</v>
      </c>
      <c r="S244" s="55" cm="1">
        <f t="array" aca="1" ref="S244" ca="1">MMS_Dairy_Methane_Equations.VEERG_4_3_1_1__2_MethaneFromManureProduction(Q$133,S179,_xlfn.XLOOKUP($P244,$O$228:$O$232,$P$228:$P$232),$I$221,$I$222)</f>
        <v>2.7375013310344406E-3</v>
      </c>
      <c r="T244" s="55" cm="1">
        <f t="array" aca="1" ref="T244" ca="1">MMS_Dairy_Methane_Equations.VEERG_4_3_1_1__2_MethaneFromManureProduction(R$133,T179,_xlfn.XLOOKUP($P244,$O$228:$O$232,$P$228:$P$232),$I$221,$I$222)</f>
        <v>6.1422854761559592E-3</v>
      </c>
      <c r="U244" s="55" cm="1">
        <f t="array" aca="1" ref="U244" ca="1">MMS_Dairy_Methane_Equations.VEERG_4_3_1_1__2_MethaneFromManureProduction(S$133,U179,_xlfn.XLOOKUP($P244,$O$228:$O$232,$P$228:$P$232),$I$221,$I$222)</f>
        <v>3.684102356202556E-3</v>
      </c>
      <c r="V244" s="2"/>
    </row>
    <row r="245" spans="3:23" ht="20.100000000000001" customHeight="1" x14ac:dyDescent="0.25">
      <c r="D245" s="55" t="str">
        <f>INDEX(X_Table_Dairy_ProductionSystems_Method1,4,1)</f>
        <v>Feed pad</v>
      </c>
      <c r="E245" s="55" t="s">
        <v>407</v>
      </c>
      <c r="F245" s="55" cm="1">
        <f t="array" aca="1" ref="F245" ca="1">MMS_Dairy_Methane_Equations.VEERG_4_3_1_1__2_MethaneFromManureProduction(D$133,F206,_xlfn.XLOOKUP($E245,$D$228:$D$232,$E$228:$E$232),$I$221,$I$222)</f>
        <v>2.0388291568858899E-3</v>
      </c>
      <c r="G245" s="55" cm="1">
        <f t="array" aca="1" ref="G245" ca="1">MMS_Dairy_Methane_Equations.VEERG_4_3_1_1__2_MethaneFromManureProduction(E$133,G206,_xlfn.XLOOKUP($E245,$D$228:$D$232,$E$228:$E$232),$I$221,$I$222)</f>
        <v>8.0309813920771526E-4</v>
      </c>
      <c r="H245" s="55" cm="1">
        <f t="array" aca="1" ref="H245" ca="1">MMS_Dairy_Methane_Equations.VEERG_4_3_1_1__2_MethaneFromManureProduction(F$133,H206,_xlfn.XLOOKUP($E245,$D$228:$D$232,$E$228:$E$232),$I$221,$I$222)</f>
        <v>4.3551157539184287E-4</v>
      </c>
      <c r="I245" s="55" cm="1">
        <f t="array" aca="1" ref="I245" ca="1">MMS_Dairy_Methane_Equations.VEERG_4_3_1_1__2_MethaneFromManureProduction(G$133,I206,_xlfn.XLOOKUP($E245,$D$228:$D$232,$E$228:$E$232),$I$221,$I$222)</f>
        <v>9.7718178029753897E-4</v>
      </c>
      <c r="J245" s="55" cm="1">
        <f t="array" aca="1" ref="J245" ca="1">MMS_Dairy_Methane_Equations.VEERG_4_3_1_1__2_MethaneFromManureProduction(H$133,J206,_xlfn.XLOOKUP($E245,$D$228:$D$232,$E$228:$E$232),$I$221,$I$222)</f>
        <v>5.8610719303222485E-4</v>
      </c>
      <c r="K245" s="2"/>
      <c r="O245" s="55" t="str">
        <f>INDEX(X_Table_Dairy_ProductionSystems_Method1,4,1)</f>
        <v>Feed pad</v>
      </c>
      <c r="P245" s="55" t="s">
        <v>407</v>
      </c>
      <c r="Q245" s="55" cm="1">
        <f t="array" aca="1" ref="Q245" ca="1">MMS_Dairy_Methane_Equations.VEERG_4_3_1_1__2_MethaneFromManureProduction(O$133,Q206,_xlfn.XLOOKUP($P245,$O$228:$O$232,$P$228:$P$232),$I$221,$I$222)</f>
        <v>2.0388291568858899E-3</v>
      </c>
      <c r="R245" s="55" cm="1">
        <f t="array" aca="1" ref="R245" ca="1">MMS_Dairy_Methane_Equations.VEERG_4_3_1_1__2_MethaneFromManureProduction(P$133,R206,_xlfn.XLOOKUP($P245,$O$228:$O$232,$P$228:$P$232),$I$221,$I$222)</f>
        <v>8.0309813920771526E-4</v>
      </c>
      <c r="S245" s="55" cm="1">
        <f t="array" aca="1" ref="S245" ca="1">MMS_Dairy_Methane_Equations.VEERG_4_3_1_1__2_MethaneFromManureProduction(Q$133,S206,_xlfn.XLOOKUP($P245,$O$228:$O$232,$P$228:$P$232),$I$221,$I$222)</f>
        <v>4.3551157539184287E-4</v>
      </c>
      <c r="T245" s="55" cm="1">
        <f t="array" aca="1" ref="T245" ca="1">MMS_Dairy_Methane_Equations.VEERG_4_3_1_1__2_MethaneFromManureProduction(R$133,T206,_xlfn.XLOOKUP($P245,$O$228:$O$232,$P$228:$P$232),$I$221,$I$222)</f>
        <v>9.7718178029753897E-4</v>
      </c>
      <c r="U245" s="55"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INDEX(X_Table_Dairy_HerdMovement,2,2)</f>
        <v>100</v>
      </c>
      <c r="E270" s="107">
        <f>INDEX(X_Table_Dairy_HerdMovement,2,3)</f>
        <v>100</v>
      </c>
      <c r="F270" s="107">
        <f>INDEX(X_Table_Dairy_HerdMovement,2,4)</f>
        <v>100</v>
      </c>
      <c r="G270" s="107">
        <f>INDEX(X_Table_Dairy_HerdMovement,2,5)</f>
        <v>100</v>
      </c>
      <c r="H270" s="107">
        <f>INDEX(X_Table_Dairy_HerdMovement,2,6)</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INDEX(X_Table_Dairy_DurationOfStay_Method1,2,2)</f>
        <v>365</v>
      </c>
      <c r="E275" s="55">
        <f>INDEX(X_Table_Dairy_DurationOfStay_Method1,2,3)</f>
        <v>365</v>
      </c>
      <c r="F275" s="55">
        <f>INDEX(X_Table_Dairy_DurationOfStay_Method1,2,4)</f>
        <v>281</v>
      </c>
      <c r="G275" s="55">
        <f>INDEX(X_Table_Dairy_DurationOfStay_Method1,2,5)</f>
        <v>365</v>
      </c>
      <c r="H275" s="55">
        <f>INDEX(X_Table_Dairy_DurationOfStay_Method1,2,6)</f>
        <v>281</v>
      </c>
      <c r="I275" s="2" t="s">
        <v>56</v>
      </c>
      <c r="O275" s="55">
        <f>INDEX(X_Table_Dairy_DurationOfStay_Method2,2,2)</f>
        <v>365</v>
      </c>
      <c r="P275" s="55">
        <f>INDEX(X_Table_Dairy_DurationOfStay_Method2,2,3)</f>
        <v>365</v>
      </c>
      <c r="Q275" s="55">
        <f>INDEX(X_Table_Dairy_DurationOfStay_Method2,2,4)</f>
        <v>281</v>
      </c>
      <c r="R275" s="55">
        <f>INDEX(X_Table_Dairy_DurationOfStay_Method2,2,5)</f>
        <v>365</v>
      </c>
      <c r="S275" s="55">
        <f>INDEX(X_Table_Dairy_DurationOfStay_Method2,2,6)</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INDEX(X_Table_Dairy_DurationOfStay_Method1,3,2)</f>
        <v>0</v>
      </c>
      <c r="E285" s="55">
        <f>INDEX(X_Table_Dairy_DurationOfStay_Method1,3,3)</f>
        <v>0</v>
      </c>
      <c r="F285" s="55">
        <f>INDEX(X_Table_Dairy_DurationOfStay_Method1,3,4)</f>
        <v>84</v>
      </c>
      <c r="G285" s="55">
        <f>INDEX(X_Table_Dairy_DurationOfStay_Method1,3,5)</f>
        <v>0</v>
      </c>
      <c r="H285" s="55">
        <f>INDEX(X_Table_Dairy_DurationOfStay_Method1,3,6)</f>
        <v>84</v>
      </c>
      <c r="I285" s="2" t="s">
        <v>56</v>
      </c>
      <c r="O285" s="55">
        <f>INDEX(X_Table_Dairy_DurationOfStay_Method2,3,2)</f>
        <v>0</v>
      </c>
      <c r="P285" s="55">
        <f>INDEX(X_Table_Dairy_DurationOfStay_Method2,3,3)</f>
        <v>0</v>
      </c>
      <c r="Q285" s="55">
        <f>INDEX(X_Table_Dairy_DurationOfStay_Method2,3,4)</f>
        <v>84</v>
      </c>
      <c r="R285" s="55">
        <f>INDEX(X_Table_Dairy_DurationOfStay_Method2,3,5)</f>
        <v>0</v>
      </c>
      <c r="S285" s="55">
        <f>INDEX(X_Table_Dairy_DurationOfStay_Method2,3,6)</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INDEX(X_Table_Dairy_ProductionSystems_Method1,2,1)</f>
        <v>Pasture</v>
      </c>
      <c r="E290" s="55" t="str">
        <f>'Constants - Livestock'!$E$27</f>
        <v>Pasture range and paddock</v>
      </c>
      <c r="F290" s="55" cm="1">
        <f t="array" aca="1" ref="F290" ca="1">MMS_Dairy_Methane_Equations.VEERG_4_3_1_1__1_TotalAnnualMethaneFromManureManagementVariation(D$270,F237,D$275,0,0,0,0,0)</f>
        <v>0.15946556619928928</v>
      </c>
      <c r="G290" s="55" cm="1">
        <f t="array" aca="1" ref="G290" ca="1">MMS_Dairy_Methane_Equations.VEERG_4_3_1_1__1_TotalAnnualMethaneFromManureManagementVariation(E$270,G237,E$275,0,0,0,0,0)</f>
        <v>6.2813747316603469E-2</v>
      </c>
      <c r="H290" s="55" cm="1">
        <f t="array" aca="1" ref="H290" ca="1">MMS_Dairy_Methane_Equations.VEERG_4_3_1_1__1_TotalAnnualMethaneFromManureManagementVariation(0,0,0,F$270,H237,F$275,F$280,F$285)</f>
        <v>0.17406401843252312</v>
      </c>
      <c r="I290" s="55" cm="1">
        <f t="array" aca="1" ref="I290" ca="1">MMS_Dairy_Methane_Equations.VEERG_4_3_1_1__1_TotalAnnualMethaneFromManureManagementVariation(G$270,I237,G$275,0,0,0,0,0)</f>
        <v>7.6429574958986099E-2</v>
      </c>
      <c r="J290" s="55" cm="1">
        <f t="array" aca="1" ref="J290" ca="1">MMS_Dairy_Methane_Equations.VEERG_4_3_1_1__1_TotalAnnualMethaneFromManureManagementVariation(0,0,0,H$270,J237,H$275,H$280,H$285)</f>
        <v>0.20665202598044041</v>
      </c>
      <c r="O290" s="55" t="str">
        <f>INDEX(X_Table_Dairy_ProductionSystems_Method1,2,1)</f>
        <v>Pasture</v>
      </c>
      <c r="P290" s="55" t="str">
        <f>'Constants - Livestock'!$E$27</f>
        <v>Pasture range and paddock</v>
      </c>
      <c r="Q290" s="55" cm="1">
        <f t="array" aca="1" ref="Q290" ca="1">MMS_Dairy_Methane_Equations.VEERG_4_3_1_1__1_TotalAnnualMethaneFromManureManagementVariation(D$270,Q237,O$275,0,0,0,0,0)</f>
        <v>0.15946556619928928</v>
      </c>
      <c r="R290" s="55" cm="1">
        <f t="array" aca="1" ref="R290" ca="1">MMS_Dairy_Methane_Equations.VEERG_4_3_1_1__1_TotalAnnualMethaneFromManureManagementVariation(E$270,R237,P$275,0,0,0,0,0)</f>
        <v>6.2813747316603469E-2</v>
      </c>
      <c r="S290" s="55" cm="1">
        <f t="array" aca="1" ref="S290" ca="1">MMS_Dairy_Methane_Equations.VEERG_4_3_1_1__1_TotalAnnualMethaneFromManureManagementVariation(0,0,0,F$270,S237,Q$275,F$280,Q$285)</f>
        <v>0.17406401843252312</v>
      </c>
      <c r="T290" s="55" cm="1">
        <f t="array" aca="1" ref="T290" ca="1">MMS_Dairy_Methane_Equations.VEERG_4_3_1_1__1_TotalAnnualMethaneFromManureManagementVariation(G$270,T237,R$275,0,0,0,0,0)</f>
        <v>7.6429574958986099E-2</v>
      </c>
      <c r="U290" s="55" cm="1">
        <f t="array" aca="1" ref="U290" ca="1">MMS_Dairy_Methane_Equations.VEERG_4_3_1_1__1_TotalAnnualMethaneFromManureManagementVariation(0,0,0,H$270,U237,S$275,H$280,S$285)</f>
        <v>0.20665202598044041</v>
      </c>
    </row>
    <row r="291" spans="4:21" x14ac:dyDescent="0.25">
      <c r="D291" s="55" t="str">
        <f>INDEX(X_Table_Dairy_ProductionSystems_Method1,3,1)</f>
        <v>Milking shed</v>
      </c>
      <c r="E291" s="55" t="str">
        <f>INDEX(X_Table_Dairy_Stage1MMS_1_AnaerobicLagoon,2,1)</f>
        <v>Anaerobic lagoon</v>
      </c>
      <c r="F291" s="55" cm="1">
        <f t="array" aca="1" ref="F291" ca="1">MMS_Dairy_Methane_Equations.VEERG_4_3_1_1__1_TotalAnnualMethaneFromManureManagementVariation(D$270,F238,D$275,0,0,0,0,0)</f>
        <v>0.49930042450414175</v>
      </c>
      <c r="G291" s="55" cm="1">
        <f t="array" aca="1" ref="G291" ca="1">MMS_Dairy_Methane_Equations.VEERG_4_3_1_1__1_TotalAnnualMethaneFromManureManagementVariation(E$270,G238,E$275,0,0,0,0,0)</f>
        <v>0.1966752537703389</v>
      </c>
      <c r="H291" s="55" cm="1">
        <f t="array" aca="1" ref="H291" ca="1">MMS_Dairy_Methane_Equations.VEERG_4_3_1_1__1_TotalAnnualMethaneFromManureManagementVariation(0,0,0,F$270,H238,F$275,F$280,F$285)</f>
        <v>0.22994966071007236</v>
      </c>
      <c r="I291" s="55" cm="1">
        <f t="array" aca="1" ref="I291" ca="1">MMS_Dairy_Methane_Equations.VEERG_4_3_1_1__1_TotalAnnualMethaneFromManureManagementVariation(G$270,I238,G$275,0,0,0,0,0)</f>
        <v>0.23930758301764934</v>
      </c>
      <c r="J291" s="55" cm="1">
        <f t="array" aca="1" ref="J291" ca="1">MMS_Dairy_Methane_Equations.VEERG_4_3_1_1__1_TotalAnnualMethaneFromManureManagementVariation(0,0,0,H$270,J238,H$275,H$280,H$285)</f>
        <v>0.28186237348182841</v>
      </c>
      <c r="O291" s="55" t="str">
        <f>INDEX(X_Table_Dairy_ProductionSystems_Method1,3,1)</f>
        <v>Milking shed</v>
      </c>
      <c r="P291" s="55" t="str">
        <f>INDEX(X_Table_Dairy_Stage1MMS_1_AnaerobicLagoon,2,1)</f>
        <v>Anaerobic lagoon</v>
      </c>
      <c r="Q291" s="55" cm="1">
        <f t="array" aca="1" ref="Q291" ca="1">MMS_Dairy_Methane_Equations.VEERG_4_3_1_1__1_TotalAnnualMethaneFromManureManagementVariation(D$270,Q238,O$275,0,0,0,0,0)</f>
        <v>0.50587016693182774</v>
      </c>
      <c r="R291" s="55" cm="1">
        <f t="array" aca="1" ref="R291" ca="1">MMS_Dairy_Methane_Equations.VEERG_4_3_1_1__1_TotalAnnualMethaneFromManureManagementVariation(E$270,R238,P$275,0,0,0,0,0)</f>
        <v>0.19926308605679074</v>
      </c>
      <c r="S291" s="55" cm="1">
        <f t="array" aca="1" ref="S291" ca="1">MMS_Dairy_Methane_Equations.VEERG_4_3_1_1__1_TotalAnnualMethaneFromManureManagementVariation(0,0,0,F$270,S238,Q$275,F$280,Q$285)</f>
        <v>0.23103005098257332</v>
      </c>
      <c r="T291" s="55" cm="1">
        <f t="array" aca="1" ref="T291" ca="1">MMS_Dairy_Methane_Equations.VEERG_4_3_1_1__1_TotalAnnualMethaneFromManureManagementVariation(G$270,T238,R$275,0,0,0,0,0)</f>
        <v>0.24245636700472373</v>
      </c>
      <c r="U291" s="55" cm="1">
        <f t="array" aca="1" ref="U291" ca="1">MMS_Dairy_Methane_Equations.VEERG_4_3_1_1__1_TotalAnnualMethaneFromManureManagementVariation(0,0,0,H$270,U238,S$275,H$280,S$285)</f>
        <v>0.2833163520802735</v>
      </c>
    </row>
    <row r="292" spans="4:21" x14ac:dyDescent="0.25">
      <c r="D292" s="55" t="str">
        <f>INDEX(X_Table_Dairy_ProductionSystems_Method1,3,1)</f>
        <v>Milking shed</v>
      </c>
      <c r="E292" s="55" t="str">
        <f>INDEX(X_Table_Dairy_Stage1MMS_1_SumpAndDispersal,2,1)</f>
        <v>Sump and dispersal system</v>
      </c>
      <c r="F292" s="55" cm="1">
        <f t="array" aca="1" ref="F292" ca="1">MMS_Dairy_Methane_Equations.VEERG_4_3_1_1__1_TotalAnnualMethaneFromManureManagementVariation(D$270,F239,D$275,0,0,0,0,0)</f>
        <v>3.2848712138430379E-3</v>
      </c>
      <c r="G292" s="55" cm="1">
        <f t="array" aca="1" ref="G292" ca="1">MMS_Dairy_Methane_Equations.VEERG_4_3_1_1__1_TotalAnnualMethaneFromManureManagementVariation(E$270,G239,E$275,0,0,0,0,0)</f>
        <v>1.293916143225914E-3</v>
      </c>
      <c r="H292" s="55" cm="1">
        <f t="array" aca="1" ref="H292" ca="1">MMS_Dairy_Methane_Equations.VEERG_4_3_1_1__1_TotalAnnualMethaneFromManureManagementVariation(0,0,0,F$270,H239,F$275,F$280,F$285)</f>
        <v>0.14838019513625048</v>
      </c>
      <c r="I292" s="55" cm="1">
        <f t="array" aca="1" ref="I292" ca="1">MMS_Dairy_Methane_Equations.VEERG_4_3_1_1__1_TotalAnnualMethaneFromManureManagementVariation(G$270,I239,G$275,0,0,0,0,0)</f>
        <v>1.5743919935371669E-3</v>
      </c>
      <c r="J292" s="55" cm="1">
        <f t="array" aca="1" ref="J292" ca="1">MMS_Dairy_Methane_Equations.VEERG_4_3_1_1__1_TotalAnnualMethaneFromManureManagementVariation(0,0,0,H$270,J239,H$275,H$280,H$285)</f>
        <v>0.17208698929922259</v>
      </c>
      <c r="O292" s="55" t="str">
        <f>INDEX(X_Table_Dairy_ProductionSystems_Method1,3,1)</f>
        <v>Milking shed</v>
      </c>
      <c r="P292" s="55" t="str">
        <f>INDEX(X_Table_Dairy_Stage1MMS_1_SumpAndDispersal,2,1)</f>
        <v>Sump and dispersal system</v>
      </c>
      <c r="Q292" s="55" cm="1">
        <f t="array" aca="1" ref="Q292" ca="1">MMS_Dairy_Methane_Equations.VEERG_4_3_1_1__1_TotalAnnualMethaneFromManureManagementVariation(D$270,Q239,O$275,0,0,0,0,0)</f>
        <v>3.2848712138430379E-3</v>
      </c>
      <c r="R292" s="55" cm="1">
        <f t="array" aca="1" ref="R292" ca="1">MMS_Dairy_Methane_Equations.VEERG_4_3_1_1__1_TotalAnnualMethaneFromManureManagementVariation(E$270,R239,P$275,0,0,0,0,0)</f>
        <v>1.293916143225914E-3</v>
      </c>
      <c r="S292" s="55" cm="1">
        <f t="array" aca="1" ref="S292" ca="1">MMS_Dairy_Methane_Equations.VEERG_4_3_1_1__1_TotalAnnualMethaneFromManureManagementVariation(0,0,0,F$270,S239,Q$275,F$280,Q$285)</f>
        <v>0.14838019513625048</v>
      </c>
      <c r="T292" s="55" cm="1">
        <f t="array" aca="1" ref="T292" ca="1">MMS_Dairy_Methane_Equations.VEERG_4_3_1_1__1_TotalAnnualMethaneFromManureManagementVariation(G$270,T239,R$275,0,0,0,0,0)</f>
        <v>1.5743919935371669E-3</v>
      </c>
      <c r="U292" s="55" cm="1">
        <f t="array" aca="1" ref="U292" ca="1">MMS_Dairy_Methane_Equations.VEERG_4_3_1_1__1_TotalAnnualMethaneFromManureManagementVariation(0,0,0,H$270,U239,S$275,H$280,S$285)</f>
        <v>0.17208698929922259</v>
      </c>
    </row>
    <row r="293" spans="4:21" x14ac:dyDescent="0.25">
      <c r="D293" s="55" t="str">
        <f>INDEX(X_Table_Dairy_ProductionSystems_Method1,3,1)</f>
        <v>Milking shed</v>
      </c>
      <c r="E293" s="55" t="str">
        <f>INDEX(X_Table_Dairy_Stage1MMS_1_DrainsToPaddock,2,1)</f>
        <v>Drains to paddock</v>
      </c>
      <c r="F293" s="55" cm="1">
        <f t="array" aca="1" ref="F293" ca="1">MMS_Dairy_Methane_Equations.VEERG_4_3_1_1__1_TotalAnnualMethaneFromManureManagementVariation(D$270,F240,D$275,0,0,0,0,0)</f>
        <v>0.11825536369834934</v>
      </c>
      <c r="G293" s="55" cm="1">
        <f t="array" aca="1" ref="G293" ca="1">MMS_Dairy_Methane_Equations.VEERG_4_3_1_1__1_TotalAnnualMethaneFromManureManagementVariation(E$270,G240,E$275,0,0,0,0,0)</f>
        <v>4.6580981156132899E-2</v>
      </c>
      <c r="H293" s="55" cm="1">
        <f t="array" aca="1" ref="H293" ca="1">MMS_Dairy_Methane_Equations.VEERG_4_3_1_1__1_TotalAnnualMethaneFromManureManagementVariation(0,0,0,F$270,H240,F$275,F$280,F$285)</f>
        <v>0.16728702490501715</v>
      </c>
      <c r="I293" s="55" cm="1">
        <f t="array" aca="1" ref="I293" ca="1">MMS_Dairy_Methane_Equations.VEERG_4_3_1_1__1_TotalAnnualMethaneFromManureManagementVariation(G$270,I240,G$275,0,0,0,0,0)</f>
        <v>5.6678111767338002E-2</v>
      </c>
      <c r="J293" s="55" cm="1">
        <f t="array" aca="1" ref="J293" ca="1">MMS_Dairy_Methane_Equations.VEERG_4_3_1_1__1_TotalAnnualMethaneFromManureManagementVariation(0,0,0,H$270,J240,H$275,H$280,H$285)</f>
        <v>0.197531614772012</v>
      </c>
      <c r="O293" s="55" t="str">
        <f>INDEX(X_Table_Dairy_ProductionSystems_Method1,3,1)</f>
        <v>Milking shed</v>
      </c>
      <c r="P293" s="55" t="str">
        <f>INDEX(X_Table_Dairy_Stage1MMS_1_DrainsToPaddock,2,1)</f>
        <v>Drains to paddock</v>
      </c>
      <c r="Q293" s="55" cm="1">
        <f t="array" aca="1" ref="Q293" ca="1">MMS_Dairy_Methane_Equations.VEERG_4_3_1_1__1_TotalAnnualMethaneFromManureManagementVariation(D$270,Q240,O$275,0,0,0,0,0)</f>
        <v>0.14453433340909366</v>
      </c>
      <c r="R293" s="55" cm="1">
        <f t="array" aca="1" ref="R293" ca="1">MMS_Dairy_Methane_Equations.VEERG_4_3_1_1__1_TotalAnnualMethaneFromManureManagementVariation(E$270,R240,P$275,0,0,0,0,0)</f>
        <v>5.6932310301940216E-2</v>
      </c>
      <c r="S293" s="55" cm="1">
        <f t="array" aca="1" ref="S293" ca="1">MMS_Dairy_Methane_Equations.VEERG_4_3_1_1__1_TotalAnnualMethaneFromManureManagementVariation(0,0,0,F$270,S240,Q$275,F$280,Q$285)</f>
        <v>0.17160858599502096</v>
      </c>
      <c r="T293" s="55" cm="1">
        <f t="array" aca="1" ref="T293" ca="1">MMS_Dairy_Methane_Equations.VEERG_4_3_1_1__1_TotalAnnualMethaneFromManureManagementVariation(G$270,T240,R$275,0,0,0,0,0)</f>
        <v>6.9273247715635339E-2</v>
      </c>
      <c r="U293" s="55" cm="1">
        <f t="array" aca="1" ref="U293" ca="1">MMS_Dairy_Methane_Equations.VEERG_4_3_1_1__1_TotalAnnualMethaneFromManureManagementVariation(0,0,0,H$270,U240,S$275,H$280,S$285)</f>
        <v>0.20334752916579243</v>
      </c>
    </row>
    <row r="294" spans="4:21" x14ac:dyDescent="0.25">
      <c r="D294" s="55" t="str">
        <f>INDEX(X_Table_Dairy_ProductionSystems_Method1,3,1)</f>
        <v>Milking shed</v>
      </c>
      <c r="E294" s="55" t="s">
        <v>407</v>
      </c>
      <c r="F294" s="55" cm="1">
        <f t="array" aca="1" ref="F294" ca="1">MMS_Dairy_Methane_Equations.VEERG_4_3_1_1__1_TotalAnnualMethaneFromManureManagementVariation(D$270,F241,D$275,0,0,0,0,0)</f>
        <v>2.6278969710744299E-2</v>
      </c>
      <c r="G294" s="55" cm="1">
        <f t="array" aca="1" ref="G294" ca="1">MMS_Dairy_Methane_Equations.VEERG_4_3_1_1__1_TotalAnnualMethaneFromManureManagementVariation(E$270,G241,E$275,0,0,0,0,0)</f>
        <v>1.0351329145807312E-2</v>
      </c>
      <c r="H294" s="55" cm="1">
        <f t="array" aca="1" ref="H294" ca="1">MMS_Dairy_Methane_Equations.VEERG_4_3_1_1__1_TotalAnnualMethaneFromManureManagementVariation(0,0,0,F$270,H241,F$275,F$280,F$285)</f>
        <v>0.15216156109000381</v>
      </c>
      <c r="I294" s="55" cm="1">
        <f t="array" aca="1" ref="I294" ca="1">MMS_Dairy_Methane_Equations.VEERG_4_3_1_1__1_TotalAnnualMethaneFromManureManagementVariation(G$270,I241,G$275,0,0,0,0,0)</f>
        <v>1.259513594829733E-2</v>
      </c>
      <c r="J294" s="55" cm="1">
        <f t="array" aca="1" ref="J294" ca="1">MMS_Dairy_Methane_Equations.VEERG_4_3_1_1__1_TotalAnnualMethaneFromManureManagementVariation(0,0,0,H$270,J241,H$275,H$280,H$285)</f>
        <v>0.17717591439378047</v>
      </c>
      <c r="O294" s="55" t="str">
        <f>INDEX(X_Table_Dairy_ProductionSystems_Method1,3,1)</f>
        <v>Milking shed</v>
      </c>
      <c r="P294" s="55" t="s">
        <v>407</v>
      </c>
      <c r="Q294" s="55" cm="1">
        <f t="array" aca="1" ref="Q294" ca="1">MMS_Dairy_Methane_Equations.VEERG_4_3_1_1__1_TotalAnnualMethaneFromManureManagementVariation(D$270,Q241,O$275,0,0,0,0,0)</f>
        <v>2.6278969710744299E-2</v>
      </c>
      <c r="R294" s="55" cm="1">
        <f t="array" aca="1" ref="R294" ca="1">MMS_Dairy_Methane_Equations.VEERG_4_3_1_1__1_TotalAnnualMethaneFromManureManagementVariation(E$270,R241,P$275,0,0,0,0,0)</f>
        <v>1.0351329145807312E-2</v>
      </c>
      <c r="S294" s="55" cm="1">
        <f t="array" aca="1" ref="S294" ca="1">MMS_Dairy_Methane_Equations.VEERG_4_3_1_1__1_TotalAnnualMethaneFromManureManagementVariation(0,0,0,F$270,S241,Q$275,F$280,Q$285)</f>
        <v>0.15216156109000381</v>
      </c>
      <c r="T294" s="55" cm="1">
        <f t="array" aca="1" ref="T294" ca="1">MMS_Dairy_Methane_Equations.VEERG_4_3_1_1__1_TotalAnnualMethaneFromManureManagementVariation(G$270,T241,R$275,0,0,0,0,0)</f>
        <v>1.259513594829733E-2</v>
      </c>
      <c r="U294" s="55" cm="1">
        <f t="array" aca="1" ref="U294" ca="1">MMS_Dairy_Methane_Equations.VEERG_4_3_1_1__1_TotalAnnualMethaneFromManureManagementVariation(0,0,0,H$270,U241,S$275,H$280,S$285)</f>
        <v>0.17717591439378047</v>
      </c>
    </row>
    <row r="295" spans="4:21" x14ac:dyDescent="0.25">
      <c r="D295" s="55" t="str">
        <f>INDEX(X_Table_Dairy_ProductionSystems_Method1,4,1)</f>
        <v>Feed pad</v>
      </c>
      <c r="E295" s="55" t="str">
        <f>INDEX(X_Table_Dairy_Stage1MMS_2_AnaerobicLagoon,2,1)</f>
        <v>Anaerobic lagoon</v>
      </c>
      <c r="F295" s="55" cm="1">
        <f t="array" aca="1" ref="F295" ca="1">MMS_Dairy_Methane_Equations.VEERG_4_3_1_1__1_TotalAnnualMethaneFromManureManagementVariation(D$270,F242,D$275,0,0,0,0,0)</f>
        <v>2.0198971718576639</v>
      </c>
      <c r="G295" s="55" cm="1">
        <f t="array" aca="1" ref="G295" ca="1">MMS_Dairy_Methane_Equations.VEERG_4_3_1_1__1_TotalAnnualMethaneFromManureManagementVariation(E$270,G242,E$275,0,0,0,0,0)</f>
        <v>0.79564079934364373</v>
      </c>
      <c r="H295" s="55" cm="1">
        <f t="array" aca="1" ref="H295" ca="1">MMS_Dairy_Methane_Equations.VEERG_4_3_1_1__1_TotalAnnualMethaneFromManureManagementVariation(0,0,0,F$270,H242,F$275,F$280,F$285)</f>
        <v>0.48001090014529268</v>
      </c>
      <c r="I295" s="55" cm="1">
        <f t="array" aca="1" ref="I295" ca="1">MMS_Dairy_Methane_Equations.VEERG_4_3_1_1__1_TotalAnnualMethaneFromManureManagementVariation(G$270,I242,G$275,0,0,0,0,0)</f>
        <v>0.96810794948049028</v>
      </c>
      <c r="J295" s="55" cm="1">
        <f t="array" aca="1" ref="J295" ca="1">MMS_Dairy_Methane_Equations.VEERG_4_3_1_1__1_TotalAnnualMethaneFromManureManagementVariation(0,0,0,H$270,J242,H$275,H$280,H$285)</f>
        <v>0.6183923290855784</v>
      </c>
      <c r="O295" s="55" t="str">
        <f>INDEX(X_Table_Dairy_ProductionSystems_Method1,4,1)</f>
        <v>Feed pad</v>
      </c>
      <c r="P295" s="55" t="str">
        <f>INDEX(X_Table_Dairy_Stage1MMS_2_AnaerobicLagoon,2,1)</f>
        <v>Anaerobic lagoon</v>
      </c>
      <c r="Q295" s="55" cm="1">
        <f t="array" aca="1" ref="Q295" ca="1">MMS_Dairy_Methane_Equations.VEERG_4_3_1_1__1_TotalAnnualMethaneFromManureManagementVariation(D$270,Q242,O$275,0,0,0,0,0)</f>
        <v>2.046474766224212</v>
      </c>
      <c r="R295" s="55" cm="1">
        <f t="array" aca="1" ref="R295" ca="1">MMS_Dairy_Methane_Equations.VEERG_4_3_1_1__1_TotalAnnualMethaneFromManureManagementVariation(E$270,R242,P$275,0,0,0,0,0)</f>
        <v>0.80610975722974443</v>
      </c>
      <c r="S295" s="55" cm="1">
        <f t="array" aca="1" ref="S295" ca="1">MMS_Dairy_Methane_Equations.VEERG_4_3_1_1__1_TotalAnnualMethaneFromManureManagementVariation(0,0,0,F$270,S242,Q$275,F$280,Q$285)</f>
        <v>0.48438156988404663</v>
      </c>
      <c r="T295" s="55" cm="1">
        <f t="array" aca="1" ref="T295" ca="1">MMS_Dairy_Methane_Equations.VEERG_4_3_1_1__1_TotalAnnualMethaneFromManureManagementVariation(G$270,T242,R$275,0,0,0,0,0)</f>
        <v>0.98084621197365474</v>
      </c>
      <c r="U295" s="55" cm="1">
        <f t="array" aca="1" ref="U295" ca="1">MMS_Dairy_Methane_Equations.VEERG_4_3_1_1__1_TotalAnnualMethaneFromManureManagementVariation(0,0,0,H$270,U242,S$275,H$280,S$285)</f>
        <v>0.62427433341565175</v>
      </c>
    </row>
    <row r="296" spans="4:21" x14ac:dyDescent="0.25">
      <c r="D296" s="55" t="str">
        <f>INDEX(X_Table_Dairy_ProductionSystems_Method1,4,1)</f>
        <v>Feed pad</v>
      </c>
      <c r="E296" s="55" t="str">
        <f>INDEX(X_Table_Dairy_Stage1MMS_2_SumpAndDispersal,2,1)</f>
        <v>Sump and dispersal system</v>
      </c>
      <c r="F296" s="55" cm="1">
        <f t="array" aca="1" ref="F296" ca="1">MMS_Dairy_Methane_Equations.VEERG_4_3_1_1__1_TotalAnnualMethaneFromManureManagementVariation(D$270,F243,D$275,0,0,0,0,0)</f>
        <v>1.0631037746619285E-2</v>
      </c>
      <c r="G296" s="55" cm="1">
        <f t="array" aca="1" ref="G296" ca="1">MMS_Dairy_Methane_Equations.VEERG_4_3_1_1__1_TotalAnnualMethaneFromManureManagementVariation(E$270,G243,E$275,0,0,0,0,0)</f>
        <v>4.1875831544402296E-3</v>
      </c>
      <c r="H296" s="55" cm="1">
        <f t="array" aca="1" ref="H296" ca="1">MMS_Dairy_Methane_Equations.VEERG_4_3_1_1__1_TotalAnnualMethaneFromManureManagementVariation(0,0,0,F$270,H243,F$275,F$280,F$285)</f>
        <v>0.14958826789550153</v>
      </c>
      <c r="I296" s="55" cm="1">
        <f t="array" aca="1" ref="I296" ca="1">MMS_Dairy_Methane_Equations.VEERG_4_3_1_1__1_TotalAnnualMethaneFromManureManagementVariation(G$270,I243,G$275,0,0,0,0,0)</f>
        <v>5.095304997265738E-3</v>
      </c>
      <c r="J296" s="55" cm="1">
        <f t="array" aca="1" ref="J296" ca="1">MMS_Dairy_Methane_Equations.VEERG_4_3_1_1__1_TotalAnnualMethaneFromManureManagementVariation(0,0,0,H$270,J243,H$275,H$280,H$285)</f>
        <v>0.17371280173202935</v>
      </c>
      <c r="O296" s="55" t="str">
        <f>INDEX(X_Table_Dairy_ProductionSystems_Method1,4,1)</f>
        <v>Feed pad</v>
      </c>
      <c r="P296" s="55" t="str">
        <f>INDEX(X_Table_Dairy_Stage1MMS_2_SumpAndDispersal,2,1)</f>
        <v>Sump and dispersal system</v>
      </c>
      <c r="Q296" s="55" cm="1">
        <f t="array" aca="1" ref="Q296" ca="1">MMS_Dairy_Methane_Equations.VEERG_4_3_1_1__1_TotalAnnualMethaneFromManureManagementVariation(D$270,Q243,O$275,0,0,0,0,0)</f>
        <v>1.0631037746619285E-2</v>
      </c>
      <c r="R296" s="55" cm="1">
        <f t="array" aca="1" ref="R296" ca="1">MMS_Dairy_Methane_Equations.VEERG_4_3_1_1__1_TotalAnnualMethaneFromManureManagementVariation(E$270,R243,P$275,0,0,0,0,0)</f>
        <v>4.1875831544402296E-3</v>
      </c>
      <c r="S296" s="55" cm="1">
        <f t="array" aca="1" ref="S296" ca="1">MMS_Dairy_Methane_Equations.VEERG_4_3_1_1__1_TotalAnnualMethaneFromManureManagementVariation(0,0,0,F$270,S243,Q$275,F$280,Q$285)</f>
        <v>0.14958826789550153</v>
      </c>
      <c r="T296" s="55" cm="1">
        <f t="array" aca="1" ref="T296" ca="1">MMS_Dairy_Methane_Equations.VEERG_4_3_1_1__1_TotalAnnualMethaneFromManureManagementVariation(G$270,T243,R$275,0,0,0,0,0)</f>
        <v>5.095304997265738E-3</v>
      </c>
      <c r="U296" s="55" cm="1">
        <f t="array" aca="1" ref="U296" ca="1">MMS_Dairy_Methane_Equations.VEERG_4_3_1_1__1_TotalAnnualMethaneFromManureManagementVariation(0,0,0,H$270,U243,S$275,H$280,S$285)</f>
        <v>0.17371280173202935</v>
      </c>
    </row>
    <row r="297" spans="4:21" x14ac:dyDescent="0.25">
      <c r="D297" s="55" t="str">
        <f>INDEX(X_Table_Dairy_ProductionSystems_Method1,4,1)</f>
        <v>Feed pad</v>
      </c>
      <c r="E297" s="55" t="str">
        <f>INDEX(X_Table_Dairy_Stage1MMS_2_DrainsToPaddock,2,1)</f>
        <v>Drains to paddock</v>
      </c>
      <c r="F297" s="55" cm="1">
        <f t="array" aca="1" ref="F297" ca="1">MMS_Dairy_Methane_Equations.VEERG_4_3_1_1__1_TotalAnnualMethaneFromManureManagementVariation(D$270,F244,D$275,0,0,0,0,0)</f>
        <v>0.38271735887829422</v>
      </c>
      <c r="G297" s="55" cm="1">
        <f t="array" aca="1" ref="G297" ca="1">MMS_Dairy_Methane_Equations.VEERG_4_3_1_1__1_TotalAnnualMethaneFromManureManagementVariation(E$270,G244,E$275,0,0,0,0,0)</f>
        <v>0.15075299355984828</v>
      </c>
      <c r="H297" s="55" cm="1">
        <f t="array" aca="1" ref="H297" ca="1">MMS_Dairy_Methane_Equations.VEERG_4_3_1_1__1_TotalAnnualMethaneFromManureManagementVariation(0,0,0,F$270,H244,F$275,F$280,F$285)</f>
        <v>0.21077764423805545</v>
      </c>
      <c r="I297" s="55" cm="1">
        <f t="array" aca="1" ref="I297" ca="1">MMS_Dairy_Methane_Equations.VEERG_4_3_1_1__1_TotalAnnualMethaneFromManureManagementVariation(G$270,I244,G$275,0,0,0,0,0)</f>
        <v>0.18343097990156659</v>
      </c>
      <c r="J297" s="55" cm="1">
        <f t="array" aca="1" ref="J297" ca="1">MMS_Dairy_Methane_Equations.VEERG_4_3_1_1__1_TotalAnnualMethaneFromManureManagementVariation(0,0,0,H$270,J244,H$275,H$280,H$285)</f>
        <v>0.25606086235305697</v>
      </c>
      <c r="O297" s="55" t="str">
        <f>INDEX(X_Table_Dairy_ProductionSystems_Method1,4,1)</f>
        <v>Feed pad</v>
      </c>
      <c r="P297" s="55" t="str">
        <f>INDEX(X_Table_Dairy_Stage1MMS_2_DrainsToPaddock,2,1)</f>
        <v>Drains to paddock</v>
      </c>
      <c r="Q297" s="55" cm="1">
        <f t="array" aca="1" ref="Q297" ca="1">MMS_Dairy_Methane_Equations.VEERG_4_3_1_1__1_TotalAnnualMethaneFromManureManagementVariation(D$270,Q244,O$275,0,0,0,0,0)</f>
        <v>0.46776566085124849</v>
      </c>
      <c r="R297" s="55" cm="1">
        <f t="array" aca="1" ref="R297" ca="1">MMS_Dairy_Methane_Equations.VEERG_4_3_1_1__1_TotalAnnualMethaneFromManureManagementVariation(E$270,R244,P$275,0,0,0,0,0)</f>
        <v>0.18425365879537009</v>
      </c>
      <c r="S297" s="55" cm="1">
        <f t="array" aca="1" ref="S297" ca="1">MMS_Dairy_Methane_Equations.VEERG_4_3_1_1__1_TotalAnnualMethaneFromManureManagementVariation(0,0,0,F$270,S244,Q$275,F$280,Q$285)</f>
        <v>0.22476378740206779</v>
      </c>
      <c r="T297" s="55" cm="1">
        <f t="array" aca="1" ref="T297" ca="1">MMS_Dairy_Methane_Equations.VEERG_4_3_1_1__1_TotalAnnualMethaneFromManureManagementVariation(G$270,T244,R$275,0,0,0,0,0)</f>
        <v>0.22419341987969252</v>
      </c>
      <c r="U297" s="55" cm="1">
        <f t="array" aca="1" ref="U297" ca="1">MMS_Dairy_Methane_Equations.VEERG_4_3_1_1__1_TotalAnnualMethaneFromManureManagementVariation(0,0,0,H$270,U244,S$275,H$280,S$285)</f>
        <v>0.27488327620929182</v>
      </c>
    </row>
    <row r="298" spans="4:21" x14ac:dyDescent="0.25">
      <c r="D298" s="55" t="str">
        <f>INDEX(X_Table_Dairy_ProductionSystems_Method1,4,1)</f>
        <v>Feed pad</v>
      </c>
      <c r="E298" s="55" t="s">
        <v>407</v>
      </c>
      <c r="F298" s="55" cm="1">
        <f t="array" aca="1" ref="F298" ca="1">MMS_Dairy_Methane_Equations.VEERG_4_3_1_1__1_TotalAnnualMethaneFromManureManagementVariation(D$270,F245,D$275,0,0,0,0,0)</f>
        <v>7.4417264226334975E-2</v>
      </c>
      <c r="G298" s="55" cm="1">
        <f t="array" aca="1" ref="G298" ca="1">MMS_Dairy_Methane_Equations.VEERG_4_3_1_1__1_TotalAnnualMethaneFromManureManagementVariation(E$270,G245,E$275,0,0,0,0,0)</f>
        <v>2.9313082081081607E-2</v>
      </c>
      <c r="H298" s="55" cm="1">
        <f t="array" aca="1" ref="H298" ca="1">MMS_Dairy_Methane_Equations.VEERG_4_3_1_1__1_TotalAnnualMethaneFromManureManagementVariation(0,0,0,F$270,H245,F$275,F$280,F$285)</f>
        <v>0.16007787526851078</v>
      </c>
      <c r="I298" s="55" cm="1">
        <f t="array" aca="1" ref="I298" ca="1">MMS_Dairy_Methane_Equations.VEERG_4_3_1_1__1_TotalAnnualMethaneFromManureManagementVariation(G$270,I245,G$275,0,0,0,0,0)</f>
        <v>3.5667134980860167E-2</v>
      </c>
      <c r="J298" s="55" cm="1">
        <f t="array" aca="1" ref="J298" ca="1">MMS_Dairy_Methane_Equations.VEERG_4_3_1_1__1_TotalAnnualMethaneFromManureManagementVariation(0,0,0,H$270,J245,H$275,H$280,H$285)</f>
        <v>0.18782961212420554</v>
      </c>
      <c r="O298" s="55" t="str">
        <f>INDEX(X_Table_Dairy_ProductionSystems_Method1,4,1)</f>
        <v>Feed pad</v>
      </c>
      <c r="P298" s="55" t="s">
        <v>407</v>
      </c>
      <c r="Q298" s="55" cm="1">
        <f t="array" aca="1" ref="Q298" ca="1">MMS_Dairy_Methane_Equations.VEERG_4_3_1_1__1_TotalAnnualMethaneFromManureManagementVariation(D$270,Q245,O$275,0,0,0,0,0)</f>
        <v>7.4417264226334975E-2</v>
      </c>
      <c r="R298" s="55" cm="1">
        <f t="array" aca="1" ref="R298" ca="1">MMS_Dairy_Methane_Equations.VEERG_4_3_1_1__1_TotalAnnualMethaneFromManureManagementVariation(E$270,R245,P$275,0,0,0,0,0)</f>
        <v>2.9313082081081607E-2</v>
      </c>
      <c r="S298" s="55" cm="1">
        <f t="array" aca="1" ref="S298" ca="1">MMS_Dairy_Methane_Equations.VEERG_4_3_1_1__1_TotalAnnualMethaneFromManureManagementVariation(0,0,0,F$270,S245,Q$275,F$280,Q$285)</f>
        <v>0.16007787526851078</v>
      </c>
      <c r="T298" s="55" cm="1">
        <f t="array" aca="1" ref="T298" ca="1">MMS_Dairy_Methane_Equations.VEERG_4_3_1_1__1_TotalAnnualMethaneFromManureManagementVariation(G$270,T245,R$275,0,0,0,0,0)</f>
        <v>3.5667134980860167E-2</v>
      </c>
      <c r="U298" s="55" cm="1">
        <f t="array" aca="1" ref="U298" ca="1">MMS_Dairy_Methane_Equations.VEERG_4_3_1_1__1_TotalAnnualMethaneFromManureManagementVariation(0,0,0,H$270,U245,S$275,H$280,S$285)</f>
        <v>0.18782961212420554</v>
      </c>
    </row>
    <row r="300" spans="4:21" ht="20.25" x14ac:dyDescent="0.25">
      <c r="D300" s="108" t="s">
        <v>130</v>
      </c>
      <c r="E300" s="109">
        <f ca="1">SUM(F290:J298)</f>
        <v>10.314345551795777</v>
      </c>
      <c r="F300" s="110" t="str">
        <f>$E$256</f>
        <v>t CH4</v>
      </c>
      <c r="O300" s="108" t="s">
        <v>422</v>
      </c>
      <c r="P300" s="109">
        <f ca="1">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 ca="1">E300</f>
        <v>10.314345551795777</v>
      </c>
      <c r="H302" s="2"/>
      <c r="O302" s="60" t="str" cm="1">
        <f t="array" ref="O302:P303">Common_Equations.Common_ConvertCH4ToCO2e_Arguments()</f>
        <v>ECH4</v>
      </c>
      <c r="P302" s="61" t="str">
        <v>Methane emissions (t CH4)</v>
      </c>
      <c r="Q302" s="111"/>
      <c r="R302" s="55">
        <f ca="1">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aca="1" ref="E305" ca="1">Common_Equations.Common_ConvertCH4ToCO2e(G302,G303)</f>
        <v>288.80167545028172</v>
      </c>
      <c r="F305" s="112" t="str" cm="1">
        <f t="array" ref="F305">Common_Equations.Common_ConvertN2OToCO2e_Unit()</f>
        <v>t CO2e</v>
      </c>
      <c r="O305" s="48" t="s">
        <v>421</v>
      </c>
      <c r="P305" s="48" cm="1">
        <f t="array" aca="1" ref="P305" ca="1">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45" zoomScale="85" zoomScaleNormal="85" workbookViewId="0">
      <selection activeCell="R122" sqref="R1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INDEX(X_Table_Dairy_Liveweight_Method1,2,2)</f>
        <v>550</v>
      </c>
      <c r="E19" s="55">
        <f>INDEX(X_Table_Dairy_Liveweight_Method1,2,3)</f>
        <v>380</v>
      </c>
      <c r="F19" s="55">
        <f>INDEX(X_Table_Dairy_Liveweight_Method1,2,4)</f>
        <v>155</v>
      </c>
      <c r="G19" s="55">
        <f>INDEX(X_Table_Dairy_Liveweight_Method1,2,5)</f>
        <v>600</v>
      </c>
      <c r="H19" s="55">
        <f>INDEX(X_Table_Dairy_Liveweight_Method1,2,6)</f>
        <v>225</v>
      </c>
      <c r="I19" s="2" t="s">
        <v>195</v>
      </c>
      <c r="N19" s="55">
        <f>INDEX(X_Table_Dairy_Liveweight_Method2,2,2)</f>
        <v>550</v>
      </c>
      <c r="O19" s="55">
        <f>INDEX(X_Table_Dairy_Liveweight_Method2,2,3)</f>
        <v>380</v>
      </c>
      <c r="P19" s="55">
        <f>INDEX(X_Table_Dairy_Liveweight_Method2,2,4)</f>
        <v>155</v>
      </c>
      <c r="Q19" s="55">
        <f>INDEX(X_Table_Dairy_Liveweight_Method2,2,5)</f>
        <v>600</v>
      </c>
      <c r="R19" s="55">
        <f>INDEX(X_Table_Dairy_Liveweight_Method2,2,6)</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INDEX(M1_Table_I_j,2,1)</f>
        <v>18.834317684367193</v>
      </c>
      <c r="E50" s="55">
        <f>INDEX(M1_Table_I_j,2,2)</f>
        <v>7.4188685375999972</v>
      </c>
      <c r="F50" s="55">
        <f>INDEX(M1_Table_I_j,2,3)</f>
        <v>4.0231734662249998</v>
      </c>
      <c r="G50" s="55">
        <f>INDEX(M1_Table_I_j,2,4)</f>
        <v>9.0270202499999979</v>
      </c>
      <c r="H50" s="55">
        <f>INDEX(M1_Table_I_j,2,5)</f>
        <v>5.4143472656250013</v>
      </c>
      <c r="I50" s="2" t="str">
        <f>G42</f>
        <v>kgDM/head/day</v>
      </c>
      <c r="N50" s="55">
        <f>INDEX(M2_Table_I_j,2,1)</f>
        <v>18.834317684367193</v>
      </c>
      <c r="O50" s="55">
        <f>INDEX(M2_Table_I_j,2,2)</f>
        <v>7.4188685375999972</v>
      </c>
      <c r="P50" s="55">
        <f>INDEX(M2_Table_I_j,2,3)</f>
        <v>4.0231734662249998</v>
      </c>
      <c r="Q50" s="55">
        <f>INDEX(M2_Table_I_j,2,4)</f>
        <v>9.0270202499999979</v>
      </c>
      <c r="R50" s="55">
        <f>INDEX(M2_Table_I_j,2,5)</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INDEX(M1_Table_MI_j,2,1)</f>
        <v>9.5798721636071917</v>
      </c>
      <c r="E60" s="55">
        <f>INDEX(M1_Table_MI_j,2,2)</f>
        <v>0</v>
      </c>
      <c r="F60" s="55">
        <f>INDEX(M1_Table_MI_j,2,3)</f>
        <v>0</v>
      </c>
      <c r="G60" s="55">
        <f>INDEX(M1_Table_MI_j,2,4)</f>
        <v>0</v>
      </c>
      <c r="H60" s="55">
        <f>INDEX(M1_Table_MI_j,2,5)</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X_Cell_Dairy_MilkProductionUnit</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INDEX(M1_Table_MP_j_from_solids,2,1)</f>
        <v>0</v>
      </c>
      <c r="E88" s="55">
        <v>0</v>
      </c>
      <c r="F88" s="55">
        <v>0</v>
      </c>
      <c r="G88" s="55">
        <v>0</v>
      </c>
      <c r="H88" s="55">
        <v>0</v>
      </c>
      <c r="I88" s="2" t="str">
        <f>$G$80</f>
        <v>L/head/day</v>
      </c>
      <c r="N88" s="55">
        <f>INDEX(M2_Table_MP_j_from_solids,2,1)</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INDEX(Table_MP_j_Consumer_1,2,1)</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INDEX(X_Table_Dairy_Liveweight_Method1,3,2)</f>
        <v>1.6E-2</v>
      </c>
      <c r="E98" s="55">
        <f>INDEX(X_Table_Dairy_Liveweight_Method1,3,3)</f>
        <v>0.6</v>
      </c>
      <c r="F98" s="55">
        <f>INDEX(X_Table_Dairy_Liveweight_Method1,3,4)</f>
        <v>0.56999999999999995</v>
      </c>
      <c r="G98" s="55">
        <f>INDEX(X_Table_Dairy_Liveweight_Method1,3,5)</f>
        <v>0.1</v>
      </c>
      <c r="H98" s="55">
        <f>INDEX(X_Table_Dairy_Liveweight_Method1,3,6)</f>
        <v>0.8</v>
      </c>
      <c r="I98" s="2" t="str">
        <f>$G$83</f>
        <v>kg/head/day</v>
      </c>
      <c r="N98" s="55">
        <f>INDEX(X_Table_Dairy_Liveweight_Method2,3,2)</f>
        <v>1.6E-2</v>
      </c>
      <c r="O98" s="55">
        <f>INDEX(X_Table_Dairy_Liveweight_Method2,3,3)</f>
        <v>0.6</v>
      </c>
      <c r="P98" s="55">
        <f>INDEX(X_Table_Dairy_Liveweight_Method2,3,4)</f>
        <v>0.56999999999999995</v>
      </c>
      <c r="Q98" s="55">
        <f>INDEX(X_Table_Dairy_Liveweight_Method2,3,5)</f>
        <v>0.1</v>
      </c>
      <c r="R98" s="55">
        <f>INDEX(X_Table_Dairy_Liveweight_Method2,3,6)</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INDEX(X_Table_Dairy_Diet_Method1,3,2)</f>
        <v>0.2</v>
      </c>
      <c r="E121" s="55">
        <f>INDEX(X_Table_Dairy_Diet_Method1,3,3)</f>
        <v>0.2</v>
      </c>
      <c r="F121" s="55">
        <f>INDEX(X_Table_Dairy_Diet_Method1,3,4)</f>
        <v>0.2</v>
      </c>
      <c r="G121" s="55">
        <f>INDEX(X_Table_Dairy_Diet_Method1,3,5)</f>
        <v>0.2</v>
      </c>
      <c r="H121" s="55">
        <f>INDEX(X_Table_Dairy_Diet_Method1,3,6)</f>
        <v>0.2</v>
      </c>
      <c r="I121" s="2" t="str">
        <f>$F$116</f>
        <v>fraction</v>
      </c>
      <c r="N121" s="55">
        <f>INDEX(X_Table_Dairy_Diet_Method2,3,2)</f>
        <v>0.2</v>
      </c>
      <c r="O121" s="55">
        <f>INDEX(X_Table_Dairy_Diet_Method2,3,3)</f>
        <v>0.2</v>
      </c>
      <c r="P121" s="55">
        <f>INDEX(X_Table_Dairy_Diet_Method2,3,4)</f>
        <v>0.2</v>
      </c>
      <c r="Q121" s="55">
        <f>INDEX(X_Table_Dairy_Diet_Method2,3,5)</f>
        <v>0.2</v>
      </c>
      <c r="R121" s="55">
        <f>INDEX(X_Table_Dairy_Diet_Method2,3,6)</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INDEX(X_Table_Dairy_HerdMovement,2,2)</f>
        <v>100</v>
      </c>
      <c r="E166" s="107">
        <f>INDEX(X_Table_Dairy_HerdMovement,2,3)</f>
        <v>100</v>
      </c>
      <c r="F166" s="107">
        <f>INDEX(X_Table_Dairy_HerdMovement,2,4)</f>
        <v>100</v>
      </c>
      <c r="G166" s="107">
        <f>INDEX(X_Table_Dairy_HerdMovement,2,5)</f>
        <v>100</v>
      </c>
      <c r="H166" s="107">
        <f>INDEX(X_Table_Dairy_HerdMovement,2,6)</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INDEX(X_Table_Dairy_DurationOfStay_Method1,2,2)</f>
        <v>365</v>
      </c>
      <c r="E171" s="55">
        <f>INDEX(X_Table_Dairy_DurationOfStay_Method1,2,3)</f>
        <v>365</v>
      </c>
      <c r="F171" s="55">
        <v>0</v>
      </c>
      <c r="G171" s="55">
        <f>INDEX(X_Table_Dairy_DurationOfStay_Method1,2,5)</f>
        <v>365</v>
      </c>
      <c r="H171" s="55">
        <v>0</v>
      </c>
      <c r="I171" s="2" t="str">
        <f>G161</f>
        <v>days</v>
      </c>
      <c r="N171" s="55">
        <f>INDEX(X_Table_Dairy_DurationOfStay_Method2,2,2)</f>
        <v>365</v>
      </c>
      <c r="O171" s="55">
        <f>INDEX(X_Table_Dairy_DurationOfStay_Method2,2,3)</f>
        <v>365</v>
      </c>
      <c r="P171" s="55">
        <v>0</v>
      </c>
      <c r="Q171" s="55">
        <f>INDEX(X_Table_Dairy_DurationOfStay_Method2,2,5)</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INDEX(X_Table_Dairy_DurationOfStay_Method1,2,4)</f>
        <v>281</v>
      </c>
      <c r="G203" s="55">
        <v>0</v>
      </c>
      <c r="H203" s="55">
        <f>INDEX(X_Table_Dairy_DurationOfStay_Method1,2,6)</f>
        <v>281</v>
      </c>
      <c r="I203" s="2" t="str">
        <f>$G$192</f>
        <v>days</v>
      </c>
      <c r="N203" s="55">
        <v>0</v>
      </c>
      <c r="O203" s="55">
        <v>0</v>
      </c>
      <c r="P203" s="55">
        <f>INDEX(X_Table_Dairy_DurationOfStay_Method2,2,4)</f>
        <v>281</v>
      </c>
      <c r="Q203" s="55">
        <v>0</v>
      </c>
      <c r="R203" s="55">
        <f>INDEX(X_Table_Dairy_DurationOfStay_Method2,2,6)</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INDEX(X_Table_Dairy_DurationOfStay_Method1,3,2)</f>
        <v>0</v>
      </c>
      <c r="E208" s="55">
        <f>INDEX(X_Table_Dairy_DurationOfStay_Method1,3,3)</f>
        <v>0</v>
      </c>
      <c r="F208" s="55">
        <f>INDEX(X_Table_Dairy_DurationOfStay_Method1,3,4)</f>
        <v>84</v>
      </c>
      <c r="G208" s="55">
        <f>INDEX(X_Table_Dairy_DurationOfStay_Method1,3,5)</f>
        <v>0</v>
      </c>
      <c r="H208" s="55">
        <f>INDEX(X_Table_Dairy_DurationOfStay_Method1,3,6)</f>
        <v>84</v>
      </c>
      <c r="I208" s="2" t="str">
        <f>$G$193</f>
        <v>days</v>
      </c>
      <c r="N208" s="55">
        <f>INDEX(X_Table_Dairy_DurationOfStay_Method1,3,2)</f>
        <v>0</v>
      </c>
      <c r="O208" s="55">
        <f>INDEX(X_Table_Dairy_DurationOfStay_Method1,3,3)</f>
        <v>0</v>
      </c>
      <c r="P208" s="55">
        <f>INDEX(X_Table_Dairy_DurationOfStay_Method2,3,4)</f>
        <v>84</v>
      </c>
      <c r="Q208" s="55">
        <f>INDEX(X_Table_Dairy_DurationOfStay_Method1,3,5)</f>
        <v>0</v>
      </c>
      <c r="R208" s="55">
        <f>INDEX(X_Table_Dairy_DurationOfStay_Method2,3,6)</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t="str" cm="1">
        <f t="array" aca="1" ref="J226" ca="1">HYPERLINK(Common_InputFunctions.Utility_SourceHyperlink($D$228),$D$228)</f>
        <v>M1_Table_MMS_j_m</v>
      </c>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INDEX(X_Table_Dairy_ProductionSystems_Method1,3,1)</f>
        <v>Milking shed</v>
      </c>
      <c r="E231" s="55" t="str">
        <f>INDEX(X_Table_Dairy_Stage1MMS_1_AnaerobicLagoon,2,1)</f>
        <v>Anaerobic lagoon</v>
      </c>
      <c r="F231" s="55" cm="1">
        <f t="array" ref="F231">InputFunctions_Dairy.CalculateFractionInMMSAfterSolidSeparation(INDEX(X_Table_Dairy_ProductionSystems_Method1, 3, 2),INDEX(X_Table_Dairy_Stage1MMS_1_AnaerobicLagoon,2,2),X_Cell_Dairy_Stage1MMS_1_AnaerobicLagoon_AmountSeparated_Method1)</f>
        <v>2.2000000000000002E-2</v>
      </c>
      <c r="G231" s="55" cm="1">
        <f t="array" ref="G231">InputFunctions_Dairy.CalculateFractionInMMSAfterSolidSeparation(INDEX(X_Table_Dairy_ProductionSystems_Method1, 3, 3),INDEX(X_Table_Dairy_Stage1MMS_1_AnaerobicLagoon,2,3),X_Cell_Dairy_Stage1MMS_1_AnaerobicLagoon_AmountSeparated_Method1)</f>
        <v>2.2000000000000002E-2</v>
      </c>
      <c r="H231" s="55" cm="1">
        <f t="array" ref="H231">InputFunctions_Dairy.CalculateFractionInMMSAfterSolidSeparation(INDEX(X_Table_Dairy_ProductionSystems_Method1, 3, 4),INDEX(X_Table_Dairy_Stage1MMS_1_AnaerobicLagoon,2,4),X_Cell_Dairy_Stage1MMS_1_AnaerobicLagoon_AmountSeparated_Method1)</f>
        <v>2.2000000000000002E-2</v>
      </c>
      <c r="I231" s="55" cm="1">
        <f t="array" ref="I231">InputFunctions_Dairy.CalculateFractionInMMSAfterSolidSeparation(INDEX(X_Table_Dairy_ProductionSystems_Method1, 3, 5),INDEX(X_Table_Dairy_Stage1MMS_1_AnaerobicLagoon,2,5),X_Cell_Dairy_Stage1MMS_1_AnaerobicLagoon_AmountSeparated_Method1)</f>
        <v>2.2000000000000002E-2</v>
      </c>
      <c r="J231" s="55" cm="1">
        <f t="array" ref="J231">InputFunctions_Dairy.CalculateFractionInMMSAfterSolidSeparation(INDEX(X_Table_Dairy_ProductionSystems_Method1, 3, 6),INDEX(X_Table_Dairy_Stage1MMS_1_AnaerobicLagoon,2,6),X_Cell_Dairy_Stage1MMS_1_AnaerobicLagoon_AmountSeparated_Method1)</f>
        <v>2.2000000000000002E-2</v>
      </c>
      <c r="N231" s="55" t="str">
        <f>INDEX(X_Table_Dairy_ProductionSystems_Method1,3,1)</f>
        <v>Milking shed</v>
      </c>
      <c r="O231" s="55" t="str">
        <f>INDEX(X_Table_Dairy_Stage1MMS_1_AnaerobicLagoon,2,1)</f>
        <v>Anaerobic lagoon</v>
      </c>
      <c r="P231" s="55" cm="1">
        <f t="array" ref="P231">InputFunctions_Dairy.CalculateFractionInMMSAfterSolidSeparation(INDEX(X_Table_Dairy_ProductionSystems_Method2, 3, 2),INDEX(X_Table_Dairy_Stage1MMS_1_AnaerobicLagoon,2,2),X_Cell_Dairy_Stage1MMS_1_AnaerobicLagoon_AmountSeparated_Method2)</f>
        <v>2.2000000000000002E-2</v>
      </c>
      <c r="Q231" s="55" cm="1">
        <f t="array" ref="Q231">InputFunctions_Dairy.CalculateFractionInMMSAfterSolidSeparation(INDEX(X_Table_Dairy_ProductionSystems_Method2, 3, 3),INDEX(X_Table_Dairy_Stage1MMS_1_AnaerobicLagoon,2,3),X_Cell_Dairy_Stage1MMS_1_AnaerobicLagoon_AmountSeparated_Method2)</f>
        <v>2.2000000000000002E-2</v>
      </c>
      <c r="R231" s="55" cm="1">
        <f t="array" ref="R231">InputFunctions_Dairy.CalculateFractionInMMSAfterSolidSeparation(INDEX(X_Table_Dairy_ProductionSystems_Method2, 3, 4),INDEX(X_Table_Dairy_Stage1MMS_1_AnaerobicLagoon,2,4),X_Cell_Dairy_Stage1MMS_1_AnaerobicLagoon_AmountSeparated_Method2)</f>
        <v>2.2000000000000002E-2</v>
      </c>
      <c r="S231" s="55" cm="1">
        <f t="array" ref="S231">InputFunctions_Dairy.CalculateFractionInMMSAfterSolidSeparation(INDEX(X_Table_Dairy_ProductionSystems_Method2, 3, 5),INDEX(X_Table_Dairy_Stage1MMS_1_AnaerobicLagoon,2,5),X_Cell_Dairy_Stage1MMS_1_AnaerobicLagoon_AmountSeparated_Method2)</f>
        <v>2.2000000000000002E-2</v>
      </c>
      <c r="T231" s="5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5" t="str">
        <f>INDEX(X_Table_Dairy_ProductionSystems_Method1,3,1)</f>
        <v>Milking shed</v>
      </c>
      <c r="E232" s="55" t="str">
        <f>INDEX(X_Table_Dairy_Stage1MMS_1_SumpAndDispersal,2,1)</f>
        <v>Sump and dispersal system</v>
      </c>
      <c r="F232" s="5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5" t="str">
        <f>INDEX(X_Table_Dairy_ProductionSystems_Method1,3,1)</f>
        <v>Milking shed</v>
      </c>
      <c r="O232" s="55" t="str">
        <f>INDEX(X_Table_Dairy_Stage1MMS_1_SumpAndDispersal,2,1)</f>
        <v>Sump and dispersal system</v>
      </c>
      <c r="P232" s="5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5" t="str">
        <f>INDEX(X_Table_Dairy_ProductionSystems_Method1,3,1)</f>
        <v>Milking shed</v>
      </c>
      <c r="E233" s="55" t="str">
        <f>INDEX(X_Table_Dairy_Stage1MMS_1_DrainsToPaddock,2,1)</f>
        <v>Drains to paddock</v>
      </c>
      <c r="F233" s="55" cm="1">
        <f t="array" ref="F233">InputFunctions_Dairy.CalculateFractionInMMSAfterSolidSeparation(INDEX(X_Table_Dairy_ProductionSystems_Method1, 3, 2),INDEX(X_Table_Dairy_Stage1MMS_1_DrainsToPaddock,2,2),X_Cell_Dairy_Stage1MMS_1_AnaerobicLagoon_AmountSeparated_Method1)</f>
        <v>2.2000000000000002E-2</v>
      </c>
      <c r="G233" s="55" cm="1">
        <f t="array" ref="G233">InputFunctions_Dairy.CalculateFractionInMMSAfterSolidSeparation(INDEX(X_Table_Dairy_ProductionSystems_Method1, 3, 3),INDEX(X_Table_Dairy_Stage1MMS_1_DrainsToPaddock,2,3),X_Cell_Dairy_Stage1MMS_1_AnaerobicLagoon_AmountSeparated_Method1)</f>
        <v>2.2000000000000002E-2</v>
      </c>
      <c r="H233" s="55" cm="1">
        <f t="array" ref="H233">InputFunctions_Dairy.CalculateFractionInMMSAfterSolidSeparation(INDEX(X_Table_Dairy_ProductionSystems_Method1, 3, 4),INDEX(X_Table_Dairy_Stage1MMS_1_DrainsToPaddock,2,4),X_Cell_Dairy_Stage1MMS_1_AnaerobicLagoon_AmountSeparated_Method1)</f>
        <v>2.2000000000000002E-2</v>
      </c>
      <c r="I233" s="55" cm="1">
        <f t="array" ref="I233">InputFunctions_Dairy.CalculateFractionInMMSAfterSolidSeparation(INDEX(X_Table_Dairy_ProductionSystems_Method1, 3, 5),INDEX(X_Table_Dairy_Stage1MMS_1_DrainsToPaddock,2,5),X_Cell_Dairy_Stage1MMS_1_AnaerobicLagoon_AmountSeparated_Method1)</f>
        <v>2.2000000000000002E-2</v>
      </c>
      <c r="J233" s="55" cm="1">
        <f t="array" ref="J233">InputFunctions_Dairy.CalculateFractionInMMSAfterSolidSeparation(INDEX(X_Table_Dairy_ProductionSystems_Method1, 3, 6),INDEX(X_Table_Dairy_Stage1MMS_1_DrainsToPaddock,2,6),X_Cell_Dairy_Stage1MMS_1_AnaerobicLagoon_AmountSeparated_Method1)</f>
        <v>2.2000000000000002E-2</v>
      </c>
      <c r="N233" s="55" t="str">
        <f>INDEX(X_Table_Dairy_ProductionSystems_Method1,3,1)</f>
        <v>Milking shed</v>
      </c>
      <c r="O233" s="55" t="str">
        <f>INDEX(X_Table_Dairy_Stage1MMS_1_DrainsToPaddock,2,1)</f>
        <v>Drains to paddock</v>
      </c>
      <c r="P233" s="55" cm="1">
        <f t="array" ref="P233">InputFunctions_Dairy.CalculateFractionInMMSAfterSolidSeparation(INDEX(X_Table_Dairy_ProductionSystems_Method2, 3, 2),INDEX(X_Table_Dairy_Stage1MMS_1_DrainsToPaddock,2,2),X_Cell_Dairy_Stage1MMS_1_AnaerobicLagoon_AmountSeparated_Method2)</f>
        <v>2.2000000000000002E-2</v>
      </c>
      <c r="Q233" s="55" cm="1">
        <f t="array" ref="Q233">InputFunctions_Dairy.CalculateFractionInMMSAfterSolidSeparation(INDEX(X_Table_Dairy_ProductionSystems_Method2, 3, 3),INDEX(X_Table_Dairy_Stage1MMS_1_DrainsToPaddock,2,3),X_Cell_Dairy_Stage1MMS_1_AnaerobicLagoon_AmountSeparated_Method2)</f>
        <v>2.2000000000000002E-2</v>
      </c>
      <c r="R233" s="55" cm="1">
        <f t="array" ref="R233">InputFunctions_Dairy.CalculateFractionInMMSAfterSolidSeparation(INDEX(X_Table_Dairy_ProductionSystems_Method2, 3, 4),INDEX(X_Table_Dairy_Stage1MMS_1_DrainsToPaddock,2,4),X_Cell_Dairy_Stage1MMS_1_AnaerobicLagoon_AmountSeparated_Method2)</f>
        <v>2.2000000000000002E-2</v>
      </c>
      <c r="S233" s="55" cm="1">
        <f t="array" ref="S233">InputFunctions_Dairy.CalculateFractionInMMSAfterSolidSeparation(INDEX(X_Table_Dairy_ProductionSystems_Method2, 3, 5),INDEX(X_Table_Dairy_Stage1MMS_1_DrainsToPaddock,2,5),X_Cell_Dairy_Stage1MMS_1_AnaerobicLagoon_AmountSeparated_Method2)</f>
        <v>2.2000000000000002E-2</v>
      </c>
      <c r="T233" s="5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5" t="str">
        <f>INDEX(X_Table_Dairy_ProductionSystems_Method1,3,1)</f>
        <v>Milking shed</v>
      </c>
      <c r="E234" s="55" t="s">
        <v>407</v>
      </c>
      <c r="F234" s="5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5" t="str">
        <f>INDEX(X_Table_Dairy_ProductionSystems_Method1,3,1)</f>
        <v>Milking shed</v>
      </c>
      <c r="O234" s="55" t="s">
        <v>407</v>
      </c>
      <c r="P234" s="5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5" t="str">
        <f>INDEX(X_Table_Dairy_ProductionSystems_Method1,4,1)</f>
        <v>Feed pad</v>
      </c>
      <c r="E235" s="55" t="str">
        <f>INDEX(X_Table_Dairy_Stage1MMS_2_AnaerobicLagoon,2,1)</f>
        <v>Anaerobic lagoon</v>
      </c>
      <c r="F235" s="55" cm="1">
        <f t="array" ref="F235">InputFunctions_Dairy.CalculateFractionInMMSAfterSolidSeparation(INDEX(X_Table_Dairy_ProductionSystems_Method1, 4, 2),INDEX(X_Table_Dairy_Stage1MMS_2_AnaerobicLagoon,2,2),X_Cell_Dairy_Stage1MMS_2_AnaerobicLagoon_AmountSeparated_Method1)</f>
        <v>8.8999999999999996E-2</v>
      </c>
      <c r="G235" s="55" cm="1">
        <f t="array" ref="G235">InputFunctions_Dairy.CalculateFractionInMMSAfterSolidSeparation(INDEX(X_Table_Dairy_ProductionSystems_Method1, 4, 3),INDEX(X_Table_Dairy_Stage1MMS_2_AnaerobicLagoon,2,3),X_Cell_Dairy_Stage1MMS_2_AnaerobicLagoon_AmountSeparated_Method1)</f>
        <v>8.8999999999999996E-2</v>
      </c>
      <c r="H235" s="55" cm="1">
        <f t="array" ref="H235">InputFunctions_Dairy.CalculateFractionInMMSAfterSolidSeparation(INDEX(X_Table_Dairy_ProductionSystems_Method1, 4, 4),INDEX(X_Table_Dairy_Stage1MMS_2_AnaerobicLagoon,2,4),X_Cell_Dairy_Stage1MMS_2_AnaerobicLagoon_AmountSeparated_Method1)</f>
        <v>8.8999999999999996E-2</v>
      </c>
      <c r="I235" s="55" cm="1">
        <f t="array" ref="I235">InputFunctions_Dairy.CalculateFractionInMMSAfterSolidSeparation(INDEX(X_Table_Dairy_ProductionSystems_Method1, 4, 5),INDEX(X_Table_Dairy_Stage1MMS_2_AnaerobicLagoon,2,5),X_Cell_Dairy_Stage1MMS_2_AnaerobicLagoon_AmountSeparated_Method1)</f>
        <v>8.8999999999999996E-2</v>
      </c>
      <c r="J235" s="55" cm="1">
        <f t="array" ref="J235">InputFunctions_Dairy.CalculateFractionInMMSAfterSolidSeparation(INDEX(X_Table_Dairy_ProductionSystems_Method1, 4, 6),INDEX(X_Table_Dairy_Stage1MMS_2_AnaerobicLagoon,2,6),X_Cell_Dairy_Stage1MMS_2_AnaerobicLagoon_AmountSeparated_Method1)</f>
        <v>8.8999999999999996E-2</v>
      </c>
      <c r="N235" s="55" t="str">
        <f>INDEX(X_Table_Dairy_ProductionSystems_Method1,4,1)</f>
        <v>Feed pad</v>
      </c>
      <c r="O235" s="55" t="str">
        <f>INDEX(X_Table_Dairy_Stage1MMS_2_AnaerobicLagoon,2,1)</f>
        <v>Anaerobic lagoon</v>
      </c>
      <c r="P235" s="55" cm="1">
        <f t="array" ref="P235">InputFunctions_Dairy.CalculateFractionInMMSAfterSolidSeparation(INDEX(X_Table_Dairy_ProductionSystems_Method2, 4, 2),INDEX(X_Table_Dairy_Stage1MMS_2_AnaerobicLagoon,2,2),X_Cell_Dairy_Stage1MMS_2_AnaerobicLagoon_AmountSeparated_Method2)</f>
        <v>8.8999999999999996E-2</v>
      </c>
      <c r="Q235" s="55" cm="1">
        <f t="array" ref="Q235">InputFunctions_Dairy.CalculateFractionInMMSAfterSolidSeparation(INDEX(X_Table_Dairy_ProductionSystems_Method2, 4, 3),INDEX(X_Table_Dairy_Stage1MMS_2_AnaerobicLagoon,2,3),X_Cell_Dairy_Stage1MMS_2_AnaerobicLagoon_AmountSeparated_Method2)</f>
        <v>8.8999999999999996E-2</v>
      </c>
      <c r="R235" s="55" cm="1">
        <f t="array" ref="R235">InputFunctions_Dairy.CalculateFractionInMMSAfterSolidSeparation(INDEX(X_Table_Dairy_ProductionSystems_Method2, 4, 4),INDEX(X_Table_Dairy_Stage1MMS_2_AnaerobicLagoon,2,4),X_Cell_Dairy_Stage1MMS_2_AnaerobicLagoon_AmountSeparated_Method2)</f>
        <v>8.8999999999999996E-2</v>
      </c>
      <c r="S235" s="55" cm="1">
        <f t="array" ref="S235">InputFunctions_Dairy.CalculateFractionInMMSAfterSolidSeparation(INDEX(X_Table_Dairy_ProductionSystems_Method2, 4, 5),INDEX(X_Table_Dairy_Stage1MMS_2_AnaerobicLagoon,2,5),X_Cell_Dairy_Stage1MMS_2_AnaerobicLagoon_AmountSeparated_Method2)</f>
        <v>8.8999999999999996E-2</v>
      </c>
      <c r="T235" s="5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5" t="str">
        <f>INDEX(X_Table_Dairy_ProductionSystems_Method1,4,1)</f>
        <v>Feed pad</v>
      </c>
      <c r="E236" s="55" t="str">
        <f>INDEX(X_Table_Dairy_Stage1MMS_2_SumpAndDispersal,2,1)</f>
        <v>Sump and dispersal system</v>
      </c>
      <c r="F236" s="5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5" t="str">
        <f>INDEX(X_Table_Dairy_ProductionSystems_Method1,4,1)</f>
        <v>Feed pad</v>
      </c>
      <c r="O236" s="55" t="str">
        <f>INDEX(X_Table_Dairy_Stage1MMS_2_SumpAndDispersal,2,1)</f>
        <v>Sump and dispersal system</v>
      </c>
      <c r="P236" s="5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5" t="str">
        <f>INDEX(X_Table_Dairy_ProductionSystems_Method1,4,1)</f>
        <v>Feed pad</v>
      </c>
      <c r="E237" s="55" t="str">
        <f>INDEX(X_Table_Dairy_Stage1MMS_2_DrainsToPaddock,2,1)</f>
        <v>Drains to paddock</v>
      </c>
      <c r="F237" s="55" cm="1">
        <f t="array" ref="F237">InputFunctions_Dairy.CalculateFractionInMMSAfterSolidSeparation(INDEX(X_Table_Dairy_ProductionSystems_Method1, 4, 2),INDEX(X_Table_Dairy_Stage1MMS_2_DrainsToPaddock,2,2),X_Cell_Dairy_Stage1MMS_2_DrainsToPaddock_AmountSeparated_Method1)</f>
        <v>7.1199999999999999E-2</v>
      </c>
      <c r="G237" s="55" cm="1">
        <f t="array" ref="G237">InputFunctions_Dairy.CalculateFractionInMMSAfterSolidSeparation(INDEX(X_Table_Dairy_ProductionSystems_Method1, 4, 3),INDEX(X_Table_Dairy_Stage1MMS_2_DrainsToPaddock,2,3),X_Cell_Dairy_Stage1MMS_2_DrainsToPaddock_AmountSeparated_Method1)</f>
        <v>7.1199999999999999E-2</v>
      </c>
      <c r="H237" s="55" cm="1">
        <f t="array" ref="H237">InputFunctions_Dairy.CalculateFractionInMMSAfterSolidSeparation(INDEX(X_Table_Dairy_ProductionSystems_Method1, 4, 4),INDEX(X_Table_Dairy_Stage1MMS_2_DrainsToPaddock,2,4),X_Cell_Dairy_Stage1MMS_2_DrainsToPaddock_AmountSeparated_Method1)</f>
        <v>7.1199999999999999E-2</v>
      </c>
      <c r="I237" s="55" cm="1">
        <f t="array" ref="I237">InputFunctions_Dairy.CalculateFractionInMMSAfterSolidSeparation(INDEX(X_Table_Dairy_ProductionSystems_Method1, 4, 5),INDEX(X_Table_Dairy_Stage1MMS_2_DrainsToPaddock,2,5),X_Cell_Dairy_Stage1MMS_2_DrainsToPaddock_AmountSeparated_Method1)</f>
        <v>7.1199999999999999E-2</v>
      </c>
      <c r="J237" s="55" cm="1">
        <f t="array" ref="J237">InputFunctions_Dairy.CalculateFractionInMMSAfterSolidSeparation(INDEX(X_Table_Dairy_ProductionSystems_Method1, 4, 6),INDEX(X_Table_Dairy_Stage1MMS_2_DrainsToPaddock,2,6),X_Cell_Dairy_Stage1MMS_2_DrainsToPaddock_AmountSeparated_Method1)</f>
        <v>7.1199999999999999E-2</v>
      </c>
      <c r="N237" s="55" t="str">
        <f>INDEX(X_Table_Dairy_ProductionSystems_Method1,4,1)</f>
        <v>Feed pad</v>
      </c>
      <c r="O237" s="55" t="str">
        <f>INDEX(X_Table_Dairy_Stage1MMS_2_DrainsToPaddock,2,1)</f>
        <v>Drains to paddock</v>
      </c>
      <c r="P237" s="55" cm="1">
        <f t="array" ref="P237">InputFunctions_Dairy.CalculateFractionInMMSAfterSolidSeparation(INDEX(X_Table_Dairy_ProductionSystems_Method2, 4, 2),INDEX(X_Table_Dairy_Stage1MMS_2_DrainsToPaddock,2,2),X_Cell_Dairy_Stage1MMS_2_DrainsToPaddock_AmountSeparated_Method2)</f>
        <v>7.1199999999999999E-2</v>
      </c>
      <c r="Q237" s="55" cm="1">
        <f t="array" ref="Q237">InputFunctions_Dairy.CalculateFractionInMMSAfterSolidSeparation(INDEX(X_Table_Dairy_ProductionSystems_Method2, 4, 3),INDEX(X_Table_Dairy_Stage1MMS_2_DrainsToPaddock,2,3),X_Cell_Dairy_Stage1MMS_2_DrainsToPaddock_AmountSeparated_Method2)</f>
        <v>7.1199999999999999E-2</v>
      </c>
      <c r="R237" s="55" cm="1">
        <f t="array" ref="R237">InputFunctions_Dairy.CalculateFractionInMMSAfterSolidSeparation(INDEX(X_Table_Dairy_ProductionSystems_Method2, 4, 4),INDEX(X_Table_Dairy_Stage1MMS_2_DrainsToPaddock,2,4),X_Cell_Dairy_Stage1MMS_2_DrainsToPaddock_AmountSeparated_Method2)</f>
        <v>7.1199999999999999E-2</v>
      </c>
      <c r="S237" s="55" cm="1">
        <f t="array" ref="S237">InputFunctions_Dairy.CalculateFractionInMMSAfterSolidSeparation(INDEX(X_Table_Dairy_ProductionSystems_Method2, 4, 5),INDEX(X_Table_Dairy_Stage1MMS_2_DrainsToPaddock,2,5),X_Cell_Dairy_Stage1MMS_2_DrainsToPaddock_AmountSeparated_Method2)</f>
        <v>7.1199999999999999E-2</v>
      </c>
      <c r="T237" s="5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5" t="str">
        <f>INDEX(X_Table_Dairy_ProductionSystems_Method1,4,1)</f>
        <v>Feed pad</v>
      </c>
      <c r="E238" s="55" t="s">
        <v>407</v>
      </c>
      <c r="F238" s="5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5" t="str">
        <f>INDEX(X_Table_Dairy_ProductionSystems_Method1,4,1)</f>
        <v>Feed pad</v>
      </c>
      <c r="O238" s="55" t="str">
        <f>INDEX(X_Table_Dairy_Stage1MMS_2_SolidStorage,2,1)</f>
        <v>Solid storage (before solid separation)</v>
      </c>
      <c r="P238" s="5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INDEX(X_Table_Dairy_ProductionSystems_Method1,3,1)</f>
        <v>Milking shed</v>
      </c>
      <c r="E243" s="55" t="str">
        <f>INDEX(X_Table_Dairy_Stage1MMS_1_AnaerobicLagoon,2,1)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INDEX(X_Table_Dairy_ProductionSystems_Method1,3,1)</f>
        <v>Milking shed</v>
      </c>
      <c r="O243" s="55" t="str">
        <f>INDEX(X_Table_Dairy_Stage1MMS_1_AnaerobicLagoon,2,1)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INDEX(X_Table_Dairy_ProductionSystems_Method1,3,1)</f>
        <v>Milking shed</v>
      </c>
      <c r="E244" s="55" t="str">
        <f>INDEX(X_Table_Dairy_Stage1MMS_1_SumpAndDispersal,2,1)</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INDEX(X_Table_Dairy_ProductionSystems_Method1,3,1)</f>
        <v>Milking shed</v>
      </c>
      <c r="O244" s="55" t="str">
        <f>INDEX(X_Table_Dairy_Stage1MMS_1_SumpAndDispersal,2,1)</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INDEX(X_Table_Dairy_ProductionSystems_Method1,3,1)</f>
        <v>Milking shed</v>
      </c>
      <c r="E245" s="55" t="str">
        <f>INDEX(X_Table_Dairy_Stage1MMS_1_DrainsToPaddock,2,1)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INDEX(X_Table_Dairy_ProductionSystems_Method1,3,1)</f>
        <v>Milking shed</v>
      </c>
      <c r="O245" s="55" t="str">
        <f>INDEX(X_Table_Dairy_Stage1MMS_1_DrainsToPaddock,2,1)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INDEX(X_Table_Dairy_ProductionSystems_Method1,3,1)</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INDEX(X_Table_Dairy_ProductionSystems_Method1,3,1)</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INDEX(X_Table_Dairy_ProductionSystems_Method1,4,1)</f>
        <v>Feed pad</v>
      </c>
      <c r="E247" s="55" t="str">
        <f>INDEX(X_Table_Dairy_Stage1MMS_2_AnaerobicLagoon,2,1)</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INDEX(X_Table_Dairy_ProductionSystems_Method1,4,1)</f>
        <v>Feed pad</v>
      </c>
      <c r="O247" s="55" t="str">
        <f>INDEX(X_Table_Dairy_Stage1MMS_2_AnaerobicLagoon,2,1)</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INDEX(X_Table_Dairy_ProductionSystems_Method1,4,1)</f>
        <v>Feed pad</v>
      </c>
      <c r="E248" s="55" t="str">
        <f>INDEX(X_Table_Dairy_Stage1MMS_2_SumpAndDispersal,2,1)</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INDEX(X_Table_Dairy_ProductionSystems_Method1,4,1)</f>
        <v>Feed pad</v>
      </c>
      <c r="O248" s="55" t="str">
        <f>INDEX(X_Table_Dairy_Stage1MMS_2_SumpAndDispersal,2,1)</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INDEX(X_Table_Dairy_ProductionSystems_Method1,4,1)</f>
        <v>Feed pad</v>
      </c>
      <c r="E249" s="55" t="str">
        <f>INDEX(X_Table_Dairy_Stage1MMS_2_DrainsToPaddock,2,1)</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INDEX(X_Table_Dairy_ProductionSystems_Method1,4,1)</f>
        <v>Feed pad</v>
      </c>
      <c r="O249" s="55" t="str">
        <f>INDEX(X_Table_Dairy_Stage1MMS_2_DrainsToPaddock,2,1)</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INDEX(X_Table_Dairy_ProductionSystems_Method1,4,1)</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INDEX(X_Table_Dairy_ProductionSystems_Method1,4,1)</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INDEX(X_Table_Dairy_ProductionSystems_Method1,3,1)</f>
        <v>Milking shed</v>
      </c>
      <c r="E278" s="55" t="str">
        <f>INDEX(X_Table_Dairy_Stage1MMS_1_AnaerobicLagoon,2,1)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INDEX(X_Table_Dairy_ProductionSystems_Method1,3,1)</f>
        <v>Milking shed</v>
      </c>
      <c r="O278" s="55" t="str">
        <f>INDEX(X_Table_Dairy_Stage1MMS_1_AnaerobicLagoon,2,1)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INDEX(X_Table_Dairy_ProductionSystems_Method1,3,1)</f>
        <v>Milking shed</v>
      </c>
      <c r="E279" s="55" t="str">
        <f>INDEX(X_Table_Dairy_Stage1MMS_1_SumpAndDispersal,2,1)</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INDEX(X_Table_Dairy_ProductionSystems_Method1,3,1)</f>
        <v>Milking shed</v>
      </c>
      <c r="O279" s="55" t="str">
        <f>INDEX(X_Table_Dairy_Stage1MMS_1_SumpAndDispersal,2,1)</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INDEX(X_Table_Dairy_ProductionSystems_Method1,3,1)</f>
        <v>Milking shed</v>
      </c>
      <c r="E280" s="55" t="str">
        <f>INDEX(X_Table_Dairy_Stage1MMS_1_DrainsToPaddock,2,1)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INDEX(X_Table_Dairy_ProductionSystems_Method1,3,1)</f>
        <v>Milking shed</v>
      </c>
      <c r="O280" s="55" t="str">
        <f>INDEX(X_Table_Dairy_Stage1MMS_1_DrainsToPaddock,2,1)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INDEX(X_Table_Dairy_ProductionSystems_Method1,3,1)</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INDEX(X_Table_Dairy_ProductionSystems_Method1,3,1)</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INDEX(X_Table_Dairy_ProductionSystems_Method1,4,1)</f>
        <v>Feed pad</v>
      </c>
      <c r="E282" s="55" t="str">
        <f>INDEX(X_Table_Dairy_Stage1MMS_2_AnaerobicLagoon,2,1)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INDEX(X_Table_Dairy_ProductionSystems_Method1,4,1)</f>
        <v>Feed pad</v>
      </c>
      <c r="O282" s="55" t="str">
        <f>INDEX(X_Table_Dairy_Stage1MMS_2_AnaerobicLagoon,2,1)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INDEX(X_Table_Dairy_ProductionSystems_Method1,4,1)</f>
        <v>Feed pad</v>
      </c>
      <c r="E283" s="55" t="str">
        <f>INDEX(X_Table_Dairy_Stage1MMS_2_SumpAndDispersal,2,1)</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INDEX(X_Table_Dairy_ProductionSystems_Method1,4,1)</f>
        <v>Feed pad</v>
      </c>
      <c r="O283" s="55" t="str">
        <f>INDEX(X_Table_Dairy_Stage1MMS_2_SumpAndDispersal,2,1)</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INDEX(X_Table_Dairy_ProductionSystems_Method1,4,1)</f>
        <v>Feed pad</v>
      </c>
      <c r="E284" s="55" t="str">
        <f>INDEX(X_Table_Dairy_Stage1MMS_2_DrainsToPaddock,2,1)</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INDEX(X_Table_Dairy_ProductionSystems_Method1,4,1)</f>
        <v>Feed pad</v>
      </c>
      <c r="O284" s="55" t="str">
        <f>INDEX(X_Table_Dairy_Stage1MMS_2_DrainsToPaddock,2,1)</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INDEX(X_Table_Dairy_ProductionSystems_Method1,4,1)</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INDEX(X_Table_Dairy_ProductionSystems_Method1,4,1)</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8" workbookViewId="0">
      <selection activeCell="I61" sqref="I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INDEX(X_Table_Dairy_ProductionSystems_Method1,3,1)</f>
        <v>Milking shed</v>
      </c>
      <c r="E19" s="55" t="str">
        <f>INDEX(X_Table_Dairy_Stage1MMS_1_AnaerobicLagoon,2,1)</f>
        <v>Anaerobic lagoon</v>
      </c>
      <c r="F19" s="55">
        <f>INDEX(M1_Table_MN_j_m,2,3)</f>
        <v>468.93940857160464</v>
      </c>
      <c r="G19" s="55">
        <f>INDEX(M1_Table_MN_j_m,2,4)</f>
        <v>182.35790267782079</v>
      </c>
      <c r="H19" s="55">
        <f>INDEX(M1_Table_MN_j_m,2,5)</f>
        <v>72.631224123843424</v>
      </c>
      <c r="I19" s="55">
        <f>INDEX(M1_Table_MN_j_m,2,6)</f>
        <v>229.23109573986844</v>
      </c>
      <c r="J19" s="55">
        <f>INDEX(M1_Table_MN_j_m,2,7)</f>
        <v>95.962857079055411</v>
      </c>
      <c r="K19" s="2" t="str">
        <f>$G$13</f>
        <v>kg N</v>
      </c>
      <c r="O19" s="55" t="str">
        <f>INDEX(X_Table_Dairy_ProductionSystems_Method1,3,1)</f>
        <v>Milking shed</v>
      </c>
      <c r="P19" s="55" t="str">
        <f>INDEX(X_Table_Dairy_Stage1MMS_1_AnaerobicLagoon,2,1)</f>
        <v>Anaerobic lagoon</v>
      </c>
      <c r="Q19" s="55">
        <f>INDEX(M2_Table_MN_j_m,2,3)</f>
        <v>468.93940857160464</v>
      </c>
      <c r="R19" s="55">
        <f>INDEX(M2_Table_MN_j_m,2,4)</f>
        <v>182.35790267782079</v>
      </c>
      <c r="S19" s="55">
        <f>INDEX(M2_Table_MN_j_m,2,5)</f>
        <v>72.631224123843424</v>
      </c>
      <c r="T19" s="55">
        <f>INDEX(M2_Table_MN_j_m,2,6)</f>
        <v>229.23109573986844</v>
      </c>
      <c r="U19" s="55">
        <f>INDEX(M2_Table_MN_j_m,2,7)</f>
        <v>95.962857079055411</v>
      </c>
      <c r="V19" s="2" t="str">
        <f>$G$13</f>
        <v>kg N</v>
      </c>
    </row>
    <row r="20" spans="1:22" ht="20.100000000000001" customHeight="1" x14ac:dyDescent="0.25">
      <c r="A20" s="17"/>
      <c r="D20" s="55" t="str">
        <f>INDEX(X_Table_Dairy_ProductionSystems_Method1,3,1)</f>
        <v>Milking shed</v>
      </c>
      <c r="E20" s="55" t="str">
        <f>INDEX(X_Table_Dairy_Stage1MMS_1_SumpAndDispersal,2,1)</f>
        <v>Sump and dispersal system</v>
      </c>
      <c r="F20" s="55">
        <f>INDEX(M1_Table_MN_j_m,3,3)</f>
        <v>468.93940857160464</v>
      </c>
      <c r="G20" s="55">
        <f>INDEX(M1_Table_MN_j_m,3,4)</f>
        <v>182.35790267782079</v>
      </c>
      <c r="H20" s="55">
        <f>INDEX(M1_Table_MN_j_m,3,5)</f>
        <v>72.631224123843424</v>
      </c>
      <c r="I20" s="55">
        <f>INDEX(M1_Table_MN_j_m,3,6)</f>
        <v>229.23109573986844</v>
      </c>
      <c r="J20" s="55">
        <f>INDEX(M1_Table_MN_j_m,3,7)</f>
        <v>95.962857079055411</v>
      </c>
      <c r="K20" s="2"/>
      <c r="O20" s="55" t="str">
        <f>INDEX(X_Table_Dairy_ProductionSystems_Method1,3,1)</f>
        <v>Milking shed</v>
      </c>
      <c r="P20" s="55" t="str">
        <f>INDEX(X_Table_Dairy_Stage1MMS_1_SumpAndDispersal,2,1)</f>
        <v>Sump and dispersal system</v>
      </c>
      <c r="Q20" s="55">
        <f>INDEX(M2_Table_MN_j_m,3,3)</f>
        <v>468.93940857160464</v>
      </c>
      <c r="R20" s="55">
        <f>INDEX(M2_Table_MN_j_m,3,4)</f>
        <v>182.35790267782079</v>
      </c>
      <c r="S20" s="55">
        <f>INDEX(M2_Table_MN_j_m,3,5)</f>
        <v>72.631224123843424</v>
      </c>
      <c r="T20" s="55">
        <f>INDEX(M2_Table_MN_j_m,3,6)</f>
        <v>229.23109573986844</v>
      </c>
      <c r="U20" s="55">
        <f>INDEX(M2_Table_MN_j_m,3,7)</f>
        <v>95.962857079055411</v>
      </c>
      <c r="V20" s="2"/>
    </row>
    <row r="21" spans="1:22" ht="20.100000000000001" customHeight="1" x14ac:dyDescent="0.25">
      <c r="A21" s="18" t="s">
        <v>4</v>
      </c>
      <c r="D21" s="55" t="str">
        <f>INDEX(X_Table_Dairy_ProductionSystems_Method1,3,1)</f>
        <v>Milking shed</v>
      </c>
      <c r="E21" s="55" t="str">
        <f>INDEX(X_Table_Dairy_Stage1MMS_1_DrainsToPaddock,2,1)</f>
        <v>Drains to paddock</v>
      </c>
      <c r="F21" s="55">
        <f>INDEX(M1_Table_MN_j_m,4,3)</f>
        <v>468.93940857160464</v>
      </c>
      <c r="G21" s="55">
        <f>INDEX(M1_Table_MN_j_m,4,4)</f>
        <v>182.35790267782079</v>
      </c>
      <c r="H21" s="55">
        <f>INDEX(M1_Table_MN_j_m,4,5)</f>
        <v>72.631224123843424</v>
      </c>
      <c r="I21" s="55">
        <f>INDEX(M1_Table_MN_j_m,4,6)</f>
        <v>229.23109573986844</v>
      </c>
      <c r="J21" s="55">
        <f>INDEX(M1_Table_MN_j_m,4,7)</f>
        <v>95.962857079055411</v>
      </c>
      <c r="K21" s="2"/>
      <c r="O21" s="55" t="str">
        <f>INDEX(X_Table_Dairy_ProductionSystems_Method1,3,1)</f>
        <v>Milking shed</v>
      </c>
      <c r="P21" s="55" t="str">
        <f>INDEX(X_Table_Dairy_Stage1MMS_1_DrainsToPaddock,2,1)</f>
        <v>Drains to paddock</v>
      </c>
      <c r="Q21" s="55">
        <f>INDEX(M2_Table_MN_j_m,4,3)</f>
        <v>468.93940857160464</v>
      </c>
      <c r="R21" s="55">
        <f>INDEX(M2_Table_MN_j_m,4,4)</f>
        <v>182.35790267782079</v>
      </c>
      <c r="S21" s="55">
        <f>INDEX(M2_Table_MN_j_m,4,5)</f>
        <v>72.631224123843424</v>
      </c>
      <c r="T21" s="55">
        <f>INDEX(M2_Table_MN_j_m,4,6)</f>
        <v>229.23109573986844</v>
      </c>
      <c r="U21" s="55">
        <f>INDEX(M2_Table_MN_j_m,4,7)</f>
        <v>95.962857079055411</v>
      </c>
      <c r="V21" s="2"/>
    </row>
    <row r="22" spans="1:22" ht="20.100000000000001" customHeight="1" x14ac:dyDescent="0.25">
      <c r="A22" s="17" t="str">
        <f>HYPERLINK("#'Constants - Dairy'!A1", "Constants - Dairy")</f>
        <v>Constants - Dairy</v>
      </c>
      <c r="D22" s="55" t="str">
        <f>INDEX(X_Table_Dairy_ProductionSystems_Method1,3,1)</f>
        <v>Milking shed</v>
      </c>
      <c r="E22" s="55" t="s">
        <v>407</v>
      </c>
      <c r="F22" s="55">
        <f>INDEX(M1_Table_MN_j_m,5,3)</f>
        <v>937.87881714320918</v>
      </c>
      <c r="G22" s="55">
        <f>INDEX(M1_Table_MN_j_m,5,4)</f>
        <v>364.71580535564152</v>
      </c>
      <c r="H22" s="55">
        <f>INDEX(M1_Table_MN_j_m,5,5)</f>
        <v>145.26244824768682</v>
      </c>
      <c r="I22" s="55">
        <f>INDEX(M1_Table_MN_j_m,5,6)</f>
        <v>458.46219147973682</v>
      </c>
      <c r="J22" s="55">
        <f>INDEX(M1_Table_MN_j_m,5,7)</f>
        <v>191.92571415811079</v>
      </c>
      <c r="K22" s="2"/>
      <c r="O22" s="55" t="str">
        <f>INDEX(X_Table_Dairy_ProductionSystems_Method1,3,1)</f>
        <v>Milking shed</v>
      </c>
      <c r="P22" s="55" t="s">
        <v>407</v>
      </c>
      <c r="Q22" s="55">
        <f>INDEX(M2_Table_MN_j_m,5,3)</f>
        <v>937.87881714320918</v>
      </c>
      <c r="R22" s="55">
        <f>INDEX(M2_Table_MN_j_m,5,4)</f>
        <v>364.71580535564152</v>
      </c>
      <c r="S22" s="55">
        <f>INDEX(M2_Table_MN_j_m,5,5)</f>
        <v>145.26244824768682</v>
      </c>
      <c r="T22" s="55">
        <f>INDEX(M2_Table_MN_j_m,5,6)</f>
        <v>458.46219147973682</v>
      </c>
      <c r="U22" s="55">
        <f>INDEX(M2_Table_MN_j_m,5,7)</f>
        <v>191.92571415811079</v>
      </c>
      <c r="V22" s="2"/>
    </row>
    <row r="23" spans="1:22" ht="20.100000000000001" customHeight="1" x14ac:dyDescent="0.25">
      <c r="A23" s="17" t="str">
        <f>HYPERLINK("#'Constants - Livestock'!A1", "Constants - Livestock")</f>
        <v>Constants - Livestock</v>
      </c>
      <c r="D23" s="55" t="str">
        <f>INDEX(X_Table_Dairy_ProductionSystems_Method1,4,1)</f>
        <v>Feed pad</v>
      </c>
      <c r="E23" s="55" t="str">
        <f>INDEX(X_Table_Dairy_Stage1MMS_2_AnaerobicLagoon,2,1)</f>
        <v>Anaerobic lagoon</v>
      </c>
      <c r="F23" s="55">
        <f>INDEX(M1_Table_MN_j_m,6,3)</f>
        <v>1897.073061948764</v>
      </c>
      <c r="G23" s="55">
        <f>INDEX(M1_Table_MN_j_m,6,4)</f>
        <v>737.72060628754764</v>
      </c>
      <c r="H23" s="55">
        <f>INDEX(M1_Table_MN_j_m,6,5)</f>
        <v>293.82631577373019</v>
      </c>
      <c r="I23" s="55">
        <f>INDEX(M1_Table_MN_j_m,6,6)</f>
        <v>927.34397822037681</v>
      </c>
      <c r="J23" s="55">
        <f>INDEX(M1_Table_MN_j_m,6,7)</f>
        <v>388.21337636526954</v>
      </c>
      <c r="K23" s="2"/>
      <c r="O23" s="55" t="str">
        <f>INDEX(X_Table_Dairy_ProductionSystems_Method1,4,1)</f>
        <v>Feed pad</v>
      </c>
      <c r="P23" s="55" t="str">
        <f>INDEX(X_Table_Dairy_Stage1MMS_2_AnaerobicLagoon,2,1)</f>
        <v>Anaerobic lagoon</v>
      </c>
      <c r="Q23" s="55">
        <f>INDEX(M2_Table_MN_j_m,6,3)</f>
        <v>1897.073061948764</v>
      </c>
      <c r="R23" s="55">
        <f>INDEX(M2_Table_MN_j_m,6,4)</f>
        <v>737.72060628754764</v>
      </c>
      <c r="S23" s="55">
        <f>INDEX(M2_Table_MN_j_m,6,5)</f>
        <v>293.82631577373019</v>
      </c>
      <c r="T23" s="55">
        <f>INDEX(M2_Table_MN_j_m,6,6)</f>
        <v>927.34397822037681</v>
      </c>
      <c r="U23" s="55">
        <f>INDEX(M2_Table_MN_j_m,6,7)</f>
        <v>388.21337636526954</v>
      </c>
      <c r="V23" s="2"/>
    </row>
    <row r="24" spans="1:22" ht="20.100000000000001" customHeight="1" x14ac:dyDescent="0.25">
      <c r="A24" s="17" t="str">
        <f>HYPERLINK("#'Constants - Common'!A1", "Constants - Common")</f>
        <v>Constants - Common</v>
      </c>
      <c r="D24" s="55" t="str">
        <f>INDEX(X_Table_Dairy_ProductionSystems_Method1,4,1)</f>
        <v>Feed pad</v>
      </c>
      <c r="E24" s="55" t="str">
        <f>INDEX(X_Table_Dairy_Stage1MMS_2_SumpAndDispersal,2,1)</f>
        <v>Sump and dispersal system</v>
      </c>
      <c r="F24" s="55">
        <f>INDEX(M1_Table_MN_j_m,7,3)</f>
        <v>1517.6584495590114</v>
      </c>
      <c r="G24" s="55">
        <f>INDEX(M1_Table_MN_j_m,7,4)</f>
        <v>590.17648503003818</v>
      </c>
      <c r="H24" s="55">
        <f>INDEX(M1_Table_MN_j_m,7,5)</f>
        <v>235.06105261898415</v>
      </c>
      <c r="I24" s="55">
        <f>INDEX(M1_Table_MN_j_m,7,6)</f>
        <v>741.87518257630143</v>
      </c>
      <c r="J24" s="55">
        <f>INDEX(M1_Table_MN_j_m,7,7)</f>
        <v>310.57070109221564</v>
      </c>
      <c r="K24" s="2"/>
      <c r="O24" s="55" t="str">
        <f>INDEX(X_Table_Dairy_ProductionSystems_Method1,4,1)</f>
        <v>Feed pad</v>
      </c>
      <c r="P24" s="55" t="str">
        <f>INDEX(X_Table_Dairy_Stage1MMS_2_SumpAndDispersal,2,1)</f>
        <v>Sump and dispersal system</v>
      </c>
      <c r="Q24" s="55">
        <f>INDEX(M2_Table_MN_j_m,7,3)</f>
        <v>1517.6584495590114</v>
      </c>
      <c r="R24" s="55">
        <f>INDEX(M2_Table_MN_j_m,7,4)</f>
        <v>590.17648503003818</v>
      </c>
      <c r="S24" s="55">
        <f>INDEX(M2_Table_MN_j_m,7,5)</f>
        <v>235.06105261898415</v>
      </c>
      <c r="T24" s="55">
        <f>INDEX(M2_Table_MN_j_m,7,6)</f>
        <v>741.87518257630143</v>
      </c>
      <c r="U24" s="55">
        <f>INDEX(M2_Table_MN_j_m,7,7)</f>
        <v>310.57070109221564</v>
      </c>
      <c r="V24" s="2"/>
    </row>
    <row r="25" spans="1:22" ht="20.100000000000001" customHeight="1" x14ac:dyDescent="0.25">
      <c r="A25" s="17" t="str">
        <f>HYPERLINK("#'Acknowledgements'!A1", "Acknowledgements")</f>
        <v>Acknowledgements</v>
      </c>
      <c r="D25" s="55" t="str">
        <f>INDEX(X_Table_Dairy_ProductionSystems_Method1,4,1)</f>
        <v>Feed pad</v>
      </c>
      <c r="E25" s="55" t="str">
        <f>INDEX(X_Table_Dairy_Stage1MMS_2_DrainsToPaddock,2,1)</f>
        <v>Drains to paddock</v>
      </c>
      <c r="F25" s="55">
        <f>INDEX(M1_Table_MN_j_m,8,3)</f>
        <v>1517.6584495590114</v>
      </c>
      <c r="G25" s="55">
        <f>INDEX(M1_Table_MN_j_m,8,4)</f>
        <v>590.17648503003818</v>
      </c>
      <c r="H25" s="55">
        <f>INDEX(M1_Table_MN_j_m,8,5)</f>
        <v>235.06105261898415</v>
      </c>
      <c r="I25" s="55">
        <f>INDEX(M1_Table_MN_j_m,8,6)</f>
        <v>741.87518257630143</v>
      </c>
      <c r="J25" s="55">
        <f>INDEX(M1_Table_MN_j_m,8,7)</f>
        <v>310.57070109221564</v>
      </c>
      <c r="K25" s="2"/>
      <c r="O25" s="55" t="str">
        <f>INDEX(X_Table_Dairy_ProductionSystems_Method1,4,1)</f>
        <v>Feed pad</v>
      </c>
      <c r="P25" s="55" t="str">
        <f>INDEX(X_Table_Dairy_Stage1MMS_2_DrainsToPaddock,2,1)</f>
        <v>Drains to paddock</v>
      </c>
      <c r="Q25" s="55">
        <f>INDEX(M2_Table_MN_j_m,8,3)</f>
        <v>1517.6584495590114</v>
      </c>
      <c r="R25" s="55">
        <f>INDEX(M2_Table_MN_j_m,8,4)</f>
        <v>590.17648503003818</v>
      </c>
      <c r="S25" s="55">
        <f>INDEX(M2_Table_MN_j_m,8,5)</f>
        <v>235.06105261898415</v>
      </c>
      <c r="T25" s="55">
        <f>INDEX(M2_Table_MN_j_m,8,6)</f>
        <v>741.87518257630143</v>
      </c>
      <c r="U25" s="55">
        <f>INDEX(M2_Table_MN_j_m,8,7)</f>
        <v>310.57070109221564</v>
      </c>
      <c r="V25" s="2"/>
    </row>
    <row r="26" spans="1:22" ht="20.100000000000001" customHeight="1" x14ac:dyDescent="0.25">
      <c r="D26" s="55" t="str">
        <f>INDEX(X_Table_Dairy_ProductionSystems_Method1,4,1)</f>
        <v>Feed pad</v>
      </c>
      <c r="E26" s="55" t="s">
        <v>407</v>
      </c>
      <c r="F26" s="55">
        <f>INDEX(M1_Table_MN_j_m,9,3)</f>
        <v>2655.9022867282697</v>
      </c>
      <c r="G26" s="55">
        <f>INDEX(M1_Table_MN_j_m,9,4)</f>
        <v>1032.8088488025667</v>
      </c>
      <c r="H26" s="55">
        <f>INDEX(M1_Table_MN_j_m,9,5)</f>
        <v>411.35684208322226</v>
      </c>
      <c r="I26" s="55">
        <f>INDEX(M1_Table_MN_j_m,9,6)</f>
        <v>1298.2815695085274</v>
      </c>
      <c r="J26" s="55">
        <f>INDEX(M1_Table_MN_j_m,9,7)</f>
        <v>543.49872691137739</v>
      </c>
      <c r="K26" s="2"/>
      <c r="O26" s="55" t="str">
        <f>INDEX(X_Table_Dairy_ProductionSystems_Method1,4,1)</f>
        <v>Feed pad</v>
      </c>
      <c r="P26" s="55" t="s">
        <v>407</v>
      </c>
      <c r="Q26" s="55">
        <f>INDEX(M2_Table_MN_j_m,9,3)</f>
        <v>2655.9022867282697</v>
      </c>
      <c r="R26" s="55">
        <f>INDEX(M2_Table_MN_j_m,9,4)</f>
        <v>1032.8088488025667</v>
      </c>
      <c r="S26" s="55">
        <f>INDEX(M2_Table_MN_j_m,9,5)</f>
        <v>411.35684208322226</v>
      </c>
      <c r="T26" s="55">
        <f>INDEX(M2_Table_MN_j_m,9,6)</f>
        <v>1298.2815695085274</v>
      </c>
      <c r="U26" s="55">
        <f>INDEX(M2_Table_MN_j_m,9,7)</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INDEX(X_Table_Dairy_ProductionSystems_Method1,3,1)</f>
        <v>Milking shed</v>
      </c>
      <c r="E40" s="55" t="str">
        <f>INDEX(X_Table_Dairy_Stage1MMS_1_AnaerobicLagoon,2,1)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INDEX(X_Table_Dairy_ProductionSystems_Method1,3,1)</f>
        <v>Milking shed</v>
      </c>
      <c r="P40" s="55" t="str">
        <f>INDEX(X_Table_Dairy_Stage1MMS_1_AnaerobicLagoon,2,1)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INDEX(X_Table_Dairy_ProductionSystems_Method1,3,1)</f>
        <v>Milking shed</v>
      </c>
      <c r="E41" s="55" t="str">
        <f>INDEX(X_Table_Dairy_Stage1MMS_1_SumpAndDispersal,2,1)</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INDEX(X_Table_Dairy_ProductionSystems_Method1,3,1)</f>
        <v>Milking shed</v>
      </c>
      <c r="P41" s="55" t="str">
        <f>INDEX(X_Table_Dairy_Stage1MMS_1_SumpAndDispersal,2,1)</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INDEX(X_Table_Dairy_ProductionSystems_Method1,3,1)</f>
        <v>Milking shed</v>
      </c>
      <c r="E42" s="55" t="str">
        <f>INDEX(X_Table_Dairy_Stage1MMS_1_DrainsToPaddock,2,1)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INDEX(X_Table_Dairy_ProductionSystems_Method1,3,1)</f>
        <v>Milking shed</v>
      </c>
      <c r="P42" s="55" t="str">
        <f>INDEX(X_Table_Dairy_Stage1MMS_1_DrainsToPaddock,2,1)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INDEX(X_Table_Dairy_ProductionSystems_Method1,3,1)</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INDEX(X_Table_Dairy_ProductionSystems_Method1,3,1)</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INDEX(X_Table_Dairy_ProductionSystems_Method1,4,1)</f>
        <v>Feed pad</v>
      </c>
      <c r="E44" s="55" t="str">
        <f>INDEX(X_Table_Dairy_Stage1MMS_2_AnaerobicLagoon,2,1)</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INDEX(X_Table_Dairy_ProductionSystems_Method1,4,1)</f>
        <v>Feed pad</v>
      </c>
      <c r="P44" s="55" t="str">
        <f>INDEX(X_Table_Dairy_Stage1MMS_2_AnaerobicLagoon,2,1)</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INDEX(X_Table_Dairy_ProductionSystems_Method1,4,1)</f>
        <v>Feed pad</v>
      </c>
      <c r="E45" s="55" t="str">
        <f>INDEX(X_Table_Dairy_Stage1MMS_2_SumpAndDispersal,2,1)</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INDEX(X_Table_Dairy_ProductionSystems_Method1,4,1)</f>
        <v>Feed pad</v>
      </c>
      <c r="P45" s="55" t="str">
        <f>INDEX(X_Table_Dairy_Stage1MMS_2_SumpAndDispersal,2,1)</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INDEX(X_Table_Dairy_ProductionSystems_Method1,4,1)</f>
        <v>Feed pad</v>
      </c>
      <c r="E46" s="55" t="str">
        <f>INDEX(X_Table_Dairy_Stage1MMS_2_DrainsToPaddock,2,1)</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INDEX(X_Table_Dairy_ProductionSystems_Method1,4,1)</f>
        <v>Feed pad</v>
      </c>
      <c r="P46" s="55" t="str">
        <f>INDEX(X_Table_Dairy_Stage1MMS_2_DrainsToPaddock,2,1)</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INDEX(X_Table_Dairy_ProductionSystems_Method1,4,1)</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INDEX(X_Table_Dairy_ProductionSystems_Method1,4,1)</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X_Cell_Dairy_ManureAppliedProductionSystem</f>
        <v>Pasture</v>
      </c>
      <c r="O64" s="60"/>
      <c r="P64" s="61"/>
      <c r="Q64" s="62"/>
      <c r="R64" s="60"/>
    </row>
    <row r="65" spans="1:18" ht="20.100000000000001" customHeight="1" x14ac:dyDescent="0.25">
      <c r="D65" s="137" t="str">
        <v>ir</v>
      </c>
      <c r="E65" s="136" t="str">
        <v>irrigation method</v>
      </c>
      <c r="F65" s="138"/>
      <c r="G65" s="137" t="str">
        <v/>
      </c>
      <c r="H65" s="135" t="str">
        <v>Input</v>
      </c>
      <c r="I65" s="137" t="str">
        <f>X_Cell_Dairy_ManureAppliedIrrigationMethod</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X_Cell_Site_RainfallZone</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workbookViewId="0">
      <selection activeCell="J18" sqref="J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SourceData_Dairy_FractionOfNitrogenLostThroughLeachingAndRunoffSolidStorage_Data</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X_Cell_Dairy_ManureAppliedIrrigationMethod</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INDEX(X_Table_Dairy_ProductionSystems_Method1,3,1)</f>
        <v>Milking shed</v>
      </c>
      <c r="E23" s="55" t="s">
        <v>407</v>
      </c>
      <c r="F23" s="55">
        <f>INDEX(M1_Table_MN_j_m,5,3)</f>
        <v>937.87881714320918</v>
      </c>
      <c r="G23" s="55">
        <f>INDEX(M1_Table_MN_j_m,5,4)</f>
        <v>364.71580535564152</v>
      </c>
      <c r="H23" s="55">
        <f>INDEX(M1_Table_MN_j_m,5,5)</f>
        <v>145.26244824768682</v>
      </c>
      <c r="I23" s="55">
        <f>INDEX(M1_Table_MN_j_m,5,6)</f>
        <v>458.46219147973682</v>
      </c>
      <c r="J23" s="55">
        <f>INDEX(M1_Table_MN_j_m,5,7)</f>
        <v>191.92571415811079</v>
      </c>
      <c r="K23" s="2" t="str">
        <f>$H$13</f>
        <v>kg N</v>
      </c>
      <c r="O23" s="55" t="str">
        <f>INDEX(X_Table_Dairy_ProductionSystems_Method1,3,1)</f>
        <v>Milking shed</v>
      </c>
      <c r="P23" s="55" t="s">
        <v>407</v>
      </c>
      <c r="Q23" s="55">
        <f>INDEX(M2_Table_MN_j_m,5,3)</f>
        <v>937.87881714320918</v>
      </c>
      <c r="R23" s="55">
        <f>INDEX(M2_Table_MN_j_m,5,4)</f>
        <v>364.71580535564152</v>
      </c>
      <c r="S23" s="55">
        <f>INDEX(M2_Table_MN_j_m,5,5)</f>
        <v>145.26244824768682</v>
      </c>
      <c r="T23" s="55">
        <f>INDEX(M2_Table_MN_j_m,5,6)</f>
        <v>458.46219147973682</v>
      </c>
      <c r="U23" s="55">
        <f>INDEX(M2_Table_MN_j_m,5,7)</f>
        <v>191.92571415811079</v>
      </c>
      <c r="V23" s="2" t="str">
        <f>$H$13</f>
        <v>kg N</v>
      </c>
    </row>
    <row r="24" spans="1:22" ht="20.100000000000001" customHeight="1" x14ac:dyDescent="0.25">
      <c r="A24" s="17" t="str">
        <f>HYPERLINK("#'Constants - Common'!A1", "Constants - Common")</f>
        <v>Constants - Common</v>
      </c>
      <c r="D24" s="55" t="str">
        <f>INDEX(X_Table_Dairy_ProductionSystems_Method1,4,1)</f>
        <v>Feed pad</v>
      </c>
      <c r="E24" s="55" t="s">
        <v>407</v>
      </c>
      <c r="F24" s="55">
        <f>INDEX(M1_Table_MN_j_m,9,3)</f>
        <v>2655.9022867282697</v>
      </c>
      <c r="G24" s="55">
        <f>INDEX(M1_Table_MN_j_m,9,4)</f>
        <v>1032.8088488025667</v>
      </c>
      <c r="H24" s="55">
        <f>INDEX(M1_Table_MN_j_m,9,5)</f>
        <v>411.35684208322226</v>
      </c>
      <c r="I24" s="55">
        <f>INDEX(M1_Table_MN_j_m,9,6)</f>
        <v>1298.2815695085274</v>
      </c>
      <c r="J24" s="55">
        <f>INDEX(M1_Table_MN_j_m,9,7)</f>
        <v>543.49872691137739</v>
      </c>
      <c r="K24" s="2"/>
      <c r="O24" s="55" t="str">
        <f>INDEX(X_Table_Dairy_ProductionSystems_Method1,4,1)</f>
        <v>Feed pad</v>
      </c>
      <c r="P24" s="55" t="s">
        <v>407</v>
      </c>
      <c r="Q24" s="55">
        <f>INDEX(M2_Table_MN_j_m,9,3)</f>
        <v>2655.9022867282697</v>
      </c>
      <c r="R24" s="55">
        <f>INDEX(M2_Table_MN_j_m,9,4)</f>
        <v>1032.8088488025667</v>
      </c>
      <c r="S24" s="55">
        <f>INDEX(M2_Table_MN_j_m,9,5)</f>
        <v>411.35684208322226</v>
      </c>
      <c r="T24" s="55">
        <f>INDEX(M2_Table_MN_j_m,9,6)</f>
        <v>1298.2815695085274</v>
      </c>
      <c r="U24" s="55">
        <f>INDEX(M2_Table_MN_j_m,9,7)</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INDEX(X_Table_Dairy_ProductionSystems_Method1,3,1)</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INDEX(X_Table_Dairy_ProductionSystems_Method1,3,1)</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INDEX(X_Table_Dairy_ProductionSystems_Method1,4,1)</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INDEX(X_Table_Dairy_ProductionSystems_Method1,4,1)</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SourceData_Dairy_EmissionFactorForLeachingAndRunoff_Data</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INDEX(X_Table_Dairy_ProductionSystems_Method1,3,1)</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INDEX(X_Table_Dairy_ProductionSystems_Method1,3,1)</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INDEX(X_Table_Dairy_ProductionSystems_Method1,4,1)</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INDEX(X_Table_Dairy_ProductionSystems_Method1,4,1)</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F64" sqref="F6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INDEX(X_Table_Dairy_ProductionSystems_Method1,3,1)</f>
        <v>Milking shed</v>
      </c>
      <c r="E40" s="55" t="str">
        <f>INDEX(X_Table_Dairy_Stage1MMS_1_AnaerobicLagoon,2,1)</f>
        <v>Anaerobic lagoon</v>
      </c>
      <c r="F40" s="55">
        <f>INDEX(M1_Table_MN_j_m,2,3)</f>
        <v>468.93940857160464</v>
      </c>
      <c r="G40" s="55">
        <f>INDEX(M1_Table_MN_j_m,2,4)</f>
        <v>182.35790267782079</v>
      </c>
      <c r="H40" s="55">
        <f>INDEX(M1_Table_MN_j_m,2,5)</f>
        <v>72.631224123843424</v>
      </c>
      <c r="I40" s="55">
        <f>INDEX(M1_Table_MN_j_m,2,6)</f>
        <v>229.23109573986844</v>
      </c>
      <c r="J40" s="55">
        <f>INDEX(M1_Table_MN_j_m,2,7)</f>
        <v>95.962857079055411</v>
      </c>
      <c r="K40" s="2" t="str">
        <f>$G$13</f>
        <v>kg N</v>
      </c>
      <c r="M40"/>
      <c r="O40" s="55" t="str">
        <f>INDEX(X_Table_Dairy_ProductionSystems_Method1,3,1)</f>
        <v>Milking shed</v>
      </c>
      <c r="P40" s="55" t="str">
        <f>INDEX(X_Table_Dairy_Stage1MMS_1_AnaerobicLagoon,2,1)</f>
        <v>Anaerobic lagoon</v>
      </c>
      <c r="Q40" s="55">
        <f>INDEX(M2_Table_MN_j_m,2,3)</f>
        <v>468.93940857160464</v>
      </c>
      <c r="R40" s="55">
        <f>INDEX(M2_Table_MN_j_m,2,4)</f>
        <v>182.35790267782079</v>
      </c>
      <c r="S40" s="55">
        <f>INDEX(M2_Table_MN_j_m,2,5)</f>
        <v>72.631224123843424</v>
      </c>
      <c r="T40" s="55">
        <f>INDEX(M2_Table_MN_j_m,2,6)</f>
        <v>229.23109573986844</v>
      </c>
      <c r="U40" s="55">
        <f>INDEX(M2_Table_MN_j_m,2,7)</f>
        <v>95.962857079055411</v>
      </c>
      <c r="V40" s="2" t="str">
        <f>$G$13</f>
        <v>kg N</v>
      </c>
    </row>
    <row r="41" spans="1:22" ht="20.100000000000001" customHeight="1" x14ac:dyDescent="0.25">
      <c r="D41" s="55" t="str">
        <f>INDEX(X_Table_Dairy_ProductionSystems_Method1,3,1)</f>
        <v>Milking shed</v>
      </c>
      <c r="E41" s="55" t="str">
        <f>INDEX(X_Table_Dairy_Stage1MMS_1_SumpAndDispersal,2,1)</f>
        <v>Sump and dispersal system</v>
      </c>
      <c r="F41" s="55">
        <f>INDEX(M1_Table_MN_j_m,3,3)</f>
        <v>468.93940857160464</v>
      </c>
      <c r="G41" s="55">
        <f>INDEX(M1_Table_MN_j_m,3,4)</f>
        <v>182.35790267782079</v>
      </c>
      <c r="H41" s="55">
        <f>INDEX(M1_Table_MN_j_m,3,5)</f>
        <v>72.631224123843424</v>
      </c>
      <c r="I41" s="55">
        <f>INDEX(M1_Table_MN_j_m,3,6)</f>
        <v>229.23109573986844</v>
      </c>
      <c r="J41" s="55">
        <f>INDEX(M1_Table_MN_j_m,3,7)</f>
        <v>95.962857079055411</v>
      </c>
      <c r="K41" s="2"/>
      <c r="M41"/>
      <c r="O41" s="55" t="str">
        <f>INDEX(X_Table_Dairy_ProductionSystems_Method1,3,1)</f>
        <v>Milking shed</v>
      </c>
      <c r="P41" s="55" t="str">
        <f>INDEX(X_Table_Dairy_Stage1MMS_1_SumpAndDispersal,2,1)</f>
        <v>Sump and dispersal system</v>
      </c>
      <c r="Q41" s="55">
        <f>INDEX(M2_Table_MN_j_m,3,3)</f>
        <v>468.93940857160464</v>
      </c>
      <c r="R41" s="55">
        <f>INDEX(M2_Table_MN_j_m,3,4)</f>
        <v>182.35790267782079</v>
      </c>
      <c r="S41" s="55">
        <f>INDEX(M2_Table_MN_j_m,3,5)</f>
        <v>72.631224123843424</v>
      </c>
      <c r="T41" s="55">
        <f>INDEX(M2_Table_MN_j_m,3,6)</f>
        <v>229.23109573986844</v>
      </c>
      <c r="U41" s="55">
        <f>INDEX(M2_Table_MN_j_m,3,7)</f>
        <v>95.962857079055411</v>
      </c>
      <c r="V41" s="2"/>
    </row>
    <row r="42" spans="1:22" ht="20.100000000000001" customHeight="1" x14ac:dyDescent="0.25">
      <c r="D42" s="55" t="str">
        <f>INDEX(X_Table_Dairy_ProductionSystems_Method1,3,1)</f>
        <v>Milking shed</v>
      </c>
      <c r="E42" s="55" t="str">
        <f>INDEX(X_Table_Dairy_Stage1MMS_1_DrainsToPaddock,2,1)</f>
        <v>Drains to paddock</v>
      </c>
      <c r="F42" s="55">
        <f>INDEX(M1_Table_MN_j_m,4,3)</f>
        <v>468.93940857160464</v>
      </c>
      <c r="G42" s="55">
        <f>INDEX(M1_Table_MN_j_m,4,4)</f>
        <v>182.35790267782079</v>
      </c>
      <c r="H42" s="55">
        <f>INDEX(M1_Table_MN_j_m,4,5)</f>
        <v>72.631224123843424</v>
      </c>
      <c r="I42" s="55">
        <f>INDEX(M1_Table_MN_j_m,4,6)</f>
        <v>229.23109573986844</v>
      </c>
      <c r="J42" s="55">
        <f>INDEX(M1_Table_MN_j_m,4,7)</f>
        <v>95.962857079055411</v>
      </c>
      <c r="K42" s="2"/>
      <c r="M42"/>
      <c r="O42" s="55" t="str">
        <f>INDEX(X_Table_Dairy_ProductionSystems_Method1,3,1)</f>
        <v>Milking shed</v>
      </c>
      <c r="P42" s="55" t="str">
        <f>INDEX(X_Table_Dairy_Stage1MMS_1_DrainsToPaddock,2,1)</f>
        <v>Drains to paddock</v>
      </c>
      <c r="Q42" s="55">
        <f>INDEX(M2_Table_MN_j_m,4,3)</f>
        <v>468.93940857160464</v>
      </c>
      <c r="R42" s="55">
        <f>INDEX(M2_Table_MN_j_m,4,4)</f>
        <v>182.35790267782079</v>
      </c>
      <c r="S42" s="55">
        <f>INDEX(M2_Table_MN_j_m,4,5)</f>
        <v>72.631224123843424</v>
      </c>
      <c r="T42" s="55">
        <f>INDEX(M2_Table_MN_j_m,4,6)</f>
        <v>229.23109573986844</v>
      </c>
      <c r="U42" s="55">
        <f>INDEX(M2_Table_MN_j_m,4,7)</f>
        <v>95.962857079055411</v>
      </c>
      <c r="V42" s="2"/>
    </row>
    <row r="43" spans="1:22" ht="20.100000000000001" customHeight="1" x14ac:dyDescent="0.25">
      <c r="D43" s="55" t="str">
        <f>INDEX(X_Table_Dairy_ProductionSystems_Method1,3,1)</f>
        <v>Milking shed</v>
      </c>
      <c r="E43" s="55" t="s">
        <v>407</v>
      </c>
      <c r="F43" s="55">
        <f>INDEX(M1_Table_MN_j_m,5,3)</f>
        <v>937.87881714320918</v>
      </c>
      <c r="G43" s="55">
        <f>INDEX(M1_Table_MN_j_m,5,4)</f>
        <v>364.71580535564152</v>
      </c>
      <c r="H43" s="55">
        <f>INDEX(M1_Table_MN_j_m,5,5)</f>
        <v>145.26244824768682</v>
      </c>
      <c r="I43" s="55">
        <f>INDEX(M1_Table_MN_j_m,5,6)</f>
        <v>458.46219147973682</v>
      </c>
      <c r="J43" s="55">
        <f>INDEX(M1_Table_MN_j_m,5,7)</f>
        <v>191.92571415811079</v>
      </c>
      <c r="K43" s="2"/>
      <c r="M43"/>
      <c r="O43" s="55" t="str">
        <f>INDEX(X_Table_Dairy_ProductionSystems_Method1,3,1)</f>
        <v>Milking shed</v>
      </c>
      <c r="P43" s="55" t="s">
        <v>407</v>
      </c>
      <c r="Q43" s="55">
        <f>INDEX(M2_Table_MN_j_m,5,3)</f>
        <v>937.87881714320918</v>
      </c>
      <c r="R43" s="55">
        <f>INDEX(M2_Table_MN_j_m,5,4)</f>
        <v>364.71580535564152</v>
      </c>
      <c r="S43" s="55">
        <f>INDEX(M2_Table_MN_j_m,5,5)</f>
        <v>145.26244824768682</v>
      </c>
      <c r="T43" s="55">
        <f>INDEX(M2_Table_MN_j_m,5,6)</f>
        <v>458.46219147973682</v>
      </c>
      <c r="U43" s="55">
        <f>INDEX(M2_Table_MN_j_m,5,7)</f>
        <v>191.92571415811079</v>
      </c>
      <c r="V43" s="2"/>
    </row>
    <row r="44" spans="1:22" ht="20.100000000000001" customHeight="1" x14ac:dyDescent="0.25">
      <c r="D44" s="55" t="str">
        <f>INDEX(X_Table_Dairy_ProductionSystems_Method1,4,1)</f>
        <v>Feed pad</v>
      </c>
      <c r="E44" s="55" t="str">
        <f>INDEX(X_Table_Dairy_Stage1MMS_2_AnaerobicLagoon,2,1)</f>
        <v>Anaerobic lagoon</v>
      </c>
      <c r="F44" s="55">
        <f>INDEX(M1_Table_MN_j_m,6,3)</f>
        <v>1897.073061948764</v>
      </c>
      <c r="G44" s="55">
        <f>INDEX(M1_Table_MN_j_m,6,4)</f>
        <v>737.72060628754764</v>
      </c>
      <c r="H44" s="55">
        <f>INDEX(M1_Table_MN_j_m,6,5)</f>
        <v>293.82631577373019</v>
      </c>
      <c r="I44" s="55">
        <f>INDEX(M1_Table_MN_j_m,6,6)</f>
        <v>927.34397822037681</v>
      </c>
      <c r="J44" s="55">
        <f>INDEX(M1_Table_MN_j_m,6,7)</f>
        <v>388.21337636526954</v>
      </c>
      <c r="K44" s="2"/>
      <c r="M44"/>
      <c r="O44" s="55" t="str">
        <f>INDEX(X_Table_Dairy_ProductionSystems_Method1,4,1)</f>
        <v>Feed pad</v>
      </c>
      <c r="P44" s="55" t="str">
        <f>INDEX(X_Table_Dairy_Stage1MMS_2_AnaerobicLagoon,2,1)</f>
        <v>Anaerobic lagoon</v>
      </c>
      <c r="Q44" s="55">
        <f>INDEX(M2_Table_MN_j_m,6,3)</f>
        <v>1897.073061948764</v>
      </c>
      <c r="R44" s="55">
        <f>INDEX(M2_Table_MN_j_m,6,4)</f>
        <v>737.72060628754764</v>
      </c>
      <c r="S44" s="55">
        <f>INDEX(M2_Table_MN_j_m,6,5)</f>
        <v>293.82631577373019</v>
      </c>
      <c r="T44" s="55">
        <f>INDEX(M2_Table_MN_j_m,6,6)</f>
        <v>927.34397822037681</v>
      </c>
      <c r="U44" s="55">
        <f>INDEX(M2_Table_MN_j_m,6,7)</f>
        <v>388.21337636526954</v>
      </c>
      <c r="V44" s="2"/>
    </row>
    <row r="45" spans="1:22" ht="20.100000000000001" customHeight="1" x14ac:dyDescent="0.25">
      <c r="D45" s="55" t="str">
        <f>INDEX(X_Table_Dairy_ProductionSystems_Method1,4,1)</f>
        <v>Feed pad</v>
      </c>
      <c r="E45" s="55" t="str">
        <f>INDEX(X_Table_Dairy_Stage1MMS_2_SumpAndDispersal,2,1)</f>
        <v>Sump and dispersal system</v>
      </c>
      <c r="F45" s="55">
        <f>INDEX(M1_Table_MN_j_m,7,3)</f>
        <v>1517.6584495590114</v>
      </c>
      <c r="G45" s="55">
        <f>INDEX(M1_Table_MN_j_m,7,4)</f>
        <v>590.17648503003818</v>
      </c>
      <c r="H45" s="55">
        <f>INDEX(M1_Table_MN_j_m,7,5)</f>
        <v>235.06105261898415</v>
      </c>
      <c r="I45" s="55">
        <f>INDEX(M1_Table_MN_j_m,7,6)</f>
        <v>741.87518257630143</v>
      </c>
      <c r="J45" s="55">
        <f>INDEX(M1_Table_MN_j_m,7,7)</f>
        <v>310.57070109221564</v>
      </c>
      <c r="K45" s="2"/>
      <c r="M45"/>
      <c r="O45" s="55" t="str">
        <f>INDEX(X_Table_Dairy_ProductionSystems_Method1,4,1)</f>
        <v>Feed pad</v>
      </c>
      <c r="P45" s="55" t="str">
        <f>INDEX(X_Table_Dairy_Stage1MMS_2_SumpAndDispersal,2,1)</f>
        <v>Sump and dispersal system</v>
      </c>
      <c r="Q45" s="55">
        <f>INDEX(M2_Table_MN_j_m,7,3)</f>
        <v>1517.6584495590114</v>
      </c>
      <c r="R45" s="55">
        <f>INDEX(M2_Table_MN_j_m,7,4)</f>
        <v>590.17648503003818</v>
      </c>
      <c r="S45" s="55">
        <f>INDEX(M2_Table_MN_j_m,7,5)</f>
        <v>235.06105261898415</v>
      </c>
      <c r="T45" s="55">
        <f>INDEX(M2_Table_MN_j_m,7,6)</f>
        <v>741.87518257630143</v>
      </c>
      <c r="U45" s="55">
        <f>INDEX(M2_Table_MN_j_m,7,7)</f>
        <v>310.57070109221564</v>
      </c>
      <c r="V45" s="2"/>
    </row>
    <row r="46" spans="1:22" ht="20.100000000000001" customHeight="1" x14ac:dyDescent="0.25">
      <c r="D46" s="55" t="str">
        <f>INDEX(X_Table_Dairy_ProductionSystems_Method1,4,1)</f>
        <v>Feed pad</v>
      </c>
      <c r="E46" s="55" t="str">
        <f>INDEX(X_Table_Dairy_Stage1MMS_2_DrainsToPaddock,2,1)</f>
        <v>Drains to paddock</v>
      </c>
      <c r="F46" s="55">
        <f>INDEX(M1_Table_MN_j_m,8,3)</f>
        <v>1517.6584495590114</v>
      </c>
      <c r="G46" s="55">
        <f>INDEX(M1_Table_MN_j_m,8,4)</f>
        <v>590.17648503003818</v>
      </c>
      <c r="H46" s="55">
        <f>INDEX(M1_Table_MN_j_m,8,5)</f>
        <v>235.06105261898415</v>
      </c>
      <c r="I46" s="55">
        <f>INDEX(M1_Table_MN_j_m,8,6)</f>
        <v>741.87518257630143</v>
      </c>
      <c r="J46" s="55">
        <f>INDEX(M1_Table_MN_j_m,8,7)</f>
        <v>310.57070109221564</v>
      </c>
      <c r="K46" s="2"/>
      <c r="M46"/>
      <c r="O46" s="55" t="str">
        <f>INDEX(X_Table_Dairy_ProductionSystems_Method1,4,1)</f>
        <v>Feed pad</v>
      </c>
      <c r="P46" s="55" t="str">
        <f>INDEX(X_Table_Dairy_Stage1MMS_2_DrainsToPaddock,2,1)</f>
        <v>Drains to paddock</v>
      </c>
      <c r="Q46" s="55">
        <f>INDEX(M2_Table_MN_j_m,8,3)</f>
        <v>1517.6584495590114</v>
      </c>
      <c r="R46" s="55">
        <f>INDEX(M2_Table_MN_j_m,8,4)</f>
        <v>590.17648503003818</v>
      </c>
      <c r="S46" s="55">
        <f>INDEX(M2_Table_MN_j_m,8,5)</f>
        <v>235.06105261898415</v>
      </c>
      <c r="T46" s="55">
        <f>INDEX(M2_Table_MN_j_m,8,6)</f>
        <v>741.87518257630143</v>
      </c>
      <c r="U46" s="55">
        <f>INDEX(M2_Table_MN_j_m,8,7)</f>
        <v>310.57070109221564</v>
      </c>
      <c r="V46" s="2"/>
    </row>
    <row r="47" spans="1:22" ht="20.100000000000001" customHeight="1" x14ac:dyDescent="0.25">
      <c r="D47" s="55" t="str">
        <f>INDEX(X_Table_Dairy_ProductionSystems_Method1,4,1)</f>
        <v>Feed pad</v>
      </c>
      <c r="E47" s="55" t="s">
        <v>407</v>
      </c>
      <c r="F47" s="55">
        <f>INDEX(M1_Table_MN_j_m,9,3)</f>
        <v>2655.9022867282697</v>
      </c>
      <c r="G47" s="55">
        <f>INDEX(M1_Table_MN_j_m,9,4)</f>
        <v>1032.8088488025667</v>
      </c>
      <c r="H47" s="55">
        <f>INDEX(M1_Table_MN_j_m,9,5)</f>
        <v>411.35684208322226</v>
      </c>
      <c r="I47" s="55">
        <f>INDEX(M1_Table_MN_j_m,9,6)</f>
        <v>1298.2815695085274</v>
      </c>
      <c r="J47" s="55">
        <f>INDEX(M1_Table_MN_j_m,9,7)</f>
        <v>543.49872691137739</v>
      </c>
      <c r="K47" s="2"/>
      <c r="M47"/>
      <c r="O47" s="55" t="str">
        <f>INDEX(X_Table_Dairy_ProductionSystems_Method1,4,1)</f>
        <v>Feed pad</v>
      </c>
      <c r="P47" s="55" t="s">
        <v>407</v>
      </c>
      <c r="Q47" s="55">
        <f>INDEX(M2_Table_MN_j_m,9,3)</f>
        <v>2655.9022867282697</v>
      </c>
      <c r="R47" s="55">
        <f>INDEX(M2_Table_MN_j_m,9,4)</f>
        <v>1032.8088488025667</v>
      </c>
      <c r="S47" s="55">
        <f>INDEX(M2_Table_MN_j_m,9,5)</f>
        <v>411.35684208322226</v>
      </c>
      <c r="T47" s="55">
        <f>INDEX(M2_Table_MN_j_m,9,6)</f>
        <v>1298.2815695085274</v>
      </c>
      <c r="U47" s="55">
        <f>INDEX(M2_Table_MN_j_m,9,7)</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INDEX(X_Table_Dairy_ProductionSystems_Method1,3,1)</f>
        <v>Milking shed</v>
      </c>
      <c r="E52" s="55" t="str">
        <f>INDEX(X_Table_Dairy_Stage1MMS_1_AnaerobicLagoon,2,1)</f>
        <v>Anaerobic lagoon</v>
      </c>
      <c r="F52" s="55">
        <v>0</v>
      </c>
      <c r="G52" s="55">
        <v>0</v>
      </c>
      <c r="H52" s="55">
        <v>0</v>
      </c>
      <c r="I52" s="55">
        <v>0</v>
      </c>
      <c r="J52" s="55">
        <v>0</v>
      </c>
      <c r="K52" s="2" t="str">
        <f>$G$16</f>
        <v>kg N</v>
      </c>
      <c r="O52" s="55" t="str">
        <f>INDEX(X_Table_Dairy_ProductionSystems_Method1,3,1)</f>
        <v>Milking shed</v>
      </c>
      <c r="P52" s="55" t="str">
        <f>INDEX(X_Table_Dairy_Stage1MMS_1_AnaerobicLagoon,2,1)</f>
        <v>Anaerobic lagoon</v>
      </c>
      <c r="Q52" s="55">
        <v>0</v>
      </c>
      <c r="R52" s="55">
        <v>0</v>
      </c>
      <c r="S52" s="55">
        <v>0</v>
      </c>
      <c r="T52" s="55">
        <v>0</v>
      </c>
      <c r="U52" s="55">
        <v>0</v>
      </c>
      <c r="V52" s="2" t="str">
        <f>$G$16</f>
        <v>kg N</v>
      </c>
    </row>
    <row r="53" spans="4:22" ht="20.100000000000001" customHeight="1" x14ac:dyDescent="0.25">
      <c r="D53" s="55" t="str">
        <f>INDEX(X_Table_Dairy_ProductionSystems_Method1,3,1)</f>
        <v>Milking shed</v>
      </c>
      <c r="E53" s="55" t="str">
        <f>INDEX(X_Table_Dairy_Stage1MMS_1_SumpAndDispersal,2,1)</f>
        <v>Sump and dispersal system</v>
      </c>
      <c r="F53" s="55">
        <v>0</v>
      </c>
      <c r="G53" s="55">
        <v>0</v>
      </c>
      <c r="H53" s="55">
        <v>0</v>
      </c>
      <c r="I53" s="55">
        <v>0</v>
      </c>
      <c r="J53" s="55">
        <v>0</v>
      </c>
      <c r="K53" s="2"/>
      <c r="O53" s="55" t="str">
        <f>INDEX(X_Table_Dairy_ProductionSystems_Method1,3,1)</f>
        <v>Milking shed</v>
      </c>
      <c r="P53" s="55" t="str">
        <f>INDEX(X_Table_Dairy_Stage1MMS_1_SumpAndDispersal,2,1)</f>
        <v>Sump and dispersal system</v>
      </c>
      <c r="Q53" s="55">
        <v>0</v>
      </c>
      <c r="R53" s="55">
        <v>0</v>
      </c>
      <c r="S53" s="55">
        <v>0</v>
      </c>
      <c r="T53" s="55">
        <v>0</v>
      </c>
      <c r="U53" s="55">
        <v>0</v>
      </c>
      <c r="V53" s="2"/>
    </row>
    <row r="54" spans="4:22" ht="20.100000000000001" customHeight="1" x14ac:dyDescent="0.25">
      <c r="D54" s="55" t="str">
        <f>INDEX(X_Table_Dairy_ProductionSystems_Method1,3,1)</f>
        <v>Milking shed</v>
      </c>
      <c r="E54" s="55" t="str">
        <f>INDEX(X_Table_Dairy_Stage1MMS_1_DrainsToPaddock,2,1)</f>
        <v>Drains to paddock</v>
      </c>
      <c r="F54" s="55">
        <v>0</v>
      </c>
      <c r="G54" s="55">
        <v>0</v>
      </c>
      <c r="H54" s="55">
        <v>0</v>
      </c>
      <c r="I54" s="55">
        <v>0</v>
      </c>
      <c r="J54" s="55">
        <v>0</v>
      </c>
      <c r="K54" s="2"/>
      <c r="O54" s="55" t="str">
        <f>INDEX(X_Table_Dairy_ProductionSystems_Method1,3,1)</f>
        <v>Milking shed</v>
      </c>
      <c r="P54" s="55" t="str">
        <f>INDEX(X_Table_Dairy_Stage1MMS_1_DrainsToPaddock,2,1)</f>
        <v>Drains to paddock</v>
      </c>
      <c r="Q54" s="55">
        <v>0</v>
      </c>
      <c r="R54" s="55">
        <v>0</v>
      </c>
      <c r="S54" s="55">
        <v>0</v>
      </c>
      <c r="T54" s="55">
        <v>0</v>
      </c>
      <c r="U54" s="55">
        <v>0</v>
      </c>
      <c r="V54" s="2"/>
    </row>
    <row r="55" spans="4:22" ht="20.100000000000001" customHeight="1" x14ac:dyDescent="0.25">
      <c r="D55" s="55" t="str">
        <f>INDEX(X_Table_Dairy_ProductionSystems_Method1,3,1)</f>
        <v>Milking shed</v>
      </c>
      <c r="E55" s="55" t="s">
        <v>407</v>
      </c>
      <c r="F55" s="55">
        <f>INDEX(M1_Table_MN_leach_j_m4,2,3)</f>
        <v>18.757576342864184</v>
      </c>
      <c r="G55" s="55">
        <f>INDEX(M1_Table_MN_leach_j_m4,2,4)</f>
        <v>7.2943161071128308</v>
      </c>
      <c r="H55" s="55">
        <f>INDEX(M1_Table_MN_leach_j_m4,2,5)</f>
        <v>2.9052489649537363</v>
      </c>
      <c r="I55" s="55">
        <f>INDEX(M1_Table_MN_leach_j_m4,2,6)</f>
        <v>9.1692438295947358</v>
      </c>
      <c r="J55" s="55">
        <f>INDEX(M1_Table_MN_leach_j_m4,2,7)</f>
        <v>3.8385142831622159</v>
      </c>
      <c r="K55" s="2"/>
      <c r="O55" s="55" t="str">
        <f>INDEX(X_Table_Dairy_ProductionSystems_Method1,3,1)</f>
        <v>Milking shed</v>
      </c>
      <c r="P55" s="55" t="s">
        <v>407</v>
      </c>
      <c r="Q55" s="55">
        <f>INDEX(M2_Table_MN_leach_j_m4,2,3)</f>
        <v>18.757576342864184</v>
      </c>
      <c r="R55" s="55">
        <f>INDEX(M2_Table_MN_leach_j_m4,2,4)</f>
        <v>7.2943161071128308</v>
      </c>
      <c r="S55" s="55">
        <f>INDEX(M2_Table_MN_leach_j_m4,2,5)</f>
        <v>2.9052489649537363</v>
      </c>
      <c r="T55" s="55">
        <f>INDEX(M2_Table_MN_leach_j_m4,2,6)</f>
        <v>9.1692438295947358</v>
      </c>
      <c r="U55" s="55">
        <f>INDEX(M2_Table_MN_leach_j_m4,2,7)</f>
        <v>3.8385142831622159</v>
      </c>
      <c r="V55" s="2"/>
    </row>
    <row r="56" spans="4:22" ht="20.100000000000001" customHeight="1" x14ac:dyDescent="0.25">
      <c r="D56" s="55" t="str">
        <f>INDEX(X_Table_Dairy_ProductionSystems_Method1,4,1)</f>
        <v>Feed pad</v>
      </c>
      <c r="E56" s="55" t="str">
        <f>INDEX(X_Table_Dairy_Stage1MMS_2_AnaerobicLagoon,2,1)</f>
        <v>Anaerobic lagoon</v>
      </c>
      <c r="F56" s="55">
        <v>0</v>
      </c>
      <c r="G56" s="55">
        <v>0</v>
      </c>
      <c r="H56" s="55">
        <v>0</v>
      </c>
      <c r="I56" s="55">
        <v>0</v>
      </c>
      <c r="J56" s="55">
        <v>0</v>
      </c>
      <c r="K56" s="2"/>
      <c r="O56" s="55" t="str">
        <f>INDEX(X_Table_Dairy_ProductionSystems_Method1,4,1)</f>
        <v>Feed pad</v>
      </c>
      <c r="P56" s="55" t="str">
        <f>INDEX(X_Table_Dairy_Stage1MMS_2_AnaerobicLagoon,2,1)</f>
        <v>Anaerobic lagoon</v>
      </c>
      <c r="Q56" s="55">
        <v>0</v>
      </c>
      <c r="R56" s="55">
        <v>0</v>
      </c>
      <c r="S56" s="55">
        <v>0</v>
      </c>
      <c r="T56" s="55">
        <v>0</v>
      </c>
      <c r="U56" s="55">
        <v>0</v>
      </c>
      <c r="V56" s="2"/>
    </row>
    <row r="57" spans="4:22" ht="20.100000000000001" customHeight="1" x14ac:dyDescent="0.25">
      <c r="D57" s="55" t="str">
        <f>INDEX(X_Table_Dairy_ProductionSystems_Method1,4,1)</f>
        <v>Feed pad</v>
      </c>
      <c r="E57" s="55" t="str">
        <f>INDEX(X_Table_Dairy_Stage1MMS_2_SumpAndDispersal,2,1)</f>
        <v>Sump and dispersal system</v>
      </c>
      <c r="F57" s="55">
        <v>0</v>
      </c>
      <c r="G57" s="55">
        <v>0</v>
      </c>
      <c r="H57" s="55">
        <v>0</v>
      </c>
      <c r="I57" s="55">
        <v>0</v>
      </c>
      <c r="J57" s="55">
        <v>0</v>
      </c>
      <c r="K57" s="2"/>
      <c r="O57" s="55" t="str">
        <f>INDEX(X_Table_Dairy_ProductionSystems_Method1,4,1)</f>
        <v>Feed pad</v>
      </c>
      <c r="P57" s="55" t="str">
        <f>INDEX(X_Table_Dairy_Stage1MMS_2_SumpAndDispersal,2,1)</f>
        <v>Sump and dispersal system</v>
      </c>
      <c r="Q57" s="55">
        <v>0</v>
      </c>
      <c r="R57" s="55">
        <v>0</v>
      </c>
      <c r="S57" s="55">
        <v>0</v>
      </c>
      <c r="T57" s="55">
        <v>0</v>
      </c>
      <c r="U57" s="55">
        <v>0</v>
      </c>
      <c r="V57" s="2"/>
    </row>
    <row r="58" spans="4:22" ht="20.100000000000001" customHeight="1" x14ac:dyDescent="0.25">
      <c r="D58" s="55" t="str">
        <f>INDEX(X_Table_Dairy_ProductionSystems_Method1,4,1)</f>
        <v>Feed pad</v>
      </c>
      <c r="E58" s="55" t="str">
        <f>INDEX(X_Table_Dairy_Stage1MMS_2_DrainsToPaddock,2,1)</f>
        <v>Drains to paddock</v>
      </c>
      <c r="F58" s="55">
        <v>0</v>
      </c>
      <c r="G58" s="55">
        <v>0</v>
      </c>
      <c r="H58" s="55">
        <v>0</v>
      </c>
      <c r="I58" s="55">
        <v>0</v>
      </c>
      <c r="J58" s="55">
        <v>0</v>
      </c>
      <c r="K58" s="2"/>
      <c r="O58" s="55" t="str">
        <f>INDEX(X_Table_Dairy_ProductionSystems_Method1,4,1)</f>
        <v>Feed pad</v>
      </c>
      <c r="P58" s="55" t="str">
        <f>INDEX(X_Table_Dairy_Stage1MMS_2_DrainsToPaddock,2,1)</f>
        <v>Drains to paddock</v>
      </c>
      <c r="Q58" s="55">
        <v>0</v>
      </c>
      <c r="R58" s="55">
        <v>0</v>
      </c>
      <c r="S58" s="55">
        <v>0</v>
      </c>
      <c r="T58" s="55">
        <v>0</v>
      </c>
      <c r="U58" s="55">
        <v>0</v>
      </c>
      <c r="V58" s="2"/>
    </row>
    <row r="59" spans="4:22" ht="20.100000000000001" customHeight="1" x14ac:dyDescent="0.25">
      <c r="D59" s="55" t="str">
        <f>INDEX(X_Table_Dairy_ProductionSystems_Method1,4,1)</f>
        <v>Feed pad</v>
      </c>
      <c r="E59" s="55" t="s">
        <v>407</v>
      </c>
      <c r="F59" s="55">
        <f>INDEX(M1_Table_MN_leach_j_m4,3,3)</f>
        <v>53.118045734565392</v>
      </c>
      <c r="G59" s="55">
        <f>INDEX(M1_Table_MN_leach_j_m4,3,4)</f>
        <v>20.656176976051334</v>
      </c>
      <c r="H59" s="55">
        <f>INDEX(M1_Table_MN_leach_j_m4,3,5)</f>
        <v>8.2271368416644446</v>
      </c>
      <c r="I59" s="55">
        <f>INDEX(M1_Table_MN_leach_j_m4,3,6)</f>
        <v>25.965631390170547</v>
      </c>
      <c r="J59" s="55">
        <f>INDEX(M1_Table_MN_leach_j_m4,3,7)</f>
        <v>10.869974538227549</v>
      </c>
      <c r="K59" s="2"/>
      <c r="O59" s="55" t="str">
        <f>INDEX(X_Table_Dairy_ProductionSystems_Method1,4,1)</f>
        <v>Feed pad</v>
      </c>
      <c r="P59" s="55" t="s">
        <v>407</v>
      </c>
      <c r="Q59" s="55">
        <f>INDEX(M2_Table_MN_leach_j_m4,3,3)</f>
        <v>53.118045734565392</v>
      </c>
      <c r="R59" s="55">
        <f>INDEX(M2_Table_MN_leach_j_m4,3,4)</f>
        <v>20.656176976051334</v>
      </c>
      <c r="S59" s="55">
        <f>INDEX(M2_Table_MN_leach_j_m4,3,5)</f>
        <v>8.2271368416644446</v>
      </c>
      <c r="T59" s="55">
        <f>INDEX(M2_Table_MN_leach_j_m4,3,6)</f>
        <v>25.965631390170547</v>
      </c>
      <c r="U59" s="55">
        <f>INDEX(M2_Table_MN_leach_j_m4,3,7)</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INDEX(X_Table_Dairy_ProductionSystems_Method1,3,1)</f>
        <v>Milking shed</v>
      </c>
      <c r="E64" s="55" t="str">
        <f>INDEX(X_Table_Dairy_Stage1MMS_1_AnaerobicLagoon,2,1)</f>
        <v>Anaerobic lagoon</v>
      </c>
      <c r="F64" s="55">
        <f ca="1">SUM(OFFSET(X_Table_Dairy_Stage1MMS_1_AnaerobicLagoon_Destinations,1,2,1,2))</f>
        <v>0.75</v>
      </c>
      <c r="G64" s="2" t="str">
        <f>$G$17</f>
        <v>fraction</v>
      </c>
    </row>
    <row r="65" spans="4:22" ht="20.100000000000001" customHeight="1" x14ac:dyDescent="0.25">
      <c r="D65" s="55" t="str">
        <f>INDEX(X_Table_Dairy_ProductionSystems_Method1,3,1)</f>
        <v>Milking shed</v>
      </c>
      <c r="E65" s="55" t="str">
        <f>INDEX(X_Table_Dairy_Stage1MMS_1_SumpAndDispersal,2,1)</f>
        <v>Sump and dispersal system</v>
      </c>
      <c r="F65" s="55">
        <f ca="1">SUM(OFFSET(X_Table_Dairy_Stage1MMS_1_SumpAndDispersal_Destinations,1,2,1,2))</f>
        <v>0.75</v>
      </c>
      <c r="G65" s="2"/>
    </row>
    <row r="66" spans="4:22" ht="20.100000000000001" customHeight="1" x14ac:dyDescent="0.25">
      <c r="D66" s="55" t="str">
        <f>INDEX(X_Table_Dairy_ProductionSystems_Method1,3,1)</f>
        <v>Milking shed</v>
      </c>
      <c r="E66" s="55" t="str">
        <f>INDEX(X_Table_Dairy_Stage1MMS_1_DrainsToPaddock,2,1)</f>
        <v>Drains to paddock</v>
      </c>
      <c r="F66" s="55">
        <f ca="1">SUM(OFFSET(X_Table_Dairy_Stage1MMS_1_DrainsToPaddock_Destinations,1,2,1,2))</f>
        <v>0.75</v>
      </c>
      <c r="G66" s="2"/>
    </row>
    <row r="67" spans="4:22" ht="20.100000000000001" customHeight="1" x14ac:dyDescent="0.25">
      <c r="D67" s="55" t="str">
        <f>INDEX(X_Table_Dairy_ProductionSystems_Method1,3,1)</f>
        <v>Milking shed</v>
      </c>
      <c r="E67" s="55" t="str">
        <f>INDEX(X_Table_Dairy_Stage1MMS_1_SolidStorage,2,1)</f>
        <v>Solid storage (before solid separation)</v>
      </c>
      <c r="F67" s="55">
        <f ca="1">SUM(OFFSET(X_Table_Dairy_Stage1MMS_1_SolidStorage_Destinations,1,2,1,2))</f>
        <v>0.75</v>
      </c>
      <c r="G67" s="2"/>
    </row>
    <row r="68" spans="4:22" ht="20.100000000000001" customHeight="1" x14ac:dyDescent="0.25">
      <c r="D68" s="55" t="str">
        <f>INDEX(X_Table_Dairy_ProductionSystems_Method1,4,1)</f>
        <v>Feed pad</v>
      </c>
      <c r="E68" s="55" t="str">
        <f>INDEX(X_Table_Dairy_Stage1MMS_2_AnaerobicLagoon,2,1)</f>
        <v>Anaerobic lagoon</v>
      </c>
      <c r="F68" s="55">
        <f ca="1">SUM(OFFSET(X_Table_Dairy_Stage1MMS_2_AnaerobicLagoon_Destinations,1,2,1,2))</f>
        <v>0.75</v>
      </c>
      <c r="G68" s="2"/>
    </row>
    <row r="69" spans="4:22" ht="20.100000000000001" customHeight="1" x14ac:dyDescent="0.25">
      <c r="D69" s="55" t="str">
        <f>INDEX(X_Table_Dairy_ProductionSystems_Method1,4,1)</f>
        <v>Feed pad</v>
      </c>
      <c r="E69" s="55" t="str">
        <f>INDEX(X_Table_Dairy_Stage1MMS_2_SumpAndDispersal,2,1)</f>
        <v>Sump and dispersal system</v>
      </c>
      <c r="F69" s="55">
        <f ca="1">SUM(OFFSET(X_Table_Dairy_Stage1MMS_2_SumpAndDispersal_Destinations,1,2,1,2))</f>
        <v>0.75</v>
      </c>
      <c r="G69" s="2"/>
    </row>
    <row r="70" spans="4:22" ht="20.100000000000001" customHeight="1" x14ac:dyDescent="0.25">
      <c r="D70" s="55" t="str">
        <f>INDEX(X_Table_Dairy_ProductionSystems_Method1,4,1)</f>
        <v>Feed pad</v>
      </c>
      <c r="E70" s="55" t="str">
        <f>INDEX(X_Table_Dairy_Stage1MMS_2_DrainsToPaddock,2,1)</f>
        <v>Drains to paddock</v>
      </c>
      <c r="F70" s="55">
        <f ca="1">SUM(OFFSET(X_Table_Dairy_Stage1MMS_2_DrainsToPaddock_Destinations,1,2,1,2))</f>
        <v>0.75</v>
      </c>
      <c r="G70" s="2"/>
    </row>
    <row r="71" spans="4:22" ht="20.100000000000001" customHeight="1" x14ac:dyDescent="0.25">
      <c r="D71" s="55" t="str">
        <f>INDEX(X_Table_Dairy_ProductionSystems_Method1,4,1)</f>
        <v>Feed pad</v>
      </c>
      <c r="E71" s="55" t="str">
        <f>INDEX(X_Table_Dairy_Stage1MMS_2_SolidStorage,2,1)</f>
        <v>Solid storage (before solid separation)</v>
      </c>
      <c r="F71" s="55">
        <f ca="1">SUM(OFFSET(X_Table_Dairy_Stage1MMS_2_SolidStorage_Destinations,1,2,1,2))</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INDEX(X_Table_Dairy_ProductionSystems_Method1,3,1)</f>
        <v>Milking shed</v>
      </c>
      <c r="E76" s="55" t="str">
        <f>INDEX(X_Table_Dairy_Stage1MMS_1_AnaerobicLagoon,2,1)</f>
        <v>Anaerobic lagoon</v>
      </c>
      <c r="F76" s="55" cm="1">
        <f t="array" aca="1" ref="F76" ca="1">MMS_Dairy_ManureAppliedToSoils_Equations.VEERG_4_3_1_8__1_MassOfNitrogenAppliedToSoilsScope1(F40,_xlfn.XLOOKUP($E76,$D$22:$D$26,$E$22:$E$26),_xlfn.XLOOKUP($E76, $D$31:$D$35,$E$31:$E$35),F52,$F64)</f>
        <v>228.60796167865729</v>
      </c>
      <c r="G76" s="55" cm="1">
        <f t="array" aca="1" ref="G76" ca="1">MMS_Dairy_ManureAppliedToSoils_Equations.VEERG_4_3_1_8__1_MassOfNitrogenAppliedToSoilsScope1(G40,_xlfn.XLOOKUP($E76,$D$22:$D$26,$E$22:$E$26),_xlfn.XLOOKUP($E76, $D$31:$D$35,$E$31:$E$35),G52,$F64)</f>
        <v>88.899477555437642</v>
      </c>
      <c r="H76" s="55" cm="1">
        <f t="array" aca="1" ref="H76" ca="1">MMS_Dairy_ManureAppliedToSoils_Equations.VEERG_4_3_1_8__1_MassOfNitrogenAppliedToSoilsScope1(H40,_xlfn.XLOOKUP($E76,$D$22:$D$26,$E$22:$E$26),_xlfn.XLOOKUP($E76, $D$31:$D$35,$E$31:$E$35),H52,$F64)</f>
        <v>35.407721760373668</v>
      </c>
      <c r="I76" s="55" cm="1">
        <f t="array" aca="1" ref="I76" ca="1">MMS_Dairy_ManureAppliedToSoils_Equations.VEERG_4_3_1_8__1_MassOfNitrogenAppliedToSoilsScope1(I40,_xlfn.XLOOKUP($E76,$D$22:$D$26,$E$22:$E$26),_xlfn.XLOOKUP($E76, $D$31:$D$35,$E$31:$E$35),I52,$F64)</f>
        <v>111.75015917318586</v>
      </c>
      <c r="J76" s="55" cm="1">
        <f t="array" aca="1" ref="J76" ca="1">MMS_Dairy_ManureAppliedToSoils_Equations.VEERG_4_3_1_8__1_MassOfNitrogenAppliedToSoilsScope1(J40,_xlfn.XLOOKUP($E76,$D$22:$D$26,$E$22:$E$26),_xlfn.XLOOKUP($E76, $D$31:$D$35,$E$31:$E$35),J52,$F64)</f>
        <v>46.78189282603951</v>
      </c>
      <c r="K76" s="2" t="str">
        <f t="shared" ref="K76" si="0">$E$11</f>
        <v>kg N</v>
      </c>
      <c r="O76" s="55" t="str">
        <f>INDEX(X_Table_Dairy_ProductionSystems_Method1,3,1)</f>
        <v>Milking shed</v>
      </c>
      <c r="P76" s="55" t="str">
        <f>INDEX(X_Table_Dairy_Stage1MMS_1_AnaerobicLagoon,2,1)</f>
        <v>Anaerobic lagoon</v>
      </c>
      <c r="Q76" s="55" cm="1">
        <f t="array" aca="1" ref="Q76" ca="1">MMS_Dairy_ManureAppliedToSoils_Equations.VEERG_4_3_1_8__1_MassOfNitrogenAppliedToSoilsScope1(Q40,_xlfn.XLOOKUP($P76,$D$22:$D$26,$E$22:$E$26),_xlfn.XLOOKUP($P76, $D$31:$D$35,$E$31:$E$35),Q52,$F64)</f>
        <v>228.60796167865729</v>
      </c>
      <c r="R76" s="55" cm="1">
        <f t="array" aca="1" ref="R76" ca="1">MMS_Dairy_ManureAppliedToSoils_Equations.VEERG_4_3_1_8__1_MassOfNitrogenAppliedToSoilsScope1(R40,_xlfn.XLOOKUP($P76,$D$22:$D$26,$E$22:$E$26),_xlfn.XLOOKUP($P76, $D$31:$D$35,$E$31:$E$35),R52,$F64)</f>
        <v>88.899477555437642</v>
      </c>
      <c r="S76" s="55" cm="1">
        <f t="array" aca="1" ref="S76" ca="1">MMS_Dairy_ManureAppliedToSoils_Equations.VEERG_4_3_1_8__1_MassOfNitrogenAppliedToSoilsScope1(S40,_xlfn.XLOOKUP($P76,$D$22:$D$26,$E$22:$E$26),_xlfn.XLOOKUP($P76, $D$31:$D$35,$E$31:$E$35),S52,$F64)</f>
        <v>35.407721760373668</v>
      </c>
      <c r="T76" s="55" cm="1">
        <f t="array" aca="1" ref="T76" ca="1">MMS_Dairy_ManureAppliedToSoils_Equations.VEERG_4_3_1_8__1_MassOfNitrogenAppliedToSoilsScope1(T40,_xlfn.XLOOKUP($P76,$D$22:$D$26,$E$22:$E$26),_xlfn.XLOOKUP($P76, $D$31:$D$35,$E$31:$E$35),T52,$F64)</f>
        <v>111.75015917318586</v>
      </c>
      <c r="U76" s="55"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INDEX(X_Table_Dairy_ProductionSystems_Method1,3,1)</f>
        <v>Milking shed</v>
      </c>
      <c r="E77" s="55" t="str">
        <f>INDEX(X_Table_Dairy_Stage1MMS_1_SumpAndDispersal,2,1)</f>
        <v>Sump and dispersal system</v>
      </c>
      <c r="F77" s="55" cm="1">
        <f t="array" aca="1" ref="F77" ca="1">MMS_Dairy_ManureAppliedToSoils_Equations.VEERG_4_3_1_8__1_MassOfNitrogenAppliedToSoilsScope1(F41,_xlfn.XLOOKUP($E77,$D$22:$D$26,$E$22:$E$26),_xlfn.XLOOKUP($E77, $D$31:$D$35,$E$31:$E$35),F53,$F65)</f>
        <v>327.08523747869424</v>
      </c>
      <c r="G77" s="55" cm="1">
        <f t="array" aca="1" ref="G77" ca="1">MMS_Dairy_ManureAppliedToSoils_Equations.VEERG_4_3_1_8__1_MassOfNitrogenAppliedToSoilsScope1(G41,_xlfn.XLOOKUP($E77,$D$22:$D$26,$E$22:$E$26),_xlfn.XLOOKUP($E77, $D$31:$D$35,$E$31:$E$35),G53,$F65)</f>
        <v>127.19463711777999</v>
      </c>
      <c r="H77" s="55" cm="1">
        <f t="array" aca="1" ref="H77" ca="1">MMS_Dairy_ManureAppliedToSoils_Equations.VEERG_4_3_1_8__1_MassOfNitrogenAppliedToSoilsScope1(H41,_xlfn.XLOOKUP($E77,$D$22:$D$26,$E$22:$E$26),_xlfn.XLOOKUP($E77, $D$31:$D$35,$E$31:$E$35),H53,$F65)</f>
        <v>50.660278826380789</v>
      </c>
      <c r="I77" s="55" cm="1">
        <f t="array" aca="1" ref="I77" ca="1">MMS_Dairy_ManureAppliedToSoils_Equations.VEERG_4_3_1_8__1_MassOfNitrogenAppliedToSoilsScope1(I41,_xlfn.XLOOKUP($E77,$D$22:$D$26,$E$22:$E$26),_xlfn.XLOOKUP($E77, $D$31:$D$35,$E$31:$E$35),I53,$F65)</f>
        <v>159.88868927855822</v>
      </c>
      <c r="J77" s="55" cm="1">
        <f t="array" aca="1" ref="J77" ca="1">MMS_Dairy_ManureAppliedToSoils_Equations.VEERG_4_3_1_8__1_MassOfNitrogenAppliedToSoilsScope1(J41,_xlfn.XLOOKUP($E77,$D$22:$D$26,$E$22:$E$26),_xlfn.XLOOKUP($E77, $D$31:$D$35,$E$31:$E$35),J53,$F65)</f>
        <v>66.934092812641154</v>
      </c>
      <c r="K77" s="2"/>
      <c r="O77" s="55" t="str">
        <f>INDEX(X_Table_Dairy_ProductionSystems_Method1,3,1)</f>
        <v>Milking shed</v>
      </c>
      <c r="P77" s="55" t="str">
        <f>INDEX(X_Table_Dairy_Stage1MMS_1_SumpAndDispersal,2,1)</f>
        <v>Sump and dispersal system</v>
      </c>
      <c r="Q77" s="55" cm="1">
        <f t="array" aca="1" ref="Q77" ca="1">MMS_Dairy_ManureAppliedToSoils_Equations.VEERG_4_3_1_8__1_MassOfNitrogenAppliedToSoilsScope1(Q41,_xlfn.XLOOKUP($P77,$D$22:$D$26,$E$22:$E$26),_xlfn.XLOOKUP($P77, $D$31:$D$35,$E$31:$E$35),Q53,$F65)</f>
        <v>327.08523747869424</v>
      </c>
      <c r="R77" s="55" cm="1">
        <f t="array" aca="1" ref="R77" ca="1">MMS_Dairy_ManureAppliedToSoils_Equations.VEERG_4_3_1_8__1_MassOfNitrogenAppliedToSoilsScope1(R41,_xlfn.XLOOKUP($P77,$D$22:$D$26,$E$22:$E$26),_xlfn.XLOOKUP($P77, $D$31:$D$35,$E$31:$E$35),R53,$F65)</f>
        <v>127.19463711777999</v>
      </c>
      <c r="S77" s="55" cm="1">
        <f t="array" aca="1" ref="S77" ca="1">MMS_Dairy_ManureAppliedToSoils_Equations.VEERG_4_3_1_8__1_MassOfNitrogenAppliedToSoilsScope1(S41,_xlfn.XLOOKUP($P77,$D$22:$D$26,$E$22:$E$26),_xlfn.XLOOKUP($P77, $D$31:$D$35,$E$31:$E$35),S53,$F65)</f>
        <v>50.660278826380789</v>
      </c>
      <c r="T77" s="55" cm="1">
        <f t="array" aca="1" ref="T77" ca="1">MMS_Dairy_ManureAppliedToSoils_Equations.VEERG_4_3_1_8__1_MassOfNitrogenAppliedToSoilsScope1(T41,_xlfn.XLOOKUP($P77,$D$22:$D$26,$E$22:$E$26),_xlfn.XLOOKUP($P77, $D$31:$D$35,$E$31:$E$35),T53,$F65)</f>
        <v>159.88868927855822</v>
      </c>
      <c r="U77" s="55"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INDEX(X_Table_Dairy_ProductionSystems_Method1,3,1)</f>
        <v>Milking shed</v>
      </c>
      <c r="E78" s="55" t="str">
        <f>INDEX(X_Table_Dairy_Stage1MMS_1_DrainsToPaddock,2,1)</f>
        <v>Drains to paddock</v>
      </c>
      <c r="F78" s="55" cm="1">
        <f t="array" aca="1" ref="F78" ca="1">MMS_Dairy_ManureAppliedToSoils_Equations.VEERG_4_3_1_8__1_MassOfNitrogenAppliedToSoilsScope1(F42,_xlfn.XLOOKUP($E78,$D$22:$D$26,$E$22:$E$26),_xlfn.XLOOKUP($E78, $D$31:$D$35,$E$31:$E$35),F54,$F66)</f>
        <v>281.36364514296281</v>
      </c>
      <c r="G78" s="55" cm="1">
        <f t="array" aca="1" ref="G78" ca="1">MMS_Dairy_ManureAppliedToSoils_Equations.VEERG_4_3_1_8__1_MassOfNitrogenAppliedToSoilsScope1(G42,_xlfn.XLOOKUP($E78,$D$22:$D$26,$E$22:$E$26),_xlfn.XLOOKUP($E78, $D$31:$D$35,$E$31:$E$35),G54,$F66)</f>
        <v>109.41474160669247</v>
      </c>
      <c r="H78" s="55" cm="1">
        <f t="array" aca="1" ref="H78" ca="1">MMS_Dairy_ManureAppliedToSoils_Equations.VEERG_4_3_1_8__1_MassOfNitrogenAppliedToSoilsScope1(H42,_xlfn.XLOOKUP($E78,$D$22:$D$26,$E$22:$E$26),_xlfn.XLOOKUP($E78, $D$31:$D$35,$E$31:$E$35),H54,$F66)</f>
        <v>43.57873447430606</v>
      </c>
      <c r="I78" s="55" cm="1">
        <f t="array" aca="1" ref="I78" ca="1">MMS_Dairy_ManureAppliedToSoils_Equations.VEERG_4_3_1_8__1_MassOfNitrogenAppliedToSoilsScope1(I42,_xlfn.XLOOKUP($E78,$D$22:$D$26,$E$22:$E$26),_xlfn.XLOOKUP($E78, $D$31:$D$35,$E$31:$E$35),I54,$F66)</f>
        <v>137.53865744392107</v>
      </c>
      <c r="J78" s="55" cm="1">
        <f t="array" aca="1" ref="J78" ca="1">MMS_Dairy_ManureAppliedToSoils_Equations.VEERG_4_3_1_8__1_MassOfNitrogenAppliedToSoilsScope1(J42,_xlfn.XLOOKUP($E78,$D$22:$D$26,$E$22:$E$26),_xlfn.XLOOKUP($E78, $D$31:$D$35,$E$31:$E$35),J54,$F66)</f>
        <v>57.577714247433249</v>
      </c>
      <c r="K78" s="2"/>
      <c r="O78" s="55" t="str">
        <f>INDEX(X_Table_Dairy_ProductionSystems_Method1,3,1)</f>
        <v>Milking shed</v>
      </c>
      <c r="P78" s="55" t="str">
        <f>INDEX(X_Table_Dairy_Stage1MMS_1_DrainsToPaddock,2,1)</f>
        <v>Drains to paddock</v>
      </c>
      <c r="Q78" s="55" cm="1">
        <f t="array" aca="1" ref="Q78" ca="1">MMS_Dairy_ManureAppliedToSoils_Equations.VEERG_4_3_1_8__1_MassOfNitrogenAppliedToSoilsScope1(Q42,_xlfn.XLOOKUP($P78,$D$22:$D$26,$E$22:$E$26),_xlfn.XLOOKUP($P78, $D$31:$D$35,$E$31:$E$35),Q54,$F66)</f>
        <v>281.36364514296281</v>
      </c>
      <c r="R78" s="55" cm="1">
        <f t="array" aca="1" ref="R78" ca="1">MMS_Dairy_ManureAppliedToSoils_Equations.VEERG_4_3_1_8__1_MassOfNitrogenAppliedToSoilsScope1(R42,_xlfn.XLOOKUP($P78,$D$22:$D$26,$E$22:$E$26),_xlfn.XLOOKUP($P78, $D$31:$D$35,$E$31:$E$35),R54,$F66)</f>
        <v>109.41474160669247</v>
      </c>
      <c r="S78" s="55" cm="1">
        <f t="array" aca="1" ref="S78" ca="1">MMS_Dairy_ManureAppliedToSoils_Equations.VEERG_4_3_1_8__1_MassOfNitrogenAppliedToSoilsScope1(S42,_xlfn.XLOOKUP($P78,$D$22:$D$26,$E$22:$E$26),_xlfn.XLOOKUP($P78, $D$31:$D$35,$E$31:$E$35),S54,$F66)</f>
        <v>43.57873447430606</v>
      </c>
      <c r="T78" s="55" cm="1">
        <f t="array" aca="1" ref="T78" ca="1">MMS_Dairy_ManureAppliedToSoils_Equations.VEERG_4_3_1_8__1_MassOfNitrogenAppliedToSoilsScope1(T42,_xlfn.XLOOKUP($P78,$D$22:$D$26,$E$22:$E$26),_xlfn.XLOOKUP($P78, $D$31:$D$35,$E$31:$E$35),T54,$F66)</f>
        <v>137.53865744392107</v>
      </c>
      <c r="U78" s="55"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INDEX(X_Table_Dairy_ProductionSystems_Method1,3,1)</f>
        <v>Milking shed</v>
      </c>
      <c r="E79" s="55" t="s">
        <v>407</v>
      </c>
      <c r="F79" s="55" cm="1">
        <f t="array" aca="1" ref="F79" ca="1">MMS_Dairy_ManureAppliedToSoils_Equations.VEERG_4_3_1_8__1_MassOfNitrogenAppliedToSoilsScope1(F43,_xlfn.XLOOKUP($E79,$D$22:$D$26,$E$22:$E$26),_xlfn.XLOOKUP($E79, $D$31:$D$35,$E$31:$E$35),F55,$F67)</f>
        <v>474.80115117874976</v>
      </c>
      <c r="G79" s="55" cm="1">
        <f t="array" aca="1" ref="G79" ca="1">MMS_Dairy_ManureAppliedToSoils_Equations.VEERG_4_3_1_8__1_MassOfNitrogenAppliedToSoilsScope1(G43,_xlfn.XLOOKUP($E79,$D$22:$D$26,$E$22:$E$26),_xlfn.XLOOKUP($E79, $D$31:$D$35,$E$31:$E$35),G55,$F67)</f>
        <v>184.63737646129354</v>
      </c>
      <c r="H79" s="55" cm="1">
        <f t="array" aca="1" ref="H79" ca="1">MMS_Dairy_ManureAppliedToSoils_Equations.VEERG_4_3_1_8__1_MassOfNitrogenAppliedToSoilsScope1(H43,_xlfn.XLOOKUP($E79,$D$22:$D$26,$E$22:$E$26),_xlfn.XLOOKUP($E79, $D$31:$D$35,$E$31:$E$35),H55,$F67)</f>
        <v>73.539114425391446</v>
      </c>
      <c r="I79" s="55" cm="1">
        <f t="array" aca="1" ref="I79" ca="1">MMS_Dairy_ManureAppliedToSoils_Equations.VEERG_4_3_1_8__1_MassOfNitrogenAppliedToSoilsScope1(I43,_xlfn.XLOOKUP($E79,$D$22:$D$26,$E$22:$E$26),_xlfn.XLOOKUP($E79, $D$31:$D$35,$E$31:$E$35),I55,$F67)</f>
        <v>232.09648443661678</v>
      </c>
      <c r="J79" s="55" cm="1">
        <f t="array" aca="1" ref="J79" ca="1">MMS_Dairy_ManureAppliedToSoils_Equations.VEERG_4_3_1_8__1_MassOfNitrogenAppliedToSoilsScope1(J43,_xlfn.XLOOKUP($E79,$D$22:$D$26,$E$22:$E$26),_xlfn.XLOOKUP($E79, $D$31:$D$35,$E$31:$E$35),J55,$F67)</f>
        <v>97.162392792543585</v>
      </c>
      <c r="K79" s="2"/>
      <c r="O79" s="55" t="str">
        <f>INDEX(X_Table_Dairy_ProductionSystems_Method1,3,1)</f>
        <v>Milking shed</v>
      </c>
      <c r="P79" s="55" t="s">
        <v>407</v>
      </c>
      <c r="Q79" s="55" cm="1">
        <f t="array" aca="1" ref="Q79" ca="1">MMS_Dairy_ManureAppliedToSoils_Equations.VEERG_4_3_1_8__1_MassOfNitrogenAppliedToSoilsScope1(Q43,_xlfn.XLOOKUP($P79,$D$22:$D$26,$E$22:$E$26),_xlfn.XLOOKUP($P79, $D$31:$D$35,$E$31:$E$35),Q55,$F67)</f>
        <v>474.80115117874976</v>
      </c>
      <c r="R79" s="55" cm="1">
        <f t="array" aca="1" ref="R79" ca="1">MMS_Dairy_ManureAppliedToSoils_Equations.VEERG_4_3_1_8__1_MassOfNitrogenAppliedToSoilsScope1(R43,_xlfn.XLOOKUP($P79,$D$22:$D$26,$E$22:$E$26),_xlfn.XLOOKUP($P79, $D$31:$D$35,$E$31:$E$35),R55,$F67)</f>
        <v>184.63737646129354</v>
      </c>
      <c r="S79" s="55" cm="1">
        <f t="array" aca="1" ref="S79" ca="1">MMS_Dairy_ManureAppliedToSoils_Equations.VEERG_4_3_1_8__1_MassOfNitrogenAppliedToSoilsScope1(S43,_xlfn.XLOOKUP($P79,$D$22:$D$26,$E$22:$E$26),_xlfn.XLOOKUP($P79, $D$31:$D$35,$E$31:$E$35),S55,$F67)</f>
        <v>73.539114425391446</v>
      </c>
      <c r="T79" s="55" cm="1">
        <f t="array" aca="1" ref="T79" ca="1">MMS_Dairy_ManureAppliedToSoils_Equations.VEERG_4_3_1_8__1_MassOfNitrogenAppliedToSoilsScope1(T43,_xlfn.XLOOKUP($P79,$D$22:$D$26,$E$22:$E$26),_xlfn.XLOOKUP($P79, $D$31:$D$35,$E$31:$E$35),T55,$F67)</f>
        <v>232.09648443661678</v>
      </c>
      <c r="U79" s="55"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INDEX(X_Table_Dairy_ProductionSystems_Method1,4,1)</f>
        <v>Feed pad</v>
      </c>
      <c r="E80" s="55" t="str">
        <f>INDEX(X_Table_Dairy_Stage1MMS_2_AnaerobicLagoon,2,1)</f>
        <v>Anaerobic lagoon</v>
      </c>
      <c r="F80" s="55" cm="1">
        <f t="array" aca="1" ref="F80" ca="1">MMS_Dairy_ManureAppliedToSoils_Equations.VEERG_4_3_1_8__1_MassOfNitrogenAppliedToSoilsScope1(F44,_xlfn.XLOOKUP($E80,$D$22:$D$26,$E$22:$E$26),_xlfn.XLOOKUP($E80, $D$31:$D$35,$E$31:$E$35),F56,$F68)</f>
        <v>924.82311770002252</v>
      </c>
      <c r="G80" s="55" cm="1">
        <f t="array" aca="1" ref="G80" ca="1">MMS_Dairy_ManureAppliedToSoils_Equations.VEERG_4_3_1_8__1_MassOfNitrogenAppliedToSoilsScope1(G44,_xlfn.XLOOKUP($E80,$D$22:$D$26,$E$22:$E$26),_xlfn.XLOOKUP($E80, $D$31:$D$35,$E$31:$E$35),G56,$F68)</f>
        <v>359.63879556517946</v>
      </c>
      <c r="H80" s="55" cm="1">
        <f t="array" aca="1" ref="H80" ca="1">MMS_Dairy_ManureAppliedToSoils_Equations.VEERG_4_3_1_8__1_MassOfNitrogenAppliedToSoilsScope1(H44,_xlfn.XLOOKUP($E80,$D$22:$D$26,$E$22:$E$26),_xlfn.XLOOKUP($E80, $D$31:$D$35,$E$31:$E$35),H56,$F68)</f>
        <v>143.24032893969348</v>
      </c>
      <c r="I80" s="55" cm="1">
        <f t="array" aca="1" ref="I80" ca="1">MMS_Dairy_ManureAppliedToSoils_Equations.VEERG_4_3_1_8__1_MassOfNitrogenAppliedToSoilsScope1(I44,_xlfn.XLOOKUP($E80,$D$22:$D$26,$E$22:$E$26),_xlfn.XLOOKUP($E80, $D$31:$D$35,$E$31:$E$35),I56,$F68)</f>
        <v>452.08018938243373</v>
      </c>
      <c r="J80" s="55" cm="1">
        <f t="array" aca="1" ref="J80" ca="1">MMS_Dairy_ManureAppliedToSoils_Equations.VEERG_4_3_1_8__1_MassOfNitrogenAppliedToSoilsScope1(J44,_xlfn.XLOOKUP($E80,$D$22:$D$26,$E$22:$E$26),_xlfn.XLOOKUP($E80, $D$31:$D$35,$E$31:$E$35),J56,$F68)</f>
        <v>189.25402097806892</v>
      </c>
      <c r="K80" s="2"/>
      <c r="O80" s="55" t="str">
        <f>INDEX(X_Table_Dairy_ProductionSystems_Method1,4,1)</f>
        <v>Feed pad</v>
      </c>
      <c r="P80" s="55" t="str">
        <f>INDEX(X_Table_Dairy_Stage1MMS_2_AnaerobicLagoon,2,1)</f>
        <v>Anaerobic lagoon</v>
      </c>
      <c r="Q80" s="55" cm="1">
        <f t="array" aca="1" ref="Q80" ca="1">MMS_Dairy_ManureAppliedToSoils_Equations.VEERG_4_3_1_8__1_MassOfNitrogenAppliedToSoilsScope1(Q44,_xlfn.XLOOKUP($P80,$D$22:$D$26,$E$22:$E$26),_xlfn.XLOOKUP($P80, $D$31:$D$35,$E$31:$E$35),Q56,$F68)</f>
        <v>924.82311770002252</v>
      </c>
      <c r="R80" s="55" cm="1">
        <f t="array" aca="1" ref="R80" ca="1">MMS_Dairy_ManureAppliedToSoils_Equations.VEERG_4_3_1_8__1_MassOfNitrogenAppliedToSoilsScope1(R44,_xlfn.XLOOKUP($P80,$D$22:$D$26,$E$22:$E$26),_xlfn.XLOOKUP($P80, $D$31:$D$35,$E$31:$E$35),R56,$F68)</f>
        <v>359.63879556517946</v>
      </c>
      <c r="S80" s="55" cm="1">
        <f t="array" aca="1" ref="S80" ca="1">MMS_Dairy_ManureAppliedToSoils_Equations.VEERG_4_3_1_8__1_MassOfNitrogenAppliedToSoilsScope1(S44,_xlfn.XLOOKUP($P80,$D$22:$D$26,$E$22:$E$26),_xlfn.XLOOKUP($P80, $D$31:$D$35,$E$31:$E$35),S56,$F68)</f>
        <v>143.24032893969348</v>
      </c>
      <c r="T80" s="55" cm="1">
        <f t="array" aca="1" ref="T80" ca="1">MMS_Dairy_ManureAppliedToSoils_Equations.VEERG_4_3_1_8__1_MassOfNitrogenAppliedToSoilsScope1(T44,_xlfn.XLOOKUP($P80,$D$22:$D$26,$E$22:$E$26),_xlfn.XLOOKUP($P80, $D$31:$D$35,$E$31:$E$35),T56,$F68)</f>
        <v>452.08018938243373</v>
      </c>
      <c r="U80" s="55" cm="1">
        <f t="array" aca="1" ref="U80" ca="1">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INDEX(X_Table_Dairy_ProductionSystems_Method1,4,1)</f>
        <v>Feed pad</v>
      </c>
      <c r="E81" s="55" t="str">
        <f>INDEX(X_Table_Dairy_Stage1MMS_2_SumpAndDispersal,2,1)</f>
        <v>Sump and dispersal system</v>
      </c>
      <c r="F81" s="55" cm="1">
        <f t="array" aca="1" ref="F81" ca="1">MMS_Dairy_ManureAppliedToSoils_Equations.VEERG_4_3_1_8__1_MassOfNitrogenAppliedToSoilsScope1(F45,_xlfn.XLOOKUP($E81,$D$22:$D$26,$E$22:$E$26),_xlfn.XLOOKUP($E81, $D$31:$D$35,$E$31:$E$35),F57,$F69)</f>
        <v>1058.5667685674102</v>
      </c>
      <c r="G81" s="55" cm="1">
        <f t="array" aca="1" ref="G81" ca="1">MMS_Dairy_ManureAppliedToSoils_Equations.VEERG_4_3_1_8__1_MassOfNitrogenAppliedToSoilsScope1(G45,_xlfn.XLOOKUP($E81,$D$22:$D$26,$E$22:$E$26),_xlfn.XLOOKUP($E81, $D$31:$D$35,$E$31:$E$35),G57,$F69)</f>
        <v>411.64809830845161</v>
      </c>
      <c r="H81" s="55" cm="1">
        <f t="array" aca="1" ref="H81" ca="1">MMS_Dairy_ManureAppliedToSoils_Equations.VEERG_4_3_1_8__1_MassOfNitrogenAppliedToSoilsScope1(H45,_xlfn.XLOOKUP($E81,$D$22:$D$26,$E$22:$E$26),_xlfn.XLOOKUP($E81, $D$31:$D$35,$E$31:$E$35),H57,$F69)</f>
        <v>163.95508420174144</v>
      </c>
      <c r="I81" s="55" cm="1">
        <f t="array" aca="1" ref="I81" ca="1">MMS_Dairy_ManureAppliedToSoils_Equations.VEERG_4_3_1_8__1_MassOfNitrogenAppliedToSoilsScope1(I45,_xlfn.XLOOKUP($E81,$D$22:$D$26,$E$22:$E$26),_xlfn.XLOOKUP($E81, $D$31:$D$35,$E$31:$E$35),I57,$F69)</f>
        <v>517.45793984697025</v>
      </c>
      <c r="J81" s="55" cm="1">
        <f t="array" aca="1" ref="J81" ca="1">MMS_Dairy_ManureAppliedToSoils_Equations.VEERG_4_3_1_8__1_MassOfNitrogenAppliedToSoilsScope1(J45,_xlfn.XLOOKUP($E81,$D$22:$D$26,$E$22:$E$26),_xlfn.XLOOKUP($E81, $D$31:$D$35,$E$31:$E$35),J57,$F69)</f>
        <v>216.62306401182042</v>
      </c>
      <c r="K81" s="2"/>
      <c r="O81" s="55" t="str">
        <f>INDEX(X_Table_Dairy_ProductionSystems_Method1,4,1)</f>
        <v>Feed pad</v>
      </c>
      <c r="P81" s="55" t="str">
        <f>INDEX(X_Table_Dairy_Stage1MMS_2_SumpAndDispersal,2,1)</f>
        <v>Sump and dispersal system</v>
      </c>
      <c r="Q81" s="55" cm="1">
        <f t="array" aca="1" ref="Q81" ca="1">MMS_Dairy_ManureAppliedToSoils_Equations.VEERG_4_3_1_8__1_MassOfNitrogenAppliedToSoilsScope1(Q45,_xlfn.XLOOKUP($P81,$D$22:$D$26,$E$22:$E$26),_xlfn.XLOOKUP($P81, $D$31:$D$35,$E$31:$E$35),Q57,$F69)</f>
        <v>1058.5667685674102</v>
      </c>
      <c r="R81" s="55" cm="1">
        <f t="array" aca="1" ref="R81" ca="1">MMS_Dairy_ManureAppliedToSoils_Equations.VEERG_4_3_1_8__1_MassOfNitrogenAppliedToSoilsScope1(R45,_xlfn.XLOOKUP($P81,$D$22:$D$26,$E$22:$E$26),_xlfn.XLOOKUP($P81, $D$31:$D$35,$E$31:$E$35),R57,$F69)</f>
        <v>411.64809830845161</v>
      </c>
      <c r="S81" s="55" cm="1">
        <f t="array" aca="1" ref="S81" ca="1">MMS_Dairy_ManureAppliedToSoils_Equations.VEERG_4_3_1_8__1_MassOfNitrogenAppliedToSoilsScope1(S45,_xlfn.XLOOKUP($P81,$D$22:$D$26,$E$22:$E$26),_xlfn.XLOOKUP($P81, $D$31:$D$35,$E$31:$E$35),S57,$F69)</f>
        <v>163.95508420174144</v>
      </c>
      <c r="T81" s="55" cm="1">
        <f t="array" aca="1" ref="T81" ca="1">MMS_Dairy_ManureAppliedToSoils_Equations.VEERG_4_3_1_8__1_MassOfNitrogenAppliedToSoilsScope1(T45,_xlfn.XLOOKUP($P81,$D$22:$D$26,$E$22:$E$26),_xlfn.XLOOKUP($P81, $D$31:$D$35,$E$31:$E$35),T57,$F69)</f>
        <v>517.45793984697025</v>
      </c>
      <c r="U81" s="55" cm="1">
        <f t="array" aca="1" ref="U81" ca="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INDEX(X_Table_Dairy_ProductionSystems_Method1,4,1)</f>
        <v>Feed pad</v>
      </c>
      <c r="E82" s="55" t="str">
        <f>INDEX(X_Table_Dairy_Stage1MMS_2_DrainsToPaddock,2,1)</f>
        <v>Drains to paddock</v>
      </c>
      <c r="F82" s="55" cm="1">
        <f t="array" aca="1" ref="F82" ca="1">MMS_Dairy_ManureAppliedToSoils_Equations.VEERG_4_3_1_8__1_MassOfNitrogenAppliedToSoilsScope1(F46,_xlfn.XLOOKUP($E82,$D$22:$D$26,$E$22:$E$26),_xlfn.XLOOKUP($E82, $D$31:$D$35,$E$31:$E$35),F58,$F70)</f>
        <v>910.59506973540692</v>
      </c>
      <c r="G82" s="55" cm="1">
        <f t="array" aca="1" ref="G82" ca="1">MMS_Dairy_ManureAppliedToSoils_Equations.VEERG_4_3_1_8__1_MassOfNitrogenAppliedToSoilsScope1(G46,_xlfn.XLOOKUP($E82,$D$22:$D$26,$E$22:$E$26),_xlfn.XLOOKUP($E82, $D$31:$D$35,$E$31:$E$35),G58,$F70)</f>
        <v>354.10589101802293</v>
      </c>
      <c r="H82" s="55" cm="1">
        <f t="array" aca="1" ref="H82" ca="1">MMS_Dairy_ManureAppliedToSoils_Equations.VEERG_4_3_1_8__1_MassOfNitrogenAppliedToSoilsScope1(H46,_xlfn.XLOOKUP($E82,$D$22:$D$26,$E$22:$E$26),_xlfn.XLOOKUP($E82, $D$31:$D$35,$E$31:$E$35),H58,$F70)</f>
        <v>141.0366315713905</v>
      </c>
      <c r="I82" s="55" cm="1">
        <f t="array" aca="1" ref="I82" ca="1">MMS_Dairy_ManureAppliedToSoils_Equations.VEERG_4_3_1_8__1_MassOfNitrogenAppliedToSoilsScope1(I46,_xlfn.XLOOKUP($E82,$D$22:$D$26,$E$22:$E$26),_xlfn.XLOOKUP($E82, $D$31:$D$35,$E$31:$E$35),I58,$F70)</f>
        <v>445.1251095457809</v>
      </c>
      <c r="J82" s="55" cm="1">
        <f t="array" aca="1" ref="J82" ca="1">MMS_Dairy_ManureAppliedToSoils_Equations.VEERG_4_3_1_8__1_MassOfNitrogenAppliedToSoilsScope1(J46,_xlfn.XLOOKUP($E82,$D$22:$D$26,$E$22:$E$26),_xlfn.XLOOKUP($E82, $D$31:$D$35,$E$31:$E$35),J58,$F70)</f>
        <v>186.34242065532939</v>
      </c>
      <c r="K82" s="2"/>
      <c r="O82" s="55" t="str">
        <f>INDEX(X_Table_Dairy_ProductionSystems_Method1,4,1)</f>
        <v>Feed pad</v>
      </c>
      <c r="P82" s="55" t="str">
        <f>INDEX(X_Table_Dairy_Stage1MMS_2_DrainsToPaddock,2,1)</f>
        <v>Drains to paddock</v>
      </c>
      <c r="Q82" s="55" cm="1">
        <f t="array" aca="1" ref="Q82" ca="1">MMS_Dairy_ManureAppliedToSoils_Equations.VEERG_4_3_1_8__1_MassOfNitrogenAppliedToSoilsScope1(Q46,_xlfn.XLOOKUP($P82,$D$22:$D$26,$E$22:$E$26),_xlfn.XLOOKUP($P82, $D$31:$D$35,$E$31:$E$35),Q58,$F70)</f>
        <v>910.59506973540692</v>
      </c>
      <c r="R82" s="55" cm="1">
        <f t="array" aca="1" ref="R82" ca="1">MMS_Dairy_ManureAppliedToSoils_Equations.VEERG_4_3_1_8__1_MassOfNitrogenAppliedToSoilsScope1(R46,_xlfn.XLOOKUP($P82,$D$22:$D$26,$E$22:$E$26),_xlfn.XLOOKUP($P82, $D$31:$D$35,$E$31:$E$35),R58,$F70)</f>
        <v>354.10589101802293</v>
      </c>
      <c r="S82" s="55" cm="1">
        <f t="array" aca="1" ref="S82" ca="1">MMS_Dairy_ManureAppliedToSoils_Equations.VEERG_4_3_1_8__1_MassOfNitrogenAppliedToSoilsScope1(S46,_xlfn.XLOOKUP($P82,$D$22:$D$26,$E$22:$E$26),_xlfn.XLOOKUP($P82, $D$31:$D$35,$E$31:$E$35),S58,$F70)</f>
        <v>141.0366315713905</v>
      </c>
      <c r="T82" s="55" cm="1">
        <f t="array" aca="1" ref="T82" ca="1">MMS_Dairy_ManureAppliedToSoils_Equations.VEERG_4_3_1_8__1_MassOfNitrogenAppliedToSoilsScope1(T46,_xlfn.XLOOKUP($P82,$D$22:$D$26,$E$22:$E$26),_xlfn.XLOOKUP($P82, $D$31:$D$35,$E$31:$E$35),T58,$F70)</f>
        <v>445.1251095457809</v>
      </c>
      <c r="U82" s="55" cm="1">
        <f t="array" aca="1" ref="U82" ca="1">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INDEX(X_Table_Dairy_ProductionSystems_Method1,4,1)</f>
        <v>Feed pad</v>
      </c>
      <c r="E83" s="55" t="s">
        <v>407</v>
      </c>
      <c r="F83" s="55" cm="1">
        <f t="array" aca="1" ref="F83" ca="1">MMS_Dairy_ManureAppliedToSoils_Equations.VEERG_4_3_1_8__1_MassOfNitrogenAppliedToSoilsScope1(F47,_xlfn.XLOOKUP($E83,$D$22:$D$26,$E$22:$E$26),_xlfn.XLOOKUP($E83, $D$31:$D$35,$E$31:$E$35),F59,$F71)</f>
        <v>1344.5505326561865</v>
      </c>
      <c r="G83" s="55" cm="1">
        <f t="array" aca="1" ref="G83" ca="1">MMS_Dairy_ManureAppliedToSoils_Equations.VEERG_4_3_1_8__1_MassOfNitrogenAppliedToSoilsScope1(G47,_xlfn.XLOOKUP($E83,$D$22:$D$26,$E$22:$E$26),_xlfn.XLOOKUP($E83, $D$31:$D$35,$E$31:$E$35),G59,$F71)</f>
        <v>522.85947970629945</v>
      </c>
      <c r="H83" s="55" cm="1">
        <f t="array" aca="1" ref="H83" ca="1">MMS_Dairy_ManureAppliedToSoils_Equations.VEERG_4_3_1_8__1_MassOfNitrogenAppliedToSoilsScope1(H47,_xlfn.XLOOKUP($E83,$D$22:$D$26,$E$22:$E$26),_xlfn.XLOOKUP($E83, $D$31:$D$35,$E$31:$E$35),H59,$F71)</f>
        <v>208.24940130463128</v>
      </c>
      <c r="I83" s="55" cm="1">
        <f t="array" aca="1" ref="I83" ca="1">MMS_Dairy_ManureAppliedToSoils_Equations.VEERG_4_3_1_8__1_MassOfNitrogenAppliedToSoilsScope1(I47,_xlfn.XLOOKUP($E83,$D$22:$D$26,$E$22:$E$26),_xlfn.XLOOKUP($E83, $D$31:$D$35,$E$31:$E$35),I59,$F71)</f>
        <v>657.25504456369208</v>
      </c>
      <c r="J83" s="55" cm="1">
        <f t="array" aca="1" ref="J83" ca="1">MMS_Dairy_ManureAppliedToSoils_Equations.VEERG_4_3_1_8__1_MassOfNitrogenAppliedToSoilsScope1(J47,_xlfn.XLOOKUP($E83,$D$22:$D$26,$E$22:$E$26),_xlfn.XLOOKUP($E83, $D$31:$D$35,$E$31:$E$35),J59,$F71)</f>
        <v>275.14623049888485</v>
      </c>
      <c r="K83" s="2"/>
      <c r="O83" s="55" t="str">
        <f>INDEX(X_Table_Dairy_ProductionSystems_Method1,4,1)</f>
        <v>Feed pad</v>
      </c>
      <c r="P83" s="55" t="s">
        <v>407</v>
      </c>
      <c r="Q83" s="55" cm="1">
        <f t="array" aca="1" ref="Q83" ca="1">MMS_Dairy_ManureAppliedToSoils_Equations.VEERG_4_3_1_8__1_MassOfNitrogenAppliedToSoilsScope1(Q47,_xlfn.XLOOKUP($P83,$D$22:$D$26,$E$22:$E$26),_xlfn.XLOOKUP($P83, $D$31:$D$35,$E$31:$E$35),Q59,$F71)</f>
        <v>1344.5505326561865</v>
      </c>
      <c r="R83" s="55" cm="1">
        <f t="array" aca="1" ref="R83" ca="1">MMS_Dairy_ManureAppliedToSoils_Equations.VEERG_4_3_1_8__1_MassOfNitrogenAppliedToSoilsScope1(R47,_xlfn.XLOOKUP($P83,$D$22:$D$26,$E$22:$E$26),_xlfn.XLOOKUP($P83, $D$31:$D$35,$E$31:$E$35),R59,$F71)</f>
        <v>522.85947970629945</v>
      </c>
      <c r="S83" s="55" cm="1">
        <f t="array" aca="1" ref="S83" ca="1">MMS_Dairy_ManureAppliedToSoils_Equations.VEERG_4_3_1_8__1_MassOfNitrogenAppliedToSoilsScope1(S47,_xlfn.XLOOKUP($P83,$D$22:$D$26,$E$22:$E$26),_xlfn.XLOOKUP($P83, $D$31:$D$35,$E$31:$E$35),S59,$F71)</f>
        <v>208.24940130463128</v>
      </c>
      <c r="T83" s="55" cm="1">
        <f t="array" aca="1" ref="T83" ca="1">MMS_Dairy_ManureAppliedToSoils_Equations.VEERG_4_3_1_8__1_MassOfNitrogenAppliedToSoilsScope1(T47,_xlfn.XLOOKUP($P83,$D$22:$D$26,$E$22:$E$26),_xlfn.XLOOKUP($P83, $D$31:$D$35,$E$31:$E$35),T59,$F71)</f>
        <v>657.25504456369208</v>
      </c>
      <c r="U83" s="55" cm="1">
        <f t="array" aca="1" ref="U83" ca="1">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 ca="1">SUM(F76:J83)</f>
        <v>12417.473379475077</v>
      </c>
      <c r="F85" s="110" t="str">
        <f>$E$11</f>
        <v>kg N</v>
      </c>
      <c r="O85" s="108" t="s">
        <v>133</v>
      </c>
      <c r="P85" s="109">
        <f ca="1">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INDEX(X_Table_Dairy_ProductionSystems_Method1,3,1)</f>
        <v>Milking shed</v>
      </c>
      <c r="E106" s="55" t="str">
        <f>INDEX(X_Table_Dairy_Stage1MMS_1_AnaerobicLagoon,2,1)</f>
        <v>Anaerobic lagoon</v>
      </c>
      <c r="F106" s="55" cm="1">
        <f t="array" aca="1" ref="F106" ca="1">MMS_Dairy_ManureAppliedToSoils_Equations.VEERG_4_3_1_8__2_MassOfNitrogenAppliedToSoilsScope3(F40, _xlfn.XLOOKUP($E106, $D$22:$D$26,$E$22:$E$26), _xlfn.XLOOKUP($E106,$D$31:$D$35,$E$31:$E$35),F52, $F64)</f>
        <v>76.202653892885763</v>
      </c>
      <c r="G106" s="55" cm="1">
        <f t="array" aca="1" ref="G106" ca="1">MMS_Dairy_ManureAppliedToSoils_Equations.VEERG_4_3_1_8__2_MassOfNitrogenAppliedToSoilsScope3(G40, _xlfn.XLOOKUP($E106, $D$22:$D$26,$E$22:$E$26), _xlfn.XLOOKUP($E106,$D$31:$D$35,$E$31:$E$35),G52, $F64)</f>
        <v>29.633159185145878</v>
      </c>
      <c r="H106" s="55" cm="1">
        <f t="array" aca="1" ref="H106" ca="1">MMS_Dairy_ManureAppliedToSoils_Equations.VEERG_4_3_1_8__2_MassOfNitrogenAppliedToSoilsScope3(H40, _xlfn.XLOOKUP($E106, $D$22:$D$26,$E$22:$E$26), _xlfn.XLOOKUP($E106,$D$31:$D$35,$E$31:$E$35),H52, $F64)</f>
        <v>11.802573920124557</v>
      </c>
      <c r="I106" s="55" cm="1">
        <f t="array" aca="1" ref="I106" ca="1">MMS_Dairy_ManureAppliedToSoils_Equations.VEERG_4_3_1_8__2_MassOfNitrogenAppliedToSoilsScope3(I40, _xlfn.XLOOKUP($E106, $D$22:$D$26,$E$22:$E$26), _xlfn.XLOOKUP($E106,$D$31:$D$35,$E$31:$E$35),I52, $F64)</f>
        <v>37.250053057728621</v>
      </c>
      <c r="J106" s="55" cm="1">
        <f t="array" aca="1" ref="J106" ca="1">MMS_Dairy_ManureAppliedToSoils_Equations.VEERG_4_3_1_8__2_MassOfNitrogenAppliedToSoilsScope3(J40, _xlfn.XLOOKUP($E106, $D$22:$D$26,$E$22:$E$26), _xlfn.XLOOKUP($E106,$D$31:$D$35,$E$31:$E$35),J52, $F64)</f>
        <v>15.593964275346504</v>
      </c>
      <c r="K106" s="2" t="str">
        <f t="shared" ref="K106" si="2">$E$95</f>
        <v>kg N</v>
      </c>
      <c r="O106" s="55" t="str">
        <f>INDEX(X_Table_Dairy_ProductionSystems_Method1,3,1)</f>
        <v>Milking shed</v>
      </c>
      <c r="P106" s="55" t="str">
        <f>INDEX(X_Table_Dairy_Stage1MMS_1_AnaerobicLagoon,2,1)</f>
        <v>Anaerobic lagoon</v>
      </c>
      <c r="Q106" s="55" cm="1">
        <f t="array" aca="1" ref="Q106" ca="1">MMS_Dairy_ManureAppliedToSoils_Equations.VEERG_4_3_1_8__2_MassOfNitrogenAppliedToSoilsScope3(Q40, _xlfn.XLOOKUP($P106, $D$22:$D$26,$E$22:$E$26), _xlfn.XLOOKUP($P106,$D$31:$D$35,$E$31:$E$35),Q52, $F64)</f>
        <v>76.202653892885763</v>
      </c>
      <c r="R106" s="55" cm="1">
        <f t="array" aca="1" ref="R106" ca="1">MMS_Dairy_ManureAppliedToSoils_Equations.VEERG_4_3_1_8__2_MassOfNitrogenAppliedToSoilsScope3(R40, _xlfn.XLOOKUP($P106, $D$22:$D$26,$E$22:$E$26), _xlfn.XLOOKUP($P106,$D$31:$D$35,$E$31:$E$35),R52, $F64)</f>
        <v>29.633159185145878</v>
      </c>
      <c r="S106" s="55" cm="1">
        <f t="array" aca="1" ref="S106" ca="1">MMS_Dairy_ManureAppliedToSoils_Equations.VEERG_4_3_1_8__2_MassOfNitrogenAppliedToSoilsScope3(S40, _xlfn.XLOOKUP($P106, $D$22:$D$26,$E$22:$E$26), _xlfn.XLOOKUP($P106,$D$31:$D$35,$E$31:$E$35),S52, $F64)</f>
        <v>11.802573920124557</v>
      </c>
      <c r="T106" s="55" cm="1">
        <f t="array" aca="1" ref="T106" ca="1">MMS_Dairy_ManureAppliedToSoils_Equations.VEERG_4_3_1_8__2_MassOfNitrogenAppliedToSoilsScope3(T40, _xlfn.XLOOKUP($P106, $D$22:$D$26,$E$22:$E$26), _xlfn.XLOOKUP($P106,$D$31:$D$35,$E$31:$E$35),T52, $F64)</f>
        <v>37.250053057728621</v>
      </c>
      <c r="U106" s="55"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INDEX(X_Table_Dairy_ProductionSystems_Method1,3,1)</f>
        <v>Milking shed</v>
      </c>
      <c r="E107" s="55" t="str">
        <f>INDEX(X_Table_Dairy_Stage1MMS_1_SumpAndDispersal,2,1)</f>
        <v>Sump and dispersal system</v>
      </c>
      <c r="F107" s="55" cm="1">
        <f t="array" aca="1" ref="F107" ca="1">MMS_Dairy_ManureAppliedToSoils_Equations.VEERG_4_3_1_8__2_MassOfNitrogenAppliedToSoilsScope3(F41, _xlfn.XLOOKUP($E107, $D$22:$D$26,$E$22:$E$26), _xlfn.XLOOKUP($E107,$D$31:$D$35,$E$31:$E$35),F53, $F65)</f>
        <v>109.02841249289807</v>
      </c>
      <c r="G107" s="55" cm="1">
        <f t="array" aca="1" ref="G107" ca="1">MMS_Dairy_ManureAppliedToSoils_Equations.VEERG_4_3_1_8__2_MassOfNitrogenAppliedToSoilsScope3(G41, _xlfn.XLOOKUP($E107, $D$22:$D$26,$E$22:$E$26), _xlfn.XLOOKUP($E107,$D$31:$D$35,$E$31:$E$35),G53, $F65)</f>
        <v>42.398212372593328</v>
      </c>
      <c r="H107" s="55" cm="1">
        <f t="array" aca="1" ref="H107" ca="1">MMS_Dairy_ManureAppliedToSoils_Equations.VEERG_4_3_1_8__2_MassOfNitrogenAppliedToSoilsScope3(H41, _xlfn.XLOOKUP($E107, $D$22:$D$26,$E$22:$E$26), _xlfn.XLOOKUP($E107,$D$31:$D$35,$E$31:$E$35),H53, $F65)</f>
        <v>16.886759608793596</v>
      </c>
      <c r="I107" s="55" cm="1">
        <f t="array" aca="1" ref="I107" ca="1">MMS_Dairy_ManureAppliedToSoils_Equations.VEERG_4_3_1_8__2_MassOfNitrogenAppliedToSoilsScope3(I41, _xlfn.XLOOKUP($E107, $D$22:$D$26,$E$22:$E$26), _xlfn.XLOOKUP($E107,$D$31:$D$35,$E$31:$E$35),I53, $F65)</f>
        <v>53.296229759519406</v>
      </c>
      <c r="J107" s="55" cm="1">
        <f t="array" aca="1" ref="J107" ca="1">MMS_Dairy_ManureAppliedToSoils_Equations.VEERG_4_3_1_8__2_MassOfNitrogenAppliedToSoilsScope3(J41, _xlfn.XLOOKUP($E107, $D$22:$D$26,$E$22:$E$26), _xlfn.XLOOKUP($E107,$D$31:$D$35,$E$31:$E$35),J53, $F65)</f>
        <v>22.311364270880382</v>
      </c>
      <c r="K107" s="2"/>
      <c r="O107" s="55" t="str">
        <f>INDEX(X_Table_Dairy_ProductionSystems_Method1,3,1)</f>
        <v>Milking shed</v>
      </c>
      <c r="P107" s="55" t="str">
        <f>INDEX(X_Table_Dairy_Stage1MMS_1_SumpAndDispersal,2,1)</f>
        <v>Sump and dispersal system</v>
      </c>
      <c r="Q107" s="55" cm="1">
        <f t="array" aca="1" ref="Q107" ca="1">MMS_Dairy_ManureAppliedToSoils_Equations.VEERG_4_3_1_8__2_MassOfNitrogenAppliedToSoilsScope3(Q41, _xlfn.XLOOKUP($P107, $D$22:$D$26,$E$22:$E$26), _xlfn.XLOOKUP($P107,$D$31:$D$35,$E$31:$E$35),Q53, $F65)</f>
        <v>109.02841249289807</v>
      </c>
      <c r="R107" s="55" cm="1">
        <f t="array" aca="1" ref="R107" ca="1">MMS_Dairy_ManureAppliedToSoils_Equations.VEERG_4_3_1_8__2_MassOfNitrogenAppliedToSoilsScope3(R41, _xlfn.XLOOKUP($P107, $D$22:$D$26,$E$22:$E$26), _xlfn.XLOOKUP($P107,$D$31:$D$35,$E$31:$E$35),R53, $F65)</f>
        <v>42.398212372593328</v>
      </c>
      <c r="S107" s="55" cm="1">
        <f t="array" aca="1" ref="S107" ca="1">MMS_Dairy_ManureAppliedToSoils_Equations.VEERG_4_3_1_8__2_MassOfNitrogenAppliedToSoilsScope3(S41, _xlfn.XLOOKUP($P107, $D$22:$D$26,$E$22:$E$26), _xlfn.XLOOKUP($P107,$D$31:$D$35,$E$31:$E$35),S53, $F65)</f>
        <v>16.886759608793596</v>
      </c>
      <c r="T107" s="55" cm="1">
        <f t="array" aca="1" ref="T107" ca="1">MMS_Dairy_ManureAppliedToSoils_Equations.VEERG_4_3_1_8__2_MassOfNitrogenAppliedToSoilsScope3(T41, _xlfn.XLOOKUP($P107, $D$22:$D$26,$E$22:$E$26), _xlfn.XLOOKUP($P107,$D$31:$D$35,$E$31:$E$35),T53, $F65)</f>
        <v>53.296229759519406</v>
      </c>
      <c r="U107" s="55"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INDEX(X_Table_Dairy_ProductionSystems_Method1,3,1)</f>
        <v>Milking shed</v>
      </c>
      <c r="E108" s="55" t="str">
        <f>INDEX(X_Table_Dairy_Stage1MMS_1_DrainsToPaddock,2,1)</f>
        <v>Drains to paddock</v>
      </c>
      <c r="F108" s="55" cm="1">
        <f t="array" aca="1" ref="F108" ca="1">MMS_Dairy_ManureAppliedToSoils_Equations.VEERG_4_3_1_8__2_MassOfNitrogenAppliedToSoilsScope3(F42, _xlfn.XLOOKUP($E108, $D$22:$D$26,$E$22:$E$26), _xlfn.XLOOKUP($E108,$D$31:$D$35,$E$31:$E$35),F54, $F66)</f>
        <v>93.787881714320932</v>
      </c>
      <c r="G108" s="55" cm="1">
        <f t="array" aca="1" ref="G108" ca="1">MMS_Dairy_ManureAppliedToSoils_Equations.VEERG_4_3_1_8__2_MassOfNitrogenAppliedToSoilsScope3(G42, _xlfn.XLOOKUP($E108, $D$22:$D$26,$E$22:$E$26), _xlfn.XLOOKUP($E108,$D$31:$D$35,$E$31:$E$35),G54, $F66)</f>
        <v>36.471580535564158</v>
      </c>
      <c r="H108" s="55" cm="1">
        <f t="array" aca="1" ref="H108" ca="1">MMS_Dairy_ManureAppliedToSoils_Equations.VEERG_4_3_1_8__2_MassOfNitrogenAppliedToSoilsScope3(H42, _xlfn.XLOOKUP($E108, $D$22:$D$26,$E$22:$E$26), _xlfn.XLOOKUP($E108,$D$31:$D$35,$E$31:$E$35),H54, $F66)</f>
        <v>14.526244824768686</v>
      </c>
      <c r="I108" s="55" cm="1">
        <f t="array" aca="1" ref="I108" ca="1">MMS_Dairy_ManureAppliedToSoils_Equations.VEERG_4_3_1_8__2_MassOfNitrogenAppliedToSoilsScope3(I42, _xlfn.XLOOKUP($E108, $D$22:$D$26,$E$22:$E$26), _xlfn.XLOOKUP($E108,$D$31:$D$35,$E$31:$E$35),I54, $F66)</f>
        <v>45.846219147973692</v>
      </c>
      <c r="J108" s="55" cm="1">
        <f t="array" aca="1" ref="J108" ca="1">MMS_Dairy_ManureAppliedToSoils_Equations.VEERG_4_3_1_8__2_MassOfNitrogenAppliedToSoilsScope3(J42, _xlfn.XLOOKUP($E108, $D$22:$D$26,$E$22:$E$26), _xlfn.XLOOKUP($E108,$D$31:$D$35,$E$31:$E$35),J54, $F66)</f>
        <v>19.192571415811084</v>
      </c>
      <c r="K108" s="2"/>
      <c r="O108" s="55" t="str">
        <f>INDEX(X_Table_Dairy_ProductionSystems_Method1,3,1)</f>
        <v>Milking shed</v>
      </c>
      <c r="P108" s="55" t="str">
        <f>INDEX(X_Table_Dairy_Stage1MMS_1_DrainsToPaddock,2,1)</f>
        <v>Drains to paddock</v>
      </c>
      <c r="Q108" s="55" cm="1">
        <f t="array" aca="1" ref="Q108" ca="1">MMS_Dairy_ManureAppliedToSoils_Equations.VEERG_4_3_1_8__2_MassOfNitrogenAppliedToSoilsScope3(Q42, _xlfn.XLOOKUP($P108, $D$22:$D$26,$E$22:$E$26), _xlfn.XLOOKUP($P108,$D$31:$D$35,$E$31:$E$35),Q54, $F66)</f>
        <v>93.787881714320932</v>
      </c>
      <c r="R108" s="55" cm="1">
        <f t="array" aca="1" ref="R108" ca="1">MMS_Dairy_ManureAppliedToSoils_Equations.VEERG_4_3_1_8__2_MassOfNitrogenAppliedToSoilsScope3(R42, _xlfn.XLOOKUP($P108, $D$22:$D$26,$E$22:$E$26), _xlfn.XLOOKUP($P108,$D$31:$D$35,$E$31:$E$35),R54, $F66)</f>
        <v>36.471580535564158</v>
      </c>
      <c r="S108" s="55" cm="1">
        <f t="array" aca="1" ref="S108" ca="1">MMS_Dairy_ManureAppliedToSoils_Equations.VEERG_4_3_1_8__2_MassOfNitrogenAppliedToSoilsScope3(S42, _xlfn.XLOOKUP($P108, $D$22:$D$26,$E$22:$E$26), _xlfn.XLOOKUP($P108,$D$31:$D$35,$E$31:$E$35),S54, $F66)</f>
        <v>14.526244824768686</v>
      </c>
      <c r="T108" s="55" cm="1">
        <f t="array" aca="1" ref="T108" ca="1">MMS_Dairy_ManureAppliedToSoils_Equations.VEERG_4_3_1_8__2_MassOfNitrogenAppliedToSoilsScope3(T42, _xlfn.XLOOKUP($P108, $D$22:$D$26,$E$22:$E$26), _xlfn.XLOOKUP($P108,$D$31:$D$35,$E$31:$E$35),T54, $F66)</f>
        <v>45.846219147973692</v>
      </c>
      <c r="U108" s="55"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INDEX(X_Table_Dairy_ProductionSystems_Method1,3,1)</f>
        <v>Milking shed</v>
      </c>
      <c r="E109" s="55" t="s">
        <v>407</v>
      </c>
      <c r="F109" s="55" cm="1">
        <f t="array" aca="1" ref="F109" ca="1">MMS_Dairy_ManureAppliedToSoils_Equations.VEERG_4_3_1_8__2_MassOfNitrogenAppliedToSoilsScope3(F43, _xlfn.XLOOKUP($E109, $D$22:$D$26,$E$22:$E$26), _xlfn.XLOOKUP($E109,$D$31:$D$35,$E$31:$E$35),F55, $F67)</f>
        <v>158.26705039291659</v>
      </c>
      <c r="G109" s="55" cm="1">
        <f t="array" aca="1" ref="G109" ca="1">MMS_Dairy_ManureAppliedToSoils_Equations.VEERG_4_3_1_8__2_MassOfNitrogenAppliedToSoilsScope3(G43, _xlfn.XLOOKUP($E109, $D$22:$D$26,$E$22:$E$26), _xlfn.XLOOKUP($E109,$D$31:$D$35,$E$31:$E$35),G55, $F67)</f>
        <v>61.545792153764516</v>
      </c>
      <c r="H109" s="55" cm="1">
        <f t="array" aca="1" ref="H109" ca="1">MMS_Dairy_ManureAppliedToSoils_Equations.VEERG_4_3_1_8__2_MassOfNitrogenAppliedToSoilsScope3(H43, _xlfn.XLOOKUP($E109, $D$22:$D$26,$E$22:$E$26), _xlfn.XLOOKUP($E109,$D$31:$D$35,$E$31:$E$35),H55, $F67)</f>
        <v>24.51303814179715</v>
      </c>
      <c r="I109" s="55" cm="1">
        <f t="array" aca="1" ref="I109" ca="1">MMS_Dairy_ManureAppliedToSoils_Equations.VEERG_4_3_1_8__2_MassOfNitrogenAppliedToSoilsScope3(I43, _xlfn.XLOOKUP($E109, $D$22:$D$26,$E$22:$E$26), _xlfn.XLOOKUP($E109,$D$31:$D$35,$E$31:$E$35),I55, $F67)</f>
        <v>77.365494812205597</v>
      </c>
      <c r="J109" s="55" cm="1">
        <f t="array" aca="1" ref="J109" ca="1">MMS_Dairy_ManureAppliedToSoils_Equations.VEERG_4_3_1_8__2_MassOfNitrogenAppliedToSoilsScope3(J43, _xlfn.XLOOKUP($E109, $D$22:$D$26,$E$22:$E$26), _xlfn.XLOOKUP($E109,$D$31:$D$35,$E$31:$E$35),J55, $F67)</f>
        <v>32.387464264181197</v>
      </c>
      <c r="K109" s="2"/>
      <c r="O109" s="55" t="str">
        <f>INDEX(X_Table_Dairy_ProductionSystems_Method1,3,1)</f>
        <v>Milking shed</v>
      </c>
      <c r="P109" s="55" t="s">
        <v>407</v>
      </c>
      <c r="Q109" s="55" cm="1">
        <f t="array" aca="1" ref="Q109" ca="1">MMS_Dairy_ManureAppliedToSoils_Equations.VEERG_4_3_1_8__2_MassOfNitrogenAppliedToSoilsScope3(Q43, _xlfn.XLOOKUP($P109, $D$22:$D$26,$E$22:$E$26), _xlfn.XLOOKUP($P109,$D$31:$D$35,$E$31:$E$35),Q55, $F67)</f>
        <v>158.26705039291659</v>
      </c>
      <c r="R109" s="55" cm="1">
        <f t="array" aca="1" ref="R109" ca="1">MMS_Dairy_ManureAppliedToSoils_Equations.VEERG_4_3_1_8__2_MassOfNitrogenAppliedToSoilsScope3(R43, _xlfn.XLOOKUP($P109, $D$22:$D$26,$E$22:$E$26), _xlfn.XLOOKUP($P109,$D$31:$D$35,$E$31:$E$35),R55, $F67)</f>
        <v>61.545792153764516</v>
      </c>
      <c r="S109" s="55" cm="1">
        <f t="array" aca="1" ref="S109" ca="1">MMS_Dairy_ManureAppliedToSoils_Equations.VEERG_4_3_1_8__2_MassOfNitrogenAppliedToSoilsScope3(S43, _xlfn.XLOOKUP($P109, $D$22:$D$26,$E$22:$E$26), _xlfn.XLOOKUP($P109,$D$31:$D$35,$E$31:$E$35),S55, $F67)</f>
        <v>24.51303814179715</v>
      </c>
      <c r="T109" s="55" cm="1">
        <f t="array" aca="1" ref="T109" ca="1">MMS_Dairy_ManureAppliedToSoils_Equations.VEERG_4_3_1_8__2_MassOfNitrogenAppliedToSoilsScope3(T43, _xlfn.XLOOKUP($P109, $D$22:$D$26,$E$22:$E$26), _xlfn.XLOOKUP($P109,$D$31:$D$35,$E$31:$E$35),T55, $F67)</f>
        <v>77.365494812205597</v>
      </c>
      <c r="U109" s="55"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INDEX(X_Table_Dairy_ProductionSystems_Method1,4,1)</f>
        <v>Feed pad</v>
      </c>
      <c r="E110" s="55" t="str">
        <f>INDEX(X_Table_Dairy_Stage1MMS_2_AnaerobicLagoon,2,1)</f>
        <v>Anaerobic lagoon</v>
      </c>
      <c r="F110" s="55" cm="1">
        <f t="array" aca="1" ref="F110" ca="1">MMS_Dairy_ManureAppliedToSoils_Equations.VEERG_4_3_1_8__2_MassOfNitrogenAppliedToSoilsScope3(F44, _xlfn.XLOOKUP($E110, $D$22:$D$26,$E$22:$E$26), _xlfn.XLOOKUP($E110,$D$31:$D$35,$E$31:$E$35),F56, $F68)</f>
        <v>308.27437256667417</v>
      </c>
      <c r="G110" s="55" cm="1">
        <f t="array" aca="1" ref="G110" ca="1">MMS_Dairy_ManureAppliedToSoils_Equations.VEERG_4_3_1_8__2_MassOfNitrogenAppliedToSoilsScope3(G44, _xlfn.XLOOKUP($E110, $D$22:$D$26,$E$22:$E$26), _xlfn.XLOOKUP($E110,$D$31:$D$35,$E$31:$E$35),G56, $F68)</f>
        <v>119.87959852172649</v>
      </c>
      <c r="H110" s="55" cm="1">
        <f t="array" aca="1" ref="H110" ca="1">MMS_Dairy_ManureAppliedToSoils_Equations.VEERG_4_3_1_8__2_MassOfNitrogenAppliedToSoilsScope3(H44, _xlfn.XLOOKUP($E110, $D$22:$D$26,$E$22:$E$26), _xlfn.XLOOKUP($E110,$D$31:$D$35,$E$31:$E$35),H56, $F68)</f>
        <v>47.746776313231159</v>
      </c>
      <c r="I110" s="55" cm="1">
        <f t="array" aca="1" ref="I110" ca="1">MMS_Dairy_ManureAppliedToSoils_Equations.VEERG_4_3_1_8__2_MassOfNitrogenAppliedToSoilsScope3(I44, _xlfn.XLOOKUP($E110, $D$22:$D$26,$E$22:$E$26), _xlfn.XLOOKUP($E110,$D$31:$D$35,$E$31:$E$35),I56, $F68)</f>
        <v>150.69339646081124</v>
      </c>
      <c r="J110" s="55" cm="1">
        <f t="array" aca="1" ref="J110" ca="1">MMS_Dairy_ManureAppliedToSoils_Equations.VEERG_4_3_1_8__2_MassOfNitrogenAppliedToSoilsScope3(J44, _xlfn.XLOOKUP($E110, $D$22:$D$26,$E$22:$E$26), _xlfn.XLOOKUP($E110,$D$31:$D$35,$E$31:$E$35),J56, $F68)</f>
        <v>63.084673659356305</v>
      </c>
      <c r="K110" s="2"/>
      <c r="O110" s="55" t="str">
        <f>INDEX(X_Table_Dairy_ProductionSystems_Method1,4,1)</f>
        <v>Feed pad</v>
      </c>
      <c r="P110" s="55" t="str">
        <f>INDEX(X_Table_Dairy_Stage1MMS_2_AnaerobicLagoon,2,1)</f>
        <v>Anaerobic lagoon</v>
      </c>
      <c r="Q110" s="55" cm="1">
        <f t="array" aca="1" ref="Q110" ca="1">MMS_Dairy_ManureAppliedToSoils_Equations.VEERG_4_3_1_8__2_MassOfNitrogenAppliedToSoilsScope3(Q44, _xlfn.XLOOKUP($P110, $D$22:$D$26,$E$22:$E$26), _xlfn.XLOOKUP($P110,$D$31:$D$35,$E$31:$E$35),Q56, $F68)</f>
        <v>308.27437256667417</v>
      </c>
      <c r="R110" s="55" cm="1">
        <f t="array" aca="1" ref="R110" ca="1">MMS_Dairy_ManureAppliedToSoils_Equations.VEERG_4_3_1_8__2_MassOfNitrogenAppliedToSoilsScope3(R44, _xlfn.XLOOKUP($P110, $D$22:$D$26,$E$22:$E$26), _xlfn.XLOOKUP($P110,$D$31:$D$35,$E$31:$E$35),R56, $F68)</f>
        <v>119.87959852172649</v>
      </c>
      <c r="S110" s="55" cm="1">
        <f t="array" aca="1" ref="S110" ca="1">MMS_Dairy_ManureAppliedToSoils_Equations.VEERG_4_3_1_8__2_MassOfNitrogenAppliedToSoilsScope3(S44, _xlfn.XLOOKUP($P110, $D$22:$D$26,$E$22:$E$26), _xlfn.XLOOKUP($P110,$D$31:$D$35,$E$31:$E$35),S56, $F68)</f>
        <v>47.746776313231159</v>
      </c>
      <c r="T110" s="55" cm="1">
        <f t="array" aca="1" ref="T110" ca="1">MMS_Dairy_ManureAppliedToSoils_Equations.VEERG_4_3_1_8__2_MassOfNitrogenAppliedToSoilsScope3(T44, _xlfn.XLOOKUP($P110, $D$22:$D$26,$E$22:$E$26), _xlfn.XLOOKUP($P110,$D$31:$D$35,$E$31:$E$35),T56, $F68)</f>
        <v>150.69339646081124</v>
      </c>
      <c r="U110" s="55"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INDEX(X_Table_Dairy_ProductionSystems_Method1,4,1)</f>
        <v>Feed pad</v>
      </c>
      <c r="E111" s="55" t="str">
        <f>INDEX(X_Table_Dairy_Stage1MMS_2_SumpAndDispersal,2,1)</f>
        <v>Sump and dispersal system</v>
      </c>
      <c r="F111" s="55" cm="1">
        <f t="array" aca="1" ref="F111" ca="1">MMS_Dairy_ManureAppliedToSoils_Equations.VEERG_4_3_1_8__2_MassOfNitrogenAppliedToSoilsScope3(F45, _xlfn.XLOOKUP($E111, $D$22:$D$26,$E$22:$E$26), _xlfn.XLOOKUP($E111,$D$31:$D$35,$E$31:$E$35),F57, $F69)</f>
        <v>352.8555895224701</v>
      </c>
      <c r="G111" s="55" cm="1">
        <f t="array" aca="1" ref="G111" ca="1">MMS_Dairy_ManureAppliedToSoils_Equations.VEERG_4_3_1_8__2_MassOfNitrogenAppliedToSoilsScope3(G45, _xlfn.XLOOKUP($E111, $D$22:$D$26,$E$22:$E$26), _xlfn.XLOOKUP($E111,$D$31:$D$35,$E$31:$E$35),G57, $F69)</f>
        <v>137.21603276948386</v>
      </c>
      <c r="H111" s="55" cm="1">
        <f t="array" aca="1" ref="H111" ca="1">MMS_Dairy_ManureAppliedToSoils_Equations.VEERG_4_3_1_8__2_MassOfNitrogenAppliedToSoilsScope3(H45, _xlfn.XLOOKUP($E111, $D$22:$D$26,$E$22:$E$26), _xlfn.XLOOKUP($E111,$D$31:$D$35,$E$31:$E$35),H57, $F69)</f>
        <v>54.651694733913814</v>
      </c>
      <c r="I111" s="55" cm="1">
        <f t="array" aca="1" ref="I111" ca="1">MMS_Dairy_ManureAppliedToSoils_Equations.VEERG_4_3_1_8__2_MassOfNitrogenAppliedToSoilsScope3(I45, _xlfn.XLOOKUP($E111, $D$22:$D$26,$E$22:$E$26), _xlfn.XLOOKUP($E111,$D$31:$D$35,$E$31:$E$35),I57, $F69)</f>
        <v>172.48597994899006</v>
      </c>
      <c r="J111" s="55" cm="1">
        <f t="array" aca="1" ref="J111" ca="1">MMS_Dairy_ManureAppliedToSoils_Equations.VEERG_4_3_1_8__2_MassOfNitrogenAppliedToSoilsScope3(J45, _xlfn.XLOOKUP($E111, $D$22:$D$26,$E$22:$E$26), _xlfn.XLOOKUP($E111,$D$31:$D$35,$E$31:$E$35),J57, $F69)</f>
        <v>72.207688003940135</v>
      </c>
      <c r="K111" s="2"/>
      <c r="O111" s="55" t="str">
        <f>INDEX(X_Table_Dairy_ProductionSystems_Method1,4,1)</f>
        <v>Feed pad</v>
      </c>
      <c r="P111" s="55" t="str">
        <f>INDEX(X_Table_Dairy_Stage1MMS_2_SumpAndDispersal,2,1)</f>
        <v>Sump and dispersal system</v>
      </c>
      <c r="Q111" s="55" cm="1">
        <f t="array" aca="1" ref="Q111" ca="1">MMS_Dairy_ManureAppliedToSoils_Equations.VEERG_4_3_1_8__2_MassOfNitrogenAppliedToSoilsScope3(Q45, _xlfn.XLOOKUP($P111, $D$22:$D$26,$E$22:$E$26), _xlfn.XLOOKUP($P111,$D$31:$D$35,$E$31:$E$35),Q57, $F69)</f>
        <v>352.8555895224701</v>
      </c>
      <c r="R111" s="55" cm="1">
        <f t="array" aca="1" ref="R111" ca="1">MMS_Dairy_ManureAppliedToSoils_Equations.VEERG_4_3_1_8__2_MassOfNitrogenAppliedToSoilsScope3(R45, _xlfn.XLOOKUP($P111, $D$22:$D$26,$E$22:$E$26), _xlfn.XLOOKUP($P111,$D$31:$D$35,$E$31:$E$35),R57, $F69)</f>
        <v>137.21603276948386</v>
      </c>
      <c r="S111" s="55" cm="1">
        <f t="array" aca="1" ref="S111" ca="1">MMS_Dairy_ManureAppliedToSoils_Equations.VEERG_4_3_1_8__2_MassOfNitrogenAppliedToSoilsScope3(S45, _xlfn.XLOOKUP($P111, $D$22:$D$26,$E$22:$E$26), _xlfn.XLOOKUP($P111,$D$31:$D$35,$E$31:$E$35),S57, $F69)</f>
        <v>54.651694733913814</v>
      </c>
      <c r="T111" s="55" cm="1">
        <f t="array" aca="1" ref="T111" ca="1">MMS_Dairy_ManureAppliedToSoils_Equations.VEERG_4_3_1_8__2_MassOfNitrogenAppliedToSoilsScope3(T45, _xlfn.XLOOKUP($P111, $D$22:$D$26,$E$22:$E$26), _xlfn.XLOOKUP($P111,$D$31:$D$35,$E$31:$E$35),T57, $F69)</f>
        <v>172.48597994899006</v>
      </c>
      <c r="U111" s="55"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INDEX(X_Table_Dairy_ProductionSystems_Method1,4,1)</f>
        <v>Feed pad</v>
      </c>
      <c r="E112" s="55" t="str">
        <f>INDEX(X_Table_Dairy_Stage1MMS_2_DrainsToPaddock,2,1)</f>
        <v>Drains to paddock</v>
      </c>
      <c r="F112" s="55" cm="1">
        <f t="array" aca="1" ref="F112" ca="1">MMS_Dairy_ManureAppliedToSoils_Equations.VEERG_4_3_1_8__2_MassOfNitrogenAppliedToSoilsScope3(F46, _xlfn.XLOOKUP($E112, $D$22:$D$26,$E$22:$E$26), _xlfn.XLOOKUP($E112,$D$31:$D$35,$E$31:$E$35),F58, $F70)</f>
        <v>303.53168991180229</v>
      </c>
      <c r="G112" s="55" cm="1">
        <f t="array" aca="1" ref="G112" ca="1">MMS_Dairy_ManureAppliedToSoils_Equations.VEERG_4_3_1_8__2_MassOfNitrogenAppliedToSoilsScope3(G46, _xlfn.XLOOKUP($E112, $D$22:$D$26,$E$22:$E$26), _xlfn.XLOOKUP($E112,$D$31:$D$35,$E$31:$E$35),G58, $F70)</f>
        <v>118.03529700600764</v>
      </c>
      <c r="H112" s="55" cm="1">
        <f t="array" aca="1" ref="H112" ca="1">MMS_Dairy_ManureAppliedToSoils_Equations.VEERG_4_3_1_8__2_MassOfNitrogenAppliedToSoilsScope3(H46, _xlfn.XLOOKUP($E112, $D$22:$D$26,$E$22:$E$26), _xlfn.XLOOKUP($E112,$D$31:$D$35,$E$31:$E$35),H58, $F70)</f>
        <v>47.012210523796831</v>
      </c>
      <c r="I112" s="55" cm="1">
        <f t="array" aca="1" ref="I112" ca="1">MMS_Dairy_ManureAppliedToSoils_Equations.VEERG_4_3_1_8__2_MassOfNitrogenAppliedToSoilsScope3(I46, _xlfn.XLOOKUP($E112, $D$22:$D$26,$E$22:$E$26), _xlfn.XLOOKUP($E112,$D$31:$D$35,$E$31:$E$35),I58, $F70)</f>
        <v>148.37503651526029</v>
      </c>
      <c r="J112" s="55" cm="1">
        <f t="array" aca="1" ref="J112" ca="1">MMS_Dairy_ManureAppliedToSoils_Equations.VEERG_4_3_1_8__2_MassOfNitrogenAppliedToSoilsScope3(J46, _xlfn.XLOOKUP($E112, $D$22:$D$26,$E$22:$E$26), _xlfn.XLOOKUP($E112,$D$31:$D$35,$E$31:$E$35),J58, $F70)</f>
        <v>62.114140218443133</v>
      </c>
      <c r="K112" s="2"/>
      <c r="O112" s="55" t="str">
        <f>INDEX(X_Table_Dairy_ProductionSystems_Method1,4,1)</f>
        <v>Feed pad</v>
      </c>
      <c r="P112" s="55" t="str">
        <f>INDEX(X_Table_Dairy_Stage1MMS_2_DrainsToPaddock,2,1)</f>
        <v>Drains to paddock</v>
      </c>
      <c r="Q112" s="55" cm="1">
        <f t="array" aca="1" ref="Q112" ca="1">MMS_Dairy_ManureAppliedToSoils_Equations.VEERG_4_3_1_8__2_MassOfNitrogenAppliedToSoilsScope3(Q46, _xlfn.XLOOKUP($P112, $D$22:$D$26,$E$22:$E$26), _xlfn.XLOOKUP($P112,$D$31:$D$35,$E$31:$E$35),Q58, $F70)</f>
        <v>303.53168991180229</v>
      </c>
      <c r="R112" s="55" cm="1">
        <f t="array" aca="1" ref="R112" ca="1">MMS_Dairy_ManureAppliedToSoils_Equations.VEERG_4_3_1_8__2_MassOfNitrogenAppliedToSoilsScope3(R46, _xlfn.XLOOKUP($P112, $D$22:$D$26,$E$22:$E$26), _xlfn.XLOOKUP($P112,$D$31:$D$35,$E$31:$E$35),R58, $F70)</f>
        <v>118.03529700600764</v>
      </c>
      <c r="S112" s="55" cm="1">
        <f t="array" aca="1" ref="S112" ca="1">MMS_Dairy_ManureAppliedToSoils_Equations.VEERG_4_3_1_8__2_MassOfNitrogenAppliedToSoilsScope3(S46, _xlfn.XLOOKUP($P112, $D$22:$D$26,$E$22:$E$26), _xlfn.XLOOKUP($P112,$D$31:$D$35,$E$31:$E$35),S58, $F70)</f>
        <v>47.012210523796831</v>
      </c>
      <c r="T112" s="55" cm="1">
        <f t="array" aca="1" ref="T112" ca="1">MMS_Dairy_ManureAppliedToSoils_Equations.VEERG_4_3_1_8__2_MassOfNitrogenAppliedToSoilsScope3(T46, _xlfn.XLOOKUP($P112, $D$22:$D$26,$E$22:$E$26), _xlfn.XLOOKUP($P112,$D$31:$D$35,$E$31:$E$35),T58, $F70)</f>
        <v>148.37503651526029</v>
      </c>
      <c r="U112" s="55" cm="1">
        <f t="array" aca="1" ref="U112" ca="1">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INDEX(X_Table_Dairy_ProductionSystems_Method1,4,1)</f>
        <v>Feed pad</v>
      </c>
      <c r="E113" s="55" t="s">
        <v>407</v>
      </c>
      <c r="F113" s="55" cm="1">
        <f t="array" aca="1" ref="F113" ca="1">MMS_Dairy_ManureAppliedToSoils_Equations.VEERG_4_3_1_8__2_MassOfNitrogenAppliedToSoilsScope3(F47, _xlfn.XLOOKUP($E113, $D$22:$D$26,$E$22:$E$26), _xlfn.XLOOKUP($E113,$D$31:$D$35,$E$31:$E$35),F59, $F71)</f>
        <v>448.18351088539555</v>
      </c>
      <c r="G113" s="55" cm="1">
        <f t="array" aca="1" ref="G113" ca="1">MMS_Dairy_ManureAppliedToSoils_Equations.VEERG_4_3_1_8__2_MassOfNitrogenAppliedToSoilsScope3(G47, _xlfn.XLOOKUP($E113, $D$22:$D$26,$E$22:$E$26), _xlfn.XLOOKUP($E113,$D$31:$D$35,$E$31:$E$35),G59, $F71)</f>
        <v>174.28649323543314</v>
      </c>
      <c r="H113" s="55" cm="1">
        <f t="array" aca="1" ref="H113" ca="1">MMS_Dairy_ManureAppliedToSoils_Equations.VEERG_4_3_1_8__2_MassOfNitrogenAppliedToSoilsScope3(H47, _xlfn.XLOOKUP($E113, $D$22:$D$26,$E$22:$E$26), _xlfn.XLOOKUP($E113,$D$31:$D$35,$E$31:$E$35),H59, $F71)</f>
        <v>69.416467101543759</v>
      </c>
      <c r="I113" s="55" cm="1">
        <f t="array" aca="1" ref="I113" ca="1">MMS_Dairy_ManureAppliedToSoils_Equations.VEERG_4_3_1_8__2_MassOfNitrogenAppliedToSoilsScope3(I47, _xlfn.XLOOKUP($E113, $D$22:$D$26,$E$22:$E$26), _xlfn.XLOOKUP($E113,$D$31:$D$35,$E$31:$E$35),I59, $F71)</f>
        <v>219.08501485456401</v>
      </c>
      <c r="J113" s="55" cm="1">
        <f t="array" aca="1" ref="J113" ca="1">MMS_Dairy_ManureAppliedToSoils_Equations.VEERG_4_3_1_8__2_MassOfNitrogenAppliedToSoilsScope3(J47, _xlfn.XLOOKUP($E113, $D$22:$D$26,$E$22:$E$26), _xlfn.XLOOKUP($E113,$D$31:$D$35,$E$31:$E$35),J59, $F71)</f>
        <v>91.715410166294944</v>
      </c>
      <c r="K113" s="2"/>
      <c r="O113" s="55" t="str">
        <f>INDEX(X_Table_Dairy_ProductionSystems_Method1,4,1)</f>
        <v>Feed pad</v>
      </c>
      <c r="P113" s="55" t="s">
        <v>407</v>
      </c>
      <c r="Q113" s="55" cm="1">
        <f t="array" aca="1" ref="Q113" ca="1">MMS_Dairy_ManureAppliedToSoils_Equations.VEERG_4_3_1_8__2_MassOfNitrogenAppliedToSoilsScope3(Q47, _xlfn.XLOOKUP($P113, $D$22:$D$26,$E$22:$E$26), _xlfn.XLOOKUP($P113,$D$31:$D$35,$E$31:$E$35),Q59, $F71)</f>
        <v>448.18351088539555</v>
      </c>
      <c r="R113" s="55" cm="1">
        <f t="array" aca="1" ref="R113" ca="1">MMS_Dairy_ManureAppliedToSoils_Equations.VEERG_4_3_1_8__2_MassOfNitrogenAppliedToSoilsScope3(R47, _xlfn.XLOOKUP($P113, $D$22:$D$26,$E$22:$E$26), _xlfn.XLOOKUP($P113,$D$31:$D$35,$E$31:$E$35),R59, $F71)</f>
        <v>174.28649323543314</v>
      </c>
      <c r="S113" s="55" cm="1">
        <f t="array" aca="1" ref="S113" ca="1">MMS_Dairy_ManureAppliedToSoils_Equations.VEERG_4_3_1_8__2_MassOfNitrogenAppliedToSoilsScope3(S47, _xlfn.XLOOKUP($P113, $D$22:$D$26,$E$22:$E$26), _xlfn.XLOOKUP($P113,$D$31:$D$35,$E$31:$E$35),S59, $F71)</f>
        <v>69.416467101543759</v>
      </c>
      <c r="T113" s="55" cm="1">
        <f t="array" aca="1" ref="T113" ca="1">MMS_Dairy_ManureAppliedToSoils_Equations.VEERG_4_3_1_8__2_MassOfNitrogenAppliedToSoilsScope3(T47, _xlfn.XLOOKUP($P113, $D$22:$D$26,$E$22:$E$26), _xlfn.XLOOKUP($P113,$D$31:$D$35,$E$31:$E$35),T59, $F71)</f>
        <v>219.08501485456401</v>
      </c>
      <c r="U113" s="55" cm="1">
        <f t="array" aca="1" ref="U113" ca="1">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 ca="1">SUM(F106:J113)</f>
        <v>4139.1577931583588</v>
      </c>
      <c r="F115" s="110" t="str">
        <f>$E$11</f>
        <v>kg N</v>
      </c>
      <c r="O115" s="108" t="s">
        <v>349</v>
      </c>
      <c r="P115" s="109">
        <f ca="1">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41" t="s">
        <v>148</v>
      </c>
      <c r="E126" s="41" t="s">
        <v>69</v>
      </c>
      <c r="F126" s="41" t="s">
        <v>434</v>
      </c>
    </row>
    <row r="127" spans="1:23" ht="20.100000000000001" customHeight="1" x14ac:dyDescent="0.25">
      <c r="D127" s="55" t="str">
        <f>INDEX(X_Table_Dairy_ProductionSystems_Method1,3,1)</f>
        <v>Milking shed</v>
      </c>
      <c r="E127" s="55" t="str">
        <f>INDEX(X_Table_Dairy_Stage1MMS_1_AnaerobicLagoon,2,1)</f>
        <v>Anaerobic lagoon</v>
      </c>
      <c r="F127" s="55">
        <f>INDEX(X_Table_Dairy_Stage1MMS_1_AnaerobicLagoon_Destinations,2,3)</f>
        <v>0.25</v>
      </c>
      <c r="G127" s="2" t="str">
        <f>G101</f>
        <v>fraction</v>
      </c>
    </row>
    <row r="128" spans="1:23" ht="20.100000000000001" customHeight="1" x14ac:dyDescent="0.25">
      <c r="D128" s="55" t="str">
        <f>INDEX(X_Table_Dairy_ProductionSystems_Method1,3,1)</f>
        <v>Milking shed</v>
      </c>
      <c r="E128" s="55" t="str">
        <f>INDEX(X_Table_Dairy_Stage1MMS_1_SumpAndDispersal,2,1)</f>
        <v>Sump and dispersal system</v>
      </c>
      <c r="F128" s="55">
        <f>INDEX(X_Table_Dairy_Stage1MMS_1_SumpAndDispersal_Destinations,2,3)</f>
        <v>0.25</v>
      </c>
      <c r="G128" s="2"/>
    </row>
    <row r="129" spans="4:22" ht="20.100000000000001" customHeight="1" x14ac:dyDescent="0.25">
      <c r="D129" s="55" t="str">
        <f>INDEX(X_Table_Dairy_ProductionSystems_Method1,3,1)</f>
        <v>Milking shed</v>
      </c>
      <c r="E129" s="55" t="str">
        <f>INDEX(X_Table_Dairy_Stage1MMS_1_DrainsToPaddock,2,1)</f>
        <v>Drains to paddock</v>
      </c>
      <c r="F129" s="55">
        <f>INDEX(X_Table_Dairy_Stage1MMS_1_DrainsToPaddock_Destinations,2,3)</f>
        <v>0.25</v>
      </c>
      <c r="G129" s="2"/>
    </row>
    <row r="130" spans="4:22" ht="20.100000000000001" customHeight="1" x14ac:dyDescent="0.25">
      <c r="D130" s="55" t="str">
        <f>INDEX(X_Table_Dairy_ProductionSystems_Method1,3,1)</f>
        <v>Milking shed</v>
      </c>
      <c r="E130" s="55" t="s">
        <v>407</v>
      </c>
      <c r="F130" s="55">
        <f>INDEX(X_Table_Dairy_Stage1MMS_1_SolidStorage_Destinations,2,3)</f>
        <v>0.25</v>
      </c>
      <c r="G130" s="2"/>
    </row>
    <row r="131" spans="4:22" ht="20.100000000000001" customHeight="1" x14ac:dyDescent="0.25">
      <c r="D131" s="55" t="str">
        <f>INDEX(X_Table_Dairy_ProductionSystems_Method1,4,1)</f>
        <v>Feed pad</v>
      </c>
      <c r="E131" s="55" t="str">
        <f>INDEX(X_Table_Dairy_Stage1MMS_2_AnaerobicLagoon,2,1)</f>
        <v>Anaerobic lagoon</v>
      </c>
      <c r="F131" s="55">
        <f>INDEX(X_Table_Dairy_Stage1MMS_2_AnaerobicLagoon_Destinations,2,3)</f>
        <v>0.25</v>
      </c>
      <c r="G131" s="2"/>
    </row>
    <row r="132" spans="4:22" ht="20.100000000000001" customHeight="1" x14ac:dyDescent="0.25">
      <c r="D132" s="55" t="str">
        <f>INDEX(X_Table_Dairy_ProductionSystems_Method1,4,1)</f>
        <v>Feed pad</v>
      </c>
      <c r="E132" s="55" t="str">
        <f>INDEX(X_Table_Dairy_Stage1MMS_2_SumpAndDispersal,2,1)</f>
        <v>Sump and dispersal system</v>
      </c>
      <c r="F132" s="55">
        <f>INDEX(X_Table_Dairy_Stage1MMS_2_SumpAndDispersal_Destinations,2,3)</f>
        <v>0.25</v>
      </c>
      <c r="G132" s="2"/>
    </row>
    <row r="133" spans="4:22" ht="20.100000000000001" customHeight="1" x14ac:dyDescent="0.25">
      <c r="D133" s="55" t="str">
        <f>INDEX(X_Table_Dairy_ProductionSystems_Method1,4,1)</f>
        <v>Feed pad</v>
      </c>
      <c r="E133" s="55" t="str">
        <f>INDEX(X_Table_Dairy_Stage1MMS_2_DrainsToPaddock,2,1)</f>
        <v>Drains to paddock</v>
      </c>
      <c r="F133" s="55">
        <f>INDEX(X_Table_Dairy_Stage1MMS_2_DrainsToPaddock_Destinations,2,3)</f>
        <v>0.25</v>
      </c>
      <c r="G133" s="2"/>
    </row>
    <row r="134" spans="4:22" ht="20.100000000000001" customHeight="1" x14ac:dyDescent="0.25">
      <c r="D134" s="55" t="str">
        <f>INDEX(X_Table_Dairy_ProductionSystems_Method1,4,1)</f>
        <v>Feed pad</v>
      </c>
      <c r="E134" s="55" t="s">
        <v>407</v>
      </c>
      <c r="F134" s="55">
        <f>INDEX(X_Table_Dairy_Stage1MMS_2_SolidStorage_Destinations,2,3)</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INDEX(X_Table_Dairy_ProductionSystems_Method1,3,1)</f>
        <v>Milking shed</v>
      </c>
      <c r="E139" s="55" t="str">
        <f>INDEX(X_Table_Dairy_Stage1MMS_1_AnaerobicLagoon,2,1)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INDEX(X_Table_Dairy_ProductionSystems_Method1,3,1)</f>
        <v>Milking shed</v>
      </c>
      <c r="P139" s="55" t="str">
        <f>INDEX(X_Table_Dairy_Stage1MMS_1_AnaerobicLagoon,2,1)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INDEX(X_Table_Dairy_ProductionSystems_Method1,3,1)</f>
        <v>Milking shed</v>
      </c>
      <c r="E140" s="55" t="str">
        <f>INDEX(X_Table_Dairy_Stage1MMS_1_SumpAndDispersal,2,1)</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INDEX(X_Table_Dairy_ProductionSystems_Method1,3,1)</f>
        <v>Milking shed</v>
      </c>
      <c r="P140" s="55" t="str">
        <f>INDEX(X_Table_Dairy_Stage1MMS_1_SumpAndDispersal,2,1)</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INDEX(X_Table_Dairy_ProductionSystems_Method1,3,1)</f>
        <v>Milking shed</v>
      </c>
      <c r="E141" s="55" t="str">
        <f>INDEX(X_Table_Dairy_Stage1MMS_1_DrainsToPaddock,2,1)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INDEX(X_Table_Dairy_ProductionSystems_Method1,3,1)</f>
        <v>Milking shed</v>
      </c>
      <c r="P141" s="55" t="str">
        <f>INDEX(X_Table_Dairy_Stage1MMS_1_DrainsToPaddock,2,1)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INDEX(X_Table_Dairy_ProductionSystems_Method1,3,1)</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INDEX(X_Table_Dairy_ProductionSystems_Method1,3,1)</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INDEX(X_Table_Dairy_ProductionSystems_Method1,4,1)</f>
        <v>Feed pad</v>
      </c>
      <c r="E143" s="55" t="str">
        <f>INDEX(X_Table_Dairy_Stage1MMS_2_AnaerobicLagoon,2,1)</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INDEX(X_Table_Dairy_ProductionSystems_Method1,4,1)</f>
        <v>Feed pad</v>
      </c>
      <c r="P143" s="55" t="str">
        <f>INDEX(X_Table_Dairy_Stage1MMS_2_AnaerobicLagoon,2,1)</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INDEX(X_Table_Dairy_ProductionSystems_Method1,4,1)</f>
        <v>Feed pad</v>
      </c>
      <c r="E144" s="55" t="str">
        <f>INDEX(X_Table_Dairy_Stage1MMS_2_SumpAndDispersal,2,1)</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INDEX(X_Table_Dairy_ProductionSystems_Method1,4,1)</f>
        <v>Feed pad</v>
      </c>
      <c r="P144" s="55" t="str">
        <f>INDEX(X_Table_Dairy_Stage1MMS_2_SumpAndDispersal,2,1)</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INDEX(X_Table_Dairy_ProductionSystems_Method1,4,1)</f>
        <v>Feed pad</v>
      </c>
      <c r="E145" s="55" t="str">
        <f>INDEX(X_Table_Dairy_Stage1MMS_2_DrainsToPaddock,2,1)</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INDEX(X_Table_Dairy_ProductionSystems_Method1,4,1)</f>
        <v>Feed pad</v>
      </c>
      <c r="P145" s="55" t="str">
        <f>INDEX(X_Table_Dairy_Stage1MMS_2_DrainsToPaddock,2,1)</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INDEX(X_Table_Dairy_ProductionSystems_Method1,4,1)</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INDEX(X_Table_Dairy_ProductionSystems_Method1,4,1)</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workbookViewId="0">
      <selection activeCell="Q25" sqref="Q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INDEX(M1_Table_AE_j124,2,1)</f>
        <v>21315.427662345664</v>
      </c>
      <c r="E19" s="55">
        <f>INDEX(M1_Table_AE_j124,2,2)</f>
        <v>8288.9955762645804</v>
      </c>
      <c r="F19" s="55">
        <f>INDEX(M1_Table_AE_j_Consumer_1,2,3)</f>
        <v>3301.419278356519</v>
      </c>
      <c r="G19" s="55">
        <f>INDEX(M1_Table_AE_j124,2,4)</f>
        <v>10419.59526090311</v>
      </c>
      <c r="H19" s="55">
        <f>INDEX(M1_Table_AE_j_Consumer_1,2,5)</f>
        <v>4361.9480490479727</v>
      </c>
      <c r="I19" s="2" t="str">
        <f>$G$13</f>
        <v>kg N</v>
      </c>
      <c r="O19" s="55">
        <f>INDEX(M2_Table_AE_j124,2,1)</f>
        <v>21315.427662345664</v>
      </c>
      <c r="P19" s="55">
        <f>INDEX(M2_Table_AE_j124,2,2)</f>
        <v>8288.9955762645804</v>
      </c>
      <c r="Q19" s="55">
        <f>INDEX(M1_Table_AE_j,2,3)</f>
        <v>3301.419278356519</v>
      </c>
      <c r="R19" s="55">
        <f>INDEX(M2_Table_AE_j124,2,4)</f>
        <v>10419.59526090311</v>
      </c>
      <c r="S19" s="55">
        <f>INDEX(M1_Table_AE_j,2,5)</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INDEX(X_Table_Dairy_ProductionSystems_Method1,2,1)</f>
        <v>Pasture</v>
      </c>
      <c r="E25" s="55" t="str">
        <f>'Constants - Livestock'!$E$27</f>
        <v>Pasture range and paddock</v>
      </c>
      <c r="F25" s="55">
        <f>INDEX(X_Table_Dairy_ProductionSystems_Method1,2,2)</f>
        <v>0.53400000000000003</v>
      </c>
      <c r="G25" s="55">
        <f>INDEX(X_Table_Dairy_ProductionSystems_Method1,2,3)</f>
        <v>0.53400000000000003</v>
      </c>
      <c r="H25" s="55">
        <f>INDEX(X_Table_Dairy_ProductionSystems_Method1,2,4)</f>
        <v>0.53400000000000003</v>
      </c>
      <c r="I25" s="55">
        <f>INDEX(X_Table_Dairy_ProductionSystems_Method1,2,5)</f>
        <v>0.53400000000000003</v>
      </c>
      <c r="J25" s="55">
        <f>INDEX(X_Table_Dairy_ProductionSystems_Method1,2,6)</f>
        <v>0.53400000000000003</v>
      </c>
      <c r="K25" s="2" t="str">
        <f>$G$14</f>
        <v>fraction</v>
      </c>
      <c r="O25" s="55" t="str">
        <f>INDEX(X_Table_Dairy_ProductionSystems_Method1,2,1)</f>
        <v>Pasture</v>
      </c>
      <c r="P25" s="55" t="str">
        <f>'Constants - Livestock'!$E$27</f>
        <v>Pasture range and paddock</v>
      </c>
      <c r="Q25" s="55">
        <f>INDEX(X_Table_Dairy_ProductionSystems_Method2,2,2)</f>
        <v>0.53400000000000003</v>
      </c>
      <c r="R25" s="55">
        <f>INDEX(X_Table_Dairy_ProductionSystems_Method2,2,3)</f>
        <v>0.53400000000000003</v>
      </c>
      <c r="S25" s="55">
        <f>INDEX(X_Table_Dairy_ProductionSystems_Method2,2,4)</f>
        <v>0.53400000000000003</v>
      </c>
      <c r="T25" s="55">
        <f>INDEX(X_Table_Dairy_ProductionSystems_Method2,2,5)</f>
        <v>0.53400000000000003</v>
      </c>
      <c r="U25" s="55">
        <f>INDEX(X_Table_Dairy_ProductionSystems_Method2,2,6)</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INDEX(X_Table_Dairy_ProductionSystems_Method1,2,1)</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INDEX(X_Table_Dairy_ProductionSystems_Method1,2,1)</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X_Cell_Site_WetOrDryClimateZone</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INDEX(X_Table_Dairy_ProductionSystems_Method1,2,1)</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INDEX(X_Table_Dairy_ProductionSystems_Method1,2,1)</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workbookViewId="0">
      <selection activeCell="I41" sqref="I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SourceData_Dairy_FracGASMSoil_Data</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INDEX(X_Table_Dairy_ProductionSystems_Method1,2,1)</f>
        <v>Pasture</v>
      </c>
      <c r="E19" s="55" t="str">
        <f>'Constants - Livestock'!$E$27</f>
        <v>Pasture range and paddock</v>
      </c>
      <c r="F19" s="55">
        <f>INDEX(M1_Table_MN_j_m14,2,3)</f>
        <v>11382.438371692586</v>
      </c>
      <c r="G19" s="55">
        <f>INDEX(M1_Table_MN_j_m14,2,4)</f>
        <v>4426.3236377252861</v>
      </c>
      <c r="H19" s="55">
        <f>INDEX(M1_Table_MN_j_m14,2,5)</f>
        <v>1762.9578946423812</v>
      </c>
      <c r="I19" s="55">
        <f>INDEX(M1_Table_MN_j_m14,2,6)</f>
        <v>5564.0638693222609</v>
      </c>
      <c r="J19" s="55">
        <f>INDEX(M1_Table_MN_j_m14,2,7)</f>
        <v>2329.2802581916176</v>
      </c>
      <c r="K19" s="2" t="str">
        <f>$E$11</f>
        <v>kg N</v>
      </c>
      <c r="M19" s="59"/>
      <c r="O19" s="55" t="str">
        <f>INDEX(X_Table_Dairy_ProductionSystems_Method1,2,1)</f>
        <v>Pasture</v>
      </c>
      <c r="P19" s="55" t="str">
        <f>'Constants - Livestock'!$E$27</f>
        <v>Pasture range and paddock</v>
      </c>
      <c r="Q19" s="55">
        <f>INDEX(M2_Table_MN_j_m14,2,3)</f>
        <v>11382.438371692586</v>
      </c>
      <c r="R19" s="55">
        <f>INDEX(M2_Table_MN_j_m14,2,4)</f>
        <v>4426.3236377252861</v>
      </c>
      <c r="S19" s="55">
        <f>INDEX(M2_Table_MN_j_m14,2,5)</f>
        <v>1762.9578946423812</v>
      </c>
      <c r="T19" s="55">
        <f>INDEX(M2_Table_MN_j_m14,2,6)</f>
        <v>5564.0638693222609</v>
      </c>
      <c r="U19" s="55">
        <f>INDEX(M2_Table_MN_j_m14,2,7)</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INDEX(X_Table_Dairy_ProductionSystems_Method1,2,1)</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INDEX(X_Table_Dairy_ProductionSystems_Method1,2,1)</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X_Cell_Dairy_ManureAppliedProductionSystem</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X_Cell_Dairy_ManureAppliedIrrigationMethod</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X_Cell_Site_RainfallZone</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SourceData_Dairy_FractionOfNitrogenLostThroughLeachingAndRunoff_Data</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X_Cell_Dairy_ManureAppliedIrrigationMethod</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INDEX(X_Table_Dairy_ProductionSystems_Method1,2,1)</f>
        <v>Pasture</v>
      </c>
      <c r="E23" s="55" t="str">
        <f>'Constants - Livestock'!$E$27</f>
        <v>Pasture range and paddock</v>
      </c>
      <c r="F23" s="55">
        <f>INDEX(M1_Table_MN_j_m14,2,3)</f>
        <v>11382.438371692586</v>
      </c>
      <c r="G23" s="55">
        <f>INDEX(M1_Table_MN_j_m14,2,4)</f>
        <v>4426.3236377252861</v>
      </c>
      <c r="H23" s="55">
        <f>INDEX(M1_Table_MN_j_m14,2,5)</f>
        <v>1762.9578946423812</v>
      </c>
      <c r="I23" s="55">
        <f>INDEX(M1_Table_MN_j_m14,2,6)</f>
        <v>5564.0638693222609</v>
      </c>
      <c r="J23" s="55">
        <f>INDEX(M1_Table_MN_j_m14,2,7)</f>
        <v>2329.2802581916176</v>
      </c>
      <c r="K23" s="2" t="str">
        <f>$E$11</f>
        <v>kg N</v>
      </c>
      <c r="M23" s="59"/>
      <c r="O23" s="55" t="str">
        <f>INDEX(X_Table_Dairy_ProductionSystems_Method1,2,1)</f>
        <v>Pasture</v>
      </c>
      <c r="P23" s="55" t="str">
        <f>'Constants - Livestock'!$E$27</f>
        <v>Pasture range and paddock</v>
      </c>
      <c r="Q23" s="55">
        <f>INDEX(M2_Table_MN_j_m14,2,3)</f>
        <v>11382.438371692586</v>
      </c>
      <c r="R23" s="55">
        <f>INDEX(M2_Table_MN_j_m14,2,4)</f>
        <v>4426.3236377252861</v>
      </c>
      <c r="S23" s="55">
        <f>INDEX(M2_Table_MN_j_m14,2,5)</f>
        <v>1762.9578946423812</v>
      </c>
      <c r="T23" s="55">
        <f>INDEX(M2_Table_MN_j_m14,2,6)</f>
        <v>5564.0638693222609</v>
      </c>
      <c r="U23" s="55">
        <f>INDEX(M2_Table_MN_j_m14,2,7)</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INDEX(X_Table_Dairy_ProductionSystems_Method1,2,1)</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INDEX(X_Table_Dairy_ProductionSystems_Method1,2,1)</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SourceData_Dairy_EmissionFactorForLeachingAndRunoff_Data</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85" zoomScaleNormal="85" workbookViewId="0">
      <selection activeCell="A9" sqref="A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0F997-1ECB-4533-B8E3-9ABA3278B66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224</vt:i4>
      </vt:variant>
    </vt:vector>
  </HeadingPairs>
  <TitlesOfParts>
    <vt:vector size="242"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