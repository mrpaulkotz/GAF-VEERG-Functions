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B8A1A16-2A09-412E-92EB-ED70BB881A69}" xr6:coauthVersionLast="47" xr6:coauthVersionMax="47" xr10:uidLastSave="{00000000-0000-0000-0000-000000000000}"/>
  <bookViews>
    <workbookView xWindow="4680" yWindow="4680" windowWidth="28800" windowHeight="15345" firstSheet="14" activeTab="1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0"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Dairy'!$E$127</definedName>
    <definedName name="X_Cell_Dairy_ManureAppliedProductionSystem">'Input - Dairy'!$E$126</definedName>
    <definedName name="X_Cell_Dairy_MilkProductionAmount">'Input - Dairy'!$E$53</definedName>
    <definedName name="X_Cell_Dairy_MilkProductionUnit">'Input - Dairy'!$E$50</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Dairy'!$D$55:$F$57</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 i="74" l="1"/>
  <c r="A28" i="74"/>
  <c r="A27" i="74"/>
  <c r="A26" i="74"/>
  <c r="A25" i="74"/>
  <c r="A21" i="74"/>
  <c r="A20" i="74"/>
  <c r="A19" i="74"/>
  <c r="A18" i="74"/>
  <c r="A17" i="74"/>
  <c r="A16" i="74"/>
  <c r="A15" i="74"/>
  <c r="A14" i="74"/>
  <c r="A10" i="74"/>
  <c r="A9" i="74"/>
  <c r="A5" i="74"/>
  <c r="A4" i="74"/>
  <c r="A3" i="74"/>
  <c r="A29" i="72"/>
  <c r="A28" i="72"/>
  <c r="A27" i="72"/>
  <c r="A26" i="72"/>
  <c r="A25" i="72"/>
  <c r="A21" i="72"/>
  <c r="A20" i="72"/>
  <c r="A19" i="72"/>
  <c r="A18" i="72"/>
  <c r="A17" i="72"/>
  <c r="A16" i="72"/>
  <c r="A15" i="72"/>
  <c r="A14" i="72"/>
  <c r="A10" i="72"/>
  <c r="A9" i="72"/>
  <c r="A5" i="72"/>
  <c r="A4" i="72"/>
  <c r="A3" i="72"/>
  <c r="A29" i="43"/>
  <c r="A28" i="43"/>
  <c r="A27" i="43"/>
  <c r="A26" i="43"/>
  <c r="A25" i="43"/>
  <c r="A21" i="43"/>
  <c r="A20" i="43"/>
  <c r="A19" i="43"/>
  <c r="A18" i="43"/>
  <c r="A17" i="43"/>
  <c r="A16" i="43"/>
  <c r="A15" i="43"/>
  <c r="A14" i="43"/>
  <c r="A10" i="43"/>
  <c r="A9" i="43"/>
  <c r="A5" i="43"/>
  <c r="A4" i="43"/>
  <c r="A3" i="43"/>
  <c r="A29" i="110"/>
  <c r="A28" i="110"/>
  <c r="A27" i="110"/>
  <c r="A26" i="110"/>
  <c r="A25" i="110"/>
  <c r="A21" i="110"/>
  <c r="A20" i="110"/>
  <c r="A19" i="110"/>
  <c r="A18" i="110"/>
  <c r="A17" i="110"/>
  <c r="A16" i="110"/>
  <c r="A15" i="110"/>
  <c r="A14" i="110"/>
  <c r="A10" i="110"/>
  <c r="A9" i="110"/>
  <c r="A5" i="110"/>
  <c r="A4" i="110"/>
  <c r="A3" i="110"/>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A29" i="71"/>
  <c r="A28" i="71"/>
  <c r="A27" i="71"/>
  <c r="A26" i="71"/>
  <c r="A25" i="71"/>
  <c r="A21" i="71"/>
  <c r="A20" i="71"/>
  <c r="A19" i="71"/>
  <c r="A18" i="71"/>
  <c r="A17" i="71"/>
  <c r="A16" i="71"/>
  <c r="A15" i="71"/>
  <c r="A14" i="71"/>
  <c r="A10" i="71"/>
  <c r="A9" i="71"/>
  <c r="A5" i="71"/>
  <c r="A4" i="71"/>
  <c r="A3" i="71"/>
  <c r="G9" i="79"/>
  <c r="G8" i="79"/>
  <c r="P232" i="69"/>
  <c r="P231" i="69"/>
  <c r="P230" i="69"/>
  <c r="P229" i="69"/>
  <c r="J44" i="96"/>
  <c r="I14" i="98"/>
  <c r="J14" i="95"/>
  <c r="I39" i="97"/>
  <c r="I62" i="82"/>
  <c r="E30" i="15"/>
  <c r="E33" i="15"/>
  <c r="E32" i="15"/>
  <c r="E31" i="15"/>
  <c r="J45" i="98"/>
  <c r="I40" i="97"/>
  <c r="J45" i="96"/>
  <c r="I44" i="95"/>
  <c r="I63" i="82"/>
  <c r="I264" i="76"/>
  <c r="R50" i="98"/>
  <c r="G50" i="98"/>
  <c r="R48" i="97"/>
  <c r="G48" i="97"/>
  <c r="R56" i="96"/>
  <c r="G56" i="96"/>
  <c r="R55" i="95"/>
  <c r="G55" i="95"/>
  <c r="R71" i="82"/>
  <c r="G71" i="82"/>
  <c r="Q290" i="76"/>
  <c r="G290" i="76"/>
  <c r="R303" i="69"/>
  <c r="G303" i="69"/>
  <c r="I223"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c r="D45" i="110" a="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c r="D35" i="110" a="1"/>
  <c r="D34" i="110"/>
  <c r="D34" i="110" a="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c r="D5" i="110" a="1"/>
  <c r="O37" i="69" a="1"/>
  <c r="O37" i="69" s="1"/>
  <c r="R37" i="69" a="1"/>
  <c r="R37" i="69" s="1"/>
  <c r="H50" i="110" l="1"/>
  <c r="H54" i="110"/>
  <c r="H53" i="110"/>
  <c r="H48" i="110"/>
  <c r="H52" i="110"/>
  <c r="H51" i="110"/>
  <c r="H49" i="110"/>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E29" i="15"/>
  <c r="E13" i="15"/>
  <c r="I222" i="69"/>
  <c r="D215" i="79" a="1"/>
  <c r="D215" i="79" s="1"/>
  <c r="J15" i="95" s="1"/>
  <c r="D214" i="79" a="1"/>
  <c r="D214" i="79" s="1"/>
  <c r="D213" i="79" a="1"/>
  <c r="D213" i="79" s="1"/>
  <c r="D212" i="79" a="1"/>
  <c r="D212" i="79" s="1"/>
  <c r="D211" i="79" a="1"/>
  <c r="D211" i="79" s="1"/>
  <c r="E84" i="70"/>
  <c r="F163" i="69" s="1"/>
  <c r="E94" i="70"/>
  <c r="F165" i="69" s="1"/>
  <c r="E89" i="70"/>
  <c r="F164" i="69" s="1"/>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6" i="70" l="1"/>
  <c r="T39" i="69" s="1"/>
  <c r="E56" i="70"/>
  <c r="I39" i="69" s="1"/>
  <c r="E57" i="70"/>
  <c r="I40" i="69" s="1"/>
  <c r="F57"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F53" i="70"/>
  <c r="A215" i="79"/>
  <c r="A174" i="79"/>
  <c r="A285" i="76"/>
  <c r="A245" i="76"/>
  <c r="A208" i="76"/>
  <c r="A171" i="76"/>
  <c r="I99" i="70"/>
  <c r="H99" i="70"/>
  <c r="G99" i="70"/>
  <c r="F99" i="70"/>
  <c r="I98" i="70"/>
  <c r="H98" i="70"/>
  <c r="G98" i="70"/>
  <c r="F98" i="70"/>
  <c r="E99" i="70"/>
  <c r="E98" i="70"/>
  <c r="N121" i="70"/>
  <c r="F71" i="81" s="1"/>
  <c r="N116" i="70"/>
  <c r="F70" i="81" s="1"/>
  <c r="N111" i="70"/>
  <c r="F69" i="81" s="1"/>
  <c r="N106" i="70"/>
  <c r="F68" i="81" s="1"/>
  <c r="N97" i="70"/>
  <c r="F67" i="81" s="1"/>
  <c r="N92" i="70"/>
  <c r="F66" i="81" s="1"/>
  <c r="N87" i="70"/>
  <c r="F65" i="81" s="1"/>
  <c r="N82"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55" i="82" a="1"/>
  <c r="E32" i="97" a="1"/>
  <c r="E7" i="96" a="1"/>
  <c r="E7" i="81" a="1"/>
  <c r="E7" i="98" a="1"/>
  <c r="E37" i="96" a="1"/>
  <c r="E36" i="95" a="1"/>
  <c r="E37" i="98" a="1"/>
  <c r="E91" i="81" a="1"/>
  <c r="E7" i="95" a="1"/>
  <c r="E7" i="97"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E119" i="70"/>
  <c r="Q168" i="69" s="1"/>
  <c r="E118" i="70"/>
  <c r="F168" i="69" s="1"/>
  <c r="E114" i="70"/>
  <c r="Q167" i="69" s="1"/>
  <c r="E113" i="70"/>
  <c r="F167" i="69" s="1"/>
  <c r="E109" i="70"/>
  <c r="Q166" i="69" s="1"/>
  <c r="E108" i="70"/>
  <c r="F166" i="69" s="1"/>
  <c r="D78" i="70"/>
  <c r="D102" i="70"/>
  <c r="E212" i="69" a="1"/>
  <c r="E85" i="69" a="1"/>
  <c r="E219" i="76" a="1"/>
  <c r="E7" i="76" a="1"/>
  <c r="E109" i="76" a="1"/>
  <c r="E8" i="69" a="1"/>
  <c r="E132" i="76" a="1"/>
  <c r="E186" i="69" a="1"/>
  <c r="E56" i="69" a="1"/>
  <c r="E153" i="76" a="1"/>
  <c r="E35" i="76" a="1"/>
  <c r="E7" i="82" a="1"/>
  <c r="E120" i="69" a="1"/>
  <c r="E183" i="76" a="1"/>
  <c r="E252" i="69" a="1"/>
  <c r="E139" i="69" a="1"/>
  <c r="E72" i="76" a="1"/>
  <c r="E256" i="76"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E36" i="70"/>
  <c r="D19" i="69" s="1"/>
  <c r="D24" i="69" s="1" a="1"/>
  <c r="D24" i="69" s="1"/>
  <c r="D79" i="69" s="1" a="1"/>
  <c r="D79" i="69" s="1"/>
  <c r="D60" i="76" s="1"/>
  <c r="F40" i="70"/>
  <c r="P19" i="69" s="1"/>
  <c r="P24" i="69" s="1" a="1"/>
  <c r="P24" i="69" s="1"/>
  <c r="H36" i="70"/>
  <c r="G19" i="69" s="1"/>
  <c r="G36" i="70"/>
  <c r="F19" i="69" s="1"/>
  <c r="E40" i="70"/>
  <c r="O19" i="69" s="1"/>
  <c r="H40" i="70"/>
  <c r="R19" i="69" s="1"/>
  <c r="R24" i="69" s="1" a="1"/>
  <c r="R24" i="69" s="1"/>
  <c r="G40" i="70"/>
  <c r="Q19" i="69" s="1"/>
  <c r="Q24" i="69" s="1" a="1"/>
  <c r="Q24" i="69" s="1"/>
  <c r="Q79" i="69" s="1" a="1"/>
  <c r="Q79" i="69" s="1"/>
  <c r="V40" i="82"/>
  <c r="K40" i="82"/>
  <c r="O24" i="69" a="1"/>
  <c r="O24" i="69" s="1"/>
  <c r="O79" i="69" s="1" a="1"/>
  <c r="O79" i="69" s="1"/>
  <c r="F122" i="70"/>
  <c r="E122" i="70"/>
  <c r="I122" i="70"/>
  <c r="H122" i="70"/>
  <c r="G122" i="70"/>
  <c r="I123" i="70"/>
  <c r="H123" i="70"/>
  <c r="G123" i="70"/>
  <c r="F123" i="70"/>
  <c r="E123" i="70"/>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3" i="70" a="1"/>
  <c r="G73" i="70" s="1"/>
  <c r="H68" i="70" a="1"/>
  <c r="H68" i="70" s="1"/>
  <c r="E73" i="70" a="1"/>
  <c r="E73" i="70" s="1"/>
  <c r="I72" i="70" a="1"/>
  <c r="I72" i="70" s="1"/>
  <c r="I66" i="70" a="1"/>
  <c r="I66" i="70" s="1"/>
  <c r="G71" i="70" a="1"/>
  <c r="G71" i="70" s="1"/>
  <c r="S25" i="96" s="1"/>
  <c r="H73" i="70" a="1"/>
  <c r="H73" i="70" s="1"/>
  <c r="F73" i="70" a="1"/>
  <c r="F73" i="70" s="1"/>
  <c r="G68" i="70" a="1"/>
  <c r="G68" i="70" s="1"/>
  <c r="F68" i="70" a="1"/>
  <c r="F68" i="70" s="1"/>
  <c r="E68" i="70" a="1"/>
  <c r="E68" i="70" s="1"/>
  <c r="E66" i="70" a="1"/>
  <c r="E66" i="70" s="1"/>
  <c r="H72" i="70" a="1"/>
  <c r="H72" i="70" s="1"/>
  <c r="I67" i="70" a="1"/>
  <c r="I67" i="70" s="1"/>
  <c r="E72" i="70" a="1"/>
  <c r="E72" i="70" s="1"/>
  <c r="E67" i="70" a="1"/>
  <c r="E67" i="70" s="1"/>
  <c r="I68" i="70" a="1"/>
  <c r="I68" i="70" s="1"/>
  <c r="G72" i="70" a="1"/>
  <c r="G72" i="70" s="1"/>
  <c r="H67" i="70" a="1"/>
  <c r="H67" i="70" s="1"/>
  <c r="F67" i="70" a="1"/>
  <c r="F67" i="70" s="1"/>
  <c r="H71" i="70" a="1"/>
  <c r="H71" i="70" s="1"/>
  <c r="T25" i="96" s="1"/>
  <c r="F72" i="70" a="1"/>
  <c r="F72" i="70" s="1"/>
  <c r="G67" i="70" a="1"/>
  <c r="G67" i="70" s="1"/>
  <c r="I71" i="70" a="1"/>
  <c r="I71" i="70" s="1"/>
  <c r="U25" i="96" s="1"/>
  <c r="H66" i="70" a="1"/>
  <c r="H66" i="70" s="1"/>
  <c r="F71" i="70" a="1"/>
  <c r="F71" i="70" s="1"/>
  <c r="R25" i="96" s="1"/>
  <c r="G66" i="70" a="1"/>
  <c r="G66" i="70" s="1"/>
  <c r="I73" i="70" a="1"/>
  <c r="I73" i="70" s="1"/>
  <c r="E71" i="70" a="1"/>
  <c r="E71" i="70" s="1"/>
  <c r="F66" i="70" a="1"/>
  <c r="F66" i="70" s="1"/>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F13" i="13" s="1"/>
  <c r="U19" i="97"/>
  <c r="U24" i="97" s="1" a="1"/>
  <c r="U24" i="97" s="1"/>
  <c r="P26" i="97" s="1"/>
  <c r="S38" i="97" s="1"/>
  <c r="P45" i="97" s="1" a="1"/>
  <c r="P45" i="97" s="1"/>
  <c r="F12" i="13" s="1"/>
  <c r="I50" i="95" a="1"/>
  <c r="I50" i="95" s="1"/>
  <c r="I59" i="81"/>
  <c r="F44" i="81"/>
  <c r="F23" i="82"/>
  <c r="F44" i="82" s="1" a="1"/>
  <c r="F44" i="82" s="1"/>
  <c r="F19" i="97"/>
  <c r="F24" i="97" s="1" a="1"/>
  <c r="F24" i="97" s="1"/>
  <c r="E26" i="97" s="1"/>
  <c r="I38" i="97" s="1"/>
  <c r="E45" i="97" s="1" a="1"/>
  <c r="E45" i="97" s="1"/>
  <c r="E12" i="13" s="1"/>
  <c r="F23" i="98"/>
  <c r="F28" i="98" s="1" a="1"/>
  <c r="F28" i="98" s="1"/>
  <c r="E30" i="98" s="1"/>
  <c r="J43" i="98" s="1"/>
  <c r="E47" i="98" s="1" a="1"/>
  <c r="E47"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82" i="70"/>
  <c r="O229" i="69"/>
  <c r="D229" i="69"/>
  <c r="E229" i="69" s="1" a="1"/>
  <c r="E229" i="69" s="1"/>
  <c r="D97" i="70"/>
  <c r="D121" i="70"/>
  <c r="O232" i="69"/>
  <c r="D232" i="69"/>
  <c r="E232" i="69" s="1" a="1"/>
  <c r="E232" i="69" s="1"/>
  <c r="O231" i="69"/>
  <c r="D231" i="69"/>
  <c r="E231" i="69" s="1" a="1"/>
  <c r="E231" i="69" s="1"/>
  <c r="T284" i="76" a="1"/>
  <c r="T284" i="76" s="1"/>
  <c r="U51" i="96" a="1"/>
  <c r="U51" i="96" s="1"/>
  <c r="P53" i="96" s="1"/>
  <c r="T280" i="76" a="1"/>
  <c r="T280" i="76" s="1"/>
  <c r="T282" i="76" a="1"/>
  <c r="T282" i="76" s="1"/>
  <c r="T285" i="76" a="1"/>
  <c r="T285" i="76" s="1"/>
  <c r="T281" i="76" a="1"/>
  <c r="T281" i="76" s="1"/>
  <c r="F283" i="76" a="1"/>
  <c r="F283" i="76" s="1"/>
  <c r="F282" i="76" a="1"/>
  <c r="F282" i="76" s="1"/>
  <c r="T278" i="76" a="1"/>
  <c r="T278" i="76" s="1"/>
  <c r="F51" i="96" a="1"/>
  <c r="F51" i="96" s="1"/>
  <c r="E53"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7" i="70"/>
  <c r="D111" i="70"/>
  <c r="D92" i="70"/>
  <c r="D116" i="70"/>
  <c r="D106" i="70"/>
  <c r="P200" i="69" l="1"/>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R55" i="96"/>
  <c r="P58" i="96" s="1" a="1"/>
  <c r="P58" i="96" s="1"/>
  <c r="I11" i="13" s="1"/>
  <c r="F11" i="13"/>
  <c r="G55" i="96"/>
  <c r="E58" i="96" s="1" a="1"/>
  <c r="E58" i="96" s="1"/>
  <c r="H11" i="13" s="1"/>
  <c r="E11" i="13"/>
  <c r="G49" i="98"/>
  <c r="E52" i="98" s="1"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4" i="70"/>
  <c r="D83" i="70"/>
  <c r="D85" i="70"/>
  <c r="D107" i="70"/>
  <c r="D108" i="70"/>
  <c r="D109" i="70"/>
  <c r="D119" i="70"/>
  <c r="D118" i="70"/>
  <c r="D117" i="70"/>
  <c r="D114" i="70"/>
  <c r="D113" i="70"/>
  <c r="D112" i="70"/>
  <c r="D95" i="70"/>
  <c r="D94" i="70"/>
  <c r="D93" i="70"/>
  <c r="D90" i="70"/>
  <c r="D89" i="70"/>
  <c r="D88" i="70"/>
  <c r="O287" i="76"/>
  <c r="P49" i="82"/>
  <c r="R61" i="82" s="1"/>
  <c r="P68" i="82" s="1" a="1"/>
  <c r="P68" i="82" s="1"/>
  <c r="F9" i="13" s="1"/>
  <c r="U49" i="95" a="1"/>
  <c r="U49" i="95" s="1"/>
  <c r="E287" i="76"/>
  <c r="E8" i="13" s="1"/>
  <c r="E49" i="82"/>
  <c r="I61" i="82" s="1"/>
  <c r="E68" i="82" s="1" a="1"/>
  <c r="E68" i="82" s="1"/>
  <c r="E9" i="13" s="1"/>
  <c r="F49" i="95" a="1"/>
  <c r="F49" i="95" s="1"/>
  <c r="F50" i="95" a="1"/>
  <c r="F50" i="95" s="1"/>
  <c r="R47" i="97"/>
  <c r="P50" i="97" s="1" a="1"/>
  <c r="P50" i="97" s="1"/>
  <c r="I12" i="13" s="1"/>
  <c r="R49" i="98"/>
  <c r="P52" i="98" s="1" a="1"/>
  <c r="P52" i="98" s="1"/>
  <c r="I13" i="13" s="1"/>
  <c r="G47" i="97"/>
  <c r="E50" i="97" s="1" a="1"/>
  <c r="E50" i="97" s="1"/>
  <c r="H12" i="13" s="1"/>
  <c r="H238" i="69" a="1"/>
  <c r="H238" i="69" s="1"/>
  <c r="F242" i="69" a="1"/>
  <c r="F242" i="69" s="1"/>
  <c r="J245" i="69" a="1"/>
  <c r="J245" i="69" s="1"/>
  <c r="H241" i="69" a="1"/>
  <c r="H241" i="69" s="1"/>
  <c r="P52" i="95" l="1"/>
  <c r="R54" i="95" s="1"/>
  <c r="P57" i="95" s="1" a="1"/>
  <c r="P57" i="95" s="1"/>
  <c r="I10" i="13" s="1"/>
  <c r="Q289" i="76"/>
  <c r="F8" i="13"/>
  <c r="E52" i="95"/>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G70" i="82"/>
  <c r="E73" i="82" s="1" a="1"/>
  <c r="E73" i="82" s="1"/>
  <c r="H9" i="13" s="1"/>
  <c r="F10" i="13" l="1"/>
  <c r="G54" i="95"/>
  <c r="E57" i="95" s="1" a="1"/>
  <c r="E57" i="95" s="1"/>
  <c r="H10" i="13" s="1"/>
  <c r="E10" i="13"/>
  <c r="P85" i="81"/>
  <c r="F20" i="13" s="1"/>
  <c r="P300" i="69"/>
  <c r="E300" i="69"/>
  <c r="E85" i="81"/>
  <c r="E20" i="13" s="1"/>
  <c r="P115" i="81"/>
  <c r="F22" i="13" s="1"/>
  <c r="E115" i="81"/>
  <c r="E22" i="13" s="1"/>
  <c r="E148" i="81"/>
  <c r="E21" i="13" s="1"/>
  <c r="P148" i="81"/>
  <c r="F21" i="13" s="1"/>
  <c r="O292" i="76" a="1"/>
  <c r="O292" i="76" s="1"/>
  <c r="I8" i="13" s="1"/>
  <c r="G289" i="76"/>
  <c r="E292" i="76" s="1" a="1"/>
  <c r="E292" i="76" s="1"/>
  <c r="H8" i="13" s="1"/>
  <c r="R302" i="69" l="1"/>
  <c r="P305" i="69" s="1" a="1"/>
  <c r="P305" i="69" s="1"/>
  <c r="I7" i="13" s="1"/>
  <c r="I14" i="13" s="1"/>
  <c r="F7" i="13"/>
  <c r="G302" i="69"/>
  <c r="E305" i="69" s="1"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<sst xmlns="http://schemas.openxmlformats.org/spreadsheetml/2006/main" count="1635" uniqueCount="468">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</sst>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5">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42"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41"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40"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39"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38"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37"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36"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35"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34"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33"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32"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31"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30"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29"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28"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27"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26"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25"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24"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23"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22"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21"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20"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19"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18"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17"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16"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15"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14"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13"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1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1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1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9"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8"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7"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6"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943328F-89F6-40A3-8B08-6D6B0190A6F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D2AC9FE-FDCB-44C6-A7A2-5A9EE40882FC}" name="State/Territory">
      <calculatedColumnFormula array="1">Common_InputFunctions.Utility_DisplayArrayInTable(Common_SourceData.Common_SourceData_AustralianStatesTerritories_Data(),Table_AustralianStates[[#Headers],[State/Territory]],0)</calculatedColumnFormula>
    </tableColumn>
    <tableColumn id="2" xr3:uid="{34ED062C-0D40-495E-91CF-239E7C8049C2}" name="Common Name">
      <calculatedColumnFormula array="1">Common_InputFunctions.Utility_DisplayArrayInTable(Common_SourceData.Common_SourceData_AustralianStatesTerritories_Data(),Table_AustralianStates[[#Headers],[State/Territory]],0)</calculatedColumnFormula>
    </tableColumn>
    <tableColumn id="3" xr3:uid="{86BA58F9-1EE2-41CF-B0AF-DD283A046E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C07B2F0-D45A-4B5F-9365-D0D39F74FC4A}" name="Table_WASA4Areas" displayName="Table_WASA4Areas" ref="D20:D30" totalsRowShown="0">
  <autoFilter ref="D20:D30" xr:uid="{5FA81339-C6C8-4D36-BEEA-6C4AEDD9E676}">
    <filterColumn colId="0" hiddenButton="1"/>
  </autoFilter>
  <tableColumns count="1">
    <tableColumn id="1" xr3:uid="{EF4CA605-4830-4990-A153-33DBCB4EB09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4B8994B-B843-4CC1-9C18-3905A7DFAFB3}" name="Table_GWPData" displayName="Table_GWPData" ref="D36:E43" totalsRowShown="0">
  <autoFilter ref="D36:E43" xr:uid="{B8E87A66-3E41-4AD3-925D-01EE21B43D7A}">
    <filterColumn colId="0" hiddenButton="1"/>
    <filterColumn colId="1" hiddenButton="1"/>
  </autoFilter>
  <tableColumns count="2">
    <tableColumn id="1" xr3:uid="{92859857-E37B-4834-BCAD-F2AD4753C955}" name="Gas">
      <calculatedColumnFormula array="1">Common_InputFunctions.Utility_DisplayArrayInTable(Common_SourceData.Common_SourceData_GWP_Data(), Table_GWPData[[#Headers],[Gas]], 0)</calculatedColumnFormula>
    </tableColumn>
    <tableColumn id="2" xr3:uid="{252BDD8D-4E3C-419C-BCE9-F976EE9B169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29775-F60E-413E-B1B0-D820DBF917B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30BCDB0-7AAA-4239-B278-1090DD89AF92}" name="Gas">
      <calculatedColumnFormula array="1">Common_InputFunctions.Utility_DisplayArrayInTable(Common_SourceData.Common_SourceData_ConvertGasElementalToMolecular_Data(),Table_GasToMolecularConversionFactor[[#Headers],[Gas]], 0)</calculatedColumnFormula>
    </tableColumn>
    <tableColumn id="5" xr3:uid="{22E3A412-E46D-4E41-86CA-91CE7EAA0B18}" name="Conversion factor">
      <calculatedColumnFormula array="1">Common_InputFunctions.Utility_DisplayArrayInTable(Common_SourceData.Common_SourceData_ConvertGasElementalToMolecular_Data(),Table_GasToMolecularConversionFactor[[#Headers],[Gas]], 0)</calculatedColumnFormula>
    </tableColumn>
    <tableColumn id="2" xr3:uid="{27916ED3-937D-4C71-BEDF-41BCA085167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A37ED5-B78B-4A56-B4A1-82F4D9A1D0E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0194D2-0FD9-4B20-820D-66C414F85BC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5181BF1-0B4D-49F6-90CA-861D34B8AEB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D208451-2A02-4AEC-A97E-3282AB44D04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B31C220-C478-4FB6-9032-415C36443658}" name="MAT"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3" xr3:uid="{27A52EAE-5CAE-4519-BC51-F73F591E9327}" name="MAP"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4" xr3:uid="{97B6E421-2E3B-4879-9840-60249B49CAAD}" name="Frost days per year"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5" xr3:uid="{E3E7BF59-B555-4BA4-9F41-570D8764BC26}" name="Elevation"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6" xr3:uid="{B8E97CF3-CF29-4293-8BB8-57AF7A7B46C8}" name="MAP:PET"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7" xr3:uid="{57FBBF1D-96A7-4539-B80C-8CAEF7E58EC9}" name="Min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8" xr3:uid="{91228659-2453-404B-A3EC-675B965654F2}" name="Max temp"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9" xr3:uid="{A42C51A7-410D-40D2-B3FD-268B75DD6A69}" name="Min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0" xr3:uid="{6928653B-E238-4C03-8B2E-1DD530B292EA}" name="Max rainfall"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1" xr3:uid="{E244F4BA-A3D5-4FF0-8510-6B5D07C9AE54}" name="Min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5" xr3:uid="{4FF92AB3-A57B-4EDF-AB45-AD5F9C3C18C9}" name="Max frost days"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2" xr3:uid="{B09EF523-2FBE-453C-A084-D5094BBCC173}" name="Min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6" xr3:uid="{25CB5178-4D52-4140-A525-FCF50469D0F4}" name="Max elevation"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3" xr3:uid="{39CB1131-367B-4DE2-84D6-DCA507D2AA21}" name="Min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17" xr3:uid="{9A71E8E6-EF76-4C61-A864-97E7D0B485B5}" name="Max MAP:PET" totalsRowDxfId="6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59A177-155A-4954-9800-069E781F0F3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D8328E5-72AE-48E8-A08C-622E4C2610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80DED5-E685-4D8F-9A59-FC748C6D6B2D}" name="Wet or Dry Zone" totalsRowDxfId="6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9FE58B5-04E9-4C75-B111-C4543E895D6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2A436E9-1864-4B9E-8E06-64C5B6818ABA}" name="Temperature Zone">
      <calculatedColumnFormula array="1">Common_InputFunctions.Utility_DisplayArrayInTable(Common_SourceData.Common_SourceData_TemperatureZones_Data(),Table_SourceData_TemperatureZones[[#Headers],[Temperature Zone]],0)</calculatedColumnFormula>
    </tableColumn>
    <tableColumn id="2" xr3:uid="{14652FBB-8CF2-4C32-B5DB-4B9319B94678}" name="MAT">
      <calculatedColumnFormula array="1">Common_InputFunctions.Utility_DisplayArrayInTable(Common_SourceData.Common_SourceData_TemperatureZones_Data(),Table_SourceData_TemperatureZones[[#Headers],[Temperature Zone]],0)</calculatedColumnFormula>
    </tableColumn>
    <tableColumn id="3" xr3:uid="{D9265CE7-4B91-49F0-B8A4-255A33C6FA85}" name="Min MAT">
      <calculatedColumnFormula array="1">Common_InputFunctions.Utility_DisplayArrayInTable(Common_SourceData.Common_SourceData_TemperatureZones_Data(),Table_SourceData_TemperatureZones[[#Headers],[Temperature Zone]],0)</calculatedColumnFormula>
    </tableColumn>
    <tableColumn id="4" xr3:uid="{52DC5FA6-562A-4619-808A-AB04A170508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3E00E7-D0CA-41B3-B83B-03932F4F225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94CBE0B-78C7-46B4-B1FA-B174EA7E2CEE}" name="Rainfall Zone">
      <calculatedColumnFormula array="1">Common_InputFunctions.Utility_DisplayArrayInTable(Common_SourceData.Common_SourceData_RainfallZones_Data(),Table_SourceData_RainfallZones[[#Headers],[Rainfall Zone]],0)</calculatedColumnFormula>
    </tableColumn>
    <tableColumn id="2" xr3:uid="{DB43A04D-848E-42CF-9FC6-41E1AA98C7CE}" name="Annual rainfall">
      <calculatedColumnFormula array="1">Common_InputFunctions.Utility_DisplayArrayInTable(Common_SourceData.Common_SourceData_RainfallZones_Data(),Table_SourceData_RainfallZones[[#Headers],[Rainfall Zone]],0)</calculatedColumnFormula>
    </tableColumn>
    <tableColumn id="3" xr3:uid="{FECF2476-1093-45C5-B8BC-10E40617CEB2}" name="Min rainfall">
      <calculatedColumnFormula array="1">Common_InputFunctions.Utility_DisplayArrayInTable(Common_SourceData.Common_SourceData_RainfallZones_Data(),Table_SourceData_RainfallZones[[#Headers],[Rainfall Zone]],0)</calculatedColumnFormula>
    </tableColumn>
    <tableColumn id="4" xr3:uid="{6C2BF44B-AB8F-43F0-A3CC-2724C731A38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593D77D-B8CF-422B-9970-1E428180510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F366C8B-46C9-4048-9CF5-A2DFCF15238D}" name="Leaching Zone">
      <calculatedColumnFormula array="1">Common_InputFunctions.Utility_DisplayArrayInTable(Common_SourceData.Common_SourceData_LeachingZones_Data(), Table_SourceData_LeachingZones[[#Headers],[Leaching Zone]], 0)</calculatedColumnFormula>
    </tableColumn>
    <tableColumn id="2" xr3:uid="{CDCAD202-A77D-44DC-BE5E-E6C3238B421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B7DA101-8FD7-4254-92AC-A339F871198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11A1115-68A3-4200-9618-07F2525D24D4}" name="Data source">
      <calculatedColumnFormula array="1">Common_InputFunctions.Utility_DisplayArrayInTable(Common_SourceData.Common_SourceData_DataScores_Scope3_Data(), Table_SourceData_DataScores_Scope3[[#Headers],[Data source]], 0)</calculatedColumnFormula>
    </tableColumn>
    <tableColumn id="2" xr3:uid="{0E947C80-3BBD-4D3E-BE0A-97B0DA8A60D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B8C267E-CA70-43F0-A9D7-58DE190630DE}" name="Table_SourceData_FracWET" displayName="Table_SourceData_FracWET" ref="D134:E136" totalsRowShown="0">
  <autoFilter ref="D134:E136" xr:uid="{308E99BE-FE1F-47A4-B2CA-97217277C4E9}">
    <filterColumn colId="0" hiddenButton="1"/>
    <filterColumn colId="1" hiddenButton="1"/>
  </autoFilter>
  <tableColumns count="2">
    <tableColumn id="1" xr3:uid="{212E479D-4D6F-4422-8D80-14FAEEE5040C}" name="Is in leaching zone">
      <calculatedColumnFormula array="1">Common_InputFunctions.Utility_DisplayArrayInTable(Common_SourceData.Common_SourceData_FracWET_Data(),Table_SourceData_FracWET[[#Headers],[Is in leaching zone]],0)</calculatedColumnFormula>
    </tableColumn>
    <tableColumn id="2" xr3:uid="{427AABAD-0AA4-4528-9E8C-86CA6A44408F}" name="FracWET" dataDxfId="6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57269D-072D-4265-AEA5-850507292A1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40BB269-B826-4DB6-9DE7-C4105B644678}" name="Production system j">
      <calculatedColumnFormula array="1">Common_InputFunctions.Utility_DisplayArrayInTable(Common_SourceData.Common_SourceData_EFN2O_Data(), Table_SourceData_Common_EFN2O[[#Headers],[Production system j]], 0)</calculatedColumnFormula>
    </tableColumn>
    <tableColumn id="2" xr3:uid="{63C5BBDC-C908-4506-BCBB-4CEC6365B783}" name="EFN2O">
      <calculatedColumnFormula array="1">Common_InputFunctions.Utility_DisplayArrayInTable(Common_SourceData.Common_SourceData_EFN2O_Data(), Table_SourceData_Common_EFN2O[[#Headers],[Production system j]], 0)</calculatedColumnFormula>
    </tableColumn>
    <tableColumn id="3" xr3:uid="{4D3263E6-BF4C-4311-9F81-76A999D1D45F}" name="Production system only">
      <calculatedColumnFormula array="1">Common_InputFunctions.Utility_DisplayArrayInTable(Common_SourceData.Common_SourceData_EFN2O_Data(), Table_SourceData_Common_EFN2O[[#Headers],[Production system j]], 0)</calculatedColumnFormula>
    </tableColumn>
    <tableColumn id="4" xr3:uid="{E7F9C24B-8B74-4C71-ABA4-5BDD85AED4E6}" name="Irrigation method">
      <calculatedColumnFormula array="1">Common_InputFunctions.Utility_DisplayArrayInTable(Common_SourceData.Common_SourceData_EFN2O_Data(), Table_SourceData_Common_EFN2O[[#Headers],[Production system j]], 0)</calculatedColumnFormula>
    </tableColumn>
    <tableColumn id="5" xr3:uid="{75302D92-EE69-4509-9C30-B08F5087496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6EA4A29-F311-4792-9CAA-0AF16ACEF9C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ED6A73-F199-49A7-B070-6D3F05AC4F3A}" name="Irrigation type i">
      <calculatedColumnFormula array="1">Common_InputFunctions.Utility_DisplayArrayInTable(Common_SourceData.Common_SourceData_FracWETIrrigation_Data(), Table_SourceData_FracWETIrrigation[[#Headers],[Irrigation type i]], 0)</calculatedColumnFormula>
    </tableColumn>
    <tableColumn id="2" xr3:uid="{083AB535-118A-4078-B2CA-8F1E0359D524}" name="FracWET" dataDxfId="6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AEFA1AD-68D3-457E-891C-891980B7F6C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E6BE192-53FF-47C2-BF89-2DDB4B2A961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6C0D436-5324-493A-8310-BA81E76CED16}" name="EFPRP" dataDxfId="6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47AC7120-B2AB-45C6-8A23-E4AF8DA463D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A1048CF-429D-4231-BDD7-6338596E7895}" name="Month">
      <calculatedColumnFormula array="1">Common_InputFunctions.Utility_DisplayArrayInTable(Common_SourceData.Common_SourceData_MonthsToSeasons_Data(), Table_SourceData_Common_MonthToSeason[[#Headers],[Month]], 0)</calculatedColumnFormula>
    </tableColumn>
    <tableColumn id="2" xr3:uid="{27B49675-3329-41DB-9596-F02B5A767BCD}" name="Season" dataDxfId="5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2DC1E38-D851-408E-987E-A027329476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93E9EAE-7E83-4F68-8FA0-5FCD9894AB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1C5F54-69A0-4463-8340-E134A1D93C24}" name="MAT (ºC)"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E7BF5BE-F247-442E-ABD8-AB2C00F77922}" name="Anaerobic lagoon"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FEE3766-2C01-43B6-A036-3FBC24F46A24}" name="Digester / covered lagoon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E099EED-B3BC-4AA3-8B36-B45D911AE875}" name="Liquid systems"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D45B4B9-2125-4CAC-A6EE-4AD62E784551}" name="Daily spread"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F7125D1-D5B7-4ABD-BE38-D6037EB0C7E8}" name="Composting (passive windrow)"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F3F7ED9-DE9F-4414-871B-282E82D31E55}" name="Solid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7DB74DE-4B71-4A06-81B7-4C9B57474A69}" name="Pit storage"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FA4515F-3589-4EF9-B5D6-47D9939862B6}" name="Deep litter"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C383582-EF1D-4381-826F-10702DCF7F72}" name="Poultry manure with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4F99F52-0078-4D65-A99E-B69BC7138280}" name="Poultry manure without bedd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E73CF0-9C6F-4BA9-8FF7-859E093A911C}" name="Direct processing"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EF6E118-8302-4505-9165-508B2529398C}" name="Direct application"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6F612AF-4732-4752-90B8-D2E836C6D7CC}" name="Pasture range and paddock"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448C8F9-F66A-4F65-A9CF-0AB34980166F}" name="MAT raw"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D711B36-FAB5-4D81-A9CA-D5554B8443F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AAB1132-CFAF-47F3-9325-DEF1E40F4F8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DCBDD51-9A82-4BB1-99A6-285A00BE777E}" name="EFNi &amp; EFN2Oi" dataDxfId="4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19"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17"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9" sqref="A29"/>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6.3172161253287021E-2</v>
      </c>
      <c r="F8" s="113">
        <f>VEERG_4_3_1_3__1_TotalAnnualDirectNitrousOxideEmissionsFromMMS_Result_Method2</f>
        <v>6.3172161253287021E-2</v>
      </c>
      <c r="G8" s="55" t="str">
        <f>'4.3.1.3-4 Direct N20'!$F$287</f>
        <v>t N2O</v>
      </c>
      <c r="H8" s="113">
        <f>'4.3.1.3-4 Direct N20'!$E$292</f>
        <v>16.740622732121061</v>
      </c>
      <c r="I8" s="113">
        <f>'4.3.1.3-4 Direct N20'!$O$292</f>
        <v>16.740622732121061</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5.0665467159299066E-2</v>
      </c>
      <c r="F9" s="113">
        <f>VEERG_4_3_1_5__1_AnnualAtmosphericDepositionEmissionsFromMMS_Result_Method2</f>
        <v>5.0665467159299066E-2</v>
      </c>
      <c r="G9" s="55" t="str">
        <f>'4.3.1.5 Atmos deposition'!$F$68</f>
        <v>t N2O</v>
      </c>
      <c r="H9" s="113">
        <f>'4.3.1.5 Atmos deposition'!$E$73</f>
        <v>13.426348797214253</v>
      </c>
      <c r="I9" s="113">
        <f>'4.3.1.5 Atmos deposition'!$P$73</f>
        <v>13.426348797214253</v>
      </c>
      <c r="J9" s="55" t="str">
        <f>'4.3.1.5 Atmos deposition'!$F$73</f>
        <v>t CO2e</v>
      </c>
      <c r="K9" s="23"/>
    </row>
    <row r="10" spans="1:11" ht="20.100000000000001" customHeight="1" x14ac:dyDescent="0.25">
      <c r="A10" s="17" t="str">
        <f>HYPERLINK("#'Input - Dairy'!A1", "Dairy")</f>
        <v>Dairy</v>
      </c>
      <c r="C10" s="23"/>
      <c r="D10" s="1" t="s">
        <v>381</v>
      </c>
      <c r="E10" s="113">
        <f>VEERG_4_3_1_6__2_MassOfNitrogenLostToLeachingAndRunoffFromSolidStorage_Result_Method1</f>
        <v>2.779575095144629E-3</v>
      </c>
      <c r="F10" s="113">
        <f>VEERG_4_3_1_6__2_MassOfNitrogenLostToLeachingAndRunoffFromSolidStorage_Result_Method2</f>
        <v>2.779575095144629E-3</v>
      </c>
      <c r="G10" s="55" t="str">
        <f>'4.3.1.6-7 Leaching and runoff'!$F$52</f>
        <v>t N2O</v>
      </c>
      <c r="H10" s="113">
        <f>'4.3.1.6-7 Leaching and runoff'!$E$57</f>
        <v>0.73658740021332669</v>
      </c>
      <c r="I10" s="113">
        <f>'4.3.1.6-7 Leaching and runoff'!$P$57</f>
        <v>0.73658740021332669</v>
      </c>
      <c r="J10" s="55" t="str">
        <f>'4.3.1.6-7 Leaching and runoff'!$F$57</f>
        <v>t CO2e</v>
      </c>
      <c r="K10" s="23"/>
    </row>
    <row r="11" spans="1:11" ht="20.100000000000001" customHeight="1" x14ac:dyDescent="0.25">
      <c r="C11" s="23"/>
      <c r="D11" s="1" t="s">
        <v>348</v>
      </c>
      <c r="E11" s="113">
        <f>VEERG_4_3_1_9__1_DirectNitrousOxideEmissionsOnPasture_Result_Method1</f>
        <v>8.0033058384947273E-2</v>
      </c>
      <c r="F11" s="113">
        <f>VEERG_4_3_1_9__1_DirectNitrousOxideEmissionsOnPasture_Result_Method2</f>
        <v>8.0033058384947273E-2</v>
      </c>
      <c r="G11" s="55" t="str">
        <f>'4.3.1.9 Soil direct N2O'!$F$53</f>
        <v>t N2O</v>
      </c>
      <c r="H11" s="113">
        <f>'4.3.1.9 Soil direct N2O'!$E$58</f>
        <v>21.208760472011026</v>
      </c>
      <c r="I11" s="113">
        <f>'4.3.1.9 Soil direct N2O'!$P$58</f>
        <v>21.208760472011026</v>
      </c>
      <c r="J11" s="55" t="str">
        <f>'4.3.1.9 Soil direct N2O'!$F$58</f>
        <v>t CO2e</v>
      </c>
      <c r="K11" s="23"/>
    </row>
    <row r="12" spans="1:11" ht="20.100000000000001" customHeight="1" x14ac:dyDescent="0.25">
      <c r="C12" s="23"/>
      <c r="D12" s="1" t="s">
        <v>364</v>
      </c>
      <c r="E12" s="113">
        <f>VEERG_4_3_1_10__1_AtmosphericDepositionEmissionsFromUrineAndDungOnPasture_Result_Method1</f>
        <v>4.958047966947482E-2</v>
      </c>
      <c r="F12" s="113">
        <f>VEERG_4_3_1_10__1_AtmosphericDepositionEmissionsFromUrineAndDungOnPasture_Result_Method2</f>
        <v>4.958047966947482E-2</v>
      </c>
      <c r="G12" s="55" t="str">
        <f>'4.3.1.10-11 Soil Atmos Dep'!$F$45</f>
        <v>t N2O</v>
      </c>
      <c r="H12" s="113">
        <f>'4.3.1.10-11 Soil Atmos Dep'!$E$50</f>
        <v>13.138827112410826</v>
      </c>
      <c r="I12" s="113">
        <f>'4.3.1.10-11 Soil Atmos Dep'!$P$50</f>
        <v>13.138827112410826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0.10564363706813039</v>
      </c>
      <c r="F13" s="113">
        <f>VEERG_4_3_1_12__1_LeachingAndRunoffEmissionsFromUrineAndDungOnPasture_Result_Method2</f>
        <v>0.10564363706813039</v>
      </c>
      <c r="G13" s="55" t="str">
        <f>'4.3.1.12-13 Soil leach runoff'!$F$47</f>
        <v>t N2O</v>
      </c>
      <c r="H13" s="113">
        <f>'4.3.1.12-13 Soil leach runoff'!$E$52</f>
        <v>27.995563823054553</v>
      </c>
      <c r="I13" s="113">
        <f>'4.3.1.12-13 Soil leach runoff'!$P$52</f>
        <v>27.995563823054553</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382.04838578730676</v>
      </c>
      <c r="I14" s="115">
        <f ca="1">SUM(I7:I13)</f>
        <v>391.18649633201073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465</v>
      </c>
      <c r="F19" s="118" t="s">
        <v>466</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12417.473379475077</v>
      </c>
      <c r="F20" s="117">
        <f ca="1">VEERG_4_3_1_8__1_MassOfNitrogenAppliedToSoilsScope1_Result_Method2</f>
        <v>12417.473379475077</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4139.1577931583588</v>
      </c>
      <c r="F21" s="117">
        <f>'4.3.1.8 Manure applied to soils'!$P$148</f>
        <v>4139.1577931583588</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4139.1577931583588</v>
      </c>
      <c r="F22" s="117">
        <f ca="1">VEERG_4_3_1_8__2_MassOfNitrogenAppliedToSoilsScope3_Result_Method2</f>
        <v>4139.1577931583588</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9" sqref="A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DATE(YEAR(E12)+1,MONTH(E12),DAY(E12))-1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467</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E26/E27</f>
        <v>0.45324283559577677</v>
      </c>
      <c r="F29" s="2"/>
    </row>
    <row r="30" spans="1:25" ht="20.100000000000001" customHeight="1" x14ac:dyDescent="0.25">
      <c r="A30"/>
      <c r="D30" s="10" t="s">
        <v>34</v>
      </c>
      <c r="E30" s="53" t="str">
        <f>Common_InputFunctions.Utility_LookupItemFromMinMax(E26,Table_SourceData_RainfallZones[Min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Common_InputFunctions.Utility_LookupItemFromMinMax(E25,Table_SourceData_TemperatureZones[Min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A46"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cm="1">
        <f t="array" ref="E14">Common_InputFunctions.Utility_LookupValueInTableNumber($E$7, Table_SourceData_Dairy_WjCowsHeifers[Breed],Table_SourceData_Dairy_WjCowsHeifers[Milking cows])</f>
        <v>550</v>
      </c>
      <c r="F14" s="53" cm="1">
        <f t="array" ref="F14">Common_InputFunctions.Utility_LookupValueInTableNumber($E$7, Table_SourceData_Dairy_WjCowsHeifers[Breed],Table_SourceData_Dairy_WjCowsHeifers[Heifers &gt; 1])</f>
        <v>380</v>
      </c>
      <c r="G14" s="53" cm="1">
        <f t="array" ref="G14">Common_InputFunctions.Utility_LookupValueInTableNumber($E$7,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cm="1">
        <f t="array" ref="E18">Common_InputFunctions.Utility_LookupValueInTableNumber($E$7, Table_SourceData_Dairy_WjCowsHeifers[Breed],Table_SourceData_Dairy_WjCowsHeifers[Milking cows])</f>
        <v>550</v>
      </c>
      <c r="F18" s="66" cm="1">
        <f t="array" ref="F18">Common_InputFunctions.Utility_LookupValueInTableNumber($E$7, Table_SourceData_Dairy_WjCowsHeifers[Breed],Table_SourceData_Dairy_WjCowsHeifers[Heifers &gt; 1])</f>
        <v>380</v>
      </c>
      <c r="G18" s="66" cm="1">
        <f t="array" ref="G18">Common_InputFunctions.Utility_LookupValueInTableNumber($E$7,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TEXT('Input - Site'!$E$12, "dd mmm yy") &amp; " and " &amp; TEXT('Input - Site'!$E$13,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TEXT('Input - Site'!$E$12, "dd mmm yy") &amp; " and " &amp; TEXT('Input - Site'!$E$13,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TEXT('Input - Site'!$E$12, "dd mmm yy") &amp; " and " &amp; TEXT('Input - Site'!$E$13,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TEXT('Input - Site'!$E$12, "dd mmm yy") &amp; " and " &amp; TEXT('Input - Site'!$E$13,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L43" s="2"/>
      <c r="M43" s="2"/>
      <c r="N43" s="2"/>
      <c r="S43" s="7"/>
    </row>
    <row r="44" spans="3:19" ht="20.100000000000001" customHeight="1" x14ac:dyDescent="0.25">
      <c r="M44" s="2"/>
      <c r="N44" s="2"/>
      <c r="S44" s="7"/>
    </row>
    <row r="45" spans="3:19" ht="20.100000000000001" customHeight="1" x14ac:dyDescent="0.25">
      <c r="S45" s="7"/>
    </row>
    <row r="46" spans="3:19" ht="20.100000000000001" customHeight="1" x14ac:dyDescent="0.25">
      <c r="S46" s="7"/>
    </row>
    <row r="47" spans="3:19" ht="20.100000000000001" customHeight="1" x14ac:dyDescent="0.25">
      <c r="C47" s="46"/>
      <c r="D47" s="46"/>
      <c r="E47" s="46"/>
      <c r="F47" s="46"/>
      <c r="G47" s="46"/>
      <c r="H47" s="46"/>
      <c r="I47" s="46"/>
      <c r="J47" s="46"/>
      <c r="K47" s="46"/>
      <c r="L47" s="46"/>
      <c r="M47" s="46"/>
      <c r="N47" s="46"/>
      <c r="O47" s="46"/>
      <c r="S47" s="7"/>
    </row>
    <row r="48" spans="3:19" ht="20.100000000000001" customHeight="1" x14ac:dyDescent="0.25">
      <c r="D48" s="6" t="s">
        <v>191</v>
      </c>
      <c r="E48" s="3"/>
      <c r="F48" s="3"/>
      <c r="G48" s="3"/>
      <c r="H48" s="3"/>
      <c r="I48" s="3"/>
      <c r="J48" s="3"/>
      <c r="K48" s="3"/>
      <c r="L48" s="3"/>
      <c r="M48" s="3"/>
      <c r="N48" s="3"/>
      <c r="S48" s="7"/>
    </row>
    <row r="49" spans="3:19" ht="20.100000000000001" customHeight="1" x14ac:dyDescent="0.25">
      <c r="D49" s="22" t="s">
        <v>447</v>
      </c>
      <c r="G49" s="6"/>
      <c r="H49" s="6"/>
      <c r="I49" s="6"/>
      <c r="J49" s="122"/>
      <c r="K49" s="122"/>
      <c r="L49" s="122"/>
      <c r="M49" s="122"/>
      <c r="N49" s="122"/>
      <c r="S49" s="7"/>
    </row>
    <row r="50" spans="3:19" ht="20.100000000000001" customHeight="1" x14ac:dyDescent="0.25">
      <c r="D50" s="1" t="s">
        <v>432</v>
      </c>
      <c r="E50" s="41" t="s">
        <v>445</v>
      </c>
      <c r="F50" s="2" t="s">
        <v>8</v>
      </c>
      <c r="S50" s="7"/>
    </row>
    <row r="51" spans="3:19" ht="20.100000000000001" customHeight="1" x14ac:dyDescent="0.25">
      <c r="S51" s="7"/>
    </row>
    <row r="52" spans="3:19" ht="20.100000000000001" customHeight="1" x14ac:dyDescent="0.25">
      <c r="E52" s="40" t="s">
        <v>167</v>
      </c>
      <c r="S52" s="7"/>
    </row>
    <row r="53" spans="3:19" ht="20.100000000000001" customHeight="1" x14ac:dyDescent="0.25">
      <c r="D53" s="1" t="s">
        <v>192</v>
      </c>
      <c r="E53" s="66">
        <v>20</v>
      </c>
      <c r="F53" s="2" t="str">
        <f>IF(E50="Litres of milk", "litres/head/day", "kg milk solids/head/day")</f>
        <v>litres/head/day</v>
      </c>
      <c r="S53" s="7"/>
    </row>
    <row r="54" spans="3:19" ht="20.100000000000001" customHeight="1" x14ac:dyDescent="0.25">
      <c r="E54" s="6"/>
      <c r="F54" s="6"/>
      <c r="S54" s="7"/>
    </row>
    <row r="55" spans="3:19" ht="20.100000000000001" customHeight="1" x14ac:dyDescent="0.25">
      <c r="D55" s="54" t="s">
        <v>433</v>
      </c>
      <c r="E55" s="40" t="s">
        <v>434</v>
      </c>
      <c r="F55" s="40" t="s">
        <v>435</v>
      </c>
      <c r="S55" s="7"/>
    </row>
    <row r="56" spans="3:19" ht="20.100000000000001" customHeight="1" x14ac:dyDescent="0.25">
      <c r="D56" s="1" t="s">
        <v>436</v>
      </c>
      <c r="E56" s="136">
        <f>SourceData_Dairy_FatContentInMilk_Data/100</f>
        <v>0.04</v>
      </c>
      <c r="F56" s="150">
        <f>SourceData_Dairy_FatContentInMilk_Data/100</f>
        <v>0.04</v>
      </c>
      <c r="G56" s="2" t="s">
        <v>437</v>
      </c>
      <c r="S56" s="7"/>
    </row>
    <row r="57" spans="3:19" ht="20.100000000000001" customHeight="1" x14ac:dyDescent="0.25">
      <c r="D57" s="1" t="s">
        <v>438</v>
      </c>
      <c r="E57" s="136">
        <f>SourceData_Dairy_ProteinContentInMilk_Data/100</f>
        <v>3.3000000000000002E-2</v>
      </c>
      <c r="F57" s="150">
        <f>SourceData_Dairy_ProteinContentInMilk_Data/100</f>
        <v>3.3000000000000002E-2</v>
      </c>
      <c r="G57" s="2" t="s">
        <v>437</v>
      </c>
      <c r="S57" s="7"/>
    </row>
    <row r="58" spans="3:19" ht="20.100000000000001" customHeight="1" x14ac:dyDescent="0.25">
      <c r="S58" s="7"/>
    </row>
    <row r="59" spans="3:19" ht="20.100000000000001" customHeight="1" x14ac:dyDescent="0.25">
      <c r="S59" s="7"/>
    </row>
    <row r="60" spans="3:19" ht="20.100000000000001" customHeight="1" x14ac:dyDescent="0.25">
      <c r="C60" s="46"/>
      <c r="D60" s="46"/>
      <c r="E60" s="46"/>
      <c r="F60" s="46"/>
      <c r="G60" s="46"/>
      <c r="H60" s="46"/>
      <c r="I60" s="46"/>
      <c r="J60" s="46"/>
      <c r="K60" s="46"/>
      <c r="L60" s="46"/>
      <c r="M60" s="46"/>
      <c r="N60" s="46"/>
      <c r="O60" s="46"/>
      <c r="S60" s="7"/>
    </row>
    <row r="61" spans="3:19" ht="20.100000000000001" customHeight="1" x14ac:dyDescent="0.25">
      <c r="D61" s="6" t="s">
        <v>202</v>
      </c>
      <c r="S61" s="7"/>
    </row>
    <row r="62" spans="3:19" ht="20.100000000000001" customHeight="1" x14ac:dyDescent="0.25">
      <c r="D62" s="49" t="s">
        <v>195</v>
      </c>
      <c r="S62" s="7"/>
    </row>
    <row r="63" spans="3:19" ht="20.100000000000001" customHeight="1" x14ac:dyDescent="0.25">
      <c r="D63" s="1" t="s">
        <v>197</v>
      </c>
      <c r="E63" s="41" t="s">
        <v>204</v>
      </c>
      <c r="F63" s="2" t="s">
        <v>8</v>
      </c>
      <c r="O63" s="3"/>
      <c r="S63" s="7"/>
    </row>
    <row r="64" spans="3:19" ht="20.100000000000001" customHeight="1" x14ac:dyDescent="0.25">
      <c r="O64" s="3"/>
      <c r="S64" s="7"/>
    </row>
    <row r="65" spans="3:19" ht="20.100000000000001" customHeight="1" x14ac:dyDescent="0.25">
      <c r="D65" s="64" t="s">
        <v>200</v>
      </c>
      <c r="E65" s="40" t="s">
        <v>167</v>
      </c>
      <c r="F65" s="40" t="s">
        <v>184</v>
      </c>
      <c r="G65" s="40" t="s">
        <v>185</v>
      </c>
      <c r="H65" s="40" t="s">
        <v>186</v>
      </c>
      <c r="I65" s="40" t="s">
        <v>187</v>
      </c>
      <c r="O65" s="3"/>
    </row>
    <row r="66" spans="3:19" ht="20.100000000000001" customHeight="1" x14ac:dyDescent="0.25">
      <c r="D66" s="1" t="s">
        <v>141</v>
      </c>
      <c r="E66" s="136" cm="1">
        <f t="array" ref="E66">Common_InputFunctions.Utility_LookupValueInTableNumber($E$63, Table_SourceData_Dairy_ProductionSystemTemplates[Area],Table_SourceData_Dairy_ProductionSystemTemplates[Pasture])</f>
        <v>0.53400000000000003</v>
      </c>
      <c r="F66" s="136" cm="1">
        <f t="array" ref="F66">Common_InputFunctions.Utility_LookupValueInTableNumber($E$63, Table_SourceData_Dairy_ProductionSystemTemplates[Area],Table_SourceData_Dairy_ProductionSystemTemplates[Pasture])</f>
        <v>0.53400000000000003</v>
      </c>
      <c r="G66" s="136" cm="1">
        <f t="array" ref="G66">Common_InputFunctions.Utility_LookupValueInTableNumber($E$63, Table_SourceData_Dairy_ProductionSystemTemplates[Area],Table_SourceData_Dairy_ProductionSystemTemplates[Pasture])</f>
        <v>0.53400000000000003</v>
      </c>
      <c r="H66" s="136" cm="1">
        <f t="array" ref="H66">Common_InputFunctions.Utility_LookupValueInTableNumber($E$63, Table_SourceData_Dairy_ProductionSystemTemplates[Area],Table_SourceData_Dairy_ProductionSystemTemplates[Pasture])</f>
        <v>0.53400000000000003</v>
      </c>
      <c r="I66" s="136" cm="1">
        <f t="array" ref="I66">Common_InputFunctions.Utility_LookupValueInTableNumber($E$63, Table_SourceData_Dairy_ProductionSystemTemplates[Area],Table_SourceData_Dairy_ProductionSystemTemplates[Pasture])</f>
        <v>0.53400000000000003</v>
      </c>
      <c r="J66" s="2" t="s">
        <v>17</v>
      </c>
      <c r="K66" s="2"/>
      <c r="L66" s="2"/>
      <c r="M66" s="2"/>
      <c r="N66" s="2"/>
      <c r="O66" s="3"/>
    </row>
    <row r="67" spans="3:19" ht="20.100000000000001" customHeight="1" x14ac:dyDescent="0.25">
      <c r="D67" s="1" t="s">
        <v>181</v>
      </c>
      <c r="E67" s="136" cm="1">
        <f t="array" ref="E67">Common_InputFunctions.Utility_LookupValueInTableNumber($E$63, Table_SourceData_Dairy_ProductionSystemTemplates[Area],Table_SourceData_Dairy_ProductionSystemTemplates[Milking shed])</f>
        <v>0.11</v>
      </c>
      <c r="F67" s="136" cm="1">
        <f t="array" ref="F67">Common_InputFunctions.Utility_LookupValueInTableNumber($E$63, Table_SourceData_Dairy_ProductionSystemTemplates[Area],Table_SourceData_Dairy_ProductionSystemTemplates[Milking shed])</f>
        <v>0.11</v>
      </c>
      <c r="G67" s="136" cm="1">
        <f t="array" ref="G67">Common_InputFunctions.Utility_LookupValueInTableNumber($E$63, Table_SourceData_Dairy_ProductionSystemTemplates[Area],Table_SourceData_Dairy_ProductionSystemTemplates[Milking shed])</f>
        <v>0.11</v>
      </c>
      <c r="H67" s="136" cm="1">
        <f t="array" ref="H67">Common_InputFunctions.Utility_LookupValueInTableNumber($E$63, Table_SourceData_Dairy_ProductionSystemTemplates[Area],Table_SourceData_Dairy_ProductionSystemTemplates[Milking shed])</f>
        <v>0.11</v>
      </c>
      <c r="I67" s="136" cm="1">
        <f t="array" ref="I67">Common_InputFunctions.Utility_LookupValueInTableNumber($E$63, Table_SourceData_Dairy_ProductionSystemTemplates[Area],Table_SourceData_Dairy_ProductionSystemTemplates[Milking shed])</f>
        <v>0.11</v>
      </c>
      <c r="J67" s="2" t="s">
        <v>17</v>
      </c>
      <c r="K67" s="2"/>
      <c r="L67" s="2"/>
      <c r="M67" s="2"/>
      <c r="N67" s="2"/>
      <c r="O67" s="3"/>
    </row>
    <row r="68" spans="3:19" ht="20.100000000000001" customHeight="1" x14ac:dyDescent="0.25">
      <c r="D68" s="1" t="s">
        <v>196</v>
      </c>
      <c r="E68" s="136" cm="1">
        <f t="array" ref="E68">Common_InputFunctions.Utility_LookupValueInTableNumber($E$63, Table_SourceData_Dairy_ProductionSystemTemplates[Area],Table_SourceData_Dairy_ProductionSystemTemplates[Feedpad])</f>
        <v>0.35599999999999998</v>
      </c>
      <c r="F68" s="136" cm="1">
        <f t="array" ref="F68">Common_InputFunctions.Utility_LookupValueInTableNumber($E$63, Table_SourceData_Dairy_ProductionSystemTemplates[Area],Table_SourceData_Dairy_ProductionSystemTemplates[Feedpad])</f>
        <v>0.35599999999999998</v>
      </c>
      <c r="G68" s="136" cm="1">
        <f t="array" ref="G68">Common_InputFunctions.Utility_LookupValueInTableNumber($E$63, Table_SourceData_Dairy_ProductionSystemTemplates[Area],Table_SourceData_Dairy_ProductionSystemTemplates[Feedpad])</f>
        <v>0.35599999999999998</v>
      </c>
      <c r="H68" s="136" cm="1">
        <f t="array" ref="H68">Common_InputFunctions.Utility_LookupValueInTableNumber($E$63, Table_SourceData_Dairy_ProductionSystemTemplates[Area],Table_SourceData_Dairy_ProductionSystemTemplates[Feedpad])</f>
        <v>0.35599999999999998</v>
      </c>
      <c r="I68" s="136" cm="1">
        <f t="array" ref="I68">Common_InputFunctions.Utility_LookupValueInTableNumber($E$63, Table_SourceData_Dairy_ProductionSystemTemplates[Area],Table_SourceData_Dairy_ProductionSystemTemplates[Feedpad])</f>
        <v>0.35599999999999998</v>
      </c>
      <c r="J68" s="2" t="s">
        <v>17</v>
      </c>
      <c r="K68" s="2"/>
      <c r="L68" s="2"/>
      <c r="M68" s="2"/>
      <c r="N68" s="2"/>
      <c r="O68" s="3"/>
    </row>
    <row r="69" spans="3:19" ht="20.100000000000001" customHeight="1" x14ac:dyDescent="0.25">
      <c r="O69" s="3"/>
    </row>
    <row r="70" spans="3:19" ht="20.100000000000001" customHeight="1" x14ac:dyDescent="0.25">
      <c r="D70" s="64" t="s">
        <v>199</v>
      </c>
      <c r="E70" s="40" t="s">
        <v>167</v>
      </c>
      <c r="F70" s="40" t="s">
        <v>184</v>
      </c>
      <c r="G70" s="40" t="s">
        <v>185</v>
      </c>
      <c r="H70" s="40" t="s">
        <v>186</v>
      </c>
      <c r="I70" s="40" t="s">
        <v>187</v>
      </c>
      <c r="O70" s="3"/>
    </row>
    <row r="71" spans="3:19" ht="20.100000000000001" customHeight="1" x14ac:dyDescent="0.25">
      <c r="D71" s="1" t="s">
        <v>141</v>
      </c>
      <c r="E71" s="135" cm="1">
        <f t="array" ref="E71">Common_InputFunctions.Utility_LookupValueInTableNumber($E$63, Table_SourceData_Dairy_ProductionSystemTemplates[Area],Table_SourceData_Dairy_ProductionSystemTemplates[Pasture])</f>
        <v>0.53400000000000003</v>
      </c>
      <c r="F71" s="135" cm="1">
        <f t="array" ref="F71">Common_InputFunctions.Utility_LookupValueInTableNumber($E$63, Table_SourceData_Dairy_ProductionSystemTemplates[Area],Table_SourceData_Dairy_ProductionSystemTemplates[Pasture])</f>
        <v>0.53400000000000003</v>
      </c>
      <c r="G71" s="135" cm="1">
        <f t="array" ref="G71">Common_InputFunctions.Utility_LookupValueInTableNumber($E$63, Table_SourceData_Dairy_ProductionSystemTemplates[Area],Table_SourceData_Dairy_ProductionSystemTemplates[Pasture])</f>
        <v>0.53400000000000003</v>
      </c>
      <c r="H71" s="135" cm="1">
        <f t="array" ref="H71">Common_InputFunctions.Utility_LookupValueInTableNumber($E$63, Table_SourceData_Dairy_ProductionSystemTemplates[Area],Table_SourceData_Dairy_ProductionSystemTemplates[Pasture])</f>
        <v>0.53400000000000003</v>
      </c>
      <c r="I71" s="135" cm="1">
        <f t="array" ref="I71">Common_InputFunctions.Utility_LookupValueInTableNumber($E$63, Table_SourceData_Dairy_ProductionSystemTemplates[Area],Table_SourceData_Dairy_ProductionSystemTemplates[Pasture])</f>
        <v>0.53400000000000003</v>
      </c>
      <c r="J71" s="2" t="s">
        <v>17</v>
      </c>
      <c r="K71" s="2"/>
      <c r="L71" s="2"/>
      <c r="M71" s="2"/>
      <c r="N71" s="2"/>
      <c r="O71" s="3"/>
    </row>
    <row r="72" spans="3:19" ht="20.100000000000001" customHeight="1" x14ac:dyDescent="0.25">
      <c r="D72" s="1" t="s">
        <v>181</v>
      </c>
      <c r="E72" s="135" cm="1">
        <f t="array" ref="E72">Common_InputFunctions.Utility_LookupValueInTableNumber($E$63, Table_SourceData_Dairy_ProductionSystemTemplates[Area],Table_SourceData_Dairy_ProductionSystemTemplates[Milking shed])</f>
        <v>0.11</v>
      </c>
      <c r="F72" s="135" cm="1">
        <f t="array" ref="F72">Common_InputFunctions.Utility_LookupValueInTableNumber($E$63, Table_SourceData_Dairy_ProductionSystemTemplates[Area],Table_SourceData_Dairy_ProductionSystemTemplates[Milking shed])</f>
        <v>0.11</v>
      </c>
      <c r="G72" s="135" cm="1">
        <f t="array" ref="G72">Common_InputFunctions.Utility_LookupValueInTableNumber($E$63, Table_SourceData_Dairy_ProductionSystemTemplates[Area],Table_SourceData_Dairy_ProductionSystemTemplates[Milking shed])</f>
        <v>0.11</v>
      </c>
      <c r="H72" s="135" cm="1">
        <f t="array" ref="H72">Common_InputFunctions.Utility_LookupValueInTableNumber($E$63, Table_SourceData_Dairy_ProductionSystemTemplates[Area],Table_SourceData_Dairy_ProductionSystemTemplates[Milking shed])</f>
        <v>0.11</v>
      </c>
      <c r="I72" s="135" cm="1">
        <f t="array" ref="I72">Common_InputFunctions.Utility_LookupValueInTableNumber($E$63, Table_SourceData_Dairy_ProductionSystemTemplates[Area],Table_SourceData_Dairy_ProductionSystemTemplates[Milking shed])</f>
        <v>0.11</v>
      </c>
      <c r="J72" s="2" t="s">
        <v>17</v>
      </c>
      <c r="K72" s="2"/>
      <c r="L72" s="2"/>
      <c r="M72" s="2"/>
      <c r="N72" s="2"/>
      <c r="O72" s="3"/>
    </row>
    <row r="73" spans="3:19" ht="20.100000000000001" customHeight="1" x14ac:dyDescent="0.25">
      <c r="D73" s="1" t="s">
        <v>196</v>
      </c>
      <c r="E73" s="135" cm="1">
        <f t="array" ref="E73">Common_InputFunctions.Utility_LookupValueInTableNumber($E$63, Table_SourceData_Dairy_ProductionSystemTemplates[Area],Table_SourceData_Dairy_ProductionSystemTemplates[Feedpad])</f>
        <v>0.35599999999999998</v>
      </c>
      <c r="F73" s="135" cm="1">
        <f t="array" ref="F73">Common_InputFunctions.Utility_LookupValueInTableNumber($E$63, Table_SourceData_Dairy_ProductionSystemTemplates[Area],Table_SourceData_Dairy_ProductionSystemTemplates[Feedpad])</f>
        <v>0.35599999999999998</v>
      </c>
      <c r="G73" s="135" cm="1">
        <f t="array" ref="G73">Common_InputFunctions.Utility_LookupValueInTableNumber($E$63, Table_SourceData_Dairy_ProductionSystemTemplates[Area],Table_SourceData_Dairy_ProductionSystemTemplates[Feedpad])</f>
        <v>0.35599999999999998</v>
      </c>
      <c r="H73" s="135" cm="1">
        <f t="array" ref="H73">Common_InputFunctions.Utility_LookupValueInTableNumber($E$63, Table_SourceData_Dairy_ProductionSystemTemplates[Area],Table_SourceData_Dairy_ProductionSystemTemplates[Feedpad])</f>
        <v>0.35599999999999998</v>
      </c>
      <c r="I73" s="135" cm="1">
        <f t="array" ref="I73">Common_InputFunctions.Utility_LookupValueInTableNumber($E$63, Table_SourceData_Dairy_ProductionSystemTemplates[Area],Table_SourceData_Dairy_ProductionSystemTemplates[Feedpad])</f>
        <v>0.35599999999999998</v>
      </c>
      <c r="J73" s="2" t="s">
        <v>17</v>
      </c>
      <c r="K73" s="2"/>
      <c r="L73" s="2"/>
      <c r="M73" s="2"/>
      <c r="N73" s="2"/>
      <c r="O73" s="3"/>
    </row>
    <row r="74" spans="3:19" ht="20.100000000000001" customHeight="1" x14ac:dyDescent="0.25">
      <c r="E74" s="126"/>
      <c r="O74" s="3"/>
    </row>
    <row r="75" spans="3:19" ht="20.100000000000001" customHeight="1" x14ac:dyDescent="0.25"/>
    <row r="76" spans="3:19" ht="20.100000000000001" customHeight="1" x14ac:dyDescent="0.25">
      <c r="C76" s="46"/>
      <c r="D76" s="46"/>
      <c r="E76" s="46"/>
      <c r="F76" s="46"/>
      <c r="G76" s="46"/>
      <c r="H76" s="46"/>
      <c r="I76" s="46"/>
      <c r="J76" s="46"/>
      <c r="K76" s="46"/>
      <c r="L76" s="46"/>
      <c r="M76" s="46"/>
      <c r="N76" s="46"/>
      <c r="O76" s="46"/>
    </row>
    <row r="77" spans="3:19" ht="20.100000000000001" customHeight="1" x14ac:dyDescent="0.25">
      <c r="D77" s="6" t="s">
        <v>98</v>
      </c>
      <c r="F77" s="123"/>
    </row>
    <row r="78" spans="3:19" ht="20.100000000000001" customHeight="1" x14ac:dyDescent="0.25">
      <c r="D78" s="49" t="str">
        <f>"From " &amp; $D$67</f>
        <v>From Milking shed</v>
      </c>
      <c r="O78" s="3"/>
    </row>
    <row r="79" spans="3:19" ht="20.100000000000001" customHeight="1" x14ac:dyDescent="0.25">
      <c r="O79" s="3"/>
    </row>
    <row r="80" spans="3:19" ht="20.100000000000001" customHeight="1" x14ac:dyDescent="0.25">
      <c r="D80" s="153" t="s">
        <v>97</v>
      </c>
      <c r="E80" s="40" t="s">
        <v>167</v>
      </c>
      <c r="F80" s="40" t="s">
        <v>184</v>
      </c>
      <c r="G80" s="40" t="s">
        <v>185</v>
      </c>
      <c r="H80" s="40" t="s">
        <v>186</v>
      </c>
      <c r="I80" s="40" t="s">
        <v>187</v>
      </c>
      <c r="J80" s="142" t="s">
        <v>422</v>
      </c>
      <c r="K80" s="142"/>
      <c r="L80" s="64" t="s">
        <v>421</v>
      </c>
      <c r="M80" s="64"/>
      <c r="N80" s="40"/>
      <c r="O80" s="3"/>
      <c r="S80" s="7"/>
    </row>
    <row r="81" spans="4:19" ht="20.100000000000001" customHeight="1" x14ac:dyDescent="0.25">
      <c r="L81" s="117" t="s">
        <v>423</v>
      </c>
      <c r="M81" s="117" t="s">
        <v>424</v>
      </c>
      <c r="N81" s="117" t="s">
        <v>425</v>
      </c>
      <c r="O81" s="3"/>
      <c r="S81" s="7"/>
    </row>
    <row r="82" spans="4:19" ht="20.100000000000001" customHeight="1" x14ac:dyDescent="0.25">
      <c r="D82" s="54" t="str">
        <f>'Constants - Dairy'!$D$8</f>
        <v>Anaerobic lagoon</v>
      </c>
      <c r="E82" s="47">
        <v>0.25</v>
      </c>
      <c r="F82" s="47">
        <v>0.25</v>
      </c>
      <c r="G82" s="47">
        <v>0.25</v>
      </c>
      <c r="H82" s="47">
        <v>0.25</v>
      </c>
      <c r="I82" s="47">
        <v>0.25</v>
      </c>
      <c r="J82" s="2" t="s">
        <v>17</v>
      </c>
      <c r="K82" s="2"/>
      <c r="L82" s="47">
        <v>0.25</v>
      </c>
      <c r="M82" s="47">
        <v>0.25</v>
      </c>
      <c r="N82" s="97">
        <f>1-SUM(L82:M82)</f>
        <v>0.5</v>
      </c>
      <c r="O82" s="3"/>
      <c r="S82" s="7"/>
    </row>
    <row r="83" spans="4:19" ht="20.100000000000001" customHeight="1" x14ac:dyDescent="0.25">
      <c r="D83" s="152" t="str">
        <f>"Were solids separated from " &amp; D82 &amp; "?"</f>
        <v>Were solids separated from Anaerobic lagoon?</v>
      </c>
      <c r="E83" s="41" t="s">
        <v>201</v>
      </c>
      <c r="O83" s="3"/>
      <c r="S83" s="7"/>
    </row>
    <row r="84" spans="4:19" ht="20.100000000000001" customHeight="1" x14ac:dyDescent="0.25">
      <c r="D84" s="152" t="str">
        <f>"Percent solids separated from " &amp; D82 &amp; " (Method 1)"</f>
        <v>Percent solids separated from Anaerobic lagoon (Method 1)</v>
      </c>
      <c r="E84" s="97">
        <f>IF(E83="Yes", 20%, 0)</f>
        <v>0.2</v>
      </c>
      <c r="O84" s="3"/>
      <c r="S84" s="7"/>
    </row>
    <row r="85" spans="4:19" ht="20.100000000000001" customHeight="1" x14ac:dyDescent="0.25">
      <c r="D85" s="152" t="str">
        <f>"Percent solids separated from " &amp; D82 &amp; " (Method 2)"</f>
        <v>Percent solids separated from Anaerobic lagoon (Method 2)</v>
      </c>
      <c r="E85" s="47">
        <v>0.2</v>
      </c>
      <c r="O85" s="3"/>
      <c r="S85" s="7"/>
    </row>
    <row r="86" spans="4:19" ht="20.100000000000001" customHeight="1" x14ac:dyDescent="0.25">
      <c r="S86" s="7"/>
    </row>
    <row r="87" spans="4:19" ht="20.100000000000001" customHeight="1" x14ac:dyDescent="0.25">
      <c r="D87" s="54" t="str">
        <f>'Constants - Dairy'!$D$9</f>
        <v>Sump and dispersal system</v>
      </c>
      <c r="E87" s="47">
        <v>0.25</v>
      </c>
      <c r="F87" s="47">
        <v>0.25</v>
      </c>
      <c r="G87" s="47">
        <v>0.25</v>
      </c>
      <c r="H87" s="47">
        <v>0.25</v>
      </c>
      <c r="I87" s="47">
        <v>0.25</v>
      </c>
      <c r="J87" s="2" t="s">
        <v>17</v>
      </c>
      <c r="K87" s="2"/>
      <c r="L87" s="47">
        <v>0.25</v>
      </c>
      <c r="M87" s="47">
        <v>0.25</v>
      </c>
      <c r="N87" s="97">
        <f t="shared" ref="N87" si="1">1-SUM(L87:M87)</f>
        <v>0.5</v>
      </c>
      <c r="S87" s="7"/>
    </row>
    <row r="88" spans="4:19" ht="20.100000000000001" customHeight="1" x14ac:dyDescent="0.25">
      <c r="D88" s="152" t="str">
        <f>"Were solids separated from " &amp; D87 &amp; "?"</f>
        <v>Were solids separated from Sump and dispersal system?</v>
      </c>
      <c r="E88" s="41" t="s">
        <v>201</v>
      </c>
      <c r="S88" s="7"/>
    </row>
    <row r="89" spans="4:19" ht="20.100000000000001" customHeight="1" x14ac:dyDescent="0.25">
      <c r="D89" s="152" t="str">
        <f>"Percent solids separated from " &amp; D87 &amp; " (Method 1)"</f>
        <v>Percent solids separated from Sump and dispersal system (Method 1)</v>
      </c>
      <c r="E89" s="97">
        <f>IF(E88="Yes", 20%, 0)</f>
        <v>0.2</v>
      </c>
      <c r="S89" s="7"/>
    </row>
    <row r="90" spans="4:19" ht="20.100000000000001" customHeight="1" x14ac:dyDescent="0.25">
      <c r="D90" s="152" t="str">
        <f>"Percent solids separated from " &amp; D87 &amp; " (Method 2)"</f>
        <v>Percent solids separated from Sump and dispersal system (Method 2)</v>
      </c>
      <c r="E90" s="47">
        <v>0.2</v>
      </c>
      <c r="S90" s="7"/>
    </row>
    <row r="91" spans="4:19" ht="20.100000000000001" customHeight="1" x14ac:dyDescent="0.25">
      <c r="S91" s="7"/>
    </row>
    <row r="92" spans="4:19" ht="20.100000000000001" customHeight="1" x14ac:dyDescent="0.25">
      <c r="D92" s="54" t="str">
        <f>'Constants - Dairy'!$D$10</f>
        <v>Drains to paddock</v>
      </c>
      <c r="E92" s="47">
        <v>0.25</v>
      </c>
      <c r="F92" s="47">
        <v>0.25</v>
      </c>
      <c r="G92" s="47">
        <v>0.25</v>
      </c>
      <c r="H92" s="47">
        <v>0.25</v>
      </c>
      <c r="I92" s="47">
        <v>0.25</v>
      </c>
      <c r="J92" s="2" t="s">
        <v>17</v>
      </c>
      <c r="K92" s="2"/>
      <c r="L92" s="47">
        <v>0.25</v>
      </c>
      <c r="M92" s="47">
        <v>0.25</v>
      </c>
      <c r="N92" s="97">
        <f>1-SUM(L92:M92)</f>
        <v>0.5</v>
      </c>
      <c r="S92" s="7"/>
    </row>
    <row r="93" spans="4:19" ht="20.100000000000001" customHeight="1" x14ac:dyDescent="0.25">
      <c r="D93" s="152" t="str">
        <f>"Were solids separated from " &amp; D92 &amp; "?"</f>
        <v>Were solids separated from Drains to paddock?</v>
      </c>
      <c r="E93" s="41" t="s">
        <v>201</v>
      </c>
      <c r="S93" s="7"/>
    </row>
    <row r="94" spans="4:19" ht="20.100000000000001" customHeight="1" x14ac:dyDescent="0.25">
      <c r="D94" s="152" t="str">
        <f>"Percent solids separated from " &amp; D92 &amp; " (Method 1)"</f>
        <v>Percent solids separated from Drains to paddock (Method 1)</v>
      </c>
      <c r="E94" s="97">
        <f>IF(E93="Yes", 20%, 0)</f>
        <v>0.2</v>
      </c>
      <c r="S94" s="7"/>
    </row>
    <row r="95" spans="4:19" ht="20.100000000000001" customHeight="1" x14ac:dyDescent="0.25">
      <c r="D95" s="152" t="str">
        <f>"Percent solids separated from " &amp; D92 &amp; " (Method 2)"</f>
        <v>Percent solids separated from Drains to paddock (Method 2)</v>
      </c>
      <c r="E95" s="47">
        <v>0.2</v>
      </c>
      <c r="S95" s="7"/>
    </row>
    <row r="96" spans="4:19" ht="20.100000000000001" customHeight="1" x14ac:dyDescent="0.25">
      <c r="S96" s="7"/>
    </row>
    <row r="97" spans="4:19" ht="20.100000000000001" customHeight="1" x14ac:dyDescent="0.25">
      <c r="D97" s="54" t="str">
        <f>'Constants - Dairy'!$D$11 &amp; " (before solid separation)"</f>
        <v>Solid storage (before solid separation)</v>
      </c>
      <c r="E97" s="47">
        <v>0.25</v>
      </c>
      <c r="F97" s="47">
        <v>0.25</v>
      </c>
      <c r="G97" s="47">
        <v>0.25</v>
      </c>
      <c r="H97" s="47">
        <v>0.25</v>
      </c>
      <c r="I97" s="47">
        <v>0.25</v>
      </c>
      <c r="J97" s="2" t="s">
        <v>17</v>
      </c>
      <c r="K97" s="2"/>
      <c r="L97" s="47">
        <v>0.25</v>
      </c>
      <c r="M97" s="47">
        <v>0.25</v>
      </c>
      <c r="N97" s="97">
        <f t="shared" ref="N97" si="2">1-SUM(L97:M97)</f>
        <v>0.5</v>
      </c>
      <c r="S97" s="7"/>
    </row>
    <row r="98" spans="4:19" ht="20.100000000000001" customHeight="1" x14ac:dyDescent="0.25">
      <c r="D98" s="1" t="s">
        <v>428</v>
      </c>
      <c r="E98" s="97">
        <f>E97+(E82*$E84)+(E87*$E89)+(E92*$E94)</f>
        <v>0.39999999999999997</v>
      </c>
      <c r="F98" s="97">
        <f>F97+(F82*$E84)+(F87*$E89)+(F92*$E94)</f>
        <v>0.39999999999999997</v>
      </c>
      <c r="G98" s="97">
        <f>G97+(G82*$E84)+(G87*$E89)+(G92*$E94)</f>
        <v>0.39999999999999997</v>
      </c>
      <c r="H98" s="97">
        <f>H97+(H82*$E84)+(H87*$E89)+(H92*$E94)</f>
        <v>0.39999999999999997</v>
      </c>
      <c r="I98" s="97">
        <f>I97+(I82*$E84)+(I87*$E89)+(I92*$E94)</f>
        <v>0.39999999999999997</v>
      </c>
      <c r="J98" s="2" t="s">
        <v>17</v>
      </c>
      <c r="K98" s="2"/>
      <c r="L98" s="2"/>
      <c r="M98" s="2"/>
      <c r="N98" s="2"/>
      <c r="S98" s="7"/>
    </row>
    <row r="99" spans="4:19" ht="20.100000000000001" customHeight="1" x14ac:dyDescent="0.25">
      <c r="D99" s="1" t="s">
        <v>429</v>
      </c>
      <c r="E99" s="97">
        <f>E97+(E82*$E85)+(E87*$E90)+(E92*$E95)</f>
        <v>0.39999999999999997</v>
      </c>
      <c r="F99" s="97">
        <f>F97+(F82*$E85)+(F87*$E90)+(F92*$E95)</f>
        <v>0.39999999999999997</v>
      </c>
      <c r="G99" s="97">
        <f>G97+(G82*$E85)+(G87*$E90)+(G92*$E95)</f>
        <v>0.39999999999999997</v>
      </c>
      <c r="H99" s="97">
        <f>H97+(H82*$E85)+(H87*$E90)+(H92*$E95)</f>
        <v>0.39999999999999997</v>
      </c>
      <c r="I99" s="97">
        <f>I97+(I82*$E85)+(I87*$E90)+(I92*$E95)</f>
        <v>0.39999999999999997</v>
      </c>
      <c r="J99" s="2" t="s">
        <v>17</v>
      </c>
      <c r="K99" s="2"/>
      <c r="S99" s="7"/>
    </row>
    <row r="100" spans="4:19" ht="20.100000000000001" customHeight="1" x14ac:dyDescent="0.25">
      <c r="F100" s="2"/>
      <c r="S100" s="7"/>
    </row>
    <row r="101" spans="4:19" ht="20.100000000000001" customHeight="1" x14ac:dyDescent="0.25">
      <c r="F101" s="143"/>
      <c r="S101" s="7"/>
    </row>
    <row r="102" spans="4:19" ht="20.100000000000001" customHeight="1" x14ac:dyDescent="0.25">
      <c r="D102" s="49" t="str">
        <f>"From " &amp; $D$68</f>
        <v>From Feed pad</v>
      </c>
      <c r="S102" s="7"/>
    </row>
    <row r="103" spans="4:19" ht="20.100000000000001" customHeight="1" x14ac:dyDescent="0.25">
      <c r="S103" s="7"/>
    </row>
    <row r="104" spans="4:19" ht="20.100000000000001" customHeight="1" x14ac:dyDescent="0.25">
      <c r="D104" s="144" t="s">
        <v>97</v>
      </c>
      <c r="E104" s="40" t="s">
        <v>167</v>
      </c>
      <c r="F104" s="40" t="s">
        <v>184</v>
      </c>
      <c r="G104" s="40" t="s">
        <v>185</v>
      </c>
      <c r="H104" s="40" t="s">
        <v>186</v>
      </c>
      <c r="I104" s="40" t="s">
        <v>187</v>
      </c>
      <c r="J104" s="142" t="s">
        <v>422</v>
      </c>
      <c r="K104" s="142"/>
      <c r="L104" s="64" t="s">
        <v>421</v>
      </c>
      <c r="M104" s="64"/>
      <c r="N104" s="40"/>
      <c r="S104" s="7"/>
    </row>
    <row r="105" spans="4:19" ht="20.100000000000001" customHeight="1" x14ac:dyDescent="0.25">
      <c r="D105" s="146"/>
      <c r="L105" s="117" t="s">
        <v>423</v>
      </c>
      <c r="M105" s="117" t="s">
        <v>424</v>
      </c>
      <c r="N105" s="117" t="s">
        <v>425</v>
      </c>
      <c r="S105" s="7"/>
    </row>
    <row r="106" spans="4:19" ht="20.100000000000001" customHeight="1" x14ac:dyDescent="0.25">
      <c r="D106" s="145" t="str">
        <f>'Constants - Dairy'!$D$8</f>
        <v>Anaerobic lagoon</v>
      </c>
      <c r="E106" s="47">
        <v>0.25</v>
      </c>
      <c r="F106" s="47">
        <v>0.25</v>
      </c>
      <c r="G106" s="47">
        <v>0.25</v>
      </c>
      <c r="H106" s="47">
        <v>0.25</v>
      </c>
      <c r="I106" s="47">
        <v>0.25</v>
      </c>
      <c r="J106" s="2" t="s">
        <v>17</v>
      </c>
      <c r="K106" s="2"/>
      <c r="L106" s="47">
        <v>0.25</v>
      </c>
      <c r="M106" s="47">
        <v>0.25</v>
      </c>
      <c r="N106" s="97">
        <f>1-SUM(L106:M106)</f>
        <v>0.5</v>
      </c>
      <c r="S106" s="7"/>
    </row>
    <row r="107" spans="4:19" ht="20.100000000000001" customHeight="1" x14ac:dyDescent="0.25">
      <c r="D107" s="151" t="str">
        <f>"Were solids separated from " &amp; D106 &amp; "?"</f>
        <v>Were solids separated from Anaerobic lagoon?</v>
      </c>
      <c r="E107" s="41" t="s">
        <v>203</v>
      </c>
    </row>
    <row r="108" spans="4:19" ht="20.100000000000001" customHeight="1" x14ac:dyDescent="0.25">
      <c r="D108" s="151" t="str">
        <f>"Percent solids separated from " &amp; D106 &amp; " (Method 1)"</f>
        <v>Percent solids separated from Anaerobic lagoon (Method 1)</v>
      </c>
      <c r="E108" s="97">
        <f>IF(E107="Yes", 20%, 0)</f>
        <v>0</v>
      </c>
    </row>
    <row r="109" spans="4:19" ht="20.100000000000001" customHeight="1" x14ac:dyDescent="0.25">
      <c r="D109" s="151" t="str">
        <f>"Percent solids separated from " &amp; D106 &amp; " (Method 2)"</f>
        <v>Percent solids separated from Anaerobic lagoon (Method 2)</v>
      </c>
      <c r="E109" s="47">
        <f>IF(E107="Yes", 20%, 0)</f>
        <v>0</v>
      </c>
    </row>
    <row r="110" spans="4:19" ht="20.100000000000001" customHeight="1" x14ac:dyDescent="0.25"/>
    <row r="111" spans="4:19" ht="20.100000000000001" customHeight="1" x14ac:dyDescent="0.25">
      <c r="D111" s="145" t="str">
        <f>'Constants - Dairy'!$D$9</f>
        <v>Sump and dispersal system</v>
      </c>
      <c r="E111" s="47">
        <v>0.25</v>
      </c>
      <c r="F111" s="47">
        <v>0.25</v>
      </c>
      <c r="G111" s="47">
        <v>0.25</v>
      </c>
      <c r="H111" s="47">
        <v>0.25</v>
      </c>
      <c r="I111" s="47">
        <v>0.25</v>
      </c>
      <c r="J111" s="2" t="s">
        <v>17</v>
      </c>
      <c r="K111" s="2"/>
      <c r="L111" s="47">
        <v>0.25</v>
      </c>
      <c r="M111" s="47">
        <v>0.25</v>
      </c>
      <c r="N111" s="97">
        <f t="shared" ref="N111" si="3">1-SUM(L111:M111)</f>
        <v>0.5</v>
      </c>
    </row>
    <row r="112" spans="4:19" ht="20.100000000000001" customHeight="1" x14ac:dyDescent="0.25">
      <c r="D112" s="151" t="str">
        <f>"Were solids separated from " &amp; D111 &amp; "?"</f>
        <v>Were solids separated from Sump and dispersal system?</v>
      </c>
      <c r="E112" s="41" t="s">
        <v>201</v>
      </c>
    </row>
    <row r="113" spans="4:14" ht="20.100000000000001" customHeight="1" x14ac:dyDescent="0.25">
      <c r="D113" s="151" t="str">
        <f>"Percent solids separated from " &amp; D111 &amp; " (Method 1)"</f>
        <v>Percent solids separated from Sump and dispersal system (Method 1)</v>
      </c>
      <c r="E113" s="97">
        <f>IF(E112="Yes", 20%, 0)</f>
        <v>0.2</v>
      </c>
    </row>
    <row r="114" spans="4:14" ht="20.100000000000001" customHeight="1" x14ac:dyDescent="0.25">
      <c r="D114" s="151" t="str">
        <f>"Percent solids separated from " &amp; D111 &amp; " (Method 2)"</f>
        <v>Percent solids separated from Sump and dispersal system (Method 2)</v>
      </c>
      <c r="E114" s="47">
        <f>IF(E112="Yes", 20%, 0)</f>
        <v>0.2</v>
      </c>
    </row>
    <row r="115" spans="4:14" ht="20.100000000000001" customHeight="1" x14ac:dyDescent="0.25"/>
    <row r="116" spans="4:14" ht="20.100000000000001" customHeight="1" x14ac:dyDescent="0.25">
      <c r="D116" s="145" t="str">
        <f>'Constants - Dairy'!$D$10</f>
        <v>Drains to paddock</v>
      </c>
      <c r="E116" s="47">
        <v>0.25</v>
      </c>
      <c r="F116" s="47">
        <v>0.25</v>
      </c>
      <c r="G116" s="47">
        <v>0.25</v>
      </c>
      <c r="H116" s="47">
        <v>0.25</v>
      </c>
      <c r="I116" s="47">
        <v>0.25</v>
      </c>
      <c r="J116" s="2" t="s">
        <v>17</v>
      </c>
      <c r="K116" s="2"/>
      <c r="L116" s="47">
        <v>0.25</v>
      </c>
      <c r="M116" s="47">
        <v>0.25</v>
      </c>
      <c r="N116" s="97">
        <f>1-SUM(L116:M116)</f>
        <v>0.5</v>
      </c>
    </row>
    <row r="117" spans="4:14" ht="20.100000000000001" customHeight="1" x14ac:dyDescent="0.25">
      <c r="D117" s="151" t="str">
        <f>"Were solids separated from " &amp; D116 &amp; "?"</f>
        <v>Were solids separated from Drains to paddock?</v>
      </c>
      <c r="E117" s="41" t="s">
        <v>201</v>
      </c>
    </row>
    <row r="118" spans="4:14" ht="20.100000000000001" customHeight="1" x14ac:dyDescent="0.25">
      <c r="D118" s="151" t="str">
        <f>"Percent solids separated from " &amp; D116 &amp; " (Method 1)"</f>
        <v>Percent solids separated from Drains to paddock (Method 1)</v>
      </c>
      <c r="E118" s="97">
        <f>IF(E117="Yes", 20%, 0)</f>
        <v>0.2</v>
      </c>
    </row>
    <row r="119" spans="4:14" ht="20.100000000000001" customHeight="1" x14ac:dyDescent="0.25">
      <c r="D119" s="151" t="str">
        <f>"Percent solids separated from " &amp; D116 &amp; " (Method 2)"</f>
        <v>Percent solids separated from Drains to paddock (Method 2)</v>
      </c>
      <c r="E119" s="47">
        <f>IF(E117="Yes", 20%, 0)</f>
        <v>0.2</v>
      </c>
    </row>
    <row r="120" spans="4:14" ht="20.100000000000001" customHeight="1" x14ac:dyDescent="0.25"/>
    <row r="121" spans="4:14" ht="20.100000000000001" customHeight="1" x14ac:dyDescent="0.25">
      <c r="D121" s="145" t="str">
        <f>'Constants - Dairy'!$D$11 &amp; " (before solid separation)"</f>
        <v>Solid storage (before solid separation)</v>
      </c>
      <c r="E121" s="47">
        <v>0.25</v>
      </c>
      <c r="F121" s="47">
        <v>0.25</v>
      </c>
      <c r="G121" s="47">
        <v>0.25</v>
      </c>
      <c r="H121" s="47">
        <v>0.25</v>
      </c>
      <c r="I121" s="47">
        <v>0.25</v>
      </c>
      <c r="J121" s="2" t="s">
        <v>17</v>
      </c>
      <c r="K121" s="2"/>
      <c r="L121" s="47">
        <v>0.25</v>
      </c>
      <c r="M121" s="47">
        <v>0.25</v>
      </c>
      <c r="N121" s="97">
        <f>1-SUM(L121:M121)</f>
        <v>0.5</v>
      </c>
    </row>
    <row r="122" spans="4:14" ht="20.100000000000001" customHeight="1" x14ac:dyDescent="0.25">
      <c r="D122" s="146" t="s">
        <v>428</v>
      </c>
      <c r="E122" s="97">
        <f>E121+(E106*$E108)+(E111*$E113)+(E116*$E118)</f>
        <v>0.35</v>
      </c>
      <c r="F122" s="97">
        <f>F121+(F106*$E108)+(F111*$E113)+(F116*$E118)</f>
        <v>0.35</v>
      </c>
      <c r="G122" s="97">
        <f>G121+(G106*$E108)+(G111*$E113)+(G116*$E118)</f>
        <v>0.35</v>
      </c>
      <c r="H122" s="97">
        <f>H121+(H106*$E108)+(H111*$E113)+(H116*$E118)</f>
        <v>0.35</v>
      </c>
      <c r="I122" s="97">
        <f>I121+(I106*$E108)+(I111*$E113)+(I116*$E118)</f>
        <v>0.35</v>
      </c>
      <c r="J122" s="2" t="s">
        <v>17</v>
      </c>
      <c r="K122" s="2"/>
      <c r="L122" s="2"/>
      <c r="M122" s="2"/>
      <c r="N122" s="2"/>
    </row>
    <row r="123" spans="4:14" ht="20.100000000000001" customHeight="1" x14ac:dyDescent="0.25">
      <c r="D123" s="146" t="s">
        <v>429</v>
      </c>
      <c r="E123" s="97">
        <f>E121+(E106*$E109)+(E111*$E114)+(E116*$E119)</f>
        <v>0.35</v>
      </c>
      <c r="F123" s="97">
        <f>F121+(F106*$E109)+(F111*$E114)+(F116*$E119)</f>
        <v>0.35</v>
      </c>
      <c r="G123" s="97">
        <f>G121+(G106*$E109)+(G111*$E114)+(G116*$E119)</f>
        <v>0.35</v>
      </c>
      <c r="H123" s="97">
        <f>H121+(H106*$E109)+(H111*$E114)+(H116*$E119)</f>
        <v>0.35</v>
      </c>
      <c r="I123" s="97">
        <f>I121+(I106*$E109)+(I111*$E114)+(I116*$E119)</f>
        <v>0.35</v>
      </c>
      <c r="J123" s="2" t="s">
        <v>17</v>
      </c>
      <c r="K123" s="2"/>
    </row>
    <row r="124" spans="4:14" ht="20.100000000000001" customHeight="1" x14ac:dyDescent="0.25"/>
    <row r="125" spans="4:14" ht="20.100000000000001" customHeight="1" x14ac:dyDescent="0.25"/>
    <row r="126" spans="4:14" ht="20.100000000000001" customHeight="1" x14ac:dyDescent="0.25">
      <c r="D126" s="1" t="s">
        <v>136</v>
      </c>
      <c r="E126" s="41" t="s">
        <v>141</v>
      </c>
      <c r="F126" s="2" t="s">
        <v>8</v>
      </c>
    </row>
    <row r="127" spans="4:14" ht="20.100000000000001" customHeight="1" x14ac:dyDescent="0.25">
      <c r="E127" s="41" t="s">
        <v>146</v>
      </c>
      <c r="F127" s="2" t="s">
        <v>8</v>
      </c>
      <c r="L127" s="2"/>
      <c r="M127" s="2"/>
      <c r="N127" s="2"/>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3 M42:N44 P43:Q43 O45 J82:K82 J87:K87 F92 J92:K92 F97 J97:K99 L98:N98 F103 J106:K106 J111:K111 J116:K116 J121:K123 L122:N122 L127:N127">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100">
    <cfRule type="cellIs" dxfId="2" priority="22" operator="lessThan">
      <formula>0</formula>
    </cfRule>
  </conditionalFormatting>
  <conditionalFormatting sqref="J66:N68">
    <cfRule type="cellIs" dxfId="1" priority="26" operator="lessThan">
      <formula>0</formula>
    </cfRule>
  </conditionalFormatting>
  <conditionalFormatting sqref="J71:N73">
    <cfRule type="cellIs" dxfId="0" priority="25" operator="lessThan">
      <formula>0</formula>
    </cfRule>
  </conditionalFormatting>
  <dataValidations count="6">
    <dataValidation type="list" allowBlank="1" showInputMessage="1" showErrorMessage="1" sqref="E126" xr:uid="{AF94BFC8-A9BD-4286-932B-111409BF1EB6}">
      <formula1>INDIRECT("Table_SourceData_Dairy_CropProdSystems[Production system]")</formula1>
    </dataValidation>
    <dataValidation type="list" allowBlank="1" showInputMessage="1" showErrorMessage="1" sqref="E127" xr:uid="{20E9D9A1-CABD-46A5-B149-02F06B30AA0E}">
      <formula1>INDIRECT("Table_SourceData_Dairy_IrrigationMethods[Irrigation method]")</formula1>
    </dataValidation>
    <dataValidation type="list" allowBlank="1" showInputMessage="1" showErrorMessage="1" sqref="E63" xr:uid="{9FB53635-991F-44AA-A123-E8ABEF9EE0A6}">
      <formula1>INDIRECT("Table_SourceData_Dairy_ProductionSystemTemplates[Area]")</formula1>
    </dataValidation>
    <dataValidation type="list" allowBlank="1" showInputMessage="1" showErrorMessage="1" sqref="E83 E88 E93 E107 E112 E11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50"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1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Livestock'!$E$27</f>
        <v>Pasture range and paddock</v>
      </c>
      <c r="F162" s="53">
        <v>0</v>
      </c>
      <c r="G162" s="2" t="str">
        <f>$G$146</f>
        <v>fraction</v>
      </c>
      <c r="O162" s="53" t="str">
        <f>INDEX(X_Table_Dairy_ProductionSystems_Method1,2,1)</f>
        <v>Pasture</v>
      </c>
      <c r="P162" s="53" t="str">
        <f>'Constants -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448</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Common_InputFunctions.Utility_LookupValueInTable('Input - Site'!$E$21,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E300</f>
        <v>10.314345551795777</v>
      </c>
      <c r="H302" s="2"/>
      <c r="O302" s="58" t="str" cm="1">
        <f t="array" ref="O302:P303">Common_Equations.Common_ConvertCH4ToCO2e_Arguments()</f>
        <v>ECH4</v>
      </c>
      <c r="P302" s="59" t="str">
        <v>Methane emissions (t CH4)</v>
      </c>
      <c r="Q302" s="107"/>
      <c r="R302" s="53">
        <f ca="1">P300</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45"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459</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1.671497576209267E-2</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1.671497576209267E-2</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455</v>
      </c>
    </row>
    <row r="119" spans="4:19" ht="20.100000000000001" customHeight="1" x14ac:dyDescent="0.25">
      <c r="D119" s="99" t="s">
        <v>287</v>
      </c>
      <c r="N119" s="99" t="s">
        <v>456</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457</v>
      </c>
    </row>
    <row r="124" spans="4:19" ht="20.100000000000001" customHeight="1" x14ac:dyDescent="0.25">
      <c r="D124" s="99" t="s">
        <v>289</v>
      </c>
      <c r="N124" s="99" t="s">
        <v>458</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0.58398431951631957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0.58398431951631957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454</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452</v>
      </c>
    </row>
    <row r="174" spans="1:19" ht="20.100000000000001" customHeight="1" x14ac:dyDescent="0.25">
      <c r="D174" s="99" t="s">
        <v>300</v>
      </c>
      <c r="N174" s="99" t="s">
        <v>453</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21315.427662345664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21315.427662345664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449</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450</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451</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MMS_Dairy_N2ODirect_Equations.VEERG_4_3_1_3__2_TotalNitrogenInEachMMS(D$176,F231)</f>
        <v>468.93940857160464</v>
      </c>
      <c r="G243" s="53" cm="1">
        <f t="array" ref="G243">MMS_Dairy_N2ODirect_Equations.VEERG_4_3_1_3__2_TotalNitrogenInEachMMS(E$176,G231)</f>
        <v>182.35790267782079</v>
      </c>
      <c r="H243" s="53" cm="1">
        <f t="array" ref="H243">MMS_Dairy_N2ODirect_Equations.VEERG_4_3_1_3__2_TotalNitrogenInEachMMS(F$213,H231)</f>
        <v>72.631224123843424</v>
      </c>
      <c r="I243" s="53" cm="1">
        <f t="array" ref="I243">MMS_Dairy_N2ODirect_Equations.VEERG_4_3_1_3__2_TotalNitrogenInEachMMS(G$176,I231)</f>
        <v>229.23109573986844</v>
      </c>
      <c r="J243" s="53" cm="1">
        <f t="array" ref="J243">MMS_Dairy_N2ODirect_Equations.VEERG_4_3_1_3__2_TotalNitrogenInEachMMS(H$213,J231)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MMS_Dairy_N2ODirect_Equations.VEERG_4_3_1_3__2_TotalNitrogenInEachMMS(N$176,P231)</f>
        <v>468.93940857160464</v>
      </c>
      <c r="Q243" s="53" cm="1">
        <f t="array" ref="Q243">MMS_Dairy_N2ODirect_Equations.VEERG_4_3_1_3__2_TotalNitrogenInEachMMS(O$176,Q231)</f>
        <v>182.35790267782079</v>
      </c>
      <c r="R243" s="53" cm="1">
        <f t="array" ref="R243">MMS_Dairy_N2ODirect_Equations.VEERG_4_3_1_3__2_TotalNitrogenInEachMMS(P$213,R231)</f>
        <v>72.631224123843424</v>
      </c>
      <c r="S243" s="53" cm="1">
        <f t="array" ref="S243">MMS_Dairy_N2ODirect_Equations.VEERG_4_3_1_3__2_TotalNitrogenInEachMMS(Q$176,S231)</f>
        <v>229.23109573986844</v>
      </c>
      <c r="T243" s="53" cm="1">
        <f t="array" ref="T243">MMS_Dairy_N2ODirect_Equations.VEERG_4_3_1_3__2_TotalNitrogenInEachMMS(R$213,T231)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MMS_Dairy_N2ODirect_Equations.VEERG_4_3_1_3__2_TotalNitrogenInEachMMS(D$176,F232)</f>
        <v>468.93940857160464</v>
      </c>
      <c r="G244" s="53" cm="1">
        <f t="array" ref="G244">MMS_Dairy_N2ODirect_Equations.VEERG_4_3_1_3__2_TotalNitrogenInEachMMS(E$176,G232)</f>
        <v>182.35790267782079</v>
      </c>
      <c r="H244" s="53" cm="1">
        <f t="array" ref="H244">MMS_Dairy_N2ODirect_Equations.VEERG_4_3_1_3__2_TotalNitrogenInEachMMS(F$213,H232)</f>
        <v>72.631224123843424</v>
      </c>
      <c r="I244" s="53" cm="1">
        <f t="array" ref="I244">MMS_Dairy_N2ODirect_Equations.VEERG_4_3_1_3__2_TotalNitrogenInEachMMS(G$176,I232)</f>
        <v>229.23109573986844</v>
      </c>
      <c r="J244" s="53" cm="1">
        <f t="array" ref="J244">MMS_Dairy_N2ODirect_Equations.VEERG_4_3_1_3__2_TotalNitrogenInEachMMS(H$213,J232)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MMS_Dairy_N2ODirect_Equations.VEERG_4_3_1_3__2_TotalNitrogenInEachMMS(N$176,P232)</f>
        <v>468.93940857160464</v>
      </c>
      <c r="Q244" s="53" cm="1">
        <f t="array" ref="Q244">MMS_Dairy_N2ODirect_Equations.VEERG_4_3_1_3__2_TotalNitrogenInEachMMS(O$176,Q232)</f>
        <v>182.35790267782079</v>
      </c>
      <c r="R244" s="53" cm="1">
        <f t="array" ref="R244">MMS_Dairy_N2ODirect_Equations.VEERG_4_3_1_3__2_TotalNitrogenInEachMMS(P$213,R232)</f>
        <v>72.631224123843424</v>
      </c>
      <c r="S244" s="53" cm="1">
        <f t="array" ref="S244">MMS_Dairy_N2ODirect_Equations.VEERG_4_3_1_3__2_TotalNitrogenInEachMMS(Q$176,S232)</f>
        <v>229.23109573986844</v>
      </c>
      <c r="T244" s="53" cm="1">
        <f t="array" ref="T244">MMS_Dairy_N2ODirect_Equations.VEERG_4_3_1_3__2_TotalNitrogenInEachMMS(R$213,T232)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MMS_Dairy_N2ODirect_Equations.VEERG_4_3_1_3__2_TotalNitrogenInEachMMS(D$176,F233)</f>
        <v>468.93940857160464</v>
      </c>
      <c r="G245" s="53" cm="1">
        <f t="array" ref="G245">MMS_Dairy_N2ODirect_Equations.VEERG_4_3_1_3__2_TotalNitrogenInEachMMS(E$176,G233)</f>
        <v>182.35790267782079</v>
      </c>
      <c r="H245" s="53" cm="1">
        <f t="array" ref="H245">MMS_Dairy_N2ODirect_Equations.VEERG_4_3_1_3__2_TotalNitrogenInEachMMS(F$213,H233)</f>
        <v>72.631224123843424</v>
      </c>
      <c r="I245" s="53" cm="1">
        <f t="array" ref="I245">MMS_Dairy_N2ODirect_Equations.VEERG_4_3_1_3__2_TotalNitrogenInEachMMS(G$176,I233)</f>
        <v>229.23109573986844</v>
      </c>
      <c r="J245" s="53" cm="1">
        <f t="array" ref="J245">MMS_Dairy_N2ODirect_Equations.VEERG_4_3_1_3__2_TotalNitrogenInEachMMS(H$213,J233)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MMS_Dairy_N2ODirect_Equations.VEERG_4_3_1_3__2_TotalNitrogenInEachMMS(N$176,P233)</f>
        <v>468.93940857160464</v>
      </c>
      <c r="Q245" s="53" cm="1">
        <f t="array" ref="Q245">MMS_Dairy_N2ODirect_Equations.VEERG_4_3_1_3__2_TotalNitrogenInEachMMS(O$176,Q233)</f>
        <v>182.35790267782079</v>
      </c>
      <c r="R245" s="53" cm="1">
        <f t="array" ref="R245">MMS_Dairy_N2ODirect_Equations.VEERG_4_3_1_3__2_TotalNitrogenInEachMMS(P$213,R233)</f>
        <v>72.631224123843424</v>
      </c>
      <c r="S245" s="53" cm="1">
        <f t="array" ref="S245">MMS_Dairy_N2ODirect_Equations.VEERG_4_3_1_3__2_TotalNitrogenInEachMMS(Q$176,S233)</f>
        <v>229.23109573986844</v>
      </c>
      <c r="T245" s="53" cm="1">
        <f t="array" ref="T245">MMS_Dairy_N2ODirect_Equations.VEERG_4_3_1_3__2_TotalNitrogenInEachMMS(R$213,T233)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MMS_Dairy_N2ODirect_Equations.VEERG_4_3_1_3__2_TotalNitrogenInEachMMS(D$176,F234)</f>
        <v>937.87881714320918</v>
      </c>
      <c r="G246" s="53" cm="1">
        <f t="array" ref="G246">MMS_Dairy_N2ODirect_Equations.VEERG_4_3_1_3__2_TotalNitrogenInEachMMS(E$176,G234)</f>
        <v>364.71580535564152</v>
      </c>
      <c r="H246" s="53" cm="1">
        <f t="array" ref="H246">MMS_Dairy_N2ODirect_Equations.VEERG_4_3_1_3__2_TotalNitrogenInEachMMS(F$213,H234)</f>
        <v>145.26244824768682</v>
      </c>
      <c r="I246" s="53" cm="1">
        <f t="array" ref="I246">MMS_Dairy_N2ODirect_Equations.VEERG_4_3_1_3__2_TotalNitrogenInEachMMS(G$176,I234)</f>
        <v>458.46219147973682</v>
      </c>
      <c r="J246" s="53" cm="1">
        <f t="array" ref="J246">MMS_Dairy_N2ODirect_Equations.VEERG_4_3_1_3__2_TotalNitrogenInEachMMS(H$213,J234)</f>
        <v>191.92571415811079</v>
      </c>
      <c r="N246" s="53" t="str">
        <f>INDEX(X_Table_Dairy_ProductionSystems_Method1,3,1)</f>
        <v>Milking shed</v>
      </c>
      <c r="O246" s="53" t="s">
        <v>400</v>
      </c>
      <c r="P246" s="53" cm="1">
        <f t="array" ref="P246">MMS_Dairy_N2ODirect_Equations.VEERG_4_3_1_3__2_TotalNitrogenInEachMMS(N$176,P234)</f>
        <v>937.87881714320918</v>
      </c>
      <c r="Q246" s="53" cm="1">
        <f t="array" ref="Q246">MMS_Dairy_N2ODirect_Equations.VEERG_4_3_1_3__2_TotalNitrogenInEachMMS(O$176,Q234)</f>
        <v>364.71580535564152</v>
      </c>
      <c r="R246" s="53" cm="1">
        <f t="array" ref="R246">MMS_Dairy_N2ODirect_Equations.VEERG_4_3_1_3__2_TotalNitrogenInEachMMS(P$213,R234)</f>
        <v>145.26244824768682</v>
      </c>
      <c r="S246" s="53" cm="1">
        <f t="array" ref="S246">MMS_Dairy_N2ODirect_Equations.VEERG_4_3_1_3__2_TotalNitrogenInEachMMS(Q$176,S234)</f>
        <v>458.46219147973682</v>
      </c>
      <c r="T246" s="53" cm="1">
        <f t="array" ref="T246">MMS_Dairy_N2ODirect_Equations.VEERG_4_3_1_3__2_TotalNitrogenInEachMMS(R$213,T234)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MMS_Dairy_N2ODirect_Equations.VEERG_4_3_1_3__2_TotalNitrogenInEachMMS(D$176,F235)</f>
        <v>1897.073061948764</v>
      </c>
      <c r="G247" s="53" cm="1">
        <f t="array" ref="G247">MMS_Dairy_N2ODirect_Equations.VEERG_4_3_1_3__2_TotalNitrogenInEachMMS(E$176,G235)</f>
        <v>737.72060628754764</v>
      </c>
      <c r="H247" s="53" cm="1">
        <f t="array" ref="H247">MMS_Dairy_N2ODirect_Equations.VEERG_4_3_1_3__2_TotalNitrogenInEachMMS(F$213,H235)</f>
        <v>293.82631577373019</v>
      </c>
      <c r="I247" s="53" cm="1">
        <f t="array" ref="I247">MMS_Dairy_N2ODirect_Equations.VEERG_4_3_1_3__2_TotalNitrogenInEachMMS(G$176,I235)</f>
        <v>927.34397822037681</v>
      </c>
      <c r="J247" s="53" cm="1">
        <f t="array" ref="J247">MMS_Dairy_N2ODirect_Equations.VEERG_4_3_1_3__2_TotalNitrogenInEachMMS(H$213,J235)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MMS_Dairy_N2ODirect_Equations.VEERG_4_3_1_3__2_TotalNitrogenInEachMMS(N$176,P235)</f>
        <v>1897.073061948764</v>
      </c>
      <c r="Q247" s="53" cm="1">
        <f t="array" ref="Q247">MMS_Dairy_N2ODirect_Equations.VEERG_4_3_1_3__2_TotalNitrogenInEachMMS(O$176,Q235)</f>
        <v>737.72060628754764</v>
      </c>
      <c r="R247" s="53" cm="1">
        <f t="array" ref="R247">MMS_Dairy_N2ODirect_Equations.VEERG_4_3_1_3__2_TotalNitrogenInEachMMS(P$213,R235)</f>
        <v>293.82631577373019</v>
      </c>
      <c r="S247" s="53" cm="1">
        <f t="array" ref="S247">MMS_Dairy_N2ODirect_Equations.VEERG_4_3_1_3__2_TotalNitrogenInEachMMS(Q$176,S235)</f>
        <v>927.34397822037681</v>
      </c>
      <c r="T247" s="53" cm="1">
        <f t="array" ref="T247">MMS_Dairy_N2ODirect_Equations.VEERG_4_3_1_3__2_TotalNitrogenInEachMMS(R$213,T235)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MMS_Dairy_N2ODirect_Equations.VEERG_4_3_1_3__2_TotalNitrogenInEachMMS(D$176,F236)</f>
        <v>1517.6584495590114</v>
      </c>
      <c r="G248" s="53" cm="1">
        <f t="array" ref="G248">MMS_Dairy_N2ODirect_Equations.VEERG_4_3_1_3__2_TotalNitrogenInEachMMS(E$176,G236)</f>
        <v>590.17648503003818</v>
      </c>
      <c r="H248" s="53" cm="1">
        <f t="array" ref="H248">MMS_Dairy_N2ODirect_Equations.VEERG_4_3_1_3__2_TotalNitrogenInEachMMS(F$213,H236)</f>
        <v>235.06105261898415</v>
      </c>
      <c r="I248" s="53" cm="1">
        <f t="array" ref="I248">MMS_Dairy_N2ODirect_Equations.VEERG_4_3_1_3__2_TotalNitrogenInEachMMS(G$176,I236)</f>
        <v>741.87518257630143</v>
      </c>
      <c r="J248" s="53" cm="1">
        <f t="array" ref="J248">MMS_Dairy_N2ODirect_Equations.VEERG_4_3_1_3__2_TotalNitrogenInEachMMS(H$213,J236)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MMS_Dairy_N2ODirect_Equations.VEERG_4_3_1_3__2_TotalNitrogenInEachMMS(N$176,P236)</f>
        <v>1517.6584495590114</v>
      </c>
      <c r="Q248" s="53" cm="1">
        <f t="array" ref="Q248">MMS_Dairy_N2ODirect_Equations.VEERG_4_3_1_3__2_TotalNitrogenInEachMMS(O$176,Q236)</f>
        <v>590.17648503003818</v>
      </c>
      <c r="R248" s="53" cm="1">
        <f t="array" ref="R248">MMS_Dairy_N2ODirect_Equations.VEERG_4_3_1_3__2_TotalNitrogenInEachMMS(P$213,R236)</f>
        <v>235.06105261898415</v>
      </c>
      <c r="S248" s="53" cm="1">
        <f t="array" ref="S248">MMS_Dairy_N2ODirect_Equations.VEERG_4_3_1_3__2_TotalNitrogenInEachMMS(Q$176,S236)</f>
        <v>741.87518257630143</v>
      </c>
      <c r="T248" s="53" cm="1">
        <f t="array" ref="T248">MMS_Dairy_N2ODirect_Equations.VEERG_4_3_1_3__2_TotalNitrogenInEachMMS(R$213,T236)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MMS_Dairy_N2ODirect_Equations.VEERG_4_3_1_3__2_TotalNitrogenInEachMMS(D$176,F237)</f>
        <v>1517.6584495590114</v>
      </c>
      <c r="G249" s="53" cm="1">
        <f t="array" ref="G249">MMS_Dairy_N2ODirect_Equations.VEERG_4_3_1_3__2_TotalNitrogenInEachMMS(E$176,G237)</f>
        <v>590.17648503003818</v>
      </c>
      <c r="H249" s="53" cm="1">
        <f t="array" ref="H249">MMS_Dairy_N2ODirect_Equations.VEERG_4_3_1_3__2_TotalNitrogenInEachMMS(F$213,H237)</f>
        <v>235.06105261898415</v>
      </c>
      <c r="I249" s="53" cm="1">
        <f t="array" ref="I249">MMS_Dairy_N2ODirect_Equations.VEERG_4_3_1_3__2_TotalNitrogenInEachMMS(G$176,I237)</f>
        <v>741.87518257630143</v>
      </c>
      <c r="J249" s="53" cm="1">
        <f t="array" ref="J249">MMS_Dairy_N2ODirect_Equations.VEERG_4_3_1_3__2_TotalNitrogenInEachMMS(H$213,J237)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MMS_Dairy_N2ODirect_Equations.VEERG_4_3_1_3__2_TotalNitrogenInEachMMS(N$176,P237)</f>
        <v>1517.6584495590114</v>
      </c>
      <c r="Q249" s="53" cm="1">
        <f t="array" ref="Q249">MMS_Dairy_N2ODirect_Equations.VEERG_4_3_1_3__2_TotalNitrogenInEachMMS(O$176,Q237)</f>
        <v>590.17648503003818</v>
      </c>
      <c r="R249" s="53" cm="1">
        <f t="array" ref="R249">MMS_Dairy_N2ODirect_Equations.VEERG_4_3_1_3__2_TotalNitrogenInEachMMS(P$213,R237)</f>
        <v>235.06105261898415</v>
      </c>
      <c r="S249" s="53" cm="1">
        <f t="array" ref="S249">MMS_Dairy_N2ODirect_Equations.VEERG_4_3_1_3__2_TotalNitrogenInEachMMS(Q$176,S237)</f>
        <v>741.87518257630143</v>
      </c>
      <c r="T249" s="53" cm="1">
        <f t="array" ref="T249">MMS_Dairy_N2ODirect_Equations.VEERG_4_3_1_3__2_TotalNitrogenInEachMMS(R$213,T237)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MMS_Dairy_N2ODirect_Equations.VEERG_4_3_1_3__2_TotalNitrogenInEachMMS(D$176,F238)</f>
        <v>2655.9022867282697</v>
      </c>
      <c r="G250" s="53" cm="1">
        <f t="array" ref="G250">MMS_Dairy_N2ODirect_Equations.VEERG_4_3_1_3__2_TotalNitrogenInEachMMS(E$176,G238)</f>
        <v>1032.8088488025667</v>
      </c>
      <c r="H250" s="53" cm="1">
        <f t="array" ref="H250">MMS_Dairy_N2ODirect_Equations.VEERG_4_3_1_3__2_TotalNitrogenInEachMMS(F$213,H238)</f>
        <v>411.35684208322226</v>
      </c>
      <c r="I250" s="53" cm="1">
        <f t="array" ref="I250">MMS_Dairy_N2ODirect_Equations.VEERG_4_3_1_3__2_TotalNitrogenInEachMMS(G$176,I238)</f>
        <v>1298.2815695085274</v>
      </c>
      <c r="J250" s="53" cm="1">
        <f t="array" ref="J250">MMS_Dairy_N2ODirect_Equations.VEERG_4_3_1_3__2_TotalNitrogenInEachMMS(H$213,J238)</f>
        <v>543.49872691137739</v>
      </c>
      <c r="N250" s="53" t="str">
        <f>INDEX(X_Table_Dairy_ProductionSystems_Method1,4,1)</f>
        <v>Feed pad</v>
      </c>
      <c r="O250" s="53" t="s">
        <v>400</v>
      </c>
      <c r="P250" s="53" cm="1">
        <f t="array" ref="P250">MMS_Dairy_N2ODirect_Equations.VEERG_4_3_1_3__2_TotalNitrogenInEachMMS(N$176,P238)</f>
        <v>2655.9022867282697</v>
      </c>
      <c r="Q250" s="53" cm="1">
        <f t="array" ref="Q250">MMS_Dairy_N2ODirect_Equations.VEERG_4_3_1_3__2_TotalNitrogenInEachMMS(O$176,Q238)</f>
        <v>1032.8088488025667</v>
      </c>
      <c r="R250" s="53" cm="1">
        <f t="array" ref="R250">MMS_Dairy_N2ODirect_Equations.VEERG_4_3_1_3__2_TotalNitrogenInEachMMS(P$213,R238)</f>
        <v>411.35684208322226</v>
      </c>
      <c r="S250" s="53" cm="1">
        <f t="array" ref="S250">MMS_Dairy_N2ODirect_Equations.VEERG_4_3_1_3__2_TotalNitrogenInEachMMS(Q$176,S238)</f>
        <v>1298.2815695085274</v>
      </c>
      <c r="T250" s="53"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460</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7.3690478489823576E-3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7.3690478489823576E-3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2.0867803681436405E-2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2.0867803681436405E-2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6.3172161253287021E-2</v>
      </c>
      <c r="F287" s="106" t="str">
        <f>$E$260</f>
        <v>t N2O</v>
      </c>
      <c r="N287" s="104" t="s">
        <v>117</v>
      </c>
      <c r="O287" s="105">
        <f>SUM(P278:T285)</f>
        <v>6.3172161253287021E-2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$E$287</f>
        <v>6.3172161253287021E-2</v>
      </c>
      <c r="N289" s="58" t="str" cm="1">
        <f t="array" ref="N289:O290">Common_Equations.Common_ConvertN2OToCO2e_Arguments()</f>
        <v>EN2O</v>
      </c>
      <c r="O289" s="59" t="str">
        <v>Nitrous oxide emissions (t N2O)</v>
      </c>
      <c r="P289" s="107"/>
      <c r="Q289" s="53">
        <f>O287</f>
        <v>6.3172161253287021E-2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16.740622732121061</v>
      </c>
      <c r="F292" s="108" t="str" cm="1">
        <f t="array" ref="F292">Common_Equations.Common_ConvertN2OToCO2e_Unit()</f>
        <v>t CO2e</v>
      </c>
      <c r="N292" s="46" t="s">
        <v>104</v>
      </c>
      <c r="O292" s="46" cm="1">
        <f t="array" ref="O292">Common_Equations.Common_ConvertN2OToCO2e(Q289,Q290)</f>
        <v>16.740622732121061</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48"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468.93940857160464</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468.93940857160464</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468.93940857160464</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468.93940857160464</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468.93940857160464</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468.93940857160464</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937.87881714320918</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937.87881714320918</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1897.073061948764</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1897.073061948764</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1517.6584495590114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1517.6584495590114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1517.6584495590114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1517.6584495590114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2655.9022867282697</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2655.9022867282697</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164.12879300006162</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164.12879300006162</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32.825758600012328</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32.825758600012328</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93.787881714320932</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93.787881714320932</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281.36364514296275</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281.36364514296275</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663.97557168206731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663.97557168206731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106.23609146913081</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106.23609146913081</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303.53168991180229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303.53168991180229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796.77068601848089</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796.77068601848089</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5464.6882914498228</v>
      </c>
      <c r="F49" s="108" t="str">
        <f>$E$11</f>
        <v>kg N</v>
      </c>
      <c r="O49" s="114" t="s">
        <v>375</v>
      </c>
      <c r="P49" s="46">
        <f>SUM(Q40:U47)</f>
        <v>5464.6882914498228</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cm="1">
        <f t="array" aca="1" ref="E55" ca="1">Common_InputFunctions.Utility_DisplayFunctionName($E$68)</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5464.6882914498228</v>
      </c>
      <c r="O61" s="58" t="str">
        <f>D61</f>
        <v>MN_ATMOS</v>
      </c>
      <c r="P61" s="59" t="str">
        <f>E61</f>
        <v>mass of N volatilised from MMS</v>
      </c>
      <c r="Q61" s="60"/>
      <c r="R61" s="58">
        <f>$P$49</f>
        <v>5464.6882914498228</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5.0665467159299066E-2</v>
      </c>
      <c r="F68" s="106" t="str">
        <f>$E$59</f>
        <v>t N2O</v>
      </c>
      <c r="O68" s="104" t="s">
        <v>320</v>
      </c>
      <c r="P68" s="105" cm="1">
        <f t="array" ref="P68">MMS_Dairy_AtmosphericDeposition_Equations.VEERG_4_3_1_5__1_AnnualAtmosphericDepositionEmissionsFromMMS($R$61,$I$62,$I$63)</f>
        <v>5.0665467159299066E-2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$E$68</f>
        <v>5.0665467159299066E-2</v>
      </c>
      <c r="O70" s="58" t="str" cm="1">
        <f t="array" ref="O70:P71">Common_Equations.Common_ConvertN2OToCO2e_Arguments()</f>
        <v>EN2O</v>
      </c>
      <c r="P70" s="59" t="str">
        <v>Nitrous oxide emissions (t N2O)</v>
      </c>
      <c r="Q70" s="107"/>
      <c r="R70" s="53">
        <f>P68</f>
        <v>5.0665467159299066E-2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13.426348797214253</v>
      </c>
      <c r="F73" s="108" t="str" cm="1">
        <f t="array" ref="F73">Common_Equations.Common_ConvertN2OToCO2e_Unit()</f>
        <v>t CO2e</v>
      </c>
      <c r="O73" s="46" t="s">
        <v>104</v>
      </c>
      <c r="P73" s="46" cm="1">
        <f t="array" ref="P73">Common_Equations.Common_ConvertN2OToCO2e(R70,R71)</f>
        <v>13.426348797214253</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Common_InputFunctions.CommonCropping_GetFracWET(J16,J18,#REF!,#REF!,Table_SourceData_FracWETIrrigation[Irrigation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937.87881714320918</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937.87881714320918</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2655.9022867282697</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2655.9022867282697</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18.757576342864184</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18.757576342864184</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53.118045734565392</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53.118045734565392</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3.2423810535522375E-4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3.2423810535522375E-4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9.1818336198320159E-4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9.1818336198320159E-4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2.779575095144629E-3</v>
      </c>
      <c r="F52" s="106" t="str">
        <f>$E$40</f>
        <v>t N2O</v>
      </c>
      <c r="O52" s="104" t="s">
        <v>320</v>
      </c>
      <c r="P52" s="105">
        <f>SUM(Q49:U50)</f>
        <v>2.779575095144629E-3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E$52</f>
        <v>2.779575095144629E-3</v>
      </c>
      <c r="O54" s="58" t="str" cm="1">
        <f t="array" ref="O54:P55">Common_Equations.Common_ConvertN2OToCO2e_Arguments()</f>
        <v>EN2O</v>
      </c>
      <c r="P54" s="59" t="str">
        <v>Nitrous oxide emissions (t N2O)</v>
      </c>
      <c r="Q54" s="107"/>
      <c r="R54" s="53">
        <f>P$52</f>
        <v>2.779575095144629E-3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0.73658740021332669</v>
      </c>
      <c r="F57" s="108" t="str" cm="1">
        <f t="array" ref="F57">Common_Equations.Common_ConvertN2OToCO2e_Unit()</f>
        <v>t CO2e</v>
      </c>
      <c r="O57" s="46" t="s">
        <v>104</v>
      </c>
      <c r="P57" s="46" cm="1">
        <f t="array" ref="P57">Common_Equations.Common_ConvertN2OToCO2e(R54,R55)</f>
        <v>0.73658740021332669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468.93940857160464</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468.93940857160464</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468.93940857160464</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468.93940857160464</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468.93940857160464</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468.93940857160464</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937.87881714320918</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937.87881714320918</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1897.073061948764</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1897.073061948764</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1517.6584495590114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1517.6584495590114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1517.6584495590114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1517.6584495590114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2655.9022867282697</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2655.9022867282697</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18.757576342864184</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18.757576342864184</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53.118045734565392</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53.118045734565392</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228.60796167865729</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228.60796167865729</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327.08523747869424</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327.08523747869424</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281.36364514296281</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281.36364514296281</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474.80115117874976</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474.80115117874976</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924.82311770002252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924.82311770002252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1058.5667685674102</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1058.5667685674102</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910.59506973540692</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910.59506973540692</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1344.5505326561865</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1344.5505326561865</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12417.473379475077</v>
      </c>
      <c r="F85" s="106" t="str">
        <f>$E$11</f>
        <v>kg N</v>
      </c>
      <c r="O85" s="104" t="s">
        <v>127</v>
      </c>
      <c r="P85" s="105">
        <f ca="1">SUM(Q76:U83)</f>
        <v>12417.473379475077</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76.202653892885763</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76.202653892885763</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109.02841249289807</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109.02841249289807</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93.787881714320932</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93.787881714320932</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158.26705039291659</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158.26705039291659</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308.27437256667417</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308.27437256667417</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352.8555895224701</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352.8555895224701</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303.53168991180229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303.53168991180229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448.18351088539555</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448.18351088539555</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4139.1577931583588</v>
      </c>
      <c r="F115" s="106" t="str">
        <f>$E$11</f>
        <v>kg N</v>
      </c>
      <c r="O115" s="104" t="s">
        <v>343</v>
      </c>
      <c r="P115" s="105">
        <f ca="1">SUM(Q106:U113)</f>
        <v>4139.1577931583588</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76.202653892885763</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76.202653892885763</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109.02841249289807</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109.02841249289807</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93.787881714320932</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93.787881714320932</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158.26705039291659</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158.26705039291659</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308.27437256667417</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308.27437256667417</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352.8555895224701</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352.8555895224701</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303.53168991180229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303.53168991180229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448.18351088539555</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448.18351088539555</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4139.1577931583588</v>
      </c>
      <c r="F148" s="106" t="str">
        <f>$E$95</f>
        <v>kg N</v>
      </c>
      <c r="O148" s="104" t="s">
        <v>134</v>
      </c>
      <c r="P148" s="105">
        <f>SUM(Q139:U146)</f>
        <v>4139.1577931583588</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462</v>
      </c>
    </row>
    <row r="17" spans="1:22" ht="20.100000000000001" customHeight="1" x14ac:dyDescent="0.25">
      <c r="A17" s="17" t="str">
        <f>HYPERLINK("#'4.3.1.6-7 Leaching and runoff'!A1", "4.3.1.6-7 Leaching and runoff")</f>
        <v>4.3.1.6-7 Leaching and runoff</v>
      </c>
      <c r="D17" s="99" t="s">
        <v>351</v>
      </c>
      <c r="O17" s="99" t="s">
        <v>461</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21315.427662345664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21315.427662345664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Livestock'!$E$27</f>
        <v>Pasture range and paddock</v>
      </c>
      <c r="F31" s="53" cm="1">
        <f t="array" ref="F31">MMS_Dairy_N2ODirect_Equations.VEERG_4_3_1_3__2_TotalNitrogenInEachMMS(D19,F25)</f>
        <v>11382.438371692586</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Livestock'!$E$27</f>
        <v>Pasture range and paddock</v>
      </c>
      <c r="Q31" s="53" cm="1">
        <f t="array" ref="Q31">MMS_Dairy_N2ODirect_Equations.VEERG_4_3_1_3__2_TotalNitrogenInEachMMS(O19,Q25)</f>
        <v>11382.438371692586</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Livestock'!$E$27</f>
        <v>Pasture range and paddock</v>
      </c>
      <c r="F51" s="53" cm="1">
        <f t="array" ref="F51">MMS_Dairy_Soil_N2ODirect_Equations.VEERG_4_3_1_9__1_DirectNitrousOxideEmissionsOnPasture(F31,$J$44,$J$45)</f>
        <v>3.5773377739605275E-2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Livestock'!$E$27</f>
        <v>Pasture range and paddock</v>
      </c>
      <c r="Q51" s="53" cm="1">
        <f t="array" ref="Q51">MMS_Dairy_Soil_N2ODirect_Equations.VEERG_4_3_1_9__1_DirectNitrousOxideEmissionsOnPasture(Q31,$J$44,$J$45)</f>
        <v>3.5773377739605275E-2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8.0033058384947273E-2</v>
      </c>
      <c r="F53" s="106" t="str">
        <f>$E$41</f>
        <v>t N2O</v>
      </c>
      <c r="O53" s="104" t="s">
        <v>117</v>
      </c>
      <c r="P53" s="105">
        <f>SUM(Q51:U51)</f>
        <v>8.0033058384947273E-2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E53</f>
        <v>8.0033058384947273E-2</v>
      </c>
      <c r="O55" s="58" t="str" cm="1">
        <f t="array" ref="O55:P56">Common_Equations.Common_ConvertN2OToCO2e_Arguments()</f>
        <v>EN2O</v>
      </c>
      <c r="P55" s="59" t="str">
        <v>Nitrous oxide emissions (t N2O)</v>
      </c>
      <c r="Q55" s="107"/>
      <c r="R55" s="53">
        <f>P53</f>
        <v>8.0033058384947273E-2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21.208760472011026</v>
      </c>
      <c r="F58" s="108" t="str" cm="1">
        <f t="array" ref="F58">Common_Equations.Common_ConvertN2OToCO2e_Unit()</f>
        <v>t CO2e</v>
      </c>
      <c r="O58" s="46" t="s">
        <v>104</v>
      </c>
      <c r="P58" s="46" cm="1">
        <f t="array" ref="P58">Common_Equations.Common_ConvertN2OToCO2e(R55,R56)</f>
        <v>21.208760472011026</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Livestock'!$E$27</f>
        <v>Pasture range and paddock</v>
      </c>
      <c r="F19" s="53">
        <f>INDEX(M1_Table_MN_j_m14,2,3)</f>
        <v>11382.438371692586</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Livestock'!$E$27</f>
        <v>Pasture range and paddock</v>
      </c>
      <c r="Q19" s="53">
        <f>INDEX(M2_Table_MN_j_m14,2,3)</f>
        <v>11382.438371692586</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Livestock'!$E$27</f>
        <v>Pasture range and paddock</v>
      </c>
      <c r="F24" s="53" cm="1">
        <f t="array" ref="F24">MMS_Dairy_Soil_AtmosphericDeposition_Equations.VEERG_4_3_1_10__2_MassOfNitrogenVolatilisedOnPasture(F19,$I$14)</f>
        <v>2390.3120580554428</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Livestock'!$E$27</f>
        <v>Pasture range and paddock</v>
      </c>
      <c r="Q24" s="53" cm="1">
        <f t="array" ref="Q24">MMS_Dairy_Soil_AtmosphericDeposition_Equations.VEERG_4_3_1_10__2_MassOfNitrogenVolatilisedOnPasture(Q19,$I$14)</f>
        <v>2390.3120580554428</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5347.6634466305668</v>
      </c>
      <c r="F26" s="108" t="str">
        <f>$E$11</f>
        <v>kg N</v>
      </c>
      <c r="O26" s="114" t="s">
        <v>374</v>
      </c>
      <c r="P26" s="46">
        <f>SUM(Q24:U24)</f>
        <v>5347.6634466305668</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5347.6634466305668</v>
      </c>
      <c r="O38" s="58" t="str">
        <f>D38</f>
        <v>M_vol_m14</v>
      </c>
      <c r="P38" s="58" t="str">
        <f>E38</f>
        <v>mass of nitrogen volatilised from urine and faeces deposited on pasture</v>
      </c>
      <c r="Q38" s="59"/>
      <c r="R38" s="60"/>
      <c r="S38" s="58">
        <f>$P$26</f>
        <v>5347.6634466305668</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4.958047966947482E-2</v>
      </c>
      <c r="F45" s="106" t="str">
        <f>$E$36</f>
        <v>t N2O</v>
      </c>
      <c r="O45" s="104" t="s">
        <v>149</v>
      </c>
      <c r="P45" s="105" cm="1">
        <f t="array" ref="P45">MMS_Dairy_Soil_AtmosphericDeposition_Equations.VEERG_4_3_1_10__1_AtmosphericDepositionEmissionsFromUrineAndDungOnPasture($S$38,$I$39,$I$40)</f>
        <v>4.958047966947482E-2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E45</f>
        <v>4.958047966947482E-2</v>
      </c>
      <c r="O47" s="58" t="str" cm="1">
        <f t="array" ref="O47:P48">Common_Equations.Common_ConvertN2OToCO2e_Arguments()</f>
        <v>EN2O</v>
      </c>
      <c r="P47" s="59" t="str">
        <v>Nitrous oxide emissions (t N2O)</v>
      </c>
      <c r="Q47" s="107"/>
      <c r="R47" s="53">
        <f>P45</f>
        <v>4.958047966947482E-2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13.138827112410826</v>
      </c>
      <c r="F50" s="108" t="str" cm="1">
        <f t="array" ref="F50">Common_Equations.Common_ConvertN2OToCO2e_Unit()</f>
        <v>t CO2e</v>
      </c>
      <c r="O50" s="46" t="s">
        <v>104</v>
      </c>
      <c r="P50" s="46" cm="1">
        <f t="array" ref="P50">Common_Equations.Common_ConvertN2OToCO2e(R47,R48)</f>
        <v>13.138827112410826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Common_InputFunctions.CommonCropping_GetFracWET(I16,I18,#REF!,#REF!,Table_SourceData_FracWETIrrigation[Irrigation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Livestock'!$E$27</f>
        <v>Pasture range and paddock</v>
      </c>
      <c r="F23" s="53">
        <f>INDEX(M1_Table_MN_j_m14,2,3)</f>
        <v>11382.438371692586</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Livestock'!$E$27</f>
        <v>Pasture range and paddock</v>
      </c>
      <c r="Q23" s="53">
        <f>INDEX(M2_Table_MN_j_m14,2,3)</f>
        <v>11382.438371692586</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Livestock'!$E$27</f>
        <v>Pasture range and paddock</v>
      </c>
      <c r="F28" s="53" cm="1">
        <f t="array" ref="F28">MMS_Dairy_Soil_LeachingAndRunoff.VEERG_4_3_1_12__2_MassOfNitrogenLostToLeachingAndRunoffOnPasture(F23,$I$14,$I$15)</f>
        <v>2731.7852092062203</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Livestock'!$E$27</f>
        <v>Pasture range and paddock</v>
      </c>
      <c r="Q28" s="53" cm="1">
        <f t="array" ref="Q28">MMS_Dairy_Soil_LeachingAndRunoff.VEERG_4_3_1_12__2_MassOfNitrogenLostToLeachingAndRunoffOnPasture(Q23,$I$14,$I$15)</f>
        <v>2731.7852092062203</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6111.6153675777914</v>
      </c>
      <c r="F30" s="108" t="str">
        <f>$E$11</f>
        <v>kg N</v>
      </c>
      <c r="O30" s="114" t="s">
        <v>373</v>
      </c>
      <c r="P30" s="46">
        <f>SUM(Q28:U28)</f>
        <v>6111.6153675777914</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6111.6153675777914</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6111.6153675777914</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0.10564363706813039</v>
      </c>
      <c r="F47" s="106" t="str">
        <f>$E$41</f>
        <v>t N2O</v>
      </c>
      <c r="O47" s="104" t="s">
        <v>372</v>
      </c>
      <c r="P47" s="105" cm="1">
        <f t="array" ref="P47">MMS_Dairy_Soil_LeachingAndRunoff.VEERG_4_3_1_12__1_LeachingAndRunoffEmissionsFromUrineAndDungOnPasture($U$43,$J$44,$J$45)</f>
        <v>0.10564363706813039</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E47</f>
        <v>0.10564363706813039</v>
      </c>
      <c r="O49" s="58" t="str" cm="1">
        <f t="array" ref="O49:P50">Common_Equations.Common_ConvertN2OToCO2e_Arguments()</f>
        <v>EN2O</v>
      </c>
      <c r="P49" s="59" t="str">
        <v>Nitrous oxide emissions (t N2O)</v>
      </c>
      <c r="Q49" s="107"/>
      <c r="R49" s="53">
        <f>P47</f>
        <v>0.10564363706813039</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27.995563823054553</v>
      </c>
      <c r="F52" s="108" t="str" cm="1">
        <f t="array" ref="F52">Common_Equations.Common_ConvertN2OToCO2e_Unit()</f>
        <v>t CO2e</v>
      </c>
      <c r="O52" s="46" t="s">
        <v>104</v>
      </c>
      <c r="P52" s="46" cm="1">
        <f t="array" ref="P52">Common_Equations.Common_ConvertN2OToCO2e(R49,R50)</f>
        <v>27.995563823054553</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M5" s="1"/>
    </row>
    <row r="6" spans="1:21" ht="20.100000000000001" customHeight="1" x14ac:dyDescent="0.25">
      <c r="M6" s="1"/>
    </row>
    <row r="7" spans="1:21" ht="20.100000000000001" customHeight="1" x14ac:dyDescent="0.25">
      <c r="D7" s="98" t="s">
        <v>66</v>
      </c>
      <c r="E7" s="38" t="s">
        <v>77</v>
      </c>
      <c r="G7" s="38" t="s">
        <v>142</v>
      </c>
      <c r="J7" s="38" t="s">
        <v>140</v>
      </c>
      <c r="M7" s="1"/>
    </row>
    <row r="8" spans="1:21" ht="20.100000000000001" customHeight="1" x14ac:dyDescent="0.25">
      <c r="A8" s="19" t="s">
        <v>0</v>
      </c>
      <c r="D8" s="38" t="str">
        <f>'Constants - Livestock'!$E$10</f>
        <v>Anaerobic lagoon</v>
      </c>
      <c r="E8" s="38" t="str">
        <f>'Constants - Livestock'!$F$10</f>
        <v>Anaerobic lagoon (m=1)</v>
      </c>
      <c r="G8" s="38" t="str">
        <f>'Constants - Common'!$F$187</f>
        <v>Pasture</v>
      </c>
      <c r="J8" s="38" t="s">
        <v>144</v>
      </c>
      <c r="M8" s="1"/>
    </row>
    <row r="9" spans="1:21" ht="20.100000000000001" customHeight="1" x14ac:dyDescent="0.25">
      <c r="A9" s="17" t="str">
        <f>HYPERLINK("#'Input - Site'!A1", "Site")</f>
        <v>Site</v>
      </c>
      <c r="D9" s="38" t="str">
        <f>'Constants - Livestock'!$E$13</f>
        <v>Sump and dispersal system</v>
      </c>
      <c r="E9" s="38" t="str">
        <f>'Constants - Livestock'!$F$13</f>
        <v>Sump and dispersal system (m=3a)</v>
      </c>
      <c r="G9" s="1" t="str">
        <f>'Constants - Common'!$F$188</f>
        <v>Crop</v>
      </c>
      <c r="J9" s="38" t="s">
        <v>145</v>
      </c>
      <c r="M9" s="1"/>
    </row>
    <row r="10" spans="1:21" ht="20.100000000000001" customHeight="1" x14ac:dyDescent="0.25">
      <c r="A10" s="17" t="str">
        <f>HYPERLINK("#'Input - Dairy'!A1", "Dairy")</f>
        <v>Dairy</v>
      </c>
      <c r="D10" s="38" t="str">
        <f>'Constants - Livestock'!$E$14</f>
        <v>Drains to paddock</v>
      </c>
      <c r="E10" s="38" t="str">
        <f>'Constants - Livestock'!$F$14</f>
        <v>Drains to paddock (m=3b)</v>
      </c>
      <c r="J10" s="1" t="s">
        <v>146</v>
      </c>
      <c r="M10" s="1"/>
    </row>
    <row r="11" spans="1:21" ht="20.100000000000001" customHeight="1" x14ac:dyDescent="0.25">
      <c r="D11" s="38" t="str">
        <f>'Constants - Livestock'!$E$15</f>
        <v>Solid storage</v>
      </c>
      <c r="E11" s="38" t="str">
        <f>'Constants - Livestock'!$F$15</f>
        <v>Solid storage (m=4)</v>
      </c>
      <c r="J11" s="1" t="s">
        <v>147</v>
      </c>
      <c r="M11" s="1"/>
    </row>
    <row r="12" spans="1:21" ht="20.100000000000001" customHeight="1" x14ac:dyDescent="0.25">
      <c r="J12" s="1" t="s">
        <v>148</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D9BD9-2D5E-442D-A6F0-C7282DA04AC5}">
  <dimension ref="A1:BY259"/>
  <sheetViews>
    <sheetView showGridLines="0" tabSelected="1" topLeftCell="A86" zoomScaleNormal="100" workbookViewId="0">
      <selection activeCell="A28" sqref="A2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7"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20</v>
      </c>
      <c r="E6" s="38" t="s">
        <v>21</v>
      </c>
      <c r="F6" s="38" t="s">
        <v>22</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Dairy'!A1", "Dairy")</f>
        <v>Dairy</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73</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HYPERLINK("#'4.3.1.1-2 Methane'!A1", "4.3.1.1-2 Methane")</f>
        <v>4.3.1.1-2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HYPERLINK("#'4.3.1.3-4 Direct N20'!A1", "4.3.1.3-4 Direct N20")</f>
        <v>4.3.1.3-4 Direct N20</v>
      </c>
    </row>
    <row r="16" spans="1:65" ht="20.100000000000001" customHeight="1" x14ac:dyDescent="0.25">
      <c r="A16" s="17" t="str">
        <f>HYPERLINK("#'4.3.1.5 Atmos deposition'!A1", "4.3.1.5 Atmos deposition")</f>
        <v>4.3.1.5 Atmos deposition</v>
      </c>
    </row>
    <row r="17" spans="1:4" ht="20.100000000000001" customHeight="1" x14ac:dyDescent="0.25">
      <c r="A17" s="17" t="str">
        <f>HYPERLINK("#'4.3.1.6-7 Leaching and runoff'!A1", "4.3.1.6-7 Leaching and runoff")</f>
        <v>4.3.1.6-7 Leaching and runoff</v>
      </c>
    </row>
    <row r="18" spans="1:4" ht="20.100000000000001" customHeight="1" x14ac:dyDescent="0.25">
      <c r="A18" s="17" t="str">
        <f>HYPERLINK("#'4.3.1.8 Manure applied to soils'!A1", "4.3.1.8 Manure applied to soils")</f>
        <v>4.3.1.8 Manure applied to soils</v>
      </c>
      <c r="D18" s="6" t="str" cm="1">
        <f t="array" ref="D18">Common_SourceData.Common_SourceData_WASA4Areas_Title()</f>
        <v>ABS Statistcal Areas Level 4 - Western Australia</v>
      </c>
    </row>
    <row r="19" spans="1:4" ht="20.100000000000001" customHeight="1" x14ac:dyDescent="0.25">
      <c r="A19" s="17" t="str">
        <f>HYPERLINK("#'4.3.1.9 Soil direct N2O'!A1", "4.3.1.9 Soil direct N2O")</f>
        <v>4.3.1.9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HYPERLINK("#'4.3.1.10-11 Soil Atmos Dep'!A1", "4.3.1.10-11 Soil Atmos Dep")</f>
        <v>4.3.1.10-11 Soil Atmos Dep</v>
      </c>
      <c r="D20" s="38" t="s">
        <v>23</v>
      </c>
    </row>
    <row r="21" spans="1:4" ht="20.100000000000001" customHeight="1" x14ac:dyDescent="0.25">
      <c r="A21" s="17" t="str">
        <f>HYPERLINK("#'4.3.1.12-13 Soil leach runoff'!A1", "4.3.1.12-13 Soil leach runoff")</f>
        <v>4.3.1.12-13 Soil leach runoff</v>
      </c>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s="154" t="s">
        <v>1</v>
      </c>
      <c r="D24" s="38"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Dairy'!A1", "Constants - Dairy")</f>
        <v>Constants - Dairy</v>
      </c>
      <c r="D25" s="38" t="str" cm="1">
        <f t="array" ref="D25">Common_InputFunctions.Utility_DisplayArrayInTable(Common_SourceData.Common_SourceData_WASA4Areas_Data(), Table_WASA4Areas[[#Headers],[SA 4 Name]], 0)</f>
        <v>Perth - North West</v>
      </c>
    </row>
    <row r="26" spans="1:4" ht="20.100000000000001" customHeight="1" x14ac:dyDescent="0.25">
      <c r="A26" s="68" t="str">
        <f>HYPERLINK("#'Constants - Common'!A1", "Constants - Common")</f>
        <v>Constants - Common</v>
      </c>
      <c r="D26" s="38"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8" t="str" cm="1">
        <f t="array" ref="D27">Common_InputFunctions.Utility_DisplayArrayInTable(Common_SourceData.Common_SourceData_WASA4Areas_Data(), Table_WASA4Areas[[#Headers],[SA 4 Name]], 0)</f>
        <v>Perth - South West</v>
      </c>
    </row>
    <row r="28" spans="1:4" ht="20.100000000000001" customHeight="1" x14ac:dyDescent="0.25">
      <c r="A28" s="17" t="str">
        <f>HYPERLINK("#'Acknowledgements'!A1", "Acknowledgements")</f>
        <v>Acknowledgements</v>
      </c>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s="17" t="str">
        <f>HYPERLINK("#'Tab template'!A1", "Tab template")</f>
        <v>Tab template</v>
      </c>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8" t="s">
        <v>463</v>
      </c>
      <c r="E257" s="38" t="s">
        <v>464</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68"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UwBvAGwAaQBkAFMAdABvAHIAYQBnAGUAXwBUAGkAdABsAGUAIgAsACIAUwBvAHUAcgBjAGUARABhAHQAYQBfAEQAYQBpAHIAeQAuAFMAbwB1AHIAYwBlAEQAYQB0AGEAXwBEAGEAaQByAHkAXwBGAHIAYQBjAHQAaQBvAG4ATwBmAE4AaQB0AHIAbwBnAGUAbgBMAG8AcwB0AFQAaAByAG8AdQBnAGgATABlAGEAYwBoAGkAbgBnAEEAbgBkAFIAdQBuAG8AZgBmAFMAbwBsAGkAZABTAHQAbwByAGEAZwBlAF8AVgBhAHIAaQBhAGIAbABlACIALAAiAFMAbwB1AHIAYwBlAEQAYQB0AGEAXwBEAGEAaQByAHkALgBTAG8AdQByAGMAZQBEAGEAdABhAF8ARABhAGkAcgB5AF8ARgByAGEAYwB0AGkAbwBuAE8AZgBOAGkAdAByAG8AZwBlAG4ATABvAHMAdABUAGgAcgBvAHUAZwBoAEwAZQBhAGMAaABpAG4AZwBBAG4AZABSAHUAbgBvAGYAZgBTAG8AbABpAGQAUwB0AG8AcgBhAGcAZQBfAFUAbgBpAHQAIgAsACIAUwBvAHUAcgBjAGUARABhAHQAYQBfAEQAYQBpAHIAeQAuAFMAbwB1AHIAYwBlAEQAYQB0AGEAXwBEAGEAaQByAHkAXwBGAHIAYQBjAHQAaQBvAG4ATwBmAE4AaQB0AHIAbwBnAGUAbgBMAG8AcwB0AFQAaAByAG8AdQBnAGgATABlAGEAYwBoAGkAbgBnAEEAbgBkAFIAdQBuAG8AZgBmAFMAbwBsAGkAZABTAHQAbwByAGEAZwBlAF8AUwBvAHUAcgBjAGUAIgAsACIAUwBvAHUAcgBjAGUARABhAHQAYQBfAEQAYQBpAHIAeQAuAFMAbwB1AHIAYwBlAEQAYQB0AGEAXwBEAGEAaQByAHkAXwBGAHIAYQBjAHQAaQBvAG4ATwBmAE4AaQB0AHIAbwBnAGUAbgBMAG8AcwB0AFQAaAByAG8AdQBnAGgATABlAGEAYwBoAGkAbgBnAEEAbgBkAFIAdQBuAG8AZgBmAFMAbwBsAGkAZABTAHQAbwByAGEAZwBlAF8AVgBhAHIAaQBhAHQAaQBvAG4AIgAsACIAUwBvAHUAcgBjAGUARABhAHQAYQBfAEQAYQBpAHIAeQAuAFMAbwB1AHIAYwBlAEQAYQB0AGEAXwBEAGEAaQByAHkAXwBGAHIAYQBjAHQAaQBvAG4ATwBmAE4AaQB0AHIAbwBnAGUAbgBMAG8AcwB0AFQAaAByAG8AdQBnAGgATABlAGEAYwBoAGkAbgBnAEEAbgBkAFIAdQBuAG8AZgBmAFMAbwBsAGkAZABTAHQAbwByAGEAZwBl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0AZQB0AGgAYQBuAGUAXwBFAHEAdQBhAHQAaQBvAG4AcwAuAFYARQBFAFIARwBfADQAXwAzAF8AMQBfADEAXwBfADEAXwBUAG8AdABhAGwAQQBuAG4AdQBhAGwATQBlAHQAaABhAG4AZQBGAHIAbwBtAE0AYQBuAHUAcgBlAE0AYQBuAGEAZwBlAG0AZQBuAHQAIgAsACIATQBNAFMAXwBEAGEAaQByAHkAXwBNAGUAdABoAGEAbgBlAF8ARQBxAHUAYQB0AGkAbwBuAHMALgBWAEUARQBSAEcAXwA0AF8AMwBfADEAXwAxAF8AXwAxAF8AVABvAHQAYQBsAEEAbgBuAHUAYQBsAE0AZQB0AGgAYQBuAGUARgByAG8AbQBNAGEAbgB1AHIAZQBNAGEAbgBhAGcAZQBtAGUAbgB0AFYAYQByAGkAYQB0AGkAbwBuACIALAAiAE0ATQBTAF8ARABhAGkAcgB5AF8ATQBlAHQAaABhAG4AZQBfAEUAcQB1AGEAdABpAG8AbgBzAC4AVgBFAEUAUgBHAF8ANABfADMAXwAxAF8AMQBfAF8AMQBfAFQAbwB0AGEAbABBAG4AbgB1AGEAbABNAGUAdABoAGEAbgBlAEYAcgBvAG0ATQBhAG4AdQByAGUATQBhAG4AYQBnAGUAbQBlAG4AdABfAFQAaQB0AGwAZQAiACwAIgBNAE0AUwBfAEQAYQBpAHIAeQBfAE0AZQB0AGgAYQBuAGUAXwBFAHEAdQBhAHQAaQBvAG4AcwAuAFYARQBFAFIARwBfADQAXwAzAF8AMQBfADEAXwBfADEAXwBUAG8AdABhAGwAQQBuAG4AdQBhAGwATQBlAHQAaABhAG4AZQBGAHIAbwBtAE0AYQBuAHUAcgBlAE0AYQBuAGEAZwBlAG0AZQBuAHQAXwBWAGEAcgBpAGEAYgBsAGUAIgAsACIATQBNAFMAXwBEAGEAaQByAHkAXwBNAGUAdABoAGEAbgBlAF8ARQBxAHUAYQB0AGkAbwBuAHMALgBWAEUARQBSAEcAXwA0AF8AMwBfADEAXwAxAF8AXwAxAF8AVABvAHQAYQBsAEEAbgBuAHUAYQBsAE0AZQB0AGgAYQBuAGUARgByAG8AbQBNAGEAbgB1AHIAZQBNAGEAbgBhAGcAZQBtAGUAbgB0AF8AVQBuAGkAdAAiACwAIgBNAE0AUwBfAEQAYQBpAHIAeQBfAE0AZQB0AGgAYQBuAGUAXwBFAHEAdQBhAHQAaQBvAG4AcwAuAFYARQBFAFIARwBfADQAXwAzAF8AMQBfADEAXwBfADEAXwBUAG8AdABhAGwAQQBuAG4AdQBhAGwATQBlAHQAaABhAG4AZQBGAHIAbwBtAE0AYQBuAHUAcgBlAE0AYQBuAGEAZwBlAG0AZQBuAHQAXwBTAG8AdQByAGMAZQAiACwAIgBNAE0AUwBfAEQAYQBpAHIAeQBfAE0AZQB0AGgAYQBuAGUAXwBFAHEAdQBhAHQAaQBvAG4AcwAuAFYARQBFAFIARwBfADQAXwAzAF8AMQBfADEAXwBfADEAXwBUAG8AdABhAGwAQQBuAG4AdQBhAGwATQBlAHQAaABhAG4AZQBGAHIAbwBtAE0AYQBuAHUAcgBlAE0AYQBuAGEAZwBlAG0AZQBuAHQAXwBOAEkAUgBSAGUAZgBlAHIAZQBuAGMAZQAiACwAIgBNAE0AUwBfAEQAYQBpAHIAeQBfAE0AZQB0AGgAYQBuAGUAXwBFAHEAdQBhAHQAaQBvAG4AcwAuAFYARQBFAFIARwBfADQAXwAzAF8AMQBfADEAXwBfADEAXwBUAG8AdABhAGwAQQBuAG4AdQBhAGwATQBlAHQAaABhAG4AZQBGAHIAbwBtAE0AYQBuAHUAcgBlAE0AYQBuAGEAZwBlAG0AZQBuAHQAXwBMAGEAdABlAHgARQBxAHUAYQB0AGkAbwBuACIALAAiAE0ATQBTAF8ARABhAGkAcgB5AF8ATQBlAHQAaABhAG4AZQBfAEUAcQB1AGEAdABpAG8AbgBzAC4AVgBFAEUAUgBHAF8ANABfADMAXwAxAF8AMQBfAF8AMQBfAFQAbwB0AGEAbABBAG4AbgB1AGEAbABNAGUAdABoAGEAbgBlAEYAcgBvAG0ATQBhAG4AdQByAGUATQBhAG4AYQBnAGUAbQBlAG4AdABfAEwAYQB0AGUAeABFAHEAdQBhAHQAaQBvAG4AVgBhAHIAaQBhAHQAaQBvAG4AIgAsACIATQBNAFMAXwBEAGEAaQByAHkAXwBNAGUAdABoAGEAbgBlAF8ARQBxAHUAYQB0AGkAbwBuAHMALgBWAEUARQBSAEcAXwA0AF8AMwBfADEAXwAxAF8AXwAxAF8AVABvAHQAYQBsAEEAbgBuAHUAYQBsAE0AZQB0AGgAYQBuAGUARgByAG8AbQBNAGEAbgB1AHIAZQBNAGEAbgBhAGcAZQBtAGUAbgB0AF8AQQByAGcAdQBtAGUAbgB0AHMAIgAsACIATQBNAFMAXwBEAGEAaQByAHkAXwBNAGUAdABoAGEAbgBlAF8ARQBxAHUAYQB0AGkAbwBuAHMALgBWAEUARQBSAEcAXwA0AF8AMwBfADEAXwAxAF8AXwAxAF8AVABvAHQAYQBsAEEAbgBuAHUAYQBsAE0AZQB0AGgAYQBuAGUARgByAG8AbQBNAGEAbgB1AHIAZQBNAGEAbgBhAGcAZQBtAGUAbgB0AF8AVgBhAHIAaQBhAHQAaQBvAG4AIgAsACIATQBNAFMAXwBEAGEAaQByAHkAXwBNAGUAdABoAGEAbgBlAF8ARQBxAHUAYQB0AGkAbwBuAHMALgBWAEUARQBSAEcAXwA0AF8AMwBfADEAXwAxAF8AXwAyAF8ATQBlAHQAaABhAG4AZQBGAHIAbwBtAE0AYQBuAHUAcgBlAFAAcgBvAGQAdQBjAHQAaQBvAG4AIgAsACIATQBNAFMAXwBEAGEAaQByAHkAXwBNAGUAdABoAGEAbgBlAF8ARQBxAHUAYQB0AGkAbwBuAHMALgBWAEUARQBSAEcAXwA0AF8AMwBfADEAXwAxAF8AXwAyAF8ATQBlAHQAaABhAG4AZQBGAHIAbwBtAE0AYQBuAHUAcgBlAFAAcgBvAGQAdQBjAHQAaQBvAG4AXwBUAGkAdABsAGUAIgAsACIATQBNAFMAXwBEAGEAaQByAHkAXwBNAGUAdABoAGEAbgBlAF8ARQBxAHUAYQB0AGkAbwBuAHMALgBWAEUARQBSAEcAXwA0AF8AMwBfADEAXwAxAF8AXwAyAF8ATQBlAHQAaABhAG4AZQBGAHIAbwBtAE0AYQBuAHUAcgBlAFAAcgBvAGQAdQBjAHQAaQBvAG4AXwBWAGEAcgBpAGEAYgBsAGUAIgAsACIATQBNAFMAXwBEAGEAaQByAHkAXwBNAGUAdABoAGEAbgBlAF8ARQBxAHUAYQB0AGkAbwBuAHMALgBWAEUARQBSAEcAXwA0AF8AMwBfADEAXwAxAF8AXwAyAF8ATQBlAHQAaABhAG4AZQBGAHIAbwBtAE0AYQBuAHUAcgBlAFAAcgBvAGQAdQBjAHQAaQBvAG4AXwBVAG4AaQB0ACIALAAiAE0ATQBTAF8ARABhAGkAcgB5AF8ATQBlAHQAaABhAG4AZQBfAEUAcQB1AGEAdABpAG8AbgBzAC4AVgBFAEUAUgBHAF8ANABfADMAXwAxAF8AMQBfAF8AMgBfAE0AZQB0AGgAYQBuAGUARgByAG8AbQBNAGEAbgB1AHIAZQBQAHIAbwBkAHUAYwB0AGkAbwBuAF8AUwBvAHUAcgBjAGUAIgAsACIATQBNAFMAXwBEAGEAaQByAHkAXwBNAGUAdABoAGEAbgBlAF8ARQBxAHUAYQB0AGkAbwBuAHMALgBWAEUARQBSAEcAXwA0AF8AMwBfADEAXwAxAF8AXwAyAF8ATQBlAHQAaABhAG4AZQBGAHIAbwBtAE0AYQBuAHUAcgBlAFAAcgBvAGQAdQBjAHQAaQBvAG4AXwBOAEkAUgBSAGUAZgBlAHIAZQBuAGMAZQAiACwAIgBNAE0AUwBfAEQAYQBpAHIAeQBfAE0AZQB0AGgAYQBuAGUAXwBFAHEAdQBhAHQAaQBvAG4AcwAuAFYARQBFAFIARwBfADQAXwAzAF8AMQBfADEAXwBfADIAXwBNAGUAdABoAGEAbgBlAEYAcgBvAG0ATQBhAG4AdQByAGUAUAByAG8AZAB1AGMAdABpAG8AbgBfAEwAYQB0AGUAeABFAHEAdQBhAHQAaQBvAG4AIgAsACIATQBNAFMAXwBEAGEAaQByAHkAXwBNAGUAdABoAGEAbgBlAF8ARQBxAHUAYQB0AGkAbwBuAHMALgBWAEUARQBSAEcAXwA0AF8AMwBfADEAXwAxAF8AXwAyAF8ATQBlAHQAaABhAG4AZQBGAHIAbwBtAE0AYQBuAHUAcgBlAFAAcgBvAGQAdQBjAHQAaQBvAG4AXwBBAHIAZwB1AG0AZQBuAHQAcwAiACwAIgBNAE0AUwBfAEQAYQBpAHIAeQBfAE0AZQB0AGgAYQBuAGUAXwBFAHEAdQBhAHQAaQBvAG4AcwAuAFYARQBFAFIARwBfADQAXwAzAF8AMQBfADEAXwBfADIAXwBNAGUAdABoAGEAbgBlAEYAcgBvAG0ATQBhAG4AdQByAGUAUAByAG8AZAB1AGMAdABpAG8AbgBfAEEAcgBnAHUAbQBlAG4AdABzAF8ATQBlAHQAaABvAGQAMgAiACwAIgBNAE0AUwBfAEQAYQBpAHIAeQBfAE0AZQB0AGgAYQBuAGUAXwBFAHEAdQBhAHQAaQBvAG4AcwAuAFYARQBFAFIARwBfADQAXwAzAF8AMQBfADEAXwBfADMAXwBWAG8AbABhAHQAaQBsAGUAUwBvAGwAaQBkAHMARgBvAHIAVwBlAGEAbgBlAGQARABhAGkAcgB5AEMAYQB0AHQAbABlACIALAAiAE0ATQBTAF8ARABhAGkAcgB5AF8ATQBlAHQAaABhAG4AZQBfAEUAcQB1AGEAdABpAG8AbgBzAC4AVgBFAEUAUgBHAF8ANABfADMAXwAxAF8AMQBfAF8AMwBfAFYAbwBsAGEAdABpAGwAZQBTAG8AbABpAGQAcwBGAG8AcgBXAGUAYQBuAGUAZABEAGEAaQByAHkAQwBhAHQAdABsAGUAXwBUAGkAdABsAGUAIgAsACIATQBNAFMAXwBEAGEAaQByAHkAXwBNAGUAdABoAGEAbgBlAF8ARQBxAHUAYQB0AGkAbwBuAHMALgBWAEUARQBSAEcAXwA0AF8AMwBfADEAXwAxAF8AXwAzAF8AVgBvAGwAYQB0AGkAbABlAFMAbwBsAGkAZABzAEYAbwByAFcAZQBhAG4AZQBkAEQAYQBpAHIAeQBDAGEAdAB0AGwAZQBfAFYAYQByAGkAYQBiAGwAZQAiACwAIgBNAE0AUwBfAEQAYQBpAHIAeQBfAE0AZQB0AGgAYQBuAGUAXwBFAHEAdQBhAHQAaQBvAG4AcwAuAFYARQBFAFIARwBfADQAXwAzAF8AMQBfADEAXwBfADMAXwBWAG8AbABhAHQAaQBsAGUAUwBvAGwAaQBkAHMARgBvAHIAVwBlAGEAbgBlAGQARABhAGkAcgB5AEMAYQB0AHQAbABlAF8AVQBuAGkAdAAiACwAIgBNAE0AUwBfAEQAYQBpAHIAeQBfAE0AZQB0AGgAYQBuAGUAXwBFAHEAdQBhAHQAaQBvAG4AcwAuAFYARQBFAFIARwBfADQAXwAzAF8AMQBfADEAXwBfADMAXwBWAG8AbABhAHQAaQBsAGUAUwBvAGwAaQBkAHMARgBvAHIAVwBlAGEAbgBlAGQARABhAGkAcgB5AEMAYQB0AHQAbABlAF8AUwBvAHUAcgBjAGUAIgAsACIATQBNAFMAXwBEAGEAaQByAHkAXwBNAGUAdABoAGEAbgBlAF8ARQBxAHUAYQB0AGkAbwBuAHMALgBWAEUARQBSAEcAXwA0AF8AMwBfADEAXwAxAF8AXwAzAF8AVgBvAGwAYQB0AGkAbABlAFMAbwBsAGkAZABzAEYAbwByAFcAZQBhAG4AZQBkAEQAYQBpAHIAeQBDAGEAdAB0AGwAZQBfAE4ASQBSAFIAZQBmAGUAcgBlAG4AYwBlACIALAAiAE0ATQBTAF8ARABhAGkAcgB5AF8ATQBlAHQAaABhAG4AZQBfAEUAcQB1AGEAdABpAG8AbgBzAC4AVgBFAEUAUgBHAF8ANABfADMAXwAxAF8AMQBfAF8AMwBfAFYAbwBsAGEAdABpAGwAZQBTAG8AbABpAGQAcwBGAG8AcgBXAGUAYQBuAGUAZABEAGEAaQByAHkAQwBhAHQAdABsAGUAXwBMAGEAdABlAHgARQBxAHUAYQB0AGkAbwBuACIALAAiAE0ATQBTAF8ARABhAGkAcgB5AF8ATQBlAHQAaABhAG4AZQBfAEUAcQB1AGEAdABpAG8AbgBzAC4AVgBFAEUAUgBHAF8ANABfADMAXwAxAF8AMQBfAF8AMwBfAFYAbwBsAGEAdABpAGwAZQBTAG8AbABpAGQAcwBGAG8AcgBXAGUAYQBuAGUAZABEAGEAaQByAHkAQwBhAHQAdABsAGUAXwBBAHIAZwB1AG0AZQBuAHQAcwAiACwAIgBNAE0AUwBfAEQAYQBpAHIAeQBfAE0AZQB0AGgAYQBuAGUAXwBFAHEAdQBhAHQAaQBvAG4AcwAuAFYARQBFAFIARwBfADQAXwAzAF8AMQBfADEAXwBfADQAXwBGAHIAYQBjAHQAaQBvAG4AVgBvAGwAYQB0AGkAbABlAFMAbwBsAGkAZABzAE4AbwB0AFMAbwBsAGkAZABTAHQAbwByAGEAZwBlACIALAAiAE0ATQBTAF8ARABhAGkAcgB5AF8ATQBlAHQAaABhAG4AZQBfAEUAcQB1AGEAdABpAG8AbgBzAC4AVgBFAEUAUgBHAF8ANABfADMAXwAxAF8AMQBfAF8ANABfAEYAcgBhAGMAdABpAG8AbgBWAG8AbABhAHQAaQBsAGUAUwBvAGwAaQBkAHMATgBvAHQAUwBvAGwAaQBkAFMAdABvAHIAYQBnAGUAXwBUAGkAdABsAGUAIgAsACIATQBNAFMAXwBEAGEAaQByAHkAXwBNAGUAdABoAGEAbgBlAF8ARQBxAHUAYQB0AGkAbwBuAHMALgBWAEUARQBSAEcAXwA0AF8AMwBfADEAXwAxAF8AXwA0AF8ARgByAGEAYwB0AGkAbwBuAFYAbwBsAGEAdABpAGwAZQBTAG8AbABpAGQAcwBOAG8AdABTAG8AbABpAGQAUwB0AG8AcgBhAGcAZQBfAFYAYQByAGkAYQBiAGwAZQAiACwAIgBNAE0AUwBfAEQAYQBpAHIAeQBfAE0AZQB0AGgAYQBuAGUAXwBFAHEAdQBhAHQAaQBvAG4AcwAuAFYARQBFAFIARwBfADQAXwAzAF8AMQBfADEAXwBfADQAXwBGAHIAYQBjAHQAaQBvAG4AVgBvAGwAYQB0AGkAbABlAFMAbwBsAGkAZABzAE4AbwB0AFMAbwBsAGkAZABTAHQAbwByAGEAZwBlAF8AVQBuAGkAdAAiACwAIgBNAE0AUwBfAEQAYQBpAHIAeQBfAE0AZQB0AGgAYQBuAGUAXwBFAHEAdQBhAHQAaQBvAG4AcwAuAFYARQBFAFIARwBfADQAXwAzAF8AMQBfADEAXwBfADQAXwBGAHIAYQBjAHQAaQBvAG4AVgBvAGwAYQB0AGkAbABlAFMAbwBsAGkAZABzAE4AbwB0AFMAbwBsAGkAZABTAHQAbwByAGEAZwBlAF8AUwBvAHUAcgBjAGUAIgAsACIATQBNAFMAXwBEAGEAaQByAHkAXwBNAGUAdABoAGEAbgBlAF8ARQBxAHUAYQB0AGkAbwBuAHMALgBWAEUARQBSAEcAXwA0AF8AMwBfADEAXwAxAF8AXwA0AF8ARgByAGEAYwB0AGkAbwBuAFYAbwBsAGEAdABpAGwAZQBTAG8AbABpAGQAcwBOAG8AdABTAG8AbABpAGQAUwB0AG8AcgBhAGcAZQBfAE4ASQBSAFIAZQBmAGUAcgBlAG4AYwBlACIALAAiAE0ATQBTAF8ARABhAGkAcgB5AF8ATQBlAHQAaABhAG4AZQBfAEUAcQB1AGEAdABpAG8AbgBzAC4AVgBFAEUAUgBHAF8ANABfADMAXwAxAF8AMQBfAF8ANABfAEYAcgBhAGMAdABpAG8AbgBWAG8AbABhAHQAaQBsAGUAUwBvAGwAaQBkAHMATgBvAHQAUwBvAGwAaQBkAFMAdABvAHIAYQBnAGUAXwBMAGEAdABlAHgARQBxAHUAYQB0AGkAbwBuACIALAAiAE0ATQBTAF8ARABhAGkAcgB5AF8ATQBlAHQAaABhAG4AZQBfAEUAcQB1AGEAdABpAG8AbgBzAC4AVgBFAEUAUgBHAF8ANABfADMAXwAxAF8AMQBfAF8ANABfAEYAcgBhAGMAdABpAG8AbgBWAG8AbABhAHQAaQBsAGUAUwBvAGwAaQBkAHMATgBvAHQAUwBvAGwAaQBkAFMAdABvAHIAYQBnAGUAXwBBAHIAZwB1AG0AZQBuAHQAcwAiACwAIgBNAE0AUwBfAEQAYQBpAHIAeQBfAE0AZQB0AGgAYQBuAGUAXwBFAHEAdQBhAHQAaQBvAG4AcwAuAFYARQBFAFIARwBfADQAXwAzAF8AMQBfADEAXwBfADUAXwBGAHIAYQBjAHQAaQBvAG4AVgBvAGwAYQB0AGkAbABlAFMAbwBsAGkAZABzAFMAbwBsAGkAZABTAHQAbwByAGEAZwBlACIALAAiAE0ATQBTAF8ARABhAGkAcgB5AF8ATQBlAHQAaABhAG4AZQBfAEUAcQB1AGEAdABpAG8AbgBzAC4AVgBFAEUAUgBHAF8ANABfADMAXwAxAF8AMQBfAF8ANQBfAEYAcgBhAGMAdABpAG8AbgBWAG8AbABhAHQAaQBsAGUAUwBvAGwAaQBkAHMAUwBvAGwAaQBkAFMAdABvAHIAYQBnAGUAVgBhAHIAaQBhAHQAaQBvAG4AIgAsACIATQBNAFMAXwBEAGEAaQByAHkAXwBNAGUAdABoAGEAbgBlAF8ARQBxAHUAYQB0AGkAbwBuAHMALgBWAEUARQBSAEcAXwA0AF8AMwBfADEAXwAxAF8AXwA1AF8ARgByAGEAYwB0AGkAbwBuAFYAbwBsAGEAdABpAGwAZQBTAG8AbABpAGQAcwBTAG8AbABpAGQAUwB0AG8AcgBhAGcAZQBfAFQAaQB0AGwAZQAiACwAIgBNAE0AUwBfAEQAYQBpAHIAeQBfAE0AZQB0AGgAYQBuAGUAXwBFAHEAdQBhAHQAaQBvAG4AcwAuAFYARQBFAFIARwBfADQAXwAzAF8AMQBfADEAXwBfADUAXwBGAHIAYQBjAHQAaQBvAG4AVgBvAGwAYQB0AGkAbABlAFMAbwBsAGkAZABzAFMAbwBsAGkAZABTAHQAbwByAGEAZwBlAF8AVgBhAHIAaQBhAGIAbABlACIALAAiAE0ATQBTAF8ARABhAGkAcgB5AF8ATQBlAHQAaABhAG4AZQBfAEUAcQB1AGEAdABpAG8AbgBzAC4AVgBFAEUAUgBHAF8ANABfADMAXwAxAF8AMQBfAF8ANQBfAEYAcgBhAGMAdABpAG8AbgBWAG8AbABhAHQAaQBsAGUAUwBvAGwAaQBkAHMAUwBvAGwAaQBkAFMAdABvAHIAYQBnAGUAXwBVAG4AaQB0ACIALAAiAE0ATQBTAF8ARABhAGkAcgB5AF8ATQBlAHQAaABhAG4AZQBfAEUAcQB1AGEAdABpAG8AbgBzAC4AVgBFAEUAUgBHAF8ANABfADMAXwAxAF8AMQBfAF8ANQBfAEYAcgBhAGMAdABpAG8AbgBWAG8AbABhAHQAaQBsAGUAUwBvAGwAaQBkAHMAUwBvAGwAaQBkAFMAdABvAHIAYQBnAGUAXwBTAG8AdQByAGMAZQAiACwAIgBNAE0AUwBfAEQAYQBpAHIAeQBfAE0AZQB0AGgAYQBuAGUAXwBFAHEAdQBhAHQAaQBvAG4AcwAuAFYARQBFAFIARwBfADQAXwAzAF8AMQBfADEAXwBfADUAXwBGAHIAYQBjAHQAaQBvAG4AVgBvAGwAYQB0AGkAbABlAFMAbwBsAGkAZABzAFMAbwBsAGkAZABTAHQAbwByAGEAZwBlAF8ATgBJAFIAUgBlAGYAZQByAGUAbgBjAGUAIgAsACIATQBNAFMAXwBEAGEAaQByAHkAXwBNAGUAdABoAGEAbgBlAF8ARQBxAHUAYQB0AGkAbwBuAHMALgBWAEUARQBSAEcAXwA0AF8AMwBfADEAXwAxAF8AXwA1AF8ARgByAGEAYwB0AGkAbwBuAFYAbwBsAGEAdABpAGwAZQBTAG8AbABpAGQAcwBTAG8AbABpAGQAUwB0AG8AcgBhAGcAZQBfAEwAYQB0AGUAeABFAHEAdQBhAHQAaQBvAG4AIgAsACIATQBNAFMAXwBEAGEAaQByAHkAXwBNAGUAdABoAGEAbgBlAF8ARQBxAHUAYQB0AGkAbwBuAHMALgBWAEUARQBSAEcAXwA0AF8AMwBfADEAXwAxAF8AXwA1AF8ARgByAGEAYwB0AGkAbwBuAFYAbwBsAGEAdABpAGwAZQBTAG8AbABpAGQAcwBTAG8AbABpAGQAUwB0AG8AcgBhAGcAZQBfAEwAYQB0AGUAeABFAHEAdQBhAHQAaQBvAG4AVgBhAHIAaQBhAHQAaQBvAG4AIgAsACIATQBNAFMAXwBEAGEAaQByAHkAXwBNAGUAdABoAGEAbgBlAF8ARQBxAHUAYQB0AGkAbwBuAHMALgBWAEUARQBSAEcAXwA0AF8AMwBfADEAXwAxAF8AXwA1AF8ARgByAGEAYwB0AGkAbwBuAFYAbwBsAGEAdABpAGwAZQBTAG8AbABpAGQAcwBTAG8AbABpAGQAUwB0AG8AcgBhAGcAZQBfAEEAcgBnAHUAbQBlAG4AdABzACIALAAiAE0ATQBTAF8ARABhAGkAcgB5AF8ATQBlAHQAaABhAG4AZQBfAEUAcQB1AGEAdABpAG8AbgBzAC4AVgBFAEUAUgBHAF8ANABfADMAXwAxAF8AMQBfAF8ANQBfAEYAcgBhAGMAdABpAG8AbgBWAG8AbABhAHQAaQBsAGUAUwBvAGwAaQBkAHMAUwBvAGwAaQBkAFMAdABvAHIAYQBnAGUAXwBWAGEAcgBpAGEAdABpAG8Abg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YAXwBOAGkAdAByAG8AZwBlAG4AUgBlAHQAYQBpAG4AZQBkAEIAeQBCAG8AZAB5AF8AVgBhAHIAaQBhAHQAaQBvAG4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xAF8AVABvAHQAYQBsAEEAbgBuAHUAYQBsAE0AZQB0AGgAYQBuAGUARgByAG8AbQBFAG4AdABlAHIAaQBjAEYAZQByAG0AZQBuAHQAYQB0AGkAbwBuAF8AVgBhAHIAaQBhAHQAaQBvAG4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0AF8AQQBkAGQAaQB0AGkAbwBuAGEAbABJAG4AdABhAGsAZQBGAG8AcgBNAGkAbABrAFAAcgBvAGQAdQBjAHQAaQBvAG4AXwBWAGEAcgBpAGEAdABpAG8Abg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UAXwBNAGkAbABrAFAAcgBvAGQAdQBjAHQAaQBvAG4ARgByAG8AbQBNAGkAbABrAFMAbwBsAGkAZABzAF8AQQByAGcAdQBtAGUAbgB0AHMAXwBNAGUAdABoAG8AZAAyACIALAAiAEUAbgB0AGUAcgBpAGMATQBlAHQAaABhAG4AZQBfAEQAYQBpAHIAeQBfAEUAcQB1AGEAdABpAG8AbgBzAC4AVgBFAEUAUgBHAF8AMwBfADMAXwAxAF8AMQBfAF8ANQBfAE0AaQBsAGsAUAByAG8AZAB1AGMAdABpAG8AbgBGAHIAbwBtAE0AaQBsAGsAUwBvAGwAaQBkAHMAXwBWAGEAcgBpAGEAdABpAG8Abg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VgBhAHIAaQBhAHQAaQBvAG4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wAYQB0AGUAeABFAHEAdQBhAHQAaQBvAG4AVgBhAHIAaQBhAHQAaQBvAG4AIgAsACIARQBuAHQAZQByAGkAYwBNAGUAdABoAGEAbgBlAF8ARABhAGkAcgB5AF8ARQBxAHUAYQB0AGkAbwBuAHMALgBWAEUARQBSAEcAXwAzAF8AMwBfADEAXwAxAF8AXwA2AF8ATQBlAHQAYQBiAG8AbABpAHMAYQBiAGkAbABpAHQAeQBPAGYARABpAGUAdABfAEEAcgBnAHUAbQBlAG4AdABzACIALAAiAEUAbgB0AGUAcgBpAGMATQBlAHQAaABhAG4AZQBfAEQAYQBpAHIAeQBfAEUAcQB1AGEAdABpAG8AbgBzAC4AVgBFAEUAUgBHAF8AMwBfADMAXwAxAF8AMQBfAF8ANgBfAE0AZQB0AGEAYgBvAGwAaQBzAGEAYgBpAGwAaQB0AHkATwBmAEQAaQBlAHQAXwBWAGEAcgBpAGEAdABpAG8Abg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224</vt:i4>
      </vt:variant>
    </vt:vector>
  </HeadingPairs>
  <TitlesOfParts>
    <vt:vector size="242"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