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B82EA9E-B5ED-46D3-902A-5BE95E6ED424}" xr6:coauthVersionLast="47" xr6:coauthVersionMax="47" xr10:uidLastSave="{00000000-0000-0000-0000-000000000000}"/>
  <bookViews>
    <workbookView xWindow="495" yWindow="195" windowWidth="37995" windowHeight="20115" activeTab="5"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4"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8" i="79" l="1"/>
  <c r="P149" i="79"/>
  <c r="O149" i="79"/>
  <c r="N149" i="79"/>
  <c r="M149" i="79"/>
  <c r="L149" i="79"/>
  <c r="K149" i="79"/>
  <c r="J149" i="79"/>
  <c r="I149" i="79"/>
  <c r="H149" i="79"/>
  <c r="G149" i="79"/>
  <c r="F149" i="79"/>
  <c r="P148" i="79"/>
  <c r="O148" i="79"/>
  <c r="N148" i="79"/>
  <c r="L148" i="79"/>
  <c r="K148" i="79"/>
  <c r="J148" i="79"/>
  <c r="I148" i="79"/>
  <c r="H148" i="79"/>
  <c r="G148" i="79"/>
  <c r="F148" i="79"/>
  <c r="P147" i="79"/>
  <c r="O147" i="79"/>
  <c r="N147" i="79"/>
  <c r="M147" i="79"/>
  <c r="L147" i="79"/>
  <c r="K147" i="79"/>
  <c r="J147" i="79"/>
  <c r="I147" i="79"/>
  <c r="H147" i="79"/>
  <c r="G147" i="79"/>
  <c r="F147" i="79"/>
  <c r="P146" i="79"/>
  <c r="O146" i="79"/>
  <c r="N146" i="79"/>
  <c r="M146" i="79"/>
  <c r="L146" i="79"/>
  <c r="K146" i="79"/>
  <c r="J146" i="79"/>
  <c r="I146" i="79"/>
  <c r="H146" i="79"/>
  <c r="G146" i="79"/>
  <c r="F146" i="79"/>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AF117" i="69"/>
  <c r="AF133" i="69"/>
  <c r="AF149" i="69"/>
  <c r="U108" i="69"/>
  <c r="U107" i="69"/>
  <c r="U106" i="69"/>
  <c r="U105" i="69"/>
  <c r="U104" i="69"/>
  <c r="U103" i="69"/>
  <c r="U102" i="69"/>
  <c r="U101" i="69"/>
  <c r="U100" i="69"/>
  <c r="U99" i="69"/>
  <c r="U98" i="69"/>
  <c r="U97" i="69"/>
  <c r="U112" i="69" a="1"/>
  <c r="U112" i="69" s="1"/>
  <c r="AF97" i="69"/>
  <c r="U92" i="69" a="1"/>
  <c r="U92" i="69" s="1"/>
  <c r="F128" i="69"/>
  <c r="O85" i="69"/>
  <c r="O107" i="69"/>
  <c r="O115" i="69"/>
  <c r="O123" i="69"/>
  <c r="I102" i="69" a="1"/>
  <c r="I102" i="69" s="1"/>
  <c r="I100" i="69" a="1"/>
  <c r="I100" i="69" s="1"/>
  <c r="I101" i="69" a="1"/>
  <c r="I101" i="69" s="1"/>
  <c r="G100" i="69" a="1"/>
  <c r="G100" i="69" s="1"/>
  <c r="D100" i="69" a="1"/>
  <c r="D100" i="69" s="1"/>
  <c r="E98" i="69" a="1"/>
  <c r="E98" i="69"/>
  <c r="E97" i="69" a="1"/>
  <c r="E97" i="69" s="1"/>
  <c r="D93" i="69" a="1"/>
  <c r="D93" i="69" s="1"/>
  <c r="D92" i="69" a="1"/>
  <c r="D92" i="69" s="1"/>
  <c r="D71" i="69" a="1"/>
  <c r="D71" i="69" s="1"/>
  <c r="G80" i="69" a="1"/>
  <c r="G80"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E94" i="69" l="1"/>
  <c r="E73" i="69"/>
  <c r="D21" i="69" l="1"/>
  <c r="E29" i="69" s="1" a="1"/>
  <c r="E29" i="69" s="1"/>
  <c r="J16" i="69"/>
  <c r="AH39" i="69"/>
  <c r="AH38" i="69"/>
  <c r="AH37" i="69"/>
  <c r="AH36" i="69"/>
  <c r="AH35" i="69"/>
  <c r="AH34" i="69"/>
  <c r="AH33" i="69"/>
  <c r="AH32" i="69"/>
  <c r="AH31" i="69"/>
  <c r="AH30"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D9" i="79"/>
  <c r="D8" i="79"/>
  <c r="X164" i="69"/>
  <c r="G131"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c r="D175" i="104" a="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c r="D116" i="104" a="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H54" i="104"/>
  <c r="H48" i="104"/>
  <c r="H50" i="104"/>
  <c r="H53" i="104"/>
  <c r="H49" i="104"/>
  <c r="H52" i="104"/>
  <c r="H51" i="104"/>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J14" i="69" l="1" a="1"/>
  <c r="J14" i="69" s="1"/>
  <c r="J15" i="69" a="1"/>
  <c r="J15" i="69" s="1"/>
  <c r="L163" i="70"/>
  <c r="H162" i="70"/>
  <c r="N160" i="70"/>
  <c r="J159" i="70"/>
  <c r="F158" i="70"/>
  <c r="L156" i="70"/>
  <c r="H155" i="70"/>
  <c r="N153" i="70"/>
  <c r="J142" i="70"/>
  <c r="F141" i="70"/>
  <c r="L139" i="70"/>
  <c r="H138" i="70"/>
  <c r="N136" i="70"/>
  <c r="J135" i="70"/>
  <c r="F134" i="70"/>
  <c r="L132" i="70"/>
  <c r="H131" i="70"/>
  <c r="J150" i="70"/>
  <c r="F149" i="70"/>
  <c r="L147" i="70"/>
  <c r="H128" i="70"/>
  <c r="N126" i="70"/>
  <c r="J125" i="70"/>
  <c r="G150" i="70"/>
  <c r="M148" i="70"/>
  <c r="I147" i="70"/>
  <c r="E128" i="70"/>
  <c r="K126" i="70"/>
  <c r="K163" i="70"/>
  <c r="G162" i="70"/>
  <c r="M160" i="70"/>
  <c r="I159" i="70"/>
  <c r="E158" i="70"/>
  <c r="K156" i="70"/>
  <c r="G155" i="70"/>
  <c r="M153" i="70"/>
  <c r="I142" i="70"/>
  <c r="E141" i="70"/>
  <c r="K139" i="70"/>
  <c r="G138" i="70"/>
  <c r="M136" i="70"/>
  <c r="I135" i="70"/>
  <c r="E134" i="70"/>
  <c r="K132" i="70"/>
  <c r="G131" i="70"/>
  <c r="I150" i="70"/>
  <c r="E149" i="70"/>
  <c r="K147" i="70"/>
  <c r="G128" i="70"/>
  <c r="M126" i="70"/>
  <c r="I125" i="70"/>
  <c r="G148" i="70"/>
  <c r="N164" i="70"/>
  <c r="J163" i="70"/>
  <c r="F162" i="70"/>
  <c r="L160" i="70"/>
  <c r="H159" i="70"/>
  <c r="N157" i="70"/>
  <c r="J156" i="70"/>
  <c r="F155" i="70"/>
  <c r="L153" i="70"/>
  <c r="H142" i="70"/>
  <c r="N140" i="70"/>
  <c r="J139" i="70"/>
  <c r="F138" i="70"/>
  <c r="L136" i="70"/>
  <c r="H135" i="70"/>
  <c r="N133" i="70"/>
  <c r="J132" i="70"/>
  <c r="F131" i="70"/>
  <c r="H150" i="70"/>
  <c r="N148" i="70"/>
  <c r="J147" i="70"/>
  <c r="F128" i="70"/>
  <c r="L126" i="70"/>
  <c r="H125" i="70"/>
  <c r="G125" i="70"/>
  <c r="M164" i="70"/>
  <c r="I163" i="70"/>
  <c r="E162" i="70"/>
  <c r="K160" i="70"/>
  <c r="G159" i="70"/>
  <c r="M157" i="70"/>
  <c r="I156" i="70"/>
  <c r="E155" i="70"/>
  <c r="K153" i="70"/>
  <c r="G142" i="70"/>
  <c r="M140" i="70"/>
  <c r="I139" i="70"/>
  <c r="E138" i="70"/>
  <c r="K136" i="70"/>
  <c r="G135" i="70"/>
  <c r="M133" i="70"/>
  <c r="I132" i="70"/>
  <c r="E131" i="70"/>
  <c r="M128" i="70"/>
  <c r="N125" i="70"/>
  <c r="L164" i="70"/>
  <c r="H163" i="70"/>
  <c r="N161" i="70"/>
  <c r="J160" i="70"/>
  <c r="F159" i="70"/>
  <c r="L157" i="70"/>
  <c r="H156" i="70"/>
  <c r="N154" i="70"/>
  <c r="J153" i="70"/>
  <c r="F142" i="70"/>
  <c r="L140" i="70"/>
  <c r="H139" i="70"/>
  <c r="N137" i="70"/>
  <c r="J136" i="70"/>
  <c r="F135" i="70"/>
  <c r="L133" i="70"/>
  <c r="H132" i="70"/>
  <c r="F150" i="70"/>
  <c r="L148" i="70"/>
  <c r="H147" i="70"/>
  <c r="N127" i="70"/>
  <c r="J126" i="70"/>
  <c r="F125" i="70"/>
  <c r="K164" i="70"/>
  <c r="G163" i="70"/>
  <c r="M161" i="70"/>
  <c r="I160" i="70"/>
  <c r="E159" i="70"/>
  <c r="K157" i="70"/>
  <c r="G156" i="70"/>
  <c r="M154" i="70"/>
  <c r="I153" i="70"/>
  <c r="E142" i="70"/>
  <c r="K140" i="70"/>
  <c r="G139" i="70"/>
  <c r="M137" i="70"/>
  <c r="I136" i="70"/>
  <c r="E135" i="70"/>
  <c r="K133" i="70"/>
  <c r="G132" i="70"/>
  <c r="E150" i="70"/>
  <c r="K148" i="70"/>
  <c r="G147" i="70"/>
  <c r="M127" i="70"/>
  <c r="I126" i="70"/>
  <c r="E125" i="70"/>
  <c r="F147" i="70"/>
  <c r="J164" i="70"/>
  <c r="F163" i="70"/>
  <c r="L161" i="70"/>
  <c r="H160" i="70"/>
  <c r="N158" i="70"/>
  <c r="J157" i="70"/>
  <c r="F156" i="70"/>
  <c r="L154" i="70"/>
  <c r="H153" i="70"/>
  <c r="N141" i="70"/>
  <c r="J140" i="70"/>
  <c r="F139" i="70"/>
  <c r="L137" i="70"/>
  <c r="H136" i="70"/>
  <c r="N134" i="70"/>
  <c r="J133" i="70"/>
  <c r="F132" i="70"/>
  <c r="N149" i="70"/>
  <c r="J148" i="70"/>
  <c r="L127" i="70"/>
  <c r="H126" i="70"/>
  <c r="L149" i="70"/>
  <c r="N128" i="70"/>
  <c r="I127" i="70"/>
  <c r="I164" i="70"/>
  <c r="E163" i="70"/>
  <c r="K161" i="70"/>
  <c r="G160" i="70"/>
  <c r="M158" i="70"/>
  <c r="I157" i="70"/>
  <c r="E156" i="70"/>
  <c r="K154" i="70"/>
  <c r="G153" i="70"/>
  <c r="M141" i="70"/>
  <c r="I140" i="70"/>
  <c r="E139" i="70"/>
  <c r="K137" i="70"/>
  <c r="G136" i="70"/>
  <c r="M134" i="70"/>
  <c r="I133" i="70"/>
  <c r="E132" i="70"/>
  <c r="M149" i="70"/>
  <c r="I148" i="70"/>
  <c r="E147" i="70"/>
  <c r="K127" i="70"/>
  <c r="G126" i="70"/>
  <c r="E173" i="70"/>
  <c r="H148" i="70"/>
  <c r="J127" i="70"/>
  <c r="F126" i="70"/>
  <c r="E172" i="70"/>
  <c r="E126" i="70"/>
  <c r="H164" i="70"/>
  <c r="N162" i="70"/>
  <c r="J161" i="70"/>
  <c r="F160" i="70"/>
  <c r="L158" i="70"/>
  <c r="H157" i="70"/>
  <c r="N155" i="70"/>
  <c r="J154" i="70"/>
  <c r="F153" i="70"/>
  <c r="L141" i="70"/>
  <c r="H140" i="70"/>
  <c r="N138" i="70"/>
  <c r="J137" i="70"/>
  <c r="F136" i="70"/>
  <c r="L134" i="70"/>
  <c r="H133" i="70"/>
  <c r="N131" i="70"/>
  <c r="G164" i="70"/>
  <c r="M162" i="70"/>
  <c r="I161" i="70"/>
  <c r="E160" i="70"/>
  <c r="K158" i="70"/>
  <c r="G157" i="70"/>
  <c r="M155" i="70"/>
  <c r="I154" i="70"/>
  <c r="E153" i="70"/>
  <c r="K141" i="70"/>
  <c r="G140" i="70"/>
  <c r="M138" i="70"/>
  <c r="I137" i="70"/>
  <c r="E136" i="70"/>
  <c r="K134" i="70"/>
  <c r="G133" i="70"/>
  <c r="M131" i="70"/>
  <c r="K149" i="70"/>
  <c r="F164" i="70"/>
  <c r="L162" i="70"/>
  <c r="H161" i="70"/>
  <c r="N159" i="70"/>
  <c r="J158" i="70"/>
  <c r="F157" i="70"/>
  <c r="L155" i="70"/>
  <c r="H154" i="70"/>
  <c r="N142" i="70"/>
  <c r="J141" i="70"/>
  <c r="F140" i="70"/>
  <c r="L138" i="70"/>
  <c r="H137" i="70"/>
  <c r="N135" i="70"/>
  <c r="J134" i="70"/>
  <c r="F133" i="70"/>
  <c r="L131" i="70"/>
  <c r="N150" i="70"/>
  <c r="J149" i="70"/>
  <c r="F148" i="70"/>
  <c r="L128" i="70"/>
  <c r="H127" i="70"/>
  <c r="E164" i="70"/>
  <c r="K162" i="70"/>
  <c r="G161" i="70"/>
  <c r="M159" i="70"/>
  <c r="I158" i="70"/>
  <c r="E157" i="70"/>
  <c r="K155" i="70"/>
  <c r="G154" i="70"/>
  <c r="M142" i="70"/>
  <c r="I141" i="70"/>
  <c r="E140" i="70"/>
  <c r="K138" i="70"/>
  <c r="G137" i="70"/>
  <c r="M135" i="70"/>
  <c r="I134" i="70"/>
  <c r="E133" i="70"/>
  <c r="K131" i="70"/>
  <c r="M150" i="70"/>
  <c r="I149" i="70"/>
  <c r="E148" i="70"/>
  <c r="K128" i="70"/>
  <c r="G127" i="70"/>
  <c r="M125" i="70"/>
  <c r="N163" i="70"/>
  <c r="J162" i="70"/>
  <c r="F161" i="70"/>
  <c r="L159" i="70"/>
  <c r="H158" i="70"/>
  <c r="N156" i="70"/>
  <c r="J155" i="70"/>
  <c r="F154" i="70"/>
  <c r="L142" i="70"/>
  <c r="H141" i="70"/>
  <c r="N139" i="70"/>
  <c r="J138" i="70"/>
  <c r="F137" i="70"/>
  <c r="L135" i="70"/>
  <c r="H134" i="70"/>
  <c r="N132" i="70"/>
  <c r="J131" i="70"/>
  <c r="L150" i="70"/>
  <c r="H149" i="70"/>
  <c r="N147" i="70"/>
  <c r="J128" i="70"/>
  <c r="F127" i="70"/>
  <c r="L125" i="70"/>
  <c r="K125" i="70"/>
  <c r="E63" i="70"/>
  <c r="M163" i="70"/>
  <c r="I162" i="70"/>
  <c r="E161" i="70"/>
  <c r="K159" i="70"/>
  <c r="G158" i="70"/>
  <c r="M156" i="70"/>
  <c r="I155" i="70"/>
  <c r="E154" i="70"/>
  <c r="K142" i="70"/>
  <c r="G141" i="70"/>
  <c r="M139" i="70"/>
  <c r="I138" i="70"/>
  <c r="E137" i="70"/>
  <c r="K135" i="70"/>
  <c r="G134" i="70"/>
  <c r="M132" i="70"/>
  <c r="I131" i="70"/>
  <c r="K150" i="70"/>
  <c r="G149" i="70"/>
  <c r="M147" i="70"/>
  <c r="I128" i="70"/>
  <c r="E127" i="70"/>
  <c r="F70" i="70"/>
  <c r="M68" i="70"/>
  <c r="F72" i="70"/>
  <c r="I75" i="70"/>
  <c r="H75" i="70"/>
  <c r="J98" i="70"/>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K87" i="79"/>
  <c r="N87" i="79"/>
  <c r="G91" i="79"/>
  <c r="K92" i="79"/>
  <c r="O91" i="79"/>
  <c r="K97" i="79"/>
  <c r="O95" i="79"/>
  <c r="L98" i="79"/>
  <c r="O99" i="79"/>
  <c r="L103" i="79"/>
  <c r="P103" i="79"/>
  <c r="L115" i="79"/>
  <c r="P106" i="79"/>
  <c r="P113" i="79"/>
  <c r="G88" i="79"/>
  <c r="K88" i="79"/>
  <c r="O87" i="79"/>
  <c r="K93" i="79"/>
  <c r="O92" i="79"/>
  <c r="L94" i="79"/>
  <c r="O96" i="79"/>
  <c r="L99" i="79"/>
  <c r="P99" i="79"/>
  <c r="L104" i="79"/>
  <c r="O104" i="79"/>
  <c r="L116" i="79"/>
  <c r="N112" i="79"/>
  <c r="O107" i="79"/>
  <c r="O114" i="79"/>
  <c r="H88" i="79"/>
  <c r="K89" i="79"/>
  <c r="P87" i="79"/>
  <c r="I91" i="79"/>
  <c r="L90" i="79"/>
  <c r="O93" i="79"/>
  <c r="L95" i="79"/>
  <c r="O97" i="79"/>
  <c r="L100" i="79"/>
  <c r="O100" i="79"/>
  <c r="L105" i="79"/>
  <c r="P104" i="79"/>
  <c r="L117" i="79"/>
  <c r="P107" i="79"/>
  <c r="P114" i="79"/>
  <c r="G89" i="79"/>
  <c r="L86" i="79"/>
  <c r="N88" i="79"/>
  <c r="J91" i="79"/>
  <c r="L91" i="79"/>
  <c r="O90" i="79"/>
  <c r="L96" i="79"/>
  <c r="P94" i="79"/>
  <c r="L101" i="79"/>
  <c r="P100" i="79"/>
  <c r="O105" i="79"/>
  <c r="N113" i="79"/>
  <c r="O108" i="79"/>
  <c r="O115" i="79"/>
  <c r="H89" i="79"/>
  <c r="L87" i="79"/>
  <c r="O88" i="79"/>
  <c r="L92" i="79"/>
  <c r="P90" i="79"/>
  <c r="P95" i="79"/>
  <c r="O101" i="79"/>
  <c r="P105" i="79"/>
  <c r="K107" i="79"/>
  <c r="K109" i="79"/>
  <c r="K111" i="79"/>
  <c r="K113" i="79"/>
  <c r="P108" i="79"/>
  <c r="P115" i="79"/>
  <c r="I86" i="79"/>
  <c r="P88" i="79"/>
  <c r="L93" i="79"/>
  <c r="P91" i="79"/>
  <c r="P96" i="79"/>
  <c r="P101" i="79"/>
  <c r="N103" i="79"/>
  <c r="L106" i="79"/>
  <c r="O109" i="79"/>
  <c r="O116" i="79"/>
  <c r="N89" i="79"/>
  <c r="I92" i="79"/>
  <c r="M90" i="79"/>
  <c r="P92" i="79"/>
  <c r="P97" i="79"/>
  <c r="F102" i="79"/>
  <c r="N73" i="70" s="1"/>
  <c r="P109" i="79"/>
  <c r="N72" i="70" s="1"/>
  <c r="P116" i="79"/>
  <c r="O89" i="79"/>
  <c r="J92" i="79"/>
  <c r="M91" i="79"/>
  <c r="P93" i="79"/>
  <c r="L108" i="79"/>
  <c r="O110" i="79"/>
  <c r="O117" i="79"/>
  <c r="I89" i="79"/>
  <c r="P89" i="79"/>
  <c r="P110" i="79"/>
  <c r="P117" i="79"/>
  <c r="J86" i="79"/>
  <c r="M88" i="79"/>
  <c r="L110" i="79"/>
  <c r="O111" i="79"/>
  <c r="M89" i="79"/>
  <c r="G90" i="79"/>
  <c r="N102" i="79"/>
  <c r="P111" i="79"/>
  <c r="N86" i="79"/>
  <c r="H90" i="79"/>
  <c r="J93" i="79"/>
  <c r="N98" i="79"/>
  <c r="O102" i="79"/>
  <c r="K112" i="79"/>
  <c r="K114" i="79"/>
  <c r="O112" i="79"/>
  <c r="O86" i="79"/>
  <c r="K90" i="79"/>
  <c r="N94" i="79"/>
  <c r="O98" i="79"/>
  <c r="K102" i="79"/>
  <c r="N106" i="79"/>
  <c r="P86" i="79"/>
  <c r="N61" i="70" l="1"/>
  <c r="M72" i="70"/>
  <c r="H60" i="70"/>
  <c r="F60" i="70"/>
  <c r="M69" i="70"/>
  <c r="I66" i="70"/>
  <c r="K66" i="70"/>
  <c r="L62" i="70"/>
  <c r="E71" i="70"/>
  <c r="G71" i="70"/>
  <c r="G69" i="70"/>
  <c r="H69" i="70"/>
  <c r="G68" i="70"/>
  <c r="N66" i="70"/>
  <c r="H70" i="70"/>
  <c r="E69" i="70"/>
  <c r="N89" i="70"/>
  <c r="E75" i="70"/>
  <c r="I68" i="70"/>
  <c r="M60" i="70"/>
  <c r="J69" i="70"/>
  <c r="L70" i="70"/>
  <c r="N71" i="70"/>
  <c r="G75" i="70"/>
  <c r="L68" i="70"/>
  <c r="K75" i="70"/>
  <c r="G67" i="70"/>
  <c r="F67" i="70"/>
  <c r="E67" i="70"/>
  <c r="J75" i="70"/>
  <c r="M70" i="70"/>
  <c r="H67" i="70"/>
  <c r="N75" i="70"/>
  <c r="K72" i="70"/>
  <c r="E72" i="70"/>
  <c r="G70" i="70"/>
  <c r="K61" i="70"/>
  <c r="L95" i="70"/>
  <c r="K98" i="70"/>
  <c r="M95" i="70"/>
  <c r="F90" i="70"/>
  <c r="H96" i="70"/>
  <c r="J94" i="70"/>
  <c r="E98" i="70"/>
  <c r="I90" i="70"/>
  <c r="I72" i="70"/>
  <c r="J71" i="70"/>
  <c r="E68" i="70"/>
  <c r="K96" i="70"/>
  <c r="K67" i="70"/>
  <c r="G95" i="70"/>
  <c r="G66" i="70"/>
  <c r="I93" i="70"/>
  <c r="J82" i="70"/>
  <c r="G63" i="70"/>
  <c r="I61" i="70"/>
  <c r="M92" i="70"/>
  <c r="H88" i="70"/>
  <c r="K99" i="70"/>
  <c r="I76" i="70"/>
  <c r="E73" i="70"/>
  <c r="E89" i="70"/>
  <c r="L98" i="70"/>
  <c r="N95" i="70"/>
  <c r="I82" i="70"/>
  <c r="F98" i="70"/>
  <c r="N69" i="70"/>
  <c r="J90" i="70"/>
  <c r="J72" i="70"/>
  <c r="L71" i="70"/>
  <c r="F68" i="70"/>
  <c r="L96" i="70"/>
  <c r="N67" i="70"/>
  <c r="H95" i="70"/>
  <c r="H66" i="70"/>
  <c r="J93" i="70"/>
  <c r="N83" i="70"/>
  <c r="K82" i="70"/>
  <c r="H63" i="70"/>
  <c r="N82" i="70"/>
  <c r="M62" i="70"/>
  <c r="N92" i="70"/>
  <c r="G88" i="70"/>
  <c r="L99" i="70"/>
  <c r="J76" i="70"/>
  <c r="F73" i="70"/>
  <c r="F89" i="70"/>
  <c r="I95" i="70"/>
  <c r="I83" i="70"/>
  <c r="M77" i="70"/>
  <c r="I88" i="70"/>
  <c r="M99" i="70"/>
  <c r="K76" i="70"/>
  <c r="G73" i="70"/>
  <c r="E74" i="70"/>
  <c r="L97" i="70"/>
  <c r="E83" i="70"/>
  <c r="K93" i="70"/>
  <c r="E84" i="70"/>
  <c r="F84" i="70"/>
  <c r="G82" i="70"/>
  <c r="H98" i="70"/>
  <c r="F69" i="70"/>
  <c r="F75" i="70"/>
  <c r="L72" i="70"/>
  <c r="M71" i="70"/>
  <c r="H68" i="70"/>
  <c r="N96" i="70"/>
  <c r="N70" i="70"/>
  <c r="J95" i="70"/>
  <c r="J66" i="70"/>
  <c r="L93" i="70"/>
  <c r="I85" i="70"/>
  <c r="G62" i="70"/>
  <c r="K83" i="70"/>
  <c r="N77" i="70"/>
  <c r="J88" i="70"/>
  <c r="N99" i="70"/>
  <c r="L76" i="70"/>
  <c r="H73" i="70"/>
  <c r="F74" i="70"/>
  <c r="G98" i="70"/>
  <c r="M96" i="70"/>
  <c r="H85" i="70"/>
  <c r="I98" i="70"/>
  <c r="K97" i="70"/>
  <c r="K68" i="70"/>
  <c r="E96" i="70"/>
  <c r="E70" i="70"/>
  <c r="K95" i="70"/>
  <c r="M94" i="70"/>
  <c r="M93" i="70"/>
  <c r="K63" i="70"/>
  <c r="H84" i="70"/>
  <c r="L63" i="70"/>
  <c r="H61" i="70"/>
  <c r="E85" i="70"/>
  <c r="E77" i="70"/>
  <c r="K88" i="70"/>
  <c r="E91" i="70"/>
  <c r="M76" i="70"/>
  <c r="I73" i="70"/>
  <c r="G74" i="70"/>
  <c r="F77" i="70"/>
  <c r="L88" i="70"/>
  <c r="F91" i="70"/>
  <c r="N76" i="70"/>
  <c r="J73" i="70"/>
  <c r="I74" i="70"/>
  <c r="J85" i="70"/>
  <c r="J68" i="70"/>
  <c r="E94" i="70"/>
  <c r="E93" i="70"/>
  <c r="E62" i="70"/>
  <c r="I84" i="70"/>
  <c r="F82" i="70"/>
  <c r="I63" i="70"/>
  <c r="J61" i="70"/>
  <c r="E92" i="70"/>
  <c r="G77" i="70"/>
  <c r="M88" i="70"/>
  <c r="G91" i="70"/>
  <c r="F76" i="70"/>
  <c r="G89" i="70"/>
  <c r="H74" i="70"/>
  <c r="M85" i="70"/>
  <c r="N60" i="70"/>
  <c r="E61" i="70"/>
  <c r="F61" i="70"/>
  <c r="J83" i="70"/>
  <c r="N62" i="70"/>
  <c r="F92" i="70"/>
  <c r="H77" i="70"/>
  <c r="N88" i="70"/>
  <c r="H91" i="70"/>
  <c r="G76" i="70"/>
  <c r="H89" i="70"/>
  <c r="J74" i="70"/>
  <c r="K90" i="70"/>
  <c r="G93" i="70"/>
  <c r="J60" i="70"/>
  <c r="H62" i="70"/>
  <c r="I62" i="70"/>
  <c r="J62" i="70"/>
  <c r="M82" i="70"/>
  <c r="N84" i="70"/>
  <c r="L60" i="70"/>
  <c r="H82" i="70"/>
  <c r="G92" i="70"/>
  <c r="J77" i="70"/>
  <c r="E99" i="70"/>
  <c r="I91" i="70"/>
  <c r="E76" i="70"/>
  <c r="I89" i="70"/>
  <c r="K74" i="70"/>
  <c r="F96" i="70"/>
  <c r="M90" i="70"/>
  <c r="E97" i="70"/>
  <c r="J70" i="70"/>
  <c r="L75" i="70"/>
  <c r="F97" i="70"/>
  <c r="N68" i="70"/>
  <c r="I67" i="70"/>
  <c r="K70" i="70"/>
  <c r="L66" i="70"/>
  <c r="H94" i="70"/>
  <c r="H93" i="70"/>
  <c r="M83" i="70"/>
  <c r="K60" i="70"/>
  <c r="F62" i="70"/>
  <c r="F83" i="70"/>
  <c r="M63" i="70"/>
  <c r="N63" i="70"/>
  <c r="K85" i="70"/>
  <c r="G61" i="70"/>
  <c r="L83" i="70"/>
  <c r="H92" i="70"/>
  <c r="I77" i="70"/>
  <c r="F99" i="70"/>
  <c r="J91" i="70"/>
  <c r="H76" i="70"/>
  <c r="J89" i="70"/>
  <c r="L74" i="70"/>
  <c r="N93" i="70"/>
  <c r="F93" i="70"/>
  <c r="M98" i="70"/>
  <c r="G94" i="70"/>
  <c r="N98" i="70"/>
  <c r="N90" i="70"/>
  <c r="F71" i="70"/>
  <c r="I69" i="70"/>
  <c r="E90" i="70"/>
  <c r="M75" i="70"/>
  <c r="I71" i="70"/>
  <c r="G97" i="70"/>
  <c r="G96" i="70"/>
  <c r="J67" i="70"/>
  <c r="I70" i="70"/>
  <c r="M66" i="70"/>
  <c r="I94" i="70"/>
  <c r="G60" i="70"/>
  <c r="G84" i="70"/>
  <c r="J63" i="70"/>
  <c r="J84" i="70"/>
  <c r="G83" i="70"/>
  <c r="H83" i="70"/>
  <c r="K62" i="70"/>
  <c r="F85" i="70"/>
  <c r="I92" i="70"/>
  <c r="K77" i="70"/>
  <c r="G99" i="70"/>
  <c r="K91" i="70"/>
  <c r="K73" i="70"/>
  <c r="K89" i="70"/>
  <c r="M74" i="70"/>
  <c r="L85" i="70"/>
  <c r="K84" i="70"/>
  <c r="L84" i="70"/>
  <c r="E82" i="70"/>
  <c r="J92" i="70"/>
  <c r="L77" i="70"/>
  <c r="H99" i="70"/>
  <c r="L91" i="70"/>
  <c r="L73" i="70"/>
  <c r="L89" i="70"/>
  <c r="N74" i="70"/>
  <c r="N94" i="70"/>
  <c r="M97" i="70"/>
  <c r="N97" i="70"/>
  <c r="H97" i="70"/>
  <c r="K69" i="70"/>
  <c r="G90" i="70"/>
  <c r="G72" i="70"/>
  <c r="H71" i="70"/>
  <c r="I97" i="70"/>
  <c r="I96" i="70"/>
  <c r="L67" i="70"/>
  <c r="E95" i="70"/>
  <c r="E66" i="70"/>
  <c r="K94" i="70"/>
  <c r="G85" i="70"/>
  <c r="L61" i="70"/>
  <c r="I60" i="70"/>
  <c r="M84" i="70"/>
  <c r="K92" i="70"/>
  <c r="E88" i="70"/>
  <c r="I99" i="70"/>
  <c r="M91" i="70"/>
  <c r="M73" i="70"/>
  <c r="M89" i="70"/>
  <c r="N85" i="70"/>
  <c r="L90" i="70"/>
  <c r="F94" i="70"/>
  <c r="L69" i="70"/>
  <c r="H90" i="70"/>
  <c r="H72" i="70"/>
  <c r="K71" i="70"/>
  <c r="J97" i="70"/>
  <c r="J96" i="70"/>
  <c r="M67" i="70"/>
  <c r="F95" i="70"/>
  <c r="F66" i="70"/>
  <c r="L94" i="70"/>
  <c r="F63" i="70"/>
  <c r="M61" i="70"/>
  <c r="L82" i="70"/>
  <c r="E60" i="70"/>
  <c r="L92" i="70"/>
  <c r="F88" i="70"/>
  <c r="J99" i="70"/>
  <c r="N91" i="70"/>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D86" i="69" s="1" a="1"/>
  <c r="AD86" i="69" s="1"/>
  <c r="AD107" i="69" s="1" a="1"/>
  <c r="AD107" i="69" s="1"/>
  <c r="AD159" i="69" s="1" a="1"/>
  <c r="AD159" i="69" s="1"/>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A83" i="69" s="1" a="1"/>
  <c r="AA83" i="69" s="1"/>
  <c r="AA104" i="69" s="1" a="1"/>
  <c r="AA104" i="69" s="1"/>
  <c r="AA156" i="69" s="1" a="1"/>
  <c r="AA156" i="69" s="1"/>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X83" i="69" s="1" a="1"/>
  <c r="X83" i="69" s="1"/>
  <c r="X104" i="69" s="1" a="1"/>
  <c r="X104" i="69" s="1"/>
  <c r="X156" i="69" s="1" a="1"/>
  <c r="X156" i="69" s="1"/>
  <c r="AB60" i="69"/>
  <c r="AD65" i="69"/>
  <c r="X69" i="69"/>
  <c r="AD47" i="69"/>
  <c r="AC69" i="69"/>
  <c r="AE44" i="69"/>
  <c r="K59" i="69"/>
  <c r="M57" i="69"/>
  <c r="G57" i="69"/>
  <c r="Y64" i="69"/>
  <c r="Y69" i="69"/>
  <c r="X71" i="69"/>
  <c r="W55" i="69"/>
  <c r="W87" i="69" s="1" a="1"/>
  <c r="W87" i="69" s="1"/>
  <c r="W108" i="69" s="1" a="1"/>
  <c r="W108" i="69" s="1"/>
  <c r="W160" i="69" s="1" a="1"/>
  <c r="W160" i="69" s="1"/>
  <c r="W50" i="69"/>
  <c r="AB67" i="69"/>
  <c r="Z67" i="69"/>
  <c r="F59" i="69"/>
  <c r="Y70" i="69"/>
  <c r="AC50" i="69"/>
  <c r="Y45" i="69"/>
  <c r="Y77" i="69" s="1" a="1"/>
  <c r="Y77" i="69" s="1"/>
  <c r="Y98" i="69" s="1" a="1"/>
  <c r="Y98" i="69" s="1"/>
  <c r="Y150" i="69" s="1" a="1"/>
  <c r="Y150" i="69" s="1"/>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Y76" i="69" s="1" a="1"/>
  <c r="Y76" i="69" s="1"/>
  <c r="Y97" i="69" s="1" a="1"/>
  <c r="Y97" i="69" s="1"/>
  <c r="Y149" i="69" s="1" a="1"/>
  <c r="Y149" i="69" s="1"/>
  <c r="AB64" i="69"/>
  <c r="AD60" i="69"/>
  <c r="AD49" i="69"/>
  <c r="AB61" i="69"/>
  <c r="AE48" i="69"/>
  <c r="AD64" i="69"/>
  <c r="AD55" i="69"/>
  <c r="V48" i="69"/>
  <c r="AB69" i="69"/>
  <c r="AC60" i="69"/>
  <c r="J59" i="69"/>
  <c r="W64" i="69"/>
  <c r="V70" i="69"/>
  <c r="I58" i="69"/>
  <c r="K56" i="69"/>
  <c r="J56" i="69"/>
  <c r="V53" i="69"/>
  <c r="AC71" i="69"/>
  <c r="AA53" i="69"/>
  <c r="G58" i="69"/>
  <c r="AB55" i="69"/>
  <c r="AB87" i="69" s="1" a="1"/>
  <c r="AB87" i="69" s="1"/>
  <c r="AB108" i="69" s="1" a="1"/>
  <c r="AB108" i="69" s="1"/>
  <c r="AB160" i="69" s="1" a="1"/>
  <c r="AB160" i="69" s="1"/>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X87" i="69" s="1" a="1"/>
  <c r="X87" i="69" s="1"/>
  <c r="X108" i="69" s="1" a="1"/>
  <c r="X108" i="69" s="1"/>
  <c r="X160" i="69" s="1" a="1"/>
  <c r="X160" i="69" s="1"/>
  <c r="V66" i="69"/>
  <c r="V45" i="69"/>
  <c r="V77" i="69" s="1" a="1"/>
  <c r="V77" i="69" s="1"/>
  <c r="V98" i="69" s="1" a="1"/>
  <c r="V98" i="69" s="1"/>
  <c r="V150" i="69" s="1" a="1"/>
  <c r="V150" i="69" s="1"/>
  <c r="AD63" i="69"/>
  <c r="AE68" i="69"/>
  <c r="W44" i="69"/>
  <c r="V63" i="69"/>
  <c r="W71" i="69"/>
  <c r="AE61" i="69"/>
  <c r="V44" i="69"/>
  <c r="V52" i="69"/>
  <c r="W49" i="69"/>
  <c r="Z45" i="69"/>
  <c r="Z77" i="69" s="1" a="1"/>
  <c r="Z77" i="69" s="1"/>
  <c r="Z98" i="69" s="1" a="1"/>
  <c r="Z98" i="69" s="1"/>
  <c r="Z150" i="69" s="1" a="1"/>
  <c r="Z150" i="69" s="1"/>
  <c r="AE45" i="69"/>
  <c r="J58" i="69"/>
  <c r="N59" i="69"/>
  <c r="Y47" i="69"/>
  <c r="V68" i="69"/>
  <c r="AC67" i="69"/>
  <c r="AE47" i="69"/>
  <c r="AD66" i="69"/>
  <c r="V69" i="69"/>
  <c r="Z68" i="69"/>
  <c r="W69" i="69"/>
  <c r="V50" i="69"/>
  <c r="N56" i="69"/>
  <c r="Z66" i="69"/>
  <c r="X53" i="69"/>
  <c r="E58" i="69"/>
  <c r="AE64" i="69"/>
  <c r="Y48" i="69"/>
  <c r="AC54" i="69"/>
  <c r="L59" i="69"/>
  <c r="V65" i="69"/>
  <c r="V51" i="69"/>
  <c r="V83" i="69" s="1" a="1"/>
  <c r="V83" i="69" s="1"/>
  <c r="V104" i="69" s="1" a="1"/>
  <c r="V104" i="69" s="1"/>
  <c r="V156" i="69" s="1" a="1"/>
  <c r="V156" i="69" s="1"/>
  <c r="Y49" i="69"/>
  <c r="Y62" i="69"/>
  <c r="AD52" i="69"/>
  <c r="AD84" i="69" s="1" a="1"/>
  <c r="AD84" i="69" s="1"/>
  <c r="AD105" i="69" s="1" a="1"/>
  <c r="AD105" i="69" s="1"/>
  <c r="AD157" i="69" s="1" a="1"/>
  <c r="AD157" i="69" s="1"/>
  <c r="AA52" i="69"/>
  <c r="Z44" i="69"/>
  <c r="AB66" i="69"/>
  <c r="AA65" i="69"/>
  <c r="AA54" i="69"/>
  <c r="AA86" i="69" s="1" a="1"/>
  <c r="AA86" i="69" s="1"/>
  <c r="AA107" i="69" s="1" a="1"/>
  <c r="AA107" i="69" s="1"/>
  <c r="AA159" i="69" s="1" a="1"/>
  <c r="AA159" i="69" s="1"/>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V78" i="69" s="1" a="1"/>
  <c r="V78" i="69" s="1"/>
  <c r="V99" i="69" s="1" a="1"/>
  <c r="V99" i="69" s="1"/>
  <c r="V151" i="69" s="1" a="1"/>
  <c r="V151" i="69" s="1"/>
  <c r="W46" i="69"/>
  <c r="W78" i="69" s="1" a="1"/>
  <c r="W78" i="69" s="1"/>
  <c r="W99" i="69" s="1" a="1"/>
  <c r="W99" i="69" s="1"/>
  <c r="W151" i="69" s="1" a="1"/>
  <c r="W151" i="69" s="1"/>
  <c r="M49" i="69"/>
  <c r="N49" i="69"/>
  <c r="G50" i="69"/>
  <c r="L49" i="69"/>
  <c r="Z46" i="69"/>
  <c r="AB46" i="69"/>
  <c r="M50" i="69"/>
  <c r="G48" i="69"/>
  <c r="F50" i="69"/>
  <c r="AD46" i="69"/>
  <c r="J49" i="69"/>
  <c r="K51" i="69"/>
  <c r="H49" i="69"/>
  <c r="AC78" i="69" l="1"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<sst xmlns="http://schemas.openxmlformats.org/spreadsheetml/2006/main" count="1086" uniqueCount="269">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</sst>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7">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6"/>
      <tableStyleElement type="headerRow" dxfId="145"/>
      <tableStyleElement type="totalRow" dxfId="144"/>
      <tableStyleElement type="firstColumn" dxfId="143"/>
      <tableStyleElement type="firstRowStripe" dxfId="142"/>
      <tableStyleElement type="secondRowStripe" dxfId="141"/>
    </tableStyle>
    <tableStyle name="Equation table" pivot="0" count="6" xr9:uid="{B247698E-E41D-4CCD-AA0A-C14817E9DE65}">
      <tableStyleElement type="wholeTable" dxfId="140"/>
      <tableStyleElement type="headerRow" dxfId="139"/>
      <tableStyleElement type="totalRow" dxfId="138"/>
      <tableStyleElement type="firstColumn" dxfId="137"/>
      <tableStyleElement type="firstRowStripe" dxfId="136"/>
      <tableStyleElement type="secondRowStripe" dxfId="135"/>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69" dataCellStyle="Content normal">
      <calculatedColumnFormula>D351</calculatedColumnFormula>
    </tableColumn>
    <tableColumn id="2" xr3:uid="{B172192B-EDB5-47A5-A010-C82516ED13B5}" name="Bulls &lt; 1 year" dataDxfId="68" dataCellStyle="Content normal">
      <calculatedColumnFormula>E351</calculatedColumnFormula>
    </tableColumn>
    <tableColumn id="3" xr3:uid="{F83B528D-B6D7-4E92-967F-018ED1475D9B}" name="Bulls &gt; 1 year" dataDxfId="67" dataCellStyle="Content normal">
      <calculatedColumnFormula>F351</calculatedColumnFormula>
    </tableColumn>
    <tableColumn id="4" xr3:uid="{E83019D4-F113-4C9E-ADA7-433997A968A1}" name="Cows &lt; 1 year" dataDxfId="66" dataCellStyle="Content normal">
      <calculatedColumnFormula>G351</calculatedColumnFormula>
    </tableColumn>
    <tableColumn id="5" xr3:uid="{B51413B2-710F-409C-8C3C-6B72C8E99B49}" name="Cows 1-2 years" dataDxfId="65" dataCellStyle="Content normal">
      <calculatedColumnFormula>H351</calculatedColumnFormula>
    </tableColumn>
    <tableColumn id="6" xr3:uid="{F7B12596-1E7F-417C-83F5-67964BA7AAAE}" name="Cows 2-3 years" dataDxfId="64" dataCellStyle="Content normal">
      <calculatedColumnFormula>I351</calculatedColumnFormula>
    </tableColumn>
    <tableColumn id="7" xr3:uid="{C1B8EAD9-BCCE-49FF-9E3D-15E99DEC329C}" name="Cows &gt; 3 years" dataDxfId="63" dataCellStyle="Content normal">
      <calculatedColumnFormula>I351</calculatedColumnFormula>
    </tableColumn>
    <tableColumn id="8" xr3:uid="{6AB556D2-AF6C-4E98-9AA1-A8C6DC5F5CA9}" name="Steers &lt; 1 year" dataDxfId="62" dataCellStyle="Content normal">
      <calculatedColumnFormula>J351</calculatedColumnFormula>
    </tableColumn>
    <tableColumn id="9" xr3:uid="{46DC3CBA-6FB0-4A95-A39E-B2179DC8CFE6}" name="Steers 1-2 years" dataDxfId="61" dataCellStyle="Content normal">
      <calculatedColumnFormula>K351</calculatedColumnFormula>
    </tableColumn>
    <tableColumn id="10" xr3:uid="{105CEA90-EFAD-4757-B82A-B19E9A3F2664}" name="Steers 2-3 years" dataDxfId="60" dataCellStyle="Content normal"/>
    <tableColumn id="11" xr3:uid="{5E2A59D6-56CA-4967-885E-8602CA905B74}" name="Steers &gt;3 years" dataDxfId="59" dataCellStyle="Content normal"/>
    <tableColumn id="12" xr3:uid="{1C306FC1-FFBA-4C23-8EAD-1C07A5BAAA50}" name="State abbreviation" dataDxfId="58"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3B1D119-AE36-4882-A86A-C523EA50793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7C242BB-51B4-423F-A8D2-BC23E743AC2B}" name="State/Territory">
      <calculatedColumnFormula array="1">Common_InputFunctions.Utility_DisplayArrayInTable(Common_SourceData.Common_SourceData_AustralianStatesTerritories_Data(),Table_AustralianStates[[#Headers],[State/Territory]],0)</calculatedColumnFormula>
    </tableColumn>
    <tableColumn id="2" xr3:uid="{755EF525-9892-4708-8112-D3FC5D810E35}" name="Common Name">
      <calculatedColumnFormula array="1">Common_InputFunctions.Utility_DisplayArrayInTable(Common_SourceData.Common_SourceData_AustralianStatesTerritories_Data(),Table_AustralianStates[[#Headers],[State/Territory]],0)</calculatedColumnFormula>
    </tableColumn>
    <tableColumn id="3" xr3:uid="{F3E1EE38-CE4A-4E0B-B9E9-203FC2D4BCD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AD9DB27-C0F3-47F1-9E26-32B61AC03A74}" name="Table_WASA4Areas" displayName="Table_WASA4Areas" ref="D20:D30" totalsRowShown="0">
  <autoFilter ref="D20:D30" xr:uid="{5FA81339-C6C8-4D36-BEEA-6C4AEDD9E676}">
    <filterColumn colId="0" hiddenButton="1"/>
  </autoFilter>
  <tableColumns count="1">
    <tableColumn id="1" xr3:uid="{F63BCE24-4288-4C54-84AB-8F2BAEE7932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6DF6A3-BEFD-4C6A-8BEF-804415ECB5E4}" name="Table_GWPData" displayName="Table_GWPData" ref="D36:E43" totalsRowShown="0">
  <autoFilter ref="D36:E43" xr:uid="{B8E87A66-3E41-4AD3-925D-01EE21B43D7A}">
    <filterColumn colId="0" hiddenButton="1"/>
    <filterColumn colId="1" hiddenButton="1"/>
  </autoFilter>
  <tableColumns count="2">
    <tableColumn id="1" xr3:uid="{3EB7F9C6-2222-4699-98C4-8D80995BB551}" name="Gas">
      <calculatedColumnFormula array="1">Common_InputFunctions.Utility_DisplayArrayInTable(Common_SourceData.Common_SourceData_GWP_Data(), Table_GWPData[[#Headers],[Gas]], 0)</calculatedColumnFormula>
    </tableColumn>
    <tableColumn id="2" xr3:uid="{5B792409-270E-419D-A290-B3B8D7C30B1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0DE11D-BE36-4C25-A45B-65CA8679D17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CF3D168-A12F-43E8-85D7-62E6D0E507B6}" name="Gas">
      <calculatedColumnFormula array="1">Common_InputFunctions.Utility_DisplayArrayInTable(Common_SourceData.Common_SourceData_ConvertGasElementalToMolecular_Data(),Table_GasToMolecularConversionFactor[[#Headers],[Gas]], 0)</calculatedColumnFormula>
    </tableColumn>
    <tableColumn id="5" xr3:uid="{E4EAE0E1-2718-46DB-8C7D-3C9370742BE8}" name="Conversion factor">
      <calculatedColumnFormula array="1">Common_InputFunctions.Utility_DisplayArrayInTable(Common_SourceData.Common_SourceData_ConvertGasElementalToMolecular_Data(),Table_GasToMolecularConversionFactor[[#Headers],[Gas]], 0)</calculatedColumnFormula>
    </tableColumn>
    <tableColumn id="2" xr3:uid="{4646E153-46BA-42A4-ADFA-394C3D97CBC0}"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F768D75-330E-4E1B-9C46-A5613B0AEE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BE4B44-15A5-4798-963B-BB09DAB2460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8B6FD77-14E4-4BE8-9058-941E5E30D9E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0F6EBAD-BA5B-454C-915C-884A9A40AB7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D7AC8D9-9EB0-47D9-806E-AC81058A98BE}" name="MA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3" xr3:uid="{64C27ED9-1413-4931-9A4F-D4FFDA5E0746}" name="MA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4" xr3:uid="{99C890E6-523A-43B6-8EFF-3CED5099B43B}" name="Frost days per year"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5" xr3:uid="{8404FAB5-F155-4A1D-9D5D-EF231D470CD5}" name="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6" xr3:uid="{B2149590-2AA4-472E-85C2-8EEE94F806D4}" name="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7" xr3:uid="{6FAF9C10-4F71-45EB-937E-A6B48F24AB3A}" name="Min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8" xr3:uid="{07865798-26C0-436E-8D22-A62570ABCFAE}" name="Max tem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9" xr3:uid="{5EBD3B07-2DF7-4F2C-AE47-709797F0CAFA}" name="Min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0" xr3:uid="{523DC766-99EB-4736-9468-530DEFD393C3}" name="Max rainfall"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1" xr3:uid="{9CAC9BDD-B280-46F9-8689-DEF713A90B48}" name="Min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5" xr3:uid="{50ED932C-C2F2-4BBF-A976-306EF039AFCC}" name="Max frost days"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2" xr3:uid="{97B86707-34B4-491C-B5B6-9C97A2C4B66C}" name="Min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6" xr3:uid="{291FAF29-BB9B-4F5C-90A2-F932A17B744D}" name="Max elevation"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3" xr3:uid="{2854EE77-5E7B-43E3-A57F-1BDDD57F86CB}" name="Min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7" xr3:uid="{CD758545-F6EE-4A63-B29E-F48B5FEAF0E2}" name="Max 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DF7ACF-0C48-4224-99C4-EC5059D1B81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271FBC5-1C52-420B-9141-769BD16BA4B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2944AC3-AD2E-4190-939D-478DA214D15F}" name="Wet or Dry Zone" totalsRowDxfId="3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9DC4EB0-B7E4-4583-BEA5-856AFD9E977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121535-0315-4F9E-B52E-C199FA8B2AAB}" name="Temperature Zone">
      <calculatedColumnFormula array="1">Common_InputFunctions.Utility_DisplayArrayInTable(Common_SourceData.Common_SourceData_TemperatureZones_Data(),Table_SourceData_TemperatureZones[[#Headers],[Temperature Zone]],0)</calculatedColumnFormula>
    </tableColumn>
    <tableColumn id="2" xr3:uid="{BCBF1AAD-2CE9-475A-8CDF-928707F7DAA6}" name="MAT">
      <calculatedColumnFormula array="1">Common_InputFunctions.Utility_DisplayArrayInTable(Common_SourceData.Common_SourceData_TemperatureZones_Data(),Table_SourceData_TemperatureZones[[#Headers],[Temperature Zone]],0)</calculatedColumnFormula>
    </tableColumn>
    <tableColumn id="3" xr3:uid="{0B56E810-4EE5-4520-B13A-358A744F042C}" name="Min MAT">
      <calculatedColumnFormula array="1">Common_InputFunctions.Utility_DisplayArrayInTable(Common_SourceData.Common_SourceData_TemperatureZones_Data(),Table_SourceData_TemperatureZones[[#Headers],[Temperature Zone]],0)</calculatedColumnFormula>
    </tableColumn>
    <tableColumn id="4" xr3:uid="{3586F58B-6C8B-4C19-8B74-D9EB642150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E0009E0-04B4-4C50-8030-D113C746F92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DF0AF09-AD65-4500-BF8B-3C364B125D3F}" name="Rainfall Zone">
      <calculatedColumnFormula array="1">Common_InputFunctions.Utility_DisplayArrayInTable(Common_SourceData.Common_SourceData_RainfallZones_Data(),Table_SourceData_RainfallZones[[#Headers],[Rainfall Zone]],0)</calculatedColumnFormula>
    </tableColumn>
    <tableColumn id="2" xr3:uid="{3F479EE2-0ADC-48A2-81F6-7195669EC16F}" name="Annual rainfall">
      <calculatedColumnFormula array="1">Common_InputFunctions.Utility_DisplayArrayInTable(Common_SourceData.Common_SourceData_RainfallZones_Data(),Table_SourceData_RainfallZones[[#Headers],[Rainfall Zone]],0)</calculatedColumnFormula>
    </tableColumn>
    <tableColumn id="3" xr3:uid="{66321ADA-6F22-4172-89F0-E78A3A96EF9F}" name="Min rainfall">
      <calculatedColumnFormula array="1">Common_InputFunctions.Utility_DisplayArrayInTable(Common_SourceData.Common_SourceData_RainfallZones_Data(),Table_SourceData_RainfallZones[[#Headers],[Rainfall Zone]],0)</calculatedColumnFormula>
    </tableColumn>
    <tableColumn id="4" xr3:uid="{56980B5B-88EC-4031-8C4A-B19CE7B44C7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4477F-BE1F-43C2-8F1C-B6AA54EC00D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217CA27-53C4-4E35-A087-FDDBD9F94030}" name="Leaching Zone">
      <calculatedColumnFormula array="1">Common_InputFunctions.Utility_DisplayArrayInTable(Common_SourceData.Common_SourceData_LeachingZones_Data(), Table_SourceData_LeachingZones[[#Headers],[Leaching Zone]], 0)</calculatedColumnFormula>
    </tableColumn>
    <tableColumn id="2" xr3:uid="{ED90CE9D-0DE4-47F4-A6FB-385401DCE2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408603-DA46-421E-A8F5-AF040D1456A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CAC6AF4-946A-4525-B1B5-DE4FB3BF4592}" name="Data source">
      <calculatedColumnFormula array="1">Common_InputFunctions.Utility_DisplayArrayInTable(Common_SourceData.Common_SourceData_DataScores_Scope3_Data(), Table_SourceData_DataScores_Scope3[[#Headers],[Data source]], 0)</calculatedColumnFormula>
    </tableColumn>
    <tableColumn id="2" xr3:uid="{7663365C-00F2-466F-9DFC-03D11587663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0EB687A-8167-441C-A98A-B0093FFF5073}" name="Table_SourceData_FracWET" displayName="Table_SourceData_FracWET" ref="D134:E136" totalsRowShown="0">
  <autoFilter ref="D134:E136" xr:uid="{308E99BE-FE1F-47A4-B2CA-97217277C4E9}">
    <filterColumn colId="0" hiddenButton="1"/>
    <filterColumn colId="1" hiddenButton="1"/>
  </autoFilter>
  <tableColumns count="2">
    <tableColumn id="1" xr3:uid="{E0EDD8E8-5C30-4980-B532-D077D1342F55}" name="Is in leaching zone">
      <calculatedColumnFormula array="1">Common_InputFunctions.Utility_DisplayArrayInTable(Common_SourceData.Common_SourceData_FracWET_Data(),Table_SourceData_FracWET[[#Headers],[Is in leaching zone]],0)</calculatedColumnFormula>
    </tableColumn>
    <tableColumn id="2" xr3:uid="{640C967A-A7E6-47BC-A125-9E34FC97D19B}" name="FracWET" dataDxfId="3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BBDED0F-A082-4E38-A730-6B54F100546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8A5E791-7EC8-471A-896B-79D9B8CA6B6D}" name="Production system j">
      <calculatedColumnFormula array="1">Common_InputFunctions.Utility_DisplayArrayInTable(Common_SourceData.Common_SourceData_EFN2O_Data(), Table_SourceData_Common_EFN2O[[#Headers],[Production system j]], 0)</calculatedColumnFormula>
    </tableColumn>
    <tableColumn id="2" xr3:uid="{A43EBE5D-8CC7-4C0A-8046-B8D0E86E212D}" name="EFN2O">
      <calculatedColumnFormula array="1">Common_InputFunctions.Utility_DisplayArrayInTable(Common_SourceData.Common_SourceData_EFN2O_Data(), Table_SourceData_Common_EFN2O[[#Headers],[Production system j]], 0)</calculatedColumnFormula>
    </tableColumn>
    <tableColumn id="3" xr3:uid="{73778775-C182-4844-A8DD-5D29CC4492D9}" name="Production system only">
      <calculatedColumnFormula array="1">Common_InputFunctions.Utility_DisplayArrayInTable(Common_SourceData.Common_SourceData_EFN2O_Data(), Table_SourceData_Common_EFN2O[[#Headers],[Production system j]], 0)</calculatedColumnFormula>
    </tableColumn>
    <tableColumn id="4" xr3:uid="{58F54CB8-EAEE-4B7E-95F9-516199121632}" name="Irrigation method">
      <calculatedColumnFormula array="1">Common_InputFunctions.Utility_DisplayArrayInTable(Common_SourceData.Common_SourceData_EFN2O_Data(), Table_SourceData_Common_EFN2O[[#Headers],[Production system j]], 0)</calculatedColumnFormula>
    </tableColumn>
    <tableColumn id="5" xr3:uid="{195F57C0-0476-4870-9B0B-8DC45478E7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890194F-3644-4E7E-9F32-1D8579630B2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660F8AF-06C4-444B-909A-C7DEB94C6063}" name="Irrigation type i">
      <calculatedColumnFormula array="1">Common_InputFunctions.Utility_DisplayArrayInTable(Common_SourceData.Common_SourceData_FracWETIrrigation_Data(), Table_SourceData_FracWETIrrigation[[#Headers],[Irrigation type i]], 0)</calculatedColumnFormula>
    </tableColumn>
    <tableColumn id="2" xr3:uid="{50F6B56B-7701-4FFA-96C8-33D110261069}" name="FracWET" dataDxfId="2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FC6200-342C-436C-8038-ED5EAF59376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E507615-79DC-4CFB-8830-FF8BE120BA7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34501F0-A89E-4116-BA95-70287FF5C983}" name="EFPRP" dataDxfId="2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7F4C072-3A77-4172-ABA5-E214F7D5DE6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831DA29-D20A-4178-8784-FD4E7BF8F065}" name="Month">
      <calculatedColumnFormula array="1">Common_InputFunctions.Utility_DisplayArrayInTable(Common_SourceData.Common_SourceData_MonthsToSeasons_Data(), Table_SourceData_Common_MonthToSeason[[#Headers],[Month]], 0)</calculatedColumnFormula>
    </tableColumn>
    <tableColumn id="2" xr3:uid="{D5DFBC4A-8915-4694-8151-AD8ABD10F441}" name="Season" dataDxfId="2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7011D9F-092D-4F38-9A18-3D63607C3A3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A3BB5D-268F-4AE9-B3B8-0C2F4E50C58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C94923A-D7C2-4051-BDD8-91C0D35864A5}" name="MAT (ºC)"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CD5F318-6A9E-40FC-BC79-6EC488136CEC}" name="Anaerobic lagoon"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9BBFE6C-F111-41EC-81E7-F4EAB0A9D5EC}" name="Digester / covered lagoon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013E0A3-185E-4369-9171-0F8BF77FDA96}" name="Liquid systems"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E5B2E2-CAF4-471D-A0E0-0C926E7FBB62}" name="Daily spread"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ABEB7-C68C-43FA-8A3E-E208ED444B93}" name="Composting (passive windro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67CF7-6361-4051-B2D3-6F9998387F6A}" name="Solid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38D4E36-9D97-4B0B-81FF-3F86AD43AFE1}" name="Pit storage"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FEC635F-D027-4431-AE82-0E41CC2F15E0}" name="Deep litter"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94B0ACC-CEDE-430C-AD86-FF115D425BB7}" name="Poultry manure with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99F7296-C242-4F97-9551-5B322DDC23CA}" name="Poultry manure without bedd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D4D342D-7FBD-4C5F-AB1E-FC7ED5C82C79}" name="Direct processing"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5A7BA27-604E-4278-B1CE-EEF41D9A8F81}" name="Direct applicati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B987EE2-EC7C-493C-8A4A-AEEBD8F6AD6F}" name="Pasture range and paddock"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32D4467-904E-487F-8B40-0B769499F342}" name="MAT raw"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4" sqref="A1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f>'3.2.1.1-2 Enteric Methane'!E128</f>
        <v>55.678061774650885</v>
      </c>
      <c r="F7" s="105">
        <f>'3.2.1.1-2 Enteric Methane'!V161</f>
        <v>56.163952698425533</v>
      </c>
      <c r="G7" s="53" t="s">
        <v>117</v>
      </c>
      <c r="H7" s="105">
        <f>'3.2.1.1-2 Enteric Methane'!E133</f>
        <v>1558.9857296902248</v>
      </c>
      <c r="I7" s="105">
        <f>'3.2.1.1-2 Enteric Methane'!V166</f>
        <v>1572.5906755559149</v>
      </c>
      <c r="J7" s="53" t="s">
        <v>120</v>
      </c>
      <c r="K7" s="22"/>
    </row>
    <row r="8" spans="1:11" ht="20.100000000000001" customHeight="1" x14ac:dyDescent="0.3">
      <c r="A8" s="17" t="str">
        <f>HYPERLINK("#'Input - Pasture Beef'!A1", "Pasture Beef")</f>
        <v>Pasture Beef</v>
      </c>
      <c r="C8" s="22"/>
      <c r="D8" s="29" t="s">
        <v>99</v>
      </c>
      <c r="E8" s="23"/>
      <c r="F8" s="23"/>
      <c r="G8" s="29"/>
      <c r="H8" s="106">
        <f>SUM(H7:H7)</f>
        <v>1558.9857296902248</v>
      </c>
      <c r="I8" s="106">
        <f>SUM(I7:I7)</f>
        <v>1572.5906755559149</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8" sqref="A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zoomScale="85" zoomScaleNormal="85" workbookViewId="0">
      <selection activeCell="A4" sqref="A4"/>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'Input - Site'!$E$21</f>
        <v>Western Australia</v>
      </c>
      <c r="P7" s="3"/>
      <c r="T7" s="7"/>
    </row>
    <row r="8" spans="1:25" ht="20.100000000000001" customHeight="1" x14ac:dyDescent="0.25">
      <c r="A8" s="119"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143</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140</v>
      </c>
      <c r="T14" s="37"/>
    </row>
    <row r="15" spans="1:25" ht="20.100000000000001" customHeight="1" x14ac:dyDescent="0.25">
      <c r="A15" s="17" t="str">
        <f>HYPERLINK("#'Constants - Livestock'!A1", "Constants - Livestock")</f>
        <v>Constants - Livestock</v>
      </c>
      <c r="D15" s="61" t="s">
        <v>141</v>
      </c>
      <c r="E15" s="61" t="s">
        <v>104</v>
      </c>
      <c r="F15" s="61" t="s">
        <v>103</v>
      </c>
      <c r="G15" s="61" t="s">
        <v>127</v>
      </c>
      <c r="H15" s="61" t="s">
        <v>128</v>
      </c>
      <c r="I15" s="61" t="s">
        <v>129</v>
      </c>
      <c r="J15" s="61" t="s">
        <v>130</v>
      </c>
      <c r="K15" s="61" t="s">
        <v>131</v>
      </c>
      <c r="L15" s="61" t="s">
        <v>132</v>
      </c>
      <c r="M15" s="61" t="s">
        <v>133</v>
      </c>
      <c r="N15" s="61" t="s">
        <v>134</v>
      </c>
      <c r="T15" s="37"/>
    </row>
    <row r="16" spans="1:25" ht="20.100000000000001" customHeight="1" x14ac:dyDescent="0.25">
      <c r="A16" s="17" t="str">
        <f>HYPERLINK("#'Constants - Common'!A1", "Constants - Common")</f>
        <v>Constants - Common</v>
      </c>
      <c r="D16" s="1" t="s">
        <v>135</v>
      </c>
      <c r="E16" s="51">
        <v>91.25</v>
      </c>
      <c r="F16" s="51">
        <v>91.25</v>
      </c>
      <c r="G16" s="51">
        <v>91.25</v>
      </c>
      <c r="H16" s="51">
        <v>91.25</v>
      </c>
      <c r="I16" s="51">
        <v>91.25</v>
      </c>
      <c r="J16" s="51">
        <v>91.25</v>
      </c>
      <c r="K16" s="51">
        <v>91.25</v>
      </c>
      <c r="L16" s="51">
        <v>91.25</v>
      </c>
      <c r="M16" s="51">
        <v>91.25</v>
      </c>
      <c r="N16" s="51">
        <v>91.25</v>
      </c>
      <c r="O16" s="2" t="s">
        <v>47</v>
      </c>
      <c r="T16" s="37"/>
    </row>
    <row r="17" spans="1:20" ht="20.100000000000001" customHeight="1" x14ac:dyDescent="0.25">
      <c r="A17" s="17" t="str">
        <f>HYPERLINK("#'Acknowledgements'!A1", "Acknowledgements")</f>
        <v>Acknowledgements</v>
      </c>
      <c r="D17" s="1" t="s">
        <v>136</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D18" s="1" t="s">
        <v>137</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c r="D19" s="1" t="s">
        <v>138</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c r="T20" s="7"/>
    </row>
    <row r="21" spans="1:20" ht="20.100000000000001" customHeight="1" x14ac:dyDescent="0.25">
      <c r="D21" s="61" t="s">
        <v>142</v>
      </c>
      <c r="E21" s="61" t="s">
        <v>104</v>
      </c>
      <c r="F21" s="61" t="s">
        <v>103</v>
      </c>
      <c r="G21" s="61" t="s">
        <v>127</v>
      </c>
      <c r="H21" s="61" t="s">
        <v>128</v>
      </c>
      <c r="I21" s="61" t="s">
        <v>129</v>
      </c>
      <c r="J21" s="61" t="s">
        <v>130</v>
      </c>
      <c r="K21" s="61" t="s">
        <v>131</v>
      </c>
      <c r="L21" s="61" t="s">
        <v>132</v>
      </c>
      <c r="M21" s="61" t="s">
        <v>133</v>
      </c>
      <c r="N21" s="61" t="s">
        <v>134</v>
      </c>
      <c r="T21" s="7"/>
    </row>
    <row r="22" spans="1:20" ht="20.100000000000001" customHeight="1" x14ac:dyDescent="0.25">
      <c r="A22" s="17"/>
      <c r="D22" s="1" t="str">
        <f>TEXT('Input - Site'!$E$12,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47</v>
      </c>
      <c r="T22" s="7"/>
    </row>
    <row r="23" spans="1:20" ht="20.100000000000001" customHeight="1" x14ac:dyDescent="0.25">
      <c r="A23" s="17"/>
      <c r="D23" s="1" t="str">
        <f>TEXT(EDATE('Input - Site'!$E$12,1),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47</v>
      </c>
      <c r="T23" s="7"/>
    </row>
    <row r="24" spans="1:20" ht="20.100000000000001" customHeight="1" x14ac:dyDescent="0.25">
      <c r="A24" s="17"/>
      <c r="D24" s="1" t="str">
        <f>TEXT(EDATE('Input - Site'!$E$12,2),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47</v>
      </c>
      <c r="T24" s="7"/>
    </row>
    <row r="25" spans="1:20" ht="20.100000000000001" customHeight="1" x14ac:dyDescent="0.25">
      <c r="D25" s="1" t="str">
        <f>TEXT(EDATE('Input - Site'!$E$12,3),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47</v>
      </c>
      <c r="T25" s="7"/>
    </row>
    <row r="26" spans="1:20" ht="20.100000000000001" customHeight="1" x14ac:dyDescent="0.25">
      <c r="A26" s="17"/>
      <c r="D26" s="1" t="str">
        <f>TEXT(EDATE('Input - Site'!$E$12,4),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47</v>
      </c>
      <c r="T26" s="7"/>
    </row>
    <row r="27" spans="1:20" ht="20.100000000000001" customHeight="1" x14ac:dyDescent="0.25">
      <c r="A27" s="17"/>
      <c r="D27" s="1" t="str">
        <f>TEXT(EDATE('Input - Site'!$E$12,5),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47</v>
      </c>
      <c r="T27" s="7"/>
    </row>
    <row r="28" spans="1:20" ht="20.100000000000001" customHeight="1" x14ac:dyDescent="0.25">
      <c r="A28" s="17"/>
      <c r="D28" s="1" t="str">
        <f>TEXT(EDATE('Input - Site'!$E$12,6),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47</v>
      </c>
      <c r="T28" s="7"/>
    </row>
    <row r="29" spans="1:20" ht="20.100000000000001" customHeight="1" x14ac:dyDescent="0.25">
      <c r="A29" s="17"/>
      <c r="D29" s="1" t="str">
        <f>TEXT(EDATE('Input - Site'!$E$12,7),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TEXT(EDATE('Input - Site'!$E$12,8),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47</v>
      </c>
      <c r="T30" s="7"/>
    </row>
    <row r="31" spans="1:20" ht="20.100000000000001" customHeight="1" x14ac:dyDescent="0.25">
      <c r="A31" s="65"/>
      <c r="D31" s="1" t="str">
        <f>TEXT(EDATE('Input - Site'!$E$12,9),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47</v>
      </c>
      <c r="T31" s="7"/>
    </row>
    <row r="32" spans="1:20" ht="20.100000000000001" customHeight="1" x14ac:dyDescent="0.25">
      <c r="A32" s="65"/>
      <c r="D32" s="1" t="str">
        <f>TEXT(EDATE('Input - Site'!$E$12,10),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47</v>
      </c>
      <c r="T32" s="7"/>
    </row>
    <row r="33" spans="1:20" ht="20.100000000000001" customHeight="1" x14ac:dyDescent="0.25">
      <c r="A33" s="17"/>
      <c r="D33" s="1" t="str">
        <f>TEXT(EDATE('Input - Site'!$E$12,11),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47</v>
      </c>
      <c r="T33" s="7"/>
    </row>
    <row r="34" spans="1:20" ht="20.100000000000001" customHeight="1" x14ac:dyDescent="0.25">
      <c r="T34" s="7"/>
    </row>
    <row r="35" spans="1:20" ht="20.100000000000001" customHeight="1" x14ac:dyDescent="0.25">
      <c r="T35" s="7"/>
    </row>
    <row r="36" spans="1:20" ht="20.100000000000001" customHeight="1" x14ac:dyDescent="0.25">
      <c r="D36" s="47" t="s">
        <v>82</v>
      </c>
      <c r="T36" s="7"/>
    </row>
    <row r="37" spans="1:20" ht="20.100000000000001" customHeight="1" x14ac:dyDescent="0.25">
      <c r="D37" s="61" t="s">
        <v>108</v>
      </c>
      <c r="E37" s="61" t="s">
        <v>104</v>
      </c>
      <c r="F37" s="61" t="s">
        <v>103</v>
      </c>
      <c r="G37" s="61" t="s">
        <v>127</v>
      </c>
      <c r="H37" s="61" t="s">
        <v>128</v>
      </c>
      <c r="I37" s="61" t="s">
        <v>129</v>
      </c>
      <c r="J37" s="61" t="s">
        <v>130</v>
      </c>
      <c r="K37" s="61" t="s">
        <v>131</v>
      </c>
      <c r="L37" s="61" t="s">
        <v>132</v>
      </c>
      <c r="M37" s="61" t="s">
        <v>133</v>
      </c>
      <c r="N37" s="61" t="s">
        <v>134</v>
      </c>
      <c r="T37" s="7"/>
    </row>
    <row r="38" spans="1:20" ht="20.100000000000001" customHeight="1" x14ac:dyDescent="0.25">
      <c r="D38" s="1" t="s">
        <v>135</v>
      </c>
      <c r="E38" s="64">
        <v>100</v>
      </c>
      <c r="F38" s="64">
        <v>100</v>
      </c>
      <c r="G38" s="64">
        <v>100</v>
      </c>
      <c r="H38" s="64">
        <v>100</v>
      </c>
      <c r="I38" s="64">
        <v>100</v>
      </c>
      <c r="J38" s="64">
        <v>100</v>
      </c>
      <c r="K38" s="64">
        <v>100</v>
      </c>
      <c r="L38" s="64">
        <v>100</v>
      </c>
      <c r="M38" s="64">
        <v>100</v>
      </c>
      <c r="N38" s="64">
        <v>100</v>
      </c>
      <c r="O38" s="2" t="s">
        <v>82</v>
      </c>
      <c r="T38" s="7"/>
    </row>
    <row r="39" spans="1:20" ht="20.100000000000001" customHeight="1" x14ac:dyDescent="0.25">
      <c r="A39" s="17"/>
      <c r="D39" s="1" t="s">
        <v>136</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137</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138</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O42" s="2"/>
      <c r="T42" s="7"/>
    </row>
    <row r="43" spans="1:20" ht="20.100000000000001" customHeight="1" x14ac:dyDescent="0.25">
      <c r="D43" s="61" t="s">
        <v>109</v>
      </c>
      <c r="E43" s="61" t="s">
        <v>104</v>
      </c>
      <c r="F43" s="61" t="s">
        <v>103</v>
      </c>
      <c r="G43" s="61" t="s">
        <v>127</v>
      </c>
      <c r="H43" s="61" t="s">
        <v>128</v>
      </c>
      <c r="I43" s="61" t="s">
        <v>129</v>
      </c>
      <c r="J43" s="61" t="s">
        <v>130</v>
      </c>
      <c r="K43" s="61" t="s">
        <v>131</v>
      </c>
      <c r="L43" s="61" t="s">
        <v>132</v>
      </c>
      <c r="M43" s="61" t="s">
        <v>133</v>
      </c>
      <c r="N43" s="61" t="s">
        <v>134</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82</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112</v>
      </c>
      <c r="P58" s="3"/>
      <c r="T58" s="7"/>
    </row>
    <row r="59" spans="4:20" ht="20.100000000000001" customHeight="1" x14ac:dyDescent="0.25">
      <c r="D59" s="61" t="s">
        <v>141</v>
      </c>
      <c r="E59" s="61" t="s">
        <v>104</v>
      </c>
      <c r="F59" s="61" t="s">
        <v>103</v>
      </c>
      <c r="G59" s="61" t="s">
        <v>127</v>
      </c>
      <c r="H59" s="61" t="s">
        <v>128</v>
      </c>
      <c r="I59" s="61" t="s">
        <v>129</v>
      </c>
      <c r="J59" s="61" t="s">
        <v>130</v>
      </c>
      <c r="K59" s="61" t="s">
        <v>131</v>
      </c>
      <c r="L59" s="61" t="s">
        <v>132</v>
      </c>
      <c r="M59" s="61" t="s">
        <v>133</v>
      </c>
      <c r="N59" s="61" t="s">
        <v>134</v>
      </c>
      <c r="P59" s="3"/>
      <c r="T59" s="7"/>
    </row>
    <row r="60" spans="4:20" ht="20.100000000000001" customHeight="1" x14ac:dyDescent="0.25">
      <c r="D60" s="1" t="s">
        <v>135</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106</v>
      </c>
      <c r="P60" s="3"/>
      <c r="T60" s="7"/>
    </row>
    <row r="61" spans="4:20" ht="20.100000000000001" customHeight="1" x14ac:dyDescent="0.25">
      <c r="D61" s="1" t="s">
        <v>136</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106</v>
      </c>
      <c r="P61" s="3"/>
      <c r="T61" s="7"/>
    </row>
    <row r="62" spans="4:20" ht="20.100000000000001" customHeight="1" x14ac:dyDescent="0.25">
      <c r="D62" s="1" t="s">
        <v>137</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106</v>
      </c>
      <c r="P62" s="3"/>
      <c r="T62" s="7"/>
    </row>
    <row r="63" spans="4:20" ht="20.100000000000001" customHeight="1" x14ac:dyDescent="0.25">
      <c r="D63" s="1" t="s">
        <v>138</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106</v>
      </c>
      <c r="P63" s="3"/>
      <c r="T63" s="7"/>
    </row>
    <row r="64" spans="4:20" ht="20.100000000000001" customHeight="1" x14ac:dyDescent="0.25">
      <c r="O64" s="2"/>
      <c r="P64" s="3"/>
      <c r="T64" s="7"/>
    </row>
    <row r="65" spans="4:20" ht="20.100000000000001" customHeight="1" x14ac:dyDescent="0.25">
      <c r="D65" s="61" t="s">
        <v>142</v>
      </c>
      <c r="E65" s="61" t="s">
        <v>104</v>
      </c>
      <c r="F65" s="61" t="s">
        <v>103</v>
      </c>
      <c r="G65" s="61" t="s">
        <v>127</v>
      </c>
      <c r="H65" s="61" t="s">
        <v>128</v>
      </c>
      <c r="I65" s="61" t="s">
        <v>129</v>
      </c>
      <c r="J65" s="61" t="s">
        <v>130</v>
      </c>
      <c r="K65" s="61" t="s">
        <v>131</v>
      </c>
      <c r="L65" s="61" t="s">
        <v>132</v>
      </c>
      <c r="M65" s="61" t="s">
        <v>133</v>
      </c>
      <c r="N65" s="61" t="s">
        <v>134</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106</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106</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106</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106</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106</v>
      </c>
      <c r="T77" s="7"/>
    </row>
    <row r="78" spans="4:20" ht="20.100000000000001" customHeight="1" x14ac:dyDescent="0.25">
      <c r="T78" s="7"/>
    </row>
    <row r="79" spans="4:20" ht="20.100000000000001" customHeight="1" x14ac:dyDescent="0.25">
      <c r="T79" s="7"/>
    </row>
    <row r="80" spans="4:20" ht="20.100000000000001" customHeight="1" x14ac:dyDescent="0.25">
      <c r="D80" s="47" t="s">
        <v>139</v>
      </c>
      <c r="T80" s="7"/>
    </row>
    <row r="81" spans="4:20" ht="20.100000000000001" customHeight="1" x14ac:dyDescent="0.25">
      <c r="D81" s="61" t="s">
        <v>141</v>
      </c>
      <c r="E81" s="61" t="s">
        <v>104</v>
      </c>
      <c r="F81" s="61" t="s">
        <v>103</v>
      </c>
      <c r="G81" s="61" t="s">
        <v>127</v>
      </c>
      <c r="H81" s="61" t="s">
        <v>128</v>
      </c>
      <c r="I81" s="61" t="s">
        <v>129</v>
      </c>
      <c r="J81" s="61" t="s">
        <v>130</v>
      </c>
      <c r="K81" s="61" t="s">
        <v>131</v>
      </c>
      <c r="L81" s="61" t="s">
        <v>132</v>
      </c>
      <c r="M81" s="61" t="s">
        <v>133</v>
      </c>
      <c r="N81" s="61" t="s">
        <v>134</v>
      </c>
      <c r="T81" s="7"/>
    </row>
    <row r="82" spans="4:20" ht="20.100000000000001" customHeight="1" x14ac:dyDescent="0.25">
      <c r="D82" s="1" t="s">
        <v>135</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107</v>
      </c>
      <c r="T82" s="7"/>
    </row>
    <row r="83" spans="4:20" ht="20.100000000000001" customHeight="1" x14ac:dyDescent="0.25">
      <c r="D83" s="1" t="s">
        <v>136</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107</v>
      </c>
      <c r="T83" s="7"/>
    </row>
    <row r="84" spans="4:20" ht="20.100000000000001" customHeight="1" x14ac:dyDescent="0.25">
      <c r="D84" s="1" t="s">
        <v>137</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107</v>
      </c>
      <c r="T84" s="7"/>
    </row>
    <row r="85" spans="4:20" ht="20.100000000000001" customHeight="1" x14ac:dyDescent="0.25">
      <c r="D85" s="1" t="s">
        <v>138</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107</v>
      </c>
      <c r="T85" s="7"/>
    </row>
    <row r="86" spans="4:20" ht="20.100000000000001" customHeight="1" x14ac:dyDescent="0.25">
      <c r="O86" s="2"/>
      <c r="T86" s="7"/>
    </row>
    <row r="87" spans="4:20" ht="20.100000000000001" customHeight="1" x14ac:dyDescent="0.25">
      <c r="D87" s="61" t="s">
        <v>142</v>
      </c>
      <c r="E87" s="61" t="s">
        <v>104</v>
      </c>
      <c r="F87" s="61" t="s">
        <v>103</v>
      </c>
      <c r="G87" s="61" t="s">
        <v>127</v>
      </c>
      <c r="H87" s="61" t="s">
        <v>128</v>
      </c>
      <c r="I87" s="61" t="s">
        <v>129</v>
      </c>
      <c r="J87" s="61" t="s">
        <v>130</v>
      </c>
      <c r="K87" s="61" t="s">
        <v>131</v>
      </c>
      <c r="L87" s="61" t="s">
        <v>132</v>
      </c>
      <c r="M87" s="61" t="s">
        <v>133</v>
      </c>
      <c r="N87" s="61" t="s">
        <v>134</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107</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107</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107</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107</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107</v>
      </c>
      <c r="T99" s="7"/>
    </row>
    <row r="100" spans="4:20" ht="20.100000000000001" customHeight="1" x14ac:dyDescent="0.25">
      <c r="T100" s="7"/>
    </row>
    <row r="101" spans="4:20" ht="20.100000000000001" customHeight="1" x14ac:dyDescent="0.25">
      <c r="T101" s="7"/>
    </row>
    <row r="102" spans="4:20" ht="20.100000000000001" customHeight="1" x14ac:dyDescent="0.25">
      <c r="D102" s="47" t="s">
        <v>191</v>
      </c>
      <c r="K102" s="2"/>
      <c r="L102" s="2"/>
      <c r="M102" s="2"/>
      <c r="N102" s="2"/>
      <c r="O102" s="2"/>
      <c r="T102" s="7"/>
    </row>
    <row r="103" spans="4:20" ht="20.100000000000001" customHeight="1" x14ac:dyDescent="0.25">
      <c r="D103" s="61" t="s">
        <v>108</v>
      </c>
      <c r="E103" s="61"/>
      <c r="F103" s="61"/>
      <c r="G103" s="61"/>
      <c r="T103" s="7"/>
    </row>
    <row r="104" spans="4:20" ht="20.100000000000001" customHeight="1" x14ac:dyDescent="0.25">
      <c r="D104" s="1" t="s">
        <v>208</v>
      </c>
      <c r="E104" s="38" t="s">
        <v>138</v>
      </c>
      <c r="F104" s="2" t="s">
        <v>8</v>
      </c>
      <c r="T104" s="7"/>
    </row>
    <row r="105" spans="4:20" ht="20.100000000000001" customHeight="1" x14ac:dyDescent="0.25">
      <c r="T105" s="7"/>
    </row>
    <row r="106" spans="4:20" ht="20.100000000000001" customHeight="1" x14ac:dyDescent="0.25">
      <c r="E106" s="61" t="s">
        <v>128</v>
      </c>
      <c r="F106" s="61" t="s">
        <v>129</v>
      </c>
      <c r="G106" s="61" t="s">
        <v>130</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109</v>
      </c>
      <c r="E110" s="61"/>
      <c r="F110" s="61"/>
      <c r="G110" s="61"/>
    </row>
    <row r="111" spans="4:20" ht="20.100000000000001" customHeight="1" x14ac:dyDescent="0.25">
      <c r="D111" s="1" t="s">
        <v>255</v>
      </c>
      <c r="E111" s="38" t="s">
        <v>253</v>
      </c>
      <c r="F111" s="2" t="s">
        <v>8</v>
      </c>
    </row>
    <row r="112" spans="4:20" ht="20.100000000000001" customHeight="1" x14ac:dyDescent="0.25">
      <c r="D112" s="1" t="s">
        <v>251</v>
      </c>
      <c r="E112" s="51" t="str">
        <f>TEXT(EDATE(E111,1), "mmmm yyyy")</f>
        <v>September 2024</v>
      </c>
    </row>
    <row r="113" spans="4:15" ht="20.100000000000001" customHeight="1" x14ac:dyDescent="0.25">
      <c r="D113" s="1" t="s">
        <v>252</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128</v>
      </c>
      <c r="F116" s="61" t="s">
        <v>129</v>
      </c>
      <c r="G116" s="61" t="s">
        <v>130</v>
      </c>
      <c r="L116" s="2"/>
      <c r="M116" s="2"/>
      <c r="N116" s="2"/>
      <c r="O116" s="2"/>
    </row>
    <row r="117" spans="4:15" ht="20.100000000000001" customHeight="1" x14ac:dyDescent="0.25">
      <c r="D117" s="1" t="str">
        <f>E111</f>
        <v>August 2024</v>
      </c>
      <c r="E117" s="45">
        <v>0.25</v>
      </c>
      <c r="F117" s="45">
        <v>0.25</v>
      </c>
      <c r="G117" s="45">
        <v>0.25</v>
      </c>
      <c r="H117" s="2" t="s">
        <v>14</v>
      </c>
      <c r="L117" s="2"/>
      <c r="M117" s="2"/>
      <c r="N117" s="2"/>
      <c r="O117" s="2"/>
    </row>
    <row r="118" spans="4:15" ht="20.100000000000001" customHeight="1" x14ac:dyDescent="0.25">
      <c r="D118" s="1" t="str">
        <f>E112</f>
        <v>September 2024</v>
      </c>
      <c r="E118" s="45">
        <v>0.25</v>
      </c>
      <c r="F118" s="45">
        <v>0.25</v>
      </c>
      <c r="G118" s="45">
        <v>0.25</v>
      </c>
      <c r="H118" s="2" t="s">
        <v>14</v>
      </c>
    </row>
    <row r="119" spans="4:15" ht="20.100000000000001" customHeight="1" x14ac:dyDescent="0.25">
      <c r="D119" s="1" t="str">
        <f>E113</f>
        <v>October 2024</v>
      </c>
      <c r="E119" s="45">
        <v>0.25</v>
      </c>
      <c r="F119" s="45">
        <v>0.25</v>
      </c>
      <c r="G119" s="45">
        <v>0.25</v>
      </c>
      <c r="H119" s="2" t="s">
        <v>14</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13</v>
      </c>
      <c r="K123" s="2"/>
      <c r="L123" s="2"/>
      <c r="M123" s="2"/>
      <c r="N123" s="2"/>
      <c r="O123" s="2"/>
    </row>
    <row r="124" spans="4:15" ht="20.100000000000001" customHeight="1" x14ac:dyDescent="0.25">
      <c r="D124" s="61" t="s">
        <v>141</v>
      </c>
      <c r="E124" s="61" t="s">
        <v>104</v>
      </c>
      <c r="F124" s="61" t="s">
        <v>103</v>
      </c>
      <c r="G124" s="61" t="s">
        <v>127</v>
      </c>
      <c r="H124" s="61" t="s">
        <v>128</v>
      </c>
      <c r="I124" s="61" t="s">
        <v>129</v>
      </c>
      <c r="J124" s="61" t="s">
        <v>130</v>
      </c>
      <c r="K124" s="61" t="s">
        <v>131</v>
      </c>
      <c r="L124" s="61" t="s">
        <v>132</v>
      </c>
      <c r="M124" s="61" t="s">
        <v>133</v>
      </c>
      <c r="N124" s="61" t="s">
        <v>134</v>
      </c>
    </row>
    <row r="125" spans="4:15" ht="20.100000000000001" customHeight="1" x14ac:dyDescent="0.25">
      <c r="D125" s="1" t="s">
        <v>135</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113</v>
      </c>
    </row>
    <row r="126" spans="4:15" ht="20.100000000000001" customHeight="1" x14ac:dyDescent="0.25">
      <c r="D126" s="1" t="s">
        <v>136</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113</v>
      </c>
    </row>
    <row r="127" spans="4:15" ht="20.100000000000001" customHeight="1" x14ac:dyDescent="0.25">
      <c r="D127" s="1" t="s">
        <v>137</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113</v>
      </c>
    </row>
    <row r="128" spans="4:15" ht="20.100000000000001" customHeight="1" x14ac:dyDescent="0.25">
      <c r="D128" s="1" t="s">
        <v>138</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113</v>
      </c>
    </row>
    <row r="129" spans="4:15" ht="20.100000000000001" customHeight="1" x14ac:dyDescent="0.25"/>
    <row r="130" spans="4:15" ht="20.100000000000001" customHeight="1" x14ac:dyDescent="0.25">
      <c r="D130" s="61" t="s">
        <v>142</v>
      </c>
      <c r="E130" s="61" t="s">
        <v>104</v>
      </c>
      <c r="F130" s="61" t="s">
        <v>103</v>
      </c>
      <c r="G130" s="61" t="s">
        <v>127</v>
      </c>
      <c r="H130" s="61" t="s">
        <v>128</v>
      </c>
      <c r="I130" s="61" t="s">
        <v>129</v>
      </c>
      <c r="J130" s="61" t="s">
        <v>130</v>
      </c>
      <c r="K130" s="61" t="s">
        <v>131</v>
      </c>
      <c r="L130" s="61" t="s">
        <v>132</v>
      </c>
      <c r="M130" s="61" t="s">
        <v>133</v>
      </c>
      <c r="N130" s="61" t="s">
        <v>134</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113</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113</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113</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113</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113</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113</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113</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113</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113</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113</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113</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113</v>
      </c>
    </row>
    <row r="143" spans="4:15" ht="20.100000000000001" customHeight="1" x14ac:dyDescent="0.25"/>
    <row r="144" spans="4:15" ht="20.100000000000001" customHeight="1" x14ac:dyDescent="0.25"/>
    <row r="145" spans="4:15" ht="20.100000000000001" customHeight="1" x14ac:dyDescent="0.25">
      <c r="D145" s="47" t="s">
        <v>84</v>
      </c>
      <c r="K145" s="2"/>
      <c r="L145" s="2"/>
      <c r="M145" s="2"/>
      <c r="N145" s="2"/>
      <c r="O145" s="2"/>
    </row>
    <row r="146" spans="4:15" ht="20.100000000000001" customHeight="1" x14ac:dyDescent="0.25">
      <c r="D146" s="61" t="s">
        <v>141</v>
      </c>
      <c r="E146" s="61" t="s">
        <v>104</v>
      </c>
      <c r="F146" s="61" t="s">
        <v>103</v>
      </c>
      <c r="G146" s="61" t="s">
        <v>127</v>
      </c>
      <c r="H146" s="61" t="s">
        <v>128</v>
      </c>
      <c r="I146" s="61" t="s">
        <v>129</v>
      </c>
      <c r="J146" s="61" t="s">
        <v>130</v>
      </c>
      <c r="K146" s="61" t="s">
        <v>131</v>
      </c>
      <c r="L146" s="61" t="s">
        <v>132</v>
      </c>
      <c r="M146" s="61" t="s">
        <v>133</v>
      </c>
      <c r="N146" s="61" t="s">
        <v>134</v>
      </c>
    </row>
    <row r="147" spans="4:15" ht="20.100000000000001" customHeight="1" x14ac:dyDescent="0.25">
      <c r="D147" s="1" t="s">
        <v>135</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113</v>
      </c>
    </row>
    <row r="148" spans="4:15" ht="20.100000000000001" customHeight="1" x14ac:dyDescent="0.25">
      <c r="D148" s="1" t="s">
        <v>136</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113</v>
      </c>
    </row>
    <row r="149" spans="4:15" ht="20.100000000000001" customHeight="1" x14ac:dyDescent="0.25">
      <c r="D149" s="1" t="s">
        <v>137</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113</v>
      </c>
    </row>
    <row r="150" spans="4:15" ht="20.100000000000001" customHeight="1" x14ac:dyDescent="0.25">
      <c r="D150" s="1" t="s">
        <v>138</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113</v>
      </c>
    </row>
    <row r="151" spans="4:15" ht="20.100000000000001" customHeight="1" x14ac:dyDescent="0.25"/>
    <row r="152" spans="4:15" ht="20.100000000000001" customHeight="1" x14ac:dyDescent="0.25">
      <c r="D152" s="61" t="s">
        <v>142</v>
      </c>
      <c r="E152" s="61" t="s">
        <v>104</v>
      </c>
      <c r="F152" s="61" t="s">
        <v>103</v>
      </c>
      <c r="G152" s="61" t="s">
        <v>127</v>
      </c>
      <c r="H152" s="61" t="s">
        <v>128</v>
      </c>
      <c r="I152" s="61" t="s">
        <v>129</v>
      </c>
      <c r="J152" s="61" t="s">
        <v>130</v>
      </c>
      <c r="K152" s="61" t="s">
        <v>131</v>
      </c>
      <c r="L152" s="61" t="s">
        <v>132</v>
      </c>
      <c r="M152" s="61" t="s">
        <v>133</v>
      </c>
      <c r="N152" s="61" t="s">
        <v>134</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113</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113</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113</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113</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113</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113</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113</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113</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113</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113</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113</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113</v>
      </c>
    </row>
    <row r="165" spans="4:15" ht="20.100000000000001" customHeight="1" x14ac:dyDescent="0.25">
      <c r="L165" s="2"/>
      <c r="M165" s="2"/>
      <c r="N165" s="2"/>
      <c r="O165" s="2"/>
    </row>
    <row r="166" spans="4:15" x14ac:dyDescent="0.25">
      <c r="L166" s="2"/>
      <c r="M166" s="2"/>
      <c r="N166" s="2"/>
      <c r="O166" s="2"/>
    </row>
    <row r="167" spans="4:15" ht="18.75" x14ac:dyDescent="0.25">
      <c r="D167" s="47" t="s">
        <v>220</v>
      </c>
      <c r="L167" s="2"/>
      <c r="M167" s="2"/>
      <c r="N167" s="2"/>
      <c r="O167" s="2"/>
    </row>
    <row r="169" spans="4:15" x14ac:dyDescent="0.25">
      <c r="D169" s="1" t="s">
        <v>221</v>
      </c>
      <c r="E169" s="38" t="s">
        <v>111</v>
      </c>
      <c r="F169" s="2" t="s">
        <v>8</v>
      </c>
      <c r="L169" s="2"/>
      <c r="M169" s="2"/>
      <c r="N169" s="2"/>
      <c r="O169" s="2"/>
    </row>
    <row r="171" spans="4:15" x14ac:dyDescent="0.25">
      <c r="D171" s="61" t="s">
        <v>16</v>
      </c>
      <c r="E171" s="61" t="s">
        <v>222</v>
      </c>
      <c r="L171" s="2"/>
      <c r="M171" s="2"/>
      <c r="N171" s="2"/>
      <c r="O171" s="2"/>
    </row>
    <row r="172" spans="4:15" x14ac:dyDescent="0.25">
      <c r="D172" s="1" t="s">
        <v>110</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223</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233</v>
      </c>
      <c r="E176" s="38" t="s">
        <v>236</v>
      </c>
      <c r="F176" s="2" t="s">
        <v>8</v>
      </c>
      <c r="L176" s="2"/>
      <c r="M176" s="2"/>
      <c r="N176" s="2"/>
      <c r="O176" s="2"/>
    </row>
    <row r="177" spans="5:6" x14ac:dyDescent="0.25">
      <c r="E177" s="38" t="s">
        <v>94</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zoomScale="85" zoomScaleNormal="85" workbookViewId="0">
      <selection activeCell="A14" sqref="A1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t="str">
        <f>'Input - Pasture Beef'!$E$104</f>
        <v>Winter</v>
      </c>
      <c r="E21" s="51">
        <f>'Input - Pasture Beef'!$E$107</f>
        <v>0.9</v>
      </c>
      <c r="F21" s="51">
        <f>'Input - Pasture Beef'!$F$107</f>
        <v>0.5</v>
      </c>
      <c r="G21" s="51">
        <f>'Input - Pasture Beef'!$G$107</f>
        <v>0.5</v>
      </c>
      <c r="H21" s="2" t="s">
        <v>80</v>
      </c>
      <c r="U21" s="50" t="s">
        <v>105</v>
      </c>
      <c r="V21" s="115" t="s">
        <v>128</v>
      </c>
      <c r="W21" s="115" t="s">
        <v>129</v>
      </c>
      <c r="X21" s="115" t="s">
        <v>130</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80</v>
      </c>
    </row>
    <row r="23" spans="1:34" ht="20.100000000000001" customHeight="1" x14ac:dyDescent="0.25">
      <c r="A23" s="17"/>
      <c r="D23" s="96" t="s">
        <v>202</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214</v>
      </c>
    </row>
    <row r="27" spans="1:34" ht="20.100000000000001" customHeight="1" x14ac:dyDescent="0.25">
      <c r="D27" s="51" t="s">
        <v>136</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138</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 "mmmm yyyy")</f>
        <v>January 2024</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106</v>
      </c>
    </row>
    <row r="45" spans="4:34" ht="20.100000000000001" customHeight="1" x14ac:dyDescent="0.25">
      <c r="D45" s="96" t="s">
        <v>231</v>
      </c>
      <c r="U45" s="51" t="str">
        <f>TEXT(EDATE('Input - Site'!$E$12,1), "mmmm yyyy")</f>
        <v>February 2024</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106</v>
      </c>
    </row>
    <row r="46" spans="4:34" ht="20.100000000000001" customHeight="1" x14ac:dyDescent="0.25">
      <c r="D46" s="95" t="s">
        <v>206</v>
      </c>
      <c r="U46" s="51" t="str">
        <f>TEXT(EDATE('Input - Site'!$E$12,2), "mmmm yyyy")</f>
        <v>March 2024</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 yyyy")</f>
        <v>April 2024</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106</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106</v>
      </c>
      <c r="P48" s="2"/>
      <c r="Q48" s="2"/>
      <c r="U48" s="51" t="str">
        <f>TEXT(EDATE('Input - Site'!$E$12,4), "mmmm yyyy")</f>
        <v>May 2024</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106</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106</v>
      </c>
      <c r="P49" s="2"/>
      <c r="Q49" s="2"/>
      <c r="U49" s="51" t="str">
        <f>TEXT(EDATE('Input - Site'!$E$12,5), "mmmm yyyy")</f>
        <v>June 2024</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106</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106</v>
      </c>
      <c r="P50" s="2"/>
      <c r="Q50" s="2"/>
      <c r="U50" s="51" t="str">
        <f>TEXT(EDATE('Input - Site'!$E$12,6), "mmmm yyyy")</f>
        <v>July 2024</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106</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106</v>
      </c>
      <c r="P51" s="2"/>
      <c r="Q51" s="2"/>
      <c r="U51" s="51" t="str">
        <f>TEXT(EDATE('Input - Site'!$E$12,7), "mmmm yyyy")</f>
        <v>August 2024</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106</v>
      </c>
      <c r="AG51" s="2"/>
      <c r="AH51" s="2"/>
    </row>
    <row r="52" spans="4:34" ht="20.100000000000001" customHeight="1" x14ac:dyDescent="0.25">
      <c r="U52" s="51" t="str">
        <f>TEXT(EDATE('Input - Site'!$E$12,8), "mmmm yyyy")</f>
        <v>September 2024</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106</v>
      </c>
      <c r="AG52" s="2"/>
      <c r="AH52" s="2"/>
    </row>
    <row r="53" spans="4:34" ht="20.100000000000001" customHeight="1" x14ac:dyDescent="0.25">
      <c r="D53" s="96" t="s">
        <v>204</v>
      </c>
      <c r="U53" s="51" t="str">
        <f>TEXT(EDATE('Input - Site'!$E$12,9), "mmmm yyyy")</f>
        <v>October 2024</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106</v>
      </c>
      <c r="AG53" s="2"/>
      <c r="AH53" s="2"/>
    </row>
    <row r="54" spans="4:34" ht="20.100000000000001" customHeight="1" x14ac:dyDescent="0.25">
      <c r="D54" s="95" t="s">
        <v>205</v>
      </c>
      <c r="U54" s="51" t="str">
        <f>TEXT(EDATE('Input - Site'!$E$12,10), "mmmm yyyy")</f>
        <v>November 2024</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 yyyy")</f>
        <v>December 2024</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106</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106</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106</v>
      </c>
      <c r="P57" s="2"/>
      <c r="Q57" s="2"/>
      <c r="U57" s="96" t="s">
        <v>217</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106</v>
      </c>
      <c r="P58" s="2"/>
      <c r="Q58" s="2"/>
      <c r="U58" s="95" t="s">
        <v>218</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 "mmmm yyyy")</f>
        <v>January 2024</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107</v>
      </c>
      <c r="AG60" s="2"/>
      <c r="AH60" s="2"/>
    </row>
    <row r="61" spans="4:34" ht="20.100000000000001" customHeight="1" x14ac:dyDescent="0.25">
      <c r="D61" s="96" t="s">
        <v>207</v>
      </c>
      <c r="U61" s="51" t="str">
        <f>TEXT(EDATE('Input - Site'!$E$12,1), "mmmm yyyy")</f>
        <v>February 2024</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107</v>
      </c>
      <c r="AG61" s="2"/>
      <c r="AH61" s="2"/>
    </row>
    <row r="62" spans="4:34" ht="20.100000000000001" customHeight="1" x14ac:dyDescent="0.25">
      <c r="D62" s="95" t="s">
        <v>115</v>
      </c>
      <c r="U62" s="51" t="str">
        <f>TEXT(EDATE('Input - Site'!$E$12,2), "mmmm yyyy")</f>
        <v>March 2024</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 yyyy")</f>
        <v>April 2024</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107</v>
      </c>
      <c r="AG63" s="2"/>
      <c r="AH63" s="2"/>
    </row>
    <row r="64" spans="4:34" ht="20.100000000000001" customHeight="1" x14ac:dyDescent="0.25">
      <c r="D64" s="51" t="s">
        <v>135</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2024</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107</v>
      </c>
    </row>
    <row r="65" spans="3:34" ht="20.100000000000001" customHeight="1" x14ac:dyDescent="0.25">
      <c r="D65" s="51" t="s">
        <v>136</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2024</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107</v>
      </c>
    </row>
    <row r="66" spans="3:34" ht="20.100000000000001" customHeight="1" x14ac:dyDescent="0.25">
      <c r="D66" s="51" t="s">
        <v>137</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2024</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107</v>
      </c>
    </row>
    <row r="67" spans="3:34" ht="20.100000000000001" customHeight="1" x14ac:dyDescent="0.25">
      <c r="D67" s="51" t="s">
        <v>138</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2024</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107</v>
      </c>
    </row>
    <row r="68" spans="3:34" ht="20.100000000000001" customHeight="1" x14ac:dyDescent="0.25">
      <c r="U68" s="51" t="str">
        <f>TEXT(EDATE('Input - Site'!$E$12,8), "mmmm yyyy")</f>
        <v>September 2024</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107</v>
      </c>
      <c r="AG68" s="2"/>
      <c r="AH68" s="2"/>
    </row>
    <row r="69" spans="3:34" ht="20.100000000000001" customHeight="1" x14ac:dyDescent="0.25">
      <c r="U69" s="51" t="str">
        <f>TEXT(EDATE('Input - Site'!$E$12,9), "mmmm yyyy")</f>
        <v>October 2024</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2024</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2024</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2024</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2024</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2024</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TEXT('Input - Site'!$E$12, "mmmm yyyy")</f>
        <v>January 2024</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2024</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2024</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2024</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2024</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2024</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225</v>
      </c>
      <c r="U104" s="51" t="str">
        <f>TEXT('Input - Site'!$E$12, "mmmm yyyy")</f>
        <v>January 2024</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226</v>
      </c>
      <c r="U105" s="51" t="str">
        <f>TEXT('Input - Site'!$E$12, "mmmm yyyy")</f>
        <v>January 2024</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TEXT('Input - Site'!$E$12, "mmmm yyyy")</f>
        <v>January 2024</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135</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2024</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136</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2024</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137</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138</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229</v>
      </c>
      <c r="AH115" s="2"/>
    </row>
    <row r="116" spans="4:34" ht="20.100000000000001" customHeight="1" x14ac:dyDescent="0.25">
      <c r="D116" s="51" t="s">
        <v>136</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138</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260</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261</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135</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136</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137</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138</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232</v>
      </c>
      <c r="E128" s="98">
        <f>SUM(E123:N126)</f>
        <v>55.678061774650885</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ref="E133">Common_Equations.Common_ConvertN2OToCO2e(G130,G131)</f>
        <v>1558.9857296902248</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232</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abSelected="1"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AVERAGE(G86,G90,G94,G98,G102,G106,G110,G114,G118,G122,G126,G130,G134,G138,G142)</f>
        <v>198.73333333333332</v>
      </c>
      <c r="H146" s="1">
        <f>AVERAGE(H86,H90,H94,H98,H102,H106,H110,H114,H118,H122,H126,H130,H134,H138,H142)</f>
        <v>643.06666666666672</v>
      </c>
      <c r="I146" s="1">
        <f>AVERAGE(I86,I90,I94,I98,I102,I106,I110,I114,I118,I122,I126,I130,I134,I138,I142)</f>
        <v>173.4</v>
      </c>
      <c r="J146" s="1">
        <f>AVERAGE(J86,J90,J94,J98,J102,J106,J110,J114,J118,J122,J126,J130,J134,J138,J142)</f>
        <v>321.33333333333331</v>
      </c>
      <c r="K146" s="1">
        <f>AVERAGE(K86,K90,K94,K98,K102,K106,K110,K114,K118,K122,K126,K130,K134,K138,K142)</f>
        <v>426</v>
      </c>
      <c r="L146" s="1">
        <f>AVERAGE(L86,L90,L94,L98,L102,L106,L110,L114,L118,L122,L126,L130,L134,L138,L142)</f>
        <v>455.46666666666664</v>
      </c>
      <c r="M146" s="1">
        <f>AVERAGE(M86,M90,M94,M98,M102,M106,M110,M114,M118,M122,M126,M130,M134,M138,M142)</f>
        <v>187.26666666666668</v>
      </c>
      <c r="N146" s="1">
        <f>AVERAGE(N86,N90,N94,N98,N102,N106,N110,N114,N118,N122,N126,N130,N134,N138,N142)</f>
        <v>385.4</v>
      </c>
      <c r="O146" s="1">
        <f>AVERAGE(O86,O90,O94,O98,O102,O106,O110,O114,O118,O122,O126,O130,O134,O138,O142)</f>
        <v>442.07142857142856</v>
      </c>
      <c r="P146" s="1">
        <f>AVERAGE(P86,P90,P94,P98,P102,P106,P110,P114,P118,P122,P126,P130,P134,P138,P142)</f>
        <v>486.23076923076923</v>
      </c>
    </row>
    <row r="147" spans="4:16" ht="20.100000000000001" customHeight="1" x14ac:dyDescent="0.25">
      <c r="D147" s="1" t="s">
        <v>268</v>
      </c>
      <c r="E147" s="1" t="s">
        <v>164</v>
      </c>
      <c r="F147" s="1" t="str">
        <f>F143</f>
        <v>Summer</v>
      </c>
      <c r="G147" s="1">
        <f>AVERAGE(G87,G91,G95,G99,G103,G107,G111,G115,G119,G123,G127,G131,G135,G139,G143)</f>
        <v>193</v>
      </c>
      <c r="H147" s="1">
        <f>AVERAGE(H87,H91,H95,H99,H103,H107,H111,H115,H119,H123,H127,H131,H135,H139,H143)</f>
        <v>660.33333333333337</v>
      </c>
      <c r="I147" s="1">
        <f>AVERAGE(I87,I91,I95,I99,I103,I107,I111,I115,I119,I123,I127,I131,I135,I139,I143)</f>
        <v>156.33333333333334</v>
      </c>
      <c r="J147" s="1">
        <f>AVERAGE(J87,J91,J95,J99,J103,J107,J111,J115,J119,J123,J127,J131,J135,J139,J143)</f>
        <v>309.73333333333335</v>
      </c>
      <c r="K147" s="1">
        <f>AVERAGE(K87,K91,K95,K99,K103,K107,K111,K115,K119,K123,K127,K131,K135,K139,K143)</f>
        <v>417.4</v>
      </c>
      <c r="L147" s="1">
        <f>AVERAGE(L87,L91,L95,L99,L103,L107,L111,L115,L119,L123,L127,L131,L135,L139,L143)</f>
        <v>458.53333333333336</v>
      </c>
      <c r="M147" s="1">
        <f>AVERAGE(M87,M91,M95,M99,M103,M107,M111,M115,M119,M123,M127,M131,M135,M139,M143)</f>
        <v>162</v>
      </c>
      <c r="N147" s="1">
        <f>AVERAGE(N87,N91,N95,N99,N103,N107,N111,N115,N119,N123,N127,N131,N135,N139,N143)</f>
        <v>353.46666666666664</v>
      </c>
      <c r="O147" s="1">
        <f>AVERAGE(O87,O91,O95,O99,O103,O107,O111,O115,O119,O123,O127,O131,O135,O139,O143)</f>
        <v>428.42857142857144</v>
      </c>
      <c r="P147" s="1">
        <f>AVERAGE(P87,P91,P95,P99,P103,P107,P111,P115,P119,P123,P127,P131,P135,P139,P143)</f>
        <v>472.61538461538464</v>
      </c>
    </row>
    <row r="148" spans="4:16" ht="20.100000000000001" customHeight="1" x14ac:dyDescent="0.25">
      <c r="D148" s="1" t="s">
        <v>268</v>
      </c>
      <c r="E148" s="1" t="s">
        <v>164</v>
      </c>
      <c r="F148" s="1" t="str">
        <f>F144</f>
        <v>Autumn</v>
      </c>
      <c r="G148" s="1">
        <f>AVERAGE(G88,G92,G96,G100,G104,G108,G112,G116,G120,G124,G128,G132,G136,G140,G144)</f>
        <v>170.66666666666666</v>
      </c>
      <c r="H148" s="1">
        <f>AVERAGE(H88,H92,H96,H100,H104,H108,H112,H116,H120,H124,H128,H132,H136,H140,H144)</f>
        <v>654.26666666666665</v>
      </c>
      <c r="I148" s="1">
        <f>AVERAGE(I88,I92,I96,I100,I104,I108,I112,I116,I120,I124,I128,I132,I136,I140,I144)</f>
        <v>161.53333333333333</v>
      </c>
      <c r="J148" s="1">
        <f>AVERAGE(J88,J92,J96,J100,J104,J108,J112,J116,J120,J124,J128,J132,J136,J140,J144)</f>
        <v>307.93333333333334</v>
      </c>
      <c r="K148" s="1">
        <f>AVERAGE(K88,K92,K96,K100,K104,K108,K112,K116,K120,K124,K128,K132,K136,K140,K144)</f>
        <v>419.66666666666669</v>
      </c>
      <c r="L148" s="1">
        <f>AVERAGE(L88,L92,L96,L100,L104,L108,L112,L116,L120,L124,L128,L132,L136,L140,L144)</f>
        <v>454.06666666666666</v>
      </c>
      <c r="M148" s="1">
        <f>AVERAGE(M88,M92,M96,M100,M104,M108,M112,M116,M120,M124,M128,M132,M136,M140,M144)</f>
        <v>169.86666666666667</v>
      </c>
      <c r="N148" s="1">
        <f>AVERAGE(N88,N92,N96,N100,N104,N108,N112,N116,N120,N124,N128,N132,N136,N140,N144)</f>
        <v>363.13333333333333</v>
      </c>
      <c r="O148" s="1">
        <f>AVERAGE(O88,O92,O96,O100,O104,O108,O112,O116,O120,O124,O128,O132,O136,O140,O144)</f>
        <v>430.14285714285717</v>
      </c>
      <c r="P148" s="1">
        <f>AVERAGE(P88,P92,P96,P100,P104,P108,P112,P116,P120,P124,P128,P132,P136,P140,P144)</f>
        <v>479.69230769230768</v>
      </c>
    </row>
    <row r="149" spans="4:16" ht="20.100000000000001" customHeight="1" x14ac:dyDescent="0.25">
      <c r="D149" s="1" t="s">
        <v>268</v>
      </c>
      <c r="E149" s="1" t="s">
        <v>164</v>
      </c>
      <c r="F149" s="1" t="str">
        <f>F145</f>
        <v>Winter</v>
      </c>
      <c r="G149" s="1">
        <f>AVERAGE(G89,G93,G97,G101,G105,G109,G113,G117,G121,G125,G129,G133,G137,G141,G145)</f>
        <v>214.53333333333333</v>
      </c>
      <c r="H149" s="1">
        <f>AVERAGE(H89,H93,H97,H101,H105,H109,H113,H117,H121,H125,H129,H133,H137,H141,H145)</f>
        <v>650.5333333333333</v>
      </c>
      <c r="I149" s="1">
        <f>AVERAGE(I89,I93,I97,I101,I105,I109,I113,I117,I121,I125,I129,I133,I137,I141,I145)</f>
        <v>196.53333333333333</v>
      </c>
      <c r="J149" s="1">
        <f>AVERAGE(J89,J93,J97,J101,J105,J109,J113,J117,J121,J125,J129,J133,J137,J141,J145)</f>
        <v>333.6</v>
      </c>
      <c r="K149" s="1">
        <f>AVERAGE(K89,K93,K97,K101,K105,K109,K113,K117,K121,K125,K129,K133,K137,K141,K145)</f>
        <v>427.4</v>
      </c>
      <c r="L149" s="1">
        <f>AVERAGE(L89,L93,L97,L101,L105,L109,L113,L117,L121,L125,L129,L133,L137,L141,L145)</f>
        <v>453.33333333333331</v>
      </c>
      <c r="M149" s="1">
        <f>AVERAGE(M89,M93,M97,M101,M105,M109,M113,M117,M121,M125,M129,M133,M137,M141,M145)</f>
        <v>207.26666666666668</v>
      </c>
      <c r="N149" s="1">
        <f>AVERAGE(N89,N93,N97,N101,N105,N109,N113,N117,N121,N125,N129,N133,N137,N141,N145)</f>
        <v>381.93333333333334</v>
      </c>
      <c r="O149" s="1">
        <f>AVERAGE(O89,O93,O97,O101,O105,O109,O113,O117,O121,O125,O129,O133,O137,O141,O145)</f>
        <v>438.28571428571428</v>
      </c>
      <c r="P149" s="1">
        <f>AVERAGE(P89,P93,P97,P101,P105,P109,P113,P117,P121,P125,P129,P133,P137,P141,P145)</f>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79">H155</f>
        <v>0.2</v>
      </c>
      <c r="I223" s="36">
        <f t="shared" si="79"/>
        <v>0.5</v>
      </c>
      <c r="J223" s="36">
        <f t="shared" si="79"/>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0">F156</f>
        <v>Summer</v>
      </c>
      <c r="G224" s="36">
        <f t="shared" si="80"/>
        <v>1</v>
      </c>
      <c r="H224" s="36">
        <f t="shared" si="80"/>
        <v>0.4</v>
      </c>
      <c r="I224" s="36">
        <f t="shared" si="80"/>
        <v>0.9</v>
      </c>
      <c r="J224" s="36">
        <f t="shared" si="80"/>
        <v>0.7</v>
      </c>
      <c r="K224" s="36">
        <f t="shared" si="80"/>
        <v>0.3</v>
      </c>
      <c r="L224" s="36">
        <f t="shared" ref="L224:M226" si="81">K156</f>
        <v>0.3</v>
      </c>
      <c r="M224" s="36">
        <f t="shared" si="81"/>
        <v>0.9</v>
      </c>
      <c r="N224" s="36">
        <f t="shared" ref="N224:N226" si="82">M156</f>
        <v>0.4</v>
      </c>
      <c r="O224" s="36">
        <f t="shared" ref="O224:O226" si="83">M156</f>
        <v>0.4</v>
      </c>
      <c r="P224" s="36">
        <f t="shared" ref="P224:P226" si="84">M156</f>
        <v>0.4</v>
      </c>
    </row>
    <row r="225" spans="4:16" x14ac:dyDescent="0.25">
      <c r="D225" s="36" t="s">
        <v>66</v>
      </c>
      <c r="E225" s="36" t="s">
        <v>164</v>
      </c>
      <c r="F225" s="36" t="str">
        <f t="shared" si="80"/>
        <v>Autumn</v>
      </c>
      <c r="G225" s="36">
        <f t="shared" si="80"/>
        <v>0.8</v>
      </c>
      <c r="H225" s="36">
        <f t="shared" si="80"/>
        <v>0.3</v>
      </c>
      <c r="I225" s="36">
        <f t="shared" si="80"/>
        <v>0.7</v>
      </c>
      <c r="J225" s="36">
        <f t="shared" si="80"/>
        <v>0.3</v>
      </c>
      <c r="K225" s="36">
        <f t="shared" si="80"/>
        <v>0.2</v>
      </c>
      <c r="L225" s="36">
        <f t="shared" si="81"/>
        <v>0.2</v>
      </c>
      <c r="M225" s="36">
        <f t="shared" si="81"/>
        <v>0.7</v>
      </c>
      <c r="N225" s="36">
        <f t="shared" si="82"/>
        <v>0.3</v>
      </c>
      <c r="O225" s="36">
        <f t="shared" si="83"/>
        <v>0.3</v>
      </c>
      <c r="P225" s="36">
        <f t="shared" si="84"/>
        <v>0.3</v>
      </c>
    </row>
    <row r="226" spans="4:16" x14ac:dyDescent="0.25">
      <c r="D226" s="36" t="s">
        <v>66</v>
      </c>
      <c r="E226" s="36" t="s">
        <v>164</v>
      </c>
      <c r="F226" s="36" t="str">
        <f t="shared" si="80"/>
        <v>Winter</v>
      </c>
      <c r="G226" s="36">
        <f t="shared" si="80"/>
        <v>0.4</v>
      </c>
      <c r="H226" s="36">
        <f t="shared" si="80"/>
        <v>0.1</v>
      </c>
      <c r="I226" s="36">
        <f t="shared" si="80"/>
        <v>0.4</v>
      </c>
      <c r="J226" s="36">
        <f t="shared" si="80"/>
        <v>0.2</v>
      </c>
      <c r="K226" s="36">
        <f t="shared" si="80"/>
        <v>0.1</v>
      </c>
      <c r="L226" s="36">
        <f t="shared" si="81"/>
        <v>0.1</v>
      </c>
      <c r="M226" s="36">
        <f t="shared" si="81"/>
        <v>0.4</v>
      </c>
      <c r="N226" s="36">
        <f t="shared" si="82"/>
        <v>0.1</v>
      </c>
      <c r="O226" s="36">
        <f t="shared" si="83"/>
        <v>0.1</v>
      </c>
      <c r="P226" s="36">
        <f t="shared" si="84"/>
        <v>0.1</v>
      </c>
    </row>
    <row r="227" spans="4:16" x14ac:dyDescent="0.25">
      <c r="D227" s="36" t="s">
        <v>67</v>
      </c>
      <c r="E227" s="36" t="s">
        <v>164</v>
      </c>
      <c r="F227" s="36" t="str">
        <f>F155</f>
        <v>Spring</v>
      </c>
      <c r="G227" s="36">
        <f>G155</f>
        <v>0.5</v>
      </c>
      <c r="H227" s="36">
        <f t="shared" ref="H227:J227" si="85">H155</f>
        <v>0.2</v>
      </c>
      <c r="I227" s="36">
        <f t="shared" si="85"/>
        <v>0.5</v>
      </c>
      <c r="J227" s="36">
        <f t="shared" si="85"/>
        <v>0.4</v>
      </c>
      <c r="K227" s="36">
        <f>K155</f>
        <v>0.3</v>
      </c>
      <c r="L227" s="36">
        <f>K155</f>
        <v>0.3</v>
      </c>
      <c r="M227" s="36">
        <f t="shared" ref="M227" si="86">L155</f>
        <v>0.5</v>
      </c>
      <c r="N227" s="36">
        <f>M155</f>
        <v>0.4</v>
      </c>
      <c r="O227" s="36">
        <f>M155</f>
        <v>0.4</v>
      </c>
      <c r="P227" s="36">
        <f>M155</f>
        <v>0.4</v>
      </c>
    </row>
    <row r="228" spans="4:16" x14ac:dyDescent="0.25">
      <c r="D228" s="36" t="s">
        <v>67</v>
      </c>
      <c r="E228" s="36" t="s">
        <v>164</v>
      </c>
      <c r="F228" s="36" t="str">
        <f t="shared" ref="F228:K230" si="87">F156</f>
        <v>Summer</v>
      </c>
      <c r="G228" s="36">
        <f t="shared" si="87"/>
        <v>1</v>
      </c>
      <c r="H228" s="36">
        <f t="shared" si="87"/>
        <v>0.4</v>
      </c>
      <c r="I228" s="36">
        <f t="shared" si="87"/>
        <v>0.9</v>
      </c>
      <c r="J228" s="36">
        <f t="shared" si="87"/>
        <v>0.7</v>
      </c>
      <c r="K228" s="36">
        <f t="shared" si="87"/>
        <v>0.3</v>
      </c>
      <c r="L228" s="36">
        <f t="shared" ref="L228:N228" si="88">K156</f>
        <v>0.3</v>
      </c>
      <c r="M228" s="36">
        <f t="shared" si="88"/>
        <v>0.9</v>
      </c>
      <c r="N228" s="36">
        <f t="shared" si="88"/>
        <v>0.4</v>
      </c>
      <c r="O228" s="36">
        <f t="shared" ref="O228:O230" si="89">M156</f>
        <v>0.4</v>
      </c>
      <c r="P228" s="36">
        <f t="shared" ref="P228:P230" si="90">M156</f>
        <v>0.4</v>
      </c>
    </row>
    <row r="229" spans="4:16" x14ac:dyDescent="0.25">
      <c r="D229" s="36" t="s">
        <v>67</v>
      </c>
      <c r="E229" s="36" t="s">
        <v>164</v>
      </c>
      <c r="F229" s="36" t="str">
        <f t="shared" si="87"/>
        <v>Autumn</v>
      </c>
      <c r="G229" s="36">
        <f t="shared" si="87"/>
        <v>0.8</v>
      </c>
      <c r="H229" s="36">
        <f t="shared" si="87"/>
        <v>0.3</v>
      </c>
      <c r="I229" s="36">
        <f t="shared" si="87"/>
        <v>0.7</v>
      </c>
      <c r="J229" s="36">
        <f t="shared" si="87"/>
        <v>0.3</v>
      </c>
      <c r="K229" s="36">
        <f t="shared" si="87"/>
        <v>0.2</v>
      </c>
      <c r="L229" s="36">
        <f t="shared" ref="L229:N229" si="91">K157</f>
        <v>0.2</v>
      </c>
      <c r="M229" s="36">
        <f t="shared" si="91"/>
        <v>0.7</v>
      </c>
      <c r="N229" s="36">
        <f t="shared" si="91"/>
        <v>0.3</v>
      </c>
      <c r="O229" s="36">
        <f t="shared" si="89"/>
        <v>0.3</v>
      </c>
      <c r="P229" s="36">
        <f t="shared" si="90"/>
        <v>0.3</v>
      </c>
    </row>
    <row r="230" spans="4:16" x14ac:dyDescent="0.25">
      <c r="D230" s="36" t="s">
        <v>67</v>
      </c>
      <c r="E230" s="36" t="s">
        <v>164</v>
      </c>
      <c r="F230" s="36" t="str">
        <f t="shared" si="87"/>
        <v>Winter</v>
      </c>
      <c r="G230" s="36">
        <f t="shared" si="87"/>
        <v>0.4</v>
      </c>
      <c r="H230" s="36">
        <f t="shared" si="87"/>
        <v>0.1</v>
      </c>
      <c r="I230" s="36">
        <f t="shared" si="87"/>
        <v>0.4</v>
      </c>
      <c r="J230" s="36">
        <f t="shared" si="87"/>
        <v>0.2</v>
      </c>
      <c r="K230" s="36">
        <f t="shared" si="87"/>
        <v>0.1</v>
      </c>
      <c r="L230" s="36">
        <f t="shared" ref="L230:N230" si="92">K158</f>
        <v>0.1</v>
      </c>
      <c r="M230" s="36">
        <f t="shared" si="92"/>
        <v>0.4</v>
      </c>
      <c r="N230" s="36">
        <f t="shared" si="92"/>
        <v>0.1</v>
      </c>
      <c r="O230" s="36">
        <f t="shared" si="89"/>
        <v>0.1</v>
      </c>
      <c r="P230" s="36">
        <f t="shared" si="90"/>
        <v>0.1</v>
      </c>
    </row>
    <row r="231" spans="4:16" x14ac:dyDescent="0.25">
      <c r="D231" s="36" t="s">
        <v>70</v>
      </c>
      <c r="E231" s="36" t="s">
        <v>164</v>
      </c>
      <c r="F231" s="36" t="str">
        <f>F159</f>
        <v>Spring</v>
      </c>
      <c r="G231" s="36">
        <f>G159</f>
        <v>0.99</v>
      </c>
      <c r="H231" s="36">
        <f t="shared" ref="H231:J231" si="93">H159</f>
        <v>1.1000000000000001</v>
      </c>
      <c r="I231" s="36">
        <f t="shared" si="93"/>
        <v>0.88</v>
      </c>
      <c r="J231" s="36">
        <f t="shared" si="93"/>
        <v>0.55000000000000004</v>
      </c>
      <c r="K231" s="36">
        <f>K159</f>
        <v>0.55000000000000004</v>
      </c>
      <c r="L231" s="36">
        <f>K159</f>
        <v>0.55000000000000004</v>
      </c>
      <c r="M231" s="36">
        <f t="shared" ref="M231" si="94">L159</f>
        <v>0.88</v>
      </c>
      <c r="N231" s="36">
        <f>M159</f>
        <v>0.22</v>
      </c>
      <c r="O231" s="36">
        <f>M159</f>
        <v>0.22</v>
      </c>
      <c r="P231" s="36">
        <f>M159</f>
        <v>0.22</v>
      </c>
    </row>
    <row r="232" spans="4:16" x14ac:dyDescent="0.25">
      <c r="D232" s="36" t="s">
        <v>70</v>
      </c>
      <c r="E232" s="36" t="s">
        <v>164</v>
      </c>
      <c r="F232" s="36" t="str">
        <f t="shared" ref="F232:K254" si="95">F160</f>
        <v>Summer</v>
      </c>
      <c r="G232" s="36">
        <f t="shared" si="95"/>
        <v>0.77</v>
      </c>
      <c r="H232" s="36">
        <f t="shared" si="95"/>
        <v>0</v>
      </c>
      <c r="I232" s="36">
        <f t="shared" si="95"/>
        <v>0.66</v>
      </c>
      <c r="J232" s="36">
        <f t="shared" si="95"/>
        <v>0.22</v>
      </c>
      <c r="K232" s="36">
        <f t="shared" si="95"/>
        <v>0</v>
      </c>
      <c r="L232" s="36">
        <f t="shared" ref="L232:N232" si="96">K160</f>
        <v>0</v>
      </c>
      <c r="M232" s="36">
        <f t="shared" si="96"/>
        <v>0.66</v>
      </c>
      <c r="N232" s="36">
        <f t="shared" si="96"/>
        <v>0</v>
      </c>
      <c r="O232" s="36">
        <f t="shared" ref="O232:O254" si="97">M160</f>
        <v>0</v>
      </c>
      <c r="P232" s="36">
        <f t="shared" ref="P232:P254" si="98">M160</f>
        <v>0</v>
      </c>
    </row>
    <row r="233" spans="4:16" x14ac:dyDescent="0.25">
      <c r="D233" s="36" t="s">
        <v>70</v>
      </c>
      <c r="E233" s="36" t="s">
        <v>164</v>
      </c>
      <c r="F233" s="36" t="str">
        <f t="shared" si="95"/>
        <v>Autumn</v>
      </c>
      <c r="G233" s="36">
        <f t="shared" si="95"/>
        <v>0.9</v>
      </c>
      <c r="H233" s="36">
        <f t="shared" si="95"/>
        <v>-1.1000000000000001</v>
      </c>
      <c r="I233" s="36">
        <f t="shared" si="95"/>
        <v>0.7</v>
      </c>
      <c r="J233" s="36">
        <f t="shared" si="95"/>
        <v>0.22</v>
      </c>
      <c r="K233" s="36">
        <f t="shared" si="95"/>
        <v>-0.55000000000000004</v>
      </c>
      <c r="L233" s="36">
        <f t="shared" ref="L233:N233" si="99">K161</f>
        <v>-0.55000000000000004</v>
      </c>
      <c r="M233" s="36">
        <f t="shared" si="99"/>
        <v>0.8</v>
      </c>
      <c r="N233" s="36">
        <f t="shared" si="99"/>
        <v>-0.22</v>
      </c>
      <c r="O233" s="36">
        <f t="shared" si="97"/>
        <v>-0.22</v>
      </c>
      <c r="P233" s="36">
        <f t="shared" si="98"/>
        <v>-0.22</v>
      </c>
    </row>
    <row r="234" spans="4:16" x14ac:dyDescent="0.25">
      <c r="D234" s="36" t="s">
        <v>70</v>
      </c>
      <c r="E234" s="36" t="s">
        <v>164</v>
      </c>
      <c r="F234" s="36" t="str">
        <f t="shared" si="95"/>
        <v>Winter</v>
      </c>
      <c r="G234" s="36">
        <f t="shared" si="95"/>
        <v>0.88</v>
      </c>
      <c r="H234" s="36">
        <f t="shared" si="95"/>
        <v>0</v>
      </c>
      <c r="I234" s="36">
        <f t="shared" si="95"/>
        <v>0.77</v>
      </c>
      <c r="J234" s="36">
        <f t="shared" si="95"/>
        <v>0.55000000000000004</v>
      </c>
      <c r="K234" s="36">
        <f t="shared" si="95"/>
        <v>0</v>
      </c>
      <c r="L234" s="36">
        <f t="shared" ref="L234:N234" si="100">K162</f>
        <v>0</v>
      </c>
      <c r="M234" s="36">
        <f t="shared" si="100"/>
        <v>0.82</v>
      </c>
      <c r="N234" s="36">
        <f t="shared" si="100"/>
        <v>0</v>
      </c>
      <c r="O234" s="36">
        <f t="shared" si="97"/>
        <v>0</v>
      </c>
      <c r="P234" s="36">
        <f t="shared" si="98"/>
        <v>0</v>
      </c>
    </row>
    <row r="235" spans="4:16" x14ac:dyDescent="0.25">
      <c r="D235" s="36" t="s">
        <v>71</v>
      </c>
      <c r="E235" s="36" t="s">
        <v>164</v>
      </c>
      <c r="F235" s="36" t="str">
        <f t="shared" si="95"/>
        <v>Spring</v>
      </c>
      <c r="G235" s="36">
        <f t="shared" si="95"/>
        <v>1</v>
      </c>
      <c r="H235" s="36">
        <f t="shared" si="95"/>
        <v>0.5</v>
      </c>
      <c r="I235" s="36">
        <f t="shared" si="95"/>
        <v>1</v>
      </c>
      <c r="J235" s="36">
        <f t="shared" si="95"/>
        <v>1</v>
      </c>
      <c r="K235" s="36">
        <f t="shared" si="95"/>
        <v>-0.44</v>
      </c>
      <c r="L235" s="36">
        <f t="shared" ref="L235:N235" si="101">K163</f>
        <v>-0.44</v>
      </c>
      <c r="M235" s="36">
        <f t="shared" si="101"/>
        <v>1</v>
      </c>
      <c r="N235" s="36">
        <f t="shared" si="101"/>
        <v>0.5</v>
      </c>
      <c r="O235" s="36">
        <f t="shared" si="97"/>
        <v>0.5</v>
      </c>
      <c r="P235" s="36">
        <f t="shared" si="98"/>
        <v>0.5</v>
      </c>
    </row>
    <row r="236" spans="4:16" x14ac:dyDescent="0.25">
      <c r="D236" s="36" t="s">
        <v>71</v>
      </c>
      <c r="E236" s="36" t="s">
        <v>164</v>
      </c>
      <c r="F236" s="36" t="str">
        <f t="shared" si="95"/>
        <v>Summer</v>
      </c>
      <c r="G236" s="36">
        <f t="shared" si="95"/>
        <v>0.82</v>
      </c>
      <c r="H236" s="36">
        <f t="shared" si="95"/>
        <v>0.55000000000000004</v>
      </c>
      <c r="I236" s="36">
        <f t="shared" si="95"/>
        <v>0.71</v>
      </c>
      <c r="J236" s="36">
        <f t="shared" si="95"/>
        <v>0.55000000000000004</v>
      </c>
      <c r="K236" s="36">
        <f t="shared" si="95"/>
        <v>0.99</v>
      </c>
      <c r="L236" s="36">
        <f t="shared" ref="L236:N236" si="102">K164</f>
        <v>0.99</v>
      </c>
      <c r="M236" s="36">
        <f t="shared" si="102"/>
        <v>0.77</v>
      </c>
      <c r="N236" s="36">
        <f t="shared" si="102"/>
        <v>0.5</v>
      </c>
      <c r="O236" s="36">
        <f t="shared" si="97"/>
        <v>0.5</v>
      </c>
      <c r="P236" s="36">
        <f t="shared" si="98"/>
        <v>0.5</v>
      </c>
    </row>
    <row r="237" spans="4:16" x14ac:dyDescent="0.25">
      <c r="D237" s="36" t="s">
        <v>71</v>
      </c>
      <c r="E237" s="36" t="s">
        <v>164</v>
      </c>
      <c r="F237" s="36" t="str">
        <f t="shared" si="95"/>
        <v>Autumn</v>
      </c>
      <c r="G237" s="36">
        <f t="shared" si="95"/>
        <v>0.77</v>
      </c>
      <c r="H237" s="36">
        <f t="shared" si="95"/>
        <v>0.5</v>
      </c>
      <c r="I237" s="36">
        <f t="shared" si="95"/>
        <v>0.55000000000000004</v>
      </c>
      <c r="J237" s="36">
        <f t="shared" si="95"/>
        <v>0.11</v>
      </c>
      <c r="K237" s="36">
        <f t="shared" si="95"/>
        <v>-0.33</v>
      </c>
      <c r="L237" s="36">
        <f t="shared" ref="L237:N237" si="103">K165</f>
        <v>-0.33</v>
      </c>
      <c r="M237" s="36">
        <f t="shared" si="103"/>
        <v>0.6</v>
      </c>
      <c r="N237" s="36">
        <f t="shared" si="103"/>
        <v>0.33</v>
      </c>
      <c r="O237" s="36">
        <f t="shared" si="97"/>
        <v>0.33</v>
      </c>
      <c r="P237" s="36">
        <f t="shared" si="98"/>
        <v>0.33</v>
      </c>
    </row>
    <row r="238" spans="4:16" x14ac:dyDescent="0.25">
      <c r="D238" s="36" t="s">
        <v>71</v>
      </c>
      <c r="E238" s="36" t="s">
        <v>164</v>
      </c>
      <c r="F238" s="36" t="str">
        <f t="shared" si="95"/>
        <v>Winter</v>
      </c>
      <c r="G238" s="36">
        <f t="shared" si="95"/>
        <v>0.11</v>
      </c>
      <c r="H238" s="36">
        <f t="shared" si="95"/>
        <v>-0.27</v>
      </c>
      <c r="I238" s="36">
        <f t="shared" si="95"/>
        <v>0.11</v>
      </c>
      <c r="J238" s="36">
        <f t="shared" si="95"/>
        <v>0.22</v>
      </c>
      <c r="K238" s="36">
        <f t="shared" si="95"/>
        <v>-0.44</v>
      </c>
      <c r="L238" s="36">
        <f t="shared" ref="L238:N238" si="104">K166</f>
        <v>-0.44</v>
      </c>
      <c r="M238" s="36">
        <f t="shared" si="104"/>
        <v>0.16</v>
      </c>
      <c r="N238" s="36">
        <f t="shared" si="104"/>
        <v>-0.22</v>
      </c>
      <c r="O238" s="36">
        <f t="shared" si="97"/>
        <v>-0.22</v>
      </c>
      <c r="P238" s="36">
        <f t="shared" si="98"/>
        <v>-0.22</v>
      </c>
    </row>
    <row r="239" spans="4:16" x14ac:dyDescent="0.25">
      <c r="D239" s="36" t="s">
        <v>72</v>
      </c>
      <c r="E239" s="36" t="s">
        <v>164</v>
      </c>
      <c r="F239" s="36" t="str">
        <f t="shared" si="95"/>
        <v>Spring</v>
      </c>
      <c r="G239" s="36">
        <f t="shared" si="95"/>
        <v>1.1000000000000001</v>
      </c>
      <c r="H239" s="36">
        <f t="shared" si="95"/>
        <v>1.1000000000000001</v>
      </c>
      <c r="I239" s="36">
        <f t="shared" si="95"/>
        <v>1.1000000000000001</v>
      </c>
      <c r="J239" s="36">
        <f t="shared" si="95"/>
        <v>0.99</v>
      </c>
      <c r="K239" s="36">
        <f t="shared" si="95"/>
        <v>0.99</v>
      </c>
      <c r="L239" s="36">
        <f t="shared" ref="L239:N239" si="105">K167</f>
        <v>0.99</v>
      </c>
      <c r="M239" s="36">
        <f t="shared" si="105"/>
        <v>1.1000000000000001</v>
      </c>
      <c r="N239" s="36">
        <f t="shared" si="105"/>
        <v>0.77</v>
      </c>
      <c r="O239" s="36">
        <f t="shared" si="97"/>
        <v>0.77</v>
      </c>
      <c r="P239" s="36">
        <f t="shared" si="98"/>
        <v>0.77</v>
      </c>
    </row>
    <row r="240" spans="4:16" x14ac:dyDescent="0.25">
      <c r="D240" s="36" t="s">
        <v>72</v>
      </c>
      <c r="E240" s="36" t="s">
        <v>164</v>
      </c>
      <c r="F240" s="36" t="str">
        <f t="shared" si="95"/>
        <v>Summer</v>
      </c>
      <c r="G240" s="36">
        <f t="shared" si="95"/>
        <v>0.33</v>
      </c>
      <c r="H240" s="36">
        <f t="shared" si="95"/>
        <v>0.33</v>
      </c>
      <c r="I240" s="36">
        <f t="shared" si="95"/>
        <v>0.22</v>
      </c>
      <c r="J240" s="36">
        <f t="shared" si="95"/>
        <v>0.33</v>
      </c>
      <c r="K240" s="36">
        <f t="shared" si="95"/>
        <v>-0.1</v>
      </c>
      <c r="L240" s="36">
        <f t="shared" ref="L240:N240" si="106">K168</f>
        <v>-0.1</v>
      </c>
      <c r="M240" s="36">
        <f t="shared" si="106"/>
        <v>0.33</v>
      </c>
      <c r="N240" s="36">
        <f t="shared" si="106"/>
        <v>0.11</v>
      </c>
      <c r="O240" s="36">
        <f t="shared" si="97"/>
        <v>0.11</v>
      </c>
      <c r="P240" s="36">
        <f t="shared" si="98"/>
        <v>0.11</v>
      </c>
    </row>
    <row r="241" spans="4:16" x14ac:dyDescent="0.25">
      <c r="D241" s="36" t="s">
        <v>72</v>
      </c>
      <c r="E241" s="36" t="s">
        <v>164</v>
      </c>
      <c r="F241" s="36" t="str">
        <f t="shared" si="95"/>
        <v>Autumn</v>
      </c>
      <c r="G241" s="36">
        <f t="shared" si="95"/>
        <v>0.5</v>
      </c>
      <c r="H241" s="36">
        <f t="shared" si="95"/>
        <v>0.2</v>
      </c>
      <c r="I241" s="36">
        <f t="shared" si="95"/>
        <v>0.55000000000000004</v>
      </c>
      <c r="J241" s="36">
        <f t="shared" si="95"/>
        <v>0.44</v>
      </c>
      <c r="K241" s="36">
        <f t="shared" si="95"/>
        <v>0.2</v>
      </c>
      <c r="L241" s="36">
        <f t="shared" ref="L241:N241" si="107">K169</f>
        <v>0.2</v>
      </c>
      <c r="M241" s="36">
        <f t="shared" si="107"/>
        <v>0.55000000000000004</v>
      </c>
      <c r="N241" s="36">
        <f t="shared" si="107"/>
        <v>0.2</v>
      </c>
      <c r="O241" s="36">
        <f t="shared" si="97"/>
        <v>0.2</v>
      </c>
      <c r="P241" s="36">
        <f t="shared" si="98"/>
        <v>0.2</v>
      </c>
    </row>
    <row r="242" spans="4:16" x14ac:dyDescent="0.25">
      <c r="D242" s="36" t="s">
        <v>72</v>
      </c>
      <c r="E242" s="36" t="s">
        <v>164</v>
      </c>
      <c r="F242" s="36" t="str">
        <f t="shared" si="95"/>
        <v>Winter</v>
      </c>
      <c r="G242" s="36">
        <f t="shared" si="95"/>
        <v>0.55000000000000004</v>
      </c>
      <c r="H242" s="36">
        <f t="shared" si="95"/>
        <v>0.22</v>
      </c>
      <c r="I242" s="36">
        <f t="shared" si="95"/>
        <v>0.49</v>
      </c>
      <c r="J242" s="36">
        <f t="shared" si="95"/>
        <v>0.22</v>
      </c>
      <c r="K242" s="36">
        <f t="shared" si="95"/>
        <v>0.22</v>
      </c>
      <c r="L242" s="36">
        <f t="shared" ref="L242:N242" si="108">K170</f>
        <v>0.22</v>
      </c>
      <c r="M242" s="36">
        <f t="shared" si="108"/>
        <v>0.49</v>
      </c>
      <c r="N242" s="36">
        <f t="shared" si="108"/>
        <v>0.33</v>
      </c>
      <c r="O242" s="36">
        <f t="shared" si="97"/>
        <v>0.33</v>
      </c>
      <c r="P242" s="36">
        <f t="shared" si="98"/>
        <v>0.33</v>
      </c>
    </row>
    <row r="243" spans="4:16" x14ac:dyDescent="0.25">
      <c r="D243" s="36" t="s">
        <v>73</v>
      </c>
      <c r="E243" s="36" t="str">
        <f>E171</f>
        <v>South West</v>
      </c>
      <c r="F243" s="36" t="str">
        <f t="shared" si="95"/>
        <v>Spring</v>
      </c>
      <c r="G243" s="36">
        <f t="shared" si="95"/>
        <v>1.64</v>
      </c>
      <c r="H243" s="36">
        <f t="shared" si="95"/>
        <v>1.1000000000000001</v>
      </c>
      <c r="I243" s="36">
        <f t="shared" si="95"/>
        <v>1.21</v>
      </c>
      <c r="J243" s="36">
        <f t="shared" si="95"/>
        <v>0.99</v>
      </c>
      <c r="K243" s="36">
        <f t="shared" si="95"/>
        <v>0.66</v>
      </c>
      <c r="L243" s="36">
        <f t="shared" ref="L243:N243" si="109">K171</f>
        <v>0.66</v>
      </c>
      <c r="M243" s="36">
        <f t="shared" si="109"/>
        <v>1.42</v>
      </c>
      <c r="N243" s="36">
        <f t="shared" si="109"/>
        <v>1.1000000000000001</v>
      </c>
      <c r="O243" s="36">
        <f t="shared" si="97"/>
        <v>1.1000000000000001</v>
      </c>
      <c r="P243" s="36">
        <f t="shared" si="98"/>
        <v>1.1000000000000001</v>
      </c>
    </row>
    <row r="244" spans="4:16" x14ac:dyDescent="0.25">
      <c r="D244" s="36" t="s">
        <v>73</v>
      </c>
      <c r="E244" s="36" t="str">
        <f t="shared" ref="E244:E254" si="110">E172</f>
        <v>South West</v>
      </c>
      <c r="F244" s="36" t="str">
        <f t="shared" si="95"/>
        <v>Summer</v>
      </c>
      <c r="G244" s="36">
        <f t="shared" si="95"/>
        <v>0.44</v>
      </c>
      <c r="H244" s="36">
        <f t="shared" si="95"/>
        <v>-0.22</v>
      </c>
      <c r="I244" s="36">
        <f t="shared" si="95"/>
        <v>0.44</v>
      </c>
      <c r="J244" s="36">
        <f t="shared" si="95"/>
        <v>0.33</v>
      </c>
      <c r="K244" s="36">
        <f t="shared" si="95"/>
        <v>-0.22</v>
      </c>
      <c r="L244" s="36">
        <f t="shared" ref="L244:N244" si="111">K172</f>
        <v>-0.22</v>
      </c>
      <c r="M244" s="36">
        <f t="shared" si="111"/>
        <v>0.44</v>
      </c>
      <c r="N244" s="36">
        <f t="shared" si="111"/>
        <v>-0.11</v>
      </c>
      <c r="O244" s="36">
        <f t="shared" si="97"/>
        <v>-0.11</v>
      </c>
      <c r="P244" s="36">
        <f t="shared" si="98"/>
        <v>-0.11</v>
      </c>
    </row>
    <row r="245" spans="4:16" x14ac:dyDescent="0.25">
      <c r="D245" s="36" t="s">
        <v>73</v>
      </c>
      <c r="E245" s="36" t="str">
        <f t="shared" si="110"/>
        <v>South West</v>
      </c>
      <c r="F245" s="36" t="str">
        <f t="shared" si="95"/>
        <v>Autumn</v>
      </c>
      <c r="G245" s="36">
        <f t="shared" si="95"/>
        <v>0.6</v>
      </c>
      <c r="H245" s="36">
        <f t="shared" si="95"/>
        <v>0</v>
      </c>
      <c r="I245" s="36">
        <f t="shared" si="95"/>
        <v>0.6</v>
      </c>
      <c r="J245" s="36">
        <f t="shared" si="95"/>
        <v>0.22</v>
      </c>
      <c r="K245" s="36">
        <f t="shared" si="95"/>
        <v>-0.55000000000000004</v>
      </c>
      <c r="L245" s="36">
        <f t="shared" ref="L245:N245" si="112">K173</f>
        <v>-0.55000000000000004</v>
      </c>
      <c r="M245" s="36">
        <f t="shared" si="112"/>
        <v>0.6</v>
      </c>
      <c r="N245" s="36">
        <f t="shared" si="112"/>
        <v>0</v>
      </c>
      <c r="O245" s="36">
        <f t="shared" si="97"/>
        <v>0</v>
      </c>
      <c r="P245" s="36">
        <f t="shared" si="98"/>
        <v>0</v>
      </c>
    </row>
    <row r="246" spans="4:16" x14ac:dyDescent="0.25">
      <c r="D246" s="36" t="s">
        <v>73</v>
      </c>
      <c r="E246" s="36" t="str">
        <f t="shared" si="110"/>
        <v>South West</v>
      </c>
      <c r="F246" s="36" t="str">
        <f t="shared" si="95"/>
        <v>Winter</v>
      </c>
      <c r="G246" s="36">
        <f t="shared" si="95"/>
        <v>0.99</v>
      </c>
      <c r="H246" s="36">
        <f t="shared" si="95"/>
        <v>0.22</v>
      </c>
      <c r="I246" s="36">
        <f t="shared" si="95"/>
        <v>0.77</v>
      </c>
      <c r="J246" s="36">
        <f t="shared" si="95"/>
        <v>0.11</v>
      </c>
      <c r="K246" s="36">
        <f t="shared" si="95"/>
        <v>0.11</v>
      </c>
      <c r="L246" s="36">
        <f t="shared" ref="L246:N246" si="113">K174</f>
        <v>0.11</v>
      </c>
      <c r="M246" s="36">
        <f t="shared" si="113"/>
        <v>0.77</v>
      </c>
      <c r="N246" s="36">
        <f t="shared" si="113"/>
        <v>0.44</v>
      </c>
      <c r="O246" s="36">
        <f t="shared" si="97"/>
        <v>0.44</v>
      </c>
      <c r="P246" s="36">
        <f t="shared" si="98"/>
        <v>0.44</v>
      </c>
    </row>
    <row r="247" spans="4:16" x14ac:dyDescent="0.25">
      <c r="D247" s="36" t="s">
        <v>73</v>
      </c>
      <c r="E247" s="36" t="str">
        <f t="shared" si="110"/>
        <v>Pilbara</v>
      </c>
      <c r="F247" s="36" t="str">
        <f t="shared" si="95"/>
        <v>Spring</v>
      </c>
      <c r="G247" s="36">
        <f t="shared" si="95"/>
        <v>0.7</v>
      </c>
      <c r="H247" s="36">
        <f t="shared" si="95"/>
        <v>-0.55000000000000004</v>
      </c>
      <c r="I247" s="36">
        <f t="shared" si="95"/>
        <v>0.7</v>
      </c>
      <c r="J247" s="36">
        <f t="shared" si="95"/>
        <v>0.22</v>
      </c>
      <c r="K247" s="36">
        <f t="shared" si="95"/>
        <v>-0.22</v>
      </c>
      <c r="L247" s="36">
        <f t="shared" ref="L247:N247" si="114">K175</f>
        <v>-0.22</v>
      </c>
      <c r="M247" s="36">
        <f t="shared" si="114"/>
        <v>0.7</v>
      </c>
      <c r="N247" s="36">
        <f t="shared" si="114"/>
        <v>-0.22</v>
      </c>
      <c r="O247" s="36">
        <f t="shared" si="97"/>
        <v>-0.22</v>
      </c>
      <c r="P247" s="36">
        <f t="shared" si="98"/>
        <v>-0.22</v>
      </c>
    </row>
    <row r="248" spans="4:16" x14ac:dyDescent="0.25">
      <c r="D248" s="36" t="s">
        <v>73</v>
      </c>
      <c r="E248" s="36" t="str">
        <f t="shared" si="110"/>
        <v>Pilbara</v>
      </c>
      <c r="F248" s="36" t="str">
        <f t="shared" si="95"/>
        <v>Summer</v>
      </c>
      <c r="G248" s="36">
        <f t="shared" si="95"/>
        <v>0.77</v>
      </c>
      <c r="H248" s="36">
        <f t="shared" si="95"/>
        <v>0.55000000000000004</v>
      </c>
      <c r="I248" s="36">
        <f t="shared" si="95"/>
        <v>0.77</v>
      </c>
      <c r="J248" s="36">
        <f t="shared" si="95"/>
        <v>0.66</v>
      </c>
      <c r="K248" s="36">
        <f t="shared" si="95"/>
        <v>0.55000000000000004</v>
      </c>
      <c r="L248" s="36">
        <f t="shared" ref="L248:N248" si="115">K176</f>
        <v>0.55000000000000004</v>
      </c>
      <c r="M248" s="36">
        <f t="shared" si="115"/>
        <v>0.77</v>
      </c>
      <c r="N248" s="36">
        <f t="shared" si="115"/>
        <v>0.33</v>
      </c>
      <c r="O248" s="36">
        <f t="shared" si="97"/>
        <v>0.33</v>
      </c>
      <c r="P248" s="36">
        <f t="shared" si="98"/>
        <v>0.33</v>
      </c>
    </row>
    <row r="249" spans="4:16" x14ac:dyDescent="0.25">
      <c r="D249" s="36" t="s">
        <v>73</v>
      </c>
      <c r="E249" s="36" t="str">
        <f t="shared" si="110"/>
        <v>Pilbara</v>
      </c>
      <c r="F249" s="36" t="str">
        <f t="shared" si="95"/>
        <v>Autumn</v>
      </c>
      <c r="G249" s="36">
        <f t="shared" si="95"/>
        <v>0.88</v>
      </c>
      <c r="H249" s="36">
        <f t="shared" si="95"/>
        <v>0.55000000000000004</v>
      </c>
      <c r="I249" s="36">
        <f t="shared" si="95"/>
        <v>0.88</v>
      </c>
      <c r="J249" s="36">
        <f t="shared" si="95"/>
        <v>0.22</v>
      </c>
      <c r="K249" s="36">
        <f t="shared" si="95"/>
        <v>0.22</v>
      </c>
      <c r="L249" s="36">
        <f t="shared" ref="L249:N249" si="116">K177</f>
        <v>0.22</v>
      </c>
      <c r="M249" s="36">
        <f t="shared" si="116"/>
        <v>0.88</v>
      </c>
      <c r="N249" s="36">
        <f t="shared" si="116"/>
        <v>0.22</v>
      </c>
      <c r="O249" s="36">
        <f t="shared" si="97"/>
        <v>0.22</v>
      </c>
      <c r="P249" s="36">
        <f t="shared" si="98"/>
        <v>0.22</v>
      </c>
    </row>
    <row r="250" spans="4:16" x14ac:dyDescent="0.25">
      <c r="D250" s="36" t="s">
        <v>73</v>
      </c>
      <c r="E250" s="36" t="str">
        <f t="shared" si="110"/>
        <v>Pilbara</v>
      </c>
      <c r="F250" s="36" t="str">
        <f t="shared" si="95"/>
        <v>Winter</v>
      </c>
      <c r="G250" s="36">
        <f t="shared" si="95"/>
        <v>0.22</v>
      </c>
      <c r="H250" s="36">
        <f t="shared" si="95"/>
        <v>-0.55000000000000004</v>
      </c>
      <c r="I250" s="36">
        <f t="shared" si="95"/>
        <v>0.22</v>
      </c>
      <c r="J250" s="36">
        <f t="shared" si="95"/>
        <v>0.11</v>
      </c>
      <c r="K250" s="36">
        <f t="shared" si="95"/>
        <v>-0.22</v>
      </c>
      <c r="L250" s="36">
        <f t="shared" ref="L250:N250" si="117">K178</f>
        <v>-0.22</v>
      </c>
      <c r="M250" s="36">
        <f t="shared" si="117"/>
        <v>0.22</v>
      </c>
      <c r="N250" s="36">
        <f t="shared" si="117"/>
        <v>-0.33</v>
      </c>
      <c r="O250" s="36">
        <f t="shared" si="97"/>
        <v>-0.33</v>
      </c>
      <c r="P250" s="36">
        <f t="shared" si="98"/>
        <v>-0.33</v>
      </c>
    </row>
    <row r="251" spans="4:16" x14ac:dyDescent="0.25">
      <c r="D251" s="36" t="s">
        <v>73</v>
      </c>
      <c r="E251" s="36" t="str">
        <f t="shared" si="110"/>
        <v>Kimberley</v>
      </c>
      <c r="F251" s="36" t="str">
        <f t="shared" si="95"/>
        <v>Spring</v>
      </c>
      <c r="G251" s="36">
        <f t="shared" si="95"/>
        <v>0.22</v>
      </c>
      <c r="H251" s="36">
        <f t="shared" si="95"/>
        <v>-0.55000000000000004</v>
      </c>
      <c r="I251" s="36">
        <f t="shared" si="95"/>
        <v>0.33</v>
      </c>
      <c r="J251" s="36">
        <f t="shared" si="95"/>
        <v>0.22</v>
      </c>
      <c r="K251" s="36">
        <f t="shared" si="95"/>
        <v>-0.33</v>
      </c>
      <c r="L251" s="36">
        <f t="shared" ref="L251:N251" si="118">K179</f>
        <v>-0.33</v>
      </c>
      <c r="M251" s="36">
        <f t="shared" si="118"/>
        <v>0.22</v>
      </c>
      <c r="N251" s="36">
        <f t="shared" si="118"/>
        <v>-0.55000000000000004</v>
      </c>
      <c r="O251" s="36">
        <f t="shared" si="97"/>
        <v>-0.55000000000000004</v>
      </c>
      <c r="P251" s="36">
        <f t="shared" si="98"/>
        <v>-0.55000000000000004</v>
      </c>
    </row>
    <row r="252" spans="4:16" x14ac:dyDescent="0.25">
      <c r="D252" s="36" t="s">
        <v>73</v>
      </c>
      <c r="E252" s="36" t="str">
        <f t="shared" si="110"/>
        <v>Kimberley</v>
      </c>
      <c r="F252" s="36" t="str">
        <f t="shared" si="95"/>
        <v>Summer</v>
      </c>
      <c r="G252" s="36">
        <f t="shared" si="95"/>
        <v>0.8</v>
      </c>
      <c r="H252" s="36">
        <f t="shared" si="95"/>
        <v>0.55000000000000004</v>
      </c>
      <c r="I252" s="36">
        <f t="shared" si="95"/>
        <v>0.7</v>
      </c>
      <c r="J252" s="36">
        <f t="shared" si="95"/>
        <v>0.44</v>
      </c>
      <c r="K252" s="36">
        <f t="shared" si="95"/>
        <v>0.66</v>
      </c>
      <c r="L252" s="36">
        <f t="shared" ref="L252:N252" si="119">K180</f>
        <v>0.66</v>
      </c>
      <c r="M252" s="36">
        <f t="shared" si="119"/>
        <v>0.8</v>
      </c>
      <c r="N252" s="36">
        <f t="shared" si="119"/>
        <v>0.55000000000000004</v>
      </c>
      <c r="O252" s="36">
        <f t="shared" si="97"/>
        <v>0.55000000000000004</v>
      </c>
      <c r="P252" s="36">
        <f t="shared" si="98"/>
        <v>0.55000000000000004</v>
      </c>
    </row>
    <row r="253" spans="4:16" x14ac:dyDescent="0.25">
      <c r="D253" s="36" t="s">
        <v>73</v>
      </c>
      <c r="E253" s="36" t="str">
        <f t="shared" si="110"/>
        <v>Kimberley</v>
      </c>
      <c r="F253" s="36" t="str">
        <f t="shared" si="95"/>
        <v>Autumn</v>
      </c>
      <c r="G253" s="36">
        <f t="shared" si="95"/>
        <v>0.66</v>
      </c>
      <c r="H253" s="36">
        <f t="shared" si="95"/>
        <v>0.55000000000000004</v>
      </c>
      <c r="I253" s="36">
        <f t="shared" si="95"/>
        <v>0.55000000000000004</v>
      </c>
      <c r="J253" s="36">
        <f t="shared" si="95"/>
        <v>0.55000000000000004</v>
      </c>
      <c r="K253" s="36">
        <f t="shared" si="95"/>
        <v>0.11</v>
      </c>
      <c r="L253" s="36">
        <f t="shared" ref="L253:N253" si="120">K181</f>
        <v>0.11</v>
      </c>
      <c r="M253" s="36">
        <f t="shared" si="120"/>
        <v>0.66</v>
      </c>
      <c r="N253" s="36">
        <f t="shared" si="120"/>
        <v>0.55000000000000004</v>
      </c>
      <c r="O253" s="36">
        <f t="shared" si="97"/>
        <v>0.55000000000000004</v>
      </c>
      <c r="P253" s="36">
        <f t="shared" si="98"/>
        <v>0.55000000000000004</v>
      </c>
    </row>
    <row r="254" spans="4:16" x14ac:dyDescent="0.25">
      <c r="D254" s="36" t="s">
        <v>73</v>
      </c>
      <c r="E254" s="36" t="str">
        <f t="shared" si="110"/>
        <v>Kimberley</v>
      </c>
      <c r="F254" s="36" t="str">
        <f t="shared" si="95"/>
        <v>Winter</v>
      </c>
      <c r="G254" s="36">
        <f t="shared" si="95"/>
        <v>0.33</v>
      </c>
      <c r="H254" s="36">
        <f t="shared" si="95"/>
        <v>-0.55000000000000004</v>
      </c>
      <c r="I254" s="36">
        <f t="shared" si="95"/>
        <v>0.11</v>
      </c>
      <c r="J254" s="36">
        <f t="shared" si="95"/>
        <v>0.11</v>
      </c>
      <c r="K254" s="36">
        <f t="shared" si="95"/>
        <v>-0.44</v>
      </c>
      <c r="L254" s="36">
        <f t="shared" ref="L254:N254" si="121">K182</f>
        <v>-0.44</v>
      </c>
      <c r="M254" s="36">
        <f t="shared" si="121"/>
        <v>0.33</v>
      </c>
      <c r="N254" s="36">
        <f t="shared" si="121"/>
        <v>-0.55000000000000004</v>
      </c>
      <c r="O254" s="36">
        <f t="shared" si="97"/>
        <v>-0.55000000000000004</v>
      </c>
      <c r="P254" s="36">
        <f t="shared" si="98"/>
        <v>-0.55000000000000004</v>
      </c>
    </row>
    <row r="255" spans="4:16" x14ac:dyDescent="0.25">
      <c r="D255" s="36" t="s">
        <v>68</v>
      </c>
      <c r="E255" s="36" t="str">
        <f>E190</f>
        <v>Alice Springs</v>
      </c>
      <c r="F255" s="36" t="str">
        <f>F190</f>
        <v>Spring</v>
      </c>
      <c r="G255" s="36">
        <f>G190</f>
        <v>0.22</v>
      </c>
      <c r="H255" s="36">
        <f t="shared" ref="H255:P255" si="122">H190</f>
        <v>-0.23</v>
      </c>
      <c r="I255" s="36">
        <f t="shared" si="122"/>
        <v>0.25</v>
      </c>
      <c r="J255" s="36">
        <f t="shared" si="122"/>
        <v>0.17</v>
      </c>
      <c r="K255" s="36">
        <f t="shared" si="122"/>
        <v>0.18</v>
      </c>
      <c r="L255" s="36">
        <f t="shared" si="122"/>
        <v>-0.28000000000000003</v>
      </c>
      <c r="M255" s="36">
        <f t="shared" si="122"/>
        <v>0.32</v>
      </c>
      <c r="N255" s="36">
        <f t="shared" si="122"/>
        <v>0.24</v>
      </c>
      <c r="O255" s="36">
        <f t="shared" si="122"/>
        <v>0.25</v>
      </c>
      <c r="P255" s="36">
        <f t="shared" si="122"/>
        <v>-0.05</v>
      </c>
    </row>
    <row r="256" spans="4:16" x14ac:dyDescent="0.25">
      <c r="D256" s="36" t="s">
        <v>68</v>
      </c>
      <c r="E256" s="36" t="str">
        <f t="shared" ref="E256:P282" si="123">E191</f>
        <v>Alice Springs</v>
      </c>
      <c r="F256" s="36" t="str">
        <f t="shared" si="123"/>
        <v>Summer</v>
      </c>
      <c r="G256" s="36">
        <f t="shared" si="123"/>
        <v>0.66</v>
      </c>
      <c r="H256" s="36">
        <f t="shared" si="123"/>
        <v>0.2</v>
      </c>
      <c r="I256" s="36">
        <f t="shared" si="123"/>
        <v>0.62</v>
      </c>
      <c r="J256" s="36">
        <f t="shared" si="123"/>
        <v>0.54</v>
      </c>
      <c r="K256" s="36">
        <f t="shared" si="123"/>
        <v>0.38</v>
      </c>
      <c r="L256" s="36">
        <f t="shared" si="123"/>
        <v>0.27</v>
      </c>
      <c r="M256" s="36">
        <f t="shared" si="123"/>
        <v>0.75</v>
      </c>
      <c r="N256" s="36">
        <f t="shared" si="123"/>
        <v>0.64</v>
      </c>
      <c r="O256" s="36">
        <f t="shared" si="123"/>
        <v>0.55000000000000004</v>
      </c>
      <c r="P256" s="36">
        <f t="shared" si="123"/>
        <v>0.48</v>
      </c>
    </row>
    <row r="257" spans="4:16" x14ac:dyDescent="0.25">
      <c r="D257" s="36" t="s">
        <v>68</v>
      </c>
      <c r="E257" s="36" t="str">
        <f t="shared" si="123"/>
        <v>Alice Springs</v>
      </c>
      <c r="F257" s="36" t="str">
        <f t="shared" si="123"/>
        <v>Autumn</v>
      </c>
      <c r="G257" s="36">
        <f t="shared" si="123"/>
        <v>0.49</v>
      </c>
      <c r="H257" s="36">
        <f t="shared" si="123"/>
        <v>0.13</v>
      </c>
      <c r="I257" s="36">
        <f t="shared" si="123"/>
        <v>0.54</v>
      </c>
      <c r="J257" s="36">
        <f t="shared" si="123"/>
        <v>0.45</v>
      </c>
      <c r="K257" s="36">
        <f t="shared" si="123"/>
        <v>0.35</v>
      </c>
      <c r="L257" s="36">
        <f t="shared" si="123"/>
        <v>0.15</v>
      </c>
      <c r="M257" s="36">
        <f t="shared" si="123"/>
        <v>0.63</v>
      </c>
      <c r="N257" s="36">
        <f t="shared" si="123"/>
        <v>0.54</v>
      </c>
      <c r="O257" s="36">
        <f t="shared" si="123"/>
        <v>0.42</v>
      </c>
      <c r="P257" s="36">
        <f t="shared" si="123"/>
        <v>0.26</v>
      </c>
    </row>
    <row r="258" spans="4:16" x14ac:dyDescent="0.25">
      <c r="D258" s="36" t="s">
        <v>68</v>
      </c>
      <c r="E258" s="36" t="str">
        <f t="shared" si="123"/>
        <v>Alice Springs</v>
      </c>
      <c r="F258" s="36" t="str">
        <f t="shared" si="123"/>
        <v>Winter</v>
      </c>
      <c r="G258" s="36">
        <f t="shared" si="123"/>
        <v>0.27</v>
      </c>
      <c r="H258" s="36">
        <f t="shared" si="123"/>
        <v>-0.8</v>
      </c>
      <c r="I258" s="36">
        <f t="shared" si="123"/>
        <v>0.22</v>
      </c>
      <c r="J258" s="36">
        <f t="shared" si="123"/>
        <v>0.09</v>
      </c>
      <c r="K258" s="36">
        <f t="shared" si="123"/>
        <v>0.12</v>
      </c>
      <c r="L258" s="36">
        <f t="shared" si="123"/>
        <v>0.02</v>
      </c>
      <c r="M258" s="36">
        <f t="shared" si="123"/>
        <v>0.25</v>
      </c>
      <c r="N258" s="36">
        <f t="shared" si="123"/>
        <v>0.18</v>
      </c>
      <c r="O258" s="36">
        <f t="shared" si="123"/>
        <v>0.12</v>
      </c>
      <c r="P258" s="36">
        <f t="shared" si="123"/>
        <v>0.03</v>
      </c>
    </row>
    <row r="259" spans="4:16" x14ac:dyDescent="0.25">
      <c r="D259" s="36" t="s">
        <v>68</v>
      </c>
      <c r="E259" s="36" t="str">
        <f t="shared" si="123"/>
        <v>Barkly</v>
      </c>
      <c r="F259" s="36" t="str">
        <f t="shared" si="123"/>
        <v>Spring</v>
      </c>
      <c r="G259" s="36">
        <f t="shared" si="123"/>
        <v>0.22</v>
      </c>
      <c r="H259" s="36">
        <f t="shared" si="123"/>
        <v>-0.44</v>
      </c>
      <c r="I259" s="36">
        <f t="shared" si="123"/>
        <v>0.2</v>
      </c>
      <c r="J259" s="36">
        <f t="shared" si="123"/>
        <v>0.21</v>
      </c>
      <c r="K259" s="36">
        <f t="shared" si="123"/>
        <v>0.18</v>
      </c>
      <c r="L259" s="36">
        <f t="shared" si="123"/>
        <v>0.01</v>
      </c>
      <c r="M259" s="36">
        <f t="shared" si="123"/>
        <v>0.12</v>
      </c>
      <c r="N259" s="36">
        <f t="shared" si="123"/>
        <v>0.09</v>
      </c>
      <c r="O259" s="36" t="str">
        <f t="shared" si="123"/>
        <v>NO</v>
      </c>
      <c r="P259" s="36" t="str">
        <f t="shared" si="123"/>
        <v>NO</v>
      </c>
    </row>
    <row r="260" spans="4:16" x14ac:dyDescent="0.25">
      <c r="D260" s="36" t="s">
        <v>68</v>
      </c>
      <c r="E260" s="36" t="str">
        <f t="shared" si="123"/>
        <v>Barkly</v>
      </c>
      <c r="F260" s="36" t="str">
        <f t="shared" si="123"/>
        <v>Summer</v>
      </c>
      <c r="G260" s="36">
        <f t="shared" si="123"/>
        <v>0.66</v>
      </c>
      <c r="H260" s="36">
        <f t="shared" si="123"/>
        <v>0.22</v>
      </c>
      <c r="I260" s="36">
        <f t="shared" si="123"/>
        <v>0.68</v>
      </c>
      <c r="J260" s="36">
        <f t="shared" si="123"/>
        <v>0.22</v>
      </c>
      <c r="K260" s="36">
        <f t="shared" si="123"/>
        <v>0.24</v>
      </c>
      <c r="L260" s="36">
        <f t="shared" si="123"/>
        <v>0.25</v>
      </c>
      <c r="M260" s="36">
        <f t="shared" si="123"/>
        <v>0.64</v>
      </c>
      <c r="N260" s="36">
        <f t="shared" si="123"/>
        <v>0.37</v>
      </c>
      <c r="O260" s="36" t="str">
        <f t="shared" si="123"/>
        <v>NO</v>
      </c>
      <c r="P260" s="36" t="str">
        <f t="shared" si="123"/>
        <v>NO</v>
      </c>
    </row>
    <row r="261" spans="4:16" x14ac:dyDescent="0.25">
      <c r="D261" s="36" t="s">
        <v>68</v>
      </c>
      <c r="E261" s="36" t="str">
        <f t="shared" si="123"/>
        <v>Barkly</v>
      </c>
      <c r="F261" s="36" t="str">
        <f t="shared" si="123"/>
        <v>Autumn</v>
      </c>
      <c r="G261" s="36">
        <f t="shared" si="123"/>
        <v>0.49</v>
      </c>
      <c r="H261" s="36">
        <f t="shared" si="123"/>
        <v>0.05</v>
      </c>
      <c r="I261" s="36">
        <f t="shared" si="123"/>
        <v>0.64</v>
      </c>
      <c r="J261" s="36">
        <f t="shared" si="123"/>
        <v>0.25</v>
      </c>
      <c r="K261" s="36">
        <f t="shared" si="123"/>
        <v>0.28999999999999998</v>
      </c>
      <c r="L261" s="36">
        <f t="shared" si="123"/>
        <v>0.12</v>
      </c>
      <c r="M261" s="36">
        <f t="shared" si="123"/>
        <v>0.56999999999999995</v>
      </c>
      <c r="N261" s="36">
        <f t="shared" si="123"/>
        <v>0.49</v>
      </c>
      <c r="O261" s="36" t="str">
        <f t="shared" si="123"/>
        <v>NO</v>
      </c>
      <c r="P261" s="36" t="str">
        <f t="shared" si="123"/>
        <v>NO</v>
      </c>
    </row>
    <row r="262" spans="4:16" x14ac:dyDescent="0.25">
      <c r="D262" s="36" t="s">
        <v>68</v>
      </c>
      <c r="E262" s="36" t="str">
        <f t="shared" si="123"/>
        <v>Barkly</v>
      </c>
      <c r="F262" s="36" t="str">
        <f t="shared" si="123"/>
        <v>Winter</v>
      </c>
      <c r="G262" s="36">
        <f t="shared" si="123"/>
        <v>0.27</v>
      </c>
      <c r="H262" s="36">
        <f t="shared" si="123"/>
        <v>-0.27</v>
      </c>
      <c r="I262" s="36">
        <f t="shared" si="123"/>
        <v>0.31</v>
      </c>
      <c r="J262" s="36">
        <f t="shared" si="123"/>
        <v>0.28999999999999998</v>
      </c>
      <c r="K262" s="36">
        <f t="shared" si="123"/>
        <v>0.19</v>
      </c>
      <c r="L262" s="36">
        <f t="shared" si="123"/>
        <v>0.04</v>
      </c>
      <c r="M262" s="36">
        <f t="shared" si="123"/>
        <v>0.26</v>
      </c>
      <c r="N262" s="36">
        <f t="shared" si="123"/>
        <v>0.28000000000000003</v>
      </c>
      <c r="O262" s="36" t="str">
        <f t="shared" si="123"/>
        <v>NO</v>
      </c>
      <c r="P262" s="36" t="str">
        <f t="shared" si="123"/>
        <v>NO</v>
      </c>
    </row>
    <row r="263" spans="4:16" x14ac:dyDescent="0.25">
      <c r="D263" s="36" t="s">
        <v>68</v>
      </c>
      <c r="E263" s="36" t="str">
        <f t="shared" si="123"/>
        <v>Northern</v>
      </c>
      <c r="F263" s="36" t="str">
        <f t="shared" si="123"/>
        <v>Spring</v>
      </c>
      <c r="G263" s="36">
        <f t="shared" si="123"/>
        <v>0.22</v>
      </c>
      <c r="H263" s="36">
        <f t="shared" si="123"/>
        <v>-0.44</v>
      </c>
      <c r="I263" s="36">
        <f t="shared" si="123"/>
        <v>0</v>
      </c>
      <c r="J263" s="36">
        <f t="shared" si="123"/>
        <v>0.15</v>
      </c>
      <c r="K263" s="36">
        <f t="shared" si="123"/>
        <v>0.08</v>
      </c>
      <c r="L263" s="36">
        <f t="shared" si="123"/>
        <v>0.17</v>
      </c>
      <c r="M263" s="36">
        <f t="shared" si="123"/>
        <v>0.06</v>
      </c>
      <c r="N263" s="36">
        <f t="shared" si="123"/>
        <v>0.02</v>
      </c>
      <c r="O263" s="36">
        <f t="shared" si="123"/>
        <v>-0.14000000000000001</v>
      </c>
      <c r="P263" s="36" t="str">
        <f t="shared" si="123"/>
        <v>NO</v>
      </c>
    </row>
    <row r="264" spans="4:16" x14ac:dyDescent="0.25">
      <c r="D264" s="36" t="s">
        <v>68</v>
      </c>
      <c r="E264" s="36" t="str">
        <f t="shared" si="123"/>
        <v>Northern</v>
      </c>
      <c r="F264" s="36" t="str">
        <f t="shared" si="123"/>
        <v>Summer</v>
      </c>
      <c r="G264" s="36">
        <f t="shared" si="123"/>
        <v>0.66</v>
      </c>
      <c r="H264" s="36">
        <f t="shared" si="123"/>
        <v>0.22</v>
      </c>
      <c r="I264" s="36">
        <f t="shared" si="123"/>
        <v>0.79</v>
      </c>
      <c r="J264" s="36">
        <f t="shared" si="123"/>
        <v>0.4</v>
      </c>
      <c r="K264" s="36">
        <f t="shared" si="123"/>
        <v>0.38</v>
      </c>
      <c r="L264" s="36">
        <f t="shared" si="123"/>
        <v>0.27</v>
      </c>
      <c r="M264" s="36">
        <f t="shared" si="123"/>
        <v>0.8</v>
      </c>
      <c r="N264" s="36">
        <f t="shared" si="123"/>
        <v>0.16</v>
      </c>
      <c r="O264" s="36">
        <f t="shared" si="123"/>
        <v>0.3</v>
      </c>
      <c r="P264" s="36" t="str">
        <f t="shared" si="123"/>
        <v>NO</v>
      </c>
    </row>
    <row r="265" spans="4:16" x14ac:dyDescent="0.25">
      <c r="D265" s="36" t="s">
        <v>68</v>
      </c>
      <c r="E265" s="36" t="str">
        <f t="shared" si="123"/>
        <v>Northern</v>
      </c>
      <c r="F265" s="36" t="str">
        <f t="shared" si="123"/>
        <v>Autumn</v>
      </c>
      <c r="G265" s="36">
        <f t="shared" si="123"/>
        <v>0.49</v>
      </c>
      <c r="H265" s="36">
        <f t="shared" si="123"/>
        <v>0.05</v>
      </c>
      <c r="I265" s="36">
        <f t="shared" si="123"/>
        <v>0.55000000000000004</v>
      </c>
      <c r="J265" s="36">
        <f t="shared" si="123"/>
        <v>0.38</v>
      </c>
      <c r="K265" s="36">
        <f t="shared" si="123"/>
        <v>0.36</v>
      </c>
      <c r="L265" s="36">
        <f t="shared" si="123"/>
        <v>0.06</v>
      </c>
      <c r="M265" s="36">
        <f t="shared" si="123"/>
        <v>0.57999999999999996</v>
      </c>
      <c r="N265" s="36">
        <f t="shared" si="123"/>
        <v>0.23</v>
      </c>
      <c r="O265" s="36">
        <f t="shared" si="123"/>
        <v>0.4</v>
      </c>
      <c r="P265" s="36" t="str">
        <f t="shared" si="123"/>
        <v>NO</v>
      </c>
    </row>
    <row r="266" spans="4:16" x14ac:dyDescent="0.25">
      <c r="D266" s="36" t="s">
        <v>68</v>
      </c>
      <c r="E266" s="36" t="str">
        <f t="shared" si="123"/>
        <v>Northern</v>
      </c>
      <c r="F266" s="36" t="str">
        <f t="shared" si="123"/>
        <v>Winter</v>
      </c>
      <c r="G266" s="36">
        <f t="shared" si="123"/>
        <v>0.27</v>
      </c>
      <c r="H266" s="36">
        <f t="shared" si="123"/>
        <v>-0.27</v>
      </c>
      <c r="I266" s="36">
        <f t="shared" si="123"/>
        <v>0.02</v>
      </c>
      <c r="J266" s="36">
        <f t="shared" si="123"/>
        <v>0.09</v>
      </c>
      <c r="K266" s="36">
        <f t="shared" si="123"/>
        <v>0.16</v>
      </c>
      <c r="L266" s="36">
        <f t="shared" si="123"/>
        <v>-0.04</v>
      </c>
      <c r="M266" s="36">
        <f t="shared" si="123"/>
        <v>0.21</v>
      </c>
      <c r="N266" s="36">
        <f t="shared" si="123"/>
        <v>0.03</v>
      </c>
      <c r="O266" s="36">
        <f t="shared" si="123"/>
        <v>0.11</v>
      </c>
      <c r="P266" s="36" t="str">
        <f t="shared" si="123"/>
        <v>NO</v>
      </c>
    </row>
    <row r="267" spans="4:16" x14ac:dyDescent="0.25">
      <c r="D267" s="36" t="s">
        <v>69</v>
      </c>
      <c r="E267" s="36" t="str">
        <f t="shared" si="123"/>
        <v>High</v>
      </c>
      <c r="F267" s="36" t="str">
        <f t="shared" si="123"/>
        <v>Spring</v>
      </c>
      <c r="G267" s="36">
        <f t="shared" si="123"/>
        <v>0.27</v>
      </c>
      <c r="H267" s="36">
        <f t="shared" si="123"/>
        <v>-0.19</v>
      </c>
      <c r="I267" s="36">
        <f t="shared" si="123"/>
        <v>0.38</v>
      </c>
      <c r="J267" s="36">
        <f t="shared" si="123"/>
        <v>0.25</v>
      </c>
      <c r="K267" s="36">
        <f t="shared" si="123"/>
        <v>7.0000000000000007E-2</v>
      </c>
      <c r="L267" s="36">
        <f t="shared" si="123"/>
        <v>0.05</v>
      </c>
      <c r="M267" s="36">
        <f t="shared" si="123"/>
        <v>0.52</v>
      </c>
      <c r="N267" s="36">
        <f t="shared" si="123"/>
        <v>0.55000000000000004</v>
      </c>
      <c r="O267" s="36">
        <f t="shared" si="123"/>
        <v>0.19</v>
      </c>
      <c r="P267" s="36">
        <f t="shared" si="123"/>
        <v>0.6</v>
      </c>
    </row>
    <row r="268" spans="4:16" x14ac:dyDescent="0.25">
      <c r="D268" s="36" t="s">
        <v>69</v>
      </c>
      <c r="E268" s="36" t="str">
        <f t="shared" si="123"/>
        <v>High</v>
      </c>
      <c r="F268" s="36" t="str">
        <f t="shared" si="123"/>
        <v>Summer</v>
      </c>
      <c r="G268" s="36">
        <f t="shared" si="123"/>
        <v>0.16</v>
      </c>
      <c r="H268" s="36">
        <f t="shared" si="123"/>
        <v>0.16</v>
      </c>
      <c r="I268" s="36">
        <f t="shared" si="123"/>
        <v>0.8</v>
      </c>
      <c r="J268" s="36">
        <f t="shared" si="123"/>
        <v>0.56999999999999995</v>
      </c>
      <c r="K268" s="36">
        <f t="shared" si="123"/>
        <v>0.76</v>
      </c>
      <c r="L268" s="36">
        <f t="shared" si="123"/>
        <v>0.49</v>
      </c>
      <c r="M268" s="36">
        <f t="shared" si="123"/>
        <v>0.84</v>
      </c>
      <c r="N268" s="36">
        <f t="shared" si="123"/>
        <v>0.51</v>
      </c>
      <c r="O268" s="36">
        <f t="shared" si="123"/>
        <v>0.36</v>
      </c>
      <c r="P268" s="36">
        <f t="shared" si="123"/>
        <v>0.17</v>
      </c>
    </row>
    <row r="269" spans="4:16" x14ac:dyDescent="0.25">
      <c r="D269" s="36" t="s">
        <v>69</v>
      </c>
      <c r="E269" s="36" t="str">
        <f t="shared" si="123"/>
        <v>High</v>
      </c>
      <c r="F269" s="36" t="str">
        <f t="shared" si="123"/>
        <v>Autumn</v>
      </c>
      <c r="G269" s="36">
        <f t="shared" si="123"/>
        <v>0.45</v>
      </c>
      <c r="H269" s="36">
        <f t="shared" si="123"/>
        <v>0.1</v>
      </c>
      <c r="I269" s="36">
        <f t="shared" si="123"/>
        <v>0.49</v>
      </c>
      <c r="J269" s="36">
        <f t="shared" si="123"/>
        <v>0.41</v>
      </c>
      <c r="K269" s="36">
        <f t="shared" si="123"/>
        <v>0.4</v>
      </c>
      <c r="L269" s="36">
        <f t="shared" si="123"/>
        <v>0.17</v>
      </c>
      <c r="M269" s="36">
        <f t="shared" si="123"/>
        <v>0.54</v>
      </c>
      <c r="N269" s="36">
        <f t="shared" si="123"/>
        <v>0.64</v>
      </c>
      <c r="O269" s="36">
        <f t="shared" si="123"/>
        <v>-0.05</v>
      </c>
      <c r="P269" s="36">
        <f t="shared" si="123"/>
        <v>0.32</v>
      </c>
    </row>
    <row r="270" spans="4:16" x14ac:dyDescent="0.25">
      <c r="D270" s="36" t="s">
        <v>69</v>
      </c>
      <c r="E270" s="36" t="str">
        <f t="shared" si="123"/>
        <v>High</v>
      </c>
      <c r="F270" s="36" t="str">
        <f t="shared" si="123"/>
        <v>Winter</v>
      </c>
      <c r="G270" s="36">
        <f t="shared" si="123"/>
        <v>0.51</v>
      </c>
      <c r="H270" s="36">
        <f t="shared" si="123"/>
        <v>-7.0000000000000007E-2</v>
      </c>
      <c r="I270" s="36">
        <f t="shared" si="123"/>
        <v>0.13</v>
      </c>
      <c r="J270" s="36">
        <f t="shared" si="123"/>
        <v>-0.09</v>
      </c>
      <c r="K270" s="36">
        <f t="shared" si="123"/>
        <v>-0.13</v>
      </c>
      <c r="L270" s="36">
        <f t="shared" si="123"/>
        <v>7.0000000000000007E-2</v>
      </c>
      <c r="M270" s="36">
        <f t="shared" si="123"/>
        <v>0.25</v>
      </c>
      <c r="N270" s="36">
        <f t="shared" si="123"/>
        <v>0.71</v>
      </c>
      <c r="O270" s="36">
        <f t="shared" si="123"/>
        <v>0.17</v>
      </c>
      <c r="P270" s="36">
        <f t="shared" si="123"/>
        <v>0.43</v>
      </c>
    </row>
    <row r="271" spans="4:16" x14ac:dyDescent="0.25">
      <c r="D271" s="36" t="s">
        <v>69</v>
      </c>
      <c r="E271" s="36" t="str">
        <f t="shared" si="123"/>
        <v>Moderate/High</v>
      </c>
      <c r="F271" s="36" t="str">
        <f t="shared" si="123"/>
        <v>Spring</v>
      </c>
      <c r="G271" s="36">
        <f t="shared" si="123"/>
        <v>-0.12</v>
      </c>
      <c r="H271" s="36">
        <f t="shared" si="123"/>
        <v>-0.19</v>
      </c>
      <c r="I271" s="36">
        <f t="shared" si="123"/>
        <v>0.41</v>
      </c>
      <c r="J271" s="36">
        <f t="shared" si="123"/>
        <v>0.09</v>
      </c>
      <c r="K271" s="36">
        <f t="shared" si="123"/>
        <v>0.41</v>
      </c>
      <c r="L271" s="36">
        <f t="shared" si="123"/>
        <v>-0.19</v>
      </c>
      <c r="M271" s="36">
        <f t="shared" si="123"/>
        <v>7.0000000000000007E-2</v>
      </c>
      <c r="N271" s="36">
        <f t="shared" si="123"/>
        <v>1.07</v>
      </c>
      <c r="O271" s="36">
        <f t="shared" si="123"/>
        <v>-0.08</v>
      </c>
      <c r="P271" s="36">
        <f t="shared" si="123"/>
        <v>0</v>
      </c>
    </row>
    <row r="272" spans="4:16" x14ac:dyDescent="0.25">
      <c r="D272" s="36" t="s">
        <v>69</v>
      </c>
      <c r="E272" s="36" t="str">
        <f t="shared" si="123"/>
        <v>Moderate/High</v>
      </c>
      <c r="F272" s="36" t="str">
        <f t="shared" si="123"/>
        <v>Summer</v>
      </c>
      <c r="G272" s="36">
        <f t="shared" si="123"/>
        <v>0.65</v>
      </c>
      <c r="H272" s="36">
        <f t="shared" si="123"/>
        <v>0.19</v>
      </c>
      <c r="I272" s="36">
        <f t="shared" si="123"/>
        <v>0.65</v>
      </c>
      <c r="J272" s="36">
        <f t="shared" si="123"/>
        <v>0.51</v>
      </c>
      <c r="K272" s="36">
        <f t="shared" si="123"/>
        <v>0.18</v>
      </c>
      <c r="L272" s="36">
        <f t="shared" si="123"/>
        <v>0.63</v>
      </c>
      <c r="M272" s="36">
        <f t="shared" si="123"/>
        <v>1.3</v>
      </c>
      <c r="N272" s="36">
        <f t="shared" si="123"/>
        <v>0.48</v>
      </c>
      <c r="O272" s="36">
        <f t="shared" si="123"/>
        <v>1.1200000000000001</v>
      </c>
      <c r="P272" s="36">
        <f t="shared" si="123"/>
        <v>0.38</v>
      </c>
    </row>
    <row r="273" spans="4:16" x14ac:dyDescent="0.25">
      <c r="D273" s="36" t="s">
        <v>69</v>
      </c>
      <c r="E273" s="36" t="str">
        <f t="shared" si="123"/>
        <v>Moderate/High</v>
      </c>
      <c r="F273" s="36" t="str">
        <f t="shared" si="123"/>
        <v>Autumn</v>
      </c>
      <c r="G273" s="36">
        <f t="shared" si="123"/>
        <v>0.7</v>
      </c>
      <c r="H273" s="36">
        <f t="shared" si="123"/>
        <v>0.13</v>
      </c>
      <c r="I273" s="36">
        <f t="shared" si="123"/>
        <v>0.52</v>
      </c>
      <c r="J273" s="36">
        <f t="shared" si="123"/>
        <v>0.34</v>
      </c>
      <c r="K273" s="36">
        <f t="shared" si="123"/>
        <v>0.02</v>
      </c>
      <c r="L273" s="36">
        <f t="shared" si="123"/>
        <v>0.04</v>
      </c>
      <c r="M273" s="36">
        <f t="shared" si="123"/>
        <v>0.77</v>
      </c>
      <c r="N273" s="36">
        <f t="shared" si="123"/>
        <v>0.42</v>
      </c>
      <c r="O273" s="36">
        <f t="shared" si="123"/>
        <v>0.12</v>
      </c>
      <c r="P273" s="36">
        <f t="shared" si="123"/>
        <v>0.74</v>
      </c>
    </row>
    <row r="274" spans="4:16" x14ac:dyDescent="0.25">
      <c r="D274" s="36" t="s">
        <v>69</v>
      </c>
      <c r="E274" s="36" t="str">
        <f t="shared" si="123"/>
        <v>Moderate/High</v>
      </c>
      <c r="F274" s="36" t="str">
        <f t="shared" si="123"/>
        <v>Winter</v>
      </c>
      <c r="G274" s="36">
        <f t="shared" si="123"/>
        <v>0.32</v>
      </c>
      <c r="H274" s="36">
        <f t="shared" si="123"/>
        <v>-0.06</v>
      </c>
      <c r="I274" s="36">
        <f t="shared" si="123"/>
        <v>0.25</v>
      </c>
      <c r="J274" s="36">
        <f t="shared" si="123"/>
        <v>0.19</v>
      </c>
      <c r="K274" s="36">
        <f t="shared" si="123"/>
        <v>-0.1</v>
      </c>
      <c r="L274" s="36">
        <f t="shared" si="123"/>
        <v>-0.02</v>
      </c>
      <c r="M274" s="36">
        <f t="shared" si="123"/>
        <v>0.02</v>
      </c>
      <c r="N274" s="36">
        <f t="shared" si="123"/>
        <v>0.23</v>
      </c>
      <c r="O274" s="36">
        <f t="shared" si="123"/>
        <v>-0.13</v>
      </c>
      <c r="P274" s="36">
        <f t="shared" si="123"/>
        <v>0</v>
      </c>
    </row>
    <row r="275" spans="4:16" x14ac:dyDescent="0.25">
      <c r="D275" s="36" t="s">
        <v>69</v>
      </c>
      <c r="E275" s="36" t="str">
        <f t="shared" si="123"/>
        <v>Moderate/Low</v>
      </c>
      <c r="F275" s="36" t="str">
        <f t="shared" si="123"/>
        <v>Spring</v>
      </c>
      <c r="G275" s="36">
        <f t="shared" si="123"/>
        <v>0.62</v>
      </c>
      <c r="H275" s="36">
        <f t="shared" si="123"/>
        <v>-0.19</v>
      </c>
      <c r="I275" s="36">
        <f t="shared" si="123"/>
        <v>0.37</v>
      </c>
      <c r="J275" s="36">
        <f t="shared" si="123"/>
        <v>0.41</v>
      </c>
      <c r="K275" s="36">
        <f t="shared" si="123"/>
        <v>0.06</v>
      </c>
      <c r="L275" s="36">
        <f t="shared" si="123"/>
        <v>-0.02</v>
      </c>
      <c r="M275" s="36">
        <f t="shared" si="123"/>
        <v>0.47</v>
      </c>
      <c r="N275" s="36">
        <f t="shared" si="123"/>
        <v>0.44</v>
      </c>
      <c r="O275" s="36">
        <f t="shared" si="123"/>
        <v>0.3</v>
      </c>
      <c r="P275" s="36">
        <f t="shared" si="123"/>
        <v>0.13</v>
      </c>
    </row>
    <row r="276" spans="4:16" x14ac:dyDescent="0.25">
      <c r="D276" s="36" t="s">
        <v>69</v>
      </c>
      <c r="E276" s="36" t="str">
        <f t="shared" si="123"/>
        <v>Moderate/Low</v>
      </c>
      <c r="F276" s="36" t="str">
        <f t="shared" si="123"/>
        <v>Summer</v>
      </c>
      <c r="G276" s="36">
        <f t="shared" si="123"/>
        <v>0.05</v>
      </c>
      <c r="H276" s="36">
        <f t="shared" ref="H276:P276" si="124">H211</f>
        <v>0.19</v>
      </c>
      <c r="I276" s="36">
        <f t="shared" si="124"/>
        <v>0.31</v>
      </c>
      <c r="J276" s="36">
        <f t="shared" si="124"/>
        <v>0.54</v>
      </c>
      <c r="K276" s="36">
        <f t="shared" si="124"/>
        <v>0.53</v>
      </c>
      <c r="L276" s="36">
        <f t="shared" si="124"/>
        <v>0.15</v>
      </c>
      <c r="M276" s="36">
        <f t="shared" si="124"/>
        <v>0.28000000000000003</v>
      </c>
      <c r="N276" s="36">
        <f t="shared" si="124"/>
        <v>0.56999999999999995</v>
      </c>
      <c r="O276" s="36">
        <f t="shared" si="124"/>
        <v>0.42</v>
      </c>
      <c r="P276" s="36">
        <f t="shared" si="124"/>
        <v>0.4</v>
      </c>
    </row>
    <row r="277" spans="4:16" x14ac:dyDescent="0.25">
      <c r="D277" s="36" t="s">
        <v>69</v>
      </c>
      <c r="E277" s="36" t="str">
        <f t="shared" si="123"/>
        <v>Moderate/Low</v>
      </c>
      <c r="F277" s="36" t="str">
        <f t="shared" si="123"/>
        <v>Autumn</v>
      </c>
      <c r="G277" s="36">
        <f t="shared" ref="G277:P277" si="125">G212</f>
        <v>0.33</v>
      </c>
      <c r="H277" s="36">
        <f t="shared" si="125"/>
        <v>0.13</v>
      </c>
      <c r="I277" s="36">
        <f t="shared" si="125"/>
        <v>0.39</v>
      </c>
      <c r="J277" s="36">
        <f t="shared" si="125"/>
        <v>0.36</v>
      </c>
      <c r="K277" s="36">
        <f t="shared" si="125"/>
        <v>0.26</v>
      </c>
      <c r="L277" s="36">
        <f t="shared" si="125"/>
        <v>0.11</v>
      </c>
      <c r="M277" s="36">
        <f t="shared" si="125"/>
        <v>0.4</v>
      </c>
      <c r="N277" s="36">
        <f t="shared" si="125"/>
        <v>0.44</v>
      </c>
      <c r="O277" s="36">
        <f t="shared" si="125"/>
        <v>0.37</v>
      </c>
      <c r="P277" s="36">
        <f t="shared" si="125"/>
        <v>-0.01</v>
      </c>
    </row>
    <row r="278" spans="4:16" x14ac:dyDescent="0.25">
      <c r="D278" s="36" t="s">
        <v>69</v>
      </c>
      <c r="E278" s="36" t="str">
        <f t="shared" si="123"/>
        <v>Moderate/Low</v>
      </c>
      <c r="F278" s="36" t="str">
        <f t="shared" si="123"/>
        <v>Winter</v>
      </c>
      <c r="G278" s="36">
        <f t="shared" ref="G278:P278" si="126">G213</f>
        <v>0.61</v>
      </c>
      <c r="H278" s="36">
        <f t="shared" si="126"/>
        <v>-0.06</v>
      </c>
      <c r="I278" s="36">
        <f t="shared" si="126"/>
        <v>0.21</v>
      </c>
      <c r="J278" s="36">
        <f t="shared" si="126"/>
        <v>0.18</v>
      </c>
      <c r="K278" s="36">
        <f t="shared" si="126"/>
        <v>0.12</v>
      </c>
      <c r="L278" s="36">
        <f t="shared" si="126"/>
        <v>0.06</v>
      </c>
      <c r="M278" s="36">
        <f t="shared" si="126"/>
        <v>0.28999999999999998</v>
      </c>
      <c r="N278" s="36">
        <f t="shared" si="126"/>
        <v>0.41</v>
      </c>
      <c r="O278" s="36">
        <f t="shared" si="126"/>
        <v>0.41</v>
      </c>
      <c r="P278" s="36">
        <f t="shared" si="126"/>
        <v>-0.15</v>
      </c>
    </row>
    <row r="279" spans="4:16" x14ac:dyDescent="0.25">
      <c r="D279" s="36" t="s">
        <v>69</v>
      </c>
      <c r="E279" s="36" t="str">
        <f t="shared" si="123"/>
        <v>Low</v>
      </c>
      <c r="F279" s="36" t="str">
        <f t="shared" si="123"/>
        <v>Spring</v>
      </c>
      <c r="G279" s="36">
        <f t="shared" ref="G279:P279" si="127">G214</f>
        <v>-0.2</v>
      </c>
      <c r="H279" s="36">
        <f t="shared" si="127"/>
        <v>0.02</v>
      </c>
      <c r="I279" s="36">
        <f t="shared" si="127"/>
        <v>0.24</v>
      </c>
      <c r="J279" s="36">
        <f t="shared" si="127"/>
        <v>0.3</v>
      </c>
      <c r="K279" s="36">
        <f t="shared" si="127"/>
        <v>0.23</v>
      </c>
      <c r="L279" s="36">
        <f t="shared" si="127"/>
        <v>-0.05</v>
      </c>
      <c r="M279" s="36">
        <f t="shared" si="127"/>
        <v>0.34</v>
      </c>
      <c r="N279" s="36">
        <f t="shared" si="127"/>
        <v>0.3</v>
      </c>
      <c r="O279" s="36">
        <f t="shared" si="127"/>
        <v>0.56999999999999995</v>
      </c>
      <c r="P279" s="36">
        <f t="shared" si="127"/>
        <v>0.52</v>
      </c>
    </row>
    <row r="280" spans="4:16" x14ac:dyDescent="0.25">
      <c r="D280" s="36" t="s">
        <v>69</v>
      </c>
      <c r="E280" s="36" t="str">
        <f t="shared" si="123"/>
        <v>Low</v>
      </c>
      <c r="F280" s="36" t="str">
        <f t="shared" si="123"/>
        <v>Summer</v>
      </c>
      <c r="G280" s="36">
        <f t="shared" ref="G280:P280" si="128">G215</f>
        <v>0.62</v>
      </c>
      <c r="H280" s="36">
        <f t="shared" si="128"/>
        <v>0.21</v>
      </c>
      <c r="I280" s="36">
        <f t="shared" si="128"/>
        <v>0.25</v>
      </c>
      <c r="J280" s="36">
        <f t="shared" si="128"/>
        <v>0.32</v>
      </c>
      <c r="K280" s="36">
        <f t="shared" si="128"/>
        <v>0.47</v>
      </c>
      <c r="L280" s="36">
        <f t="shared" si="128"/>
        <v>0.31</v>
      </c>
      <c r="M280" s="36">
        <f t="shared" si="128"/>
        <v>0.14000000000000001</v>
      </c>
      <c r="N280" s="36">
        <f t="shared" si="128"/>
        <v>0.4</v>
      </c>
      <c r="O280" s="36">
        <f t="shared" si="128"/>
        <v>0.26</v>
      </c>
      <c r="P280" s="36">
        <f t="shared" si="128"/>
        <v>0.43</v>
      </c>
    </row>
    <row r="281" spans="4:16" x14ac:dyDescent="0.25">
      <c r="D281" s="36" t="s">
        <v>69</v>
      </c>
      <c r="E281" s="36" t="str">
        <f t="shared" si="123"/>
        <v>Low</v>
      </c>
      <c r="F281" s="36" t="str">
        <f t="shared" si="123"/>
        <v>Autumn</v>
      </c>
      <c r="G281" s="36">
        <f t="shared" ref="G281:P281" si="129">G216</f>
        <v>0.4</v>
      </c>
      <c r="H281" s="36">
        <f t="shared" si="129"/>
        <v>0.13</v>
      </c>
      <c r="I281" s="36">
        <f t="shared" si="129"/>
        <v>0.12</v>
      </c>
      <c r="J281" s="36">
        <f t="shared" si="129"/>
        <v>0.27</v>
      </c>
      <c r="K281" s="36">
        <f t="shared" si="129"/>
        <v>0.3</v>
      </c>
      <c r="L281" s="36">
        <f t="shared" si="129"/>
        <v>0.08</v>
      </c>
      <c r="M281" s="36">
        <f t="shared" si="129"/>
        <v>0.13</v>
      </c>
      <c r="N281" s="36">
        <f t="shared" si="129"/>
        <v>0.24</v>
      </c>
      <c r="O281" s="36">
        <f t="shared" si="129"/>
        <v>0.15</v>
      </c>
      <c r="P281" s="36">
        <f t="shared" si="129"/>
        <v>0.21</v>
      </c>
    </row>
    <row r="282" spans="4:16" x14ac:dyDescent="0.25">
      <c r="D282" s="36" t="s">
        <v>69</v>
      </c>
      <c r="E282" s="36" t="str">
        <f t="shared" si="123"/>
        <v>Low</v>
      </c>
      <c r="F282" s="36" t="str">
        <f t="shared" si="123"/>
        <v>Winter</v>
      </c>
      <c r="G282" s="36">
        <f t="shared" ref="G282:P282" si="130">G217</f>
        <v>0.08</v>
      </c>
      <c r="H282" s="36">
        <f t="shared" si="130"/>
        <v>0.04</v>
      </c>
      <c r="I282" s="36">
        <f t="shared" si="130"/>
        <v>0.06</v>
      </c>
      <c r="J282" s="36">
        <f t="shared" si="130"/>
        <v>0.18</v>
      </c>
      <c r="K282" s="36">
        <f t="shared" si="130"/>
        <v>0.11</v>
      </c>
      <c r="L282" s="36">
        <f t="shared" si="130"/>
        <v>-7.0000000000000007E-2</v>
      </c>
      <c r="M282" s="36">
        <f t="shared" si="130"/>
        <v>0.13</v>
      </c>
      <c r="N282" s="36">
        <f t="shared" si="130"/>
        <v>0.16</v>
      </c>
      <c r="O282" s="36">
        <f t="shared" si="130"/>
        <v>0.4</v>
      </c>
      <c r="P282" s="36">
        <f t="shared" si="130"/>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2">F341</f>
        <v>1.1000000000000001</v>
      </c>
      <c r="L338" s="36">
        <f t="shared" si="13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3">E351</f>
        <v>700</v>
      </c>
      <c r="F362" s="36">
        <f t="shared" si="133"/>
        <v>700</v>
      </c>
      <c r="G362" s="36">
        <f t="shared" si="133"/>
        <v>500</v>
      </c>
      <c r="H362" s="36">
        <f t="shared" si="133"/>
        <v>500</v>
      </c>
      <c r="I362" s="36">
        <f>I351</f>
        <v>500</v>
      </c>
      <c r="J362" s="36">
        <f>I351</f>
        <v>500</v>
      </c>
      <c r="K362" s="36">
        <f t="shared" ref="K362" si="134">J351</f>
        <v>600</v>
      </c>
      <c r="L362" s="36">
        <f>K351</f>
        <v>600</v>
      </c>
      <c r="M362" s="36">
        <f>K351</f>
        <v>600</v>
      </c>
      <c r="N362" s="36">
        <f>K351</f>
        <v>600</v>
      </c>
      <c r="O362" s="36" t="str">
        <f>L351</f>
        <v>ACT</v>
      </c>
    </row>
    <row r="363" spans="4:15" x14ac:dyDescent="0.25">
      <c r="D363" s="36" t="str">
        <f t="shared" ref="D363:I363" si="135">D352</f>
        <v>NSW</v>
      </c>
      <c r="E363" s="36">
        <f t="shared" si="135"/>
        <v>700</v>
      </c>
      <c r="F363" s="36">
        <f t="shared" si="135"/>
        <v>700</v>
      </c>
      <c r="G363" s="36">
        <f t="shared" si="135"/>
        <v>500</v>
      </c>
      <c r="H363" s="36">
        <f t="shared" si="135"/>
        <v>500</v>
      </c>
      <c r="I363" s="36">
        <f t="shared" si="135"/>
        <v>500</v>
      </c>
      <c r="J363" s="36">
        <f t="shared" ref="J363:L363" si="136">I352</f>
        <v>500</v>
      </c>
      <c r="K363" s="36">
        <f t="shared" si="136"/>
        <v>600</v>
      </c>
      <c r="L363" s="36">
        <f t="shared" si="136"/>
        <v>600</v>
      </c>
      <c r="M363" s="36">
        <f t="shared" ref="M363:M369" si="137">K352</f>
        <v>600</v>
      </c>
      <c r="N363" s="36">
        <f t="shared" ref="N363:N369" si="138">K352</f>
        <v>600</v>
      </c>
      <c r="O363" s="36" t="str">
        <f t="shared" ref="O363:O369" si="139">L352</f>
        <v>NSW</v>
      </c>
    </row>
    <row r="364" spans="4:15" x14ac:dyDescent="0.25">
      <c r="D364" s="36" t="str">
        <f t="shared" ref="D364:I364" si="140">D353</f>
        <v>Northern Territory</v>
      </c>
      <c r="E364" s="36">
        <f t="shared" si="140"/>
        <v>770</v>
      </c>
      <c r="F364" s="36">
        <f t="shared" si="140"/>
        <v>770</v>
      </c>
      <c r="G364" s="36">
        <f t="shared" si="140"/>
        <v>550</v>
      </c>
      <c r="H364" s="36">
        <f t="shared" si="140"/>
        <v>550</v>
      </c>
      <c r="I364" s="36">
        <f t="shared" si="140"/>
        <v>550</v>
      </c>
      <c r="J364" s="36">
        <f t="shared" ref="J364:L364" si="141">I353</f>
        <v>550</v>
      </c>
      <c r="K364" s="36">
        <f t="shared" si="141"/>
        <v>660</v>
      </c>
      <c r="L364" s="36">
        <f t="shared" si="141"/>
        <v>660</v>
      </c>
      <c r="M364" s="36">
        <f t="shared" si="137"/>
        <v>660</v>
      </c>
      <c r="N364" s="36">
        <f t="shared" si="138"/>
        <v>660</v>
      </c>
      <c r="O364" s="36" t="str">
        <f t="shared" si="139"/>
        <v>NT</v>
      </c>
    </row>
    <row r="365" spans="4:15" x14ac:dyDescent="0.25">
      <c r="D365" s="36" t="str">
        <f t="shared" ref="D365:I365" si="142">D354</f>
        <v>Queensland</v>
      </c>
      <c r="E365" s="36">
        <f t="shared" si="142"/>
        <v>770</v>
      </c>
      <c r="F365" s="36">
        <f t="shared" si="142"/>
        <v>770</v>
      </c>
      <c r="G365" s="36">
        <f t="shared" si="142"/>
        <v>550</v>
      </c>
      <c r="H365" s="36">
        <f t="shared" si="142"/>
        <v>550</v>
      </c>
      <c r="I365" s="36">
        <f t="shared" si="142"/>
        <v>550</v>
      </c>
      <c r="J365" s="36">
        <f t="shared" ref="J365:L365" si="143">I354</f>
        <v>550</v>
      </c>
      <c r="K365" s="36">
        <f t="shared" si="143"/>
        <v>660</v>
      </c>
      <c r="L365" s="36">
        <f t="shared" si="143"/>
        <v>660</v>
      </c>
      <c r="M365" s="36">
        <f t="shared" si="137"/>
        <v>660</v>
      </c>
      <c r="N365" s="36">
        <f t="shared" si="138"/>
        <v>660</v>
      </c>
      <c r="O365" s="36" t="str">
        <f t="shared" si="139"/>
        <v>QLD</v>
      </c>
    </row>
    <row r="366" spans="4:15" x14ac:dyDescent="0.25">
      <c r="D366" s="36" t="str">
        <f t="shared" ref="D366:I366" si="144">D355</f>
        <v>South Australia</v>
      </c>
      <c r="E366" s="36">
        <f t="shared" si="144"/>
        <v>770</v>
      </c>
      <c r="F366" s="36">
        <f t="shared" si="144"/>
        <v>770</v>
      </c>
      <c r="G366" s="36">
        <f t="shared" si="144"/>
        <v>550</v>
      </c>
      <c r="H366" s="36">
        <f t="shared" si="144"/>
        <v>550</v>
      </c>
      <c r="I366" s="36">
        <f t="shared" si="144"/>
        <v>550</v>
      </c>
      <c r="J366" s="36">
        <f t="shared" ref="J366:L366" si="145">I355</f>
        <v>550</v>
      </c>
      <c r="K366" s="36">
        <f t="shared" si="145"/>
        <v>660</v>
      </c>
      <c r="L366" s="36">
        <f t="shared" si="145"/>
        <v>660</v>
      </c>
      <c r="M366" s="36">
        <f t="shared" si="137"/>
        <v>660</v>
      </c>
      <c r="N366" s="36">
        <f t="shared" si="138"/>
        <v>660</v>
      </c>
      <c r="O366" s="36" t="str">
        <f t="shared" si="139"/>
        <v>SA</v>
      </c>
    </row>
    <row r="367" spans="4:15" x14ac:dyDescent="0.25">
      <c r="D367" s="36" t="str">
        <f t="shared" ref="D367:I367" si="146">D356</f>
        <v>Tasmania</v>
      </c>
      <c r="E367" s="36">
        <f t="shared" si="146"/>
        <v>770</v>
      </c>
      <c r="F367" s="36">
        <f t="shared" si="146"/>
        <v>770</v>
      </c>
      <c r="G367" s="36">
        <f t="shared" si="146"/>
        <v>550</v>
      </c>
      <c r="H367" s="36">
        <f t="shared" si="146"/>
        <v>550</v>
      </c>
      <c r="I367" s="36">
        <f t="shared" si="146"/>
        <v>550</v>
      </c>
      <c r="J367" s="36">
        <f t="shared" ref="J367:L367" si="147">I356</f>
        <v>550</v>
      </c>
      <c r="K367" s="36">
        <f t="shared" si="147"/>
        <v>660</v>
      </c>
      <c r="L367" s="36">
        <f t="shared" si="147"/>
        <v>660</v>
      </c>
      <c r="M367" s="36">
        <f t="shared" si="137"/>
        <v>660</v>
      </c>
      <c r="N367" s="36">
        <f t="shared" si="138"/>
        <v>660</v>
      </c>
      <c r="O367" s="36" t="str">
        <f t="shared" si="139"/>
        <v>TAS</v>
      </c>
    </row>
    <row r="368" spans="4:15" x14ac:dyDescent="0.25">
      <c r="D368" s="36" t="str">
        <f t="shared" ref="D368:I368" si="148">D357</f>
        <v>Victoria</v>
      </c>
      <c r="E368" s="36">
        <f t="shared" si="148"/>
        <v>770</v>
      </c>
      <c r="F368" s="36">
        <f t="shared" si="148"/>
        <v>770</v>
      </c>
      <c r="G368" s="36">
        <f t="shared" si="148"/>
        <v>550</v>
      </c>
      <c r="H368" s="36">
        <f t="shared" si="148"/>
        <v>550</v>
      </c>
      <c r="I368" s="36">
        <f t="shared" si="148"/>
        <v>550</v>
      </c>
      <c r="J368" s="36">
        <f t="shared" ref="J368:L368" si="149">I357</f>
        <v>550</v>
      </c>
      <c r="K368" s="36">
        <f t="shared" si="149"/>
        <v>660</v>
      </c>
      <c r="L368" s="36">
        <f t="shared" si="149"/>
        <v>660</v>
      </c>
      <c r="M368" s="36">
        <f t="shared" si="137"/>
        <v>660</v>
      </c>
      <c r="N368" s="36">
        <f t="shared" si="138"/>
        <v>660</v>
      </c>
      <c r="O368" s="36" t="str">
        <f t="shared" si="139"/>
        <v>VIC</v>
      </c>
    </row>
    <row r="369" spans="4:15" x14ac:dyDescent="0.25">
      <c r="D369" s="36" t="str">
        <f t="shared" ref="D369:I369" si="150">D358</f>
        <v>Western Australia</v>
      </c>
      <c r="E369" s="36">
        <f t="shared" si="150"/>
        <v>770</v>
      </c>
      <c r="F369" s="36">
        <f t="shared" si="150"/>
        <v>770</v>
      </c>
      <c r="G369" s="36">
        <f t="shared" si="150"/>
        <v>550</v>
      </c>
      <c r="H369" s="36">
        <f t="shared" si="150"/>
        <v>550</v>
      </c>
      <c r="I369" s="36">
        <f t="shared" si="150"/>
        <v>550</v>
      </c>
      <c r="J369" s="36">
        <f t="shared" ref="J369:L369" si="151">I358</f>
        <v>550</v>
      </c>
      <c r="K369" s="36">
        <f t="shared" si="151"/>
        <v>660</v>
      </c>
      <c r="L369" s="36">
        <f t="shared" si="151"/>
        <v>660</v>
      </c>
      <c r="M369" s="36">
        <f t="shared" si="137"/>
        <v>660</v>
      </c>
      <c r="N369" s="36">
        <f t="shared" si="138"/>
        <v>660</v>
      </c>
      <c r="O369" s="36" t="str">
        <f t="shared" si="139"/>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CEF0-59FE-4C48-9801-0C22E47471C6}">
  <dimension ref="A1:BY250"/>
  <sheetViews>
    <sheetView showGridLines="0"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c r="D98" s="53" t="str" cm="1">
        <f t="array" ref="D98:D101">Common_SourceData.Common_SourceData_ClimateZones_Appendices()</f>
        <v>Note:</v>
      </c>
    </row>
    <row r="99" spans="4:20" ht="20.100000000000001" customHeight="1" x14ac:dyDescent="0.25">
      <c r="D99" s="53" t="str">
        <v>MAT = mean annual temperature</v>
      </c>
    </row>
    <row r="100" spans="4:20" ht="20.100000000000001" customHeight="1" x14ac:dyDescent="0.25">
      <c r="D100" s="53" t="str">
        <v>MAP = mean annual precipitation</v>
      </c>
    </row>
    <row r="101" spans="4:20" ht="20.100000000000001" customHeight="1" x14ac:dyDescent="0.25">
      <c r="D101" s="53" t="str">
        <v>PET = potential evapotranspiration</v>
      </c>
    </row>
    <row r="102" spans="4:20" ht="20.100000000000001" customHeight="1" x14ac:dyDescent="0.25">
      <c r="D102" s="53"/>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AsACAARgBBAF8AagBrADQANQBjAGEAbAB2ACwAIABGAEEAXwBqAGsANAA1AGEAZgB0AGUAcgAsAFwAbgAgACAAIAAgACgAKABMAEMAXwBqAGsANAA1ACAAKgAgAEYAQQBfAGoAawA0ADUAYwBhAGwAdgApACAAKwAgACgATABDAF8AagBrADQANQAgACoAIABGAEEAXwBqAGsANAA1AGEAZgB0AGUAcgApACkAIAArACAAKAAxACAALQAgACgATABDAF8AagBrADQANQAgACsAIABMAEMAXwBqAGsANAA1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fQBcAFwAdABpAG0AZQBzACAARgBBAF8AewBqAGsAPQA0ACwANQAsAGMAYQBsAHYAfQApACsAKABMAEMAXwB7AGoAawA9ADQALAA1AH0AXABcAHQAaQBtAGUAcwAgAEYAQQBfAHsAagBrAD0ANAAsADUALABhAGYAdABlAHIAfQApACkAKwAoADEALQAoAEwAQwBfAHsAagBrAD0ANAAsADUAfQArAEwAQwBfAHsAagBrAD0ANAAsADU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gADEAXAAiACwAIABcACIAQgB1AGwAbAAgAD4AIAAxAFwAIgAsACAAXAAiAEMAbwB3ACAAPAAgADEAXAAiACwAIABcACIAQwBvAHcAIAAxAC0AMgBcACIALAAgAFwAIgBDAG8AdwAgAD4AIAAyAFwAIgAsACAAXAAiAFMAdABlAGUAcgAgADwAIAAxAFwAIgAsACAAXAAiAFMAdABlAGUAcgAgAD4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cwAgADwAMQBcACIALAAgAFwAIgBDAG8AdwBzACAAMQAtADIAXAAiACwAIABcACIAQwBvAHcAcwAgADIALQAzAFwAIgAsACAAXAAiAEMAbwB3AHM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CcAbgAvAGEAJwAgAHcAaQB0AGgAIAAnAFMAbwB1AHQAaAAgAFcAZQBzAHQAJ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PgAyAFwAIgAsACAAXAAiAFMAdABlAGUAcgAgADwAMQBcACIALAAgAFwAIgBTAHQAZQBlAHIAIAA+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MgAtADMAXAAiACwAIABcACIAQwBvAHc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AnAFMAdABhAHQAZQAgAGEAYgBiAHIAZQB2AGkAYQB0AGkAbwBuAC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DwAMQBcACIALAAgAFwAIgBCAHUAbABsAHMAIAA+ADEAXAAiACwAIABcACIAQwBvAHcAcwAgADwAMQBcACIALAAgAFwAIgBDAG8AdwBzACAAMQAtADIAXAAiACwAIABcACIAQwBvAHcAcwAgAD4AMgBcACIALAAgAFwAIgBTAHQAZQBlAHIAIAA8ADEAXAAiACwAIABcACIAUwB0AGUAZQByACAAPg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2026-05-28T07:58:58Z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