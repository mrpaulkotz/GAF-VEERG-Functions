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E3681AE-5F93-456E-9194-6BDB3BB19B81}" xr6:coauthVersionLast="47" xr6:coauthVersionMax="47" xr10:uidLastSave="{00000000-0000-0000-0000-000000000000}"/>
  <bookViews>
    <workbookView xWindow="1020" yWindow="0" windowWidth="37140" windowHeight="20475" activeTab="3"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2, _xlfn.LAMBDA(_xlpm.r,_xlpm.c, INDEX({"M_vol","mass of nitrogen volatilised from urine and faeces deposited on pasture (kg N)";"EF_N2O","nitrous oxide emission factor for atmospheric deposition (kg N2O-N/kg N)";"C_N2O","factor to convert elemental mass of N2O to molecular mass";"j","production system";"i","irrigation method";"r","rainfall zone"},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2, _xlfn.LAMBDA(_xlpm.r,_xlpm.c, INDEX({"AE","total mass of nitrogen excreted on PRP for beef cattle (kg N)";"FracGASMsoil","fraction of nitrogen volatilised from urine and faeces deposited on pasture ((kg NH3-N + NOx-N)/kg N)"},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2, _xlfn.LAMBDA(_xlpm.r,_xlpm.c, INDEX({"M_leach","mass of nitrogen lost to leaching and runoff (kg N)";"EF_leach","emission factor for leaching and runoff (kg N2O-N/kg N)";"C_N2O","factor to convert elemental mass of N2O to molecular mass"},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2, _xlfn.LAMBDA(_xlpm.r,_xlpm.c, INDEX({"AE","total mass of nitrogen excreted on PRP for beef cattle (kg N)";"FracWet","fraction of N available for leaching and runoff";"FracLEACH","fraction of all N that is lost through leaching and runoff";"z","location in leaching zone";"j","production system";"ir","irrigation method"},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2, _xlfn.LAMBDA(_xlpm.r,_xlpm.c, INDEX({"AE","total mass of nitrogen excreted on PRP for beef cattle (kg N)";"EF_PRP","emission factor for nitrous oxide from urine and dung deposited to soil (kg N2O-N/kg N deposited)";"C_N2O","factor to convert elemental mass of nitrous oxide to molecular mass";"z","wet or dry climate zone"},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2, _xlfn.LAMBDA(_xlpm.r,_xlpm.c, INDEX({"N_jkl","number of beef cattle by time-period, class and subclass (head)";"NE_jkl","nitrogen excreted in each time-period, by each class and subclass (kg N/head/day)";"D_j","number of days in each time-period (days)"},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2, _xlfn.LAMBDA(_xlpm.r,_xlpm.c, INDEX({"I_jkl","dry matter intake as calculated in Chapter 3 Section 3.2.1 (kg DM/head/day)";"CP_j","crude protein content of dry matter intake";"MC_jk136","milk intake (kg/head/day)";"NR_jkl","the amount of nitrogen retained by the body (kg N/head/day)";"W_jkl","liveweight (kg/head)";"b","breed of cattle";"s","Calving season"},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2, _xlfn.LAMBDA(_xlpm.r,_xlpm.c, INDEX({"MP_jk5","milk production (kg/head/day)";"L_jkl","intake relative to that needed for maintenance";"Z_jkl","relative size";"LWG_jkl","liveweight gain (kg/head/day)"},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2, _xlfn.LAMBDA(_xlpm.r,_xlpm.c, INDEX({"LC_jk5","proportion of cows greater than 2 years lactating for the season of calving and season after calving expressed as a fraction";"DMP_jk5","daily milk production (kg/head/day)";"b","breed of cattle"}, _xlpm.r, _xlpm.c))))</definedName>
    <definedName name="MMS_PastureBeef_Soil_N2ODirect_Equations.VEERG_4_2_1_3__5_MilkProductionForCalvingSeason_ArgumentsVariation">_xlfn.LAMBDA(_xlfn.MAKEARRAY(5, 2, _xlfn.LAMBDA(_xlpm.r,_xlpm.c, INDEX({"LC_jk5curr","proportion of cows greater than 2 years lactating for the season of calving";"LC_jk5prev","proportion of cows greater than 2 years lactating for the season after calving";"DMP_jk5calv","daily milk production for the season of calving (kg/head/day)";"DMP_jk5after","daily milk production for the season after calving (kg/head/day)";"b","breed of cattle"},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2, _xlfn.LAMBDA(_xlpm.r,_xlpm.c, INDEX({"I_jkl","dry matter intake as calculated in Chapter 3 Section 3.2.1 (kg DM/head/day)";"W_jkl","liveweight (kg/head)"},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2, _xlfn.LAMBDA(_xlpm.r,_xlpm.c, INDEX({"W_jkl","liveweight (kg)";"SRW_k","standard reference weight (kg)";"i","state"},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3_2_1_1__1_TotalAnnualMethaneFromEntericFermentation_Result">'3.2.1.1-2 Enteric Methane'!$E$128</definedName>
    <definedName name="X_Cell_PastureBeef_Breed">'Input - Pasture Beef'!$E$9</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Duration_Method1">'Input - Pasture Beef'!$D$15:$N$19</definedName>
    <definedName name="X_Table_PastureBeef_Duration_Method1_Col_BullsOver1Year">'Input - Pasture Beef'!$F$15</definedName>
    <definedName name="X_Table_PastureBeef_Duration_Method1_Col_BullsUnder1Year">'Input - Pasture Beef'!$E$15</definedName>
    <definedName name="X_Table_PastureBeef_Duration_Method1_Col_Cows1To2Years">'Input - Pasture Beef'!$H$15</definedName>
    <definedName name="X_Table_PastureBeef_Duration_Method1_Col_Cows2to3Years">'Input - Pasture Beef'!$I$15</definedName>
    <definedName name="X_Table_PastureBeef_Duration_Method1_Col_CowsOver3Years">'Input - Pasture Beef'!$J$15</definedName>
    <definedName name="X_Table_PastureBeef_Duration_Method1_Col_CowsUnder1Year">'Input - Pasture Beef'!$G$15</definedName>
    <definedName name="X_Table_PastureBeef_Duration_Method1_Col_Steers1To2Years">'Input - Pasture Beef'!$L$15</definedName>
    <definedName name="X_Table_PastureBeef_Duration_Method1_Col_SteersOver3Years">'Input - Pasture Beef'!$N$15</definedName>
    <definedName name="X_Table_PastureBeef_Duration_Method1_Col_SteersUnder1Year">'Input - Pasture Beef'!$K$15</definedName>
    <definedName name="X_Table_PastureBeef_Duration_Method1_Row_Autumn">'Input - Pasture Beef'!$D$18</definedName>
    <definedName name="X_Table_PastureBeef_Duration_Method1_Row_Spring">'Input - Pasture Beef'!$D$16</definedName>
    <definedName name="X_Table_PastureBeef_Duration_Method1_Row_Summer">'Input - Pasture Beef'!$D$17</definedName>
    <definedName name="X_Table_PastureBeef_Duration_Method1_Row_Winter">'Input - Pasture Beef'!$D$19</definedName>
    <definedName name="X_Table_PastureBeef_Duration_Method2">'Input - Pasture Beef'!$D$21:$N$33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9" l="1"/>
  <c r="D8" i="79"/>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59" i="70"/>
  <c r="M159" i="70"/>
  <c r="L159" i="70"/>
  <c r="K159" i="70"/>
  <c r="J159" i="70"/>
  <c r="I159" i="70"/>
  <c r="H159" i="70"/>
  <c r="G159" i="70"/>
  <c r="F159" i="70"/>
  <c r="E159"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53" i="70"/>
  <c r="M153" i="70"/>
  <c r="L153" i="70"/>
  <c r="K153" i="70"/>
  <c r="J153" i="70"/>
  <c r="I153" i="70"/>
  <c r="H153" i="70"/>
  <c r="G153" i="70"/>
  <c r="F153" i="70"/>
  <c r="E15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131" i="70"/>
  <c r="M131" i="70"/>
  <c r="L131" i="70"/>
  <c r="K131" i="70"/>
  <c r="J131" i="70"/>
  <c r="I131" i="70"/>
  <c r="H131" i="70"/>
  <c r="G131" i="70"/>
  <c r="F131" i="70"/>
  <c r="E131"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X164" i="69"/>
  <c r="G131" i="69"/>
  <c r="E173" i="70"/>
  <c r="E172"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28" i="70"/>
  <c r="M128" i="70"/>
  <c r="L128" i="70"/>
  <c r="K128" i="70"/>
  <c r="J128" i="70"/>
  <c r="I128" i="70"/>
  <c r="H128" i="70"/>
  <c r="G128" i="70"/>
  <c r="F128" i="70"/>
  <c r="E128" i="70"/>
  <c r="N127" i="70"/>
  <c r="M127" i="70"/>
  <c r="L127" i="70"/>
  <c r="K127" i="70"/>
  <c r="J127" i="70"/>
  <c r="I127" i="70"/>
  <c r="H127" i="70"/>
  <c r="G127" i="70"/>
  <c r="F127" i="70"/>
  <c r="E127" i="70"/>
  <c r="N126" i="70"/>
  <c r="M126" i="70"/>
  <c r="L126" i="70"/>
  <c r="K126" i="70"/>
  <c r="J126" i="70"/>
  <c r="I126" i="70"/>
  <c r="H126" i="70"/>
  <c r="G126" i="70"/>
  <c r="F126" i="70"/>
  <c r="E126" i="70"/>
  <c r="N125" i="70"/>
  <c r="M125" i="70"/>
  <c r="L125" i="70"/>
  <c r="K125" i="70"/>
  <c r="J125" i="70"/>
  <c r="I125" i="70"/>
  <c r="H125" i="70"/>
  <c r="G125" i="70"/>
  <c r="F125" i="70"/>
  <c r="E125"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70"/>
  <c r="A16" i="70"/>
  <c r="A15" i="70"/>
  <c r="A14" i="70"/>
  <c r="A11" i="70"/>
  <c r="A8" i="70"/>
  <c r="A7" i="70"/>
  <c r="A4" i="70"/>
  <c r="A3" i="70"/>
  <c r="A17" i="13"/>
  <c r="A16" i="13"/>
  <c r="A15" i="13"/>
  <c r="A14" i="13"/>
  <c r="A11" i="13"/>
  <c r="A8" i="13"/>
  <c r="A7" i="13"/>
  <c r="A4" i="13"/>
  <c r="A3" i="13"/>
  <c r="A11" i="15"/>
  <c r="U108" i="69"/>
  <c r="U107" i="69"/>
  <c r="U106" i="69"/>
  <c r="U105" i="69"/>
  <c r="U104" i="69"/>
  <c r="U103" i="69"/>
  <c r="U102" i="69"/>
  <c r="U101" i="69"/>
  <c r="U100" i="69"/>
  <c r="U99" i="69"/>
  <c r="U98" i="69"/>
  <c r="U97" i="69"/>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94" i="69" a="1"/>
  <c r="E73" i="69" a="1"/>
  <c r="H53" i="107" l="1"/>
  <c r="H54" i="107"/>
  <c r="H50" i="107"/>
  <c r="H48" i="107"/>
  <c r="H51" i="107"/>
  <c r="H49" i="107"/>
  <c r="H52" i="107"/>
  <c r="O115" i="69"/>
  <c r="O107" i="69"/>
  <c r="F128" i="69"/>
  <c r="AF117" i="69"/>
  <c r="AF149" i="69"/>
  <c r="O85" i="69"/>
  <c r="E94" i="69"/>
  <c r="E73" i="69"/>
  <c r="D21" i="69" l="1"/>
  <c r="E29" i="69" s="1" a="1"/>
  <c r="E29" i="69" s="1"/>
  <c r="J16" i="69"/>
  <c r="U23" i="69"/>
  <c r="U22" i="69"/>
  <c r="U39" i="69"/>
  <c r="U38" i="69"/>
  <c r="U37" i="69"/>
  <c r="U36" i="69"/>
  <c r="U35" i="69"/>
  <c r="U34" i="69"/>
  <c r="U33" i="69"/>
  <c r="U32" i="69"/>
  <c r="U31" i="69"/>
  <c r="U30" i="69"/>
  <c r="U29" i="69"/>
  <c r="U28" i="69"/>
  <c r="D107" i="70"/>
  <c r="F120" i="70"/>
  <c r="W22" i="69" s="1"/>
  <c r="E120" i="70"/>
  <c r="V22" i="69" s="1"/>
  <c r="G120" i="70"/>
  <c r="X22" i="69" s="1"/>
  <c r="D117" i="70"/>
  <c r="D120" i="70" s="1"/>
  <c r="E113" i="70"/>
  <c r="D119" i="70" s="1"/>
  <c r="E112" i="70"/>
  <c r="D118" i="70" s="1"/>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W29" i="69" s="1" a="1"/>
  <c r="W29" i="69" s="1"/>
  <c r="V30" i="69" a="1"/>
  <c r="V30" i="69" s="1"/>
  <c r="W30" i="69" s="1" a="1"/>
  <c r="W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0" i="69" a="1"/>
  <c r="AB30" i="69" s="1"/>
  <c r="AC30" i="69" a="1"/>
  <c r="AC30" i="69" s="1"/>
  <c r="AA30" i="69" a="1"/>
  <c r="AA30" i="69" s="1"/>
  <c r="AB34" i="69" a="1"/>
  <c r="AB34" i="69" s="1"/>
  <c r="AA34" i="69" a="1"/>
  <c r="AA34" i="69" s="1"/>
  <c r="AC34" i="69" a="1"/>
  <c r="AC34" i="69" s="1"/>
  <c r="AC29" i="69" a="1"/>
  <c r="AC29" i="69" s="1"/>
  <c r="AB29" i="69" a="1"/>
  <c r="AB29" i="69" s="1"/>
  <c r="AA29" i="69" a="1"/>
  <c r="AA29"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AE128" i="69"/>
  <c r="AD128" i="69"/>
  <c r="AC128" i="69"/>
  <c r="AB128" i="69"/>
  <c r="AA128" i="69"/>
  <c r="Z128" i="69"/>
  <c r="Y128" i="69"/>
  <c r="X128" i="69"/>
  <c r="W128" i="69"/>
  <c r="V128" i="69"/>
  <c r="AE127" i="69"/>
  <c r="AD127" i="69"/>
  <c r="AC127" i="69"/>
  <c r="AB127" i="69"/>
  <c r="AA127" i="69"/>
  <c r="Z127" i="69"/>
  <c r="Y127" i="69"/>
  <c r="X127" i="69"/>
  <c r="W127" i="69"/>
  <c r="V127" i="69"/>
  <c r="AE126" i="69"/>
  <c r="AD126" i="69"/>
  <c r="AC126" i="69"/>
  <c r="AB126" i="69"/>
  <c r="AA126" i="69"/>
  <c r="Z126" i="69"/>
  <c r="Y126" i="69"/>
  <c r="X126" i="69"/>
  <c r="W126" i="69"/>
  <c r="V126" i="69"/>
  <c r="AE125" i="69"/>
  <c r="AD125" i="69"/>
  <c r="AC125" i="69"/>
  <c r="AB125" i="69"/>
  <c r="AA125" i="69"/>
  <c r="Z125" i="69"/>
  <c r="Y125" i="69"/>
  <c r="X125" i="69"/>
  <c r="W125" i="69"/>
  <c r="V125" i="69"/>
  <c r="AE124" i="69"/>
  <c r="AD124" i="69"/>
  <c r="AC124" i="69"/>
  <c r="AB124" i="69"/>
  <c r="AA124" i="69"/>
  <c r="Z124" i="69"/>
  <c r="Y124" i="69"/>
  <c r="X124" i="69"/>
  <c r="W124" i="69"/>
  <c r="V124" i="69"/>
  <c r="AE123" i="69"/>
  <c r="AD123" i="69"/>
  <c r="AC123" i="69"/>
  <c r="AB123" i="69"/>
  <c r="AA123" i="69"/>
  <c r="Z123" i="69"/>
  <c r="Y123" i="69"/>
  <c r="X123" i="69"/>
  <c r="W123" i="69"/>
  <c r="V123" i="69"/>
  <c r="AE122" i="69"/>
  <c r="AD122" i="69"/>
  <c r="AC122" i="69"/>
  <c r="AB122" i="69"/>
  <c r="AA122" i="69"/>
  <c r="Z122" i="69"/>
  <c r="Y122" i="69"/>
  <c r="X122" i="69"/>
  <c r="W122" i="69"/>
  <c r="V122" i="69"/>
  <c r="AE121" i="69"/>
  <c r="AD121" i="69"/>
  <c r="AC121" i="69"/>
  <c r="AB121" i="69"/>
  <c r="AA121" i="69"/>
  <c r="Z121" i="69"/>
  <c r="Y121" i="69"/>
  <c r="X121" i="69"/>
  <c r="W121" i="69"/>
  <c r="V121" i="69"/>
  <c r="AE120" i="69"/>
  <c r="AD120" i="69"/>
  <c r="AC120" i="69"/>
  <c r="AB120" i="69"/>
  <c r="AA120" i="69"/>
  <c r="Z120" i="69"/>
  <c r="Y120" i="69"/>
  <c r="X120" i="69"/>
  <c r="W120" i="69"/>
  <c r="V120" i="69"/>
  <c r="AE119" i="69"/>
  <c r="AD119" i="69"/>
  <c r="AC119" i="69"/>
  <c r="AB119" i="69"/>
  <c r="AA119" i="69"/>
  <c r="Z119" i="69"/>
  <c r="Y119" i="69"/>
  <c r="X119" i="69"/>
  <c r="W119" i="69"/>
  <c r="V119" i="69"/>
  <c r="AE118" i="69"/>
  <c r="AD118" i="69"/>
  <c r="AC118" i="69"/>
  <c r="AB118" i="69"/>
  <c r="AA118" i="69"/>
  <c r="Z118" i="69"/>
  <c r="Y118" i="69"/>
  <c r="X118" i="69"/>
  <c r="W118" i="69"/>
  <c r="V118" i="69"/>
  <c r="AE117" i="69"/>
  <c r="AD117" i="69"/>
  <c r="AC117" i="69"/>
  <c r="AB117" i="69"/>
  <c r="AA117" i="69"/>
  <c r="Z117" i="69"/>
  <c r="Y117" i="69"/>
  <c r="X117" i="69"/>
  <c r="W117" i="69"/>
  <c r="V117" i="69"/>
  <c r="U128" i="69"/>
  <c r="U127" i="69"/>
  <c r="U126" i="69"/>
  <c r="U125" i="69"/>
  <c r="U124" i="69"/>
  <c r="U123" i="69"/>
  <c r="U122" i="69"/>
  <c r="U121" i="69"/>
  <c r="U120" i="69"/>
  <c r="U119" i="69"/>
  <c r="U118" i="69"/>
  <c r="U117" i="69"/>
  <c r="D130" i="69" a="1"/>
  <c r="D130" i="69" s="1"/>
  <c r="F133" i="69" a="1"/>
  <c r="F133" i="69" s="1"/>
  <c r="N118" i="69"/>
  <c r="M118" i="69"/>
  <c r="L118" i="69"/>
  <c r="K118" i="69"/>
  <c r="J118" i="69"/>
  <c r="I118" i="69"/>
  <c r="H118" i="69"/>
  <c r="G118" i="69"/>
  <c r="F118" i="69"/>
  <c r="E118" i="69"/>
  <c r="N117" i="69"/>
  <c r="M117" i="69"/>
  <c r="L117" i="69"/>
  <c r="K117" i="69"/>
  <c r="J117" i="69"/>
  <c r="I117" i="69"/>
  <c r="H117" i="69"/>
  <c r="G117" i="69"/>
  <c r="F117" i="69"/>
  <c r="E117" i="69"/>
  <c r="N116" i="69"/>
  <c r="M116" i="69"/>
  <c r="L116" i="69"/>
  <c r="K116" i="69"/>
  <c r="J116" i="69"/>
  <c r="I116" i="69"/>
  <c r="H116" i="69"/>
  <c r="G116" i="69"/>
  <c r="F116" i="69"/>
  <c r="E116" i="69"/>
  <c r="N115" i="69"/>
  <c r="M115" i="69"/>
  <c r="L115" i="69"/>
  <c r="K115" i="69"/>
  <c r="J115" i="69"/>
  <c r="I115" i="69"/>
  <c r="H115" i="69"/>
  <c r="G115" i="69"/>
  <c r="F115" i="69"/>
  <c r="E115" i="69"/>
  <c r="N110" i="69"/>
  <c r="M110" i="69"/>
  <c r="L110" i="69"/>
  <c r="K110" i="69"/>
  <c r="J110" i="69"/>
  <c r="I110" i="69"/>
  <c r="H110" i="69"/>
  <c r="G110" i="69"/>
  <c r="F110" i="69"/>
  <c r="E110" i="69"/>
  <c r="N109" i="69"/>
  <c r="M109" i="69"/>
  <c r="L109" i="69"/>
  <c r="K109" i="69"/>
  <c r="J109" i="69"/>
  <c r="I109" i="69"/>
  <c r="H109" i="69"/>
  <c r="G109" i="69"/>
  <c r="F109" i="69"/>
  <c r="E109" i="69"/>
  <c r="N108" i="69"/>
  <c r="M108" i="69"/>
  <c r="L108" i="69"/>
  <c r="K108" i="69"/>
  <c r="J108" i="69"/>
  <c r="I108" i="69"/>
  <c r="H108" i="69"/>
  <c r="G108" i="69"/>
  <c r="F108" i="69"/>
  <c r="E108" i="69"/>
  <c r="N107" i="69"/>
  <c r="M107" i="69"/>
  <c r="L107" i="69"/>
  <c r="K107" i="69"/>
  <c r="J107" i="69"/>
  <c r="I107" i="69"/>
  <c r="H107" i="69"/>
  <c r="G107" i="69"/>
  <c r="F107" i="69"/>
  <c r="E107" i="69"/>
  <c r="D428" i="79" a="1"/>
  <c r="D428" i="79" s="1"/>
  <c r="D427" i="79" a="1"/>
  <c r="D427" i="79" s="1"/>
  <c r="D426" i="79" a="1"/>
  <c r="D426" i="79" s="1"/>
  <c r="D425" i="79" a="1"/>
  <c r="D425" i="79" s="1"/>
  <c r="D424" i="79" a="1"/>
  <c r="D424" i="79" s="1"/>
  <c r="D164" i="70"/>
  <c r="D163" i="70"/>
  <c r="D162" i="70"/>
  <c r="D161" i="70"/>
  <c r="D160" i="70"/>
  <c r="D159" i="70"/>
  <c r="D158" i="70"/>
  <c r="D157" i="70"/>
  <c r="D156" i="70"/>
  <c r="D155" i="70"/>
  <c r="D154" i="70"/>
  <c r="D153" i="70"/>
  <c r="D142" i="70"/>
  <c r="D141" i="70"/>
  <c r="D140" i="70"/>
  <c r="D139" i="70"/>
  <c r="D138" i="70"/>
  <c r="D137" i="70"/>
  <c r="D136" i="70"/>
  <c r="D135" i="70"/>
  <c r="D134" i="70"/>
  <c r="D133" i="70"/>
  <c r="D132" i="70"/>
  <c r="D131" i="70"/>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E35" i="69" a="1"/>
  <c r="U150" i="69" l="1"/>
  <c r="U149" i="69"/>
  <c r="E35" i="69"/>
  <c r="D59" i="69" l="1"/>
  <c r="D58" i="69"/>
  <c r="D57" i="69"/>
  <c r="D56" i="69"/>
  <c r="D51" i="69"/>
  <c r="D50" i="69"/>
  <c r="D49" i="69"/>
  <c r="D48" i="69"/>
  <c r="E39" i="69"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E7"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AH39" i="69" l="1"/>
  <c r="AH38" i="69"/>
  <c r="AH37" i="69"/>
  <c r="AH36" i="69"/>
  <c r="AH35" i="69"/>
  <c r="AH34" i="69"/>
  <c r="AH33" i="69"/>
  <c r="AH32" i="69"/>
  <c r="AH31" i="69"/>
  <c r="AH30" i="69"/>
  <c r="J14" i="69" a="1"/>
  <c r="J14" i="69" s="1"/>
  <c r="J15" i="69" a="1"/>
  <c r="J15" i="69" s="1"/>
  <c r="AE140" i="69"/>
  <c r="AD141" i="69"/>
  <c r="AC142" i="69"/>
  <c r="AB143" i="69"/>
  <c r="V144" i="69"/>
  <c r="AE139" i="69"/>
  <c r="K33" i="70"/>
  <c r="AB133" i="69"/>
  <c r="AD134" i="69"/>
  <c r="AE135" i="69"/>
  <c r="AE136" i="69"/>
  <c r="AA137" i="69"/>
  <c r="AD138" i="69"/>
  <c r="AF79" i="69"/>
  <c r="AF78" i="69"/>
  <c r="AF77" i="69"/>
  <c r="AF76" i="69"/>
  <c r="AF87" i="69"/>
  <c r="AF86" i="69"/>
  <c r="AF85" i="69"/>
  <c r="AF84" i="69"/>
  <c r="AF83" i="69"/>
  <c r="AF82" i="69"/>
  <c r="AF81" i="69"/>
  <c r="AF80" i="69"/>
  <c r="O67" i="69"/>
  <c r="O66" i="69"/>
  <c r="O65" i="69"/>
  <c r="O64" i="69"/>
  <c r="AH29" i="69"/>
  <c r="AH28" i="69"/>
  <c r="F32" i="70"/>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P149" i="79" l="1"/>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X140" i="69"/>
  <c r="AB137" i="69"/>
  <c r="AB136" i="69"/>
  <c r="Z143" i="69"/>
  <c r="AC135" i="69"/>
  <c r="AE141" i="69"/>
  <c r="X144" i="69"/>
  <c r="W137" i="69"/>
  <c r="Y137" i="69"/>
  <c r="X133" i="69"/>
  <c r="AB141" i="69"/>
  <c r="W134" i="69"/>
  <c r="Y144" i="69"/>
  <c r="X141" i="69"/>
  <c r="V143" i="69"/>
  <c r="AD136" i="69"/>
  <c r="W143" i="69"/>
  <c r="Y139" i="69"/>
  <c r="AA142" i="69"/>
  <c r="AB140" i="69"/>
  <c r="W144" i="69"/>
  <c r="AD139" i="69"/>
  <c r="V142" i="69"/>
  <c r="AC139" i="69"/>
  <c r="AB135" i="69"/>
  <c r="AD143" i="69"/>
  <c r="W138" i="69"/>
  <c r="Z136" i="69"/>
  <c r="AD133" i="69"/>
  <c r="W139" i="69"/>
  <c r="AA140" i="69"/>
  <c r="Z140" i="69"/>
  <c r="AC138" i="69"/>
  <c r="AA143" i="69"/>
  <c r="AB134" i="69"/>
  <c r="V138" i="69"/>
  <c r="AC143" i="69"/>
  <c r="X143" i="69"/>
  <c r="Z137" i="69"/>
  <c r="W141" i="69"/>
  <c r="X139" i="69"/>
  <c r="AD142" i="69"/>
  <c r="AA134" i="69"/>
  <c r="Y142" i="69"/>
  <c r="V140" i="69"/>
  <c r="W161" i="69" s="1"/>
  <c r="X138" i="69"/>
  <c r="AC141" i="69"/>
  <c r="Z139" i="69"/>
  <c r="AB139" i="69"/>
  <c r="AC133" i="69"/>
  <c r="W142" i="69"/>
  <c r="Z135" i="69"/>
  <c r="Y134" i="69"/>
  <c r="W136" i="69"/>
  <c r="AE137" i="69"/>
  <c r="Z138" i="69"/>
  <c r="X142" i="69"/>
  <c r="AA141" i="69"/>
  <c r="AE144" i="69"/>
  <c r="AC140" i="69"/>
  <c r="Y136" i="69"/>
  <c r="AE133" i="69"/>
  <c r="X137" i="69"/>
  <c r="W140" i="69"/>
  <c r="Y140" i="69"/>
  <c r="Y138" i="69"/>
  <c r="Z134" i="69"/>
  <c r="AB138" i="69"/>
  <c r="AC144" i="69"/>
  <c r="V134" i="69"/>
  <c r="Z142" i="69"/>
  <c r="AD135" i="69"/>
  <c r="Y141" i="69"/>
  <c r="Z133" i="69"/>
  <c r="V137" i="69"/>
  <c r="AA133" i="69"/>
  <c r="AA135" i="69"/>
  <c r="AE138" i="69"/>
  <c r="AA138" i="69"/>
  <c r="AA136" i="69"/>
  <c r="AA139" i="69"/>
  <c r="AE142" i="69"/>
  <c r="Z141" i="69"/>
  <c r="Y143" i="69"/>
  <c r="X134" i="69"/>
  <c r="X135" i="69"/>
  <c r="AD140" i="69"/>
  <c r="AE134" i="69"/>
  <c r="X136" i="69"/>
  <c r="Y133" i="69"/>
  <c r="AE143" i="69"/>
  <c r="AC136" i="69"/>
  <c r="AC137" i="69"/>
  <c r="W135" i="69"/>
  <c r="AD144" i="69"/>
  <c r="V139" i="69"/>
  <c r="AC134" i="69"/>
  <c r="Z144" i="69"/>
  <c r="AD137" i="69"/>
  <c r="V133" i="69"/>
  <c r="W133" i="69"/>
  <c r="AA144" i="69"/>
  <c r="AB142" i="69"/>
  <c r="V141" i="69"/>
  <c r="Y135" i="69"/>
  <c r="V136" i="69"/>
  <c r="V135" i="69"/>
  <c r="AB144" i="69"/>
  <c r="J26" i="69" l="1"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F57" i="69" l="1"/>
  <c r="AD51" i="69"/>
  <c r="I56" i="69"/>
  <c r="Y66" i="69"/>
  <c r="AB51" i="69"/>
  <c r="M56" i="69"/>
  <c r="Z54" i="69"/>
  <c r="AE63" i="69"/>
  <c r="AA68" i="69"/>
  <c r="AA67" i="69"/>
  <c r="AC49" i="69"/>
  <c r="AD54" i="69"/>
  <c r="AB53" i="69"/>
  <c r="Z71" i="69"/>
  <c r="AC51" i="69"/>
  <c r="AB49" i="69"/>
  <c r="AA50" i="69"/>
  <c r="AD70" i="69"/>
  <c r="V49" i="69"/>
  <c r="AB62" i="69"/>
  <c r="AD69" i="69"/>
  <c r="V47" i="69"/>
  <c r="AA49" i="69"/>
  <c r="Z49" i="69"/>
  <c r="Y53" i="69"/>
  <c r="F58" i="69"/>
  <c r="W65" i="69"/>
  <c r="AA64" i="69"/>
  <c r="Y50" i="69"/>
  <c r="V67" i="69"/>
  <c r="AB52" i="69"/>
  <c r="AB70" i="69"/>
  <c r="Y52" i="69"/>
  <c r="H58" i="69"/>
  <c r="L58" i="69"/>
  <c r="X64" i="69"/>
  <c r="Z55" i="69"/>
  <c r="Y55" i="69"/>
  <c r="H56" i="69"/>
  <c r="X62" i="69"/>
  <c r="G59" i="69"/>
  <c r="AB48" i="69"/>
  <c r="AE49" i="69"/>
  <c r="AB71" i="69"/>
  <c r="Z52" i="69"/>
  <c r="W62" i="69"/>
  <c r="AB50" i="69"/>
  <c r="I59" i="69"/>
  <c r="AC68" i="69"/>
  <c r="AE60" i="69"/>
  <c r="AC53" i="69"/>
  <c r="X70" i="69"/>
  <c r="AA51" i="69"/>
  <c r="AD62" i="69"/>
  <c r="Z60" i="69"/>
  <c r="W63" i="69"/>
  <c r="M59" i="69"/>
  <c r="Z47" i="69"/>
  <c r="W47" i="69"/>
  <c r="V55" i="69"/>
  <c r="N57" i="69"/>
  <c r="AE51" i="69"/>
  <c r="AE83" i="69" s="1" a="1"/>
  <c r="AE83" i="69" s="1"/>
  <c r="AE104" i="69" s="1" a="1"/>
  <c r="AE104" i="69" s="1"/>
  <c r="AE156" i="69" s="1" a="1"/>
  <c r="AE156" i="69" s="1"/>
  <c r="AD50" i="69"/>
  <c r="Y67" i="69"/>
  <c r="W60" i="69"/>
  <c r="AA70" i="69"/>
  <c r="AD48" i="69"/>
  <c r="L57" i="69"/>
  <c r="AA48" i="69"/>
  <c r="AD67" i="69"/>
  <c r="AE62" i="69"/>
  <c r="AE54" i="69"/>
  <c r="Z63" i="69"/>
  <c r="AA55" i="69"/>
  <c r="AE67" i="69"/>
  <c r="X45" i="69"/>
  <c r="AA63" i="69"/>
  <c r="Z50" i="69"/>
  <c r="AC44" i="69"/>
  <c r="K57" i="69"/>
  <c r="W51" i="69"/>
  <c r="AC61" i="69"/>
  <c r="AA71" i="69"/>
  <c r="X52" i="69"/>
  <c r="AA69" i="69"/>
  <c r="AA45" i="69"/>
  <c r="V60" i="69"/>
  <c r="AE69" i="69"/>
  <c r="F56" i="69"/>
  <c r="Z48" i="69"/>
  <c r="X63" i="69"/>
  <c r="X54" i="69"/>
  <c r="Y63" i="69"/>
  <c r="Z65" i="69"/>
  <c r="AB47" i="69"/>
  <c r="H57" i="69"/>
  <c r="E59" i="69"/>
  <c r="I57" i="69"/>
  <c r="Y61" i="69"/>
  <c r="AB44" i="69"/>
  <c r="X49" i="69"/>
  <c r="H59" i="69"/>
  <c r="AE71" i="69"/>
  <c r="G56" i="69"/>
  <c r="AE55" i="69"/>
  <c r="L56" i="69"/>
  <c r="AB63" i="69"/>
  <c r="AA61" i="69"/>
  <c r="AE52" i="69"/>
  <c r="X51" i="69"/>
  <c r="AB60" i="69"/>
  <c r="AD65" i="69"/>
  <c r="X69" i="69"/>
  <c r="AD47" i="69"/>
  <c r="AC69" i="69"/>
  <c r="AE44" i="69"/>
  <c r="K59" i="69"/>
  <c r="M57" i="69"/>
  <c r="G57" i="69"/>
  <c r="Y64" i="69"/>
  <c r="Y69" i="69"/>
  <c r="X71" i="69"/>
  <c r="W55" i="69"/>
  <c r="W50" i="69"/>
  <c r="AB67" i="69"/>
  <c r="Z67" i="69"/>
  <c r="F59" i="69"/>
  <c r="Y70" i="69"/>
  <c r="AC50" i="69"/>
  <c r="Y45" i="69"/>
  <c r="E57" i="69"/>
  <c r="AE65" i="69"/>
  <c r="W45" i="69"/>
  <c r="Z64" i="69"/>
  <c r="Y68" i="69"/>
  <c r="W61" i="69"/>
  <c r="W52" i="69"/>
  <c r="AC45" i="69"/>
  <c r="AD71" i="69"/>
  <c r="AC65" i="69"/>
  <c r="AC64" i="69"/>
  <c r="Z53" i="69"/>
  <c r="Z61" i="69"/>
  <c r="AE70" i="69"/>
  <c r="X47" i="69"/>
  <c r="X67" i="69"/>
  <c r="Z62" i="69"/>
  <c r="AA62" i="69"/>
  <c r="AE46" i="69"/>
  <c r="Y71" i="69"/>
  <c r="AD53" i="69"/>
  <c r="W48" i="69"/>
  <c r="AC66" i="69"/>
  <c r="AA44" i="69"/>
  <c r="W54" i="69"/>
  <c r="AC70" i="69"/>
  <c r="J57" i="69"/>
  <c r="AD68" i="69"/>
  <c r="Y51" i="69"/>
  <c r="X68" i="69"/>
  <c r="Y44" i="69"/>
  <c r="AB64" i="69"/>
  <c r="AD60" i="69"/>
  <c r="AD49" i="69"/>
  <c r="AB61" i="69"/>
  <c r="AE48" i="69"/>
  <c r="AD64" i="69"/>
  <c r="AD55" i="69"/>
  <c r="V48" i="69"/>
  <c r="AB69" i="69"/>
  <c r="AC60" i="69"/>
  <c r="J59" i="69"/>
  <c r="W64" i="69"/>
  <c r="V70" i="69"/>
  <c r="I58" i="69"/>
  <c r="K56" i="69"/>
  <c r="J56" i="69"/>
  <c r="V53" i="69"/>
  <c r="AC71" i="69"/>
  <c r="AA53" i="69"/>
  <c r="G58" i="69"/>
  <c r="AB55" i="69"/>
  <c r="X61" i="69"/>
  <c r="AE53" i="69"/>
  <c r="X50" i="69"/>
  <c r="AA47" i="69"/>
  <c r="X65" i="69"/>
  <c r="AB65" i="69"/>
  <c r="W53" i="69"/>
  <c r="Z69" i="69"/>
  <c r="V64" i="69"/>
  <c r="AB68" i="69"/>
  <c r="AC55" i="69"/>
  <c r="AC87" i="69" s="1" a="1"/>
  <c r="AC87" i="69" s="1"/>
  <c r="AC108" i="69" s="1" a="1"/>
  <c r="AC108" i="69" s="1"/>
  <c r="AC160" i="69" s="1" a="1"/>
  <c r="AC160" i="69" s="1"/>
  <c r="AD61" i="69"/>
  <c r="X60" i="69"/>
  <c r="AC63" i="69"/>
  <c r="V61" i="69"/>
  <c r="W66" i="69"/>
  <c r="Y60" i="69"/>
  <c r="AC52" i="69"/>
  <c r="AE66" i="69"/>
  <c r="AE50" i="69"/>
  <c r="AC47" i="69"/>
  <c r="AC62" i="69"/>
  <c r="V54" i="69"/>
  <c r="V71" i="69"/>
  <c r="AD44" i="69"/>
  <c r="E56" i="69"/>
  <c r="Y54" i="69"/>
  <c r="AA66" i="69"/>
  <c r="W67" i="69"/>
  <c r="AD45" i="69"/>
  <c r="X44" i="69"/>
  <c r="AB54" i="69"/>
  <c r="AB86" i="69" s="1" a="1"/>
  <c r="AB86" i="69" s="1"/>
  <c r="AB107" i="69" s="1" a="1"/>
  <c r="AB107" i="69" s="1"/>
  <c r="AB159" i="69" s="1" a="1"/>
  <c r="AB159" i="69" s="1"/>
  <c r="AA60" i="69"/>
  <c r="Z51" i="69"/>
  <c r="Y65" i="69"/>
  <c r="V62" i="69"/>
  <c r="W68" i="69"/>
  <c r="Z70" i="69"/>
  <c r="AC48" i="69"/>
  <c r="W70" i="69"/>
  <c r="X55" i="69"/>
  <c r="V66" i="69"/>
  <c r="V45" i="69"/>
  <c r="V77" i="69" s="1" a="1"/>
  <c r="V77" i="69" s="1"/>
  <c r="V98" i="69" s="1" a="1"/>
  <c r="V98" i="69" s="1"/>
  <c r="V150" i="69" s="1" a="1"/>
  <c r="V150" i="69" s="1"/>
  <c r="AD63" i="69"/>
  <c r="AE68" i="69"/>
  <c r="W44" i="69"/>
  <c r="V63" i="69"/>
  <c r="W71" i="69"/>
  <c r="AE61" i="69"/>
  <c r="V44" i="69"/>
  <c r="V52" i="69"/>
  <c r="W49" i="69"/>
  <c r="Z45" i="69"/>
  <c r="AE45" i="69"/>
  <c r="J58" i="69"/>
  <c r="N59" i="69"/>
  <c r="Y47" i="69"/>
  <c r="V68" i="69"/>
  <c r="AC67" i="69"/>
  <c r="AE47" i="69"/>
  <c r="AD66" i="69"/>
  <c r="V69" i="69"/>
  <c r="Z68" i="69"/>
  <c r="W69" i="69"/>
  <c r="V50" i="69"/>
  <c r="N56" i="69"/>
  <c r="Z66" i="69"/>
  <c r="X53" i="69"/>
  <c r="E58" i="69"/>
  <c r="AE64" i="69"/>
  <c r="Y48" i="69"/>
  <c r="AC54" i="69"/>
  <c r="L59" i="69"/>
  <c r="V65" i="69"/>
  <c r="V51" i="69"/>
  <c r="Y49" i="69"/>
  <c r="Y62" i="69"/>
  <c r="AD52" i="69"/>
  <c r="AA52" i="69"/>
  <c r="Z44" i="69"/>
  <c r="AB66" i="69"/>
  <c r="AA65" i="69"/>
  <c r="AA54" i="69"/>
  <c r="AB45" i="69"/>
  <c r="K58" i="69"/>
  <c r="N58" i="69"/>
  <c r="X48" i="69"/>
  <c r="X66" i="69"/>
  <c r="M58" i="69"/>
  <c r="L48" i="69"/>
  <c r="J51" i="69"/>
  <c r="AA46" i="69"/>
  <c r="AA78" i="69" s="1" a="1"/>
  <c r="AA78" i="69" s="1"/>
  <c r="AA99" i="69" s="1" a="1"/>
  <c r="AA99" i="69" s="1"/>
  <c r="AA151" i="69" s="1" a="1"/>
  <c r="AA151" i="69" s="1"/>
  <c r="K50" i="69"/>
  <c r="E51" i="69"/>
  <c r="I50" i="69"/>
  <c r="N50" i="69"/>
  <c r="I48" i="69"/>
  <c r="N48" i="69"/>
  <c r="X46" i="69"/>
  <c r="K48" i="69"/>
  <c r="F51" i="69"/>
  <c r="I49" i="69"/>
  <c r="H48" i="69"/>
  <c r="N51" i="69"/>
  <c r="G51" i="69"/>
  <c r="K49" i="69"/>
  <c r="M51" i="69"/>
  <c r="AC46" i="69"/>
  <c r="E48" i="69"/>
  <c r="L51" i="69"/>
  <c r="F49" i="69"/>
  <c r="E50" i="69"/>
  <c r="J50" i="69"/>
  <c r="Y46" i="69"/>
  <c r="H50" i="69"/>
  <c r="I51" i="69"/>
  <c r="F48" i="69"/>
  <c r="L50" i="69"/>
  <c r="M48" i="69"/>
  <c r="G49" i="69"/>
  <c r="E49" i="69"/>
  <c r="J48" i="69"/>
  <c r="H51" i="69"/>
  <c r="V46" i="69"/>
  <c r="W46" i="69"/>
  <c r="M49" i="69"/>
  <c r="N49" i="69"/>
  <c r="G50" i="69"/>
  <c r="L49" i="69"/>
  <c r="Z46" i="69"/>
  <c r="AB46" i="69"/>
  <c r="M50" i="69"/>
  <c r="G48" i="69"/>
  <c r="F50" i="69"/>
  <c r="AD46" i="69"/>
  <c r="J49" i="69"/>
  <c r="K51" i="69"/>
  <c r="H49" i="69"/>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76" i="69" a="1"/>
  <c r="V76" i="69" s="1"/>
  <c r="V97" i="69" s="1"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G130" i="69"/>
  <c r="E133" i="69" s="1" a="1"/>
  <c r="E133" i="69" s="1"/>
  <c r="H7" i="13" s="1"/>
  <c r="X163" i="69" l="1"/>
  <c r="V166" i="69" s="1" a="1"/>
  <c r="V166" i="69" s="1"/>
  <c r="I7" i="13" s="1"/>
  <c r="F7" i="13"/>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<sst xmlns="http://schemas.openxmlformats.org/spreadsheetml/2006/main" count="1088" uniqueCount="271">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</sst>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2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7"/>
      <tableStyleElement type="headerRow" dxfId="146"/>
      <tableStyleElement type="totalRow" dxfId="145"/>
      <tableStyleElement type="firstColumn" dxfId="144"/>
      <tableStyleElement type="firstRowStripe" dxfId="143"/>
      <tableStyleElement type="secondRowStripe" dxfId="142"/>
    </tableStyle>
    <tableStyle name="Equation table" pivot="0" count="6" xr9:uid="{B247698E-E41D-4CCD-AA0A-C14817E9DE65}">
      <tableStyleElement type="wholeTable" dxfId="141"/>
      <tableStyleElement type="headerRow" dxfId="140"/>
      <tableStyleElement type="totalRow" dxfId="139"/>
      <tableStyleElement type="firstColumn" dxfId="138"/>
      <tableStyleElement type="firstRowStripe" dxfId="137"/>
      <tableStyleElement type="secondRowStripe" dxfId="1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8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7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0" dataCellStyle="Content normal">
      <calculatedColumnFormula>D351</calculatedColumnFormula>
    </tableColumn>
    <tableColumn id="2" xr3:uid="{B172192B-EDB5-47A5-A010-C82516ED13B5}" name="Bulls &lt; 1 year" dataDxfId="69" dataCellStyle="Content normal">
      <calculatedColumnFormula>E351</calculatedColumnFormula>
    </tableColumn>
    <tableColumn id="3" xr3:uid="{F83B528D-B6D7-4E92-967F-018ED1475D9B}" name="Bulls &gt; 1 year" dataDxfId="68" dataCellStyle="Content normal">
      <calculatedColumnFormula>F351</calculatedColumnFormula>
    </tableColumn>
    <tableColumn id="4" xr3:uid="{E83019D4-F113-4C9E-ADA7-433997A968A1}" name="Cows &lt; 1 year" dataDxfId="67" dataCellStyle="Content normal">
      <calculatedColumnFormula>G351</calculatedColumnFormula>
    </tableColumn>
    <tableColumn id="5" xr3:uid="{B51413B2-710F-409C-8C3C-6B72C8E99B49}" name="Cows 1-2 years" dataDxfId="66" dataCellStyle="Content normal">
      <calculatedColumnFormula>H351</calculatedColumnFormula>
    </tableColumn>
    <tableColumn id="6" xr3:uid="{F7B12596-1E7F-417C-83F5-67964BA7AAAE}" name="Cows 2-3 years" dataDxfId="65" dataCellStyle="Content normal">
      <calculatedColumnFormula>I351</calculatedColumnFormula>
    </tableColumn>
    <tableColumn id="7" xr3:uid="{C1B8EAD9-BCCE-49FF-9E3D-15E99DEC329C}" name="Cows &gt; 3 years" dataDxfId="64" dataCellStyle="Content normal">
      <calculatedColumnFormula>I351</calculatedColumnFormula>
    </tableColumn>
    <tableColumn id="8" xr3:uid="{6AB556D2-AF6C-4E98-9AA1-A8C6DC5F5CA9}" name="Steers &lt; 1 year" dataDxfId="63" dataCellStyle="Content normal">
      <calculatedColumnFormula>J351</calculatedColumnFormula>
    </tableColumn>
    <tableColumn id="9" xr3:uid="{46DC3CBA-6FB0-4A95-A39E-B2179DC8CFE6}" name="Steers 1-2 years" dataDxfId="62" dataCellStyle="Content normal">
      <calculatedColumnFormula>K351</calculatedColumnFormula>
    </tableColumn>
    <tableColumn id="10" xr3:uid="{105CEA90-EFAD-4757-B82A-B19E9A3F2664}" name="Steers 2-3 years" dataDxfId="61" dataCellStyle="Content normal"/>
    <tableColumn id="11" xr3:uid="{5E2A59D6-56CA-4967-885E-8602CA905B74}" name="Steers &gt;3 years" dataDxfId="60" dataCellStyle="Content normal"/>
    <tableColumn id="12" xr3:uid="{1C306FC1-FFBA-4C23-8EAD-1C07A5BAAA50}" name="State abbreviation" dataDxfId="5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5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3.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f>'3.2.1.1-2 Enteric Methane'!E128</f>
        <v>55.678061774650885</v>
      </c>
      <c r="F7" s="105">
        <f>'3.2.1.1-2 Enteric Methane'!V161</f>
        <v>56.163952698425533</v>
      </c>
      <c r="G7" s="53" t="s">
        <v>117</v>
      </c>
      <c r="H7" s="105">
        <f>'3.2.1.1-2 Enteric Methane'!E133</f>
        <v>1558.9857296902248</v>
      </c>
      <c r="I7" s="105">
        <f>'3.2.1.1-2 Enteric Methane'!V166</f>
        <v>1572.5906755559149</v>
      </c>
      <c r="J7" s="53" t="s">
        <v>120</v>
      </c>
      <c r="K7" s="22"/>
    </row>
    <row r="8" spans="1:11" ht="20.100000000000001" customHeight="1" x14ac:dyDescent="0.3">
      <c r="A8" s="17" t="str">
        <f>HYPERLINK("#'Input - Pasture Beef'!A1", "Pasture Beef")</f>
        <v>Pasture Beef</v>
      </c>
      <c r="C8" s="22"/>
      <c r="D8" s="29" t="s">
        <v>99</v>
      </c>
      <c r="E8" s="23"/>
      <c r="F8" s="23"/>
      <c r="G8" s="29"/>
      <c r="H8" s="106">
        <f>SUM(H7:H7)</f>
        <v>1558.9857296902248</v>
      </c>
      <c r="I8" s="106">
        <f>SUM(I7:I7)</f>
        <v>1572.5906755559149</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1" sqref="E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abSelected="1" topLeftCell="B1" zoomScale="85" zoomScaleNormal="85" workbookViewId="0">
      <selection activeCell="D15" sqref="D15:N19"/>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'Input - Site'!$E$21</f>
        <v>Western Australia</v>
      </c>
      <c r="P7" s="3"/>
      <c r="T7" s="7"/>
    </row>
    <row r="8" spans="1:25" ht="20.100000000000001" customHeight="1" x14ac:dyDescent="0.25">
      <c r="A8" s="119"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HYPERLINK("#'3.2.1.1-2 Enteric Methane'!A1", "3.2.1.1-2 Enteric Methane")</f>
        <v>3.2.1.1-2 Enteric Methane</v>
      </c>
      <c r="T11" s="7"/>
    </row>
    <row r="12" spans="1:25" ht="20.100000000000001" customHeight="1" x14ac:dyDescent="0.25">
      <c r="A12" s="17"/>
      <c r="D12" s="91" t="s">
        <v>143</v>
      </c>
      <c r="E12" s="92"/>
      <c r="F12" s="92"/>
      <c r="G12" s="86"/>
      <c r="T12" s="7"/>
    </row>
    <row r="13" spans="1:25" ht="20.100000000000001" customHeight="1" x14ac:dyDescent="0.25">
      <c r="A13" s="18" t="s">
        <v>2</v>
      </c>
      <c r="T13" s="37"/>
    </row>
    <row r="14" spans="1:25" ht="20.100000000000001" customHeight="1" x14ac:dyDescent="0.25">
      <c r="A14" s="17" t="str">
        <f>HYPERLINK("#'Constants - Pasture Beef'!A1", "Constants - Pasture Beef")</f>
        <v>Constants - Pasture Beef</v>
      </c>
      <c r="D14" s="47" t="s">
        <v>140</v>
      </c>
      <c r="T14" s="37"/>
    </row>
    <row r="15" spans="1:25" ht="20.100000000000001" customHeight="1" x14ac:dyDescent="0.25">
      <c r="A15" s="17" t="str">
        <f>HYPERLINK("#'Constants - Livestock'!A1", "Constants - Livestock")</f>
        <v>Constants - Livestock</v>
      </c>
      <c r="D15" s="61" t="s">
        <v>141</v>
      </c>
      <c r="E15" s="61" t="s">
        <v>104</v>
      </c>
      <c r="F15" s="61" t="s">
        <v>103</v>
      </c>
      <c r="G15" s="61" t="s">
        <v>127</v>
      </c>
      <c r="H15" s="61" t="s">
        <v>128</v>
      </c>
      <c r="I15" s="61" t="s">
        <v>129</v>
      </c>
      <c r="J15" s="61" t="s">
        <v>130</v>
      </c>
      <c r="K15" s="61" t="s">
        <v>131</v>
      </c>
      <c r="L15" s="61" t="s">
        <v>132</v>
      </c>
      <c r="M15" s="61" t="s">
        <v>133</v>
      </c>
      <c r="N15" s="61" t="s">
        <v>134</v>
      </c>
      <c r="T15" s="37"/>
    </row>
    <row r="16" spans="1:25" ht="20.100000000000001" customHeight="1" x14ac:dyDescent="0.25">
      <c r="A16" s="17" t="str">
        <f>HYPERLINK("#'Constants - Common'!A1", "Constants - Common")</f>
        <v>Constants - Common</v>
      </c>
      <c r="D16" s="1" t="s">
        <v>135</v>
      </c>
      <c r="E16" s="51">
        <v>91.25</v>
      </c>
      <c r="F16" s="51">
        <v>91.25</v>
      </c>
      <c r="G16" s="51">
        <v>91.25</v>
      </c>
      <c r="H16" s="51">
        <v>91.25</v>
      </c>
      <c r="I16" s="51">
        <v>91.25</v>
      </c>
      <c r="J16" s="51">
        <v>91.25</v>
      </c>
      <c r="K16" s="51">
        <v>91.25</v>
      </c>
      <c r="L16" s="51">
        <v>91.25</v>
      </c>
      <c r="M16" s="51">
        <v>91.25</v>
      </c>
      <c r="N16" s="51">
        <v>91.25</v>
      </c>
      <c r="O16" s="2" t="s">
        <v>47</v>
      </c>
      <c r="T16" s="37"/>
    </row>
    <row r="17" spans="1:20" ht="20.100000000000001" customHeight="1" x14ac:dyDescent="0.25">
      <c r="A17" s="17" t="str">
        <f>HYPERLINK("#'Acknowledgements'!A1", "Acknowledgements")</f>
        <v>Acknowledgements</v>
      </c>
      <c r="D17" s="1" t="s">
        <v>136</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D18" s="1" t="s">
        <v>137</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c r="D19" s="1" t="s">
        <v>138</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c r="T20" s="7"/>
    </row>
    <row r="21" spans="1:20" ht="20.100000000000001" customHeight="1" x14ac:dyDescent="0.25">
      <c r="D21" s="61" t="s">
        <v>142</v>
      </c>
      <c r="E21" s="61" t="s">
        <v>104</v>
      </c>
      <c r="F21" s="61" t="s">
        <v>103</v>
      </c>
      <c r="G21" s="61" t="s">
        <v>127</v>
      </c>
      <c r="H21" s="61" t="s">
        <v>128</v>
      </c>
      <c r="I21" s="61" t="s">
        <v>129</v>
      </c>
      <c r="J21" s="61" t="s">
        <v>130</v>
      </c>
      <c r="K21" s="61" t="s">
        <v>131</v>
      </c>
      <c r="L21" s="61" t="s">
        <v>132</v>
      </c>
      <c r="M21" s="61" t="s">
        <v>133</v>
      </c>
      <c r="N21" s="61" t="s">
        <v>134</v>
      </c>
      <c r="T21" s="7"/>
    </row>
    <row r="22" spans="1:20" ht="20.100000000000001" customHeight="1" x14ac:dyDescent="0.25">
      <c r="A22" s="17"/>
      <c r="D22" s="1" t="str">
        <f>TEXT('Input - Site'!$E$12, "mmmm yyyy")</f>
        <v>January 2024</v>
      </c>
      <c r="E22" s="64">
        <f t="shared" ref="E22:N33" si="0">DAY(EOMONTH($D22,0))</f>
        <v>31</v>
      </c>
      <c r="F22" s="64">
        <f t="shared" si="0"/>
        <v>31</v>
      </c>
      <c r="G22" s="64">
        <f t="shared" si="0"/>
        <v>31</v>
      </c>
      <c r="H22" s="64">
        <f t="shared" si="0"/>
        <v>31</v>
      </c>
      <c r="I22" s="64">
        <f t="shared" si="0"/>
        <v>31</v>
      </c>
      <c r="J22" s="64">
        <f t="shared" si="0"/>
        <v>31</v>
      </c>
      <c r="K22" s="64">
        <f t="shared" si="0"/>
        <v>31</v>
      </c>
      <c r="L22" s="64">
        <f t="shared" si="0"/>
        <v>31</v>
      </c>
      <c r="M22" s="64">
        <f t="shared" si="0"/>
        <v>31</v>
      </c>
      <c r="N22" s="64">
        <f t="shared" si="0"/>
        <v>31</v>
      </c>
      <c r="O22" s="2" t="s">
        <v>47</v>
      </c>
      <c r="T22" s="7"/>
    </row>
    <row r="23" spans="1:20" ht="20.100000000000001" customHeight="1" x14ac:dyDescent="0.25">
      <c r="A23" s="17"/>
      <c r="D23" s="1" t="str">
        <f>TEXT(EDATE('Input - Site'!$E$12,1), "mmmm yyyy")</f>
        <v>February 2024</v>
      </c>
      <c r="E23" s="64">
        <f t="shared" si="0"/>
        <v>29</v>
      </c>
      <c r="F23" s="64">
        <f t="shared" si="0"/>
        <v>29</v>
      </c>
      <c r="G23" s="64">
        <f t="shared" si="0"/>
        <v>29</v>
      </c>
      <c r="H23" s="64">
        <f t="shared" si="0"/>
        <v>29</v>
      </c>
      <c r="I23" s="64">
        <f t="shared" si="0"/>
        <v>29</v>
      </c>
      <c r="J23" s="64">
        <f t="shared" si="0"/>
        <v>29</v>
      </c>
      <c r="K23" s="64">
        <f t="shared" si="0"/>
        <v>29</v>
      </c>
      <c r="L23" s="64">
        <f t="shared" si="0"/>
        <v>29</v>
      </c>
      <c r="M23" s="64">
        <f t="shared" si="0"/>
        <v>29</v>
      </c>
      <c r="N23" s="64">
        <f t="shared" si="0"/>
        <v>29</v>
      </c>
      <c r="O23" s="2" t="s">
        <v>47</v>
      </c>
      <c r="T23" s="7"/>
    </row>
    <row r="24" spans="1:20" ht="20.100000000000001" customHeight="1" x14ac:dyDescent="0.25">
      <c r="A24" s="17"/>
      <c r="D24" s="1" t="str">
        <f>TEXT(EDATE('Input - Site'!$E$12,2), "mmmm yyyy")</f>
        <v>March 2024</v>
      </c>
      <c r="E24" s="64">
        <f t="shared" si="0"/>
        <v>31</v>
      </c>
      <c r="F24" s="64">
        <f t="shared" si="0"/>
        <v>31</v>
      </c>
      <c r="G24" s="64">
        <f t="shared" si="0"/>
        <v>31</v>
      </c>
      <c r="H24" s="64">
        <f t="shared" si="0"/>
        <v>31</v>
      </c>
      <c r="I24" s="64">
        <f t="shared" si="0"/>
        <v>31</v>
      </c>
      <c r="J24" s="64">
        <f t="shared" si="0"/>
        <v>31</v>
      </c>
      <c r="K24" s="64">
        <f t="shared" si="0"/>
        <v>31</v>
      </c>
      <c r="L24" s="64">
        <f t="shared" si="0"/>
        <v>31</v>
      </c>
      <c r="M24" s="64">
        <f t="shared" si="0"/>
        <v>31</v>
      </c>
      <c r="N24" s="64">
        <f t="shared" si="0"/>
        <v>31</v>
      </c>
      <c r="O24" s="2" t="s">
        <v>47</v>
      </c>
      <c r="T24" s="7"/>
    </row>
    <row r="25" spans="1:20" ht="20.100000000000001" customHeight="1" x14ac:dyDescent="0.25">
      <c r="D25" s="1" t="str">
        <f>TEXT(EDATE('Input - Site'!$E$12,3), "mmmm yyyy")</f>
        <v>April 2024</v>
      </c>
      <c r="E25" s="64">
        <f t="shared" si="0"/>
        <v>30</v>
      </c>
      <c r="F25" s="64">
        <f t="shared" si="0"/>
        <v>30</v>
      </c>
      <c r="G25" s="64">
        <f t="shared" si="0"/>
        <v>30</v>
      </c>
      <c r="H25" s="64">
        <f t="shared" si="0"/>
        <v>30</v>
      </c>
      <c r="I25" s="64">
        <f t="shared" si="0"/>
        <v>30</v>
      </c>
      <c r="J25" s="64">
        <f t="shared" si="0"/>
        <v>30</v>
      </c>
      <c r="K25" s="64">
        <f t="shared" si="0"/>
        <v>30</v>
      </c>
      <c r="L25" s="64">
        <f t="shared" si="0"/>
        <v>30</v>
      </c>
      <c r="M25" s="64">
        <f t="shared" si="0"/>
        <v>30</v>
      </c>
      <c r="N25" s="64">
        <f t="shared" si="0"/>
        <v>30</v>
      </c>
      <c r="O25" s="2" t="s">
        <v>47</v>
      </c>
      <c r="T25" s="7"/>
    </row>
    <row r="26" spans="1:20" ht="20.100000000000001" customHeight="1" x14ac:dyDescent="0.25">
      <c r="A26" s="17"/>
      <c r="D26" s="1" t="str">
        <f>TEXT(EDATE('Input - Site'!$E$12,4), "mmmm yyyy")</f>
        <v>May 2024</v>
      </c>
      <c r="E26" s="64">
        <f t="shared" si="0"/>
        <v>31</v>
      </c>
      <c r="F26" s="64">
        <f t="shared" si="0"/>
        <v>31</v>
      </c>
      <c r="G26" s="64">
        <f t="shared" si="0"/>
        <v>31</v>
      </c>
      <c r="H26" s="64">
        <f t="shared" si="0"/>
        <v>31</v>
      </c>
      <c r="I26" s="64">
        <f t="shared" si="0"/>
        <v>31</v>
      </c>
      <c r="J26" s="64">
        <f t="shared" si="0"/>
        <v>31</v>
      </c>
      <c r="K26" s="64">
        <f t="shared" si="0"/>
        <v>31</v>
      </c>
      <c r="L26" s="64">
        <f t="shared" si="0"/>
        <v>31</v>
      </c>
      <c r="M26" s="64">
        <f t="shared" si="0"/>
        <v>31</v>
      </c>
      <c r="N26" s="64">
        <f t="shared" si="0"/>
        <v>31</v>
      </c>
      <c r="O26" s="2" t="s">
        <v>47</v>
      </c>
      <c r="T26" s="7"/>
    </row>
    <row r="27" spans="1:20" ht="20.100000000000001" customHeight="1" x14ac:dyDescent="0.25">
      <c r="A27" s="17"/>
      <c r="D27" s="1" t="str">
        <f>TEXT(EDATE('Input - Site'!$E$12,5), "mmmm yyyy")</f>
        <v>June 2024</v>
      </c>
      <c r="E27" s="64">
        <f t="shared" si="0"/>
        <v>30</v>
      </c>
      <c r="F27" s="64">
        <f t="shared" si="0"/>
        <v>30</v>
      </c>
      <c r="G27" s="64">
        <f t="shared" si="0"/>
        <v>30</v>
      </c>
      <c r="H27" s="64">
        <f t="shared" si="0"/>
        <v>30</v>
      </c>
      <c r="I27" s="64">
        <f t="shared" si="0"/>
        <v>30</v>
      </c>
      <c r="J27" s="64">
        <f t="shared" si="0"/>
        <v>30</v>
      </c>
      <c r="K27" s="64">
        <f t="shared" si="0"/>
        <v>30</v>
      </c>
      <c r="L27" s="64">
        <f t="shared" si="0"/>
        <v>30</v>
      </c>
      <c r="M27" s="64">
        <f t="shared" si="0"/>
        <v>30</v>
      </c>
      <c r="N27" s="64">
        <f t="shared" si="0"/>
        <v>30</v>
      </c>
      <c r="O27" s="2" t="s">
        <v>47</v>
      </c>
      <c r="T27" s="7"/>
    </row>
    <row r="28" spans="1:20" ht="20.100000000000001" customHeight="1" x14ac:dyDescent="0.25">
      <c r="A28" s="17"/>
      <c r="D28" s="1" t="str">
        <f>TEXT(EDATE('Input - Site'!$E$12,6), "mmmm yyyy")</f>
        <v>July 2024</v>
      </c>
      <c r="E28" s="64">
        <f t="shared" si="0"/>
        <v>31</v>
      </c>
      <c r="F28" s="64">
        <f t="shared" si="0"/>
        <v>31</v>
      </c>
      <c r="G28" s="64">
        <f t="shared" si="0"/>
        <v>31</v>
      </c>
      <c r="H28" s="64">
        <f t="shared" si="0"/>
        <v>31</v>
      </c>
      <c r="I28" s="64">
        <f t="shared" si="0"/>
        <v>31</v>
      </c>
      <c r="J28" s="64">
        <f t="shared" si="0"/>
        <v>31</v>
      </c>
      <c r="K28" s="64">
        <f t="shared" si="0"/>
        <v>31</v>
      </c>
      <c r="L28" s="64">
        <f t="shared" si="0"/>
        <v>31</v>
      </c>
      <c r="M28" s="64">
        <f t="shared" si="0"/>
        <v>31</v>
      </c>
      <c r="N28" s="64">
        <f t="shared" si="0"/>
        <v>31</v>
      </c>
      <c r="O28" s="2" t="s">
        <v>47</v>
      </c>
      <c r="T28" s="7"/>
    </row>
    <row r="29" spans="1:20" ht="20.100000000000001" customHeight="1" x14ac:dyDescent="0.25">
      <c r="A29" s="17"/>
      <c r="D29" s="1" t="str">
        <f>TEXT(EDATE('Input - Site'!$E$12,7), "mmmm yyyy")</f>
        <v>August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TEXT(EDATE('Input - Site'!$E$12,8), "mmmm yyyy")</f>
        <v>September 2024</v>
      </c>
      <c r="E30" s="64">
        <f t="shared" si="0"/>
        <v>30</v>
      </c>
      <c r="F30" s="64">
        <f t="shared" si="0"/>
        <v>30</v>
      </c>
      <c r="G30" s="64">
        <f t="shared" si="0"/>
        <v>30</v>
      </c>
      <c r="H30" s="64">
        <f t="shared" si="0"/>
        <v>30</v>
      </c>
      <c r="I30" s="64">
        <f t="shared" si="0"/>
        <v>30</v>
      </c>
      <c r="J30" s="64">
        <f t="shared" si="0"/>
        <v>30</v>
      </c>
      <c r="K30" s="64">
        <f t="shared" si="0"/>
        <v>30</v>
      </c>
      <c r="L30" s="64">
        <f t="shared" si="0"/>
        <v>30</v>
      </c>
      <c r="M30" s="64">
        <f t="shared" si="0"/>
        <v>30</v>
      </c>
      <c r="N30" s="64">
        <f t="shared" si="0"/>
        <v>30</v>
      </c>
      <c r="O30" s="2" t="s">
        <v>47</v>
      </c>
      <c r="T30" s="7"/>
    </row>
    <row r="31" spans="1:20" ht="20.100000000000001" customHeight="1" x14ac:dyDescent="0.25">
      <c r="A31" s="65"/>
      <c r="D31" s="1" t="str">
        <f>TEXT(EDATE('Input - Site'!$E$12,9), "mmmm yyyy")</f>
        <v>October 2024</v>
      </c>
      <c r="E31" s="64">
        <f t="shared" si="0"/>
        <v>31</v>
      </c>
      <c r="F31" s="64">
        <f t="shared" si="0"/>
        <v>31</v>
      </c>
      <c r="G31" s="64">
        <f t="shared" si="0"/>
        <v>31</v>
      </c>
      <c r="H31" s="64">
        <f t="shared" si="0"/>
        <v>31</v>
      </c>
      <c r="I31" s="64">
        <f t="shared" si="0"/>
        <v>31</v>
      </c>
      <c r="J31" s="64">
        <f t="shared" si="0"/>
        <v>31</v>
      </c>
      <c r="K31" s="64">
        <f t="shared" si="0"/>
        <v>31</v>
      </c>
      <c r="L31" s="64">
        <f t="shared" si="0"/>
        <v>31</v>
      </c>
      <c r="M31" s="64">
        <f t="shared" si="0"/>
        <v>31</v>
      </c>
      <c r="N31" s="64">
        <f t="shared" si="0"/>
        <v>31</v>
      </c>
      <c r="O31" s="2" t="s">
        <v>47</v>
      </c>
      <c r="T31" s="7"/>
    </row>
    <row r="32" spans="1:20" ht="20.100000000000001" customHeight="1" x14ac:dyDescent="0.25">
      <c r="A32" s="65"/>
      <c r="D32" s="1" t="str">
        <f>TEXT(EDATE('Input - Site'!$E$12,10), "mmmm yyyy")</f>
        <v>November 2024</v>
      </c>
      <c r="E32" s="64">
        <f t="shared" si="0"/>
        <v>30</v>
      </c>
      <c r="F32" s="64">
        <f t="shared" si="0"/>
        <v>30</v>
      </c>
      <c r="G32" s="64">
        <f t="shared" si="0"/>
        <v>30</v>
      </c>
      <c r="H32" s="64">
        <f t="shared" si="0"/>
        <v>30</v>
      </c>
      <c r="I32" s="64">
        <f t="shared" si="0"/>
        <v>30</v>
      </c>
      <c r="J32" s="64">
        <f t="shared" si="0"/>
        <v>30</v>
      </c>
      <c r="K32" s="64">
        <f t="shared" si="0"/>
        <v>30</v>
      </c>
      <c r="L32" s="64">
        <f t="shared" si="0"/>
        <v>30</v>
      </c>
      <c r="M32" s="64">
        <f t="shared" si="0"/>
        <v>30</v>
      </c>
      <c r="N32" s="64">
        <f t="shared" si="0"/>
        <v>30</v>
      </c>
      <c r="O32" s="2" t="s">
        <v>47</v>
      </c>
      <c r="T32" s="7"/>
    </row>
    <row r="33" spans="1:20" ht="20.100000000000001" customHeight="1" x14ac:dyDescent="0.25">
      <c r="A33" s="17"/>
      <c r="D33" s="1" t="str">
        <f>TEXT(EDATE('Input - Site'!$E$12,11), "mmmm yyyy")</f>
        <v>December 2024</v>
      </c>
      <c r="E33" s="64">
        <f t="shared" si="0"/>
        <v>31</v>
      </c>
      <c r="F33" s="64">
        <f t="shared" si="0"/>
        <v>31</v>
      </c>
      <c r="G33" s="64">
        <f t="shared" si="0"/>
        <v>31</v>
      </c>
      <c r="H33" s="64">
        <f t="shared" si="0"/>
        <v>31</v>
      </c>
      <c r="I33" s="64">
        <f t="shared" si="0"/>
        <v>31</v>
      </c>
      <c r="J33" s="64">
        <f t="shared" si="0"/>
        <v>31</v>
      </c>
      <c r="K33" s="64">
        <f t="shared" si="0"/>
        <v>31</v>
      </c>
      <c r="L33" s="64">
        <f t="shared" si="0"/>
        <v>31</v>
      </c>
      <c r="M33" s="64">
        <f t="shared" si="0"/>
        <v>31</v>
      </c>
      <c r="N33" s="64">
        <f t="shared" si="0"/>
        <v>31</v>
      </c>
      <c r="O33" s="2" t="s">
        <v>47</v>
      </c>
      <c r="T33" s="7"/>
    </row>
    <row r="34" spans="1:20" ht="20.100000000000001" customHeight="1" x14ac:dyDescent="0.25">
      <c r="T34" s="7"/>
    </row>
    <row r="35" spans="1:20" ht="20.100000000000001" customHeight="1" x14ac:dyDescent="0.25">
      <c r="T35" s="7"/>
    </row>
    <row r="36" spans="1:20" ht="20.100000000000001" customHeight="1" x14ac:dyDescent="0.25">
      <c r="D36" s="47" t="s">
        <v>82</v>
      </c>
      <c r="T36" s="7"/>
    </row>
    <row r="37" spans="1:20" ht="20.100000000000001" customHeight="1" x14ac:dyDescent="0.25">
      <c r="D37" s="61" t="s">
        <v>108</v>
      </c>
      <c r="E37" s="61" t="s">
        <v>104</v>
      </c>
      <c r="F37" s="61" t="s">
        <v>103</v>
      </c>
      <c r="G37" s="61" t="s">
        <v>127</v>
      </c>
      <c r="H37" s="61" t="s">
        <v>128</v>
      </c>
      <c r="I37" s="61" t="s">
        <v>129</v>
      </c>
      <c r="J37" s="61" t="s">
        <v>130</v>
      </c>
      <c r="K37" s="61" t="s">
        <v>131</v>
      </c>
      <c r="L37" s="61" t="s">
        <v>132</v>
      </c>
      <c r="M37" s="61" t="s">
        <v>133</v>
      </c>
      <c r="N37" s="61" t="s">
        <v>134</v>
      </c>
      <c r="T37" s="7"/>
    </row>
    <row r="38" spans="1:20" ht="20.100000000000001" customHeight="1" x14ac:dyDescent="0.25">
      <c r="D38" s="1" t="s">
        <v>135</v>
      </c>
      <c r="E38" s="64">
        <v>100</v>
      </c>
      <c r="F38" s="64">
        <v>100</v>
      </c>
      <c r="G38" s="64">
        <v>100</v>
      </c>
      <c r="H38" s="64">
        <v>100</v>
      </c>
      <c r="I38" s="64">
        <v>100</v>
      </c>
      <c r="J38" s="64">
        <v>100</v>
      </c>
      <c r="K38" s="64">
        <v>100</v>
      </c>
      <c r="L38" s="64">
        <v>100</v>
      </c>
      <c r="M38" s="64">
        <v>100</v>
      </c>
      <c r="N38" s="64">
        <v>100</v>
      </c>
      <c r="O38" s="2" t="s">
        <v>82</v>
      </c>
      <c r="T38" s="7"/>
    </row>
    <row r="39" spans="1:20" ht="20.100000000000001" customHeight="1" x14ac:dyDescent="0.25">
      <c r="A39" s="17"/>
      <c r="D39" s="1" t="s">
        <v>136</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137</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138</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O42" s="2"/>
      <c r="T42" s="7"/>
    </row>
    <row r="43" spans="1:20" ht="20.100000000000001" customHeight="1" x14ac:dyDescent="0.25">
      <c r="D43" s="61" t="s">
        <v>109</v>
      </c>
      <c r="E43" s="61" t="s">
        <v>104</v>
      </c>
      <c r="F43" s="61" t="s">
        <v>103</v>
      </c>
      <c r="G43" s="61" t="s">
        <v>127</v>
      </c>
      <c r="H43" s="61" t="s">
        <v>128</v>
      </c>
      <c r="I43" s="61" t="s">
        <v>129</v>
      </c>
      <c r="J43" s="61" t="s">
        <v>130</v>
      </c>
      <c r="K43" s="61" t="s">
        <v>131</v>
      </c>
      <c r="L43" s="61" t="s">
        <v>132</v>
      </c>
      <c r="M43" s="61" t="s">
        <v>133</v>
      </c>
      <c r="N43" s="61" t="s">
        <v>134</v>
      </c>
      <c r="O43" s="2"/>
      <c r="T43" s="7"/>
    </row>
    <row r="44" spans="1:20" ht="20.100000000000001" customHeight="1" x14ac:dyDescent="0.25">
      <c r="D44" s="1" t="str">
        <f>TEXT('Input - Site'!$E$12, "mmmm yyyy")</f>
        <v>January 2024</v>
      </c>
      <c r="E44" s="64">
        <v>100</v>
      </c>
      <c r="F44" s="64">
        <v>100</v>
      </c>
      <c r="G44" s="64">
        <v>100</v>
      </c>
      <c r="H44" s="64">
        <v>100</v>
      </c>
      <c r="I44" s="64">
        <v>100</v>
      </c>
      <c r="J44" s="64">
        <v>100</v>
      </c>
      <c r="K44" s="64">
        <v>100</v>
      </c>
      <c r="L44" s="64">
        <v>100</v>
      </c>
      <c r="M44" s="64">
        <v>100</v>
      </c>
      <c r="N44" s="64">
        <v>100</v>
      </c>
      <c r="O44" s="2" t="s">
        <v>82</v>
      </c>
      <c r="T44" s="7"/>
    </row>
    <row r="45" spans="1:20" ht="20.100000000000001" customHeight="1" x14ac:dyDescent="0.25">
      <c r="D45" s="1" t="str">
        <f>TEXT(EDATE('Input - Site'!$E$12,1), "mmmm yyyy")</f>
        <v>February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TEXT(EDATE('Input - Site'!$E$12,2), "mmmm yyyy")</f>
        <v>March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TEXT(EDATE('Input - Site'!$E$12,3), "mmmm yyyy")</f>
        <v>April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TEXT(EDATE('Input - Site'!$E$12,4), "mmmm yyyy")</f>
        <v>May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TEXT(EDATE('Input - Site'!$E$12,5), "mmmm yyyy")</f>
        <v>June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TEXT(EDATE('Input - Site'!$E$12,6), "mmmm yyyy")</f>
        <v>July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TEXT(EDATE('Input - Site'!$E$12,7), "mmmm yyyy")</f>
        <v>August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TEXT(EDATE('Input - Site'!$E$12,8), "mmmm yyyy")</f>
        <v>September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TEXT(EDATE('Input - Site'!$E$12,9), "mmmm yyyy")</f>
        <v>October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TEXT(EDATE('Input - Site'!$E$12,10), "mmmm yyyy")</f>
        <v>November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TEXT(EDATE('Input - Site'!$E$12,11), "mmmm yyyy")</f>
        <v>December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7" t="s">
        <v>112</v>
      </c>
      <c r="P58" s="3"/>
      <c r="T58" s="7"/>
    </row>
    <row r="59" spans="4:20" ht="20.100000000000001" customHeight="1" x14ac:dyDescent="0.25">
      <c r="D59" s="61" t="s">
        <v>141</v>
      </c>
      <c r="E59" s="61" t="s">
        <v>104</v>
      </c>
      <c r="F59" s="61" t="s">
        <v>103</v>
      </c>
      <c r="G59" s="61" t="s">
        <v>127</v>
      </c>
      <c r="H59" s="61" t="s">
        <v>128</v>
      </c>
      <c r="I59" s="61" t="s">
        <v>129</v>
      </c>
      <c r="J59" s="61" t="s">
        <v>130</v>
      </c>
      <c r="K59" s="61" t="s">
        <v>131</v>
      </c>
      <c r="L59" s="61" t="s">
        <v>132</v>
      </c>
      <c r="M59" s="61" t="s">
        <v>133</v>
      </c>
      <c r="N59" s="61" t="s">
        <v>134</v>
      </c>
      <c r="P59" s="3"/>
      <c r="T59" s="7"/>
    </row>
    <row r="60" spans="4:20" ht="20.100000000000001" customHeight="1" x14ac:dyDescent="0.25">
      <c r="D60" s="1" t="s">
        <v>135</v>
      </c>
      <c r="E60" s="51">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1">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1">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1">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1">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1">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1">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1">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1">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1">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106</v>
      </c>
      <c r="P60" s="3"/>
      <c r="T60" s="7"/>
    </row>
    <row r="61" spans="4:20" ht="20.100000000000001" customHeight="1" x14ac:dyDescent="0.25">
      <c r="D61" s="1" t="s">
        <v>136</v>
      </c>
      <c r="E61" s="51">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1">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1">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1">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1">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1">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1">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1">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1">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1">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106</v>
      </c>
      <c r="P61" s="3"/>
      <c r="T61" s="7"/>
    </row>
    <row r="62" spans="4:20" ht="20.100000000000001" customHeight="1" x14ac:dyDescent="0.25">
      <c r="D62" s="1" t="s">
        <v>137</v>
      </c>
      <c r="E62" s="51">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1">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1">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1">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1">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1">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1">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1">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1">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1">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106</v>
      </c>
      <c r="P62" s="3"/>
      <c r="T62" s="7"/>
    </row>
    <row r="63" spans="4:20" ht="20.100000000000001" customHeight="1" x14ac:dyDescent="0.25">
      <c r="D63" s="1" t="s">
        <v>138</v>
      </c>
      <c r="E63" s="51">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1">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1">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1">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1">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1">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1">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1">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1">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1">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106</v>
      </c>
      <c r="P63" s="3"/>
      <c r="T63" s="7"/>
    </row>
    <row r="64" spans="4:20" ht="20.100000000000001" customHeight="1" x14ac:dyDescent="0.25">
      <c r="O64" s="2"/>
      <c r="P64" s="3"/>
      <c r="T64" s="7"/>
    </row>
    <row r="65" spans="4:20" ht="20.100000000000001" customHeight="1" x14ac:dyDescent="0.25">
      <c r="D65" s="61" t="s">
        <v>142</v>
      </c>
      <c r="E65" s="61" t="s">
        <v>104</v>
      </c>
      <c r="F65" s="61" t="s">
        <v>103</v>
      </c>
      <c r="G65" s="61" t="s">
        <v>127</v>
      </c>
      <c r="H65" s="61" t="s">
        <v>128</v>
      </c>
      <c r="I65" s="61" t="s">
        <v>129</v>
      </c>
      <c r="J65" s="61" t="s">
        <v>130</v>
      </c>
      <c r="K65" s="61" t="s">
        <v>131</v>
      </c>
      <c r="L65" s="61" t="s">
        <v>132</v>
      </c>
      <c r="M65" s="61" t="s">
        <v>133</v>
      </c>
      <c r="N65" s="61" t="s">
        <v>134</v>
      </c>
      <c r="O65" s="2"/>
      <c r="P65" s="3"/>
      <c r="T65" s="7"/>
    </row>
    <row r="66" spans="4:20" ht="20.100000000000001" customHeight="1" x14ac:dyDescent="0.25">
      <c r="D66" s="1" t="str">
        <f>TEXT('Input - Site'!$E$12, "mmmm yyyy")</f>
        <v>January 2024</v>
      </c>
      <c r="E66" s="64">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4">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4">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4">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4">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4">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4">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4">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4">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4">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106</v>
      </c>
      <c r="P66" s="3"/>
      <c r="T66" s="7"/>
    </row>
    <row r="67" spans="4:20" ht="20.100000000000001" customHeight="1" x14ac:dyDescent="0.25">
      <c r="D67" s="1" t="str">
        <f>TEXT(EDATE('Input - Site'!$E$12,1), "mmmm yyyy")</f>
        <v>February 2024</v>
      </c>
      <c r="E67" s="64">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TEXT(EDATE('Input - Site'!$E$12,2), "mmmm yyyy")</f>
        <v>March 2024</v>
      </c>
      <c r="E68" s="64">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4">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4">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4">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4">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4">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4">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4">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4">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4">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106</v>
      </c>
      <c r="P68" s="3"/>
      <c r="T68" s="7"/>
    </row>
    <row r="69" spans="4:20" ht="20.100000000000001" customHeight="1" x14ac:dyDescent="0.25">
      <c r="D69" s="1" t="str">
        <f>TEXT(EDATE('Input - Site'!$E$12,3), "mmmm yyyy")</f>
        <v>April 2024</v>
      </c>
      <c r="E69" s="64">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TEXT(EDATE('Input - Site'!$E$12,4), "mmmm yyyy")</f>
        <v>May 2024</v>
      </c>
      <c r="E70" s="64">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TEXT(EDATE('Input - Site'!$E$12,5), "mmmm yyyy")</f>
        <v>June 2024</v>
      </c>
      <c r="E71" s="64">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4">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4">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4">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4">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4">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4">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4">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4">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4">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106</v>
      </c>
      <c r="P71" s="3"/>
      <c r="T71" s="7"/>
    </row>
    <row r="72" spans="4:20" ht="20.100000000000001" customHeight="1" x14ac:dyDescent="0.25">
      <c r="D72" s="1" t="str">
        <f>TEXT(EDATE('Input - Site'!$E$12,6), "mmmm yyyy")</f>
        <v>July 2024</v>
      </c>
      <c r="E72" s="64">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TEXT(EDATE('Input - Site'!$E$12,7), "mmmm yyyy")</f>
        <v>August 2024</v>
      </c>
      <c r="E73" s="64">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TEXT(EDATE('Input - Site'!$E$12,8), "mmmm yyyy")</f>
        <v>September 2024</v>
      </c>
      <c r="E74" s="64">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4">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4">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4">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4">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4">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4">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4">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4">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4">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106</v>
      </c>
      <c r="T74" s="7"/>
    </row>
    <row r="75" spans="4:20" ht="20.100000000000001" customHeight="1" x14ac:dyDescent="0.25">
      <c r="D75" s="1" t="str">
        <f>TEXT(EDATE('Input - Site'!$E$12,9), "mmmm yyyy")</f>
        <v>October 2024</v>
      </c>
      <c r="E75" s="64">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TEXT(EDATE('Input - Site'!$E$12,10), "mmmm yyyy")</f>
        <v>November 2024</v>
      </c>
      <c r="E76" s="64">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TEXT(EDATE('Input - Site'!$E$12,11), "mmmm yyyy")</f>
        <v>December 2024</v>
      </c>
      <c r="E77" s="64">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4">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4">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4">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4">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4">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4">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4">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4">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4">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106</v>
      </c>
      <c r="T77" s="7"/>
    </row>
    <row r="78" spans="4:20" ht="20.100000000000001" customHeight="1" x14ac:dyDescent="0.25">
      <c r="T78" s="7"/>
    </row>
    <row r="79" spans="4:20" ht="20.100000000000001" customHeight="1" x14ac:dyDescent="0.25">
      <c r="T79" s="7"/>
    </row>
    <row r="80" spans="4:20" ht="20.100000000000001" customHeight="1" x14ac:dyDescent="0.25">
      <c r="D80" s="47" t="s">
        <v>139</v>
      </c>
      <c r="T80" s="7"/>
    </row>
    <row r="81" spans="4:20" ht="20.100000000000001" customHeight="1" x14ac:dyDescent="0.25">
      <c r="D81" s="61" t="s">
        <v>141</v>
      </c>
      <c r="E81" s="61" t="s">
        <v>104</v>
      </c>
      <c r="F81" s="61" t="s">
        <v>103</v>
      </c>
      <c r="G81" s="61" t="s">
        <v>127</v>
      </c>
      <c r="H81" s="61" t="s">
        <v>128</v>
      </c>
      <c r="I81" s="61" t="s">
        <v>129</v>
      </c>
      <c r="J81" s="61" t="s">
        <v>130</v>
      </c>
      <c r="K81" s="61" t="s">
        <v>131</v>
      </c>
      <c r="L81" s="61" t="s">
        <v>132</v>
      </c>
      <c r="M81" s="61" t="s">
        <v>133</v>
      </c>
      <c r="N81" s="61" t="s">
        <v>134</v>
      </c>
      <c r="T81" s="7"/>
    </row>
    <row r="82" spans="4:20" ht="20.100000000000001" customHeight="1" x14ac:dyDescent="0.25">
      <c r="D82" s="1" t="s">
        <v>135</v>
      </c>
      <c r="E82" s="51">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1">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1">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1">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1">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1">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1">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1">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1">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1">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107</v>
      </c>
      <c r="T82" s="7"/>
    </row>
    <row r="83" spans="4:20" ht="20.100000000000001" customHeight="1" x14ac:dyDescent="0.25">
      <c r="D83" s="1" t="s">
        <v>136</v>
      </c>
      <c r="E83" s="51">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1">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1">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1">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1">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1">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1">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1">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1">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1">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107</v>
      </c>
      <c r="T83" s="7"/>
    </row>
    <row r="84" spans="4:20" ht="20.100000000000001" customHeight="1" x14ac:dyDescent="0.25">
      <c r="D84" s="1" t="s">
        <v>137</v>
      </c>
      <c r="E84" s="51">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1">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1">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1">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1">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1">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1">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1">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1">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1">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107</v>
      </c>
      <c r="T84" s="7"/>
    </row>
    <row r="85" spans="4:20" ht="20.100000000000001" customHeight="1" x14ac:dyDescent="0.25">
      <c r="D85" s="1" t="s">
        <v>138</v>
      </c>
      <c r="E85" s="51">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1">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1">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1">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1">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1">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1">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1">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1">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1">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107</v>
      </c>
      <c r="T85" s="7"/>
    </row>
    <row r="86" spans="4:20" ht="20.100000000000001" customHeight="1" x14ac:dyDescent="0.25">
      <c r="O86" s="2"/>
      <c r="T86" s="7"/>
    </row>
    <row r="87" spans="4:20" ht="20.100000000000001" customHeight="1" x14ac:dyDescent="0.25">
      <c r="D87" s="61" t="s">
        <v>142</v>
      </c>
      <c r="E87" s="61" t="s">
        <v>104</v>
      </c>
      <c r="F87" s="61" t="s">
        <v>103</v>
      </c>
      <c r="G87" s="61" t="s">
        <v>127</v>
      </c>
      <c r="H87" s="61" t="s">
        <v>128</v>
      </c>
      <c r="I87" s="61" t="s">
        <v>129</v>
      </c>
      <c r="J87" s="61" t="s">
        <v>130</v>
      </c>
      <c r="K87" s="61" t="s">
        <v>131</v>
      </c>
      <c r="L87" s="61" t="s">
        <v>132</v>
      </c>
      <c r="M87" s="61" t="s">
        <v>133</v>
      </c>
      <c r="N87" s="61" t="s">
        <v>134</v>
      </c>
      <c r="O87" s="2"/>
      <c r="T87" s="7"/>
    </row>
    <row r="88" spans="4:20" ht="20.100000000000001" customHeight="1" x14ac:dyDescent="0.25">
      <c r="D88" s="1" t="str">
        <f>TEXT('Input - Site'!$E$12, "mmmm yyyy")</f>
        <v>January 2024</v>
      </c>
      <c r="E88" s="64">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4">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4">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4">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4">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4">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4">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4">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4">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4">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107</v>
      </c>
      <c r="T88" s="7"/>
    </row>
    <row r="89" spans="4:20" ht="20.100000000000001" customHeight="1" x14ac:dyDescent="0.25">
      <c r="D89" s="1" t="str">
        <f>TEXT(EDATE('Input - Site'!$E$12,1), "mmmm yyyy")</f>
        <v>February 2024</v>
      </c>
      <c r="E89" s="64">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TEXT(EDATE('Input - Site'!$E$12,2), "mmmm yyyy")</f>
        <v>March 2024</v>
      </c>
      <c r="E90" s="64">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4">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4">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4">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4">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4">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4">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4">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4">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4">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107</v>
      </c>
      <c r="T90" s="7"/>
    </row>
    <row r="91" spans="4:20" ht="20.100000000000001" customHeight="1" x14ac:dyDescent="0.25">
      <c r="D91" s="1" t="str">
        <f>TEXT(EDATE('Input - Site'!$E$12,3), "mmmm yyyy")</f>
        <v>April 2024</v>
      </c>
      <c r="E91" s="64">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TEXT(EDATE('Input - Site'!$E$12,4), "mmmm yyyy")</f>
        <v>May 2024</v>
      </c>
      <c r="E92" s="64">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TEXT(EDATE('Input - Site'!$E$12,5), "mmmm yyyy")</f>
        <v>June 2024</v>
      </c>
      <c r="E93" s="64">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4">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4">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4">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4">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4">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4">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4">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4">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4">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107</v>
      </c>
      <c r="T93" s="7"/>
    </row>
    <row r="94" spans="4:20" ht="20.100000000000001" customHeight="1" x14ac:dyDescent="0.25">
      <c r="D94" s="1" t="str">
        <f>TEXT(EDATE('Input - Site'!$E$12,6), "mmmm yyyy")</f>
        <v>July 2024</v>
      </c>
      <c r="E94" s="64">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TEXT(EDATE('Input - Site'!$E$12,7), "mmmm yyyy")</f>
        <v>August 2024</v>
      </c>
      <c r="E95" s="64">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TEXT(EDATE('Input - Site'!$E$12,8), "mmmm yyyy")</f>
        <v>September 2024</v>
      </c>
      <c r="E96" s="64">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4">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4">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4">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4">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4">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4">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4">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4">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4">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107</v>
      </c>
      <c r="T96" s="7"/>
    </row>
    <row r="97" spans="4:20" ht="20.100000000000001" customHeight="1" x14ac:dyDescent="0.25">
      <c r="D97" s="1" t="str">
        <f>TEXT(EDATE('Input - Site'!$E$12,9), "mmmm yyyy")</f>
        <v>October 2024</v>
      </c>
      <c r="E97" s="64">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TEXT(EDATE('Input - Site'!$E$12,10), "mmmm yyyy")</f>
        <v>November 2024</v>
      </c>
      <c r="E98" s="64">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TEXT(EDATE('Input - Site'!$E$12,11), "mmmm yyyy")</f>
        <v>December 2024</v>
      </c>
      <c r="E99" s="64">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4">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4">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4">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4">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4">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4">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4">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4">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4">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107</v>
      </c>
      <c r="T99" s="7"/>
    </row>
    <row r="100" spans="4:20" ht="20.100000000000001" customHeight="1" x14ac:dyDescent="0.25">
      <c r="T100" s="7"/>
    </row>
    <row r="101" spans="4:20" ht="20.100000000000001" customHeight="1" x14ac:dyDescent="0.25">
      <c r="T101" s="7"/>
    </row>
    <row r="102" spans="4:20" ht="20.100000000000001" customHeight="1" x14ac:dyDescent="0.25">
      <c r="D102" s="47" t="s">
        <v>191</v>
      </c>
      <c r="K102" s="2"/>
      <c r="L102" s="2"/>
      <c r="M102" s="2"/>
      <c r="N102" s="2"/>
      <c r="O102" s="2"/>
      <c r="T102" s="7"/>
    </row>
    <row r="103" spans="4:20" ht="20.100000000000001" customHeight="1" x14ac:dyDescent="0.25">
      <c r="D103" s="61" t="s">
        <v>108</v>
      </c>
      <c r="E103" s="61"/>
      <c r="F103" s="61"/>
      <c r="G103" s="61"/>
      <c r="T103" s="7"/>
    </row>
    <row r="104" spans="4:20" ht="20.100000000000001" customHeight="1" x14ac:dyDescent="0.25">
      <c r="D104" s="1" t="s">
        <v>208</v>
      </c>
      <c r="E104" s="38" t="s">
        <v>138</v>
      </c>
      <c r="F104" s="2" t="s">
        <v>8</v>
      </c>
      <c r="T104" s="7"/>
    </row>
    <row r="105" spans="4:20" ht="20.100000000000001" customHeight="1" x14ac:dyDescent="0.25">
      <c r="T105" s="7"/>
    </row>
    <row r="106" spans="4:20" ht="20.100000000000001" customHeight="1" x14ac:dyDescent="0.25">
      <c r="E106" s="61" t="s">
        <v>128</v>
      </c>
      <c r="F106" s="61" t="s">
        <v>129</v>
      </c>
      <c r="G106" s="61" t="s">
        <v>130</v>
      </c>
      <c r="L106" s="2"/>
      <c r="M106" s="2"/>
      <c r="N106" s="2"/>
      <c r="O106" s="2"/>
      <c r="T106" s="7"/>
    </row>
    <row r="107" spans="4:20" ht="20.100000000000001" customHeight="1" x14ac:dyDescent="0.25">
      <c r="D107" s="1" t="str">
        <f>"Proportion of cows &gt; 1 years in calf in " &amp; E104</f>
        <v>Proportion of cows &gt; 1 years in calf in Winter</v>
      </c>
      <c r="E107" s="45">
        <v>0.9</v>
      </c>
      <c r="F107" s="45">
        <v>0.5</v>
      </c>
      <c r="G107" s="45">
        <v>0.5</v>
      </c>
      <c r="H107" s="2" t="s">
        <v>14</v>
      </c>
      <c r="L107" s="2"/>
      <c r="M107" s="2"/>
      <c r="N107" s="2"/>
      <c r="O107" s="2"/>
    </row>
    <row r="108" spans="4:20" ht="20.100000000000001" customHeight="1" x14ac:dyDescent="0.25"/>
    <row r="109" spans="4:20" ht="20.100000000000001" customHeight="1" x14ac:dyDescent="0.25"/>
    <row r="110" spans="4:20" ht="20.100000000000001" customHeight="1" x14ac:dyDescent="0.25">
      <c r="D110" s="61" t="s">
        <v>109</v>
      </c>
      <c r="E110" s="61"/>
      <c r="F110" s="61"/>
      <c r="G110" s="61"/>
    </row>
    <row r="111" spans="4:20" ht="20.100000000000001" customHeight="1" x14ac:dyDescent="0.25">
      <c r="D111" s="1" t="s">
        <v>255</v>
      </c>
      <c r="E111" s="38" t="s">
        <v>253</v>
      </c>
      <c r="F111" s="2" t="s">
        <v>8</v>
      </c>
    </row>
    <row r="112" spans="4:20" ht="20.100000000000001" customHeight="1" x14ac:dyDescent="0.25">
      <c r="D112" s="1" t="s">
        <v>251</v>
      </c>
      <c r="E112" s="51" t="str">
        <f>TEXT(EDATE(E111,1), "mmmm yyyy")</f>
        <v>September 2024</v>
      </c>
    </row>
    <row r="113" spans="4:15" ht="20.100000000000001" customHeight="1" x14ac:dyDescent="0.25">
      <c r="D113" s="1" t="s">
        <v>252</v>
      </c>
      <c r="E113" s="51" t="str">
        <f>TEXT(EDATE(E111,2), "mmmm yyyy")</f>
        <v>October 2024</v>
      </c>
    </row>
    <row r="114" spans="4:15" ht="20.100000000000001" customHeight="1" x14ac:dyDescent="0.25"/>
    <row r="115" spans="4:15" ht="20.100000000000001" customHeight="1" x14ac:dyDescent="0.25"/>
    <row r="116" spans="4:15" ht="20.100000000000001" customHeight="1" x14ac:dyDescent="0.25">
      <c r="E116" s="61" t="s">
        <v>128</v>
      </c>
      <c r="F116" s="61" t="s">
        <v>129</v>
      </c>
      <c r="G116" s="61" t="s">
        <v>130</v>
      </c>
      <c r="L116" s="2"/>
      <c r="M116" s="2"/>
      <c r="N116" s="2"/>
      <c r="O116" s="2"/>
    </row>
    <row r="117" spans="4:15" ht="20.100000000000001" customHeight="1" x14ac:dyDescent="0.25">
      <c r="D117" s="1" t="str">
        <f>E111</f>
        <v>August 2024</v>
      </c>
      <c r="E117" s="45">
        <v>0.25</v>
      </c>
      <c r="F117" s="45">
        <v>0.25</v>
      </c>
      <c r="G117" s="45">
        <v>0.25</v>
      </c>
      <c r="H117" s="2" t="s">
        <v>14</v>
      </c>
      <c r="L117" s="2"/>
      <c r="M117" s="2"/>
      <c r="N117" s="2"/>
      <c r="O117" s="2"/>
    </row>
    <row r="118" spans="4:15" ht="20.100000000000001" customHeight="1" x14ac:dyDescent="0.25">
      <c r="D118" s="1" t="str">
        <f>E112</f>
        <v>September 2024</v>
      </c>
      <c r="E118" s="45">
        <v>0.25</v>
      </c>
      <c r="F118" s="45">
        <v>0.25</v>
      </c>
      <c r="G118" s="45">
        <v>0.25</v>
      </c>
      <c r="H118" s="2" t="s">
        <v>14</v>
      </c>
    </row>
    <row r="119" spans="4:15" ht="20.100000000000001" customHeight="1" x14ac:dyDescent="0.25">
      <c r="D119" s="1" t="str">
        <f>E113</f>
        <v>October 2024</v>
      </c>
      <c r="E119" s="45">
        <v>0.25</v>
      </c>
      <c r="F119" s="45">
        <v>0.25</v>
      </c>
      <c r="G119" s="45">
        <v>0.25</v>
      </c>
      <c r="H119" s="2" t="s">
        <v>14</v>
      </c>
    </row>
    <row r="120" spans="4:15" ht="20.100000000000001" customHeight="1" x14ac:dyDescent="0.25">
      <c r="D120" s="1" t="str">
        <f>"Proportion of cows &gt; 1 years in calf in " &amp; D117 &amp; " to " &amp; D119</f>
        <v>Proportion of cows &gt; 1 years in calf in August 2024 to October 2024</v>
      </c>
      <c r="E120" s="94">
        <f>SUM(E117:E119)</f>
        <v>0.75</v>
      </c>
      <c r="F120" s="94">
        <f>SUM(F117:F119)</f>
        <v>0.75</v>
      </c>
      <c r="G120" s="94">
        <f>SUM(G117:G119)</f>
        <v>0.75</v>
      </c>
      <c r="H120" s="2" t="s">
        <v>14</v>
      </c>
    </row>
    <row r="121" spans="4:15" ht="20.100000000000001" customHeight="1" x14ac:dyDescent="0.25"/>
    <row r="122" spans="4:15" ht="20.100000000000001" customHeight="1" x14ac:dyDescent="0.25">
      <c r="K122" s="2"/>
      <c r="L122" s="2"/>
      <c r="M122" s="2"/>
      <c r="N122" s="2"/>
      <c r="O122" s="2"/>
    </row>
    <row r="123" spans="4:15" ht="20.100000000000001" customHeight="1" x14ac:dyDescent="0.25">
      <c r="D123" s="47" t="s">
        <v>13</v>
      </c>
      <c r="K123" s="2"/>
      <c r="L123" s="2"/>
      <c r="M123" s="2"/>
      <c r="N123" s="2"/>
      <c r="O123" s="2"/>
    </row>
    <row r="124" spans="4:15" ht="20.100000000000001" customHeight="1" x14ac:dyDescent="0.25">
      <c r="D124" s="61" t="s">
        <v>141</v>
      </c>
      <c r="E124" s="61" t="s">
        <v>104</v>
      </c>
      <c r="F124" s="61" t="s">
        <v>103</v>
      </c>
      <c r="G124" s="61" t="s">
        <v>127</v>
      </c>
      <c r="H124" s="61" t="s">
        <v>128</v>
      </c>
      <c r="I124" s="61" t="s">
        <v>129</v>
      </c>
      <c r="J124" s="61" t="s">
        <v>130</v>
      </c>
      <c r="K124" s="61" t="s">
        <v>131</v>
      </c>
      <c r="L124" s="61" t="s">
        <v>132</v>
      </c>
      <c r="M124" s="61" t="s">
        <v>133</v>
      </c>
      <c r="N124" s="61" t="s">
        <v>134</v>
      </c>
    </row>
    <row r="125" spans="4:15" ht="20.100000000000001" customHeight="1" x14ac:dyDescent="0.25">
      <c r="D125" s="1" t="s">
        <v>135</v>
      </c>
      <c r="E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25" s="2" t="s">
        <v>113</v>
      </c>
    </row>
    <row r="126" spans="4:15" ht="20.100000000000001" customHeight="1" x14ac:dyDescent="0.25">
      <c r="D126" s="1" t="s">
        <v>136</v>
      </c>
      <c r="E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26" s="2" t="s">
        <v>113</v>
      </c>
    </row>
    <row r="127" spans="4:15" ht="20.100000000000001" customHeight="1" x14ac:dyDescent="0.25">
      <c r="D127" s="1" t="s">
        <v>137</v>
      </c>
      <c r="E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27" s="2" t="s">
        <v>113</v>
      </c>
    </row>
    <row r="128" spans="4:15" ht="20.100000000000001" customHeight="1" x14ac:dyDescent="0.25">
      <c r="D128" s="1" t="s">
        <v>138</v>
      </c>
      <c r="E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28" s="2" t="s">
        <v>113</v>
      </c>
    </row>
    <row r="129" spans="4:15" ht="20.100000000000001" customHeight="1" x14ac:dyDescent="0.25"/>
    <row r="130" spans="4:15" ht="20.100000000000001" customHeight="1" x14ac:dyDescent="0.25">
      <c r="D130" s="61" t="s">
        <v>142</v>
      </c>
      <c r="E130" s="61" t="s">
        <v>104</v>
      </c>
      <c r="F130" s="61" t="s">
        <v>103</v>
      </c>
      <c r="G130" s="61" t="s">
        <v>127</v>
      </c>
      <c r="H130" s="61" t="s">
        <v>128</v>
      </c>
      <c r="I130" s="61" t="s">
        <v>129</v>
      </c>
      <c r="J130" s="61" t="s">
        <v>130</v>
      </c>
      <c r="K130" s="61" t="s">
        <v>131</v>
      </c>
      <c r="L130" s="61" t="s">
        <v>132</v>
      </c>
      <c r="M130" s="61" t="s">
        <v>133</v>
      </c>
      <c r="N130" s="61" t="s">
        <v>134</v>
      </c>
    </row>
    <row r="131" spans="4:15" ht="20.100000000000001" customHeight="1" x14ac:dyDescent="0.25">
      <c r="D131" s="1" t="str">
        <f>TEXT('Input - Site'!$E$12, "mmmm yyyy")</f>
        <v>January 2024</v>
      </c>
      <c r="E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1" s="2" t="s">
        <v>113</v>
      </c>
    </row>
    <row r="132" spans="4:15" ht="20.100000000000001" customHeight="1" x14ac:dyDescent="0.25">
      <c r="D132" s="1" t="str">
        <f>TEXT(EDATE('Input - Site'!$E$12,1), "mmmm yyyy")</f>
        <v>February 2024</v>
      </c>
      <c r="E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2" s="2" t="s">
        <v>113</v>
      </c>
    </row>
    <row r="133" spans="4:15" ht="20.100000000000001" customHeight="1" x14ac:dyDescent="0.25">
      <c r="D133" s="1" t="str">
        <f>TEXT(EDATE('Input - Site'!$E$12,2), "mmmm yyyy")</f>
        <v>March 2024</v>
      </c>
      <c r="E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3" s="2" t="s">
        <v>113</v>
      </c>
    </row>
    <row r="134" spans="4:15" ht="20.100000000000001" customHeight="1" x14ac:dyDescent="0.25">
      <c r="D134" s="1" t="str">
        <f>TEXT(EDATE('Input - Site'!$E$12,3), "mmmm yyyy")</f>
        <v>April 2024</v>
      </c>
      <c r="E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4" s="2" t="s">
        <v>113</v>
      </c>
    </row>
    <row r="135" spans="4:15" ht="20.100000000000001" customHeight="1" x14ac:dyDescent="0.25">
      <c r="D135" s="1" t="str">
        <f>TEXT(EDATE('Input - Site'!$E$12,4), "mmmm yyyy")</f>
        <v>May 2024</v>
      </c>
      <c r="E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5" s="2" t="s">
        <v>113</v>
      </c>
    </row>
    <row r="136" spans="4:15" ht="20.100000000000001" customHeight="1" x14ac:dyDescent="0.25">
      <c r="D136" s="1" t="str">
        <f>TEXT(EDATE('Input - Site'!$E$12,5), "mmmm yyyy")</f>
        <v>June 2024</v>
      </c>
      <c r="E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6" s="2" t="s">
        <v>113</v>
      </c>
    </row>
    <row r="137" spans="4:15" ht="20.100000000000001" customHeight="1" x14ac:dyDescent="0.25">
      <c r="D137" s="1" t="str">
        <f>TEXT(EDATE('Input - Site'!$E$12,6), "mmmm yyyy")</f>
        <v>July 2024</v>
      </c>
      <c r="E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7" s="2" t="s">
        <v>113</v>
      </c>
    </row>
    <row r="138" spans="4:15" ht="20.100000000000001" customHeight="1" x14ac:dyDescent="0.25">
      <c r="D138" s="1" t="str">
        <f>TEXT(EDATE('Input - Site'!$E$12,7), "mmmm yyyy")</f>
        <v>August 2024</v>
      </c>
      <c r="E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8" s="2" t="s">
        <v>113</v>
      </c>
    </row>
    <row r="139" spans="4:15" ht="20.100000000000001" customHeight="1" x14ac:dyDescent="0.25">
      <c r="D139" s="1" t="str">
        <f>TEXT(EDATE('Input - Site'!$E$12,8), "mmmm yyyy")</f>
        <v>September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39" s="2" t="s">
        <v>113</v>
      </c>
    </row>
    <row r="140" spans="4:15" ht="20.100000000000001" customHeight="1" x14ac:dyDescent="0.25">
      <c r="D140" s="1" t="str">
        <f>TEXT(EDATE('Input - Site'!$E$12,9), "mmmm yyyy")</f>
        <v>October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0" s="2" t="s">
        <v>113</v>
      </c>
    </row>
    <row r="141" spans="4:15" ht="20.100000000000001" customHeight="1" x14ac:dyDescent="0.25">
      <c r="D141" s="1" t="str">
        <f>TEXT(EDATE('Input - Site'!$E$12,10), "mmmm yyyy")</f>
        <v>November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1" s="2" t="s">
        <v>113</v>
      </c>
    </row>
    <row r="142" spans="4:15" ht="20.100000000000001" customHeight="1" x14ac:dyDescent="0.25">
      <c r="D142" s="1" t="str">
        <f>TEXT(EDATE('Input - Site'!$E$12,11), "mmmm yyyy")</f>
        <v>December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2" s="2" t="s">
        <v>113</v>
      </c>
    </row>
    <row r="143" spans="4:15" ht="20.100000000000001" customHeight="1" x14ac:dyDescent="0.25"/>
    <row r="144" spans="4:15" ht="20.100000000000001" customHeight="1" x14ac:dyDescent="0.25"/>
    <row r="145" spans="4:15" ht="20.100000000000001" customHeight="1" x14ac:dyDescent="0.25">
      <c r="D145" s="47" t="s">
        <v>84</v>
      </c>
      <c r="K145" s="2"/>
      <c r="L145" s="2"/>
      <c r="M145" s="2"/>
      <c r="N145" s="2"/>
      <c r="O145" s="2"/>
    </row>
    <row r="146" spans="4:15" ht="20.100000000000001" customHeight="1" x14ac:dyDescent="0.25">
      <c r="D146" s="61" t="s">
        <v>141</v>
      </c>
      <c r="E146" s="61" t="s">
        <v>104</v>
      </c>
      <c r="F146" s="61" t="s">
        <v>103</v>
      </c>
      <c r="G146" s="61" t="s">
        <v>127</v>
      </c>
      <c r="H146" s="61" t="s">
        <v>128</v>
      </c>
      <c r="I146" s="61" t="s">
        <v>129</v>
      </c>
      <c r="J146" s="61" t="s">
        <v>130</v>
      </c>
      <c r="K146" s="61" t="s">
        <v>131</v>
      </c>
      <c r="L146" s="61" t="s">
        <v>132</v>
      </c>
      <c r="M146" s="61" t="s">
        <v>133</v>
      </c>
      <c r="N146" s="61" t="s">
        <v>134</v>
      </c>
    </row>
    <row r="147" spans="4:15" ht="20.100000000000001" customHeight="1" x14ac:dyDescent="0.25">
      <c r="D147" s="1" t="s">
        <v>135</v>
      </c>
      <c r="E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F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G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H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I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J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K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L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M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N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O147" s="2" t="s">
        <v>113</v>
      </c>
    </row>
    <row r="148" spans="4:15" ht="20.100000000000001" customHeight="1" x14ac:dyDescent="0.25">
      <c r="D148" s="1" t="s">
        <v>136</v>
      </c>
      <c r="E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F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G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H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I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J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K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L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M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N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O148" s="2" t="s">
        <v>113</v>
      </c>
    </row>
    <row r="149" spans="4:15" ht="20.100000000000001" customHeight="1" x14ac:dyDescent="0.25">
      <c r="D149" s="1" t="s">
        <v>137</v>
      </c>
      <c r="E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F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G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H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I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J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K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L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M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N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O149" s="2" t="s">
        <v>113</v>
      </c>
    </row>
    <row r="150" spans="4:15" ht="20.100000000000001" customHeight="1" x14ac:dyDescent="0.25">
      <c r="D150" s="1" t="s">
        <v>138</v>
      </c>
      <c r="E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F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G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H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I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J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K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L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M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N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O150" s="2" t="s">
        <v>113</v>
      </c>
    </row>
    <row r="151" spans="4:15" ht="20.100000000000001" customHeight="1" x14ac:dyDescent="0.25"/>
    <row r="152" spans="4:15" ht="20.100000000000001" customHeight="1" x14ac:dyDescent="0.25">
      <c r="D152" s="61" t="s">
        <v>142</v>
      </c>
      <c r="E152" s="61" t="s">
        <v>104</v>
      </c>
      <c r="F152" s="61" t="s">
        <v>103</v>
      </c>
      <c r="G152" s="61" t="s">
        <v>127</v>
      </c>
      <c r="H152" s="61" t="s">
        <v>128</v>
      </c>
      <c r="I152" s="61" t="s">
        <v>129</v>
      </c>
      <c r="J152" s="61" t="s">
        <v>130</v>
      </c>
      <c r="K152" s="61" t="s">
        <v>131</v>
      </c>
      <c r="L152" s="61" t="s">
        <v>132</v>
      </c>
      <c r="M152" s="61" t="s">
        <v>133</v>
      </c>
      <c r="N152" s="61" t="s">
        <v>134</v>
      </c>
    </row>
    <row r="153" spans="4:15" ht="20.100000000000001" customHeight="1" x14ac:dyDescent="0.25">
      <c r="D153" s="1" t="str">
        <f>TEXT('Input - Site'!$E$12, "mmmm yyyy")</f>
        <v>January 2024</v>
      </c>
      <c r="E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3" s="2" t="s">
        <v>113</v>
      </c>
    </row>
    <row r="154" spans="4:15" ht="20.100000000000001" customHeight="1" x14ac:dyDescent="0.25">
      <c r="D154" s="1" t="str">
        <f>TEXT(EDATE('Input - Site'!$E$12,1), "mmmm yyyy")</f>
        <v>February 2024</v>
      </c>
      <c r="E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4" s="2" t="s">
        <v>113</v>
      </c>
    </row>
    <row r="155" spans="4:15" ht="20.100000000000001" customHeight="1" x14ac:dyDescent="0.25">
      <c r="D155" s="1" t="str">
        <f>TEXT(EDATE('Input - Site'!$E$12,2), "mmmm yyyy")</f>
        <v>March 2024</v>
      </c>
      <c r="E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5" s="2" t="s">
        <v>113</v>
      </c>
    </row>
    <row r="156" spans="4:15" ht="20.100000000000001" customHeight="1" x14ac:dyDescent="0.25">
      <c r="D156" s="1" t="str">
        <f>TEXT(EDATE('Input - Site'!$E$12,3), "mmmm yyyy")</f>
        <v>April 2024</v>
      </c>
      <c r="E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6" s="2" t="s">
        <v>113</v>
      </c>
    </row>
    <row r="157" spans="4:15" ht="20.100000000000001" customHeight="1" x14ac:dyDescent="0.25">
      <c r="D157" s="1" t="str">
        <f>TEXT(EDATE('Input - Site'!$E$12,4), "mmmm yyyy")</f>
        <v>May 2024</v>
      </c>
      <c r="E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7" s="2" t="s">
        <v>113</v>
      </c>
    </row>
    <row r="158" spans="4:15" ht="20.100000000000001" customHeight="1" x14ac:dyDescent="0.25">
      <c r="D158" s="1" t="str">
        <f>TEXT(EDATE('Input - Site'!$E$12,5), "mmmm yyyy")</f>
        <v>June 2024</v>
      </c>
      <c r="E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8" s="2" t="s">
        <v>113</v>
      </c>
    </row>
    <row r="159" spans="4:15" ht="20.100000000000001" customHeight="1" x14ac:dyDescent="0.25">
      <c r="D159" s="1" t="str">
        <f>TEXT(EDATE('Input - Site'!$E$12,6), "mmmm yyyy")</f>
        <v>July 2024</v>
      </c>
      <c r="E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9" s="2" t="s">
        <v>113</v>
      </c>
    </row>
    <row r="160" spans="4:15" ht="20.100000000000001" customHeight="1" x14ac:dyDescent="0.25">
      <c r="D160" s="1" t="str">
        <f>TEXT(EDATE('Input - Site'!$E$12,7), "mmmm yyyy")</f>
        <v>August 2024</v>
      </c>
      <c r="E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0" s="2" t="s">
        <v>113</v>
      </c>
    </row>
    <row r="161" spans="4:15" ht="20.100000000000001" customHeight="1" x14ac:dyDescent="0.25">
      <c r="D161" s="1" t="str">
        <f>TEXT(EDATE('Input - Site'!$E$12,8), "mmmm yyyy")</f>
        <v>September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1" s="2" t="s">
        <v>113</v>
      </c>
    </row>
    <row r="162" spans="4:15" ht="20.100000000000001" customHeight="1" x14ac:dyDescent="0.25">
      <c r="D162" s="1" t="str">
        <f>TEXT(EDATE('Input - Site'!$E$12,9), "mmmm yyyy")</f>
        <v>October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2" s="2" t="s">
        <v>113</v>
      </c>
    </row>
    <row r="163" spans="4:15" ht="20.100000000000001" customHeight="1" x14ac:dyDescent="0.25">
      <c r="D163" s="1" t="str">
        <f>TEXT(EDATE('Input - Site'!$E$12,10), "mmmm yyyy")</f>
        <v>November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3" s="2" t="s">
        <v>113</v>
      </c>
    </row>
    <row r="164" spans="4:15" ht="20.100000000000001" customHeight="1" x14ac:dyDescent="0.25">
      <c r="D164" s="1" t="str">
        <f>TEXT(EDATE('Input - Site'!$E$12,11), "mmmm yyyy")</f>
        <v>December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4" s="2" t="s">
        <v>113</v>
      </c>
    </row>
    <row r="165" spans="4:15" ht="20.100000000000001" customHeight="1" x14ac:dyDescent="0.25">
      <c r="L165" s="2"/>
      <c r="M165" s="2"/>
      <c r="N165" s="2"/>
      <c r="O165" s="2"/>
    </row>
    <row r="166" spans="4:15" x14ac:dyDescent="0.25">
      <c r="L166" s="2"/>
      <c r="M166" s="2"/>
      <c r="N166" s="2"/>
      <c r="O166" s="2"/>
    </row>
    <row r="167" spans="4:15" ht="18.75" x14ac:dyDescent="0.25">
      <c r="D167" s="47" t="s">
        <v>220</v>
      </c>
      <c r="L167" s="2"/>
      <c r="M167" s="2"/>
      <c r="N167" s="2"/>
      <c r="O167" s="2"/>
    </row>
    <row r="169" spans="4:15" x14ac:dyDescent="0.25">
      <c r="D169" s="1" t="s">
        <v>221</v>
      </c>
      <c r="E169" s="38" t="s">
        <v>111</v>
      </c>
      <c r="F169" s="2" t="s">
        <v>8</v>
      </c>
      <c r="L169" s="2"/>
      <c r="M169" s="2"/>
      <c r="N169" s="2"/>
      <c r="O169" s="2"/>
    </row>
    <row r="171" spans="4:15" x14ac:dyDescent="0.25">
      <c r="D171" s="61" t="s">
        <v>16</v>
      </c>
      <c r="E171" s="61" t="s">
        <v>222</v>
      </c>
      <c r="L171" s="2"/>
      <c r="M171" s="2"/>
      <c r="N171" s="2"/>
      <c r="O171" s="2"/>
    </row>
    <row r="172" spans="4:15" x14ac:dyDescent="0.25">
      <c r="D172" s="1" t="s">
        <v>110</v>
      </c>
      <c r="E172" s="110">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2" t="s">
        <v>14</v>
      </c>
      <c r="L172" s="2"/>
      <c r="M172" s="2"/>
      <c r="N172" s="2"/>
      <c r="O172" s="2"/>
    </row>
    <row r="173" spans="4:15" x14ac:dyDescent="0.25">
      <c r="D173" s="1" t="s">
        <v>223</v>
      </c>
      <c r="E173" s="110">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2" t="s">
        <v>14</v>
      </c>
      <c r="L173" s="2"/>
      <c r="M173" s="2"/>
      <c r="N173" s="2"/>
      <c r="O173" s="2"/>
    </row>
    <row r="174" spans="4:15" x14ac:dyDescent="0.25">
      <c r="L174" s="2"/>
      <c r="M174" s="2"/>
      <c r="N174" s="2"/>
      <c r="O174" s="2"/>
    </row>
    <row r="176" spans="4:15" x14ac:dyDescent="0.25">
      <c r="D176" s="1" t="s">
        <v>233</v>
      </c>
      <c r="E176" s="38" t="s">
        <v>236</v>
      </c>
      <c r="F176" s="2" t="s">
        <v>8</v>
      </c>
      <c r="L176" s="2"/>
      <c r="M176" s="2"/>
      <c r="N176" s="2"/>
      <c r="O176" s="2"/>
    </row>
    <row r="177" spans="5:6" x14ac:dyDescent="0.25">
      <c r="E177" s="38" t="s">
        <v>94</v>
      </c>
      <c r="F177" s="2" t="s">
        <v>8</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2"/>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11" priority="32" operator="lessThan">
      <formula>0</formula>
    </cfRule>
  </conditionalFormatting>
  <conditionalFormatting sqref="F245:F246">
    <cfRule type="cellIs" dxfId="10" priority="23" operator="lessThan">
      <formula>0</formula>
    </cfRule>
  </conditionalFormatting>
  <conditionalFormatting sqref="F250:F251">
    <cfRule type="cellIs" dxfId="9" priority="22" operator="lessThan">
      <formula>0</formula>
    </cfRule>
  </conditionalFormatting>
  <conditionalFormatting sqref="F255:F256">
    <cfRule type="cellIs" dxfId="8" priority="21" operator="lessThan">
      <formula>0</formula>
    </cfRule>
  </conditionalFormatting>
  <conditionalFormatting sqref="F279:F280">
    <cfRule type="cellIs" dxfId="7" priority="15" operator="lessThan">
      <formula>0</formula>
    </cfRule>
  </conditionalFormatting>
  <conditionalFormatting sqref="F284:F285">
    <cfRule type="cellIs" dxfId="6" priority="14" operator="lessThan">
      <formula>0</formula>
    </cfRule>
  </conditionalFormatting>
  <conditionalFormatting sqref="F289:F290">
    <cfRule type="cellIs" dxfId="5" priority="13" operator="lessThan">
      <formula>0</formula>
    </cfRule>
  </conditionalFormatting>
  <conditionalFormatting sqref="H116:O116 I117:O117">
    <cfRule type="cellIs" dxfId="4" priority="3" operator="lessThan">
      <formula>0</formula>
    </cfRule>
  </conditionalFormatting>
  <conditionalFormatting sqref="I106:O107">
    <cfRule type="cellIs" dxfId="3" priority="4" operator="lessThan">
      <formula>0</formula>
    </cfRule>
  </conditionalFormatting>
  <conditionalFormatting sqref="I122:O123">
    <cfRule type="cellIs" dxfId="2" priority="9" operator="lessThan">
      <formula>0</formula>
    </cfRule>
  </conditionalFormatting>
  <conditionalFormatting sqref="I145:O145">
    <cfRule type="cellIs" dxfId="1" priority="1" operator="lessThan">
      <formula>0</formula>
    </cfRule>
  </conditionalFormatting>
  <conditionalFormatting sqref="P43:R43">
    <cfRule type="cellIs" dxfId="0" priority="33" operator="lessThan">
      <formula>0</formula>
    </cfRule>
  </conditionalFormatting>
  <dataValidations disablePrompts="1"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69"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77" xr:uid="{964CB593-5D4D-4584-9033-0C54780AC43E}">
      <formula1>INDIRECT("Table_SourceData_PastureBeef_IrrigationMethods[Irrigation method]")</formula1>
    </dataValidation>
    <dataValidation type="list" allowBlank="1" showInputMessage="1" showErrorMessage="1" sqref="E176"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1"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A109" zoomScale="85" zoomScaleNormal="85" workbookViewId="0">
      <selection activeCell="E128" sqref="E12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'Input - Pasture Beef'!$E$9</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t="str">
        <f>'Input - Pasture Beef'!$E$104</f>
        <v>Winter</v>
      </c>
      <c r="E21" s="51">
        <f>'Input - Pasture Beef'!$E$107</f>
        <v>0.9</v>
      </c>
      <c r="F21" s="51">
        <f>'Input - Pasture Beef'!$F$107</f>
        <v>0.5</v>
      </c>
      <c r="G21" s="51">
        <f>'Input - Pasture Beef'!$G$107</f>
        <v>0.5</v>
      </c>
      <c r="H21" s="2" t="s">
        <v>80</v>
      </c>
      <c r="U21" s="50" t="s">
        <v>105</v>
      </c>
      <c r="V21" s="115" t="s">
        <v>128</v>
      </c>
      <c r="W21" s="115" t="s">
        <v>129</v>
      </c>
      <c r="X21" s="115" t="s">
        <v>130</v>
      </c>
    </row>
    <row r="22" spans="1:34" ht="20.100000000000001" customHeight="1" x14ac:dyDescent="0.25">
      <c r="A22" s="17"/>
      <c r="U22" s="51" t="str">
        <f>TEXT(EDATE('Input - Pasture Beef'!$D$117,0), "mmmm") &amp; ", " &amp; TEXT(EDATE('Input - Pasture Beef'!$D$118,0), "mmmm") &amp; ", " &amp; TEXT(EDATE('Input - Pasture Beef'!$D$119,0), "mmmm")</f>
        <v>August, September, October</v>
      </c>
      <c r="V22" s="51">
        <f>'Input - Pasture Beef'!$E$120</f>
        <v>0.75</v>
      </c>
      <c r="W22" s="51">
        <f>'Input - Pasture Beef'!$F$120</f>
        <v>0.75</v>
      </c>
      <c r="X22" s="51">
        <f>'Input - Pasture Beef'!$G$120</f>
        <v>0.75</v>
      </c>
      <c r="Y22" s="2" t="s">
        <v>80</v>
      </c>
    </row>
    <row r="23" spans="1:34" ht="20.100000000000001" customHeight="1" x14ac:dyDescent="0.25">
      <c r="A23" s="17"/>
      <c r="D23" s="96" t="s">
        <v>202</v>
      </c>
      <c r="U23" s="51" t="str">
        <f>TEXT(EDATE('Input - Pasture Beef'!$D$119,1), "mmmm") &amp; ", " &amp; TEXT(EDATE('Input - Pasture Beef'!$D$119,2), "mmmm") &amp; ", " &amp; TEXT(EDATE('Input - Pasture Beef'!$D$119,3), "mmmm")</f>
        <v>November, December, January</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str" cm="1">
        <f t="array" ref="E26">_xlfn.IFS(D21=D26, "Calving season", D21=D29, "Season after calving", D21=D27, "", D21=D28, "")</f>
        <v>Season after calving</v>
      </c>
      <c r="F26" s="51" cm="1">
        <f t="array" ref="F26">_xlfn.IFS(E26="Calving season", $J$14, E26="Season after calving", $J$15, E26="", "")</f>
        <v>1.1000000000000001</v>
      </c>
      <c r="G26" s="51">
        <v>1</v>
      </c>
      <c r="H26" s="51">
        <v>1</v>
      </c>
      <c r="I26" s="51">
        <v>1</v>
      </c>
      <c r="J26" s="51" cm="1">
        <f t="array" ref="J26">IFERROR(EntericMethane_PastureBeef_Equations.VEERG_3_2_1_1__4_AdditionalIntakeForMilkProduction(E$21,$F26), 1)</f>
        <v>1.0900000000000001</v>
      </c>
      <c r="K26" s="51" cm="1">
        <f t="array" ref="K26">IFERROR(EntericMethane_PastureBeef_Equations.VEERG_3_2_1_1__4_AdditionalIntakeForMilkProduction(F$21,$F26), 1)</f>
        <v>1.05</v>
      </c>
      <c r="L26" s="51" cm="1">
        <f t="array" ref="L26">IFERROR(EntericMethane_PastureBeef_Equations.VEERG_3_2_1_1__4_AdditionalIntakeForMilkProduction(G$21,$F26), 1)</f>
        <v>1.05</v>
      </c>
      <c r="M26" s="51">
        <v>1</v>
      </c>
      <c r="N26" s="51">
        <v>1</v>
      </c>
      <c r="O26" s="51">
        <v>1</v>
      </c>
      <c r="P26" s="51">
        <v>1</v>
      </c>
      <c r="Q26" s="2" t="str">
        <f>$E$11</f>
        <v>fraction</v>
      </c>
      <c r="U26" s="95" t="s">
        <v>214</v>
      </c>
    </row>
    <row r="27" spans="1:34" ht="20.100000000000001" customHeight="1" x14ac:dyDescent="0.25">
      <c r="D27" s="51" t="s">
        <v>136</v>
      </c>
      <c r="E27" s="51" t="str" cm="1">
        <f t="array" ref="E27">_xlfn.IFS(D21=D27, "Calving season", D21=D26, "Season after calving", D21=D28, "", D21=D29, "")</f>
        <v/>
      </c>
      <c r="F27" s="51" t="str" cm="1">
        <f t="array" ref="F27">_xlfn.IFS(E27="Calving season", $J$14, E27="Season after calving", $J$15, E27="", "")</f>
        <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str" cm="1">
        <f t="array" ref="E28">_xlfn.IFS(D21=D28, "Calving season", D21=D27, "Season after calving", D21=D29, "", D21=D26, "")</f>
        <v/>
      </c>
      <c r="F28" s="51" t="str" cm="1">
        <f t="array" ref="F28">_xlfn.IFS(E28="Calving season", $J$14, E28="Season after calving", $J$15, E28="", "")</f>
        <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Season after calving</v>
      </c>
      <c r="W28" s="51" cm="1">
        <f t="array" ref="W28">_xlfn.IFS(V28="Calving season", $J$14, V28="Season after calving", $J$15, V28="", "")</f>
        <v>1.1000000000000001</v>
      </c>
      <c r="X28" s="51">
        <v>1</v>
      </c>
      <c r="Y28" s="51">
        <v>1</v>
      </c>
      <c r="Z28" s="51">
        <v>1</v>
      </c>
      <c r="AA28" s="51" cm="1">
        <f t="array" ref="AA28">IFERROR(EntericMethane_PastureBeef_Equations.VEERG_3_2_1_1__4_AdditionalIntakeForMilkProduction(V$22,$W28), 1)</f>
        <v>1.0750000000000002</v>
      </c>
      <c r="AB28" s="51" cm="1">
        <f t="array" ref="AB28">IFERROR(EntericMethane_PastureBeef_Equations.VEERG_3_2_1_1__4_AdditionalIntakeForMilkProduction(W$22,$W28), 1)</f>
        <v>1.0750000000000002</v>
      </c>
      <c r="AC28" s="51" cm="1">
        <f t="array" ref="AC28">IFERROR(EntericMethane_PastureBeef_Equations.VEERG_3_2_1_1__4_AdditionalIntakeForMilkProduction(X$22,$W28), 1)</f>
        <v>1.0750000000000002</v>
      </c>
      <c r="AD28" s="51">
        <v>1</v>
      </c>
      <c r="AE28" s="51">
        <v>1</v>
      </c>
      <c r="AF28" s="51">
        <v>1</v>
      </c>
      <c r="AG28" s="51">
        <v>1</v>
      </c>
      <c r="AH28" s="2" t="str">
        <f>$E$11</f>
        <v>fraction</v>
      </c>
    </row>
    <row r="29" spans="1:34" ht="20.100000000000001" customHeight="1" x14ac:dyDescent="0.25">
      <c r="D29" s="51" t="s">
        <v>138</v>
      </c>
      <c r="E29" s="51" t="str" cm="1">
        <f t="array" ref="E29">_xlfn.IFS(D21=D29, "Calving season", D21=D28, "Season after calving", D21=D26, "", D21=D27, "")</f>
        <v>Calving season</v>
      </c>
      <c r="F29" s="51" cm="1">
        <f t="array" ref="F29">_xlfn.IFS(E29="Calving season", $J$14, E29="Season after calving", $J$15, E29="", "")</f>
        <v>1.3</v>
      </c>
      <c r="G29" s="51">
        <v>1</v>
      </c>
      <c r="H29" s="51">
        <v>1</v>
      </c>
      <c r="I29" s="51">
        <v>1</v>
      </c>
      <c r="J29" s="51" cm="1">
        <f t="array" ref="J29">IFERROR(EntericMethane_PastureBeef_Equations.VEERG_3_2_1_1__4_AdditionalIntakeForMilkProduction(E$21,$F29), 1)</f>
        <v>1.27</v>
      </c>
      <c r="K29" s="51" cm="1">
        <f t="array" ref="K29">IFERROR(EntericMethane_PastureBeef_Equations.VEERG_3_2_1_1__4_AdditionalIntakeForMilkProduction(F$21,$F29), 1)</f>
        <v>1.1499999999999999</v>
      </c>
      <c r="L29" s="51" cm="1">
        <f t="array" ref="L29">IFERROR(EntericMethane_PastureBeef_Equations.VEERG_3_2_1_1__4_AdditionalIntakeForMilkProduction(G$21,$F29), 1)</f>
        <v>1.1499999999999999</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Calving season</v>
      </c>
      <c r="W35" s="51" cm="1">
        <f t="array" ref="W35">_xlfn.IFS(V35="Calving season", $J$14, V35="Season after calving", $J$15, V35="", "")</f>
        <v>1.3</v>
      </c>
      <c r="X35" s="51">
        <v>1</v>
      </c>
      <c r="Y35" s="51">
        <v>1</v>
      </c>
      <c r="Z35" s="51">
        <v>1</v>
      </c>
      <c r="AA35" s="51" cm="1">
        <f t="array" ref="AA35">IFERROR(EntericMethane_PastureBeef_Equations.VEERG_3_2_1_1__4_AdditionalIntakeForMilkProduction(V$22,$W35), 1)</f>
        <v>1.2250000000000001</v>
      </c>
      <c r="AB35" s="51" cm="1">
        <f t="array" ref="AB35">IFERROR(EntericMethane_PastureBeef_Equations.VEERG_3_2_1_1__4_AdditionalIntakeForMilkProduction(W$22,$W35), 1)</f>
        <v>1.2250000000000001</v>
      </c>
      <c r="AC35" s="51" cm="1">
        <f t="array" ref="AC35">IFERROR(EntericMethane_PastureBeef_Equations.VEERG_3_2_1_1__4_AdditionalIntakeForMilkProduction(X$22,$W35), 1)</f>
        <v>1.2250000000000001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Calving season</v>
      </c>
      <c r="W36" s="51" cm="1">
        <f t="array" ref="W36">_xlfn.IFS(V36="Calving season", $J$14, V36="Season after calving", $J$15, V36="", "")</f>
        <v>1.3</v>
      </c>
      <c r="X36" s="51">
        <v>1</v>
      </c>
      <c r="Y36" s="51">
        <v>1</v>
      </c>
      <c r="Z36" s="51">
        <v>1</v>
      </c>
      <c r="AA36" s="51" cm="1">
        <f t="array" ref="AA36">IFERROR(EntericMethane_PastureBeef_Equations.VEERG_3_2_1_1__4_AdditionalIntakeForMilkProduction(V$22,$W36), 1)</f>
        <v>1.2250000000000001</v>
      </c>
      <c r="AB36" s="51" cm="1">
        <f t="array" ref="AB36">IFERROR(EntericMethane_PastureBeef_Equations.VEERG_3_2_1_1__4_AdditionalIntakeForMilkProduction(W$22,$W36), 1)</f>
        <v>1.2250000000000001</v>
      </c>
      <c r="AC36" s="51" cm="1">
        <f t="array" ref="AC36">IFERROR(EntericMethane_PastureBeef_Equations.VEERG_3_2_1_1__4_AdditionalIntakeForMilkProduction(X$22,$W36), 1)</f>
        <v>1.2250000000000001</v>
      </c>
      <c r="AD36" s="51">
        <v>1</v>
      </c>
      <c r="AE36" s="51">
        <v>1</v>
      </c>
      <c r="AF36" s="51">
        <v>1</v>
      </c>
      <c r="AG36" s="51">
        <v>1</v>
      </c>
      <c r="AH36" s="2" t="str">
        <f t="shared" si="1"/>
        <v>fraction</v>
      </c>
    </row>
    <row r="37" spans="4:34" ht="20.100000000000001" customHeight="1" x14ac:dyDescent="0.25">
      <c r="U37" s="51" t="str">
        <f>TEXT(EDATE('Input - Site'!$E$12,9), "mmmm")</f>
        <v>October</v>
      </c>
      <c r="V37" s="51" t="str" cm="1">
        <f t="array" ref="V37">IFERROR(_xlfn.IFS(SUMPRODUCT(ISNUMBER(SEARCH(TRIM(_xlfn.TEXTSPLIT($U$22,",")),U37))*1)&gt;0,"Calving season",SUMPRODUCT(ISNUMBER(SEARCH(TRIM(_xlfn.TEXTSPLIT($U$23,",")),U37))*1)&gt;0,"Season after calving"), "")</f>
        <v>Calving season</v>
      </c>
      <c r="W37" s="51" cm="1">
        <f t="array" ref="W37">_xlfn.IFS(V37="Calving season", $J$14, V37="Season after calving", $J$15, V37="", "")</f>
        <v>1.3</v>
      </c>
      <c r="X37" s="51">
        <v>1</v>
      </c>
      <c r="Y37" s="51">
        <v>1</v>
      </c>
      <c r="Z37" s="51">
        <v>1</v>
      </c>
      <c r="AA37" s="51" cm="1">
        <f t="array" ref="AA37">IFERROR(EntericMethane_PastureBeef_Equations.VEERG_3_2_1_1__4_AdditionalIntakeForMilkProduction(V$22,$W37), 1)</f>
        <v>1.2250000000000001</v>
      </c>
      <c r="AB37" s="51" cm="1">
        <f t="array" ref="AB37">IFERROR(EntericMethane_PastureBeef_Equations.VEERG_3_2_1_1__4_AdditionalIntakeForMilkProduction(W$22,$W37), 1)</f>
        <v>1.2250000000000001</v>
      </c>
      <c r="AC37" s="51" cm="1">
        <f t="array" ref="AC37">IFERROR(EntericMethane_PastureBeef_Equations.VEERG_3_2_1_1__4_AdditionalIntakeForMilkProduction(X$22,$W37), 1)</f>
        <v>1.2250000000000001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Season after calving</v>
      </c>
      <c r="W38" s="51" cm="1">
        <f t="array" ref="W38">_xlfn.IFS(V38="Calving season", $J$14, V38="Season after calving", $J$15, V38="", "")</f>
        <v>1.1000000000000001</v>
      </c>
      <c r="X38" s="51">
        <v>1</v>
      </c>
      <c r="Y38" s="51">
        <v>1</v>
      </c>
      <c r="Z38" s="51">
        <v>1</v>
      </c>
      <c r="AA38" s="51" cm="1">
        <f t="array" ref="AA38">IFERROR(EntericMethane_PastureBeef_Equations.VEERG_3_2_1_1__4_AdditionalIntakeForMilkProduction(V$22,$W38), 1)</f>
        <v>1.0750000000000002</v>
      </c>
      <c r="AB38" s="51" cm="1">
        <f t="array" ref="AB38">IFERROR(EntericMethane_PastureBeef_Equations.VEERG_3_2_1_1__4_AdditionalIntakeForMilkProduction(W$22,$W38), 1)</f>
        <v>1.0750000000000002</v>
      </c>
      <c r="AC38" s="51" cm="1">
        <f t="array" ref="AC38">IFERROR(EntericMethane_PastureBeef_Equations.VEERG_3_2_1_1__4_AdditionalIntakeForMilkProduction(X$22,$W38), 1)</f>
        <v>1.0750000000000002</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Season after calving</v>
      </c>
      <c r="W39" s="51" cm="1">
        <f t="array" ref="W39">_xlfn.IFS(V39="Calving season", $J$14, V39="Season after calving", $J$15, V39="", "")</f>
        <v>1.1000000000000001</v>
      </c>
      <c r="X39" s="51">
        <v>1</v>
      </c>
      <c r="Y39" s="51">
        <v>1</v>
      </c>
      <c r="Z39" s="51">
        <v>1</v>
      </c>
      <c r="AA39" s="51" cm="1">
        <f t="array" ref="AA39">IFERROR(EntericMethane_PastureBeef_Equations.VEERG_3_2_1_1__4_AdditionalIntakeForMilkProduction(V$22,$W39), 1)</f>
        <v>1.0750000000000002</v>
      </c>
      <c r="AB39" s="51" cm="1">
        <f t="array" ref="AB39">IFERROR(EntericMethane_PastureBeef_Equations.VEERG_3_2_1_1__4_AdditionalIntakeForMilkProduction(W$22,$W39), 1)</f>
        <v>1.0750000000000002</v>
      </c>
      <c r="AC39" s="51" cm="1">
        <f t="array" ref="AC39">IFERROR(EntericMethane_PastureBeef_Equations.VEERG_3_2_1_1__4_AdditionalIntakeForMilkProduction(X$22,$W39), 1)</f>
        <v>1.0750000000000002</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 "mmmm yyyy")</f>
        <v>January 2024</v>
      </c>
      <c r="V44" s="51">
        <f>'Input - Pasture Beef'!E66</f>
        <v>380</v>
      </c>
      <c r="W44" s="51">
        <f>'Input - Pasture Beef'!F66</f>
        <v>780</v>
      </c>
      <c r="X44" s="51">
        <f>'Input - Pasture Beef'!G66</f>
        <v>300</v>
      </c>
      <c r="Y44" s="51">
        <f>'Input - Pasture Beef'!H66</f>
        <v>450</v>
      </c>
      <c r="Z44" s="51">
        <f>'Input - Pasture Beef'!I66</f>
        <v>530</v>
      </c>
      <c r="AA44" s="51">
        <f>'Input - Pasture Beef'!J66</f>
        <v>530</v>
      </c>
      <c r="AB44" s="51">
        <f>'Input - Pasture Beef'!K66</f>
        <v>340</v>
      </c>
      <c r="AC44" s="51">
        <f>'Input - Pasture Beef'!L66</f>
        <v>470</v>
      </c>
      <c r="AD44" s="51">
        <f>'Input - Pasture Beef'!M66</f>
        <v>470</v>
      </c>
      <c r="AE44" s="51">
        <f>'Input - Pasture Beef'!N66</f>
        <v>470</v>
      </c>
      <c r="AF44" s="2" t="s">
        <v>106</v>
      </c>
    </row>
    <row r="45" spans="4:34" ht="20.100000000000001" customHeight="1" x14ac:dyDescent="0.25">
      <c r="D45" s="96" t="s">
        <v>231</v>
      </c>
      <c r="U45" s="51" t="str">
        <f>TEXT(EDATE('Input - Site'!$E$12,1), "mmmm yyyy")</f>
        <v>February 2024</v>
      </c>
      <c r="V45" s="51">
        <f>'Input - Pasture Beef'!E67</f>
        <v>380</v>
      </c>
      <c r="W45" s="51">
        <f>'Input - Pasture Beef'!F67</f>
        <v>780</v>
      </c>
      <c r="X45" s="51">
        <f>'Input - Pasture Beef'!G67</f>
        <v>300</v>
      </c>
      <c r="Y45" s="51">
        <f>'Input - Pasture Beef'!H67</f>
        <v>450</v>
      </c>
      <c r="Z45" s="51">
        <f>'Input - Pasture Beef'!I67</f>
        <v>530</v>
      </c>
      <c r="AA45" s="51">
        <f>'Input - Pasture Beef'!J67</f>
        <v>530</v>
      </c>
      <c r="AB45" s="51">
        <f>'Input - Pasture Beef'!K67</f>
        <v>340</v>
      </c>
      <c r="AC45" s="51">
        <f>'Input - Pasture Beef'!L67</f>
        <v>470</v>
      </c>
      <c r="AD45" s="51">
        <f>'Input - Pasture Beef'!M67</f>
        <v>470</v>
      </c>
      <c r="AE45" s="51">
        <f>'Input - Pasture Beef'!N67</f>
        <v>470</v>
      </c>
      <c r="AF45" s="2" t="s">
        <v>106</v>
      </c>
    </row>
    <row r="46" spans="4:34" ht="20.100000000000001" customHeight="1" x14ac:dyDescent="0.25">
      <c r="D46" s="95" t="s">
        <v>206</v>
      </c>
      <c r="U46" s="51" t="str">
        <f>TEXT(EDATE('Input - Site'!$E$12,2), "mmmm yyyy")</f>
        <v>March 2024</v>
      </c>
      <c r="V46" s="51">
        <f>'Input - Pasture Beef'!E68</f>
        <v>100</v>
      </c>
      <c r="W46" s="51">
        <f>'Input - Pasture Beef'!F68</f>
        <v>680</v>
      </c>
      <c r="X46" s="51">
        <f>'Input - Pasture Beef'!G68</f>
        <v>80</v>
      </c>
      <c r="Y46" s="51">
        <f>'Input - Pasture Beef'!H68</f>
        <v>320</v>
      </c>
      <c r="Z46" s="51">
        <f>'Input - Pasture Beef'!I68</f>
        <v>480</v>
      </c>
      <c r="AA46" s="51">
        <f>'Input - Pasture Beef'!J68</f>
        <v>480</v>
      </c>
      <c r="AB46" s="51">
        <f>'Input - Pasture Beef'!K68</f>
        <v>100</v>
      </c>
      <c r="AC46" s="51">
        <f>'Input - Pasture Beef'!L68</f>
        <v>340</v>
      </c>
      <c r="AD46" s="51">
        <f>'Input - Pasture Beef'!M68</f>
        <v>340</v>
      </c>
      <c r="AE46" s="51">
        <f>'Input - Pasture Beef'!N68</f>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 yyyy")</f>
        <v>April 2024</v>
      </c>
      <c r="V47" s="51">
        <f>'Input - Pasture Beef'!E69</f>
        <v>100</v>
      </c>
      <c r="W47" s="51">
        <f>'Input - Pasture Beef'!F69</f>
        <v>680</v>
      </c>
      <c r="X47" s="51">
        <f>'Input - Pasture Beef'!G69</f>
        <v>80</v>
      </c>
      <c r="Y47" s="51">
        <f>'Input - Pasture Beef'!H69</f>
        <v>320</v>
      </c>
      <c r="Z47" s="51">
        <f>'Input - Pasture Beef'!I69</f>
        <v>480</v>
      </c>
      <c r="AA47" s="51">
        <f>'Input - Pasture Beef'!J69</f>
        <v>480</v>
      </c>
      <c r="AB47" s="51">
        <f>'Input - Pasture Beef'!K69</f>
        <v>100</v>
      </c>
      <c r="AC47" s="51">
        <f>'Input - Pasture Beef'!L69</f>
        <v>340</v>
      </c>
      <c r="AD47" s="51">
        <f>'Input - Pasture Beef'!M69</f>
        <v>340</v>
      </c>
      <c r="AE47" s="51">
        <f>'Input - Pasture Beef'!N69</f>
        <v>340</v>
      </c>
      <c r="AF47" s="2" t="s">
        <v>106</v>
      </c>
    </row>
    <row r="48" spans="4:34" ht="20.100000000000001" customHeight="1" x14ac:dyDescent="0.25">
      <c r="D48" s="51" t="str">
        <f>'Input - Pasture Beef'!D60</f>
        <v>Spring</v>
      </c>
      <c r="E48" s="51">
        <f>'Input - Pasture Beef'!E60</f>
        <v>340</v>
      </c>
      <c r="F48" s="51">
        <f>'Input - Pasture Beef'!F60</f>
        <v>800</v>
      </c>
      <c r="G48" s="51">
        <f>'Input - Pasture Beef'!G60</f>
        <v>260</v>
      </c>
      <c r="H48" s="51">
        <f>'Input - Pasture Beef'!H60</f>
        <v>420</v>
      </c>
      <c r="I48" s="51">
        <f>'Input - Pasture Beef'!I60</f>
        <v>550</v>
      </c>
      <c r="J48" s="51">
        <f>'Input - Pasture Beef'!J60</f>
        <v>550</v>
      </c>
      <c r="K48" s="51">
        <f>'Input - Pasture Beef'!K60</f>
        <v>300</v>
      </c>
      <c r="L48" s="51">
        <f>'Input - Pasture Beef'!L60</f>
        <v>480</v>
      </c>
      <c r="M48" s="51">
        <f>'Input - Pasture Beef'!M60</f>
        <v>480</v>
      </c>
      <c r="N48" s="51">
        <f>'Input - Pasture Beef'!N60</f>
        <v>480</v>
      </c>
      <c r="O48" s="2" t="s">
        <v>106</v>
      </c>
      <c r="P48" s="2"/>
      <c r="Q48" s="2"/>
      <c r="U48" s="51" t="str">
        <f>TEXT(EDATE('Input - Site'!$E$12,4), "mmmm yyyy")</f>
        <v>May 2024</v>
      </c>
      <c r="V48" s="51">
        <f>'Input - Pasture Beef'!E70</f>
        <v>100</v>
      </c>
      <c r="W48" s="51">
        <f>'Input - Pasture Beef'!F70</f>
        <v>680</v>
      </c>
      <c r="X48" s="51">
        <f>'Input - Pasture Beef'!G70</f>
        <v>80</v>
      </c>
      <c r="Y48" s="51">
        <f>'Input - Pasture Beef'!H70</f>
        <v>320</v>
      </c>
      <c r="Z48" s="51">
        <f>'Input - Pasture Beef'!I70</f>
        <v>480</v>
      </c>
      <c r="AA48" s="51">
        <f>'Input - Pasture Beef'!J70</f>
        <v>480</v>
      </c>
      <c r="AB48" s="51">
        <f>'Input - Pasture Beef'!K70</f>
        <v>100</v>
      </c>
      <c r="AC48" s="51">
        <f>'Input - Pasture Beef'!L70</f>
        <v>340</v>
      </c>
      <c r="AD48" s="51">
        <f>'Input - Pasture Beef'!M70</f>
        <v>340</v>
      </c>
      <c r="AE48" s="51">
        <f>'Input - Pasture Beef'!N70</f>
        <v>340</v>
      </c>
      <c r="AF48" s="2" t="s">
        <v>106</v>
      </c>
    </row>
    <row r="49" spans="4:34" ht="20.100000000000001" customHeight="1" x14ac:dyDescent="0.25">
      <c r="D49" s="51" t="str">
        <f>'Input - Pasture Beef'!D61</f>
        <v>Summer</v>
      </c>
      <c r="E49" s="51">
        <f>'Input - Pasture Beef'!E61</f>
        <v>380</v>
      </c>
      <c r="F49" s="51">
        <f>'Input - Pasture Beef'!F61</f>
        <v>780</v>
      </c>
      <c r="G49" s="51">
        <f>'Input - Pasture Beef'!G61</f>
        <v>300</v>
      </c>
      <c r="H49" s="51">
        <f>'Input - Pasture Beef'!H61</f>
        <v>450</v>
      </c>
      <c r="I49" s="51">
        <f>'Input - Pasture Beef'!I61</f>
        <v>530</v>
      </c>
      <c r="J49" s="51">
        <f>'Input - Pasture Beef'!J61</f>
        <v>530</v>
      </c>
      <c r="K49" s="51">
        <f>'Input - Pasture Beef'!K61</f>
        <v>340</v>
      </c>
      <c r="L49" s="51">
        <f>'Input - Pasture Beef'!L61</f>
        <v>470</v>
      </c>
      <c r="M49" s="51">
        <f>'Input - Pasture Beef'!M61</f>
        <v>470</v>
      </c>
      <c r="N49" s="51">
        <f>'Input - Pasture Beef'!N61</f>
        <v>470</v>
      </c>
      <c r="O49" s="2" t="s">
        <v>106</v>
      </c>
      <c r="P49" s="2"/>
      <c r="Q49" s="2"/>
      <c r="U49" s="51" t="str">
        <f>TEXT(EDATE('Input - Site'!$E$12,5), "mmmm yyyy")</f>
        <v>June 2024</v>
      </c>
      <c r="V49" s="51">
        <f>'Input - Pasture Beef'!E71</f>
        <v>190</v>
      </c>
      <c r="W49" s="51">
        <f>'Input - Pasture Beef'!F71</f>
        <v>700</v>
      </c>
      <c r="X49" s="51">
        <f>'Input - Pasture Beef'!G71</f>
        <v>150</v>
      </c>
      <c r="Y49" s="51">
        <f>'Input - Pasture Beef'!H71</f>
        <v>330</v>
      </c>
      <c r="Z49" s="51">
        <f>'Input - Pasture Beef'!I71</f>
        <v>490</v>
      </c>
      <c r="AA49" s="51">
        <f>'Input - Pasture Beef'!J71</f>
        <v>490</v>
      </c>
      <c r="AB49" s="51">
        <f>'Input - Pasture Beef'!K71</f>
        <v>170</v>
      </c>
      <c r="AC49" s="51">
        <f>'Input - Pasture Beef'!L71</f>
        <v>360</v>
      </c>
      <c r="AD49" s="51">
        <f>'Input - Pasture Beef'!M71</f>
        <v>360</v>
      </c>
      <c r="AE49" s="51">
        <f>'Input - Pasture Beef'!N71</f>
        <v>360</v>
      </c>
      <c r="AF49" s="2" t="s">
        <v>106</v>
      </c>
    </row>
    <row r="50" spans="4:34" ht="20.100000000000001" customHeight="1" x14ac:dyDescent="0.25">
      <c r="D50" s="51" t="str">
        <f>'Input - Pasture Beef'!D62</f>
        <v>Autumn</v>
      </c>
      <c r="E50" s="51">
        <f>'Input - Pasture Beef'!E62</f>
        <v>100</v>
      </c>
      <c r="F50" s="51">
        <f>'Input - Pasture Beef'!F62</f>
        <v>680</v>
      </c>
      <c r="G50" s="51">
        <f>'Input - Pasture Beef'!G62</f>
        <v>80</v>
      </c>
      <c r="H50" s="51">
        <f>'Input - Pasture Beef'!H62</f>
        <v>320</v>
      </c>
      <c r="I50" s="51">
        <f>'Input - Pasture Beef'!I62</f>
        <v>480</v>
      </c>
      <c r="J50" s="51">
        <f>'Input - Pasture Beef'!J62</f>
        <v>480</v>
      </c>
      <c r="K50" s="51">
        <f>'Input - Pasture Beef'!K62</f>
        <v>100</v>
      </c>
      <c r="L50" s="51">
        <f>'Input - Pasture Beef'!L62</f>
        <v>340</v>
      </c>
      <c r="M50" s="51">
        <f>'Input - Pasture Beef'!M62</f>
        <v>340</v>
      </c>
      <c r="N50" s="51">
        <f>'Input - Pasture Beef'!N62</f>
        <v>340</v>
      </c>
      <c r="O50" s="2" t="s">
        <v>106</v>
      </c>
      <c r="P50" s="2"/>
      <c r="Q50" s="2"/>
      <c r="U50" s="51" t="str">
        <f>TEXT(EDATE('Input - Site'!$E$12,6), "mmmm yyyy")</f>
        <v>July 2024</v>
      </c>
      <c r="V50" s="51">
        <f>'Input - Pasture Beef'!E72</f>
        <v>190</v>
      </c>
      <c r="W50" s="51">
        <f>'Input - Pasture Beef'!F72</f>
        <v>700</v>
      </c>
      <c r="X50" s="51">
        <f>'Input - Pasture Beef'!G72</f>
        <v>150</v>
      </c>
      <c r="Y50" s="51">
        <f>'Input - Pasture Beef'!H72</f>
        <v>330</v>
      </c>
      <c r="Z50" s="51">
        <f>'Input - Pasture Beef'!I72</f>
        <v>490</v>
      </c>
      <c r="AA50" s="51">
        <f>'Input - Pasture Beef'!J72</f>
        <v>490</v>
      </c>
      <c r="AB50" s="51">
        <f>'Input - Pasture Beef'!K72</f>
        <v>170</v>
      </c>
      <c r="AC50" s="51">
        <f>'Input - Pasture Beef'!L72</f>
        <v>360</v>
      </c>
      <c r="AD50" s="51">
        <f>'Input - Pasture Beef'!M72</f>
        <v>360</v>
      </c>
      <c r="AE50" s="51">
        <f>'Input - Pasture Beef'!N72</f>
        <v>360</v>
      </c>
      <c r="AF50" s="2" t="s">
        <v>106</v>
      </c>
    </row>
    <row r="51" spans="4:34" ht="20.100000000000001" customHeight="1" x14ac:dyDescent="0.25">
      <c r="D51" s="51" t="str">
        <f>'Input - Pasture Beef'!D63</f>
        <v>Winter</v>
      </c>
      <c r="E51" s="51">
        <f>'Input - Pasture Beef'!E63</f>
        <v>190</v>
      </c>
      <c r="F51" s="51">
        <f>'Input - Pasture Beef'!F63</f>
        <v>700</v>
      </c>
      <c r="G51" s="51">
        <f>'Input - Pasture Beef'!G63</f>
        <v>150</v>
      </c>
      <c r="H51" s="51">
        <f>'Input - Pasture Beef'!H63</f>
        <v>330</v>
      </c>
      <c r="I51" s="51">
        <f>'Input - Pasture Beef'!I63</f>
        <v>490</v>
      </c>
      <c r="J51" s="51">
        <f>'Input - Pasture Beef'!J63</f>
        <v>490</v>
      </c>
      <c r="K51" s="51">
        <f>'Input - Pasture Beef'!K63</f>
        <v>170</v>
      </c>
      <c r="L51" s="51">
        <f>'Input - Pasture Beef'!L63</f>
        <v>360</v>
      </c>
      <c r="M51" s="51">
        <f>'Input - Pasture Beef'!M63</f>
        <v>360</v>
      </c>
      <c r="N51" s="51">
        <f>'Input - Pasture Beef'!N63</f>
        <v>360</v>
      </c>
      <c r="O51" s="2" t="s">
        <v>106</v>
      </c>
      <c r="P51" s="2"/>
      <c r="Q51" s="2"/>
      <c r="U51" s="51" t="str">
        <f>TEXT(EDATE('Input - Site'!$E$12,7), "mmmm yyyy")</f>
        <v>August 2024</v>
      </c>
      <c r="V51" s="51">
        <f>'Input - Pasture Beef'!E73</f>
        <v>190</v>
      </c>
      <c r="W51" s="51">
        <f>'Input - Pasture Beef'!F73</f>
        <v>700</v>
      </c>
      <c r="X51" s="51">
        <f>'Input - Pasture Beef'!G73</f>
        <v>150</v>
      </c>
      <c r="Y51" s="51">
        <f>'Input - Pasture Beef'!H73</f>
        <v>330</v>
      </c>
      <c r="Z51" s="51">
        <f>'Input - Pasture Beef'!I73</f>
        <v>490</v>
      </c>
      <c r="AA51" s="51">
        <f>'Input - Pasture Beef'!J73</f>
        <v>490</v>
      </c>
      <c r="AB51" s="51">
        <f>'Input - Pasture Beef'!K73</f>
        <v>170</v>
      </c>
      <c r="AC51" s="51">
        <f>'Input - Pasture Beef'!L73</f>
        <v>360</v>
      </c>
      <c r="AD51" s="51">
        <f>'Input - Pasture Beef'!M73</f>
        <v>360</v>
      </c>
      <c r="AE51" s="51">
        <f>'Input - Pasture Beef'!N73</f>
        <v>360</v>
      </c>
      <c r="AF51" s="2" t="s">
        <v>106</v>
      </c>
      <c r="AG51" s="2"/>
      <c r="AH51" s="2"/>
    </row>
    <row r="52" spans="4:34" ht="20.100000000000001" customHeight="1" x14ac:dyDescent="0.25">
      <c r="U52" s="51" t="str">
        <f>TEXT(EDATE('Input - Site'!$E$12,8), "mmmm yyyy")</f>
        <v>September 2024</v>
      </c>
      <c r="V52" s="51">
        <f>'Input - Pasture Beef'!E74</f>
        <v>340</v>
      </c>
      <c r="W52" s="51">
        <f>'Input - Pasture Beef'!F74</f>
        <v>800</v>
      </c>
      <c r="X52" s="51">
        <f>'Input - Pasture Beef'!G74</f>
        <v>260</v>
      </c>
      <c r="Y52" s="51">
        <f>'Input - Pasture Beef'!H74</f>
        <v>420</v>
      </c>
      <c r="Z52" s="51">
        <f>'Input - Pasture Beef'!I74</f>
        <v>550</v>
      </c>
      <c r="AA52" s="51">
        <f>'Input - Pasture Beef'!J74</f>
        <v>550</v>
      </c>
      <c r="AB52" s="51">
        <f>'Input - Pasture Beef'!K74</f>
        <v>300</v>
      </c>
      <c r="AC52" s="51">
        <f>'Input - Pasture Beef'!L74</f>
        <v>480</v>
      </c>
      <c r="AD52" s="51">
        <f>'Input - Pasture Beef'!M74</f>
        <v>480</v>
      </c>
      <c r="AE52" s="51">
        <f>'Input - Pasture Beef'!N74</f>
        <v>480</v>
      </c>
      <c r="AF52" s="2" t="s">
        <v>106</v>
      </c>
      <c r="AG52" s="2"/>
      <c r="AH52" s="2"/>
    </row>
    <row r="53" spans="4:34" ht="20.100000000000001" customHeight="1" x14ac:dyDescent="0.25">
      <c r="D53" s="96" t="s">
        <v>204</v>
      </c>
      <c r="U53" s="51" t="str">
        <f>TEXT(EDATE('Input - Site'!$E$12,9), "mmmm yyyy")</f>
        <v>October 2024</v>
      </c>
      <c r="V53" s="51">
        <f>'Input - Pasture Beef'!E75</f>
        <v>340</v>
      </c>
      <c r="W53" s="51">
        <f>'Input - Pasture Beef'!F75</f>
        <v>800</v>
      </c>
      <c r="X53" s="51">
        <f>'Input - Pasture Beef'!G75</f>
        <v>260</v>
      </c>
      <c r="Y53" s="51">
        <f>'Input - Pasture Beef'!H75</f>
        <v>420</v>
      </c>
      <c r="Z53" s="51">
        <f>'Input - Pasture Beef'!I75</f>
        <v>550</v>
      </c>
      <c r="AA53" s="51">
        <f>'Input - Pasture Beef'!J75</f>
        <v>550</v>
      </c>
      <c r="AB53" s="51">
        <f>'Input - Pasture Beef'!K75</f>
        <v>300</v>
      </c>
      <c r="AC53" s="51">
        <f>'Input - Pasture Beef'!L75</f>
        <v>480</v>
      </c>
      <c r="AD53" s="51">
        <f>'Input - Pasture Beef'!M75</f>
        <v>480</v>
      </c>
      <c r="AE53" s="51">
        <f>'Input - Pasture Beef'!N75</f>
        <v>480</v>
      </c>
      <c r="AF53" s="2" t="s">
        <v>106</v>
      </c>
      <c r="AG53" s="2"/>
      <c r="AH53" s="2"/>
    </row>
    <row r="54" spans="4:34" ht="20.100000000000001" customHeight="1" x14ac:dyDescent="0.25">
      <c r="D54" s="95" t="s">
        <v>205</v>
      </c>
      <c r="U54" s="51" t="str">
        <f>TEXT(EDATE('Input - Site'!$E$12,10), "mmmm yyyy")</f>
        <v>November 2024</v>
      </c>
      <c r="V54" s="51">
        <f>'Input - Pasture Beef'!E76</f>
        <v>340</v>
      </c>
      <c r="W54" s="51">
        <f>'Input - Pasture Beef'!F76</f>
        <v>800</v>
      </c>
      <c r="X54" s="51">
        <f>'Input - Pasture Beef'!G76</f>
        <v>260</v>
      </c>
      <c r="Y54" s="51">
        <f>'Input - Pasture Beef'!H76</f>
        <v>420</v>
      </c>
      <c r="Z54" s="51">
        <f>'Input - Pasture Beef'!I76</f>
        <v>550</v>
      </c>
      <c r="AA54" s="51">
        <f>'Input - Pasture Beef'!J76</f>
        <v>550</v>
      </c>
      <c r="AB54" s="51">
        <f>'Input - Pasture Beef'!K76</f>
        <v>300</v>
      </c>
      <c r="AC54" s="51">
        <f>'Input - Pasture Beef'!L76</f>
        <v>480</v>
      </c>
      <c r="AD54" s="51">
        <f>'Input - Pasture Beef'!M76</f>
        <v>480</v>
      </c>
      <c r="AE54" s="51">
        <f>'Input - Pasture Beef'!N76</f>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 yyyy")</f>
        <v>December 2024</v>
      </c>
      <c r="V55" s="51">
        <f>'Input - Pasture Beef'!E77</f>
        <v>380</v>
      </c>
      <c r="W55" s="51">
        <f>'Input - Pasture Beef'!F77</f>
        <v>780</v>
      </c>
      <c r="X55" s="51">
        <f>'Input - Pasture Beef'!G77</f>
        <v>300</v>
      </c>
      <c r="Y55" s="51">
        <f>'Input - Pasture Beef'!H77</f>
        <v>450</v>
      </c>
      <c r="Z55" s="51">
        <f>'Input - Pasture Beef'!I77</f>
        <v>530</v>
      </c>
      <c r="AA55" s="51">
        <f>'Input - Pasture Beef'!J77</f>
        <v>530</v>
      </c>
      <c r="AB55" s="51">
        <f>'Input - Pasture Beef'!K77</f>
        <v>340</v>
      </c>
      <c r="AC55" s="51">
        <f>'Input - Pasture Beef'!L77</f>
        <v>470</v>
      </c>
      <c r="AD55" s="51">
        <f>'Input - Pasture Beef'!M77</f>
        <v>470</v>
      </c>
      <c r="AE55" s="51">
        <f>'Input - Pasture Beef'!N77</f>
        <v>470</v>
      </c>
      <c r="AF55" s="2" t="s">
        <v>106</v>
      </c>
      <c r="AG55" s="2"/>
      <c r="AH55" s="2"/>
    </row>
    <row r="56" spans="4:34" ht="20.100000000000001" customHeight="1" x14ac:dyDescent="0.25">
      <c r="D56" s="51" t="str">
        <f>'Input - Pasture Beef'!D82</f>
        <v>Spring</v>
      </c>
      <c r="E56" s="51">
        <f>'Input - Pasture Beef'!E82</f>
        <v>1.64</v>
      </c>
      <c r="F56" s="51">
        <f>'Input - Pasture Beef'!F82</f>
        <v>1.1000000000000001</v>
      </c>
      <c r="G56" s="51">
        <f>'Input - Pasture Beef'!G82</f>
        <v>1.21</v>
      </c>
      <c r="H56" s="51">
        <f>'Input - Pasture Beef'!H82</f>
        <v>0.99</v>
      </c>
      <c r="I56" s="51">
        <f>'Input - Pasture Beef'!I82</f>
        <v>0.66</v>
      </c>
      <c r="J56" s="51">
        <f>'Input - Pasture Beef'!J82</f>
        <v>0.66</v>
      </c>
      <c r="K56" s="51">
        <f>'Input - Pasture Beef'!K82</f>
        <v>1.42</v>
      </c>
      <c r="L56" s="51">
        <f>'Input - Pasture Beef'!L82</f>
        <v>1.1000000000000001</v>
      </c>
      <c r="M56" s="51">
        <f>'Input - Pasture Beef'!M82</f>
        <v>1.1000000000000001</v>
      </c>
      <c r="N56" s="51">
        <f>'Input - Pasture Beef'!N82</f>
        <v>1.1000000000000001</v>
      </c>
      <c r="O56" s="2" t="s">
        <v>106</v>
      </c>
      <c r="P56" s="2"/>
      <c r="Q56" s="2"/>
      <c r="AG56" s="2"/>
      <c r="AH56" s="2"/>
    </row>
    <row r="57" spans="4:34" ht="20.100000000000001" customHeight="1" x14ac:dyDescent="0.25">
      <c r="D57" s="51" t="str">
        <f>'Input - Pasture Beef'!D83</f>
        <v>Summer</v>
      </c>
      <c r="E57" s="51">
        <f>'Input - Pasture Beef'!E83</f>
        <v>0.44</v>
      </c>
      <c r="F57" s="51">
        <f>'Input - Pasture Beef'!F83</f>
        <v>-0.22</v>
      </c>
      <c r="G57" s="51">
        <f>'Input - Pasture Beef'!G83</f>
        <v>0.44</v>
      </c>
      <c r="H57" s="51">
        <f>'Input - Pasture Beef'!H83</f>
        <v>0.33</v>
      </c>
      <c r="I57" s="51">
        <f>'Input - Pasture Beef'!I83</f>
        <v>-0.22</v>
      </c>
      <c r="J57" s="51">
        <f>'Input - Pasture Beef'!J83</f>
        <v>-0.22</v>
      </c>
      <c r="K57" s="51">
        <f>'Input - Pasture Beef'!K83</f>
        <v>0.44</v>
      </c>
      <c r="L57" s="51">
        <f>'Input - Pasture Beef'!L83</f>
        <v>-0.11</v>
      </c>
      <c r="M57" s="51">
        <f>'Input - Pasture Beef'!M83</f>
        <v>-0.11</v>
      </c>
      <c r="N57" s="51">
        <f>'Input - Pasture Beef'!N83</f>
        <v>-0.11</v>
      </c>
      <c r="O57" s="2" t="s">
        <v>106</v>
      </c>
      <c r="P57" s="2"/>
      <c r="Q57" s="2"/>
      <c r="U57" s="96" t="s">
        <v>217</v>
      </c>
      <c r="AG57" s="2"/>
      <c r="AH57" s="2"/>
    </row>
    <row r="58" spans="4:34" ht="20.100000000000001" customHeight="1" x14ac:dyDescent="0.25">
      <c r="D58" s="51" t="str">
        <f>'Input - Pasture Beef'!D84</f>
        <v>Autumn</v>
      </c>
      <c r="E58" s="51">
        <f>'Input - Pasture Beef'!E84</f>
        <v>0.6</v>
      </c>
      <c r="F58" s="51">
        <f>'Input - Pasture Beef'!F84</f>
        <v>0</v>
      </c>
      <c r="G58" s="51">
        <f>'Input - Pasture Beef'!G84</f>
        <v>0.6</v>
      </c>
      <c r="H58" s="51">
        <f>'Input - Pasture Beef'!H84</f>
        <v>0.22</v>
      </c>
      <c r="I58" s="51">
        <f>'Input - Pasture Beef'!I84</f>
        <v>-0.55000000000000004</v>
      </c>
      <c r="J58" s="51">
        <f>'Input - Pasture Beef'!J84</f>
        <v>-0.55000000000000004</v>
      </c>
      <c r="K58" s="51">
        <f>'Input - Pasture Beef'!K84</f>
        <v>0.6</v>
      </c>
      <c r="L58" s="51">
        <f>'Input - Pasture Beef'!L84</f>
        <v>0</v>
      </c>
      <c r="M58" s="51">
        <f>'Input - Pasture Beef'!M84</f>
        <v>0</v>
      </c>
      <c r="N58" s="51">
        <f>'Input - Pasture Beef'!N84</f>
        <v>0</v>
      </c>
      <c r="O58" s="2" t="s">
        <v>106</v>
      </c>
      <c r="P58" s="2"/>
      <c r="Q58" s="2"/>
      <c r="U58" s="95" t="s">
        <v>218</v>
      </c>
      <c r="AG58" s="2"/>
      <c r="AH58" s="2"/>
    </row>
    <row r="59" spans="4:34" ht="20.100000000000001" customHeight="1" x14ac:dyDescent="0.25">
      <c r="D59" s="51" t="str">
        <f>'Input - Pasture Beef'!D85</f>
        <v>Winter</v>
      </c>
      <c r="E59" s="51">
        <f>'Input - Pasture Beef'!E85</f>
        <v>0.99</v>
      </c>
      <c r="F59" s="51">
        <f>'Input - Pasture Beef'!F85</f>
        <v>0.22</v>
      </c>
      <c r="G59" s="51">
        <f>'Input - Pasture Beef'!G85</f>
        <v>0.77</v>
      </c>
      <c r="H59" s="51">
        <f>'Input - Pasture Beef'!H85</f>
        <v>0.11</v>
      </c>
      <c r="I59" s="51">
        <f>'Input - Pasture Beef'!I85</f>
        <v>0.11</v>
      </c>
      <c r="J59" s="51">
        <f>'Input - Pasture Beef'!J85</f>
        <v>0.11</v>
      </c>
      <c r="K59" s="51">
        <f>'Input - Pasture Beef'!K85</f>
        <v>0.77</v>
      </c>
      <c r="L59" s="51">
        <f>'Input - Pasture Beef'!L85</f>
        <v>0.44</v>
      </c>
      <c r="M59" s="51">
        <f>'Input - Pasture Beef'!M85</f>
        <v>0.44</v>
      </c>
      <c r="N59" s="51">
        <f>'Input - Pasture Beef'!N85</f>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 "mmmm yyyy")</f>
        <v>January 2024</v>
      </c>
      <c r="V60" s="51">
        <f>'Input - Pasture Beef'!E88</f>
        <v>0.44</v>
      </c>
      <c r="W60" s="51">
        <f>'Input - Pasture Beef'!F88</f>
        <v>-0.22</v>
      </c>
      <c r="X60" s="51">
        <f>'Input - Pasture Beef'!G88</f>
        <v>0.44</v>
      </c>
      <c r="Y60" s="51">
        <f>'Input - Pasture Beef'!H88</f>
        <v>0.33</v>
      </c>
      <c r="Z60" s="51">
        <f>'Input - Pasture Beef'!I88</f>
        <v>-0.22</v>
      </c>
      <c r="AA60" s="51">
        <f>'Input - Pasture Beef'!J88</f>
        <v>-0.22</v>
      </c>
      <c r="AB60" s="51">
        <f>'Input - Pasture Beef'!K88</f>
        <v>0.44</v>
      </c>
      <c r="AC60" s="51">
        <f>'Input - Pasture Beef'!L88</f>
        <v>-0.11</v>
      </c>
      <c r="AD60" s="51">
        <f>'Input - Pasture Beef'!M88</f>
        <v>-0.11</v>
      </c>
      <c r="AE60" s="51">
        <f>'Input - Pasture Beef'!N88</f>
        <v>-0.11</v>
      </c>
      <c r="AF60" s="2" t="s">
        <v>107</v>
      </c>
      <c r="AG60" s="2"/>
      <c r="AH60" s="2"/>
    </row>
    <row r="61" spans="4:34" ht="20.100000000000001" customHeight="1" x14ac:dyDescent="0.25">
      <c r="D61" s="96" t="s">
        <v>207</v>
      </c>
      <c r="U61" s="51" t="str">
        <f>TEXT(EDATE('Input - Site'!$E$12,1), "mmmm yyyy")</f>
        <v>February 2024</v>
      </c>
      <c r="V61" s="51">
        <f>'Input - Pasture Beef'!E89</f>
        <v>0.44</v>
      </c>
      <c r="W61" s="51">
        <f>'Input - Pasture Beef'!F89</f>
        <v>-0.22</v>
      </c>
      <c r="X61" s="51">
        <f>'Input - Pasture Beef'!G89</f>
        <v>0.44</v>
      </c>
      <c r="Y61" s="51">
        <f>'Input - Pasture Beef'!H89</f>
        <v>0.33</v>
      </c>
      <c r="Z61" s="51">
        <f>'Input - Pasture Beef'!I89</f>
        <v>-0.22</v>
      </c>
      <c r="AA61" s="51">
        <f>'Input - Pasture Beef'!J89</f>
        <v>-0.22</v>
      </c>
      <c r="AB61" s="51">
        <f>'Input - Pasture Beef'!K89</f>
        <v>0.44</v>
      </c>
      <c r="AC61" s="51">
        <f>'Input - Pasture Beef'!L89</f>
        <v>-0.11</v>
      </c>
      <c r="AD61" s="51">
        <f>'Input - Pasture Beef'!M89</f>
        <v>-0.11</v>
      </c>
      <c r="AE61" s="51">
        <f>'Input - Pasture Beef'!N89</f>
        <v>-0.11</v>
      </c>
      <c r="AF61" s="2" t="s">
        <v>107</v>
      </c>
      <c r="AG61" s="2"/>
      <c r="AH61" s="2"/>
    </row>
    <row r="62" spans="4:34" ht="20.100000000000001" customHeight="1" x14ac:dyDescent="0.25">
      <c r="D62" s="95" t="s">
        <v>115</v>
      </c>
      <c r="U62" s="51" t="str">
        <f>TEXT(EDATE('Input - Site'!$E$12,2), "mmmm yyyy")</f>
        <v>March 2024</v>
      </c>
      <c r="V62" s="51">
        <f>'Input - Pasture Beef'!E90</f>
        <v>0.6</v>
      </c>
      <c r="W62" s="51">
        <f>'Input - Pasture Beef'!F90</f>
        <v>0</v>
      </c>
      <c r="X62" s="51">
        <f>'Input - Pasture Beef'!G90</f>
        <v>0.6</v>
      </c>
      <c r="Y62" s="51">
        <f>'Input - Pasture Beef'!H90</f>
        <v>0.22</v>
      </c>
      <c r="Z62" s="51">
        <f>'Input - Pasture Beef'!I90</f>
        <v>-0.55000000000000004</v>
      </c>
      <c r="AA62" s="51">
        <f>'Input - Pasture Beef'!J90</f>
        <v>-0.55000000000000004</v>
      </c>
      <c r="AB62" s="51">
        <f>'Input - Pasture Beef'!K90</f>
        <v>0.6</v>
      </c>
      <c r="AC62" s="51">
        <f>'Input - Pasture Beef'!L90</f>
        <v>0</v>
      </c>
      <c r="AD62" s="51">
        <f>'Input - Pasture Beef'!M90</f>
        <v>0</v>
      </c>
      <c r="AE62" s="51">
        <f>'Input - Pasture Beef'!N90</f>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 yyyy")</f>
        <v>April 2024</v>
      </c>
      <c r="V63" s="51">
        <f>'Input - Pasture Beef'!E91</f>
        <v>0.6</v>
      </c>
      <c r="W63" s="51">
        <f>'Input - Pasture Beef'!F91</f>
        <v>0</v>
      </c>
      <c r="X63" s="51">
        <f>'Input - Pasture Beef'!G91</f>
        <v>0.6</v>
      </c>
      <c r="Y63" s="51">
        <f>'Input - Pasture Beef'!H91</f>
        <v>0.22</v>
      </c>
      <c r="Z63" s="51">
        <f>'Input - Pasture Beef'!I91</f>
        <v>-0.55000000000000004</v>
      </c>
      <c r="AA63" s="51">
        <f>'Input - Pasture Beef'!J91</f>
        <v>-0.55000000000000004</v>
      </c>
      <c r="AB63" s="51">
        <f>'Input - Pasture Beef'!K91</f>
        <v>0.6</v>
      </c>
      <c r="AC63" s="51">
        <f>'Input - Pasture Beef'!L91</f>
        <v>0</v>
      </c>
      <c r="AD63" s="51">
        <f>'Input - Pasture Beef'!M91</f>
        <v>0</v>
      </c>
      <c r="AE63" s="51">
        <f>'Input - Pasture Beef'!N91</f>
        <v>0</v>
      </c>
      <c r="AF63" s="2" t="s">
        <v>107</v>
      </c>
      <c r="AG63" s="2"/>
      <c r="AH63" s="2"/>
    </row>
    <row r="64" spans="4:34" ht="20.100000000000001" customHeight="1" x14ac:dyDescent="0.25">
      <c r="D64" s="51" t="s">
        <v>135</v>
      </c>
      <c r="E64" s="51" cm="1">
        <f t="array" ref="E64">EntericMethane_PastureBeef_Equations.VEERG_3_2_1_1__3_FeedIntakeForGrazingBeef(E48,E56,G26)</f>
        <v>8.6709047296000001</v>
      </c>
      <c r="F64" s="51" cm="1">
        <f t="array" ref="F64">EntericMethane_PastureBeef_Equations.VEERG_3_2_1_1__3_FeedIntakeForGrazingBeef(F48,F56,H26)</f>
        <v>12.246500250000002</v>
      </c>
      <c r="G64" s="51" cm="1">
        <f t="array" ref="G64">EntericMethane_PastureBeef_Equations.VEERG_3_2_1_1__3_FeedIntakeForGrazingBeef(G48,G56,I26)</f>
        <v>6.6089612241000006</v>
      </c>
      <c r="H64" s="51" cm="1">
        <f t="array" ref="H64">EntericMethane_PastureBeef_Equations.VEERG_3_2_1_1__3_FeedIntakeForGrazingBeef(H48,H56,J26)</f>
        <v>9.4536614511090029</v>
      </c>
      <c r="I64" s="51" cm="1">
        <f t="array" ref="I64">EntericMethane_PastureBeef_Equations.VEERG_3_2_1_1__3_FeedIntakeForGrazingBeef(I48,I56,K26)</f>
        <v>10.112646138000002</v>
      </c>
      <c r="J64" s="51" cm="1">
        <f t="array" ref="J64">EntericMethane_PastureBeef_Equations.VEERG_3_2_1_1__3_FeedIntakeForGrazingBeef(J48,J56,L26)</f>
        <v>10.112646138000002</v>
      </c>
      <c r="K64" s="51" cm="1">
        <f t="array" ref="K64">EntericMethane_PastureBeef_Equations.VEERG_3_2_1_1__3_FeedIntakeForGrazingBeef(K48,K56,M26)</f>
        <v>7.6192560899999977</v>
      </c>
      <c r="L64" s="51" cm="1">
        <f t="array" ref="L64">EntericMethane_PastureBeef_Equations.VEERG_3_2_1_1__3_FeedIntakeForGrazingBeef(L48,L56,N26)</f>
        <v>9.6824279555999979</v>
      </c>
      <c r="M64" s="51" cm="1">
        <f t="array" ref="M64">EntericMethane_PastureBeef_Equations.VEERG_3_2_1_1__3_FeedIntakeForGrazingBeef(M48,M56,O26)</f>
        <v>9.6824279555999979</v>
      </c>
      <c r="N64" s="51" cm="1">
        <f t="array" ref="N64">EntericMethane_PastureBeef_Equations.VEERG_3_2_1_1__3_FeedIntakeForGrazingBeef(N48,N56,P26)</f>
        <v>9.6824279555999979</v>
      </c>
      <c r="O64" s="2" t="str">
        <f>$E$39</f>
        <v>kg DM/head/day</v>
      </c>
      <c r="P64" s="2"/>
      <c r="Q64" s="2"/>
      <c r="U64" s="51" t="str">
        <f>TEXT(EDATE('Input - Site'!$E$12,4), "mmmm yyyy")</f>
        <v>May 2024</v>
      </c>
      <c r="V64" s="51">
        <f>'Input - Pasture Beef'!E92</f>
        <v>0.6</v>
      </c>
      <c r="W64" s="51">
        <f>'Input - Pasture Beef'!F92</f>
        <v>0</v>
      </c>
      <c r="X64" s="51">
        <f>'Input - Pasture Beef'!G92</f>
        <v>0.6</v>
      </c>
      <c r="Y64" s="51">
        <f>'Input - Pasture Beef'!H92</f>
        <v>0.22</v>
      </c>
      <c r="Z64" s="51">
        <f>'Input - Pasture Beef'!I92</f>
        <v>-0.55000000000000004</v>
      </c>
      <c r="AA64" s="51">
        <f>'Input - Pasture Beef'!J92</f>
        <v>-0.55000000000000004</v>
      </c>
      <c r="AB64" s="51">
        <f>'Input - Pasture Beef'!K92</f>
        <v>0.6</v>
      </c>
      <c r="AC64" s="51">
        <f>'Input - Pasture Beef'!L92</f>
        <v>0</v>
      </c>
      <c r="AD64" s="51">
        <f>'Input - Pasture Beef'!M92</f>
        <v>0</v>
      </c>
      <c r="AE64" s="51">
        <f>'Input - Pasture Beef'!N92</f>
        <v>0</v>
      </c>
      <c r="AF64" s="2" t="s">
        <v>107</v>
      </c>
    </row>
    <row r="65" spans="3:34" ht="20.100000000000001" customHeight="1" x14ac:dyDescent="0.25">
      <c r="D65" s="51" t="s">
        <v>136</v>
      </c>
      <c r="E65" s="51" cm="1">
        <f t="array" ref="E65">EntericMethane_PastureBeef_Equations.VEERG_3_2_1_1__3_FeedIntakeForGrazingBeef(E49,E57,G27)</f>
        <v>7.1468536895999959</v>
      </c>
      <c r="F65" s="51" cm="1">
        <f t="array" ref="F65">EntericMethane_PastureBeef_Equations.VEERG_3_2_1_1__3_FeedIntakeForGrazingBeef(F49,F57,H27)</f>
        <v>9.4559940036000008</v>
      </c>
      <c r="G65" s="51" cm="1">
        <f t="array" ref="G65">EntericMethane_PastureBeef_Equations.VEERG_3_2_1_1__3_FeedIntakeForGrazingBeef(G49,G57,I27)</f>
        <v>6.010342559999998</v>
      </c>
      <c r="H65" s="51" cm="1">
        <f t="array" ref="H65">EntericMethane_PastureBeef_Equations.VEERG_3_2_1_1__3_FeedIntakeForGrazingBeef(H49,H57,J27)</f>
        <v>7.8705497025</v>
      </c>
      <c r="I65" s="51" cm="1">
        <f t="array" ref="I65">EntericMethane_PastureBeef_Equations.VEERG_3_2_1_1__3_FeedIntakeForGrazingBeef(I49,I57,K27)</f>
        <v>7.7928072335999978</v>
      </c>
      <c r="J65" s="51" cm="1">
        <f t="array" ref="J65">EntericMethane_PastureBeef_Equations.VEERG_3_2_1_1__3_FeedIntakeForGrazingBeef(J49,J57,L27)</f>
        <v>7.7928072335999978</v>
      </c>
      <c r="K65" s="51" cm="1">
        <f t="array" ref="K65">EntericMethane_PastureBeef_Equations.VEERG_3_2_1_1__3_FeedIntakeForGrazingBeef(K49,K57,M27)</f>
        <v>6.5876408896000003</v>
      </c>
      <c r="L65" s="51" cm="1">
        <f t="array" ref="L65">EntericMethane_PastureBeef_Equations.VEERG_3_2_1_1__3_FeedIntakeForGrazingBeef(L49,L57,N27)</f>
        <v>7.3430702361</v>
      </c>
      <c r="M65" s="51" cm="1">
        <f t="array" ref="M65">EntericMethane_PastureBeef_Equations.VEERG_3_2_1_1__3_FeedIntakeForGrazingBeef(M49,M57,O27)</f>
        <v>7.3430702361</v>
      </c>
      <c r="N65" s="51" cm="1">
        <f t="array" ref="N65">EntericMethane_PastureBeef_Equations.VEERG_3_2_1_1__3_FeedIntakeForGrazingBeef(N49,N57,P27)</f>
        <v>7.3430702361</v>
      </c>
      <c r="O65" s="2" t="str">
        <f>$E$39</f>
        <v>kg DM/head/day</v>
      </c>
      <c r="P65" s="2"/>
      <c r="Q65" s="2"/>
      <c r="U65" s="51" t="str">
        <f>TEXT(EDATE('Input - Site'!$E$12,5), "mmmm yyyy")</f>
        <v>June 2024</v>
      </c>
      <c r="V65" s="51">
        <f>'Input - Pasture Beef'!E93</f>
        <v>0.99</v>
      </c>
      <c r="W65" s="51">
        <f>'Input - Pasture Beef'!F93</f>
        <v>0.22</v>
      </c>
      <c r="X65" s="51">
        <f>'Input - Pasture Beef'!G93</f>
        <v>0.77</v>
      </c>
      <c r="Y65" s="51">
        <f>'Input - Pasture Beef'!H93</f>
        <v>0.11</v>
      </c>
      <c r="Z65" s="51">
        <f>'Input - Pasture Beef'!I93</f>
        <v>0.11</v>
      </c>
      <c r="AA65" s="51">
        <f>'Input - Pasture Beef'!J93</f>
        <v>0.11</v>
      </c>
      <c r="AB65" s="51">
        <f>'Input - Pasture Beef'!K93</f>
        <v>0.77</v>
      </c>
      <c r="AC65" s="51">
        <f>'Input - Pasture Beef'!L93</f>
        <v>0.44</v>
      </c>
      <c r="AD65" s="51">
        <f>'Input - Pasture Beef'!M93</f>
        <v>0.44</v>
      </c>
      <c r="AE65" s="51">
        <f>'Input - Pasture Beef'!N93</f>
        <v>0.44</v>
      </c>
      <c r="AF65" s="2" t="s">
        <v>107</v>
      </c>
    </row>
    <row r="66" spans="3:34" ht="20.100000000000001" customHeight="1" x14ac:dyDescent="0.25">
      <c r="D66" s="51" t="s">
        <v>137</v>
      </c>
      <c r="E66" s="51" cm="1">
        <f t="array" ref="E66">EntericMethane_PastureBeef_Equations.VEERG_3_2_1_1__3_FeedIntakeForGrazingBeef(E50,E58,G28)</f>
        <v>3.247204</v>
      </c>
      <c r="F66" s="51" cm="1">
        <f t="array" ref="F66">EntericMethane_PastureBeef_Equations.VEERG_3_2_1_1__3_FeedIntakeForGrazingBeef(F50,F58,H28)</f>
        <v>9.4246544015999998</v>
      </c>
      <c r="G66" s="51" cm="1">
        <f t="array" ref="G66">EntericMethane_PastureBeef_Equations.VEERG_3_2_1_1__3_FeedIntakeForGrazingBeef(G50,G58,I28)</f>
        <v>2.9603267136000002</v>
      </c>
      <c r="H66" s="51" cm="1">
        <f t="array" ref="H66">EntericMethane_PastureBeef_Equations.VEERG_3_2_1_1__3_FeedIntakeForGrazingBeef(H50,H58,J28)</f>
        <v>5.9577975395999987</v>
      </c>
      <c r="I66" s="51" cm="1">
        <f t="array" ref="I66">EntericMethane_PastureBeef_Equations.VEERG_3_2_1_1__3_FeedIntakeForGrazingBeef(I50,I58,K28)</f>
        <v>6.7179974480999993</v>
      </c>
      <c r="J66" s="51" cm="1">
        <f t="array" ref="J66">EntericMethane_PastureBeef_Equations.VEERG_3_2_1_1__3_FeedIntakeForGrazingBeef(J50,J58,L28)</f>
        <v>6.7179974480999993</v>
      </c>
      <c r="K66" s="51" cm="1">
        <f t="array" ref="K66">EntericMethane_PastureBeef_Equations.VEERG_3_2_1_1__3_FeedIntakeForGrazingBeef(K50,K58,M28)</f>
        <v>3.247204</v>
      </c>
      <c r="L66" s="51" cm="1">
        <f t="array" ref="L66">EntericMethane_PastureBeef_Equations.VEERG_3_2_1_1__3_FeedIntakeForGrazingBeef(L50,L58,N28)</f>
        <v>5.8953782416000013</v>
      </c>
      <c r="M66" s="51" cm="1">
        <f t="array" ref="M66">EntericMethane_PastureBeef_Equations.VEERG_3_2_1_1__3_FeedIntakeForGrazingBeef(M50,M58,O28)</f>
        <v>5.8953782416000013</v>
      </c>
      <c r="N66" s="51" cm="1">
        <f t="array" ref="N66">EntericMethane_PastureBeef_Equations.VEERG_3_2_1_1__3_FeedIntakeForGrazingBeef(N50,N58,P28)</f>
        <v>5.8953782416000013</v>
      </c>
      <c r="O66" s="2" t="str">
        <f>$E$39</f>
        <v>kg DM/head/day</v>
      </c>
      <c r="P66" s="2"/>
      <c r="Q66" s="2"/>
      <c r="U66" s="51" t="str">
        <f>TEXT(EDATE('Input - Site'!$E$12,6), "mmmm yyyy")</f>
        <v>July 2024</v>
      </c>
      <c r="V66" s="51">
        <f>'Input - Pasture Beef'!E94</f>
        <v>0.99</v>
      </c>
      <c r="W66" s="51">
        <f>'Input - Pasture Beef'!F94</f>
        <v>0.22</v>
      </c>
      <c r="X66" s="51">
        <f>'Input - Pasture Beef'!G94</f>
        <v>0.77</v>
      </c>
      <c r="Y66" s="51">
        <f>'Input - Pasture Beef'!H94</f>
        <v>0.11</v>
      </c>
      <c r="Z66" s="51">
        <f>'Input - Pasture Beef'!I94</f>
        <v>0.11</v>
      </c>
      <c r="AA66" s="51">
        <f>'Input - Pasture Beef'!J94</f>
        <v>0.11</v>
      </c>
      <c r="AB66" s="51">
        <f>'Input - Pasture Beef'!K94</f>
        <v>0.77</v>
      </c>
      <c r="AC66" s="51">
        <f>'Input - Pasture Beef'!L94</f>
        <v>0.44</v>
      </c>
      <c r="AD66" s="51">
        <f>'Input - Pasture Beef'!M94</f>
        <v>0.44</v>
      </c>
      <c r="AE66" s="51">
        <f>'Input - Pasture Beef'!N94</f>
        <v>0.44</v>
      </c>
      <c r="AF66" s="2" t="s">
        <v>107</v>
      </c>
    </row>
    <row r="67" spans="3:34" ht="20.100000000000001" customHeight="1" x14ac:dyDescent="0.25">
      <c r="D67" s="51" t="s">
        <v>138</v>
      </c>
      <c r="E67" s="51" cm="1">
        <f t="array" ref="E67">EntericMethane_PastureBeef_Equations.VEERG_3_2_1_1__3_FeedIntakeForGrazingBeef(E51,E59,G29)</f>
        <v>5.1328980481000004</v>
      </c>
      <c r="F67" s="51" cm="1">
        <f t="array" ref="F67">EntericMethane_PastureBeef_Equations.VEERG_3_2_1_1__3_FeedIntakeForGrazingBeef(F51,F59,H29)</f>
        <v>9.9748588899999984</v>
      </c>
      <c r="G67" s="51" cm="1">
        <f t="array" ref="G67">EntericMethane_PastureBeef_Equations.VEERG_3_2_1_1__3_FeedIntakeForGrazingBeef(G51,G59,I29)</f>
        <v>4.202705002500001</v>
      </c>
      <c r="H67" s="51" cm="1">
        <f t="array" ref="H67">EntericMethane_PastureBeef_Equations.VEERG_3_2_1_1__3_FeedIntakeForGrazingBeef(H51,H59,J29)</f>
        <v>7.5283222358070025</v>
      </c>
      <c r="I67" s="51" cm="1">
        <f t="array" ref="I67">EntericMethane_PastureBeef_Equations.VEERG_3_2_1_1__3_FeedIntakeForGrazingBeef(I51,I59,K29)</f>
        <v>9.145195140114998</v>
      </c>
      <c r="J67" s="51" cm="1">
        <f t="array" ref="J67">EntericMethane_PastureBeef_Equations.VEERG_3_2_1_1__3_FeedIntakeForGrazingBeef(J51,J59,L29)</f>
        <v>9.145195140114998</v>
      </c>
      <c r="K67" s="51" cm="1">
        <f t="array" ref="K67">EntericMethane_PastureBeef_Equations.VEERG_3_2_1_1__3_FeedIntakeForGrazingBeef(K51,K59,M29)</f>
        <v>4.5122681240999984</v>
      </c>
      <c r="L67" s="51" cm="1">
        <f t="array" ref="L67">EntericMethane_PastureBeef_Equations.VEERG_3_2_1_1__3_FeedIntakeForGrazingBeef(L51,L59,N29)</f>
        <v>6.8698506815999991</v>
      </c>
      <c r="M67" s="51" cm="1">
        <f t="array" ref="M67">EntericMethane_PastureBeef_Equations.VEERG_3_2_1_1__3_FeedIntakeForGrazingBeef(M51,M59,O29)</f>
        <v>6.8698506815999991</v>
      </c>
      <c r="N67" s="51" cm="1">
        <f t="array" ref="N67">EntericMethane_PastureBeef_Equations.VEERG_3_2_1_1__3_FeedIntakeForGrazingBeef(N51,N59,P29)</f>
        <v>6.8698506815999991</v>
      </c>
      <c r="O67" s="2" t="str">
        <f>$E$39</f>
        <v>kg DM/head/day</v>
      </c>
      <c r="P67" s="2"/>
      <c r="Q67" s="2"/>
      <c r="U67" s="51" t="str">
        <f>TEXT(EDATE('Input - Site'!$E$12,7), "mmmm yyyy")</f>
        <v>August 2024</v>
      </c>
      <c r="V67" s="51">
        <f>'Input - Pasture Beef'!E95</f>
        <v>0.99</v>
      </c>
      <c r="W67" s="51">
        <f>'Input - Pasture Beef'!F95</f>
        <v>0.22</v>
      </c>
      <c r="X67" s="51">
        <f>'Input - Pasture Beef'!G95</f>
        <v>0.77</v>
      </c>
      <c r="Y67" s="51">
        <f>'Input - Pasture Beef'!H95</f>
        <v>0.11</v>
      </c>
      <c r="Z67" s="51">
        <f>'Input - Pasture Beef'!I95</f>
        <v>0.11</v>
      </c>
      <c r="AA67" s="51">
        <f>'Input - Pasture Beef'!J95</f>
        <v>0.11</v>
      </c>
      <c r="AB67" s="51">
        <f>'Input - Pasture Beef'!K95</f>
        <v>0.77</v>
      </c>
      <c r="AC67" s="51">
        <f>'Input - Pasture Beef'!L95</f>
        <v>0.44</v>
      </c>
      <c r="AD67" s="51">
        <f>'Input - Pasture Beef'!M95</f>
        <v>0.44</v>
      </c>
      <c r="AE67" s="51">
        <f>'Input - Pasture Beef'!N95</f>
        <v>0.44</v>
      </c>
      <c r="AF67" s="2" t="s">
        <v>107</v>
      </c>
    </row>
    <row r="68" spans="3:34" ht="20.100000000000001" customHeight="1" x14ac:dyDescent="0.25">
      <c r="U68" s="51" t="str">
        <f>TEXT(EDATE('Input - Site'!$E$12,8), "mmmm yyyy")</f>
        <v>September 2024</v>
      </c>
      <c r="V68" s="51">
        <f>'Input - Pasture Beef'!E96</f>
        <v>1.64</v>
      </c>
      <c r="W68" s="51">
        <f>'Input - Pasture Beef'!F96</f>
        <v>1.1000000000000001</v>
      </c>
      <c r="X68" s="51">
        <f>'Input - Pasture Beef'!G96</f>
        <v>1.21</v>
      </c>
      <c r="Y68" s="51">
        <f>'Input - Pasture Beef'!H96</f>
        <v>0.99</v>
      </c>
      <c r="Z68" s="51">
        <f>'Input - Pasture Beef'!I96</f>
        <v>0.66</v>
      </c>
      <c r="AA68" s="51">
        <f>'Input - Pasture Beef'!J96</f>
        <v>0.66</v>
      </c>
      <c r="AB68" s="51">
        <f>'Input - Pasture Beef'!K96</f>
        <v>1.42</v>
      </c>
      <c r="AC68" s="51">
        <f>'Input - Pasture Beef'!L96</f>
        <v>1.1000000000000001</v>
      </c>
      <c r="AD68" s="51">
        <f>'Input - Pasture Beef'!M96</f>
        <v>1.1000000000000001</v>
      </c>
      <c r="AE68" s="51">
        <f>'Input - Pasture Beef'!N96</f>
        <v>1.1000000000000001</v>
      </c>
      <c r="AF68" s="2" t="s">
        <v>107</v>
      </c>
      <c r="AG68" s="2"/>
      <c r="AH68" s="2"/>
    </row>
    <row r="69" spans="3:34" ht="20.100000000000001" customHeight="1" x14ac:dyDescent="0.25">
      <c r="U69" s="51" t="str">
        <f>TEXT(EDATE('Input - Site'!$E$12,9), "mmmm yyyy")</f>
        <v>October 2024</v>
      </c>
      <c r="V69" s="51">
        <f>'Input - Pasture Beef'!E97</f>
        <v>1.64</v>
      </c>
      <c r="W69" s="51">
        <f>'Input - Pasture Beef'!F97</f>
        <v>1.1000000000000001</v>
      </c>
      <c r="X69" s="51">
        <f>'Input - Pasture Beef'!G97</f>
        <v>1.21</v>
      </c>
      <c r="Y69" s="51">
        <f>'Input - Pasture Beef'!H97</f>
        <v>0.99</v>
      </c>
      <c r="Z69" s="51">
        <f>'Input - Pasture Beef'!I97</f>
        <v>0.66</v>
      </c>
      <c r="AA69" s="51">
        <f>'Input - Pasture Beef'!J97</f>
        <v>0.66</v>
      </c>
      <c r="AB69" s="51">
        <f>'Input - Pasture Beef'!K97</f>
        <v>1.42</v>
      </c>
      <c r="AC69" s="51">
        <f>'Input - Pasture Beef'!L97</f>
        <v>1.1000000000000001</v>
      </c>
      <c r="AD69" s="51">
        <f>'Input - Pasture Beef'!M97</f>
        <v>1.1000000000000001</v>
      </c>
      <c r="AE69" s="51">
        <f>'Input - Pasture Beef'!N97</f>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 yyyy")</f>
        <v>November 2024</v>
      </c>
      <c r="V70" s="51">
        <f>'Input - Pasture Beef'!E98</f>
        <v>1.64</v>
      </c>
      <c r="W70" s="51">
        <f>'Input - Pasture Beef'!F98</f>
        <v>1.1000000000000001</v>
      </c>
      <c r="X70" s="51">
        <f>'Input - Pasture Beef'!G98</f>
        <v>1.21</v>
      </c>
      <c r="Y70" s="51">
        <f>'Input - Pasture Beef'!H98</f>
        <v>0.99</v>
      </c>
      <c r="Z70" s="51">
        <f>'Input - Pasture Beef'!I98</f>
        <v>0.66</v>
      </c>
      <c r="AA70" s="51">
        <f>'Input - Pasture Beef'!J98</f>
        <v>0.66</v>
      </c>
      <c r="AB70" s="51">
        <f>'Input - Pasture Beef'!K98</f>
        <v>1.42</v>
      </c>
      <c r="AC70" s="51">
        <f>'Input - Pasture Beef'!L98</f>
        <v>1.1000000000000001</v>
      </c>
      <c r="AD70" s="51">
        <f>'Input - Pasture Beef'!M98</f>
        <v>1.1000000000000001</v>
      </c>
      <c r="AE70" s="51">
        <f>'Input - Pasture Beef'!N98</f>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 yyyy")</f>
        <v>December 2024</v>
      </c>
      <c r="V71" s="51">
        <f>'Input - Pasture Beef'!E99</f>
        <v>0.44</v>
      </c>
      <c r="W71" s="51">
        <f>'Input - Pasture Beef'!F99</f>
        <v>-0.22</v>
      </c>
      <c r="X71" s="51">
        <f>'Input - Pasture Beef'!G99</f>
        <v>0.44</v>
      </c>
      <c r="Y71" s="51">
        <f>'Input - Pasture Beef'!H99</f>
        <v>0.33</v>
      </c>
      <c r="Z71" s="51">
        <f>'Input - Pasture Beef'!I99</f>
        <v>-0.22</v>
      </c>
      <c r="AA71" s="51">
        <f>'Input - Pasture Beef'!J99</f>
        <v>-0.22</v>
      </c>
      <c r="AB71" s="51">
        <f>'Input - Pasture Beef'!K99</f>
        <v>0.44</v>
      </c>
      <c r="AC71" s="51">
        <f>'Input - Pasture Beef'!L99</f>
        <v>-0.11</v>
      </c>
      <c r="AD71" s="51">
        <f>'Input - Pasture Beef'!M99</f>
        <v>-0.11</v>
      </c>
      <c r="AE71" s="51">
        <f>'Input - Pasture Beef'!N99</f>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ref="V76">EntericMethane_PastureBeef_Equations.VEERG_3_2_1_1__3_FeedIntakeForGrazingBeef(V44,V60,X28)</f>
        <v>7.1468536895999959</v>
      </c>
      <c r="W76" s="51" cm="1">
        <f t="array" ref="W76">EntericMethane_PastureBeef_Equations.VEERG_3_2_1_1__3_FeedIntakeForGrazingBeef(W44,W60,Y28)</f>
        <v>9.4559940036000008</v>
      </c>
      <c r="X76" s="51" cm="1">
        <f t="array" ref="X76">EntericMethane_PastureBeef_Equations.VEERG_3_2_1_1__3_FeedIntakeForGrazingBeef(X44,X60,Z28)</f>
        <v>6.010342559999998</v>
      </c>
      <c r="Y76" s="51" cm="1">
        <f t="array" ref="Y76">EntericMethane_PastureBeef_Equations.VEERG_3_2_1_1__3_FeedIntakeForGrazingBeef(Y44,Y60,AA28)</f>
        <v>8.4608409301875014</v>
      </c>
      <c r="Z76" s="51" cm="1">
        <f t="array" ref="Z76">EntericMethane_PastureBeef_Equations.VEERG_3_2_1_1__3_FeedIntakeForGrazingBeef(Z44,Z60,AB28)</f>
        <v>8.3772677761199983</v>
      </c>
      <c r="AA76" s="51" cm="1">
        <f t="array" ref="AA76">EntericMethane_PastureBeef_Equations.VEERG_3_2_1_1__3_FeedIntakeForGrazingBeef(AA44,AA60,AC28)</f>
        <v>8.3772677761199983</v>
      </c>
      <c r="AB76" s="51" cm="1">
        <f t="array" ref="AB76">EntericMethane_PastureBeef_Equations.VEERG_3_2_1_1__3_FeedIntakeForGrazingBeef(AB44,AB60,AD28)</f>
        <v>6.5876408896000003</v>
      </c>
      <c r="AC76" s="51" cm="1">
        <f t="array" ref="AC76">EntericMethane_PastureBeef_Equations.VEERG_3_2_1_1__3_FeedIntakeForGrazingBeef(AC44,AC60,AE28)</f>
        <v>7.3430702361</v>
      </c>
      <c r="AD76" s="51" cm="1">
        <f t="array" ref="AD76">EntericMethane_PastureBeef_Equations.VEERG_3_2_1_1__3_FeedIntakeForGrazingBeef(AD44,AD60,AF28)</f>
        <v>7.3430702361</v>
      </c>
      <c r="AE76" s="51" cm="1">
        <f t="array" ref="AE76">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ref="V77">EntericMethane_PastureBeef_Equations.VEERG_3_2_1_1__3_FeedIntakeForGrazingBeef(V45,V61,X29)</f>
        <v>7.1468536895999959</v>
      </c>
      <c r="W77" s="51" cm="1">
        <f t="array" ref="W77">EntericMethane_PastureBeef_Equations.VEERG_3_2_1_1__3_FeedIntakeForGrazingBeef(W45,W61,Y29)</f>
        <v>9.4559940036000008</v>
      </c>
      <c r="X77" s="51" cm="1">
        <f t="array" ref="X77">EntericMethane_PastureBeef_Equations.VEERG_3_2_1_1__3_FeedIntakeForGrazingBeef(X45,X61,Z29)</f>
        <v>6.010342559999998</v>
      </c>
      <c r="Y77" s="51" cm="1">
        <f t="array" ref="Y77">EntericMethane_PastureBeef_Equations.VEERG_3_2_1_1__3_FeedIntakeForGrazingBeef(Y45,Y61,AA29)</f>
        <v>7.8705497025</v>
      </c>
      <c r="Z77" s="51" cm="1">
        <f t="array" ref="Z77">EntericMethane_PastureBeef_Equations.VEERG_3_2_1_1__3_FeedIntakeForGrazingBeef(Z45,Z61,AB29)</f>
        <v>7.7928072335999978</v>
      </c>
      <c r="AA77" s="51" cm="1">
        <f t="array" ref="AA77">EntericMethane_PastureBeef_Equations.VEERG_3_2_1_1__3_FeedIntakeForGrazingBeef(AA45,AA61,AC29)</f>
        <v>7.7928072335999978</v>
      </c>
      <c r="AB77" s="51" cm="1">
        <f t="array" ref="AB77">EntericMethane_PastureBeef_Equations.VEERG_3_2_1_1__3_FeedIntakeForGrazingBeef(AB45,AB61,AD29)</f>
        <v>6.5876408896000003</v>
      </c>
      <c r="AC77" s="51" cm="1">
        <f t="array" ref="AC77">EntericMethane_PastureBeef_Equations.VEERG_3_2_1_1__3_FeedIntakeForGrazingBeef(AC45,AC61,AE29)</f>
        <v>7.3430702361</v>
      </c>
      <c r="AD77" s="51" cm="1">
        <f t="array" ref="AD77">EntericMethane_PastureBeef_Equations.VEERG_3_2_1_1__3_FeedIntakeForGrazingBeef(AD45,AD61,AF29)</f>
        <v>7.3430702361</v>
      </c>
      <c r="AE77" s="51" cm="1">
        <f t="array" ref="AE77">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ref="V78">EntericMethane_PastureBeef_Equations.VEERG_3_2_1_1__3_FeedIntakeForGrazingBeef(V46,V62,X30)</f>
        <v>3.247204</v>
      </c>
      <c r="W78" s="51" cm="1">
        <f t="array" ref="W78">EntericMethane_PastureBeef_Equations.VEERG_3_2_1_1__3_FeedIntakeForGrazingBeef(W46,W62,Y30)</f>
        <v>9.4246544015999998</v>
      </c>
      <c r="X78" s="51" cm="1">
        <f t="array" ref="X78">EntericMethane_PastureBeef_Equations.VEERG_3_2_1_1__3_FeedIntakeForGrazingBeef(X46,X62,Z30)</f>
        <v>2.9603267136000002</v>
      </c>
      <c r="Y78" s="51" cm="1">
        <f t="array" ref="Y78">EntericMethane_PastureBeef_Equations.VEERG_3_2_1_1__3_FeedIntakeForGrazingBeef(Y46,Y62,AA30)</f>
        <v>5.9577975395999987</v>
      </c>
      <c r="Z78" s="51" cm="1">
        <f t="array" ref="Z78">EntericMethane_PastureBeef_Equations.VEERG_3_2_1_1__3_FeedIntakeForGrazingBeef(Z46,Z62,AB30)</f>
        <v>6.7179974480999993</v>
      </c>
      <c r="AA78" s="51" cm="1">
        <f t="array" ref="AA78">EntericMethane_PastureBeef_Equations.VEERG_3_2_1_1__3_FeedIntakeForGrazingBeef(AA46,AA62,AC30)</f>
        <v>6.7179974480999993</v>
      </c>
      <c r="AB78" s="51" cm="1">
        <f t="array" ref="AB78">EntericMethane_PastureBeef_Equations.VEERG_3_2_1_1__3_FeedIntakeForGrazingBeef(AB46,AB62,AD30)</f>
        <v>3.247204</v>
      </c>
      <c r="AC78" s="51" cm="1">
        <f t="array" ref="AC78">EntericMethane_PastureBeef_Equations.VEERG_3_2_1_1__3_FeedIntakeForGrazingBeef(AC46,AC62,AE30)</f>
        <v>5.8953782416000013</v>
      </c>
      <c r="AD78" s="51" cm="1">
        <f t="array" ref="AD78">EntericMethane_PastureBeef_Equations.VEERG_3_2_1_1__3_FeedIntakeForGrazingBeef(AD46,AD62,AF30)</f>
        <v>5.8953782416000013</v>
      </c>
      <c r="AE78" s="51" cm="1">
        <f t="array" ref="AE78">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ref="V79">EntericMethane_PastureBeef_Equations.VEERG_3_2_1_1__3_FeedIntakeForGrazingBeef(V47,V63,X31)</f>
        <v>3.247204</v>
      </c>
      <c r="W79" s="51" cm="1">
        <f t="array" ref="W79">EntericMethane_PastureBeef_Equations.VEERG_3_2_1_1__3_FeedIntakeForGrazingBeef(W47,W63,Y31)</f>
        <v>9.4246544015999998</v>
      </c>
      <c r="X79" s="51" cm="1">
        <f t="array" ref="X79">EntericMethane_PastureBeef_Equations.VEERG_3_2_1_1__3_FeedIntakeForGrazingBeef(X47,X63,Z31)</f>
        <v>2.9603267136000002</v>
      </c>
      <c r="Y79" s="51" cm="1">
        <f t="array" ref="Y79">EntericMethane_PastureBeef_Equations.VEERG_3_2_1_1__3_FeedIntakeForGrazingBeef(Y47,Y63,AA31)</f>
        <v>5.9577975395999987</v>
      </c>
      <c r="Z79" s="51" cm="1">
        <f t="array" ref="Z79">EntericMethane_PastureBeef_Equations.VEERG_3_2_1_1__3_FeedIntakeForGrazingBeef(Z47,Z63,AB31)</f>
        <v>6.7179974480999993</v>
      </c>
      <c r="AA79" s="51" cm="1">
        <f t="array" ref="AA79">EntericMethane_PastureBeef_Equations.VEERG_3_2_1_1__3_FeedIntakeForGrazingBeef(AA47,AA63,AC31)</f>
        <v>6.7179974480999993</v>
      </c>
      <c r="AB79" s="51" cm="1">
        <f t="array" ref="AB79">EntericMethane_PastureBeef_Equations.VEERG_3_2_1_1__3_FeedIntakeForGrazingBeef(AB47,AB63,AD31)</f>
        <v>3.247204</v>
      </c>
      <c r="AC79" s="51" cm="1">
        <f t="array" ref="AC79">EntericMethane_PastureBeef_Equations.VEERG_3_2_1_1__3_FeedIntakeForGrazingBeef(AC47,AC63,AE31)</f>
        <v>5.8953782416000013</v>
      </c>
      <c r="AD79" s="51" cm="1">
        <f t="array" ref="AD79">EntericMethane_PastureBeef_Equations.VEERG_3_2_1_1__3_FeedIntakeForGrazingBeef(AD47,AD63,AF31)</f>
        <v>5.8953782416000013</v>
      </c>
      <c r="AE79" s="51" cm="1">
        <f t="array" ref="AE79">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ref="V80">EntericMethane_PastureBeef_Equations.VEERG_3_2_1_1__3_FeedIntakeForGrazingBeef(V48,V64,X32)</f>
        <v>3.247204</v>
      </c>
      <c r="W80" s="51" cm="1">
        <f t="array" ref="W80">EntericMethane_PastureBeef_Equations.VEERG_3_2_1_1__3_FeedIntakeForGrazingBeef(W48,W64,Y32)</f>
        <v>9.4246544015999998</v>
      </c>
      <c r="X80" s="51" cm="1">
        <f t="array" ref="X80">EntericMethane_PastureBeef_Equations.VEERG_3_2_1_1__3_FeedIntakeForGrazingBeef(X48,X64,Z32)</f>
        <v>2.9603267136000002</v>
      </c>
      <c r="Y80" s="51" cm="1">
        <f t="array" ref="Y80">EntericMethane_PastureBeef_Equations.VEERG_3_2_1_1__3_FeedIntakeForGrazingBeef(Y48,Y64,AA32)</f>
        <v>5.9577975395999987</v>
      </c>
      <c r="Z80" s="51" cm="1">
        <f t="array" ref="Z80">EntericMethane_PastureBeef_Equations.VEERG_3_2_1_1__3_FeedIntakeForGrazingBeef(Z48,Z64,AB32)</f>
        <v>6.7179974480999993</v>
      </c>
      <c r="AA80" s="51" cm="1">
        <f t="array" ref="AA80">EntericMethane_PastureBeef_Equations.VEERG_3_2_1_1__3_FeedIntakeForGrazingBeef(AA48,AA64,AC32)</f>
        <v>6.7179974480999993</v>
      </c>
      <c r="AB80" s="51" cm="1">
        <f t="array" ref="AB80">EntericMethane_PastureBeef_Equations.VEERG_3_2_1_1__3_FeedIntakeForGrazingBeef(AB48,AB64,AD32)</f>
        <v>3.247204</v>
      </c>
      <c r="AC80" s="51" cm="1">
        <f t="array" ref="AC80">EntericMethane_PastureBeef_Equations.VEERG_3_2_1_1__3_FeedIntakeForGrazingBeef(AC48,AC64,AE32)</f>
        <v>5.8953782416000013</v>
      </c>
      <c r="AD80" s="51" cm="1">
        <f t="array" ref="AD80">EntericMethane_PastureBeef_Equations.VEERG_3_2_1_1__3_FeedIntakeForGrazingBeef(AD48,AD64,AF32)</f>
        <v>5.8953782416000013</v>
      </c>
      <c r="AE80" s="51" cm="1">
        <f t="array" ref="AE80">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ref="V81">EntericMethane_PastureBeef_Equations.VEERG_3_2_1_1__3_FeedIntakeForGrazingBeef(V49,V65,X33)</f>
        <v>5.1328980481000004</v>
      </c>
      <c r="W81" s="51" cm="1">
        <f t="array" ref="W81">EntericMethane_PastureBeef_Equations.VEERG_3_2_1_1__3_FeedIntakeForGrazingBeef(W49,W65,Y33)</f>
        <v>9.9748588899999984</v>
      </c>
      <c r="X81" s="51" cm="1">
        <f t="array" ref="X81">EntericMethane_PastureBeef_Equations.VEERG_3_2_1_1__3_FeedIntakeForGrazingBeef(X49,X65,Z33)</f>
        <v>4.202705002500001</v>
      </c>
      <c r="Y81" s="51" cm="1">
        <f t="array" ref="Y81">EntericMethane_PastureBeef_Equations.VEERG_3_2_1_1__3_FeedIntakeForGrazingBeef(Y49,Y65,AA33)</f>
        <v>5.9278127841000021</v>
      </c>
      <c r="Z81" s="51" cm="1">
        <f t="array" ref="Z81">EntericMethane_PastureBeef_Equations.VEERG_3_2_1_1__3_FeedIntakeForGrazingBeef(Z49,Z65,AB33)</f>
        <v>7.952343600099999</v>
      </c>
      <c r="AA81" s="51" cm="1">
        <f t="array" ref="AA81">EntericMethane_PastureBeef_Equations.VEERG_3_2_1_1__3_FeedIntakeForGrazingBeef(AA49,AA65,AC33)</f>
        <v>7.952343600099999</v>
      </c>
      <c r="AB81" s="51" cm="1">
        <f t="array" ref="AB81">EntericMethane_PastureBeef_Equations.VEERG_3_2_1_1__3_FeedIntakeForGrazingBeef(AB49,AB65,AD33)</f>
        <v>4.5122681240999984</v>
      </c>
      <c r="AC81" s="51" cm="1">
        <f t="array" ref="AC81">EntericMethane_PastureBeef_Equations.VEERG_3_2_1_1__3_FeedIntakeForGrazingBeef(AC49,AC65,AE33)</f>
        <v>6.8698506815999991</v>
      </c>
      <c r="AD81" s="51" cm="1">
        <f t="array" ref="AD81">EntericMethane_PastureBeef_Equations.VEERG_3_2_1_1__3_FeedIntakeForGrazingBeef(AD49,AD65,AF33)</f>
        <v>6.8698506815999991</v>
      </c>
      <c r="AE81" s="51" cm="1">
        <f t="array" ref="AE8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ref="V82">EntericMethane_PastureBeef_Equations.VEERG_3_2_1_1__3_FeedIntakeForGrazingBeef(V50,V66,X34)</f>
        <v>5.1328980481000004</v>
      </c>
      <c r="W82" s="51" cm="1">
        <f t="array" ref="W82">EntericMethane_PastureBeef_Equations.VEERG_3_2_1_1__3_FeedIntakeForGrazingBeef(W50,W66,Y34)</f>
        <v>9.9748588899999984</v>
      </c>
      <c r="X82" s="51" cm="1">
        <f t="array" ref="X82">EntericMethane_PastureBeef_Equations.VEERG_3_2_1_1__3_FeedIntakeForGrazingBeef(X50,X66,Z34)</f>
        <v>4.202705002500001</v>
      </c>
      <c r="Y82" s="51" cm="1">
        <f t="array" ref="Y82">EntericMethane_PastureBeef_Equations.VEERG_3_2_1_1__3_FeedIntakeForGrazingBeef(Y50,Y66,AA34)</f>
        <v>5.9278127841000021</v>
      </c>
      <c r="Z82" s="51" cm="1">
        <f t="array" ref="Z82">EntericMethane_PastureBeef_Equations.VEERG_3_2_1_1__3_FeedIntakeForGrazingBeef(Z50,Z66,AB34)</f>
        <v>7.952343600099999</v>
      </c>
      <c r="AA82" s="51" cm="1">
        <f t="array" ref="AA82">EntericMethane_PastureBeef_Equations.VEERG_3_2_1_1__3_FeedIntakeForGrazingBeef(AA50,AA66,AC34)</f>
        <v>7.952343600099999</v>
      </c>
      <c r="AB82" s="51" cm="1">
        <f t="array" ref="AB82">EntericMethane_PastureBeef_Equations.VEERG_3_2_1_1__3_FeedIntakeForGrazingBeef(AB50,AB66,AD34)</f>
        <v>4.5122681240999984</v>
      </c>
      <c r="AC82" s="51" cm="1">
        <f t="array" ref="AC82">EntericMethane_PastureBeef_Equations.VEERG_3_2_1_1__3_FeedIntakeForGrazingBeef(AC50,AC66,AE34)</f>
        <v>6.8698506815999991</v>
      </c>
      <c r="AD82" s="51" cm="1">
        <f t="array" ref="AD82">EntericMethane_PastureBeef_Equations.VEERG_3_2_1_1__3_FeedIntakeForGrazingBeef(AD50,AD66,AF34)</f>
        <v>6.8698506815999991</v>
      </c>
      <c r="AE82" s="51" cm="1">
        <f t="array" ref="AE82">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ref="V83">EntericMethane_PastureBeef_Equations.VEERG_3_2_1_1__3_FeedIntakeForGrazingBeef(V51,V67,X35)</f>
        <v>5.1328980481000004</v>
      </c>
      <c r="W83" s="51" cm="1">
        <f t="array" ref="W83">EntericMethane_PastureBeef_Equations.VEERG_3_2_1_1__3_FeedIntakeForGrazingBeef(W51,W67,Y35)</f>
        <v>9.9748588899999984</v>
      </c>
      <c r="X83" s="51" cm="1">
        <f t="array" ref="X83">EntericMethane_PastureBeef_Equations.VEERG_3_2_1_1__3_FeedIntakeForGrazingBeef(X51,X67,Z35)</f>
        <v>4.202705002500001</v>
      </c>
      <c r="Y83" s="51" cm="1">
        <f t="array" ref="Y83">EntericMethane_PastureBeef_Equations.VEERG_3_2_1_1__3_FeedIntakeForGrazingBeef(Y51,Y67,AA35)</f>
        <v>7.2615706605225032</v>
      </c>
      <c r="Z83" s="51" cm="1">
        <f t="array" ref="Z83">EntericMethane_PastureBeef_Equations.VEERG_3_2_1_1__3_FeedIntakeForGrazingBeef(Z51,Z67,AB35)</f>
        <v>9.7416209101224993</v>
      </c>
      <c r="AA83" s="51" cm="1">
        <f t="array" ref="AA83">EntericMethane_PastureBeef_Equations.VEERG_3_2_1_1__3_FeedIntakeForGrazingBeef(AA51,AA67,AC35)</f>
        <v>9.7416209101224993</v>
      </c>
      <c r="AB83" s="51" cm="1">
        <f t="array" ref="AB83">EntericMethane_PastureBeef_Equations.VEERG_3_2_1_1__3_FeedIntakeForGrazingBeef(AB51,AB67,AD35)</f>
        <v>4.5122681240999984</v>
      </c>
      <c r="AC83" s="51" cm="1">
        <f t="array" ref="AC83">EntericMethane_PastureBeef_Equations.VEERG_3_2_1_1__3_FeedIntakeForGrazingBeef(AC51,AC67,AE35)</f>
        <v>6.8698506815999991</v>
      </c>
      <c r="AD83" s="51" cm="1">
        <f t="array" ref="AD83">EntericMethane_PastureBeef_Equations.VEERG_3_2_1_1__3_FeedIntakeForGrazingBeef(AD51,AD67,AF35)</f>
        <v>6.8698506815999991</v>
      </c>
      <c r="AE83" s="51" cm="1">
        <f t="array" ref="AE83">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ref="V84">EntericMethane_PastureBeef_Equations.VEERG_3_2_1_1__3_FeedIntakeForGrazingBeef(V52,V68,X36)</f>
        <v>8.6709047296000001</v>
      </c>
      <c r="W84" s="51" cm="1">
        <f t="array" ref="W84">EntericMethane_PastureBeef_Equations.VEERG_3_2_1_1__3_FeedIntakeForGrazingBeef(W52,W68,Y36)</f>
        <v>12.246500250000002</v>
      </c>
      <c r="X84" s="51" cm="1">
        <f t="array" ref="X84">EntericMethane_PastureBeef_Equations.VEERG_3_2_1_1__3_FeedIntakeForGrazingBeef(X52,X68,Z36)</f>
        <v>6.6089612241000006</v>
      </c>
      <c r="Y84" s="51" cm="1">
        <f t="array" ref="Y84">EntericMethane_PastureBeef_Equations.VEERG_3_2_1_1__3_FeedIntakeForGrazingBeef(Y52,Y68,AA36)</f>
        <v>10.624527777622504</v>
      </c>
      <c r="Z84" s="51" cm="1">
        <f t="array" ref="Z84">EntericMethane_PastureBeef_Equations.VEERG_3_2_1_1__3_FeedIntakeForGrazingBeef(Z52,Z68,AB36)</f>
        <v>11.798087161000003</v>
      </c>
      <c r="AA84" s="51" cm="1">
        <f t="array" ref="AA84">EntericMethane_PastureBeef_Equations.VEERG_3_2_1_1__3_FeedIntakeForGrazingBeef(AA52,AA68,AC36)</f>
        <v>11.798087161000003</v>
      </c>
      <c r="AB84" s="51" cm="1">
        <f t="array" ref="AB84">EntericMethane_PastureBeef_Equations.VEERG_3_2_1_1__3_FeedIntakeForGrazingBeef(AB52,AB68,AD36)</f>
        <v>7.6192560899999977</v>
      </c>
      <c r="AC84" s="51" cm="1">
        <f t="array" ref="AC84">EntericMethane_PastureBeef_Equations.VEERG_3_2_1_1__3_FeedIntakeForGrazingBeef(AC52,AC68,AE36)</f>
        <v>9.6824279555999979</v>
      </c>
      <c r="AD84" s="51" cm="1">
        <f t="array" ref="AD84">EntericMethane_PastureBeef_Equations.VEERG_3_2_1_1__3_FeedIntakeForGrazingBeef(AD52,AD68,AF36)</f>
        <v>9.6824279555999979</v>
      </c>
      <c r="AE84" s="51" cm="1">
        <f t="array" ref="AE84">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ref="E85">EntericMethane_PastureBeef_Equations.VEERG_3_2_1_1__2_DailyEntericMethaneProduction(E64)</f>
        <v>0.17948772790272</v>
      </c>
      <c r="F85" s="51" cm="1">
        <f t="array" ref="F85">EntericMethane_PastureBeef_Equations.VEERG_3_2_1_1__2_DailyEntericMethaneProduction(F64)</f>
        <v>0.25350255517500003</v>
      </c>
      <c r="G85" s="51" cm="1">
        <f t="array" ref="G85">EntericMethane_PastureBeef_Equations.VEERG_3_2_1_1__2_DailyEntericMethaneProduction(G64)</f>
        <v>0.13680549733887001</v>
      </c>
      <c r="H85" s="51" cm="1">
        <f t="array" ref="H85">EntericMethane_PastureBeef_Equations.VEERG_3_2_1_1__2_DailyEntericMethaneProduction(H64)</f>
        <v>0.19569079203795636</v>
      </c>
      <c r="I85" s="51" cm="1">
        <f t="array" ref="I85">EntericMethane_PastureBeef_Equations.VEERG_3_2_1_1__2_DailyEntericMethaneProduction(I64)</f>
        <v>0.20933177505660003</v>
      </c>
      <c r="J85" s="51" cm="1">
        <f t="array" ref="J85">EntericMethane_PastureBeef_Equations.VEERG_3_2_1_1__2_DailyEntericMethaneProduction(J64)</f>
        <v>0.20933177505660003</v>
      </c>
      <c r="K85" s="51" cm="1">
        <f t="array" ref="K85">EntericMethane_PastureBeef_Equations.VEERG_3_2_1_1__2_DailyEntericMethaneProduction(K64)</f>
        <v>0.15771860106299995</v>
      </c>
      <c r="L85" s="51" cm="1">
        <f t="array" ref="L85">EntericMethane_PastureBeef_Equations.VEERG_3_2_1_1__2_DailyEntericMethaneProduction(L64)</f>
        <v>0.20042625868091996</v>
      </c>
      <c r="M85" s="51" cm="1">
        <f t="array" ref="M85">EntericMethane_PastureBeef_Equations.VEERG_3_2_1_1__2_DailyEntericMethaneProduction(M64)</f>
        <v>0.20042625868091996</v>
      </c>
      <c r="N85" s="51" cm="1">
        <f t="array" ref="N85">EntericMethane_PastureBeef_Equations.VEERG_3_2_1_1__2_DailyEntericMethaneProduction(N64)</f>
        <v>0.20042625868091996</v>
      </c>
      <c r="O85" s="2" t="str">
        <f>G80</f>
        <v>kg DM/head/day</v>
      </c>
      <c r="P85" s="2"/>
      <c r="Q85" s="2"/>
      <c r="U85" s="51" t="str">
        <f>TEXT(EDATE('Input - Site'!$E$12,9), "mmmm yyyy")</f>
        <v>October 2024</v>
      </c>
      <c r="V85" s="51" cm="1">
        <f t="array" ref="V85">EntericMethane_PastureBeef_Equations.VEERG_3_2_1_1__3_FeedIntakeForGrazingBeef(V53,V69,X37)</f>
        <v>8.6709047296000001</v>
      </c>
      <c r="W85" s="51" cm="1">
        <f t="array" ref="W85">EntericMethane_PastureBeef_Equations.VEERG_3_2_1_1__3_FeedIntakeForGrazingBeef(W53,W69,Y37)</f>
        <v>12.246500250000002</v>
      </c>
      <c r="X85" s="51" cm="1">
        <f t="array" ref="X85">EntericMethane_PastureBeef_Equations.VEERG_3_2_1_1__3_FeedIntakeForGrazingBeef(X53,X69,Z37)</f>
        <v>6.6089612241000006</v>
      </c>
      <c r="Y85" s="51" cm="1">
        <f t="array" ref="Y85">EntericMethane_PastureBeef_Equations.VEERG_3_2_1_1__3_FeedIntakeForGrazingBeef(Y53,Y69,AA37)</f>
        <v>10.624527777622504</v>
      </c>
      <c r="Z85" s="51" cm="1">
        <f t="array" ref="Z85">EntericMethane_PastureBeef_Equations.VEERG_3_2_1_1__3_FeedIntakeForGrazingBeef(Z53,Z69,AB37)</f>
        <v>11.798087161000003</v>
      </c>
      <c r="AA85" s="51" cm="1">
        <f t="array" ref="AA85">EntericMethane_PastureBeef_Equations.VEERG_3_2_1_1__3_FeedIntakeForGrazingBeef(AA53,AA69,AC37)</f>
        <v>11.798087161000003</v>
      </c>
      <c r="AB85" s="51" cm="1">
        <f t="array" ref="AB85">EntericMethane_PastureBeef_Equations.VEERG_3_2_1_1__3_FeedIntakeForGrazingBeef(AB53,AB69,AD37)</f>
        <v>7.6192560899999977</v>
      </c>
      <c r="AC85" s="51" cm="1">
        <f t="array" ref="AC85">EntericMethane_PastureBeef_Equations.VEERG_3_2_1_1__3_FeedIntakeForGrazingBeef(AC53,AC69,AE37)</f>
        <v>9.6824279555999979</v>
      </c>
      <c r="AD85" s="51" cm="1">
        <f t="array" ref="AD85">EntericMethane_PastureBeef_Equations.VEERG_3_2_1_1__3_FeedIntakeForGrazingBeef(AD53,AD69,AF37)</f>
        <v>9.6824279555999979</v>
      </c>
      <c r="AE85" s="51" cm="1">
        <f t="array" ref="AE85">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ref="E86">EntericMethane_PastureBeef_Equations.VEERG_3_2_1_1__2_DailyEntericMethaneProduction(E65)</f>
        <v>0.14793987137471989</v>
      </c>
      <c r="F86" s="51" cm="1">
        <f t="array" ref="F86">EntericMethane_PastureBeef_Equations.VEERG_3_2_1_1__2_DailyEntericMethaneProduction(F65)</f>
        <v>0.19573907587452002</v>
      </c>
      <c r="G86" s="51" cm="1">
        <f t="array" ref="G86">EntericMethane_PastureBeef_Equations.VEERG_3_2_1_1__2_DailyEntericMethaneProduction(G65)</f>
        <v>0.12441409099199996</v>
      </c>
      <c r="H86" s="51" cm="1">
        <f t="array" ref="H86">EntericMethane_PastureBeef_Equations.VEERG_3_2_1_1__2_DailyEntericMethaneProduction(H65)</f>
        <v>0.16292037884175001</v>
      </c>
      <c r="I86" s="51" cm="1">
        <f t="array" ref="I86">EntericMethane_PastureBeef_Equations.VEERG_3_2_1_1__2_DailyEntericMethaneProduction(I65)</f>
        <v>0.16131110973551996</v>
      </c>
      <c r="J86" s="51" cm="1">
        <f t="array" ref="J86">EntericMethane_PastureBeef_Equations.VEERG_3_2_1_1__2_DailyEntericMethaneProduction(J65)</f>
        <v>0.16131110973551996</v>
      </c>
      <c r="K86" s="51" cm="1">
        <f t="array" ref="K86">EntericMethane_PastureBeef_Equations.VEERG_3_2_1_1__2_DailyEntericMethaneProduction(K65)</f>
        <v>0.13636416641471999</v>
      </c>
      <c r="L86" s="51" cm="1">
        <f t="array" ref="L86">EntericMethane_PastureBeef_Equations.VEERG_3_2_1_1__2_DailyEntericMethaneProduction(L65)</f>
        <v>0.15200155388727002</v>
      </c>
      <c r="M86" s="51" cm="1">
        <f t="array" ref="M86">EntericMethane_PastureBeef_Equations.VEERG_3_2_1_1__2_DailyEntericMethaneProduction(M65)</f>
        <v>0.15200155388727002</v>
      </c>
      <c r="N86" s="51" cm="1">
        <f t="array" ref="N86">EntericMethane_PastureBeef_Equations.VEERG_3_2_1_1__2_DailyEntericMethaneProduction(N65)</f>
        <v>0.15200155388727002</v>
      </c>
      <c r="O86" s="2"/>
      <c r="P86" s="2"/>
      <c r="Q86" s="2"/>
      <c r="U86" s="51" t="str">
        <f>TEXT(EDATE('Input - Site'!$E$12,10), "mmmm yyyy")</f>
        <v>November 2024</v>
      </c>
      <c r="V86" s="51" cm="1">
        <f t="array" ref="V86">EntericMethane_PastureBeef_Equations.VEERG_3_2_1_1__3_FeedIntakeForGrazingBeef(V54,V70,X38)</f>
        <v>8.6709047296000001</v>
      </c>
      <c r="W86" s="51" cm="1">
        <f t="array" ref="W86">EntericMethane_PastureBeef_Equations.VEERG_3_2_1_1__3_FeedIntakeForGrazingBeef(W54,W70,Y38)</f>
        <v>12.246500250000002</v>
      </c>
      <c r="X86" s="51" cm="1">
        <f t="array" ref="X86">EntericMethane_PastureBeef_Equations.VEERG_3_2_1_1__3_FeedIntakeForGrazingBeef(X54,X70,Z38)</f>
        <v>6.6089612241000006</v>
      </c>
      <c r="Y86" s="51" cm="1">
        <f t="array" ref="Y86">EntericMethane_PastureBeef_Equations.VEERG_3_2_1_1__3_FeedIntakeForGrazingBeef(Y54,Y70,AA38)</f>
        <v>9.3235651926075036</v>
      </c>
      <c r="Z86" s="51" cm="1">
        <f t="array" ref="Z86">EntericMethane_PastureBeef_Equations.VEERG_3_2_1_1__3_FeedIntakeForGrazingBeef(Z54,Z70,AB38)</f>
        <v>10.353423427000003</v>
      </c>
      <c r="AA86" s="51" cm="1">
        <f t="array" ref="AA86">EntericMethane_PastureBeef_Equations.VEERG_3_2_1_1__3_FeedIntakeForGrazingBeef(AA54,AA70,AC38)</f>
        <v>10.353423427000003</v>
      </c>
      <c r="AB86" s="51" cm="1">
        <f t="array" ref="AB86">EntericMethane_PastureBeef_Equations.VEERG_3_2_1_1__3_FeedIntakeForGrazingBeef(AB54,AB70,AD38)</f>
        <v>7.6192560899999977</v>
      </c>
      <c r="AC86" s="51" cm="1">
        <f t="array" ref="AC86">EntericMethane_PastureBeef_Equations.VEERG_3_2_1_1__3_FeedIntakeForGrazingBeef(AC54,AC70,AE38)</f>
        <v>9.6824279555999979</v>
      </c>
      <c r="AD86" s="51" cm="1">
        <f t="array" ref="AD86">EntericMethane_PastureBeef_Equations.VEERG_3_2_1_1__3_FeedIntakeForGrazingBeef(AD54,AD70,AF38)</f>
        <v>9.6824279555999979</v>
      </c>
      <c r="AE86" s="51" cm="1">
        <f t="array" ref="AE86">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ref="E87">EntericMethane_PastureBeef_Equations.VEERG_3_2_1_1__2_DailyEntericMethaneProduction(E66)</f>
        <v>6.7217122800000001E-2</v>
      </c>
      <c r="F87" s="51" cm="1">
        <f t="array" ref="F87">EntericMethane_PastureBeef_Equations.VEERG_3_2_1_1__2_DailyEntericMethaneProduction(F66)</f>
        <v>0.19509034611311998</v>
      </c>
      <c r="G87" s="51" cm="1">
        <f t="array" ref="G87">EntericMethane_PastureBeef_Equations.VEERG_3_2_1_1__2_DailyEntericMethaneProduction(G66)</f>
        <v>6.1278762971520004E-2</v>
      </c>
      <c r="H87" s="51" cm="1">
        <f t="array" ref="H87">EntericMethane_PastureBeef_Equations.VEERG_3_2_1_1__2_DailyEntericMethaneProduction(H66)</f>
        <v>0.12332640906971998</v>
      </c>
      <c r="I87" s="51" cm="1">
        <f t="array" ref="I87">EntericMethane_PastureBeef_Equations.VEERG_3_2_1_1__2_DailyEntericMethaneProduction(I66)</f>
        <v>0.13906254717566999</v>
      </c>
      <c r="J87" s="51" cm="1">
        <f t="array" ref="J87">EntericMethane_PastureBeef_Equations.VEERG_3_2_1_1__2_DailyEntericMethaneProduction(J66)</f>
        <v>0.13906254717566999</v>
      </c>
      <c r="K87" s="51" cm="1">
        <f t="array" ref="K87">EntericMethane_PastureBeef_Equations.VEERG_3_2_1_1__2_DailyEntericMethaneProduction(K66)</f>
        <v>6.7217122800000001E-2</v>
      </c>
      <c r="L87" s="51" cm="1">
        <f t="array" ref="L87">EntericMethane_PastureBeef_Equations.VEERG_3_2_1_1__2_DailyEntericMethaneProduction(L66)</f>
        <v>0.12203432960112003</v>
      </c>
      <c r="M87" s="51" cm="1">
        <f t="array" ref="M87">EntericMethane_PastureBeef_Equations.VEERG_3_2_1_1__2_DailyEntericMethaneProduction(M66)</f>
        <v>0.12203432960112003</v>
      </c>
      <c r="N87" s="51" cm="1">
        <f t="array" ref="N87">EntericMethane_PastureBeef_Equations.VEERG_3_2_1_1__2_DailyEntericMethaneProduction(N66)</f>
        <v>0.12203432960112003</v>
      </c>
      <c r="O87" s="2"/>
      <c r="P87" s="2"/>
      <c r="Q87" s="2"/>
      <c r="U87" s="51" t="str">
        <f>TEXT(EDATE('Input - Site'!$E$12,11), "mmmm yyyy")</f>
        <v>December 2024</v>
      </c>
      <c r="V87" s="51" cm="1">
        <f t="array" ref="V87">EntericMethane_PastureBeef_Equations.VEERG_3_2_1_1__3_FeedIntakeForGrazingBeef(V55,V71,X39)</f>
        <v>7.1468536895999959</v>
      </c>
      <c r="W87" s="51" cm="1">
        <f t="array" ref="W87">EntericMethane_PastureBeef_Equations.VEERG_3_2_1_1__3_FeedIntakeForGrazingBeef(W55,W71,Y39)</f>
        <v>9.4559940036000008</v>
      </c>
      <c r="X87" s="51" cm="1">
        <f t="array" ref="X87">EntericMethane_PastureBeef_Equations.VEERG_3_2_1_1__3_FeedIntakeForGrazingBeef(X55,X71,Z39)</f>
        <v>6.010342559999998</v>
      </c>
      <c r="Y87" s="51" cm="1">
        <f t="array" ref="Y87">EntericMethane_PastureBeef_Equations.VEERG_3_2_1_1__3_FeedIntakeForGrazingBeef(Y55,Y71,AA39)</f>
        <v>8.4608409301875014</v>
      </c>
      <c r="Z87" s="51" cm="1">
        <f t="array" ref="Z87">EntericMethane_PastureBeef_Equations.VEERG_3_2_1_1__3_FeedIntakeForGrazingBeef(Z55,Z71,AB39)</f>
        <v>8.3772677761199983</v>
      </c>
      <c r="AA87" s="51" cm="1">
        <f t="array" ref="AA87">EntericMethane_PastureBeef_Equations.VEERG_3_2_1_1__3_FeedIntakeForGrazingBeef(AA55,AA71,AC39)</f>
        <v>8.3772677761199983</v>
      </c>
      <c r="AB87" s="51" cm="1">
        <f t="array" ref="AB87">EntericMethane_PastureBeef_Equations.VEERG_3_2_1_1__3_FeedIntakeForGrazingBeef(AB55,AB71,AD39)</f>
        <v>6.5876408896000003</v>
      </c>
      <c r="AC87" s="51" cm="1">
        <f t="array" ref="AC87">EntericMethane_PastureBeef_Equations.VEERG_3_2_1_1__3_FeedIntakeForGrazingBeef(AC55,AC71,AE39)</f>
        <v>7.3430702361</v>
      </c>
      <c r="AD87" s="51" cm="1">
        <f t="array" ref="AD87">EntericMethane_PastureBeef_Equations.VEERG_3_2_1_1__3_FeedIntakeForGrazingBeef(AD55,AD71,AF39)</f>
        <v>7.3430702361</v>
      </c>
      <c r="AE87" s="51" cm="1">
        <f t="array" ref="AE87">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ref="E88">EntericMethane_PastureBeef_Equations.VEERG_3_2_1_1__2_DailyEntericMethaneProduction(E67)</f>
        <v>0.10625098959567</v>
      </c>
      <c r="F88" s="51" cm="1">
        <f t="array" ref="F88">EntericMethane_PastureBeef_Equations.VEERG_3_2_1_1__2_DailyEntericMethaneProduction(F67)</f>
        <v>0.20647957902299996</v>
      </c>
      <c r="G88" s="51" cm="1">
        <f t="array" ref="G88">EntericMethane_PastureBeef_Equations.VEERG_3_2_1_1__2_DailyEntericMethaneProduction(G67)</f>
        <v>8.6995993551750014E-2</v>
      </c>
      <c r="H88" s="51" cm="1">
        <f t="array" ref="H88">EntericMethane_PastureBeef_Equations.VEERG_3_2_1_1__2_DailyEntericMethaneProduction(H67)</f>
        <v>0.15583627028120495</v>
      </c>
      <c r="I88" s="51" cm="1">
        <f t="array" ref="I88">EntericMethane_PastureBeef_Equations.VEERG_3_2_1_1__2_DailyEntericMethaneProduction(I67)</f>
        <v>0.18930553940038045</v>
      </c>
      <c r="J88" s="51" cm="1">
        <f t="array" ref="J88">EntericMethane_PastureBeef_Equations.VEERG_3_2_1_1__2_DailyEntericMethaneProduction(J67)</f>
        <v>0.18930553940038045</v>
      </c>
      <c r="K88" s="51" cm="1">
        <f t="array" ref="K88">EntericMethane_PastureBeef_Equations.VEERG_3_2_1_1__2_DailyEntericMethaneProduction(K67)</f>
        <v>9.3403950168869973E-2</v>
      </c>
      <c r="L88" s="51" cm="1">
        <f t="array" ref="L88">EntericMethane_PastureBeef_Equations.VEERG_3_2_1_1__2_DailyEntericMethaneProduction(L67)</f>
        <v>0.14220590910911998</v>
      </c>
      <c r="M88" s="51" cm="1">
        <f t="array" ref="M88">EntericMethane_PastureBeef_Equations.VEERG_3_2_1_1__2_DailyEntericMethaneProduction(M67)</f>
        <v>0.14220590910911998</v>
      </c>
      <c r="N88" s="51" cm="1">
        <f t="array" ref="N88">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ref="V97">EntericMethane_PastureBeef_Equations.VEERG_3_2_1_1__2_DailyEntericMethaneProduction(V76)</f>
        <v>0.14793987137471989</v>
      </c>
      <c r="W97" s="51" cm="1">
        <f t="array" ref="W97">EntericMethane_PastureBeef_Equations.VEERG_3_2_1_1__2_DailyEntericMethaneProduction(W76)</f>
        <v>0.19573907587452002</v>
      </c>
      <c r="X97" s="51" cm="1">
        <f t="array" ref="X97">EntericMethane_PastureBeef_Equations.VEERG_3_2_1_1__2_DailyEntericMethaneProduction(X76)</f>
        <v>0.12441409099199996</v>
      </c>
      <c r="Y97" s="51" cm="1">
        <f t="array" ref="Y97">EntericMethane_PastureBeef_Equations.VEERG_3_2_1_1__2_DailyEntericMethaneProduction(Y76)</f>
        <v>0.17513940725488128</v>
      </c>
      <c r="Z97" s="51" cm="1">
        <f t="array" ref="Z97">EntericMethane_PastureBeef_Equations.VEERG_3_2_1_1__2_DailyEntericMethaneProduction(Z76)</f>
        <v>0.17340944296568395</v>
      </c>
      <c r="AA97" s="51" cm="1">
        <f t="array" ref="AA97">EntericMethane_PastureBeef_Equations.VEERG_3_2_1_1__2_DailyEntericMethaneProduction(AA76)</f>
        <v>0.17340944296568395</v>
      </c>
      <c r="AB97" s="51" cm="1">
        <f t="array" ref="AB97">EntericMethane_PastureBeef_Equations.VEERG_3_2_1_1__2_DailyEntericMethaneProduction(AB76)</f>
        <v>0.13636416641471999</v>
      </c>
      <c r="AC97" s="51" cm="1">
        <f t="array" ref="AC97">EntericMethane_PastureBeef_Equations.VEERG_3_2_1_1__2_DailyEntericMethaneProduction(AC76)</f>
        <v>0.15200155388727002</v>
      </c>
      <c r="AD97" s="51" cm="1">
        <f t="array" ref="AD97">EntericMethane_PastureBeef_Equations.VEERG_3_2_1_1__2_DailyEntericMethaneProduction(AD76)</f>
        <v>0.15200155388727002</v>
      </c>
      <c r="AE97" s="51" cm="1">
        <f t="array" ref="AE97">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TEXT('Input - Site'!$E$12, "mmmm yyyy")</f>
        <v>January 2024</v>
      </c>
      <c r="V98" s="51" cm="1">
        <f t="array" ref="V98">EntericMethane_PastureBeef_Equations.VEERG_3_2_1_1__2_DailyEntericMethaneProduction(V77)</f>
        <v>0.14793987137471989</v>
      </c>
      <c r="W98" s="51" cm="1">
        <f t="array" ref="W98">EntericMethane_PastureBeef_Equations.VEERG_3_2_1_1__2_DailyEntericMethaneProduction(W77)</f>
        <v>0.19573907587452002</v>
      </c>
      <c r="X98" s="51" cm="1">
        <f t="array" ref="X98">EntericMethane_PastureBeef_Equations.VEERG_3_2_1_1__2_DailyEntericMethaneProduction(X77)</f>
        <v>0.12441409099199996</v>
      </c>
      <c r="Y98" s="51" cm="1">
        <f t="array" ref="Y98">EntericMethane_PastureBeef_Equations.VEERG_3_2_1_1__2_DailyEntericMethaneProduction(Y77)</f>
        <v>0.16292037884175001</v>
      </c>
      <c r="Z98" s="51" cm="1">
        <f t="array" ref="Z98">EntericMethane_PastureBeef_Equations.VEERG_3_2_1_1__2_DailyEntericMethaneProduction(Z77)</f>
        <v>0.16131110973551996</v>
      </c>
      <c r="AA98" s="51" cm="1">
        <f t="array" ref="AA98">EntericMethane_PastureBeef_Equations.VEERG_3_2_1_1__2_DailyEntericMethaneProduction(AA77)</f>
        <v>0.16131110973551996</v>
      </c>
      <c r="AB98" s="51" cm="1">
        <f t="array" ref="AB98">EntericMethane_PastureBeef_Equations.VEERG_3_2_1_1__2_DailyEntericMethaneProduction(AB77)</f>
        <v>0.13636416641471999</v>
      </c>
      <c r="AC98" s="51" cm="1">
        <f t="array" ref="AC98">EntericMethane_PastureBeef_Equations.VEERG_3_2_1_1__2_DailyEntericMethaneProduction(AC77)</f>
        <v>0.15200155388727002</v>
      </c>
      <c r="AD98" s="51" cm="1">
        <f t="array" ref="AD98">EntericMethane_PastureBeef_Equations.VEERG_3_2_1_1__2_DailyEntericMethaneProduction(AD77)</f>
        <v>0.15200155388727002</v>
      </c>
      <c r="AE98" s="51" cm="1">
        <f t="array" ref="AE98">EntericMethane_PastureBeef_Equations.VEERG_3_2_1_1__2_DailyEntericMethaneProduction(AE77)</f>
        <v>0.15200155388727002</v>
      </c>
      <c r="AF98" s="2"/>
    </row>
    <row r="99" spans="4:35" ht="20.100000000000001" customHeight="1" x14ac:dyDescent="0.25">
      <c r="U99" s="51" t="str">
        <f>TEXT('Input - Site'!$E$12, "mmmm yyyy")</f>
        <v>January 2024</v>
      </c>
      <c r="V99" s="51" cm="1">
        <f t="array" ref="V99">EntericMethane_PastureBeef_Equations.VEERG_3_2_1_1__2_DailyEntericMethaneProduction(V78)</f>
        <v>6.7217122800000001E-2</v>
      </c>
      <c r="W99" s="51" cm="1">
        <f t="array" ref="W99">EntericMethane_PastureBeef_Equations.VEERG_3_2_1_1__2_DailyEntericMethaneProduction(W78)</f>
        <v>0.19509034611311998</v>
      </c>
      <c r="X99" s="51" cm="1">
        <f t="array" ref="X99">EntericMethane_PastureBeef_Equations.VEERG_3_2_1_1__2_DailyEntericMethaneProduction(X78)</f>
        <v>6.1278762971520004E-2</v>
      </c>
      <c r="Y99" s="51" cm="1">
        <f t="array" ref="Y99">EntericMethane_PastureBeef_Equations.VEERG_3_2_1_1__2_DailyEntericMethaneProduction(Y78)</f>
        <v>0.12332640906971998</v>
      </c>
      <c r="Z99" s="51" cm="1">
        <f t="array" ref="Z99">EntericMethane_PastureBeef_Equations.VEERG_3_2_1_1__2_DailyEntericMethaneProduction(Z78)</f>
        <v>0.13906254717566999</v>
      </c>
      <c r="AA99" s="51" cm="1">
        <f t="array" ref="AA99">EntericMethane_PastureBeef_Equations.VEERG_3_2_1_1__2_DailyEntericMethaneProduction(AA78)</f>
        <v>0.13906254717566999</v>
      </c>
      <c r="AB99" s="51" cm="1">
        <f t="array" ref="AB99">EntericMethane_PastureBeef_Equations.VEERG_3_2_1_1__2_DailyEntericMethaneProduction(AB78)</f>
        <v>6.7217122800000001E-2</v>
      </c>
      <c r="AC99" s="51" cm="1">
        <f t="array" ref="AC99">EntericMethane_PastureBeef_Equations.VEERG_3_2_1_1__2_DailyEntericMethaneProduction(AC78)</f>
        <v>0.12203432960112003</v>
      </c>
      <c r="AD99" s="51" cm="1">
        <f t="array" ref="AD99">EntericMethane_PastureBeef_Equations.VEERG_3_2_1_1__2_DailyEntericMethaneProduction(AD78)</f>
        <v>0.12203432960112003</v>
      </c>
      <c r="AE99" s="51" cm="1">
        <f t="array" ref="AE99">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TEXT('Input - Site'!$E$12, "mmmm yyyy")</f>
        <v>January 2024</v>
      </c>
      <c r="V100" s="51" cm="1">
        <f t="array" ref="V100">EntericMethane_PastureBeef_Equations.VEERG_3_2_1_1__2_DailyEntericMethaneProduction(V79)</f>
        <v>6.7217122800000001E-2</v>
      </c>
      <c r="W100" s="51" cm="1">
        <f t="array" ref="W100">EntericMethane_PastureBeef_Equations.VEERG_3_2_1_1__2_DailyEntericMethaneProduction(W79)</f>
        <v>0.19509034611311998</v>
      </c>
      <c r="X100" s="51" cm="1">
        <f t="array" ref="X100">EntericMethane_PastureBeef_Equations.VEERG_3_2_1_1__2_DailyEntericMethaneProduction(X79)</f>
        <v>6.1278762971520004E-2</v>
      </c>
      <c r="Y100" s="51" cm="1">
        <f t="array" ref="Y100">EntericMethane_PastureBeef_Equations.VEERG_3_2_1_1__2_DailyEntericMethaneProduction(Y79)</f>
        <v>0.12332640906971998</v>
      </c>
      <c r="Z100" s="51" cm="1">
        <f t="array" ref="Z100">EntericMethane_PastureBeef_Equations.VEERG_3_2_1_1__2_DailyEntericMethaneProduction(Z79)</f>
        <v>0.13906254717566999</v>
      </c>
      <c r="AA100" s="51" cm="1">
        <f t="array" ref="AA100">EntericMethane_PastureBeef_Equations.VEERG_3_2_1_1__2_DailyEntericMethaneProduction(AA79)</f>
        <v>0.13906254717566999</v>
      </c>
      <c r="AB100" s="51" cm="1">
        <f t="array" ref="AB100">EntericMethane_PastureBeef_Equations.VEERG_3_2_1_1__2_DailyEntericMethaneProduction(AB79)</f>
        <v>6.7217122800000001E-2</v>
      </c>
      <c r="AC100" s="51" cm="1">
        <f t="array" ref="AC100">EntericMethane_PastureBeef_Equations.VEERG_3_2_1_1__2_DailyEntericMethaneProduction(AC79)</f>
        <v>0.12203432960112003</v>
      </c>
      <c r="AD100" s="51" cm="1">
        <f t="array" ref="AD100">EntericMethane_PastureBeef_Equations.VEERG_3_2_1_1__2_DailyEntericMethaneProduction(AD79)</f>
        <v>0.12203432960112003</v>
      </c>
      <c r="AE100" s="51" cm="1">
        <f t="array" ref="AE100">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TEXT('Input - Site'!$E$12, "mmmm yyyy")</f>
        <v>January 2024</v>
      </c>
      <c r="V101" s="51" cm="1">
        <f t="array" ref="V101">EntericMethane_PastureBeef_Equations.VEERG_3_2_1_1__2_DailyEntericMethaneProduction(V80)</f>
        <v>6.7217122800000001E-2</v>
      </c>
      <c r="W101" s="51" cm="1">
        <f t="array" ref="W101">EntericMethane_PastureBeef_Equations.VEERG_3_2_1_1__2_DailyEntericMethaneProduction(W80)</f>
        <v>0.19509034611311998</v>
      </c>
      <c r="X101" s="51" cm="1">
        <f t="array" ref="X101">EntericMethane_PastureBeef_Equations.VEERG_3_2_1_1__2_DailyEntericMethaneProduction(X80)</f>
        <v>6.1278762971520004E-2</v>
      </c>
      <c r="Y101" s="51" cm="1">
        <f t="array" ref="Y101">EntericMethane_PastureBeef_Equations.VEERG_3_2_1_1__2_DailyEntericMethaneProduction(Y80)</f>
        <v>0.12332640906971998</v>
      </c>
      <c r="Z101" s="51" cm="1">
        <f t="array" ref="Z101">EntericMethane_PastureBeef_Equations.VEERG_3_2_1_1__2_DailyEntericMethaneProduction(Z80)</f>
        <v>0.13906254717566999</v>
      </c>
      <c r="AA101" s="51" cm="1">
        <f t="array" ref="AA101">EntericMethane_PastureBeef_Equations.VEERG_3_2_1_1__2_DailyEntericMethaneProduction(AA80)</f>
        <v>0.13906254717566999</v>
      </c>
      <c r="AB101" s="51" cm="1">
        <f t="array" ref="AB101">EntericMethane_PastureBeef_Equations.VEERG_3_2_1_1__2_DailyEntericMethaneProduction(AB80)</f>
        <v>6.7217122800000001E-2</v>
      </c>
      <c r="AC101" s="51" cm="1">
        <f t="array" ref="AC101">EntericMethane_PastureBeef_Equations.VEERG_3_2_1_1__2_DailyEntericMethaneProduction(AC80)</f>
        <v>0.12203432960112003</v>
      </c>
      <c r="AD101" s="51" cm="1">
        <f t="array" ref="AD101">EntericMethane_PastureBeef_Equations.VEERG_3_2_1_1__2_DailyEntericMethaneProduction(AD80)</f>
        <v>0.12203432960112003</v>
      </c>
      <c r="AE101" s="51" cm="1">
        <f t="array" ref="AE10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TEXT('Input - Site'!$E$12, "mmmm yyyy")</f>
        <v>January 2024</v>
      </c>
      <c r="V102" s="51" cm="1">
        <f t="array" ref="V102">EntericMethane_PastureBeef_Equations.VEERG_3_2_1_1__2_DailyEntericMethaneProduction(V81)</f>
        <v>0.10625098959567</v>
      </c>
      <c r="W102" s="51" cm="1">
        <f t="array" ref="W102">EntericMethane_PastureBeef_Equations.VEERG_3_2_1_1__2_DailyEntericMethaneProduction(W81)</f>
        <v>0.20647957902299996</v>
      </c>
      <c r="X102" s="51" cm="1">
        <f t="array" ref="X102">EntericMethane_PastureBeef_Equations.VEERG_3_2_1_1__2_DailyEntericMethaneProduction(X81)</f>
        <v>8.6995993551750014E-2</v>
      </c>
      <c r="Y102" s="51" cm="1">
        <f t="array" ref="Y102">EntericMethane_PastureBeef_Equations.VEERG_3_2_1_1__2_DailyEntericMethaneProduction(Y81)</f>
        <v>0.12270572463087004</v>
      </c>
      <c r="Z102" s="51" cm="1">
        <f t="array" ref="Z102">EntericMethane_PastureBeef_Equations.VEERG_3_2_1_1__2_DailyEntericMethaneProduction(Z81)</f>
        <v>0.16461351252206999</v>
      </c>
      <c r="AA102" s="51" cm="1">
        <f t="array" ref="AA102">EntericMethane_PastureBeef_Equations.VEERG_3_2_1_1__2_DailyEntericMethaneProduction(AA81)</f>
        <v>0.16461351252206999</v>
      </c>
      <c r="AB102" s="51" cm="1">
        <f t="array" ref="AB102">EntericMethane_PastureBeef_Equations.VEERG_3_2_1_1__2_DailyEntericMethaneProduction(AB81)</f>
        <v>9.3403950168869973E-2</v>
      </c>
      <c r="AC102" s="51" cm="1">
        <f t="array" ref="AC102">EntericMethane_PastureBeef_Equations.VEERG_3_2_1_1__2_DailyEntericMethaneProduction(AC81)</f>
        <v>0.14220590910911998</v>
      </c>
      <c r="AD102" s="51" cm="1">
        <f t="array" ref="AD102">EntericMethane_PastureBeef_Equations.VEERG_3_2_1_1__2_DailyEntericMethaneProduction(AD81)</f>
        <v>0.14220590910911998</v>
      </c>
      <c r="AE102" s="51" cm="1">
        <f t="array" ref="AE102">EntericMethane_PastureBeef_Equations.VEERG_3_2_1_1__2_DailyEntericMethaneProduction(AE81)</f>
        <v>0.14220590910911998</v>
      </c>
      <c r="AF102" s="2"/>
    </row>
    <row r="103" spans="4:35" ht="20.100000000000001" customHeight="1" x14ac:dyDescent="0.25">
      <c r="U103" s="51" t="str">
        <f>TEXT('Input - Site'!$E$12, "mmmm yyyy")</f>
        <v>January 2024</v>
      </c>
      <c r="V103" s="51" cm="1">
        <f t="array" ref="V103">EntericMethane_PastureBeef_Equations.VEERG_3_2_1_1__2_DailyEntericMethaneProduction(V82)</f>
        <v>0.10625098959567</v>
      </c>
      <c r="W103" s="51" cm="1">
        <f t="array" ref="W103">EntericMethane_PastureBeef_Equations.VEERG_3_2_1_1__2_DailyEntericMethaneProduction(W82)</f>
        <v>0.20647957902299996</v>
      </c>
      <c r="X103" s="51" cm="1">
        <f t="array" ref="X103">EntericMethane_PastureBeef_Equations.VEERG_3_2_1_1__2_DailyEntericMethaneProduction(X82)</f>
        <v>8.6995993551750014E-2</v>
      </c>
      <c r="Y103" s="51" cm="1">
        <f t="array" ref="Y103">EntericMethane_PastureBeef_Equations.VEERG_3_2_1_1__2_DailyEntericMethaneProduction(Y82)</f>
        <v>0.12270572463087004</v>
      </c>
      <c r="Z103" s="51" cm="1">
        <f t="array" ref="Z103">EntericMethane_PastureBeef_Equations.VEERG_3_2_1_1__2_DailyEntericMethaneProduction(Z82)</f>
        <v>0.16461351252206999</v>
      </c>
      <c r="AA103" s="51" cm="1">
        <f t="array" ref="AA103">EntericMethane_PastureBeef_Equations.VEERG_3_2_1_1__2_DailyEntericMethaneProduction(AA82)</f>
        <v>0.16461351252206999</v>
      </c>
      <c r="AB103" s="51" cm="1">
        <f t="array" ref="AB103">EntericMethane_PastureBeef_Equations.VEERG_3_2_1_1__2_DailyEntericMethaneProduction(AB82)</f>
        <v>9.3403950168869973E-2</v>
      </c>
      <c r="AC103" s="51" cm="1">
        <f t="array" ref="AC103">EntericMethane_PastureBeef_Equations.VEERG_3_2_1_1__2_DailyEntericMethaneProduction(AC82)</f>
        <v>0.14220590910911998</v>
      </c>
      <c r="AD103" s="51" cm="1">
        <f t="array" ref="AD103">EntericMethane_PastureBeef_Equations.VEERG_3_2_1_1__2_DailyEntericMethaneProduction(AD82)</f>
        <v>0.14220590910911998</v>
      </c>
      <c r="AE103" s="51" cm="1">
        <f t="array" ref="AE103">EntericMethane_PastureBeef_Equations.VEERG_3_2_1_1__2_DailyEntericMethaneProduction(AE82)</f>
        <v>0.14220590910911998</v>
      </c>
      <c r="AF103" s="2"/>
    </row>
    <row r="104" spans="4:35" ht="20.100000000000001" customHeight="1" x14ac:dyDescent="0.25">
      <c r="D104" s="96" t="s">
        <v>225</v>
      </c>
      <c r="U104" s="51" t="str">
        <f>TEXT('Input - Site'!$E$12, "mmmm yyyy")</f>
        <v>January 2024</v>
      </c>
      <c r="V104" s="51" cm="1">
        <f t="array" ref="V104">EntericMethane_PastureBeef_Equations.VEERG_3_2_1_1__2_DailyEntericMethaneProduction(V83)</f>
        <v>0.10625098959567</v>
      </c>
      <c r="W104" s="51" cm="1">
        <f t="array" ref="W104">EntericMethane_PastureBeef_Equations.VEERG_3_2_1_1__2_DailyEntericMethaneProduction(W83)</f>
        <v>0.20647957902299996</v>
      </c>
      <c r="X104" s="51" cm="1">
        <f t="array" ref="X104">EntericMethane_PastureBeef_Equations.VEERG_3_2_1_1__2_DailyEntericMethaneProduction(X83)</f>
        <v>8.6995993551750014E-2</v>
      </c>
      <c r="Y104" s="51" cm="1">
        <f t="array" ref="Y104">EntericMethane_PastureBeef_Equations.VEERG_3_2_1_1__2_DailyEntericMethaneProduction(Y83)</f>
        <v>0.15031451267281581</v>
      </c>
      <c r="Z104" s="51" cm="1">
        <f t="array" ref="Z104">EntericMethane_PastureBeef_Equations.VEERG_3_2_1_1__2_DailyEntericMethaneProduction(Z83)</f>
        <v>0.20165155283953573</v>
      </c>
      <c r="AA104" s="51" cm="1">
        <f t="array" ref="AA104">EntericMethane_PastureBeef_Equations.VEERG_3_2_1_1__2_DailyEntericMethaneProduction(AA83)</f>
        <v>0.20165155283953573</v>
      </c>
      <c r="AB104" s="51" cm="1">
        <f t="array" ref="AB104">EntericMethane_PastureBeef_Equations.VEERG_3_2_1_1__2_DailyEntericMethaneProduction(AB83)</f>
        <v>9.3403950168869973E-2</v>
      </c>
      <c r="AC104" s="51" cm="1">
        <f t="array" ref="AC104">EntericMethane_PastureBeef_Equations.VEERG_3_2_1_1__2_DailyEntericMethaneProduction(AC83)</f>
        <v>0.14220590910911998</v>
      </c>
      <c r="AD104" s="51" cm="1">
        <f t="array" ref="AD104">EntericMethane_PastureBeef_Equations.VEERG_3_2_1_1__2_DailyEntericMethaneProduction(AD83)</f>
        <v>0.14220590910911998</v>
      </c>
      <c r="AE104" s="51" cm="1">
        <f t="array" ref="AE104">EntericMethane_PastureBeef_Equations.VEERG_3_2_1_1__2_DailyEntericMethaneProduction(AE83)</f>
        <v>0.14220590910911998</v>
      </c>
      <c r="AF104" s="2"/>
    </row>
    <row r="105" spans="4:35" ht="20.100000000000001" customHeight="1" x14ac:dyDescent="0.25">
      <c r="D105" s="95" t="s">
        <v>226</v>
      </c>
      <c r="U105" s="51" t="str">
        <f>TEXT('Input - Site'!$E$12, "mmmm yyyy")</f>
        <v>January 2024</v>
      </c>
      <c r="V105" s="51" cm="1">
        <f t="array" ref="V105">EntericMethane_PastureBeef_Equations.VEERG_3_2_1_1__2_DailyEntericMethaneProduction(V84)</f>
        <v>0.17948772790272</v>
      </c>
      <c r="W105" s="51" cm="1">
        <f t="array" ref="W105">EntericMethane_PastureBeef_Equations.VEERG_3_2_1_1__2_DailyEntericMethaneProduction(W84)</f>
        <v>0.25350255517500003</v>
      </c>
      <c r="X105" s="51" cm="1">
        <f t="array" ref="X105">EntericMethane_PastureBeef_Equations.VEERG_3_2_1_1__2_DailyEntericMethaneProduction(X84)</f>
        <v>0.13680549733887001</v>
      </c>
      <c r="Y105" s="51" cm="1">
        <f t="array" ref="Y105">EntericMethane_PastureBeef_Equations.VEERG_3_2_1_1__2_DailyEntericMethaneProduction(Y84)</f>
        <v>0.21992772499678584</v>
      </c>
      <c r="Z105" s="51" cm="1">
        <f t="array" ref="Z105">EntericMethane_PastureBeef_Equations.VEERG_3_2_1_1__2_DailyEntericMethaneProduction(Z84)</f>
        <v>0.24422040423270006</v>
      </c>
      <c r="AA105" s="51" cm="1">
        <f t="array" ref="AA105">EntericMethane_PastureBeef_Equations.VEERG_3_2_1_1__2_DailyEntericMethaneProduction(AA84)</f>
        <v>0.24422040423270006</v>
      </c>
      <c r="AB105" s="51" cm="1">
        <f t="array" ref="AB105">EntericMethane_PastureBeef_Equations.VEERG_3_2_1_1__2_DailyEntericMethaneProduction(AB84)</f>
        <v>0.15771860106299995</v>
      </c>
      <c r="AC105" s="51" cm="1">
        <f t="array" ref="AC105">EntericMethane_PastureBeef_Equations.VEERG_3_2_1_1__2_DailyEntericMethaneProduction(AC84)</f>
        <v>0.20042625868091996</v>
      </c>
      <c r="AD105" s="51" cm="1">
        <f t="array" ref="AD105">EntericMethane_PastureBeef_Equations.VEERG_3_2_1_1__2_DailyEntericMethaneProduction(AD84)</f>
        <v>0.20042625868091996</v>
      </c>
      <c r="AE105" s="51" cm="1">
        <f t="array" ref="AE105">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TEXT('Input - Site'!$E$12, "mmmm yyyy")</f>
        <v>January 2024</v>
      </c>
      <c r="V106" s="51" cm="1">
        <f t="array" ref="V106">EntericMethane_PastureBeef_Equations.VEERG_3_2_1_1__2_DailyEntericMethaneProduction(V85)</f>
        <v>0.17948772790272</v>
      </c>
      <c r="W106" s="51" cm="1">
        <f t="array" ref="W106">EntericMethane_PastureBeef_Equations.VEERG_3_2_1_1__2_DailyEntericMethaneProduction(W85)</f>
        <v>0.25350255517500003</v>
      </c>
      <c r="X106" s="51" cm="1">
        <f t="array" ref="X106">EntericMethane_PastureBeef_Equations.VEERG_3_2_1_1__2_DailyEntericMethaneProduction(X85)</f>
        <v>0.13680549733887001</v>
      </c>
      <c r="Y106" s="51" cm="1">
        <f t="array" ref="Y106">EntericMethane_PastureBeef_Equations.VEERG_3_2_1_1__2_DailyEntericMethaneProduction(Y85)</f>
        <v>0.21992772499678584</v>
      </c>
      <c r="Z106" s="51" cm="1">
        <f t="array" ref="Z106">EntericMethane_PastureBeef_Equations.VEERG_3_2_1_1__2_DailyEntericMethaneProduction(Z85)</f>
        <v>0.24422040423270006</v>
      </c>
      <c r="AA106" s="51" cm="1">
        <f t="array" ref="AA106">EntericMethane_PastureBeef_Equations.VEERG_3_2_1_1__2_DailyEntericMethaneProduction(AA85)</f>
        <v>0.24422040423270006</v>
      </c>
      <c r="AB106" s="51" cm="1">
        <f t="array" ref="AB106">EntericMethane_PastureBeef_Equations.VEERG_3_2_1_1__2_DailyEntericMethaneProduction(AB85)</f>
        <v>0.15771860106299995</v>
      </c>
      <c r="AC106" s="51" cm="1">
        <f t="array" ref="AC106">EntericMethane_PastureBeef_Equations.VEERG_3_2_1_1__2_DailyEntericMethaneProduction(AC85)</f>
        <v>0.20042625868091996</v>
      </c>
      <c r="AD106" s="51" cm="1">
        <f t="array" ref="AD106">EntericMethane_PastureBeef_Equations.VEERG_3_2_1_1__2_DailyEntericMethaneProduction(AD85)</f>
        <v>0.20042625868091996</v>
      </c>
      <c r="AE106" s="51" cm="1">
        <f t="array" ref="AE106">EntericMethane_PastureBeef_Equations.VEERG_3_2_1_1__2_DailyEntericMethaneProduction(AE85)</f>
        <v>0.20042625868091996</v>
      </c>
      <c r="AF106" s="2"/>
    </row>
    <row r="107" spans="4:35" ht="20.100000000000001" customHeight="1" x14ac:dyDescent="0.25">
      <c r="D107" s="51" t="s">
        <v>135</v>
      </c>
      <c r="E107" s="51">
        <f>'Input - Pasture Beef'!E38</f>
        <v>100</v>
      </c>
      <c r="F107" s="51">
        <f>'Input - Pasture Beef'!F38</f>
        <v>100</v>
      </c>
      <c r="G107" s="51">
        <f>'Input - Pasture Beef'!G38</f>
        <v>100</v>
      </c>
      <c r="H107" s="51">
        <f>'Input - Pasture Beef'!H38</f>
        <v>100</v>
      </c>
      <c r="I107" s="51">
        <f>'Input - Pasture Beef'!I38</f>
        <v>100</v>
      </c>
      <c r="J107" s="51">
        <f>'Input - Pasture Beef'!J38</f>
        <v>100</v>
      </c>
      <c r="K107" s="51">
        <f>'Input - Pasture Beef'!K38</f>
        <v>100</v>
      </c>
      <c r="L107" s="51">
        <f>'Input - Pasture Beef'!L38</f>
        <v>100</v>
      </c>
      <c r="M107" s="51">
        <f>'Input - Pasture Beef'!M38</f>
        <v>100</v>
      </c>
      <c r="N107" s="51">
        <f>'Input - Pasture Beef'!N38</f>
        <v>100</v>
      </c>
      <c r="O107" s="2" t="str">
        <f>G102</f>
        <v>head</v>
      </c>
      <c r="U107" s="51" t="str">
        <f>TEXT('Input - Site'!$E$12, "mmmm yyyy")</f>
        <v>January 2024</v>
      </c>
      <c r="V107" s="51" cm="1">
        <f t="array" ref="V107">EntericMethane_PastureBeef_Equations.VEERG_3_2_1_1__2_DailyEntericMethaneProduction(V86)</f>
        <v>0.17948772790272</v>
      </c>
      <c r="W107" s="51" cm="1">
        <f t="array" ref="W107">EntericMethane_PastureBeef_Equations.VEERG_3_2_1_1__2_DailyEntericMethaneProduction(W86)</f>
        <v>0.25350255517500003</v>
      </c>
      <c r="X107" s="51" cm="1">
        <f t="array" ref="X107">EntericMethane_PastureBeef_Equations.VEERG_3_2_1_1__2_DailyEntericMethaneProduction(X86)</f>
        <v>0.13680549733887001</v>
      </c>
      <c r="Y107" s="51" cm="1">
        <f t="array" ref="Y107">EntericMethane_PastureBeef_Equations.VEERG_3_2_1_1__2_DailyEntericMethaneProduction(Y86)</f>
        <v>0.19299779948697532</v>
      </c>
      <c r="Z107" s="51" cm="1">
        <f t="array" ref="Z107">EntericMethane_PastureBeef_Equations.VEERG_3_2_1_1__2_DailyEntericMethaneProduction(Z86)</f>
        <v>0.21431586493890006</v>
      </c>
      <c r="AA107" s="51" cm="1">
        <f t="array" ref="AA107">EntericMethane_PastureBeef_Equations.VEERG_3_2_1_1__2_DailyEntericMethaneProduction(AA86)</f>
        <v>0.21431586493890006</v>
      </c>
      <c r="AB107" s="51" cm="1">
        <f t="array" ref="AB107">EntericMethane_PastureBeef_Equations.VEERG_3_2_1_1__2_DailyEntericMethaneProduction(AB86)</f>
        <v>0.15771860106299995</v>
      </c>
      <c r="AC107" s="51" cm="1">
        <f t="array" ref="AC107">EntericMethane_PastureBeef_Equations.VEERG_3_2_1_1__2_DailyEntericMethaneProduction(AC86)</f>
        <v>0.20042625868091996</v>
      </c>
      <c r="AD107" s="51" cm="1">
        <f t="array" ref="AD107">EntericMethane_PastureBeef_Equations.VEERG_3_2_1_1__2_DailyEntericMethaneProduction(AD86)</f>
        <v>0.20042625868091996</v>
      </c>
      <c r="AE107" s="51" cm="1">
        <f t="array" ref="AE107">EntericMethane_PastureBeef_Equations.VEERG_3_2_1_1__2_DailyEntericMethaneProduction(AE86)</f>
        <v>0.20042625868091996</v>
      </c>
      <c r="AF107" s="2"/>
    </row>
    <row r="108" spans="4:35" ht="20.100000000000001" customHeight="1" x14ac:dyDescent="0.25">
      <c r="D108" s="51" t="s">
        <v>136</v>
      </c>
      <c r="E108" s="51">
        <f>'Input - Pasture Beef'!E39</f>
        <v>100</v>
      </c>
      <c r="F108" s="51">
        <f>'Input - Pasture Beef'!F39</f>
        <v>100</v>
      </c>
      <c r="G108" s="51">
        <f>'Input - Pasture Beef'!G39</f>
        <v>100</v>
      </c>
      <c r="H108" s="51">
        <f>'Input - Pasture Beef'!H39</f>
        <v>100</v>
      </c>
      <c r="I108" s="51">
        <f>'Input - Pasture Beef'!I39</f>
        <v>100</v>
      </c>
      <c r="J108" s="51">
        <f>'Input - Pasture Beef'!J39</f>
        <v>100</v>
      </c>
      <c r="K108" s="51">
        <f>'Input - Pasture Beef'!K39</f>
        <v>100</v>
      </c>
      <c r="L108" s="51">
        <f>'Input - Pasture Beef'!L39</f>
        <v>100</v>
      </c>
      <c r="M108" s="51">
        <f>'Input - Pasture Beef'!M39</f>
        <v>100</v>
      </c>
      <c r="N108" s="51">
        <f>'Input - Pasture Beef'!N39</f>
        <v>100</v>
      </c>
      <c r="O108" s="2"/>
      <c r="U108" s="51" t="str">
        <f>TEXT('Input - Site'!$E$12, "mmmm yyyy")</f>
        <v>January 2024</v>
      </c>
      <c r="V108" s="51" cm="1">
        <f t="array" ref="V108">EntericMethane_PastureBeef_Equations.VEERG_3_2_1_1__2_DailyEntericMethaneProduction(V87)</f>
        <v>0.14793987137471989</v>
      </c>
      <c r="W108" s="51" cm="1">
        <f t="array" ref="W108">EntericMethane_PastureBeef_Equations.VEERG_3_2_1_1__2_DailyEntericMethaneProduction(W87)</f>
        <v>0.19573907587452002</v>
      </c>
      <c r="X108" s="51" cm="1">
        <f t="array" ref="X108">EntericMethane_PastureBeef_Equations.VEERG_3_2_1_1__2_DailyEntericMethaneProduction(X87)</f>
        <v>0.12441409099199996</v>
      </c>
      <c r="Y108" s="51" cm="1">
        <f t="array" ref="Y108">EntericMethane_PastureBeef_Equations.VEERG_3_2_1_1__2_DailyEntericMethaneProduction(Y87)</f>
        <v>0.17513940725488128</v>
      </c>
      <c r="Z108" s="51" cm="1">
        <f t="array" ref="Z108">EntericMethane_PastureBeef_Equations.VEERG_3_2_1_1__2_DailyEntericMethaneProduction(Z87)</f>
        <v>0.17340944296568395</v>
      </c>
      <c r="AA108" s="51" cm="1">
        <f t="array" ref="AA108">EntericMethane_PastureBeef_Equations.VEERG_3_2_1_1__2_DailyEntericMethaneProduction(AA87)</f>
        <v>0.17340944296568395</v>
      </c>
      <c r="AB108" s="51" cm="1">
        <f t="array" ref="AB108">EntericMethane_PastureBeef_Equations.VEERG_3_2_1_1__2_DailyEntericMethaneProduction(AB87)</f>
        <v>0.13636416641471999</v>
      </c>
      <c r="AC108" s="51" cm="1">
        <f t="array" ref="AC108">EntericMethane_PastureBeef_Equations.VEERG_3_2_1_1__2_DailyEntericMethaneProduction(AC87)</f>
        <v>0.15200155388727002</v>
      </c>
      <c r="AD108" s="51" cm="1">
        <f t="array" ref="AD108">EntericMethane_PastureBeef_Equations.VEERG_3_2_1_1__2_DailyEntericMethaneProduction(AD87)</f>
        <v>0.15200155388727002</v>
      </c>
      <c r="AE108" s="51" cm="1">
        <f t="array" ref="AE108">EntericMethane_PastureBeef_Equations.VEERG_3_2_1_1__2_DailyEntericMethaneProduction(AE87)</f>
        <v>0.15200155388727002</v>
      </c>
      <c r="AF108" s="2"/>
    </row>
    <row r="109" spans="4:35" ht="20.100000000000001" customHeight="1" x14ac:dyDescent="0.25">
      <c r="D109" s="51" t="s">
        <v>137</v>
      </c>
      <c r="E109" s="51">
        <f>'Input - Pasture Beef'!E40</f>
        <v>100</v>
      </c>
      <c r="F109" s="51">
        <f>'Input - Pasture Beef'!F40</f>
        <v>100</v>
      </c>
      <c r="G109" s="51">
        <f>'Input - Pasture Beef'!G40</f>
        <v>100</v>
      </c>
      <c r="H109" s="51">
        <f>'Input - Pasture Beef'!H40</f>
        <v>100</v>
      </c>
      <c r="I109" s="51">
        <f>'Input - Pasture Beef'!I40</f>
        <v>100</v>
      </c>
      <c r="J109" s="51">
        <f>'Input - Pasture Beef'!J40</f>
        <v>100</v>
      </c>
      <c r="K109" s="51">
        <f>'Input - Pasture Beef'!K40</f>
        <v>100</v>
      </c>
      <c r="L109" s="51">
        <f>'Input - Pasture Beef'!L40</f>
        <v>100</v>
      </c>
      <c r="M109" s="51">
        <f>'Input - Pasture Beef'!M40</f>
        <v>100</v>
      </c>
      <c r="N109" s="51">
        <f>'Input - Pasture Beef'!N40</f>
        <v>100</v>
      </c>
      <c r="O109" s="2"/>
    </row>
    <row r="110" spans="4:35" ht="20.100000000000001" customHeight="1" x14ac:dyDescent="0.25">
      <c r="D110" s="51" t="s">
        <v>138</v>
      </c>
      <c r="E110" s="51">
        <f>'Input - Pasture Beef'!E41</f>
        <v>100</v>
      </c>
      <c r="F110" s="51">
        <f>'Input - Pasture Beef'!F41</f>
        <v>100</v>
      </c>
      <c r="G110" s="51">
        <f>'Input - Pasture Beef'!G41</f>
        <v>100</v>
      </c>
      <c r="H110" s="51">
        <f>'Input - Pasture Beef'!H41</f>
        <v>100</v>
      </c>
      <c r="I110" s="51">
        <f>'Input - Pasture Beef'!I41</f>
        <v>100</v>
      </c>
      <c r="J110" s="51">
        <f>'Input - Pasture Beef'!J41</f>
        <v>100</v>
      </c>
      <c r="K110" s="51">
        <f>'Input - Pasture Beef'!K41</f>
        <v>100</v>
      </c>
      <c r="L110" s="51">
        <f>'Input - Pasture Beef'!L41</f>
        <v>100</v>
      </c>
      <c r="M110" s="51">
        <f>'Input - Pasture Beef'!M41</f>
        <v>100</v>
      </c>
      <c r="N110" s="51">
        <f>'Input - Pasture Beef'!N41</f>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f>'Input - Pasture Beef'!E16</f>
        <v>91.25</v>
      </c>
      <c r="F115" s="51">
        <f>'Input - Pasture Beef'!F16</f>
        <v>91.25</v>
      </c>
      <c r="G115" s="51">
        <f>'Input - Pasture Beef'!G16</f>
        <v>91.25</v>
      </c>
      <c r="H115" s="51">
        <f>'Input - Pasture Beef'!H16</f>
        <v>91.25</v>
      </c>
      <c r="I115" s="51">
        <f>'Input - Pasture Beef'!I16</f>
        <v>91.25</v>
      </c>
      <c r="J115" s="51">
        <f>'Input - Pasture Beef'!J16</f>
        <v>91.25</v>
      </c>
      <c r="K115" s="51">
        <f>'Input - Pasture Beef'!K16</f>
        <v>91.25</v>
      </c>
      <c r="L115" s="51">
        <f>'Input - Pasture Beef'!L16</f>
        <v>91.25</v>
      </c>
      <c r="M115" s="51">
        <f>'Input - Pasture Beef'!M16</f>
        <v>91.25</v>
      </c>
      <c r="N115" s="51">
        <f>'Input - Pasture Beef'!N16</f>
        <v>91.25</v>
      </c>
      <c r="O115" s="2" t="str">
        <f>G100</f>
        <v>days</v>
      </c>
      <c r="U115" s="95" t="s">
        <v>229</v>
      </c>
      <c r="AH115" s="2"/>
    </row>
    <row r="116" spans="4:34" ht="20.100000000000001" customHeight="1" x14ac:dyDescent="0.25">
      <c r="D116" s="51" t="s">
        <v>136</v>
      </c>
      <c r="E116" s="51">
        <f>'Input - Pasture Beef'!E17</f>
        <v>91.25</v>
      </c>
      <c r="F116" s="51">
        <f>'Input - Pasture Beef'!F17</f>
        <v>91.25</v>
      </c>
      <c r="G116" s="51">
        <f>'Input - Pasture Beef'!G17</f>
        <v>91.25</v>
      </c>
      <c r="H116" s="51">
        <f>'Input - Pasture Beef'!H17</f>
        <v>91.25</v>
      </c>
      <c r="I116" s="51">
        <f>'Input - Pasture Beef'!I17</f>
        <v>91.25</v>
      </c>
      <c r="J116" s="51">
        <f>'Input - Pasture Beef'!J17</f>
        <v>91.25</v>
      </c>
      <c r="K116" s="51">
        <f>'Input - Pasture Beef'!K17</f>
        <v>91.25</v>
      </c>
      <c r="L116" s="51">
        <f>'Input - Pasture Beef'!L17</f>
        <v>91.25</v>
      </c>
      <c r="M116" s="51">
        <f>'Input - Pasture Beef'!M17</f>
        <v>91.25</v>
      </c>
      <c r="N116" s="51">
        <f>'Input - Pasture Beef'!N17</f>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'Input - Pasture Beef'!E18</f>
        <v>91.25</v>
      </c>
      <c r="F117" s="51">
        <f>'Input - Pasture Beef'!F18</f>
        <v>91.25</v>
      </c>
      <c r="G117" s="51">
        <f>'Input - Pasture Beef'!G18</f>
        <v>91.25</v>
      </c>
      <c r="H117" s="51">
        <f>'Input - Pasture Beef'!H18</f>
        <v>91.25</v>
      </c>
      <c r="I117" s="51">
        <f>'Input - Pasture Beef'!I18</f>
        <v>91.25</v>
      </c>
      <c r="J117" s="51">
        <f>'Input - Pasture Beef'!J18</f>
        <v>91.25</v>
      </c>
      <c r="K117" s="51">
        <f>'Input - Pasture Beef'!K18</f>
        <v>91.25</v>
      </c>
      <c r="L117" s="51">
        <f>'Input - Pasture Beef'!L18</f>
        <v>91.25</v>
      </c>
      <c r="M117" s="51">
        <f>'Input - Pasture Beef'!M18</f>
        <v>91.25</v>
      </c>
      <c r="N117" s="51">
        <f>'Input - Pasture Beef'!N18</f>
        <v>91.25</v>
      </c>
      <c r="O117" s="2"/>
      <c r="U117" s="51" t="str">
        <f>TEXT('Input - Site'!$E$12, "mmmm yyyy")</f>
        <v>January 2024</v>
      </c>
      <c r="V117" s="51">
        <f>'Input - Pasture Beef'!E44</f>
        <v>100</v>
      </c>
      <c r="W117" s="51">
        <f>'Input - Pasture Beef'!F44</f>
        <v>100</v>
      </c>
      <c r="X117" s="51">
        <f>'Input - Pasture Beef'!G44</f>
        <v>100</v>
      </c>
      <c r="Y117" s="51">
        <f>'Input - Pasture Beef'!H44</f>
        <v>100</v>
      </c>
      <c r="Z117" s="51">
        <f>'Input - Pasture Beef'!I44</f>
        <v>100</v>
      </c>
      <c r="AA117" s="51">
        <f>'Input - Pasture Beef'!J44</f>
        <v>100</v>
      </c>
      <c r="AB117" s="51">
        <f>'Input - Pasture Beef'!K44</f>
        <v>100</v>
      </c>
      <c r="AC117" s="51">
        <f>'Input - Pasture Beef'!L44</f>
        <v>100</v>
      </c>
      <c r="AD117" s="51">
        <f>'Input - Pasture Beef'!M44</f>
        <v>100</v>
      </c>
      <c r="AE117" s="51">
        <f>'Input - Pasture Beef'!N44</f>
        <v>100</v>
      </c>
      <c r="AF117" s="2" t="str">
        <f>$G$102</f>
        <v>head</v>
      </c>
      <c r="AH117" s="2"/>
    </row>
    <row r="118" spans="4:34" ht="20.100000000000001" customHeight="1" x14ac:dyDescent="0.25">
      <c r="D118" s="51" t="s">
        <v>138</v>
      </c>
      <c r="E118" s="51">
        <f>'Input - Pasture Beef'!E19</f>
        <v>91.25</v>
      </c>
      <c r="F118" s="51">
        <f>'Input - Pasture Beef'!F19</f>
        <v>91.25</v>
      </c>
      <c r="G118" s="51">
        <f>'Input - Pasture Beef'!G19</f>
        <v>91.25</v>
      </c>
      <c r="H118" s="51">
        <f>'Input - Pasture Beef'!H19</f>
        <v>91.25</v>
      </c>
      <c r="I118" s="51">
        <f>'Input - Pasture Beef'!I19</f>
        <v>91.25</v>
      </c>
      <c r="J118" s="51">
        <f>'Input - Pasture Beef'!J19</f>
        <v>91.25</v>
      </c>
      <c r="K118" s="51">
        <f>'Input - Pasture Beef'!K19</f>
        <v>91.25</v>
      </c>
      <c r="L118" s="51">
        <f>'Input - Pasture Beef'!L19</f>
        <v>91.25</v>
      </c>
      <c r="M118" s="51">
        <f>'Input - Pasture Beef'!M19</f>
        <v>91.25</v>
      </c>
      <c r="N118" s="51">
        <f>'Input - Pasture Beef'!N19</f>
        <v>91.25</v>
      </c>
      <c r="O118" s="2"/>
      <c r="U118" s="51" t="str">
        <f>TEXT(EDATE('Input - Site'!$E$12,1), "mmmm yyyy")</f>
        <v>February 2024</v>
      </c>
      <c r="V118" s="51">
        <f>'Input - Pasture Beef'!E45</f>
        <v>100</v>
      </c>
      <c r="W118" s="51">
        <f>'Input - Pasture Beef'!F45</f>
        <v>100</v>
      </c>
      <c r="X118" s="51">
        <f>'Input - Pasture Beef'!G45</f>
        <v>100</v>
      </c>
      <c r="Y118" s="51">
        <f>'Input - Pasture Beef'!H45</f>
        <v>100</v>
      </c>
      <c r="Z118" s="51">
        <f>'Input - Pasture Beef'!I45</f>
        <v>100</v>
      </c>
      <c r="AA118" s="51">
        <f>'Input - Pasture Beef'!J45</f>
        <v>100</v>
      </c>
      <c r="AB118" s="51">
        <f>'Input - Pasture Beef'!K45</f>
        <v>100</v>
      </c>
      <c r="AC118" s="51">
        <f>'Input - Pasture Beef'!L45</f>
        <v>100</v>
      </c>
      <c r="AD118" s="51">
        <f>'Input - Pasture Beef'!M45</f>
        <v>100</v>
      </c>
      <c r="AE118" s="51">
        <f>'Input - Pasture Beef'!N45</f>
        <v>100</v>
      </c>
      <c r="AF118" s="2"/>
      <c r="AH118" s="2"/>
    </row>
    <row r="119" spans="4:34" ht="20.100000000000001" customHeight="1" x14ac:dyDescent="0.25">
      <c r="U119" s="51" t="str">
        <f>TEXT(EDATE('Input - Site'!$E$12,2), "mmmm yyyy")</f>
        <v>March 2024</v>
      </c>
      <c r="V119" s="51">
        <f>'Input - Pasture Beef'!E46</f>
        <v>100</v>
      </c>
      <c r="W119" s="51">
        <f>'Input - Pasture Beef'!F46</f>
        <v>100</v>
      </c>
      <c r="X119" s="51">
        <f>'Input - Pasture Beef'!G46</f>
        <v>100</v>
      </c>
      <c r="Y119" s="51">
        <f>'Input - Pasture Beef'!H46</f>
        <v>100</v>
      </c>
      <c r="Z119" s="51">
        <f>'Input - Pasture Beef'!I46</f>
        <v>100</v>
      </c>
      <c r="AA119" s="51">
        <f>'Input - Pasture Beef'!J46</f>
        <v>100</v>
      </c>
      <c r="AB119" s="51">
        <f>'Input - Pasture Beef'!K46</f>
        <v>100</v>
      </c>
      <c r="AC119" s="51">
        <f>'Input - Pasture Beef'!L46</f>
        <v>100</v>
      </c>
      <c r="AD119" s="51">
        <f>'Input - Pasture Beef'!M46</f>
        <v>100</v>
      </c>
      <c r="AE119" s="51">
        <f>'Input - Pasture Beef'!N46</f>
        <v>100</v>
      </c>
      <c r="AF119" s="2"/>
      <c r="AH119" s="2"/>
    </row>
    <row r="120" spans="4:34" ht="20.100000000000001" customHeight="1" x14ac:dyDescent="0.25">
      <c r="D120" s="96" t="s">
        <v>260</v>
      </c>
      <c r="U120" s="51" t="str">
        <f>TEXT(EDATE('Input - Site'!$E$12,3), "mmmm yyyy")</f>
        <v>April 2024</v>
      </c>
      <c r="V120" s="51">
        <f>'Input - Pasture Beef'!E47</f>
        <v>100</v>
      </c>
      <c r="W120" s="51">
        <f>'Input - Pasture Beef'!F47</f>
        <v>100</v>
      </c>
      <c r="X120" s="51">
        <f>'Input - Pasture Beef'!G47</f>
        <v>100</v>
      </c>
      <c r="Y120" s="51">
        <f>'Input - Pasture Beef'!H47</f>
        <v>100</v>
      </c>
      <c r="Z120" s="51">
        <f>'Input - Pasture Beef'!I47</f>
        <v>100</v>
      </c>
      <c r="AA120" s="51">
        <f>'Input - Pasture Beef'!J47</f>
        <v>100</v>
      </c>
      <c r="AB120" s="51">
        <f>'Input - Pasture Beef'!K47</f>
        <v>100</v>
      </c>
      <c r="AC120" s="51">
        <f>'Input - Pasture Beef'!L47</f>
        <v>100</v>
      </c>
      <c r="AD120" s="51">
        <f>'Input - Pasture Beef'!M47</f>
        <v>100</v>
      </c>
      <c r="AE120" s="51">
        <f>'Input - Pasture Beef'!N47</f>
        <v>100</v>
      </c>
      <c r="AF120" s="2"/>
      <c r="AH120" s="2"/>
    </row>
    <row r="121" spans="4:34" ht="20.100000000000001" customHeight="1" x14ac:dyDescent="0.25">
      <c r="D121" s="95" t="s">
        <v>261</v>
      </c>
      <c r="U121" s="51" t="str">
        <f>TEXT(EDATE('Input - Site'!$E$12,4), "mmmm yyyy")</f>
        <v>May 2024</v>
      </c>
      <c r="V121" s="51">
        <f>'Input - Pasture Beef'!E48</f>
        <v>100</v>
      </c>
      <c r="W121" s="51">
        <f>'Input - Pasture Beef'!F48</f>
        <v>100</v>
      </c>
      <c r="X121" s="51">
        <f>'Input - Pasture Beef'!G48</f>
        <v>100</v>
      </c>
      <c r="Y121" s="51">
        <f>'Input - Pasture Beef'!H48</f>
        <v>100</v>
      </c>
      <c r="Z121" s="51">
        <f>'Input - Pasture Beef'!I48</f>
        <v>100</v>
      </c>
      <c r="AA121" s="51">
        <f>'Input - Pasture Beef'!J48</f>
        <v>100</v>
      </c>
      <c r="AB121" s="51">
        <f>'Input - Pasture Beef'!K48</f>
        <v>100</v>
      </c>
      <c r="AC121" s="51">
        <f>'Input - Pasture Beef'!L48</f>
        <v>100</v>
      </c>
      <c r="AD121" s="51">
        <f>'Input - Pasture Beef'!M48</f>
        <v>100</v>
      </c>
      <c r="AE121" s="51">
        <f>'Input - Pasture Beef'!N48</f>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'Input - Pasture Beef'!E49</f>
        <v>100</v>
      </c>
      <c r="W122" s="51">
        <f>'Input - Pasture Beef'!F49</f>
        <v>100</v>
      </c>
      <c r="X122" s="51">
        <f>'Input - Pasture Beef'!G49</f>
        <v>100</v>
      </c>
      <c r="Y122" s="51">
        <f>'Input - Pasture Beef'!H49</f>
        <v>100</v>
      </c>
      <c r="Z122" s="51">
        <f>'Input - Pasture Beef'!I49</f>
        <v>100</v>
      </c>
      <c r="AA122" s="51">
        <f>'Input - Pasture Beef'!J49</f>
        <v>100</v>
      </c>
      <c r="AB122" s="51">
        <f>'Input - Pasture Beef'!K49</f>
        <v>100</v>
      </c>
      <c r="AC122" s="51">
        <f>'Input - Pasture Beef'!L49</f>
        <v>100</v>
      </c>
      <c r="AD122" s="51">
        <f>'Input - Pasture Beef'!M49</f>
        <v>100</v>
      </c>
      <c r="AE122" s="51">
        <f>'Input - Pasture Beef'!N49</f>
        <v>100</v>
      </c>
      <c r="AF122" s="2"/>
      <c r="AH122" s="2"/>
    </row>
    <row r="123" spans="4:34" ht="20.100000000000001" customHeight="1" x14ac:dyDescent="0.25">
      <c r="D123" s="51" t="s">
        <v>135</v>
      </c>
      <c r="E123" s="51" cm="1">
        <f t="array" ref="E123">EntericMethane_PastureBeef_Equations.VEERG_3_2_1_1__1_TotalAnnualMethaneFromEntericFermentation(E115,E85,E107)</f>
        <v>1.6378255171123202</v>
      </c>
      <c r="F123" s="51" cm="1">
        <f t="array" ref="F123">EntericMethane_PastureBeef_Equations.VEERG_3_2_1_1__1_TotalAnnualMethaneFromEntericFermentation(F115,F85,F107)</f>
        <v>2.3132108159718756</v>
      </c>
      <c r="G123" s="51" cm="1">
        <f t="array" ref="G123">EntericMethane_PastureBeef_Equations.VEERG_3_2_1_1__1_TotalAnnualMethaneFromEntericFermentation(G115,G85,G107)</f>
        <v>1.2483501632171887</v>
      </c>
      <c r="H123" s="51" cm="1">
        <f t="array" ref="H123">EntericMethane_PastureBeef_Equations.VEERG_3_2_1_1__1_TotalAnnualMethaneFromEntericFermentation(H115,H85,H107)</f>
        <v>1.7856784773463517</v>
      </c>
      <c r="I123" s="51" cm="1">
        <f t="array" ref="I123">EntericMethane_PastureBeef_Equations.VEERG_3_2_1_1__1_TotalAnnualMethaneFromEntericFermentation(I115,I85,I107)</f>
        <v>1.9101524473914753</v>
      </c>
      <c r="J123" s="51" cm="1">
        <f t="array" ref="J123">EntericMethane_PastureBeef_Equations.VEERG_3_2_1_1__1_TotalAnnualMethaneFromEntericFermentation(J115,J85,J107)</f>
        <v>1.9101524473914753</v>
      </c>
      <c r="K123" s="51" cm="1">
        <f t="array" ref="K123">EntericMethane_PastureBeef_Equations.VEERG_3_2_1_1__1_TotalAnnualMethaneFromEntericFermentation(K115,K85,K107)</f>
        <v>1.4391822346998746</v>
      </c>
      <c r="L123" s="51" cm="1">
        <f t="array" ref="L123">EntericMethane_PastureBeef_Equations.VEERG_3_2_1_1__1_TotalAnnualMethaneFromEntericFermentation(L115,L85,L107)</f>
        <v>1.8288896104633945</v>
      </c>
      <c r="M123" s="51" cm="1">
        <f t="array" ref="M123">EntericMethane_PastureBeef_Equations.VEERG_3_2_1_1__1_TotalAnnualMethaneFromEntericFermentation(M115,M85,M107)</f>
        <v>1.8288896104633945</v>
      </c>
      <c r="N123" s="51" cm="1">
        <f t="array" ref="N123">EntericMethane_PastureBeef_Equations.VEERG_3_2_1_1__1_TotalAnnualMethaneFromEntericFermentation(N115,N85,N107)</f>
        <v>1.8288896104633945</v>
      </c>
      <c r="O123" s="2" t="str">
        <f>E98</f>
        <v>t CH4</v>
      </c>
      <c r="Q123" s="2"/>
      <c r="U123" s="51" t="str">
        <f>TEXT(EDATE('Input - Site'!$E$12,6), "mmmm yyyy")</f>
        <v>July 2024</v>
      </c>
      <c r="V123" s="51">
        <f>'Input - Pasture Beef'!E50</f>
        <v>100</v>
      </c>
      <c r="W123" s="51">
        <f>'Input - Pasture Beef'!F50</f>
        <v>100</v>
      </c>
      <c r="X123" s="51">
        <f>'Input - Pasture Beef'!G50</f>
        <v>100</v>
      </c>
      <c r="Y123" s="51">
        <f>'Input - Pasture Beef'!H50</f>
        <v>100</v>
      </c>
      <c r="Z123" s="51">
        <f>'Input - Pasture Beef'!I50</f>
        <v>100</v>
      </c>
      <c r="AA123" s="51">
        <f>'Input - Pasture Beef'!J50</f>
        <v>100</v>
      </c>
      <c r="AB123" s="51">
        <f>'Input - Pasture Beef'!K50</f>
        <v>100</v>
      </c>
      <c r="AC123" s="51">
        <f>'Input - Pasture Beef'!L50</f>
        <v>100</v>
      </c>
      <c r="AD123" s="51">
        <f>'Input - Pasture Beef'!M50</f>
        <v>100</v>
      </c>
      <c r="AE123" s="51">
        <f>'Input - Pasture Beef'!N50</f>
        <v>100</v>
      </c>
      <c r="AF123" s="2"/>
      <c r="AH123" s="2"/>
    </row>
    <row r="124" spans="4:34" ht="20.100000000000001" customHeight="1" x14ac:dyDescent="0.25">
      <c r="D124" s="51" t="s">
        <v>136</v>
      </c>
      <c r="E124" s="51" cm="1">
        <f t="array" ref="E124">EntericMethane_PastureBeef_Equations.VEERG_3_2_1_1__1_TotalAnnualMethaneFromEntericFermentation(E116,E86,E108)</f>
        <v>1.3499513262943192</v>
      </c>
      <c r="F124" s="51" cm="1">
        <f t="array" ref="F124">EntericMethane_PastureBeef_Equations.VEERG_3_2_1_1__1_TotalAnnualMethaneFromEntericFermentation(F116,F86,F108)</f>
        <v>1.7861190673549951</v>
      </c>
      <c r="G124" s="51" cm="1">
        <f t="array" ref="G124">EntericMethane_PastureBeef_Equations.VEERG_3_2_1_1__1_TotalAnnualMethaneFromEntericFermentation(G116,G86,G108)</f>
        <v>1.1352785803019998</v>
      </c>
      <c r="H124" s="51" cm="1">
        <f t="array" ref="H124">EntericMethane_PastureBeef_Equations.VEERG_3_2_1_1__1_TotalAnnualMethaneFromEntericFermentation(H116,H86,H108)</f>
        <v>1.486648456930969</v>
      </c>
      <c r="I124" s="51" cm="1">
        <f t="array" ref="I124">EntericMethane_PastureBeef_Equations.VEERG_3_2_1_1__1_TotalAnnualMethaneFromEntericFermentation(I116,I86,I108)</f>
        <v>1.4719638763366196</v>
      </c>
      <c r="J124" s="51" cm="1">
        <f t="array" ref="J124">EntericMethane_PastureBeef_Equations.VEERG_3_2_1_1__1_TotalAnnualMethaneFromEntericFermentation(J116,J86,J108)</f>
        <v>1.4719638763366196</v>
      </c>
      <c r="K124" s="51" cm="1">
        <f t="array" ref="K124">EntericMethane_PastureBeef_Equations.VEERG_3_2_1_1__1_TotalAnnualMethaneFromEntericFermentation(K116,K86,K108)</f>
        <v>1.2443230185343197</v>
      </c>
      <c r="L124" s="51" cm="1">
        <f t="array" ref="L124">EntericMethane_PastureBeef_Equations.VEERG_3_2_1_1__1_TotalAnnualMethaneFromEntericFermentation(L116,L86,L108)</f>
        <v>1.3870141792213391</v>
      </c>
      <c r="M124" s="51" cm="1">
        <f t="array" ref="M124">EntericMethane_PastureBeef_Equations.VEERG_3_2_1_1__1_TotalAnnualMethaneFromEntericFermentation(M116,M86,M108)</f>
        <v>1.3870141792213391</v>
      </c>
      <c r="N124" s="51" cm="1">
        <f t="array" ref="N124">EntericMethane_PastureBeef_Equations.VEERG_3_2_1_1__1_TotalAnnualMethaneFromEntericFermentation(N116,N86,N108)</f>
        <v>1.3870141792213391</v>
      </c>
      <c r="O124" s="2"/>
      <c r="Q124" s="2"/>
      <c r="U124" s="51" t="str">
        <f>TEXT(EDATE('Input - Site'!$E$12,7), "mmmm yyyy")</f>
        <v>August 2024</v>
      </c>
      <c r="V124" s="51">
        <f>'Input - Pasture Beef'!E51</f>
        <v>100</v>
      </c>
      <c r="W124" s="51">
        <f>'Input - Pasture Beef'!F51</f>
        <v>100</v>
      </c>
      <c r="X124" s="51">
        <f>'Input - Pasture Beef'!G51</f>
        <v>100</v>
      </c>
      <c r="Y124" s="51">
        <f>'Input - Pasture Beef'!H51</f>
        <v>100</v>
      </c>
      <c r="Z124" s="51">
        <f>'Input - Pasture Beef'!I51</f>
        <v>100</v>
      </c>
      <c r="AA124" s="51">
        <f>'Input - Pasture Beef'!J51</f>
        <v>100</v>
      </c>
      <c r="AB124" s="51">
        <f>'Input - Pasture Beef'!K51</f>
        <v>100</v>
      </c>
      <c r="AC124" s="51">
        <f>'Input - Pasture Beef'!L51</f>
        <v>100</v>
      </c>
      <c r="AD124" s="51">
        <f>'Input - Pasture Beef'!M51</f>
        <v>100</v>
      </c>
      <c r="AE124" s="51">
        <f>'Input - Pasture Beef'!N51</f>
        <v>100</v>
      </c>
      <c r="AF124" s="2"/>
      <c r="AH124" s="2"/>
    </row>
    <row r="125" spans="4:34" ht="20.100000000000001" customHeight="1" x14ac:dyDescent="0.25">
      <c r="D125" s="51" t="s">
        <v>137</v>
      </c>
      <c r="E125" s="51" cm="1">
        <f t="array" ref="E125">EntericMethane_PastureBeef_Equations.VEERG_3_2_1_1__1_TotalAnnualMethaneFromEntericFermentation(E117,E87,E109)</f>
        <v>0.61335624555000001</v>
      </c>
      <c r="F125" s="51" cm="1">
        <f t="array" ref="F125">EntericMethane_PastureBeef_Equations.VEERG_3_2_1_1__1_TotalAnnualMethaneFromEntericFermentation(F117,F87,F109)</f>
        <v>1.7801994082822199</v>
      </c>
      <c r="G125" s="51" cm="1">
        <f t="array" ref="G125">EntericMethane_PastureBeef_Equations.VEERG_3_2_1_1__1_TotalAnnualMethaneFromEntericFermentation(G117,G87,G109)</f>
        <v>0.55916871211511998</v>
      </c>
      <c r="H125" s="51" cm="1">
        <f t="array" ref="H125">EntericMethane_PastureBeef_Equations.VEERG_3_2_1_1__1_TotalAnnualMethaneFromEntericFermentation(H117,H87,H109)</f>
        <v>1.1253534827611948</v>
      </c>
      <c r="I125" s="51" cm="1">
        <f t="array" ref="I125">EntericMethane_PastureBeef_Equations.VEERG_3_2_1_1__1_TotalAnnualMethaneFromEntericFermentation(I117,I87,I109)</f>
        <v>1.2689457429779887</v>
      </c>
      <c r="J125" s="51" cm="1">
        <f t="array" ref="J125">EntericMethane_PastureBeef_Equations.VEERG_3_2_1_1__1_TotalAnnualMethaneFromEntericFermentation(J117,J87,J109)</f>
        <v>1.2689457429779887</v>
      </c>
      <c r="K125" s="51" cm="1">
        <f t="array" ref="K125">EntericMethane_PastureBeef_Equations.VEERG_3_2_1_1__1_TotalAnnualMethaneFromEntericFermentation(K117,K87,K109)</f>
        <v>0.61335624555000001</v>
      </c>
      <c r="L125" s="51" cm="1">
        <f t="array" ref="L125">EntericMethane_PastureBeef_Equations.VEERG_3_2_1_1__1_TotalAnnualMethaneFromEntericFermentation(L117,L87,L109)</f>
        <v>1.1135632576102203</v>
      </c>
      <c r="M125" s="51" cm="1">
        <f t="array" ref="M125">EntericMethane_PastureBeef_Equations.VEERG_3_2_1_1__1_TotalAnnualMethaneFromEntericFermentation(M117,M87,M109)</f>
        <v>1.1135632576102203</v>
      </c>
      <c r="N125" s="51" cm="1">
        <f t="array" ref="N125">EntericMethane_PastureBeef_Equations.VEERG_3_2_1_1__1_TotalAnnualMethaneFromEntericFermentation(N117,N87,N109)</f>
        <v>1.1135632576102203</v>
      </c>
      <c r="O125" s="2"/>
      <c r="Q125" s="2"/>
      <c r="U125" s="51" t="str">
        <f>TEXT(EDATE('Input - Site'!$E$12,8), "mmmm yyyy")</f>
        <v>September 2024</v>
      </c>
      <c r="V125" s="51">
        <f>'Input - Pasture Beef'!E52</f>
        <v>100</v>
      </c>
      <c r="W125" s="51">
        <f>'Input - Pasture Beef'!F52</f>
        <v>100</v>
      </c>
      <c r="X125" s="51">
        <f>'Input - Pasture Beef'!G52</f>
        <v>100</v>
      </c>
      <c r="Y125" s="51">
        <f>'Input - Pasture Beef'!H52</f>
        <v>100</v>
      </c>
      <c r="Z125" s="51">
        <f>'Input - Pasture Beef'!I52</f>
        <v>100</v>
      </c>
      <c r="AA125" s="51">
        <f>'Input - Pasture Beef'!J52</f>
        <v>100</v>
      </c>
      <c r="AB125" s="51">
        <f>'Input - Pasture Beef'!K52</f>
        <v>100</v>
      </c>
      <c r="AC125" s="51">
        <f>'Input - Pasture Beef'!L52</f>
        <v>100</v>
      </c>
      <c r="AD125" s="51">
        <f>'Input - Pasture Beef'!M52</f>
        <v>100</v>
      </c>
      <c r="AE125" s="51">
        <f>'Input - Pasture Beef'!N52</f>
        <v>100</v>
      </c>
      <c r="AF125" s="2"/>
      <c r="AH125" s="2"/>
    </row>
    <row r="126" spans="4:34" ht="20.100000000000001" customHeight="1" x14ac:dyDescent="0.25">
      <c r="D126" s="51" t="s">
        <v>138</v>
      </c>
      <c r="E126" s="51" cm="1">
        <f t="array" ref="E126">EntericMethane_PastureBeef_Equations.VEERG_3_2_1_1__1_TotalAnnualMethaneFromEntericFermentation(E118,E88,E110)</f>
        <v>0.96954028006048887</v>
      </c>
      <c r="F126" s="51" cm="1">
        <f t="array" ref="F126">EntericMethane_PastureBeef_Equations.VEERG_3_2_1_1__1_TotalAnnualMethaneFromEntericFermentation(F118,F88,F110)</f>
        <v>1.8841261585848745</v>
      </c>
      <c r="G126" s="51" cm="1">
        <f t="array" ref="G126">EntericMethane_PastureBeef_Equations.VEERG_3_2_1_1__1_TotalAnnualMethaneFromEntericFermentation(G118,G88,G110)</f>
        <v>0.79383844115971891</v>
      </c>
      <c r="H126" s="51" cm="1">
        <f t="array" ref="H126">EntericMethane_PastureBeef_Equations.VEERG_3_2_1_1__1_TotalAnnualMethaneFromEntericFermentation(H118,H88,H110)</f>
        <v>1.422005966315995</v>
      </c>
      <c r="I126" s="51" cm="1">
        <f t="array" ref="I126">EntericMethane_PastureBeef_Equations.VEERG_3_2_1_1__1_TotalAnnualMethaneFromEntericFermentation(I118,I88,I110)</f>
        <v>1.7274130470284719</v>
      </c>
      <c r="J126" s="51" cm="1">
        <f t="array" ref="J126">EntericMethane_PastureBeef_Equations.VEERG_3_2_1_1__1_TotalAnnualMethaneFromEntericFermentation(J118,J88,J110)</f>
        <v>1.7274130470284719</v>
      </c>
      <c r="K126" s="51" cm="1">
        <f t="array" ref="K126">EntericMethane_PastureBeef_Equations.VEERG_3_2_1_1__1_TotalAnnualMethaneFromEntericFermentation(K118,K88,K110)</f>
        <v>0.8523110452909386</v>
      </c>
      <c r="L126" s="51" cm="1">
        <f t="array" ref="L126">EntericMethane_PastureBeef_Equations.VEERG_3_2_1_1__1_TotalAnnualMethaneFromEntericFermentation(L118,L88,L110)</f>
        <v>1.2976289206207199</v>
      </c>
      <c r="M126" s="51" cm="1">
        <f t="array" ref="M126">EntericMethane_PastureBeef_Equations.VEERG_3_2_1_1__1_TotalAnnualMethaneFromEntericFermentation(M118,M88,M110)</f>
        <v>1.2976289206207199</v>
      </c>
      <c r="N126" s="51" cm="1">
        <f t="array" ref="N126">EntericMethane_PastureBeef_Equations.VEERG_3_2_1_1__1_TotalAnnualMethaneFromEntericFermentation(N118,N88,N110)</f>
        <v>1.2976289206207199</v>
      </c>
      <c r="O126" s="2"/>
      <c r="Q126" s="2"/>
      <c r="U126" s="51" t="str">
        <f>TEXT(EDATE('Input - Site'!$E$12,9), "mmmm yyyy")</f>
        <v>October 2024</v>
      </c>
      <c r="V126" s="51">
        <f>'Input - Pasture Beef'!E53</f>
        <v>100</v>
      </c>
      <c r="W126" s="51">
        <f>'Input - Pasture Beef'!F53</f>
        <v>100</v>
      </c>
      <c r="X126" s="51">
        <f>'Input - Pasture Beef'!G53</f>
        <v>100</v>
      </c>
      <c r="Y126" s="51">
        <f>'Input - Pasture Beef'!H53</f>
        <v>100</v>
      </c>
      <c r="Z126" s="51">
        <f>'Input - Pasture Beef'!I53</f>
        <v>100</v>
      </c>
      <c r="AA126" s="51">
        <f>'Input - Pasture Beef'!J53</f>
        <v>100</v>
      </c>
      <c r="AB126" s="51">
        <f>'Input - Pasture Beef'!K53</f>
        <v>100</v>
      </c>
      <c r="AC126" s="51">
        <f>'Input - Pasture Beef'!L53</f>
        <v>100</v>
      </c>
      <c r="AD126" s="51">
        <f>'Input - Pasture Beef'!M53</f>
        <v>100</v>
      </c>
      <c r="AE126" s="51">
        <f>'Input - Pasture Beef'!N53</f>
        <v>100</v>
      </c>
      <c r="AF126" s="2"/>
      <c r="AH126" s="2"/>
    </row>
    <row r="127" spans="4:34" ht="20.100000000000001" customHeight="1" x14ac:dyDescent="0.25">
      <c r="Q127" s="2"/>
      <c r="U127" s="51" t="str">
        <f>TEXT(EDATE('Input - Site'!$E$12,10), "mmmm yyyy")</f>
        <v>November 2024</v>
      </c>
      <c r="V127" s="51">
        <f>'Input - Pasture Beef'!E54</f>
        <v>100</v>
      </c>
      <c r="W127" s="51">
        <f>'Input - Pasture Beef'!F54</f>
        <v>100</v>
      </c>
      <c r="X127" s="51">
        <f>'Input - Pasture Beef'!G54</f>
        <v>100</v>
      </c>
      <c r="Y127" s="51">
        <f>'Input - Pasture Beef'!H54</f>
        <v>100</v>
      </c>
      <c r="Z127" s="51">
        <f>'Input - Pasture Beef'!I54</f>
        <v>100</v>
      </c>
      <c r="AA127" s="51">
        <f>'Input - Pasture Beef'!J54</f>
        <v>100</v>
      </c>
      <c r="AB127" s="51">
        <f>'Input - Pasture Beef'!K54</f>
        <v>100</v>
      </c>
      <c r="AC127" s="51">
        <f>'Input - Pasture Beef'!L54</f>
        <v>100</v>
      </c>
      <c r="AD127" s="51">
        <f>'Input - Pasture Beef'!M54</f>
        <v>100</v>
      </c>
      <c r="AE127" s="51">
        <f>'Input - Pasture Beef'!N54</f>
        <v>100</v>
      </c>
      <c r="AF127" s="2"/>
    </row>
    <row r="128" spans="4:34" ht="20.100000000000001" customHeight="1" x14ac:dyDescent="0.25">
      <c r="D128" s="97" t="s">
        <v>232</v>
      </c>
      <c r="E128" s="98">
        <f>SUM(E123:N126)</f>
        <v>55.678061774650885</v>
      </c>
      <c r="F128" s="99" t="str">
        <f>$E$98</f>
        <v>t CH4</v>
      </c>
      <c r="Q128" s="2"/>
      <c r="U128" s="51" t="str">
        <f>TEXT(EDATE('Input - Site'!$E$12,11), "mmmm yyyy")</f>
        <v>December 2024</v>
      </c>
      <c r="V128" s="51">
        <f>'Input - Pasture Beef'!E55</f>
        <v>100</v>
      </c>
      <c r="W128" s="51">
        <f>'Input - Pasture Beef'!F55</f>
        <v>100</v>
      </c>
      <c r="X128" s="51">
        <f>'Input - Pasture Beef'!G55</f>
        <v>100</v>
      </c>
      <c r="Y128" s="51">
        <f>'Input - Pasture Beef'!H55</f>
        <v>100</v>
      </c>
      <c r="Z128" s="51">
        <f>'Input - Pasture Beef'!I55</f>
        <v>100</v>
      </c>
      <c r="AA128" s="51">
        <f>'Input - Pasture Beef'!J55</f>
        <v>100</v>
      </c>
      <c r="AB128" s="51">
        <f>'Input - Pasture Beef'!K55</f>
        <v>100</v>
      </c>
      <c r="AC128" s="51">
        <f>'Input - Pasture Beef'!L55</f>
        <v>100</v>
      </c>
      <c r="AD128" s="51">
        <f>'Input - Pasture Beef'!M55</f>
        <v>100</v>
      </c>
      <c r="AE128" s="51">
        <f>'Input - Pasture Beef'!N55</f>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E128</f>
        <v>55.678061774650885</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ref="E133">Common_Equations.Common_ConvertN2OToCO2e(G130,G131)</f>
        <v>1558.9857296902248</v>
      </c>
      <c r="F133" s="101" t="str" cm="1">
        <f t="array" ref="F133">Common_Equations.Common_ConvertN2OToCO2e_Unit()</f>
        <v>t CO2e</v>
      </c>
      <c r="U133" s="51" t="str">
        <f>TEXT('Input - Site'!$E$12, "mmmm yyyy")</f>
        <v>January 2024</v>
      </c>
      <c r="V133" s="51">
        <f>'Input - Pasture Beef'!E22</f>
        <v>31</v>
      </c>
      <c r="W133" s="51">
        <f>'Input - Pasture Beef'!F22</f>
        <v>31</v>
      </c>
      <c r="X133" s="51">
        <f>'Input - Pasture Beef'!G22</f>
        <v>31</v>
      </c>
      <c r="Y133" s="51">
        <f>'Input - Pasture Beef'!H22</f>
        <v>31</v>
      </c>
      <c r="Z133" s="51">
        <f>'Input - Pasture Beef'!I22</f>
        <v>31</v>
      </c>
      <c r="AA133" s="51">
        <f>'Input - Pasture Beef'!J22</f>
        <v>31</v>
      </c>
      <c r="AB133" s="51">
        <f>'Input - Pasture Beef'!K22</f>
        <v>31</v>
      </c>
      <c r="AC133" s="51">
        <f>'Input - Pasture Beef'!L22</f>
        <v>31</v>
      </c>
      <c r="AD133" s="51">
        <f>'Input - Pasture Beef'!M22</f>
        <v>31</v>
      </c>
      <c r="AE133" s="51">
        <f>'Input - Pasture Beef'!N22</f>
        <v>31</v>
      </c>
      <c r="AF133" s="2" t="str">
        <f>$G$100</f>
        <v>days</v>
      </c>
      <c r="AH133" s="2"/>
    </row>
    <row r="134" spans="4:34" ht="20.100000000000001" customHeight="1" x14ac:dyDescent="0.25">
      <c r="U134" s="51" t="str">
        <f>TEXT(EDATE('Input - Site'!$E$12,1), "mmmm yyyy")</f>
        <v>February 2024</v>
      </c>
      <c r="V134" s="51">
        <f>'Input - Pasture Beef'!E23</f>
        <v>29</v>
      </c>
      <c r="W134" s="51">
        <f>'Input - Pasture Beef'!F23</f>
        <v>29</v>
      </c>
      <c r="X134" s="51">
        <f>'Input - Pasture Beef'!G23</f>
        <v>29</v>
      </c>
      <c r="Y134" s="51">
        <f>'Input - Pasture Beef'!H23</f>
        <v>29</v>
      </c>
      <c r="Z134" s="51">
        <f>'Input - Pasture Beef'!I23</f>
        <v>29</v>
      </c>
      <c r="AA134" s="51">
        <f>'Input - Pasture Beef'!J23</f>
        <v>29</v>
      </c>
      <c r="AB134" s="51">
        <f>'Input - Pasture Beef'!K23</f>
        <v>29</v>
      </c>
      <c r="AC134" s="51">
        <f>'Input - Pasture Beef'!L23</f>
        <v>29</v>
      </c>
      <c r="AD134" s="51">
        <f>'Input - Pasture Beef'!M23</f>
        <v>29</v>
      </c>
      <c r="AE134" s="51">
        <f>'Input - Pasture Beef'!N23</f>
        <v>29</v>
      </c>
      <c r="AF134" s="2"/>
      <c r="AH134" s="2"/>
    </row>
    <row r="135" spans="4:34" ht="20.100000000000001" customHeight="1" x14ac:dyDescent="0.25">
      <c r="U135" s="51" t="str">
        <f>TEXT(EDATE('Input - Site'!$E$12,2), "mmmm yyyy")</f>
        <v>March 2024</v>
      </c>
      <c r="V135" s="51">
        <f>'Input - Pasture Beef'!E24</f>
        <v>31</v>
      </c>
      <c r="W135" s="51">
        <f>'Input - Pasture Beef'!F24</f>
        <v>31</v>
      </c>
      <c r="X135" s="51">
        <f>'Input - Pasture Beef'!G24</f>
        <v>31</v>
      </c>
      <c r="Y135" s="51">
        <f>'Input - Pasture Beef'!H24</f>
        <v>31</v>
      </c>
      <c r="Z135" s="51">
        <f>'Input - Pasture Beef'!I24</f>
        <v>31</v>
      </c>
      <c r="AA135" s="51">
        <f>'Input - Pasture Beef'!J24</f>
        <v>31</v>
      </c>
      <c r="AB135" s="51">
        <f>'Input - Pasture Beef'!K24</f>
        <v>31</v>
      </c>
      <c r="AC135" s="51">
        <f>'Input - Pasture Beef'!L24</f>
        <v>31</v>
      </c>
      <c r="AD135" s="51">
        <f>'Input - Pasture Beef'!M24</f>
        <v>31</v>
      </c>
      <c r="AE135" s="51">
        <f>'Input - Pasture Beef'!N24</f>
        <v>31</v>
      </c>
      <c r="AF135" s="2"/>
      <c r="AH135" s="2"/>
    </row>
    <row r="136" spans="4:34" ht="20.100000000000001" customHeight="1" x14ac:dyDescent="0.25">
      <c r="U136" s="51" t="str">
        <f>TEXT(EDATE('Input - Site'!$E$12,3), "mmmm yyyy")</f>
        <v>April 2024</v>
      </c>
      <c r="V136" s="51">
        <f>'Input - Pasture Beef'!E25</f>
        <v>30</v>
      </c>
      <c r="W136" s="51">
        <f>'Input - Pasture Beef'!F25</f>
        <v>30</v>
      </c>
      <c r="X136" s="51">
        <f>'Input - Pasture Beef'!G25</f>
        <v>30</v>
      </c>
      <c r="Y136" s="51">
        <f>'Input - Pasture Beef'!H25</f>
        <v>30</v>
      </c>
      <c r="Z136" s="51">
        <f>'Input - Pasture Beef'!I25</f>
        <v>30</v>
      </c>
      <c r="AA136" s="51">
        <f>'Input - Pasture Beef'!J25</f>
        <v>30</v>
      </c>
      <c r="AB136" s="51">
        <f>'Input - Pasture Beef'!K25</f>
        <v>30</v>
      </c>
      <c r="AC136" s="51">
        <f>'Input - Pasture Beef'!L25</f>
        <v>30</v>
      </c>
      <c r="AD136" s="51">
        <f>'Input - Pasture Beef'!M25</f>
        <v>30</v>
      </c>
      <c r="AE136" s="51">
        <f>'Input - Pasture Beef'!N25</f>
        <v>30</v>
      </c>
      <c r="AF136" s="2"/>
      <c r="AH136" s="2"/>
    </row>
    <row r="137" spans="4:34" ht="20.100000000000001" customHeight="1" x14ac:dyDescent="0.25">
      <c r="U137" s="51" t="str">
        <f>TEXT(EDATE('Input - Site'!$E$12,4), "mmmm yyyy")</f>
        <v>May 2024</v>
      </c>
      <c r="V137" s="51">
        <f>'Input - Pasture Beef'!E26</f>
        <v>31</v>
      </c>
      <c r="W137" s="51">
        <f>'Input - Pasture Beef'!F26</f>
        <v>31</v>
      </c>
      <c r="X137" s="51">
        <f>'Input - Pasture Beef'!G26</f>
        <v>31</v>
      </c>
      <c r="Y137" s="51">
        <f>'Input - Pasture Beef'!H26</f>
        <v>31</v>
      </c>
      <c r="Z137" s="51">
        <f>'Input - Pasture Beef'!I26</f>
        <v>31</v>
      </c>
      <c r="AA137" s="51">
        <f>'Input - Pasture Beef'!J26</f>
        <v>31</v>
      </c>
      <c r="AB137" s="51">
        <f>'Input - Pasture Beef'!K26</f>
        <v>31</v>
      </c>
      <c r="AC137" s="51">
        <f>'Input - Pasture Beef'!L26</f>
        <v>31</v>
      </c>
      <c r="AD137" s="51">
        <f>'Input - Pasture Beef'!M26</f>
        <v>31</v>
      </c>
      <c r="AE137" s="51">
        <f>'Input - Pasture Beef'!N26</f>
        <v>31</v>
      </c>
      <c r="AF137" s="2"/>
      <c r="AH137" s="2"/>
    </row>
    <row r="138" spans="4:34" ht="20.100000000000001" customHeight="1" x14ac:dyDescent="0.25">
      <c r="U138" s="51" t="str">
        <f>TEXT(EDATE('Input - Site'!$E$12,5), "mmmm yyyy")</f>
        <v>June 2024</v>
      </c>
      <c r="V138" s="51">
        <f>'Input - Pasture Beef'!E27</f>
        <v>30</v>
      </c>
      <c r="W138" s="51">
        <f>'Input - Pasture Beef'!F27</f>
        <v>30</v>
      </c>
      <c r="X138" s="51">
        <f>'Input - Pasture Beef'!G27</f>
        <v>30</v>
      </c>
      <c r="Y138" s="51">
        <f>'Input - Pasture Beef'!H27</f>
        <v>30</v>
      </c>
      <c r="Z138" s="51">
        <f>'Input - Pasture Beef'!I27</f>
        <v>30</v>
      </c>
      <c r="AA138" s="51">
        <f>'Input - Pasture Beef'!J27</f>
        <v>30</v>
      </c>
      <c r="AB138" s="51">
        <f>'Input - Pasture Beef'!K27</f>
        <v>30</v>
      </c>
      <c r="AC138" s="51">
        <f>'Input - Pasture Beef'!L27</f>
        <v>30</v>
      </c>
      <c r="AD138" s="51">
        <f>'Input - Pasture Beef'!M27</f>
        <v>30</v>
      </c>
      <c r="AE138" s="51">
        <f>'Input - Pasture Beef'!N27</f>
        <v>30</v>
      </c>
      <c r="AF138" s="2"/>
      <c r="AH138" s="2"/>
    </row>
    <row r="139" spans="4:34" ht="20.100000000000001" customHeight="1" x14ac:dyDescent="0.25">
      <c r="U139" s="51" t="str">
        <f>TEXT(EDATE('Input - Site'!$E$12,6), "mmmm yyyy")</f>
        <v>July 2024</v>
      </c>
      <c r="V139" s="51">
        <f>'Input - Pasture Beef'!E28</f>
        <v>31</v>
      </c>
      <c r="W139" s="51">
        <f>'Input - Pasture Beef'!F28</f>
        <v>31</v>
      </c>
      <c r="X139" s="51">
        <f>'Input - Pasture Beef'!G28</f>
        <v>31</v>
      </c>
      <c r="Y139" s="51">
        <f>'Input - Pasture Beef'!H28</f>
        <v>31</v>
      </c>
      <c r="Z139" s="51">
        <f>'Input - Pasture Beef'!I28</f>
        <v>31</v>
      </c>
      <c r="AA139" s="51">
        <f>'Input - Pasture Beef'!J28</f>
        <v>31</v>
      </c>
      <c r="AB139" s="51">
        <f>'Input - Pasture Beef'!K28</f>
        <v>31</v>
      </c>
      <c r="AC139" s="51">
        <f>'Input - Pasture Beef'!L28</f>
        <v>31</v>
      </c>
      <c r="AD139" s="51">
        <f>'Input - Pasture Beef'!M28</f>
        <v>31</v>
      </c>
      <c r="AE139" s="51">
        <f>'Input - Pasture Beef'!N28</f>
        <v>31</v>
      </c>
      <c r="AF139" s="2"/>
      <c r="AH139" s="2"/>
    </row>
    <row r="140" spans="4:34" ht="20.100000000000001" customHeight="1" x14ac:dyDescent="0.25">
      <c r="U140" s="51" t="str">
        <f>TEXT(EDATE('Input - Site'!$E$12,7), "mmmm yyyy")</f>
        <v>August 2024</v>
      </c>
      <c r="V140" s="51">
        <f>'Input - Pasture Beef'!E29</f>
        <v>31</v>
      </c>
      <c r="W140" s="51">
        <f>'Input - Pasture Beef'!F29</f>
        <v>31</v>
      </c>
      <c r="X140" s="51">
        <f>'Input - Pasture Beef'!G29</f>
        <v>31</v>
      </c>
      <c r="Y140" s="51">
        <f>'Input - Pasture Beef'!H29</f>
        <v>31</v>
      </c>
      <c r="Z140" s="51">
        <f>'Input - Pasture Beef'!I29</f>
        <v>31</v>
      </c>
      <c r="AA140" s="51">
        <f>'Input - Pasture Beef'!J29</f>
        <v>31</v>
      </c>
      <c r="AB140" s="51">
        <f>'Input - Pasture Beef'!K29</f>
        <v>31</v>
      </c>
      <c r="AC140" s="51">
        <f>'Input - Pasture Beef'!L29</f>
        <v>31</v>
      </c>
      <c r="AD140" s="51">
        <f>'Input - Pasture Beef'!M29</f>
        <v>31</v>
      </c>
      <c r="AE140" s="51">
        <f>'Input - Pasture Beef'!N29</f>
        <v>31</v>
      </c>
      <c r="AF140" s="2"/>
      <c r="AH140" s="2"/>
    </row>
    <row r="141" spans="4:34" ht="20.100000000000001" customHeight="1" x14ac:dyDescent="0.25">
      <c r="U141" s="51" t="str">
        <f>TEXT(EDATE('Input - Site'!$E$12,8), "mmmm yyyy")</f>
        <v>September 2024</v>
      </c>
      <c r="V141" s="51">
        <f>'Input - Pasture Beef'!E30</f>
        <v>30</v>
      </c>
      <c r="W141" s="51">
        <f>'Input - Pasture Beef'!F30</f>
        <v>30</v>
      </c>
      <c r="X141" s="51">
        <f>'Input - Pasture Beef'!G30</f>
        <v>30</v>
      </c>
      <c r="Y141" s="51">
        <f>'Input - Pasture Beef'!H30</f>
        <v>30</v>
      </c>
      <c r="Z141" s="51">
        <f>'Input - Pasture Beef'!I30</f>
        <v>30</v>
      </c>
      <c r="AA141" s="51">
        <f>'Input - Pasture Beef'!J30</f>
        <v>30</v>
      </c>
      <c r="AB141" s="51">
        <f>'Input - Pasture Beef'!K30</f>
        <v>30</v>
      </c>
      <c r="AC141" s="51">
        <f>'Input - Pasture Beef'!L30</f>
        <v>30</v>
      </c>
      <c r="AD141" s="51">
        <f>'Input - Pasture Beef'!M30</f>
        <v>30</v>
      </c>
      <c r="AE141" s="51">
        <f>'Input - Pasture Beef'!N30</f>
        <v>30</v>
      </c>
      <c r="AF141" s="2"/>
      <c r="AH141" s="2"/>
    </row>
    <row r="142" spans="4:34" ht="20.100000000000001" customHeight="1" x14ac:dyDescent="0.25">
      <c r="U142" s="51" t="str">
        <f>TEXT(EDATE('Input - Site'!$E$12,9), "mmmm yyyy")</f>
        <v>October 2024</v>
      </c>
      <c r="V142" s="51">
        <f>'Input - Pasture Beef'!E31</f>
        <v>31</v>
      </c>
      <c r="W142" s="51">
        <f>'Input - Pasture Beef'!F31</f>
        <v>31</v>
      </c>
      <c r="X142" s="51">
        <f>'Input - Pasture Beef'!G31</f>
        <v>31</v>
      </c>
      <c r="Y142" s="51">
        <f>'Input - Pasture Beef'!H31</f>
        <v>31</v>
      </c>
      <c r="Z142" s="51">
        <f>'Input - Pasture Beef'!I31</f>
        <v>31</v>
      </c>
      <c r="AA142" s="51">
        <f>'Input - Pasture Beef'!J31</f>
        <v>31</v>
      </c>
      <c r="AB142" s="51">
        <f>'Input - Pasture Beef'!K31</f>
        <v>31</v>
      </c>
      <c r="AC142" s="51">
        <f>'Input - Pasture Beef'!L31</f>
        <v>31</v>
      </c>
      <c r="AD142" s="51">
        <f>'Input - Pasture Beef'!M31</f>
        <v>31</v>
      </c>
      <c r="AE142" s="51">
        <f>'Input - Pasture Beef'!N31</f>
        <v>31</v>
      </c>
      <c r="AF142" s="2"/>
      <c r="AH142" s="2"/>
    </row>
    <row r="143" spans="4:34" ht="20.100000000000001" customHeight="1" x14ac:dyDescent="0.25">
      <c r="U143" s="51" t="str">
        <f>TEXT(EDATE('Input - Site'!$E$12,10), "mmmm yyyy")</f>
        <v>November 2024</v>
      </c>
      <c r="V143" s="51">
        <f>'Input - Pasture Beef'!E32</f>
        <v>30</v>
      </c>
      <c r="W143" s="51">
        <f>'Input - Pasture Beef'!F32</f>
        <v>30</v>
      </c>
      <c r="X143" s="51">
        <f>'Input - Pasture Beef'!G32</f>
        <v>30</v>
      </c>
      <c r="Y143" s="51">
        <f>'Input - Pasture Beef'!H32</f>
        <v>30</v>
      </c>
      <c r="Z143" s="51">
        <f>'Input - Pasture Beef'!I32</f>
        <v>30</v>
      </c>
      <c r="AA143" s="51">
        <f>'Input - Pasture Beef'!J32</f>
        <v>30</v>
      </c>
      <c r="AB143" s="51">
        <f>'Input - Pasture Beef'!K32</f>
        <v>30</v>
      </c>
      <c r="AC143" s="51">
        <f>'Input - Pasture Beef'!L32</f>
        <v>30</v>
      </c>
      <c r="AD143" s="51">
        <f>'Input - Pasture Beef'!M32</f>
        <v>30</v>
      </c>
      <c r="AE143" s="51">
        <f>'Input - Pasture Beef'!N32</f>
        <v>30</v>
      </c>
      <c r="AF143" s="2"/>
    </row>
    <row r="144" spans="4:34" ht="20.100000000000001" customHeight="1" x14ac:dyDescent="0.25">
      <c r="U144" s="51" t="str">
        <f>TEXT(EDATE('Input - Site'!$E$12,11), "mmmm yyyy")</f>
        <v>December 2024</v>
      </c>
      <c r="V144" s="51">
        <f>'Input - Pasture Beef'!E33</f>
        <v>31</v>
      </c>
      <c r="W144" s="51">
        <f>'Input - Pasture Beef'!F33</f>
        <v>31</v>
      </c>
      <c r="X144" s="51">
        <f>'Input - Pasture Beef'!G33</f>
        <v>31</v>
      </c>
      <c r="Y144" s="51">
        <f>'Input - Pasture Beef'!H33</f>
        <v>31</v>
      </c>
      <c r="Z144" s="51">
        <f>'Input - Pasture Beef'!I33</f>
        <v>31</v>
      </c>
      <c r="AA144" s="51">
        <f>'Input - Pasture Beef'!J33</f>
        <v>31</v>
      </c>
      <c r="AB144" s="51">
        <f>'Input - Pasture Beef'!K33</f>
        <v>31</v>
      </c>
      <c r="AC144" s="51">
        <f>'Input - Pasture Beef'!L33</f>
        <v>31</v>
      </c>
      <c r="AD144" s="51">
        <f>'Input - Pasture Beef'!M33</f>
        <v>31</v>
      </c>
      <c r="AE144" s="51">
        <f>'Input - Pasture Beef'!N33</f>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ref="V149">EntericMethane_PastureBeef_Equations.VEERG_3_2_1_1__1_TotalAnnualMethaneFromEntericFermentation(V133,V97,V117)</f>
        <v>0.4586136012616317</v>
      </c>
      <c r="W149" s="51" cm="1">
        <f t="array" ref="W149">EntericMethane_PastureBeef_Equations.VEERG_3_2_1_1__1_TotalAnnualMethaneFromEntericFermentation(W133,W97,W117)</f>
        <v>0.60679113521101213</v>
      </c>
      <c r="X149" s="51" cm="1">
        <f t="array" ref="X149">EntericMethane_PastureBeef_Equations.VEERG_3_2_1_1__1_TotalAnnualMethaneFromEntericFermentation(X133,X97,X117)</f>
        <v>0.38568368207519993</v>
      </c>
      <c r="Y149" s="51" cm="1">
        <f t="array" ref="Y149">EntericMethane_PastureBeef_Equations.VEERG_3_2_1_1__1_TotalAnnualMethaneFromEntericFermentation(Y133,Y97,Y117)</f>
        <v>0.54293216249013199</v>
      </c>
      <c r="Z149" s="51" cm="1">
        <f t="array" ref="Z149">EntericMethane_PastureBeef_Equations.VEERG_3_2_1_1__1_TotalAnnualMethaneFromEntericFermentation(Z133,Z97,Z117)</f>
        <v>0.53756927319362025</v>
      </c>
      <c r="AA149" s="51" cm="1">
        <f t="array" ref="AA149">EntericMethane_PastureBeef_Equations.VEERG_3_2_1_1__1_TotalAnnualMethaneFromEntericFermentation(AA133,AA97,AA117)</f>
        <v>0.53756927319362025</v>
      </c>
      <c r="AB149" s="51" cm="1">
        <f t="array" ref="AB149">EntericMethane_PastureBeef_Equations.VEERG_3_2_1_1__1_TotalAnnualMethaneFromEntericFermentation(AB133,AB97,AB117)</f>
        <v>0.422728915885632</v>
      </c>
      <c r="AC149" s="51" cm="1">
        <f t="array" ref="AC149">EntericMethane_PastureBeef_Equations.VEERG_3_2_1_1__1_TotalAnnualMethaneFromEntericFermentation(AC133,AC97,AC117)</f>
        <v>0.47120481705053707</v>
      </c>
      <c r="AD149" s="51" cm="1">
        <f t="array" ref="AD149">EntericMethane_PastureBeef_Equations.VEERG_3_2_1_1__1_TotalAnnualMethaneFromEntericFermentation(AD133,AD97,AD117)</f>
        <v>0.47120481705053707</v>
      </c>
      <c r="AE149" s="51" cm="1">
        <f t="array" ref="AE149">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ref="V150">EntericMethane_PastureBeef_Equations.VEERG_3_2_1_1__1_TotalAnnualMethaneFromEntericFermentation(V134,V98,V118)</f>
        <v>0.42902562698668767</v>
      </c>
      <c r="W150" s="51" cm="1">
        <f t="array" ref="W150">EntericMethane_PastureBeef_Equations.VEERG_3_2_1_1__1_TotalAnnualMethaneFromEntericFermentation(W134,W98,W118)</f>
        <v>0.56764332003610807</v>
      </c>
      <c r="X150" s="51" cm="1">
        <f t="array" ref="X150">EntericMethane_PastureBeef_Equations.VEERG_3_2_1_1__1_TotalAnnualMethaneFromEntericFermentation(X134,X98,X118)</f>
        <v>0.36080086387679988</v>
      </c>
      <c r="Y150" s="51" cm="1">
        <f t="array" ref="Y150">EntericMethane_PastureBeef_Equations.VEERG_3_2_1_1__1_TotalAnnualMethaneFromEntericFermentation(Y134,Y98,Y118)</f>
        <v>0.47246909864107506</v>
      </c>
      <c r="Z150" s="51" cm="1">
        <f t="array" ref="Z150">EntericMethane_PastureBeef_Equations.VEERG_3_2_1_1__1_TotalAnnualMethaneFromEntericFermentation(Z134,Z98,Z118)</f>
        <v>0.46780221823300788</v>
      </c>
      <c r="AA150" s="51" cm="1">
        <f t="array" ref="AA150">EntericMethane_PastureBeef_Equations.VEERG_3_2_1_1__1_TotalAnnualMethaneFromEntericFermentation(AA134,AA98,AA118)</f>
        <v>0.46780221823300788</v>
      </c>
      <c r="AB150" s="51" cm="1">
        <f t="array" ref="AB150">EntericMethane_PastureBeef_Equations.VEERG_3_2_1_1__1_TotalAnnualMethaneFromEntericFermentation(AB134,AB98,AB118)</f>
        <v>0.39545608260268794</v>
      </c>
      <c r="AC150" s="51" cm="1">
        <f t="array" ref="AC150">EntericMethane_PastureBeef_Equations.VEERG_3_2_1_1__1_TotalAnnualMethaneFromEntericFermentation(AC134,AC98,AC118)</f>
        <v>0.4408045062730831</v>
      </c>
      <c r="AD150" s="51" cm="1">
        <f t="array" ref="AD150">EntericMethane_PastureBeef_Equations.VEERG_3_2_1_1__1_TotalAnnualMethaneFromEntericFermentation(AD134,AD98,AD118)</f>
        <v>0.4408045062730831</v>
      </c>
      <c r="AE150" s="51" cm="1">
        <f t="array" ref="AE150">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ref="V151">EntericMethane_PastureBeef_Equations.VEERG_3_2_1_1__1_TotalAnnualMethaneFromEntericFermentation(V135,V99,V119)</f>
        <v>0.20837308068000002</v>
      </c>
      <c r="W151" s="51" cm="1">
        <f t="array" ref="W151">EntericMethane_PastureBeef_Equations.VEERG_3_2_1_1__1_TotalAnnualMethaneFromEntericFermentation(W135,W99,W119)</f>
        <v>0.60478007295067204</v>
      </c>
      <c r="X151" s="51" cm="1">
        <f t="array" ref="X151">EntericMethane_PastureBeef_Equations.VEERG_3_2_1_1__1_TotalAnnualMethaneFromEntericFermentation(X135,X99,X119)</f>
        <v>0.18996416521171203</v>
      </c>
      <c r="Y151" s="51" cm="1">
        <f t="array" ref="Y151">EntericMethane_PastureBeef_Equations.VEERG_3_2_1_1__1_TotalAnnualMethaneFromEntericFermentation(Y135,Y99,Y119)</f>
        <v>0.38231186811613199</v>
      </c>
      <c r="Z151" s="51" cm="1">
        <f t="array" ref="Z151">EntericMethane_PastureBeef_Equations.VEERG_3_2_1_1__1_TotalAnnualMethaneFromEntericFermentation(Z135,Z99,Z119)</f>
        <v>0.431093896244577</v>
      </c>
      <c r="AA151" s="51" cm="1">
        <f t="array" ref="AA151">EntericMethane_PastureBeef_Equations.VEERG_3_2_1_1__1_TotalAnnualMethaneFromEntericFermentation(AA135,AA99,AA119)</f>
        <v>0.431093896244577</v>
      </c>
      <c r="AB151" s="51" cm="1">
        <f t="array" ref="AB151">EntericMethane_PastureBeef_Equations.VEERG_3_2_1_1__1_TotalAnnualMethaneFromEntericFermentation(AB135,AB99,AB119)</f>
        <v>0.20837308068000002</v>
      </c>
      <c r="AC151" s="51" cm="1">
        <f t="array" ref="AC151">EntericMethane_PastureBeef_Equations.VEERG_3_2_1_1__1_TotalAnnualMethaneFromEntericFermentation(AC135,AC99,AC119)</f>
        <v>0.37830642176347212</v>
      </c>
      <c r="AD151" s="51" cm="1">
        <f t="array" ref="AD151">EntericMethane_PastureBeef_Equations.VEERG_3_2_1_1__1_TotalAnnualMethaneFromEntericFermentation(AD135,AD99,AD119)</f>
        <v>0.37830642176347212</v>
      </c>
      <c r="AE151" s="51" cm="1">
        <f t="array" ref="AE15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ref="V152">EntericMethane_PastureBeef_Equations.VEERG_3_2_1_1__1_TotalAnnualMethaneFromEntericFermentation(V136,V100,V120)</f>
        <v>0.2016513684</v>
      </c>
      <c r="W152" s="51" cm="1">
        <f t="array" ref="W152">EntericMethane_PastureBeef_Equations.VEERG_3_2_1_1__1_TotalAnnualMethaneFromEntericFermentation(W136,W100,W120)</f>
        <v>0.58527103833936001</v>
      </c>
      <c r="X152" s="51" cm="1">
        <f t="array" ref="X152">EntericMethane_PastureBeef_Equations.VEERG_3_2_1_1__1_TotalAnnualMethaneFromEntericFermentation(X136,X100,X120)</f>
        <v>0.18383628891456003</v>
      </c>
      <c r="Y152" s="51" cm="1">
        <f t="array" ref="Y152">EntericMethane_PastureBeef_Equations.VEERG_3_2_1_1__1_TotalAnnualMethaneFromEntericFermentation(Y136,Y100,Y120)</f>
        <v>0.36997922720915993</v>
      </c>
      <c r="Z152" s="51" cm="1">
        <f t="array" ref="Z152">EntericMethane_PastureBeef_Equations.VEERG_3_2_1_1__1_TotalAnnualMethaneFromEntericFermentation(Z136,Z100,Z120)</f>
        <v>0.41718764152700993</v>
      </c>
      <c r="AA152" s="51" cm="1">
        <f t="array" ref="AA152">EntericMethane_PastureBeef_Equations.VEERG_3_2_1_1__1_TotalAnnualMethaneFromEntericFermentation(AA136,AA100,AA120)</f>
        <v>0.41718764152700993</v>
      </c>
      <c r="AB152" s="51" cm="1">
        <f t="array" ref="AB152">EntericMethane_PastureBeef_Equations.VEERG_3_2_1_1__1_TotalAnnualMethaneFromEntericFermentation(AB136,AB100,AB120)</f>
        <v>0.2016513684</v>
      </c>
      <c r="AC152" s="51" cm="1">
        <f t="array" ref="AC152">EntericMethane_PastureBeef_Equations.VEERG_3_2_1_1__1_TotalAnnualMethaneFromEntericFermentation(AC136,AC100,AC120)</f>
        <v>0.36610298880336012</v>
      </c>
      <c r="AD152" s="51" cm="1">
        <f t="array" ref="AD152">EntericMethane_PastureBeef_Equations.VEERG_3_2_1_1__1_TotalAnnualMethaneFromEntericFermentation(AD136,AD100,AD120)</f>
        <v>0.36610298880336012</v>
      </c>
      <c r="AE152" s="51" cm="1">
        <f t="array" ref="AE152">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ref="V153">EntericMethane_PastureBeef_Equations.VEERG_3_2_1_1__1_TotalAnnualMethaneFromEntericFermentation(V137,V101,V121)</f>
        <v>0.20837308068000002</v>
      </c>
      <c r="W153" s="51" cm="1">
        <f t="array" ref="W153">EntericMethane_PastureBeef_Equations.VEERG_3_2_1_1__1_TotalAnnualMethaneFromEntericFermentation(W137,W101,W121)</f>
        <v>0.60478007295067204</v>
      </c>
      <c r="X153" s="51" cm="1">
        <f t="array" ref="X153">EntericMethane_PastureBeef_Equations.VEERG_3_2_1_1__1_TotalAnnualMethaneFromEntericFermentation(X137,X101,X121)</f>
        <v>0.18996416521171203</v>
      </c>
      <c r="Y153" s="51" cm="1">
        <f t="array" ref="Y153">EntericMethane_PastureBeef_Equations.VEERG_3_2_1_1__1_TotalAnnualMethaneFromEntericFermentation(Y137,Y101,Y121)</f>
        <v>0.38231186811613199</v>
      </c>
      <c r="Z153" s="51" cm="1">
        <f t="array" ref="Z153">EntericMethane_PastureBeef_Equations.VEERG_3_2_1_1__1_TotalAnnualMethaneFromEntericFermentation(Z137,Z101,Z121)</f>
        <v>0.431093896244577</v>
      </c>
      <c r="AA153" s="51" cm="1">
        <f t="array" ref="AA153">EntericMethane_PastureBeef_Equations.VEERG_3_2_1_1__1_TotalAnnualMethaneFromEntericFermentation(AA137,AA101,AA121)</f>
        <v>0.431093896244577</v>
      </c>
      <c r="AB153" s="51" cm="1">
        <f t="array" ref="AB153">EntericMethane_PastureBeef_Equations.VEERG_3_2_1_1__1_TotalAnnualMethaneFromEntericFermentation(AB137,AB101,AB121)</f>
        <v>0.20837308068000002</v>
      </c>
      <c r="AC153" s="51" cm="1">
        <f t="array" ref="AC153">EntericMethane_PastureBeef_Equations.VEERG_3_2_1_1__1_TotalAnnualMethaneFromEntericFermentation(AC137,AC101,AC121)</f>
        <v>0.37830642176347212</v>
      </c>
      <c r="AD153" s="51" cm="1">
        <f t="array" ref="AD153">EntericMethane_PastureBeef_Equations.VEERG_3_2_1_1__1_TotalAnnualMethaneFromEntericFermentation(AD137,AD101,AD121)</f>
        <v>0.37830642176347212</v>
      </c>
      <c r="AE153" s="51" cm="1">
        <f t="array" ref="AE153">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ref="V154">EntericMethane_PastureBeef_Equations.VEERG_3_2_1_1__1_TotalAnnualMethaneFromEntericFermentation(V138,V102,V122)</f>
        <v>0.31875296878700998</v>
      </c>
      <c r="W154" s="51" cm="1">
        <f t="array" ref="W154">EntericMethane_PastureBeef_Equations.VEERG_3_2_1_1__1_TotalAnnualMethaneFromEntericFermentation(W138,W102,W122)</f>
        <v>0.61943873706899988</v>
      </c>
      <c r="X154" s="51" cm="1">
        <f t="array" ref="X154">EntericMethane_PastureBeef_Equations.VEERG_3_2_1_1__1_TotalAnnualMethaneFromEntericFermentation(X138,X102,X122)</f>
        <v>0.26098798065525008</v>
      </c>
      <c r="Y154" s="51" cm="1">
        <f t="array" ref="Y154">EntericMethane_PastureBeef_Equations.VEERG_3_2_1_1__1_TotalAnnualMethaneFromEntericFermentation(Y138,Y102,Y122)</f>
        <v>0.36811717389261017</v>
      </c>
      <c r="Z154" s="51" cm="1">
        <f t="array" ref="Z154">EntericMethane_PastureBeef_Equations.VEERG_3_2_1_1__1_TotalAnnualMethaneFromEntericFermentation(Z138,Z102,Z122)</f>
        <v>0.49384053756620999</v>
      </c>
      <c r="AA154" s="51" cm="1">
        <f t="array" ref="AA154">EntericMethane_PastureBeef_Equations.VEERG_3_2_1_1__1_TotalAnnualMethaneFromEntericFermentation(AA138,AA102,AA122)</f>
        <v>0.49384053756620999</v>
      </c>
      <c r="AB154" s="51" cm="1">
        <f t="array" ref="AB154">EntericMethane_PastureBeef_Equations.VEERG_3_2_1_1__1_TotalAnnualMethaneFromEntericFermentation(AB138,AB102,AB122)</f>
        <v>0.28021185050660996</v>
      </c>
      <c r="AC154" s="51" cm="1">
        <f t="array" ref="AC154">EntericMethane_PastureBeef_Equations.VEERG_3_2_1_1__1_TotalAnnualMethaneFromEntericFermentation(AC138,AC102,AC122)</f>
        <v>0.42661772732735997</v>
      </c>
      <c r="AD154" s="51" cm="1">
        <f t="array" ref="AD154">EntericMethane_PastureBeef_Equations.VEERG_3_2_1_1__1_TotalAnnualMethaneFromEntericFermentation(AD138,AD102,AD122)</f>
        <v>0.42661772732735997</v>
      </c>
      <c r="AE154" s="51" cm="1">
        <f t="array" ref="AE154">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ref="V155">EntericMethane_PastureBeef_Equations.VEERG_3_2_1_1__1_TotalAnnualMethaneFromEntericFermentation(V139,V103,V123)</f>
        <v>0.32937806774657702</v>
      </c>
      <c r="W155" s="51" cm="1">
        <f t="array" ref="W155">EntericMethane_PastureBeef_Equations.VEERG_3_2_1_1__1_TotalAnnualMethaneFromEntericFermentation(W139,W103,W123)</f>
        <v>0.64008669497129989</v>
      </c>
      <c r="X155" s="51" cm="1">
        <f t="array" ref="X155">EntericMethane_PastureBeef_Equations.VEERG_3_2_1_1__1_TotalAnnualMethaneFromEntericFermentation(X139,X103,X123)</f>
        <v>0.26968758001042503</v>
      </c>
      <c r="Y155" s="51" cm="1">
        <f t="array" ref="Y155">EntericMethane_PastureBeef_Equations.VEERG_3_2_1_1__1_TotalAnnualMethaneFromEntericFermentation(Y139,Y103,Y123)</f>
        <v>0.38038774635569711</v>
      </c>
      <c r="Z155" s="51" cm="1">
        <f t="array" ref="Z155">EntericMethane_PastureBeef_Equations.VEERG_3_2_1_1__1_TotalAnnualMethaneFromEntericFermentation(Z139,Z103,Z123)</f>
        <v>0.51030188881841698</v>
      </c>
      <c r="AA155" s="51" cm="1">
        <f t="array" ref="AA155">EntericMethane_PastureBeef_Equations.VEERG_3_2_1_1__1_TotalAnnualMethaneFromEntericFermentation(AA139,AA103,AA123)</f>
        <v>0.51030188881841698</v>
      </c>
      <c r="AB155" s="51" cm="1">
        <f t="array" ref="AB155">EntericMethane_PastureBeef_Equations.VEERG_3_2_1_1__1_TotalAnnualMethaneFromEntericFermentation(AB139,AB103,AB123)</f>
        <v>0.2895522455234969</v>
      </c>
      <c r="AC155" s="51" cm="1">
        <f t="array" ref="AC155">EntericMethane_PastureBeef_Equations.VEERG_3_2_1_1__1_TotalAnnualMethaneFromEntericFermentation(AC139,AC103,AC123)</f>
        <v>0.44083831823827196</v>
      </c>
      <c r="AD155" s="51" cm="1">
        <f t="array" ref="AD155">EntericMethane_PastureBeef_Equations.VEERG_3_2_1_1__1_TotalAnnualMethaneFromEntericFermentation(AD139,AD103,AD123)</f>
        <v>0.44083831823827196</v>
      </c>
      <c r="AE155" s="51" cm="1">
        <f t="array" ref="AE155">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ref="V156">EntericMethane_PastureBeef_Equations.VEERG_3_2_1_1__1_TotalAnnualMethaneFromEntericFermentation(V140,V104,V124)</f>
        <v>0.32937806774657702</v>
      </c>
      <c r="W156" s="51" cm="1">
        <f t="array" ref="W156">EntericMethane_PastureBeef_Equations.VEERG_3_2_1_1__1_TotalAnnualMethaneFromEntericFermentation(W140,W104,W124)</f>
        <v>0.64008669497129989</v>
      </c>
      <c r="X156" s="51" cm="1">
        <f t="array" ref="X156">EntericMethane_PastureBeef_Equations.VEERG_3_2_1_1__1_TotalAnnualMethaneFromEntericFermentation(X140,X104,X124)</f>
        <v>0.26968758001042503</v>
      </c>
      <c r="Y156" s="51" cm="1">
        <f t="array" ref="Y156">EntericMethane_PastureBeef_Equations.VEERG_3_2_1_1__1_TotalAnnualMethaneFromEntericFermentation(Y140,Y104,Y124)</f>
        <v>0.465974989285729</v>
      </c>
      <c r="Z156" s="51" cm="1">
        <f t="array" ref="Z156">EntericMethane_PastureBeef_Equations.VEERG_3_2_1_1__1_TotalAnnualMethaneFromEntericFermentation(Z140,Z104,Z124)</f>
        <v>0.62511981380256076</v>
      </c>
      <c r="AA156" s="51" cm="1">
        <f t="array" ref="AA156">EntericMethane_PastureBeef_Equations.VEERG_3_2_1_1__1_TotalAnnualMethaneFromEntericFermentation(AA140,AA104,AA124)</f>
        <v>0.62511981380256076</v>
      </c>
      <c r="AB156" s="51" cm="1">
        <f t="array" ref="AB156">EntericMethane_PastureBeef_Equations.VEERG_3_2_1_1__1_TotalAnnualMethaneFromEntericFermentation(AB140,AB104,AB124)</f>
        <v>0.2895522455234969</v>
      </c>
      <c r="AC156" s="51" cm="1">
        <f t="array" ref="AC156">EntericMethane_PastureBeef_Equations.VEERG_3_2_1_1__1_TotalAnnualMethaneFromEntericFermentation(AC140,AC104,AC124)</f>
        <v>0.44083831823827196</v>
      </c>
      <c r="AD156" s="51" cm="1">
        <f t="array" ref="AD156">EntericMethane_PastureBeef_Equations.VEERG_3_2_1_1__1_TotalAnnualMethaneFromEntericFermentation(AD140,AD104,AD124)</f>
        <v>0.44083831823827196</v>
      </c>
      <c r="AE156" s="51" cm="1">
        <f t="array" ref="AE156">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ref="V157">EntericMethane_PastureBeef_Equations.VEERG_3_2_1_1__1_TotalAnnualMethaneFromEntericFermentation(V141,V105,V125)</f>
        <v>0.53846318370816004</v>
      </c>
      <c r="W157" s="51" cm="1">
        <f t="array" ref="W157">EntericMethane_PastureBeef_Equations.VEERG_3_2_1_1__1_TotalAnnualMethaneFromEntericFermentation(W141,W105,W125)</f>
        <v>0.76050766552500015</v>
      </c>
      <c r="X157" s="51" cm="1">
        <f t="array" ref="X157">EntericMethane_PastureBeef_Equations.VEERG_3_2_1_1__1_TotalAnnualMethaneFromEntericFermentation(X141,X105,X125)</f>
        <v>0.41041649201661007</v>
      </c>
      <c r="Y157" s="51" cm="1">
        <f t="array" ref="Y157">EntericMethane_PastureBeef_Equations.VEERG_3_2_1_1__1_TotalAnnualMethaneFromEntericFermentation(Y141,Y105,Y125)</f>
        <v>0.65978317499035743</v>
      </c>
      <c r="Z157" s="51" cm="1">
        <f t="array" ref="Z157">EntericMethane_PastureBeef_Equations.VEERG_3_2_1_1__1_TotalAnnualMethaneFromEntericFermentation(Z141,Z105,Z125)</f>
        <v>0.73266121269810014</v>
      </c>
      <c r="AA157" s="51" cm="1">
        <f t="array" ref="AA157">EntericMethane_PastureBeef_Equations.VEERG_3_2_1_1__1_TotalAnnualMethaneFromEntericFermentation(AA141,AA105,AA125)</f>
        <v>0.73266121269810014</v>
      </c>
      <c r="AB157" s="51" cm="1">
        <f t="array" ref="AB157">EntericMethane_PastureBeef_Equations.VEERG_3_2_1_1__1_TotalAnnualMethaneFromEntericFermentation(AB141,AB105,AB125)</f>
        <v>0.47315580318899986</v>
      </c>
      <c r="AC157" s="51" cm="1">
        <f t="array" ref="AC157">EntericMethane_PastureBeef_Equations.VEERG_3_2_1_1__1_TotalAnnualMethaneFromEntericFermentation(AC141,AC105,AC125)</f>
        <v>0.60127877604275992</v>
      </c>
      <c r="AD157" s="51" cm="1">
        <f t="array" ref="AD157">EntericMethane_PastureBeef_Equations.VEERG_3_2_1_1__1_TotalAnnualMethaneFromEntericFermentation(AD141,AD105,AD125)</f>
        <v>0.60127877604275992</v>
      </c>
      <c r="AE157" s="51" cm="1">
        <f t="array" ref="AE157">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ref="V158">EntericMethane_PastureBeef_Equations.VEERG_3_2_1_1__1_TotalAnnualMethaneFromEntericFermentation(V142,V106,V126)</f>
        <v>0.556411956498432</v>
      </c>
      <c r="W158" s="51" cm="1">
        <f t="array" ref="W158">EntericMethane_PastureBeef_Equations.VEERG_3_2_1_1__1_TotalAnnualMethaneFromEntericFermentation(W142,W106,W126)</f>
        <v>0.78585792104250007</v>
      </c>
      <c r="X158" s="51" cm="1">
        <f t="array" ref="X158">EntericMethane_PastureBeef_Equations.VEERG_3_2_1_1__1_TotalAnnualMethaneFromEntericFermentation(X142,X106,X126)</f>
        <v>0.42409704175049701</v>
      </c>
      <c r="Y158" s="51" cm="1">
        <f t="array" ref="Y158">EntericMethane_PastureBeef_Equations.VEERG_3_2_1_1__1_TotalAnnualMethaneFromEntericFermentation(Y142,Y106,Y126)</f>
        <v>0.68177594749003623</v>
      </c>
      <c r="Z158" s="51" cm="1">
        <f t="array" ref="Z158">EntericMethane_PastureBeef_Equations.VEERG_3_2_1_1__1_TotalAnnualMethaneFromEntericFermentation(Z142,Z106,Z126)</f>
        <v>0.75708325312137015</v>
      </c>
      <c r="AA158" s="51" cm="1">
        <f t="array" ref="AA158">EntericMethane_PastureBeef_Equations.VEERG_3_2_1_1__1_TotalAnnualMethaneFromEntericFermentation(AA142,AA106,AA126)</f>
        <v>0.75708325312137015</v>
      </c>
      <c r="AB158" s="51" cm="1">
        <f t="array" ref="AB158">EntericMethane_PastureBeef_Equations.VEERG_3_2_1_1__1_TotalAnnualMethaneFromEntericFermentation(AB142,AB106,AB126)</f>
        <v>0.4889276632952998</v>
      </c>
      <c r="AC158" s="51" cm="1">
        <f t="array" ref="AC158">EntericMethane_PastureBeef_Equations.VEERG_3_2_1_1__1_TotalAnnualMethaneFromEntericFermentation(AC142,AC106,AC126)</f>
        <v>0.62132140191085194</v>
      </c>
      <c r="AD158" s="51" cm="1">
        <f t="array" ref="AD158">EntericMethane_PastureBeef_Equations.VEERG_3_2_1_1__1_TotalAnnualMethaneFromEntericFermentation(AD142,AD106,AD126)</f>
        <v>0.62132140191085194</v>
      </c>
      <c r="AE158" s="51" cm="1">
        <f t="array" ref="AE158">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ref="V159">EntericMethane_PastureBeef_Equations.VEERG_3_2_1_1__1_TotalAnnualMethaneFromEntericFermentation(V143,V107,V127)</f>
        <v>0.53846318370816004</v>
      </c>
      <c r="W159" s="51" cm="1">
        <f t="array" ref="W159">EntericMethane_PastureBeef_Equations.VEERG_3_2_1_1__1_TotalAnnualMethaneFromEntericFermentation(W143,W107,W127)</f>
        <v>0.76050766552500015</v>
      </c>
      <c r="X159" s="51" cm="1">
        <f t="array" ref="X159">EntericMethane_PastureBeef_Equations.VEERG_3_2_1_1__1_TotalAnnualMethaneFromEntericFermentation(X143,X107,X127)</f>
        <v>0.41041649201661007</v>
      </c>
      <c r="Y159" s="51" cm="1">
        <f t="array" ref="Y159">EntericMethane_PastureBeef_Equations.VEERG_3_2_1_1__1_TotalAnnualMethaneFromEntericFermentation(Y143,Y107,Y127)</f>
        <v>0.57899339846092601</v>
      </c>
      <c r="Z159" s="51" cm="1">
        <f t="array" ref="Z159">EntericMethane_PastureBeef_Equations.VEERG_3_2_1_1__1_TotalAnnualMethaneFromEntericFermentation(Z143,Z107,Z127)</f>
        <v>0.64294759481670016</v>
      </c>
      <c r="AA159" s="51" cm="1">
        <f t="array" ref="AA159">EntericMethane_PastureBeef_Equations.VEERG_3_2_1_1__1_TotalAnnualMethaneFromEntericFermentation(AA143,AA107,AA127)</f>
        <v>0.64294759481670016</v>
      </c>
      <c r="AB159" s="51" cm="1">
        <f t="array" ref="AB159">EntericMethane_PastureBeef_Equations.VEERG_3_2_1_1__1_TotalAnnualMethaneFromEntericFermentation(AB143,AB107,AB127)</f>
        <v>0.47315580318899986</v>
      </c>
      <c r="AC159" s="51" cm="1">
        <f t="array" ref="AC159">EntericMethane_PastureBeef_Equations.VEERG_3_2_1_1__1_TotalAnnualMethaneFromEntericFermentation(AC143,AC107,AC127)</f>
        <v>0.60127877604275992</v>
      </c>
      <c r="AD159" s="51" cm="1">
        <f t="array" ref="AD159">EntericMethane_PastureBeef_Equations.VEERG_3_2_1_1__1_TotalAnnualMethaneFromEntericFermentation(AD143,AD107,AD127)</f>
        <v>0.60127877604275992</v>
      </c>
      <c r="AE159" s="51" cm="1">
        <f t="array" ref="AE159">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ref="V160">EntericMethane_PastureBeef_Equations.VEERG_3_2_1_1__1_TotalAnnualMethaneFromEntericFermentation(V144,V108,V128)</f>
        <v>0.4586136012616317</v>
      </c>
      <c r="W160" s="51" cm="1">
        <f t="array" ref="W160">EntericMethane_PastureBeef_Equations.VEERG_3_2_1_1__1_TotalAnnualMethaneFromEntericFermentation(W144,W108,W128)</f>
        <v>0.60679113521101213</v>
      </c>
      <c r="X160" s="51" cm="1">
        <f t="array" ref="X160">EntericMethane_PastureBeef_Equations.VEERG_3_2_1_1__1_TotalAnnualMethaneFromEntericFermentation(X144,X108,X128)</f>
        <v>0.38568368207519993</v>
      </c>
      <c r="Y160" s="51" cm="1">
        <f t="array" ref="Y160">EntericMethane_PastureBeef_Equations.VEERG_3_2_1_1__1_TotalAnnualMethaneFromEntericFermentation(Y144,Y108,Y128)</f>
        <v>0.54293216249013199</v>
      </c>
      <c r="Z160" s="51" cm="1">
        <f t="array" ref="Z160">EntericMethane_PastureBeef_Equations.VEERG_3_2_1_1__1_TotalAnnualMethaneFromEntericFermentation(Z144,Z108,Z128)</f>
        <v>0.53756927319362025</v>
      </c>
      <c r="AA160" s="51" cm="1">
        <f t="array" ref="AA160">EntericMethane_PastureBeef_Equations.VEERG_3_2_1_1__1_TotalAnnualMethaneFromEntericFermentation(AA144,AA108,AA128)</f>
        <v>0.53756927319362025</v>
      </c>
      <c r="AB160" s="51" cm="1">
        <f t="array" ref="AB160">EntericMethane_PastureBeef_Equations.VEERG_3_2_1_1__1_TotalAnnualMethaneFromEntericFermentation(AB144,AB108,AB128)</f>
        <v>0.422728915885632</v>
      </c>
      <c r="AC160" s="51" cm="1">
        <f t="array" ref="AC160">EntericMethane_PastureBeef_Equations.VEERG_3_2_1_1__1_TotalAnnualMethaneFromEntericFermentation(AC144,AC108,AC128)</f>
        <v>0.47120481705053707</v>
      </c>
      <c r="AD160" s="51" cm="1">
        <f t="array" ref="AD160">EntericMethane_PastureBeef_Equations.VEERG_3_2_1_1__1_TotalAnnualMethaneFromEntericFermentation(AD144,AD108,AD128)</f>
        <v>0.47120481705053707</v>
      </c>
      <c r="AE160" s="51" cm="1">
        <f t="array" ref="AE160">EntericMethane_PastureBeef_Equations.VEERG_3_2_1_1__1_TotalAnnualMethaneFromEntericFermentation(AE144,AE108,AE128)</f>
        <v>0.47120481705053707</v>
      </c>
      <c r="AF160" s="2"/>
    </row>
    <row r="161" spans="21:24" ht="20.100000000000001" customHeight="1" x14ac:dyDescent="0.25">
      <c r="U161" s="97" t="s">
        <v>232</v>
      </c>
      <c r="V161" s="98">
        <f>SUM(V149:AE160)</f>
        <v>56.163952698425533</v>
      </c>
      <c r="W161" s="99">
        <f>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V161</f>
        <v>56.163952698425533</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ref="V166">Common_Equations.Common_ConvertN2OToCO2e(X163,X164)</f>
        <v>1572.5906755559149</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A125" zoomScale="85" zoomScaleNormal="85" workbookViewId="0">
      <selection activeCell="N158" sqref="N158"/>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ignoredErrors>
    <ignoredError sqref="E223:P282" calculatedColumn="1"/>
  </ignoredErrors>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gADEAXAAiACwAIABcACIAQgB1AGwAbAAgAFwAdQAwADAAMwBlACAAMQBcACIALAAgAFwAIgBDAG8AdwAgAFwAdQAwADAAMwBjACAAMQBcACIALAAgAFwAIgBDAG8AdwAgADEALQAyAFwAIgAsACAAXAAiAEMAbwB3ACAAXAB1ADAAMAAzAGUAIAAyAFwAIgAsACAAXAAiAFMAdABlAGUAcgAgAFwAdQAwADAAMwBjACAAMQBcACIALAAgAFwAIgBTAHQAZQBlAHIAIABcAHUAMAAwADMAZQ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HMAIABcAHUAMAAwADMAYwAxAFwAIgAsACAAXAAiAEMAbwB3AHMAIAAxAC0AMgBcACIALAAgAFwAIgBDAG8AdwBzACAAMgAtADMAXAAiACwAIABcACIAQwBvAHcAc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XAB1ADAAMAAyADcAbgAvAGEAXAB1ADAAMAAyADcAIAB3AGkAdABoACAAXAB1ADAAMAAyADcAUwBvAHUAdABoACAAVwBlAHMAdABcAHUAMAAwADIAN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XAB1ADAAMAAzAGUAMgBcACIALAAgAFwAIgBTAHQAZQBlAHIAIABcAHUAMAAwADMAYwAxAFwAIgAsACAAXAAiAFMAdABlAGUAcgAgAFwAdQAwADAAMwBl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MgAtADMAXAAiACwAIABcACIAQwBvAHc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BcAHUAMAAwADIANwBTAHQAYQB0AGUAIABhAGIAYgByAGUAdgBpAGEAdABpAG8AbgBcAHUAMAAwADIAN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XAB1ADAAMAAzAGMAMQBcACIALAAgAFwAIgBCAHUAbABsAHMAIABcAHUAMAAwADMAZQAxAFwAIgAsACAAXAAiAEMAbwB3AHMAIABcAHUAMAAwADMAYwAxAFwAIgAsACAAXAAiAEMAbwB3AHMAIAAxAC0AMgBcACIALAAgAFwAIgBDAG8AdwBzACAAXAB1ADAAMAAzAGUAMgBcACIALAAgAFwAIgBTAHQAZQBlAHIAIABcAHUAMAAwADMAYwAxAFwAIgAsACAAXAAiAFMAdABlAGUAcgAgAFwAdQAwADAAMwBl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QBGAF8AUABSAFAAXAAiACwAIABcACIAZQBtAGkAcwBzAGkAbwBuACAAZgBhAGMAdABvAHIAIABmAG8AcgAgAG4AaQB0AHIAbwB1AHMAIABvAHgAaQBkAGUAIABmAHIAbwBtACAAdQByAGkAbgBlACAAYQBuAGQAIABkAHUAbgBnACAAZABlAHAAbwBzAGkAdABlAGQAIAB0AG8AIABzAG8AaQBsACAAKABrAGcAIABOADIATwAtAE4ALwBrAGcAIABOACAAZABlAHAAbwBzAGkAdABlAGQAKQBcACIAOwBcAG4AIAAgACAAIAAgACAAIAAgACAAIABcACIAQwBfAE4AMgBPAFwAIgAsACAAXAAiAGYAYQBjAHQAbwByACAAdABvACAAYwBvAG4AdgBlAHIAdAAgAGUAbABlAG0AZQBuAHQAYQBsACAAbQBhAHMAcwAgAG8AZgAgAG4AaQB0AHIAbwB1AHMAIABvAHgAaQBkAGUAIAB0AG8AIABtAG8AbABlAGMAdQBsAGEAcgAgAG0AYQBzAHMAXAAiADsAXABuACAAIAAgACAAIAAgACAAIAAgACAAXAAiAHoAXAAiACwAIABcACIAdwBlAHQAIABvAHIAIABkAHIAeQAgAGMAbABpAG0AYQB0AGUAIAB6AG8AbgBl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y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IAAoAGgAZQBhAGQAKQBcACIAOwBcAG4AIAAgACAAIAAgACAAIAAgACAAIABcACIATgBFAF8AagBrAGwAXAAiACwAIABcACIAbgBpAHQAcgBvAGcAZQBuACAAZQB4AGMAcgBlAHQAZQBkACAAaQBuACAAZQBhAGMAaAAgAHQAaQBtAGUALQBwAGUAcgBpAG8AZAAsACAAYgB5ACAAZQBhAGMAaAAgAGMAbABhAHMAcwAgAGEAbgBkACAAcwB1AGIAYwBsAGEAcwBzACAAKABrAGcAIABOAC8AaABlAGEAZAAvAGQAYQB5ACkAXAAiADsAXABuACAAIAAgACAAIAAgACAAIAAgACAAXAAiAEQAXwBqAFwAIgAsACAAXAAiAG4AdQBtAGIAZQByACAAbwBmACAAZABhAHkAcwAgAGkAbgAgAGUAYQBjAGgAIAB0AGkAbQBlAC0AcABlAHIAaQBvAGQ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QwBQAF8AagBcACIALAAgAFwAIgBjAHIAdQBkAGUAIABwAHIAbwB0AGUAaQBuACAAYwBvAG4AdABlAG4AdAAgAG8AZgAgAGQAcgB5ACAAbQBhAHQAdABlAHIAIABpAG4AdABhAGsAZQBcACIAOwBcAG4AIAAgACAAIAAgACAAIAAgACAAIABcACIATQBDAF8AagBrADEAMwA2AFwAIgAsACAAXAAiAG0AaQBsAGsAIABpAG4AdABhAGsAZQAgACgAawBnAC8AaABlAGEAZAAvAGQAYQB5ACkAXAAiADsAXABuACAAIAAgACAAIAAgACAAIAAgACAAXAAiAE4AUgBfAGoAawBsAFwAIgAsACAAXAAiAHQAaABlACAAYQBtAG8AdQBuAHQAIABvAGYAIABuAGkAdAByAG8AZwBlAG4AIAByAGUAdABhAGkAbgBlAGQAIABiAHkAIAB0AGgAZQAgAGIAbwBkAHkAIAAoAGsAZwAgAE4ALwBoAGUAYQBkAC8AZABhAHkAKQBcACIAOwBcAG4AIAAgACAAIAAgACAAIAAgACAAIABcACIAVwBfAGoAawBsAFwAIgAsACAAXAAiAGwAaQB2AGUAdwBlAGkAZwBoAHQAIAAoAGsAZwAvAGgAZQBhAGQAKQBcACIAOwBcAG4AIAAgACAAIAAgACAAIAAgACAAIABcACIAYgBcACIALAAgAFwAIgBiAHIAZQBlAGQAIABvAGYAIABjAGEAdAB0AGwAZQBcACIAOwBcAG4AIAAgACAAIAAgACAAIAAgACAAIABcACIAcwBcACIALAAgAFwAIgBDAGEAbAB2AGkAbgBnACAAcwBlAGEAcwBvAG4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GsANQBcACIALAAgAFwAIgBtAGkAbABrACAAcAByAG8AZAB1AGMAdABpAG8AbgAgACgAawBnAC8AaABlAGEAZAAvAGQAYQB5ACkAXAAiADsAXABuACAAIAAgACAAIAAgACAAIAAgACAAXAAiAEwAXwBqAGsAbABcACIALAAgAFwAIgBpAG4AdABhAGsAZQAgAHIAZQBsAGEAdABpAHYAZQAgAHQAbwAgAHQAaABhAHQAIABuAGUAZQBkAGUAZAAgAGYAbwByACAAbQBhAGkAbgB0AGUAbgBhAG4AYwBlAFwAIgA7AFwAbgAgACAAIAAgACAAIAAgACAAIAAgAFwAIgBaAF8AagBrAGwAXAAiACwAIABcACIAcgBlAGwAYQB0AGkAdgBlACAAcwBpAHoAZQBcACIAOwBcAG4AIAAgACAAIAAgACAAIAAgACAAIABcACIATABXAEcAXwBqAGsAbABcACIALAAgAFwAIgBsAGkAdgBlAHcAZQBpAGcAaAB0ACAAZwBhAGkAbg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Mg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7AFwAbgAgACAAIAAgACAAIAAgACAAIAAgAFwAIgBEAE0AUABfAGoAawA1AFwAIgAsACAAXAAiAGQAYQBpAGwAeQAgAG0AaQBsAGsAIABwAHIAbwBkAHUAYwB0AGkAbwBu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Mg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7AFwAbgAgACAAIAAgACAAIAAgACAAIAAgAFwAIgBEAE0AUABfAGoAawA1AGMAYQBsAHYAXAAiACwAIABcACIAZABhAGkAbAB5ACAAbQBpAGwAawAgAHAAcgBvAGQAdQBjAHQAaQBvAG4AIABmAG8AcgAgAHQAaABlACAAcwBlAGEAcwBvAG4AIABvAGYAIABjAGEAbAB2AGkAbgBnACAAKABrAGcALwBoAGUAYQBkAC8AZABhAHkAKQBcACIAOwBcAG4AIAAgACAAIAAgACAAIAAgACAAIABcACIARABNAFAAXwBqAGsANQBhAGYAdABlAHIAXAAiACwAIABcACIAZABhAGkAbAB5ACAAbQBpAGwAawAgAHAAcgBvAGQAdQBjAHQAaQBvAG4AIABmAG8AcgAgAHQAaABlACAAcwBlAGEAcwBvAG4AIABhAGYAdABlAHIAIABjAGEAbAB2AGkAbgBn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MgAsAFwAbgAgACAAIAAgACAAIABMAEEATQBCAEQAQQAoAHIALABjACwAXABuACAAIAAgACAAIAAgACAAIABJAE4ARABFAFgAKAB7AFwAbgAgACAAIAAgACAAIAAgACAAIAAgAFwAIgBXAF8AagBrAGwAXAAiACwAIABcACIAbABpAHYAZQB3AGUAaQBnAGgAdAAgACgAawBnACkAXAAiADsAXABuACAAIAAgACAAIAAgACAAIAAgACAAXAAiAFMAUgBXAF8AawBcACIALAAgAFwAIgBzAHQAYQBuAGQAYQByAGQAIAByAGUAZgBlAHIAZQBuAGMAZQAgAHcAZQBpAGcAaAB0ACAAKABrAGcAKQBcACIAOwBcAG4AIAAgACAAIAAgACAAIAAgACAAIABcACIAaQBcACIALAAgAFwAIgBzAHQAYQB0AGU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cACIALAAgAFwAIgBpAHIAcgBpAGcAYQB0AGkAbwBuACAAbQBlAHQAaABvAGQAXAAiADsAXABuACAAIAAgACAAIAAgACAAIAAgACAAXAAiAHIAXAAiACwAIABcACIAcgBhAGkAbgBmAGEAbABs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XAGUAdABcACIALAAgAFwAIgBmAHIAYQBjAHQAaQBvAG4AIABvAGYAIABOACAAYQB2AGEAaQBsAGEAYgBsAGUAIABmAG8AcgAgAGwAZQBhAGMAaABpAG4AZwAgAGEAbgBkACAAcgB1AG4AbwBmAGYAXAAiADsAXABuACAAIAAgACAAIAAgACAAIAAgACAAXAAiAEYAcgBhAGMATABFAEEAQwBIAFwAIgAsACAAXAAiAGYAcgBhAGMAdABpAG8AbgAgAG8AZgAgAGEAbABs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0ATQBTAF8AUABhAHMAdAB1AHIAZQBCAGUAZQBmAF8ATQBlAHQAaABhAG4AZQBfAEUAcQB1AGEAdABpAG8AbgBzAC4AVgBFAEUAUgBHAF8ANABfADIAXwAxAF8AMQBfAF8AMQBfAFQAbwB0AGEAbABBAG4AbgB1AGEAbABNAGUAdABoAGEAbgBlAFAAcgBvAGQAdQBjAHQAaQBvAG4ARgByAG8AbQBNAGEAbgB1AHIAZQBNAGEAbgBhAGcAZQBtAGUAbgB0ACIALAAiAE0ATQBTAF8AUABhAHMAdAB1AHIAZQBCAGUAZQBmAF8ATQBlAHQAaABhAG4AZQBfAEUAcQB1AGEAdABpAG8AbgBzAC4AVgBFAEUAUgBHAF8ANABfADIAXwAxAF8AMQBfAF8AMQBfAFQAbwB0AGEAbABBAG4AbgB1AGEAbABNAGUAdABoAGEAbgBlAFAAcgBvAGQAdQBjAHQAaQBvAG4ARgByAG8AbQBNAGEAbgB1AHIAZQBNAGEAbgBhAGcAZQBtAGUAbgB0AF8AVABpAHQ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gBhAHIAaQBhAGI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QBuAGkAdAAiACwAIgBNAE0AUwBfAFAAYQBzAHQAdQByAGUAQgBlAGUAZgBfAE0AZQB0AGgAYQBuAGUAXwBFAHEAdQBhAHQAaQBvAG4AcwAuAFYARQBFAFIARwBfADQAXwAyAF8AMQBfADEAXwBfADEAXwBUAG8AdABhAGwAQQBuAG4AdQBhAGwATQBlAHQAaABhAG4AZQBQAHIAbwBkAHUAYwB0AGkAbwBuAEYAcgBvAG0ATQBhAG4AdQByAGUATQBhAG4AYQBnAGUAbQBlAG4AdABfAFMAbwB1AHI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gBJAFIAUgBlAGYAZQByAGUAb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MAGEAdABlAHgARQBxAHUAYQB0AGkAbwBuACIALAAiAE0ATQBTAF8AUABhAHMAdAB1AHIAZQBCAGUAZQBmAF8ATQBlAHQAaABhAG4AZQBfAEUAcQB1AGEAdABpAG8AbgBzAC4AVgBFAEUAUgBHAF8ANABfADIAXwAxAF8AMQBfAF8AMQBfAFQAbwB0AGEAbABBAG4AbgB1AGEAbABNAGUAdABoAGEAbgBlAFAAcgBvAGQAdQBjAHQAaQBvAG4ARgByAG8AbQBNAGEAbgB1AHIAZQBNAGEAbgBhAGcAZQBtAGUAbgB0AF8AQQByAGcAdQBtAGUAbgB0AHMAIgAsACIATQBNAFMAXwBQAGEAcwB0AHUAcgBlAEIAZQBlAGYAXwBNAGUAdABoAGEAbgBlAF8ARQBxAHUAYQB0AGkAbwBuAHMALgBWAEUARQBSAEcAXwA0AF8AMgBfADEAXwAxAF8AXwAyAF8ATQBlAHQAaABhAG4AZQBQAHIAbwBkAHUAYwB0AGkAbwBuAEYAcgBvAG0ATQBhAG4AdQByAGUAIgAsACIATQBNAFMAXwBQAGEAcwB0AHUAcgBlAEIAZQBlAGYAXwBNAGUAdABoAGEAbgBlAF8ARQBxAHUAYQB0AGkAbwBuAHMALgBWAEUARQBSAEcAXwA0AF8AMgBfADEAXwAxAF8AXwAyAF8ATQBlAHQAaABhAG4AZQBQAHIAbwBkAHUAYwB0AGkAbwBuAEYAcgBvAG0ATQBhAG4AdQByAGUAXwBUAGkAdABsAGUAIgAsACIATQBNAFMAXwBQAGEAcwB0AHUAcgBlAEIAZQBlAGYAXwBNAGUAdABoAGEAbgBlAF8ARQBxAHUAYQB0AGkAbwBuAHMALgBWAEUARQBSAEcAXwA0AF8AMgBfADEAXwAxAF8AXwAyAF8ATQBlAHQAaABhAG4AZQBQAHIAbwBkAHUAYwB0AGkAbwBuAEYAcgBvAG0ATQBhAG4AdQByAGUAXwBWAGEAcgBpAGEAYgBsAGUAIgAsACIATQBNAFMAXwBQAGEAcwB0AHUAcgBlAEIAZQBlAGYAXwBNAGUAdABoAGEAbgBlAF8ARQBxAHUAYQB0AGkAbwBuAHMALgBWAEUARQBSAEcAXwA0AF8AMgBfADEAXwAxAF8AXwAyAF8ATQBlAHQAaABhAG4AZQBQAHIAbwBkAHUAYwB0AGkAbwBuAEYAcgBvAG0ATQBhAG4AdQByAGUAXwBVAG4AaQB0ACIALAAiAE0ATQBTAF8AUABhAHMAdAB1AHIAZQBCAGUAZQBmAF8ATQBlAHQAaABhAG4AZQBfAEUAcQB1AGEAdABpAG8AbgBzAC4AVgBFAEUAUgBHAF8ANABfADIAXwAxAF8AMQBfAF8AMgBfAE0AZQB0AGgAYQBuAGUAUAByAG8AZAB1AGMAdABpAG8AbgBGAHIAbwBtAE0AYQBuAHUAcgBlAF8AUwBvAHUAcgBjAGUAIgAsACIATQBNAFMAXwBQAGEAcwB0AHUAcgBlAEIAZQBlAGYAXwBNAGUAdABoAGEAbgBlAF8ARQBxAHUAYQB0AGkAbwBuAHMALgBWAEUARQBSAEcAXwA0AF8AMgBfADEAXwAxAF8AXwAyAF8ATQBlAHQAaABhAG4AZQBQAHIAbwBkAHUAYwB0AGkAbwBuAEYAcgBvAG0ATQBhAG4AdQByAGUAXwBOAEkAUgBSAGUAZgBlAHIAZQBuAGMAZQAiACwAIgBNAE0AUwBfAFAAYQBzAHQAdQByAGUAQgBlAGUAZgBfAE0AZQB0AGgAYQBuAGUAXwBFAHEAdQBhAHQAaQBvAG4AcwAuAFYARQBFAFIARwBfADQAXwAyAF8AMQBfADEAXwBfADIAXwBNAGUAdABoAGEAbgBlAFAAcgBvAGQAdQBjAHQAaQBvAG4ARgByAG8AbQBNAGEAbgB1AHIAZQBfAEwAYQB0AGUAeABFAHEAdQBhAHQAaQBvAG4AIgAsACIATQBNAFMAXwBQAGEAcwB0AHUAcgBlAEIAZQBlAGYAXwBNAGUAdABoAGEAbgBlAF8ARQBxAHUAYQB0AGkAbwBuAHMALgBWAEUARQBSAEcAXwA0AF8AMgBfADEAXwAxAF8AXwAyAF8ATQBlAHQAaABhAG4AZQBQAHIAbwBkAHUAYwB0AGkAbwBuAEYAcgBvAG0ATQBhAG4AdQByAGUAXwBBAHIAZwB1AG0AZQBuAHQAcwAiACwAIgBNAE0AUwBfAFAAYQBzAHQAdQByAGUAQgBlAGUAZgBfAE0AZQB0AGgAYQBuAGUAXwBFAHEAdQBhAHQAaQBvAG4AcwAuAFYARQBFAFIARwBfADQAXwAyAF8AMQBfADEAXwBfADIAXwBNAGUAdABoAGEAbgBlAFAAcgBvAGQAdQBjAHQAaQBvAG4ARgByAG8AbQBNAGEAbgB1AHIAZQBfAEEAcgBnAHUAbQBlAG4AdABzAF8ATQBlAHQAaABvAGQAMgAiACwAIgBNAE0AUwBfAFAAYQBzAHQAdQByAGUAQgBlAGUAZgBfAE0AZQB0AGgAYQBuAGUAXwBFAHEAdQBhAHQAaQBvAG4AcwAuAFYARQBFAFIARwBfADQAXwAyAF8AMQBfADEAXwBfADMAXwBWAG8AbABhAHQAaQBsAGUAUwBvAGwAaQBkAFAAcgBvAGQAdQBjAHQAaQBvAG4ARgByAG8AbQBHAHIAYQB6AGkAbgBnAEIAZQBlAGYAIgAsACIATQBNAFMAXwBQAGEAcwB0AHUAcgBlAEIAZQBlAGYAXwBNAGUAdABoAGEAbgBlAF8ARQBxAHUAYQB0AGkAbwBuAHMALgBWAEUARQBSAEcAXwA0AF8AMgBfADEAXwAxAF8AXwAzAF8AVgBvAGwAYQB0AGkAbABlAFMAbwBsAGkAZABQAHIAbwBkAHUAYwB0AGkAbwBuAEYAcgBvAG0ARwByAGEAegBpAG4AZwBCAGUAZQBmAF8AVABpAHQAbABlACIALAAiAE0ATQBTAF8AUABhAHMAdAB1AHIAZQBCAGUAZQBmAF8ATQBlAHQAaABhAG4AZQBfAEUAcQB1AGEAdABpAG8AbgBzAC4AVgBFAEUAUgBHAF8ANABfADIAXwAxAF8AMQBfAF8AMwBfAFYAbwBsAGEAdABpAGwAZQBTAG8AbABpAGQAUAByAG8AZAB1AGMAdABpAG8AbgBGAHIAbwBtAEcAcgBhAHoAaQBuAGcAQgBlAGUAZgBfAFYAYQByAGkAYQBiAGwAZQAiACwAIgBNAE0AUwBfAFAAYQBzAHQAdQByAGUAQgBlAGUAZgBfAE0AZQB0AGgAYQBuAGUAXwBFAHEAdQBhAHQAaQBvAG4AcwAuAFYARQBFAFIARwBfADQAXwAyAF8AMQBfADEAXwBfADMAXwBWAG8AbABhAHQAaQBsAGUAUwBvAGwAaQBkAFAAcgBvAGQAdQBjAHQAaQBvAG4ARgByAG8AbQBHAHIAYQB6AGkAbgBnAEIAZQBlAGYAXwBVAG4AaQB0ACIALAAiAE0ATQBTAF8AUABhAHMAdAB1AHIAZQBCAGUAZQBmAF8ATQBlAHQAaABhAG4AZQBfAEUAcQB1AGEAdABpAG8AbgBzAC4AVgBFAEUAUgBHAF8ANABfADIAXwAxAF8AMQBfAF8AMwBfAFYAbwBsAGEAdABpAGwAZQBTAG8AbABpAGQAUAByAG8AZAB1AGMAdABpAG8AbgBGAHIAbwBtAEcAcgBhAHoAaQBuAGcAQgBlAGUAZgBfAFMAbwB1AHIAYwBlACIALAAiAE0ATQBTAF8AUABhAHMAdAB1AHIAZQBCAGUAZQBmAF8ATQBlAHQAaABhAG4AZQBfAEUAcQB1AGEAdABpAG8AbgBzAC4AVgBFAEUAUgBHAF8ANABfADIAXwAxAF8AMQBfAF8AMwBfAFYAbwBsAGEAdABpAGwAZQBTAG8AbABpAGQAUAByAG8AZAB1AGMAdABpAG8AbgBGAHIAbwBtAEcAcgBhAHoAaQBuAGcAQgBlAGUAZgBfAE4ASQBSAFIAZQBmAGUAcgBlAG4AYwBlACIALAAiAE0ATQBTAF8AUABhAHMAdAB1AHIAZQBCAGUAZQBmAF8ATQBlAHQAaABhAG4AZQBfAEUAcQB1AGEAdABpAG8AbgBzAC4AVgBFAEUAUgBHAF8ANABfADIAXwAxAF8AMQBfAF8AMwBfAFYAbwBsAGEAdABpAGwAZQBTAG8AbABpAGQAUAByAG8AZAB1AGMAdABpAG8AbgBGAHIAbwBtAEcAcgBhAHoAaQBuAGcAQgBlAGUAZgBfAEwAYQB0AGUAeABFAHEAdQBhAHQAaQBvAG4AIgAsACIATQBNAFMAXwBQAGEAcwB0AHUAcgBlAEIAZQBlAGYAXwBNAGUAdABoAGEAbgBlAF8ARQBxAHUAYQB0AGkAbwBuAHMALgBWAEUARQBSAEcAXwA0AF8AMgBfADEAXwAxAF8AXwAzAF8AVgBvAGwAYQB0AGkAbABlAFMAbwBsAGkAZABQAHIAbwBkAHUAYwB0AGkAbwBuAEYAcgBvAG0ARwByAGEAegBpAG4AZwBCAGUAZQBmAF8AQQByAGcAdQBtAGUAbgB0AHM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TQBNAFMAXwBQAGEAcwB0AHUAcgBlAEIAZQBlAGYAXwBTAG8AaQBsAF8ATgAyAE8ARABpAHIAZQBjAHQAXwBFAHEAdQBhAHQAaQBvAG4AcwAuAFYARQBFAFIARwBfADQAXwAyAF8AMQBfADMAXwBfADEAXwBEAGkAcgBlAGMAdABOAGkAdAByAG8AdQBzAE8AeABpAGQAZQBFAG0AaQBzAHMAaQBvAG4AcwBPAG4AUABhAHMAdAB1AHIAZQAiACwAIgBNAE0AUwBfAFAAYQBzAHQAdQByAGUAQgBlAGUAZgBfAFMAbwBpAGwAXwBOADIATwBEAGkAcgBlAGMAdABfAEUAcQB1AGEAdABpAG8AbgBzAC4AVgBFAEUAUgBHAF8ANABfADIAXwAxAF8AMwBfAF8AMQBfAEQAaQByAGUAYwB0AE4AaQB0AHIAbwB1AHMATwB4AGkAZABlAEUAbQBpAHMAcwBpAG8AbgBzAE8AbgBQAGEAcwB0AHUAcgBlAF8AVABpAHQAbABlACIALAAiAE0ATQBTAF8AUABhAHMAdAB1AHIAZQBCAGUAZQBmAF8AUwBvAGkAbABfAE4AMgBPAEQAaQByAGUAYwB0AF8ARQBxAHUAYQB0AGkAbwBuAHMALgBWAEUARQBSAEcAXwA0AF8AMgBfADEAXwAzAF8AXwAxAF8ARABpAHIAZQBjAHQATgBpAHQAcgBvAHUAcwBPAHgAaQBkAGUARQBtAGkAcwBzAGkAbwBuAHMATwBuAFAAYQBzAHQAdQByAGUAXwBWAGEAcgBpAGEAYgBsAGUAIgAsACIATQBNAFMAXwBQAGEAcwB0AHUAcgBlAEIAZQBlAGYAXwBTAG8AaQBsAF8ATgAyAE8ARABpAHIAZQBjAHQAXwBFAHEAdQBhAHQAaQBvAG4AcwAuAFYARQBFAFIARwBfADQAXwAyAF8AMQBfADMAXwBfADEAXwBEAGkAcgBlAGMAdABOAGkAdAByAG8AdQBzAE8AeABpAGQAZQBFAG0AaQBzAHMAaQBvAG4AcwBPAG4AUABhAHMAdAB1AHIAZQBfAFUAbgBpAHQAIgAsACIATQBNAFMAXwBQAGEAcwB0AHUAcgBlAEIAZQBlAGYAXwBTAG8AaQBsAF8ATgAyAE8ARABpAHIAZQBjAHQAXwBFAHEAdQBhAHQAaQBvAG4AcwAuAFYARQBFAFIARwBfADQAXwAyAF8AMQBfADMAXwBfADEAXwBEAGkAcgBlAGMAdABOAGkAdAByAG8AdQBzAE8AeABpAGQAZQBFAG0AaQBzAHMAaQBvAG4AcwBPAG4AUABhAHMAdAB1AHIAZQBfAFMAbwB1AHIAYwBlACIALAAiAE0ATQBTAF8AUABhAHMAdAB1AHIAZQBCAGUAZQBmAF8AUwBvAGkAbABfAE4AMgBPAEQAaQByAGUAYwB0AF8ARQBxAHUAYQB0AGkAbwBuAHMALgBWAEUARQBSAEcAXwA0AF8AMgBfADEAXwAzAF8AXwAxAF8ARABpAHIAZQBjAHQATgBpAHQAcgBvAHUAcwBPAHgAaQBkAGUARQBtAGkAcwBzAGkAbwBuAHMATwBuAFAAYQBzAHQAdQByAGUAXwBOAEkAUgBSAGUAZgBlAHIAZQBuAGMAZQAiACwAIgBNAE0AUwBfAFAAYQBzAHQAdQByAGUAQgBlAGUAZgBfAFMAbwBpAGwAXwBOADIATwBEAGkAcgBlAGMAdABfAEUAcQB1AGEAdABpAG8AbgBzAC4AVgBFAEUAUgBHAF8ANABfADIAXwAxAF8AMwBfAF8AMQBfAEQAaQByAGUAYwB0AE4AaQB0AHIAbwB1AHMATwB4AGkAZABlAEUAbQBpAHMAcwBpAG8AbgBzAE8AbgBQAGEAcwB0AHUAcgBlAF8ATABhAHQAZQB4AEUAcQB1AGEAdABpAG8AbgAiACwAIgBNAE0AUwBfAFAAYQBzAHQAdQByAGUAQgBlAGUAZgBfAFMAbwBpAGwAXwBOADIATwBEAGkAcgBlAGMAdABfAEUAcQB1AGEAdABpAG8AbgBzAC4AVgBFAEUAUgBHAF8ANABfADIAXwAxAF8AMwBfAF8AMQBfAEQAaQByAGUAYwB0AE4AaQB0AHIAbwB1AHMATwB4AGkAZABlAEUAbQBpAHMAcwBpAG8AbgBzAE8AbgBQAGEAcwB0AHUAcgBlAF8AQQByAGcAdQBtAGUAbgB0AHM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ABpAHQ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WAGEAcgBpAGEAYg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UAbgBpAHQ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MAbwB1AHI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OAEkAUgBSAGUAZgBlAHIAZQBu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ABhAHQAZQB4AEUAcQB1AGEAdABpAG8Abg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QQByAGcAdQBtAGUAbgB0AHMAIgAsACIATQBNAFMAXwBQAGEAcwB0AHUAcgBlAEIAZQBlAGYAXwBTAG8AaQBsAF8ATgAyAE8ARABpAHIAZQBjAHQAXwBFAHEAdQBhAHQAaQBvAG4AcwAuAFYARQBFAFIARwBfADQAXwAyAF8AMQBfADMAXwBfADMAXwBOAGkAdAByAG8AZwBlAG4ARQB4AGMAcgBlAHQAZQBkACIALAAiAE0ATQBTAF8AUABhAHMAdAB1AHIAZQBCAGUAZQBmAF8AUwBvAGkAbABfAE4AMgBPAEQAaQByAGUAYwB0AF8ARQBxAHUAYQB0AGkAbwBuAHMALgBWAEUARQBSAEcAXwA0AF8AMgBfADEAXwAzAF8AXwAzAF8ATgBpAHQAcgBvAGcAZQBuAEUAeABjAHIAZQB0AGUAZABfAFQAaQB0AGwAZQAiACwAIgBNAE0AUwBfAFAAYQBzAHQAdQByAGUAQgBlAGUAZgBfAFMAbwBpAGwAXwBOADIATwBEAGkAcgBlAGMAdABfAEUAcQB1AGEAdABpAG8AbgBzAC4AVgBFAEUAUgBHAF8ANABfADIAXwAxAF8AMwBfAF8AMwBfAE4AaQB0AHIAbwBnAGUAbgBFAHgAYwByAGUAdABlAGQAXwBWAGEAcgBpAGEAYgBsAGUAIgAsACIATQBNAFMAXwBQAGEAcwB0AHUAcgBlAEIAZQBlAGYAXwBTAG8AaQBsAF8ATgAyAE8ARABpAHIAZQBjAHQAXwBFAHEAdQBhAHQAaQBvAG4AcwAuAFYARQBFAFIARwBfADQAXwAyAF8AMQBfADMAXwBfADMAXwBOAGkAdAByAG8AZwBlAG4ARQB4AGMAcgBlAHQAZQBkAF8AVQBuAGkAdAAiACwAIgBNAE0AUwBfAFAAYQBzAHQAdQByAGUAQgBlAGUAZgBfAFMAbwBpAGwAXwBOADIATwBEAGkAcgBlAGMAdABfAEUAcQB1AGEAdABpAG8AbgBzAC4AVgBFAEUAUgBHAF8ANABfADIAXwAxAF8AMwBfAF8AMwBfAE4AaQB0AHIAbwBnAGUAbgBFAHgAYwByAGUAdABlAGQAXwBTAG8AdQByAGMAZQAiACwAIgBNAE0AUwBfAFAAYQBzAHQAdQByAGUAQgBlAGUAZgBfAFMAbwBpAGwAXwBOADIATwBEAGkAcgBlAGMAdABfAEUAcQB1AGEAdABpAG8AbgBzAC4AVgBFAEUAUgBHAF8ANABfADIAXwAxAF8AMwBfAF8AMwBfAE4AaQB0AHIAbwBnAGUAbgBFAHgAYwByAGUAdABlAGQAXwBOAEkAUgBSAGUAZgBlAHIAZQBuAGMAZQAiACwAIgBNAE0AUwBfAFAAYQBzAHQAdQByAGUAQgBlAGUAZgBfAFMAbwBpAGwAXwBOADIATwBEAGkAcgBlAGMAdABfAEUAcQB1AGEAdABpAG8AbgBzAC4AVgBFAEUAUgBHAF8ANABfADIAXwAxAF8AMwBfAF8AMwBfAE4AaQB0AHIAbwBnAGUAbgBFAHgAYwByAGUAdABlAGQAXwBMAGEAdABlAHgARQBxAHUAYQB0AGkAbwBuACIALAAiAE0ATQBTAF8AUABhAHMAdAB1AHIAZQBCAGUAZQBmAF8AUwBvAGkAbABfAE4AMgBPAEQAaQByAGUAYwB0AF8ARQBxAHUAYQB0AGkAbwBuAHMALgBWAEUARQBSAEcAXwA0AF8AMgBfADEAXwAzAF8AXwAzAF8ATgBpAHQAcgBvAGcAZQBuAEUAeABjAHIAZQB0AGUAZABfAEEAcgBnAHUAbQBlAG4AdABzACIALAAiAE0ATQBTAF8AUABhAHMAdAB1AHIAZQBCAGUAZQBmAF8AUwBvAGkAbABfAE4AMgBPAEQAaQByAGUAYwB0AF8ARQBxAHUAYQB0AGkAbwBuAHMALgBWAEUARQBSAEcAXwA0AF8AMgBfADEAXwAzAF8AXwA0AF8ATgBpAHQAcgBvAGcAZQBuAFIAZQB0AGEAaQBuAGUAZABCAHkAQgBvAGQAeQAiACwAIgBNAE0AUwBfAFAAYQBzAHQAdQByAGUAQgBlAGUAZgBfAFMAbwBpAGwAXwBOADIATwBEAGkAcgBlAGMAdABfAEUAcQB1AGEAdABpAG8AbgBzAC4AVgBFAEUAUgBHAF8ANABfADIAXwAxAF8AMwBfAF8ANABfAE4AaQB0AHIAbwBnAGUAbgBSAGUAdABhAGkAbgBlAGQAQgB5AEIAbwBkAHkAXwBUAGkAdABsAGUAIgAsACIATQBNAFMAXwBQAGEAcwB0AHUAcgBlAEIAZQBlAGYAXwBTAG8AaQBsAF8ATgAyAE8ARABpAHIAZQBjAHQAXwBFAHEAdQBhAHQAaQBvAG4AcwAuAFYARQBFAFIARwBfADQAXwAyAF8AMQBfADMAXwBfADQAXwBOAGkAdAByAG8AZwBlAG4AUgBlAHQAYQBpAG4AZQBkAEIAeQBCAG8AZAB5AF8AVgBhAHIAaQBhAGIAbABlACIALAAiAE0ATQBTAF8AUABhAHMAdAB1AHIAZQBCAGUAZQBmAF8AUwBvAGkAbABfAE4AMgBPAEQAaQByAGUAYwB0AF8ARQBxAHUAYQB0AGkAbwBuAHMALgBWAEUARQBSAEcAXwA0AF8AMgBfADEAXwAzAF8AXwA0AF8ATgBpAHQAcgBvAGcAZQBuAFIAZQB0AGEAaQBuAGUAZABCAHkAQgBvAGQAeQBfAFUAbgBpAHQAIgAsACIATQBNAFMAXwBQAGEAcwB0AHUAcgBlAEIAZQBlAGYAXwBTAG8AaQBsAF8ATgAyAE8ARABpAHIAZQBjAHQAXwBFAHEAdQBhAHQAaQBvAG4AcwAuAFYARQBFAFIARwBfADQAXwAyAF8AMQBfADMAXwBfADQAXwBOAGkAdAByAG8AZwBlAG4AUgBlAHQAYQBpAG4AZQBkAEIAeQBCAG8AZAB5AF8AUwBvAHUAcgBjAGUAIgAsACIATQBNAFMAXwBQAGEAcwB0AHUAcgBlAEIAZQBlAGYAXwBTAG8AaQBsAF8ATgAyAE8ARABpAHIAZQBjAHQAXwBFAHEAdQBhAHQAaQBvAG4AcwAuAFYARQBFAFIARwBfADQAXwAyAF8AMQBfADMAXwBfADQAXwBOAGkAdAByAG8AZwBlAG4AUgBlAHQAYQBpAG4AZQBkAEIAeQBCAG8AZAB5AF8ATgBJAFIAUgBlAGYAZQByAGUAbgBjAGUAIgAsACIATQBNAFMAXwBQAGEAcwB0AHUAcgBlAEIAZQBlAGYAXwBTAG8AaQBsAF8ATgAyAE8ARABpAHIAZQBjAHQAXwBFAHEAdQBhAHQAaQBvAG4AcwAuAFYARQBFAFIARwBfADQAXwAyAF8AMQBfADMAXwBfADQAXwBOAGkAdAByAG8AZwBlAG4AUgBlAHQAYQBpAG4AZQBkAEIAeQBCAG8AZAB5AF8ATABhAHQAZQB4AEUAcQB1AGEAdABpAG8AbgAiACwAIgBNAE0AUwBfAFAAYQBzAHQAdQByAGUAQgBlAGUAZgBfAFMAbwBpAGwAXwBOADIATwBEAGkAcgBlAGMAdABfAEUAcQB1AGEAdABpAG8AbgBzAC4AVgBFAEUAUgBHAF8ANABfADIAXwAxAF8AMwBfAF8ANABfAE4AaQB0AHIAbwBnAGUAbgBSAGUAdABhAGkAbgBlAGQAQgB5AEIAbwBkAHkAXwBBAHIAZwB1AG0AZQBuAHQAcwAiACwAIgBNAE0AUwBfAFAAYQBzAHQAdQByAGUAQgBlAGUAZgBfAFMAbwBpAGwAXwBOADIATwBEAGkAcgBlAGMAdABfAEUAcQB1AGEAdABpAG8AbgBzAC4AVgBFAEUAUgBHAF8ANABfADIAXwAxAF8AMwBfAF8ANQBfAE0AaQBsAGsAUAByAG8AZAB1AGMAdABpAG8AbgBGAG8AcgBDAGEAbAB2AGkAbgBnAFMAZQBhAHMAbwBuACIALAAiAE0ATQBTAF8AUABhAHMAdAB1AHIAZQBCAGUAZQBmAF8AUwBvAGkAbABfAE4AMgBPAEQAaQByAGUAYwB0AF8ARQBxAHUAYQB0AGkAbwBuAHMALgBWAEUARQBSAEcAXwA0AF8AMgBfADEAXwAzAF8AXwA1AF8ATQBpAGwAawBQAHIAbwBkAHUAYwB0AGkAbwBuAEYAbwByAEMAYQBsAHYAaQBuAGcAUwBlAGEAcwBvAG4AVgBhAHIAaQBhAHQAaQBvAG4AIgAsACIATQBNAFMAXwBQAGEAcwB0AHUAcgBlAEIAZQBlAGYAXwBTAG8AaQBsAF8ATgAyAE8ARABpAHIAZQBjAHQAXwBFAHEAdQBhAHQAaQBvAG4AcwAuAFYARQBFAFIARwBfADQAXwAyAF8AMQBfADMAXwBfADUAXwBNAGkAbABrAFAAcgBvAGQAdQBjAHQAaQBvAG4ARgBvAHIAQwBhAGwAdgBpAG4AZwBTAGUAYQBzAG8AbgBfAFQAaQB0AGwAZQAiACwAIgBNAE0AUwBfAFAAYQBzAHQAdQByAGUAQgBlAGUAZgBfAFMAbwBpAGwAXwBOADIATwBEAGkAcgBlAGMAdABfAEUAcQB1AGEAdABpAG8AbgBzAC4AVgBFAEUAUgBHAF8ANABfADIAXwAxAF8AMwBfAF8ANQBfAE0AaQBsAGsAUAByAG8AZAB1AGMAdABpAG8AbgBGAG8AcgBDAGEAbAB2AGkAbgBnAFMAZQBhAHMAbwBuAF8AVgBhAHIAaQBhAGIAbABlACIALAAiAE0ATQBTAF8AUABhAHMAdAB1AHIAZQBCAGUAZQBmAF8AUwBvAGkAbABfAE4AMgBPAEQAaQByAGUAYwB0AF8ARQBxAHUAYQB0AGkAbwBuAHMALgBWAEUARQBSAEcAXwA0AF8AMgBfADEAXwAzAF8AXwA1AF8ATQBpAGwAawBQAHIAbwBkAHUAYwB0AGkAbwBuAEYAbwByAEMAYQBsAHYAaQBuAGcAUwBlAGEAcwBvAG4AXwBVAG4AaQB0ACIALAAiAE0ATQBTAF8AUABhAHMAdAB1AHIAZQBCAGUAZQBmAF8AUwBvAGkAbABfAE4AMgBPAEQAaQByAGUAYwB0AF8ARQBxAHUAYQB0AGkAbwBuAHMALgBWAEUARQBSAEcAXwA0AF8AMgBfADEAXwAzAF8AXwA1AF8ATQBpAGwAawBQAHIAbwBkAHUAYwB0AGkAbwBuAEYAbwByAEMAYQBsAHYAaQBuAGcAUwBlAGEAcwBvAG4AXwBTAG8AdQByAGMAZQAiACwAIgBNAE0AUwBfAFAAYQBzAHQAdQByAGUAQgBlAGUAZgBfAFMAbwBpAGwAXwBOADIATwBEAGkAcgBlAGMAdABfAEUAcQB1AGEAdABpAG8AbgBzAC4AVgBFAEUAUgBHAF8ANABfADIAXwAxAF8AMwBfAF8ANQBfAE0AaQBsAGsAUAByAG8AZAB1AGMAdABpAG8AbgBGAG8AcgBDAGEAbAB2AGkAbgBnAFMAZQBhAHMAbwBuAF8ATgBJAFIAUgBlAGYAZQByAGUAbgBjAGU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VgBhAHIAaQBhAHQAaQBvAG4AIgAsACIATQBNAFMAXwBQAGEAcwB0AHUAcgBlAEIAZQBlAGYAXwBTAG8AaQBsAF8ATgAyAE8ARABpAHIAZQBjAHQAXwBFAHEAdQBhAHQAaQBvAG4AcwAuAFYARQBFAFIARwBfADQAXwAyAF8AMQBfADMAXwBfADUAXwBNAGkAbABrAFAAcgBvAGQAdQBjAHQAaQBvAG4ARgBvAHIAQwBhAGwAdgBpAG4AZwBTAGUAYQBzAG8AbgBfAEEAcgBnAHUAbQBlAG4AdABzACIALAAiAE0ATQBTAF8AUABhAHMAdAB1AHIAZQBCAGUAZQBmAF8AUwBvAGkAbABfAE4AMgBPAEQAaQByAGUAYwB0AF8ARQBxAHUAYQB0AGkAbwBuAHMALgBWAEUARQBSAEcAXwA0AF8AMgBfADEAXwAzAF8AXwA1AF8ATQBpAGwAawBQAHIAbwBkAHUAYwB0AGkAbwBuAEYAbwByAEMAYQBsAHYAaQBuAGcAUwBlAGEAcwBvAG4AXwBBAHIAZwB1AG0AZQBuAHQAcwBWAGEAcgBpAGEAdABpAG8AbgAiACwAIgBNAE0AUwBfAFAAYQBzAHQAdQByAGUAQgBlAGUAZgBfAFMAbwBpAGwAXwBOADIATwBEAGkAcgBlAGMAdABfAEUAcQB1AGEAdABpAG8AbgBzAC4AVgBFAEUAUgBHAF8ANABfADIAXwAxAF8AMwBfAF8ANQBfAE0AaQBsAGsAUAByAG8AZAB1AGMAdABpAG8AbgBGAG8AcgBDAGEAbAB2AGkAbgBnAFMAZQBhAHMAbwBuAF8AVgBhAHIAaQBhAHQAaQBvAG4AIgAsACIATQBNAFMAXwBQAGEAcwB0AHUAcgBlAEIAZQBlAGYAXwBTAG8AaQBsAF8ATgAyAE8ARABpAHIAZQBjAHQAXwBFAHEAdQBhAHQAaQBvAG4AcwAuAFYARQBFAFIARwBfADQAXwAyAF8AMQBfADMAXwBfADYAXwBJAG4AdABhAGsAZQBSAGUAbABhAHQAaQB2AGUAVABvAE0AYQBpAG4AdABlAG4AYQBuAGMAZQAiACwAIgBNAE0AUwBfAFAAYQBzAHQAdQByAGUAQgBlAGUAZgBfAFMAbwBpAGwAXwBOADIATwBEAGkAcgBlAGMAdABfAEUAcQB1AGEAdABpAG8AbgBzAC4AVgBFAEUAUgBHAF8ANABfADIAXwAxAF8AMwBfAF8ANgBfAEkAbgB0AGEAawBlAFIAZQBsAGEAdABpAHYAZQBUAG8ATQBhAGkAbgB0AGUAbgBhAG4AYwBlAF8AVABpAHQAbABlACIALAAiAE0ATQBTAF8AUABhAHMAdAB1AHIAZQBCAGUAZQBmAF8AUwBvAGkAbABfAE4AMgBPAEQAaQByAGUAYwB0AF8ARQBxAHUAYQB0AGkAbwBuAHMALgBWAEUARQBSAEcAXwA0AF8AMgBfADEAXwAzAF8AXwA2AF8ASQBuAHQAYQBrAGUAUgBlAGwAYQB0AGkAdgBlAFQAbwBNAGEAaQBuAHQAZQBuAGEAbgBjAGUAXwBWAGEAcgBpAGEAYgBsAGUAIgAsACIATQBNAFMAXwBQAGEAcwB0AHUAcgBlAEIAZQBlAGYAXwBTAG8AaQBsAF8ATgAyAE8ARABpAHIAZQBjAHQAXwBFAHEAdQBhAHQAaQBvAG4AcwAuAFYARQBFAFIARwBfADQAXwAyAF8AMQBfADMAXwBfADYAXwBJAG4AdABhAGsAZQBSAGUAbABhAHQAaQB2AGUAVABvAE0AYQBpAG4AdABlAG4AYQBuAGMAZQBfAFUAbgBpAHQAIgAsACIATQBNAFMAXwBQAGEAcwB0AHUAcgBlAEIAZQBlAGYAXwBTAG8AaQBsAF8ATgAyAE8ARABpAHIAZQBjAHQAXwBFAHEAdQBhAHQAaQBvAG4AcwAuAFYARQBFAFIARwBfADQAXwAyAF8AMQBfADMAXwBfADYAXwBJAG4AdABhAGsAZQBSAGUAbABhAHQAaQB2AGUAVABvAE0AYQBpAG4AdABlAG4AYQBuAGMAZQBfAFMAbwB1AHIAYwBlACIALAAiAE0ATQBTAF8AUABhAHMAdAB1AHIAZQBCAGUAZQBmAF8AUwBvAGkAbABfAE4AMgBPAEQAaQByAGUAYwB0AF8ARQBxAHUAYQB0AGkAbwBuAHMALgBWAEUARQBSAEcAXwA0AF8AMgBfADEAXwAzAF8AXwA2AF8ASQBuAHQAYQBrAGUAUgBlAGwAYQB0AGkAdgBlAFQAbwBNAGEAaQBuAHQAZQBuAGEAbgBjAGUAXwBOAEkAUgBSAGUAZgBlAHIAZQBuAGMAZQAiACwAIgBNAE0AUwBfAFAAYQBzAHQAdQByAGUAQgBlAGUAZgBfAFMAbwBpAGwAXwBOADIATwBEAGkAcgBlAGMAdABfAEUAcQB1AGEAdABpAG8AbgBzAC4AVgBFAEUAUgBHAF8ANABfADIAXwAxAF8AMwBfAF8ANgBfAEkAbgB0AGEAawBlAFIAZQBsAGEAdABpAHYAZQBUAG8ATQBhAGkAbgB0AGUAbgBhAG4AYwBlAF8ATABhAHQAZQB4AEUAcQB1AGEAdABpAG8AbgAiACwAIgBNAE0AUwBfAFAAYQBzAHQAdQByAGUAQgBlAGUAZgBfAFMAbwBpAGwAXwBOADIATwBEAGkAcgBlAGMAdABfAEUAcQB1AGEAdABpAG8AbgBzAC4AVgBFAEUAUgBHAF8ANABfADIAXwAxAF8AMwBfAF8ANgBfAEkAbgB0AGEAawBlAFIAZQBsAGEAdABpAHYAZQBUAG8ATQBhAGkAbgB0AGUAbgBhAG4AYwBlAF8AQQByAGcAdQBtAGUAbgB0AHMAIgAsACIATQBNAFMAXwBQAGEAcwB0AHUAcgBlAEIAZQBlAGYAXwBTAG8AaQBsAF8ATgAyAE8ARABpAHIAZQBjAHQAXwBFAHEAdQBhAHQAaQBvAG4AcwAuAFYARQBFAFIARwBfADQAXwAyAF8AMQBfADMAXwBfADcAXwBSAGUAbABhAHQAaQB2AGUAUwBpAHoAZQAiACwAIgBNAE0AUwBfAFAAYQBzAHQAdQByAGUAQgBlAGUAZgBfAFMAbwBpAGwAXwBOADIATwBEAGkAcgBlAGMAdABfAEUAcQB1AGEAdABpAG8AbgBzAC4AVgBFAEUAUgBHAF8ANABfADIAXwAxAF8AMwBfAF8ANwBfAFIAZQBsAGEAdABpAHYAZQBTAGkAegBlAF8AVABpAHQAbABlACIALAAiAE0ATQBTAF8AUABhAHMAdAB1AHIAZQBCAGUAZQBmAF8AUwBvAGkAbABfAE4AMgBPAEQAaQByAGUAYwB0AF8ARQBxAHUAYQB0AGkAbwBuAHMALgBWAEUARQBSAEcAXwA0AF8AMgBfADEAXwAzAF8AXwA3AF8AUgBlAGwAYQB0AGkAdgBlAFMAaQB6AGUAXwBWAGEAcgBpAGEAYgBsAGUAIgAsACIATQBNAFMAXwBQAGEAcwB0AHUAcgBlAEIAZQBlAGYAXwBTAG8AaQBsAF8ATgAyAE8ARABpAHIAZQBjAHQAXwBFAHEAdQBhAHQAaQBvAG4AcwAuAFYARQBFAFIARwBfADQAXwAyAF8AMQBfADMAXwBfADcAXwBSAGUAbABhAHQAaQB2AGUAUwBpAHoAZQBfAFUAbgBpAHQAIgAsACIATQBNAFMAXwBQAGEAcwB0AHUAcgBlAEIAZQBlAGYAXwBTAG8AaQBsAF8ATgAyAE8ARABpAHIAZQBjAHQAXwBFAHEAdQBhAHQAaQBvAG4AcwAuAFYARQBFAFIARwBfADQAXwAyAF8AMQBfADMAXwBfADcAXwBSAGUAbABhAHQAaQB2AGUAUwBpAHoAZQBfAFMAbwB1AHIAYwBlACIALAAiAE0ATQBTAF8AUABhAHMAdAB1AHIAZQBCAGUAZQBmAF8AUwBvAGkAbABfAE4AMgBPAEQAaQByAGUAYwB0AF8ARQBxAHUAYQB0AGkAbwBuAHMALgBWAEUARQBSAEcAXwA0AF8AMgBfADEAXwAzAF8AXwA3AF8AUgBlAGwAYQB0AGkAdgBlAFMAaQB6AGUAXwBOAEkAUgBSAGUAZgBlAHIAZQBuAGMAZQAiACwAIgBNAE0AUwBfAFAAYQBzAHQAdQByAGUAQgBlAGUAZgBfAFMAbwBpAGwAXwBOADIATwBEAGkAcgBlAGMAdABfAEUAcQB1AGEAdABpAG8AbgBzAC4AVgBFAEUAUgBHAF8ANABfADIAXwAxAF8AMwBfAF8ANwBfAFIAZQBsAGEAdABpAHYAZQBTAGkAegBlAF8ATABhAHQAZQB4AEUAcQB1AGEAdABpAG8AbgAiACwAIgBNAE0AUwBfAFAAYQBzAHQAdQByAGUAQgBlAGUAZgBfAFMAbwBpAGwAXwBOADIATwBEAGkAcgBlAGMAdABfAEUAcQB1AGEAdABpAG8AbgBzAC4AVgBFAEUAUgBHAF8ANABfADIAXwAxAF8AMwBfAF8ANwBfAFIAZQBsAGEAdABpAHYAZQBTAGkAegBlAF8AQQByAGcAdQBtAGUAbgB0AHM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QAaQB0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WAGEAcgBpAGEAYg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QBuAGkAdA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TAG8AdQBy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OAEkAUgBSAGUAZgBlAHIAZQBu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MAGEAdABlAHgARQBxAHUAYQB0AGkAbwBu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EAcgBnAHUAbQBlAG4AdABz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UAGkAdA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gBhAHIAaQBhAGI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UAbgBpAHQ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UwBvAHUAc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gBJAFIAUgBlAGYAZQByAGUAb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ABhAHQAZQB4AEUAcQB1AGEAdABpAG8Abg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BAHIAZwB1AG0AZQBuAHQAcw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ABpAHQ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YAYQByAGkAYQBi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VAG4AaQB0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MAbwB1AHI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4ASQBSAFIAZQBmAGUAcgBlAG4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wAYQB0AGUAeABFAHEAdQBhAHQAaQBvAG4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QQByAGcAdQBtAGUAbgB0AHM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UAGkAdA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WAGEAcgBpAGEAYg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VAG4AaQB0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UwBvAHUAc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OAEkAUgBSAGUAZgBlAHIAZQBu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wAYQB0AGUAeABFAHEAdQBhAHQAaQBvAG4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22</vt:i4>
      </vt:variant>
    </vt:vector>
  </HeadingPairs>
  <TitlesOfParts>
    <vt:vector size="31" baseType="lpstr">
      <vt:lpstr>Home</vt:lpstr>
      <vt:lpstr>Results</vt:lpstr>
      <vt:lpstr>Input - Site</vt:lpstr>
      <vt:lpstr>Input - Pasture Beef</vt:lpstr>
      <vt:lpstr>3.2.1.1-2 Enteric Methane</vt:lpstr>
      <vt:lpstr>Constants - Pasture Beef</vt:lpstr>
      <vt:lpstr>Constants - Common</vt:lpstr>
      <vt:lpstr>Constants - Livestock</vt:lpstr>
      <vt:lpstr>Acknowledgements</vt:lpstr>
      <vt:lpstr>VEERG_3_2_1_1__1_TotalAnnualMethaneFromEntericFermentation_Result</vt:lpstr>
      <vt:lpstr>X_Cell_PastureBeef_Breed</vt:lpstr>
      <vt:lpstr>X_Cell_PastureBeef_ProductionRegion</vt:lpstr>
      <vt:lpstr>X_Cell_Site_FarmName</vt:lpstr>
      <vt:lpstr>X_Cell_Site_ReportingEntityName</vt:lpstr>
      <vt:lpstr>X_Cell_Site_StartDate</vt:lpstr>
      <vt:lpstr>X_Cell_Site_State</vt:lpstr>
      <vt:lpstr>X_Table_PastureBeef_Duration_Method1</vt:lpstr>
      <vt:lpstr>X_Table_PastureBeef_Duration_Method1_Col_BullsOver1Year</vt:lpstr>
      <vt:lpstr>X_Table_PastureBeef_Duration_Method1_Col_BullsUnder1Year</vt:lpstr>
      <vt:lpstr>X_Table_PastureBeef_Duration_Method1_Col_Cows1To2Years</vt:lpstr>
      <vt:lpstr>X_Table_PastureBeef_Duration_Method1_Col_Cows2to3Years</vt:lpstr>
      <vt:lpstr>X_Table_PastureBeef_Duration_Method1_Col_CowsOver3Years</vt:lpstr>
      <vt:lpstr>X_Table_PastureBeef_Duration_Method1_Col_CowsUnder1Year</vt:lpstr>
      <vt:lpstr>X_Table_PastureBeef_Duration_Method1_Col_Steers1To2Years</vt:lpstr>
      <vt:lpstr>X_Table_PastureBeef_Duration_Method1_Col_SteersOver3Years</vt:lpstr>
      <vt:lpstr>X_Table_PastureBeef_Duration_Method1_Col_SteersUnder1Year</vt:lpstr>
      <vt:lpstr>X_Table_PastureBeef_Duration_Method1_Row_Autumn</vt:lpstr>
      <vt:lpstr>X_Table_PastureBeef_Duration_Method1_Row_Spring</vt:lpstr>
      <vt:lpstr>X_Table_PastureBeef_Duration_Method1_Row_Summer</vt:lpstr>
      <vt:lpstr>X_Table_PastureBeef_Duration_Method1_Row_Winter</vt:lpstr>
      <vt:lpstr>X_Table_PastureBeef_Duration_Method2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2026-06-11T08:15:51Z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