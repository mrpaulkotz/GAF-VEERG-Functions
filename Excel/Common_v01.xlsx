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AB2272D4-83D6-4782-8546-72EBE880DEA7}" xr6:coauthVersionLast="47" xr6:coauthVersionMax="47" xr10:uidLastSave="{00000000-0000-0000-0000-000000000000}"/>
  <bookViews>
    <workbookView xWindow="285" yWindow="390" windowWidth="37755" windowHeight="20445" xr2:uid="{992023F3-CAB7-4E5B-A348-08D563A0EF40}"/>
  </bookViews>
  <sheets>
    <sheet name="Constants - Common" sheetId="1" r:id="rId1"/>
  </sheets>
  <definedNames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 _xlfn.LET(_xlpm.mask, (VALUE(Table_SourceData_ClimateZones[Min temp]) &lt;= _xlpm.avgTemp) * (VALUE(Table_SourceData_ClimateZones[Max temp]) &gt;= _xlpm.avgTemp) * (VALUE(Table_SourceData_ClimateZones[Min rainfall]) &lt;= _xlpm.avgRain) * (VALUE(Table_SourceData_ClimateZones[Max rainfall]) &gt;= _xlpm.avgRain) * (VALUE(Table_SourceData_ClimateZones[Min frost days]) &lt;= _xlpm.frostDays) * (VALUE(Table_SourceData_ClimateZones[Max frost days]) &gt;= _xlpm.frostDays) * (VALUE(Table_SourceData_ClimateZones[Min elevation]) &lt;= _xlpm.elev) * (VALUE(Table_SourceData_ClimateZones[Max elevation]) &gt;= _xlpm.elev) * (VALUE(Table_SourceData_ClimateZones[Min MAP:PET]) &lt;= _xlpm.map_pet) * (VALUE(Table_SourceData_ClimateZones[Max MAP:PET]) &gt;= _xlpm.map_pet), _xlfn.TAKE(_xlfn._xlws.FILTER(Table_SourceData_ClimateZones[Climate zone],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Range_LivestockStartingValues">#REF!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" l="1" a="1"/>
  <c r="D164" i="1" s="1"/>
  <c r="D163" i="1" a="1"/>
  <c r="D163" i="1" s="1"/>
  <c r="E164" i="1" a="1"/>
  <c r="E164" i="1" s="1"/>
  <c r="D162" i="1" a="1"/>
  <c r="D162" i="1" s="1"/>
  <c r="D157" i="1" l="1" a="1"/>
  <c r="D157" i="1" s="1"/>
  <c r="D158" i="1" a="1"/>
  <c r="D158" i="1" s="1"/>
  <c r="D159" i="1" a="1"/>
  <c r="D159" i="1" s="1"/>
  <c r="D156" i="1" a="1"/>
  <c r="D156" i="1" s="1"/>
  <c r="D153" i="1" l="1" a="1"/>
  <c r="D152" i="1" a="1"/>
  <c r="D152" i="1" s="1"/>
  <c r="D151" i="1" a="1"/>
  <c r="D151" i="1" s="1"/>
  <c r="D150" i="1" a="1"/>
  <c r="D150" i="1" s="1"/>
  <c r="D136" i="1" a="1"/>
  <c r="D136" i="1" s="1"/>
  <c r="E136" i="1" a="1"/>
  <c r="E136" i="1" s="1"/>
  <c r="D135" i="1" a="1"/>
  <c r="D135" i="1" s="1"/>
  <c r="E135" i="1" a="1"/>
  <c r="E135" i="1" s="1"/>
  <c r="D133" i="1" a="1"/>
  <c r="D133" i="1" s="1"/>
  <c r="D132" i="1" a="1"/>
  <c r="D132" i="1" s="1"/>
  <c r="D153" i="1" l="1"/>
  <c r="E147" i="1" l="1" a="1"/>
  <c r="E147" i="1" s="1"/>
  <c r="D147" i="1" a="1"/>
  <c r="D147" i="1" s="1"/>
  <c r="E146" i="1" a="1"/>
  <c r="E146" i="1" s="1"/>
  <c r="D146" i="1" a="1"/>
  <c r="D146" i="1" s="1"/>
  <c r="E145" i="1" a="1"/>
  <c r="E145" i="1" s="1"/>
  <c r="D145" i="1" a="1"/>
  <c r="D145" i="1" s="1"/>
  <c r="E144" i="1" a="1"/>
  <c r="E144" i="1" s="1"/>
  <c r="D144" i="1" a="1"/>
  <c r="D144" i="1" s="1"/>
  <c r="E143" i="1" a="1"/>
  <c r="E143" i="1" s="1"/>
  <c r="D143" i="1" a="1"/>
  <c r="D143" i="1" s="1"/>
  <c r="E129" i="1" a="1"/>
  <c r="E129" i="1" s="1"/>
  <c r="D129" i="1" a="1"/>
  <c r="D129" i="1" s="1"/>
  <c r="E128" i="1" a="1"/>
  <c r="E128" i="1" s="1"/>
  <c r="D128" i="1" a="1"/>
  <c r="D128" i="1" s="1"/>
  <c r="G121" i="1" a="1"/>
  <c r="G121" i="1" s="1"/>
  <c r="F121" i="1" a="1"/>
  <c r="F121" i="1" s="1"/>
  <c r="E121" i="1" a="1"/>
  <c r="E121" i="1" s="1"/>
  <c r="D121" i="1" a="1"/>
  <c r="D121" i="1" s="1"/>
  <c r="G120" i="1" a="1"/>
  <c r="G120" i="1" s="1"/>
  <c r="F120" i="1" a="1"/>
  <c r="F120" i="1" s="1"/>
  <c r="E120" i="1" a="1"/>
  <c r="E120" i="1" s="1"/>
  <c r="D120" i="1" a="1"/>
  <c r="D120" i="1" s="1"/>
  <c r="G112" i="1" a="1"/>
  <c r="G112" i="1" s="1"/>
  <c r="F112" i="1" a="1"/>
  <c r="F112" i="1" s="1"/>
  <c r="E112" i="1" a="1"/>
  <c r="E112" i="1" s="1"/>
  <c r="D112" i="1" a="1"/>
  <c r="D112" i="1" s="1"/>
  <c r="G111" i="1" a="1"/>
  <c r="G111" i="1" s="1"/>
  <c r="F111" i="1" a="1"/>
  <c r="F111" i="1" s="1"/>
  <c r="E111" i="1" a="1"/>
  <c r="E111" i="1" s="1"/>
  <c r="D111" i="1" a="1"/>
  <c r="D111" i="1" s="1"/>
  <c r="G110" i="1" a="1"/>
  <c r="G110" i="1" s="1"/>
  <c r="F110" i="1" a="1"/>
  <c r="F110" i="1" s="1"/>
  <c r="E110" i="1" a="1"/>
  <c r="E110" i="1" s="1"/>
  <c r="D110" i="1" a="1"/>
  <c r="D110" i="1" s="1"/>
  <c r="S97" i="1" a="1"/>
  <c r="S97" i="1" s="1"/>
  <c r="R97" i="1" a="1"/>
  <c r="R97" i="1" s="1"/>
  <c r="Q97" i="1" a="1"/>
  <c r="Q97" i="1" s="1"/>
  <c r="P97" i="1" a="1"/>
  <c r="P97" i="1" s="1"/>
  <c r="O97" i="1" a="1"/>
  <c r="O97" i="1" s="1"/>
  <c r="N97" i="1" a="1"/>
  <c r="N97" i="1" s="1"/>
  <c r="M97" i="1" a="1"/>
  <c r="M97" i="1" s="1"/>
  <c r="L97" i="1" a="1"/>
  <c r="L97" i="1" s="1"/>
  <c r="K97" i="1" a="1"/>
  <c r="K97" i="1" s="1"/>
  <c r="J97" i="1" a="1"/>
  <c r="J97" i="1" s="1"/>
  <c r="I97" i="1" a="1"/>
  <c r="I97" i="1" s="1"/>
  <c r="H97" i="1" a="1"/>
  <c r="H97" i="1" s="1"/>
  <c r="G97" i="1" a="1"/>
  <c r="G97" i="1" s="1"/>
  <c r="F97" i="1" a="1"/>
  <c r="F97" i="1" s="1"/>
  <c r="E97" i="1" a="1"/>
  <c r="E97" i="1" s="1"/>
  <c r="D97" i="1" a="1"/>
  <c r="D97" i="1" s="1"/>
  <c r="S96" i="1" a="1"/>
  <c r="S96" i="1" s="1"/>
  <c r="R96" i="1" a="1"/>
  <c r="R96" i="1" s="1"/>
  <c r="Q96" i="1" a="1"/>
  <c r="Q96" i="1" s="1"/>
  <c r="P96" i="1" a="1"/>
  <c r="P96" i="1" s="1"/>
  <c r="O96" i="1" a="1"/>
  <c r="O96" i="1" s="1"/>
  <c r="N96" i="1" a="1"/>
  <c r="N96" i="1" s="1"/>
  <c r="M96" i="1" a="1"/>
  <c r="M96" i="1" s="1"/>
  <c r="L96" i="1" a="1"/>
  <c r="L96" i="1" s="1"/>
  <c r="K96" i="1" a="1"/>
  <c r="K96" i="1" s="1"/>
  <c r="J96" i="1" a="1"/>
  <c r="J96" i="1" s="1"/>
  <c r="I96" i="1" a="1"/>
  <c r="I96" i="1" s="1"/>
  <c r="H96" i="1" a="1"/>
  <c r="H96" i="1" s="1"/>
  <c r="G96" i="1" a="1"/>
  <c r="G96" i="1" s="1"/>
  <c r="F96" i="1" a="1"/>
  <c r="F96" i="1" s="1"/>
  <c r="E96" i="1" a="1"/>
  <c r="E96" i="1" s="1"/>
  <c r="D96" i="1" a="1"/>
  <c r="D96" i="1" s="1"/>
  <c r="S95" i="1" a="1"/>
  <c r="S95" i="1" s="1"/>
  <c r="R95" i="1" a="1"/>
  <c r="R95" i="1" s="1"/>
  <c r="Q95" i="1" a="1"/>
  <c r="Q95" i="1" s="1"/>
  <c r="P95" i="1" a="1"/>
  <c r="P95" i="1" s="1"/>
  <c r="O95" i="1" a="1"/>
  <c r="O95" i="1" s="1"/>
  <c r="N95" i="1" a="1"/>
  <c r="N95" i="1" s="1"/>
  <c r="M95" i="1" a="1"/>
  <c r="M95" i="1" s="1"/>
  <c r="L95" i="1" a="1"/>
  <c r="L95" i="1" s="1"/>
  <c r="K95" i="1" a="1"/>
  <c r="K95" i="1" s="1"/>
  <c r="J95" i="1" a="1"/>
  <c r="J95" i="1" s="1"/>
  <c r="I95" i="1" a="1"/>
  <c r="I95" i="1" s="1"/>
  <c r="H95" i="1" a="1"/>
  <c r="H95" i="1" s="1"/>
  <c r="G95" i="1" a="1"/>
  <c r="G95" i="1" s="1"/>
  <c r="F95" i="1" a="1"/>
  <c r="F95" i="1" s="1"/>
  <c r="E95" i="1" a="1"/>
  <c r="E95" i="1" s="1"/>
  <c r="D95" i="1" a="1"/>
  <c r="D95" i="1" s="1"/>
  <c r="S94" i="1" a="1"/>
  <c r="S94" i="1" s="1"/>
  <c r="R94" i="1" a="1"/>
  <c r="R94" i="1" s="1"/>
  <c r="Q94" i="1" a="1"/>
  <c r="Q94" i="1" s="1"/>
  <c r="P94" i="1" a="1"/>
  <c r="P94" i="1" s="1"/>
  <c r="O94" i="1" a="1"/>
  <c r="O94" i="1" s="1"/>
  <c r="N94" i="1" a="1"/>
  <c r="N94" i="1" s="1"/>
  <c r="M94" i="1" a="1"/>
  <c r="M94" i="1" s="1"/>
  <c r="L94" i="1" a="1"/>
  <c r="L94" i="1" s="1"/>
  <c r="K94" i="1" a="1"/>
  <c r="K94" i="1" s="1"/>
  <c r="J94" i="1" a="1"/>
  <c r="J94" i="1" s="1"/>
  <c r="I94" i="1" a="1"/>
  <c r="I94" i="1" s="1"/>
  <c r="H94" i="1" a="1"/>
  <c r="H94" i="1" s="1"/>
  <c r="G94" i="1" a="1"/>
  <c r="G94" i="1" s="1"/>
  <c r="F94" i="1" a="1"/>
  <c r="F94" i="1" s="1"/>
  <c r="E94" i="1" a="1"/>
  <c r="E94" i="1" s="1"/>
  <c r="D94" i="1" a="1"/>
  <c r="D94" i="1" s="1"/>
  <c r="S93" i="1" a="1"/>
  <c r="S93" i="1" s="1"/>
  <c r="R93" i="1" a="1"/>
  <c r="R93" i="1" s="1"/>
  <c r="Q93" i="1" a="1"/>
  <c r="Q93" i="1" s="1"/>
  <c r="P93" i="1" a="1"/>
  <c r="P93" i="1" s="1"/>
  <c r="O93" i="1" a="1"/>
  <c r="O93" i="1" s="1"/>
  <c r="N93" i="1" a="1"/>
  <c r="N93" i="1" s="1"/>
  <c r="M93" i="1" a="1"/>
  <c r="M93" i="1" s="1"/>
  <c r="L93" i="1" a="1"/>
  <c r="L93" i="1" s="1"/>
  <c r="K93" i="1" a="1"/>
  <c r="K93" i="1" s="1"/>
  <c r="J93" i="1" a="1"/>
  <c r="J93" i="1" s="1"/>
  <c r="I93" i="1" a="1"/>
  <c r="I93" i="1" s="1"/>
  <c r="H93" i="1" a="1"/>
  <c r="H93" i="1" s="1"/>
  <c r="G93" i="1" a="1"/>
  <c r="G93" i="1" s="1"/>
  <c r="F93" i="1" a="1"/>
  <c r="F93" i="1" s="1"/>
  <c r="E93" i="1" a="1"/>
  <c r="E93" i="1" s="1"/>
  <c r="D93" i="1" a="1"/>
  <c r="D93" i="1" s="1"/>
  <c r="S92" i="1" a="1"/>
  <c r="S92" i="1" s="1"/>
  <c r="R92" i="1" a="1"/>
  <c r="R92" i="1" s="1"/>
  <c r="Q92" i="1" a="1"/>
  <c r="Q92" i="1" s="1"/>
  <c r="P92" i="1" a="1"/>
  <c r="P92" i="1" s="1"/>
  <c r="O92" i="1" a="1"/>
  <c r="O92" i="1" s="1"/>
  <c r="N92" i="1" a="1"/>
  <c r="N92" i="1" s="1"/>
  <c r="M92" i="1" a="1"/>
  <c r="M92" i="1" s="1"/>
  <c r="L92" i="1" a="1"/>
  <c r="L92" i="1" s="1"/>
  <c r="K92" i="1" a="1"/>
  <c r="K92" i="1" s="1"/>
  <c r="J92" i="1" a="1"/>
  <c r="J92" i="1" s="1"/>
  <c r="I92" i="1" a="1"/>
  <c r="I92" i="1" s="1"/>
  <c r="H92" i="1" a="1"/>
  <c r="H92" i="1" s="1"/>
  <c r="G92" i="1" a="1"/>
  <c r="G92" i="1" s="1"/>
  <c r="F92" i="1" a="1"/>
  <c r="F92" i="1" s="1"/>
  <c r="E92" i="1" a="1"/>
  <c r="E92" i="1" s="1"/>
  <c r="D92" i="1" a="1"/>
  <c r="D92" i="1" s="1"/>
  <c r="S91" i="1" a="1"/>
  <c r="S91" i="1" s="1"/>
  <c r="R91" i="1" a="1"/>
  <c r="R91" i="1" s="1"/>
  <c r="Q91" i="1" a="1"/>
  <c r="Q91" i="1" s="1"/>
  <c r="P91" i="1" a="1"/>
  <c r="P91" i="1" s="1"/>
  <c r="O91" i="1" a="1"/>
  <c r="O91" i="1" s="1"/>
  <c r="N91" i="1" a="1"/>
  <c r="N91" i="1" s="1"/>
  <c r="M91" i="1" a="1"/>
  <c r="M91" i="1" s="1"/>
  <c r="L91" i="1" a="1"/>
  <c r="L91" i="1" s="1"/>
  <c r="K91" i="1" a="1"/>
  <c r="K91" i="1" s="1"/>
  <c r="J91" i="1" a="1"/>
  <c r="J91" i="1" s="1"/>
  <c r="I91" i="1" a="1"/>
  <c r="I91" i="1" s="1"/>
  <c r="H91" i="1" a="1"/>
  <c r="H91" i="1" s="1"/>
  <c r="G91" i="1" a="1"/>
  <c r="G91" i="1" s="1"/>
  <c r="F91" i="1" a="1"/>
  <c r="F91" i="1" s="1"/>
  <c r="E91" i="1" a="1"/>
  <c r="E91" i="1" s="1"/>
  <c r="D91" i="1" a="1"/>
  <c r="D91" i="1" s="1"/>
  <c r="S90" i="1" a="1"/>
  <c r="S90" i="1" s="1"/>
  <c r="R90" i="1" a="1"/>
  <c r="R90" i="1" s="1"/>
  <c r="Q90" i="1" a="1"/>
  <c r="Q90" i="1" s="1"/>
  <c r="P90" i="1" a="1"/>
  <c r="P90" i="1" s="1"/>
  <c r="O90" i="1" a="1"/>
  <c r="O90" i="1" s="1"/>
  <c r="N90" i="1" a="1"/>
  <c r="N90" i="1" s="1"/>
  <c r="M90" i="1" a="1"/>
  <c r="M90" i="1" s="1"/>
  <c r="L90" i="1" a="1"/>
  <c r="L90" i="1" s="1"/>
  <c r="K90" i="1" a="1"/>
  <c r="K90" i="1" s="1"/>
  <c r="J90" i="1" a="1"/>
  <c r="J90" i="1" s="1"/>
  <c r="I90" i="1" a="1"/>
  <c r="I90" i="1" s="1"/>
  <c r="H90" i="1" a="1"/>
  <c r="H90" i="1" s="1"/>
  <c r="G90" i="1" a="1"/>
  <c r="G90" i="1" s="1"/>
  <c r="F90" i="1" a="1"/>
  <c r="F90" i="1" s="1"/>
  <c r="E90" i="1" a="1"/>
  <c r="E90" i="1" s="1"/>
  <c r="D90" i="1" a="1"/>
  <c r="D90" i="1" s="1"/>
  <c r="E77" i="1" a="1"/>
  <c r="E77" i="1" s="1"/>
  <c r="D77" i="1" a="1"/>
  <c r="D77" i="1" s="1"/>
  <c r="E76" i="1" a="1"/>
  <c r="E76" i="1" s="1"/>
  <c r="D76" i="1" a="1"/>
  <c r="D76" i="1" s="1"/>
  <c r="E75" i="1" a="1"/>
  <c r="E75" i="1" s="1"/>
  <c r="D75" i="1" a="1"/>
  <c r="D75" i="1" s="1"/>
  <c r="E74" i="1" a="1"/>
  <c r="E74" i="1" s="1"/>
  <c r="D74" i="1" a="1"/>
  <c r="D74" i="1" s="1"/>
  <c r="E73" i="1" a="1"/>
  <c r="E73" i="1" s="1"/>
  <c r="D73" i="1" a="1"/>
  <c r="D73" i="1" s="1"/>
  <c r="E72" i="1" a="1"/>
  <c r="E72" i="1" s="1"/>
  <c r="D72" i="1" a="1"/>
  <c r="D72" i="1" s="1"/>
  <c r="E71" i="1" a="1"/>
  <c r="E71" i="1" s="1"/>
  <c r="D71" i="1" a="1"/>
  <c r="D71" i="1" s="1"/>
  <c r="E70" i="1" a="1"/>
  <c r="E70" i="1" s="1"/>
  <c r="D70" i="1" a="1"/>
  <c r="D70" i="1" s="1"/>
  <c r="E69" i="1" a="1"/>
  <c r="E69" i="1" s="1"/>
  <c r="D69" i="1" a="1"/>
  <c r="D69" i="1" s="1"/>
  <c r="E68" i="1" a="1"/>
  <c r="E68" i="1" s="1"/>
  <c r="D68" i="1" a="1"/>
  <c r="D68" i="1" s="1"/>
  <c r="E67" i="1" a="1"/>
  <c r="E67" i="1" s="1"/>
  <c r="D67" i="1" a="1"/>
  <c r="D67" i="1" s="1"/>
  <c r="E66" i="1" a="1"/>
  <c r="E66" i="1" s="1"/>
  <c r="D66" i="1" a="1"/>
  <c r="D66" i="1" s="1"/>
  <c r="E65" i="1" a="1"/>
  <c r="E65" i="1" s="1"/>
  <c r="D65" i="1" a="1"/>
  <c r="D65" i="1" s="1"/>
  <c r="E64" i="1" a="1"/>
  <c r="E64" i="1" s="1"/>
  <c r="D64" i="1" a="1"/>
  <c r="D64" i="1" s="1"/>
  <c r="G54" i="1" a="1"/>
  <c r="G54" i="1" s="1"/>
  <c r="F54" i="1" a="1"/>
  <c r="F54" i="1" s="1"/>
  <c r="E54" i="1" a="1"/>
  <c r="E54" i="1" s="1"/>
  <c r="D54" i="1" a="1"/>
  <c r="D54" i="1" s="1"/>
  <c r="G53" i="1" a="1"/>
  <c r="G53" i="1" s="1"/>
  <c r="F53" i="1" a="1"/>
  <c r="F53" i="1" s="1"/>
  <c r="E53" i="1" a="1"/>
  <c r="E53" i="1" s="1"/>
  <c r="D53" i="1" a="1"/>
  <c r="D53" i="1" s="1"/>
  <c r="G52" i="1" a="1"/>
  <c r="G52" i="1" s="1"/>
  <c r="F52" i="1" a="1"/>
  <c r="F52" i="1" s="1"/>
  <c r="E52" i="1" a="1"/>
  <c r="E52" i="1" s="1"/>
  <c r="D52" i="1" a="1"/>
  <c r="D52" i="1" s="1"/>
  <c r="G51" i="1" a="1"/>
  <c r="G51" i="1" s="1"/>
  <c r="F51" i="1" a="1"/>
  <c r="F51" i="1" s="1"/>
  <c r="E51" i="1" a="1"/>
  <c r="E51" i="1" s="1"/>
  <c r="D51" i="1" a="1"/>
  <c r="D51" i="1" s="1"/>
  <c r="G50" i="1" a="1"/>
  <c r="G50" i="1" s="1"/>
  <c r="F50" i="1" a="1"/>
  <c r="F50" i="1" s="1"/>
  <c r="E50" i="1" a="1"/>
  <c r="E50" i="1" s="1"/>
  <c r="D50" i="1" a="1"/>
  <c r="D50" i="1" s="1"/>
  <c r="G49" i="1" a="1"/>
  <c r="G49" i="1" s="1"/>
  <c r="F49" i="1" a="1"/>
  <c r="F49" i="1" s="1"/>
  <c r="E49" i="1" a="1"/>
  <c r="E49" i="1" s="1"/>
  <c r="D49" i="1" a="1"/>
  <c r="D49" i="1" s="1"/>
  <c r="G48" i="1" a="1"/>
  <c r="G48" i="1" s="1"/>
  <c r="F48" i="1" a="1"/>
  <c r="F48" i="1" s="1"/>
  <c r="E48" i="1" a="1"/>
  <c r="E48" i="1" s="1"/>
  <c r="D48" i="1" a="1"/>
  <c r="D48" i="1" s="1"/>
  <c r="E43" i="1" a="1"/>
  <c r="E43" i="1" s="1"/>
  <c r="D43" i="1" a="1"/>
  <c r="D43" i="1" s="1"/>
  <c r="E42" i="1" a="1"/>
  <c r="E42" i="1" s="1"/>
  <c r="D42" i="1" a="1"/>
  <c r="D42" i="1" s="1"/>
  <c r="E41" i="1" a="1"/>
  <c r="E41" i="1" s="1"/>
  <c r="D41" i="1" a="1"/>
  <c r="D41" i="1" s="1"/>
  <c r="E40" i="1" a="1"/>
  <c r="E40" i="1" s="1"/>
  <c r="D40" i="1" a="1"/>
  <c r="D40" i="1" s="1"/>
  <c r="E39" i="1" a="1"/>
  <c r="E39" i="1" s="1"/>
  <c r="D39" i="1" a="1"/>
  <c r="D39" i="1" s="1"/>
  <c r="E38" i="1" a="1"/>
  <c r="E38" i="1" s="1"/>
  <c r="D38" i="1" a="1"/>
  <c r="D38" i="1" s="1"/>
  <c r="E37" i="1" a="1"/>
  <c r="E37" i="1" s="1"/>
  <c r="D37" i="1" a="1"/>
  <c r="D37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F14" i="1" a="1"/>
  <c r="F14" i="1" s="1"/>
  <c r="E14" i="1" a="1"/>
  <c r="E14" i="1" s="1"/>
  <c r="D14" i="1" a="1"/>
  <c r="D14" i="1" s="1"/>
  <c r="F13" i="1" a="1"/>
  <c r="F13" i="1" s="1"/>
  <c r="E13" i="1" a="1"/>
  <c r="E13" i="1" s="1"/>
  <c r="D13" i="1" a="1"/>
  <c r="D13" i="1" s="1"/>
  <c r="F12" i="1" a="1"/>
  <c r="F12" i="1" s="1"/>
  <c r="E12" i="1" a="1"/>
  <c r="E12" i="1" s="1"/>
  <c r="D12" i="1" a="1"/>
  <c r="D12" i="1" s="1"/>
  <c r="F11" i="1" a="1"/>
  <c r="F11" i="1" s="1"/>
  <c r="E11" i="1" a="1"/>
  <c r="E11" i="1" s="1"/>
  <c r="D11" i="1" a="1"/>
  <c r="D11" i="1" s="1"/>
  <c r="F10" i="1" a="1"/>
  <c r="F10" i="1" s="1"/>
  <c r="E10" i="1" a="1"/>
  <c r="E10" i="1" s="1"/>
  <c r="D10" i="1" a="1"/>
  <c r="D10" i="1" s="1"/>
  <c r="F9" i="1" a="1"/>
  <c r="F9" i="1" s="1"/>
  <c r="E9" i="1" a="1"/>
  <c r="E9" i="1" s="1"/>
  <c r="D9" i="1" a="1"/>
  <c r="D9" i="1" s="1"/>
  <c r="F8" i="1" a="1"/>
  <c r="F8" i="1" s="1"/>
  <c r="E8" i="1" a="1"/>
  <c r="E8" i="1" s="1"/>
  <c r="D8" i="1" a="1"/>
  <c r="D8" i="1" s="1"/>
  <c r="F7" i="1" a="1"/>
  <c r="F7" i="1" s="1"/>
  <c r="E7" i="1" a="1"/>
  <c r="E7" i="1" s="1"/>
  <c r="D7" i="1" a="1"/>
  <c r="D7" i="1" s="1"/>
  <c r="D83" i="1" a="1"/>
  <c r="D83" i="1" s="1"/>
  <c r="D82" i="1" a="1"/>
  <c r="D82" i="1" s="1"/>
  <c r="D81" i="1" a="1"/>
  <c r="D81" i="1" s="1"/>
  <c r="D107" i="1" a="1"/>
  <c r="D107" i="1" s="1"/>
  <c r="D106" i="1" a="1"/>
  <c r="D106" i="1" s="1"/>
  <c r="D105" i="1" a="1"/>
  <c r="D105" i="1" s="1"/>
  <c r="D116" i="1" a="1"/>
  <c r="D116" i="1" s="1"/>
  <c r="D115" i="1" a="1"/>
  <c r="D115" i="1" s="1"/>
  <c r="D117" i="1" a="1"/>
  <c r="D117" i="1" s="1"/>
  <c r="D124" i="1" a="1"/>
  <c r="D124" i="1" s="1"/>
  <c r="D125" i="1" a="1"/>
  <c r="D125" i="1" s="1"/>
  <c r="D140" i="1" a="1"/>
  <c r="D140" i="1" s="1"/>
  <c r="D139" i="1" a="1"/>
  <c r="D139" i="1" s="1"/>
  <c r="D59" i="1" a="1"/>
  <c r="D59" i="1" s="1"/>
  <c r="D58" i="1" a="1"/>
  <c r="D58" i="1" s="1"/>
  <c r="D57" i="1" a="1"/>
  <c r="D57" i="1" s="1"/>
  <c r="D5" i="1" a="1"/>
  <c r="D5" i="1" s="1"/>
  <c r="D98" i="1" a="1"/>
  <c r="D98" i="1" s="1"/>
  <c r="D46" i="1" a="1"/>
  <c r="D46" i="1" s="1"/>
  <c r="D45" i="1" a="1"/>
  <c r="D45" i="1" s="1"/>
  <c r="D35" i="1" a="1"/>
  <c r="D35" i="1" s="1"/>
  <c r="D34" i="1" a="1"/>
  <c r="D34" i="1" s="1"/>
  <c r="D19" i="1" a="1"/>
  <c r="D19" i="1" s="1"/>
  <c r="D18" i="1" a="1"/>
  <c r="D18" i="1" s="1"/>
  <c r="H48" i="1" l="1"/>
  <c r="H53" i="1"/>
  <c r="H49" i="1"/>
  <c r="H52" i="1"/>
  <c r="H51" i="1"/>
  <c r="H54" i="1"/>
  <c r="H5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<sst xmlns="http://schemas.openxmlformats.org/spreadsheetml/2006/main" count="44" uniqueCount="39">
  <si>
    <t>Climate zone</t>
  </si>
  <si>
    <t>State/Territory</t>
  </si>
  <si>
    <t>Common Name</t>
  </si>
  <si>
    <t>Abbreviation</t>
  </si>
  <si>
    <t>SA 4 Name</t>
  </si>
  <si>
    <t>Gas</t>
  </si>
  <si>
    <t>CO2-e factor</t>
  </si>
  <si>
    <t>Conversion factor</t>
  </si>
  <si>
    <t>Conversion factor 1</t>
  </si>
  <si>
    <t>Conversion factor 2</t>
  </si>
  <si>
    <t>Conversion factor combined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</si>
  <si>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</si>
  <si>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</si>
  <si>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</si>
  <si>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</si>
  <si>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</si>
  <si>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</si>
  <si>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</si>
  <si>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</si>
  <si>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</si>
  <si>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</si>
  <si>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</si>
  <si>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</si>
  <si>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</si>
  <si>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</si>
  <si>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</si>
  <si>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</si>
  <si>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</si>
  <si>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Min MAT</t>
  </si>
  <si>
    <t>Max MAT</t>
  </si>
  <si>
    <t>Rainfall Zone</t>
  </si>
  <si>
    <t>Annual rainfall</t>
  </si>
  <si>
    <t>Leaching Zone</t>
  </si>
  <si>
    <t>Leaching criteria</t>
  </si>
  <si>
    <t>Data source</t>
  </si>
  <si>
    <t>Data score</t>
  </si>
  <si>
    <t>Constants - Common</t>
  </si>
  <si>
    <t>Is in leaching zone</t>
  </si>
  <si>
    <t>FracWET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</si>
</sst>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#,##0.000"/>
    <numFmt numFmtId="166" formatCode="d/mm/yyyy;@"/>
    <numFmt numFmtId="168" formatCode="[$-C09]dd\-mmmm\-yyyy;@"/>
    <numFmt numFmtId="169" formatCode="#,##0.000000"/>
  </numFmts>
  <fonts count="33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sz val="9"/>
      <color theme="1" tint="0.249977111117893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sz val="12"/>
      <color rgb="FF0070C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</borders>
  <cellStyleXfs count="59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6" fillId="3" borderId="0">
      <alignment vertical="center"/>
    </xf>
    <xf numFmtId="0" fontId="24" fillId="4" borderId="0">
      <alignment horizontal="left" vertical="center"/>
    </xf>
    <xf numFmtId="0" fontId="29" fillId="4" borderId="0">
      <alignment vertical="center"/>
    </xf>
    <xf numFmtId="0" fontId="3" fillId="4" borderId="0">
      <alignment horizontal="left" vertical="center"/>
    </xf>
    <xf numFmtId="0" fontId="27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0" fontId="2" fillId="0" borderId="1">
      <alignment horizontal="center" vertical="center"/>
    </xf>
    <xf numFmtId="0" fontId="3" fillId="11" borderId="1">
      <alignment horizontal="center" vertical="center"/>
    </xf>
    <xf numFmtId="9" fontId="2" fillId="0" borderId="1">
      <alignment horizontal="center" vertical="center"/>
    </xf>
    <xf numFmtId="4" fontId="2" fillId="0" borderId="1">
      <alignment horizontal="center" vertical="center"/>
    </xf>
    <xf numFmtId="3" fontId="2" fillId="0" borderId="1">
      <alignment horizontal="center" vertical="center"/>
    </xf>
    <xf numFmtId="0" fontId="13" fillId="0" borderId="1">
      <alignment horizontal="center" vertical="center"/>
    </xf>
    <xf numFmtId="0" fontId="14" fillId="0" borderId="1">
      <alignment horizontal="center" vertical="center"/>
    </xf>
    <xf numFmtId="9" fontId="13" fillId="0" borderId="1">
      <alignment horizontal="center" vertical="center"/>
    </xf>
    <xf numFmtId="165" fontId="13" fillId="0" borderId="1">
      <alignment horizontal="center" vertical="center"/>
    </xf>
    <xf numFmtId="3" fontId="13" fillId="0" borderId="1">
      <alignment horizontal="center" vertical="center"/>
    </xf>
    <xf numFmtId="0" fontId="15" fillId="4" borderId="0">
      <alignment horizontal="left" vertical="center"/>
    </xf>
    <xf numFmtId="0" fontId="6" fillId="4" borderId="2">
      <alignment horizontal="left" vertical="center" indent="1"/>
    </xf>
    <xf numFmtId="164" fontId="8" fillId="4" borderId="2">
      <alignment horizontal="center" vertical="center"/>
    </xf>
    <xf numFmtId="0" fontId="3" fillId="4" borderId="2">
      <alignment horizontal="left" vertical="center"/>
    </xf>
    <xf numFmtId="0" fontId="12" fillId="6" borderId="0">
      <alignment horizontal="left" vertical="center" indent="1"/>
    </xf>
    <xf numFmtId="0" fontId="12" fillId="6" borderId="0">
      <alignment horizontal="center" vertical="center"/>
      <protection locked="0"/>
    </xf>
    <xf numFmtId="0" fontId="11" fillId="4" borderId="0">
      <alignment vertical="center"/>
    </xf>
    <xf numFmtId="0" fontId="16" fillId="7" borderId="0">
      <alignment vertical="center"/>
    </xf>
    <xf numFmtId="0" fontId="10" fillId="0" borderId="0"/>
    <xf numFmtId="0" fontId="2" fillId="0" borderId="0">
      <alignment horizontal="left" vertical="center" indent="1"/>
    </xf>
    <xf numFmtId="0" fontId="17" fillId="9" borderId="3">
      <alignment horizontal="left" vertical="center" indent="1"/>
    </xf>
    <xf numFmtId="0" fontId="18" fillId="10" borderId="0">
      <alignment horizontal="left" vertical="center" indent="1"/>
    </xf>
    <xf numFmtId="0" fontId="18" fillId="5" borderId="0">
      <alignment horizontal="left" vertical="center" indent="1"/>
    </xf>
    <xf numFmtId="0" fontId="18" fillId="8" borderId="0">
      <alignment horizontal="left" vertical="center" indent="1"/>
    </xf>
    <xf numFmtId="0" fontId="20" fillId="0" borderId="0">
      <alignment horizontal="left" vertical="center" indent="2"/>
    </xf>
    <xf numFmtId="0" fontId="30" fillId="12" borderId="4">
      <alignment horizontal="left" vertical="center"/>
    </xf>
    <xf numFmtId="3" fontId="22" fillId="4" borderId="1">
      <alignment horizontal="center" vertical="center"/>
    </xf>
    <xf numFmtId="168" fontId="2" fillId="0" borderId="1">
      <alignment horizontal="center" vertical="center"/>
    </xf>
    <xf numFmtId="0" fontId="23" fillId="0" borderId="0"/>
    <xf numFmtId="0" fontId="9" fillId="0" borderId="0"/>
    <xf numFmtId="0" fontId="23" fillId="0" borderId="0"/>
    <xf numFmtId="166" fontId="22" fillId="4" borderId="1">
      <alignment horizontal="center" vertical="center"/>
    </xf>
    <xf numFmtId="4" fontId="22" fillId="4" borderId="1">
      <alignment horizontal="center" vertical="center"/>
    </xf>
    <xf numFmtId="0" fontId="26" fillId="4" borderId="0">
      <alignment horizontal="left" vertical="center"/>
    </xf>
    <xf numFmtId="0" fontId="25" fillId="4" borderId="0" applyNumberFormat="0">
      <alignment horizontal="center" vertical="center"/>
    </xf>
    <xf numFmtId="165" fontId="22" fillId="4" borderId="1">
      <alignment horizontal="center" vertical="center"/>
    </xf>
    <xf numFmtId="0" fontId="21" fillId="4" borderId="0">
      <alignment horizontal="left" vertical="center"/>
    </xf>
    <xf numFmtId="169" fontId="22" fillId="4" borderId="1">
      <alignment horizontal="center" vertical="center"/>
    </xf>
    <xf numFmtId="0" fontId="22" fillId="4" borderId="1">
      <alignment horizontal="center" vertical="center"/>
    </xf>
    <xf numFmtId="0" fontId="6" fillId="4" borderId="0">
      <alignment horizontal="left" vertical="center"/>
    </xf>
    <xf numFmtId="0" fontId="28" fillId="4" borderId="0">
      <alignment horizontal="left" vertical="center"/>
    </xf>
    <xf numFmtId="0" fontId="9" fillId="0" borderId="0"/>
    <xf numFmtId="0" fontId="2" fillId="0" borderId="1">
      <alignment horizontal="center" vertical="center"/>
    </xf>
    <xf numFmtId="0" fontId="31" fillId="4" borderId="0">
      <alignment horizontal="left" vertical="center"/>
    </xf>
    <xf numFmtId="0" fontId="32" fillId="4" borderId="0">
      <alignment horizontal="left" vertical="center"/>
    </xf>
  </cellStyleXfs>
  <cellXfs count="14">
    <xf numFmtId="0" fontId="0" fillId="0" borderId="0" xfId="0"/>
    <xf numFmtId="0" fontId="27" fillId="4" borderId="0" xfId="8">
      <alignment horizontal="left" vertical="center"/>
    </xf>
    <xf numFmtId="0" fontId="3" fillId="4" borderId="0" xfId="7">
      <alignment horizontal="left" vertical="center"/>
    </xf>
    <xf numFmtId="0" fontId="16" fillId="3" borderId="0" xfId="4">
      <alignment vertical="center"/>
    </xf>
    <xf numFmtId="0" fontId="29" fillId="4" borderId="0" xfId="6">
      <alignment vertical="center"/>
    </xf>
    <xf numFmtId="0" fontId="24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16" fillId="0" borderId="0" xfId="4" applyFill="1">
      <alignment vertical="center"/>
    </xf>
    <xf numFmtId="0" fontId="0" fillId="4" borderId="0" xfId="0" applyFill="1"/>
    <xf numFmtId="0" fontId="0" fillId="0" borderId="0" xfId="8" applyFont="1" applyFill="1">
      <alignment horizontal="left" vertical="center"/>
    </xf>
    <xf numFmtId="0" fontId="6" fillId="4" borderId="0" xfId="53">
      <alignment horizontal="left" vertical="center"/>
    </xf>
    <xf numFmtId="0" fontId="28" fillId="4" borderId="0" xfId="54">
      <alignment horizontal="left" vertical="center"/>
    </xf>
  </cellXfs>
  <cellStyles count="59">
    <cellStyle name="Block heading" xfId="5" xr:uid="{74527274-3B4A-494A-B37C-EA50686E114C}"/>
    <cellStyle name="Block subheading" xfId="47" xr:uid="{34E62905-A3E0-4883-B81A-BDB58FC88DA7}"/>
    <cellStyle name="Code" xfId="24" xr:uid="{99B3520F-01DD-4F8E-A8D0-24EAA04E90EB}"/>
    <cellStyle name="Content bold" xfId="7" xr:uid="{468A1381-682E-4BF1-945B-DF2E2BCA4419}"/>
    <cellStyle name="Content bold total" xfId="27" xr:uid="{17159E75-EF9F-42B8-8195-E83583796F67}"/>
    <cellStyle name="Content hidden" xfId="50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Information tip" xfId="39" xr:uid="{7D200D09-32E3-4546-9822-1B93AD118A74}"/>
    <cellStyle name="Information variation" xfId="54" xr:uid="{205494A3-14DD-4E6A-BDD3-5C5A864D6FA7}"/>
    <cellStyle name="Input block subheading" xfId="30" xr:uid="{A9FEBDB0-0992-4E30-96E5-9F9CAE92E3FB}"/>
    <cellStyle name="Input date" xfId="41" xr:uid="{A1D72D5E-DCF3-445F-8FC0-A147E105D774}"/>
    <cellStyle name="Input date calculated" xfId="45" xr:uid="{5A42AD0E-F665-46A9-9757-6B6A4BE7013E}"/>
    <cellStyle name="Input number 2 decimal places" xfId="17" xr:uid="{F9671E40-5700-4055-A6D2-272CF9DB620E}"/>
    <cellStyle name="Input number 2 decimal places calculated" xfId="46" xr:uid="{C04BA53C-14E1-48A5-99A3-C9FD44741A2A}"/>
    <cellStyle name="Input number 3 decimal places calculated" xfId="49" xr:uid="{637E6039-0A01-48EF-8C15-C29A497EF449}"/>
    <cellStyle name="Input number 3 decimal places disabled" xfId="22" xr:uid="{6B1B6177-B1C0-4190-858F-6E4C823402C3}"/>
    <cellStyle name="Input number 6 decimal places calculated" xfId="51" xr:uid="{CE70A7A2-3CEE-4689-8FF6-8EB6FCE0A94C}"/>
    <cellStyle name="Input number general" xfId="56" xr:uid="{D8583F7D-F13A-4EA8-BAA6-B42739FDBDDB}"/>
    <cellStyle name="Input number general calculated" xfId="52" xr:uid="{34755FEB-6E4E-4BD7-A478-DF7299A7A914}"/>
    <cellStyle name="Input number no decimals" xfId="18" xr:uid="{B33B4FB5-F3F4-4036-B2DD-663B694E2A90}"/>
    <cellStyle name="Input number no decimals calculated" xfId="40" xr:uid="{5A48F48F-03B2-410E-887B-2A9297006BAF}"/>
    <cellStyle name="Input number no decimals disabled" xfId="23" xr:uid="{7ABDCB2D-7703-4392-9553-5620789B1E19}"/>
    <cellStyle name="Input number percent disabled" xfId="21" xr:uid="{D0E8B42E-13A8-477C-99CB-5FF73C5BBAA4}"/>
    <cellStyle name="Input page heading" xfId="32" xr:uid="{74FB9B3B-4B5B-4B7F-A54C-22E0724783C8}"/>
    <cellStyle name="Input page section heading" xfId="31" xr:uid="{1A05B367-BE5D-4E2B-9831-A28D5CFAC8EC}"/>
    <cellStyle name="Input percent" xfId="16" xr:uid="{923E56A7-7902-46CD-9AA8-0D69F2E1ECA1}"/>
    <cellStyle name="Input select" xfId="15" xr:uid="{3CF2E653-7F22-4996-ABB9-95CA16698B1F}"/>
    <cellStyle name="Input select disabled" xfId="20" xr:uid="{5CE680CC-504C-444D-8337-CF97D9BB5A78}"/>
    <cellStyle name="Input table column header" xfId="29" xr:uid="{EF98B018-1246-451D-91C2-97FCD443EDC9}"/>
    <cellStyle name="Input table header" xfId="28" xr:uid="{04872377-9FDD-4D5A-91FC-B9D8DA1E8E91}"/>
    <cellStyle name="Input text" xfId="14" xr:uid="{4C71A4C5-ADD8-4A09-A7FE-940DA96821F6}"/>
    <cellStyle name="Input text calculated" xfId="48" xr:uid="{43DCF082-1F0D-4E07-9785-CAF41B37CFCC}"/>
    <cellStyle name="Input text disabled" xfId="19" xr:uid="{79E76B35-E5FF-43A1-B0D0-016F346F8B97}"/>
    <cellStyle name="Menu link child" xfId="38" xr:uid="{609090D3-DE1E-48FE-A8AA-233CE9B146E0}"/>
    <cellStyle name="Menu link default" xfId="33" xr:uid="{11B84453-1DD4-492A-B241-FE6AD4CB25FA}"/>
    <cellStyle name="Menu link selected" xfId="35" xr:uid="{B16EBA6F-62C4-483F-8E15-B20D06ABF61F}"/>
    <cellStyle name="Menu link selected equations" xfId="37" xr:uid="{7AFCC545-C221-4BAC-933E-19109D0FB654}"/>
    <cellStyle name="Menu link selected input" xfId="36" xr:uid="{17D327F4-9149-4DAC-85BB-811698090830}"/>
    <cellStyle name="Menu section title" xfId="34" xr:uid="{E2117B15-AE58-4F76-B13B-671D455A4107}"/>
    <cellStyle name="Normal" xfId="0" builtinId="0"/>
    <cellStyle name="Normal 2" xfId="55" xr:uid="{FE64FEFB-54C6-42B4-AA7F-D49670F5ED19}"/>
    <cellStyle name="Normal 2 2" xfId="44" xr:uid="{B8803ACE-513D-4EEF-BBE0-0BB76AE7D7F4}"/>
    <cellStyle name="Normal 4" xfId="42" xr:uid="{99CD1B63-5040-4067-BBD7-470030C57E5D}"/>
    <cellStyle name="Normal 5" xfId="43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6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Table description" xfId="58" xr:uid="{8BD2F353-2E3C-42FF-89E9-616E85DC18C5}"/>
    <cellStyle name="Table name" xfId="57" xr:uid="{D56F17A4-9740-44B6-BDDB-150E2C950B8B}"/>
    <cellStyle name="Unit" xfId="12" xr:uid="{90B9E191-F5E0-43AB-A245-D6CA23D4ADFC}"/>
    <cellStyle name="Unit no indent" xfId="53" xr:uid="{2829D020-DAD8-4B7D-9262-450720E27D2B}"/>
    <cellStyle name="Unit total" xfId="25" xr:uid="{65428923-3DAD-47B6-8DDF-0EBD05E7C55B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28"/>
      <tableStyleElement type="headerRow" dxfId="27"/>
      <tableStyleElement type="totalRow" dxfId="26"/>
      <tableStyleElement type="firstColumn" dxfId="25"/>
      <tableStyleElement type="firstRowStripe" dxfId="24"/>
      <tableStyleElement type="secondRowStripe" dxfId="23"/>
    </tableStyle>
    <tableStyle name="Equation table" pivot="0" count="6" xr9:uid="{B247698E-E41D-4CCD-AA0A-C14817E9DE65}">
      <tableStyleElement type="wholeTable" dxfId="22"/>
      <tableStyleElement type="headerRow" dxfId="21"/>
      <tableStyleElement type="totalRow" dxfId="20"/>
      <tableStyleElement type="firstColumn" dxfId="19"/>
      <tableStyleElement type="firstRowStripe" dxfId="18"/>
      <tableStyleElement type="secondRowStripe" dxfId="17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4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0906749-7FC7-47DE-82F6-F796C446301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AEDF0F21-30D6-4DC6-90D9-B28878486711}" name="State/Territory">
      <calculatedColumnFormula array="1">InputFunctions_Utilities.Utility_DisplayArrayInTable(SourceData_Common.SourceData_Common_AustralianStatesTerritories_Data(),Table_AustralianStates[[#Headers],[State/Territory]],0)</calculatedColumnFormula>
    </tableColumn>
    <tableColumn id="2" xr3:uid="{46746E17-67FE-4DE2-A5E2-E900B123DBAA}" name="Common Name">
      <calculatedColumnFormula array="1">InputFunctions_Utilities.Utility_DisplayArrayInTable(SourceData_Common.SourceData_Common_AustralianStatesTerritories_Data(),Table_AustralianStates[[#Headers],[State/Territory]],0)</calculatedColumnFormula>
    </tableColumn>
    <tableColumn id="3" xr3:uid="{5C5F8341-C8D2-41BE-B1BD-34A42E441B01}" name="Abbreviation">
      <calculatedColumnFormula array="1">InputFunctions_Utilities.Utility_DisplayArrayInTable(SourceData_Common.SourceData_Common_AustralianStatesTerritories_Data(),Table_AustralianStates[[#Headers],[State/Territory]],0)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FA81339-C6C8-4D36-BEEA-6C4AEDD9E676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BA0BFB2C-353C-4FA0-A43A-0C86271AC72D}" name="SA 4 Name">
      <calculatedColumnFormula array="1">InputFunctions_Utilities.Utility_DisplayArrayInTable(SourceData_Common.SourceData_Common_WASA4Areas_Data(),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8E87A66-3E41-4AD3-925D-01EE21B43D7A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D3EC5F11-79A1-4A25-8E52-628D1910D761}" name="Gas">
      <calculatedColumnFormula array="1">InputFunctions_Utilities.Utility_DisplayArrayInTable(SourceData_Common.SourceData_Common_GWP_Data(), Table_GWPData[[#Headers],[Gas]], 0)</calculatedColumnFormula>
    </tableColumn>
    <tableColumn id="2" xr3:uid="{7C22FC98-4FBA-41C9-A44A-5811DB9E3402}" name="CO2-e factor">
      <calculatedColumnFormula array="1">InputFunctions_Utilities.Utility_DisplayArrayInTable(SourceData_Common.SourceData_Common_GWP_Data(), Table_GWPData[[#Headers],[Gas]],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1F562BB-DAA6-45BB-951A-7BAFA5B64B45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D533D11-7BC1-47AF-9AAC-8EC81432FA5B}" name="Gas">
      <calculatedColumnFormula array="1">InputFunctions_Utilities.Utility_DisplayArrayInTable(SourceData_Common.SourceData_Common_ConvertGasElementalToMolecular_Data(),Table_GasToMolecularConversionFactor[[#Headers],[Gas]], 0)</calculatedColumnFormula>
    </tableColumn>
    <tableColumn id="5" xr3:uid="{547883D7-1288-4839-9925-11EC372CE88D}" name="Conversion factor">
      <calculatedColumnFormula array="1">InputFunctions_Utilities.Utility_DisplayArrayInTable(SourceData_Common.SourceData_Common_ConvertGasElementalToMolecular_Data(),Table_GasToMolecularConversionFactor[[#Headers],[Gas]], 0)</calculatedColumnFormula>
    </tableColumn>
    <tableColumn id="2" xr3:uid="{F4A922C9-B30F-4AB7-9D59-89F81921D5E7}" name="Conversion factor 1">
      <calculatedColumnFormula array="1">InputFunctions_Utilities.Utility_DisplayArrayInTable(SourceData_Common.SourceData_Common_ConvertGasElementalToMolecular_Data(),Table_GasToMolecularConversionFactor[[#Headers],[Gas]], 0)</calculatedColumnFormula>
    </tableColumn>
    <tableColumn id="3" xr3:uid="{B9BE2574-25AA-4F1B-AF93-4C5D0D5D9DB8}" name="Conversion factor 2">
      <calculatedColumnFormula array="1">InputFunctions_Utilities.Utility_DisplayArrayInTable(SourceData_Common.SourceData_Common_ConvertGasElementalToMolecular_Data(),Table_GasToMolecularConversionFactor[[#Headers],[Gas]], 0)</calculatedColumnFormula>
    </tableColumn>
    <tableColumn id="4" xr3:uid="{052E6F6E-0B83-44BB-8210-F23D2612CABD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A437AE9-7724-4CF2-ACCF-291078682FB9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C53732C-A9F9-48AD-A3CB-B4760097606E}" name="Climate zone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2" xr3:uid="{AD0DEE0C-10DC-47BF-872F-7DE7910DB3B7}" name="MAT" totalsRowDxfId="16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3" xr3:uid="{F5413B88-DBB1-4866-917E-9175D1ABD29E}" name="MAP" totalsRowDxfId="15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4" xr3:uid="{51AA9590-F173-4D3B-9691-BEB628B2816C}" name="Frost days per year" totalsRowDxfId="14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5" xr3:uid="{B8CB7CAF-BA1F-405C-A3B9-7EE8AC22A7AC}" name="Elevation" totalsRowDxfId="13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6" xr3:uid="{638398A3-9C3E-4C73-8D73-A0F308FE488E}" name="MAP:PET" totalsRowDxfId="12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7" xr3:uid="{05CE54D0-9014-4670-99F1-E324A16D94DE}" name="Min temp" totalsRowDxfId="11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8" xr3:uid="{2CB0184B-3F70-4F6A-95F6-6F2E9492F09A}" name="Max temp" totalsRowDxfId="10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9" xr3:uid="{7F3184EE-4EC3-458E-AAFB-DB279F02C494}" name="Min rainfall" totalsRowDxfId="9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0" xr3:uid="{2466BB77-E1A0-4018-A3CF-2C0CC0466491}" name="Max rainfall" totalsRowDxfId="8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1" xr3:uid="{0F0EFB18-D235-42F9-8CFF-00C67495994A}" name="Min frost days" totalsRowDxfId="7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5" xr3:uid="{44DE5C86-B4DC-4280-82BA-D5DC51D3D97F}" name="Max frost days" totalsRowDxfId="6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2" xr3:uid="{C682AF37-CAEC-4E35-81E8-C6AB50735245}" name="Min elevation" totalsRowDxfId="5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6" xr3:uid="{3B35E945-FFA7-4785-B1EB-DE4BD0488436}" name="Max elevation" totalsRowDxfId="4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3" xr3:uid="{5999F275-917F-4A04-98ED-E40FD63B6DB6}" name="Min MAP:PET" totalsRowDxfId="3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  <tableColumn id="17" xr3:uid="{94F10080-9531-4F63-AD9E-ED0BE040D333}" name="Max MAP:PET" totalsRowDxfId="2" totalsRowCellStyle="Content bold">
      <calculatedColumnFormula array="1">InputFunctions_Utilities.Utility_DisplayArrayInTable(SourceData_Common.SourceData_Common_ClimateZones_Data(),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97E019-B21E-4B76-BCC8-D02D497BCFA9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730A065-413F-4034-BFED-94FC80ACEF7C}" name="Climate zone" totalsRowCellStyle="Content bold">
      <calculatedColumnFormula array="1">InputFunctions_Utilities.Utility_DisplayArrayInTable(SourceData_Common.SourceData_Common_WetAndDryZones_Data(), Table_SourceData_WetDryZones[[#Headers],[Climate zone]], 0)</calculatedColumnFormula>
    </tableColumn>
    <tableColumn id="2" xr3:uid="{15428E11-9167-40B3-A71A-9D0BF558F1BE}" name="Wet or Dry Zone" totalsRowDxfId="1" totalsRowCellStyle="Content bold">
      <calculatedColumnFormula array="1">InputFunctions_Utilities.Utility_DisplayArrayInTable(SourceData_Common.SourceData_Common_WetAndDryZones_Data(),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B16FEAB-AB03-45E1-BBD4-66D29CD412DF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96C3C322-2156-4255-AAB2-50D379E8314F}" name="Temperature Zone">
      <calculatedColumnFormula array="1">InputFunctions_Utilities.Utility_DisplayArrayInTable(SourceData_Common.SourceData_Common_TemperatureZones_Data(),Table_SourceData_TemperatureZones[[#Headers],[Temperature Zone]],0)</calculatedColumnFormula>
    </tableColumn>
    <tableColumn id="2" xr3:uid="{439934D3-101E-4FFD-B79E-1CF004533D9F}" name="MAT">
      <calculatedColumnFormula array="1">InputFunctions_Utilities.Utility_DisplayArrayInTable(SourceData_Common.SourceData_Common_TemperatureZones_Data(),Table_SourceData_TemperatureZones[[#Headers],[Temperature Zone]],0)</calculatedColumnFormula>
    </tableColumn>
    <tableColumn id="3" xr3:uid="{B9C6925C-8859-447A-9033-026808DCCFDE}" name="Min MAT">
      <calculatedColumnFormula array="1">InputFunctions_Utilities.Utility_DisplayArrayInTable(SourceData_Common.SourceData_Common_TemperatureZones_Data(),Table_SourceData_TemperatureZones[[#Headers],[Temperature Zone]],0)</calculatedColumnFormula>
    </tableColumn>
    <tableColumn id="4" xr3:uid="{A71D2833-8D0B-4018-ADB5-A980B546381D}" name="Max MAT">
      <calculatedColumnFormula array="1">InputFunctions_Utilities.Utility_DisplayArrayInTable(SourceData_Common.SourceData_Common_TemperatureZones_Data(),Table_SourceData_TemperatureZones[[#Headers],[Temperature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08772F3-2E8C-40A8-B755-08A5BBDF4130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8D528D96-99E0-4B73-862C-72B864EE99DC}" name="Rainfall Zone">
      <calculatedColumnFormula array="1">InputFunctions_Utilities.Utility_DisplayArrayInTable(SourceData_Common.SourceData_Common_RainfallZones_Data(),Table_SourceData_RainfallZones[[#Headers],[Rainfall Zone]],0)</calculatedColumnFormula>
    </tableColumn>
    <tableColumn id="2" xr3:uid="{4CBBC8D3-E963-45E4-9BC9-FC10B677B877}" name="Annual rainfall">
      <calculatedColumnFormula array="1">InputFunctions_Utilities.Utility_DisplayArrayInTable(SourceData_Common.SourceData_Common_RainfallZones_Data(),Table_SourceData_RainfallZones[[#Headers],[Rainfall Zone]],0)</calculatedColumnFormula>
    </tableColumn>
    <tableColumn id="3" xr3:uid="{956E7C3A-DE83-4483-B43E-C6D4A7BC4BC1}" name="Min rainfall">
      <calculatedColumnFormula array="1">InputFunctions_Utilities.Utility_DisplayArrayInTable(SourceData_Common.SourceData_Common_RainfallZones_Data(),Table_SourceData_RainfallZones[[#Headers],[Rainfall Zone]],0)</calculatedColumnFormula>
    </tableColumn>
    <tableColumn id="4" xr3:uid="{5797AA9E-22BA-4D6A-A09F-C98233F711CE}" name="Max rainfall">
      <calculatedColumnFormula array="1">InputFunctions_Utilities.Utility_DisplayArrayInTable(SourceData_Common.SourceData_Common_RainfallZones_Data(),Table_SourceData_RainfallZones[[#Headers],[Rainfall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159E140-02ED-4547-B6E1-6695D8B16A11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848865A1-4E92-40ED-B0C2-5BFD4E72D24A}" name="Leaching Zone">
      <calculatedColumnFormula array="1">InputFunctions_Utilities.Utility_DisplayArrayInTable(SourceData_Common.SourceData_Common_LeachingZones_Data(), Table_SourceData_LeachingZones[[#Headers],[Leaching Zone]], 0)</calculatedColumnFormula>
    </tableColumn>
    <tableColumn id="2" xr3:uid="{549D2E4C-1B28-48F1-94DE-5374E4E37B32}" name="Leaching criteria">
      <calculatedColumnFormula array="1">InputFunctions_Utilities.Utility_DisplayArrayInTable(SourceData_Common.SourceData_Common_LeachingZones_Data(),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33D42B0-F6D2-470A-858A-37E6A7F5EC2B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A9DA4FD2-DEF5-4DC6-9632-12EB6948FD08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E2DE90A7-DD83-4933-A185-E076F73E3141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308E99BE-FE1F-47A4-B2CA-97217277C4E9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EE610985-3845-4DCC-B7C5-D8A476C71C3D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01250727-4553-4905-AA33-A18CFA70E7C7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3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EF23-0CE2-4D86-AA37-C6D78B995C56}">
  <sheetPr codeName="Sheet2"/>
  <dimension ref="A1:BX179"/>
  <sheetViews>
    <sheetView showGridLines="0" tabSelected="1" zoomScale="85" zoomScaleNormal="85" workbookViewId="0">
      <selection activeCell="N16" sqref="N16"/>
    </sheetView>
  </sheetViews>
  <sheetFormatPr defaultColWidth="9.140625" defaultRowHeight="15.75" x14ac:dyDescent="0.25"/>
  <cols>
    <col min="1" max="1" width="30.7109375" style="6" customWidth="1"/>
    <col min="2" max="2" width="2.7109375" style="6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6" customWidth="1"/>
    <col min="33" max="38" width="21.85546875" style="6" customWidth="1"/>
    <col min="39" max="43" width="20.7109375" style="6" customWidth="1"/>
    <col min="44" max="64" width="9.140625" style="6"/>
    <col min="65" max="16384" width="9.140625" style="2"/>
  </cols>
  <sheetData>
    <row r="1" spans="1:64" s="7" customFormat="1" ht="30" customHeight="1" x14ac:dyDescent="0.35">
      <c r="A1" s="7" t="e" vm="1">
        <v>#VALUE!</v>
      </c>
      <c r="C1" s="7" t="s">
        <v>36</v>
      </c>
    </row>
    <row r="2" spans="1:64" s="8" customFormat="1" ht="20.100000000000001" customHeight="1" x14ac:dyDescent="0.25"/>
    <row r="3" spans="1:64" ht="20.100000000000001" customHeight="1" x14ac:dyDescent="0.25">
      <c r="A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"/>
      <c r="V3" s="9"/>
    </row>
    <row r="4" spans="1:64" ht="20.100000000000001" customHeight="1" x14ac:dyDescent="0.25">
      <c r="A4"/>
      <c r="BL4" s="2"/>
    </row>
    <row r="5" spans="1:64" ht="20.100000000000001" customHeight="1" x14ac:dyDescent="0.25">
      <c r="A5"/>
      <c r="D5" s="5" t="str" cm="1">
        <f t="array" ref="D5">Common_SourceData.Common_SourceData_AustralianStatesTerritories_Title()</f>
        <v>Australian states and territories</v>
      </c>
      <c r="BL5" s="2"/>
    </row>
    <row r="6" spans="1:64" ht="20.100000000000001" customHeight="1" x14ac:dyDescent="0.25">
      <c r="A6"/>
      <c r="D6" s="11" t="s">
        <v>1</v>
      </c>
      <c r="E6" s="11" t="s">
        <v>2</v>
      </c>
      <c r="F6" s="11" t="s">
        <v>3</v>
      </c>
    </row>
    <row r="7" spans="1:64" ht="20.100000000000001" customHeight="1" x14ac:dyDescent="0.25">
      <c r="A7"/>
      <c r="D7" s="11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11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11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11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11" t="str" cm="1">
        <f t="array" ref="E8">Common_InputFunctions.Utility_DisplayArrayInTable(Common_SourceData.Common_SourceData_AustralianStatesTerritories_Data(),Table_AustralianStates[[#Headers],[State/Territory]],0)</f>
        <v>ACT</v>
      </c>
      <c r="F8" s="11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11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11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11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11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11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11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11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11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11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2"/>
    </row>
    <row r="12" spans="1:64" ht="20.100000000000001" customHeight="1" x14ac:dyDescent="0.25">
      <c r="A12"/>
      <c r="D12" s="11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11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11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2"/>
    </row>
    <row r="13" spans="1:64" ht="20.100000000000001" customHeight="1" x14ac:dyDescent="0.25">
      <c r="A13"/>
      <c r="D13" s="11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11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11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11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11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11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5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4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11" t="s">
        <v>4</v>
      </c>
    </row>
    <row r="21" spans="1:4" ht="20.100000000000001" customHeight="1" x14ac:dyDescent="0.25">
      <c r="A21"/>
      <c r="D21" s="11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11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11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11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11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11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11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11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11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11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5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4" t="str" cm="1">
        <f t="array" ref="D35">Common_SourceData.Common_SourceData_GWP_Source()</f>
        <v>XXXXXXX</v>
      </c>
    </row>
    <row r="36" spans="1:8" ht="20.100000000000001" customHeight="1" x14ac:dyDescent="0.25">
      <c r="A36"/>
      <c r="D36" s="11" t="s">
        <v>5</v>
      </c>
      <c r="E36" s="11" t="s">
        <v>6</v>
      </c>
    </row>
    <row r="37" spans="1:8" ht="20.100000000000001" customHeight="1" x14ac:dyDescent="0.25">
      <c r="A37"/>
      <c r="D37" s="11" t="str" cm="1">
        <f t="array" ref="D37">Common_InputFunctions.Utility_DisplayArrayInTable(Common_SourceData.Common_SourceData_GWP_Data(), Table_GWPData[[#Headers],[Gas]], 0)</f>
        <v>CO2</v>
      </c>
      <c r="E37" s="11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11" t="str" cm="1">
        <f t="array" ref="D38">Common_InputFunctions.Utility_DisplayArrayInTable(Common_SourceData.Common_SourceData_GWP_Data(), Table_GWPData[[#Headers],[Gas]], 0)</f>
        <v>CH4</v>
      </c>
      <c r="E38" s="11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11" t="str" cm="1">
        <f t="array" ref="D39">Common_InputFunctions.Utility_DisplayArrayInTable(Common_SourceData.Common_SourceData_GWP_Data(), Table_GWPData[[#Headers],[Gas]], 0)</f>
        <v>N2O</v>
      </c>
      <c r="E39" s="11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11" t="str" cm="1">
        <f t="array" ref="D40">Common_InputFunctions.Utility_DisplayArrayInTable(Common_SourceData.Common_SourceData_GWP_Data(), Table_GWPData[[#Headers],[Gas]], 0)</f>
        <v>CF4</v>
      </c>
      <c r="E40" s="11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11" t="str" cm="1">
        <f t="array" ref="D41">Common_InputFunctions.Utility_DisplayArrayInTable(Common_SourceData.Common_SourceData_GWP_Data(), Table_GWPData[[#Headers],[Gas]], 0)</f>
        <v>C2F6</v>
      </c>
      <c r="E41" s="11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11" t="str" cm="1">
        <f t="array" ref="D42">Common_InputFunctions.Utility_DisplayArrayInTable(Common_SourceData.Common_SourceData_GWP_Data(), Table_GWPData[[#Headers],[Gas]], 0)</f>
        <v>SF6</v>
      </c>
      <c r="E42" s="11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11" t="str" cm="1">
        <f t="array" ref="D43">Common_InputFunctions.Utility_DisplayArrayInTable(Common_SourceData.Common_SourceData_GWP_Data(), Table_GWPData[[#Headers],[Gas]], 0)</f>
        <v>NF3</v>
      </c>
      <c r="E43" s="11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5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4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11" t="s">
        <v>5</v>
      </c>
      <c r="E47" s="11" t="s">
        <v>7</v>
      </c>
      <c r="F47" s="11" t="s">
        <v>8</v>
      </c>
      <c r="G47" s="11" t="s">
        <v>9</v>
      </c>
      <c r="H47" s="11" t="s">
        <v>10</v>
      </c>
    </row>
    <row r="48" spans="1:8" ht="20.100000000000001" customHeight="1" x14ac:dyDescent="0.25">
      <c r="D48" s="11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11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11" cm="1">
        <f t="array" ref="F48">Common_InputFunctions.Utility_DisplayArrayInTable(Common_SourceData.Common_SourceData_ConvertGasElementalToMolecular_Data(),Table_GasToMolecularConversionFactor[[#Headers],[Gas]], 0)</f>
        <v>44</v>
      </c>
      <c r="G48" s="11" cm="1">
        <f t="array" ref="G48">Common_InputFunctions.Utility_DisplayArrayInTable(Common_SourceData.Common_SourceData_ConvertGasElementalToMolecular_Data(),Table_GasToMolecularConversionFactor[[#Headers],[Gas]], 0)</f>
        <v>12</v>
      </c>
      <c r="H48" s="11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11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11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11" cm="1">
        <f t="array" ref="F49">Common_InputFunctions.Utility_DisplayArrayInTable(Common_SourceData.Common_SourceData_ConvertGasElementalToMolecular_Data(),Table_GasToMolecularConversionFactor[[#Headers],[Gas]], 0)</f>
        <v>16</v>
      </c>
      <c r="G49" s="11" cm="1">
        <f t="array" ref="G49">Common_InputFunctions.Utility_DisplayArrayInTable(Common_SourceData.Common_SourceData_ConvertGasElementalToMolecular_Data(),Table_GasToMolecularConversionFactor[[#Headers],[Gas]], 0)</f>
        <v>12</v>
      </c>
      <c r="H49" s="11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11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11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11" cm="1">
        <f t="array" ref="F50">Common_InputFunctions.Utility_DisplayArrayInTable(Common_SourceData.Common_SourceData_ConvertGasElementalToMolecular_Data(),Table_GasToMolecularConversionFactor[[#Headers],[Gas]], 0)</f>
        <v>44</v>
      </c>
      <c r="G50" s="11" cm="1">
        <f t="array" ref="G50">Common_InputFunctions.Utility_DisplayArrayInTable(Common_SourceData.Common_SourceData_ConvertGasElementalToMolecular_Data(),Table_GasToMolecularConversionFactor[[#Headers],[Gas]], 0)</f>
        <v>28</v>
      </c>
      <c r="H50" s="11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11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11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11" cm="1">
        <f t="array" ref="F51">Common_InputFunctions.Utility_DisplayArrayInTable(Common_SourceData.Common_SourceData_ConvertGasElementalToMolecular_Data(),Table_GasToMolecularConversionFactor[[#Headers],[Gas]], 0)</f>
        <v>46</v>
      </c>
      <c r="G51" s="11" cm="1">
        <f t="array" ref="G51">Common_InputFunctions.Utility_DisplayArrayInTable(Common_SourceData.Common_SourceData_ConvertGasElementalToMolecular_Data(),Table_GasToMolecularConversionFactor[[#Headers],[Gas]], 0)</f>
        <v>14</v>
      </c>
      <c r="H51" s="11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11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11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11" cm="1">
        <f t="array" ref="F52">Common_InputFunctions.Utility_DisplayArrayInTable(Common_SourceData.Common_SourceData_ConvertGasElementalToMolecular_Data(),Table_GasToMolecularConversionFactor[[#Headers],[Gas]], 0)</f>
        <v>28</v>
      </c>
      <c r="G52" s="11" cm="1">
        <f t="array" ref="G52">Common_InputFunctions.Utility_DisplayArrayInTable(Common_SourceData.Common_SourceData_ConvertGasElementalToMolecular_Data(),Table_GasToMolecularConversionFactor[[#Headers],[Gas]], 0)</f>
        <v>12</v>
      </c>
      <c r="H52" s="11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11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11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11" cm="1">
        <f t="array" ref="F53">Common_InputFunctions.Utility_DisplayArrayInTable(Common_SourceData.Common_SourceData_ConvertGasElementalToMolecular_Data(),Table_GasToMolecularConversionFactor[[#Headers],[Gas]], 0)</f>
        <v>44</v>
      </c>
      <c r="G53" s="11" cm="1">
        <f t="array" ref="G53">Common_InputFunctions.Utility_DisplayArrayInTable(Common_SourceData.Common_SourceData_ConvertGasElementalToMolecular_Data(),Table_GasToMolecularConversionFactor[[#Headers],[Gas]], 0)</f>
        <v>12</v>
      </c>
      <c r="H53" s="11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11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11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11" cm="1">
        <f t="array" ref="F54">Common_InputFunctions.Utility_DisplayArrayInTable(Common_SourceData.Common_SourceData_ConvertGasElementalToMolecular_Data(),Table_GasToMolecularConversionFactor[[#Headers],[Gas]], 0)</f>
        <v>14</v>
      </c>
      <c r="G54" s="11" cm="1">
        <f t="array" ref="G54">Common_InputFunctions.Utility_DisplayArrayInTable(Common_SourceData.Common_SourceData_ConvertGasElementalToMolecular_Data(),Table_GasToMolecularConversionFactor[[#Headers],[Gas]], 0)</f>
        <v>12</v>
      </c>
      <c r="H54" s="11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5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4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13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13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13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11" t="s">
        <v>0</v>
      </c>
      <c r="E63" s="11" t="s">
        <v>23</v>
      </c>
    </row>
    <row r="64" spans="4:8" ht="20.100000000000001" customHeight="1" x14ac:dyDescent="0.25">
      <c r="D64" s="11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11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11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11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11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11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11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11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11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11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11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11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11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11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11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11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11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11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11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11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11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11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11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11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11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11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11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11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5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4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13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13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13" t="str">
        <v>⚠️Fixed typo in MAT value for warm temperate dry - changed 10 to 11.</v>
      </c>
    </row>
    <row r="86" spans="4:19" ht="20.100000000000001" customHeight="1" x14ac:dyDescent="0.25">
      <c r="D86" s="13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13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11" t="s">
        <v>0</v>
      </c>
      <c r="E89" s="11" t="s">
        <v>11</v>
      </c>
      <c r="F89" s="11" t="s">
        <v>12</v>
      </c>
      <c r="G89" s="11" t="s">
        <v>13</v>
      </c>
      <c r="H89" s="11" t="s">
        <v>14</v>
      </c>
      <c r="I89" s="11" t="s">
        <v>15</v>
      </c>
      <c r="J89" s="11" t="s">
        <v>16</v>
      </c>
      <c r="K89" s="11" t="s">
        <v>17</v>
      </c>
      <c r="L89" s="11" t="s">
        <v>18</v>
      </c>
      <c r="M89" s="11" t="s">
        <v>19</v>
      </c>
      <c r="N89" s="11" t="s">
        <v>20</v>
      </c>
      <c r="O89" s="11" t="s">
        <v>24</v>
      </c>
      <c r="P89" s="11" t="s">
        <v>21</v>
      </c>
      <c r="Q89" s="11" t="s">
        <v>25</v>
      </c>
      <c r="R89" s="11" t="s">
        <v>22</v>
      </c>
      <c r="S89" s="11" t="s">
        <v>26</v>
      </c>
    </row>
    <row r="90" spans="4:19" ht="20.100000000000001" customHeight="1" x14ac:dyDescent="0.25">
      <c r="D90" s="11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11" t="str" cm="1">
        <f t="array" ref="E90">Common_InputFunctions.Utility_DisplayArrayInTable(Common_SourceData.Common_SourceData_ClimateZones_Data(), Table_SourceData_ClimateZones[[#Headers],[Climate zone]], 0)</f>
        <v>&gt; 18 C</v>
      </c>
      <c r="F90" s="11" t="str" cm="1">
        <f t="array" ref="F90">Common_InputFunctions.Utility_DisplayArrayInTable(Common_SourceData.Common_SourceData_ClimateZones_Data(), Table_SourceData_ClimateZones[[#Headers],[Climate zone]], 0)</f>
        <v>Any</v>
      </c>
      <c r="G90" s="11" t="str" cm="1">
        <f t="array" ref="G90">Common_InputFunctions.Utility_DisplayArrayInTable(Common_SourceData.Common_SourceData_ClimateZones_Data(), Table_SourceData_ClimateZones[[#Headers],[Climate zone]], 0)</f>
        <v>≤ 7</v>
      </c>
      <c r="H90" s="11" t="str" cm="1">
        <f t="array" ref="H90">Common_InputFunctions.Utility_DisplayArrayInTable(Common_SourceData.Common_SourceData_ClimateZones_Data(), Table_SourceData_ClimateZones[[#Headers],[Climate zone]], 0)</f>
        <v>&gt; 1000 m</v>
      </c>
      <c r="I90" s="11" t="str" cm="1">
        <f t="array" ref="I90">Common_InputFunctions.Utility_DisplayArrayInTable(Common_SourceData.Common_SourceData_ClimateZones_Data(), Table_SourceData_ClimateZones[[#Headers],[Climate zone]], 0)</f>
        <v>Any</v>
      </c>
      <c r="J90" s="11" cm="1">
        <f t="array" ref="J90">Common_InputFunctions.Utility_DisplayArrayInTable(Common_SourceData.Common_SourceData_ClimateZones_Data(), Table_SourceData_ClimateZones[[#Headers],[Climate zone]], 0)</f>
        <v>18.001000000000001</v>
      </c>
      <c r="K90" s="11" cm="1">
        <f t="array" ref="K90">Common_InputFunctions.Utility_DisplayArrayInTable(Common_SourceData.Common_SourceData_ClimateZones_Data(), Table_SourceData_ClimateZones[[#Headers],[Climate zone]], 0)</f>
        <v>999999</v>
      </c>
      <c r="L90" s="11" cm="1">
        <f t="array" ref="L90">Common_InputFunctions.Utility_DisplayArrayInTable(Common_SourceData.Common_SourceData_ClimateZones_Data(), Table_SourceData_ClimateZones[[#Headers],[Climate zone]], 0)</f>
        <v>-999999</v>
      </c>
      <c r="M90" s="11" cm="1">
        <f t="array" ref="M90">Common_InputFunctions.Utility_DisplayArrayInTable(Common_SourceData.Common_SourceData_ClimateZones_Data(), Table_SourceData_ClimateZones[[#Headers],[Climate zone]], 0)</f>
        <v>999999</v>
      </c>
      <c r="N90" s="11" cm="1">
        <f t="array" ref="N90">Common_InputFunctions.Utility_DisplayArrayInTable(Common_SourceData.Common_SourceData_ClimateZones_Data(), Table_SourceData_ClimateZones[[#Headers],[Climate zone]], 0)</f>
        <v>-999999</v>
      </c>
      <c r="O90" s="11" cm="1">
        <f t="array" ref="O90">Common_InputFunctions.Utility_DisplayArrayInTable(Common_SourceData.Common_SourceData_ClimateZones_Data(), Table_SourceData_ClimateZones[[#Headers],[Climate zone]], 0)</f>
        <v>7</v>
      </c>
      <c r="P90" s="11" cm="1">
        <f t="array" ref="P90">Common_InputFunctions.Utility_DisplayArrayInTable(Common_SourceData.Common_SourceData_ClimateZones_Data(), Table_SourceData_ClimateZones[[#Headers],[Climate zone]], 0)</f>
        <v>1000</v>
      </c>
      <c r="Q90" s="11" cm="1">
        <f t="array" ref="Q90">Common_InputFunctions.Utility_DisplayArrayInTable(Common_SourceData.Common_SourceData_ClimateZones_Data(), Table_SourceData_ClimateZones[[#Headers],[Climate zone]], 0)</f>
        <v>999999</v>
      </c>
      <c r="R90" s="11" cm="1">
        <f t="array" ref="R90">Common_InputFunctions.Utility_DisplayArrayInTable(Common_SourceData.Common_SourceData_ClimateZones_Data(), Table_SourceData_ClimateZones[[#Headers],[Climate zone]], 0)</f>
        <v>-999999</v>
      </c>
      <c r="S90" s="11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11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11" t="str" cm="1">
        <f t="array" ref="E91">Common_InputFunctions.Utility_DisplayArrayInTable(Common_SourceData.Common_SourceData_ClimateZones_Data(), Table_SourceData_ClimateZones[[#Headers],[Climate zone]], 0)</f>
        <v>&gt; 18 C</v>
      </c>
      <c r="F91" s="11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11" t="str" cm="1">
        <f t="array" ref="G91">Common_InputFunctions.Utility_DisplayArrayInTable(Common_SourceData.Common_SourceData_ClimateZones_Data(), Table_SourceData_ClimateZones[[#Headers],[Climate zone]], 0)</f>
        <v>≤ 7</v>
      </c>
      <c r="H91" s="11" t="str" cm="1">
        <f t="array" ref="H91">Common_InputFunctions.Utility_DisplayArrayInTable(Common_SourceData.Common_SourceData_ClimateZones_Data(), Table_SourceData_ClimateZones[[#Headers],[Climate zone]], 0)</f>
        <v>≤ 1000 m</v>
      </c>
      <c r="I91" s="11" t="str" cm="1">
        <f t="array" ref="I91">Common_InputFunctions.Utility_DisplayArrayInTable(Common_SourceData.Common_SourceData_ClimateZones_Data(), Table_SourceData_ClimateZones[[#Headers],[Climate zone]], 0)</f>
        <v>Any</v>
      </c>
      <c r="J91" s="11" cm="1">
        <f t="array" ref="J91">Common_InputFunctions.Utility_DisplayArrayInTable(Common_SourceData.Common_SourceData_ClimateZones_Data(), Table_SourceData_ClimateZones[[#Headers],[Climate zone]], 0)</f>
        <v>18.001000000000001</v>
      </c>
      <c r="K91" s="11" cm="1">
        <f t="array" ref="K91">Common_InputFunctions.Utility_DisplayArrayInTable(Common_SourceData.Common_SourceData_ClimateZones_Data(), Table_SourceData_ClimateZones[[#Headers],[Climate zone]], 0)</f>
        <v>999999</v>
      </c>
      <c r="L91" s="11" cm="1">
        <f t="array" ref="L91">Common_InputFunctions.Utility_DisplayArrayInTable(Common_SourceData.Common_SourceData_ClimateZones_Data(), Table_SourceData_ClimateZones[[#Headers],[Climate zone]], 0)</f>
        <v>2000.001</v>
      </c>
      <c r="M91" s="11" cm="1">
        <f t="array" ref="M91">Common_InputFunctions.Utility_DisplayArrayInTable(Common_SourceData.Common_SourceData_ClimateZones_Data(), Table_SourceData_ClimateZones[[#Headers],[Climate zone]], 0)</f>
        <v>999999</v>
      </c>
      <c r="N91" s="11" cm="1">
        <f t="array" ref="N91">Common_InputFunctions.Utility_DisplayArrayInTable(Common_SourceData.Common_SourceData_ClimateZones_Data(), Table_SourceData_ClimateZones[[#Headers],[Climate zone]], 0)</f>
        <v>-999999</v>
      </c>
      <c r="O91" s="11" cm="1">
        <f t="array" ref="O91">Common_InputFunctions.Utility_DisplayArrayInTable(Common_SourceData.Common_SourceData_ClimateZones_Data(), Table_SourceData_ClimateZones[[#Headers],[Climate zone]], 0)</f>
        <v>7</v>
      </c>
      <c r="P91" s="11" cm="1">
        <f t="array" ref="P91">Common_InputFunctions.Utility_DisplayArrayInTable(Common_SourceData.Common_SourceData_ClimateZones_Data(), Table_SourceData_ClimateZones[[#Headers],[Climate zone]], 0)</f>
        <v>-999999</v>
      </c>
      <c r="Q91" s="11" cm="1">
        <f t="array" ref="Q91">Common_InputFunctions.Utility_DisplayArrayInTable(Common_SourceData.Common_SourceData_ClimateZones_Data(), Table_SourceData_ClimateZones[[#Headers],[Climate zone]], 0)</f>
        <v>999.99900000000002</v>
      </c>
      <c r="R91" s="11" cm="1">
        <f t="array" ref="R91">Common_InputFunctions.Utility_DisplayArrayInTable(Common_SourceData.Common_SourceData_ClimateZones_Data(), Table_SourceData_ClimateZones[[#Headers],[Climate zone]], 0)</f>
        <v>-999999</v>
      </c>
      <c r="S91" s="11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11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11" t="str" cm="1">
        <f t="array" ref="E92">Common_InputFunctions.Utility_DisplayArrayInTable(Common_SourceData.Common_SourceData_ClimateZones_Data(), Table_SourceData_ClimateZones[[#Headers],[Climate zone]], 0)</f>
        <v>&gt; 18 C</v>
      </c>
      <c r="F92" s="11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11" t="str" cm="1">
        <f t="array" ref="G92">Common_InputFunctions.Utility_DisplayArrayInTable(Common_SourceData.Common_SourceData_ClimateZones_Data(), Table_SourceData_ClimateZones[[#Headers],[Climate zone]], 0)</f>
        <v>≤ 7</v>
      </c>
      <c r="H92" s="11" t="str" cm="1">
        <f t="array" ref="H92">Common_InputFunctions.Utility_DisplayArrayInTable(Common_SourceData.Common_SourceData_ClimateZones_Data(), Table_SourceData_ClimateZones[[#Headers],[Climate zone]], 0)</f>
        <v>≤ 1000 m</v>
      </c>
      <c r="I92" s="11" t="str" cm="1">
        <f t="array" ref="I92">Common_InputFunctions.Utility_DisplayArrayInTable(Common_SourceData.Common_SourceData_ClimateZones_Data(), Table_SourceData_ClimateZones[[#Headers],[Climate zone]], 0)</f>
        <v>Any</v>
      </c>
      <c r="J92" s="11" cm="1">
        <f t="array" ref="J92">Common_InputFunctions.Utility_DisplayArrayInTable(Common_SourceData.Common_SourceData_ClimateZones_Data(), Table_SourceData_ClimateZones[[#Headers],[Climate zone]], 0)</f>
        <v>18.001000000000001</v>
      </c>
      <c r="K92" s="11" cm="1">
        <f t="array" ref="K92">Common_InputFunctions.Utility_DisplayArrayInTable(Common_SourceData.Common_SourceData_ClimateZones_Data(), Table_SourceData_ClimateZones[[#Headers],[Climate zone]], 0)</f>
        <v>999999</v>
      </c>
      <c r="L92" s="11" cm="1">
        <f t="array" ref="L92">Common_InputFunctions.Utility_DisplayArrayInTable(Common_SourceData.Common_SourceData_ClimateZones_Data(), Table_SourceData_ClimateZones[[#Headers],[Climate zone]], 0)</f>
        <v>1000.001</v>
      </c>
      <c r="M92" s="11" cm="1">
        <f t="array" ref="M92">Common_InputFunctions.Utility_DisplayArrayInTable(Common_SourceData.Common_SourceData_ClimateZones_Data(), Table_SourceData_ClimateZones[[#Headers],[Climate zone]], 0)</f>
        <v>2000</v>
      </c>
      <c r="N92" s="11" cm="1">
        <f t="array" ref="N92">Common_InputFunctions.Utility_DisplayArrayInTable(Common_SourceData.Common_SourceData_ClimateZones_Data(), Table_SourceData_ClimateZones[[#Headers],[Climate zone]], 0)</f>
        <v>-999999</v>
      </c>
      <c r="O92" s="11" cm="1">
        <f t="array" ref="O92">Common_InputFunctions.Utility_DisplayArrayInTable(Common_SourceData.Common_SourceData_ClimateZones_Data(), Table_SourceData_ClimateZones[[#Headers],[Climate zone]], 0)</f>
        <v>7</v>
      </c>
      <c r="P92" s="11" cm="1">
        <f t="array" ref="P92">Common_InputFunctions.Utility_DisplayArrayInTable(Common_SourceData.Common_SourceData_ClimateZones_Data(), Table_SourceData_ClimateZones[[#Headers],[Climate zone]], 0)</f>
        <v>-999999</v>
      </c>
      <c r="Q92" s="11" cm="1">
        <f t="array" ref="Q92">Common_InputFunctions.Utility_DisplayArrayInTable(Common_SourceData.Common_SourceData_ClimateZones_Data(), Table_SourceData_ClimateZones[[#Headers],[Climate zone]], 0)</f>
        <v>999.99900000000002</v>
      </c>
      <c r="R92" s="11" cm="1">
        <f t="array" ref="R92">Common_InputFunctions.Utility_DisplayArrayInTable(Common_SourceData.Common_SourceData_ClimateZones_Data(), Table_SourceData_ClimateZones[[#Headers],[Climate zone]], 0)</f>
        <v>-999999</v>
      </c>
      <c r="S92" s="11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11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11" t="str" cm="1">
        <f t="array" ref="E93">Common_InputFunctions.Utility_DisplayArrayInTable(Common_SourceData.Common_SourceData_ClimateZones_Data(), Table_SourceData_ClimateZones[[#Headers],[Climate zone]], 0)</f>
        <v>&gt; 18 C</v>
      </c>
      <c r="F93" s="11" t="str" cm="1">
        <f t="array" ref="F93">Common_InputFunctions.Utility_DisplayArrayInTable(Common_SourceData.Common_SourceData_ClimateZones_Data(), Table_SourceData_ClimateZones[[#Headers],[Climate zone]], 0)</f>
        <v>≤ 1000 mm</v>
      </c>
      <c r="G93" s="11" t="str" cm="1">
        <f t="array" ref="G93">Common_InputFunctions.Utility_DisplayArrayInTable(Common_SourceData.Common_SourceData_ClimateZones_Data(), Table_SourceData_ClimateZones[[#Headers],[Climate zone]], 0)</f>
        <v>≤ 7</v>
      </c>
      <c r="H93" s="11" t="str" cm="1">
        <f t="array" ref="H93">Common_InputFunctions.Utility_DisplayArrayInTable(Common_SourceData.Common_SourceData_ClimateZones_Data(), Table_SourceData_ClimateZones[[#Headers],[Climate zone]], 0)</f>
        <v>≤ 1000 m</v>
      </c>
      <c r="I93" s="11" t="str" cm="1">
        <f t="array" ref="I93">Common_InputFunctions.Utility_DisplayArrayInTable(Common_SourceData.Common_SourceData_ClimateZones_Data(), Table_SourceData_ClimateZones[[#Headers],[Climate zone]], 0)</f>
        <v>Any</v>
      </c>
      <c r="J93" s="11" cm="1">
        <f t="array" ref="J93">Common_InputFunctions.Utility_DisplayArrayInTable(Common_SourceData.Common_SourceData_ClimateZones_Data(), Table_SourceData_ClimateZones[[#Headers],[Climate zone]], 0)</f>
        <v>18.001000000000001</v>
      </c>
      <c r="K93" s="11" cm="1">
        <f t="array" ref="K93">Common_InputFunctions.Utility_DisplayArrayInTable(Common_SourceData.Common_SourceData_ClimateZones_Data(), Table_SourceData_ClimateZones[[#Headers],[Climate zone]], 0)</f>
        <v>999999</v>
      </c>
      <c r="L93" s="11" cm="1">
        <f t="array" ref="L93">Common_InputFunctions.Utility_DisplayArrayInTable(Common_SourceData.Common_SourceData_ClimateZones_Data(), Table_SourceData_ClimateZones[[#Headers],[Climate zone]], 0)</f>
        <v>-999999</v>
      </c>
      <c r="M93" s="11" cm="1">
        <f t="array" ref="M93">Common_InputFunctions.Utility_DisplayArrayInTable(Common_SourceData.Common_SourceData_ClimateZones_Data(), Table_SourceData_ClimateZones[[#Headers],[Climate zone]], 0)</f>
        <v>1000</v>
      </c>
      <c r="N93" s="11" cm="1">
        <f t="array" ref="N93">Common_InputFunctions.Utility_DisplayArrayInTable(Common_SourceData.Common_SourceData_ClimateZones_Data(), Table_SourceData_ClimateZones[[#Headers],[Climate zone]], 0)</f>
        <v>-999999</v>
      </c>
      <c r="O93" s="11" cm="1">
        <f t="array" ref="O93">Common_InputFunctions.Utility_DisplayArrayInTable(Common_SourceData.Common_SourceData_ClimateZones_Data(), Table_SourceData_ClimateZones[[#Headers],[Climate zone]], 0)</f>
        <v>7</v>
      </c>
      <c r="P93" s="11" cm="1">
        <f t="array" ref="P93">Common_InputFunctions.Utility_DisplayArrayInTable(Common_SourceData.Common_SourceData_ClimateZones_Data(), Table_SourceData_ClimateZones[[#Headers],[Climate zone]], 0)</f>
        <v>-999999</v>
      </c>
      <c r="Q93" s="11" cm="1">
        <f t="array" ref="Q93">Common_InputFunctions.Utility_DisplayArrayInTable(Common_SourceData.Common_SourceData_ClimateZones_Data(), Table_SourceData_ClimateZones[[#Headers],[Climate zone]], 0)</f>
        <v>999.99900000000002</v>
      </c>
      <c r="R93" s="11" cm="1">
        <f t="array" ref="R93">Common_InputFunctions.Utility_DisplayArrayInTable(Common_SourceData.Common_SourceData_ClimateZones_Data(), Table_SourceData_ClimateZones[[#Headers],[Climate zone]], 0)</f>
        <v>-999999</v>
      </c>
      <c r="S93" s="11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11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11" t="str" cm="1">
        <f t="array" ref="E94">Common_InputFunctions.Utility_DisplayArrayInTable(Common_SourceData.Common_SourceData_ClimateZones_Data(), Table_SourceData_ClimateZones[[#Headers],[Climate zone]], 0)</f>
        <v>&gt; 10 C</v>
      </c>
      <c r="F94" s="11" t="str" cm="1">
        <f t="array" ref="F94">Common_InputFunctions.Utility_DisplayArrayInTable(Common_SourceData.Common_SourceData_ClimateZones_Data(), Table_SourceData_ClimateZones[[#Headers],[Climate zone]], 0)</f>
        <v>Any</v>
      </c>
      <c r="G94" s="11" t="str" cm="1">
        <f t="array" ref="G94">Common_InputFunctions.Utility_DisplayArrayInTable(Common_SourceData.Common_SourceData_ClimateZones_Data(), Table_SourceData_ClimateZones[[#Headers],[Climate zone]], 0)</f>
        <v>Any</v>
      </c>
      <c r="H94" s="11" t="str" cm="1">
        <f t="array" ref="H94">Common_InputFunctions.Utility_DisplayArrayInTable(Common_SourceData.Common_SourceData_ClimateZones_Data(), Table_SourceData_ClimateZones[[#Headers],[Climate zone]], 0)</f>
        <v>Any</v>
      </c>
      <c r="I94" s="11" t="str" cm="1">
        <f t="array" ref="I94">Common_InputFunctions.Utility_DisplayArrayInTable(Common_SourceData.Common_SourceData_ClimateZones_Data(), Table_SourceData_ClimateZones[[#Headers],[Climate zone]], 0)</f>
        <v>&gt; 1</v>
      </c>
      <c r="J94" s="11" cm="1">
        <f t="array" ref="J94">Common_InputFunctions.Utility_DisplayArrayInTable(Common_SourceData.Common_SourceData_ClimateZones_Data(), Table_SourceData_ClimateZones[[#Headers],[Climate zone]], 0)</f>
        <v>10.000999999999999</v>
      </c>
      <c r="K94" s="11" cm="1">
        <f t="array" ref="K94">Common_InputFunctions.Utility_DisplayArrayInTable(Common_SourceData.Common_SourceData_ClimateZones_Data(), Table_SourceData_ClimateZones[[#Headers],[Climate zone]], 0)</f>
        <v>999999</v>
      </c>
      <c r="L94" s="11" cm="1">
        <f t="array" ref="L94">Common_InputFunctions.Utility_DisplayArrayInTable(Common_SourceData.Common_SourceData_ClimateZones_Data(), Table_SourceData_ClimateZones[[#Headers],[Climate zone]], 0)</f>
        <v>-999999</v>
      </c>
      <c r="M94" s="11" cm="1">
        <f t="array" ref="M94">Common_InputFunctions.Utility_DisplayArrayInTable(Common_SourceData.Common_SourceData_ClimateZones_Data(), Table_SourceData_ClimateZones[[#Headers],[Climate zone]], 0)</f>
        <v>999999</v>
      </c>
      <c r="N94" s="11" cm="1">
        <f t="array" ref="N94">Common_InputFunctions.Utility_DisplayArrayInTable(Common_SourceData.Common_SourceData_ClimateZones_Data(), Table_SourceData_ClimateZones[[#Headers],[Climate zone]], 0)</f>
        <v>-999999</v>
      </c>
      <c r="O94" s="11" cm="1">
        <f t="array" ref="O94">Common_InputFunctions.Utility_DisplayArrayInTable(Common_SourceData.Common_SourceData_ClimateZones_Data(), Table_SourceData_ClimateZones[[#Headers],[Climate zone]], 0)</f>
        <v>999999</v>
      </c>
      <c r="P94" s="11" cm="1">
        <f t="array" ref="P94">Common_InputFunctions.Utility_DisplayArrayInTable(Common_SourceData.Common_SourceData_ClimateZones_Data(), Table_SourceData_ClimateZones[[#Headers],[Climate zone]], 0)</f>
        <v>-999999</v>
      </c>
      <c r="Q94" s="11" cm="1">
        <f t="array" ref="Q94">Common_InputFunctions.Utility_DisplayArrayInTable(Common_SourceData.Common_SourceData_ClimateZones_Data(), Table_SourceData_ClimateZones[[#Headers],[Climate zone]], 0)</f>
        <v>999999</v>
      </c>
      <c r="R94" s="11" cm="1">
        <f t="array" ref="R94">Common_InputFunctions.Utility_DisplayArrayInTable(Common_SourceData.Common_SourceData_ClimateZones_Data(), Table_SourceData_ClimateZones[[#Headers],[Climate zone]], 0)</f>
        <v>1.0009999999999999</v>
      </c>
      <c r="S94" s="11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11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11" t="str" cm="1">
        <f t="array" ref="E95">Common_InputFunctions.Utility_DisplayArrayInTable(Common_SourceData.Common_SourceData_ClimateZones_Data(), Table_SourceData_ClimateZones[[#Headers],[Climate zone]], 0)</f>
        <v>&gt; 10 C</v>
      </c>
      <c r="F95" s="11" t="str" cm="1">
        <f t="array" ref="F95">Common_InputFunctions.Utility_DisplayArrayInTable(Common_SourceData.Common_SourceData_ClimateZones_Data(), Table_SourceData_ClimateZones[[#Headers],[Climate zone]], 0)</f>
        <v>Any</v>
      </c>
      <c r="G95" s="11" t="str" cm="1">
        <f t="array" ref="G95">Common_InputFunctions.Utility_DisplayArrayInTable(Common_SourceData.Common_SourceData_ClimateZones_Data(), Table_SourceData_ClimateZones[[#Headers],[Climate zone]], 0)</f>
        <v>Any</v>
      </c>
      <c r="H95" s="11" t="str" cm="1">
        <f t="array" ref="H95">Common_InputFunctions.Utility_DisplayArrayInTable(Common_SourceData.Common_SourceData_ClimateZones_Data(), Table_SourceData_ClimateZones[[#Headers],[Climate zone]], 0)</f>
        <v>Any</v>
      </c>
      <c r="I95" s="11" t="str" cm="1">
        <f t="array" ref="I95">Common_InputFunctions.Utility_DisplayArrayInTable(Common_SourceData.Common_SourceData_ClimateZones_Data(), Table_SourceData_ClimateZones[[#Headers],[Climate zone]], 0)</f>
        <v>≤ 1</v>
      </c>
      <c r="J95" s="11" cm="1">
        <f t="array" ref="J95">Common_InputFunctions.Utility_DisplayArrayInTable(Common_SourceData.Common_SourceData_ClimateZones_Data(), Table_SourceData_ClimateZones[[#Headers],[Climate zone]], 0)</f>
        <v>10.000999999999999</v>
      </c>
      <c r="K95" s="11" cm="1">
        <f t="array" ref="K95">Common_InputFunctions.Utility_DisplayArrayInTable(Common_SourceData.Common_SourceData_ClimateZones_Data(), Table_SourceData_ClimateZones[[#Headers],[Climate zone]], 0)</f>
        <v>999999</v>
      </c>
      <c r="L95" s="11" cm="1">
        <f t="array" ref="L95">Common_InputFunctions.Utility_DisplayArrayInTable(Common_SourceData.Common_SourceData_ClimateZones_Data(), Table_SourceData_ClimateZones[[#Headers],[Climate zone]], 0)</f>
        <v>-999999</v>
      </c>
      <c r="M95" s="11" cm="1">
        <f t="array" ref="M95">Common_InputFunctions.Utility_DisplayArrayInTable(Common_SourceData.Common_SourceData_ClimateZones_Data(), Table_SourceData_ClimateZones[[#Headers],[Climate zone]], 0)</f>
        <v>999999</v>
      </c>
      <c r="N95" s="11" cm="1">
        <f t="array" ref="N95">Common_InputFunctions.Utility_DisplayArrayInTable(Common_SourceData.Common_SourceData_ClimateZones_Data(), Table_SourceData_ClimateZones[[#Headers],[Climate zone]], 0)</f>
        <v>-999999</v>
      </c>
      <c r="O95" s="11" cm="1">
        <f t="array" ref="O95">Common_InputFunctions.Utility_DisplayArrayInTable(Common_SourceData.Common_SourceData_ClimateZones_Data(), Table_SourceData_ClimateZones[[#Headers],[Climate zone]], 0)</f>
        <v>999999</v>
      </c>
      <c r="P95" s="11" cm="1">
        <f t="array" ref="P95">Common_InputFunctions.Utility_DisplayArrayInTable(Common_SourceData.Common_SourceData_ClimateZones_Data(), Table_SourceData_ClimateZones[[#Headers],[Climate zone]], 0)</f>
        <v>-999999</v>
      </c>
      <c r="Q95" s="11" cm="1">
        <f t="array" ref="Q95">Common_InputFunctions.Utility_DisplayArrayInTable(Common_SourceData.Common_SourceData_ClimateZones_Data(), Table_SourceData_ClimateZones[[#Headers],[Climate zone]], 0)</f>
        <v>999999</v>
      </c>
      <c r="R95" s="11" cm="1">
        <f t="array" ref="R95">Common_InputFunctions.Utility_DisplayArrayInTable(Common_SourceData.Common_SourceData_ClimateZones_Data(), Table_SourceData_ClimateZones[[#Headers],[Climate zone]], 0)</f>
        <v>-999999</v>
      </c>
      <c r="S95" s="11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11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11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11" t="str" cm="1">
        <f t="array" ref="F96">Common_InputFunctions.Utility_DisplayArrayInTable(Common_SourceData.Common_SourceData_ClimateZones_Data(), Table_SourceData_ClimateZones[[#Headers],[Climate zone]], 0)</f>
        <v>Any</v>
      </c>
      <c r="G96" s="11" t="str" cm="1">
        <f t="array" ref="G96">Common_InputFunctions.Utility_DisplayArrayInTable(Common_SourceData.Common_SourceData_ClimateZones_Data(), Table_SourceData_ClimateZones[[#Headers],[Climate zone]], 0)</f>
        <v>Any</v>
      </c>
      <c r="H96" s="11" t="str" cm="1">
        <f t="array" ref="H96">Common_InputFunctions.Utility_DisplayArrayInTable(Common_SourceData.Common_SourceData_ClimateZones_Data(), Table_SourceData_ClimateZones[[#Headers],[Climate zone]], 0)</f>
        <v>Any</v>
      </c>
      <c r="I96" s="11" t="str" cm="1">
        <f t="array" ref="I96">Common_InputFunctions.Utility_DisplayArrayInTable(Common_SourceData.Common_SourceData_ClimateZones_Data(), Table_SourceData_ClimateZones[[#Headers],[Climate zone]], 0)</f>
        <v>&gt; 1</v>
      </c>
      <c r="J96" s="11" cm="1">
        <f t="array" ref="J96">Common_InputFunctions.Utility_DisplayArrayInTable(Common_SourceData.Common_SourceData_ClimateZones_Data(), Table_SourceData_ClimateZones[[#Headers],[Climate zone]], 0)</f>
        <v>-999999</v>
      </c>
      <c r="K96" s="11" cm="1">
        <f t="array" ref="K96">Common_InputFunctions.Utility_DisplayArrayInTable(Common_SourceData.Common_SourceData_ClimateZones_Data(), Table_SourceData_ClimateZones[[#Headers],[Climate zone]], 0)</f>
        <v>10</v>
      </c>
      <c r="L96" s="11" cm="1">
        <f t="array" ref="L96">Common_InputFunctions.Utility_DisplayArrayInTable(Common_SourceData.Common_SourceData_ClimateZones_Data(), Table_SourceData_ClimateZones[[#Headers],[Climate zone]], 0)</f>
        <v>-999999</v>
      </c>
      <c r="M96" s="11" cm="1">
        <f t="array" ref="M96">Common_InputFunctions.Utility_DisplayArrayInTable(Common_SourceData.Common_SourceData_ClimateZones_Data(), Table_SourceData_ClimateZones[[#Headers],[Climate zone]], 0)</f>
        <v>999999</v>
      </c>
      <c r="N96" s="11" cm="1">
        <f t="array" ref="N96">Common_InputFunctions.Utility_DisplayArrayInTable(Common_SourceData.Common_SourceData_ClimateZones_Data(), Table_SourceData_ClimateZones[[#Headers],[Climate zone]], 0)</f>
        <v>-999999</v>
      </c>
      <c r="O96" s="11" cm="1">
        <f t="array" ref="O96">Common_InputFunctions.Utility_DisplayArrayInTable(Common_SourceData.Common_SourceData_ClimateZones_Data(), Table_SourceData_ClimateZones[[#Headers],[Climate zone]], 0)</f>
        <v>999999</v>
      </c>
      <c r="P96" s="11" cm="1">
        <f t="array" ref="P96">Common_InputFunctions.Utility_DisplayArrayInTable(Common_SourceData.Common_SourceData_ClimateZones_Data(), Table_SourceData_ClimateZones[[#Headers],[Climate zone]], 0)</f>
        <v>-999999</v>
      </c>
      <c r="Q96" s="11" cm="1">
        <f t="array" ref="Q96">Common_InputFunctions.Utility_DisplayArrayInTable(Common_SourceData.Common_SourceData_ClimateZones_Data(), Table_SourceData_ClimateZones[[#Headers],[Climate zone]], 0)</f>
        <v>999999</v>
      </c>
      <c r="R96" s="11" cm="1">
        <f t="array" ref="R96">Common_InputFunctions.Utility_DisplayArrayInTable(Common_SourceData.Common_SourceData_ClimateZones_Data(), Table_SourceData_ClimateZones[[#Headers],[Climate zone]], 0)</f>
        <v>1.0009999999999999</v>
      </c>
      <c r="S96" s="11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11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11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11" t="str" cm="1">
        <f t="array" ref="F97">Common_InputFunctions.Utility_DisplayArrayInTable(Common_SourceData.Common_SourceData_ClimateZones_Data(), Table_SourceData_ClimateZones[[#Headers],[Climate zone]], 0)</f>
        <v>Any</v>
      </c>
      <c r="G97" s="11" t="str" cm="1">
        <f t="array" ref="G97">Common_InputFunctions.Utility_DisplayArrayInTable(Common_SourceData.Common_SourceData_ClimateZones_Data(), Table_SourceData_ClimateZones[[#Headers],[Climate zone]], 0)</f>
        <v>Any</v>
      </c>
      <c r="H97" s="11" t="str" cm="1">
        <f t="array" ref="H97">Common_InputFunctions.Utility_DisplayArrayInTable(Common_SourceData.Common_SourceData_ClimateZones_Data(), Table_SourceData_ClimateZones[[#Headers],[Climate zone]], 0)</f>
        <v>Any</v>
      </c>
      <c r="I97" s="11" t="str" cm="1">
        <f t="array" ref="I97">Common_InputFunctions.Utility_DisplayArrayInTable(Common_SourceData.Common_SourceData_ClimateZones_Data(), Table_SourceData_ClimateZones[[#Headers],[Climate zone]], 0)</f>
        <v>≤ 1</v>
      </c>
      <c r="J97" s="11" cm="1">
        <f t="array" ref="J97">Common_InputFunctions.Utility_DisplayArrayInTable(Common_SourceData.Common_SourceData_ClimateZones_Data(), Table_SourceData_ClimateZones[[#Headers],[Climate zone]], 0)</f>
        <v>-999999</v>
      </c>
      <c r="K97" s="11" cm="1">
        <f t="array" ref="K97">Common_InputFunctions.Utility_DisplayArrayInTable(Common_SourceData.Common_SourceData_ClimateZones_Data(), Table_SourceData_ClimateZones[[#Headers],[Climate zone]], 0)</f>
        <v>10</v>
      </c>
      <c r="L97" s="11" cm="1">
        <f t="array" ref="L97">Common_InputFunctions.Utility_DisplayArrayInTable(Common_SourceData.Common_SourceData_ClimateZones_Data(), Table_SourceData_ClimateZones[[#Headers],[Climate zone]], 0)</f>
        <v>-999999</v>
      </c>
      <c r="M97" s="11" cm="1">
        <f t="array" ref="M97">Common_InputFunctions.Utility_DisplayArrayInTable(Common_SourceData.Common_SourceData_ClimateZones_Data(), Table_SourceData_ClimateZones[[#Headers],[Climate zone]], 0)</f>
        <v>999999</v>
      </c>
      <c r="N97" s="11" cm="1">
        <f t="array" ref="N97">Common_InputFunctions.Utility_DisplayArrayInTable(Common_SourceData.Common_SourceData_ClimateZones_Data(), Table_SourceData_ClimateZones[[#Headers],[Climate zone]], 0)</f>
        <v>-999999</v>
      </c>
      <c r="O97" s="11" cm="1">
        <f t="array" ref="O97">Common_InputFunctions.Utility_DisplayArrayInTable(Common_SourceData.Common_SourceData_ClimateZones_Data(), Table_SourceData_ClimateZones[[#Headers],[Climate zone]], 0)</f>
        <v>999999</v>
      </c>
      <c r="P97" s="11" cm="1">
        <f t="array" ref="P97">Common_InputFunctions.Utility_DisplayArrayInTable(Common_SourceData.Common_SourceData_ClimateZones_Data(), Table_SourceData_ClimateZones[[#Headers],[Climate zone]], 0)</f>
        <v>-999999</v>
      </c>
      <c r="Q97" s="11" cm="1">
        <f t="array" ref="Q97">Common_InputFunctions.Utility_DisplayArrayInTable(Common_SourceData.Common_SourceData_ClimateZones_Data(), Table_SourceData_ClimateZones[[#Headers],[Climate zone]], 0)</f>
        <v>999999</v>
      </c>
      <c r="R97" s="11" cm="1">
        <f t="array" ref="R97">Common_InputFunctions.Utility_DisplayArrayInTable(Common_SourceData.Common_SourceData_ClimateZones_Data(), Table_SourceData_ClimateZones[[#Headers],[Climate zone]], 0)</f>
        <v>-999999</v>
      </c>
      <c r="S97" s="11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12" t="str" cm="1">
        <f t="array" ref="D98:D101">Common_SourceData.Common_SourceData_ClimateZones_Appendices()</f>
        <v>Note:</v>
      </c>
    </row>
    <row r="99" spans="4:19" ht="20.100000000000001" customHeight="1" x14ac:dyDescent="0.25">
      <c r="D99" s="12" t="str">
        <v>MAT = mean annual temperature</v>
      </c>
    </row>
    <row r="100" spans="4:19" ht="20.100000000000001" customHeight="1" x14ac:dyDescent="0.25">
      <c r="D100" s="12" t="str">
        <v>MAP = mean annual precipitation</v>
      </c>
    </row>
    <row r="101" spans="4:19" ht="20.100000000000001" customHeight="1" x14ac:dyDescent="0.25">
      <c r="D101" s="12" t="str">
        <v>PET = potential evapotranspiration</v>
      </c>
    </row>
    <row r="102" spans="4:19" ht="20.100000000000001" customHeight="1" x14ac:dyDescent="0.25">
      <c r="D102" s="12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5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4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13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11" t="s">
        <v>27</v>
      </c>
      <c r="E109" s="11" t="s">
        <v>11</v>
      </c>
      <c r="F109" s="11" t="s">
        <v>28</v>
      </c>
      <c r="G109" s="11" t="s">
        <v>29</v>
      </c>
    </row>
    <row r="110" spans="4:19" ht="20.100000000000001" customHeight="1" x14ac:dyDescent="0.25">
      <c r="D110" s="11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11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11" cm="1">
        <f t="array" ref="F110">Common_InputFunctions.Utility_DisplayArrayInTable(Common_SourceData.Common_SourceData_TemperatureZones_Data(),Table_SourceData_TemperatureZones[[#Headers],[Temperature Zone]],0)</f>
        <v>26</v>
      </c>
      <c r="G110" s="11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11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11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11" cm="1">
        <f t="array" ref="F111">Common_InputFunctions.Utility_DisplayArrayInTable(Common_SourceData.Common_SourceData_TemperatureZones_Data(),Table_SourceData_TemperatureZones[[#Headers],[Temperature Zone]],0)</f>
        <v>15</v>
      </c>
      <c r="G111" s="11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11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11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11" cm="1">
        <f t="array" ref="F112">Common_InputFunctions.Utility_DisplayArrayInTable(Common_SourceData.Common_SourceData_TemperatureZones_Data(),Table_SourceData_TemperatureZones[[#Headers],[Temperature Zone]],0)</f>
        <v>-999999</v>
      </c>
      <c r="G112" s="11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5" t="str" cm="1">
        <f t="array" ref="D115">Common_SourceData.Common_SourceData_RainfallZones_Title()</f>
        <v>VEERG Australian rainfall zones</v>
      </c>
      <c r="BM115" s="6"/>
    </row>
    <row r="116" spans="4:65" x14ac:dyDescent="0.25">
      <c r="D116" s="4" t="str" cm="1">
        <f t="array" ref="D116">Common_SourceData.Common_SourceData_RainfallZones_Source()</f>
        <v>VEERG 2026: Table 1.3: Climate and Rainfall zone classifications and definitions</v>
      </c>
      <c r="BM116" s="6"/>
    </row>
    <row r="117" spans="4:65" x14ac:dyDescent="0.25">
      <c r="D117" s="13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6"/>
    </row>
    <row r="118" spans="4:65" x14ac:dyDescent="0.25">
      <c r="BM118" s="6"/>
    </row>
    <row r="119" spans="4:65" x14ac:dyDescent="0.25">
      <c r="D119" s="11" t="s">
        <v>30</v>
      </c>
      <c r="E119" s="11" t="s">
        <v>31</v>
      </c>
      <c r="F119" s="11" t="s">
        <v>18</v>
      </c>
      <c r="G119" s="11" t="s">
        <v>19</v>
      </c>
      <c r="BM119" s="6"/>
    </row>
    <row r="120" spans="4:65" x14ac:dyDescent="0.25">
      <c r="D120" s="11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11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11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11" cm="1">
        <f t="array" ref="G120">Common_InputFunctions.Utility_DisplayArrayInTable(Common_SourceData.Common_SourceData_RainfallZones_Data(),Table_SourceData_RainfallZones[[#Headers],[Rainfall Zone]],0)</f>
        <v>999999</v>
      </c>
      <c r="BM120" s="6"/>
    </row>
    <row r="121" spans="4:65" x14ac:dyDescent="0.25">
      <c r="D121" s="11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11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11" cm="1">
        <f t="array" ref="F121">Common_InputFunctions.Utility_DisplayArrayInTable(Common_SourceData.Common_SourceData_RainfallZones_Data(),Table_SourceData_RainfallZones[[#Headers],[Rainfall Zone]],0)</f>
        <v>-999999</v>
      </c>
      <c r="G121" s="11" cm="1">
        <f t="array" ref="G121">Common_InputFunctions.Utility_DisplayArrayInTable(Common_SourceData.Common_SourceData_RainfallZones_Data(),Table_SourceData_RainfallZones[[#Headers],[Rainfall Zone]],0)</f>
        <v>600</v>
      </c>
      <c r="BM121" s="6"/>
    </row>
    <row r="122" spans="4:65" x14ac:dyDescent="0.25">
      <c r="BM122" s="6"/>
    </row>
    <row r="124" spans="4:65" ht="23.25" x14ac:dyDescent="0.25">
      <c r="D124" s="5" t="str" cm="1">
        <f t="array" ref="D124">Common_SourceData.Common_SourceData_LeachingZones_Title()</f>
        <v>VEERG Australian leaching zones</v>
      </c>
    </row>
    <row r="125" spans="4:65" x14ac:dyDescent="0.25">
      <c r="D125" s="4" t="str" cm="1">
        <f t="array" ref="D125">Common_SourceData.Common_SourceData_LeachingZones_Source()</f>
        <v>VEERG 2026: Table 1.3: Climate and Rainfall zone classifications and definitions</v>
      </c>
    </row>
    <row r="127" spans="4:65" x14ac:dyDescent="0.25">
      <c r="D127" s="11" t="s">
        <v>32</v>
      </c>
      <c r="E127" s="11" t="s">
        <v>33</v>
      </c>
    </row>
    <row r="128" spans="4:65" x14ac:dyDescent="0.25">
      <c r="D128" s="11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11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x14ac:dyDescent="0.25">
      <c r="D129" s="11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11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2" spans="4:76" ht="23.25" x14ac:dyDescent="0.25">
      <c r="D132" s="5" t="str" cm="1">
        <f t="array" ref="D132">Common_SourceData.Common_SourceData_FracWET_Title()</f>
        <v>Fraction of N that is available for leaching and runoff</v>
      </c>
      <c r="E132" s="10"/>
    </row>
    <row r="133" spans="4:76" x14ac:dyDescent="0.25">
      <c r="D133" s="4" t="str" cm="1">
        <f t="array" ref="D133">Common_SourceData.Common_SourceData_FracWET_Source()</f>
        <v>VEERG 2026:5.5.2.3 Constant Parameters</v>
      </c>
      <c r="E133" s="10"/>
    </row>
    <row r="134" spans="4:76" x14ac:dyDescent="0.25">
      <c r="D134" t="s">
        <v>37</v>
      </c>
      <c r="E134" t="s">
        <v>38</v>
      </c>
    </row>
    <row r="135" spans="4:76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11" cm="1">
        <f t="array" ref="E136">Common_InputFunctions.Utility_DisplayArrayInTable(Common_SourceData.Common_SourceData_FracWET_Data(),Table_SourceData_FracWET[[#Headers],[Is in leaching zone]],0)</f>
        <v>0</v>
      </c>
    </row>
    <row r="138" spans="4:76" x14ac:dyDescent="0.25"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 spans="4:76" ht="23.25" x14ac:dyDescent="0.25">
      <c r="D139" s="5" t="str" cm="1">
        <f t="array" ref="D139">Common_SourceData.Common_SourceData_DataScores_Scope3_Title()</f>
        <v>Australian data scores for scope 3</v>
      </c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 spans="4:76" x14ac:dyDescent="0.25">
      <c r="D140" s="4" t="str" cm="1">
        <f t="array" ref="D140">Common_SourceData.Common_SourceData_DataScores_Scope3_Source()</f>
        <v>VEERG 2026: XXXXXXXX</v>
      </c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 spans="4:76" x14ac:dyDescent="0.25">
      <c r="BM141" s="6"/>
    </row>
    <row r="142" spans="4:76" x14ac:dyDescent="0.25">
      <c r="D142" s="11" t="s">
        <v>34</v>
      </c>
      <c r="E142" s="11" t="s">
        <v>35</v>
      </c>
      <c r="BM142" s="6"/>
    </row>
    <row r="143" spans="4:76" x14ac:dyDescent="0.25">
      <c r="D143" s="11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11" cm="1">
        <f t="array" ref="E143">Common_InputFunctions.Utility_DisplayArrayInTable(Common_SourceData.Common_SourceData_DataScores_Scope3_Data(), Table_SourceData_DataScores_Scope3[[#Headers],[Data source]], 0)</f>
        <v>1</v>
      </c>
      <c r="BM143" s="6"/>
    </row>
    <row r="144" spans="4:76" x14ac:dyDescent="0.25">
      <c r="D144" s="11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11" cm="1">
        <f t="array" ref="E144">Common_InputFunctions.Utility_DisplayArrayInTable(Common_SourceData.Common_SourceData_DataScores_Scope3_Data(), Table_SourceData_DataScores_Scope3[[#Headers],[Data source]], 0)</f>
        <v>2</v>
      </c>
      <c r="BM144" s="6"/>
    </row>
    <row r="145" spans="4:65" x14ac:dyDescent="0.25">
      <c r="D145" s="11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11" cm="1">
        <f t="array" ref="E145">Common_InputFunctions.Utility_DisplayArrayInTable(Common_SourceData.Common_SourceData_DataScores_Scope3_Data(), Table_SourceData_DataScores_Scope3[[#Headers],[Data source]], 0)</f>
        <v>3</v>
      </c>
      <c r="BM145" s="6"/>
    </row>
    <row r="146" spans="4:65" x14ac:dyDescent="0.25">
      <c r="D146" s="11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11" cm="1">
        <f t="array" ref="E146">Common_InputFunctions.Utility_DisplayArrayInTable(Common_SourceData.Common_SourceData_DataScores_Scope3_Data(), Table_SourceData_DataScores_Scope3[[#Headers],[Data source]], 0)</f>
        <v>4</v>
      </c>
      <c r="BM146" s="6"/>
    </row>
    <row r="147" spans="4:65" x14ac:dyDescent="0.25">
      <c r="D147" s="11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11" cm="1">
        <f t="array" ref="E147">Common_InputFunctions.Utility_DisplayArrayInTable(Common_SourceData.Common_SourceData_DataScores_Scope3_Data(), Table_SourceData_DataScores_Scope3[[#Headers],[Data source]], 0)</f>
        <v>5</v>
      </c>
      <c r="BM147" s="6"/>
    </row>
    <row r="148" spans="4:65" x14ac:dyDescent="0.25">
      <c r="BM148" s="6"/>
    </row>
    <row r="149" spans="4:65" x14ac:dyDescent="0.25">
      <c r="BM149" s="6"/>
    </row>
    <row r="150" spans="4:65" ht="23.25" x14ac:dyDescent="0.25">
      <c r="D150" s="5" t="str" cm="1">
        <f t="array" ref="D150">Common_SourceData.Common_SourceData_FracLEACH_Title()</f>
        <v>Fraction of N that is available for leaching and runoff</v>
      </c>
      <c r="E150" s="10"/>
      <c r="BM150" s="6"/>
    </row>
    <row r="151" spans="4:65" x14ac:dyDescent="0.25">
      <c r="D151" s="4" t="str" cm="1">
        <f t="array" ref="D151">Common_SourceData.Common_SourceData_FracLEACH_Source()</f>
        <v>VEERG 2026:5.5.2.3 Constant Parameters</v>
      </c>
      <c r="E151" s="10"/>
      <c r="BM151" s="6"/>
    </row>
    <row r="152" spans="4:65" x14ac:dyDescent="0.25">
      <c r="D152" s="4" t="str" cm="1">
        <f t="array" ref="D152">Common_SourceData.Common_SourceData_FracLEACH_NIRReference()</f>
        <v>National Inventory Report Volume 1: Leaching and runoff (3.D.b.2)</v>
      </c>
      <c r="E152" s="10"/>
      <c r="BM152" s="6"/>
    </row>
    <row r="153" spans="4:65" x14ac:dyDescent="0.25">
      <c r="D153" s="10" t="str" cm="1">
        <f t="array" ref="D153:E153">Common_SourceData.Common_SourceData_FracLEACH_Data()</f>
        <v>FracLEACH</v>
      </c>
      <c r="E153" s="10">
        <v>0.24</v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4:65" x14ac:dyDescent="0.25"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4:65" x14ac:dyDescent="0.25"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4:65" ht="23.25" x14ac:dyDescent="0.25">
      <c r="D156" s="5" t="str" cm="1">
        <f t="array" ref="D156">Common_SourceData.Common_SourceData_EFleach_Title()</f>
        <v>Emission factor for nitrogen leaching and runoff</v>
      </c>
    </row>
    <row r="157" spans="4:65" x14ac:dyDescent="0.25">
      <c r="D157" s="4" t="str" cm="1">
        <f t="array" ref="D157">Common_SourceData.Common_SourceData_EFleach_Source()</f>
        <v>VEERG 2026:5.5.2.3 Constant Parameters</v>
      </c>
    </row>
    <row r="158" spans="4:65" x14ac:dyDescent="0.25">
      <c r="D158" s="4" t="str" cm="1">
        <f t="array" ref="D158">Common_SourceData.Common_SourceData_EFleach_NIRReference()</f>
        <v>National Inventory Report Volume 1: Equation 3.D.B_10</v>
      </c>
    </row>
    <row r="159" spans="4:65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2" spans="4:67" ht="23.25" x14ac:dyDescent="0.25">
      <c r="D162" s="5" t="str" cm="1">
        <f t="array" ref="D162">Common_SourceData.Common_SourceData_DensityOfMethane_Title()</f>
        <v>p = density of methane</v>
      </c>
    </row>
    <row r="163" spans="4:67" x14ac:dyDescent="0.25">
      <c r="D163" s="4" t="str" cm="1">
        <f t="array" ref="D163">Common_SourceData.Common_SourceData_DensityOfMethane_Source()</f>
        <v>National Inventory Report 2023 Volume 1: Equations 3.B.1a_2, 3.B.1c_2, 3.B.3_1, 3.B.4g_2</v>
      </c>
    </row>
    <row r="164" spans="4:67" x14ac:dyDescent="0.25">
      <c r="D164" s="1" cm="1">
        <f t="array" ref="D164">Common_SourceData.Common_SourceData_DensityOfMethane_Data()</f>
        <v>0.6784</v>
      </c>
      <c r="E164" s="12" t="str" cm="1">
        <f t="array" ref="E164">Common_SourceData.Common_SourceData_DensityOfMethane_Unit()</f>
        <v>kg/m3</v>
      </c>
    </row>
    <row r="165" spans="4:67" x14ac:dyDescent="0.25">
      <c r="BM165" s="6"/>
      <c r="BN165" s="6"/>
      <c r="BO165" s="6"/>
    </row>
    <row r="166" spans="4:67" x14ac:dyDescent="0.25">
      <c r="BM166" s="6"/>
      <c r="BN166" s="6"/>
      <c r="BO166" s="6"/>
    </row>
    <row r="167" spans="4:67" x14ac:dyDescent="0.25">
      <c r="BM167" s="6"/>
      <c r="BN167" s="6"/>
      <c r="BO167" s="6"/>
    </row>
    <row r="168" spans="4:67" x14ac:dyDescent="0.25">
      <c r="BM168" s="6"/>
      <c r="BN168" s="6"/>
      <c r="BO168" s="6"/>
    </row>
    <row r="169" spans="4:67" x14ac:dyDescent="0.25">
      <c r="BM169" s="6"/>
      <c r="BN169" s="6"/>
      <c r="BO169" s="6"/>
    </row>
    <row r="170" spans="4:67" x14ac:dyDescent="0.25">
      <c r="BM170" s="6"/>
      <c r="BN170" s="6"/>
      <c r="BO170" s="6"/>
    </row>
    <row r="171" spans="4:67" x14ac:dyDescent="0.25">
      <c r="BM171" s="6"/>
      <c r="BN171" s="6"/>
      <c r="BO171" s="6"/>
    </row>
    <row r="172" spans="4:67" x14ac:dyDescent="0.25">
      <c r="BM172" s="6"/>
      <c r="BN172" s="6"/>
      <c r="BO172" s="6"/>
    </row>
    <row r="173" spans="4:67" x14ac:dyDescent="0.25">
      <c r="BM173" s="6"/>
      <c r="BN173" s="6"/>
      <c r="BO173" s="6"/>
    </row>
    <row r="174" spans="4:67" x14ac:dyDescent="0.25">
      <c r="BM174" s="6"/>
      <c r="BN174" s="6"/>
      <c r="BO174" s="6"/>
    </row>
    <row r="175" spans="4:67" x14ac:dyDescent="0.25">
      <c r="BM175" s="6"/>
      <c r="BN175" s="6"/>
      <c r="BO175" s="6"/>
    </row>
    <row r="176" spans="4:67" x14ac:dyDescent="0.25">
      <c r="BM176" s="6"/>
      <c r="BN176" s="6"/>
      <c r="BO176" s="6"/>
    </row>
    <row r="177" spans="65:67" x14ac:dyDescent="0.25">
      <c r="BM177" s="6"/>
      <c r="BN177" s="6"/>
      <c r="BO177" s="6"/>
    </row>
    <row r="178" spans="65:67" x14ac:dyDescent="0.25">
      <c r="BM178" s="6"/>
      <c r="BN178" s="6"/>
      <c r="BO178" s="6"/>
    </row>
    <row r="179" spans="65:67" x14ac:dyDescent="0.25">
      <c r="BM179" s="6"/>
      <c r="BN179" s="6"/>
      <c r="BO179" s="6"/>
    </row>
  </sheetData>
  <phoneticPr fontId="19" type="noConversion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gACA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IAAg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MAEUAVAAoAFwAbgAgACAAIAAgACAAIAAgACAAbQBhAHMAawAsAFwAbgAgACAAIAAgACAAIAAgACAAKABWAEEATABVAEUAKABUAGEAYgBsAGUAXwBTAG8AdQByAGMAZQBEAGEAdABhAF8AQwBsAGkAbQBhAHQAZQBaAG8AbgBlAHMAWwBNAGkAbgAgAHQAZQBtAHAAXQApAFwAdQAwADAAMwBjAD0AYQB2AGcAVABlAG0AcAApACoAXABuACAAIAAgACAAIAAgACAAIAAoAFYAQQBMAFUARQAoAFQAYQBiAGwAZQBfAFMAbwB1AHIAYwBlAEQAYQB0AGEAXwBDAGwAaQBtAGEAdABlAFoAbwBuAGUAcwBbAE0AYQB4ACAAdABlAG0AcABdACkAXAB1ADAAMAAzAGUAPQBhAHYAZwBUAGUAbQBwACkAKgBcAG4AIAAgACAAIAAgACAAIAAgACgAVgBBAEwAVQBFACgAVABhAGIAbABlAF8AUwBvAHUAcgBjAGUARABhAHQAYQBfAEMAbABpAG0AYQB0AGUAWgBvAG4AZQBzAFsATQBpAG4AIAByAGEAaQBuAGYAYQBsAGwAXQApAFwAdQAwADAAMwBjAD0AYQB2AGcAUgBhAGkAbgApACoAXABuACAAIAAgACAAIAAgACAAIAAoAFYAQQBMAFUARQAoAFQAYQBiAGwAZQBfAFMAbwB1AHIAYwBlAEQAYQB0AGEAXwBDAGwAaQBtAGEAdABlAFoAbwBuAGUAcwBbAE0AYQB4ACAAcgBhAGkAbgBmAGEAbABsAF0AKQBcAHUAMAAwADMAZQA9AGEAdgBnAFIAYQBpAG4AKQAqAFwAbgAgACAAIAAgACAAIAAgACAAKABWAEEATABVAEUAKABUAGEAYgBsAGUAXwBTAG8AdQByAGMAZQBEAGEAdABhAF8AQwBsAGkAbQBhAHQAZQBaAG8AbgBlAHMAWwBNAGkAbgAgAGYAcgBvAHMAdAAgAGQAYQB5AHMAXQApAFwAdQAwADAAMwBjAD0AZgByAG8AcwB0AEQAYQB5AHMAKQAqAFwAbgAgACAAIAAgACAAIAAgACAAKABWAEEATABVAEUAKABUAGEAYgBsAGUAXwBTAG8AdQByAGMAZQBEAGEAdABhAF8AQwBsAGkAbQBhAHQAZQBaAG8AbgBlAHMAWwBNAGEAeAAgAGYAcgBvAHMAdAAgAGQAYQB5AHMAXQApAFwAdQAwADAAMwBlAD0AZgByAG8AcwB0AEQAYQB5AHMAKQAqAFwAbgAgACAAIAAgACAAIAAgACAAKABWAEEATABVAEUAKABUAGEAYgBsAGUAXwBTAG8AdQByAGMAZQBEAGEAdABhAF8AQwBsAGkAbQBhAHQAZQBaAG8AbgBlAHMAWwBNAGkAbgAgAGUAbABlAHYAYQB0AGkAbwBuAF0AKQBcAHUAMAAwADMAYwA9AGUAbABlAHYAKQAqAFwAbgAgACAAIAAgACAAIAAgACAAKABWAEEATABVAEUAKABUAGEAYgBsAGUAXwBTAG8AdQByAGMAZQBEAGEAdABhAF8AQwBsAGkAbQBhAHQAZQBaAG8AbgBlAHMAWwBNAGEAeAAgAGUAbABlAHYAYQB0AGkAbwBuAF0AKQBcAHUAMAAwADMAZQA9AGUAbABlAHYAKQAqAFwAbgAgACAAIAAgACAAIAAgACAAKABWAEEATABVAEUAKABUAGEAYgBsAGUAXwBTAG8AdQByAGMAZQBEAGEAdABhAF8AQwBsAGkAbQBhAHQAZQBaAG8AbgBlAHMAWwBNAGkAbgAgAE0AQQBQADoAUABFAFQAXQApAFwAdQAwADAAMwBjAD0AbQBhAHAAXwBwAGUAdAApACoAXABuACAAIAAgACAAIAAgACAAIAAoAFYAQQBMAFUARQAoAFQAYQBiAGwAZQBfAFMAbwB1AHIAYwBlAEQAYQB0AGEAXwBDAGwAaQBtAGEAdABlAFoAbwBuAGUAcwBbAE0AYQB4ACAATQBBAFAAOgBQAEUAVABdACkAXAB1ADAAMAAzAGUAPQBtAGEAcABfAHAAZQB0ACkALABcAG4AIAAgACAAIAAgACAAIAAgAC8AKgAgAEkAZgAgAHQAaABlACAAdABlAG0AcAAgAGkAcwAgAG8AdgBlAHIAIAAxADgAIABhAG4AZAAgAGYAcgBvAHMAdAAgAGQAYQB5AHMAIABhAHIAZQAgADcAIABvAHIAIABiAGUAbABvAHcAIAB3AGUAIABnAGUAdAAgAG0AdQBsAHQAaQBwAGwAZQAgAHIAZQBzAHUAbAB0AHMALgBcAG4AIAAgACAAIAAgACAAIAAgAEkAbgAgAHQAaABpAHMAIABjAGEAcwBlACAAXAB1ADAAMAAyADcAdAByAG8AcABpAGMAYQBsAFwAdQAwADAAMgA3ACAAcgBlAHMAdQBsAHQAcwAgAHMAaABvAHUAbABkACAAYgBlACAAdQBzAGUAZAAsACAAcwBvACAAdwBlACAAdABhAGsAZQAgAHQAaABlACAAZgBpAHIAcwB0ACAAcgBlAHMAdQBsAHQAXABuACAAIAAgACAAIAAgACAAIABiAGUAYwBhAHUAcwBlACAAdAByAG8AcABpAGMAYQBsACAAdgBhAGwAdQBlAHMAIABhAHIAZQAgAGYAaQByAHMAdAAgAGkAbgAgAHQAaABlACAAdABhAGIAbABlACAAKgAvAFwAbgAgACAAIAAgACAAIAAgACAAVABBAEsARQAoAFwAbgAgACAAIAAgACAAIAAgACAAIAAgACAAIABGAEkATABUAEUAUgAoAFQAYQBiAGwAZQBfAFMAbwB1AHIAYwBlAEQAYQB0AGEAXwBDAGwAaQBtAGEAdABlAFoAbwBuAGUAcwBbAEMAbABpAG0AYQB0AGUAIAB6AG8AbgBlAF0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GAE8AUgBNAFUATABBAFQARQBYAFQAKABGAHUAbgBjAHQAaQBvAG4AKQApADs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2026-03-26T07:10:19Z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