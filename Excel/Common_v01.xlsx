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F1AD5D3F-FEA4-408F-B764-2A4C13D2531F}" xr6:coauthVersionLast="47" xr6:coauthVersionMax="47" xr10:uidLastSave="{00000000-0000-0000-0000-000000000000}"/>
  <bookViews>
    <workbookView xWindow="1170" yWindow="1170" windowWidth="28800" windowHeight="15345" xr2:uid="{992023F3-CAB7-4E5B-A348-08D563A0EF40}"/>
  </bookViews>
  <sheets>
    <sheet name="Constants - Common" sheetId="14" r:id="rId1"/>
  </sheets>
  <externalReferences>
    <externalReference r:id="rId2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_xlpm.startsText, TEXT(_xlpm.starts, "dd mmm yyyy"), _xlpm.endsText, TEXT(_xlpm.ends, "dd mmm yyyy"), IF(_xlpm.n = 0, "", _xlfn.HSTACK(_xlpm.startsText &amp; " to " &amp; _xlpm.endsText))))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_xlfn.FORMULATEXT(_xlpm.Function))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 _xlfn.LET(_xlpm.mask, (VALUE(#REF!) &lt;= _xlpm.avgTemp) * (VALUE(#REF!) &gt;= _xlpm.avgTemp) * (VALUE(#REF!) &lt;= _xlpm.avgRain) * (VALUE(#REF!) &gt;= _xlpm.avgRain) * (VALUE(#REF!) &lt;= _xlpm.frostDays) * (VALUE(#REF!) &gt;= _xlpm.frostDays) * (VALUE(#REF!) &lt;= _xlpm.elev) * (VALUE(#REF!) &gt;= _xlpm.elev) * (VALUE(#REF!) &lt;= _xlpm.map_pet) * (VALUE(#REF!) &gt;= _xlpm.map_pet), _xlfn.TAKE(_xlfn._xlws.FILTER(#REF!,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_xlfn.LAMBDA(_xlfn.MAKEARRAY(14,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_xlfn.LAMBDA(_xlfn.MAKEARRAY(4, 1, _xlfn.LAMBDA(_xlpm.r,_xlpm.c, INDEX({"VARIATION OF SOURCE DATA:";"Removed duplicate 'Aquaculture' row.";"Removed asterisks to aid lookup.";"Added 'production system only', 'rainfall zone' and 'irrigation method' columns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0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Range_LivestockStartingValues">#REF!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8" i="14" l="1" a="1"/>
  <c r="H188" i="14" s="1"/>
  <c r="G188" i="14" a="1"/>
  <c r="G188" i="14" s="1"/>
  <c r="F188" i="14" a="1"/>
  <c r="F188" i="14" s="1"/>
  <c r="E188" i="14" a="1"/>
  <c r="E188" i="14" s="1"/>
  <c r="D188" i="14" a="1"/>
  <c r="D188" i="14" s="1"/>
  <c r="H187" i="14" a="1"/>
  <c r="H187" i="14" s="1"/>
  <c r="G187" i="14" a="1"/>
  <c r="G187" i="14" s="1"/>
  <c r="F187" i="14" a="1"/>
  <c r="F187" i="14" s="1"/>
  <c r="E187" i="14" a="1"/>
  <c r="E187" i="14" s="1"/>
  <c r="D187" i="14" a="1"/>
  <c r="D187" i="14" s="1"/>
  <c r="H186" i="14" a="1"/>
  <c r="H186" i="14" s="1"/>
  <c r="G186" i="14" a="1"/>
  <c r="G186" i="14" s="1"/>
  <c r="F186" i="14" a="1"/>
  <c r="F186" i="14" s="1"/>
  <c r="E186" i="14" a="1"/>
  <c r="E186" i="14" s="1"/>
  <c r="D186" i="14" a="1"/>
  <c r="D186" i="14" s="1"/>
  <c r="H185" i="14" a="1"/>
  <c r="H185" i="14" s="1"/>
  <c r="G185" i="14" a="1"/>
  <c r="G185" i="14" s="1"/>
  <c r="F185" i="14" a="1"/>
  <c r="F185" i="14" s="1"/>
  <c r="E185" i="14" a="1"/>
  <c r="E185" i="14" s="1"/>
  <c r="D185" i="14" a="1"/>
  <c r="D185" i="14" s="1"/>
  <c r="H184" i="14" a="1"/>
  <c r="H184" i="14" s="1"/>
  <c r="G184" i="14" a="1"/>
  <c r="G184" i="14" s="1"/>
  <c r="F184" i="14" a="1"/>
  <c r="F184" i="14" s="1"/>
  <c r="E184" i="14" a="1"/>
  <c r="E184" i="14" s="1"/>
  <c r="D184" i="14" a="1"/>
  <c r="D184" i="14" s="1"/>
  <c r="H183" i="14" a="1"/>
  <c r="H183" i="14" s="1"/>
  <c r="G183" i="14" a="1"/>
  <c r="G183" i="14" s="1"/>
  <c r="F183" i="14" a="1"/>
  <c r="F183" i="14" s="1"/>
  <c r="E183" i="14" a="1"/>
  <c r="E183" i="14" s="1"/>
  <c r="D183" i="14" a="1"/>
  <c r="D183" i="14" s="1"/>
  <c r="H182" i="14" a="1"/>
  <c r="H182" i="14" s="1"/>
  <c r="G182" i="14" a="1"/>
  <c r="G182" i="14" s="1"/>
  <c r="F182" i="14" a="1"/>
  <c r="F182" i="14" s="1"/>
  <c r="E182" i="14" a="1"/>
  <c r="E182" i="14" s="1"/>
  <c r="D182" i="14" a="1"/>
  <c r="D182" i="14" s="1"/>
  <c r="H181" i="14" a="1"/>
  <c r="H181" i="14" s="1"/>
  <c r="G181" i="14" a="1"/>
  <c r="G181" i="14" s="1"/>
  <c r="F181" i="14" a="1"/>
  <c r="F181" i="14" s="1"/>
  <c r="E181" i="14" a="1"/>
  <c r="E181" i="14" s="1"/>
  <c r="D181" i="14" a="1"/>
  <c r="D181" i="14" s="1"/>
  <c r="H180" i="14" a="1"/>
  <c r="H180" i="14" s="1"/>
  <c r="G180" i="14" a="1"/>
  <c r="G180" i="14" s="1"/>
  <c r="F180" i="14" a="1"/>
  <c r="F180" i="14" s="1"/>
  <c r="E180" i="14" a="1"/>
  <c r="E180" i="14" s="1"/>
  <c r="D180" i="14" a="1"/>
  <c r="D180" i="14" s="1"/>
  <c r="H179" i="14" a="1"/>
  <c r="H179" i="14" s="1"/>
  <c r="G179" i="14" a="1"/>
  <c r="G179" i="14" s="1"/>
  <c r="F179" i="14" a="1"/>
  <c r="F179" i="14" s="1"/>
  <c r="E179" i="14" a="1"/>
  <c r="E179" i="14" s="1"/>
  <c r="D179" i="14" a="1"/>
  <c r="D179" i="14" s="1"/>
  <c r="H178" i="14" a="1"/>
  <c r="H178" i="14" s="1"/>
  <c r="G178" i="14" a="1"/>
  <c r="G178" i="14" s="1"/>
  <c r="F178" i="14" a="1"/>
  <c r="F178" i="14" s="1"/>
  <c r="E178" i="14" a="1"/>
  <c r="E178" i="14" s="1"/>
  <c r="D178" i="14" a="1"/>
  <c r="D178" i="14" s="1"/>
  <c r="H177" i="14" a="1"/>
  <c r="H177" i="14" s="1"/>
  <c r="G177" i="14" a="1"/>
  <c r="G177" i="14" s="1"/>
  <c r="F177" i="14" a="1"/>
  <c r="F177" i="14" s="1"/>
  <c r="E177" i="14" a="1"/>
  <c r="E177" i="14" s="1"/>
  <c r="D177" i="14" a="1"/>
  <c r="D177" i="14" s="1"/>
  <c r="H176" i="14" a="1"/>
  <c r="H176" i="14" s="1"/>
  <c r="G176" i="14" a="1"/>
  <c r="G176" i="14" s="1"/>
  <c r="F176" i="14" a="1"/>
  <c r="F176" i="14" s="1"/>
  <c r="E176" i="14" a="1"/>
  <c r="E176" i="14" s="1"/>
  <c r="D176" i="14" a="1"/>
  <c r="D176" i="14" s="1"/>
  <c r="D170" i="14" a="1"/>
  <c r="D170" i="14" s="1"/>
  <c r="D169" i="14" a="1"/>
  <c r="D169" i="14" s="1"/>
  <c r="D168" i="14" a="1"/>
  <c r="D168" i="14" s="1"/>
  <c r="D167" i="14" a="1"/>
  <c r="D167" i="14" s="1"/>
  <c r="E164" i="14" a="1"/>
  <c r="E164" i="14" s="1"/>
  <c r="D164" i="14" a="1"/>
  <c r="D164" i="14" s="1"/>
  <c r="D163" i="14" a="1"/>
  <c r="D163" i="14" s="1"/>
  <c r="D162" i="14" a="1"/>
  <c r="D162" i="14" s="1"/>
  <c r="D159" i="14" a="1"/>
  <c r="D159" i="14" s="1"/>
  <c r="D158" i="14" a="1"/>
  <c r="D158" i="14" s="1"/>
  <c r="D157" i="14" a="1"/>
  <c r="D157" i="14" s="1"/>
  <c r="D156" i="14" a="1"/>
  <c r="D156" i="14" s="1"/>
  <c r="D153" i="14" a="1"/>
  <c r="D153" i="14" s="1"/>
  <c r="D152" i="14" a="1"/>
  <c r="D152" i="14" s="1"/>
  <c r="D151" i="14" a="1"/>
  <c r="D151" i="14" s="1"/>
  <c r="D150" i="14" a="1"/>
  <c r="D150" i="14" s="1"/>
  <c r="E147" i="14" a="1"/>
  <c r="E147" i="14" s="1"/>
  <c r="D147" i="14" a="1"/>
  <c r="D147" i="14" s="1"/>
  <c r="E146" i="14" a="1"/>
  <c r="E146" i="14" s="1"/>
  <c r="D146" i="14" a="1"/>
  <c r="D146" i="14" s="1"/>
  <c r="E145" i="14" a="1"/>
  <c r="E145" i="14" s="1"/>
  <c r="D145" i="14" a="1"/>
  <c r="D145" i="14" s="1"/>
  <c r="E144" i="14" a="1"/>
  <c r="E144" i="14" s="1"/>
  <c r="D144" i="14" a="1"/>
  <c r="D144" i="14" s="1"/>
  <c r="E143" i="14" a="1"/>
  <c r="E143" i="14" s="1"/>
  <c r="D143" i="14" a="1"/>
  <c r="D143" i="14" s="1"/>
  <c r="D140" i="14" a="1"/>
  <c r="D140" i="14" s="1"/>
  <c r="D139" i="14" a="1"/>
  <c r="D139" i="14" s="1"/>
  <c r="E136" i="14" a="1"/>
  <c r="E136" i="14" s="1"/>
  <c r="D136" i="14" a="1"/>
  <c r="D136" i="14" s="1"/>
  <c r="E135" i="14" a="1"/>
  <c r="E135" i="14" s="1"/>
  <c r="D135" i="14" a="1"/>
  <c r="D135" i="14" s="1"/>
  <c r="D133" i="14" a="1"/>
  <c r="D133" i="14" s="1"/>
  <c r="D132" i="14" a="1"/>
  <c r="D132" i="14" s="1"/>
  <c r="E129" i="14" a="1"/>
  <c r="E129" i="14" s="1"/>
  <c r="D129" i="14" a="1"/>
  <c r="D129" i="14" s="1"/>
  <c r="E128" i="14" a="1"/>
  <c r="E128" i="14" s="1"/>
  <c r="D128" i="14" a="1"/>
  <c r="D128" i="14" s="1"/>
  <c r="D125" i="14" a="1"/>
  <c r="D125" i="14" s="1"/>
  <c r="D124" i="14" a="1"/>
  <c r="D124" i="14" s="1"/>
  <c r="G121" i="14" a="1"/>
  <c r="G121" i="14" s="1"/>
  <c r="F121" i="14" a="1"/>
  <c r="F121" i="14" s="1"/>
  <c r="E121" i="14" a="1"/>
  <c r="E121" i="14" s="1"/>
  <c r="D121" i="14" a="1"/>
  <c r="D121" i="14" s="1"/>
  <c r="G120" i="14" a="1"/>
  <c r="G120" i="14" s="1"/>
  <c r="F120" i="14" a="1"/>
  <c r="F120" i="14" s="1"/>
  <c r="E120" i="14" a="1"/>
  <c r="E120" i="14" s="1"/>
  <c r="D120" i="14" a="1"/>
  <c r="D120" i="14" s="1"/>
  <c r="D117" i="14" a="1"/>
  <c r="D117" i="14" s="1"/>
  <c r="D116" i="14" a="1"/>
  <c r="D116" i="14" s="1"/>
  <c r="D115" i="14" a="1"/>
  <c r="D115" i="14" s="1"/>
  <c r="G112" i="14" a="1"/>
  <c r="G112" i="14" s="1"/>
  <c r="F112" i="14" a="1"/>
  <c r="F112" i="14" s="1"/>
  <c r="E112" i="14" a="1"/>
  <c r="E112" i="14" s="1"/>
  <c r="D112" i="14" a="1"/>
  <c r="D112" i="14" s="1"/>
  <c r="G111" i="14" a="1"/>
  <c r="G111" i="14" s="1"/>
  <c r="F111" i="14" a="1"/>
  <c r="F111" i="14" s="1"/>
  <c r="E111" i="14" a="1"/>
  <c r="E111" i="14" s="1"/>
  <c r="D111" i="14" a="1"/>
  <c r="D111" i="14" s="1"/>
  <c r="G110" i="14" a="1"/>
  <c r="G110" i="14" s="1"/>
  <c r="F110" i="14" a="1"/>
  <c r="F110" i="14" s="1"/>
  <c r="E110" i="14" a="1"/>
  <c r="E110" i="14" s="1"/>
  <c r="D110" i="14" a="1"/>
  <c r="D110" i="14" s="1"/>
  <c r="D107" i="14" a="1"/>
  <c r="D107" i="14" s="1"/>
  <c r="D106" i="14" a="1"/>
  <c r="D106" i="14" s="1"/>
  <c r="D105" i="14" a="1"/>
  <c r="D105" i="14" s="1"/>
  <c r="D98" i="14" a="1"/>
  <c r="D98" i="14" s="1"/>
  <c r="S97" i="14" a="1"/>
  <c r="S97" i="14" s="1"/>
  <c r="R97" i="14" a="1"/>
  <c r="R97" i="14" s="1"/>
  <c r="Q97" i="14" a="1"/>
  <c r="Q97" i="14" s="1"/>
  <c r="P97" i="14" a="1"/>
  <c r="P97" i="14" s="1"/>
  <c r="O97" i="14" a="1"/>
  <c r="O97" i="14" s="1"/>
  <c r="N97" i="14" a="1"/>
  <c r="N97" i="14" s="1"/>
  <c r="M97" i="14" a="1"/>
  <c r="M97" i="14" s="1"/>
  <c r="L97" i="14" a="1"/>
  <c r="L97" i="14" s="1"/>
  <c r="K97" i="14" a="1"/>
  <c r="K97" i="14" s="1"/>
  <c r="J97" i="14" a="1"/>
  <c r="J97" i="14" s="1"/>
  <c r="I97" i="14" a="1"/>
  <c r="I97" i="14" s="1"/>
  <c r="H97" i="14" a="1"/>
  <c r="H97" i="14" s="1"/>
  <c r="G97" i="14" a="1"/>
  <c r="G97" i="14" s="1"/>
  <c r="F97" i="14" a="1"/>
  <c r="F97" i="14" s="1"/>
  <c r="E97" i="14" a="1"/>
  <c r="E97" i="14" s="1"/>
  <c r="D97" i="14" a="1"/>
  <c r="D97" i="14" s="1"/>
  <c r="S96" i="14" a="1"/>
  <c r="S96" i="14" s="1"/>
  <c r="R96" i="14" a="1"/>
  <c r="R96" i="14" s="1"/>
  <c r="Q96" i="14" a="1"/>
  <c r="Q96" i="14" s="1"/>
  <c r="P96" i="14" a="1"/>
  <c r="P96" i="14" s="1"/>
  <c r="O96" i="14" a="1"/>
  <c r="O96" i="14" s="1"/>
  <c r="N96" i="14" a="1"/>
  <c r="N96" i="14" s="1"/>
  <c r="M96" i="14" a="1"/>
  <c r="M96" i="14" s="1"/>
  <c r="L96" i="14" a="1"/>
  <c r="L96" i="14" s="1"/>
  <c r="K96" i="14" a="1"/>
  <c r="K96" i="14" s="1"/>
  <c r="J96" i="14" a="1"/>
  <c r="J96" i="14" s="1"/>
  <c r="I96" i="14" a="1"/>
  <c r="I96" i="14" s="1"/>
  <c r="H96" i="14" a="1"/>
  <c r="H96" i="14" s="1"/>
  <c r="G96" i="14" a="1"/>
  <c r="G96" i="14" s="1"/>
  <c r="F96" i="14" a="1"/>
  <c r="F96" i="14" s="1"/>
  <c r="E96" i="14" a="1"/>
  <c r="E96" i="14" s="1"/>
  <c r="D96" i="14" a="1"/>
  <c r="D96" i="14" s="1"/>
  <c r="S95" i="14" a="1"/>
  <c r="S95" i="14" s="1"/>
  <c r="R95" i="14" a="1"/>
  <c r="R95" i="14" s="1"/>
  <c r="Q95" i="14" a="1"/>
  <c r="Q95" i="14" s="1"/>
  <c r="P95" i="14" a="1"/>
  <c r="P95" i="14" s="1"/>
  <c r="O95" i="14" a="1"/>
  <c r="O95" i="14" s="1"/>
  <c r="N95" i="14" a="1"/>
  <c r="N95" i="14" s="1"/>
  <c r="M95" i="14" a="1"/>
  <c r="M95" i="14" s="1"/>
  <c r="L95" i="14" a="1"/>
  <c r="L95" i="14" s="1"/>
  <c r="K95" i="14" a="1"/>
  <c r="K95" i="14" s="1"/>
  <c r="J95" i="14" a="1"/>
  <c r="J95" i="14" s="1"/>
  <c r="I95" i="14" a="1"/>
  <c r="I95" i="14" s="1"/>
  <c r="H95" i="14" a="1"/>
  <c r="H95" i="14" s="1"/>
  <c r="G95" i="14" a="1"/>
  <c r="G95" i="14" s="1"/>
  <c r="F95" i="14" a="1"/>
  <c r="F95" i="14" s="1"/>
  <c r="E95" i="14" a="1"/>
  <c r="E95" i="14" s="1"/>
  <c r="D95" i="14" a="1"/>
  <c r="D95" i="14" s="1"/>
  <c r="S94" i="14" a="1"/>
  <c r="S94" i="14" s="1"/>
  <c r="R94" i="14" a="1"/>
  <c r="R94" i="14" s="1"/>
  <c r="Q94" i="14" a="1"/>
  <c r="Q94" i="14" s="1"/>
  <c r="P94" i="14" a="1"/>
  <c r="P94" i="14" s="1"/>
  <c r="O94" i="14" a="1"/>
  <c r="O94" i="14" s="1"/>
  <c r="N94" i="14" a="1"/>
  <c r="N94" i="14" s="1"/>
  <c r="M94" i="14" a="1"/>
  <c r="M94" i="14" s="1"/>
  <c r="L94" i="14" a="1"/>
  <c r="L94" i="14" s="1"/>
  <c r="K94" i="14" a="1"/>
  <c r="K94" i="14" s="1"/>
  <c r="J94" i="14" a="1"/>
  <c r="J94" i="14" s="1"/>
  <c r="I94" i="14" a="1"/>
  <c r="I94" i="14" s="1"/>
  <c r="H94" i="14" a="1"/>
  <c r="H94" i="14" s="1"/>
  <c r="G94" i="14" a="1"/>
  <c r="G94" i="14" s="1"/>
  <c r="F94" i="14" a="1"/>
  <c r="F94" i="14" s="1"/>
  <c r="E94" i="14" a="1"/>
  <c r="E94" i="14" s="1"/>
  <c r="D94" i="14" a="1"/>
  <c r="D94" i="14" s="1"/>
  <c r="S93" i="14" a="1"/>
  <c r="S93" i="14" s="1"/>
  <c r="R93" i="14" a="1"/>
  <c r="R93" i="14" s="1"/>
  <c r="Q93" i="14" a="1"/>
  <c r="Q93" i="14" s="1"/>
  <c r="P93" i="14" a="1"/>
  <c r="P93" i="14" s="1"/>
  <c r="O93" i="14" a="1"/>
  <c r="O93" i="14" s="1"/>
  <c r="N93" i="14" a="1"/>
  <c r="N93" i="14" s="1"/>
  <c r="M93" i="14" a="1"/>
  <c r="M93" i="14" s="1"/>
  <c r="L93" i="14" a="1"/>
  <c r="L93" i="14" s="1"/>
  <c r="K93" i="14" a="1"/>
  <c r="K93" i="14" s="1"/>
  <c r="J93" i="14" a="1"/>
  <c r="J93" i="14" s="1"/>
  <c r="I93" i="14" a="1"/>
  <c r="I93" i="14" s="1"/>
  <c r="H93" i="14" a="1"/>
  <c r="H93" i="14" s="1"/>
  <c r="G93" i="14" a="1"/>
  <c r="G93" i="14" s="1"/>
  <c r="F93" i="14" a="1"/>
  <c r="F93" i="14" s="1"/>
  <c r="E93" i="14" a="1"/>
  <c r="E93" i="14" s="1"/>
  <c r="D93" i="14" a="1"/>
  <c r="D93" i="14" s="1"/>
  <c r="S92" i="14" a="1"/>
  <c r="S92" i="14" s="1"/>
  <c r="R92" i="14" a="1"/>
  <c r="R92" i="14" s="1"/>
  <c r="Q92" i="14" a="1"/>
  <c r="Q92" i="14" s="1"/>
  <c r="P92" i="14" a="1"/>
  <c r="P92" i="14" s="1"/>
  <c r="O92" i="14" a="1"/>
  <c r="O92" i="14" s="1"/>
  <c r="N92" i="14" a="1"/>
  <c r="N92" i="14" s="1"/>
  <c r="M92" i="14" a="1"/>
  <c r="M92" i="14" s="1"/>
  <c r="L92" i="14" a="1"/>
  <c r="L92" i="14" s="1"/>
  <c r="K92" i="14" a="1"/>
  <c r="K92" i="14" s="1"/>
  <c r="J92" i="14" a="1"/>
  <c r="J92" i="14" s="1"/>
  <c r="I92" i="14" a="1"/>
  <c r="I92" i="14" s="1"/>
  <c r="H92" i="14" a="1"/>
  <c r="H92" i="14" s="1"/>
  <c r="G92" i="14" a="1"/>
  <c r="G92" i="14" s="1"/>
  <c r="F92" i="14" a="1"/>
  <c r="F92" i="14" s="1"/>
  <c r="E92" i="14" a="1"/>
  <c r="E92" i="14" s="1"/>
  <c r="D92" i="14" a="1"/>
  <c r="D92" i="14" s="1"/>
  <c r="S91" i="14" a="1"/>
  <c r="S91" i="14" s="1"/>
  <c r="R91" i="14" a="1"/>
  <c r="R91" i="14" s="1"/>
  <c r="Q91" i="14" a="1"/>
  <c r="Q91" i="14" s="1"/>
  <c r="P91" i="14" a="1"/>
  <c r="P91" i="14" s="1"/>
  <c r="O91" i="14" a="1"/>
  <c r="O91" i="14" s="1"/>
  <c r="N91" i="14" a="1"/>
  <c r="N91" i="14" s="1"/>
  <c r="M91" i="14" a="1"/>
  <c r="M91" i="14" s="1"/>
  <c r="L91" i="14" a="1"/>
  <c r="L91" i="14" s="1"/>
  <c r="K91" i="14" a="1"/>
  <c r="K91" i="14" s="1"/>
  <c r="J91" i="14" a="1"/>
  <c r="J91" i="14" s="1"/>
  <c r="I91" i="14" a="1"/>
  <c r="I91" i="14" s="1"/>
  <c r="H91" i="14" a="1"/>
  <c r="H91" i="14" s="1"/>
  <c r="G91" i="14" a="1"/>
  <c r="G91" i="14" s="1"/>
  <c r="F91" i="14" a="1"/>
  <c r="F91" i="14" s="1"/>
  <c r="E91" i="14" a="1"/>
  <c r="E91" i="14" s="1"/>
  <c r="D91" i="14" a="1"/>
  <c r="D91" i="14" s="1"/>
  <c r="S90" i="14" a="1"/>
  <c r="S90" i="14" s="1"/>
  <c r="R90" i="14" a="1"/>
  <c r="R90" i="14" s="1"/>
  <c r="Q90" i="14" a="1"/>
  <c r="Q90" i="14" s="1"/>
  <c r="P90" i="14" a="1"/>
  <c r="P90" i="14" s="1"/>
  <c r="O90" i="14" a="1"/>
  <c r="O90" i="14" s="1"/>
  <c r="N90" i="14" a="1"/>
  <c r="N90" i="14" s="1"/>
  <c r="M90" i="14" a="1"/>
  <c r="M90" i="14" s="1"/>
  <c r="L90" i="14" a="1"/>
  <c r="L90" i="14" s="1"/>
  <c r="K90" i="14" a="1"/>
  <c r="K90" i="14" s="1"/>
  <c r="J90" i="14" a="1"/>
  <c r="J90" i="14" s="1"/>
  <c r="I90" i="14" a="1"/>
  <c r="I90" i="14" s="1"/>
  <c r="H90" i="14" a="1"/>
  <c r="H90" i="14" s="1"/>
  <c r="G90" i="14" a="1"/>
  <c r="G90" i="14" s="1"/>
  <c r="F90" i="14" a="1"/>
  <c r="F90" i="14" s="1"/>
  <c r="E90" i="14" a="1"/>
  <c r="E90" i="14" s="1"/>
  <c r="D90" i="14" a="1"/>
  <c r="D90" i="14" s="1"/>
  <c r="D83" i="14" a="1"/>
  <c r="D83" i="14" s="1"/>
  <c r="D82" i="14" a="1"/>
  <c r="D82" i="14" s="1"/>
  <c r="D81" i="14" a="1"/>
  <c r="D81" i="14" s="1"/>
  <c r="E77" i="14" a="1"/>
  <c r="E77" i="14" s="1"/>
  <c r="D77" i="14" a="1"/>
  <c r="D77" i="14" s="1"/>
  <c r="E76" i="14" a="1"/>
  <c r="E76" i="14" s="1"/>
  <c r="D76" i="14" a="1"/>
  <c r="D76" i="14" s="1"/>
  <c r="E75" i="14" a="1"/>
  <c r="E75" i="14" s="1"/>
  <c r="D75" i="14" a="1"/>
  <c r="D75" i="14" s="1"/>
  <c r="E74" i="14" a="1"/>
  <c r="E74" i="14" s="1"/>
  <c r="D74" i="14" a="1"/>
  <c r="D74" i="14" s="1"/>
  <c r="E73" i="14" a="1"/>
  <c r="E73" i="14" s="1"/>
  <c r="D73" i="14" a="1"/>
  <c r="D73" i="14" s="1"/>
  <c r="E72" i="14" a="1"/>
  <c r="E72" i="14" s="1"/>
  <c r="D72" i="14" a="1"/>
  <c r="D72" i="14" s="1"/>
  <c r="E71" i="14" a="1"/>
  <c r="E71" i="14" s="1"/>
  <c r="D71" i="14" a="1"/>
  <c r="D71" i="14" s="1"/>
  <c r="E70" i="14" a="1"/>
  <c r="E70" i="14" s="1"/>
  <c r="D70" i="14" a="1"/>
  <c r="D70" i="14" s="1"/>
  <c r="E69" i="14" a="1"/>
  <c r="E69" i="14" s="1"/>
  <c r="D69" i="14" a="1"/>
  <c r="D69" i="14" s="1"/>
  <c r="E68" i="14" a="1"/>
  <c r="E68" i="14" s="1"/>
  <c r="D68" i="14" a="1"/>
  <c r="D68" i="14" s="1"/>
  <c r="E67" i="14" a="1"/>
  <c r="E67" i="14" s="1"/>
  <c r="D67" i="14" a="1"/>
  <c r="D67" i="14" s="1"/>
  <c r="E66" i="14" a="1"/>
  <c r="E66" i="14" s="1"/>
  <c r="D66" i="14" a="1"/>
  <c r="D66" i="14" s="1"/>
  <c r="E65" i="14" a="1"/>
  <c r="E65" i="14" s="1"/>
  <c r="D65" i="14" a="1"/>
  <c r="D65" i="14" s="1"/>
  <c r="E64" i="14" a="1"/>
  <c r="E64" i="14" s="1"/>
  <c r="D64" i="14" a="1"/>
  <c r="D64" i="14" s="1"/>
  <c r="D59" i="14" a="1"/>
  <c r="D59" i="14" s="1"/>
  <c r="D58" i="14" a="1"/>
  <c r="D58" i="14" s="1"/>
  <c r="D57" i="14" a="1"/>
  <c r="D57" i="14" s="1"/>
  <c r="G54" i="14" a="1"/>
  <c r="G54" i="14" s="1"/>
  <c r="F54" i="14" a="1"/>
  <c r="F54" i="14" s="1"/>
  <c r="E54" i="14" a="1"/>
  <c r="E54" i="14" s="1"/>
  <c r="D54" i="14" a="1"/>
  <c r="D54" i="14" s="1"/>
  <c r="G53" i="14" a="1"/>
  <c r="G53" i="14" s="1"/>
  <c r="F53" i="14" a="1"/>
  <c r="F53" i="14" s="1"/>
  <c r="E53" i="14" a="1"/>
  <c r="E53" i="14" s="1"/>
  <c r="D53" i="14" a="1"/>
  <c r="D53" i="14" s="1"/>
  <c r="G52" i="14" a="1"/>
  <c r="G52" i="14" s="1"/>
  <c r="F52" i="14" a="1"/>
  <c r="F52" i="14" s="1"/>
  <c r="E52" i="14" a="1"/>
  <c r="E52" i="14" s="1"/>
  <c r="D52" i="14" a="1"/>
  <c r="D52" i="14" s="1"/>
  <c r="G51" i="14" a="1"/>
  <c r="G51" i="14" s="1"/>
  <c r="F51" i="14" a="1"/>
  <c r="F51" i="14" s="1"/>
  <c r="E51" i="14" a="1"/>
  <c r="E51" i="14" s="1"/>
  <c r="D51" i="14" a="1"/>
  <c r="D51" i="14" s="1"/>
  <c r="G50" i="14" a="1"/>
  <c r="G50" i="14" s="1"/>
  <c r="F50" i="14" a="1"/>
  <c r="F50" i="14" s="1"/>
  <c r="E50" i="14" a="1"/>
  <c r="E50" i="14" s="1"/>
  <c r="D50" i="14" a="1"/>
  <c r="D50" i="14" s="1"/>
  <c r="G49" i="14" a="1"/>
  <c r="G49" i="14" s="1"/>
  <c r="F49" i="14" a="1"/>
  <c r="F49" i="14" s="1"/>
  <c r="E49" i="14" a="1"/>
  <c r="E49" i="14" s="1"/>
  <c r="D49" i="14" a="1"/>
  <c r="D49" i="14" s="1"/>
  <c r="G48" i="14" a="1"/>
  <c r="G48" i="14" s="1"/>
  <c r="F48" i="14" a="1"/>
  <c r="F48" i="14" s="1"/>
  <c r="E48" i="14" a="1"/>
  <c r="E48" i="14" s="1"/>
  <c r="D48" i="14" a="1"/>
  <c r="D48" i="14" s="1"/>
  <c r="D46" i="14" a="1"/>
  <c r="D46" i="14" s="1"/>
  <c r="D45" i="14"/>
  <c r="D45" i="14" a="1"/>
  <c r="E43" i="14" a="1"/>
  <c r="E43" i="14" s="1"/>
  <c r="D43" i="14" a="1"/>
  <c r="D43" i="14" s="1"/>
  <c r="E42" i="14" a="1"/>
  <c r="E42" i="14" s="1"/>
  <c r="D42" i="14" a="1"/>
  <c r="D42" i="14" s="1"/>
  <c r="E41" i="14" a="1"/>
  <c r="E41" i="14" s="1"/>
  <c r="D41" i="14" a="1"/>
  <c r="D41" i="14" s="1"/>
  <c r="E40" i="14" a="1"/>
  <c r="E40" i="14" s="1"/>
  <c r="D40" i="14" a="1"/>
  <c r="D40" i="14" s="1"/>
  <c r="E39" i="14" a="1"/>
  <c r="E39" i="14" s="1"/>
  <c r="D39" i="14" a="1"/>
  <c r="D39" i="14" s="1"/>
  <c r="E38" i="14" a="1"/>
  <c r="E38" i="14" s="1"/>
  <c r="D38" i="14" a="1"/>
  <c r="D38" i="14" s="1"/>
  <c r="E37" i="14" a="1"/>
  <c r="E37" i="14" s="1"/>
  <c r="D37" i="14" a="1"/>
  <c r="D37" i="14" s="1"/>
  <c r="D35" i="14" a="1"/>
  <c r="D35" i="14" s="1"/>
  <c r="D34" i="14" a="1"/>
  <c r="D34" i="14" s="1"/>
  <c r="D30" i="14" a="1"/>
  <c r="D30" i="14" s="1"/>
  <c r="D29" i="14" a="1"/>
  <c r="D29" i="14" s="1"/>
  <c r="D28" i="14" a="1"/>
  <c r="D28" i="14" s="1"/>
  <c r="D27" i="14" a="1"/>
  <c r="D27" i="14" s="1"/>
  <c r="D26" i="14" a="1"/>
  <c r="D26" i="14" s="1"/>
  <c r="D25" i="14" a="1"/>
  <c r="D25" i="14" s="1"/>
  <c r="D24" i="14" a="1"/>
  <c r="D24" i="14" s="1"/>
  <c r="D23" i="14" a="1"/>
  <c r="D23" i="14" s="1"/>
  <c r="D22" i="14" a="1"/>
  <c r="D22" i="14" s="1"/>
  <c r="D21" i="14" a="1"/>
  <c r="D21" i="14" s="1"/>
  <c r="D19" i="14" a="1"/>
  <c r="D19" i="14" s="1"/>
  <c r="D18" i="14"/>
  <c r="D18" i="14" a="1"/>
  <c r="F14" i="14" a="1"/>
  <c r="F14" i="14" s="1"/>
  <c r="E14" i="14" a="1"/>
  <c r="E14" i="14" s="1"/>
  <c r="D14" i="14" a="1"/>
  <c r="D14" i="14" s="1"/>
  <c r="F13" i="14" a="1"/>
  <c r="F13" i="14" s="1"/>
  <c r="E13" i="14" a="1"/>
  <c r="E13" i="14" s="1"/>
  <c r="D13" i="14" a="1"/>
  <c r="D13" i="14" s="1"/>
  <c r="F12" i="14" a="1"/>
  <c r="F12" i="14" s="1"/>
  <c r="E12" i="14" a="1"/>
  <c r="E12" i="14" s="1"/>
  <c r="D12" i="14" a="1"/>
  <c r="D12" i="14" s="1"/>
  <c r="F11" i="14" a="1"/>
  <c r="F11" i="14" s="1"/>
  <c r="E11" i="14" a="1"/>
  <c r="E11" i="14" s="1"/>
  <c r="D11" i="14" a="1"/>
  <c r="D11" i="14" s="1"/>
  <c r="F10" i="14" a="1"/>
  <c r="F10" i="14" s="1"/>
  <c r="E10" i="14" a="1"/>
  <c r="E10" i="14" s="1"/>
  <c r="D10" i="14" a="1"/>
  <c r="D10" i="14" s="1"/>
  <c r="F9" i="14" a="1"/>
  <c r="F9" i="14" s="1"/>
  <c r="E9" i="14" a="1"/>
  <c r="E9" i="14" s="1"/>
  <c r="D9" i="14" a="1"/>
  <c r="D9" i="14" s="1"/>
  <c r="F8" i="14" a="1"/>
  <c r="F8" i="14" s="1"/>
  <c r="E8" i="14" a="1"/>
  <c r="E8" i="14" s="1"/>
  <c r="D8" i="14" a="1"/>
  <c r="D8" i="14" s="1"/>
  <c r="F7" i="14" a="1"/>
  <c r="F7" i="14" s="1"/>
  <c r="E7" i="14" a="1"/>
  <c r="E7" i="14" s="1"/>
  <c r="D7" i="14" a="1"/>
  <c r="D7" i="14" s="1"/>
  <c r="D5" i="14" a="1"/>
  <c r="D5" i="14" s="1"/>
  <c r="H53" i="14" l="1"/>
  <c r="H52" i="14"/>
  <c r="H54" i="14"/>
  <c r="H48" i="14"/>
  <c r="H49" i="14"/>
  <c r="H50" i="14"/>
  <c r="H51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<sst xmlns="http://schemas.openxmlformats.org/spreadsheetml/2006/main" count="52" uniqueCount="47">
  <si>
    <t>Climate zone</t>
  </si>
  <si>
    <t>State/Territory</t>
  </si>
  <si>
    <t>Common Name</t>
  </si>
  <si>
    <t>Abbreviation</t>
  </si>
  <si>
    <t>SA 4 Name</t>
  </si>
  <si>
    <t>Gas</t>
  </si>
  <si>
    <t>CO2-e factor</t>
  </si>
  <si>
    <t>Conversion factor</t>
  </si>
  <si>
    <t>Conversion factor 1</t>
  </si>
  <si>
    <t>Conversion factor 2</t>
  </si>
  <si>
    <t>Conversion factor combined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</si>
  <si>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</si>
  <si>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</si>
  <si>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</si>
  <si>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</si>
  <si>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</si>
  <si>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</si>
  <si>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</si>
  <si>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</si>
  <si>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</si>
  <si>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</si>
  <si>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</si>
  <si>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</si>
  <si>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</si>
  <si>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</si>
  <si>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</si>
  <si>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</si>
  <si>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</si>
  <si>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Min MAT</t>
  </si>
  <si>
    <t>Max MAT</t>
  </si>
  <si>
    <t>Rainfall Zone</t>
  </si>
  <si>
    <t>Annual rainfall</t>
  </si>
  <si>
    <t>Leaching Zone</t>
  </si>
  <si>
    <t>Leaching criteria</t>
  </si>
  <si>
    <t>Data source</t>
  </si>
  <si>
    <t>Data score</t>
  </si>
  <si>
    <t>Constants - Common</t>
  </si>
  <si>
    <t>Is in leaching zone</t>
  </si>
  <si>
    <t>FracWET</t>
  </si>
  <si>
    <t>Production system j</t>
  </si>
  <si>
    <t>EFN2O</t>
  </si>
  <si>
    <t>Production system only</t>
  </si>
  <si>
    <t>Irrigation method</t>
  </si>
  <si>
    <t>Rainfall zone</t>
  </si>
  <si>
    <t>test</t>
  </si>
  <si>
    <t>test 2</t>
  </si>
  <si>
    <t>test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</si>
</sst>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#,##0.000"/>
    <numFmt numFmtId="166" formatCode="d/mm/yyyy;@"/>
    <numFmt numFmtId="167" formatCode="[$-C09]dd\-mmmm\-yyyy;@"/>
    <numFmt numFmtId="168" formatCode="#,##0.000000"/>
  </numFmts>
  <fonts count="32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sz val="9"/>
      <color theme="1" tint="0.249977111117893"/>
      <name val="Times New Roman"/>
      <family val="1"/>
    </font>
    <font>
      <sz val="12"/>
      <color theme="0"/>
      <name val="Times New Roman"/>
      <family val="1"/>
    </font>
    <font>
      <sz val="11"/>
      <color theme="1" tint="0.499984740745262"/>
      <name val="Times New Roman"/>
      <family val="1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sz val="12"/>
      <color rgb="FF0070C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</borders>
  <cellStyleXfs count="59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6" fillId="3" borderId="0">
      <alignment vertical="center"/>
    </xf>
    <xf numFmtId="0" fontId="23" fillId="4" borderId="0">
      <alignment horizontal="left" vertical="center"/>
    </xf>
    <xf numFmtId="0" fontId="28" fillId="4" borderId="0">
      <alignment vertical="center"/>
    </xf>
    <xf numFmtId="0" fontId="3" fillId="4" borderId="0">
      <alignment horizontal="left" vertical="center"/>
    </xf>
    <xf numFmtId="0" fontId="2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0" fontId="2" fillId="0" borderId="1">
      <alignment horizontal="center" vertical="center"/>
    </xf>
    <xf numFmtId="0" fontId="3" fillId="11" borderId="1">
      <alignment horizontal="center" vertical="center"/>
    </xf>
    <xf numFmtId="9" fontId="2" fillId="0" borderId="1">
      <alignment horizontal="center" vertical="center"/>
    </xf>
    <xf numFmtId="4" fontId="2" fillId="0" borderId="1">
      <alignment horizontal="center" vertical="center"/>
    </xf>
    <xf numFmtId="3" fontId="2" fillId="0" borderId="1">
      <alignment horizontal="center" vertical="center"/>
    </xf>
    <xf numFmtId="0" fontId="13" fillId="0" borderId="1">
      <alignment horizontal="center" vertical="center"/>
    </xf>
    <xf numFmtId="0" fontId="14" fillId="0" borderId="1">
      <alignment horizontal="center" vertical="center"/>
    </xf>
    <xf numFmtId="9" fontId="13" fillId="0" borderId="1">
      <alignment horizontal="center" vertical="center"/>
    </xf>
    <xf numFmtId="165" fontId="13" fillId="0" borderId="1">
      <alignment horizontal="center" vertical="center"/>
    </xf>
    <xf numFmtId="3" fontId="13" fillId="0" borderId="1">
      <alignment horizontal="center" vertical="center"/>
    </xf>
    <xf numFmtId="0" fontId="15" fillId="4" borderId="0">
      <alignment horizontal="left" vertical="center"/>
    </xf>
    <xf numFmtId="0" fontId="6" fillId="4" borderId="2">
      <alignment horizontal="left" vertical="center" indent="1"/>
    </xf>
    <xf numFmtId="164" fontId="8" fillId="4" borderId="2">
      <alignment horizontal="center" vertical="center"/>
    </xf>
    <xf numFmtId="0" fontId="3" fillId="4" borderId="2">
      <alignment horizontal="left" vertical="center"/>
    </xf>
    <xf numFmtId="0" fontId="12" fillId="6" borderId="0">
      <alignment horizontal="left" vertical="center" indent="1"/>
    </xf>
    <xf numFmtId="0" fontId="12" fillId="6" borderId="0">
      <alignment horizontal="center" vertical="center"/>
      <protection locked="0"/>
    </xf>
    <xf numFmtId="0" fontId="11" fillId="4" borderId="0">
      <alignment vertical="center"/>
    </xf>
    <xf numFmtId="0" fontId="16" fillId="7" borderId="0">
      <alignment vertical="center"/>
    </xf>
    <xf numFmtId="0" fontId="10" fillId="0" borderId="0"/>
    <xf numFmtId="0" fontId="2" fillId="0" borderId="0">
      <alignment horizontal="left" vertical="center" indent="1"/>
    </xf>
    <xf numFmtId="0" fontId="17" fillId="9" borderId="3">
      <alignment horizontal="left" vertical="center" indent="1"/>
    </xf>
    <xf numFmtId="0" fontId="18" fillId="10" borderId="0">
      <alignment horizontal="left" vertical="center" indent="1"/>
    </xf>
    <xf numFmtId="0" fontId="18" fillId="5" borderId="0">
      <alignment horizontal="left" vertical="center" indent="1"/>
    </xf>
    <xf numFmtId="0" fontId="18" fillId="8" borderId="0">
      <alignment horizontal="left" vertical="center" indent="1"/>
    </xf>
    <xf numFmtId="0" fontId="19" fillId="0" borderId="0">
      <alignment horizontal="left" vertical="center" indent="2"/>
    </xf>
    <xf numFmtId="0" fontId="29" fillId="12" borderId="4">
      <alignment horizontal="left" vertical="center"/>
    </xf>
    <xf numFmtId="3" fontId="21" fillId="4" borderId="1">
      <alignment horizontal="center" vertical="center"/>
    </xf>
    <xf numFmtId="167" fontId="2" fillId="0" borderId="1">
      <alignment horizontal="center" vertical="center"/>
    </xf>
    <xf numFmtId="0" fontId="22" fillId="0" borderId="0"/>
    <xf numFmtId="0" fontId="9" fillId="0" borderId="0"/>
    <xf numFmtId="0" fontId="22" fillId="0" borderId="0"/>
    <xf numFmtId="166" fontId="21" fillId="4" borderId="1">
      <alignment horizontal="center" vertical="center"/>
    </xf>
    <xf numFmtId="4" fontId="21" fillId="4" borderId="1">
      <alignment horizontal="center" vertical="center"/>
    </xf>
    <xf numFmtId="0" fontId="25" fillId="4" borderId="0">
      <alignment horizontal="left" vertical="center"/>
    </xf>
    <xf numFmtId="0" fontId="24" fillId="4" borderId="0" applyNumberFormat="0">
      <alignment horizontal="center" vertical="center"/>
    </xf>
    <xf numFmtId="165" fontId="21" fillId="4" borderId="1">
      <alignment horizontal="center" vertical="center"/>
    </xf>
    <xf numFmtId="0" fontId="20" fillId="4" borderId="0">
      <alignment horizontal="left" vertical="center"/>
    </xf>
    <xf numFmtId="168" fontId="21" fillId="4" borderId="1">
      <alignment horizontal="center" vertical="center"/>
    </xf>
    <xf numFmtId="0" fontId="21" fillId="4" borderId="1">
      <alignment horizontal="center" vertical="center"/>
    </xf>
    <xf numFmtId="0" fontId="6" fillId="4" borderId="0">
      <alignment horizontal="left" vertical="center"/>
    </xf>
    <xf numFmtId="0" fontId="27" fillId="4" borderId="0">
      <alignment horizontal="left" vertical="center"/>
    </xf>
    <xf numFmtId="0" fontId="9" fillId="0" borderId="0"/>
    <xf numFmtId="0" fontId="2" fillId="0" borderId="1">
      <alignment horizontal="center" vertical="center"/>
    </xf>
    <xf numFmtId="0" fontId="30" fillId="4" borderId="0">
      <alignment horizontal="left" vertical="center"/>
    </xf>
    <xf numFmtId="0" fontId="31" fillId="4" borderId="0">
      <alignment horizontal="left" vertical="center"/>
    </xf>
  </cellStyleXfs>
  <cellXfs count="14">
    <xf numFmtId="0" fontId="0" fillId="0" borderId="0" xfId="0"/>
    <xf numFmtId="0" fontId="26" fillId="4" borderId="0" xfId="8">
      <alignment horizontal="left" vertical="center"/>
    </xf>
    <xf numFmtId="0" fontId="3" fillId="4" borderId="0" xfId="7">
      <alignment horizontal="left" vertical="center"/>
    </xf>
    <xf numFmtId="0" fontId="16" fillId="3" borderId="0" xfId="4">
      <alignment vertical="center"/>
    </xf>
    <xf numFmtId="0" fontId="28" fillId="4" borderId="0" xfId="6">
      <alignment vertical="center"/>
    </xf>
    <xf numFmtId="0" fontId="23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16" fillId="0" borderId="0" xfId="4" applyFill="1">
      <alignment vertical="center"/>
    </xf>
    <xf numFmtId="0" fontId="0" fillId="4" borderId="0" xfId="0" applyFill="1"/>
    <xf numFmtId="0" fontId="0" fillId="0" borderId="0" xfId="8" applyFont="1" applyFill="1">
      <alignment horizontal="left" vertical="center"/>
    </xf>
    <xf numFmtId="0" fontId="6" fillId="4" borderId="0" xfId="53">
      <alignment horizontal="left" vertical="center"/>
    </xf>
    <xf numFmtId="0" fontId="27" fillId="4" borderId="0" xfId="54">
      <alignment horizontal="left" vertical="center"/>
    </xf>
  </cellXfs>
  <cellStyles count="59">
    <cellStyle name="Block heading" xfId="5" xr:uid="{74527274-3B4A-494A-B37C-EA50686E114C}"/>
    <cellStyle name="Block subheading" xfId="47" xr:uid="{34E62905-A3E0-4883-B81A-BDB58FC88DA7}"/>
    <cellStyle name="Code" xfId="24" xr:uid="{99B3520F-01DD-4F8E-A8D0-24EAA04E90EB}"/>
    <cellStyle name="Content bold" xfId="7" xr:uid="{468A1381-682E-4BF1-945B-DF2E2BCA4419}"/>
    <cellStyle name="Content bold total" xfId="27" xr:uid="{17159E75-EF9F-42B8-8195-E83583796F67}"/>
    <cellStyle name="Content hidden" xfId="50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Information tip" xfId="39" xr:uid="{7D200D09-32E3-4546-9822-1B93AD118A74}"/>
    <cellStyle name="Information variation" xfId="54" xr:uid="{205494A3-14DD-4E6A-BDD3-5C5A864D6FA7}"/>
    <cellStyle name="Input block subheading" xfId="30" xr:uid="{A9FEBDB0-0992-4E30-96E5-9F9CAE92E3FB}"/>
    <cellStyle name="Input date" xfId="41" xr:uid="{A1D72D5E-DCF3-445F-8FC0-A147E105D774}"/>
    <cellStyle name="Input date calculated" xfId="45" xr:uid="{5A42AD0E-F665-46A9-9757-6B6A4BE7013E}"/>
    <cellStyle name="Input number 2 decimal places" xfId="17" xr:uid="{F9671E40-5700-4055-A6D2-272CF9DB620E}"/>
    <cellStyle name="Input number 2 decimal places calculated" xfId="46" xr:uid="{C04BA53C-14E1-48A5-99A3-C9FD44741A2A}"/>
    <cellStyle name="Input number 3 decimal places calculated" xfId="49" xr:uid="{637E6039-0A01-48EF-8C15-C29A497EF449}"/>
    <cellStyle name="Input number 3 decimal places disabled" xfId="22" xr:uid="{6B1B6177-B1C0-4190-858F-6E4C823402C3}"/>
    <cellStyle name="Input number 6 decimal places calculated" xfId="51" xr:uid="{CE70A7A2-3CEE-4689-8FF6-8EB6FCE0A94C}"/>
    <cellStyle name="Input number general" xfId="56" xr:uid="{D8583F7D-F13A-4EA8-BAA6-B42739FDBDDB}"/>
    <cellStyle name="Input number general calculated" xfId="52" xr:uid="{34755FEB-6E4E-4BD7-A478-DF7299A7A914}"/>
    <cellStyle name="Input number no decimals" xfId="18" xr:uid="{B33B4FB5-F3F4-4036-B2DD-663B694E2A90}"/>
    <cellStyle name="Input number no decimals calculated" xfId="40" xr:uid="{5A48F48F-03B2-410E-887B-2A9297006BAF}"/>
    <cellStyle name="Input number no decimals disabled" xfId="23" xr:uid="{7ABDCB2D-7703-4392-9553-5620789B1E19}"/>
    <cellStyle name="Input number percent disabled" xfId="21" xr:uid="{D0E8B42E-13A8-477C-99CB-5FF73C5BBAA4}"/>
    <cellStyle name="Input page heading" xfId="32" xr:uid="{74FB9B3B-4B5B-4B7F-A54C-22E0724783C8}"/>
    <cellStyle name="Input page section heading" xfId="31" xr:uid="{1A05B367-BE5D-4E2B-9831-A28D5CFAC8EC}"/>
    <cellStyle name="Input percent" xfId="16" xr:uid="{923E56A7-7902-46CD-9AA8-0D69F2E1ECA1}"/>
    <cellStyle name="Input select" xfId="15" xr:uid="{3CF2E653-7F22-4996-ABB9-95CA16698B1F}"/>
    <cellStyle name="Input select disabled" xfId="20" xr:uid="{5CE680CC-504C-444D-8337-CF97D9BB5A78}"/>
    <cellStyle name="Input table column header" xfId="29" xr:uid="{EF98B018-1246-451D-91C2-97FCD443EDC9}"/>
    <cellStyle name="Input table header" xfId="28" xr:uid="{04872377-9FDD-4D5A-91FC-B9D8DA1E8E91}"/>
    <cellStyle name="Input text" xfId="14" xr:uid="{4C71A4C5-ADD8-4A09-A7FE-940DA96821F6}"/>
    <cellStyle name="Input text calculated" xfId="48" xr:uid="{43DCF082-1F0D-4E07-9785-CAF41B37CFCC}"/>
    <cellStyle name="Input text disabled" xfId="19" xr:uid="{79E76B35-E5FF-43A1-B0D0-016F346F8B97}"/>
    <cellStyle name="Menu link child" xfId="38" xr:uid="{609090D3-DE1E-48FE-A8AA-233CE9B146E0}"/>
    <cellStyle name="Menu link default" xfId="33" xr:uid="{11B84453-1DD4-492A-B241-FE6AD4CB25FA}"/>
    <cellStyle name="Menu link selected" xfId="35" xr:uid="{B16EBA6F-62C4-483F-8E15-B20D06ABF61F}"/>
    <cellStyle name="Menu link selected equations" xfId="37" xr:uid="{7AFCC545-C221-4BAC-933E-19109D0FB654}"/>
    <cellStyle name="Menu link selected input" xfId="36" xr:uid="{17D327F4-9149-4DAC-85BB-811698090830}"/>
    <cellStyle name="Menu section title" xfId="34" xr:uid="{E2117B15-AE58-4F76-B13B-671D455A4107}"/>
    <cellStyle name="Normal" xfId="0" builtinId="0"/>
    <cellStyle name="Normal 2" xfId="55" xr:uid="{FE64FEFB-54C6-42B4-AA7F-D49670F5ED19}"/>
    <cellStyle name="Normal 2 2" xfId="44" xr:uid="{B8803ACE-513D-4EEF-BBE0-0BB76AE7D7F4}"/>
    <cellStyle name="Normal 4" xfId="42" xr:uid="{99CD1B63-5040-4067-BBD7-470030C57E5D}"/>
    <cellStyle name="Normal 5" xfId="43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6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Table description" xfId="58" xr:uid="{8BD2F353-2E3C-42FF-89E9-616E85DC18C5}"/>
    <cellStyle name="Table name" xfId="57" xr:uid="{D56F17A4-9740-44B6-BDDB-150E2C950B8B}"/>
    <cellStyle name="Unit" xfId="12" xr:uid="{90B9E191-F5E0-43AB-A245-D6CA23D4ADFC}"/>
    <cellStyle name="Unit no indent" xfId="53" xr:uid="{2829D020-DAD8-4B7D-9262-450720E27D2B}"/>
    <cellStyle name="Unit total" xfId="25" xr:uid="{65428923-3DAD-47B6-8DDF-0EBD05E7C55B}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28"/>
      <tableStyleElement type="headerRow" dxfId="27"/>
      <tableStyleElement type="totalRow" dxfId="26"/>
      <tableStyleElement type="firstColumn" dxfId="25"/>
      <tableStyleElement type="firstRowStripe" dxfId="24"/>
      <tableStyleElement type="secondRowStripe" dxfId="23"/>
    </tableStyle>
    <tableStyle name="Equation table" pivot="0" count="6" xr9:uid="{B247698E-E41D-4CCD-AA0A-C14817E9DE65}">
      <tableStyleElement type="wholeTable" dxfId="22"/>
      <tableStyleElement type="headerRow" dxfId="21"/>
      <tableStyleElement type="totalRow" dxfId="20"/>
      <tableStyleElement type="firstColumn" dxfId="19"/>
      <tableStyleElement type="firstRowStripe" dxfId="18"/>
      <tableStyleElement type="secondRowStripe" dxfId="17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4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Common_v02.xlsx" TargetMode="External"/><Relationship Id="rId1" Type="http://schemas.openxmlformats.org/officeDocument/2006/relationships/externalLinkPath" Target="Common_v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tants - Common"/>
    </sheetNames>
    <sheetDataSet>
      <sheetData sheetId="0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0E3688E-4550-4D37-92E4-8E6D7B93986F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5AE544D6-6CBB-4119-B5C5-091C6E27A988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BF8D713A-6FD6-4CAB-AF21-DBA86B554721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0BC5BA0-7D2B-4193-AAB1-4E55191B02D9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00A0681-B1CE-43A0-9C2C-E63A2F4C8176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099E98CA-54FE-4A54-9A7A-47F29FDE5C39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E30BBE-2E67-4C99-93B9-5650B357031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54ED2520-7DCD-4AEB-9D61-39C29BBB211D}" name="Gas">
      <calculatedColumnFormula array="1">Common_InputFunctions.Utility_DisplayArrayInTable(Common_SourceData.Common_SourceData_GWP_Data(), Table_GWPData[[#Headers],[Gas]], 0)</calculatedColumnFormula>
    </tableColumn>
    <tableColumn id="2" xr3:uid="{90B16C7B-E1D7-496E-9F5E-7B399B4EB76E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27CC946-57F5-4D57-9741-4E5839209E66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AF87ECF-AD12-40D9-9A34-B8C322351989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C2128F92-CB50-4903-8EF0-40843A63E8E2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935334FD-4E47-4440-BE5C-5503DA853552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FB95828-61BC-4516-AA27-A6946CD503CE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065489-B161-49B8-8A59-08BDFD64E15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2F324C3-5204-4DB7-90EA-1335F81926F8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3A3D3818-A5A1-48AD-9BB8-7D638C1E32AE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59814154-9022-4047-A927-D808F88DD7DD}" name="MAT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F6B768A6-9933-4CD7-8DDB-C32DE40C5D5D}" name="MAP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75A564B3-D32E-4FD0-9D03-FE7B38188305}" name="Frost days per year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CB8E024E-D313-4C2D-B662-87F82486AB46}" name="Elevation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B8680258-7B8E-4065-9919-C817ABC192DB}" name="MAP:PET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D566E839-40A6-45F8-A27A-903F8E28119B}" name="Min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C3BED548-D2DC-484C-A3E3-D473E29A0F40}" name="Max temp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ABFA4E14-3EFF-4B09-9163-389BA2CD0048}" name="Min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82CF3AA9-82DF-4E8C-95D8-383DCA73B8E3}" name="Max rainfall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5BCA9BE-1159-4A67-A5AF-0F536700B79E}" name="Min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B6BE0FB2-9310-4EED-BE2B-DF6EDC7FB16A}" name="Max frost days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297E9969-647C-4F5F-9784-5E9CAA919D1D}" name="Min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CC3A75C9-813A-4CAD-9C83-E7324450F9DB}" name="Max elevation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92CCD05C-2CE4-4A45-B22F-316F9E8A4294}" name="Min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78DAEF96-486C-4AF9-B29C-89ACF0044AC2}" name="Max MAP:PET" totalsRowDxfId="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E5AF498-03AE-41D0-840D-C52401CE2071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19694A92-0DEE-4A6E-BC51-982D6E854911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D0A70713-973B-422D-918B-ABC10BCB175D}" name="Wet or Dry Zone" totalsRowDxfId="1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0B17EFA-36F5-4688-90AC-4736DA174794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39A3E798-B6F6-4E8D-8F88-A99C8EA054AF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716FBAFC-9EF8-4F89-8B6A-9456ED64AB2A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8EBDDF1B-E2B1-469E-9A0F-3097B9182F3D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4D6211F2-492C-4681-BEDD-4CF0E003C60C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D9D7934-770E-4FA0-B3A9-313B4333ABC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A2B3A07F-70DF-4FBB-BED6-38DB0B294353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0314575-5F75-4E7F-BCDF-E543D94DBE99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E8EC7B10-93C4-4C08-A0A5-221C22CABCE2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132159D6-AB45-4D4A-B6E2-FCBD4D3AAA39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B2DE042-FB5F-4D99-A8D1-0CF6E232CFF8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F0D5BDD2-F81C-4E8F-B8B5-0CC8BEDBC472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4942F55-5E31-4A20-9926-1B41D505AAD4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E6BF60-CE26-4377-8154-DF5907B0B692}" name="Table_SourceData_DataScores_Scope3" displayName="Table_SourceData_DataScores_Scope3" ref="D142:E147" totalsRowShown="0">
  <autoFilter ref="D142:E147" xr:uid="{133D42B0-F6D2-470A-858A-37E6A7F5EC2B}">
    <filterColumn colId="0" hiddenButton="1"/>
    <filterColumn colId="1" hiddenButton="1"/>
  </autoFilter>
  <tableColumns count="2">
    <tableColumn id="1" xr3:uid="{68EABE1B-963C-47DD-9D87-D9246D45A477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11CEB607-ADD4-4046-BF94-7934247978CD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3B9E031-0DAE-47E1-A28D-9CA693FDF6ED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9EAD8DDD-FB08-42A5-B9E0-6C4315AEE8B1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9E8DF127-FD5D-486C-B271-7A4F84E7D5B7}" name="FracWET" dataDxfId="0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8ED201F-FF01-45AD-8F36-BD6B21B4BD7F}" name="Table_SourceData_Common_EFN2O" displayName="Table_SourceData_Common_EFN2O" ref="D175:H188" totalsRowShown="0">
  <autoFilter ref="D175:H188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3D0A318-3C7C-411A-B48E-8C101797A5D1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CD5D5AB-7A74-4746-AB6D-BAA01B8181B4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AFC49662-E901-416F-8B07-CB0A6B3B7409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2D5EAFB0-7F67-4E2A-AFEC-589CDA2640D7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FE8A229D-4ABE-4DE7-977F-336F28BA8FFD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237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0EEB-088F-4A37-9670-186703ED1DFE}">
  <dimension ref="A1:BX196"/>
  <sheetViews>
    <sheetView showGridLines="0" tabSelected="1" topLeftCell="A158" zoomScale="85" zoomScaleNormal="85" workbookViewId="0">
      <selection activeCell="J178" sqref="J178"/>
    </sheetView>
  </sheetViews>
  <sheetFormatPr defaultColWidth="9.140625" defaultRowHeight="15.75" x14ac:dyDescent="0.25"/>
  <cols>
    <col min="1" max="1" width="30.7109375" style="6" customWidth="1"/>
    <col min="2" max="2" width="2.7109375" style="6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6" customWidth="1"/>
    <col min="33" max="38" width="21.85546875" style="6" customWidth="1"/>
    <col min="39" max="43" width="20.7109375" style="6" customWidth="1"/>
    <col min="44" max="64" width="9.140625" style="6"/>
    <col min="65" max="16384" width="9.140625" style="2"/>
  </cols>
  <sheetData>
    <row r="1" spans="1:64" s="7" customFormat="1" ht="30" customHeight="1" x14ac:dyDescent="0.35">
      <c r="A1" s="7" t="e" vm="1">
        <v>#VALUE!</v>
      </c>
      <c r="C1" s="7" t="s">
        <v>36</v>
      </c>
    </row>
    <row r="2" spans="1:64" s="8" customFormat="1" ht="20.100000000000001" customHeight="1" x14ac:dyDescent="0.25"/>
    <row r="3" spans="1:64" ht="20.100000000000001" customHeight="1" x14ac:dyDescent="0.25">
      <c r="A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9"/>
      <c r="V3" s="9"/>
    </row>
    <row r="4" spans="1:64" ht="20.100000000000001" customHeight="1" x14ac:dyDescent="0.25">
      <c r="A4"/>
      <c r="BL4" s="2"/>
    </row>
    <row r="5" spans="1:64" ht="20.100000000000001" customHeight="1" x14ac:dyDescent="0.25">
      <c r="A5"/>
      <c r="D5" s="5" t="str" cm="1">
        <f t="array" ref="D5">Common_SourceData.Common_SourceData_AustralianStatesTerritories_Title()</f>
        <v>Australian states and territories</v>
      </c>
      <c r="BL5" s="2"/>
    </row>
    <row r="6" spans="1:64" ht="20.100000000000001" customHeight="1" x14ac:dyDescent="0.25">
      <c r="A6"/>
      <c r="D6" s="11" t="s">
        <v>1</v>
      </c>
      <c r="E6" s="11" t="s">
        <v>2</v>
      </c>
      <c r="F6" s="11" t="s">
        <v>3</v>
      </c>
    </row>
    <row r="7" spans="1:64" ht="20.100000000000001" customHeight="1" x14ac:dyDescent="0.25">
      <c r="A7"/>
      <c r="D7" s="11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11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11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11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11" t="str" cm="1">
        <f t="array" ref="E8">Common_InputFunctions.Utility_DisplayArrayInTable(Common_SourceData.Common_SourceData_AustralianStatesTerritories_Data(),Table_AustralianStates[[#Headers],[State/Territory]],0)</f>
        <v>ACT</v>
      </c>
      <c r="F8" s="11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11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11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11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11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11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11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11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11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11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2"/>
    </row>
    <row r="12" spans="1:64" ht="20.100000000000001" customHeight="1" x14ac:dyDescent="0.25">
      <c r="A12"/>
      <c r="D12" s="11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11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11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2"/>
    </row>
    <row r="13" spans="1:64" ht="20.100000000000001" customHeight="1" x14ac:dyDescent="0.25">
      <c r="A13"/>
      <c r="D13" s="11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11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11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11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11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11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5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4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11" t="s">
        <v>4</v>
      </c>
    </row>
    <row r="21" spans="1:4" ht="20.100000000000001" customHeight="1" x14ac:dyDescent="0.25">
      <c r="A21"/>
      <c r="D21" s="11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11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11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11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11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11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11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11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11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11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5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4" t="str" cm="1">
        <f t="array" ref="D35">Common_SourceData.Common_SourceData_GWP_Source()</f>
        <v>XXXXXXX</v>
      </c>
    </row>
    <row r="36" spans="1:8" ht="20.100000000000001" customHeight="1" x14ac:dyDescent="0.25">
      <c r="A36"/>
      <c r="D36" s="11" t="s">
        <v>5</v>
      </c>
      <c r="E36" s="11" t="s">
        <v>6</v>
      </c>
    </row>
    <row r="37" spans="1:8" ht="20.100000000000001" customHeight="1" x14ac:dyDescent="0.25">
      <c r="A37"/>
      <c r="D37" s="11" t="str" cm="1">
        <f t="array" ref="D37">Common_InputFunctions.Utility_DisplayArrayInTable(Common_SourceData.Common_SourceData_GWP_Data(), Table_GWPData[[#Headers],[Gas]], 0)</f>
        <v>CO2</v>
      </c>
      <c r="E37" s="11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11" t="str" cm="1">
        <f t="array" ref="D38">Common_InputFunctions.Utility_DisplayArrayInTable(Common_SourceData.Common_SourceData_GWP_Data(), Table_GWPData[[#Headers],[Gas]], 0)</f>
        <v>CH4</v>
      </c>
      <c r="E38" s="11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11" t="str" cm="1">
        <f t="array" ref="D39">Common_InputFunctions.Utility_DisplayArrayInTable(Common_SourceData.Common_SourceData_GWP_Data(), Table_GWPData[[#Headers],[Gas]], 0)</f>
        <v>N2O</v>
      </c>
      <c r="E39" s="11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11" t="str" cm="1">
        <f t="array" ref="D40">Common_InputFunctions.Utility_DisplayArrayInTable(Common_SourceData.Common_SourceData_GWP_Data(), Table_GWPData[[#Headers],[Gas]], 0)</f>
        <v>CF4</v>
      </c>
      <c r="E40" s="11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11" t="str" cm="1">
        <f t="array" ref="D41">Common_InputFunctions.Utility_DisplayArrayInTable(Common_SourceData.Common_SourceData_GWP_Data(), Table_GWPData[[#Headers],[Gas]], 0)</f>
        <v>C2F6</v>
      </c>
      <c r="E41" s="11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11" t="str" cm="1">
        <f t="array" ref="D42">Common_InputFunctions.Utility_DisplayArrayInTable(Common_SourceData.Common_SourceData_GWP_Data(), Table_GWPData[[#Headers],[Gas]], 0)</f>
        <v>SF6</v>
      </c>
      <c r="E42" s="11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11" t="str" cm="1">
        <f t="array" ref="D43">Common_InputFunctions.Utility_DisplayArrayInTable(Common_SourceData.Common_SourceData_GWP_Data(), Table_GWPData[[#Headers],[Gas]], 0)</f>
        <v>NF3</v>
      </c>
      <c r="E43" s="11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5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4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11" t="s">
        <v>5</v>
      </c>
      <c r="E47" s="11" t="s">
        <v>7</v>
      </c>
      <c r="F47" s="11" t="s">
        <v>8</v>
      </c>
      <c r="G47" s="11" t="s">
        <v>9</v>
      </c>
      <c r="H47" s="11" t="s">
        <v>10</v>
      </c>
    </row>
    <row r="48" spans="1:8" ht="20.100000000000001" customHeight="1" x14ac:dyDescent="0.25">
      <c r="D48" s="11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11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11" cm="1">
        <f t="array" ref="F48">Common_InputFunctions.Utility_DisplayArrayInTable(Common_SourceData.Common_SourceData_ConvertGasElementalToMolecular_Data(),Table_GasToMolecularConversionFactor[[#Headers],[Gas]], 0)</f>
        <v>44</v>
      </c>
      <c r="G48" s="11" cm="1">
        <f t="array" ref="G48">Common_InputFunctions.Utility_DisplayArrayInTable(Common_SourceData.Common_SourceData_ConvertGasElementalToMolecular_Data(),Table_GasToMolecularConversionFactor[[#Headers],[Gas]], 0)</f>
        <v>12</v>
      </c>
      <c r="H48" s="11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11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11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11" cm="1">
        <f t="array" ref="F49">Common_InputFunctions.Utility_DisplayArrayInTable(Common_SourceData.Common_SourceData_ConvertGasElementalToMolecular_Data(),Table_GasToMolecularConversionFactor[[#Headers],[Gas]], 0)</f>
        <v>16</v>
      </c>
      <c r="G49" s="11" cm="1">
        <f t="array" ref="G49">Common_InputFunctions.Utility_DisplayArrayInTable(Common_SourceData.Common_SourceData_ConvertGasElementalToMolecular_Data(),Table_GasToMolecularConversionFactor[[#Headers],[Gas]], 0)</f>
        <v>12</v>
      </c>
      <c r="H49" s="11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11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11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11" cm="1">
        <f t="array" ref="F50">Common_InputFunctions.Utility_DisplayArrayInTable(Common_SourceData.Common_SourceData_ConvertGasElementalToMolecular_Data(),Table_GasToMolecularConversionFactor[[#Headers],[Gas]], 0)</f>
        <v>44</v>
      </c>
      <c r="G50" s="11" cm="1">
        <f t="array" ref="G50">Common_InputFunctions.Utility_DisplayArrayInTable(Common_SourceData.Common_SourceData_ConvertGasElementalToMolecular_Data(),Table_GasToMolecularConversionFactor[[#Headers],[Gas]], 0)</f>
        <v>28</v>
      </c>
      <c r="H50" s="11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11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11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11" cm="1">
        <f t="array" ref="F51">Common_InputFunctions.Utility_DisplayArrayInTable(Common_SourceData.Common_SourceData_ConvertGasElementalToMolecular_Data(),Table_GasToMolecularConversionFactor[[#Headers],[Gas]], 0)</f>
        <v>46</v>
      </c>
      <c r="G51" s="11" cm="1">
        <f t="array" ref="G51">Common_InputFunctions.Utility_DisplayArrayInTable(Common_SourceData.Common_SourceData_ConvertGasElementalToMolecular_Data(),Table_GasToMolecularConversionFactor[[#Headers],[Gas]], 0)</f>
        <v>14</v>
      </c>
      <c r="H51" s="11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11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11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11" cm="1">
        <f t="array" ref="F52">Common_InputFunctions.Utility_DisplayArrayInTable(Common_SourceData.Common_SourceData_ConvertGasElementalToMolecular_Data(),Table_GasToMolecularConversionFactor[[#Headers],[Gas]], 0)</f>
        <v>28</v>
      </c>
      <c r="G52" s="11" cm="1">
        <f t="array" ref="G52">Common_InputFunctions.Utility_DisplayArrayInTable(Common_SourceData.Common_SourceData_ConvertGasElementalToMolecular_Data(),Table_GasToMolecularConversionFactor[[#Headers],[Gas]], 0)</f>
        <v>12</v>
      </c>
      <c r="H52" s="11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11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11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11" cm="1">
        <f t="array" ref="F53">Common_InputFunctions.Utility_DisplayArrayInTable(Common_SourceData.Common_SourceData_ConvertGasElementalToMolecular_Data(),Table_GasToMolecularConversionFactor[[#Headers],[Gas]], 0)</f>
        <v>44</v>
      </c>
      <c r="G53" s="11" cm="1">
        <f t="array" ref="G53">Common_InputFunctions.Utility_DisplayArrayInTable(Common_SourceData.Common_SourceData_ConvertGasElementalToMolecular_Data(),Table_GasToMolecularConversionFactor[[#Headers],[Gas]], 0)</f>
        <v>12</v>
      </c>
      <c r="H53" s="11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11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11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11" cm="1">
        <f t="array" ref="F54">Common_InputFunctions.Utility_DisplayArrayInTable(Common_SourceData.Common_SourceData_ConvertGasElementalToMolecular_Data(),Table_GasToMolecularConversionFactor[[#Headers],[Gas]], 0)</f>
        <v>14</v>
      </c>
      <c r="G54" s="11" cm="1">
        <f t="array" ref="G54">Common_InputFunctions.Utility_DisplayArrayInTable(Common_SourceData.Common_SourceData_ConvertGasElementalToMolecular_Data(),Table_GasToMolecularConversionFactor[[#Headers],[Gas]], 0)</f>
        <v>12</v>
      </c>
      <c r="H54" s="11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5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4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1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1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1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11" t="s">
        <v>0</v>
      </c>
      <c r="E63" s="11" t="s">
        <v>23</v>
      </c>
    </row>
    <row r="64" spans="4:8" ht="20.100000000000001" customHeight="1" x14ac:dyDescent="0.25">
      <c r="D64" s="11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11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11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11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11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11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11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11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11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11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11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11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11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11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11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11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11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11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11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11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11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11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11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11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11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11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11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11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5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4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1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1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13" t="str">
        <v>⚠️Fixed typo in MAT value for warm temperate dry - changed 10 to 11.</v>
      </c>
    </row>
    <row r="86" spans="4:19" ht="20.100000000000001" customHeight="1" x14ac:dyDescent="0.25">
      <c r="D86" s="1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1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11" t="s">
        <v>0</v>
      </c>
      <c r="E89" s="11" t="s">
        <v>11</v>
      </c>
      <c r="F89" s="11" t="s">
        <v>12</v>
      </c>
      <c r="G89" s="11" t="s">
        <v>13</v>
      </c>
      <c r="H89" s="11" t="s">
        <v>14</v>
      </c>
      <c r="I89" s="11" t="s">
        <v>15</v>
      </c>
      <c r="J89" s="11" t="s">
        <v>16</v>
      </c>
      <c r="K89" s="11" t="s">
        <v>17</v>
      </c>
      <c r="L89" s="11" t="s">
        <v>18</v>
      </c>
      <c r="M89" s="11" t="s">
        <v>19</v>
      </c>
      <c r="N89" s="11" t="s">
        <v>20</v>
      </c>
      <c r="O89" s="11" t="s">
        <v>24</v>
      </c>
      <c r="P89" s="11" t="s">
        <v>21</v>
      </c>
      <c r="Q89" s="11" t="s">
        <v>25</v>
      </c>
      <c r="R89" s="11" t="s">
        <v>22</v>
      </c>
      <c r="S89" s="11" t="s">
        <v>26</v>
      </c>
    </row>
    <row r="90" spans="4:19" ht="20.100000000000001" customHeight="1" x14ac:dyDescent="0.25">
      <c r="D90" s="11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11" t="str" cm="1">
        <f t="array" ref="E90">Common_InputFunctions.Utility_DisplayArrayInTable(Common_SourceData.Common_SourceData_ClimateZones_Data(), Table_SourceData_ClimateZones[[#Headers],[Climate zone]], 0)</f>
        <v>&gt; 18 C</v>
      </c>
      <c r="F90" s="11" t="str" cm="1">
        <f t="array" ref="F90">Common_InputFunctions.Utility_DisplayArrayInTable(Common_SourceData.Common_SourceData_ClimateZones_Data(), Table_SourceData_ClimateZones[[#Headers],[Climate zone]], 0)</f>
        <v>Any</v>
      </c>
      <c r="G90" s="11" t="str" cm="1">
        <f t="array" ref="G90">Common_InputFunctions.Utility_DisplayArrayInTable(Common_SourceData.Common_SourceData_ClimateZones_Data(), Table_SourceData_ClimateZones[[#Headers],[Climate zone]], 0)</f>
        <v>≤ 7</v>
      </c>
      <c r="H90" s="11" t="str" cm="1">
        <f t="array" ref="H90">Common_InputFunctions.Utility_DisplayArrayInTable(Common_SourceData.Common_SourceData_ClimateZones_Data(), Table_SourceData_ClimateZones[[#Headers],[Climate zone]], 0)</f>
        <v>&gt; 1000 m</v>
      </c>
      <c r="I90" s="11" t="str" cm="1">
        <f t="array" ref="I90">Common_InputFunctions.Utility_DisplayArrayInTable(Common_SourceData.Common_SourceData_ClimateZones_Data(), Table_SourceData_ClimateZones[[#Headers],[Climate zone]], 0)</f>
        <v>Any</v>
      </c>
      <c r="J90" s="11" cm="1">
        <f t="array" ref="J90">Common_InputFunctions.Utility_DisplayArrayInTable(Common_SourceData.Common_SourceData_ClimateZones_Data(), Table_SourceData_ClimateZones[[#Headers],[Climate zone]], 0)</f>
        <v>18.001000000000001</v>
      </c>
      <c r="K90" s="11" cm="1">
        <f t="array" ref="K90">Common_InputFunctions.Utility_DisplayArrayInTable(Common_SourceData.Common_SourceData_ClimateZones_Data(), Table_SourceData_ClimateZones[[#Headers],[Climate zone]], 0)</f>
        <v>999999</v>
      </c>
      <c r="L90" s="11" cm="1">
        <f t="array" ref="L90">Common_InputFunctions.Utility_DisplayArrayInTable(Common_SourceData.Common_SourceData_ClimateZones_Data(), Table_SourceData_ClimateZones[[#Headers],[Climate zone]], 0)</f>
        <v>-999999</v>
      </c>
      <c r="M90" s="11" cm="1">
        <f t="array" ref="M90">Common_InputFunctions.Utility_DisplayArrayInTable(Common_SourceData.Common_SourceData_ClimateZones_Data(), Table_SourceData_ClimateZones[[#Headers],[Climate zone]], 0)</f>
        <v>999999</v>
      </c>
      <c r="N90" s="11" cm="1">
        <f t="array" ref="N90">Common_InputFunctions.Utility_DisplayArrayInTable(Common_SourceData.Common_SourceData_ClimateZones_Data(), Table_SourceData_ClimateZones[[#Headers],[Climate zone]], 0)</f>
        <v>-999999</v>
      </c>
      <c r="O90" s="11" cm="1">
        <f t="array" ref="O90">Common_InputFunctions.Utility_DisplayArrayInTable(Common_SourceData.Common_SourceData_ClimateZones_Data(), Table_SourceData_ClimateZones[[#Headers],[Climate zone]], 0)</f>
        <v>7</v>
      </c>
      <c r="P90" s="11" cm="1">
        <f t="array" ref="P90">Common_InputFunctions.Utility_DisplayArrayInTable(Common_SourceData.Common_SourceData_ClimateZones_Data(), Table_SourceData_ClimateZones[[#Headers],[Climate zone]], 0)</f>
        <v>1000</v>
      </c>
      <c r="Q90" s="11" cm="1">
        <f t="array" ref="Q90">Common_InputFunctions.Utility_DisplayArrayInTable(Common_SourceData.Common_SourceData_ClimateZones_Data(), Table_SourceData_ClimateZones[[#Headers],[Climate zone]], 0)</f>
        <v>999999</v>
      </c>
      <c r="R90" s="11" cm="1">
        <f t="array" ref="R90">Common_InputFunctions.Utility_DisplayArrayInTable(Common_SourceData.Common_SourceData_ClimateZones_Data(), Table_SourceData_ClimateZones[[#Headers],[Climate zone]], 0)</f>
        <v>-999999</v>
      </c>
      <c r="S90" s="11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11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11" t="str" cm="1">
        <f t="array" ref="E91">Common_InputFunctions.Utility_DisplayArrayInTable(Common_SourceData.Common_SourceData_ClimateZones_Data(), Table_SourceData_ClimateZones[[#Headers],[Climate zone]], 0)</f>
        <v>&gt; 18 C</v>
      </c>
      <c r="F91" s="11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11" t="str" cm="1">
        <f t="array" ref="G91">Common_InputFunctions.Utility_DisplayArrayInTable(Common_SourceData.Common_SourceData_ClimateZones_Data(), Table_SourceData_ClimateZones[[#Headers],[Climate zone]], 0)</f>
        <v>≤ 7</v>
      </c>
      <c r="H91" s="11" t="str" cm="1">
        <f t="array" ref="H91">Common_InputFunctions.Utility_DisplayArrayInTable(Common_SourceData.Common_SourceData_ClimateZones_Data(), Table_SourceData_ClimateZones[[#Headers],[Climate zone]], 0)</f>
        <v>≤ 1000 m</v>
      </c>
      <c r="I91" s="11" t="str" cm="1">
        <f t="array" ref="I91">Common_InputFunctions.Utility_DisplayArrayInTable(Common_SourceData.Common_SourceData_ClimateZones_Data(), Table_SourceData_ClimateZones[[#Headers],[Climate zone]], 0)</f>
        <v>Any</v>
      </c>
      <c r="J91" s="11" cm="1">
        <f t="array" ref="J91">Common_InputFunctions.Utility_DisplayArrayInTable(Common_SourceData.Common_SourceData_ClimateZones_Data(), Table_SourceData_ClimateZones[[#Headers],[Climate zone]], 0)</f>
        <v>18.001000000000001</v>
      </c>
      <c r="K91" s="11" cm="1">
        <f t="array" ref="K91">Common_InputFunctions.Utility_DisplayArrayInTable(Common_SourceData.Common_SourceData_ClimateZones_Data(), Table_SourceData_ClimateZones[[#Headers],[Climate zone]], 0)</f>
        <v>999999</v>
      </c>
      <c r="L91" s="11" cm="1">
        <f t="array" ref="L91">Common_InputFunctions.Utility_DisplayArrayInTable(Common_SourceData.Common_SourceData_ClimateZones_Data(), Table_SourceData_ClimateZones[[#Headers],[Climate zone]], 0)</f>
        <v>2000.001</v>
      </c>
      <c r="M91" s="11" cm="1">
        <f t="array" ref="M91">Common_InputFunctions.Utility_DisplayArrayInTable(Common_SourceData.Common_SourceData_ClimateZones_Data(), Table_SourceData_ClimateZones[[#Headers],[Climate zone]], 0)</f>
        <v>999999</v>
      </c>
      <c r="N91" s="11" cm="1">
        <f t="array" ref="N91">Common_InputFunctions.Utility_DisplayArrayInTable(Common_SourceData.Common_SourceData_ClimateZones_Data(), Table_SourceData_ClimateZones[[#Headers],[Climate zone]], 0)</f>
        <v>-999999</v>
      </c>
      <c r="O91" s="11" cm="1">
        <f t="array" ref="O91">Common_InputFunctions.Utility_DisplayArrayInTable(Common_SourceData.Common_SourceData_ClimateZones_Data(), Table_SourceData_ClimateZones[[#Headers],[Climate zone]], 0)</f>
        <v>7</v>
      </c>
      <c r="P91" s="11" cm="1">
        <f t="array" ref="P91">Common_InputFunctions.Utility_DisplayArrayInTable(Common_SourceData.Common_SourceData_ClimateZones_Data(), Table_SourceData_ClimateZones[[#Headers],[Climate zone]], 0)</f>
        <v>-999999</v>
      </c>
      <c r="Q91" s="11" cm="1">
        <f t="array" ref="Q91">Common_InputFunctions.Utility_DisplayArrayInTable(Common_SourceData.Common_SourceData_ClimateZones_Data(), Table_SourceData_ClimateZones[[#Headers],[Climate zone]], 0)</f>
        <v>999.99900000000002</v>
      </c>
      <c r="R91" s="11" cm="1">
        <f t="array" ref="R91">Common_InputFunctions.Utility_DisplayArrayInTable(Common_SourceData.Common_SourceData_ClimateZones_Data(), Table_SourceData_ClimateZones[[#Headers],[Climate zone]], 0)</f>
        <v>-999999</v>
      </c>
      <c r="S91" s="11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11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11" t="str" cm="1">
        <f t="array" ref="E92">Common_InputFunctions.Utility_DisplayArrayInTable(Common_SourceData.Common_SourceData_ClimateZones_Data(), Table_SourceData_ClimateZones[[#Headers],[Climate zone]], 0)</f>
        <v>&gt; 18 C</v>
      </c>
      <c r="F92" s="11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11" t="str" cm="1">
        <f t="array" ref="G92">Common_InputFunctions.Utility_DisplayArrayInTable(Common_SourceData.Common_SourceData_ClimateZones_Data(), Table_SourceData_ClimateZones[[#Headers],[Climate zone]], 0)</f>
        <v>≤ 7</v>
      </c>
      <c r="H92" s="11" t="str" cm="1">
        <f t="array" ref="H92">Common_InputFunctions.Utility_DisplayArrayInTable(Common_SourceData.Common_SourceData_ClimateZones_Data(), Table_SourceData_ClimateZones[[#Headers],[Climate zone]], 0)</f>
        <v>≤ 1000 m</v>
      </c>
      <c r="I92" s="11" t="str" cm="1">
        <f t="array" ref="I92">Common_InputFunctions.Utility_DisplayArrayInTable(Common_SourceData.Common_SourceData_ClimateZones_Data(), Table_SourceData_ClimateZones[[#Headers],[Climate zone]], 0)</f>
        <v>Any</v>
      </c>
      <c r="J92" s="11" cm="1">
        <f t="array" ref="J92">Common_InputFunctions.Utility_DisplayArrayInTable(Common_SourceData.Common_SourceData_ClimateZones_Data(), Table_SourceData_ClimateZones[[#Headers],[Climate zone]], 0)</f>
        <v>18.001000000000001</v>
      </c>
      <c r="K92" s="11" cm="1">
        <f t="array" ref="K92">Common_InputFunctions.Utility_DisplayArrayInTable(Common_SourceData.Common_SourceData_ClimateZones_Data(), Table_SourceData_ClimateZones[[#Headers],[Climate zone]], 0)</f>
        <v>999999</v>
      </c>
      <c r="L92" s="11" cm="1">
        <f t="array" ref="L92">Common_InputFunctions.Utility_DisplayArrayInTable(Common_SourceData.Common_SourceData_ClimateZones_Data(), Table_SourceData_ClimateZones[[#Headers],[Climate zone]], 0)</f>
        <v>1000.001</v>
      </c>
      <c r="M92" s="11" cm="1">
        <f t="array" ref="M92">Common_InputFunctions.Utility_DisplayArrayInTable(Common_SourceData.Common_SourceData_ClimateZones_Data(), Table_SourceData_ClimateZones[[#Headers],[Climate zone]], 0)</f>
        <v>2000</v>
      </c>
      <c r="N92" s="11" cm="1">
        <f t="array" ref="N92">Common_InputFunctions.Utility_DisplayArrayInTable(Common_SourceData.Common_SourceData_ClimateZones_Data(), Table_SourceData_ClimateZones[[#Headers],[Climate zone]], 0)</f>
        <v>-999999</v>
      </c>
      <c r="O92" s="11" cm="1">
        <f t="array" ref="O92">Common_InputFunctions.Utility_DisplayArrayInTable(Common_SourceData.Common_SourceData_ClimateZones_Data(), Table_SourceData_ClimateZones[[#Headers],[Climate zone]], 0)</f>
        <v>7</v>
      </c>
      <c r="P92" s="11" cm="1">
        <f t="array" ref="P92">Common_InputFunctions.Utility_DisplayArrayInTable(Common_SourceData.Common_SourceData_ClimateZones_Data(), Table_SourceData_ClimateZones[[#Headers],[Climate zone]], 0)</f>
        <v>-999999</v>
      </c>
      <c r="Q92" s="11" cm="1">
        <f t="array" ref="Q92">Common_InputFunctions.Utility_DisplayArrayInTable(Common_SourceData.Common_SourceData_ClimateZones_Data(), Table_SourceData_ClimateZones[[#Headers],[Climate zone]], 0)</f>
        <v>999.99900000000002</v>
      </c>
      <c r="R92" s="11" cm="1">
        <f t="array" ref="R92">Common_InputFunctions.Utility_DisplayArrayInTable(Common_SourceData.Common_SourceData_ClimateZones_Data(), Table_SourceData_ClimateZones[[#Headers],[Climate zone]], 0)</f>
        <v>-999999</v>
      </c>
      <c r="S92" s="11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11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11" t="str" cm="1">
        <f t="array" ref="E93">Common_InputFunctions.Utility_DisplayArrayInTable(Common_SourceData.Common_SourceData_ClimateZones_Data(), Table_SourceData_ClimateZones[[#Headers],[Climate zone]], 0)</f>
        <v>&gt; 18 C</v>
      </c>
      <c r="F93" s="11" t="str" cm="1">
        <f t="array" ref="F93">Common_InputFunctions.Utility_DisplayArrayInTable(Common_SourceData.Common_SourceData_ClimateZones_Data(), Table_SourceData_ClimateZones[[#Headers],[Climate zone]], 0)</f>
        <v>≤ 1000 mm</v>
      </c>
      <c r="G93" s="11" t="str" cm="1">
        <f t="array" ref="G93">Common_InputFunctions.Utility_DisplayArrayInTable(Common_SourceData.Common_SourceData_ClimateZones_Data(), Table_SourceData_ClimateZones[[#Headers],[Climate zone]], 0)</f>
        <v>≤ 7</v>
      </c>
      <c r="H93" s="11" t="str" cm="1">
        <f t="array" ref="H93">Common_InputFunctions.Utility_DisplayArrayInTable(Common_SourceData.Common_SourceData_ClimateZones_Data(), Table_SourceData_ClimateZones[[#Headers],[Climate zone]], 0)</f>
        <v>≤ 1000 m</v>
      </c>
      <c r="I93" s="11" t="str" cm="1">
        <f t="array" ref="I93">Common_InputFunctions.Utility_DisplayArrayInTable(Common_SourceData.Common_SourceData_ClimateZones_Data(), Table_SourceData_ClimateZones[[#Headers],[Climate zone]], 0)</f>
        <v>Any</v>
      </c>
      <c r="J93" s="11" cm="1">
        <f t="array" ref="J93">Common_InputFunctions.Utility_DisplayArrayInTable(Common_SourceData.Common_SourceData_ClimateZones_Data(), Table_SourceData_ClimateZones[[#Headers],[Climate zone]], 0)</f>
        <v>18.001000000000001</v>
      </c>
      <c r="K93" s="11" cm="1">
        <f t="array" ref="K93">Common_InputFunctions.Utility_DisplayArrayInTable(Common_SourceData.Common_SourceData_ClimateZones_Data(), Table_SourceData_ClimateZones[[#Headers],[Climate zone]], 0)</f>
        <v>999999</v>
      </c>
      <c r="L93" s="11" cm="1">
        <f t="array" ref="L93">Common_InputFunctions.Utility_DisplayArrayInTable(Common_SourceData.Common_SourceData_ClimateZones_Data(), Table_SourceData_ClimateZones[[#Headers],[Climate zone]], 0)</f>
        <v>-999999</v>
      </c>
      <c r="M93" s="11" cm="1">
        <f t="array" ref="M93">Common_InputFunctions.Utility_DisplayArrayInTable(Common_SourceData.Common_SourceData_ClimateZones_Data(), Table_SourceData_ClimateZones[[#Headers],[Climate zone]], 0)</f>
        <v>1000</v>
      </c>
      <c r="N93" s="11" cm="1">
        <f t="array" ref="N93">Common_InputFunctions.Utility_DisplayArrayInTable(Common_SourceData.Common_SourceData_ClimateZones_Data(), Table_SourceData_ClimateZones[[#Headers],[Climate zone]], 0)</f>
        <v>-999999</v>
      </c>
      <c r="O93" s="11" cm="1">
        <f t="array" ref="O93">Common_InputFunctions.Utility_DisplayArrayInTable(Common_SourceData.Common_SourceData_ClimateZones_Data(), Table_SourceData_ClimateZones[[#Headers],[Climate zone]], 0)</f>
        <v>7</v>
      </c>
      <c r="P93" s="11" cm="1">
        <f t="array" ref="P93">Common_InputFunctions.Utility_DisplayArrayInTable(Common_SourceData.Common_SourceData_ClimateZones_Data(), Table_SourceData_ClimateZones[[#Headers],[Climate zone]], 0)</f>
        <v>-999999</v>
      </c>
      <c r="Q93" s="11" cm="1">
        <f t="array" ref="Q93">Common_InputFunctions.Utility_DisplayArrayInTable(Common_SourceData.Common_SourceData_ClimateZones_Data(), Table_SourceData_ClimateZones[[#Headers],[Climate zone]], 0)</f>
        <v>999.99900000000002</v>
      </c>
      <c r="R93" s="11" cm="1">
        <f t="array" ref="R93">Common_InputFunctions.Utility_DisplayArrayInTable(Common_SourceData.Common_SourceData_ClimateZones_Data(), Table_SourceData_ClimateZones[[#Headers],[Climate zone]], 0)</f>
        <v>-999999</v>
      </c>
      <c r="S93" s="11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11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11" t="str" cm="1">
        <f t="array" ref="E94">Common_InputFunctions.Utility_DisplayArrayInTable(Common_SourceData.Common_SourceData_ClimateZones_Data(), Table_SourceData_ClimateZones[[#Headers],[Climate zone]], 0)</f>
        <v>&gt; 10 C</v>
      </c>
      <c r="F94" s="11" t="str" cm="1">
        <f t="array" ref="F94">Common_InputFunctions.Utility_DisplayArrayInTable(Common_SourceData.Common_SourceData_ClimateZones_Data(), Table_SourceData_ClimateZones[[#Headers],[Climate zone]], 0)</f>
        <v>Any</v>
      </c>
      <c r="G94" s="11" t="str" cm="1">
        <f t="array" ref="G94">Common_InputFunctions.Utility_DisplayArrayInTable(Common_SourceData.Common_SourceData_ClimateZones_Data(), Table_SourceData_ClimateZones[[#Headers],[Climate zone]], 0)</f>
        <v>Any</v>
      </c>
      <c r="H94" s="11" t="str" cm="1">
        <f t="array" ref="H94">Common_InputFunctions.Utility_DisplayArrayInTable(Common_SourceData.Common_SourceData_ClimateZones_Data(), Table_SourceData_ClimateZones[[#Headers],[Climate zone]], 0)</f>
        <v>Any</v>
      </c>
      <c r="I94" s="11" t="str" cm="1">
        <f t="array" ref="I94">Common_InputFunctions.Utility_DisplayArrayInTable(Common_SourceData.Common_SourceData_ClimateZones_Data(), Table_SourceData_ClimateZones[[#Headers],[Climate zone]], 0)</f>
        <v>&gt; 1</v>
      </c>
      <c r="J94" s="11" cm="1">
        <f t="array" ref="J94">Common_InputFunctions.Utility_DisplayArrayInTable(Common_SourceData.Common_SourceData_ClimateZones_Data(), Table_SourceData_ClimateZones[[#Headers],[Climate zone]], 0)</f>
        <v>10.000999999999999</v>
      </c>
      <c r="K94" s="11" cm="1">
        <f t="array" ref="K94">Common_InputFunctions.Utility_DisplayArrayInTable(Common_SourceData.Common_SourceData_ClimateZones_Data(), Table_SourceData_ClimateZones[[#Headers],[Climate zone]], 0)</f>
        <v>999999</v>
      </c>
      <c r="L94" s="11" cm="1">
        <f t="array" ref="L94">Common_InputFunctions.Utility_DisplayArrayInTable(Common_SourceData.Common_SourceData_ClimateZones_Data(), Table_SourceData_ClimateZones[[#Headers],[Climate zone]], 0)</f>
        <v>-999999</v>
      </c>
      <c r="M94" s="11" cm="1">
        <f t="array" ref="M94">Common_InputFunctions.Utility_DisplayArrayInTable(Common_SourceData.Common_SourceData_ClimateZones_Data(), Table_SourceData_ClimateZones[[#Headers],[Climate zone]], 0)</f>
        <v>999999</v>
      </c>
      <c r="N94" s="11" cm="1">
        <f t="array" ref="N94">Common_InputFunctions.Utility_DisplayArrayInTable(Common_SourceData.Common_SourceData_ClimateZones_Data(), Table_SourceData_ClimateZones[[#Headers],[Climate zone]], 0)</f>
        <v>-999999</v>
      </c>
      <c r="O94" s="11" cm="1">
        <f t="array" ref="O94">Common_InputFunctions.Utility_DisplayArrayInTable(Common_SourceData.Common_SourceData_ClimateZones_Data(), Table_SourceData_ClimateZones[[#Headers],[Climate zone]], 0)</f>
        <v>999999</v>
      </c>
      <c r="P94" s="11" cm="1">
        <f t="array" ref="P94">Common_InputFunctions.Utility_DisplayArrayInTable(Common_SourceData.Common_SourceData_ClimateZones_Data(), Table_SourceData_ClimateZones[[#Headers],[Climate zone]], 0)</f>
        <v>-999999</v>
      </c>
      <c r="Q94" s="11" cm="1">
        <f t="array" ref="Q94">Common_InputFunctions.Utility_DisplayArrayInTable(Common_SourceData.Common_SourceData_ClimateZones_Data(), Table_SourceData_ClimateZones[[#Headers],[Climate zone]], 0)</f>
        <v>999999</v>
      </c>
      <c r="R94" s="11" cm="1">
        <f t="array" ref="R94">Common_InputFunctions.Utility_DisplayArrayInTable(Common_SourceData.Common_SourceData_ClimateZones_Data(), Table_SourceData_ClimateZones[[#Headers],[Climate zone]], 0)</f>
        <v>1.0009999999999999</v>
      </c>
      <c r="S94" s="11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11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11" t="str" cm="1">
        <f t="array" ref="E95">Common_InputFunctions.Utility_DisplayArrayInTable(Common_SourceData.Common_SourceData_ClimateZones_Data(), Table_SourceData_ClimateZones[[#Headers],[Climate zone]], 0)</f>
        <v>&gt; 10 C</v>
      </c>
      <c r="F95" s="11" t="str" cm="1">
        <f t="array" ref="F95">Common_InputFunctions.Utility_DisplayArrayInTable(Common_SourceData.Common_SourceData_ClimateZones_Data(), Table_SourceData_ClimateZones[[#Headers],[Climate zone]], 0)</f>
        <v>Any</v>
      </c>
      <c r="G95" s="11" t="str" cm="1">
        <f t="array" ref="G95">Common_InputFunctions.Utility_DisplayArrayInTable(Common_SourceData.Common_SourceData_ClimateZones_Data(), Table_SourceData_ClimateZones[[#Headers],[Climate zone]], 0)</f>
        <v>Any</v>
      </c>
      <c r="H95" s="11" t="str" cm="1">
        <f t="array" ref="H95">Common_InputFunctions.Utility_DisplayArrayInTable(Common_SourceData.Common_SourceData_ClimateZones_Data(), Table_SourceData_ClimateZones[[#Headers],[Climate zone]], 0)</f>
        <v>Any</v>
      </c>
      <c r="I95" s="11" t="str" cm="1">
        <f t="array" ref="I95">Common_InputFunctions.Utility_DisplayArrayInTable(Common_SourceData.Common_SourceData_ClimateZones_Data(), Table_SourceData_ClimateZones[[#Headers],[Climate zone]], 0)</f>
        <v>≤ 1</v>
      </c>
      <c r="J95" s="11" cm="1">
        <f t="array" ref="J95">Common_InputFunctions.Utility_DisplayArrayInTable(Common_SourceData.Common_SourceData_ClimateZones_Data(), Table_SourceData_ClimateZones[[#Headers],[Climate zone]], 0)</f>
        <v>10.000999999999999</v>
      </c>
      <c r="K95" s="11" cm="1">
        <f t="array" ref="K95">Common_InputFunctions.Utility_DisplayArrayInTable(Common_SourceData.Common_SourceData_ClimateZones_Data(), Table_SourceData_ClimateZones[[#Headers],[Climate zone]], 0)</f>
        <v>999999</v>
      </c>
      <c r="L95" s="11" cm="1">
        <f t="array" ref="L95">Common_InputFunctions.Utility_DisplayArrayInTable(Common_SourceData.Common_SourceData_ClimateZones_Data(), Table_SourceData_ClimateZones[[#Headers],[Climate zone]], 0)</f>
        <v>-999999</v>
      </c>
      <c r="M95" s="11" cm="1">
        <f t="array" ref="M95">Common_InputFunctions.Utility_DisplayArrayInTable(Common_SourceData.Common_SourceData_ClimateZones_Data(), Table_SourceData_ClimateZones[[#Headers],[Climate zone]], 0)</f>
        <v>999999</v>
      </c>
      <c r="N95" s="11" cm="1">
        <f t="array" ref="N95">Common_InputFunctions.Utility_DisplayArrayInTable(Common_SourceData.Common_SourceData_ClimateZones_Data(), Table_SourceData_ClimateZones[[#Headers],[Climate zone]], 0)</f>
        <v>-999999</v>
      </c>
      <c r="O95" s="11" cm="1">
        <f t="array" ref="O95">Common_InputFunctions.Utility_DisplayArrayInTable(Common_SourceData.Common_SourceData_ClimateZones_Data(), Table_SourceData_ClimateZones[[#Headers],[Climate zone]], 0)</f>
        <v>999999</v>
      </c>
      <c r="P95" s="11" cm="1">
        <f t="array" ref="P95">Common_InputFunctions.Utility_DisplayArrayInTable(Common_SourceData.Common_SourceData_ClimateZones_Data(), Table_SourceData_ClimateZones[[#Headers],[Climate zone]], 0)</f>
        <v>-999999</v>
      </c>
      <c r="Q95" s="11" cm="1">
        <f t="array" ref="Q95">Common_InputFunctions.Utility_DisplayArrayInTable(Common_SourceData.Common_SourceData_ClimateZones_Data(), Table_SourceData_ClimateZones[[#Headers],[Climate zone]], 0)</f>
        <v>999999</v>
      </c>
      <c r="R95" s="11" cm="1">
        <f t="array" ref="R95">Common_InputFunctions.Utility_DisplayArrayInTable(Common_SourceData.Common_SourceData_ClimateZones_Data(), Table_SourceData_ClimateZones[[#Headers],[Climate zone]], 0)</f>
        <v>-999999</v>
      </c>
      <c r="S95" s="11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11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11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11" t="str" cm="1">
        <f t="array" ref="F96">Common_InputFunctions.Utility_DisplayArrayInTable(Common_SourceData.Common_SourceData_ClimateZones_Data(), Table_SourceData_ClimateZones[[#Headers],[Climate zone]], 0)</f>
        <v>Any</v>
      </c>
      <c r="G96" s="11" t="str" cm="1">
        <f t="array" ref="G96">Common_InputFunctions.Utility_DisplayArrayInTable(Common_SourceData.Common_SourceData_ClimateZones_Data(), Table_SourceData_ClimateZones[[#Headers],[Climate zone]], 0)</f>
        <v>Any</v>
      </c>
      <c r="H96" s="11" t="str" cm="1">
        <f t="array" ref="H96">Common_InputFunctions.Utility_DisplayArrayInTable(Common_SourceData.Common_SourceData_ClimateZones_Data(), Table_SourceData_ClimateZones[[#Headers],[Climate zone]], 0)</f>
        <v>Any</v>
      </c>
      <c r="I96" s="11" t="str" cm="1">
        <f t="array" ref="I96">Common_InputFunctions.Utility_DisplayArrayInTable(Common_SourceData.Common_SourceData_ClimateZones_Data(), Table_SourceData_ClimateZones[[#Headers],[Climate zone]], 0)</f>
        <v>&gt; 1</v>
      </c>
      <c r="J96" s="11" cm="1">
        <f t="array" ref="J96">Common_InputFunctions.Utility_DisplayArrayInTable(Common_SourceData.Common_SourceData_ClimateZones_Data(), Table_SourceData_ClimateZones[[#Headers],[Climate zone]], 0)</f>
        <v>-999999</v>
      </c>
      <c r="K96" s="11" cm="1">
        <f t="array" ref="K96">Common_InputFunctions.Utility_DisplayArrayInTable(Common_SourceData.Common_SourceData_ClimateZones_Data(), Table_SourceData_ClimateZones[[#Headers],[Climate zone]], 0)</f>
        <v>10</v>
      </c>
      <c r="L96" s="11" cm="1">
        <f t="array" ref="L96">Common_InputFunctions.Utility_DisplayArrayInTable(Common_SourceData.Common_SourceData_ClimateZones_Data(), Table_SourceData_ClimateZones[[#Headers],[Climate zone]], 0)</f>
        <v>-999999</v>
      </c>
      <c r="M96" s="11" cm="1">
        <f t="array" ref="M96">Common_InputFunctions.Utility_DisplayArrayInTable(Common_SourceData.Common_SourceData_ClimateZones_Data(), Table_SourceData_ClimateZones[[#Headers],[Climate zone]], 0)</f>
        <v>999999</v>
      </c>
      <c r="N96" s="11" cm="1">
        <f t="array" ref="N96">Common_InputFunctions.Utility_DisplayArrayInTable(Common_SourceData.Common_SourceData_ClimateZones_Data(), Table_SourceData_ClimateZones[[#Headers],[Climate zone]], 0)</f>
        <v>-999999</v>
      </c>
      <c r="O96" s="11" cm="1">
        <f t="array" ref="O96">Common_InputFunctions.Utility_DisplayArrayInTable(Common_SourceData.Common_SourceData_ClimateZones_Data(), Table_SourceData_ClimateZones[[#Headers],[Climate zone]], 0)</f>
        <v>999999</v>
      </c>
      <c r="P96" s="11" cm="1">
        <f t="array" ref="P96">Common_InputFunctions.Utility_DisplayArrayInTable(Common_SourceData.Common_SourceData_ClimateZones_Data(), Table_SourceData_ClimateZones[[#Headers],[Climate zone]], 0)</f>
        <v>-999999</v>
      </c>
      <c r="Q96" s="11" cm="1">
        <f t="array" ref="Q96">Common_InputFunctions.Utility_DisplayArrayInTable(Common_SourceData.Common_SourceData_ClimateZones_Data(), Table_SourceData_ClimateZones[[#Headers],[Climate zone]], 0)</f>
        <v>999999</v>
      </c>
      <c r="R96" s="11" cm="1">
        <f t="array" ref="R96">Common_InputFunctions.Utility_DisplayArrayInTable(Common_SourceData.Common_SourceData_ClimateZones_Data(), Table_SourceData_ClimateZones[[#Headers],[Climate zone]], 0)</f>
        <v>1.0009999999999999</v>
      </c>
      <c r="S96" s="11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11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11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11" t="str" cm="1">
        <f t="array" ref="F97">Common_InputFunctions.Utility_DisplayArrayInTable(Common_SourceData.Common_SourceData_ClimateZones_Data(), Table_SourceData_ClimateZones[[#Headers],[Climate zone]], 0)</f>
        <v>Any</v>
      </c>
      <c r="G97" s="11" t="str" cm="1">
        <f t="array" ref="G97">Common_InputFunctions.Utility_DisplayArrayInTable(Common_SourceData.Common_SourceData_ClimateZones_Data(), Table_SourceData_ClimateZones[[#Headers],[Climate zone]], 0)</f>
        <v>Any</v>
      </c>
      <c r="H97" s="11" t="str" cm="1">
        <f t="array" ref="H97">Common_InputFunctions.Utility_DisplayArrayInTable(Common_SourceData.Common_SourceData_ClimateZones_Data(), Table_SourceData_ClimateZones[[#Headers],[Climate zone]], 0)</f>
        <v>Any</v>
      </c>
      <c r="I97" s="11" t="str" cm="1">
        <f t="array" ref="I97">Common_InputFunctions.Utility_DisplayArrayInTable(Common_SourceData.Common_SourceData_ClimateZones_Data(), Table_SourceData_ClimateZones[[#Headers],[Climate zone]], 0)</f>
        <v>≤ 1</v>
      </c>
      <c r="J97" s="11" cm="1">
        <f t="array" ref="J97">Common_InputFunctions.Utility_DisplayArrayInTable(Common_SourceData.Common_SourceData_ClimateZones_Data(), Table_SourceData_ClimateZones[[#Headers],[Climate zone]], 0)</f>
        <v>-999999</v>
      </c>
      <c r="K97" s="11" cm="1">
        <f t="array" ref="K97">Common_InputFunctions.Utility_DisplayArrayInTable(Common_SourceData.Common_SourceData_ClimateZones_Data(), Table_SourceData_ClimateZones[[#Headers],[Climate zone]], 0)</f>
        <v>10</v>
      </c>
      <c r="L97" s="11" cm="1">
        <f t="array" ref="L97">Common_InputFunctions.Utility_DisplayArrayInTable(Common_SourceData.Common_SourceData_ClimateZones_Data(), Table_SourceData_ClimateZones[[#Headers],[Climate zone]], 0)</f>
        <v>-999999</v>
      </c>
      <c r="M97" s="11" cm="1">
        <f t="array" ref="M97">Common_InputFunctions.Utility_DisplayArrayInTable(Common_SourceData.Common_SourceData_ClimateZones_Data(), Table_SourceData_ClimateZones[[#Headers],[Climate zone]], 0)</f>
        <v>999999</v>
      </c>
      <c r="N97" s="11" cm="1">
        <f t="array" ref="N97">Common_InputFunctions.Utility_DisplayArrayInTable(Common_SourceData.Common_SourceData_ClimateZones_Data(), Table_SourceData_ClimateZones[[#Headers],[Climate zone]], 0)</f>
        <v>-999999</v>
      </c>
      <c r="O97" s="11" cm="1">
        <f t="array" ref="O97">Common_InputFunctions.Utility_DisplayArrayInTable(Common_SourceData.Common_SourceData_ClimateZones_Data(), Table_SourceData_ClimateZones[[#Headers],[Climate zone]], 0)</f>
        <v>999999</v>
      </c>
      <c r="P97" s="11" cm="1">
        <f t="array" ref="P97">Common_InputFunctions.Utility_DisplayArrayInTable(Common_SourceData.Common_SourceData_ClimateZones_Data(), Table_SourceData_ClimateZones[[#Headers],[Climate zone]], 0)</f>
        <v>-999999</v>
      </c>
      <c r="Q97" s="11" cm="1">
        <f t="array" ref="Q97">Common_InputFunctions.Utility_DisplayArrayInTable(Common_SourceData.Common_SourceData_ClimateZones_Data(), Table_SourceData_ClimateZones[[#Headers],[Climate zone]], 0)</f>
        <v>999999</v>
      </c>
      <c r="R97" s="11" cm="1">
        <f t="array" ref="R97">Common_InputFunctions.Utility_DisplayArrayInTable(Common_SourceData.Common_SourceData_ClimateZones_Data(), Table_SourceData_ClimateZones[[#Headers],[Climate zone]], 0)</f>
        <v>-999999</v>
      </c>
      <c r="S97" s="11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12" t="str" cm="1">
        <f t="array" ref="D98:D101">Common_SourceData.Common_SourceData_ClimateZones_Appendices()</f>
        <v>Note:</v>
      </c>
    </row>
    <row r="99" spans="4:19" ht="20.100000000000001" customHeight="1" x14ac:dyDescent="0.25">
      <c r="D99" s="12" t="str">
        <v>MAT = mean annual temperature</v>
      </c>
    </row>
    <row r="100" spans="4:19" ht="20.100000000000001" customHeight="1" x14ac:dyDescent="0.25">
      <c r="D100" s="12" t="str">
        <v>MAP = mean annual precipitation</v>
      </c>
    </row>
    <row r="101" spans="4:19" ht="20.100000000000001" customHeight="1" x14ac:dyDescent="0.25">
      <c r="D101" s="12" t="str">
        <v>PET = potential evapotranspiration</v>
      </c>
    </row>
    <row r="102" spans="4:19" ht="20.100000000000001" customHeight="1" x14ac:dyDescent="0.25">
      <c r="D102" s="1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5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4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1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11" t="s">
        <v>27</v>
      </c>
      <c r="E109" s="11" t="s">
        <v>11</v>
      </c>
      <c r="F109" s="11" t="s">
        <v>28</v>
      </c>
      <c r="G109" s="11" t="s">
        <v>29</v>
      </c>
    </row>
    <row r="110" spans="4:19" ht="20.100000000000001" customHeight="1" x14ac:dyDescent="0.25">
      <c r="D110" s="11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11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11" cm="1">
        <f t="array" ref="F110">Common_InputFunctions.Utility_DisplayArrayInTable(Common_SourceData.Common_SourceData_TemperatureZones_Data(),Table_SourceData_TemperatureZones[[#Headers],[Temperature Zone]],0)</f>
        <v>26</v>
      </c>
      <c r="G110" s="11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11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11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11" cm="1">
        <f t="array" ref="F111">Common_InputFunctions.Utility_DisplayArrayInTable(Common_SourceData.Common_SourceData_TemperatureZones_Data(),Table_SourceData_TemperatureZones[[#Headers],[Temperature Zone]],0)</f>
        <v>15</v>
      </c>
      <c r="G111" s="11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11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11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11" cm="1">
        <f t="array" ref="F112">Common_InputFunctions.Utility_DisplayArrayInTable(Common_SourceData.Common_SourceData_TemperatureZones_Data(),Table_SourceData_TemperatureZones[[#Headers],[Temperature Zone]],0)</f>
        <v>-999999</v>
      </c>
      <c r="G112" s="11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5" t="str" cm="1">
        <f t="array" ref="D115">Common_SourceData.Common_SourceData_RainfallZones_Title()</f>
        <v>VEERG Australian rainfall zones</v>
      </c>
      <c r="BM115" s="6"/>
    </row>
    <row r="116" spans="4:65" ht="20.100000000000001" customHeight="1" x14ac:dyDescent="0.25">
      <c r="D116" s="4" t="str" cm="1">
        <f t="array" ref="D116">Common_SourceData.Common_SourceData_RainfallZones_Source()</f>
        <v>VEERG 2026: Table 1.3: Climate and Rainfall zone classifications and definitions</v>
      </c>
      <c r="BM116" s="6"/>
    </row>
    <row r="117" spans="4:65" ht="20.100000000000001" customHeight="1" x14ac:dyDescent="0.25">
      <c r="D117" s="1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6"/>
    </row>
    <row r="118" spans="4:65" ht="20.100000000000001" customHeight="1" x14ac:dyDescent="0.25">
      <c r="BM118" s="6"/>
    </row>
    <row r="119" spans="4:65" ht="20.100000000000001" customHeight="1" x14ac:dyDescent="0.25">
      <c r="D119" s="11" t="s">
        <v>30</v>
      </c>
      <c r="E119" s="11" t="s">
        <v>31</v>
      </c>
      <c r="F119" s="11" t="s">
        <v>18</v>
      </c>
      <c r="G119" s="11" t="s">
        <v>19</v>
      </c>
      <c r="BM119" s="6"/>
    </row>
    <row r="120" spans="4:65" ht="20.100000000000001" customHeight="1" x14ac:dyDescent="0.25">
      <c r="D120" s="11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11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11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11" cm="1">
        <f t="array" ref="G120">Common_InputFunctions.Utility_DisplayArrayInTable(Common_SourceData.Common_SourceData_RainfallZones_Data(),Table_SourceData_RainfallZones[[#Headers],[Rainfall Zone]],0)</f>
        <v>999999</v>
      </c>
      <c r="BM120" s="6"/>
    </row>
    <row r="121" spans="4:65" ht="20.100000000000001" customHeight="1" x14ac:dyDescent="0.25">
      <c r="D121" s="11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11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11" cm="1">
        <f t="array" ref="F121">Common_InputFunctions.Utility_DisplayArrayInTable(Common_SourceData.Common_SourceData_RainfallZones_Data(),Table_SourceData_RainfallZones[[#Headers],[Rainfall Zone]],0)</f>
        <v>-999999</v>
      </c>
      <c r="G121" s="11" cm="1">
        <f t="array" ref="G121">Common_InputFunctions.Utility_DisplayArrayInTable(Common_SourceData.Common_SourceData_RainfallZones_Data(),Table_SourceData_RainfallZones[[#Headers],[Rainfall Zone]],0)</f>
        <v>600</v>
      </c>
      <c r="BM121" s="6"/>
    </row>
    <row r="122" spans="4:65" ht="20.100000000000001" customHeight="1" x14ac:dyDescent="0.25">
      <c r="BM122" s="6"/>
    </row>
    <row r="123" spans="4:65" ht="20.100000000000001" customHeight="1" x14ac:dyDescent="0.25"/>
    <row r="124" spans="4:65" ht="20.100000000000001" customHeight="1" x14ac:dyDescent="0.25">
      <c r="D124" s="5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4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11" t="s">
        <v>32</v>
      </c>
      <c r="E127" s="11" t="s">
        <v>33</v>
      </c>
    </row>
    <row r="128" spans="4:65" ht="20.100000000000001" customHeight="1" x14ac:dyDescent="0.25">
      <c r="D128" s="11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11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11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11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5" t="str" cm="1">
        <f t="array" ref="D132">Common_SourceData.Common_SourceData_FracWET_Title()</f>
        <v>Fraction of N that is available for leaching and runoff</v>
      </c>
      <c r="E132" s="10"/>
    </row>
    <row r="133" spans="4:76" ht="20.100000000000001" customHeight="1" x14ac:dyDescent="0.25">
      <c r="D133" s="4" t="str" cm="1">
        <f t="array" ref="D133">Common_SourceData.Common_SourceData_FracWET_Source()</f>
        <v>VEERG 2026:5.5.2.3 Constant Parameters</v>
      </c>
      <c r="E133" s="10"/>
    </row>
    <row r="134" spans="4:76" ht="20.100000000000001" customHeight="1" x14ac:dyDescent="0.25">
      <c r="D134" t="s">
        <v>37</v>
      </c>
      <c r="E134" t="s">
        <v>38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11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</row>
    <row r="139" spans="4:76" ht="20.100000000000001" customHeight="1" x14ac:dyDescent="0.25">
      <c r="D139" s="5" t="str" cm="1">
        <f t="array" ref="D139">Common_SourceData.Common_SourceData_DataScores_Scope3_Title()</f>
        <v>Australian data scores for scope 3</v>
      </c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</row>
    <row r="140" spans="4:76" ht="20.100000000000001" customHeight="1" x14ac:dyDescent="0.25">
      <c r="D140" s="4" t="str" cm="1">
        <f t="array" ref="D140">Common_SourceData.Common_SourceData_DataScores_Scope3_Source()</f>
        <v>VEERG 2026: XXXXXXXX</v>
      </c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</row>
    <row r="141" spans="4:76" ht="20.100000000000001" customHeight="1" x14ac:dyDescent="0.25">
      <c r="BM141" s="6"/>
    </row>
    <row r="142" spans="4:76" ht="20.100000000000001" customHeight="1" x14ac:dyDescent="0.25">
      <c r="D142" s="11" t="s">
        <v>34</v>
      </c>
      <c r="E142" s="11" t="s">
        <v>35</v>
      </c>
      <c r="BM142" s="6"/>
    </row>
    <row r="143" spans="4:76" ht="20.100000000000001" customHeight="1" x14ac:dyDescent="0.25">
      <c r="D143" s="11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11" cm="1">
        <f t="array" ref="E143">Common_InputFunctions.Utility_DisplayArrayInTable(Common_SourceData.Common_SourceData_DataScores_Scope3_Data(), Table_SourceData_DataScores_Scope3[[#Headers],[Data source]], 0)</f>
        <v>1</v>
      </c>
      <c r="BM143" s="6"/>
    </row>
    <row r="144" spans="4:76" ht="20.100000000000001" customHeight="1" x14ac:dyDescent="0.25">
      <c r="D144" s="11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11" cm="1">
        <f t="array" ref="E144">Common_InputFunctions.Utility_DisplayArrayInTable(Common_SourceData.Common_SourceData_DataScores_Scope3_Data(), Table_SourceData_DataScores_Scope3[[#Headers],[Data source]], 0)</f>
        <v>2</v>
      </c>
      <c r="BM144" s="6"/>
    </row>
    <row r="145" spans="4:65" ht="20.100000000000001" customHeight="1" x14ac:dyDescent="0.25">
      <c r="D145" s="11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11" cm="1">
        <f t="array" ref="E145">Common_InputFunctions.Utility_DisplayArrayInTable(Common_SourceData.Common_SourceData_DataScores_Scope3_Data(), Table_SourceData_DataScores_Scope3[[#Headers],[Data source]], 0)</f>
        <v>3</v>
      </c>
      <c r="BM145" s="6"/>
    </row>
    <row r="146" spans="4:65" ht="20.100000000000001" customHeight="1" x14ac:dyDescent="0.25">
      <c r="D146" s="11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11" cm="1">
        <f t="array" ref="E146">Common_InputFunctions.Utility_DisplayArrayInTable(Common_SourceData.Common_SourceData_DataScores_Scope3_Data(), Table_SourceData_DataScores_Scope3[[#Headers],[Data source]], 0)</f>
        <v>4</v>
      </c>
      <c r="BM146" s="6"/>
    </row>
    <row r="147" spans="4:65" ht="20.100000000000001" customHeight="1" x14ac:dyDescent="0.25">
      <c r="D147" s="11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11" cm="1">
        <f t="array" ref="E147">Common_InputFunctions.Utility_DisplayArrayInTable(Common_SourceData.Common_SourceData_DataScores_Scope3_Data(), Table_SourceData_DataScores_Scope3[[#Headers],[Data source]], 0)</f>
        <v>5</v>
      </c>
      <c r="BM147" s="6"/>
    </row>
    <row r="148" spans="4:65" ht="20.100000000000001" customHeight="1" x14ac:dyDescent="0.25">
      <c r="BM148" s="6"/>
    </row>
    <row r="149" spans="4:65" ht="20.100000000000001" customHeight="1" x14ac:dyDescent="0.25">
      <c r="BM149" s="6"/>
    </row>
    <row r="150" spans="4:65" ht="20.100000000000001" customHeight="1" x14ac:dyDescent="0.25">
      <c r="D150" s="5" t="str" cm="1">
        <f t="array" ref="D150">Common_SourceData.Common_SourceData_FracLEACH_Title()</f>
        <v>Fraction of N that is available for leaching and runoff</v>
      </c>
      <c r="E150" s="10"/>
      <c r="BM150" s="6"/>
    </row>
    <row r="151" spans="4:65" ht="20.100000000000001" customHeight="1" x14ac:dyDescent="0.25">
      <c r="D151" s="4" t="str" cm="1">
        <f t="array" ref="D151">Common_SourceData.Common_SourceData_FracLEACH_Source()</f>
        <v>VEERG 2026:5.5.2.3 Constant Parameters</v>
      </c>
      <c r="E151" s="10"/>
      <c r="BM151" s="6"/>
    </row>
    <row r="152" spans="4:65" ht="20.100000000000001" customHeight="1" x14ac:dyDescent="0.25">
      <c r="D152" s="4" t="str" cm="1">
        <f t="array" ref="D152">Common_SourceData.Common_SourceData_FracLEACH_NIRReference()</f>
        <v>National Inventory Report Volume 1: Leaching and runoff (3.D.b.2)</v>
      </c>
      <c r="E152" s="10"/>
      <c r="BM152" s="6"/>
    </row>
    <row r="153" spans="4:65" ht="20.100000000000001" customHeight="1" x14ac:dyDescent="0.25">
      <c r="D153" s="10" t="str" cm="1">
        <f t="array" ref="D153:E153">Common_SourceData.Common_SourceData_FracLEACH_Data()</f>
        <v>FracLEACH</v>
      </c>
      <c r="E153" s="10">
        <v>0.24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</row>
    <row r="154" spans="4:65" ht="20.100000000000001" customHeight="1" x14ac:dyDescent="0.25"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</row>
    <row r="155" spans="4:65" ht="20.100000000000001" customHeight="1" x14ac:dyDescent="0.25"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</row>
    <row r="156" spans="4:65" ht="20.100000000000001" customHeight="1" x14ac:dyDescent="0.25">
      <c r="D156" s="5" t="str" cm="1">
        <f t="array" ref="D156">Common_SourceData.Common_SourceData_EFleach_Title()</f>
        <v>Emission factor for nitrogen leaching and runoff</v>
      </c>
    </row>
    <row r="157" spans="4:65" ht="20.100000000000001" customHeight="1" x14ac:dyDescent="0.25">
      <c r="D157" s="4" t="str" cm="1">
        <f t="array" ref="D157">Common_SourceData.Common_SourceData_EFleach_Source()</f>
        <v>VEERG 2026:5.5.2.3 Constant Parameters</v>
      </c>
    </row>
    <row r="158" spans="4:65" ht="20.100000000000001" customHeight="1" x14ac:dyDescent="0.25">
      <c r="D158" s="4" t="str" cm="1">
        <f t="array" ref="D158">Common_SourceData.Common_SourceData_EFleach_NIRReference()</f>
        <v>National Inventory Report Volume 1: Equation 3.D.B_10</v>
      </c>
    </row>
    <row r="159" spans="4:65" ht="20.100000000000001" customHeight="1" x14ac:dyDescent="0.25">
      <c r="D159" s="1" t="str" cm="1">
        <f t="array" ref="D159:E159">Common_SourceData.Common_SourceData_EFleach_Data()</f>
        <v>EFleach</v>
      </c>
      <c r="E159" s="1">
        <v>1.0999999999999999E-2</v>
      </c>
    </row>
    <row r="160" spans="4:65" ht="20.100000000000001" customHeight="1" x14ac:dyDescent="0.25"/>
    <row r="161" spans="4:67" ht="20.100000000000001" customHeight="1" x14ac:dyDescent="0.25"/>
    <row r="162" spans="4:67" ht="20.100000000000001" customHeight="1" x14ac:dyDescent="0.25">
      <c r="D162" s="5" t="str" cm="1">
        <f t="array" ref="D162">Common_SourceData.Common_SourceData_DensityOfMethane_Title()</f>
        <v>p = density of methane</v>
      </c>
    </row>
    <row r="163" spans="4:67" ht="20.100000000000001" customHeight="1" x14ac:dyDescent="0.25">
      <c r="D163" s="4" t="str" cm="1">
        <f t="array" ref="D163">Common_SourceData.Common_SourceData_DensityOfMethane_Source()</f>
        <v>National Inventory Report 2023 Volume 1: Equations 3.B.1a_2, 3.B.1c_2, 3.B.3_1, 3.B.4g_2</v>
      </c>
    </row>
    <row r="164" spans="4:67" ht="20.100000000000001" customHeight="1" x14ac:dyDescent="0.25">
      <c r="D164" s="1" cm="1">
        <f t="array" ref="D164">Common_SourceData.Common_SourceData_DensityOfMethane_Data()</f>
        <v>0.6784</v>
      </c>
      <c r="E164" s="12" t="str" cm="1">
        <f t="array" ref="E164">Common_SourceData.Common_SourceData_DensityOfMethane_Unit()</f>
        <v>kg/m3</v>
      </c>
    </row>
    <row r="165" spans="4:67" ht="20.100000000000001" customHeight="1" x14ac:dyDescent="0.25">
      <c r="BM165" s="6"/>
      <c r="BN165" s="6"/>
      <c r="BO165" s="6"/>
    </row>
    <row r="166" spans="4:67" ht="20.100000000000001" customHeight="1" x14ac:dyDescent="0.25">
      <c r="BM166" s="6"/>
      <c r="BN166" s="6"/>
      <c r="BO166" s="6"/>
    </row>
    <row r="167" spans="4:67" ht="20.100000000000001" customHeight="1" x14ac:dyDescent="0.25">
      <c r="D167" s="5" t="str" cm="1">
        <f t="array" ref="D167">Common_SourceData.Common_SourceData_EFN2O_Title()</f>
        <v>Nitrous oxide emission factors for inorganic fertiliser application</v>
      </c>
      <c r="BM167" s="6"/>
      <c r="BN167" s="6"/>
      <c r="BO167" s="6"/>
    </row>
    <row r="168" spans="4:67" ht="20.100000000000001" customHeight="1" x14ac:dyDescent="0.25">
      <c r="D168" s="4" t="str" cm="1">
        <f t="array" ref="D168">Common_SourceData.Common_SourceData_EFN2O_Source()</f>
        <v>VEERG 2026: Table A.2.2.1</v>
      </c>
      <c r="BM168" s="6"/>
      <c r="BN168" s="6"/>
      <c r="BO168" s="6"/>
    </row>
    <row r="169" spans="4:67" ht="20.100000000000001" customHeight="1" x14ac:dyDescent="0.25">
      <c r="D169" s="12" t="str" cm="1">
        <f t="array" ref="D169">Common_SourceData.Common_SourceData_EFN2O_Unit()</f>
        <v>(kg N2O-N / kg N</v>
      </c>
      <c r="BM169" s="6"/>
      <c r="BN169" s="6"/>
      <c r="BO169" s="6"/>
    </row>
    <row r="170" spans="4:67" ht="20.100000000000001" customHeight="1" x14ac:dyDescent="0.25">
      <c r="D170" s="13" t="str" cm="1">
        <f t="array" ref="D170:D173">Common_SourceData.Common_SourceData_EFN2O_Variation()</f>
        <v>VARIATION OF SOURCE DATA:</v>
      </c>
      <c r="BM170" s="6"/>
      <c r="BN170" s="6"/>
      <c r="BO170" s="6"/>
    </row>
    <row r="171" spans="4:67" ht="20.100000000000001" customHeight="1" x14ac:dyDescent="0.25">
      <c r="D171" s="13" t="str">
        <v>Removed duplicate 'Aquaculture' row.</v>
      </c>
      <c r="BM171" s="6"/>
      <c r="BN171" s="6"/>
      <c r="BO171" s="6"/>
    </row>
    <row r="172" spans="4:67" ht="20.100000000000001" customHeight="1" x14ac:dyDescent="0.25">
      <c r="D172" s="13" t="str">
        <v>Removed asterisks to aid lookup.</v>
      </c>
      <c r="BM172" s="6"/>
      <c r="BN172" s="6"/>
      <c r="BO172" s="6"/>
    </row>
    <row r="173" spans="4:67" ht="20.100000000000001" customHeight="1" x14ac:dyDescent="0.25">
      <c r="D173" s="13" t="str">
        <v>Added 'production system only', 'rainfall zone' and 'irrigation method' columns to aid lookup.</v>
      </c>
      <c r="BM173" s="6"/>
      <c r="BN173" s="6"/>
      <c r="BO173" s="6"/>
    </row>
    <row r="174" spans="4:67" ht="20.100000000000001" customHeight="1" x14ac:dyDescent="0.25">
      <c r="D174" s="13"/>
      <c r="BM174" s="6"/>
      <c r="BN174" s="6"/>
      <c r="BO174" s="6"/>
    </row>
    <row r="175" spans="4:67" ht="20.100000000000001" customHeight="1" x14ac:dyDescent="0.25">
      <c r="D175" s="11" t="s">
        <v>39</v>
      </c>
      <c r="E175" s="11" t="s">
        <v>40</v>
      </c>
      <c r="F175" s="11" t="s">
        <v>41</v>
      </c>
      <c r="G175" s="11" t="s">
        <v>42</v>
      </c>
      <c r="H175" s="11" t="s">
        <v>43</v>
      </c>
      <c r="J175" s="1" t="s">
        <v>44</v>
      </c>
      <c r="BM175" s="6"/>
      <c r="BN175" s="6"/>
      <c r="BO175" s="6"/>
    </row>
    <row r="176" spans="4:67" ht="20.100000000000001" customHeight="1" x14ac:dyDescent="0.25">
      <c r="D176" s="11" t="str" cm="1">
        <f t="array" ref="D176">Common_InputFunctions.Utility_DisplayArrayInTable(Common_SourceData.Common_SourceData_EFN2O_Data(), Table_SourceData_Common_EFN2O[[#Headers],[Production system j]], 0)</f>
        <v>Irrigated pasture</v>
      </c>
      <c r="E176" s="11" cm="1">
        <f t="array" ref="E176">Common_InputFunctions.Utility_DisplayArrayInTable(Common_SourceData.Common_SourceData_EFN2O_Data(), Table_SourceData_Common_EFN2O[[#Headers],[Production system j]], 0)</f>
        <v>5.8999999999999999E-3</v>
      </c>
      <c r="F176" s="11" t="str" cm="1">
        <f t="array" ref="F176">Common_InputFunctions.Utility_DisplayArrayInTable(Common_SourceData.Common_SourceData_EFN2O_Data(), Table_SourceData_Common_EFN2O[[#Headers],[Production system j]], 0)</f>
        <v>Pasture</v>
      </c>
      <c r="G176" s="11" t="str" cm="1">
        <f t="array" ref="G176">Common_InputFunctions.Utility_DisplayArrayInTable(Common_SourceData.Common_SourceData_EFN2O_Data(), Table_SourceData_Common_EFN2O[[#Headers],[Production system j]], 0)</f>
        <v>Any</v>
      </c>
      <c r="H176" s="11" t="str" cm="1">
        <f t="array" ref="H176">Common_InputFunctions.Utility_DisplayArrayInTable(Common_SourceData.Common_SourceData_EFN2O_Data(), Table_SourceData_Common_EFN2O[[#Headers],[Production system j]], 0)</f>
        <v>Any</v>
      </c>
      <c r="J176" s="1" t="s">
        <v>45</v>
      </c>
      <c r="BM176" s="6"/>
      <c r="BN176" s="6"/>
      <c r="BO176" s="6"/>
    </row>
    <row r="177" spans="4:67" ht="20.100000000000001" customHeight="1" x14ac:dyDescent="0.25">
      <c r="D177" s="11" t="str" cm="1">
        <f t="array" ref="D177">Common_InputFunctions.Utility_DisplayArrayInTable(Common_SourceData.Common_SourceData_EFN2O_Data(), Table_SourceData_Common_EFN2O[[#Headers],[Production system j]], 0)</f>
        <v>Irrigated crop</v>
      </c>
      <c r="E177" s="11" cm="1">
        <f t="array" ref="E177">Common_InputFunctions.Utility_DisplayArrayInTable(Common_SourceData.Common_SourceData_EFN2O_Data(), Table_SourceData_Common_EFN2O[[#Headers],[Production system j]], 0)</f>
        <v>7.0000000000000001E-3</v>
      </c>
      <c r="F177" s="11" t="str" cm="1">
        <f t="array" ref="F177">Common_InputFunctions.Utility_DisplayArrayInTable(Common_SourceData.Common_SourceData_EFN2O_Data(), Table_SourceData_Common_EFN2O[[#Headers],[Production system j]], 0)</f>
        <v>Crop</v>
      </c>
      <c r="G177" s="11" t="str" cm="1">
        <f t="array" ref="G177">Common_InputFunctions.Utility_DisplayArrayInTable(Common_SourceData.Common_SourceData_EFN2O_Data(), Table_SourceData_Common_EFN2O[[#Headers],[Production system j]], 0)</f>
        <v>Any</v>
      </c>
      <c r="H177" s="11" t="str" cm="1">
        <f t="array" ref="H177">Common_InputFunctions.Utility_DisplayArrayInTable(Common_SourceData.Common_SourceData_EFN2O_Data(), Table_SourceData_Common_EFN2O[[#Headers],[Production system j]], 0)</f>
        <v>Any</v>
      </c>
      <c r="J177" s="1" t="s">
        <v>46</v>
      </c>
      <c r="BM177" s="6"/>
      <c r="BN177" s="6"/>
      <c r="BO177" s="6"/>
    </row>
    <row r="178" spans="4:67" ht="20.100000000000001" customHeight="1" x14ac:dyDescent="0.25">
      <c r="D178" s="11" t="str" cm="1">
        <f t="array" ref="D178">Common_InputFunctions.Utility_DisplayArrayInTable(Common_SourceData.Common_SourceData_EFN2O_Data(), Table_SourceData_Common_EFN2O[[#Headers],[Production system j]], 0)</f>
        <v>Non-irrigated pasture</v>
      </c>
      <c r="E178" s="11" cm="1">
        <f t="array" ref="E178">Common_InputFunctions.Utility_DisplayArrayInTable(Common_SourceData.Common_SourceData_EFN2O_Data(), Table_SourceData_Common_EFN2O[[#Headers],[Production system j]], 0)</f>
        <v>1.8E-3</v>
      </c>
      <c r="F178" s="11" t="str" cm="1">
        <f t="array" ref="F178">Common_InputFunctions.Utility_DisplayArrayInTable(Common_SourceData.Common_SourceData_EFN2O_Data(), Table_SourceData_Common_EFN2O[[#Headers],[Production system j]], 0)</f>
        <v>Pasture</v>
      </c>
      <c r="G178" s="11" t="str" cm="1">
        <f t="array" ref="G178">Common_InputFunctions.Utility_DisplayArrayInTable(Common_SourceData.Common_SourceData_EFN2O_Data(), Table_SourceData_Common_EFN2O[[#Headers],[Production system j]], 0)</f>
        <v>Not irrigated</v>
      </c>
      <c r="H178" s="11" t="str" cm="1">
        <f t="array" ref="H178">Common_InputFunctions.Utility_DisplayArrayInTable(Common_SourceData.Common_SourceData_EFN2O_Data(), Table_SourceData_Common_EFN2O[[#Headers],[Production system j]], 0)</f>
        <v>Low rainfall</v>
      </c>
      <c r="BM178" s="6"/>
      <c r="BN178" s="6"/>
      <c r="BO178" s="6"/>
    </row>
    <row r="179" spans="4:67" ht="20.100000000000001" customHeight="1" x14ac:dyDescent="0.25">
      <c r="D179" s="11" t="str" cm="1">
        <f t="array" ref="D179">Common_InputFunctions.Utility_DisplayArrayInTable(Common_SourceData.Common_SourceData_EFN2O_Data(), Table_SourceData_Common_EFN2O[[#Headers],[Production system j]], 0)</f>
        <v>Non-irrigated crop (low rainfall)</v>
      </c>
      <c r="E179" s="11" cm="1">
        <f t="array" ref="E179">Common_InputFunctions.Utility_DisplayArrayInTable(Common_SourceData.Common_SourceData_EFN2O_Data(), Table_SourceData_Common_EFN2O[[#Headers],[Production system j]], 0)</f>
        <v>2.8999999999999998E-3</v>
      </c>
      <c r="F179" s="11" t="str" cm="1">
        <f t="array" ref="F179">Common_InputFunctions.Utility_DisplayArrayInTable(Common_SourceData.Common_SourceData_EFN2O_Data(), Table_SourceData_Common_EFN2O[[#Headers],[Production system j]], 0)</f>
        <v>Crop</v>
      </c>
      <c r="G179" s="11" t="str" cm="1">
        <f t="array" ref="G179">Common_InputFunctions.Utility_DisplayArrayInTable(Common_SourceData.Common_SourceData_EFN2O_Data(), Table_SourceData_Common_EFN2O[[#Headers],[Production system j]], 0)</f>
        <v>Not irrigated</v>
      </c>
      <c r="H179" s="11" t="str" cm="1">
        <f t="array" ref="H179">Common_InputFunctions.Utility_DisplayArrayInTable(Common_SourceData.Common_SourceData_EFN2O_Data(), Table_SourceData_Common_EFN2O[[#Headers],[Production system j]], 0)</f>
        <v>Low rainfall</v>
      </c>
      <c r="BM179" s="6"/>
      <c r="BN179" s="6"/>
      <c r="BO179" s="6"/>
    </row>
    <row r="180" spans="4:67" ht="20.100000000000001" customHeight="1" x14ac:dyDescent="0.25">
      <c r="D180" s="11" t="str" cm="1">
        <f t="array" ref="D180">Common_InputFunctions.Utility_DisplayArrayInTable(Common_SourceData.Common_SourceData_EFN2O_Data(), Table_SourceData_Common_EFN2O[[#Headers],[Production system j]], 0)</f>
        <v>Non-irrigated crop (high rainfall)</v>
      </c>
      <c r="E180" s="11" cm="1">
        <f t="array" ref="E180">Common_InputFunctions.Utility_DisplayArrayInTable(Common_SourceData.Common_SourceData_EFN2O_Data(), Table_SourceData_Common_EFN2O[[#Headers],[Production system j]], 0)</f>
        <v>8.0000000000000002E-3</v>
      </c>
      <c r="F180" s="11" t="str" cm="1">
        <f t="array" ref="F180">Common_InputFunctions.Utility_DisplayArrayInTable(Common_SourceData.Common_SourceData_EFN2O_Data(), Table_SourceData_Common_EFN2O[[#Headers],[Production system j]], 0)</f>
        <v>Crop</v>
      </c>
      <c r="G180" s="11" t="str" cm="1">
        <f t="array" ref="G180">Common_InputFunctions.Utility_DisplayArrayInTable(Common_SourceData.Common_SourceData_EFN2O_Data(), Table_SourceData_Common_EFN2O[[#Headers],[Production system j]], 0)</f>
        <v>Not irrigated</v>
      </c>
      <c r="H180" s="11" t="str" cm="1">
        <f t="array" ref="H180">Common_InputFunctions.Utility_DisplayArrayInTable(Common_SourceData.Common_SourceData_EFN2O_Data(), Table_SourceData_Common_EFN2O[[#Headers],[Production system j]], 0)</f>
        <v>High rainfall</v>
      </c>
    </row>
    <row r="181" spans="4:67" ht="20.100000000000001" customHeight="1" x14ac:dyDescent="0.25">
      <c r="D181" s="11" t="str" cm="1">
        <f t="array" ref="D181">Common_InputFunctions.Utility_DisplayArrayInTable(Common_SourceData.Common_SourceData_EFN2O_Data(), Table_SourceData_Common_EFN2O[[#Headers],[Production system j]], 0)</f>
        <v>Sugar</v>
      </c>
      <c r="E181" s="11" cm="1">
        <f t="array" ref="E181">Common_InputFunctions.Utility_DisplayArrayInTable(Common_SourceData.Common_SourceData_EFN2O_Data(), Table_SourceData_Common_EFN2O[[#Headers],[Production system j]], 0)</f>
        <v>1.9900000000000001E-2</v>
      </c>
      <c r="F181" s="11" t="str" cm="1">
        <f t="array" ref="F181">Common_InputFunctions.Utility_DisplayArrayInTable(Common_SourceData.Common_SourceData_EFN2O_Data(), Table_SourceData_Common_EFN2O[[#Headers],[Production system j]], 0)</f>
        <v>Sugar</v>
      </c>
      <c r="G181" s="11" t="str" cm="1">
        <f t="array" ref="G181">Common_InputFunctions.Utility_DisplayArrayInTable(Common_SourceData.Common_SourceData_EFN2O_Data(), Table_SourceData_Common_EFN2O[[#Headers],[Production system j]], 0)</f>
        <v>Any</v>
      </c>
      <c r="H181" s="11" t="str" cm="1">
        <f t="array" ref="H181">Common_InputFunctions.Utility_DisplayArrayInTable(Common_SourceData.Common_SourceData_EFN2O_Data(), Table_SourceData_Common_EFN2O[[#Headers],[Production system j]], 0)</f>
        <v>Any</v>
      </c>
    </row>
    <row r="182" spans="4:67" ht="20.100000000000001" customHeight="1" x14ac:dyDescent="0.25">
      <c r="D182" s="11" t="str" cm="1">
        <f t="array" ref="D182">Common_InputFunctions.Utility_DisplayArrayInTable(Common_SourceData.Common_SourceData_EFN2O_Data(), Table_SourceData_Common_EFN2O[[#Headers],[Production system j]], 0)</f>
        <v>Cotton</v>
      </c>
      <c r="E182" s="11" cm="1">
        <f t="array" ref="E182">Common_InputFunctions.Utility_DisplayArrayInTable(Common_SourceData.Common_SourceData_EFN2O_Data(), Table_SourceData_Common_EFN2O[[#Headers],[Production system j]], 0)</f>
        <v>5.3E-3</v>
      </c>
      <c r="F182" s="11" t="str" cm="1">
        <f t="array" ref="F182">Common_InputFunctions.Utility_DisplayArrayInTable(Common_SourceData.Common_SourceData_EFN2O_Data(), Table_SourceData_Common_EFN2O[[#Headers],[Production system j]], 0)</f>
        <v>Cotton</v>
      </c>
      <c r="G182" s="11" t="str" cm="1">
        <f t="array" ref="G182">Common_InputFunctions.Utility_DisplayArrayInTable(Common_SourceData.Common_SourceData_EFN2O_Data(), Table_SourceData_Common_EFN2O[[#Headers],[Production system j]], 0)</f>
        <v>Any</v>
      </c>
      <c r="H182" s="11" t="str" cm="1">
        <f t="array" ref="H182">Common_InputFunctions.Utility_DisplayArrayInTable(Common_SourceData.Common_SourceData_EFN2O_Data(), Table_SourceData_Common_EFN2O[[#Headers],[Production system j]], 0)</f>
        <v>Any</v>
      </c>
    </row>
    <row r="183" spans="4:67" ht="20.100000000000001" customHeight="1" x14ac:dyDescent="0.25">
      <c r="D183" s="11" t="str" cm="1">
        <f t="array" ref="D183">Common_InputFunctions.Utility_DisplayArrayInTable(Common_SourceData.Common_SourceData_EFN2O_Data(), Table_SourceData_Common_EFN2O[[#Headers],[Production system j]], 0)</f>
        <v>Horticultural crops</v>
      </c>
      <c r="E183" s="11" cm="1">
        <f t="array" ref="E183">Common_InputFunctions.Utility_DisplayArrayInTable(Common_SourceData.Common_SourceData_EFN2O_Data(), Table_SourceData_Common_EFN2O[[#Headers],[Production system j]], 0)</f>
        <v>6.4000000000000003E-3</v>
      </c>
      <c r="F183" s="11" t="str" cm="1">
        <f t="array" ref="F183">Common_InputFunctions.Utility_DisplayArrayInTable(Common_SourceData.Common_SourceData_EFN2O_Data(), Table_SourceData_Common_EFN2O[[#Headers],[Production system j]], 0)</f>
        <v>Horticultural crops</v>
      </c>
      <c r="G183" s="11" t="str" cm="1">
        <f t="array" ref="G183">Common_InputFunctions.Utility_DisplayArrayInTable(Common_SourceData.Common_SourceData_EFN2O_Data(), Table_SourceData_Common_EFN2O[[#Headers],[Production system j]], 0)</f>
        <v>Any</v>
      </c>
      <c r="H183" s="11" t="str" cm="1">
        <f t="array" ref="H183">Common_InputFunctions.Utility_DisplayArrayInTable(Common_SourceData.Common_SourceData_EFN2O_Data(), Table_SourceData_Common_EFN2O[[#Headers],[Production system j]], 0)</f>
        <v>Any</v>
      </c>
    </row>
    <row r="184" spans="4:67" ht="20.100000000000001" customHeight="1" x14ac:dyDescent="0.25">
      <c r="D184" s="11" t="str" cm="1">
        <f t="array" ref="D184">Common_InputFunctions.Utility_DisplayArrayInTable(Common_SourceData.Common_SourceData_EFN2O_Data(), Table_SourceData_Common_EFN2O[[#Headers],[Production system j]], 0)</f>
        <v>Rice (continuous flooding)</v>
      </c>
      <c r="E184" s="11" cm="1">
        <f t="array" ref="E184">Common_InputFunctions.Utility_DisplayArrayInTable(Common_SourceData.Common_SourceData_EFN2O_Data(), Table_SourceData_Common_EFN2O[[#Headers],[Production system j]], 0)</f>
        <v>3.0000000000000001E-3</v>
      </c>
      <c r="F184" s="11" t="str" cm="1">
        <f t="array" ref="F184">Common_InputFunctions.Utility_DisplayArrayInTable(Common_SourceData.Common_SourceData_EFN2O_Data(), Table_SourceData_Common_EFN2O[[#Headers],[Production system j]], 0)</f>
        <v>Rice</v>
      </c>
      <c r="G184" s="11" t="str" cm="1">
        <f t="array" ref="G184">Common_InputFunctions.Utility_DisplayArrayInTable(Common_SourceData.Common_SourceData_EFN2O_Data(), Table_SourceData_Common_EFN2O[[#Headers],[Production system j]], 0)</f>
        <v>Continuous flooding</v>
      </c>
      <c r="H184" s="11" t="str" cm="1">
        <f t="array" ref="H184">Common_InputFunctions.Utility_DisplayArrayInTable(Common_SourceData.Common_SourceData_EFN2O_Data(), Table_SourceData_Common_EFN2O[[#Headers],[Production system j]], 0)</f>
        <v>Any</v>
      </c>
    </row>
    <row r="185" spans="4:67" ht="20.100000000000001" customHeight="1" x14ac:dyDescent="0.25">
      <c r="D185" s="11" t="str" cm="1">
        <f t="array" ref="D185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85" s="11" cm="1">
        <f t="array" ref="E185">Common_InputFunctions.Utility_DisplayArrayInTable(Common_SourceData.Common_SourceData_EFN2O_Data(), Table_SourceData_Common_EFN2O[[#Headers],[Production system j]], 0)</f>
        <v>5.0000000000000001E-3</v>
      </c>
      <c r="F185" s="11" t="str" cm="1">
        <f t="array" ref="F185">Common_InputFunctions.Utility_DisplayArrayInTable(Common_SourceData.Common_SourceData_EFN2O_Data(), Table_SourceData_Common_EFN2O[[#Headers],[Production system j]], 0)</f>
        <v>Rice</v>
      </c>
      <c r="G185" s="11" t="str" cm="1">
        <f t="array" ref="G185">Common_InputFunctions.Utility_DisplayArrayInTable(Common_SourceData.Common_SourceData_EFN2O_Data(), Table_SourceData_Common_EFN2O[[#Headers],[Production system j]], 0)</f>
        <v>Single and multiple drainage, or alternate wetting and drying</v>
      </c>
      <c r="H185" s="11" t="str" cm="1">
        <f t="array" ref="H185">Common_InputFunctions.Utility_DisplayArrayInTable(Common_SourceData.Common_SourceData_EFN2O_Data(), Table_SourceData_Common_EFN2O[[#Headers],[Production system j]], 0)</f>
        <v>Any</v>
      </c>
    </row>
    <row r="186" spans="4:67" ht="20.100000000000001" customHeight="1" x14ac:dyDescent="0.25">
      <c r="D186" s="11" t="str" cm="1">
        <f t="array" ref="D186">Common_InputFunctions.Utility_DisplayArrayInTable(Common_SourceData.Common_SourceData_EFN2O_Data(), Table_SourceData_Common_EFN2O[[#Headers],[Production system j]], 0)</f>
        <v>Aquaculture</v>
      </c>
      <c r="E186" s="11" cm="1">
        <f t="array" ref="E186">Common_InputFunctions.Utility_DisplayArrayInTable(Common_SourceData.Common_SourceData_EFN2O_Data(), Table_SourceData_Common_EFN2O[[#Headers],[Production system j]], 0)</f>
        <v>2.5999999999999999E-3</v>
      </c>
      <c r="F186" s="11" t="str" cm="1">
        <f t="array" ref="F186">Common_InputFunctions.Utility_DisplayArrayInTable(Common_SourceData.Common_SourceData_EFN2O_Data(), Table_SourceData_Common_EFN2O[[#Headers],[Production system j]], 0)</f>
        <v>Aquaculture</v>
      </c>
      <c r="G186" s="11" t="str" cm="1">
        <f t="array" ref="G186">Common_InputFunctions.Utility_DisplayArrayInTable(Common_SourceData.Common_SourceData_EFN2O_Data(), Table_SourceData_Common_EFN2O[[#Headers],[Production system j]], 0)</f>
        <v>Any</v>
      </c>
      <c r="H186" s="11" t="str" cm="1">
        <f t="array" ref="H186">Common_InputFunctions.Utility_DisplayArrayInTable(Common_SourceData.Common_SourceData_EFN2O_Data(), Table_SourceData_Common_EFN2O[[#Headers],[Production system j]], 0)</f>
        <v>Any</v>
      </c>
    </row>
    <row r="187" spans="4:67" ht="20.100000000000001" customHeight="1" x14ac:dyDescent="0.25">
      <c r="D187" s="11" t="str" cm="1">
        <f t="array" ref="D187">Common_InputFunctions.Utility_DisplayArrayInTable(Common_SourceData.Common_SourceData_EFN2O_Data(), Table_SourceData_Common_EFN2O[[#Headers],[Production system j]], 0)</f>
        <v>Forestry</v>
      </c>
      <c r="E187" s="11" cm="1">
        <f t="array" ref="E187">Common_InputFunctions.Utility_DisplayArrayInTable(Common_SourceData.Common_SourceData_EFN2O_Data(), Table_SourceData_Common_EFN2O[[#Headers],[Production system j]], 0)</f>
        <v>1.8E-3</v>
      </c>
      <c r="F187" s="11" t="str" cm="1">
        <f t="array" ref="F187">Common_InputFunctions.Utility_DisplayArrayInTable(Common_SourceData.Common_SourceData_EFN2O_Data(), Table_SourceData_Common_EFN2O[[#Headers],[Production system j]], 0)</f>
        <v>Forestry</v>
      </c>
      <c r="G187" s="11" t="str" cm="1">
        <f t="array" ref="G187">Common_InputFunctions.Utility_DisplayArrayInTable(Common_SourceData.Common_SourceData_EFN2O_Data(), Table_SourceData_Common_EFN2O[[#Headers],[Production system j]], 0)</f>
        <v>Any</v>
      </c>
      <c r="H187" s="11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11" t="str" cm="1">
        <f t="array" ref="D188">Common_InputFunctions.Utility_DisplayArrayInTable(Common_SourceData.Common_SourceData_EFN2O_Data(), Table_SourceData_Common_EFN2O[[#Headers],[Production system j]], 0)</f>
        <v/>
      </c>
      <c r="E188" s="11" t="str" cm="1">
        <f t="array" ref="E188">Common_InputFunctions.Utility_DisplayArrayInTable(Common_SourceData.Common_SourceData_EFN2O_Data(), Table_SourceData_Common_EFN2O[[#Headers],[Production system j]], 0)</f>
        <v/>
      </c>
      <c r="F188" s="11" t="str" cm="1">
        <f t="array" ref="F188">Common_InputFunctions.Utility_DisplayArrayInTable(Common_SourceData.Common_SourceData_EFN2O_Data(), Table_SourceData_Common_EFN2O[[#Headers],[Production system j]], 0)</f>
        <v/>
      </c>
      <c r="G188" s="11" t="str" cm="1">
        <f t="array" ref="G188">Common_InputFunctions.Utility_DisplayArrayInTable(Common_SourceData.Common_SourceData_EFN2O_Data(), Table_SourceData_Common_EFN2O[[#Headers],[Production system j]], 0)</f>
        <v/>
      </c>
      <c r="H188" s="11" t="str" cm="1">
        <f t="array" ref="H188">Common_InputFunctions.Utility_DisplayArrayInTable(Common_SourceData.Common_SourceData_EFN2O_Data(), Table_SourceData_Common_EFN2O[[#Headers],[Production system j]], 0)</f>
        <v/>
      </c>
    </row>
    <row r="189" spans="4:67" ht="20.100000000000001" customHeight="1" x14ac:dyDescent="0.25"/>
    <row r="190" spans="4:67" ht="20.100000000000001" customHeight="1" x14ac:dyDescent="0.25"/>
    <row r="191" spans="4:67" ht="20.100000000000001" customHeight="1" x14ac:dyDescent="0.25"/>
    <row r="192" spans="4:67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gACA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Constants - Common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2026-04-01T00:18:13Z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