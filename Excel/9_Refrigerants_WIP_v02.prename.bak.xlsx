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0B48590-F211-4EB9-A343-7920FFF4B11B}" xr6:coauthVersionLast="47" xr6:coauthVersionMax="47" xr10:uidLastSave="{00000000-0000-0000-0000-000000000000}"/>
  <bookViews>
    <workbookView xWindow="2340" yWindow="2340" windowWidth="28800" windowHeight="15345"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0"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0" l="1"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a="1"/>
  <c r="R234" i="120" s="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a="1"/>
  <c r="D211" i="120" s="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c r="D179" i="120" a="1"/>
  <c r="D178" i="120" a="1"/>
  <c r="D178" i="120" s="1"/>
  <c r="E175" i="120" a="1"/>
  <c r="E175" i="120" s="1"/>
  <c r="D175" i="120" a="1"/>
  <c r="D175" i="120" s="1"/>
  <c r="D174" i="120" a="1"/>
  <c r="D174" i="120" s="1"/>
  <c r="D173" i="120" a="1"/>
  <c r="D173" i="120" s="1"/>
  <c r="D170" i="120" a="1"/>
  <c r="D170" i="120" s="1"/>
  <c r="D169" i="120" a="1"/>
  <c r="D169" i="120" s="1"/>
  <c r="D168" i="120" a="1"/>
  <c r="D168" i="120" s="1"/>
  <c r="D167" i="120" a="1"/>
  <c r="D167" i="120" s="1"/>
  <c r="D164" i="120" a="1"/>
  <c r="D164" i="120" s="1"/>
  <c r="D163" i="120" a="1"/>
  <c r="D163" i="120" s="1"/>
  <c r="D162" i="120" a="1"/>
  <c r="D162" i="120" s="1"/>
  <c r="D161" i="120"/>
  <c r="D161" i="120" a="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c r="D107" i="120" a="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H49" i="120" s="1"/>
  <c r="E49" i="120" a="1"/>
  <c r="E49" i="120" s="1"/>
  <c r="D49" i="120" a="1"/>
  <c r="D49" i="120" s="1"/>
  <c r="G48" i="120" a="1"/>
  <c r="G48" i="120" s="1"/>
  <c r="F48" i="120" a="1"/>
  <c r="F48" i="120" s="1"/>
  <c r="E48" i="120" a="1"/>
  <c r="E48" i="120" s="1"/>
  <c r="D48" i="120" a="1"/>
  <c r="D48" i="120" s="1"/>
  <c r="D46" i="120" a="1"/>
  <c r="D46" i="120" s="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a="1"/>
  <c r="D5" i="120" s="1"/>
  <c r="D36" i="69" a="1"/>
  <c r="D36" i="69" s="1"/>
  <c r="F22" i="69" a="1"/>
  <c r="F22" i="69" s="1"/>
  <c r="H22" i="69" a="1"/>
  <c r="H22" i="69" s="1"/>
  <c r="G22" i="69" a="1"/>
  <c r="G22" i="69" s="1"/>
  <c r="E22" i="69" a="1"/>
  <c r="E22" i="69" s="1"/>
  <c r="D22" i="69" a="1"/>
  <c r="D22" i="69" s="1"/>
  <c r="A15" i="110"/>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J18" i="13"/>
  <c r="J17" i="13"/>
  <c r="J16" i="13"/>
  <c r="J15" i="13"/>
  <c r="J14" i="13"/>
  <c r="G18" i="13"/>
  <c r="G17" i="13"/>
  <c r="G16" i="13"/>
  <c r="G15" i="13"/>
  <c r="G14" i="13"/>
  <c r="E54" i="69" a="1"/>
  <c r="E54" i="69" s="1"/>
  <c r="F73" i="69" s="1"/>
  <c r="E53" i="69" a="1"/>
  <c r="E53" i="69" s="1"/>
  <c r="D49" i="69" a="1"/>
  <c r="D49" i="69" s="1"/>
  <c r="D71" i="69"/>
  <c r="D70" i="69"/>
  <c r="D69" i="69"/>
  <c r="D68" i="69"/>
  <c r="D67" i="69"/>
  <c r="D7" i="69" a="1"/>
  <c r="D7" i="69" s="1"/>
  <c r="E50" i="69" a="1"/>
  <c r="H54" i="120" l="1"/>
  <c r="H52" i="120"/>
  <c r="H50" i="120"/>
  <c r="H53" i="120"/>
  <c r="H48" i="120"/>
  <c r="H51" i="120"/>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G140" i="110" a="1"/>
  <c r="G140" i="110" s="1"/>
  <c r="O140" i="110" s="1" a="1"/>
  <c r="O140" i="110" s="1"/>
  <c r="F140" i="110" a="1"/>
  <c r="F140" i="110" s="1"/>
  <c r="E140" i="110" a="1"/>
  <c r="E140" i="110" s="1"/>
  <c r="H154" i="110" a="1"/>
  <c r="H154" i="110" s="1"/>
  <c r="G154" i="110" a="1"/>
  <c r="G154" i="110" s="1"/>
  <c r="F154" i="110" a="1"/>
  <c r="F154" i="110" s="1"/>
  <c r="E154" i="110" a="1"/>
  <c r="E154" i="110" s="1"/>
  <c r="I127" i="110" a="1"/>
  <c r="I127" i="110" s="1"/>
  <c r="L127" i="110" a="1"/>
  <c r="L127" i="110" s="1"/>
  <c r="K127" i="110" a="1"/>
  <c r="K127" i="110" s="1"/>
  <c r="O127" i="110" s="1" a="1"/>
  <c r="O127" i="110" s="1"/>
  <c r="J127" i="110" a="1"/>
  <c r="J127" i="110" s="1"/>
  <c r="H132" i="110" a="1"/>
  <c r="H132" i="110" s="1"/>
  <c r="G132" i="110" a="1"/>
  <c r="G132" i="110" s="1"/>
  <c r="O132" i="110" s="1" a="1"/>
  <c r="O132" i="110" s="1"/>
  <c r="F132" i="110" a="1"/>
  <c r="F132" i="110" s="1"/>
  <c r="N132" i="110" s="1" a="1"/>
  <c r="N132" i="110" s="1"/>
  <c r="E132" i="110" a="1"/>
  <c r="E132" i="110" s="1"/>
  <c r="I141" i="110" a="1"/>
  <c r="I141" i="110" s="1"/>
  <c r="M141" i="110" s="1" a="1"/>
  <c r="M141" i="110" s="1"/>
  <c r="L141" i="110" a="1"/>
  <c r="L141" i="110" s="1"/>
  <c r="K141" i="110" a="1"/>
  <c r="K141" i="110" s="1"/>
  <c r="J141" i="110" a="1"/>
  <c r="J141" i="110" s="1"/>
  <c r="H146" i="110" a="1"/>
  <c r="H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O137" i="110" s="1" a="1"/>
  <c r="O137" i="110" s="1"/>
  <c r="J137" i="110" a="1"/>
  <c r="J137" i="110" s="1"/>
  <c r="I137" i="110" a="1"/>
  <c r="I137" i="110" s="1"/>
  <c r="L137" i="110" a="1"/>
  <c r="L137" i="110" s="1"/>
  <c r="P137" i="110" s="1" a="1"/>
  <c r="P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P128" i="110" s="1" a="1"/>
  <c r="P128" i="110" s="1"/>
  <c r="K128" i="110" a="1"/>
  <c r="K128" i="110" s="1"/>
  <c r="I128" i="110" a="1"/>
  <c r="I128" i="110" s="1"/>
  <c r="J128" i="110" a="1"/>
  <c r="J128" i="110" s="1"/>
  <c r="H133" i="110" a="1"/>
  <c r="H133" i="110" s="1"/>
  <c r="G133" i="110" a="1"/>
  <c r="G133" i="110" s="1"/>
  <c r="O133" i="110" s="1" a="1"/>
  <c r="O133" i="110" s="1"/>
  <c r="F133" i="110" a="1"/>
  <c r="F133" i="110" s="1"/>
  <c r="E133" i="110" a="1"/>
  <c r="E133" i="110" s="1"/>
  <c r="M133" i="110" s="1" a="1"/>
  <c r="M133" i="110" s="1"/>
  <c r="J119" i="110" a="1"/>
  <c r="J119" i="110" s="1"/>
  <c r="L119" i="110" a="1"/>
  <c r="L119" i="110" s="1"/>
  <c r="K119" i="110" a="1"/>
  <c r="K119" i="110" s="1"/>
  <c r="O119" i="110" s="1" a="1"/>
  <c r="O119" i="110" s="1"/>
  <c r="I119" i="110" a="1"/>
  <c r="I119" i="110" s="1"/>
  <c r="M119" i="110" s="1" a="1"/>
  <c r="M119" i="110" s="1"/>
  <c r="H124" i="110" a="1"/>
  <c r="H124" i="110" s="1"/>
  <c r="P124" i="110" s="1" a="1"/>
  <c r="P124" i="110" s="1"/>
  <c r="G124" i="110" a="1"/>
  <c r="G124" i="110" s="1"/>
  <c r="F124" i="110" a="1"/>
  <c r="F124" i="110" s="1"/>
  <c r="E124" i="110" a="1"/>
  <c r="E124" i="110" s="1"/>
  <c r="J129" i="110" a="1"/>
  <c r="J129" i="110" s="1"/>
  <c r="N129" i="110" s="1" a="1"/>
  <c r="N129" i="110" s="1"/>
  <c r="L129" i="110" a="1"/>
  <c r="L129" i="110" s="1"/>
  <c r="K129" i="110" a="1"/>
  <c r="K129" i="110" s="1"/>
  <c r="I129" i="110" a="1"/>
  <c r="I129" i="110" s="1"/>
  <c r="M129" i="110" s="1" a="1"/>
  <c r="M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N161" i="110" s="1" a="1"/>
  <c r="N161" i="110" s="1"/>
  <c r="L161" i="110" a="1"/>
  <c r="L161" i="110" s="1"/>
  <c r="K161" i="110" a="1"/>
  <c r="K161" i="110" s="1"/>
  <c r="O161" i="110" s="1" a="1"/>
  <c r="O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P153" i="110" s="1" a="1"/>
  <c r="P153" i="110" s="1"/>
  <c r="K153" i="110" a="1"/>
  <c r="K153" i="110" s="1"/>
  <c r="O153" i="110" s="1" a="1"/>
  <c r="O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N115" i="110" s="1" a="1"/>
  <c r="N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M148" i="110" s="1" a="1"/>
  <c r="M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P135" i="110" s="1" a="1"/>
  <c r="P135" i="110" s="1"/>
  <c r="G135" i="110" a="1"/>
  <c r="G135" i="110" s="1"/>
  <c r="O135" i="110" s="1" a="1"/>
  <c r="O135" i="110" s="1"/>
  <c r="F135" i="110" a="1"/>
  <c r="F135" i="110" s="1"/>
  <c r="E135" i="110" a="1"/>
  <c r="E135" i="110" s="1"/>
  <c r="K144" i="110" a="1"/>
  <c r="K144" i="110" s="1"/>
  <c r="J144" i="110" a="1"/>
  <c r="J144" i="110" s="1"/>
  <c r="I144" i="110" a="1"/>
  <c r="I144" i="110" s="1"/>
  <c r="L144" i="110" a="1"/>
  <c r="L144" i="110" s="1"/>
  <c r="P144" i="110" s="1" a="1"/>
  <c r="P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O129" i="110" a="1"/>
  <c r="O129" i="110" s="1"/>
  <c r="N136" i="110" a="1"/>
  <c r="N136" i="110" s="1"/>
  <c r="E8" i="69"/>
  <c r="I24" i="69"/>
  <c r="M126" i="110" a="1"/>
  <c r="M126" i="110" s="1"/>
  <c r="P127" i="110" a="1"/>
  <c r="P127" i="110" s="1"/>
  <c r="M131" i="110" a="1"/>
  <c r="M131" i="110" s="1"/>
  <c r="P119" i="110" a="1"/>
  <c r="P119" i="110" s="1"/>
  <c r="M137" i="110" a="1"/>
  <c r="M137" i="110" s="1"/>
  <c r="O147" i="110" a="1"/>
  <c r="O147" i="110" s="1"/>
  <c r="O154" i="110" a="1"/>
  <c r="O154" i="110" s="1"/>
  <c r="M111" i="110" a="1"/>
  <c r="M111" i="110" s="1"/>
  <c r="O112" i="110" a="1"/>
  <c r="O112" i="110" s="1"/>
  <c r="N113" i="110" a="1"/>
  <c r="N113" i="110" s="1"/>
  <c r="P117" i="110" a="1"/>
  <c r="P117" i="110" s="1"/>
  <c r="N137" i="110" a="1"/>
  <c r="N137" i="110" s="1"/>
  <c r="P140" i="110" a="1"/>
  <c r="P140" i="110" s="1"/>
  <c r="P147" i="110" a="1"/>
  <c r="P147" i="110" s="1"/>
  <c r="P154" i="110" a="1"/>
  <c r="P154" i="110" s="1"/>
  <c r="N112" i="110" a="1"/>
  <c r="N112" i="110" s="1"/>
  <c r="M114" i="110" a="1"/>
  <c r="M114" i="110" s="1"/>
  <c r="M155" i="110" a="1"/>
  <c r="M155" i="110" s="1"/>
  <c r="M159" i="110" a="1"/>
  <c r="M159" i="110" s="1"/>
  <c r="N111" i="110" a="1"/>
  <c r="N111" i="110" s="1"/>
  <c r="P112" i="110" a="1"/>
  <c r="P112" i="110" s="1"/>
  <c r="O113" i="110" a="1"/>
  <c r="O113" i="110" s="1"/>
  <c r="P142" i="110" a="1"/>
  <c r="P14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N146" i="110" a="1"/>
  <c r="N146" i="110" s="1"/>
  <c r="O155" i="110" a="1"/>
  <c r="O155" i="110" s="1"/>
  <c r="P159" i="110" a="1"/>
  <c r="P159" i="110" s="1"/>
  <c r="O114" i="110" a="1"/>
  <c r="O114" i="110" s="1"/>
  <c r="M123" i="110" a="1"/>
  <c r="M123" i="110" s="1"/>
  <c r="P126" i="110" a="1"/>
  <c r="P126" i="110" s="1"/>
  <c r="O131" i="110" a="1"/>
  <c r="O131" i="110" s="1"/>
  <c r="O146" i="110" a="1"/>
  <c r="O146" i="110" s="1"/>
  <c r="P156" i="110" a="1"/>
  <c r="P156" i="110" s="1"/>
  <c r="N110" i="110" a="1"/>
  <c r="N110" i="110" s="1"/>
  <c r="P111" i="110" a="1"/>
  <c r="P111" i="110" s="1"/>
  <c r="M128" i="110" a="1"/>
  <c r="M128" i="110" s="1"/>
  <c r="P131" i="110" a="1"/>
  <c r="P131" i="110" s="1"/>
  <c r="O136" i="110" a="1"/>
  <c r="O136" i="110" s="1"/>
  <c r="P146" i="110" a="1"/>
  <c r="P146" i="110" s="1"/>
  <c r="P150" i="110" a="1"/>
  <c r="P150" i="110" s="1"/>
  <c r="M140" i="110" a="1"/>
  <c r="M140" i="110" s="1"/>
  <c r="O141" i="110" a="1"/>
  <c r="O141" i="110" s="1"/>
  <c r="M147" i="110" a="1"/>
  <c r="M147" i="110" s="1"/>
  <c r="M150" i="110" a="1"/>
  <c r="M150" i="110" s="1"/>
  <c r="N122" i="110" a="1"/>
  <c r="N122" i="110" s="1"/>
  <c r="M127" i="110" a="1"/>
  <c r="M127" i="110" s="1"/>
  <c r="P114" i="110" a="1"/>
  <c r="P114" i="110" s="1"/>
  <c r="O110" i="110" a="1"/>
  <c r="O110" i="110" s="1"/>
  <c r="M117" i="110" a="1"/>
  <c r="M117" i="110" s="1"/>
  <c r="O122" i="110" a="1"/>
  <c r="O122" i="110" s="1"/>
  <c r="P123" i="110" a="1"/>
  <c r="P123" i="110" s="1"/>
  <c r="N127" i="110" a="1"/>
  <c r="N127" i="110" s="1"/>
  <c r="N133" i="110" a="1"/>
  <c r="N133" i="110" s="1"/>
  <c r="P141" i="110" a="1"/>
  <c r="P141" i="110" s="1"/>
  <c r="N150" i="110" a="1"/>
  <c r="N150" i="110" s="1"/>
  <c r="N138" i="110" a="1"/>
  <c r="N138" i="110" s="1"/>
  <c r="M145" i="110" a="1"/>
  <c r="M145" i="110" s="1"/>
  <c r="O150" i="110" a="1"/>
  <c r="O150" i="110" s="1"/>
  <c r="M152" i="110" a="1"/>
  <c r="M152" i="110" s="1"/>
  <c r="M160" i="110" a="1"/>
  <c r="M160" i="110" s="1"/>
  <c r="P133" i="110" a="1"/>
  <c r="P133" i="110" s="1"/>
  <c r="N145" i="110" a="1"/>
  <c r="N145" i="110" s="1"/>
  <c r="N152" i="110" a="1"/>
  <c r="N152" i="110" s="1"/>
  <c r="N160" i="110" a="1"/>
  <c r="N160" i="110" s="1"/>
  <c r="O142" i="110" a="1"/>
  <c r="O142" i="110" s="1"/>
  <c r="O145" i="110" a="1"/>
  <c r="O145" i="110" s="1"/>
  <c r="O152" i="110" a="1"/>
  <c r="O152" i="110" s="1"/>
  <c r="M154" i="110" a="1"/>
  <c r="M154" i="110" s="1"/>
  <c r="P155" i="110" a="1"/>
  <c r="P155" i="110" s="1"/>
  <c r="O160" i="110" a="1"/>
  <c r="O160" i="110" s="1"/>
  <c r="M132" i="110" a="1"/>
  <c r="M132" i="110" s="1"/>
  <c r="N140" i="110" a="1"/>
  <c r="N140" i="110" s="1"/>
  <c r="P145" i="110" a="1"/>
  <c r="P145" i="110" s="1"/>
  <c r="N147" i="110" a="1"/>
  <c r="N147" i="110" s="1"/>
  <c r="P152" i="110" a="1"/>
  <c r="P152" i="110" s="1"/>
  <c r="N154" i="110" a="1"/>
  <c r="N154" i="110" s="1"/>
  <c r="P160" i="110" a="1"/>
  <c r="P160" i="110" s="1"/>
  <c r="D106" i="110"/>
  <c r="A15" i="70"/>
  <c r="A5" i="70"/>
  <c r="A4" i="70"/>
  <c r="A3" i="70"/>
  <c r="A73" i="69"/>
  <c r="P143" i="110" l="1" a="1"/>
  <c r="P143" i="110" s="1"/>
  <c r="O144" i="110" a="1"/>
  <c r="O144" i="110" s="1"/>
  <c r="N153" i="110" a="1"/>
  <c r="N153" i="110" s="1"/>
  <c r="N118" i="110" a="1"/>
  <c r="N118" i="110" s="1"/>
  <c r="N134" i="110" a="1"/>
  <c r="N134" i="110" s="1"/>
  <c r="O148" i="110" a="1"/>
  <c r="O148" i="110" s="1"/>
  <c r="N116" i="110" a="1"/>
  <c r="N116" i="110" s="1"/>
  <c r="O158" i="110" a="1"/>
  <c r="O158" i="110" s="1"/>
  <c r="M142" i="110" a="1"/>
  <c r="M142" i="110" s="1"/>
  <c r="O118" i="110" a="1"/>
  <c r="O118" i="110" s="1"/>
  <c r="O125" i="110" a="1"/>
  <c r="O125" i="110" s="1"/>
  <c r="M139" i="110" a="1"/>
  <c r="M139" i="110" s="1"/>
  <c r="M124" i="110" a="1"/>
  <c r="M124" i="110" s="1"/>
  <c r="O128" i="110" a="1"/>
  <c r="O128" i="110" s="1"/>
  <c r="P134" i="110" a="1"/>
  <c r="P134" i="110" s="1"/>
  <c r="O143" i="110" a="1"/>
  <c r="O143" i="110" s="1"/>
  <c r="N119" i="110" a="1"/>
  <c r="N119" i="110" s="1"/>
  <c r="Q119" i="110" s="1" a="1"/>
  <c r="Q119" i="110" s="1"/>
  <c r="N141" i="110" a="1"/>
  <c r="N141" i="110" s="1"/>
  <c r="Q141" i="110" s="1" a="1"/>
  <c r="Q141" i="110" s="1"/>
  <c r="O124" i="110" a="1"/>
  <c r="O124" i="110" s="1"/>
  <c r="N158" i="110" a="1"/>
  <c r="N158" i="110" s="1"/>
  <c r="O116" i="110" a="1"/>
  <c r="O116" i="110" s="1"/>
  <c r="M143" i="110" a="1"/>
  <c r="M143" i="110" s="1"/>
  <c r="N125" i="110" a="1"/>
  <c r="N125" i="110" s="1"/>
  <c r="M116" i="110" a="1"/>
  <c r="M116" i="110" s="1"/>
  <c r="M161" i="110" a="1"/>
  <c r="M161" i="110" s="1"/>
  <c r="M144" i="110" a="1"/>
  <c r="M144" i="110" s="1"/>
  <c r="N144" i="110" a="1"/>
  <c r="N144" i="110" s="1"/>
  <c r="P116" i="110" a="1"/>
  <c r="P116" i="110" s="1"/>
  <c r="Q116" i="110" s="1" a="1"/>
  <c r="Q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Q129" i="110" s="1" a="1"/>
  <c r="Q129" i="110" s="1"/>
  <c r="N128" i="110" a="1"/>
  <c r="N128" i="110" s="1"/>
  <c r="O123" i="110" a="1"/>
  <c r="O123" i="110" s="1"/>
  <c r="Q123" i="110" s="1" a="1"/>
  <c r="Q123" i="110" s="1"/>
  <c r="N148" i="110" a="1"/>
  <c r="N148" i="110" s="1"/>
  <c r="Q148" i="110" s="1" a="1"/>
  <c r="Q148" i="110" s="1"/>
  <c r="P113" i="110" a="1"/>
  <c r="P113" i="110" s="1"/>
  <c r="Q113" i="110" s="1" a="1"/>
  <c r="Q113" i="110" s="1"/>
  <c r="M135" i="110" a="1"/>
  <c r="M135" i="110" s="1"/>
  <c r="O134" i="110" a="1"/>
  <c r="O134" i="110" s="1"/>
  <c r="P132" i="110" a="1"/>
  <c r="P132" i="110" s="1"/>
  <c r="N135" i="110" a="1"/>
  <c r="N135" i="110" s="1"/>
  <c r="Q112" i="110" a="1"/>
  <c r="Q112" i="110" s="1"/>
  <c r="M125" i="110" a="1"/>
  <c r="M125" i="110" s="1"/>
  <c r="N142" i="110" a="1"/>
  <c r="N142" i="110" s="1"/>
  <c r="Q142" i="110" s="1" a="1"/>
  <c r="Q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Q146" i="110" s="1" a="1"/>
  <c r="Q146" i="110" s="1"/>
  <c r="P130" i="110" a="1"/>
  <c r="P130" i="110" s="1"/>
  <c r="Q110" i="110" a="1"/>
  <c r="Q110" i="110" s="1"/>
  <c r="N130" i="110" a="1"/>
  <c r="N130" i="110" s="1"/>
  <c r="P139" i="110" a="1"/>
  <c r="P139" i="110" s="1"/>
  <c r="Q122" i="110" a="1"/>
  <c r="Q122" i="110" s="1"/>
  <c r="Q115" i="110" a="1"/>
  <c r="Q115" i="110" s="1"/>
  <c r="Q117" i="110" a="1"/>
  <c r="Q117" i="110" s="1"/>
  <c r="Q121" i="110" a="1"/>
  <c r="Q121" i="110" s="1"/>
  <c r="Q159" i="110" a="1"/>
  <c r="Q159" i="110" s="1"/>
  <c r="Q156" i="110" a="1"/>
  <c r="Q156" i="110" s="1"/>
  <c r="Q154" i="110" a="1"/>
  <c r="Q154" i="110" s="1"/>
  <c r="Q160" i="110" a="1"/>
  <c r="Q160" i="110" s="1"/>
  <c r="Q133" i="110" a="1"/>
  <c r="Q133" i="110" s="1"/>
  <c r="Q136" i="110" a="1"/>
  <c r="Q136" i="110" s="1"/>
  <c r="Q126" i="110" a="1"/>
  <c r="Q126" i="110" s="1"/>
  <c r="Q131" i="110" a="1"/>
  <c r="Q131" i="110" s="1"/>
  <c r="Q114" i="110" a="1"/>
  <c r="Q114" i="110" s="1"/>
  <c r="M118" i="110" a="1"/>
  <c r="M118" i="110" s="1"/>
  <c r="Q111" i="110" a="1"/>
  <c r="Q111" i="110" s="1"/>
  <c r="M158" i="110" a="1"/>
  <c r="M158" i="110" s="1"/>
  <c r="M153" i="110" a="1"/>
  <c r="M153" i="110" s="1"/>
  <c r="Q153" i="110" s="1" a="1"/>
  <c r="Q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Q138" i="110" s="1" a="1"/>
  <c r="Q138" i="110" s="1"/>
  <c r="M120" i="110" a="1"/>
  <c r="M120" i="110" s="1"/>
  <c r="M134" i="110" a="1"/>
  <c r="M134" i="110" s="1"/>
  <c r="M151" i="110" a="1"/>
  <c r="M151" i="110" s="1"/>
  <c r="Q151" i="110" s="1" a="1"/>
  <c r="Q151" i="110" s="1"/>
  <c r="Q137" i="110" a="1"/>
  <c r="Q137" i="110" s="1"/>
  <c r="Q150" i="110" a="1"/>
  <c r="Q150" i="110" s="1"/>
  <c r="Q147" i="110" a="1"/>
  <c r="Q147" i="110" s="1"/>
  <c r="Q132" i="110" a="1"/>
  <c r="Q132" i="110" s="1"/>
  <c r="Q145" i="110" a="1"/>
  <c r="Q145" i="110" s="1"/>
  <c r="Q140" i="110" a="1"/>
  <c r="Q140" i="110" s="1"/>
  <c r="E45" i="69"/>
  <c r="E18" i="13" s="1"/>
  <c r="E43" i="69"/>
  <c r="E16" i="13" s="1"/>
  <c r="E44" i="69"/>
  <c r="E17" i="13" s="1"/>
  <c r="E41" i="69"/>
  <c r="E14" i="13" s="1"/>
  <c r="E42" i="69"/>
  <c r="E15" i="13" s="1"/>
  <c r="K22" i="69" a="1"/>
  <c r="K22" i="69" s="1"/>
  <c r="L22" i="69" s="1"/>
  <c r="Q144" i="110" l="1" a="1"/>
  <c r="Q144" i="110" s="1"/>
  <c r="Q118" i="110" a="1"/>
  <c r="Q118" i="110" s="1"/>
  <c r="Q128" i="110" a="1"/>
  <c r="Q128" i="110" s="1"/>
  <c r="Q124" i="110" a="1"/>
  <c r="Q124" i="110" s="1"/>
  <c r="Q161" i="110" a="1"/>
  <c r="Q161" i="110" s="1"/>
  <c r="Q143" i="110" a="1"/>
  <c r="Q143" i="110" s="1"/>
  <c r="E39" i="69"/>
  <c r="E12" i="13" s="1"/>
  <c r="J13" i="13"/>
  <c r="G13" i="13"/>
  <c r="D66" i="69"/>
  <c r="F66" i="69" s="1" a="1"/>
  <c r="F66" i="69" s="1"/>
  <c r="E40" i="69"/>
  <c r="E13" i="13" s="1"/>
  <c r="Q130" i="110" a="1"/>
  <c r="Q130" i="110" s="1"/>
  <c r="Q158" i="110" a="1"/>
  <c r="Q158" i="110" s="1"/>
  <c r="Q135" i="110" a="1"/>
  <c r="Q135" i="110" s="1"/>
  <c r="Q134" i="110" a="1"/>
  <c r="Q134" i="110" s="1"/>
  <c r="Q125" i="110" a="1"/>
  <c r="Q125" i="110" s="1"/>
  <c r="Q139" i="110" a="1"/>
  <c r="Q139" i="110" s="1"/>
  <c r="Q157" i="110" a="1"/>
  <c r="Q157" i="110" s="1"/>
  <c r="Q120" i="110" a="1"/>
  <c r="Q120" i="110" s="1"/>
  <c r="E67" i="69"/>
  <c r="G67" i="69" s="1" a="1"/>
  <c r="G67" i="69" s="1"/>
  <c r="F16" i="13"/>
  <c r="E69" i="69"/>
  <c r="G69" i="69" s="1" a="1"/>
  <c r="G69" i="69" s="1"/>
  <c r="F15" i="13"/>
  <c r="E68" i="69"/>
  <c r="G68" i="69" s="1" a="1"/>
  <c r="G68" i="69" s="1"/>
  <c r="F17" i="13"/>
  <c r="E70" i="69"/>
  <c r="G70" i="69" s="1" a="1"/>
  <c r="G70" i="69" s="1"/>
  <c r="F18" i="13"/>
  <c r="E71" i="69"/>
  <c r="G71" i="69" s="1" a="1"/>
  <c r="G71" i="69" s="1"/>
  <c r="E38" i="69"/>
  <c r="E11" i="13" s="1"/>
  <c r="D65" i="69"/>
  <c r="G12" i="13"/>
  <c r="J12" i="13"/>
  <c r="E37" i="69"/>
  <c r="E10" i="13" s="1"/>
  <c r="E36" i="69"/>
  <c r="E9" i="13" s="1"/>
  <c r="G11" i="13"/>
  <c r="D64" i="69"/>
  <c r="G10" i="13"/>
  <c r="D63" i="69"/>
  <c r="J11" i="13"/>
  <c r="J10" i="13"/>
  <c r="H14" i="13" l="1"/>
  <c r="I14" i="13" s="1"/>
  <c r="H18" i="13"/>
  <c r="I18" i="13" s="1"/>
  <c r="H15" i="13"/>
  <c r="I15" i="13" s="1"/>
  <c r="H17" i="13"/>
  <c r="I17" i="13" s="1"/>
  <c r="H16" i="13"/>
  <c r="I16" i="13" s="1"/>
  <c r="E66" i="69"/>
  <c r="G66" i="69" s="1" a="1"/>
  <c r="G66" i="69" s="1"/>
  <c r="E65" i="69"/>
  <c r="F9" i="13"/>
  <c r="E62" i="69"/>
  <c r="F10" i="13"/>
  <c r="E63" i="69"/>
  <c r="F11" i="13"/>
  <c r="E64" i="69"/>
  <c r="F65" i="69" a="1"/>
  <c r="F65" i="69" s="1"/>
  <c r="J9" i="13"/>
  <c r="G9" i="13"/>
  <c r="D62" i="69"/>
  <c r="F64" i="69" a="1"/>
  <c r="F64" i="69" s="1"/>
  <c r="G64" i="69" s="1" a="1"/>
  <c r="G64" i="69" s="1"/>
  <c r="F63" i="69" a="1"/>
  <c r="F63" i="69" s="1"/>
  <c r="F13" i="13"/>
  <c r="F12" i="13"/>
  <c r="F14" i="13"/>
  <c r="H11" i="13" l="1"/>
  <c r="I11" i="13" s="1"/>
  <c r="H13" i="13"/>
  <c r="I13" i="13" s="1"/>
  <c r="G63" i="69" a="1"/>
  <c r="G63" i="69" s="1"/>
  <c r="G65" i="69" a="1"/>
  <c r="G65" i="69" s="1"/>
  <c r="F62" i="69" a="1"/>
  <c r="F62" i="69" s="1"/>
  <c r="H10" i="13" l="1"/>
  <c r="I10" i="13" s="1"/>
  <c r="H12" i="13"/>
  <c r="I12" i="13" s="1"/>
  <c r="G62" i="69" a="1"/>
  <c r="G62" i="69" s="1"/>
  <c r="H9" i="13" s="1"/>
  <c r="A47" i="69"/>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<sst xmlns="http://schemas.openxmlformats.org/spreadsheetml/2006/main" count="186" uniqueCount="153">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</sst>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3">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48" fillId="4" borderId="2" xfId="52" applyFont="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C0FA2D-F236-4FA4-A4AB-16DD3082EFF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C8CC3F7-1F3A-4ACF-80CD-70DBCC6302E2}" name="State/Territory">
      <calculatedColumnFormula array="1">Common_InputFunctions.Utility_DisplayArrayInTable(Common_SourceData.Common_SourceData_AustralianStatesTerritories_Data(),Table_AustralianStates[[#Headers],[State/Territory]],0)</calculatedColumnFormula>
    </tableColumn>
    <tableColumn id="2" xr3:uid="{E0D976A2-258F-456E-9A0A-3ACEE6433023}" name="Common Name">
      <calculatedColumnFormula array="1">Common_InputFunctions.Utility_DisplayArrayInTable(Common_SourceData.Common_SourceData_AustralianStatesTerritories_Data(),Table_AustralianStates[[#Headers],[State/Territory]],0)</calculatedColumnFormula>
    </tableColumn>
    <tableColumn id="3" xr3:uid="{A4E2291F-308E-4DCC-94D8-8402210DAB7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66A21CD-97D0-4DFD-A07D-AFA5C4B83482}" name="Table_WASA4Areas" displayName="Table_WASA4Areas" ref="D20:D30" totalsRowShown="0">
  <autoFilter ref="D20:D30" xr:uid="{5FA81339-C6C8-4D36-BEEA-6C4AEDD9E676}">
    <filterColumn colId="0" hiddenButton="1"/>
  </autoFilter>
  <tableColumns count="1">
    <tableColumn id="1" xr3:uid="{5A8C3B5C-65E6-43A7-AD03-EFA8A646E46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194DE87-7B8E-4F4A-B07F-2135F74CCB15}" name="Table_GWPData" displayName="Table_GWPData" ref="D36:E43" totalsRowShown="0">
  <autoFilter ref="D36:E43" xr:uid="{B8E87A66-3E41-4AD3-925D-01EE21B43D7A}">
    <filterColumn colId="0" hiddenButton="1"/>
    <filterColumn colId="1" hiddenButton="1"/>
  </autoFilter>
  <tableColumns count="2">
    <tableColumn id="1" xr3:uid="{5BE5BAFA-F63C-47D6-AA89-54999E5643E7}" name="Gas">
      <calculatedColumnFormula array="1">Common_InputFunctions.Utility_DisplayArrayInTable(Common_SourceData.Common_SourceData_GWP_Data(), Table_GWPData[[#Headers],[Gas]], 0)</calculatedColumnFormula>
    </tableColumn>
    <tableColumn id="2" xr3:uid="{8FC2654C-AC0A-423C-82C1-4ACFDA775C9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CC29DBA-7D7A-4305-B57F-6B26ECAAEB1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56EBDC2-CAD0-4095-82B6-48E43D6679EF}" name="Gas">
      <calculatedColumnFormula array="1">Common_InputFunctions.Utility_DisplayArrayInTable(Common_SourceData.Common_SourceData_ConvertGasElementalToMolecular_Data(),Table_GasToMolecularConversionFactor[[#Headers],[Gas]], 0)</calculatedColumnFormula>
    </tableColumn>
    <tableColumn id="5" xr3:uid="{01D5A72D-A244-4963-B6C6-FE99F9FB5DC2}" name="Conversion factor">
      <calculatedColumnFormula array="1">Common_InputFunctions.Utility_DisplayArrayInTable(Common_SourceData.Common_SourceData_ConvertGasElementalToMolecular_Data(),Table_GasToMolecularConversionFactor[[#Headers],[Gas]], 0)</calculatedColumnFormula>
    </tableColumn>
    <tableColumn id="2" xr3:uid="{715A88DB-11B5-4E12-9732-6DB84FF7F9F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3D0A398-2CF5-471B-9915-A6513C75FE0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EF8B8F-BF63-4D61-B5A1-B58E6277797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5F934AF-96CE-4CF5-A60B-E9B089BC81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4D32187-9689-4807-97E3-B4C92D417D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31F47AF-2C35-45B1-BB9E-25301AF21F11}"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AA65C4C-AF27-4115-8193-750D88828575}"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95D7C2D-94FE-4B53-BE81-5D8690A7E23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8B75B35-D227-4BE6-BE0B-623E34096F44}"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F2E5F8B3-348E-4E83-8B88-25C14A75B279}"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5922B28-B16D-4DC4-A967-AE14609F23B9}"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235F957-3B8E-4193-9DC3-13B01DA62086}"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16D7044C-C5D3-41F4-BC5E-78CF1E858FE4}"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74526D7A-ED68-4FA8-9F13-C17608FE4E24}"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6757D4E7-76CC-413F-875B-980B201E0504}"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37E37A80-AB6B-4A5C-8522-62A6ED4FC83E}"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BB3FCD8-6E3F-43BE-A81F-9BA40DDCCF6A}"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A1B1A55-157F-49A2-B423-1D6618F9C39B}"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FE7612EE-50DD-455B-A802-19744E0B2DC7}"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2E5EF2DF-58FB-4100-A2D7-FB96478581BA}"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26B1D2-2352-4DCB-A9F8-8C8C2346781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ED8E2F2-C8F1-4562-9242-D5E2772AB3D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7335F21-A9B1-4DEF-834C-281703478B2D}"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BE0606A-3CAF-4CE1-AC24-D4DC40DC05C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3C89ED6-F5EE-4D14-9CF5-6D2A36331426}" name="Temperature Zone">
      <calculatedColumnFormula array="1">Common_InputFunctions.Utility_DisplayArrayInTable(Common_SourceData.Common_SourceData_TemperatureZones_Data(),Table_SourceData_TemperatureZones[[#Headers],[Temperature Zone]],0)</calculatedColumnFormula>
    </tableColumn>
    <tableColumn id="2" xr3:uid="{972F6417-E1A5-496F-8993-00FF64A3A141}" name="MAT">
      <calculatedColumnFormula array="1">Common_InputFunctions.Utility_DisplayArrayInTable(Common_SourceData.Common_SourceData_TemperatureZones_Data(),Table_SourceData_TemperatureZones[[#Headers],[Temperature Zone]],0)</calculatedColumnFormula>
    </tableColumn>
    <tableColumn id="3" xr3:uid="{80871890-6F44-4C09-9807-B233ED5490DA}" name="Min MAT">
      <calculatedColumnFormula array="1">Common_InputFunctions.Utility_DisplayArrayInTable(Common_SourceData.Common_SourceData_TemperatureZones_Data(),Table_SourceData_TemperatureZones[[#Headers],[Temperature Zone]],0)</calculatedColumnFormula>
    </tableColumn>
    <tableColumn id="4" xr3:uid="{571515C8-4435-4667-92BB-14DE15F28E8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D497332-DA71-4BAF-8A78-2105B6F621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9A04143-F828-4783-8D7B-F4163D569297}" name="Rainfall Zone">
      <calculatedColumnFormula array="1">Common_InputFunctions.Utility_DisplayArrayInTable(Common_SourceData.Common_SourceData_RainfallZones_Data(),Table_SourceData_RainfallZones[[#Headers],[Rainfall Zone]],0)</calculatedColumnFormula>
    </tableColumn>
    <tableColumn id="2" xr3:uid="{B813FCF0-34D7-41FE-8A86-9747C8BB585D}" name="Annual rainfall">
      <calculatedColumnFormula array="1">Common_InputFunctions.Utility_DisplayArrayInTable(Common_SourceData.Common_SourceData_RainfallZones_Data(),Table_SourceData_RainfallZones[[#Headers],[Rainfall Zone]],0)</calculatedColumnFormula>
    </tableColumn>
    <tableColumn id="3" xr3:uid="{5A93C354-BCCC-45FB-B6C1-7EB5B328874F}" name="Min rainfall">
      <calculatedColumnFormula array="1">Common_InputFunctions.Utility_DisplayArrayInTable(Common_SourceData.Common_SourceData_RainfallZones_Data(),Table_SourceData_RainfallZones[[#Headers],[Rainfall Zone]],0)</calculatedColumnFormula>
    </tableColumn>
    <tableColumn id="4" xr3:uid="{EC42452E-8DC3-415B-8CA5-C25B157A6C2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F8B52AA-8BEF-4584-AAE6-A9500A6D828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F9E0B8A-8354-47B3-B838-FC46E4FDD11D}" name="Leaching Zone">
      <calculatedColumnFormula array="1">Common_InputFunctions.Utility_DisplayArrayInTable(Common_SourceData.Common_SourceData_LeachingZones_Data(), Table_SourceData_LeachingZones[[#Headers],[Leaching Zone]], 0)</calculatedColumnFormula>
    </tableColumn>
    <tableColumn id="2" xr3:uid="{84ADB0FD-89A7-4F98-92AD-A52B79C5D5B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70A8CA7-1327-470C-AFCF-EB10104749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30CF42B-2587-49FF-A553-2E6208DC544C}" name="Data source">
      <calculatedColumnFormula array="1">Common_InputFunctions.Utility_DisplayArrayInTable(Common_SourceData.Common_SourceData_DataScores_Scope3_Data(), Table_SourceData_DataScores_Scope3[[#Headers],[Data source]], 0)</calculatedColumnFormula>
    </tableColumn>
    <tableColumn id="2" xr3:uid="{DA9EF727-9C1A-4D4E-8171-9A82880367C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F776C67-747F-45BC-8671-66B1D124DC3C}" name="Table_SourceData_FracWET" displayName="Table_SourceData_FracWET" ref="D134:E136" totalsRowShown="0">
  <autoFilter ref="D134:E136" xr:uid="{308E99BE-FE1F-47A4-B2CA-97217277C4E9}">
    <filterColumn colId="0" hiddenButton="1"/>
    <filterColumn colId="1" hiddenButton="1"/>
  </autoFilter>
  <tableColumns count="2">
    <tableColumn id="1" xr3:uid="{04B33934-32D4-463F-9CA5-2DB963128054}" name="Is in leaching zone">
      <calculatedColumnFormula array="1">Common_InputFunctions.Utility_DisplayArrayInTable(Common_SourceData.Common_SourceData_FracWET_Data(),Table_SourceData_FracWET[[#Headers],[Is in leaching zone]],0)</calculatedColumnFormula>
    </tableColumn>
    <tableColumn id="2" xr3:uid="{C4FA5E52-C277-4018-8AF0-C0FC73EDF70B}"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15CC72-721C-4EC5-96C1-9F3814696A4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A277B50-D0EE-4ACE-8E8B-EED9ECE40179}" name="Production system j">
      <calculatedColumnFormula array="1">Common_InputFunctions.Utility_DisplayArrayInTable(Common_SourceData.Common_SourceData_EFN2O_Data(), Table_SourceData_Common_EFN2O[[#Headers],[Production system j]], 0)</calculatedColumnFormula>
    </tableColumn>
    <tableColumn id="2" xr3:uid="{13921FCD-B117-443D-8595-AB03C4DE4C0F}" name="EFN2O">
      <calculatedColumnFormula array="1">Common_InputFunctions.Utility_DisplayArrayInTable(Common_SourceData.Common_SourceData_EFN2O_Data(), Table_SourceData_Common_EFN2O[[#Headers],[Production system j]], 0)</calculatedColumnFormula>
    </tableColumn>
    <tableColumn id="3" xr3:uid="{90B54C62-B4A3-4CB8-9470-7093FE328B81}" name="Production system only">
      <calculatedColumnFormula array="1">Common_InputFunctions.Utility_DisplayArrayInTable(Common_SourceData.Common_SourceData_EFN2O_Data(), Table_SourceData_Common_EFN2O[[#Headers],[Production system j]], 0)</calculatedColumnFormula>
    </tableColumn>
    <tableColumn id="4" xr3:uid="{FA768EDC-6E2D-47B9-863D-8A063CC351C1}" name="Irrigation method">
      <calculatedColumnFormula array="1">Common_InputFunctions.Utility_DisplayArrayInTable(Common_SourceData.Common_SourceData_EFN2O_Data(), Table_SourceData_Common_EFN2O[[#Headers],[Production system j]], 0)</calculatedColumnFormula>
    </tableColumn>
    <tableColumn id="5" xr3:uid="{632496A2-D38D-48EE-8760-3B64C07C085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3E7C448-A724-4445-AD75-232480A2E6B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7346040-DB38-49E4-A9B9-D34F265E843C}" name="Irrigation type i">
      <calculatedColumnFormula array="1">Common_InputFunctions.Utility_DisplayArrayInTable(Common_SourceData.Common_SourceData_FracWETIrrigation_Data(), Table_SourceData_FracWETIrrigation[[#Headers],[Irrigation type i]], 0)</calculatedColumnFormula>
    </tableColumn>
    <tableColumn id="2" xr3:uid="{D960657A-BD1E-45D3-825A-C3C29BB6893B}"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228D111-2F00-4F48-B056-B438A3F6966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7591274-8B84-419F-8426-A123AEF27A2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B251A85-EA78-4BF5-AE28-FBBB25AE45AF}"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4DF2052-FF8A-4A05-976F-88BB68FAA76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8D96C85-70B0-47BB-B6FA-37B5BBD3A0C5}" name="Month">
      <calculatedColumnFormula array="1">Common_InputFunctions.Utility_DisplayArrayInTable(Common_SourceData.Common_SourceData_MonthsToSeasons_Data(), Table_SourceData_Common_MonthToSeason[[#Headers],[Month]], 0)</calculatedColumnFormula>
    </tableColumn>
    <tableColumn id="2" xr3:uid="{50CEE149-B6ED-4E47-AC7F-E706418D8D14}"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EDF6F40-482A-4F82-ABA1-1F207CA2817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BA0716-8D09-453B-B867-D734BB27327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62D9B5A-5BDF-4D20-AEE9-44EE5CA4747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2734B5F-8E99-48B0-8AFD-5D124B34FC2E}"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99A40B6-6526-4E7B-8907-C79C81154353}"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EC7811A-5957-4303-B6C1-8C02C7F3874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F854FEA-BA45-4097-B4A8-613400CC7B7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56FC14B-3AAE-41ED-BC85-E23034611119}"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34CD105-5F3D-4C97-A69A-C45F0554A9F6}"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362D2B-8937-483C-91EB-73C8289D01E0}"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1FEDDEA-105A-4F7A-8063-CC4AB0023BE7}"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DD86747-26C4-4628-B797-F18D306EE9F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74792B9-0B22-4676-893B-02626C137D46}"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F6A2A0F-FCEA-4196-A8A3-7F6A414720D5}"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5617266-488F-4561-AD41-D73A03A353F1}"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1D43D45-E8C9-4B8A-B8FB-AD14A03B3CB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E77FE88-E605-4FB3-BABB-0DE5602481C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703C3BD-C6EC-49C8-B80F-08D95B37F5F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E4A49FA-F17F-4010-8199-0AECFDC56C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3A52A90-7B5E-45DE-BAB7-5FCDA26BD6F8}"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13" sqref="G13"/>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VEERG_9_1_1__1_RefrigerantLeaking_Result_Blend1_Value_Method1</f>
        <v>8.5000000000000006E-4</v>
      </c>
      <c r="F9" s="59">
        <f>E9</f>
        <v>8.5000000000000006E-4</v>
      </c>
      <c r="G9" s="30" t="str">
        <f>IF(ISBLANK('9.1.1.1-2 Refrigerant use'!D36), "", "t " &amp; '9.1.1.1-2 Refrigerant use'!D36)</f>
        <v>t R-402A</v>
      </c>
      <c r="H9" s="59">
        <f>INDEX(Table_E_CO2e,2,4)</f>
        <v>1.1860424000000003</v>
      </c>
      <c r="I9" s="59">
        <f>H9</f>
        <v>1.1860424000000003</v>
      </c>
      <c r="J9" s="30" t="str">
        <f>IF(ISBLANK('9.1.1.1-2 Refrigerant use'!D36), "", "t CO2e")</f>
        <v>t CO2e</v>
      </c>
      <c r="K9" s="17"/>
    </row>
    <row r="10" spans="1:11" ht="20.100000000000001" customHeight="1" x14ac:dyDescent="0.25">
      <c r="A10" s="15" t="s">
        <v>45</v>
      </c>
      <c r="C10" s="17"/>
      <c r="D10" s="1"/>
      <c r="E10" s="59">
        <f>VEERG_9_1_1__1_RefrigerantLeaking_Result_Blend2_Value_Method1</f>
        <v>1.7500000000000003E-3</v>
      </c>
      <c r="F10" s="59">
        <f t="shared" ref="F10:F18" si="0">E10</f>
        <v>1.7500000000000003E-3</v>
      </c>
      <c r="G10" s="30" t="str">
        <f>IF(ISBLANK('9.1.1.1-2 Refrigerant use'!D37), "", "t " &amp; '9.1.1.1-2 Refrigerant use'!D37)</f>
        <v>t R-422B</v>
      </c>
      <c r="H10" s="59">
        <f>INDEX(Table_E_CO2e,3,4)</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VEERG_9_1_1__1_RefrigerantLeaking_Result_Blend3_Value_Method1</f>
        <v>1.2210000000000002E-2</v>
      </c>
      <c r="F11" s="59">
        <f t="shared" si="0"/>
        <v>1.2210000000000002E-2</v>
      </c>
      <c r="G11" s="30" t="str">
        <f>IF(ISBLANK('9.1.1.1-2 Refrigerant use'!D38), "", "t " &amp; '9.1.1.1-2 Refrigerant use'!D38)</f>
        <v>t R-400 60/40</v>
      </c>
      <c r="H11" s="59">
        <f>INDEX(Table_E_CO2e,4,4)</f>
        <v>70.007256000000027</v>
      </c>
      <c r="I11" s="59">
        <f t="shared" si="1"/>
        <v>70.007256000000027</v>
      </c>
      <c r="J11" s="30" t="str">
        <f>IF(ISBLANK('9.1.1.1-2 Refrigerant use'!D38), "", "t CO2e")</f>
        <v>t CO2e</v>
      </c>
      <c r="K11" s="17"/>
    </row>
    <row r="12" spans="1:11" ht="20.100000000000001" customHeight="1" x14ac:dyDescent="0.25">
      <c r="A12" s="13"/>
      <c r="C12" s="17"/>
      <c r="D12" s="1"/>
      <c r="E12" s="59">
        <f>VEERG_9_1_1__1_RefrigerantLeaking_Result_Blend4_Value_Method1</f>
        <v>1.5699999999999999E-2</v>
      </c>
      <c r="F12" s="59">
        <f t="shared" si="0"/>
        <v>1.5699999999999999E-2</v>
      </c>
      <c r="G12" s="30" t="str">
        <f>IF(ISBLANK('9.1.1.1-2 Refrigerant use'!D39), "", "t " &amp; '9.1.1.1-2 Refrigerant use'!D39)</f>
        <v>t R-504</v>
      </c>
      <c r="H12" s="59">
        <f>INDEX(Table_E_CO2e,5,4)</f>
        <v>34.780656319599998</v>
      </c>
      <c r="I12" s="59">
        <f t="shared" si="1"/>
        <v>34.780656319599998</v>
      </c>
      <c r="J12" s="30" t="str">
        <f>IF(ISBLANK('9.1.1.1-2 Refrigerant use'!D39), "", "t CO2e")</f>
        <v>t CO2e</v>
      </c>
      <c r="K12" s="17"/>
    </row>
    <row r="13" spans="1:11" ht="20.100000000000001" customHeight="1" x14ac:dyDescent="0.25">
      <c r="A13" s="14" t="s">
        <v>2</v>
      </c>
      <c r="C13" s="17"/>
      <c r="D13" s="1"/>
      <c r="E13" s="59">
        <f>VEERG_9_1_1__1_RefrigerantLeaking_Result_Blend5_Value_Method1</f>
        <v>0</v>
      </c>
      <c r="F13" s="59">
        <f t="shared" si="0"/>
        <v>0</v>
      </c>
      <c r="G13" s="30" t="str">
        <f>IF(ISBLANK('9.1.1.1-2 Refrigerant use'!D40), "", "t " &amp; '9.1.1.1-2 Refrigerant use'!D40)</f>
        <v/>
      </c>
      <c r="H13" s="59">
        <f>INDEX(Table_E_CO2e,6,4)</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VEERG_9_1_1__1_RefrigerantLeaking_Result_Blend6_Value_Method1</f>
        <v>0</v>
      </c>
      <c r="F14" s="59">
        <f t="shared" si="0"/>
        <v>0</v>
      </c>
      <c r="G14" s="30" t="str">
        <f>IF(ISBLANK('9.1.1.1-2 Refrigerant use'!D41), "", "t " &amp; '9.1.1.1-2 Refrigerant use'!D41)</f>
        <v/>
      </c>
      <c r="H14" s="59">
        <f>INDEX(Table_E_CO2e,7,4)</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VEERG_9_1_1__1_RefrigerantLeaking_Result_Blend7_Value_Method1</f>
        <v>0</v>
      </c>
      <c r="F15" s="59">
        <f t="shared" si="0"/>
        <v>0</v>
      </c>
      <c r="G15" s="30" t="str">
        <f>IF(ISBLANK('9.1.1.1-2 Refrigerant use'!D42), "", "t " &amp; '9.1.1.1-2 Refrigerant use'!D42)</f>
        <v/>
      </c>
      <c r="H15" s="59">
        <f>INDEX(Table_E_CO2e,8,4)</f>
        <v>0</v>
      </c>
      <c r="I15" s="59">
        <f t="shared" si="1"/>
        <v>0</v>
      </c>
      <c r="J15" s="30" t="str">
        <f>IF(ISBLANK('9.1.1.1-2 Refrigerant use'!D42), "", "t CO2e")</f>
        <v/>
      </c>
      <c r="K15" s="17"/>
    </row>
    <row r="16" spans="1:11" ht="20.100000000000001" customHeight="1" x14ac:dyDescent="0.25">
      <c r="C16" s="17"/>
      <c r="D16" s="1"/>
      <c r="E16" s="59">
        <f>VEERG_9_1_1__1_RefrigerantLeaking_Result_Blend8_Value_Method1</f>
        <v>0</v>
      </c>
      <c r="F16" s="59">
        <f t="shared" si="0"/>
        <v>0</v>
      </c>
      <c r="G16" s="30" t="str">
        <f>IF(ISBLANK('9.1.1.1-2 Refrigerant use'!D43), "", "t " &amp; '9.1.1.1-2 Refrigerant use'!D43)</f>
        <v/>
      </c>
      <c r="H16" s="59">
        <f>INDEX(Table_E_CO2e,9,4)</f>
        <v>0</v>
      </c>
      <c r="I16" s="59">
        <f t="shared" si="1"/>
        <v>0</v>
      </c>
      <c r="J16" s="30" t="str">
        <f>IF(ISBLANK('9.1.1.1-2 Refrigerant use'!D43), "", "t CO2e")</f>
        <v/>
      </c>
      <c r="K16" s="17"/>
    </row>
    <row r="17" spans="1:11" ht="20.100000000000001" customHeight="1" x14ac:dyDescent="0.25">
      <c r="C17" s="17"/>
      <c r="D17" s="1"/>
      <c r="E17" s="59">
        <f>VEERG_9_1_1__1_RefrigerantLeaking_Result_Blend9_Value_Method1</f>
        <v>0</v>
      </c>
      <c r="F17" s="59">
        <f t="shared" si="0"/>
        <v>0</v>
      </c>
      <c r="G17" s="30" t="str">
        <f>IF(ISBLANK('9.1.1.1-2 Refrigerant use'!D44), "", "t " &amp; '9.1.1.1-2 Refrigerant use'!D44)</f>
        <v/>
      </c>
      <c r="H17" s="59">
        <f>INDEX(Table_E_CO2e,10,4)</f>
        <v>0</v>
      </c>
      <c r="I17" s="59">
        <f t="shared" si="1"/>
        <v>0</v>
      </c>
      <c r="J17" s="30" t="str">
        <f>IF(ISBLANK('9.1.1.1-2 Refrigerant use'!D44), "", "t CO2e")</f>
        <v/>
      </c>
      <c r="K17" s="17"/>
    </row>
    <row r="18" spans="1:11" ht="20.100000000000001" customHeight="1" x14ac:dyDescent="0.25">
      <c r="C18" s="17"/>
      <c r="D18" s="1"/>
      <c r="E18" s="59">
        <f>VEERG_9_1_1__1_RefrigerantLeaking_Result_Blend10_Value_Method1</f>
        <v>0</v>
      </c>
      <c r="F18" s="59">
        <f t="shared" si="0"/>
        <v>0</v>
      </c>
      <c r="G18" s="30" t="str">
        <f>IF(ISBLANK('9.1.1.1-2 Refrigerant use'!D45), "", "t " &amp; '9.1.1.1-2 Refrigerant use'!D45)</f>
        <v/>
      </c>
      <c r="H18" s="59">
        <f>INDEX(Table_E_CO2e,11,4)</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L17" sqref="L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s="82" t="s">
        <v>94</v>
      </c>
      <c r="E10" s="27" t="s">
        <v>95</v>
      </c>
      <c r="F10" s="27" t="s">
        <v>96</v>
      </c>
      <c r="G10" s="70">
        <v>10</v>
      </c>
      <c r="H10" s="70">
        <v>5</v>
      </c>
    </row>
    <row r="11" spans="1:9" ht="20.100000000000001" customHeight="1" x14ac:dyDescent="0.25">
      <c r="A11" s="13" t="str">
        <f>HYPERLINK("#'9.1.1.1-2 Refrigerant use'!A1", "9.1.1.1-2 Refrigerant use")</f>
        <v>9.1.1.1-2 Refrigerant use</v>
      </c>
      <c r="D11" s="82" t="s">
        <v>145</v>
      </c>
      <c r="E11" s="27" t="s">
        <v>132</v>
      </c>
      <c r="F11" s="27" t="s">
        <v>97</v>
      </c>
      <c r="G11" s="70">
        <v>10</v>
      </c>
      <c r="H11" s="70">
        <v>5</v>
      </c>
    </row>
    <row r="12" spans="1:9" ht="20.100000000000001" customHeight="1" x14ac:dyDescent="0.25">
      <c r="A12" s="13"/>
      <c r="D12" s="82" t="s">
        <v>98</v>
      </c>
      <c r="E12" s="27" t="s">
        <v>99</v>
      </c>
      <c r="F12" s="27" t="s">
        <v>100</v>
      </c>
      <c r="G12" s="70">
        <v>10</v>
      </c>
      <c r="H12" s="70">
        <v>13</v>
      </c>
    </row>
    <row r="13" spans="1:9" ht="20.100000000000001" customHeight="1" x14ac:dyDescent="0.25">
      <c r="A13" s="14" t="s">
        <v>2</v>
      </c>
      <c r="D13" s="82" t="s">
        <v>146</v>
      </c>
      <c r="E13" s="27" t="s">
        <v>132</v>
      </c>
      <c r="F13" s="27" t="s">
        <v>100</v>
      </c>
      <c r="G13" s="70">
        <v>10</v>
      </c>
      <c r="H13" s="70">
        <v>10</v>
      </c>
    </row>
    <row r="14" spans="1:9" ht="20.100000000000001" customHeight="1" x14ac:dyDescent="0.25">
      <c r="A14" s="13" t="str">
        <f>HYPERLINK("#'Constants - Refrigerants'!A1", "Constants - Refrigerants")</f>
        <v>Constants - Refrigerants</v>
      </c>
      <c r="D14" s="82" t="s">
        <v>147</v>
      </c>
      <c r="E14" s="27" t="s">
        <v>137</v>
      </c>
      <c r="F14" s="27" t="s">
        <v>148</v>
      </c>
      <c r="G14" s="70">
        <v>10</v>
      </c>
      <c r="H14" s="70">
        <v>10</v>
      </c>
    </row>
    <row r="15" spans="1:9" ht="20.100000000000001" customHeight="1" x14ac:dyDescent="0.25">
      <c r="A15" s="13" t="str">
        <f>HYPERLINK("#'Constants - Common'!A1", "Constants - Common")</f>
        <v>Constants - Common</v>
      </c>
      <c r="D15" s="82"/>
      <c r="E15" s="80"/>
      <c r="F15" s="80"/>
      <c r="G15" s="81"/>
      <c r="H15" s="81"/>
    </row>
    <row r="16" spans="1:9" ht="20.100000000000001" customHeight="1" x14ac:dyDescent="0.25">
      <c r="D16" s="82"/>
      <c r="E16" s="80"/>
      <c r="F16" s="80"/>
      <c r="G16" s="81"/>
      <c r="H16" s="81"/>
    </row>
    <row r="17" spans="1:8" ht="20.100000000000001" customHeight="1" x14ac:dyDescent="0.25">
      <c r="D17" s="82"/>
      <c r="E17" s="80"/>
      <c r="F17" s="80"/>
      <c r="G17" s="81"/>
      <c r="H17" s="81"/>
    </row>
    <row r="18" spans="1:8" ht="20.100000000000001" customHeight="1" x14ac:dyDescent="0.25">
      <c r="D18" s="82"/>
      <c r="E18" s="80"/>
      <c r="F18" s="80"/>
      <c r="G18" s="81"/>
      <c r="H18" s="81"/>
    </row>
    <row r="19" spans="1:8" ht="20.100000000000001" customHeight="1" x14ac:dyDescent="0.25">
      <c r="D19" s="82"/>
      <c r="E19" s="80"/>
      <c r="F19" s="80"/>
      <c r="G19" s="81"/>
      <c r="H19" s="81"/>
    </row>
    <row r="20" spans="1:8" ht="20.100000000000001" customHeight="1" x14ac:dyDescent="0.25">
      <c r="A20" s="13"/>
    </row>
    <row r="21" spans="1:8" ht="20.100000000000001" customHeight="1" x14ac:dyDescent="0.25">
      <c r="A21" s="13"/>
    </row>
    <row r="22" spans="1:8" ht="20.100000000000001" customHeight="1" x14ac:dyDescent="0.25"/>
    <row r="23" spans="1:8" ht="20.100000000000001" customHeight="1" x14ac:dyDescent="0.25">
      <c r="A23" s="13"/>
    </row>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c r="A29" s="13"/>
    </row>
    <row r="30" spans="1:8" ht="20.100000000000001" customHeight="1" x14ac:dyDescent="0.25">
      <c r="A30" s="13"/>
    </row>
    <row r="31" spans="1:8" ht="20.100000000000001" customHeight="1" x14ac:dyDescent="0.25">
      <c r="A31" s="32"/>
    </row>
    <row r="32" spans="1:8"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47" priority="62" operator="lessThan">
      <formula>0</formula>
    </cfRule>
  </conditionalFormatting>
  <conditionalFormatting sqref="F128:F129">
    <cfRule type="cellIs" dxfId="46" priority="21" operator="lessThan">
      <formula>0</formula>
    </cfRule>
  </conditionalFormatting>
  <conditionalFormatting sqref="F140:F141">
    <cfRule type="cellIs" dxfId="45" priority="20" operator="lessThan">
      <formula>0</formula>
    </cfRule>
  </conditionalFormatting>
  <conditionalFormatting sqref="F152:F153">
    <cfRule type="cellIs" dxfId="44" priority="19" operator="lessThan">
      <formula>0</formula>
    </cfRule>
  </conditionalFormatting>
  <conditionalFormatting sqref="F164:F165">
    <cfRule type="cellIs" dxfId="43" priority="18" operator="lessThan">
      <formula>0</formula>
    </cfRule>
  </conditionalFormatting>
  <conditionalFormatting sqref="F252:F253">
    <cfRule type="cellIs" dxfId="42" priority="93" operator="lessThan">
      <formula>0</formula>
    </cfRule>
  </conditionalFormatting>
  <conditionalFormatting sqref="F257:F258">
    <cfRule type="cellIs" dxfId="41" priority="92" operator="lessThan">
      <formula>0</formula>
    </cfRule>
  </conditionalFormatting>
  <conditionalFormatting sqref="F262:F263">
    <cfRule type="cellIs" dxfId="40" priority="91" operator="lessThan">
      <formula>0</formula>
    </cfRule>
  </conditionalFormatting>
  <conditionalFormatting sqref="F286:F287">
    <cfRule type="cellIs" dxfId="39" priority="85" operator="lessThan">
      <formula>0</formula>
    </cfRule>
  </conditionalFormatting>
  <conditionalFormatting sqref="F291:F292">
    <cfRule type="cellIs" dxfId="38" priority="84" operator="lessThan">
      <formula>0</formula>
    </cfRule>
  </conditionalFormatting>
  <conditionalFormatting sqref="F296:F297">
    <cfRule type="cellIs" dxfId="37" priority="83" operator="lessThan">
      <formula>0</formula>
    </cfRule>
  </conditionalFormatting>
  <conditionalFormatting sqref="H45:H47 E212:G212">
    <cfRule type="cellIs" dxfId="36"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85" zoomScaleNormal="85" workbookViewId="0">
      <selection activeCell="E73" sqref="E73"/>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31">IFERROR(INDEX(Table_Input_Refrigerant[Refrigeration unit name], _xlfn.SEQUENCE(10)),"")</f>
        <v>Cool room</v>
      </c>
      <c r="E22" s="29" t="str" cm="1">
        <f t="array" ref="E22:E31">IFERROR(INDEX(Table_Input_Refrigerant[Appliance type (select)], _xlfn.SEQUENCE(10)),"")</f>
        <v>Domestic refrigerators</v>
      </c>
      <c r="F22" s="29" t="str" cm="1">
        <f t="array" ref="F22:F31">IFERROR(INDEX(Table_Input_Refrigerant[Refrigerant used (select)], _xlfn.SEQUENCE(10)),"")</f>
        <v>R-402A</v>
      </c>
      <c r="G22" s="29" cm="1">
        <f t="array" ref="G22:G31">IFERROR(INDEX(Table_Input_Refrigerant[Unit refrigerant gas capacity (kg)], _xlfn.SEQUENCE(10)),0)</f>
        <v>10</v>
      </c>
      <c r="H22" s="29" cm="1">
        <f t="array" ref="H22:H31">IFERROR(INDEX(Table_Input_Refrigerant[Number of units in use], _xlfn.SEQUENCE(10)),0)</f>
        <v>5</v>
      </c>
      <c r="I22" s="29">
        <f t="shared" ref="I22:I31" si="0">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6">
        <f t="shared" ref="L22:L31" si="1">K22*H22</f>
        <v>8.5000000000000006E-4</v>
      </c>
    </row>
    <row r="23" spans="1:12" ht="20.100000000000001" customHeight="1" x14ac:dyDescent="0.25">
      <c r="A23" s="13"/>
      <c r="D23" s="29" t="str">
        <v>Office air con units</v>
      </c>
      <c r="E23" s="29" t="str">
        <v>Domestic A/C split</v>
      </c>
      <c r="F23" s="29" t="str">
        <v>R-422B</v>
      </c>
      <c r="G23" s="29">
        <v>10</v>
      </c>
      <c r="H23" s="29">
        <v>5</v>
      </c>
      <c r="I23" s="29">
        <f t="shared" si="0"/>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6">
        <f t="shared" si="1"/>
        <v>1.7500000000000003E-3</v>
      </c>
    </row>
    <row r="24" spans="1:12" ht="20.100000000000001" customHeight="1" x14ac:dyDescent="0.25">
      <c r="D24" s="29" t="str">
        <v>Car AC</v>
      </c>
      <c r="E24" s="29" t="str">
        <v>Light vehicle A/C</v>
      </c>
      <c r="F24" s="29" t="str">
        <v>R-400 60/40</v>
      </c>
      <c r="G24" s="29">
        <v>10</v>
      </c>
      <c r="H24" s="29">
        <v>13</v>
      </c>
      <c r="I24" s="29">
        <f t="shared" si="0"/>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6">
        <f t="shared" si="1"/>
        <v>8.7100000000000007E-3</v>
      </c>
    </row>
    <row r="25" spans="1:12" ht="20.100000000000001" customHeight="1" x14ac:dyDescent="0.25">
      <c r="D25" s="29" t="str">
        <v>Storage AC</v>
      </c>
      <c r="E25" s="29" t="str">
        <v>Domestic A/C split</v>
      </c>
      <c r="F25" s="29" t="str">
        <v>R-400 60/40</v>
      </c>
      <c r="G25" s="29">
        <v>10</v>
      </c>
      <c r="H25" s="29">
        <v>10</v>
      </c>
      <c r="I25" s="29">
        <f t="shared" si="0"/>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6">
        <f t="shared" si="1"/>
        <v>3.5000000000000005E-3</v>
      </c>
    </row>
    <row r="26" spans="1:12" ht="20.100000000000001" customHeight="1" x14ac:dyDescent="0.25">
      <c r="D26" s="29" t="str">
        <v>Refrigerated trucks</v>
      </c>
      <c r="E26" s="29" t="str">
        <v>Transport refrigeration</v>
      </c>
      <c r="F26" s="29" t="str">
        <v>R-504</v>
      </c>
      <c r="G26" s="29">
        <v>10</v>
      </c>
      <c r="H26" s="29">
        <v>10</v>
      </c>
      <c r="I26" s="29">
        <f t="shared" si="0"/>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6">
        <f t="shared" si="1"/>
        <v>1.5699999999999999E-2</v>
      </c>
    </row>
    <row r="27" spans="1:12" ht="20.100000000000001" customHeight="1" x14ac:dyDescent="0.25">
      <c r="D27" s="29">
        <v>0</v>
      </c>
      <c r="E27" s="29">
        <v>0</v>
      </c>
      <c r="F27" s="29">
        <v>0</v>
      </c>
      <c r="G27" s="29">
        <v>0</v>
      </c>
      <c r="H27" s="29">
        <v>0</v>
      </c>
      <c r="I27" s="29">
        <f t="shared" si="0"/>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6">
        <f t="shared" si="1"/>
        <v>0</v>
      </c>
    </row>
    <row r="28" spans="1:12" ht="20.100000000000001" customHeight="1" x14ac:dyDescent="0.25">
      <c r="D28" s="29">
        <v>0</v>
      </c>
      <c r="E28" s="29">
        <v>0</v>
      </c>
      <c r="F28" s="29">
        <v>0</v>
      </c>
      <c r="G28" s="29">
        <v>0</v>
      </c>
      <c r="H28" s="29">
        <v>0</v>
      </c>
      <c r="I28" s="29">
        <f t="shared" si="0"/>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6">
        <f t="shared" si="1"/>
        <v>0</v>
      </c>
    </row>
    <row r="29" spans="1:12" ht="20.100000000000001" customHeight="1" x14ac:dyDescent="0.25">
      <c r="D29" s="29">
        <v>0</v>
      </c>
      <c r="E29" s="29">
        <v>0</v>
      </c>
      <c r="F29" s="29">
        <v>0</v>
      </c>
      <c r="G29" s="29">
        <v>0</v>
      </c>
      <c r="H29" s="29">
        <v>0</v>
      </c>
      <c r="I29" s="29">
        <f t="shared" si="0"/>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6">
        <f t="shared" si="1"/>
        <v>0</v>
      </c>
    </row>
    <row r="30" spans="1:12" ht="20.100000000000001" customHeight="1" x14ac:dyDescent="0.25">
      <c r="D30" s="29">
        <v>0</v>
      </c>
      <c r="E30" s="29">
        <v>0</v>
      </c>
      <c r="F30" s="29">
        <v>0</v>
      </c>
      <c r="G30" s="29">
        <v>0</v>
      </c>
      <c r="H30" s="29">
        <v>0</v>
      </c>
      <c r="I30" s="29">
        <f t="shared" si="0"/>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6">
        <f t="shared" si="1"/>
        <v>0</v>
      </c>
    </row>
    <row r="31" spans="1:12" ht="20.100000000000001" customHeight="1" x14ac:dyDescent="0.25">
      <c r="D31" s="29">
        <v>0</v>
      </c>
      <c r="E31" s="29">
        <v>0</v>
      </c>
      <c r="F31" s="29">
        <v>0</v>
      </c>
      <c r="G31" s="29">
        <v>0</v>
      </c>
      <c r="H31" s="29">
        <v>0</v>
      </c>
      <c r="I31" s="29">
        <f t="shared" si="0"/>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6">
        <f t="shared" si="1"/>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 * (F22:F31&lt;&gt;0)))</f>
        <v>R-402A</v>
      </c>
      <c r="E36" s="29">
        <f t="shared" ref="E36:E45" si="2">SUMIF($F$22:$F$31,D36,$L$22:$L$31)</f>
        <v>8.5000000000000006E-4</v>
      </c>
      <c r="H36" s="71"/>
      <c r="I36" s="71"/>
      <c r="K36" s="71"/>
      <c r="L36" s="71"/>
    </row>
    <row r="37" spans="1:13" ht="20.100000000000001" customHeight="1" x14ac:dyDescent="0.25">
      <c r="D37" s="29" t="str">
        <v>R-422B</v>
      </c>
      <c r="E37" s="29">
        <f t="shared" si="2"/>
        <v>1.7500000000000003E-3</v>
      </c>
      <c r="H37" s="71"/>
      <c r="I37" s="71"/>
      <c r="K37" s="71"/>
      <c r="L37" s="71"/>
    </row>
    <row r="38" spans="1:13" ht="20.100000000000001" customHeight="1" x14ac:dyDescent="0.25">
      <c r="D38" s="29" t="str">
        <v>R-400 60/40</v>
      </c>
      <c r="E38" s="29">
        <f t="shared" si="2"/>
        <v>1.2210000000000002E-2</v>
      </c>
      <c r="H38" s="71"/>
      <c r="I38" s="71"/>
      <c r="K38" s="71"/>
      <c r="L38" s="71"/>
    </row>
    <row r="39" spans="1:13" ht="20.100000000000001" customHeight="1" x14ac:dyDescent="0.25">
      <c r="D39" s="29" t="str">
        <v>R-504</v>
      </c>
      <c r="E39" s="29">
        <f t="shared" si="2"/>
        <v>1.5699999999999999E-2</v>
      </c>
      <c r="H39" s="71"/>
      <c r="I39" s="71"/>
    </row>
    <row r="40" spans="1:13" ht="20.100000000000001" customHeight="1" x14ac:dyDescent="0.25">
      <c r="D40" s="29"/>
      <c r="E40" s="29">
        <f t="shared" si="2"/>
        <v>0</v>
      </c>
      <c r="H40" s="71"/>
      <c r="I40" s="71"/>
    </row>
    <row r="41" spans="1:13" ht="20.100000000000001" customHeight="1" x14ac:dyDescent="0.25">
      <c r="D41" s="29"/>
      <c r="E41" s="29">
        <f t="shared" si="2"/>
        <v>0</v>
      </c>
      <c r="H41" s="71"/>
      <c r="I41" s="71"/>
    </row>
    <row r="42" spans="1:13" ht="20.100000000000001" customHeight="1" x14ac:dyDescent="0.25">
      <c r="D42" s="29"/>
      <c r="E42" s="29">
        <f t="shared" si="2"/>
        <v>0</v>
      </c>
      <c r="H42" s="71"/>
      <c r="I42" s="71"/>
    </row>
    <row r="43" spans="1:13" ht="20.100000000000001" customHeight="1" x14ac:dyDescent="0.25">
      <c r="D43" s="29"/>
      <c r="E43" s="29">
        <f t="shared" si="2"/>
        <v>0</v>
      </c>
      <c r="H43" s="71"/>
      <c r="I43" s="71"/>
    </row>
    <row r="44" spans="1:13" ht="20.100000000000001" customHeight="1" x14ac:dyDescent="0.25">
      <c r="D44" s="29"/>
      <c r="E44" s="29">
        <f t="shared" si="2"/>
        <v>0</v>
      </c>
      <c r="H44" s="71"/>
      <c r="I44" s="71"/>
    </row>
    <row r="45" spans="1:13" ht="20.100000000000001" customHeight="1" x14ac:dyDescent="0.25">
      <c r="D45" s="29"/>
      <c r="E45" s="29">
        <f t="shared" si="2"/>
        <v>0</v>
      </c>
      <c r="H45" s="71"/>
      <c r="I45" s="71"/>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 t="shared" ref="D63:D71" si="3">D37</f>
        <v>R-422B</v>
      </c>
      <c r="E63" s="29">
        <f t="shared" ref="E63:E71" si="4">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 t="shared" si="3"/>
        <v>R-400 60/40</v>
      </c>
      <c r="E64" s="29">
        <f t="shared" si="4"/>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 t="shared" si="3"/>
        <v>R-504</v>
      </c>
      <c r="E65" s="29">
        <f t="shared" si="4"/>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 t="shared" si="3"/>
        <v>0</v>
      </c>
      <c r="E66" s="29">
        <f t="shared" si="4"/>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 t="shared" si="3"/>
        <v>0</v>
      </c>
      <c r="E67" s="29">
        <f t="shared" si="4"/>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 t="shared" si="3"/>
        <v>0</v>
      </c>
      <c r="E68" s="29">
        <f t="shared" si="4"/>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 t="shared" si="3"/>
        <v>0</v>
      </c>
      <c r="E69" s="29">
        <f t="shared" si="4"/>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 t="shared" si="3"/>
        <v>0</v>
      </c>
      <c r="E70" s="29">
        <f t="shared" si="4"/>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 t="shared" si="3"/>
        <v>0</v>
      </c>
      <c r="E71" s="29">
        <f t="shared" si="4"/>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7" t="s">
        <v>138</v>
      </c>
      <c r="E73" s="78">
        <f>SUM(G62:G71)</f>
        <v>108.05338346960002</v>
      </c>
      <c r="F73" s="79"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O106" sqref="O10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67"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9"/>
      <c r="F106" s="67"/>
      <c r="G106" s="68"/>
      <c r="H106" s="68"/>
      <c r="I106" s="68"/>
      <c r="J106" s="68"/>
      <c r="K106" s="68"/>
      <c r="L106" s="68"/>
      <c r="M106" s="68"/>
      <c r="N106" s="69"/>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63C6D-A6A6-4601-955D-5E31CC5AAC07}">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MQ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IAZQBmAHIAaQBnAGUAcgBhAG4AdABzAF8ASQBuAHAAdQB0AEYAdQBuAGMAdABpAG8AbgBzACIALAAiAHQAZQB4AHQAIgA6ACIAUgBlAGYAcgBpAGcAZQByAGEAbgB0AHMAXwBDAGEAbABjAHUAbABhAHQAZQBCAGwAZQBuAGQARwBXAFAAXABuAD0ATABBAE0AQgBEAEEAKABcAG4AIAAgAEMAbwBuAHMAdABpAHQAdQBlAG4AdABGAGEAYwB0AGkAbwBuADEALAAgAEMAbwBuAHMAdABpAHQAdQBlAG4AdABHAFcAUAAxACwAIABcAG4AIAAgAEMAbwBuAHMAdABpAHQAdQBlAG4AdABGAGEAYwB0AGkAbwBuADIALAAgAEMAbwBuAHMAdABpAHQAdQBlAG4AdABHAFcAUAAyACwAIABcAG4AIAAgAEMAbwBuAHMAdABpAHQAdQBlAG4AdABGAGEAYwB0AGkAbwBuADMALAAgAEMAbwBuAHMAdABpAHQAdQBlAG4AdABHAFcAUAAzACwAIABcAG4AIAAgAEMAbwBuAHMAdABpAHQAdQBlAG4AdABGAGEAYwB0AGkAbwBuADQALAAgAEMAbwBuAHMAdABpAHQAdQBlAG4AdABHAFcAUAA0ACwAXABuACAAIAAoAEMAbwBuAHMAdABpAHQAdQBlAG4AdABGAGEAYwB0AGkAbwBuADEAIAAqACAAQwBvAG4AcwB0AGkAdAB1AGUAbgB0AEcAVwBQADEAKQAgACsAXABuACAAIAAoAEMAbwBuAHMAdABpAHQAdQBlAG4AdABGAGEAYwB0AGkAbwBuADIAIAAqACAAQwBvAG4AcwB0AGkAdAB1AGUAbgB0AEcAVwBQADIAKQAgACsAXABuACAAIAAoAEMAbwBuAHMAdABpAHQAdQBlAG4AdABGAGEAYwB0AGkAbwBuADMAIAAqACAAQwBvAG4AcwB0AGkAdAB1AGUAbgB0AEcAVwBQADMAKQAgACsAXABuACAAIAAoAEMAbwBuAHMAdABpAHQAdQBlAG4AdABGAGEAYwB0AGkAbwBuADQAIAAqACAAQwBvAG4AcwB0AGkAdAB1AGUAbgB0AEcAVwBQADQ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TABhAHQAZQB4AEUAcQB1AGEAdABpAG8AbgAiACwAIgBGAHUAZQBsAF8ARQBxAHUAYQB0AGkAbwBuAHMALgBWAEUARQBSAEcAXwA4AF8AWABfAEYAdQBlAGwAQwBvAG0AYgB1AHMAdABpAG8AbgBHAGUAbgBlAHIAaQBjAF8AQQByAGcAdQBtAGUAbgB0AHMAIgAsACIARgB1AGUAbABfAEUAcQB1AGEAdABpAG8AbgBzAC4AVgBFAEUAUgBHAF8AOABfAFgAXwBGAHUAZQBsAEMAbwBtAGIAdQBzAHQAaQBvAG4ARwBlAG4AZQByAGkAYwBfAFYAYQByAGkAYQB0AGkAbwBu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