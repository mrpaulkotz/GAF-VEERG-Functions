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8DC9C2A7-82A6-4B72-90C1-C5722C053A47}" xr6:coauthVersionLast="47" xr6:coauthVersionMax="47" xr10:uidLastSave="{00000000-0000-0000-0000-000000000000}"/>
  <bookViews>
    <workbookView xWindow="390" yWindow="390" windowWidth="28800" windowHeight="15345" firstSheet="12" activeTab="12" xr2:uid="{992023F3-CAB7-4E5B-A348-08D563A0EF40}"/>
  </bookViews>
  <sheets>
    <sheet name="Tab template" sheetId="74" r:id="rId1"/>
    <sheet name="Home" sheetId="71" r:id="rId2"/>
    <sheet name="Results" sheetId="13" r:id="rId3"/>
    <sheet name="Input - Site" sheetId="15" r:id="rId4"/>
    <sheet name="Input - MMS - Feedlot" sheetId="70" r:id="rId5"/>
    <sheet name="4.1.1.1-2 Methane" sheetId="69" r:id="rId6"/>
    <sheet name="4.1.1.3-4 Direct N20" sheetId="76" r:id="rId7"/>
    <sheet name="4.1.1.5-6 Atmos Deposition" sheetId="82" r:id="rId8"/>
    <sheet name="4.1.1.9 Manure applied to soils" sheetId="81" r:id="rId9"/>
    <sheet name="Source Data - Feedlot" sheetId="79" r:id="rId10"/>
    <sheet name="Constants - Livestock" sheetId="43" r:id="rId11"/>
    <sheet name="Acknowledgements" sheetId="72" r:id="rId12"/>
    <sheet name="Constants - Common" sheetId="96" r:id="rId13"/>
  </sheets>
  <externalReferences>
    <externalReference r:id="rId14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7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8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9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_xlfn.LAMBDA(_xlfn.MAKEARRAY(14,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_xlfn.LAMBDA(_xlfn.MAKEARRAY(4, 1, _xlfn.LAMBDA(_xlpm.r,_xlpm.c, INDEX({"VARIATION OF SOURCE DATA:";"Removed duplicate 'Aquaculture' row.";"Removed asterisks to aid lookup.";"Added 'production system only', 'rainfall zone' and 'irrigation method' columns to aid lookup."}, _xlpm.r, _xlpm.c))))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2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_xlfn.LAMBDA(_xlfn.MAKEARRAY(5, 2, _xlfn.LAMBDA(_xlpm.r,_xlpm.c, INDEX({"MMS_ATMOS","mass of N volatilised from MMS : kg N";"EF_N2O","nitrous oxide emission factor for atmospheric deposition : kg N2O-N/kg N";"C_N2O","factor to convert elemental mass of nitrous oxide to molecular mass : ratio";"p","production system";"r","rainfall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_Direct_Equations.VEERG_4_1_1_3__1_TotalAnnualDirectNitrousOxideEmissions">_xlfn.LAMBDA(_xlpm.MN_jmT,_xlpm.EF_jm,_xlpm.C_N2O, SUMPRODUCT(_xlpm.MN_jmT, _xlpm.EF_jm, _xlpm.C_N2O) * 10 ^ -3)</definedName>
    <definedName name="MMS_Feedlot_N2O_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_Direct_Equations.VEERG_4_1_1_3__1_TotalAnnualDirectNitrousOxideEmissions_LatexEquation">_xlfn.LAMBDA("E_{N2O,dir}=\sum_{j}\sum_{m}\sum_{T}(MN_{jmT}\times EF_{jm}\times C_{N2O})\times10^{-3}")</definedName>
    <definedName name="MMS_Feedlot_N2O_Direct_Equations.VEERG_4_1_1_3__1_TotalAnnualDirectNitrousOxideEmissions_NIRReference">_xlfn.LAMBDA("")</definedName>
    <definedName name="MMS_Feedlot_N2O_Direct_Equations.VEERG_4_1_1_3__1_TotalAnnualDirectNitrousOxideEmissions_Source">_xlfn.LAMBDA("VEERG 2026: 4.1.1.3, Equation (1)")</definedName>
    <definedName name="MMS_Feedlot_N2O_Direct_Equations.VEERG_4_1_1_3__1_TotalAnnualDirectNitrousOxideEmissions_Title">_xlfn.LAMBDA("Total annual direct nitrous oxide emissions from manure management systems")</definedName>
    <definedName name="MMS_Feedlot_N2O_Direct_Equations.VEERG_4_1_1_3__1_TotalAnnualDirectNitrousOxideEmissions_Unit">_xlfn.LAMBDA("t N2O")</definedName>
    <definedName name="MMS_Feedlot_N2O_Direct_Equations.VEERG_4_1_1_3__1_TotalAnnualDirectNitrousOxideEmissions_Variable">_xlfn.LAMBDA("E_N2Odir")</definedName>
    <definedName name="MMS_Feedlot_N2O_Direct_Equations.VEERG_4_1_1_3__2_Stage1NitrogenInMMSDrylot">_xlfn.LAMBDA(_xlpm.AE_j,_xlpm.MMS_jm5T1, _xlpm.AE_j * _xlpm.MMS_jm5T1)</definedName>
    <definedName name="MMS_Feedlot_N2O_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_Direct_Equations.VEERG_4_1_1_3__2_Stage1NitrogenInMMSDrylot_LatexEquation">_xlfn.LAMBDA("MN_{jm=5,T=1}=AE_{j}\times MMS_{jm=5,T=1}")</definedName>
    <definedName name="MMS_Feedlot_N2O_Direct_Equations.VEERG_4_1_1_3__2_Stage1NitrogenInMMSDrylot_NIRReference">_xlfn.LAMBDA("")</definedName>
    <definedName name="MMS_Feedlot_N2O_Direct_Equations.VEERG_4_1_1_3__2_Stage1NitrogenInMMSDrylot_Source">_xlfn.LAMBDA("VEERG 2026: 4.1.1.3, Equation (2)")</definedName>
    <definedName name="MMS_Feedlot_N2O_Direct_Equations.VEERG_4_1_1_3__2_Stage1NitrogenInMMSDrylot_Title">_xlfn.LAMBDA("Nitrogen in treatment stage 1 MMS")</definedName>
    <definedName name="MMS_Feedlot_N2O_Direct_Equations.VEERG_4_1_1_3__2_Stage1NitrogenInMMSDrylot_Unit">_xlfn.LAMBDA("kg N")</definedName>
    <definedName name="MMS_Feedlot_N2O_Direct_Equations.VEERG_4_1_1_3__2_Stage1NitrogenInMMSDrylot_Variable">_xlfn.LAMBDA("MN_jm5T1")</definedName>
    <definedName name="MMS_Feedlot_N2O_Direct_Equations.VEERG_4_1_1_3__3_AnnualNitrogenExcretion">_xlfn.LAMBDA(_xlpm.N_j,_xlpm.NE_j,_xlpm.D_j, _xlpm.N_j * _xlpm.NE_j * _xlpm.D_j)</definedName>
    <definedName name="MMS_Feedlot_N2O_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_Direct_Equations.VEERG_4_1_1_3__3_AnnualNitrogenExcretion_LatexEquation">_xlfn.LAMBDA("AE_{j}=N_{j}\times NE_{j}\times D_{j}")</definedName>
    <definedName name="MMS_Feedlot_N2O_Direct_Equations.VEERG_4_1_1_3__3_AnnualNitrogenExcretion_NIRReference">_xlfn.LAMBDA("")</definedName>
    <definedName name="MMS_Feedlot_N2O_Direct_Equations.VEERG_4_1_1_3__3_AnnualNitrogenExcretion_Source">_xlfn.LAMBDA("VEERG 2026: 4.1.1.3, Equation (3)")</definedName>
    <definedName name="MMS_Feedlot_N2O_Direct_Equations.VEERG_4_1_1_3__3_AnnualNitrogenExcretion_Title">_xlfn.LAMBDA("Annual nitrogen excretion from each feedlot cattle group")</definedName>
    <definedName name="MMS_Feedlot_N2O_Direct_Equations.VEERG_4_1_1_3__3_AnnualNitrogenExcretion_Unit">_xlfn.LAMBDA("kg N")</definedName>
    <definedName name="MMS_Feedlot_N2O_Direct_Equations.VEERG_4_1_1_3__3_AnnualNitrogenExcretion_Variable">_xlfn.LAMBDA("AE_j")</definedName>
    <definedName name="MMS_Feedlot_N2O_Direct_Equations.VEERG_4_1_1_3__4_NitrogenExcretionPerHead">_xlfn.LAMBDA(_xlpm.NI_j,_xlpm.NR_j, _xlpm.NI_j * (1 - _xlpm.NR_j))</definedName>
    <definedName name="MMS_Feedlot_N2O_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_Direct_Equations.VEERG_4_1_1_3__4_NitrogenExcretionPerHead_LatexEquation">_xlfn.LAMBDA("NE_{j}=NI_{j}\times(1-NR_{j})")</definedName>
    <definedName name="MMS_Feedlot_N2O_Direct_Equations.VEERG_4_1_1_3__4_NitrogenExcretionPerHead_NIRReference">_xlfn.LAMBDA("")</definedName>
    <definedName name="MMS_Feedlot_N2O_Direct_Equations.VEERG_4_1_1_3__4_NitrogenExcretionPerHead_Source">_xlfn.LAMBDA("VEERG 2026: 4.1.1.3, Equation (4)")</definedName>
    <definedName name="MMS_Feedlot_N2O_Direct_Equations.VEERG_4_1_1_3__4_NitrogenExcretionPerHead_Title">_xlfn.LAMBDA("Nitrogen excretion per head per day")</definedName>
    <definedName name="MMS_Feedlot_N2O_Direct_Equations.VEERG_4_1_1_3__4_NitrogenExcretionPerHead_Unit">_xlfn.LAMBDA("kg N/head/day")</definedName>
    <definedName name="MMS_Feedlot_N2O_Direct_Equations.VEERG_4_1_1_3__4_NitrogenExcretionPerHead_Variable">_xlfn.LAMBDA("NE_j")</definedName>
    <definedName name="MMS_Feedlot_N2O_Direct_Equations.VEERG_4_1_1_3__5_NitrogenIntake">_xlfn.LAMBDA(_xlpm.I_j,_xlpm.CP_j, _xlpm.I_j * _xlpm.CP_j / 6.25)</definedName>
    <definedName name="MMS_Feedlot_N2O_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_Direct_Equations.VEERG_4_1_1_3__5_NitrogenIntake_LatexEquation">_xlfn.LAMBDA("NI_{j}=I_{j}\times CP_{j}\div 6.25")</definedName>
    <definedName name="MMS_Feedlot_N2O_Direct_Equations.VEERG_4_1_1_3__5_NitrogenIntake_NIRReference">_xlfn.LAMBDA("")</definedName>
    <definedName name="MMS_Feedlot_N2O_Direct_Equations.VEERG_4_1_1_3__5_NitrogenIntake_Source">_xlfn.LAMBDA("VEERG 2026: 4.1.1.3, Equation (5)")</definedName>
    <definedName name="MMS_Feedlot_N2O_Direct_Equations.VEERG_4_1_1_3__5_NitrogenIntake_Title">_xlfn.LAMBDA("Nitrogen intake of feedlot cattle")</definedName>
    <definedName name="MMS_Feedlot_N2O_Direct_Equations.VEERG_4_1_1_3__5_NitrogenIntake_Unit">_xlfn.LAMBDA("kg N/head/day")</definedName>
    <definedName name="MMS_Feedlot_N2O_Direct_Equations.VEERG_4_1_1_3__5_NitrogenIntake_Variable">_xlfn.LAMBDA("NI_j")</definedName>
    <definedName name="MMS_Feedlot_N2O_Direct_Equations.VEERG_4_1_1_3__6_Stage2NitrogenInMMS">_xlfn.LAMBDA(_xlpm.NT_jmT2,_xlpm.MMS_jmT2, _xlpm.NT_jmT2 * _xlpm.MMS_jmT2)</definedName>
    <definedName name="MMS_Feedlot_N2O_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_Direct_Equations.VEERG_4_1_1_3__6_Stage2NitrogenInMMS_LatexEquation">_xlfn.LAMBDA("MN_{jm,T=2}=NT_{jm,T=2}\times MMS_{jm,T=2}")</definedName>
    <definedName name="MMS_Feedlot_N2O_Direct_Equations.VEERG_4_1_1_3__6_Stage2NitrogenInMMS_NIRReference">_xlfn.LAMBDA("")</definedName>
    <definedName name="MMS_Feedlot_N2O_Direct_Equations.VEERG_4_1_1_3__6_Stage2NitrogenInMMS_Source">_xlfn.LAMBDA("VEERG 2026: 4.1.1.3, Equation (6)")</definedName>
    <definedName name="MMS_Feedlot_N2O_Direct_Equations.VEERG_4_1_1_3__6_Stage2NitrogenInMMS_Title">_xlfn.LAMBDA("Nitrogen in treatment stage 2 MMS")</definedName>
    <definedName name="MMS_Feedlot_N2O_Direct_Equations.VEERG_4_1_1_3__6_Stage2NitrogenInMMS_Unit">_xlfn.LAMBDA("kg N")</definedName>
    <definedName name="MMS_Feedlot_N2O_Direct_Equations.VEERG_4_1_1_3__6_Stage2NitrogenInMMS_Variable">_xlfn.LAMBDA("MN_jmT2")</definedName>
    <definedName name="MMS_Feedlot_N2O_Direct_Equations.VEERG_4_1_1_3__7_NitrogenTransferredToStage2">_xlfn.LAMBDA(_xlpm.MN_jm5T1,_xlpm.FracGASM_m5,_xlpm.EF_m5,_xlpm.MN_jmT3, (_xlpm.MN_jm5T1 * (1 - _xlpm.FracGASM_m5 - _xlpm.EF_m5)) - _xlpm.MN_jmT3)</definedName>
    <definedName name="MMS_Feedlot_N2O_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_Direct_Equations.VEERG_4_1_1_3__7_NitrogenTransferredToStage2_LatexEquation">_xlfn.LAMBDA("NT_{jm,T=2}=(MN_{jm=5,T=1}\times(1-FracGASM_{m=5}-EF_{m=5}))-MN_{jm,T=3}")</definedName>
    <definedName name="MMS_Feedlot_N2O_Direct_Equations.VEERG_4_1_1_3__7_NitrogenTransferredToStage2_NIRReference">_xlfn.LAMBDA("")</definedName>
    <definedName name="MMS_Feedlot_N2O_Direct_Equations.VEERG_4_1_1_3__7_NitrogenTransferredToStage2_Source">_xlfn.LAMBDA("VEERG 2026: 4.1.1.3, Equation (7)")</definedName>
    <definedName name="MMS_Feedlot_N2O_Direct_Equations.VEERG_4_1_1_3__7_NitrogenTransferredToStage2_Title">_xlfn.LAMBDA("Nitrogen transferred to treatment stage 2 MMS")</definedName>
    <definedName name="MMS_Feedlot_N2O_Direct_Equations.VEERG_4_1_1_3__7_NitrogenTransferredToStage2_Unit">_xlfn.LAMBDA("kg N")</definedName>
    <definedName name="MMS_Feedlot_N2O_Direct_Equations.VEERG_4_1_1_3__7_NitrogenTransferredToStage2_Variable">_xlfn.LAMBDA("NT_jmT2")</definedName>
    <definedName name="MMS_Feedlot_N2O_Direct_Equations.VEERG_4_1_1_3__8_Stage3NitrogenInMMSAnaerobicLagoon">_xlfn.LAMBDA(_xlpm.AE_j,_xlpm.MMS_jm1T3, _xlpm.AE_j * _xlpm.MMS_jm1T3)</definedName>
    <definedName name="MMS_Feedlot_N2O_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_Direct_Equations.VEERG_4_1_1_3__8_Stage3NitrogenInMMSAnaerobicLagoon_LatexEquation">_xlfn.LAMBDA("MN_{jm=1,T=3}=AE_{j}\times MMS_{jm=1,T=3}")</definedName>
    <definedName name="MMS_Feedlot_N2O_Direct_Equations.VEERG_4_1_1_3__8_Stage3NitrogenInMMSAnaerobicLagoon_NIRReference">_xlfn.LAMBDA("")</definedName>
    <definedName name="MMS_Feedlot_N2O_Direct_Equations.VEERG_4_1_1_3__8_Stage3NitrogenInMMSAnaerobicLagoon_Source">_xlfn.LAMBDA("VEERG 2026: 4.1.1.3, Equation (8)")</definedName>
    <definedName name="MMS_Feedlot_N2O_Direct_Equations.VEERG_4_1_1_3__8_Stage3NitrogenInMMSAnaerobicLagoon_Title">_xlfn.LAMBDA("Nitrogen in treatment stage 3 MMS")</definedName>
    <definedName name="MMS_Feedlot_N2O_Direct_Equations.VEERG_4_1_1_3__8_Stage3NitrogenInMMSAnaerobicLagoon_Unit">_xlfn.LAMBDA("kg N")</definedName>
    <definedName name="MMS_Feedlot_N2O_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5" l="1"/>
  <c r="H188" i="96" a="1"/>
  <c r="H188" i="96" s="1"/>
  <c r="G188" i="96" a="1"/>
  <c r="G188" i="96" s="1"/>
  <c r="F188" i="96" a="1"/>
  <c r="F188" i="96" s="1"/>
  <c r="E188" i="96" a="1"/>
  <c r="E188" i="96" s="1"/>
  <c r="D188" i="96" a="1"/>
  <c r="D188" i="96" s="1"/>
  <c r="H187" i="96" a="1"/>
  <c r="H187" i="96" s="1"/>
  <c r="G187" i="96" a="1"/>
  <c r="G187" i="96" s="1"/>
  <c r="F187" i="96" a="1"/>
  <c r="F187" i="96" s="1"/>
  <c r="E187" i="96" a="1"/>
  <c r="E187" i="96" s="1"/>
  <c r="D187" i="96" a="1"/>
  <c r="D187" i="96" s="1"/>
  <c r="H186" i="96" a="1"/>
  <c r="H186" i="96" s="1"/>
  <c r="G186" i="96" a="1"/>
  <c r="G186" i="96" s="1"/>
  <c r="F186" i="96" a="1"/>
  <c r="F186" i="96" s="1"/>
  <c r="E186" i="96" a="1"/>
  <c r="E186" i="96" s="1"/>
  <c r="D186" i="96" a="1"/>
  <c r="D186" i="96" s="1"/>
  <c r="H185" i="96" a="1"/>
  <c r="H185" i="96" s="1"/>
  <c r="G185" i="96" a="1"/>
  <c r="G185" i="96" s="1"/>
  <c r="F185" i="96" a="1"/>
  <c r="F185" i="96" s="1"/>
  <c r="E185" i="96" a="1"/>
  <c r="E185" i="96" s="1"/>
  <c r="D185" i="96" a="1"/>
  <c r="D185" i="96" s="1"/>
  <c r="H184" i="96" a="1"/>
  <c r="H184" i="96" s="1"/>
  <c r="G184" i="96" a="1"/>
  <c r="G184" i="96" s="1"/>
  <c r="F184" i="96" a="1"/>
  <c r="F184" i="96" s="1"/>
  <c r="E184" i="96" a="1"/>
  <c r="E184" i="96" s="1"/>
  <c r="D184" i="96" a="1"/>
  <c r="D184" i="96" s="1"/>
  <c r="H183" i="96" a="1"/>
  <c r="H183" i="96" s="1"/>
  <c r="G183" i="96" a="1"/>
  <c r="G183" i="96" s="1"/>
  <c r="F183" i="96" a="1"/>
  <c r="F183" i="96" s="1"/>
  <c r="E183" i="96" a="1"/>
  <c r="E183" i="96" s="1"/>
  <c r="D183" i="96" a="1"/>
  <c r="D183" i="96" s="1"/>
  <c r="H182" i="96" a="1"/>
  <c r="H182" i="96" s="1"/>
  <c r="G182" i="96" a="1"/>
  <c r="G182" i="96" s="1"/>
  <c r="F182" i="96" a="1"/>
  <c r="F182" i="96" s="1"/>
  <c r="E182" i="96" a="1"/>
  <c r="E182" i="96" s="1"/>
  <c r="D182" i="96" a="1"/>
  <c r="D182" i="96" s="1"/>
  <c r="H181" i="96" a="1"/>
  <c r="H181" i="96" s="1"/>
  <c r="G181" i="96" a="1"/>
  <c r="G181" i="96" s="1"/>
  <c r="F181" i="96" a="1"/>
  <c r="F181" i="96" s="1"/>
  <c r="E181" i="96" a="1"/>
  <c r="E181" i="96" s="1"/>
  <c r="D181" i="96" a="1"/>
  <c r="D181" i="96" s="1"/>
  <c r="H180" i="96" a="1"/>
  <c r="H180" i="96" s="1"/>
  <c r="G180" i="96" a="1"/>
  <c r="G180" i="96" s="1"/>
  <c r="F180" i="96" a="1"/>
  <c r="F180" i="96" s="1"/>
  <c r="E180" i="96" a="1"/>
  <c r="E180" i="96" s="1"/>
  <c r="D180" i="96" a="1"/>
  <c r="D180" i="96" s="1"/>
  <c r="H179" i="96" a="1"/>
  <c r="H179" i="96" s="1"/>
  <c r="G179" i="96" a="1"/>
  <c r="G179" i="96" s="1"/>
  <c r="F179" i="96" a="1"/>
  <c r="F179" i="96" s="1"/>
  <c r="E179" i="96" a="1"/>
  <c r="E179" i="96" s="1"/>
  <c r="D179" i="96" a="1"/>
  <c r="D179" i="96" s="1"/>
  <c r="H178" i="96" a="1"/>
  <c r="H178" i="96" s="1"/>
  <c r="G178" i="96" a="1"/>
  <c r="G178" i="96" s="1"/>
  <c r="F178" i="96" a="1"/>
  <c r="F178" i="96" s="1"/>
  <c r="E178" i="96" a="1"/>
  <c r="E178" i="96" s="1"/>
  <c r="D178" i="96" a="1"/>
  <c r="D178" i="96" s="1"/>
  <c r="H177" i="96" a="1"/>
  <c r="H177" i="96" s="1"/>
  <c r="G177" i="96" a="1"/>
  <c r="G177" i="96" s="1"/>
  <c r="F177" i="96" a="1"/>
  <c r="F177" i="96" s="1"/>
  <c r="E177" i="96" a="1"/>
  <c r="E177" i="96" s="1"/>
  <c r="D177" i="96" a="1"/>
  <c r="D177" i="96" s="1"/>
  <c r="H176" i="96" a="1"/>
  <c r="H176" i="96" s="1"/>
  <c r="G176" i="96" a="1"/>
  <c r="G176" i="96" s="1"/>
  <c r="F176" i="96" a="1"/>
  <c r="F176" i="96" s="1"/>
  <c r="E176" i="96" a="1"/>
  <c r="E176" i="96" s="1"/>
  <c r="D176" i="96" a="1"/>
  <c r="D176" i="96" s="1"/>
  <c r="D170" i="96" a="1"/>
  <c r="D170" i="96" s="1"/>
  <c r="D169" i="96" a="1"/>
  <c r="D169" i="96" s="1"/>
  <c r="D168" i="96" a="1"/>
  <c r="D168" i="96" s="1"/>
  <c r="D167" i="96" a="1"/>
  <c r="D167" i="96" s="1"/>
  <c r="E164" i="96" a="1"/>
  <c r="E164" i="96" s="1"/>
  <c r="D164" i="96" a="1"/>
  <c r="D164" i="96" s="1"/>
  <c r="D163" i="96" a="1"/>
  <c r="D163" i="96" s="1"/>
  <c r="D162" i="96" a="1"/>
  <c r="D162" i="96" s="1"/>
  <c r="D159" i="96" a="1"/>
  <c r="D159" i="96" s="1"/>
  <c r="D158" i="96" a="1"/>
  <c r="D158" i="96" s="1"/>
  <c r="D157" i="96" a="1"/>
  <c r="D157" i="96" s="1"/>
  <c r="D156" i="96" a="1"/>
  <c r="D156" i="96" s="1"/>
  <c r="D153" i="96" a="1"/>
  <c r="D153" i="96" s="1"/>
  <c r="D152" i="96" a="1"/>
  <c r="D152" i="96" s="1"/>
  <c r="D151" i="96" a="1"/>
  <c r="D151" i="96" s="1"/>
  <c r="D150" i="96" a="1"/>
  <c r="D150" i="96" s="1"/>
  <c r="E147" i="96" a="1"/>
  <c r="E147" i="96" s="1"/>
  <c r="D147" i="96" a="1"/>
  <c r="D147" i="96" s="1"/>
  <c r="E146" i="96" a="1"/>
  <c r="E146" i="96" s="1"/>
  <c r="D146" i="96" a="1"/>
  <c r="D146" i="96" s="1"/>
  <c r="E145" i="96" a="1"/>
  <c r="E145" i="96" s="1"/>
  <c r="D145" i="96" a="1"/>
  <c r="D145" i="96" s="1"/>
  <c r="E144" i="96" a="1"/>
  <c r="E144" i="96" s="1"/>
  <c r="D144" i="96" a="1"/>
  <c r="D144" i="96" s="1"/>
  <c r="E143" i="96" a="1"/>
  <c r="E143" i="96" s="1"/>
  <c r="D143" i="96" a="1"/>
  <c r="D143" i="96" s="1"/>
  <c r="D140" i="96" a="1"/>
  <c r="D140" i="96" s="1"/>
  <c r="D139" i="96" a="1"/>
  <c r="D139" i="96" s="1"/>
  <c r="E136" i="96" a="1"/>
  <c r="E136" i="96" s="1"/>
  <c r="D136" i="96" a="1"/>
  <c r="D136" i="96" s="1"/>
  <c r="E135" i="96" a="1"/>
  <c r="E135" i="96" s="1"/>
  <c r="D135" i="96" a="1"/>
  <c r="D135" i="96" s="1"/>
  <c r="D133" i="96" a="1"/>
  <c r="D133" i="96" s="1"/>
  <c r="D132" i="96" a="1"/>
  <c r="D132" i="96" s="1"/>
  <c r="E129" i="96" a="1"/>
  <c r="E129" i="96" s="1"/>
  <c r="D129" i="96" a="1"/>
  <c r="D129" i="96" s="1"/>
  <c r="E128" i="96" a="1"/>
  <c r="E128" i="96" s="1"/>
  <c r="D128" i="96" a="1"/>
  <c r="D128" i="96" s="1"/>
  <c r="D125" i="96" a="1"/>
  <c r="D125" i="96" s="1"/>
  <c r="D124" i="96" a="1"/>
  <c r="D124" i="96" s="1"/>
  <c r="G121" i="96" a="1"/>
  <c r="G121" i="96" s="1"/>
  <c r="F121" i="96" a="1"/>
  <c r="F121" i="96" s="1"/>
  <c r="E121" i="96" a="1"/>
  <c r="E121" i="96" s="1"/>
  <c r="D121" i="96" a="1"/>
  <c r="D121" i="96" s="1"/>
  <c r="G120" i="96" a="1"/>
  <c r="G120" i="96" s="1"/>
  <c r="F120" i="96" a="1"/>
  <c r="F120" i="96" s="1"/>
  <c r="E120" i="96" a="1"/>
  <c r="E120" i="96" s="1"/>
  <c r="D120" i="96" a="1"/>
  <c r="D120" i="96" s="1"/>
  <c r="D117" i="96" a="1"/>
  <c r="D117" i="96" s="1"/>
  <c r="D116" i="96" a="1"/>
  <c r="D116" i="96" s="1"/>
  <c r="D115" i="96" a="1"/>
  <c r="D115" i="96" s="1"/>
  <c r="G112" i="96" a="1"/>
  <c r="G112" i="96" s="1"/>
  <c r="F112" i="96" a="1"/>
  <c r="F112" i="96" s="1"/>
  <c r="E112" i="96" a="1"/>
  <c r="E112" i="96" s="1"/>
  <c r="D112" i="96" a="1"/>
  <c r="D112" i="96" s="1"/>
  <c r="G111" i="96" a="1"/>
  <c r="G111" i="96" s="1"/>
  <c r="F111" i="96" a="1"/>
  <c r="F111" i="96" s="1"/>
  <c r="E111" i="96" a="1"/>
  <c r="E111" i="96" s="1"/>
  <c r="D111" i="96" a="1"/>
  <c r="D111" i="96" s="1"/>
  <c r="G110" i="96" a="1"/>
  <c r="G110" i="96" s="1"/>
  <c r="F110" i="96" a="1"/>
  <c r="F110" i="96" s="1"/>
  <c r="E110" i="96" a="1"/>
  <c r="E110" i="96" s="1"/>
  <c r="D110" i="96" a="1"/>
  <c r="D110" i="96" s="1"/>
  <c r="D107" i="96" a="1"/>
  <c r="D107" i="96" s="1"/>
  <c r="D106" i="96" a="1"/>
  <c r="D106" i="96" s="1"/>
  <c r="D105" i="96" a="1"/>
  <c r="D105" i="96" s="1"/>
  <c r="D98" i="96" a="1"/>
  <c r="D98" i="96" s="1"/>
  <c r="S97" i="96" a="1"/>
  <c r="S97" i="96" s="1"/>
  <c r="R97" i="96" a="1"/>
  <c r="R97" i="96" s="1"/>
  <c r="Q97" i="96" a="1"/>
  <c r="Q97" i="96" s="1"/>
  <c r="P97" i="96" a="1"/>
  <c r="P97" i="96" s="1"/>
  <c r="O97" i="96" a="1"/>
  <c r="O97" i="96" s="1"/>
  <c r="N97" i="96" a="1"/>
  <c r="N97" i="96" s="1"/>
  <c r="M97" i="96" a="1"/>
  <c r="M97" i="96" s="1"/>
  <c r="L97" i="96" a="1"/>
  <c r="L97" i="96" s="1"/>
  <c r="K97" i="96" a="1"/>
  <c r="K97" i="96" s="1"/>
  <c r="J97" i="96" a="1"/>
  <c r="J97" i="96" s="1"/>
  <c r="I97" i="96" a="1"/>
  <c r="I97" i="96" s="1"/>
  <c r="H97" i="96" a="1"/>
  <c r="H97" i="96" s="1"/>
  <c r="G97" i="96" a="1"/>
  <c r="G97" i="96" s="1"/>
  <c r="F97" i="96" a="1"/>
  <c r="F97" i="96" s="1"/>
  <c r="E97" i="96" a="1"/>
  <c r="E97" i="96" s="1"/>
  <c r="D97" i="96" a="1"/>
  <c r="D97" i="96" s="1"/>
  <c r="S96" i="96" a="1"/>
  <c r="S96" i="96" s="1"/>
  <c r="R96" i="96" a="1"/>
  <c r="R96" i="96" s="1"/>
  <c r="Q96" i="96" a="1"/>
  <c r="Q96" i="96" s="1"/>
  <c r="P96" i="96" a="1"/>
  <c r="P96" i="96" s="1"/>
  <c r="O96" i="96" a="1"/>
  <c r="O96" i="96" s="1"/>
  <c r="N96" i="96" a="1"/>
  <c r="N96" i="96" s="1"/>
  <c r="M96" i="96" a="1"/>
  <c r="M96" i="96" s="1"/>
  <c r="L96" i="96" a="1"/>
  <c r="L96" i="96" s="1"/>
  <c r="K96" i="96" a="1"/>
  <c r="K96" i="96" s="1"/>
  <c r="J96" i="96" a="1"/>
  <c r="J96" i="96" s="1"/>
  <c r="I96" i="96" a="1"/>
  <c r="I96" i="96" s="1"/>
  <c r="H96" i="96" a="1"/>
  <c r="H96" i="96" s="1"/>
  <c r="G96" i="96" a="1"/>
  <c r="G96" i="96" s="1"/>
  <c r="F96" i="96" a="1"/>
  <c r="F96" i="96" s="1"/>
  <c r="E96" i="96" a="1"/>
  <c r="E96" i="96" s="1"/>
  <c r="D96" i="96" a="1"/>
  <c r="D96" i="96" s="1"/>
  <c r="S95" i="96" a="1"/>
  <c r="S95" i="96" s="1"/>
  <c r="R95" i="96" a="1"/>
  <c r="R95" i="96" s="1"/>
  <c r="Q95" i="96" a="1"/>
  <c r="Q95" i="96" s="1"/>
  <c r="P95" i="96" a="1"/>
  <c r="P95" i="96" s="1"/>
  <c r="O95" i="96" a="1"/>
  <c r="O95" i="96" s="1"/>
  <c r="N95" i="96" a="1"/>
  <c r="N95" i="96" s="1"/>
  <c r="M95" i="96" a="1"/>
  <c r="M95" i="96" s="1"/>
  <c r="L95" i="96" a="1"/>
  <c r="L95" i="96" s="1"/>
  <c r="K95" i="96" a="1"/>
  <c r="K95" i="96" s="1"/>
  <c r="J95" i="96" a="1"/>
  <c r="J95" i="96" s="1"/>
  <c r="I95" i="96" a="1"/>
  <c r="I95" i="96" s="1"/>
  <c r="H95" i="96" a="1"/>
  <c r="H95" i="96" s="1"/>
  <c r="G95" i="96" a="1"/>
  <c r="G95" i="96" s="1"/>
  <c r="F95" i="96" a="1"/>
  <c r="F95" i="96" s="1"/>
  <c r="E95" i="96" a="1"/>
  <c r="E95" i="96" s="1"/>
  <c r="D95" i="96" a="1"/>
  <c r="D95" i="96" s="1"/>
  <c r="S94" i="96" a="1"/>
  <c r="S94" i="96" s="1"/>
  <c r="R94" i="96" a="1"/>
  <c r="R94" i="96" s="1"/>
  <c r="Q94" i="96" a="1"/>
  <c r="Q94" i="96" s="1"/>
  <c r="P94" i="96" a="1"/>
  <c r="P94" i="96" s="1"/>
  <c r="O94" i="96" a="1"/>
  <c r="O94" i="96" s="1"/>
  <c r="N94" i="96" a="1"/>
  <c r="N94" i="96" s="1"/>
  <c r="M94" i="96" a="1"/>
  <c r="M94" i="96" s="1"/>
  <c r="L94" i="96" a="1"/>
  <c r="L94" i="96" s="1"/>
  <c r="K94" i="96" a="1"/>
  <c r="K94" i="96" s="1"/>
  <c r="J94" i="96" a="1"/>
  <c r="J94" i="96" s="1"/>
  <c r="I94" i="96" a="1"/>
  <c r="I94" i="96" s="1"/>
  <c r="H94" i="96" a="1"/>
  <c r="H94" i="96" s="1"/>
  <c r="G94" i="96" a="1"/>
  <c r="G94" i="96" s="1"/>
  <c r="F94" i="96" a="1"/>
  <c r="F94" i="96" s="1"/>
  <c r="E94" i="96" a="1"/>
  <c r="E94" i="96" s="1"/>
  <c r="D94" i="96" a="1"/>
  <c r="D94" i="96" s="1"/>
  <c r="S93" i="96" a="1"/>
  <c r="S93" i="96" s="1"/>
  <c r="R93" i="96" a="1"/>
  <c r="R93" i="96" s="1"/>
  <c r="Q93" i="96" a="1"/>
  <c r="Q93" i="96" s="1"/>
  <c r="P93" i="96" a="1"/>
  <c r="P93" i="96" s="1"/>
  <c r="O93" i="96" a="1"/>
  <c r="O93" i="96" s="1"/>
  <c r="N93" i="96" a="1"/>
  <c r="N93" i="96" s="1"/>
  <c r="M93" i="96" a="1"/>
  <c r="M93" i="96" s="1"/>
  <c r="L93" i="96" a="1"/>
  <c r="L93" i="96" s="1"/>
  <c r="K93" i="96" a="1"/>
  <c r="K93" i="96" s="1"/>
  <c r="J93" i="96" a="1"/>
  <c r="J93" i="96" s="1"/>
  <c r="I93" i="96" a="1"/>
  <c r="I93" i="96" s="1"/>
  <c r="H93" i="96" a="1"/>
  <c r="H93" i="96" s="1"/>
  <c r="G93" i="96" a="1"/>
  <c r="G93" i="96" s="1"/>
  <c r="F93" i="96" a="1"/>
  <c r="F93" i="96" s="1"/>
  <c r="E93" i="96" a="1"/>
  <c r="E93" i="96" s="1"/>
  <c r="D93" i="96" a="1"/>
  <c r="D93" i="96" s="1"/>
  <c r="S92" i="96" a="1"/>
  <c r="S92" i="96" s="1"/>
  <c r="R92" i="96" a="1"/>
  <c r="R92" i="96" s="1"/>
  <c r="Q92" i="96" a="1"/>
  <c r="Q92" i="96" s="1"/>
  <c r="P92" i="96" a="1"/>
  <c r="P92" i="96" s="1"/>
  <c r="O92" i="96" a="1"/>
  <c r="O92" i="96" s="1"/>
  <c r="N92" i="96" a="1"/>
  <c r="N92" i="96" s="1"/>
  <c r="M92" i="96" a="1"/>
  <c r="M92" i="96" s="1"/>
  <c r="L92" i="96" a="1"/>
  <c r="L92" i="96" s="1"/>
  <c r="K92" i="96" a="1"/>
  <c r="K92" i="96" s="1"/>
  <c r="J92" i="96" a="1"/>
  <c r="J92" i="96" s="1"/>
  <c r="I92" i="96" a="1"/>
  <c r="I92" i="96" s="1"/>
  <c r="H92" i="96" a="1"/>
  <c r="H92" i="96" s="1"/>
  <c r="G92" i="96" a="1"/>
  <c r="G92" i="96" s="1"/>
  <c r="F92" i="96" a="1"/>
  <c r="F92" i="96" s="1"/>
  <c r="E92" i="96" a="1"/>
  <c r="E92" i="96" s="1"/>
  <c r="D92" i="96" a="1"/>
  <c r="D92" i="96" s="1"/>
  <c r="S91" i="96" a="1"/>
  <c r="S91" i="96" s="1"/>
  <c r="R91" i="96" a="1"/>
  <c r="R91" i="96" s="1"/>
  <c r="Q91" i="96" a="1"/>
  <c r="Q91" i="96" s="1"/>
  <c r="P91" i="96" a="1"/>
  <c r="P91" i="96" s="1"/>
  <c r="O91" i="96" a="1"/>
  <c r="O91" i="96" s="1"/>
  <c r="N91" i="96" a="1"/>
  <c r="N91" i="96" s="1"/>
  <c r="M91" i="96" a="1"/>
  <c r="M91" i="96" s="1"/>
  <c r="L91" i="96" a="1"/>
  <c r="L91" i="96" s="1"/>
  <c r="K91" i="96" a="1"/>
  <c r="K91" i="96" s="1"/>
  <c r="J91" i="96" a="1"/>
  <c r="J91" i="96" s="1"/>
  <c r="I91" i="96" a="1"/>
  <c r="I91" i="96" s="1"/>
  <c r="H91" i="96" a="1"/>
  <c r="H91" i="96" s="1"/>
  <c r="G91" i="96" a="1"/>
  <c r="G91" i="96" s="1"/>
  <c r="F91" i="96" a="1"/>
  <c r="F91" i="96" s="1"/>
  <c r="E91" i="96" a="1"/>
  <c r="E91" i="96" s="1"/>
  <c r="D91" i="96" a="1"/>
  <c r="D91" i="96" s="1"/>
  <c r="S90" i="96" a="1"/>
  <c r="S90" i="96" s="1"/>
  <c r="R90" i="96" a="1"/>
  <c r="R90" i="96" s="1"/>
  <c r="Q90" i="96" a="1"/>
  <c r="Q90" i="96" s="1"/>
  <c r="P90" i="96" a="1"/>
  <c r="P90" i="96" s="1"/>
  <c r="O90" i="96" a="1"/>
  <c r="O90" i="96" s="1"/>
  <c r="N90" i="96" a="1"/>
  <c r="N90" i="96" s="1"/>
  <c r="M90" i="96" a="1"/>
  <c r="M90" i="96" s="1"/>
  <c r="L90" i="96" a="1"/>
  <c r="L90" i="96" s="1"/>
  <c r="K90" i="96" a="1"/>
  <c r="K90" i="96" s="1"/>
  <c r="J90" i="96" a="1"/>
  <c r="J90" i="96" s="1"/>
  <c r="I90" i="96" a="1"/>
  <c r="I90" i="96" s="1"/>
  <c r="H90" i="96" a="1"/>
  <c r="H90" i="96" s="1"/>
  <c r="G90" i="96" a="1"/>
  <c r="G90" i="96" s="1"/>
  <c r="F90" i="96" a="1"/>
  <c r="F90" i="96" s="1"/>
  <c r="E90" i="96" a="1"/>
  <c r="E90" i="96" s="1"/>
  <c r="D90" i="96" a="1"/>
  <c r="D90" i="96" s="1"/>
  <c r="D83" i="96" a="1"/>
  <c r="D83" i="96" s="1"/>
  <c r="D82" i="96" a="1"/>
  <c r="D82" i="96" s="1"/>
  <c r="D81" i="96" a="1"/>
  <c r="D81" i="96" s="1"/>
  <c r="E77" i="96" a="1"/>
  <c r="E77" i="96" s="1"/>
  <c r="D77" i="96" a="1"/>
  <c r="D77" i="96" s="1"/>
  <c r="E76" i="96" a="1"/>
  <c r="E76" i="96" s="1"/>
  <c r="D76" i="96" a="1"/>
  <c r="D76" i="96" s="1"/>
  <c r="E75" i="96" a="1"/>
  <c r="E75" i="96" s="1"/>
  <c r="D75" i="96" a="1"/>
  <c r="D75" i="96" s="1"/>
  <c r="E74" i="96" a="1"/>
  <c r="E74" i="96" s="1"/>
  <c r="D74" i="96" a="1"/>
  <c r="D74" i="96" s="1"/>
  <c r="E73" i="96" a="1"/>
  <c r="E73" i="96" s="1"/>
  <c r="D73" i="96" a="1"/>
  <c r="D73" i="96" s="1"/>
  <c r="E72" i="96" a="1"/>
  <c r="E72" i="96" s="1"/>
  <c r="D72" i="96" a="1"/>
  <c r="D72" i="96" s="1"/>
  <c r="E71" i="96" a="1"/>
  <c r="E71" i="96" s="1"/>
  <c r="D71" i="96" a="1"/>
  <c r="D71" i="96" s="1"/>
  <c r="E70" i="96" a="1"/>
  <c r="E70" i="96" s="1"/>
  <c r="D70" i="96" a="1"/>
  <c r="D70" i="96" s="1"/>
  <c r="E69" i="96" a="1"/>
  <c r="E69" i="96" s="1"/>
  <c r="D69" i="96" a="1"/>
  <c r="D69" i="96" s="1"/>
  <c r="E68" i="96" a="1"/>
  <c r="E68" i="96" s="1"/>
  <c r="D68" i="96" a="1"/>
  <c r="D68" i="96" s="1"/>
  <c r="E67" i="96" a="1"/>
  <c r="E67" i="96" s="1"/>
  <c r="D67" i="96" a="1"/>
  <c r="D67" i="96" s="1"/>
  <c r="E66" i="96" a="1"/>
  <c r="E66" i="96" s="1"/>
  <c r="D66" i="96" a="1"/>
  <c r="D66" i="96" s="1"/>
  <c r="E65" i="96" a="1"/>
  <c r="E65" i="96" s="1"/>
  <c r="D65" i="96" a="1"/>
  <c r="D65" i="96" s="1"/>
  <c r="E64" i="96" a="1"/>
  <c r="E64" i="96" s="1"/>
  <c r="D64" i="96" a="1"/>
  <c r="D64" i="96" s="1"/>
  <c r="D59" i="96" a="1"/>
  <c r="D59" i="96" s="1"/>
  <c r="D58" i="96" a="1"/>
  <c r="D58" i="96" s="1"/>
  <c r="D57" i="96" a="1"/>
  <c r="D57" i="96" s="1"/>
  <c r="G54" i="96" a="1"/>
  <c r="G54" i="96" s="1"/>
  <c r="F54" i="96" a="1"/>
  <c r="F54" i="96" s="1"/>
  <c r="E54" i="96" a="1"/>
  <c r="E54" i="96" s="1"/>
  <c r="D54" i="96" a="1"/>
  <c r="D54" i="96" s="1"/>
  <c r="G53" i="96" a="1"/>
  <c r="G53" i="96" s="1"/>
  <c r="F53" i="96" a="1"/>
  <c r="F53" i="96" s="1"/>
  <c r="E53" i="96" a="1"/>
  <c r="E53" i="96" s="1"/>
  <c r="D53" i="96" a="1"/>
  <c r="D53" i="96" s="1"/>
  <c r="G52" i="96" a="1"/>
  <c r="G52" i="96" s="1"/>
  <c r="F52" i="96" a="1"/>
  <c r="F52" i="96" s="1"/>
  <c r="E52" i="96" a="1"/>
  <c r="E52" i="96" s="1"/>
  <c r="D52" i="96" a="1"/>
  <c r="D52" i="96" s="1"/>
  <c r="G51" i="96" a="1"/>
  <c r="G51" i="96" s="1"/>
  <c r="F51" i="96" a="1"/>
  <c r="F51" i="96" s="1"/>
  <c r="E51" i="96" a="1"/>
  <c r="E51" i="96" s="1"/>
  <c r="D51" i="96" a="1"/>
  <c r="D51" i="96" s="1"/>
  <c r="G50" i="96" a="1"/>
  <c r="G50" i="96" s="1"/>
  <c r="F50" i="96" a="1"/>
  <c r="F50" i="96" s="1"/>
  <c r="E50" i="96" a="1"/>
  <c r="E50" i="96" s="1"/>
  <c r="D50" i="96" a="1"/>
  <c r="D50" i="96" s="1"/>
  <c r="G49" i="96" a="1"/>
  <c r="G49" i="96" s="1"/>
  <c r="F49" i="96" a="1"/>
  <c r="F49" i="96" s="1"/>
  <c r="E49" i="96" a="1"/>
  <c r="E49" i="96" s="1"/>
  <c r="D49" i="96" a="1"/>
  <c r="D49" i="96" s="1"/>
  <c r="G48" i="96" a="1"/>
  <c r="G48" i="96" s="1"/>
  <c r="F48" i="96" a="1"/>
  <c r="F48" i="96" s="1"/>
  <c r="E48" i="96" a="1"/>
  <c r="E48" i="96" s="1"/>
  <c r="D48" i="96" a="1"/>
  <c r="D48" i="96" s="1"/>
  <c r="D46" i="96" a="1"/>
  <c r="D46" i="96" s="1"/>
  <c r="D45" i="96" a="1"/>
  <c r="D45" i="96" s="1"/>
  <c r="E43" i="96" a="1"/>
  <c r="E43" i="96" s="1"/>
  <c r="D43" i="96" a="1"/>
  <c r="D43" i="96" s="1"/>
  <c r="E42" i="96" a="1"/>
  <c r="E42" i="96" s="1"/>
  <c r="D42" i="96" a="1"/>
  <c r="D42" i="96" s="1"/>
  <c r="E41" i="96" a="1"/>
  <c r="E41" i="96" s="1"/>
  <c r="D41" i="96" a="1"/>
  <c r="D41" i="96" s="1"/>
  <c r="E40" i="96" a="1"/>
  <c r="E40" i="96" s="1"/>
  <c r="D40" i="96" a="1"/>
  <c r="D40" i="96" s="1"/>
  <c r="E39" i="96" a="1"/>
  <c r="E39" i="96" s="1"/>
  <c r="D39" i="96" a="1"/>
  <c r="D39" i="96" s="1"/>
  <c r="E38" i="96" a="1"/>
  <c r="E38" i="96" s="1"/>
  <c r="D38" i="96" a="1"/>
  <c r="D38" i="96" s="1"/>
  <c r="E37" i="96" a="1"/>
  <c r="E37" i="96" s="1"/>
  <c r="D37" i="96" a="1"/>
  <c r="D37" i="96" s="1"/>
  <c r="D35" i="96"/>
  <c r="D35" i="96" a="1"/>
  <c r="D34" i="96"/>
  <c r="D34" i="96" a="1"/>
  <c r="D30" i="96" a="1"/>
  <c r="D30" i="96" s="1"/>
  <c r="D29" i="96" a="1"/>
  <c r="D29" i="96" s="1"/>
  <c r="D28" i="96" a="1"/>
  <c r="D28" i="96" s="1"/>
  <c r="D27" i="96" a="1"/>
  <c r="D27" i="96" s="1"/>
  <c r="D26" i="96" a="1"/>
  <c r="D26" i="96" s="1"/>
  <c r="D25" i="96" a="1"/>
  <c r="D25" i="96" s="1"/>
  <c r="D24" i="96" a="1"/>
  <c r="D24" i="96" s="1"/>
  <c r="D23" i="96" a="1"/>
  <c r="D23" i="96" s="1"/>
  <c r="D22" i="96" a="1"/>
  <c r="D22" i="96" s="1"/>
  <c r="D21" i="96" a="1"/>
  <c r="D21" i="96" s="1"/>
  <c r="D19" i="96" a="1"/>
  <c r="D19" i="96" s="1"/>
  <c r="D18" i="96" a="1"/>
  <c r="D18" i="96" s="1"/>
  <c r="F14" i="96" a="1"/>
  <c r="F14" i="96" s="1"/>
  <c r="E14" i="96" a="1"/>
  <c r="E14" i="96" s="1"/>
  <c r="D14" i="96" a="1"/>
  <c r="D14" i="96" s="1"/>
  <c r="F13" i="96" a="1"/>
  <c r="F13" i="96" s="1"/>
  <c r="E13" i="96" a="1"/>
  <c r="E13" i="96" s="1"/>
  <c r="D13" i="96" a="1"/>
  <c r="D13" i="96" s="1"/>
  <c r="F12" i="96" a="1"/>
  <c r="F12" i="96" s="1"/>
  <c r="E12" i="96" a="1"/>
  <c r="E12" i="96" s="1"/>
  <c r="D12" i="96" a="1"/>
  <c r="D12" i="96" s="1"/>
  <c r="F11" i="96" a="1"/>
  <c r="F11" i="96" s="1"/>
  <c r="E11" i="96" a="1"/>
  <c r="E11" i="96" s="1"/>
  <c r="D11" i="96" a="1"/>
  <c r="D11" i="96" s="1"/>
  <c r="F10" i="96" a="1"/>
  <c r="F10" i="96" s="1"/>
  <c r="E10" i="96" a="1"/>
  <c r="E10" i="96" s="1"/>
  <c r="D10" i="96" a="1"/>
  <c r="D10" i="96" s="1"/>
  <c r="F9" i="96" a="1"/>
  <c r="F9" i="96" s="1"/>
  <c r="E9" i="96" a="1"/>
  <c r="E9" i="96" s="1"/>
  <c r="D9" i="96" a="1"/>
  <c r="D9" i="96" s="1"/>
  <c r="F8" i="96" a="1"/>
  <c r="F8" i="96" s="1"/>
  <c r="E8" i="96" a="1"/>
  <c r="E8" i="96" s="1"/>
  <c r="D8" i="96" a="1"/>
  <c r="D8" i="96" s="1"/>
  <c r="F7" i="96" a="1"/>
  <c r="F7" i="96" s="1"/>
  <c r="E7" i="96" a="1"/>
  <c r="E7" i="96" s="1"/>
  <c r="D7" i="96" a="1"/>
  <c r="D7" i="96" s="1"/>
  <c r="D5" i="96" a="1"/>
  <c r="D5" i="96" s="1"/>
  <c r="E30" i="15" a="1"/>
  <c r="E30" i="15" s="1"/>
  <c r="G55" i="82" a="1"/>
  <c r="G55" i="82" s="1"/>
  <c r="O210" i="76" a="1"/>
  <c r="O210" i="76" s="1"/>
  <c r="G210" i="76" a="1"/>
  <c r="G210" i="76" s="1"/>
  <c r="G189" i="76" a="1"/>
  <c r="G189" i="76" s="1"/>
  <c r="D46" i="82" a="1"/>
  <c r="D46" i="82" s="1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A39" i="82"/>
  <c r="A38" i="82"/>
  <c r="A37" i="82"/>
  <c r="A36" i="82"/>
  <c r="A33" i="82"/>
  <c r="A30" i="82"/>
  <c r="A29" i="82"/>
  <c r="A28" i="82"/>
  <c r="A27" i="82"/>
  <c r="A26" i="82"/>
  <c r="A25" i="82"/>
  <c r="A24" i="82"/>
  <c r="A19" i="82"/>
  <c r="A18" i="82"/>
  <c r="A15" i="82"/>
  <c r="A14" i="82"/>
  <c r="A13" i="82"/>
  <c r="A12" i="82"/>
  <c r="A11" i="82"/>
  <c r="A10" i="82"/>
  <c r="A9" i="82"/>
  <c r="A8" i="82"/>
  <c r="A7" i="82"/>
  <c r="A4" i="82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58" i="70"/>
  <c r="D53" i="70"/>
  <c r="D48" i="70"/>
  <c r="D60" i="70"/>
  <c r="D6" i="81" a="1"/>
  <c r="D6" i="81" s="1"/>
  <c r="G47" i="81"/>
  <c r="F47" i="81"/>
  <c r="G59" i="70"/>
  <c r="F59" i="70"/>
  <c r="E59" i="70"/>
  <c r="E47" i="81" s="1"/>
  <c r="G36" i="70"/>
  <c r="F36" i="70"/>
  <c r="E36" i="70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A39" i="81"/>
  <c r="A38" i="81"/>
  <c r="A37" i="81"/>
  <c r="A36" i="81"/>
  <c r="A33" i="81"/>
  <c r="A30" i="81"/>
  <c r="A29" i="81"/>
  <c r="A28" i="81"/>
  <c r="A27" i="81"/>
  <c r="A26" i="81"/>
  <c r="A25" i="81"/>
  <c r="A24" i="81"/>
  <c r="A19" i="81"/>
  <c r="A18" i="81"/>
  <c r="A15" i="81"/>
  <c r="A14" i="81"/>
  <c r="A13" i="81"/>
  <c r="A12" i="81"/>
  <c r="A11" i="81"/>
  <c r="A10" i="81"/>
  <c r="A9" i="81"/>
  <c r="A8" i="81"/>
  <c r="A7" i="81"/>
  <c r="A4" i="81"/>
  <c r="O169" i="69" a="1"/>
  <c r="O169" i="69" s="1"/>
  <c r="H8" i="13" s="1"/>
  <c r="M166" i="69" a="1"/>
  <c r="M166" i="69" s="1"/>
  <c r="N158" i="69"/>
  <c r="N145" i="69"/>
  <c r="M57" i="69"/>
  <c r="N212" i="76" a="1"/>
  <c r="N212" i="76" s="1"/>
  <c r="H10" i="13" s="1"/>
  <c r="L209" i="76" a="1"/>
  <c r="L209" i="76" s="1"/>
  <c r="L202" i="76"/>
  <c r="D209" i="76" a="1"/>
  <c r="D209" i="76" s="1"/>
  <c r="F212" i="76" a="1"/>
  <c r="F212" i="76" s="1"/>
  <c r="H9" i="13" s="1"/>
  <c r="D202" i="76"/>
  <c r="G188" i="76"/>
  <c r="D194" i="76"/>
  <c r="G187" i="76"/>
  <c r="E7" i="82" a="1"/>
  <c r="E62" i="81" a="1"/>
  <c r="E180" i="76" a="1"/>
  <c r="E7" i="81" a="1"/>
  <c r="E47" i="82" a="1"/>
  <c r="H49" i="96" l="1"/>
  <c r="H50" i="96"/>
  <c r="H48" i="96"/>
  <c r="H52" i="96"/>
  <c r="H51" i="96"/>
  <c r="H54" i="96"/>
  <c r="H53" i="96"/>
  <c r="H36" i="82"/>
  <c r="H38" i="82"/>
  <c r="H39" i="82"/>
  <c r="H53" i="81"/>
  <c r="H37" i="82"/>
  <c r="N41" i="82"/>
  <c r="P121" i="81"/>
  <c r="E47" i="82"/>
  <c r="E7" i="82"/>
  <c r="F123" i="8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N104" i="81"/>
  <c r="F56" i="81"/>
  <c r="E180" i="76"/>
  <c r="D179" i="76" l="1" a="1"/>
  <c r="D179" i="76" s="1"/>
  <c r="E185" i="76" a="1"/>
  <c r="E185" i="76" s="1"/>
  <c r="E184" i="76" a="1"/>
  <c r="E184" i="76" s="1"/>
  <c r="D187" i="76" a="1"/>
  <c r="D187" i="76" s="1"/>
  <c r="D178" i="76" a="1"/>
  <c r="D178" i="76" s="1"/>
  <c r="G161" i="76"/>
  <c r="G144" i="76"/>
  <c r="D153" i="76" a="1"/>
  <c r="D153" i="76" s="1"/>
  <c r="G119" i="76"/>
  <c r="G118" i="76"/>
  <c r="G95" i="76"/>
  <c r="D111" i="76" a="1"/>
  <c r="D111" i="76" s="1"/>
  <c r="E115" i="76" a="1"/>
  <c r="E115" i="76" s="1"/>
  <c r="E116" i="76" a="1"/>
  <c r="E116" i="76" s="1"/>
  <c r="G149" i="76" s="1"/>
  <c r="D118" i="76" a="1"/>
  <c r="D118" i="76" s="1"/>
  <c r="D110" i="76" a="1"/>
  <c r="D110" i="76" s="1"/>
  <c r="G141" i="76"/>
  <c r="D134" i="76" a="1"/>
  <c r="D134" i="76" s="1"/>
  <c r="E138" i="76" a="1"/>
  <c r="E138" i="76" s="1"/>
  <c r="E139" i="76" a="1"/>
  <c r="E139" i="76" s="1"/>
  <c r="D141" i="76" a="1"/>
  <c r="D141" i="76" s="1"/>
  <c r="D133" i="76" a="1"/>
  <c r="D133" i="76" s="1"/>
  <c r="G162" i="76"/>
  <c r="G168" i="76"/>
  <c r="F168" i="76"/>
  <c r="E168" i="76"/>
  <c r="G167" i="76"/>
  <c r="F167" i="76"/>
  <c r="E167" i="76"/>
  <c r="H81" i="69"/>
  <c r="H80" i="69"/>
  <c r="G81" i="69"/>
  <c r="G80" i="69"/>
  <c r="F81" i="69"/>
  <c r="F80" i="69"/>
  <c r="D154" i="76" a="1"/>
  <c r="D154" i="76" s="1"/>
  <c r="E158" i="76" a="1"/>
  <c r="E158" i="76" s="1"/>
  <c r="E159" i="76" a="1"/>
  <c r="E159" i="76" s="1"/>
  <c r="D161" i="76" a="1"/>
  <c r="D161" i="76" s="1"/>
  <c r="L106" i="76"/>
  <c r="E101" i="76"/>
  <c r="D106" i="76"/>
  <c r="G96" i="76"/>
  <c r="G101" i="76"/>
  <c r="F101" i="76"/>
  <c r="D101" i="76"/>
  <c r="D88" i="76" a="1"/>
  <c r="D88" i="76" s="1"/>
  <c r="E92" i="76" a="1"/>
  <c r="E92" i="76" s="1"/>
  <c r="E93" i="76" a="1"/>
  <c r="E93" i="76" s="1"/>
  <c r="P106" i="76" s="1"/>
  <c r="D95" i="76" a="1"/>
  <c r="D95" i="76" s="1"/>
  <c r="D87" i="76" a="1"/>
  <c r="D87" i="76" s="1"/>
  <c r="G66" i="76"/>
  <c r="F73" i="76"/>
  <c r="E73" i="76"/>
  <c r="D73" i="76"/>
  <c r="G68" i="76"/>
  <c r="F78" i="76"/>
  <c r="E78" i="76"/>
  <c r="D78" i="76"/>
  <c r="G67" i="76"/>
  <c r="D59" i="76" a="1"/>
  <c r="D59" i="76" s="1"/>
  <c r="E63" i="76" a="1"/>
  <c r="E63" i="76" s="1"/>
  <c r="E64" i="76" a="1"/>
  <c r="E64" i="76" s="1"/>
  <c r="O83" i="76" s="1"/>
  <c r="D66" i="76" a="1"/>
  <c r="D66" i="76" s="1"/>
  <c r="D58" i="76" a="1"/>
  <c r="D58" i="76" s="1"/>
  <c r="G44" i="76"/>
  <c r="G43" i="76"/>
  <c r="D35" i="76" a="1"/>
  <c r="D35" i="76" s="1"/>
  <c r="E41" i="76" a="1"/>
  <c r="E41" i="76" s="1"/>
  <c r="O54" i="76" s="1"/>
  <c r="E40" i="76" a="1"/>
  <c r="E40" i="76" s="1"/>
  <c r="D43" i="76" a="1"/>
  <c r="D43" i="76" s="1"/>
  <c r="D34" i="76" a="1"/>
  <c r="D34" i="76" s="1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D6" i="76" a="1"/>
  <c r="D6" i="76" s="1"/>
  <c r="E11" i="76" a="1"/>
  <c r="E11" i="76" s="1"/>
  <c r="O30" i="76" s="1"/>
  <c r="E10" i="76" a="1"/>
  <c r="E10" i="76" s="1"/>
  <c r="D13" i="76" a="1"/>
  <c r="D13" i="76" s="1"/>
  <c r="D5" i="76" a="1"/>
  <c r="D5" i="76" s="1"/>
  <c r="A17" i="76"/>
  <c r="A16" i="76"/>
  <c r="A15" i="76"/>
  <c r="A11" i="76"/>
  <c r="A8" i="76"/>
  <c r="A7" i="76"/>
  <c r="A4" i="76"/>
  <c r="A3" i="76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7" i="76" a="1"/>
  <c r="E36" i="76" a="1"/>
  <c r="E60" i="76" a="1"/>
  <c r="E89" i="76" a="1"/>
  <c r="E112" i="76" a="1"/>
  <c r="E155" i="76" a="1"/>
  <c r="E135" i="76" a="1"/>
  <c r="H129" i="76" l="1"/>
  <c r="E28" i="82"/>
  <c r="E194" i="76"/>
  <c r="E29" i="81"/>
  <c r="G17" i="70" a="1"/>
  <c r="G17" i="70" s="1"/>
  <c r="F49" i="76" s="1"/>
  <c r="E20" i="70" a="1"/>
  <c r="E20" i="70" s="1"/>
  <c r="E37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4" i="76"/>
  <c r="P173" i="76"/>
  <c r="H173" i="76"/>
  <c r="H174" i="76"/>
  <c r="P129" i="76"/>
  <c r="O149" i="76"/>
  <c r="P203" i="76"/>
  <c r="N207" i="76"/>
  <c r="F10" i="13" s="1"/>
  <c r="P205" i="76"/>
  <c r="F207" i="76"/>
  <c r="F9" i="13" s="1"/>
  <c r="P204" i="76"/>
  <c r="H205" i="76"/>
  <c r="H204" i="76"/>
  <c r="H203" i="76"/>
  <c r="H202" i="76"/>
  <c r="P202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E15" i="70" a="1"/>
  <c r="E15" i="70" s="1"/>
  <c r="F14" i="70" a="1"/>
  <c r="F14" i="70" s="1"/>
  <c r="E20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G49" i="70"/>
  <c r="G45" i="81" s="1"/>
  <c r="F49" i="70"/>
  <c r="F45" i="81" s="1"/>
  <c r="E49" i="70"/>
  <c r="E45" i="81" s="1"/>
  <c r="G54" i="70"/>
  <c r="G46" i="81" s="1"/>
  <c r="F54" i="70"/>
  <c r="F46" i="81" s="1"/>
  <c r="E54" i="70"/>
  <c r="E46" i="81" s="1"/>
  <c r="D34" i="70"/>
  <c r="E158" i="69"/>
  <c r="D166" i="69" a="1"/>
  <c r="D166" i="69" s="1"/>
  <c r="F169" i="69" a="1"/>
  <c r="F169" i="69" s="1"/>
  <c r="H7" i="13" s="1"/>
  <c r="E126" i="69" a="1"/>
  <c r="M20" i="69" l="1"/>
  <c r="L20" i="76"/>
  <c r="L30" i="76" s="1" a="1"/>
  <c r="L30" i="76" s="1"/>
  <c r="L54" i="76" s="1" a="1"/>
  <c r="L54" i="76" s="1"/>
  <c r="L83" i="76" s="1" a="1"/>
  <c r="L83" i="76" s="1"/>
  <c r="M106" i="76" s="1" a="1"/>
  <c r="M106" i="76" s="1"/>
  <c r="M20" i="82" s="1"/>
  <c r="M36" i="82" s="1" a="1"/>
  <c r="M36" i="82" s="1"/>
  <c r="N20" i="69"/>
  <c r="M20" i="76"/>
  <c r="M30" i="76" s="1" a="1"/>
  <c r="M30" i="76" s="1"/>
  <c r="M54" i="76" s="1" a="1"/>
  <c r="M54" i="76" s="1"/>
  <c r="M83" i="76" s="1" a="1"/>
  <c r="M83" i="76" s="1"/>
  <c r="N106" i="76" s="1" a="1"/>
  <c r="N106" i="76" s="1"/>
  <c r="N20" i="82" s="1"/>
  <c r="N36" i="82" s="1" a="1"/>
  <c r="N36" i="82" s="1"/>
  <c r="O20" i="69"/>
  <c r="N20" i="76"/>
  <c r="N30" i="76" s="1" a="1"/>
  <c r="N30" i="76" s="1"/>
  <c r="N54" i="76" s="1" a="1"/>
  <c r="N54" i="76" s="1"/>
  <c r="N83" i="76" s="1" a="1"/>
  <c r="N83" i="76" s="1"/>
  <c r="O106" i="76" s="1" a="1"/>
  <c r="O106" i="76" s="1"/>
  <c r="O20" i="82" s="1"/>
  <c r="O36" i="82" s="1" a="1"/>
  <c r="O36" i="82" s="1"/>
  <c r="F30" i="76" a="1"/>
  <c r="F30" i="76" s="1"/>
  <c r="F54" i="76" s="1" a="1"/>
  <c r="F54" i="76" s="1"/>
  <c r="F83" i="76" s="1" a="1"/>
  <c r="F83" i="76" s="1"/>
  <c r="E30" i="76" a="1"/>
  <c r="E30" i="76" s="1"/>
  <c r="E54" i="76" s="1" a="1"/>
  <c r="E54" i="76" s="1"/>
  <c r="E83" i="76" s="1" a="1"/>
  <c r="E83" i="76" s="1"/>
  <c r="D30" i="76" a="1"/>
  <c r="D30" i="76" s="1"/>
  <c r="D54" i="76" s="1" a="1"/>
  <c r="D54" i="76" s="1"/>
  <c r="D83" i="76" s="1" a="1"/>
  <c r="D83" i="76" s="1"/>
  <c r="E126" i="69"/>
  <c r="E106" i="76" l="1" a="1"/>
  <c r="E106" i="76" s="1"/>
  <c r="E20" i="82" s="1"/>
  <c r="E36" i="82" s="1" a="1"/>
  <c r="E36" i="82" s="1"/>
  <c r="G106" i="76" a="1"/>
  <c r="G106" i="76" s="1"/>
  <c r="G20" i="82" s="1"/>
  <c r="G36" i="82" s="1" a="1"/>
  <c r="G36" i="82" s="1"/>
  <c r="F106" i="76" a="1"/>
  <c r="F106" i="76" s="1"/>
  <c r="F20" i="82" s="1"/>
  <c r="F36" i="82" s="1" a="1"/>
  <c r="F36" i="82" s="1"/>
  <c r="E145" i="69"/>
  <c r="F153" i="69"/>
  <c r="E153" i="69"/>
  <c r="D153" i="69"/>
  <c r="H133" i="69"/>
  <c r="H135" i="69"/>
  <c r="H134" i="69"/>
  <c r="F140" i="69"/>
  <c r="E140" i="69"/>
  <c r="D140" i="69"/>
  <c r="D8" i="70"/>
  <c r="D9" i="70"/>
  <c r="E131" i="69" l="1" a="1"/>
  <c r="E131" i="69" s="1"/>
  <c r="E130" i="69" a="1"/>
  <c r="E130" i="69" s="1"/>
  <c r="D125" i="69" a="1"/>
  <c r="D125" i="69" s="1"/>
  <c r="D133" i="69" a="1"/>
  <c r="D133" i="69" s="1"/>
  <c r="D124" i="69" a="1"/>
  <c r="D124" i="69" s="1"/>
  <c r="H107" i="69"/>
  <c r="H105" i="69"/>
  <c r="D98" i="69" a="1"/>
  <c r="D98" i="69" s="1"/>
  <c r="E102" i="69" a="1"/>
  <c r="E102" i="69" s="1"/>
  <c r="E103" i="69" a="1"/>
  <c r="E103" i="69" s="1"/>
  <c r="D105" i="69" a="1"/>
  <c r="D105" i="69" s="1"/>
  <c r="D97" i="69" a="1"/>
  <c r="D97" i="69" s="1"/>
  <c r="G13" i="69"/>
  <c r="G14" i="69"/>
  <c r="G42" i="69"/>
  <c r="G70" i="69"/>
  <c r="G44" i="69"/>
  <c r="G73" i="69"/>
  <c r="G72" i="69"/>
  <c r="A17" i="69"/>
  <c r="A16" i="69"/>
  <c r="A15" i="69"/>
  <c r="A11" i="69"/>
  <c r="A8" i="69"/>
  <c r="A7" i="69"/>
  <c r="A4" i="69"/>
  <c r="A3" i="69"/>
  <c r="A16" i="15"/>
  <c r="A15" i="15"/>
  <c r="A14" i="15"/>
  <c r="A11" i="15"/>
  <c r="A8" i="15"/>
  <c r="A7" i="15"/>
  <c r="A4" i="15"/>
  <c r="A3" i="15"/>
  <c r="A16" i="13"/>
  <c r="A15" i="13"/>
  <c r="A14" i="13"/>
  <c r="A11" i="13"/>
  <c r="A8" i="13"/>
  <c r="A7" i="13"/>
  <c r="A4" i="13"/>
  <c r="A3" i="13"/>
  <c r="A16" i="70"/>
  <c r="A3" i="70"/>
  <c r="H109" i="69"/>
  <c r="A11" i="70"/>
  <c r="A8" i="70"/>
  <c r="A15" i="70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7" i="69"/>
  <c r="D86" i="69"/>
  <c r="E99" i="69" a="1"/>
  <c r="E63" i="69" a="1"/>
  <c r="G30" i="69" l="1"/>
  <c r="P30" i="69"/>
  <c r="G47" i="69" a="1"/>
  <c r="G47" i="69" s="1"/>
  <c r="G45" i="69" s="1"/>
  <c r="R158" i="69"/>
  <c r="H166" i="69"/>
  <c r="Q166" i="69"/>
  <c r="I161" i="69"/>
  <c r="I160" i="69"/>
  <c r="I159" i="69"/>
  <c r="I158" i="69"/>
  <c r="O164" i="69"/>
  <c r="F8" i="13" s="1"/>
  <c r="F164" i="69"/>
  <c r="F7" i="13" s="1"/>
  <c r="R161" i="69"/>
  <c r="R159" i="69"/>
  <c r="R160" i="69"/>
  <c r="H120" i="69"/>
  <c r="Q120" i="69"/>
  <c r="P167" i="69" a="1"/>
  <c r="P167" i="69" s="1"/>
  <c r="H92" i="69"/>
  <c r="Q93" i="69"/>
  <c r="Q92" i="69"/>
  <c r="H57" i="69"/>
  <c r="Q57" i="69"/>
  <c r="G167" i="69" a="1"/>
  <c r="G167" i="69" s="1"/>
  <c r="H93" i="69"/>
  <c r="E63" i="69"/>
  <c r="G75" i="69" a="1"/>
  <c r="G75" i="69" s="1"/>
  <c r="H110" i="69" a="1"/>
  <c r="H110" i="69" s="1"/>
  <c r="E99" i="69"/>
  <c r="E31" i="15" a="1"/>
  <c r="E31" i="15" s="1"/>
  <c r="E32" i="15" s="1" a="1"/>
  <c r="E32" i="15" s="1"/>
  <c r="G57" i="82"/>
  <c r="D81" i="69"/>
  <c r="D80" i="69"/>
  <c r="G74" i="69"/>
  <c r="D57" i="69"/>
  <c r="G52" i="69"/>
  <c r="F52" i="69"/>
  <c r="E52" i="69"/>
  <c r="D52" i="69"/>
  <c r="G46" i="69"/>
  <c r="F25" i="69"/>
  <c r="E25" i="69"/>
  <c r="D25" i="69"/>
  <c r="F20" i="69"/>
  <c r="E20" i="69"/>
  <c r="D20" i="69"/>
  <c r="A14" i="70"/>
  <c r="A7" i="70"/>
  <c r="A4" i="70"/>
  <c r="G15" i="69"/>
  <c r="G69" i="69"/>
  <c r="E36" i="69" a="1"/>
  <c r="E7" i="69" a="1"/>
  <c r="D30" i="69" l="1" a="1"/>
  <c r="D30" i="69" s="1"/>
  <c r="O202" i="76" a="1"/>
  <c r="O202" i="76" s="1"/>
  <c r="N202" i="76" a="1"/>
  <c r="N202" i="76" s="1"/>
  <c r="M202" i="76" a="1"/>
  <c r="M202" i="76" s="1"/>
  <c r="F202" i="76" a="1"/>
  <c r="F202" i="76" s="1"/>
  <c r="G202" i="76" a="1"/>
  <c r="G202" i="76" s="1"/>
  <c r="E202" i="76" a="1"/>
  <c r="E202" i="76" s="1"/>
  <c r="M30" i="69" a="1"/>
  <c r="M30" i="69" s="1"/>
  <c r="O30" i="69" a="1"/>
  <c r="O30" i="69" s="1"/>
  <c r="N30" i="69" a="1"/>
  <c r="N30" i="69" s="1"/>
  <c r="G41" i="70"/>
  <c r="F41" i="70"/>
  <c r="E41" i="70"/>
  <c r="E30" i="69" a="1"/>
  <c r="E30" i="69" s="1"/>
  <c r="G43" i="69"/>
  <c r="H106" i="69"/>
  <c r="F30" i="69" a="1"/>
  <c r="F30" i="69" s="1"/>
  <c r="H108" i="69"/>
  <c r="G71" i="69"/>
  <c r="D58" i="69"/>
  <c r="E36" i="69"/>
  <c r="E7" i="69"/>
  <c r="O57" i="69" l="1" a="1"/>
  <c r="O57" i="69" s="1"/>
  <c r="P145" i="69" s="1"/>
  <c r="P158" i="69" s="1" a="1"/>
  <c r="P158" i="69" s="1"/>
  <c r="P57" i="69" a="1"/>
  <c r="P57" i="69" s="1"/>
  <c r="Q145" i="69" s="1"/>
  <c r="Q158" i="69" s="1" a="1"/>
  <c r="Q158" i="69" s="1"/>
  <c r="N57" i="69" a="1"/>
  <c r="N57" i="69" s="1"/>
  <c r="O145" i="69" s="1"/>
  <c r="O158" i="69" s="1" a="1"/>
  <c r="O158" i="69" s="1"/>
  <c r="E115" i="69"/>
  <c r="N120" i="69" s="1" a="1"/>
  <c r="N120" i="69" s="1"/>
  <c r="O148" i="69" s="1"/>
  <c r="O161" i="69" s="1" a="1"/>
  <c r="O161" i="69" s="1"/>
  <c r="E124" i="76"/>
  <c r="F115" i="69"/>
  <c r="O120" i="69" s="1" a="1"/>
  <c r="O120" i="69" s="1"/>
  <c r="P148" i="69" s="1"/>
  <c r="P161" i="69" s="1" a="1"/>
  <c r="P161" i="69" s="1"/>
  <c r="F124" i="76"/>
  <c r="G115" i="69"/>
  <c r="G120" i="69" s="1" a="1"/>
  <c r="G120" i="69" s="1"/>
  <c r="H148" i="69" s="1"/>
  <c r="H161" i="69" s="1" a="1"/>
  <c r="H161" i="69" s="1"/>
  <c r="G124" i="76"/>
  <c r="G57" i="69" a="1"/>
  <c r="G57" i="69" s="1"/>
  <c r="H145" i="69" s="1"/>
  <c r="H158" i="69" s="1" a="1"/>
  <c r="H158" i="69" s="1"/>
  <c r="E57" i="69" a="1"/>
  <c r="E57" i="69" s="1"/>
  <c r="F145" i="69" s="1"/>
  <c r="F158" i="69" s="1" a="1"/>
  <c r="F158" i="69" s="1"/>
  <c r="F57" i="69" a="1"/>
  <c r="F57" i="69" s="1"/>
  <c r="G145" i="69" s="1"/>
  <c r="G158" i="69" s="1" a="1"/>
  <c r="G158" i="69" s="1"/>
  <c r="A11" i="43"/>
  <c r="A10" i="43"/>
  <c r="F120" i="69" l="1" a="1"/>
  <c r="F120" i="69" s="1"/>
  <c r="G148" i="69" s="1"/>
  <c r="G161" i="69" s="1" a="1"/>
  <c r="G161" i="69" s="1"/>
  <c r="E120" i="69" a="1"/>
  <c r="E120" i="69" s="1"/>
  <c r="F148" i="69" s="1"/>
  <c r="F161" i="69" s="1" a="1"/>
  <c r="F161" i="69" s="1"/>
  <c r="N129" i="76" a="1"/>
  <c r="N129" i="76" s="1"/>
  <c r="F129" i="76" a="1"/>
  <c r="F129" i="76" s="1"/>
  <c r="F23" i="82" s="1"/>
  <c r="O129" i="76" a="1"/>
  <c r="O129" i="76" s="1"/>
  <c r="G129" i="76" a="1"/>
  <c r="G129" i="76" s="1"/>
  <c r="G23" i="82" s="1"/>
  <c r="P120" i="69" a="1"/>
  <c r="P120" i="69" s="1"/>
  <c r="Q148" i="69" s="1"/>
  <c r="Q161" i="69" s="1" a="1"/>
  <c r="Q161" i="69" s="1"/>
  <c r="M129" i="76" a="1"/>
  <c r="M129" i="76" s="1"/>
  <c r="E129" i="76" a="1"/>
  <c r="E129" i="76" s="1"/>
  <c r="E23" i="82" s="1"/>
  <c r="A39" i="43"/>
  <c r="A38" i="43"/>
  <c r="A37" i="43"/>
  <c r="A36" i="43"/>
  <c r="A33" i="43"/>
  <c r="A30" i="43"/>
  <c r="A29" i="43"/>
  <c r="A28" i="43"/>
  <c r="A27" i="43"/>
  <c r="A26" i="43"/>
  <c r="A25" i="43"/>
  <c r="A24" i="43"/>
  <c r="A19" i="43"/>
  <c r="A18" i="43"/>
  <c r="A15" i="43"/>
  <c r="A14" i="43"/>
  <c r="A13" i="43"/>
  <c r="A12" i="43"/>
  <c r="A9" i="43"/>
  <c r="A8" i="43"/>
  <c r="A7" i="43"/>
  <c r="A4" i="43"/>
  <c r="M24" i="81" l="1"/>
  <c r="M23" i="82"/>
  <c r="O24" i="81"/>
  <c r="O23" i="82"/>
  <c r="N24" i="81"/>
  <c r="N23" i="82"/>
  <c r="E24" i="81"/>
  <c r="F24" i="81"/>
  <c r="G24" i="81"/>
  <c r="D149" i="76" a="1"/>
  <c r="D149" i="76" s="1"/>
  <c r="L149" i="76" a="1"/>
  <c r="L149" i="76" s="1"/>
  <c r="F149" i="76" a="1"/>
  <c r="F149" i="76" s="1"/>
  <c r="N149" i="76" a="1"/>
  <c r="N149" i="76" s="1"/>
  <c r="E149" i="76" a="1"/>
  <c r="E149" i="76" s="1"/>
  <c r="M149" i="76" a="1"/>
  <c r="M149" i="76" s="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N173" i="76" l="1" a="1"/>
  <c r="N173" i="76" s="1"/>
  <c r="N174" i="76" a="1"/>
  <c r="N174" i="76" s="1"/>
  <c r="F173" i="76" a="1"/>
  <c r="F173" i="76" s="1"/>
  <c r="F174" i="76" a="1"/>
  <c r="F174" i="76" s="1"/>
  <c r="F22" i="82" s="1"/>
  <c r="D29" i="79"/>
  <c r="D35" i="70" s="1"/>
  <c r="O174" i="76" a="1"/>
  <c r="O174" i="76" s="1"/>
  <c r="O173" i="76" a="1"/>
  <c r="O173" i="76" s="1"/>
  <c r="G174" i="76" a="1"/>
  <c r="G174" i="76" s="1"/>
  <c r="G22" i="82" s="1"/>
  <c r="G173" i="76" a="1"/>
  <c r="G173" i="76" s="1"/>
  <c r="M173" i="76" a="1"/>
  <c r="M173" i="76" s="1"/>
  <c r="M174" i="76" a="1"/>
  <c r="M174" i="76" s="1"/>
  <c r="D30" i="79"/>
  <c r="D36" i="70" s="1"/>
  <c r="E174" i="76" a="1"/>
  <c r="E174" i="76" s="1"/>
  <c r="E22" i="82" s="1"/>
  <c r="E173" i="76" a="1"/>
  <c r="E173" i="76" s="1"/>
  <c r="D41" i="70"/>
  <c r="L37" i="82" l="1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23" i="82"/>
  <c r="D39" i="82"/>
  <c r="D23" i="82"/>
  <c r="L39" i="82"/>
  <c r="D31" i="82"/>
  <c r="E31" i="82" s="1"/>
  <c r="L22" i="82"/>
  <c r="D38" i="82"/>
  <c r="D30" i="82"/>
  <c r="E30" i="82" s="1"/>
  <c r="G38" i="82" s="1" a="1"/>
  <c r="G38" i="82" s="1"/>
  <c r="L38" i="82"/>
  <c r="D22" i="82"/>
  <c r="L100" i="81"/>
  <c r="L52" i="81"/>
  <c r="D52" i="81"/>
  <c r="L77" i="81"/>
  <c r="D100" i="81"/>
  <c r="D93" i="81"/>
  <c r="L119" i="81"/>
  <c r="D119" i="81"/>
  <c r="D77" i="81"/>
  <c r="L22" i="81"/>
  <c r="D112" i="81"/>
  <c r="L79" i="81"/>
  <c r="D121" i="81"/>
  <c r="D102" i="81"/>
  <c r="L54" i="81"/>
  <c r="D79" i="81"/>
  <c r="D95" i="81"/>
  <c r="L24" i="81"/>
  <c r="L102" i="81"/>
  <c r="D54" i="81"/>
  <c r="D114" i="81"/>
  <c r="L121" i="81"/>
  <c r="D56" i="70"/>
  <c r="L120" i="81"/>
  <c r="D101" i="81"/>
  <c r="D120" i="81"/>
  <c r="D94" i="81"/>
  <c r="L78" i="81"/>
  <c r="L53" i="81"/>
  <c r="D113" i="81"/>
  <c r="D53" i="81"/>
  <c r="D78" i="81"/>
  <c r="L23" i="81"/>
  <c r="L101" i="81"/>
  <c r="D23" i="81"/>
  <c r="D46" i="81"/>
  <c r="D39" i="81"/>
  <c r="E39" i="81" s="1"/>
  <c r="D31" i="81"/>
  <c r="E31" i="81" s="1"/>
  <c r="D30" i="81"/>
  <c r="E30" i="81" s="1"/>
  <c r="D22" i="81"/>
  <c r="D45" i="81"/>
  <c r="D38" i="81"/>
  <c r="E38" i="81" s="1"/>
  <c r="D32" i="81"/>
  <c r="E32" i="81" s="1"/>
  <c r="D24" i="81"/>
  <c r="D47" i="81"/>
  <c r="D40" i="81"/>
  <c r="E40" i="81" s="1"/>
  <c r="G23" i="81"/>
  <c r="F23" i="81"/>
  <c r="E23" i="81"/>
  <c r="D51" i="70"/>
  <c r="L204" i="76"/>
  <c r="L174" i="76"/>
  <c r="N147" i="69"/>
  <c r="D196" i="76"/>
  <c r="E196" i="76" s="1"/>
  <c r="F204" i="76" s="1" a="1"/>
  <c r="F204" i="76" s="1"/>
  <c r="M93" i="69"/>
  <c r="D204" i="76"/>
  <c r="N160" i="69"/>
  <c r="D174" i="76"/>
  <c r="D168" i="76"/>
  <c r="D93" i="69"/>
  <c r="E160" i="69"/>
  <c r="E147" i="69"/>
  <c r="E87" i="69"/>
  <c r="F87" i="69" s="1" a="1"/>
  <c r="F87" i="69" s="1"/>
  <c r="G93" i="69" s="1" a="1"/>
  <c r="G93" i="69" s="1"/>
  <c r="H147" i="69" s="1"/>
  <c r="H160" i="69" s="1" a="1"/>
  <c r="H160" i="69" s="1"/>
  <c r="E81" i="69"/>
  <c r="L203" i="76"/>
  <c r="L173" i="76"/>
  <c r="N146" i="69"/>
  <c r="D195" i="76"/>
  <c r="D203" i="76"/>
  <c r="N159" i="69"/>
  <c r="M92" i="69"/>
  <c r="D167" i="76"/>
  <c r="D173" i="76"/>
  <c r="D46" i="70"/>
  <c r="D92" i="69"/>
  <c r="E146" i="69"/>
  <c r="E86" i="69"/>
  <c r="F86" i="69" s="1" a="1"/>
  <c r="F86" i="69" s="1"/>
  <c r="F92" i="69" s="1" a="1"/>
  <c r="F92" i="69" s="1"/>
  <c r="G146" i="69" s="1"/>
  <c r="G159" i="69" s="1" a="1"/>
  <c r="G159" i="69" s="1"/>
  <c r="E80" i="69"/>
  <c r="E159" i="69"/>
  <c r="L205" i="76"/>
  <c r="M120" i="69"/>
  <c r="D120" i="69"/>
  <c r="D115" i="69"/>
  <c r="N148" i="69"/>
  <c r="D197" i="76"/>
  <c r="E197" i="76" s="1"/>
  <c r="L129" i="76"/>
  <c r="D205" i="76"/>
  <c r="N161" i="69"/>
  <c r="D129" i="76"/>
  <c r="D124" i="76"/>
  <c r="E161" i="69"/>
  <c r="E148" i="69"/>
  <c r="M37" i="82" l="1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O204" i="76" a="1"/>
  <c r="O204" i="76" s="1"/>
  <c r="G204" i="76" a="1"/>
  <c r="G204" i="76" s="1"/>
  <c r="E204" i="76" a="1"/>
  <c r="E204" i="76" s="1"/>
  <c r="N204" i="76" a="1"/>
  <c r="N204" i="76" s="1"/>
  <c r="E195" i="76"/>
  <c r="O203" i="76" s="1" a="1"/>
  <c r="O203" i="76" s="1"/>
  <c r="F93" i="69" a="1"/>
  <c r="F93" i="69" s="1"/>
  <c r="G147" i="69" s="1"/>
  <c r="G160" i="69" s="1" a="1"/>
  <c r="G160" i="69" s="1"/>
  <c r="M204" i="76" a="1"/>
  <c r="M204" i="76" s="1"/>
  <c r="E93" i="69" a="1"/>
  <c r="E93" i="69" s="1"/>
  <c r="F147" i="69" s="1"/>
  <c r="F160" i="69" s="1" a="1"/>
  <c r="F160" i="69" s="1"/>
  <c r="G92" i="69" a="1"/>
  <c r="G92" i="69" s="1"/>
  <c r="H146" i="69" s="1"/>
  <c r="H159" i="69" s="1" a="1"/>
  <c r="H159" i="69" s="1"/>
  <c r="E205" i="76" a="1"/>
  <c r="E205" i="76" s="1"/>
  <c r="M205" i="76" a="1"/>
  <c r="M205" i="76" s="1"/>
  <c r="G205" i="76" a="1"/>
  <c r="G205" i="76" s="1"/>
  <c r="O205" i="76" a="1"/>
  <c r="O205" i="76" s="1"/>
  <c r="F205" i="76" a="1"/>
  <c r="F205" i="76" s="1"/>
  <c r="N205" i="76" a="1"/>
  <c r="N205" i="76" s="1"/>
  <c r="E92" i="69" a="1"/>
  <c r="E92" i="69" s="1"/>
  <c r="F146" i="69" s="1"/>
  <c r="F159" i="69" s="1" a="1"/>
  <c r="F159" i="69" s="1"/>
  <c r="O92" i="69" a="1"/>
  <c r="O92" i="69" s="1"/>
  <c r="P146" i="69" s="1"/>
  <c r="P159" i="69" s="1" a="1"/>
  <c r="P159" i="69" s="1"/>
  <c r="N92" i="69" a="1"/>
  <c r="N92" i="69" s="1"/>
  <c r="O146" i="69" s="1"/>
  <c r="O159" i="69" s="1" a="1"/>
  <c r="O159" i="69" s="1"/>
  <c r="P92" i="69" a="1"/>
  <c r="P92" i="69" s="1"/>
  <c r="Q146" i="69" s="1"/>
  <c r="Q159" i="69" s="1" a="1"/>
  <c r="Q159" i="69" s="1"/>
  <c r="O93" i="69" a="1"/>
  <c r="O93" i="69" s="1"/>
  <c r="P147" i="69" s="1"/>
  <c r="P160" i="69" s="1" a="1"/>
  <c r="P160" i="69" s="1"/>
  <c r="N93" i="69" a="1"/>
  <c r="N93" i="69" s="1"/>
  <c r="O147" i="69" s="1"/>
  <c r="O160" i="69" s="1" a="1"/>
  <c r="O160" i="69" s="1"/>
  <c r="P93" i="69" a="1"/>
  <c r="P93" i="69" s="1"/>
  <c r="Q147" i="69" s="1"/>
  <c r="Q160" i="69" s="1" a="1"/>
  <c r="Q160" i="69" s="1"/>
  <c r="M41" i="82" l="1"/>
  <c r="E41" i="82"/>
  <c r="G53" i="82" s="1"/>
  <c r="E123" i="81"/>
  <c r="M123" i="81"/>
  <c r="M56" i="81"/>
  <c r="M104" i="81"/>
  <c r="E81" i="81"/>
  <c r="E104" i="81"/>
  <c r="M81" i="81"/>
  <c r="E56" i="81"/>
  <c r="E203" i="76" a="1"/>
  <c r="E203" i="76" s="1"/>
  <c r="N203" i="76" a="1"/>
  <c r="N203" i="76" s="1"/>
  <c r="F203" i="76" a="1"/>
  <c r="F203" i="76" s="1"/>
  <c r="M203" i="76" a="1"/>
  <c r="M203" i="76" s="1"/>
  <c r="E164" i="69"/>
  <c r="G203" i="76" a="1"/>
  <c r="G203" i="76" s="1"/>
  <c r="N164" i="69"/>
  <c r="E29" i="15"/>
  <c r="P166" i="69" l="1"/>
  <c r="N169" i="69" s="1" a="1"/>
  <c r="N169" i="69" s="1"/>
  <c r="G8" i="13" s="1"/>
  <c r="E8" i="13"/>
  <c r="G166" i="69"/>
  <c r="E169" i="69" s="1" a="1"/>
  <c r="E169" i="69" s="1"/>
  <c r="G7" i="13" s="1"/>
  <c r="E7" i="13"/>
  <c r="M207" i="76"/>
  <c r="E207" i="76"/>
  <c r="G209" i="76" l="1"/>
  <c r="E212" i="76" s="1" a="1"/>
  <c r="E212" i="76" s="1"/>
  <c r="G9" i="13" s="1"/>
  <c r="E9" i="13"/>
  <c r="O209" i="76"/>
  <c r="M212" i="76" s="1" a="1"/>
  <c r="M212" i="76" s="1"/>
  <c r="G10" i="13" s="1"/>
  <c r="E10" i="13"/>
  <c r="E13" i="15"/>
  <c r="C1" i="13" l="1"/>
  <c r="E15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<sst xmlns="http://schemas.openxmlformats.org/spreadsheetml/2006/main" count="841" uniqueCount="321">
  <si>
    <t>Home</t>
  </si>
  <si>
    <t>N2O MMS</t>
  </si>
  <si>
    <t>Sources &amp; acknowledgements</t>
  </si>
  <si>
    <t>INPUTS</t>
  </si>
  <si>
    <t>APPENDICES</t>
  </si>
  <si>
    <t>Total scope 1 emissions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</si>
  <si>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</si>
  <si>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</si>
  <si>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</si>
  <si>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</si>
  <si>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</si>
  <si>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</si>
  <si>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</si>
  <si>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</si>
  <si>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</si>
  <si>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</si>
  <si>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</si>
  <si>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</si>
  <si>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</si>
  <si>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 xml:space="preserve"> </t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</si>
  <si>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</si>
  <si>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</si>
  <si>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</si>
  <si>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</si>
  <si>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</si>
  <si>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</si>
  <si>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</si>
  <si>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</si>
  <si>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</si>
  <si>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</si>
  <si>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</si>
  <si>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</si>
  <si>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</si>
  <si>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</si>
  <si>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</si>
  <si>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</si>
  <si>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</si>
  <si>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</si>
  <si>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</si>
  <si>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</si>
  <si>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</si>
  <si>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</si>
  <si>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</si>
  <si>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</si>
  <si>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</si>
  <si>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</si>
  <si>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</si>
  <si>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</si>
  <si>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</si>
  <si>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</si>
  <si>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</si>
  <si>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</si>
  <si>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</si>
  <si>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</si>
  <si>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</si>
  <si>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</si>
  <si>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</si>
  <si>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</si>
  <si>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</si>
  <si>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</si>
  <si>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</si>
  <si>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</si>
  <si>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</si>
  <si>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</si>
  <si>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</si>
  <si>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</si>
  <si>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</si>
  <si>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</si>
  <si>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</si>
  <si>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</si>
  <si>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</si>
  <si>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</si>
  <si>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</si>
  <si>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</si>
  <si>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</si>
  <si>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</si>
  <si>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</si>
  <si>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</si>
  <si>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</si>
  <si>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</si>
  <si>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</si>
  <si>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</si>
  <si>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</si>
  <si>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</si>
  <si>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</si>
  <si>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</si>
  <si>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</si>
  <si>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</si>
  <si>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</si>
  <si>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</si>
  <si>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</si>
  <si>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</si>
  <si>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</si>
  <si>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</si>
  <si>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</si>
  <si>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</si>
  <si>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</si>
  <si>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</si>
  <si>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</si>
  <si>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</si>
  <si>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</si>
  <si>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</si>
  <si>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</si>
  <si>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Fraction</t>
  </si>
  <si>
    <t>Table_MCF_i_m</t>
  </si>
  <si>
    <t>Drylot (feed pad)</t>
  </si>
  <si>
    <t>Production system 1: Post-treatment destinations</t>
  </si>
  <si>
    <t>Stage 2 MMS</t>
  </si>
  <si>
    <t>Intake</t>
  </si>
  <si>
    <t>kg DM/head/day</t>
  </si>
  <si>
    <t>No MMS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</si>
  <si>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</si>
  <si>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</si>
  <si>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</si>
  <si>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</si>
  <si>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</si>
  <si>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</si>
  <si>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</si>
  <si>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</si>
  <si>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</si>
  <si>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</si>
  <si>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</si>
  <si>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</si>
  <si>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MMS N2O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</si>
  <si>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</si>
  <si>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</si>
  <si>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</si>
  <si>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</si>
  <si>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</si>
  <si>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</si>
  <si>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</si>
  <si>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</si>
  <si>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</si>
  <si>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</si>
  <si>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</si>
  <si>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</si>
  <si>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</si>
  <si>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</si>
  <si>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</si>
  <si>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</si>
  <si>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</si>
  <si>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</si>
  <si>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</si>
  <si>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Sold as fertiliser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</si>
  <si>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</si>
  <si>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</si>
  <si>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</si>
  <si>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</si>
  <si>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</si>
  <si>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</si>
  <si>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</si>
  <si>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</si>
  <si>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</si>
  <si>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</si>
  <si>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</si>
  <si>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</si>
  <si>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Method 1 default values</t>
  </si>
  <si>
    <t>Method 2 custom values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</si>
  <si>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</si>
  <si>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</si>
  <si>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</si>
  <si>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</si>
  <si>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</si>
  <si>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</si>
  <si>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</si>
  <si>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Percent of intake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</si>
  <si>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</si>
  <si>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</si>
  <si>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</si>
  <si>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</si>
  <si>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</si>
  <si>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</si>
  <si>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</si>
  <si>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</si>
  <si>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</si>
  <si>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</si>
  <si>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</si>
  <si>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</si>
  <si>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</si>
  <si>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</si>
  <si>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</si>
  <si>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</si>
  <si>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</si>
  <si>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</si>
  <si>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</si>
  <si>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</si>
  <si>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</si>
  <si>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</si>
  <si>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</si>
  <si>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</si>
  <si>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</si>
  <si>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</si>
  <si>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</si>
  <si>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</si>
  <si>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</si>
  <si>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</si>
  <si>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</si>
  <si>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</si>
  <si>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</si>
  <si>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</si>
  <si>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</si>
  <si>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</si>
  <si>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</si>
  <si>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</si>
  <si>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</si>
  <si>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</si>
  <si>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</si>
  <si>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</si>
  <si>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</si>
  <si>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</si>
  <si>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</si>
  <si>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</si>
  <si>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</si>
  <si>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</si>
  <si>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</si>
  <si>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</si>
  <si>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</si>
  <si>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</si>
  <si>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</si>
  <si>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</si>
  <si>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</si>
  <si>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</si>
  <si>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</si>
  <si>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</si>
  <si>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</si>
  <si>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</si>
  <si>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</si>
  <si>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</si>
  <si>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</si>
  <si>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</si>
  <si>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</si>
  <si>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</si>
  <si>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</si>
  <si>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</si>
  <si>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</si>
  <si>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</si>
  <si>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</si>
  <si>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</si>
  <si>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</si>
  <si>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</si>
  <si>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</si>
  <si>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</si>
  <si>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</si>
  <si>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</si>
  <si>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</si>
  <si>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</si>
  <si>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</si>
  <si>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</si>
  <si>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</si>
  <si>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</si>
  <si>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</si>
  <si>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</si>
  <si>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</si>
  <si>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</si>
  <si>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</si>
  <si>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</si>
  <si>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</si>
  <si>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</si>
  <si>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</si>
  <si>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</si>
  <si>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</si>
  <si>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</si>
  <si>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</si>
  <si>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</si>
  <si>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</si>
  <si>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</si>
  <si>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</si>
  <si>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</si>
  <si>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</si>
  <si>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</si>
  <si>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</si>
  <si>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</si>
  <si>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</si>
  <si>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</si>
  <si>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</si>
  <si>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</si>
  <si>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</si>
  <si>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</si>
  <si>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</si>
  <si>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</si>
  <si>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</si>
  <si>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</si>
  <si>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</si>
  <si>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</si>
  <si>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</si>
  <si>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</si>
  <si>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</si>
  <si>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</si>
  <si>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</si>
  <si>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</si>
  <si>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</si>
  <si>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</si>
  <si>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</si>
  <si>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</si>
  <si>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</si>
  <si>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</si>
  <si>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</si>
  <si>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</si>
  <si>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</si>
  <si>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</si>
  <si>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</si>
  <si>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</si>
  <si>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</si>
  <si>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</si>
  <si>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</si>
  <si>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</si>
  <si>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</si>
  <si>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</si>
  <si>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</si>
  <si>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WARNING: There are XXX kg of nitrogen idenified as deposited on the farm as fertiliser</t>
  </si>
  <si>
    <t>There are YYY kg of nitrogen identified as applied to soils as waste</t>
  </si>
  <si>
    <t>Apply the atmospheric deposition EF that best represent the production systems immediately surrounding the feedlot.</t>
  </si>
  <si>
    <t>For non-irrigated cropping systems, the emission factor varies depending on whether the agricultural system is in a high rainfall or low rainfall zone. Refer to Chapter 1 Section 1.8.2 for guidance on determining the relevant rainfall zone.</t>
  </si>
  <si>
    <t>lacking subscripts</t>
  </si>
  <si>
    <t>Production system j</t>
  </si>
  <si>
    <t>EFN2O</t>
  </si>
  <si>
    <t>Production system only</t>
  </si>
  <si>
    <t>Irrigation method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</si>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</sst>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9.5"/>
      <name val="Arial"/>
      <family val="2"/>
    </font>
    <font>
      <sz val="9.5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F4789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3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3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4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</cellStyleXfs>
  <cellXfs count="137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4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17" fillId="11" borderId="0" xfId="4" applyFill="1">
      <alignment vertical="center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3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4" borderId="11" xfId="41" applyBorder="1">
      <alignment horizontal="left" vertical="center"/>
    </xf>
    <xf numFmtId="0" fontId="47" fillId="14" borderId="13" xfId="41" applyBorder="1">
      <alignment horizontal="left" vertical="center"/>
    </xf>
    <xf numFmtId="0" fontId="47" fillId="14" borderId="15" xfId="41" applyBorder="1">
      <alignment horizontal="left" vertical="center"/>
    </xf>
    <xf numFmtId="0" fontId="47" fillId="14" borderId="14" xfId="41" applyBorder="1">
      <alignment horizontal="left" vertical="center"/>
    </xf>
    <xf numFmtId="0" fontId="47" fillId="14" borderId="16" xfId="41" applyBorder="1">
      <alignment horizontal="left" vertical="center"/>
    </xf>
    <xf numFmtId="0" fontId="47" fillId="14" borderId="18" xfId="41" applyBorder="1">
      <alignment horizontal="left" vertical="center"/>
    </xf>
    <xf numFmtId="0" fontId="47" fillId="14" borderId="12" xfId="41" applyBorder="1">
      <alignment horizontal="left" vertical="center"/>
    </xf>
    <xf numFmtId="0" fontId="47" fillId="14" borderId="17" xfId="41" applyBorder="1">
      <alignment horizontal="left" vertical="center"/>
    </xf>
    <xf numFmtId="0" fontId="47" fillId="14" borderId="19" xfId="41" applyBorder="1">
      <alignment horizontal="left" vertical="center"/>
    </xf>
    <xf numFmtId="0" fontId="48" fillId="14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22" fillId="12" borderId="0" xfId="38" applyFill="1">
      <alignment horizontal="left" vertical="center" indent="1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5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4" borderId="0" xfId="41" applyBorder="1">
      <alignment horizontal="left" vertical="center"/>
    </xf>
    <xf numFmtId="0" fontId="47" fillId="14" borderId="10" xfId="41" applyBorder="1">
      <alignment horizontal="left" vertical="center"/>
    </xf>
    <xf numFmtId="0" fontId="47" fillId="14" borderId="21" xfId="41" applyBorder="1">
      <alignment horizontal="left" vertical="center"/>
    </xf>
    <xf numFmtId="0" fontId="47" fillId="14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9" fillId="11" borderId="0" xfId="4" applyFont="1" applyFill="1" applyAlignment="1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0" fontId="62" fillId="0" borderId="0" xfId="0" applyFont="1" applyAlignment="1">
      <alignment vertical="center"/>
    </xf>
    <xf numFmtId="0" fontId="63" fillId="0" borderId="0" xfId="0" applyFont="1"/>
  </cellXfs>
  <cellStyles count="63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6"/>
      <tableStyleElement type="headerRow" dxfId="55"/>
      <tableStyleElement type="totalRow" dxfId="54"/>
      <tableStyleElement type="firstColumn" dxfId="53"/>
      <tableStyleElement type="firstRowStripe" dxfId="52"/>
      <tableStyleElement type="secondRowStripe" dxfId="51"/>
    </tableStyle>
    <tableStyle name="Equation table" pivot="0" count="6" xr9:uid="{B247698E-E41D-4CCD-AA0A-C14817E9DE65}">
      <tableStyleElement type="wholeTable" dxfId="50"/>
      <tableStyleElement type="headerRow" dxfId="49"/>
      <tableStyleElement type="totalRow" dxfId="48"/>
      <tableStyleElement type="firstColumn" dxfId="47"/>
      <tableStyleElement type="firstRowStripe" dxfId="46"/>
      <tableStyleElement type="secondRowStripe" dxfId="45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99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126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180</xdr:row>
      <xdr:rowOff>138112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ants - Common"/>
    </sheet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4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4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4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4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4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3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3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3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3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3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3" totalsRowShown="0">
  <autoFilter ref="D27:E33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34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3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3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3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30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29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28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2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2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2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24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23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22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21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20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19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18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17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93F3A-57B5-47DD-A524-D1BFD2EECFF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E7DBFF6F-547A-474B-8122-F77C717813B6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8BB81F7C-665D-4962-9597-3E527EBF62CF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3F932D05-9728-4FC6-90F2-397E31A9C611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2686CC-A7F4-4090-A195-16F51DA73212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E6C17373-3CC7-4563-8BE2-21E2727BF74B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395F0B-F07B-46D2-AC67-70B94D8AEA14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480F2C30-A7CB-47B8-AA97-785D53D23360}" name="Gas">
      <calculatedColumnFormula array="1">Common_InputFunctions.Utility_DisplayArrayInTable(Common_SourceData.Common_SourceData_GWP_Data(), Table_GWPData[[#Headers],[Gas]], 0)</calculatedColumnFormula>
    </tableColumn>
    <tableColumn id="2" xr3:uid="{0A42487C-0B53-465A-8C34-785DF062B619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C48E5E-589E-488D-BEF8-83B1833518B2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AAFC1FC-24DB-4F8F-B06A-2D34BB122375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53C841EB-EF60-4C13-9754-9DBFFA162BED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EBE079E0-C06F-4331-A451-2746C4AC80F4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D7150907-63EA-4762-965E-07B54FC86092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26B78AEB-747A-42B3-AB7A-6BA0AFBF1037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BC6035-4979-44F1-9586-BAFDFE838014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C1B4D5A-4C6B-4EAA-871E-0FB8CD6CA99D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66F44D46-027A-4D5E-815D-F5AB7C4E7AA2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9845F0CF-52B8-4198-BA6D-FEBDF29ECB28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68E806B1-ED8B-4468-98E9-927DCBDD7B39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367B5450-4998-4AE0-AFE5-017829BBBB5D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8B3DCAB5-77C2-481F-A291-91CD01DFC805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197855EC-0CA4-4838-805C-8EE4B25625B2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88AFB9F1-B113-4EDA-8BFB-E62B29030116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3C7BEF13-30DD-4A9E-A9E8-F9CAB9AC45B8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4F2DFDDA-0F64-48A4-9084-2B6D1B14D691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D5E856D1-DFC2-4347-BDE2-74BB52BBD1CD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5439A2E7-8C00-4B83-87DB-8FAA60EB639D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2ED2E231-4977-432F-93A7-A401995937D8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1A50F42A-ECE4-4478-8BD0-1A517CC8E13A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D5B8819A-3B8B-495C-B258-88E64E3CF828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589F2355-2669-4FC2-9332-12D6195594DF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FD2930-2D6C-4639-86AC-26CDA3ECF6A5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818E94C7-CC89-4E0A-A036-6D348F02D35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0B849271-BBDA-4E85-8AC8-0152F985E4E6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388DD98-7469-4BDE-801C-4E58991B566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66A3CE1E-F889-45DE-A5E1-F5EAC6F81AA6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60F6FC40-9118-4F21-B898-871F70F91ACA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F5512A10-17F4-42C5-98E9-5D9EF017CBED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073FE86-E2D9-4344-B1D8-2BBE79517510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44BDF6C-81A8-4F9E-914E-6923CE668A3D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FB1CA470-9EBC-4E81-9433-000827EA3F63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595F9525-EC62-481A-B997-0E5A681828C3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2D24F253-3798-4B87-80A3-5335C94B72CB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D82D6B89-95F6-49F4-AB04-4FB61139A8B7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ED7AD48-1277-45A5-AE29-AC2648A4C130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F191A1AC-964B-4E4C-B0CD-8F308241FE62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257DE327-80E6-46DA-8344-614328DFBDEF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4112B7-843C-462A-BC51-3FBF07604325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76A1A4F7-5579-4533-9A1C-1278823531F8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C1329011-9EDE-4AA0-93D6-BD45938BD5C2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756C780-145F-4A27-8D8D-3DDCC59826E3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B0117B65-1717-484C-A9A9-64DF1C46891D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2A387354-C402-4B6F-AE68-2DDF9CD56E2A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8E61F7-48A3-4F90-82CF-6FEAE5801288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24567A6-2633-4301-A3F3-6FCC8653154B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63E3A1C1-FB21-4CE1-A34E-D9DCF03175EF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7BE8C825-A51E-48A6-B941-659DC1B8714C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8F2ACB9A-BD55-4D0F-97D7-D55F5D3A090D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B5004C56-EEBA-4C50-AB08-070633972BD3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0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H18" sqref="H1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1" t="s">
        <v>81</v>
      </c>
    </row>
    <row r="17" spans="1:1" ht="20.100000000000001" customHeight="1" x14ac:dyDescent="0.25">
      <c r="A17" s="71" t="s">
        <v>77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79</v>
      </c>
    </row>
    <row r="22" spans="1:1" ht="20.100000000000001" customHeight="1" x14ac:dyDescent="0.25">
      <c r="A22" s="71" t="s">
        <v>1</v>
      </c>
    </row>
    <row r="23" spans="1:1" ht="20.100000000000001" customHeight="1" x14ac:dyDescent="0.25">
      <c r="A23" s="71" t="s">
        <v>78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1" t="s">
        <v>81</v>
      </c>
    </row>
    <row r="32" spans="1:1" ht="20.100000000000001" customHeight="1" x14ac:dyDescent="0.25">
      <c r="A32" s="71" t="s">
        <v>77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1" t="s">
        <v>2</v>
      </c>
    </row>
    <row r="41" spans="1:1" ht="20.100000000000001" customHeight="1" x14ac:dyDescent="0.25">
      <c r="A41" s="48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C1" sqref="C1"/>
    </sheetView>
  </sheetViews>
  <sheetFormatPr defaultRowHeight="15" x14ac:dyDescent="0.25"/>
  <cols>
    <col min="1" max="1" width="30.7109375" customWidth="1"/>
    <col min="2" max="3" width="2.7109375" customWidth="1"/>
    <col min="4" max="4" width="60.7109375" customWidth="1"/>
    <col min="5" max="6" width="28.7109375" customWidth="1"/>
    <col min="7" max="7" width="28" customWidth="1"/>
    <col min="8" max="8" width="27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2" t="e" vm="1">
        <v>#VALUE!</v>
      </c>
      <c r="C1" s="8" t="e">
        <f>#REF!</f>
        <v>#REF!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08" t="str">
        <f>HYPERLINK("#'Results'!A1", "Results")</f>
        <v>Results</v>
      </c>
      <c r="C4" s="24"/>
      <c r="D4" s="6" t="s">
        <v>6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31" t="s">
        <v>298</v>
      </c>
      <c r="E6" s="131" t="s">
        <v>296</v>
      </c>
      <c r="F6" s="58"/>
      <c r="G6" s="131" t="s">
        <v>297</v>
      </c>
      <c r="H6" s="24"/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288</v>
      </c>
      <c r="E7" s="130" t="e">
        <f>'4.1.1.1-2 Methane'!E164</f>
        <v>#REF!</v>
      </c>
      <c r="F7" s="58" t="str">
        <f>'4.1.1.1-2 Methane'!F164</f>
        <v>t CH4</v>
      </c>
      <c r="G7" s="130" t="e">
        <f>'4.1.1.1-2 Methane'!E169</f>
        <v>#REF!</v>
      </c>
      <c r="H7" s="58" t="str">
        <f>'4.1.1.1-2 Methane'!F169</f>
        <v>t CO2e</v>
      </c>
      <c r="I7" s="1"/>
      <c r="J7" s="24"/>
      <c r="K7" s="24"/>
    </row>
    <row r="8" spans="1:11" ht="20.100000000000001" customHeight="1" x14ac:dyDescent="0.25">
      <c r="A8" s="17" t="str">
        <f>HYPERLINK("#'Input - MMS - Feedlot'!A1", "MMS - Feedlot")</f>
        <v>MMS - Feedlot</v>
      </c>
      <c r="C8" s="24"/>
      <c r="D8" s="1" t="s">
        <v>289</v>
      </c>
      <c r="E8" s="130" t="e">
        <f>'4.1.1.1-2 Methane'!N164</f>
        <v>#REF!</v>
      </c>
      <c r="F8" s="58" t="str">
        <f>'4.1.1.1-2 Methane'!O164</f>
        <v>t CH4</v>
      </c>
      <c r="G8" s="130" t="e">
        <f>'4.1.1.1-2 Methane'!N169</f>
        <v>#REF!</v>
      </c>
      <c r="H8" s="58" t="str">
        <f>'4.1.1.1-2 Methane'!O169</f>
        <v>t CO2e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290</v>
      </c>
      <c r="E9" s="130">
        <f>'4.1.1.3-4 Direct N20'!E207</f>
        <v>0</v>
      </c>
      <c r="F9" s="58" t="str">
        <f>'4.1.1.3-4 Direct N20'!F207</f>
        <v>t N2O</v>
      </c>
      <c r="G9" s="130">
        <f>'4.1.1.3-4 Direct N20'!E212</f>
        <v>0</v>
      </c>
      <c r="H9" s="58" t="str">
        <f>'4.1.1.3-4 Direct N20'!F212</f>
        <v>t CO2e</v>
      </c>
      <c r="I9" s="1"/>
      <c r="J9" s="24"/>
      <c r="K9" s="24"/>
    </row>
    <row r="10" spans="1:11" ht="20.100000000000001" customHeight="1" x14ac:dyDescent="0.25">
      <c r="A10" s="19" t="s">
        <v>79</v>
      </c>
      <c r="C10" s="24"/>
      <c r="D10" s="1" t="s">
        <v>291</v>
      </c>
      <c r="E10" s="130">
        <f>'4.1.1.3-4 Direct N20'!M207</f>
        <v>0</v>
      </c>
      <c r="F10" s="58" t="str">
        <f>'4.1.1.3-4 Direct N20'!N207</f>
        <v>t N2O</v>
      </c>
      <c r="G10" s="130">
        <f>'4.1.1.3-4 Direct N20'!M212</f>
        <v>0</v>
      </c>
      <c r="H10" s="58" t="str">
        <f>'4.1.1.3-4 Direct N20'!N212</f>
        <v>t CO2e</v>
      </c>
      <c r="I10" s="1"/>
      <c r="J10" s="24"/>
      <c r="K10" s="24"/>
    </row>
    <row r="11" spans="1:11" ht="20.100000000000001" customHeight="1" x14ac:dyDescent="0.25">
      <c r="A11" s="17" t="str">
        <f>HYPERLINK("#'Calcs - CH4 MMS Feedlot'!A1", "MMS Methane")</f>
        <v>MMS Methane</v>
      </c>
      <c r="C11" s="24"/>
      <c r="D11" s="1" t="s">
        <v>292</v>
      </c>
      <c r="E11" s="130"/>
      <c r="F11" s="58"/>
      <c r="G11" s="130"/>
      <c r="H11" s="58"/>
      <c r="I11" s="1"/>
      <c r="J11" s="24"/>
      <c r="K11" s="24"/>
    </row>
    <row r="12" spans="1:11" ht="20.100000000000001" customHeight="1" x14ac:dyDescent="0.25">
      <c r="A12" s="17"/>
      <c r="C12" s="24"/>
      <c r="D12" s="1" t="s">
        <v>293</v>
      </c>
      <c r="E12" s="130"/>
      <c r="F12" s="58"/>
      <c r="G12" s="130"/>
      <c r="H12" s="58"/>
      <c r="I12" s="1"/>
      <c r="J12" s="24"/>
      <c r="K12" s="24"/>
    </row>
    <row r="13" spans="1:11" ht="20.100000000000001" customHeight="1" x14ac:dyDescent="0.25">
      <c r="A13" s="18" t="s">
        <v>4</v>
      </c>
      <c r="C13" s="24"/>
      <c r="D13" s="1" t="s">
        <v>294</v>
      </c>
      <c r="E13" s="130"/>
      <c r="F13" s="58"/>
      <c r="G13" s="130"/>
      <c r="H13" s="58"/>
      <c r="I13" s="1"/>
      <c r="J13" s="24"/>
      <c r="K13" s="24"/>
    </row>
    <row r="14" spans="1:11" ht="20.100000000000001" customHeight="1" x14ac:dyDescent="0.25">
      <c r="A14" s="17" t="str">
        <f>HYPERLINK("#'Constants - Common'!A1", "Constants - Common")</f>
        <v>Constants - Common</v>
      </c>
      <c r="C14" s="24"/>
      <c r="D14" s="1" t="s">
        <v>295</v>
      </c>
      <c r="E14" s="130"/>
      <c r="F14" s="58"/>
      <c r="G14" s="130"/>
      <c r="H14" s="58"/>
      <c r="I14" s="1"/>
      <c r="J14" s="24"/>
      <c r="K14" s="24"/>
    </row>
    <row r="15" spans="1:11" ht="20.100000000000001" customHeight="1" x14ac:dyDescent="0.3">
      <c r="A15" s="17" t="str">
        <f>HYPERLINK("#'Constants - Livestock'!A1", "Constants - Livestock")</f>
        <v>Constants - Livestock</v>
      </c>
      <c r="C15" s="24"/>
      <c r="D15" s="32" t="s">
        <v>5</v>
      </c>
      <c r="E15" s="25">
        <f>SUM(E17:E52)</f>
        <v>0</v>
      </c>
      <c r="F15" s="129"/>
      <c r="G15" s="24"/>
      <c r="H15" s="24"/>
      <c r="I15" s="1"/>
      <c r="J15" s="24"/>
      <c r="K15" s="24"/>
    </row>
    <row r="16" spans="1:11" ht="20.100000000000001" customHeight="1" x14ac:dyDescent="0.25">
      <c r="A16" s="17" t="str">
        <f>HYPERLINK("#'Acknowledgements'!A1", "Acknowledgements")</f>
        <v>Acknowledgements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71"/>
      <c r="C17" s="24"/>
      <c r="D17" s="1"/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/>
      <c r="C18" s="24"/>
      <c r="D18" s="1"/>
      <c r="E18" s="1"/>
      <c r="F18" s="1"/>
      <c r="G18" s="1"/>
      <c r="H18" s="26"/>
      <c r="I18" s="24"/>
      <c r="J18" s="24"/>
      <c r="K18" s="24"/>
    </row>
    <row r="19" spans="1:11" ht="20.100000000000001" customHeight="1" x14ac:dyDescent="0.25">
      <c r="A19" s="17"/>
      <c r="C19" s="24"/>
      <c r="D19" s="1" t="s">
        <v>309</v>
      </c>
      <c r="E19" s="1"/>
      <c r="F19" s="1"/>
      <c r="G19" s="1"/>
      <c r="H19" s="24"/>
      <c r="I19" s="24"/>
      <c r="J19" s="24"/>
      <c r="K19" s="24"/>
    </row>
    <row r="20" spans="1:11" ht="20.100000000000001" customHeight="1" x14ac:dyDescent="0.25">
      <c r="C20" s="24"/>
      <c r="D20" s="1" t="s">
        <v>310</v>
      </c>
      <c r="E20" s="1"/>
      <c r="F20" s="1"/>
      <c r="G20" s="1"/>
      <c r="H20" s="24"/>
      <c r="I20" s="24"/>
      <c r="J20" s="24"/>
      <c r="K20" s="24"/>
    </row>
    <row r="21" spans="1:11" ht="20.100000000000001" customHeight="1" x14ac:dyDescent="0.25">
      <c r="C21" s="24"/>
      <c r="D21" s="1"/>
      <c r="E21" s="1"/>
      <c r="F21" s="1"/>
      <c r="G21" s="1"/>
      <c r="H21" s="24"/>
      <c r="I21" s="24"/>
      <c r="J21" s="24"/>
      <c r="K21" s="24"/>
    </row>
    <row r="22" spans="1:11" ht="20.100000000000001" customHeight="1" x14ac:dyDescent="0.25">
      <c r="C22" s="24"/>
      <c r="D22" s="1"/>
      <c r="E22" s="1"/>
      <c r="F22" s="1"/>
      <c r="G22" s="1"/>
      <c r="H22" s="24"/>
      <c r="I22" s="24"/>
      <c r="J22" s="24"/>
      <c r="K22" s="24"/>
    </row>
    <row r="23" spans="1:11" ht="20.100000000000001" customHeight="1" x14ac:dyDescent="0.25">
      <c r="C23" s="24"/>
      <c r="D23" s="1"/>
      <c r="E23" s="1"/>
      <c r="F23" s="1"/>
      <c r="G23" s="1"/>
      <c r="H23" s="24"/>
      <c r="I23" s="24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24"/>
      <c r="I24" s="24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24"/>
      <c r="I25" s="24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24"/>
      <c r="I26" s="24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26"/>
      <c r="I27" s="24"/>
      <c r="J27" s="24"/>
      <c r="K27" s="24"/>
    </row>
    <row r="28" spans="1:11" ht="20.100000000000001" customHeight="1" x14ac:dyDescent="0.3">
      <c r="C28" s="24"/>
      <c r="D28" s="1"/>
      <c r="E28" s="1"/>
      <c r="F28" s="1"/>
      <c r="G28" s="1"/>
      <c r="H28" s="29"/>
      <c r="I28" s="24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9"/>
      <c r="J38" s="129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9"/>
      <c r="J39" s="129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9"/>
      <c r="J40" s="129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9"/>
      <c r="J41" s="129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9"/>
      <c r="J42" s="129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9"/>
      <c r="J43" s="129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9"/>
      <c r="J44" s="129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9"/>
      <c r="J45" s="129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9"/>
      <c r="J46" s="129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9"/>
      <c r="J47" s="129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9"/>
      <c r="J48" s="129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9"/>
      <c r="I49" s="129"/>
      <c r="J49" s="129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9"/>
      <c r="I50" s="129"/>
      <c r="J50" s="129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9"/>
      <c r="I51" s="129"/>
      <c r="J51" s="129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9"/>
      <c r="I52" s="129"/>
      <c r="J52" s="129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9"/>
      <c r="I53" s="129"/>
      <c r="J53" s="129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3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E34" sqref="E34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2" t="e" vm="1">
        <v>#VALUE!</v>
      </c>
      <c r="C1" s="12" t="s">
        <v>94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4"/>
      <c r="D4" s="74"/>
      <c r="E4" s="74"/>
      <c r="F4" s="74"/>
      <c r="G4" s="74"/>
      <c r="H4" s="74"/>
      <c r="I4" s="74"/>
      <c r="J4" s="74"/>
      <c r="K4" s="74"/>
    </row>
    <row r="5" spans="1:24" ht="20.100000000000001" customHeight="1" x14ac:dyDescent="0.25">
      <c r="D5" s="6" t="s">
        <v>16</v>
      </c>
      <c r="N5" s="44"/>
    </row>
    <row r="6" spans="1:24" ht="20.100000000000001" customHeight="1" x14ac:dyDescent="0.25">
      <c r="A6" s="20" t="s">
        <v>3</v>
      </c>
      <c r="D6" s="14"/>
      <c r="N6" s="45"/>
    </row>
    <row r="7" spans="1:24" ht="20.100000000000001" customHeight="1" x14ac:dyDescent="0.25">
      <c r="A7" s="21" t="str">
        <f>HYPERLINK("#'Input - Site'!A1", "Site")</f>
        <v>Site</v>
      </c>
      <c r="D7" s="1" t="s">
        <v>8</v>
      </c>
      <c r="E7" s="36" t="s">
        <v>7</v>
      </c>
      <c r="F7" s="2"/>
    </row>
    <row r="8" spans="1:24" ht="20.100000000000001" customHeight="1" x14ac:dyDescent="0.25">
      <c r="A8" s="17" t="str">
        <f>HYPERLINK("#'Input - MMS - Feedlot'!A1", "MMS - Feedlot")</f>
        <v>MMS - Feedlot</v>
      </c>
      <c r="D8" s="10" t="s">
        <v>75</v>
      </c>
      <c r="E8" s="36" t="s">
        <v>76</v>
      </c>
    </row>
    <row r="9" spans="1:24" ht="20.100000000000001" customHeight="1" x14ac:dyDescent="0.25">
      <c r="A9" s="17"/>
      <c r="N9" s="46"/>
    </row>
    <row r="10" spans="1:24" ht="20.100000000000001" customHeight="1" x14ac:dyDescent="0.25">
      <c r="A10" s="19" t="s">
        <v>79</v>
      </c>
      <c r="D10" s="99" t="s">
        <v>93</v>
      </c>
      <c r="E10" s="97"/>
      <c r="F10" s="100"/>
      <c r="G10" s="94"/>
      <c r="N10" s="46"/>
    </row>
    <row r="11" spans="1:24" ht="20.100000000000001" customHeight="1" x14ac:dyDescent="0.25">
      <c r="A11" s="17" t="str">
        <f>HYPERLINK("#'Calcs - CH4 MMS Feedlot'!A1", "MMS Methane")</f>
        <v>MMS Methane</v>
      </c>
      <c r="N11" s="47"/>
    </row>
    <row r="12" spans="1:24" ht="20.100000000000001" customHeight="1" x14ac:dyDescent="0.25">
      <c r="A12" s="17"/>
      <c r="D12" s="10" t="s">
        <v>99</v>
      </c>
      <c r="E12" s="68">
        <v>45292</v>
      </c>
      <c r="F12" s="2" t="s">
        <v>73</v>
      </c>
    </row>
    <row r="13" spans="1:24" ht="20.100000000000001" customHeight="1" x14ac:dyDescent="0.25">
      <c r="A13" s="18" t="s">
        <v>4</v>
      </c>
      <c r="D13" s="10" t="s">
        <v>100</v>
      </c>
      <c r="E13" s="75">
        <f>DATE(YEAR(E12)+1,MONTH(E12),DAY(E12))-1</f>
        <v>45657</v>
      </c>
      <c r="F13" s="2" t="s">
        <v>18</v>
      </c>
      <c r="N13" s="41"/>
      <c r="O13" s="41"/>
    </row>
    <row r="14" spans="1:24" ht="20.100000000000001" customHeight="1" x14ac:dyDescent="0.25">
      <c r="A14" s="17" t="str">
        <f>HYPERLINK("#'Constants - Common'!A1", "Constants - Common")</f>
        <v>Constants - Common</v>
      </c>
      <c r="N14" s="41"/>
      <c r="O14" s="41"/>
    </row>
    <row r="15" spans="1:24" ht="20.100000000000001" customHeight="1" x14ac:dyDescent="0.25">
      <c r="A15" s="17" t="str">
        <f>HYPERLINK("#'Constants - Livestock'!A1", "Constants - Livestock")</f>
        <v>Constants - Livestock</v>
      </c>
      <c r="N15" s="41"/>
      <c r="O15" s="41"/>
    </row>
    <row r="16" spans="1:24" ht="20.100000000000001" customHeight="1" x14ac:dyDescent="0.25">
      <c r="A16" s="17" t="str">
        <f>HYPERLINK("#'Acknowledgements'!A1", "Acknowledgements")</f>
        <v>Acknowledgements</v>
      </c>
      <c r="D16" s="6" t="s">
        <v>15</v>
      </c>
      <c r="N16" s="41"/>
      <c r="O16" s="41"/>
    </row>
    <row r="17" spans="1:25" ht="20.100000000000001" customHeight="1" x14ac:dyDescent="0.25">
      <c r="A17" s="71"/>
    </row>
    <row r="18" spans="1:25" ht="20.100000000000001" customHeight="1" x14ac:dyDescent="0.25">
      <c r="A18" s="17"/>
      <c r="D18" s="101" t="s">
        <v>17</v>
      </c>
      <c r="E18" s="96"/>
      <c r="F18" s="96"/>
      <c r="G18" s="92"/>
    </row>
    <row r="19" spans="1:25" ht="20.100000000000001" customHeight="1" x14ac:dyDescent="0.25">
      <c r="A19"/>
      <c r="D19" s="98" t="s">
        <v>74</v>
      </c>
      <c r="E19" s="95"/>
      <c r="F19" s="95"/>
      <c r="G19" s="93"/>
      <c r="N19" s="44"/>
    </row>
    <row r="20" spans="1:25" ht="20.100000000000001" customHeight="1" x14ac:dyDescent="0.25">
      <c r="A20"/>
      <c r="D20" s="1"/>
      <c r="E20" s="34"/>
      <c r="F20" s="2"/>
      <c r="N20" s="45"/>
    </row>
    <row r="21" spans="1:25" ht="20.100000000000001" customHeight="1" x14ac:dyDescent="0.25">
      <c r="A21"/>
      <c r="D21" s="1" t="s">
        <v>9</v>
      </c>
      <c r="E21" s="43" t="s">
        <v>124</v>
      </c>
      <c r="F21" s="2" t="s">
        <v>12</v>
      </c>
    </row>
    <row r="22" spans="1:25" ht="20.100000000000001" customHeight="1" x14ac:dyDescent="0.25">
      <c r="A22"/>
      <c r="D22" s="1" t="s">
        <v>28</v>
      </c>
      <c r="E22" s="43" t="s">
        <v>37</v>
      </c>
      <c r="F22" s="2" t="s">
        <v>12</v>
      </c>
      <c r="G22" s="1"/>
    </row>
    <row r="23" spans="1:25" ht="20.100000000000001" customHeight="1" x14ac:dyDescent="0.25">
      <c r="A23"/>
      <c r="D23" s="1" t="s">
        <v>10</v>
      </c>
      <c r="E23" s="43" t="s">
        <v>98</v>
      </c>
      <c r="F23" s="2" t="s">
        <v>12</v>
      </c>
    </row>
    <row r="24" spans="1:25" ht="20.100000000000001" customHeight="1" x14ac:dyDescent="0.25">
      <c r="A24"/>
      <c r="D24" s="1" t="s">
        <v>42</v>
      </c>
      <c r="E24" s="36">
        <v>307.7</v>
      </c>
      <c r="F24" s="2" t="s">
        <v>56</v>
      </c>
    </row>
    <row r="25" spans="1:25" ht="20.100000000000001" customHeight="1" x14ac:dyDescent="0.25">
      <c r="A25"/>
      <c r="D25" s="1" t="s">
        <v>64</v>
      </c>
      <c r="E25" s="36">
        <v>18</v>
      </c>
      <c r="F25" s="2" t="s">
        <v>13</v>
      </c>
      <c r="N25" s="45"/>
    </row>
    <row r="26" spans="1:25" ht="20.100000000000001" customHeight="1" x14ac:dyDescent="0.25">
      <c r="A26"/>
      <c r="D26" s="1" t="s">
        <v>65</v>
      </c>
      <c r="E26" s="36">
        <v>3000</v>
      </c>
      <c r="F26" s="2" t="s">
        <v>14</v>
      </c>
    </row>
    <row r="27" spans="1:25" ht="20.100000000000001" customHeight="1" x14ac:dyDescent="0.25">
      <c r="A27"/>
      <c r="D27" s="10" t="s">
        <v>66</v>
      </c>
      <c r="E27" s="36">
        <v>1326</v>
      </c>
      <c r="F27" s="2" t="s">
        <v>14</v>
      </c>
    </row>
    <row r="28" spans="1:25" ht="20.100000000000001" customHeight="1" x14ac:dyDescent="0.25">
      <c r="A28"/>
      <c r="D28" s="1" t="s">
        <v>67</v>
      </c>
      <c r="E28" s="36">
        <v>7</v>
      </c>
      <c r="F28" s="2" t="s">
        <v>57</v>
      </c>
    </row>
    <row r="29" spans="1:25" ht="20.100000000000001" customHeight="1" x14ac:dyDescent="0.25">
      <c r="A29"/>
      <c r="D29" s="10" t="s">
        <v>63</v>
      </c>
      <c r="E29" s="56">
        <f>E26/E27</f>
        <v>2.2624434389140271</v>
      </c>
      <c r="F29" s="2"/>
    </row>
    <row r="30" spans="1:25" ht="20.100000000000001" customHeight="1" x14ac:dyDescent="0.25">
      <c r="A30"/>
      <c r="D30" s="10" t="s">
        <v>38</v>
      </c>
      <c r="E30" s="56" t="e" cm="1">
        <f t="array" ref="E30">Common_InputFunctions.Utility_LookupItemFromMinMax(E26,#REF!,#REF!,#REF!)</f>
        <v>#REF!</v>
      </c>
      <c r="G30" s="35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ht="20.100000000000001" customHeight="1" x14ac:dyDescent="0.25">
      <c r="A31"/>
      <c r="D31" s="1" t="s">
        <v>11</v>
      </c>
      <c r="E31" s="56" t="e" cm="1">
        <f t="array" ref="E31">Common_InputFunctions.Utility_GetClimateZone(E25,E26,E28,E24,E29)</f>
        <v>#REF!</v>
      </c>
      <c r="F31" s="1"/>
      <c r="G31" s="34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ht="20.100000000000001" customHeight="1" x14ac:dyDescent="0.25">
      <c r="A32"/>
      <c r="D32" s="1" t="s">
        <v>95</v>
      </c>
      <c r="E32" s="56" t="e" cm="1">
        <f t="array" ref="E32">Common_InputFunctions.Utility_LookupValueInTable($E$31,#REF!,#REF!)</f>
        <v>#REF!</v>
      </c>
      <c r="F32" s="1"/>
      <c r="G32" s="34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20.100000000000001" customHeight="1" x14ac:dyDescent="0.25">
      <c r="A33"/>
      <c r="D33" s="1" t="s">
        <v>55</v>
      </c>
      <c r="E33" s="56" t="str">
        <f>Common_InputFunctions.Utility_LookupItemFromMinMax(E25,Table_SourceData_TemperatureZones[Min MAT],Table_SourceData_TemperatureZones[Max MAT],Table_SourceData_TemperatureZones[Temperature Zone])</f>
        <v>Temperate</v>
      </c>
      <c r="G33" s="76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ht="20.100000000000001" customHeight="1" x14ac:dyDescent="0.25">
      <c r="A34"/>
      <c r="J34" s="65"/>
      <c r="K34" s="79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ht="20.100000000000001" customHeight="1" x14ac:dyDescent="0.25">
      <c r="A35"/>
      <c r="J35" s="65"/>
      <c r="K35" s="79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ht="20.100000000000001" customHeight="1" x14ac:dyDescent="0.25">
      <c r="A36"/>
      <c r="D36" s="77"/>
      <c r="E36" s="77"/>
      <c r="F36" s="78"/>
      <c r="G36" s="65"/>
      <c r="H36" s="65"/>
      <c r="I36" s="66"/>
      <c r="J36" s="65"/>
      <c r="K36" s="79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ht="20.100000000000001" customHeight="1" x14ac:dyDescent="0.25">
      <c r="A37"/>
      <c r="D37" s="77"/>
      <c r="E37" s="77"/>
      <c r="F37" s="78"/>
      <c r="G37" s="65"/>
      <c r="H37" s="65"/>
      <c r="I37" s="66"/>
      <c r="J37" s="65"/>
      <c r="K37" s="79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ht="20.100000000000001" customHeight="1" x14ac:dyDescent="0.25">
      <c r="A38"/>
      <c r="D38" s="77"/>
      <c r="E38" s="77"/>
      <c r="F38" s="78"/>
      <c r="G38" s="65"/>
      <c r="H38" s="65"/>
      <c r="I38" s="66"/>
      <c r="J38" s="65"/>
      <c r="K38" s="79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20.100000000000001" customHeight="1" x14ac:dyDescent="0.25">
      <c r="A39"/>
      <c r="D39" s="77"/>
      <c r="E39" s="77"/>
      <c r="F39" s="78"/>
      <c r="G39" s="65"/>
      <c r="H39" s="65"/>
      <c r="I39" s="66"/>
      <c r="J39" s="65"/>
      <c r="K39" s="79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20.100000000000001" customHeight="1" x14ac:dyDescent="0.25">
      <c r="A40"/>
      <c r="D40" s="80"/>
      <c r="E40" s="80"/>
      <c r="F40" s="80"/>
      <c r="G40" s="81"/>
      <c r="H40" s="82"/>
      <c r="I40" s="82"/>
      <c r="J40" s="82"/>
      <c r="K40" s="82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3"/>
      <c r="E47" s="83"/>
      <c r="F47" s="83"/>
      <c r="G47" s="83"/>
      <c r="H47" s="83"/>
    </row>
    <row r="48" spans="1:25" ht="20.100000000000001" customHeight="1" x14ac:dyDescent="0.25">
      <c r="D48" s="37"/>
      <c r="E48" s="37"/>
      <c r="F48" s="38"/>
      <c r="G48" s="38"/>
      <c r="H48" s="37"/>
    </row>
    <row r="49" spans="4:8" ht="20.100000000000001" customHeight="1" x14ac:dyDescent="0.25">
      <c r="D49" s="37"/>
      <c r="E49" s="37"/>
      <c r="F49" s="38"/>
      <c r="G49" s="38"/>
      <c r="H49" s="37"/>
    </row>
    <row r="50" spans="4:8" ht="20.100000000000001" customHeight="1" x14ac:dyDescent="0.25">
      <c r="D50" s="37"/>
      <c r="E50" s="37"/>
      <c r="F50" s="38"/>
      <c r="G50" s="38"/>
      <c r="H50" s="37"/>
    </row>
    <row r="51" spans="4:8" ht="20.100000000000001" customHeight="1" x14ac:dyDescent="0.25">
      <c r="D51" s="84"/>
      <c r="E51" s="85"/>
      <c r="F51" s="85"/>
      <c r="G51" s="85"/>
      <c r="H51" s="86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7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8"/>
    </row>
    <row r="58" spans="4:8" ht="20.100000000000001" customHeight="1" x14ac:dyDescent="0.25">
      <c r="D58" s="1"/>
      <c r="E58" s="89"/>
    </row>
    <row r="59" spans="4:8" ht="20.100000000000001" customHeight="1" x14ac:dyDescent="0.25">
      <c r="D59" s="1"/>
      <c r="E59" s="89"/>
    </row>
    <row r="60" spans="4:8" ht="20.100000000000001" customHeight="1" x14ac:dyDescent="0.25">
      <c r="D60" s="1"/>
      <c r="E60" s="90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9"/>
    </row>
    <row r="65" spans="4:9" ht="20.100000000000001" customHeight="1" x14ac:dyDescent="0.25">
      <c r="D65" s="1"/>
      <c r="E65" s="89"/>
    </row>
    <row r="66" spans="4:9" ht="20.100000000000001" customHeight="1" x14ac:dyDescent="0.25">
      <c r="D66" s="1"/>
      <c r="E66" s="90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4"/>
      <c r="E69" s="64"/>
      <c r="F69" s="64"/>
      <c r="G69" s="64"/>
      <c r="H69" s="64"/>
      <c r="I69" s="64"/>
    </row>
    <row r="70" spans="4:9" ht="20.100000000000001" customHeight="1" x14ac:dyDescent="0.25">
      <c r="D70" s="64"/>
      <c r="E70" s="64"/>
      <c r="F70" s="64"/>
      <c r="G70" s="64"/>
      <c r="H70" s="64"/>
      <c r="I70" s="64"/>
    </row>
    <row r="71" spans="4:9" ht="20.100000000000001" customHeight="1" x14ac:dyDescent="0.25">
      <c r="D71" s="64"/>
      <c r="E71" s="64"/>
      <c r="F71" s="64"/>
      <c r="G71" s="64"/>
      <c r="H71" s="64"/>
      <c r="I71" s="64"/>
    </row>
    <row r="72" spans="4:9" ht="20.100000000000001" customHeight="1" x14ac:dyDescent="0.25">
      <c r="D72" s="64"/>
      <c r="E72" s="64"/>
      <c r="F72" s="64"/>
      <c r="G72" s="64"/>
      <c r="H72" s="64"/>
      <c r="I72" s="64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1"/>
    </row>
    <row r="79" spans="4:9" ht="20.100000000000001" customHeight="1" x14ac:dyDescent="0.25">
      <c r="D79" s="91"/>
    </row>
    <row r="80" spans="4:9" ht="20.100000000000001" customHeight="1" x14ac:dyDescent="0.25">
      <c r="D80" s="91"/>
    </row>
    <row r="81" spans="4:4" ht="20.100000000000001" customHeight="1" x14ac:dyDescent="0.25">
      <c r="D81" s="91"/>
    </row>
    <row r="82" spans="4:4" ht="20.100000000000001" customHeight="1" x14ac:dyDescent="0.25">
      <c r="D82" s="91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topLeftCell="A34" workbookViewId="0">
      <selection activeCell="D63" sqref="D6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60" customWidth="1"/>
    <col min="12" max="17" width="30.7109375" style="60" customWidth="1"/>
    <col min="18" max="18" width="4.7109375" style="60" customWidth="1"/>
  </cols>
  <sheetData>
    <row r="1" spans="1:18" s="72" customFormat="1" ht="30" customHeight="1" x14ac:dyDescent="0.35">
      <c r="A1" s="72" t="e" vm="1">
        <v>#VALUE!</v>
      </c>
      <c r="C1" s="72" t="s">
        <v>113</v>
      </c>
      <c r="K1" s="60"/>
      <c r="L1" s="60"/>
      <c r="M1" s="60"/>
      <c r="N1" s="60"/>
      <c r="O1" s="60"/>
      <c r="P1" s="60"/>
      <c r="Q1" s="60"/>
      <c r="R1" s="60"/>
    </row>
    <row r="2" spans="1:18" s="9" customFormat="1" ht="20.100000000000001" customHeight="1" x14ac:dyDescent="0.25">
      <c r="K2" s="60"/>
      <c r="L2" s="60"/>
      <c r="M2" s="60"/>
      <c r="N2" s="60"/>
      <c r="O2" s="60"/>
      <c r="P2" s="60"/>
      <c r="Q2" s="60"/>
      <c r="R2" s="60"/>
    </row>
    <row r="3" spans="1:18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</row>
    <row r="4" spans="1:18" ht="20.100000000000001" customHeight="1" x14ac:dyDescent="0.25">
      <c r="A4" s="17" t="str">
        <f>HYPERLINK("#'Results'!A1", "Results")</f>
        <v>Results</v>
      </c>
    </row>
    <row r="5" spans="1:18" ht="20.100000000000001" customHeight="1" x14ac:dyDescent="0.25">
      <c r="A5" s="16"/>
      <c r="D5" s="6" t="s">
        <v>128</v>
      </c>
    </row>
    <row r="6" spans="1:18" ht="20.100000000000001" customHeight="1" x14ac:dyDescent="0.25">
      <c r="A6" s="20" t="s">
        <v>3</v>
      </c>
    </row>
    <row r="7" spans="1:18" ht="20.100000000000001" customHeight="1" x14ac:dyDescent="0.25">
      <c r="A7" s="17" t="str">
        <f>HYPERLINK("#'Input - Site'!A1", "Site")</f>
        <v>Site</v>
      </c>
      <c r="D7" s="67"/>
      <c r="E7" s="42" t="s">
        <v>152</v>
      </c>
      <c r="F7" s="42" t="s">
        <v>153</v>
      </c>
      <c r="G7" s="42" t="s">
        <v>154</v>
      </c>
    </row>
    <row r="8" spans="1:18" ht="20.100000000000001" customHeight="1" x14ac:dyDescent="0.25">
      <c r="A8" s="21" t="str">
        <f>HYPERLINK("#'Input - MMS - Feedlot'!A1", "MMS - Feedlot")</f>
        <v>MMS - 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10">
        <v>4300</v>
      </c>
      <c r="F8" s="110">
        <v>100</v>
      </c>
      <c r="G8" s="110">
        <v>100</v>
      </c>
      <c r="H8" s="2" t="s">
        <v>130</v>
      </c>
    </row>
    <row r="9" spans="1:18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10">
        <v>90</v>
      </c>
      <c r="F9" s="110">
        <v>140</v>
      </c>
      <c r="G9" s="110">
        <v>250</v>
      </c>
      <c r="H9" s="2" t="s">
        <v>57</v>
      </c>
    </row>
    <row r="10" spans="1:18" ht="20.100000000000001" customHeight="1" x14ac:dyDescent="0.25">
      <c r="A10" s="19" t="s">
        <v>79</v>
      </c>
    </row>
    <row r="11" spans="1:18" ht="20.100000000000001" customHeight="1" x14ac:dyDescent="0.25">
      <c r="A11" s="17" t="str">
        <f>HYPERLINK("#'Calcs - CH4 MMS Feedlot'!A1", "MMS Methane")</f>
        <v>MMS Methane</v>
      </c>
      <c r="D11" s="6" t="s">
        <v>108</v>
      </c>
    </row>
    <row r="12" spans="1:18" ht="20.100000000000001" customHeight="1" x14ac:dyDescent="0.25">
      <c r="A12" s="17"/>
    </row>
    <row r="13" spans="1:18" ht="20.100000000000001" customHeight="1" x14ac:dyDescent="0.25">
      <c r="A13" s="18" t="s">
        <v>4</v>
      </c>
      <c r="D13" s="67" t="s">
        <v>156</v>
      </c>
      <c r="E13" s="42" t="s">
        <v>152</v>
      </c>
      <c r="F13" s="42" t="s">
        <v>153</v>
      </c>
      <c r="G13" s="42" t="s">
        <v>154</v>
      </c>
    </row>
    <row r="14" spans="1:18" ht="20.100000000000001" customHeight="1" x14ac:dyDescent="0.25">
      <c r="A14" s="17" t="str">
        <f>HYPERLINK("#'Constants - Common'!A1", "Constants - Common")</f>
        <v>Constants - Common</v>
      </c>
      <c r="D14" s="1" t="s">
        <v>160</v>
      </c>
      <c r="E14" s="56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6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6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114</v>
      </c>
    </row>
    <row r="15" spans="1:18" ht="20.100000000000001" customHeight="1" x14ac:dyDescent="0.25">
      <c r="A15" s="17" t="str">
        <f>HYPERLINK("#'Constants - Livestock'!A1", "Constants - Livestock")</f>
        <v>Constants - Livestock</v>
      </c>
      <c r="D15" s="1" t="s">
        <v>20</v>
      </c>
      <c r="E15" s="56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6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6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103</v>
      </c>
    </row>
    <row r="16" spans="1:18" ht="20.100000000000001" customHeight="1" x14ac:dyDescent="0.25">
      <c r="A16" s="17" t="str">
        <f>HYPERLINK("#'Acknowledgements'!A1", "Acknowledgements")</f>
        <v>Acknowledgements</v>
      </c>
      <c r="D16" s="1" t="s">
        <v>145</v>
      </c>
      <c r="E16" s="56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6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6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103</v>
      </c>
    </row>
    <row r="17" spans="1:8" ht="20.100000000000001" customHeight="1" x14ac:dyDescent="0.25">
      <c r="A17" s="71"/>
      <c r="D17" s="1" t="s">
        <v>164</v>
      </c>
      <c r="E17" s="56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6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6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165</v>
      </c>
    </row>
    <row r="18" spans="1:8" ht="20.100000000000001" customHeight="1" x14ac:dyDescent="0.25">
      <c r="A18" s="17"/>
    </row>
    <row r="19" spans="1:8" ht="20.100000000000001" customHeight="1" x14ac:dyDescent="0.25">
      <c r="A19" s="17"/>
      <c r="D19" s="67" t="s">
        <v>157</v>
      </c>
      <c r="E19" s="42" t="s">
        <v>152</v>
      </c>
      <c r="F19" s="42" t="s">
        <v>153</v>
      </c>
      <c r="G19" s="42" t="s">
        <v>154</v>
      </c>
    </row>
    <row r="20" spans="1:8" ht="20.100000000000001" customHeight="1" x14ac:dyDescent="0.25">
      <c r="D20" s="1" t="s">
        <v>160</v>
      </c>
      <c r="E20" s="70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70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70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114</v>
      </c>
    </row>
    <row r="21" spans="1:8" ht="20.100000000000001" customHeight="1" x14ac:dyDescent="0.25">
      <c r="D21" s="1" t="s">
        <v>20</v>
      </c>
      <c r="E21" s="70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70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70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103</v>
      </c>
    </row>
    <row r="22" spans="1:8" ht="20.100000000000001" customHeight="1" x14ac:dyDescent="0.25">
      <c r="D22" s="1" t="s">
        <v>145</v>
      </c>
      <c r="E22" s="70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70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70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103</v>
      </c>
    </row>
    <row r="23" spans="1:8" ht="20.100000000000001" customHeight="1" x14ac:dyDescent="0.25">
      <c r="A23" s="71"/>
      <c r="D23" s="1" t="s">
        <v>164</v>
      </c>
      <c r="E23" s="70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70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70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165</v>
      </c>
    </row>
    <row r="24" spans="1:8" ht="20.100000000000001" customHeight="1" x14ac:dyDescent="0.25"/>
    <row r="25" spans="1:8" ht="20.100000000000001" customHeight="1" x14ac:dyDescent="0.25">
      <c r="A25" s="17"/>
      <c r="D25" s="6" t="s">
        <v>118</v>
      </c>
    </row>
    <row r="26" spans="1:8" ht="20.100000000000001" customHeight="1" x14ac:dyDescent="0.25">
      <c r="A26" s="17"/>
    </row>
    <row r="27" spans="1:8" ht="20.100000000000001" customHeight="1" x14ac:dyDescent="0.25">
      <c r="A27" s="17"/>
      <c r="D27" s="52" t="s">
        <v>131</v>
      </c>
    </row>
    <row r="28" spans="1:8" ht="20.100000000000001" customHeight="1" x14ac:dyDescent="0.25">
      <c r="A28" s="17"/>
      <c r="D28" s="67" t="s">
        <v>112</v>
      </c>
      <c r="E28" s="102" t="s">
        <v>152</v>
      </c>
      <c r="F28" s="102" t="s">
        <v>153</v>
      </c>
      <c r="G28" s="102" t="s">
        <v>154</v>
      </c>
    </row>
    <row r="29" spans="1:8" ht="20.100000000000001" customHeight="1" x14ac:dyDescent="0.25">
      <c r="A29" s="17"/>
      <c r="D29" s="1" t="s">
        <v>105</v>
      </c>
      <c r="E29" s="103">
        <v>1</v>
      </c>
      <c r="F29" s="103">
        <v>1</v>
      </c>
      <c r="G29" s="103">
        <v>1</v>
      </c>
      <c r="H29" s="2" t="s">
        <v>21</v>
      </c>
    </row>
    <row r="30" spans="1:8" ht="20.100000000000001" customHeight="1" x14ac:dyDescent="0.25">
      <c r="A30" s="17"/>
    </row>
    <row r="31" spans="1:8" ht="20.100000000000001" customHeight="1" x14ac:dyDescent="0.25">
      <c r="A31" s="71"/>
    </row>
    <row r="32" spans="1:8" ht="20.100000000000001" customHeight="1" x14ac:dyDescent="0.25">
      <c r="A32" s="71"/>
      <c r="D32" s="52" t="s">
        <v>132</v>
      </c>
    </row>
    <row r="33" spans="1:8" ht="20.100000000000001" customHeight="1" x14ac:dyDescent="0.25">
      <c r="A33" s="17"/>
      <c r="D33" s="102" t="s">
        <v>107</v>
      </c>
      <c r="E33" s="102" t="s">
        <v>152</v>
      </c>
      <c r="F33" s="102" t="s">
        <v>153</v>
      </c>
      <c r="G33" s="102" t="s">
        <v>154</v>
      </c>
    </row>
    <row r="34" spans="1:8" ht="20.100000000000001" customHeight="1" x14ac:dyDescent="0.25">
      <c r="D34" s="57" t="str">
        <f>"Sent from Stage 1: " &amp; $D$29 &amp; " to:"</f>
        <v>Sent from Stage 1: Drylot (feed pad) to:</v>
      </c>
      <c r="E34" s="59"/>
    </row>
    <row r="35" spans="1:8" ht="20.100000000000001" customHeight="1" x14ac:dyDescent="0.25">
      <c r="D35" s="1" t="str">
        <f>'Source Data - Feedlot'!D29</f>
        <v>Solid storage</v>
      </c>
      <c r="E35" s="50">
        <v>0.2</v>
      </c>
      <c r="F35" s="50">
        <v>0.2</v>
      </c>
      <c r="G35" s="50">
        <v>0.2</v>
      </c>
      <c r="H35" s="2" t="s">
        <v>21</v>
      </c>
    </row>
    <row r="36" spans="1:8" ht="20.100000000000001" customHeight="1" x14ac:dyDescent="0.25">
      <c r="D36" s="1" t="str">
        <f>'Source Data - Feedlot'!D30</f>
        <v>Composting (passive windrow)</v>
      </c>
      <c r="E36" s="103">
        <f>1-E35</f>
        <v>0.8</v>
      </c>
      <c r="F36" s="103">
        <f t="shared" ref="F36:G36" si="0">1-F35</f>
        <v>0.8</v>
      </c>
      <c r="G36" s="103">
        <f t="shared" si="0"/>
        <v>0.8</v>
      </c>
      <c r="H36" s="2" t="s">
        <v>21</v>
      </c>
    </row>
    <row r="37" spans="1:8" ht="20.100000000000001" customHeight="1" x14ac:dyDescent="0.25"/>
    <row r="38" spans="1:8" ht="20.100000000000001" customHeight="1" x14ac:dyDescent="0.25"/>
    <row r="39" spans="1:8" ht="20.100000000000001" customHeight="1" x14ac:dyDescent="0.25">
      <c r="A39" s="17"/>
      <c r="D39" s="52" t="s">
        <v>133</v>
      </c>
    </row>
    <row r="40" spans="1:8" ht="20.100000000000001" customHeight="1" x14ac:dyDescent="0.25">
      <c r="D40" s="67" t="s">
        <v>126</v>
      </c>
      <c r="E40" s="102" t="s">
        <v>152</v>
      </c>
      <c r="F40" s="102" t="s">
        <v>153</v>
      </c>
      <c r="G40" s="102" t="s">
        <v>154</v>
      </c>
    </row>
    <row r="41" spans="1:8" ht="20.100000000000001" customHeight="1" x14ac:dyDescent="0.25">
      <c r="A41" s="48"/>
      <c r="D41" s="1" t="str">
        <f>'Source Data - Feedlot'!$D$32</f>
        <v>Anaerobic lagoon</v>
      </c>
      <c r="E41" s="103">
        <f>'Source Data - Feedlot'!$E$12</f>
        <v>0.02</v>
      </c>
      <c r="F41" s="103">
        <f>'Source Data - Feedlot'!$E$12</f>
        <v>0.02</v>
      </c>
      <c r="G41" s="103">
        <f>'Source Data - Feedlot'!$E$12</f>
        <v>0.02</v>
      </c>
      <c r="H41" s="2" t="s">
        <v>21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>
      <c r="D44" s="52" t="s">
        <v>106</v>
      </c>
    </row>
    <row r="45" spans="1:8" ht="20.100000000000001" customHeight="1" x14ac:dyDescent="0.25">
      <c r="D45" s="67" t="s">
        <v>126</v>
      </c>
      <c r="E45" s="102" t="s">
        <v>152</v>
      </c>
      <c r="F45" s="102" t="s">
        <v>153</v>
      </c>
      <c r="G45" s="102" t="s">
        <v>154</v>
      </c>
    </row>
    <row r="46" spans="1:8" ht="20.100000000000001" customHeight="1" x14ac:dyDescent="0.25">
      <c r="D46" s="57" t="str">
        <f>"Sent from stage 2: " &amp; $D$35 &amp; " to:"</f>
        <v>Sent from stage 2: Solid storage to:</v>
      </c>
      <c r="E46" s="59"/>
    </row>
    <row r="47" spans="1:8" ht="20.100000000000001" customHeight="1" x14ac:dyDescent="0.25">
      <c r="D47" s="1" t="s">
        <v>143</v>
      </c>
      <c r="E47" s="50">
        <v>0.25</v>
      </c>
      <c r="F47" s="50">
        <v>0.25</v>
      </c>
      <c r="G47" s="50">
        <v>0.25</v>
      </c>
      <c r="H47" s="2" t="s">
        <v>21</v>
      </c>
    </row>
    <row r="48" spans="1:8" ht="20.100000000000001" customHeight="1" x14ac:dyDescent="0.25">
      <c r="D48" s="1" t="str">
        <f>"Applied to farm soils as fertiliser" &amp; IF(SUM($E$48:$G$48)&gt;0, "⚠️", "")</f>
        <v>Applied to farm soils as fertiliser⚠️</v>
      </c>
      <c r="E48" s="50">
        <v>0.25</v>
      </c>
      <c r="F48" s="50">
        <v>0.25</v>
      </c>
      <c r="G48" s="50">
        <v>0.25</v>
      </c>
      <c r="H48" s="2" t="s">
        <v>21</v>
      </c>
    </row>
    <row r="49" spans="4:8" ht="20.100000000000001" customHeight="1" x14ac:dyDescent="0.25">
      <c r="D49" s="1" t="s">
        <v>261</v>
      </c>
      <c r="E49" s="103">
        <f t="shared" ref="E49:G49" si="1">1-SUM(E47:E48)</f>
        <v>0.5</v>
      </c>
      <c r="F49" s="103">
        <f t="shared" si="1"/>
        <v>0.5</v>
      </c>
      <c r="G49" s="103">
        <f t="shared" si="1"/>
        <v>0.5</v>
      </c>
      <c r="H49" s="2" t="s">
        <v>21</v>
      </c>
    </row>
    <row r="50" spans="4:8" ht="20.100000000000001" customHeight="1" x14ac:dyDescent="0.25"/>
    <row r="51" spans="4:8" ht="20.100000000000001" customHeight="1" x14ac:dyDescent="0.25">
      <c r="D51" s="57" t="str">
        <f>"Sent from stage 2: " &amp; $D$36 &amp; " to:"</f>
        <v>Sent from stage 2: Composting (passive windrow) to:</v>
      </c>
    </row>
    <row r="52" spans="4:8" ht="20.100000000000001" customHeight="1" x14ac:dyDescent="0.25">
      <c r="D52" s="1" t="s">
        <v>143</v>
      </c>
      <c r="E52" s="50">
        <v>0.25</v>
      </c>
      <c r="F52" s="50">
        <v>0.25</v>
      </c>
      <c r="G52" s="50">
        <v>0.25</v>
      </c>
      <c r="H52" s="2" t="s">
        <v>21</v>
      </c>
    </row>
    <row r="53" spans="4:8" ht="20.100000000000001" customHeight="1" x14ac:dyDescent="0.25">
      <c r="D53" s="1" t="str">
        <f>"Applied to farm soils as fertiliser" &amp; IF(SUM($E$53:$G$53)&gt;0, "⚠️", "")</f>
        <v>Applied to farm soils as fertiliser⚠️</v>
      </c>
      <c r="E53" s="50">
        <v>0.25</v>
      </c>
      <c r="F53" s="50">
        <v>0.25</v>
      </c>
      <c r="G53" s="50">
        <v>0.25</v>
      </c>
      <c r="H53" s="2" t="s">
        <v>21</v>
      </c>
    </row>
    <row r="54" spans="4:8" ht="20.100000000000001" customHeight="1" x14ac:dyDescent="0.25">
      <c r="D54" s="1" t="s">
        <v>261</v>
      </c>
      <c r="E54" s="103">
        <f>1-SUM(E52:E53)</f>
        <v>0.5</v>
      </c>
      <c r="F54" s="103">
        <f t="shared" ref="F54:G54" si="2">1-SUM(F52:F53)</f>
        <v>0.5</v>
      </c>
      <c r="G54" s="103">
        <f t="shared" si="2"/>
        <v>0.5</v>
      </c>
      <c r="H54" s="2" t="s">
        <v>21</v>
      </c>
    </row>
    <row r="55" spans="4:8" ht="20.100000000000001" customHeight="1" x14ac:dyDescent="0.25"/>
    <row r="56" spans="4:8" ht="20.100000000000001" customHeight="1" x14ac:dyDescent="0.25">
      <c r="D56" s="57" t="str">
        <f>"Sent from stage 3: " &amp; $D$41 &amp; " to:"</f>
        <v>Sent from stage 3: Anaerobic lagoon to:</v>
      </c>
    </row>
    <row r="57" spans="4:8" ht="20.100000000000001" customHeight="1" x14ac:dyDescent="0.25">
      <c r="D57" s="1" t="s">
        <v>143</v>
      </c>
      <c r="E57" s="50">
        <v>0.25</v>
      </c>
      <c r="F57" s="50">
        <v>0.25</v>
      </c>
      <c r="G57" s="50">
        <v>0.25</v>
      </c>
      <c r="H57" s="2" t="s">
        <v>21</v>
      </c>
    </row>
    <row r="58" spans="4:8" ht="20.100000000000001" customHeight="1" x14ac:dyDescent="0.25">
      <c r="D58" s="1" t="str">
        <f>"Applied to farm soils as fertiliser" &amp; IF(SUM($E$53:$G$53)&gt;0, "⚠️", "")</f>
        <v>Applied to farm soils as fertiliser⚠️</v>
      </c>
      <c r="E58" s="50">
        <v>0.25</v>
      </c>
      <c r="F58" s="50">
        <v>0.25</v>
      </c>
      <c r="G58" s="50">
        <v>0.25</v>
      </c>
      <c r="H58" s="2" t="s">
        <v>21</v>
      </c>
    </row>
    <row r="59" spans="4:8" ht="20.100000000000001" customHeight="1" x14ac:dyDescent="0.25">
      <c r="D59" s="1" t="s">
        <v>261</v>
      </c>
      <c r="E59" s="103">
        <f>1-SUM(E57:E58)</f>
        <v>0.5</v>
      </c>
      <c r="F59" s="103">
        <f t="shared" ref="F59:G59" si="3">1-SUM(F57:F58)</f>
        <v>0.5</v>
      </c>
      <c r="G59" s="103">
        <f t="shared" si="3"/>
        <v>0.5</v>
      </c>
      <c r="H59" s="2" t="s">
        <v>21</v>
      </c>
    </row>
    <row r="60" spans="4:8" ht="20.100000000000001" customHeight="1" x14ac:dyDescent="0.25">
      <c r="D60" s="117" t="str">
        <f>IF((SUM(E48:G48)+SUM($E$53:$G$53)+SUM($E$58:$G$58))&gt;0,"⚠️ Alert: manure applied to farm soils as fertiliser needs to be accounted for against the relevant crop or herd","")</f>
        <v>⚠️ Alert: manure applied to farm soils as fertiliser needs to be accounted for against the relevant crop or herd</v>
      </c>
    </row>
    <row r="61" spans="4:8" ht="20.100000000000001" customHeight="1" x14ac:dyDescent="0.25"/>
    <row r="62" spans="4:8" ht="20.100000000000001" customHeight="1" x14ac:dyDescent="0.25"/>
    <row r="63" spans="4:8" ht="20.100000000000001" customHeight="1" x14ac:dyDescent="0.25">
      <c r="D63" s="1" t="s">
        <v>308</v>
      </c>
    </row>
    <row r="64" spans="4:8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disablePrompts="1" count="3">
    <dataValidation type="list" allowBlank="1" showInputMessage="1" showErrorMessage="1" sqref="D30" xr:uid="{4E913AB3-F90B-4C35-BCE1-5DBB8FC05107}">
      <formula1>INDIRECT("Table_SourceData_PoultryMMSStage1[MMS]")</formula1>
    </dataValidation>
    <dataValidation type="whole" operator="equal" allowBlank="1" showInputMessage="1" showErrorMessage="1" sqref="E29:G29" xr:uid="{AD2F5710-950E-4169-B1DB-B494F727C0BB}">
      <formula1>1</formula1>
    </dataValidation>
    <dataValidation operator="equal" allowBlank="1" showInputMessage="1" showErrorMessage="1" sqref="E41:G41" xr:uid="{C4745536-8208-45E9-8F7A-99B1E2C943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D29</xm:sqref>
        </x14:dataValidation>
        <x14:dataValidation type="list" allowBlank="1" showInputMessage="1" showErrorMessage="1" xr:uid="{E07FB3AA-F53C-4B65-95CE-912A14C9716E}">
          <x14:formula1>
            <xm:f>'Source Data - Feedlot'!$D$32</xm:f>
          </x14:formula1>
          <xm:sqref>D41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69"/>
  <sheetViews>
    <sheetView showGridLines="0" topLeftCell="A34" workbookViewId="0">
      <selection activeCell="G45" sqref="G4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72" t="e" vm="1">
        <v>#VALUE!</v>
      </c>
      <c r="C1" s="8" t="s">
        <v>299</v>
      </c>
    </row>
    <row r="2" spans="1:24" s="9" customFormat="1" ht="20.100000000000001" customHeight="1" x14ac:dyDescent="0.25"/>
    <row r="3" spans="1:24" ht="20.100000000000001" customHeight="1" x14ac:dyDescent="0.25">
      <c r="A3" s="17" t="str">
        <f>HYPERLINK("#'Home'!A1", "Home")</f>
        <v>Home</v>
      </c>
      <c r="C3" s="4"/>
      <c r="D3" s="4" t="s">
        <v>176</v>
      </c>
      <c r="E3" s="4"/>
      <c r="F3" s="4"/>
      <c r="G3" s="4"/>
      <c r="H3" s="4"/>
      <c r="I3" s="4"/>
      <c r="J3" s="4"/>
      <c r="L3" s="4"/>
      <c r="M3" s="4" t="s">
        <v>177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7" t="str">
        <f>HYPERLINK("#'Results'!A1", "Results")</f>
        <v>Results</v>
      </c>
    </row>
    <row r="5" spans="1:24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24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24" ht="20.100000000000001" customHeight="1" x14ac:dyDescent="0.25">
      <c r="A7" s="17" t="str">
        <f>HYPERLINK("#'Input - Site'!A1", "Site")</f>
        <v>Site</v>
      </c>
      <c r="D7" s="13" t="s">
        <v>29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24" ht="20.100000000000001" customHeight="1" x14ac:dyDescent="0.25">
      <c r="A8" s="17" t="str">
        <f>HYPERLINK("#'Input - MMS - Feedlot'!A1", "MMS - Feedlot")</f>
        <v>MMS - Feedlot</v>
      </c>
    </row>
    <row r="9" spans="1:24" ht="20.100000000000001" customHeight="1" x14ac:dyDescent="0.25">
      <c r="A9" s="17"/>
    </row>
    <row r="10" spans="1:24" ht="20.100000000000001" customHeight="1" x14ac:dyDescent="0.25">
      <c r="A10" s="19" t="s">
        <v>79</v>
      </c>
      <c r="D10" s="57" t="s">
        <v>32</v>
      </c>
      <c r="E10" s="1" t="str" cm="1">
        <f t="array" ref="E10">MMS_Feedlot_Methane_Equations.VEERG_4_1_1_1__5_VolatileSolidProduction_Variable()</f>
        <v>VS_j</v>
      </c>
    </row>
    <row r="11" spans="1:24" ht="20.100000000000001" customHeight="1" x14ac:dyDescent="0.25">
      <c r="A11" s="22" t="str">
        <f>HYPERLINK("#'Calcs - CH4 MMS Feedlot'!A1", "MMS Methane")</f>
        <v>MMS Methane</v>
      </c>
      <c r="D11" s="57" t="s">
        <v>22</v>
      </c>
      <c r="E11" s="58" t="str" cm="1">
        <f t="array" ref="E11">MMS_Feedlot_Methane_Equations.VEERG_4_1_1_1__5_VolatileSolidProduction_Unit()</f>
        <v>kg/head/day</v>
      </c>
    </row>
    <row r="12" spans="1:24" ht="20.100000000000001" customHeight="1" x14ac:dyDescent="0.25">
      <c r="A12" s="17" t="s">
        <v>123</v>
      </c>
    </row>
    <row r="13" spans="1:24" ht="20.100000000000001" customHeight="1" x14ac:dyDescent="0.25">
      <c r="D13" s="61" t="str" cm="1">
        <f t="array" ref="D13:E15">MMS_Feedlot_Methane_Equations.VEERG_4_1_1_1__5_VolatileSolidProduction_Arguments()</f>
        <v>I_j</v>
      </c>
      <c r="E13" s="62" t="str">
        <v>dry matter intake for each group j : kg DM/head/day</v>
      </c>
      <c r="F13" s="63"/>
      <c r="G13" s="61" t="str">
        <f>"See " &amp; D17</f>
        <v>See M1_Table_I_j</v>
      </c>
    </row>
    <row r="14" spans="1:24" ht="20.100000000000001" customHeight="1" x14ac:dyDescent="0.25">
      <c r="A14" s="18" t="s">
        <v>4</v>
      </c>
      <c r="D14" s="61" t="str">
        <v>DMD_j</v>
      </c>
      <c r="E14" s="62" t="str">
        <v>dry matter digestibility for each group j : fraction</v>
      </c>
      <c r="F14" s="63"/>
      <c r="G14" s="61" t="str">
        <f>"See " &amp; D22</f>
        <v>See M1_Table_DMD_j</v>
      </c>
    </row>
    <row r="15" spans="1:24" ht="20.100000000000001" customHeight="1" x14ac:dyDescent="0.25">
      <c r="A15" s="17" t="str">
        <f>HYPERLINK("#'Constants - Common'!A1", "Constants - Common")</f>
        <v>Constants - Common</v>
      </c>
      <c r="D15" s="61" t="str">
        <v>A</v>
      </c>
      <c r="E15" s="62" t="str">
        <v>ash content of manure : fraction</v>
      </c>
      <c r="F15" s="63"/>
      <c r="G15" s="56">
        <f>'Source Data - Feedlot'!$E$17</f>
        <v>0.16</v>
      </c>
    </row>
    <row r="16" spans="1:24" ht="20.100000000000001" customHeight="1" x14ac:dyDescent="0.25">
      <c r="A16" s="17" t="str">
        <f>HYPERLINK("#'Constants - Livestock'!A1", "Constants - Livestock")</f>
        <v>Constants - Livestock</v>
      </c>
    </row>
    <row r="17" spans="1:16" ht="20.100000000000001" customHeight="1" x14ac:dyDescent="0.25">
      <c r="A17" s="17" t="str">
        <f>HYPERLINK("#'Acknowledgements'!A1", "Acknowledgements")</f>
        <v>Acknowledgements</v>
      </c>
      <c r="D17" s="106" t="s">
        <v>166</v>
      </c>
      <c r="M17" s="106" t="s">
        <v>169</v>
      </c>
    </row>
    <row r="18" spans="1:16" ht="20.100000000000001" customHeight="1" x14ac:dyDescent="0.25">
      <c r="A18" s="71"/>
      <c r="D18" s="105" t="s">
        <v>214</v>
      </c>
      <c r="M18" s="105" t="s">
        <v>215</v>
      </c>
    </row>
    <row r="19" spans="1:16" ht="20.100000000000001" customHeight="1" x14ac:dyDescent="0.25">
      <c r="A19" s="17"/>
      <c r="D19" s="55" t="s">
        <v>152</v>
      </c>
      <c r="E19" s="55" t="s">
        <v>153</v>
      </c>
      <c r="F19" s="55" t="s">
        <v>154</v>
      </c>
      <c r="M19" s="55" t="s">
        <v>152</v>
      </c>
      <c r="N19" s="55" t="s">
        <v>153</v>
      </c>
      <c r="O19" s="55" t="s">
        <v>154</v>
      </c>
    </row>
    <row r="20" spans="1:16" ht="20.100000000000001" customHeight="1" x14ac:dyDescent="0.25">
      <c r="A20" s="17"/>
      <c r="D20" s="56">
        <f>'Input - MMS - Feedlot'!$E$14</f>
        <v>10.4</v>
      </c>
      <c r="E20" s="56">
        <f>'Input - MMS - Feedlot'!$F$14</f>
        <v>10.8</v>
      </c>
      <c r="F20" s="56">
        <f>'Input - MMS - Feedlot'!$G$14</f>
        <v>8.1999999999999993</v>
      </c>
      <c r="G20" s="2" t="s">
        <v>109</v>
      </c>
      <c r="M20" s="56">
        <f>'Input - MMS - Feedlot'!$E$20</f>
        <v>10.4</v>
      </c>
      <c r="N20" s="56">
        <f>'Input - MMS - Feedlot'!$F$20</f>
        <v>10.8</v>
      </c>
      <c r="O20" s="56">
        <f>'Input - MMS - Feedlot'!$G$20</f>
        <v>8.1999999999999993</v>
      </c>
      <c r="P20" s="2" t="s">
        <v>109</v>
      </c>
    </row>
    <row r="21" spans="1:16" ht="20.100000000000001" customHeight="1" x14ac:dyDescent="0.25">
      <c r="A21" t="s">
        <v>19</v>
      </c>
    </row>
    <row r="22" spans="1:16" ht="20.100000000000001" customHeight="1" x14ac:dyDescent="0.25">
      <c r="D22" s="106" t="s">
        <v>218</v>
      </c>
      <c r="M22" s="106" t="s">
        <v>222</v>
      </c>
    </row>
    <row r="23" spans="1:16" ht="20.100000000000001" customHeight="1" x14ac:dyDescent="0.25">
      <c r="D23" s="105" t="s">
        <v>221</v>
      </c>
      <c r="M23" s="105" t="s">
        <v>221</v>
      </c>
    </row>
    <row r="24" spans="1:16" ht="20.100000000000001" customHeight="1" x14ac:dyDescent="0.25">
      <c r="D24" s="55" t="s">
        <v>152</v>
      </c>
      <c r="E24" s="55" t="s">
        <v>153</v>
      </c>
      <c r="F24" s="55" t="s">
        <v>154</v>
      </c>
      <c r="M24" s="55" t="s">
        <v>152</v>
      </c>
      <c r="N24" s="55" t="s">
        <v>153</v>
      </c>
      <c r="O24" s="55" t="s">
        <v>154</v>
      </c>
    </row>
    <row r="25" spans="1:16" ht="20.100000000000001" customHeight="1" x14ac:dyDescent="0.25">
      <c r="D25" s="56">
        <f>'Input - MMS - Feedlot'!$E$15</f>
        <v>0.81</v>
      </c>
      <c r="E25" s="56">
        <f>'Input - MMS - Feedlot'!$F$15</f>
        <v>0.81</v>
      </c>
      <c r="F25" s="56">
        <f>'Input - MMS - Feedlot'!$G$15</f>
        <v>0.81</v>
      </c>
      <c r="G25" s="2" t="s">
        <v>103</v>
      </c>
      <c r="M25" s="56">
        <f>'Input - MMS - Feedlot'!$E$21</f>
        <v>0.81</v>
      </c>
      <c r="N25" s="56">
        <f>'Input - MMS - Feedlot'!$F$21</f>
        <v>0.81</v>
      </c>
      <c r="O25" s="56">
        <f>'Input - MMS - Feedlot'!$G$21</f>
        <v>0.81</v>
      </c>
      <c r="P25" s="2" t="s">
        <v>103</v>
      </c>
    </row>
    <row r="26" spans="1:16" ht="20.100000000000001" customHeight="1" x14ac:dyDescent="0.25"/>
    <row r="27" spans="1:16" ht="20.100000000000001" customHeight="1" x14ac:dyDescent="0.25">
      <c r="D27" s="106" t="s">
        <v>219</v>
      </c>
      <c r="M27" s="106" t="s">
        <v>223</v>
      </c>
    </row>
    <row r="28" spans="1:16" ht="20.100000000000001" customHeight="1" x14ac:dyDescent="0.25">
      <c r="D28" s="105" t="s">
        <v>220</v>
      </c>
      <c r="M28" s="105" t="s">
        <v>224</v>
      </c>
    </row>
    <row r="29" spans="1:16" ht="20.100000000000001" customHeight="1" x14ac:dyDescent="0.25">
      <c r="D29" s="55" t="s">
        <v>152</v>
      </c>
      <c r="E29" s="55" t="s">
        <v>153</v>
      </c>
      <c r="F29" s="55" t="s">
        <v>154</v>
      </c>
      <c r="M29" s="55" t="s">
        <v>152</v>
      </c>
      <c r="N29" s="55" t="s">
        <v>153</v>
      </c>
      <c r="O29" s="55" t="s">
        <v>154</v>
      </c>
    </row>
    <row r="30" spans="1:16" ht="20.100000000000001" customHeight="1" x14ac:dyDescent="0.25">
      <c r="D30" s="56" cm="1">
        <f t="array" ref="D30">MMS_Feedlot_Methane_Equations.VEERG_4_1_1_1__5_VolatileSolidProduction(D20,D25,$G$15)</f>
        <v>1.6598399999999995</v>
      </c>
      <c r="E30" s="56" cm="1">
        <f t="array" ref="E30">MMS_Feedlot_Methane_Equations.VEERG_4_1_1_1__5_VolatileSolidProduction(E20,E25,$G$15)</f>
        <v>1.7236799999999997</v>
      </c>
      <c r="F30" s="56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6" cm="1">
        <f t="array" ref="M30">MMS_Feedlot_Methane_Equations.VEERG_4_1_1_1__5_VolatileSolidProduction(M20,M25,$G$15)</f>
        <v>1.6598399999999995</v>
      </c>
      <c r="N30" s="56" cm="1">
        <f t="array" ref="N30">MMS_Feedlot_Methane_Equations.VEERG_4_1_1_1__5_VolatileSolidProduction(N20,N25,$G$15)</f>
        <v>1.7236799999999997</v>
      </c>
      <c r="O30" s="56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9" ht="20.100000000000001" customHeight="1" x14ac:dyDescent="0.25">
      <c r="C33" s="49"/>
      <c r="D33" s="49"/>
      <c r="E33" s="49"/>
      <c r="F33" s="49"/>
      <c r="G33" s="49"/>
      <c r="H33" s="49"/>
      <c r="I33" s="49"/>
      <c r="J33" s="49"/>
      <c r="L33" s="49"/>
      <c r="M33" s="49"/>
      <c r="N33" s="49"/>
      <c r="O33" s="49"/>
      <c r="P33" s="49"/>
      <c r="Q33" s="49"/>
      <c r="R33" s="49"/>
      <c r="S33" s="49"/>
    </row>
    <row r="34" spans="3:19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9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9" ht="20.100000000000001" customHeight="1" x14ac:dyDescent="0.25">
      <c r="D36" s="13" t="s">
        <v>29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9" ht="20.100000000000001" customHeight="1" x14ac:dyDescent="0.25"/>
    <row r="38" spans="3:19" ht="20.100000000000001" customHeight="1" x14ac:dyDescent="0.25"/>
    <row r="39" spans="3:19" ht="20.100000000000001" customHeight="1" x14ac:dyDescent="0.25">
      <c r="D39" s="57" t="s">
        <v>32</v>
      </c>
      <c r="E39" s="1" t="str" cm="1">
        <f t="array" ref="E39">MMS_Feedlot_Methane_Equations.VEERG_4_1_1_1__2_Stage1MethaneProductionDrylot_Variable()</f>
        <v>M_jm5T1</v>
      </c>
    </row>
    <row r="40" spans="3:19" ht="20.100000000000001" customHeight="1" x14ac:dyDescent="0.25">
      <c r="D40" s="57" t="s">
        <v>22</v>
      </c>
      <c r="E40" s="58" t="str" cm="1">
        <f t="array" ref="E40">MMS_Feedlot_Methane_Equations.VEERG_4_1_1_1__2_Stage1MethaneProductionDrylot_Unit()</f>
        <v>kg CH4/head/day</v>
      </c>
    </row>
    <row r="41" spans="3:19" ht="20.100000000000001" customHeight="1" x14ac:dyDescent="0.25"/>
    <row r="42" spans="3:19" ht="20.100000000000001" customHeight="1" x14ac:dyDescent="0.25">
      <c r="D42" s="61" t="str" cm="1">
        <f t="array" ref="D42:E47">MMS_Feedlot_Methane_Equations.VEERG_4_1_1_1__2_Stage1MethaneProductionDrylot_Arguments()</f>
        <v>VS_j</v>
      </c>
      <c r="E42" s="62" t="str">
        <v>volatile solid production from feedlot cattle in each group : kg/head/day</v>
      </c>
      <c r="F42" s="63"/>
      <c r="G42" s="61" t="str">
        <f>"See " &amp; $D$27</f>
        <v>See M1_Table_VS_j</v>
      </c>
    </row>
    <row r="43" spans="3:19" ht="20.100000000000001" customHeight="1" x14ac:dyDescent="0.25">
      <c r="D43" s="61" t="str">
        <v>BO</v>
      </c>
      <c r="E43" s="62" t="str">
        <v>emissions potential : m3 CH4/kg VS</v>
      </c>
      <c r="F43" s="63"/>
      <c r="G43" s="61">
        <f>'Source Data - Feedlot'!$E$22</f>
        <v>0.19</v>
      </c>
    </row>
    <row r="44" spans="3:19" ht="20.100000000000001" customHeight="1" x14ac:dyDescent="0.25">
      <c r="D44" s="61" t="str">
        <v>MMS_m5T1</v>
      </c>
      <c r="E44" s="62" t="str">
        <v>fraction of manure in primary system drylot MMS : fraction</v>
      </c>
      <c r="F44" s="63"/>
      <c r="G44" s="61" t="str">
        <f>"See" &amp; D49</f>
        <v>SeeTable_MMS_m-5_T-1</v>
      </c>
    </row>
    <row r="45" spans="3:19" ht="20.100000000000001" customHeight="1" x14ac:dyDescent="0.25">
      <c r="D45" s="61" t="str">
        <v>MCF_im5</v>
      </c>
      <c r="E45" s="62" t="str">
        <v>methane conversion factor for temperature zone and drylot system : fraction</v>
      </c>
      <c r="F45" s="63"/>
      <c r="G45" s="61" t="e">
        <f>HLOOKUP(G47, Table_SourceData_Feedlot_MCF[#All], 2, FALSE)</f>
        <v>#REF!</v>
      </c>
    </row>
    <row r="46" spans="3:19" ht="20.100000000000001" customHeight="1" x14ac:dyDescent="0.25">
      <c r="D46" s="61" t="str">
        <v>rho</v>
      </c>
      <c r="E46" s="62" t="str">
        <v>density of methane : kg/m3</v>
      </c>
      <c r="F46" s="63"/>
      <c r="G46" s="61" t="e">
        <f>#REF!</f>
        <v>#REF!</v>
      </c>
    </row>
    <row r="47" spans="3:19" ht="20.100000000000001" customHeight="1" x14ac:dyDescent="0.25">
      <c r="D47" s="61" t="str">
        <v>i</v>
      </c>
      <c r="E47" s="62" t="str">
        <v>state</v>
      </c>
      <c r="F47" s="63"/>
      <c r="G47" s="61" t="e" cm="1">
        <f t="array" ref="G47">Common_InputFunctions.Utility_LookupValueInTable('Input - Site'!$E$21,#REF!,#REF!)</f>
        <v>#REF!</v>
      </c>
    </row>
    <row r="48" spans="3:19" ht="20.100000000000001" customHeight="1" x14ac:dyDescent="0.25"/>
    <row r="49" spans="3:20" ht="20.100000000000001" customHeight="1" x14ac:dyDescent="0.25">
      <c r="D49" s="106" t="s">
        <v>117</v>
      </c>
    </row>
    <row r="50" spans="3:20" ht="20.100000000000001" customHeight="1" x14ac:dyDescent="0.25">
      <c r="D50" s="105" t="s">
        <v>115</v>
      </c>
    </row>
    <row r="51" spans="3:20" ht="20.100000000000001" customHeight="1" x14ac:dyDescent="0.25">
      <c r="D51" s="55" t="s">
        <v>112</v>
      </c>
      <c r="E51" s="55" t="s">
        <v>152</v>
      </c>
      <c r="F51" s="55" t="s">
        <v>153</v>
      </c>
      <c r="G51" s="55" t="s">
        <v>154</v>
      </c>
    </row>
    <row r="52" spans="3:20" ht="20.100000000000001" customHeight="1" x14ac:dyDescent="0.25">
      <c r="D52" s="56" t="str">
        <f>'Input - MMS - Feedlot'!$D$29</f>
        <v>Drylot (feed pad)</v>
      </c>
      <c r="E52" s="56">
        <f>'Input - MMS - Feedlot'!$E$29</f>
        <v>1</v>
      </c>
      <c r="F52" s="56">
        <f>'Input - MMS - Feedlot'!$F$29</f>
        <v>1</v>
      </c>
      <c r="G52" s="56">
        <f>'Input - MMS - Feedlot'!$G$29</f>
        <v>1</v>
      </c>
      <c r="H52" s="2" t="s">
        <v>103</v>
      </c>
    </row>
    <row r="53" spans="3:20" ht="20.100000000000001" customHeight="1" x14ac:dyDescent="0.25"/>
    <row r="54" spans="3:20" ht="20.100000000000001" customHeight="1" x14ac:dyDescent="0.25">
      <c r="D54" s="106" t="s">
        <v>225</v>
      </c>
      <c r="M54" s="106" t="s">
        <v>227</v>
      </c>
    </row>
    <row r="55" spans="3:20" ht="20.100000000000001" customHeight="1" x14ac:dyDescent="0.25">
      <c r="D55" s="105" t="s">
        <v>226</v>
      </c>
      <c r="M55" s="105" t="s">
        <v>228</v>
      </c>
    </row>
    <row r="56" spans="3:20" ht="20.100000000000001" customHeight="1" x14ac:dyDescent="0.25">
      <c r="D56" s="55" t="s">
        <v>112</v>
      </c>
      <c r="E56" s="55" t="s">
        <v>152</v>
      </c>
      <c r="F56" s="55" t="s">
        <v>153</v>
      </c>
      <c r="G56" s="55" t="s">
        <v>154</v>
      </c>
      <c r="M56" s="55" t="s">
        <v>112</v>
      </c>
      <c r="N56" s="55" t="s">
        <v>152</v>
      </c>
      <c r="O56" s="55" t="s">
        <v>153</v>
      </c>
      <c r="P56" s="55" t="s">
        <v>154</v>
      </c>
    </row>
    <row r="57" spans="3:20" ht="20.100000000000001" customHeight="1" x14ac:dyDescent="0.25">
      <c r="D57" s="56" t="str">
        <f>'Input - MMS - Feedlot'!$D$29</f>
        <v>Drylot (feed pad)</v>
      </c>
      <c r="E57" s="56" t="e" cm="1">
        <f t="array" ref="E57">MMS_Feedlot_Methane_Equations.VEERG_4_1_1_1__2_Stage1MethaneProductionDrylot(D30,$G$43,E52,$G$45,$G$46)</f>
        <v>#REF!</v>
      </c>
      <c r="F57" s="56" t="e" cm="1">
        <f t="array" ref="F57">MMS_Feedlot_Methane_Equations.VEERG_4_1_1_1__2_Stage1MethaneProductionDrylot(E30,$G$43,F52,$G$45,$G$46)</f>
        <v>#REF!</v>
      </c>
      <c r="G57" s="56" t="e" cm="1">
        <f t="array" ref="G57">MMS_Feedlot_Methane_Equations.VEERG_4_1_1_1__2_Stage1MethaneProductionDrylot(F30,$G$43,G52,$G$45,$G$46)</f>
        <v>#REF!</v>
      </c>
      <c r="H57" s="2" t="str">
        <f>$E$40</f>
        <v>kg CH4/head/day</v>
      </c>
      <c r="M57" s="56" t="str">
        <f>'Input - MMS - Feedlot'!$D$29</f>
        <v>Drylot (feed pad)</v>
      </c>
      <c r="N57" s="56" t="e" cm="1">
        <f t="array" ref="N57">MMS_Feedlot_Methane_Equations.VEERG_4_1_1_1__2_Stage1MethaneProductionDrylot(M30,$G$43,E52,$G$45,$G$46)</f>
        <v>#REF!</v>
      </c>
      <c r="O57" s="56" t="e" cm="1">
        <f t="array" ref="O57">MMS_Feedlot_Methane_Equations.VEERG_4_1_1_1__2_Stage1MethaneProductionDrylot(N30,$G$43,F52,$G$45,$G$46)</f>
        <v>#REF!</v>
      </c>
      <c r="P57" s="56" t="e" cm="1">
        <f t="array" ref="P57">MMS_Feedlot_Methane_Equations.VEERG_4_1_1_1__2_Stage1MethaneProductionDrylot(O30,$G$43,G52,$G$45,$G$46)</f>
        <v>#REF!</v>
      </c>
      <c r="Q57" s="2" t="str">
        <f>$E$40</f>
        <v>kg CH4/head/day</v>
      </c>
    </row>
    <row r="58" spans="3:20" ht="20.100000000000001" customHeight="1" x14ac:dyDescent="0.25">
      <c r="D58" s="107" t="str">
        <f>IF(ISNUMBER($G$45),"", "⚠️ ALERT: No MCFim5 data provided. Zero is used instead.")</f>
        <v>⚠️ ALERT: No MCFim5 data provided. Zero is used instead.</v>
      </c>
    </row>
    <row r="59" spans="3:20" ht="20.100000000000001" customHeight="1" x14ac:dyDescent="0.25"/>
    <row r="60" spans="3:20" ht="20.100000000000001" customHeight="1" x14ac:dyDescent="0.25">
      <c r="C60" s="49"/>
      <c r="D60" s="49"/>
      <c r="E60" s="49"/>
      <c r="F60" s="49"/>
      <c r="G60" s="49"/>
      <c r="H60" s="49"/>
      <c r="I60" s="49"/>
      <c r="J60" s="49"/>
      <c r="L60" s="49"/>
      <c r="M60" s="49"/>
      <c r="N60" s="49"/>
      <c r="O60" s="49"/>
      <c r="P60" s="49"/>
      <c r="Q60" s="49"/>
      <c r="R60" s="49"/>
      <c r="S60" s="49"/>
      <c r="T60" s="49"/>
    </row>
    <row r="61" spans="3:2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2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20" ht="20.100000000000001" customHeight="1" x14ac:dyDescent="0.25">
      <c r="D63" s="13" t="s">
        <v>29</v>
      </c>
      <c r="E63" s="13" t="str" cm="1">
        <f t="array" aca="1" ref="E63" ca="1">Common_InputFunctions.Utility_DisplayFunctionName(E92)</f>
        <v>=MMS_Feedlot_Methane_Equations.VEERG_4_1_1_1__3_Stage2MethaneProduction</v>
      </c>
    </row>
    <row r="64" spans="3:2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7" t="s">
        <v>32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7" t="s">
        <v>22</v>
      </c>
      <c r="E67" s="58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1" t="str" cm="1">
        <f t="array" ref="D69:E75">MMS_Feedlot_Methane_Equations.VEERG_4_1_1_1__3_Stage2MethaneProduction_Arguments()</f>
        <v>VSL</v>
      </c>
      <c r="E69" s="62" t="str">
        <v>fraction of volatile solids lost during storage in the primary system : fraction</v>
      </c>
      <c r="F69" s="63"/>
      <c r="G69" s="61">
        <f>'Source Data - Feedlot'!$E$7</f>
        <v>0.5</v>
      </c>
    </row>
    <row r="70" spans="4:9" ht="20.100000000000001" customHeight="1" x14ac:dyDescent="0.25">
      <c r="D70" s="61" t="str">
        <v>VS_j</v>
      </c>
      <c r="E70" s="62" t="str">
        <v>volatile solid production from feedlot cattle in each group : kg/head/day</v>
      </c>
      <c r="F70" s="63"/>
      <c r="G70" s="61" t="str">
        <f>"See " &amp; $D$27</f>
        <v>See M1_Table_VS_j</v>
      </c>
    </row>
    <row r="71" spans="4:9" ht="20.100000000000001" customHeight="1" x14ac:dyDescent="0.25">
      <c r="D71" s="61" t="str">
        <v>BO</v>
      </c>
      <c r="E71" s="62" t="str">
        <v>emissions potential : m3 CH4/kg VS</v>
      </c>
      <c r="F71" s="63"/>
      <c r="G71" s="61">
        <f>'Source Data - Feedlot'!$E$22</f>
        <v>0.19</v>
      </c>
    </row>
    <row r="72" spans="4:9" ht="20.100000000000001" customHeight="1" x14ac:dyDescent="0.25">
      <c r="D72" s="61" t="str">
        <v>MMS_mT2</v>
      </c>
      <c r="E72" s="62" t="str">
        <v>fraction of manure in each secondary system : fraction</v>
      </c>
      <c r="F72" s="63"/>
      <c r="G72" s="61" t="str">
        <f>"See " &amp; D77</f>
        <v>See Table_MMS_m_T-2</v>
      </c>
      <c r="H72" s="119" t="s">
        <v>185</v>
      </c>
    </row>
    <row r="73" spans="4:9" ht="20.100000000000001" customHeight="1" x14ac:dyDescent="0.25">
      <c r="D73" s="61" t="str">
        <v>MCF_im</v>
      </c>
      <c r="E73" s="62" t="str">
        <v>methane conversion factor for temperature zone and MMS : fraction</v>
      </c>
      <c r="F73" s="63"/>
      <c r="G73" s="61" t="str">
        <f>"See " &amp; D83</f>
        <v>See Table_MCF_i_m</v>
      </c>
    </row>
    <row r="74" spans="4:9" ht="20.100000000000001" customHeight="1" x14ac:dyDescent="0.25">
      <c r="D74" s="61" t="str">
        <v>rho</v>
      </c>
      <c r="E74" s="62" t="str">
        <v>density of methane : kg/m3</v>
      </c>
      <c r="F74" s="63"/>
      <c r="G74" s="61" t="e">
        <f>#REF!</f>
        <v>#REF!</v>
      </c>
    </row>
    <row r="75" spans="4:9" ht="20.100000000000001" customHeight="1" x14ac:dyDescent="0.25">
      <c r="D75" s="61" t="str">
        <v>i</v>
      </c>
      <c r="E75" s="62" t="str">
        <v>state</v>
      </c>
      <c r="F75" s="63"/>
      <c r="G75" s="61" t="e" cm="1">
        <f t="array" ref="G75">Common_InputFunctions.Utility_LookupValueInTable('Input - Site'!$E$21,#REF!,#REF!)</f>
        <v>#REF!</v>
      </c>
    </row>
    <row r="76" spans="4:9" ht="20.100000000000001" customHeight="1" x14ac:dyDescent="0.25"/>
    <row r="77" spans="4:9" ht="20.100000000000001" customHeight="1" x14ac:dyDescent="0.25">
      <c r="D77" s="106" t="s">
        <v>119</v>
      </c>
    </row>
    <row r="78" spans="4:9" ht="20.100000000000001" customHeight="1" x14ac:dyDescent="0.25">
      <c r="D78" s="105" t="s">
        <v>120</v>
      </c>
    </row>
    <row r="79" spans="4:9" ht="20.100000000000001" customHeight="1" x14ac:dyDescent="0.25">
      <c r="D79" s="55" t="s">
        <v>112</v>
      </c>
      <c r="E79" s="55" t="s">
        <v>107</v>
      </c>
      <c r="F79" s="55" t="s">
        <v>152</v>
      </c>
      <c r="G79" s="55" t="s">
        <v>153</v>
      </c>
      <c r="H79" s="55" t="s">
        <v>154</v>
      </c>
    </row>
    <row r="80" spans="4:9" ht="20.100000000000001" customHeight="1" x14ac:dyDescent="0.25">
      <c r="D80" s="56" t="str">
        <f>'Input - MMS - Feedlot'!$D$29</f>
        <v>Drylot (feed pad)</v>
      </c>
      <c r="E80" s="56" t="str">
        <f>'Input - MMS - Feedlot'!$D$35</f>
        <v>Solid storage</v>
      </c>
      <c r="F80" s="56">
        <f>'Input - MMS - Feedlot'!$E$35</f>
        <v>0.2</v>
      </c>
      <c r="G80" s="56">
        <f>'Input - MMS - Feedlot'!$F$35</f>
        <v>0.2</v>
      </c>
      <c r="H80" s="56">
        <f>'Input - MMS - Feedlot'!$G$35</f>
        <v>0.2</v>
      </c>
      <c r="I80" s="2" t="s">
        <v>103</v>
      </c>
    </row>
    <row r="81" spans="3:19" ht="20.100000000000001" customHeight="1" x14ac:dyDescent="0.25">
      <c r="D81" s="56" t="str">
        <f>'Input - MMS - Feedlot'!$D$29</f>
        <v>Drylot (feed pad)</v>
      </c>
      <c r="E81" s="56" t="str">
        <f>'Input - MMS - Feedlot'!$D$36</f>
        <v>Composting (passive windrow)</v>
      </c>
      <c r="F81" s="56">
        <f>'Input - MMS - Feedlot'!$E$36</f>
        <v>0.8</v>
      </c>
      <c r="G81" s="56">
        <f>'Input - MMS - Feedlot'!$F$36</f>
        <v>0.8</v>
      </c>
      <c r="H81" s="56">
        <f>'Input - MMS - Feedlot'!$G$36</f>
        <v>0.8</v>
      </c>
      <c r="I81" s="2" t="s">
        <v>103</v>
      </c>
    </row>
    <row r="82" spans="3:19" ht="20.100000000000001" customHeight="1" x14ac:dyDescent="0.25"/>
    <row r="83" spans="3:19" ht="20.100000000000001" customHeight="1" x14ac:dyDescent="0.25">
      <c r="D83" s="106" t="s">
        <v>104</v>
      </c>
    </row>
    <row r="84" spans="3:19" ht="20.100000000000001" customHeight="1" x14ac:dyDescent="0.25">
      <c r="D84" s="105" t="s">
        <v>122</v>
      </c>
    </row>
    <row r="85" spans="3:19" ht="20.100000000000001" customHeight="1" x14ac:dyDescent="0.25">
      <c r="D85" s="55" t="s">
        <v>112</v>
      </c>
      <c r="E85" s="55" t="s">
        <v>107</v>
      </c>
      <c r="F85" s="55" t="s">
        <v>101</v>
      </c>
    </row>
    <row r="86" spans="3:19" ht="20.100000000000001" customHeight="1" x14ac:dyDescent="0.25">
      <c r="D86" s="56" t="str">
        <f>'Input - MMS - Feedlot'!$D$29</f>
        <v>Drylot (feed pad)</v>
      </c>
      <c r="E86" s="56" t="str">
        <f>'Input - MMS - Feedlot'!$D$35</f>
        <v>Solid storage</v>
      </c>
      <c r="F86" s="56" t="e" cm="1">
        <f t="array" ref="F86">_xlfn.XLOOKUP($G$75, Table_SourceData_Feedlot_MCF[#Headers], _xlfn.XLOOKUP(E86, Table_SourceData_Feedlot_MCF[NIR definition], Table_SourceData_Feedlot_MCF[]))</f>
        <v>#REF!</v>
      </c>
      <c r="G86" s="2" t="s">
        <v>103</v>
      </c>
    </row>
    <row r="87" spans="3:19" ht="20.100000000000001" customHeight="1" x14ac:dyDescent="0.25">
      <c r="D87" s="56" t="str">
        <f>'Input - MMS - Feedlot'!$D$29</f>
        <v>Drylot (feed pad)</v>
      </c>
      <c r="E87" s="56" t="str">
        <f>'Input - MMS - Feedlot'!$D$36</f>
        <v>Composting (passive windrow)</v>
      </c>
      <c r="F87" s="56" t="e" cm="1">
        <f t="array" ref="F87">_xlfn.XLOOKUP($G$75, Table_SourceData_Feedlot_MCF[#Headers], _xlfn.XLOOKUP(E87, Table_SourceData_Feedlot_MCF[NIR definition], Table_SourceData_Feedlot_MCF[]))</f>
        <v>#REF!</v>
      </c>
      <c r="G87" s="2" t="s">
        <v>103</v>
      </c>
    </row>
    <row r="88" spans="3:19" ht="20.100000000000001" customHeight="1" x14ac:dyDescent="0.25"/>
    <row r="89" spans="3:19" ht="20.100000000000001" customHeight="1" x14ac:dyDescent="0.25">
      <c r="D89" s="106" t="s">
        <v>229</v>
      </c>
      <c r="M89" s="106" t="s">
        <v>231</v>
      </c>
    </row>
    <row r="90" spans="3:19" ht="20.100000000000001" customHeight="1" x14ac:dyDescent="0.25">
      <c r="D90" s="105" t="s">
        <v>230</v>
      </c>
      <c r="M90" s="105" t="s">
        <v>232</v>
      </c>
    </row>
    <row r="91" spans="3:19" ht="20.100000000000001" customHeight="1" x14ac:dyDescent="0.25">
      <c r="D91" s="55" t="s">
        <v>107</v>
      </c>
      <c r="E91" s="55" t="s">
        <v>152</v>
      </c>
      <c r="F91" s="55" t="s">
        <v>153</v>
      </c>
      <c r="G91" s="55" t="s">
        <v>154</v>
      </c>
      <c r="M91" s="55" t="s">
        <v>107</v>
      </c>
      <c r="N91" s="55" t="s">
        <v>152</v>
      </c>
      <c r="O91" s="55" t="s">
        <v>153</v>
      </c>
      <c r="P91" s="55" t="s">
        <v>154</v>
      </c>
    </row>
    <row r="92" spans="3:19" ht="20.100000000000001" customHeight="1" x14ac:dyDescent="0.25">
      <c r="D92" s="56" t="str">
        <f>'Input - MMS - Feedlot'!$D$35</f>
        <v>Solid storage</v>
      </c>
      <c r="E92" s="56" t="e" cm="1">
        <f t="array" ref="E92">MMS_Feedlot_Methane_Equations.VEERG_4_1_1_1__3_Stage2MethaneProduction($G$69,D$30,$G$71,F80,$F86,$G$74)</f>
        <v>#REF!</v>
      </c>
      <c r="F92" s="56" t="e" cm="1">
        <f t="array" ref="F92">MMS_Feedlot_Methane_Equations.VEERG_4_1_1_1__3_Stage2MethaneProduction($G$69,E$30,$G$71,G80,$F86,$G$74)</f>
        <v>#REF!</v>
      </c>
      <c r="G92" s="56" t="e" cm="1">
        <f t="array" ref="G92">MMS_Feedlot_Methane_Equations.VEERG_4_1_1_1__3_Stage2MethaneProduction($G$69,F$30,$G$71,H80,$F86,$G$74)</f>
        <v>#REF!</v>
      </c>
      <c r="H92" s="2" t="str">
        <f>$E$67</f>
        <v>kg CH4/head/day</v>
      </c>
      <c r="M92" s="56" t="str">
        <f>'Input - MMS - Feedlot'!$D$35</f>
        <v>Solid storage</v>
      </c>
      <c r="N92" s="56" t="e" cm="1">
        <f t="array" ref="N92">MMS_Feedlot_Methane_Equations.VEERG_4_1_1_1__3_Stage2MethaneProduction($G$69,M$30,$G$71,F80,$F86,$G$74)</f>
        <v>#REF!</v>
      </c>
      <c r="O92" s="56" t="e" cm="1">
        <f t="array" ref="O92">MMS_Feedlot_Methane_Equations.VEERG_4_1_1_1__3_Stage2MethaneProduction($G$69,N$30,$G$71,G80,$F86,$G$74)</f>
        <v>#REF!</v>
      </c>
      <c r="P92" s="56" t="e" cm="1">
        <f t="array" ref="P92">MMS_Feedlot_Methane_Equations.VEERG_4_1_1_1__3_Stage2MethaneProduction($G$69,O$30,$G$71,H80,$F86,$G$74)</f>
        <v>#REF!</v>
      </c>
      <c r="Q92" s="2" t="str">
        <f>$E$67</f>
        <v>kg CH4/head/day</v>
      </c>
    </row>
    <row r="93" spans="3:19" ht="20.100000000000001" customHeight="1" x14ac:dyDescent="0.25">
      <c r="D93" s="56" t="str">
        <f>'Input - MMS - Feedlot'!$D$36</f>
        <v>Composting (passive windrow)</v>
      </c>
      <c r="E93" s="56" t="e" cm="1">
        <f t="array" ref="E93">MMS_Feedlot_Methane_Equations.VEERG_4_1_1_1__3_Stage2MethaneProduction($G$69,D$30,$G$71,F81,$F87,$G$74)</f>
        <v>#REF!</v>
      </c>
      <c r="F93" s="56" t="e" cm="1">
        <f t="array" ref="F93">MMS_Feedlot_Methane_Equations.VEERG_4_1_1_1__3_Stage2MethaneProduction($G$69,E$30,$G$71,G81,$F87,$G$74)</f>
        <v>#REF!</v>
      </c>
      <c r="G93" s="56" t="e" cm="1">
        <f t="array" ref="G93">MMS_Feedlot_Methane_Equations.VEERG_4_1_1_1__3_Stage2MethaneProduction($G$69,F$30,$G$71,H81,$F87,$G$74)</f>
        <v>#REF!</v>
      </c>
      <c r="H93" s="2" t="str">
        <f t="shared" ref="H93" si="0">$E$67</f>
        <v>kg CH4/head/day</v>
      </c>
      <c r="M93" s="56" t="str">
        <f>'Input - MMS - Feedlot'!$D$36</f>
        <v>Composting (passive windrow)</v>
      </c>
      <c r="N93" s="56" t="e" cm="1">
        <f t="array" ref="N93">MMS_Feedlot_Methane_Equations.VEERG_4_1_1_1__3_Stage2MethaneProduction($G$69,M$30,$G$71,F81,$F87,$G$74)</f>
        <v>#REF!</v>
      </c>
      <c r="O93" s="56" t="e" cm="1">
        <f t="array" ref="O93">MMS_Feedlot_Methane_Equations.VEERG_4_1_1_1__3_Stage2MethaneProduction($G$69,N$30,$G$71,G81,$F87,$G$74)</f>
        <v>#REF!</v>
      </c>
      <c r="P93" s="56" t="e" cm="1">
        <f t="array" ref="P93">MMS_Feedlot_Methane_Equations.VEERG_4_1_1_1__3_Stage2MethaneProduction($G$69,O$30,$G$71,H81,$F87,$G$74)</f>
        <v>#REF!</v>
      </c>
      <c r="Q93" s="2" t="str">
        <f t="shared" ref="Q93" si="1">$E$67</f>
        <v>kg CH4/head/day</v>
      </c>
    </row>
    <row r="94" spans="3:19" ht="20.100000000000001" customHeight="1" x14ac:dyDescent="0.25"/>
    <row r="95" spans="3:19" ht="20.100000000000001" customHeight="1" x14ac:dyDescent="0.25"/>
    <row r="96" spans="3:19" ht="20.100000000000001" customHeight="1" x14ac:dyDescent="0.25">
      <c r="C96" s="49"/>
      <c r="D96" s="49"/>
      <c r="E96" s="49"/>
      <c r="F96" s="49"/>
      <c r="G96" s="49"/>
      <c r="H96" s="49"/>
      <c r="I96" s="49"/>
      <c r="J96" s="49"/>
      <c r="L96" s="49"/>
      <c r="M96" s="49"/>
      <c r="N96" s="49"/>
      <c r="O96" s="49"/>
      <c r="P96" s="49"/>
      <c r="Q96" s="49"/>
      <c r="R96" s="49"/>
      <c r="S96" s="49"/>
    </row>
    <row r="97" spans="4:8" ht="20.100000000000001" customHeight="1" x14ac:dyDescent="0.25">
      <c r="D97" s="6" t="str" cm="1">
        <f t="array" ref="D97">MMS_Feedlot_Methane_Equations.VEERG_4_1_1_1__4_Stage3MethaneProductionAnaerobicLagoon_Title()</f>
        <v>Production of methane in treatment stage 3 MMS</v>
      </c>
    </row>
    <row r="98" spans="4:8" ht="20.100000000000001" customHeight="1" x14ac:dyDescent="0.25">
      <c r="D98" s="5" t="str" cm="1">
        <f t="array" ref="D98">MMS_Feedlot_Methane_Equations.VEERG_4_1_1_1__4_Stage3MethaneProductionAnaerobicLagoon_Source()</f>
        <v>VEERG 2026: 4.1.1.1, Equation (4)</v>
      </c>
    </row>
    <row r="99" spans="4:8" ht="20.100000000000001" customHeight="1" x14ac:dyDescent="0.25">
      <c r="D99" s="13" t="s">
        <v>29</v>
      </c>
      <c r="E99" s="13" t="str" cm="1">
        <f t="array" aca="1" ref="E99" ca="1">Common_InputFunctions.Utility_DisplayFunctionName(E120)</f>
        <v>=MMS_Feedlot_Methane_Equations.VEERG_4_1_1_1__4_Stage3MethaneProductionAnaerobicLagoon</v>
      </c>
    </row>
    <row r="100" spans="4:8" ht="20.100000000000001" customHeight="1" x14ac:dyDescent="0.25"/>
    <row r="101" spans="4:8" ht="20.100000000000001" customHeight="1" x14ac:dyDescent="0.25">
      <c r="D101" s="6"/>
    </row>
    <row r="102" spans="4:8" ht="20.100000000000001" customHeight="1" x14ac:dyDescent="0.25">
      <c r="D102" s="57" t="s">
        <v>32</v>
      </c>
      <c r="E102" s="1" t="str" cm="1">
        <f t="array" ref="E102">MMS_Feedlot_Methane_Equations.VEERG_4_1_1_1__4_Stage3MethaneProductionAnaerobicLagoon_Variable()</f>
        <v>M_jm1T3</v>
      </c>
    </row>
    <row r="103" spans="4:8" ht="20.100000000000001" customHeight="1" x14ac:dyDescent="0.25">
      <c r="D103" s="57" t="s">
        <v>22</v>
      </c>
      <c r="E103" s="58" t="str" cm="1">
        <f t="array" ref="E103">MMS_Feedlot_Methane_Equations.VEERG_4_1_1_1__4_Stage3MethaneProductionAnaerobicLagoon_Unit()</f>
        <v>kg CH4/head/day</v>
      </c>
    </row>
    <row r="104" spans="4:8" ht="20.100000000000001" customHeight="1" x14ac:dyDescent="0.25"/>
    <row r="105" spans="4:8" ht="20.100000000000001" customHeight="1" x14ac:dyDescent="0.25">
      <c r="D105" s="61" t="str" cm="1">
        <f t="array" ref="D105:E110">MMS_Feedlot_Methane_Equations.VEERG_4_1_1_1__4_Stage3MethaneProductionAnaerobicLagoon_Arguments()</f>
        <v>VS_j</v>
      </c>
      <c r="E105" s="62" t="str">
        <v>volatile solid production from feedlot cattle in each group j : kg/head/day</v>
      </c>
      <c r="F105" s="109"/>
      <c r="G105" s="63"/>
      <c r="H105" s="61" t="str">
        <f>"See " &amp; $D$27</f>
        <v>See M1_Table_VS_j</v>
      </c>
    </row>
    <row r="106" spans="4:8" ht="20.100000000000001" customHeight="1" x14ac:dyDescent="0.25">
      <c r="D106" s="61" t="str">
        <v>BO</v>
      </c>
      <c r="E106" s="62" t="str">
        <v>emissions potential : m3 CH4/kg VS</v>
      </c>
      <c r="F106" s="109"/>
      <c r="G106" s="63"/>
      <c r="H106" s="61">
        <f>'Source Data - Feedlot'!$E$22</f>
        <v>0.19</v>
      </c>
    </row>
    <row r="107" spans="4:8" ht="20.100000000000001" customHeight="1" x14ac:dyDescent="0.25">
      <c r="D107" s="61" t="str">
        <v>MMS_m1T3</v>
      </c>
      <c r="E107" s="62" t="str">
        <v>fraction of manure to tertiary anaerobic lagoon system : fraction</v>
      </c>
      <c r="F107" s="109"/>
      <c r="G107" s="63"/>
      <c r="H107" s="61" t="str">
        <f>"See " &amp; D112</f>
        <v>See Table_MMS_m-1_T-3</v>
      </c>
    </row>
    <row r="108" spans="4:8" ht="20.100000000000001" customHeight="1" x14ac:dyDescent="0.25">
      <c r="D108" s="61" t="str">
        <v>MCF_im1</v>
      </c>
      <c r="E108" s="62" t="str">
        <v>methane conversion factor for temperature zone and anaerobic lagoon system : fraction</v>
      </c>
      <c r="F108" s="109"/>
      <c r="G108" s="63"/>
      <c r="H108" s="61" t="e">
        <f>HLOOKUP(H110, Table_SourceData_Feedlot_MCF[#All], 6, FALSE)</f>
        <v>#REF!</v>
      </c>
    </row>
    <row r="109" spans="4:8" ht="20.100000000000001" customHeight="1" x14ac:dyDescent="0.25">
      <c r="D109" s="61" t="str">
        <v>rho</v>
      </c>
      <c r="E109" s="62" t="str">
        <v>density of methane : kg/m3</v>
      </c>
      <c r="F109" s="109"/>
      <c r="G109" s="63"/>
      <c r="H109" s="61" t="e">
        <f>#REF!</f>
        <v>#REF!</v>
      </c>
    </row>
    <row r="110" spans="4:8" ht="20.100000000000001" customHeight="1" x14ac:dyDescent="0.25">
      <c r="D110" s="61" t="str">
        <v>i</v>
      </c>
      <c r="E110" s="62" t="str">
        <v>state</v>
      </c>
      <c r="F110" s="109"/>
      <c r="G110" s="63"/>
      <c r="H110" s="61" t="e" cm="1">
        <f t="array" ref="H110">Common_InputFunctions.Utility_LookupValueInTable('Input - Site'!$E$21,#REF!,#REF!)</f>
        <v>#REF!</v>
      </c>
    </row>
    <row r="111" spans="4:8" ht="20.100000000000001" customHeight="1" x14ac:dyDescent="0.25"/>
    <row r="112" spans="4:8" ht="20.100000000000001" customHeight="1" x14ac:dyDescent="0.25">
      <c r="D112" s="106" t="s">
        <v>125</v>
      </c>
    </row>
    <row r="113" spans="3:20" ht="20.100000000000001" customHeight="1" x14ac:dyDescent="0.25">
      <c r="D113" s="105" t="s">
        <v>127</v>
      </c>
    </row>
    <row r="114" spans="3:20" ht="20.100000000000001" customHeight="1" x14ac:dyDescent="0.25">
      <c r="D114" s="55" t="s">
        <v>126</v>
      </c>
      <c r="E114" s="55" t="s">
        <v>152</v>
      </c>
      <c r="F114" s="55" t="s">
        <v>153</v>
      </c>
      <c r="G114" s="55" t="s">
        <v>154</v>
      </c>
    </row>
    <row r="115" spans="3:20" ht="20.100000000000001" customHeight="1" x14ac:dyDescent="0.25">
      <c r="D115" s="56" t="str">
        <f>'Input - MMS - Feedlot'!$D$41</f>
        <v>Anaerobic lagoon</v>
      </c>
      <c r="E115" s="56">
        <f>'Input - MMS - Feedlot'!E41</f>
        <v>0.02</v>
      </c>
      <c r="F115" s="56">
        <f>'Input - MMS - Feedlot'!F41</f>
        <v>0.02</v>
      </c>
      <c r="G115" s="56">
        <f>'Input - MMS - Feedlot'!G41</f>
        <v>0.02</v>
      </c>
      <c r="H115" s="2" t="s">
        <v>103</v>
      </c>
    </row>
    <row r="116" spans="3:20" ht="20.100000000000001" customHeight="1" x14ac:dyDescent="0.25"/>
    <row r="117" spans="3:20" ht="20.100000000000001" customHeight="1" x14ac:dyDescent="0.25">
      <c r="D117" s="106" t="s">
        <v>233</v>
      </c>
      <c r="M117" s="106" t="s">
        <v>235</v>
      </c>
    </row>
    <row r="118" spans="3:20" ht="20.100000000000001" customHeight="1" x14ac:dyDescent="0.25">
      <c r="D118" s="105" t="s">
        <v>234</v>
      </c>
      <c r="M118" s="105" t="s">
        <v>236</v>
      </c>
    </row>
    <row r="119" spans="3:20" ht="20.100000000000001" customHeight="1" x14ac:dyDescent="0.25">
      <c r="D119" s="55" t="s">
        <v>126</v>
      </c>
      <c r="E119" s="55" t="s">
        <v>152</v>
      </c>
      <c r="F119" s="55" t="s">
        <v>153</v>
      </c>
      <c r="G119" s="55" t="s">
        <v>154</v>
      </c>
      <c r="M119" s="55" t="s">
        <v>126</v>
      </c>
      <c r="N119" s="55" t="s">
        <v>152</v>
      </c>
      <c r="O119" s="55" t="s">
        <v>153</v>
      </c>
      <c r="P119" s="55" t="s">
        <v>154</v>
      </c>
    </row>
    <row r="120" spans="3:20" ht="20.100000000000001" customHeight="1" x14ac:dyDescent="0.25">
      <c r="D120" s="56" t="str">
        <f>'Input - MMS - Feedlot'!$D$41</f>
        <v>Anaerobic lagoon</v>
      </c>
      <c r="E120" s="56" t="e" cm="1">
        <f t="array" ref="E120">MMS_Feedlot_Methane_Equations.VEERG_4_1_1_1__4_Stage3MethaneProductionAnaerobicLagoon(D$30, $H$106,E115,$H$108,$H$109)</f>
        <v>#REF!</v>
      </c>
      <c r="F120" s="56" t="e" cm="1">
        <f t="array" ref="F120">MMS_Feedlot_Methane_Equations.VEERG_4_1_1_1__4_Stage3MethaneProductionAnaerobicLagoon(E$30, $H$106,F115,$H$108,$H$109)</f>
        <v>#REF!</v>
      </c>
      <c r="G120" s="56" t="e" cm="1">
        <f t="array" ref="G120">MMS_Feedlot_Methane_Equations.VEERG_4_1_1_1__4_Stage3MethaneProductionAnaerobicLagoon(F$30, $H$106,G115,$H$108,$H$109)</f>
        <v>#REF!</v>
      </c>
      <c r="H120" s="2" t="str">
        <f>$E$103</f>
        <v>kg CH4/head/day</v>
      </c>
      <c r="M120" s="56" t="str">
        <f>'Input - MMS - Feedlot'!$D$41</f>
        <v>Anaerobic lagoon</v>
      </c>
      <c r="N120" s="56" t="e" cm="1">
        <f t="array" ref="N120">MMS_Feedlot_Methane_Equations.VEERG_4_1_1_1__4_Stage3MethaneProductionAnaerobicLagoon(M$30, $H$106,E115,$H$108,$H$109)</f>
        <v>#REF!</v>
      </c>
      <c r="O120" s="56" t="e" cm="1">
        <f t="array" ref="O120">MMS_Feedlot_Methane_Equations.VEERG_4_1_1_1__4_Stage3MethaneProductionAnaerobicLagoon(N$30, $H$106,F115,$H$108,$H$109)</f>
        <v>#REF!</v>
      </c>
      <c r="P120" s="56" t="e" cm="1">
        <f t="array" ref="P120">MMS_Feedlot_Methane_Equations.VEERG_4_1_1_1__4_Stage3MethaneProductionAnaerobicLagoon(O$30, $H$106,G115,$H$108,$H$109)</f>
        <v>#REF!</v>
      </c>
      <c r="Q120" s="2" t="str">
        <f>$E$103</f>
        <v>kg CH4/head/day</v>
      </c>
    </row>
    <row r="121" spans="3:20" ht="20.100000000000001" customHeight="1" x14ac:dyDescent="0.25"/>
    <row r="122" spans="3:20" ht="20.100000000000001" customHeight="1" x14ac:dyDescent="0.25"/>
    <row r="123" spans="3:20" ht="20.100000000000001" customHeight="1" x14ac:dyDescent="0.25">
      <c r="C123" s="49"/>
      <c r="D123" s="49"/>
      <c r="E123" s="49"/>
      <c r="F123" s="49"/>
      <c r="G123" s="49"/>
      <c r="H123" s="49"/>
      <c r="I123" s="49"/>
      <c r="J123" s="49"/>
      <c r="L123" s="49"/>
      <c r="M123" s="49"/>
      <c r="N123" s="49"/>
      <c r="O123" s="49"/>
      <c r="P123" s="49"/>
      <c r="Q123" s="49"/>
      <c r="R123" s="49"/>
      <c r="S123" s="49"/>
      <c r="T123" s="49"/>
    </row>
    <row r="124" spans="3:20" ht="20.100000000000001" customHeight="1" x14ac:dyDescent="0.25">
      <c r="D124" s="6" t="str" cm="1">
        <f t="array" ref="D124">MMS_Feedlot_Methane_Equations.VEERG_4_1_1_1__1_TotalAnnualMethaneEmissions_Title()</f>
        <v>Total annual methane emissions from manure management</v>
      </c>
    </row>
    <row r="125" spans="3:20" ht="20.100000000000001" customHeight="1" x14ac:dyDescent="0.25">
      <c r="D125" s="5" t="str" cm="1">
        <f t="array" ref="D125">MMS_Feedlot_Methane_Equations.VEERG_4_1_1_1__1_TotalAnnualMethaneEmissions_Source()</f>
        <v>VEERG 2026: 4.1.1.1, Equation (1)</v>
      </c>
    </row>
    <row r="126" spans="3:20" ht="20.100000000000001" customHeight="1" x14ac:dyDescent="0.25">
      <c r="D126" s="13" t="s">
        <v>29</v>
      </c>
      <c r="E126" s="13" t="str" cm="1">
        <f t="array" aca="1" ref="E126" ca="1">Common_InputFunctions.Utility_DisplayFunctionName(F158)</f>
        <v>=MMS_Feedlot_Methane_Equations.VEERG_4_1_1_1__1_TotalAnnualMethaneEmissions</v>
      </c>
    </row>
    <row r="127" spans="3:20" ht="20.100000000000001" customHeight="1" x14ac:dyDescent="0.25"/>
    <row r="128" spans="3:20" ht="20.100000000000001" customHeight="1" x14ac:dyDescent="0.25">
      <c r="D128" s="6"/>
    </row>
    <row r="129" spans="4:17" ht="20.100000000000001" customHeight="1" x14ac:dyDescent="0.25"/>
    <row r="130" spans="4:17" ht="20.100000000000001" customHeight="1" x14ac:dyDescent="0.25">
      <c r="D130" s="57" t="s">
        <v>32</v>
      </c>
      <c r="E130" s="1" t="str" cm="1">
        <f t="array" ref="E130">MMS_Feedlot_Methane_Equations.VEERG_4_1_1_1__1_TotalAnnualMethaneEmissions_Variable()</f>
        <v>E_CH4</v>
      </c>
    </row>
    <row r="131" spans="4:17" ht="20.100000000000001" customHeight="1" x14ac:dyDescent="0.25">
      <c r="D131" s="57" t="s">
        <v>22</v>
      </c>
      <c r="E131" s="58" t="str" cm="1">
        <f t="array" ref="E131">MMS_Feedlot_Methane_Equations.VEERG_4_1_1_1__1_TotalAnnualMethaneEmissions_Unit()</f>
        <v>t CH4</v>
      </c>
    </row>
    <row r="132" spans="4:17" ht="20.100000000000001" customHeight="1" x14ac:dyDescent="0.25"/>
    <row r="133" spans="4:17" ht="20.100000000000001" customHeight="1" x14ac:dyDescent="0.25">
      <c r="D133" s="61" t="str" cm="1">
        <f t="array" ref="D133:E135">MMS_Feedlot_Methane_Equations.VEERG_4_1_1_1__1_TotalAnnualMethaneEmissions_Arguments()</f>
        <v>D_j</v>
      </c>
      <c r="E133" s="62" t="str">
        <v>length of stay of each cattle group : days</v>
      </c>
      <c r="F133" s="109"/>
      <c r="G133" s="63"/>
      <c r="H133" s="61" t="str">
        <f>"See " &amp; $D$137</f>
        <v>See Table_D_j</v>
      </c>
    </row>
    <row r="134" spans="4:17" ht="20.100000000000001" customHeight="1" x14ac:dyDescent="0.25">
      <c r="D134" s="61" t="str">
        <v>M_jmT</v>
      </c>
      <c r="E134" s="62" t="str">
        <v>methane production from manure per cattle group, MMS, and treatment stage : kg CH4/head/day</v>
      </c>
      <c r="F134" s="109"/>
      <c r="G134" s="63"/>
      <c r="H134" s="61" t="str">
        <f>"See " &amp; $D$142</f>
        <v>See M1_Table_M_j_m_T</v>
      </c>
    </row>
    <row r="135" spans="4:17" ht="20.100000000000001" customHeight="1" x14ac:dyDescent="0.25">
      <c r="D135" s="61" t="str">
        <v>N_j</v>
      </c>
      <c r="E135" s="62" t="str">
        <v>numbers of beef cattle in each group : head</v>
      </c>
      <c r="F135" s="109"/>
      <c r="G135" s="63"/>
      <c r="H135" s="61" t="str">
        <f>"See " &amp; $D$150</f>
        <v>See Table_N_j</v>
      </c>
    </row>
    <row r="136" spans="4:17" ht="20.100000000000001" customHeight="1" x14ac:dyDescent="0.25"/>
    <row r="137" spans="4:17" ht="20.100000000000001" customHeight="1" x14ac:dyDescent="0.25">
      <c r="D137" s="106" t="s">
        <v>134</v>
      </c>
    </row>
    <row r="138" spans="4:17" ht="20.100000000000001" customHeight="1" x14ac:dyDescent="0.25">
      <c r="D138" s="105" t="s">
        <v>129</v>
      </c>
    </row>
    <row r="139" spans="4:17" ht="20.100000000000001" customHeight="1" x14ac:dyDescent="0.25">
      <c r="D139" s="55" t="s">
        <v>152</v>
      </c>
      <c r="E139" s="55" t="s">
        <v>153</v>
      </c>
      <c r="F139" s="55" t="s">
        <v>154</v>
      </c>
    </row>
    <row r="140" spans="4:17" ht="20.100000000000001" customHeight="1" x14ac:dyDescent="0.25">
      <c r="D140" s="111">
        <f>'Input - MMS - Feedlot'!$E$9</f>
        <v>90</v>
      </c>
      <c r="E140" s="111">
        <f>'Input - MMS - Feedlot'!$F$9</f>
        <v>140</v>
      </c>
      <c r="F140" s="111">
        <f>'Input - MMS - Feedlot'!$G$9</f>
        <v>250</v>
      </c>
      <c r="G140" s="2" t="s">
        <v>57</v>
      </c>
    </row>
    <row r="141" spans="4:17" ht="20.100000000000001" customHeight="1" x14ac:dyDescent="0.25"/>
    <row r="142" spans="4:17" ht="20.100000000000001" customHeight="1" x14ac:dyDescent="0.25">
      <c r="D142" s="106" t="s">
        <v>237</v>
      </c>
      <c r="M142" s="106" t="s">
        <v>239</v>
      </c>
    </row>
    <row r="143" spans="4:17" ht="20.100000000000001" customHeight="1" x14ac:dyDescent="0.25">
      <c r="D143" s="105" t="s">
        <v>238</v>
      </c>
      <c r="M143" s="105" t="s">
        <v>240</v>
      </c>
    </row>
    <row r="144" spans="4:17" ht="20.100000000000001" customHeight="1" x14ac:dyDescent="0.25">
      <c r="D144" s="55" t="s">
        <v>138</v>
      </c>
      <c r="E144" s="55" t="s">
        <v>70</v>
      </c>
      <c r="F144" s="55" t="s">
        <v>152</v>
      </c>
      <c r="G144" s="55" t="s">
        <v>153</v>
      </c>
      <c r="H144" s="55" t="s">
        <v>154</v>
      </c>
      <c r="M144" s="55" t="s">
        <v>138</v>
      </c>
      <c r="N144" s="55" t="s">
        <v>70</v>
      </c>
      <c r="O144" s="55" t="s">
        <v>152</v>
      </c>
      <c r="P144" s="55" t="s">
        <v>153</v>
      </c>
      <c r="Q144" s="55" t="s">
        <v>154</v>
      </c>
    </row>
    <row r="145" spans="4:18" ht="20.100000000000001" customHeight="1" x14ac:dyDescent="0.25">
      <c r="D145" s="56">
        <v>1</v>
      </c>
      <c r="E145" s="56" t="str">
        <f>'Input - MMS - Feedlot'!$D$29</f>
        <v>Drylot (feed pad)</v>
      </c>
      <c r="F145" s="56" t="e">
        <f>$E$57</f>
        <v>#REF!</v>
      </c>
      <c r="G145" s="56" t="e">
        <f>$F$57</f>
        <v>#REF!</v>
      </c>
      <c r="H145" s="56" t="e">
        <f>$G$57</f>
        <v>#REF!</v>
      </c>
      <c r="I145" s="2" t="s">
        <v>139</v>
      </c>
      <c r="M145" s="56">
        <v>1</v>
      </c>
      <c r="N145" s="56" t="str">
        <f>'Input - MMS - Feedlot'!$D$29</f>
        <v>Drylot (feed pad)</v>
      </c>
      <c r="O145" s="56" t="e">
        <f>$N$57</f>
        <v>#REF!</v>
      </c>
      <c r="P145" s="56" t="e">
        <f>$O$57</f>
        <v>#REF!</v>
      </c>
      <c r="Q145" s="56" t="e">
        <f>$P$57</f>
        <v>#REF!</v>
      </c>
      <c r="R145" s="2" t="s">
        <v>139</v>
      </c>
    </row>
    <row r="146" spans="4:18" ht="20.100000000000001" customHeight="1" x14ac:dyDescent="0.25">
      <c r="D146" s="56">
        <v>2</v>
      </c>
      <c r="E146" s="56" t="str">
        <f>'Input - MMS - Feedlot'!$D$35</f>
        <v>Solid storage</v>
      </c>
      <c r="F146" s="56" t="e">
        <f>$E$92</f>
        <v>#REF!</v>
      </c>
      <c r="G146" s="56" t="e">
        <f>$F$92</f>
        <v>#REF!</v>
      </c>
      <c r="H146" s="56" t="e">
        <f>$G$92</f>
        <v>#REF!</v>
      </c>
      <c r="I146" s="2" t="s">
        <v>139</v>
      </c>
      <c r="M146" s="56">
        <v>2</v>
      </c>
      <c r="N146" s="56" t="str">
        <f>'Input - MMS - Feedlot'!$D$35</f>
        <v>Solid storage</v>
      </c>
      <c r="O146" s="56" t="e">
        <f>$N$92</f>
        <v>#REF!</v>
      </c>
      <c r="P146" s="56" t="e">
        <f>$O$92</f>
        <v>#REF!</v>
      </c>
      <c r="Q146" s="56" t="e">
        <f>$P$92</f>
        <v>#REF!</v>
      </c>
      <c r="R146" s="2" t="s">
        <v>139</v>
      </c>
    </row>
    <row r="147" spans="4:18" ht="20.100000000000001" customHeight="1" x14ac:dyDescent="0.25">
      <c r="D147" s="56">
        <v>2</v>
      </c>
      <c r="E147" s="56" t="str">
        <f>'Input - MMS - Feedlot'!$D$36</f>
        <v>Composting (passive windrow)</v>
      </c>
      <c r="F147" s="56" t="e">
        <f>$E$93</f>
        <v>#REF!</v>
      </c>
      <c r="G147" s="56" t="e">
        <f>$F$93</f>
        <v>#REF!</v>
      </c>
      <c r="H147" s="56" t="e">
        <f>$G$93</f>
        <v>#REF!</v>
      </c>
      <c r="I147" s="2" t="s">
        <v>139</v>
      </c>
      <c r="M147" s="56">
        <v>2</v>
      </c>
      <c r="N147" s="56" t="str">
        <f>'Input - MMS - Feedlot'!$D$36</f>
        <v>Composting (passive windrow)</v>
      </c>
      <c r="O147" s="56" t="e">
        <f>$N$93</f>
        <v>#REF!</v>
      </c>
      <c r="P147" s="56" t="e">
        <f>$O$93</f>
        <v>#REF!</v>
      </c>
      <c r="Q147" s="56" t="e">
        <f>$P$93</f>
        <v>#REF!</v>
      </c>
      <c r="R147" s="2" t="s">
        <v>139</v>
      </c>
    </row>
    <row r="148" spans="4:18" ht="20.100000000000001" customHeight="1" x14ac:dyDescent="0.25">
      <c r="D148" s="56">
        <v>3</v>
      </c>
      <c r="E148" s="56" t="str">
        <f>'Input - MMS - Feedlot'!$D$41</f>
        <v>Anaerobic lagoon</v>
      </c>
      <c r="F148" s="56" t="e">
        <f>$E$120</f>
        <v>#REF!</v>
      </c>
      <c r="G148" s="56" t="e">
        <f>$F$120</f>
        <v>#REF!</v>
      </c>
      <c r="H148" s="56" t="e">
        <f>$G$120</f>
        <v>#REF!</v>
      </c>
      <c r="I148" s="2" t="s">
        <v>139</v>
      </c>
      <c r="M148" s="56">
        <v>3</v>
      </c>
      <c r="N148" s="56" t="str">
        <f>'Input - MMS - Feedlot'!$D$41</f>
        <v>Anaerobic lagoon</v>
      </c>
      <c r="O148" s="56" t="e">
        <f>$N$120</f>
        <v>#REF!</v>
      </c>
      <c r="P148" s="56" t="e">
        <f>$O$120</f>
        <v>#REF!</v>
      </c>
      <c r="Q148" s="56" t="e">
        <f>$P$120</f>
        <v>#REF!</v>
      </c>
      <c r="R148" s="2" t="s">
        <v>139</v>
      </c>
    </row>
    <row r="149" spans="4:18" ht="20.100000000000001" customHeight="1" x14ac:dyDescent="0.25"/>
    <row r="150" spans="4:18" ht="20.100000000000001" customHeight="1" x14ac:dyDescent="0.25">
      <c r="D150" s="106" t="s">
        <v>135</v>
      </c>
    </row>
    <row r="151" spans="4:18" ht="20.100000000000001" customHeight="1" x14ac:dyDescent="0.25">
      <c r="D151" s="105" t="s">
        <v>136</v>
      </c>
    </row>
    <row r="152" spans="4:18" ht="20.100000000000001" customHeight="1" x14ac:dyDescent="0.25">
      <c r="D152" s="55" t="s">
        <v>152</v>
      </c>
      <c r="E152" s="55" t="s">
        <v>153</v>
      </c>
      <c r="F152" s="55" t="s">
        <v>154</v>
      </c>
    </row>
    <row r="153" spans="4:18" ht="20.100000000000001" customHeight="1" x14ac:dyDescent="0.25">
      <c r="D153" s="111">
        <f>'Input - MMS - Feedlot'!$E$8</f>
        <v>4300</v>
      </c>
      <c r="E153" s="111">
        <f>'Input - MMS - Feedlot'!$F$8</f>
        <v>100</v>
      </c>
      <c r="F153" s="111">
        <f>'Input - MMS - Feedlot'!$G$8</f>
        <v>100</v>
      </c>
      <c r="G153" s="2" t="s">
        <v>137</v>
      </c>
    </row>
    <row r="154" spans="4:18" ht="20.100000000000001" customHeight="1" x14ac:dyDescent="0.25"/>
    <row r="155" spans="4:18" ht="20.100000000000001" customHeight="1" x14ac:dyDescent="0.25">
      <c r="D155" s="106" t="s">
        <v>141</v>
      </c>
      <c r="M155" s="106" t="s">
        <v>141</v>
      </c>
    </row>
    <row r="156" spans="4:18" ht="20.100000000000001" customHeight="1" x14ac:dyDescent="0.25">
      <c r="D156" s="105" t="s">
        <v>142</v>
      </c>
      <c r="M156" s="105" t="s">
        <v>142</v>
      </c>
    </row>
    <row r="157" spans="4:18" ht="20.100000000000001" customHeight="1" x14ac:dyDescent="0.25">
      <c r="D157" s="55" t="s">
        <v>138</v>
      </c>
      <c r="E157" s="55" t="s">
        <v>70</v>
      </c>
      <c r="F157" s="55" t="s">
        <v>152</v>
      </c>
      <c r="G157" s="55" t="s">
        <v>153</v>
      </c>
      <c r="H157" s="55" t="s">
        <v>154</v>
      </c>
      <c r="M157" s="55" t="s">
        <v>138</v>
      </c>
      <c r="N157" s="55" t="s">
        <v>70</v>
      </c>
      <c r="O157" s="55" t="s">
        <v>152</v>
      </c>
      <c r="P157" s="55" t="s">
        <v>153</v>
      </c>
      <c r="Q157" s="55" t="s">
        <v>154</v>
      </c>
    </row>
    <row r="158" spans="4:18" ht="20.100000000000001" customHeight="1" x14ac:dyDescent="0.25">
      <c r="D158" s="56">
        <v>1</v>
      </c>
      <c r="E158" s="56" t="str">
        <f>'Input - MMS - Feedlot'!$D$29</f>
        <v>Drylot (feed pad)</v>
      </c>
      <c r="F158" s="56" t="e" cm="1">
        <f t="array" ref="F158">MMS_Feedlot_Methane_Equations.VEERG_4_1_1_1__1_TotalAnnualMethaneEmissions(D$140, F145, D$153)</f>
        <v>#REF!</v>
      </c>
      <c r="G158" s="56" t="e" cm="1">
        <f t="array" ref="G158">MMS_Feedlot_Methane_Equations.VEERG_4_1_1_1__1_TotalAnnualMethaneEmissions(E$140, G145, E$153)</f>
        <v>#REF!</v>
      </c>
      <c r="H158" s="56" t="e" cm="1">
        <f t="array" ref="H158">MMS_Feedlot_Methane_Equations.VEERG_4_1_1_1__1_TotalAnnualMethaneEmissions(F$140, H145, F$153)</f>
        <v>#REF!</v>
      </c>
      <c r="I158" s="2" t="str">
        <f>$E$131</f>
        <v>t CH4</v>
      </c>
      <c r="M158" s="56">
        <v>1</v>
      </c>
      <c r="N158" s="56" t="str">
        <f>'Input - MMS - Feedlot'!$D$29</f>
        <v>Drylot (feed pad)</v>
      </c>
      <c r="O158" s="56" t="e" cm="1">
        <f t="array" ref="O158">MMS_Feedlot_Methane_Equations.VEERG_4_1_1_1__1_TotalAnnualMethaneEmissions(D$140, O145, D$153)</f>
        <v>#REF!</v>
      </c>
      <c r="P158" s="56" t="e" cm="1">
        <f t="array" ref="P158">MMS_Feedlot_Methane_Equations.VEERG_4_1_1_1__1_TotalAnnualMethaneEmissions(E$140, P145, E$153)</f>
        <v>#REF!</v>
      </c>
      <c r="Q158" s="56" t="e" cm="1">
        <f t="array" ref="Q158">MMS_Feedlot_Methane_Equations.VEERG_4_1_1_1__1_TotalAnnualMethaneEmissions(F$140, Q145, F$153)</f>
        <v>#REF!</v>
      </c>
      <c r="R158" s="2" t="str">
        <f t="shared" ref="R158:R161" si="2">$E$131</f>
        <v>t CH4</v>
      </c>
    </row>
    <row r="159" spans="4:18" ht="20.100000000000001" customHeight="1" x14ac:dyDescent="0.25">
      <c r="D159" s="56">
        <v>2</v>
      </c>
      <c r="E159" s="56" t="str">
        <f>'Input - MMS - Feedlot'!$D$35</f>
        <v>Solid storage</v>
      </c>
      <c r="F159" s="56" t="e" cm="1">
        <f t="array" ref="F159">MMS_Feedlot_Methane_Equations.VEERG_4_1_1_1__1_TotalAnnualMethaneEmissions(D$140, F146, D$153)</f>
        <v>#REF!</v>
      </c>
      <c r="G159" s="56" t="e" cm="1">
        <f t="array" ref="G159">MMS_Feedlot_Methane_Equations.VEERG_4_1_1_1__1_TotalAnnualMethaneEmissions(E$140, G146, E$153)</f>
        <v>#REF!</v>
      </c>
      <c r="H159" s="56" t="e" cm="1">
        <f t="array" ref="H159">MMS_Feedlot_Methane_Equations.VEERG_4_1_1_1__1_TotalAnnualMethaneEmissions(F$140, H146, F$153)</f>
        <v>#REF!</v>
      </c>
      <c r="I159" s="2" t="str">
        <f t="shared" ref="I159:I161" si="3">$E$131</f>
        <v>t CH4</v>
      </c>
      <c r="M159" s="56">
        <v>2</v>
      </c>
      <c r="N159" s="56" t="str">
        <f>'Input - MMS - Feedlot'!$D$35</f>
        <v>Solid storage</v>
      </c>
      <c r="O159" s="56" t="e" cm="1">
        <f t="array" ref="O159">MMS_Feedlot_Methane_Equations.VEERG_4_1_1_1__1_TotalAnnualMethaneEmissions(D$140, O146, D$153)</f>
        <v>#REF!</v>
      </c>
      <c r="P159" s="56" t="e" cm="1">
        <f t="array" ref="P159">MMS_Feedlot_Methane_Equations.VEERG_4_1_1_1__1_TotalAnnualMethaneEmissions(E$140, P146, E$153)</f>
        <v>#REF!</v>
      </c>
      <c r="Q159" s="56" t="e" cm="1">
        <f t="array" ref="Q159">MMS_Feedlot_Methane_Equations.VEERG_4_1_1_1__1_TotalAnnualMethaneEmissions(F$140, Q146, F$153)</f>
        <v>#REF!</v>
      </c>
      <c r="R159" s="2" t="str">
        <f t="shared" si="2"/>
        <v>t CH4</v>
      </c>
    </row>
    <row r="160" spans="4:18" ht="20.100000000000001" customHeight="1" x14ac:dyDescent="0.25">
      <c r="D160" s="56">
        <v>2</v>
      </c>
      <c r="E160" s="56" t="str">
        <f>'Input - MMS - Feedlot'!$D$36</f>
        <v>Composting (passive windrow)</v>
      </c>
      <c r="F160" s="56" t="e" cm="1">
        <f t="array" ref="F160">MMS_Feedlot_Methane_Equations.VEERG_4_1_1_1__1_TotalAnnualMethaneEmissions(D$140, F147, D$153)</f>
        <v>#REF!</v>
      </c>
      <c r="G160" s="56" t="e" cm="1">
        <f t="array" ref="G160">MMS_Feedlot_Methane_Equations.VEERG_4_1_1_1__1_TotalAnnualMethaneEmissions(E$140, G147, E$153)</f>
        <v>#REF!</v>
      </c>
      <c r="H160" s="56" t="e" cm="1">
        <f t="array" ref="H160">MMS_Feedlot_Methane_Equations.VEERG_4_1_1_1__1_TotalAnnualMethaneEmissions(F$140, H147, F$153)</f>
        <v>#REF!</v>
      </c>
      <c r="I160" s="2" t="str">
        <f t="shared" si="3"/>
        <v>t CH4</v>
      </c>
      <c r="M160" s="56">
        <v>2</v>
      </c>
      <c r="N160" s="56" t="str">
        <f>'Input - MMS - Feedlot'!$D$36</f>
        <v>Composting (passive windrow)</v>
      </c>
      <c r="O160" s="56" t="e" cm="1">
        <f t="array" ref="O160">MMS_Feedlot_Methane_Equations.VEERG_4_1_1_1__1_TotalAnnualMethaneEmissions(D$140, O147, D$153)</f>
        <v>#REF!</v>
      </c>
      <c r="P160" s="56" t="e" cm="1">
        <f t="array" ref="P160">MMS_Feedlot_Methane_Equations.VEERG_4_1_1_1__1_TotalAnnualMethaneEmissions(E$140, P147, E$153)</f>
        <v>#REF!</v>
      </c>
      <c r="Q160" s="56" t="e" cm="1">
        <f t="array" ref="Q160">MMS_Feedlot_Methane_Equations.VEERG_4_1_1_1__1_TotalAnnualMethaneEmissions(F$140, Q147, F$153)</f>
        <v>#REF!</v>
      </c>
      <c r="R160" s="2" t="str">
        <f t="shared" si="2"/>
        <v>t CH4</v>
      </c>
    </row>
    <row r="161" spans="4:18" ht="20.100000000000001" customHeight="1" x14ac:dyDescent="0.25">
      <c r="D161" s="56">
        <v>3</v>
      </c>
      <c r="E161" s="56" t="str">
        <f>'Input - MMS - Feedlot'!$D$41</f>
        <v>Anaerobic lagoon</v>
      </c>
      <c r="F161" s="56" t="e" cm="1">
        <f t="array" ref="F161">MMS_Feedlot_Methane_Equations.VEERG_4_1_1_1__1_TotalAnnualMethaneEmissions(D$140, F148, D$153)</f>
        <v>#REF!</v>
      </c>
      <c r="G161" s="56" t="e" cm="1">
        <f t="array" ref="G161">MMS_Feedlot_Methane_Equations.VEERG_4_1_1_1__1_TotalAnnualMethaneEmissions(E$140, G148, E$153)</f>
        <v>#REF!</v>
      </c>
      <c r="H161" s="56" t="e" cm="1">
        <f t="array" ref="H161">MMS_Feedlot_Methane_Equations.VEERG_4_1_1_1__1_TotalAnnualMethaneEmissions(F$140, H148, F$153)</f>
        <v>#REF!</v>
      </c>
      <c r="I161" s="2" t="str">
        <f t="shared" si="3"/>
        <v>t CH4</v>
      </c>
      <c r="M161" s="56">
        <v>3</v>
      </c>
      <c r="N161" s="56" t="str">
        <f>'Input - MMS - Feedlot'!$D$41</f>
        <v>Anaerobic lagoon</v>
      </c>
      <c r="O161" s="56" t="e" cm="1">
        <f t="array" ref="O161">MMS_Feedlot_Methane_Equations.VEERG_4_1_1_1__1_TotalAnnualMethaneEmissions(D$140, O148, D$153)</f>
        <v>#REF!</v>
      </c>
      <c r="P161" s="56" t="e" cm="1">
        <f t="array" ref="P161">MMS_Feedlot_Methane_Equations.VEERG_4_1_1_1__1_TotalAnnualMethaneEmissions(E$140, P148, E$153)</f>
        <v>#REF!</v>
      </c>
      <c r="Q161" s="56" t="e" cm="1">
        <f t="array" ref="Q161">MMS_Feedlot_Methane_Equations.VEERG_4_1_1_1__1_TotalAnnualMethaneEmissions(F$140, Q148, F$153)</f>
        <v>#REF!</v>
      </c>
      <c r="R161" s="2" t="str">
        <f t="shared" si="2"/>
        <v>t CH4</v>
      </c>
    </row>
    <row r="162" spans="4:18" ht="20.100000000000001" customHeight="1" x14ac:dyDescent="0.25"/>
    <row r="163" spans="4:18" ht="20.100000000000001" customHeight="1" x14ac:dyDescent="0.25"/>
    <row r="164" spans="4:18" ht="20.100000000000001" customHeight="1" x14ac:dyDescent="0.25">
      <c r="D164" s="112" t="s">
        <v>241</v>
      </c>
      <c r="E164" s="113" t="e">
        <f>SUM(F158:H161)</f>
        <v>#REF!</v>
      </c>
      <c r="F164" s="114" t="str">
        <f>$E$131</f>
        <v>t CH4</v>
      </c>
      <c r="M164" s="112" t="s">
        <v>242</v>
      </c>
      <c r="N164" s="113" t="e">
        <f>SUM(O158:Q161)</f>
        <v>#REF!</v>
      </c>
      <c r="O164" s="114" t="str">
        <f>$E$131</f>
        <v>t CH4</v>
      </c>
    </row>
    <row r="165" spans="4:18" ht="20.100000000000001" customHeight="1" x14ac:dyDescent="0.25"/>
    <row r="166" spans="4:18" x14ac:dyDescent="0.25">
      <c r="D166" s="61" t="str" cm="1">
        <f t="array" ref="D166:E167">Common_Equations.Common_ConvertCH4ToCO2e_Arguments()</f>
        <v>ECH4</v>
      </c>
      <c r="E166" s="62" t="str">
        <v>Methane emissions (t CH4)</v>
      </c>
      <c r="F166" s="115"/>
      <c r="G166" s="56" t="e">
        <f>E164</f>
        <v>#REF!</v>
      </c>
      <c r="H166" s="2" t="str">
        <f>$E$131</f>
        <v>t CH4</v>
      </c>
      <c r="M166" s="61" t="str" cm="1">
        <f t="array" ref="M166:N167">Common_Equations.Common_ConvertCH4ToCO2e_Arguments()</f>
        <v>ECH4</v>
      </c>
      <c r="N166" s="62" t="str">
        <v>Methane emissions (t CH4)</v>
      </c>
      <c r="O166" s="115"/>
      <c r="P166" s="56" t="e">
        <f>N164</f>
        <v>#REF!</v>
      </c>
      <c r="Q166" s="2" t="str">
        <f>$E$131</f>
        <v>t CH4</v>
      </c>
    </row>
    <row r="167" spans="4:18" x14ac:dyDescent="0.25">
      <c r="D167" s="61" t="str">
        <v>GWPCH4</v>
      </c>
      <c r="E167" s="62" t="str">
        <v>Global warming potential for methane (t CO2-e / t CH4)</v>
      </c>
      <c r="F167" s="115"/>
      <c r="G167" s="56" cm="1">
        <f t="array" ref="G167">Common_InputFunctions.Utility_LookupValueInTableNumber("CH4",#REF!,#REF!)</f>
        <v>0</v>
      </c>
      <c r="M167" s="61" t="str">
        <v>GWPCH4</v>
      </c>
      <c r="N167" s="62" t="str">
        <v>Global warming potential for methane (t CO2-e / t CH4)</v>
      </c>
      <c r="O167" s="115"/>
      <c r="P167" s="56" cm="1">
        <f t="array" ref="P167">Common_InputFunctions.Utility_LookupValueInTableNumber("CH4",#REF!,#REF!)</f>
        <v>0</v>
      </c>
    </row>
    <row r="169" spans="4:18" ht="18.75" x14ac:dyDescent="0.25">
      <c r="D169" s="49" t="s">
        <v>243</v>
      </c>
      <c r="E169" s="49" t="e" cm="1">
        <f t="array" ref="E169">Common_Equations.Common_ConvertCH4ToCO2e(G166,G167)</f>
        <v>#REF!</v>
      </c>
      <c r="F169" s="116" t="str" cm="1">
        <f t="array" ref="F169">Common_Equations.Common_ConvertN2OToCO2e_Unit()</f>
        <v>t CO2e</v>
      </c>
      <c r="M169" s="49" t="s">
        <v>244</v>
      </c>
      <c r="N169" s="49" t="e" cm="1">
        <f t="array" ref="N169">Common_Equations.Common_ConvertCH4ToCO2e(P166,P167)</f>
        <v>#REF!</v>
      </c>
      <c r="O169" s="116" t="str" cm="1">
        <f t="array" ref="O169">Common_Equations.Common_ConvertN2OToCO2e_Unit()</f>
        <v>t CO2e</v>
      </c>
    </row>
  </sheetData>
  <dataValidations count="1">
    <dataValidation operator="equal" allowBlank="1" showInputMessage="1" showErrorMessage="1" sqref="E52:G52 E57:G57 E115:G115 E120:G120 D140:F140 D153:F153 N57:P57 N120:P12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A53" workbookViewId="0">
      <selection activeCell="O211" sqref="O2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2" t="e" vm="1">
        <v>#VALUE!</v>
      </c>
      <c r="C1" s="8" t="s">
        <v>300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176</v>
      </c>
      <c r="E3" s="4"/>
      <c r="F3" s="4"/>
      <c r="G3" s="4"/>
      <c r="H3" s="4"/>
      <c r="I3" s="4"/>
      <c r="K3" s="4"/>
      <c r="L3" s="4" t="s">
        <v>177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MMS_Feedlot_N2O_Direct_Equations.VEERG_4_1_1_3__5_NitrogenIntake_Title()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MMS_Feedlot_N2O_Direct_Equations.VEERG_4_1_1_3__5_NitrogenIntake_Source()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144</v>
      </c>
      <c r="E7" s="13" t="str" cm="1">
        <f t="array" aca="1" ref="E7" ca="1">Common_InputFunctions.Utility_DisplayFunctionName(D30)</f>
        <v>=MMS_Feedlot_N2O_Direct_Equations.VEERG_4_1_1_3__5_NitrogenIntake</v>
      </c>
    </row>
    <row r="8" spans="1:17" ht="20.100000000000001" customHeight="1" x14ac:dyDescent="0.25">
      <c r="A8" s="17" t="str">
        <f>HYPERLINK("#'Input - MMS - Feedlot'!A1", "MMS - Feedlot")</f>
        <v>MMS - 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79</v>
      </c>
      <c r="D10" s="57" t="s">
        <v>32</v>
      </c>
      <c r="E10" s="1" t="str" cm="1">
        <f t="array" ref="E10">MMS_Feedlot_N2O_Direct_Equations.VEERG_4_1_1_3__5_NitrogenIntake_Variable()</f>
        <v>NI_j</v>
      </c>
    </row>
    <row r="11" spans="1:17" ht="20.100000000000001" customHeight="1" x14ac:dyDescent="0.25">
      <c r="A11" s="17" t="str">
        <f>HYPERLINK("#'Calcs - CH4 MMS Feedlot'!A1", "MMS Methane")</f>
        <v>MMS Methane</v>
      </c>
      <c r="D11" s="57" t="s">
        <v>22</v>
      </c>
      <c r="E11" s="58" t="str" cm="1">
        <f t="array" ref="E11">MMS_Feedlot_N2O_Direct_Equations.VEERG_4_1_1_3__5_NitrogenIntake_Unit()</f>
        <v>kg N/head/day</v>
      </c>
    </row>
    <row r="12" spans="1:17" ht="20.100000000000001" customHeight="1" x14ac:dyDescent="0.25">
      <c r="A12" s="22" t="s">
        <v>123</v>
      </c>
    </row>
    <row r="13" spans="1:17" ht="20.100000000000001" customHeight="1" x14ac:dyDescent="0.25">
      <c r="D13" s="61" t="str" cm="1">
        <f t="array" ref="D13:E15">MMS_Feedlot_N2O_Direct_Equations.VEERG_4_1_1_3__5_NitrogenIntake_Arguments()</f>
        <v>I_j</v>
      </c>
      <c r="E13" s="62" t="str">
        <v>dry matter intake : kg DM/head/day</v>
      </c>
      <c r="F13" s="63"/>
      <c r="G13" s="61" t="str">
        <f>"See " &amp;D17</f>
        <v>See M1_Table_I_j</v>
      </c>
    </row>
    <row r="14" spans="1:17" ht="20.100000000000001" customHeight="1" x14ac:dyDescent="0.25">
      <c r="A14" s="18" t="s">
        <v>4</v>
      </c>
      <c r="D14" s="61" t="str">
        <v>CP_j</v>
      </c>
      <c r="E14" s="62" t="str">
        <v>crude protein content of feed : fraction</v>
      </c>
      <c r="F14" s="63"/>
      <c r="G14" s="61" t="str">
        <f>"See " &amp; D22</f>
        <v>See M1_Table_CP_j</v>
      </c>
    </row>
    <row r="15" spans="1:17" ht="20.100000000000001" customHeight="1" x14ac:dyDescent="0.25">
      <c r="A15" s="17" t="str">
        <f>HYPERLINK("#'Constants - Common'!A1", "Constants - Common")</f>
        <v>Constants - Common</v>
      </c>
      <c r="D15" s="61" t="str">
        <v>6.25</v>
      </c>
      <c r="E15" s="62" t="str">
        <v>factor for converting crude protein into nitrogen : ratio</v>
      </c>
      <c r="F15" s="63"/>
      <c r="G15" s="61" t="str">
        <f>D15</f>
        <v>6.25</v>
      </c>
    </row>
    <row r="16" spans="1:17" ht="20.100000000000001" customHeight="1" x14ac:dyDescent="0.25">
      <c r="A16" s="17" t="str">
        <f>HYPERLINK("#'Constants - Livestock'!A1", "Constants - Livestock")</f>
        <v>Constants - Livestock</v>
      </c>
    </row>
    <row r="17" spans="1:16" ht="20.100000000000001" customHeight="1" x14ac:dyDescent="0.25">
      <c r="A17" s="17" t="str">
        <f>HYPERLINK("#'Acknowledgements'!A1", "Acknowledgements")</f>
        <v>Acknowledgements</v>
      </c>
      <c r="D17" s="106" t="s">
        <v>166</v>
      </c>
      <c r="L17" s="106" t="s">
        <v>169</v>
      </c>
    </row>
    <row r="18" spans="1:16" ht="20.100000000000001" customHeight="1" x14ac:dyDescent="0.25">
      <c r="A18" s="71"/>
      <c r="D18" s="105" t="s">
        <v>214</v>
      </c>
      <c r="L18" s="105" t="s">
        <v>215</v>
      </c>
    </row>
    <row r="19" spans="1:16" ht="20.100000000000001" customHeight="1" x14ac:dyDescent="0.25">
      <c r="A19" s="17"/>
      <c r="D19" s="55" t="s">
        <v>152</v>
      </c>
      <c r="E19" s="55" t="s">
        <v>153</v>
      </c>
      <c r="F19" s="55" t="s">
        <v>154</v>
      </c>
      <c r="L19" s="55" t="s">
        <v>152</v>
      </c>
      <c r="M19" s="55" t="s">
        <v>153</v>
      </c>
      <c r="N19" s="55" t="s">
        <v>154</v>
      </c>
    </row>
    <row r="20" spans="1:16" ht="20.100000000000001" customHeight="1" x14ac:dyDescent="0.25">
      <c r="A20" s="17"/>
      <c r="D20" s="56">
        <f>'Input - MMS - Feedlot'!$E$14</f>
        <v>10.4</v>
      </c>
      <c r="E20" s="56">
        <f>'Input - MMS - Feedlot'!$F$14</f>
        <v>10.8</v>
      </c>
      <c r="F20" s="56">
        <f>'Input - MMS - Feedlot'!$G$14</f>
        <v>8.1999999999999993</v>
      </c>
      <c r="G20" s="2" t="s">
        <v>109</v>
      </c>
      <c r="H20" s="2"/>
      <c r="L20" s="56">
        <f>'Input - MMS - Feedlot'!$E$20</f>
        <v>10.4</v>
      </c>
      <c r="M20" s="56">
        <f>'Input - MMS - Feedlot'!$F$20</f>
        <v>10.8</v>
      </c>
      <c r="N20" s="56">
        <f>'Input - MMS - Feedlot'!$G$20</f>
        <v>8.1999999999999993</v>
      </c>
      <c r="O20" s="2" t="s">
        <v>109</v>
      </c>
      <c r="P20" s="2"/>
    </row>
    <row r="21" spans="1:16" ht="20.100000000000001" customHeight="1" x14ac:dyDescent="0.25">
      <c r="A21" t="s">
        <v>19</v>
      </c>
    </row>
    <row r="22" spans="1:16" ht="20.100000000000001" customHeight="1" x14ac:dyDescent="0.25">
      <c r="D22" s="106" t="s">
        <v>167</v>
      </c>
      <c r="L22" s="106" t="s">
        <v>170</v>
      </c>
    </row>
    <row r="23" spans="1:16" ht="20.100000000000001" customHeight="1" x14ac:dyDescent="0.25">
      <c r="D23" s="105" t="s">
        <v>213</v>
      </c>
      <c r="L23" s="105" t="s">
        <v>216</v>
      </c>
    </row>
    <row r="24" spans="1:16" ht="20.100000000000001" customHeight="1" x14ac:dyDescent="0.25">
      <c r="D24" s="55" t="s">
        <v>152</v>
      </c>
      <c r="E24" s="55" t="s">
        <v>153</v>
      </c>
      <c r="F24" s="55" t="s">
        <v>154</v>
      </c>
      <c r="L24" s="55" t="s">
        <v>152</v>
      </c>
      <c r="M24" s="55" t="s">
        <v>153</v>
      </c>
      <c r="N24" s="55" t="s">
        <v>154</v>
      </c>
    </row>
    <row r="25" spans="1:16" ht="20.100000000000001" customHeight="1" x14ac:dyDescent="0.25">
      <c r="D25" s="56">
        <f>'Input - MMS - Feedlot'!$E$16</f>
        <v>0.14000000000000001</v>
      </c>
      <c r="E25" s="56">
        <f>'Input - MMS - Feedlot'!$F$16</f>
        <v>0.12</v>
      </c>
      <c r="F25" s="56">
        <f>'Input - MMS - Feedlot'!$G$16</f>
        <v>0.12</v>
      </c>
      <c r="G25" s="2" t="s">
        <v>103</v>
      </c>
      <c r="H25" s="2"/>
      <c r="L25" s="56">
        <f>'Input - MMS - Feedlot'!$E$22</f>
        <v>0.14000000000000001</v>
      </c>
      <c r="M25" s="56">
        <f>'Input - MMS - Feedlot'!$F$22</f>
        <v>0.12</v>
      </c>
      <c r="N25" s="56">
        <f>'Input - MMS - Feedlot'!$G$22</f>
        <v>0.12</v>
      </c>
      <c r="O25" s="2" t="s">
        <v>103</v>
      </c>
      <c r="P25" s="2"/>
    </row>
    <row r="26" spans="1:16" ht="20.100000000000001" customHeight="1" x14ac:dyDescent="0.25"/>
    <row r="27" spans="1:16" ht="20.100000000000001" customHeight="1" x14ac:dyDescent="0.25">
      <c r="D27" s="106" t="s">
        <v>168</v>
      </c>
      <c r="L27" s="106" t="s">
        <v>171</v>
      </c>
    </row>
    <row r="28" spans="1:16" ht="20.100000000000001" customHeight="1" x14ac:dyDescent="0.25">
      <c r="D28" s="105" t="s">
        <v>212</v>
      </c>
      <c r="L28" s="105" t="s">
        <v>217</v>
      </c>
    </row>
    <row r="29" spans="1:16" ht="20.100000000000001" customHeight="1" x14ac:dyDescent="0.25">
      <c r="D29" s="55" t="s">
        <v>152</v>
      </c>
      <c r="E29" s="55" t="s">
        <v>153</v>
      </c>
      <c r="F29" s="55" t="s">
        <v>154</v>
      </c>
      <c r="L29" s="55" t="s">
        <v>152</v>
      </c>
      <c r="M29" s="55" t="s">
        <v>153</v>
      </c>
      <c r="N29" s="55" t="s">
        <v>154</v>
      </c>
    </row>
    <row r="30" spans="1:16" ht="20.100000000000001" customHeight="1" x14ac:dyDescent="0.25">
      <c r="D30" s="56" cm="1">
        <f t="array" ref="D30">MMS_Feedlot_N2O_Direct_Equations.VEERG_4_1_1_3__5_NitrogenIntake(D20,D25)</f>
        <v>0.23296000000000003</v>
      </c>
      <c r="E30" s="56" cm="1">
        <f t="array" ref="E30">MMS_Feedlot_N2O_Direct_Equations.VEERG_4_1_1_3__5_NitrogenIntake(E20,E25)</f>
        <v>0.20736000000000002</v>
      </c>
      <c r="F30" s="56" cm="1">
        <f t="array" ref="F30">MMS_Feedlot_N2O_Direct_Equations.VEERG_4_1_1_3__5_NitrogenIntake(F20,F25)</f>
        <v>0.15743999999999997</v>
      </c>
      <c r="G30" s="2" t="str">
        <f>$E$11</f>
        <v>kg N/head/day</v>
      </c>
      <c r="H30" s="2"/>
      <c r="L30" s="56" cm="1">
        <f t="array" ref="L30">MMS_Feedlot_N2O_Direct_Equations.VEERG_4_1_1_3__5_NitrogenIntake(L20,L25)</f>
        <v>0.23296000000000003</v>
      </c>
      <c r="M30" s="56" cm="1">
        <f t="array" ref="M30">MMS_Feedlot_N2O_Direct_Equations.VEERG_4_1_1_3__5_NitrogenIntake(M20,M25)</f>
        <v>0.20736000000000002</v>
      </c>
      <c r="N30" s="56" cm="1">
        <f t="array" ref="N30">MMS_Feedlot_N2O_Direct_Equations.VEERG_4_1_1_3__5_NitrogenIntake(N20,N25)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9"/>
      <c r="D33" s="49"/>
      <c r="E33" s="49"/>
      <c r="F33" s="49"/>
      <c r="G33" s="49"/>
      <c r="H33" s="49"/>
      <c r="I33" s="49"/>
      <c r="K33" s="49"/>
      <c r="L33" s="49"/>
      <c r="M33" s="49"/>
      <c r="N33" s="49"/>
      <c r="O33" s="49"/>
      <c r="P33" s="49"/>
      <c r="Q33" s="49"/>
    </row>
    <row r="34" spans="3:17" ht="20.100000000000001" customHeight="1" x14ac:dyDescent="0.25">
      <c r="D34" s="6" t="str" cm="1">
        <f t="array" ref="D34">MMS_Feedlot_N2O_Direct_Equations.VEERG_4_1_1_3__4_NitrogenExcretionPerHead_Title()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MMS_Feedlot_N2O_Direct_Equations.VEERG_4_1_1_3__4_NitrogenExcretionPerHead_Source()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29</v>
      </c>
      <c r="E36" s="13" t="str" cm="1">
        <f t="array" aca="1" ref="E36" ca="1">Common_InputFunctions.Utility_DisplayFunctionName(D54)</f>
        <v>=MMS_Feedlot_N2O_Direct_Equations.VEERG_4_1_1_3__4_NitrogenExcretionPerHead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7" t="s">
        <v>32</v>
      </c>
      <c r="E40" s="1" t="str" cm="1">
        <f t="array" ref="E40">MMS_Feedlot_N2O_Direct_Equations.VEERG_4_1_1_3__4_NitrogenExcretionPerHead_Variable()</f>
        <v>NE_j</v>
      </c>
    </row>
    <row r="41" spans="3:17" ht="20.100000000000001" customHeight="1" x14ac:dyDescent="0.25">
      <c r="D41" s="57" t="s">
        <v>22</v>
      </c>
      <c r="E41" s="58" t="str" cm="1">
        <f t="array" ref="E41">MMS_Feedlot_N2O_Direct_Equations.VEERG_4_1_1_3__4_NitrogenExcretionPerHead_Unit()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1" t="str" cm="1">
        <f t="array" ref="D43:E44">MMS_Feedlot_N2O_Direct_Equations.VEERG_4_1_1_3__4_NitrogenExcretionPerHead_Arguments()</f>
        <v>NI_j</v>
      </c>
      <c r="E43" s="62" t="str">
        <v>nitrogen intake : kg N/head/day</v>
      </c>
      <c r="F43" s="63"/>
      <c r="G43" s="61" t="str">
        <f>"See " &amp; D27</f>
        <v>See M1_Table_NI_j</v>
      </c>
    </row>
    <row r="44" spans="3:17" ht="20.100000000000001" customHeight="1" x14ac:dyDescent="0.25">
      <c r="D44" s="61" t="str">
        <v>NR_j</v>
      </c>
      <c r="E44" s="62" t="str">
        <v>nitrogen retention expressed as a fraction of intake : fraction</v>
      </c>
      <c r="F44" s="63"/>
      <c r="G44" s="61" t="str">
        <f>"See " &amp; D46</f>
        <v>See M1_Table_NR_j</v>
      </c>
    </row>
    <row r="45" spans="3:17" ht="20.100000000000001" customHeight="1" x14ac:dyDescent="0.25"/>
    <row r="46" spans="3:17" ht="20.100000000000001" customHeight="1" x14ac:dyDescent="0.25">
      <c r="D46" s="106" t="s">
        <v>172</v>
      </c>
      <c r="E46" s="119" t="s">
        <v>253</v>
      </c>
      <c r="L46" s="106" t="s">
        <v>173</v>
      </c>
      <c r="M46" s="119" t="s">
        <v>253</v>
      </c>
    </row>
    <row r="47" spans="3:17" ht="20.100000000000001" customHeight="1" x14ac:dyDescent="0.25">
      <c r="D47" s="105" t="s">
        <v>210</v>
      </c>
      <c r="L47" s="105" t="s">
        <v>211</v>
      </c>
    </row>
    <row r="48" spans="3:17" ht="20.100000000000001" customHeight="1" x14ac:dyDescent="0.25">
      <c r="D48" s="55" t="s">
        <v>152</v>
      </c>
      <c r="E48" s="55" t="s">
        <v>153</v>
      </c>
      <c r="F48" s="55" t="s">
        <v>154</v>
      </c>
      <c r="L48" s="55" t="s">
        <v>152</v>
      </c>
      <c r="M48" s="55" t="s">
        <v>153</v>
      </c>
      <c r="N48" s="55" t="s">
        <v>154</v>
      </c>
    </row>
    <row r="49" spans="3:17" ht="20.100000000000001" customHeight="1" x14ac:dyDescent="0.25">
      <c r="D49" s="56">
        <f>'Input - MMS - Feedlot'!$E$17/100</f>
        <v>0.20399999999999999</v>
      </c>
      <c r="E49" s="56">
        <f>'Input - MMS - Feedlot'!$F$17/100</f>
        <v>0.127</v>
      </c>
      <c r="F49" s="56">
        <f>'Input - MMS - Feedlot'!$G$17/100</f>
        <v>7.0000000000000007E-2</v>
      </c>
      <c r="G49" s="2" t="s">
        <v>178</v>
      </c>
      <c r="H49" s="2"/>
      <c r="L49" s="56">
        <f>'Input - MMS - Feedlot'!$E$23/100</f>
        <v>0.20399999999999999</v>
      </c>
      <c r="M49" s="56">
        <f>'Input - MMS - Feedlot'!$F$23/100</f>
        <v>0.127</v>
      </c>
      <c r="N49" s="56">
        <f>'Input - MMS - Feedlot'!$G$23/100</f>
        <v>7.0000000000000007E-2</v>
      </c>
      <c r="O49" s="2" t="s">
        <v>103</v>
      </c>
      <c r="P49" s="2"/>
    </row>
    <row r="50" spans="3:17" ht="20.100000000000001" customHeight="1" x14ac:dyDescent="0.25"/>
    <row r="51" spans="3:17" ht="20.100000000000001" customHeight="1" x14ac:dyDescent="0.25">
      <c r="D51" s="106" t="s">
        <v>174</v>
      </c>
      <c r="L51" s="106" t="s">
        <v>175</v>
      </c>
    </row>
    <row r="52" spans="3:17" ht="20.100000000000001" customHeight="1" x14ac:dyDescent="0.25">
      <c r="D52" s="105" t="s">
        <v>210</v>
      </c>
      <c r="L52" s="105" t="s">
        <v>211</v>
      </c>
    </row>
    <row r="53" spans="3:17" ht="20.100000000000001" customHeight="1" x14ac:dyDescent="0.25">
      <c r="D53" s="55" t="s">
        <v>152</v>
      </c>
      <c r="E53" s="55" t="s">
        <v>153</v>
      </c>
      <c r="F53" s="55" t="s">
        <v>154</v>
      </c>
      <c r="L53" s="55" t="s">
        <v>152</v>
      </c>
      <c r="M53" s="55" t="s">
        <v>153</v>
      </c>
      <c r="N53" s="55" t="s">
        <v>154</v>
      </c>
    </row>
    <row r="54" spans="3:17" ht="20.100000000000001" customHeight="1" x14ac:dyDescent="0.25">
      <c r="D54" s="56" cm="1">
        <f t="array" ref="D54">MMS_Feedlot_N2O_Direct_Equations.VEERG_4_1_1_3__4_NitrogenExcretionPerHead(D30,D49)</f>
        <v>0.18543616000000004</v>
      </c>
      <c r="E54" s="56" cm="1">
        <f t="array" ref="E54">MMS_Feedlot_N2O_Direct_Equations.VEERG_4_1_1_3__4_NitrogenExcretionPerHead(E30,E49)</f>
        <v>0.18102528000000001</v>
      </c>
      <c r="F54" s="56" cm="1">
        <f t="array" ref="F54">MMS_Feedlot_N2O_Direct_Equations.VEERG_4_1_1_3__4_NitrogenExcretionPerHead(F30,F49)</f>
        <v>0.14641919999999997</v>
      </c>
      <c r="G54" s="2" t="str">
        <f>$E$41</f>
        <v>kg N/head/day</v>
      </c>
      <c r="H54" s="2"/>
      <c r="L54" s="56" cm="1">
        <f t="array" ref="L54">MMS_Feedlot_N2O_Direct_Equations.VEERG_4_1_1_3__4_NitrogenExcretionPerHead(L30,L49)</f>
        <v>0.18543616000000004</v>
      </c>
      <c r="M54" s="56" cm="1">
        <f t="array" ref="M54">MMS_Feedlot_N2O_Direct_Equations.VEERG_4_1_1_3__4_NitrogenExcretionPerHead(M30,M49)</f>
        <v>0.18102528000000001</v>
      </c>
      <c r="N54" s="56" cm="1">
        <f t="array" ref="N54">MMS_Feedlot_N2O_Direct_Equations.VEERG_4_1_1_3__4_NitrogenExcretionPerHead(N30,N49)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9"/>
      <c r="D57" s="49"/>
      <c r="E57" s="49"/>
      <c r="F57" s="49"/>
      <c r="G57" s="49"/>
      <c r="H57" s="49"/>
      <c r="I57" s="49"/>
      <c r="K57" s="49"/>
      <c r="L57" s="49"/>
      <c r="M57" s="49"/>
      <c r="N57" s="49"/>
      <c r="O57" s="49"/>
      <c r="P57" s="49"/>
      <c r="Q57" s="49"/>
    </row>
    <row r="58" spans="3:17" ht="20.100000000000001" customHeight="1" x14ac:dyDescent="0.25">
      <c r="D58" s="6" t="str" cm="1">
        <f t="array" ref="D58">MMS_Feedlot_N2O_Direct_Equations.VEERG_4_1_1_3__3_AnnualNitrogenExcretion_Title()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MMS_Feedlot_N2O_Direct_Equations.VEERG_4_1_1_3__3_AnnualNitrogenExcretion_Source()</f>
        <v>VEERG 2026: 4.1.1.3, Equation (3)</v>
      </c>
    </row>
    <row r="60" spans="3:17" ht="20.100000000000001" customHeight="1" x14ac:dyDescent="0.25">
      <c r="D60" s="13" t="s">
        <v>29</v>
      </c>
      <c r="E60" s="13" t="str" cm="1">
        <f t="array" aca="1" ref="E60" ca="1">Common_InputFunctions.Utility_DisplayFunctionName(D83)</f>
        <v>=MMS_Feedlot_N2O_Direct_Equations.VEERG_4_1_1_3__3_AnnualNitrogenExcretion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7" t="s">
        <v>32</v>
      </c>
      <c r="E63" s="1" t="str" cm="1">
        <f t="array" ref="E63">MMS_Feedlot_N2O_Direct_Equations.VEERG_4_1_1_3__3_AnnualNitrogenExcretion_Variable()</f>
        <v>AE_j</v>
      </c>
    </row>
    <row r="64" spans="3:17" ht="20.100000000000001" customHeight="1" x14ac:dyDescent="0.25">
      <c r="D64" s="57" t="s">
        <v>22</v>
      </c>
      <c r="E64" s="58" t="str" cm="1">
        <f t="array" ref="E64">MMS_Feedlot_N2O_Direct_Equations.VEERG_4_1_1_3__3_AnnualNitrogenExcretion_Unit()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20" t="str" cm="1">
        <f t="array" ref="D66:E68">MMS_Feedlot_N2O_Direct_Equations.VEERG_4_1_1_3__3_AnnualNitrogenExcretion_Arguments()</f>
        <v>N_j</v>
      </c>
      <c r="E66" s="122" t="str">
        <v>number of cattle in each group : head</v>
      </c>
      <c r="F66" s="121"/>
      <c r="G66" s="120" t="str">
        <f>"See " &amp; D70</f>
        <v>See Table_N_j</v>
      </c>
    </row>
    <row r="67" spans="4:12" ht="20.100000000000001" customHeight="1" x14ac:dyDescent="0.25">
      <c r="D67" s="120" t="str">
        <v>NE_j</v>
      </c>
      <c r="E67" s="122" t="str">
        <v>nitrogen excretion : kg N/head/day</v>
      </c>
      <c r="F67" s="121"/>
      <c r="G67" s="120" t="str">
        <f>"See " &amp; D51</f>
        <v>See M1_Table_NE_j</v>
      </c>
    </row>
    <row r="68" spans="4:12" ht="20.100000000000001" customHeight="1" x14ac:dyDescent="0.25">
      <c r="D68" s="120" t="str">
        <v>D_j</v>
      </c>
      <c r="E68" s="122" t="str">
        <v>duration of stay of cattle group : days</v>
      </c>
      <c r="F68" s="121"/>
      <c r="G68" s="120" t="str">
        <f>"See " &amp; D75</f>
        <v>See Table_D_j</v>
      </c>
    </row>
    <row r="69" spans="4:12" ht="20.100000000000001" customHeight="1" x14ac:dyDescent="0.25"/>
    <row r="70" spans="4:12" ht="20.100000000000001" customHeight="1" x14ac:dyDescent="0.25">
      <c r="D70" s="106" t="s">
        <v>135</v>
      </c>
    </row>
    <row r="71" spans="4:12" ht="20.100000000000001" customHeight="1" x14ac:dyDescent="0.25">
      <c r="D71" s="105" t="s">
        <v>136</v>
      </c>
    </row>
    <row r="72" spans="4:12" ht="20.100000000000001" customHeight="1" x14ac:dyDescent="0.25">
      <c r="D72" s="55" t="s">
        <v>152</v>
      </c>
      <c r="E72" s="55" t="s">
        <v>153</v>
      </c>
      <c r="F72" s="55" t="s">
        <v>154</v>
      </c>
    </row>
    <row r="73" spans="4:12" ht="20.100000000000001" customHeight="1" x14ac:dyDescent="0.25">
      <c r="D73" s="111">
        <f>'Input - MMS - Feedlot'!$E$8</f>
        <v>4300</v>
      </c>
      <c r="E73" s="111">
        <f>'Input - MMS - Feedlot'!$F$8</f>
        <v>100</v>
      </c>
      <c r="F73" s="111">
        <f>'Input - MMS - Feedlot'!$G$8</f>
        <v>100</v>
      </c>
      <c r="G73" s="2" t="s">
        <v>137</v>
      </c>
      <c r="H73" s="2"/>
    </row>
    <row r="74" spans="4:12" ht="20.100000000000001" customHeight="1" x14ac:dyDescent="0.25"/>
    <row r="75" spans="4:12" ht="20.100000000000001" customHeight="1" x14ac:dyDescent="0.25">
      <c r="D75" s="106" t="s">
        <v>134</v>
      </c>
    </row>
    <row r="76" spans="4:12" ht="20.100000000000001" customHeight="1" x14ac:dyDescent="0.25">
      <c r="D76" s="105" t="s">
        <v>129</v>
      </c>
    </row>
    <row r="77" spans="4:12" ht="20.100000000000001" customHeight="1" x14ac:dyDescent="0.25">
      <c r="D77" s="55" t="s">
        <v>152</v>
      </c>
      <c r="E77" s="55" t="s">
        <v>153</v>
      </c>
      <c r="F77" s="55" t="s">
        <v>154</v>
      </c>
    </row>
    <row r="78" spans="4:12" ht="20.100000000000001" customHeight="1" x14ac:dyDescent="0.25">
      <c r="D78" s="111">
        <f>'Input - MMS - Feedlot'!$E$9</f>
        <v>90</v>
      </c>
      <c r="E78" s="111">
        <f>'Input - MMS - Feedlot'!$F$9</f>
        <v>140</v>
      </c>
      <c r="F78" s="111">
        <f>'Input - MMS - Feedlot'!$G$9</f>
        <v>250</v>
      </c>
      <c r="G78" s="2" t="s">
        <v>57</v>
      </c>
      <c r="H78" s="2"/>
    </row>
    <row r="79" spans="4:12" ht="20.100000000000001" customHeight="1" x14ac:dyDescent="0.25"/>
    <row r="80" spans="4:12" ht="20.100000000000001" customHeight="1" x14ac:dyDescent="0.25">
      <c r="D80" s="106" t="s">
        <v>179</v>
      </c>
      <c r="L80" s="106" t="s">
        <v>180</v>
      </c>
    </row>
    <row r="81" spans="3:17" ht="20.100000000000001" customHeight="1" x14ac:dyDescent="0.25">
      <c r="D81" s="105" t="s">
        <v>208</v>
      </c>
      <c r="L81" s="105" t="s">
        <v>209</v>
      </c>
    </row>
    <row r="82" spans="3:17" ht="20.100000000000001" customHeight="1" x14ac:dyDescent="0.25">
      <c r="D82" s="55" t="s">
        <v>152</v>
      </c>
      <c r="E82" s="55" t="s">
        <v>153</v>
      </c>
      <c r="F82" s="55" t="s">
        <v>154</v>
      </c>
      <c r="L82" s="55" t="s">
        <v>152</v>
      </c>
      <c r="M82" s="55" t="s">
        <v>153</v>
      </c>
      <c r="N82" s="55" t="s">
        <v>154</v>
      </c>
    </row>
    <row r="83" spans="3:17" ht="20.100000000000001" customHeight="1" x14ac:dyDescent="0.25">
      <c r="D83" s="111" cm="1">
        <f t="array" ref="D83">MMS_Feedlot_N2O_Direct_Equations.VEERG_4_1_1_3__3_AnnualNitrogenExcretion(D73,D54,D78)</f>
        <v>71763.793920000026</v>
      </c>
      <c r="E83" s="111" cm="1">
        <f t="array" ref="E83">MMS_Feedlot_N2O_Direct_Equations.VEERG_4_1_1_3__3_AnnualNitrogenExcretion(E73,E54,E78)</f>
        <v>2534.35392</v>
      </c>
      <c r="F83" s="111" cm="1">
        <f t="array" ref="F83">MMS_Feedlot_N2O_Direct_Equations.VEERG_4_1_1_3__3_AnnualNitrogenExcretion(F73,F54,F78)</f>
        <v>3660.4799999999991</v>
      </c>
      <c r="G83" s="2" t="str">
        <f>$E$64</f>
        <v>kg N</v>
      </c>
      <c r="H83" s="2"/>
      <c r="L83" s="111" cm="1">
        <f t="array" ref="L83">MMS_Feedlot_N2O_Direct_Equations.VEERG_4_1_1_3__3_AnnualNitrogenExcretion(D73,L54,D78)</f>
        <v>71763.793920000026</v>
      </c>
      <c r="M83" s="111" cm="1">
        <f t="array" ref="M83">MMS_Feedlot_N2O_Direct_Equations.VEERG_4_1_1_3__3_AnnualNitrogenExcretion(E73,M54,E78)</f>
        <v>2534.35392</v>
      </c>
      <c r="N83" s="111" cm="1">
        <f t="array" ref="N83">MMS_Feedlot_N2O_Direct_Equations.VEERG_4_1_1_3__3_AnnualNitrogenExcretion(F73,N54,F78)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9"/>
      <c r="D86" s="49"/>
      <c r="E86" s="49"/>
      <c r="F86" s="49"/>
      <c r="G86" s="49"/>
      <c r="H86" s="49"/>
      <c r="I86" s="49"/>
      <c r="K86" s="49"/>
      <c r="L86" s="49"/>
      <c r="M86" s="49"/>
      <c r="N86" s="49"/>
      <c r="O86" s="49"/>
      <c r="P86" s="49"/>
      <c r="Q86" s="49"/>
    </row>
    <row r="87" spans="3:17" ht="20.100000000000001" customHeight="1" x14ac:dyDescent="0.25">
      <c r="D87" s="6" t="str" cm="1">
        <f t="array" ref="D87">MMS_Feedlot_N2O_Direct_Equations.VEERG_4_1_1_3__2_Stage1NitrogenInMMSDrylot_Title()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MMS_Feedlot_N2O_Direct_Equations.VEERG_4_1_1_3__2_Stage1NitrogenInMMSDrylot_Source()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29</v>
      </c>
      <c r="E89" s="13" t="str" cm="1">
        <f t="array" aca="1" ref="E89" ca="1">Common_InputFunctions.Utility_DisplayFunctionName(E106)</f>
        <v>=MMS_Feedlot_N2O_Direct_Equations.VEERG_4_1_1_3__2_Stage1NitrogenInMMSDrylot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7" t="s">
        <v>32</v>
      </c>
      <c r="E92" s="1" t="str" cm="1">
        <f t="array" ref="E92">MMS_Feedlot_N2O_Direct_Equations.VEERG_4_1_1_3__2_Stage1NitrogenInMMSDrylot_Variable()</f>
        <v>MN_jm5T1</v>
      </c>
    </row>
    <row r="93" spans="3:17" ht="20.100000000000001" customHeight="1" x14ac:dyDescent="0.25">
      <c r="D93" s="57" t="s">
        <v>22</v>
      </c>
      <c r="E93" s="58" t="str" cm="1">
        <f t="array" ref="E93">MMS_Feedlot_N2O_Direct_Equations.VEERG_4_1_1_3__2_Stage1NitrogenInMMSDrylot_Unit()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1" t="str" cm="1">
        <f t="array" ref="D95:E96">MMS_Feedlot_N2O_Direct_Equations.VEERG_4_1_1_3__2_Stage1NitrogenInMMSDrylot_Arguments()</f>
        <v>AE_j</v>
      </c>
      <c r="E95" s="62" t="str">
        <v>total nitrogen excreted by each cattle group : kg N</v>
      </c>
      <c r="F95" s="63"/>
      <c r="G95" s="61" t="str">
        <f>"See " &amp; $D$80</f>
        <v>See M1_Table_AE_j</v>
      </c>
    </row>
    <row r="96" spans="3:17" ht="20.100000000000001" customHeight="1" x14ac:dyDescent="0.25">
      <c r="D96" s="61" t="str">
        <v>MMS_jm5T1</v>
      </c>
      <c r="E96" s="62" t="str">
        <v>fraction of manure in primary system drylot MMS : fraction</v>
      </c>
      <c r="F96" s="63"/>
      <c r="G96" s="61" t="str">
        <f>"See " &amp; D98</f>
        <v>See Table_MMS_j_m-5_T-1</v>
      </c>
    </row>
    <row r="97" spans="3:17" ht="20.100000000000001" customHeight="1" x14ac:dyDescent="0.25"/>
    <row r="98" spans="3:17" ht="20.100000000000001" customHeight="1" x14ac:dyDescent="0.25">
      <c r="D98" s="106" t="s">
        <v>181</v>
      </c>
    </row>
    <row r="99" spans="3:17" ht="20.100000000000001" customHeight="1" x14ac:dyDescent="0.25">
      <c r="D99" s="105" t="s">
        <v>115</v>
      </c>
    </row>
    <row r="100" spans="3:17" ht="20.100000000000001" customHeight="1" x14ac:dyDescent="0.25">
      <c r="D100" s="55" t="s">
        <v>112</v>
      </c>
      <c r="E100" s="55" t="s">
        <v>152</v>
      </c>
      <c r="F100" s="55" t="s">
        <v>153</v>
      </c>
      <c r="G100" s="55" t="s">
        <v>154</v>
      </c>
    </row>
    <row r="101" spans="3:17" ht="20.100000000000001" customHeight="1" x14ac:dyDescent="0.25">
      <c r="D101" s="56" t="str">
        <f>'Input - MMS - Feedlot'!$D$29</f>
        <v>Drylot (feed pad)</v>
      </c>
      <c r="E101" s="56">
        <f>'Input - MMS - Feedlot'!$E$29</f>
        <v>1</v>
      </c>
      <c r="F101" s="56">
        <f>'Input - MMS - Feedlot'!$F$29</f>
        <v>1</v>
      </c>
      <c r="G101" s="56">
        <f>'Input - MMS - Feedlot'!$G$29</f>
        <v>1</v>
      </c>
      <c r="H101" s="2" t="s">
        <v>103</v>
      </c>
    </row>
    <row r="102" spans="3:17" ht="20.100000000000001" customHeight="1" x14ac:dyDescent="0.25"/>
    <row r="103" spans="3:17" ht="20.100000000000001" customHeight="1" x14ac:dyDescent="0.25">
      <c r="D103" s="106" t="s">
        <v>182</v>
      </c>
      <c r="L103" s="106" t="s">
        <v>183</v>
      </c>
    </row>
    <row r="104" spans="3:17" ht="20.100000000000001" customHeight="1" x14ac:dyDescent="0.25">
      <c r="D104" s="105" t="s">
        <v>206</v>
      </c>
      <c r="L104" s="105" t="s">
        <v>207</v>
      </c>
    </row>
    <row r="105" spans="3:17" ht="20.100000000000001" customHeight="1" x14ac:dyDescent="0.25">
      <c r="D105" s="55" t="s">
        <v>112</v>
      </c>
      <c r="E105" s="55" t="s">
        <v>152</v>
      </c>
      <c r="F105" s="55" t="s">
        <v>153</v>
      </c>
      <c r="G105" s="55" t="s">
        <v>154</v>
      </c>
      <c r="L105" s="55" t="s">
        <v>112</v>
      </c>
      <c r="M105" s="55" t="s">
        <v>152</v>
      </c>
      <c r="N105" s="55" t="s">
        <v>153</v>
      </c>
      <c r="O105" s="55" t="s">
        <v>154</v>
      </c>
    </row>
    <row r="106" spans="3:17" ht="20.100000000000001" customHeight="1" x14ac:dyDescent="0.25">
      <c r="D106" s="56" t="str">
        <f>'Input - MMS - Feedlot'!$D$29</f>
        <v>Drylot (feed pad)</v>
      </c>
      <c r="E106" s="56" cm="1">
        <f t="array" ref="E106">MMS_Feedlot_N2O_Direct_Equations.VEERG_4_1_1_3__2_Stage1NitrogenInMMSDrylot(D83,E101)</f>
        <v>71763.793920000026</v>
      </c>
      <c r="F106" s="56" cm="1">
        <f t="array" ref="F106">MMS_Feedlot_N2O_Direct_Equations.VEERG_4_1_1_3__2_Stage1NitrogenInMMSDrylot(E83,F101)</f>
        <v>2534.35392</v>
      </c>
      <c r="G106" s="56" cm="1">
        <f t="array" ref="G106">MMS_Feedlot_N2O_Direct_Equations.VEERG_4_1_1_3__2_Stage1NitrogenInMMSDrylot(F83,G101)</f>
        <v>3660.4799999999991</v>
      </c>
      <c r="H106" s="2" t="str">
        <f>$E$93</f>
        <v>kg N</v>
      </c>
      <c r="L106" s="56" t="str">
        <f>'Input - MMS - Feedlot'!$D$29</f>
        <v>Drylot (feed pad)</v>
      </c>
      <c r="M106" s="56" cm="1">
        <f t="array" ref="M106">MMS_Feedlot_N2O_Direct_Equations.VEERG_4_1_1_3__2_Stage1NitrogenInMMSDrylot(L83,E101)</f>
        <v>71763.793920000026</v>
      </c>
      <c r="N106" s="56" cm="1">
        <f t="array" ref="N106">MMS_Feedlot_N2O_Direct_Equations.VEERG_4_1_1_3__2_Stage1NitrogenInMMSDrylot(M83,F101)</f>
        <v>2534.35392</v>
      </c>
      <c r="O106" s="56" cm="1">
        <f t="array" ref="O106">MMS_Feedlot_N2O_Direct_Equations.VEERG_4_1_1_3__2_Stage1NitrogenInMMSDrylot(N83,G101)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9"/>
      <c r="D109" s="49"/>
      <c r="E109" s="49"/>
      <c r="F109" s="49"/>
      <c r="G109" s="49"/>
      <c r="H109" s="49"/>
      <c r="I109" s="49"/>
      <c r="K109" s="49"/>
      <c r="L109" s="49"/>
      <c r="M109" s="49"/>
      <c r="N109" s="49"/>
      <c r="O109" s="49"/>
      <c r="P109" s="49"/>
      <c r="Q109" s="49"/>
    </row>
    <row r="110" spans="3:17" ht="20.100000000000001" customHeight="1" x14ac:dyDescent="0.25">
      <c r="D110" s="6" t="str" cm="1">
        <f t="array" ref="D110">MMS_Feedlot_N2O_Direct_Equations.VEERG_4_1_1_3__8_Stage3NitrogenInMMSAnaerobicLagoon_Title()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MMS_Feedlot_N2O_Direct_Equations.VEERG_4_1_1_3__8_Stage3NitrogenInMMSAnaerobicLagoon_Source()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29</v>
      </c>
      <c r="E112" s="13" t="str" cm="1">
        <f t="array" aca="1" ref="E112" ca="1">Common_InputFunctions.Utility_DisplayFunctionName(E138)</f>
        <v>=MMS_Feedlot_N2O_Direct_Equations.VEERG_4_1_1_3__7_NitrogenTransferredToStage2_Variable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7" t="s">
        <v>32</v>
      </c>
      <c r="E115" s="1" t="str" cm="1">
        <f t="array" ref="E115">MMS_Feedlot_N2O_Direct_Equations.VEERG_4_1_1_3__8_Stage3NitrogenInMMSAnaerobicLagoon_Variable()</f>
        <v>MN_jm1T3</v>
      </c>
    </row>
    <row r="116" spans="4:15" ht="20.100000000000001" customHeight="1" x14ac:dyDescent="0.25">
      <c r="D116" s="57" t="s">
        <v>22</v>
      </c>
      <c r="E116" s="58" t="str" cm="1">
        <f t="array" ref="E116">MMS_Feedlot_N2O_Direct_Equations.VEERG_4_1_1_3__8_Stage3NitrogenInMMSAnaerobicLagoon_Unit()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1" t="str" cm="1">
        <f t="array" ref="D118:E119">MMS_Feedlot_N2O_Direct_Equations.VEERG_4_1_1_3__8_Stage3NitrogenInMMSAnaerobicLagoon_Arguments()</f>
        <v>AE_j</v>
      </c>
      <c r="E118" s="62" t="str">
        <v>total nitrogen excreted by each cattle group : kg N</v>
      </c>
      <c r="F118" s="63"/>
      <c r="G118" s="61" t="str">
        <f>"See " &amp; $D$80</f>
        <v>See M1_Table_AE_j</v>
      </c>
    </row>
    <row r="119" spans="4:15" ht="20.100000000000001" customHeight="1" x14ac:dyDescent="0.25">
      <c r="D119" s="61" t="str">
        <v>MMS_jm1T3</v>
      </c>
      <c r="E119" s="62" t="str">
        <v>fraction of manure to tertiary anaerobic lagoon system : fraction</v>
      </c>
      <c r="F119" s="63"/>
      <c r="G119" s="61" t="str">
        <f>"See " &amp; D121</f>
        <v>See Table_MMS_j_m-1_T-3</v>
      </c>
    </row>
    <row r="120" spans="4:15" ht="20.100000000000001" customHeight="1" x14ac:dyDescent="0.25"/>
    <row r="121" spans="4:15" ht="20.100000000000001" customHeight="1" x14ac:dyDescent="0.25">
      <c r="D121" s="106" t="s">
        <v>187</v>
      </c>
    </row>
    <row r="122" spans="4:15" ht="20.100000000000001" customHeight="1" x14ac:dyDescent="0.25">
      <c r="D122" s="105" t="s">
        <v>186</v>
      </c>
    </row>
    <row r="123" spans="4:15" ht="20.100000000000001" customHeight="1" x14ac:dyDescent="0.25">
      <c r="D123" s="55" t="s">
        <v>126</v>
      </c>
      <c r="E123" s="55" t="s">
        <v>152</v>
      </c>
      <c r="F123" s="55" t="s">
        <v>153</v>
      </c>
      <c r="G123" s="55" t="s">
        <v>154</v>
      </c>
    </row>
    <row r="124" spans="4:15" ht="20.100000000000001" customHeight="1" x14ac:dyDescent="0.25">
      <c r="D124" s="56" t="str">
        <f>'Input - MMS - Feedlot'!$D$41</f>
        <v>Anaerobic lagoon</v>
      </c>
      <c r="E124" s="56">
        <f>'Input - MMS - Feedlot'!$E$41</f>
        <v>0.02</v>
      </c>
      <c r="F124" s="56">
        <f>'Input - MMS - Feedlot'!$F$41</f>
        <v>0.02</v>
      </c>
      <c r="G124" s="56">
        <f>'Input - MMS - Feedlot'!$G$41</f>
        <v>0.02</v>
      </c>
      <c r="H124" s="2" t="s">
        <v>103</v>
      </c>
    </row>
    <row r="125" spans="4:15" ht="20.100000000000001" customHeight="1" x14ac:dyDescent="0.25"/>
    <row r="126" spans="4:15" ht="20.100000000000001" customHeight="1" x14ac:dyDescent="0.25">
      <c r="D126" s="106" t="s">
        <v>192</v>
      </c>
      <c r="L126" s="106" t="s">
        <v>193</v>
      </c>
    </row>
    <row r="127" spans="4:15" ht="20.100000000000001" customHeight="1" x14ac:dyDescent="0.25">
      <c r="D127" s="105" t="s">
        <v>204</v>
      </c>
      <c r="L127" s="105" t="s">
        <v>205</v>
      </c>
    </row>
    <row r="128" spans="4:15" ht="20.100000000000001" customHeight="1" x14ac:dyDescent="0.25">
      <c r="D128" s="55" t="s">
        <v>126</v>
      </c>
      <c r="E128" s="55" t="s">
        <v>152</v>
      </c>
      <c r="F128" s="55" t="s">
        <v>153</v>
      </c>
      <c r="G128" s="55" t="s">
        <v>154</v>
      </c>
      <c r="L128" s="55" t="s">
        <v>126</v>
      </c>
      <c r="M128" s="55" t="s">
        <v>152</v>
      </c>
      <c r="N128" s="55" t="s">
        <v>153</v>
      </c>
      <c r="O128" s="55" t="s">
        <v>154</v>
      </c>
    </row>
    <row r="129" spans="3:17" ht="20.100000000000001" customHeight="1" x14ac:dyDescent="0.25">
      <c r="D129" s="56" t="str">
        <f>'Input - MMS - Feedlot'!$D$41</f>
        <v>Anaerobic lagoon</v>
      </c>
      <c r="E129" s="56" cm="1">
        <f t="array" ref="E129">MMS_Feedlot_N2O_Direct_Equations.VEERG_4_1_1_3__8_Stage3NitrogenInMMSAnaerobicLagoon(D83,E124)</f>
        <v>1435.2758784000005</v>
      </c>
      <c r="F129" s="56" cm="1">
        <f t="array" ref="F129">MMS_Feedlot_N2O_Direct_Equations.VEERG_4_1_1_3__8_Stage3NitrogenInMMSAnaerobicLagoon(E83,F124)</f>
        <v>50.687078400000004</v>
      </c>
      <c r="G129" s="56" cm="1">
        <f t="array" ref="G129">MMS_Feedlot_N2O_Direct_Equations.VEERG_4_1_1_3__8_Stage3NitrogenInMMSAnaerobicLagoon(F83,G124)</f>
        <v>73.20959999999998</v>
      </c>
      <c r="H129" s="2" t="str">
        <f>$E$116</f>
        <v>kg N</v>
      </c>
      <c r="L129" s="56" t="str">
        <f>'Input - MMS - Feedlot'!$D$41</f>
        <v>Anaerobic lagoon</v>
      </c>
      <c r="M129" s="56" cm="1">
        <f t="array" ref="M129">MMS_Feedlot_N2O_Direct_Equations.VEERG_4_1_1_3__8_Stage3NitrogenInMMSAnaerobicLagoon(L83,E124)</f>
        <v>1435.2758784000005</v>
      </c>
      <c r="N129" s="56" cm="1">
        <f t="array" ref="N129">MMS_Feedlot_N2O_Direct_Equations.VEERG_4_1_1_3__8_Stage3NitrogenInMMSAnaerobicLagoon(M83,F124)</f>
        <v>50.687078400000004</v>
      </c>
      <c r="O129" s="56" cm="1">
        <f t="array" ref="O129">MMS_Feedlot_N2O_Direct_Equations.VEERG_4_1_1_3__8_Stage3NitrogenInMMSAnaerobicLagoon(N83,G124)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9"/>
      <c r="D132" s="49"/>
      <c r="E132" s="49"/>
      <c r="F132" s="49"/>
      <c r="G132" s="49"/>
      <c r="H132" s="49"/>
      <c r="I132" s="49"/>
      <c r="K132" s="49"/>
      <c r="L132" s="49"/>
      <c r="M132" s="49"/>
      <c r="N132" s="49"/>
      <c r="O132" s="49"/>
      <c r="P132" s="49"/>
      <c r="Q132" s="49"/>
    </row>
    <row r="133" spans="3:17" ht="20.100000000000001" customHeight="1" x14ac:dyDescent="0.25">
      <c r="D133" s="6" t="str" cm="1">
        <f t="array" ref="D133">MMS_Feedlot_N2O_Direct_Equations.VEERG_4_1_1_3__7_NitrogenTransferredToStage2_Title()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MMS_Feedlot_N2O_Direct_Equations.VEERG_4_1_1_3__7_NitrogenTransferredToStage2_Source()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29</v>
      </c>
      <c r="E135" s="13" t="str" cm="1">
        <f t="array" aca="1" ref="E135" ca="1">Common_InputFunctions.Utility_DisplayFunctionName(D149)</f>
        <v>=MMS_Feedlot_N2O_Direct_Equations.VEERG_4_1_1_3__7_NitrogenTransferredToStage2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7" t="s">
        <v>32</v>
      </c>
      <c r="E138" s="1" t="str" cm="1">
        <f t="array" ref="E138">MMS_Feedlot_N2O_Direct_Equations.VEERG_4_1_1_3__7_NitrogenTransferredToStage2_Variable()</f>
        <v>NT_jmT2</v>
      </c>
    </row>
    <row r="139" spans="3:17" ht="20.100000000000001" customHeight="1" x14ac:dyDescent="0.25">
      <c r="D139" s="57" t="s">
        <v>22</v>
      </c>
      <c r="E139" s="58" t="str" cm="1">
        <f t="array" ref="E139">MMS_Feedlot_N2O_Direct_Equations.VEERG_4_1_1_3__7_NitrogenTransferredToStage2_Unit()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1" t="str" cm="1">
        <f t="array" ref="D141:E144">MMS_Feedlot_N2O_Direct_Equations.VEERG_4_1_1_3__7_NitrogenTransferredToStage2_Arguments()</f>
        <v>MN_jm5T1</v>
      </c>
      <c r="E141" s="61" t="str">
        <v>nitrogen in MMS treatment stage 1 : kg N</v>
      </c>
      <c r="F141" s="61"/>
      <c r="G141" s="61" t="str">
        <f>"See " &amp; D103</f>
        <v>See M1_Table_MN_j_m-5_T-1</v>
      </c>
    </row>
    <row r="142" spans="3:17" ht="20.100000000000001" customHeight="1" x14ac:dyDescent="0.25">
      <c r="D142" s="61" t="str">
        <v>FracGASM_m5</v>
      </c>
      <c r="E142" s="61" t="str">
        <v>fraction of N volatilised from drylot MMS : fraction</v>
      </c>
      <c r="F142" s="61"/>
      <c r="G142" s="61">
        <f>'Source Data - Feedlot'!$F$113</f>
        <v>0.6</v>
      </c>
    </row>
    <row r="143" spans="3:17" ht="20.100000000000001" customHeight="1" x14ac:dyDescent="0.25">
      <c r="D143" s="61" t="str">
        <v>EF_m5</v>
      </c>
      <c r="E143" s="61" t="str">
        <v>nitrous oxide emission factor for drylot MMS : kg N2O-N/kg N deposited</v>
      </c>
      <c r="F143" s="61"/>
      <c r="G143" s="61">
        <f>'Source Data - Feedlot'!$F$101</f>
        <v>5.4000000000000003E-3</v>
      </c>
    </row>
    <row r="144" spans="3:17" ht="20.100000000000001" customHeight="1" x14ac:dyDescent="0.25">
      <c r="D144" s="61" t="str">
        <v>MN_jmT3</v>
      </c>
      <c r="E144" s="61" t="str">
        <v>nitrogen in MMS treatment stage 3 : kg N</v>
      </c>
      <c r="F144" s="61"/>
      <c r="G144" s="61" t="str">
        <f>"See " &amp; D126</f>
        <v>See M1_Table_MN_j_m-1_T-3</v>
      </c>
    </row>
    <row r="145" spans="3:17" ht="20.100000000000001" customHeight="1" x14ac:dyDescent="0.25"/>
    <row r="146" spans="3:17" ht="20.100000000000001" customHeight="1" x14ac:dyDescent="0.25">
      <c r="D146" s="106" t="s">
        <v>194</v>
      </c>
      <c r="L146" s="106" t="s">
        <v>195</v>
      </c>
    </row>
    <row r="147" spans="3:17" ht="20.100000000000001" customHeight="1" x14ac:dyDescent="0.25">
      <c r="D147" s="105" t="s">
        <v>202</v>
      </c>
      <c r="L147" s="105" t="s">
        <v>203</v>
      </c>
    </row>
    <row r="148" spans="3:17" ht="20.100000000000001" customHeight="1" x14ac:dyDescent="0.25">
      <c r="D148" s="55" t="s">
        <v>152</v>
      </c>
      <c r="E148" s="55" t="s">
        <v>153</v>
      </c>
      <c r="F148" s="55" t="s">
        <v>154</v>
      </c>
      <c r="L148" s="55" t="s">
        <v>152</v>
      </c>
      <c r="M148" s="55" t="s">
        <v>153</v>
      </c>
      <c r="N148" s="55" t="s">
        <v>154</v>
      </c>
    </row>
    <row r="149" spans="3:17" ht="20.100000000000001" customHeight="1" x14ac:dyDescent="0.25">
      <c r="D149" s="56" cm="1">
        <f t="array" ref="D149">MMS_Feedlot_N2O_Direct_Equations.VEERG_4_1_1_3__7_NitrogenTransferredToStage2(E106,$G$142,$G$143,E129)</f>
        <v>26882.71720243201</v>
      </c>
      <c r="E149" s="56" cm="1">
        <f t="array" ref="E149">MMS_Feedlot_N2O_Direct_Equations.VEERG_4_1_1_3__7_NitrogenTransferredToStage2(F106,$G$142,$G$143,F129)</f>
        <v>949.36897843199995</v>
      </c>
      <c r="F149" s="56" cm="1">
        <f t="array" ref="F149">MMS_Feedlot_N2O_Direct_Equations.VEERG_4_1_1_3__7_NitrogenTransferredToStage2(G106,$G$142,$G$143,G129)</f>
        <v>1371.2158079999997</v>
      </c>
      <c r="G149" s="2" t="str">
        <f>$E$116</f>
        <v>kg N</v>
      </c>
      <c r="L149" s="56" cm="1">
        <f t="array" ref="L149">MMS_Feedlot_N2O_Direct_Equations.VEERG_4_1_1_3__7_NitrogenTransferredToStage2(M106,$G$142,$G$143,M129)</f>
        <v>26882.71720243201</v>
      </c>
      <c r="M149" s="56" cm="1">
        <f t="array" ref="M149">MMS_Feedlot_N2O_Direct_Equations.VEERG_4_1_1_3__7_NitrogenTransferredToStage2(N106,$G$142,$G$143,N129)</f>
        <v>949.36897843199995</v>
      </c>
      <c r="N149" s="56" cm="1">
        <f t="array" ref="N149">MMS_Feedlot_N2O_Direct_Equations.VEERG_4_1_1_3__7_NitrogenTransferredToStage2(O106,$G$142,$G$143,O129)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9"/>
      <c r="D152" s="49"/>
      <c r="E152" s="49"/>
      <c r="F152" s="49"/>
      <c r="G152" s="49"/>
      <c r="H152" s="49"/>
      <c r="I152" s="49"/>
      <c r="K152" s="49"/>
      <c r="L152" s="49"/>
      <c r="M152" s="49"/>
      <c r="N152" s="49"/>
      <c r="O152" s="49"/>
      <c r="P152" s="49"/>
      <c r="Q152" s="49"/>
    </row>
    <row r="153" spans="3:17" ht="20.100000000000001" customHeight="1" x14ac:dyDescent="0.25">
      <c r="D153" s="6" t="str" cm="1">
        <f t="array" ref="D153">MMS_Feedlot_N2O_Direct_Equations.VEERG_4_1_1_3__6_Stage2NitrogenInMMS_Title()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MMS_Feedlot_N2O_Direct_Equations.VEERG_4_1_1_3__6_Stage2NitrogenInMMS_Source()</f>
        <v>VEERG 2026: 4.1.1.3, Equation (6)</v>
      </c>
    </row>
    <row r="155" spans="3:17" ht="20.100000000000001" customHeight="1" x14ac:dyDescent="0.25">
      <c r="D155" s="13" t="s">
        <v>29</v>
      </c>
      <c r="E155" s="13" t="str" cm="1">
        <f t="array" aca="1" ref="E155" ca="1">Common_InputFunctions.Utility_DisplayFunctionName(E173)</f>
        <v>=MMS_Feedlot_N2O_Direct_Equations.VEERG_4_1_1_3__6_Stage2NitrogenInMMS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7" t="s">
        <v>32</v>
      </c>
      <c r="E158" s="1" t="str" cm="1">
        <f t="array" ref="E158">MMS_Feedlot_N2O_Direct_Equations.VEERG_4_1_1_3__6_Stage2NitrogenInMMS_Variable()</f>
        <v>MN_jmT2</v>
      </c>
    </row>
    <row r="159" spans="3:17" ht="20.100000000000001" customHeight="1" x14ac:dyDescent="0.25">
      <c r="D159" s="57" t="s">
        <v>22</v>
      </c>
      <c r="E159" s="58" t="str" cm="1">
        <f t="array" ref="E159">MMS_Feedlot_N2O_Direct_Equations.VEERG_4_1_1_3__6_Stage2NitrogenInMMS_Unit()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1" t="str" cm="1">
        <f t="array" ref="D161:E162">MMS_Feedlot_N2O_Direct_Equations.VEERG_4_1_1_3__6_Stage2NitrogenInMMS_Arguments()</f>
        <v>NT_jmT2</v>
      </c>
      <c r="E161" s="62" t="str">
        <v>nitrogen transferred to secondary treatment MMS : kg N</v>
      </c>
      <c r="F161" s="63"/>
      <c r="G161" s="61" t="str">
        <f>"See " &amp; D146</f>
        <v>See M1_Table_NT_j_m-_T-2</v>
      </c>
    </row>
    <row r="162" spans="4:16" ht="20.100000000000001" customHeight="1" x14ac:dyDescent="0.25">
      <c r="D162" s="61" t="str">
        <v>MMS_jmT2</v>
      </c>
      <c r="E162" s="62" t="str">
        <v>fraction of manure in each secondary system : fraction</v>
      </c>
      <c r="F162" s="63"/>
      <c r="G162" s="61" t="str">
        <f>"See " &amp; D164</f>
        <v>See Table_MMS_j_m_T-2</v>
      </c>
    </row>
    <row r="163" spans="4:16" ht="20.100000000000001" customHeight="1" x14ac:dyDescent="0.25">
      <c r="I163" s="2"/>
    </row>
    <row r="164" spans="4:16" ht="20.100000000000001" customHeight="1" x14ac:dyDescent="0.25">
      <c r="D164" s="106" t="s">
        <v>184</v>
      </c>
      <c r="I164" s="2"/>
    </row>
    <row r="165" spans="4:16" ht="20.100000000000001" customHeight="1" x14ac:dyDescent="0.25">
      <c r="D165" s="105" t="s">
        <v>120</v>
      </c>
    </row>
    <row r="166" spans="4:16" ht="20.100000000000001" customHeight="1" x14ac:dyDescent="0.25">
      <c r="D166" s="55" t="s">
        <v>107</v>
      </c>
      <c r="E166" s="55" t="s">
        <v>152</v>
      </c>
      <c r="F166" s="55" t="s">
        <v>153</v>
      </c>
      <c r="G166" s="55" t="s">
        <v>154</v>
      </c>
    </row>
    <row r="167" spans="4:16" ht="20.100000000000001" customHeight="1" x14ac:dyDescent="0.25">
      <c r="D167" s="56" t="str">
        <f>'Input - MMS - Feedlot'!$D$35</f>
        <v>Solid storage</v>
      </c>
      <c r="E167" s="56">
        <f>'Input - MMS - Feedlot'!$E$35</f>
        <v>0.2</v>
      </c>
      <c r="F167" s="56">
        <f>'Input - MMS - Feedlot'!$F$35</f>
        <v>0.2</v>
      </c>
      <c r="G167" s="56">
        <f>'Input - MMS - Feedlot'!$G$35</f>
        <v>0.2</v>
      </c>
      <c r="H167" s="2" t="s">
        <v>103</v>
      </c>
    </row>
    <row r="168" spans="4:16" ht="20.100000000000001" customHeight="1" x14ac:dyDescent="0.25">
      <c r="D168" s="56" t="str">
        <f>'Input - MMS - Feedlot'!$D$36</f>
        <v>Composting (passive windrow)</v>
      </c>
      <c r="E168" s="56">
        <f>'Input - MMS - Feedlot'!$E$36</f>
        <v>0.8</v>
      </c>
      <c r="F168" s="56">
        <f>'Input - MMS - Feedlot'!$F$36</f>
        <v>0.8</v>
      </c>
      <c r="G168" s="56">
        <f>'Input - MMS - Feedlot'!$G$36</f>
        <v>0.8</v>
      </c>
      <c r="H168" s="2" t="s">
        <v>103</v>
      </c>
    </row>
    <row r="169" spans="4:16" ht="20.100000000000001" customHeight="1" x14ac:dyDescent="0.25"/>
    <row r="170" spans="4:16" ht="20.100000000000001" customHeight="1" x14ac:dyDescent="0.25">
      <c r="D170" s="106" t="s">
        <v>196</v>
      </c>
      <c r="L170" s="106" t="s">
        <v>196</v>
      </c>
    </row>
    <row r="171" spans="4:16" ht="20.100000000000001" customHeight="1" x14ac:dyDescent="0.25">
      <c r="D171" s="105" t="s">
        <v>200</v>
      </c>
      <c r="L171" s="105" t="s">
        <v>201</v>
      </c>
    </row>
    <row r="172" spans="4:16" ht="20.100000000000001" customHeight="1" x14ac:dyDescent="0.25">
      <c r="D172" s="55" t="s">
        <v>107</v>
      </c>
      <c r="E172" s="55" t="s">
        <v>152</v>
      </c>
      <c r="F172" s="55" t="s">
        <v>153</v>
      </c>
      <c r="G172" s="55" t="s">
        <v>154</v>
      </c>
      <c r="L172" s="55" t="s">
        <v>107</v>
      </c>
      <c r="M172" s="55" t="s">
        <v>152</v>
      </c>
      <c r="N172" s="55" t="s">
        <v>153</v>
      </c>
      <c r="O172" s="55" t="s">
        <v>154</v>
      </c>
    </row>
    <row r="173" spans="4:16" ht="20.100000000000001" customHeight="1" x14ac:dyDescent="0.25">
      <c r="D173" s="56" t="str">
        <f>'Input - MMS - Feedlot'!$D$35</f>
        <v>Solid storage</v>
      </c>
      <c r="E173" s="56" cm="1">
        <f t="array" ref="E173">MMS_Feedlot_N2O_Direct_Equations.VEERG_4_1_1_3__6_Stage2NitrogenInMMS(D$149,E167)</f>
        <v>5376.5434404864027</v>
      </c>
      <c r="F173" s="56" cm="1">
        <f t="array" ref="F173">MMS_Feedlot_N2O_Direct_Equations.VEERG_4_1_1_3__6_Stage2NitrogenInMMS(E$149,F167)</f>
        <v>189.8737956864</v>
      </c>
      <c r="G173" s="56" cm="1">
        <f t="array" ref="G173">MMS_Feedlot_N2O_Direct_Equations.VEERG_4_1_1_3__6_Stage2NitrogenInMMS(F$149,G167)</f>
        <v>274.24316159999995</v>
      </c>
      <c r="H173" s="2" t="str">
        <f>$E$159</f>
        <v>kg N</v>
      </c>
      <c r="L173" s="56" t="str">
        <f>'Input - MMS - Feedlot'!$D$35</f>
        <v>Solid storage</v>
      </c>
      <c r="M173" s="56" cm="1">
        <f t="array" ref="M173">MMS_Feedlot_N2O_Direct_Equations.VEERG_4_1_1_3__6_Stage2NitrogenInMMS(L$149,E167)</f>
        <v>5376.5434404864027</v>
      </c>
      <c r="N173" s="56" cm="1">
        <f t="array" ref="N173">MMS_Feedlot_N2O_Direct_Equations.VEERG_4_1_1_3__6_Stage2NitrogenInMMS(M$149,F167)</f>
        <v>189.8737956864</v>
      </c>
      <c r="O173" s="56" cm="1">
        <f t="array" ref="O173">MMS_Feedlot_N2O_Direct_Equations.VEERG_4_1_1_3__6_Stage2NitrogenInMMS(N$149,G167)</f>
        <v>274.24316159999995</v>
      </c>
      <c r="P173" s="2" t="str">
        <f>$E$159</f>
        <v>kg N</v>
      </c>
    </row>
    <row r="174" spans="4:16" ht="20.100000000000001" customHeight="1" x14ac:dyDescent="0.25">
      <c r="D174" s="56" t="str">
        <f>'Input - MMS - Feedlot'!$D$36</f>
        <v>Composting (passive windrow)</v>
      </c>
      <c r="E174" s="56" cm="1">
        <f t="array" ref="E174">MMS_Feedlot_N2O_Direct_Equations.VEERG_4_1_1_3__6_Stage2NitrogenInMMS(D$149,E168)</f>
        <v>21506.173761945611</v>
      </c>
      <c r="F174" s="56" cm="1">
        <f t="array" ref="F174">MMS_Feedlot_N2O_Direct_Equations.VEERG_4_1_1_3__6_Stage2NitrogenInMMS(E$149,F168)</f>
        <v>759.4951827456</v>
      </c>
      <c r="G174" s="56" cm="1">
        <f t="array" ref="G174">MMS_Feedlot_N2O_Direct_Equations.VEERG_4_1_1_3__6_Stage2NitrogenInMMS(F$149,G168)</f>
        <v>1096.9726463999998</v>
      </c>
      <c r="H174" s="2" t="str">
        <f>$E$159</f>
        <v>kg N</v>
      </c>
      <c r="L174" s="56" t="str">
        <f>'Input - MMS - Feedlot'!$D$36</f>
        <v>Composting (passive windrow)</v>
      </c>
      <c r="M174" s="56" cm="1">
        <f t="array" ref="M174">MMS_Feedlot_N2O_Direct_Equations.VEERG_4_1_1_3__6_Stage2NitrogenInMMS(L$149,E168)</f>
        <v>21506.173761945611</v>
      </c>
      <c r="N174" s="56" cm="1">
        <f t="array" ref="N174">MMS_Feedlot_N2O_Direct_Equations.VEERG_4_1_1_3__6_Stage2NitrogenInMMS(M$149,F168)</f>
        <v>759.4951827456</v>
      </c>
      <c r="O174" s="56" cm="1">
        <f t="array" ref="O174">MMS_Feedlot_N2O_Direct_Equations.VEERG_4_1_1_3__6_Stage2NitrogenInMMS(N$149,G168)</f>
        <v>1096.9726463999998</v>
      </c>
      <c r="P174" s="2" t="str">
        <f>$E$159</f>
        <v>kg N</v>
      </c>
    </row>
    <row r="175" spans="4:16" ht="20.100000000000001" customHeight="1" x14ac:dyDescent="0.25"/>
    <row r="176" spans="4:16" ht="20.100000000000001" customHeight="1" x14ac:dyDescent="0.25"/>
    <row r="177" spans="3:17" ht="20.100000000000001" customHeight="1" x14ac:dyDescent="0.25">
      <c r="C177" s="49"/>
      <c r="D177" s="49"/>
      <c r="E177" s="49"/>
      <c r="F177" s="49"/>
      <c r="G177" s="49"/>
      <c r="H177" s="49"/>
      <c r="I177" s="49"/>
      <c r="K177" s="49"/>
      <c r="L177" s="49"/>
      <c r="M177" s="49"/>
      <c r="N177" s="49"/>
      <c r="O177" s="49"/>
      <c r="P177" s="49"/>
      <c r="Q177" s="49"/>
    </row>
    <row r="178" spans="3:17" ht="20.100000000000001" customHeight="1" x14ac:dyDescent="0.25">
      <c r="D178" s="6" t="str" cm="1">
        <f t="array" ref="D178">MMS_Feedlot_N2O_Direct_Equations.VEERG_4_1_1_3__1_TotalAnnualDirectNitrousOxideEmissions_Title()</f>
        <v>Total annual direct nitrous oxide emissions from manure management systems</v>
      </c>
    </row>
    <row r="179" spans="3:17" ht="20.100000000000001" customHeight="1" x14ac:dyDescent="0.25">
      <c r="D179" s="5" t="str" cm="1">
        <f t="array" ref="D179">MMS_Feedlot_N2O_Direct_Equations.VEERG_4_1_1_3__1_TotalAnnualDirectNitrousOxideEmissions_Source()</f>
        <v>VEERG 2026: 4.1.1.3, Equation (1)</v>
      </c>
    </row>
    <row r="180" spans="3:17" ht="20.100000000000001" customHeight="1" x14ac:dyDescent="0.25">
      <c r="D180" s="13" t="s">
        <v>29</v>
      </c>
      <c r="E180" s="13" t="str" cm="1">
        <f t="array" aca="1" ref="E180" ca="1">Common_InputFunctions.Utility_DisplayFunctionName(E202)</f>
        <v>=MMS_Feedlot_N2O_Direct_Equations.VEERG_4_1_1_3__1_TotalAnnualDirectNitrousOxideEmissions</v>
      </c>
    </row>
    <row r="181" spans="3:17" ht="20.100000000000001" customHeight="1" x14ac:dyDescent="0.25"/>
    <row r="182" spans="3:17" ht="20.100000000000001" customHeight="1" x14ac:dyDescent="0.25">
      <c r="D182" s="6"/>
    </row>
    <row r="183" spans="3:17" ht="20.100000000000001" customHeight="1" x14ac:dyDescent="0.25"/>
    <row r="184" spans="3:17" ht="20.100000000000001" customHeight="1" x14ac:dyDescent="0.25">
      <c r="D184" s="57" t="s">
        <v>32</v>
      </c>
      <c r="E184" s="1" t="str" cm="1">
        <f t="array" ref="E184">MMS_Feedlot_N2O_Direct_Equations.VEERG_4_1_1_3__1_TotalAnnualDirectNitrousOxideEmissions_Variable()</f>
        <v>E_N2Odir</v>
      </c>
    </row>
    <row r="185" spans="3:17" ht="20.100000000000001" customHeight="1" x14ac:dyDescent="0.25">
      <c r="D185" s="57" t="s">
        <v>22</v>
      </c>
      <c r="E185" s="58" t="str" cm="1">
        <f t="array" ref="E185">MMS_Feedlot_N2O_Direct_Equations.VEERG_4_1_1_3__1_TotalAnnualDirectNitrousOxideEmissions_Unit()</f>
        <v>t N2O</v>
      </c>
    </row>
    <row r="186" spans="3:17" ht="20.100000000000001" customHeight="1" x14ac:dyDescent="0.25"/>
    <row r="187" spans="3:17" ht="20.100000000000001" customHeight="1" x14ac:dyDescent="0.25">
      <c r="D187" s="120" t="str" cm="1">
        <f t="array" ref="D187:E189">MMS_Feedlot_N2O_Direct_Equations.VEERG_4_1_1_3__1_TotalAnnualDirectNitrousOxideEmissions_Arguments()</f>
        <v>MN_jmT</v>
      </c>
      <c r="E187" s="122" t="str">
        <v>nitrogen per cattle group, MMS and treatment stage : kg N</v>
      </c>
      <c r="F187" s="121"/>
      <c r="G187" s="62" t="str">
        <f>"See " &amp; D103 &amp; ", " &amp; D170 &amp; ", " &amp; D126</f>
        <v>See M1_Table_MN_j_m-5_T-1, M1_Table_MN_j_m_T-2, M1_Table_MN_j_m-1_T-3</v>
      </c>
      <c r="H187" s="63"/>
    </row>
    <row r="188" spans="3:17" ht="20.100000000000001" customHeight="1" x14ac:dyDescent="0.25">
      <c r="D188" s="120" t="str">
        <v>EF_jm</v>
      </c>
      <c r="E188" s="122" t="str">
        <v>nitrous oxide emission factor for MMS : kg N2O-N/kg N</v>
      </c>
      <c r="F188" s="121"/>
      <c r="G188" s="62" t="str">
        <f>"See " &amp; D191</f>
        <v>See Table_EF_j_m</v>
      </c>
      <c r="H188" s="63"/>
    </row>
    <row r="189" spans="3:17" ht="20.100000000000001" customHeight="1" x14ac:dyDescent="0.25">
      <c r="D189" s="120" t="str">
        <v>C_N2O</v>
      </c>
      <c r="E189" s="122" t="str">
        <v>factor to convert elemental mass of nitrous oxide to molecular mass : ratio</v>
      </c>
      <c r="F189" s="121"/>
      <c r="G189" s="62" cm="1">
        <f t="array" ref="G189">Common_InputFunctions.Utility_LookupValueInTableNumber("N2O",#REF!,#REF!)</f>
        <v>0</v>
      </c>
      <c r="H189" s="63"/>
    </row>
    <row r="190" spans="3:17" ht="20.100000000000001" customHeight="1" x14ac:dyDescent="0.25"/>
    <row r="191" spans="3:17" ht="20.100000000000001" customHeight="1" x14ac:dyDescent="0.25">
      <c r="D191" s="106" t="s">
        <v>188</v>
      </c>
    </row>
    <row r="192" spans="3:17" ht="20.100000000000001" customHeight="1" x14ac:dyDescent="0.25">
      <c r="D192" s="105" t="s">
        <v>189</v>
      </c>
    </row>
    <row r="193" spans="4:16" ht="20.100000000000001" customHeight="1" x14ac:dyDescent="0.25">
      <c r="D193" s="123" t="s">
        <v>70</v>
      </c>
      <c r="E193" s="123" t="s">
        <v>190</v>
      </c>
    </row>
    <row r="194" spans="4:16" ht="20.100000000000001" customHeight="1" x14ac:dyDescent="0.25">
      <c r="D194" s="56" t="str">
        <f>'Input - MMS - Feedlot'!$D$29</f>
        <v>Drylot (feed pad)</v>
      </c>
      <c r="E194" s="56">
        <f>_xlfn.XLOOKUP($D$194, Table_SourceData_Feedlot_NO2EFs[NIR definition], Table_SourceData_Feedlot_NO2EFs[EF mT])</f>
        <v>5.4000000000000003E-3</v>
      </c>
    </row>
    <row r="195" spans="4:16" ht="20.100000000000001" customHeight="1" x14ac:dyDescent="0.25">
      <c r="D195" s="56" t="str">
        <f>'Input - MMS - Feedlot'!$D$35</f>
        <v>Solid storage</v>
      </c>
      <c r="E195" s="56">
        <f>_xlfn.XLOOKUP($D$195, Table_SourceData_Feedlot_NO2EFs[NIR definition], Table_SourceData_Feedlot_NO2EFs[EF mT])</f>
        <v>5.0000000000000001E-3</v>
      </c>
    </row>
    <row r="196" spans="4:16" ht="20.100000000000001" customHeight="1" x14ac:dyDescent="0.25">
      <c r="D196" s="56" t="str">
        <f>'Input - MMS - Feedlot'!$D$36</f>
        <v>Composting (passive windrow)</v>
      </c>
      <c r="E196" s="56">
        <f>_xlfn.XLOOKUP($D$196, Table_SourceData_Feedlot_NO2EFs[NIR definition], Table_SourceData_Feedlot_NO2EFs[EF mT])</f>
        <v>0.01</v>
      </c>
    </row>
    <row r="197" spans="4:16" ht="20.100000000000001" customHeight="1" x14ac:dyDescent="0.25">
      <c r="D197" s="56" t="str">
        <f>'Input - MMS - Feedlot'!$D$41</f>
        <v>Anaerobic lagoon</v>
      </c>
      <c r="E197" s="56">
        <f>_xlfn.XLOOKUP($D$197, Table_SourceData_Feedlot_NO2EFs[NIR definition], Table_SourceData_Feedlot_NO2EFs[EF mT])</f>
        <v>0</v>
      </c>
    </row>
    <row r="198" spans="4:16" ht="20.100000000000001" customHeight="1" x14ac:dyDescent="0.25"/>
    <row r="199" spans="4:16" ht="20.100000000000001" customHeight="1" x14ac:dyDescent="0.25">
      <c r="D199" s="106" t="s">
        <v>197</v>
      </c>
      <c r="L199" s="106" t="s">
        <v>197</v>
      </c>
    </row>
    <row r="200" spans="4:16" ht="20.100000000000001" customHeight="1" x14ac:dyDescent="0.25">
      <c r="D200" s="105" t="s">
        <v>198</v>
      </c>
      <c r="L200" s="105" t="s">
        <v>199</v>
      </c>
    </row>
    <row r="201" spans="4:16" ht="20.100000000000001" customHeight="1" x14ac:dyDescent="0.25">
      <c r="D201" s="123" t="s">
        <v>70</v>
      </c>
      <c r="E201" s="55" t="s">
        <v>152</v>
      </c>
      <c r="F201" s="55" t="s">
        <v>153</v>
      </c>
      <c r="G201" s="55" t="s">
        <v>154</v>
      </c>
      <c r="L201" s="123" t="s">
        <v>70</v>
      </c>
      <c r="M201" s="55" t="s">
        <v>152</v>
      </c>
      <c r="N201" s="55" t="s">
        <v>153</v>
      </c>
      <c r="O201" s="55" t="s">
        <v>154</v>
      </c>
    </row>
    <row r="202" spans="4:16" ht="20.100000000000001" customHeight="1" x14ac:dyDescent="0.25">
      <c r="D202" s="56" t="str">
        <f>'Input - MMS - Feedlot'!$D$29</f>
        <v>Drylot (feed pad)</v>
      </c>
      <c r="E202" s="56" cm="1">
        <f t="array" ref="E202">MMS_Feedlot_N2O_Direct_Equations.VEERG_4_1_1_3__1_TotalAnnualDirectNitrousOxideEmissions(E$106,$E194,$G$189)</f>
        <v>0</v>
      </c>
      <c r="F202" s="56" cm="1">
        <f t="array" ref="F202">MMS_Feedlot_N2O_Direct_Equations.VEERG_4_1_1_3__1_TotalAnnualDirectNitrousOxideEmissions(F$106,$E194,$G$189)</f>
        <v>0</v>
      </c>
      <c r="G202" s="56" cm="1">
        <f t="array" ref="G202">MMS_Feedlot_N2O_Direct_Equations.VEERG_4_1_1_3__1_TotalAnnualDirectNitrousOxideEmissions(G$106,$E194,$G$189)</f>
        <v>0</v>
      </c>
      <c r="H202" s="2" t="str">
        <f>$E$185</f>
        <v>t N2O</v>
      </c>
      <c r="L202" s="56" t="str">
        <f>'Input - MMS - Feedlot'!$D$29</f>
        <v>Drylot (feed pad)</v>
      </c>
      <c r="M202" s="56" cm="1">
        <f t="array" ref="M202">MMS_Feedlot_N2O_Direct_Equations.VEERG_4_1_1_3__1_TotalAnnualDirectNitrousOxideEmissions(M$106,$E194,$G$189)</f>
        <v>0</v>
      </c>
      <c r="N202" s="56" cm="1">
        <f t="array" ref="N202">MMS_Feedlot_N2O_Direct_Equations.VEERG_4_1_1_3__1_TotalAnnualDirectNitrousOxideEmissions(N$106,$E194,$G$189)</f>
        <v>0</v>
      </c>
      <c r="O202" s="56" cm="1">
        <f t="array" ref="O202">MMS_Feedlot_N2O_Direct_Equations.VEERG_4_1_1_3__1_TotalAnnualDirectNitrousOxideEmissions(O$106,$E194,$G$189)</f>
        <v>0</v>
      </c>
      <c r="P202" s="2" t="str">
        <f>$E$185</f>
        <v>t N2O</v>
      </c>
    </row>
    <row r="203" spans="4:16" ht="20.100000000000001" customHeight="1" x14ac:dyDescent="0.25">
      <c r="D203" s="56" t="str">
        <f>'Input - MMS - Feedlot'!$D$35</f>
        <v>Solid storage</v>
      </c>
      <c r="E203" s="56" cm="1">
        <f t="array" ref="E203">MMS_Feedlot_N2O_Direct_Equations.VEERG_4_1_1_3__1_TotalAnnualDirectNitrousOxideEmissions(E$173,$E195,$G$189)</f>
        <v>0</v>
      </c>
      <c r="F203" s="56" cm="1">
        <f t="array" ref="F203">MMS_Feedlot_N2O_Direct_Equations.VEERG_4_1_1_3__1_TotalAnnualDirectNitrousOxideEmissions(F$173,$E195,$G$189)</f>
        <v>0</v>
      </c>
      <c r="G203" s="56" cm="1">
        <f t="array" ref="G203">MMS_Feedlot_N2O_Direct_Equations.VEERG_4_1_1_3__1_TotalAnnualDirectNitrousOxideEmissions(G$173,$E195,$G$189)</f>
        <v>0</v>
      </c>
      <c r="H203" s="2" t="str">
        <f t="shared" ref="H203:H205" si="0">$E$185</f>
        <v>t N2O</v>
      </c>
      <c r="L203" s="56" t="str">
        <f>'Input - MMS - Feedlot'!$D$35</f>
        <v>Solid storage</v>
      </c>
      <c r="M203" s="56" cm="1">
        <f t="array" ref="M203">MMS_Feedlot_N2O_Direct_Equations.VEERG_4_1_1_3__1_TotalAnnualDirectNitrousOxideEmissions(M$173,$E195,$G$189)</f>
        <v>0</v>
      </c>
      <c r="N203" s="56" cm="1">
        <f t="array" ref="N203">MMS_Feedlot_N2O_Direct_Equations.VEERG_4_1_1_3__1_TotalAnnualDirectNitrousOxideEmissions(N$173,$E195,$G$189)</f>
        <v>0</v>
      </c>
      <c r="O203" s="56" cm="1">
        <f t="array" ref="O203">MMS_Feedlot_N2O_Direct_Equations.VEERG_4_1_1_3__1_TotalAnnualDirectNitrousOxideEmissions(O$173,$E195,$G$189)</f>
        <v>0</v>
      </c>
      <c r="P203" s="2" t="str">
        <f t="shared" ref="P203:P205" si="1">$E$185</f>
        <v>t N2O</v>
      </c>
    </row>
    <row r="204" spans="4:16" ht="20.100000000000001" customHeight="1" x14ac:dyDescent="0.25">
      <c r="D204" s="56" t="str">
        <f>'Input - MMS - Feedlot'!$D$36</f>
        <v>Composting (passive windrow)</v>
      </c>
      <c r="E204" s="56" cm="1">
        <f t="array" ref="E204">MMS_Feedlot_N2O_Direct_Equations.VEERG_4_1_1_3__1_TotalAnnualDirectNitrousOxideEmissions(E$174,$E196,$G$189)</f>
        <v>0</v>
      </c>
      <c r="F204" s="56" cm="1">
        <f t="array" ref="F204">MMS_Feedlot_N2O_Direct_Equations.VEERG_4_1_1_3__1_TotalAnnualDirectNitrousOxideEmissions(F$174,$E196,$G$189)</f>
        <v>0</v>
      </c>
      <c r="G204" s="56" cm="1">
        <f t="array" ref="G204">MMS_Feedlot_N2O_Direct_Equations.VEERG_4_1_1_3__1_TotalAnnualDirectNitrousOxideEmissions(G$174,$E196,$G$189)</f>
        <v>0</v>
      </c>
      <c r="H204" s="2" t="str">
        <f t="shared" si="0"/>
        <v>t N2O</v>
      </c>
      <c r="L204" s="56" t="str">
        <f>'Input - MMS - Feedlot'!$D$36</f>
        <v>Composting (passive windrow)</v>
      </c>
      <c r="M204" s="56" cm="1">
        <f t="array" ref="M204">MMS_Feedlot_N2O_Direct_Equations.VEERG_4_1_1_3__1_TotalAnnualDirectNitrousOxideEmissions(M$174,$E196,$G$189)</f>
        <v>0</v>
      </c>
      <c r="N204" s="56" cm="1">
        <f t="array" ref="N204">MMS_Feedlot_N2O_Direct_Equations.VEERG_4_1_1_3__1_TotalAnnualDirectNitrousOxideEmissions(N$174,$E196,$G$189)</f>
        <v>0</v>
      </c>
      <c r="O204" s="56" cm="1">
        <f t="array" ref="O204">MMS_Feedlot_N2O_Direct_Equations.VEERG_4_1_1_3__1_TotalAnnualDirectNitrousOxideEmissions(O$174,$E196,$G$189)</f>
        <v>0</v>
      </c>
      <c r="P204" s="2" t="str">
        <f t="shared" si="1"/>
        <v>t N2O</v>
      </c>
    </row>
    <row r="205" spans="4:16" ht="20.100000000000001" customHeight="1" x14ac:dyDescent="0.25">
      <c r="D205" s="56" t="str">
        <f>'Input - MMS - Feedlot'!$D$41</f>
        <v>Anaerobic lagoon</v>
      </c>
      <c r="E205" s="56" cm="1">
        <f t="array" ref="E205">MMS_Feedlot_N2O_Direct_Equations.VEERG_4_1_1_3__1_TotalAnnualDirectNitrousOxideEmissions(E$129,$E197,$G$189)</f>
        <v>0</v>
      </c>
      <c r="F205" s="56" cm="1">
        <f t="array" ref="F205">MMS_Feedlot_N2O_Direct_Equations.VEERG_4_1_1_3__1_TotalAnnualDirectNitrousOxideEmissions(F$129,$E197,$G$189)</f>
        <v>0</v>
      </c>
      <c r="G205" s="56" cm="1">
        <f t="array" ref="G205">MMS_Feedlot_N2O_Direct_Equations.VEERG_4_1_1_3__1_TotalAnnualDirectNitrousOxideEmissions(G$129,$E197,$G$189)</f>
        <v>0</v>
      </c>
      <c r="H205" s="2" t="str">
        <f t="shared" si="0"/>
        <v>t N2O</v>
      </c>
      <c r="L205" s="56" t="str">
        <f>'Input - MMS - Feedlot'!$D$41</f>
        <v>Anaerobic lagoon</v>
      </c>
      <c r="M205" s="56" cm="1">
        <f t="array" ref="M205">MMS_Feedlot_N2O_Direct_Equations.VEERG_4_1_1_3__1_TotalAnnualDirectNitrousOxideEmissions(M$129,$E197,$G$189)</f>
        <v>0</v>
      </c>
      <c r="N205" s="56" cm="1">
        <f t="array" ref="N205">MMS_Feedlot_N2O_Direct_Equations.VEERG_4_1_1_3__1_TotalAnnualDirectNitrousOxideEmissions(N$129,$E197,$G$189)</f>
        <v>0</v>
      </c>
      <c r="O205" s="56" cm="1">
        <f t="array" ref="O205">MMS_Feedlot_N2O_Direct_Equations.VEERG_4_1_1_3__1_TotalAnnualDirectNitrousOxideEmissions(O$129,$E197,$G$189)</f>
        <v>0</v>
      </c>
      <c r="P205" s="2" t="str">
        <f t="shared" si="1"/>
        <v>t N2O</v>
      </c>
    </row>
    <row r="206" spans="4:16" ht="20.100000000000001" customHeight="1" x14ac:dyDescent="0.25"/>
    <row r="207" spans="4:16" ht="20.100000000000001" customHeight="1" x14ac:dyDescent="0.25">
      <c r="D207" s="112" t="s">
        <v>191</v>
      </c>
      <c r="E207" s="113">
        <f>SUM(E202:G205)</f>
        <v>0</v>
      </c>
      <c r="F207" s="114" t="str">
        <f>$E$185</f>
        <v>t N2O</v>
      </c>
      <c r="L207" s="112" t="s">
        <v>191</v>
      </c>
      <c r="M207" s="113">
        <f>SUM(M202:O205)</f>
        <v>0</v>
      </c>
      <c r="N207" s="114" t="str">
        <f>$E$185</f>
        <v>t N2O</v>
      </c>
    </row>
    <row r="208" spans="4:16" ht="20.100000000000001" customHeight="1" x14ac:dyDescent="0.25"/>
    <row r="209" spans="4:15" ht="20.100000000000001" customHeight="1" x14ac:dyDescent="0.25">
      <c r="D209" s="61" t="str" cm="1">
        <f t="array" ref="D209:E210">Common_Equations.Common_ConvertN2OToCO2e_Arguments()</f>
        <v>EN2O</v>
      </c>
      <c r="E209" s="62" t="str">
        <v>Nitrous oxide emissions (t N2O)</v>
      </c>
      <c r="F209" s="115"/>
      <c r="G209" s="56">
        <f>E207</f>
        <v>0</v>
      </c>
      <c r="L209" s="61" t="str" cm="1">
        <f t="array" ref="L209:M210">Common_Equations.Common_ConvertN2OToCO2e_Arguments()</f>
        <v>EN2O</v>
      </c>
      <c r="M209" s="62" t="str">
        <v>Nitrous oxide emissions (t N2O)</v>
      </c>
      <c r="N209" s="115"/>
      <c r="O209" s="56">
        <f>M207</f>
        <v>0</v>
      </c>
    </row>
    <row r="210" spans="4:15" ht="20.100000000000001" customHeight="1" x14ac:dyDescent="0.25">
      <c r="D210" s="61" t="str">
        <v>GWPN2O</v>
      </c>
      <c r="E210" s="62" t="str">
        <v>Global warming potential for nitrous oxide (t CO2-e / t N2O)</v>
      </c>
      <c r="F210" s="115"/>
      <c r="G210" s="56" cm="1">
        <f t="array" ref="G210">Common_InputFunctions.Utility_LookupValueInTableNumber("N2O",#REF!,#REF!)</f>
        <v>0</v>
      </c>
      <c r="L210" s="61" t="str">
        <v>GWPN2O</v>
      </c>
      <c r="M210" s="62" t="str">
        <v>Global warming potential for nitrous oxide (t CO2-e / t N2O)</v>
      </c>
      <c r="N210" s="115"/>
      <c r="O210" s="56" cm="1">
        <f t="array" ref="O210">Common_InputFunctions.Utility_LookupValueInTableNumber("N2O",#REF!,#REF!)</f>
        <v>0</v>
      </c>
    </row>
    <row r="211" spans="4:15" ht="20.100000000000001" customHeight="1" x14ac:dyDescent="0.25"/>
    <row r="212" spans="4:15" ht="20.100000000000001" customHeight="1" x14ac:dyDescent="0.25">
      <c r="D212" s="49" t="s">
        <v>140</v>
      </c>
      <c r="E212" s="49" cm="1">
        <f t="array" ref="E212">Common_Equations.Common_ConvertN2OToCO2e(G209,G210)</f>
        <v>0</v>
      </c>
      <c r="F212" s="116" t="str" cm="1">
        <f t="array" ref="F212">Common_Equations.Common_ConvertN2OToCO2e_Unit()</f>
        <v>t CO2e</v>
      </c>
      <c r="L212" s="49" t="s">
        <v>140</v>
      </c>
      <c r="M212" s="49" cm="1">
        <f t="array" ref="M212">Common_Equations.Common_ConvertN2OToCO2e(O209,O210)</f>
        <v>0</v>
      </c>
      <c r="N212" s="116" t="str" cm="1">
        <f t="array" ref="N212">Common_Equations.Common_ConvertN2OToCO2e_Unit()</f>
        <v>t CO2e</v>
      </c>
    </row>
    <row r="213" spans="4:15" ht="20.100000000000001" customHeight="1" x14ac:dyDescent="0.25"/>
    <row r="214" spans="4:15" ht="20.100000000000001" customHeight="1" x14ac:dyDescent="0.25"/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33" workbookViewId="0">
      <selection activeCell="G56" sqref="G5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301</v>
      </c>
    </row>
    <row r="2" spans="1:17" s="9" customFormat="1" ht="20.100000000000001" customHeight="1" x14ac:dyDescent="0.25"/>
    <row r="3" spans="1:17" ht="20.100000000000001" customHeight="1" x14ac:dyDescent="0.25">
      <c r="A3" s="17" t="s">
        <v>0</v>
      </c>
      <c r="C3" s="4"/>
      <c r="D3" s="4" t="s">
        <v>176</v>
      </c>
      <c r="E3" s="4"/>
      <c r="F3" s="4"/>
      <c r="G3" s="4"/>
      <c r="H3" s="4"/>
      <c r="I3" s="4"/>
      <c r="K3" s="4"/>
      <c r="L3" s="4" t="s">
        <v>177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29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Production'!A1", "Production and outputs")</f>
        <v>Production and outputs</v>
      </c>
    </row>
    <row r="9" spans="1:17" ht="20.100000000000001" customHeight="1" x14ac:dyDescent="0.25">
      <c r="A9" s="17" t="str">
        <f>HYPERLINK("#'Input - Herd - Dairy'!A1", "Herd - Dairy")</f>
        <v>Herd - Dairy</v>
      </c>
    </row>
    <row r="10" spans="1:17" ht="20.100000000000001" customHeight="1" x14ac:dyDescent="0.25">
      <c r="A10" s="17" t="str">
        <f>HYPERLINK("#'Input - Feed - Dairy'!A1", "Purchased feed - Livestock")</f>
        <v>Purchased feed - Livestock</v>
      </c>
    </row>
    <row r="11" spans="1:17" ht="20.100000000000001" customHeight="1" x14ac:dyDescent="0.25">
      <c r="A11" s="17" t="str">
        <f>HYPERLINK("#'Input - Herd - Feedlot'!A1", "Herd - Feedlot")</f>
        <v>Herd - Feedlot</v>
      </c>
      <c r="D11" s="57" t="s">
        <v>32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HYPERLINK("#'Input - Pasture'!A1", "Pasture")</f>
        <v>Pasture</v>
      </c>
      <c r="D12" s="57" t="s">
        <v>22</v>
      </c>
      <c r="E12" s="58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17" t="str">
        <f>HYPERLINK("#'Input - Grains'!A1", "Crop - Grains")</f>
        <v>Crop - Grains</v>
      </c>
    </row>
    <row r="14" spans="1:17" ht="20.100000000000001" customHeight="1" x14ac:dyDescent="0.25">
      <c r="A14" s="17" t="str">
        <f>HYPERLINK("#'Input - Fert Lime Chem'!A1", "Fertiliser, Lime &amp; Chemicals")</f>
        <v>Fertiliser, Lime &amp; Chemicals</v>
      </c>
      <c r="D14" s="61" t="str" cm="1">
        <f t="array" ref="D14:E15">MMS_Feedlot_AtmosphericDeposition_Equations.VEERG_4_1_1_5__2_VolatilisedNitrogenFromManureManagement_Arguments()</f>
        <v>MN_jmT</v>
      </c>
      <c r="E14" s="62" t="str">
        <v>nitrogen in each treatment stage MMS (excluding MN_ijm13T2) : kg N</v>
      </c>
      <c r="F14" s="63"/>
      <c r="G14" s="61" t="str">
        <f>"See " &amp; D17</f>
        <v>See M1_Table_MN_j_m_T</v>
      </c>
    </row>
    <row r="15" spans="1:17" ht="20.100000000000001" customHeight="1" x14ac:dyDescent="0.25">
      <c r="A15" s="17" t="str">
        <f>HYPERLINK("#'Input - Fuel &amp; Energy'!A1", "Electricity and fuel")</f>
        <v>Electricity and fuel</v>
      </c>
      <c r="D15" s="61" t="str">
        <v>FracGASM_mT</v>
      </c>
      <c r="E15" s="62" t="str">
        <v>fraction of N volatilised in each MMS : (kg NH3-N + NOx-N)/kg N</v>
      </c>
      <c r="F15" s="63"/>
      <c r="G15" s="61" t="str">
        <f>"See " &amp; D25</f>
        <v>See Table_FracGASM_m_T-2-3</v>
      </c>
    </row>
    <row r="16" spans="1:17" ht="20.100000000000001" customHeight="1" x14ac:dyDescent="0.25">
      <c r="A16" s="71" t="s">
        <v>81</v>
      </c>
    </row>
    <row r="17" spans="1:16" ht="20.100000000000001" customHeight="1" x14ac:dyDescent="0.25">
      <c r="A17" s="71" t="s">
        <v>77</v>
      </c>
      <c r="D17" s="106" t="s">
        <v>302</v>
      </c>
      <c r="L17" s="106" t="s">
        <v>305</v>
      </c>
    </row>
    <row r="18" spans="1:16" ht="20.100000000000001" customHeight="1" x14ac:dyDescent="0.25">
      <c r="A18" s="17" t="str">
        <f>HYPERLINK("#'Input - Other Farm Inputs'!A1", "Other farm inputs")</f>
        <v>Other farm inputs</v>
      </c>
      <c r="D18" s="105" t="s">
        <v>304</v>
      </c>
      <c r="L18" s="105" t="s">
        <v>306</v>
      </c>
    </row>
    <row r="19" spans="1:16" ht="20.100000000000001" customHeight="1" x14ac:dyDescent="0.25">
      <c r="A19" s="17" t="str">
        <f>HYPERLINK("#'Input - Data quality'!A1", "Data quality")</f>
        <v>Data quality</v>
      </c>
      <c r="D19" s="123" t="s">
        <v>70</v>
      </c>
      <c r="E19" s="55" t="s">
        <v>152</v>
      </c>
      <c r="F19" s="55" t="s">
        <v>153</v>
      </c>
      <c r="G19" s="55" t="s">
        <v>154</v>
      </c>
      <c r="L19" s="123" t="s">
        <v>70</v>
      </c>
      <c r="M19" s="55" t="s">
        <v>152</v>
      </c>
      <c r="N19" s="55" t="s">
        <v>153</v>
      </c>
      <c r="O19" s="55" t="s">
        <v>154</v>
      </c>
    </row>
    <row r="20" spans="1:16" ht="20.100000000000001" customHeight="1" x14ac:dyDescent="0.25">
      <c r="D20" s="56" t="str">
        <f>'Input - MMS - Feedlot'!$D$29</f>
        <v>Drylot (feed pad)</v>
      </c>
      <c r="E20" s="56">
        <f>'4.1.1.3-4 Direct N20'!$E$106</f>
        <v>71763.793920000026</v>
      </c>
      <c r="F20" s="56">
        <f>'4.1.1.3-4 Direct N20'!$F$106</f>
        <v>2534.35392</v>
      </c>
      <c r="G20" s="56">
        <f>'4.1.1.3-4 Direct N20'!$G$106</f>
        <v>3660.4799999999991</v>
      </c>
      <c r="H20" s="2" t="s">
        <v>246</v>
      </c>
      <c r="L20" s="56" t="str">
        <f>'Input - MMS - Feedlot'!$D$29</f>
        <v>Drylot (feed pad)</v>
      </c>
      <c r="M20" s="56">
        <f>'4.1.1.3-4 Direct N20'!$M$106</f>
        <v>71763.793920000026</v>
      </c>
      <c r="N20" s="56">
        <f>'4.1.1.3-4 Direct N20'!$N$106</f>
        <v>2534.35392</v>
      </c>
      <c r="O20" s="56">
        <f>'4.1.1.3-4 Direct N20'!$O$106</f>
        <v>3660.4799999999991</v>
      </c>
      <c r="P20" s="2" t="s">
        <v>246</v>
      </c>
    </row>
    <row r="21" spans="1:16" ht="20.100000000000001" customHeight="1" x14ac:dyDescent="0.25">
      <c r="A21" s="19" t="s">
        <v>79</v>
      </c>
      <c r="D21" s="56" t="str">
        <f>'Input - MMS - Feedlot'!$D$35</f>
        <v>Solid storage</v>
      </c>
      <c r="E21" s="56">
        <f>'4.1.1.3-4 Direct N20'!$E$173</f>
        <v>5376.5434404864027</v>
      </c>
      <c r="F21" s="56">
        <f>'4.1.1.3-4 Direct N20'!$F$173</f>
        <v>189.8737956864</v>
      </c>
      <c r="G21" s="56">
        <f>'4.1.1.3-4 Direct N20'!$G$173</f>
        <v>274.24316159999995</v>
      </c>
      <c r="H21" s="2" t="s">
        <v>246</v>
      </c>
      <c r="L21" s="56" t="str">
        <f>'Input - MMS - Feedlot'!$D$35</f>
        <v>Solid storage</v>
      </c>
      <c r="M21" s="56">
        <f>'4.1.1.3-4 Direct N20'!$M$173</f>
        <v>5376.5434404864027</v>
      </c>
      <c r="N21" s="56">
        <f>'4.1.1.3-4 Direct N20'!$N$173</f>
        <v>189.8737956864</v>
      </c>
      <c r="O21" s="56">
        <f>'4.1.1.3-4 Direct N20'!$O$173</f>
        <v>274.24316159999995</v>
      </c>
      <c r="P21" s="2" t="s">
        <v>246</v>
      </c>
    </row>
    <row r="22" spans="1:16" ht="20.100000000000001" customHeight="1" x14ac:dyDescent="0.25">
      <c r="A22" s="71" t="s">
        <v>1</v>
      </c>
      <c r="D22" s="56" t="str">
        <f>'Input - MMS - Feedlot'!$D$36</f>
        <v>Composting (passive windrow)</v>
      </c>
      <c r="E22" s="56">
        <f>'4.1.1.3-4 Direct N20'!$E$174</f>
        <v>21506.173761945611</v>
      </c>
      <c r="F22" s="56">
        <f>'4.1.1.3-4 Direct N20'!$F$174</f>
        <v>759.4951827456</v>
      </c>
      <c r="G22" s="56">
        <f>'4.1.1.3-4 Direct N20'!$G$174</f>
        <v>1096.9726463999998</v>
      </c>
      <c r="H22" s="2" t="s">
        <v>246</v>
      </c>
      <c r="L22" s="56" t="str">
        <f>'Input - MMS - Feedlot'!$D$36</f>
        <v>Composting (passive windrow)</v>
      </c>
      <c r="M22" s="56">
        <f>'4.1.1.3-4 Direct N20'!$M$174</f>
        <v>21506.173761945611</v>
      </c>
      <c r="N22" s="56">
        <f>'4.1.1.3-4 Direct N20'!$N$174</f>
        <v>759.4951827456</v>
      </c>
      <c r="O22" s="56">
        <f>'4.1.1.3-4 Direct N20'!$O$174</f>
        <v>1096.9726463999998</v>
      </c>
      <c r="P22" s="2" t="s">
        <v>246</v>
      </c>
    </row>
    <row r="23" spans="1:16" ht="20.100000000000001" customHeight="1" x14ac:dyDescent="0.25">
      <c r="A23" s="71" t="s">
        <v>78</v>
      </c>
      <c r="D23" s="56" t="str">
        <f>'Input - MMS - Feedlot'!$D$41</f>
        <v>Anaerobic lagoon</v>
      </c>
      <c r="E23" s="56">
        <f>'4.1.1.3-4 Direct N20'!$E$129</f>
        <v>1435.2758784000005</v>
      </c>
      <c r="F23" s="56">
        <f>'4.1.1.3-4 Direct N20'!$F$129</f>
        <v>50.687078400000004</v>
      </c>
      <c r="G23" s="56">
        <f>'4.1.1.3-4 Direct N20'!$G$129</f>
        <v>73.20959999999998</v>
      </c>
      <c r="H23" s="2" t="s">
        <v>246</v>
      </c>
      <c r="L23" s="56" t="str">
        <f>'Input - MMS - Feedlot'!$D$41</f>
        <v>Anaerobic lagoon</v>
      </c>
      <c r="M23" s="56">
        <f>'4.1.1.3-4 Direct N20'!$M$129</f>
        <v>1435.2758784000005</v>
      </c>
      <c r="N23" s="56">
        <f>'4.1.1.3-4 Direct N20'!$N$129</f>
        <v>50.687078400000004</v>
      </c>
      <c r="O23" s="56">
        <f>'4.1.1.3-4 Direct N20'!$O$129</f>
        <v>73.20959999999998</v>
      </c>
      <c r="P23" s="2" t="s">
        <v>246</v>
      </c>
    </row>
    <row r="24" spans="1:16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6" ht="20.100000000000001" customHeight="1" x14ac:dyDescent="0.25">
      <c r="A25" s="17" t="str">
        <f>HYPERLINK("#'Calcs - Residue mgmt - Crop'!A1", "Residue management - Crop")</f>
        <v>Residue management - Crop</v>
      </c>
      <c r="D25" s="106" t="s">
        <v>248</v>
      </c>
    </row>
    <row r="26" spans="1:16" ht="20.100000000000001" customHeight="1" x14ac:dyDescent="0.25">
      <c r="A26" s="17" t="str">
        <f>HYPERLINK("#'Calcs - Residue mgmt - Pasture'!A1", "Residue management - Pasture")</f>
        <v>Residue management - Pasture</v>
      </c>
      <c r="D26" s="105" t="s">
        <v>250</v>
      </c>
    </row>
    <row r="27" spans="1:16" ht="20.100000000000001" customHeight="1" x14ac:dyDescent="0.25">
      <c r="A27" s="17" t="str">
        <f>HYPERLINK("#'Calcs - Field burning'!A1", "Field burning - Crop")</f>
        <v>Field burning - Crop</v>
      </c>
      <c r="D27" s="123" t="s">
        <v>70</v>
      </c>
      <c r="E27" s="123" t="s">
        <v>190</v>
      </c>
    </row>
    <row r="28" spans="1:16" ht="20.100000000000001" customHeight="1" x14ac:dyDescent="0.25">
      <c r="A28" s="17" t="str">
        <f>HYPERLINK("#'Calcs - Fuel'!A1", "Fuel")</f>
        <v>Fuel</v>
      </c>
      <c r="D28" s="56" t="str">
        <f>'Input - MMS - Feedlot'!$D$29</f>
        <v>Drylot (feed pad)</v>
      </c>
      <c r="E28" s="56">
        <f>_xlfn.XLOOKUP(D28, Table_SourceData_Feedlot_FracGASMmT[NIR definition], Table_SourceData_Feedlot_FracGASMmT[FracGASMmT])</f>
        <v>0.6</v>
      </c>
      <c r="F28" s="2" t="s">
        <v>255</v>
      </c>
    </row>
    <row r="29" spans="1:16" ht="20.100000000000001" customHeight="1" x14ac:dyDescent="0.25">
      <c r="A29" s="17" t="str">
        <f>HYPERLINK("#'Calcs - Electricity'!A1", "Electricity")</f>
        <v>Electricity</v>
      </c>
      <c r="D29" s="56" t="str">
        <f>'Input - MMS - Feedlot'!$D$35</f>
        <v>Solid storage</v>
      </c>
      <c r="E29" s="56">
        <f>_xlfn.XLOOKUP(D29, Table_SourceData_Feedlot_FracGASMmT[NIR definition], Table_SourceData_Feedlot_FracGASMmT[FracGASMmT])</f>
        <v>0.25</v>
      </c>
      <c r="F29" s="2" t="s">
        <v>255</v>
      </c>
    </row>
    <row r="30" spans="1:16" ht="20.100000000000001" customHeight="1" x14ac:dyDescent="0.25">
      <c r="A30" s="17" t="str">
        <f>HYPERLINK("#'Calcs - Refrigerants'!A1", "Refrigerants")</f>
        <v>Refrigerants</v>
      </c>
      <c r="D30" s="56" t="str">
        <f>'Input - MMS - Feedlot'!$D$36</f>
        <v>Composting (passive windrow)</v>
      </c>
      <c r="E30" s="56">
        <f>_xlfn.XLOOKUP(D30, Table_SourceData_Feedlot_FracGASMmT[NIR definition], Table_SourceData_Feedlot_FracGASMmT[FracGASMmT])</f>
        <v>0.4</v>
      </c>
      <c r="F30" s="2" t="s">
        <v>255</v>
      </c>
    </row>
    <row r="31" spans="1:16" ht="20.100000000000001" customHeight="1" x14ac:dyDescent="0.25">
      <c r="A31" s="71" t="s">
        <v>81</v>
      </c>
      <c r="D31" s="56" t="str">
        <f>'Input - MMS - Feedlot'!$D$41</f>
        <v>Anaerobic lagoon</v>
      </c>
      <c r="E31" s="56">
        <f>_xlfn.XLOOKUP(D31, Table_SourceData_Feedlot_FracGASMmT[NIR definition], Table_SourceData_Feedlot_FracGASMmT[FracGASMmT])</f>
        <v>0.35</v>
      </c>
      <c r="F31" s="2" t="s">
        <v>255</v>
      </c>
    </row>
    <row r="32" spans="1:16" ht="20.100000000000001" customHeight="1" x14ac:dyDescent="0.25">
      <c r="A32" s="71" t="s">
        <v>77</v>
      </c>
    </row>
    <row r="33" spans="1:17" ht="20.100000000000001" customHeight="1" x14ac:dyDescent="0.25">
      <c r="A33" s="17" t="str">
        <f>HYPERLINK("#'Calcs - Scope 3'!A1", "Purchased goods scope 3")</f>
        <v>Purchased goods scope 3</v>
      </c>
      <c r="D33" s="106" t="s">
        <v>303</v>
      </c>
      <c r="L33" s="106" t="s">
        <v>303</v>
      </c>
    </row>
    <row r="34" spans="1:17" ht="20.100000000000001" customHeight="1" x14ac:dyDescent="0.25">
      <c r="D34" s="105" t="s">
        <v>304</v>
      </c>
      <c r="L34" s="105" t="s">
        <v>304</v>
      </c>
    </row>
    <row r="35" spans="1:17" ht="20.100000000000001" customHeight="1" x14ac:dyDescent="0.25">
      <c r="A35" s="18" t="s">
        <v>4</v>
      </c>
      <c r="D35" s="123" t="s">
        <v>70</v>
      </c>
      <c r="E35" s="55" t="s">
        <v>152</v>
      </c>
      <c r="F35" s="55" t="s">
        <v>153</v>
      </c>
      <c r="G35" s="55" t="s">
        <v>154</v>
      </c>
      <c r="L35" s="123" t="s">
        <v>70</v>
      </c>
      <c r="M35" s="55" t="s">
        <v>152</v>
      </c>
      <c r="N35" s="55" t="s">
        <v>153</v>
      </c>
      <c r="O35" s="55" t="s">
        <v>154</v>
      </c>
    </row>
    <row r="36" spans="1:17" ht="20.100000000000001" customHeight="1" x14ac:dyDescent="0.25">
      <c r="A36" s="17" t="str">
        <f>HYPERLINK("#'Constants - Common'!A1", "Constants - Common")</f>
        <v>Constants - Common</v>
      </c>
      <c r="D36" s="56" t="str">
        <f>'Input - MMS - Feedlot'!$D$29</f>
        <v>Drylot (feed pad)</v>
      </c>
      <c r="E36" s="56" cm="1">
        <f t="array" ref="E36">MMS_Feedlot_AtmosphericDeposition_Equations.VEERG_4_1_1_5__2_VolatilisedNitrogenFromManureManagement(E20,$E28)</f>
        <v>43058.276352000015</v>
      </c>
      <c r="F36" s="56" cm="1">
        <f t="array" ref="F36">MMS_Feedlot_AtmosphericDeposition_Equations.VEERG_4_1_1_5__2_VolatilisedNitrogenFromManureManagement(F20,$E28)</f>
        <v>1520.6123519999999</v>
      </c>
      <c r="G36" s="56" cm="1">
        <f t="array" ref="G36">MMS_Feedlot_AtmosphericDeposition_Equations.VEERG_4_1_1_5__2_VolatilisedNitrogenFromManureManagement(G20,$E28)</f>
        <v>2196.2879999999996</v>
      </c>
      <c r="H36" s="2" t="str">
        <f>$E$12</f>
        <v>kg N</v>
      </c>
      <c r="L36" s="56" t="str">
        <f>'Input - MMS - Feedlot'!$D$29</f>
        <v>Drylot (feed pad)</v>
      </c>
      <c r="M36" s="56" cm="1">
        <f t="array" ref="M36">MMS_Feedlot_AtmosphericDeposition_Equations.VEERG_4_1_1_5__2_VolatilisedNitrogenFromManureManagement(M20,$E28)</f>
        <v>43058.276352000015</v>
      </c>
      <c r="N36" s="56" cm="1">
        <f t="array" ref="N36">MMS_Feedlot_AtmosphericDeposition_Equations.VEERG_4_1_1_5__2_VolatilisedNitrogenFromManureManagement(N20,$E28)</f>
        <v>1520.6123519999999</v>
      </c>
      <c r="O36" s="56" cm="1">
        <f t="array" ref="O36">MMS_Feedlot_AtmosphericDeposition_Equations.VEERG_4_1_1_5__2_VolatilisedNitrogenFromManureManagement(O20,$E28)</f>
        <v>2196.2879999999996</v>
      </c>
      <c r="P36" s="2" t="s">
        <v>246</v>
      </c>
    </row>
    <row r="37" spans="1:17" ht="20.100000000000001" customHeight="1" x14ac:dyDescent="0.25">
      <c r="A37" s="17" t="str">
        <f>HYPERLINK("#'Constants - Cropping'!A1", "Constants - Cropping")</f>
        <v>Constants - Cropping</v>
      </c>
      <c r="D37" s="56" t="str">
        <f>'Input - MMS - Feedlot'!$D$35</f>
        <v>Solid storage</v>
      </c>
      <c r="E37" s="56" cm="1">
        <f t="array" ref="E37">MMS_Feedlot_AtmosphericDeposition_Equations.VEERG_4_1_1_5__2_VolatilisedNitrogenFromManureManagement(E21,$E29)</f>
        <v>1344.1358601216007</v>
      </c>
      <c r="F37" s="56" cm="1">
        <f t="array" ref="F37">MMS_Feedlot_AtmosphericDeposition_Equations.VEERG_4_1_1_5__2_VolatilisedNitrogenFromManureManagement(F21,$E29)</f>
        <v>47.4684489216</v>
      </c>
      <c r="G37" s="56" cm="1">
        <f t="array" ref="G37">MMS_Feedlot_AtmosphericDeposition_Equations.VEERG_4_1_1_5__2_VolatilisedNitrogenFromManureManagement(G21,$E29)</f>
        <v>68.560790399999988</v>
      </c>
      <c r="H37" s="2" t="str">
        <f t="shared" ref="H37:H39" si="0">$E$12</f>
        <v>kg N</v>
      </c>
      <c r="L37" s="56" t="str">
        <f>'Input - MMS - Feedlot'!$D$35</f>
        <v>Solid storage</v>
      </c>
      <c r="M37" s="56" cm="1">
        <f t="array" ref="M37">MMS_Feedlot_AtmosphericDeposition_Equations.VEERG_4_1_1_5__2_VolatilisedNitrogenFromManureManagement(M21,$E29)</f>
        <v>1344.1358601216007</v>
      </c>
      <c r="N37" s="56" cm="1">
        <f t="array" ref="N37">MMS_Feedlot_AtmosphericDeposition_Equations.VEERG_4_1_1_5__2_VolatilisedNitrogenFromManureManagement(N21,$E29)</f>
        <v>47.4684489216</v>
      </c>
      <c r="O37" s="56" cm="1">
        <f t="array" ref="O37">MMS_Feedlot_AtmosphericDeposition_Equations.VEERG_4_1_1_5__2_VolatilisedNitrogenFromManureManagement(O21,$E29)</f>
        <v>68.560790399999988</v>
      </c>
      <c r="P37" s="2" t="s">
        <v>246</v>
      </c>
    </row>
    <row r="38" spans="1:17" ht="20.100000000000001" customHeight="1" x14ac:dyDescent="0.25">
      <c r="A38" s="17" t="str">
        <f>HYPERLINK("#'Constants - Livestock'!A1", "Constants - Livestock")</f>
        <v>Constants - Livestock</v>
      </c>
      <c r="D38" s="56" t="str">
        <f>'Input - MMS - Feedlot'!$D$36</f>
        <v>Composting (passive windrow)</v>
      </c>
      <c r="E38" s="56" cm="1">
        <f t="array" ref="E38">MMS_Feedlot_AtmosphericDeposition_Equations.VEERG_4_1_1_5__2_VolatilisedNitrogenFromManureManagement(E22,$E30)</f>
        <v>8602.4695047782443</v>
      </c>
      <c r="F38" s="56" cm="1">
        <f t="array" ref="F38">MMS_Feedlot_AtmosphericDeposition_Equations.VEERG_4_1_1_5__2_VolatilisedNitrogenFromManureManagement(F22,$E30)</f>
        <v>303.79807309824002</v>
      </c>
      <c r="G38" s="56" cm="1">
        <f t="array" ref="G38">MMS_Feedlot_AtmosphericDeposition_Equations.VEERG_4_1_1_5__2_VolatilisedNitrogenFromManureManagement(G22,$E30)</f>
        <v>438.78905855999994</v>
      </c>
      <c r="H38" s="2" t="str">
        <f t="shared" si="0"/>
        <v>kg N</v>
      </c>
      <c r="L38" s="56" t="str">
        <f>'Input - MMS - Feedlot'!$D$36</f>
        <v>Composting (passive windrow)</v>
      </c>
      <c r="M38" s="56" cm="1">
        <f t="array" ref="M38">MMS_Feedlot_AtmosphericDeposition_Equations.VEERG_4_1_1_5__2_VolatilisedNitrogenFromManureManagement(M22,$E30)</f>
        <v>8602.4695047782443</v>
      </c>
      <c r="N38" s="56" cm="1">
        <f t="array" ref="N38">MMS_Feedlot_AtmosphericDeposition_Equations.VEERG_4_1_1_5__2_VolatilisedNitrogenFromManureManagement(N22,$E30)</f>
        <v>303.79807309824002</v>
      </c>
      <c r="O38" s="56" cm="1">
        <f t="array" ref="O38">MMS_Feedlot_AtmosphericDeposition_Equations.VEERG_4_1_1_5__2_VolatilisedNitrogenFromManureManagement(O22,$E30)</f>
        <v>438.78905855999994</v>
      </c>
      <c r="P38" s="2" t="s">
        <v>246</v>
      </c>
    </row>
    <row r="39" spans="1:17" ht="20.100000000000001" customHeight="1" x14ac:dyDescent="0.25">
      <c r="A39" s="17" t="str">
        <f>HYPERLINK("#'Constants - Dairy'!A1", "Constants - Dairy")</f>
        <v>Constants - Dairy</v>
      </c>
      <c r="D39" s="56" t="str">
        <f>'Input - MMS - Feedlot'!$D$41</f>
        <v>Anaerobic lagoon</v>
      </c>
      <c r="E39" s="56" cm="1">
        <f t="array" ref="E39">MMS_Feedlot_AtmosphericDeposition_Equations.VEERG_4_1_1_5__2_VolatilisedNitrogenFromManureManagement(E23,$E31)</f>
        <v>502.34655744000014</v>
      </c>
      <c r="F39" s="56" cm="1">
        <f t="array" ref="F39">MMS_Feedlot_AtmosphericDeposition_Equations.VEERG_4_1_1_5__2_VolatilisedNitrogenFromManureManagement(F23,$E31)</f>
        <v>17.740477439999999</v>
      </c>
      <c r="G39" s="56" cm="1">
        <f t="array" ref="G39">MMS_Feedlot_AtmosphericDeposition_Equations.VEERG_4_1_1_5__2_VolatilisedNitrogenFromManureManagement(G23,$E31)</f>
        <v>25.623359999999991</v>
      </c>
      <c r="H39" s="2" t="str">
        <f t="shared" si="0"/>
        <v>kg N</v>
      </c>
      <c r="L39" s="56" t="str">
        <f>'Input - MMS - Feedlot'!$D$41</f>
        <v>Anaerobic lagoon</v>
      </c>
      <c r="M39" s="56" cm="1">
        <f t="array" ref="M39">MMS_Feedlot_AtmosphericDeposition_Equations.VEERG_4_1_1_5__2_VolatilisedNitrogenFromManureManagement(M23,$E31)</f>
        <v>502.34655744000014</v>
      </c>
      <c r="N39" s="56" cm="1">
        <f t="array" ref="N39">MMS_Feedlot_AtmosphericDeposition_Equations.VEERG_4_1_1_5__2_VolatilisedNitrogenFromManureManagement(N23,$E31)</f>
        <v>17.740477439999999</v>
      </c>
      <c r="O39" s="56" cm="1">
        <f t="array" ref="O39">MMS_Feedlot_AtmosphericDeposition_Equations.VEERG_4_1_1_5__2_VolatilisedNitrogenFromManureManagement(O23,$E31)</f>
        <v>25.623359999999991</v>
      </c>
      <c r="P39" s="2" t="s">
        <v>246</v>
      </c>
    </row>
    <row r="40" spans="1:17" ht="20.100000000000001" customHeight="1" x14ac:dyDescent="0.25">
      <c r="A40" s="71" t="s">
        <v>2</v>
      </c>
    </row>
    <row r="41" spans="1:17" ht="20.100000000000001" customHeight="1" x14ac:dyDescent="0.25">
      <c r="A41" s="48"/>
      <c r="D41" s="134" t="s">
        <v>307</v>
      </c>
      <c r="E41" s="49">
        <f>SUM(E36:G39)</f>
        <v>58126.108834759696</v>
      </c>
      <c r="F41" s="132" t="str">
        <f>$E$12</f>
        <v>kg N</v>
      </c>
      <c r="L41" s="134" t="s">
        <v>307</v>
      </c>
      <c r="M41" s="49">
        <f>SUM(M36:O39)</f>
        <v>58126.108834759696</v>
      </c>
      <c r="N41" s="132" t="str">
        <f>$E$12</f>
        <v>kg N</v>
      </c>
    </row>
    <row r="42" spans="1:17" ht="20.100000000000001" customHeight="1" x14ac:dyDescent="0.25"/>
    <row r="43" spans="1:17" ht="20.100000000000001" customHeight="1" x14ac:dyDescent="0.25">
      <c r="C43" s="133"/>
      <c r="D43" s="133"/>
      <c r="E43" s="133"/>
      <c r="F43" s="133"/>
      <c r="G43" s="133"/>
      <c r="H43" s="133"/>
      <c r="I43" s="133"/>
      <c r="K43" s="133"/>
      <c r="L43" s="133"/>
      <c r="M43" s="133"/>
      <c r="N43" s="133"/>
      <c r="O43" s="133"/>
      <c r="P43" s="133"/>
      <c r="Q43" s="133"/>
    </row>
    <row r="44" spans="1:17" ht="20.100000000000001" customHeight="1" x14ac:dyDescent="0.25"/>
    <row r="45" spans="1:17" ht="20.100000000000001" customHeight="1" x14ac:dyDescent="0.25">
      <c r="D45" s="6" t="str" cm="1">
        <f t="array" ref="D45">MMS_Feedlot_AtmosphericDeposition_Equations.VEERG_4_1_1_5__1_TotalAnnualAtmosphericDepositionEmissions_Title()</f>
        <v>Total annual atmospheric deposition emissions from manure management</v>
      </c>
    </row>
    <row r="46" spans="1:17" ht="20.100000000000001" customHeight="1" x14ac:dyDescent="0.25">
      <c r="D46" s="5" t="str" cm="1">
        <f t="array" ref="D46">MMS_Feedlot_AtmosphericDeposition_Equations.VEERG_4_1_1_5__1_TotalAnnualAtmosphericDepositionEmissions_Source()</f>
        <v>VEERG 2026: 4.1.1.5, Equation (1)</v>
      </c>
    </row>
    <row r="47" spans="1:17" ht="20.100000000000001" customHeight="1" x14ac:dyDescent="0.25">
      <c r="D47" s="13" t="s">
        <v>29</v>
      </c>
      <c r="E47" s="13" t="e" cm="1">
        <f t="array" aca="1" ref="E47" ca="1">Common_InputFunctions.Utility_DisplayFunctionName(E76)</f>
        <v>#N/A</v>
      </c>
    </row>
    <row r="48" spans="1:17" ht="20.100000000000001" customHeight="1" x14ac:dyDescent="0.25"/>
    <row r="49" spans="4:8" ht="20.100000000000001" customHeight="1" x14ac:dyDescent="0.25">
      <c r="D49" s="6"/>
    </row>
    <row r="50" spans="4:8" ht="20.100000000000001" customHeight="1" x14ac:dyDescent="0.25">
      <c r="D50" s="57" t="s">
        <v>32</v>
      </c>
      <c r="E50" s="1" t="str" cm="1">
        <f t="array" ref="E50">MMS_Feedlot_AtmosphericDeposition_Equations.VEERG_4_1_1_5__1_TotalAnnualAtmosphericDepositionEmissions_Variable()</f>
        <v>E_N2Oad</v>
      </c>
    </row>
    <row r="51" spans="4:8" ht="20.100000000000001" customHeight="1" x14ac:dyDescent="0.25">
      <c r="D51" s="57" t="s">
        <v>22</v>
      </c>
      <c r="E51" s="58" t="str" cm="1">
        <f t="array" ref="E51">MMS_Feedlot_AtmosphericDeposition_Equations.VEERG_4_1_1_5__1_TotalAnnualAtmosphericDepositionEmissions_Unit()</f>
        <v>t N2O</v>
      </c>
    </row>
    <row r="52" spans="4:8" ht="20.100000000000001" customHeight="1" x14ac:dyDescent="0.25"/>
    <row r="53" spans="4:8" ht="20.100000000000001" customHeight="1" x14ac:dyDescent="0.25">
      <c r="D53" s="61" t="str" cm="1">
        <f t="array" ref="D53:E57">MMS_Feedlot_AtmosphericDeposition_Equations.VEERG_4_1_1_5__1_TotalAnnualAtmosphericDepositionEmissions_Arguments()</f>
        <v>MMS_ATMOS</v>
      </c>
      <c r="E53" s="62" t="str">
        <v>mass of N volatilised from MMS : kg N</v>
      </c>
      <c r="F53" s="63"/>
      <c r="G53" s="61">
        <f>$E$41</f>
        <v>58126.108834759696</v>
      </c>
    </row>
    <row r="54" spans="4:8" ht="20.100000000000001" customHeight="1" x14ac:dyDescent="0.25">
      <c r="D54" s="61" t="str">
        <v>EF_N2O</v>
      </c>
      <c r="E54" s="62" t="str">
        <v>nitrous oxide emission factor for atmospheric deposition : kg N2O-N/kg N</v>
      </c>
      <c r="F54" s="63"/>
      <c r="G54" s="61"/>
      <c r="H54" s="119" t="s">
        <v>313</v>
      </c>
    </row>
    <row r="55" spans="4:8" ht="20.100000000000001" customHeight="1" x14ac:dyDescent="0.25">
      <c r="D55" s="61" t="str">
        <v>C_N2O</v>
      </c>
      <c r="E55" s="62" t="str">
        <v>factor to convert elemental mass of nitrous oxide to molecular mass : ratio</v>
      </c>
      <c r="F55" s="63"/>
      <c r="G55" s="61" cm="1">
        <f t="array" ref="G55">Common_InputFunctions.Utility_LookupValueInTableNumber("N2O",#REF!,#REF!)</f>
        <v>0</v>
      </c>
    </row>
    <row r="56" spans="4:8" ht="20.100000000000001" customHeight="1" x14ac:dyDescent="0.25">
      <c r="D56" s="61" t="str">
        <v>p</v>
      </c>
      <c r="E56" s="62" t="str">
        <v>production system</v>
      </c>
      <c r="F56" s="63"/>
      <c r="G56" s="61"/>
    </row>
    <row r="57" spans="4:8" ht="20.100000000000001" customHeight="1" x14ac:dyDescent="0.25">
      <c r="D57" s="61" t="str">
        <v>r</v>
      </c>
      <c r="E57" s="62" t="str">
        <v>rainfall zone</v>
      </c>
      <c r="F57" s="63"/>
      <c r="G57" s="61" t="e">
        <f>'Input - Site'!$E$30</f>
        <v>#REF!</v>
      </c>
    </row>
    <row r="58" spans="4:8" ht="20.100000000000001" customHeight="1" x14ac:dyDescent="0.25"/>
    <row r="59" spans="4:8" ht="20.100000000000001" customHeight="1" x14ac:dyDescent="0.25"/>
    <row r="60" spans="4:8" ht="20.100000000000001" customHeight="1" x14ac:dyDescent="0.25"/>
    <row r="61" spans="4:8" ht="20.100000000000001" customHeight="1" x14ac:dyDescent="0.25"/>
    <row r="62" spans="4:8" ht="20.100000000000001" customHeight="1" x14ac:dyDescent="0.25"/>
    <row r="63" spans="4:8" ht="20.100000000000001" customHeight="1" x14ac:dyDescent="0.25">
      <c r="G63" s="135" t="s">
        <v>311</v>
      </c>
    </row>
    <row r="64" spans="4:8" ht="20.100000000000001" customHeight="1" x14ac:dyDescent="0.25">
      <c r="G64" s="136" t="s">
        <v>312</v>
      </c>
    </row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opLeftCell="A21" workbookViewId="0">
      <selection activeCell="D34" sqref="D34:F4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245</v>
      </c>
    </row>
    <row r="2" spans="1:17" s="9" customFormat="1" ht="20.100000000000001" customHeight="1" x14ac:dyDescent="0.25"/>
    <row r="3" spans="1:17" ht="20.100000000000001" customHeight="1" x14ac:dyDescent="0.25">
      <c r="A3" s="17" t="s">
        <v>0</v>
      </c>
      <c r="C3" s="4"/>
      <c r="D3" s="4" t="s">
        <v>176</v>
      </c>
      <c r="E3" s="4"/>
      <c r="F3" s="4"/>
      <c r="G3" s="4"/>
      <c r="H3" s="4"/>
      <c r="I3" s="4"/>
      <c r="K3" s="4"/>
      <c r="L3" s="4" t="s">
        <v>177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29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Production'!A1", "Production and outputs")</f>
        <v>Production and outputs</v>
      </c>
    </row>
    <row r="9" spans="1:17" ht="20.100000000000001" customHeight="1" x14ac:dyDescent="0.25">
      <c r="A9" s="17" t="str">
        <f>HYPERLINK("#'Input - Herd - Dairy'!A1", "Herd - Dairy")</f>
        <v>Herd - Dairy</v>
      </c>
      <c r="D9" s="6"/>
    </row>
    <row r="10" spans="1:17" ht="20.100000000000001" customHeight="1" x14ac:dyDescent="0.25">
      <c r="A10" s="17" t="str">
        <f>HYPERLINK("#'Input - Feed - Dairy'!A1", "Purchased feed - Livestock")</f>
        <v>Purchased feed - Livestock</v>
      </c>
    </row>
    <row r="11" spans="1:17" ht="20.100000000000001" customHeight="1" x14ac:dyDescent="0.25">
      <c r="A11" s="17" t="str">
        <f>HYPERLINK("#'Input - Herd - Feedlot'!A1", "Herd - Feedlot")</f>
        <v>Herd - Feedlot</v>
      </c>
      <c r="D11" s="57" t="s">
        <v>32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HYPERLINK("#'Input - Pasture'!A1", "Pasture")</f>
        <v>Pasture</v>
      </c>
      <c r="D12" s="57" t="s">
        <v>22</v>
      </c>
      <c r="E12" s="58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HYPERLINK("#'Input - Grains'!A1", "Crop - Grains")</f>
        <v>Crop - Grains</v>
      </c>
    </row>
    <row r="14" spans="1:17" ht="20.100000000000001" customHeight="1" x14ac:dyDescent="0.25">
      <c r="A14" s="17" t="str">
        <f>HYPERLINK("#'Input - Fert Lime Chem'!A1", "Fertiliser, Lime &amp; Chemicals")</f>
        <v>Fertiliser, Lime &amp; Chemicals</v>
      </c>
      <c r="D14" s="61" t="str" cm="1">
        <f t="array" ref="D14:E17">MMS_Feedlot_ManureAppliedToSoils_Equations.VEERG_4_1_1_9__1_MassOfNitrogenAppliedToSoilsScope1_Arguments()</f>
        <v>MN_jmT23</v>
      </c>
      <c r="E14" s="62" t="str">
        <v>mass of N in secondary and tertiary treatment MMS stages as calculated for manure management : kg N</v>
      </c>
      <c r="F14" s="109"/>
      <c r="G14" s="63"/>
      <c r="H14" s="61" t="str">
        <f>"See " &amp; $D$19</f>
        <v>See M1_Table_MN_j_m_T-2-3</v>
      </c>
    </row>
    <row r="15" spans="1:17" ht="20.100000000000001" customHeight="1" x14ac:dyDescent="0.25">
      <c r="A15" s="17" t="str">
        <f>HYPERLINK("#'Input - Fuel &amp; Energy'!A1", "Electricity and fuel")</f>
        <v>Electricity and fuel</v>
      </c>
      <c r="D15" s="61" t="str">
        <v>EF_mT23</v>
      </c>
      <c r="E15" s="62" t="str">
        <v>nitrous oxide emission factor for each MMS : kg N2O-N/kg N</v>
      </c>
      <c r="F15" s="109"/>
      <c r="G15" s="63"/>
      <c r="H15" s="61" t="str">
        <f>"See " &amp; $D$26</f>
        <v>See Table_EF_j_m_T-2-3</v>
      </c>
    </row>
    <row r="16" spans="1:17" ht="20.100000000000001" customHeight="1" x14ac:dyDescent="0.25">
      <c r="A16" s="71" t="s">
        <v>81</v>
      </c>
      <c r="D16" s="61" t="str">
        <v>FracGASM_mT23</v>
      </c>
      <c r="E16" s="62" t="str">
        <v>fraction of animal waste N volatilised in each MMS for each cattle group : (kg NH3-N + NOx-N)/kg N</v>
      </c>
      <c r="F16" s="109"/>
      <c r="G16" s="63"/>
      <c r="H16" s="61" t="str">
        <f>"See " &amp; $D$34</f>
        <v>See Table_FracGASM_m_T-2-3</v>
      </c>
    </row>
    <row r="17" spans="1:16" ht="20.100000000000001" customHeight="1" x14ac:dyDescent="0.25">
      <c r="A17" s="71" t="s">
        <v>77</v>
      </c>
      <c r="D17" s="61" t="str">
        <v>PF</v>
      </c>
      <c r="E17" s="62" t="str">
        <v>fraction of manure applied to soil within the feedlot boundary : fraction</v>
      </c>
      <c r="F17" s="109"/>
      <c r="G17" s="63"/>
      <c r="H17" s="61" t="str">
        <f>"See " &amp; $D$42</f>
        <v>See Table_PF</v>
      </c>
    </row>
    <row r="18" spans="1:16" ht="20.100000000000001" customHeight="1" x14ac:dyDescent="0.25">
      <c r="A18" s="17" t="str">
        <f>HYPERLINK("#'Input - Other Farm Inputs'!A1", "Other farm inputs")</f>
        <v>Other farm inputs</v>
      </c>
    </row>
    <row r="19" spans="1:16" ht="20.100000000000001" customHeight="1" x14ac:dyDescent="0.25">
      <c r="A19" s="17" t="str">
        <f>HYPERLINK("#'Input - Data quality'!A1", "Data quality")</f>
        <v>Data quality</v>
      </c>
      <c r="D19" s="106" t="s">
        <v>247</v>
      </c>
      <c r="L19" s="106" t="s">
        <v>256</v>
      </c>
    </row>
    <row r="20" spans="1:16" ht="20.100000000000001" customHeight="1" x14ac:dyDescent="0.25">
      <c r="D20" s="105" t="s">
        <v>258</v>
      </c>
      <c r="L20" s="105" t="s">
        <v>257</v>
      </c>
    </row>
    <row r="21" spans="1:16" ht="20.100000000000001" customHeight="1" x14ac:dyDescent="0.25">
      <c r="A21" s="19" t="s">
        <v>79</v>
      </c>
      <c r="D21" s="55" t="s">
        <v>70</v>
      </c>
      <c r="E21" s="55" t="s">
        <v>152</v>
      </c>
      <c r="F21" s="55" t="s">
        <v>153</v>
      </c>
      <c r="G21" s="55" t="s">
        <v>154</v>
      </c>
      <c r="L21" s="55" t="s">
        <v>70</v>
      </c>
      <c r="M21" s="55" t="s">
        <v>152</v>
      </c>
      <c r="N21" s="55" t="s">
        <v>153</v>
      </c>
      <c r="O21" s="55" t="s">
        <v>154</v>
      </c>
    </row>
    <row r="22" spans="1:16" ht="20.100000000000001" customHeight="1" x14ac:dyDescent="0.25">
      <c r="A22" s="71" t="s">
        <v>1</v>
      </c>
      <c r="D22" s="56" t="str">
        <f>'Input - MMS - Feedlot'!$D$35</f>
        <v>Solid storage</v>
      </c>
      <c r="E22" s="56">
        <f>'4.1.1.3-4 Direct N20'!$E$173</f>
        <v>5376.5434404864027</v>
      </c>
      <c r="F22" s="56">
        <f>'4.1.1.3-4 Direct N20'!$F$173</f>
        <v>189.8737956864</v>
      </c>
      <c r="G22" s="56">
        <f>'4.1.1.3-4 Direct N20'!$G$173</f>
        <v>274.24316159999995</v>
      </c>
      <c r="H22" s="2" t="s">
        <v>246</v>
      </c>
      <c r="L22" s="56" t="str">
        <f>'Input - MMS - Feedlot'!$D$35</f>
        <v>Solid storage</v>
      </c>
      <c r="M22" s="56">
        <f>'4.1.1.3-4 Direct N20'!$M$173</f>
        <v>5376.5434404864027</v>
      </c>
      <c r="N22" s="56">
        <f>'4.1.1.3-4 Direct N20'!$N$173</f>
        <v>189.8737956864</v>
      </c>
      <c r="O22" s="56">
        <f>'4.1.1.3-4 Direct N20'!$O$173</f>
        <v>274.24316159999995</v>
      </c>
      <c r="P22" s="2" t="s">
        <v>246</v>
      </c>
    </row>
    <row r="23" spans="1:16" ht="20.100000000000001" customHeight="1" x14ac:dyDescent="0.25">
      <c r="A23" s="71" t="s">
        <v>78</v>
      </c>
      <c r="D23" s="56" t="str">
        <f>'Input - MMS - Feedlot'!$D$36</f>
        <v>Composting (passive windrow)</v>
      </c>
      <c r="E23" s="56">
        <f>'4.1.1.3-4 Direct N20'!$E$174</f>
        <v>21506.173761945611</v>
      </c>
      <c r="F23" s="56">
        <f>'4.1.1.3-4 Direct N20'!$F$174</f>
        <v>759.4951827456</v>
      </c>
      <c r="G23" s="56">
        <f>'4.1.1.3-4 Direct N20'!$G$174</f>
        <v>1096.9726463999998</v>
      </c>
      <c r="H23" s="2" t="s">
        <v>246</v>
      </c>
      <c r="L23" s="56" t="str">
        <f>'Input - MMS - Feedlot'!$D$36</f>
        <v>Composting (passive windrow)</v>
      </c>
      <c r="M23" s="56">
        <f>'4.1.1.3-4 Direct N20'!$M$174</f>
        <v>21506.173761945611</v>
      </c>
      <c r="N23" s="56">
        <f>'4.1.1.3-4 Direct N20'!$N$174</f>
        <v>759.4951827456</v>
      </c>
      <c r="O23" s="56">
        <f>'4.1.1.3-4 Direct N20'!$O$174</f>
        <v>1096.9726463999998</v>
      </c>
      <c r="P23" s="2" t="s">
        <v>246</v>
      </c>
    </row>
    <row r="24" spans="1:16" ht="20.100000000000001" customHeight="1" x14ac:dyDescent="0.25">
      <c r="A24" s="17" t="str">
        <f>HYPERLINK("#'Calcs - Fert Lime'!A1", "Fertiliser &amp; soil amendments")</f>
        <v>Fertiliser &amp; soil amendments</v>
      </c>
      <c r="D24" s="56" t="str">
        <f>'Input - MMS - Feedlot'!$D$41</f>
        <v>Anaerobic lagoon</v>
      </c>
      <c r="E24" s="56">
        <f>'4.1.1.3-4 Direct N20'!$E$129</f>
        <v>1435.2758784000005</v>
      </c>
      <c r="F24" s="56">
        <f>'4.1.1.3-4 Direct N20'!$F$129</f>
        <v>50.687078400000004</v>
      </c>
      <c r="G24" s="56">
        <f>'4.1.1.3-4 Direct N20'!$G$129</f>
        <v>73.20959999999998</v>
      </c>
      <c r="H24" s="2" t="s">
        <v>246</v>
      </c>
      <c r="L24" s="56" t="str">
        <f>'Input - MMS - Feedlot'!$D$41</f>
        <v>Anaerobic lagoon</v>
      </c>
      <c r="M24" s="56">
        <f>'4.1.1.3-4 Direct N20'!$M$129</f>
        <v>1435.2758784000005</v>
      </c>
      <c r="N24" s="56">
        <f>'4.1.1.3-4 Direct N20'!$N$129</f>
        <v>50.687078400000004</v>
      </c>
      <c r="O24" s="56">
        <f>'4.1.1.3-4 Direct N20'!$O$129</f>
        <v>73.20959999999998</v>
      </c>
      <c r="P24" s="2" t="s">
        <v>246</v>
      </c>
    </row>
    <row r="25" spans="1:16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6" ht="20.100000000000001" customHeight="1" x14ac:dyDescent="0.25">
      <c r="A26" s="17" t="str">
        <f>HYPERLINK("#'Calcs - Residue mgmt - Pasture'!A1", "Residue management - Pasture")</f>
        <v>Residue management - Pasture</v>
      </c>
      <c r="D26" s="106" t="s">
        <v>249</v>
      </c>
    </row>
    <row r="27" spans="1:16" ht="20.100000000000001" customHeight="1" x14ac:dyDescent="0.25">
      <c r="A27" s="17" t="str">
        <f>HYPERLINK("#'Calcs - Field burning'!A1", "Field burning - Crop")</f>
        <v>Field burning - Crop</v>
      </c>
      <c r="D27" s="105" t="s">
        <v>189</v>
      </c>
    </row>
    <row r="28" spans="1:16" ht="20.100000000000001" customHeight="1" x14ac:dyDescent="0.25">
      <c r="A28" s="17" t="str">
        <f>HYPERLINK("#'Calcs - Fuel'!A1", "Fuel")</f>
        <v>Fuel</v>
      </c>
      <c r="D28" s="123" t="s">
        <v>70</v>
      </c>
      <c r="E28" s="123" t="s">
        <v>190</v>
      </c>
    </row>
    <row r="29" spans="1:16" ht="20.100000000000001" customHeight="1" x14ac:dyDescent="0.25">
      <c r="A29" s="17" t="str">
        <f>HYPERLINK("#'Calcs - Electricity'!A1", "Electricity")</f>
        <v>Electricity</v>
      </c>
      <c r="D29" s="56" t="str">
        <f>'Input - MMS - Feedlot'!$D$29</f>
        <v>Drylot (feed pad)</v>
      </c>
      <c r="E29" s="56">
        <f>_xlfn.XLOOKUP(D29, Table_SourceData_Feedlot_NO2EFs[NIR definition], Table_SourceData_Feedlot_NO2EFs[EF mT])</f>
        <v>5.4000000000000003E-3</v>
      </c>
      <c r="F29" s="2" t="s">
        <v>254</v>
      </c>
    </row>
    <row r="30" spans="1:16" ht="20.100000000000001" customHeight="1" x14ac:dyDescent="0.25">
      <c r="A30" s="17" t="str">
        <f>HYPERLINK("#'Calcs - Refrigerants'!A1", "Refrigerants")</f>
        <v>Refrigerants</v>
      </c>
      <c r="D30" s="56" t="str">
        <f>'Input - MMS - Feedlot'!$D$35</f>
        <v>Solid storage</v>
      </c>
      <c r="E30" s="56">
        <f>_xlfn.XLOOKUP($D$30, Table_SourceData_Feedlot_NO2EFs[NIR definition], Table_SourceData_Feedlot_NO2EFs[EF mT])</f>
        <v>5.0000000000000001E-3</v>
      </c>
      <c r="F30" s="2" t="s">
        <v>254</v>
      </c>
    </row>
    <row r="31" spans="1:16" ht="20.100000000000001" customHeight="1" x14ac:dyDescent="0.25">
      <c r="A31" s="71" t="s">
        <v>81</v>
      </c>
      <c r="D31" s="56" t="str">
        <f>'Input - MMS - Feedlot'!$D$36</f>
        <v>Composting (passive windrow)</v>
      </c>
      <c r="E31" s="56">
        <f>_xlfn.XLOOKUP($D$31, Table_SourceData_Feedlot_NO2EFs[NIR definition], Table_SourceData_Feedlot_NO2EFs[EF mT])</f>
        <v>0.01</v>
      </c>
      <c r="F31" s="2" t="s">
        <v>254</v>
      </c>
    </row>
    <row r="32" spans="1:16" ht="20.100000000000001" customHeight="1" x14ac:dyDescent="0.25">
      <c r="A32" s="71" t="s">
        <v>77</v>
      </c>
      <c r="D32" s="56" t="str">
        <f>'Input - MMS - Feedlot'!$D$41</f>
        <v>Anaerobic lagoon</v>
      </c>
      <c r="E32" s="56">
        <f>_xlfn.XLOOKUP($D$32, Table_SourceData_Feedlot_NO2EFs[NIR definition], Table_SourceData_Feedlot_NO2EFs[EF mT])</f>
        <v>0</v>
      </c>
      <c r="F32" s="2" t="s">
        <v>254</v>
      </c>
    </row>
    <row r="33" spans="1:8" ht="20.100000000000001" customHeight="1" x14ac:dyDescent="0.25">
      <c r="A33" s="17" t="str">
        <f>HYPERLINK("#'Calcs - Scope 3'!A1", "Purchased goods scope 3")</f>
        <v>Purchased goods scope 3</v>
      </c>
    </row>
    <row r="34" spans="1:8" ht="20.100000000000001" customHeight="1" x14ac:dyDescent="0.25">
      <c r="D34" s="106" t="s">
        <v>248</v>
      </c>
    </row>
    <row r="35" spans="1:8" ht="20.100000000000001" customHeight="1" x14ac:dyDescent="0.25">
      <c r="A35" s="18" t="s">
        <v>4</v>
      </c>
      <c r="D35" s="105" t="s">
        <v>250</v>
      </c>
    </row>
    <row r="36" spans="1:8" ht="20.100000000000001" customHeight="1" x14ac:dyDescent="0.25">
      <c r="A36" s="17" t="str">
        <f>HYPERLINK("#'Constants - Common'!A1", "Constants - Common")</f>
        <v>Constants - Common</v>
      </c>
      <c r="D36" s="123" t="s">
        <v>70</v>
      </c>
      <c r="E36" s="123" t="s">
        <v>190</v>
      </c>
    </row>
    <row r="37" spans="1:8" ht="20.100000000000001" customHeight="1" x14ac:dyDescent="0.25">
      <c r="A37" s="17" t="str">
        <f>HYPERLINK("#'Constants - Cropping'!A1", "Constants - Cropping")</f>
        <v>Constants - Cropping</v>
      </c>
      <c r="D37" s="56" t="str">
        <f>'Input - MMS - Feedlot'!$D$29</f>
        <v>Drylot (feed pad)</v>
      </c>
      <c r="E37" s="56">
        <f>_xlfn.XLOOKUP(D37, Table_SourceData_Feedlot_FracGASMmT[NIR definition], Table_SourceData_Feedlot_FracGASMmT[FracGASMmT])</f>
        <v>0.6</v>
      </c>
      <c r="F37" s="2" t="s">
        <v>255</v>
      </c>
    </row>
    <row r="38" spans="1:8" ht="20.100000000000001" customHeight="1" x14ac:dyDescent="0.25">
      <c r="A38" s="17" t="str">
        <f>HYPERLINK("#'Constants - Livestock'!A1", "Constants - Livestock")</f>
        <v>Constants - Livestock</v>
      </c>
      <c r="D38" s="56" t="str">
        <f>'Input - MMS - Feedlot'!$D$35</f>
        <v>Solid storage</v>
      </c>
      <c r="E38" s="56">
        <f>_xlfn.XLOOKUP(D38, Table_SourceData_Feedlot_FracGASMmT[NIR definition], Table_SourceData_Feedlot_FracGASMmT[FracGASMmT])</f>
        <v>0.25</v>
      </c>
      <c r="F38" s="2" t="s">
        <v>255</v>
      </c>
    </row>
    <row r="39" spans="1:8" ht="20.100000000000001" customHeight="1" x14ac:dyDescent="0.25">
      <c r="A39" s="17" t="str">
        <f>HYPERLINK("#'Constants - Dairy'!A1", "Constants - Dairy")</f>
        <v>Constants - Dairy</v>
      </c>
      <c r="D39" s="56" t="str">
        <f>'Input - MMS - Feedlot'!$D$36</f>
        <v>Composting (passive windrow)</v>
      </c>
      <c r="E39" s="56">
        <f>_xlfn.XLOOKUP(D39, Table_SourceData_Feedlot_FracGASMmT[NIR definition], Table_SourceData_Feedlot_FracGASMmT[FracGASMmT])</f>
        <v>0.4</v>
      </c>
      <c r="F39" s="2" t="s">
        <v>255</v>
      </c>
    </row>
    <row r="40" spans="1:8" ht="20.100000000000001" customHeight="1" x14ac:dyDescent="0.25">
      <c r="A40" s="71" t="s">
        <v>2</v>
      </c>
      <c r="D40" s="56" t="str">
        <f>'Input - MMS - Feedlot'!$D$41</f>
        <v>Anaerobic lagoon</v>
      </c>
      <c r="E40" s="56">
        <f>_xlfn.XLOOKUP(D40, Table_SourceData_Feedlot_FracGASMmT[NIR definition], Table_SourceData_Feedlot_FracGASMmT[FracGASMmT])</f>
        <v>0.35</v>
      </c>
      <c r="F40" s="2" t="s">
        <v>255</v>
      </c>
    </row>
    <row r="41" spans="1:8" ht="20.100000000000001" customHeight="1" x14ac:dyDescent="0.25">
      <c r="A41" s="48"/>
    </row>
    <row r="42" spans="1:8" ht="20.100000000000001" customHeight="1" x14ac:dyDescent="0.25">
      <c r="D42" s="106" t="s">
        <v>251</v>
      </c>
    </row>
    <row r="43" spans="1:8" ht="20.100000000000001" customHeight="1" x14ac:dyDescent="0.25">
      <c r="D43" s="105" t="s">
        <v>252</v>
      </c>
    </row>
    <row r="44" spans="1:8" ht="20.100000000000001" customHeight="1" x14ac:dyDescent="0.25">
      <c r="D44" s="55" t="s">
        <v>70</v>
      </c>
      <c r="E44" s="55" t="s">
        <v>152</v>
      </c>
      <c r="F44" s="55" t="s">
        <v>153</v>
      </c>
      <c r="G44" s="55" t="s">
        <v>154</v>
      </c>
    </row>
    <row r="45" spans="1:8" ht="20.100000000000001" customHeight="1" x14ac:dyDescent="0.25">
      <c r="D45" s="56" t="str">
        <f>'Input - MMS - Feedlot'!$D$35</f>
        <v>Solid storage</v>
      </c>
      <c r="E45" s="56">
        <f>'Input - MMS - Feedlot'!E49</f>
        <v>0.5</v>
      </c>
      <c r="F45" s="56">
        <f>'Input - MMS - Feedlot'!F49</f>
        <v>0.5</v>
      </c>
      <c r="G45" s="56">
        <f>'Input - MMS - Feedlot'!G49</f>
        <v>0.5</v>
      </c>
      <c r="H45" s="2" t="s">
        <v>103</v>
      </c>
    </row>
    <row r="46" spans="1:8" ht="20.100000000000001" customHeight="1" x14ac:dyDescent="0.25">
      <c r="D46" s="56" t="str">
        <f>'Input - MMS - Feedlot'!$D$36</f>
        <v>Composting (passive windrow)</v>
      </c>
      <c r="E46" s="56">
        <f>'Input - MMS - Feedlot'!E54</f>
        <v>0.5</v>
      </c>
      <c r="F46" s="56">
        <f>'Input - MMS - Feedlot'!F54</f>
        <v>0.5</v>
      </c>
      <c r="G46" s="56">
        <f>'Input - MMS - Feedlot'!G54</f>
        <v>0.5</v>
      </c>
      <c r="H46" s="2" t="s">
        <v>103</v>
      </c>
    </row>
    <row r="47" spans="1:8" ht="20.100000000000001" customHeight="1" x14ac:dyDescent="0.25">
      <c r="D47" s="56" t="str">
        <f>'Input - MMS - Feedlot'!$D$41</f>
        <v>Anaerobic lagoon</v>
      </c>
      <c r="E47" s="56">
        <f>'Input - MMS - Feedlot'!E59</f>
        <v>0.5</v>
      </c>
      <c r="F47" s="56">
        <f>'Input - MMS - Feedlot'!F59</f>
        <v>0.5</v>
      </c>
      <c r="G47" s="56">
        <f>'Input - MMS - Feedlot'!G59</f>
        <v>0.5</v>
      </c>
      <c r="H47" s="2" t="s">
        <v>103</v>
      </c>
    </row>
    <row r="48" spans="1:8" ht="20.100000000000001" customHeight="1" x14ac:dyDescent="0.25"/>
    <row r="49" spans="3:17" ht="20.100000000000001" customHeight="1" x14ac:dyDescent="0.25">
      <c r="D49" s="106" t="s">
        <v>259</v>
      </c>
      <c r="L49" s="106" t="s">
        <v>273</v>
      </c>
    </row>
    <row r="50" spans="3:17" ht="20.100000000000001" customHeight="1" x14ac:dyDescent="0.25">
      <c r="D50" s="105" t="s">
        <v>275</v>
      </c>
      <c r="L50" s="105" t="s">
        <v>274</v>
      </c>
    </row>
    <row r="51" spans="3:17" ht="20.100000000000001" customHeight="1" x14ac:dyDescent="0.25">
      <c r="D51" s="55" t="s">
        <v>70</v>
      </c>
      <c r="E51" s="55" t="s">
        <v>152</v>
      </c>
      <c r="F51" s="55" t="s">
        <v>153</v>
      </c>
      <c r="G51" s="55" t="s">
        <v>154</v>
      </c>
      <c r="L51" s="55" t="s">
        <v>70</v>
      </c>
      <c r="M51" s="55" t="s">
        <v>152</v>
      </c>
      <c r="N51" s="55" t="s">
        <v>153</v>
      </c>
      <c r="O51" s="55" t="s">
        <v>154</v>
      </c>
    </row>
    <row r="52" spans="3:17" ht="20.100000000000001" customHeight="1" x14ac:dyDescent="0.25">
      <c r="D52" s="56" t="str">
        <f>'Input - MMS - Feedlot'!$D$35</f>
        <v>Solid storage</v>
      </c>
      <c r="E52" s="56" cm="1">
        <f t="array" ref="E52">MMS_Feedlot_ManureAppliedToSoils_Equations.VEERG_4_1_1_9__1_MassOfNitrogenAppliedToSoilsScope1(E22,$E$30,$E$38,E45)</f>
        <v>2002.762431581185</v>
      </c>
      <c r="F52" s="56" cm="1">
        <f t="array" ref="F52">MMS_Feedlot_ManureAppliedToSoils_Equations.VEERG_4_1_1_9__1_MassOfNitrogenAppliedToSoilsScope1(F22,$E$30,$E$38,F45)</f>
        <v>70.727988893184005</v>
      </c>
      <c r="G52" s="56" cm="1">
        <f t="array" ref="G52">MMS_Feedlot_ManureAppliedToSoils_Equations.VEERG_4_1_1_9__1_MassOfNitrogenAppliedToSoilsScope1(G22,$E$30,$E$38,G45)</f>
        <v>102.15557769599998</v>
      </c>
      <c r="H52" s="2" t="str">
        <f>$E$12</f>
        <v>kg N</v>
      </c>
      <c r="L52" s="56" t="str">
        <f>'Input - MMS - Feedlot'!$D$35</f>
        <v>Solid storage</v>
      </c>
      <c r="M52" s="56" cm="1">
        <f t="array" ref="M52">MMS_Feedlot_ManureAppliedToSoils_Equations.VEERG_4_1_1_9__1_MassOfNitrogenAppliedToSoilsScope1(M22,$E$30,$E$38,E45)</f>
        <v>2002.762431581185</v>
      </c>
      <c r="N52" s="56" cm="1">
        <f t="array" ref="N52">MMS_Feedlot_ManureAppliedToSoils_Equations.VEERG_4_1_1_9__1_MassOfNitrogenAppliedToSoilsScope1(N22,$E$30,$E$38,F45)</f>
        <v>70.727988893184005</v>
      </c>
      <c r="O52" s="56" cm="1">
        <f t="array" ref="O52">MMS_Feedlot_ManureAppliedToSoils_Equations.VEERG_4_1_1_9__1_MassOfNitrogenAppliedToSoilsScope1(O22,$E$30,$E$38,G45)</f>
        <v>102.15557769599998</v>
      </c>
      <c r="P52" s="2" t="str">
        <f>$E$12</f>
        <v>kg N</v>
      </c>
    </row>
    <row r="53" spans="3:17" ht="20.100000000000001" customHeight="1" x14ac:dyDescent="0.25">
      <c r="D53" s="56" t="str">
        <f>'Input - MMS - Feedlot'!$D$36</f>
        <v>Composting (passive windrow)</v>
      </c>
      <c r="E53" s="56" cm="1">
        <f t="array" ref="E53">MMS_Feedlot_ManureAppliedToSoils_Equations.VEERG_4_1_1_9__1_MassOfNitrogenAppliedToSoilsScope1(E23,$E$31,$E$39,E46)</f>
        <v>6344.3212597739548</v>
      </c>
      <c r="F53" s="56" cm="1">
        <f t="array" ref="F53">MMS_Feedlot_ManureAppliedToSoils_Equations.VEERG_4_1_1_9__1_MassOfNitrogenAppliedToSoilsScope1(F23,$E$31,$E$39,F46)</f>
        <v>224.051078909952</v>
      </c>
      <c r="G53" s="56" cm="1">
        <f t="array" ref="G53">MMS_Feedlot_ManureAppliedToSoils_Equations.VEERG_4_1_1_9__1_MassOfNitrogenAppliedToSoilsScope1(G23,$E$31,$E$39,G46)</f>
        <v>323.60693068799992</v>
      </c>
      <c r="H53" s="2" t="str">
        <f>$E$12</f>
        <v>kg N</v>
      </c>
      <c r="L53" s="56" t="str">
        <f>'Input - MMS - Feedlot'!$D$36</f>
        <v>Composting (passive windrow)</v>
      </c>
      <c r="M53" s="56" cm="1">
        <f t="array" ref="M53">MMS_Feedlot_ManureAppliedToSoils_Equations.VEERG_4_1_1_9__1_MassOfNitrogenAppliedToSoilsScope1(M23,$E$31,$E$39,E46)</f>
        <v>6344.3212597739548</v>
      </c>
      <c r="N53" s="56" cm="1">
        <f t="array" ref="N53">MMS_Feedlot_ManureAppliedToSoils_Equations.VEERG_4_1_1_9__1_MassOfNitrogenAppliedToSoilsScope1(N23,$E$31,$E$39,F46)</f>
        <v>224.051078909952</v>
      </c>
      <c r="O53" s="56" cm="1">
        <f t="array" ref="O53">MMS_Feedlot_ManureAppliedToSoils_Equations.VEERG_4_1_1_9__1_MassOfNitrogenAppliedToSoilsScope1(O23,$E$31,$E$39,G46)</f>
        <v>323.60693068799992</v>
      </c>
      <c r="P53" s="2" t="str">
        <f>$E$12</f>
        <v>kg N</v>
      </c>
    </row>
    <row r="54" spans="3:17" ht="20.100000000000001" customHeight="1" x14ac:dyDescent="0.25">
      <c r="D54" s="56" t="str">
        <f>'Input - MMS - Feedlot'!$D$41</f>
        <v>Anaerobic lagoon</v>
      </c>
      <c r="E54" s="56" cm="1">
        <f t="array" ref="E54">MMS_Feedlot_ManureAppliedToSoils_Equations.VEERG_4_1_1_9__1_MassOfNitrogenAppliedToSoilsScope1(E24,$E$32,$E$40,E47)</f>
        <v>466.46466048000019</v>
      </c>
      <c r="F54" s="56" cm="1">
        <f t="array" ref="F54">MMS_Feedlot_ManureAppliedToSoils_Equations.VEERG_4_1_1_9__1_MassOfNitrogenAppliedToSoilsScope1(F24,$E$32,$E$40,F47)</f>
        <v>16.473300480000002</v>
      </c>
      <c r="G54" s="56" cm="1">
        <f t="array" ref="G54">MMS_Feedlot_ManureAppliedToSoils_Equations.VEERG_4_1_1_9__1_MassOfNitrogenAppliedToSoilsScope1(G24,$E$32,$E$40,G47)</f>
        <v>23.793119999999995</v>
      </c>
      <c r="H54" s="2" t="str">
        <f>$E$12</f>
        <v>kg N</v>
      </c>
      <c r="L54" s="56" t="str">
        <f>'Input - MMS - Feedlot'!$D$41</f>
        <v>Anaerobic lagoon</v>
      </c>
      <c r="M54" s="56" cm="1">
        <f t="array" ref="M54">MMS_Feedlot_ManureAppliedToSoils_Equations.VEERG_4_1_1_9__1_MassOfNitrogenAppliedToSoilsScope1(M24,$E$32,$E$40,E47)</f>
        <v>466.46466048000019</v>
      </c>
      <c r="N54" s="56" cm="1">
        <f t="array" ref="N54">MMS_Feedlot_ManureAppliedToSoils_Equations.VEERG_4_1_1_9__1_MassOfNitrogenAppliedToSoilsScope1(N24,$E$32,$E$40,F47)</f>
        <v>16.473300480000002</v>
      </c>
      <c r="O54" s="56" cm="1">
        <f t="array" ref="O54">MMS_Feedlot_ManureAppliedToSoils_Equations.VEERG_4_1_1_9__1_MassOfNitrogenAppliedToSoilsScope1(O24,$E$32,$E$40,G47)</f>
        <v>23.793119999999995</v>
      </c>
      <c r="P54" s="2" t="str">
        <f>$E$12</f>
        <v>kg N</v>
      </c>
    </row>
    <row r="55" spans="3:17" ht="20.100000000000001" customHeight="1" x14ac:dyDescent="0.25"/>
    <row r="56" spans="3:17" ht="20.100000000000001" customHeight="1" x14ac:dyDescent="0.25">
      <c r="D56" s="112" t="s">
        <v>260</v>
      </c>
      <c r="E56" s="113">
        <f>SUM(E52:G54)</f>
        <v>9574.3563485022751</v>
      </c>
      <c r="F56" s="114" t="str">
        <f>$E$12</f>
        <v>kg N</v>
      </c>
      <c r="L56" s="112" t="s">
        <v>260</v>
      </c>
      <c r="M56" s="113">
        <f>SUM(M52:O54)</f>
        <v>9574.3563485022751</v>
      </c>
      <c r="N56" s="114" t="str">
        <f>$E$12</f>
        <v>kg N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9"/>
      <c r="D59" s="49"/>
      <c r="E59" s="49"/>
      <c r="F59" s="49"/>
      <c r="G59" s="49"/>
      <c r="H59" s="49"/>
      <c r="I59" s="49"/>
      <c r="K59" s="49"/>
      <c r="L59" s="49"/>
      <c r="M59" s="49"/>
      <c r="N59" s="49"/>
      <c r="O59" s="49"/>
      <c r="P59" s="49"/>
      <c r="Q59" s="49"/>
    </row>
    <row r="60" spans="3:17" ht="20.100000000000001" customHeight="1" x14ac:dyDescent="0.25">
      <c r="D60" s="6" t="str" cm="1">
        <f t="array" ref="D60">MMS_Feedlot_ManureAppliedToSoils_Equations.VEERG_4_1_1_9__2_MassOfNitrogenAppliedToSoilsScope3_Title()</f>
        <v>Mass of nitrogen applied to soils for scope 3 emissions</v>
      </c>
    </row>
    <row r="61" spans="3:17" ht="20.100000000000001" customHeight="1" x14ac:dyDescent="0.25">
      <c r="D61" s="5" t="str" cm="1">
        <f t="array" ref="D61">MMS_Feedlot_ManureAppliedToSoils_Equations.VEERG_4_1_1_9__2_MassOfNitrogenAppliedToSoilsScope3_Source()</f>
        <v>VEERG 2026: 4.1.1.9, Equation (2)</v>
      </c>
    </row>
    <row r="62" spans="3:17" ht="20.100000000000001" customHeight="1" x14ac:dyDescent="0.25">
      <c r="D62" s="13" t="s">
        <v>29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7" t="s">
        <v>32</v>
      </c>
      <c r="E66" s="1" t="str" cm="1">
        <f t="array" ref="E66">MMS_Feedlot_ManureAppliedToSoils_Equations.VEERG_4_1_1_9__2_MassOfNitrogenAppliedToSoilsScope3_Variable()</f>
        <v>MNSoil_scope3</v>
      </c>
    </row>
    <row r="67" spans="4:16" ht="20.100000000000001" customHeight="1" x14ac:dyDescent="0.25">
      <c r="D67" s="57" t="s">
        <v>22</v>
      </c>
      <c r="E67" s="58" t="str" cm="1">
        <f t="array" ref="E67">MMS_Feedlot_ManureAppliedToSoils_Equations.VEERG_4_1_1_9__2_MassOfNitrogenAppliedToSoilsScope3_Unit()</f>
        <v>kg N</v>
      </c>
    </row>
    <row r="68" spans="4:16" ht="20.100000000000001" customHeight="1" x14ac:dyDescent="0.25"/>
    <row r="69" spans="4:16" ht="20.100000000000001" customHeight="1" x14ac:dyDescent="0.25">
      <c r="D69" s="61" t="str" cm="1">
        <f t="array" ref="D69:E72">MMS_Feedlot_ManureAppliedToSoils_Equations.VEERG_4_1_1_9__2_MassOfNitrogenAppliedToSoilsScope3_Arguments()</f>
        <v>MN_jmT23</v>
      </c>
      <c r="E69" s="62" t="str">
        <v>mass of N in secondary and tertiary treatment MMS stages as calculated for manure management : kg N</v>
      </c>
      <c r="F69" s="109"/>
      <c r="G69" s="63"/>
      <c r="H69" s="61" t="str">
        <f>"See " &amp; $D$19</f>
        <v>See M1_Table_MN_j_m_T-2-3</v>
      </c>
    </row>
    <row r="70" spans="4:16" ht="20.100000000000001" customHeight="1" x14ac:dyDescent="0.25">
      <c r="D70" s="61" t="str">
        <v>EF_mT23</v>
      </c>
      <c r="E70" s="62" t="str">
        <v>nitrous oxide emission factor for each MMS : kg N2O-N/kg N</v>
      </c>
      <c r="F70" s="109"/>
      <c r="G70" s="63"/>
      <c r="H70" s="61" t="str">
        <f>"See " &amp; $D$26</f>
        <v>See Table_EF_j_m_T-2-3</v>
      </c>
    </row>
    <row r="71" spans="4:16" ht="20.100000000000001" customHeight="1" x14ac:dyDescent="0.25">
      <c r="D71" s="61" t="str">
        <v>FracGASM_mT23</v>
      </c>
      <c r="E71" s="62" t="str">
        <v>fraction of animal waste N volatilised in each MMS for each cattle group : (kg NH3-N + NOx-N)/kg N</v>
      </c>
      <c r="F71" s="109"/>
      <c r="G71" s="63"/>
      <c r="H71" s="61" t="str">
        <f>"See " &amp; $D$34</f>
        <v>See Table_FracGASM_m_T-2-3</v>
      </c>
    </row>
    <row r="72" spans="4:16" ht="20.100000000000001" customHeight="1" x14ac:dyDescent="0.25">
      <c r="D72" s="61" t="str">
        <v>PF</v>
      </c>
      <c r="E72" s="62" t="str">
        <v>fraction of manure applied to soil within the feedlot boundary : fraction</v>
      </c>
      <c r="F72" s="109"/>
      <c r="G72" s="63"/>
      <c r="H72" s="61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6" t="s">
        <v>264</v>
      </c>
      <c r="L74" s="106" t="s">
        <v>269</v>
      </c>
    </row>
    <row r="75" spans="4:16" ht="20.100000000000001" customHeight="1" x14ac:dyDescent="0.25">
      <c r="D75" s="105" t="s">
        <v>272</v>
      </c>
      <c r="L75" s="105" t="s">
        <v>270</v>
      </c>
    </row>
    <row r="76" spans="4:16" ht="20.100000000000001" customHeight="1" x14ac:dyDescent="0.25">
      <c r="D76" s="55" t="s">
        <v>70</v>
      </c>
      <c r="E76" s="55" t="s">
        <v>152</v>
      </c>
      <c r="F76" s="55" t="s">
        <v>153</v>
      </c>
      <c r="G76" s="55" t="s">
        <v>154</v>
      </c>
      <c r="L76" s="55" t="s">
        <v>70</v>
      </c>
      <c r="M76" s="55" t="s">
        <v>152</v>
      </c>
      <c r="N76" s="55" t="s">
        <v>153</v>
      </c>
      <c r="O76" s="55" t="s">
        <v>154</v>
      </c>
    </row>
    <row r="77" spans="4:16" ht="20.100000000000001" customHeight="1" x14ac:dyDescent="0.25">
      <c r="D77" s="56" t="str">
        <f>'Input - MMS - Feedlot'!$D$35</f>
        <v>Solid storage</v>
      </c>
      <c r="E77" s="56" cm="1">
        <f t="array" ref="E77">MMS_Feedlot_ManureAppliedToSoils_Equations.VEERG_4_1_1_9__2_MassOfNitrogenAppliedToSoilsScope3(E22,$E30,$E38,E45)</f>
        <v>2002.762431581185</v>
      </c>
      <c r="F77" s="56" cm="1">
        <f t="array" ref="F77">MMS_Feedlot_ManureAppliedToSoils_Equations.VEERG_4_1_1_9__2_MassOfNitrogenAppliedToSoilsScope3(F22,$E30,$E38,F45)</f>
        <v>70.727988893184005</v>
      </c>
      <c r="G77" s="56" cm="1">
        <f t="array" ref="G77">MMS_Feedlot_ManureAppliedToSoils_Equations.VEERG_4_1_1_9__2_MassOfNitrogenAppliedToSoilsScope3(G22,$E30,$E38,G45)</f>
        <v>102.15557769599998</v>
      </c>
      <c r="H77" s="2" t="str">
        <f>$E$12</f>
        <v>kg N</v>
      </c>
      <c r="L77" s="56" t="str">
        <f>'Input - MMS - Feedlot'!$D$35</f>
        <v>Solid storage</v>
      </c>
      <c r="M77" s="56" cm="1">
        <f t="array" ref="M77">MMS_Feedlot_ManureAppliedToSoils_Equations.VEERG_4_1_1_9__2_MassOfNitrogenAppliedToSoilsScope3(M22,$E30,$E38,E45)</f>
        <v>2002.762431581185</v>
      </c>
      <c r="N77" s="56" cm="1">
        <f t="array" ref="N77">MMS_Feedlot_ManureAppliedToSoils_Equations.VEERG_4_1_1_9__2_MassOfNitrogenAppliedToSoilsScope3(N22,$E30,$E38,F45)</f>
        <v>70.727988893184005</v>
      </c>
      <c r="O77" s="56" cm="1">
        <f t="array" ref="O77">MMS_Feedlot_ManureAppliedToSoils_Equations.VEERG_4_1_1_9__2_MassOfNitrogenAppliedToSoilsScope3(O22,$E30,$E38,G45)</f>
        <v>102.15557769599998</v>
      </c>
      <c r="P77" s="2" t="str">
        <f>$E$12</f>
        <v>kg N</v>
      </c>
    </row>
    <row r="78" spans="4:16" ht="20.100000000000001" customHeight="1" x14ac:dyDescent="0.25">
      <c r="D78" s="56" t="str">
        <f>'Input - MMS - Feedlot'!$D$36</f>
        <v>Composting (passive windrow)</v>
      </c>
      <c r="E78" s="56" cm="1">
        <f t="array" ref="E78">MMS_Feedlot_ManureAppliedToSoils_Equations.VEERG_4_1_1_9__2_MassOfNitrogenAppliedToSoilsScope3(E23,$E31,$E39,E46)</f>
        <v>6344.3212597739548</v>
      </c>
      <c r="F78" s="56" cm="1">
        <f t="array" ref="F78">MMS_Feedlot_ManureAppliedToSoils_Equations.VEERG_4_1_1_9__2_MassOfNitrogenAppliedToSoilsScope3(F23,$E31,$E39,F46)</f>
        <v>224.051078909952</v>
      </c>
      <c r="G78" s="56" cm="1">
        <f t="array" ref="G78">MMS_Feedlot_ManureAppliedToSoils_Equations.VEERG_4_1_1_9__2_MassOfNitrogenAppliedToSoilsScope3(G23,$E31,$E39,G46)</f>
        <v>323.60693068799992</v>
      </c>
      <c r="H78" s="2" t="str">
        <f>$E$12</f>
        <v>kg N</v>
      </c>
      <c r="L78" s="56" t="str">
        <f>'Input - MMS - Feedlot'!$D$36</f>
        <v>Composting (passive windrow)</v>
      </c>
      <c r="M78" s="56" cm="1">
        <f t="array" ref="M78">MMS_Feedlot_ManureAppliedToSoils_Equations.VEERG_4_1_1_9__2_MassOfNitrogenAppliedToSoilsScope3(M23,$E31,$E39,E46)</f>
        <v>6344.3212597739548</v>
      </c>
      <c r="N78" s="56" cm="1">
        <f t="array" ref="N78">MMS_Feedlot_ManureAppliedToSoils_Equations.VEERG_4_1_1_9__2_MassOfNitrogenAppliedToSoilsScope3(N23,$E31,$E39,F46)</f>
        <v>224.051078909952</v>
      </c>
      <c r="O78" s="56" cm="1">
        <f t="array" ref="O78">MMS_Feedlot_ManureAppliedToSoils_Equations.VEERG_4_1_1_9__2_MassOfNitrogenAppliedToSoilsScope3(O23,$E31,$E39,G46)</f>
        <v>323.60693068799992</v>
      </c>
      <c r="P78" s="2" t="str">
        <f>$E$12</f>
        <v>kg N</v>
      </c>
    </row>
    <row r="79" spans="4:16" ht="20.100000000000001" customHeight="1" x14ac:dyDescent="0.25">
      <c r="D79" s="56" t="str">
        <f>'Input - MMS - Feedlot'!$D$41</f>
        <v>Anaerobic lagoon</v>
      </c>
      <c r="E79" s="56" cm="1">
        <f t="array" ref="E79">MMS_Feedlot_ManureAppliedToSoils_Equations.VEERG_4_1_1_9__2_MassOfNitrogenAppliedToSoilsScope3(E24,$E32,$E40,E47)</f>
        <v>466.46466048000019</v>
      </c>
      <c r="F79" s="56" cm="1">
        <f t="array" ref="F79">MMS_Feedlot_ManureAppliedToSoils_Equations.VEERG_4_1_1_9__2_MassOfNitrogenAppliedToSoilsScope3(F24,$E32,$E40,F47)</f>
        <v>16.473300480000002</v>
      </c>
      <c r="G79" s="56" cm="1">
        <f t="array" ref="G79">MMS_Feedlot_ManureAppliedToSoils_Equations.VEERG_4_1_1_9__2_MassOfNitrogenAppliedToSoilsScope3(G24,$E32,$E40,G47)</f>
        <v>23.793119999999995</v>
      </c>
      <c r="H79" s="2" t="str">
        <f>$E$12</f>
        <v>kg N</v>
      </c>
      <c r="L79" s="56" t="str">
        <f>'Input - MMS - Feedlot'!$D$41</f>
        <v>Anaerobic lagoon</v>
      </c>
      <c r="M79" s="56" cm="1">
        <f t="array" ref="M79">MMS_Feedlot_ManureAppliedToSoils_Equations.VEERG_4_1_1_9__2_MassOfNitrogenAppliedToSoilsScope3(M24,$E32,$E40,E47)</f>
        <v>466.46466048000019</v>
      </c>
      <c r="N79" s="56" cm="1">
        <f t="array" ref="N79">MMS_Feedlot_ManureAppliedToSoils_Equations.VEERG_4_1_1_9__2_MassOfNitrogenAppliedToSoilsScope3(N24,$E32,$E40,F47)</f>
        <v>16.473300480000002</v>
      </c>
      <c r="O79" s="56" cm="1">
        <f t="array" ref="O79">MMS_Feedlot_ManureAppliedToSoils_Equations.VEERG_4_1_1_9__2_MassOfNitrogenAppliedToSoilsScope3(O24,$E32,$E40,G47)</f>
        <v>23.793119999999995</v>
      </c>
      <c r="P79" s="2" t="str">
        <f>$E$12</f>
        <v>kg N</v>
      </c>
    </row>
    <row r="80" spans="4:16" ht="20.100000000000001" customHeight="1" x14ac:dyDescent="0.25"/>
    <row r="81" spans="3:17" ht="20.100000000000001" customHeight="1" x14ac:dyDescent="0.25">
      <c r="D81" s="112" t="s">
        <v>266</v>
      </c>
      <c r="E81" s="113">
        <f>SUM(E77:G79)</f>
        <v>9574.3563485022751</v>
      </c>
      <c r="F81" s="114" t="str">
        <f>$E$12</f>
        <v>kg N</v>
      </c>
      <c r="L81" s="112" t="s">
        <v>266</v>
      </c>
      <c r="M81" s="113">
        <f>SUM(M77:O79)</f>
        <v>9574.3563485022751</v>
      </c>
      <c r="N81" s="114" t="str">
        <f>$E$12</f>
        <v>kg N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9"/>
      <c r="D84" s="49"/>
      <c r="E84" s="49"/>
      <c r="F84" s="49"/>
      <c r="G84" s="49"/>
      <c r="H84" s="49"/>
      <c r="I84" s="49"/>
      <c r="J84" s="128"/>
      <c r="K84" s="49"/>
      <c r="L84" s="49"/>
      <c r="M84" s="49"/>
      <c r="N84" s="49"/>
      <c r="O84" s="49"/>
      <c r="P84" s="49"/>
      <c r="Q84" s="49"/>
    </row>
    <row r="85" spans="3:17" ht="20.100000000000001" customHeight="1" x14ac:dyDescent="0.25">
      <c r="D85" s="125" t="str">
        <f>"Below are applications of " &amp; D61 &amp; " that are applied to the following contexts:"</f>
        <v>Below are applications of VEERG 2026: 4.1.1.9, Equation (2) that are applied to the following contexts:</v>
      </c>
      <c r="E85" s="96"/>
      <c r="F85" s="96"/>
      <c r="G85" s="96"/>
      <c r="H85" s="92"/>
    </row>
    <row r="86" spans="3:17" ht="20.100000000000001" customHeight="1" x14ac:dyDescent="0.25">
      <c r="D86" s="126" t="s">
        <v>285</v>
      </c>
      <c r="E86" s="124"/>
      <c r="F86" s="124"/>
      <c r="G86" s="124"/>
      <c r="H86" s="127"/>
    </row>
    <row r="87" spans="3:17" ht="20.100000000000001" customHeight="1" x14ac:dyDescent="0.25">
      <c r="D87" s="98" t="s">
        <v>286</v>
      </c>
      <c r="E87" s="95"/>
      <c r="F87" s="95"/>
      <c r="G87" s="95"/>
      <c r="H87" s="93"/>
    </row>
    <row r="88" spans="3:17" ht="20.100000000000001" customHeight="1" x14ac:dyDescent="0.25"/>
    <row r="89" spans="3:17" ht="20.100000000000001" customHeight="1" x14ac:dyDescent="0.25">
      <c r="D89" s="6" t="s">
        <v>282</v>
      </c>
    </row>
    <row r="90" spans="3:17" ht="20.100000000000001" customHeight="1" x14ac:dyDescent="0.25">
      <c r="D90" s="106" t="s">
        <v>262</v>
      </c>
    </row>
    <row r="91" spans="3:17" ht="20.100000000000001" customHeight="1" x14ac:dyDescent="0.25">
      <c r="D91" s="105" t="s">
        <v>263</v>
      </c>
    </row>
    <row r="92" spans="3:17" ht="20.100000000000001" customHeight="1" x14ac:dyDescent="0.25">
      <c r="D92" s="55" t="s">
        <v>70</v>
      </c>
      <c r="E92" s="55" t="s">
        <v>152</v>
      </c>
      <c r="F92" s="55" t="s">
        <v>153</v>
      </c>
      <c r="G92" s="55" t="s">
        <v>154</v>
      </c>
      <c r="H92" s="49"/>
    </row>
    <row r="93" spans="3:17" ht="20.100000000000001" customHeight="1" x14ac:dyDescent="0.25">
      <c r="D93" s="56" t="str">
        <f>'Input - MMS - Feedlot'!$D$35</f>
        <v>Solid storage</v>
      </c>
      <c r="E93" s="56">
        <f>'Input - MMS - Feedlot'!E48</f>
        <v>0.25</v>
      </c>
      <c r="F93" s="56">
        <f>'Input - MMS - Feedlot'!F48</f>
        <v>0.25</v>
      </c>
      <c r="G93" s="56">
        <f>'Input - MMS - Feedlot'!G48</f>
        <v>0.25</v>
      </c>
      <c r="H93" s="2" t="s">
        <v>103</v>
      </c>
    </row>
    <row r="94" spans="3:17" ht="20.100000000000001" customHeight="1" x14ac:dyDescent="0.25">
      <c r="D94" s="56" t="str">
        <f>'Input - MMS - Feedlot'!$D$36</f>
        <v>Composting (passive windrow)</v>
      </c>
      <c r="E94" s="56">
        <f>'Input - MMS - Feedlot'!E53</f>
        <v>0.25</v>
      </c>
      <c r="F94" s="56">
        <f>'Input - MMS - Feedlot'!F53</f>
        <v>0.25</v>
      </c>
      <c r="G94" s="56">
        <f>'Input - MMS - Feedlot'!G53</f>
        <v>0.25</v>
      </c>
      <c r="H94" s="2" t="s">
        <v>103</v>
      </c>
    </row>
    <row r="95" spans="3:17" ht="20.100000000000001" customHeight="1" x14ac:dyDescent="0.25">
      <c r="D95" s="56" t="str">
        <f>'Input - MMS - Feedlot'!$D$41</f>
        <v>Anaerobic lagoon</v>
      </c>
      <c r="E95" s="56">
        <f>'Input - MMS - Feedlot'!E58</f>
        <v>0.25</v>
      </c>
      <c r="F95" s="56">
        <f>'Input - MMS - Feedlot'!F58</f>
        <v>0.25</v>
      </c>
      <c r="G95" s="56">
        <f>'Input - MMS - Feedlot'!G58</f>
        <v>0.25</v>
      </c>
      <c r="H95" s="2" t="s">
        <v>103</v>
      </c>
    </row>
    <row r="96" spans="3:17" ht="20.100000000000001" customHeight="1" x14ac:dyDescent="0.25"/>
    <row r="97" spans="3:17" ht="20.100000000000001" customHeight="1" x14ac:dyDescent="0.25">
      <c r="D97" s="106" t="s">
        <v>265</v>
      </c>
      <c r="L97" s="106" t="s">
        <v>267</v>
      </c>
    </row>
    <row r="98" spans="3:17" ht="20.100000000000001" customHeight="1" x14ac:dyDescent="0.25">
      <c r="D98" s="105" t="s">
        <v>271</v>
      </c>
      <c r="L98" s="105" t="s">
        <v>268</v>
      </c>
    </row>
    <row r="99" spans="3:17" ht="20.100000000000001" customHeight="1" x14ac:dyDescent="0.25">
      <c r="D99" s="55" t="s">
        <v>70</v>
      </c>
      <c r="E99" s="55" t="s">
        <v>152</v>
      </c>
      <c r="F99" s="55" t="s">
        <v>153</v>
      </c>
      <c r="G99" s="55" t="s">
        <v>154</v>
      </c>
      <c r="L99" s="55" t="s">
        <v>70</v>
      </c>
      <c r="M99" s="55" t="s">
        <v>152</v>
      </c>
      <c r="N99" s="55" t="s">
        <v>153</v>
      </c>
      <c r="O99" s="55" t="s">
        <v>154</v>
      </c>
    </row>
    <row r="100" spans="3:17" ht="20.100000000000001" customHeight="1" x14ac:dyDescent="0.25">
      <c r="D100" s="56" t="str">
        <f>'Input - MMS - Feedlot'!$D$35</f>
        <v>Solid storage</v>
      </c>
      <c r="E100" s="56" cm="1">
        <f t="array" ref="E100">MMS_Feedlot_ManureAppliedToSoils_Equations.VEERG_4_1_1_9__1_MassOfNitrogenAppliedToSoilsScope1(E22,$E$30,$E$38,E93)</f>
        <v>1001.3812157905925</v>
      </c>
      <c r="F100" s="56" cm="1">
        <f t="array" ref="F100">MMS_Feedlot_ManureAppliedToSoils_Equations.VEERG_4_1_1_9__1_MassOfNitrogenAppliedToSoilsScope1(F22,$E$30,$E$38,F93)</f>
        <v>35.363994446592002</v>
      </c>
      <c r="G100" s="56" cm="1">
        <f t="array" ref="G100">MMS_Feedlot_ManureAppliedToSoils_Equations.VEERG_4_1_1_9__1_MassOfNitrogenAppliedToSoilsScope1(G22,$E$30,$E$38,G93)</f>
        <v>51.07778884799999</v>
      </c>
      <c r="H100" s="2" t="str">
        <f>$E$12</f>
        <v>kg N</v>
      </c>
      <c r="L100" s="56" t="str">
        <f>'Input - MMS - Feedlot'!$D$35</f>
        <v>Solid storage</v>
      </c>
      <c r="M100" s="56" cm="1">
        <f t="array" ref="M100">MMS_Feedlot_ManureAppliedToSoils_Equations.VEERG_4_1_1_9__1_MassOfNitrogenAppliedToSoilsScope1(M22,$E$30,$E$38,E93)</f>
        <v>1001.3812157905925</v>
      </c>
      <c r="N100" s="56" cm="1">
        <f t="array" ref="N100">MMS_Feedlot_ManureAppliedToSoils_Equations.VEERG_4_1_1_9__1_MassOfNitrogenAppliedToSoilsScope1(N22,$E$30,$E$38,F93)</f>
        <v>35.363994446592002</v>
      </c>
      <c r="O100" s="56" cm="1">
        <f t="array" ref="O100">MMS_Feedlot_ManureAppliedToSoils_Equations.VEERG_4_1_1_9__1_MassOfNitrogenAppliedToSoilsScope1(O22,$E$30,$E$38,G93)</f>
        <v>51.07778884799999</v>
      </c>
      <c r="P100" s="2" t="str">
        <f>$E$12</f>
        <v>kg N</v>
      </c>
    </row>
    <row r="101" spans="3:17" ht="20.100000000000001" customHeight="1" x14ac:dyDescent="0.25">
      <c r="D101" s="56" t="str">
        <f>'Input - MMS - Feedlot'!$D$36</f>
        <v>Composting (passive windrow)</v>
      </c>
      <c r="E101" s="56" cm="1">
        <f t="array" ref="E101">MMS_Feedlot_ManureAppliedToSoils_Equations.VEERG_4_1_1_9__1_MassOfNitrogenAppliedToSoilsScope1(E23,$E$31,$E$39,E94)</f>
        <v>3172.1606298869774</v>
      </c>
      <c r="F101" s="56" cm="1">
        <f t="array" ref="F101">MMS_Feedlot_ManureAppliedToSoils_Equations.VEERG_4_1_1_9__1_MassOfNitrogenAppliedToSoilsScope1(F23,$E$31,$E$39,F94)</f>
        <v>112.025539454976</v>
      </c>
      <c r="G101" s="56" cm="1">
        <f t="array" ref="G101">MMS_Feedlot_ManureAppliedToSoils_Equations.VEERG_4_1_1_9__1_MassOfNitrogenAppliedToSoilsScope1(G23,$E$31,$E$39,G94)</f>
        <v>161.80346534399996</v>
      </c>
      <c r="H101" s="2" t="str">
        <f>$E$12</f>
        <v>kg N</v>
      </c>
      <c r="L101" s="56" t="str">
        <f>'Input - MMS - Feedlot'!$D$36</f>
        <v>Composting (passive windrow)</v>
      </c>
      <c r="M101" s="56" cm="1">
        <f t="array" ref="M101">MMS_Feedlot_ManureAppliedToSoils_Equations.VEERG_4_1_1_9__1_MassOfNitrogenAppliedToSoilsScope1(M23,$E$31,$E$39,E94)</f>
        <v>3172.1606298869774</v>
      </c>
      <c r="N101" s="56" cm="1">
        <f t="array" ref="N101">MMS_Feedlot_ManureAppliedToSoils_Equations.VEERG_4_1_1_9__1_MassOfNitrogenAppliedToSoilsScope1(N23,$E$31,$E$39,F94)</f>
        <v>112.025539454976</v>
      </c>
      <c r="O101" s="56" cm="1">
        <f t="array" ref="O101">MMS_Feedlot_ManureAppliedToSoils_Equations.VEERG_4_1_1_9__1_MassOfNitrogenAppliedToSoilsScope1(O23,$E$31,$E$39,G94)</f>
        <v>161.80346534399996</v>
      </c>
      <c r="P101" s="2" t="str">
        <f>$E$12</f>
        <v>kg N</v>
      </c>
    </row>
    <row r="102" spans="3:17" ht="20.100000000000001" customHeight="1" x14ac:dyDescent="0.25">
      <c r="D102" s="56" t="str">
        <f>'Input - MMS - Feedlot'!$D$41</f>
        <v>Anaerobic lagoon</v>
      </c>
      <c r="E102" s="56" cm="1">
        <f t="array" ref="E102">MMS_Feedlot_ManureAppliedToSoils_Equations.VEERG_4_1_1_9__1_MassOfNitrogenAppliedToSoilsScope1(E24,$E$32,$E$40,E95)</f>
        <v>233.2323302400001</v>
      </c>
      <c r="F102" s="56" cm="1">
        <f t="array" ref="F102">MMS_Feedlot_ManureAppliedToSoils_Equations.VEERG_4_1_1_9__1_MassOfNitrogenAppliedToSoilsScope1(F24,$E$32,$E$40,F95)</f>
        <v>8.2366502400000012</v>
      </c>
      <c r="G102" s="56" cm="1">
        <f t="array" ref="G102">MMS_Feedlot_ManureAppliedToSoils_Equations.VEERG_4_1_1_9__1_MassOfNitrogenAppliedToSoilsScope1(G24,$E$32,$E$40,G95)</f>
        <v>11.896559999999997</v>
      </c>
      <c r="H102" s="2" t="str">
        <f>$E$12</f>
        <v>kg N</v>
      </c>
      <c r="L102" s="56" t="str">
        <f>'Input - MMS - Feedlot'!$D$41</f>
        <v>Anaerobic lagoon</v>
      </c>
      <c r="M102" s="56" cm="1">
        <f t="array" ref="M102">MMS_Feedlot_ManureAppliedToSoils_Equations.VEERG_4_1_1_9__1_MassOfNitrogenAppliedToSoilsScope1(M24,$E$32,$E$40,E95)</f>
        <v>233.2323302400001</v>
      </c>
      <c r="N102" s="56" cm="1">
        <f t="array" ref="N102">MMS_Feedlot_ManureAppliedToSoils_Equations.VEERG_4_1_1_9__1_MassOfNitrogenAppliedToSoilsScope1(N24,$E$32,$E$40,F95)</f>
        <v>8.2366502400000012</v>
      </c>
      <c r="O102" s="56" cm="1">
        <f t="array" ref="O102">MMS_Feedlot_ManureAppliedToSoils_Equations.VEERG_4_1_1_9__1_MassOfNitrogenAppliedToSoilsScope1(O24,$E$32,$E$40,G95)</f>
        <v>11.896559999999997</v>
      </c>
      <c r="P102" s="2" t="str">
        <f>$E$12</f>
        <v>kg N</v>
      </c>
    </row>
    <row r="103" spans="3:17" ht="20.100000000000001" customHeight="1" x14ac:dyDescent="0.25"/>
    <row r="104" spans="3:17" ht="20.100000000000001" customHeight="1" x14ac:dyDescent="0.25">
      <c r="D104" s="112" t="s">
        <v>287</v>
      </c>
      <c r="E104" s="113">
        <f>SUM(E100:G102)</f>
        <v>4787.1781742511375</v>
      </c>
      <c r="F104" s="114" t="str">
        <f>$E$12</f>
        <v>kg N</v>
      </c>
      <c r="L104" s="112" t="s">
        <v>287</v>
      </c>
      <c r="M104" s="113">
        <f>SUM(M100:O102)</f>
        <v>4787.1781742511375</v>
      </c>
      <c r="N104" s="114" t="str">
        <f>$E$12</f>
        <v>kg N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9"/>
      <c r="D107" s="49"/>
      <c r="E107" s="49"/>
      <c r="F107" s="49"/>
      <c r="G107" s="49"/>
      <c r="H107" s="49"/>
      <c r="I107" s="49"/>
      <c r="K107" s="49"/>
      <c r="L107" s="49"/>
      <c r="M107" s="49"/>
      <c r="N107" s="49"/>
      <c r="O107" s="49"/>
      <c r="P107" s="49"/>
      <c r="Q107" s="49"/>
    </row>
    <row r="108" spans="3:17" ht="20.100000000000001" customHeight="1" x14ac:dyDescent="0.25">
      <c r="D108" s="6" t="s">
        <v>283</v>
      </c>
    </row>
    <row r="109" spans="3:17" ht="20.100000000000001" customHeight="1" x14ac:dyDescent="0.25">
      <c r="D109" s="106" t="s">
        <v>276</v>
      </c>
    </row>
    <row r="110" spans="3:17" ht="20.100000000000001" customHeight="1" x14ac:dyDescent="0.25">
      <c r="D110" s="105" t="s">
        <v>277</v>
      </c>
    </row>
    <row r="111" spans="3:17" ht="20.100000000000001" customHeight="1" x14ac:dyDescent="0.25">
      <c r="D111" s="55" t="s">
        <v>70</v>
      </c>
      <c r="E111" s="55" t="s">
        <v>152</v>
      </c>
      <c r="F111" s="55" t="s">
        <v>153</v>
      </c>
      <c r="G111" s="55" t="s">
        <v>154</v>
      </c>
    </row>
    <row r="112" spans="3:17" ht="20.100000000000001" customHeight="1" x14ac:dyDescent="0.25">
      <c r="D112" s="56" t="str">
        <f>'Input - MMS - Feedlot'!$D$35</f>
        <v>Solid storage</v>
      </c>
      <c r="E112" s="56">
        <f>'Input - MMS - Feedlot'!E47</f>
        <v>0.25</v>
      </c>
      <c r="F112" s="56">
        <f>'Input - MMS - Feedlot'!F47</f>
        <v>0.25</v>
      </c>
      <c r="G112" s="56">
        <f>'Input - MMS - Feedlot'!G47</f>
        <v>0.25</v>
      </c>
      <c r="H112" s="2" t="s">
        <v>103</v>
      </c>
    </row>
    <row r="113" spans="4:16" ht="20.100000000000001" customHeight="1" x14ac:dyDescent="0.25">
      <c r="D113" s="56" t="str">
        <f>'Input - MMS - Feedlot'!$D$36</f>
        <v>Composting (passive windrow)</v>
      </c>
      <c r="E113" s="56">
        <f>'Input - MMS - Feedlot'!E52</f>
        <v>0.25</v>
      </c>
      <c r="F113" s="56">
        <f>'Input - MMS - Feedlot'!F52</f>
        <v>0.25</v>
      </c>
      <c r="G113" s="56">
        <f>'Input - MMS - Feedlot'!G52</f>
        <v>0.25</v>
      </c>
      <c r="H113" s="2" t="s">
        <v>103</v>
      </c>
    </row>
    <row r="114" spans="4:16" ht="20.100000000000001" customHeight="1" x14ac:dyDescent="0.25">
      <c r="D114" s="56" t="str">
        <f>'Input - MMS - Feedlot'!$D$41</f>
        <v>Anaerobic lagoon</v>
      </c>
      <c r="E114" s="56">
        <f>'Input - MMS - Feedlot'!E57</f>
        <v>0.25</v>
      </c>
      <c r="F114" s="56">
        <f>'Input - MMS - Feedlot'!F57</f>
        <v>0.25</v>
      </c>
      <c r="G114" s="56">
        <f>'Input - MMS - Feedlot'!G57</f>
        <v>0.25</v>
      </c>
      <c r="H114" s="2" t="s">
        <v>103</v>
      </c>
    </row>
    <row r="115" spans="4:16" ht="20.100000000000001" customHeight="1" x14ac:dyDescent="0.25"/>
    <row r="116" spans="4:16" ht="20.100000000000001" customHeight="1" x14ac:dyDescent="0.25">
      <c r="D116" s="106" t="s">
        <v>278</v>
      </c>
      <c r="L116" s="106" t="s">
        <v>279</v>
      </c>
    </row>
    <row r="117" spans="4:16" ht="20.100000000000001" customHeight="1" x14ac:dyDescent="0.25">
      <c r="D117" s="105" t="s">
        <v>281</v>
      </c>
      <c r="L117" s="105" t="s">
        <v>280</v>
      </c>
    </row>
    <row r="118" spans="4:16" ht="20.100000000000001" customHeight="1" x14ac:dyDescent="0.25">
      <c r="D118" s="55" t="s">
        <v>70</v>
      </c>
      <c r="E118" s="55" t="s">
        <v>152</v>
      </c>
      <c r="F118" s="55" t="s">
        <v>153</v>
      </c>
      <c r="G118" s="55" t="s">
        <v>154</v>
      </c>
      <c r="L118" s="55" t="s">
        <v>70</v>
      </c>
      <c r="M118" s="55" t="s">
        <v>152</v>
      </c>
      <c r="N118" s="55" t="s">
        <v>153</v>
      </c>
      <c r="O118" s="55" t="s">
        <v>154</v>
      </c>
    </row>
    <row r="119" spans="4:16" ht="20.100000000000001" customHeight="1" x14ac:dyDescent="0.25">
      <c r="D119" s="56" t="str">
        <f>'Input - MMS - Feedlot'!$D$35</f>
        <v>Solid storage</v>
      </c>
      <c r="E119" s="56" cm="1">
        <f t="array" ref="E119">MMS_Feedlot_ManureAppliedToSoils_Equations.VEERG_4_1_1_9__1_MassOfNitrogenAppliedToSoilsScope1(E22,$E$30,$E$38,E112)</f>
        <v>1001.3812157905925</v>
      </c>
      <c r="F119" s="56" cm="1">
        <f t="array" ref="F119">MMS_Feedlot_ManureAppliedToSoils_Equations.VEERG_4_1_1_9__1_MassOfNitrogenAppliedToSoilsScope1(F22,$E$30,$E$38,F112)</f>
        <v>35.363994446592002</v>
      </c>
      <c r="G119" s="56" cm="1">
        <f t="array" ref="G119">MMS_Feedlot_ManureAppliedToSoils_Equations.VEERG_4_1_1_9__1_MassOfNitrogenAppliedToSoilsScope1(G22,$E$30,$E$38,G112)</f>
        <v>51.07778884799999</v>
      </c>
      <c r="H119" s="2" t="str">
        <f>$E$12</f>
        <v>kg N</v>
      </c>
      <c r="L119" s="56" t="str">
        <f>'Input - MMS - Feedlot'!$D$35</f>
        <v>Solid storage</v>
      </c>
      <c r="M119" s="56" cm="1">
        <f t="array" ref="M119">MMS_Feedlot_ManureAppliedToSoils_Equations.VEERG_4_1_1_9__1_MassOfNitrogenAppliedToSoilsScope1(M22,$E$30,$E$38,E112)</f>
        <v>1001.3812157905925</v>
      </c>
      <c r="N119" s="56" cm="1">
        <f t="array" ref="N119">MMS_Feedlot_ManureAppliedToSoils_Equations.VEERG_4_1_1_9__1_MassOfNitrogenAppliedToSoilsScope1(N22,$E$30,$E$38,F112)</f>
        <v>35.363994446592002</v>
      </c>
      <c r="O119" s="56" cm="1">
        <f t="array" ref="O119">MMS_Feedlot_ManureAppliedToSoils_Equations.VEERG_4_1_1_9__1_MassOfNitrogenAppliedToSoilsScope1(O22,$E$30,$E$38,G112)</f>
        <v>51.07778884799999</v>
      </c>
      <c r="P119" s="2" t="str">
        <f>$E$12</f>
        <v>kg N</v>
      </c>
    </row>
    <row r="120" spans="4:16" ht="20.100000000000001" customHeight="1" x14ac:dyDescent="0.25">
      <c r="D120" s="56" t="str">
        <f>'Input - MMS - Feedlot'!$D$36</f>
        <v>Composting (passive windrow)</v>
      </c>
      <c r="E120" s="56" cm="1">
        <f t="array" ref="E120">MMS_Feedlot_ManureAppliedToSoils_Equations.VEERG_4_1_1_9__1_MassOfNitrogenAppliedToSoilsScope1(E23,$E$31,$E$39,E113)</f>
        <v>3172.1606298869774</v>
      </c>
      <c r="F120" s="56" cm="1">
        <f t="array" ref="F120">MMS_Feedlot_ManureAppliedToSoils_Equations.VEERG_4_1_1_9__1_MassOfNitrogenAppliedToSoilsScope1(F23,$E$31,$E$39,F113)</f>
        <v>112.025539454976</v>
      </c>
      <c r="G120" s="56" cm="1">
        <f t="array" ref="G120">MMS_Feedlot_ManureAppliedToSoils_Equations.VEERG_4_1_1_9__1_MassOfNitrogenAppliedToSoilsScope1(G23,$E$31,$E$39,G113)</f>
        <v>161.80346534399996</v>
      </c>
      <c r="H120" s="2" t="str">
        <f>$E$12</f>
        <v>kg N</v>
      </c>
      <c r="L120" s="56" t="str">
        <f>'Input - MMS - Feedlot'!$D$36</f>
        <v>Composting (passive windrow)</v>
      </c>
      <c r="M120" s="56" cm="1">
        <f t="array" ref="M120">MMS_Feedlot_ManureAppliedToSoils_Equations.VEERG_4_1_1_9__1_MassOfNitrogenAppliedToSoilsScope1(M23,$E$31,$E$39,E113)</f>
        <v>3172.1606298869774</v>
      </c>
      <c r="N120" s="56" cm="1">
        <f t="array" ref="N120">MMS_Feedlot_ManureAppliedToSoils_Equations.VEERG_4_1_1_9__1_MassOfNitrogenAppliedToSoilsScope1(N23,$E$31,$E$39,F113)</f>
        <v>112.025539454976</v>
      </c>
      <c r="O120" s="56" cm="1">
        <f t="array" ref="O120">MMS_Feedlot_ManureAppliedToSoils_Equations.VEERG_4_1_1_9__1_MassOfNitrogenAppliedToSoilsScope1(O23,$E$31,$E$39,G113)</f>
        <v>161.80346534399996</v>
      </c>
      <c r="P120" s="2" t="str">
        <f>$E$12</f>
        <v>kg N</v>
      </c>
    </row>
    <row r="121" spans="4:16" ht="20.100000000000001" customHeight="1" x14ac:dyDescent="0.25">
      <c r="D121" s="56" t="str">
        <f>'Input - MMS - Feedlot'!$D$41</f>
        <v>Anaerobic lagoon</v>
      </c>
      <c r="E121" s="56" cm="1">
        <f t="array" ref="E121">MMS_Feedlot_ManureAppliedToSoils_Equations.VEERG_4_1_1_9__1_MassOfNitrogenAppliedToSoilsScope1(E24,$E$32,$E$40,E114)</f>
        <v>233.2323302400001</v>
      </c>
      <c r="F121" s="56" cm="1">
        <f t="array" ref="F121">MMS_Feedlot_ManureAppliedToSoils_Equations.VEERG_4_1_1_9__1_MassOfNitrogenAppliedToSoilsScope1(F24,$E$32,$E$40,F114)</f>
        <v>8.2366502400000012</v>
      </c>
      <c r="G121" s="56" cm="1">
        <f t="array" ref="G121">MMS_Feedlot_ManureAppliedToSoils_Equations.VEERG_4_1_1_9__1_MassOfNitrogenAppliedToSoilsScope1(G24,$E$32,$E$40,G114)</f>
        <v>11.896559999999997</v>
      </c>
      <c r="H121" s="2" t="str">
        <f>$E$12</f>
        <v>kg N</v>
      </c>
      <c r="L121" s="56" t="str">
        <f>'Input - MMS - Feedlot'!$D$41</f>
        <v>Anaerobic lagoon</v>
      </c>
      <c r="M121" s="56" cm="1">
        <f t="array" ref="M121">MMS_Feedlot_ManureAppliedToSoils_Equations.VEERG_4_1_1_9__1_MassOfNitrogenAppliedToSoilsScope1(M24,$E$32,$E$40,E114)</f>
        <v>233.2323302400001</v>
      </c>
      <c r="N121" s="56" cm="1">
        <f t="array" ref="N121">MMS_Feedlot_ManureAppliedToSoils_Equations.VEERG_4_1_1_9__1_MassOfNitrogenAppliedToSoilsScope1(N24,$E$32,$E$40,F114)</f>
        <v>8.2366502400000012</v>
      </c>
      <c r="O121" s="56" cm="1">
        <f t="array" ref="O121">MMS_Feedlot_ManureAppliedToSoils_Equations.VEERG_4_1_1_9__1_MassOfNitrogenAppliedToSoilsScope1(O24,$E$32,$E$40,G114)</f>
        <v>11.896559999999997</v>
      </c>
      <c r="P121" s="2" t="str">
        <f>$E$12</f>
        <v>kg N</v>
      </c>
    </row>
    <row r="122" spans="4:16" ht="20.100000000000001" customHeight="1" x14ac:dyDescent="0.25"/>
    <row r="123" spans="4:16" ht="20.100000000000001" customHeight="1" x14ac:dyDescent="0.25">
      <c r="D123" s="112" t="s">
        <v>284</v>
      </c>
      <c r="E123" s="113">
        <f>SUM(E119:G121)</f>
        <v>4787.1781742511375</v>
      </c>
      <c r="F123" s="114" t="str">
        <f>$E$12</f>
        <v>kg N</v>
      </c>
      <c r="L123" s="112" t="s">
        <v>284</v>
      </c>
      <c r="M123" s="113">
        <f>SUM(M119:O121)</f>
        <v>4787.1781742511375</v>
      </c>
      <c r="N123" s="114" t="str">
        <f>$E$12</f>
        <v>kg N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topLeftCell="A22" workbookViewId="0">
      <selection activeCell="F33" sqref="F3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/>
      <c r="C1" s="8" t="s">
        <v>151</v>
      </c>
    </row>
    <row r="2" spans="1:21" s="9" customFormat="1" ht="20.100000000000001" customHeight="1" x14ac:dyDescent="0.25">
      <c r="A2"/>
    </row>
    <row r="3" spans="1:21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M4" s="24"/>
    </row>
    <row r="5" spans="1:21" ht="20.100000000000001" customHeight="1" x14ac:dyDescent="0.25"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D7" s="57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8" t="str" cm="1">
        <f t="array" ref="F7">SourceData_Feedlot.SourceData_Feedlot_VSL_Unit()</f>
        <v>Fraction</v>
      </c>
      <c r="M7" s="1"/>
    </row>
    <row r="8" spans="1:21" ht="20.100000000000001" customHeight="1" x14ac:dyDescent="0.25">
      <c r="M8" s="1"/>
    </row>
    <row r="9" spans="1:21" ht="20.100000000000001" customHeight="1" x14ac:dyDescent="0.25">
      <c r="M9" s="1"/>
    </row>
    <row r="10" spans="1:21" ht="20.100000000000001" customHeight="1" x14ac:dyDescent="0.25"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D12" s="57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8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M13" s="1"/>
    </row>
    <row r="14" spans="1:21" ht="20.100000000000001" customHeight="1" x14ac:dyDescent="0.25"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D16" s="5" t="str" cm="1">
        <f t="array" ref="D16">SourceData_Feedlot.SourceData_Feedlot_AshContent_Source()</f>
        <v>VEERG 2026: 4.1.2.3 CONSTANTS</v>
      </c>
      <c r="M16" s="1"/>
    </row>
    <row r="17" spans="4:13" ht="20.100000000000001" customHeight="1" x14ac:dyDescent="0.25">
      <c r="D17" s="57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8" t="str" cm="1">
        <f t="array" ref="F17">SourceData_Feedlot.SourceData_Feedlot_AshContent_Unit()</f>
        <v>Fraction</v>
      </c>
      <c r="M17" s="1"/>
    </row>
    <row r="18" spans="4:13" ht="20.100000000000001" customHeight="1" x14ac:dyDescent="0.25">
      <c r="M18" s="1"/>
    </row>
    <row r="19" spans="4:13" ht="20.100000000000001" customHeight="1" x14ac:dyDescent="0.25">
      <c r="M19" s="1"/>
    </row>
    <row r="20" spans="4:13" ht="20.100000000000001" customHeight="1" x14ac:dyDescent="0.25">
      <c r="D20" s="6" t="str" cm="1">
        <f t="array" ref="D20">SourceData_Feedlot.SourceData_Feedlot_MethaneEmissionsPotential_Title()</f>
        <v>Methane emissions potential.</v>
      </c>
      <c r="M20" s="1"/>
    </row>
    <row r="21" spans="4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4:13" ht="20.100000000000001" customHeight="1" x14ac:dyDescent="0.25">
      <c r="D22" s="57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8" t="str" cm="1">
        <f t="array" ref="F22">SourceData_Feedlot.SourceData_Feedlot_MethaneEmissionsPotential_Unit()</f>
        <v>m3 CH4 / kg VS</v>
      </c>
      <c r="M22" s="1"/>
    </row>
    <row r="23" spans="4:13" ht="20.100000000000001" customHeight="1" x14ac:dyDescent="0.25">
      <c r="M23" s="1"/>
    </row>
    <row r="24" spans="4:13" ht="20.100000000000001" customHeight="1" x14ac:dyDescent="0.25">
      <c r="M24" s="1"/>
    </row>
    <row r="25" spans="4:13" ht="20.100000000000001" customHeight="1" x14ac:dyDescent="0.25">
      <c r="D25" s="6" t="s">
        <v>121</v>
      </c>
      <c r="M25" s="1"/>
    </row>
    <row r="26" spans="4:13" ht="20.100000000000001" customHeight="1" x14ac:dyDescent="0.25">
      <c r="M26" s="1"/>
    </row>
    <row r="27" spans="4:13" ht="20.100000000000001" customHeight="1" x14ac:dyDescent="0.25">
      <c r="D27" s="104" t="s">
        <v>70</v>
      </c>
      <c r="E27" s="40" t="s">
        <v>84</v>
      </c>
      <c r="M27" s="1"/>
    </row>
    <row r="28" spans="4:13" ht="20.100000000000001" customHeight="1" x14ac:dyDescent="0.25">
      <c r="D28" s="40" t="str">
        <f>'Constants - Livestock'!$E$16</f>
        <v>Drylot (feed pad)</v>
      </c>
      <c r="E28" s="40" t="str">
        <f>'Constants - Livestock'!$F$16</f>
        <v>Drylot (feed pad) (m=5)</v>
      </c>
      <c r="M28" s="1"/>
    </row>
    <row r="29" spans="4:13" ht="20.100000000000001" customHeight="1" x14ac:dyDescent="0.25">
      <c r="D29" s="40" t="str">
        <f>'Constants - Livestock'!$E$15</f>
        <v>Solid storage</v>
      </c>
      <c r="E29" s="40" t="str">
        <f>'Constants - Livestock'!$F$15</f>
        <v>Solid storage (m=4)</v>
      </c>
      <c r="M29" s="1"/>
    </row>
    <row r="30" spans="4:13" ht="20.100000000000001" customHeight="1" x14ac:dyDescent="0.25">
      <c r="D30" s="40" t="str">
        <f>'Constants - Livestock'!$E$17</f>
        <v>Composting (passive windrow)</v>
      </c>
      <c r="E30" s="40" t="str">
        <f>'Constants - Livestock'!$F$17</f>
        <v>Composting (passive windrow) (m=6)</v>
      </c>
      <c r="M30" s="1"/>
    </row>
    <row r="31" spans="4:13" ht="20.100000000000001" customHeight="1" x14ac:dyDescent="0.25">
      <c r="D31" s="40" t="str">
        <f>'Constants - Livestock'!$E$26</f>
        <v>Direct application</v>
      </c>
      <c r="E31" s="40" t="str">
        <f>'Constants - Livestock'!$F$26</f>
        <v>Direct application (m=13)</v>
      </c>
      <c r="M31" s="1"/>
    </row>
    <row r="32" spans="4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M32" s="1"/>
    </row>
    <row r="33" spans="4:13" ht="20.100000000000001" customHeight="1" x14ac:dyDescent="0.25">
      <c r="D33" s="1" t="s">
        <v>110</v>
      </c>
      <c r="E33" s="40" t="s">
        <v>110</v>
      </c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40" t="s">
        <v>146</v>
      </c>
      <c r="E38" s="40" t="s">
        <v>161</v>
      </c>
      <c r="M38" s="1"/>
    </row>
    <row r="39" spans="4:13" ht="20.100000000000001" customHeight="1" x14ac:dyDescent="0.25">
      <c r="D39" s="40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40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40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40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9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9" t="str">
        <v>Moved feedlot types to a separate column to aid lookup.</v>
      </c>
      <c r="M47" s="24"/>
    </row>
    <row r="48" spans="4:13" ht="20.100000000000001" customHeight="1" x14ac:dyDescent="0.25">
      <c r="D48" s="59" t="str">
        <v>Named 'characteristic' column - original has header 'Unit' which covers two columns)</v>
      </c>
      <c r="M48" s="24"/>
    </row>
    <row r="49" spans="4:13" ht="20.100000000000001" customHeight="1" x14ac:dyDescent="0.25">
      <c r="D49" s="40" t="s">
        <v>146</v>
      </c>
      <c r="E49" s="40" t="s">
        <v>158</v>
      </c>
      <c r="F49" s="40" t="s">
        <v>22</v>
      </c>
      <c r="G49" s="40" t="s">
        <v>159</v>
      </c>
      <c r="H49" s="40" t="s">
        <v>148</v>
      </c>
      <c r="I49" s="40" t="s">
        <v>149</v>
      </c>
      <c r="J49" s="40" t="s">
        <v>150</v>
      </c>
      <c r="M49" s="24"/>
    </row>
    <row r="50" spans="4:13" ht="20.100000000000001" customHeight="1" x14ac:dyDescent="0.25">
      <c r="D50" s="40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40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40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40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40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40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40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40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40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40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40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40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40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40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40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40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40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40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40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40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40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40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40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40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40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40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40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40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40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40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40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40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40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40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40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40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40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40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40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40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40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40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40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40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40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40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40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40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40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40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40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40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40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40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40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9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9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9" t="str">
        <v>Moved feedlot types to a separate column to aid lookup.</v>
      </c>
      <c r="M65" s="24"/>
    </row>
    <row r="66" spans="4:13" ht="20.100000000000001" customHeight="1" x14ac:dyDescent="0.25">
      <c r="D66" s="40" t="s">
        <v>146</v>
      </c>
      <c r="E66" s="40" t="s">
        <v>147</v>
      </c>
      <c r="F66" s="40" t="s">
        <v>22</v>
      </c>
      <c r="G66" s="40" t="s">
        <v>148</v>
      </c>
      <c r="H66" s="40" t="s">
        <v>149</v>
      </c>
      <c r="I66" s="40" t="s">
        <v>150</v>
      </c>
      <c r="J66" s="40" t="s">
        <v>155</v>
      </c>
      <c r="M66" s="24"/>
    </row>
    <row r="67" spans="4:13" ht="20.100000000000001" customHeight="1" x14ac:dyDescent="0.25">
      <c r="D67" s="40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40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40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40" cm="1">
        <f t="array" ref="G67">Common_InputFunctions.Utility_DisplayArrayInTable(SourceData_Feedlot.SourceData_Feedlot_DietProperties_Data(), Table_SourceData_Feedlot_DietProperties[[#Headers],[Feedlot type]], 0)</f>
        <v>0.81</v>
      </c>
      <c r="H67" s="40" cm="1">
        <f t="array" ref="H67">Common_InputFunctions.Utility_DisplayArrayInTable(SourceData_Feedlot.SourceData_Feedlot_DietProperties_Data(), Table_SourceData_Feedlot_DietProperties[[#Headers],[Feedlot type]], 0)</f>
        <v>0.81</v>
      </c>
      <c r="I67" s="40" cm="1">
        <f t="array" ref="I67">Common_InputFunctions.Utility_DisplayArrayInTable(SourceData_Feedlot.SourceData_Feedlot_DietProperties_Data(), Table_SourceData_Feedlot_DietProperties[[#Headers],[Feedlot type]], 0)</f>
        <v>0.81</v>
      </c>
      <c r="J67" s="40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40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40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40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40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40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40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40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40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40" cm="1">
        <f t="array" ref="G69">Common_InputFunctions.Utility_DisplayArrayInTable(SourceData_Feedlot.SourceData_Feedlot_DietProperties_Data(), Table_SourceData_Feedlot_DietProperties[[#Headers],[Feedlot type]], 0)</f>
        <v>23</v>
      </c>
      <c r="H69" s="40" cm="1">
        <f t="array" ref="H69">Common_InputFunctions.Utility_DisplayArrayInTable(SourceData_Feedlot.SourceData_Feedlot_DietProperties_Data(), Table_SourceData_Feedlot_DietProperties[[#Headers],[Feedlot type]], 0)</f>
        <v>22</v>
      </c>
      <c r="I69" s="40" cm="1">
        <f t="array" ref="I69">Common_InputFunctions.Utility_DisplayArrayInTable(SourceData_Feedlot.SourceData_Feedlot_DietProperties_Data(), Table_SourceData_Feedlot_DietProperties[[#Headers],[Feedlot type]], 0)</f>
        <v>22</v>
      </c>
      <c r="J69" s="40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40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40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40" cm="1">
        <f t="array" ref="G70">Common_InputFunctions.Utility_DisplayArrayInTable(SourceData_Feedlot.SourceData_Feedlot_DietProperties_Data(), Table_SourceData_Feedlot_DietProperties[[#Headers],[Feedlot type]], 0)</f>
        <v>4.5</v>
      </c>
      <c r="H70" s="40" cm="1">
        <f t="array" ref="H70">Common_InputFunctions.Utility_DisplayArrayInTable(SourceData_Feedlot.SourceData_Feedlot_DietProperties_Data(), Table_SourceData_Feedlot_DietProperties[[#Headers],[Feedlot type]], 0)</f>
        <v>4.5</v>
      </c>
      <c r="I70" s="40" cm="1">
        <f t="array" ref="I70">Common_InputFunctions.Utility_DisplayArrayInTable(SourceData_Feedlot.SourceData_Feedlot_DietProperties_Data(), Table_SourceData_Feedlot_DietProperties[[#Headers],[Feedlot type]], 0)</f>
        <v>4.8</v>
      </c>
      <c r="J70" s="40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40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40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40" cm="1">
        <f t="array" ref="G71">Common_InputFunctions.Utility_DisplayArrayInTable(SourceData_Feedlot.SourceData_Feedlot_DietProperties_Data(), Table_SourceData_Feedlot_DietProperties[[#Headers],[Feedlot type]], 0)</f>
        <v>0.81</v>
      </c>
      <c r="H71" s="40" cm="1">
        <f t="array" ref="H71">Common_InputFunctions.Utility_DisplayArrayInTable(SourceData_Feedlot.SourceData_Feedlot_DietProperties_Data(), Table_SourceData_Feedlot_DietProperties[[#Headers],[Feedlot type]], 0)</f>
        <v>0.81</v>
      </c>
      <c r="I71" s="40" cm="1">
        <f t="array" ref="I71">Common_InputFunctions.Utility_DisplayArrayInTable(SourceData_Feedlot.SourceData_Feedlot_DietProperties_Data(), Table_SourceData_Feedlot_DietProperties[[#Headers],[Feedlot type]], 0)</f>
        <v>0.81</v>
      </c>
      <c r="J71" s="40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40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40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40" cm="1">
        <f t="array" ref="G72">Common_InputFunctions.Utility_DisplayArrayInTable(SourceData_Feedlot.SourceData_Feedlot_DietProperties_Data(), Table_SourceData_Feedlot_DietProperties[[#Headers],[Feedlot type]], 0)</f>
        <v>0.13</v>
      </c>
      <c r="H72" s="40" cm="1">
        <f t="array" ref="H72">Common_InputFunctions.Utility_DisplayArrayInTable(SourceData_Feedlot.SourceData_Feedlot_DietProperties_Data(), Table_SourceData_Feedlot_DietProperties[[#Headers],[Feedlot type]], 0)</f>
        <v>0.125</v>
      </c>
      <c r="I72" s="40" cm="1">
        <f t="array" ref="I72">Common_InputFunctions.Utility_DisplayArrayInTable(SourceData_Feedlot.SourceData_Feedlot_DietProperties_Data(), Table_SourceData_Feedlot_DietProperties[[#Headers],[Feedlot type]], 0)</f>
        <v>0.12</v>
      </c>
      <c r="J72" s="40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40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40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40" cm="1">
        <f t="array" ref="G73">Common_InputFunctions.Utility_DisplayArrayInTable(SourceData_Feedlot.SourceData_Feedlot_DietProperties_Data(), Table_SourceData_Feedlot_DietProperties[[#Headers],[Feedlot type]], 0)</f>
        <v>24</v>
      </c>
      <c r="H73" s="40" cm="1">
        <f t="array" ref="H73">Common_InputFunctions.Utility_DisplayArrayInTable(SourceData_Feedlot.SourceData_Feedlot_DietProperties_Data(), Table_SourceData_Feedlot_DietProperties[[#Headers],[Feedlot type]], 0)</f>
        <v>22</v>
      </c>
      <c r="I73" s="40" cm="1">
        <f t="array" ref="I73">Common_InputFunctions.Utility_DisplayArrayInTable(SourceData_Feedlot.SourceData_Feedlot_DietProperties_Data(), Table_SourceData_Feedlot_DietProperties[[#Headers],[Feedlot type]], 0)</f>
        <v>22</v>
      </c>
      <c r="J73" s="40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40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40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40" cm="1">
        <f t="array" ref="G74">Common_InputFunctions.Utility_DisplayArrayInTable(SourceData_Feedlot.SourceData_Feedlot_DietProperties_Data(), Table_SourceData_Feedlot_DietProperties[[#Headers],[Feedlot type]], 0)</f>
        <v>5</v>
      </c>
      <c r="H74" s="40" cm="1">
        <f t="array" ref="H74">Common_InputFunctions.Utility_DisplayArrayInTable(SourceData_Feedlot.SourceData_Feedlot_DietProperties_Data(), Table_SourceData_Feedlot_DietProperties[[#Headers],[Feedlot type]], 0)</f>
        <v>5</v>
      </c>
      <c r="I74" s="40" cm="1">
        <f t="array" ref="I74">Common_InputFunctions.Utility_DisplayArrayInTable(SourceData_Feedlot.SourceData_Feedlot_DietProperties_Data(), Table_SourceData_Feedlot_DietProperties[[#Headers],[Feedlot type]], 0)</f>
        <v>5</v>
      </c>
      <c r="J74" s="40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40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40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40" cm="1">
        <f t="array" ref="G75">Common_InputFunctions.Utility_DisplayArrayInTable(SourceData_Feedlot.SourceData_Feedlot_DietProperties_Data(), Table_SourceData_Feedlot_DietProperties[[#Headers],[Feedlot type]], 0)</f>
        <v>0.81</v>
      </c>
      <c r="H75" s="40" cm="1">
        <f t="array" ref="H75">Common_InputFunctions.Utility_DisplayArrayInTable(SourceData_Feedlot.SourceData_Feedlot_DietProperties_Data(), Table_SourceData_Feedlot_DietProperties[[#Headers],[Feedlot type]], 0)</f>
        <v>0.81</v>
      </c>
      <c r="I75" s="40" cm="1">
        <f t="array" ref="I75">Common_InputFunctions.Utility_DisplayArrayInTable(SourceData_Feedlot.SourceData_Feedlot_DietProperties_Data(), Table_SourceData_Feedlot_DietProperties[[#Headers],[Feedlot type]], 0)</f>
        <v>0.81</v>
      </c>
      <c r="J75" s="40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40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40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40" cm="1">
        <f t="array" ref="G76">Common_InputFunctions.Utility_DisplayArrayInTable(SourceData_Feedlot.SourceData_Feedlot_DietProperties_Data(), Table_SourceData_Feedlot_DietProperties[[#Headers],[Feedlot type]], 0)</f>
        <v>0.13</v>
      </c>
      <c r="H76" s="40" cm="1">
        <f t="array" ref="H76">Common_InputFunctions.Utility_DisplayArrayInTable(SourceData_Feedlot.SourceData_Feedlot_DietProperties_Data(), Table_SourceData_Feedlot_DietProperties[[#Headers],[Feedlot type]], 0)</f>
        <v>0.125</v>
      </c>
      <c r="I76" s="40" cm="1">
        <f t="array" ref="I76">Common_InputFunctions.Utility_DisplayArrayInTable(SourceData_Feedlot.SourceData_Feedlot_DietProperties_Data(), Table_SourceData_Feedlot_DietProperties[[#Headers],[Feedlot type]], 0)</f>
        <v>0.12</v>
      </c>
      <c r="J76" s="40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40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40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40" cm="1">
        <f t="array" ref="G77">Common_InputFunctions.Utility_DisplayArrayInTable(SourceData_Feedlot.SourceData_Feedlot_DietProperties_Data(), Table_SourceData_Feedlot_DietProperties[[#Headers],[Feedlot type]], 0)</f>
        <v>24</v>
      </c>
      <c r="H77" s="40" cm="1">
        <f t="array" ref="H77">Common_InputFunctions.Utility_DisplayArrayInTable(SourceData_Feedlot.SourceData_Feedlot_DietProperties_Data(), Table_SourceData_Feedlot_DietProperties[[#Headers],[Feedlot type]], 0)</f>
        <v>24</v>
      </c>
      <c r="I77" s="40" cm="1">
        <f t="array" ref="I77">Common_InputFunctions.Utility_DisplayArrayInTable(SourceData_Feedlot.SourceData_Feedlot_DietProperties_Data(), Table_SourceData_Feedlot_DietProperties[[#Headers],[Feedlot type]], 0)</f>
        <v>24</v>
      </c>
      <c r="J77" s="40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40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40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40" cm="1">
        <f t="array" ref="G78">Common_InputFunctions.Utility_DisplayArrayInTable(SourceData_Feedlot.SourceData_Feedlot_DietProperties_Data(), Table_SourceData_Feedlot_DietProperties[[#Headers],[Feedlot type]], 0)</f>
        <v>5</v>
      </c>
      <c r="H78" s="40" cm="1">
        <f t="array" ref="H78">Common_InputFunctions.Utility_DisplayArrayInTable(SourceData_Feedlot.SourceData_Feedlot_DietProperties_Data(), Table_SourceData_Feedlot_DietProperties[[#Headers],[Feedlot type]], 0)</f>
        <v>5</v>
      </c>
      <c r="I78" s="40" cm="1">
        <f t="array" ref="I78">Common_InputFunctions.Utility_DisplayArrayInTable(SourceData_Feedlot.SourceData_Feedlot_DietProperties_Data(), Table_SourceData_Feedlot_DietProperties[[#Headers],[Feedlot type]], 0)</f>
        <v>5.5</v>
      </c>
      <c r="J78" s="40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9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9" t="str">
        <v>Duplicated NSW values for ACT</v>
      </c>
      <c r="M84" s="1"/>
    </row>
    <row r="85" spans="4:14" ht="20.100000000000001" customHeight="1" x14ac:dyDescent="0.25">
      <c r="D85" s="59" t="str">
        <v>Added NT and TAS columns with 'no data' values</v>
      </c>
      <c r="M85" s="1"/>
    </row>
    <row r="86" spans="4:14" ht="20.100000000000001" customHeight="1" x14ac:dyDescent="0.25">
      <c r="D86" s="59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40" t="s">
        <v>116</v>
      </c>
      <c r="E88" s="40" t="s">
        <v>111</v>
      </c>
      <c r="F88" s="40" t="s">
        <v>86</v>
      </c>
      <c r="G88" s="40" t="s">
        <v>85</v>
      </c>
      <c r="H88" s="40" t="s">
        <v>88</v>
      </c>
      <c r="I88" s="40" t="s">
        <v>87</v>
      </c>
      <c r="J88" s="40" t="s">
        <v>89</v>
      </c>
      <c r="K88" s="40" t="s">
        <v>91</v>
      </c>
      <c r="L88" s="40" t="s">
        <v>92</v>
      </c>
      <c r="M88" s="40" t="s">
        <v>90</v>
      </c>
      <c r="N88" s="40" t="s">
        <v>102</v>
      </c>
    </row>
    <row r="89" spans="4:14" ht="20.100000000000001" customHeight="1" x14ac:dyDescent="0.25">
      <c r="D89" s="40" t="str" cm="1">
        <f t="array" ref="D89">Common_InputFunctions.Utility_DisplayArrayInTable(SourceData_Feedlot.SourceData_Feedlot_MCF_Data(), Table_SourceData_Feedlot_MCF[[#Headers],[Treatment stage T]], 0)</f>
        <v>Primary</v>
      </c>
      <c r="E89" s="40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40" cm="1">
        <f t="array" ref="F89">Common_InputFunctions.Utility_DisplayArrayInTable(SourceData_Feedlot.SourceData_Feedlot_MCF_Data(), Table_SourceData_Feedlot_MCF[[#Headers],[Treatment stage T]], 0)</f>
        <v>0.01</v>
      </c>
      <c r="G89" s="40" cm="1">
        <f t="array" ref="G89">Common_InputFunctions.Utility_DisplayArrayInTable(SourceData_Feedlot.SourceData_Feedlot_MCF_Data(), Table_SourceData_Feedlot_MCF[[#Headers],[Treatment stage T]], 0)</f>
        <v>0.01</v>
      </c>
      <c r="H89" s="40" cm="1">
        <f t="array" ref="H89">Common_InputFunctions.Utility_DisplayArrayInTable(SourceData_Feedlot.SourceData_Feedlot_MCF_Data(), Table_SourceData_Feedlot_MCF[[#Headers],[Treatment stage T]], 0)</f>
        <v>0.03</v>
      </c>
      <c r="I89" s="40" t="str" cm="1">
        <f t="array" ref="I89">Common_InputFunctions.Utility_DisplayArrayInTable(SourceData_Feedlot.SourceData_Feedlot_MCF_Data(), Table_SourceData_Feedlot_MCF[[#Headers],[Treatment stage T]], 0)</f>
        <v>No data</v>
      </c>
      <c r="J89" s="40" cm="1">
        <f t="array" ref="J89">Common_InputFunctions.Utility_DisplayArrayInTable(SourceData_Feedlot.SourceData_Feedlot_MCF_Data(), Table_SourceData_Feedlot_MCF[[#Headers],[Treatment stage T]], 0)</f>
        <v>0.01</v>
      </c>
      <c r="K89" s="40" cm="1">
        <f t="array" ref="K89">Common_InputFunctions.Utility_DisplayArrayInTable(SourceData_Feedlot.SourceData_Feedlot_MCF_Data(), Table_SourceData_Feedlot_MCF[[#Headers],[Treatment stage T]], 0)</f>
        <v>0.01</v>
      </c>
      <c r="L89" s="40" cm="1">
        <f t="array" ref="L89">Common_InputFunctions.Utility_DisplayArrayInTable(SourceData_Feedlot.SourceData_Feedlot_MCF_Data(), Table_SourceData_Feedlot_MCF[[#Headers],[Treatment stage T]], 0)</f>
        <v>0.01</v>
      </c>
      <c r="M89" s="40" t="str" cm="1">
        <f t="array" ref="M89">Common_InputFunctions.Utility_DisplayArrayInTable(SourceData_Feedlot.SourceData_Feedlot_MCF_Data(), Table_SourceData_Feedlot_MCF[[#Headers],[Treatment stage T]], 0)</f>
        <v>No data</v>
      </c>
      <c r="N89" s="40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40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40" cm="1">
        <f t="array" ref="F90">Common_InputFunctions.Utility_DisplayArrayInTable(SourceData_Feedlot.SourceData_Feedlot_MCF_Data(), Table_SourceData_Feedlot_MCF[[#Headers],[Treatment stage T]], 0)</f>
        <v>0.02</v>
      </c>
      <c r="G90" s="40" cm="1">
        <f t="array" ref="G90">Common_InputFunctions.Utility_DisplayArrayInTable(SourceData_Feedlot.SourceData_Feedlot_MCF_Data(), Table_SourceData_Feedlot_MCF[[#Headers],[Treatment stage T]], 0)</f>
        <v>0.02</v>
      </c>
      <c r="H90" s="40" cm="1">
        <f t="array" ref="H90">Common_InputFunctions.Utility_DisplayArrayInTable(SourceData_Feedlot.SourceData_Feedlot_MCF_Data(), Table_SourceData_Feedlot_MCF[[#Headers],[Treatment stage T]], 0)</f>
        <v>0.02</v>
      </c>
      <c r="I90" s="40" t="str" cm="1">
        <f t="array" ref="I90">Common_InputFunctions.Utility_DisplayArrayInTable(SourceData_Feedlot.SourceData_Feedlot_MCF_Data(), Table_SourceData_Feedlot_MCF[[#Headers],[Treatment stage T]], 0)</f>
        <v>No data</v>
      </c>
      <c r="J90" s="40" cm="1">
        <f t="array" ref="J90">Common_InputFunctions.Utility_DisplayArrayInTable(SourceData_Feedlot.SourceData_Feedlot_MCF_Data(), Table_SourceData_Feedlot_MCF[[#Headers],[Treatment stage T]], 0)</f>
        <v>0.02</v>
      </c>
      <c r="K90" s="40" cm="1">
        <f t="array" ref="K90">Common_InputFunctions.Utility_DisplayArrayInTable(SourceData_Feedlot.SourceData_Feedlot_MCF_Data(), Table_SourceData_Feedlot_MCF[[#Headers],[Treatment stage T]], 0)</f>
        <v>0.02</v>
      </c>
      <c r="L90" s="40" cm="1">
        <f t="array" ref="L90">Common_InputFunctions.Utility_DisplayArrayInTable(SourceData_Feedlot.SourceData_Feedlot_MCF_Data(), Table_SourceData_Feedlot_MCF[[#Headers],[Treatment stage T]], 0)</f>
        <v>0.02</v>
      </c>
      <c r="M90" s="40" t="str" cm="1">
        <f t="array" ref="M90">Common_InputFunctions.Utility_DisplayArrayInTable(SourceData_Feedlot.SourceData_Feedlot_MCF_Data(), Table_SourceData_Feedlot_MCF[[#Headers],[Treatment stage T]], 0)</f>
        <v>No data</v>
      </c>
      <c r="N90" s="40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40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40" cm="1">
        <f t="array" ref="F91">Common_InputFunctions.Utility_DisplayArrayInTable(SourceData_Feedlot.SourceData_Feedlot_MCF_Data(), Table_SourceData_Feedlot_MCF[[#Headers],[Treatment stage T]], 0)</f>
        <v>0.01</v>
      </c>
      <c r="G91" s="40" cm="1">
        <f t="array" ref="G91">Common_InputFunctions.Utility_DisplayArrayInTable(SourceData_Feedlot.SourceData_Feedlot_MCF_Data(), Table_SourceData_Feedlot_MCF[[#Headers],[Treatment stage T]], 0)</f>
        <v>0.01</v>
      </c>
      <c r="H91" s="40" cm="1">
        <f t="array" ref="H91">Common_InputFunctions.Utility_DisplayArrayInTable(SourceData_Feedlot.SourceData_Feedlot_MCF_Data(), Table_SourceData_Feedlot_MCF[[#Headers],[Treatment stage T]], 0)</f>
        <v>0.01</v>
      </c>
      <c r="I91" s="40" t="str" cm="1">
        <f t="array" ref="I91">Common_InputFunctions.Utility_DisplayArrayInTable(SourceData_Feedlot.SourceData_Feedlot_MCF_Data(), Table_SourceData_Feedlot_MCF[[#Headers],[Treatment stage T]], 0)</f>
        <v>No data</v>
      </c>
      <c r="J91" s="40" cm="1">
        <f t="array" ref="J91">Common_InputFunctions.Utility_DisplayArrayInTable(SourceData_Feedlot.SourceData_Feedlot_MCF_Data(), Table_SourceData_Feedlot_MCF[[#Headers],[Treatment stage T]], 0)</f>
        <v>0.01</v>
      </c>
      <c r="K91" s="40" cm="1">
        <f t="array" ref="K91">Common_InputFunctions.Utility_DisplayArrayInTable(SourceData_Feedlot.SourceData_Feedlot_MCF_Data(), Table_SourceData_Feedlot_MCF[[#Headers],[Treatment stage T]], 0)</f>
        <v>0.01</v>
      </c>
      <c r="L91" s="40" cm="1">
        <f t="array" ref="L91">Common_InputFunctions.Utility_DisplayArrayInTable(SourceData_Feedlot.SourceData_Feedlot_MCF_Data(), Table_SourceData_Feedlot_MCF[[#Headers],[Treatment stage T]], 0)</f>
        <v>0.01</v>
      </c>
      <c r="M91" s="40" t="str" cm="1">
        <f t="array" ref="M91">Common_InputFunctions.Utility_DisplayArrayInTable(SourceData_Feedlot.SourceData_Feedlot_MCF_Data(), Table_SourceData_Feedlot_MCF[[#Headers],[Treatment stage T]], 0)</f>
        <v>No data</v>
      </c>
      <c r="N91" s="40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40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40" cm="1">
        <f t="array" ref="F92">Common_InputFunctions.Utility_DisplayArrayInTable(SourceData_Feedlot.SourceData_Feedlot_MCF_Data(), Table_SourceData_Feedlot_MCF[[#Headers],[Treatment stage T]], 0)</f>
        <v>0</v>
      </c>
      <c r="G92" s="40" cm="1">
        <f t="array" ref="G92">Common_InputFunctions.Utility_DisplayArrayInTable(SourceData_Feedlot.SourceData_Feedlot_MCF_Data(), Table_SourceData_Feedlot_MCF[[#Headers],[Treatment stage T]], 0)</f>
        <v>0</v>
      </c>
      <c r="H92" s="40" cm="1">
        <f t="array" ref="H92">Common_InputFunctions.Utility_DisplayArrayInTable(SourceData_Feedlot.SourceData_Feedlot_MCF_Data(), Table_SourceData_Feedlot_MCF[[#Headers],[Treatment stage T]], 0)</f>
        <v>0</v>
      </c>
      <c r="I92" s="40" t="str" cm="1">
        <f t="array" ref="I92">Common_InputFunctions.Utility_DisplayArrayInTable(SourceData_Feedlot.SourceData_Feedlot_MCF_Data(), Table_SourceData_Feedlot_MCF[[#Headers],[Treatment stage T]], 0)</f>
        <v>No data</v>
      </c>
      <c r="J92" s="40" cm="1">
        <f t="array" ref="J92">Common_InputFunctions.Utility_DisplayArrayInTable(SourceData_Feedlot.SourceData_Feedlot_MCF_Data(), Table_SourceData_Feedlot_MCF[[#Headers],[Treatment stage T]], 0)</f>
        <v>0</v>
      </c>
      <c r="K92" s="40" cm="1">
        <f t="array" ref="K92">Common_InputFunctions.Utility_DisplayArrayInTable(SourceData_Feedlot.SourceData_Feedlot_MCF_Data(), Table_SourceData_Feedlot_MCF[[#Headers],[Treatment stage T]], 0)</f>
        <v>0</v>
      </c>
      <c r="L92" s="40" cm="1">
        <f t="array" ref="L92">Common_InputFunctions.Utility_DisplayArrayInTable(SourceData_Feedlot.SourceData_Feedlot_MCF_Data(), Table_SourceData_Feedlot_MCF[[#Headers],[Treatment stage T]], 0)</f>
        <v>0</v>
      </c>
      <c r="M92" s="40" t="str" cm="1">
        <f t="array" ref="M92">Common_InputFunctions.Utility_DisplayArrayInTable(SourceData_Feedlot.SourceData_Feedlot_MCF_Data(), Table_SourceData_Feedlot_MCF[[#Headers],[Treatment stage T]], 0)</f>
        <v>No data</v>
      </c>
      <c r="N92" s="40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40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40" cm="1">
        <f t="array" ref="F93">Common_InputFunctions.Utility_DisplayArrayInTable(SourceData_Feedlot.SourceData_Feedlot_MCF_Data(), Table_SourceData_Feedlot_MCF[[#Headers],[Treatment stage T]], 0)</f>
        <v>0.75</v>
      </c>
      <c r="G93" s="40" cm="1">
        <f t="array" ref="G93">Common_InputFunctions.Utility_DisplayArrayInTable(SourceData_Feedlot.SourceData_Feedlot_MCF_Data(), Table_SourceData_Feedlot_MCF[[#Headers],[Treatment stage T]], 0)</f>
        <v>0.75</v>
      </c>
      <c r="H93" s="40" cm="1">
        <f t="array" ref="H93">Common_InputFunctions.Utility_DisplayArrayInTable(SourceData_Feedlot.SourceData_Feedlot_MCF_Data(), Table_SourceData_Feedlot_MCF[[#Headers],[Treatment stage T]], 0)</f>
        <v>0.77</v>
      </c>
      <c r="I93" s="40" t="str" cm="1">
        <f t="array" ref="I93">Common_InputFunctions.Utility_DisplayArrayInTable(SourceData_Feedlot.SourceData_Feedlot_MCF_Data(), Table_SourceData_Feedlot_MCF[[#Headers],[Treatment stage T]], 0)</f>
        <v>No data</v>
      </c>
      <c r="J93" s="40" cm="1">
        <f t="array" ref="J93">Common_InputFunctions.Utility_DisplayArrayInTable(SourceData_Feedlot.SourceData_Feedlot_MCF_Data(), Table_SourceData_Feedlot_MCF[[#Headers],[Treatment stage T]], 0)</f>
        <v>0.75</v>
      </c>
      <c r="K93" s="40" cm="1">
        <f t="array" ref="K93">Common_InputFunctions.Utility_DisplayArrayInTable(SourceData_Feedlot.SourceData_Feedlot_MCF_Data(), Table_SourceData_Feedlot_MCF[[#Headers],[Treatment stage T]], 0)</f>
        <v>0.75</v>
      </c>
      <c r="L93" s="40" cm="1">
        <f t="array" ref="L93">Common_InputFunctions.Utility_DisplayArrayInTable(SourceData_Feedlot.SourceData_Feedlot_MCF_Data(), Table_SourceData_Feedlot_MCF[[#Headers],[Treatment stage T]], 0)</f>
        <v>0.77</v>
      </c>
      <c r="M93" s="40" t="str" cm="1">
        <f t="array" ref="M93">Common_InputFunctions.Utility_DisplayArrayInTable(SourceData_Feedlot.SourceData_Feedlot_MCF_Data(), Table_SourceData_Feedlot_MCF[[#Headers],[Treatment stage T]], 0)</f>
        <v>No data</v>
      </c>
      <c r="N93" s="40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M94" s="24"/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9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9" t="str">
        <v>Added 'NIR definition' column with MMS names that match NIR definitions.</v>
      </c>
      <c r="M99" s="24"/>
    </row>
    <row r="100" spans="4:14" ht="20.100000000000001" customHeight="1" x14ac:dyDescent="0.25">
      <c r="D100" s="40" t="s">
        <v>116</v>
      </c>
      <c r="E100" s="40" t="s">
        <v>111</v>
      </c>
      <c r="F100" s="40" t="s">
        <v>162</v>
      </c>
      <c r="G100" s="40" t="s">
        <v>102</v>
      </c>
      <c r="M100" s="1"/>
      <c r="N100" s="24"/>
    </row>
    <row r="101" spans="4:14" ht="20.100000000000001" customHeight="1" x14ac:dyDescent="0.25">
      <c r="D101" s="40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40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40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40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40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40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40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40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40" cm="1">
        <f t="array" ref="F103">Common_InputFunctions.Utility_DisplayArrayInTable(SourceData_Feedlot.SourceData_Feedlot_NitrousOxideEFs_Data(), Table_SourceData_Feedlot_NO2EFs[[#Headers],[Treatment stage T]], 0)</f>
        <v>0.01</v>
      </c>
      <c r="G103" s="40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40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40" cm="1">
        <f t="array" ref="F104">Common_InputFunctions.Utility_DisplayArrayInTable(SourceData_Feedlot.SourceData_Feedlot_NitrousOxideEFs_Data(), Table_SourceData_Feedlot_NO2EFs[[#Headers],[Treatment stage T]], 0)</f>
        <v>0</v>
      </c>
      <c r="G104" s="40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40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40" cm="1">
        <f t="array" ref="F105">Common_InputFunctions.Utility_DisplayArrayInTable(SourceData_Feedlot.SourceData_Feedlot_NitrousOxideEFs_Data(), Table_SourceData_Feedlot_NO2EFs[[#Headers],[Treatment stage T]], 0)</f>
        <v>0</v>
      </c>
      <c r="G105" s="40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9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9" t="str">
        <v>Added 'NIR definition' column with MMS names that match NIR definitions.</v>
      </c>
      <c r="M111" s="24"/>
    </row>
    <row r="112" spans="4:14" ht="20.100000000000001" customHeight="1" x14ac:dyDescent="0.25">
      <c r="D112" s="118" t="s">
        <v>116</v>
      </c>
      <c r="E112" s="118" t="s">
        <v>111</v>
      </c>
      <c r="F112" s="118" t="s">
        <v>163</v>
      </c>
      <c r="G112" s="118" t="s">
        <v>102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/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9" t="e" vm="1">
        <v>#VALUE!</v>
      </c>
      <c r="C1" s="8" t="s">
        <v>82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Production'!A1", "Production and outputs")</f>
        <v>Production and outputs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 t="str">
        <f>HYPERLINK("#'Input - Herd - Dairy'!A1", "Herd - Dairy")</f>
        <v>Herd - Dairy</v>
      </c>
      <c r="D9" s="39" t="s">
        <v>83</v>
      </c>
      <c r="E9" s="40" t="s">
        <v>23</v>
      </c>
      <c r="F9" s="40" t="s">
        <v>84</v>
      </c>
      <c r="G9" s="3"/>
    </row>
    <row r="10" spans="1:13" ht="20.100000000000001" customHeight="1" x14ac:dyDescent="0.25">
      <c r="A10" s="17" t="str">
        <f>HYPERLINK("#'Input - Feed - Dairy'!A1", "Purchased feed - Livestock")</f>
        <v>Purchased feed - Livestock</v>
      </c>
      <c r="D10" s="39" t="str" cm="1">
        <f t="array" ref="D10">Common_InputFunctions.Utility_DisplayArrayInTable(CommonLivestock_SourceData.SourceData_Livestock_Common_SymbolsMMS_Data(), Table_Data_MMSSymbols[[#Headers],[Symbol]], 0)</f>
        <v>1</v>
      </c>
      <c r="E10" s="39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9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HYPERLINK("#'Input - Herd - Feedlot'!A1", "Herd - Feedlot")</f>
        <v>Herd - Feedlot</v>
      </c>
      <c r="D11" s="39" t="str" cm="1">
        <f t="array" ref="D11">Common_InputFunctions.Utility_DisplayArrayInTable(CommonLivestock_SourceData.SourceData_Livestock_Common_SymbolsMMS_Data(), Table_Data_MMSSymbols[[#Headers],[Symbol]], 0)</f>
        <v>2</v>
      </c>
      <c r="E11" s="39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9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HYPERLINK("#'Input - Pasture'!A1", "Pasture")</f>
        <v>Pasture</v>
      </c>
      <c r="D12" s="40" t="str" cm="1">
        <f t="array" ref="D12">Common_InputFunctions.Utility_DisplayArrayInTable(CommonLivestock_SourceData.SourceData_Livestock_Common_SymbolsMMS_Data(), Table_Data_MMSSymbols[[#Headers],[Symbol]], 0)</f>
        <v>3</v>
      </c>
      <c r="E12" s="40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40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HYPERLINK("#'Input - Grains'!A1", "Crop - Grains")</f>
        <v>Crop - Grains</v>
      </c>
      <c r="D13" s="40" t="str" cm="1">
        <f t="array" ref="D13">Common_InputFunctions.Utility_DisplayArrayInTable(CommonLivestock_SourceData.SourceData_Livestock_Common_SymbolsMMS_Data(), Table_Data_MMSSymbols[[#Headers],[Symbol]], 0)</f>
        <v>3a</v>
      </c>
      <c r="E13" s="40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40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HYPERLINK("#'Input - Fert Lime Chem'!A1", "Fertiliser, Lime &amp; Chemicals")</f>
        <v>Fertiliser, Lime &amp; Chemicals</v>
      </c>
      <c r="D14" s="40" t="str" cm="1">
        <f t="array" ref="D14">Common_InputFunctions.Utility_DisplayArrayInTable(CommonLivestock_SourceData.SourceData_Livestock_Common_SymbolsMMS_Data(), Table_Data_MMSSymbols[[#Headers],[Symbol]], 0)</f>
        <v>3b</v>
      </c>
      <c r="E14" s="40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40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HYPERLINK("#'Input - Fuel &amp; Energy'!A1", "Electricity and fuel")</f>
        <v>Electricity and fuel</v>
      </c>
      <c r="D15" s="40" t="str" cm="1">
        <f t="array" ref="D15">Common_InputFunctions.Utility_DisplayArrayInTable(CommonLivestock_SourceData.SourceData_Livestock_Common_SymbolsMMS_Data(), Table_Data_MMSSymbols[[#Headers],[Symbol]], 0)</f>
        <v>4</v>
      </c>
      <c r="E15" s="40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40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71" t="s">
        <v>81</v>
      </c>
      <c r="D16" s="40" t="str" cm="1">
        <f t="array" ref="D16">Common_InputFunctions.Utility_DisplayArrayInTable(CommonLivestock_SourceData.SourceData_Livestock_Common_SymbolsMMS_Data(), Table_Data_MMSSymbols[[#Headers],[Symbol]], 0)</f>
        <v>5</v>
      </c>
      <c r="E16" s="40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40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71" t="s">
        <v>77</v>
      </c>
      <c r="D17" s="40" t="str" cm="1">
        <f t="array" ref="D17">Common_InputFunctions.Utility_DisplayArrayInTable(CommonLivestock_SourceData.SourceData_Livestock_Common_SymbolsMMS_Data(), Table_Data_MMSSymbols[[#Headers],[Symbol]], 0)</f>
        <v>6</v>
      </c>
      <c r="E17" s="40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40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HYPERLINK("#'Input - Other Farm Inputs'!A1", "Other farm inputs")</f>
        <v>Other farm inputs</v>
      </c>
      <c r="D18" s="40" t="str" cm="1">
        <f t="array" ref="D18">Common_InputFunctions.Utility_DisplayArrayInTable(CommonLivestock_SourceData.SourceData_Livestock_Common_SymbolsMMS_Data(), Table_Data_MMSSymbols[[#Headers],[Symbol]], 0)</f>
        <v>7</v>
      </c>
      <c r="E18" s="40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40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HYPERLINK("#'Input - Data quality'!A1", "Data quality")</f>
        <v>Data quality</v>
      </c>
      <c r="D19" s="40" t="str" cm="1">
        <f t="array" ref="D19">Common_InputFunctions.Utility_DisplayArrayInTable(CommonLivestock_SourceData.SourceData_Livestock_Common_SymbolsMMS_Data(), Table_Data_MMSSymbols[[#Headers],[Symbol]], 0)</f>
        <v>8</v>
      </c>
      <c r="E19" s="40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40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D20" s="40" t="str" cm="1">
        <f t="array" ref="D20">Common_InputFunctions.Utility_DisplayArrayInTable(CommonLivestock_SourceData.SourceData_Livestock_Common_SymbolsMMS_Data(), Table_Data_MMSSymbols[[#Headers],[Symbol]], 0)</f>
        <v>9</v>
      </c>
      <c r="E20" s="40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40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9" t="s">
        <v>79</v>
      </c>
      <c r="D21" s="40" t="str" cm="1">
        <f t="array" ref="D21">Common_InputFunctions.Utility_DisplayArrayInTable(CommonLivestock_SourceData.SourceData_Livestock_Common_SymbolsMMS_Data(), Table_Data_MMSSymbols[[#Headers],[Symbol]], 0)</f>
        <v>10</v>
      </c>
      <c r="E21" s="40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40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71" t="s">
        <v>1</v>
      </c>
      <c r="D22" s="40" t="str" cm="1">
        <f t="array" ref="D22">Common_InputFunctions.Utility_DisplayArrayInTable(CommonLivestock_SourceData.SourceData_Livestock_Common_SymbolsMMS_Data(), Table_Data_MMSSymbols[[#Headers],[Symbol]], 0)</f>
        <v>11</v>
      </c>
      <c r="E22" s="40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40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71" t="s">
        <v>78</v>
      </c>
      <c r="D23" s="40" t="str" cm="1">
        <f t="array" ref="D23">Common_InputFunctions.Utility_DisplayArrayInTable(CommonLivestock_SourceData.SourceData_Livestock_Common_SymbolsMMS_Data(), Table_Data_MMSSymbols[[#Headers],[Symbol]], 0)</f>
        <v>11a</v>
      </c>
      <c r="E23" s="40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40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 t="str">
        <f>HYPERLINK("#'Calcs - Fert Lime'!A1", "Fertiliser &amp; soil amendments")</f>
        <v>Fertiliser &amp; soil amendments</v>
      </c>
      <c r="D24" s="40" t="str" cm="1">
        <f t="array" ref="D24">Common_InputFunctions.Utility_DisplayArrayInTable(CommonLivestock_SourceData.SourceData_Livestock_Common_SymbolsMMS_Data(), Table_Data_MMSSymbols[[#Headers],[Symbol]], 0)</f>
        <v>11b</v>
      </c>
      <c r="E24" s="40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40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A25" s="17" t="str">
        <f>HYPERLINK("#'Calcs - Residue mgmt - Crop'!A1", "Residue management - Crop")</f>
        <v>Residue management - Crop</v>
      </c>
      <c r="D25" s="40" t="str" cm="1">
        <f t="array" ref="D25">Common_InputFunctions.Utility_DisplayArrayInTable(CommonLivestock_SourceData.SourceData_Livestock_Common_SymbolsMMS_Data(), Table_Data_MMSSymbols[[#Headers],[Symbol]], 0)</f>
        <v>12</v>
      </c>
      <c r="E25" s="40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40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A26" s="17" t="str">
        <f>HYPERLINK("#'Calcs - Residue mgmt - Pasture'!A1", "Residue management - Pasture")</f>
        <v>Residue management - Pasture</v>
      </c>
      <c r="D26" s="40" t="str" cm="1">
        <f t="array" ref="D26">Common_InputFunctions.Utility_DisplayArrayInTable(CommonLivestock_SourceData.SourceData_Livestock_Common_SymbolsMMS_Data(), Table_Data_MMSSymbols[[#Headers],[Symbol]], 0)</f>
        <v>13</v>
      </c>
      <c r="E26" s="40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40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A27" s="17" t="str">
        <f>HYPERLINK("#'Calcs - Field burning'!A1", "Field burning - Crop")</f>
        <v>Field burning - Crop</v>
      </c>
      <c r="D27" s="40" t="str" cm="1">
        <f t="array" ref="D27">Common_InputFunctions.Utility_DisplayArrayInTable(CommonLivestock_SourceData.SourceData_Livestock_Common_SymbolsMMS_Data(), Table_Data_MMSSymbols[[#Headers],[Symbol]], 0)</f>
        <v>14</v>
      </c>
      <c r="E27" s="40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40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A28" s="17" t="str">
        <f>HYPERLINK("#'Calcs - Fuel'!A1", "Fuel")</f>
        <v>Fuel</v>
      </c>
      <c r="G28" s="3"/>
      <c r="H28" s="3"/>
    </row>
    <row r="29" spans="1:8" ht="20.100000000000001" customHeight="1" x14ac:dyDescent="0.25">
      <c r="A29" s="17" t="str">
        <f>HYPERLINK("#'Calcs - Electricity'!A1", "Electricity")</f>
        <v>Electricity</v>
      </c>
    </row>
    <row r="30" spans="1:8" ht="20.100000000000001" customHeight="1" x14ac:dyDescent="0.25">
      <c r="A30" s="17" t="str">
        <f>HYPERLINK("#'Calcs - Refrigerants'!A1", "Refrigerants")</f>
        <v>Refrigerants</v>
      </c>
    </row>
    <row r="31" spans="1:8" ht="20.100000000000001" customHeight="1" x14ac:dyDescent="0.25">
      <c r="A31" s="71" t="s">
        <v>81</v>
      </c>
    </row>
    <row r="32" spans="1:8" ht="20.100000000000001" customHeight="1" x14ac:dyDescent="0.25">
      <c r="A32" s="71" t="s">
        <v>77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73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1" t="s">
        <v>2</v>
      </c>
    </row>
    <row r="41" spans="1:1" ht="20.100000000000001" customHeight="1" x14ac:dyDescent="0.25">
      <c r="A41" s="48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>
      <selection activeCell="J12" sqref="J12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3B32-A50E-4217-9F7F-79DA7880A082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80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40" t="s">
        <v>24</v>
      </c>
      <c r="E6" s="40" t="s">
        <v>25</v>
      </c>
      <c r="F6" s="40" t="s">
        <v>26</v>
      </c>
    </row>
    <row r="7" spans="1:64" ht="20.100000000000001" customHeight="1" x14ac:dyDescent="0.25">
      <c r="A7"/>
      <c r="D7" s="40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40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40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40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40" t="str" cm="1">
        <f t="array" ref="E8">Common_InputFunctions.Utility_DisplayArrayInTable(Common_SourceData.Common_SourceData_AustralianStatesTerritories_Data(),Table_AustralianStates[[#Headers],[State/Territory]],0)</f>
        <v>ACT</v>
      </c>
      <c r="F8" s="40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40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40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40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40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40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40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40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40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40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40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40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40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40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40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40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40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40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40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40" t="s">
        <v>27</v>
      </c>
    </row>
    <row r="21" spans="1:4" ht="20.100000000000001" customHeight="1" x14ac:dyDescent="0.25">
      <c r="A21"/>
      <c r="D21" s="40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40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40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40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40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40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40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40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40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40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40" t="s">
        <v>30</v>
      </c>
      <c r="E36" s="40" t="s">
        <v>31</v>
      </c>
    </row>
    <row r="37" spans="1:8" ht="20.100000000000001" customHeight="1" x14ac:dyDescent="0.25">
      <c r="A37"/>
      <c r="D37" s="40" t="str" cm="1">
        <f t="array" ref="D37">Common_InputFunctions.Utility_DisplayArrayInTable(Common_SourceData.Common_SourceData_GWP_Data(), Table_GWPData[[#Headers],[Gas]], 0)</f>
        <v>CO2</v>
      </c>
      <c r="E37" s="40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40" t="str" cm="1">
        <f t="array" ref="D38">Common_InputFunctions.Utility_DisplayArrayInTable(Common_SourceData.Common_SourceData_GWP_Data(), Table_GWPData[[#Headers],[Gas]], 0)</f>
        <v>CH4</v>
      </c>
      <c r="E38" s="40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40" t="str" cm="1">
        <f t="array" ref="D39">Common_InputFunctions.Utility_DisplayArrayInTable(Common_SourceData.Common_SourceData_GWP_Data(), Table_GWPData[[#Headers],[Gas]], 0)</f>
        <v>N2O</v>
      </c>
      <c r="E39" s="40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40" t="str" cm="1">
        <f t="array" ref="D40">Common_InputFunctions.Utility_DisplayArrayInTable(Common_SourceData.Common_SourceData_GWP_Data(), Table_GWPData[[#Headers],[Gas]], 0)</f>
        <v>CF4</v>
      </c>
      <c r="E40" s="40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40" t="str" cm="1">
        <f t="array" ref="D41">Common_InputFunctions.Utility_DisplayArrayInTable(Common_SourceData.Common_SourceData_GWP_Data(), Table_GWPData[[#Headers],[Gas]], 0)</f>
        <v>C2F6</v>
      </c>
      <c r="E41" s="40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40" t="str" cm="1">
        <f t="array" ref="D42">Common_InputFunctions.Utility_DisplayArrayInTable(Common_SourceData.Common_SourceData_GWP_Data(), Table_GWPData[[#Headers],[Gas]], 0)</f>
        <v>SF6</v>
      </c>
      <c r="E42" s="40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40" t="str" cm="1">
        <f t="array" ref="D43">Common_InputFunctions.Utility_DisplayArrayInTable(Common_SourceData.Common_SourceData_GWP_Data(), Table_GWPData[[#Headers],[Gas]], 0)</f>
        <v>NF3</v>
      </c>
      <c r="E43" s="40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40" t="s">
        <v>30</v>
      </c>
      <c r="E47" s="40" t="s">
        <v>33</v>
      </c>
      <c r="F47" s="40" t="s">
        <v>34</v>
      </c>
      <c r="G47" s="40" t="s">
        <v>35</v>
      </c>
      <c r="H47" s="40" t="s">
        <v>36</v>
      </c>
    </row>
    <row r="48" spans="1:8" ht="20.100000000000001" customHeight="1" x14ac:dyDescent="0.25">
      <c r="D48" s="40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40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40" cm="1">
        <f t="array" ref="F48">Common_InputFunctions.Utility_DisplayArrayInTable(Common_SourceData.Common_SourceData_ConvertGasElementalToMolecular_Data(),Table_GasToMolecularConversionFactor[[#Headers],[Gas]], 0)</f>
        <v>44</v>
      </c>
      <c r="G48" s="40" cm="1">
        <f t="array" ref="G48">Common_InputFunctions.Utility_DisplayArrayInTable(Common_SourceData.Common_SourceData_ConvertGasElementalToMolecular_Data(),Table_GasToMolecularConversionFactor[[#Headers],[Gas]], 0)</f>
        <v>12</v>
      </c>
      <c r="H48" s="40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40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40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40" cm="1">
        <f t="array" ref="F49">Common_InputFunctions.Utility_DisplayArrayInTable(Common_SourceData.Common_SourceData_ConvertGasElementalToMolecular_Data(),Table_GasToMolecularConversionFactor[[#Headers],[Gas]], 0)</f>
        <v>16</v>
      </c>
      <c r="G49" s="40" cm="1">
        <f t="array" ref="G49">Common_InputFunctions.Utility_DisplayArrayInTable(Common_SourceData.Common_SourceData_ConvertGasElementalToMolecular_Data(),Table_GasToMolecularConversionFactor[[#Headers],[Gas]], 0)</f>
        <v>12</v>
      </c>
      <c r="H49" s="40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40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40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40" cm="1">
        <f t="array" ref="F50">Common_InputFunctions.Utility_DisplayArrayInTable(Common_SourceData.Common_SourceData_ConvertGasElementalToMolecular_Data(),Table_GasToMolecularConversionFactor[[#Headers],[Gas]], 0)</f>
        <v>44</v>
      </c>
      <c r="G50" s="40" cm="1">
        <f t="array" ref="G50">Common_InputFunctions.Utility_DisplayArrayInTable(Common_SourceData.Common_SourceData_ConvertGasElementalToMolecular_Data(),Table_GasToMolecularConversionFactor[[#Headers],[Gas]], 0)</f>
        <v>28</v>
      </c>
      <c r="H50" s="40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40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40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40" cm="1">
        <f t="array" ref="F51">Common_InputFunctions.Utility_DisplayArrayInTable(Common_SourceData.Common_SourceData_ConvertGasElementalToMolecular_Data(),Table_GasToMolecularConversionFactor[[#Headers],[Gas]], 0)</f>
        <v>46</v>
      </c>
      <c r="G51" s="40" cm="1">
        <f t="array" ref="G51">Common_InputFunctions.Utility_DisplayArrayInTable(Common_SourceData.Common_SourceData_ConvertGasElementalToMolecular_Data(),Table_GasToMolecularConversionFactor[[#Headers],[Gas]], 0)</f>
        <v>14</v>
      </c>
      <c r="H51" s="40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40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40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40" cm="1">
        <f t="array" ref="F52">Common_InputFunctions.Utility_DisplayArrayInTable(Common_SourceData.Common_SourceData_ConvertGasElementalToMolecular_Data(),Table_GasToMolecularConversionFactor[[#Headers],[Gas]], 0)</f>
        <v>28</v>
      </c>
      <c r="G52" s="40" cm="1">
        <f t="array" ref="G52">Common_InputFunctions.Utility_DisplayArrayInTable(Common_SourceData.Common_SourceData_ConvertGasElementalToMolecular_Data(),Table_GasToMolecularConversionFactor[[#Headers],[Gas]], 0)</f>
        <v>12</v>
      </c>
      <c r="H52" s="40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40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40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40" cm="1">
        <f t="array" ref="F53">Common_InputFunctions.Utility_DisplayArrayInTable(Common_SourceData.Common_SourceData_ConvertGasElementalToMolecular_Data(),Table_GasToMolecularConversionFactor[[#Headers],[Gas]], 0)</f>
        <v>44</v>
      </c>
      <c r="G53" s="40" cm="1">
        <f t="array" ref="G53">Common_InputFunctions.Utility_DisplayArrayInTable(Common_SourceData.Common_SourceData_ConvertGasElementalToMolecular_Data(),Table_GasToMolecularConversionFactor[[#Headers],[Gas]], 0)</f>
        <v>12</v>
      </c>
      <c r="H53" s="40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40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40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40" cm="1">
        <f t="array" ref="F54">Common_InputFunctions.Utility_DisplayArrayInTable(Common_SourceData.Common_SourceData_ConvertGasElementalToMolecular_Data(),Table_GasToMolecularConversionFactor[[#Headers],[Gas]], 0)</f>
        <v>14</v>
      </c>
      <c r="G54" s="40" cm="1">
        <f t="array" ref="G54">Common_InputFunctions.Utility_DisplayArrayInTable(Common_SourceData.Common_SourceData_ConvertGasElementalToMolecular_Data(),Table_GasToMolecularConversionFactor[[#Headers],[Gas]], 0)</f>
        <v>12</v>
      </c>
      <c r="H54" s="40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9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9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9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40" t="s">
        <v>11</v>
      </c>
      <c r="E63" s="40" t="s">
        <v>51</v>
      </c>
    </row>
    <row r="64" spans="4:8" ht="20.100000000000001" customHeight="1" x14ac:dyDescent="0.25">
      <c r="D64" s="40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40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40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40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40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40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40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40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40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40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40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40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40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40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40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40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40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40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40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40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40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40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40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40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40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40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40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40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9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9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9" t="str">
        <v>⚠️Fixed typo in MAT value for warm temperate dry - changed 10 to 11.</v>
      </c>
    </row>
    <row r="86" spans="4:19" ht="20.100000000000001" customHeight="1" x14ac:dyDescent="0.25">
      <c r="D86" s="59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9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40" t="s">
        <v>11</v>
      </c>
      <c r="E89" s="40" t="s">
        <v>39</v>
      </c>
      <c r="F89" s="40" t="s">
        <v>40</v>
      </c>
      <c r="G89" s="40" t="s">
        <v>41</v>
      </c>
      <c r="H89" s="40" t="s">
        <v>42</v>
      </c>
      <c r="I89" s="40" t="s">
        <v>43</v>
      </c>
      <c r="J89" s="40" t="s">
        <v>44</v>
      </c>
      <c r="K89" s="40" t="s">
        <v>45</v>
      </c>
      <c r="L89" s="40" t="s">
        <v>46</v>
      </c>
      <c r="M89" s="40" t="s">
        <v>47</v>
      </c>
      <c r="N89" s="40" t="s">
        <v>48</v>
      </c>
      <c r="O89" s="40" t="s">
        <v>52</v>
      </c>
      <c r="P89" s="40" t="s">
        <v>49</v>
      </c>
      <c r="Q89" s="40" t="s">
        <v>53</v>
      </c>
      <c r="R89" s="40" t="s">
        <v>50</v>
      </c>
      <c r="S89" s="40" t="s">
        <v>54</v>
      </c>
    </row>
    <row r="90" spans="4:19" ht="20.100000000000001" customHeight="1" x14ac:dyDescent="0.25">
      <c r="D90" s="40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40" t="str" cm="1">
        <f t="array" ref="E90">Common_InputFunctions.Utility_DisplayArrayInTable(Common_SourceData.Common_SourceData_ClimateZones_Data(), Table_SourceData_ClimateZones[[#Headers],[Climate zone]], 0)</f>
        <v>&gt; 18 C</v>
      </c>
      <c r="F90" s="40" t="str" cm="1">
        <f t="array" ref="F90">Common_InputFunctions.Utility_DisplayArrayInTable(Common_SourceData.Common_SourceData_ClimateZones_Data(), Table_SourceData_ClimateZones[[#Headers],[Climate zone]], 0)</f>
        <v>Any</v>
      </c>
      <c r="G90" s="40" t="str" cm="1">
        <f t="array" ref="G90">Common_InputFunctions.Utility_DisplayArrayInTable(Common_SourceData.Common_SourceData_ClimateZones_Data(), Table_SourceData_ClimateZones[[#Headers],[Climate zone]], 0)</f>
        <v>≤ 7</v>
      </c>
      <c r="H90" s="40" t="str" cm="1">
        <f t="array" ref="H90">Common_InputFunctions.Utility_DisplayArrayInTable(Common_SourceData.Common_SourceData_ClimateZones_Data(), Table_SourceData_ClimateZones[[#Headers],[Climate zone]], 0)</f>
        <v>&gt; 1000 m</v>
      </c>
      <c r="I90" s="40" t="str" cm="1">
        <f t="array" ref="I90">Common_InputFunctions.Utility_DisplayArrayInTable(Common_SourceData.Common_SourceData_ClimateZones_Data(), Table_SourceData_ClimateZones[[#Headers],[Climate zone]], 0)</f>
        <v>Any</v>
      </c>
      <c r="J90" s="40" cm="1">
        <f t="array" ref="J90">Common_InputFunctions.Utility_DisplayArrayInTable(Common_SourceData.Common_SourceData_ClimateZones_Data(), Table_SourceData_ClimateZones[[#Headers],[Climate zone]], 0)</f>
        <v>18.001000000000001</v>
      </c>
      <c r="K90" s="40" cm="1">
        <f t="array" ref="K90">Common_InputFunctions.Utility_DisplayArrayInTable(Common_SourceData.Common_SourceData_ClimateZones_Data(), Table_SourceData_ClimateZones[[#Headers],[Climate zone]], 0)</f>
        <v>999999</v>
      </c>
      <c r="L90" s="40" cm="1">
        <f t="array" ref="L90">Common_InputFunctions.Utility_DisplayArrayInTable(Common_SourceData.Common_SourceData_ClimateZones_Data(), Table_SourceData_ClimateZones[[#Headers],[Climate zone]], 0)</f>
        <v>-999999</v>
      </c>
      <c r="M90" s="40" cm="1">
        <f t="array" ref="M90">Common_InputFunctions.Utility_DisplayArrayInTable(Common_SourceData.Common_SourceData_ClimateZones_Data(), Table_SourceData_ClimateZones[[#Headers],[Climate zone]], 0)</f>
        <v>999999</v>
      </c>
      <c r="N90" s="40" cm="1">
        <f t="array" ref="N90">Common_InputFunctions.Utility_DisplayArrayInTable(Common_SourceData.Common_SourceData_ClimateZones_Data(), Table_SourceData_ClimateZones[[#Headers],[Climate zone]], 0)</f>
        <v>-999999</v>
      </c>
      <c r="O90" s="40" cm="1">
        <f t="array" ref="O90">Common_InputFunctions.Utility_DisplayArrayInTable(Common_SourceData.Common_SourceData_ClimateZones_Data(), Table_SourceData_ClimateZones[[#Headers],[Climate zone]], 0)</f>
        <v>7</v>
      </c>
      <c r="P90" s="40" cm="1">
        <f t="array" ref="P90">Common_InputFunctions.Utility_DisplayArrayInTable(Common_SourceData.Common_SourceData_ClimateZones_Data(), Table_SourceData_ClimateZones[[#Headers],[Climate zone]], 0)</f>
        <v>1000</v>
      </c>
      <c r="Q90" s="40" cm="1">
        <f t="array" ref="Q90">Common_InputFunctions.Utility_DisplayArrayInTable(Common_SourceData.Common_SourceData_ClimateZones_Data(), Table_SourceData_ClimateZones[[#Headers],[Climate zone]], 0)</f>
        <v>999999</v>
      </c>
      <c r="R90" s="40" cm="1">
        <f t="array" ref="R90">Common_InputFunctions.Utility_DisplayArrayInTable(Common_SourceData.Common_SourceData_ClimateZones_Data(), Table_SourceData_ClimateZones[[#Headers],[Climate zone]], 0)</f>
        <v>-999999</v>
      </c>
      <c r="S90" s="40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40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40" t="str" cm="1">
        <f t="array" ref="E91">Common_InputFunctions.Utility_DisplayArrayInTable(Common_SourceData.Common_SourceData_ClimateZones_Data(), Table_SourceData_ClimateZones[[#Headers],[Climate zone]], 0)</f>
        <v>&gt; 18 C</v>
      </c>
      <c r="F91" s="40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40" t="str" cm="1">
        <f t="array" ref="G91">Common_InputFunctions.Utility_DisplayArrayInTable(Common_SourceData.Common_SourceData_ClimateZones_Data(), Table_SourceData_ClimateZones[[#Headers],[Climate zone]], 0)</f>
        <v>≤ 7</v>
      </c>
      <c r="H91" s="40" t="str" cm="1">
        <f t="array" ref="H91">Common_InputFunctions.Utility_DisplayArrayInTable(Common_SourceData.Common_SourceData_ClimateZones_Data(), Table_SourceData_ClimateZones[[#Headers],[Climate zone]], 0)</f>
        <v>≤ 1000 m</v>
      </c>
      <c r="I91" s="40" t="str" cm="1">
        <f t="array" ref="I91">Common_InputFunctions.Utility_DisplayArrayInTable(Common_SourceData.Common_SourceData_ClimateZones_Data(), Table_SourceData_ClimateZones[[#Headers],[Climate zone]], 0)</f>
        <v>Any</v>
      </c>
      <c r="J91" s="40" cm="1">
        <f t="array" ref="J91">Common_InputFunctions.Utility_DisplayArrayInTable(Common_SourceData.Common_SourceData_ClimateZones_Data(), Table_SourceData_ClimateZones[[#Headers],[Climate zone]], 0)</f>
        <v>18.001000000000001</v>
      </c>
      <c r="K91" s="40" cm="1">
        <f t="array" ref="K91">Common_InputFunctions.Utility_DisplayArrayInTable(Common_SourceData.Common_SourceData_ClimateZones_Data(), Table_SourceData_ClimateZones[[#Headers],[Climate zone]], 0)</f>
        <v>999999</v>
      </c>
      <c r="L91" s="40" cm="1">
        <f t="array" ref="L91">Common_InputFunctions.Utility_DisplayArrayInTable(Common_SourceData.Common_SourceData_ClimateZones_Data(), Table_SourceData_ClimateZones[[#Headers],[Climate zone]], 0)</f>
        <v>2000.001</v>
      </c>
      <c r="M91" s="40" cm="1">
        <f t="array" ref="M91">Common_InputFunctions.Utility_DisplayArrayInTable(Common_SourceData.Common_SourceData_ClimateZones_Data(), Table_SourceData_ClimateZones[[#Headers],[Climate zone]], 0)</f>
        <v>999999</v>
      </c>
      <c r="N91" s="40" cm="1">
        <f t="array" ref="N91">Common_InputFunctions.Utility_DisplayArrayInTable(Common_SourceData.Common_SourceData_ClimateZones_Data(), Table_SourceData_ClimateZones[[#Headers],[Climate zone]], 0)</f>
        <v>-999999</v>
      </c>
      <c r="O91" s="40" cm="1">
        <f t="array" ref="O91">Common_InputFunctions.Utility_DisplayArrayInTable(Common_SourceData.Common_SourceData_ClimateZones_Data(), Table_SourceData_ClimateZones[[#Headers],[Climate zone]], 0)</f>
        <v>7</v>
      </c>
      <c r="P91" s="40" cm="1">
        <f t="array" ref="P91">Common_InputFunctions.Utility_DisplayArrayInTable(Common_SourceData.Common_SourceData_ClimateZones_Data(), Table_SourceData_ClimateZones[[#Headers],[Climate zone]], 0)</f>
        <v>-999999</v>
      </c>
      <c r="Q91" s="40" cm="1">
        <f t="array" ref="Q91">Common_InputFunctions.Utility_DisplayArrayInTable(Common_SourceData.Common_SourceData_ClimateZones_Data(), Table_SourceData_ClimateZones[[#Headers],[Climate zone]], 0)</f>
        <v>999.99900000000002</v>
      </c>
      <c r="R91" s="40" cm="1">
        <f t="array" ref="R91">Common_InputFunctions.Utility_DisplayArrayInTable(Common_SourceData.Common_SourceData_ClimateZones_Data(), Table_SourceData_ClimateZones[[#Headers],[Climate zone]], 0)</f>
        <v>-999999</v>
      </c>
      <c r="S91" s="40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40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40" t="str" cm="1">
        <f t="array" ref="E92">Common_InputFunctions.Utility_DisplayArrayInTable(Common_SourceData.Common_SourceData_ClimateZones_Data(), Table_SourceData_ClimateZones[[#Headers],[Climate zone]], 0)</f>
        <v>&gt; 18 C</v>
      </c>
      <c r="F92" s="40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40" t="str" cm="1">
        <f t="array" ref="G92">Common_InputFunctions.Utility_DisplayArrayInTable(Common_SourceData.Common_SourceData_ClimateZones_Data(), Table_SourceData_ClimateZones[[#Headers],[Climate zone]], 0)</f>
        <v>≤ 7</v>
      </c>
      <c r="H92" s="40" t="str" cm="1">
        <f t="array" ref="H92">Common_InputFunctions.Utility_DisplayArrayInTable(Common_SourceData.Common_SourceData_ClimateZones_Data(), Table_SourceData_ClimateZones[[#Headers],[Climate zone]], 0)</f>
        <v>≤ 1000 m</v>
      </c>
      <c r="I92" s="40" t="str" cm="1">
        <f t="array" ref="I92">Common_InputFunctions.Utility_DisplayArrayInTable(Common_SourceData.Common_SourceData_ClimateZones_Data(), Table_SourceData_ClimateZones[[#Headers],[Climate zone]], 0)</f>
        <v>Any</v>
      </c>
      <c r="J92" s="40" cm="1">
        <f t="array" ref="J92">Common_InputFunctions.Utility_DisplayArrayInTable(Common_SourceData.Common_SourceData_ClimateZones_Data(), Table_SourceData_ClimateZones[[#Headers],[Climate zone]], 0)</f>
        <v>18.001000000000001</v>
      </c>
      <c r="K92" s="40" cm="1">
        <f t="array" ref="K92">Common_InputFunctions.Utility_DisplayArrayInTable(Common_SourceData.Common_SourceData_ClimateZones_Data(), Table_SourceData_ClimateZones[[#Headers],[Climate zone]], 0)</f>
        <v>999999</v>
      </c>
      <c r="L92" s="40" cm="1">
        <f t="array" ref="L92">Common_InputFunctions.Utility_DisplayArrayInTable(Common_SourceData.Common_SourceData_ClimateZones_Data(), Table_SourceData_ClimateZones[[#Headers],[Climate zone]], 0)</f>
        <v>1000.001</v>
      </c>
      <c r="M92" s="40" cm="1">
        <f t="array" ref="M92">Common_InputFunctions.Utility_DisplayArrayInTable(Common_SourceData.Common_SourceData_ClimateZones_Data(), Table_SourceData_ClimateZones[[#Headers],[Climate zone]], 0)</f>
        <v>2000</v>
      </c>
      <c r="N92" s="40" cm="1">
        <f t="array" ref="N92">Common_InputFunctions.Utility_DisplayArrayInTable(Common_SourceData.Common_SourceData_ClimateZones_Data(), Table_SourceData_ClimateZones[[#Headers],[Climate zone]], 0)</f>
        <v>-999999</v>
      </c>
      <c r="O92" s="40" cm="1">
        <f t="array" ref="O92">Common_InputFunctions.Utility_DisplayArrayInTable(Common_SourceData.Common_SourceData_ClimateZones_Data(), Table_SourceData_ClimateZones[[#Headers],[Climate zone]], 0)</f>
        <v>7</v>
      </c>
      <c r="P92" s="40" cm="1">
        <f t="array" ref="P92">Common_InputFunctions.Utility_DisplayArrayInTable(Common_SourceData.Common_SourceData_ClimateZones_Data(), Table_SourceData_ClimateZones[[#Headers],[Climate zone]], 0)</f>
        <v>-999999</v>
      </c>
      <c r="Q92" s="40" cm="1">
        <f t="array" ref="Q92">Common_InputFunctions.Utility_DisplayArrayInTable(Common_SourceData.Common_SourceData_ClimateZones_Data(), Table_SourceData_ClimateZones[[#Headers],[Climate zone]], 0)</f>
        <v>999.99900000000002</v>
      </c>
      <c r="R92" s="40" cm="1">
        <f t="array" ref="R92">Common_InputFunctions.Utility_DisplayArrayInTable(Common_SourceData.Common_SourceData_ClimateZones_Data(), Table_SourceData_ClimateZones[[#Headers],[Climate zone]], 0)</f>
        <v>-999999</v>
      </c>
      <c r="S92" s="40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40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40" t="str" cm="1">
        <f t="array" ref="E93">Common_InputFunctions.Utility_DisplayArrayInTable(Common_SourceData.Common_SourceData_ClimateZones_Data(), Table_SourceData_ClimateZones[[#Headers],[Climate zone]], 0)</f>
        <v>&gt; 18 C</v>
      </c>
      <c r="F93" s="40" t="str" cm="1">
        <f t="array" ref="F93">Common_InputFunctions.Utility_DisplayArrayInTable(Common_SourceData.Common_SourceData_ClimateZones_Data(), Table_SourceData_ClimateZones[[#Headers],[Climate zone]], 0)</f>
        <v>≤ 1000 mm</v>
      </c>
      <c r="G93" s="40" t="str" cm="1">
        <f t="array" ref="G93">Common_InputFunctions.Utility_DisplayArrayInTable(Common_SourceData.Common_SourceData_ClimateZones_Data(), Table_SourceData_ClimateZones[[#Headers],[Climate zone]], 0)</f>
        <v>≤ 7</v>
      </c>
      <c r="H93" s="40" t="str" cm="1">
        <f t="array" ref="H93">Common_InputFunctions.Utility_DisplayArrayInTable(Common_SourceData.Common_SourceData_ClimateZones_Data(), Table_SourceData_ClimateZones[[#Headers],[Climate zone]], 0)</f>
        <v>≤ 1000 m</v>
      </c>
      <c r="I93" s="40" t="str" cm="1">
        <f t="array" ref="I93">Common_InputFunctions.Utility_DisplayArrayInTable(Common_SourceData.Common_SourceData_ClimateZones_Data(), Table_SourceData_ClimateZones[[#Headers],[Climate zone]], 0)</f>
        <v>Any</v>
      </c>
      <c r="J93" s="40" cm="1">
        <f t="array" ref="J93">Common_InputFunctions.Utility_DisplayArrayInTable(Common_SourceData.Common_SourceData_ClimateZones_Data(), Table_SourceData_ClimateZones[[#Headers],[Climate zone]], 0)</f>
        <v>18.001000000000001</v>
      </c>
      <c r="K93" s="40" cm="1">
        <f t="array" ref="K93">Common_InputFunctions.Utility_DisplayArrayInTable(Common_SourceData.Common_SourceData_ClimateZones_Data(), Table_SourceData_ClimateZones[[#Headers],[Climate zone]], 0)</f>
        <v>999999</v>
      </c>
      <c r="L93" s="40" cm="1">
        <f t="array" ref="L93">Common_InputFunctions.Utility_DisplayArrayInTable(Common_SourceData.Common_SourceData_ClimateZones_Data(), Table_SourceData_ClimateZones[[#Headers],[Climate zone]], 0)</f>
        <v>-999999</v>
      </c>
      <c r="M93" s="40" cm="1">
        <f t="array" ref="M93">Common_InputFunctions.Utility_DisplayArrayInTable(Common_SourceData.Common_SourceData_ClimateZones_Data(), Table_SourceData_ClimateZones[[#Headers],[Climate zone]], 0)</f>
        <v>1000</v>
      </c>
      <c r="N93" s="40" cm="1">
        <f t="array" ref="N93">Common_InputFunctions.Utility_DisplayArrayInTable(Common_SourceData.Common_SourceData_ClimateZones_Data(), Table_SourceData_ClimateZones[[#Headers],[Climate zone]], 0)</f>
        <v>-999999</v>
      </c>
      <c r="O93" s="40" cm="1">
        <f t="array" ref="O93">Common_InputFunctions.Utility_DisplayArrayInTable(Common_SourceData.Common_SourceData_ClimateZones_Data(), Table_SourceData_ClimateZones[[#Headers],[Climate zone]], 0)</f>
        <v>7</v>
      </c>
      <c r="P93" s="40" cm="1">
        <f t="array" ref="P93">Common_InputFunctions.Utility_DisplayArrayInTable(Common_SourceData.Common_SourceData_ClimateZones_Data(), Table_SourceData_ClimateZones[[#Headers],[Climate zone]], 0)</f>
        <v>-999999</v>
      </c>
      <c r="Q93" s="40" cm="1">
        <f t="array" ref="Q93">Common_InputFunctions.Utility_DisplayArrayInTable(Common_SourceData.Common_SourceData_ClimateZones_Data(), Table_SourceData_ClimateZones[[#Headers],[Climate zone]], 0)</f>
        <v>999.99900000000002</v>
      </c>
      <c r="R93" s="40" cm="1">
        <f t="array" ref="R93">Common_InputFunctions.Utility_DisplayArrayInTable(Common_SourceData.Common_SourceData_ClimateZones_Data(), Table_SourceData_ClimateZones[[#Headers],[Climate zone]], 0)</f>
        <v>-999999</v>
      </c>
      <c r="S93" s="40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40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40" t="str" cm="1">
        <f t="array" ref="E94">Common_InputFunctions.Utility_DisplayArrayInTable(Common_SourceData.Common_SourceData_ClimateZones_Data(), Table_SourceData_ClimateZones[[#Headers],[Climate zone]], 0)</f>
        <v>&gt; 10 C</v>
      </c>
      <c r="F94" s="40" t="str" cm="1">
        <f t="array" ref="F94">Common_InputFunctions.Utility_DisplayArrayInTable(Common_SourceData.Common_SourceData_ClimateZones_Data(), Table_SourceData_ClimateZones[[#Headers],[Climate zone]], 0)</f>
        <v>Any</v>
      </c>
      <c r="G94" s="40" t="str" cm="1">
        <f t="array" ref="G94">Common_InputFunctions.Utility_DisplayArrayInTable(Common_SourceData.Common_SourceData_ClimateZones_Data(), Table_SourceData_ClimateZones[[#Headers],[Climate zone]], 0)</f>
        <v>Any</v>
      </c>
      <c r="H94" s="40" t="str" cm="1">
        <f t="array" ref="H94">Common_InputFunctions.Utility_DisplayArrayInTable(Common_SourceData.Common_SourceData_ClimateZones_Data(), Table_SourceData_ClimateZones[[#Headers],[Climate zone]], 0)</f>
        <v>Any</v>
      </c>
      <c r="I94" s="40" t="str" cm="1">
        <f t="array" ref="I94">Common_InputFunctions.Utility_DisplayArrayInTable(Common_SourceData.Common_SourceData_ClimateZones_Data(), Table_SourceData_ClimateZones[[#Headers],[Climate zone]], 0)</f>
        <v>&gt; 1</v>
      </c>
      <c r="J94" s="40" cm="1">
        <f t="array" ref="J94">Common_InputFunctions.Utility_DisplayArrayInTable(Common_SourceData.Common_SourceData_ClimateZones_Data(), Table_SourceData_ClimateZones[[#Headers],[Climate zone]], 0)</f>
        <v>10.000999999999999</v>
      </c>
      <c r="K94" s="40" cm="1">
        <f t="array" ref="K94">Common_InputFunctions.Utility_DisplayArrayInTable(Common_SourceData.Common_SourceData_ClimateZones_Data(), Table_SourceData_ClimateZones[[#Headers],[Climate zone]], 0)</f>
        <v>999999</v>
      </c>
      <c r="L94" s="40" cm="1">
        <f t="array" ref="L94">Common_InputFunctions.Utility_DisplayArrayInTable(Common_SourceData.Common_SourceData_ClimateZones_Data(), Table_SourceData_ClimateZones[[#Headers],[Climate zone]], 0)</f>
        <v>-999999</v>
      </c>
      <c r="M94" s="40" cm="1">
        <f t="array" ref="M94">Common_InputFunctions.Utility_DisplayArrayInTable(Common_SourceData.Common_SourceData_ClimateZones_Data(), Table_SourceData_ClimateZones[[#Headers],[Climate zone]], 0)</f>
        <v>999999</v>
      </c>
      <c r="N94" s="40" cm="1">
        <f t="array" ref="N94">Common_InputFunctions.Utility_DisplayArrayInTable(Common_SourceData.Common_SourceData_ClimateZones_Data(), Table_SourceData_ClimateZones[[#Headers],[Climate zone]], 0)</f>
        <v>-999999</v>
      </c>
      <c r="O94" s="40" cm="1">
        <f t="array" ref="O94">Common_InputFunctions.Utility_DisplayArrayInTable(Common_SourceData.Common_SourceData_ClimateZones_Data(), Table_SourceData_ClimateZones[[#Headers],[Climate zone]], 0)</f>
        <v>999999</v>
      </c>
      <c r="P94" s="40" cm="1">
        <f t="array" ref="P94">Common_InputFunctions.Utility_DisplayArrayInTable(Common_SourceData.Common_SourceData_ClimateZones_Data(), Table_SourceData_ClimateZones[[#Headers],[Climate zone]], 0)</f>
        <v>-999999</v>
      </c>
      <c r="Q94" s="40" cm="1">
        <f t="array" ref="Q94">Common_InputFunctions.Utility_DisplayArrayInTable(Common_SourceData.Common_SourceData_ClimateZones_Data(), Table_SourceData_ClimateZones[[#Headers],[Climate zone]], 0)</f>
        <v>999999</v>
      </c>
      <c r="R94" s="40" cm="1">
        <f t="array" ref="R94">Common_InputFunctions.Utility_DisplayArrayInTable(Common_SourceData.Common_SourceData_ClimateZones_Data(), Table_SourceData_ClimateZones[[#Headers],[Climate zone]], 0)</f>
        <v>1.0009999999999999</v>
      </c>
      <c r="S94" s="40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40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40" t="str" cm="1">
        <f t="array" ref="E95">Common_InputFunctions.Utility_DisplayArrayInTable(Common_SourceData.Common_SourceData_ClimateZones_Data(), Table_SourceData_ClimateZones[[#Headers],[Climate zone]], 0)</f>
        <v>&gt; 10 C</v>
      </c>
      <c r="F95" s="40" t="str" cm="1">
        <f t="array" ref="F95">Common_InputFunctions.Utility_DisplayArrayInTable(Common_SourceData.Common_SourceData_ClimateZones_Data(), Table_SourceData_ClimateZones[[#Headers],[Climate zone]], 0)</f>
        <v>Any</v>
      </c>
      <c r="G95" s="40" t="str" cm="1">
        <f t="array" ref="G95">Common_InputFunctions.Utility_DisplayArrayInTable(Common_SourceData.Common_SourceData_ClimateZones_Data(), Table_SourceData_ClimateZones[[#Headers],[Climate zone]], 0)</f>
        <v>Any</v>
      </c>
      <c r="H95" s="40" t="str" cm="1">
        <f t="array" ref="H95">Common_InputFunctions.Utility_DisplayArrayInTable(Common_SourceData.Common_SourceData_ClimateZones_Data(), Table_SourceData_ClimateZones[[#Headers],[Climate zone]], 0)</f>
        <v>Any</v>
      </c>
      <c r="I95" s="40" t="str" cm="1">
        <f t="array" ref="I95">Common_InputFunctions.Utility_DisplayArrayInTable(Common_SourceData.Common_SourceData_ClimateZones_Data(), Table_SourceData_ClimateZones[[#Headers],[Climate zone]], 0)</f>
        <v>≤ 1</v>
      </c>
      <c r="J95" s="40" cm="1">
        <f t="array" ref="J95">Common_InputFunctions.Utility_DisplayArrayInTable(Common_SourceData.Common_SourceData_ClimateZones_Data(), Table_SourceData_ClimateZones[[#Headers],[Climate zone]], 0)</f>
        <v>10.000999999999999</v>
      </c>
      <c r="K95" s="40" cm="1">
        <f t="array" ref="K95">Common_InputFunctions.Utility_DisplayArrayInTable(Common_SourceData.Common_SourceData_ClimateZones_Data(), Table_SourceData_ClimateZones[[#Headers],[Climate zone]], 0)</f>
        <v>999999</v>
      </c>
      <c r="L95" s="40" cm="1">
        <f t="array" ref="L95">Common_InputFunctions.Utility_DisplayArrayInTable(Common_SourceData.Common_SourceData_ClimateZones_Data(), Table_SourceData_ClimateZones[[#Headers],[Climate zone]], 0)</f>
        <v>-999999</v>
      </c>
      <c r="M95" s="40" cm="1">
        <f t="array" ref="M95">Common_InputFunctions.Utility_DisplayArrayInTable(Common_SourceData.Common_SourceData_ClimateZones_Data(), Table_SourceData_ClimateZones[[#Headers],[Climate zone]], 0)</f>
        <v>999999</v>
      </c>
      <c r="N95" s="40" cm="1">
        <f t="array" ref="N95">Common_InputFunctions.Utility_DisplayArrayInTable(Common_SourceData.Common_SourceData_ClimateZones_Data(), Table_SourceData_ClimateZones[[#Headers],[Climate zone]], 0)</f>
        <v>-999999</v>
      </c>
      <c r="O95" s="40" cm="1">
        <f t="array" ref="O95">Common_InputFunctions.Utility_DisplayArrayInTable(Common_SourceData.Common_SourceData_ClimateZones_Data(), Table_SourceData_ClimateZones[[#Headers],[Climate zone]], 0)</f>
        <v>999999</v>
      </c>
      <c r="P95" s="40" cm="1">
        <f t="array" ref="P95">Common_InputFunctions.Utility_DisplayArrayInTable(Common_SourceData.Common_SourceData_ClimateZones_Data(), Table_SourceData_ClimateZones[[#Headers],[Climate zone]], 0)</f>
        <v>-999999</v>
      </c>
      <c r="Q95" s="40" cm="1">
        <f t="array" ref="Q95">Common_InputFunctions.Utility_DisplayArrayInTable(Common_SourceData.Common_SourceData_ClimateZones_Data(), Table_SourceData_ClimateZones[[#Headers],[Climate zone]], 0)</f>
        <v>999999</v>
      </c>
      <c r="R95" s="40" cm="1">
        <f t="array" ref="R95">Common_InputFunctions.Utility_DisplayArrayInTable(Common_SourceData.Common_SourceData_ClimateZones_Data(), Table_SourceData_ClimateZones[[#Headers],[Climate zone]], 0)</f>
        <v>-999999</v>
      </c>
      <c r="S95" s="40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40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40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40" t="str" cm="1">
        <f t="array" ref="F96">Common_InputFunctions.Utility_DisplayArrayInTable(Common_SourceData.Common_SourceData_ClimateZones_Data(), Table_SourceData_ClimateZones[[#Headers],[Climate zone]], 0)</f>
        <v>Any</v>
      </c>
      <c r="G96" s="40" t="str" cm="1">
        <f t="array" ref="G96">Common_InputFunctions.Utility_DisplayArrayInTable(Common_SourceData.Common_SourceData_ClimateZones_Data(), Table_SourceData_ClimateZones[[#Headers],[Climate zone]], 0)</f>
        <v>Any</v>
      </c>
      <c r="H96" s="40" t="str" cm="1">
        <f t="array" ref="H96">Common_InputFunctions.Utility_DisplayArrayInTable(Common_SourceData.Common_SourceData_ClimateZones_Data(), Table_SourceData_ClimateZones[[#Headers],[Climate zone]], 0)</f>
        <v>Any</v>
      </c>
      <c r="I96" s="40" t="str" cm="1">
        <f t="array" ref="I96">Common_InputFunctions.Utility_DisplayArrayInTable(Common_SourceData.Common_SourceData_ClimateZones_Data(), Table_SourceData_ClimateZones[[#Headers],[Climate zone]], 0)</f>
        <v>&gt; 1</v>
      </c>
      <c r="J96" s="40" cm="1">
        <f t="array" ref="J96">Common_InputFunctions.Utility_DisplayArrayInTable(Common_SourceData.Common_SourceData_ClimateZones_Data(), Table_SourceData_ClimateZones[[#Headers],[Climate zone]], 0)</f>
        <v>-999999</v>
      </c>
      <c r="K96" s="40" cm="1">
        <f t="array" ref="K96">Common_InputFunctions.Utility_DisplayArrayInTable(Common_SourceData.Common_SourceData_ClimateZones_Data(), Table_SourceData_ClimateZones[[#Headers],[Climate zone]], 0)</f>
        <v>10</v>
      </c>
      <c r="L96" s="40" cm="1">
        <f t="array" ref="L96">Common_InputFunctions.Utility_DisplayArrayInTable(Common_SourceData.Common_SourceData_ClimateZones_Data(), Table_SourceData_ClimateZones[[#Headers],[Climate zone]], 0)</f>
        <v>-999999</v>
      </c>
      <c r="M96" s="40" cm="1">
        <f t="array" ref="M96">Common_InputFunctions.Utility_DisplayArrayInTable(Common_SourceData.Common_SourceData_ClimateZones_Data(), Table_SourceData_ClimateZones[[#Headers],[Climate zone]], 0)</f>
        <v>999999</v>
      </c>
      <c r="N96" s="40" cm="1">
        <f t="array" ref="N96">Common_InputFunctions.Utility_DisplayArrayInTable(Common_SourceData.Common_SourceData_ClimateZones_Data(), Table_SourceData_ClimateZones[[#Headers],[Climate zone]], 0)</f>
        <v>-999999</v>
      </c>
      <c r="O96" s="40" cm="1">
        <f t="array" ref="O96">Common_InputFunctions.Utility_DisplayArrayInTable(Common_SourceData.Common_SourceData_ClimateZones_Data(), Table_SourceData_ClimateZones[[#Headers],[Climate zone]], 0)</f>
        <v>999999</v>
      </c>
      <c r="P96" s="40" cm="1">
        <f t="array" ref="P96">Common_InputFunctions.Utility_DisplayArrayInTable(Common_SourceData.Common_SourceData_ClimateZones_Data(), Table_SourceData_ClimateZones[[#Headers],[Climate zone]], 0)</f>
        <v>-999999</v>
      </c>
      <c r="Q96" s="40" cm="1">
        <f t="array" ref="Q96">Common_InputFunctions.Utility_DisplayArrayInTable(Common_SourceData.Common_SourceData_ClimateZones_Data(), Table_SourceData_ClimateZones[[#Headers],[Climate zone]], 0)</f>
        <v>999999</v>
      </c>
      <c r="R96" s="40" cm="1">
        <f t="array" ref="R96">Common_InputFunctions.Utility_DisplayArrayInTable(Common_SourceData.Common_SourceData_ClimateZones_Data(), Table_SourceData_ClimateZones[[#Headers],[Climate zone]], 0)</f>
        <v>1.0009999999999999</v>
      </c>
      <c r="S96" s="40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40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40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40" t="str" cm="1">
        <f t="array" ref="F97">Common_InputFunctions.Utility_DisplayArrayInTable(Common_SourceData.Common_SourceData_ClimateZones_Data(), Table_SourceData_ClimateZones[[#Headers],[Climate zone]], 0)</f>
        <v>Any</v>
      </c>
      <c r="G97" s="40" t="str" cm="1">
        <f t="array" ref="G97">Common_InputFunctions.Utility_DisplayArrayInTable(Common_SourceData.Common_SourceData_ClimateZones_Data(), Table_SourceData_ClimateZones[[#Headers],[Climate zone]], 0)</f>
        <v>Any</v>
      </c>
      <c r="H97" s="40" t="str" cm="1">
        <f t="array" ref="H97">Common_InputFunctions.Utility_DisplayArrayInTable(Common_SourceData.Common_SourceData_ClimateZones_Data(), Table_SourceData_ClimateZones[[#Headers],[Climate zone]], 0)</f>
        <v>Any</v>
      </c>
      <c r="I97" s="40" t="str" cm="1">
        <f t="array" ref="I97">Common_InputFunctions.Utility_DisplayArrayInTable(Common_SourceData.Common_SourceData_ClimateZones_Data(), Table_SourceData_ClimateZones[[#Headers],[Climate zone]], 0)</f>
        <v>≤ 1</v>
      </c>
      <c r="J97" s="40" cm="1">
        <f t="array" ref="J97">Common_InputFunctions.Utility_DisplayArrayInTable(Common_SourceData.Common_SourceData_ClimateZones_Data(), Table_SourceData_ClimateZones[[#Headers],[Climate zone]], 0)</f>
        <v>-999999</v>
      </c>
      <c r="K97" s="40" cm="1">
        <f t="array" ref="K97">Common_InputFunctions.Utility_DisplayArrayInTable(Common_SourceData.Common_SourceData_ClimateZones_Data(), Table_SourceData_ClimateZones[[#Headers],[Climate zone]], 0)</f>
        <v>10</v>
      </c>
      <c r="L97" s="40" cm="1">
        <f t="array" ref="L97">Common_InputFunctions.Utility_DisplayArrayInTable(Common_SourceData.Common_SourceData_ClimateZones_Data(), Table_SourceData_ClimateZones[[#Headers],[Climate zone]], 0)</f>
        <v>-999999</v>
      </c>
      <c r="M97" s="40" cm="1">
        <f t="array" ref="M97">Common_InputFunctions.Utility_DisplayArrayInTable(Common_SourceData.Common_SourceData_ClimateZones_Data(), Table_SourceData_ClimateZones[[#Headers],[Climate zone]], 0)</f>
        <v>999999</v>
      </c>
      <c r="N97" s="40" cm="1">
        <f t="array" ref="N97">Common_InputFunctions.Utility_DisplayArrayInTable(Common_SourceData.Common_SourceData_ClimateZones_Data(), Table_SourceData_ClimateZones[[#Headers],[Climate zone]], 0)</f>
        <v>-999999</v>
      </c>
      <c r="O97" s="40" cm="1">
        <f t="array" ref="O97">Common_InputFunctions.Utility_DisplayArrayInTable(Common_SourceData.Common_SourceData_ClimateZones_Data(), Table_SourceData_ClimateZones[[#Headers],[Climate zone]], 0)</f>
        <v>999999</v>
      </c>
      <c r="P97" s="40" cm="1">
        <f t="array" ref="P97">Common_InputFunctions.Utility_DisplayArrayInTable(Common_SourceData.Common_SourceData_ClimateZones_Data(), Table_SourceData_ClimateZones[[#Headers],[Climate zone]], 0)</f>
        <v>-999999</v>
      </c>
      <c r="Q97" s="40" cm="1">
        <f t="array" ref="Q97">Common_InputFunctions.Utility_DisplayArrayInTable(Common_SourceData.Common_SourceData_ClimateZones_Data(), Table_SourceData_ClimateZones[[#Headers],[Climate zone]], 0)</f>
        <v>999999</v>
      </c>
      <c r="R97" s="40" cm="1">
        <f t="array" ref="R97">Common_InputFunctions.Utility_DisplayArrayInTable(Common_SourceData.Common_SourceData_ClimateZones_Data(), Table_SourceData_ClimateZones[[#Headers],[Climate zone]], 0)</f>
        <v>-999999</v>
      </c>
      <c r="S97" s="40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8" t="str" cm="1">
        <f t="array" ref="D98:D101">Common_SourceData.Common_SourceData_ClimateZones_Appendices()</f>
        <v>Note:</v>
      </c>
    </row>
    <row r="99" spans="4:19" ht="20.100000000000001" customHeight="1" x14ac:dyDescent="0.25">
      <c r="D99" s="58" t="str">
        <v>MAT = mean annual temperature</v>
      </c>
    </row>
    <row r="100" spans="4:19" ht="20.100000000000001" customHeight="1" x14ac:dyDescent="0.25">
      <c r="D100" s="58" t="str">
        <v>MAP = mean annual precipitation</v>
      </c>
    </row>
    <row r="101" spans="4:19" ht="20.100000000000001" customHeight="1" x14ac:dyDescent="0.25">
      <c r="D101" s="58" t="str">
        <v>PET = potential evapotranspiration</v>
      </c>
    </row>
    <row r="102" spans="4:19" ht="20.100000000000001" customHeight="1" x14ac:dyDescent="0.25">
      <c r="D102" s="58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9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40" t="s">
        <v>58</v>
      </c>
      <c r="E109" s="40" t="s">
        <v>39</v>
      </c>
      <c r="F109" s="40" t="s">
        <v>59</v>
      </c>
      <c r="G109" s="40" t="s">
        <v>60</v>
      </c>
    </row>
    <row r="110" spans="4:19" ht="20.100000000000001" customHeight="1" x14ac:dyDescent="0.25">
      <c r="D110" s="40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40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40" cm="1">
        <f t="array" ref="F110">Common_InputFunctions.Utility_DisplayArrayInTable(Common_SourceData.Common_SourceData_TemperatureZones_Data(),Table_SourceData_TemperatureZones[[#Headers],[Temperature Zone]],0)</f>
        <v>26</v>
      </c>
      <c r="G110" s="40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40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40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40" cm="1">
        <f t="array" ref="F111">Common_InputFunctions.Utility_DisplayArrayInTable(Common_SourceData.Common_SourceData_TemperatureZones_Data(),Table_SourceData_TemperatureZones[[#Headers],[Temperature Zone]],0)</f>
        <v>15</v>
      </c>
      <c r="G111" s="40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40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40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40" cm="1">
        <f t="array" ref="F112">Common_InputFunctions.Utility_DisplayArrayInTable(Common_SourceData.Common_SourceData_TemperatureZones_Data(),Table_SourceData_TemperatureZones[[#Headers],[Temperature Zone]],0)</f>
        <v>-999999</v>
      </c>
      <c r="G112" s="40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9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40" t="s">
        <v>61</v>
      </c>
      <c r="E119" s="40" t="s">
        <v>62</v>
      </c>
      <c r="F119" s="40" t="s">
        <v>46</v>
      </c>
      <c r="G119" s="40" t="s">
        <v>47</v>
      </c>
      <c r="BM119" s="7"/>
    </row>
    <row r="120" spans="4:65" ht="20.100000000000001" customHeight="1" x14ac:dyDescent="0.25">
      <c r="D120" s="40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40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40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40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40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40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40" cm="1">
        <f t="array" ref="F121">Common_InputFunctions.Utility_DisplayArrayInTable(Common_SourceData.Common_SourceData_RainfallZones_Data(),Table_SourceData_RainfallZones[[#Headers],[Rainfall Zone]],0)</f>
        <v>-999999</v>
      </c>
      <c r="G121" s="40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40" t="s">
        <v>68</v>
      </c>
      <c r="E127" s="40" t="s">
        <v>69</v>
      </c>
    </row>
    <row r="128" spans="4:65" ht="20.100000000000001" customHeight="1" x14ac:dyDescent="0.25">
      <c r="D128" s="40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40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40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40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96</v>
      </c>
      <c r="E134" t="s">
        <v>97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40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40" t="s">
        <v>71</v>
      </c>
      <c r="E142" s="40" t="s">
        <v>72</v>
      </c>
      <c r="BM142" s="7"/>
    </row>
    <row r="143" spans="4:76" ht="20.100000000000001" customHeight="1" x14ac:dyDescent="0.25">
      <c r="D143" s="40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40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40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40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40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40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40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40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40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40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4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4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4"/>
      <c r="BM152" s="7"/>
    </row>
    <row r="153" spans="4:65" ht="20.100000000000001" customHeight="1" x14ac:dyDescent="0.25">
      <c r="D153" s="24" t="str" cm="1">
        <f t="array" ref="D153:E153">Common_SourceData.Common_SourceData_FracLEACH_Data()</f>
        <v>FracLEACH</v>
      </c>
      <c r="E153" s="24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8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8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9" t="str" cm="1">
        <f t="array" ref="D170:D173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9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9" t="str">
        <v>Removed asterisks to aid lookup.</v>
      </c>
      <c r="BM172" s="7"/>
      <c r="BN172" s="7"/>
      <c r="BO172" s="7"/>
    </row>
    <row r="173" spans="4:67" ht="20.100000000000001" customHeight="1" x14ac:dyDescent="0.25">
      <c r="D173" s="59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9"/>
      <c r="BM174" s="7"/>
      <c r="BN174" s="7"/>
      <c r="BO174" s="7"/>
    </row>
    <row r="175" spans="4:67" ht="20.100000000000001" customHeight="1" x14ac:dyDescent="0.25">
      <c r="D175" s="40" t="s">
        <v>314</v>
      </c>
      <c r="E175" s="40" t="s">
        <v>315</v>
      </c>
      <c r="F175" s="40" t="s">
        <v>316</v>
      </c>
      <c r="G175" s="40" t="s">
        <v>317</v>
      </c>
      <c r="H175" s="40" t="s">
        <v>38</v>
      </c>
      <c r="J175" s="1" t="s">
        <v>318</v>
      </c>
      <c r="BM175" s="7"/>
      <c r="BN175" s="7"/>
      <c r="BO175" s="7"/>
    </row>
    <row r="176" spans="4:67" ht="20.100000000000001" customHeight="1" x14ac:dyDescent="0.25">
      <c r="D176" s="40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40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40" t="str" cm="1">
        <f t="array" ref="F176">Common_InputFunctions.Utility_DisplayArrayInTable(Common_SourceData.Common_SourceData_EFN2O_Data(), Table_SourceData_Common_EFN2O[[#Headers],[Production system j]], 0)</f>
        <v>Pasture</v>
      </c>
      <c r="G176" s="40" t="str" cm="1">
        <f t="array" ref="G176">Common_InputFunctions.Utility_DisplayArrayInTable(Common_SourceData.Common_SourceData_EFN2O_Data(), Table_SourceData_Common_EFN2O[[#Headers],[Production system j]], 0)</f>
        <v>Any</v>
      </c>
      <c r="H176" s="40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319</v>
      </c>
      <c r="BM176" s="7"/>
      <c r="BN176" s="7"/>
      <c r="BO176" s="7"/>
    </row>
    <row r="177" spans="4:67" ht="20.100000000000001" customHeight="1" x14ac:dyDescent="0.25">
      <c r="D177" s="40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40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40" t="str" cm="1">
        <f t="array" ref="F177">Common_InputFunctions.Utility_DisplayArrayInTable(Common_SourceData.Common_SourceData_EFN2O_Data(), Table_SourceData_Common_EFN2O[[#Headers],[Production system j]], 0)</f>
        <v>Crop</v>
      </c>
      <c r="G177" s="40" t="str" cm="1">
        <f t="array" ref="G177">Common_InputFunctions.Utility_DisplayArrayInTable(Common_SourceData.Common_SourceData_EFN2O_Data(), Table_SourceData_Common_EFN2O[[#Headers],[Production system j]], 0)</f>
        <v>Any</v>
      </c>
      <c r="H177" s="40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320</v>
      </c>
      <c r="BM177" s="7"/>
      <c r="BN177" s="7"/>
      <c r="BO177" s="7"/>
    </row>
    <row r="178" spans="4:67" ht="20.100000000000001" customHeight="1" x14ac:dyDescent="0.25">
      <c r="D178" s="40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40" cm="1">
        <f t="array" ref="E178">Common_InputFunctions.Utility_DisplayArrayInTable(Common_SourceData.Common_SourceData_EFN2O_Data(), Table_SourceData_Common_EFN2O[[#Headers],[Production system j]], 0)</f>
        <v>1.8E-3</v>
      </c>
      <c r="F178" s="40" t="str" cm="1">
        <f t="array" ref="F178">Common_InputFunctions.Utility_DisplayArrayInTable(Common_SourceData.Common_SourceData_EFN2O_Data(), Table_SourceData_Common_EFN2O[[#Headers],[Production system j]], 0)</f>
        <v>Pasture</v>
      </c>
      <c r="G178" s="40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40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40" t="str" cm="1">
        <f t="array" ref="D179">Common_InputFunctions.Utility_DisplayArrayInTable(Common_SourceData.Common_SourceData_EFN2O_Data(), Table_SourceData_Common_EFN2O[[#Headers],[Production system j]], 0)</f>
        <v>Non-irrigated crop (low rainfall)</v>
      </c>
      <c r="E179" s="40" cm="1">
        <f t="array" ref="E179">Common_InputFunctions.Utility_DisplayArrayInTable(Common_SourceData.Common_SourceData_EFN2O_Data(), Table_SourceData_Common_EFN2O[[#Headers],[Production system j]], 0)</f>
        <v>2.8999999999999998E-3</v>
      </c>
      <c r="F179" s="40" t="str" cm="1">
        <f t="array" ref="F179">Common_InputFunctions.Utility_DisplayArrayInTable(Common_SourceData.Common_SourceData_EFN2O_Data(), Table_SourceData_Common_EFN2O[[#Headers],[Production system j]], 0)</f>
        <v>Crop</v>
      </c>
      <c r="G179" s="40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40" t="str" cm="1">
        <f t="array" ref="H179">Common_InputFunctions.Utility_DisplayArrayInTable(Common_SourceData.Common_SourceData_EFN2O_Data(), Table_SourceData_Common_EFN2O[[#Headers],[Production system j]], 0)</f>
        <v>Low rainfall</v>
      </c>
      <c r="BM179" s="7"/>
      <c r="BN179" s="7"/>
      <c r="BO179" s="7"/>
    </row>
    <row r="180" spans="4:67" ht="20.100000000000001" customHeight="1" x14ac:dyDescent="0.25">
      <c r="D180" s="40" t="str" cm="1">
        <f t="array" ref="D180">Common_InputFunctions.Utility_DisplayArrayInTable(Common_SourceData.Common_SourceData_EFN2O_Data(), Table_SourceData_Common_EFN2O[[#Headers],[Production system j]], 0)</f>
        <v>Non-irrigated crop (high rainfall)</v>
      </c>
      <c r="E180" s="40" cm="1">
        <f t="array" ref="E180">Common_InputFunctions.Utility_DisplayArrayInTable(Common_SourceData.Common_SourceData_EFN2O_Data(), Table_SourceData_Common_EFN2O[[#Headers],[Production system j]], 0)</f>
        <v>8.0000000000000002E-3</v>
      </c>
      <c r="F180" s="40" t="str" cm="1">
        <f t="array" ref="F180">Common_InputFunctions.Utility_DisplayArrayInTable(Common_SourceData.Common_SourceData_EFN2O_Data(), Table_SourceData_Common_EFN2O[[#Headers],[Production system j]], 0)</f>
        <v>Crop</v>
      </c>
      <c r="G180" s="40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40" t="str" cm="1">
        <f t="array" ref="H180">Common_InputFunctions.Utility_DisplayArrayInTable(Common_SourceData.Common_SourceData_EFN2O_Data(), Table_SourceData_Common_EFN2O[[#Headers],[Production system j]], 0)</f>
        <v>High rainfall</v>
      </c>
    </row>
    <row r="181" spans="4:67" ht="20.100000000000001" customHeight="1" x14ac:dyDescent="0.25">
      <c r="D181" s="40" t="str" cm="1">
        <f t="array" ref="D181">Common_InputFunctions.Utility_DisplayArrayInTable(Common_SourceData.Common_SourceData_EFN2O_Data(), Table_SourceData_Common_EFN2O[[#Headers],[Production system j]], 0)</f>
        <v>Sugar</v>
      </c>
      <c r="E181" s="40" cm="1">
        <f t="array" ref="E181">Common_InputFunctions.Utility_DisplayArrayInTable(Common_SourceData.Common_SourceData_EFN2O_Data(), Table_SourceData_Common_EFN2O[[#Headers],[Production system j]], 0)</f>
        <v>1.9900000000000001E-2</v>
      </c>
      <c r="F181" s="40" t="str" cm="1">
        <f t="array" ref="F181">Common_InputFunctions.Utility_DisplayArrayInTable(Common_SourceData.Common_SourceData_EFN2O_Data(), Table_SourceData_Common_EFN2O[[#Headers],[Production system j]], 0)</f>
        <v>Sugar</v>
      </c>
      <c r="G181" s="40" t="str" cm="1">
        <f t="array" ref="G181">Common_InputFunctions.Utility_DisplayArrayInTable(Common_SourceData.Common_SourceData_EFN2O_Data(), Table_SourceData_Common_EFN2O[[#Headers],[Production system j]], 0)</f>
        <v>Any</v>
      </c>
      <c r="H181" s="40" t="str" cm="1">
        <f t="array" ref="H181">Common_InputFunctions.Utility_DisplayArrayInTable(Common_SourceData.Common_SourceData_EFN2O_Data(), Table_SourceData_Common_EFN2O[[#Headers],[Production system j]], 0)</f>
        <v>Any</v>
      </c>
    </row>
    <row r="182" spans="4:67" ht="20.100000000000001" customHeight="1" x14ac:dyDescent="0.25">
      <c r="D182" s="40" t="str" cm="1">
        <f t="array" ref="D182">Common_InputFunctions.Utility_DisplayArrayInTable(Common_SourceData.Common_SourceData_EFN2O_Data(), Table_SourceData_Common_EFN2O[[#Headers],[Production system j]], 0)</f>
        <v>Cotton</v>
      </c>
      <c r="E182" s="40" cm="1">
        <f t="array" ref="E182">Common_InputFunctions.Utility_DisplayArrayInTable(Common_SourceData.Common_SourceData_EFN2O_Data(), Table_SourceData_Common_EFN2O[[#Headers],[Production system j]], 0)</f>
        <v>5.3E-3</v>
      </c>
      <c r="F182" s="40" t="str" cm="1">
        <f t="array" ref="F182">Common_InputFunctions.Utility_DisplayArrayInTable(Common_SourceData.Common_SourceData_EFN2O_Data(), Table_SourceData_Common_EFN2O[[#Headers],[Production system j]], 0)</f>
        <v>Cotton</v>
      </c>
      <c r="G182" s="40" t="str" cm="1">
        <f t="array" ref="G182">Common_InputFunctions.Utility_DisplayArrayInTable(Common_SourceData.Common_SourceData_EFN2O_Data(), Table_SourceData_Common_EFN2O[[#Headers],[Production system j]], 0)</f>
        <v>Any</v>
      </c>
      <c r="H182" s="40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40" t="str" cm="1">
        <f t="array" ref="D183">Common_InputFunctions.Utility_DisplayArrayInTable(Common_SourceData.Common_SourceData_EFN2O_Data(), Table_SourceData_Common_EFN2O[[#Headers],[Production system j]], 0)</f>
        <v>Horticultural crops</v>
      </c>
      <c r="E183" s="40" cm="1">
        <f t="array" ref="E183">Common_InputFunctions.Utility_DisplayArrayInTable(Common_SourceData.Common_SourceData_EFN2O_Data(), Table_SourceData_Common_EFN2O[[#Headers],[Production system j]], 0)</f>
        <v>6.4000000000000003E-3</v>
      </c>
      <c r="F183" s="40" t="str" cm="1">
        <f t="array" ref="F183">Common_InputFunctions.Utility_DisplayArrayInTable(Common_SourceData.Common_SourceData_EFN2O_Data(), Table_SourceData_Common_EFN2O[[#Headers],[Production system j]], 0)</f>
        <v>Horticultural crops</v>
      </c>
      <c r="G183" s="40" t="str" cm="1">
        <f t="array" ref="G183">Common_InputFunctions.Utility_DisplayArrayInTable(Common_SourceData.Common_SourceData_EFN2O_Data(), Table_SourceData_Common_EFN2O[[#Headers],[Production system j]], 0)</f>
        <v>Any</v>
      </c>
      <c r="H183" s="40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40" t="str" cm="1">
        <f t="array" ref="D184">Common_InputFunctions.Utility_DisplayArrayInTable(Common_SourceData.Common_SourceData_EFN2O_Data(), Table_SourceData_Common_EFN2O[[#Headers],[Production system j]], 0)</f>
        <v>Rice (continuous flooding)</v>
      </c>
      <c r="E184" s="40" cm="1">
        <f t="array" ref="E184">Common_InputFunctions.Utility_DisplayArrayInTable(Common_SourceData.Common_SourceData_EFN2O_Data(), Table_SourceData_Common_EFN2O[[#Headers],[Production system j]], 0)</f>
        <v>3.0000000000000001E-3</v>
      </c>
      <c r="F184" s="40" t="str" cm="1">
        <f t="array" ref="F184">Common_InputFunctions.Utility_DisplayArrayInTable(Common_SourceData.Common_SourceData_EFN2O_Data(), Table_SourceData_Common_EFN2O[[#Headers],[Production system j]], 0)</f>
        <v>Rice</v>
      </c>
      <c r="G184" s="40" t="str" cm="1">
        <f t="array" ref="G184">Common_InputFunctions.Utility_DisplayArrayInTable(Common_SourceData.Common_SourceData_EFN2O_Data(), Table_SourceData_Common_EFN2O[[#Headers],[Production system j]], 0)</f>
        <v>Continuous flooding</v>
      </c>
      <c r="H184" s="40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40" t="str" cm="1">
        <f t="array" ref="D185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5" s="40" cm="1">
        <f t="array" ref="E185">Common_InputFunctions.Utility_DisplayArrayInTable(Common_SourceData.Common_SourceData_EFN2O_Data(), Table_SourceData_Common_EFN2O[[#Headers],[Production system j]], 0)</f>
        <v>5.0000000000000001E-3</v>
      </c>
      <c r="F185" s="40" t="str" cm="1">
        <f t="array" ref="F185">Common_InputFunctions.Utility_DisplayArrayInTable(Common_SourceData.Common_SourceData_EFN2O_Data(), Table_SourceData_Common_EFN2O[[#Headers],[Production system j]], 0)</f>
        <v>Rice</v>
      </c>
      <c r="G185" s="40" t="str" cm="1">
        <f t="array" ref="G185">Common_InputFunctions.Utility_DisplayArrayInTable(Common_SourceData.Common_SourceData_EFN2O_Data(), Table_SourceData_Common_EFN2O[[#Headers],[Production system j]], 0)</f>
        <v>Single and multiple drainage, or alternate wetting and drying</v>
      </c>
      <c r="H185" s="40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40" t="str" cm="1">
        <f t="array" ref="D186">Common_InputFunctions.Utility_DisplayArrayInTable(Common_SourceData.Common_SourceData_EFN2O_Data(), Table_SourceData_Common_EFN2O[[#Headers],[Production system j]], 0)</f>
        <v>Aquaculture</v>
      </c>
      <c r="E186" s="40" cm="1">
        <f t="array" ref="E186">Common_InputFunctions.Utility_DisplayArrayInTable(Common_SourceData.Common_SourceData_EFN2O_Data(), Table_SourceData_Common_EFN2O[[#Headers],[Production system j]], 0)</f>
        <v>2.5999999999999999E-3</v>
      </c>
      <c r="F186" s="40" t="str" cm="1">
        <f t="array" ref="F186">Common_InputFunctions.Utility_DisplayArrayInTable(Common_SourceData.Common_SourceData_EFN2O_Data(), Table_SourceData_Common_EFN2O[[#Headers],[Production system j]], 0)</f>
        <v>Aquaculture</v>
      </c>
      <c r="G186" s="40" t="str" cm="1">
        <f t="array" ref="G186">Common_InputFunctions.Utility_DisplayArrayInTable(Common_SourceData.Common_SourceData_EFN2O_Data(), Table_SourceData_Common_EFN2O[[#Headers],[Production system j]], 0)</f>
        <v>Any</v>
      </c>
      <c r="H186" s="40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40" t="str" cm="1">
        <f t="array" ref="D187">Common_InputFunctions.Utility_DisplayArrayInTable(Common_SourceData.Common_SourceData_EFN2O_Data(), Table_SourceData_Common_EFN2O[[#Headers],[Production system j]], 0)</f>
        <v>Forestry</v>
      </c>
      <c r="E187" s="40" cm="1">
        <f t="array" ref="E187">Common_InputFunctions.Utility_DisplayArrayInTable(Common_SourceData.Common_SourceData_EFN2O_Data(), Table_SourceData_Common_EFN2O[[#Headers],[Production system j]], 0)</f>
        <v>1.8E-3</v>
      </c>
      <c r="F187" s="40" t="str" cm="1">
        <f t="array" ref="F187">Common_InputFunctions.Utility_DisplayArrayInTable(Common_SourceData.Common_SourceData_EFN2O_Data(), Table_SourceData_Common_EFN2O[[#Headers],[Production system j]], 0)</f>
        <v>Forestry</v>
      </c>
      <c r="G187" s="40" t="str" cm="1">
        <f t="array" ref="G187">Common_InputFunctions.Utility_DisplayArrayInTable(Common_SourceData.Common_SourceData_EFN2O_Data(), Table_SourceData_Common_EFN2O[[#Headers],[Production system j]], 0)</f>
        <v>Any</v>
      </c>
      <c r="H187" s="40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40" t="str" cm="1">
        <f t="array" ref="D188">Common_InputFunctions.Utility_DisplayArrayInTable(Common_SourceData.Common_SourceData_EFN2O_Data(), Table_SourceData_Common_EFN2O[[#Headers],[Production system j]], 0)</f>
        <v/>
      </c>
      <c r="E188" s="40" t="str" cm="1">
        <f t="array" ref="E188">Common_InputFunctions.Utility_DisplayArrayInTable(Common_SourceData.Common_SourceData_EFN2O_Data(), Table_SourceData_Common_EFN2O[[#Headers],[Production system j]], 0)</f>
        <v/>
      </c>
      <c r="F188" s="40" t="str" cm="1">
        <f t="array" ref="F188">Common_InputFunctions.Utility_DisplayArrayInTable(Common_SourceData.Common_SourceData_EFN2O_Data(), Table_SourceData_Common_EFN2O[[#Headers],[Production system j]], 0)</f>
        <v/>
      </c>
      <c r="G188" s="40" t="str" cm="1">
        <f t="array" ref="G188">Common_InputFunctions.Utility_DisplayArrayInTable(Common_SourceData.Common_SourceData_EFN2O_Data(), Table_SourceData_Common_EFN2O[[#Headers],[Production system j]], 0)</f>
        <v/>
      </c>
      <c r="H188" s="40" t="str" cm="1">
        <f t="array" ref="H188">Common_InputFunctions.Utility_DisplayArrayInTable(Common_SourceData.Common_SourceData_EFN2O_Data(), Table_SourceData_Common_EFN2O[[#Headers],[Production system j]], 0)</f>
        <v/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gACA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hAG4AZAAgAFQAQQBTACAAYwBvAGwAdQBtAG4AcwAgAHcAaQB0AGgAIABcAHUAMAAwADIANwBuAG8AIABkAGEAdABhAFwAdQAwADAAMgA3ACAAdgBhAGwAdQBlAHM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XAAiAE4AbwAgAGQAYQB0AGEAXAAiACwAIAAwAC4AMAAxACwAIAAwAC4AMAAxACwAIAAwAC4AMAAxACwAIABcACIATgBvACAAZABhAHQAYQBcACIALAAgAFwAIgBEAHIAeQBsAG8AdAAgACgAZgBlAGUAZAAgAHAAYQBkACkAXAAiADsAIABcAG4AIAAgACAAIAAgACAAIAAgACAAIABcACIAUwBlAGMAbwBuAGQAYQByAHkAXAAiACwAIABcACIAUwBvAGwAaQBkACAAUwB0AG8AcgBhAGcAZQAgACgAUwB0AG8AYwBrAHAAaQBsAGUAKQBcACIALAAgADAALgAwADIALAAgADAALgAwADIALAAgADAALgAwADIALAAgAFwAIgBOAG8AIABkAGEAdABhAFwAIgAsACAAMAAuADAAMgAsACAAMAAuADAAMgAsACAAMAAuADAAMgAsACAAXAAiAE4AbwAgAGQAYQB0AGEAXAAiACwAIABcACIAUwBvAGwAaQBkACAAcwB0AG8AcgBhAGcAZQBcACIAOwAgAFwAbgAgACAAIAAgACAAIAAgACAAIAAgAFwAIgBTAGUAYwBvAG4AZABhAHIAeQBcACIALAAgAFwAIgBDAG8AbQBwAG8AcwB0AGkAbgBnACAAKABQAGEAcwBzAGkAdgBlACAAVwBpAG4AZAByAG8AdwApAFwAIgAsACAAMAAuADAAMQAsACAAMAAuADAAMQAsACAAMAAuADAAMQAsACAAXAAiAE4AbwAgAGQAYQB0AGEAXAAiACwAIAAwAC4AMAAxACwAIAAwAC4AMAAxACwAIAAwAC4AMAAxACwAIABcACIATgBvACAAZABhAHQAYQBcACIALAAgAFwAIgBDAG8AbQBwAG8AcwB0AGkAbgBnACAAKABwAGEAcwBzAGkAdgBlACAAdwBpAG4AZAByAG8AdwApAFwAIgA7ACAAXABuACAAIAAgACAAIAAgACAAIAAgACAAXAAiAFMAZQBjAG8AbgBkAGEAcgB5AFwAIgAsACAAXAAiAEQAaQByAGUAYwB0ACAAQQBwAHAAbABpAGMAYQB0AGkAbwBuACAAdABvACAAcwBvAGkAbABcACIALAAgADAALAAgADAALAAgADAALAAgAFwAIgBOAG8AIABkAGEAdABhAFwAIgAsACAAMAAsACAAMAAsACAAMAAsACAAXAAiAE4AbwAgAGQAYQB0AGEAXAAi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XAAiAE4AbwAgAGQAYQB0AGEAXAAiACwAIAAwAC4ANwA1ACwAIAAwAC4ANwA1ACwAIAAwAC4ANwA3ACwAIABcACIATgBvACAAZABhAHQAYQBcACI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LAB7ACIAcABhAHQAaAAiADoAIgAvAHAAcgBvAGoAZQBjAHQAcwAvAE0ATQBTAF8ARgBlAGUAZABsAG8AdABfAE4AMgBPAF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I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AgADoAIABrAGcAIABOAFwAIgA7AFwAbgAgACAAIAAgACAAIAAgACAAIAAgAFwAIgBFAEYAXwBqAG0AXAAiACwAXAAiAG4AaQB0AHIAbwB1AHMAIABvAHgAaQBkAGUAIABlAG0AaQBzAHMAaQBvAG4AIABmAGEAYwB0AG8AcgAgAGYAbwByACAATQBNAFM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UAVAAxAFwAIgAsAFwAIgBmAHIAYQBjAHQAaQBvAG4AIABvAGYAIABtAGEAbgB1AHIAZQAgAGkAbgAgAHAAcgBpAG0AYQByAHkAIABzAHkAcwB0AGUAbQAgAGQAcgB5AGwAbwB0ACAATQBNAFM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yACwAXABuACAAIAAgACAAIAAgAEwAQQBNAEIARABBACgAcgAsAGMALABcAG4AIAAgACAAIAAgACAAIAAgAEkATgBEAEUAWAAoAHsAXABuACAAIAAgACAAIAAgACAAIAAgACAAXAAiAE4AXwBqAFwAIgAsAFwAIgBuAHUAbQBiAGUAcgAgAG8AZgAgAGMAYQB0AHQAbABlACAAaQBuACAAZQBhAGMAaAAgAGcAcgBvAHUAcAAgADoAIABoAGUAYQBkAFwAIgA7AFwAbgAgACAAIAAgACAAIAAgACAAIAAgAFwAIgBOAEUAXwBqAFwAIgAsAFwAIgBuAGkAdAByAG8AZwBlAG4AIABlAHgAYwByAGUAdABpAG8AbgAgADoAIABrAGcAIABOAC8AaABlAGEAZAAvAGQAYQB5AFwAIgA7AFwAbgAgACAAIAAgACAAIAAgACAAIAAgAFwAIgBEAF8AagBcACIALABcACIAZAB1AHIAYQB0AGkAbwBuACAAbwBmACAAcwB0AGEAeQAgAG8AZgAgAGMAYQB0AHQAbABlACAAZwByAG8AdQBwACAAOgAgAGQAYQB5AHM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MgAsAFwAbgAgACAAIAAgACAAIABMAEEATQBCAEQAQQAoAHIALABjACwAXABuACAAIAAgACAAIAAgACAAIABJAE4ARABFAFgAKAB7AFwAbgAgACAAIAAgACAAIAAgACAAIAAgAFwAIgBOAEkAXwBqAFwAIgAsAFwAIgBuAGkAdAByAG8AZwBlAG4AIABpAG4AdABhAGsAZQAgADoAIABrAGcAIABOAC8AaABlAGEAZAAvAGQAYQB5AFwAIgA7AFwAbgAgACAAIAAgACAAIAAgACAAIAAgAFwAIgBOAFIAXwBq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DoAIABrAGcAIABEAE0ALwBoAGUAYQBkAC8AZABhAHkAXAAiADsAXABuACAAIAAgACAAIAAgACAAIAAgACAAXAAiAEMAUABfAGoAXAAiACwAXAAiAGMAcgB1AGQAZQAgAHAAcgBvAHQAZQBpAG4AIABjAG8AbgB0AGUAbgB0ACAAbwBmACAAZgBlAGUAZAAgADoAIABmAHIAYQBjAHQAaQBvAG4AXAAiADsAXABuACAAIAAgACAAIAAgACAAIAAgACAAXAAiADYALgAyADUAXAAiACwAXAAiAGYAYQBjAHQAbwByACAAZgBvAHIAIABjAG8AbgB2AGUAcgB0AGkAbgBnACAAYwByAHUAZABlACAAcAByAG8AdABlAGkAbgAgAGkAbgB0AG8AIABuAGkAdAByAG8AZwBlAG4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CAAOgAgAGsAZwAgAE4AXAAiADsAXABuACAAIAAgACAAIAAgACAAIAAgACAAXAAiAE0ATQBTAF8AagBtAFQAMgBcACIALABcACIAZgByAGEAYwB0AGkAbwBuACAAbwBmACAAbQBhAG4AdQByAGUAIABpAG4AIABlAGEAYwBoACAAcwBlAGMAbwBuAGQ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IALABcAG4AIAAgACAAIAAgACAATABBAE0AQgBEAEEAKAByACwAYwAsAFwAbgAgACAAIAAgACAAIAAgACAASQBOAEQARQBYACgAewBcAG4AIAAgACAAIAAgACAAIAAgACAAIABcACIATQBOAF8AagBtADUAVAAxAFwAIgAsAFwAIgBuAGkAdAByAG8AZwBlAG4AIABpAG4AIABNAE0AUwAgAHQAcgBlAGEAdABtAGUAbgB0ACAAcwB0AGEAZwBlACAAMQAgADoAIABrAGcAIABOAFwAIgA7AFwAbgAgACAAIAAgACAAIAAgACAAIAAgAFwAIgBGAHIAYQBjAEcAQQBTAE0AXwBtADUAXAAiACwAXAAiAGYAcgBhAGMAdABpAG8AbgAgAG8AZgAgAE4AIAB2AG8AbABhAHQAaQBsAGkAcwBlAGQAIABmAHIAbwBtACAAZAByAHkAbABvAHQAIABNAE0AUwAgADoAIABmAHIAYQBjAHQAaQBvAG4AXAAiADsAXABuACAAIAAgACAAIAAgACAAIAAgACAAXAAiAEUARgBfAG0ANQBcACIALABcACIAbgBpAHQAcgBvAHUAcwAgAG8AeABpAGQAZQAgAGUAbQBpAHMAcwBpAG8AbgAgAGYAYQBjAHQAbwByACAAZgBvAHIAIABkAHIAeQBsAG8AdAAgAE0ATQBTACAAOgAgAGsAZwAgAE4AMgBPAC0ATgAvAGsAZwAgAE4AIABkAGUAcABvAHMAaQB0AGUAZABcACIAOwBcAG4AIAAgACAAIAAgACAAIAAgACAAIABcACIATQBOAF8AagBtAFQAMwBcACIALABcACIAbgBpAHQAcgBvAGcAZQBuACAAaQBuACAATQBNAFMAIAB0AHIAZQBhAHQAbQBlAG4AdAAgAHMAdABhAGcAZQAgADMAIAA6ACAAawBnACAAT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MQBUADMAXAAiACwAXAAiAGYAcgBhAGMAdABpAG8AbgAgAG8AZgAgAG0AYQBuAHUAcgBlACAAdABvACAAdABlAHIAdABpAGEAcgB5ACAAYQBuAGEAZQByAG8AYgBpAGMAIABsAGEAZwBvAG8AbgAgAHMAeQBzAHQAZQBtACAAOgAgAGYAcgBhAGMAdABpAG8AbgBcACIAXABuACAAIAAgACAAIAAgACAAIAB9ACwAIAByACwAIABjACkAXABuACAAIAAgACAAIAAgACkAXABuACAAIAAgACAAKQBcAG4AIAAgACkAOw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yAF8ATQBhAHMAcwBPAGYATgBpAHQAcgBvAGcAZQBuAEEAcABwAGwAaQBlAGQAVABvAFMAbwBpAGwAcwBTAGMAbwBwAGUAMw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CgAMQAgAC0AIABQAEYAKQBcAG4AIAAgACkAOwBcAG4AXABuAFYARQBFAFIARwBfADQAXwAx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MQBfADEAXwA5AF8AXwAyAF8ATQBhAHMAcwBPAGYATgBpAHQAcgBvAGcAZQBuAEEAcABwAGwAaQBlAGQAVABvAFMAbwBpAGwAcwBTAGMAbwBwAGUAMwBfAFYAYQByAGkAYQBiAGwAZQBcAG4AIAAgAD0ATABBAE0AQgBEAEEAKABcACIATQBOAFMAbwBpAGwAXwBzAGMAbwBwAGUAMwBcACIAKQA7AFwAbgBcAG4AVgBFAEUAUgBHAF8ANABfADEAXwAxAF8AOQBfAF8AMgBfAE0AYQBzAHMATwBmAE4AaQB0AHIAbwBnAGUAbgBBAHAAcABsAGkAZQBkAFQAbwBTAG8AaQBsAHMAUwBjAG8AcABlADMAXwBVAG4AaQB0AFwAbgAgACAAPQBMAEEATQBCAEQAQQAoAFwAIgBrAGcAIABOAFwAIgApADsAXABuAFwAbgBWAEUARQBSAEcAXwA0AF8AMQBfADEAXwA5AF8AXwAyAF8ATQBhAHMAcwBPAGYATgBpAHQAcgBvAGcAZQBuAEEAcABwAGwAaQBlAGQAVABvAFMAbwBpAGwAcwBTAGMAbwBwAGUAMwBfAFMAbwB1AHIAYwBlAFwAbgAgACAAPQBMAEEATQBCAEQAQQAoAFwAIgBWAEUARQBSAEcAIAAyADAAMgA2ADoAIAA0AC4AMQAuADEALgA5ACwAIABFAHEAdQBhAHQAaQBvAG4AIAAoADIAKQBcACIAKQA7AFwAbgBcAG4AVgBFAEUAUgBHAF8ANABfADEAXwAxAF8AOQBfAF8AMgBfAE0AYQBzAHMATwBmAE4AaQB0AHIAbwBnAGUAbgBBAHAAcABsAGkAZQBkAFQAbwBTAG8AaQBsAHMAUwBjAG8AcABlADMAXwBOAEkAUgBSAGUAZgBlAHIAZQBuAGMAZQBcAG4AIAAgAD0ATABBAE0AQgBEAEEAKABcACIAXAAiACkAOwBcAG4AXABuAFYARQBFAFIARwBfADQAXwAxAF8AMQBfADkAXwBfADIAXwBNAGEAcwBzAE8AZgBOAGkAdAByAG8AZwBlAG4AQQBwAHAAbABpAGUAZABUAG8AUwBvAGkAbABzAFMAYwBvAHAAZQAzAF8ATABhAHQAZQB4AEUAcQB1AGEAdABpAG8AbgBcAG4AIAAgAD0ATABBAE0AQgBEAEEAKABcACI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IgApADsAXABuAFwAbgBWAEUARQBSAEcAXwA0AF8AMQBfADEAXwA5AF8AXwAyAF8ATQBhAHMAcwBPAGYATgBpAHQAcgBvAGcAZQBuAEEAcABwAGwAaQBlAGQAVABvAFMAbwBpAGwAcwBTAGMAbwBwAGUAMw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XAAiAG0AYQBzAHMAIABvAGYAIABOACAAdgBvAGwAYQB0AGkAbABpAHMAZQBkACAAZgByAG8AbQAgAE0ATQBTACAAOgAgAGsAZwAgAE4AXAAiADsAXABuACAAIAAgACAAIAAgACAAIAAgACAAXAAiAEUARgBfAE4AMgBPAFwAIgAsAFwAIgBuAGkAdAByAG8AdQBzACAAbwB4AGkAZABlACAAZQBtAGkAcwBzAGkAbwBuACAAZgBhAGMAdABvAHIAIABmAG8AcgAgAGEAdABtAG8AcwBwAGgAZQByAGkAYwAgAGQAZQBwAG8AcwBpAHQAaQBvAG4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Mg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TQBNAFMAXwBGAGUAZQBkAGwAbwB0AF8ATQBlAHQAaABhAG4AZQBfAEUAcQB1AGEAdABpAG8AbgBzAC4AVgBFAEUAUgBHAF8ANABfADEAXwAxAF8AMQBfAF8AMQBfAFQAbwB0AGEAbABBAG4AbgB1AGEAbABNAGUAdABoAGEAbgBlAEUAbQBpAHMAcwBpAG8AbgBzACIALAAiAE0ATQBTAF8ARgBlAGUAZABsAG8AdABfAE0AZQB0AGgAYQBuAGUAXwBFAHEAdQBhAHQAaQBvAG4AcwAuAFYARQBFAFIARwBfADQAXwAxAF8AMQBfADEAXwBfADEAXwBUAG8AdABhAGwAQQBuAG4AdQBhAGwATQBlAHQAaABhAG4AZQBFAG0AaQBzAHMAaQBvAG4AcwBfAFQAaQB0AGwAZQAiACwAIgBNAE0AUwBfAEYAZQBlAGQAbABvAHQAXwBNAGUAdABoAGEAbgBlAF8ARQBxAHUAYQB0AGkAbwBuAHMALgBWAEUARQBSAEcAXwA0AF8AMQBfADEAXwAxAF8AXwAxAF8AVABvAHQAYQBsAEEAbgBuAHUAYQBsAE0AZQB0AGgAYQBuAGUARQBtAGkAcwBzAGkAbwBuAHMAXwBWAGEAcgBpAGEAYgBsAGUAIgAsACIATQBNAFMAXwBGAGUAZQBkAGwAbwB0AF8ATQBlAHQAaABhAG4AZQBfAEUAcQB1AGEAdABpAG8AbgBzAC4AVgBFAEUAUgBHAF8ANABfADEAXwAxAF8AMQBfAF8AMQBfAFQAbwB0AGEAbABBAG4AbgB1AGEAbABNAGUAdABoAGEAbgBlAEUAbQBpAHMAcwBpAG8AbgBzAF8AVQBuAGkAdAAiACwAIgBNAE0AUwBfAEYAZQBlAGQAbABvAHQAXwBNAGUAdABoAGEAbgBlAF8ARQBxAHUAYQB0AGkAbwBuAHMALgBWAEUARQBSAEcAXwA0AF8AMQBfADEAXwAxAF8AXwAxAF8AVABvAHQAYQBsAEEAbgBuAHUAYQBsAE0AZQB0AGgAYQBuAGUARQBtAGkAcwBzAGkAbwBuAHMAXwBTAG8AdQByAGMAZQAiACwAIgBNAE0AUwBfAEYAZQBlAGQAbABvAHQAXwBNAGUAdABoAGEAbgBlAF8ARQBxAHUAYQB0AGkAbwBuAHMALgBWAEUARQBSAEcAXwA0AF8AMQBfADEAXwAxAF8AXwAxAF8AVABvAHQAYQBsAEEAbgBuAHUAYQBsAE0AZQB0AGgAYQBuAGUARQBtAGkAcwBzAGkAbwBuAHMAXwBOAEkAUgBSAGUAZgBlAHIAZQBuAGMAZQAiACwAIgBNAE0AUwBfAEYAZQBlAGQAbABvAHQAXwBNAGUAdABoAGEAbgBlAF8ARQBxAHUAYQB0AGkAbwBuAHMALgBWAEUARQBSAEcAXwA0AF8AMQBfADEAXwAxAF8AXwAxAF8AVABvAHQAYQBsAEEAbgBuAHUAYQBsAE0AZQB0AGgAYQBuAGUARQBtAGkAcwBzAGkAbwBuAHMAXwBMAGEAdABlAHgARQBxAHUAYQB0AGkAbwBuACIALAAiAE0ATQBTAF8ARgBlAGUAZABsAG8AdABfAE0AZQB0AGgAYQBuAGUAXwBFAHEAdQBhAHQAaQBvAG4AcwAuAFYARQBFAFIARwBfADQAXwAxAF8AMQBfADEAXwBfADEAXwBUAG8AdABhAGwAQQBuAG4AdQBhAGwATQBlAHQAaABhAG4AZQBFAG0AaQBzAHMAaQBvAG4AcwBfAEEAcgBnAHUAbQBlAG4AdABzACIALAAiAE0ATQBTAF8ARgBlAGUAZABsAG8AdABfAE0AZQB0AGgAYQBuAGUAXwBFAHEAdQBhAHQAaQBvAG4AcwAuAFYARQBFAFIARwBfADQAXwAxAF8AMQBfADEAXwBfADIAXwBTAHQAYQBnAGUAMQBNAGUAdABoAGEAbgBlAFAAcgBvAGQAdQBjAHQAaQBvAG4ARAByAHkAbABvAHQAIgAsACIATQBNAFMAXwBGAGUAZQBkAGwAbwB0AF8ATQBlAHQAaABhAG4AZQBfAEUAcQB1AGEAdABpAG8AbgBzAC4AVgBFAEUAUgBHAF8ANABfADEAXwAxAF8AMQBfAF8AMgBfAFMAdABhAGcAZQAxAE0AZQB0AGgAYQBuAGUAUAByAG8AZAB1AGMAdABpAG8AbgBEAHIAeQBsAG8AdABfAFQAaQB0AGwAZQAiACwAIgBNAE0AUwBfAEYAZQBlAGQAbABvAHQAXwBNAGUAdABoAGEAbgBlAF8ARQBxAHUAYQB0AGkAbwBuAHMALgBWAEUARQBSAEcAXwA0AF8AMQBfADEAXwAxAF8AXwAyAF8AUwB0AGEAZwBlADEATQBlAHQAaABhAG4AZQBQAHIAbwBkAHUAYwB0AGkAbwBuAEQAcgB5AGwAbwB0AF8AVgBhAHIAaQBhAGIAbABlACIALAAiAE0ATQBTAF8ARgBlAGUAZABsAG8AdABfAE0AZQB0AGgAYQBuAGUAXwBFAHEAdQBhAHQAaQBvAG4AcwAuAFYARQBFAFIARwBfADQAXwAxAF8AMQBfADEAXwBfADIAXwBTAHQAYQBnAGUAMQBNAGUAdABoAGEAbgBlAFAAcgBvAGQAdQBjAHQAaQBvAG4ARAByAHkAbABvAHQAXwBVAG4AaQB0ACIALAAiAE0ATQBTAF8ARgBlAGUAZABsAG8AdABfAE0AZQB0AGgAYQBuAGUAXwBFAHEAdQBhAHQAaQBvAG4AcwAuAFYARQBFAFIARwBfADQAXwAxAF8AMQBfADEAXwBfADIAXwBTAHQAYQBnAGUAMQBNAGUAdABoAGEAbgBlAFAAcgBvAGQAdQBjAHQAaQBvAG4ARAByAHkAbABvAHQAXwBTAG8AdQByAGMAZQAiACwAIgBNAE0AUwBfAEYAZQBlAGQAbABvAHQAXwBNAGUAdABoAGEAbgBlAF8ARQBxAHUAYQB0AGkAbwBuAHMALgBWAEUARQBSAEcAXwA0AF8AMQBfADEAXwAxAF8AXwAyAF8AUwB0AGEAZwBlADEATQBlAHQAaABhAG4AZQBQAHIAbwBkAHUAYwB0AGkAbwBuAEQAcgB5AGwAbwB0AF8ATgBJAFIAUgBlAGYAZQByAGUAbgBjAGUAIgAsACIATQBNAFMAXwBGAGUAZQBkAGwAbwB0AF8ATQBlAHQAaABhAG4AZQBfAEUAcQB1AGEAdABpAG8AbgBzAC4AVgBFAEUAUgBHAF8ANABfADEAXwAxAF8AMQBfAF8AMgBfAFMAdABhAGcAZQAxAE0AZQB0AGgAYQBuAGUAUAByAG8AZAB1AGMAdABpAG8AbgBEAHIAeQBsAG8AdABfAEwAYQB0AGUAeABFAHEAdQBhAHQAaQBvAG4AIgAsACIATQBNAFMAXwBGAGUAZQBkAGwAbwB0AF8ATQBlAHQAaABhAG4AZQBfAEUAcQB1AGEAdABpAG8AbgBzAC4AVgBFAEUAUgBHAF8ANABfADEAXwAxAF8AMQBfAF8AMgBfAFMAdABhAGcAZQAxAE0AZQB0AGgAYQBuAGUAUAByAG8AZAB1AGMAdABpAG8AbgBEAHIAeQBsAG8AdABfAEEAcgBnAHUAbQBlAG4AdABz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UAXwBWAG8AbABhAHQAaQBsAGUAUwBvAGwAaQBkAFAAcgBvAGQAdQBjAHQAaQBvAG4AIgAsACIATQBNAFMAXwBGAGUAZQBkAGwAbwB0AF8ATQBlAHQAaABhAG4AZQBfAEUAcQB1AGEAdABpAG8AbgBzAC4AVgBFAEUAUgBHAF8ANABfADEAXwAxAF8AMQBfAF8ANQBfAFYAbwBsAGEAdABpAGwAZQBTAG8AbABpAGQAUAByAG8AZAB1AGMAdABpAG8AbgBfAFQAaQB0AGwAZQAiACwAIgBNAE0AUwBfAEYAZQBlAGQAbABvAHQAXwBNAGUAdABoAGEAbgBlAF8ARQBxAHUAYQB0AGkAbwBuAHMALgBWAEUARQBSAEcAXwA0AF8AMQBfADEAXwAxAF8AXwA1AF8AVgBvAGwAYQB0AGkAbABlAFMAbwBsAGkAZABQAHIAbwBkAHUAYwB0AGkAbwBuAF8AVgBhAHIAaQBhAGIAbABlACIALAAiAE0ATQBTAF8ARgBlAGUAZABsAG8AdABfAE0AZQB0AGgAYQBuAGUAXwBFAHEAdQBhAHQAaQBvAG4AcwAuAFYARQBFAFIARwBfADQAXwAxAF8AMQBfADEAXwBfADUAXwBWAG8AbABhAHQAaQBsAGUAUwBvAGwAaQBkAFAAcgBvAGQAdQBjAHQAaQBvAG4AXwBVAG4AaQB0ACIALAAiAE0ATQBTAF8ARgBlAGUAZABsAG8AdABfAE0AZQB0AGgAYQBuAGUAXwBFAHEAdQBhAHQAaQBvAG4AcwAuAFYARQBFAFIARwBfADQAXwAxAF8AMQBfADEAXwBfADUAXwBWAG8AbABhAHQAaQBsAGUAUwBvAGwAaQBkAFAAcgBvAGQAdQBjAHQAaQBvAG4AXwBTAG8AdQByAGMAZQAiACwAIgBNAE0AUwBfAEYAZQBlAGQAbABvAHQAXwBNAGUAdABoAGEAbgBlAF8ARQBxAHUAYQB0AGkAbwBuAHMALgBWAEUARQBSAEcAXwA0AF8AMQBfADEAXwAxAF8AXwA1AF8AVgBvAGwAYQB0AGkAbABlAFMAbwBsAGkAZABQAHIAbwBkAHUAYwB0AGkAbwBuAF8ATgBJAFIAUgBlAGYAZQByAGUAbgBjAGUAIgAsACIATQBNAFMAXwBGAGUAZQBkAGwAbwB0AF8ATQBlAHQAaABhAG4AZQBfAEUAcQB1AGEAdABpAG8AbgBzAC4AVgBFAEUAUgBHAF8ANABfADEAXwAxAF8AMQBfAF8ANQBfAFYAbwBsAGEAdABpAGwAZQBTAG8AbABpAGQAUAByAG8AZAB1AGMAdABpAG8AbgBfAEwAYQB0AGUAeABFAHEAdQBhAHQAaQBvAG4AIgAsACIATQBNAFMAXwBGAGUAZQBkAGwAbwB0AF8ATQBlAHQAaABhAG4AZQBfAEUAcQB1AGEAdABpAG8AbgBzAC4AVgBFAEUAUgBHAF8ANABfADEAXwAxAF8AMQBfAF8ANQBfAFYAbwBsAGEAdABpAGwAZQBTAG8AbABpAGQAUAByAG8AZAB1AGMAdABpAG8AbgBfAEEAcgBnAHUAbQBlAG4AdABzACIALAAiAE0ATQBTAF8ARgBlAGUAZABsAG8AdABfAE4AMgBPAF8ARABpAHIAZQBjAHQAXwBFAHEAdQBhAHQAaQBvAG4AcwAuAFYARQBFAFIARwBfADQAXwAxAF8AMQBfADMAXwBfADEAXwBUAG8AdABhAGwAQQBuAG4AdQBhAGwARABpAHIAZQBjAHQATgBpAHQAcgBvAHUAcwBPAHgAaQBkAGUARQBtAGkAcwBzAGkAbwBuAHMAIgAsACIATQBNAFMAXwBGAGUAZQBkAGwAbwB0AF8ATgAyAE8AXwBEAGkAcgBlAGMAdABfAEUAcQB1AGEAdABpAG8AbgBzAC4AVgBFAEUAUgBHAF8ANABfADEAXwAxAF8AMwBfAF8AMQBfAFQAbwB0AGEAbABBAG4AbgB1AGEAbABEAGkAcgBlAGMAdABOAGkAdAByAG8AdQBzAE8AeABpAGQAZQBFAG0AaQBzAHMAaQBvAG4AcwBfAFQAaQB0AGwAZQAiACwAIgBNAE0AUwBfAEYAZQBlAGQAbABvAHQAXwBOADIATwBfAEQAaQByAGUAYwB0AF8ARQBxAHUAYQB0AGkAbwBuAHMALgBWAEUARQBSAEcAXwA0AF8AMQBfADEAXwAzAF8AXwAxAF8AVABvAHQAYQBsAEEAbgBuAHUAYQBsAEQAaQByAGUAYwB0AE4AaQB0AHIAbwB1AHMATwB4AGkAZABlAEUAbQBpAHMAcwBpAG8AbgBzAF8AVgBhAHIAaQBhAGIAbABlACIALAAiAE0ATQBTAF8ARgBlAGUAZABsAG8AdABfAE4AMgBPAF8ARABpAHIAZQBjAHQAXwBFAHEAdQBhAHQAaQBvAG4AcwAuAFYARQBFAFIARwBfADQAXwAxAF8AMQBfADMAXwBfADEAXwBUAG8AdABhAGwAQQBuAG4AdQBhAGwARABpAHIAZQBjAHQATgBpAHQAcgBvAHUAcwBPAHgAaQBkAGUARQBtAGkAcwBzAGkAbwBuAHMAXwBVAG4AaQB0ACIALAAiAE0ATQBTAF8ARgBlAGUAZABsAG8AdABfAE4AMgBPAF8ARABpAHIAZQBjAHQAXwBFAHEAdQBhAHQAaQBvAG4AcwAuAFYARQBFAFIARwBfADQAXwAxAF8AMQBfADMAXwBfADEAXwBUAG8AdABhAGwAQQBuAG4AdQBhAGwARABpAHIAZQBjAHQATgBpAHQAcgBvAHUAcwBPAHgAaQBkAGUARQBtAGkAcwBzAGkAbwBuAHMAXwBTAG8AdQByAGMAZQAiACwAIgBNAE0AUwBfAEYAZQBlAGQAbABvAHQAXwBOADIATwBfAEQAaQByAGUAYwB0AF8ARQBxAHUAYQB0AGkAbwBuAHMALgBWAEUARQBSAEcAXwA0AF8AMQBfADEAXwAzAF8AXwAxAF8AVABvAHQAYQBsAEEAbgBuAHUAYQBsAEQAaQByAGUAYwB0AE4AaQB0AHIAbwB1AHMATwB4AGkAZABlAEUAbQBpAHMAcwBpAG8AbgBzAF8ATgBJAFIAUgBlAGYAZQByAGUAbgBjAGUAIgAsACIATQBNAFMAXwBGAGUAZQBkAGwAbwB0AF8ATgAyAE8AXwBEAGkAcgBlAGMAdABfAEUAcQB1AGEAdABpAG8AbgBzAC4AVgBFAEUAUgBHAF8ANABfADEAXwAxAF8AMwBfAF8AMQBfAFQAbwB0AGEAbABBAG4AbgB1AGEAbABEAGkAcgBlAGMAdABOAGkAdAByAG8AdQBzAE8AeABpAGQAZQBFAG0AaQBzAHMAaQBvAG4AcwBfAEwAYQB0AGUAeABFAHEAdQBhAHQAaQBvAG4AIgAsACIATQBNAFMAXwBGAGUAZQBkAGwAbwB0AF8ATgAyAE8AXwBEAGkAcgBlAGMAdABfAEUAcQB1AGEAdABpAG8AbgBzAC4AVgBFAEUAUgBHAF8ANABfADEAXwAxAF8AMwBfAF8AMQBfAFQAbwB0AGEAbABBAG4AbgB1AGEAbABEAGkAcgBlAGMAdABOAGkAdAByAG8AdQBzAE8AeABpAGQAZQBFAG0AaQBzAHMAaQBvAG4AcwBfAEEAcgBnAHUAbQBlAG4AdABzACIALAAiAE0ATQBTAF8ARgBlAGUAZABsAG8AdABfAE4AMgBPAF8ARABpAHIAZQBjAHQAXwBFAHEAdQBhAHQAaQBvAG4AcwAuAFYARQBFAFIARwBfADQAXwAxAF8AMQBfADMAXwBfADIAXwBTAHQAYQBnAGUAMQBOAGkAdAByAG8AZwBlAG4ASQBuAE0ATQBTAEQAcgB5AGwAbwB0ACIALAAiAE0ATQBTAF8ARgBlAGUAZABsAG8AdABfAE4AMgBPAF8ARABpAHIAZQBjAHQAXwBFAHEAdQBhAHQAaQBvAG4AcwAuAFYARQBFAFIARwBfADQAXwAxAF8AMQBfADMAXwBfADIAXwBTAHQAYQBnAGUAMQBOAGkAdAByAG8AZwBlAG4ASQBuAE0ATQBTAEQAcgB5AGwAbwB0AF8AVABpAHQAbABlACIALAAiAE0ATQBTAF8ARgBlAGUAZABsAG8AdABfAE4AMgBPAF8ARABpAHIAZQBjAHQAXwBFAHEAdQBhAHQAaQBvAG4AcwAuAFYARQBFAFIARwBfADQAXwAxAF8AMQBfADMAXwBfADIAXwBTAHQAYQBnAGUAMQBOAGkAdAByAG8AZwBlAG4ASQBuAE0ATQBTAEQAcgB5AGwAbwB0AF8AVgBhAHIAaQBhAGIAbABlACIALAAiAE0ATQBTAF8ARgBlAGUAZABsAG8AdABfAE4AMgBPAF8ARABpAHIAZQBjAHQAXwBFAHEAdQBhAHQAaQBvAG4AcwAuAFYARQBFAFIARwBfADQAXwAxAF8AMQBfADMAXwBfADIAXwBTAHQAYQBnAGUAMQBOAGkAdAByAG8AZwBlAG4ASQBuAE0ATQBTAEQAcgB5AGwAbwB0AF8AVQBuAGkAdAAiACwAIgBNAE0AUwBfAEYAZQBlAGQAbABvAHQAXwBOADIATwBfAEQAaQByAGUAYwB0AF8ARQBxAHUAYQB0AGkAbwBuAHMALgBWAEUARQBSAEcAXwA0AF8AMQBfADEAXwAzAF8AXwAyAF8AUwB0AGEAZwBlADEATgBpAHQAcgBvAGcAZQBuAEkAbgBNAE0AUwBEAHIAeQBsAG8AdABfAFMAbwB1AHIAYwBlACIALAAiAE0ATQBTAF8ARgBlAGUAZABsAG8AdABfAE4AMgBPAF8ARABpAHIAZQBjAHQAXwBFAHEAdQBhAHQAaQBvAG4AcwAuAFYARQBFAFIARwBfADQAXwAxAF8AMQBfADMAXwBfADIAXwBTAHQAYQBnAGUAMQBOAGkAdAByAG8AZwBlAG4ASQBuAE0ATQBTAEQAcgB5AGwAbwB0AF8ATgBJAFIAUgBlAGYAZQByAGUAbgBjAGUAIgAsACIATQBNAFMAXwBGAGUAZQBkAGwAbwB0AF8ATgAyAE8AXwBEAGkAcgBlAGMAdABfAEUAcQB1AGEAdABpAG8AbgBzAC4AVgBFAEUAUgBHAF8ANABfADEAXwAxAF8AMwBfAF8AMgBfAFMAdABhAGcAZQAxAE4AaQB0AHIAbwBnAGUAbgBJAG4ATQBNAFMARAByAHkAbABvAHQAXwBMAGEAdABlAHgARQBxAHUAYQB0AGkAbwBuACIALAAiAE0ATQBTAF8ARgBlAGUAZABsAG8AdABfAE4AMgBPAF8ARABpAHIAZQBjAHQAXwBFAHEAdQBhAHQAaQBvAG4AcwAuAFYARQBFAFIARwBfADQAXwAxAF8AMQBfADMAXwBfADIAXwBTAHQAYQBnAGUAMQBOAGkAdAByAG8AZwBlAG4ASQBuAE0ATQBTAEQAcgB5AGwAbwB0AF8AQQByAGcAdQBtAGUAbgB0AHMAIgAsACIATQBNAFMAXwBGAGUAZQBkAGwAbwB0AF8ATgAyAE8AXwBEAGkAcgBlAGMAdABfAEUAcQB1AGEAdABpAG8AbgBzAC4AVgBFAEUAUgBHAF8ANABfADEAXwAxAF8AMwBfAF8AMwBfAEEAbgBuAHUAYQBsAE4AaQB0AHIAbwBnAGUAbgBFAHgAYwByAGUAdABpAG8AbgAiACwAIgBNAE0AUwBfAEYAZQBlAGQAbABvAHQAXwBOADIATwBfAEQAaQByAGUAYwB0AF8ARQBxAHUAYQB0AGkAbwBuAHMALgBWAEUARQBSAEcAXwA0AF8AMQBfADEAXwAzAF8AXwAzAF8AQQBuAG4AdQBhAGwATgBpAHQAcgBvAGcAZQBuAEUAeABjAHIAZQB0AGkAbwBuAF8AVABpAHQAbABlACIALAAiAE0ATQBTAF8ARgBlAGUAZABsAG8AdABfAE4AMgBPAF8ARABpAHIAZQBjAHQAXwBFAHEAdQBhAHQAaQBvAG4AcwAuAFYARQBFAFIARwBfADQAXwAxAF8AMQBfADMAXwBfADMAXwBBAG4AbgB1AGEAbABOAGkAdAByAG8AZwBlAG4ARQB4AGMAcgBlAHQAaQBvAG4AXwBWAGEAcgBpAGEAYgBsAGUAIgAsACIATQBNAFMAXwBGAGUAZQBkAGwAbwB0AF8ATgAyAE8AXwBEAGkAcgBlAGMAdABfAEUAcQB1AGEAdABpAG8AbgBzAC4AVgBFAEUAUgBHAF8ANABfADEAXwAxAF8AMwBfAF8AMwBfAEEAbgBuAHUAYQBsAE4AaQB0AHIAbwBnAGUAbgBFAHgAYwByAGUAdABpAG8AbgBfAFUAbgBpAHQAIgAsACIATQBNAFMAXwBGAGUAZQBkAGwAbwB0AF8ATgAyAE8AXwBEAGkAcgBlAGMAdABfAEUAcQB1AGEAdABpAG8AbgBzAC4AVgBFAEUAUgBHAF8ANABfADEAXwAxAF8AMwBfAF8AMwBfAEEAbgBuAHUAYQBsAE4AaQB0AHIAbwBnAGUAbgBFAHgAYwByAGUAdABpAG8AbgBfAFMAbwB1AHIAYwBlACIALAAiAE0ATQBTAF8ARgBlAGUAZABsAG8AdABfAE4AMgBPAF8ARABpAHIAZQBjAHQAXwBFAHEAdQBhAHQAaQBvAG4AcwAuAFYARQBFAFIARwBfADQAXwAxAF8AMQBfADMAXwBfADMAXwBBAG4AbgB1AGEAbABOAGkAdAByAG8AZwBlAG4ARQB4AGMAcgBlAHQAaQBvAG4AXwBOAEkAUgBSAGUAZgBlAHIAZQBuAGMAZQAiACwAIgBNAE0AUwBfAEYAZQBlAGQAbABvAHQAXwBOADIATwBfAEQAaQByAGUAYwB0AF8ARQBxAHUAYQB0AGkAbwBuAHMALgBWAEUARQBSAEcAXwA0AF8AMQBfADEAXwAzAF8AXwAzAF8AQQBuAG4AdQBhAGwATgBpAHQAcgBvAGcAZQBuAEUAeABjAHIAZQB0AGkAbwBuAF8ATABhAHQAZQB4AEUAcQB1AGEAdABpAG8AbgAiACwAIgBNAE0AUwBfAEYAZQBlAGQAbABvAHQAXwBOADIATwBfAEQAaQByAGUAYwB0AF8ARQBxAHUAYQB0AGkAbwBuAHMALgBWAEUARQBSAEcAXwA0AF8AMQBfADEAXwAzAF8AXwAzAF8AQQBuAG4AdQBhAGwATgBpAHQAcgBvAGcAZQBuAEUAeABjAHIAZQB0AGkAbwBuAF8AQQByAGcAdQBtAGUAbgB0AHMAIgAsACIATQBNAFMAXwBGAGUAZQBkAGwAbwB0AF8ATgAyAE8AXwBEAGkAcgBlAGMAdABfAEUAcQB1AGEAdABpAG8AbgBzAC4AVgBFAEUAUgBHAF8ANABfADEAXwAxAF8AMwBfAF8ANABfAE4AaQB0AHIAbwBnAGUAbgBFAHgAYwByAGUAdABpAG8AbgBQAGUAcgBIAGUAYQBkACIALAAiAE0ATQBTAF8ARgBlAGUAZABsAG8AdABfAE4AMgBPAF8ARABpAHIAZQBjAHQAXwBFAHEAdQBhAHQAaQBvAG4AcwAuAFYARQBFAFIARwBfADQAXwAxAF8AMQBfADMAXwBfADQAXwBOAGkAdAByAG8AZwBlAG4ARQB4AGMAcgBlAHQAaQBvAG4AUABlAHIASABlAGEAZABfAFQAaQB0AGwAZQAiACwAIgBNAE0AUwBfAEYAZQBlAGQAbABvAHQAXwBOADIATwBfAEQAaQByAGUAYwB0AF8ARQBxAHUAYQB0AGkAbwBuAHMALgBWAEUARQBSAEcAXwA0AF8AMQBfADEAXwAzAF8AXwA0AF8ATgBpAHQAcgBvAGcAZQBuAEUAeABjAHIAZQB0AGkAbwBuAFAAZQByAEgAZQBhAGQAXwBWAGEAcgBpAGEAYgBsAGUAIgAsACIATQBNAFMAXwBGAGUAZQBkAGwAbwB0AF8ATgAyAE8AXwBEAGkAcgBlAGMAdABfAEUAcQB1AGEAdABpAG8AbgBzAC4AVgBFAEUAUgBHAF8ANABfADEAXwAxAF8AMwBfAF8ANABfAE4AaQB0AHIAbwBnAGUAbgBFAHgAYwByAGUAdABpAG8AbgBQAGUAcgBIAGUAYQBkAF8AVQBuAGkAdAAiACwAIgBNAE0AUwBfAEYAZQBlAGQAbABvAHQAXwBOADIATwBfAEQAaQByAGUAYwB0AF8ARQBxAHUAYQB0AGkAbwBuAHMALgBWAEUARQBSAEcAXwA0AF8AMQBfADEAXwAzAF8AXwA0AF8ATgBpAHQAcgBvAGcAZQBuAEUAeABjAHIAZQB0AGkAbwBuAFAAZQByAEgAZQBhAGQAXwBTAG8AdQByAGMAZQAiACwAIgBNAE0AUwBfAEYAZQBlAGQAbABvAHQAXwBOADIATwBfAEQAaQByAGUAYwB0AF8ARQBxAHUAYQB0AGkAbwBuAHMALgBWAEUARQBSAEcAXwA0AF8AMQBfADEAXwAzAF8AXwA0AF8ATgBpAHQAcgBvAGcAZQBuAEUAeABjAHIAZQB0AGkAbwBuAFAAZQByAEgAZQBhAGQAXwBOAEkAUgBSAGUAZgBlAHIAZQBuAGMAZQAiACwAIgBNAE0AUwBfAEYAZQBlAGQAbABvAHQAXwBOADIATwBfAEQAaQByAGUAYwB0AF8ARQBxAHUAYQB0AGkAbwBuAHMALgBWAEUARQBSAEcAXwA0AF8AMQBfADEAXwAzAF8AXwA0AF8ATgBpAHQAcgBvAGcAZQBuAEUAeABjAHIAZQB0AGkAbwBuAFAAZQByAEgAZQBhAGQAXwBMAGEAdABlAHgARQBxAHUAYQB0AGkAbwBuACIALAAiAE0ATQBTAF8ARgBlAGUAZABsAG8AdABfAE4AMgBPAF8ARABpAHIAZQBjAHQAXwBFAHEAdQBhAHQAaQBvAG4AcwAuAFYARQBFAFIARwBfADQAXwAxAF8AMQBfADMAXwBfADQAXwBOAGkAdAByAG8AZwBlAG4ARQB4AGMAcgBlAHQAaQBvAG4AUABlAHIASABlAGEAZABfAEEAcgBnAHUAbQBlAG4AdABzACIALAAiAE0ATQBTAF8ARgBlAGUAZABsAG8AdABfAE4AMgBPAF8ARABpAHIAZQBjAHQAXwBFAHEAdQBhAHQAaQBvAG4AcwAuAFYARQBFAFIARwBfADQAXwAxAF8AMQBfADMAXwBfADUAXwBOAGkAdAByAG8AZwBlAG4ASQBuAHQAYQBrAGUAIgAsACIATQBNAFMAXwBGAGUAZQBkAGwAbwB0AF8ATgAyAE8AXwBEAGkAcgBlAGMAdABfAEUAcQB1AGEAdABpAG8AbgBzAC4AVgBFAEUAUgBHAF8ANABfADEAXwAxAF8AMwBfAF8ANQBfAE4AaQB0AHIAbwBnAGUAbgBJAG4AdABhAGsAZQBfAFQAaQB0AGwAZQAiACwAIgBNAE0AUwBfAEYAZQBlAGQAbABvAHQAXwBOADIATwBfAEQAaQByAGUAYwB0AF8ARQBxAHUAYQB0AGkAbwBuAHMALgBWAEUARQBSAEcAXwA0AF8AMQBfADEAXwAzAF8AXwA1AF8ATgBpAHQAcgBvAGcAZQBuAEkAbgB0AGEAawBlAF8AVgBhAHIAaQBhAGIAbABlACIALAAiAE0ATQBTAF8ARgBlAGUAZABsAG8AdABfAE4AMgBPAF8ARABpAHIAZQBjAHQAXwBFAHEAdQBhAHQAaQBvAG4AcwAuAFYARQBFAFIARwBfADQAXwAxAF8AMQBfADMAXwBfADUAXwBOAGkAdAByAG8AZwBlAG4ASQBuAHQAYQBrAGUAXwBVAG4AaQB0ACIALAAiAE0ATQBTAF8ARgBlAGUAZABsAG8AdABfAE4AMgBPAF8ARABpAHIAZQBjAHQAXwBFAHEAdQBhAHQAaQBvAG4AcwAuAFYARQBFAFIARwBfADQAXwAxAF8AMQBfADMAXwBfADUAXwBOAGkAdAByAG8AZwBlAG4ASQBuAHQAYQBrAGUAXwBTAG8AdQByAGMAZQAiACwAIgBNAE0AUwBfAEYAZQBlAGQAbABvAHQAXwBOADIATwBfAEQAaQByAGUAYwB0AF8ARQBxAHUAYQB0AGkAbwBuAHMALgBWAEUARQBSAEcAXwA0AF8AMQBfADEAXwAzAF8AXwA1AF8ATgBpAHQAcgBvAGcAZQBuAEkAbgB0AGEAawBlAF8ATgBJAFIAUgBlAGYAZQByAGUAbgBjAGUAIgAsACIATQBNAFMAXwBGAGUAZQBkAGwAbwB0AF8ATgAyAE8AXwBEAGkAcgBlAGMAdABfAEUAcQB1AGEAdABpAG8AbgBzAC4AVgBFAEUAUgBHAF8ANABfADEAXwAxAF8AMwBfAF8ANQBfAE4AaQB0AHIAbwBnAGUAbgBJAG4AdABhAGsAZQBfAEwAYQB0AGUAeABFAHEAdQBhAHQAaQBvAG4AIgAsACIATQBNAFMAXwBGAGUAZQBkAGwAbwB0AF8ATgAyAE8AXwBEAGkAcgBlAGMAdABfAEUAcQB1AGEAdABpAG8AbgBzAC4AVgBFAEUAUgBHAF8ANABfADEAXwAxAF8AMwBfAF8ANQBfAE4AaQB0AHIAbwBnAGUAbgBJAG4AdABhAGsAZQBfAEEAcgBnAHUAbQBlAG4AdABzACIALAAiAE0ATQBTAF8ARgBlAGUAZABsAG8AdABfAE4AMgBPAF8ARABpAHIAZQBjAHQAXwBFAHEAdQBhAHQAaQBvAG4AcwAuAFYARQBFAFIARwBfADQAXwAxAF8AMQBfADMAXwBfADYAXwBTAHQAYQBnAGUAMgBOAGkAdAByAG8AZwBlAG4ASQBuAE0ATQBTACIALAAiAE0ATQBTAF8ARgBlAGUAZABsAG8AdABfAE4AMgBPAF8ARABpAHIAZQBjAHQAXwBFAHEAdQBhAHQAaQBvAG4AcwAuAFYARQBFAFIARwBfADQAXwAxAF8AMQBfADMAXwBfADYAXwBTAHQAYQBnAGUAMgBOAGkAdAByAG8AZwBlAG4ASQBuAE0ATQBTAF8AVABpAHQAbABlACIALAAiAE0ATQBTAF8ARgBlAGUAZABsAG8AdABfAE4AMgBPAF8ARABpAHIAZQBjAHQAXwBFAHEAdQBhAHQAaQBvAG4AcwAuAFYARQBFAFIARwBfADQAXwAxAF8AMQBfADMAXwBfADYAXwBTAHQAYQBnAGUAMgBOAGkAdAByAG8AZwBlAG4ASQBuAE0ATQBTAF8AVgBhAHIAaQBhAGIAbABlACIALAAiAE0ATQBTAF8ARgBlAGUAZABsAG8AdABfAE4AMgBPAF8ARABpAHIAZQBjAHQAXwBFAHEAdQBhAHQAaQBvAG4AcwAuAFYARQBFAFIARwBfADQAXwAxAF8AMQBfADMAXwBfADYAXwBTAHQAYQBnAGUAMgBOAGkAdAByAG8AZwBlAG4ASQBuAE0ATQBTAF8AVQBuAGkAdAAiACwAIgBNAE0AUwBfAEYAZQBlAGQAbABvAHQAXwBOADIATwBfAEQAaQByAGUAYwB0AF8ARQBxAHUAYQB0AGkAbwBuAHMALgBWAEUARQBSAEcAXwA0AF8AMQBfADEAXwAzAF8AXwA2AF8AUwB0AGEAZwBlADIATgBpAHQAcgBvAGcAZQBuAEkAbgBNAE0AUwBfAFMAbwB1AHIAYwBlACIALAAiAE0ATQBTAF8ARgBlAGUAZABsAG8AdABfAE4AMgBPAF8ARABpAHIAZQBjAHQAXwBFAHEAdQBhAHQAaQBvAG4AcwAuAFYARQBFAFIARwBfADQAXwAxAF8AMQBfADMAXwBfADYAXwBTAHQAYQBnAGUAMgBOAGkAdAByAG8AZwBlAG4ASQBuAE0ATQBTAF8ATgBJAFIAUgBlAGYAZQByAGUAbgBjAGUAIgAsACIATQBNAFMAXwBGAGUAZQBkAGwAbwB0AF8ATgAyAE8AXwBEAGkAcgBlAGMAdABfAEUAcQB1AGEAdABpAG8AbgBzAC4AVgBFAEUAUgBHAF8ANABfADEAXwAxAF8AMwBfAF8ANgBfAFMAdABhAGcAZQAyAE4AaQB0AHIAbwBnAGUAbgBJAG4ATQBNAFMAXwBMAGEAdABlAHgARQBxAHUAYQB0AGkAbwBuACIALAAiAE0ATQBTAF8ARgBlAGUAZABsAG8AdABfAE4AMgBPAF8ARABpAHIAZQBjAHQAXwBFAHEAdQBhAHQAaQBvAG4AcwAuAFYARQBFAFIARwBfADQAXwAxAF8AMQBfADMAXwBfADYAXwBTAHQAYQBnAGUAMgBOAGkAdAByAG8AZwBlAG4ASQBuAE0ATQBTAF8AQQByAGcAdQBtAGUAbgB0AHMAIgAsACIATQBNAFMAXwBGAGUAZQBkAGwAbwB0AF8ATgAyAE8AXwBEAGkAcgBlAGMAdABfAEUAcQB1AGEAdABpAG8AbgBzAC4AVgBFAEUAUgBHAF8ANABfADEAXwAxAF8AMwBfAF8ANwBfAE4AaQB0AHIAbwBnAGUAbgBUAHIAYQBuAHMAZgBlAHIAcgBlAGQAVABvAFMAdABhAGcAZQAyACIALAAiAE0ATQBTAF8ARgBlAGUAZABsAG8AdABfAE4AMgBPAF8ARABpAHIAZQBjAHQAXwBFAHEAdQBhAHQAaQBvAG4AcwAuAFYARQBFAFIARwBfADQAXwAxAF8AMQBfADMAXwBfADcAXwBOAGkAdAByAG8AZwBlAG4AVAByAGEAbgBzAGYAZQByAHIAZQBkAFQAbwBTAHQAYQBnAGUAMgBfAFQAaQB0AGwAZQAiACwAIgBNAE0AUwBfAEYAZQBlAGQAbABvAHQAXwBOADIATwBfAEQAaQByAGUAYwB0AF8ARQBxAHUAYQB0AGkAbwBuAHMALgBWAEUARQBSAEcAXwA0AF8AMQBfADEAXwAzAF8AXwA3AF8ATgBpAHQAcgBvAGcAZQBuAFQAcgBhAG4AcwBmAGUAcgByAGUAZABUAG8AUwB0AGEAZwBlADIAXwBWAGEAcgBpAGEAYgBsAGUAIgAsACIATQBNAFMAXwBGAGUAZQBkAGwAbwB0AF8ATgAyAE8AXwBEAGkAcgBlAGMAdABfAEUAcQB1AGEAdABpAG8AbgBzAC4AVgBFAEUAUgBHAF8ANABfADEAXwAxAF8AMwBfAF8ANwBfAE4AaQB0AHIAbwBnAGUAbgBUAHIAYQBuAHMAZgBlAHIAcgBlAGQAVABvAFMAdABhAGcAZQAyAF8AVQBuAGkAdAAiACwAIgBNAE0AUwBfAEYAZQBlAGQAbABvAHQAXwBOADIATwBfAEQAaQByAGUAYwB0AF8ARQBxAHUAYQB0AGkAbwBuAHMALgBWAEUARQBSAEcAXwA0AF8AMQBfADEAXwAzAF8AXwA3AF8ATgBpAHQAcgBvAGcAZQBuAFQAcgBhAG4AcwBmAGUAcgByAGUAZABUAG8AUwB0AGEAZwBlADIAXwBTAG8AdQByAGMAZQAiACwAIgBNAE0AUwBfAEYAZQBlAGQAbABvAHQAXwBOADIATwBfAEQAaQByAGUAYwB0AF8ARQBxAHUAYQB0AGkAbwBuAHMALgBWAEUARQBSAEcAXwA0AF8AMQBfADEAXwAzAF8AXwA3AF8ATgBpAHQAcgBvAGcAZQBuAFQAcgBhAG4AcwBmAGUAcgByAGUAZABUAG8AUwB0AGEAZwBlADIAXwBOAEkAUgBSAGUAZgBlAHIAZQBuAGMAZQAiACwAIgBNAE0AUwBfAEYAZQBlAGQAbABvAHQAXwBOADIATwBfAEQAaQByAGUAYwB0AF8ARQBxAHUAYQB0AGkAbwBuAHMALgBWAEUARQBSAEcAXwA0AF8AMQBfADEAXwAzAF8AXwA3AF8ATgBpAHQAcgBvAGcAZQBuAFQAcgBhAG4AcwBmAGUAcgByAGUAZABUAG8AUwB0AGEAZwBlADIAXwBMAGEAdABlAHgARQBxAHUAYQB0AGkAbwBuACIALAAiAE0ATQBTAF8ARgBlAGUAZABsAG8AdABfAE4AMgBPAF8ARABpAHIAZQBjAHQAXwBFAHEAdQBhAHQAaQBvAG4AcwAuAFYARQBFAFIARwBfADQAXwAxAF8AMQBfADMAXwBfADcAXwBOAGkAdAByAG8AZwBlAG4AVAByAGEAbgBzAGYAZQByAHIAZQBkAFQAbwBTAHQAYQBnAGUAMgBfAEEAcgBnAHUAbQBlAG4AdABzACIALAAiAE0ATQBTAF8ARgBlAGUAZABsAG8AdABfAE4AMgBPAF8ARABpAHIAZQBjAHQAXwBFAHEAdQBhAHQAaQBvAG4AcwAuAFYARQBFAFIARwBfADQAXwAxAF8AMQBfADMAXwBfADgAXwBTAHQAYQBnAGUAMwBOAGkAdAByAG8AZwBlAG4ASQBuAE0ATQBTAEEAbgBhAGUAcgBvAGIAaQBjAEwAYQBnAG8AbwBuACIALAAiAE0ATQBTAF8ARgBlAGUAZABsAG8AdABfAE4AMgBPAF8ARABpAHIAZQBjAHQAXwBFAHEAdQBhAHQAaQBvAG4AcwAuAFYARQBFAFIARwBfADQAXwAxAF8AMQBfADMAXwBfADgAXwBTAHQAYQBnAGUAMwBOAGkAdAByAG8AZwBlAG4ASQBuAE0ATQBTAEEAbgBhAGUAcgBvAGIAaQBjAEwAYQBnAG8AbwBuAF8AVABpAHQAbABlACIALAAiAE0ATQBTAF8ARgBlAGUAZABsAG8AdABfAE4AMgBPAF8ARABpAHIAZQBjAHQAXwBFAHEAdQBhAHQAaQBvAG4AcwAuAFYARQBFAFIARwBfADQAXwAxAF8AMQBfADMAXwBfADgAXwBTAHQAYQBnAGUAMwBOAGkAdAByAG8AZwBlAG4ASQBuAE0ATQBTAEEAbgBhAGUAcgBvAGIAaQBjAEwAYQBnAG8AbwBuAF8AVgBhAHIAaQBhAGIAbABlACIALAAiAE0ATQBTAF8ARgBlAGUAZABsAG8AdABfAE4AMgBPAF8ARABpAHIAZQBjAHQAXwBFAHEAdQBhAHQAaQBvAG4AcwAuAFYARQBFAFIARwBfADQAXwAxAF8AMQBfADMAXwBfADgAXwBTAHQAYQBnAGUAMwBOAGkAdAByAG8AZwBlAG4ASQBuAE0ATQBTAEEAbgBhAGUAcgBvAGIAaQBjAEwAYQBnAG8AbwBuAF8AVQBuAGkAdAAiACwAIgBNAE0AUwBfAEYAZQBlAGQAbABvAHQAXwBOADIATwBfAEQAaQByAGUAYwB0AF8ARQBxAHUAYQB0AGkAbwBuAHMALgBWAEUARQBSAEcAXwA0AF8AMQBfADEAXwAzAF8AXwA4AF8AUwB0AGEAZwBlADMATgBpAHQAcgBvAGcAZQBuAEkAbgBNAE0AUwBBAG4AYQBlAHIAbwBiAGkAYwBMAGEAZwBvAG8AbgBfAFMAbwB1AHIAYwBlACIALAAiAE0ATQBTAF8ARgBlAGUAZABsAG8AdABfAE4AMgBPAF8ARABpAHIAZQBjAHQAXwBFAHEAdQBhAHQAaQBvAG4AcwAuAFYARQBFAFIARwBfADQAXwAxAF8AMQBfADMAXwBfADgAXwBTAHQAYQBnAGUAMwBOAGkAdAByAG8AZwBlAG4ASQBuAE0ATQBTAEEAbgBhAGUAcgBvAGIAaQBjAEwAYQBnAG8AbwBuAF8ATgBJAFIAUgBlAGYAZQByAGUAbgBjAGUAIgAsACIATQBNAFMAXwBGAGUAZQBkAGwAbwB0AF8ATgAyAE8AXwBEAGkAcgBlAGMAdABfAEUAcQB1AGEAdABpAG8AbgBzAC4AVgBFAEUAUgBHAF8ANABfADEAXwAxAF8AMwBfAF8AOABfAFMAdABhAGcAZQAzAE4AaQB0AHIAbwBnAGUAbgBJAG4ATQBNAFMAQQBuAGEAZQByAG8AYgBpAGMATABhAGcAbwBvAG4AXwBMAGEAdABlAHgARQBxAHUAYQB0AGkAbwBuACIALAAiAE0ATQBTAF8ARgBlAGUAZABsAG8AdABfAE4AMgBPAF8ARABpAHIAZQBjAHQAXwBFAHEAdQBhAHQAaQBvAG4AcwAuAFYARQBFAFIARwBfADQAXwAxAF8AMQBfADMAXwBfADgAXwBTAHQAYQBnAGUAMwBOAGkAdAByAG8AZwBlAG4ASQBuAE0ATQBTAEEAbgBhAGUAcgBvAGIAaQBjAEwAYQBnAG8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4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 template</vt:lpstr>
      <vt:lpstr>Home</vt:lpstr>
      <vt:lpstr>Results</vt:lpstr>
      <vt:lpstr>Input - Site</vt:lpstr>
      <vt:lpstr>Input - MMS - Feedlot</vt:lpstr>
      <vt:lpstr>4.1.1.1-2 Methane</vt:lpstr>
      <vt:lpstr>4.1.1.3-4 Direct N20</vt:lpstr>
      <vt:lpstr>4.1.1.5-6 Atmos Deposition</vt:lpstr>
      <vt:lpstr>4.1.1.9 Manure applied to soils</vt:lpstr>
      <vt:lpstr>Source Data - Feedlot</vt:lpstr>
      <vt:lpstr>Constants - Livestock</vt:lpstr>
      <vt:lpstr>Acknowledgements</vt:lpstr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2026-04-01T00:17:45Z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